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Read Me" sheetId="2" state="visible" r:id="rId2"/>
    <sheet name="Monthly" sheetId="3" state="visible" r:id="rId3"/>
    <sheet name="Departments" sheetId="4" state="visible" r:id="rId4"/>
    <sheet name="Client Concentration" sheetId="5" state="visible" r:id="rId5"/>
    <sheet name="Risk Register" sheetId="6" state="visible" r:id="rId6"/>
    <sheet name="Settings" sheetId="7" state="visible" r:id="rId7"/>
    <sheet name="Data - Revenue" sheetId="8" state="visible" r:id="rId8"/>
    <sheet name="Data - Pipeline" sheetId="9" state="visible" r:id="rId9"/>
  </sheets>
  <definedNames>
    <definedName name="set_AsAt">Settings!$B$5</definedName>
    <definedName name="set_FYStart">Settings!$B$6</definedName>
    <definedName name="set_DealShare">Settings!$B$7</definedName>
    <definedName name="set_BigValue">Settings!$B$8</definedName>
    <definedName name="set_EarlyProb">Settings!$B$9</definedName>
    <definedName name="set_ClientHigh">Settings!$B$10</definedName>
    <definedName name="set_Top5High">Settings!$B$11</definedName>
    <definedName name="set_ScoreHigh">Settings!$B$12</definedName>
    <definedName name="set_ScoreMed">Settings!$B$13</definedName>
    <definedName name="rev_Amt">'Data - Revenue'!$AD$2:$AD$4501</definedName>
    <definedName name="rev_Date">'Data - Revenue'!$AE$2:$AE$4501</definedName>
    <definedName name="rev_Cnt">'Data - Revenue'!$AF$2:$AF$4501</definedName>
    <definedName name="rev_Month">'Data - Revenue'!$AG$2:$AG$4501</definedName>
    <definedName name="rev_Client">'Data - Revenue'!$AH$2:$AH$4501</definedName>
    <definedName name="rev_CC">'Data - Revenue'!$AI$2:$AI$4501</definedName>
    <definedName name="rev_FY">'Data - Revenue'!$AJ$2:$AJ$4501</definedName>
    <definedName name="rev_New">'Data - Revenue'!$AK$2:$AK$4501</definedName>
    <definedName name="p_Status">'Data - Pipeline'!$T$2:$T$601</definedName>
    <definedName name="p_Value">'Data - Pipeline'!$U$2:$U$601</definedName>
    <definedName name="p_Has">'Data - Pipeline'!$V$2:$V$601</definedName>
    <definedName name="p_Prob">'Data - Pipeline'!$W$2:$W$601</definedName>
    <definedName name="p_Weighted">'Data - Pipeline'!$X$2:$X$601</definedName>
    <definedName name="p_Still">'Data - Pipeline'!$Y$2:$Y$601</definedName>
    <definedName name="p_Month">'Data - Pipeline'!$Z$2:$Z$601</definedName>
    <definedName name="p_CC">'Data - Pipeline'!$AA$2:$AA$601</definedName>
    <definedName name="p_Stage">'Data - Pipeline'!$AB$2:$AB$601</definedName>
    <definedName name="p_Client">'Data - Pipeline'!$AC$2:$AC$601</definedName>
    <definedName name="p_Deal">'Data - Pipeline'!$AD$2:$AD$601</definedName>
    <definedName name="p_Job">'Data - Pipeline'!$AE$2:$AE$601</definedName>
    <definedName name="p_Score">'Data - Pipeline'!$AL$2:$AL$601</definedName>
    <definedName name="p_Rating">'Data - Pipeline'!$AM$2:$AM$601</definedName>
    <definedName name="p_Reg">'Data - Pipeline'!$AN$2:$AN$601</definedName>
    <definedName name="p_Risk">'Data - Pipeline'!$AO$2:$AO$601</definedName>
    <definedName name="p_Key">'Data - Pipeline'!$AP$2:$AP$601</definedName>
    <definedName name="p_Flags">'Data - Pipeline'!$AQ$2:$AQ$601</definedName>
    <definedName name="_xlnm._FilterDatabase" localSheetId="5" hidden="1">'Risk Register'!$A$4:$N$254</definedName>
  </definedNames>
  <calcPr calcId="124519" fullCalcOnLoad="1"/>
</workbook>
</file>

<file path=xl/styles.xml><?xml version="1.0" encoding="utf-8"?>
<styleSheet xmlns="http://schemas.openxmlformats.org/spreadsheetml/2006/main">
  <numFmts count="4">
    <numFmt numFmtId="164" formatCode="yyyy-mm-dd h:mm:ss"/>
    <numFmt numFmtId="165" formatCode="dd-mmm-yy"/>
    <numFmt numFmtId="166" formatCode="$#,##0;[Red]-$#,##0;&quot;-&quot;"/>
    <numFmt numFmtId="167" formatCode="0.0%;-0.0%;&quot;-&quot;"/>
  </numFmts>
  <fonts count="18">
    <font>
      <name val="Calibri"/>
      <family val="2"/>
      <color theme="1"/>
      <sz val="11"/>
      <scheme val="minor"/>
    </font>
    <font>
      <name val="Arial"/>
      <b val="1"/>
      <color rgb="00FFFFFF"/>
      <sz val="18"/>
    </font>
    <font>
      <name val="Arial"/>
      <i val="1"/>
      <color rgb="00D9E2F3"/>
      <sz val="10"/>
    </font>
    <font>
      <name val="Arial"/>
      <b val="1"/>
      <color rgb="00FFFFFF"/>
      <sz val="10"/>
    </font>
    <font>
      <name val="Arial"/>
      <b val="1"/>
      <color rgb="00262626"/>
      <sz val="10"/>
    </font>
    <font>
      <name val="Arial"/>
      <color rgb="00262626"/>
      <sz val="10"/>
    </font>
    <font>
      <name val="Arial"/>
      <i val="1"/>
      <color rgb="00595959"/>
      <sz val="10"/>
    </font>
    <font>
      <name val="Arial"/>
      <color rgb="00595959"/>
      <sz val="9"/>
    </font>
    <font>
      <name val="Arial"/>
      <i val="1"/>
      <color rgb="00595959"/>
      <sz val="9"/>
    </font>
    <font>
      <name val="Arial"/>
      <b val="1"/>
      <color rgb="00FFFFFF"/>
      <sz val="11"/>
    </font>
    <font>
      <name val="Arial"/>
      <b val="1"/>
      <color rgb="001F3864"/>
      <sz val="10"/>
    </font>
    <font>
      <name val="Arial"/>
      <b val="1"/>
      <color rgb="00595959"/>
      <sz val="9"/>
    </font>
    <font>
      <name val="Arial"/>
      <b val="1"/>
      <color rgb="001F3864"/>
      <sz val="16"/>
    </font>
    <font>
      <name val="Arial"/>
      <color rgb="00262626"/>
      <sz val="9"/>
    </font>
    <font>
      <name val="Arial"/>
      <b val="1"/>
      <color rgb="00262626"/>
      <sz val="9"/>
    </font>
    <font>
      <name val="Arial"/>
      <color rgb="00595959"/>
      <sz val="8"/>
    </font>
    <font>
      <name val="Arial"/>
      <i val="1"/>
      <color rgb="00595959"/>
      <sz val="8"/>
    </font>
    <font>
      <name val="Arial"/>
      <b val="1"/>
      <color rgb="001F3864"/>
      <sz val="11"/>
    </font>
  </fonts>
  <fills count="11">
    <fill>
      <patternFill/>
    </fill>
    <fill>
      <patternFill patternType="gray125"/>
    </fill>
    <fill>
      <patternFill patternType="solid">
        <fgColor rgb="001F3864"/>
      </patternFill>
    </fill>
    <fill>
      <patternFill patternType="solid">
        <fgColor rgb="001F4E79"/>
      </patternFill>
    </fill>
    <fill>
      <patternFill patternType="solid">
        <fgColor rgb="00BF8F00"/>
      </patternFill>
    </fill>
    <fill>
      <patternFill patternType="solid">
        <fgColor rgb="00FFF2CC"/>
      </patternFill>
    </fill>
    <fill>
      <patternFill patternType="solid">
        <fgColor rgb="00D9E2F3"/>
      </patternFill>
    </fill>
    <fill>
      <patternFill patternType="solid">
        <fgColor rgb="00595959"/>
      </patternFill>
    </fill>
    <fill>
      <patternFill patternType="solid">
        <fgColor rgb="00D03B3B"/>
      </patternFill>
    </fill>
    <fill>
      <patternFill patternType="solid">
        <fgColor rgb="00EC835A"/>
      </patternFill>
    </fill>
    <fill>
      <patternFill patternType="solid">
        <fgColor rgb="00FAB219"/>
      </patternFill>
    </fill>
  </fills>
  <borders count="4">
    <border>
      <left/>
      <right/>
      <top/>
      <bottom/>
      <diagonal/>
    </border>
    <border>
      <left style="thin">
        <color rgb="00C9D3E3"/>
      </left>
      <right style="thin">
        <color rgb="00C9D3E3"/>
      </right>
      <top style="thin">
        <color rgb="00C9D3E3"/>
      </top>
      <bottom style="thin">
        <color rgb="00C9D3E3"/>
      </bottom>
    </border>
    <border>
      <bottom style="hair">
        <color rgb="00C9D3E3"/>
      </bottom>
    </border>
    <border>
      <left/>
      <right/>
      <top/>
      <bottom style="hair">
        <color rgb="00C9D3E3"/>
      </bottom>
      <diagonal/>
    </border>
  </borders>
  <cellStyleXfs count="1">
    <xf numFmtId="0" fontId="0" fillId="0" borderId="0"/>
  </cellStyleXfs>
  <cellXfs count="57">
    <xf numFmtId="0" fontId="0" fillId="0" borderId="0" pivotButton="0" quotePrefix="0" xfId="0"/>
    <xf numFmtId="0" fontId="1" fillId="2" borderId="0" pivotButton="0" quotePrefix="0" xfId="0"/>
    <xf numFmtId="0" fontId="0" fillId="2" borderId="0" pivotButton="0" quotePrefix="0" xfId="0"/>
    <xf numFmtId="0" fontId="2" fillId="2" borderId="0" pivotButton="0" quotePrefix="0" xfId="0"/>
    <xf numFmtId="0" fontId="11" fillId="6" borderId="0" applyAlignment="1" pivotButton="0" quotePrefix="0" xfId="0">
      <alignment horizontal="center"/>
    </xf>
    <xf numFmtId="0" fontId="0" fillId="6" borderId="0" pivotButton="0" quotePrefix="0" xfId="0"/>
    <xf numFmtId="166" fontId="12" fillId="6" borderId="0" applyAlignment="1" pivotButton="0" quotePrefix="0" xfId="0">
      <alignment horizontal="center" vertical="center"/>
    </xf>
    <xf numFmtId="9" fontId="12" fillId="6" borderId="0" applyAlignment="1" pivotButton="0" quotePrefix="0" xfId="0">
      <alignment horizontal="center" vertical="center"/>
    </xf>
    <xf numFmtId="0" fontId="10" fillId="0" borderId="0" pivotButton="0" quotePrefix="0" xfId="0"/>
    <xf numFmtId="0" fontId="7" fillId="0" borderId="0" pivotButton="0" quotePrefix="0" xfId="0"/>
    <xf numFmtId="0" fontId="3" fillId="8" borderId="0" applyAlignment="1" pivotButton="0" quotePrefix="0" xfId="0">
      <alignment horizontal="center"/>
    </xf>
    <xf numFmtId="1" fontId="5" fillId="0" borderId="2" pivotButton="0" quotePrefix="0" xfId="0"/>
    <xf numFmtId="166" fontId="5" fillId="0" borderId="2" pivotButton="0" quotePrefix="0" xfId="0"/>
    <xf numFmtId="0" fontId="0" fillId="0" borderId="3" pivotButton="0" quotePrefix="0" xfId="0"/>
    <xf numFmtId="0" fontId="4" fillId="0" borderId="0" applyAlignment="1" pivotButton="0" quotePrefix="0" xfId="0">
      <alignment horizontal="center"/>
    </xf>
    <xf numFmtId="0" fontId="13" fillId="0" borderId="0" pivotButton="0" quotePrefix="0" xfId="0"/>
    <xf numFmtId="166" fontId="14" fillId="0" borderId="0" pivotButton="0" quotePrefix="0" xfId="0"/>
    <xf numFmtId="0" fontId="15" fillId="0" borderId="0" pivotButton="0" quotePrefix="0" xfId="0"/>
    <xf numFmtId="0" fontId="4" fillId="9" borderId="0" applyAlignment="1" pivotButton="0" quotePrefix="0" xfId="0">
      <alignment horizontal="center"/>
    </xf>
    <xf numFmtId="0" fontId="4" fillId="10" borderId="0" applyAlignment="1" pivotButton="0" quotePrefix="0" xfId="0">
      <alignment horizontal="center"/>
    </xf>
    <xf numFmtId="0" fontId="16" fillId="0" borderId="0" pivotButton="0" quotePrefix="0" xfId="0"/>
    <xf numFmtId="0" fontId="17" fillId="0" borderId="0" applyAlignment="1" pivotButton="0" quotePrefix="0" xfId="0">
      <alignment vertical="top" wrapText="1"/>
    </xf>
    <xf numFmtId="0" fontId="5" fillId="0" borderId="0" applyAlignment="1" pivotButton="0" quotePrefix="0" xfId="0">
      <alignment vertical="top" wrapText="1"/>
    </xf>
    <xf numFmtId="0" fontId="3" fillId="3" borderId="1" applyAlignment="1" pivotButton="0" quotePrefix="0" xfId="0">
      <alignment horizontal="center" vertical="center" wrapText="1"/>
    </xf>
    <xf numFmtId="17" fontId="4" fillId="0" borderId="2" pivotButton="0" quotePrefix="0" xfId="0"/>
    <xf numFmtId="166" fontId="4" fillId="0" borderId="2" pivotButton="0" quotePrefix="0" xfId="0"/>
    <xf numFmtId="0" fontId="4" fillId="6" borderId="2" pivotButton="0" quotePrefix="0" xfId="0"/>
    <xf numFmtId="166" fontId="4" fillId="6" borderId="2" pivotButton="0" quotePrefix="0" xfId="0"/>
    <xf numFmtId="0" fontId="8" fillId="0" borderId="0" pivotButton="0" quotePrefix="0" xfId="0"/>
    <xf numFmtId="0" fontId="9" fillId="2" borderId="0" pivotButton="0" quotePrefix="0" xfId="0"/>
    <xf numFmtId="0" fontId="4" fillId="0" borderId="2" pivotButton="0" quotePrefix="0" xfId="0"/>
    <xf numFmtId="167" fontId="5" fillId="0" borderId="2" pivotButton="0" quotePrefix="0" xfId="0"/>
    <xf numFmtId="167" fontId="4" fillId="6" borderId="2" pivotButton="0" quotePrefix="0" xfId="0"/>
    <xf numFmtId="9" fontId="5" fillId="0" borderId="2" pivotButton="0" quotePrefix="0" xfId="0"/>
    <xf numFmtId="1" fontId="4" fillId="6" borderId="2" pivotButton="0" quotePrefix="0" xfId="0"/>
    <xf numFmtId="9" fontId="4" fillId="6" borderId="2" pivotButton="0" quotePrefix="0" xfId="0"/>
    <xf numFmtId="0" fontId="3" fillId="7" borderId="1" applyAlignment="1" pivotButton="0" quotePrefix="0" xfId="0">
      <alignment horizontal="center" vertical="center" wrapText="1"/>
    </xf>
    <xf numFmtId="1" fontId="4" fillId="0" borderId="2" pivotButton="0" quotePrefix="0" xfId="0"/>
    <xf numFmtId="0" fontId="5" fillId="0" borderId="2" pivotButton="0" quotePrefix="0" xfId="0"/>
    <xf numFmtId="167" fontId="7" fillId="0" borderId="0" pivotButton="0" quotePrefix="0" xfId="0"/>
    <xf numFmtId="167" fontId="4" fillId="0" borderId="2" pivotButton="0" quotePrefix="0" xfId="0"/>
    <xf numFmtId="3" fontId="4" fillId="0" borderId="2" pivotButton="0" quotePrefix="0" xfId="0"/>
    <xf numFmtId="0" fontId="5" fillId="0" borderId="2" applyAlignment="1" pivotButton="0" quotePrefix="0" xfId="0">
      <alignment horizontal="center"/>
    </xf>
    <xf numFmtId="17" fontId="5" fillId="0" borderId="2" pivotButton="0" quotePrefix="0" xfId="0"/>
    <xf numFmtId="0" fontId="3" fillId="4" borderId="1" applyAlignment="1" pivotButton="0" quotePrefix="0" xfId="0">
      <alignment horizontal="center" vertical="center" wrapText="1"/>
    </xf>
    <xf numFmtId="165" fontId="5" fillId="5" borderId="2" pivotButton="0" quotePrefix="0" xfId="0"/>
    <xf numFmtId="9" fontId="5" fillId="5" borderId="2" pivotButton="0" quotePrefix="0" xfId="0"/>
    <xf numFmtId="166" fontId="5" fillId="5" borderId="2" pivotButton="0" quotePrefix="0" xfId="0"/>
    <xf numFmtId="1" fontId="5" fillId="5" borderId="2" pivotButton="0" quotePrefix="0" xfId="0"/>
    <xf numFmtId="0" fontId="6" fillId="0" borderId="0" pivotButton="0" quotePrefix="0" xfId="0"/>
    <xf numFmtId="0" fontId="3" fillId="4" borderId="0" pivotButton="0" quotePrefix="0" xfId="0"/>
    <xf numFmtId="164" fontId="0" fillId="0" borderId="0" pivotButton="0" quotePrefix="0" xfId="0"/>
    <xf numFmtId="166" fontId="7" fillId="0" borderId="0" pivotButton="0" quotePrefix="0" xfId="0"/>
    <xf numFmtId="165" fontId="7" fillId="0" borderId="0" pivotButton="0" quotePrefix="0" xfId="0"/>
    <xf numFmtId="1" fontId="7" fillId="0" borderId="0" pivotButton="0" quotePrefix="0" xfId="0"/>
    <xf numFmtId="17" fontId="7" fillId="0" borderId="0" pivotButton="0" quotePrefix="0" xfId="0"/>
    <xf numFmtId="9" fontId="7" fillId="0" borderId="0" pivotButton="0" quotePrefix="0" xfId="0"/>
  </cellXfs>
  <cellStyles count="1">
    <cellStyle name="Normal" xfId="0" builtinId="0" hidden="0"/>
  </cellStyles>
  <dxfs count="4">
    <dxf>
      <font>
        <name val="Arial"/>
        <b val="1"/>
        <color rgb="00FFFFFF"/>
      </font>
      <fill>
        <patternFill patternType="solid">
          <fgColor rgb="00D03B3B"/>
        </patternFill>
      </fill>
    </dxf>
    <dxf>
      <font>
        <name val="Arial"/>
        <b val="1"/>
        <color rgb="00262626"/>
      </font>
      <fill>
        <patternFill patternType="solid">
          <fgColor rgb="00EC835A"/>
        </patternFill>
      </fill>
    </dxf>
    <dxf>
      <font>
        <name val="Arial"/>
        <b val="1"/>
        <color rgb="00262626"/>
      </font>
      <fill>
        <patternFill patternType="solid">
          <fgColor rgb="00FAB219"/>
        </patternFill>
      </fill>
    </dxf>
    <dxf>
      <font>
        <name val="Arial"/>
        <b val="1"/>
        <color rgb="00FFFFFF"/>
      </font>
      <fill>
        <patternFill patternType="solid">
          <fgColor rgb="000CA30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charts/chart1.xml><?xml version="1.0" encoding="utf-8"?>
<chartSpace xmlns:a="http://schemas.openxmlformats.org/drawingml/2006/main" xmlns="http://schemas.openxmlformats.org/drawingml/2006/chart">
  <style val="10"/>
  <chart>
    <title>
      <tx>
        <rich>
          <a:bodyPr/>
          <a:p>
            <a:pPr>
              <a:defRPr/>
            </a:pPr>
            <a:r>
              <a:t>Monthly revenue: actual, won to invoice and weighted pipeline</a:t>
            </a:r>
          </a:p>
        </rich>
      </tx>
    </title>
    <plotArea>
      <barChart>
        <barDir val="col"/>
        <grouping val="stacked"/>
        <ser>
          <idx val="0"/>
          <order val="0"/>
          <tx>
            <strRef>
              <f>'Monthly'!B4</f>
            </strRef>
          </tx>
          <spPr>
            <a:solidFill>
              <a:srgbClr val="2A78D6"/>
            </a:solidFill>
            <a:ln w="12700">
              <a:solidFill>
                <a:srgbClr val="FFFFFF"/>
              </a:solidFill>
              <a:prstDash val="solid"/>
            </a:ln>
          </spPr>
          <cat>
            <numRef>
              <f>'Monthly'!$A$5:$A$16</f>
            </numRef>
          </cat>
          <val>
            <numRef>
              <f>'Monthly'!$B$5:$B$16</f>
            </numRef>
          </val>
        </ser>
        <ser>
          <idx val="1"/>
          <order val="1"/>
          <tx>
            <strRef>
              <f>'Monthly'!C4</f>
            </strRef>
          </tx>
          <spPr>
            <a:solidFill>
              <a:srgbClr val="EB6834"/>
            </a:solidFill>
            <a:ln w="12700">
              <a:solidFill>
                <a:srgbClr val="FFFFFF"/>
              </a:solidFill>
              <a:prstDash val="solid"/>
            </a:ln>
          </spPr>
          <cat>
            <numRef>
              <f>'Monthly'!$A$5:$A$16</f>
            </numRef>
          </cat>
          <val>
            <numRef>
              <f>'Monthly'!$C$5:$C$16</f>
            </numRef>
          </val>
        </ser>
        <ser>
          <idx val="2"/>
          <order val="2"/>
          <tx>
            <strRef>
              <f>'Monthly'!D4</f>
            </strRef>
          </tx>
          <spPr>
            <a:solidFill>
              <a:srgbClr val="1BAF7A"/>
            </a:solidFill>
            <a:ln w="12700">
              <a:solidFill>
                <a:srgbClr val="FFFFFF"/>
              </a:solidFill>
              <a:prstDash val="solid"/>
            </a:ln>
          </spPr>
          <cat>
            <numRef>
              <f>'Monthly'!$A$5:$A$16</f>
            </numRef>
          </cat>
          <val>
            <numRef>
              <f>'Monthly'!$D$5:$D$16</f>
            </numRef>
          </val>
        </ser>
        <gapWidth val="60"/>
        <overlap val="10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numFmt formatCode="$#,##0" sourceLinked="0"/>
        <majorTickMark val="none"/>
        <minorTickMark val="none"/>
        <crossAx val="10"/>
      </valAx>
    </plotArea>
    <legend>
      <legendPos val="b"/>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Top 10 clients - invoiced FYTD</a:t>
            </a:r>
          </a:p>
        </rich>
      </tx>
    </title>
    <plotArea>
      <barChart>
        <barDir val="bar"/>
        <grouping val="clustered"/>
        <ser>
          <idx val="0"/>
          <order val="0"/>
          <tx>
            <strRef>
              <f>'Client Concentration'!C5</f>
            </strRef>
          </tx>
          <spPr>
            <a:solidFill>
              <a:srgbClr val="2A78D6"/>
            </a:solidFill>
            <a:ln w="12700">
              <a:solidFill>
                <a:srgbClr val="FFFFFF"/>
              </a:solidFill>
              <a:prstDash val="solid"/>
            </a:ln>
          </spPr>
          <cat>
            <numRef>
              <f>'Client Concentration'!$B$6:$B$15</f>
            </numRef>
          </cat>
          <val>
            <numRef>
              <f>'Client Concentration'!$C$6:$C$15</f>
            </numRef>
          </val>
        </ser>
        <gapWidth val="60"/>
        <axId val="10"/>
        <axId val="100"/>
      </barChart>
      <catAx>
        <axId val="10"/>
        <scaling>
          <orientation val="maxMin"/>
        </scaling>
        <delete val="0"/>
        <axPos val="l"/>
        <majorTickMark val="none"/>
        <minorTickMark val="none"/>
        <crossAx val="100"/>
        <lblOffset val="100"/>
      </catAx>
      <valAx>
        <axId val="100"/>
        <scaling>
          <orientation val="minMax"/>
        </scaling>
        <delete val="0"/>
        <axPos val="l"/>
        <majorGridlines/>
        <numFmt formatCode="$#,##0" sourceLinked="0"/>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By cost centre: invoiced, won to invoice, weighted pipeline</a:t>
            </a:r>
          </a:p>
        </rich>
      </tx>
    </title>
    <plotArea>
      <barChart>
        <barDir val="col"/>
        <grouping val="stacked"/>
        <ser>
          <idx val="0"/>
          <order val="0"/>
          <tx>
            <strRef>
              <f>'Departments'!B5</f>
            </strRef>
          </tx>
          <spPr>
            <a:solidFill>
              <a:srgbClr val="2A78D6"/>
            </a:solidFill>
            <a:ln w="12700">
              <a:solidFill>
                <a:srgbClr val="FFFFFF"/>
              </a:solidFill>
              <a:prstDash val="solid"/>
            </a:ln>
          </spPr>
          <cat>
            <numRef>
              <f>'Departments'!$A$6:$A$11</f>
            </numRef>
          </cat>
          <val>
            <numRef>
              <f>'Departments'!$B$6:$B$11</f>
            </numRef>
          </val>
        </ser>
        <ser>
          <idx val="1"/>
          <order val="1"/>
          <tx>
            <strRef>
              <f>'Departments'!G5</f>
            </strRef>
          </tx>
          <spPr>
            <a:solidFill>
              <a:srgbClr val="EB6834"/>
            </a:solidFill>
            <a:ln w="12700">
              <a:solidFill>
                <a:srgbClr val="FFFFFF"/>
              </a:solidFill>
              <a:prstDash val="solid"/>
            </a:ln>
          </spPr>
          <cat>
            <numRef>
              <f>'Departments'!$A$6:$A$11</f>
            </numRef>
          </cat>
          <val>
            <numRef>
              <f>'Departments'!$G$6:$G$11</f>
            </numRef>
          </val>
        </ser>
        <ser>
          <idx val="2"/>
          <order val="2"/>
          <tx>
            <strRef>
              <f>'Departments'!I5</f>
            </strRef>
          </tx>
          <spPr>
            <a:solidFill>
              <a:srgbClr val="1BAF7A"/>
            </a:solidFill>
            <a:ln w="12700">
              <a:solidFill>
                <a:srgbClr val="FFFFFF"/>
              </a:solidFill>
              <a:prstDash val="solid"/>
            </a:ln>
          </spPr>
          <cat>
            <numRef>
              <f>'Departments'!$A$6:$A$11</f>
            </numRef>
          </cat>
          <val>
            <numRef>
              <f>'Departments'!$I$6:$I$11</f>
            </numRef>
          </val>
        </ser>
        <gapWidth val="60"/>
        <overlap val="10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numFmt formatCode="$#,##0" sourceLinked="0"/>
        <majorTickMark val="none"/>
        <minorTickMark val="none"/>
        <crossAx val="10"/>
      </valAx>
    </plotArea>
    <legend>
      <legendPos val="b"/>
    </legend>
    <plotVisOnly val="1"/>
    <dispBlanksAs val="gap"/>
  </chart>
</chartSpace>
</file>

<file path=xl/charts/chart4.xml><?xml version="1.0" encoding="utf-8"?>
<chartSpace xmlns:a="http://schemas.openxmlformats.org/drawingml/2006/main" xmlns="http://schemas.openxmlformats.org/drawingml/2006/chart">
  <style val="10"/>
  <chart>
    <title>
      <tx>
        <rich>
          <a:bodyPr/>
          <a:p>
            <a:pPr>
              <a:defRPr/>
            </a:pPr>
            <a:r>
              <a:t>Open pipeline by stage: full vs weighted</a:t>
            </a:r>
          </a:p>
        </rich>
      </tx>
    </title>
    <plotArea>
      <barChart>
        <barDir val="col"/>
        <grouping val="clustered"/>
        <ser>
          <idx val="0"/>
          <order val="0"/>
          <tx>
            <strRef>
              <f>'Departments'!C17</f>
            </strRef>
          </tx>
          <spPr>
            <a:solidFill>
              <a:srgbClr val="2A78D6"/>
            </a:solidFill>
            <a:ln w="12700">
              <a:solidFill>
                <a:srgbClr val="FFFFFF"/>
              </a:solidFill>
              <a:prstDash val="solid"/>
            </a:ln>
          </spPr>
          <cat>
            <numRef>
              <f>'Departments'!$A$18:$A$21</f>
            </numRef>
          </cat>
          <val>
            <numRef>
              <f>'Departments'!$C$18:$C$21</f>
            </numRef>
          </val>
        </ser>
        <ser>
          <idx val="1"/>
          <order val="1"/>
          <tx>
            <strRef>
              <f>'Departments'!D17</f>
            </strRef>
          </tx>
          <spPr>
            <a:solidFill>
              <a:srgbClr val="EB6834"/>
            </a:solidFill>
            <a:ln w="12700">
              <a:solidFill>
                <a:srgbClr val="FFFFFF"/>
              </a:solidFill>
              <a:prstDash val="solid"/>
            </a:ln>
          </spPr>
          <cat>
            <numRef>
              <f>'Departments'!$A$18:$A$21</f>
            </numRef>
          </cat>
          <val>
            <numRef>
              <f>'Departments'!$D$18:$D$21</f>
            </numRef>
          </val>
        </ser>
        <gapWidth val="6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numFmt formatCode="$#,##0" sourceLinked="0"/>
        <majorTickMark val="none"/>
        <minorTickMark val="none"/>
        <crossAx val="10"/>
      </valAx>
    </plotArea>
    <legend>
      <legendPos val="b"/>
    </legend>
    <plotVisOnly val="1"/>
    <dispBlanksAs val="gap"/>
  </chart>
</chartSpace>
</file>

<file path=xl/charts/chart5.xml><?xml version="1.0" encoding="utf-8"?>
<chartSpace xmlns:a="http://schemas.openxmlformats.org/drawingml/2006/main" xmlns="http://schemas.openxmlformats.org/drawingml/2006/chart">
  <style val="10"/>
  <chart>
    <title>
      <tx>
        <rich>
          <a:bodyPr/>
          <a:p>
            <a:pPr>
              <a:defRPr/>
            </a:pPr>
            <a:r>
              <a:t>Revenue at risk by rating</a:t>
            </a:r>
          </a:p>
        </rich>
      </tx>
    </title>
    <plotArea>
      <barChart>
        <barDir val="col"/>
        <grouping val="clustered"/>
        <ser>
          <idx val="0"/>
          <order val="0"/>
          <tx>
            <strRef>
              <f>'Dashboard'!D7</f>
            </strRef>
          </tx>
          <spPr>
            <a:solidFill>
              <a:srgbClr val="2A78D6"/>
            </a:solidFill>
            <a:ln w="12700">
              <a:solidFill>
                <a:srgbClr val="FFFFFF"/>
              </a:solidFill>
              <a:prstDash val="solid"/>
            </a:ln>
          </spPr>
          <dPt>
            <idx val="0"/>
            <spPr>
              <a:solidFill>
                <a:srgbClr val="D03B3B"/>
              </a:solidFill>
              <a:ln>
                <a:prstDash val="solid"/>
              </a:ln>
            </spPr>
          </dPt>
          <dPt>
            <idx val="1"/>
            <spPr>
              <a:solidFill>
                <a:srgbClr val="EC835A"/>
              </a:solidFill>
              <a:ln>
                <a:prstDash val="solid"/>
              </a:ln>
            </spPr>
          </dPt>
          <dPt>
            <idx val="2"/>
            <spPr>
              <a:solidFill>
                <a:srgbClr val="FAB219"/>
              </a:solidFill>
              <a:ln>
                <a:prstDash val="solid"/>
              </a:ln>
            </spPr>
          </dPt>
          <cat>
            <numRef>
              <f>'Dashboard'!$B$8:$B$10</f>
            </numRef>
          </cat>
          <val>
            <numRef>
              <f>'Dashboard'!$D$8:$D$10</f>
            </numRef>
          </val>
        </ser>
        <dLbls>
          <numFmt formatCode="$#,##0"/>
          <showLegendKey val="0"/>
          <showVal val="1"/>
          <showCatName val="0"/>
          <showSerName val="0"/>
        </dLbls>
        <gapWidth val="6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numFmt formatCode="$#,##0" sourceLinked="0"/>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14</row>
      <rowOff>0</rowOff>
    </from>
    <ext cx="12240000" cy="324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33</row>
      <rowOff>0</rowOff>
    </from>
    <ext cx="6120000" cy="3240000"/>
    <graphicFrame>
      <nvGraphicFramePr>
        <cNvPr id="2" name="Chart 2"/>
        <cNvGraphicFramePr/>
      </nvGraphicFramePr>
      <xfrm/>
      <a:graphic>
        <a:graphicData uri="http://schemas.openxmlformats.org/drawingml/2006/chart">
          <c:chart r:id="rId2"/>
        </a:graphicData>
      </a:graphic>
    </graphicFrame>
    <clientData/>
  </oneCellAnchor>
  <oneCellAnchor>
    <from>
      <col>10</col>
      <colOff>0</colOff>
      <row>33</row>
      <rowOff>0</rowOff>
    </from>
    <ext cx="6120000" cy="3240000"/>
    <graphicFrame>
      <nvGraphicFramePr>
        <cNvPr id="3" name="Chart 3"/>
        <cNvGraphicFramePr/>
      </nvGraphicFramePr>
      <xfrm/>
      <a:graphic>
        <a:graphicData uri="http://schemas.openxmlformats.org/drawingml/2006/chart">
          <c:chart r:id="rId3"/>
        </a:graphicData>
      </a:graphic>
    </graphicFrame>
    <clientData/>
  </oneCellAnchor>
  <oneCellAnchor>
    <from>
      <col>1</col>
      <colOff>0</colOff>
      <row>52</row>
      <rowOff>0</rowOff>
    </from>
    <ext cx="6120000" cy="3240000"/>
    <graphicFrame>
      <nvGraphicFramePr>
        <cNvPr id="4" name="Chart 4"/>
        <cNvGraphicFramePr/>
      </nvGraphicFramePr>
      <xfrm/>
      <a:graphic>
        <a:graphicData uri="http://schemas.openxmlformats.org/drawingml/2006/chart">
          <c:chart r:id="rId4"/>
        </a:graphicData>
      </a:graphic>
    </graphicFrame>
    <clientData/>
  </oneCellAnchor>
  <oneCellAnchor>
    <from>
      <col>10</col>
      <colOff>0</colOff>
      <row>52</row>
      <rowOff>0</rowOff>
    </from>
    <ext cx="6120000" cy="3240000"/>
    <graphicFrame>
      <nvGraphicFramePr>
        <cNvPr id="5" name="Chart 5"/>
        <cNvGraphicFramePr/>
      </nvGraphicFramePr>
      <xfrm/>
      <a:graphic>
        <a:graphicData uri="http://schemas.openxmlformats.org/drawingml/2006/chart">
          <c:chart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R13"/>
  <sheetViews>
    <sheetView showGridLines="0" workbookViewId="0">
      <pane ySplit="3" topLeftCell="A4" activePane="bottomLeft" state="frozen"/>
      <selection pane="bottomLeft" activeCell="A1" sqref="A1"/>
    </sheetView>
  </sheetViews>
  <sheetFormatPr baseColWidth="8" defaultRowHeight="15"/>
  <cols>
    <col width="2"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s>
  <sheetData>
    <row r="1" ht="30" customHeight="1">
      <c r="A1" s="1" t="inlineStr">
        <is>
          <t>Revenue Risk Profile - FY27</t>
        </is>
      </c>
      <c r="B1" s="2" t="n"/>
      <c r="C1" s="2" t="n"/>
      <c r="D1" s="2" t="n"/>
      <c r="E1" s="2" t="n"/>
      <c r="F1" s="2" t="n"/>
      <c r="G1" s="2" t="n"/>
      <c r="H1" s="2" t="n"/>
      <c r="I1" s="2" t="n"/>
      <c r="J1" s="2" t="n"/>
      <c r="K1" s="2" t="n"/>
      <c r="L1" s="2" t="n"/>
      <c r="M1" s="2" t="n"/>
      <c r="N1" s="2" t="n"/>
      <c r="O1" s="2" t="n"/>
      <c r="P1" s="2" t="n"/>
      <c r="Q1" s="2" t="n"/>
      <c r="R1" s="2" t="n"/>
    </row>
    <row r="2">
      <c r="A2" s="3">
        <f>"Corporate Technology Services - data as at "&amp;TEXT(set_AsAt,"d mmmm yyyy")&amp;". Actual revenue from Xero via the revenue tracker; won, lost and pipeline from Zoho."</f>
        <v/>
      </c>
      <c r="B2" s="2" t="n"/>
      <c r="C2" s="2" t="n"/>
      <c r="D2" s="2" t="n"/>
      <c r="E2" s="2" t="n"/>
      <c r="F2" s="2" t="n"/>
      <c r="G2" s="2" t="n"/>
      <c r="H2" s="2" t="n"/>
      <c r="I2" s="2" t="n"/>
      <c r="J2" s="2" t="n"/>
      <c r="K2" s="2" t="n"/>
      <c r="L2" s="2" t="n"/>
      <c r="M2" s="2" t="n"/>
      <c r="N2" s="2" t="n"/>
      <c r="O2" s="2" t="n"/>
      <c r="P2" s="2" t="n"/>
      <c r="Q2" s="2" t="n"/>
      <c r="R2" s="2" t="n"/>
    </row>
    <row r="4">
      <c r="B4" s="4" t="inlineStr">
        <is>
          <t>Invoiced FYTD</t>
        </is>
      </c>
      <c r="C4" s="5" t="n"/>
      <c r="E4" s="4" t="inlineStr">
        <is>
          <t>Won - still to invoice</t>
        </is>
      </c>
      <c r="F4" s="5" t="n"/>
      <c r="H4" s="4" t="inlineStr">
        <is>
          <t>Weighted open pipeline</t>
        </is>
      </c>
      <c r="I4" s="5" t="n"/>
      <c r="K4" s="4" t="inlineStr">
        <is>
          <t>Full-year forecast</t>
        </is>
      </c>
      <c r="L4" s="5" t="n"/>
      <c r="N4" s="4" t="inlineStr">
        <is>
          <t>Win rate (value)</t>
        </is>
      </c>
      <c r="O4" s="5" t="n"/>
      <c r="Q4" s="4" t="inlineStr">
        <is>
          <t>Largest client share</t>
        </is>
      </c>
      <c r="R4" s="5" t="n"/>
    </row>
    <row r="5" ht="30" customHeight="1">
      <c r="B5" s="6">
        <f>Departments!B13</f>
        <v/>
      </c>
      <c r="C5" s="5" t="n"/>
      <c r="E5" s="6">
        <f>Departments!G13</f>
        <v/>
      </c>
      <c r="F5" s="5" t="n"/>
      <c r="H5" s="6">
        <f>Departments!I13</f>
        <v/>
      </c>
      <c r="I5" s="5" t="n"/>
      <c r="K5" s="6">
        <f>Monthly!E17</f>
        <v/>
      </c>
      <c r="L5" s="5" t="n"/>
      <c r="N5" s="7">
        <f>Departments!F13</f>
        <v/>
      </c>
      <c r="O5" s="5" t="n"/>
      <c r="Q5" s="7">
        <f>'Client Concentration'!C32</f>
        <v/>
      </c>
      <c r="R5" s="5" t="n"/>
    </row>
    <row r="7">
      <c r="B7" s="8" t="inlineStr">
        <is>
          <t>RISK REGISTER SUMMARY</t>
        </is>
      </c>
      <c r="C7" s="9" t="inlineStr">
        <is>
          <t>Items</t>
        </is>
      </c>
      <c r="D7" s="9" t="inlineStr">
        <is>
          <t>Revenue at risk</t>
        </is>
      </c>
      <c r="G7" s="9" t="inlineStr">
        <is>
          <t>Rating</t>
        </is>
      </c>
      <c r="H7" s="9" t="inlineStr">
        <is>
          <t>Deal</t>
        </is>
      </c>
      <c r="N7" s="9" t="inlineStr">
        <is>
          <t>Revenue at risk</t>
        </is>
      </c>
      <c r="P7" s="9" t="inlineStr">
        <is>
          <t>Why</t>
        </is>
      </c>
    </row>
    <row r="8">
      <c r="B8" s="10" t="inlineStr">
        <is>
          <t>High</t>
        </is>
      </c>
      <c r="C8" s="11">
        <f>COUNTIFS(p_Reg,1,p_Rating,B8)</f>
        <v/>
      </c>
      <c r="D8" s="12">
        <f>SUMIFS(p_Risk,p_Reg,1,p_Rating,B8)</f>
        <v/>
      </c>
      <c r="E8" s="13" t="n"/>
      <c r="G8" s="14">
        <f>'Risk Register'!B5</f>
        <v/>
      </c>
      <c r="H8" s="15">
        <f>'Risk Register'!E5&amp;" - "&amp;'Risk Register'!F5</f>
        <v/>
      </c>
      <c r="N8" s="16">
        <f>'Risk Register'!L5</f>
        <v/>
      </c>
      <c r="P8" s="17">
        <f>'Risk Register'!N5</f>
        <v/>
      </c>
    </row>
    <row r="9">
      <c r="B9" s="18" t="inlineStr">
        <is>
          <t>Medium</t>
        </is>
      </c>
      <c r="C9" s="11">
        <f>COUNTIFS(p_Reg,1,p_Rating,B9)</f>
        <v/>
      </c>
      <c r="D9" s="12">
        <f>SUMIFS(p_Risk,p_Reg,1,p_Rating,B9)</f>
        <v/>
      </c>
      <c r="E9" s="13" t="n"/>
      <c r="G9" s="14">
        <f>'Risk Register'!B6</f>
        <v/>
      </c>
      <c r="H9" s="15">
        <f>'Risk Register'!E6&amp;" - "&amp;'Risk Register'!F6</f>
        <v/>
      </c>
      <c r="N9" s="16">
        <f>'Risk Register'!L6</f>
        <v/>
      </c>
      <c r="P9" s="17">
        <f>'Risk Register'!N6</f>
        <v/>
      </c>
    </row>
    <row r="10">
      <c r="B10" s="19" t="inlineStr">
        <is>
          <t>Low</t>
        </is>
      </c>
      <c r="C10" s="11">
        <f>COUNTIFS(p_Reg,1,p_Rating,B10)</f>
        <v/>
      </c>
      <c r="D10" s="12">
        <f>SUMIFS(p_Risk,p_Reg,1,p_Rating,B10)</f>
        <v/>
      </c>
      <c r="E10" s="13" t="n"/>
      <c r="G10" s="14">
        <f>'Risk Register'!B7</f>
        <v/>
      </c>
      <c r="H10" s="15">
        <f>'Risk Register'!E7&amp;" - "&amp;'Risk Register'!F7</f>
        <v/>
      </c>
      <c r="N10" s="16">
        <f>'Risk Register'!L7</f>
        <v/>
      </c>
      <c r="P10" s="17">
        <f>'Risk Register'!N7</f>
        <v/>
      </c>
    </row>
    <row r="11">
      <c r="G11" s="14">
        <f>'Risk Register'!B8</f>
        <v/>
      </c>
      <c r="H11" s="15">
        <f>'Risk Register'!E8&amp;" - "&amp;'Risk Register'!F8</f>
        <v/>
      </c>
      <c r="N11" s="16">
        <f>'Risk Register'!L8</f>
        <v/>
      </c>
      <c r="P11" s="17">
        <f>'Risk Register'!N8</f>
        <v/>
      </c>
    </row>
    <row r="12">
      <c r="G12" s="14">
        <f>'Risk Register'!B9</f>
        <v/>
      </c>
      <c r="H12" s="15">
        <f>'Risk Register'!E9&amp;" - "&amp;'Risk Register'!F9</f>
        <v/>
      </c>
      <c r="N12" s="16">
        <f>'Risk Register'!L9</f>
        <v/>
      </c>
      <c r="P12" s="17">
        <f>'Risk Register'!N9</f>
        <v/>
      </c>
    </row>
    <row r="13">
      <c r="B13" s="20" t="inlineStr">
        <is>
          <t>Weighted pipeline uses assumed stage probabilities. Forecast = invoiced + won still to invoice + weighted pipeline. See Risk Register for every item and Settings for thresholds.</t>
        </is>
      </c>
    </row>
  </sheetData>
  <mergeCells count="30">
    <mergeCell ref="D10:E10"/>
    <mergeCell ref="P8:R8"/>
    <mergeCell ref="N11:O11"/>
    <mergeCell ref="P11:R11"/>
    <mergeCell ref="E5:F5"/>
    <mergeCell ref="K5:L5"/>
    <mergeCell ref="H4:I4"/>
    <mergeCell ref="H11:M11"/>
    <mergeCell ref="E4:F4"/>
    <mergeCell ref="N12:O12"/>
    <mergeCell ref="Q5:R5"/>
    <mergeCell ref="N5:O5"/>
    <mergeCell ref="H12:M12"/>
    <mergeCell ref="P12:R12"/>
    <mergeCell ref="N8:O8"/>
    <mergeCell ref="Q4:R4"/>
    <mergeCell ref="N10:O10"/>
    <mergeCell ref="H8:M8"/>
    <mergeCell ref="D9:E9"/>
    <mergeCell ref="D8:E8"/>
    <mergeCell ref="N9:O9"/>
    <mergeCell ref="H10:M10"/>
    <mergeCell ref="P10:R10"/>
    <mergeCell ref="B5:C5"/>
    <mergeCell ref="H9:M9"/>
    <mergeCell ref="H5:I5"/>
    <mergeCell ref="P9:R9"/>
    <mergeCell ref="K4:L4"/>
    <mergeCell ref="B4:C4"/>
    <mergeCell ref="N4:O4"/>
  </mergeCells>
  <conditionalFormatting sqref="G8:G12">
    <cfRule type="expression" priority="1" dxfId="0">
      <formula>G8="High"</formula>
    </cfRule>
    <cfRule type="expression" priority="2" dxfId="1">
      <formula>G8="Medium"</formula>
    </cfRule>
    <cfRule type="expression" priority="3" dxfId="2">
      <formula>G8="Low"</formula>
    </cfRule>
    <cfRule type="expression" priority="4" dxfId="3">
      <formula>G8="OK"</formula>
    </cfRule>
  </conditionalFormatting>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C23"/>
  <sheetViews>
    <sheetView showGridLines="0" workbookViewId="0">
      <selection activeCell="A1" sqref="A1"/>
    </sheetView>
  </sheetViews>
  <sheetFormatPr baseColWidth="8" defaultRowHeight="15"/>
  <cols>
    <col width="3" customWidth="1" min="1" max="1"/>
    <col width="120" customWidth="1" min="2" max="2"/>
  </cols>
  <sheetData>
    <row r="1" ht="30" customHeight="1">
      <c r="A1" s="1" t="inlineStr">
        <is>
          <t>How this workbook works</t>
        </is>
      </c>
      <c r="B1" s="2" t="n"/>
      <c r="C1" s="2" t="n"/>
    </row>
    <row r="2">
      <c r="A2" s="3" t="inlineStr">
        <is>
          <t>Revenue Risk Profile - built from the FY27 Revenue Tracker.</t>
        </is>
      </c>
      <c r="B2" s="2" t="n"/>
      <c r="C2" s="2" t="n"/>
    </row>
    <row r="4">
      <c r="B4" s="21" t="inlineStr">
        <is>
          <t>WHAT IT SHOWS</t>
        </is>
      </c>
    </row>
    <row r="5">
      <c r="B5" s="22" t="inlineStr">
        <is>
          <t>Dashboard - the headline numbers, the risk summary, the five biggest risks and five charts.</t>
        </is>
      </c>
    </row>
    <row r="6">
      <c r="B6" s="22" t="inlineStr">
        <is>
          <t>Monthly - actual invoiced revenue by month, plus won work still to invoice and weighted pipeline by expected invoice month, and the full-year forecast.</t>
        </is>
      </c>
    </row>
    <row r="7">
      <c r="B7" s="22" t="inlineStr">
        <is>
          <t>Departments - invoiced, won, lost, win rate, still to invoice and pipeline by cost centre, and the open pipeline by stage.</t>
        </is>
      </c>
    </row>
    <row r="8">
      <c r="B8" s="22" t="inlineStr">
        <is>
          <t>Client Concentration - top 20 clients by invoiced revenue, their share and cumulative share, and three concentration measures with a High/Medium/Low rating.</t>
        </is>
      </c>
    </row>
    <row r="9">
      <c r="B9" s="22" t="inlineStr">
        <is>
          <t>Risk Register - every open deal and every won deal not fully invoiced, scored and sorted worst first, with the reason.</t>
        </is>
      </c>
    </row>
    <row r="10">
      <c r="B10" s="22" t="inlineStr">
        <is>
          <t>Settings - the thresholds behind every rating. Change them there.</t>
        </is>
      </c>
    </row>
    <row r="11">
      <c r="B11" s="22" t="inlineStr"/>
    </row>
    <row r="12">
      <c r="B12" s="21" t="inlineStr">
        <is>
          <t>REFRESH IT EACH MONTH  (two copy / paste-values)</t>
        </is>
      </c>
    </row>
    <row r="13">
      <c r="B13" s="22" t="inlineStr">
        <is>
          <t>1. In the revenue tracker, do the Zoho dump and make sure it has recalculated (open it in Excel and save).</t>
        </is>
      </c>
    </row>
    <row r="14">
      <c r="B14" s="22" t="inlineStr">
        <is>
          <t>2. Tracker Finance sheet: select A6:AB4506, Ctrl+C. Here: Data - Revenue, click A1, Paste Special - Values.</t>
        </is>
      </c>
    </row>
    <row r="15">
      <c r="B15" s="22" t="inlineStr">
        <is>
          <t>3. Tracker Work Won sheet: select A4:R604, Ctrl+C. Here: Data - Pipeline, click A1, Paste Special - Values.</t>
        </is>
      </c>
    </row>
    <row r="16">
      <c r="B16" s="22" t="inlineStr">
        <is>
          <t>4. Settings: change 'Data as at' to the date the tracker data is as at. Everything else, charts included, updates by itself.</t>
        </is>
      </c>
    </row>
    <row r="17">
      <c r="B17" s="22" t="inlineStr">
        <is>
          <t>Only paste into columns A:AB (Revenue) and A:R (Pipeline). The grey columns to the right are the workings.</t>
        </is>
      </c>
    </row>
    <row r="18">
      <c r="B18" s="22" t="inlineStr"/>
    </row>
    <row r="19">
      <c r="B19" s="21" t="inlineStr">
        <is>
          <t>WHAT TO KEEP IN MIND</t>
        </is>
      </c>
    </row>
    <row r="20">
      <c r="B20" s="22" t="inlineStr">
        <is>
          <t>Weighted pipeline uses the stage probabilities from the tracker (Lists AA:AB). They are assumptions, not Zoho data - the forecast is only as good as they are.</t>
        </is>
      </c>
    </row>
    <row r="21">
      <c r="B21" s="22" t="inlineStr">
        <is>
          <t>Client concentration groups clients as typed on the tracker (for example PwC, PWC and Pwc are one client). Two spellings of the same client (CBA vs Commonwealth Bank) count as two - tidy the Client column on the department sheets if that matters.</t>
        </is>
      </c>
    </row>
    <row r="22">
      <c r="B22" s="22" t="inlineStr">
        <is>
          <t>Won - still to invoice matches the job number (and its V job) against Finance. A won deal invoiced under a different job number shows as still to invoice.</t>
        </is>
      </c>
    </row>
    <row r="23">
      <c r="B23" s="22" t="inlineStr">
        <is>
          <t>Open deals dated outside this financial year are in the Risk Register but not in the monthly grid.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9"/>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s>
  <sheetData>
    <row r="1" ht="30" customHeight="1">
      <c r="A1" s="1" t="inlineStr">
        <is>
          <t>Monthly Revenue and Forecast</t>
        </is>
      </c>
      <c r="B1" s="2" t="n"/>
      <c r="C1" s="2" t="n"/>
      <c r="D1" s="2" t="n"/>
      <c r="E1" s="2" t="n"/>
      <c r="F1" s="2" t="n"/>
      <c r="G1" s="2" t="n"/>
      <c r="H1" s="2" t="n"/>
    </row>
    <row r="2">
      <c r="A2" s="3" t="inlineStr">
        <is>
          <t>Actual invoiced (Xero via Finance) plus won work still to invoice and the weighted open pipeline, by expected invoice month.</t>
        </is>
      </c>
      <c r="B2" s="2" t="n"/>
      <c r="C2" s="2" t="n"/>
      <c r="D2" s="2" t="n"/>
      <c r="E2" s="2" t="n"/>
      <c r="F2" s="2" t="n"/>
      <c r="G2" s="2" t="n"/>
      <c r="H2" s="2" t="n"/>
    </row>
    <row r="4" ht="32" customHeight="1">
      <c r="A4" s="23" t="inlineStr">
        <is>
          <t>Month</t>
        </is>
      </c>
      <c r="B4" s="23" t="inlineStr">
        <is>
          <t>Invoiced (actual)</t>
        </is>
      </c>
      <c r="C4" s="23" t="inlineStr">
        <is>
          <t>Won - still to invoice</t>
        </is>
      </c>
      <c r="D4" s="23" t="inlineStr">
        <is>
          <t>Open pipeline - weighted</t>
        </is>
      </c>
      <c r="E4" s="23" t="inlineStr">
        <is>
          <t>Forecast</t>
        </is>
      </c>
      <c r="F4" s="23" t="inlineStr">
        <is>
          <t>Open pipeline - full</t>
        </is>
      </c>
      <c r="G4" s="23" t="inlineStr">
        <is>
          <t>Cumulative actual</t>
        </is>
      </c>
      <c r="H4" s="23" t="inlineStr">
        <is>
          <t>Cumulative forecast</t>
        </is>
      </c>
    </row>
    <row r="5">
      <c r="A5" s="24">
        <f>EOMONTH(set_FYStart,0)</f>
        <v/>
      </c>
      <c r="B5" s="12">
        <f>SUMIFS(rev_Amt,rev_Cnt,1,rev_Month,$A5)</f>
        <v/>
      </c>
      <c r="C5" s="12">
        <f>SUMIFS(p_Still,p_Status,"Won",p_Month,$A5,p_Still,"&gt;0")</f>
        <v/>
      </c>
      <c r="D5" s="12">
        <f>SUMIFS(p_Weighted,p_Status,"Open",p_Month,$A5)</f>
        <v/>
      </c>
      <c r="E5" s="25">
        <f>B5+C5+D5</f>
        <v/>
      </c>
      <c r="F5" s="12">
        <f>SUMIFS(p_Value,p_Status,"Open",p_Month,$A5)</f>
        <v/>
      </c>
      <c r="G5" s="12">
        <f>IF($A5&lt;=EOMONTH(set_AsAt,0),SUM($B$5:B5),)</f>
        <v/>
      </c>
      <c r="H5" s="12">
        <f>SUM($E$5:E5)</f>
        <v/>
      </c>
    </row>
    <row r="6">
      <c r="A6" s="24">
        <f>EOMONTH(set_FYStart,1)</f>
        <v/>
      </c>
      <c r="B6" s="12">
        <f>SUMIFS(rev_Amt,rev_Cnt,1,rev_Month,$A6)</f>
        <v/>
      </c>
      <c r="C6" s="12">
        <f>SUMIFS(p_Still,p_Status,"Won",p_Month,$A6,p_Still,"&gt;0")</f>
        <v/>
      </c>
      <c r="D6" s="12">
        <f>SUMIFS(p_Weighted,p_Status,"Open",p_Month,$A6)</f>
        <v/>
      </c>
      <c r="E6" s="25">
        <f>B6+C6+D6</f>
        <v/>
      </c>
      <c r="F6" s="12">
        <f>SUMIFS(p_Value,p_Status,"Open",p_Month,$A6)</f>
        <v/>
      </c>
      <c r="G6" s="12">
        <f>IF($A6&lt;=EOMONTH(set_AsAt,0),SUM($B$5:B6),)</f>
        <v/>
      </c>
      <c r="H6" s="12">
        <f>SUM($E$5:E6)</f>
        <v/>
      </c>
    </row>
    <row r="7">
      <c r="A7" s="24">
        <f>EOMONTH(set_FYStart,2)</f>
        <v/>
      </c>
      <c r="B7" s="12">
        <f>SUMIFS(rev_Amt,rev_Cnt,1,rev_Month,$A7)</f>
        <v/>
      </c>
      <c r="C7" s="12">
        <f>SUMIFS(p_Still,p_Status,"Won",p_Month,$A7,p_Still,"&gt;0")</f>
        <v/>
      </c>
      <c r="D7" s="12">
        <f>SUMIFS(p_Weighted,p_Status,"Open",p_Month,$A7)</f>
        <v/>
      </c>
      <c r="E7" s="25">
        <f>B7+C7+D7</f>
        <v/>
      </c>
      <c r="F7" s="12">
        <f>SUMIFS(p_Value,p_Status,"Open",p_Month,$A7)</f>
        <v/>
      </c>
      <c r="G7" s="12">
        <f>IF($A7&lt;=EOMONTH(set_AsAt,0),SUM($B$5:B7),)</f>
        <v/>
      </c>
      <c r="H7" s="12">
        <f>SUM($E$5:E7)</f>
        <v/>
      </c>
    </row>
    <row r="8">
      <c r="A8" s="24">
        <f>EOMONTH(set_FYStart,3)</f>
        <v/>
      </c>
      <c r="B8" s="12">
        <f>SUMIFS(rev_Amt,rev_Cnt,1,rev_Month,$A8)</f>
        <v/>
      </c>
      <c r="C8" s="12">
        <f>SUMIFS(p_Still,p_Status,"Won",p_Month,$A8,p_Still,"&gt;0")</f>
        <v/>
      </c>
      <c r="D8" s="12">
        <f>SUMIFS(p_Weighted,p_Status,"Open",p_Month,$A8)</f>
        <v/>
      </c>
      <c r="E8" s="25">
        <f>B8+C8+D8</f>
        <v/>
      </c>
      <c r="F8" s="12">
        <f>SUMIFS(p_Value,p_Status,"Open",p_Month,$A8)</f>
        <v/>
      </c>
      <c r="G8" s="12">
        <f>IF($A8&lt;=EOMONTH(set_AsAt,0),SUM($B$5:B8),)</f>
        <v/>
      </c>
      <c r="H8" s="12">
        <f>SUM($E$5:E8)</f>
        <v/>
      </c>
    </row>
    <row r="9">
      <c r="A9" s="24">
        <f>EOMONTH(set_FYStart,4)</f>
        <v/>
      </c>
      <c r="B9" s="12">
        <f>SUMIFS(rev_Amt,rev_Cnt,1,rev_Month,$A9)</f>
        <v/>
      </c>
      <c r="C9" s="12">
        <f>SUMIFS(p_Still,p_Status,"Won",p_Month,$A9,p_Still,"&gt;0")</f>
        <v/>
      </c>
      <c r="D9" s="12">
        <f>SUMIFS(p_Weighted,p_Status,"Open",p_Month,$A9)</f>
        <v/>
      </c>
      <c r="E9" s="25">
        <f>B9+C9+D9</f>
        <v/>
      </c>
      <c r="F9" s="12">
        <f>SUMIFS(p_Value,p_Status,"Open",p_Month,$A9)</f>
        <v/>
      </c>
      <c r="G9" s="12">
        <f>IF($A9&lt;=EOMONTH(set_AsAt,0),SUM($B$5:B9),)</f>
        <v/>
      </c>
      <c r="H9" s="12">
        <f>SUM($E$5:E9)</f>
        <v/>
      </c>
    </row>
    <row r="10">
      <c r="A10" s="24">
        <f>EOMONTH(set_FYStart,5)</f>
        <v/>
      </c>
      <c r="B10" s="12">
        <f>SUMIFS(rev_Amt,rev_Cnt,1,rev_Month,$A10)</f>
        <v/>
      </c>
      <c r="C10" s="12">
        <f>SUMIFS(p_Still,p_Status,"Won",p_Month,$A10,p_Still,"&gt;0")</f>
        <v/>
      </c>
      <c r="D10" s="12">
        <f>SUMIFS(p_Weighted,p_Status,"Open",p_Month,$A10)</f>
        <v/>
      </c>
      <c r="E10" s="25">
        <f>B10+C10+D10</f>
        <v/>
      </c>
      <c r="F10" s="12">
        <f>SUMIFS(p_Value,p_Status,"Open",p_Month,$A10)</f>
        <v/>
      </c>
      <c r="G10" s="12">
        <f>IF($A10&lt;=EOMONTH(set_AsAt,0),SUM($B$5:B10),)</f>
        <v/>
      </c>
      <c r="H10" s="12">
        <f>SUM($E$5:E10)</f>
        <v/>
      </c>
    </row>
    <row r="11">
      <c r="A11" s="24">
        <f>EOMONTH(set_FYStart,6)</f>
        <v/>
      </c>
      <c r="B11" s="12">
        <f>SUMIFS(rev_Amt,rev_Cnt,1,rev_Month,$A11)</f>
        <v/>
      </c>
      <c r="C11" s="12">
        <f>SUMIFS(p_Still,p_Status,"Won",p_Month,$A11,p_Still,"&gt;0")</f>
        <v/>
      </c>
      <c r="D11" s="12">
        <f>SUMIFS(p_Weighted,p_Status,"Open",p_Month,$A11)</f>
        <v/>
      </c>
      <c r="E11" s="25">
        <f>B11+C11+D11</f>
        <v/>
      </c>
      <c r="F11" s="12">
        <f>SUMIFS(p_Value,p_Status,"Open",p_Month,$A11)</f>
        <v/>
      </c>
      <c r="G11" s="12">
        <f>IF($A11&lt;=EOMONTH(set_AsAt,0),SUM($B$5:B11),)</f>
        <v/>
      </c>
      <c r="H11" s="12">
        <f>SUM($E$5:E11)</f>
        <v/>
      </c>
    </row>
    <row r="12">
      <c r="A12" s="24">
        <f>EOMONTH(set_FYStart,7)</f>
        <v/>
      </c>
      <c r="B12" s="12">
        <f>SUMIFS(rev_Amt,rev_Cnt,1,rev_Month,$A12)</f>
        <v/>
      </c>
      <c r="C12" s="12">
        <f>SUMIFS(p_Still,p_Status,"Won",p_Month,$A12,p_Still,"&gt;0")</f>
        <v/>
      </c>
      <c r="D12" s="12">
        <f>SUMIFS(p_Weighted,p_Status,"Open",p_Month,$A12)</f>
        <v/>
      </c>
      <c r="E12" s="25">
        <f>B12+C12+D12</f>
        <v/>
      </c>
      <c r="F12" s="12">
        <f>SUMIFS(p_Value,p_Status,"Open",p_Month,$A12)</f>
        <v/>
      </c>
      <c r="G12" s="12">
        <f>IF($A12&lt;=EOMONTH(set_AsAt,0),SUM($B$5:B12),)</f>
        <v/>
      </c>
      <c r="H12" s="12">
        <f>SUM($E$5:E12)</f>
        <v/>
      </c>
    </row>
    <row r="13">
      <c r="A13" s="24">
        <f>EOMONTH(set_FYStart,8)</f>
        <v/>
      </c>
      <c r="B13" s="12">
        <f>SUMIFS(rev_Amt,rev_Cnt,1,rev_Month,$A13)</f>
        <v/>
      </c>
      <c r="C13" s="12">
        <f>SUMIFS(p_Still,p_Status,"Won",p_Month,$A13,p_Still,"&gt;0")</f>
        <v/>
      </c>
      <c r="D13" s="12">
        <f>SUMIFS(p_Weighted,p_Status,"Open",p_Month,$A13)</f>
        <v/>
      </c>
      <c r="E13" s="25">
        <f>B13+C13+D13</f>
        <v/>
      </c>
      <c r="F13" s="12">
        <f>SUMIFS(p_Value,p_Status,"Open",p_Month,$A13)</f>
        <v/>
      </c>
      <c r="G13" s="12">
        <f>IF($A13&lt;=EOMONTH(set_AsAt,0),SUM($B$5:B13),)</f>
        <v/>
      </c>
      <c r="H13" s="12">
        <f>SUM($E$5:E13)</f>
        <v/>
      </c>
    </row>
    <row r="14">
      <c r="A14" s="24">
        <f>EOMONTH(set_FYStart,9)</f>
        <v/>
      </c>
      <c r="B14" s="12">
        <f>SUMIFS(rev_Amt,rev_Cnt,1,rev_Month,$A14)</f>
        <v/>
      </c>
      <c r="C14" s="12">
        <f>SUMIFS(p_Still,p_Status,"Won",p_Month,$A14,p_Still,"&gt;0")</f>
        <v/>
      </c>
      <c r="D14" s="12">
        <f>SUMIFS(p_Weighted,p_Status,"Open",p_Month,$A14)</f>
        <v/>
      </c>
      <c r="E14" s="25">
        <f>B14+C14+D14</f>
        <v/>
      </c>
      <c r="F14" s="12">
        <f>SUMIFS(p_Value,p_Status,"Open",p_Month,$A14)</f>
        <v/>
      </c>
      <c r="G14" s="12">
        <f>IF($A14&lt;=EOMONTH(set_AsAt,0),SUM($B$5:B14),)</f>
        <v/>
      </c>
      <c r="H14" s="12">
        <f>SUM($E$5:E14)</f>
        <v/>
      </c>
    </row>
    <row r="15">
      <c r="A15" s="24">
        <f>EOMONTH(set_FYStart,10)</f>
        <v/>
      </c>
      <c r="B15" s="12">
        <f>SUMIFS(rev_Amt,rev_Cnt,1,rev_Month,$A15)</f>
        <v/>
      </c>
      <c r="C15" s="12">
        <f>SUMIFS(p_Still,p_Status,"Won",p_Month,$A15,p_Still,"&gt;0")</f>
        <v/>
      </c>
      <c r="D15" s="12">
        <f>SUMIFS(p_Weighted,p_Status,"Open",p_Month,$A15)</f>
        <v/>
      </c>
      <c r="E15" s="25">
        <f>B15+C15+D15</f>
        <v/>
      </c>
      <c r="F15" s="12">
        <f>SUMIFS(p_Value,p_Status,"Open",p_Month,$A15)</f>
        <v/>
      </c>
      <c r="G15" s="12">
        <f>IF($A15&lt;=EOMONTH(set_AsAt,0),SUM($B$5:B15),)</f>
        <v/>
      </c>
      <c r="H15" s="12">
        <f>SUM($E$5:E15)</f>
        <v/>
      </c>
    </row>
    <row r="16">
      <c r="A16" s="24">
        <f>EOMONTH(set_FYStart,11)</f>
        <v/>
      </c>
      <c r="B16" s="12">
        <f>SUMIFS(rev_Amt,rev_Cnt,1,rev_Month,$A16)</f>
        <v/>
      </c>
      <c r="C16" s="12">
        <f>SUMIFS(p_Still,p_Status,"Won",p_Month,$A16,p_Still,"&gt;0")</f>
        <v/>
      </c>
      <c r="D16" s="12">
        <f>SUMIFS(p_Weighted,p_Status,"Open",p_Month,$A16)</f>
        <v/>
      </c>
      <c r="E16" s="25">
        <f>B16+C16+D16</f>
        <v/>
      </c>
      <c r="F16" s="12">
        <f>SUMIFS(p_Value,p_Status,"Open",p_Month,$A16)</f>
        <v/>
      </c>
      <c r="G16" s="12">
        <f>IF($A16&lt;=EOMONTH(set_AsAt,0),SUM($B$5:B16),)</f>
        <v/>
      </c>
      <c r="H16" s="12">
        <f>SUM($E$5:E16)</f>
        <v/>
      </c>
    </row>
    <row r="17">
      <c r="A17" s="26" t="inlineStr">
        <is>
          <t>TOTAL</t>
        </is>
      </c>
      <c r="B17" s="27">
        <f>SUM(B5:B16)</f>
        <v/>
      </c>
      <c r="C17" s="27">
        <f>SUM(C5:C16)</f>
        <v/>
      </c>
      <c r="D17" s="27">
        <f>SUM(D5:D16)</f>
        <v/>
      </c>
      <c r="E17" s="27">
        <f>SUM(E5:E16)</f>
        <v/>
      </c>
      <c r="F17" s="27">
        <f>SUM(F5:F16)</f>
        <v/>
      </c>
    </row>
    <row r="19">
      <c r="A19" s="28" t="inlineStr">
        <is>
          <t>Won - still to invoice counts only positive balances. In months already gone it is billing to chase, not future revenue. Weighted = deal value x stage probability (tracker Lists AA:AB - assumptions). Open deals dated outside this FY are not in the grid.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2"/>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ht="30" customHeight="1">
      <c r="A1" s="1" t="inlineStr">
        <is>
          <t>By Cost Centre and Pipeline Stage</t>
        </is>
      </c>
      <c r="B1" s="2" t="n"/>
      <c r="C1" s="2" t="n"/>
      <c r="D1" s="2" t="n"/>
      <c r="E1" s="2" t="n"/>
      <c r="F1" s="2" t="n"/>
      <c r="G1" s="2" t="n"/>
      <c r="H1" s="2" t="n"/>
      <c r="I1" s="2" t="n"/>
      <c r="J1" s="2" t="n"/>
    </row>
    <row r="2">
      <c r="A2" s="3" t="inlineStr">
        <is>
          <t>Where the revenue comes from and where the pipeline sits.</t>
        </is>
      </c>
      <c r="B2" s="2" t="n"/>
      <c r="C2" s="2" t="n"/>
      <c r="D2" s="2" t="n"/>
      <c r="E2" s="2" t="n"/>
      <c r="F2" s="2" t="n"/>
      <c r="G2" s="2" t="n"/>
      <c r="H2" s="2" t="n"/>
      <c r="I2" s="2" t="n"/>
      <c r="J2" s="2" t="n"/>
    </row>
    <row r="4" ht="20" customHeight="1">
      <c r="A4" s="29" t="inlineStr">
        <is>
          <t>1.  BY COST CENTRE  -  financial year to date</t>
        </is>
      </c>
      <c r="B4" s="2" t="n"/>
      <c r="C4" s="2" t="n"/>
      <c r="D4" s="2" t="n"/>
      <c r="E4" s="2" t="n"/>
      <c r="F4" s="2" t="n"/>
      <c r="G4" s="2" t="n"/>
      <c r="H4" s="2" t="n"/>
      <c r="I4" s="2" t="n"/>
      <c r="J4" s="2" t="n"/>
    </row>
    <row r="5" ht="32" customHeight="1">
      <c r="A5" s="23" t="inlineStr">
        <is>
          <t>Cost Centre</t>
        </is>
      </c>
      <c r="B5" s="23" t="inlineStr">
        <is>
          <t>Invoiced FYTD</t>
        </is>
      </c>
      <c r="C5" s="23" t="inlineStr">
        <is>
          <t>Share</t>
        </is>
      </c>
      <c r="D5" s="23" t="inlineStr">
        <is>
          <t>Won (FY)</t>
        </is>
      </c>
      <c r="E5" s="23" t="inlineStr">
        <is>
          <t>Lost (FY)</t>
        </is>
      </c>
      <c r="F5" s="23" t="inlineStr">
        <is>
          <t>Win rate (value)</t>
        </is>
      </c>
      <c r="G5" s="23" t="inlineStr">
        <is>
          <t>Won - still to invoice</t>
        </is>
      </c>
      <c r="H5" s="23" t="inlineStr">
        <is>
          <t>Open pipeline</t>
        </is>
      </c>
      <c r="I5" s="23" t="inlineStr">
        <is>
          <t>Weighted pipeline</t>
        </is>
      </c>
      <c r="J5" s="23" t="inlineStr">
        <is>
          <t>Rest-of-year forecast</t>
        </is>
      </c>
    </row>
    <row r="6">
      <c r="A6" s="30" t="inlineStr">
        <is>
          <t>ONSITE</t>
        </is>
      </c>
      <c r="B6" s="12">
        <f>SUMIFS(rev_Amt,rev_FY,1,rev_CC,$A6)</f>
        <v/>
      </c>
      <c r="C6" s="31">
        <f>IFERROR(B6/$B$13,0)</f>
        <v/>
      </c>
      <c r="D6" s="12">
        <f>SUMIFS(p_Value,p_Status,"Won",p_CC,$A6)</f>
        <v/>
      </c>
      <c r="E6" s="12">
        <f>SUMIFS(p_Value,p_Status,"Lost",p_CC,$A6)</f>
        <v/>
      </c>
      <c r="F6" s="31">
        <f>IFERROR(D6/(D6+E6),"")</f>
        <v/>
      </c>
      <c r="G6" s="12">
        <f>SUMIFS(p_Still,p_Status,"Won",p_Still,"&gt;0",p_CC,$A6)</f>
        <v/>
      </c>
      <c r="H6" s="12">
        <f>SUMIFS(p_Value,p_Status,"Open",p_CC,$A6)</f>
        <v/>
      </c>
      <c r="I6" s="12">
        <f>SUMIFS(p_Weighted,p_Status,"Open",p_CC,$A6)</f>
        <v/>
      </c>
      <c r="J6" s="12">
        <f>G6+I6</f>
        <v/>
      </c>
    </row>
    <row r="7">
      <c r="A7" s="30" t="inlineStr">
        <is>
          <t>PRODUCTION</t>
        </is>
      </c>
      <c r="B7" s="12">
        <f>SUMIFS(rev_Amt,rev_FY,1,rev_CC,$A7)</f>
        <v/>
      </c>
      <c r="C7" s="31">
        <f>IFERROR(B7/$B$13,0)</f>
        <v/>
      </c>
      <c r="D7" s="12">
        <f>SUMIFS(p_Value,p_Status,"Won",p_CC,$A7)</f>
        <v/>
      </c>
      <c r="E7" s="12">
        <f>SUMIFS(p_Value,p_Status,"Lost",p_CC,$A7)</f>
        <v/>
      </c>
      <c r="F7" s="31">
        <f>IFERROR(D7/(D7+E7),"")</f>
        <v/>
      </c>
      <c r="G7" s="12">
        <f>SUMIFS(p_Still,p_Status,"Won",p_Still,"&gt;0",p_CC,$A7)</f>
        <v/>
      </c>
      <c r="H7" s="12">
        <f>SUMIFS(p_Value,p_Status,"Open",p_CC,$A7)</f>
        <v/>
      </c>
      <c r="I7" s="12">
        <f>SUMIFS(p_Weighted,p_Status,"Open",p_CC,$A7)</f>
        <v/>
      </c>
      <c r="J7" s="12">
        <f>G7+I7</f>
        <v/>
      </c>
    </row>
    <row r="8">
      <c r="A8" s="30" t="inlineStr">
        <is>
          <t>VIDEO</t>
        </is>
      </c>
      <c r="B8" s="12">
        <f>SUMIFS(rev_Amt,rev_FY,1,rev_CC,$A8)</f>
        <v/>
      </c>
      <c r="C8" s="31">
        <f>IFERROR(B8/$B$13,0)</f>
        <v/>
      </c>
      <c r="D8" s="12">
        <f>SUMIFS(p_Value,p_Status,"Won",p_CC,$A8)</f>
        <v/>
      </c>
      <c r="E8" s="12">
        <f>SUMIFS(p_Value,p_Status,"Lost",p_CC,$A8)</f>
        <v/>
      </c>
      <c r="F8" s="31">
        <f>IFERROR(D8/(D8+E8),"")</f>
        <v/>
      </c>
      <c r="G8" s="12">
        <f>SUMIFS(p_Still,p_Status,"Won",p_Still,"&gt;0",p_CC,$A8)</f>
        <v/>
      </c>
      <c r="H8" s="12">
        <f>SUMIFS(p_Value,p_Status,"Open",p_CC,$A8)</f>
        <v/>
      </c>
      <c r="I8" s="12">
        <f>SUMIFS(p_Weighted,p_Status,"Open",p_CC,$A8)</f>
        <v/>
      </c>
      <c r="J8" s="12">
        <f>G8+I8</f>
        <v/>
      </c>
    </row>
    <row r="9">
      <c r="A9" s="30" t="inlineStr">
        <is>
          <t>INTEGRATION</t>
        </is>
      </c>
      <c r="B9" s="12">
        <f>SUMIFS(rev_Amt,rev_FY,1,rev_CC,$A9)</f>
        <v/>
      </c>
      <c r="C9" s="31">
        <f>IFERROR(B9/$B$13,0)</f>
        <v/>
      </c>
      <c r="D9" s="12">
        <f>SUMIFS(p_Value,p_Status,"Won",p_CC,$A9)</f>
        <v/>
      </c>
      <c r="E9" s="12">
        <f>SUMIFS(p_Value,p_Status,"Lost",p_CC,$A9)</f>
        <v/>
      </c>
      <c r="F9" s="31">
        <f>IFERROR(D9/(D9+E9),"")</f>
        <v/>
      </c>
      <c r="G9" s="12">
        <f>SUMIFS(p_Still,p_Status,"Won",p_Still,"&gt;0",p_CC,$A9)</f>
        <v/>
      </c>
      <c r="H9" s="12">
        <f>SUMIFS(p_Value,p_Status,"Open",p_CC,$A9)</f>
        <v/>
      </c>
      <c r="I9" s="12">
        <f>SUMIFS(p_Weighted,p_Status,"Open",p_CC,$A9)</f>
        <v/>
      </c>
      <c r="J9" s="12">
        <f>G9+I9</f>
        <v/>
      </c>
    </row>
    <row r="10">
      <c r="A10" s="30" t="inlineStr">
        <is>
          <t>CONSULTING</t>
        </is>
      </c>
      <c r="B10" s="12">
        <f>SUMIFS(rev_Amt,rev_FY,1,rev_CC,$A10)</f>
        <v/>
      </c>
      <c r="C10" s="31">
        <f>IFERROR(B10/$B$13,0)</f>
        <v/>
      </c>
      <c r="D10" s="12">
        <f>SUMIFS(p_Value,p_Status,"Won",p_CC,$A10)</f>
        <v/>
      </c>
      <c r="E10" s="12">
        <f>SUMIFS(p_Value,p_Status,"Lost",p_CC,$A10)</f>
        <v/>
      </c>
      <c r="F10" s="31">
        <f>IFERROR(D10/(D10+E10),"")</f>
        <v/>
      </c>
      <c r="G10" s="12">
        <f>SUMIFS(p_Still,p_Status,"Won",p_Still,"&gt;0",p_CC,$A10)</f>
        <v/>
      </c>
      <c r="H10" s="12">
        <f>SUMIFS(p_Value,p_Status,"Open",p_CC,$A10)</f>
        <v/>
      </c>
      <c r="I10" s="12">
        <f>SUMIFS(p_Weighted,p_Status,"Open",p_CC,$A10)</f>
        <v/>
      </c>
      <c r="J10" s="12">
        <f>G10+I10</f>
        <v/>
      </c>
    </row>
    <row r="11">
      <c r="A11" s="30" t="inlineStr">
        <is>
          <t>CTS</t>
        </is>
      </c>
      <c r="B11" s="12">
        <f>SUMIFS(rev_Amt,rev_FY,1,rev_CC,$A11)</f>
        <v/>
      </c>
      <c r="C11" s="31">
        <f>IFERROR(B11/$B$13,0)</f>
        <v/>
      </c>
      <c r="D11" s="12">
        <f>SUMIFS(p_Value,p_Status,"Won",p_CC,$A11)</f>
        <v/>
      </c>
      <c r="E11" s="12">
        <f>SUMIFS(p_Value,p_Status,"Lost",p_CC,$A11)</f>
        <v/>
      </c>
      <c r="F11" s="31">
        <f>IFERROR(D11/(D11+E11),"")</f>
        <v/>
      </c>
      <c r="G11" s="12">
        <f>SUMIFS(p_Still,p_Status,"Won",p_Still,"&gt;0",p_CC,$A11)</f>
        <v/>
      </c>
      <c r="H11" s="12">
        <f>SUMIFS(p_Value,p_Status,"Open",p_CC,$A11)</f>
        <v/>
      </c>
      <c r="I11" s="12">
        <f>SUMIFS(p_Weighted,p_Status,"Open",p_CC,$A11)</f>
        <v/>
      </c>
      <c r="J11" s="12">
        <f>G11+I11</f>
        <v/>
      </c>
    </row>
    <row r="12">
      <c r="A12" s="30" t="inlineStr">
        <is>
          <t>Other / not set</t>
        </is>
      </c>
      <c r="B12" s="12">
        <f>SUMIFS(rev_Amt,rev_FY,1)-SUM(B6:B11)</f>
        <v/>
      </c>
      <c r="C12" s="31">
        <f>IFERROR(B12/$B$13,0)</f>
        <v/>
      </c>
      <c r="D12" s="12">
        <f>SUMIFS(p_Value,p_Status,"Won")-SUM(D6:D11)</f>
        <v/>
      </c>
      <c r="E12" s="12">
        <f>SUMIFS(p_Value,p_Status,"Lost")-SUM(E6:E11)</f>
        <v/>
      </c>
      <c r="F12" s="31">
        <f>IFERROR(D12/(D12+E12),"")</f>
        <v/>
      </c>
      <c r="G12" s="12">
        <f>SUMIFS(p_Still,p_Status,"Won",p_Still,"&gt;0")-SUM(G6:G11)</f>
        <v/>
      </c>
      <c r="H12" s="12">
        <f>SUMIFS(p_Value,p_Status,"Open")-SUM(H6:H11)</f>
        <v/>
      </c>
      <c r="I12" s="12">
        <f>SUMIFS(p_Weighted,p_Status,"Open")-SUM(I6:I11)</f>
        <v/>
      </c>
      <c r="J12" s="12">
        <f>G12+I12</f>
        <v/>
      </c>
    </row>
    <row r="13">
      <c r="A13" s="26" t="inlineStr">
        <is>
          <t>TOTAL</t>
        </is>
      </c>
      <c r="B13" s="27">
        <f>SUM(B6:B12)</f>
        <v/>
      </c>
      <c r="C13" s="32">
        <f>SUM(C6:C12)</f>
        <v/>
      </c>
      <c r="D13" s="27">
        <f>SUM(D6:D12)</f>
        <v/>
      </c>
      <c r="E13" s="27">
        <f>SUM(E6:E12)</f>
        <v/>
      </c>
      <c r="F13" s="32">
        <f>IFERROR(D13/(D13+E13),"")</f>
        <v/>
      </c>
      <c r="G13" s="27">
        <f>SUM(G6:G12)</f>
        <v/>
      </c>
      <c r="H13" s="27">
        <f>SUM(H6:H12)</f>
        <v/>
      </c>
      <c r="I13" s="27">
        <f>SUM(I6:I12)</f>
        <v/>
      </c>
      <c r="J13" s="27">
        <f>SUM(J6:J12)</f>
        <v/>
      </c>
    </row>
    <row r="16" ht="20" customHeight="1">
      <c r="A16" s="29" t="inlineStr">
        <is>
          <t>2.  OPEN PIPELINE BY STAGE</t>
        </is>
      </c>
      <c r="B16" s="2" t="n"/>
      <c r="C16" s="2" t="n"/>
      <c r="D16" s="2" t="n"/>
      <c r="E16" s="2" t="n"/>
      <c r="F16" s="2" t="n"/>
      <c r="G16" s="2" t="n"/>
      <c r="H16" s="2" t="n"/>
      <c r="I16" s="2" t="n"/>
      <c r="J16" s="2" t="n"/>
    </row>
    <row r="17">
      <c r="A17" s="23" t="inlineStr">
        <is>
          <t>Stage</t>
        </is>
      </c>
      <c r="B17" s="23" t="inlineStr">
        <is>
          <t>Deals</t>
        </is>
      </c>
      <c r="C17" s="23" t="inlineStr">
        <is>
          <t>Full value</t>
        </is>
      </c>
      <c r="D17" s="23" t="inlineStr">
        <is>
          <t>Weighted value</t>
        </is>
      </c>
      <c r="E17" s="23" t="inlineStr">
        <is>
          <t>Probability</t>
        </is>
      </c>
      <c r="F17" s="23" t="inlineStr">
        <is>
          <t>Share of pipeline</t>
        </is>
      </c>
    </row>
    <row r="18">
      <c r="A18" s="30" t="inlineStr">
        <is>
          <t>Building Value Proposition</t>
        </is>
      </c>
      <c r="B18" s="11">
        <f>COUNTIFS(p_Status,"Open",p_Stage,$A18)</f>
        <v/>
      </c>
      <c r="C18" s="12">
        <f>SUMIFS(p_Value,p_Status,"Open",p_Stage,$A18)</f>
        <v/>
      </c>
      <c r="D18" s="12">
        <f>SUMIFS(p_Weighted,p_Status,"Open",p_Stage,$A18)</f>
        <v/>
      </c>
      <c r="E18" s="33">
        <f>IFERROR(D18/C18,0)</f>
        <v/>
      </c>
      <c r="F18" s="31">
        <f>IFERROR(C18/$C$22,0)</f>
        <v/>
      </c>
    </row>
    <row r="19">
      <c r="A19" s="30" t="inlineStr">
        <is>
          <t>Proposal Sent</t>
        </is>
      </c>
      <c r="B19" s="11">
        <f>COUNTIFS(p_Status,"Open",p_Stage,$A19)</f>
        <v/>
      </c>
      <c r="C19" s="12">
        <f>SUMIFS(p_Value,p_Status,"Open",p_Stage,$A19)</f>
        <v/>
      </c>
      <c r="D19" s="12">
        <f>SUMIFS(p_Weighted,p_Status,"Open",p_Stage,$A19)</f>
        <v/>
      </c>
      <c r="E19" s="33">
        <f>IFERROR(D19/C19,0)</f>
        <v/>
      </c>
      <c r="F19" s="31">
        <f>IFERROR(C19/$C$22,0)</f>
        <v/>
      </c>
    </row>
    <row r="20">
      <c r="A20" s="30" t="inlineStr">
        <is>
          <t>Negotiation/Review</t>
        </is>
      </c>
      <c r="B20" s="11">
        <f>COUNTIFS(p_Status,"Open",p_Stage,$A20)</f>
        <v/>
      </c>
      <c r="C20" s="12">
        <f>SUMIFS(p_Value,p_Status,"Open",p_Stage,$A20)</f>
        <v/>
      </c>
      <c r="D20" s="12">
        <f>SUMIFS(p_Weighted,p_Status,"Open",p_Stage,$A20)</f>
        <v/>
      </c>
      <c r="E20" s="33">
        <f>IFERROR(D20/C20,0)</f>
        <v/>
      </c>
      <c r="F20" s="31">
        <f>IFERROR(C20/$C$22,0)</f>
        <v/>
      </c>
    </row>
    <row r="21">
      <c r="A21" s="30" t="inlineStr">
        <is>
          <t>Verbal Approval</t>
        </is>
      </c>
      <c r="B21" s="11">
        <f>COUNTIFS(p_Status,"Open",p_Stage,$A21)</f>
        <v/>
      </c>
      <c r="C21" s="12">
        <f>SUMIFS(p_Value,p_Status,"Open",p_Stage,$A21)</f>
        <v/>
      </c>
      <c r="D21" s="12">
        <f>SUMIFS(p_Weighted,p_Status,"Open",p_Stage,$A21)</f>
        <v/>
      </c>
      <c r="E21" s="33">
        <f>IFERROR(D21/C21,0)</f>
        <v/>
      </c>
      <c r="F21" s="31">
        <f>IFERROR(C21/$C$22,0)</f>
        <v/>
      </c>
    </row>
    <row r="22">
      <c r="A22" s="26" t="inlineStr">
        <is>
          <t>TOTAL OPEN</t>
        </is>
      </c>
      <c r="B22" s="34">
        <f>SUM(B18:B21)</f>
        <v/>
      </c>
      <c r="C22" s="27">
        <f>SUM(C18:C21)</f>
        <v/>
      </c>
      <c r="D22" s="27">
        <f>SUM(D18:D21)</f>
        <v/>
      </c>
      <c r="E22" s="35">
        <f>IFERROR(D22/C22,0)</f>
        <v/>
      </c>
      <c r="F22" s="32">
        <f>SUM(F18:F21)</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305"/>
  <sheetViews>
    <sheetView showGridLines="0" workbookViewId="0">
      <selection activeCell="A1" sqref="A1"/>
    </sheetView>
  </sheetViews>
  <sheetFormatPr baseColWidth="8" defaultRowHeight="15"/>
  <cols>
    <col width="7" customWidth="1" min="1" max="1"/>
    <col width="42" customWidth="1" min="2" max="2"/>
    <col width="15" customWidth="1" min="3" max="3"/>
    <col width="15" customWidth="1" min="4" max="4"/>
    <col width="15" customWidth="1" min="5" max="5"/>
    <col width="15" customWidth="1" min="6" max="6"/>
    <col width="30" customWidth="1" min="12" max="12"/>
    <col width="14" customWidth="1" min="13" max="13"/>
    <col width="14" customWidth="1" min="14" max="14"/>
    <col width="14" customWidth="1" min="15" max="15"/>
    <col width="14" customWidth="1" min="16" max="16"/>
  </cols>
  <sheetData>
    <row r="1" ht="30" customHeight="1">
      <c r="A1" s="1" t="inlineStr">
        <is>
          <t>Client Concentration</t>
        </is>
      </c>
      <c r="B1" s="2" t="n"/>
      <c r="C1" s="2" t="n"/>
      <c r="D1" s="2" t="n"/>
      <c r="E1" s="2" t="n"/>
      <c r="F1" s="2" t="n"/>
      <c r="G1" s="2" t="n"/>
      <c r="H1" s="2" t="n"/>
      <c r="I1" s="2" t="n"/>
    </row>
    <row r="2">
      <c r="A2" s="3" t="inlineStr">
        <is>
          <t>How dependent FYTD invoiced revenue is on a few clients. Client names are grouped as typed on the tracker (upper case, trimmed).</t>
        </is>
      </c>
      <c r="B2" s="2" t="n"/>
      <c r="C2" s="2" t="n"/>
      <c r="D2" s="2" t="n"/>
      <c r="E2" s="2" t="n"/>
      <c r="F2" s="2" t="n"/>
      <c r="G2" s="2" t="n"/>
      <c r="H2" s="2" t="n"/>
      <c r="I2" s="2" t="n"/>
    </row>
    <row r="4" ht="20" customHeight="1">
      <c r="A4" s="29" t="inlineStr">
        <is>
          <t>1.  TOP CLIENTS  -  invoiced financial year to date</t>
        </is>
      </c>
      <c r="B4" s="2" t="n"/>
      <c r="C4" s="2" t="n"/>
      <c r="D4" s="2" t="n"/>
      <c r="E4" s="2" t="n"/>
      <c r="F4" s="2" t="n"/>
      <c r="G4" s="2" t="n"/>
      <c r="H4" s="2" t="n"/>
      <c r="I4" s="2" t="n"/>
    </row>
    <row r="5">
      <c r="A5" s="23" t="inlineStr">
        <is>
          <t>Rank</t>
        </is>
      </c>
      <c r="B5" s="23" t="inlineStr">
        <is>
          <t>Client</t>
        </is>
      </c>
      <c r="C5" s="23" t="inlineStr">
        <is>
          <t>Invoiced FYTD</t>
        </is>
      </c>
      <c r="D5" s="23" t="inlineStr">
        <is>
          <t>Share</t>
        </is>
      </c>
      <c r="E5" s="23" t="inlineStr">
        <is>
          <t>Cumulative share</t>
        </is>
      </c>
      <c r="F5" s="23" t="inlineStr">
        <is>
          <t>Invoices</t>
        </is>
      </c>
      <c r="L5" s="36" t="inlineStr">
        <is>
          <t>Client (all)</t>
        </is>
      </c>
      <c r="M5" s="36" t="inlineStr">
        <is>
          <t>No.</t>
        </is>
      </c>
      <c r="N5" s="36" t="inlineStr">
        <is>
          <t>Sort key</t>
        </is>
      </c>
      <c r="O5" s="36" t="inlineStr">
        <is>
          <t>Share</t>
        </is>
      </c>
      <c r="P5" s="36" t="inlineStr">
        <is>
          <t>Share squared</t>
        </is>
      </c>
    </row>
    <row r="6">
      <c r="A6" s="37" t="n">
        <v>1</v>
      </c>
      <c r="B6" s="38">
        <f>IFERROR(INDEX($L$6:$L$305,MATCH(LARGE($N$6:$N$305,1),$N$6:$N$305,0)),"")</f>
        <v/>
      </c>
      <c r="C6" s="12">
        <f>IF(B6="","",SUMIFS(rev_Amt,rev_FY,1,rev_Client,B6))</f>
        <v/>
      </c>
      <c r="D6" s="31">
        <f>IF(B6="","",IFERROR(C6/$C$28,0))</f>
        <v/>
      </c>
      <c r="E6" s="31">
        <f>IF(B6="","",SUM($D$6:D6))</f>
        <v/>
      </c>
      <c r="F6" s="11">
        <f>IF(B6="","",COUNTIFS(rev_FY,1,rev_Client,B6))</f>
        <v/>
      </c>
      <c r="L6" s="9">
        <f>IFERROR(INDEX(rev_Client,MATCH(1,rev_New,0)),"")</f>
        <v/>
      </c>
      <c r="M6" s="9">
        <f>IF(L6="","",1)</f>
        <v/>
      </c>
      <c r="N6" s="9">
        <f>IF(L6="","",SUMIFS(rev_Amt,rev_FY,1,rev_Client,L6)+1/1E+6)</f>
        <v/>
      </c>
      <c r="O6" s="39">
        <f>IF(L6="","",IFERROR(SUMIFS(rev_Amt,rev_FY,1,rev_Client,L6)/$C$28,0))</f>
        <v/>
      </c>
      <c r="P6" s="9">
        <f>IF(O6="",0,O6^2)</f>
        <v/>
      </c>
    </row>
    <row r="7">
      <c r="A7" s="37" t="n">
        <v>2</v>
      </c>
      <c r="B7" s="38">
        <f>IFERROR(INDEX($L$6:$L$305,MATCH(LARGE($N$6:$N$305,2),$N$6:$N$305,0)),"")</f>
        <v/>
      </c>
      <c r="C7" s="12">
        <f>IF(B7="","",SUMIFS(rev_Amt,rev_FY,1,rev_Client,B7))</f>
        <v/>
      </c>
      <c r="D7" s="31">
        <f>IF(B7="","",IFERROR(C7/$C$28,0))</f>
        <v/>
      </c>
      <c r="E7" s="31">
        <f>IF(B7="","",SUM($D$6:D7))</f>
        <v/>
      </c>
      <c r="F7" s="11">
        <f>IF(B7="","",COUNTIFS(rev_FY,1,rev_Client,B7))</f>
        <v/>
      </c>
      <c r="L7" s="9">
        <f>IFERROR(INDEX(rev_Client,MATCH(2,rev_New,0)),"")</f>
        <v/>
      </c>
      <c r="M7" s="9">
        <f>IF(L7="","",2)</f>
        <v/>
      </c>
      <c r="N7" s="9">
        <f>IF(L7="","",SUMIFS(rev_Amt,rev_FY,1,rev_Client,L7)+2/1E+6)</f>
        <v/>
      </c>
      <c r="O7" s="39">
        <f>IF(L7="","",IFERROR(SUMIFS(rev_Amt,rev_FY,1,rev_Client,L7)/$C$28,0))</f>
        <v/>
      </c>
      <c r="P7" s="9">
        <f>IF(O7="",0,O7^2)</f>
        <v/>
      </c>
    </row>
    <row r="8">
      <c r="A8" s="37" t="n">
        <v>3</v>
      </c>
      <c r="B8" s="38">
        <f>IFERROR(INDEX($L$6:$L$305,MATCH(LARGE($N$6:$N$305,3),$N$6:$N$305,0)),"")</f>
        <v/>
      </c>
      <c r="C8" s="12">
        <f>IF(B8="","",SUMIFS(rev_Amt,rev_FY,1,rev_Client,B8))</f>
        <v/>
      </c>
      <c r="D8" s="31">
        <f>IF(B8="","",IFERROR(C8/$C$28,0))</f>
        <v/>
      </c>
      <c r="E8" s="31">
        <f>IF(B8="","",SUM($D$6:D8))</f>
        <v/>
      </c>
      <c r="F8" s="11">
        <f>IF(B8="","",COUNTIFS(rev_FY,1,rev_Client,B8))</f>
        <v/>
      </c>
      <c r="L8" s="9">
        <f>IFERROR(INDEX(rev_Client,MATCH(3,rev_New,0)),"")</f>
        <v/>
      </c>
      <c r="M8" s="9">
        <f>IF(L8="","",3)</f>
        <v/>
      </c>
      <c r="N8" s="9">
        <f>IF(L8="","",SUMIFS(rev_Amt,rev_FY,1,rev_Client,L8)+3/1E+6)</f>
        <v/>
      </c>
      <c r="O8" s="39">
        <f>IF(L8="","",IFERROR(SUMIFS(rev_Amt,rev_FY,1,rev_Client,L8)/$C$28,0))</f>
        <v/>
      </c>
      <c r="P8" s="9">
        <f>IF(O8="",0,O8^2)</f>
        <v/>
      </c>
    </row>
    <row r="9">
      <c r="A9" s="37" t="n">
        <v>4</v>
      </c>
      <c r="B9" s="38">
        <f>IFERROR(INDEX($L$6:$L$305,MATCH(LARGE($N$6:$N$305,4),$N$6:$N$305,0)),"")</f>
        <v/>
      </c>
      <c r="C9" s="12">
        <f>IF(B9="","",SUMIFS(rev_Amt,rev_FY,1,rev_Client,B9))</f>
        <v/>
      </c>
      <c r="D9" s="31">
        <f>IF(B9="","",IFERROR(C9/$C$28,0))</f>
        <v/>
      </c>
      <c r="E9" s="31">
        <f>IF(B9="","",SUM($D$6:D9))</f>
        <v/>
      </c>
      <c r="F9" s="11">
        <f>IF(B9="","",COUNTIFS(rev_FY,1,rev_Client,B9))</f>
        <v/>
      </c>
      <c r="L9" s="9">
        <f>IFERROR(INDEX(rev_Client,MATCH(4,rev_New,0)),"")</f>
        <v/>
      </c>
      <c r="M9" s="9">
        <f>IF(L9="","",4)</f>
        <v/>
      </c>
      <c r="N9" s="9">
        <f>IF(L9="","",SUMIFS(rev_Amt,rev_FY,1,rev_Client,L9)+4/1E+6)</f>
        <v/>
      </c>
      <c r="O9" s="39">
        <f>IF(L9="","",IFERROR(SUMIFS(rev_Amt,rev_FY,1,rev_Client,L9)/$C$28,0))</f>
        <v/>
      </c>
      <c r="P9" s="9">
        <f>IF(O9="",0,O9^2)</f>
        <v/>
      </c>
    </row>
    <row r="10">
      <c r="A10" s="37" t="n">
        <v>5</v>
      </c>
      <c r="B10" s="38">
        <f>IFERROR(INDEX($L$6:$L$305,MATCH(LARGE($N$6:$N$305,5),$N$6:$N$305,0)),"")</f>
        <v/>
      </c>
      <c r="C10" s="12">
        <f>IF(B10="","",SUMIFS(rev_Amt,rev_FY,1,rev_Client,B10))</f>
        <v/>
      </c>
      <c r="D10" s="31">
        <f>IF(B10="","",IFERROR(C10/$C$28,0))</f>
        <v/>
      </c>
      <c r="E10" s="31">
        <f>IF(B10="","",SUM($D$6:D10))</f>
        <v/>
      </c>
      <c r="F10" s="11">
        <f>IF(B10="","",COUNTIFS(rev_FY,1,rev_Client,B10))</f>
        <v/>
      </c>
      <c r="L10" s="9">
        <f>IFERROR(INDEX(rev_Client,MATCH(5,rev_New,0)),"")</f>
        <v/>
      </c>
      <c r="M10" s="9">
        <f>IF(L10="","",5)</f>
        <v/>
      </c>
      <c r="N10" s="9">
        <f>IF(L10="","",SUMIFS(rev_Amt,rev_FY,1,rev_Client,L10)+5/1E+6)</f>
        <v/>
      </c>
      <c r="O10" s="39">
        <f>IF(L10="","",IFERROR(SUMIFS(rev_Amt,rev_FY,1,rev_Client,L10)/$C$28,0))</f>
        <v/>
      </c>
      <c r="P10" s="9">
        <f>IF(O10="",0,O10^2)</f>
        <v/>
      </c>
    </row>
    <row r="11">
      <c r="A11" s="37" t="n">
        <v>6</v>
      </c>
      <c r="B11" s="38">
        <f>IFERROR(INDEX($L$6:$L$305,MATCH(LARGE($N$6:$N$305,6),$N$6:$N$305,0)),"")</f>
        <v/>
      </c>
      <c r="C11" s="12">
        <f>IF(B11="","",SUMIFS(rev_Amt,rev_FY,1,rev_Client,B11))</f>
        <v/>
      </c>
      <c r="D11" s="31">
        <f>IF(B11="","",IFERROR(C11/$C$28,0))</f>
        <v/>
      </c>
      <c r="E11" s="31">
        <f>IF(B11="","",SUM($D$6:D11))</f>
        <v/>
      </c>
      <c r="F11" s="11">
        <f>IF(B11="","",COUNTIFS(rev_FY,1,rev_Client,B11))</f>
        <v/>
      </c>
      <c r="L11" s="9">
        <f>IFERROR(INDEX(rev_Client,MATCH(6,rev_New,0)),"")</f>
        <v/>
      </c>
      <c r="M11" s="9">
        <f>IF(L11="","",6)</f>
        <v/>
      </c>
      <c r="N11" s="9">
        <f>IF(L11="","",SUMIFS(rev_Amt,rev_FY,1,rev_Client,L11)+6/1E+6)</f>
        <v/>
      </c>
      <c r="O11" s="39">
        <f>IF(L11="","",IFERROR(SUMIFS(rev_Amt,rev_FY,1,rev_Client,L11)/$C$28,0))</f>
        <v/>
      </c>
      <c r="P11" s="9">
        <f>IF(O11="",0,O11^2)</f>
        <v/>
      </c>
    </row>
    <row r="12">
      <c r="A12" s="37" t="n">
        <v>7</v>
      </c>
      <c r="B12" s="38">
        <f>IFERROR(INDEX($L$6:$L$305,MATCH(LARGE($N$6:$N$305,7),$N$6:$N$305,0)),"")</f>
        <v/>
      </c>
      <c r="C12" s="12">
        <f>IF(B12="","",SUMIFS(rev_Amt,rev_FY,1,rev_Client,B12))</f>
        <v/>
      </c>
      <c r="D12" s="31">
        <f>IF(B12="","",IFERROR(C12/$C$28,0))</f>
        <v/>
      </c>
      <c r="E12" s="31">
        <f>IF(B12="","",SUM($D$6:D12))</f>
        <v/>
      </c>
      <c r="F12" s="11">
        <f>IF(B12="","",COUNTIFS(rev_FY,1,rev_Client,B12))</f>
        <v/>
      </c>
      <c r="L12" s="9">
        <f>IFERROR(INDEX(rev_Client,MATCH(7,rev_New,0)),"")</f>
        <v/>
      </c>
      <c r="M12" s="9">
        <f>IF(L12="","",7)</f>
        <v/>
      </c>
      <c r="N12" s="9">
        <f>IF(L12="","",SUMIFS(rev_Amt,rev_FY,1,rev_Client,L12)+7/1E+6)</f>
        <v/>
      </c>
      <c r="O12" s="39">
        <f>IF(L12="","",IFERROR(SUMIFS(rev_Amt,rev_FY,1,rev_Client,L12)/$C$28,0))</f>
        <v/>
      </c>
      <c r="P12" s="9">
        <f>IF(O12="",0,O12^2)</f>
        <v/>
      </c>
    </row>
    <row r="13">
      <c r="A13" s="37" t="n">
        <v>8</v>
      </c>
      <c r="B13" s="38">
        <f>IFERROR(INDEX($L$6:$L$305,MATCH(LARGE($N$6:$N$305,8),$N$6:$N$305,0)),"")</f>
        <v/>
      </c>
      <c r="C13" s="12">
        <f>IF(B13="","",SUMIFS(rev_Amt,rev_FY,1,rev_Client,B13))</f>
        <v/>
      </c>
      <c r="D13" s="31">
        <f>IF(B13="","",IFERROR(C13/$C$28,0))</f>
        <v/>
      </c>
      <c r="E13" s="31">
        <f>IF(B13="","",SUM($D$6:D13))</f>
        <v/>
      </c>
      <c r="F13" s="11">
        <f>IF(B13="","",COUNTIFS(rev_FY,1,rev_Client,B13))</f>
        <v/>
      </c>
      <c r="L13" s="9">
        <f>IFERROR(INDEX(rev_Client,MATCH(8,rev_New,0)),"")</f>
        <v/>
      </c>
      <c r="M13" s="9">
        <f>IF(L13="","",8)</f>
        <v/>
      </c>
      <c r="N13" s="9">
        <f>IF(L13="","",SUMIFS(rev_Amt,rev_FY,1,rev_Client,L13)+8/1E+6)</f>
        <v/>
      </c>
      <c r="O13" s="39">
        <f>IF(L13="","",IFERROR(SUMIFS(rev_Amt,rev_FY,1,rev_Client,L13)/$C$28,0))</f>
        <v/>
      </c>
      <c r="P13" s="9">
        <f>IF(O13="",0,O13^2)</f>
        <v/>
      </c>
    </row>
    <row r="14">
      <c r="A14" s="37" t="n">
        <v>9</v>
      </c>
      <c r="B14" s="38">
        <f>IFERROR(INDEX($L$6:$L$305,MATCH(LARGE($N$6:$N$305,9),$N$6:$N$305,0)),"")</f>
        <v/>
      </c>
      <c r="C14" s="12">
        <f>IF(B14="","",SUMIFS(rev_Amt,rev_FY,1,rev_Client,B14))</f>
        <v/>
      </c>
      <c r="D14" s="31">
        <f>IF(B14="","",IFERROR(C14/$C$28,0))</f>
        <v/>
      </c>
      <c r="E14" s="31">
        <f>IF(B14="","",SUM($D$6:D14))</f>
        <v/>
      </c>
      <c r="F14" s="11">
        <f>IF(B14="","",COUNTIFS(rev_FY,1,rev_Client,B14))</f>
        <v/>
      </c>
      <c r="L14" s="9">
        <f>IFERROR(INDEX(rev_Client,MATCH(9,rev_New,0)),"")</f>
        <v/>
      </c>
      <c r="M14" s="9">
        <f>IF(L14="","",9)</f>
        <v/>
      </c>
      <c r="N14" s="9">
        <f>IF(L14="","",SUMIFS(rev_Amt,rev_FY,1,rev_Client,L14)+9/1E+6)</f>
        <v/>
      </c>
      <c r="O14" s="39">
        <f>IF(L14="","",IFERROR(SUMIFS(rev_Amt,rev_FY,1,rev_Client,L14)/$C$28,0))</f>
        <v/>
      </c>
      <c r="P14" s="9">
        <f>IF(O14="",0,O14^2)</f>
        <v/>
      </c>
    </row>
    <row r="15">
      <c r="A15" s="37" t="n">
        <v>10</v>
      </c>
      <c r="B15" s="38">
        <f>IFERROR(INDEX($L$6:$L$305,MATCH(LARGE($N$6:$N$305,10),$N$6:$N$305,0)),"")</f>
        <v/>
      </c>
      <c r="C15" s="12">
        <f>IF(B15="","",SUMIFS(rev_Amt,rev_FY,1,rev_Client,B15))</f>
        <v/>
      </c>
      <c r="D15" s="31">
        <f>IF(B15="","",IFERROR(C15/$C$28,0))</f>
        <v/>
      </c>
      <c r="E15" s="31">
        <f>IF(B15="","",SUM($D$6:D15))</f>
        <v/>
      </c>
      <c r="F15" s="11">
        <f>IF(B15="","",COUNTIFS(rev_FY,1,rev_Client,B15))</f>
        <v/>
      </c>
      <c r="L15" s="9">
        <f>IFERROR(INDEX(rev_Client,MATCH(10,rev_New,0)),"")</f>
        <v/>
      </c>
      <c r="M15" s="9">
        <f>IF(L15="","",10)</f>
        <v/>
      </c>
      <c r="N15" s="9">
        <f>IF(L15="","",SUMIFS(rev_Amt,rev_FY,1,rev_Client,L15)+10/1E+6)</f>
        <v/>
      </c>
      <c r="O15" s="39">
        <f>IF(L15="","",IFERROR(SUMIFS(rev_Amt,rev_FY,1,rev_Client,L15)/$C$28,0))</f>
        <v/>
      </c>
      <c r="P15" s="9">
        <f>IF(O15="",0,O15^2)</f>
        <v/>
      </c>
    </row>
    <row r="16">
      <c r="A16" s="37" t="n">
        <v>11</v>
      </c>
      <c r="B16" s="38">
        <f>IFERROR(INDEX($L$6:$L$305,MATCH(LARGE($N$6:$N$305,11),$N$6:$N$305,0)),"")</f>
        <v/>
      </c>
      <c r="C16" s="12">
        <f>IF(B16="","",SUMIFS(rev_Amt,rev_FY,1,rev_Client,B16))</f>
        <v/>
      </c>
      <c r="D16" s="31">
        <f>IF(B16="","",IFERROR(C16/$C$28,0))</f>
        <v/>
      </c>
      <c r="E16" s="31">
        <f>IF(B16="","",SUM($D$6:D16))</f>
        <v/>
      </c>
      <c r="F16" s="11">
        <f>IF(B16="","",COUNTIFS(rev_FY,1,rev_Client,B16))</f>
        <v/>
      </c>
      <c r="L16" s="9">
        <f>IFERROR(INDEX(rev_Client,MATCH(11,rev_New,0)),"")</f>
        <v/>
      </c>
      <c r="M16" s="9">
        <f>IF(L16="","",11)</f>
        <v/>
      </c>
      <c r="N16" s="9">
        <f>IF(L16="","",SUMIFS(rev_Amt,rev_FY,1,rev_Client,L16)+11/1E+6)</f>
        <v/>
      </c>
      <c r="O16" s="39">
        <f>IF(L16="","",IFERROR(SUMIFS(rev_Amt,rev_FY,1,rev_Client,L16)/$C$28,0))</f>
        <v/>
      </c>
      <c r="P16" s="9">
        <f>IF(O16="",0,O16^2)</f>
        <v/>
      </c>
    </row>
    <row r="17">
      <c r="A17" s="37" t="n">
        <v>12</v>
      </c>
      <c r="B17" s="38">
        <f>IFERROR(INDEX($L$6:$L$305,MATCH(LARGE($N$6:$N$305,12),$N$6:$N$305,0)),"")</f>
        <v/>
      </c>
      <c r="C17" s="12">
        <f>IF(B17="","",SUMIFS(rev_Amt,rev_FY,1,rev_Client,B17))</f>
        <v/>
      </c>
      <c r="D17" s="31">
        <f>IF(B17="","",IFERROR(C17/$C$28,0))</f>
        <v/>
      </c>
      <c r="E17" s="31">
        <f>IF(B17="","",SUM($D$6:D17))</f>
        <v/>
      </c>
      <c r="F17" s="11">
        <f>IF(B17="","",COUNTIFS(rev_FY,1,rev_Client,B17))</f>
        <v/>
      </c>
      <c r="L17" s="9">
        <f>IFERROR(INDEX(rev_Client,MATCH(12,rev_New,0)),"")</f>
        <v/>
      </c>
      <c r="M17" s="9">
        <f>IF(L17="","",12)</f>
        <v/>
      </c>
      <c r="N17" s="9">
        <f>IF(L17="","",SUMIFS(rev_Amt,rev_FY,1,rev_Client,L17)+12/1E+6)</f>
        <v/>
      </c>
      <c r="O17" s="39">
        <f>IF(L17="","",IFERROR(SUMIFS(rev_Amt,rev_FY,1,rev_Client,L17)/$C$28,0))</f>
        <v/>
      </c>
      <c r="P17" s="9">
        <f>IF(O17="",0,O17^2)</f>
        <v/>
      </c>
    </row>
    <row r="18">
      <c r="A18" s="37" t="n">
        <v>13</v>
      </c>
      <c r="B18" s="38">
        <f>IFERROR(INDEX($L$6:$L$305,MATCH(LARGE($N$6:$N$305,13),$N$6:$N$305,0)),"")</f>
        <v/>
      </c>
      <c r="C18" s="12">
        <f>IF(B18="","",SUMIFS(rev_Amt,rev_FY,1,rev_Client,B18))</f>
        <v/>
      </c>
      <c r="D18" s="31">
        <f>IF(B18="","",IFERROR(C18/$C$28,0))</f>
        <v/>
      </c>
      <c r="E18" s="31">
        <f>IF(B18="","",SUM($D$6:D18))</f>
        <v/>
      </c>
      <c r="F18" s="11">
        <f>IF(B18="","",COUNTIFS(rev_FY,1,rev_Client,B18))</f>
        <v/>
      </c>
      <c r="L18" s="9">
        <f>IFERROR(INDEX(rev_Client,MATCH(13,rev_New,0)),"")</f>
        <v/>
      </c>
      <c r="M18" s="9">
        <f>IF(L18="","",13)</f>
        <v/>
      </c>
      <c r="N18" s="9">
        <f>IF(L18="","",SUMIFS(rev_Amt,rev_FY,1,rev_Client,L18)+13/1E+6)</f>
        <v/>
      </c>
      <c r="O18" s="39">
        <f>IF(L18="","",IFERROR(SUMIFS(rev_Amt,rev_FY,1,rev_Client,L18)/$C$28,0))</f>
        <v/>
      </c>
      <c r="P18" s="9">
        <f>IF(O18="",0,O18^2)</f>
        <v/>
      </c>
    </row>
    <row r="19">
      <c r="A19" s="37" t="n">
        <v>14</v>
      </c>
      <c r="B19" s="38">
        <f>IFERROR(INDEX($L$6:$L$305,MATCH(LARGE($N$6:$N$305,14),$N$6:$N$305,0)),"")</f>
        <v/>
      </c>
      <c r="C19" s="12">
        <f>IF(B19="","",SUMIFS(rev_Amt,rev_FY,1,rev_Client,B19))</f>
        <v/>
      </c>
      <c r="D19" s="31">
        <f>IF(B19="","",IFERROR(C19/$C$28,0))</f>
        <v/>
      </c>
      <c r="E19" s="31">
        <f>IF(B19="","",SUM($D$6:D19))</f>
        <v/>
      </c>
      <c r="F19" s="11">
        <f>IF(B19="","",COUNTIFS(rev_FY,1,rev_Client,B19))</f>
        <v/>
      </c>
      <c r="L19" s="9">
        <f>IFERROR(INDEX(rev_Client,MATCH(14,rev_New,0)),"")</f>
        <v/>
      </c>
      <c r="M19" s="9">
        <f>IF(L19="","",14)</f>
        <v/>
      </c>
      <c r="N19" s="9">
        <f>IF(L19="","",SUMIFS(rev_Amt,rev_FY,1,rev_Client,L19)+14/1E+6)</f>
        <v/>
      </c>
      <c r="O19" s="39">
        <f>IF(L19="","",IFERROR(SUMIFS(rev_Amt,rev_FY,1,rev_Client,L19)/$C$28,0))</f>
        <v/>
      </c>
      <c r="P19" s="9">
        <f>IF(O19="",0,O19^2)</f>
        <v/>
      </c>
    </row>
    <row r="20">
      <c r="A20" s="37" t="n">
        <v>15</v>
      </c>
      <c r="B20" s="38">
        <f>IFERROR(INDEX($L$6:$L$305,MATCH(LARGE($N$6:$N$305,15),$N$6:$N$305,0)),"")</f>
        <v/>
      </c>
      <c r="C20" s="12">
        <f>IF(B20="","",SUMIFS(rev_Amt,rev_FY,1,rev_Client,B20))</f>
        <v/>
      </c>
      <c r="D20" s="31">
        <f>IF(B20="","",IFERROR(C20/$C$28,0))</f>
        <v/>
      </c>
      <c r="E20" s="31">
        <f>IF(B20="","",SUM($D$6:D20))</f>
        <v/>
      </c>
      <c r="F20" s="11">
        <f>IF(B20="","",COUNTIFS(rev_FY,1,rev_Client,B20))</f>
        <v/>
      </c>
      <c r="L20" s="9">
        <f>IFERROR(INDEX(rev_Client,MATCH(15,rev_New,0)),"")</f>
        <v/>
      </c>
      <c r="M20" s="9">
        <f>IF(L20="","",15)</f>
        <v/>
      </c>
      <c r="N20" s="9">
        <f>IF(L20="","",SUMIFS(rev_Amt,rev_FY,1,rev_Client,L20)+15/1E+6)</f>
        <v/>
      </c>
      <c r="O20" s="39">
        <f>IF(L20="","",IFERROR(SUMIFS(rev_Amt,rev_FY,1,rev_Client,L20)/$C$28,0))</f>
        <v/>
      </c>
      <c r="P20" s="9">
        <f>IF(O20="",0,O20^2)</f>
        <v/>
      </c>
    </row>
    <row r="21">
      <c r="A21" s="37" t="n">
        <v>16</v>
      </c>
      <c r="B21" s="38">
        <f>IFERROR(INDEX($L$6:$L$305,MATCH(LARGE($N$6:$N$305,16),$N$6:$N$305,0)),"")</f>
        <v/>
      </c>
      <c r="C21" s="12">
        <f>IF(B21="","",SUMIFS(rev_Amt,rev_FY,1,rev_Client,B21))</f>
        <v/>
      </c>
      <c r="D21" s="31">
        <f>IF(B21="","",IFERROR(C21/$C$28,0))</f>
        <v/>
      </c>
      <c r="E21" s="31">
        <f>IF(B21="","",SUM($D$6:D21))</f>
        <v/>
      </c>
      <c r="F21" s="11">
        <f>IF(B21="","",COUNTIFS(rev_FY,1,rev_Client,B21))</f>
        <v/>
      </c>
      <c r="L21" s="9">
        <f>IFERROR(INDEX(rev_Client,MATCH(16,rev_New,0)),"")</f>
        <v/>
      </c>
      <c r="M21" s="9">
        <f>IF(L21="","",16)</f>
        <v/>
      </c>
      <c r="N21" s="9">
        <f>IF(L21="","",SUMIFS(rev_Amt,rev_FY,1,rev_Client,L21)+16/1E+6)</f>
        <v/>
      </c>
      <c r="O21" s="39">
        <f>IF(L21="","",IFERROR(SUMIFS(rev_Amt,rev_FY,1,rev_Client,L21)/$C$28,0))</f>
        <v/>
      </c>
      <c r="P21" s="9">
        <f>IF(O21="",0,O21^2)</f>
        <v/>
      </c>
    </row>
    <row r="22">
      <c r="A22" s="37" t="n">
        <v>17</v>
      </c>
      <c r="B22" s="38">
        <f>IFERROR(INDEX($L$6:$L$305,MATCH(LARGE($N$6:$N$305,17),$N$6:$N$305,0)),"")</f>
        <v/>
      </c>
      <c r="C22" s="12">
        <f>IF(B22="","",SUMIFS(rev_Amt,rev_FY,1,rev_Client,B22))</f>
        <v/>
      </c>
      <c r="D22" s="31">
        <f>IF(B22="","",IFERROR(C22/$C$28,0))</f>
        <v/>
      </c>
      <c r="E22" s="31">
        <f>IF(B22="","",SUM($D$6:D22))</f>
        <v/>
      </c>
      <c r="F22" s="11">
        <f>IF(B22="","",COUNTIFS(rev_FY,1,rev_Client,B22))</f>
        <v/>
      </c>
      <c r="L22" s="9">
        <f>IFERROR(INDEX(rev_Client,MATCH(17,rev_New,0)),"")</f>
        <v/>
      </c>
      <c r="M22" s="9">
        <f>IF(L22="","",17)</f>
        <v/>
      </c>
      <c r="N22" s="9">
        <f>IF(L22="","",SUMIFS(rev_Amt,rev_FY,1,rev_Client,L22)+17/1E+6)</f>
        <v/>
      </c>
      <c r="O22" s="39">
        <f>IF(L22="","",IFERROR(SUMIFS(rev_Amt,rev_FY,1,rev_Client,L22)/$C$28,0))</f>
        <v/>
      </c>
      <c r="P22" s="9">
        <f>IF(O22="",0,O22^2)</f>
        <v/>
      </c>
    </row>
    <row r="23">
      <c r="A23" s="37" t="n">
        <v>18</v>
      </c>
      <c r="B23" s="38">
        <f>IFERROR(INDEX($L$6:$L$305,MATCH(LARGE($N$6:$N$305,18),$N$6:$N$305,0)),"")</f>
        <v/>
      </c>
      <c r="C23" s="12">
        <f>IF(B23="","",SUMIFS(rev_Amt,rev_FY,1,rev_Client,B23))</f>
        <v/>
      </c>
      <c r="D23" s="31">
        <f>IF(B23="","",IFERROR(C23/$C$28,0))</f>
        <v/>
      </c>
      <c r="E23" s="31">
        <f>IF(B23="","",SUM($D$6:D23))</f>
        <v/>
      </c>
      <c r="F23" s="11">
        <f>IF(B23="","",COUNTIFS(rev_FY,1,rev_Client,B23))</f>
        <v/>
      </c>
      <c r="L23" s="9">
        <f>IFERROR(INDEX(rev_Client,MATCH(18,rev_New,0)),"")</f>
        <v/>
      </c>
      <c r="M23" s="9">
        <f>IF(L23="","",18)</f>
        <v/>
      </c>
      <c r="N23" s="9">
        <f>IF(L23="","",SUMIFS(rev_Amt,rev_FY,1,rev_Client,L23)+18/1E+6)</f>
        <v/>
      </c>
      <c r="O23" s="39">
        <f>IF(L23="","",IFERROR(SUMIFS(rev_Amt,rev_FY,1,rev_Client,L23)/$C$28,0))</f>
        <v/>
      </c>
      <c r="P23" s="9">
        <f>IF(O23="",0,O23^2)</f>
        <v/>
      </c>
    </row>
    <row r="24">
      <c r="A24" s="37" t="n">
        <v>19</v>
      </c>
      <c r="B24" s="38">
        <f>IFERROR(INDEX($L$6:$L$305,MATCH(LARGE($N$6:$N$305,19),$N$6:$N$305,0)),"")</f>
        <v/>
      </c>
      <c r="C24" s="12">
        <f>IF(B24="","",SUMIFS(rev_Amt,rev_FY,1,rev_Client,B24))</f>
        <v/>
      </c>
      <c r="D24" s="31">
        <f>IF(B24="","",IFERROR(C24/$C$28,0))</f>
        <v/>
      </c>
      <c r="E24" s="31">
        <f>IF(B24="","",SUM($D$6:D24))</f>
        <v/>
      </c>
      <c r="F24" s="11">
        <f>IF(B24="","",COUNTIFS(rev_FY,1,rev_Client,B24))</f>
        <v/>
      </c>
      <c r="L24" s="9">
        <f>IFERROR(INDEX(rev_Client,MATCH(19,rev_New,0)),"")</f>
        <v/>
      </c>
      <c r="M24" s="9">
        <f>IF(L24="","",19)</f>
        <v/>
      </c>
      <c r="N24" s="9">
        <f>IF(L24="","",SUMIFS(rev_Amt,rev_FY,1,rev_Client,L24)+19/1E+6)</f>
        <v/>
      </c>
      <c r="O24" s="39">
        <f>IF(L24="","",IFERROR(SUMIFS(rev_Amt,rev_FY,1,rev_Client,L24)/$C$28,0))</f>
        <v/>
      </c>
      <c r="P24" s="9">
        <f>IF(O24="",0,O24^2)</f>
        <v/>
      </c>
    </row>
    <row r="25">
      <c r="A25" s="37" t="n">
        <v>20</v>
      </c>
      <c r="B25" s="38">
        <f>IFERROR(INDEX($L$6:$L$305,MATCH(LARGE($N$6:$N$305,20),$N$6:$N$305,0)),"")</f>
        <v/>
      </c>
      <c r="C25" s="12">
        <f>IF(B25="","",SUMIFS(rev_Amt,rev_FY,1,rev_Client,B25))</f>
        <v/>
      </c>
      <c r="D25" s="31">
        <f>IF(B25="","",IFERROR(C25/$C$28,0))</f>
        <v/>
      </c>
      <c r="E25" s="31">
        <f>IF(B25="","",SUM($D$6:D25))</f>
        <v/>
      </c>
      <c r="F25" s="11">
        <f>IF(B25="","",COUNTIFS(rev_FY,1,rev_Client,B25))</f>
        <v/>
      </c>
      <c r="L25" s="9">
        <f>IFERROR(INDEX(rev_Client,MATCH(20,rev_New,0)),"")</f>
        <v/>
      </c>
      <c r="M25" s="9">
        <f>IF(L25="","",20)</f>
        <v/>
      </c>
      <c r="N25" s="9">
        <f>IF(L25="","",SUMIFS(rev_Amt,rev_FY,1,rev_Client,L25)+20/1E+6)</f>
        <v/>
      </c>
      <c r="O25" s="39">
        <f>IF(L25="","",IFERROR(SUMIFS(rev_Amt,rev_FY,1,rev_Client,L25)/$C$28,0))</f>
        <v/>
      </c>
      <c r="P25" s="9">
        <f>IF(O25="",0,O25^2)</f>
        <v/>
      </c>
    </row>
    <row r="26">
      <c r="L26" s="9">
        <f>IFERROR(INDEX(rev_Client,MATCH(21,rev_New,0)),"")</f>
        <v/>
      </c>
      <c r="M26" s="9">
        <f>IF(L26="","",21)</f>
        <v/>
      </c>
      <c r="N26" s="9">
        <f>IF(L26="","",SUMIFS(rev_Amt,rev_FY,1,rev_Client,L26)+21/1E+6)</f>
        <v/>
      </c>
      <c r="O26" s="39">
        <f>IF(L26="","",IFERROR(SUMIFS(rev_Amt,rev_FY,1,rev_Client,L26)/$C$28,0))</f>
        <v/>
      </c>
      <c r="P26" s="9">
        <f>IF(O26="",0,O26^2)</f>
        <v/>
      </c>
    </row>
    <row r="27">
      <c r="B27" s="30" t="inlineStr">
        <is>
          <t>All other clients</t>
        </is>
      </c>
      <c r="C27" s="12">
        <f>C28-SUM(C6:C25)</f>
        <v/>
      </c>
      <c r="D27" s="31">
        <f>IFERROR(C27/C28,0)</f>
        <v/>
      </c>
      <c r="L27" s="9">
        <f>IFERROR(INDEX(rev_Client,MATCH(22,rev_New,0)),"")</f>
        <v/>
      </c>
      <c r="M27" s="9">
        <f>IF(L27="","",22)</f>
        <v/>
      </c>
      <c r="N27" s="9">
        <f>IF(L27="","",SUMIFS(rev_Amt,rev_FY,1,rev_Client,L27)+22/1E+6)</f>
        <v/>
      </c>
      <c r="O27" s="39">
        <f>IF(L27="","",IFERROR(SUMIFS(rev_Amt,rev_FY,1,rev_Client,L27)/$C$28,0))</f>
        <v/>
      </c>
      <c r="P27" s="9">
        <f>IF(O27="",0,O27^2)</f>
        <v/>
      </c>
    </row>
    <row r="28">
      <c r="B28" s="26" t="inlineStr">
        <is>
          <t>TOTAL INVOICED FYTD</t>
        </is>
      </c>
      <c r="C28" s="27">
        <f>SUMIFS(rev_Amt,rev_FY,1)</f>
        <v/>
      </c>
      <c r="L28" s="9">
        <f>IFERROR(INDEX(rev_Client,MATCH(23,rev_New,0)),"")</f>
        <v/>
      </c>
      <c r="M28" s="9">
        <f>IF(L28="","",23)</f>
        <v/>
      </c>
      <c r="N28" s="9">
        <f>IF(L28="","",SUMIFS(rev_Amt,rev_FY,1,rev_Client,L28)+23/1E+6)</f>
        <v/>
      </c>
      <c r="O28" s="39">
        <f>IF(L28="","",IFERROR(SUMIFS(rev_Amt,rev_FY,1,rev_Client,L28)/$C$28,0))</f>
        <v/>
      </c>
      <c r="P28" s="9">
        <f>IF(O28="",0,O28^2)</f>
        <v/>
      </c>
    </row>
    <row r="29">
      <c r="L29" s="9">
        <f>IFERROR(INDEX(rev_Client,MATCH(24,rev_New,0)),"")</f>
        <v/>
      </c>
      <c r="M29" s="9">
        <f>IF(L29="","",24)</f>
        <v/>
      </c>
      <c r="N29" s="9">
        <f>IF(L29="","",SUMIFS(rev_Amt,rev_FY,1,rev_Client,L29)+24/1E+6)</f>
        <v/>
      </c>
      <c r="O29" s="39">
        <f>IF(L29="","",IFERROR(SUMIFS(rev_Amt,rev_FY,1,rev_Client,L29)/$C$28,0))</f>
        <v/>
      </c>
      <c r="P29" s="9">
        <f>IF(O29="",0,O29^2)</f>
        <v/>
      </c>
    </row>
    <row r="30" ht="20" customHeight="1">
      <c r="A30" s="29" t="inlineStr">
        <is>
          <t>2.  CONCENTRATION MEASURES</t>
        </is>
      </c>
      <c r="B30" s="2" t="n"/>
      <c r="C30" s="2" t="n"/>
      <c r="D30" s="2" t="n"/>
      <c r="E30" s="2" t="n"/>
      <c r="F30" s="2" t="n"/>
      <c r="G30" s="2" t="n"/>
      <c r="H30" s="2" t="n"/>
      <c r="I30" s="2" t="n"/>
      <c r="L30" s="9">
        <f>IFERROR(INDEX(rev_Client,MATCH(25,rev_New,0)),"")</f>
        <v/>
      </c>
      <c r="M30" s="9">
        <f>IF(L30="","",25)</f>
        <v/>
      </c>
      <c r="N30" s="9">
        <f>IF(L30="","",SUMIFS(rev_Amt,rev_FY,1,rev_Client,L30)+25/1E+6)</f>
        <v/>
      </c>
      <c r="O30" s="39">
        <f>IF(L30="","",IFERROR(SUMIFS(rev_Amt,rev_FY,1,rev_Client,L30)/$C$28,0))</f>
        <v/>
      </c>
      <c r="P30" s="9">
        <f>IF(O30="",0,O30^2)</f>
        <v/>
      </c>
    </row>
    <row r="31">
      <c r="B31" s="30" t="inlineStr">
        <is>
          <t>Clients invoiced FYTD</t>
        </is>
      </c>
      <c r="C31" s="37">
        <f>MAX($M$6:$M$305)</f>
        <v/>
      </c>
      <c r="L31" s="9">
        <f>IFERROR(INDEX(rev_Client,MATCH(26,rev_New,0)),"")</f>
        <v/>
      </c>
      <c r="M31" s="9">
        <f>IF(L31="","",26)</f>
        <v/>
      </c>
      <c r="N31" s="9">
        <f>IF(L31="","",SUMIFS(rev_Amt,rev_FY,1,rev_Client,L31)+26/1E+6)</f>
        <v/>
      </c>
      <c r="O31" s="39">
        <f>IF(L31="","",IFERROR(SUMIFS(rev_Amt,rev_FY,1,rev_Client,L31)/$C$28,0))</f>
        <v/>
      </c>
      <c r="P31" s="9">
        <f>IF(O31="",0,O31^2)</f>
        <v/>
      </c>
    </row>
    <row r="32">
      <c r="B32" s="30" t="inlineStr">
        <is>
          <t>Largest client share</t>
        </is>
      </c>
      <c r="C32" s="40">
        <f>D6</f>
        <v/>
      </c>
      <c r="D32" s="14">
        <f>IF(D6&gt;=set_ClientHigh,"High",IF(D6&gt;=set_ClientHigh*0.6,"Medium","Low"))</f>
        <v/>
      </c>
      <c r="L32" s="9">
        <f>IFERROR(INDEX(rev_Client,MATCH(27,rev_New,0)),"")</f>
        <v/>
      </c>
      <c r="M32" s="9">
        <f>IF(L32="","",27)</f>
        <v/>
      </c>
      <c r="N32" s="9">
        <f>IF(L32="","",SUMIFS(rev_Amt,rev_FY,1,rev_Client,L32)+27/1E+6)</f>
        <v/>
      </c>
      <c r="O32" s="39">
        <f>IF(L32="","",IFERROR(SUMIFS(rev_Amt,rev_FY,1,rev_Client,L32)/$C$28,0))</f>
        <v/>
      </c>
      <c r="P32" s="9">
        <f>IF(O32="",0,O32^2)</f>
        <v/>
      </c>
    </row>
    <row r="33">
      <c r="B33" s="30" t="inlineStr">
        <is>
          <t>Top 5 clients share</t>
        </is>
      </c>
      <c r="C33" s="40">
        <f>IFERROR(SUM(C6:C10)/C28,0)</f>
        <v/>
      </c>
      <c r="D33" s="14">
        <f>IF(C33&gt;=set_Top5High,"High",IF(C33&gt;=set_Top5High*0.75,"Medium","Low"))</f>
        <v/>
      </c>
      <c r="L33" s="9">
        <f>IFERROR(INDEX(rev_Client,MATCH(28,rev_New,0)),"")</f>
        <v/>
      </c>
      <c r="M33" s="9">
        <f>IF(L33="","",28)</f>
        <v/>
      </c>
      <c r="N33" s="9">
        <f>IF(L33="","",SUMIFS(rev_Amt,rev_FY,1,rev_Client,L33)+28/1E+6)</f>
        <v/>
      </c>
      <c r="O33" s="39">
        <f>IF(L33="","",IFERROR(SUMIFS(rev_Amt,rev_FY,1,rev_Client,L33)/$C$28,0))</f>
        <v/>
      </c>
      <c r="P33" s="9">
        <f>IF(O33="",0,O33^2)</f>
        <v/>
      </c>
    </row>
    <row r="34">
      <c r="B34" s="30" t="inlineStr">
        <is>
          <t>Top 10 clients share</t>
        </is>
      </c>
      <c r="C34" s="40">
        <f>IFERROR(SUM(C6:C15)/C28,0)</f>
        <v/>
      </c>
      <c r="L34" s="9">
        <f>IFERROR(INDEX(rev_Client,MATCH(29,rev_New,0)),"")</f>
        <v/>
      </c>
      <c r="M34" s="9">
        <f>IF(L34="","",29)</f>
        <v/>
      </c>
      <c r="N34" s="9">
        <f>IF(L34="","",SUMIFS(rev_Amt,rev_FY,1,rev_Client,L34)+29/1E+6)</f>
        <v/>
      </c>
      <c r="O34" s="39">
        <f>IF(L34="","",IFERROR(SUMIFS(rev_Amt,rev_FY,1,rev_Client,L34)/$C$28,0))</f>
        <v/>
      </c>
      <c r="P34" s="9">
        <f>IF(O34="",0,O34^2)</f>
        <v/>
      </c>
    </row>
    <row r="35">
      <c r="B35" s="30" t="inlineStr">
        <is>
          <t>Herfindahl index (0-10,000)</t>
        </is>
      </c>
      <c r="C35" s="41">
        <f>ROUND(SUM($P$6:$P$305)*10000,0)</f>
        <v/>
      </c>
      <c r="D35" s="14">
        <f>IF(C35&gt;=2500,"High",IF(C35&gt;=1500,"Medium","Low"))</f>
        <v/>
      </c>
      <c r="L35" s="9">
        <f>IFERROR(INDEX(rev_Client,MATCH(30,rev_New,0)),"")</f>
        <v/>
      </c>
      <c r="M35" s="9">
        <f>IF(L35="","",30)</f>
        <v/>
      </c>
      <c r="N35" s="9">
        <f>IF(L35="","",SUMIFS(rev_Amt,rev_FY,1,rev_Client,L35)+30/1E+6)</f>
        <v/>
      </c>
      <c r="O35" s="39">
        <f>IF(L35="","",IFERROR(SUMIFS(rev_Amt,rev_FY,1,rev_Client,L35)/$C$28,0))</f>
        <v/>
      </c>
      <c r="P35" s="9">
        <f>IF(O35="",0,O35^2)</f>
        <v/>
      </c>
    </row>
    <row r="36">
      <c r="L36" s="9">
        <f>IFERROR(INDEX(rev_Client,MATCH(31,rev_New,0)),"")</f>
        <v/>
      </c>
      <c r="M36" s="9">
        <f>IF(L36="","",31)</f>
        <v/>
      </c>
      <c r="N36" s="9">
        <f>IF(L36="","",SUMIFS(rev_Amt,rev_FY,1,rev_Client,L36)+31/1E+6)</f>
        <v/>
      </c>
      <c r="O36" s="39">
        <f>IF(L36="","",IFERROR(SUMIFS(rev_Amt,rev_FY,1,rev_Client,L36)/$C$28,0))</f>
        <v/>
      </c>
      <c r="P36" s="9">
        <f>IF(O36="",0,O36^2)</f>
        <v/>
      </c>
    </row>
    <row r="37">
      <c r="B37" s="28" t="inlineStr">
        <is>
          <t>Herfindahl index = sum of each client's squared share x 10,000. Under 1,500 is spread out, 1,500-2,500 moderate, over 2,500 concentrated (the usual market-concentration bands). Thresholds for the other two lines are on Settings.</t>
        </is>
      </c>
      <c r="L37" s="9">
        <f>IFERROR(INDEX(rev_Client,MATCH(32,rev_New,0)),"")</f>
        <v/>
      </c>
      <c r="M37" s="9">
        <f>IF(L37="","",32)</f>
        <v/>
      </c>
      <c r="N37" s="9">
        <f>IF(L37="","",SUMIFS(rev_Amt,rev_FY,1,rev_Client,L37)+32/1E+6)</f>
        <v/>
      </c>
      <c r="O37" s="39">
        <f>IF(L37="","",IFERROR(SUMIFS(rev_Amt,rev_FY,1,rev_Client,L37)/$C$28,0))</f>
        <v/>
      </c>
      <c r="P37" s="9">
        <f>IF(O37="",0,O37^2)</f>
        <v/>
      </c>
    </row>
    <row r="38">
      <c r="L38" s="9">
        <f>IFERROR(INDEX(rev_Client,MATCH(33,rev_New,0)),"")</f>
        <v/>
      </c>
      <c r="M38" s="9">
        <f>IF(L38="","",33)</f>
        <v/>
      </c>
      <c r="N38" s="9">
        <f>IF(L38="","",SUMIFS(rev_Amt,rev_FY,1,rev_Client,L38)+33/1E+6)</f>
        <v/>
      </c>
      <c r="O38" s="39">
        <f>IF(L38="","",IFERROR(SUMIFS(rev_Amt,rev_FY,1,rev_Client,L38)/$C$28,0))</f>
        <v/>
      </c>
      <c r="P38" s="9">
        <f>IF(O38="",0,O38^2)</f>
        <v/>
      </c>
    </row>
    <row r="39">
      <c r="L39" s="9">
        <f>IFERROR(INDEX(rev_Client,MATCH(34,rev_New,0)),"")</f>
        <v/>
      </c>
      <c r="M39" s="9">
        <f>IF(L39="","",34)</f>
        <v/>
      </c>
      <c r="N39" s="9">
        <f>IF(L39="","",SUMIFS(rev_Amt,rev_FY,1,rev_Client,L39)+34/1E+6)</f>
        <v/>
      </c>
      <c r="O39" s="39">
        <f>IF(L39="","",IFERROR(SUMIFS(rev_Amt,rev_FY,1,rev_Client,L39)/$C$28,0))</f>
        <v/>
      </c>
      <c r="P39" s="9">
        <f>IF(O39="",0,O39^2)</f>
        <v/>
      </c>
    </row>
    <row r="40">
      <c r="L40" s="9">
        <f>IFERROR(INDEX(rev_Client,MATCH(35,rev_New,0)),"")</f>
        <v/>
      </c>
      <c r="M40" s="9">
        <f>IF(L40="","",35)</f>
        <v/>
      </c>
      <c r="N40" s="9">
        <f>IF(L40="","",SUMIFS(rev_Amt,rev_FY,1,rev_Client,L40)+35/1E+6)</f>
        <v/>
      </c>
      <c r="O40" s="39">
        <f>IF(L40="","",IFERROR(SUMIFS(rev_Amt,rev_FY,1,rev_Client,L40)/$C$28,0))</f>
        <v/>
      </c>
      <c r="P40" s="9">
        <f>IF(O40="",0,O40^2)</f>
        <v/>
      </c>
    </row>
    <row r="41">
      <c r="L41" s="9">
        <f>IFERROR(INDEX(rev_Client,MATCH(36,rev_New,0)),"")</f>
        <v/>
      </c>
      <c r="M41" s="9">
        <f>IF(L41="","",36)</f>
        <v/>
      </c>
      <c r="N41" s="9">
        <f>IF(L41="","",SUMIFS(rev_Amt,rev_FY,1,rev_Client,L41)+36/1E+6)</f>
        <v/>
      </c>
      <c r="O41" s="39">
        <f>IF(L41="","",IFERROR(SUMIFS(rev_Amt,rev_FY,1,rev_Client,L41)/$C$28,0))</f>
        <v/>
      </c>
      <c r="P41" s="9">
        <f>IF(O41="",0,O41^2)</f>
        <v/>
      </c>
    </row>
    <row r="42">
      <c r="L42" s="9">
        <f>IFERROR(INDEX(rev_Client,MATCH(37,rev_New,0)),"")</f>
        <v/>
      </c>
      <c r="M42" s="9">
        <f>IF(L42="","",37)</f>
        <v/>
      </c>
      <c r="N42" s="9">
        <f>IF(L42="","",SUMIFS(rev_Amt,rev_FY,1,rev_Client,L42)+37/1E+6)</f>
        <v/>
      </c>
      <c r="O42" s="39">
        <f>IF(L42="","",IFERROR(SUMIFS(rev_Amt,rev_FY,1,rev_Client,L42)/$C$28,0))</f>
        <v/>
      </c>
      <c r="P42" s="9">
        <f>IF(O42="",0,O42^2)</f>
        <v/>
      </c>
    </row>
    <row r="43">
      <c r="L43" s="9">
        <f>IFERROR(INDEX(rev_Client,MATCH(38,rev_New,0)),"")</f>
        <v/>
      </c>
      <c r="M43" s="9">
        <f>IF(L43="","",38)</f>
        <v/>
      </c>
      <c r="N43" s="9">
        <f>IF(L43="","",SUMIFS(rev_Amt,rev_FY,1,rev_Client,L43)+38/1E+6)</f>
        <v/>
      </c>
      <c r="O43" s="39">
        <f>IF(L43="","",IFERROR(SUMIFS(rev_Amt,rev_FY,1,rev_Client,L43)/$C$28,0))</f>
        <v/>
      </c>
      <c r="P43" s="9">
        <f>IF(O43="",0,O43^2)</f>
        <v/>
      </c>
    </row>
    <row r="44">
      <c r="L44" s="9">
        <f>IFERROR(INDEX(rev_Client,MATCH(39,rev_New,0)),"")</f>
        <v/>
      </c>
      <c r="M44" s="9">
        <f>IF(L44="","",39)</f>
        <v/>
      </c>
      <c r="N44" s="9">
        <f>IF(L44="","",SUMIFS(rev_Amt,rev_FY,1,rev_Client,L44)+39/1E+6)</f>
        <v/>
      </c>
      <c r="O44" s="39">
        <f>IF(L44="","",IFERROR(SUMIFS(rev_Amt,rev_FY,1,rev_Client,L44)/$C$28,0))</f>
        <v/>
      </c>
      <c r="P44" s="9">
        <f>IF(O44="",0,O44^2)</f>
        <v/>
      </c>
    </row>
    <row r="45">
      <c r="L45" s="9">
        <f>IFERROR(INDEX(rev_Client,MATCH(40,rev_New,0)),"")</f>
        <v/>
      </c>
      <c r="M45" s="9">
        <f>IF(L45="","",40)</f>
        <v/>
      </c>
      <c r="N45" s="9">
        <f>IF(L45="","",SUMIFS(rev_Amt,rev_FY,1,rev_Client,L45)+40/1E+6)</f>
        <v/>
      </c>
      <c r="O45" s="39">
        <f>IF(L45="","",IFERROR(SUMIFS(rev_Amt,rev_FY,1,rev_Client,L45)/$C$28,0))</f>
        <v/>
      </c>
      <c r="P45" s="9">
        <f>IF(O45="",0,O45^2)</f>
        <v/>
      </c>
    </row>
    <row r="46">
      <c r="L46" s="9">
        <f>IFERROR(INDEX(rev_Client,MATCH(41,rev_New,0)),"")</f>
        <v/>
      </c>
      <c r="M46" s="9">
        <f>IF(L46="","",41)</f>
        <v/>
      </c>
      <c r="N46" s="9">
        <f>IF(L46="","",SUMIFS(rev_Amt,rev_FY,1,rev_Client,L46)+41/1E+6)</f>
        <v/>
      </c>
      <c r="O46" s="39">
        <f>IF(L46="","",IFERROR(SUMIFS(rev_Amt,rev_FY,1,rev_Client,L46)/$C$28,0))</f>
        <v/>
      </c>
      <c r="P46" s="9">
        <f>IF(O46="",0,O46^2)</f>
        <v/>
      </c>
    </row>
    <row r="47">
      <c r="L47" s="9">
        <f>IFERROR(INDEX(rev_Client,MATCH(42,rev_New,0)),"")</f>
        <v/>
      </c>
      <c r="M47" s="9">
        <f>IF(L47="","",42)</f>
        <v/>
      </c>
      <c r="N47" s="9">
        <f>IF(L47="","",SUMIFS(rev_Amt,rev_FY,1,rev_Client,L47)+42/1E+6)</f>
        <v/>
      </c>
      <c r="O47" s="39">
        <f>IF(L47="","",IFERROR(SUMIFS(rev_Amt,rev_FY,1,rev_Client,L47)/$C$28,0))</f>
        <v/>
      </c>
      <c r="P47" s="9">
        <f>IF(O47="",0,O47^2)</f>
        <v/>
      </c>
    </row>
    <row r="48">
      <c r="L48" s="9">
        <f>IFERROR(INDEX(rev_Client,MATCH(43,rev_New,0)),"")</f>
        <v/>
      </c>
      <c r="M48" s="9">
        <f>IF(L48="","",43)</f>
        <v/>
      </c>
      <c r="N48" s="9">
        <f>IF(L48="","",SUMIFS(rev_Amt,rev_FY,1,rev_Client,L48)+43/1E+6)</f>
        <v/>
      </c>
      <c r="O48" s="39">
        <f>IF(L48="","",IFERROR(SUMIFS(rev_Amt,rev_FY,1,rev_Client,L48)/$C$28,0))</f>
        <v/>
      </c>
      <c r="P48" s="9">
        <f>IF(O48="",0,O48^2)</f>
        <v/>
      </c>
    </row>
    <row r="49">
      <c r="L49" s="9">
        <f>IFERROR(INDEX(rev_Client,MATCH(44,rev_New,0)),"")</f>
        <v/>
      </c>
      <c r="M49" s="9">
        <f>IF(L49="","",44)</f>
        <v/>
      </c>
      <c r="N49" s="9">
        <f>IF(L49="","",SUMIFS(rev_Amt,rev_FY,1,rev_Client,L49)+44/1E+6)</f>
        <v/>
      </c>
      <c r="O49" s="39">
        <f>IF(L49="","",IFERROR(SUMIFS(rev_Amt,rev_FY,1,rev_Client,L49)/$C$28,0))</f>
        <v/>
      </c>
      <c r="P49" s="9">
        <f>IF(O49="",0,O49^2)</f>
        <v/>
      </c>
    </row>
    <row r="50">
      <c r="L50" s="9">
        <f>IFERROR(INDEX(rev_Client,MATCH(45,rev_New,0)),"")</f>
        <v/>
      </c>
      <c r="M50" s="9">
        <f>IF(L50="","",45)</f>
        <v/>
      </c>
      <c r="N50" s="9">
        <f>IF(L50="","",SUMIFS(rev_Amt,rev_FY,1,rev_Client,L50)+45/1E+6)</f>
        <v/>
      </c>
      <c r="O50" s="39">
        <f>IF(L50="","",IFERROR(SUMIFS(rev_Amt,rev_FY,1,rev_Client,L50)/$C$28,0))</f>
        <v/>
      </c>
      <c r="P50" s="9">
        <f>IF(O50="",0,O50^2)</f>
        <v/>
      </c>
    </row>
    <row r="51">
      <c r="L51" s="9">
        <f>IFERROR(INDEX(rev_Client,MATCH(46,rev_New,0)),"")</f>
        <v/>
      </c>
      <c r="M51" s="9">
        <f>IF(L51="","",46)</f>
        <v/>
      </c>
      <c r="N51" s="9">
        <f>IF(L51="","",SUMIFS(rev_Amt,rev_FY,1,rev_Client,L51)+46/1E+6)</f>
        <v/>
      </c>
      <c r="O51" s="39">
        <f>IF(L51="","",IFERROR(SUMIFS(rev_Amt,rev_FY,1,rev_Client,L51)/$C$28,0))</f>
        <v/>
      </c>
      <c r="P51" s="9">
        <f>IF(O51="",0,O51^2)</f>
        <v/>
      </c>
    </row>
    <row r="52">
      <c r="L52" s="9">
        <f>IFERROR(INDEX(rev_Client,MATCH(47,rev_New,0)),"")</f>
        <v/>
      </c>
      <c r="M52" s="9">
        <f>IF(L52="","",47)</f>
        <v/>
      </c>
      <c r="N52" s="9">
        <f>IF(L52="","",SUMIFS(rev_Amt,rev_FY,1,rev_Client,L52)+47/1E+6)</f>
        <v/>
      </c>
      <c r="O52" s="39">
        <f>IF(L52="","",IFERROR(SUMIFS(rev_Amt,rev_FY,1,rev_Client,L52)/$C$28,0))</f>
        <v/>
      </c>
      <c r="P52" s="9">
        <f>IF(O52="",0,O52^2)</f>
        <v/>
      </c>
    </row>
    <row r="53">
      <c r="L53" s="9">
        <f>IFERROR(INDEX(rev_Client,MATCH(48,rev_New,0)),"")</f>
        <v/>
      </c>
      <c r="M53" s="9">
        <f>IF(L53="","",48)</f>
        <v/>
      </c>
      <c r="N53" s="9">
        <f>IF(L53="","",SUMIFS(rev_Amt,rev_FY,1,rev_Client,L53)+48/1E+6)</f>
        <v/>
      </c>
      <c r="O53" s="39">
        <f>IF(L53="","",IFERROR(SUMIFS(rev_Amt,rev_FY,1,rev_Client,L53)/$C$28,0))</f>
        <v/>
      </c>
      <c r="P53" s="9">
        <f>IF(O53="",0,O53^2)</f>
        <v/>
      </c>
    </row>
    <row r="54">
      <c r="L54" s="9">
        <f>IFERROR(INDEX(rev_Client,MATCH(49,rev_New,0)),"")</f>
        <v/>
      </c>
      <c r="M54" s="9">
        <f>IF(L54="","",49)</f>
        <v/>
      </c>
      <c r="N54" s="9">
        <f>IF(L54="","",SUMIFS(rev_Amt,rev_FY,1,rev_Client,L54)+49/1E+6)</f>
        <v/>
      </c>
      <c r="O54" s="39">
        <f>IF(L54="","",IFERROR(SUMIFS(rev_Amt,rev_FY,1,rev_Client,L54)/$C$28,0))</f>
        <v/>
      </c>
      <c r="P54" s="9">
        <f>IF(O54="",0,O54^2)</f>
        <v/>
      </c>
    </row>
    <row r="55">
      <c r="L55" s="9">
        <f>IFERROR(INDEX(rev_Client,MATCH(50,rev_New,0)),"")</f>
        <v/>
      </c>
      <c r="M55" s="9">
        <f>IF(L55="","",50)</f>
        <v/>
      </c>
      <c r="N55" s="9">
        <f>IF(L55="","",SUMIFS(rev_Amt,rev_FY,1,rev_Client,L55)+50/1E+6)</f>
        <v/>
      </c>
      <c r="O55" s="39">
        <f>IF(L55="","",IFERROR(SUMIFS(rev_Amt,rev_FY,1,rev_Client,L55)/$C$28,0))</f>
        <v/>
      </c>
      <c r="P55" s="9">
        <f>IF(O55="",0,O55^2)</f>
        <v/>
      </c>
    </row>
    <row r="56">
      <c r="L56" s="9">
        <f>IFERROR(INDEX(rev_Client,MATCH(51,rev_New,0)),"")</f>
        <v/>
      </c>
      <c r="M56" s="9">
        <f>IF(L56="","",51)</f>
        <v/>
      </c>
      <c r="N56" s="9">
        <f>IF(L56="","",SUMIFS(rev_Amt,rev_FY,1,rev_Client,L56)+51/1E+6)</f>
        <v/>
      </c>
      <c r="O56" s="39">
        <f>IF(L56="","",IFERROR(SUMIFS(rev_Amt,rev_FY,1,rev_Client,L56)/$C$28,0))</f>
        <v/>
      </c>
      <c r="P56" s="9">
        <f>IF(O56="",0,O56^2)</f>
        <v/>
      </c>
    </row>
    <row r="57">
      <c r="L57" s="9">
        <f>IFERROR(INDEX(rev_Client,MATCH(52,rev_New,0)),"")</f>
        <v/>
      </c>
      <c r="M57" s="9">
        <f>IF(L57="","",52)</f>
        <v/>
      </c>
      <c r="N57" s="9">
        <f>IF(L57="","",SUMIFS(rev_Amt,rev_FY,1,rev_Client,L57)+52/1E+6)</f>
        <v/>
      </c>
      <c r="O57" s="39">
        <f>IF(L57="","",IFERROR(SUMIFS(rev_Amt,rev_FY,1,rev_Client,L57)/$C$28,0))</f>
        <v/>
      </c>
      <c r="P57" s="9">
        <f>IF(O57="",0,O57^2)</f>
        <v/>
      </c>
    </row>
    <row r="58">
      <c r="L58" s="9">
        <f>IFERROR(INDEX(rev_Client,MATCH(53,rev_New,0)),"")</f>
        <v/>
      </c>
      <c r="M58" s="9">
        <f>IF(L58="","",53)</f>
        <v/>
      </c>
      <c r="N58" s="9">
        <f>IF(L58="","",SUMIFS(rev_Amt,rev_FY,1,rev_Client,L58)+53/1E+6)</f>
        <v/>
      </c>
      <c r="O58" s="39">
        <f>IF(L58="","",IFERROR(SUMIFS(rev_Amt,rev_FY,1,rev_Client,L58)/$C$28,0))</f>
        <v/>
      </c>
      <c r="P58" s="9">
        <f>IF(O58="",0,O58^2)</f>
        <v/>
      </c>
    </row>
    <row r="59">
      <c r="L59" s="9">
        <f>IFERROR(INDEX(rev_Client,MATCH(54,rev_New,0)),"")</f>
        <v/>
      </c>
      <c r="M59" s="9">
        <f>IF(L59="","",54)</f>
        <v/>
      </c>
      <c r="N59" s="9">
        <f>IF(L59="","",SUMIFS(rev_Amt,rev_FY,1,rev_Client,L59)+54/1E+6)</f>
        <v/>
      </c>
      <c r="O59" s="39">
        <f>IF(L59="","",IFERROR(SUMIFS(rev_Amt,rev_FY,1,rev_Client,L59)/$C$28,0))</f>
        <v/>
      </c>
      <c r="P59" s="9">
        <f>IF(O59="",0,O59^2)</f>
        <v/>
      </c>
    </row>
    <row r="60">
      <c r="L60" s="9">
        <f>IFERROR(INDEX(rev_Client,MATCH(55,rev_New,0)),"")</f>
        <v/>
      </c>
      <c r="M60" s="9">
        <f>IF(L60="","",55)</f>
        <v/>
      </c>
      <c r="N60" s="9">
        <f>IF(L60="","",SUMIFS(rev_Amt,rev_FY,1,rev_Client,L60)+55/1E+6)</f>
        <v/>
      </c>
      <c r="O60" s="39">
        <f>IF(L60="","",IFERROR(SUMIFS(rev_Amt,rev_FY,1,rev_Client,L60)/$C$28,0))</f>
        <v/>
      </c>
      <c r="P60" s="9">
        <f>IF(O60="",0,O60^2)</f>
        <v/>
      </c>
    </row>
    <row r="61">
      <c r="L61" s="9">
        <f>IFERROR(INDEX(rev_Client,MATCH(56,rev_New,0)),"")</f>
        <v/>
      </c>
      <c r="M61" s="9">
        <f>IF(L61="","",56)</f>
        <v/>
      </c>
      <c r="N61" s="9">
        <f>IF(L61="","",SUMIFS(rev_Amt,rev_FY,1,rev_Client,L61)+56/1E+6)</f>
        <v/>
      </c>
      <c r="O61" s="39">
        <f>IF(L61="","",IFERROR(SUMIFS(rev_Amt,rev_FY,1,rev_Client,L61)/$C$28,0))</f>
        <v/>
      </c>
      <c r="P61" s="9">
        <f>IF(O61="",0,O61^2)</f>
        <v/>
      </c>
    </row>
    <row r="62">
      <c r="L62" s="9">
        <f>IFERROR(INDEX(rev_Client,MATCH(57,rev_New,0)),"")</f>
        <v/>
      </c>
      <c r="M62" s="9">
        <f>IF(L62="","",57)</f>
        <v/>
      </c>
      <c r="N62" s="9">
        <f>IF(L62="","",SUMIFS(rev_Amt,rev_FY,1,rev_Client,L62)+57/1E+6)</f>
        <v/>
      </c>
      <c r="O62" s="39">
        <f>IF(L62="","",IFERROR(SUMIFS(rev_Amt,rev_FY,1,rev_Client,L62)/$C$28,0))</f>
        <v/>
      </c>
      <c r="P62" s="9">
        <f>IF(O62="",0,O62^2)</f>
        <v/>
      </c>
    </row>
    <row r="63">
      <c r="L63" s="9">
        <f>IFERROR(INDEX(rev_Client,MATCH(58,rev_New,0)),"")</f>
        <v/>
      </c>
      <c r="M63" s="9">
        <f>IF(L63="","",58)</f>
        <v/>
      </c>
      <c r="N63" s="9">
        <f>IF(L63="","",SUMIFS(rev_Amt,rev_FY,1,rev_Client,L63)+58/1E+6)</f>
        <v/>
      </c>
      <c r="O63" s="39">
        <f>IF(L63="","",IFERROR(SUMIFS(rev_Amt,rev_FY,1,rev_Client,L63)/$C$28,0))</f>
        <v/>
      </c>
      <c r="P63" s="9">
        <f>IF(O63="",0,O63^2)</f>
        <v/>
      </c>
    </row>
    <row r="64">
      <c r="L64" s="9">
        <f>IFERROR(INDEX(rev_Client,MATCH(59,rev_New,0)),"")</f>
        <v/>
      </c>
      <c r="M64" s="9">
        <f>IF(L64="","",59)</f>
        <v/>
      </c>
      <c r="N64" s="9">
        <f>IF(L64="","",SUMIFS(rev_Amt,rev_FY,1,rev_Client,L64)+59/1E+6)</f>
        <v/>
      </c>
      <c r="O64" s="39">
        <f>IF(L64="","",IFERROR(SUMIFS(rev_Amt,rev_FY,1,rev_Client,L64)/$C$28,0))</f>
        <v/>
      </c>
      <c r="P64" s="9">
        <f>IF(O64="",0,O64^2)</f>
        <v/>
      </c>
    </row>
    <row r="65">
      <c r="L65" s="9">
        <f>IFERROR(INDEX(rev_Client,MATCH(60,rev_New,0)),"")</f>
        <v/>
      </c>
      <c r="M65" s="9">
        <f>IF(L65="","",60)</f>
        <v/>
      </c>
      <c r="N65" s="9">
        <f>IF(L65="","",SUMIFS(rev_Amt,rev_FY,1,rev_Client,L65)+60/1E+6)</f>
        <v/>
      </c>
      <c r="O65" s="39">
        <f>IF(L65="","",IFERROR(SUMIFS(rev_Amt,rev_FY,1,rev_Client,L65)/$C$28,0))</f>
        <v/>
      </c>
      <c r="P65" s="9">
        <f>IF(O65="",0,O65^2)</f>
        <v/>
      </c>
    </row>
    <row r="66">
      <c r="L66" s="9">
        <f>IFERROR(INDEX(rev_Client,MATCH(61,rev_New,0)),"")</f>
        <v/>
      </c>
      <c r="M66" s="9">
        <f>IF(L66="","",61)</f>
        <v/>
      </c>
      <c r="N66" s="9">
        <f>IF(L66="","",SUMIFS(rev_Amt,rev_FY,1,rev_Client,L66)+61/1E+6)</f>
        <v/>
      </c>
      <c r="O66" s="39">
        <f>IF(L66="","",IFERROR(SUMIFS(rev_Amt,rev_FY,1,rev_Client,L66)/$C$28,0))</f>
        <v/>
      </c>
      <c r="P66" s="9">
        <f>IF(O66="",0,O66^2)</f>
        <v/>
      </c>
    </row>
    <row r="67">
      <c r="L67" s="9">
        <f>IFERROR(INDEX(rev_Client,MATCH(62,rev_New,0)),"")</f>
        <v/>
      </c>
      <c r="M67" s="9">
        <f>IF(L67="","",62)</f>
        <v/>
      </c>
      <c r="N67" s="9">
        <f>IF(L67="","",SUMIFS(rev_Amt,rev_FY,1,rev_Client,L67)+62/1E+6)</f>
        <v/>
      </c>
      <c r="O67" s="39">
        <f>IF(L67="","",IFERROR(SUMIFS(rev_Amt,rev_FY,1,rev_Client,L67)/$C$28,0))</f>
        <v/>
      </c>
      <c r="P67" s="9">
        <f>IF(O67="",0,O67^2)</f>
        <v/>
      </c>
    </row>
    <row r="68">
      <c r="L68" s="9">
        <f>IFERROR(INDEX(rev_Client,MATCH(63,rev_New,0)),"")</f>
        <v/>
      </c>
      <c r="M68" s="9">
        <f>IF(L68="","",63)</f>
        <v/>
      </c>
      <c r="N68" s="9">
        <f>IF(L68="","",SUMIFS(rev_Amt,rev_FY,1,rev_Client,L68)+63/1E+6)</f>
        <v/>
      </c>
      <c r="O68" s="39">
        <f>IF(L68="","",IFERROR(SUMIFS(rev_Amt,rev_FY,1,rev_Client,L68)/$C$28,0))</f>
        <v/>
      </c>
      <c r="P68" s="9">
        <f>IF(O68="",0,O68^2)</f>
        <v/>
      </c>
    </row>
    <row r="69">
      <c r="L69" s="9">
        <f>IFERROR(INDEX(rev_Client,MATCH(64,rev_New,0)),"")</f>
        <v/>
      </c>
      <c r="M69" s="9">
        <f>IF(L69="","",64)</f>
        <v/>
      </c>
      <c r="N69" s="9">
        <f>IF(L69="","",SUMIFS(rev_Amt,rev_FY,1,rev_Client,L69)+64/1E+6)</f>
        <v/>
      </c>
      <c r="O69" s="39">
        <f>IF(L69="","",IFERROR(SUMIFS(rev_Amt,rev_FY,1,rev_Client,L69)/$C$28,0))</f>
        <v/>
      </c>
      <c r="P69" s="9">
        <f>IF(O69="",0,O69^2)</f>
        <v/>
      </c>
    </row>
    <row r="70">
      <c r="L70" s="9">
        <f>IFERROR(INDEX(rev_Client,MATCH(65,rev_New,0)),"")</f>
        <v/>
      </c>
      <c r="M70" s="9">
        <f>IF(L70="","",65)</f>
        <v/>
      </c>
      <c r="N70" s="9">
        <f>IF(L70="","",SUMIFS(rev_Amt,rev_FY,1,rev_Client,L70)+65/1E+6)</f>
        <v/>
      </c>
      <c r="O70" s="39">
        <f>IF(L70="","",IFERROR(SUMIFS(rev_Amt,rev_FY,1,rev_Client,L70)/$C$28,0))</f>
        <v/>
      </c>
      <c r="P70" s="9">
        <f>IF(O70="",0,O70^2)</f>
        <v/>
      </c>
    </row>
    <row r="71">
      <c r="L71" s="9">
        <f>IFERROR(INDEX(rev_Client,MATCH(66,rev_New,0)),"")</f>
        <v/>
      </c>
      <c r="M71" s="9">
        <f>IF(L71="","",66)</f>
        <v/>
      </c>
      <c r="N71" s="9">
        <f>IF(L71="","",SUMIFS(rev_Amt,rev_FY,1,rev_Client,L71)+66/1E+6)</f>
        <v/>
      </c>
      <c r="O71" s="39">
        <f>IF(L71="","",IFERROR(SUMIFS(rev_Amt,rev_FY,1,rev_Client,L71)/$C$28,0))</f>
        <v/>
      </c>
      <c r="P71" s="9">
        <f>IF(O71="",0,O71^2)</f>
        <v/>
      </c>
    </row>
    <row r="72">
      <c r="L72" s="9">
        <f>IFERROR(INDEX(rev_Client,MATCH(67,rev_New,0)),"")</f>
        <v/>
      </c>
      <c r="M72" s="9">
        <f>IF(L72="","",67)</f>
        <v/>
      </c>
      <c r="N72" s="9">
        <f>IF(L72="","",SUMIFS(rev_Amt,rev_FY,1,rev_Client,L72)+67/1E+6)</f>
        <v/>
      </c>
      <c r="O72" s="39">
        <f>IF(L72="","",IFERROR(SUMIFS(rev_Amt,rev_FY,1,rev_Client,L72)/$C$28,0))</f>
        <v/>
      </c>
      <c r="P72" s="9">
        <f>IF(O72="",0,O72^2)</f>
        <v/>
      </c>
    </row>
    <row r="73">
      <c r="L73" s="9">
        <f>IFERROR(INDEX(rev_Client,MATCH(68,rev_New,0)),"")</f>
        <v/>
      </c>
      <c r="M73" s="9">
        <f>IF(L73="","",68)</f>
        <v/>
      </c>
      <c r="N73" s="9">
        <f>IF(L73="","",SUMIFS(rev_Amt,rev_FY,1,rev_Client,L73)+68/1E+6)</f>
        <v/>
      </c>
      <c r="O73" s="39">
        <f>IF(L73="","",IFERROR(SUMIFS(rev_Amt,rev_FY,1,rev_Client,L73)/$C$28,0))</f>
        <v/>
      </c>
      <c r="P73" s="9">
        <f>IF(O73="",0,O73^2)</f>
        <v/>
      </c>
    </row>
    <row r="74">
      <c r="L74" s="9">
        <f>IFERROR(INDEX(rev_Client,MATCH(69,rev_New,0)),"")</f>
        <v/>
      </c>
      <c r="M74" s="9">
        <f>IF(L74="","",69)</f>
        <v/>
      </c>
      <c r="N74" s="9">
        <f>IF(L74="","",SUMIFS(rev_Amt,rev_FY,1,rev_Client,L74)+69/1E+6)</f>
        <v/>
      </c>
      <c r="O74" s="39">
        <f>IF(L74="","",IFERROR(SUMIFS(rev_Amt,rev_FY,1,rev_Client,L74)/$C$28,0))</f>
        <v/>
      </c>
      <c r="P74" s="9">
        <f>IF(O74="",0,O74^2)</f>
        <v/>
      </c>
    </row>
    <row r="75">
      <c r="L75" s="9">
        <f>IFERROR(INDEX(rev_Client,MATCH(70,rev_New,0)),"")</f>
        <v/>
      </c>
      <c r="M75" s="9">
        <f>IF(L75="","",70)</f>
        <v/>
      </c>
      <c r="N75" s="9">
        <f>IF(L75="","",SUMIFS(rev_Amt,rev_FY,1,rev_Client,L75)+70/1E+6)</f>
        <v/>
      </c>
      <c r="O75" s="39">
        <f>IF(L75="","",IFERROR(SUMIFS(rev_Amt,rev_FY,1,rev_Client,L75)/$C$28,0))</f>
        <v/>
      </c>
      <c r="P75" s="9">
        <f>IF(O75="",0,O75^2)</f>
        <v/>
      </c>
    </row>
    <row r="76">
      <c r="L76" s="9">
        <f>IFERROR(INDEX(rev_Client,MATCH(71,rev_New,0)),"")</f>
        <v/>
      </c>
      <c r="M76" s="9">
        <f>IF(L76="","",71)</f>
        <v/>
      </c>
      <c r="N76" s="9">
        <f>IF(L76="","",SUMIFS(rev_Amt,rev_FY,1,rev_Client,L76)+71/1E+6)</f>
        <v/>
      </c>
      <c r="O76" s="39">
        <f>IF(L76="","",IFERROR(SUMIFS(rev_Amt,rev_FY,1,rev_Client,L76)/$C$28,0))</f>
        <v/>
      </c>
      <c r="P76" s="9">
        <f>IF(O76="",0,O76^2)</f>
        <v/>
      </c>
    </row>
    <row r="77">
      <c r="L77" s="9">
        <f>IFERROR(INDEX(rev_Client,MATCH(72,rev_New,0)),"")</f>
        <v/>
      </c>
      <c r="M77" s="9">
        <f>IF(L77="","",72)</f>
        <v/>
      </c>
      <c r="N77" s="9">
        <f>IF(L77="","",SUMIFS(rev_Amt,rev_FY,1,rev_Client,L77)+72/1E+6)</f>
        <v/>
      </c>
      <c r="O77" s="39">
        <f>IF(L77="","",IFERROR(SUMIFS(rev_Amt,rev_FY,1,rev_Client,L77)/$C$28,0))</f>
        <v/>
      </c>
      <c r="P77" s="9">
        <f>IF(O77="",0,O77^2)</f>
        <v/>
      </c>
    </row>
    <row r="78">
      <c r="L78" s="9">
        <f>IFERROR(INDEX(rev_Client,MATCH(73,rev_New,0)),"")</f>
        <v/>
      </c>
      <c r="M78" s="9">
        <f>IF(L78="","",73)</f>
        <v/>
      </c>
      <c r="N78" s="9">
        <f>IF(L78="","",SUMIFS(rev_Amt,rev_FY,1,rev_Client,L78)+73/1E+6)</f>
        <v/>
      </c>
      <c r="O78" s="39">
        <f>IF(L78="","",IFERROR(SUMIFS(rev_Amt,rev_FY,1,rev_Client,L78)/$C$28,0))</f>
        <v/>
      </c>
      <c r="P78" s="9">
        <f>IF(O78="",0,O78^2)</f>
        <v/>
      </c>
    </row>
    <row r="79">
      <c r="L79" s="9">
        <f>IFERROR(INDEX(rev_Client,MATCH(74,rev_New,0)),"")</f>
        <v/>
      </c>
      <c r="M79" s="9">
        <f>IF(L79="","",74)</f>
        <v/>
      </c>
      <c r="N79" s="9">
        <f>IF(L79="","",SUMIFS(rev_Amt,rev_FY,1,rev_Client,L79)+74/1E+6)</f>
        <v/>
      </c>
      <c r="O79" s="39">
        <f>IF(L79="","",IFERROR(SUMIFS(rev_Amt,rev_FY,1,rev_Client,L79)/$C$28,0))</f>
        <v/>
      </c>
      <c r="P79" s="9">
        <f>IF(O79="",0,O79^2)</f>
        <v/>
      </c>
    </row>
    <row r="80">
      <c r="L80" s="9">
        <f>IFERROR(INDEX(rev_Client,MATCH(75,rev_New,0)),"")</f>
        <v/>
      </c>
      <c r="M80" s="9">
        <f>IF(L80="","",75)</f>
        <v/>
      </c>
      <c r="N80" s="9">
        <f>IF(L80="","",SUMIFS(rev_Amt,rev_FY,1,rev_Client,L80)+75/1E+6)</f>
        <v/>
      </c>
      <c r="O80" s="39">
        <f>IF(L80="","",IFERROR(SUMIFS(rev_Amt,rev_FY,1,rev_Client,L80)/$C$28,0))</f>
        <v/>
      </c>
      <c r="P80" s="9">
        <f>IF(O80="",0,O80^2)</f>
        <v/>
      </c>
    </row>
    <row r="81">
      <c r="L81" s="9">
        <f>IFERROR(INDEX(rev_Client,MATCH(76,rev_New,0)),"")</f>
        <v/>
      </c>
      <c r="M81" s="9">
        <f>IF(L81="","",76)</f>
        <v/>
      </c>
      <c r="N81" s="9">
        <f>IF(L81="","",SUMIFS(rev_Amt,rev_FY,1,rev_Client,L81)+76/1E+6)</f>
        <v/>
      </c>
      <c r="O81" s="39">
        <f>IF(L81="","",IFERROR(SUMIFS(rev_Amt,rev_FY,1,rev_Client,L81)/$C$28,0))</f>
        <v/>
      </c>
      <c r="P81" s="9">
        <f>IF(O81="",0,O81^2)</f>
        <v/>
      </c>
    </row>
    <row r="82">
      <c r="L82" s="9">
        <f>IFERROR(INDEX(rev_Client,MATCH(77,rev_New,0)),"")</f>
        <v/>
      </c>
      <c r="M82" s="9">
        <f>IF(L82="","",77)</f>
        <v/>
      </c>
      <c r="N82" s="9">
        <f>IF(L82="","",SUMIFS(rev_Amt,rev_FY,1,rev_Client,L82)+77/1E+6)</f>
        <v/>
      </c>
      <c r="O82" s="39">
        <f>IF(L82="","",IFERROR(SUMIFS(rev_Amt,rev_FY,1,rev_Client,L82)/$C$28,0))</f>
        <v/>
      </c>
      <c r="P82" s="9">
        <f>IF(O82="",0,O82^2)</f>
        <v/>
      </c>
    </row>
    <row r="83">
      <c r="L83" s="9">
        <f>IFERROR(INDEX(rev_Client,MATCH(78,rev_New,0)),"")</f>
        <v/>
      </c>
      <c r="M83" s="9">
        <f>IF(L83="","",78)</f>
        <v/>
      </c>
      <c r="N83" s="9">
        <f>IF(L83="","",SUMIFS(rev_Amt,rev_FY,1,rev_Client,L83)+78/1E+6)</f>
        <v/>
      </c>
      <c r="O83" s="39">
        <f>IF(L83="","",IFERROR(SUMIFS(rev_Amt,rev_FY,1,rev_Client,L83)/$C$28,0))</f>
        <v/>
      </c>
      <c r="P83" s="9">
        <f>IF(O83="",0,O83^2)</f>
        <v/>
      </c>
    </row>
    <row r="84">
      <c r="L84" s="9">
        <f>IFERROR(INDEX(rev_Client,MATCH(79,rev_New,0)),"")</f>
        <v/>
      </c>
      <c r="M84" s="9">
        <f>IF(L84="","",79)</f>
        <v/>
      </c>
      <c r="N84" s="9">
        <f>IF(L84="","",SUMIFS(rev_Amt,rev_FY,1,rev_Client,L84)+79/1E+6)</f>
        <v/>
      </c>
      <c r="O84" s="39">
        <f>IF(L84="","",IFERROR(SUMIFS(rev_Amt,rev_FY,1,rev_Client,L84)/$C$28,0))</f>
        <v/>
      </c>
      <c r="P84" s="9">
        <f>IF(O84="",0,O84^2)</f>
        <v/>
      </c>
    </row>
    <row r="85">
      <c r="L85" s="9">
        <f>IFERROR(INDEX(rev_Client,MATCH(80,rev_New,0)),"")</f>
        <v/>
      </c>
      <c r="M85" s="9">
        <f>IF(L85="","",80)</f>
        <v/>
      </c>
      <c r="N85" s="9">
        <f>IF(L85="","",SUMIFS(rev_Amt,rev_FY,1,rev_Client,L85)+80/1E+6)</f>
        <v/>
      </c>
      <c r="O85" s="39">
        <f>IF(L85="","",IFERROR(SUMIFS(rev_Amt,rev_FY,1,rev_Client,L85)/$C$28,0))</f>
        <v/>
      </c>
      <c r="P85" s="9">
        <f>IF(O85="",0,O85^2)</f>
        <v/>
      </c>
    </row>
    <row r="86">
      <c r="L86" s="9">
        <f>IFERROR(INDEX(rev_Client,MATCH(81,rev_New,0)),"")</f>
        <v/>
      </c>
      <c r="M86" s="9">
        <f>IF(L86="","",81)</f>
        <v/>
      </c>
      <c r="N86" s="9">
        <f>IF(L86="","",SUMIFS(rev_Amt,rev_FY,1,rev_Client,L86)+81/1E+6)</f>
        <v/>
      </c>
      <c r="O86" s="39">
        <f>IF(L86="","",IFERROR(SUMIFS(rev_Amt,rev_FY,1,rev_Client,L86)/$C$28,0))</f>
        <v/>
      </c>
      <c r="P86" s="9">
        <f>IF(O86="",0,O86^2)</f>
        <v/>
      </c>
    </row>
    <row r="87">
      <c r="L87" s="9">
        <f>IFERROR(INDEX(rev_Client,MATCH(82,rev_New,0)),"")</f>
        <v/>
      </c>
      <c r="M87" s="9">
        <f>IF(L87="","",82)</f>
        <v/>
      </c>
      <c r="N87" s="9">
        <f>IF(L87="","",SUMIFS(rev_Amt,rev_FY,1,rev_Client,L87)+82/1E+6)</f>
        <v/>
      </c>
      <c r="O87" s="39">
        <f>IF(L87="","",IFERROR(SUMIFS(rev_Amt,rev_FY,1,rev_Client,L87)/$C$28,0))</f>
        <v/>
      </c>
      <c r="P87" s="9">
        <f>IF(O87="",0,O87^2)</f>
        <v/>
      </c>
    </row>
    <row r="88">
      <c r="L88" s="9">
        <f>IFERROR(INDEX(rev_Client,MATCH(83,rev_New,0)),"")</f>
        <v/>
      </c>
      <c r="M88" s="9">
        <f>IF(L88="","",83)</f>
        <v/>
      </c>
      <c r="N88" s="9">
        <f>IF(L88="","",SUMIFS(rev_Amt,rev_FY,1,rev_Client,L88)+83/1E+6)</f>
        <v/>
      </c>
      <c r="O88" s="39">
        <f>IF(L88="","",IFERROR(SUMIFS(rev_Amt,rev_FY,1,rev_Client,L88)/$C$28,0))</f>
        <v/>
      </c>
      <c r="P88" s="9">
        <f>IF(O88="",0,O88^2)</f>
        <v/>
      </c>
    </row>
    <row r="89">
      <c r="L89" s="9">
        <f>IFERROR(INDEX(rev_Client,MATCH(84,rev_New,0)),"")</f>
        <v/>
      </c>
      <c r="M89" s="9">
        <f>IF(L89="","",84)</f>
        <v/>
      </c>
      <c r="N89" s="9">
        <f>IF(L89="","",SUMIFS(rev_Amt,rev_FY,1,rev_Client,L89)+84/1E+6)</f>
        <v/>
      </c>
      <c r="O89" s="39">
        <f>IF(L89="","",IFERROR(SUMIFS(rev_Amt,rev_FY,1,rev_Client,L89)/$C$28,0))</f>
        <v/>
      </c>
      <c r="P89" s="9">
        <f>IF(O89="",0,O89^2)</f>
        <v/>
      </c>
    </row>
    <row r="90">
      <c r="L90" s="9">
        <f>IFERROR(INDEX(rev_Client,MATCH(85,rev_New,0)),"")</f>
        <v/>
      </c>
      <c r="M90" s="9">
        <f>IF(L90="","",85)</f>
        <v/>
      </c>
      <c r="N90" s="9">
        <f>IF(L90="","",SUMIFS(rev_Amt,rev_FY,1,rev_Client,L90)+85/1E+6)</f>
        <v/>
      </c>
      <c r="O90" s="39">
        <f>IF(L90="","",IFERROR(SUMIFS(rev_Amt,rev_FY,1,rev_Client,L90)/$C$28,0))</f>
        <v/>
      </c>
      <c r="P90" s="9">
        <f>IF(O90="",0,O90^2)</f>
        <v/>
      </c>
    </row>
    <row r="91">
      <c r="L91" s="9">
        <f>IFERROR(INDEX(rev_Client,MATCH(86,rev_New,0)),"")</f>
        <v/>
      </c>
      <c r="M91" s="9">
        <f>IF(L91="","",86)</f>
        <v/>
      </c>
      <c r="N91" s="9">
        <f>IF(L91="","",SUMIFS(rev_Amt,rev_FY,1,rev_Client,L91)+86/1E+6)</f>
        <v/>
      </c>
      <c r="O91" s="39">
        <f>IF(L91="","",IFERROR(SUMIFS(rev_Amt,rev_FY,1,rev_Client,L91)/$C$28,0))</f>
        <v/>
      </c>
      <c r="P91" s="9">
        <f>IF(O91="",0,O91^2)</f>
        <v/>
      </c>
    </row>
    <row r="92">
      <c r="L92" s="9">
        <f>IFERROR(INDEX(rev_Client,MATCH(87,rev_New,0)),"")</f>
        <v/>
      </c>
      <c r="M92" s="9">
        <f>IF(L92="","",87)</f>
        <v/>
      </c>
      <c r="N92" s="9">
        <f>IF(L92="","",SUMIFS(rev_Amt,rev_FY,1,rev_Client,L92)+87/1E+6)</f>
        <v/>
      </c>
      <c r="O92" s="39">
        <f>IF(L92="","",IFERROR(SUMIFS(rev_Amt,rev_FY,1,rev_Client,L92)/$C$28,0))</f>
        <v/>
      </c>
      <c r="P92" s="9">
        <f>IF(O92="",0,O92^2)</f>
        <v/>
      </c>
    </row>
    <row r="93">
      <c r="L93" s="9">
        <f>IFERROR(INDEX(rev_Client,MATCH(88,rev_New,0)),"")</f>
        <v/>
      </c>
      <c r="M93" s="9">
        <f>IF(L93="","",88)</f>
        <v/>
      </c>
      <c r="N93" s="9">
        <f>IF(L93="","",SUMIFS(rev_Amt,rev_FY,1,rev_Client,L93)+88/1E+6)</f>
        <v/>
      </c>
      <c r="O93" s="39">
        <f>IF(L93="","",IFERROR(SUMIFS(rev_Amt,rev_FY,1,rev_Client,L93)/$C$28,0))</f>
        <v/>
      </c>
      <c r="P93" s="9">
        <f>IF(O93="",0,O93^2)</f>
        <v/>
      </c>
    </row>
    <row r="94">
      <c r="L94" s="9">
        <f>IFERROR(INDEX(rev_Client,MATCH(89,rev_New,0)),"")</f>
        <v/>
      </c>
      <c r="M94" s="9">
        <f>IF(L94="","",89)</f>
        <v/>
      </c>
      <c r="N94" s="9">
        <f>IF(L94="","",SUMIFS(rev_Amt,rev_FY,1,rev_Client,L94)+89/1E+6)</f>
        <v/>
      </c>
      <c r="O94" s="39">
        <f>IF(L94="","",IFERROR(SUMIFS(rev_Amt,rev_FY,1,rev_Client,L94)/$C$28,0))</f>
        <v/>
      </c>
      <c r="P94" s="9">
        <f>IF(O94="",0,O94^2)</f>
        <v/>
      </c>
    </row>
    <row r="95">
      <c r="L95" s="9">
        <f>IFERROR(INDEX(rev_Client,MATCH(90,rev_New,0)),"")</f>
        <v/>
      </c>
      <c r="M95" s="9">
        <f>IF(L95="","",90)</f>
        <v/>
      </c>
      <c r="N95" s="9">
        <f>IF(L95="","",SUMIFS(rev_Amt,rev_FY,1,rev_Client,L95)+90/1E+6)</f>
        <v/>
      </c>
      <c r="O95" s="39">
        <f>IF(L95="","",IFERROR(SUMIFS(rev_Amt,rev_FY,1,rev_Client,L95)/$C$28,0))</f>
        <v/>
      </c>
      <c r="P95" s="9">
        <f>IF(O95="",0,O95^2)</f>
        <v/>
      </c>
    </row>
    <row r="96">
      <c r="L96" s="9">
        <f>IFERROR(INDEX(rev_Client,MATCH(91,rev_New,0)),"")</f>
        <v/>
      </c>
      <c r="M96" s="9">
        <f>IF(L96="","",91)</f>
        <v/>
      </c>
      <c r="N96" s="9">
        <f>IF(L96="","",SUMIFS(rev_Amt,rev_FY,1,rev_Client,L96)+91/1E+6)</f>
        <v/>
      </c>
      <c r="O96" s="39">
        <f>IF(L96="","",IFERROR(SUMIFS(rev_Amt,rev_FY,1,rev_Client,L96)/$C$28,0))</f>
        <v/>
      </c>
      <c r="P96" s="9">
        <f>IF(O96="",0,O96^2)</f>
        <v/>
      </c>
    </row>
    <row r="97">
      <c r="L97" s="9">
        <f>IFERROR(INDEX(rev_Client,MATCH(92,rev_New,0)),"")</f>
        <v/>
      </c>
      <c r="M97" s="9">
        <f>IF(L97="","",92)</f>
        <v/>
      </c>
      <c r="N97" s="9">
        <f>IF(L97="","",SUMIFS(rev_Amt,rev_FY,1,rev_Client,L97)+92/1E+6)</f>
        <v/>
      </c>
      <c r="O97" s="39">
        <f>IF(L97="","",IFERROR(SUMIFS(rev_Amt,rev_FY,1,rev_Client,L97)/$C$28,0))</f>
        <v/>
      </c>
      <c r="P97" s="9">
        <f>IF(O97="",0,O97^2)</f>
        <v/>
      </c>
    </row>
    <row r="98">
      <c r="L98" s="9">
        <f>IFERROR(INDEX(rev_Client,MATCH(93,rev_New,0)),"")</f>
        <v/>
      </c>
      <c r="M98" s="9">
        <f>IF(L98="","",93)</f>
        <v/>
      </c>
      <c r="N98" s="9">
        <f>IF(L98="","",SUMIFS(rev_Amt,rev_FY,1,rev_Client,L98)+93/1E+6)</f>
        <v/>
      </c>
      <c r="O98" s="39">
        <f>IF(L98="","",IFERROR(SUMIFS(rev_Amt,rev_FY,1,rev_Client,L98)/$C$28,0))</f>
        <v/>
      </c>
      <c r="P98" s="9">
        <f>IF(O98="",0,O98^2)</f>
        <v/>
      </c>
    </row>
    <row r="99">
      <c r="L99" s="9">
        <f>IFERROR(INDEX(rev_Client,MATCH(94,rev_New,0)),"")</f>
        <v/>
      </c>
      <c r="M99" s="9">
        <f>IF(L99="","",94)</f>
        <v/>
      </c>
      <c r="N99" s="9">
        <f>IF(L99="","",SUMIFS(rev_Amt,rev_FY,1,rev_Client,L99)+94/1E+6)</f>
        <v/>
      </c>
      <c r="O99" s="39">
        <f>IF(L99="","",IFERROR(SUMIFS(rev_Amt,rev_FY,1,rev_Client,L99)/$C$28,0))</f>
        <v/>
      </c>
      <c r="P99" s="9">
        <f>IF(O99="",0,O99^2)</f>
        <v/>
      </c>
    </row>
    <row r="100">
      <c r="L100" s="9">
        <f>IFERROR(INDEX(rev_Client,MATCH(95,rev_New,0)),"")</f>
        <v/>
      </c>
      <c r="M100" s="9">
        <f>IF(L100="","",95)</f>
        <v/>
      </c>
      <c r="N100" s="9">
        <f>IF(L100="","",SUMIFS(rev_Amt,rev_FY,1,rev_Client,L100)+95/1E+6)</f>
        <v/>
      </c>
      <c r="O100" s="39">
        <f>IF(L100="","",IFERROR(SUMIFS(rev_Amt,rev_FY,1,rev_Client,L100)/$C$28,0))</f>
        <v/>
      </c>
      <c r="P100" s="9">
        <f>IF(O100="",0,O100^2)</f>
        <v/>
      </c>
    </row>
    <row r="101">
      <c r="L101" s="9">
        <f>IFERROR(INDEX(rev_Client,MATCH(96,rev_New,0)),"")</f>
        <v/>
      </c>
      <c r="M101" s="9">
        <f>IF(L101="","",96)</f>
        <v/>
      </c>
      <c r="N101" s="9">
        <f>IF(L101="","",SUMIFS(rev_Amt,rev_FY,1,rev_Client,L101)+96/1E+6)</f>
        <v/>
      </c>
      <c r="O101" s="39">
        <f>IF(L101="","",IFERROR(SUMIFS(rev_Amt,rev_FY,1,rev_Client,L101)/$C$28,0))</f>
        <v/>
      </c>
      <c r="P101" s="9">
        <f>IF(O101="",0,O101^2)</f>
        <v/>
      </c>
    </row>
    <row r="102">
      <c r="L102" s="9">
        <f>IFERROR(INDEX(rev_Client,MATCH(97,rev_New,0)),"")</f>
        <v/>
      </c>
      <c r="M102" s="9">
        <f>IF(L102="","",97)</f>
        <v/>
      </c>
      <c r="N102" s="9">
        <f>IF(L102="","",SUMIFS(rev_Amt,rev_FY,1,rev_Client,L102)+97/1E+6)</f>
        <v/>
      </c>
      <c r="O102" s="39">
        <f>IF(L102="","",IFERROR(SUMIFS(rev_Amt,rev_FY,1,rev_Client,L102)/$C$28,0))</f>
        <v/>
      </c>
      <c r="P102" s="9">
        <f>IF(O102="",0,O102^2)</f>
        <v/>
      </c>
    </row>
    <row r="103">
      <c r="L103" s="9">
        <f>IFERROR(INDEX(rev_Client,MATCH(98,rev_New,0)),"")</f>
        <v/>
      </c>
      <c r="M103" s="9">
        <f>IF(L103="","",98)</f>
        <v/>
      </c>
      <c r="N103" s="9">
        <f>IF(L103="","",SUMIFS(rev_Amt,rev_FY,1,rev_Client,L103)+98/1E+6)</f>
        <v/>
      </c>
      <c r="O103" s="39">
        <f>IF(L103="","",IFERROR(SUMIFS(rev_Amt,rev_FY,1,rev_Client,L103)/$C$28,0))</f>
        <v/>
      </c>
      <c r="P103" s="9">
        <f>IF(O103="",0,O103^2)</f>
        <v/>
      </c>
    </row>
    <row r="104">
      <c r="L104" s="9">
        <f>IFERROR(INDEX(rev_Client,MATCH(99,rev_New,0)),"")</f>
        <v/>
      </c>
      <c r="M104" s="9">
        <f>IF(L104="","",99)</f>
        <v/>
      </c>
      <c r="N104" s="9">
        <f>IF(L104="","",SUMIFS(rev_Amt,rev_FY,1,rev_Client,L104)+99/1E+6)</f>
        <v/>
      </c>
      <c r="O104" s="39">
        <f>IF(L104="","",IFERROR(SUMIFS(rev_Amt,rev_FY,1,rev_Client,L104)/$C$28,0))</f>
        <v/>
      </c>
      <c r="P104" s="9">
        <f>IF(O104="",0,O104^2)</f>
        <v/>
      </c>
    </row>
    <row r="105">
      <c r="L105" s="9">
        <f>IFERROR(INDEX(rev_Client,MATCH(100,rev_New,0)),"")</f>
        <v/>
      </c>
      <c r="M105" s="9">
        <f>IF(L105="","",100)</f>
        <v/>
      </c>
      <c r="N105" s="9">
        <f>IF(L105="","",SUMIFS(rev_Amt,rev_FY,1,rev_Client,L105)+100/1E+6)</f>
        <v/>
      </c>
      <c r="O105" s="39">
        <f>IF(L105="","",IFERROR(SUMIFS(rev_Amt,rev_FY,1,rev_Client,L105)/$C$28,0))</f>
        <v/>
      </c>
      <c r="P105" s="9">
        <f>IF(O105="",0,O105^2)</f>
        <v/>
      </c>
    </row>
    <row r="106">
      <c r="L106" s="9">
        <f>IFERROR(INDEX(rev_Client,MATCH(101,rev_New,0)),"")</f>
        <v/>
      </c>
      <c r="M106" s="9">
        <f>IF(L106="","",101)</f>
        <v/>
      </c>
      <c r="N106" s="9">
        <f>IF(L106="","",SUMIFS(rev_Amt,rev_FY,1,rev_Client,L106)+101/1E+6)</f>
        <v/>
      </c>
      <c r="O106" s="39">
        <f>IF(L106="","",IFERROR(SUMIFS(rev_Amt,rev_FY,1,rev_Client,L106)/$C$28,0))</f>
        <v/>
      </c>
      <c r="P106" s="9">
        <f>IF(O106="",0,O106^2)</f>
        <v/>
      </c>
    </row>
    <row r="107">
      <c r="L107" s="9">
        <f>IFERROR(INDEX(rev_Client,MATCH(102,rev_New,0)),"")</f>
        <v/>
      </c>
      <c r="M107" s="9">
        <f>IF(L107="","",102)</f>
        <v/>
      </c>
      <c r="N107" s="9">
        <f>IF(L107="","",SUMIFS(rev_Amt,rev_FY,1,rev_Client,L107)+102/1E+6)</f>
        <v/>
      </c>
      <c r="O107" s="39">
        <f>IF(L107="","",IFERROR(SUMIFS(rev_Amt,rev_FY,1,rev_Client,L107)/$C$28,0))</f>
        <v/>
      </c>
      <c r="P107" s="9">
        <f>IF(O107="",0,O107^2)</f>
        <v/>
      </c>
    </row>
    <row r="108">
      <c r="L108" s="9">
        <f>IFERROR(INDEX(rev_Client,MATCH(103,rev_New,0)),"")</f>
        <v/>
      </c>
      <c r="M108" s="9">
        <f>IF(L108="","",103)</f>
        <v/>
      </c>
      <c r="N108" s="9">
        <f>IF(L108="","",SUMIFS(rev_Amt,rev_FY,1,rev_Client,L108)+103/1E+6)</f>
        <v/>
      </c>
      <c r="O108" s="39">
        <f>IF(L108="","",IFERROR(SUMIFS(rev_Amt,rev_FY,1,rev_Client,L108)/$C$28,0))</f>
        <v/>
      </c>
      <c r="P108" s="9">
        <f>IF(O108="",0,O108^2)</f>
        <v/>
      </c>
    </row>
    <row r="109">
      <c r="L109" s="9">
        <f>IFERROR(INDEX(rev_Client,MATCH(104,rev_New,0)),"")</f>
        <v/>
      </c>
      <c r="M109" s="9">
        <f>IF(L109="","",104)</f>
        <v/>
      </c>
      <c r="N109" s="9">
        <f>IF(L109="","",SUMIFS(rev_Amt,rev_FY,1,rev_Client,L109)+104/1E+6)</f>
        <v/>
      </c>
      <c r="O109" s="39">
        <f>IF(L109="","",IFERROR(SUMIFS(rev_Amt,rev_FY,1,rev_Client,L109)/$C$28,0))</f>
        <v/>
      </c>
      <c r="P109" s="9">
        <f>IF(O109="",0,O109^2)</f>
        <v/>
      </c>
    </row>
    <row r="110">
      <c r="L110" s="9">
        <f>IFERROR(INDEX(rev_Client,MATCH(105,rev_New,0)),"")</f>
        <v/>
      </c>
      <c r="M110" s="9">
        <f>IF(L110="","",105)</f>
        <v/>
      </c>
      <c r="N110" s="9">
        <f>IF(L110="","",SUMIFS(rev_Amt,rev_FY,1,rev_Client,L110)+105/1E+6)</f>
        <v/>
      </c>
      <c r="O110" s="39">
        <f>IF(L110="","",IFERROR(SUMIFS(rev_Amt,rev_FY,1,rev_Client,L110)/$C$28,0))</f>
        <v/>
      </c>
      <c r="P110" s="9">
        <f>IF(O110="",0,O110^2)</f>
        <v/>
      </c>
    </row>
    <row r="111">
      <c r="L111" s="9">
        <f>IFERROR(INDEX(rev_Client,MATCH(106,rev_New,0)),"")</f>
        <v/>
      </c>
      <c r="M111" s="9">
        <f>IF(L111="","",106)</f>
        <v/>
      </c>
      <c r="N111" s="9">
        <f>IF(L111="","",SUMIFS(rev_Amt,rev_FY,1,rev_Client,L111)+106/1E+6)</f>
        <v/>
      </c>
      <c r="O111" s="39">
        <f>IF(L111="","",IFERROR(SUMIFS(rev_Amt,rev_FY,1,rev_Client,L111)/$C$28,0))</f>
        <v/>
      </c>
      <c r="P111" s="9">
        <f>IF(O111="",0,O111^2)</f>
        <v/>
      </c>
    </row>
    <row r="112">
      <c r="L112" s="9">
        <f>IFERROR(INDEX(rev_Client,MATCH(107,rev_New,0)),"")</f>
        <v/>
      </c>
      <c r="M112" s="9">
        <f>IF(L112="","",107)</f>
        <v/>
      </c>
      <c r="N112" s="9">
        <f>IF(L112="","",SUMIFS(rev_Amt,rev_FY,1,rev_Client,L112)+107/1E+6)</f>
        <v/>
      </c>
      <c r="O112" s="39">
        <f>IF(L112="","",IFERROR(SUMIFS(rev_Amt,rev_FY,1,rev_Client,L112)/$C$28,0))</f>
        <v/>
      </c>
      <c r="P112" s="9">
        <f>IF(O112="",0,O112^2)</f>
        <v/>
      </c>
    </row>
    <row r="113">
      <c r="L113" s="9">
        <f>IFERROR(INDEX(rev_Client,MATCH(108,rev_New,0)),"")</f>
        <v/>
      </c>
      <c r="M113" s="9">
        <f>IF(L113="","",108)</f>
        <v/>
      </c>
      <c r="N113" s="9">
        <f>IF(L113="","",SUMIFS(rev_Amt,rev_FY,1,rev_Client,L113)+108/1E+6)</f>
        <v/>
      </c>
      <c r="O113" s="39">
        <f>IF(L113="","",IFERROR(SUMIFS(rev_Amt,rev_FY,1,rev_Client,L113)/$C$28,0))</f>
        <v/>
      </c>
      <c r="P113" s="9">
        <f>IF(O113="",0,O113^2)</f>
        <v/>
      </c>
    </row>
    <row r="114">
      <c r="L114" s="9">
        <f>IFERROR(INDEX(rev_Client,MATCH(109,rev_New,0)),"")</f>
        <v/>
      </c>
      <c r="M114" s="9">
        <f>IF(L114="","",109)</f>
        <v/>
      </c>
      <c r="N114" s="9">
        <f>IF(L114="","",SUMIFS(rev_Amt,rev_FY,1,rev_Client,L114)+109/1E+6)</f>
        <v/>
      </c>
      <c r="O114" s="39">
        <f>IF(L114="","",IFERROR(SUMIFS(rev_Amt,rev_FY,1,rev_Client,L114)/$C$28,0))</f>
        <v/>
      </c>
      <c r="P114" s="9">
        <f>IF(O114="",0,O114^2)</f>
        <v/>
      </c>
    </row>
    <row r="115">
      <c r="L115" s="9">
        <f>IFERROR(INDEX(rev_Client,MATCH(110,rev_New,0)),"")</f>
        <v/>
      </c>
      <c r="M115" s="9">
        <f>IF(L115="","",110)</f>
        <v/>
      </c>
      <c r="N115" s="9">
        <f>IF(L115="","",SUMIFS(rev_Amt,rev_FY,1,rev_Client,L115)+110/1E+6)</f>
        <v/>
      </c>
      <c r="O115" s="39">
        <f>IF(L115="","",IFERROR(SUMIFS(rev_Amt,rev_FY,1,rev_Client,L115)/$C$28,0))</f>
        <v/>
      </c>
      <c r="P115" s="9">
        <f>IF(O115="",0,O115^2)</f>
        <v/>
      </c>
    </row>
    <row r="116">
      <c r="L116" s="9">
        <f>IFERROR(INDEX(rev_Client,MATCH(111,rev_New,0)),"")</f>
        <v/>
      </c>
      <c r="M116" s="9">
        <f>IF(L116="","",111)</f>
        <v/>
      </c>
      <c r="N116" s="9">
        <f>IF(L116="","",SUMIFS(rev_Amt,rev_FY,1,rev_Client,L116)+111/1E+6)</f>
        <v/>
      </c>
      <c r="O116" s="39">
        <f>IF(L116="","",IFERROR(SUMIFS(rev_Amt,rev_FY,1,rev_Client,L116)/$C$28,0))</f>
        <v/>
      </c>
      <c r="P116" s="9">
        <f>IF(O116="",0,O116^2)</f>
        <v/>
      </c>
    </row>
    <row r="117">
      <c r="L117" s="9">
        <f>IFERROR(INDEX(rev_Client,MATCH(112,rev_New,0)),"")</f>
        <v/>
      </c>
      <c r="M117" s="9">
        <f>IF(L117="","",112)</f>
        <v/>
      </c>
      <c r="N117" s="9">
        <f>IF(L117="","",SUMIFS(rev_Amt,rev_FY,1,rev_Client,L117)+112/1E+6)</f>
        <v/>
      </c>
      <c r="O117" s="39">
        <f>IF(L117="","",IFERROR(SUMIFS(rev_Amt,rev_FY,1,rev_Client,L117)/$C$28,0))</f>
        <v/>
      </c>
      <c r="P117" s="9">
        <f>IF(O117="",0,O117^2)</f>
        <v/>
      </c>
    </row>
    <row r="118">
      <c r="L118" s="9">
        <f>IFERROR(INDEX(rev_Client,MATCH(113,rev_New,0)),"")</f>
        <v/>
      </c>
      <c r="M118" s="9">
        <f>IF(L118="","",113)</f>
        <v/>
      </c>
      <c r="N118" s="9">
        <f>IF(L118="","",SUMIFS(rev_Amt,rev_FY,1,rev_Client,L118)+113/1E+6)</f>
        <v/>
      </c>
      <c r="O118" s="39">
        <f>IF(L118="","",IFERROR(SUMIFS(rev_Amt,rev_FY,1,rev_Client,L118)/$C$28,0))</f>
        <v/>
      </c>
      <c r="P118" s="9">
        <f>IF(O118="",0,O118^2)</f>
        <v/>
      </c>
    </row>
    <row r="119">
      <c r="L119" s="9">
        <f>IFERROR(INDEX(rev_Client,MATCH(114,rev_New,0)),"")</f>
        <v/>
      </c>
      <c r="M119" s="9">
        <f>IF(L119="","",114)</f>
        <v/>
      </c>
      <c r="N119" s="9">
        <f>IF(L119="","",SUMIFS(rev_Amt,rev_FY,1,rev_Client,L119)+114/1E+6)</f>
        <v/>
      </c>
      <c r="O119" s="39">
        <f>IF(L119="","",IFERROR(SUMIFS(rev_Amt,rev_FY,1,rev_Client,L119)/$C$28,0))</f>
        <v/>
      </c>
      <c r="P119" s="9">
        <f>IF(O119="",0,O119^2)</f>
        <v/>
      </c>
    </row>
    <row r="120">
      <c r="L120" s="9">
        <f>IFERROR(INDEX(rev_Client,MATCH(115,rev_New,0)),"")</f>
        <v/>
      </c>
      <c r="M120" s="9">
        <f>IF(L120="","",115)</f>
        <v/>
      </c>
      <c r="N120" s="9">
        <f>IF(L120="","",SUMIFS(rev_Amt,rev_FY,1,rev_Client,L120)+115/1E+6)</f>
        <v/>
      </c>
      <c r="O120" s="39">
        <f>IF(L120="","",IFERROR(SUMIFS(rev_Amt,rev_FY,1,rev_Client,L120)/$C$28,0))</f>
        <v/>
      </c>
      <c r="P120" s="9">
        <f>IF(O120="",0,O120^2)</f>
        <v/>
      </c>
    </row>
    <row r="121">
      <c r="L121" s="9">
        <f>IFERROR(INDEX(rev_Client,MATCH(116,rev_New,0)),"")</f>
        <v/>
      </c>
      <c r="M121" s="9">
        <f>IF(L121="","",116)</f>
        <v/>
      </c>
      <c r="N121" s="9">
        <f>IF(L121="","",SUMIFS(rev_Amt,rev_FY,1,rev_Client,L121)+116/1E+6)</f>
        <v/>
      </c>
      <c r="O121" s="39">
        <f>IF(L121="","",IFERROR(SUMIFS(rev_Amt,rev_FY,1,rev_Client,L121)/$C$28,0))</f>
        <v/>
      </c>
      <c r="P121" s="9">
        <f>IF(O121="",0,O121^2)</f>
        <v/>
      </c>
    </row>
    <row r="122">
      <c r="L122" s="9">
        <f>IFERROR(INDEX(rev_Client,MATCH(117,rev_New,0)),"")</f>
        <v/>
      </c>
      <c r="M122" s="9">
        <f>IF(L122="","",117)</f>
        <v/>
      </c>
      <c r="N122" s="9">
        <f>IF(L122="","",SUMIFS(rev_Amt,rev_FY,1,rev_Client,L122)+117/1E+6)</f>
        <v/>
      </c>
      <c r="O122" s="39">
        <f>IF(L122="","",IFERROR(SUMIFS(rev_Amt,rev_FY,1,rev_Client,L122)/$C$28,0))</f>
        <v/>
      </c>
      <c r="P122" s="9">
        <f>IF(O122="",0,O122^2)</f>
        <v/>
      </c>
    </row>
    <row r="123">
      <c r="L123" s="9">
        <f>IFERROR(INDEX(rev_Client,MATCH(118,rev_New,0)),"")</f>
        <v/>
      </c>
      <c r="M123" s="9">
        <f>IF(L123="","",118)</f>
        <v/>
      </c>
      <c r="N123" s="9">
        <f>IF(L123="","",SUMIFS(rev_Amt,rev_FY,1,rev_Client,L123)+118/1E+6)</f>
        <v/>
      </c>
      <c r="O123" s="39">
        <f>IF(L123="","",IFERROR(SUMIFS(rev_Amt,rev_FY,1,rev_Client,L123)/$C$28,0))</f>
        <v/>
      </c>
      <c r="P123" s="9">
        <f>IF(O123="",0,O123^2)</f>
        <v/>
      </c>
    </row>
    <row r="124">
      <c r="L124" s="9">
        <f>IFERROR(INDEX(rev_Client,MATCH(119,rev_New,0)),"")</f>
        <v/>
      </c>
      <c r="M124" s="9">
        <f>IF(L124="","",119)</f>
        <v/>
      </c>
      <c r="N124" s="9">
        <f>IF(L124="","",SUMIFS(rev_Amt,rev_FY,1,rev_Client,L124)+119/1E+6)</f>
        <v/>
      </c>
      <c r="O124" s="39">
        <f>IF(L124="","",IFERROR(SUMIFS(rev_Amt,rev_FY,1,rev_Client,L124)/$C$28,0))</f>
        <v/>
      </c>
      <c r="P124" s="9">
        <f>IF(O124="",0,O124^2)</f>
        <v/>
      </c>
    </row>
    <row r="125">
      <c r="L125" s="9">
        <f>IFERROR(INDEX(rev_Client,MATCH(120,rev_New,0)),"")</f>
        <v/>
      </c>
      <c r="M125" s="9">
        <f>IF(L125="","",120)</f>
        <v/>
      </c>
      <c r="N125" s="9">
        <f>IF(L125="","",SUMIFS(rev_Amt,rev_FY,1,rev_Client,L125)+120/1E+6)</f>
        <v/>
      </c>
      <c r="O125" s="39">
        <f>IF(L125="","",IFERROR(SUMIFS(rev_Amt,rev_FY,1,rev_Client,L125)/$C$28,0))</f>
        <v/>
      </c>
      <c r="P125" s="9">
        <f>IF(O125="",0,O125^2)</f>
        <v/>
      </c>
    </row>
    <row r="126">
      <c r="L126" s="9">
        <f>IFERROR(INDEX(rev_Client,MATCH(121,rev_New,0)),"")</f>
        <v/>
      </c>
      <c r="M126" s="9">
        <f>IF(L126="","",121)</f>
        <v/>
      </c>
      <c r="N126" s="9">
        <f>IF(L126="","",SUMIFS(rev_Amt,rev_FY,1,rev_Client,L126)+121/1E+6)</f>
        <v/>
      </c>
      <c r="O126" s="39">
        <f>IF(L126="","",IFERROR(SUMIFS(rev_Amt,rev_FY,1,rev_Client,L126)/$C$28,0))</f>
        <v/>
      </c>
      <c r="P126" s="9">
        <f>IF(O126="",0,O126^2)</f>
        <v/>
      </c>
    </row>
    <row r="127">
      <c r="L127" s="9">
        <f>IFERROR(INDEX(rev_Client,MATCH(122,rev_New,0)),"")</f>
        <v/>
      </c>
      <c r="M127" s="9">
        <f>IF(L127="","",122)</f>
        <v/>
      </c>
      <c r="N127" s="9">
        <f>IF(L127="","",SUMIFS(rev_Amt,rev_FY,1,rev_Client,L127)+122/1E+6)</f>
        <v/>
      </c>
      <c r="O127" s="39">
        <f>IF(L127="","",IFERROR(SUMIFS(rev_Amt,rev_FY,1,rev_Client,L127)/$C$28,0))</f>
        <v/>
      </c>
      <c r="P127" s="9">
        <f>IF(O127="",0,O127^2)</f>
        <v/>
      </c>
    </row>
    <row r="128">
      <c r="L128" s="9">
        <f>IFERROR(INDEX(rev_Client,MATCH(123,rev_New,0)),"")</f>
        <v/>
      </c>
      <c r="M128" s="9">
        <f>IF(L128="","",123)</f>
        <v/>
      </c>
      <c r="N128" s="9">
        <f>IF(L128="","",SUMIFS(rev_Amt,rev_FY,1,rev_Client,L128)+123/1E+6)</f>
        <v/>
      </c>
      <c r="O128" s="39">
        <f>IF(L128="","",IFERROR(SUMIFS(rev_Amt,rev_FY,1,rev_Client,L128)/$C$28,0))</f>
        <v/>
      </c>
      <c r="P128" s="9">
        <f>IF(O128="",0,O128^2)</f>
        <v/>
      </c>
    </row>
    <row r="129">
      <c r="L129" s="9">
        <f>IFERROR(INDEX(rev_Client,MATCH(124,rev_New,0)),"")</f>
        <v/>
      </c>
      <c r="M129" s="9">
        <f>IF(L129="","",124)</f>
        <v/>
      </c>
      <c r="N129" s="9">
        <f>IF(L129="","",SUMIFS(rev_Amt,rev_FY,1,rev_Client,L129)+124/1E+6)</f>
        <v/>
      </c>
      <c r="O129" s="39">
        <f>IF(L129="","",IFERROR(SUMIFS(rev_Amt,rev_FY,1,rev_Client,L129)/$C$28,0))</f>
        <v/>
      </c>
      <c r="P129" s="9">
        <f>IF(O129="",0,O129^2)</f>
        <v/>
      </c>
    </row>
    <row r="130">
      <c r="L130" s="9">
        <f>IFERROR(INDEX(rev_Client,MATCH(125,rev_New,0)),"")</f>
        <v/>
      </c>
      <c r="M130" s="9">
        <f>IF(L130="","",125)</f>
        <v/>
      </c>
      <c r="N130" s="9">
        <f>IF(L130="","",SUMIFS(rev_Amt,rev_FY,1,rev_Client,L130)+125/1E+6)</f>
        <v/>
      </c>
      <c r="O130" s="39">
        <f>IF(L130="","",IFERROR(SUMIFS(rev_Amt,rev_FY,1,rev_Client,L130)/$C$28,0))</f>
        <v/>
      </c>
      <c r="P130" s="9">
        <f>IF(O130="",0,O130^2)</f>
        <v/>
      </c>
    </row>
    <row r="131">
      <c r="L131" s="9">
        <f>IFERROR(INDEX(rev_Client,MATCH(126,rev_New,0)),"")</f>
        <v/>
      </c>
      <c r="M131" s="9">
        <f>IF(L131="","",126)</f>
        <v/>
      </c>
      <c r="N131" s="9">
        <f>IF(L131="","",SUMIFS(rev_Amt,rev_FY,1,rev_Client,L131)+126/1E+6)</f>
        <v/>
      </c>
      <c r="O131" s="39">
        <f>IF(L131="","",IFERROR(SUMIFS(rev_Amt,rev_FY,1,rev_Client,L131)/$C$28,0))</f>
        <v/>
      </c>
      <c r="P131" s="9">
        <f>IF(O131="",0,O131^2)</f>
        <v/>
      </c>
    </row>
    <row r="132">
      <c r="L132" s="9">
        <f>IFERROR(INDEX(rev_Client,MATCH(127,rev_New,0)),"")</f>
        <v/>
      </c>
      <c r="M132" s="9">
        <f>IF(L132="","",127)</f>
        <v/>
      </c>
      <c r="N132" s="9">
        <f>IF(L132="","",SUMIFS(rev_Amt,rev_FY,1,rev_Client,L132)+127/1E+6)</f>
        <v/>
      </c>
      <c r="O132" s="39">
        <f>IF(L132="","",IFERROR(SUMIFS(rev_Amt,rev_FY,1,rev_Client,L132)/$C$28,0))</f>
        <v/>
      </c>
      <c r="P132" s="9">
        <f>IF(O132="",0,O132^2)</f>
        <v/>
      </c>
    </row>
    <row r="133">
      <c r="L133" s="9">
        <f>IFERROR(INDEX(rev_Client,MATCH(128,rev_New,0)),"")</f>
        <v/>
      </c>
      <c r="M133" s="9">
        <f>IF(L133="","",128)</f>
        <v/>
      </c>
      <c r="N133" s="9">
        <f>IF(L133="","",SUMIFS(rev_Amt,rev_FY,1,rev_Client,L133)+128/1E+6)</f>
        <v/>
      </c>
      <c r="O133" s="39">
        <f>IF(L133="","",IFERROR(SUMIFS(rev_Amt,rev_FY,1,rev_Client,L133)/$C$28,0))</f>
        <v/>
      </c>
      <c r="P133" s="9">
        <f>IF(O133="",0,O133^2)</f>
        <v/>
      </c>
    </row>
    <row r="134">
      <c r="L134" s="9">
        <f>IFERROR(INDEX(rev_Client,MATCH(129,rev_New,0)),"")</f>
        <v/>
      </c>
      <c r="M134" s="9">
        <f>IF(L134="","",129)</f>
        <v/>
      </c>
      <c r="N134" s="9">
        <f>IF(L134="","",SUMIFS(rev_Amt,rev_FY,1,rev_Client,L134)+129/1E+6)</f>
        <v/>
      </c>
      <c r="O134" s="39">
        <f>IF(L134="","",IFERROR(SUMIFS(rev_Amt,rev_FY,1,rev_Client,L134)/$C$28,0))</f>
        <v/>
      </c>
      <c r="P134" s="9">
        <f>IF(O134="",0,O134^2)</f>
        <v/>
      </c>
    </row>
    <row r="135">
      <c r="L135" s="9">
        <f>IFERROR(INDEX(rev_Client,MATCH(130,rev_New,0)),"")</f>
        <v/>
      </c>
      <c r="M135" s="9">
        <f>IF(L135="","",130)</f>
        <v/>
      </c>
      <c r="N135" s="9">
        <f>IF(L135="","",SUMIFS(rev_Amt,rev_FY,1,rev_Client,L135)+130/1E+6)</f>
        <v/>
      </c>
      <c r="O135" s="39">
        <f>IF(L135="","",IFERROR(SUMIFS(rev_Amt,rev_FY,1,rev_Client,L135)/$C$28,0))</f>
        <v/>
      </c>
      <c r="P135" s="9">
        <f>IF(O135="",0,O135^2)</f>
        <v/>
      </c>
    </row>
    <row r="136">
      <c r="L136" s="9">
        <f>IFERROR(INDEX(rev_Client,MATCH(131,rev_New,0)),"")</f>
        <v/>
      </c>
      <c r="M136" s="9">
        <f>IF(L136="","",131)</f>
        <v/>
      </c>
      <c r="N136" s="9">
        <f>IF(L136="","",SUMIFS(rev_Amt,rev_FY,1,rev_Client,L136)+131/1E+6)</f>
        <v/>
      </c>
      <c r="O136" s="39">
        <f>IF(L136="","",IFERROR(SUMIFS(rev_Amt,rev_FY,1,rev_Client,L136)/$C$28,0))</f>
        <v/>
      </c>
      <c r="P136" s="9">
        <f>IF(O136="",0,O136^2)</f>
        <v/>
      </c>
    </row>
    <row r="137">
      <c r="L137" s="9">
        <f>IFERROR(INDEX(rev_Client,MATCH(132,rev_New,0)),"")</f>
        <v/>
      </c>
      <c r="M137" s="9">
        <f>IF(L137="","",132)</f>
        <v/>
      </c>
      <c r="N137" s="9">
        <f>IF(L137="","",SUMIFS(rev_Amt,rev_FY,1,rev_Client,L137)+132/1E+6)</f>
        <v/>
      </c>
      <c r="O137" s="39">
        <f>IF(L137="","",IFERROR(SUMIFS(rev_Amt,rev_FY,1,rev_Client,L137)/$C$28,0))</f>
        <v/>
      </c>
      <c r="P137" s="9">
        <f>IF(O137="",0,O137^2)</f>
        <v/>
      </c>
    </row>
    <row r="138">
      <c r="L138" s="9">
        <f>IFERROR(INDEX(rev_Client,MATCH(133,rev_New,0)),"")</f>
        <v/>
      </c>
      <c r="M138" s="9">
        <f>IF(L138="","",133)</f>
        <v/>
      </c>
      <c r="N138" s="9">
        <f>IF(L138="","",SUMIFS(rev_Amt,rev_FY,1,rev_Client,L138)+133/1E+6)</f>
        <v/>
      </c>
      <c r="O138" s="39">
        <f>IF(L138="","",IFERROR(SUMIFS(rev_Amt,rev_FY,1,rev_Client,L138)/$C$28,0))</f>
        <v/>
      </c>
      <c r="P138" s="9">
        <f>IF(O138="",0,O138^2)</f>
        <v/>
      </c>
    </row>
    <row r="139">
      <c r="L139" s="9">
        <f>IFERROR(INDEX(rev_Client,MATCH(134,rev_New,0)),"")</f>
        <v/>
      </c>
      <c r="M139" s="9">
        <f>IF(L139="","",134)</f>
        <v/>
      </c>
      <c r="N139" s="9">
        <f>IF(L139="","",SUMIFS(rev_Amt,rev_FY,1,rev_Client,L139)+134/1E+6)</f>
        <v/>
      </c>
      <c r="O139" s="39">
        <f>IF(L139="","",IFERROR(SUMIFS(rev_Amt,rev_FY,1,rev_Client,L139)/$C$28,0))</f>
        <v/>
      </c>
      <c r="P139" s="9">
        <f>IF(O139="",0,O139^2)</f>
        <v/>
      </c>
    </row>
    <row r="140">
      <c r="L140" s="9">
        <f>IFERROR(INDEX(rev_Client,MATCH(135,rev_New,0)),"")</f>
        <v/>
      </c>
      <c r="M140" s="9">
        <f>IF(L140="","",135)</f>
        <v/>
      </c>
      <c r="N140" s="9">
        <f>IF(L140="","",SUMIFS(rev_Amt,rev_FY,1,rev_Client,L140)+135/1E+6)</f>
        <v/>
      </c>
      <c r="O140" s="39">
        <f>IF(L140="","",IFERROR(SUMIFS(rev_Amt,rev_FY,1,rev_Client,L140)/$C$28,0))</f>
        <v/>
      </c>
      <c r="P140" s="9">
        <f>IF(O140="",0,O140^2)</f>
        <v/>
      </c>
    </row>
    <row r="141">
      <c r="L141" s="9">
        <f>IFERROR(INDEX(rev_Client,MATCH(136,rev_New,0)),"")</f>
        <v/>
      </c>
      <c r="M141" s="9">
        <f>IF(L141="","",136)</f>
        <v/>
      </c>
      <c r="N141" s="9">
        <f>IF(L141="","",SUMIFS(rev_Amt,rev_FY,1,rev_Client,L141)+136/1E+6)</f>
        <v/>
      </c>
      <c r="O141" s="39">
        <f>IF(L141="","",IFERROR(SUMIFS(rev_Amt,rev_FY,1,rev_Client,L141)/$C$28,0))</f>
        <v/>
      </c>
      <c r="P141" s="9">
        <f>IF(O141="",0,O141^2)</f>
        <v/>
      </c>
    </row>
    <row r="142">
      <c r="L142" s="9">
        <f>IFERROR(INDEX(rev_Client,MATCH(137,rev_New,0)),"")</f>
        <v/>
      </c>
      <c r="M142" s="9">
        <f>IF(L142="","",137)</f>
        <v/>
      </c>
      <c r="N142" s="9">
        <f>IF(L142="","",SUMIFS(rev_Amt,rev_FY,1,rev_Client,L142)+137/1E+6)</f>
        <v/>
      </c>
      <c r="O142" s="39">
        <f>IF(L142="","",IFERROR(SUMIFS(rev_Amt,rev_FY,1,rev_Client,L142)/$C$28,0))</f>
        <v/>
      </c>
      <c r="P142" s="9">
        <f>IF(O142="",0,O142^2)</f>
        <v/>
      </c>
    </row>
    <row r="143">
      <c r="L143" s="9">
        <f>IFERROR(INDEX(rev_Client,MATCH(138,rev_New,0)),"")</f>
        <v/>
      </c>
      <c r="M143" s="9">
        <f>IF(L143="","",138)</f>
        <v/>
      </c>
      <c r="N143" s="9">
        <f>IF(L143="","",SUMIFS(rev_Amt,rev_FY,1,rev_Client,L143)+138/1E+6)</f>
        <v/>
      </c>
      <c r="O143" s="39">
        <f>IF(L143="","",IFERROR(SUMIFS(rev_Amt,rev_FY,1,rev_Client,L143)/$C$28,0))</f>
        <v/>
      </c>
      <c r="P143" s="9">
        <f>IF(O143="",0,O143^2)</f>
        <v/>
      </c>
    </row>
    <row r="144">
      <c r="L144" s="9">
        <f>IFERROR(INDEX(rev_Client,MATCH(139,rev_New,0)),"")</f>
        <v/>
      </c>
      <c r="M144" s="9">
        <f>IF(L144="","",139)</f>
        <v/>
      </c>
      <c r="N144" s="9">
        <f>IF(L144="","",SUMIFS(rev_Amt,rev_FY,1,rev_Client,L144)+139/1E+6)</f>
        <v/>
      </c>
      <c r="O144" s="39">
        <f>IF(L144="","",IFERROR(SUMIFS(rev_Amt,rev_FY,1,rev_Client,L144)/$C$28,0))</f>
        <v/>
      </c>
      <c r="P144" s="9">
        <f>IF(O144="",0,O144^2)</f>
        <v/>
      </c>
    </row>
    <row r="145">
      <c r="L145" s="9">
        <f>IFERROR(INDEX(rev_Client,MATCH(140,rev_New,0)),"")</f>
        <v/>
      </c>
      <c r="M145" s="9">
        <f>IF(L145="","",140)</f>
        <v/>
      </c>
      <c r="N145" s="9">
        <f>IF(L145="","",SUMIFS(rev_Amt,rev_FY,1,rev_Client,L145)+140/1E+6)</f>
        <v/>
      </c>
      <c r="O145" s="39">
        <f>IF(L145="","",IFERROR(SUMIFS(rev_Amt,rev_FY,1,rev_Client,L145)/$C$28,0))</f>
        <v/>
      </c>
      <c r="P145" s="9">
        <f>IF(O145="",0,O145^2)</f>
        <v/>
      </c>
    </row>
    <row r="146">
      <c r="L146" s="9">
        <f>IFERROR(INDEX(rev_Client,MATCH(141,rev_New,0)),"")</f>
        <v/>
      </c>
      <c r="M146" s="9">
        <f>IF(L146="","",141)</f>
        <v/>
      </c>
      <c r="N146" s="9">
        <f>IF(L146="","",SUMIFS(rev_Amt,rev_FY,1,rev_Client,L146)+141/1E+6)</f>
        <v/>
      </c>
      <c r="O146" s="39">
        <f>IF(L146="","",IFERROR(SUMIFS(rev_Amt,rev_FY,1,rev_Client,L146)/$C$28,0))</f>
        <v/>
      </c>
      <c r="P146" s="9">
        <f>IF(O146="",0,O146^2)</f>
        <v/>
      </c>
    </row>
    <row r="147">
      <c r="L147" s="9">
        <f>IFERROR(INDEX(rev_Client,MATCH(142,rev_New,0)),"")</f>
        <v/>
      </c>
      <c r="M147" s="9">
        <f>IF(L147="","",142)</f>
        <v/>
      </c>
      <c r="N147" s="9">
        <f>IF(L147="","",SUMIFS(rev_Amt,rev_FY,1,rev_Client,L147)+142/1E+6)</f>
        <v/>
      </c>
      <c r="O147" s="39">
        <f>IF(L147="","",IFERROR(SUMIFS(rev_Amt,rev_FY,1,rev_Client,L147)/$C$28,0))</f>
        <v/>
      </c>
      <c r="P147" s="9">
        <f>IF(O147="",0,O147^2)</f>
        <v/>
      </c>
    </row>
    <row r="148">
      <c r="L148" s="9">
        <f>IFERROR(INDEX(rev_Client,MATCH(143,rev_New,0)),"")</f>
        <v/>
      </c>
      <c r="M148" s="9">
        <f>IF(L148="","",143)</f>
        <v/>
      </c>
      <c r="N148" s="9">
        <f>IF(L148="","",SUMIFS(rev_Amt,rev_FY,1,rev_Client,L148)+143/1E+6)</f>
        <v/>
      </c>
      <c r="O148" s="39">
        <f>IF(L148="","",IFERROR(SUMIFS(rev_Amt,rev_FY,1,rev_Client,L148)/$C$28,0))</f>
        <v/>
      </c>
      <c r="P148" s="9">
        <f>IF(O148="",0,O148^2)</f>
        <v/>
      </c>
    </row>
    <row r="149">
      <c r="L149" s="9">
        <f>IFERROR(INDEX(rev_Client,MATCH(144,rev_New,0)),"")</f>
        <v/>
      </c>
      <c r="M149" s="9">
        <f>IF(L149="","",144)</f>
        <v/>
      </c>
      <c r="N149" s="9">
        <f>IF(L149="","",SUMIFS(rev_Amt,rev_FY,1,rev_Client,L149)+144/1E+6)</f>
        <v/>
      </c>
      <c r="O149" s="39">
        <f>IF(L149="","",IFERROR(SUMIFS(rev_Amt,rev_FY,1,rev_Client,L149)/$C$28,0))</f>
        <v/>
      </c>
      <c r="P149" s="9">
        <f>IF(O149="",0,O149^2)</f>
        <v/>
      </c>
    </row>
    <row r="150">
      <c r="L150" s="9">
        <f>IFERROR(INDEX(rev_Client,MATCH(145,rev_New,0)),"")</f>
        <v/>
      </c>
      <c r="M150" s="9">
        <f>IF(L150="","",145)</f>
        <v/>
      </c>
      <c r="N150" s="9">
        <f>IF(L150="","",SUMIFS(rev_Amt,rev_FY,1,rev_Client,L150)+145/1E+6)</f>
        <v/>
      </c>
      <c r="O150" s="39">
        <f>IF(L150="","",IFERROR(SUMIFS(rev_Amt,rev_FY,1,rev_Client,L150)/$C$28,0))</f>
        <v/>
      </c>
      <c r="P150" s="9">
        <f>IF(O150="",0,O150^2)</f>
        <v/>
      </c>
    </row>
    <row r="151">
      <c r="L151" s="9">
        <f>IFERROR(INDEX(rev_Client,MATCH(146,rev_New,0)),"")</f>
        <v/>
      </c>
      <c r="M151" s="9">
        <f>IF(L151="","",146)</f>
        <v/>
      </c>
      <c r="N151" s="9">
        <f>IF(L151="","",SUMIFS(rev_Amt,rev_FY,1,rev_Client,L151)+146/1E+6)</f>
        <v/>
      </c>
      <c r="O151" s="39">
        <f>IF(L151="","",IFERROR(SUMIFS(rev_Amt,rev_FY,1,rev_Client,L151)/$C$28,0))</f>
        <v/>
      </c>
      <c r="P151" s="9">
        <f>IF(O151="",0,O151^2)</f>
        <v/>
      </c>
    </row>
    <row r="152">
      <c r="L152" s="9">
        <f>IFERROR(INDEX(rev_Client,MATCH(147,rev_New,0)),"")</f>
        <v/>
      </c>
      <c r="M152" s="9">
        <f>IF(L152="","",147)</f>
        <v/>
      </c>
      <c r="N152" s="9">
        <f>IF(L152="","",SUMIFS(rev_Amt,rev_FY,1,rev_Client,L152)+147/1E+6)</f>
        <v/>
      </c>
      <c r="O152" s="39">
        <f>IF(L152="","",IFERROR(SUMIFS(rev_Amt,rev_FY,1,rev_Client,L152)/$C$28,0))</f>
        <v/>
      </c>
      <c r="P152" s="9">
        <f>IF(O152="",0,O152^2)</f>
        <v/>
      </c>
    </row>
    <row r="153">
      <c r="L153" s="9">
        <f>IFERROR(INDEX(rev_Client,MATCH(148,rev_New,0)),"")</f>
        <v/>
      </c>
      <c r="M153" s="9">
        <f>IF(L153="","",148)</f>
        <v/>
      </c>
      <c r="N153" s="9">
        <f>IF(L153="","",SUMIFS(rev_Amt,rev_FY,1,rev_Client,L153)+148/1E+6)</f>
        <v/>
      </c>
      <c r="O153" s="39">
        <f>IF(L153="","",IFERROR(SUMIFS(rev_Amt,rev_FY,1,rev_Client,L153)/$C$28,0))</f>
        <v/>
      </c>
      <c r="P153" s="9">
        <f>IF(O153="",0,O153^2)</f>
        <v/>
      </c>
    </row>
    <row r="154">
      <c r="L154" s="9">
        <f>IFERROR(INDEX(rev_Client,MATCH(149,rev_New,0)),"")</f>
        <v/>
      </c>
      <c r="M154" s="9">
        <f>IF(L154="","",149)</f>
        <v/>
      </c>
      <c r="N154" s="9">
        <f>IF(L154="","",SUMIFS(rev_Amt,rev_FY,1,rev_Client,L154)+149/1E+6)</f>
        <v/>
      </c>
      <c r="O154" s="39">
        <f>IF(L154="","",IFERROR(SUMIFS(rev_Amt,rev_FY,1,rev_Client,L154)/$C$28,0))</f>
        <v/>
      </c>
      <c r="P154" s="9">
        <f>IF(O154="",0,O154^2)</f>
        <v/>
      </c>
    </row>
    <row r="155">
      <c r="L155" s="9">
        <f>IFERROR(INDEX(rev_Client,MATCH(150,rev_New,0)),"")</f>
        <v/>
      </c>
      <c r="M155" s="9">
        <f>IF(L155="","",150)</f>
        <v/>
      </c>
      <c r="N155" s="9">
        <f>IF(L155="","",SUMIFS(rev_Amt,rev_FY,1,rev_Client,L155)+150/1E+6)</f>
        <v/>
      </c>
      <c r="O155" s="39">
        <f>IF(L155="","",IFERROR(SUMIFS(rev_Amt,rev_FY,1,rev_Client,L155)/$C$28,0))</f>
        <v/>
      </c>
      <c r="P155" s="9">
        <f>IF(O155="",0,O155^2)</f>
        <v/>
      </c>
    </row>
    <row r="156">
      <c r="L156" s="9">
        <f>IFERROR(INDEX(rev_Client,MATCH(151,rev_New,0)),"")</f>
        <v/>
      </c>
      <c r="M156" s="9">
        <f>IF(L156="","",151)</f>
        <v/>
      </c>
      <c r="N156" s="9">
        <f>IF(L156="","",SUMIFS(rev_Amt,rev_FY,1,rev_Client,L156)+151/1E+6)</f>
        <v/>
      </c>
      <c r="O156" s="39">
        <f>IF(L156="","",IFERROR(SUMIFS(rev_Amt,rev_FY,1,rev_Client,L156)/$C$28,0))</f>
        <v/>
      </c>
      <c r="P156" s="9">
        <f>IF(O156="",0,O156^2)</f>
        <v/>
      </c>
    </row>
    <row r="157">
      <c r="L157" s="9">
        <f>IFERROR(INDEX(rev_Client,MATCH(152,rev_New,0)),"")</f>
        <v/>
      </c>
      <c r="M157" s="9">
        <f>IF(L157="","",152)</f>
        <v/>
      </c>
      <c r="N157" s="9">
        <f>IF(L157="","",SUMIFS(rev_Amt,rev_FY,1,rev_Client,L157)+152/1E+6)</f>
        <v/>
      </c>
      <c r="O157" s="39">
        <f>IF(L157="","",IFERROR(SUMIFS(rev_Amt,rev_FY,1,rev_Client,L157)/$C$28,0))</f>
        <v/>
      </c>
      <c r="P157" s="9">
        <f>IF(O157="",0,O157^2)</f>
        <v/>
      </c>
    </row>
    <row r="158">
      <c r="L158" s="9">
        <f>IFERROR(INDEX(rev_Client,MATCH(153,rev_New,0)),"")</f>
        <v/>
      </c>
      <c r="M158" s="9">
        <f>IF(L158="","",153)</f>
        <v/>
      </c>
      <c r="N158" s="9">
        <f>IF(L158="","",SUMIFS(rev_Amt,rev_FY,1,rev_Client,L158)+153/1E+6)</f>
        <v/>
      </c>
      <c r="O158" s="39">
        <f>IF(L158="","",IFERROR(SUMIFS(rev_Amt,rev_FY,1,rev_Client,L158)/$C$28,0))</f>
        <v/>
      </c>
      <c r="P158" s="9">
        <f>IF(O158="",0,O158^2)</f>
        <v/>
      </c>
    </row>
    <row r="159">
      <c r="L159" s="9">
        <f>IFERROR(INDEX(rev_Client,MATCH(154,rev_New,0)),"")</f>
        <v/>
      </c>
      <c r="M159" s="9">
        <f>IF(L159="","",154)</f>
        <v/>
      </c>
      <c r="N159" s="9">
        <f>IF(L159="","",SUMIFS(rev_Amt,rev_FY,1,rev_Client,L159)+154/1E+6)</f>
        <v/>
      </c>
      <c r="O159" s="39">
        <f>IF(L159="","",IFERROR(SUMIFS(rev_Amt,rev_FY,1,rev_Client,L159)/$C$28,0))</f>
        <v/>
      </c>
      <c r="P159" s="9">
        <f>IF(O159="",0,O159^2)</f>
        <v/>
      </c>
    </row>
    <row r="160">
      <c r="L160" s="9">
        <f>IFERROR(INDEX(rev_Client,MATCH(155,rev_New,0)),"")</f>
        <v/>
      </c>
      <c r="M160" s="9">
        <f>IF(L160="","",155)</f>
        <v/>
      </c>
      <c r="N160" s="9">
        <f>IF(L160="","",SUMIFS(rev_Amt,rev_FY,1,rev_Client,L160)+155/1E+6)</f>
        <v/>
      </c>
      <c r="O160" s="39">
        <f>IF(L160="","",IFERROR(SUMIFS(rev_Amt,rev_FY,1,rev_Client,L160)/$C$28,0))</f>
        <v/>
      </c>
      <c r="P160" s="9">
        <f>IF(O160="",0,O160^2)</f>
        <v/>
      </c>
    </row>
    <row r="161">
      <c r="L161" s="9">
        <f>IFERROR(INDEX(rev_Client,MATCH(156,rev_New,0)),"")</f>
        <v/>
      </c>
      <c r="M161" s="9">
        <f>IF(L161="","",156)</f>
        <v/>
      </c>
      <c r="N161" s="9">
        <f>IF(L161="","",SUMIFS(rev_Amt,rev_FY,1,rev_Client,L161)+156/1E+6)</f>
        <v/>
      </c>
      <c r="O161" s="39">
        <f>IF(L161="","",IFERROR(SUMIFS(rev_Amt,rev_FY,1,rev_Client,L161)/$C$28,0))</f>
        <v/>
      </c>
      <c r="P161" s="9">
        <f>IF(O161="",0,O161^2)</f>
        <v/>
      </c>
    </row>
    <row r="162">
      <c r="L162" s="9">
        <f>IFERROR(INDEX(rev_Client,MATCH(157,rev_New,0)),"")</f>
        <v/>
      </c>
      <c r="M162" s="9">
        <f>IF(L162="","",157)</f>
        <v/>
      </c>
      <c r="N162" s="9">
        <f>IF(L162="","",SUMIFS(rev_Amt,rev_FY,1,rev_Client,L162)+157/1E+6)</f>
        <v/>
      </c>
      <c r="O162" s="39">
        <f>IF(L162="","",IFERROR(SUMIFS(rev_Amt,rev_FY,1,rev_Client,L162)/$C$28,0))</f>
        <v/>
      </c>
      <c r="P162" s="9">
        <f>IF(O162="",0,O162^2)</f>
        <v/>
      </c>
    </row>
    <row r="163">
      <c r="L163" s="9">
        <f>IFERROR(INDEX(rev_Client,MATCH(158,rev_New,0)),"")</f>
        <v/>
      </c>
      <c r="M163" s="9">
        <f>IF(L163="","",158)</f>
        <v/>
      </c>
      <c r="N163" s="9">
        <f>IF(L163="","",SUMIFS(rev_Amt,rev_FY,1,rev_Client,L163)+158/1E+6)</f>
        <v/>
      </c>
      <c r="O163" s="39">
        <f>IF(L163="","",IFERROR(SUMIFS(rev_Amt,rev_FY,1,rev_Client,L163)/$C$28,0))</f>
        <v/>
      </c>
      <c r="P163" s="9">
        <f>IF(O163="",0,O163^2)</f>
        <v/>
      </c>
    </row>
    <row r="164">
      <c r="L164" s="9">
        <f>IFERROR(INDEX(rev_Client,MATCH(159,rev_New,0)),"")</f>
        <v/>
      </c>
      <c r="M164" s="9">
        <f>IF(L164="","",159)</f>
        <v/>
      </c>
      <c r="N164" s="9">
        <f>IF(L164="","",SUMIFS(rev_Amt,rev_FY,1,rev_Client,L164)+159/1E+6)</f>
        <v/>
      </c>
      <c r="O164" s="39">
        <f>IF(L164="","",IFERROR(SUMIFS(rev_Amt,rev_FY,1,rev_Client,L164)/$C$28,0))</f>
        <v/>
      </c>
      <c r="P164" s="9">
        <f>IF(O164="",0,O164^2)</f>
        <v/>
      </c>
    </row>
    <row r="165">
      <c r="L165" s="9">
        <f>IFERROR(INDEX(rev_Client,MATCH(160,rev_New,0)),"")</f>
        <v/>
      </c>
      <c r="M165" s="9">
        <f>IF(L165="","",160)</f>
        <v/>
      </c>
      <c r="N165" s="9">
        <f>IF(L165="","",SUMIFS(rev_Amt,rev_FY,1,rev_Client,L165)+160/1E+6)</f>
        <v/>
      </c>
      <c r="O165" s="39">
        <f>IF(L165="","",IFERROR(SUMIFS(rev_Amt,rev_FY,1,rev_Client,L165)/$C$28,0))</f>
        <v/>
      </c>
      <c r="P165" s="9">
        <f>IF(O165="",0,O165^2)</f>
        <v/>
      </c>
    </row>
    <row r="166">
      <c r="L166" s="9">
        <f>IFERROR(INDEX(rev_Client,MATCH(161,rev_New,0)),"")</f>
        <v/>
      </c>
      <c r="M166" s="9">
        <f>IF(L166="","",161)</f>
        <v/>
      </c>
      <c r="N166" s="9">
        <f>IF(L166="","",SUMIFS(rev_Amt,rev_FY,1,rev_Client,L166)+161/1E+6)</f>
        <v/>
      </c>
      <c r="O166" s="39">
        <f>IF(L166="","",IFERROR(SUMIFS(rev_Amt,rev_FY,1,rev_Client,L166)/$C$28,0))</f>
        <v/>
      </c>
      <c r="P166" s="9">
        <f>IF(O166="",0,O166^2)</f>
        <v/>
      </c>
    </row>
    <row r="167">
      <c r="L167" s="9">
        <f>IFERROR(INDEX(rev_Client,MATCH(162,rev_New,0)),"")</f>
        <v/>
      </c>
      <c r="M167" s="9">
        <f>IF(L167="","",162)</f>
        <v/>
      </c>
      <c r="N167" s="9">
        <f>IF(L167="","",SUMIFS(rev_Amt,rev_FY,1,rev_Client,L167)+162/1E+6)</f>
        <v/>
      </c>
      <c r="O167" s="39">
        <f>IF(L167="","",IFERROR(SUMIFS(rev_Amt,rev_FY,1,rev_Client,L167)/$C$28,0))</f>
        <v/>
      </c>
      <c r="P167" s="9">
        <f>IF(O167="",0,O167^2)</f>
        <v/>
      </c>
    </row>
    <row r="168">
      <c r="L168" s="9">
        <f>IFERROR(INDEX(rev_Client,MATCH(163,rev_New,0)),"")</f>
        <v/>
      </c>
      <c r="M168" s="9">
        <f>IF(L168="","",163)</f>
        <v/>
      </c>
      <c r="N168" s="9">
        <f>IF(L168="","",SUMIFS(rev_Amt,rev_FY,1,rev_Client,L168)+163/1E+6)</f>
        <v/>
      </c>
      <c r="O168" s="39">
        <f>IF(L168="","",IFERROR(SUMIFS(rev_Amt,rev_FY,1,rev_Client,L168)/$C$28,0))</f>
        <v/>
      </c>
      <c r="P168" s="9">
        <f>IF(O168="",0,O168^2)</f>
        <v/>
      </c>
    </row>
    <row r="169">
      <c r="L169" s="9">
        <f>IFERROR(INDEX(rev_Client,MATCH(164,rev_New,0)),"")</f>
        <v/>
      </c>
      <c r="M169" s="9">
        <f>IF(L169="","",164)</f>
        <v/>
      </c>
      <c r="N169" s="9">
        <f>IF(L169="","",SUMIFS(rev_Amt,rev_FY,1,rev_Client,L169)+164/1E+6)</f>
        <v/>
      </c>
      <c r="O169" s="39">
        <f>IF(L169="","",IFERROR(SUMIFS(rev_Amt,rev_FY,1,rev_Client,L169)/$C$28,0))</f>
        <v/>
      </c>
      <c r="P169" s="9">
        <f>IF(O169="",0,O169^2)</f>
        <v/>
      </c>
    </row>
    <row r="170">
      <c r="L170" s="9">
        <f>IFERROR(INDEX(rev_Client,MATCH(165,rev_New,0)),"")</f>
        <v/>
      </c>
      <c r="M170" s="9">
        <f>IF(L170="","",165)</f>
        <v/>
      </c>
      <c r="N170" s="9">
        <f>IF(L170="","",SUMIFS(rev_Amt,rev_FY,1,rev_Client,L170)+165/1E+6)</f>
        <v/>
      </c>
      <c r="O170" s="39">
        <f>IF(L170="","",IFERROR(SUMIFS(rev_Amt,rev_FY,1,rev_Client,L170)/$C$28,0))</f>
        <v/>
      </c>
      <c r="P170" s="9">
        <f>IF(O170="",0,O170^2)</f>
        <v/>
      </c>
    </row>
    <row r="171">
      <c r="L171" s="9">
        <f>IFERROR(INDEX(rev_Client,MATCH(166,rev_New,0)),"")</f>
        <v/>
      </c>
      <c r="M171" s="9">
        <f>IF(L171="","",166)</f>
        <v/>
      </c>
      <c r="N171" s="9">
        <f>IF(L171="","",SUMIFS(rev_Amt,rev_FY,1,rev_Client,L171)+166/1E+6)</f>
        <v/>
      </c>
      <c r="O171" s="39">
        <f>IF(L171="","",IFERROR(SUMIFS(rev_Amt,rev_FY,1,rev_Client,L171)/$C$28,0))</f>
        <v/>
      </c>
      <c r="P171" s="9">
        <f>IF(O171="",0,O171^2)</f>
        <v/>
      </c>
    </row>
    <row r="172">
      <c r="L172" s="9">
        <f>IFERROR(INDEX(rev_Client,MATCH(167,rev_New,0)),"")</f>
        <v/>
      </c>
      <c r="M172" s="9">
        <f>IF(L172="","",167)</f>
        <v/>
      </c>
      <c r="N172" s="9">
        <f>IF(L172="","",SUMIFS(rev_Amt,rev_FY,1,rev_Client,L172)+167/1E+6)</f>
        <v/>
      </c>
      <c r="O172" s="39">
        <f>IF(L172="","",IFERROR(SUMIFS(rev_Amt,rev_FY,1,rev_Client,L172)/$C$28,0))</f>
        <v/>
      </c>
      <c r="P172" s="9">
        <f>IF(O172="",0,O172^2)</f>
        <v/>
      </c>
    </row>
    <row r="173">
      <c r="L173" s="9">
        <f>IFERROR(INDEX(rev_Client,MATCH(168,rev_New,0)),"")</f>
        <v/>
      </c>
      <c r="M173" s="9">
        <f>IF(L173="","",168)</f>
        <v/>
      </c>
      <c r="N173" s="9">
        <f>IF(L173="","",SUMIFS(rev_Amt,rev_FY,1,rev_Client,L173)+168/1E+6)</f>
        <v/>
      </c>
      <c r="O173" s="39">
        <f>IF(L173="","",IFERROR(SUMIFS(rev_Amt,rev_FY,1,rev_Client,L173)/$C$28,0))</f>
        <v/>
      </c>
      <c r="P173" s="9">
        <f>IF(O173="",0,O173^2)</f>
        <v/>
      </c>
    </row>
    <row r="174">
      <c r="L174" s="9">
        <f>IFERROR(INDEX(rev_Client,MATCH(169,rev_New,0)),"")</f>
        <v/>
      </c>
      <c r="M174" s="9">
        <f>IF(L174="","",169)</f>
        <v/>
      </c>
      <c r="N174" s="9">
        <f>IF(L174="","",SUMIFS(rev_Amt,rev_FY,1,rev_Client,L174)+169/1E+6)</f>
        <v/>
      </c>
      <c r="O174" s="39">
        <f>IF(L174="","",IFERROR(SUMIFS(rev_Amt,rev_FY,1,rev_Client,L174)/$C$28,0))</f>
        <v/>
      </c>
      <c r="P174" s="9">
        <f>IF(O174="",0,O174^2)</f>
        <v/>
      </c>
    </row>
    <row r="175">
      <c r="L175" s="9">
        <f>IFERROR(INDEX(rev_Client,MATCH(170,rev_New,0)),"")</f>
        <v/>
      </c>
      <c r="M175" s="9">
        <f>IF(L175="","",170)</f>
        <v/>
      </c>
      <c r="N175" s="9">
        <f>IF(L175="","",SUMIFS(rev_Amt,rev_FY,1,rev_Client,L175)+170/1E+6)</f>
        <v/>
      </c>
      <c r="O175" s="39">
        <f>IF(L175="","",IFERROR(SUMIFS(rev_Amt,rev_FY,1,rev_Client,L175)/$C$28,0))</f>
        <v/>
      </c>
      <c r="P175" s="9">
        <f>IF(O175="",0,O175^2)</f>
        <v/>
      </c>
    </row>
    <row r="176">
      <c r="L176" s="9">
        <f>IFERROR(INDEX(rev_Client,MATCH(171,rev_New,0)),"")</f>
        <v/>
      </c>
      <c r="M176" s="9">
        <f>IF(L176="","",171)</f>
        <v/>
      </c>
      <c r="N176" s="9">
        <f>IF(L176="","",SUMIFS(rev_Amt,rev_FY,1,rev_Client,L176)+171/1E+6)</f>
        <v/>
      </c>
      <c r="O176" s="39">
        <f>IF(L176="","",IFERROR(SUMIFS(rev_Amt,rev_FY,1,rev_Client,L176)/$C$28,0))</f>
        <v/>
      </c>
      <c r="P176" s="9">
        <f>IF(O176="",0,O176^2)</f>
        <v/>
      </c>
    </row>
    <row r="177">
      <c r="L177" s="9">
        <f>IFERROR(INDEX(rev_Client,MATCH(172,rev_New,0)),"")</f>
        <v/>
      </c>
      <c r="M177" s="9">
        <f>IF(L177="","",172)</f>
        <v/>
      </c>
      <c r="N177" s="9">
        <f>IF(L177="","",SUMIFS(rev_Amt,rev_FY,1,rev_Client,L177)+172/1E+6)</f>
        <v/>
      </c>
      <c r="O177" s="39">
        <f>IF(L177="","",IFERROR(SUMIFS(rev_Amt,rev_FY,1,rev_Client,L177)/$C$28,0))</f>
        <v/>
      </c>
      <c r="P177" s="9">
        <f>IF(O177="",0,O177^2)</f>
        <v/>
      </c>
    </row>
    <row r="178">
      <c r="L178" s="9">
        <f>IFERROR(INDEX(rev_Client,MATCH(173,rev_New,0)),"")</f>
        <v/>
      </c>
      <c r="M178" s="9">
        <f>IF(L178="","",173)</f>
        <v/>
      </c>
      <c r="N178" s="9">
        <f>IF(L178="","",SUMIFS(rev_Amt,rev_FY,1,rev_Client,L178)+173/1E+6)</f>
        <v/>
      </c>
      <c r="O178" s="39">
        <f>IF(L178="","",IFERROR(SUMIFS(rev_Amt,rev_FY,1,rev_Client,L178)/$C$28,0))</f>
        <v/>
      </c>
      <c r="P178" s="9">
        <f>IF(O178="",0,O178^2)</f>
        <v/>
      </c>
    </row>
    <row r="179">
      <c r="L179" s="9">
        <f>IFERROR(INDEX(rev_Client,MATCH(174,rev_New,0)),"")</f>
        <v/>
      </c>
      <c r="M179" s="9">
        <f>IF(L179="","",174)</f>
        <v/>
      </c>
      <c r="N179" s="9">
        <f>IF(L179="","",SUMIFS(rev_Amt,rev_FY,1,rev_Client,L179)+174/1E+6)</f>
        <v/>
      </c>
      <c r="O179" s="39">
        <f>IF(L179="","",IFERROR(SUMIFS(rev_Amt,rev_FY,1,rev_Client,L179)/$C$28,0))</f>
        <v/>
      </c>
      <c r="P179" s="9">
        <f>IF(O179="",0,O179^2)</f>
        <v/>
      </c>
    </row>
    <row r="180">
      <c r="L180" s="9">
        <f>IFERROR(INDEX(rev_Client,MATCH(175,rev_New,0)),"")</f>
        <v/>
      </c>
      <c r="M180" s="9">
        <f>IF(L180="","",175)</f>
        <v/>
      </c>
      <c r="N180" s="9">
        <f>IF(L180="","",SUMIFS(rev_Amt,rev_FY,1,rev_Client,L180)+175/1E+6)</f>
        <v/>
      </c>
      <c r="O180" s="39">
        <f>IF(L180="","",IFERROR(SUMIFS(rev_Amt,rev_FY,1,rev_Client,L180)/$C$28,0))</f>
        <v/>
      </c>
      <c r="P180" s="9">
        <f>IF(O180="",0,O180^2)</f>
        <v/>
      </c>
    </row>
    <row r="181">
      <c r="L181" s="9">
        <f>IFERROR(INDEX(rev_Client,MATCH(176,rev_New,0)),"")</f>
        <v/>
      </c>
      <c r="M181" s="9">
        <f>IF(L181="","",176)</f>
        <v/>
      </c>
      <c r="N181" s="9">
        <f>IF(L181="","",SUMIFS(rev_Amt,rev_FY,1,rev_Client,L181)+176/1E+6)</f>
        <v/>
      </c>
      <c r="O181" s="39">
        <f>IF(L181="","",IFERROR(SUMIFS(rev_Amt,rev_FY,1,rev_Client,L181)/$C$28,0))</f>
        <v/>
      </c>
      <c r="P181" s="9">
        <f>IF(O181="",0,O181^2)</f>
        <v/>
      </c>
    </row>
    <row r="182">
      <c r="L182" s="9">
        <f>IFERROR(INDEX(rev_Client,MATCH(177,rev_New,0)),"")</f>
        <v/>
      </c>
      <c r="M182" s="9">
        <f>IF(L182="","",177)</f>
        <v/>
      </c>
      <c r="N182" s="9">
        <f>IF(L182="","",SUMIFS(rev_Amt,rev_FY,1,rev_Client,L182)+177/1E+6)</f>
        <v/>
      </c>
      <c r="O182" s="39">
        <f>IF(L182="","",IFERROR(SUMIFS(rev_Amt,rev_FY,1,rev_Client,L182)/$C$28,0))</f>
        <v/>
      </c>
      <c r="P182" s="9">
        <f>IF(O182="",0,O182^2)</f>
        <v/>
      </c>
    </row>
    <row r="183">
      <c r="L183" s="9">
        <f>IFERROR(INDEX(rev_Client,MATCH(178,rev_New,0)),"")</f>
        <v/>
      </c>
      <c r="M183" s="9">
        <f>IF(L183="","",178)</f>
        <v/>
      </c>
      <c r="N183" s="9">
        <f>IF(L183="","",SUMIFS(rev_Amt,rev_FY,1,rev_Client,L183)+178/1E+6)</f>
        <v/>
      </c>
      <c r="O183" s="39">
        <f>IF(L183="","",IFERROR(SUMIFS(rev_Amt,rev_FY,1,rev_Client,L183)/$C$28,0))</f>
        <v/>
      </c>
      <c r="P183" s="9">
        <f>IF(O183="",0,O183^2)</f>
        <v/>
      </c>
    </row>
    <row r="184">
      <c r="L184" s="9">
        <f>IFERROR(INDEX(rev_Client,MATCH(179,rev_New,0)),"")</f>
        <v/>
      </c>
      <c r="M184" s="9">
        <f>IF(L184="","",179)</f>
        <v/>
      </c>
      <c r="N184" s="9">
        <f>IF(L184="","",SUMIFS(rev_Amt,rev_FY,1,rev_Client,L184)+179/1E+6)</f>
        <v/>
      </c>
      <c r="O184" s="39">
        <f>IF(L184="","",IFERROR(SUMIFS(rev_Amt,rev_FY,1,rev_Client,L184)/$C$28,0))</f>
        <v/>
      </c>
      <c r="P184" s="9">
        <f>IF(O184="",0,O184^2)</f>
        <v/>
      </c>
    </row>
    <row r="185">
      <c r="L185" s="9">
        <f>IFERROR(INDEX(rev_Client,MATCH(180,rev_New,0)),"")</f>
        <v/>
      </c>
      <c r="M185" s="9">
        <f>IF(L185="","",180)</f>
        <v/>
      </c>
      <c r="N185" s="9">
        <f>IF(L185="","",SUMIFS(rev_Amt,rev_FY,1,rev_Client,L185)+180/1E+6)</f>
        <v/>
      </c>
      <c r="O185" s="39">
        <f>IF(L185="","",IFERROR(SUMIFS(rev_Amt,rev_FY,1,rev_Client,L185)/$C$28,0))</f>
        <v/>
      </c>
      <c r="P185" s="9">
        <f>IF(O185="",0,O185^2)</f>
        <v/>
      </c>
    </row>
    <row r="186">
      <c r="L186" s="9">
        <f>IFERROR(INDEX(rev_Client,MATCH(181,rev_New,0)),"")</f>
        <v/>
      </c>
      <c r="M186" s="9">
        <f>IF(L186="","",181)</f>
        <v/>
      </c>
      <c r="N186" s="9">
        <f>IF(L186="","",SUMIFS(rev_Amt,rev_FY,1,rev_Client,L186)+181/1E+6)</f>
        <v/>
      </c>
      <c r="O186" s="39">
        <f>IF(L186="","",IFERROR(SUMIFS(rev_Amt,rev_FY,1,rev_Client,L186)/$C$28,0))</f>
        <v/>
      </c>
      <c r="P186" s="9">
        <f>IF(O186="",0,O186^2)</f>
        <v/>
      </c>
    </row>
    <row r="187">
      <c r="L187" s="9">
        <f>IFERROR(INDEX(rev_Client,MATCH(182,rev_New,0)),"")</f>
        <v/>
      </c>
      <c r="M187" s="9">
        <f>IF(L187="","",182)</f>
        <v/>
      </c>
      <c r="N187" s="9">
        <f>IF(L187="","",SUMIFS(rev_Amt,rev_FY,1,rev_Client,L187)+182/1E+6)</f>
        <v/>
      </c>
      <c r="O187" s="39">
        <f>IF(L187="","",IFERROR(SUMIFS(rev_Amt,rev_FY,1,rev_Client,L187)/$C$28,0))</f>
        <v/>
      </c>
      <c r="P187" s="9">
        <f>IF(O187="",0,O187^2)</f>
        <v/>
      </c>
    </row>
    <row r="188">
      <c r="L188" s="9">
        <f>IFERROR(INDEX(rev_Client,MATCH(183,rev_New,0)),"")</f>
        <v/>
      </c>
      <c r="M188" s="9">
        <f>IF(L188="","",183)</f>
        <v/>
      </c>
      <c r="N188" s="9">
        <f>IF(L188="","",SUMIFS(rev_Amt,rev_FY,1,rev_Client,L188)+183/1E+6)</f>
        <v/>
      </c>
      <c r="O188" s="39">
        <f>IF(L188="","",IFERROR(SUMIFS(rev_Amt,rev_FY,1,rev_Client,L188)/$C$28,0))</f>
        <v/>
      </c>
      <c r="P188" s="9">
        <f>IF(O188="",0,O188^2)</f>
        <v/>
      </c>
    </row>
    <row r="189">
      <c r="L189" s="9">
        <f>IFERROR(INDEX(rev_Client,MATCH(184,rev_New,0)),"")</f>
        <v/>
      </c>
      <c r="M189" s="9">
        <f>IF(L189="","",184)</f>
        <v/>
      </c>
      <c r="N189" s="9">
        <f>IF(L189="","",SUMIFS(rev_Amt,rev_FY,1,rev_Client,L189)+184/1E+6)</f>
        <v/>
      </c>
      <c r="O189" s="39">
        <f>IF(L189="","",IFERROR(SUMIFS(rev_Amt,rev_FY,1,rev_Client,L189)/$C$28,0))</f>
        <v/>
      </c>
      <c r="P189" s="9">
        <f>IF(O189="",0,O189^2)</f>
        <v/>
      </c>
    </row>
    <row r="190">
      <c r="L190" s="9">
        <f>IFERROR(INDEX(rev_Client,MATCH(185,rev_New,0)),"")</f>
        <v/>
      </c>
      <c r="M190" s="9">
        <f>IF(L190="","",185)</f>
        <v/>
      </c>
      <c r="N190" s="9">
        <f>IF(L190="","",SUMIFS(rev_Amt,rev_FY,1,rev_Client,L190)+185/1E+6)</f>
        <v/>
      </c>
      <c r="O190" s="39">
        <f>IF(L190="","",IFERROR(SUMIFS(rev_Amt,rev_FY,1,rev_Client,L190)/$C$28,0))</f>
        <v/>
      </c>
      <c r="P190" s="9">
        <f>IF(O190="",0,O190^2)</f>
        <v/>
      </c>
    </row>
    <row r="191">
      <c r="L191" s="9">
        <f>IFERROR(INDEX(rev_Client,MATCH(186,rev_New,0)),"")</f>
        <v/>
      </c>
      <c r="M191" s="9">
        <f>IF(L191="","",186)</f>
        <v/>
      </c>
      <c r="N191" s="9">
        <f>IF(L191="","",SUMIFS(rev_Amt,rev_FY,1,rev_Client,L191)+186/1E+6)</f>
        <v/>
      </c>
      <c r="O191" s="39">
        <f>IF(L191="","",IFERROR(SUMIFS(rev_Amt,rev_FY,1,rev_Client,L191)/$C$28,0))</f>
        <v/>
      </c>
      <c r="P191" s="9">
        <f>IF(O191="",0,O191^2)</f>
        <v/>
      </c>
    </row>
    <row r="192">
      <c r="L192" s="9">
        <f>IFERROR(INDEX(rev_Client,MATCH(187,rev_New,0)),"")</f>
        <v/>
      </c>
      <c r="M192" s="9">
        <f>IF(L192="","",187)</f>
        <v/>
      </c>
      <c r="N192" s="9">
        <f>IF(L192="","",SUMIFS(rev_Amt,rev_FY,1,rev_Client,L192)+187/1E+6)</f>
        <v/>
      </c>
      <c r="O192" s="39">
        <f>IF(L192="","",IFERROR(SUMIFS(rev_Amt,rev_FY,1,rev_Client,L192)/$C$28,0))</f>
        <v/>
      </c>
      <c r="P192" s="9">
        <f>IF(O192="",0,O192^2)</f>
        <v/>
      </c>
    </row>
    <row r="193">
      <c r="L193" s="9">
        <f>IFERROR(INDEX(rev_Client,MATCH(188,rev_New,0)),"")</f>
        <v/>
      </c>
      <c r="M193" s="9">
        <f>IF(L193="","",188)</f>
        <v/>
      </c>
      <c r="N193" s="9">
        <f>IF(L193="","",SUMIFS(rev_Amt,rev_FY,1,rev_Client,L193)+188/1E+6)</f>
        <v/>
      </c>
      <c r="O193" s="39">
        <f>IF(L193="","",IFERROR(SUMIFS(rev_Amt,rev_FY,1,rev_Client,L193)/$C$28,0))</f>
        <v/>
      </c>
      <c r="P193" s="9">
        <f>IF(O193="",0,O193^2)</f>
        <v/>
      </c>
    </row>
    <row r="194">
      <c r="L194" s="9">
        <f>IFERROR(INDEX(rev_Client,MATCH(189,rev_New,0)),"")</f>
        <v/>
      </c>
      <c r="M194" s="9">
        <f>IF(L194="","",189)</f>
        <v/>
      </c>
      <c r="N194" s="9">
        <f>IF(L194="","",SUMIFS(rev_Amt,rev_FY,1,rev_Client,L194)+189/1E+6)</f>
        <v/>
      </c>
      <c r="O194" s="39">
        <f>IF(L194="","",IFERROR(SUMIFS(rev_Amt,rev_FY,1,rev_Client,L194)/$C$28,0))</f>
        <v/>
      </c>
      <c r="P194" s="9">
        <f>IF(O194="",0,O194^2)</f>
        <v/>
      </c>
    </row>
    <row r="195">
      <c r="L195" s="9">
        <f>IFERROR(INDEX(rev_Client,MATCH(190,rev_New,0)),"")</f>
        <v/>
      </c>
      <c r="M195" s="9">
        <f>IF(L195="","",190)</f>
        <v/>
      </c>
      <c r="N195" s="9">
        <f>IF(L195="","",SUMIFS(rev_Amt,rev_FY,1,rev_Client,L195)+190/1E+6)</f>
        <v/>
      </c>
      <c r="O195" s="39">
        <f>IF(L195="","",IFERROR(SUMIFS(rev_Amt,rev_FY,1,rev_Client,L195)/$C$28,0))</f>
        <v/>
      </c>
      <c r="P195" s="9">
        <f>IF(O195="",0,O195^2)</f>
        <v/>
      </c>
    </row>
    <row r="196">
      <c r="L196" s="9">
        <f>IFERROR(INDEX(rev_Client,MATCH(191,rev_New,0)),"")</f>
        <v/>
      </c>
      <c r="M196" s="9">
        <f>IF(L196="","",191)</f>
        <v/>
      </c>
      <c r="N196" s="9">
        <f>IF(L196="","",SUMIFS(rev_Amt,rev_FY,1,rev_Client,L196)+191/1E+6)</f>
        <v/>
      </c>
      <c r="O196" s="39">
        <f>IF(L196="","",IFERROR(SUMIFS(rev_Amt,rev_FY,1,rev_Client,L196)/$C$28,0))</f>
        <v/>
      </c>
      <c r="P196" s="9">
        <f>IF(O196="",0,O196^2)</f>
        <v/>
      </c>
    </row>
    <row r="197">
      <c r="L197" s="9">
        <f>IFERROR(INDEX(rev_Client,MATCH(192,rev_New,0)),"")</f>
        <v/>
      </c>
      <c r="M197" s="9">
        <f>IF(L197="","",192)</f>
        <v/>
      </c>
      <c r="N197" s="9">
        <f>IF(L197="","",SUMIFS(rev_Amt,rev_FY,1,rev_Client,L197)+192/1E+6)</f>
        <v/>
      </c>
      <c r="O197" s="39">
        <f>IF(L197="","",IFERROR(SUMIFS(rev_Amt,rev_FY,1,rev_Client,L197)/$C$28,0))</f>
        <v/>
      </c>
      <c r="P197" s="9">
        <f>IF(O197="",0,O197^2)</f>
        <v/>
      </c>
    </row>
    <row r="198">
      <c r="L198" s="9">
        <f>IFERROR(INDEX(rev_Client,MATCH(193,rev_New,0)),"")</f>
        <v/>
      </c>
      <c r="M198" s="9">
        <f>IF(L198="","",193)</f>
        <v/>
      </c>
      <c r="N198" s="9">
        <f>IF(L198="","",SUMIFS(rev_Amt,rev_FY,1,rev_Client,L198)+193/1E+6)</f>
        <v/>
      </c>
      <c r="O198" s="39">
        <f>IF(L198="","",IFERROR(SUMIFS(rev_Amt,rev_FY,1,rev_Client,L198)/$C$28,0))</f>
        <v/>
      </c>
      <c r="P198" s="9">
        <f>IF(O198="",0,O198^2)</f>
        <v/>
      </c>
    </row>
    <row r="199">
      <c r="L199" s="9">
        <f>IFERROR(INDEX(rev_Client,MATCH(194,rev_New,0)),"")</f>
        <v/>
      </c>
      <c r="M199" s="9">
        <f>IF(L199="","",194)</f>
        <v/>
      </c>
      <c r="N199" s="9">
        <f>IF(L199="","",SUMIFS(rev_Amt,rev_FY,1,rev_Client,L199)+194/1E+6)</f>
        <v/>
      </c>
      <c r="O199" s="39">
        <f>IF(L199="","",IFERROR(SUMIFS(rev_Amt,rev_FY,1,rev_Client,L199)/$C$28,0))</f>
        <v/>
      </c>
      <c r="P199" s="9">
        <f>IF(O199="",0,O199^2)</f>
        <v/>
      </c>
    </row>
    <row r="200">
      <c r="L200" s="9">
        <f>IFERROR(INDEX(rev_Client,MATCH(195,rev_New,0)),"")</f>
        <v/>
      </c>
      <c r="M200" s="9">
        <f>IF(L200="","",195)</f>
        <v/>
      </c>
      <c r="N200" s="9">
        <f>IF(L200="","",SUMIFS(rev_Amt,rev_FY,1,rev_Client,L200)+195/1E+6)</f>
        <v/>
      </c>
      <c r="O200" s="39">
        <f>IF(L200="","",IFERROR(SUMIFS(rev_Amt,rev_FY,1,rev_Client,L200)/$C$28,0))</f>
        <v/>
      </c>
      <c r="P200" s="9">
        <f>IF(O200="",0,O200^2)</f>
        <v/>
      </c>
    </row>
    <row r="201">
      <c r="L201" s="9">
        <f>IFERROR(INDEX(rev_Client,MATCH(196,rev_New,0)),"")</f>
        <v/>
      </c>
      <c r="M201" s="9">
        <f>IF(L201="","",196)</f>
        <v/>
      </c>
      <c r="N201" s="9">
        <f>IF(L201="","",SUMIFS(rev_Amt,rev_FY,1,rev_Client,L201)+196/1E+6)</f>
        <v/>
      </c>
      <c r="O201" s="39">
        <f>IF(L201="","",IFERROR(SUMIFS(rev_Amt,rev_FY,1,rev_Client,L201)/$C$28,0))</f>
        <v/>
      </c>
      <c r="P201" s="9">
        <f>IF(O201="",0,O201^2)</f>
        <v/>
      </c>
    </row>
    <row r="202">
      <c r="L202" s="9">
        <f>IFERROR(INDEX(rev_Client,MATCH(197,rev_New,0)),"")</f>
        <v/>
      </c>
      <c r="M202" s="9">
        <f>IF(L202="","",197)</f>
        <v/>
      </c>
      <c r="N202" s="9">
        <f>IF(L202="","",SUMIFS(rev_Amt,rev_FY,1,rev_Client,L202)+197/1E+6)</f>
        <v/>
      </c>
      <c r="O202" s="39">
        <f>IF(L202="","",IFERROR(SUMIFS(rev_Amt,rev_FY,1,rev_Client,L202)/$C$28,0))</f>
        <v/>
      </c>
      <c r="P202" s="9">
        <f>IF(O202="",0,O202^2)</f>
        <v/>
      </c>
    </row>
    <row r="203">
      <c r="L203" s="9">
        <f>IFERROR(INDEX(rev_Client,MATCH(198,rev_New,0)),"")</f>
        <v/>
      </c>
      <c r="M203" s="9">
        <f>IF(L203="","",198)</f>
        <v/>
      </c>
      <c r="N203" s="9">
        <f>IF(L203="","",SUMIFS(rev_Amt,rev_FY,1,rev_Client,L203)+198/1E+6)</f>
        <v/>
      </c>
      <c r="O203" s="39">
        <f>IF(L203="","",IFERROR(SUMIFS(rev_Amt,rev_FY,1,rev_Client,L203)/$C$28,0))</f>
        <v/>
      </c>
      <c r="P203" s="9">
        <f>IF(O203="",0,O203^2)</f>
        <v/>
      </c>
    </row>
    <row r="204">
      <c r="L204" s="9">
        <f>IFERROR(INDEX(rev_Client,MATCH(199,rev_New,0)),"")</f>
        <v/>
      </c>
      <c r="M204" s="9">
        <f>IF(L204="","",199)</f>
        <v/>
      </c>
      <c r="N204" s="9">
        <f>IF(L204="","",SUMIFS(rev_Amt,rev_FY,1,rev_Client,L204)+199/1E+6)</f>
        <v/>
      </c>
      <c r="O204" s="39">
        <f>IF(L204="","",IFERROR(SUMIFS(rev_Amt,rev_FY,1,rev_Client,L204)/$C$28,0))</f>
        <v/>
      </c>
      <c r="P204" s="9">
        <f>IF(O204="",0,O204^2)</f>
        <v/>
      </c>
    </row>
    <row r="205">
      <c r="L205" s="9">
        <f>IFERROR(INDEX(rev_Client,MATCH(200,rev_New,0)),"")</f>
        <v/>
      </c>
      <c r="M205" s="9">
        <f>IF(L205="","",200)</f>
        <v/>
      </c>
      <c r="N205" s="9">
        <f>IF(L205="","",SUMIFS(rev_Amt,rev_FY,1,rev_Client,L205)+200/1E+6)</f>
        <v/>
      </c>
      <c r="O205" s="39">
        <f>IF(L205="","",IFERROR(SUMIFS(rev_Amt,rev_FY,1,rev_Client,L205)/$C$28,0))</f>
        <v/>
      </c>
      <c r="P205" s="9">
        <f>IF(O205="",0,O205^2)</f>
        <v/>
      </c>
    </row>
    <row r="206">
      <c r="L206" s="9">
        <f>IFERROR(INDEX(rev_Client,MATCH(201,rev_New,0)),"")</f>
        <v/>
      </c>
      <c r="M206" s="9">
        <f>IF(L206="","",201)</f>
        <v/>
      </c>
      <c r="N206" s="9">
        <f>IF(L206="","",SUMIFS(rev_Amt,rev_FY,1,rev_Client,L206)+201/1E+6)</f>
        <v/>
      </c>
      <c r="O206" s="39">
        <f>IF(L206="","",IFERROR(SUMIFS(rev_Amt,rev_FY,1,rev_Client,L206)/$C$28,0))</f>
        <v/>
      </c>
      <c r="P206" s="9">
        <f>IF(O206="",0,O206^2)</f>
        <v/>
      </c>
    </row>
    <row r="207">
      <c r="L207" s="9">
        <f>IFERROR(INDEX(rev_Client,MATCH(202,rev_New,0)),"")</f>
        <v/>
      </c>
      <c r="M207" s="9">
        <f>IF(L207="","",202)</f>
        <v/>
      </c>
      <c r="N207" s="9">
        <f>IF(L207="","",SUMIFS(rev_Amt,rev_FY,1,rev_Client,L207)+202/1E+6)</f>
        <v/>
      </c>
      <c r="O207" s="39">
        <f>IF(L207="","",IFERROR(SUMIFS(rev_Amt,rev_FY,1,rev_Client,L207)/$C$28,0))</f>
        <v/>
      </c>
      <c r="P207" s="9">
        <f>IF(O207="",0,O207^2)</f>
        <v/>
      </c>
    </row>
    <row r="208">
      <c r="L208" s="9">
        <f>IFERROR(INDEX(rev_Client,MATCH(203,rev_New,0)),"")</f>
        <v/>
      </c>
      <c r="M208" s="9">
        <f>IF(L208="","",203)</f>
        <v/>
      </c>
      <c r="N208" s="9">
        <f>IF(L208="","",SUMIFS(rev_Amt,rev_FY,1,rev_Client,L208)+203/1E+6)</f>
        <v/>
      </c>
      <c r="O208" s="39">
        <f>IF(L208="","",IFERROR(SUMIFS(rev_Amt,rev_FY,1,rev_Client,L208)/$C$28,0))</f>
        <v/>
      </c>
      <c r="P208" s="9">
        <f>IF(O208="",0,O208^2)</f>
        <v/>
      </c>
    </row>
    <row r="209">
      <c r="L209" s="9">
        <f>IFERROR(INDEX(rev_Client,MATCH(204,rev_New,0)),"")</f>
        <v/>
      </c>
      <c r="M209" s="9">
        <f>IF(L209="","",204)</f>
        <v/>
      </c>
      <c r="N209" s="9">
        <f>IF(L209="","",SUMIFS(rev_Amt,rev_FY,1,rev_Client,L209)+204/1E+6)</f>
        <v/>
      </c>
      <c r="O209" s="39">
        <f>IF(L209="","",IFERROR(SUMIFS(rev_Amt,rev_FY,1,rev_Client,L209)/$C$28,0))</f>
        <v/>
      </c>
      <c r="P209" s="9">
        <f>IF(O209="",0,O209^2)</f>
        <v/>
      </c>
    </row>
    <row r="210">
      <c r="L210" s="9">
        <f>IFERROR(INDEX(rev_Client,MATCH(205,rev_New,0)),"")</f>
        <v/>
      </c>
      <c r="M210" s="9">
        <f>IF(L210="","",205)</f>
        <v/>
      </c>
      <c r="N210" s="9">
        <f>IF(L210="","",SUMIFS(rev_Amt,rev_FY,1,rev_Client,L210)+205/1E+6)</f>
        <v/>
      </c>
      <c r="O210" s="39">
        <f>IF(L210="","",IFERROR(SUMIFS(rev_Amt,rev_FY,1,rev_Client,L210)/$C$28,0))</f>
        <v/>
      </c>
      <c r="P210" s="9">
        <f>IF(O210="",0,O210^2)</f>
        <v/>
      </c>
    </row>
    <row r="211">
      <c r="L211" s="9">
        <f>IFERROR(INDEX(rev_Client,MATCH(206,rev_New,0)),"")</f>
        <v/>
      </c>
      <c r="M211" s="9">
        <f>IF(L211="","",206)</f>
        <v/>
      </c>
      <c r="N211" s="9">
        <f>IF(L211="","",SUMIFS(rev_Amt,rev_FY,1,rev_Client,L211)+206/1E+6)</f>
        <v/>
      </c>
      <c r="O211" s="39">
        <f>IF(L211="","",IFERROR(SUMIFS(rev_Amt,rev_FY,1,rev_Client,L211)/$C$28,0))</f>
        <v/>
      </c>
      <c r="P211" s="9">
        <f>IF(O211="",0,O211^2)</f>
        <v/>
      </c>
    </row>
    <row r="212">
      <c r="L212" s="9">
        <f>IFERROR(INDEX(rev_Client,MATCH(207,rev_New,0)),"")</f>
        <v/>
      </c>
      <c r="M212" s="9">
        <f>IF(L212="","",207)</f>
        <v/>
      </c>
      <c r="N212" s="9">
        <f>IF(L212="","",SUMIFS(rev_Amt,rev_FY,1,rev_Client,L212)+207/1E+6)</f>
        <v/>
      </c>
      <c r="O212" s="39">
        <f>IF(L212="","",IFERROR(SUMIFS(rev_Amt,rev_FY,1,rev_Client,L212)/$C$28,0))</f>
        <v/>
      </c>
      <c r="P212" s="9">
        <f>IF(O212="",0,O212^2)</f>
        <v/>
      </c>
    </row>
    <row r="213">
      <c r="L213" s="9">
        <f>IFERROR(INDEX(rev_Client,MATCH(208,rev_New,0)),"")</f>
        <v/>
      </c>
      <c r="M213" s="9">
        <f>IF(L213="","",208)</f>
        <v/>
      </c>
      <c r="N213" s="9">
        <f>IF(L213="","",SUMIFS(rev_Amt,rev_FY,1,rev_Client,L213)+208/1E+6)</f>
        <v/>
      </c>
      <c r="O213" s="39">
        <f>IF(L213="","",IFERROR(SUMIFS(rev_Amt,rev_FY,1,rev_Client,L213)/$C$28,0))</f>
        <v/>
      </c>
      <c r="P213" s="9">
        <f>IF(O213="",0,O213^2)</f>
        <v/>
      </c>
    </row>
    <row r="214">
      <c r="L214" s="9">
        <f>IFERROR(INDEX(rev_Client,MATCH(209,rev_New,0)),"")</f>
        <v/>
      </c>
      <c r="M214" s="9">
        <f>IF(L214="","",209)</f>
        <v/>
      </c>
      <c r="N214" s="9">
        <f>IF(L214="","",SUMIFS(rev_Amt,rev_FY,1,rev_Client,L214)+209/1E+6)</f>
        <v/>
      </c>
      <c r="O214" s="39">
        <f>IF(L214="","",IFERROR(SUMIFS(rev_Amt,rev_FY,1,rev_Client,L214)/$C$28,0))</f>
        <v/>
      </c>
      <c r="P214" s="9">
        <f>IF(O214="",0,O214^2)</f>
        <v/>
      </c>
    </row>
    <row r="215">
      <c r="L215" s="9">
        <f>IFERROR(INDEX(rev_Client,MATCH(210,rev_New,0)),"")</f>
        <v/>
      </c>
      <c r="M215" s="9">
        <f>IF(L215="","",210)</f>
        <v/>
      </c>
      <c r="N215" s="9">
        <f>IF(L215="","",SUMIFS(rev_Amt,rev_FY,1,rev_Client,L215)+210/1E+6)</f>
        <v/>
      </c>
      <c r="O215" s="39">
        <f>IF(L215="","",IFERROR(SUMIFS(rev_Amt,rev_FY,1,rev_Client,L215)/$C$28,0))</f>
        <v/>
      </c>
      <c r="P215" s="9">
        <f>IF(O215="",0,O215^2)</f>
        <v/>
      </c>
    </row>
    <row r="216">
      <c r="L216" s="9">
        <f>IFERROR(INDEX(rev_Client,MATCH(211,rev_New,0)),"")</f>
        <v/>
      </c>
      <c r="M216" s="9">
        <f>IF(L216="","",211)</f>
        <v/>
      </c>
      <c r="N216" s="9">
        <f>IF(L216="","",SUMIFS(rev_Amt,rev_FY,1,rev_Client,L216)+211/1E+6)</f>
        <v/>
      </c>
      <c r="O216" s="39">
        <f>IF(L216="","",IFERROR(SUMIFS(rev_Amt,rev_FY,1,rev_Client,L216)/$C$28,0))</f>
        <v/>
      </c>
      <c r="P216" s="9">
        <f>IF(O216="",0,O216^2)</f>
        <v/>
      </c>
    </row>
    <row r="217">
      <c r="L217" s="9">
        <f>IFERROR(INDEX(rev_Client,MATCH(212,rev_New,0)),"")</f>
        <v/>
      </c>
      <c r="M217" s="9">
        <f>IF(L217="","",212)</f>
        <v/>
      </c>
      <c r="N217" s="9">
        <f>IF(L217="","",SUMIFS(rev_Amt,rev_FY,1,rev_Client,L217)+212/1E+6)</f>
        <v/>
      </c>
      <c r="O217" s="39">
        <f>IF(L217="","",IFERROR(SUMIFS(rev_Amt,rev_FY,1,rev_Client,L217)/$C$28,0))</f>
        <v/>
      </c>
      <c r="P217" s="9">
        <f>IF(O217="",0,O217^2)</f>
        <v/>
      </c>
    </row>
    <row r="218">
      <c r="L218" s="9">
        <f>IFERROR(INDEX(rev_Client,MATCH(213,rev_New,0)),"")</f>
        <v/>
      </c>
      <c r="M218" s="9">
        <f>IF(L218="","",213)</f>
        <v/>
      </c>
      <c r="N218" s="9">
        <f>IF(L218="","",SUMIFS(rev_Amt,rev_FY,1,rev_Client,L218)+213/1E+6)</f>
        <v/>
      </c>
      <c r="O218" s="39">
        <f>IF(L218="","",IFERROR(SUMIFS(rev_Amt,rev_FY,1,rev_Client,L218)/$C$28,0))</f>
        <v/>
      </c>
      <c r="P218" s="9">
        <f>IF(O218="",0,O218^2)</f>
        <v/>
      </c>
    </row>
    <row r="219">
      <c r="L219" s="9">
        <f>IFERROR(INDEX(rev_Client,MATCH(214,rev_New,0)),"")</f>
        <v/>
      </c>
      <c r="M219" s="9">
        <f>IF(L219="","",214)</f>
        <v/>
      </c>
      <c r="N219" s="9">
        <f>IF(L219="","",SUMIFS(rev_Amt,rev_FY,1,rev_Client,L219)+214/1E+6)</f>
        <v/>
      </c>
      <c r="O219" s="39">
        <f>IF(L219="","",IFERROR(SUMIFS(rev_Amt,rev_FY,1,rev_Client,L219)/$C$28,0))</f>
        <v/>
      </c>
      <c r="P219" s="9">
        <f>IF(O219="",0,O219^2)</f>
        <v/>
      </c>
    </row>
    <row r="220">
      <c r="L220" s="9">
        <f>IFERROR(INDEX(rev_Client,MATCH(215,rev_New,0)),"")</f>
        <v/>
      </c>
      <c r="M220" s="9">
        <f>IF(L220="","",215)</f>
        <v/>
      </c>
      <c r="N220" s="9">
        <f>IF(L220="","",SUMIFS(rev_Amt,rev_FY,1,rev_Client,L220)+215/1E+6)</f>
        <v/>
      </c>
      <c r="O220" s="39">
        <f>IF(L220="","",IFERROR(SUMIFS(rev_Amt,rev_FY,1,rev_Client,L220)/$C$28,0))</f>
        <v/>
      </c>
      <c r="P220" s="9">
        <f>IF(O220="",0,O220^2)</f>
        <v/>
      </c>
    </row>
    <row r="221">
      <c r="L221" s="9">
        <f>IFERROR(INDEX(rev_Client,MATCH(216,rev_New,0)),"")</f>
        <v/>
      </c>
      <c r="M221" s="9">
        <f>IF(L221="","",216)</f>
        <v/>
      </c>
      <c r="N221" s="9">
        <f>IF(L221="","",SUMIFS(rev_Amt,rev_FY,1,rev_Client,L221)+216/1E+6)</f>
        <v/>
      </c>
      <c r="O221" s="39">
        <f>IF(L221="","",IFERROR(SUMIFS(rev_Amt,rev_FY,1,rev_Client,L221)/$C$28,0))</f>
        <v/>
      </c>
      <c r="P221" s="9">
        <f>IF(O221="",0,O221^2)</f>
        <v/>
      </c>
    </row>
    <row r="222">
      <c r="L222" s="9">
        <f>IFERROR(INDEX(rev_Client,MATCH(217,rev_New,0)),"")</f>
        <v/>
      </c>
      <c r="M222" s="9">
        <f>IF(L222="","",217)</f>
        <v/>
      </c>
      <c r="N222" s="9">
        <f>IF(L222="","",SUMIFS(rev_Amt,rev_FY,1,rev_Client,L222)+217/1E+6)</f>
        <v/>
      </c>
      <c r="O222" s="39">
        <f>IF(L222="","",IFERROR(SUMIFS(rev_Amt,rev_FY,1,rev_Client,L222)/$C$28,0))</f>
        <v/>
      </c>
      <c r="P222" s="9">
        <f>IF(O222="",0,O222^2)</f>
        <v/>
      </c>
    </row>
    <row r="223">
      <c r="L223" s="9">
        <f>IFERROR(INDEX(rev_Client,MATCH(218,rev_New,0)),"")</f>
        <v/>
      </c>
      <c r="M223" s="9">
        <f>IF(L223="","",218)</f>
        <v/>
      </c>
      <c r="N223" s="9">
        <f>IF(L223="","",SUMIFS(rev_Amt,rev_FY,1,rev_Client,L223)+218/1E+6)</f>
        <v/>
      </c>
      <c r="O223" s="39">
        <f>IF(L223="","",IFERROR(SUMIFS(rev_Amt,rev_FY,1,rev_Client,L223)/$C$28,0))</f>
        <v/>
      </c>
      <c r="P223" s="9">
        <f>IF(O223="",0,O223^2)</f>
        <v/>
      </c>
    </row>
    <row r="224">
      <c r="L224" s="9">
        <f>IFERROR(INDEX(rev_Client,MATCH(219,rev_New,0)),"")</f>
        <v/>
      </c>
      <c r="M224" s="9">
        <f>IF(L224="","",219)</f>
        <v/>
      </c>
      <c r="N224" s="9">
        <f>IF(L224="","",SUMIFS(rev_Amt,rev_FY,1,rev_Client,L224)+219/1E+6)</f>
        <v/>
      </c>
      <c r="O224" s="39">
        <f>IF(L224="","",IFERROR(SUMIFS(rev_Amt,rev_FY,1,rev_Client,L224)/$C$28,0))</f>
        <v/>
      </c>
      <c r="P224" s="9">
        <f>IF(O224="",0,O224^2)</f>
        <v/>
      </c>
    </row>
    <row r="225">
      <c r="L225" s="9">
        <f>IFERROR(INDEX(rev_Client,MATCH(220,rev_New,0)),"")</f>
        <v/>
      </c>
      <c r="M225" s="9">
        <f>IF(L225="","",220)</f>
        <v/>
      </c>
      <c r="N225" s="9">
        <f>IF(L225="","",SUMIFS(rev_Amt,rev_FY,1,rev_Client,L225)+220/1E+6)</f>
        <v/>
      </c>
      <c r="O225" s="39">
        <f>IF(L225="","",IFERROR(SUMIFS(rev_Amt,rev_FY,1,rev_Client,L225)/$C$28,0))</f>
        <v/>
      </c>
      <c r="P225" s="9">
        <f>IF(O225="",0,O225^2)</f>
        <v/>
      </c>
    </row>
    <row r="226">
      <c r="L226" s="9">
        <f>IFERROR(INDEX(rev_Client,MATCH(221,rev_New,0)),"")</f>
        <v/>
      </c>
      <c r="M226" s="9">
        <f>IF(L226="","",221)</f>
        <v/>
      </c>
      <c r="N226" s="9">
        <f>IF(L226="","",SUMIFS(rev_Amt,rev_FY,1,rev_Client,L226)+221/1E+6)</f>
        <v/>
      </c>
      <c r="O226" s="39">
        <f>IF(L226="","",IFERROR(SUMIFS(rev_Amt,rev_FY,1,rev_Client,L226)/$C$28,0))</f>
        <v/>
      </c>
      <c r="P226" s="9">
        <f>IF(O226="",0,O226^2)</f>
        <v/>
      </c>
    </row>
    <row r="227">
      <c r="L227" s="9">
        <f>IFERROR(INDEX(rev_Client,MATCH(222,rev_New,0)),"")</f>
        <v/>
      </c>
      <c r="M227" s="9">
        <f>IF(L227="","",222)</f>
        <v/>
      </c>
      <c r="N227" s="9">
        <f>IF(L227="","",SUMIFS(rev_Amt,rev_FY,1,rev_Client,L227)+222/1E+6)</f>
        <v/>
      </c>
      <c r="O227" s="39">
        <f>IF(L227="","",IFERROR(SUMIFS(rev_Amt,rev_FY,1,rev_Client,L227)/$C$28,0))</f>
        <v/>
      </c>
      <c r="P227" s="9">
        <f>IF(O227="",0,O227^2)</f>
        <v/>
      </c>
    </row>
    <row r="228">
      <c r="L228" s="9">
        <f>IFERROR(INDEX(rev_Client,MATCH(223,rev_New,0)),"")</f>
        <v/>
      </c>
      <c r="M228" s="9">
        <f>IF(L228="","",223)</f>
        <v/>
      </c>
      <c r="N228" s="9">
        <f>IF(L228="","",SUMIFS(rev_Amt,rev_FY,1,rev_Client,L228)+223/1E+6)</f>
        <v/>
      </c>
      <c r="O228" s="39">
        <f>IF(L228="","",IFERROR(SUMIFS(rev_Amt,rev_FY,1,rev_Client,L228)/$C$28,0))</f>
        <v/>
      </c>
      <c r="P228" s="9">
        <f>IF(O228="",0,O228^2)</f>
        <v/>
      </c>
    </row>
    <row r="229">
      <c r="L229" s="9">
        <f>IFERROR(INDEX(rev_Client,MATCH(224,rev_New,0)),"")</f>
        <v/>
      </c>
      <c r="M229" s="9">
        <f>IF(L229="","",224)</f>
        <v/>
      </c>
      <c r="N229" s="9">
        <f>IF(L229="","",SUMIFS(rev_Amt,rev_FY,1,rev_Client,L229)+224/1E+6)</f>
        <v/>
      </c>
      <c r="O229" s="39">
        <f>IF(L229="","",IFERROR(SUMIFS(rev_Amt,rev_FY,1,rev_Client,L229)/$C$28,0))</f>
        <v/>
      </c>
      <c r="P229" s="9">
        <f>IF(O229="",0,O229^2)</f>
        <v/>
      </c>
    </row>
    <row r="230">
      <c r="L230" s="9">
        <f>IFERROR(INDEX(rev_Client,MATCH(225,rev_New,0)),"")</f>
        <v/>
      </c>
      <c r="M230" s="9">
        <f>IF(L230="","",225)</f>
        <v/>
      </c>
      <c r="N230" s="9">
        <f>IF(L230="","",SUMIFS(rev_Amt,rev_FY,1,rev_Client,L230)+225/1E+6)</f>
        <v/>
      </c>
      <c r="O230" s="39">
        <f>IF(L230="","",IFERROR(SUMIFS(rev_Amt,rev_FY,1,rev_Client,L230)/$C$28,0))</f>
        <v/>
      </c>
      <c r="P230" s="9">
        <f>IF(O230="",0,O230^2)</f>
        <v/>
      </c>
    </row>
    <row r="231">
      <c r="L231" s="9">
        <f>IFERROR(INDEX(rev_Client,MATCH(226,rev_New,0)),"")</f>
        <v/>
      </c>
      <c r="M231" s="9">
        <f>IF(L231="","",226)</f>
        <v/>
      </c>
      <c r="N231" s="9">
        <f>IF(L231="","",SUMIFS(rev_Amt,rev_FY,1,rev_Client,L231)+226/1E+6)</f>
        <v/>
      </c>
      <c r="O231" s="39">
        <f>IF(L231="","",IFERROR(SUMIFS(rev_Amt,rev_FY,1,rev_Client,L231)/$C$28,0))</f>
        <v/>
      </c>
      <c r="P231" s="9">
        <f>IF(O231="",0,O231^2)</f>
        <v/>
      </c>
    </row>
    <row r="232">
      <c r="L232" s="9">
        <f>IFERROR(INDEX(rev_Client,MATCH(227,rev_New,0)),"")</f>
        <v/>
      </c>
      <c r="M232" s="9">
        <f>IF(L232="","",227)</f>
        <v/>
      </c>
      <c r="N232" s="9">
        <f>IF(L232="","",SUMIFS(rev_Amt,rev_FY,1,rev_Client,L232)+227/1E+6)</f>
        <v/>
      </c>
      <c r="O232" s="39">
        <f>IF(L232="","",IFERROR(SUMIFS(rev_Amt,rev_FY,1,rev_Client,L232)/$C$28,0))</f>
        <v/>
      </c>
      <c r="P232" s="9">
        <f>IF(O232="",0,O232^2)</f>
        <v/>
      </c>
    </row>
    <row r="233">
      <c r="L233" s="9">
        <f>IFERROR(INDEX(rev_Client,MATCH(228,rev_New,0)),"")</f>
        <v/>
      </c>
      <c r="M233" s="9">
        <f>IF(L233="","",228)</f>
        <v/>
      </c>
      <c r="N233" s="9">
        <f>IF(L233="","",SUMIFS(rev_Amt,rev_FY,1,rev_Client,L233)+228/1E+6)</f>
        <v/>
      </c>
      <c r="O233" s="39">
        <f>IF(L233="","",IFERROR(SUMIFS(rev_Amt,rev_FY,1,rev_Client,L233)/$C$28,0))</f>
        <v/>
      </c>
      <c r="P233" s="9">
        <f>IF(O233="",0,O233^2)</f>
        <v/>
      </c>
    </row>
    <row r="234">
      <c r="L234" s="9">
        <f>IFERROR(INDEX(rev_Client,MATCH(229,rev_New,0)),"")</f>
        <v/>
      </c>
      <c r="M234" s="9">
        <f>IF(L234="","",229)</f>
        <v/>
      </c>
      <c r="N234" s="9">
        <f>IF(L234="","",SUMIFS(rev_Amt,rev_FY,1,rev_Client,L234)+229/1E+6)</f>
        <v/>
      </c>
      <c r="O234" s="39">
        <f>IF(L234="","",IFERROR(SUMIFS(rev_Amt,rev_FY,1,rev_Client,L234)/$C$28,0))</f>
        <v/>
      </c>
      <c r="P234" s="9">
        <f>IF(O234="",0,O234^2)</f>
        <v/>
      </c>
    </row>
    <row r="235">
      <c r="L235" s="9">
        <f>IFERROR(INDEX(rev_Client,MATCH(230,rev_New,0)),"")</f>
        <v/>
      </c>
      <c r="M235" s="9">
        <f>IF(L235="","",230)</f>
        <v/>
      </c>
      <c r="N235" s="9">
        <f>IF(L235="","",SUMIFS(rev_Amt,rev_FY,1,rev_Client,L235)+230/1E+6)</f>
        <v/>
      </c>
      <c r="O235" s="39">
        <f>IF(L235="","",IFERROR(SUMIFS(rev_Amt,rev_FY,1,rev_Client,L235)/$C$28,0))</f>
        <v/>
      </c>
      <c r="P235" s="9">
        <f>IF(O235="",0,O235^2)</f>
        <v/>
      </c>
    </row>
    <row r="236">
      <c r="L236" s="9">
        <f>IFERROR(INDEX(rev_Client,MATCH(231,rev_New,0)),"")</f>
        <v/>
      </c>
      <c r="M236" s="9">
        <f>IF(L236="","",231)</f>
        <v/>
      </c>
      <c r="N236" s="9">
        <f>IF(L236="","",SUMIFS(rev_Amt,rev_FY,1,rev_Client,L236)+231/1E+6)</f>
        <v/>
      </c>
      <c r="O236" s="39">
        <f>IF(L236="","",IFERROR(SUMIFS(rev_Amt,rev_FY,1,rev_Client,L236)/$C$28,0))</f>
        <v/>
      </c>
      <c r="P236" s="9">
        <f>IF(O236="",0,O236^2)</f>
        <v/>
      </c>
    </row>
    <row r="237">
      <c r="L237" s="9">
        <f>IFERROR(INDEX(rev_Client,MATCH(232,rev_New,0)),"")</f>
        <v/>
      </c>
      <c r="M237" s="9">
        <f>IF(L237="","",232)</f>
        <v/>
      </c>
      <c r="N237" s="9">
        <f>IF(L237="","",SUMIFS(rev_Amt,rev_FY,1,rev_Client,L237)+232/1E+6)</f>
        <v/>
      </c>
      <c r="O237" s="39">
        <f>IF(L237="","",IFERROR(SUMIFS(rev_Amt,rev_FY,1,rev_Client,L237)/$C$28,0))</f>
        <v/>
      </c>
      <c r="P237" s="9">
        <f>IF(O237="",0,O237^2)</f>
        <v/>
      </c>
    </row>
    <row r="238">
      <c r="L238" s="9">
        <f>IFERROR(INDEX(rev_Client,MATCH(233,rev_New,0)),"")</f>
        <v/>
      </c>
      <c r="M238" s="9">
        <f>IF(L238="","",233)</f>
        <v/>
      </c>
      <c r="N238" s="9">
        <f>IF(L238="","",SUMIFS(rev_Amt,rev_FY,1,rev_Client,L238)+233/1E+6)</f>
        <v/>
      </c>
      <c r="O238" s="39">
        <f>IF(L238="","",IFERROR(SUMIFS(rev_Amt,rev_FY,1,rev_Client,L238)/$C$28,0))</f>
        <v/>
      </c>
      <c r="P238" s="9">
        <f>IF(O238="",0,O238^2)</f>
        <v/>
      </c>
    </row>
    <row r="239">
      <c r="L239" s="9">
        <f>IFERROR(INDEX(rev_Client,MATCH(234,rev_New,0)),"")</f>
        <v/>
      </c>
      <c r="M239" s="9">
        <f>IF(L239="","",234)</f>
        <v/>
      </c>
      <c r="N239" s="9">
        <f>IF(L239="","",SUMIFS(rev_Amt,rev_FY,1,rev_Client,L239)+234/1E+6)</f>
        <v/>
      </c>
      <c r="O239" s="39">
        <f>IF(L239="","",IFERROR(SUMIFS(rev_Amt,rev_FY,1,rev_Client,L239)/$C$28,0))</f>
        <v/>
      </c>
      <c r="P239" s="9">
        <f>IF(O239="",0,O239^2)</f>
        <v/>
      </c>
    </row>
    <row r="240">
      <c r="L240" s="9">
        <f>IFERROR(INDEX(rev_Client,MATCH(235,rev_New,0)),"")</f>
        <v/>
      </c>
      <c r="M240" s="9">
        <f>IF(L240="","",235)</f>
        <v/>
      </c>
      <c r="N240" s="9">
        <f>IF(L240="","",SUMIFS(rev_Amt,rev_FY,1,rev_Client,L240)+235/1E+6)</f>
        <v/>
      </c>
      <c r="O240" s="39">
        <f>IF(L240="","",IFERROR(SUMIFS(rev_Amt,rev_FY,1,rev_Client,L240)/$C$28,0))</f>
        <v/>
      </c>
      <c r="P240" s="9">
        <f>IF(O240="",0,O240^2)</f>
        <v/>
      </c>
    </row>
    <row r="241">
      <c r="L241" s="9">
        <f>IFERROR(INDEX(rev_Client,MATCH(236,rev_New,0)),"")</f>
        <v/>
      </c>
      <c r="M241" s="9">
        <f>IF(L241="","",236)</f>
        <v/>
      </c>
      <c r="N241" s="9">
        <f>IF(L241="","",SUMIFS(rev_Amt,rev_FY,1,rev_Client,L241)+236/1E+6)</f>
        <v/>
      </c>
      <c r="O241" s="39">
        <f>IF(L241="","",IFERROR(SUMIFS(rev_Amt,rev_FY,1,rev_Client,L241)/$C$28,0))</f>
        <v/>
      </c>
      <c r="P241" s="9">
        <f>IF(O241="",0,O241^2)</f>
        <v/>
      </c>
    </row>
    <row r="242">
      <c r="L242" s="9">
        <f>IFERROR(INDEX(rev_Client,MATCH(237,rev_New,0)),"")</f>
        <v/>
      </c>
      <c r="M242" s="9">
        <f>IF(L242="","",237)</f>
        <v/>
      </c>
      <c r="N242" s="9">
        <f>IF(L242="","",SUMIFS(rev_Amt,rev_FY,1,rev_Client,L242)+237/1E+6)</f>
        <v/>
      </c>
      <c r="O242" s="39">
        <f>IF(L242="","",IFERROR(SUMIFS(rev_Amt,rev_FY,1,rev_Client,L242)/$C$28,0))</f>
        <v/>
      </c>
      <c r="P242" s="9">
        <f>IF(O242="",0,O242^2)</f>
        <v/>
      </c>
    </row>
    <row r="243">
      <c r="L243" s="9">
        <f>IFERROR(INDEX(rev_Client,MATCH(238,rev_New,0)),"")</f>
        <v/>
      </c>
      <c r="M243" s="9">
        <f>IF(L243="","",238)</f>
        <v/>
      </c>
      <c r="N243" s="9">
        <f>IF(L243="","",SUMIFS(rev_Amt,rev_FY,1,rev_Client,L243)+238/1E+6)</f>
        <v/>
      </c>
      <c r="O243" s="39">
        <f>IF(L243="","",IFERROR(SUMIFS(rev_Amt,rev_FY,1,rev_Client,L243)/$C$28,0))</f>
        <v/>
      </c>
      <c r="P243" s="9">
        <f>IF(O243="",0,O243^2)</f>
        <v/>
      </c>
    </row>
    <row r="244">
      <c r="L244" s="9">
        <f>IFERROR(INDEX(rev_Client,MATCH(239,rev_New,0)),"")</f>
        <v/>
      </c>
      <c r="M244" s="9">
        <f>IF(L244="","",239)</f>
        <v/>
      </c>
      <c r="N244" s="9">
        <f>IF(L244="","",SUMIFS(rev_Amt,rev_FY,1,rev_Client,L244)+239/1E+6)</f>
        <v/>
      </c>
      <c r="O244" s="39">
        <f>IF(L244="","",IFERROR(SUMIFS(rev_Amt,rev_FY,1,rev_Client,L244)/$C$28,0))</f>
        <v/>
      </c>
      <c r="P244" s="9">
        <f>IF(O244="",0,O244^2)</f>
        <v/>
      </c>
    </row>
    <row r="245">
      <c r="L245" s="9">
        <f>IFERROR(INDEX(rev_Client,MATCH(240,rev_New,0)),"")</f>
        <v/>
      </c>
      <c r="M245" s="9">
        <f>IF(L245="","",240)</f>
        <v/>
      </c>
      <c r="N245" s="9">
        <f>IF(L245="","",SUMIFS(rev_Amt,rev_FY,1,rev_Client,L245)+240/1E+6)</f>
        <v/>
      </c>
      <c r="O245" s="39">
        <f>IF(L245="","",IFERROR(SUMIFS(rev_Amt,rev_FY,1,rev_Client,L245)/$C$28,0))</f>
        <v/>
      </c>
      <c r="P245" s="9">
        <f>IF(O245="",0,O245^2)</f>
        <v/>
      </c>
    </row>
    <row r="246">
      <c r="L246" s="9">
        <f>IFERROR(INDEX(rev_Client,MATCH(241,rev_New,0)),"")</f>
        <v/>
      </c>
      <c r="M246" s="9">
        <f>IF(L246="","",241)</f>
        <v/>
      </c>
      <c r="N246" s="9">
        <f>IF(L246="","",SUMIFS(rev_Amt,rev_FY,1,rev_Client,L246)+241/1E+6)</f>
        <v/>
      </c>
      <c r="O246" s="39">
        <f>IF(L246="","",IFERROR(SUMIFS(rev_Amt,rev_FY,1,rev_Client,L246)/$C$28,0))</f>
        <v/>
      </c>
      <c r="P246" s="9">
        <f>IF(O246="",0,O246^2)</f>
        <v/>
      </c>
    </row>
    <row r="247">
      <c r="L247" s="9">
        <f>IFERROR(INDEX(rev_Client,MATCH(242,rev_New,0)),"")</f>
        <v/>
      </c>
      <c r="M247" s="9">
        <f>IF(L247="","",242)</f>
        <v/>
      </c>
      <c r="N247" s="9">
        <f>IF(L247="","",SUMIFS(rev_Amt,rev_FY,1,rev_Client,L247)+242/1E+6)</f>
        <v/>
      </c>
      <c r="O247" s="39">
        <f>IF(L247="","",IFERROR(SUMIFS(rev_Amt,rev_FY,1,rev_Client,L247)/$C$28,0))</f>
        <v/>
      </c>
      <c r="P247" s="9">
        <f>IF(O247="",0,O247^2)</f>
        <v/>
      </c>
    </row>
    <row r="248">
      <c r="L248" s="9">
        <f>IFERROR(INDEX(rev_Client,MATCH(243,rev_New,0)),"")</f>
        <v/>
      </c>
      <c r="M248" s="9">
        <f>IF(L248="","",243)</f>
        <v/>
      </c>
      <c r="N248" s="9">
        <f>IF(L248="","",SUMIFS(rev_Amt,rev_FY,1,rev_Client,L248)+243/1E+6)</f>
        <v/>
      </c>
      <c r="O248" s="39">
        <f>IF(L248="","",IFERROR(SUMIFS(rev_Amt,rev_FY,1,rev_Client,L248)/$C$28,0))</f>
        <v/>
      </c>
      <c r="P248" s="9">
        <f>IF(O248="",0,O248^2)</f>
        <v/>
      </c>
    </row>
    <row r="249">
      <c r="L249" s="9">
        <f>IFERROR(INDEX(rev_Client,MATCH(244,rev_New,0)),"")</f>
        <v/>
      </c>
      <c r="M249" s="9">
        <f>IF(L249="","",244)</f>
        <v/>
      </c>
      <c r="N249" s="9">
        <f>IF(L249="","",SUMIFS(rev_Amt,rev_FY,1,rev_Client,L249)+244/1E+6)</f>
        <v/>
      </c>
      <c r="O249" s="39">
        <f>IF(L249="","",IFERROR(SUMIFS(rev_Amt,rev_FY,1,rev_Client,L249)/$C$28,0))</f>
        <v/>
      </c>
      <c r="P249" s="9">
        <f>IF(O249="",0,O249^2)</f>
        <v/>
      </c>
    </row>
    <row r="250">
      <c r="L250" s="9">
        <f>IFERROR(INDEX(rev_Client,MATCH(245,rev_New,0)),"")</f>
        <v/>
      </c>
      <c r="M250" s="9">
        <f>IF(L250="","",245)</f>
        <v/>
      </c>
      <c r="N250" s="9">
        <f>IF(L250="","",SUMIFS(rev_Amt,rev_FY,1,rev_Client,L250)+245/1E+6)</f>
        <v/>
      </c>
      <c r="O250" s="39">
        <f>IF(L250="","",IFERROR(SUMIFS(rev_Amt,rev_FY,1,rev_Client,L250)/$C$28,0))</f>
        <v/>
      </c>
      <c r="P250" s="9">
        <f>IF(O250="",0,O250^2)</f>
        <v/>
      </c>
    </row>
    <row r="251">
      <c r="L251" s="9">
        <f>IFERROR(INDEX(rev_Client,MATCH(246,rev_New,0)),"")</f>
        <v/>
      </c>
      <c r="M251" s="9">
        <f>IF(L251="","",246)</f>
        <v/>
      </c>
      <c r="N251" s="9">
        <f>IF(L251="","",SUMIFS(rev_Amt,rev_FY,1,rev_Client,L251)+246/1E+6)</f>
        <v/>
      </c>
      <c r="O251" s="39">
        <f>IF(L251="","",IFERROR(SUMIFS(rev_Amt,rev_FY,1,rev_Client,L251)/$C$28,0))</f>
        <v/>
      </c>
      <c r="P251" s="9">
        <f>IF(O251="",0,O251^2)</f>
        <v/>
      </c>
    </row>
    <row r="252">
      <c r="L252" s="9">
        <f>IFERROR(INDEX(rev_Client,MATCH(247,rev_New,0)),"")</f>
        <v/>
      </c>
      <c r="M252" s="9">
        <f>IF(L252="","",247)</f>
        <v/>
      </c>
      <c r="N252" s="9">
        <f>IF(L252="","",SUMIFS(rev_Amt,rev_FY,1,rev_Client,L252)+247/1E+6)</f>
        <v/>
      </c>
      <c r="O252" s="39">
        <f>IF(L252="","",IFERROR(SUMIFS(rev_Amt,rev_FY,1,rev_Client,L252)/$C$28,0))</f>
        <v/>
      </c>
      <c r="P252" s="9">
        <f>IF(O252="",0,O252^2)</f>
        <v/>
      </c>
    </row>
    <row r="253">
      <c r="L253" s="9">
        <f>IFERROR(INDEX(rev_Client,MATCH(248,rev_New,0)),"")</f>
        <v/>
      </c>
      <c r="M253" s="9">
        <f>IF(L253="","",248)</f>
        <v/>
      </c>
      <c r="N253" s="9">
        <f>IF(L253="","",SUMIFS(rev_Amt,rev_FY,1,rev_Client,L253)+248/1E+6)</f>
        <v/>
      </c>
      <c r="O253" s="39">
        <f>IF(L253="","",IFERROR(SUMIFS(rev_Amt,rev_FY,1,rev_Client,L253)/$C$28,0))</f>
        <v/>
      </c>
      <c r="P253" s="9">
        <f>IF(O253="",0,O253^2)</f>
        <v/>
      </c>
    </row>
    <row r="254">
      <c r="L254" s="9">
        <f>IFERROR(INDEX(rev_Client,MATCH(249,rev_New,0)),"")</f>
        <v/>
      </c>
      <c r="M254" s="9">
        <f>IF(L254="","",249)</f>
        <v/>
      </c>
      <c r="N254" s="9">
        <f>IF(L254="","",SUMIFS(rev_Amt,rev_FY,1,rev_Client,L254)+249/1E+6)</f>
        <v/>
      </c>
      <c r="O254" s="39">
        <f>IF(L254="","",IFERROR(SUMIFS(rev_Amt,rev_FY,1,rev_Client,L254)/$C$28,0))</f>
        <v/>
      </c>
      <c r="P254" s="9">
        <f>IF(O254="",0,O254^2)</f>
        <v/>
      </c>
    </row>
    <row r="255">
      <c r="L255" s="9">
        <f>IFERROR(INDEX(rev_Client,MATCH(250,rev_New,0)),"")</f>
        <v/>
      </c>
      <c r="M255" s="9">
        <f>IF(L255="","",250)</f>
        <v/>
      </c>
      <c r="N255" s="9">
        <f>IF(L255="","",SUMIFS(rev_Amt,rev_FY,1,rev_Client,L255)+250/1E+6)</f>
        <v/>
      </c>
      <c r="O255" s="39">
        <f>IF(L255="","",IFERROR(SUMIFS(rev_Amt,rev_FY,1,rev_Client,L255)/$C$28,0))</f>
        <v/>
      </c>
      <c r="P255" s="9">
        <f>IF(O255="",0,O255^2)</f>
        <v/>
      </c>
    </row>
    <row r="256">
      <c r="L256" s="9">
        <f>IFERROR(INDEX(rev_Client,MATCH(251,rev_New,0)),"")</f>
        <v/>
      </c>
      <c r="M256" s="9">
        <f>IF(L256="","",251)</f>
        <v/>
      </c>
      <c r="N256" s="9">
        <f>IF(L256="","",SUMIFS(rev_Amt,rev_FY,1,rev_Client,L256)+251/1E+6)</f>
        <v/>
      </c>
      <c r="O256" s="39">
        <f>IF(L256="","",IFERROR(SUMIFS(rev_Amt,rev_FY,1,rev_Client,L256)/$C$28,0))</f>
        <v/>
      </c>
      <c r="P256" s="9">
        <f>IF(O256="",0,O256^2)</f>
        <v/>
      </c>
    </row>
    <row r="257">
      <c r="L257" s="9">
        <f>IFERROR(INDEX(rev_Client,MATCH(252,rev_New,0)),"")</f>
        <v/>
      </c>
      <c r="M257" s="9">
        <f>IF(L257="","",252)</f>
        <v/>
      </c>
      <c r="N257" s="9">
        <f>IF(L257="","",SUMIFS(rev_Amt,rev_FY,1,rev_Client,L257)+252/1E+6)</f>
        <v/>
      </c>
      <c r="O257" s="39">
        <f>IF(L257="","",IFERROR(SUMIFS(rev_Amt,rev_FY,1,rev_Client,L257)/$C$28,0))</f>
        <v/>
      </c>
      <c r="P257" s="9">
        <f>IF(O257="",0,O257^2)</f>
        <v/>
      </c>
    </row>
    <row r="258">
      <c r="L258" s="9">
        <f>IFERROR(INDEX(rev_Client,MATCH(253,rev_New,0)),"")</f>
        <v/>
      </c>
      <c r="M258" s="9">
        <f>IF(L258="","",253)</f>
        <v/>
      </c>
      <c r="N258" s="9">
        <f>IF(L258="","",SUMIFS(rev_Amt,rev_FY,1,rev_Client,L258)+253/1E+6)</f>
        <v/>
      </c>
      <c r="O258" s="39">
        <f>IF(L258="","",IFERROR(SUMIFS(rev_Amt,rev_FY,1,rev_Client,L258)/$C$28,0))</f>
        <v/>
      </c>
      <c r="P258" s="9">
        <f>IF(O258="",0,O258^2)</f>
        <v/>
      </c>
    </row>
    <row r="259">
      <c r="L259" s="9">
        <f>IFERROR(INDEX(rev_Client,MATCH(254,rev_New,0)),"")</f>
        <v/>
      </c>
      <c r="M259" s="9">
        <f>IF(L259="","",254)</f>
        <v/>
      </c>
      <c r="N259" s="9">
        <f>IF(L259="","",SUMIFS(rev_Amt,rev_FY,1,rev_Client,L259)+254/1E+6)</f>
        <v/>
      </c>
      <c r="O259" s="39">
        <f>IF(L259="","",IFERROR(SUMIFS(rev_Amt,rev_FY,1,rev_Client,L259)/$C$28,0))</f>
        <v/>
      </c>
      <c r="P259" s="9">
        <f>IF(O259="",0,O259^2)</f>
        <v/>
      </c>
    </row>
    <row r="260">
      <c r="L260" s="9">
        <f>IFERROR(INDEX(rev_Client,MATCH(255,rev_New,0)),"")</f>
        <v/>
      </c>
      <c r="M260" s="9">
        <f>IF(L260="","",255)</f>
        <v/>
      </c>
      <c r="N260" s="9">
        <f>IF(L260="","",SUMIFS(rev_Amt,rev_FY,1,rev_Client,L260)+255/1E+6)</f>
        <v/>
      </c>
      <c r="O260" s="39">
        <f>IF(L260="","",IFERROR(SUMIFS(rev_Amt,rev_FY,1,rev_Client,L260)/$C$28,0))</f>
        <v/>
      </c>
      <c r="P260" s="9">
        <f>IF(O260="",0,O260^2)</f>
        <v/>
      </c>
    </row>
    <row r="261">
      <c r="L261" s="9">
        <f>IFERROR(INDEX(rev_Client,MATCH(256,rev_New,0)),"")</f>
        <v/>
      </c>
      <c r="M261" s="9">
        <f>IF(L261="","",256)</f>
        <v/>
      </c>
      <c r="N261" s="9">
        <f>IF(L261="","",SUMIFS(rev_Amt,rev_FY,1,rev_Client,L261)+256/1E+6)</f>
        <v/>
      </c>
      <c r="O261" s="39">
        <f>IF(L261="","",IFERROR(SUMIFS(rev_Amt,rev_FY,1,rev_Client,L261)/$C$28,0))</f>
        <v/>
      </c>
      <c r="P261" s="9">
        <f>IF(O261="",0,O261^2)</f>
        <v/>
      </c>
    </row>
    <row r="262">
      <c r="L262" s="9">
        <f>IFERROR(INDEX(rev_Client,MATCH(257,rev_New,0)),"")</f>
        <v/>
      </c>
      <c r="M262" s="9">
        <f>IF(L262="","",257)</f>
        <v/>
      </c>
      <c r="N262" s="9">
        <f>IF(L262="","",SUMIFS(rev_Amt,rev_FY,1,rev_Client,L262)+257/1E+6)</f>
        <v/>
      </c>
      <c r="O262" s="39">
        <f>IF(L262="","",IFERROR(SUMIFS(rev_Amt,rev_FY,1,rev_Client,L262)/$C$28,0))</f>
        <v/>
      </c>
      <c r="P262" s="9">
        <f>IF(O262="",0,O262^2)</f>
        <v/>
      </c>
    </row>
    <row r="263">
      <c r="L263" s="9">
        <f>IFERROR(INDEX(rev_Client,MATCH(258,rev_New,0)),"")</f>
        <v/>
      </c>
      <c r="M263" s="9">
        <f>IF(L263="","",258)</f>
        <v/>
      </c>
      <c r="N263" s="9">
        <f>IF(L263="","",SUMIFS(rev_Amt,rev_FY,1,rev_Client,L263)+258/1E+6)</f>
        <v/>
      </c>
      <c r="O263" s="39">
        <f>IF(L263="","",IFERROR(SUMIFS(rev_Amt,rev_FY,1,rev_Client,L263)/$C$28,0))</f>
        <v/>
      </c>
      <c r="P263" s="9">
        <f>IF(O263="",0,O263^2)</f>
        <v/>
      </c>
    </row>
    <row r="264">
      <c r="L264" s="9">
        <f>IFERROR(INDEX(rev_Client,MATCH(259,rev_New,0)),"")</f>
        <v/>
      </c>
      <c r="M264" s="9">
        <f>IF(L264="","",259)</f>
        <v/>
      </c>
      <c r="N264" s="9">
        <f>IF(L264="","",SUMIFS(rev_Amt,rev_FY,1,rev_Client,L264)+259/1E+6)</f>
        <v/>
      </c>
      <c r="O264" s="39">
        <f>IF(L264="","",IFERROR(SUMIFS(rev_Amt,rev_FY,1,rev_Client,L264)/$C$28,0))</f>
        <v/>
      </c>
      <c r="P264" s="9">
        <f>IF(O264="",0,O264^2)</f>
        <v/>
      </c>
    </row>
    <row r="265">
      <c r="L265" s="9">
        <f>IFERROR(INDEX(rev_Client,MATCH(260,rev_New,0)),"")</f>
        <v/>
      </c>
      <c r="M265" s="9">
        <f>IF(L265="","",260)</f>
        <v/>
      </c>
      <c r="N265" s="9">
        <f>IF(L265="","",SUMIFS(rev_Amt,rev_FY,1,rev_Client,L265)+260/1E+6)</f>
        <v/>
      </c>
      <c r="O265" s="39">
        <f>IF(L265="","",IFERROR(SUMIFS(rev_Amt,rev_FY,1,rev_Client,L265)/$C$28,0))</f>
        <v/>
      </c>
      <c r="P265" s="9">
        <f>IF(O265="",0,O265^2)</f>
        <v/>
      </c>
    </row>
    <row r="266">
      <c r="L266" s="9">
        <f>IFERROR(INDEX(rev_Client,MATCH(261,rev_New,0)),"")</f>
        <v/>
      </c>
      <c r="M266" s="9">
        <f>IF(L266="","",261)</f>
        <v/>
      </c>
      <c r="N266" s="9">
        <f>IF(L266="","",SUMIFS(rev_Amt,rev_FY,1,rev_Client,L266)+261/1E+6)</f>
        <v/>
      </c>
      <c r="O266" s="39">
        <f>IF(L266="","",IFERROR(SUMIFS(rev_Amt,rev_FY,1,rev_Client,L266)/$C$28,0))</f>
        <v/>
      </c>
      <c r="P266" s="9">
        <f>IF(O266="",0,O266^2)</f>
        <v/>
      </c>
    </row>
    <row r="267">
      <c r="L267" s="9">
        <f>IFERROR(INDEX(rev_Client,MATCH(262,rev_New,0)),"")</f>
        <v/>
      </c>
      <c r="M267" s="9">
        <f>IF(L267="","",262)</f>
        <v/>
      </c>
      <c r="N267" s="9">
        <f>IF(L267="","",SUMIFS(rev_Amt,rev_FY,1,rev_Client,L267)+262/1E+6)</f>
        <v/>
      </c>
      <c r="O267" s="39">
        <f>IF(L267="","",IFERROR(SUMIFS(rev_Amt,rev_FY,1,rev_Client,L267)/$C$28,0))</f>
        <v/>
      </c>
      <c r="P267" s="9">
        <f>IF(O267="",0,O267^2)</f>
        <v/>
      </c>
    </row>
    <row r="268">
      <c r="L268" s="9">
        <f>IFERROR(INDEX(rev_Client,MATCH(263,rev_New,0)),"")</f>
        <v/>
      </c>
      <c r="M268" s="9">
        <f>IF(L268="","",263)</f>
        <v/>
      </c>
      <c r="N268" s="9">
        <f>IF(L268="","",SUMIFS(rev_Amt,rev_FY,1,rev_Client,L268)+263/1E+6)</f>
        <v/>
      </c>
      <c r="O268" s="39">
        <f>IF(L268="","",IFERROR(SUMIFS(rev_Amt,rev_FY,1,rev_Client,L268)/$C$28,0))</f>
        <v/>
      </c>
      <c r="P268" s="9">
        <f>IF(O268="",0,O268^2)</f>
        <v/>
      </c>
    </row>
    <row r="269">
      <c r="L269" s="9">
        <f>IFERROR(INDEX(rev_Client,MATCH(264,rev_New,0)),"")</f>
        <v/>
      </c>
      <c r="M269" s="9">
        <f>IF(L269="","",264)</f>
        <v/>
      </c>
      <c r="N269" s="9">
        <f>IF(L269="","",SUMIFS(rev_Amt,rev_FY,1,rev_Client,L269)+264/1E+6)</f>
        <v/>
      </c>
      <c r="O269" s="39">
        <f>IF(L269="","",IFERROR(SUMIFS(rev_Amt,rev_FY,1,rev_Client,L269)/$C$28,0))</f>
        <v/>
      </c>
      <c r="P269" s="9">
        <f>IF(O269="",0,O269^2)</f>
        <v/>
      </c>
    </row>
    <row r="270">
      <c r="L270" s="9">
        <f>IFERROR(INDEX(rev_Client,MATCH(265,rev_New,0)),"")</f>
        <v/>
      </c>
      <c r="M270" s="9">
        <f>IF(L270="","",265)</f>
        <v/>
      </c>
      <c r="N270" s="9">
        <f>IF(L270="","",SUMIFS(rev_Amt,rev_FY,1,rev_Client,L270)+265/1E+6)</f>
        <v/>
      </c>
      <c r="O270" s="39">
        <f>IF(L270="","",IFERROR(SUMIFS(rev_Amt,rev_FY,1,rev_Client,L270)/$C$28,0))</f>
        <v/>
      </c>
      <c r="P270" s="9">
        <f>IF(O270="",0,O270^2)</f>
        <v/>
      </c>
    </row>
    <row r="271">
      <c r="L271" s="9">
        <f>IFERROR(INDEX(rev_Client,MATCH(266,rev_New,0)),"")</f>
        <v/>
      </c>
      <c r="M271" s="9">
        <f>IF(L271="","",266)</f>
        <v/>
      </c>
      <c r="N271" s="9">
        <f>IF(L271="","",SUMIFS(rev_Amt,rev_FY,1,rev_Client,L271)+266/1E+6)</f>
        <v/>
      </c>
      <c r="O271" s="39">
        <f>IF(L271="","",IFERROR(SUMIFS(rev_Amt,rev_FY,1,rev_Client,L271)/$C$28,0))</f>
        <v/>
      </c>
      <c r="P271" s="9">
        <f>IF(O271="",0,O271^2)</f>
        <v/>
      </c>
    </row>
    <row r="272">
      <c r="L272" s="9">
        <f>IFERROR(INDEX(rev_Client,MATCH(267,rev_New,0)),"")</f>
        <v/>
      </c>
      <c r="M272" s="9">
        <f>IF(L272="","",267)</f>
        <v/>
      </c>
      <c r="N272" s="9">
        <f>IF(L272="","",SUMIFS(rev_Amt,rev_FY,1,rev_Client,L272)+267/1E+6)</f>
        <v/>
      </c>
      <c r="O272" s="39">
        <f>IF(L272="","",IFERROR(SUMIFS(rev_Amt,rev_FY,1,rev_Client,L272)/$C$28,0))</f>
        <v/>
      </c>
      <c r="P272" s="9">
        <f>IF(O272="",0,O272^2)</f>
        <v/>
      </c>
    </row>
    <row r="273">
      <c r="L273" s="9">
        <f>IFERROR(INDEX(rev_Client,MATCH(268,rev_New,0)),"")</f>
        <v/>
      </c>
      <c r="M273" s="9">
        <f>IF(L273="","",268)</f>
        <v/>
      </c>
      <c r="N273" s="9">
        <f>IF(L273="","",SUMIFS(rev_Amt,rev_FY,1,rev_Client,L273)+268/1E+6)</f>
        <v/>
      </c>
      <c r="O273" s="39">
        <f>IF(L273="","",IFERROR(SUMIFS(rev_Amt,rev_FY,1,rev_Client,L273)/$C$28,0))</f>
        <v/>
      </c>
      <c r="P273" s="9">
        <f>IF(O273="",0,O273^2)</f>
        <v/>
      </c>
    </row>
    <row r="274">
      <c r="L274" s="9">
        <f>IFERROR(INDEX(rev_Client,MATCH(269,rev_New,0)),"")</f>
        <v/>
      </c>
      <c r="M274" s="9">
        <f>IF(L274="","",269)</f>
        <v/>
      </c>
      <c r="N274" s="9">
        <f>IF(L274="","",SUMIFS(rev_Amt,rev_FY,1,rev_Client,L274)+269/1E+6)</f>
        <v/>
      </c>
      <c r="O274" s="39">
        <f>IF(L274="","",IFERROR(SUMIFS(rev_Amt,rev_FY,1,rev_Client,L274)/$C$28,0))</f>
        <v/>
      </c>
      <c r="P274" s="9">
        <f>IF(O274="",0,O274^2)</f>
        <v/>
      </c>
    </row>
    <row r="275">
      <c r="L275" s="9">
        <f>IFERROR(INDEX(rev_Client,MATCH(270,rev_New,0)),"")</f>
        <v/>
      </c>
      <c r="M275" s="9">
        <f>IF(L275="","",270)</f>
        <v/>
      </c>
      <c r="N275" s="9">
        <f>IF(L275="","",SUMIFS(rev_Amt,rev_FY,1,rev_Client,L275)+270/1E+6)</f>
        <v/>
      </c>
      <c r="O275" s="39">
        <f>IF(L275="","",IFERROR(SUMIFS(rev_Amt,rev_FY,1,rev_Client,L275)/$C$28,0))</f>
        <v/>
      </c>
      <c r="P275" s="9">
        <f>IF(O275="",0,O275^2)</f>
        <v/>
      </c>
    </row>
    <row r="276">
      <c r="L276" s="9">
        <f>IFERROR(INDEX(rev_Client,MATCH(271,rev_New,0)),"")</f>
        <v/>
      </c>
      <c r="M276" s="9">
        <f>IF(L276="","",271)</f>
        <v/>
      </c>
      <c r="N276" s="9">
        <f>IF(L276="","",SUMIFS(rev_Amt,rev_FY,1,rev_Client,L276)+271/1E+6)</f>
        <v/>
      </c>
      <c r="O276" s="39">
        <f>IF(L276="","",IFERROR(SUMIFS(rev_Amt,rev_FY,1,rev_Client,L276)/$C$28,0))</f>
        <v/>
      </c>
      <c r="P276" s="9">
        <f>IF(O276="",0,O276^2)</f>
        <v/>
      </c>
    </row>
    <row r="277">
      <c r="L277" s="9">
        <f>IFERROR(INDEX(rev_Client,MATCH(272,rev_New,0)),"")</f>
        <v/>
      </c>
      <c r="M277" s="9">
        <f>IF(L277="","",272)</f>
        <v/>
      </c>
      <c r="N277" s="9">
        <f>IF(L277="","",SUMIFS(rev_Amt,rev_FY,1,rev_Client,L277)+272/1E+6)</f>
        <v/>
      </c>
      <c r="O277" s="39">
        <f>IF(L277="","",IFERROR(SUMIFS(rev_Amt,rev_FY,1,rev_Client,L277)/$C$28,0))</f>
        <v/>
      </c>
      <c r="P277" s="9">
        <f>IF(O277="",0,O277^2)</f>
        <v/>
      </c>
    </row>
    <row r="278">
      <c r="L278" s="9">
        <f>IFERROR(INDEX(rev_Client,MATCH(273,rev_New,0)),"")</f>
        <v/>
      </c>
      <c r="M278" s="9">
        <f>IF(L278="","",273)</f>
        <v/>
      </c>
      <c r="N278" s="9">
        <f>IF(L278="","",SUMIFS(rev_Amt,rev_FY,1,rev_Client,L278)+273/1E+6)</f>
        <v/>
      </c>
      <c r="O278" s="39">
        <f>IF(L278="","",IFERROR(SUMIFS(rev_Amt,rev_FY,1,rev_Client,L278)/$C$28,0))</f>
        <v/>
      </c>
      <c r="P278" s="9">
        <f>IF(O278="",0,O278^2)</f>
        <v/>
      </c>
    </row>
    <row r="279">
      <c r="L279" s="9">
        <f>IFERROR(INDEX(rev_Client,MATCH(274,rev_New,0)),"")</f>
        <v/>
      </c>
      <c r="M279" s="9">
        <f>IF(L279="","",274)</f>
        <v/>
      </c>
      <c r="N279" s="9">
        <f>IF(L279="","",SUMIFS(rev_Amt,rev_FY,1,rev_Client,L279)+274/1E+6)</f>
        <v/>
      </c>
      <c r="O279" s="39">
        <f>IF(L279="","",IFERROR(SUMIFS(rev_Amt,rev_FY,1,rev_Client,L279)/$C$28,0))</f>
        <v/>
      </c>
      <c r="P279" s="9">
        <f>IF(O279="",0,O279^2)</f>
        <v/>
      </c>
    </row>
    <row r="280">
      <c r="L280" s="9">
        <f>IFERROR(INDEX(rev_Client,MATCH(275,rev_New,0)),"")</f>
        <v/>
      </c>
      <c r="M280" s="9">
        <f>IF(L280="","",275)</f>
        <v/>
      </c>
      <c r="N280" s="9">
        <f>IF(L280="","",SUMIFS(rev_Amt,rev_FY,1,rev_Client,L280)+275/1E+6)</f>
        <v/>
      </c>
      <c r="O280" s="39">
        <f>IF(L280="","",IFERROR(SUMIFS(rev_Amt,rev_FY,1,rev_Client,L280)/$C$28,0))</f>
        <v/>
      </c>
      <c r="P280" s="9">
        <f>IF(O280="",0,O280^2)</f>
        <v/>
      </c>
    </row>
    <row r="281">
      <c r="L281" s="9">
        <f>IFERROR(INDEX(rev_Client,MATCH(276,rev_New,0)),"")</f>
        <v/>
      </c>
      <c r="M281" s="9">
        <f>IF(L281="","",276)</f>
        <v/>
      </c>
      <c r="N281" s="9">
        <f>IF(L281="","",SUMIFS(rev_Amt,rev_FY,1,rev_Client,L281)+276/1E+6)</f>
        <v/>
      </c>
      <c r="O281" s="39">
        <f>IF(L281="","",IFERROR(SUMIFS(rev_Amt,rev_FY,1,rev_Client,L281)/$C$28,0))</f>
        <v/>
      </c>
      <c r="P281" s="9">
        <f>IF(O281="",0,O281^2)</f>
        <v/>
      </c>
    </row>
    <row r="282">
      <c r="L282" s="9">
        <f>IFERROR(INDEX(rev_Client,MATCH(277,rev_New,0)),"")</f>
        <v/>
      </c>
      <c r="M282" s="9">
        <f>IF(L282="","",277)</f>
        <v/>
      </c>
      <c r="N282" s="9">
        <f>IF(L282="","",SUMIFS(rev_Amt,rev_FY,1,rev_Client,L282)+277/1E+6)</f>
        <v/>
      </c>
      <c r="O282" s="39">
        <f>IF(L282="","",IFERROR(SUMIFS(rev_Amt,rev_FY,1,rev_Client,L282)/$C$28,0))</f>
        <v/>
      </c>
      <c r="P282" s="9">
        <f>IF(O282="",0,O282^2)</f>
        <v/>
      </c>
    </row>
    <row r="283">
      <c r="L283" s="9">
        <f>IFERROR(INDEX(rev_Client,MATCH(278,rev_New,0)),"")</f>
        <v/>
      </c>
      <c r="M283" s="9">
        <f>IF(L283="","",278)</f>
        <v/>
      </c>
      <c r="N283" s="9">
        <f>IF(L283="","",SUMIFS(rev_Amt,rev_FY,1,rev_Client,L283)+278/1E+6)</f>
        <v/>
      </c>
      <c r="O283" s="39">
        <f>IF(L283="","",IFERROR(SUMIFS(rev_Amt,rev_FY,1,rev_Client,L283)/$C$28,0))</f>
        <v/>
      </c>
      <c r="P283" s="9">
        <f>IF(O283="",0,O283^2)</f>
        <v/>
      </c>
    </row>
    <row r="284">
      <c r="L284" s="9">
        <f>IFERROR(INDEX(rev_Client,MATCH(279,rev_New,0)),"")</f>
        <v/>
      </c>
      <c r="M284" s="9">
        <f>IF(L284="","",279)</f>
        <v/>
      </c>
      <c r="N284" s="9">
        <f>IF(L284="","",SUMIFS(rev_Amt,rev_FY,1,rev_Client,L284)+279/1E+6)</f>
        <v/>
      </c>
      <c r="O284" s="39">
        <f>IF(L284="","",IFERROR(SUMIFS(rev_Amt,rev_FY,1,rev_Client,L284)/$C$28,0))</f>
        <v/>
      </c>
      <c r="P284" s="9">
        <f>IF(O284="",0,O284^2)</f>
        <v/>
      </c>
    </row>
    <row r="285">
      <c r="L285" s="9">
        <f>IFERROR(INDEX(rev_Client,MATCH(280,rev_New,0)),"")</f>
        <v/>
      </c>
      <c r="M285" s="9">
        <f>IF(L285="","",280)</f>
        <v/>
      </c>
      <c r="N285" s="9">
        <f>IF(L285="","",SUMIFS(rev_Amt,rev_FY,1,rev_Client,L285)+280/1E+6)</f>
        <v/>
      </c>
      <c r="O285" s="39">
        <f>IF(L285="","",IFERROR(SUMIFS(rev_Amt,rev_FY,1,rev_Client,L285)/$C$28,0))</f>
        <v/>
      </c>
      <c r="P285" s="9">
        <f>IF(O285="",0,O285^2)</f>
        <v/>
      </c>
    </row>
    <row r="286">
      <c r="L286" s="9">
        <f>IFERROR(INDEX(rev_Client,MATCH(281,rev_New,0)),"")</f>
        <v/>
      </c>
      <c r="M286" s="9">
        <f>IF(L286="","",281)</f>
        <v/>
      </c>
      <c r="N286" s="9">
        <f>IF(L286="","",SUMIFS(rev_Amt,rev_FY,1,rev_Client,L286)+281/1E+6)</f>
        <v/>
      </c>
      <c r="O286" s="39">
        <f>IF(L286="","",IFERROR(SUMIFS(rev_Amt,rev_FY,1,rev_Client,L286)/$C$28,0))</f>
        <v/>
      </c>
      <c r="P286" s="9">
        <f>IF(O286="",0,O286^2)</f>
        <v/>
      </c>
    </row>
    <row r="287">
      <c r="L287" s="9">
        <f>IFERROR(INDEX(rev_Client,MATCH(282,rev_New,0)),"")</f>
        <v/>
      </c>
      <c r="M287" s="9">
        <f>IF(L287="","",282)</f>
        <v/>
      </c>
      <c r="N287" s="9">
        <f>IF(L287="","",SUMIFS(rev_Amt,rev_FY,1,rev_Client,L287)+282/1E+6)</f>
        <v/>
      </c>
      <c r="O287" s="39">
        <f>IF(L287="","",IFERROR(SUMIFS(rev_Amt,rev_FY,1,rev_Client,L287)/$C$28,0))</f>
        <v/>
      </c>
      <c r="P287" s="9">
        <f>IF(O287="",0,O287^2)</f>
        <v/>
      </c>
    </row>
    <row r="288">
      <c r="L288" s="9">
        <f>IFERROR(INDEX(rev_Client,MATCH(283,rev_New,0)),"")</f>
        <v/>
      </c>
      <c r="M288" s="9">
        <f>IF(L288="","",283)</f>
        <v/>
      </c>
      <c r="N288" s="9">
        <f>IF(L288="","",SUMIFS(rev_Amt,rev_FY,1,rev_Client,L288)+283/1E+6)</f>
        <v/>
      </c>
      <c r="O288" s="39">
        <f>IF(L288="","",IFERROR(SUMIFS(rev_Amt,rev_FY,1,rev_Client,L288)/$C$28,0))</f>
        <v/>
      </c>
      <c r="P288" s="9">
        <f>IF(O288="",0,O288^2)</f>
        <v/>
      </c>
    </row>
    <row r="289">
      <c r="L289" s="9">
        <f>IFERROR(INDEX(rev_Client,MATCH(284,rev_New,0)),"")</f>
        <v/>
      </c>
      <c r="M289" s="9">
        <f>IF(L289="","",284)</f>
        <v/>
      </c>
      <c r="N289" s="9">
        <f>IF(L289="","",SUMIFS(rev_Amt,rev_FY,1,rev_Client,L289)+284/1E+6)</f>
        <v/>
      </c>
      <c r="O289" s="39">
        <f>IF(L289="","",IFERROR(SUMIFS(rev_Amt,rev_FY,1,rev_Client,L289)/$C$28,0))</f>
        <v/>
      </c>
      <c r="P289" s="9">
        <f>IF(O289="",0,O289^2)</f>
        <v/>
      </c>
    </row>
    <row r="290">
      <c r="L290" s="9">
        <f>IFERROR(INDEX(rev_Client,MATCH(285,rev_New,0)),"")</f>
        <v/>
      </c>
      <c r="M290" s="9">
        <f>IF(L290="","",285)</f>
        <v/>
      </c>
      <c r="N290" s="9">
        <f>IF(L290="","",SUMIFS(rev_Amt,rev_FY,1,rev_Client,L290)+285/1E+6)</f>
        <v/>
      </c>
      <c r="O290" s="39">
        <f>IF(L290="","",IFERROR(SUMIFS(rev_Amt,rev_FY,1,rev_Client,L290)/$C$28,0))</f>
        <v/>
      </c>
      <c r="P290" s="9">
        <f>IF(O290="",0,O290^2)</f>
        <v/>
      </c>
    </row>
    <row r="291">
      <c r="L291" s="9">
        <f>IFERROR(INDEX(rev_Client,MATCH(286,rev_New,0)),"")</f>
        <v/>
      </c>
      <c r="M291" s="9">
        <f>IF(L291="","",286)</f>
        <v/>
      </c>
      <c r="N291" s="9">
        <f>IF(L291="","",SUMIFS(rev_Amt,rev_FY,1,rev_Client,L291)+286/1E+6)</f>
        <v/>
      </c>
      <c r="O291" s="39">
        <f>IF(L291="","",IFERROR(SUMIFS(rev_Amt,rev_FY,1,rev_Client,L291)/$C$28,0))</f>
        <v/>
      </c>
      <c r="P291" s="9">
        <f>IF(O291="",0,O291^2)</f>
        <v/>
      </c>
    </row>
    <row r="292">
      <c r="L292" s="9">
        <f>IFERROR(INDEX(rev_Client,MATCH(287,rev_New,0)),"")</f>
        <v/>
      </c>
      <c r="M292" s="9">
        <f>IF(L292="","",287)</f>
        <v/>
      </c>
      <c r="N292" s="9">
        <f>IF(L292="","",SUMIFS(rev_Amt,rev_FY,1,rev_Client,L292)+287/1E+6)</f>
        <v/>
      </c>
      <c r="O292" s="39">
        <f>IF(L292="","",IFERROR(SUMIFS(rev_Amt,rev_FY,1,rev_Client,L292)/$C$28,0))</f>
        <v/>
      </c>
      <c r="P292" s="9">
        <f>IF(O292="",0,O292^2)</f>
        <v/>
      </c>
    </row>
    <row r="293">
      <c r="L293" s="9">
        <f>IFERROR(INDEX(rev_Client,MATCH(288,rev_New,0)),"")</f>
        <v/>
      </c>
      <c r="M293" s="9">
        <f>IF(L293="","",288)</f>
        <v/>
      </c>
      <c r="N293" s="9">
        <f>IF(L293="","",SUMIFS(rev_Amt,rev_FY,1,rev_Client,L293)+288/1E+6)</f>
        <v/>
      </c>
      <c r="O293" s="39">
        <f>IF(L293="","",IFERROR(SUMIFS(rev_Amt,rev_FY,1,rev_Client,L293)/$C$28,0))</f>
        <v/>
      </c>
      <c r="P293" s="9">
        <f>IF(O293="",0,O293^2)</f>
        <v/>
      </c>
    </row>
    <row r="294">
      <c r="L294" s="9">
        <f>IFERROR(INDEX(rev_Client,MATCH(289,rev_New,0)),"")</f>
        <v/>
      </c>
      <c r="M294" s="9">
        <f>IF(L294="","",289)</f>
        <v/>
      </c>
      <c r="N294" s="9">
        <f>IF(L294="","",SUMIFS(rev_Amt,rev_FY,1,rev_Client,L294)+289/1E+6)</f>
        <v/>
      </c>
      <c r="O294" s="39">
        <f>IF(L294="","",IFERROR(SUMIFS(rev_Amt,rev_FY,1,rev_Client,L294)/$C$28,0))</f>
        <v/>
      </c>
      <c r="P294" s="9">
        <f>IF(O294="",0,O294^2)</f>
        <v/>
      </c>
    </row>
    <row r="295">
      <c r="L295" s="9">
        <f>IFERROR(INDEX(rev_Client,MATCH(290,rev_New,0)),"")</f>
        <v/>
      </c>
      <c r="M295" s="9">
        <f>IF(L295="","",290)</f>
        <v/>
      </c>
      <c r="N295" s="9">
        <f>IF(L295="","",SUMIFS(rev_Amt,rev_FY,1,rev_Client,L295)+290/1E+6)</f>
        <v/>
      </c>
      <c r="O295" s="39">
        <f>IF(L295="","",IFERROR(SUMIFS(rev_Amt,rev_FY,1,rev_Client,L295)/$C$28,0))</f>
        <v/>
      </c>
      <c r="P295" s="9">
        <f>IF(O295="",0,O295^2)</f>
        <v/>
      </c>
    </row>
    <row r="296">
      <c r="L296" s="9">
        <f>IFERROR(INDEX(rev_Client,MATCH(291,rev_New,0)),"")</f>
        <v/>
      </c>
      <c r="M296" s="9">
        <f>IF(L296="","",291)</f>
        <v/>
      </c>
      <c r="N296" s="9">
        <f>IF(L296="","",SUMIFS(rev_Amt,rev_FY,1,rev_Client,L296)+291/1E+6)</f>
        <v/>
      </c>
      <c r="O296" s="39">
        <f>IF(L296="","",IFERROR(SUMIFS(rev_Amt,rev_FY,1,rev_Client,L296)/$C$28,0))</f>
        <v/>
      </c>
      <c r="P296" s="9">
        <f>IF(O296="",0,O296^2)</f>
        <v/>
      </c>
    </row>
    <row r="297">
      <c r="L297" s="9">
        <f>IFERROR(INDEX(rev_Client,MATCH(292,rev_New,0)),"")</f>
        <v/>
      </c>
      <c r="M297" s="9">
        <f>IF(L297="","",292)</f>
        <v/>
      </c>
      <c r="N297" s="9">
        <f>IF(L297="","",SUMIFS(rev_Amt,rev_FY,1,rev_Client,L297)+292/1E+6)</f>
        <v/>
      </c>
      <c r="O297" s="39">
        <f>IF(L297="","",IFERROR(SUMIFS(rev_Amt,rev_FY,1,rev_Client,L297)/$C$28,0))</f>
        <v/>
      </c>
      <c r="P297" s="9">
        <f>IF(O297="",0,O297^2)</f>
        <v/>
      </c>
    </row>
    <row r="298">
      <c r="L298" s="9">
        <f>IFERROR(INDEX(rev_Client,MATCH(293,rev_New,0)),"")</f>
        <v/>
      </c>
      <c r="M298" s="9">
        <f>IF(L298="","",293)</f>
        <v/>
      </c>
      <c r="N298" s="9">
        <f>IF(L298="","",SUMIFS(rev_Amt,rev_FY,1,rev_Client,L298)+293/1E+6)</f>
        <v/>
      </c>
      <c r="O298" s="39">
        <f>IF(L298="","",IFERROR(SUMIFS(rev_Amt,rev_FY,1,rev_Client,L298)/$C$28,0))</f>
        <v/>
      </c>
      <c r="P298" s="9">
        <f>IF(O298="",0,O298^2)</f>
        <v/>
      </c>
    </row>
    <row r="299">
      <c r="L299" s="9">
        <f>IFERROR(INDEX(rev_Client,MATCH(294,rev_New,0)),"")</f>
        <v/>
      </c>
      <c r="M299" s="9">
        <f>IF(L299="","",294)</f>
        <v/>
      </c>
      <c r="N299" s="9">
        <f>IF(L299="","",SUMIFS(rev_Amt,rev_FY,1,rev_Client,L299)+294/1E+6)</f>
        <v/>
      </c>
      <c r="O299" s="39">
        <f>IF(L299="","",IFERROR(SUMIFS(rev_Amt,rev_FY,1,rev_Client,L299)/$C$28,0))</f>
        <v/>
      </c>
      <c r="P299" s="9">
        <f>IF(O299="",0,O299^2)</f>
        <v/>
      </c>
    </row>
    <row r="300">
      <c r="L300" s="9">
        <f>IFERROR(INDEX(rev_Client,MATCH(295,rev_New,0)),"")</f>
        <v/>
      </c>
      <c r="M300" s="9">
        <f>IF(L300="","",295)</f>
        <v/>
      </c>
      <c r="N300" s="9">
        <f>IF(L300="","",SUMIFS(rev_Amt,rev_FY,1,rev_Client,L300)+295/1E+6)</f>
        <v/>
      </c>
      <c r="O300" s="39">
        <f>IF(L300="","",IFERROR(SUMIFS(rev_Amt,rev_FY,1,rev_Client,L300)/$C$28,0))</f>
        <v/>
      </c>
      <c r="P300" s="9">
        <f>IF(O300="",0,O300^2)</f>
        <v/>
      </c>
    </row>
    <row r="301">
      <c r="L301" s="9">
        <f>IFERROR(INDEX(rev_Client,MATCH(296,rev_New,0)),"")</f>
        <v/>
      </c>
      <c r="M301" s="9">
        <f>IF(L301="","",296)</f>
        <v/>
      </c>
      <c r="N301" s="9">
        <f>IF(L301="","",SUMIFS(rev_Amt,rev_FY,1,rev_Client,L301)+296/1E+6)</f>
        <v/>
      </c>
      <c r="O301" s="39">
        <f>IF(L301="","",IFERROR(SUMIFS(rev_Amt,rev_FY,1,rev_Client,L301)/$C$28,0))</f>
        <v/>
      </c>
      <c r="P301" s="9">
        <f>IF(O301="",0,O301^2)</f>
        <v/>
      </c>
    </row>
    <row r="302">
      <c r="L302" s="9">
        <f>IFERROR(INDEX(rev_Client,MATCH(297,rev_New,0)),"")</f>
        <v/>
      </c>
      <c r="M302" s="9">
        <f>IF(L302="","",297)</f>
        <v/>
      </c>
      <c r="N302" s="9">
        <f>IF(L302="","",SUMIFS(rev_Amt,rev_FY,1,rev_Client,L302)+297/1E+6)</f>
        <v/>
      </c>
      <c r="O302" s="39">
        <f>IF(L302="","",IFERROR(SUMIFS(rev_Amt,rev_FY,1,rev_Client,L302)/$C$28,0))</f>
        <v/>
      </c>
      <c r="P302" s="9">
        <f>IF(O302="",0,O302^2)</f>
        <v/>
      </c>
    </row>
    <row r="303">
      <c r="L303" s="9">
        <f>IFERROR(INDEX(rev_Client,MATCH(298,rev_New,0)),"")</f>
        <v/>
      </c>
      <c r="M303" s="9">
        <f>IF(L303="","",298)</f>
        <v/>
      </c>
      <c r="N303" s="9">
        <f>IF(L303="","",SUMIFS(rev_Amt,rev_FY,1,rev_Client,L303)+298/1E+6)</f>
        <v/>
      </c>
      <c r="O303" s="39">
        <f>IF(L303="","",IFERROR(SUMIFS(rev_Amt,rev_FY,1,rev_Client,L303)/$C$28,0))</f>
        <v/>
      </c>
      <c r="P303" s="9">
        <f>IF(O303="",0,O303^2)</f>
        <v/>
      </c>
    </row>
    <row r="304">
      <c r="L304" s="9">
        <f>IFERROR(INDEX(rev_Client,MATCH(299,rev_New,0)),"")</f>
        <v/>
      </c>
      <c r="M304" s="9">
        <f>IF(L304="","",299)</f>
        <v/>
      </c>
      <c r="N304" s="9">
        <f>IF(L304="","",SUMIFS(rev_Amt,rev_FY,1,rev_Client,L304)+299/1E+6)</f>
        <v/>
      </c>
      <c r="O304" s="39">
        <f>IF(L304="","",IFERROR(SUMIFS(rev_Amt,rev_FY,1,rev_Client,L304)/$C$28,0))</f>
        <v/>
      </c>
      <c r="P304" s="9">
        <f>IF(O304="",0,O304^2)</f>
        <v/>
      </c>
    </row>
    <row r="305">
      <c r="L305" s="9">
        <f>IFERROR(INDEX(rev_Client,MATCH(300,rev_New,0)),"")</f>
        <v/>
      </c>
      <c r="M305" s="9">
        <f>IF(L305="","",300)</f>
        <v/>
      </c>
      <c r="N305" s="9">
        <f>IF(L305="","",SUMIFS(rev_Amt,rev_FY,1,rev_Client,L305)+300/1E+6)</f>
        <v/>
      </c>
      <c r="O305" s="39">
        <f>IF(L305="","",IFERROR(SUMIFS(rev_Amt,rev_FY,1,rev_Client,L305)/$C$28,0))</f>
        <v/>
      </c>
      <c r="P305" s="9">
        <f>IF(O305="",0,O305^2)</f>
        <v/>
      </c>
    </row>
  </sheetData>
  <conditionalFormatting sqref="D31:D35">
    <cfRule type="expression" priority="1" dxfId="0">
      <formula>D31="High"</formula>
    </cfRule>
    <cfRule type="expression" priority="2" dxfId="1">
      <formula>D31="Medium"</formula>
    </cfRule>
    <cfRule type="expression" priority="3" dxfId="2">
      <formula>D31="Low"</formula>
    </cfRule>
    <cfRule type="expression" priority="4" dxfId="3">
      <formula>D31="OK"</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263"/>
  <sheetViews>
    <sheetView showGridLines="0" workbookViewId="0">
      <pane xSplit="4" ySplit="4" topLeftCell="E5" activePane="bottomRight" state="frozen"/>
      <selection pane="topRight"/>
      <selection pane="bottomLeft"/>
      <selection pane="bottomRight" activeCell="A1" sqref="A1"/>
    </sheetView>
  </sheetViews>
  <sheetFormatPr baseColWidth="8" defaultRowHeight="15"/>
  <cols>
    <col width="5" customWidth="1" min="1" max="1"/>
    <col width="10" customWidth="1" min="2" max="2"/>
    <col width="7" customWidth="1" min="3" max="3"/>
    <col width="12" customWidth="1" min="4" max="4"/>
    <col width="26" customWidth="1" min="5" max="5"/>
    <col width="44" customWidth="1" min="6" max="6"/>
    <col width="13" customWidth="1" min="7" max="7"/>
    <col width="9" customWidth="1" min="8" max="8"/>
    <col width="22" customWidth="1" min="9" max="9"/>
    <col width="13" customWidth="1" min="10" max="10"/>
    <col width="11" customWidth="1" min="11" max="11"/>
    <col width="14" customWidth="1" min="12" max="12"/>
    <col width="11" customWidth="1" min="13" max="13"/>
    <col width="60" customWidth="1" min="14" max="14"/>
  </cols>
  <sheetData>
    <row r="1" ht="30" customHeight="1">
      <c r="A1" s="1" t="inlineStr">
        <is>
          <t>Risk Register</t>
        </is>
      </c>
      <c r="B1" s="2" t="n"/>
      <c r="C1" s="2" t="n"/>
      <c r="D1" s="2" t="n"/>
      <c r="E1" s="2" t="n"/>
      <c r="F1" s="2" t="n"/>
      <c r="G1" s="2" t="n"/>
      <c r="H1" s="2" t="n"/>
      <c r="I1" s="2" t="n"/>
      <c r="J1" s="2" t="n"/>
      <c r="K1" s="2" t="n"/>
      <c r="L1" s="2" t="n"/>
      <c r="M1" s="2" t="n"/>
    </row>
    <row r="2">
      <c r="A2" s="3" t="inlineStr">
        <is>
          <t>Every open deal and every won deal not yet fully invoiced, worst first. Flags and scores are explained at the bottom; thresholds are on Settings.</t>
        </is>
      </c>
      <c r="B2" s="2" t="n"/>
      <c r="C2" s="2" t="n"/>
      <c r="D2" s="2" t="n"/>
      <c r="E2" s="2" t="n"/>
      <c r="F2" s="2" t="n"/>
      <c r="G2" s="2" t="n"/>
      <c r="H2" s="2" t="n"/>
      <c r="I2" s="2" t="n"/>
      <c r="J2" s="2" t="n"/>
      <c r="K2" s="2" t="n"/>
      <c r="L2" s="2" t="n"/>
      <c r="M2" s="2" t="n"/>
    </row>
    <row r="4" ht="30" customHeight="1">
      <c r="A4" s="23" t="inlineStr">
        <is>
          <t>#</t>
        </is>
      </c>
      <c r="B4" s="23" t="inlineStr">
        <is>
          <t>Rating</t>
        </is>
      </c>
      <c r="C4" s="23" t="inlineStr">
        <is>
          <t>Score</t>
        </is>
      </c>
      <c r="D4" s="23" t="inlineStr">
        <is>
          <t>Job / Opp No</t>
        </is>
      </c>
      <c r="E4" s="23" t="inlineStr">
        <is>
          <t>Client</t>
        </is>
      </c>
      <c r="F4" s="23" t="inlineStr">
        <is>
          <t>Deal</t>
        </is>
      </c>
      <c r="G4" s="23" t="inlineStr">
        <is>
          <t>Cost Centre</t>
        </is>
      </c>
      <c r="H4" s="23" t="inlineStr">
        <is>
          <t>Status</t>
        </is>
      </c>
      <c r="I4" s="23" t="inlineStr">
        <is>
          <t>Stage</t>
        </is>
      </c>
      <c r="J4" s="23" t="inlineStr">
        <is>
          <t>Value</t>
        </is>
      </c>
      <c r="K4" s="23" t="inlineStr">
        <is>
          <t>Probability</t>
        </is>
      </c>
      <c r="L4" s="23" t="inlineStr">
        <is>
          <t>Revenue at risk</t>
        </is>
      </c>
      <c r="M4" s="23" t="inlineStr">
        <is>
          <t>Expected Month</t>
        </is>
      </c>
      <c r="N4" s="23" t="inlineStr">
        <is>
          <t>Why</t>
        </is>
      </c>
    </row>
    <row r="5">
      <c r="A5" s="11">
        <f>IF(D5="","",1)</f>
        <v/>
      </c>
      <c r="B5" s="42">
        <f>IFERROR(INDEX(p_Rating,MATCH(LARGE(p_Key,1),p_Key,0)),"")</f>
        <v/>
      </c>
      <c r="C5" s="11">
        <f>IFERROR(INDEX(p_Score,MATCH(LARGE(p_Key,1),p_Key,0)),"")</f>
        <v/>
      </c>
      <c r="D5" s="38">
        <f>IFERROR(INDEX(p_Job,MATCH(LARGE(p_Key,1),p_Key,0)),"")</f>
        <v/>
      </c>
      <c r="E5" s="38">
        <f>IFERROR(INDEX(p_Client,MATCH(LARGE(p_Key,1),p_Key,0)),"")</f>
        <v/>
      </c>
      <c r="F5" s="38">
        <f>IFERROR(INDEX(p_Deal,MATCH(LARGE(p_Key,1),p_Key,0)),"")</f>
        <v/>
      </c>
      <c r="G5" s="38">
        <f>IFERROR(INDEX(p_CC,MATCH(LARGE(p_Key,1),p_Key,0)),"")</f>
        <v/>
      </c>
      <c r="H5" s="38">
        <f>IFERROR(INDEX(p_Status,MATCH(LARGE(p_Key,1),p_Key,0)),"")</f>
        <v/>
      </c>
      <c r="I5" s="38">
        <f>IFERROR(INDEX(p_Stage,MATCH(LARGE(p_Key,1),p_Key,0)),"")</f>
        <v/>
      </c>
      <c r="J5" s="12">
        <f>IFERROR(INDEX(p_Value,MATCH(LARGE(p_Key,1),p_Key,0)),"")</f>
        <v/>
      </c>
      <c r="K5" s="33">
        <f>IFERROR(IF(H5="Open",INDEX(p_Prob,MATCH(LARGE(p_Key,1),p_Key,0)),""),"")</f>
        <v/>
      </c>
      <c r="L5" s="12">
        <f>IFERROR(INDEX(p_Risk,MATCH(LARGE(p_Key,1),p_Key,0)),"")</f>
        <v/>
      </c>
      <c r="M5" s="43">
        <f>IFERROR(INDEX(p_Month,MATCH(LARGE(p_Key,1),p_Key,0)),"")</f>
        <v/>
      </c>
      <c r="N5" s="38">
        <f>IFERROR(INDEX(p_Flags,MATCH(LARGE(p_Key,1),p_Key,0)),"")</f>
        <v/>
      </c>
    </row>
    <row r="6">
      <c r="A6" s="11">
        <f>IF(D6="","",2)</f>
        <v/>
      </c>
      <c r="B6" s="42">
        <f>IFERROR(INDEX(p_Rating,MATCH(LARGE(p_Key,2),p_Key,0)),"")</f>
        <v/>
      </c>
      <c r="C6" s="11">
        <f>IFERROR(INDEX(p_Score,MATCH(LARGE(p_Key,2),p_Key,0)),"")</f>
        <v/>
      </c>
      <c r="D6" s="38">
        <f>IFERROR(INDEX(p_Job,MATCH(LARGE(p_Key,2),p_Key,0)),"")</f>
        <v/>
      </c>
      <c r="E6" s="38">
        <f>IFERROR(INDEX(p_Client,MATCH(LARGE(p_Key,2),p_Key,0)),"")</f>
        <v/>
      </c>
      <c r="F6" s="38">
        <f>IFERROR(INDEX(p_Deal,MATCH(LARGE(p_Key,2),p_Key,0)),"")</f>
        <v/>
      </c>
      <c r="G6" s="38">
        <f>IFERROR(INDEX(p_CC,MATCH(LARGE(p_Key,2),p_Key,0)),"")</f>
        <v/>
      </c>
      <c r="H6" s="38">
        <f>IFERROR(INDEX(p_Status,MATCH(LARGE(p_Key,2),p_Key,0)),"")</f>
        <v/>
      </c>
      <c r="I6" s="38">
        <f>IFERROR(INDEX(p_Stage,MATCH(LARGE(p_Key,2),p_Key,0)),"")</f>
        <v/>
      </c>
      <c r="J6" s="12">
        <f>IFERROR(INDEX(p_Value,MATCH(LARGE(p_Key,2),p_Key,0)),"")</f>
        <v/>
      </c>
      <c r="K6" s="33">
        <f>IFERROR(IF(H6="Open",INDEX(p_Prob,MATCH(LARGE(p_Key,2),p_Key,0)),""),"")</f>
        <v/>
      </c>
      <c r="L6" s="12">
        <f>IFERROR(INDEX(p_Risk,MATCH(LARGE(p_Key,2),p_Key,0)),"")</f>
        <v/>
      </c>
      <c r="M6" s="43">
        <f>IFERROR(INDEX(p_Month,MATCH(LARGE(p_Key,2),p_Key,0)),"")</f>
        <v/>
      </c>
      <c r="N6" s="38">
        <f>IFERROR(INDEX(p_Flags,MATCH(LARGE(p_Key,2),p_Key,0)),"")</f>
        <v/>
      </c>
    </row>
    <row r="7">
      <c r="A7" s="11">
        <f>IF(D7="","",3)</f>
        <v/>
      </c>
      <c r="B7" s="42">
        <f>IFERROR(INDEX(p_Rating,MATCH(LARGE(p_Key,3),p_Key,0)),"")</f>
        <v/>
      </c>
      <c r="C7" s="11">
        <f>IFERROR(INDEX(p_Score,MATCH(LARGE(p_Key,3),p_Key,0)),"")</f>
        <v/>
      </c>
      <c r="D7" s="38">
        <f>IFERROR(INDEX(p_Job,MATCH(LARGE(p_Key,3),p_Key,0)),"")</f>
        <v/>
      </c>
      <c r="E7" s="38">
        <f>IFERROR(INDEX(p_Client,MATCH(LARGE(p_Key,3),p_Key,0)),"")</f>
        <v/>
      </c>
      <c r="F7" s="38">
        <f>IFERROR(INDEX(p_Deal,MATCH(LARGE(p_Key,3),p_Key,0)),"")</f>
        <v/>
      </c>
      <c r="G7" s="38">
        <f>IFERROR(INDEX(p_CC,MATCH(LARGE(p_Key,3),p_Key,0)),"")</f>
        <v/>
      </c>
      <c r="H7" s="38">
        <f>IFERROR(INDEX(p_Status,MATCH(LARGE(p_Key,3),p_Key,0)),"")</f>
        <v/>
      </c>
      <c r="I7" s="38">
        <f>IFERROR(INDEX(p_Stage,MATCH(LARGE(p_Key,3),p_Key,0)),"")</f>
        <v/>
      </c>
      <c r="J7" s="12">
        <f>IFERROR(INDEX(p_Value,MATCH(LARGE(p_Key,3),p_Key,0)),"")</f>
        <v/>
      </c>
      <c r="K7" s="33">
        <f>IFERROR(IF(H7="Open",INDEX(p_Prob,MATCH(LARGE(p_Key,3),p_Key,0)),""),"")</f>
        <v/>
      </c>
      <c r="L7" s="12">
        <f>IFERROR(INDEX(p_Risk,MATCH(LARGE(p_Key,3),p_Key,0)),"")</f>
        <v/>
      </c>
      <c r="M7" s="43">
        <f>IFERROR(INDEX(p_Month,MATCH(LARGE(p_Key,3),p_Key,0)),"")</f>
        <v/>
      </c>
      <c r="N7" s="38">
        <f>IFERROR(INDEX(p_Flags,MATCH(LARGE(p_Key,3),p_Key,0)),"")</f>
        <v/>
      </c>
    </row>
    <row r="8">
      <c r="A8" s="11">
        <f>IF(D8="","",4)</f>
        <v/>
      </c>
      <c r="B8" s="42">
        <f>IFERROR(INDEX(p_Rating,MATCH(LARGE(p_Key,4),p_Key,0)),"")</f>
        <v/>
      </c>
      <c r="C8" s="11">
        <f>IFERROR(INDEX(p_Score,MATCH(LARGE(p_Key,4),p_Key,0)),"")</f>
        <v/>
      </c>
      <c r="D8" s="38">
        <f>IFERROR(INDEX(p_Job,MATCH(LARGE(p_Key,4),p_Key,0)),"")</f>
        <v/>
      </c>
      <c r="E8" s="38">
        <f>IFERROR(INDEX(p_Client,MATCH(LARGE(p_Key,4),p_Key,0)),"")</f>
        <v/>
      </c>
      <c r="F8" s="38">
        <f>IFERROR(INDEX(p_Deal,MATCH(LARGE(p_Key,4),p_Key,0)),"")</f>
        <v/>
      </c>
      <c r="G8" s="38">
        <f>IFERROR(INDEX(p_CC,MATCH(LARGE(p_Key,4),p_Key,0)),"")</f>
        <v/>
      </c>
      <c r="H8" s="38">
        <f>IFERROR(INDEX(p_Status,MATCH(LARGE(p_Key,4),p_Key,0)),"")</f>
        <v/>
      </c>
      <c r="I8" s="38">
        <f>IFERROR(INDEX(p_Stage,MATCH(LARGE(p_Key,4),p_Key,0)),"")</f>
        <v/>
      </c>
      <c r="J8" s="12">
        <f>IFERROR(INDEX(p_Value,MATCH(LARGE(p_Key,4),p_Key,0)),"")</f>
        <v/>
      </c>
      <c r="K8" s="33">
        <f>IFERROR(IF(H8="Open",INDEX(p_Prob,MATCH(LARGE(p_Key,4),p_Key,0)),""),"")</f>
        <v/>
      </c>
      <c r="L8" s="12">
        <f>IFERROR(INDEX(p_Risk,MATCH(LARGE(p_Key,4),p_Key,0)),"")</f>
        <v/>
      </c>
      <c r="M8" s="43">
        <f>IFERROR(INDEX(p_Month,MATCH(LARGE(p_Key,4),p_Key,0)),"")</f>
        <v/>
      </c>
      <c r="N8" s="38">
        <f>IFERROR(INDEX(p_Flags,MATCH(LARGE(p_Key,4),p_Key,0)),"")</f>
        <v/>
      </c>
    </row>
    <row r="9">
      <c r="A9" s="11">
        <f>IF(D9="","",5)</f>
        <v/>
      </c>
      <c r="B9" s="42">
        <f>IFERROR(INDEX(p_Rating,MATCH(LARGE(p_Key,5),p_Key,0)),"")</f>
        <v/>
      </c>
      <c r="C9" s="11">
        <f>IFERROR(INDEX(p_Score,MATCH(LARGE(p_Key,5),p_Key,0)),"")</f>
        <v/>
      </c>
      <c r="D9" s="38">
        <f>IFERROR(INDEX(p_Job,MATCH(LARGE(p_Key,5),p_Key,0)),"")</f>
        <v/>
      </c>
      <c r="E9" s="38">
        <f>IFERROR(INDEX(p_Client,MATCH(LARGE(p_Key,5),p_Key,0)),"")</f>
        <v/>
      </c>
      <c r="F9" s="38">
        <f>IFERROR(INDEX(p_Deal,MATCH(LARGE(p_Key,5),p_Key,0)),"")</f>
        <v/>
      </c>
      <c r="G9" s="38">
        <f>IFERROR(INDEX(p_CC,MATCH(LARGE(p_Key,5),p_Key,0)),"")</f>
        <v/>
      </c>
      <c r="H9" s="38">
        <f>IFERROR(INDEX(p_Status,MATCH(LARGE(p_Key,5),p_Key,0)),"")</f>
        <v/>
      </c>
      <c r="I9" s="38">
        <f>IFERROR(INDEX(p_Stage,MATCH(LARGE(p_Key,5),p_Key,0)),"")</f>
        <v/>
      </c>
      <c r="J9" s="12">
        <f>IFERROR(INDEX(p_Value,MATCH(LARGE(p_Key,5),p_Key,0)),"")</f>
        <v/>
      </c>
      <c r="K9" s="33">
        <f>IFERROR(IF(H9="Open",INDEX(p_Prob,MATCH(LARGE(p_Key,5),p_Key,0)),""),"")</f>
        <v/>
      </c>
      <c r="L9" s="12">
        <f>IFERROR(INDEX(p_Risk,MATCH(LARGE(p_Key,5),p_Key,0)),"")</f>
        <v/>
      </c>
      <c r="M9" s="43">
        <f>IFERROR(INDEX(p_Month,MATCH(LARGE(p_Key,5),p_Key,0)),"")</f>
        <v/>
      </c>
      <c r="N9" s="38">
        <f>IFERROR(INDEX(p_Flags,MATCH(LARGE(p_Key,5),p_Key,0)),"")</f>
        <v/>
      </c>
    </row>
    <row r="10">
      <c r="A10" s="11">
        <f>IF(D10="","",6)</f>
        <v/>
      </c>
      <c r="B10" s="42">
        <f>IFERROR(INDEX(p_Rating,MATCH(LARGE(p_Key,6),p_Key,0)),"")</f>
        <v/>
      </c>
      <c r="C10" s="11">
        <f>IFERROR(INDEX(p_Score,MATCH(LARGE(p_Key,6),p_Key,0)),"")</f>
        <v/>
      </c>
      <c r="D10" s="38">
        <f>IFERROR(INDEX(p_Job,MATCH(LARGE(p_Key,6),p_Key,0)),"")</f>
        <v/>
      </c>
      <c r="E10" s="38">
        <f>IFERROR(INDEX(p_Client,MATCH(LARGE(p_Key,6),p_Key,0)),"")</f>
        <v/>
      </c>
      <c r="F10" s="38">
        <f>IFERROR(INDEX(p_Deal,MATCH(LARGE(p_Key,6),p_Key,0)),"")</f>
        <v/>
      </c>
      <c r="G10" s="38">
        <f>IFERROR(INDEX(p_CC,MATCH(LARGE(p_Key,6),p_Key,0)),"")</f>
        <v/>
      </c>
      <c r="H10" s="38">
        <f>IFERROR(INDEX(p_Status,MATCH(LARGE(p_Key,6),p_Key,0)),"")</f>
        <v/>
      </c>
      <c r="I10" s="38">
        <f>IFERROR(INDEX(p_Stage,MATCH(LARGE(p_Key,6),p_Key,0)),"")</f>
        <v/>
      </c>
      <c r="J10" s="12">
        <f>IFERROR(INDEX(p_Value,MATCH(LARGE(p_Key,6),p_Key,0)),"")</f>
        <v/>
      </c>
      <c r="K10" s="33">
        <f>IFERROR(IF(H10="Open",INDEX(p_Prob,MATCH(LARGE(p_Key,6),p_Key,0)),""),"")</f>
        <v/>
      </c>
      <c r="L10" s="12">
        <f>IFERROR(INDEX(p_Risk,MATCH(LARGE(p_Key,6),p_Key,0)),"")</f>
        <v/>
      </c>
      <c r="M10" s="43">
        <f>IFERROR(INDEX(p_Month,MATCH(LARGE(p_Key,6),p_Key,0)),"")</f>
        <v/>
      </c>
      <c r="N10" s="38">
        <f>IFERROR(INDEX(p_Flags,MATCH(LARGE(p_Key,6),p_Key,0)),"")</f>
        <v/>
      </c>
    </row>
    <row r="11">
      <c r="A11" s="11">
        <f>IF(D11="","",7)</f>
        <v/>
      </c>
      <c r="B11" s="42">
        <f>IFERROR(INDEX(p_Rating,MATCH(LARGE(p_Key,7),p_Key,0)),"")</f>
        <v/>
      </c>
      <c r="C11" s="11">
        <f>IFERROR(INDEX(p_Score,MATCH(LARGE(p_Key,7),p_Key,0)),"")</f>
        <v/>
      </c>
      <c r="D11" s="38">
        <f>IFERROR(INDEX(p_Job,MATCH(LARGE(p_Key,7),p_Key,0)),"")</f>
        <v/>
      </c>
      <c r="E11" s="38">
        <f>IFERROR(INDEX(p_Client,MATCH(LARGE(p_Key,7),p_Key,0)),"")</f>
        <v/>
      </c>
      <c r="F11" s="38">
        <f>IFERROR(INDEX(p_Deal,MATCH(LARGE(p_Key,7),p_Key,0)),"")</f>
        <v/>
      </c>
      <c r="G11" s="38">
        <f>IFERROR(INDEX(p_CC,MATCH(LARGE(p_Key,7),p_Key,0)),"")</f>
        <v/>
      </c>
      <c r="H11" s="38">
        <f>IFERROR(INDEX(p_Status,MATCH(LARGE(p_Key,7),p_Key,0)),"")</f>
        <v/>
      </c>
      <c r="I11" s="38">
        <f>IFERROR(INDEX(p_Stage,MATCH(LARGE(p_Key,7),p_Key,0)),"")</f>
        <v/>
      </c>
      <c r="J11" s="12">
        <f>IFERROR(INDEX(p_Value,MATCH(LARGE(p_Key,7),p_Key,0)),"")</f>
        <v/>
      </c>
      <c r="K11" s="33">
        <f>IFERROR(IF(H11="Open",INDEX(p_Prob,MATCH(LARGE(p_Key,7),p_Key,0)),""),"")</f>
        <v/>
      </c>
      <c r="L11" s="12">
        <f>IFERROR(INDEX(p_Risk,MATCH(LARGE(p_Key,7),p_Key,0)),"")</f>
        <v/>
      </c>
      <c r="M11" s="43">
        <f>IFERROR(INDEX(p_Month,MATCH(LARGE(p_Key,7),p_Key,0)),"")</f>
        <v/>
      </c>
      <c r="N11" s="38">
        <f>IFERROR(INDEX(p_Flags,MATCH(LARGE(p_Key,7),p_Key,0)),"")</f>
        <v/>
      </c>
    </row>
    <row r="12">
      <c r="A12" s="11">
        <f>IF(D12="","",8)</f>
        <v/>
      </c>
      <c r="B12" s="42">
        <f>IFERROR(INDEX(p_Rating,MATCH(LARGE(p_Key,8),p_Key,0)),"")</f>
        <v/>
      </c>
      <c r="C12" s="11">
        <f>IFERROR(INDEX(p_Score,MATCH(LARGE(p_Key,8),p_Key,0)),"")</f>
        <v/>
      </c>
      <c r="D12" s="38">
        <f>IFERROR(INDEX(p_Job,MATCH(LARGE(p_Key,8),p_Key,0)),"")</f>
        <v/>
      </c>
      <c r="E12" s="38">
        <f>IFERROR(INDEX(p_Client,MATCH(LARGE(p_Key,8),p_Key,0)),"")</f>
        <v/>
      </c>
      <c r="F12" s="38">
        <f>IFERROR(INDEX(p_Deal,MATCH(LARGE(p_Key,8),p_Key,0)),"")</f>
        <v/>
      </c>
      <c r="G12" s="38">
        <f>IFERROR(INDEX(p_CC,MATCH(LARGE(p_Key,8),p_Key,0)),"")</f>
        <v/>
      </c>
      <c r="H12" s="38">
        <f>IFERROR(INDEX(p_Status,MATCH(LARGE(p_Key,8),p_Key,0)),"")</f>
        <v/>
      </c>
      <c r="I12" s="38">
        <f>IFERROR(INDEX(p_Stage,MATCH(LARGE(p_Key,8),p_Key,0)),"")</f>
        <v/>
      </c>
      <c r="J12" s="12">
        <f>IFERROR(INDEX(p_Value,MATCH(LARGE(p_Key,8),p_Key,0)),"")</f>
        <v/>
      </c>
      <c r="K12" s="33">
        <f>IFERROR(IF(H12="Open",INDEX(p_Prob,MATCH(LARGE(p_Key,8),p_Key,0)),""),"")</f>
        <v/>
      </c>
      <c r="L12" s="12">
        <f>IFERROR(INDEX(p_Risk,MATCH(LARGE(p_Key,8),p_Key,0)),"")</f>
        <v/>
      </c>
      <c r="M12" s="43">
        <f>IFERROR(INDEX(p_Month,MATCH(LARGE(p_Key,8),p_Key,0)),"")</f>
        <v/>
      </c>
      <c r="N12" s="38">
        <f>IFERROR(INDEX(p_Flags,MATCH(LARGE(p_Key,8),p_Key,0)),"")</f>
        <v/>
      </c>
    </row>
    <row r="13">
      <c r="A13" s="11">
        <f>IF(D13="","",9)</f>
        <v/>
      </c>
      <c r="B13" s="42">
        <f>IFERROR(INDEX(p_Rating,MATCH(LARGE(p_Key,9),p_Key,0)),"")</f>
        <v/>
      </c>
      <c r="C13" s="11">
        <f>IFERROR(INDEX(p_Score,MATCH(LARGE(p_Key,9),p_Key,0)),"")</f>
        <v/>
      </c>
      <c r="D13" s="38">
        <f>IFERROR(INDEX(p_Job,MATCH(LARGE(p_Key,9),p_Key,0)),"")</f>
        <v/>
      </c>
      <c r="E13" s="38">
        <f>IFERROR(INDEX(p_Client,MATCH(LARGE(p_Key,9),p_Key,0)),"")</f>
        <v/>
      </c>
      <c r="F13" s="38">
        <f>IFERROR(INDEX(p_Deal,MATCH(LARGE(p_Key,9),p_Key,0)),"")</f>
        <v/>
      </c>
      <c r="G13" s="38">
        <f>IFERROR(INDEX(p_CC,MATCH(LARGE(p_Key,9),p_Key,0)),"")</f>
        <v/>
      </c>
      <c r="H13" s="38">
        <f>IFERROR(INDEX(p_Status,MATCH(LARGE(p_Key,9),p_Key,0)),"")</f>
        <v/>
      </c>
      <c r="I13" s="38">
        <f>IFERROR(INDEX(p_Stage,MATCH(LARGE(p_Key,9),p_Key,0)),"")</f>
        <v/>
      </c>
      <c r="J13" s="12">
        <f>IFERROR(INDEX(p_Value,MATCH(LARGE(p_Key,9),p_Key,0)),"")</f>
        <v/>
      </c>
      <c r="K13" s="33">
        <f>IFERROR(IF(H13="Open",INDEX(p_Prob,MATCH(LARGE(p_Key,9),p_Key,0)),""),"")</f>
        <v/>
      </c>
      <c r="L13" s="12">
        <f>IFERROR(INDEX(p_Risk,MATCH(LARGE(p_Key,9),p_Key,0)),"")</f>
        <v/>
      </c>
      <c r="M13" s="43">
        <f>IFERROR(INDEX(p_Month,MATCH(LARGE(p_Key,9),p_Key,0)),"")</f>
        <v/>
      </c>
      <c r="N13" s="38">
        <f>IFERROR(INDEX(p_Flags,MATCH(LARGE(p_Key,9),p_Key,0)),"")</f>
        <v/>
      </c>
    </row>
    <row r="14">
      <c r="A14" s="11">
        <f>IF(D14="","",10)</f>
        <v/>
      </c>
      <c r="B14" s="42">
        <f>IFERROR(INDEX(p_Rating,MATCH(LARGE(p_Key,10),p_Key,0)),"")</f>
        <v/>
      </c>
      <c r="C14" s="11">
        <f>IFERROR(INDEX(p_Score,MATCH(LARGE(p_Key,10),p_Key,0)),"")</f>
        <v/>
      </c>
      <c r="D14" s="38">
        <f>IFERROR(INDEX(p_Job,MATCH(LARGE(p_Key,10),p_Key,0)),"")</f>
        <v/>
      </c>
      <c r="E14" s="38">
        <f>IFERROR(INDEX(p_Client,MATCH(LARGE(p_Key,10),p_Key,0)),"")</f>
        <v/>
      </c>
      <c r="F14" s="38">
        <f>IFERROR(INDEX(p_Deal,MATCH(LARGE(p_Key,10),p_Key,0)),"")</f>
        <v/>
      </c>
      <c r="G14" s="38">
        <f>IFERROR(INDEX(p_CC,MATCH(LARGE(p_Key,10),p_Key,0)),"")</f>
        <v/>
      </c>
      <c r="H14" s="38">
        <f>IFERROR(INDEX(p_Status,MATCH(LARGE(p_Key,10),p_Key,0)),"")</f>
        <v/>
      </c>
      <c r="I14" s="38">
        <f>IFERROR(INDEX(p_Stage,MATCH(LARGE(p_Key,10),p_Key,0)),"")</f>
        <v/>
      </c>
      <c r="J14" s="12">
        <f>IFERROR(INDEX(p_Value,MATCH(LARGE(p_Key,10),p_Key,0)),"")</f>
        <v/>
      </c>
      <c r="K14" s="33">
        <f>IFERROR(IF(H14="Open",INDEX(p_Prob,MATCH(LARGE(p_Key,10),p_Key,0)),""),"")</f>
        <v/>
      </c>
      <c r="L14" s="12">
        <f>IFERROR(INDEX(p_Risk,MATCH(LARGE(p_Key,10),p_Key,0)),"")</f>
        <v/>
      </c>
      <c r="M14" s="43">
        <f>IFERROR(INDEX(p_Month,MATCH(LARGE(p_Key,10),p_Key,0)),"")</f>
        <v/>
      </c>
      <c r="N14" s="38">
        <f>IFERROR(INDEX(p_Flags,MATCH(LARGE(p_Key,10),p_Key,0)),"")</f>
        <v/>
      </c>
    </row>
    <row r="15">
      <c r="A15" s="11">
        <f>IF(D15="","",11)</f>
        <v/>
      </c>
      <c r="B15" s="42">
        <f>IFERROR(INDEX(p_Rating,MATCH(LARGE(p_Key,11),p_Key,0)),"")</f>
        <v/>
      </c>
      <c r="C15" s="11">
        <f>IFERROR(INDEX(p_Score,MATCH(LARGE(p_Key,11),p_Key,0)),"")</f>
        <v/>
      </c>
      <c r="D15" s="38">
        <f>IFERROR(INDEX(p_Job,MATCH(LARGE(p_Key,11),p_Key,0)),"")</f>
        <v/>
      </c>
      <c r="E15" s="38">
        <f>IFERROR(INDEX(p_Client,MATCH(LARGE(p_Key,11),p_Key,0)),"")</f>
        <v/>
      </c>
      <c r="F15" s="38">
        <f>IFERROR(INDEX(p_Deal,MATCH(LARGE(p_Key,11),p_Key,0)),"")</f>
        <v/>
      </c>
      <c r="G15" s="38">
        <f>IFERROR(INDEX(p_CC,MATCH(LARGE(p_Key,11),p_Key,0)),"")</f>
        <v/>
      </c>
      <c r="H15" s="38">
        <f>IFERROR(INDEX(p_Status,MATCH(LARGE(p_Key,11),p_Key,0)),"")</f>
        <v/>
      </c>
      <c r="I15" s="38">
        <f>IFERROR(INDEX(p_Stage,MATCH(LARGE(p_Key,11),p_Key,0)),"")</f>
        <v/>
      </c>
      <c r="J15" s="12">
        <f>IFERROR(INDEX(p_Value,MATCH(LARGE(p_Key,11),p_Key,0)),"")</f>
        <v/>
      </c>
      <c r="K15" s="33">
        <f>IFERROR(IF(H15="Open",INDEX(p_Prob,MATCH(LARGE(p_Key,11),p_Key,0)),""),"")</f>
        <v/>
      </c>
      <c r="L15" s="12">
        <f>IFERROR(INDEX(p_Risk,MATCH(LARGE(p_Key,11),p_Key,0)),"")</f>
        <v/>
      </c>
      <c r="M15" s="43">
        <f>IFERROR(INDEX(p_Month,MATCH(LARGE(p_Key,11),p_Key,0)),"")</f>
        <v/>
      </c>
      <c r="N15" s="38">
        <f>IFERROR(INDEX(p_Flags,MATCH(LARGE(p_Key,11),p_Key,0)),"")</f>
        <v/>
      </c>
    </row>
    <row r="16">
      <c r="A16" s="11">
        <f>IF(D16="","",12)</f>
        <v/>
      </c>
      <c r="B16" s="42">
        <f>IFERROR(INDEX(p_Rating,MATCH(LARGE(p_Key,12),p_Key,0)),"")</f>
        <v/>
      </c>
      <c r="C16" s="11">
        <f>IFERROR(INDEX(p_Score,MATCH(LARGE(p_Key,12),p_Key,0)),"")</f>
        <v/>
      </c>
      <c r="D16" s="38">
        <f>IFERROR(INDEX(p_Job,MATCH(LARGE(p_Key,12),p_Key,0)),"")</f>
        <v/>
      </c>
      <c r="E16" s="38">
        <f>IFERROR(INDEX(p_Client,MATCH(LARGE(p_Key,12),p_Key,0)),"")</f>
        <v/>
      </c>
      <c r="F16" s="38">
        <f>IFERROR(INDEX(p_Deal,MATCH(LARGE(p_Key,12),p_Key,0)),"")</f>
        <v/>
      </c>
      <c r="G16" s="38">
        <f>IFERROR(INDEX(p_CC,MATCH(LARGE(p_Key,12),p_Key,0)),"")</f>
        <v/>
      </c>
      <c r="H16" s="38">
        <f>IFERROR(INDEX(p_Status,MATCH(LARGE(p_Key,12),p_Key,0)),"")</f>
        <v/>
      </c>
      <c r="I16" s="38">
        <f>IFERROR(INDEX(p_Stage,MATCH(LARGE(p_Key,12),p_Key,0)),"")</f>
        <v/>
      </c>
      <c r="J16" s="12">
        <f>IFERROR(INDEX(p_Value,MATCH(LARGE(p_Key,12),p_Key,0)),"")</f>
        <v/>
      </c>
      <c r="K16" s="33">
        <f>IFERROR(IF(H16="Open",INDEX(p_Prob,MATCH(LARGE(p_Key,12),p_Key,0)),""),"")</f>
        <v/>
      </c>
      <c r="L16" s="12">
        <f>IFERROR(INDEX(p_Risk,MATCH(LARGE(p_Key,12),p_Key,0)),"")</f>
        <v/>
      </c>
      <c r="M16" s="43">
        <f>IFERROR(INDEX(p_Month,MATCH(LARGE(p_Key,12),p_Key,0)),"")</f>
        <v/>
      </c>
      <c r="N16" s="38">
        <f>IFERROR(INDEX(p_Flags,MATCH(LARGE(p_Key,12),p_Key,0)),"")</f>
        <v/>
      </c>
    </row>
    <row r="17">
      <c r="A17" s="11">
        <f>IF(D17="","",13)</f>
        <v/>
      </c>
      <c r="B17" s="42">
        <f>IFERROR(INDEX(p_Rating,MATCH(LARGE(p_Key,13),p_Key,0)),"")</f>
        <v/>
      </c>
      <c r="C17" s="11">
        <f>IFERROR(INDEX(p_Score,MATCH(LARGE(p_Key,13),p_Key,0)),"")</f>
        <v/>
      </c>
      <c r="D17" s="38">
        <f>IFERROR(INDEX(p_Job,MATCH(LARGE(p_Key,13),p_Key,0)),"")</f>
        <v/>
      </c>
      <c r="E17" s="38">
        <f>IFERROR(INDEX(p_Client,MATCH(LARGE(p_Key,13),p_Key,0)),"")</f>
        <v/>
      </c>
      <c r="F17" s="38">
        <f>IFERROR(INDEX(p_Deal,MATCH(LARGE(p_Key,13),p_Key,0)),"")</f>
        <v/>
      </c>
      <c r="G17" s="38">
        <f>IFERROR(INDEX(p_CC,MATCH(LARGE(p_Key,13),p_Key,0)),"")</f>
        <v/>
      </c>
      <c r="H17" s="38">
        <f>IFERROR(INDEX(p_Status,MATCH(LARGE(p_Key,13),p_Key,0)),"")</f>
        <v/>
      </c>
      <c r="I17" s="38">
        <f>IFERROR(INDEX(p_Stage,MATCH(LARGE(p_Key,13),p_Key,0)),"")</f>
        <v/>
      </c>
      <c r="J17" s="12">
        <f>IFERROR(INDEX(p_Value,MATCH(LARGE(p_Key,13),p_Key,0)),"")</f>
        <v/>
      </c>
      <c r="K17" s="33">
        <f>IFERROR(IF(H17="Open",INDEX(p_Prob,MATCH(LARGE(p_Key,13),p_Key,0)),""),"")</f>
        <v/>
      </c>
      <c r="L17" s="12">
        <f>IFERROR(INDEX(p_Risk,MATCH(LARGE(p_Key,13),p_Key,0)),"")</f>
        <v/>
      </c>
      <c r="M17" s="43">
        <f>IFERROR(INDEX(p_Month,MATCH(LARGE(p_Key,13),p_Key,0)),"")</f>
        <v/>
      </c>
      <c r="N17" s="38">
        <f>IFERROR(INDEX(p_Flags,MATCH(LARGE(p_Key,13),p_Key,0)),"")</f>
        <v/>
      </c>
    </row>
    <row r="18">
      <c r="A18" s="11">
        <f>IF(D18="","",14)</f>
        <v/>
      </c>
      <c r="B18" s="42">
        <f>IFERROR(INDEX(p_Rating,MATCH(LARGE(p_Key,14),p_Key,0)),"")</f>
        <v/>
      </c>
      <c r="C18" s="11">
        <f>IFERROR(INDEX(p_Score,MATCH(LARGE(p_Key,14),p_Key,0)),"")</f>
        <v/>
      </c>
      <c r="D18" s="38">
        <f>IFERROR(INDEX(p_Job,MATCH(LARGE(p_Key,14),p_Key,0)),"")</f>
        <v/>
      </c>
      <c r="E18" s="38">
        <f>IFERROR(INDEX(p_Client,MATCH(LARGE(p_Key,14),p_Key,0)),"")</f>
        <v/>
      </c>
      <c r="F18" s="38">
        <f>IFERROR(INDEX(p_Deal,MATCH(LARGE(p_Key,14),p_Key,0)),"")</f>
        <v/>
      </c>
      <c r="G18" s="38">
        <f>IFERROR(INDEX(p_CC,MATCH(LARGE(p_Key,14),p_Key,0)),"")</f>
        <v/>
      </c>
      <c r="H18" s="38">
        <f>IFERROR(INDEX(p_Status,MATCH(LARGE(p_Key,14),p_Key,0)),"")</f>
        <v/>
      </c>
      <c r="I18" s="38">
        <f>IFERROR(INDEX(p_Stage,MATCH(LARGE(p_Key,14),p_Key,0)),"")</f>
        <v/>
      </c>
      <c r="J18" s="12">
        <f>IFERROR(INDEX(p_Value,MATCH(LARGE(p_Key,14),p_Key,0)),"")</f>
        <v/>
      </c>
      <c r="K18" s="33">
        <f>IFERROR(IF(H18="Open",INDEX(p_Prob,MATCH(LARGE(p_Key,14),p_Key,0)),""),"")</f>
        <v/>
      </c>
      <c r="L18" s="12">
        <f>IFERROR(INDEX(p_Risk,MATCH(LARGE(p_Key,14),p_Key,0)),"")</f>
        <v/>
      </c>
      <c r="M18" s="43">
        <f>IFERROR(INDEX(p_Month,MATCH(LARGE(p_Key,14),p_Key,0)),"")</f>
        <v/>
      </c>
      <c r="N18" s="38">
        <f>IFERROR(INDEX(p_Flags,MATCH(LARGE(p_Key,14),p_Key,0)),"")</f>
        <v/>
      </c>
    </row>
    <row r="19">
      <c r="A19" s="11">
        <f>IF(D19="","",15)</f>
        <v/>
      </c>
      <c r="B19" s="42">
        <f>IFERROR(INDEX(p_Rating,MATCH(LARGE(p_Key,15),p_Key,0)),"")</f>
        <v/>
      </c>
      <c r="C19" s="11">
        <f>IFERROR(INDEX(p_Score,MATCH(LARGE(p_Key,15),p_Key,0)),"")</f>
        <v/>
      </c>
      <c r="D19" s="38">
        <f>IFERROR(INDEX(p_Job,MATCH(LARGE(p_Key,15),p_Key,0)),"")</f>
        <v/>
      </c>
      <c r="E19" s="38">
        <f>IFERROR(INDEX(p_Client,MATCH(LARGE(p_Key,15),p_Key,0)),"")</f>
        <v/>
      </c>
      <c r="F19" s="38">
        <f>IFERROR(INDEX(p_Deal,MATCH(LARGE(p_Key,15),p_Key,0)),"")</f>
        <v/>
      </c>
      <c r="G19" s="38">
        <f>IFERROR(INDEX(p_CC,MATCH(LARGE(p_Key,15),p_Key,0)),"")</f>
        <v/>
      </c>
      <c r="H19" s="38">
        <f>IFERROR(INDEX(p_Status,MATCH(LARGE(p_Key,15),p_Key,0)),"")</f>
        <v/>
      </c>
      <c r="I19" s="38">
        <f>IFERROR(INDEX(p_Stage,MATCH(LARGE(p_Key,15),p_Key,0)),"")</f>
        <v/>
      </c>
      <c r="J19" s="12">
        <f>IFERROR(INDEX(p_Value,MATCH(LARGE(p_Key,15),p_Key,0)),"")</f>
        <v/>
      </c>
      <c r="K19" s="33">
        <f>IFERROR(IF(H19="Open",INDEX(p_Prob,MATCH(LARGE(p_Key,15),p_Key,0)),""),"")</f>
        <v/>
      </c>
      <c r="L19" s="12">
        <f>IFERROR(INDEX(p_Risk,MATCH(LARGE(p_Key,15),p_Key,0)),"")</f>
        <v/>
      </c>
      <c r="M19" s="43">
        <f>IFERROR(INDEX(p_Month,MATCH(LARGE(p_Key,15),p_Key,0)),"")</f>
        <v/>
      </c>
      <c r="N19" s="38">
        <f>IFERROR(INDEX(p_Flags,MATCH(LARGE(p_Key,15),p_Key,0)),"")</f>
        <v/>
      </c>
    </row>
    <row r="20">
      <c r="A20" s="11">
        <f>IF(D20="","",16)</f>
        <v/>
      </c>
      <c r="B20" s="42">
        <f>IFERROR(INDEX(p_Rating,MATCH(LARGE(p_Key,16),p_Key,0)),"")</f>
        <v/>
      </c>
      <c r="C20" s="11">
        <f>IFERROR(INDEX(p_Score,MATCH(LARGE(p_Key,16),p_Key,0)),"")</f>
        <v/>
      </c>
      <c r="D20" s="38">
        <f>IFERROR(INDEX(p_Job,MATCH(LARGE(p_Key,16),p_Key,0)),"")</f>
        <v/>
      </c>
      <c r="E20" s="38">
        <f>IFERROR(INDEX(p_Client,MATCH(LARGE(p_Key,16),p_Key,0)),"")</f>
        <v/>
      </c>
      <c r="F20" s="38">
        <f>IFERROR(INDEX(p_Deal,MATCH(LARGE(p_Key,16),p_Key,0)),"")</f>
        <v/>
      </c>
      <c r="G20" s="38">
        <f>IFERROR(INDEX(p_CC,MATCH(LARGE(p_Key,16),p_Key,0)),"")</f>
        <v/>
      </c>
      <c r="H20" s="38">
        <f>IFERROR(INDEX(p_Status,MATCH(LARGE(p_Key,16),p_Key,0)),"")</f>
        <v/>
      </c>
      <c r="I20" s="38">
        <f>IFERROR(INDEX(p_Stage,MATCH(LARGE(p_Key,16),p_Key,0)),"")</f>
        <v/>
      </c>
      <c r="J20" s="12">
        <f>IFERROR(INDEX(p_Value,MATCH(LARGE(p_Key,16),p_Key,0)),"")</f>
        <v/>
      </c>
      <c r="K20" s="33">
        <f>IFERROR(IF(H20="Open",INDEX(p_Prob,MATCH(LARGE(p_Key,16),p_Key,0)),""),"")</f>
        <v/>
      </c>
      <c r="L20" s="12">
        <f>IFERROR(INDEX(p_Risk,MATCH(LARGE(p_Key,16),p_Key,0)),"")</f>
        <v/>
      </c>
      <c r="M20" s="43">
        <f>IFERROR(INDEX(p_Month,MATCH(LARGE(p_Key,16),p_Key,0)),"")</f>
        <v/>
      </c>
      <c r="N20" s="38">
        <f>IFERROR(INDEX(p_Flags,MATCH(LARGE(p_Key,16),p_Key,0)),"")</f>
        <v/>
      </c>
    </row>
    <row r="21">
      <c r="A21" s="11">
        <f>IF(D21="","",17)</f>
        <v/>
      </c>
      <c r="B21" s="42">
        <f>IFERROR(INDEX(p_Rating,MATCH(LARGE(p_Key,17),p_Key,0)),"")</f>
        <v/>
      </c>
      <c r="C21" s="11">
        <f>IFERROR(INDEX(p_Score,MATCH(LARGE(p_Key,17),p_Key,0)),"")</f>
        <v/>
      </c>
      <c r="D21" s="38">
        <f>IFERROR(INDEX(p_Job,MATCH(LARGE(p_Key,17),p_Key,0)),"")</f>
        <v/>
      </c>
      <c r="E21" s="38">
        <f>IFERROR(INDEX(p_Client,MATCH(LARGE(p_Key,17),p_Key,0)),"")</f>
        <v/>
      </c>
      <c r="F21" s="38">
        <f>IFERROR(INDEX(p_Deal,MATCH(LARGE(p_Key,17),p_Key,0)),"")</f>
        <v/>
      </c>
      <c r="G21" s="38">
        <f>IFERROR(INDEX(p_CC,MATCH(LARGE(p_Key,17),p_Key,0)),"")</f>
        <v/>
      </c>
      <c r="H21" s="38">
        <f>IFERROR(INDEX(p_Status,MATCH(LARGE(p_Key,17),p_Key,0)),"")</f>
        <v/>
      </c>
      <c r="I21" s="38">
        <f>IFERROR(INDEX(p_Stage,MATCH(LARGE(p_Key,17),p_Key,0)),"")</f>
        <v/>
      </c>
      <c r="J21" s="12">
        <f>IFERROR(INDEX(p_Value,MATCH(LARGE(p_Key,17),p_Key,0)),"")</f>
        <v/>
      </c>
      <c r="K21" s="33">
        <f>IFERROR(IF(H21="Open",INDEX(p_Prob,MATCH(LARGE(p_Key,17),p_Key,0)),""),"")</f>
        <v/>
      </c>
      <c r="L21" s="12">
        <f>IFERROR(INDEX(p_Risk,MATCH(LARGE(p_Key,17),p_Key,0)),"")</f>
        <v/>
      </c>
      <c r="M21" s="43">
        <f>IFERROR(INDEX(p_Month,MATCH(LARGE(p_Key,17),p_Key,0)),"")</f>
        <v/>
      </c>
      <c r="N21" s="38">
        <f>IFERROR(INDEX(p_Flags,MATCH(LARGE(p_Key,17),p_Key,0)),"")</f>
        <v/>
      </c>
    </row>
    <row r="22">
      <c r="A22" s="11">
        <f>IF(D22="","",18)</f>
        <v/>
      </c>
      <c r="B22" s="42">
        <f>IFERROR(INDEX(p_Rating,MATCH(LARGE(p_Key,18),p_Key,0)),"")</f>
        <v/>
      </c>
      <c r="C22" s="11">
        <f>IFERROR(INDEX(p_Score,MATCH(LARGE(p_Key,18),p_Key,0)),"")</f>
        <v/>
      </c>
      <c r="D22" s="38">
        <f>IFERROR(INDEX(p_Job,MATCH(LARGE(p_Key,18),p_Key,0)),"")</f>
        <v/>
      </c>
      <c r="E22" s="38">
        <f>IFERROR(INDEX(p_Client,MATCH(LARGE(p_Key,18),p_Key,0)),"")</f>
        <v/>
      </c>
      <c r="F22" s="38">
        <f>IFERROR(INDEX(p_Deal,MATCH(LARGE(p_Key,18),p_Key,0)),"")</f>
        <v/>
      </c>
      <c r="G22" s="38">
        <f>IFERROR(INDEX(p_CC,MATCH(LARGE(p_Key,18),p_Key,0)),"")</f>
        <v/>
      </c>
      <c r="H22" s="38">
        <f>IFERROR(INDEX(p_Status,MATCH(LARGE(p_Key,18),p_Key,0)),"")</f>
        <v/>
      </c>
      <c r="I22" s="38">
        <f>IFERROR(INDEX(p_Stage,MATCH(LARGE(p_Key,18),p_Key,0)),"")</f>
        <v/>
      </c>
      <c r="J22" s="12">
        <f>IFERROR(INDEX(p_Value,MATCH(LARGE(p_Key,18),p_Key,0)),"")</f>
        <v/>
      </c>
      <c r="K22" s="33">
        <f>IFERROR(IF(H22="Open",INDEX(p_Prob,MATCH(LARGE(p_Key,18),p_Key,0)),""),"")</f>
        <v/>
      </c>
      <c r="L22" s="12">
        <f>IFERROR(INDEX(p_Risk,MATCH(LARGE(p_Key,18),p_Key,0)),"")</f>
        <v/>
      </c>
      <c r="M22" s="43">
        <f>IFERROR(INDEX(p_Month,MATCH(LARGE(p_Key,18),p_Key,0)),"")</f>
        <v/>
      </c>
      <c r="N22" s="38">
        <f>IFERROR(INDEX(p_Flags,MATCH(LARGE(p_Key,18),p_Key,0)),"")</f>
        <v/>
      </c>
    </row>
    <row r="23">
      <c r="A23" s="11">
        <f>IF(D23="","",19)</f>
        <v/>
      </c>
      <c r="B23" s="42">
        <f>IFERROR(INDEX(p_Rating,MATCH(LARGE(p_Key,19),p_Key,0)),"")</f>
        <v/>
      </c>
      <c r="C23" s="11">
        <f>IFERROR(INDEX(p_Score,MATCH(LARGE(p_Key,19),p_Key,0)),"")</f>
        <v/>
      </c>
      <c r="D23" s="38">
        <f>IFERROR(INDEX(p_Job,MATCH(LARGE(p_Key,19),p_Key,0)),"")</f>
        <v/>
      </c>
      <c r="E23" s="38">
        <f>IFERROR(INDEX(p_Client,MATCH(LARGE(p_Key,19),p_Key,0)),"")</f>
        <v/>
      </c>
      <c r="F23" s="38">
        <f>IFERROR(INDEX(p_Deal,MATCH(LARGE(p_Key,19),p_Key,0)),"")</f>
        <v/>
      </c>
      <c r="G23" s="38">
        <f>IFERROR(INDEX(p_CC,MATCH(LARGE(p_Key,19),p_Key,0)),"")</f>
        <v/>
      </c>
      <c r="H23" s="38">
        <f>IFERROR(INDEX(p_Status,MATCH(LARGE(p_Key,19),p_Key,0)),"")</f>
        <v/>
      </c>
      <c r="I23" s="38">
        <f>IFERROR(INDEX(p_Stage,MATCH(LARGE(p_Key,19),p_Key,0)),"")</f>
        <v/>
      </c>
      <c r="J23" s="12">
        <f>IFERROR(INDEX(p_Value,MATCH(LARGE(p_Key,19),p_Key,0)),"")</f>
        <v/>
      </c>
      <c r="K23" s="33">
        <f>IFERROR(IF(H23="Open",INDEX(p_Prob,MATCH(LARGE(p_Key,19),p_Key,0)),""),"")</f>
        <v/>
      </c>
      <c r="L23" s="12">
        <f>IFERROR(INDEX(p_Risk,MATCH(LARGE(p_Key,19),p_Key,0)),"")</f>
        <v/>
      </c>
      <c r="M23" s="43">
        <f>IFERROR(INDEX(p_Month,MATCH(LARGE(p_Key,19),p_Key,0)),"")</f>
        <v/>
      </c>
      <c r="N23" s="38">
        <f>IFERROR(INDEX(p_Flags,MATCH(LARGE(p_Key,19),p_Key,0)),"")</f>
        <v/>
      </c>
    </row>
    <row r="24">
      <c r="A24" s="11">
        <f>IF(D24="","",20)</f>
        <v/>
      </c>
      <c r="B24" s="42">
        <f>IFERROR(INDEX(p_Rating,MATCH(LARGE(p_Key,20),p_Key,0)),"")</f>
        <v/>
      </c>
      <c r="C24" s="11">
        <f>IFERROR(INDEX(p_Score,MATCH(LARGE(p_Key,20),p_Key,0)),"")</f>
        <v/>
      </c>
      <c r="D24" s="38">
        <f>IFERROR(INDEX(p_Job,MATCH(LARGE(p_Key,20),p_Key,0)),"")</f>
        <v/>
      </c>
      <c r="E24" s="38">
        <f>IFERROR(INDEX(p_Client,MATCH(LARGE(p_Key,20),p_Key,0)),"")</f>
        <v/>
      </c>
      <c r="F24" s="38">
        <f>IFERROR(INDEX(p_Deal,MATCH(LARGE(p_Key,20),p_Key,0)),"")</f>
        <v/>
      </c>
      <c r="G24" s="38">
        <f>IFERROR(INDEX(p_CC,MATCH(LARGE(p_Key,20),p_Key,0)),"")</f>
        <v/>
      </c>
      <c r="H24" s="38">
        <f>IFERROR(INDEX(p_Status,MATCH(LARGE(p_Key,20),p_Key,0)),"")</f>
        <v/>
      </c>
      <c r="I24" s="38">
        <f>IFERROR(INDEX(p_Stage,MATCH(LARGE(p_Key,20),p_Key,0)),"")</f>
        <v/>
      </c>
      <c r="J24" s="12">
        <f>IFERROR(INDEX(p_Value,MATCH(LARGE(p_Key,20),p_Key,0)),"")</f>
        <v/>
      </c>
      <c r="K24" s="33">
        <f>IFERROR(IF(H24="Open",INDEX(p_Prob,MATCH(LARGE(p_Key,20),p_Key,0)),""),"")</f>
        <v/>
      </c>
      <c r="L24" s="12">
        <f>IFERROR(INDEX(p_Risk,MATCH(LARGE(p_Key,20),p_Key,0)),"")</f>
        <v/>
      </c>
      <c r="M24" s="43">
        <f>IFERROR(INDEX(p_Month,MATCH(LARGE(p_Key,20),p_Key,0)),"")</f>
        <v/>
      </c>
      <c r="N24" s="38">
        <f>IFERROR(INDEX(p_Flags,MATCH(LARGE(p_Key,20),p_Key,0)),"")</f>
        <v/>
      </c>
    </row>
    <row r="25">
      <c r="A25" s="11">
        <f>IF(D25="","",21)</f>
        <v/>
      </c>
      <c r="B25" s="42">
        <f>IFERROR(INDEX(p_Rating,MATCH(LARGE(p_Key,21),p_Key,0)),"")</f>
        <v/>
      </c>
      <c r="C25" s="11">
        <f>IFERROR(INDEX(p_Score,MATCH(LARGE(p_Key,21),p_Key,0)),"")</f>
        <v/>
      </c>
      <c r="D25" s="38">
        <f>IFERROR(INDEX(p_Job,MATCH(LARGE(p_Key,21),p_Key,0)),"")</f>
        <v/>
      </c>
      <c r="E25" s="38">
        <f>IFERROR(INDEX(p_Client,MATCH(LARGE(p_Key,21),p_Key,0)),"")</f>
        <v/>
      </c>
      <c r="F25" s="38">
        <f>IFERROR(INDEX(p_Deal,MATCH(LARGE(p_Key,21),p_Key,0)),"")</f>
        <v/>
      </c>
      <c r="G25" s="38">
        <f>IFERROR(INDEX(p_CC,MATCH(LARGE(p_Key,21),p_Key,0)),"")</f>
        <v/>
      </c>
      <c r="H25" s="38">
        <f>IFERROR(INDEX(p_Status,MATCH(LARGE(p_Key,21),p_Key,0)),"")</f>
        <v/>
      </c>
      <c r="I25" s="38">
        <f>IFERROR(INDEX(p_Stage,MATCH(LARGE(p_Key,21),p_Key,0)),"")</f>
        <v/>
      </c>
      <c r="J25" s="12">
        <f>IFERROR(INDEX(p_Value,MATCH(LARGE(p_Key,21),p_Key,0)),"")</f>
        <v/>
      </c>
      <c r="K25" s="33">
        <f>IFERROR(IF(H25="Open",INDEX(p_Prob,MATCH(LARGE(p_Key,21),p_Key,0)),""),"")</f>
        <v/>
      </c>
      <c r="L25" s="12">
        <f>IFERROR(INDEX(p_Risk,MATCH(LARGE(p_Key,21),p_Key,0)),"")</f>
        <v/>
      </c>
      <c r="M25" s="43">
        <f>IFERROR(INDEX(p_Month,MATCH(LARGE(p_Key,21),p_Key,0)),"")</f>
        <v/>
      </c>
      <c r="N25" s="38">
        <f>IFERROR(INDEX(p_Flags,MATCH(LARGE(p_Key,21),p_Key,0)),"")</f>
        <v/>
      </c>
    </row>
    <row r="26">
      <c r="A26" s="11">
        <f>IF(D26="","",22)</f>
        <v/>
      </c>
      <c r="B26" s="42">
        <f>IFERROR(INDEX(p_Rating,MATCH(LARGE(p_Key,22),p_Key,0)),"")</f>
        <v/>
      </c>
      <c r="C26" s="11">
        <f>IFERROR(INDEX(p_Score,MATCH(LARGE(p_Key,22),p_Key,0)),"")</f>
        <v/>
      </c>
      <c r="D26" s="38">
        <f>IFERROR(INDEX(p_Job,MATCH(LARGE(p_Key,22),p_Key,0)),"")</f>
        <v/>
      </c>
      <c r="E26" s="38">
        <f>IFERROR(INDEX(p_Client,MATCH(LARGE(p_Key,22),p_Key,0)),"")</f>
        <v/>
      </c>
      <c r="F26" s="38">
        <f>IFERROR(INDEX(p_Deal,MATCH(LARGE(p_Key,22),p_Key,0)),"")</f>
        <v/>
      </c>
      <c r="G26" s="38">
        <f>IFERROR(INDEX(p_CC,MATCH(LARGE(p_Key,22),p_Key,0)),"")</f>
        <v/>
      </c>
      <c r="H26" s="38">
        <f>IFERROR(INDEX(p_Status,MATCH(LARGE(p_Key,22),p_Key,0)),"")</f>
        <v/>
      </c>
      <c r="I26" s="38">
        <f>IFERROR(INDEX(p_Stage,MATCH(LARGE(p_Key,22),p_Key,0)),"")</f>
        <v/>
      </c>
      <c r="J26" s="12">
        <f>IFERROR(INDEX(p_Value,MATCH(LARGE(p_Key,22),p_Key,0)),"")</f>
        <v/>
      </c>
      <c r="K26" s="33">
        <f>IFERROR(IF(H26="Open",INDEX(p_Prob,MATCH(LARGE(p_Key,22),p_Key,0)),""),"")</f>
        <v/>
      </c>
      <c r="L26" s="12">
        <f>IFERROR(INDEX(p_Risk,MATCH(LARGE(p_Key,22),p_Key,0)),"")</f>
        <v/>
      </c>
      <c r="M26" s="43">
        <f>IFERROR(INDEX(p_Month,MATCH(LARGE(p_Key,22),p_Key,0)),"")</f>
        <v/>
      </c>
      <c r="N26" s="38">
        <f>IFERROR(INDEX(p_Flags,MATCH(LARGE(p_Key,22),p_Key,0)),"")</f>
        <v/>
      </c>
    </row>
    <row r="27">
      <c r="A27" s="11">
        <f>IF(D27="","",23)</f>
        <v/>
      </c>
      <c r="B27" s="42">
        <f>IFERROR(INDEX(p_Rating,MATCH(LARGE(p_Key,23),p_Key,0)),"")</f>
        <v/>
      </c>
      <c r="C27" s="11">
        <f>IFERROR(INDEX(p_Score,MATCH(LARGE(p_Key,23),p_Key,0)),"")</f>
        <v/>
      </c>
      <c r="D27" s="38">
        <f>IFERROR(INDEX(p_Job,MATCH(LARGE(p_Key,23),p_Key,0)),"")</f>
        <v/>
      </c>
      <c r="E27" s="38">
        <f>IFERROR(INDEX(p_Client,MATCH(LARGE(p_Key,23),p_Key,0)),"")</f>
        <v/>
      </c>
      <c r="F27" s="38">
        <f>IFERROR(INDEX(p_Deal,MATCH(LARGE(p_Key,23),p_Key,0)),"")</f>
        <v/>
      </c>
      <c r="G27" s="38">
        <f>IFERROR(INDEX(p_CC,MATCH(LARGE(p_Key,23),p_Key,0)),"")</f>
        <v/>
      </c>
      <c r="H27" s="38">
        <f>IFERROR(INDEX(p_Status,MATCH(LARGE(p_Key,23),p_Key,0)),"")</f>
        <v/>
      </c>
      <c r="I27" s="38">
        <f>IFERROR(INDEX(p_Stage,MATCH(LARGE(p_Key,23),p_Key,0)),"")</f>
        <v/>
      </c>
      <c r="J27" s="12">
        <f>IFERROR(INDEX(p_Value,MATCH(LARGE(p_Key,23),p_Key,0)),"")</f>
        <v/>
      </c>
      <c r="K27" s="33">
        <f>IFERROR(IF(H27="Open",INDEX(p_Prob,MATCH(LARGE(p_Key,23),p_Key,0)),""),"")</f>
        <v/>
      </c>
      <c r="L27" s="12">
        <f>IFERROR(INDEX(p_Risk,MATCH(LARGE(p_Key,23),p_Key,0)),"")</f>
        <v/>
      </c>
      <c r="M27" s="43">
        <f>IFERROR(INDEX(p_Month,MATCH(LARGE(p_Key,23),p_Key,0)),"")</f>
        <v/>
      </c>
      <c r="N27" s="38">
        <f>IFERROR(INDEX(p_Flags,MATCH(LARGE(p_Key,23),p_Key,0)),"")</f>
        <v/>
      </c>
    </row>
    <row r="28">
      <c r="A28" s="11">
        <f>IF(D28="","",24)</f>
        <v/>
      </c>
      <c r="B28" s="42">
        <f>IFERROR(INDEX(p_Rating,MATCH(LARGE(p_Key,24),p_Key,0)),"")</f>
        <v/>
      </c>
      <c r="C28" s="11">
        <f>IFERROR(INDEX(p_Score,MATCH(LARGE(p_Key,24),p_Key,0)),"")</f>
        <v/>
      </c>
      <c r="D28" s="38">
        <f>IFERROR(INDEX(p_Job,MATCH(LARGE(p_Key,24),p_Key,0)),"")</f>
        <v/>
      </c>
      <c r="E28" s="38">
        <f>IFERROR(INDEX(p_Client,MATCH(LARGE(p_Key,24),p_Key,0)),"")</f>
        <v/>
      </c>
      <c r="F28" s="38">
        <f>IFERROR(INDEX(p_Deal,MATCH(LARGE(p_Key,24),p_Key,0)),"")</f>
        <v/>
      </c>
      <c r="G28" s="38">
        <f>IFERROR(INDEX(p_CC,MATCH(LARGE(p_Key,24),p_Key,0)),"")</f>
        <v/>
      </c>
      <c r="H28" s="38">
        <f>IFERROR(INDEX(p_Status,MATCH(LARGE(p_Key,24),p_Key,0)),"")</f>
        <v/>
      </c>
      <c r="I28" s="38">
        <f>IFERROR(INDEX(p_Stage,MATCH(LARGE(p_Key,24),p_Key,0)),"")</f>
        <v/>
      </c>
      <c r="J28" s="12">
        <f>IFERROR(INDEX(p_Value,MATCH(LARGE(p_Key,24),p_Key,0)),"")</f>
        <v/>
      </c>
      <c r="K28" s="33">
        <f>IFERROR(IF(H28="Open",INDEX(p_Prob,MATCH(LARGE(p_Key,24),p_Key,0)),""),"")</f>
        <v/>
      </c>
      <c r="L28" s="12">
        <f>IFERROR(INDEX(p_Risk,MATCH(LARGE(p_Key,24),p_Key,0)),"")</f>
        <v/>
      </c>
      <c r="M28" s="43">
        <f>IFERROR(INDEX(p_Month,MATCH(LARGE(p_Key,24),p_Key,0)),"")</f>
        <v/>
      </c>
      <c r="N28" s="38">
        <f>IFERROR(INDEX(p_Flags,MATCH(LARGE(p_Key,24),p_Key,0)),"")</f>
        <v/>
      </c>
    </row>
    <row r="29">
      <c r="A29" s="11">
        <f>IF(D29="","",25)</f>
        <v/>
      </c>
      <c r="B29" s="42">
        <f>IFERROR(INDEX(p_Rating,MATCH(LARGE(p_Key,25),p_Key,0)),"")</f>
        <v/>
      </c>
      <c r="C29" s="11">
        <f>IFERROR(INDEX(p_Score,MATCH(LARGE(p_Key,25),p_Key,0)),"")</f>
        <v/>
      </c>
      <c r="D29" s="38">
        <f>IFERROR(INDEX(p_Job,MATCH(LARGE(p_Key,25),p_Key,0)),"")</f>
        <v/>
      </c>
      <c r="E29" s="38">
        <f>IFERROR(INDEX(p_Client,MATCH(LARGE(p_Key,25),p_Key,0)),"")</f>
        <v/>
      </c>
      <c r="F29" s="38">
        <f>IFERROR(INDEX(p_Deal,MATCH(LARGE(p_Key,25),p_Key,0)),"")</f>
        <v/>
      </c>
      <c r="G29" s="38">
        <f>IFERROR(INDEX(p_CC,MATCH(LARGE(p_Key,25),p_Key,0)),"")</f>
        <v/>
      </c>
      <c r="H29" s="38">
        <f>IFERROR(INDEX(p_Status,MATCH(LARGE(p_Key,25),p_Key,0)),"")</f>
        <v/>
      </c>
      <c r="I29" s="38">
        <f>IFERROR(INDEX(p_Stage,MATCH(LARGE(p_Key,25),p_Key,0)),"")</f>
        <v/>
      </c>
      <c r="J29" s="12">
        <f>IFERROR(INDEX(p_Value,MATCH(LARGE(p_Key,25),p_Key,0)),"")</f>
        <v/>
      </c>
      <c r="K29" s="33">
        <f>IFERROR(IF(H29="Open",INDEX(p_Prob,MATCH(LARGE(p_Key,25),p_Key,0)),""),"")</f>
        <v/>
      </c>
      <c r="L29" s="12">
        <f>IFERROR(INDEX(p_Risk,MATCH(LARGE(p_Key,25),p_Key,0)),"")</f>
        <v/>
      </c>
      <c r="M29" s="43">
        <f>IFERROR(INDEX(p_Month,MATCH(LARGE(p_Key,25),p_Key,0)),"")</f>
        <v/>
      </c>
      <c r="N29" s="38">
        <f>IFERROR(INDEX(p_Flags,MATCH(LARGE(p_Key,25),p_Key,0)),"")</f>
        <v/>
      </c>
    </row>
    <row r="30">
      <c r="A30" s="11">
        <f>IF(D30="","",26)</f>
        <v/>
      </c>
      <c r="B30" s="42">
        <f>IFERROR(INDEX(p_Rating,MATCH(LARGE(p_Key,26),p_Key,0)),"")</f>
        <v/>
      </c>
      <c r="C30" s="11">
        <f>IFERROR(INDEX(p_Score,MATCH(LARGE(p_Key,26),p_Key,0)),"")</f>
        <v/>
      </c>
      <c r="D30" s="38">
        <f>IFERROR(INDEX(p_Job,MATCH(LARGE(p_Key,26),p_Key,0)),"")</f>
        <v/>
      </c>
      <c r="E30" s="38">
        <f>IFERROR(INDEX(p_Client,MATCH(LARGE(p_Key,26),p_Key,0)),"")</f>
        <v/>
      </c>
      <c r="F30" s="38">
        <f>IFERROR(INDEX(p_Deal,MATCH(LARGE(p_Key,26),p_Key,0)),"")</f>
        <v/>
      </c>
      <c r="G30" s="38">
        <f>IFERROR(INDEX(p_CC,MATCH(LARGE(p_Key,26),p_Key,0)),"")</f>
        <v/>
      </c>
      <c r="H30" s="38">
        <f>IFERROR(INDEX(p_Status,MATCH(LARGE(p_Key,26),p_Key,0)),"")</f>
        <v/>
      </c>
      <c r="I30" s="38">
        <f>IFERROR(INDEX(p_Stage,MATCH(LARGE(p_Key,26),p_Key,0)),"")</f>
        <v/>
      </c>
      <c r="J30" s="12">
        <f>IFERROR(INDEX(p_Value,MATCH(LARGE(p_Key,26),p_Key,0)),"")</f>
        <v/>
      </c>
      <c r="K30" s="33">
        <f>IFERROR(IF(H30="Open",INDEX(p_Prob,MATCH(LARGE(p_Key,26),p_Key,0)),""),"")</f>
        <v/>
      </c>
      <c r="L30" s="12">
        <f>IFERROR(INDEX(p_Risk,MATCH(LARGE(p_Key,26),p_Key,0)),"")</f>
        <v/>
      </c>
      <c r="M30" s="43">
        <f>IFERROR(INDEX(p_Month,MATCH(LARGE(p_Key,26),p_Key,0)),"")</f>
        <v/>
      </c>
      <c r="N30" s="38">
        <f>IFERROR(INDEX(p_Flags,MATCH(LARGE(p_Key,26),p_Key,0)),"")</f>
        <v/>
      </c>
    </row>
    <row r="31">
      <c r="A31" s="11">
        <f>IF(D31="","",27)</f>
        <v/>
      </c>
      <c r="B31" s="42">
        <f>IFERROR(INDEX(p_Rating,MATCH(LARGE(p_Key,27),p_Key,0)),"")</f>
        <v/>
      </c>
      <c r="C31" s="11">
        <f>IFERROR(INDEX(p_Score,MATCH(LARGE(p_Key,27),p_Key,0)),"")</f>
        <v/>
      </c>
      <c r="D31" s="38">
        <f>IFERROR(INDEX(p_Job,MATCH(LARGE(p_Key,27),p_Key,0)),"")</f>
        <v/>
      </c>
      <c r="E31" s="38">
        <f>IFERROR(INDEX(p_Client,MATCH(LARGE(p_Key,27),p_Key,0)),"")</f>
        <v/>
      </c>
      <c r="F31" s="38">
        <f>IFERROR(INDEX(p_Deal,MATCH(LARGE(p_Key,27),p_Key,0)),"")</f>
        <v/>
      </c>
      <c r="G31" s="38">
        <f>IFERROR(INDEX(p_CC,MATCH(LARGE(p_Key,27),p_Key,0)),"")</f>
        <v/>
      </c>
      <c r="H31" s="38">
        <f>IFERROR(INDEX(p_Status,MATCH(LARGE(p_Key,27),p_Key,0)),"")</f>
        <v/>
      </c>
      <c r="I31" s="38">
        <f>IFERROR(INDEX(p_Stage,MATCH(LARGE(p_Key,27),p_Key,0)),"")</f>
        <v/>
      </c>
      <c r="J31" s="12">
        <f>IFERROR(INDEX(p_Value,MATCH(LARGE(p_Key,27),p_Key,0)),"")</f>
        <v/>
      </c>
      <c r="K31" s="33">
        <f>IFERROR(IF(H31="Open",INDEX(p_Prob,MATCH(LARGE(p_Key,27),p_Key,0)),""),"")</f>
        <v/>
      </c>
      <c r="L31" s="12">
        <f>IFERROR(INDEX(p_Risk,MATCH(LARGE(p_Key,27),p_Key,0)),"")</f>
        <v/>
      </c>
      <c r="M31" s="43">
        <f>IFERROR(INDEX(p_Month,MATCH(LARGE(p_Key,27),p_Key,0)),"")</f>
        <v/>
      </c>
      <c r="N31" s="38">
        <f>IFERROR(INDEX(p_Flags,MATCH(LARGE(p_Key,27),p_Key,0)),"")</f>
        <v/>
      </c>
    </row>
    <row r="32">
      <c r="A32" s="11">
        <f>IF(D32="","",28)</f>
        <v/>
      </c>
      <c r="B32" s="42">
        <f>IFERROR(INDEX(p_Rating,MATCH(LARGE(p_Key,28),p_Key,0)),"")</f>
        <v/>
      </c>
      <c r="C32" s="11">
        <f>IFERROR(INDEX(p_Score,MATCH(LARGE(p_Key,28),p_Key,0)),"")</f>
        <v/>
      </c>
      <c r="D32" s="38">
        <f>IFERROR(INDEX(p_Job,MATCH(LARGE(p_Key,28),p_Key,0)),"")</f>
        <v/>
      </c>
      <c r="E32" s="38">
        <f>IFERROR(INDEX(p_Client,MATCH(LARGE(p_Key,28),p_Key,0)),"")</f>
        <v/>
      </c>
      <c r="F32" s="38">
        <f>IFERROR(INDEX(p_Deal,MATCH(LARGE(p_Key,28),p_Key,0)),"")</f>
        <v/>
      </c>
      <c r="G32" s="38">
        <f>IFERROR(INDEX(p_CC,MATCH(LARGE(p_Key,28),p_Key,0)),"")</f>
        <v/>
      </c>
      <c r="H32" s="38">
        <f>IFERROR(INDEX(p_Status,MATCH(LARGE(p_Key,28),p_Key,0)),"")</f>
        <v/>
      </c>
      <c r="I32" s="38">
        <f>IFERROR(INDEX(p_Stage,MATCH(LARGE(p_Key,28),p_Key,0)),"")</f>
        <v/>
      </c>
      <c r="J32" s="12">
        <f>IFERROR(INDEX(p_Value,MATCH(LARGE(p_Key,28),p_Key,0)),"")</f>
        <v/>
      </c>
      <c r="K32" s="33">
        <f>IFERROR(IF(H32="Open",INDEX(p_Prob,MATCH(LARGE(p_Key,28),p_Key,0)),""),"")</f>
        <v/>
      </c>
      <c r="L32" s="12">
        <f>IFERROR(INDEX(p_Risk,MATCH(LARGE(p_Key,28),p_Key,0)),"")</f>
        <v/>
      </c>
      <c r="M32" s="43">
        <f>IFERROR(INDEX(p_Month,MATCH(LARGE(p_Key,28),p_Key,0)),"")</f>
        <v/>
      </c>
      <c r="N32" s="38">
        <f>IFERROR(INDEX(p_Flags,MATCH(LARGE(p_Key,28),p_Key,0)),"")</f>
        <v/>
      </c>
    </row>
    <row r="33">
      <c r="A33" s="11">
        <f>IF(D33="","",29)</f>
        <v/>
      </c>
      <c r="B33" s="42">
        <f>IFERROR(INDEX(p_Rating,MATCH(LARGE(p_Key,29),p_Key,0)),"")</f>
        <v/>
      </c>
      <c r="C33" s="11">
        <f>IFERROR(INDEX(p_Score,MATCH(LARGE(p_Key,29),p_Key,0)),"")</f>
        <v/>
      </c>
      <c r="D33" s="38">
        <f>IFERROR(INDEX(p_Job,MATCH(LARGE(p_Key,29),p_Key,0)),"")</f>
        <v/>
      </c>
      <c r="E33" s="38">
        <f>IFERROR(INDEX(p_Client,MATCH(LARGE(p_Key,29),p_Key,0)),"")</f>
        <v/>
      </c>
      <c r="F33" s="38">
        <f>IFERROR(INDEX(p_Deal,MATCH(LARGE(p_Key,29),p_Key,0)),"")</f>
        <v/>
      </c>
      <c r="G33" s="38">
        <f>IFERROR(INDEX(p_CC,MATCH(LARGE(p_Key,29),p_Key,0)),"")</f>
        <v/>
      </c>
      <c r="H33" s="38">
        <f>IFERROR(INDEX(p_Status,MATCH(LARGE(p_Key,29),p_Key,0)),"")</f>
        <v/>
      </c>
      <c r="I33" s="38">
        <f>IFERROR(INDEX(p_Stage,MATCH(LARGE(p_Key,29),p_Key,0)),"")</f>
        <v/>
      </c>
      <c r="J33" s="12">
        <f>IFERROR(INDEX(p_Value,MATCH(LARGE(p_Key,29),p_Key,0)),"")</f>
        <v/>
      </c>
      <c r="K33" s="33">
        <f>IFERROR(IF(H33="Open",INDEX(p_Prob,MATCH(LARGE(p_Key,29),p_Key,0)),""),"")</f>
        <v/>
      </c>
      <c r="L33" s="12">
        <f>IFERROR(INDEX(p_Risk,MATCH(LARGE(p_Key,29),p_Key,0)),"")</f>
        <v/>
      </c>
      <c r="M33" s="43">
        <f>IFERROR(INDEX(p_Month,MATCH(LARGE(p_Key,29),p_Key,0)),"")</f>
        <v/>
      </c>
      <c r="N33" s="38">
        <f>IFERROR(INDEX(p_Flags,MATCH(LARGE(p_Key,29),p_Key,0)),"")</f>
        <v/>
      </c>
    </row>
    <row r="34">
      <c r="A34" s="11">
        <f>IF(D34="","",30)</f>
        <v/>
      </c>
      <c r="B34" s="42">
        <f>IFERROR(INDEX(p_Rating,MATCH(LARGE(p_Key,30),p_Key,0)),"")</f>
        <v/>
      </c>
      <c r="C34" s="11">
        <f>IFERROR(INDEX(p_Score,MATCH(LARGE(p_Key,30),p_Key,0)),"")</f>
        <v/>
      </c>
      <c r="D34" s="38">
        <f>IFERROR(INDEX(p_Job,MATCH(LARGE(p_Key,30),p_Key,0)),"")</f>
        <v/>
      </c>
      <c r="E34" s="38">
        <f>IFERROR(INDEX(p_Client,MATCH(LARGE(p_Key,30),p_Key,0)),"")</f>
        <v/>
      </c>
      <c r="F34" s="38">
        <f>IFERROR(INDEX(p_Deal,MATCH(LARGE(p_Key,30),p_Key,0)),"")</f>
        <v/>
      </c>
      <c r="G34" s="38">
        <f>IFERROR(INDEX(p_CC,MATCH(LARGE(p_Key,30),p_Key,0)),"")</f>
        <v/>
      </c>
      <c r="H34" s="38">
        <f>IFERROR(INDEX(p_Status,MATCH(LARGE(p_Key,30),p_Key,0)),"")</f>
        <v/>
      </c>
      <c r="I34" s="38">
        <f>IFERROR(INDEX(p_Stage,MATCH(LARGE(p_Key,30),p_Key,0)),"")</f>
        <v/>
      </c>
      <c r="J34" s="12">
        <f>IFERROR(INDEX(p_Value,MATCH(LARGE(p_Key,30),p_Key,0)),"")</f>
        <v/>
      </c>
      <c r="K34" s="33">
        <f>IFERROR(IF(H34="Open",INDEX(p_Prob,MATCH(LARGE(p_Key,30),p_Key,0)),""),"")</f>
        <v/>
      </c>
      <c r="L34" s="12">
        <f>IFERROR(INDEX(p_Risk,MATCH(LARGE(p_Key,30),p_Key,0)),"")</f>
        <v/>
      </c>
      <c r="M34" s="43">
        <f>IFERROR(INDEX(p_Month,MATCH(LARGE(p_Key,30),p_Key,0)),"")</f>
        <v/>
      </c>
      <c r="N34" s="38">
        <f>IFERROR(INDEX(p_Flags,MATCH(LARGE(p_Key,30),p_Key,0)),"")</f>
        <v/>
      </c>
    </row>
    <row r="35">
      <c r="A35" s="11">
        <f>IF(D35="","",31)</f>
        <v/>
      </c>
      <c r="B35" s="42">
        <f>IFERROR(INDEX(p_Rating,MATCH(LARGE(p_Key,31),p_Key,0)),"")</f>
        <v/>
      </c>
      <c r="C35" s="11">
        <f>IFERROR(INDEX(p_Score,MATCH(LARGE(p_Key,31),p_Key,0)),"")</f>
        <v/>
      </c>
      <c r="D35" s="38">
        <f>IFERROR(INDEX(p_Job,MATCH(LARGE(p_Key,31),p_Key,0)),"")</f>
        <v/>
      </c>
      <c r="E35" s="38">
        <f>IFERROR(INDEX(p_Client,MATCH(LARGE(p_Key,31),p_Key,0)),"")</f>
        <v/>
      </c>
      <c r="F35" s="38">
        <f>IFERROR(INDEX(p_Deal,MATCH(LARGE(p_Key,31),p_Key,0)),"")</f>
        <v/>
      </c>
      <c r="G35" s="38">
        <f>IFERROR(INDEX(p_CC,MATCH(LARGE(p_Key,31),p_Key,0)),"")</f>
        <v/>
      </c>
      <c r="H35" s="38">
        <f>IFERROR(INDEX(p_Status,MATCH(LARGE(p_Key,31),p_Key,0)),"")</f>
        <v/>
      </c>
      <c r="I35" s="38">
        <f>IFERROR(INDEX(p_Stage,MATCH(LARGE(p_Key,31),p_Key,0)),"")</f>
        <v/>
      </c>
      <c r="J35" s="12">
        <f>IFERROR(INDEX(p_Value,MATCH(LARGE(p_Key,31),p_Key,0)),"")</f>
        <v/>
      </c>
      <c r="K35" s="33">
        <f>IFERROR(IF(H35="Open",INDEX(p_Prob,MATCH(LARGE(p_Key,31),p_Key,0)),""),"")</f>
        <v/>
      </c>
      <c r="L35" s="12">
        <f>IFERROR(INDEX(p_Risk,MATCH(LARGE(p_Key,31),p_Key,0)),"")</f>
        <v/>
      </c>
      <c r="M35" s="43">
        <f>IFERROR(INDEX(p_Month,MATCH(LARGE(p_Key,31),p_Key,0)),"")</f>
        <v/>
      </c>
      <c r="N35" s="38">
        <f>IFERROR(INDEX(p_Flags,MATCH(LARGE(p_Key,31),p_Key,0)),"")</f>
        <v/>
      </c>
    </row>
    <row r="36">
      <c r="A36" s="11">
        <f>IF(D36="","",32)</f>
        <v/>
      </c>
      <c r="B36" s="42">
        <f>IFERROR(INDEX(p_Rating,MATCH(LARGE(p_Key,32),p_Key,0)),"")</f>
        <v/>
      </c>
      <c r="C36" s="11">
        <f>IFERROR(INDEX(p_Score,MATCH(LARGE(p_Key,32),p_Key,0)),"")</f>
        <v/>
      </c>
      <c r="D36" s="38">
        <f>IFERROR(INDEX(p_Job,MATCH(LARGE(p_Key,32),p_Key,0)),"")</f>
        <v/>
      </c>
      <c r="E36" s="38">
        <f>IFERROR(INDEX(p_Client,MATCH(LARGE(p_Key,32),p_Key,0)),"")</f>
        <v/>
      </c>
      <c r="F36" s="38">
        <f>IFERROR(INDEX(p_Deal,MATCH(LARGE(p_Key,32),p_Key,0)),"")</f>
        <v/>
      </c>
      <c r="G36" s="38">
        <f>IFERROR(INDEX(p_CC,MATCH(LARGE(p_Key,32),p_Key,0)),"")</f>
        <v/>
      </c>
      <c r="H36" s="38">
        <f>IFERROR(INDEX(p_Status,MATCH(LARGE(p_Key,32),p_Key,0)),"")</f>
        <v/>
      </c>
      <c r="I36" s="38">
        <f>IFERROR(INDEX(p_Stage,MATCH(LARGE(p_Key,32),p_Key,0)),"")</f>
        <v/>
      </c>
      <c r="J36" s="12">
        <f>IFERROR(INDEX(p_Value,MATCH(LARGE(p_Key,32),p_Key,0)),"")</f>
        <v/>
      </c>
      <c r="K36" s="33">
        <f>IFERROR(IF(H36="Open",INDEX(p_Prob,MATCH(LARGE(p_Key,32),p_Key,0)),""),"")</f>
        <v/>
      </c>
      <c r="L36" s="12">
        <f>IFERROR(INDEX(p_Risk,MATCH(LARGE(p_Key,32),p_Key,0)),"")</f>
        <v/>
      </c>
      <c r="M36" s="43">
        <f>IFERROR(INDEX(p_Month,MATCH(LARGE(p_Key,32),p_Key,0)),"")</f>
        <v/>
      </c>
      <c r="N36" s="38">
        <f>IFERROR(INDEX(p_Flags,MATCH(LARGE(p_Key,32),p_Key,0)),"")</f>
        <v/>
      </c>
    </row>
    <row r="37">
      <c r="A37" s="11">
        <f>IF(D37="","",33)</f>
        <v/>
      </c>
      <c r="B37" s="42">
        <f>IFERROR(INDEX(p_Rating,MATCH(LARGE(p_Key,33),p_Key,0)),"")</f>
        <v/>
      </c>
      <c r="C37" s="11">
        <f>IFERROR(INDEX(p_Score,MATCH(LARGE(p_Key,33),p_Key,0)),"")</f>
        <v/>
      </c>
      <c r="D37" s="38">
        <f>IFERROR(INDEX(p_Job,MATCH(LARGE(p_Key,33),p_Key,0)),"")</f>
        <v/>
      </c>
      <c r="E37" s="38">
        <f>IFERROR(INDEX(p_Client,MATCH(LARGE(p_Key,33),p_Key,0)),"")</f>
        <v/>
      </c>
      <c r="F37" s="38">
        <f>IFERROR(INDEX(p_Deal,MATCH(LARGE(p_Key,33),p_Key,0)),"")</f>
        <v/>
      </c>
      <c r="G37" s="38">
        <f>IFERROR(INDEX(p_CC,MATCH(LARGE(p_Key,33),p_Key,0)),"")</f>
        <v/>
      </c>
      <c r="H37" s="38">
        <f>IFERROR(INDEX(p_Status,MATCH(LARGE(p_Key,33),p_Key,0)),"")</f>
        <v/>
      </c>
      <c r="I37" s="38">
        <f>IFERROR(INDEX(p_Stage,MATCH(LARGE(p_Key,33),p_Key,0)),"")</f>
        <v/>
      </c>
      <c r="J37" s="12">
        <f>IFERROR(INDEX(p_Value,MATCH(LARGE(p_Key,33),p_Key,0)),"")</f>
        <v/>
      </c>
      <c r="K37" s="33">
        <f>IFERROR(IF(H37="Open",INDEX(p_Prob,MATCH(LARGE(p_Key,33),p_Key,0)),""),"")</f>
        <v/>
      </c>
      <c r="L37" s="12">
        <f>IFERROR(INDEX(p_Risk,MATCH(LARGE(p_Key,33),p_Key,0)),"")</f>
        <v/>
      </c>
      <c r="M37" s="43">
        <f>IFERROR(INDEX(p_Month,MATCH(LARGE(p_Key,33),p_Key,0)),"")</f>
        <v/>
      </c>
      <c r="N37" s="38">
        <f>IFERROR(INDEX(p_Flags,MATCH(LARGE(p_Key,33),p_Key,0)),"")</f>
        <v/>
      </c>
    </row>
    <row r="38">
      <c r="A38" s="11">
        <f>IF(D38="","",34)</f>
        <v/>
      </c>
      <c r="B38" s="42">
        <f>IFERROR(INDEX(p_Rating,MATCH(LARGE(p_Key,34),p_Key,0)),"")</f>
        <v/>
      </c>
      <c r="C38" s="11">
        <f>IFERROR(INDEX(p_Score,MATCH(LARGE(p_Key,34),p_Key,0)),"")</f>
        <v/>
      </c>
      <c r="D38" s="38">
        <f>IFERROR(INDEX(p_Job,MATCH(LARGE(p_Key,34),p_Key,0)),"")</f>
        <v/>
      </c>
      <c r="E38" s="38">
        <f>IFERROR(INDEX(p_Client,MATCH(LARGE(p_Key,34),p_Key,0)),"")</f>
        <v/>
      </c>
      <c r="F38" s="38">
        <f>IFERROR(INDEX(p_Deal,MATCH(LARGE(p_Key,34),p_Key,0)),"")</f>
        <v/>
      </c>
      <c r="G38" s="38">
        <f>IFERROR(INDEX(p_CC,MATCH(LARGE(p_Key,34),p_Key,0)),"")</f>
        <v/>
      </c>
      <c r="H38" s="38">
        <f>IFERROR(INDEX(p_Status,MATCH(LARGE(p_Key,34),p_Key,0)),"")</f>
        <v/>
      </c>
      <c r="I38" s="38">
        <f>IFERROR(INDEX(p_Stage,MATCH(LARGE(p_Key,34),p_Key,0)),"")</f>
        <v/>
      </c>
      <c r="J38" s="12">
        <f>IFERROR(INDEX(p_Value,MATCH(LARGE(p_Key,34),p_Key,0)),"")</f>
        <v/>
      </c>
      <c r="K38" s="33">
        <f>IFERROR(IF(H38="Open",INDEX(p_Prob,MATCH(LARGE(p_Key,34),p_Key,0)),""),"")</f>
        <v/>
      </c>
      <c r="L38" s="12">
        <f>IFERROR(INDEX(p_Risk,MATCH(LARGE(p_Key,34),p_Key,0)),"")</f>
        <v/>
      </c>
      <c r="M38" s="43">
        <f>IFERROR(INDEX(p_Month,MATCH(LARGE(p_Key,34),p_Key,0)),"")</f>
        <v/>
      </c>
      <c r="N38" s="38">
        <f>IFERROR(INDEX(p_Flags,MATCH(LARGE(p_Key,34),p_Key,0)),"")</f>
        <v/>
      </c>
    </row>
    <row r="39">
      <c r="A39" s="11">
        <f>IF(D39="","",35)</f>
        <v/>
      </c>
      <c r="B39" s="42">
        <f>IFERROR(INDEX(p_Rating,MATCH(LARGE(p_Key,35),p_Key,0)),"")</f>
        <v/>
      </c>
      <c r="C39" s="11">
        <f>IFERROR(INDEX(p_Score,MATCH(LARGE(p_Key,35),p_Key,0)),"")</f>
        <v/>
      </c>
      <c r="D39" s="38">
        <f>IFERROR(INDEX(p_Job,MATCH(LARGE(p_Key,35),p_Key,0)),"")</f>
        <v/>
      </c>
      <c r="E39" s="38">
        <f>IFERROR(INDEX(p_Client,MATCH(LARGE(p_Key,35),p_Key,0)),"")</f>
        <v/>
      </c>
      <c r="F39" s="38">
        <f>IFERROR(INDEX(p_Deal,MATCH(LARGE(p_Key,35),p_Key,0)),"")</f>
        <v/>
      </c>
      <c r="G39" s="38">
        <f>IFERROR(INDEX(p_CC,MATCH(LARGE(p_Key,35),p_Key,0)),"")</f>
        <v/>
      </c>
      <c r="H39" s="38">
        <f>IFERROR(INDEX(p_Status,MATCH(LARGE(p_Key,35),p_Key,0)),"")</f>
        <v/>
      </c>
      <c r="I39" s="38">
        <f>IFERROR(INDEX(p_Stage,MATCH(LARGE(p_Key,35),p_Key,0)),"")</f>
        <v/>
      </c>
      <c r="J39" s="12">
        <f>IFERROR(INDEX(p_Value,MATCH(LARGE(p_Key,35),p_Key,0)),"")</f>
        <v/>
      </c>
      <c r="K39" s="33">
        <f>IFERROR(IF(H39="Open",INDEX(p_Prob,MATCH(LARGE(p_Key,35),p_Key,0)),""),"")</f>
        <v/>
      </c>
      <c r="L39" s="12">
        <f>IFERROR(INDEX(p_Risk,MATCH(LARGE(p_Key,35),p_Key,0)),"")</f>
        <v/>
      </c>
      <c r="M39" s="43">
        <f>IFERROR(INDEX(p_Month,MATCH(LARGE(p_Key,35),p_Key,0)),"")</f>
        <v/>
      </c>
      <c r="N39" s="38">
        <f>IFERROR(INDEX(p_Flags,MATCH(LARGE(p_Key,35),p_Key,0)),"")</f>
        <v/>
      </c>
    </row>
    <row r="40">
      <c r="A40" s="11">
        <f>IF(D40="","",36)</f>
        <v/>
      </c>
      <c r="B40" s="42">
        <f>IFERROR(INDEX(p_Rating,MATCH(LARGE(p_Key,36),p_Key,0)),"")</f>
        <v/>
      </c>
      <c r="C40" s="11">
        <f>IFERROR(INDEX(p_Score,MATCH(LARGE(p_Key,36),p_Key,0)),"")</f>
        <v/>
      </c>
      <c r="D40" s="38">
        <f>IFERROR(INDEX(p_Job,MATCH(LARGE(p_Key,36),p_Key,0)),"")</f>
        <v/>
      </c>
      <c r="E40" s="38">
        <f>IFERROR(INDEX(p_Client,MATCH(LARGE(p_Key,36),p_Key,0)),"")</f>
        <v/>
      </c>
      <c r="F40" s="38">
        <f>IFERROR(INDEX(p_Deal,MATCH(LARGE(p_Key,36),p_Key,0)),"")</f>
        <v/>
      </c>
      <c r="G40" s="38">
        <f>IFERROR(INDEX(p_CC,MATCH(LARGE(p_Key,36),p_Key,0)),"")</f>
        <v/>
      </c>
      <c r="H40" s="38">
        <f>IFERROR(INDEX(p_Status,MATCH(LARGE(p_Key,36),p_Key,0)),"")</f>
        <v/>
      </c>
      <c r="I40" s="38">
        <f>IFERROR(INDEX(p_Stage,MATCH(LARGE(p_Key,36),p_Key,0)),"")</f>
        <v/>
      </c>
      <c r="J40" s="12">
        <f>IFERROR(INDEX(p_Value,MATCH(LARGE(p_Key,36),p_Key,0)),"")</f>
        <v/>
      </c>
      <c r="K40" s="33">
        <f>IFERROR(IF(H40="Open",INDEX(p_Prob,MATCH(LARGE(p_Key,36),p_Key,0)),""),"")</f>
        <v/>
      </c>
      <c r="L40" s="12">
        <f>IFERROR(INDEX(p_Risk,MATCH(LARGE(p_Key,36),p_Key,0)),"")</f>
        <v/>
      </c>
      <c r="M40" s="43">
        <f>IFERROR(INDEX(p_Month,MATCH(LARGE(p_Key,36),p_Key,0)),"")</f>
        <v/>
      </c>
      <c r="N40" s="38">
        <f>IFERROR(INDEX(p_Flags,MATCH(LARGE(p_Key,36),p_Key,0)),"")</f>
        <v/>
      </c>
    </row>
    <row r="41">
      <c r="A41" s="11">
        <f>IF(D41="","",37)</f>
        <v/>
      </c>
      <c r="B41" s="42">
        <f>IFERROR(INDEX(p_Rating,MATCH(LARGE(p_Key,37),p_Key,0)),"")</f>
        <v/>
      </c>
      <c r="C41" s="11">
        <f>IFERROR(INDEX(p_Score,MATCH(LARGE(p_Key,37),p_Key,0)),"")</f>
        <v/>
      </c>
      <c r="D41" s="38">
        <f>IFERROR(INDEX(p_Job,MATCH(LARGE(p_Key,37),p_Key,0)),"")</f>
        <v/>
      </c>
      <c r="E41" s="38">
        <f>IFERROR(INDEX(p_Client,MATCH(LARGE(p_Key,37),p_Key,0)),"")</f>
        <v/>
      </c>
      <c r="F41" s="38">
        <f>IFERROR(INDEX(p_Deal,MATCH(LARGE(p_Key,37),p_Key,0)),"")</f>
        <v/>
      </c>
      <c r="G41" s="38">
        <f>IFERROR(INDEX(p_CC,MATCH(LARGE(p_Key,37),p_Key,0)),"")</f>
        <v/>
      </c>
      <c r="H41" s="38">
        <f>IFERROR(INDEX(p_Status,MATCH(LARGE(p_Key,37),p_Key,0)),"")</f>
        <v/>
      </c>
      <c r="I41" s="38">
        <f>IFERROR(INDEX(p_Stage,MATCH(LARGE(p_Key,37),p_Key,0)),"")</f>
        <v/>
      </c>
      <c r="J41" s="12">
        <f>IFERROR(INDEX(p_Value,MATCH(LARGE(p_Key,37),p_Key,0)),"")</f>
        <v/>
      </c>
      <c r="K41" s="33">
        <f>IFERROR(IF(H41="Open",INDEX(p_Prob,MATCH(LARGE(p_Key,37),p_Key,0)),""),"")</f>
        <v/>
      </c>
      <c r="L41" s="12">
        <f>IFERROR(INDEX(p_Risk,MATCH(LARGE(p_Key,37),p_Key,0)),"")</f>
        <v/>
      </c>
      <c r="M41" s="43">
        <f>IFERROR(INDEX(p_Month,MATCH(LARGE(p_Key,37),p_Key,0)),"")</f>
        <v/>
      </c>
      <c r="N41" s="38">
        <f>IFERROR(INDEX(p_Flags,MATCH(LARGE(p_Key,37),p_Key,0)),"")</f>
        <v/>
      </c>
    </row>
    <row r="42">
      <c r="A42" s="11">
        <f>IF(D42="","",38)</f>
        <v/>
      </c>
      <c r="B42" s="42">
        <f>IFERROR(INDEX(p_Rating,MATCH(LARGE(p_Key,38),p_Key,0)),"")</f>
        <v/>
      </c>
      <c r="C42" s="11">
        <f>IFERROR(INDEX(p_Score,MATCH(LARGE(p_Key,38),p_Key,0)),"")</f>
        <v/>
      </c>
      <c r="D42" s="38">
        <f>IFERROR(INDEX(p_Job,MATCH(LARGE(p_Key,38),p_Key,0)),"")</f>
        <v/>
      </c>
      <c r="E42" s="38">
        <f>IFERROR(INDEX(p_Client,MATCH(LARGE(p_Key,38),p_Key,0)),"")</f>
        <v/>
      </c>
      <c r="F42" s="38">
        <f>IFERROR(INDEX(p_Deal,MATCH(LARGE(p_Key,38),p_Key,0)),"")</f>
        <v/>
      </c>
      <c r="G42" s="38">
        <f>IFERROR(INDEX(p_CC,MATCH(LARGE(p_Key,38),p_Key,0)),"")</f>
        <v/>
      </c>
      <c r="H42" s="38">
        <f>IFERROR(INDEX(p_Status,MATCH(LARGE(p_Key,38),p_Key,0)),"")</f>
        <v/>
      </c>
      <c r="I42" s="38">
        <f>IFERROR(INDEX(p_Stage,MATCH(LARGE(p_Key,38),p_Key,0)),"")</f>
        <v/>
      </c>
      <c r="J42" s="12">
        <f>IFERROR(INDEX(p_Value,MATCH(LARGE(p_Key,38),p_Key,0)),"")</f>
        <v/>
      </c>
      <c r="K42" s="33">
        <f>IFERROR(IF(H42="Open",INDEX(p_Prob,MATCH(LARGE(p_Key,38),p_Key,0)),""),"")</f>
        <v/>
      </c>
      <c r="L42" s="12">
        <f>IFERROR(INDEX(p_Risk,MATCH(LARGE(p_Key,38),p_Key,0)),"")</f>
        <v/>
      </c>
      <c r="M42" s="43">
        <f>IFERROR(INDEX(p_Month,MATCH(LARGE(p_Key,38),p_Key,0)),"")</f>
        <v/>
      </c>
      <c r="N42" s="38">
        <f>IFERROR(INDEX(p_Flags,MATCH(LARGE(p_Key,38),p_Key,0)),"")</f>
        <v/>
      </c>
    </row>
    <row r="43">
      <c r="A43" s="11">
        <f>IF(D43="","",39)</f>
        <v/>
      </c>
      <c r="B43" s="42">
        <f>IFERROR(INDEX(p_Rating,MATCH(LARGE(p_Key,39),p_Key,0)),"")</f>
        <v/>
      </c>
      <c r="C43" s="11">
        <f>IFERROR(INDEX(p_Score,MATCH(LARGE(p_Key,39),p_Key,0)),"")</f>
        <v/>
      </c>
      <c r="D43" s="38">
        <f>IFERROR(INDEX(p_Job,MATCH(LARGE(p_Key,39),p_Key,0)),"")</f>
        <v/>
      </c>
      <c r="E43" s="38">
        <f>IFERROR(INDEX(p_Client,MATCH(LARGE(p_Key,39),p_Key,0)),"")</f>
        <v/>
      </c>
      <c r="F43" s="38">
        <f>IFERROR(INDEX(p_Deal,MATCH(LARGE(p_Key,39),p_Key,0)),"")</f>
        <v/>
      </c>
      <c r="G43" s="38">
        <f>IFERROR(INDEX(p_CC,MATCH(LARGE(p_Key,39),p_Key,0)),"")</f>
        <v/>
      </c>
      <c r="H43" s="38">
        <f>IFERROR(INDEX(p_Status,MATCH(LARGE(p_Key,39),p_Key,0)),"")</f>
        <v/>
      </c>
      <c r="I43" s="38">
        <f>IFERROR(INDEX(p_Stage,MATCH(LARGE(p_Key,39),p_Key,0)),"")</f>
        <v/>
      </c>
      <c r="J43" s="12">
        <f>IFERROR(INDEX(p_Value,MATCH(LARGE(p_Key,39),p_Key,0)),"")</f>
        <v/>
      </c>
      <c r="K43" s="33">
        <f>IFERROR(IF(H43="Open",INDEX(p_Prob,MATCH(LARGE(p_Key,39),p_Key,0)),""),"")</f>
        <v/>
      </c>
      <c r="L43" s="12">
        <f>IFERROR(INDEX(p_Risk,MATCH(LARGE(p_Key,39),p_Key,0)),"")</f>
        <v/>
      </c>
      <c r="M43" s="43">
        <f>IFERROR(INDEX(p_Month,MATCH(LARGE(p_Key,39),p_Key,0)),"")</f>
        <v/>
      </c>
      <c r="N43" s="38">
        <f>IFERROR(INDEX(p_Flags,MATCH(LARGE(p_Key,39),p_Key,0)),"")</f>
        <v/>
      </c>
    </row>
    <row r="44">
      <c r="A44" s="11">
        <f>IF(D44="","",40)</f>
        <v/>
      </c>
      <c r="B44" s="42">
        <f>IFERROR(INDEX(p_Rating,MATCH(LARGE(p_Key,40),p_Key,0)),"")</f>
        <v/>
      </c>
      <c r="C44" s="11">
        <f>IFERROR(INDEX(p_Score,MATCH(LARGE(p_Key,40),p_Key,0)),"")</f>
        <v/>
      </c>
      <c r="D44" s="38">
        <f>IFERROR(INDEX(p_Job,MATCH(LARGE(p_Key,40),p_Key,0)),"")</f>
        <v/>
      </c>
      <c r="E44" s="38">
        <f>IFERROR(INDEX(p_Client,MATCH(LARGE(p_Key,40),p_Key,0)),"")</f>
        <v/>
      </c>
      <c r="F44" s="38">
        <f>IFERROR(INDEX(p_Deal,MATCH(LARGE(p_Key,40),p_Key,0)),"")</f>
        <v/>
      </c>
      <c r="G44" s="38">
        <f>IFERROR(INDEX(p_CC,MATCH(LARGE(p_Key,40),p_Key,0)),"")</f>
        <v/>
      </c>
      <c r="H44" s="38">
        <f>IFERROR(INDEX(p_Status,MATCH(LARGE(p_Key,40),p_Key,0)),"")</f>
        <v/>
      </c>
      <c r="I44" s="38">
        <f>IFERROR(INDEX(p_Stage,MATCH(LARGE(p_Key,40),p_Key,0)),"")</f>
        <v/>
      </c>
      <c r="J44" s="12">
        <f>IFERROR(INDEX(p_Value,MATCH(LARGE(p_Key,40),p_Key,0)),"")</f>
        <v/>
      </c>
      <c r="K44" s="33">
        <f>IFERROR(IF(H44="Open",INDEX(p_Prob,MATCH(LARGE(p_Key,40),p_Key,0)),""),"")</f>
        <v/>
      </c>
      <c r="L44" s="12">
        <f>IFERROR(INDEX(p_Risk,MATCH(LARGE(p_Key,40),p_Key,0)),"")</f>
        <v/>
      </c>
      <c r="M44" s="43">
        <f>IFERROR(INDEX(p_Month,MATCH(LARGE(p_Key,40),p_Key,0)),"")</f>
        <v/>
      </c>
      <c r="N44" s="38">
        <f>IFERROR(INDEX(p_Flags,MATCH(LARGE(p_Key,40),p_Key,0)),"")</f>
        <v/>
      </c>
    </row>
    <row r="45">
      <c r="A45" s="11">
        <f>IF(D45="","",41)</f>
        <v/>
      </c>
      <c r="B45" s="42">
        <f>IFERROR(INDEX(p_Rating,MATCH(LARGE(p_Key,41),p_Key,0)),"")</f>
        <v/>
      </c>
      <c r="C45" s="11">
        <f>IFERROR(INDEX(p_Score,MATCH(LARGE(p_Key,41),p_Key,0)),"")</f>
        <v/>
      </c>
      <c r="D45" s="38">
        <f>IFERROR(INDEX(p_Job,MATCH(LARGE(p_Key,41),p_Key,0)),"")</f>
        <v/>
      </c>
      <c r="E45" s="38">
        <f>IFERROR(INDEX(p_Client,MATCH(LARGE(p_Key,41),p_Key,0)),"")</f>
        <v/>
      </c>
      <c r="F45" s="38">
        <f>IFERROR(INDEX(p_Deal,MATCH(LARGE(p_Key,41),p_Key,0)),"")</f>
        <v/>
      </c>
      <c r="G45" s="38">
        <f>IFERROR(INDEX(p_CC,MATCH(LARGE(p_Key,41),p_Key,0)),"")</f>
        <v/>
      </c>
      <c r="H45" s="38">
        <f>IFERROR(INDEX(p_Status,MATCH(LARGE(p_Key,41),p_Key,0)),"")</f>
        <v/>
      </c>
      <c r="I45" s="38">
        <f>IFERROR(INDEX(p_Stage,MATCH(LARGE(p_Key,41),p_Key,0)),"")</f>
        <v/>
      </c>
      <c r="J45" s="12">
        <f>IFERROR(INDEX(p_Value,MATCH(LARGE(p_Key,41),p_Key,0)),"")</f>
        <v/>
      </c>
      <c r="K45" s="33">
        <f>IFERROR(IF(H45="Open",INDEX(p_Prob,MATCH(LARGE(p_Key,41),p_Key,0)),""),"")</f>
        <v/>
      </c>
      <c r="L45" s="12">
        <f>IFERROR(INDEX(p_Risk,MATCH(LARGE(p_Key,41),p_Key,0)),"")</f>
        <v/>
      </c>
      <c r="M45" s="43">
        <f>IFERROR(INDEX(p_Month,MATCH(LARGE(p_Key,41),p_Key,0)),"")</f>
        <v/>
      </c>
      <c r="N45" s="38">
        <f>IFERROR(INDEX(p_Flags,MATCH(LARGE(p_Key,41),p_Key,0)),"")</f>
        <v/>
      </c>
    </row>
    <row r="46">
      <c r="A46" s="11">
        <f>IF(D46="","",42)</f>
        <v/>
      </c>
      <c r="B46" s="42">
        <f>IFERROR(INDEX(p_Rating,MATCH(LARGE(p_Key,42),p_Key,0)),"")</f>
        <v/>
      </c>
      <c r="C46" s="11">
        <f>IFERROR(INDEX(p_Score,MATCH(LARGE(p_Key,42),p_Key,0)),"")</f>
        <v/>
      </c>
      <c r="D46" s="38">
        <f>IFERROR(INDEX(p_Job,MATCH(LARGE(p_Key,42),p_Key,0)),"")</f>
        <v/>
      </c>
      <c r="E46" s="38">
        <f>IFERROR(INDEX(p_Client,MATCH(LARGE(p_Key,42),p_Key,0)),"")</f>
        <v/>
      </c>
      <c r="F46" s="38">
        <f>IFERROR(INDEX(p_Deal,MATCH(LARGE(p_Key,42),p_Key,0)),"")</f>
        <v/>
      </c>
      <c r="G46" s="38">
        <f>IFERROR(INDEX(p_CC,MATCH(LARGE(p_Key,42),p_Key,0)),"")</f>
        <v/>
      </c>
      <c r="H46" s="38">
        <f>IFERROR(INDEX(p_Status,MATCH(LARGE(p_Key,42),p_Key,0)),"")</f>
        <v/>
      </c>
      <c r="I46" s="38">
        <f>IFERROR(INDEX(p_Stage,MATCH(LARGE(p_Key,42),p_Key,0)),"")</f>
        <v/>
      </c>
      <c r="J46" s="12">
        <f>IFERROR(INDEX(p_Value,MATCH(LARGE(p_Key,42),p_Key,0)),"")</f>
        <v/>
      </c>
      <c r="K46" s="33">
        <f>IFERROR(IF(H46="Open",INDEX(p_Prob,MATCH(LARGE(p_Key,42),p_Key,0)),""),"")</f>
        <v/>
      </c>
      <c r="L46" s="12">
        <f>IFERROR(INDEX(p_Risk,MATCH(LARGE(p_Key,42),p_Key,0)),"")</f>
        <v/>
      </c>
      <c r="M46" s="43">
        <f>IFERROR(INDEX(p_Month,MATCH(LARGE(p_Key,42),p_Key,0)),"")</f>
        <v/>
      </c>
      <c r="N46" s="38">
        <f>IFERROR(INDEX(p_Flags,MATCH(LARGE(p_Key,42),p_Key,0)),"")</f>
        <v/>
      </c>
    </row>
    <row r="47">
      <c r="A47" s="11">
        <f>IF(D47="","",43)</f>
        <v/>
      </c>
      <c r="B47" s="42">
        <f>IFERROR(INDEX(p_Rating,MATCH(LARGE(p_Key,43),p_Key,0)),"")</f>
        <v/>
      </c>
      <c r="C47" s="11">
        <f>IFERROR(INDEX(p_Score,MATCH(LARGE(p_Key,43),p_Key,0)),"")</f>
        <v/>
      </c>
      <c r="D47" s="38">
        <f>IFERROR(INDEX(p_Job,MATCH(LARGE(p_Key,43),p_Key,0)),"")</f>
        <v/>
      </c>
      <c r="E47" s="38">
        <f>IFERROR(INDEX(p_Client,MATCH(LARGE(p_Key,43),p_Key,0)),"")</f>
        <v/>
      </c>
      <c r="F47" s="38">
        <f>IFERROR(INDEX(p_Deal,MATCH(LARGE(p_Key,43),p_Key,0)),"")</f>
        <v/>
      </c>
      <c r="G47" s="38">
        <f>IFERROR(INDEX(p_CC,MATCH(LARGE(p_Key,43),p_Key,0)),"")</f>
        <v/>
      </c>
      <c r="H47" s="38">
        <f>IFERROR(INDEX(p_Status,MATCH(LARGE(p_Key,43),p_Key,0)),"")</f>
        <v/>
      </c>
      <c r="I47" s="38">
        <f>IFERROR(INDEX(p_Stage,MATCH(LARGE(p_Key,43),p_Key,0)),"")</f>
        <v/>
      </c>
      <c r="J47" s="12">
        <f>IFERROR(INDEX(p_Value,MATCH(LARGE(p_Key,43),p_Key,0)),"")</f>
        <v/>
      </c>
      <c r="K47" s="33">
        <f>IFERROR(IF(H47="Open",INDEX(p_Prob,MATCH(LARGE(p_Key,43),p_Key,0)),""),"")</f>
        <v/>
      </c>
      <c r="L47" s="12">
        <f>IFERROR(INDEX(p_Risk,MATCH(LARGE(p_Key,43),p_Key,0)),"")</f>
        <v/>
      </c>
      <c r="M47" s="43">
        <f>IFERROR(INDEX(p_Month,MATCH(LARGE(p_Key,43),p_Key,0)),"")</f>
        <v/>
      </c>
      <c r="N47" s="38">
        <f>IFERROR(INDEX(p_Flags,MATCH(LARGE(p_Key,43),p_Key,0)),"")</f>
        <v/>
      </c>
    </row>
    <row r="48">
      <c r="A48" s="11">
        <f>IF(D48="","",44)</f>
        <v/>
      </c>
      <c r="B48" s="42">
        <f>IFERROR(INDEX(p_Rating,MATCH(LARGE(p_Key,44),p_Key,0)),"")</f>
        <v/>
      </c>
      <c r="C48" s="11">
        <f>IFERROR(INDEX(p_Score,MATCH(LARGE(p_Key,44),p_Key,0)),"")</f>
        <v/>
      </c>
      <c r="D48" s="38">
        <f>IFERROR(INDEX(p_Job,MATCH(LARGE(p_Key,44),p_Key,0)),"")</f>
        <v/>
      </c>
      <c r="E48" s="38">
        <f>IFERROR(INDEX(p_Client,MATCH(LARGE(p_Key,44),p_Key,0)),"")</f>
        <v/>
      </c>
      <c r="F48" s="38">
        <f>IFERROR(INDEX(p_Deal,MATCH(LARGE(p_Key,44),p_Key,0)),"")</f>
        <v/>
      </c>
      <c r="G48" s="38">
        <f>IFERROR(INDEX(p_CC,MATCH(LARGE(p_Key,44),p_Key,0)),"")</f>
        <v/>
      </c>
      <c r="H48" s="38">
        <f>IFERROR(INDEX(p_Status,MATCH(LARGE(p_Key,44),p_Key,0)),"")</f>
        <v/>
      </c>
      <c r="I48" s="38">
        <f>IFERROR(INDEX(p_Stage,MATCH(LARGE(p_Key,44),p_Key,0)),"")</f>
        <v/>
      </c>
      <c r="J48" s="12">
        <f>IFERROR(INDEX(p_Value,MATCH(LARGE(p_Key,44),p_Key,0)),"")</f>
        <v/>
      </c>
      <c r="K48" s="33">
        <f>IFERROR(IF(H48="Open",INDEX(p_Prob,MATCH(LARGE(p_Key,44),p_Key,0)),""),"")</f>
        <v/>
      </c>
      <c r="L48" s="12">
        <f>IFERROR(INDEX(p_Risk,MATCH(LARGE(p_Key,44),p_Key,0)),"")</f>
        <v/>
      </c>
      <c r="M48" s="43">
        <f>IFERROR(INDEX(p_Month,MATCH(LARGE(p_Key,44),p_Key,0)),"")</f>
        <v/>
      </c>
      <c r="N48" s="38">
        <f>IFERROR(INDEX(p_Flags,MATCH(LARGE(p_Key,44),p_Key,0)),"")</f>
        <v/>
      </c>
    </row>
    <row r="49">
      <c r="A49" s="11">
        <f>IF(D49="","",45)</f>
        <v/>
      </c>
      <c r="B49" s="42">
        <f>IFERROR(INDEX(p_Rating,MATCH(LARGE(p_Key,45),p_Key,0)),"")</f>
        <v/>
      </c>
      <c r="C49" s="11">
        <f>IFERROR(INDEX(p_Score,MATCH(LARGE(p_Key,45),p_Key,0)),"")</f>
        <v/>
      </c>
      <c r="D49" s="38">
        <f>IFERROR(INDEX(p_Job,MATCH(LARGE(p_Key,45),p_Key,0)),"")</f>
        <v/>
      </c>
      <c r="E49" s="38">
        <f>IFERROR(INDEX(p_Client,MATCH(LARGE(p_Key,45),p_Key,0)),"")</f>
        <v/>
      </c>
      <c r="F49" s="38">
        <f>IFERROR(INDEX(p_Deal,MATCH(LARGE(p_Key,45),p_Key,0)),"")</f>
        <v/>
      </c>
      <c r="G49" s="38">
        <f>IFERROR(INDEX(p_CC,MATCH(LARGE(p_Key,45),p_Key,0)),"")</f>
        <v/>
      </c>
      <c r="H49" s="38">
        <f>IFERROR(INDEX(p_Status,MATCH(LARGE(p_Key,45),p_Key,0)),"")</f>
        <v/>
      </c>
      <c r="I49" s="38">
        <f>IFERROR(INDEX(p_Stage,MATCH(LARGE(p_Key,45),p_Key,0)),"")</f>
        <v/>
      </c>
      <c r="J49" s="12">
        <f>IFERROR(INDEX(p_Value,MATCH(LARGE(p_Key,45),p_Key,0)),"")</f>
        <v/>
      </c>
      <c r="K49" s="33">
        <f>IFERROR(IF(H49="Open",INDEX(p_Prob,MATCH(LARGE(p_Key,45),p_Key,0)),""),"")</f>
        <v/>
      </c>
      <c r="L49" s="12">
        <f>IFERROR(INDEX(p_Risk,MATCH(LARGE(p_Key,45),p_Key,0)),"")</f>
        <v/>
      </c>
      <c r="M49" s="43">
        <f>IFERROR(INDEX(p_Month,MATCH(LARGE(p_Key,45),p_Key,0)),"")</f>
        <v/>
      </c>
      <c r="N49" s="38">
        <f>IFERROR(INDEX(p_Flags,MATCH(LARGE(p_Key,45),p_Key,0)),"")</f>
        <v/>
      </c>
    </row>
    <row r="50">
      <c r="A50" s="11">
        <f>IF(D50="","",46)</f>
        <v/>
      </c>
      <c r="B50" s="42">
        <f>IFERROR(INDEX(p_Rating,MATCH(LARGE(p_Key,46),p_Key,0)),"")</f>
        <v/>
      </c>
      <c r="C50" s="11">
        <f>IFERROR(INDEX(p_Score,MATCH(LARGE(p_Key,46),p_Key,0)),"")</f>
        <v/>
      </c>
      <c r="D50" s="38">
        <f>IFERROR(INDEX(p_Job,MATCH(LARGE(p_Key,46),p_Key,0)),"")</f>
        <v/>
      </c>
      <c r="E50" s="38">
        <f>IFERROR(INDEX(p_Client,MATCH(LARGE(p_Key,46),p_Key,0)),"")</f>
        <v/>
      </c>
      <c r="F50" s="38">
        <f>IFERROR(INDEX(p_Deal,MATCH(LARGE(p_Key,46),p_Key,0)),"")</f>
        <v/>
      </c>
      <c r="G50" s="38">
        <f>IFERROR(INDEX(p_CC,MATCH(LARGE(p_Key,46),p_Key,0)),"")</f>
        <v/>
      </c>
      <c r="H50" s="38">
        <f>IFERROR(INDEX(p_Status,MATCH(LARGE(p_Key,46),p_Key,0)),"")</f>
        <v/>
      </c>
      <c r="I50" s="38">
        <f>IFERROR(INDEX(p_Stage,MATCH(LARGE(p_Key,46),p_Key,0)),"")</f>
        <v/>
      </c>
      <c r="J50" s="12">
        <f>IFERROR(INDEX(p_Value,MATCH(LARGE(p_Key,46),p_Key,0)),"")</f>
        <v/>
      </c>
      <c r="K50" s="33">
        <f>IFERROR(IF(H50="Open",INDEX(p_Prob,MATCH(LARGE(p_Key,46),p_Key,0)),""),"")</f>
        <v/>
      </c>
      <c r="L50" s="12">
        <f>IFERROR(INDEX(p_Risk,MATCH(LARGE(p_Key,46),p_Key,0)),"")</f>
        <v/>
      </c>
      <c r="M50" s="43">
        <f>IFERROR(INDEX(p_Month,MATCH(LARGE(p_Key,46),p_Key,0)),"")</f>
        <v/>
      </c>
      <c r="N50" s="38">
        <f>IFERROR(INDEX(p_Flags,MATCH(LARGE(p_Key,46),p_Key,0)),"")</f>
        <v/>
      </c>
    </row>
    <row r="51">
      <c r="A51" s="11">
        <f>IF(D51="","",47)</f>
        <v/>
      </c>
      <c r="B51" s="42">
        <f>IFERROR(INDEX(p_Rating,MATCH(LARGE(p_Key,47),p_Key,0)),"")</f>
        <v/>
      </c>
      <c r="C51" s="11">
        <f>IFERROR(INDEX(p_Score,MATCH(LARGE(p_Key,47),p_Key,0)),"")</f>
        <v/>
      </c>
      <c r="D51" s="38">
        <f>IFERROR(INDEX(p_Job,MATCH(LARGE(p_Key,47),p_Key,0)),"")</f>
        <v/>
      </c>
      <c r="E51" s="38">
        <f>IFERROR(INDEX(p_Client,MATCH(LARGE(p_Key,47),p_Key,0)),"")</f>
        <v/>
      </c>
      <c r="F51" s="38">
        <f>IFERROR(INDEX(p_Deal,MATCH(LARGE(p_Key,47),p_Key,0)),"")</f>
        <v/>
      </c>
      <c r="G51" s="38">
        <f>IFERROR(INDEX(p_CC,MATCH(LARGE(p_Key,47),p_Key,0)),"")</f>
        <v/>
      </c>
      <c r="H51" s="38">
        <f>IFERROR(INDEX(p_Status,MATCH(LARGE(p_Key,47),p_Key,0)),"")</f>
        <v/>
      </c>
      <c r="I51" s="38">
        <f>IFERROR(INDEX(p_Stage,MATCH(LARGE(p_Key,47),p_Key,0)),"")</f>
        <v/>
      </c>
      <c r="J51" s="12">
        <f>IFERROR(INDEX(p_Value,MATCH(LARGE(p_Key,47),p_Key,0)),"")</f>
        <v/>
      </c>
      <c r="K51" s="33">
        <f>IFERROR(IF(H51="Open",INDEX(p_Prob,MATCH(LARGE(p_Key,47),p_Key,0)),""),"")</f>
        <v/>
      </c>
      <c r="L51" s="12">
        <f>IFERROR(INDEX(p_Risk,MATCH(LARGE(p_Key,47),p_Key,0)),"")</f>
        <v/>
      </c>
      <c r="M51" s="43">
        <f>IFERROR(INDEX(p_Month,MATCH(LARGE(p_Key,47),p_Key,0)),"")</f>
        <v/>
      </c>
      <c r="N51" s="38">
        <f>IFERROR(INDEX(p_Flags,MATCH(LARGE(p_Key,47),p_Key,0)),"")</f>
        <v/>
      </c>
    </row>
    <row r="52">
      <c r="A52" s="11">
        <f>IF(D52="","",48)</f>
        <v/>
      </c>
      <c r="B52" s="42">
        <f>IFERROR(INDEX(p_Rating,MATCH(LARGE(p_Key,48),p_Key,0)),"")</f>
        <v/>
      </c>
      <c r="C52" s="11">
        <f>IFERROR(INDEX(p_Score,MATCH(LARGE(p_Key,48),p_Key,0)),"")</f>
        <v/>
      </c>
      <c r="D52" s="38">
        <f>IFERROR(INDEX(p_Job,MATCH(LARGE(p_Key,48),p_Key,0)),"")</f>
        <v/>
      </c>
      <c r="E52" s="38">
        <f>IFERROR(INDEX(p_Client,MATCH(LARGE(p_Key,48),p_Key,0)),"")</f>
        <v/>
      </c>
      <c r="F52" s="38">
        <f>IFERROR(INDEX(p_Deal,MATCH(LARGE(p_Key,48),p_Key,0)),"")</f>
        <v/>
      </c>
      <c r="G52" s="38">
        <f>IFERROR(INDEX(p_CC,MATCH(LARGE(p_Key,48),p_Key,0)),"")</f>
        <v/>
      </c>
      <c r="H52" s="38">
        <f>IFERROR(INDEX(p_Status,MATCH(LARGE(p_Key,48),p_Key,0)),"")</f>
        <v/>
      </c>
      <c r="I52" s="38">
        <f>IFERROR(INDEX(p_Stage,MATCH(LARGE(p_Key,48),p_Key,0)),"")</f>
        <v/>
      </c>
      <c r="J52" s="12">
        <f>IFERROR(INDEX(p_Value,MATCH(LARGE(p_Key,48),p_Key,0)),"")</f>
        <v/>
      </c>
      <c r="K52" s="33">
        <f>IFERROR(IF(H52="Open",INDEX(p_Prob,MATCH(LARGE(p_Key,48),p_Key,0)),""),"")</f>
        <v/>
      </c>
      <c r="L52" s="12">
        <f>IFERROR(INDEX(p_Risk,MATCH(LARGE(p_Key,48),p_Key,0)),"")</f>
        <v/>
      </c>
      <c r="M52" s="43">
        <f>IFERROR(INDEX(p_Month,MATCH(LARGE(p_Key,48),p_Key,0)),"")</f>
        <v/>
      </c>
      <c r="N52" s="38">
        <f>IFERROR(INDEX(p_Flags,MATCH(LARGE(p_Key,48),p_Key,0)),"")</f>
        <v/>
      </c>
    </row>
    <row r="53">
      <c r="A53" s="11">
        <f>IF(D53="","",49)</f>
        <v/>
      </c>
      <c r="B53" s="42">
        <f>IFERROR(INDEX(p_Rating,MATCH(LARGE(p_Key,49),p_Key,0)),"")</f>
        <v/>
      </c>
      <c r="C53" s="11">
        <f>IFERROR(INDEX(p_Score,MATCH(LARGE(p_Key,49),p_Key,0)),"")</f>
        <v/>
      </c>
      <c r="D53" s="38">
        <f>IFERROR(INDEX(p_Job,MATCH(LARGE(p_Key,49),p_Key,0)),"")</f>
        <v/>
      </c>
      <c r="E53" s="38">
        <f>IFERROR(INDEX(p_Client,MATCH(LARGE(p_Key,49),p_Key,0)),"")</f>
        <v/>
      </c>
      <c r="F53" s="38">
        <f>IFERROR(INDEX(p_Deal,MATCH(LARGE(p_Key,49),p_Key,0)),"")</f>
        <v/>
      </c>
      <c r="G53" s="38">
        <f>IFERROR(INDEX(p_CC,MATCH(LARGE(p_Key,49),p_Key,0)),"")</f>
        <v/>
      </c>
      <c r="H53" s="38">
        <f>IFERROR(INDEX(p_Status,MATCH(LARGE(p_Key,49),p_Key,0)),"")</f>
        <v/>
      </c>
      <c r="I53" s="38">
        <f>IFERROR(INDEX(p_Stage,MATCH(LARGE(p_Key,49),p_Key,0)),"")</f>
        <v/>
      </c>
      <c r="J53" s="12">
        <f>IFERROR(INDEX(p_Value,MATCH(LARGE(p_Key,49),p_Key,0)),"")</f>
        <v/>
      </c>
      <c r="K53" s="33">
        <f>IFERROR(IF(H53="Open",INDEX(p_Prob,MATCH(LARGE(p_Key,49),p_Key,0)),""),"")</f>
        <v/>
      </c>
      <c r="L53" s="12">
        <f>IFERROR(INDEX(p_Risk,MATCH(LARGE(p_Key,49),p_Key,0)),"")</f>
        <v/>
      </c>
      <c r="M53" s="43">
        <f>IFERROR(INDEX(p_Month,MATCH(LARGE(p_Key,49),p_Key,0)),"")</f>
        <v/>
      </c>
      <c r="N53" s="38">
        <f>IFERROR(INDEX(p_Flags,MATCH(LARGE(p_Key,49),p_Key,0)),"")</f>
        <v/>
      </c>
    </row>
    <row r="54">
      <c r="A54" s="11">
        <f>IF(D54="","",50)</f>
        <v/>
      </c>
      <c r="B54" s="42">
        <f>IFERROR(INDEX(p_Rating,MATCH(LARGE(p_Key,50),p_Key,0)),"")</f>
        <v/>
      </c>
      <c r="C54" s="11">
        <f>IFERROR(INDEX(p_Score,MATCH(LARGE(p_Key,50),p_Key,0)),"")</f>
        <v/>
      </c>
      <c r="D54" s="38">
        <f>IFERROR(INDEX(p_Job,MATCH(LARGE(p_Key,50),p_Key,0)),"")</f>
        <v/>
      </c>
      <c r="E54" s="38">
        <f>IFERROR(INDEX(p_Client,MATCH(LARGE(p_Key,50),p_Key,0)),"")</f>
        <v/>
      </c>
      <c r="F54" s="38">
        <f>IFERROR(INDEX(p_Deal,MATCH(LARGE(p_Key,50),p_Key,0)),"")</f>
        <v/>
      </c>
      <c r="G54" s="38">
        <f>IFERROR(INDEX(p_CC,MATCH(LARGE(p_Key,50),p_Key,0)),"")</f>
        <v/>
      </c>
      <c r="H54" s="38">
        <f>IFERROR(INDEX(p_Status,MATCH(LARGE(p_Key,50),p_Key,0)),"")</f>
        <v/>
      </c>
      <c r="I54" s="38">
        <f>IFERROR(INDEX(p_Stage,MATCH(LARGE(p_Key,50),p_Key,0)),"")</f>
        <v/>
      </c>
      <c r="J54" s="12">
        <f>IFERROR(INDEX(p_Value,MATCH(LARGE(p_Key,50),p_Key,0)),"")</f>
        <v/>
      </c>
      <c r="K54" s="33">
        <f>IFERROR(IF(H54="Open",INDEX(p_Prob,MATCH(LARGE(p_Key,50),p_Key,0)),""),"")</f>
        <v/>
      </c>
      <c r="L54" s="12">
        <f>IFERROR(INDEX(p_Risk,MATCH(LARGE(p_Key,50),p_Key,0)),"")</f>
        <v/>
      </c>
      <c r="M54" s="43">
        <f>IFERROR(INDEX(p_Month,MATCH(LARGE(p_Key,50),p_Key,0)),"")</f>
        <v/>
      </c>
      <c r="N54" s="38">
        <f>IFERROR(INDEX(p_Flags,MATCH(LARGE(p_Key,50),p_Key,0)),"")</f>
        <v/>
      </c>
    </row>
    <row r="55">
      <c r="A55" s="11">
        <f>IF(D55="","",51)</f>
        <v/>
      </c>
      <c r="B55" s="42">
        <f>IFERROR(INDEX(p_Rating,MATCH(LARGE(p_Key,51),p_Key,0)),"")</f>
        <v/>
      </c>
      <c r="C55" s="11">
        <f>IFERROR(INDEX(p_Score,MATCH(LARGE(p_Key,51),p_Key,0)),"")</f>
        <v/>
      </c>
      <c r="D55" s="38">
        <f>IFERROR(INDEX(p_Job,MATCH(LARGE(p_Key,51),p_Key,0)),"")</f>
        <v/>
      </c>
      <c r="E55" s="38">
        <f>IFERROR(INDEX(p_Client,MATCH(LARGE(p_Key,51),p_Key,0)),"")</f>
        <v/>
      </c>
      <c r="F55" s="38">
        <f>IFERROR(INDEX(p_Deal,MATCH(LARGE(p_Key,51),p_Key,0)),"")</f>
        <v/>
      </c>
      <c r="G55" s="38">
        <f>IFERROR(INDEX(p_CC,MATCH(LARGE(p_Key,51),p_Key,0)),"")</f>
        <v/>
      </c>
      <c r="H55" s="38">
        <f>IFERROR(INDEX(p_Status,MATCH(LARGE(p_Key,51),p_Key,0)),"")</f>
        <v/>
      </c>
      <c r="I55" s="38">
        <f>IFERROR(INDEX(p_Stage,MATCH(LARGE(p_Key,51),p_Key,0)),"")</f>
        <v/>
      </c>
      <c r="J55" s="12">
        <f>IFERROR(INDEX(p_Value,MATCH(LARGE(p_Key,51),p_Key,0)),"")</f>
        <v/>
      </c>
      <c r="K55" s="33">
        <f>IFERROR(IF(H55="Open",INDEX(p_Prob,MATCH(LARGE(p_Key,51),p_Key,0)),""),"")</f>
        <v/>
      </c>
      <c r="L55" s="12">
        <f>IFERROR(INDEX(p_Risk,MATCH(LARGE(p_Key,51),p_Key,0)),"")</f>
        <v/>
      </c>
      <c r="M55" s="43">
        <f>IFERROR(INDEX(p_Month,MATCH(LARGE(p_Key,51),p_Key,0)),"")</f>
        <v/>
      </c>
      <c r="N55" s="38">
        <f>IFERROR(INDEX(p_Flags,MATCH(LARGE(p_Key,51),p_Key,0)),"")</f>
        <v/>
      </c>
    </row>
    <row r="56">
      <c r="A56" s="11">
        <f>IF(D56="","",52)</f>
        <v/>
      </c>
      <c r="B56" s="42">
        <f>IFERROR(INDEX(p_Rating,MATCH(LARGE(p_Key,52),p_Key,0)),"")</f>
        <v/>
      </c>
      <c r="C56" s="11">
        <f>IFERROR(INDEX(p_Score,MATCH(LARGE(p_Key,52),p_Key,0)),"")</f>
        <v/>
      </c>
      <c r="D56" s="38">
        <f>IFERROR(INDEX(p_Job,MATCH(LARGE(p_Key,52),p_Key,0)),"")</f>
        <v/>
      </c>
      <c r="E56" s="38">
        <f>IFERROR(INDEX(p_Client,MATCH(LARGE(p_Key,52),p_Key,0)),"")</f>
        <v/>
      </c>
      <c r="F56" s="38">
        <f>IFERROR(INDEX(p_Deal,MATCH(LARGE(p_Key,52),p_Key,0)),"")</f>
        <v/>
      </c>
      <c r="G56" s="38">
        <f>IFERROR(INDEX(p_CC,MATCH(LARGE(p_Key,52),p_Key,0)),"")</f>
        <v/>
      </c>
      <c r="H56" s="38">
        <f>IFERROR(INDEX(p_Status,MATCH(LARGE(p_Key,52),p_Key,0)),"")</f>
        <v/>
      </c>
      <c r="I56" s="38">
        <f>IFERROR(INDEX(p_Stage,MATCH(LARGE(p_Key,52),p_Key,0)),"")</f>
        <v/>
      </c>
      <c r="J56" s="12">
        <f>IFERROR(INDEX(p_Value,MATCH(LARGE(p_Key,52),p_Key,0)),"")</f>
        <v/>
      </c>
      <c r="K56" s="33">
        <f>IFERROR(IF(H56="Open",INDEX(p_Prob,MATCH(LARGE(p_Key,52),p_Key,0)),""),"")</f>
        <v/>
      </c>
      <c r="L56" s="12">
        <f>IFERROR(INDEX(p_Risk,MATCH(LARGE(p_Key,52),p_Key,0)),"")</f>
        <v/>
      </c>
      <c r="M56" s="43">
        <f>IFERROR(INDEX(p_Month,MATCH(LARGE(p_Key,52),p_Key,0)),"")</f>
        <v/>
      </c>
      <c r="N56" s="38">
        <f>IFERROR(INDEX(p_Flags,MATCH(LARGE(p_Key,52),p_Key,0)),"")</f>
        <v/>
      </c>
    </row>
    <row r="57">
      <c r="A57" s="11">
        <f>IF(D57="","",53)</f>
        <v/>
      </c>
      <c r="B57" s="42">
        <f>IFERROR(INDEX(p_Rating,MATCH(LARGE(p_Key,53),p_Key,0)),"")</f>
        <v/>
      </c>
      <c r="C57" s="11">
        <f>IFERROR(INDEX(p_Score,MATCH(LARGE(p_Key,53),p_Key,0)),"")</f>
        <v/>
      </c>
      <c r="D57" s="38">
        <f>IFERROR(INDEX(p_Job,MATCH(LARGE(p_Key,53),p_Key,0)),"")</f>
        <v/>
      </c>
      <c r="E57" s="38">
        <f>IFERROR(INDEX(p_Client,MATCH(LARGE(p_Key,53),p_Key,0)),"")</f>
        <v/>
      </c>
      <c r="F57" s="38">
        <f>IFERROR(INDEX(p_Deal,MATCH(LARGE(p_Key,53),p_Key,0)),"")</f>
        <v/>
      </c>
      <c r="G57" s="38">
        <f>IFERROR(INDEX(p_CC,MATCH(LARGE(p_Key,53),p_Key,0)),"")</f>
        <v/>
      </c>
      <c r="H57" s="38">
        <f>IFERROR(INDEX(p_Status,MATCH(LARGE(p_Key,53),p_Key,0)),"")</f>
        <v/>
      </c>
      <c r="I57" s="38">
        <f>IFERROR(INDEX(p_Stage,MATCH(LARGE(p_Key,53),p_Key,0)),"")</f>
        <v/>
      </c>
      <c r="J57" s="12">
        <f>IFERROR(INDEX(p_Value,MATCH(LARGE(p_Key,53),p_Key,0)),"")</f>
        <v/>
      </c>
      <c r="K57" s="33">
        <f>IFERROR(IF(H57="Open",INDEX(p_Prob,MATCH(LARGE(p_Key,53),p_Key,0)),""),"")</f>
        <v/>
      </c>
      <c r="L57" s="12">
        <f>IFERROR(INDEX(p_Risk,MATCH(LARGE(p_Key,53),p_Key,0)),"")</f>
        <v/>
      </c>
      <c r="M57" s="43">
        <f>IFERROR(INDEX(p_Month,MATCH(LARGE(p_Key,53),p_Key,0)),"")</f>
        <v/>
      </c>
      <c r="N57" s="38">
        <f>IFERROR(INDEX(p_Flags,MATCH(LARGE(p_Key,53),p_Key,0)),"")</f>
        <v/>
      </c>
    </row>
    <row r="58">
      <c r="A58" s="11">
        <f>IF(D58="","",54)</f>
        <v/>
      </c>
      <c r="B58" s="42">
        <f>IFERROR(INDEX(p_Rating,MATCH(LARGE(p_Key,54),p_Key,0)),"")</f>
        <v/>
      </c>
      <c r="C58" s="11">
        <f>IFERROR(INDEX(p_Score,MATCH(LARGE(p_Key,54),p_Key,0)),"")</f>
        <v/>
      </c>
      <c r="D58" s="38">
        <f>IFERROR(INDEX(p_Job,MATCH(LARGE(p_Key,54),p_Key,0)),"")</f>
        <v/>
      </c>
      <c r="E58" s="38">
        <f>IFERROR(INDEX(p_Client,MATCH(LARGE(p_Key,54),p_Key,0)),"")</f>
        <v/>
      </c>
      <c r="F58" s="38">
        <f>IFERROR(INDEX(p_Deal,MATCH(LARGE(p_Key,54),p_Key,0)),"")</f>
        <v/>
      </c>
      <c r="G58" s="38">
        <f>IFERROR(INDEX(p_CC,MATCH(LARGE(p_Key,54),p_Key,0)),"")</f>
        <v/>
      </c>
      <c r="H58" s="38">
        <f>IFERROR(INDEX(p_Status,MATCH(LARGE(p_Key,54),p_Key,0)),"")</f>
        <v/>
      </c>
      <c r="I58" s="38">
        <f>IFERROR(INDEX(p_Stage,MATCH(LARGE(p_Key,54),p_Key,0)),"")</f>
        <v/>
      </c>
      <c r="J58" s="12">
        <f>IFERROR(INDEX(p_Value,MATCH(LARGE(p_Key,54),p_Key,0)),"")</f>
        <v/>
      </c>
      <c r="K58" s="33">
        <f>IFERROR(IF(H58="Open",INDEX(p_Prob,MATCH(LARGE(p_Key,54),p_Key,0)),""),"")</f>
        <v/>
      </c>
      <c r="L58" s="12">
        <f>IFERROR(INDEX(p_Risk,MATCH(LARGE(p_Key,54),p_Key,0)),"")</f>
        <v/>
      </c>
      <c r="M58" s="43">
        <f>IFERROR(INDEX(p_Month,MATCH(LARGE(p_Key,54),p_Key,0)),"")</f>
        <v/>
      </c>
      <c r="N58" s="38">
        <f>IFERROR(INDEX(p_Flags,MATCH(LARGE(p_Key,54),p_Key,0)),"")</f>
        <v/>
      </c>
    </row>
    <row r="59">
      <c r="A59" s="11">
        <f>IF(D59="","",55)</f>
        <v/>
      </c>
      <c r="B59" s="42">
        <f>IFERROR(INDEX(p_Rating,MATCH(LARGE(p_Key,55),p_Key,0)),"")</f>
        <v/>
      </c>
      <c r="C59" s="11">
        <f>IFERROR(INDEX(p_Score,MATCH(LARGE(p_Key,55),p_Key,0)),"")</f>
        <v/>
      </c>
      <c r="D59" s="38">
        <f>IFERROR(INDEX(p_Job,MATCH(LARGE(p_Key,55),p_Key,0)),"")</f>
        <v/>
      </c>
      <c r="E59" s="38">
        <f>IFERROR(INDEX(p_Client,MATCH(LARGE(p_Key,55),p_Key,0)),"")</f>
        <v/>
      </c>
      <c r="F59" s="38">
        <f>IFERROR(INDEX(p_Deal,MATCH(LARGE(p_Key,55),p_Key,0)),"")</f>
        <v/>
      </c>
      <c r="G59" s="38">
        <f>IFERROR(INDEX(p_CC,MATCH(LARGE(p_Key,55),p_Key,0)),"")</f>
        <v/>
      </c>
      <c r="H59" s="38">
        <f>IFERROR(INDEX(p_Status,MATCH(LARGE(p_Key,55),p_Key,0)),"")</f>
        <v/>
      </c>
      <c r="I59" s="38">
        <f>IFERROR(INDEX(p_Stage,MATCH(LARGE(p_Key,55),p_Key,0)),"")</f>
        <v/>
      </c>
      <c r="J59" s="12">
        <f>IFERROR(INDEX(p_Value,MATCH(LARGE(p_Key,55),p_Key,0)),"")</f>
        <v/>
      </c>
      <c r="K59" s="33">
        <f>IFERROR(IF(H59="Open",INDEX(p_Prob,MATCH(LARGE(p_Key,55),p_Key,0)),""),"")</f>
        <v/>
      </c>
      <c r="L59" s="12">
        <f>IFERROR(INDEX(p_Risk,MATCH(LARGE(p_Key,55),p_Key,0)),"")</f>
        <v/>
      </c>
      <c r="M59" s="43">
        <f>IFERROR(INDEX(p_Month,MATCH(LARGE(p_Key,55),p_Key,0)),"")</f>
        <v/>
      </c>
      <c r="N59" s="38">
        <f>IFERROR(INDEX(p_Flags,MATCH(LARGE(p_Key,55),p_Key,0)),"")</f>
        <v/>
      </c>
    </row>
    <row r="60">
      <c r="A60" s="11">
        <f>IF(D60="","",56)</f>
        <v/>
      </c>
      <c r="B60" s="42">
        <f>IFERROR(INDEX(p_Rating,MATCH(LARGE(p_Key,56),p_Key,0)),"")</f>
        <v/>
      </c>
      <c r="C60" s="11">
        <f>IFERROR(INDEX(p_Score,MATCH(LARGE(p_Key,56),p_Key,0)),"")</f>
        <v/>
      </c>
      <c r="D60" s="38">
        <f>IFERROR(INDEX(p_Job,MATCH(LARGE(p_Key,56),p_Key,0)),"")</f>
        <v/>
      </c>
      <c r="E60" s="38">
        <f>IFERROR(INDEX(p_Client,MATCH(LARGE(p_Key,56),p_Key,0)),"")</f>
        <v/>
      </c>
      <c r="F60" s="38">
        <f>IFERROR(INDEX(p_Deal,MATCH(LARGE(p_Key,56),p_Key,0)),"")</f>
        <v/>
      </c>
      <c r="G60" s="38">
        <f>IFERROR(INDEX(p_CC,MATCH(LARGE(p_Key,56),p_Key,0)),"")</f>
        <v/>
      </c>
      <c r="H60" s="38">
        <f>IFERROR(INDEX(p_Status,MATCH(LARGE(p_Key,56),p_Key,0)),"")</f>
        <v/>
      </c>
      <c r="I60" s="38">
        <f>IFERROR(INDEX(p_Stage,MATCH(LARGE(p_Key,56),p_Key,0)),"")</f>
        <v/>
      </c>
      <c r="J60" s="12">
        <f>IFERROR(INDEX(p_Value,MATCH(LARGE(p_Key,56),p_Key,0)),"")</f>
        <v/>
      </c>
      <c r="K60" s="33">
        <f>IFERROR(IF(H60="Open",INDEX(p_Prob,MATCH(LARGE(p_Key,56),p_Key,0)),""),"")</f>
        <v/>
      </c>
      <c r="L60" s="12">
        <f>IFERROR(INDEX(p_Risk,MATCH(LARGE(p_Key,56),p_Key,0)),"")</f>
        <v/>
      </c>
      <c r="M60" s="43">
        <f>IFERROR(INDEX(p_Month,MATCH(LARGE(p_Key,56),p_Key,0)),"")</f>
        <v/>
      </c>
      <c r="N60" s="38">
        <f>IFERROR(INDEX(p_Flags,MATCH(LARGE(p_Key,56),p_Key,0)),"")</f>
        <v/>
      </c>
    </row>
    <row r="61">
      <c r="A61" s="11">
        <f>IF(D61="","",57)</f>
        <v/>
      </c>
      <c r="B61" s="42">
        <f>IFERROR(INDEX(p_Rating,MATCH(LARGE(p_Key,57),p_Key,0)),"")</f>
        <v/>
      </c>
      <c r="C61" s="11">
        <f>IFERROR(INDEX(p_Score,MATCH(LARGE(p_Key,57),p_Key,0)),"")</f>
        <v/>
      </c>
      <c r="D61" s="38">
        <f>IFERROR(INDEX(p_Job,MATCH(LARGE(p_Key,57),p_Key,0)),"")</f>
        <v/>
      </c>
      <c r="E61" s="38">
        <f>IFERROR(INDEX(p_Client,MATCH(LARGE(p_Key,57),p_Key,0)),"")</f>
        <v/>
      </c>
      <c r="F61" s="38">
        <f>IFERROR(INDEX(p_Deal,MATCH(LARGE(p_Key,57),p_Key,0)),"")</f>
        <v/>
      </c>
      <c r="G61" s="38">
        <f>IFERROR(INDEX(p_CC,MATCH(LARGE(p_Key,57),p_Key,0)),"")</f>
        <v/>
      </c>
      <c r="H61" s="38">
        <f>IFERROR(INDEX(p_Status,MATCH(LARGE(p_Key,57),p_Key,0)),"")</f>
        <v/>
      </c>
      <c r="I61" s="38">
        <f>IFERROR(INDEX(p_Stage,MATCH(LARGE(p_Key,57),p_Key,0)),"")</f>
        <v/>
      </c>
      <c r="J61" s="12">
        <f>IFERROR(INDEX(p_Value,MATCH(LARGE(p_Key,57),p_Key,0)),"")</f>
        <v/>
      </c>
      <c r="K61" s="33">
        <f>IFERROR(IF(H61="Open",INDEX(p_Prob,MATCH(LARGE(p_Key,57),p_Key,0)),""),"")</f>
        <v/>
      </c>
      <c r="L61" s="12">
        <f>IFERROR(INDEX(p_Risk,MATCH(LARGE(p_Key,57),p_Key,0)),"")</f>
        <v/>
      </c>
      <c r="M61" s="43">
        <f>IFERROR(INDEX(p_Month,MATCH(LARGE(p_Key,57),p_Key,0)),"")</f>
        <v/>
      </c>
      <c r="N61" s="38">
        <f>IFERROR(INDEX(p_Flags,MATCH(LARGE(p_Key,57),p_Key,0)),"")</f>
        <v/>
      </c>
    </row>
    <row r="62">
      <c r="A62" s="11">
        <f>IF(D62="","",58)</f>
        <v/>
      </c>
      <c r="B62" s="42">
        <f>IFERROR(INDEX(p_Rating,MATCH(LARGE(p_Key,58),p_Key,0)),"")</f>
        <v/>
      </c>
      <c r="C62" s="11">
        <f>IFERROR(INDEX(p_Score,MATCH(LARGE(p_Key,58),p_Key,0)),"")</f>
        <v/>
      </c>
      <c r="D62" s="38">
        <f>IFERROR(INDEX(p_Job,MATCH(LARGE(p_Key,58),p_Key,0)),"")</f>
        <v/>
      </c>
      <c r="E62" s="38">
        <f>IFERROR(INDEX(p_Client,MATCH(LARGE(p_Key,58),p_Key,0)),"")</f>
        <v/>
      </c>
      <c r="F62" s="38">
        <f>IFERROR(INDEX(p_Deal,MATCH(LARGE(p_Key,58),p_Key,0)),"")</f>
        <v/>
      </c>
      <c r="G62" s="38">
        <f>IFERROR(INDEX(p_CC,MATCH(LARGE(p_Key,58),p_Key,0)),"")</f>
        <v/>
      </c>
      <c r="H62" s="38">
        <f>IFERROR(INDEX(p_Status,MATCH(LARGE(p_Key,58),p_Key,0)),"")</f>
        <v/>
      </c>
      <c r="I62" s="38">
        <f>IFERROR(INDEX(p_Stage,MATCH(LARGE(p_Key,58),p_Key,0)),"")</f>
        <v/>
      </c>
      <c r="J62" s="12">
        <f>IFERROR(INDEX(p_Value,MATCH(LARGE(p_Key,58),p_Key,0)),"")</f>
        <v/>
      </c>
      <c r="K62" s="33">
        <f>IFERROR(IF(H62="Open",INDEX(p_Prob,MATCH(LARGE(p_Key,58),p_Key,0)),""),"")</f>
        <v/>
      </c>
      <c r="L62" s="12">
        <f>IFERROR(INDEX(p_Risk,MATCH(LARGE(p_Key,58),p_Key,0)),"")</f>
        <v/>
      </c>
      <c r="M62" s="43">
        <f>IFERROR(INDEX(p_Month,MATCH(LARGE(p_Key,58),p_Key,0)),"")</f>
        <v/>
      </c>
      <c r="N62" s="38">
        <f>IFERROR(INDEX(p_Flags,MATCH(LARGE(p_Key,58),p_Key,0)),"")</f>
        <v/>
      </c>
    </row>
    <row r="63">
      <c r="A63" s="11">
        <f>IF(D63="","",59)</f>
        <v/>
      </c>
      <c r="B63" s="42">
        <f>IFERROR(INDEX(p_Rating,MATCH(LARGE(p_Key,59),p_Key,0)),"")</f>
        <v/>
      </c>
      <c r="C63" s="11">
        <f>IFERROR(INDEX(p_Score,MATCH(LARGE(p_Key,59),p_Key,0)),"")</f>
        <v/>
      </c>
      <c r="D63" s="38">
        <f>IFERROR(INDEX(p_Job,MATCH(LARGE(p_Key,59),p_Key,0)),"")</f>
        <v/>
      </c>
      <c r="E63" s="38">
        <f>IFERROR(INDEX(p_Client,MATCH(LARGE(p_Key,59),p_Key,0)),"")</f>
        <v/>
      </c>
      <c r="F63" s="38">
        <f>IFERROR(INDEX(p_Deal,MATCH(LARGE(p_Key,59),p_Key,0)),"")</f>
        <v/>
      </c>
      <c r="G63" s="38">
        <f>IFERROR(INDEX(p_CC,MATCH(LARGE(p_Key,59),p_Key,0)),"")</f>
        <v/>
      </c>
      <c r="H63" s="38">
        <f>IFERROR(INDEX(p_Status,MATCH(LARGE(p_Key,59),p_Key,0)),"")</f>
        <v/>
      </c>
      <c r="I63" s="38">
        <f>IFERROR(INDEX(p_Stage,MATCH(LARGE(p_Key,59),p_Key,0)),"")</f>
        <v/>
      </c>
      <c r="J63" s="12">
        <f>IFERROR(INDEX(p_Value,MATCH(LARGE(p_Key,59),p_Key,0)),"")</f>
        <v/>
      </c>
      <c r="K63" s="33">
        <f>IFERROR(IF(H63="Open",INDEX(p_Prob,MATCH(LARGE(p_Key,59),p_Key,0)),""),"")</f>
        <v/>
      </c>
      <c r="L63" s="12">
        <f>IFERROR(INDEX(p_Risk,MATCH(LARGE(p_Key,59),p_Key,0)),"")</f>
        <v/>
      </c>
      <c r="M63" s="43">
        <f>IFERROR(INDEX(p_Month,MATCH(LARGE(p_Key,59),p_Key,0)),"")</f>
        <v/>
      </c>
      <c r="N63" s="38">
        <f>IFERROR(INDEX(p_Flags,MATCH(LARGE(p_Key,59),p_Key,0)),"")</f>
        <v/>
      </c>
    </row>
    <row r="64">
      <c r="A64" s="11">
        <f>IF(D64="","",60)</f>
        <v/>
      </c>
      <c r="B64" s="42">
        <f>IFERROR(INDEX(p_Rating,MATCH(LARGE(p_Key,60),p_Key,0)),"")</f>
        <v/>
      </c>
      <c r="C64" s="11">
        <f>IFERROR(INDEX(p_Score,MATCH(LARGE(p_Key,60),p_Key,0)),"")</f>
        <v/>
      </c>
      <c r="D64" s="38">
        <f>IFERROR(INDEX(p_Job,MATCH(LARGE(p_Key,60),p_Key,0)),"")</f>
        <v/>
      </c>
      <c r="E64" s="38">
        <f>IFERROR(INDEX(p_Client,MATCH(LARGE(p_Key,60),p_Key,0)),"")</f>
        <v/>
      </c>
      <c r="F64" s="38">
        <f>IFERROR(INDEX(p_Deal,MATCH(LARGE(p_Key,60),p_Key,0)),"")</f>
        <v/>
      </c>
      <c r="G64" s="38">
        <f>IFERROR(INDEX(p_CC,MATCH(LARGE(p_Key,60),p_Key,0)),"")</f>
        <v/>
      </c>
      <c r="H64" s="38">
        <f>IFERROR(INDEX(p_Status,MATCH(LARGE(p_Key,60),p_Key,0)),"")</f>
        <v/>
      </c>
      <c r="I64" s="38">
        <f>IFERROR(INDEX(p_Stage,MATCH(LARGE(p_Key,60),p_Key,0)),"")</f>
        <v/>
      </c>
      <c r="J64" s="12">
        <f>IFERROR(INDEX(p_Value,MATCH(LARGE(p_Key,60),p_Key,0)),"")</f>
        <v/>
      </c>
      <c r="K64" s="33">
        <f>IFERROR(IF(H64="Open",INDEX(p_Prob,MATCH(LARGE(p_Key,60),p_Key,0)),""),"")</f>
        <v/>
      </c>
      <c r="L64" s="12">
        <f>IFERROR(INDEX(p_Risk,MATCH(LARGE(p_Key,60),p_Key,0)),"")</f>
        <v/>
      </c>
      <c r="M64" s="43">
        <f>IFERROR(INDEX(p_Month,MATCH(LARGE(p_Key,60),p_Key,0)),"")</f>
        <v/>
      </c>
      <c r="N64" s="38">
        <f>IFERROR(INDEX(p_Flags,MATCH(LARGE(p_Key,60),p_Key,0)),"")</f>
        <v/>
      </c>
    </row>
    <row r="65">
      <c r="A65" s="11">
        <f>IF(D65="","",61)</f>
        <v/>
      </c>
      <c r="B65" s="42">
        <f>IFERROR(INDEX(p_Rating,MATCH(LARGE(p_Key,61),p_Key,0)),"")</f>
        <v/>
      </c>
      <c r="C65" s="11">
        <f>IFERROR(INDEX(p_Score,MATCH(LARGE(p_Key,61),p_Key,0)),"")</f>
        <v/>
      </c>
      <c r="D65" s="38">
        <f>IFERROR(INDEX(p_Job,MATCH(LARGE(p_Key,61),p_Key,0)),"")</f>
        <v/>
      </c>
      <c r="E65" s="38">
        <f>IFERROR(INDEX(p_Client,MATCH(LARGE(p_Key,61),p_Key,0)),"")</f>
        <v/>
      </c>
      <c r="F65" s="38">
        <f>IFERROR(INDEX(p_Deal,MATCH(LARGE(p_Key,61),p_Key,0)),"")</f>
        <v/>
      </c>
      <c r="G65" s="38">
        <f>IFERROR(INDEX(p_CC,MATCH(LARGE(p_Key,61),p_Key,0)),"")</f>
        <v/>
      </c>
      <c r="H65" s="38">
        <f>IFERROR(INDEX(p_Status,MATCH(LARGE(p_Key,61),p_Key,0)),"")</f>
        <v/>
      </c>
      <c r="I65" s="38">
        <f>IFERROR(INDEX(p_Stage,MATCH(LARGE(p_Key,61),p_Key,0)),"")</f>
        <v/>
      </c>
      <c r="J65" s="12">
        <f>IFERROR(INDEX(p_Value,MATCH(LARGE(p_Key,61),p_Key,0)),"")</f>
        <v/>
      </c>
      <c r="K65" s="33">
        <f>IFERROR(IF(H65="Open",INDEX(p_Prob,MATCH(LARGE(p_Key,61),p_Key,0)),""),"")</f>
        <v/>
      </c>
      <c r="L65" s="12">
        <f>IFERROR(INDEX(p_Risk,MATCH(LARGE(p_Key,61),p_Key,0)),"")</f>
        <v/>
      </c>
      <c r="M65" s="43">
        <f>IFERROR(INDEX(p_Month,MATCH(LARGE(p_Key,61),p_Key,0)),"")</f>
        <v/>
      </c>
      <c r="N65" s="38">
        <f>IFERROR(INDEX(p_Flags,MATCH(LARGE(p_Key,61),p_Key,0)),"")</f>
        <v/>
      </c>
    </row>
    <row r="66">
      <c r="A66" s="11">
        <f>IF(D66="","",62)</f>
        <v/>
      </c>
      <c r="B66" s="42">
        <f>IFERROR(INDEX(p_Rating,MATCH(LARGE(p_Key,62),p_Key,0)),"")</f>
        <v/>
      </c>
      <c r="C66" s="11">
        <f>IFERROR(INDEX(p_Score,MATCH(LARGE(p_Key,62),p_Key,0)),"")</f>
        <v/>
      </c>
      <c r="D66" s="38">
        <f>IFERROR(INDEX(p_Job,MATCH(LARGE(p_Key,62),p_Key,0)),"")</f>
        <v/>
      </c>
      <c r="E66" s="38">
        <f>IFERROR(INDEX(p_Client,MATCH(LARGE(p_Key,62),p_Key,0)),"")</f>
        <v/>
      </c>
      <c r="F66" s="38">
        <f>IFERROR(INDEX(p_Deal,MATCH(LARGE(p_Key,62),p_Key,0)),"")</f>
        <v/>
      </c>
      <c r="G66" s="38">
        <f>IFERROR(INDEX(p_CC,MATCH(LARGE(p_Key,62),p_Key,0)),"")</f>
        <v/>
      </c>
      <c r="H66" s="38">
        <f>IFERROR(INDEX(p_Status,MATCH(LARGE(p_Key,62),p_Key,0)),"")</f>
        <v/>
      </c>
      <c r="I66" s="38">
        <f>IFERROR(INDEX(p_Stage,MATCH(LARGE(p_Key,62),p_Key,0)),"")</f>
        <v/>
      </c>
      <c r="J66" s="12">
        <f>IFERROR(INDEX(p_Value,MATCH(LARGE(p_Key,62),p_Key,0)),"")</f>
        <v/>
      </c>
      <c r="K66" s="33">
        <f>IFERROR(IF(H66="Open",INDEX(p_Prob,MATCH(LARGE(p_Key,62),p_Key,0)),""),"")</f>
        <v/>
      </c>
      <c r="L66" s="12">
        <f>IFERROR(INDEX(p_Risk,MATCH(LARGE(p_Key,62),p_Key,0)),"")</f>
        <v/>
      </c>
      <c r="M66" s="43">
        <f>IFERROR(INDEX(p_Month,MATCH(LARGE(p_Key,62),p_Key,0)),"")</f>
        <v/>
      </c>
      <c r="N66" s="38">
        <f>IFERROR(INDEX(p_Flags,MATCH(LARGE(p_Key,62),p_Key,0)),"")</f>
        <v/>
      </c>
    </row>
    <row r="67">
      <c r="A67" s="11">
        <f>IF(D67="","",63)</f>
        <v/>
      </c>
      <c r="B67" s="42">
        <f>IFERROR(INDEX(p_Rating,MATCH(LARGE(p_Key,63),p_Key,0)),"")</f>
        <v/>
      </c>
      <c r="C67" s="11">
        <f>IFERROR(INDEX(p_Score,MATCH(LARGE(p_Key,63),p_Key,0)),"")</f>
        <v/>
      </c>
      <c r="D67" s="38">
        <f>IFERROR(INDEX(p_Job,MATCH(LARGE(p_Key,63),p_Key,0)),"")</f>
        <v/>
      </c>
      <c r="E67" s="38">
        <f>IFERROR(INDEX(p_Client,MATCH(LARGE(p_Key,63),p_Key,0)),"")</f>
        <v/>
      </c>
      <c r="F67" s="38">
        <f>IFERROR(INDEX(p_Deal,MATCH(LARGE(p_Key,63),p_Key,0)),"")</f>
        <v/>
      </c>
      <c r="G67" s="38">
        <f>IFERROR(INDEX(p_CC,MATCH(LARGE(p_Key,63),p_Key,0)),"")</f>
        <v/>
      </c>
      <c r="H67" s="38">
        <f>IFERROR(INDEX(p_Status,MATCH(LARGE(p_Key,63),p_Key,0)),"")</f>
        <v/>
      </c>
      <c r="I67" s="38">
        <f>IFERROR(INDEX(p_Stage,MATCH(LARGE(p_Key,63),p_Key,0)),"")</f>
        <v/>
      </c>
      <c r="J67" s="12">
        <f>IFERROR(INDEX(p_Value,MATCH(LARGE(p_Key,63),p_Key,0)),"")</f>
        <v/>
      </c>
      <c r="K67" s="33">
        <f>IFERROR(IF(H67="Open",INDEX(p_Prob,MATCH(LARGE(p_Key,63),p_Key,0)),""),"")</f>
        <v/>
      </c>
      <c r="L67" s="12">
        <f>IFERROR(INDEX(p_Risk,MATCH(LARGE(p_Key,63),p_Key,0)),"")</f>
        <v/>
      </c>
      <c r="M67" s="43">
        <f>IFERROR(INDEX(p_Month,MATCH(LARGE(p_Key,63),p_Key,0)),"")</f>
        <v/>
      </c>
      <c r="N67" s="38">
        <f>IFERROR(INDEX(p_Flags,MATCH(LARGE(p_Key,63),p_Key,0)),"")</f>
        <v/>
      </c>
    </row>
    <row r="68">
      <c r="A68" s="11">
        <f>IF(D68="","",64)</f>
        <v/>
      </c>
      <c r="B68" s="42">
        <f>IFERROR(INDEX(p_Rating,MATCH(LARGE(p_Key,64),p_Key,0)),"")</f>
        <v/>
      </c>
      <c r="C68" s="11">
        <f>IFERROR(INDEX(p_Score,MATCH(LARGE(p_Key,64),p_Key,0)),"")</f>
        <v/>
      </c>
      <c r="D68" s="38">
        <f>IFERROR(INDEX(p_Job,MATCH(LARGE(p_Key,64),p_Key,0)),"")</f>
        <v/>
      </c>
      <c r="E68" s="38">
        <f>IFERROR(INDEX(p_Client,MATCH(LARGE(p_Key,64),p_Key,0)),"")</f>
        <v/>
      </c>
      <c r="F68" s="38">
        <f>IFERROR(INDEX(p_Deal,MATCH(LARGE(p_Key,64),p_Key,0)),"")</f>
        <v/>
      </c>
      <c r="G68" s="38">
        <f>IFERROR(INDEX(p_CC,MATCH(LARGE(p_Key,64),p_Key,0)),"")</f>
        <v/>
      </c>
      <c r="H68" s="38">
        <f>IFERROR(INDEX(p_Status,MATCH(LARGE(p_Key,64),p_Key,0)),"")</f>
        <v/>
      </c>
      <c r="I68" s="38">
        <f>IFERROR(INDEX(p_Stage,MATCH(LARGE(p_Key,64),p_Key,0)),"")</f>
        <v/>
      </c>
      <c r="J68" s="12">
        <f>IFERROR(INDEX(p_Value,MATCH(LARGE(p_Key,64),p_Key,0)),"")</f>
        <v/>
      </c>
      <c r="K68" s="33">
        <f>IFERROR(IF(H68="Open",INDEX(p_Prob,MATCH(LARGE(p_Key,64),p_Key,0)),""),"")</f>
        <v/>
      </c>
      <c r="L68" s="12">
        <f>IFERROR(INDEX(p_Risk,MATCH(LARGE(p_Key,64),p_Key,0)),"")</f>
        <v/>
      </c>
      <c r="M68" s="43">
        <f>IFERROR(INDEX(p_Month,MATCH(LARGE(p_Key,64),p_Key,0)),"")</f>
        <v/>
      </c>
      <c r="N68" s="38">
        <f>IFERROR(INDEX(p_Flags,MATCH(LARGE(p_Key,64),p_Key,0)),"")</f>
        <v/>
      </c>
    </row>
    <row r="69">
      <c r="A69" s="11">
        <f>IF(D69="","",65)</f>
        <v/>
      </c>
      <c r="B69" s="42">
        <f>IFERROR(INDEX(p_Rating,MATCH(LARGE(p_Key,65),p_Key,0)),"")</f>
        <v/>
      </c>
      <c r="C69" s="11">
        <f>IFERROR(INDEX(p_Score,MATCH(LARGE(p_Key,65),p_Key,0)),"")</f>
        <v/>
      </c>
      <c r="D69" s="38">
        <f>IFERROR(INDEX(p_Job,MATCH(LARGE(p_Key,65),p_Key,0)),"")</f>
        <v/>
      </c>
      <c r="E69" s="38">
        <f>IFERROR(INDEX(p_Client,MATCH(LARGE(p_Key,65),p_Key,0)),"")</f>
        <v/>
      </c>
      <c r="F69" s="38">
        <f>IFERROR(INDEX(p_Deal,MATCH(LARGE(p_Key,65),p_Key,0)),"")</f>
        <v/>
      </c>
      <c r="G69" s="38">
        <f>IFERROR(INDEX(p_CC,MATCH(LARGE(p_Key,65),p_Key,0)),"")</f>
        <v/>
      </c>
      <c r="H69" s="38">
        <f>IFERROR(INDEX(p_Status,MATCH(LARGE(p_Key,65),p_Key,0)),"")</f>
        <v/>
      </c>
      <c r="I69" s="38">
        <f>IFERROR(INDEX(p_Stage,MATCH(LARGE(p_Key,65),p_Key,0)),"")</f>
        <v/>
      </c>
      <c r="J69" s="12">
        <f>IFERROR(INDEX(p_Value,MATCH(LARGE(p_Key,65),p_Key,0)),"")</f>
        <v/>
      </c>
      <c r="K69" s="33">
        <f>IFERROR(IF(H69="Open",INDEX(p_Prob,MATCH(LARGE(p_Key,65),p_Key,0)),""),"")</f>
        <v/>
      </c>
      <c r="L69" s="12">
        <f>IFERROR(INDEX(p_Risk,MATCH(LARGE(p_Key,65),p_Key,0)),"")</f>
        <v/>
      </c>
      <c r="M69" s="43">
        <f>IFERROR(INDEX(p_Month,MATCH(LARGE(p_Key,65),p_Key,0)),"")</f>
        <v/>
      </c>
      <c r="N69" s="38">
        <f>IFERROR(INDEX(p_Flags,MATCH(LARGE(p_Key,65),p_Key,0)),"")</f>
        <v/>
      </c>
    </row>
    <row r="70">
      <c r="A70" s="11">
        <f>IF(D70="","",66)</f>
        <v/>
      </c>
      <c r="B70" s="42">
        <f>IFERROR(INDEX(p_Rating,MATCH(LARGE(p_Key,66),p_Key,0)),"")</f>
        <v/>
      </c>
      <c r="C70" s="11">
        <f>IFERROR(INDEX(p_Score,MATCH(LARGE(p_Key,66),p_Key,0)),"")</f>
        <v/>
      </c>
      <c r="D70" s="38">
        <f>IFERROR(INDEX(p_Job,MATCH(LARGE(p_Key,66),p_Key,0)),"")</f>
        <v/>
      </c>
      <c r="E70" s="38">
        <f>IFERROR(INDEX(p_Client,MATCH(LARGE(p_Key,66),p_Key,0)),"")</f>
        <v/>
      </c>
      <c r="F70" s="38">
        <f>IFERROR(INDEX(p_Deal,MATCH(LARGE(p_Key,66),p_Key,0)),"")</f>
        <v/>
      </c>
      <c r="G70" s="38">
        <f>IFERROR(INDEX(p_CC,MATCH(LARGE(p_Key,66),p_Key,0)),"")</f>
        <v/>
      </c>
      <c r="H70" s="38">
        <f>IFERROR(INDEX(p_Status,MATCH(LARGE(p_Key,66),p_Key,0)),"")</f>
        <v/>
      </c>
      <c r="I70" s="38">
        <f>IFERROR(INDEX(p_Stage,MATCH(LARGE(p_Key,66),p_Key,0)),"")</f>
        <v/>
      </c>
      <c r="J70" s="12">
        <f>IFERROR(INDEX(p_Value,MATCH(LARGE(p_Key,66),p_Key,0)),"")</f>
        <v/>
      </c>
      <c r="K70" s="33">
        <f>IFERROR(IF(H70="Open",INDEX(p_Prob,MATCH(LARGE(p_Key,66),p_Key,0)),""),"")</f>
        <v/>
      </c>
      <c r="L70" s="12">
        <f>IFERROR(INDEX(p_Risk,MATCH(LARGE(p_Key,66),p_Key,0)),"")</f>
        <v/>
      </c>
      <c r="M70" s="43">
        <f>IFERROR(INDEX(p_Month,MATCH(LARGE(p_Key,66),p_Key,0)),"")</f>
        <v/>
      </c>
      <c r="N70" s="38">
        <f>IFERROR(INDEX(p_Flags,MATCH(LARGE(p_Key,66),p_Key,0)),"")</f>
        <v/>
      </c>
    </row>
    <row r="71">
      <c r="A71" s="11">
        <f>IF(D71="","",67)</f>
        <v/>
      </c>
      <c r="B71" s="42">
        <f>IFERROR(INDEX(p_Rating,MATCH(LARGE(p_Key,67),p_Key,0)),"")</f>
        <v/>
      </c>
      <c r="C71" s="11">
        <f>IFERROR(INDEX(p_Score,MATCH(LARGE(p_Key,67),p_Key,0)),"")</f>
        <v/>
      </c>
      <c r="D71" s="38">
        <f>IFERROR(INDEX(p_Job,MATCH(LARGE(p_Key,67),p_Key,0)),"")</f>
        <v/>
      </c>
      <c r="E71" s="38">
        <f>IFERROR(INDEX(p_Client,MATCH(LARGE(p_Key,67),p_Key,0)),"")</f>
        <v/>
      </c>
      <c r="F71" s="38">
        <f>IFERROR(INDEX(p_Deal,MATCH(LARGE(p_Key,67),p_Key,0)),"")</f>
        <v/>
      </c>
      <c r="G71" s="38">
        <f>IFERROR(INDEX(p_CC,MATCH(LARGE(p_Key,67),p_Key,0)),"")</f>
        <v/>
      </c>
      <c r="H71" s="38">
        <f>IFERROR(INDEX(p_Status,MATCH(LARGE(p_Key,67),p_Key,0)),"")</f>
        <v/>
      </c>
      <c r="I71" s="38">
        <f>IFERROR(INDEX(p_Stage,MATCH(LARGE(p_Key,67),p_Key,0)),"")</f>
        <v/>
      </c>
      <c r="J71" s="12">
        <f>IFERROR(INDEX(p_Value,MATCH(LARGE(p_Key,67),p_Key,0)),"")</f>
        <v/>
      </c>
      <c r="K71" s="33">
        <f>IFERROR(IF(H71="Open",INDEX(p_Prob,MATCH(LARGE(p_Key,67),p_Key,0)),""),"")</f>
        <v/>
      </c>
      <c r="L71" s="12">
        <f>IFERROR(INDEX(p_Risk,MATCH(LARGE(p_Key,67),p_Key,0)),"")</f>
        <v/>
      </c>
      <c r="M71" s="43">
        <f>IFERROR(INDEX(p_Month,MATCH(LARGE(p_Key,67),p_Key,0)),"")</f>
        <v/>
      </c>
      <c r="N71" s="38">
        <f>IFERROR(INDEX(p_Flags,MATCH(LARGE(p_Key,67),p_Key,0)),"")</f>
        <v/>
      </c>
    </row>
    <row r="72">
      <c r="A72" s="11">
        <f>IF(D72="","",68)</f>
        <v/>
      </c>
      <c r="B72" s="42">
        <f>IFERROR(INDEX(p_Rating,MATCH(LARGE(p_Key,68),p_Key,0)),"")</f>
        <v/>
      </c>
      <c r="C72" s="11">
        <f>IFERROR(INDEX(p_Score,MATCH(LARGE(p_Key,68),p_Key,0)),"")</f>
        <v/>
      </c>
      <c r="D72" s="38">
        <f>IFERROR(INDEX(p_Job,MATCH(LARGE(p_Key,68),p_Key,0)),"")</f>
        <v/>
      </c>
      <c r="E72" s="38">
        <f>IFERROR(INDEX(p_Client,MATCH(LARGE(p_Key,68),p_Key,0)),"")</f>
        <v/>
      </c>
      <c r="F72" s="38">
        <f>IFERROR(INDEX(p_Deal,MATCH(LARGE(p_Key,68),p_Key,0)),"")</f>
        <v/>
      </c>
      <c r="G72" s="38">
        <f>IFERROR(INDEX(p_CC,MATCH(LARGE(p_Key,68),p_Key,0)),"")</f>
        <v/>
      </c>
      <c r="H72" s="38">
        <f>IFERROR(INDEX(p_Status,MATCH(LARGE(p_Key,68),p_Key,0)),"")</f>
        <v/>
      </c>
      <c r="I72" s="38">
        <f>IFERROR(INDEX(p_Stage,MATCH(LARGE(p_Key,68),p_Key,0)),"")</f>
        <v/>
      </c>
      <c r="J72" s="12">
        <f>IFERROR(INDEX(p_Value,MATCH(LARGE(p_Key,68),p_Key,0)),"")</f>
        <v/>
      </c>
      <c r="K72" s="33">
        <f>IFERROR(IF(H72="Open",INDEX(p_Prob,MATCH(LARGE(p_Key,68),p_Key,0)),""),"")</f>
        <v/>
      </c>
      <c r="L72" s="12">
        <f>IFERROR(INDEX(p_Risk,MATCH(LARGE(p_Key,68),p_Key,0)),"")</f>
        <v/>
      </c>
      <c r="M72" s="43">
        <f>IFERROR(INDEX(p_Month,MATCH(LARGE(p_Key,68),p_Key,0)),"")</f>
        <v/>
      </c>
      <c r="N72" s="38">
        <f>IFERROR(INDEX(p_Flags,MATCH(LARGE(p_Key,68),p_Key,0)),"")</f>
        <v/>
      </c>
    </row>
    <row r="73">
      <c r="A73" s="11">
        <f>IF(D73="","",69)</f>
        <v/>
      </c>
      <c r="B73" s="42">
        <f>IFERROR(INDEX(p_Rating,MATCH(LARGE(p_Key,69),p_Key,0)),"")</f>
        <v/>
      </c>
      <c r="C73" s="11">
        <f>IFERROR(INDEX(p_Score,MATCH(LARGE(p_Key,69),p_Key,0)),"")</f>
        <v/>
      </c>
      <c r="D73" s="38">
        <f>IFERROR(INDEX(p_Job,MATCH(LARGE(p_Key,69),p_Key,0)),"")</f>
        <v/>
      </c>
      <c r="E73" s="38">
        <f>IFERROR(INDEX(p_Client,MATCH(LARGE(p_Key,69),p_Key,0)),"")</f>
        <v/>
      </c>
      <c r="F73" s="38">
        <f>IFERROR(INDEX(p_Deal,MATCH(LARGE(p_Key,69),p_Key,0)),"")</f>
        <v/>
      </c>
      <c r="G73" s="38">
        <f>IFERROR(INDEX(p_CC,MATCH(LARGE(p_Key,69),p_Key,0)),"")</f>
        <v/>
      </c>
      <c r="H73" s="38">
        <f>IFERROR(INDEX(p_Status,MATCH(LARGE(p_Key,69),p_Key,0)),"")</f>
        <v/>
      </c>
      <c r="I73" s="38">
        <f>IFERROR(INDEX(p_Stage,MATCH(LARGE(p_Key,69),p_Key,0)),"")</f>
        <v/>
      </c>
      <c r="J73" s="12">
        <f>IFERROR(INDEX(p_Value,MATCH(LARGE(p_Key,69),p_Key,0)),"")</f>
        <v/>
      </c>
      <c r="K73" s="33">
        <f>IFERROR(IF(H73="Open",INDEX(p_Prob,MATCH(LARGE(p_Key,69),p_Key,0)),""),"")</f>
        <v/>
      </c>
      <c r="L73" s="12">
        <f>IFERROR(INDEX(p_Risk,MATCH(LARGE(p_Key,69),p_Key,0)),"")</f>
        <v/>
      </c>
      <c r="M73" s="43">
        <f>IFERROR(INDEX(p_Month,MATCH(LARGE(p_Key,69),p_Key,0)),"")</f>
        <v/>
      </c>
      <c r="N73" s="38">
        <f>IFERROR(INDEX(p_Flags,MATCH(LARGE(p_Key,69),p_Key,0)),"")</f>
        <v/>
      </c>
    </row>
    <row r="74">
      <c r="A74" s="11">
        <f>IF(D74="","",70)</f>
        <v/>
      </c>
      <c r="B74" s="42">
        <f>IFERROR(INDEX(p_Rating,MATCH(LARGE(p_Key,70),p_Key,0)),"")</f>
        <v/>
      </c>
      <c r="C74" s="11">
        <f>IFERROR(INDEX(p_Score,MATCH(LARGE(p_Key,70),p_Key,0)),"")</f>
        <v/>
      </c>
      <c r="D74" s="38">
        <f>IFERROR(INDEX(p_Job,MATCH(LARGE(p_Key,70),p_Key,0)),"")</f>
        <v/>
      </c>
      <c r="E74" s="38">
        <f>IFERROR(INDEX(p_Client,MATCH(LARGE(p_Key,70),p_Key,0)),"")</f>
        <v/>
      </c>
      <c r="F74" s="38">
        <f>IFERROR(INDEX(p_Deal,MATCH(LARGE(p_Key,70),p_Key,0)),"")</f>
        <v/>
      </c>
      <c r="G74" s="38">
        <f>IFERROR(INDEX(p_CC,MATCH(LARGE(p_Key,70),p_Key,0)),"")</f>
        <v/>
      </c>
      <c r="H74" s="38">
        <f>IFERROR(INDEX(p_Status,MATCH(LARGE(p_Key,70),p_Key,0)),"")</f>
        <v/>
      </c>
      <c r="I74" s="38">
        <f>IFERROR(INDEX(p_Stage,MATCH(LARGE(p_Key,70),p_Key,0)),"")</f>
        <v/>
      </c>
      <c r="J74" s="12">
        <f>IFERROR(INDEX(p_Value,MATCH(LARGE(p_Key,70),p_Key,0)),"")</f>
        <v/>
      </c>
      <c r="K74" s="33">
        <f>IFERROR(IF(H74="Open",INDEX(p_Prob,MATCH(LARGE(p_Key,70),p_Key,0)),""),"")</f>
        <v/>
      </c>
      <c r="L74" s="12">
        <f>IFERROR(INDEX(p_Risk,MATCH(LARGE(p_Key,70),p_Key,0)),"")</f>
        <v/>
      </c>
      <c r="M74" s="43">
        <f>IFERROR(INDEX(p_Month,MATCH(LARGE(p_Key,70),p_Key,0)),"")</f>
        <v/>
      </c>
      <c r="N74" s="38">
        <f>IFERROR(INDEX(p_Flags,MATCH(LARGE(p_Key,70),p_Key,0)),"")</f>
        <v/>
      </c>
    </row>
    <row r="75">
      <c r="A75" s="11">
        <f>IF(D75="","",71)</f>
        <v/>
      </c>
      <c r="B75" s="42">
        <f>IFERROR(INDEX(p_Rating,MATCH(LARGE(p_Key,71),p_Key,0)),"")</f>
        <v/>
      </c>
      <c r="C75" s="11">
        <f>IFERROR(INDEX(p_Score,MATCH(LARGE(p_Key,71),p_Key,0)),"")</f>
        <v/>
      </c>
      <c r="D75" s="38">
        <f>IFERROR(INDEX(p_Job,MATCH(LARGE(p_Key,71),p_Key,0)),"")</f>
        <v/>
      </c>
      <c r="E75" s="38">
        <f>IFERROR(INDEX(p_Client,MATCH(LARGE(p_Key,71),p_Key,0)),"")</f>
        <v/>
      </c>
      <c r="F75" s="38">
        <f>IFERROR(INDEX(p_Deal,MATCH(LARGE(p_Key,71),p_Key,0)),"")</f>
        <v/>
      </c>
      <c r="G75" s="38">
        <f>IFERROR(INDEX(p_CC,MATCH(LARGE(p_Key,71),p_Key,0)),"")</f>
        <v/>
      </c>
      <c r="H75" s="38">
        <f>IFERROR(INDEX(p_Status,MATCH(LARGE(p_Key,71),p_Key,0)),"")</f>
        <v/>
      </c>
      <c r="I75" s="38">
        <f>IFERROR(INDEX(p_Stage,MATCH(LARGE(p_Key,71),p_Key,0)),"")</f>
        <v/>
      </c>
      <c r="J75" s="12">
        <f>IFERROR(INDEX(p_Value,MATCH(LARGE(p_Key,71),p_Key,0)),"")</f>
        <v/>
      </c>
      <c r="K75" s="33">
        <f>IFERROR(IF(H75="Open",INDEX(p_Prob,MATCH(LARGE(p_Key,71),p_Key,0)),""),"")</f>
        <v/>
      </c>
      <c r="L75" s="12">
        <f>IFERROR(INDEX(p_Risk,MATCH(LARGE(p_Key,71),p_Key,0)),"")</f>
        <v/>
      </c>
      <c r="M75" s="43">
        <f>IFERROR(INDEX(p_Month,MATCH(LARGE(p_Key,71),p_Key,0)),"")</f>
        <v/>
      </c>
      <c r="N75" s="38">
        <f>IFERROR(INDEX(p_Flags,MATCH(LARGE(p_Key,71),p_Key,0)),"")</f>
        <v/>
      </c>
    </row>
    <row r="76">
      <c r="A76" s="11">
        <f>IF(D76="","",72)</f>
        <v/>
      </c>
      <c r="B76" s="42">
        <f>IFERROR(INDEX(p_Rating,MATCH(LARGE(p_Key,72),p_Key,0)),"")</f>
        <v/>
      </c>
      <c r="C76" s="11">
        <f>IFERROR(INDEX(p_Score,MATCH(LARGE(p_Key,72),p_Key,0)),"")</f>
        <v/>
      </c>
      <c r="D76" s="38">
        <f>IFERROR(INDEX(p_Job,MATCH(LARGE(p_Key,72),p_Key,0)),"")</f>
        <v/>
      </c>
      <c r="E76" s="38">
        <f>IFERROR(INDEX(p_Client,MATCH(LARGE(p_Key,72),p_Key,0)),"")</f>
        <v/>
      </c>
      <c r="F76" s="38">
        <f>IFERROR(INDEX(p_Deal,MATCH(LARGE(p_Key,72),p_Key,0)),"")</f>
        <v/>
      </c>
      <c r="G76" s="38">
        <f>IFERROR(INDEX(p_CC,MATCH(LARGE(p_Key,72),p_Key,0)),"")</f>
        <v/>
      </c>
      <c r="H76" s="38">
        <f>IFERROR(INDEX(p_Status,MATCH(LARGE(p_Key,72),p_Key,0)),"")</f>
        <v/>
      </c>
      <c r="I76" s="38">
        <f>IFERROR(INDEX(p_Stage,MATCH(LARGE(p_Key,72),p_Key,0)),"")</f>
        <v/>
      </c>
      <c r="J76" s="12">
        <f>IFERROR(INDEX(p_Value,MATCH(LARGE(p_Key,72),p_Key,0)),"")</f>
        <v/>
      </c>
      <c r="K76" s="33">
        <f>IFERROR(IF(H76="Open",INDEX(p_Prob,MATCH(LARGE(p_Key,72),p_Key,0)),""),"")</f>
        <v/>
      </c>
      <c r="L76" s="12">
        <f>IFERROR(INDEX(p_Risk,MATCH(LARGE(p_Key,72),p_Key,0)),"")</f>
        <v/>
      </c>
      <c r="M76" s="43">
        <f>IFERROR(INDEX(p_Month,MATCH(LARGE(p_Key,72),p_Key,0)),"")</f>
        <v/>
      </c>
      <c r="N76" s="38">
        <f>IFERROR(INDEX(p_Flags,MATCH(LARGE(p_Key,72),p_Key,0)),"")</f>
        <v/>
      </c>
    </row>
    <row r="77">
      <c r="A77" s="11">
        <f>IF(D77="","",73)</f>
        <v/>
      </c>
      <c r="B77" s="42">
        <f>IFERROR(INDEX(p_Rating,MATCH(LARGE(p_Key,73),p_Key,0)),"")</f>
        <v/>
      </c>
      <c r="C77" s="11">
        <f>IFERROR(INDEX(p_Score,MATCH(LARGE(p_Key,73),p_Key,0)),"")</f>
        <v/>
      </c>
      <c r="D77" s="38">
        <f>IFERROR(INDEX(p_Job,MATCH(LARGE(p_Key,73),p_Key,0)),"")</f>
        <v/>
      </c>
      <c r="E77" s="38">
        <f>IFERROR(INDEX(p_Client,MATCH(LARGE(p_Key,73),p_Key,0)),"")</f>
        <v/>
      </c>
      <c r="F77" s="38">
        <f>IFERROR(INDEX(p_Deal,MATCH(LARGE(p_Key,73),p_Key,0)),"")</f>
        <v/>
      </c>
      <c r="G77" s="38">
        <f>IFERROR(INDEX(p_CC,MATCH(LARGE(p_Key,73),p_Key,0)),"")</f>
        <v/>
      </c>
      <c r="H77" s="38">
        <f>IFERROR(INDEX(p_Status,MATCH(LARGE(p_Key,73),p_Key,0)),"")</f>
        <v/>
      </c>
      <c r="I77" s="38">
        <f>IFERROR(INDEX(p_Stage,MATCH(LARGE(p_Key,73),p_Key,0)),"")</f>
        <v/>
      </c>
      <c r="J77" s="12">
        <f>IFERROR(INDEX(p_Value,MATCH(LARGE(p_Key,73),p_Key,0)),"")</f>
        <v/>
      </c>
      <c r="K77" s="33">
        <f>IFERROR(IF(H77="Open",INDEX(p_Prob,MATCH(LARGE(p_Key,73),p_Key,0)),""),"")</f>
        <v/>
      </c>
      <c r="L77" s="12">
        <f>IFERROR(INDEX(p_Risk,MATCH(LARGE(p_Key,73),p_Key,0)),"")</f>
        <v/>
      </c>
      <c r="M77" s="43">
        <f>IFERROR(INDEX(p_Month,MATCH(LARGE(p_Key,73),p_Key,0)),"")</f>
        <v/>
      </c>
      <c r="N77" s="38">
        <f>IFERROR(INDEX(p_Flags,MATCH(LARGE(p_Key,73),p_Key,0)),"")</f>
        <v/>
      </c>
    </row>
    <row r="78">
      <c r="A78" s="11">
        <f>IF(D78="","",74)</f>
        <v/>
      </c>
      <c r="B78" s="42">
        <f>IFERROR(INDEX(p_Rating,MATCH(LARGE(p_Key,74),p_Key,0)),"")</f>
        <v/>
      </c>
      <c r="C78" s="11">
        <f>IFERROR(INDEX(p_Score,MATCH(LARGE(p_Key,74),p_Key,0)),"")</f>
        <v/>
      </c>
      <c r="D78" s="38">
        <f>IFERROR(INDEX(p_Job,MATCH(LARGE(p_Key,74),p_Key,0)),"")</f>
        <v/>
      </c>
      <c r="E78" s="38">
        <f>IFERROR(INDEX(p_Client,MATCH(LARGE(p_Key,74),p_Key,0)),"")</f>
        <v/>
      </c>
      <c r="F78" s="38">
        <f>IFERROR(INDEX(p_Deal,MATCH(LARGE(p_Key,74),p_Key,0)),"")</f>
        <v/>
      </c>
      <c r="G78" s="38">
        <f>IFERROR(INDEX(p_CC,MATCH(LARGE(p_Key,74),p_Key,0)),"")</f>
        <v/>
      </c>
      <c r="H78" s="38">
        <f>IFERROR(INDEX(p_Status,MATCH(LARGE(p_Key,74),p_Key,0)),"")</f>
        <v/>
      </c>
      <c r="I78" s="38">
        <f>IFERROR(INDEX(p_Stage,MATCH(LARGE(p_Key,74),p_Key,0)),"")</f>
        <v/>
      </c>
      <c r="J78" s="12">
        <f>IFERROR(INDEX(p_Value,MATCH(LARGE(p_Key,74),p_Key,0)),"")</f>
        <v/>
      </c>
      <c r="K78" s="33">
        <f>IFERROR(IF(H78="Open",INDEX(p_Prob,MATCH(LARGE(p_Key,74),p_Key,0)),""),"")</f>
        <v/>
      </c>
      <c r="L78" s="12">
        <f>IFERROR(INDEX(p_Risk,MATCH(LARGE(p_Key,74),p_Key,0)),"")</f>
        <v/>
      </c>
      <c r="M78" s="43">
        <f>IFERROR(INDEX(p_Month,MATCH(LARGE(p_Key,74),p_Key,0)),"")</f>
        <v/>
      </c>
      <c r="N78" s="38">
        <f>IFERROR(INDEX(p_Flags,MATCH(LARGE(p_Key,74),p_Key,0)),"")</f>
        <v/>
      </c>
    </row>
    <row r="79">
      <c r="A79" s="11">
        <f>IF(D79="","",75)</f>
        <v/>
      </c>
      <c r="B79" s="42">
        <f>IFERROR(INDEX(p_Rating,MATCH(LARGE(p_Key,75),p_Key,0)),"")</f>
        <v/>
      </c>
      <c r="C79" s="11">
        <f>IFERROR(INDEX(p_Score,MATCH(LARGE(p_Key,75),p_Key,0)),"")</f>
        <v/>
      </c>
      <c r="D79" s="38">
        <f>IFERROR(INDEX(p_Job,MATCH(LARGE(p_Key,75),p_Key,0)),"")</f>
        <v/>
      </c>
      <c r="E79" s="38">
        <f>IFERROR(INDEX(p_Client,MATCH(LARGE(p_Key,75),p_Key,0)),"")</f>
        <v/>
      </c>
      <c r="F79" s="38">
        <f>IFERROR(INDEX(p_Deal,MATCH(LARGE(p_Key,75),p_Key,0)),"")</f>
        <v/>
      </c>
      <c r="G79" s="38">
        <f>IFERROR(INDEX(p_CC,MATCH(LARGE(p_Key,75),p_Key,0)),"")</f>
        <v/>
      </c>
      <c r="H79" s="38">
        <f>IFERROR(INDEX(p_Status,MATCH(LARGE(p_Key,75),p_Key,0)),"")</f>
        <v/>
      </c>
      <c r="I79" s="38">
        <f>IFERROR(INDEX(p_Stage,MATCH(LARGE(p_Key,75),p_Key,0)),"")</f>
        <v/>
      </c>
      <c r="J79" s="12">
        <f>IFERROR(INDEX(p_Value,MATCH(LARGE(p_Key,75),p_Key,0)),"")</f>
        <v/>
      </c>
      <c r="K79" s="33">
        <f>IFERROR(IF(H79="Open",INDEX(p_Prob,MATCH(LARGE(p_Key,75),p_Key,0)),""),"")</f>
        <v/>
      </c>
      <c r="L79" s="12">
        <f>IFERROR(INDEX(p_Risk,MATCH(LARGE(p_Key,75),p_Key,0)),"")</f>
        <v/>
      </c>
      <c r="M79" s="43">
        <f>IFERROR(INDEX(p_Month,MATCH(LARGE(p_Key,75),p_Key,0)),"")</f>
        <v/>
      </c>
      <c r="N79" s="38">
        <f>IFERROR(INDEX(p_Flags,MATCH(LARGE(p_Key,75),p_Key,0)),"")</f>
        <v/>
      </c>
    </row>
    <row r="80">
      <c r="A80" s="11">
        <f>IF(D80="","",76)</f>
        <v/>
      </c>
      <c r="B80" s="42">
        <f>IFERROR(INDEX(p_Rating,MATCH(LARGE(p_Key,76),p_Key,0)),"")</f>
        <v/>
      </c>
      <c r="C80" s="11">
        <f>IFERROR(INDEX(p_Score,MATCH(LARGE(p_Key,76),p_Key,0)),"")</f>
        <v/>
      </c>
      <c r="D80" s="38">
        <f>IFERROR(INDEX(p_Job,MATCH(LARGE(p_Key,76),p_Key,0)),"")</f>
        <v/>
      </c>
      <c r="E80" s="38">
        <f>IFERROR(INDEX(p_Client,MATCH(LARGE(p_Key,76),p_Key,0)),"")</f>
        <v/>
      </c>
      <c r="F80" s="38">
        <f>IFERROR(INDEX(p_Deal,MATCH(LARGE(p_Key,76),p_Key,0)),"")</f>
        <v/>
      </c>
      <c r="G80" s="38">
        <f>IFERROR(INDEX(p_CC,MATCH(LARGE(p_Key,76),p_Key,0)),"")</f>
        <v/>
      </c>
      <c r="H80" s="38">
        <f>IFERROR(INDEX(p_Status,MATCH(LARGE(p_Key,76),p_Key,0)),"")</f>
        <v/>
      </c>
      <c r="I80" s="38">
        <f>IFERROR(INDEX(p_Stage,MATCH(LARGE(p_Key,76),p_Key,0)),"")</f>
        <v/>
      </c>
      <c r="J80" s="12">
        <f>IFERROR(INDEX(p_Value,MATCH(LARGE(p_Key,76),p_Key,0)),"")</f>
        <v/>
      </c>
      <c r="K80" s="33">
        <f>IFERROR(IF(H80="Open",INDEX(p_Prob,MATCH(LARGE(p_Key,76),p_Key,0)),""),"")</f>
        <v/>
      </c>
      <c r="L80" s="12">
        <f>IFERROR(INDEX(p_Risk,MATCH(LARGE(p_Key,76),p_Key,0)),"")</f>
        <v/>
      </c>
      <c r="M80" s="43">
        <f>IFERROR(INDEX(p_Month,MATCH(LARGE(p_Key,76),p_Key,0)),"")</f>
        <v/>
      </c>
      <c r="N80" s="38">
        <f>IFERROR(INDEX(p_Flags,MATCH(LARGE(p_Key,76),p_Key,0)),"")</f>
        <v/>
      </c>
    </row>
    <row r="81">
      <c r="A81" s="11">
        <f>IF(D81="","",77)</f>
        <v/>
      </c>
      <c r="B81" s="42">
        <f>IFERROR(INDEX(p_Rating,MATCH(LARGE(p_Key,77),p_Key,0)),"")</f>
        <v/>
      </c>
      <c r="C81" s="11">
        <f>IFERROR(INDEX(p_Score,MATCH(LARGE(p_Key,77),p_Key,0)),"")</f>
        <v/>
      </c>
      <c r="D81" s="38">
        <f>IFERROR(INDEX(p_Job,MATCH(LARGE(p_Key,77),p_Key,0)),"")</f>
        <v/>
      </c>
      <c r="E81" s="38">
        <f>IFERROR(INDEX(p_Client,MATCH(LARGE(p_Key,77),p_Key,0)),"")</f>
        <v/>
      </c>
      <c r="F81" s="38">
        <f>IFERROR(INDEX(p_Deal,MATCH(LARGE(p_Key,77),p_Key,0)),"")</f>
        <v/>
      </c>
      <c r="G81" s="38">
        <f>IFERROR(INDEX(p_CC,MATCH(LARGE(p_Key,77),p_Key,0)),"")</f>
        <v/>
      </c>
      <c r="H81" s="38">
        <f>IFERROR(INDEX(p_Status,MATCH(LARGE(p_Key,77),p_Key,0)),"")</f>
        <v/>
      </c>
      <c r="I81" s="38">
        <f>IFERROR(INDEX(p_Stage,MATCH(LARGE(p_Key,77),p_Key,0)),"")</f>
        <v/>
      </c>
      <c r="J81" s="12">
        <f>IFERROR(INDEX(p_Value,MATCH(LARGE(p_Key,77),p_Key,0)),"")</f>
        <v/>
      </c>
      <c r="K81" s="33">
        <f>IFERROR(IF(H81="Open",INDEX(p_Prob,MATCH(LARGE(p_Key,77),p_Key,0)),""),"")</f>
        <v/>
      </c>
      <c r="L81" s="12">
        <f>IFERROR(INDEX(p_Risk,MATCH(LARGE(p_Key,77),p_Key,0)),"")</f>
        <v/>
      </c>
      <c r="M81" s="43">
        <f>IFERROR(INDEX(p_Month,MATCH(LARGE(p_Key,77),p_Key,0)),"")</f>
        <v/>
      </c>
      <c r="N81" s="38">
        <f>IFERROR(INDEX(p_Flags,MATCH(LARGE(p_Key,77),p_Key,0)),"")</f>
        <v/>
      </c>
    </row>
    <row r="82">
      <c r="A82" s="11">
        <f>IF(D82="","",78)</f>
        <v/>
      </c>
      <c r="B82" s="42">
        <f>IFERROR(INDEX(p_Rating,MATCH(LARGE(p_Key,78),p_Key,0)),"")</f>
        <v/>
      </c>
      <c r="C82" s="11">
        <f>IFERROR(INDEX(p_Score,MATCH(LARGE(p_Key,78),p_Key,0)),"")</f>
        <v/>
      </c>
      <c r="D82" s="38">
        <f>IFERROR(INDEX(p_Job,MATCH(LARGE(p_Key,78),p_Key,0)),"")</f>
        <v/>
      </c>
      <c r="E82" s="38">
        <f>IFERROR(INDEX(p_Client,MATCH(LARGE(p_Key,78),p_Key,0)),"")</f>
        <v/>
      </c>
      <c r="F82" s="38">
        <f>IFERROR(INDEX(p_Deal,MATCH(LARGE(p_Key,78),p_Key,0)),"")</f>
        <v/>
      </c>
      <c r="G82" s="38">
        <f>IFERROR(INDEX(p_CC,MATCH(LARGE(p_Key,78),p_Key,0)),"")</f>
        <v/>
      </c>
      <c r="H82" s="38">
        <f>IFERROR(INDEX(p_Status,MATCH(LARGE(p_Key,78),p_Key,0)),"")</f>
        <v/>
      </c>
      <c r="I82" s="38">
        <f>IFERROR(INDEX(p_Stage,MATCH(LARGE(p_Key,78),p_Key,0)),"")</f>
        <v/>
      </c>
      <c r="J82" s="12">
        <f>IFERROR(INDEX(p_Value,MATCH(LARGE(p_Key,78),p_Key,0)),"")</f>
        <v/>
      </c>
      <c r="K82" s="33">
        <f>IFERROR(IF(H82="Open",INDEX(p_Prob,MATCH(LARGE(p_Key,78),p_Key,0)),""),"")</f>
        <v/>
      </c>
      <c r="L82" s="12">
        <f>IFERROR(INDEX(p_Risk,MATCH(LARGE(p_Key,78),p_Key,0)),"")</f>
        <v/>
      </c>
      <c r="M82" s="43">
        <f>IFERROR(INDEX(p_Month,MATCH(LARGE(p_Key,78),p_Key,0)),"")</f>
        <v/>
      </c>
      <c r="N82" s="38">
        <f>IFERROR(INDEX(p_Flags,MATCH(LARGE(p_Key,78),p_Key,0)),"")</f>
        <v/>
      </c>
    </row>
    <row r="83">
      <c r="A83" s="11">
        <f>IF(D83="","",79)</f>
        <v/>
      </c>
      <c r="B83" s="42">
        <f>IFERROR(INDEX(p_Rating,MATCH(LARGE(p_Key,79),p_Key,0)),"")</f>
        <v/>
      </c>
      <c r="C83" s="11">
        <f>IFERROR(INDEX(p_Score,MATCH(LARGE(p_Key,79),p_Key,0)),"")</f>
        <v/>
      </c>
      <c r="D83" s="38">
        <f>IFERROR(INDEX(p_Job,MATCH(LARGE(p_Key,79),p_Key,0)),"")</f>
        <v/>
      </c>
      <c r="E83" s="38">
        <f>IFERROR(INDEX(p_Client,MATCH(LARGE(p_Key,79),p_Key,0)),"")</f>
        <v/>
      </c>
      <c r="F83" s="38">
        <f>IFERROR(INDEX(p_Deal,MATCH(LARGE(p_Key,79),p_Key,0)),"")</f>
        <v/>
      </c>
      <c r="G83" s="38">
        <f>IFERROR(INDEX(p_CC,MATCH(LARGE(p_Key,79),p_Key,0)),"")</f>
        <v/>
      </c>
      <c r="H83" s="38">
        <f>IFERROR(INDEX(p_Status,MATCH(LARGE(p_Key,79),p_Key,0)),"")</f>
        <v/>
      </c>
      <c r="I83" s="38">
        <f>IFERROR(INDEX(p_Stage,MATCH(LARGE(p_Key,79),p_Key,0)),"")</f>
        <v/>
      </c>
      <c r="J83" s="12">
        <f>IFERROR(INDEX(p_Value,MATCH(LARGE(p_Key,79),p_Key,0)),"")</f>
        <v/>
      </c>
      <c r="K83" s="33">
        <f>IFERROR(IF(H83="Open",INDEX(p_Prob,MATCH(LARGE(p_Key,79),p_Key,0)),""),"")</f>
        <v/>
      </c>
      <c r="L83" s="12">
        <f>IFERROR(INDEX(p_Risk,MATCH(LARGE(p_Key,79),p_Key,0)),"")</f>
        <v/>
      </c>
      <c r="M83" s="43">
        <f>IFERROR(INDEX(p_Month,MATCH(LARGE(p_Key,79),p_Key,0)),"")</f>
        <v/>
      </c>
      <c r="N83" s="38">
        <f>IFERROR(INDEX(p_Flags,MATCH(LARGE(p_Key,79),p_Key,0)),"")</f>
        <v/>
      </c>
    </row>
    <row r="84">
      <c r="A84" s="11">
        <f>IF(D84="","",80)</f>
        <v/>
      </c>
      <c r="B84" s="42">
        <f>IFERROR(INDEX(p_Rating,MATCH(LARGE(p_Key,80),p_Key,0)),"")</f>
        <v/>
      </c>
      <c r="C84" s="11">
        <f>IFERROR(INDEX(p_Score,MATCH(LARGE(p_Key,80),p_Key,0)),"")</f>
        <v/>
      </c>
      <c r="D84" s="38">
        <f>IFERROR(INDEX(p_Job,MATCH(LARGE(p_Key,80),p_Key,0)),"")</f>
        <v/>
      </c>
      <c r="E84" s="38">
        <f>IFERROR(INDEX(p_Client,MATCH(LARGE(p_Key,80),p_Key,0)),"")</f>
        <v/>
      </c>
      <c r="F84" s="38">
        <f>IFERROR(INDEX(p_Deal,MATCH(LARGE(p_Key,80),p_Key,0)),"")</f>
        <v/>
      </c>
      <c r="G84" s="38">
        <f>IFERROR(INDEX(p_CC,MATCH(LARGE(p_Key,80),p_Key,0)),"")</f>
        <v/>
      </c>
      <c r="H84" s="38">
        <f>IFERROR(INDEX(p_Status,MATCH(LARGE(p_Key,80),p_Key,0)),"")</f>
        <v/>
      </c>
      <c r="I84" s="38">
        <f>IFERROR(INDEX(p_Stage,MATCH(LARGE(p_Key,80),p_Key,0)),"")</f>
        <v/>
      </c>
      <c r="J84" s="12">
        <f>IFERROR(INDEX(p_Value,MATCH(LARGE(p_Key,80),p_Key,0)),"")</f>
        <v/>
      </c>
      <c r="K84" s="33">
        <f>IFERROR(IF(H84="Open",INDEX(p_Prob,MATCH(LARGE(p_Key,80),p_Key,0)),""),"")</f>
        <v/>
      </c>
      <c r="L84" s="12">
        <f>IFERROR(INDEX(p_Risk,MATCH(LARGE(p_Key,80),p_Key,0)),"")</f>
        <v/>
      </c>
      <c r="M84" s="43">
        <f>IFERROR(INDEX(p_Month,MATCH(LARGE(p_Key,80),p_Key,0)),"")</f>
        <v/>
      </c>
      <c r="N84" s="38">
        <f>IFERROR(INDEX(p_Flags,MATCH(LARGE(p_Key,80),p_Key,0)),"")</f>
        <v/>
      </c>
    </row>
    <row r="85">
      <c r="A85" s="11">
        <f>IF(D85="","",81)</f>
        <v/>
      </c>
      <c r="B85" s="42">
        <f>IFERROR(INDEX(p_Rating,MATCH(LARGE(p_Key,81),p_Key,0)),"")</f>
        <v/>
      </c>
      <c r="C85" s="11">
        <f>IFERROR(INDEX(p_Score,MATCH(LARGE(p_Key,81),p_Key,0)),"")</f>
        <v/>
      </c>
      <c r="D85" s="38">
        <f>IFERROR(INDEX(p_Job,MATCH(LARGE(p_Key,81),p_Key,0)),"")</f>
        <v/>
      </c>
      <c r="E85" s="38">
        <f>IFERROR(INDEX(p_Client,MATCH(LARGE(p_Key,81),p_Key,0)),"")</f>
        <v/>
      </c>
      <c r="F85" s="38">
        <f>IFERROR(INDEX(p_Deal,MATCH(LARGE(p_Key,81),p_Key,0)),"")</f>
        <v/>
      </c>
      <c r="G85" s="38">
        <f>IFERROR(INDEX(p_CC,MATCH(LARGE(p_Key,81),p_Key,0)),"")</f>
        <v/>
      </c>
      <c r="H85" s="38">
        <f>IFERROR(INDEX(p_Status,MATCH(LARGE(p_Key,81),p_Key,0)),"")</f>
        <v/>
      </c>
      <c r="I85" s="38">
        <f>IFERROR(INDEX(p_Stage,MATCH(LARGE(p_Key,81),p_Key,0)),"")</f>
        <v/>
      </c>
      <c r="J85" s="12">
        <f>IFERROR(INDEX(p_Value,MATCH(LARGE(p_Key,81),p_Key,0)),"")</f>
        <v/>
      </c>
      <c r="K85" s="33">
        <f>IFERROR(IF(H85="Open",INDEX(p_Prob,MATCH(LARGE(p_Key,81),p_Key,0)),""),"")</f>
        <v/>
      </c>
      <c r="L85" s="12">
        <f>IFERROR(INDEX(p_Risk,MATCH(LARGE(p_Key,81),p_Key,0)),"")</f>
        <v/>
      </c>
      <c r="M85" s="43">
        <f>IFERROR(INDEX(p_Month,MATCH(LARGE(p_Key,81),p_Key,0)),"")</f>
        <v/>
      </c>
      <c r="N85" s="38">
        <f>IFERROR(INDEX(p_Flags,MATCH(LARGE(p_Key,81),p_Key,0)),"")</f>
        <v/>
      </c>
    </row>
    <row r="86">
      <c r="A86" s="11">
        <f>IF(D86="","",82)</f>
        <v/>
      </c>
      <c r="B86" s="42">
        <f>IFERROR(INDEX(p_Rating,MATCH(LARGE(p_Key,82),p_Key,0)),"")</f>
        <v/>
      </c>
      <c r="C86" s="11">
        <f>IFERROR(INDEX(p_Score,MATCH(LARGE(p_Key,82),p_Key,0)),"")</f>
        <v/>
      </c>
      <c r="D86" s="38">
        <f>IFERROR(INDEX(p_Job,MATCH(LARGE(p_Key,82),p_Key,0)),"")</f>
        <v/>
      </c>
      <c r="E86" s="38">
        <f>IFERROR(INDEX(p_Client,MATCH(LARGE(p_Key,82),p_Key,0)),"")</f>
        <v/>
      </c>
      <c r="F86" s="38">
        <f>IFERROR(INDEX(p_Deal,MATCH(LARGE(p_Key,82),p_Key,0)),"")</f>
        <v/>
      </c>
      <c r="G86" s="38">
        <f>IFERROR(INDEX(p_CC,MATCH(LARGE(p_Key,82),p_Key,0)),"")</f>
        <v/>
      </c>
      <c r="H86" s="38">
        <f>IFERROR(INDEX(p_Status,MATCH(LARGE(p_Key,82),p_Key,0)),"")</f>
        <v/>
      </c>
      <c r="I86" s="38">
        <f>IFERROR(INDEX(p_Stage,MATCH(LARGE(p_Key,82),p_Key,0)),"")</f>
        <v/>
      </c>
      <c r="J86" s="12">
        <f>IFERROR(INDEX(p_Value,MATCH(LARGE(p_Key,82),p_Key,0)),"")</f>
        <v/>
      </c>
      <c r="K86" s="33">
        <f>IFERROR(IF(H86="Open",INDEX(p_Prob,MATCH(LARGE(p_Key,82),p_Key,0)),""),"")</f>
        <v/>
      </c>
      <c r="L86" s="12">
        <f>IFERROR(INDEX(p_Risk,MATCH(LARGE(p_Key,82),p_Key,0)),"")</f>
        <v/>
      </c>
      <c r="M86" s="43">
        <f>IFERROR(INDEX(p_Month,MATCH(LARGE(p_Key,82),p_Key,0)),"")</f>
        <v/>
      </c>
      <c r="N86" s="38">
        <f>IFERROR(INDEX(p_Flags,MATCH(LARGE(p_Key,82),p_Key,0)),"")</f>
        <v/>
      </c>
    </row>
    <row r="87">
      <c r="A87" s="11">
        <f>IF(D87="","",83)</f>
        <v/>
      </c>
      <c r="B87" s="42">
        <f>IFERROR(INDEX(p_Rating,MATCH(LARGE(p_Key,83),p_Key,0)),"")</f>
        <v/>
      </c>
      <c r="C87" s="11">
        <f>IFERROR(INDEX(p_Score,MATCH(LARGE(p_Key,83),p_Key,0)),"")</f>
        <v/>
      </c>
      <c r="D87" s="38">
        <f>IFERROR(INDEX(p_Job,MATCH(LARGE(p_Key,83),p_Key,0)),"")</f>
        <v/>
      </c>
      <c r="E87" s="38">
        <f>IFERROR(INDEX(p_Client,MATCH(LARGE(p_Key,83),p_Key,0)),"")</f>
        <v/>
      </c>
      <c r="F87" s="38">
        <f>IFERROR(INDEX(p_Deal,MATCH(LARGE(p_Key,83),p_Key,0)),"")</f>
        <v/>
      </c>
      <c r="G87" s="38">
        <f>IFERROR(INDEX(p_CC,MATCH(LARGE(p_Key,83),p_Key,0)),"")</f>
        <v/>
      </c>
      <c r="H87" s="38">
        <f>IFERROR(INDEX(p_Status,MATCH(LARGE(p_Key,83),p_Key,0)),"")</f>
        <v/>
      </c>
      <c r="I87" s="38">
        <f>IFERROR(INDEX(p_Stage,MATCH(LARGE(p_Key,83),p_Key,0)),"")</f>
        <v/>
      </c>
      <c r="J87" s="12">
        <f>IFERROR(INDEX(p_Value,MATCH(LARGE(p_Key,83),p_Key,0)),"")</f>
        <v/>
      </c>
      <c r="K87" s="33">
        <f>IFERROR(IF(H87="Open",INDEX(p_Prob,MATCH(LARGE(p_Key,83),p_Key,0)),""),"")</f>
        <v/>
      </c>
      <c r="L87" s="12">
        <f>IFERROR(INDEX(p_Risk,MATCH(LARGE(p_Key,83),p_Key,0)),"")</f>
        <v/>
      </c>
      <c r="M87" s="43">
        <f>IFERROR(INDEX(p_Month,MATCH(LARGE(p_Key,83),p_Key,0)),"")</f>
        <v/>
      </c>
      <c r="N87" s="38">
        <f>IFERROR(INDEX(p_Flags,MATCH(LARGE(p_Key,83),p_Key,0)),"")</f>
        <v/>
      </c>
    </row>
    <row r="88">
      <c r="A88" s="11">
        <f>IF(D88="","",84)</f>
        <v/>
      </c>
      <c r="B88" s="42">
        <f>IFERROR(INDEX(p_Rating,MATCH(LARGE(p_Key,84),p_Key,0)),"")</f>
        <v/>
      </c>
      <c r="C88" s="11">
        <f>IFERROR(INDEX(p_Score,MATCH(LARGE(p_Key,84),p_Key,0)),"")</f>
        <v/>
      </c>
      <c r="D88" s="38">
        <f>IFERROR(INDEX(p_Job,MATCH(LARGE(p_Key,84),p_Key,0)),"")</f>
        <v/>
      </c>
      <c r="E88" s="38">
        <f>IFERROR(INDEX(p_Client,MATCH(LARGE(p_Key,84),p_Key,0)),"")</f>
        <v/>
      </c>
      <c r="F88" s="38">
        <f>IFERROR(INDEX(p_Deal,MATCH(LARGE(p_Key,84),p_Key,0)),"")</f>
        <v/>
      </c>
      <c r="G88" s="38">
        <f>IFERROR(INDEX(p_CC,MATCH(LARGE(p_Key,84),p_Key,0)),"")</f>
        <v/>
      </c>
      <c r="H88" s="38">
        <f>IFERROR(INDEX(p_Status,MATCH(LARGE(p_Key,84),p_Key,0)),"")</f>
        <v/>
      </c>
      <c r="I88" s="38">
        <f>IFERROR(INDEX(p_Stage,MATCH(LARGE(p_Key,84),p_Key,0)),"")</f>
        <v/>
      </c>
      <c r="J88" s="12">
        <f>IFERROR(INDEX(p_Value,MATCH(LARGE(p_Key,84),p_Key,0)),"")</f>
        <v/>
      </c>
      <c r="K88" s="33">
        <f>IFERROR(IF(H88="Open",INDEX(p_Prob,MATCH(LARGE(p_Key,84),p_Key,0)),""),"")</f>
        <v/>
      </c>
      <c r="L88" s="12">
        <f>IFERROR(INDEX(p_Risk,MATCH(LARGE(p_Key,84),p_Key,0)),"")</f>
        <v/>
      </c>
      <c r="M88" s="43">
        <f>IFERROR(INDEX(p_Month,MATCH(LARGE(p_Key,84),p_Key,0)),"")</f>
        <v/>
      </c>
      <c r="N88" s="38">
        <f>IFERROR(INDEX(p_Flags,MATCH(LARGE(p_Key,84),p_Key,0)),"")</f>
        <v/>
      </c>
    </row>
    <row r="89">
      <c r="A89" s="11">
        <f>IF(D89="","",85)</f>
        <v/>
      </c>
      <c r="B89" s="42">
        <f>IFERROR(INDEX(p_Rating,MATCH(LARGE(p_Key,85),p_Key,0)),"")</f>
        <v/>
      </c>
      <c r="C89" s="11">
        <f>IFERROR(INDEX(p_Score,MATCH(LARGE(p_Key,85),p_Key,0)),"")</f>
        <v/>
      </c>
      <c r="D89" s="38">
        <f>IFERROR(INDEX(p_Job,MATCH(LARGE(p_Key,85),p_Key,0)),"")</f>
        <v/>
      </c>
      <c r="E89" s="38">
        <f>IFERROR(INDEX(p_Client,MATCH(LARGE(p_Key,85),p_Key,0)),"")</f>
        <v/>
      </c>
      <c r="F89" s="38">
        <f>IFERROR(INDEX(p_Deal,MATCH(LARGE(p_Key,85),p_Key,0)),"")</f>
        <v/>
      </c>
      <c r="G89" s="38">
        <f>IFERROR(INDEX(p_CC,MATCH(LARGE(p_Key,85),p_Key,0)),"")</f>
        <v/>
      </c>
      <c r="H89" s="38">
        <f>IFERROR(INDEX(p_Status,MATCH(LARGE(p_Key,85),p_Key,0)),"")</f>
        <v/>
      </c>
      <c r="I89" s="38">
        <f>IFERROR(INDEX(p_Stage,MATCH(LARGE(p_Key,85),p_Key,0)),"")</f>
        <v/>
      </c>
      <c r="J89" s="12">
        <f>IFERROR(INDEX(p_Value,MATCH(LARGE(p_Key,85),p_Key,0)),"")</f>
        <v/>
      </c>
      <c r="K89" s="33">
        <f>IFERROR(IF(H89="Open",INDEX(p_Prob,MATCH(LARGE(p_Key,85),p_Key,0)),""),"")</f>
        <v/>
      </c>
      <c r="L89" s="12">
        <f>IFERROR(INDEX(p_Risk,MATCH(LARGE(p_Key,85),p_Key,0)),"")</f>
        <v/>
      </c>
      <c r="M89" s="43">
        <f>IFERROR(INDEX(p_Month,MATCH(LARGE(p_Key,85),p_Key,0)),"")</f>
        <v/>
      </c>
      <c r="N89" s="38">
        <f>IFERROR(INDEX(p_Flags,MATCH(LARGE(p_Key,85),p_Key,0)),"")</f>
        <v/>
      </c>
    </row>
    <row r="90">
      <c r="A90" s="11">
        <f>IF(D90="","",86)</f>
        <v/>
      </c>
      <c r="B90" s="42">
        <f>IFERROR(INDEX(p_Rating,MATCH(LARGE(p_Key,86),p_Key,0)),"")</f>
        <v/>
      </c>
      <c r="C90" s="11">
        <f>IFERROR(INDEX(p_Score,MATCH(LARGE(p_Key,86),p_Key,0)),"")</f>
        <v/>
      </c>
      <c r="D90" s="38">
        <f>IFERROR(INDEX(p_Job,MATCH(LARGE(p_Key,86),p_Key,0)),"")</f>
        <v/>
      </c>
      <c r="E90" s="38">
        <f>IFERROR(INDEX(p_Client,MATCH(LARGE(p_Key,86),p_Key,0)),"")</f>
        <v/>
      </c>
      <c r="F90" s="38">
        <f>IFERROR(INDEX(p_Deal,MATCH(LARGE(p_Key,86),p_Key,0)),"")</f>
        <v/>
      </c>
      <c r="G90" s="38">
        <f>IFERROR(INDEX(p_CC,MATCH(LARGE(p_Key,86),p_Key,0)),"")</f>
        <v/>
      </c>
      <c r="H90" s="38">
        <f>IFERROR(INDEX(p_Status,MATCH(LARGE(p_Key,86),p_Key,0)),"")</f>
        <v/>
      </c>
      <c r="I90" s="38">
        <f>IFERROR(INDEX(p_Stage,MATCH(LARGE(p_Key,86),p_Key,0)),"")</f>
        <v/>
      </c>
      <c r="J90" s="12">
        <f>IFERROR(INDEX(p_Value,MATCH(LARGE(p_Key,86),p_Key,0)),"")</f>
        <v/>
      </c>
      <c r="K90" s="33">
        <f>IFERROR(IF(H90="Open",INDEX(p_Prob,MATCH(LARGE(p_Key,86),p_Key,0)),""),"")</f>
        <v/>
      </c>
      <c r="L90" s="12">
        <f>IFERROR(INDEX(p_Risk,MATCH(LARGE(p_Key,86),p_Key,0)),"")</f>
        <v/>
      </c>
      <c r="M90" s="43">
        <f>IFERROR(INDEX(p_Month,MATCH(LARGE(p_Key,86),p_Key,0)),"")</f>
        <v/>
      </c>
      <c r="N90" s="38">
        <f>IFERROR(INDEX(p_Flags,MATCH(LARGE(p_Key,86),p_Key,0)),"")</f>
        <v/>
      </c>
    </row>
    <row r="91">
      <c r="A91" s="11">
        <f>IF(D91="","",87)</f>
        <v/>
      </c>
      <c r="B91" s="42">
        <f>IFERROR(INDEX(p_Rating,MATCH(LARGE(p_Key,87),p_Key,0)),"")</f>
        <v/>
      </c>
      <c r="C91" s="11">
        <f>IFERROR(INDEX(p_Score,MATCH(LARGE(p_Key,87),p_Key,0)),"")</f>
        <v/>
      </c>
      <c r="D91" s="38">
        <f>IFERROR(INDEX(p_Job,MATCH(LARGE(p_Key,87),p_Key,0)),"")</f>
        <v/>
      </c>
      <c r="E91" s="38">
        <f>IFERROR(INDEX(p_Client,MATCH(LARGE(p_Key,87),p_Key,0)),"")</f>
        <v/>
      </c>
      <c r="F91" s="38">
        <f>IFERROR(INDEX(p_Deal,MATCH(LARGE(p_Key,87),p_Key,0)),"")</f>
        <v/>
      </c>
      <c r="G91" s="38">
        <f>IFERROR(INDEX(p_CC,MATCH(LARGE(p_Key,87),p_Key,0)),"")</f>
        <v/>
      </c>
      <c r="H91" s="38">
        <f>IFERROR(INDEX(p_Status,MATCH(LARGE(p_Key,87),p_Key,0)),"")</f>
        <v/>
      </c>
      <c r="I91" s="38">
        <f>IFERROR(INDEX(p_Stage,MATCH(LARGE(p_Key,87),p_Key,0)),"")</f>
        <v/>
      </c>
      <c r="J91" s="12">
        <f>IFERROR(INDEX(p_Value,MATCH(LARGE(p_Key,87),p_Key,0)),"")</f>
        <v/>
      </c>
      <c r="K91" s="33">
        <f>IFERROR(IF(H91="Open",INDEX(p_Prob,MATCH(LARGE(p_Key,87),p_Key,0)),""),"")</f>
        <v/>
      </c>
      <c r="L91" s="12">
        <f>IFERROR(INDEX(p_Risk,MATCH(LARGE(p_Key,87),p_Key,0)),"")</f>
        <v/>
      </c>
      <c r="M91" s="43">
        <f>IFERROR(INDEX(p_Month,MATCH(LARGE(p_Key,87),p_Key,0)),"")</f>
        <v/>
      </c>
      <c r="N91" s="38">
        <f>IFERROR(INDEX(p_Flags,MATCH(LARGE(p_Key,87),p_Key,0)),"")</f>
        <v/>
      </c>
    </row>
    <row r="92">
      <c r="A92" s="11">
        <f>IF(D92="","",88)</f>
        <v/>
      </c>
      <c r="B92" s="42">
        <f>IFERROR(INDEX(p_Rating,MATCH(LARGE(p_Key,88),p_Key,0)),"")</f>
        <v/>
      </c>
      <c r="C92" s="11">
        <f>IFERROR(INDEX(p_Score,MATCH(LARGE(p_Key,88),p_Key,0)),"")</f>
        <v/>
      </c>
      <c r="D92" s="38">
        <f>IFERROR(INDEX(p_Job,MATCH(LARGE(p_Key,88),p_Key,0)),"")</f>
        <v/>
      </c>
      <c r="E92" s="38">
        <f>IFERROR(INDEX(p_Client,MATCH(LARGE(p_Key,88),p_Key,0)),"")</f>
        <v/>
      </c>
      <c r="F92" s="38">
        <f>IFERROR(INDEX(p_Deal,MATCH(LARGE(p_Key,88),p_Key,0)),"")</f>
        <v/>
      </c>
      <c r="G92" s="38">
        <f>IFERROR(INDEX(p_CC,MATCH(LARGE(p_Key,88),p_Key,0)),"")</f>
        <v/>
      </c>
      <c r="H92" s="38">
        <f>IFERROR(INDEX(p_Status,MATCH(LARGE(p_Key,88),p_Key,0)),"")</f>
        <v/>
      </c>
      <c r="I92" s="38">
        <f>IFERROR(INDEX(p_Stage,MATCH(LARGE(p_Key,88),p_Key,0)),"")</f>
        <v/>
      </c>
      <c r="J92" s="12">
        <f>IFERROR(INDEX(p_Value,MATCH(LARGE(p_Key,88),p_Key,0)),"")</f>
        <v/>
      </c>
      <c r="K92" s="33">
        <f>IFERROR(IF(H92="Open",INDEX(p_Prob,MATCH(LARGE(p_Key,88),p_Key,0)),""),"")</f>
        <v/>
      </c>
      <c r="L92" s="12">
        <f>IFERROR(INDEX(p_Risk,MATCH(LARGE(p_Key,88),p_Key,0)),"")</f>
        <v/>
      </c>
      <c r="M92" s="43">
        <f>IFERROR(INDEX(p_Month,MATCH(LARGE(p_Key,88),p_Key,0)),"")</f>
        <v/>
      </c>
      <c r="N92" s="38">
        <f>IFERROR(INDEX(p_Flags,MATCH(LARGE(p_Key,88),p_Key,0)),"")</f>
        <v/>
      </c>
    </row>
    <row r="93">
      <c r="A93" s="11">
        <f>IF(D93="","",89)</f>
        <v/>
      </c>
      <c r="B93" s="42">
        <f>IFERROR(INDEX(p_Rating,MATCH(LARGE(p_Key,89),p_Key,0)),"")</f>
        <v/>
      </c>
      <c r="C93" s="11">
        <f>IFERROR(INDEX(p_Score,MATCH(LARGE(p_Key,89),p_Key,0)),"")</f>
        <v/>
      </c>
      <c r="D93" s="38">
        <f>IFERROR(INDEX(p_Job,MATCH(LARGE(p_Key,89),p_Key,0)),"")</f>
        <v/>
      </c>
      <c r="E93" s="38">
        <f>IFERROR(INDEX(p_Client,MATCH(LARGE(p_Key,89),p_Key,0)),"")</f>
        <v/>
      </c>
      <c r="F93" s="38">
        <f>IFERROR(INDEX(p_Deal,MATCH(LARGE(p_Key,89),p_Key,0)),"")</f>
        <v/>
      </c>
      <c r="G93" s="38">
        <f>IFERROR(INDEX(p_CC,MATCH(LARGE(p_Key,89),p_Key,0)),"")</f>
        <v/>
      </c>
      <c r="H93" s="38">
        <f>IFERROR(INDEX(p_Status,MATCH(LARGE(p_Key,89),p_Key,0)),"")</f>
        <v/>
      </c>
      <c r="I93" s="38">
        <f>IFERROR(INDEX(p_Stage,MATCH(LARGE(p_Key,89),p_Key,0)),"")</f>
        <v/>
      </c>
      <c r="J93" s="12">
        <f>IFERROR(INDEX(p_Value,MATCH(LARGE(p_Key,89),p_Key,0)),"")</f>
        <v/>
      </c>
      <c r="K93" s="33">
        <f>IFERROR(IF(H93="Open",INDEX(p_Prob,MATCH(LARGE(p_Key,89),p_Key,0)),""),"")</f>
        <v/>
      </c>
      <c r="L93" s="12">
        <f>IFERROR(INDEX(p_Risk,MATCH(LARGE(p_Key,89),p_Key,0)),"")</f>
        <v/>
      </c>
      <c r="M93" s="43">
        <f>IFERROR(INDEX(p_Month,MATCH(LARGE(p_Key,89),p_Key,0)),"")</f>
        <v/>
      </c>
      <c r="N93" s="38">
        <f>IFERROR(INDEX(p_Flags,MATCH(LARGE(p_Key,89),p_Key,0)),"")</f>
        <v/>
      </c>
    </row>
    <row r="94">
      <c r="A94" s="11">
        <f>IF(D94="","",90)</f>
        <v/>
      </c>
      <c r="B94" s="42">
        <f>IFERROR(INDEX(p_Rating,MATCH(LARGE(p_Key,90),p_Key,0)),"")</f>
        <v/>
      </c>
      <c r="C94" s="11">
        <f>IFERROR(INDEX(p_Score,MATCH(LARGE(p_Key,90),p_Key,0)),"")</f>
        <v/>
      </c>
      <c r="D94" s="38">
        <f>IFERROR(INDEX(p_Job,MATCH(LARGE(p_Key,90),p_Key,0)),"")</f>
        <v/>
      </c>
      <c r="E94" s="38">
        <f>IFERROR(INDEX(p_Client,MATCH(LARGE(p_Key,90),p_Key,0)),"")</f>
        <v/>
      </c>
      <c r="F94" s="38">
        <f>IFERROR(INDEX(p_Deal,MATCH(LARGE(p_Key,90),p_Key,0)),"")</f>
        <v/>
      </c>
      <c r="G94" s="38">
        <f>IFERROR(INDEX(p_CC,MATCH(LARGE(p_Key,90),p_Key,0)),"")</f>
        <v/>
      </c>
      <c r="H94" s="38">
        <f>IFERROR(INDEX(p_Status,MATCH(LARGE(p_Key,90),p_Key,0)),"")</f>
        <v/>
      </c>
      <c r="I94" s="38">
        <f>IFERROR(INDEX(p_Stage,MATCH(LARGE(p_Key,90),p_Key,0)),"")</f>
        <v/>
      </c>
      <c r="J94" s="12">
        <f>IFERROR(INDEX(p_Value,MATCH(LARGE(p_Key,90),p_Key,0)),"")</f>
        <v/>
      </c>
      <c r="K94" s="33">
        <f>IFERROR(IF(H94="Open",INDEX(p_Prob,MATCH(LARGE(p_Key,90),p_Key,0)),""),"")</f>
        <v/>
      </c>
      <c r="L94" s="12">
        <f>IFERROR(INDEX(p_Risk,MATCH(LARGE(p_Key,90),p_Key,0)),"")</f>
        <v/>
      </c>
      <c r="M94" s="43">
        <f>IFERROR(INDEX(p_Month,MATCH(LARGE(p_Key,90),p_Key,0)),"")</f>
        <v/>
      </c>
      <c r="N94" s="38">
        <f>IFERROR(INDEX(p_Flags,MATCH(LARGE(p_Key,90),p_Key,0)),"")</f>
        <v/>
      </c>
    </row>
    <row r="95">
      <c r="A95" s="11">
        <f>IF(D95="","",91)</f>
        <v/>
      </c>
      <c r="B95" s="42">
        <f>IFERROR(INDEX(p_Rating,MATCH(LARGE(p_Key,91),p_Key,0)),"")</f>
        <v/>
      </c>
      <c r="C95" s="11">
        <f>IFERROR(INDEX(p_Score,MATCH(LARGE(p_Key,91),p_Key,0)),"")</f>
        <v/>
      </c>
      <c r="D95" s="38">
        <f>IFERROR(INDEX(p_Job,MATCH(LARGE(p_Key,91),p_Key,0)),"")</f>
        <v/>
      </c>
      <c r="E95" s="38">
        <f>IFERROR(INDEX(p_Client,MATCH(LARGE(p_Key,91),p_Key,0)),"")</f>
        <v/>
      </c>
      <c r="F95" s="38">
        <f>IFERROR(INDEX(p_Deal,MATCH(LARGE(p_Key,91),p_Key,0)),"")</f>
        <v/>
      </c>
      <c r="G95" s="38">
        <f>IFERROR(INDEX(p_CC,MATCH(LARGE(p_Key,91),p_Key,0)),"")</f>
        <v/>
      </c>
      <c r="H95" s="38">
        <f>IFERROR(INDEX(p_Status,MATCH(LARGE(p_Key,91),p_Key,0)),"")</f>
        <v/>
      </c>
      <c r="I95" s="38">
        <f>IFERROR(INDEX(p_Stage,MATCH(LARGE(p_Key,91),p_Key,0)),"")</f>
        <v/>
      </c>
      <c r="J95" s="12">
        <f>IFERROR(INDEX(p_Value,MATCH(LARGE(p_Key,91),p_Key,0)),"")</f>
        <v/>
      </c>
      <c r="K95" s="33">
        <f>IFERROR(IF(H95="Open",INDEX(p_Prob,MATCH(LARGE(p_Key,91),p_Key,0)),""),"")</f>
        <v/>
      </c>
      <c r="L95" s="12">
        <f>IFERROR(INDEX(p_Risk,MATCH(LARGE(p_Key,91),p_Key,0)),"")</f>
        <v/>
      </c>
      <c r="M95" s="43">
        <f>IFERROR(INDEX(p_Month,MATCH(LARGE(p_Key,91),p_Key,0)),"")</f>
        <v/>
      </c>
      <c r="N95" s="38">
        <f>IFERROR(INDEX(p_Flags,MATCH(LARGE(p_Key,91),p_Key,0)),"")</f>
        <v/>
      </c>
    </row>
    <row r="96">
      <c r="A96" s="11">
        <f>IF(D96="","",92)</f>
        <v/>
      </c>
      <c r="B96" s="42">
        <f>IFERROR(INDEX(p_Rating,MATCH(LARGE(p_Key,92),p_Key,0)),"")</f>
        <v/>
      </c>
      <c r="C96" s="11">
        <f>IFERROR(INDEX(p_Score,MATCH(LARGE(p_Key,92),p_Key,0)),"")</f>
        <v/>
      </c>
      <c r="D96" s="38">
        <f>IFERROR(INDEX(p_Job,MATCH(LARGE(p_Key,92),p_Key,0)),"")</f>
        <v/>
      </c>
      <c r="E96" s="38">
        <f>IFERROR(INDEX(p_Client,MATCH(LARGE(p_Key,92),p_Key,0)),"")</f>
        <v/>
      </c>
      <c r="F96" s="38">
        <f>IFERROR(INDEX(p_Deal,MATCH(LARGE(p_Key,92),p_Key,0)),"")</f>
        <v/>
      </c>
      <c r="G96" s="38">
        <f>IFERROR(INDEX(p_CC,MATCH(LARGE(p_Key,92),p_Key,0)),"")</f>
        <v/>
      </c>
      <c r="H96" s="38">
        <f>IFERROR(INDEX(p_Status,MATCH(LARGE(p_Key,92),p_Key,0)),"")</f>
        <v/>
      </c>
      <c r="I96" s="38">
        <f>IFERROR(INDEX(p_Stage,MATCH(LARGE(p_Key,92),p_Key,0)),"")</f>
        <v/>
      </c>
      <c r="J96" s="12">
        <f>IFERROR(INDEX(p_Value,MATCH(LARGE(p_Key,92),p_Key,0)),"")</f>
        <v/>
      </c>
      <c r="K96" s="33">
        <f>IFERROR(IF(H96="Open",INDEX(p_Prob,MATCH(LARGE(p_Key,92),p_Key,0)),""),"")</f>
        <v/>
      </c>
      <c r="L96" s="12">
        <f>IFERROR(INDEX(p_Risk,MATCH(LARGE(p_Key,92),p_Key,0)),"")</f>
        <v/>
      </c>
      <c r="M96" s="43">
        <f>IFERROR(INDEX(p_Month,MATCH(LARGE(p_Key,92),p_Key,0)),"")</f>
        <v/>
      </c>
      <c r="N96" s="38">
        <f>IFERROR(INDEX(p_Flags,MATCH(LARGE(p_Key,92),p_Key,0)),"")</f>
        <v/>
      </c>
    </row>
    <row r="97">
      <c r="A97" s="11">
        <f>IF(D97="","",93)</f>
        <v/>
      </c>
      <c r="B97" s="42">
        <f>IFERROR(INDEX(p_Rating,MATCH(LARGE(p_Key,93),p_Key,0)),"")</f>
        <v/>
      </c>
      <c r="C97" s="11">
        <f>IFERROR(INDEX(p_Score,MATCH(LARGE(p_Key,93),p_Key,0)),"")</f>
        <v/>
      </c>
      <c r="D97" s="38">
        <f>IFERROR(INDEX(p_Job,MATCH(LARGE(p_Key,93),p_Key,0)),"")</f>
        <v/>
      </c>
      <c r="E97" s="38">
        <f>IFERROR(INDEX(p_Client,MATCH(LARGE(p_Key,93),p_Key,0)),"")</f>
        <v/>
      </c>
      <c r="F97" s="38">
        <f>IFERROR(INDEX(p_Deal,MATCH(LARGE(p_Key,93),p_Key,0)),"")</f>
        <v/>
      </c>
      <c r="G97" s="38">
        <f>IFERROR(INDEX(p_CC,MATCH(LARGE(p_Key,93),p_Key,0)),"")</f>
        <v/>
      </c>
      <c r="H97" s="38">
        <f>IFERROR(INDEX(p_Status,MATCH(LARGE(p_Key,93),p_Key,0)),"")</f>
        <v/>
      </c>
      <c r="I97" s="38">
        <f>IFERROR(INDEX(p_Stage,MATCH(LARGE(p_Key,93),p_Key,0)),"")</f>
        <v/>
      </c>
      <c r="J97" s="12">
        <f>IFERROR(INDEX(p_Value,MATCH(LARGE(p_Key,93),p_Key,0)),"")</f>
        <v/>
      </c>
      <c r="K97" s="33">
        <f>IFERROR(IF(H97="Open",INDEX(p_Prob,MATCH(LARGE(p_Key,93),p_Key,0)),""),"")</f>
        <v/>
      </c>
      <c r="L97" s="12">
        <f>IFERROR(INDEX(p_Risk,MATCH(LARGE(p_Key,93),p_Key,0)),"")</f>
        <v/>
      </c>
      <c r="M97" s="43">
        <f>IFERROR(INDEX(p_Month,MATCH(LARGE(p_Key,93),p_Key,0)),"")</f>
        <v/>
      </c>
      <c r="N97" s="38">
        <f>IFERROR(INDEX(p_Flags,MATCH(LARGE(p_Key,93),p_Key,0)),"")</f>
        <v/>
      </c>
    </row>
    <row r="98">
      <c r="A98" s="11">
        <f>IF(D98="","",94)</f>
        <v/>
      </c>
      <c r="B98" s="42">
        <f>IFERROR(INDEX(p_Rating,MATCH(LARGE(p_Key,94),p_Key,0)),"")</f>
        <v/>
      </c>
      <c r="C98" s="11">
        <f>IFERROR(INDEX(p_Score,MATCH(LARGE(p_Key,94),p_Key,0)),"")</f>
        <v/>
      </c>
      <c r="D98" s="38">
        <f>IFERROR(INDEX(p_Job,MATCH(LARGE(p_Key,94),p_Key,0)),"")</f>
        <v/>
      </c>
      <c r="E98" s="38">
        <f>IFERROR(INDEX(p_Client,MATCH(LARGE(p_Key,94),p_Key,0)),"")</f>
        <v/>
      </c>
      <c r="F98" s="38">
        <f>IFERROR(INDEX(p_Deal,MATCH(LARGE(p_Key,94),p_Key,0)),"")</f>
        <v/>
      </c>
      <c r="G98" s="38">
        <f>IFERROR(INDEX(p_CC,MATCH(LARGE(p_Key,94),p_Key,0)),"")</f>
        <v/>
      </c>
      <c r="H98" s="38">
        <f>IFERROR(INDEX(p_Status,MATCH(LARGE(p_Key,94),p_Key,0)),"")</f>
        <v/>
      </c>
      <c r="I98" s="38">
        <f>IFERROR(INDEX(p_Stage,MATCH(LARGE(p_Key,94),p_Key,0)),"")</f>
        <v/>
      </c>
      <c r="J98" s="12">
        <f>IFERROR(INDEX(p_Value,MATCH(LARGE(p_Key,94),p_Key,0)),"")</f>
        <v/>
      </c>
      <c r="K98" s="33">
        <f>IFERROR(IF(H98="Open",INDEX(p_Prob,MATCH(LARGE(p_Key,94),p_Key,0)),""),"")</f>
        <v/>
      </c>
      <c r="L98" s="12">
        <f>IFERROR(INDEX(p_Risk,MATCH(LARGE(p_Key,94),p_Key,0)),"")</f>
        <v/>
      </c>
      <c r="M98" s="43">
        <f>IFERROR(INDEX(p_Month,MATCH(LARGE(p_Key,94),p_Key,0)),"")</f>
        <v/>
      </c>
      <c r="N98" s="38">
        <f>IFERROR(INDEX(p_Flags,MATCH(LARGE(p_Key,94),p_Key,0)),"")</f>
        <v/>
      </c>
    </row>
    <row r="99">
      <c r="A99" s="11">
        <f>IF(D99="","",95)</f>
        <v/>
      </c>
      <c r="B99" s="42">
        <f>IFERROR(INDEX(p_Rating,MATCH(LARGE(p_Key,95),p_Key,0)),"")</f>
        <v/>
      </c>
      <c r="C99" s="11">
        <f>IFERROR(INDEX(p_Score,MATCH(LARGE(p_Key,95),p_Key,0)),"")</f>
        <v/>
      </c>
      <c r="D99" s="38">
        <f>IFERROR(INDEX(p_Job,MATCH(LARGE(p_Key,95),p_Key,0)),"")</f>
        <v/>
      </c>
      <c r="E99" s="38">
        <f>IFERROR(INDEX(p_Client,MATCH(LARGE(p_Key,95),p_Key,0)),"")</f>
        <v/>
      </c>
      <c r="F99" s="38">
        <f>IFERROR(INDEX(p_Deal,MATCH(LARGE(p_Key,95),p_Key,0)),"")</f>
        <v/>
      </c>
      <c r="G99" s="38">
        <f>IFERROR(INDEX(p_CC,MATCH(LARGE(p_Key,95),p_Key,0)),"")</f>
        <v/>
      </c>
      <c r="H99" s="38">
        <f>IFERROR(INDEX(p_Status,MATCH(LARGE(p_Key,95),p_Key,0)),"")</f>
        <v/>
      </c>
      <c r="I99" s="38">
        <f>IFERROR(INDEX(p_Stage,MATCH(LARGE(p_Key,95),p_Key,0)),"")</f>
        <v/>
      </c>
      <c r="J99" s="12">
        <f>IFERROR(INDEX(p_Value,MATCH(LARGE(p_Key,95),p_Key,0)),"")</f>
        <v/>
      </c>
      <c r="K99" s="33">
        <f>IFERROR(IF(H99="Open",INDEX(p_Prob,MATCH(LARGE(p_Key,95),p_Key,0)),""),"")</f>
        <v/>
      </c>
      <c r="L99" s="12">
        <f>IFERROR(INDEX(p_Risk,MATCH(LARGE(p_Key,95),p_Key,0)),"")</f>
        <v/>
      </c>
      <c r="M99" s="43">
        <f>IFERROR(INDEX(p_Month,MATCH(LARGE(p_Key,95),p_Key,0)),"")</f>
        <v/>
      </c>
      <c r="N99" s="38">
        <f>IFERROR(INDEX(p_Flags,MATCH(LARGE(p_Key,95),p_Key,0)),"")</f>
        <v/>
      </c>
    </row>
    <row r="100">
      <c r="A100" s="11">
        <f>IF(D100="","",96)</f>
        <v/>
      </c>
      <c r="B100" s="42">
        <f>IFERROR(INDEX(p_Rating,MATCH(LARGE(p_Key,96),p_Key,0)),"")</f>
        <v/>
      </c>
      <c r="C100" s="11">
        <f>IFERROR(INDEX(p_Score,MATCH(LARGE(p_Key,96),p_Key,0)),"")</f>
        <v/>
      </c>
      <c r="D100" s="38">
        <f>IFERROR(INDEX(p_Job,MATCH(LARGE(p_Key,96),p_Key,0)),"")</f>
        <v/>
      </c>
      <c r="E100" s="38">
        <f>IFERROR(INDEX(p_Client,MATCH(LARGE(p_Key,96),p_Key,0)),"")</f>
        <v/>
      </c>
      <c r="F100" s="38">
        <f>IFERROR(INDEX(p_Deal,MATCH(LARGE(p_Key,96),p_Key,0)),"")</f>
        <v/>
      </c>
      <c r="G100" s="38">
        <f>IFERROR(INDEX(p_CC,MATCH(LARGE(p_Key,96),p_Key,0)),"")</f>
        <v/>
      </c>
      <c r="H100" s="38">
        <f>IFERROR(INDEX(p_Status,MATCH(LARGE(p_Key,96),p_Key,0)),"")</f>
        <v/>
      </c>
      <c r="I100" s="38">
        <f>IFERROR(INDEX(p_Stage,MATCH(LARGE(p_Key,96),p_Key,0)),"")</f>
        <v/>
      </c>
      <c r="J100" s="12">
        <f>IFERROR(INDEX(p_Value,MATCH(LARGE(p_Key,96),p_Key,0)),"")</f>
        <v/>
      </c>
      <c r="K100" s="33">
        <f>IFERROR(IF(H100="Open",INDEX(p_Prob,MATCH(LARGE(p_Key,96),p_Key,0)),""),"")</f>
        <v/>
      </c>
      <c r="L100" s="12">
        <f>IFERROR(INDEX(p_Risk,MATCH(LARGE(p_Key,96),p_Key,0)),"")</f>
        <v/>
      </c>
      <c r="M100" s="43">
        <f>IFERROR(INDEX(p_Month,MATCH(LARGE(p_Key,96),p_Key,0)),"")</f>
        <v/>
      </c>
      <c r="N100" s="38">
        <f>IFERROR(INDEX(p_Flags,MATCH(LARGE(p_Key,96),p_Key,0)),"")</f>
        <v/>
      </c>
    </row>
    <row r="101">
      <c r="A101" s="11">
        <f>IF(D101="","",97)</f>
        <v/>
      </c>
      <c r="B101" s="42">
        <f>IFERROR(INDEX(p_Rating,MATCH(LARGE(p_Key,97),p_Key,0)),"")</f>
        <v/>
      </c>
      <c r="C101" s="11">
        <f>IFERROR(INDEX(p_Score,MATCH(LARGE(p_Key,97),p_Key,0)),"")</f>
        <v/>
      </c>
      <c r="D101" s="38">
        <f>IFERROR(INDEX(p_Job,MATCH(LARGE(p_Key,97),p_Key,0)),"")</f>
        <v/>
      </c>
      <c r="E101" s="38">
        <f>IFERROR(INDEX(p_Client,MATCH(LARGE(p_Key,97),p_Key,0)),"")</f>
        <v/>
      </c>
      <c r="F101" s="38">
        <f>IFERROR(INDEX(p_Deal,MATCH(LARGE(p_Key,97),p_Key,0)),"")</f>
        <v/>
      </c>
      <c r="G101" s="38">
        <f>IFERROR(INDEX(p_CC,MATCH(LARGE(p_Key,97),p_Key,0)),"")</f>
        <v/>
      </c>
      <c r="H101" s="38">
        <f>IFERROR(INDEX(p_Status,MATCH(LARGE(p_Key,97),p_Key,0)),"")</f>
        <v/>
      </c>
      <c r="I101" s="38">
        <f>IFERROR(INDEX(p_Stage,MATCH(LARGE(p_Key,97),p_Key,0)),"")</f>
        <v/>
      </c>
      <c r="J101" s="12">
        <f>IFERROR(INDEX(p_Value,MATCH(LARGE(p_Key,97),p_Key,0)),"")</f>
        <v/>
      </c>
      <c r="K101" s="33">
        <f>IFERROR(IF(H101="Open",INDEX(p_Prob,MATCH(LARGE(p_Key,97),p_Key,0)),""),"")</f>
        <v/>
      </c>
      <c r="L101" s="12">
        <f>IFERROR(INDEX(p_Risk,MATCH(LARGE(p_Key,97),p_Key,0)),"")</f>
        <v/>
      </c>
      <c r="M101" s="43">
        <f>IFERROR(INDEX(p_Month,MATCH(LARGE(p_Key,97),p_Key,0)),"")</f>
        <v/>
      </c>
      <c r="N101" s="38">
        <f>IFERROR(INDEX(p_Flags,MATCH(LARGE(p_Key,97),p_Key,0)),"")</f>
        <v/>
      </c>
    </row>
    <row r="102">
      <c r="A102" s="11">
        <f>IF(D102="","",98)</f>
        <v/>
      </c>
      <c r="B102" s="42">
        <f>IFERROR(INDEX(p_Rating,MATCH(LARGE(p_Key,98),p_Key,0)),"")</f>
        <v/>
      </c>
      <c r="C102" s="11">
        <f>IFERROR(INDEX(p_Score,MATCH(LARGE(p_Key,98),p_Key,0)),"")</f>
        <v/>
      </c>
      <c r="D102" s="38">
        <f>IFERROR(INDEX(p_Job,MATCH(LARGE(p_Key,98),p_Key,0)),"")</f>
        <v/>
      </c>
      <c r="E102" s="38">
        <f>IFERROR(INDEX(p_Client,MATCH(LARGE(p_Key,98),p_Key,0)),"")</f>
        <v/>
      </c>
      <c r="F102" s="38">
        <f>IFERROR(INDEX(p_Deal,MATCH(LARGE(p_Key,98),p_Key,0)),"")</f>
        <v/>
      </c>
      <c r="G102" s="38">
        <f>IFERROR(INDEX(p_CC,MATCH(LARGE(p_Key,98),p_Key,0)),"")</f>
        <v/>
      </c>
      <c r="H102" s="38">
        <f>IFERROR(INDEX(p_Status,MATCH(LARGE(p_Key,98),p_Key,0)),"")</f>
        <v/>
      </c>
      <c r="I102" s="38">
        <f>IFERROR(INDEX(p_Stage,MATCH(LARGE(p_Key,98),p_Key,0)),"")</f>
        <v/>
      </c>
      <c r="J102" s="12">
        <f>IFERROR(INDEX(p_Value,MATCH(LARGE(p_Key,98),p_Key,0)),"")</f>
        <v/>
      </c>
      <c r="K102" s="33">
        <f>IFERROR(IF(H102="Open",INDEX(p_Prob,MATCH(LARGE(p_Key,98),p_Key,0)),""),"")</f>
        <v/>
      </c>
      <c r="L102" s="12">
        <f>IFERROR(INDEX(p_Risk,MATCH(LARGE(p_Key,98),p_Key,0)),"")</f>
        <v/>
      </c>
      <c r="M102" s="43">
        <f>IFERROR(INDEX(p_Month,MATCH(LARGE(p_Key,98),p_Key,0)),"")</f>
        <v/>
      </c>
      <c r="N102" s="38">
        <f>IFERROR(INDEX(p_Flags,MATCH(LARGE(p_Key,98),p_Key,0)),"")</f>
        <v/>
      </c>
    </row>
    <row r="103">
      <c r="A103" s="11">
        <f>IF(D103="","",99)</f>
        <v/>
      </c>
      <c r="B103" s="42">
        <f>IFERROR(INDEX(p_Rating,MATCH(LARGE(p_Key,99),p_Key,0)),"")</f>
        <v/>
      </c>
      <c r="C103" s="11">
        <f>IFERROR(INDEX(p_Score,MATCH(LARGE(p_Key,99),p_Key,0)),"")</f>
        <v/>
      </c>
      <c r="D103" s="38">
        <f>IFERROR(INDEX(p_Job,MATCH(LARGE(p_Key,99),p_Key,0)),"")</f>
        <v/>
      </c>
      <c r="E103" s="38">
        <f>IFERROR(INDEX(p_Client,MATCH(LARGE(p_Key,99),p_Key,0)),"")</f>
        <v/>
      </c>
      <c r="F103" s="38">
        <f>IFERROR(INDEX(p_Deal,MATCH(LARGE(p_Key,99),p_Key,0)),"")</f>
        <v/>
      </c>
      <c r="G103" s="38">
        <f>IFERROR(INDEX(p_CC,MATCH(LARGE(p_Key,99),p_Key,0)),"")</f>
        <v/>
      </c>
      <c r="H103" s="38">
        <f>IFERROR(INDEX(p_Status,MATCH(LARGE(p_Key,99),p_Key,0)),"")</f>
        <v/>
      </c>
      <c r="I103" s="38">
        <f>IFERROR(INDEX(p_Stage,MATCH(LARGE(p_Key,99),p_Key,0)),"")</f>
        <v/>
      </c>
      <c r="J103" s="12">
        <f>IFERROR(INDEX(p_Value,MATCH(LARGE(p_Key,99),p_Key,0)),"")</f>
        <v/>
      </c>
      <c r="K103" s="33">
        <f>IFERROR(IF(H103="Open",INDEX(p_Prob,MATCH(LARGE(p_Key,99),p_Key,0)),""),"")</f>
        <v/>
      </c>
      <c r="L103" s="12">
        <f>IFERROR(INDEX(p_Risk,MATCH(LARGE(p_Key,99),p_Key,0)),"")</f>
        <v/>
      </c>
      <c r="M103" s="43">
        <f>IFERROR(INDEX(p_Month,MATCH(LARGE(p_Key,99),p_Key,0)),"")</f>
        <v/>
      </c>
      <c r="N103" s="38">
        <f>IFERROR(INDEX(p_Flags,MATCH(LARGE(p_Key,99),p_Key,0)),"")</f>
        <v/>
      </c>
    </row>
    <row r="104">
      <c r="A104" s="11">
        <f>IF(D104="","",100)</f>
        <v/>
      </c>
      <c r="B104" s="42">
        <f>IFERROR(INDEX(p_Rating,MATCH(LARGE(p_Key,100),p_Key,0)),"")</f>
        <v/>
      </c>
      <c r="C104" s="11">
        <f>IFERROR(INDEX(p_Score,MATCH(LARGE(p_Key,100),p_Key,0)),"")</f>
        <v/>
      </c>
      <c r="D104" s="38">
        <f>IFERROR(INDEX(p_Job,MATCH(LARGE(p_Key,100),p_Key,0)),"")</f>
        <v/>
      </c>
      <c r="E104" s="38">
        <f>IFERROR(INDEX(p_Client,MATCH(LARGE(p_Key,100),p_Key,0)),"")</f>
        <v/>
      </c>
      <c r="F104" s="38">
        <f>IFERROR(INDEX(p_Deal,MATCH(LARGE(p_Key,100),p_Key,0)),"")</f>
        <v/>
      </c>
      <c r="G104" s="38">
        <f>IFERROR(INDEX(p_CC,MATCH(LARGE(p_Key,100),p_Key,0)),"")</f>
        <v/>
      </c>
      <c r="H104" s="38">
        <f>IFERROR(INDEX(p_Status,MATCH(LARGE(p_Key,100),p_Key,0)),"")</f>
        <v/>
      </c>
      <c r="I104" s="38">
        <f>IFERROR(INDEX(p_Stage,MATCH(LARGE(p_Key,100),p_Key,0)),"")</f>
        <v/>
      </c>
      <c r="J104" s="12">
        <f>IFERROR(INDEX(p_Value,MATCH(LARGE(p_Key,100),p_Key,0)),"")</f>
        <v/>
      </c>
      <c r="K104" s="33">
        <f>IFERROR(IF(H104="Open",INDEX(p_Prob,MATCH(LARGE(p_Key,100),p_Key,0)),""),"")</f>
        <v/>
      </c>
      <c r="L104" s="12">
        <f>IFERROR(INDEX(p_Risk,MATCH(LARGE(p_Key,100),p_Key,0)),"")</f>
        <v/>
      </c>
      <c r="M104" s="43">
        <f>IFERROR(INDEX(p_Month,MATCH(LARGE(p_Key,100),p_Key,0)),"")</f>
        <v/>
      </c>
      <c r="N104" s="38">
        <f>IFERROR(INDEX(p_Flags,MATCH(LARGE(p_Key,100),p_Key,0)),"")</f>
        <v/>
      </c>
    </row>
    <row r="105">
      <c r="A105" s="11">
        <f>IF(D105="","",101)</f>
        <v/>
      </c>
      <c r="B105" s="42">
        <f>IFERROR(INDEX(p_Rating,MATCH(LARGE(p_Key,101),p_Key,0)),"")</f>
        <v/>
      </c>
      <c r="C105" s="11">
        <f>IFERROR(INDEX(p_Score,MATCH(LARGE(p_Key,101),p_Key,0)),"")</f>
        <v/>
      </c>
      <c r="D105" s="38">
        <f>IFERROR(INDEX(p_Job,MATCH(LARGE(p_Key,101),p_Key,0)),"")</f>
        <v/>
      </c>
      <c r="E105" s="38">
        <f>IFERROR(INDEX(p_Client,MATCH(LARGE(p_Key,101),p_Key,0)),"")</f>
        <v/>
      </c>
      <c r="F105" s="38">
        <f>IFERROR(INDEX(p_Deal,MATCH(LARGE(p_Key,101),p_Key,0)),"")</f>
        <v/>
      </c>
      <c r="G105" s="38">
        <f>IFERROR(INDEX(p_CC,MATCH(LARGE(p_Key,101),p_Key,0)),"")</f>
        <v/>
      </c>
      <c r="H105" s="38">
        <f>IFERROR(INDEX(p_Status,MATCH(LARGE(p_Key,101),p_Key,0)),"")</f>
        <v/>
      </c>
      <c r="I105" s="38">
        <f>IFERROR(INDEX(p_Stage,MATCH(LARGE(p_Key,101),p_Key,0)),"")</f>
        <v/>
      </c>
      <c r="J105" s="12">
        <f>IFERROR(INDEX(p_Value,MATCH(LARGE(p_Key,101),p_Key,0)),"")</f>
        <v/>
      </c>
      <c r="K105" s="33">
        <f>IFERROR(IF(H105="Open",INDEX(p_Prob,MATCH(LARGE(p_Key,101),p_Key,0)),""),"")</f>
        <v/>
      </c>
      <c r="L105" s="12">
        <f>IFERROR(INDEX(p_Risk,MATCH(LARGE(p_Key,101),p_Key,0)),"")</f>
        <v/>
      </c>
      <c r="M105" s="43">
        <f>IFERROR(INDEX(p_Month,MATCH(LARGE(p_Key,101),p_Key,0)),"")</f>
        <v/>
      </c>
      <c r="N105" s="38">
        <f>IFERROR(INDEX(p_Flags,MATCH(LARGE(p_Key,101),p_Key,0)),"")</f>
        <v/>
      </c>
    </row>
    <row r="106">
      <c r="A106" s="11">
        <f>IF(D106="","",102)</f>
        <v/>
      </c>
      <c r="B106" s="42">
        <f>IFERROR(INDEX(p_Rating,MATCH(LARGE(p_Key,102),p_Key,0)),"")</f>
        <v/>
      </c>
      <c r="C106" s="11">
        <f>IFERROR(INDEX(p_Score,MATCH(LARGE(p_Key,102),p_Key,0)),"")</f>
        <v/>
      </c>
      <c r="D106" s="38">
        <f>IFERROR(INDEX(p_Job,MATCH(LARGE(p_Key,102),p_Key,0)),"")</f>
        <v/>
      </c>
      <c r="E106" s="38">
        <f>IFERROR(INDEX(p_Client,MATCH(LARGE(p_Key,102),p_Key,0)),"")</f>
        <v/>
      </c>
      <c r="F106" s="38">
        <f>IFERROR(INDEX(p_Deal,MATCH(LARGE(p_Key,102),p_Key,0)),"")</f>
        <v/>
      </c>
      <c r="G106" s="38">
        <f>IFERROR(INDEX(p_CC,MATCH(LARGE(p_Key,102),p_Key,0)),"")</f>
        <v/>
      </c>
      <c r="H106" s="38">
        <f>IFERROR(INDEX(p_Status,MATCH(LARGE(p_Key,102),p_Key,0)),"")</f>
        <v/>
      </c>
      <c r="I106" s="38">
        <f>IFERROR(INDEX(p_Stage,MATCH(LARGE(p_Key,102),p_Key,0)),"")</f>
        <v/>
      </c>
      <c r="J106" s="12">
        <f>IFERROR(INDEX(p_Value,MATCH(LARGE(p_Key,102),p_Key,0)),"")</f>
        <v/>
      </c>
      <c r="K106" s="33">
        <f>IFERROR(IF(H106="Open",INDEX(p_Prob,MATCH(LARGE(p_Key,102),p_Key,0)),""),"")</f>
        <v/>
      </c>
      <c r="L106" s="12">
        <f>IFERROR(INDEX(p_Risk,MATCH(LARGE(p_Key,102),p_Key,0)),"")</f>
        <v/>
      </c>
      <c r="M106" s="43">
        <f>IFERROR(INDEX(p_Month,MATCH(LARGE(p_Key,102),p_Key,0)),"")</f>
        <v/>
      </c>
      <c r="N106" s="38">
        <f>IFERROR(INDEX(p_Flags,MATCH(LARGE(p_Key,102),p_Key,0)),"")</f>
        <v/>
      </c>
    </row>
    <row r="107">
      <c r="A107" s="11">
        <f>IF(D107="","",103)</f>
        <v/>
      </c>
      <c r="B107" s="42">
        <f>IFERROR(INDEX(p_Rating,MATCH(LARGE(p_Key,103),p_Key,0)),"")</f>
        <v/>
      </c>
      <c r="C107" s="11">
        <f>IFERROR(INDEX(p_Score,MATCH(LARGE(p_Key,103),p_Key,0)),"")</f>
        <v/>
      </c>
      <c r="D107" s="38">
        <f>IFERROR(INDEX(p_Job,MATCH(LARGE(p_Key,103),p_Key,0)),"")</f>
        <v/>
      </c>
      <c r="E107" s="38">
        <f>IFERROR(INDEX(p_Client,MATCH(LARGE(p_Key,103),p_Key,0)),"")</f>
        <v/>
      </c>
      <c r="F107" s="38">
        <f>IFERROR(INDEX(p_Deal,MATCH(LARGE(p_Key,103),p_Key,0)),"")</f>
        <v/>
      </c>
      <c r="G107" s="38">
        <f>IFERROR(INDEX(p_CC,MATCH(LARGE(p_Key,103),p_Key,0)),"")</f>
        <v/>
      </c>
      <c r="H107" s="38">
        <f>IFERROR(INDEX(p_Status,MATCH(LARGE(p_Key,103),p_Key,0)),"")</f>
        <v/>
      </c>
      <c r="I107" s="38">
        <f>IFERROR(INDEX(p_Stage,MATCH(LARGE(p_Key,103),p_Key,0)),"")</f>
        <v/>
      </c>
      <c r="J107" s="12">
        <f>IFERROR(INDEX(p_Value,MATCH(LARGE(p_Key,103),p_Key,0)),"")</f>
        <v/>
      </c>
      <c r="K107" s="33">
        <f>IFERROR(IF(H107="Open",INDEX(p_Prob,MATCH(LARGE(p_Key,103),p_Key,0)),""),"")</f>
        <v/>
      </c>
      <c r="L107" s="12">
        <f>IFERROR(INDEX(p_Risk,MATCH(LARGE(p_Key,103),p_Key,0)),"")</f>
        <v/>
      </c>
      <c r="M107" s="43">
        <f>IFERROR(INDEX(p_Month,MATCH(LARGE(p_Key,103),p_Key,0)),"")</f>
        <v/>
      </c>
      <c r="N107" s="38">
        <f>IFERROR(INDEX(p_Flags,MATCH(LARGE(p_Key,103),p_Key,0)),"")</f>
        <v/>
      </c>
    </row>
    <row r="108">
      <c r="A108" s="11">
        <f>IF(D108="","",104)</f>
        <v/>
      </c>
      <c r="B108" s="42">
        <f>IFERROR(INDEX(p_Rating,MATCH(LARGE(p_Key,104),p_Key,0)),"")</f>
        <v/>
      </c>
      <c r="C108" s="11">
        <f>IFERROR(INDEX(p_Score,MATCH(LARGE(p_Key,104),p_Key,0)),"")</f>
        <v/>
      </c>
      <c r="D108" s="38">
        <f>IFERROR(INDEX(p_Job,MATCH(LARGE(p_Key,104),p_Key,0)),"")</f>
        <v/>
      </c>
      <c r="E108" s="38">
        <f>IFERROR(INDEX(p_Client,MATCH(LARGE(p_Key,104),p_Key,0)),"")</f>
        <v/>
      </c>
      <c r="F108" s="38">
        <f>IFERROR(INDEX(p_Deal,MATCH(LARGE(p_Key,104),p_Key,0)),"")</f>
        <v/>
      </c>
      <c r="G108" s="38">
        <f>IFERROR(INDEX(p_CC,MATCH(LARGE(p_Key,104),p_Key,0)),"")</f>
        <v/>
      </c>
      <c r="H108" s="38">
        <f>IFERROR(INDEX(p_Status,MATCH(LARGE(p_Key,104),p_Key,0)),"")</f>
        <v/>
      </c>
      <c r="I108" s="38">
        <f>IFERROR(INDEX(p_Stage,MATCH(LARGE(p_Key,104),p_Key,0)),"")</f>
        <v/>
      </c>
      <c r="J108" s="12">
        <f>IFERROR(INDEX(p_Value,MATCH(LARGE(p_Key,104),p_Key,0)),"")</f>
        <v/>
      </c>
      <c r="K108" s="33">
        <f>IFERROR(IF(H108="Open",INDEX(p_Prob,MATCH(LARGE(p_Key,104),p_Key,0)),""),"")</f>
        <v/>
      </c>
      <c r="L108" s="12">
        <f>IFERROR(INDEX(p_Risk,MATCH(LARGE(p_Key,104),p_Key,0)),"")</f>
        <v/>
      </c>
      <c r="M108" s="43">
        <f>IFERROR(INDEX(p_Month,MATCH(LARGE(p_Key,104),p_Key,0)),"")</f>
        <v/>
      </c>
      <c r="N108" s="38">
        <f>IFERROR(INDEX(p_Flags,MATCH(LARGE(p_Key,104),p_Key,0)),"")</f>
        <v/>
      </c>
    </row>
    <row r="109">
      <c r="A109" s="11">
        <f>IF(D109="","",105)</f>
        <v/>
      </c>
      <c r="B109" s="42">
        <f>IFERROR(INDEX(p_Rating,MATCH(LARGE(p_Key,105),p_Key,0)),"")</f>
        <v/>
      </c>
      <c r="C109" s="11">
        <f>IFERROR(INDEX(p_Score,MATCH(LARGE(p_Key,105),p_Key,0)),"")</f>
        <v/>
      </c>
      <c r="D109" s="38">
        <f>IFERROR(INDEX(p_Job,MATCH(LARGE(p_Key,105),p_Key,0)),"")</f>
        <v/>
      </c>
      <c r="E109" s="38">
        <f>IFERROR(INDEX(p_Client,MATCH(LARGE(p_Key,105),p_Key,0)),"")</f>
        <v/>
      </c>
      <c r="F109" s="38">
        <f>IFERROR(INDEX(p_Deal,MATCH(LARGE(p_Key,105),p_Key,0)),"")</f>
        <v/>
      </c>
      <c r="G109" s="38">
        <f>IFERROR(INDEX(p_CC,MATCH(LARGE(p_Key,105),p_Key,0)),"")</f>
        <v/>
      </c>
      <c r="H109" s="38">
        <f>IFERROR(INDEX(p_Status,MATCH(LARGE(p_Key,105),p_Key,0)),"")</f>
        <v/>
      </c>
      <c r="I109" s="38">
        <f>IFERROR(INDEX(p_Stage,MATCH(LARGE(p_Key,105),p_Key,0)),"")</f>
        <v/>
      </c>
      <c r="J109" s="12">
        <f>IFERROR(INDEX(p_Value,MATCH(LARGE(p_Key,105),p_Key,0)),"")</f>
        <v/>
      </c>
      <c r="K109" s="33">
        <f>IFERROR(IF(H109="Open",INDEX(p_Prob,MATCH(LARGE(p_Key,105),p_Key,0)),""),"")</f>
        <v/>
      </c>
      <c r="L109" s="12">
        <f>IFERROR(INDEX(p_Risk,MATCH(LARGE(p_Key,105),p_Key,0)),"")</f>
        <v/>
      </c>
      <c r="M109" s="43">
        <f>IFERROR(INDEX(p_Month,MATCH(LARGE(p_Key,105),p_Key,0)),"")</f>
        <v/>
      </c>
      <c r="N109" s="38">
        <f>IFERROR(INDEX(p_Flags,MATCH(LARGE(p_Key,105),p_Key,0)),"")</f>
        <v/>
      </c>
    </row>
    <row r="110">
      <c r="A110" s="11">
        <f>IF(D110="","",106)</f>
        <v/>
      </c>
      <c r="B110" s="42">
        <f>IFERROR(INDEX(p_Rating,MATCH(LARGE(p_Key,106),p_Key,0)),"")</f>
        <v/>
      </c>
      <c r="C110" s="11">
        <f>IFERROR(INDEX(p_Score,MATCH(LARGE(p_Key,106),p_Key,0)),"")</f>
        <v/>
      </c>
      <c r="D110" s="38">
        <f>IFERROR(INDEX(p_Job,MATCH(LARGE(p_Key,106),p_Key,0)),"")</f>
        <v/>
      </c>
      <c r="E110" s="38">
        <f>IFERROR(INDEX(p_Client,MATCH(LARGE(p_Key,106),p_Key,0)),"")</f>
        <v/>
      </c>
      <c r="F110" s="38">
        <f>IFERROR(INDEX(p_Deal,MATCH(LARGE(p_Key,106),p_Key,0)),"")</f>
        <v/>
      </c>
      <c r="G110" s="38">
        <f>IFERROR(INDEX(p_CC,MATCH(LARGE(p_Key,106),p_Key,0)),"")</f>
        <v/>
      </c>
      <c r="H110" s="38">
        <f>IFERROR(INDEX(p_Status,MATCH(LARGE(p_Key,106),p_Key,0)),"")</f>
        <v/>
      </c>
      <c r="I110" s="38">
        <f>IFERROR(INDEX(p_Stage,MATCH(LARGE(p_Key,106),p_Key,0)),"")</f>
        <v/>
      </c>
      <c r="J110" s="12">
        <f>IFERROR(INDEX(p_Value,MATCH(LARGE(p_Key,106),p_Key,0)),"")</f>
        <v/>
      </c>
      <c r="K110" s="33">
        <f>IFERROR(IF(H110="Open",INDEX(p_Prob,MATCH(LARGE(p_Key,106),p_Key,0)),""),"")</f>
        <v/>
      </c>
      <c r="L110" s="12">
        <f>IFERROR(INDEX(p_Risk,MATCH(LARGE(p_Key,106),p_Key,0)),"")</f>
        <v/>
      </c>
      <c r="M110" s="43">
        <f>IFERROR(INDEX(p_Month,MATCH(LARGE(p_Key,106),p_Key,0)),"")</f>
        <v/>
      </c>
      <c r="N110" s="38">
        <f>IFERROR(INDEX(p_Flags,MATCH(LARGE(p_Key,106),p_Key,0)),"")</f>
        <v/>
      </c>
    </row>
    <row r="111">
      <c r="A111" s="11">
        <f>IF(D111="","",107)</f>
        <v/>
      </c>
      <c r="B111" s="42">
        <f>IFERROR(INDEX(p_Rating,MATCH(LARGE(p_Key,107),p_Key,0)),"")</f>
        <v/>
      </c>
      <c r="C111" s="11">
        <f>IFERROR(INDEX(p_Score,MATCH(LARGE(p_Key,107),p_Key,0)),"")</f>
        <v/>
      </c>
      <c r="D111" s="38">
        <f>IFERROR(INDEX(p_Job,MATCH(LARGE(p_Key,107),p_Key,0)),"")</f>
        <v/>
      </c>
      <c r="E111" s="38">
        <f>IFERROR(INDEX(p_Client,MATCH(LARGE(p_Key,107),p_Key,0)),"")</f>
        <v/>
      </c>
      <c r="F111" s="38">
        <f>IFERROR(INDEX(p_Deal,MATCH(LARGE(p_Key,107),p_Key,0)),"")</f>
        <v/>
      </c>
      <c r="G111" s="38">
        <f>IFERROR(INDEX(p_CC,MATCH(LARGE(p_Key,107),p_Key,0)),"")</f>
        <v/>
      </c>
      <c r="H111" s="38">
        <f>IFERROR(INDEX(p_Status,MATCH(LARGE(p_Key,107),p_Key,0)),"")</f>
        <v/>
      </c>
      <c r="I111" s="38">
        <f>IFERROR(INDEX(p_Stage,MATCH(LARGE(p_Key,107),p_Key,0)),"")</f>
        <v/>
      </c>
      <c r="J111" s="12">
        <f>IFERROR(INDEX(p_Value,MATCH(LARGE(p_Key,107),p_Key,0)),"")</f>
        <v/>
      </c>
      <c r="K111" s="33">
        <f>IFERROR(IF(H111="Open",INDEX(p_Prob,MATCH(LARGE(p_Key,107),p_Key,0)),""),"")</f>
        <v/>
      </c>
      <c r="L111" s="12">
        <f>IFERROR(INDEX(p_Risk,MATCH(LARGE(p_Key,107),p_Key,0)),"")</f>
        <v/>
      </c>
      <c r="M111" s="43">
        <f>IFERROR(INDEX(p_Month,MATCH(LARGE(p_Key,107),p_Key,0)),"")</f>
        <v/>
      </c>
      <c r="N111" s="38">
        <f>IFERROR(INDEX(p_Flags,MATCH(LARGE(p_Key,107),p_Key,0)),"")</f>
        <v/>
      </c>
    </row>
    <row r="112">
      <c r="A112" s="11">
        <f>IF(D112="","",108)</f>
        <v/>
      </c>
      <c r="B112" s="42">
        <f>IFERROR(INDEX(p_Rating,MATCH(LARGE(p_Key,108),p_Key,0)),"")</f>
        <v/>
      </c>
      <c r="C112" s="11">
        <f>IFERROR(INDEX(p_Score,MATCH(LARGE(p_Key,108),p_Key,0)),"")</f>
        <v/>
      </c>
      <c r="D112" s="38">
        <f>IFERROR(INDEX(p_Job,MATCH(LARGE(p_Key,108),p_Key,0)),"")</f>
        <v/>
      </c>
      <c r="E112" s="38">
        <f>IFERROR(INDEX(p_Client,MATCH(LARGE(p_Key,108),p_Key,0)),"")</f>
        <v/>
      </c>
      <c r="F112" s="38">
        <f>IFERROR(INDEX(p_Deal,MATCH(LARGE(p_Key,108),p_Key,0)),"")</f>
        <v/>
      </c>
      <c r="G112" s="38">
        <f>IFERROR(INDEX(p_CC,MATCH(LARGE(p_Key,108),p_Key,0)),"")</f>
        <v/>
      </c>
      <c r="H112" s="38">
        <f>IFERROR(INDEX(p_Status,MATCH(LARGE(p_Key,108),p_Key,0)),"")</f>
        <v/>
      </c>
      <c r="I112" s="38">
        <f>IFERROR(INDEX(p_Stage,MATCH(LARGE(p_Key,108),p_Key,0)),"")</f>
        <v/>
      </c>
      <c r="J112" s="12">
        <f>IFERROR(INDEX(p_Value,MATCH(LARGE(p_Key,108),p_Key,0)),"")</f>
        <v/>
      </c>
      <c r="K112" s="33">
        <f>IFERROR(IF(H112="Open",INDEX(p_Prob,MATCH(LARGE(p_Key,108),p_Key,0)),""),"")</f>
        <v/>
      </c>
      <c r="L112" s="12">
        <f>IFERROR(INDEX(p_Risk,MATCH(LARGE(p_Key,108),p_Key,0)),"")</f>
        <v/>
      </c>
      <c r="M112" s="43">
        <f>IFERROR(INDEX(p_Month,MATCH(LARGE(p_Key,108),p_Key,0)),"")</f>
        <v/>
      </c>
      <c r="N112" s="38">
        <f>IFERROR(INDEX(p_Flags,MATCH(LARGE(p_Key,108),p_Key,0)),"")</f>
        <v/>
      </c>
    </row>
    <row r="113">
      <c r="A113" s="11">
        <f>IF(D113="","",109)</f>
        <v/>
      </c>
      <c r="B113" s="42">
        <f>IFERROR(INDEX(p_Rating,MATCH(LARGE(p_Key,109),p_Key,0)),"")</f>
        <v/>
      </c>
      <c r="C113" s="11">
        <f>IFERROR(INDEX(p_Score,MATCH(LARGE(p_Key,109),p_Key,0)),"")</f>
        <v/>
      </c>
      <c r="D113" s="38">
        <f>IFERROR(INDEX(p_Job,MATCH(LARGE(p_Key,109),p_Key,0)),"")</f>
        <v/>
      </c>
      <c r="E113" s="38">
        <f>IFERROR(INDEX(p_Client,MATCH(LARGE(p_Key,109),p_Key,0)),"")</f>
        <v/>
      </c>
      <c r="F113" s="38">
        <f>IFERROR(INDEX(p_Deal,MATCH(LARGE(p_Key,109),p_Key,0)),"")</f>
        <v/>
      </c>
      <c r="G113" s="38">
        <f>IFERROR(INDEX(p_CC,MATCH(LARGE(p_Key,109),p_Key,0)),"")</f>
        <v/>
      </c>
      <c r="H113" s="38">
        <f>IFERROR(INDEX(p_Status,MATCH(LARGE(p_Key,109),p_Key,0)),"")</f>
        <v/>
      </c>
      <c r="I113" s="38">
        <f>IFERROR(INDEX(p_Stage,MATCH(LARGE(p_Key,109),p_Key,0)),"")</f>
        <v/>
      </c>
      <c r="J113" s="12">
        <f>IFERROR(INDEX(p_Value,MATCH(LARGE(p_Key,109),p_Key,0)),"")</f>
        <v/>
      </c>
      <c r="K113" s="33">
        <f>IFERROR(IF(H113="Open",INDEX(p_Prob,MATCH(LARGE(p_Key,109),p_Key,0)),""),"")</f>
        <v/>
      </c>
      <c r="L113" s="12">
        <f>IFERROR(INDEX(p_Risk,MATCH(LARGE(p_Key,109),p_Key,0)),"")</f>
        <v/>
      </c>
      <c r="M113" s="43">
        <f>IFERROR(INDEX(p_Month,MATCH(LARGE(p_Key,109),p_Key,0)),"")</f>
        <v/>
      </c>
      <c r="N113" s="38">
        <f>IFERROR(INDEX(p_Flags,MATCH(LARGE(p_Key,109),p_Key,0)),"")</f>
        <v/>
      </c>
    </row>
    <row r="114">
      <c r="A114" s="11">
        <f>IF(D114="","",110)</f>
        <v/>
      </c>
      <c r="B114" s="42">
        <f>IFERROR(INDEX(p_Rating,MATCH(LARGE(p_Key,110),p_Key,0)),"")</f>
        <v/>
      </c>
      <c r="C114" s="11">
        <f>IFERROR(INDEX(p_Score,MATCH(LARGE(p_Key,110),p_Key,0)),"")</f>
        <v/>
      </c>
      <c r="D114" s="38">
        <f>IFERROR(INDEX(p_Job,MATCH(LARGE(p_Key,110),p_Key,0)),"")</f>
        <v/>
      </c>
      <c r="E114" s="38">
        <f>IFERROR(INDEX(p_Client,MATCH(LARGE(p_Key,110),p_Key,0)),"")</f>
        <v/>
      </c>
      <c r="F114" s="38">
        <f>IFERROR(INDEX(p_Deal,MATCH(LARGE(p_Key,110),p_Key,0)),"")</f>
        <v/>
      </c>
      <c r="G114" s="38">
        <f>IFERROR(INDEX(p_CC,MATCH(LARGE(p_Key,110),p_Key,0)),"")</f>
        <v/>
      </c>
      <c r="H114" s="38">
        <f>IFERROR(INDEX(p_Status,MATCH(LARGE(p_Key,110),p_Key,0)),"")</f>
        <v/>
      </c>
      <c r="I114" s="38">
        <f>IFERROR(INDEX(p_Stage,MATCH(LARGE(p_Key,110),p_Key,0)),"")</f>
        <v/>
      </c>
      <c r="J114" s="12">
        <f>IFERROR(INDEX(p_Value,MATCH(LARGE(p_Key,110),p_Key,0)),"")</f>
        <v/>
      </c>
      <c r="K114" s="33">
        <f>IFERROR(IF(H114="Open",INDEX(p_Prob,MATCH(LARGE(p_Key,110),p_Key,0)),""),"")</f>
        <v/>
      </c>
      <c r="L114" s="12">
        <f>IFERROR(INDEX(p_Risk,MATCH(LARGE(p_Key,110),p_Key,0)),"")</f>
        <v/>
      </c>
      <c r="M114" s="43">
        <f>IFERROR(INDEX(p_Month,MATCH(LARGE(p_Key,110),p_Key,0)),"")</f>
        <v/>
      </c>
      <c r="N114" s="38">
        <f>IFERROR(INDEX(p_Flags,MATCH(LARGE(p_Key,110),p_Key,0)),"")</f>
        <v/>
      </c>
    </row>
    <row r="115">
      <c r="A115" s="11">
        <f>IF(D115="","",111)</f>
        <v/>
      </c>
      <c r="B115" s="42">
        <f>IFERROR(INDEX(p_Rating,MATCH(LARGE(p_Key,111),p_Key,0)),"")</f>
        <v/>
      </c>
      <c r="C115" s="11">
        <f>IFERROR(INDEX(p_Score,MATCH(LARGE(p_Key,111),p_Key,0)),"")</f>
        <v/>
      </c>
      <c r="D115" s="38">
        <f>IFERROR(INDEX(p_Job,MATCH(LARGE(p_Key,111),p_Key,0)),"")</f>
        <v/>
      </c>
      <c r="E115" s="38">
        <f>IFERROR(INDEX(p_Client,MATCH(LARGE(p_Key,111),p_Key,0)),"")</f>
        <v/>
      </c>
      <c r="F115" s="38">
        <f>IFERROR(INDEX(p_Deal,MATCH(LARGE(p_Key,111),p_Key,0)),"")</f>
        <v/>
      </c>
      <c r="G115" s="38">
        <f>IFERROR(INDEX(p_CC,MATCH(LARGE(p_Key,111),p_Key,0)),"")</f>
        <v/>
      </c>
      <c r="H115" s="38">
        <f>IFERROR(INDEX(p_Status,MATCH(LARGE(p_Key,111),p_Key,0)),"")</f>
        <v/>
      </c>
      <c r="I115" s="38">
        <f>IFERROR(INDEX(p_Stage,MATCH(LARGE(p_Key,111),p_Key,0)),"")</f>
        <v/>
      </c>
      <c r="J115" s="12">
        <f>IFERROR(INDEX(p_Value,MATCH(LARGE(p_Key,111),p_Key,0)),"")</f>
        <v/>
      </c>
      <c r="K115" s="33">
        <f>IFERROR(IF(H115="Open",INDEX(p_Prob,MATCH(LARGE(p_Key,111),p_Key,0)),""),"")</f>
        <v/>
      </c>
      <c r="L115" s="12">
        <f>IFERROR(INDEX(p_Risk,MATCH(LARGE(p_Key,111),p_Key,0)),"")</f>
        <v/>
      </c>
      <c r="M115" s="43">
        <f>IFERROR(INDEX(p_Month,MATCH(LARGE(p_Key,111),p_Key,0)),"")</f>
        <v/>
      </c>
      <c r="N115" s="38">
        <f>IFERROR(INDEX(p_Flags,MATCH(LARGE(p_Key,111),p_Key,0)),"")</f>
        <v/>
      </c>
    </row>
    <row r="116">
      <c r="A116" s="11">
        <f>IF(D116="","",112)</f>
        <v/>
      </c>
      <c r="B116" s="42">
        <f>IFERROR(INDEX(p_Rating,MATCH(LARGE(p_Key,112),p_Key,0)),"")</f>
        <v/>
      </c>
      <c r="C116" s="11">
        <f>IFERROR(INDEX(p_Score,MATCH(LARGE(p_Key,112),p_Key,0)),"")</f>
        <v/>
      </c>
      <c r="D116" s="38">
        <f>IFERROR(INDEX(p_Job,MATCH(LARGE(p_Key,112),p_Key,0)),"")</f>
        <v/>
      </c>
      <c r="E116" s="38">
        <f>IFERROR(INDEX(p_Client,MATCH(LARGE(p_Key,112),p_Key,0)),"")</f>
        <v/>
      </c>
      <c r="F116" s="38">
        <f>IFERROR(INDEX(p_Deal,MATCH(LARGE(p_Key,112),p_Key,0)),"")</f>
        <v/>
      </c>
      <c r="G116" s="38">
        <f>IFERROR(INDEX(p_CC,MATCH(LARGE(p_Key,112),p_Key,0)),"")</f>
        <v/>
      </c>
      <c r="H116" s="38">
        <f>IFERROR(INDEX(p_Status,MATCH(LARGE(p_Key,112),p_Key,0)),"")</f>
        <v/>
      </c>
      <c r="I116" s="38">
        <f>IFERROR(INDEX(p_Stage,MATCH(LARGE(p_Key,112),p_Key,0)),"")</f>
        <v/>
      </c>
      <c r="J116" s="12">
        <f>IFERROR(INDEX(p_Value,MATCH(LARGE(p_Key,112),p_Key,0)),"")</f>
        <v/>
      </c>
      <c r="K116" s="33">
        <f>IFERROR(IF(H116="Open",INDEX(p_Prob,MATCH(LARGE(p_Key,112),p_Key,0)),""),"")</f>
        <v/>
      </c>
      <c r="L116" s="12">
        <f>IFERROR(INDEX(p_Risk,MATCH(LARGE(p_Key,112),p_Key,0)),"")</f>
        <v/>
      </c>
      <c r="M116" s="43">
        <f>IFERROR(INDEX(p_Month,MATCH(LARGE(p_Key,112),p_Key,0)),"")</f>
        <v/>
      </c>
      <c r="N116" s="38">
        <f>IFERROR(INDEX(p_Flags,MATCH(LARGE(p_Key,112),p_Key,0)),"")</f>
        <v/>
      </c>
    </row>
    <row r="117">
      <c r="A117" s="11">
        <f>IF(D117="","",113)</f>
        <v/>
      </c>
      <c r="B117" s="42">
        <f>IFERROR(INDEX(p_Rating,MATCH(LARGE(p_Key,113),p_Key,0)),"")</f>
        <v/>
      </c>
      <c r="C117" s="11">
        <f>IFERROR(INDEX(p_Score,MATCH(LARGE(p_Key,113),p_Key,0)),"")</f>
        <v/>
      </c>
      <c r="D117" s="38">
        <f>IFERROR(INDEX(p_Job,MATCH(LARGE(p_Key,113),p_Key,0)),"")</f>
        <v/>
      </c>
      <c r="E117" s="38">
        <f>IFERROR(INDEX(p_Client,MATCH(LARGE(p_Key,113),p_Key,0)),"")</f>
        <v/>
      </c>
      <c r="F117" s="38">
        <f>IFERROR(INDEX(p_Deal,MATCH(LARGE(p_Key,113),p_Key,0)),"")</f>
        <v/>
      </c>
      <c r="G117" s="38">
        <f>IFERROR(INDEX(p_CC,MATCH(LARGE(p_Key,113),p_Key,0)),"")</f>
        <v/>
      </c>
      <c r="H117" s="38">
        <f>IFERROR(INDEX(p_Status,MATCH(LARGE(p_Key,113),p_Key,0)),"")</f>
        <v/>
      </c>
      <c r="I117" s="38">
        <f>IFERROR(INDEX(p_Stage,MATCH(LARGE(p_Key,113),p_Key,0)),"")</f>
        <v/>
      </c>
      <c r="J117" s="12">
        <f>IFERROR(INDEX(p_Value,MATCH(LARGE(p_Key,113),p_Key,0)),"")</f>
        <v/>
      </c>
      <c r="K117" s="33">
        <f>IFERROR(IF(H117="Open",INDEX(p_Prob,MATCH(LARGE(p_Key,113),p_Key,0)),""),"")</f>
        <v/>
      </c>
      <c r="L117" s="12">
        <f>IFERROR(INDEX(p_Risk,MATCH(LARGE(p_Key,113),p_Key,0)),"")</f>
        <v/>
      </c>
      <c r="M117" s="43">
        <f>IFERROR(INDEX(p_Month,MATCH(LARGE(p_Key,113),p_Key,0)),"")</f>
        <v/>
      </c>
      <c r="N117" s="38">
        <f>IFERROR(INDEX(p_Flags,MATCH(LARGE(p_Key,113),p_Key,0)),"")</f>
        <v/>
      </c>
    </row>
    <row r="118">
      <c r="A118" s="11">
        <f>IF(D118="","",114)</f>
        <v/>
      </c>
      <c r="B118" s="42">
        <f>IFERROR(INDEX(p_Rating,MATCH(LARGE(p_Key,114),p_Key,0)),"")</f>
        <v/>
      </c>
      <c r="C118" s="11">
        <f>IFERROR(INDEX(p_Score,MATCH(LARGE(p_Key,114),p_Key,0)),"")</f>
        <v/>
      </c>
      <c r="D118" s="38">
        <f>IFERROR(INDEX(p_Job,MATCH(LARGE(p_Key,114),p_Key,0)),"")</f>
        <v/>
      </c>
      <c r="E118" s="38">
        <f>IFERROR(INDEX(p_Client,MATCH(LARGE(p_Key,114),p_Key,0)),"")</f>
        <v/>
      </c>
      <c r="F118" s="38">
        <f>IFERROR(INDEX(p_Deal,MATCH(LARGE(p_Key,114),p_Key,0)),"")</f>
        <v/>
      </c>
      <c r="G118" s="38">
        <f>IFERROR(INDEX(p_CC,MATCH(LARGE(p_Key,114),p_Key,0)),"")</f>
        <v/>
      </c>
      <c r="H118" s="38">
        <f>IFERROR(INDEX(p_Status,MATCH(LARGE(p_Key,114),p_Key,0)),"")</f>
        <v/>
      </c>
      <c r="I118" s="38">
        <f>IFERROR(INDEX(p_Stage,MATCH(LARGE(p_Key,114),p_Key,0)),"")</f>
        <v/>
      </c>
      <c r="J118" s="12">
        <f>IFERROR(INDEX(p_Value,MATCH(LARGE(p_Key,114),p_Key,0)),"")</f>
        <v/>
      </c>
      <c r="K118" s="33">
        <f>IFERROR(IF(H118="Open",INDEX(p_Prob,MATCH(LARGE(p_Key,114),p_Key,0)),""),"")</f>
        <v/>
      </c>
      <c r="L118" s="12">
        <f>IFERROR(INDEX(p_Risk,MATCH(LARGE(p_Key,114),p_Key,0)),"")</f>
        <v/>
      </c>
      <c r="M118" s="43">
        <f>IFERROR(INDEX(p_Month,MATCH(LARGE(p_Key,114),p_Key,0)),"")</f>
        <v/>
      </c>
      <c r="N118" s="38">
        <f>IFERROR(INDEX(p_Flags,MATCH(LARGE(p_Key,114),p_Key,0)),"")</f>
        <v/>
      </c>
    </row>
    <row r="119">
      <c r="A119" s="11">
        <f>IF(D119="","",115)</f>
        <v/>
      </c>
      <c r="B119" s="42">
        <f>IFERROR(INDEX(p_Rating,MATCH(LARGE(p_Key,115),p_Key,0)),"")</f>
        <v/>
      </c>
      <c r="C119" s="11">
        <f>IFERROR(INDEX(p_Score,MATCH(LARGE(p_Key,115),p_Key,0)),"")</f>
        <v/>
      </c>
      <c r="D119" s="38">
        <f>IFERROR(INDEX(p_Job,MATCH(LARGE(p_Key,115),p_Key,0)),"")</f>
        <v/>
      </c>
      <c r="E119" s="38">
        <f>IFERROR(INDEX(p_Client,MATCH(LARGE(p_Key,115),p_Key,0)),"")</f>
        <v/>
      </c>
      <c r="F119" s="38">
        <f>IFERROR(INDEX(p_Deal,MATCH(LARGE(p_Key,115),p_Key,0)),"")</f>
        <v/>
      </c>
      <c r="G119" s="38">
        <f>IFERROR(INDEX(p_CC,MATCH(LARGE(p_Key,115),p_Key,0)),"")</f>
        <v/>
      </c>
      <c r="H119" s="38">
        <f>IFERROR(INDEX(p_Status,MATCH(LARGE(p_Key,115),p_Key,0)),"")</f>
        <v/>
      </c>
      <c r="I119" s="38">
        <f>IFERROR(INDEX(p_Stage,MATCH(LARGE(p_Key,115),p_Key,0)),"")</f>
        <v/>
      </c>
      <c r="J119" s="12">
        <f>IFERROR(INDEX(p_Value,MATCH(LARGE(p_Key,115),p_Key,0)),"")</f>
        <v/>
      </c>
      <c r="K119" s="33">
        <f>IFERROR(IF(H119="Open",INDEX(p_Prob,MATCH(LARGE(p_Key,115),p_Key,0)),""),"")</f>
        <v/>
      </c>
      <c r="L119" s="12">
        <f>IFERROR(INDEX(p_Risk,MATCH(LARGE(p_Key,115),p_Key,0)),"")</f>
        <v/>
      </c>
      <c r="M119" s="43">
        <f>IFERROR(INDEX(p_Month,MATCH(LARGE(p_Key,115),p_Key,0)),"")</f>
        <v/>
      </c>
      <c r="N119" s="38">
        <f>IFERROR(INDEX(p_Flags,MATCH(LARGE(p_Key,115),p_Key,0)),"")</f>
        <v/>
      </c>
    </row>
    <row r="120">
      <c r="A120" s="11">
        <f>IF(D120="","",116)</f>
        <v/>
      </c>
      <c r="B120" s="42">
        <f>IFERROR(INDEX(p_Rating,MATCH(LARGE(p_Key,116),p_Key,0)),"")</f>
        <v/>
      </c>
      <c r="C120" s="11">
        <f>IFERROR(INDEX(p_Score,MATCH(LARGE(p_Key,116),p_Key,0)),"")</f>
        <v/>
      </c>
      <c r="D120" s="38">
        <f>IFERROR(INDEX(p_Job,MATCH(LARGE(p_Key,116),p_Key,0)),"")</f>
        <v/>
      </c>
      <c r="E120" s="38">
        <f>IFERROR(INDEX(p_Client,MATCH(LARGE(p_Key,116),p_Key,0)),"")</f>
        <v/>
      </c>
      <c r="F120" s="38">
        <f>IFERROR(INDEX(p_Deal,MATCH(LARGE(p_Key,116),p_Key,0)),"")</f>
        <v/>
      </c>
      <c r="G120" s="38">
        <f>IFERROR(INDEX(p_CC,MATCH(LARGE(p_Key,116),p_Key,0)),"")</f>
        <v/>
      </c>
      <c r="H120" s="38">
        <f>IFERROR(INDEX(p_Status,MATCH(LARGE(p_Key,116),p_Key,0)),"")</f>
        <v/>
      </c>
      <c r="I120" s="38">
        <f>IFERROR(INDEX(p_Stage,MATCH(LARGE(p_Key,116),p_Key,0)),"")</f>
        <v/>
      </c>
      <c r="J120" s="12">
        <f>IFERROR(INDEX(p_Value,MATCH(LARGE(p_Key,116),p_Key,0)),"")</f>
        <v/>
      </c>
      <c r="K120" s="33">
        <f>IFERROR(IF(H120="Open",INDEX(p_Prob,MATCH(LARGE(p_Key,116),p_Key,0)),""),"")</f>
        <v/>
      </c>
      <c r="L120" s="12">
        <f>IFERROR(INDEX(p_Risk,MATCH(LARGE(p_Key,116),p_Key,0)),"")</f>
        <v/>
      </c>
      <c r="M120" s="43">
        <f>IFERROR(INDEX(p_Month,MATCH(LARGE(p_Key,116),p_Key,0)),"")</f>
        <v/>
      </c>
      <c r="N120" s="38">
        <f>IFERROR(INDEX(p_Flags,MATCH(LARGE(p_Key,116),p_Key,0)),"")</f>
        <v/>
      </c>
    </row>
    <row r="121">
      <c r="A121" s="11">
        <f>IF(D121="","",117)</f>
        <v/>
      </c>
      <c r="B121" s="42">
        <f>IFERROR(INDEX(p_Rating,MATCH(LARGE(p_Key,117),p_Key,0)),"")</f>
        <v/>
      </c>
      <c r="C121" s="11">
        <f>IFERROR(INDEX(p_Score,MATCH(LARGE(p_Key,117),p_Key,0)),"")</f>
        <v/>
      </c>
      <c r="D121" s="38">
        <f>IFERROR(INDEX(p_Job,MATCH(LARGE(p_Key,117),p_Key,0)),"")</f>
        <v/>
      </c>
      <c r="E121" s="38">
        <f>IFERROR(INDEX(p_Client,MATCH(LARGE(p_Key,117),p_Key,0)),"")</f>
        <v/>
      </c>
      <c r="F121" s="38">
        <f>IFERROR(INDEX(p_Deal,MATCH(LARGE(p_Key,117),p_Key,0)),"")</f>
        <v/>
      </c>
      <c r="G121" s="38">
        <f>IFERROR(INDEX(p_CC,MATCH(LARGE(p_Key,117),p_Key,0)),"")</f>
        <v/>
      </c>
      <c r="H121" s="38">
        <f>IFERROR(INDEX(p_Status,MATCH(LARGE(p_Key,117),p_Key,0)),"")</f>
        <v/>
      </c>
      <c r="I121" s="38">
        <f>IFERROR(INDEX(p_Stage,MATCH(LARGE(p_Key,117),p_Key,0)),"")</f>
        <v/>
      </c>
      <c r="J121" s="12">
        <f>IFERROR(INDEX(p_Value,MATCH(LARGE(p_Key,117),p_Key,0)),"")</f>
        <v/>
      </c>
      <c r="K121" s="33">
        <f>IFERROR(IF(H121="Open",INDEX(p_Prob,MATCH(LARGE(p_Key,117),p_Key,0)),""),"")</f>
        <v/>
      </c>
      <c r="L121" s="12">
        <f>IFERROR(INDEX(p_Risk,MATCH(LARGE(p_Key,117),p_Key,0)),"")</f>
        <v/>
      </c>
      <c r="M121" s="43">
        <f>IFERROR(INDEX(p_Month,MATCH(LARGE(p_Key,117),p_Key,0)),"")</f>
        <v/>
      </c>
      <c r="N121" s="38">
        <f>IFERROR(INDEX(p_Flags,MATCH(LARGE(p_Key,117),p_Key,0)),"")</f>
        <v/>
      </c>
    </row>
    <row r="122">
      <c r="A122" s="11">
        <f>IF(D122="","",118)</f>
        <v/>
      </c>
      <c r="B122" s="42">
        <f>IFERROR(INDEX(p_Rating,MATCH(LARGE(p_Key,118),p_Key,0)),"")</f>
        <v/>
      </c>
      <c r="C122" s="11">
        <f>IFERROR(INDEX(p_Score,MATCH(LARGE(p_Key,118),p_Key,0)),"")</f>
        <v/>
      </c>
      <c r="D122" s="38">
        <f>IFERROR(INDEX(p_Job,MATCH(LARGE(p_Key,118),p_Key,0)),"")</f>
        <v/>
      </c>
      <c r="E122" s="38">
        <f>IFERROR(INDEX(p_Client,MATCH(LARGE(p_Key,118),p_Key,0)),"")</f>
        <v/>
      </c>
      <c r="F122" s="38">
        <f>IFERROR(INDEX(p_Deal,MATCH(LARGE(p_Key,118),p_Key,0)),"")</f>
        <v/>
      </c>
      <c r="G122" s="38">
        <f>IFERROR(INDEX(p_CC,MATCH(LARGE(p_Key,118),p_Key,0)),"")</f>
        <v/>
      </c>
      <c r="H122" s="38">
        <f>IFERROR(INDEX(p_Status,MATCH(LARGE(p_Key,118),p_Key,0)),"")</f>
        <v/>
      </c>
      <c r="I122" s="38">
        <f>IFERROR(INDEX(p_Stage,MATCH(LARGE(p_Key,118),p_Key,0)),"")</f>
        <v/>
      </c>
      <c r="J122" s="12">
        <f>IFERROR(INDEX(p_Value,MATCH(LARGE(p_Key,118),p_Key,0)),"")</f>
        <v/>
      </c>
      <c r="K122" s="33">
        <f>IFERROR(IF(H122="Open",INDEX(p_Prob,MATCH(LARGE(p_Key,118),p_Key,0)),""),"")</f>
        <v/>
      </c>
      <c r="L122" s="12">
        <f>IFERROR(INDEX(p_Risk,MATCH(LARGE(p_Key,118),p_Key,0)),"")</f>
        <v/>
      </c>
      <c r="M122" s="43">
        <f>IFERROR(INDEX(p_Month,MATCH(LARGE(p_Key,118),p_Key,0)),"")</f>
        <v/>
      </c>
      <c r="N122" s="38">
        <f>IFERROR(INDEX(p_Flags,MATCH(LARGE(p_Key,118),p_Key,0)),"")</f>
        <v/>
      </c>
    </row>
    <row r="123">
      <c r="A123" s="11">
        <f>IF(D123="","",119)</f>
        <v/>
      </c>
      <c r="B123" s="42">
        <f>IFERROR(INDEX(p_Rating,MATCH(LARGE(p_Key,119),p_Key,0)),"")</f>
        <v/>
      </c>
      <c r="C123" s="11">
        <f>IFERROR(INDEX(p_Score,MATCH(LARGE(p_Key,119),p_Key,0)),"")</f>
        <v/>
      </c>
      <c r="D123" s="38">
        <f>IFERROR(INDEX(p_Job,MATCH(LARGE(p_Key,119),p_Key,0)),"")</f>
        <v/>
      </c>
      <c r="E123" s="38">
        <f>IFERROR(INDEX(p_Client,MATCH(LARGE(p_Key,119),p_Key,0)),"")</f>
        <v/>
      </c>
      <c r="F123" s="38">
        <f>IFERROR(INDEX(p_Deal,MATCH(LARGE(p_Key,119),p_Key,0)),"")</f>
        <v/>
      </c>
      <c r="G123" s="38">
        <f>IFERROR(INDEX(p_CC,MATCH(LARGE(p_Key,119),p_Key,0)),"")</f>
        <v/>
      </c>
      <c r="H123" s="38">
        <f>IFERROR(INDEX(p_Status,MATCH(LARGE(p_Key,119),p_Key,0)),"")</f>
        <v/>
      </c>
      <c r="I123" s="38">
        <f>IFERROR(INDEX(p_Stage,MATCH(LARGE(p_Key,119),p_Key,0)),"")</f>
        <v/>
      </c>
      <c r="J123" s="12">
        <f>IFERROR(INDEX(p_Value,MATCH(LARGE(p_Key,119),p_Key,0)),"")</f>
        <v/>
      </c>
      <c r="K123" s="33">
        <f>IFERROR(IF(H123="Open",INDEX(p_Prob,MATCH(LARGE(p_Key,119),p_Key,0)),""),"")</f>
        <v/>
      </c>
      <c r="L123" s="12">
        <f>IFERROR(INDEX(p_Risk,MATCH(LARGE(p_Key,119),p_Key,0)),"")</f>
        <v/>
      </c>
      <c r="M123" s="43">
        <f>IFERROR(INDEX(p_Month,MATCH(LARGE(p_Key,119),p_Key,0)),"")</f>
        <v/>
      </c>
      <c r="N123" s="38">
        <f>IFERROR(INDEX(p_Flags,MATCH(LARGE(p_Key,119),p_Key,0)),"")</f>
        <v/>
      </c>
    </row>
    <row r="124">
      <c r="A124" s="11">
        <f>IF(D124="","",120)</f>
        <v/>
      </c>
      <c r="B124" s="42">
        <f>IFERROR(INDEX(p_Rating,MATCH(LARGE(p_Key,120),p_Key,0)),"")</f>
        <v/>
      </c>
      <c r="C124" s="11">
        <f>IFERROR(INDEX(p_Score,MATCH(LARGE(p_Key,120),p_Key,0)),"")</f>
        <v/>
      </c>
      <c r="D124" s="38">
        <f>IFERROR(INDEX(p_Job,MATCH(LARGE(p_Key,120),p_Key,0)),"")</f>
        <v/>
      </c>
      <c r="E124" s="38">
        <f>IFERROR(INDEX(p_Client,MATCH(LARGE(p_Key,120),p_Key,0)),"")</f>
        <v/>
      </c>
      <c r="F124" s="38">
        <f>IFERROR(INDEX(p_Deal,MATCH(LARGE(p_Key,120),p_Key,0)),"")</f>
        <v/>
      </c>
      <c r="G124" s="38">
        <f>IFERROR(INDEX(p_CC,MATCH(LARGE(p_Key,120),p_Key,0)),"")</f>
        <v/>
      </c>
      <c r="H124" s="38">
        <f>IFERROR(INDEX(p_Status,MATCH(LARGE(p_Key,120),p_Key,0)),"")</f>
        <v/>
      </c>
      <c r="I124" s="38">
        <f>IFERROR(INDEX(p_Stage,MATCH(LARGE(p_Key,120),p_Key,0)),"")</f>
        <v/>
      </c>
      <c r="J124" s="12">
        <f>IFERROR(INDEX(p_Value,MATCH(LARGE(p_Key,120),p_Key,0)),"")</f>
        <v/>
      </c>
      <c r="K124" s="33">
        <f>IFERROR(IF(H124="Open",INDEX(p_Prob,MATCH(LARGE(p_Key,120),p_Key,0)),""),"")</f>
        <v/>
      </c>
      <c r="L124" s="12">
        <f>IFERROR(INDEX(p_Risk,MATCH(LARGE(p_Key,120),p_Key,0)),"")</f>
        <v/>
      </c>
      <c r="M124" s="43">
        <f>IFERROR(INDEX(p_Month,MATCH(LARGE(p_Key,120),p_Key,0)),"")</f>
        <v/>
      </c>
      <c r="N124" s="38">
        <f>IFERROR(INDEX(p_Flags,MATCH(LARGE(p_Key,120),p_Key,0)),"")</f>
        <v/>
      </c>
    </row>
    <row r="125">
      <c r="A125" s="11">
        <f>IF(D125="","",121)</f>
        <v/>
      </c>
      <c r="B125" s="42">
        <f>IFERROR(INDEX(p_Rating,MATCH(LARGE(p_Key,121),p_Key,0)),"")</f>
        <v/>
      </c>
      <c r="C125" s="11">
        <f>IFERROR(INDEX(p_Score,MATCH(LARGE(p_Key,121),p_Key,0)),"")</f>
        <v/>
      </c>
      <c r="D125" s="38">
        <f>IFERROR(INDEX(p_Job,MATCH(LARGE(p_Key,121),p_Key,0)),"")</f>
        <v/>
      </c>
      <c r="E125" s="38">
        <f>IFERROR(INDEX(p_Client,MATCH(LARGE(p_Key,121),p_Key,0)),"")</f>
        <v/>
      </c>
      <c r="F125" s="38">
        <f>IFERROR(INDEX(p_Deal,MATCH(LARGE(p_Key,121),p_Key,0)),"")</f>
        <v/>
      </c>
      <c r="G125" s="38">
        <f>IFERROR(INDEX(p_CC,MATCH(LARGE(p_Key,121),p_Key,0)),"")</f>
        <v/>
      </c>
      <c r="H125" s="38">
        <f>IFERROR(INDEX(p_Status,MATCH(LARGE(p_Key,121),p_Key,0)),"")</f>
        <v/>
      </c>
      <c r="I125" s="38">
        <f>IFERROR(INDEX(p_Stage,MATCH(LARGE(p_Key,121),p_Key,0)),"")</f>
        <v/>
      </c>
      <c r="J125" s="12">
        <f>IFERROR(INDEX(p_Value,MATCH(LARGE(p_Key,121),p_Key,0)),"")</f>
        <v/>
      </c>
      <c r="K125" s="33">
        <f>IFERROR(IF(H125="Open",INDEX(p_Prob,MATCH(LARGE(p_Key,121),p_Key,0)),""),"")</f>
        <v/>
      </c>
      <c r="L125" s="12">
        <f>IFERROR(INDEX(p_Risk,MATCH(LARGE(p_Key,121),p_Key,0)),"")</f>
        <v/>
      </c>
      <c r="M125" s="43">
        <f>IFERROR(INDEX(p_Month,MATCH(LARGE(p_Key,121),p_Key,0)),"")</f>
        <v/>
      </c>
      <c r="N125" s="38">
        <f>IFERROR(INDEX(p_Flags,MATCH(LARGE(p_Key,121),p_Key,0)),"")</f>
        <v/>
      </c>
    </row>
    <row r="126">
      <c r="A126" s="11">
        <f>IF(D126="","",122)</f>
        <v/>
      </c>
      <c r="B126" s="42">
        <f>IFERROR(INDEX(p_Rating,MATCH(LARGE(p_Key,122),p_Key,0)),"")</f>
        <v/>
      </c>
      <c r="C126" s="11">
        <f>IFERROR(INDEX(p_Score,MATCH(LARGE(p_Key,122),p_Key,0)),"")</f>
        <v/>
      </c>
      <c r="D126" s="38">
        <f>IFERROR(INDEX(p_Job,MATCH(LARGE(p_Key,122),p_Key,0)),"")</f>
        <v/>
      </c>
      <c r="E126" s="38">
        <f>IFERROR(INDEX(p_Client,MATCH(LARGE(p_Key,122),p_Key,0)),"")</f>
        <v/>
      </c>
      <c r="F126" s="38">
        <f>IFERROR(INDEX(p_Deal,MATCH(LARGE(p_Key,122),p_Key,0)),"")</f>
        <v/>
      </c>
      <c r="G126" s="38">
        <f>IFERROR(INDEX(p_CC,MATCH(LARGE(p_Key,122),p_Key,0)),"")</f>
        <v/>
      </c>
      <c r="H126" s="38">
        <f>IFERROR(INDEX(p_Status,MATCH(LARGE(p_Key,122),p_Key,0)),"")</f>
        <v/>
      </c>
      <c r="I126" s="38">
        <f>IFERROR(INDEX(p_Stage,MATCH(LARGE(p_Key,122),p_Key,0)),"")</f>
        <v/>
      </c>
      <c r="J126" s="12">
        <f>IFERROR(INDEX(p_Value,MATCH(LARGE(p_Key,122),p_Key,0)),"")</f>
        <v/>
      </c>
      <c r="K126" s="33">
        <f>IFERROR(IF(H126="Open",INDEX(p_Prob,MATCH(LARGE(p_Key,122),p_Key,0)),""),"")</f>
        <v/>
      </c>
      <c r="L126" s="12">
        <f>IFERROR(INDEX(p_Risk,MATCH(LARGE(p_Key,122),p_Key,0)),"")</f>
        <v/>
      </c>
      <c r="M126" s="43">
        <f>IFERROR(INDEX(p_Month,MATCH(LARGE(p_Key,122),p_Key,0)),"")</f>
        <v/>
      </c>
      <c r="N126" s="38">
        <f>IFERROR(INDEX(p_Flags,MATCH(LARGE(p_Key,122),p_Key,0)),"")</f>
        <v/>
      </c>
    </row>
    <row r="127">
      <c r="A127" s="11">
        <f>IF(D127="","",123)</f>
        <v/>
      </c>
      <c r="B127" s="42">
        <f>IFERROR(INDEX(p_Rating,MATCH(LARGE(p_Key,123),p_Key,0)),"")</f>
        <v/>
      </c>
      <c r="C127" s="11">
        <f>IFERROR(INDEX(p_Score,MATCH(LARGE(p_Key,123),p_Key,0)),"")</f>
        <v/>
      </c>
      <c r="D127" s="38">
        <f>IFERROR(INDEX(p_Job,MATCH(LARGE(p_Key,123),p_Key,0)),"")</f>
        <v/>
      </c>
      <c r="E127" s="38">
        <f>IFERROR(INDEX(p_Client,MATCH(LARGE(p_Key,123),p_Key,0)),"")</f>
        <v/>
      </c>
      <c r="F127" s="38">
        <f>IFERROR(INDEX(p_Deal,MATCH(LARGE(p_Key,123),p_Key,0)),"")</f>
        <v/>
      </c>
      <c r="G127" s="38">
        <f>IFERROR(INDEX(p_CC,MATCH(LARGE(p_Key,123),p_Key,0)),"")</f>
        <v/>
      </c>
      <c r="H127" s="38">
        <f>IFERROR(INDEX(p_Status,MATCH(LARGE(p_Key,123),p_Key,0)),"")</f>
        <v/>
      </c>
      <c r="I127" s="38">
        <f>IFERROR(INDEX(p_Stage,MATCH(LARGE(p_Key,123),p_Key,0)),"")</f>
        <v/>
      </c>
      <c r="J127" s="12">
        <f>IFERROR(INDEX(p_Value,MATCH(LARGE(p_Key,123),p_Key,0)),"")</f>
        <v/>
      </c>
      <c r="K127" s="33">
        <f>IFERROR(IF(H127="Open",INDEX(p_Prob,MATCH(LARGE(p_Key,123),p_Key,0)),""),"")</f>
        <v/>
      </c>
      <c r="L127" s="12">
        <f>IFERROR(INDEX(p_Risk,MATCH(LARGE(p_Key,123),p_Key,0)),"")</f>
        <v/>
      </c>
      <c r="M127" s="43">
        <f>IFERROR(INDEX(p_Month,MATCH(LARGE(p_Key,123),p_Key,0)),"")</f>
        <v/>
      </c>
      <c r="N127" s="38">
        <f>IFERROR(INDEX(p_Flags,MATCH(LARGE(p_Key,123),p_Key,0)),"")</f>
        <v/>
      </c>
    </row>
    <row r="128">
      <c r="A128" s="11">
        <f>IF(D128="","",124)</f>
        <v/>
      </c>
      <c r="B128" s="42">
        <f>IFERROR(INDEX(p_Rating,MATCH(LARGE(p_Key,124),p_Key,0)),"")</f>
        <v/>
      </c>
      <c r="C128" s="11">
        <f>IFERROR(INDEX(p_Score,MATCH(LARGE(p_Key,124),p_Key,0)),"")</f>
        <v/>
      </c>
      <c r="D128" s="38">
        <f>IFERROR(INDEX(p_Job,MATCH(LARGE(p_Key,124),p_Key,0)),"")</f>
        <v/>
      </c>
      <c r="E128" s="38">
        <f>IFERROR(INDEX(p_Client,MATCH(LARGE(p_Key,124),p_Key,0)),"")</f>
        <v/>
      </c>
      <c r="F128" s="38">
        <f>IFERROR(INDEX(p_Deal,MATCH(LARGE(p_Key,124),p_Key,0)),"")</f>
        <v/>
      </c>
      <c r="G128" s="38">
        <f>IFERROR(INDEX(p_CC,MATCH(LARGE(p_Key,124),p_Key,0)),"")</f>
        <v/>
      </c>
      <c r="H128" s="38">
        <f>IFERROR(INDEX(p_Status,MATCH(LARGE(p_Key,124),p_Key,0)),"")</f>
        <v/>
      </c>
      <c r="I128" s="38">
        <f>IFERROR(INDEX(p_Stage,MATCH(LARGE(p_Key,124),p_Key,0)),"")</f>
        <v/>
      </c>
      <c r="J128" s="12">
        <f>IFERROR(INDEX(p_Value,MATCH(LARGE(p_Key,124),p_Key,0)),"")</f>
        <v/>
      </c>
      <c r="K128" s="33">
        <f>IFERROR(IF(H128="Open",INDEX(p_Prob,MATCH(LARGE(p_Key,124),p_Key,0)),""),"")</f>
        <v/>
      </c>
      <c r="L128" s="12">
        <f>IFERROR(INDEX(p_Risk,MATCH(LARGE(p_Key,124),p_Key,0)),"")</f>
        <v/>
      </c>
      <c r="M128" s="43">
        <f>IFERROR(INDEX(p_Month,MATCH(LARGE(p_Key,124),p_Key,0)),"")</f>
        <v/>
      </c>
      <c r="N128" s="38">
        <f>IFERROR(INDEX(p_Flags,MATCH(LARGE(p_Key,124),p_Key,0)),"")</f>
        <v/>
      </c>
    </row>
    <row r="129">
      <c r="A129" s="11">
        <f>IF(D129="","",125)</f>
        <v/>
      </c>
      <c r="B129" s="42">
        <f>IFERROR(INDEX(p_Rating,MATCH(LARGE(p_Key,125),p_Key,0)),"")</f>
        <v/>
      </c>
      <c r="C129" s="11">
        <f>IFERROR(INDEX(p_Score,MATCH(LARGE(p_Key,125),p_Key,0)),"")</f>
        <v/>
      </c>
      <c r="D129" s="38">
        <f>IFERROR(INDEX(p_Job,MATCH(LARGE(p_Key,125),p_Key,0)),"")</f>
        <v/>
      </c>
      <c r="E129" s="38">
        <f>IFERROR(INDEX(p_Client,MATCH(LARGE(p_Key,125),p_Key,0)),"")</f>
        <v/>
      </c>
      <c r="F129" s="38">
        <f>IFERROR(INDEX(p_Deal,MATCH(LARGE(p_Key,125),p_Key,0)),"")</f>
        <v/>
      </c>
      <c r="G129" s="38">
        <f>IFERROR(INDEX(p_CC,MATCH(LARGE(p_Key,125),p_Key,0)),"")</f>
        <v/>
      </c>
      <c r="H129" s="38">
        <f>IFERROR(INDEX(p_Status,MATCH(LARGE(p_Key,125),p_Key,0)),"")</f>
        <v/>
      </c>
      <c r="I129" s="38">
        <f>IFERROR(INDEX(p_Stage,MATCH(LARGE(p_Key,125),p_Key,0)),"")</f>
        <v/>
      </c>
      <c r="J129" s="12">
        <f>IFERROR(INDEX(p_Value,MATCH(LARGE(p_Key,125),p_Key,0)),"")</f>
        <v/>
      </c>
      <c r="K129" s="33">
        <f>IFERROR(IF(H129="Open",INDEX(p_Prob,MATCH(LARGE(p_Key,125),p_Key,0)),""),"")</f>
        <v/>
      </c>
      <c r="L129" s="12">
        <f>IFERROR(INDEX(p_Risk,MATCH(LARGE(p_Key,125),p_Key,0)),"")</f>
        <v/>
      </c>
      <c r="M129" s="43">
        <f>IFERROR(INDEX(p_Month,MATCH(LARGE(p_Key,125),p_Key,0)),"")</f>
        <v/>
      </c>
      <c r="N129" s="38">
        <f>IFERROR(INDEX(p_Flags,MATCH(LARGE(p_Key,125),p_Key,0)),"")</f>
        <v/>
      </c>
    </row>
    <row r="130">
      <c r="A130" s="11">
        <f>IF(D130="","",126)</f>
        <v/>
      </c>
      <c r="B130" s="42">
        <f>IFERROR(INDEX(p_Rating,MATCH(LARGE(p_Key,126),p_Key,0)),"")</f>
        <v/>
      </c>
      <c r="C130" s="11">
        <f>IFERROR(INDEX(p_Score,MATCH(LARGE(p_Key,126),p_Key,0)),"")</f>
        <v/>
      </c>
      <c r="D130" s="38">
        <f>IFERROR(INDEX(p_Job,MATCH(LARGE(p_Key,126),p_Key,0)),"")</f>
        <v/>
      </c>
      <c r="E130" s="38">
        <f>IFERROR(INDEX(p_Client,MATCH(LARGE(p_Key,126),p_Key,0)),"")</f>
        <v/>
      </c>
      <c r="F130" s="38">
        <f>IFERROR(INDEX(p_Deal,MATCH(LARGE(p_Key,126),p_Key,0)),"")</f>
        <v/>
      </c>
      <c r="G130" s="38">
        <f>IFERROR(INDEX(p_CC,MATCH(LARGE(p_Key,126),p_Key,0)),"")</f>
        <v/>
      </c>
      <c r="H130" s="38">
        <f>IFERROR(INDEX(p_Status,MATCH(LARGE(p_Key,126),p_Key,0)),"")</f>
        <v/>
      </c>
      <c r="I130" s="38">
        <f>IFERROR(INDEX(p_Stage,MATCH(LARGE(p_Key,126),p_Key,0)),"")</f>
        <v/>
      </c>
      <c r="J130" s="12">
        <f>IFERROR(INDEX(p_Value,MATCH(LARGE(p_Key,126),p_Key,0)),"")</f>
        <v/>
      </c>
      <c r="K130" s="33">
        <f>IFERROR(IF(H130="Open",INDEX(p_Prob,MATCH(LARGE(p_Key,126),p_Key,0)),""),"")</f>
        <v/>
      </c>
      <c r="L130" s="12">
        <f>IFERROR(INDEX(p_Risk,MATCH(LARGE(p_Key,126),p_Key,0)),"")</f>
        <v/>
      </c>
      <c r="M130" s="43">
        <f>IFERROR(INDEX(p_Month,MATCH(LARGE(p_Key,126),p_Key,0)),"")</f>
        <v/>
      </c>
      <c r="N130" s="38">
        <f>IFERROR(INDEX(p_Flags,MATCH(LARGE(p_Key,126),p_Key,0)),"")</f>
        <v/>
      </c>
    </row>
    <row r="131">
      <c r="A131" s="11">
        <f>IF(D131="","",127)</f>
        <v/>
      </c>
      <c r="B131" s="42">
        <f>IFERROR(INDEX(p_Rating,MATCH(LARGE(p_Key,127),p_Key,0)),"")</f>
        <v/>
      </c>
      <c r="C131" s="11">
        <f>IFERROR(INDEX(p_Score,MATCH(LARGE(p_Key,127),p_Key,0)),"")</f>
        <v/>
      </c>
      <c r="D131" s="38">
        <f>IFERROR(INDEX(p_Job,MATCH(LARGE(p_Key,127),p_Key,0)),"")</f>
        <v/>
      </c>
      <c r="E131" s="38">
        <f>IFERROR(INDEX(p_Client,MATCH(LARGE(p_Key,127),p_Key,0)),"")</f>
        <v/>
      </c>
      <c r="F131" s="38">
        <f>IFERROR(INDEX(p_Deal,MATCH(LARGE(p_Key,127),p_Key,0)),"")</f>
        <v/>
      </c>
      <c r="G131" s="38">
        <f>IFERROR(INDEX(p_CC,MATCH(LARGE(p_Key,127),p_Key,0)),"")</f>
        <v/>
      </c>
      <c r="H131" s="38">
        <f>IFERROR(INDEX(p_Status,MATCH(LARGE(p_Key,127),p_Key,0)),"")</f>
        <v/>
      </c>
      <c r="I131" s="38">
        <f>IFERROR(INDEX(p_Stage,MATCH(LARGE(p_Key,127),p_Key,0)),"")</f>
        <v/>
      </c>
      <c r="J131" s="12">
        <f>IFERROR(INDEX(p_Value,MATCH(LARGE(p_Key,127),p_Key,0)),"")</f>
        <v/>
      </c>
      <c r="K131" s="33">
        <f>IFERROR(IF(H131="Open",INDEX(p_Prob,MATCH(LARGE(p_Key,127),p_Key,0)),""),"")</f>
        <v/>
      </c>
      <c r="L131" s="12">
        <f>IFERROR(INDEX(p_Risk,MATCH(LARGE(p_Key,127),p_Key,0)),"")</f>
        <v/>
      </c>
      <c r="M131" s="43">
        <f>IFERROR(INDEX(p_Month,MATCH(LARGE(p_Key,127),p_Key,0)),"")</f>
        <v/>
      </c>
      <c r="N131" s="38">
        <f>IFERROR(INDEX(p_Flags,MATCH(LARGE(p_Key,127),p_Key,0)),"")</f>
        <v/>
      </c>
    </row>
    <row r="132">
      <c r="A132" s="11">
        <f>IF(D132="","",128)</f>
        <v/>
      </c>
      <c r="B132" s="42">
        <f>IFERROR(INDEX(p_Rating,MATCH(LARGE(p_Key,128),p_Key,0)),"")</f>
        <v/>
      </c>
      <c r="C132" s="11">
        <f>IFERROR(INDEX(p_Score,MATCH(LARGE(p_Key,128),p_Key,0)),"")</f>
        <v/>
      </c>
      <c r="D132" s="38">
        <f>IFERROR(INDEX(p_Job,MATCH(LARGE(p_Key,128),p_Key,0)),"")</f>
        <v/>
      </c>
      <c r="E132" s="38">
        <f>IFERROR(INDEX(p_Client,MATCH(LARGE(p_Key,128),p_Key,0)),"")</f>
        <v/>
      </c>
      <c r="F132" s="38">
        <f>IFERROR(INDEX(p_Deal,MATCH(LARGE(p_Key,128),p_Key,0)),"")</f>
        <v/>
      </c>
      <c r="G132" s="38">
        <f>IFERROR(INDEX(p_CC,MATCH(LARGE(p_Key,128),p_Key,0)),"")</f>
        <v/>
      </c>
      <c r="H132" s="38">
        <f>IFERROR(INDEX(p_Status,MATCH(LARGE(p_Key,128),p_Key,0)),"")</f>
        <v/>
      </c>
      <c r="I132" s="38">
        <f>IFERROR(INDEX(p_Stage,MATCH(LARGE(p_Key,128),p_Key,0)),"")</f>
        <v/>
      </c>
      <c r="J132" s="12">
        <f>IFERROR(INDEX(p_Value,MATCH(LARGE(p_Key,128),p_Key,0)),"")</f>
        <v/>
      </c>
      <c r="K132" s="33">
        <f>IFERROR(IF(H132="Open",INDEX(p_Prob,MATCH(LARGE(p_Key,128),p_Key,0)),""),"")</f>
        <v/>
      </c>
      <c r="L132" s="12">
        <f>IFERROR(INDEX(p_Risk,MATCH(LARGE(p_Key,128),p_Key,0)),"")</f>
        <v/>
      </c>
      <c r="M132" s="43">
        <f>IFERROR(INDEX(p_Month,MATCH(LARGE(p_Key,128),p_Key,0)),"")</f>
        <v/>
      </c>
      <c r="N132" s="38">
        <f>IFERROR(INDEX(p_Flags,MATCH(LARGE(p_Key,128),p_Key,0)),"")</f>
        <v/>
      </c>
    </row>
    <row r="133">
      <c r="A133" s="11">
        <f>IF(D133="","",129)</f>
        <v/>
      </c>
      <c r="B133" s="42">
        <f>IFERROR(INDEX(p_Rating,MATCH(LARGE(p_Key,129),p_Key,0)),"")</f>
        <v/>
      </c>
      <c r="C133" s="11">
        <f>IFERROR(INDEX(p_Score,MATCH(LARGE(p_Key,129),p_Key,0)),"")</f>
        <v/>
      </c>
      <c r="D133" s="38">
        <f>IFERROR(INDEX(p_Job,MATCH(LARGE(p_Key,129),p_Key,0)),"")</f>
        <v/>
      </c>
      <c r="E133" s="38">
        <f>IFERROR(INDEX(p_Client,MATCH(LARGE(p_Key,129),p_Key,0)),"")</f>
        <v/>
      </c>
      <c r="F133" s="38">
        <f>IFERROR(INDEX(p_Deal,MATCH(LARGE(p_Key,129),p_Key,0)),"")</f>
        <v/>
      </c>
      <c r="G133" s="38">
        <f>IFERROR(INDEX(p_CC,MATCH(LARGE(p_Key,129),p_Key,0)),"")</f>
        <v/>
      </c>
      <c r="H133" s="38">
        <f>IFERROR(INDEX(p_Status,MATCH(LARGE(p_Key,129),p_Key,0)),"")</f>
        <v/>
      </c>
      <c r="I133" s="38">
        <f>IFERROR(INDEX(p_Stage,MATCH(LARGE(p_Key,129),p_Key,0)),"")</f>
        <v/>
      </c>
      <c r="J133" s="12">
        <f>IFERROR(INDEX(p_Value,MATCH(LARGE(p_Key,129),p_Key,0)),"")</f>
        <v/>
      </c>
      <c r="K133" s="33">
        <f>IFERROR(IF(H133="Open",INDEX(p_Prob,MATCH(LARGE(p_Key,129),p_Key,0)),""),"")</f>
        <v/>
      </c>
      <c r="L133" s="12">
        <f>IFERROR(INDEX(p_Risk,MATCH(LARGE(p_Key,129),p_Key,0)),"")</f>
        <v/>
      </c>
      <c r="M133" s="43">
        <f>IFERROR(INDEX(p_Month,MATCH(LARGE(p_Key,129),p_Key,0)),"")</f>
        <v/>
      </c>
      <c r="N133" s="38">
        <f>IFERROR(INDEX(p_Flags,MATCH(LARGE(p_Key,129),p_Key,0)),"")</f>
        <v/>
      </c>
    </row>
    <row r="134">
      <c r="A134" s="11">
        <f>IF(D134="","",130)</f>
        <v/>
      </c>
      <c r="B134" s="42">
        <f>IFERROR(INDEX(p_Rating,MATCH(LARGE(p_Key,130),p_Key,0)),"")</f>
        <v/>
      </c>
      <c r="C134" s="11">
        <f>IFERROR(INDEX(p_Score,MATCH(LARGE(p_Key,130),p_Key,0)),"")</f>
        <v/>
      </c>
      <c r="D134" s="38">
        <f>IFERROR(INDEX(p_Job,MATCH(LARGE(p_Key,130),p_Key,0)),"")</f>
        <v/>
      </c>
      <c r="E134" s="38">
        <f>IFERROR(INDEX(p_Client,MATCH(LARGE(p_Key,130),p_Key,0)),"")</f>
        <v/>
      </c>
      <c r="F134" s="38">
        <f>IFERROR(INDEX(p_Deal,MATCH(LARGE(p_Key,130),p_Key,0)),"")</f>
        <v/>
      </c>
      <c r="G134" s="38">
        <f>IFERROR(INDEX(p_CC,MATCH(LARGE(p_Key,130),p_Key,0)),"")</f>
        <v/>
      </c>
      <c r="H134" s="38">
        <f>IFERROR(INDEX(p_Status,MATCH(LARGE(p_Key,130),p_Key,0)),"")</f>
        <v/>
      </c>
      <c r="I134" s="38">
        <f>IFERROR(INDEX(p_Stage,MATCH(LARGE(p_Key,130),p_Key,0)),"")</f>
        <v/>
      </c>
      <c r="J134" s="12">
        <f>IFERROR(INDEX(p_Value,MATCH(LARGE(p_Key,130),p_Key,0)),"")</f>
        <v/>
      </c>
      <c r="K134" s="33">
        <f>IFERROR(IF(H134="Open",INDEX(p_Prob,MATCH(LARGE(p_Key,130),p_Key,0)),""),"")</f>
        <v/>
      </c>
      <c r="L134" s="12">
        <f>IFERROR(INDEX(p_Risk,MATCH(LARGE(p_Key,130),p_Key,0)),"")</f>
        <v/>
      </c>
      <c r="M134" s="43">
        <f>IFERROR(INDEX(p_Month,MATCH(LARGE(p_Key,130),p_Key,0)),"")</f>
        <v/>
      </c>
      <c r="N134" s="38">
        <f>IFERROR(INDEX(p_Flags,MATCH(LARGE(p_Key,130),p_Key,0)),"")</f>
        <v/>
      </c>
    </row>
    <row r="135">
      <c r="A135" s="11">
        <f>IF(D135="","",131)</f>
        <v/>
      </c>
      <c r="B135" s="42">
        <f>IFERROR(INDEX(p_Rating,MATCH(LARGE(p_Key,131),p_Key,0)),"")</f>
        <v/>
      </c>
      <c r="C135" s="11">
        <f>IFERROR(INDEX(p_Score,MATCH(LARGE(p_Key,131),p_Key,0)),"")</f>
        <v/>
      </c>
      <c r="D135" s="38">
        <f>IFERROR(INDEX(p_Job,MATCH(LARGE(p_Key,131),p_Key,0)),"")</f>
        <v/>
      </c>
      <c r="E135" s="38">
        <f>IFERROR(INDEX(p_Client,MATCH(LARGE(p_Key,131),p_Key,0)),"")</f>
        <v/>
      </c>
      <c r="F135" s="38">
        <f>IFERROR(INDEX(p_Deal,MATCH(LARGE(p_Key,131),p_Key,0)),"")</f>
        <v/>
      </c>
      <c r="G135" s="38">
        <f>IFERROR(INDEX(p_CC,MATCH(LARGE(p_Key,131),p_Key,0)),"")</f>
        <v/>
      </c>
      <c r="H135" s="38">
        <f>IFERROR(INDEX(p_Status,MATCH(LARGE(p_Key,131),p_Key,0)),"")</f>
        <v/>
      </c>
      <c r="I135" s="38">
        <f>IFERROR(INDEX(p_Stage,MATCH(LARGE(p_Key,131),p_Key,0)),"")</f>
        <v/>
      </c>
      <c r="J135" s="12">
        <f>IFERROR(INDEX(p_Value,MATCH(LARGE(p_Key,131),p_Key,0)),"")</f>
        <v/>
      </c>
      <c r="K135" s="33">
        <f>IFERROR(IF(H135="Open",INDEX(p_Prob,MATCH(LARGE(p_Key,131),p_Key,0)),""),"")</f>
        <v/>
      </c>
      <c r="L135" s="12">
        <f>IFERROR(INDEX(p_Risk,MATCH(LARGE(p_Key,131),p_Key,0)),"")</f>
        <v/>
      </c>
      <c r="M135" s="43">
        <f>IFERROR(INDEX(p_Month,MATCH(LARGE(p_Key,131),p_Key,0)),"")</f>
        <v/>
      </c>
      <c r="N135" s="38">
        <f>IFERROR(INDEX(p_Flags,MATCH(LARGE(p_Key,131),p_Key,0)),"")</f>
        <v/>
      </c>
    </row>
    <row r="136">
      <c r="A136" s="11">
        <f>IF(D136="","",132)</f>
        <v/>
      </c>
      <c r="B136" s="42">
        <f>IFERROR(INDEX(p_Rating,MATCH(LARGE(p_Key,132),p_Key,0)),"")</f>
        <v/>
      </c>
      <c r="C136" s="11">
        <f>IFERROR(INDEX(p_Score,MATCH(LARGE(p_Key,132),p_Key,0)),"")</f>
        <v/>
      </c>
      <c r="D136" s="38">
        <f>IFERROR(INDEX(p_Job,MATCH(LARGE(p_Key,132),p_Key,0)),"")</f>
        <v/>
      </c>
      <c r="E136" s="38">
        <f>IFERROR(INDEX(p_Client,MATCH(LARGE(p_Key,132),p_Key,0)),"")</f>
        <v/>
      </c>
      <c r="F136" s="38">
        <f>IFERROR(INDEX(p_Deal,MATCH(LARGE(p_Key,132),p_Key,0)),"")</f>
        <v/>
      </c>
      <c r="G136" s="38">
        <f>IFERROR(INDEX(p_CC,MATCH(LARGE(p_Key,132),p_Key,0)),"")</f>
        <v/>
      </c>
      <c r="H136" s="38">
        <f>IFERROR(INDEX(p_Status,MATCH(LARGE(p_Key,132),p_Key,0)),"")</f>
        <v/>
      </c>
      <c r="I136" s="38">
        <f>IFERROR(INDEX(p_Stage,MATCH(LARGE(p_Key,132),p_Key,0)),"")</f>
        <v/>
      </c>
      <c r="J136" s="12">
        <f>IFERROR(INDEX(p_Value,MATCH(LARGE(p_Key,132),p_Key,0)),"")</f>
        <v/>
      </c>
      <c r="K136" s="33">
        <f>IFERROR(IF(H136="Open",INDEX(p_Prob,MATCH(LARGE(p_Key,132),p_Key,0)),""),"")</f>
        <v/>
      </c>
      <c r="L136" s="12">
        <f>IFERROR(INDEX(p_Risk,MATCH(LARGE(p_Key,132),p_Key,0)),"")</f>
        <v/>
      </c>
      <c r="M136" s="43">
        <f>IFERROR(INDEX(p_Month,MATCH(LARGE(p_Key,132),p_Key,0)),"")</f>
        <v/>
      </c>
      <c r="N136" s="38">
        <f>IFERROR(INDEX(p_Flags,MATCH(LARGE(p_Key,132),p_Key,0)),"")</f>
        <v/>
      </c>
    </row>
    <row r="137">
      <c r="A137" s="11">
        <f>IF(D137="","",133)</f>
        <v/>
      </c>
      <c r="B137" s="42">
        <f>IFERROR(INDEX(p_Rating,MATCH(LARGE(p_Key,133),p_Key,0)),"")</f>
        <v/>
      </c>
      <c r="C137" s="11">
        <f>IFERROR(INDEX(p_Score,MATCH(LARGE(p_Key,133),p_Key,0)),"")</f>
        <v/>
      </c>
      <c r="D137" s="38">
        <f>IFERROR(INDEX(p_Job,MATCH(LARGE(p_Key,133),p_Key,0)),"")</f>
        <v/>
      </c>
      <c r="E137" s="38">
        <f>IFERROR(INDEX(p_Client,MATCH(LARGE(p_Key,133),p_Key,0)),"")</f>
        <v/>
      </c>
      <c r="F137" s="38">
        <f>IFERROR(INDEX(p_Deal,MATCH(LARGE(p_Key,133),p_Key,0)),"")</f>
        <v/>
      </c>
      <c r="G137" s="38">
        <f>IFERROR(INDEX(p_CC,MATCH(LARGE(p_Key,133),p_Key,0)),"")</f>
        <v/>
      </c>
      <c r="H137" s="38">
        <f>IFERROR(INDEX(p_Status,MATCH(LARGE(p_Key,133),p_Key,0)),"")</f>
        <v/>
      </c>
      <c r="I137" s="38">
        <f>IFERROR(INDEX(p_Stage,MATCH(LARGE(p_Key,133),p_Key,0)),"")</f>
        <v/>
      </c>
      <c r="J137" s="12">
        <f>IFERROR(INDEX(p_Value,MATCH(LARGE(p_Key,133),p_Key,0)),"")</f>
        <v/>
      </c>
      <c r="K137" s="33">
        <f>IFERROR(IF(H137="Open",INDEX(p_Prob,MATCH(LARGE(p_Key,133),p_Key,0)),""),"")</f>
        <v/>
      </c>
      <c r="L137" s="12">
        <f>IFERROR(INDEX(p_Risk,MATCH(LARGE(p_Key,133),p_Key,0)),"")</f>
        <v/>
      </c>
      <c r="M137" s="43">
        <f>IFERROR(INDEX(p_Month,MATCH(LARGE(p_Key,133),p_Key,0)),"")</f>
        <v/>
      </c>
      <c r="N137" s="38">
        <f>IFERROR(INDEX(p_Flags,MATCH(LARGE(p_Key,133),p_Key,0)),"")</f>
        <v/>
      </c>
    </row>
    <row r="138">
      <c r="A138" s="11">
        <f>IF(D138="","",134)</f>
        <v/>
      </c>
      <c r="B138" s="42">
        <f>IFERROR(INDEX(p_Rating,MATCH(LARGE(p_Key,134),p_Key,0)),"")</f>
        <v/>
      </c>
      <c r="C138" s="11">
        <f>IFERROR(INDEX(p_Score,MATCH(LARGE(p_Key,134),p_Key,0)),"")</f>
        <v/>
      </c>
      <c r="D138" s="38">
        <f>IFERROR(INDEX(p_Job,MATCH(LARGE(p_Key,134),p_Key,0)),"")</f>
        <v/>
      </c>
      <c r="E138" s="38">
        <f>IFERROR(INDEX(p_Client,MATCH(LARGE(p_Key,134),p_Key,0)),"")</f>
        <v/>
      </c>
      <c r="F138" s="38">
        <f>IFERROR(INDEX(p_Deal,MATCH(LARGE(p_Key,134),p_Key,0)),"")</f>
        <v/>
      </c>
      <c r="G138" s="38">
        <f>IFERROR(INDEX(p_CC,MATCH(LARGE(p_Key,134),p_Key,0)),"")</f>
        <v/>
      </c>
      <c r="H138" s="38">
        <f>IFERROR(INDEX(p_Status,MATCH(LARGE(p_Key,134),p_Key,0)),"")</f>
        <v/>
      </c>
      <c r="I138" s="38">
        <f>IFERROR(INDEX(p_Stage,MATCH(LARGE(p_Key,134),p_Key,0)),"")</f>
        <v/>
      </c>
      <c r="J138" s="12">
        <f>IFERROR(INDEX(p_Value,MATCH(LARGE(p_Key,134),p_Key,0)),"")</f>
        <v/>
      </c>
      <c r="K138" s="33">
        <f>IFERROR(IF(H138="Open",INDEX(p_Prob,MATCH(LARGE(p_Key,134),p_Key,0)),""),"")</f>
        <v/>
      </c>
      <c r="L138" s="12">
        <f>IFERROR(INDEX(p_Risk,MATCH(LARGE(p_Key,134),p_Key,0)),"")</f>
        <v/>
      </c>
      <c r="M138" s="43">
        <f>IFERROR(INDEX(p_Month,MATCH(LARGE(p_Key,134),p_Key,0)),"")</f>
        <v/>
      </c>
      <c r="N138" s="38">
        <f>IFERROR(INDEX(p_Flags,MATCH(LARGE(p_Key,134),p_Key,0)),"")</f>
        <v/>
      </c>
    </row>
    <row r="139">
      <c r="A139" s="11">
        <f>IF(D139="","",135)</f>
        <v/>
      </c>
      <c r="B139" s="42">
        <f>IFERROR(INDEX(p_Rating,MATCH(LARGE(p_Key,135),p_Key,0)),"")</f>
        <v/>
      </c>
      <c r="C139" s="11">
        <f>IFERROR(INDEX(p_Score,MATCH(LARGE(p_Key,135),p_Key,0)),"")</f>
        <v/>
      </c>
      <c r="D139" s="38">
        <f>IFERROR(INDEX(p_Job,MATCH(LARGE(p_Key,135),p_Key,0)),"")</f>
        <v/>
      </c>
      <c r="E139" s="38">
        <f>IFERROR(INDEX(p_Client,MATCH(LARGE(p_Key,135),p_Key,0)),"")</f>
        <v/>
      </c>
      <c r="F139" s="38">
        <f>IFERROR(INDEX(p_Deal,MATCH(LARGE(p_Key,135),p_Key,0)),"")</f>
        <v/>
      </c>
      <c r="G139" s="38">
        <f>IFERROR(INDEX(p_CC,MATCH(LARGE(p_Key,135),p_Key,0)),"")</f>
        <v/>
      </c>
      <c r="H139" s="38">
        <f>IFERROR(INDEX(p_Status,MATCH(LARGE(p_Key,135),p_Key,0)),"")</f>
        <v/>
      </c>
      <c r="I139" s="38">
        <f>IFERROR(INDEX(p_Stage,MATCH(LARGE(p_Key,135),p_Key,0)),"")</f>
        <v/>
      </c>
      <c r="J139" s="12">
        <f>IFERROR(INDEX(p_Value,MATCH(LARGE(p_Key,135),p_Key,0)),"")</f>
        <v/>
      </c>
      <c r="K139" s="33">
        <f>IFERROR(IF(H139="Open",INDEX(p_Prob,MATCH(LARGE(p_Key,135),p_Key,0)),""),"")</f>
        <v/>
      </c>
      <c r="L139" s="12">
        <f>IFERROR(INDEX(p_Risk,MATCH(LARGE(p_Key,135),p_Key,0)),"")</f>
        <v/>
      </c>
      <c r="M139" s="43">
        <f>IFERROR(INDEX(p_Month,MATCH(LARGE(p_Key,135),p_Key,0)),"")</f>
        <v/>
      </c>
      <c r="N139" s="38">
        <f>IFERROR(INDEX(p_Flags,MATCH(LARGE(p_Key,135),p_Key,0)),"")</f>
        <v/>
      </c>
    </row>
    <row r="140">
      <c r="A140" s="11">
        <f>IF(D140="","",136)</f>
        <v/>
      </c>
      <c r="B140" s="42">
        <f>IFERROR(INDEX(p_Rating,MATCH(LARGE(p_Key,136),p_Key,0)),"")</f>
        <v/>
      </c>
      <c r="C140" s="11">
        <f>IFERROR(INDEX(p_Score,MATCH(LARGE(p_Key,136),p_Key,0)),"")</f>
        <v/>
      </c>
      <c r="D140" s="38">
        <f>IFERROR(INDEX(p_Job,MATCH(LARGE(p_Key,136),p_Key,0)),"")</f>
        <v/>
      </c>
      <c r="E140" s="38">
        <f>IFERROR(INDEX(p_Client,MATCH(LARGE(p_Key,136),p_Key,0)),"")</f>
        <v/>
      </c>
      <c r="F140" s="38">
        <f>IFERROR(INDEX(p_Deal,MATCH(LARGE(p_Key,136),p_Key,0)),"")</f>
        <v/>
      </c>
      <c r="G140" s="38">
        <f>IFERROR(INDEX(p_CC,MATCH(LARGE(p_Key,136),p_Key,0)),"")</f>
        <v/>
      </c>
      <c r="H140" s="38">
        <f>IFERROR(INDEX(p_Status,MATCH(LARGE(p_Key,136),p_Key,0)),"")</f>
        <v/>
      </c>
      <c r="I140" s="38">
        <f>IFERROR(INDEX(p_Stage,MATCH(LARGE(p_Key,136),p_Key,0)),"")</f>
        <v/>
      </c>
      <c r="J140" s="12">
        <f>IFERROR(INDEX(p_Value,MATCH(LARGE(p_Key,136),p_Key,0)),"")</f>
        <v/>
      </c>
      <c r="K140" s="33">
        <f>IFERROR(IF(H140="Open",INDEX(p_Prob,MATCH(LARGE(p_Key,136),p_Key,0)),""),"")</f>
        <v/>
      </c>
      <c r="L140" s="12">
        <f>IFERROR(INDEX(p_Risk,MATCH(LARGE(p_Key,136),p_Key,0)),"")</f>
        <v/>
      </c>
      <c r="M140" s="43">
        <f>IFERROR(INDEX(p_Month,MATCH(LARGE(p_Key,136),p_Key,0)),"")</f>
        <v/>
      </c>
      <c r="N140" s="38">
        <f>IFERROR(INDEX(p_Flags,MATCH(LARGE(p_Key,136),p_Key,0)),"")</f>
        <v/>
      </c>
    </row>
    <row r="141">
      <c r="A141" s="11">
        <f>IF(D141="","",137)</f>
        <v/>
      </c>
      <c r="B141" s="42">
        <f>IFERROR(INDEX(p_Rating,MATCH(LARGE(p_Key,137),p_Key,0)),"")</f>
        <v/>
      </c>
      <c r="C141" s="11">
        <f>IFERROR(INDEX(p_Score,MATCH(LARGE(p_Key,137),p_Key,0)),"")</f>
        <v/>
      </c>
      <c r="D141" s="38">
        <f>IFERROR(INDEX(p_Job,MATCH(LARGE(p_Key,137),p_Key,0)),"")</f>
        <v/>
      </c>
      <c r="E141" s="38">
        <f>IFERROR(INDEX(p_Client,MATCH(LARGE(p_Key,137),p_Key,0)),"")</f>
        <v/>
      </c>
      <c r="F141" s="38">
        <f>IFERROR(INDEX(p_Deal,MATCH(LARGE(p_Key,137),p_Key,0)),"")</f>
        <v/>
      </c>
      <c r="G141" s="38">
        <f>IFERROR(INDEX(p_CC,MATCH(LARGE(p_Key,137),p_Key,0)),"")</f>
        <v/>
      </c>
      <c r="H141" s="38">
        <f>IFERROR(INDEX(p_Status,MATCH(LARGE(p_Key,137),p_Key,0)),"")</f>
        <v/>
      </c>
      <c r="I141" s="38">
        <f>IFERROR(INDEX(p_Stage,MATCH(LARGE(p_Key,137),p_Key,0)),"")</f>
        <v/>
      </c>
      <c r="J141" s="12">
        <f>IFERROR(INDEX(p_Value,MATCH(LARGE(p_Key,137),p_Key,0)),"")</f>
        <v/>
      </c>
      <c r="K141" s="33">
        <f>IFERROR(IF(H141="Open",INDEX(p_Prob,MATCH(LARGE(p_Key,137),p_Key,0)),""),"")</f>
        <v/>
      </c>
      <c r="L141" s="12">
        <f>IFERROR(INDEX(p_Risk,MATCH(LARGE(p_Key,137),p_Key,0)),"")</f>
        <v/>
      </c>
      <c r="M141" s="43">
        <f>IFERROR(INDEX(p_Month,MATCH(LARGE(p_Key,137),p_Key,0)),"")</f>
        <v/>
      </c>
      <c r="N141" s="38">
        <f>IFERROR(INDEX(p_Flags,MATCH(LARGE(p_Key,137),p_Key,0)),"")</f>
        <v/>
      </c>
    </row>
    <row r="142">
      <c r="A142" s="11">
        <f>IF(D142="","",138)</f>
        <v/>
      </c>
      <c r="B142" s="42">
        <f>IFERROR(INDEX(p_Rating,MATCH(LARGE(p_Key,138),p_Key,0)),"")</f>
        <v/>
      </c>
      <c r="C142" s="11">
        <f>IFERROR(INDEX(p_Score,MATCH(LARGE(p_Key,138),p_Key,0)),"")</f>
        <v/>
      </c>
      <c r="D142" s="38">
        <f>IFERROR(INDEX(p_Job,MATCH(LARGE(p_Key,138),p_Key,0)),"")</f>
        <v/>
      </c>
      <c r="E142" s="38">
        <f>IFERROR(INDEX(p_Client,MATCH(LARGE(p_Key,138),p_Key,0)),"")</f>
        <v/>
      </c>
      <c r="F142" s="38">
        <f>IFERROR(INDEX(p_Deal,MATCH(LARGE(p_Key,138),p_Key,0)),"")</f>
        <v/>
      </c>
      <c r="G142" s="38">
        <f>IFERROR(INDEX(p_CC,MATCH(LARGE(p_Key,138),p_Key,0)),"")</f>
        <v/>
      </c>
      <c r="H142" s="38">
        <f>IFERROR(INDEX(p_Status,MATCH(LARGE(p_Key,138),p_Key,0)),"")</f>
        <v/>
      </c>
      <c r="I142" s="38">
        <f>IFERROR(INDEX(p_Stage,MATCH(LARGE(p_Key,138),p_Key,0)),"")</f>
        <v/>
      </c>
      <c r="J142" s="12">
        <f>IFERROR(INDEX(p_Value,MATCH(LARGE(p_Key,138),p_Key,0)),"")</f>
        <v/>
      </c>
      <c r="K142" s="33">
        <f>IFERROR(IF(H142="Open",INDEX(p_Prob,MATCH(LARGE(p_Key,138),p_Key,0)),""),"")</f>
        <v/>
      </c>
      <c r="L142" s="12">
        <f>IFERROR(INDEX(p_Risk,MATCH(LARGE(p_Key,138),p_Key,0)),"")</f>
        <v/>
      </c>
      <c r="M142" s="43">
        <f>IFERROR(INDEX(p_Month,MATCH(LARGE(p_Key,138),p_Key,0)),"")</f>
        <v/>
      </c>
      <c r="N142" s="38">
        <f>IFERROR(INDEX(p_Flags,MATCH(LARGE(p_Key,138),p_Key,0)),"")</f>
        <v/>
      </c>
    </row>
    <row r="143">
      <c r="A143" s="11">
        <f>IF(D143="","",139)</f>
        <v/>
      </c>
      <c r="B143" s="42">
        <f>IFERROR(INDEX(p_Rating,MATCH(LARGE(p_Key,139),p_Key,0)),"")</f>
        <v/>
      </c>
      <c r="C143" s="11">
        <f>IFERROR(INDEX(p_Score,MATCH(LARGE(p_Key,139),p_Key,0)),"")</f>
        <v/>
      </c>
      <c r="D143" s="38">
        <f>IFERROR(INDEX(p_Job,MATCH(LARGE(p_Key,139),p_Key,0)),"")</f>
        <v/>
      </c>
      <c r="E143" s="38">
        <f>IFERROR(INDEX(p_Client,MATCH(LARGE(p_Key,139),p_Key,0)),"")</f>
        <v/>
      </c>
      <c r="F143" s="38">
        <f>IFERROR(INDEX(p_Deal,MATCH(LARGE(p_Key,139),p_Key,0)),"")</f>
        <v/>
      </c>
      <c r="G143" s="38">
        <f>IFERROR(INDEX(p_CC,MATCH(LARGE(p_Key,139),p_Key,0)),"")</f>
        <v/>
      </c>
      <c r="H143" s="38">
        <f>IFERROR(INDEX(p_Status,MATCH(LARGE(p_Key,139),p_Key,0)),"")</f>
        <v/>
      </c>
      <c r="I143" s="38">
        <f>IFERROR(INDEX(p_Stage,MATCH(LARGE(p_Key,139),p_Key,0)),"")</f>
        <v/>
      </c>
      <c r="J143" s="12">
        <f>IFERROR(INDEX(p_Value,MATCH(LARGE(p_Key,139),p_Key,0)),"")</f>
        <v/>
      </c>
      <c r="K143" s="33">
        <f>IFERROR(IF(H143="Open",INDEX(p_Prob,MATCH(LARGE(p_Key,139),p_Key,0)),""),"")</f>
        <v/>
      </c>
      <c r="L143" s="12">
        <f>IFERROR(INDEX(p_Risk,MATCH(LARGE(p_Key,139),p_Key,0)),"")</f>
        <v/>
      </c>
      <c r="M143" s="43">
        <f>IFERROR(INDEX(p_Month,MATCH(LARGE(p_Key,139),p_Key,0)),"")</f>
        <v/>
      </c>
      <c r="N143" s="38">
        <f>IFERROR(INDEX(p_Flags,MATCH(LARGE(p_Key,139),p_Key,0)),"")</f>
        <v/>
      </c>
    </row>
    <row r="144">
      <c r="A144" s="11">
        <f>IF(D144="","",140)</f>
        <v/>
      </c>
      <c r="B144" s="42">
        <f>IFERROR(INDEX(p_Rating,MATCH(LARGE(p_Key,140),p_Key,0)),"")</f>
        <v/>
      </c>
      <c r="C144" s="11">
        <f>IFERROR(INDEX(p_Score,MATCH(LARGE(p_Key,140),p_Key,0)),"")</f>
        <v/>
      </c>
      <c r="D144" s="38">
        <f>IFERROR(INDEX(p_Job,MATCH(LARGE(p_Key,140),p_Key,0)),"")</f>
        <v/>
      </c>
      <c r="E144" s="38">
        <f>IFERROR(INDEX(p_Client,MATCH(LARGE(p_Key,140),p_Key,0)),"")</f>
        <v/>
      </c>
      <c r="F144" s="38">
        <f>IFERROR(INDEX(p_Deal,MATCH(LARGE(p_Key,140),p_Key,0)),"")</f>
        <v/>
      </c>
      <c r="G144" s="38">
        <f>IFERROR(INDEX(p_CC,MATCH(LARGE(p_Key,140),p_Key,0)),"")</f>
        <v/>
      </c>
      <c r="H144" s="38">
        <f>IFERROR(INDEX(p_Status,MATCH(LARGE(p_Key,140),p_Key,0)),"")</f>
        <v/>
      </c>
      <c r="I144" s="38">
        <f>IFERROR(INDEX(p_Stage,MATCH(LARGE(p_Key,140),p_Key,0)),"")</f>
        <v/>
      </c>
      <c r="J144" s="12">
        <f>IFERROR(INDEX(p_Value,MATCH(LARGE(p_Key,140),p_Key,0)),"")</f>
        <v/>
      </c>
      <c r="K144" s="33">
        <f>IFERROR(IF(H144="Open",INDEX(p_Prob,MATCH(LARGE(p_Key,140),p_Key,0)),""),"")</f>
        <v/>
      </c>
      <c r="L144" s="12">
        <f>IFERROR(INDEX(p_Risk,MATCH(LARGE(p_Key,140),p_Key,0)),"")</f>
        <v/>
      </c>
      <c r="M144" s="43">
        <f>IFERROR(INDEX(p_Month,MATCH(LARGE(p_Key,140),p_Key,0)),"")</f>
        <v/>
      </c>
      <c r="N144" s="38">
        <f>IFERROR(INDEX(p_Flags,MATCH(LARGE(p_Key,140),p_Key,0)),"")</f>
        <v/>
      </c>
    </row>
    <row r="145">
      <c r="A145" s="11">
        <f>IF(D145="","",141)</f>
        <v/>
      </c>
      <c r="B145" s="42">
        <f>IFERROR(INDEX(p_Rating,MATCH(LARGE(p_Key,141),p_Key,0)),"")</f>
        <v/>
      </c>
      <c r="C145" s="11">
        <f>IFERROR(INDEX(p_Score,MATCH(LARGE(p_Key,141),p_Key,0)),"")</f>
        <v/>
      </c>
      <c r="D145" s="38">
        <f>IFERROR(INDEX(p_Job,MATCH(LARGE(p_Key,141),p_Key,0)),"")</f>
        <v/>
      </c>
      <c r="E145" s="38">
        <f>IFERROR(INDEX(p_Client,MATCH(LARGE(p_Key,141),p_Key,0)),"")</f>
        <v/>
      </c>
      <c r="F145" s="38">
        <f>IFERROR(INDEX(p_Deal,MATCH(LARGE(p_Key,141),p_Key,0)),"")</f>
        <v/>
      </c>
      <c r="G145" s="38">
        <f>IFERROR(INDEX(p_CC,MATCH(LARGE(p_Key,141),p_Key,0)),"")</f>
        <v/>
      </c>
      <c r="H145" s="38">
        <f>IFERROR(INDEX(p_Status,MATCH(LARGE(p_Key,141),p_Key,0)),"")</f>
        <v/>
      </c>
      <c r="I145" s="38">
        <f>IFERROR(INDEX(p_Stage,MATCH(LARGE(p_Key,141),p_Key,0)),"")</f>
        <v/>
      </c>
      <c r="J145" s="12">
        <f>IFERROR(INDEX(p_Value,MATCH(LARGE(p_Key,141),p_Key,0)),"")</f>
        <v/>
      </c>
      <c r="K145" s="33">
        <f>IFERROR(IF(H145="Open",INDEX(p_Prob,MATCH(LARGE(p_Key,141),p_Key,0)),""),"")</f>
        <v/>
      </c>
      <c r="L145" s="12">
        <f>IFERROR(INDEX(p_Risk,MATCH(LARGE(p_Key,141),p_Key,0)),"")</f>
        <v/>
      </c>
      <c r="M145" s="43">
        <f>IFERROR(INDEX(p_Month,MATCH(LARGE(p_Key,141),p_Key,0)),"")</f>
        <v/>
      </c>
      <c r="N145" s="38">
        <f>IFERROR(INDEX(p_Flags,MATCH(LARGE(p_Key,141),p_Key,0)),"")</f>
        <v/>
      </c>
    </row>
    <row r="146">
      <c r="A146" s="11">
        <f>IF(D146="","",142)</f>
        <v/>
      </c>
      <c r="B146" s="42">
        <f>IFERROR(INDEX(p_Rating,MATCH(LARGE(p_Key,142),p_Key,0)),"")</f>
        <v/>
      </c>
      <c r="C146" s="11">
        <f>IFERROR(INDEX(p_Score,MATCH(LARGE(p_Key,142),p_Key,0)),"")</f>
        <v/>
      </c>
      <c r="D146" s="38">
        <f>IFERROR(INDEX(p_Job,MATCH(LARGE(p_Key,142),p_Key,0)),"")</f>
        <v/>
      </c>
      <c r="E146" s="38">
        <f>IFERROR(INDEX(p_Client,MATCH(LARGE(p_Key,142),p_Key,0)),"")</f>
        <v/>
      </c>
      <c r="F146" s="38">
        <f>IFERROR(INDEX(p_Deal,MATCH(LARGE(p_Key,142),p_Key,0)),"")</f>
        <v/>
      </c>
      <c r="G146" s="38">
        <f>IFERROR(INDEX(p_CC,MATCH(LARGE(p_Key,142),p_Key,0)),"")</f>
        <v/>
      </c>
      <c r="H146" s="38">
        <f>IFERROR(INDEX(p_Status,MATCH(LARGE(p_Key,142),p_Key,0)),"")</f>
        <v/>
      </c>
      <c r="I146" s="38">
        <f>IFERROR(INDEX(p_Stage,MATCH(LARGE(p_Key,142),p_Key,0)),"")</f>
        <v/>
      </c>
      <c r="J146" s="12">
        <f>IFERROR(INDEX(p_Value,MATCH(LARGE(p_Key,142),p_Key,0)),"")</f>
        <v/>
      </c>
      <c r="K146" s="33">
        <f>IFERROR(IF(H146="Open",INDEX(p_Prob,MATCH(LARGE(p_Key,142),p_Key,0)),""),"")</f>
        <v/>
      </c>
      <c r="L146" s="12">
        <f>IFERROR(INDEX(p_Risk,MATCH(LARGE(p_Key,142),p_Key,0)),"")</f>
        <v/>
      </c>
      <c r="M146" s="43">
        <f>IFERROR(INDEX(p_Month,MATCH(LARGE(p_Key,142),p_Key,0)),"")</f>
        <v/>
      </c>
      <c r="N146" s="38">
        <f>IFERROR(INDEX(p_Flags,MATCH(LARGE(p_Key,142),p_Key,0)),"")</f>
        <v/>
      </c>
    </row>
    <row r="147">
      <c r="A147" s="11">
        <f>IF(D147="","",143)</f>
        <v/>
      </c>
      <c r="B147" s="42">
        <f>IFERROR(INDEX(p_Rating,MATCH(LARGE(p_Key,143),p_Key,0)),"")</f>
        <v/>
      </c>
      <c r="C147" s="11">
        <f>IFERROR(INDEX(p_Score,MATCH(LARGE(p_Key,143),p_Key,0)),"")</f>
        <v/>
      </c>
      <c r="D147" s="38">
        <f>IFERROR(INDEX(p_Job,MATCH(LARGE(p_Key,143),p_Key,0)),"")</f>
        <v/>
      </c>
      <c r="E147" s="38">
        <f>IFERROR(INDEX(p_Client,MATCH(LARGE(p_Key,143),p_Key,0)),"")</f>
        <v/>
      </c>
      <c r="F147" s="38">
        <f>IFERROR(INDEX(p_Deal,MATCH(LARGE(p_Key,143),p_Key,0)),"")</f>
        <v/>
      </c>
      <c r="G147" s="38">
        <f>IFERROR(INDEX(p_CC,MATCH(LARGE(p_Key,143),p_Key,0)),"")</f>
        <v/>
      </c>
      <c r="H147" s="38">
        <f>IFERROR(INDEX(p_Status,MATCH(LARGE(p_Key,143),p_Key,0)),"")</f>
        <v/>
      </c>
      <c r="I147" s="38">
        <f>IFERROR(INDEX(p_Stage,MATCH(LARGE(p_Key,143),p_Key,0)),"")</f>
        <v/>
      </c>
      <c r="J147" s="12">
        <f>IFERROR(INDEX(p_Value,MATCH(LARGE(p_Key,143),p_Key,0)),"")</f>
        <v/>
      </c>
      <c r="K147" s="33">
        <f>IFERROR(IF(H147="Open",INDEX(p_Prob,MATCH(LARGE(p_Key,143),p_Key,0)),""),"")</f>
        <v/>
      </c>
      <c r="L147" s="12">
        <f>IFERROR(INDEX(p_Risk,MATCH(LARGE(p_Key,143),p_Key,0)),"")</f>
        <v/>
      </c>
      <c r="M147" s="43">
        <f>IFERROR(INDEX(p_Month,MATCH(LARGE(p_Key,143),p_Key,0)),"")</f>
        <v/>
      </c>
      <c r="N147" s="38">
        <f>IFERROR(INDEX(p_Flags,MATCH(LARGE(p_Key,143),p_Key,0)),"")</f>
        <v/>
      </c>
    </row>
    <row r="148">
      <c r="A148" s="11">
        <f>IF(D148="","",144)</f>
        <v/>
      </c>
      <c r="B148" s="42">
        <f>IFERROR(INDEX(p_Rating,MATCH(LARGE(p_Key,144),p_Key,0)),"")</f>
        <v/>
      </c>
      <c r="C148" s="11">
        <f>IFERROR(INDEX(p_Score,MATCH(LARGE(p_Key,144),p_Key,0)),"")</f>
        <v/>
      </c>
      <c r="D148" s="38">
        <f>IFERROR(INDEX(p_Job,MATCH(LARGE(p_Key,144),p_Key,0)),"")</f>
        <v/>
      </c>
      <c r="E148" s="38">
        <f>IFERROR(INDEX(p_Client,MATCH(LARGE(p_Key,144),p_Key,0)),"")</f>
        <v/>
      </c>
      <c r="F148" s="38">
        <f>IFERROR(INDEX(p_Deal,MATCH(LARGE(p_Key,144),p_Key,0)),"")</f>
        <v/>
      </c>
      <c r="G148" s="38">
        <f>IFERROR(INDEX(p_CC,MATCH(LARGE(p_Key,144),p_Key,0)),"")</f>
        <v/>
      </c>
      <c r="H148" s="38">
        <f>IFERROR(INDEX(p_Status,MATCH(LARGE(p_Key,144),p_Key,0)),"")</f>
        <v/>
      </c>
      <c r="I148" s="38">
        <f>IFERROR(INDEX(p_Stage,MATCH(LARGE(p_Key,144),p_Key,0)),"")</f>
        <v/>
      </c>
      <c r="J148" s="12">
        <f>IFERROR(INDEX(p_Value,MATCH(LARGE(p_Key,144),p_Key,0)),"")</f>
        <v/>
      </c>
      <c r="K148" s="33">
        <f>IFERROR(IF(H148="Open",INDEX(p_Prob,MATCH(LARGE(p_Key,144),p_Key,0)),""),"")</f>
        <v/>
      </c>
      <c r="L148" s="12">
        <f>IFERROR(INDEX(p_Risk,MATCH(LARGE(p_Key,144),p_Key,0)),"")</f>
        <v/>
      </c>
      <c r="M148" s="43">
        <f>IFERROR(INDEX(p_Month,MATCH(LARGE(p_Key,144),p_Key,0)),"")</f>
        <v/>
      </c>
      <c r="N148" s="38">
        <f>IFERROR(INDEX(p_Flags,MATCH(LARGE(p_Key,144),p_Key,0)),"")</f>
        <v/>
      </c>
    </row>
    <row r="149">
      <c r="A149" s="11">
        <f>IF(D149="","",145)</f>
        <v/>
      </c>
      <c r="B149" s="42">
        <f>IFERROR(INDEX(p_Rating,MATCH(LARGE(p_Key,145),p_Key,0)),"")</f>
        <v/>
      </c>
      <c r="C149" s="11">
        <f>IFERROR(INDEX(p_Score,MATCH(LARGE(p_Key,145),p_Key,0)),"")</f>
        <v/>
      </c>
      <c r="D149" s="38">
        <f>IFERROR(INDEX(p_Job,MATCH(LARGE(p_Key,145),p_Key,0)),"")</f>
        <v/>
      </c>
      <c r="E149" s="38">
        <f>IFERROR(INDEX(p_Client,MATCH(LARGE(p_Key,145),p_Key,0)),"")</f>
        <v/>
      </c>
      <c r="F149" s="38">
        <f>IFERROR(INDEX(p_Deal,MATCH(LARGE(p_Key,145),p_Key,0)),"")</f>
        <v/>
      </c>
      <c r="G149" s="38">
        <f>IFERROR(INDEX(p_CC,MATCH(LARGE(p_Key,145),p_Key,0)),"")</f>
        <v/>
      </c>
      <c r="H149" s="38">
        <f>IFERROR(INDEX(p_Status,MATCH(LARGE(p_Key,145),p_Key,0)),"")</f>
        <v/>
      </c>
      <c r="I149" s="38">
        <f>IFERROR(INDEX(p_Stage,MATCH(LARGE(p_Key,145),p_Key,0)),"")</f>
        <v/>
      </c>
      <c r="J149" s="12">
        <f>IFERROR(INDEX(p_Value,MATCH(LARGE(p_Key,145),p_Key,0)),"")</f>
        <v/>
      </c>
      <c r="K149" s="33">
        <f>IFERROR(IF(H149="Open",INDEX(p_Prob,MATCH(LARGE(p_Key,145),p_Key,0)),""),"")</f>
        <v/>
      </c>
      <c r="L149" s="12">
        <f>IFERROR(INDEX(p_Risk,MATCH(LARGE(p_Key,145),p_Key,0)),"")</f>
        <v/>
      </c>
      <c r="M149" s="43">
        <f>IFERROR(INDEX(p_Month,MATCH(LARGE(p_Key,145),p_Key,0)),"")</f>
        <v/>
      </c>
      <c r="N149" s="38">
        <f>IFERROR(INDEX(p_Flags,MATCH(LARGE(p_Key,145),p_Key,0)),"")</f>
        <v/>
      </c>
    </row>
    <row r="150">
      <c r="A150" s="11">
        <f>IF(D150="","",146)</f>
        <v/>
      </c>
      <c r="B150" s="42">
        <f>IFERROR(INDEX(p_Rating,MATCH(LARGE(p_Key,146),p_Key,0)),"")</f>
        <v/>
      </c>
      <c r="C150" s="11">
        <f>IFERROR(INDEX(p_Score,MATCH(LARGE(p_Key,146),p_Key,0)),"")</f>
        <v/>
      </c>
      <c r="D150" s="38">
        <f>IFERROR(INDEX(p_Job,MATCH(LARGE(p_Key,146),p_Key,0)),"")</f>
        <v/>
      </c>
      <c r="E150" s="38">
        <f>IFERROR(INDEX(p_Client,MATCH(LARGE(p_Key,146),p_Key,0)),"")</f>
        <v/>
      </c>
      <c r="F150" s="38">
        <f>IFERROR(INDEX(p_Deal,MATCH(LARGE(p_Key,146),p_Key,0)),"")</f>
        <v/>
      </c>
      <c r="G150" s="38">
        <f>IFERROR(INDEX(p_CC,MATCH(LARGE(p_Key,146),p_Key,0)),"")</f>
        <v/>
      </c>
      <c r="H150" s="38">
        <f>IFERROR(INDEX(p_Status,MATCH(LARGE(p_Key,146),p_Key,0)),"")</f>
        <v/>
      </c>
      <c r="I150" s="38">
        <f>IFERROR(INDEX(p_Stage,MATCH(LARGE(p_Key,146),p_Key,0)),"")</f>
        <v/>
      </c>
      <c r="J150" s="12">
        <f>IFERROR(INDEX(p_Value,MATCH(LARGE(p_Key,146),p_Key,0)),"")</f>
        <v/>
      </c>
      <c r="K150" s="33">
        <f>IFERROR(IF(H150="Open",INDEX(p_Prob,MATCH(LARGE(p_Key,146),p_Key,0)),""),"")</f>
        <v/>
      </c>
      <c r="L150" s="12">
        <f>IFERROR(INDEX(p_Risk,MATCH(LARGE(p_Key,146),p_Key,0)),"")</f>
        <v/>
      </c>
      <c r="M150" s="43">
        <f>IFERROR(INDEX(p_Month,MATCH(LARGE(p_Key,146),p_Key,0)),"")</f>
        <v/>
      </c>
      <c r="N150" s="38">
        <f>IFERROR(INDEX(p_Flags,MATCH(LARGE(p_Key,146),p_Key,0)),"")</f>
        <v/>
      </c>
    </row>
    <row r="151">
      <c r="A151" s="11">
        <f>IF(D151="","",147)</f>
        <v/>
      </c>
      <c r="B151" s="42">
        <f>IFERROR(INDEX(p_Rating,MATCH(LARGE(p_Key,147),p_Key,0)),"")</f>
        <v/>
      </c>
      <c r="C151" s="11">
        <f>IFERROR(INDEX(p_Score,MATCH(LARGE(p_Key,147),p_Key,0)),"")</f>
        <v/>
      </c>
      <c r="D151" s="38">
        <f>IFERROR(INDEX(p_Job,MATCH(LARGE(p_Key,147),p_Key,0)),"")</f>
        <v/>
      </c>
      <c r="E151" s="38">
        <f>IFERROR(INDEX(p_Client,MATCH(LARGE(p_Key,147),p_Key,0)),"")</f>
        <v/>
      </c>
      <c r="F151" s="38">
        <f>IFERROR(INDEX(p_Deal,MATCH(LARGE(p_Key,147),p_Key,0)),"")</f>
        <v/>
      </c>
      <c r="G151" s="38">
        <f>IFERROR(INDEX(p_CC,MATCH(LARGE(p_Key,147),p_Key,0)),"")</f>
        <v/>
      </c>
      <c r="H151" s="38">
        <f>IFERROR(INDEX(p_Status,MATCH(LARGE(p_Key,147),p_Key,0)),"")</f>
        <v/>
      </c>
      <c r="I151" s="38">
        <f>IFERROR(INDEX(p_Stage,MATCH(LARGE(p_Key,147),p_Key,0)),"")</f>
        <v/>
      </c>
      <c r="J151" s="12">
        <f>IFERROR(INDEX(p_Value,MATCH(LARGE(p_Key,147),p_Key,0)),"")</f>
        <v/>
      </c>
      <c r="K151" s="33">
        <f>IFERROR(IF(H151="Open",INDEX(p_Prob,MATCH(LARGE(p_Key,147),p_Key,0)),""),"")</f>
        <v/>
      </c>
      <c r="L151" s="12">
        <f>IFERROR(INDEX(p_Risk,MATCH(LARGE(p_Key,147),p_Key,0)),"")</f>
        <v/>
      </c>
      <c r="M151" s="43">
        <f>IFERROR(INDEX(p_Month,MATCH(LARGE(p_Key,147),p_Key,0)),"")</f>
        <v/>
      </c>
      <c r="N151" s="38">
        <f>IFERROR(INDEX(p_Flags,MATCH(LARGE(p_Key,147),p_Key,0)),"")</f>
        <v/>
      </c>
    </row>
    <row r="152">
      <c r="A152" s="11">
        <f>IF(D152="","",148)</f>
        <v/>
      </c>
      <c r="B152" s="42">
        <f>IFERROR(INDEX(p_Rating,MATCH(LARGE(p_Key,148),p_Key,0)),"")</f>
        <v/>
      </c>
      <c r="C152" s="11">
        <f>IFERROR(INDEX(p_Score,MATCH(LARGE(p_Key,148),p_Key,0)),"")</f>
        <v/>
      </c>
      <c r="D152" s="38">
        <f>IFERROR(INDEX(p_Job,MATCH(LARGE(p_Key,148),p_Key,0)),"")</f>
        <v/>
      </c>
      <c r="E152" s="38">
        <f>IFERROR(INDEX(p_Client,MATCH(LARGE(p_Key,148),p_Key,0)),"")</f>
        <v/>
      </c>
      <c r="F152" s="38">
        <f>IFERROR(INDEX(p_Deal,MATCH(LARGE(p_Key,148),p_Key,0)),"")</f>
        <v/>
      </c>
      <c r="G152" s="38">
        <f>IFERROR(INDEX(p_CC,MATCH(LARGE(p_Key,148),p_Key,0)),"")</f>
        <v/>
      </c>
      <c r="H152" s="38">
        <f>IFERROR(INDEX(p_Status,MATCH(LARGE(p_Key,148),p_Key,0)),"")</f>
        <v/>
      </c>
      <c r="I152" s="38">
        <f>IFERROR(INDEX(p_Stage,MATCH(LARGE(p_Key,148),p_Key,0)),"")</f>
        <v/>
      </c>
      <c r="J152" s="12">
        <f>IFERROR(INDEX(p_Value,MATCH(LARGE(p_Key,148),p_Key,0)),"")</f>
        <v/>
      </c>
      <c r="K152" s="33">
        <f>IFERROR(IF(H152="Open",INDEX(p_Prob,MATCH(LARGE(p_Key,148),p_Key,0)),""),"")</f>
        <v/>
      </c>
      <c r="L152" s="12">
        <f>IFERROR(INDEX(p_Risk,MATCH(LARGE(p_Key,148),p_Key,0)),"")</f>
        <v/>
      </c>
      <c r="M152" s="43">
        <f>IFERROR(INDEX(p_Month,MATCH(LARGE(p_Key,148),p_Key,0)),"")</f>
        <v/>
      </c>
      <c r="N152" s="38">
        <f>IFERROR(INDEX(p_Flags,MATCH(LARGE(p_Key,148),p_Key,0)),"")</f>
        <v/>
      </c>
    </row>
    <row r="153">
      <c r="A153" s="11">
        <f>IF(D153="","",149)</f>
        <v/>
      </c>
      <c r="B153" s="42">
        <f>IFERROR(INDEX(p_Rating,MATCH(LARGE(p_Key,149),p_Key,0)),"")</f>
        <v/>
      </c>
      <c r="C153" s="11">
        <f>IFERROR(INDEX(p_Score,MATCH(LARGE(p_Key,149),p_Key,0)),"")</f>
        <v/>
      </c>
      <c r="D153" s="38">
        <f>IFERROR(INDEX(p_Job,MATCH(LARGE(p_Key,149),p_Key,0)),"")</f>
        <v/>
      </c>
      <c r="E153" s="38">
        <f>IFERROR(INDEX(p_Client,MATCH(LARGE(p_Key,149),p_Key,0)),"")</f>
        <v/>
      </c>
      <c r="F153" s="38">
        <f>IFERROR(INDEX(p_Deal,MATCH(LARGE(p_Key,149),p_Key,0)),"")</f>
        <v/>
      </c>
      <c r="G153" s="38">
        <f>IFERROR(INDEX(p_CC,MATCH(LARGE(p_Key,149),p_Key,0)),"")</f>
        <v/>
      </c>
      <c r="H153" s="38">
        <f>IFERROR(INDEX(p_Status,MATCH(LARGE(p_Key,149),p_Key,0)),"")</f>
        <v/>
      </c>
      <c r="I153" s="38">
        <f>IFERROR(INDEX(p_Stage,MATCH(LARGE(p_Key,149),p_Key,0)),"")</f>
        <v/>
      </c>
      <c r="J153" s="12">
        <f>IFERROR(INDEX(p_Value,MATCH(LARGE(p_Key,149),p_Key,0)),"")</f>
        <v/>
      </c>
      <c r="K153" s="33">
        <f>IFERROR(IF(H153="Open",INDEX(p_Prob,MATCH(LARGE(p_Key,149),p_Key,0)),""),"")</f>
        <v/>
      </c>
      <c r="L153" s="12">
        <f>IFERROR(INDEX(p_Risk,MATCH(LARGE(p_Key,149),p_Key,0)),"")</f>
        <v/>
      </c>
      <c r="M153" s="43">
        <f>IFERROR(INDEX(p_Month,MATCH(LARGE(p_Key,149),p_Key,0)),"")</f>
        <v/>
      </c>
      <c r="N153" s="38">
        <f>IFERROR(INDEX(p_Flags,MATCH(LARGE(p_Key,149),p_Key,0)),"")</f>
        <v/>
      </c>
    </row>
    <row r="154">
      <c r="A154" s="11">
        <f>IF(D154="","",150)</f>
        <v/>
      </c>
      <c r="B154" s="42">
        <f>IFERROR(INDEX(p_Rating,MATCH(LARGE(p_Key,150),p_Key,0)),"")</f>
        <v/>
      </c>
      <c r="C154" s="11">
        <f>IFERROR(INDEX(p_Score,MATCH(LARGE(p_Key,150),p_Key,0)),"")</f>
        <v/>
      </c>
      <c r="D154" s="38">
        <f>IFERROR(INDEX(p_Job,MATCH(LARGE(p_Key,150),p_Key,0)),"")</f>
        <v/>
      </c>
      <c r="E154" s="38">
        <f>IFERROR(INDEX(p_Client,MATCH(LARGE(p_Key,150),p_Key,0)),"")</f>
        <v/>
      </c>
      <c r="F154" s="38">
        <f>IFERROR(INDEX(p_Deal,MATCH(LARGE(p_Key,150),p_Key,0)),"")</f>
        <v/>
      </c>
      <c r="G154" s="38">
        <f>IFERROR(INDEX(p_CC,MATCH(LARGE(p_Key,150),p_Key,0)),"")</f>
        <v/>
      </c>
      <c r="H154" s="38">
        <f>IFERROR(INDEX(p_Status,MATCH(LARGE(p_Key,150),p_Key,0)),"")</f>
        <v/>
      </c>
      <c r="I154" s="38">
        <f>IFERROR(INDEX(p_Stage,MATCH(LARGE(p_Key,150),p_Key,0)),"")</f>
        <v/>
      </c>
      <c r="J154" s="12">
        <f>IFERROR(INDEX(p_Value,MATCH(LARGE(p_Key,150),p_Key,0)),"")</f>
        <v/>
      </c>
      <c r="K154" s="33">
        <f>IFERROR(IF(H154="Open",INDEX(p_Prob,MATCH(LARGE(p_Key,150),p_Key,0)),""),"")</f>
        <v/>
      </c>
      <c r="L154" s="12">
        <f>IFERROR(INDEX(p_Risk,MATCH(LARGE(p_Key,150),p_Key,0)),"")</f>
        <v/>
      </c>
      <c r="M154" s="43">
        <f>IFERROR(INDEX(p_Month,MATCH(LARGE(p_Key,150),p_Key,0)),"")</f>
        <v/>
      </c>
      <c r="N154" s="38">
        <f>IFERROR(INDEX(p_Flags,MATCH(LARGE(p_Key,150),p_Key,0)),"")</f>
        <v/>
      </c>
    </row>
    <row r="155">
      <c r="A155" s="11">
        <f>IF(D155="","",151)</f>
        <v/>
      </c>
      <c r="B155" s="42">
        <f>IFERROR(INDEX(p_Rating,MATCH(LARGE(p_Key,151),p_Key,0)),"")</f>
        <v/>
      </c>
      <c r="C155" s="11">
        <f>IFERROR(INDEX(p_Score,MATCH(LARGE(p_Key,151),p_Key,0)),"")</f>
        <v/>
      </c>
      <c r="D155" s="38">
        <f>IFERROR(INDEX(p_Job,MATCH(LARGE(p_Key,151),p_Key,0)),"")</f>
        <v/>
      </c>
      <c r="E155" s="38">
        <f>IFERROR(INDEX(p_Client,MATCH(LARGE(p_Key,151),p_Key,0)),"")</f>
        <v/>
      </c>
      <c r="F155" s="38">
        <f>IFERROR(INDEX(p_Deal,MATCH(LARGE(p_Key,151),p_Key,0)),"")</f>
        <v/>
      </c>
      <c r="G155" s="38">
        <f>IFERROR(INDEX(p_CC,MATCH(LARGE(p_Key,151),p_Key,0)),"")</f>
        <v/>
      </c>
      <c r="H155" s="38">
        <f>IFERROR(INDEX(p_Status,MATCH(LARGE(p_Key,151),p_Key,0)),"")</f>
        <v/>
      </c>
      <c r="I155" s="38">
        <f>IFERROR(INDEX(p_Stage,MATCH(LARGE(p_Key,151),p_Key,0)),"")</f>
        <v/>
      </c>
      <c r="J155" s="12">
        <f>IFERROR(INDEX(p_Value,MATCH(LARGE(p_Key,151),p_Key,0)),"")</f>
        <v/>
      </c>
      <c r="K155" s="33">
        <f>IFERROR(IF(H155="Open",INDEX(p_Prob,MATCH(LARGE(p_Key,151),p_Key,0)),""),"")</f>
        <v/>
      </c>
      <c r="L155" s="12">
        <f>IFERROR(INDEX(p_Risk,MATCH(LARGE(p_Key,151),p_Key,0)),"")</f>
        <v/>
      </c>
      <c r="M155" s="43">
        <f>IFERROR(INDEX(p_Month,MATCH(LARGE(p_Key,151),p_Key,0)),"")</f>
        <v/>
      </c>
      <c r="N155" s="38">
        <f>IFERROR(INDEX(p_Flags,MATCH(LARGE(p_Key,151),p_Key,0)),"")</f>
        <v/>
      </c>
    </row>
    <row r="156">
      <c r="A156" s="11">
        <f>IF(D156="","",152)</f>
        <v/>
      </c>
      <c r="B156" s="42">
        <f>IFERROR(INDEX(p_Rating,MATCH(LARGE(p_Key,152),p_Key,0)),"")</f>
        <v/>
      </c>
      <c r="C156" s="11">
        <f>IFERROR(INDEX(p_Score,MATCH(LARGE(p_Key,152),p_Key,0)),"")</f>
        <v/>
      </c>
      <c r="D156" s="38">
        <f>IFERROR(INDEX(p_Job,MATCH(LARGE(p_Key,152),p_Key,0)),"")</f>
        <v/>
      </c>
      <c r="E156" s="38">
        <f>IFERROR(INDEX(p_Client,MATCH(LARGE(p_Key,152),p_Key,0)),"")</f>
        <v/>
      </c>
      <c r="F156" s="38">
        <f>IFERROR(INDEX(p_Deal,MATCH(LARGE(p_Key,152),p_Key,0)),"")</f>
        <v/>
      </c>
      <c r="G156" s="38">
        <f>IFERROR(INDEX(p_CC,MATCH(LARGE(p_Key,152),p_Key,0)),"")</f>
        <v/>
      </c>
      <c r="H156" s="38">
        <f>IFERROR(INDEX(p_Status,MATCH(LARGE(p_Key,152),p_Key,0)),"")</f>
        <v/>
      </c>
      <c r="I156" s="38">
        <f>IFERROR(INDEX(p_Stage,MATCH(LARGE(p_Key,152),p_Key,0)),"")</f>
        <v/>
      </c>
      <c r="J156" s="12">
        <f>IFERROR(INDEX(p_Value,MATCH(LARGE(p_Key,152),p_Key,0)),"")</f>
        <v/>
      </c>
      <c r="K156" s="33">
        <f>IFERROR(IF(H156="Open",INDEX(p_Prob,MATCH(LARGE(p_Key,152),p_Key,0)),""),"")</f>
        <v/>
      </c>
      <c r="L156" s="12">
        <f>IFERROR(INDEX(p_Risk,MATCH(LARGE(p_Key,152),p_Key,0)),"")</f>
        <v/>
      </c>
      <c r="M156" s="43">
        <f>IFERROR(INDEX(p_Month,MATCH(LARGE(p_Key,152),p_Key,0)),"")</f>
        <v/>
      </c>
      <c r="N156" s="38">
        <f>IFERROR(INDEX(p_Flags,MATCH(LARGE(p_Key,152),p_Key,0)),"")</f>
        <v/>
      </c>
    </row>
    <row r="157">
      <c r="A157" s="11">
        <f>IF(D157="","",153)</f>
        <v/>
      </c>
      <c r="B157" s="42">
        <f>IFERROR(INDEX(p_Rating,MATCH(LARGE(p_Key,153),p_Key,0)),"")</f>
        <v/>
      </c>
      <c r="C157" s="11">
        <f>IFERROR(INDEX(p_Score,MATCH(LARGE(p_Key,153),p_Key,0)),"")</f>
        <v/>
      </c>
      <c r="D157" s="38">
        <f>IFERROR(INDEX(p_Job,MATCH(LARGE(p_Key,153),p_Key,0)),"")</f>
        <v/>
      </c>
      <c r="E157" s="38">
        <f>IFERROR(INDEX(p_Client,MATCH(LARGE(p_Key,153),p_Key,0)),"")</f>
        <v/>
      </c>
      <c r="F157" s="38">
        <f>IFERROR(INDEX(p_Deal,MATCH(LARGE(p_Key,153),p_Key,0)),"")</f>
        <v/>
      </c>
      <c r="G157" s="38">
        <f>IFERROR(INDEX(p_CC,MATCH(LARGE(p_Key,153),p_Key,0)),"")</f>
        <v/>
      </c>
      <c r="H157" s="38">
        <f>IFERROR(INDEX(p_Status,MATCH(LARGE(p_Key,153),p_Key,0)),"")</f>
        <v/>
      </c>
      <c r="I157" s="38">
        <f>IFERROR(INDEX(p_Stage,MATCH(LARGE(p_Key,153),p_Key,0)),"")</f>
        <v/>
      </c>
      <c r="J157" s="12">
        <f>IFERROR(INDEX(p_Value,MATCH(LARGE(p_Key,153),p_Key,0)),"")</f>
        <v/>
      </c>
      <c r="K157" s="33">
        <f>IFERROR(IF(H157="Open",INDEX(p_Prob,MATCH(LARGE(p_Key,153),p_Key,0)),""),"")</f>
        <v/>
      </c>
      <c r="L157" s="12">
        <f>IFERROR(INDEX(p_Risk,MATCH(LARGE(p_Key,153),p_Key,0)),"")</f>
        <v/>
      </c>
      <c r="M157" s="43">
        <f>IFERROR(INDEX(p_Month,MATCH(LARGE(p_Key,153),p_Key,0)),"")</f>
        <v/>
      </c>
      <c r="N157" s="38">
        <f>IFERROR(INDEX(p_Flags,MATCH(LARGE(p_Key,153),p_Key,0)),"")</f>
        <v/>
      </c>
    </row>
    <row r="158">
      <c r="A158" s="11">
        <f>IF(D158="","",154)</f>
        <v/>
      </c>
      <c r="B158" s="42">
        <f>IFERROR(INDEX(p_Rating,MATCH(LARGE(p_Key,154),p_Key,0)),"")</f>
        <v/>
      </c>
      <c r="C158" s="11">
        <f>IFERROR(INDEX(p_Score,MATCH(LARGE(p_Key,154),p_Key,0)),"")</f>
        <v/>
      </c>
      <c r="D158" s="38">
        <f>IFERROR(INDEX(p_Job,MATCH(LARGE(p_Key,154),p_Key,0)),"")</f>
        <v/>
      </c>
      <c r="E158" s="38">
        <f>IFERROR(INDEX(p_Client,MATCH(LARGE(p_Key,154),p_Key,0)),"")</f>
        <v/>
      </c>
      <c r="F158" s="38">
        <f>IFERROR(INDEX(p_Deal,MATCH(LARGE(p_Key,154),p_Key,0)),"")</f>
        <v/>
      </c>
      <c r="G158" s="38">
        <f>IFERROR(INDEX(p_CC,MATCH(LARGE(p_Key,154),p_Key,0)),"")</f>
        <v/>
      </c>
      <c r="H158" s="38">
        <f>IFERROR(INDEX(p_Status,MATCH(LARGE(p_Key,154),p_Key,0)),"")</f>
        <v/>
      </c>
      <c r="I158" s="38">
        <f>IFERROR(INDEX(p_Stage,MATCH(LARGE(p_Key,154),p_Key,0)),"")</f>
        <v/>
      </c>
      <c r="J158" s="12">
        <f>IFERROR(INDEX(p_Value,MATCH(LARGE(p_Key,154),p_Key,0)),"")</f>
        <v/>
      </c>
      <c r="K158" s="33">
        <f>IFERROR(IF(H158="Open",INDEX(p_Prob,MATCH(LARGE(p_Key,154),p_Key,0)),""),"")</f>
        <v/>
      </c>
      <c r="L158" s="12">
        <f>IFERROR(INDEX(p_Risk,MATCH(LARGE(p_Key,154),p_Key,0)),"")</f>
        <v/>
      </c>
      <c r="M158" s="43">
        <f>IFERROR(INDEX(p_Month,MATCH(LARGE(p_Key,154),p_Key,0)),"")</f>
        <v/>
      </c>
      <c r="N158" s="38">
        <f>IFERROR(INDEX(p_Flags,MATCH(LARGE(p_Key,154),p_Key,0)),"")</f>
        <v/>
      </c>
    </row>
    <row r="159">
      <c r="A159" s="11">
        <f>IF(D159="","",155)</f>
        <v/>
      </c>
      <c r="B159" s="42">
        <f>IFERROR(INDEX(p_Rating,MATCH(LARGE(p_Key,155),p_Key,0)),"")</f>
        <v/>
      </c>
      <c r="C159" s="11">
        <f>IFERROR(INDEX(p_Score,MATCH(LARGE(p_Key,155),p_Key,0)),"")</f>
        <v/>
      </c>
      <c r="D159" s="38">
        <f>IFERROR(INDEX(p_Job,MATCH(LARGE(p_Key,155),p_Key,0)),"")</f>
        <v/>
      </c>
      <c r="E159" s="38">
        <f>IFERROR(INDEX(p_Client,MATCH(LARGE(p_Key,155),p_Key,0)),"")</f>
        <v/>
      </c>
      <c r="F159" s="38">
        <f>IFERROR(INDEX(p_Deal,MATCH(LARGE(p_Key,155),p_Key,0)),"")</f>
        <v/>
      </c>
      <c r="G159" s="38">
        <f>IFERROR(INDEX(p_CC,MATCH(LARGE(p_Key,155),p_Key,0)),"")</f>
        <v/>
      </c>
      <c r="H159" s="38">
        <f>IFERROR(INDEX(p_Status,MATCH(LARGE(p_Key,155),p_Key,0)),"")</f>
        <v/>
      </c>
      <c r="I159" s="38">
        <f>IFERROR(INDEX(p_Stage,MATCH(LARGE(p_Key,155),p_Key,0)),"")</f>
        <v/>
      </c>
      <c r="J159" s="12">
        <f>IFERROR(INDEX(p_Value,MATCH(LARGE(p_Key,155),p_Key,0)),"")</f>
        <v/>
      </c>
      <c r="K159" s="33">
        <f>IFERROR(IF(H159="Open",INDEX(p_Prob,MATCH(LARGE(p_Key,155),p_Key,0)),""),"")</f>
        <v/>
      </c>
      <c r="L159" s="12">
        <f>IFERROR(INDEX(p_Risk,MATCH(LARGE(p_Key,155),p_Key,0)),"")</f>
        <v/>
      </c>
      <c r="M159" s="43">
        <f>IFERROR(INDEX(p_Month,MATCH(LARGE(p_Key,155),p_Key,0)),"")</f>
        <v/>
      </c>
      <c r="N159" s="38">
        <f>IFERROR(INDEX(p_Flags,MATCH(LARGE(p_Key,155),p_Key,0)),"")</f>
        <v/>
      </c>
    </row>
    <row r="160">
      <c r="A160" s="11">
        <f>IF(D160="","",156)</f>
        <v/>
      </c>
      <c r="B160" s="42">
        <f>IFERROR(INDEX(p_Rating,MATCH(LARGE(p_Key,156),p_Key,0)),"")</f>
        <v/>
      </c>
      <c r="C160" s="11">
        <f>IFERROR(INDEX(p_Score,MATCH(LARGE(p_Key,156),p_Key,0)),"")</f>
        <v/>
      </c>
      <c r="D160" s="38">
        <f>IFERROR(INDEX(p_Job,MATCH(LARGE(p_Key,156),p_Key,0)),"")</f>
        <v/>
      </c>
      <c r="E160" s="38">
        <f>IFERROR(INDEX(p_Client,MATCH(LARGE(p_Key,156),p_Key,0)),"")</f>
        <v/>
      </c>
      <c r="F160" s="38">
        <f>IFERROR(INDEX(p_Deal,MATCH(LARGE(p_Key,156),p_Key,0)),"")</f>
        <v/>
      </c>
      <c r="G160" s="38">
        <f>IFERROR(INDEX(p_CC,MATCH(LARGE(p_Key,156),p_Key,0)),"")</f>
        <v/>
      </c>
      <c r="H160" s="38">
        <f>IFERROR(INDEX(p_Status,MATCH(LARGE(p_Key,156),p_Key,0)),"")</f>
        <v/>
      </c>
      <c r="I160" s="38">
        <f>IFERROR(INDEX(p_Stage,MATCH(LARGE(p_Key,156),p_Key,0)),"")</f>
        <v/>
      </c>
      <c r="J160" s="12">
        <f>IFERROR(INDEX(p_Value,MATCH(LARGE(p_Key,156),p_Key,0)),"")</f>
        <v/>
      </c>
      <c r="K160" s="33">
        <f>IFERROR(IF(H160="Open",INDEX(p_Prob,MATCH(LARGE(p_Key,156),p_Key,0)),""),"")</f>
        <v/>
      </c>
      <c r="L160" s="12">
        <f>IFERROR(INDEX(p_Risk,MATCH(LARGE(p_Key,156),p_Key,0)),"")</f>
        <v/>
      </c>
      <c r="M160" s="43">
        <f>IFERROR(INDEX(p_Month,MATCH(LARGE(p_Key,156),p_Key,0)),"")</f>
        <v/>
      </c>
      <c r="N160" s="38">
        <f>IFERROR(INDEX(p_Flags,MATCH(LARGE(p_Key,156),p_Key,0)),"")</f>
        <v/>
      </c>
    </row>
    <row r="161">
      <c r="A161" s="11">
        <f>IF(D161="","",157)</f>
        <v/>
      </c>
      <c r="B161" s="42">
        <f>IFERROR(INDEX(p_Rating,MATCH(LARGE(p_Key,157),p_Key,0)),"")</f>
        <v/>
      </c>
      <c r="C161" s="11">
        <f>IFERROR(INDEX(p_Score,MATCH(LARGE(p_Key,157),p_Key,0)),"")</f>
        <v/>
      </c>
      <c r="D161" s="38">
        <f>IFERROR(INDEX(p_Job,MATCH(LARGE(p_Key,157),p_Key,0)),"")</f>
        <v/>
      </c>
      <c r="E161" s="38">
        <f>IFERROR(INDEX(p_Client,MATCH(LARGE(p_Key,157),p_Key,0)),"")</f>
        <v/>
      </c>
      <c r="F161" s="38">
        <f>IFERROR(INDEX(p_Deal,MATCH(LARGE(p_Key,157),p_Key,0)),"")</f>
        <v/>
      </c>
      <c r="G161" s="38">
        <f>IFERROR(INDEX(p_CC,MATCH(LARGE(p_Key,157),p_Key,0)),"")</f>
        <v/>
      </c>
      <c r="H161" s="38">
        <f>IFERROR(INDEX(p_Status,MATCH(LARGE(p_Key,157),p_Key,0)),"")</f>
        <v/>
      </c>
      <c r="I161" s="38">
        <f>IFERROR(INDEX(p_Stage,MATCH(LARGE(p_Key,157),p_Key,0)),"")</f>
        <v/>
      </c>
      <c r="J161" s="12">
        <f>IFERROR(INDEX(p_Value,MATCH(LARGE(p_Key,157),p_Key,0)),"")</f>
        <v/>
      </c>
      <c r="K161" s="33">
        <f>IFERROR(IF(H161="Open",INDEX(p_Prob,MATCH(LARGE(p_Key,157),p_Key,0)),""),"")</f>
        <v/>
      </c>
      <c r="L161" s="12">
        <f>IFERROR(INDEX(p_Risk,MATCH(LARGE(p_Key,157),p_Key,0)),"")</f>
        <v/>
      </c>
      <c r="M161" s="43">
        <f>IFERROR(INDEX(p_Month,MATCH(LARGE(p_Key,157),p_Key,0)),"")</f>
        <v/>
      </c>
      <c r="N161" s="38">
        <f>IFERROR(INDEX(p_Flags,MATCH(LARGE(p_Key,157),p_Key,0)),"")</f>
        <v/>
      </c>
    </row>
    <row r="162">
      <c r="A162" s="11">
        <f>IF(D162="","",158)</f>
        <v/>
      </c>
      <c r="B162" s="42">
        <f>IFERROR(INDEX(p_Rating,MATCH(LARGE(p_Key,158),p_Key,0)),"")</f>
        <v/>
      </c>
      <c r="C162" s="11">
        <f>IFERROR(INDEX(p_Score,MATCH(LARGE(p_Key,158),p_Key,0)),"")</f>
        <v/>
      </c>
      <c r="D162" s="38">
        <f>IFERROR(INDEX(p_Job,MATCH(LARGE(p_Key,158),p_Key,0)),"")</f>
        <v/>
      </c>
      <c r="E162" s="38">
        <f>IFERROR(INDEX(p_Client,MATCH(LARGE(p_Key,158),p_Key,0)),"")</f>
        <v/>
      </c>
      <c r="F162" s="38">
        <f>IFERROR(INDEX(p_Deal,MATCH(LARGE(p_Key,158),p_Key,0)),"")</f>
        <v/>
      </c>
      <c r="G162" s="38">
        <f>IFERROR(INDEX(p_CC,MATCH(LARGE(p_Key,158),p_Key,0)),"")</f>
        <v/>
      </c>
      <c r="H162" s="38">
        <f>IFERROR(INDEX(p_Status,MATCH(LARGE(p_Key,158),p_Key,0)),"")</f>
        <v/>
      </c>
      <c r="I162" s="38">
        <f>IFERROR(INDEX(p_Stage,MATCH(LARGE(p_Key,158),p_Key,0)),"")</f>
        <v/>
      </c>
      <c r="J162" s="12">
        <f>IFERROR(INDEX(p_Value,MATCH(LARGE(p_Key,158),p_Key,0)),"")</f>
        <v/>
      </c>
      <c r="K162" s="33">
        <f>IFERROR(IF(H162="Open",INDEX(p_Prob,MATCH(LARGE(p_Key,158),p_Key,0)),""),"")</f>
        <v/>
      </c>
      <c r="L162" s="12">
        <f>IFERROR(INDEX(p_Risk,MATCH(LARGE(p_Key,158),p_Key,0)),"")</f>
        <v/>
      </c>
      <c r="M162" s="43">
        <f>IFERROR(INDEX(p_Month,MATCH(LARGE(p_Key,158),p_Key,0)),"")</f>
        <v/>
      </c>
      <c r="N162" s="38">
        <f>IFERROR(INDEX(p_Flags,MATCH(LARGE(p_Key,158),p_Key,0)),"")</f>
        <v/>
      </c>
    </row>
    <row r="163">
      <c r="A163" s="11">
        <f>IF(D163="","",159)</f>
        <v/>
      </c>
      <c r="B163" s="42">
        <f>IFERROR(INDEX(p_Rating,MATCH(LARGE(p_Key,159),p_Key,0)),"")</f>
        <v/>
      </c>
      <c r="C163" s="11">
        <f>IFERROR(INDEX(p_Score,MATCH(LARGE(p_Key,159),p_Key,0)),"")</f>
        <v/>
      </c>
      <c r="D163" s="38">
        <f>IFERROR(INDEX(p_Job,MATCH(LARGE(p_Key,159),p_Key,0)),"")</f>
        <v/>
      </c>
      <c r="E163" s="38">
        <f>IFERROR(INDEX(p_Client,MATCH(LARGE(p_Key,159),p_Key,0)),"")</f>
        <v/>
      </c>
      <c r="F163" s="38">
        <f>IFERROR(INDEX(p_Deal,MATCH(LARGE(p_Key,159),p_Key,0)),"")</f>
        <v/>
      </c>
      <c r="G163" s="38">
        <f>IFERROR(INDEX(p_CC,MATCH(LARGE(p_Key,159),p_Key,0)),"")</f>
        <v/>
      </c>
      <c r="H163" s="38">
        <f>IFERROR(INDEX(p_Status,MATCH(LARGE(p_Key,159),p_Key,0)),"")</f>
        <v/>
      </c>
      <c r="I163" s="38">
        <f>IFERROR(INDEX(p_Stage,MATCH(LARGE(p_Key,159),p_Key,0)),"")</f>
        <v/>
      </c>
      <c r="J163" s="12">
        <f>IFERROR(INDEX(p_Value,MATCH(LARGE(p_Key,159),p_Key,0)),"")</f>
        <v/>
      </c>
      <c r="K163" s="33">
        <f>IFERROR(IF(H163="Open",INDEX(p_Prob,MATCH(LARGE(p_Key,159),p_Key,0)),""),"")</f>
        <v/>
      </c>
      <c r="L163" s="12">
        <f>IFERROR(INDEX(p_Risk,MATCH(LARGE(p_Key,159),p_Key,0)),"")</f>
        <v/>
      </c>
      <c r="M163" s="43">
        <f>IFERROR(INDEX(p_Month,MATCH(LARGE(p_Key,159),p_Key,0)),"")</f>
        <v/>
      </c>
      <c r="N163" s="38">
        <f>IFERROR(INDEX(p_Flags,MATCH(LARGE(p_Key,159),p_Key,0)),"")</f>
        <v/>
      </c>
    </row>
    <row r="164">
      <c r="A164" s="11">
        <f>IF(D164="","",160)</f>
        <v/>
      </c>
      <c r="B164" s="42">
        <f>IFERROR(INDEX(p_Rating,MATCH(LARGE(p_Key,160),p_Key,0)),"")</f>
        <v/>
      </c>
      <c r="C164" s="11">
        <f>IFERROR(INDEX(p_Score,MATCH(LARGE(p_Key,160),p_Key,0)),"")</f>
        <v/>
      </c>
      <c r="D164" s="38">
        <f>IFERROR(INDEX(p_Job,MATCH(LARGE(p_Key,160),p_Key,0)),"")</f>
        <v/>
      </c>
      <c r="E164" s="38">
        <f>IFERROR(INDEX(p_Client,MATCH(LARGE(p_Key,160),p_Key,0)),"")</f>
        <v/>
      </c>
      <c r="F164" s="38">
        <f>IFERROR(INDEX(p_Deal,MATCH(LARGE(p_Key,160),p_Key,0)),"")</f>
        <v/>
      </c>
      <c r="G164" s="38">
        <f>IFERROR(INDEX(p_CC,MATCH(LARGE(p_Key,160),p_Key,0)),"")</f>
        <v/>
      </c>
      <c r="H164" s="38">
        <f>IFERROR(INDEX(p_Status,MATCH(LARGE(p_Key,160),p_Key,0)),"")</f>
        <v/>
      </c>
      <c r="I164" s="38">
        <f>IFERROR(INDEX(p_Stage,MATCH(LARGE(p_Key,160),p_Key,0)),"")</f>
        <v/>
      </c>
      <c r="J164" s="12">
        <f>IFERROR(INDEX(p_Value,MATCH(LARGE(p_Key,160),p_Key,0)),"")</f>
        <v/>
      </c>
      <c r="K164" s="33">
        <f>IFERROR(IF(H164="Open",INDEX(p_Prob,MATCH(LARGE(p_Key,160),p_Key,0)),""),"")</f>
        <v/>
      </c>
      <c r="L164" s="12">
        <f>IFERROR(INDEX(p_Risk,MATCH(LARGE(p_Key,160),p_Key,0)),"")</f>
        <v/>
      </c>
      <c r="M164" s="43">
        <f>IFERROR(INDEX(p_Month,MATCH(LARGE(p_Key,160),p_Key,0)),"")</f>
        <v/>
      </c>
      <c r="N164" s="38">
        <f>IFERROR(INDEX(p_Flags,MATCH(LARGE(p_Key,160),p_Key,0)),"")</f>
        <v/>
      </c>
    </row>
    <row r="165">
      <c r="A165" s="11">
        <f>IF(D165="","",161)</f>
        <v/>
      </c>
      <c r="B165" s="42">
        <f>IFERROR(INDEX(p_Rating,MATCH(LARGE(p_Key,161),p_Key,0)),"")</f>
        <v/>
      </c>
      <c r="C165" s="11">
        <f>IFERROR(INDEX(p_Score,MATCH(LARGE(p_Key,161),p_Key,0)),"")</f>
        <v/>
      </c>
      <c r="D165" s="38">
        <f>IFERROR(INDEX(p_Job,MATCH(LARGE(p_Key,161),p_Key,0)),"")</f>
        <v/>
      </c>
      <c r="E165" s="38">
        <f>IFERROR(INDEX(p_Client,MATCH(LARGE(p_Key,161),p_Key,0)),"")</f>
        <v/>
      </c>
      <c r="F165" s="38">
        <f>IFERROR(INDEX(p_Deal,MATCH(LARGE(p_Key,161),p_Key,0)),"")</f>
        <v/>
      </c>
      <c r="G165" s="38">
        <f>IFERROR(INDEX(p_CC,MATCH(LARGE(p_Key,161),p_Key,0)),"")</f>
        <v/>
      </c>
      <c r="H165" s="38">
        <f>IFERROR(INDEX(p_Status,MATCH(LARGE(p_Key,161),p_Key,0)),"")</f>
        <v/>
      </c>
      <c r="I165" s="38">
        <f>IFERROR(INDEX(p_Stage,MATCH(LARGE(p_Key,161),p_Key,0)),"")</f>
        <v/>
      </c>
      <c r="J165" s="12">
        <f>IFERROR(INDEX(p_Value,MATCH(LARGE(p_Key,161),p_Key,0)),"")</f>
        <v/>
      </c>
      <c r="K165" s="33">
        <f>IFERROR(IF(H165="Open",INDEX(p_Prob,MATCH(LARGE(p_Key,161),p_Key,0)),""),"")</f>
        <v/>
      </c>
      <c r="L165" s="12">
        <f>IFERROR(INDEX(p_Risk,MATCH(LARGE(p_Key,161),p_Key,0)),"")</f>
        <v/>
      </c>
      <c r="M165" s="43">
        <f>IFERROR(INDEX(p_Month,MATCH(LARGE(p_Key,161),p_Key,0)),"")</f>
        <v/>
      </c>
      <c r="N165" s="38">
        <f>IFERROR(INDEX(p_Flags,MATCH(LARGE(p_Key,161),p_Key,0)),"")</f>
        <v/>
      </c>
    </row>
    <row r="166">
      <c r="A166" s="11">
        <f>IF(D166="","",162)</f>
        <v/>
      </c>
      <c r="B166" s="42">
        <f>IFERROR(INDEX(p_Rating,MATCH(LARGE(p_Key,162),p_Key,0)),"")</f>
        <v/>
      </c>
      <c r="C166" s="11">
        <f>IFERROR(INDEX(p_Score,MATCH(LARGE(p_Key,162),p_Key,0)),"")</f>
        <v/>
      </c>
      <c r="D166" s="38">
        <f>IFERROR(INDEX(p_Job,MATCH(LARGE(p_Key,162),p_Key,0)),"")</f>
        <v/>
      </c>
      <c r="E166" s="38">
        <f>IFERROR(INDEX(p_Client,MATCH(LARGE(p_Key,162),p_Key,0)),"")</f>
        <v/>
      </c>
      <c r="F166" s="38">
        <f>IFERROR(INDEX(p_Deal,MATCH(LARGE(p_Key,162),p_Key,0)),"")</f>
        <v/>
      </c>
      <c r="G166" s="38">
        <f>IFERROR(INDEX(p_CC,MATCH(LARGE(p_Key,162),p_Key,0)),"")</f>
        <v/>
      </c>
      <c r="H166" s="38">
        <f>IFERROR(INDEX(p_Status,MATCH(LARGE(p_Key,162),p_Key,0)),"")</f>
        <v/>
      </c>
      <c r="I166" s="38">
        <f>IFERROR(INDEX(p_Stage,MATCH(LARGE(p_Key,162),p_Key,0)),"")</f>
        <v/>
      </c>
      <c r="J166" s="12">
        <f>IFERROR(INDEX(p_Value,MATCH(LARGE(p_Key,162),p_Key,0)),"")</f>
        <v/>
      </c>
      <c r="K166" s="33">
        <f>IFERROR(IF(H166="Open",INDEX(p_Prob,MATCH(LARGE(p_Key,162),p_Key,0)),""),"")</f>
        <v/>
      </c>
      <c r="L166" s="12">
        <f>IFERROR(INDEX(p_Risk,MATCH(LARGE(p_Key,162),p_Key,0)),"")</f>
        <v/>
      </c>
      <c r="M166" s="43">
        <f>IFERROR(INDEX(p_Month,MATCH(LARGE(p_Key,162),p_Key,0)),"")</f>
        <v/>
      </c>
      <c r="N166" s="38">
        <f>IFERROR(INDEX(p_Flags,MATCH(LARGE(p_Key,162),p_Key,0)),"")</f>
        <v/>
      </c>
    </row>
    <row r="167">
      <c r="A167" s="11">
        <f>IF(D167="","",163)</f>
        <v/>
      </c>
      <c r="B167" s="42">
        <f>IFERROR(INDEX(p_Rating,MATCH(LARGE(p_Key,163),p_Key,0)),"")</f>
        <v/>
      </c>
      <c r="C167" s="11">
        <f>IFERROR(INDEX(p_Score,MATCH(LARGE(p_Key,163),p_Key,0)),"")</f>
        <v/>
      </c>
      <c r="D167" s="38">
        <f>IFERROR(INDEX(p_Job,MATCH(LARGE(p_Key,163),p_Key,0)),"")</f>
        <v/>
      </c>
      <c r="E167" s="38">
        <f>IFERROR(INDEX(p_Client,MATCH(LARGE(p_Key,163),p_Key,0)),"")</f>
        <v/>
      </c>
      <c r="F167" s="38">
        <f>IFERROR(INDEX(p_Deal,MATCH(LARGE(p_Key,163),p_Key,0)),"")</f>
        <v/>
      </c>
      <c r="G167" s="38">
        <f>IFERROR(INDEX(p_CC,MATCH(LARGE(p_Key,163),p_Key,0)),"")</f>
        <v/>
      </c>
      <c r="H167" s="38">
        <f>IFERROR(INDEX(p_Status,MATCH(LARGE(p_Key,163),p_Key,0)),"")</f>
        <v/>
      </c>
      <c r="I167" s="38">
        <f>IFERROR(INDEX(p_Stage,MATCH(LARGE(p_Key,163),p_Key,0)),"")</f>
        <v/>
      </c>
      <c r="J167" s="12">
        <f>IFERROR(INDEX(p_Value,MATCH(LARGE(p_Key,163),p_Key,0)),"")</f>
        <v/>
      </c>
      <c r="K167" s="33">
        <f>IFERROR(IF(H167="Open",INDEX(p_Prob,MATCH(LARGE(p_Key,163),p_Key,0)),""),"")</f>
        <v/>
      </c>
      <c r="L167" s="12">
        <f>IFERROR(INDEX(p_Risk,MATCH(LARGE(p_Key,163),p_Key,0)),"")</f>
        <v/>
      </c>
      <c r="M167" s="43">
        <f>IFERROR(INDEX(p_Month,MATCH(LARGE(p_Key,163),p_Key,0)),"")</f>
        <v/>
      </c>
      <c r="N167" s="38">
        <f>IFERROR(INDEX(p_Flags,MATCH(LARGE(p_Key,163),p_Key,0)),"")</f>
        <v/>
      </c>
    </row>
    <row r="168">
      <c r="A168" s="11">
        <f>IF(D168="","",164)</f>
        <v/>
      </c>
      <c r="B168" s="42">
        <f>IFERROR(INDEX(p_Rating,MATCH(LARGE(p_Key,164),p_Key,0)),"")</f>
        <v/>
      </c>
      <c r="C168" s="11">
        <f>IFERROR(INDEX(p_Score,MATCH(LARGE(p_Key,164),p_Key,0)),"")</f>
        <v/>
      </c>
      <c r="D168" s="38">
        <f>IFERROR(INDEX(p_Job,MATCH(LARGE(p_Key,164),p_Key,0)),"")</f>
        <v/>
      </c>
      <c r="E168" s="38">
        <f>IFERROR(INDEX(p_Client,MATCH(LARGE(p_Key,164),p_Key,0)),"")</f>
        <v/>
      </c>
      <c r="F168" s="38">
        <f>IFERROR(INDEX(p_Deal,MATCH(LARGE(p_Key,164),p_Key,0)),"")</f>
        <v/>
      </c>
      <c r="G168" s="38">
        <f>IFERROR(INDEX(p_CC,MATCH(LARGE(p_Key,164),p_Key,0)),"")</f>
        <v/>
      </c>
      <c r="H168" s="38">
        <f>IFERROR(INDEX(p_Status,MATCH(LARGE(p_Key,164),p_Key,0)),"")</f>
        <v/>
      </c>
      <c r="I168" s="38">
        <f>IFERROR(INDEX(p_Stage,MATCH(LARGE(p_Key,164),p_Key,0)),"")</f>
        <v/>
      </c>
      <c r="J168" s="12">
        <f>IFERROR(INDEX(p_Value,MATCH(LARGE(p_Key,164),p_Key,0)),"")</f>
        <v/>
      </c>
      <c r="K168" s="33">
        <f>IFERROR(IF(H168="Open",INDEX(p_Prob,MATCH(LARGE(p_Key,164),p_Key,0)),""),"")</f>
        <v/>
      </c>
      <c r="L168" s="12">
        <f>IFERROR(INDEX(p_Risk,MATCH(LARGE(p_Key,164),p_Key,0)),"")</f>
        <v/>
      </c>
      <c r="M168" s="43">
        <f>IFERROR(INDEX(p_Month,MATCH(LARGE(p_Key,164),p_Key,0)),"")</f>
        <v/>
      </c>
      <c r="N168" s="38">
        <f>IFERROR(INDEX(p_Flags,MATCH(LARGE(p_Key,164),p_Key,0)),"")</f>
        <v/>
      </c>
    </row>
    <row r="169">
      <c r="A169" s="11">
        <f>IF(D169="","",165)</f>
        <v/>
      </c>
      <c r="B169" s="42">
        <f>IFERROR(INDEX(p_Rating,MATCH(LARGE(p_Key,165),p_Key,0)),"")</f>
        <v/>
      </c>
      <c r="C169" s="11">
        <f>IFERROR(INDEX(p_Score,MATCH(LARGE(p_Key,165),p_Key,0)),"")</f>
        <v/>
      </c>
      <c r="D169" s="38">
        <f>IFERROR(INDEX(p_Job,MATCH(LARGE(p_Key,165),p_Key,0)),"")</f>
        <v/>
      </c>
      <c r="E169" s="38">
        <f>IFERROR(INDEX(p_Client,MATCH(LARGE(p_Key,165),p_Key,0)),"")</f>
        <v/>
      </c>
      <c r="F169" s="38">
        <f>IFERROR(INDEX(p_Deal,MATCH(LARGE(p_Key,165),p_Key,0)),"")</f>
        <v/>
      </c>
      <c r="G169" s="38">
        <f>IFERROR(INDEX(p_CC,MATCH(LARGE(p_Key,165),p_Key,0)),"")</f>
        <v/>
      </c>
      <c r="H169" s="38">
        <f>IFERROR(INDEX(p_Status,MATCH(LARGE(p_Key,165),p_Key,0)),"")</f>
        <v/>
      </c>
      <c r="I169" s="38">
        <f>IFERROR(INDEX(p_Stage,MATCH(LARGE(p_Key,165),p_Key,0)),"")</f>
        <v/>
      </c>
      <c r="J169" s="12">
        <f>IFERROR(INDEX(p_Value,MATCH(LARGE(p_Key,165),p_Key,0)),"")</f>
        <v/>
      </c>
      <c r="K169" s="33">
        <f>IFERROR(IF(H169="Open",INDEX(p_Prob,MATCH(LARGE(p_Key,165),p_Key,0)),""),"")</f>
        <v/>
      </c>
      <c r="L169" s="12">
        <f>IFERROR(INDEX(p_Risk,MATCH(LARGE(p_Key,165),p_Key,0)),"")</f>
        <v/>
      </c>
      <c r="M169" s="43">
        <f>IFERROR(INDEX(p_Month,MATCH(LARGE(p_Key,165),p_Key,0)),"")</f>
        <v/>
      </c>
      <c r="N169" s="38">
        <f>IFERROR(INDEX(p_Flags,MATCH(LARGE(p_Key,165),p_Key,0)),"")</f>
        <v/>
      </c>
    </row>
    <row r="170">
      <c r="A170" s="11">
        <f>IF(D170="","",166)</f>
        <v/>
      </c>
      <c r="B170" s="42">
        <f>IFERROR(INDEX(p_Rating,MATCH(LARGE(p_Key,166),p_Key,0)),"")</f>
        <v/>
      </c>
      <c r="C170" s="11">
        <f>IFERROR(INDEX(p_Score,MATCH(LARGE(p_Key,166),p_Key,0)),"")</f>
        <v/>
      </c>
      <c r="D170" s="38">
        <f>IFERROR(INDEX(p_Job,MATCH(LARGE(p_Key,166),p_Key,0)),"")</f>
        <v/>
      </c>
      <c r="E170" s="38">
        <f>IFERROR(INDEX(p_Client,MATCH(LARGE(p_Key,166),p_Key,0)),"")</f>
        <v/>
      </c>
      <c r="F170" s="38">
        <f>IFERROR(INDEX(p_Deal,MATCH(LARGE(p_Key,166),p_Key,0)),"")</f>
        <v/>
      </c>
      <c r="G170" s="38">
        <f>IFERROR(INDEX(p_CC,MATCH(LARGE(p_Key,166),p_Key,0)),"")</f>
        <v/>
      </c>
      <c r="H170" s="38">
        <f>IFERROR(INDEX(p_Status,MATCH(LARGE(p_Key,166),p_Key,0)),"")</f>
        <v/>
      </c>
      <c r="I170" s="38">
        <f>IFERROR(INDEX(p_Stage,MATCH(LARGE(p_Key,166),p_Key,0)),"")</f>
        <v/>
      </c>
      <c r="J170" s="12">
        <f>IFERROR(INDEX(p_Value,MATCH(LARGE(p_Key,166),p_Key,0)),"")</f>
        <v/>
      </c>
      <c r="K170" s="33">
        <f>IFERROR(IF(H170="Open",INDEX(p_Prob,MATCH(LARGE(p_Key,166),p_Key,0)),""),"")</f>
        <v/>
      </c>
      <c r="L170" s="12">
        <f>IFERROR(INDEX(p_Risk,MATCH(LARGE(p_Key,166),p_Key,0)),"")</f>
        <v/>
      </c>
      <c r="M170" s="43">
        <f>IFERROR(INDEX(p_Month,MATCH(LARGE(p_Key,166),p_Key,0)),"")</f>
        <v/>
      </c>
      <c r="N170" s="38">
        <f>IFERROR(INDEX(p_Flags,MATCH(LARGE(p_Key,166),p_Key,0)),"")</f>
        <v/>
      </c>
    </row>
    <row r="171">
      <c r="A171" s="11">
        <f>IF(D171="","",167)</f>
        <v/>
      </c>
      <c r="B171" s="42">
        <f>IFERROR(INDEX(p_Rating,MATCH(LARGE(p_Key,167),p_Key,0)),"")</f>
        <v/>
      </c>
      <c r="C171" s="11">
        <f>IFERROR(INDEX(p_Score,MATCH(LARGE(p_Key,167),p_Key,0)),"")</f>
        <v/>
      </c>
      <c r="D171" s="38">
        <f>IFERROR(INDEX(p_Job,MATCH(LARGE(p_Key,167),p_Key,0)),"")</f>
        <v/>
      </c>
      <c r="E171" s="38">
        <f>IFERROR(INDEX(p_Client,MATCH(LARGE(p_Key,167),p_Key,0)),"")</f>
        <v/>
      </c>
      <c r="F171" s="38">
        <f>IFERROR(INDEX(p_Deal,MATCH(LARGE(p_Key,167),p_Key,0)),"")</f>
        <v/>
      </c>
      <c r="G171" s="38">
        <f>IFERROR(INDEX(p_CC,MATCH(LARGE(p_Key,167),p_Key,0)),"")</f>
        <v/>
      </c>
      <c r="H171" s="38">
        <f>IFERROR(INDEX(p_Status,MATCH(LARGE(p_Key,167),p_Key,0)),"")</f>
        <v/>
      </c>
      <c r="I171" s="38">
        <f>IFERROR(INDEX(p_Stage,MATCH(LARGE(p_Key,167),p_Key,0)),"")</f>
        <v/>
      </c>
      <c r="J171" s="12">
        <f>IFERROR(INDEX(p_Value,MATCH(LARGE(p_Key,167),p_Key,0)),"")</f>
        <v/>
      </c>
      <c r="K171" s="33">
        <f>IFERROR(IF(H171="Open",INDEX(p_Prob,MATCH(LARGE(p_Key,167),p_Key,0)),""),"")</f>
        <v/>
      </c>
      <c r="L171" s="12">
        <f>IFERROR(INDEX(p_Risk,MATCH(LARGE(p_Key,167),p_Key,0)),"")</f>
        <v/>
      </c>
      <c r="M171" s="43">
        <f>IFERROR(INDEX(p_Month,MATCH(LARGE(p_Key,167),p_Key,0)),"")</f>
        <v/>
      </c>
      <c r="N171" s="38">
        <f>IFERROR(INDEX(p_Flags,MATCH(LARGE(p_Key,167),p_Key,0)),"")</f>
        <v/>
      </c>
    </row>
    <row r="172">
      <c r="A172" s="11">
        <f>IF(D172="","",168)</f>
        <v/>
      </c>
      <c r="B172" s="42">
        <f>IFERROR(INDEX(p_Rating,MATCH(LARGE(p_Key,168),p_Key,0)),"")</f>
        <v/>
      </c>
      <c r="C172" s="11">
        <f>IFERROR(INDEX(p_Score,MATCH(LARGE(p_Key,168),p_Key,0)),"")</f>
        <v/>
      </c>
      <c r="D172" s="38">
        <f>IFERROR(INDEX(p_Job,MATCH(LARGE(p_Key,168),p_Key,0)),"")</f>
        <v/>
      </c>
      <c r="E172" s="38">
        <f>IFERROR(INDEX(p_Client,MATCH(LARGE(p_Key,168),p_Key,0)),"")</f>
        <v/>
      </c>
      <c r="F172" s="38">
        <f>IFERROR(INDEX(p_Deal,MATCH(LARGE(p_Key,168),p_Key,0)),"")</f>
        <v/>
      </c>
      <c r="G172" s="38">
        <f>IFERROR(INDEX(p_CC,MATCH(LARGE(p_Key,168),p_Key,0)),"")</f>
        <v/>
      </c>
      <c r="H172" s="38">
        <f>IFERROR(INDEX(p_Status,MATCH(LARGE(p_Key,168),p_Key,0)),"")</f>
        <v/>
      </c>
      <c r="I172" s="38">
        <f>IFERROR(INDEX(p_Stage,MATCH(LARGE(p_Key,168),p_Key,0)),"")</f>
        <v/>
      </c>
      <c r="J172" s="12">
        <f>IFERROR(INDEX(p_Value,MATCH(LARGE(p_Key,168),p_Key,0)),"")</f>
        <v/>
      </c>
      <c r="K172" s="33">
        <f>IFERROR(IF(H172="Open",INDEX(p_Prob,MATCH(LARGE(p_Key,168),p_Key,0)),""),"")</f>
        <v/>
      </c>
      <c r="L172" s="12">
        <f>IFERROR(INDEX(p_Risk,MATCH(LARGE(p_Key,168),p_Key,0)),"")</f>
        <v/>
      </c>
      <c r="M172" s="43">
        <f>IFERROR(INDEX(p_Month,MATCH(LARGE(p_Key,168),p_Key,0)),"")</f>
        <v/>
      </c>
      <c r="N172" s="38">
        <f>IFERROR(INDEX(p_Flags,MATCH(LARGE(p_Key,168),p_Key,0)),"")</f>
        <v/>
      </c>
    </row>
    <row r="173">
      <c r="A173" s="11">
        <f>IF(D173="","",169)</f>
        <v/>
      </c>
      <c r="B173" s="42">
        <f>IFERROR(INDEX(p_Rating,MATCH(LARGE(p_Key,169),p_Key,0)),"")</f>
        <v/>
      </c>
      <c r="C173" s="11">
        <f>IFERROR(INDEX(p_Score,MATCH(LARGE(p_Key,169),p_Key,0)),"")</f>
        <v/>
      </c>
      <c r="D173" s="38">
        <f>IFERROR(INDEX(p_Job,MATCH(LARGE(p_Key,169),p_Key,0)),"")</f>
        <v/>
      </c>
      <c r="E173" s="38">
        <f>IFERROR(INDEX(p_Client,MATCH(LARGE(p_Key,169),p_Key,0)),"")</f>
        <v/>
      </c>
      <c r="F173" s="38">
        <f>IFERROR(INDEX(p_Deal,MATCH(LARGE(p_Key,169),p_Key,0)),"")</f>
        <v/>
      </c>
      <c r="G173" s="38">
        <f>IFERROR(INDEX(p_CC,MATCH(LARGE(p_Key,169),p_Key,0)),"")</f>
        <v/>
      </c>
      <c r="H173" s="38">
        <f>IFERROR(INDEX(p_Status,MATCH(LARGE(p_Key,169),p_Key,0)),"")</f>
        <v/>
      </c>
      <c r="I173" s="38">
        <f>IFERROR(INDEX(p_Stage,MATCH(LARGE(p_Key,169),p_Key,0)),"")</f>
        <v/>
      </c>
      <c r="J173" s="12">
        <f>IFERROR(INDEX(p_Value,MATCH(LARGE(p_Key,169),p_Key,0)),"")</f>
        <v/>
      </c>
      <c r="K173" s="33">
        <f>IFERROR(IF(H173="Open",INDEX(p_Prob,MATCH(LARGE(p_Key,169),p_Key,0)),""),"")</f>
        <v/>
      </c>
      <c r="L173" s="12">
        <f>IFERROR(INDEX(p_Risk,MATCH(LARGE(p_Key,169),p_Key,0)),"")</f>
        <v/>
      </c>
      <c r="M173" s="43">
        <f>IFERROR(INDEX(p_Month,MATCH(LARGE(p_Key,169),p_Key,0)),"")</f>
        <v/>
      </c>
      <c r="N173" s="38">
        <f>IFERROR(INDEX(p_Flags,MATCH(LARGE(p_Key,169),p_Key,0)),"")</f>
        <v/>
      </c>
    </row>
    <row r="174">
      <c r="A174" s="11">
        <f>IF(D174="","",170)</f>
        <v/>
      </c>
      <c r="B174" s="42">
        <f>IFERROR(INDEX(p_Rating,MATCH(LARGE(p_Key,170),p_Key,0)),"")</f>
        <v/>
      </c>
      <c r="C174" s="11">
        <f>IFERROR(INDEX(p_Score,MATCH(LARGE(p_Key,170),p_Key,0)),"")</f>
        <v/>
      </c>
      <c r="D174" s="38">
        <f>IFERROR(INDEX(p_Job,MATCH(LARGE(p_Key,170),p_Key,0)),"")</f>
        <v/>
      </c>
      <c r="E174" s="38">
        <f>IFERROR(INDEX(p_Client,MATCH(LARGE(p_Key,170),p_Key,0)),"")</f>
        <v/>
      </c>
      <c r="F174" s="38">
        <f>IFERROR(INDEX(p_Deal,MATCH(LARGE(p_Key,170),p_Key,0)),"")</f>
        <v/>
      </c>
      <c r="G174" s="38">
        <f>IFERROR(INDEX(p_CC,MATCH(LARGE(p_Key,170),p_Key,0)),"")</f>
        <v/>
      </c>
      <c r="H174" s="38">
        <f>IFERROR(INDEX(p_Status,MATCH(LARGE(p_Key,170),p_Key,0)),"")</f>
        <v/>
      </c>
      <c r="I174" s="38">
        <f>IFERROR(INDEX(p_Stage,MATCH(LARGE(p_Key,170),p_Key,0)),"")</f>
        <v/>
      </c>
      <c r="J174" s="12">
        <f>IFERROR(INDEX(p_Value,MATCH(LARGE(p_Key,170),p_Key,0)),"")</f>
        <v/>
      </c>
      <c r="K174" s="33">
        <f>IFERROR(IF(H174="Open",INDEX(p_Prob,MATCH(LARGE(p_Key,170),p_Key,0)),""),"")</f>
        <v/>
      </c>
      <c r="L174" s="12">
        <f>IFERROR(INDEX(p_Risk,MATCH(LARGE(p_Key,170),p_Key,0)),"")</f>
        <v/>
      </c>
      <c r="M174" s="43">
        <f>IFERROR(INDEX(p_Month,MATCH(LARGE(p_Key,170),p_Key,0)),"")</f>
        <v/>
      </c>
      <c r="N174" s="38">
        <f>IFERROR(INDEX(p_Flags,MATCH(LARGE(p_Key,170),p_Key,0)),"")</f>
        <v/>
      </c>
    </row>
    <row r="175">
      <c r="A175" s="11">
        <f>IF(D175="","",171)</f>
        <v/>
      </c>
      <c r="B175" s="42">
        <f>IFERROR(INDEX(p_Rating,MATCH(LARGE(p_Key,171),p_Key,0)),"")</f>
        <v/>
      </c>
      <c r="C175" s="11">
        <f>IFERROR(INDEX(p_Score,MATCH(LARGE(p_Key,171),p_Key,0)),"")</f>
        <v/>
      </c>
      <c r="D175" s="38">
        <f>IFERROR(INDEX(p_Job,MATCH(LARGE(p_Key,171),p_Key,0)),"")</f>
        <v/>
      </c>
      <c r="E175" s="38">
        <f>IFERROR(INDEX(p_Client,MATCH(LARGE(p_Key,171),p_Key,0)),"")</f>
        <v/>
      </c>
      <c r="F175" s="38">
        <f>IFERROR(INDEX(p_Deal,MATCH(LARGE(p_Key,171),p_Key,0)),"")</f>
        <v/>
      </c>
      <c r="G175" s="38">
        <f>IFERROR(INDEX(p_CC,MATCH(LARGE(p_Key,171),p_Key,0)),"")</f>
        <v/>
      </c>
      <c r="H175" s="38">
        <f>IFERROR(INDEX(p_Status,MATCH(LARGE(p_Key,171),p_Key,0)),"")</f>
        <v/>
      </c>
      <c r="I175" s="38">
        <f>IFERROR(INDEX(p_Stage,MATCH(LARGE(p_Key,171),p_Key,0)),"")</f>
        <v/>
      </c>
      <c r="J175" s="12">
        <f>IFERROR(INDEX(p_Value,MATCH(LARGE(p_Key,171),p_Key,0)),"")</f>
        <v/>
      </c>
      <c r="K175" s="33">
        <f>IFERROR(IF(H175="Open",INDEX(p_Prob,MATCH(LARGE(p_Key,171),p_Key,0)),""),"")</f>
        <v/>
      </c>
      <c r="L175" s="12">
        <f>IFERROR(INDEX(p_Risk,MATCH(LARGE(p_Key,171),p_Key,0)),"")</f>
        <v/>
      </c>
      <c r="M175" s="43">
        <f>IFERROR(INDEX(p_Month,MATCH(LARGE(p_Key,171),p_Key,0)),"")</f>
        <v/>
      </c>
      <c r="N175" s="38">
        <f>IFERROR(INDEX(p_Flags,MATCH(LARGE(p_Key,171),p_Key,0)),"")</f>
        <v/>
      </c>
    </row>
    <row r="176">
      <c r="A176" s="11">
        <f>IF(D176="","",172)</f>
        <v/>
      </c>
      <c r="B176" s="42">
        <f>IFERROR(INDEX(p_Rating,MATCH(LARGE(p_Key,172),p_Key,0)),"")</f>
        <v/>
      </c>
      <c r="C176" s="11">
        <f>IFERROR(INDEX(p_Score,MATCH(LARGE(p_Key,172),p_Key,0)),"")</f>
        <v/>
      </c>
      <c r="D176" s="38">
        <f>IFERROR(INDEX(p_Job,MATCH(LARGE(p_Key,172),p_Key,0)),"")</f>
        <v/>
      </c>
      <c r="E176" s="38">
        <f>IFERROR(INDEX(p_Client,MATCH(LARGE(p_Key,172),p_Key,0)),"")</f>
        <v/>
      </c>
      <c r="F176" s="38">
        <f>IFERROR(INDEX(p_Deal,MATCH(LARGE(p_Key,172),p_Key,0)),"")</f>
        <v/>
      </c>
      <c r="G176" s="38">
        <f>IFERROR(INDEX(p_CC,MATCH(LARGE(p_Key,172),p_Key,0)),"")</f>
        <v/>
      </c>
      <c r="H176" s="38">
        <f>IFERROR(INDEX(p_Status,MATCH(LARGE(p_Key,172),p_Key,0)),"")</f>
        <v/>
      </c>
      <c r="I176" s="38">
        <f>IFERROR(INDEX(p_Stage,MATCH(LARGE(p_Key,172),p_Key,0)),"")</f>
        <v/>
      </c>
      <c r="J176" s="12">
        <f>IFERROR(INDEX(p_Value,MATCH(LARGE(p_Key,172),p_Key,0)),"")</f>
        <v/>
      </c>
      <c r="K176" s="33">
        <f>IFERROR(IF(H176="Open",INDEX(p_Prob,MATCH(LARGE(p_Key,172),p_Key,0)),""),"")</f>
        <v/>
      </c>
      <c r="L176" s="12">
        <f>IFERROR(INDEX(p_Risk,MATCH(LARGE(p_Key,172),p_Key,0)),"")</f>
        <v/>
      </c>
      <c r="M176" s="43">
        <f>IFERROR(INDEX(p_Month,MATCH(LARGE(p_Key,172),p_Key,0)),"")</f>
        <v/>
      </c>
      <c r="N176" s="38">
        <f>IFERROR(INDEX(p_Flags,MATCH(LARGE(p_Key,172),p_Key,0)),"")</f>
        <v/>
      </c>
    </row>
    <row r="177">
      <c r="A177" s="11">
        <f>IF(D177="","",173)</f>
        <v/>
      </c>
      <c r="B177" s="42">
        <f>IFERROR(INDEX(p_Rating,MATCH(LARGE(p_Key,173),p_Key,0)),"")</f>
        <v/>
      </c>
      <c r="C177" s="11">
        <f>IFERROR(INDEX(p_Score,MATCH(LARGE(p_Key,173),p_Key,0)),"")</f>
        <v/>
      </c>
      <c r="D177" s="38">
        <f>IFERROR(INDEX(p_Job,MATCH(LARGE(p_Key,173),p_Key,0)),"")</f>
        <v/>
      </c>
      <c r="E177" s="38">
        <f>IFERROR(INDEX(p_Client,MATCH(LARGE(p_Key,173),p_Key,0)),"")</f>
        <v/>
      </c>
      <c r="F177" s="38">
        <f>IFERROR(INDEX(p_Deal,MATCH(LARGE(p_Key,173),p_Key,0)),"")</f>
        <v/>
      </c>
      <c r="G177" s="38">
        <f>IFERROR(INDEX(p_CC,MATCH(LARGE(p_Key,173),p_Key,0)),"")</f>
        <v/>
      </c>
      <c r="H177" s="38">
        <f>IFERROR(INDEX(p_Status,MATCH(LARGE(p_Key,173),p_Key,0)),"")</f>
        <v/>
      </c>
      <c r="I177" s="38">
        <f>IFERROR(INDEX(p_Stage,MATCH(LARGE(p_Key,173),p_Key,0)),"")</f>
        <v/>
      </c>
      <c r="J177" s="12">
        <f>IFERROR(INDEX(p_Value,MATCH(LARGE(p_Key,173),p_Key,0)),"")</f>
        <v/>
      </c>
      <c r="K177" s="33">
        <f>IFERROR(IF(H177="Open",INDEX(p_Prob,MATCH(LARGE(p_Key,173),p_Key,0)),""),"")</f>
        <v/>
      </c>
      <c r="L177" s="12">
        <f>IFERROR(INDEX(p_Risk,MATCH(LARGE(p_Key,173),p_Key,0)),"")</f>
        <v/>
      </c>
      <c r="M177" s="43">
        <f>IFERROR(INDEX(p_Month,MATCH(LARGE(p_Key,173),p_Key,0)),"")</f>
        <v/>
      </c>
      <c r="N177" s="38">
        <f>IFERROR(INDEX(p_Flags,MATCH(LARGE(p_Key,173),p_Key,0)),"")</f>
        <v/>
      </c>
    </row>
    <row r="178">
      <c r="A178" s="11">
        <f>IF(D178="","",174)</f>
        <v/>
      </c>
      <c r="B178" s="42">
        <f>IFERROR(INDEX(p_Rating,MATCH(LARGE(p_Key,174),p_Key,0)),"")</f>
        <v/>
      </c>
      <c r="C178" s="11">
        <f>IFERROR(INDEX(p_Score,MATCH(LARGE(p_Key,174),p_Key,0)),"")</f>
        <v/>
      </c>
      <c r="D178" s="38">
        <f>IFERROR(INDEX(p_Job,MATCH(LARGE(p_Key,174),p_Key,0)),"")</f>
        <v/>
      </c>
      <c r="E178" s="38">
        <f>IFERROR(INDEX(p_Client,MATCH(LARGE(p_Key,174),p_Key,0)),"")</f>
        <v/>
      </c>
      <c r="F178" s="38">
        <f>IFERROR(INDEX(p_Deal,MATCH(LARGE(p_Key,174),p_Key,0)),"")</f>
        <v/>
      </c>
      <c r="G178" s="38">
        <f>IFERROR(INDEX(p_CC,MATCH(LARGE(p_Key,174),p_Key,0)),"")</f>
        <v/>
      </c>
      <c r="H178" s="38">
        <f>IFERROR(INDEX(p_Status,MATCH(LARGE(p_Key,174),p_Key,0)),"")</f>
        <v/>
      </c>
      <c r="I178" s="38">
        <f>IFERROR(INDEX(p_Stage,MATCH(LARGE(p_Key,174),p_Key,0)),"")</f>
        <v/>
      </c>
      <c r="J178" s="12">
        <f>IFERROR(INDEX(p_Value,MATCH(LARGE(p_Key,174),p_Key,0)),"")</f>
        <v/>
      </c>
      <c r="K178" s="33">
        <f>IFERROR(IF(H178="Open",INDEX(p_Prob,MATCH(LARGE(p_Key,174),p_Key,0)),""),"")</f>
        <v/>
      </c>
      <c r="L178" s="12">
        <f>IFERROR(INDEX(p_Risk,MATCH(LARGE(p_Key,174),p_Key,0)),"")</f>
        <v/>
      </c>
      <c r="M178" s="43">
        <f>IFERROR(INDEX(p_Month,MATCH(LARGE(p_Key,174),p_Key,0)),"")</f>
        <v/>
      </c>
      <c r="N178" s="38">
        <f>IFERROR(INDEX(p_Flags,MATCH(LARGE(p_Key,174),p_Key,0)),"")</f>
        <v/>
      </c>
    </row>
    <row r="179">
      <c r="A179" s="11">
        <f>IF(D179="","",175)</f>
        <v/>
      </c>
      <c r="B179" s="42">
        <f>IFERROR(INDEX(p_Rating,MATCH(LARGE(p_Key,175),p_Key,0)),"")</f>
        <v/>
      </c>
      <c r="C179" s="11">
        <f>IFERROR(INDEX(p_Score,MATCH(LARGE(p_Key,175),p_Key,0)),"")</f>
        <v/>
      </c>
      <c r="D179" s="38">
        <f>IFERROR(INDEX(p_Job,MATCH(LARGE(p_Key,175),p_Key,0)),"")</f>
        <v/>
      </c>
      <c r="E179" s="38">
        <f>IFERROR(INDEX(p_Client,MATCH(LARGE(p_Key,175),p_Key,0)),"")</f>
        <v/>
      </c>
      <c r="F179" s="38">
        <f>IFERROR(INDEX(p_Deal,MATCH(LARGE(p_Key,175),p_Key,0)),"")</f>
        <v/>
      </c>
      <c r="G179" s="38">
        <f>IFERROR(INDEX(p_CC,MATCH(LARGE(p_Key,175),p_Key,0)),"")</f>
        <v/>
      </c>
      <c r="H179" s="38">
        <f>IFERROR(INDEX(p_Status,MATCH(LARGE(p_Key,175),p_Key,0)),"")</f>
        <v/>
      </c>
      <c r="I179" s="38">
        <f>IFERROR(INDEX(p_Stage,MATCH(LARGE(p_Key,175),p_Key,0)),"")</f>
        <v/>
      </c>
      <c r="J179" s="12">
        <f>IFERROR(INDEX(p_Value,MATCH(LARGE(p_Key,175),p_Key,0)),"")</f>
        <v/>
      </c>
      <c r="K179" s="33">
        <f>IFERROR(IF(H179="Open",INDEX(p_Prob,MATCH(LARGE(p_Key,175),p_Key,0)),""),"")</f>
        <v/>
      </c>
      <c r="L179" s="12">
        <f>IFERROR(INDEX(p_Risk,MATCH(LARGE(p_Key,175),p_Key,0)),"")</f>
        <v/>
      </c>
      <c r="M179" s="43">
        <f>IFERROR(INDEX(p_Month,MATCH(LARGE(p_Key,175),p_Key,0)),"")</f>
        <v/>
      </c>
      <c r="N179" s="38">
        <f>IFERROR(INDEX(p_Flags,MATCH(LARGE(p_Key,175),p_Key,0)),"")</f>
        <v/>
      </c>
    </row>
    <row r="180">
      <c r="A180" s="11">
        <f>IF(D180="","",176)</f>
        <v/>
      </c>
      <c r="B180" s="42">
        <f>IFERROR(INDEX(p_Rating,MATCH(LARGE(p_Key,176),p_Key,0)),"")</f>
        <v/>
      </c>
      <c r="C180" s="11">
        <f>IFERROR(INDEX(p_Score,MATCH(LARGE(p_Key,176),p_Key,0)),"")</f>
        <v/>
      </c>
      <c r="D180" s="38">
        <f>IFERROR(INDEX(p_Job,MATCH(LARGE(p_Key,176),p_Key,0)),"")</f>
        <v/>
      </c>
      <c r="E180" s="38">
        <f>IFERROR(INDEX(p_Client,MATCH(LARGE(p_Key,176),p_Key,0)),"")</f>
        <v/>
      </c>
      <c r="F180" s="38">
        <f>IFERROR(INDEX(p_Deal,MATCH(LARGE(p_Key,176),p_Key,0)),"")</f>
        <v/>
      </c>
      <c r="G180" s="38">
        <f>IFERROR(INDEX(p_CC,MATCH(LARGE(p_Key,176),p_Key,0)),"")</f>
        <v/>
      </c>
      <c r="H180" s="38">
        <f>IFERROR(INDEX(p_Status,MATCH(LARGE(p_Key,176),p_Key,0)),"")</f>
        <v/>
      </c>
      <c r="I180" s="38">
        <f>IFERROR(INDEX(p_Stage,MATCH(LARGE(p_Key,176),p_Key,0)),"")</f>
        <v/>
      </c>
      <c r="J180" s="12">
        <f>IFERROR(INDEX(p_Value,MATCH(LARGE(p_Key,176),p_Key,0)),"")</f>
        <v/>
      </c>
      <c r="K180" s="33">
        <f>IFERROR(IF(H180="Open",INDEX(p_Prob,MATCH(LARGE(p_Key,176),p_Key,0)),""),"")</f>
        <v/>
      </c>
      <c r="L180" s="12">
        <f>IFERROR(INDEX(p_Risk,MATCH(LARGE(p_Key,176),p_Key,0)),"")</f>
        <v/>
      </c>
      <c r="M180" s="43">
        <f>IFERROR(INDEX(p_Month,MATCH(LARGE(p_Key,176),p_Key,0)),"")</f>
        <v/>
      </c>
      <c r="N180" s="38">
        <f>IFERROR(INDEX(p_Flags,MATCH(LARGE(p_Key,176),p_Key,0)),"")</f>
        <v/>
      </c>
    </row>
    <row r="181">
      <c r="A181" s="11">
        <f>IF(D181="","",177)</f>
        <v/>
      </c>
      <c r="B181" s="42">
        <f>IFERROR(INDEX(p_Rating,MATCH(LARGE(p_Key,177),p_Key,0)),"")</f>
        <v/>
      </c>
      <c r="C181" s="11">
        <f>IFERROR(INDEX(p_Score,MATCH(LARGE(p_Key,177),p_Key,0)),"")</f>
        <v/>
      </c>
      <c r="D181" s="38">
        <f>IFERROR(INDEX(p_Job,MATCH(LARGE(p_Key,177),p_Key,0)),"")</f>
        <v/>
      </c>
      <c r="E181" s="38">
        <f>IFERROR(INDEX(p_Client,MATCH(LARGE(p_Key,177),p_Key,0)),"")</f>
        <v/>
      </c>
      <c r="F181" s="38">
        <f>IFERROR(INDEX(p_Deal,MATCH(LARGE(p_Key,177),p_Key,0)),"")</f>
        <v/>
      </c>
      <c r="G181" s="38">
        <f>IFERROR(INDEX(p_CC,MATCH(LARGE(p_Key,177),p_Key,0)),"")</f>
        <v/>
      </c>
      <c r="H181" s="38">
        <f>IFERROR(INDEX(p_Status,MATCH(LARGE(p_Key,177),p_Key,0)),"")</f>
        <v/>
      </c>
      <c r="I181" s="38">
        <f>IFERROR(INDEX(p_Stage,MATCH(LARGE(p_Key,177),p_Key,0)),"")</f>
        <v/>
      </c>
      <c r="J181" s="12">
        <f>IFERROR(INDEX(p_Value,MATCH(LARGE(p_Key,177),p_Key,0)),"")</f>
        <v/>
      </c>
      <c r="K181" s="33">
        <f>IFERROR(IF(H181="Open",INDEX(p_Prob,MATCH(LARGE(p_Key,177),p_Key,0)),""),"")</f>
        <v/>
      </c>
      <c r="L181" s="12">
        <f>IFERROR(INDEX(p_Risk,MATCH(LARGE(p_Key,177),p_Key,0)),"")</f>
        <v/>
      </c>
      <c r="M181" s="43">
        <f>IFERROR(INDEX(p_Month,MATCH(LARGE(p_Key,177),p_Key,0)),"")</f>
        <v/>
      </c>
      <c r="N181" s="38">
        <f>IFERROR(INDEX(p_Flags,MATCH(LARGE(p_Key,177),p_Key,0)),"")</f>
        <v/>
      </c>
    </row>
    <row r="182">
      <c r="A182" s="11">
        <f>IF(D182="","",178)</f>
        <v/>
      </c>
      <c r="B182" s="42">
        <f>IFERROR(INDEX(p_Rating,MATCH(LARGE(p_Key,178),p_Key,0)),"")</f>
        <v/>
      </c>
      <c r="C182" s="11">
        <f>IFERROR(INDEX(p_Score,MATCH(LARGE(p_Key,178),p_Key,0)),"")</f>
        <v/>
      </c>
      <c r="D182" s="38">
        <f>IFERROR(INDEX(p_Job,MATCH(LARGE(p_Key,178),p_Key,0)),"")</f>
        <v/>
      </c>
      <c r="E182" s="38">
        <f>IFERROR(INDEX(p_Client,MATCH(LARGE(p_Key,178),p_Key,0)),"")</f>
        <v/>
      </c>
      <c r="F182" s="38">
        <f>IFERROR(INDEX(p_Deal,MATCH(LARGE(p_Key,178),p_Key,0)),"")</f>
        <v/>
      </c>
      <c r="G182" s="38">
        <f>IFERROR(INDEX(p_CC,MATCH(LARGE(p_Key,178),p_Key,0)),"")</f>
        <v/>
      </c>
      <c r="H182" s="38">
        <f>IFERROR(INDEX(p_Status,MATCH(LARGE(p_Key,178),p_Key,0)),"")</f>
        <v/>
      </c>
      <c r="I182" s="38">
        <f>IFERROR(INDEX(p_Stage,MATCH(LARGE(p_Key,178),p_Key,0)),"")</f>
        <v/>
      </c>
      <c r="J182" s="12">
        <f>IFERROR(INDEX(p_Value,MATCH(LARGE(p_Key,178),p_Key,0)),"")</f>
        <v/>
      </c>
      <c r="K182" s="33">
        <f>IFERROR(IF(H182="Open",INDEX(p_Prob,MATCH(LARGE(p_Key,178),p_Key,0)),""),"")</f>
        <v/>
      </c>
      <c r="L182" s="12">
        <f>IFERROR(INDEX(p_Risk,MATCH(LARGE(p_Key,178),p_Key,0)),"")</f>
        <v/>
      </c>
      <c r="M182" s="43">
        <f>IFERROR(INDEX(p_Month,MATCH(LARGE(p_Key,178),p_Key,0)),"")</f>
        <v/>
      </c>
      <c r="N182" s="38">
        <f>IFERROR(INDEX(p_Flags,MATCH(LARGE(p_Key,178),p_Key,0)),"")</f>
        <v/>
      </c>
    </row>
    <row r="183">
      <c r="A183" s="11">
        <f>IF(D183="","",179)</f>
        <v/>
      </c>
      <c r="B183" s="42">
        <f>IFERROR(INDEX(p_Rating,MATCH(LARGE(p_Key,179),p_Key,0)),"")</f>
        <v/>
      </c>
      <c r="C183" s="11">
        <f>IFERROR(INDEX(p_Score,MATCH(LARGE(p_Key,179),p_Key,0)),"")</f>
        <v/>
      </c>
      <c r="D183" s="38">
        <f>IFERROR(INDEX(p_Job,MATCH(LARGE(p_Key,179),p_Key,0)),"")</f>
        <v/>
      </c>
      <c r="E183" s="38">
        <f>IFERROR(INDEX(p_Client,MATCH(LARGE(p_Key,179),p_Key,0)),"")</f>
        <v/>
      </c>
      <c r="F183" s="38">
        <f>IFERROR(INDEX(p_Deal,MATCH(LARGE(p_Key,179),p_Key,0)),"")</f>
        <v/>
      </c>
      <c r="G183" s="38">
        <f>IFERROR(INDEX(p_CC,MATCH(LARGE(p_Key,179),p_Key,0)),"")</f>
        <v/>
      </c>
      <c r="H183" s="38">
        <f>IFERROR(INDEX(p_Status,MATCH(LARGE(p_Key,179),p_Key,0)),"")</f>
        <v/>
      </c>
      <c r="I183" s="38">
        <f>IFERROR(INDEX(p_Stage,MATCH(LARGE(p_Key,179),p_Key,0)),"")</f>
        <v/>
      </c>
      <c r="J183" s="12">
        <f>IFERROR(INDEX(p_Value,MATCH(LARGE(p_Key,179),p_Key,0)),"")</f>
        <v/>
      </c>
      <c r="K183" s="33">
        <f>IFERROR(IF(H183="Open",INDEX(p_Prob,MATCH(LARGE(p_Key,179),p_Key,0)),""),"")</f>
        <v/>
      </c>
      <c r="L183" s="12">
        <f>IFERROR(INDEX(p_Risk,MATCH(LARGE(p_Key,179),p_Key,0)),"")</f>
        <v/>
      </c>
      <c r="M183" s="43">
        <f>IFERROR(INDEX(p_Month,MATCH(LARGE(p_Key,179),p_Key,0)),"")</f>
        <v/>
      </c>
      <c r="N183" s="38">
        <f>IFERROR(INDEX(p_Flags,MATCH(LARGE(p_Key,179),p_Key,0)),"")</f>
        <v/>
      </c>
    </row>
    <row r="184">
      <c r="A184" s="11">
        <f>IF(D184="","",180)</f>
        <v/>
      </c>
      <c r="B184" s="42">
        <f>IFERROR(INDEX(p_Rating,MATCH(LARGE(p_Key,180),p_Key,0)),"")</f>
        <v/>
      </c>
      <c r="C184" s="11">
        <f>IFERROR(INDEX(p_Score,MATCH(LARGE(p_Key,180),p_Key,0)),"")</f>
        <v/>
      </c>
      <c r="D184" s="38">
        <f>IFERROR(INDEX(p_Job,MATCH(LARGE(p_Key,180),p_Key,0)),"")</f>
        <v/>
      </c>
      <c r="E184" s="38">
        <f>IFERROR(INDEX(p_Client,MATCH(LARGE(p_Key,180),p_Key,0)),"")</f>
        <v/>
      </c>
      <c r="F184" s="38">
        <f>IFERROR(INDEX(p_Deal,MATCH(LARGE(p_Key,180),p_Key,0)),"")</f>
        <v/>
      </c>
      <c r="G184" s="38">
        <f>IFERROR(INDEX(p_CC,MATCH(LARGE(p_Key,180),p_Key,0)),"")</f>
        <v/>
      </c>
      <c r="H184" s="38">
        <f>IFERROR(INDEX(p_Status,MATCH(LARGE(p_Key,180),p_Key,0)),"")</f>
        <v/>
      </c>
      <c r="I184" s="38">
        <f>IFERROR(INDEX(p_Stage,MATCH(LARGE(p_Key,180),p_Key,0)),"")</f>
        <v/>
      </c>
      <c r="J184" s="12">
        <f>IFERROR(INDEX(p_Value,MATCH(LARGE(p_Key,180),p_Key,0)),"")</f>
        <v/>
      </c>
      <c r="K184" s="33">
        <f>IFERROR(IF(H184="Open",INDEX(p_Prob,MATCH(LARGE(p_Key,180),p_Key,0)),""),"")</f>
        <v/>
      </c>
      <c r="L184" s="12">
        <f>IFERROR(INDEX(p_Risk,MATCH(LARGE(p_Key,180),p_Key,0)),"")</f>
        <v/>
      </c>
      <c r="M184" s="43">
        <f>IFERROR(INDEX(p_Month,MATCH(LARGE(p_Key,180),p_Key,0)),"")</f>
        <v/>
      </c>
      <c r="N184" s="38">
        <f>IFERROR(INDEX(p_Flags,MATCH(LARGE(p_Key,180),p_Key,0)),"")</f>
        <v/>
      </c>
    </row>
    <row r="185">
      <c r="A185" s="11">
        <f>IF(D185="","",181)</f>
        <v/>
      </c>
      <c r="B185" s="42">
        <f>IFERROR(INDEX(p_Rating,MATCH(LARGE(p_Key,181),p_Key,0)),"")</f>
        <v/>
      </c>
      <c r="C185" s="11">
        <f>IFERROR(INDEX(p_Score,MATCH(LARGE(p_Key,181),p_Key,0)),"")</f>
        <v/>
      </c>
      <c r="D185" s="38">
        <f>IFERROR(INDEX(p_Job,MATCH(LARGE(p_Key,181),p_Key,0)),"")</f>
        <v/>
      </c>
      <c r="E185" s="38">
        <f>IFERROR(INDEX(p_Client,MATCH(LARGE(p_Key,181),p_Key,0)),"")</f>
        <v/>
      </c>
      <c r="F185" s="38">
        <f>IFERROR(INDEX(p_Deal,MATCH(LARGE(p_Key,181),p_Key,0)),"")</f>
        <v/>
      </c>
      <c r="G185" s="38">
        <f>IFERROR(INDEX(p_CC,MATCH(LARGE(p_Key,181),p_Key,0)),"")</f>
        <v/>
      </c>
      <c r="H185" s="38">
        <f>IFERROR(INDEX(p_Status,MATCH(LARGE(p_Key,181),p_Key,0)),"")</f>
        <v/>
      </c>
      <c r="I185" s="38">
        <f>IFERROR(INDEX(p_Stage,MATCH(LARGE(p_Key,181),p_Key,0)),"")</f>
        <v/>
      </c>
      <c r="J185" s="12">
        <f>IFERROR(INDEX(p_Value,MATCH(LARGE(p_Key,181),p_Key,0)),"")</f>
        <v/>
      </c>
      <c r="K185" s="33">
        <f>IFERROR(IF(H185="Open",INDEX(p_Prob,MATCH(LARGE(p_Key,181),p_Key,0)),""),"")</f>
        <v/>
      </c>
      <c r="L185" s="12">
        <f>IFERROR(INDEX(p_Risk,MATCH(LARGE(p_Key,181),p_Key,0)),"")</f>
        <v/>
      </c>
      <c r="M185" s="43">
        <f>IFERROR(INDEX(p_Month,MATCH(LARGE(p_Key,181),p_Key,0)),"")</f>
        <v/>
      </c>
      <c r="N185" s="38">
        <f>IFERROR(INDEX(p_Flags,MATCH(LARGE(p_Key,181),p_Key,0)),"")</f>
        <v/>
      </c>
    </row>
    <row r="186">
      <c r="A186" s="11">
        <f>IF(D186="","",182)</f>
        <v/>
      </c>
      <c r="B186" s="42">
        <f>IFERROR(INDEX(p_Rating,MATCH(LARGE(p_Key,182),p_Key,0)),"")</f>
        <v/>
      </c>
      <c r="C186" s="11">
        <f>IFERROR(INDEX(p_Score,MATCH(LARGE(p_Key,182),p_Key,0)),"")</f>
        <v/>
      </c>
      <c r="D186" s="38">
        <f>IFERROR(INDEX(p_Job,MATCH(LARGE(p_Key,182),p_Key,0)),"")</f>
        <v/>
      </c>
      <c r="E186" s="38">
        <f>IFERROR(INDEX(p_Client,MATCH(LARGE(p_Key,182),p_Key,0)),"")</f>
        <v/>
      </c>
      <c r="F186" s="38">
        <f>IFERROR(INDEX(p_Deal,MATCH(LARGE(p_Key,182),p_Key,0)),"")</f>
        <v/>
      </c>
      <c r="G186" s="38">
        <f>IFERROR(INDEX(p_CC,MATCH(LARGE(p_Key,182),p_Key,0)),"")</f>
        <v/>
      </c>
      <c r="H186" s="38">
        <f>IFERROR(INDEX(p_Status,MATCH(LARGE(p_Key,182),p_Key,0)),"")</f>
        <v/>
      </c>
      <c r="I186" s="38">
        <f>IFERROR(INDEX(p_Stage,MATCH(LARGE(p_Key,182),p_Key,0)),"")</f>
        <v/>
      </c>
      <c r="J186" s="12">
        <f>IFERROR(INDEX(p_Value,MATCH(LARGE(p_Key,182),p_Key,0)),"")</f>
        <v/>
      </c>
      <c r="K186" s="33">
        <f>IFERROR(IF(H186="Open",INDEX(p_Prob,MATCH(LARGE(p_Key,182),p_Key,0)),""),"")</f>
        <v/>
      </c>
      <c r="L186" s="12">
        <f>IFERROR(INDEX(p_Risk,MATCH(LARGE(p_Key,182),p_Key,0)),"")</f>
        <v/>
      </c>
      <c r="M186" s="43">
        <f>IFERROR(INDEX(p_Month,MATCH(LARGE(p_Key,182),p_Key,0)),"")</f>
        <v/>
      </c>
      <c r="N186" s="38">
        <f>IFERROR(INDEX(p_Flags,MATCH(LARGE(p_Key,182),p_Key,0)),"")</f>
        <v/>
      </c>
    </row>
    <row r="187">
      <c r="A187" s="11">
        <f>IF(D187="","",183)</f>
        <v/>
      </c>
      <c r="B187" s="42">
        <f>IFERROR(INDEX(p_Rating,MATCH(LARGE(p_Key,183),p_Key,0)),"")</f>
        <v/>
      </c>
      <c r="C187" s="11">
        <f>IFERROR(INDEX(p_Score,MATCH(LARGE(p_Key,183),p_Key,0)),"")</f>
        <v/>
      </c>
      <c r="D187" s="38">
        <f>IFERROR(INDEX(p_Job,MATCH(LARGE(p_Key,183),p_Key,0)),"")</f>
        <v/>
      </c>
      <c r="E187" s="38">
        <f>IFERROR(INDEX(p_Client,MATCH(LARGE(p_Key,183),p_Key,0)),"")</f>
        <v/>
      </c>
      <c r="F187" s="38">
        <f>IFERROR(INDEX(p_Deal,MATCH(LARGE(p_Key,183),p_Key,0)),"")</f>
        <v/>
      </c>
      <c r="G187" s="38">
        <f>IFERROR(INDEX(p_CC,MATCH(LARGE(p_Key,183),p_Key,0)),"")</f>
        <v/>
      </c>
      <c r="H187" s="38">
        <f>IFERROR(INDEX(p_Status,MATCH(LARGE(p_Key,183),p_Key,0)),"")</f>
        <v/>
      </c>
      <c r="I187" s="38">
        <f>IFERROR(INDEX(p_Stage,MATCH(LARGE(p_Key,183),p_Key,0)),"")</f>
        <v/>
      </c>
      <c r="J187" s="12">
        <f>IFERROR(INDEX(p_Value,MATCH(LARGE(p_Key,183),p_Key,0)),"")</f>
        <v/>
      </c>
      <c r="K187" s="33">
        <f>IFERROR(IF(H187="Open",INDEX(p_Prob,MATCH(LARGE(p_Key,183),p_Key,0)),""),"")</f>
        <v/>
      </c>
      <c r="L187" s="12">
        <f>IFERROR(INDEX(p_Risk,MATCH(LARGE(p_Key,183),p_Key,0)),"")</f>
        <v/>
      </c>
      <c r="M187" s="43">
        <f>IFERROR(INDEX(p_Month,MATCH(LARGE(p_Key,183),p_Key,0)),"")</f>
        <v/>
      </c>
      <c r="N187" s="38">
        <f>IFERROR(INDEX(p_Flags,MATCH(LARGE(p_Key,183),p_Key,0)),"")</f>
        <v/>
      </c>
    </row>
    <row r="188">
      <c r="A188" s="11">
        <f>IF(D188="","",184)</f>
        <v/>
      </c>
      <c r="B188" s="42">
        <f>IFERROR(INDEX(p_Rating,MATCH(LARGE(p_Key,184),p_Key,0)),"")</f>
        <v/>
      </c>
      <c r="C188" s="11">
        <f>IFERROR(INDEX(p_Score,MATCH(LARGE(p_Key,184),p_Key,0)),"")</f>
        <v/>
      </c>
      <c r="D188" s="38">
        <f>IFERROR(INDEX(p_Job,MATCH(LARGE(p_Key,184),p_Key,0)),"")</f>
        <v/>
      </c>
      <c r="E188" s="38">
        <f>IFERROR(INDEX(p_Client,MATCH(LARGE(p_Key,184),p_Key,0)),"")</f>
        <v/>
      </c>
      <c r="F188" s="38">
        <f>IFERROR(INDEX(p_Deal,MATCH(LARGE(p_Key,184),p_Key,0)),"")</f>
        <v/>
      </c>
      <c r="G188" s="38">
        <f>IFERROR(INDEX(p_CC,MATCH(LARGE(p_Key,184),p_Key,0)),"")</f>
        <v/>
      </c>
      <c r="H188" s="38">
        <f>IFERROR(INDEX(p_Status,MATCH(LARGE(p_Key,184),p_Key,0)),"")</f>
        <v/>
      </c>
      <c r="I188" s="38">
        <f>IFERROR(INDEX(p_Stage,MATCH(LARGE(p_Key,184),p_Key,0)),"")</f>
        <v/>
      </c>
      <c r="J188" s="12">
        <f>IFERROR(INDEX(p_Value,MATCH(LARGE(p_Key,184),p_Key,0)),"")</f>
        <v/>
      </c>
      <c r="K188" s="33">
        <f>IFERROR(IF(H188="Open",INDEX(p_Prob,MATCH(LARGE(p_Key,184),p_Key,0)),""),"")</f>
        <v/>
      </c>
      <c r="L188" s="12">
        <f>IFERROR(INDEX(p_Risk,MATCH(LARGE(p_Key,184),p_Key,0)),"")</f>
        <v/>
      </c>
      <c r="M188" s="43">
        <f>IFERROR(INDEX(p_Month,MATCH(LARGE(p_Key,184),p_Key,0)),"")</f>
        <v/>
      </c>
      <c r="N188" s="38">
        <f>IFERROR(INDEX(p_Flags,MATCH(LARGE(p_Key,184),p_Key,0)),"")</f>
        <v/>
      </c>
    </row>
    <row r="189">
      <c r="A189" s="11">
        <f>IF(D189="","",185)</f>
        <v/>
      </c>
      <c r="B189" s="42">
        <f>IFERROR(INDEX(p_Rating,MATCH(LARGE(p_Key,185),p_Key,0)),"")</f>
        <v/>
      </c>
      <c r="C189" s="11">
        <f>IFERROR(INDEX(p_Score,MATCH(LARGE(p_Key,185),p_Key,0)),"")</f>
        <v/>
      </c>
      <c r="D189" s="38">
        <f>IFERROR(INDEX(p_Job,MATCH(LARGE(p_Key,185),p_Key,0)),"")</f>
        <v/>
      </c>
      <c r="E189" s="38">
        <f>IFERROR(INDEX(p_Client,MATCH(LARGE(p_Key,185),p_Key,0)),"")</f>
        <v/>
      </c>
      <c r="F189" s="38">
        <f>IFERROR(INDEX(p_Deal,MATCH(LARGE(p_Key,185),p_Key,0)),"")</f>
        <v/>
      </c>
      <c r="G189" s="38">
        <f>IFERROR(INDEX(p_CC,MATCH(LARGE(p_Key,185),p_Key,0)),"")</f>
        <v/>
      </c>
      <c r="H189" s="38">
        <f>IFERROR(INDEX(p_Status,MATCH(LARGE(p_Key,185),p_Key,0)),"")</f>
        <v/>
      </c>
      <c r="I189" s="38">
        <f>IFERROR(INDEX(p_Stage,MATCH(LARGE(p_Key,185),p_Key,0)),"")</f>
        <v/>
      </c>
      <c r="J189" s="12">
        <f>IFERROR(INDEX(p_Value,MATCH(LARGE(p_Key,185),p_Key,0)),"")</f>
        <v/>
      </c>
      <c r="K189" s="33">
        <f>IFERROR(IF(H189="Open",INDEX(p_Prob,MATCH(LARGE(p_Key,185),p_Key,0)),""),"")</f>
        <v/>
      </c>
      <c r="L189" s="12">
        <f>IFERROR(INDEX(p_Risk,MATCH(LARGE(p_Key,185),p_Key,0)),"")</f>
        <v/>
      </c>
      <c r="M189" s="43">
        <f>IFERROR(INDEX(p_Month,MATCH(LARGE(p_Key,185),p_Key,0)),"")</f>
        <v/>
      </c>
      <c r="N189" s="38">
        <f>IFERROR(INDEX(p_Flags,MATCH(LARGE(p_Key,185),p_Key,0)),"")</f>
        <v/>
      </c>
    </row>
    <row r="190">
      <c r="A190" s="11">
        <f>IF(D190="","",186)</f>
        <v/>
      </c>
      <c r="B190" s="42">
        <f>IFERROR(INDEX(p_Rating,MATCH(LARGE(p_Key,186),p_Key,0)),"")</f>
        <v/>
      </c>
      <c r="C190" s="11">
        <f>IFERROR(INDEX(p_Score,MATCH(LARGE(p_Key,186),p_Key,0)),"")</f>
        <v/>
      </c>
      <c r="D190" s="38">
        <f>IFERROR(INDEX(p_Job,MATCH(LARGE(p_Key,186),p_Key,0)),"")</f>
        <v/>
      </c>
      <c r="E190" s="38">
        <f>IFERROR(INDEX(p_Client,MATCH(LARGE(p_Key,186),p_Key,0)),"")</f>
        <v/>
      </c>
      <c r="F190" s="38">
        <f>IFERROR(INDEX(p_Deal,MATCH(LARGE(p_Key,186),p_Key,0)),"")</f>
        <v/>
      </c>
      <c r="G190" s="38">
        <f>IFERROR(INDEX(p_CC,MATCH(LARGE(p_Key,186),p_Key,0)),"")</f>
        <v/>
      </c>
      <c r="H190" s="38">
        <f>IFERROR(INDEX(p_Status,MATCH(LARGE(p_Key,186),p_Key,0)),"")</f>
        <v/>
      </c>
      <c r="I190" s="38">
        <f>IFERROR(INDEX(p_Stage,MATCH(LARGE(p_Key,186),p_Key,0)),"")</f>
        <v/>
      </c>
      <c r="J190" s="12">
        <f>IFERROR(INDEX(p_Value,MATCH(LARGE(p_Key,186),p_Key,0)),"")</f>
        <v/>
      </c>
      <c r="K190" s="33">
        <f>IFERROR(IF(H190="Open",INDEX(p_Prob,MATCH(LARGE(p_Key,186),p_Key,0)),""),"")</f>
        <v/>
      </c>
      <c r="L190" s="12">
        <f>IFERROR(INDEX(p_Risk,MATCH(LARGE(p_Key,186),p_Key,0)),"")</f>
        <v/>
      </c>
      <c r="M190" s="43">
        <f>IFERROR(INDEX(p_Month,MATCH(LARGE(p_Key,186),p_Key,0)),"")</f>
        <v/>
      </c>
      <c r="N190" s="38">
        <f>IFERROR(INDEX(p_Flags,MATCH(LARGE(p_Key,186),p_Key,0)),"")</f>
        <v/>
      </c>
    </row>
    <row r="191">
      <c r="A191" s="11">
        <f>IF(D191="","",187)</f>
        <v/>
      </c>
      <c r="B191" s="42">
        <f>IFERROR(INDEX(p_Rating,MATCH(LARGE(p_Key,187),p_Key,0)),"")</f>
        <v/>
      </c>
      <c r="C191" s="11">
        <f>IFERROR(INDEX(p_Score,MATCH(LARGE(p_Key,187),p_Key,0)),"")</f>
        <v/>
      </c>
      <c r="D191" s="38">
        <f>IFERROR(INDEX(p_Job,MATCH(LARGE(p_Key,187),p_Key,0)),"")</f>
        <v/>
      </c>
      <c r="E191" s="38">
        <f>IFERROR(INDEX(p_Client,MATCH(LARGE(p_Key,187),p_Key,0)),"")</f>
        <v/>
      </c>
      <c r="F191" s="38">
        <f>IFERROR(INDEX(p_Deal,MATCH(LARGE(p_Key,187),p_Key,0)),"")</f>
        <v/>
      </c>
      <c r="G191" s="38">
        <f>IFERROR(INDEX(p_CC,MATCH(LARGE(p_Key,187),p_Key,0)),"")</f>
        <v/>
      </c>
      <c r="H191" s="38">
        <f>IFERROR(INDEX(p_Status,MATCH(LARGE(p_Key,187),p_Key,0)),"")</f>
        <v/>
      </c>
      <c r="I191" s="38">
        <f>IFERROR(INDEX(p_Stage,MATCH(LARGE(p_Key,187),p_Key,0)),"")</f>
        <v/>
      </c>
      <c r="J191" s="12">
        <f>IFERROR(INDEX(p_Value,MATCH(LARGE(p_Key,187),p_Key,0)),"")</f>
        <v/>
      </c>
      <c r="K191" s="33">
        <f>IFERROR(IF(H191="Open",INDEX(p_Prob,MATCH(LARGE(p_Key,187),p_Key,0)),""),"")</f>
        <v/>
      </c>
      <c r="L191" s="12">
        <f>IFERROR(INDEX(p_Risk,MATCH(LARGE(p_Key,187),p_Key,0)),"")</f>
        <v/>
      </c>
      <c r="M191" s="43">
        <f>IFERROR(INDEX(p_Month,MATCH(LARGE(p_Key,187),p_Key,0)),"")</f>
        <v/>
      </c>
      <c r="N191" s="38">
        <f>IFERROR(INDEX(p_Flags,MATCH(LARGE(p_Key,187),p_Key,0)),"")</f>
        <v/>
      </c>
    </row>
    <row r="192">
      <c r="A192" s="11">
        <f>IF(D192="","",188)</f>
        <v/>
      </c>
      <c r="B192" s="42">
        <f>IFERROR(INDEX(p_Rating,MATCH(LARGE(p_Key,188),p_Key,0)),"")</f>
        <v/>
      </c>
      <c r="C192" s="11">
        <f>IFERROR(INDEX(p_Score,MATCH(LARGE(p_Key,188),p_Key,0)),"")</f>
        <v/>
      </c>
      <c r="D192" s="38">
        <f>IFERROR(INDEX(p_Job,MATCH(LARGE(p_Key,188),p_Key,0)),"")</f>
        <v/>
      </c>
      <c r="E192" s="38">
        <f>IFERROR(INDEX(p_Client,MATCH(LARGE(p_Key,188),p_Key,0)),"")</f>
        <v/>
      </c>
      <c r="F192" s="38">
        <f>IFERROR(INDEX(p_Deal,MATCH(LARGE(p_Key,188),p_Key,0)),"")</f>
        <v/>
      </c>
      <c r="G192" s="38">
        <f>IFERROR(INDEX(p_CC,MATCH(LARGE(p_Key,188),p_Key,0)),"")</f>
        <v/>
      </c>
      <c r="H192" s="38">
        <f>IFERROR(INDEX(p_Status,MATCH(LARGE(p_Key,188),p_Key,0)),"")</f>
        <v/>
      </c>
      <c r="I192" s="38">
        <f>IFERROR(INDEX(p_Stage,MATCH(LARGE(p_Key,188),p_Key,0)),"")</f>
        <v/>
      </c>
      <c r="J192" s="12">
        <f>IFERROR(INDEX(p_Value,MATCH(LARGE(p_Key,188),p_Key,0)),"")</f>
        <v/>
      </c>
      <c r="K192" s="33">
        <f>IFERROR(IF(H192="Open",INDEX(p_Prob,MATCH(LARGE(p_Key,188),p_Key,0)),""),"")</f>
        <v/>
      </c>
      <c r="L192" s="12">
        <f>IFERROR(INDEX(p_Risk,MATCH(LARGE(p_Key,188),p_Key,0)),"")</f>
        <v/>
      </c>
      <c r="M192" s="43">
        <f>IFERROR(INDEX(p_Month,MATCH(LARGE(p_Key,188),p_Key,0)),"")</f>
        <v/>
      </c>
      <c r="N192" s="38">
        <f>IFERROR(INDEX(p_Flags,MATCH(LARGE(p_Key,188),p_Key,0)),"")</f>
        <v/>
      </c>
    </row>
    <row r="193">
      <c r="A193" s="11">
        <f>IF(D193="","",189)</f>
        <v/>
      </c>
      <c r="B193" s="42">
        <f>IFERROR(INDEX(p_Rating,MATCH(LARGE(p_Key,189),p_Key,0)),"")</f>
        <v/>
      </c>
      <c r="C193" s="11">
        <f>IFERROR(INDEX(p_Score,MATCH(LARGE(p_Key,189),p_Key,0)),"")</f>
        <v/>
      </c>
      <c r="D193" s="38">
        <f>IFERROR(INDEX(p_Job,MATCH(LARGE(p_Key,189),p_Key,0)),"")</f>
        <v/>
      </c>
      <c r="E193" s="38">
        <f>IFERROR(INDEX(p_Client,MATCH(LARGE(p_Key,189),p_Key,0)),"")</f>
        <v/>
      </c>
      <c r="F193" s="38">
        <f>IFERROR(INDEX(p_Deal,MATCH(LARGE(p_Key,189),p_Key,0)),"")</f>
        <v/>
      </c>
      <c r="G193" s="38">
        <f>IFERROR(INDEX(p_CC,MATCH(LARGE(p_Key,189),p_Key,0)),"")</f>
        <v/>
      </c>
      <c r="H193" s="38">
        <f>IFERROR(INDEX(p_Status,MATCH(LARGE(p_Key,189),p_Key,0)),"")</f>
        <v/>
      </c>
      <c r="I193" s="38">
        <f>IFERROR(INDEX(p_Stage,MATCH(LARGE(p_Key,189),p_Key,0)),"")</f>
        <v/>
      </c>
      <c r="J193" s="12">
        <f>IFERROR(INDEX(p_Value,MATCH(LARGE(p_Key,189),p_Key,0)),"")</f>
        <v/>
      </c>
      <c r="K193" s="33">
        <f>IFERROR(IF(H193="Open",INDEX(p_Prob,MATCH(LARGE(p_Key,189),p_Key,0)),""),"")</f>
        <v/>
      </c>
      <c r="L193" s="12">
        <f>IFERROR(INDEX(p_Risk,MATCH(LARGE(p_Key,189),p_Key,0)),"")</f>
        <v/>
      </c>
      <c r="M193" s="43">
        <f>IFERROR(INDEX(p_Month,MATCH(LARGE(p_Key,189),p_Key,0)),"")</f>
        <v/>
      </c>
      <c r="N193" s="38">
        <f>IFERROR(INDEX(p_Flags,MATCH(LARGE(p_Key,189),p_Key,0)),"")</f>
        <v/>
      </c>
    </row>
    <row r="194">
      <c r="A194" s="11">
        <f>IF(D194="","",190)</f>
        <v/>
      </c>
      <c r="B194" s="42">
        <f>IFERROR(INDEX(p_Rating,MATCH(LARGE(p_Key,190),p_Key,0)),"")</f>
        <v/>
      </c>
      <c r="C194" s="11">
        <f>IFERROR(INDEX(p_Score,MATCH(LARGE(p_Key,190),p_Key,0)),"")</f>
        <v/>
      </c>
      <c r="D194" s="38">
        <f>IFERROR(INDEX(p_Job,MATCH(LARGE(p_Key,190),p_Key,0)),"")</f>
        <v/>
      </c>
      <c r="E194" s="38">
        <f>IFERROR(INDEX(p_Client,MATCH(LARGE(p_Key,190),p_Key,0)),"")</f>
        <v/>
      </c>
      <c r="F194" s="38">
        <f>IFERROR(INDEX(p_Deal,MATCH(LARGE(p_Key,190),p_Key,0)),"")</f>
        <v/>
      </c>
      <c r="G194" s="38">
        <f>IFERROR(INDEX(p_CC,MATCH(LARGE(p_Key,190),p_Key,0)),"")</f>
        <v/>
      </c>
      <c r="H194" s="38">
        <f>IFERROR(INDEX(p_Status,MATCH(LARGE(p_Key,190),p_Key,0)),"")</f>
        <v/>
      </c>
      <c r="I194" s="38">
        <f>IFERROR(INDEX(p_Stage,MATCH(LARGE(p_Key,190),p_Key,0)),"")</f>
        <v/>
      </c>
      <c r="J194" s="12">
        <f>IFERROR(INDEX(p_Value,MATCH(LARGE(p_Key,190),p_Key,0)),"")</f>
        <v/>
      </c>
      <c r="K194" s="33">
        <f>IFERROR(IF(H194="Open",INDEX(p_Prob,MATCH(LARGE(p_Key,190),p_Key,0)),""),"")</f>
        <v/>
      </c>
      <c r="L194" s="12">
        <f>IFERROR(INDEX(p_Risk,MATCH(LARGE(p_Key,190),p_Key,0)),"")</f>
        <v/>
      </c>
      <c r="M194" s="43">
        <f>IFERROR(INDEX(p_Month,MATCH(LARGE(p_Key,190),p_Key,0)),"")</f>
        <v/>
      </c>
      <c r="N194" s="38">
        <f>IFERROR(INDEX(p_Flags,MATCH(LARGE(p_Key,190),p_Key,0)),"")</f>
        <v/>
      </c>
    </row>
    <row r="195">
      <c r="A195" s="11">
        <f>IF(D195="","",191)</f>
        <v/>
      </c>
      <c r="B195" s="42">
        <f>IFERROR(INDEX(p_Rating,MATCH(LARGE(p_Key,191),p_Key,0)),"")</f>
        <v/>
      </c>
      <c r="C195" s="11">
        <f>IFERROR(INDEX(p_Score,MATCH(LARGE(p_Key,191),p_Key,0)),"")</f>
        <v/>
      </c>
      <c r="D195" s="38">
        <f>IFERROR(INDEX(p_Job,MATCH(LARGE(p_Key,191),p_Key,0)),"")</f>
        <v/>
      </c>
      <c r="E195" s="38">
        <f>IFERROR(INDEX(p_Client,MATCH(LARGE(p_Key,191),p_Key,0)),"")</f>
        <v/>
      </c>
      <c r="F195" s="38">
        <f>IFERROR(INDEX(p_Deal,MATCH(LARGE(p_Key,191),p_Key,0)),"")</f>
        <v/>
      </c>
      <c r="G195" s="38">
        <f>IFERROR(INDEX(p_CC,MATCH(LARGE(p_Key,191),p_Key,0)),"")</f>
        <v/>
      </c>
      <c r="H195" s="38">
        <f>IFERROR(INDEX(p_Status,MATCH(LARGE(p_Key,191),p_Key,0)),"")</f>
        <v/>
      </c>
      <c r="I195" s="38">
        <f>IFERROR(INDEX(p_Stage,MATCH(LARGE(p_Key,191),p_Key,0)),"")</f>
        <v/>
      </c>
      <c r="J195" s="12">
        <f>IFERROR(INDEX(p_Value,MATCH(LARGE(p_Key,191),p_Key,0)),"")</f>
        <v/>
      </c>
      <c r="K195" s="33">
        <f>IFERROR(IF(H195="Open",INDEX(p_Prob,MATCH(LARGE(p_Key,191),p_Key,0)),""),"")</f>
        <v/>
      </c>
      <c r="L195" s="12">
        <f>IFERROR(INDEX(p_Risk,MATCH(LARGE(p_Key,191),p_Key,0)),"")</f>
        <v/>
      </c>
      <c r="M195" s="43">
        <f>IFERROR(INDEX(p_Month,MATCH(LARGE(p_Key,191),p_Key,0)),"")</f>
        <v/>
      </c>
      <c r="N195" s="38">
        <f>IFERROR(INDEX(p_Flags,MATCH(LARGE(p_Key,191),p_Key,0)),"")</f>
        <v/>
      </c>
    </row>
    <row r="196">
      <c r="A196" s="11">
        <f>IF(D196="","",192)</f>
        <v/>
      </c>
      <c r="B196" s="42">
        <f>IFERROR(INDEX(p_Rating,MATCH(LARGE(p_Key,192),p_Key,0)),"")</f>
        <v/>
      </c>
      <c r="C196" s="11">
        <f>IFERROR(INDEX(p_Score,MATCH(LARGE(p_Key,192),p_Key,0)),"")</f>
        <v/>
      </c>
      <c r="D196" s="38">
        <f>IFERROR(INDEX(p_Job,MATCH(LARGE(p_Key,192),p_Key,0)),"")</f>
        <v/>
      </c>
      <c r="E196" s="38">
        <f>IFERROR(INDEX(p_Client,MATCH(LARGE(p_Key,192),p_Key,0)),"")</f>
        <v/>
      </c>
      <c r="F196" s="38">
        <f>IFERROR(INDEX(p_Deal,MATCH(LARGE(p_Key,192),p_Key,0)),"")</f>
        <v/>
      </c>
      <c r="G196" s="38">
        <f>IFERROR(INDEX(p_CC,MATCH(LARGE(p_Key,192),p_Key,0)),"")</f>
        <v/>
      </c>
      <c r="H196" s="38">
        <f>IFERROR(INDEX(p_Status,MATCH(LARGE(p_Key,192),p_Key,0)),"")</f>
        <v/>
      </c>
      <c r="I196" s="38">
        <f>IFERROR(INDEX(p_Stage,MATCH(LARGE(p_Key,192),p_Key,0)),"")</f>
        <v/>
      </c>
      <c r="J196" s="12">
        <f>IFERROR(INDEX(p_Value,MATCH(LARGE(p_Key,192),p_Key,0)),"")</f>
        <v/>
      </c>
      <c r="K196" s="33">
        <f>IFERROR(IF(H196="Open",INDEX(p_Prob,MATCH(LARGE(p_Key,192),p_Key,0)),""),"")</f>
        <v/>
      </c>
      <c r="L196" s="12">
        <f>IFERROR(INDEX(p_Risk,MATCH(LARGE(p_Key,192),p_Key,0)),"")</f>
        <v/>
      </c>
      <c r="M196" s="43">
        <f>IFERROR(INDEX(p_Month,MATCH(LARGE(p_Key,192),p_Key,0)),"")</f>
        <v/>
      </c>
      <c r="N196" s="38">
        <f>IFERROR(INDEX(p_Flags,MATCH(LARGE(p_Key,192),p_Key,0)),"")</f>
        <v/>
      </c>
    </row>
    <row r="197">
      <c r="A197" s="11">
        <f>IF(D197="","",193)</f>
        <v/>
      </c>
      <c r="B197" s="42">
        <f>IFERROR(INDEX(p_Rating,MATCH(LARGE(p_Key,193),p_Key,0)),"")</f>
        <v/>
      </c>
      <c r="C197" s="11">
        <f>IFERROR(INDEX(p_Score,MATCH(LARGE(p_Key,193),p_Key,0)),"")</f>
        <v/>
      </c>
      <c r="D197" s="38">
        <f>IFERROR(INDEX(p_Job,MATCH(LARGE(p_Key,193),p_Key,0)),"")</f>
        <v/>
      </c>
      <c r="E197" s="38">
        <f>IFERROR(INDEX(p_Client,MATCH(LARGE(p_Key,193),p_Key,0)),"")</f>
        <v/>
      </c>
      <c r="F197" s="38">
        <f>IFERROR(INDEX(p_Deal,MATCH(LARGE(p_Key,193),p_Key,0)),"")</f>
        <v/>
      </c>
      <c r="G197" s="38">
        <f>IFERROR(INDEX(p_CC,MATCH(LARGE(p_Key,193),p_Key,0)),"")</f>
        <v/>
      </c>
      <c r="H197" s="38">
        <f>IFERROR(INDEX(p_Status,MATCH(LARGE(p_Key,193),p_Key,0)),"")</f>
        <v/>
      </c>
      <c r="I197" s="38">
        <f>IFERROR(INDEX(p_Stage,MATCH(LARGE(p_Key,193),p_Key,0)),"")</f>
        <v/>
      </c>
      <c r="J197" s="12">
        <f>IFERROR(INDEX(p_Value,MATCH(LARGE(p_Key,193),p_Key,0)),"")</f>
        <v/>
      </c>
      <c r="K197" s="33">
        <f>IFERROR(IF(H197="Open",INDEX(p_Prob,MATCH(LARGE(p_Key,193),p_Key,0)),""),"")</f>
        <v/>
      </c>
      <c r="L197" s="12">
        <f>IFERROR(INDEX(p_Risk,MATCH(LARGE(p_Key,193),p_Key,0)),"")</f>
        <v/>
      </c>
      <c r="M197" s="43">
        <f>IFERROR(INDEX(p_Month,MATCH(LARGE(p_Key,193),p_Key,0)),"")</f>
        <v/>
      </c>
      <c r="N197" s="38">
        <f>IFERROR(INDEX(p_Flags,MATCH(LARGE(p_Key,193),p_Key,0)),"")</f>
        <v/>
      </c>
    </row>
    <row r="198">
      <c r="A198" s="11">
        <f>IF(D198="","",194)</f>
        <v/>
      </c>
      <c r="B198" s="42">
        <f>IFERROR(INDEX(p_Rating,MATCH(LARGE(p_Key,194),p_Key,0)),"")</f>
        <v/>
      </c>
      <c r="C198" s="11">
        <f>IFERROR(INDEX(p_Score,MATCH(LARGE(p_Key,194),p_Key,0)),"")</f>
        <v/>
      </c>
      <c r="D198" s="38">
        <f>IFERROR(INDEX(p_Job,MATCH(LARGE(p_Key,194),p_Key,0)),"")</f>
        <v/>
      </c>
      <c r="E198" s="38">
        <f>IFERROR(INDEX(p_Client,MATCH(LARGE(p_Key,194),p_Key,0)),"")</f>
        <v/>
      </c>
      <c r="F198" s="38">
        <f>IFERROR(INDEX(p_Deal,MATCH(LARGE(p_Key,194),p_Key,0)),"")</f>
        <v/>
      </c>
      <c r="G198" s="38">
        <f>IFERROR(INDEX(p_CC,MATCH(LARGE(p_Key,194),p_Key,0)),"")</f>
        <v/>
      </c>
      <c r="H198" s="38">
        <f>IFERROR(INDEX(p_Status,MATCH(LARGE(p_Key,194),p_Key,0)),"")</f>
        <v/>
      </c>
      <c r="I198" s="38">
        <f>IFERROR(INDEX(p_Stage,MATCH(LARGE(p_Key,194),p_Key,0)),"")</f>
        <v/>
      </c>
      <c r="J198" s="12">
        <f>IFERROR(INDEX(p_Value,MATCH(LARGE(p_Key,194),p_Key,0)),"")</f>
        <v/>
      </c>
      <c r="K198" s="33">
        <f>IFERROR(IF(H198="Open",INDEX(p_Prob,MATCH(LARGE(p_Key,194),p_Key,0)),""),"")</f>
        <v/>
      </c>
      <c r="L198" s="12">
        <f>IFERROR(INDEX(p_Risk,MATCH(LARGE(p_Key,194),p_Key,0)),"")</f>
        <v/>
      </c>
      <c r="M198" s="43">
        <f>IFERROR(INDEX(p_Month,MATCH(LARGE(p_Key,194),p_Key,0)),"")</f>
        <v/>
      </c>
      <c r="N198" s="38">
        <f>IFERROR(INDEX(p_Flags,MATCH(LARGE(p_Key,194),p_Key,0)),"")</f>
        <v/>
      </c>
    </row>
    <row r="199">
      <c r="A199" s="11">
        <f>IF(D199="","",195)</f>
        <v/>
      </c>
      <c r="B199" s="42">
        <f>IFERROR(INDEX(p_Rating,MATCH(LARGE(p_Key,195),p_Key,0)),"")</f>
        <v/>
      </c>
      <c r="C199" s="11">
        <f>IFERROR(INDEX(p_Score,MATCH(LARGE(p_Key,195),p_Key,0)),"")</f>
        <v/>
      </c>
      <c r="D199" s="38">
        <f>IFERROR(INDEX(p_Job,MATCH(LARGE(p_Key,195),p_Key,0)),"")</f>
        <v/>
      </c>
      <c r="E199" s="38">
        <f>IFERROR(INDEX(p_Client,MATCH(LARGE(p_Key,195),p_Key,0)),"")</f>
        <v/>
      </c>
      <c r="F199" s="38">
        <f>IFERROR(INDEX(p_Deal,MATCH(LARGE(p_Key,195),p_Key,0)),"")</f>
        <v/>
      </c>
      <c r="G199" s="38">
        <f>IFERROR(INDEX(p_CC,MATCH(LARGE(p_Key,195),p_Key,0)),"")</f>
        <v/>
      </c>
      <c r="H199" s="38">
        <f>IFERROR(INDEX(p_Status,MATCH(LARGE(p_Key,195),p_Key,0)),"")</f>
        <v/>
      </c>
      <c r="I199" s="38">
        <f>IFERROR(INDEX(p_Stage,MATCH(LARGE(p_Key,195),p_Key,0)),"")</f>
        <v/>
      </c>
      <c r="J199" s="12">
        <f>IFERROR(INDEX(p_Value,MATCH(LARGE(p_Key,195),p_Key,0)),"")</f>
        <v/>
      </c>
      <c r="K199" s="33">
        <f>IFERROR(IF(H199="Open",INDEX(p_Prob,MATCH(LARGE(p_Key,195),p_Key,0)),""),"")</f>
        <v/>
      </c>
      <c r="L199" s="12">
        <f>IFERROR(INDEX(p_Risk,MATCH(LARGE(p_Key,195),p_Key,0)),"")</f>
        <v/>
      </c>
      <c r="M199" s="43">
        <f>IFERROR(INDEX(p_Month,MATCH(LARGE(p_Key,195),p_Key,0)),"")</f>
        <v/>
      </c>
      <c r="N199" s="38">
        <f>IFERROR(INDEX(p_Flags,MATCH(LARGE(p_Key,195),p_Key,0)),"")</f>
        <v/>
      </c>
    </row>
    <row r="200">
      <c r="A200" s="11">
        <f>IF(D200="","",196)</f>
        <v/>
      </c>
      <c r="B200" s="42">
        <f>IFERROR(INDEX(p_Rating,MATCH(LARGE(p_Key,196),p_Key,0)),"")</f>
        <v/>
      </c>
      <c r="C200" s="11">
        <f>IFERROR(INDEX(p_Score,MATCH(LARGE(p_Key,196),p_Key,0)),"")</f>
        <v/>
      </c>
      <c r="D200" s="38">
        <f>IFERROR(INDEX(p_Job,MATCH(LARGE(p_Key,196),p_Key,0)),"")</f>
        <v/>
      </c>
      <c r="E200" s="38">
        <f>IFERROR(INDEX(p_Client,MATCH(LARGE(p_Key,196),p_Key,0)),"")</f>
        <v/>
      </c>
      <c r="F200" s="38">
        <f>IFERROR(INDEX(p_Deal,MATCH(LARGE(p_Key,196),p_Key,0)),"")</f>
        <v/>
      </c>
      <c r="G200" s="38">
        <f>IFERROR(INDEX(p_CC,MATCH(LARGE(p_Key,196),p_Key,0)),"")</f>
        <v/>
      </c>
      <c r="H200" s="38">
        <f>IFERROR(INDEX(p_Status,MATCH(LARGE(p_Key,196),p_Key,0)),"")</f>
        <v/>
      </c>
      <c r="I200" s="38">
        <f>IFERROR(INDEX(p_Stage,MATCH(LARGE(p_Key,196),p_Key,0)),"")</f>
        <v/>
      </c>
      <c r="J200" s="12">
        <f>IFERROR(INDEX(p_Value,MATCH(LARGE(p_Key,196),p_Key,0)),"")</f>
        <v/>
      </c>
      <c r="K200" s="33">
        <f>IFERROR(IF(H200="Open",INDEX(p_Prob,MATCH(LARGE(p_Key,196),p_Key,0)),""),"")</f>
        <v/>
      </c>
      <c r="L200" s="12">
        <f>IFERROR(INDEX(p_Risk,MATCH(LARGE(p_Key,196),p_Key,0)),"")</f>
        <v/>
      </c>
      <c r="M200" s="43">
        <f>IFERROR(INDEX(p_Month,MATCH(LARGE(p_Key,196),p_Key,0)),"")</f>
        <v/>
      </c>
      <c r="N200" s="38">
        <f>IFERROR(INDEX(p_Flags,MATCH(LARGE(p_Key,196),p_Key,0)),"")</f>
        <v/>
      </c>
    </row>
    <row r="201">
      <c r="A201" s="11">
        <f>IF(D201="","",197)</f>
        <v/>
      </c>
      <c r="B201" s="42">
        <f>IFERROR(INDEX(p_Rating,MATCH(LARGE(p_Key,197),p_Key,0)),"")</f>
        <v/>
      </c>
      <c r="C201" s="11">
        <f>IFERROR(INDEX(p_Score,MATCH(LARGE(p_Key,197),p_Key,0)),"")</f>
        <v/>
      </c>
      <c r="D201" s="38">
        <f>IFERROR(INDEX(p_Job,MATCH(LARGE(p_Key,197),p_Key,0)),"")</f>
        <v/>
      </c>
      <c r="E201" s="38">
        <f>IFERROR(INDEX(p_Client,MATCH(LARGE(p_Key,197),p_Key,0)),"")</f>
        <v/>
      </c>
      <c r="F201" s="38">
        <f>IFERROR(INDEX(p_Deal,MATCH(LARGE(p_Key,197),p_Key,0)),"")</f>
        <v/>
      </c>
      <c r="G201" s="38">
        <f>IFERROR(INDEX(p_CC,MATCH(LARGE(p_Key,197),p_Key,0)),"")</f>
        <v/>
      </c>
      <c r="H201" s="38">
        <f>IFERROR(INDEX(p_Status,MATCH(LARGE(p_Key,197),p_Key,0)),"")</f>
        <v/>
      </c>
      <c r="I201" s="38">
        <f>IFERROR(INDEX(p_Stage,MATCH(LARGE(p_Key,197),p_Key,0)),"")</f>
        <v/>
      </c>
      <c r="J201" s="12">
        <f>IFERROR(INDEX(p_Value,MATCH(LARGE(p_Key,197),p_Key,0)),"")</f>
        <v/>
      </c>
      <c r="K201" s="33">
        <f>IFERROR(IF(H201="Open",INDEX(p_Prob,MATCH(LARGE(p_Key,197),p_Key,0)),""),"")</f>
        <v/>
      </c>
      <c r="L201" s="12">
        <f>IFERROR(INDEX(p_Risk,MATCH(LARGE(p_Key,197),p_Key,0)),"")</f>
        <v/>
      </c>
      <c r="M201" s="43">
        <f>IFERROR(INDEX(p_Month,MATCH(LARGE(p_Key,197),p_Key,0)),"")</f>
        <v/>
      </c>
      <c r="N201" s="38">
        <f>IFERROR(INDEX(p_Flags,MATCH(LARGE(p_Key,197),p_Key,0)),"")</f>
        <v/>
      </c>
    </row>
    <row r="202">
      <c r="A202" s="11">
        <f>IF(D202="","",198)</f>
        <v/>
      </c>
      <c r="B202" s="42">
        <f>IFERROR(INDEX(p_Rating,MATCH(LARGE(p_Key,198),p_Key,0)),"")</f>
        <v/>
      </c>
      <c r="C202" s="11">
        <f>IFERROR(INDEX(p_Score,MATCH(LARGE(p_Key,198),p_Key,0)),"")</f>
        <v/>
      </c>
      <c r="D202" s="38">
        <f>IFERROR(INDEX(p_Job,MATCH(LARGE(p_Key,198),p_Key,0)),"")</f>
        <v/>
      </c>
      <c r="E202" s="38">
        <f>IFERROR(INDEX(p_Client,MATCH(LARGE(p_Key,198),p_Key,0)),"")</f>
        <v/>
      </c>
      <c r="F202" s="38">
        <f>IFERROR(INDEX(p_Deal,MATCH(LARGE(p_Key,198),p_Key,0)),"")</f>
        <v/>
      </c>
      <c r="G202" s="38">
        <f>IFERROR(INDEX(p_CC,MATCH(LARGE(p_Key,198),p_Key,0)),"")</f>
        <v/>
      </c>
      <c r="H202" s="38">
        <f>IFERROR(INDEX(p_Status,MATCH(LARGE(p_Key,198),p_Key,0)),"")</f>
        <v/>
      </c>
      <c r="I202" s="38">
        <f>IFERROR(INDEX(p_Stage,MATCH(LARGE(p_Key,198),p_Key,0)),"")</f>
        <v/>
      </c>
      <c r="J202" s="12">
        <f>IFERROR(INDEX(p_Value,MATCH(LARGE(p_Key,198),p_Key,0)),"")</f>
        <v/>
      </c>
      <c r="K202" s="33">
        <f>IFERROR(IF(H202="Open",INDEX(p_Prob,MATCH(LARGE(p_Key,198),p_Key,0)),""),"")</f>
        <v/>
      </c>
      <c r="L202" s="12">
        <f>IFERROR(INDEX(p_Risk,MATCH(LARGE(p_Key,198),p_Key,0)),"")</f>
        <v/>
      </c>
      <c r="M202" s="43">
        <f>IFERROR(INDEX(p_Month,MATCH(LARGE(p_Key,198),p_Key,0)),"")</f>
        <v/>
      </c>
      <c r="N202" s="38">
        <f>IFERROR(INDEX(p_Flags,MATCH(LARGE(p_Key,198),p_Key,0)),"")</f>
        <v/>
      </c>
    </row>
    <row r="203">
      <c r="A203" s="11">
        <f>IF(D203="","",199)</f>
        <v/>
      </c>
      <c r="B203" s="42">
        <f>IFERROR(INDEX(p_Rating,MATCH(LARGE(p_Key,199),p_Key,0)),"")</f>
        <v/>
      </c>
      <c r="C203" s="11">
        <f>IFERROR(INDEX(p_Score,MATCH(LARGE(p_Key,199),p_Key,0)),"")</f>
        <v/>
      </c>
      <c r="D203" s="38">
        <f>IFERROR(INDEX(p_Job,MATCH(LARGE(p_Key,199),p_Key,0)),"")</f>
        <v/>
      </c>
      <c r="E203" s="38">
        <f>IFERROR(INDEX(p_Client,MATCH(LARGE(p_Key,199),p_Key,0)),"")</f>
        <v/>
      </c>
      <c r="F203" s="38">
        <f>IFERROR(INDEX(p_Deal,MATCH(LARGE(p_Key,199),p_Key,0)),"")</f>
        <v/>
      </c>
      <c r="G203" s="38">
        <f>IFERROR(INDEX(p_CC,MATCH(LARGE(p_Key,199),p_Key,0)),"")</f>
        <v/>
      </c>
      <c r="H203" s="38">
        <f>IFERROR(INDEX(p_Status,MATCH(LARGE(p_Key,199),p_Key,0)),"")</f>
        <v/>
      </c>
      <c r="I203" s="38">
        <f>IFERROR(INDEX(p_Stage,MATCH(LARGE(p_Key,199),p_Key,0)),"")</f>
        <v/>
      </c>
      <c r="J203" s="12">
        <f>IFERROR(INDEX(p_Value,MATCH(LARGE(p_Key,199),p_Key,0)),"")</f>
        <v/>
      </c>
      <c r="K203" s="33">
        <f>IFERROR(IF(H203="Open",INDEX(p_Prob,MATCH(LARGE(p_Key,199),p_Key,0)),""),"")</f>
        <v/>
      </c>
      <c r="L203" s="12">
        <f>IFERROR(INDEX(p_Risk,MATCH(LARGE(p_Key,199),p_Key,0)),"")</f>
        <v/>
      </c>
      <c r="M203" s="43">
        <f>IFERROR(INDEX(p_Month,MATCH(LARGE(p_Key,199),p_Key,0)),"")</f>
        <v/>
      </c>
      <c r="N203" s="38">
        <f>IFERROR(INDEX(p_Flags,MATCH(LARGE(p_Key,199),p_Key,0)),"")</f>
        <v/>
      </c>
    </row>
    <row r="204">
      <c r="A204" s="11">
        <f>IF(D204="","",200)</f>
        <v/>
      </c>
      <c r="B204" s="42">
        <f>IFERROR(INDEX(p_Rating,MATCH(LARGE(p_Key,200),p_Key,0)),"")</f>
        <v/>
      </c>
      <c r="C204" s="11">
        <f>IFERROR(INDEX(p_Score,MATCH(LARGE(p_Key,200),p_Key,0)),"")</f>
        <v/>
      </c>
      <c r="D204" s="38">
        <f>IFERROR(INDEX(p_Job,MATCH(LARGE(p_Key,200),p_Key,0)),"")</f>
        <v/>
      </c>
      <c r="E204" s="38">
        <f>IFERROR(INDEX(p_Client,MATCH(LARGE(p_Key,200),p_Key,0)),"")</f>
        <v/>
      </c>
      <c r="F204" s="38">
        <f>IFERROR(INDEX(p_Deal,MATCH(LARGE(p_Key,200),p_Key,0)),"")</f>
        <v/>
      </c>
      <c r="G204" s="38">
        <f>IFERROR(INDEX(p_CC,MATCH(LARGE(p_Key,200),p_Key,0)),"")</f>
        <v/>
      </c>
      <c r="H204" s="38">
        <f>IFERROR(INDEX(p_Status,MATCH(LARGE(p_Key,200),p_Key,0)),"")</f>
        <v/>
      </c>
      <c r="I204" s="38">
        <f>IFERROR(INDEX(p_Stage,MATCH(LARGE(p_Key,200),p_Key,0)),"")</f>
        <v/>
      </c>
      <c r="J204" s="12">
        <f>IFERROR(INDEX(p_Value,MATCH(LARGE(p_Key,200),p_Key,0)),"")</f>
        <v/>
      </c>
      <c r="K204" s="33">
        <f>IFERROR(IF(H204="Open",INDEX(p_Prob,MATCH(LARGE(p_Key,200),p_Key,0)),""),"")</f>
        <v/>
      </c>
      <c r="L204" s="12">
        <f>IFERROR(INDEX(p_Risk,MATCH(LARGE(p_Key,200),p_Key,0)),"")</f>
        <v/>
      </c>
      <c r="M204" s="43">
        <f>IFERROR(INDEX(p_Month,MATCH(LARGE(p_Key,200),p_Key,0)),"")</f>
        <v/>
      </c>
      <c r="N204" s="38">
        <f>IFERROR(INDEX(p_Flags,MATCH(LARGE(p_Key,200),p_Key,0)),"")</f>
        <v/>
      </c>
    </row>
    <row r="205">
      <c r="A205" s="11">
        <f>IF(D205="","",201)</f>
        <v/>
      </c>
      <c r="B205" s="42">
        <f>IFERROR(INDEX(p_Rating,MATCH(LARGE(p_Key,201),p_Key,0)),"")</f>
        <v/>
      </c>
      <c r="C205" s="11">
        <f>IFERROR(INDEX(p_Score,MATCH(LARGE(p_Key,201),p_Key,0)),"")</f>
        <v/>
      </c>
      <c r="D205" s="38">
        <f>IFERROR(INDEX(p_Job,MATCH(LARGE(p_Key,201),p_Key,0)),"")</f>
        <v/>
      </c>
      <c r="E205" s="38">
        <f>IFERROR(INDEX(p_Client,MATCH(LARGE(p_Key,201),p_Key,0)),"")</f>
        <v/>
      </c>
      <c r="F205" s="38">
        <f>IFERROR(INDEX(p_Deal,MATCH(LARGE(p_Key,201),p_Key,0)),"")</f>
        <v/>
      </c>
      <c r="G205" s="38">
        <f>IFERROR(INDEX(p_CC,MATCH(LARGE(p_Key,201),p_Key,0)),"")</f>
        <v/>
      </c>
      <c r="H205" s="38">
        <f>IFERROR(INDEX(p_Status,MATCH(LARGE(p_Key,201),p_Key,0)),"")</f>
        <v/>
      </c>
      <c r="I205" s="38">
        <f>IFERROR(INDEX(p_Stage,MATCH(LARGE(p_Key,201),p_Key,0)),"")</f>
        <v/>
      </c>
      <c r="J205" s="12">
        <f>IFERROR(INDEX(p_Value,MATCH(LARGE(p_Key,201),p_Key,0)),"")</f>
        <v/>
      </c>
      <c r="K205" s="33">
        <f>IFERROR(IF(H205="Open",INDEX(p_Prob,MATCH(LARGE(p_Key,201),p_Key,0)),""),"")</f>
        <v/>
      </c>
      <c r="L205" s="12">
        <f>IFERROR(INDEX(p_Risk,MATCH(LARGE(p_Key,201),p_Key,0)),"")</f>
        <v/>
      </c>
      <c r="M205" s="43">
        <f>IFERROR(INDEX(p_Month,MATCH(LARGE(p_Key,201),p_Key,0)),"")</f>
        <v/>
      </c>
      <c r="N205" s="38">
        <f>IFERROR(INDEX(p_Flags,MATCH(LARGE(p_Key,201),p_Key,0)),"")</f>
        <v/>
      </c>
    </row>
    <row r="206">
      <c r="A206" s="11">
        <f>IF(D206="","",202)</f>
        <v/>
      </c>
      <c r="B206" s="42">
        <f>IFERROR(INDEX(p_Rating,MATCH(LARGE(p_Key,202),p_Key,0)),"")</f>
        <v/>
      </c>
      <c r="C206" s="11">
        <f>IFERROR(INDEX(p_Score,MATCH(LARGE(p_Key,202),p_Key,0)),"")</f>
        <v/>
      </c>
      <c r="D206" s="38">
        <f>IFERROR(INDEX(p_Job,MATCH(LARGE(p_Key,202),p_Key,0)),"")</f>
        <v/>
      </c>
      <c r="E206" s="38">
        <f>IFERROR(INDEX(p_Client,MATCH(LARGE(p_Key,202),p_Key,0)),"")</f>
        <v/>
      </c>
      <c r="F206" s="38">
        <f>IFERROR(INDEX(p_Deal,MATCH(LARGE(p_Key,202),p_Key,0)),"")</f>
        <v/>
      </c>
      <c r="G206" s="38">
        <f>IFERROR(INDEX(p_CC,MATCH(LARGE(p_Key,202),p_Key,0)),"")</f>
        <v/>
      </c>
      <c r="H206" s="38">
        <f>IFERROR(INDEX(p_Status,MATCH(LARGE(p_Key,202),p_Key,0)),"")</f>
        <v/>
      </c>
      <c r="I206" s="38">
        <f>IFERROR(INDEX(p_Stage,MATCH(LARGE(p_Key,202),p_Key,0)),"")</f>
        <v/>
      </c>
      <c r="J206" s="12">
        <f>IFERROR(INDEX(p_Value,MATCH(LARGE(p_Key,202),p_Key,0)),"")</f>
        <v/>
      </c>
      <c r="K206" s="33">
        <f>IFERROR(IF(H206="Open",INDEX(p_Prob,MATCH(LARGE(p_Key,202),p_Key,0)),""),"")</f>
        <v/>
      </c>
      <c r="L206" s="12">
        <f>IFERROR(INDEX(p_Risk,MATCH(LARGE(p_Key,202),p_Key,0)),"")</f>
        <v/>
      </c>
      <c r="M206" s="43">
        <f>IFERROR(INDEX(p_Month,MATCH(LARGE(p_Key,202),p_Key,0)),"")</f>
        <v/>
      </c>
      <c r="N206" s="38">
        <f>IFERROR(INDEX(p_Flags,MATCH(LARGE(p_Key,202),p_Key,0)),"")</f>
        <v/>
      </c>
    </row>
    <row r="207">
      <c r="A207" s="11">
        <f>IF(D207="","",203)</f>
        <v/>
      </c>
      <c r="B207" s="42">
        <f>IFERROR(INDEX(p_Rating,MATCH(LARGE(p_Key,203),p_Key,0)),"")</f>
        <v/>
      </c>
      <c r="C207" s="11">
        <f>IFERROR(INDEX(p_Score,MATCH(LARGE(p_Key,203),p_Key,0)),"")</f>
        <v/>
      </c>
      <c r="D207" s="38">
        <f>IFERROR(INDEX(p_Job,MATCH(LARGE(p_Key,203),p_Key,0)),"")</f>
        <v/>
      </c>
      <c r="E207" s="38">
        <f>IFERROR(INDEX(p_Client,MATCH(LARGE(p_Key,203),p_Key,0)),"")</f>
        <v/>
      </c>
      <c r="F207" s="38">
        <f>IFERROR(INDEX(p_Deal,MATCH(LARGE(p_Key,203),p_Key,0)),"")</f>
        <v/>
      </c>
      <c r="G207" s="38">
        <f>IFERROR(INDEX(p_CC,MATCH(LARGE(p_Key,203),p_Key,0)),"")</f>
        <v/>
      </c>
      <c r="H207" s="38">
        <f>IFERROR(INDEX(p_Status,MATCH(LARGE(p_Key,203),p_Key,0)),"")</f>
        <v/>
      </c>
      <c r="I207" s="38">
        <f>IFERROR(INDEX(p_Stage,MATCH(LARGE(p_Key,203),p_Key,0)),"")</f>
        <v/>
      </c>
      <c r="J207" s="12">
        <f>IFERROR(INDEX(p_Value,MATCH(LARGE(p_Key,203),p_Key,0)),"")</f>
        <v/>
      </c>
      <c r="K207" s="33">
        <f>IFERROR(IF(H207="Open",INDEX(p_Prob,MATCH(LARGE(p_Key,203),p_Key,0)),""),"")</f>
        <v/>
      </c>
      <c r="L207" s="12">
        <f>IFERROR(INDEX(p_Risk,MATCH(LARGE(p_Key,203),p_Key,0)),"")</f>
        <v/>
      </c>
      <c r="M207" s="43">
        <f>IFERROR(INDEX(p_Month,MATCH(LARGE(p_Key,203),p_Key,0)),"")</f>
        <v/>
      </c>
      <c r="N207" s="38">
        <f>IFERROR(INDEX(p_Flags,MATCH(LARGE(p_Key,203),p_Key,0)),"")</f>
        <v/>
      </c>
    </row>
    <row r="208">
      <c r="A208" s="11">
        <f>IF(D208="","",204)</f>
        <v/>
      </c>
      <c r="B208" s="42">
        <f>IFERROR(INDEX(p_Rating,MATCH(LARGE(p_Key,204),p_Key,0)),"")</f>
        <v/>
      </c>
      <c r="C208" s="11">
        <f>IFERROR(INDEX(p_Score,MATCH(LARGE(p_Key,204),p_Key,0)),"")</f>
        <v/>
      </c>
      <c r="D208" s="38">
        <f>IFERROR(INDEX(p_Job,MATCH(LARGE(p_Key,204),p_Key,0)),"")</f>
        <v/>
      </c>
      <c r="E208" s="38">
        <f>IFERROR(INDEX(p_Client,MATCH(LARGE(p_Key,204),p_Key,0)),"")</f>
        <v/>
      </c>
      <c r="F208" s="38">
        <f>IFERROR(INDEX(p_Deal,MATCH(LARGE(p_Key,204),p_Key,0)),"")</f>
        <v/>
      </c>
      <c r="G208" s="38">
        <f>IFERROR(INDEX(p_CC,MATCH(LARGE(p_Key,204),p_Key,0)),"")</f>
        <v/>
      </c>
      <c r="H208" s="38">
        <f>IFERROR(INDEX(p_Status,MATCH(LARGE(p_Key,204),p_Key,0)),"")</f>
        <v/>
      </c>
      <c r="I208" s="38">
        <f>IFERROR(INDEX(p_Stage,MATCH(LARGE(p_Key,204),p_Key,0)),"")</f>
        <v/>
      </c>
      <c r="J208" s="12">
        <f>IFERROR(INDEX(p_Value,MATCH(LARGE(p_Key,204),p_Key,0)),"")</f>
        <v/>
      </c>
      <c r="K208" s="33">
        <f>IFERROR(IF(H208="Open",INDEX(p_Prob,MATCH(LARGE(p_Key,204),p_Key,0)),""),"")</f>
        <v/>
      </c>
      <c r="L208" s="12">
        <f>IFERROR(INDEX(p_Risk,MATCH(LARGE(p_Key,204),p_Key,0)),"")</f>
        <v/>
      </c>
      <c r="M208" s="43">
        <f>IFERROR(INDEX(p_Month,MATCH(LARGE(p_Key,204),p_Key,0)),"")</f>
        <v/>
      </c>
      <c r="N208" s="38">
        <f>IFERROR(INDEX(p_Flags,MATCH(LARGE(p_Key,204),p_Key,0)),"")</f>
        <v/>
      </c>
    </row>
    <row r="209">
      <c r="A209" s="11">
        <f>IF(D209="","",205)</f>
        <v/>
      </c>
      <c r="B209" s="42">
        <f>IFERROR(INDEX(p_Rating,MATCH(LARGE(p_Key,205),p_Key,0)),"")</f>
        <v/>
      </c>
      <c r="C209" s="11">
        <f>IFERROR(INDEX(p_Score,MATCH(LARGE(p_Key,205),p_Key,0)),"")</f>
        <v/>
      </c>
      <c r="D209" s="38">
        <f>IFERROR(INDEX(p_Job,MATCH(LARGE(p_Key,205),p_Key,0)),"")</f>
        <v/>
      </c>
      <c r="E209" s="38">
        <f>IFERROR(INDEX(p_Client,MATCH(LARGE(p_Key,205),p_Key,0)),"")</f>
        <v/>
      </c>
      <c r="F209" s="38">
        <f>IFERROR(INDEX(p_Deal,MATCH(LARGE(p_Key,205),p_Key,0)),"")</f>
        <v/>
      </c>
      <c r="G209" s="38">
        <f>IFERROR(INDEX(p_CC,MATCH(LARGE(p_Key,205),p_Key,0)),"")</f>
        <v/>
      </c>
      <c r="H209" s="38">
        <f>IFERROR(INDEX(p_Status,MATCH(LARGE(p_Key,205),p_Key,0)),"")</f>
        <v/>
      </c>
      <c r="I209" s="38">
        <f>IFERROR(INDEX(p_Stage,MATCH(LARGE(p_Key,205),p_Key,0)),"")</f>
        <v/>
      </c>
      <c r="J209" s="12">
        <f>IFERROR(INDEX(p_Value,MATCH(LARGE(p_Key,205),p_Key,0)),"")</f>
        <v/>
      </c>
      <c r="K209" s="33">
        <f>IFERROR(IF(H209="Open",INDEX(p_Prob,MATCH(LARGE(p_Key,205),p_Key,0)),""),"")</f>
        <v/>
      </c>
      <c r="L209" s="12">
        <f>IFERROR(INDEX(p_Risk,MATCH(LARGE(p_Key,205),p_Key,0)),"")</f>
        <v/>
      </c>
      <c r="M209" s="43">
        <f>IFERROR(INDEX(p_Month,MATCH(LARGE(p_Key,205),p_Key,0)),"")</f>
        <v/>
      </c>
      <c r="N209" s="38">
        <f>IFERROR(INDEX(p_Flags,MATCH(LARGE(p_Key,205),p_Key,0)),"")</f>
        <v/>
      </c>
    </row>
    <row r="210">
      <c r="A210" s="11">
        <f>IF(D210="","",206)</f>
        <v/>
      </c>
      <c r="B210" s="42">
        <f>IFERROR(INDEX(p_Rating,MATCH(LARGE(p_Key,206),p_Key,0)),"")</f>
        <v/>
      </c>
      <c r="C210" s="11">
        <f>IFERROR(INDEX(p_Score,MATCH(LARGE(p_Key,206),p_Key,0)),"")</f>
        <v/>
      </c>
      <c r="D210" s="38">
        <f>IFERROR(INDEX(p_Job,MATCH(LARGE(p_Key,206),p_Key,0)),"")</f>
        <v/>
      </c>
      <c r="E210" s="38">
        <f>IFERROR(INDEX(p_Client,MATCH(LARGE(p_Key,206),p_Key,0)),"")</f>
        <v/>
      </c>
      <c r="F210" s="38">
        <f>IFERROR(INDEX(p_Deal,MATCH(LARGE(p_Key,206),p_Key,0)),"")</f>
        <v/>
      </c>
      <c r="G210" s="38">
        <f>IFERROR(INDEX(p_CC,MATCH(LARGE(p_Key,206),p_Key,0)),"")</f>
        <v/>
      </c>
      <c r="H210" s="38">
        <f>IFERROR(INDEX(p_Status,MATCH(LARGE(p_Key,206),p_Key,0)),"")</f>
        <v/>
      </c>
      <c r="I210" s="38">
        <f>IFERROR(INDEX(p_Stage,MATCH(LARGE(p_Key,206),p_Key,0)),"")</f>
        <v/>
      </c>
      <c r="J210" s="12">
        <f>IFERROR(INDEX(p_Value,MATCH(LARGE(p_Key,206),p_Key,0)),"")</f>
        <v/>
      </c>
      <c r="K210" s="33">
        <f>IFERROR(IF(H210="Open",INDEX(p_Prob,MATCH(LARGE(p_Key,206),p_Key,0)),""),"")</f>
        <v/>
      </c>
      <c r="L210" s="12">
        <f>IFERROR(INDEX(p_Risk,MATCH(LARGE(p_Key,206),p_Key,0)),"")</f>
        <v/>
      </c>
      <c r="M210" s="43">
        <f>IFERROR(INDEX(p_Month,MATCH(LARGE(p_Key,206),p_Key,0)),"")</f>
        <v/>
      </c>
      <c r="N210" s="38">
        <f>IFERROR(INDEX(p_Flags,MATCH(LARGE(p_Key,206),p_Key,0)),"")</f>
        <v/>
      </c>
    </row>
    <row r="211">
      <c r="A211" s="11">
        <f>IF(D211="","",207)</f>
        <v/>
      </c>
      <c r="B211" s="42">
        <f>IFERROR(INDEX(p_Rating,MATCH(LARGE(p_Key,207),p_Key,0)),"")</f>
        <v/>
      </c>
      <c r="C211" s="11">
        <f>IFERROR(INDEX(p_Score,MATCH(LARGE(p_Key,207),p_Key,0)),"")</f>
        <v/>
      </c>
      <c r="D211" s="38">
        <f>IFERROR(INDEX(p_Job,MATCH(LARGE(p_Key,207),p_Key,0)),"")</f>
        <v/>
      </c>
      <c r="E211" s="38">
        <f>IFERROR(INDEX(p_Client,MATCH(LARGE(p_Key,207),p_Key,0)),"")</f>
        <v/>
      </c>
      <c r="F211" s="38">
        <f>IFERROR(INDEX(p_Deal,MATCH(LARGE(p_Key,207),p_Key,0)),"")</f>
        <v/>
      </c>
      <c r="G211" s="38">
        <f>IFERROR(INDEX(p_CC,MATCH(LARGE(p_Key,207),p_Key,0)),"")</f>
        <v/>
      </c>
      <c r="H211" s="38">
        <f>IFERROR(INDEX(p_Status,MATCH(LARGE(p_Key,207),p_Key,0)),"")</f>
        <v/>
      </c>
      <c r="I211" s="38">
        <f>IFERROR(INDEX(p_Stage,MATCH(LARGE(p_Key,207),p_Key,0)),"")</f>
        <v/>
      </c>
      <c r="J211" s="12">
        <f>IFERROR(INDEX(p_Value,MATCH(LARGE(p_Key,207),p_Key,0)),"")</f>
        <v/>
      </c>
      <c r="K211" s="33">
        <f>IFERROR(IF(H211="Open",INDEX(p_Prob,MATCH(LARGE(p_Key,207),p_Key,0)),""),"")</f>
        <v/>
      </c>
      <c r="L211" s="12">
        <f>IFERROR(INDEX(p_Risk,MATCH(LARGE(p_Key,207),p_Key,0)),"")</f>
        <v/>
      </c>
      <c r="M211" s="43">
        <f>IFERROR(INDEX(p_Month,MATCH(LARGE(p_Key,207),p_Key,0)),"")</f>
        <v/>
      </c>
      <c r="N211" s="38">
        <f>IFERROR(INDEX(p_Flags,MATCH(LARGE(p_Key,207),p_Key,0)),"")</f>
        <v/>
      </c>
    </row>
    <row r="212">
      <c r="A212" s="11">
        <f>IF(D212="","",208)</f>
        <v/>
      </c>
      <c r="B212" s="42">
        <f>IFERROR(INDEX(p_Rating,MATCH(LARGE(p_Key,208),p_Key,0)),"")</f>
        <v/>
      </c>
      <c r="C212" s="11">
        <f>IFERROR(INDEX(p_Score,MATCH(LARGE(p_Key,208),p_Key,0)),"")</f>
        <v/>
      </c>
      <c r="D212" s="38">
        <f>IFERROR(INDEX(p_Job,MATCH(LARGE(p_Key,208),p_Key,0)),"")</f>
        <v/>
      </c>
      <c r="E212" s="38">
        <f>IFERROR(INDEX(p_Client,MATCH(LARGE(p_Key,208),p_Key,0)),"")</f>
        <v/>
      </c>
      <c r="F212" s="38">
        <f>IFERROR(INDEX(p_Deal,MATCH(LARGE(p_Key,208),p_Key,0)),"")</f>
        <v/>
      </c>
      <c r="G212" s="38">
        <f>IFERROR(INDEX(p_CC,MATCH(LARGE(p_Key,208),p_Key,0)),"")</f>
        <v/>
      </c>
      <c r="H212" s="38">
        <f>IFERROR(INDEX(p_Status,MATCH(LARGE(p_Key,208),p_Key,0)),"")</f>
        <v/>
      </c>
      <c r="I212" s="38">
        <f>IFERROR(INDEX(p_Stage,MATCH(LARGE(p_Key,208),p_Key,0)),"")</f>
        <v/>
      </c>
      <c r="J212" s="12">
        <f>IFERROR(INDEX(p_Value,MATCH(LARGE(p_Key,208),p_Key,0)),"")</f>
        <v/>
      </c>
      <c r="K212" s="33">
        <f>IFERROR(IF(H212="Open",INDEX(p_Prob,MATCH(LARGE(p_Key,208),p_Key,0)),""),"")</f>
        <v/>
      </c>
      <c r="L212" s="12">
        <f>IFERROR(INDEX(p_Risk,MATCH(LARGE(p_Key,208),p_Key,0)),"")</f>
        <v/>
      </c>
      <c r="M212" s="43">
        <f>IFERROR(INDEX(p_Month,MATCH(LARGE(p_Key,208),p_Key,0)),"")</f>
        <v/>
      </c>
      <c r="N212" s="38">
        <f>IFERROR(INDEX(p_Flags,MATCH(LARGE(p_Key,208),p_Key,0)),"")</f>
        <v/>
      </c>
    </row>
    <row r="213">
      <c r="A213" s="11">
        <f>IF(D213="","",209)</f>
        <v/>
      </c>
      <c r="B213" s="42">
        <f>IFERROR(INDEX(p_Rating,MATCH(LARGE(p_Key,209),p_Key,0)),"")</f>
        <v/>
      </c>
      <c r="C213" s="11">
        <f>IFERROR(INDEX(p_Score,MATCH(LARGE(p_Key,209),p_Key,0)),"")</f>
        <v/>
      </c>
      <c r="D213" s="38">
        <f>IFERROR(INDEX(p_Job,MATCH(LARGE(p_Key,209),p_Key,0)),"")</f>
        <v/>
      </c>
      <c r="E213" s="38">
        <f>IFERROR(INDEX(p_Client,MATCH(LARGE(p_Key,209),p_Key,0)),"")</f>
        <v/>
      </c>
      <c r="F213" s="38">
        <f>IFERROR(INDEX(p_Deal,MATCH(LARGE(p_Key,209),p_Key,0)),"")</f>
        <v/>
      </c>
      <c r="G213" s="38">
        <f>IFERROR(INDEX(p_CC,MATCH(LARGE(p_Key,209),p_Key,0)),"")</f>
        <v/>
      </c>
      <c r="H213" s="38">
        <f>IFERROR(INDEX(p_Status,MATCH(LARGE(p_Key,209),p_Key,0)),"")</f>
        <v/>
      </c>
      <c r="I213" s="38">
        <f>IFERROR(INDEX(p_Stage,MATCH(LARGE(p_Key,209),p_Key,0)),"")</f>
        <v/>
      </c>
      <c r="J213" s="12">
        <f>IFERROR(INDEX(p_Value,MATCH(LARGE(p_Key,209),p_Key,0)),"")</f>
        <v/>
      </c>
      <c r="K213" s="33">
        <f>IFERROR(IF(H213="Open",INDEX(p_Prob,MATCH(LARGE(p_Key,209),p_Key,0)),""),"")</f>
        <v/>
      </c>
      <c r="L213" s="12">
        <f>IFERROR(INDEX(p_Risk,MATCH(LARGE(p_Key,209),p_Key,0)),"")</f>
        <v/>
      </c>
      <c r="M213" s="43">
        <f>IFERROR(INDEX(p_Month,MATCH(LARGE(p_Key,209),p_Key,0)),"")</f>
        <v/>
      </c>
      <c r="N213" s="38">
        <f>IFERROR(INDEX(p_Flags,MATCH(LARGE(p_Key,209),p_Key,0)),"")</f>
        <v/>
      </c>
    </row>
    <row r="214">
      <c r="A214" s="11">
        <f>IF(D214="","",210)</f>
        <v/>
      </c>
      <c r="B214" s="42">
        <f>IFERROR(INDEX(p_Rating,MATCH(LARGE(p_Key,210),p_Key,0)),"")</f>
        <v/>
      </c>
      <c r="C214" s="11">
        <f>IFERROR(INDEX(p_Score,MATCH(LARGE(p_Key,210),p_Key,0)),"")</f>
        <v/>
      </c>
      <c r="D214" s="38">
        <f>IFERROR(INDEX(p_Job,MATCH(LARGE(p_Key,210),p_Key,0)),"")</f>
        <v/>
      </c>
      <c r="E214" s="38">
        <f>IFERROR(INDEX(p_Client,MATCH(LARGE(p_Key,210),p_Key,0)),"")</f>
        <v/>
      </c>
      <c r="F214" s="38">
        <f>IFERROR(INDEX(p_Deal,MATCH(LARGE(p_Key,210),p_Key,0)),"")</f>
        <v/>
      </c>
      <c r="G214" s="38">
        <f>IFERROR(INDEX(p_CC,MATCH(LARGE(p_Key,210),p_Key,0)),"")</f>
        <v/>
      </c>
      <c r="H214" s="38">
        <f>IFERROR(INDEX(p_Status,MATCH(LARGE(p_Key,210),p_Key,0)),"")</f>
        <v/>
      </c>
      <c r="I214" s="38">
        <f>IFERROR(INDEX(p_Stage,MATCH(LARGE(p_Key,210),p_Key,0)),"")</f>
        <v/>
      </c>
      <c r="J214" s="12">
        <f>IFERROR(INDEX(p_Value,MATCH(LARGE(p_Key,210),p_Key,0)),"")</f>
        <v/>
      </c>
      <c r="K214" s="33">
        <f>IFERROR(IF(H214="Open",INDEX(p_Prob,MATCH(LARGE(p_Key,210),p_Key,0)),""),"")</f>
        <v/>
      </c>
      <c r="L214" s="12">
        <f>IFERROR(INDEX(p_Risk,MATCH(LARGE(p_Key,210),p_Key,0)),"")</f>
        <v/>
      </c>
      <c r="M214" s="43">
        <f>IFERROR(INDEX(p_Month,MATCH(LARGE(p_Key,210),p_Key,0)),"")</f>
        <v/>
      </c>
      <c r="N214" s="38">
        <f>IFERROR(INDEX(p_Flags,MATCH(LARGE(p_Key,210),p_Key,0)),"")</f>
        <v/>
      </c>
    </row>
    <row r="215">
      <c r="A215" s="11">
        <f>IF(D215="","",211)</f>
        <v/>
      </c>
      <c r="B215" s="42">
        <f>IFERROR(INDEX(p_Rating,MATCH(LARGE(p_Key,211),p_Key,0)),"")</f>
        <v/>
      </c>
      <c r="C215" s="11">
        <f>IFERROR(INDEX(p_Score,MATCH(LARGE(p_Key,211),p_Key,0)),"")</f>
        <v/>
      </c>
      <c r="D215" s="38">
        <f>IFERROR(INDEX(p_Job,MATCH(LARGE(p_Key,211),p_Key,0)),"")</f>
        <v/>
      </c>
      <c r="E215" s="38">
        <f>IFERROR(INDEX(p_Client,MATCH(LARGE(p_Key,211),p_Key,0)),"")</f>
        <v/>
      </c>
      <c r="F215" s="38">
        <f>IFERROR(INDEX(p_Deal,MATCH(LARGE(p_Key,211),p_Key,0)),"")</f>
        <v/>
      </c>
      <c r="G215" s="38">
        <f>IFERROR(INDEX(p_CC,MATCH(LARGE(p_Key,211),p_Key,0)),"")</f>
        <v/>
      </c>
      <c r="H215" s="38">
        <f>IFERROR(INDEX(p_Status,MATCH(LARGE(p_Key,211),p_Key,0)),"")</f>
        <v/>
      </c>
      <c r="I215" s="38">
        <f>IFERROR(INDEX(p_Stage,MATCH(LARGE(p_Key,211),p_Key,0)),"")</f>
        <v/>
      </c>
      <c r="J215" s="12">
        <f>IFERROR(INDEX(p_Value,MATCH(LARGE(p_Key,211),p_Key,0)),"")</f>
        <v/>
      </c>
      <c r="K215" s="33">
        <f>IFERROR(IF(H215="Open",INDEX(p_Prob,MATCH(LARGE(p_Key,211),p_Key,0)),""),"")</f>
        <v/>
      </c>
      <c r="L215" s="12">
        <f>IFERROR(INDEX(p_Risk,MATCH(LARGE(p_Key,211),p_Key,0)),"")</f>
        <v/>
      </c>
      <c r="M215" s="43">
        <f>IFERROR(INDEX(p_Month,MATCH(LARGE(p_Key,211),p_Key,0)),"")</f>
        <v/>
      </c>
      <c r="N215" s="38">
        <f>IFERROR(INDEX(p_Flags,MATCH(LARGE(p_Key,211),p_Key,0)),"")</f>
        <v/>
      </c>
    </row>
    <row r="216">
      <c r="A216" s="11">
        <f>IF(D216="","",212)</f>
        <v/>
      </c>
      <c r="B216" s="42">
        <f>IFERROR(INDEX(p_Rating,MATCH(LARGE(p_Key,212),p_Key,0)),"")</f>
        <v/>
      </c>
      <c r="C216" s="11">
        <f>IFERROR(INDEX(p_Score,MATCH(LARGE(p_Key,212),p_Key,0)),"")</f>
        <v/>
      </c>
      <c r="D216" s="38">
        <f>IFERROR(INDEX(p_Job,MATCH(LARGE(p_Key,212),p_Key,0)),"")</f>
        <v/>
      </c>
      <c r="E216" s="38">
        <f>IFERROR(INDEX(p_Client,MATCH(LARGE(p_Key,212),p_Key,0)),"")</f>
        <v/>
      </c>
      <c r="F216" s="38">
        <f>IFERROR(INDEX(p_Deal,MATCH(LARGE(p_Key,212),p_Key,0)),"")</f>
        <v/>
      </c>
      <c r="G216" s="38">
        <f>IFERROR(INDEX(p_CC,MATCH(LARGE(p_Key,212),p_Key,0)),"")</f>
        <v/>
      </c>
      <c r="H216" s="38">
        <f>IFERROR(INDEX(p_Status,MATCH(LARGE(p_Key,212),p_Key,0)),"")</f>
        <v/>
      </c>
      <c r="I216" s="38">
        <f>IFERROR(INDEX(p_Stage,MATCH(LARGE(p_Key,212),p_Key,0)),"")</f>
        <v/>
      </c>
      <c r="J216" s="12">
        <f>IFERROR(INDEX(p_Value,MATCH(LARGE(p_Key,212),p_Key,0)),"")</f>
        <v/>
      </c>
      <c r="K216" s="33">
        <f>IFERROR(IF(H216="Open",INDEX(p_Prob,MATCH(LARGE(p_Key,212),p_Key,0)),""),"")</f>
        <v/>
      </c>
      <c r="L216" s="12">
        <f>IFERROR(INDEX(p_Risk,MATCH(LARGE(p_Key,212),p_Key,0)),"")</f>
        <v/>
      </c>
      <c r="M216" s="43">
        <f>IFERROR(INDEX(p_Month,MATCH(LARGE(p_Key,212),p_Key,0)),"")</f>
        <v/>
      </c>
      <c r="N216" s="38">
        <f>IFERROR(INDEX(p_Flags,MATCH(LARGE(p_Key,212),p_Key,0)),"")</f>
        <v/>
      </c>
    </row>
    <row r="217">
      <c r="A217" s="11">
        <f>IF(D217="","",213)</f>
        <v/>
      </c>
      <c r="B217" s="42">
        <f>IFERROR(INDEX(p_Rating,MATCH(LARGE(p_Key,213),p_Key,0)),"")</f>
        <v/>
      </c>
      <c r="C217" s="11">
        <f>IFERROR(INDEX(p_Score,MATCH(LARGE(p_Key,213),p_Key,0)),"")</f>
        <v/>
      </c>
      <c r="D217" s="38">
        <f>IFERROR(INDEX(p_Job,MATCH(LARGE(p_Key,213),p_Key,0)),"")</f>
        <v/>
      </c>
      <c r="E217" s="38">
        <f>IFERROR(INDEX(p_Client,MATCH(LARGE(p_Key,213),p_Key,0)),"")</f>
        <v/>
      </c>
      <c r="F217" s="38">
        <f>IFERROR(INDEX(p_Deal,MATCH(LARGE(p_Key,213),p_Key,0)),"")</f>
        <v/>
      </c>
      <c r="G217" s="38">
        <f>IFERROR(INDEX(p_CC,MATCH(LARGE(p_Key,213),p_Key,0)),"")</f>
        <v/>
      </c>
      <c r="H217" s="38">
        <f>IFERROR(INDEX(p_Status,MATCH(LARGE(p_Key,213),p_Key,0)),"")</f>
        <v/>
      </c>
      <c r="I217" s="38">
        <f>IFERROR(INDEX(p_Stage,MATCH(LARGE(p_Key,213),p_Key,0)),"")</f>
        <v/>
      </c>
      <c r="J217" s="12">
        <f>IFERROR(INDEX(p_Value,MATCH(LARGE(p_Key,213),p_Key,0)),"")</f>
        <v/>
      </c>
      <c r="K217" s="33">
        <f>IFERROR(IF(H217="Open",INDEX(p_Prob,MATCH(LARGE(p_Key,213),p_Key,0)),""),"")</f>
        <v/>
      </c>
      <c r="L217" s="12">
        <f>IFERROR(INDEX(p_Risk,MATCH(LARGE(p_Key,213),p_Key,0)),"")</f>
        <v/>
      </c>
      <c r="M217" s="43">
        <f>IFERROR(INDEX(p_Month,MATCH(LARGE(p_Key,213),p_Key,0)),"")</f>
        <v/>
      </c>
      <c r="N217" s="38">
        <f>IFERROR(INDEX(p_Flags,MATCH(LARGE(p_Key,213),p_Key,0)),"")</f>
        <v/>
      </c>
    </row>
    <row r="218">
      <c r="A218" s="11">
        <f>IF(D218="","",214)</f>
        <v/>
      </c>
      <c r="B218" s="42">
        <f>IFERROR(INDEX(p_Rating,MATCH(LARGE(p_Key,214),p_Key,0)),"")</f>
        <v/>
      </c>
      <c r="C218" s="11">
        <f>IFERROR(INDEX(p_Score,MATCH(LARGE(p_Key,214),p_Key,0)),"")</f>
        <v/>
      </c>
      <c r="D218" s="38">
        <f>IFERROR(INDEX(p_Job,MATCH(LARGE(p_Key,214),p_Key,0)),"")</f>
        <v/>
      </c>
      <c r="E218" s="38">
        <f>IFERROR(INDEX(p_Client,MATCH(LARGE(p_Key,214),p_Key,0)),"")</f>
        <v/>
      </c>
      <c r="F218" s="38">
        <f>IFERROR(INDEX(p_Deal,MATCH(LARGE(p_Key,214),p_Key,0)),"")</f>
        <v/>
      </c>
      <c r="G218" s="38">
        <f>IFERROR(INDEX(p_CC,MATCH(LARGE(p_Key,214),p_Key,0)),"")</f>
        <v/>
      </c>
      <c r="H218" s="38">
        <f>IFERROR(INDEX(p_Status,MATCH(LARGE(p_Key,214),p_Key,0)),"")</f>
        <v/>
      </c>
      <c r="I218" s="38">
        <f>IFERROR(INDEX(p_Stage,MATCH(LARGE(p_Key,214),p_Key,0)),"")</f>
        <v/>
      </c>
      <c r="J218" s="12">
        <f>IFERROR(INDEX(p_Value,MATCH(LARGE(p_Key,214),p_Key,0)),"")</f>
        <v/>
      </c>
      <c r="K218" s="33">
        <f>IFERROR(IF(H218="Open",INDEX(p_Prob,MATCH(LARGE(p_Key,214),p_Key,0)),""),"")</f>
        <v/>
      </c>
      <c r="L218" s="12">
        <f>IFERROR(INDEX(p_Risk,MATCH(LARGE(p_Key,214),p_Key,0)),"")</f>
        <v/>
      </c>
      <c r="M218" s="43">
        <f>IFERROR(INDEX(p_Month,MATCH(LARGE(p_Key,214),p_Key,0)),"")</f>
        <v/>
      </c>
      <c r="N218" s="38">
        <f>IFERROR(INDEX(p_Flags,MATCH(LARGE(p_Key,214),p_Key,0)),"")</f>
        <v/>
      </c>
    </row>
    <row r="219">
      <c r="A219" s="11">
        <f>IF(D219="","",215)</f>
        <v/>
      </c>
      <c r="B219" s="42">
        <f>IFERROR(INDEX(p_Rating,MATCH(LARGE(p_Key,215),p_Key,0)),"")</f>
        <v/>
      </c>
      <c r="C219" s="11">
        <f>IFERROR(INDEX(p_Score,MATCH(LARGE(p_Key,215),p_Key,0)),"")</f>
        <v/>
      </c>
      <c r="D219" s="38">
        <f>IFERROR(INDEX(p_Job,MATCH(LARGE(p_Key,215),p_Key,0)),"")</f>
        <v/>
      </c>
      <c r="E219" s="38">
        <f>IFERROR(INDEX(p_Client,MATCH(LARGE(p_Key,215),p_Key,0)),"")</f>
        <v/>
      </c>
      <c r="F219" s="38">
        <f>IFERROR(INDEX(p_Deal,MATCH(LARGE(p_Key,215),p_Key,0)),"")</f>
        <v/>
      </c>
      <c r="G219" s="38">
        <f>IFERROR(INDEX(p_CC,MATCH(LARGE(p_Key,215),p_Key,0)),"")</f>
        <v/>
      </c>
      <c r="H219" s="38">
        <f>IFERROR(INDEX(p_Status,MATCH(LARGE(p_Key,215),p_Key,0)),"")</f>
        <v/>
      </c>
      <c r="I219" s="38">
        <f>IFERROR(INDEX(p_Stage,MATCH(LARGE(p_Key,215),p_Key,0)),"")</f>
        <v/>
      </c>
      <c r="J219" s="12">
        <f>IFERROR(INDEX(p_Value,MATCH(LARGE(p_Key,215),p_Key,0)),"")</f>
        <v/>
      </c>
      <c r="K219" s="33">
        <f>IFERROR(IF(H219="Open",INDEX(p_Prob,MATCH(LARGE(p_Key,215),p_Key,0)),""),"")</f>
        <v/>
      </c>
      <c r="L219" s="12">
        <f>IFERROR(INDEX(p_Risk,MATCH(LARGE(p_Key,215),p_Key,0)),"")</f>
        <v/>
      </c>
      <c r="M219" s="43">
        <f>IFERROR(INDEX(p_Month,MATCH(LARGE(p_Key,215),p_Key,0)),"")</f>
        <v/>
      </c>
      <c r="N219" s="38">
        <f>IFERROR(INDEX(p_Flags,MATCH(LARGE(p_Key,215),p_Key,0)),"")</f>
        <v/>
      </c>
    </row>
    <row r="220">
      <c r="A220" s="11">
        <f>IF(D220="","",216)</f>
        <v/>
      </c>
      <c r="B220" s="42">
        <f>IFERROR(INDEX(p_Rating,MATCH(LARGE(p_Key,216),p_Key,0)),"")</f>
        <v/>
      </c>
      <c r="C220" s="11">
        <f>IFERROR(INDEX(p_Score,MATCH(LARGE(p_Key,216),p_Key,0)),"")</f>
        <v/>
      </c>
      <c r="D220" s="38">
        <f>IFERROR(INDEX(p_Job,MATCH(LARGE(p_Key,216),p_Key,0)),"")</f>
        <v/>
      </c>
      <c r="E220" s="38">
        <f>IFERROR(INDEX(p_Client,MATCH(LARGE(p_Key,216),p_Key,0)),"")</f>
        <v/>
      </c>
      <c r="F220" s="38">
        <f>IFERROR(INDEX(p_Deal,MATCH(LARGE(p_Key,216),p_Key,0)),"")</f>
        <v/>
      </c>
      <c r="G220" s="38">
        <f>IFERROR(INDEX(p_CC,MATCH(LARGE(p_Key,216),p_Key,0)),"")</f>
        <v/>
      </c>
      <c r="H220" s="38">
        <f>IFERROR(INDEX(p_Status,MATCH(LARGE(p_Key,216),p_Key,0)),"")</f>
        <v/>
      </c>
      <c r="I220" s="38">
        <f>IFERROR(INDEX(p_Stage,MATCH(LARGE(p_Key,216),p_Key,0)),"")</f>
        <v/>
      </c>
      <c r="J220" s="12">
        <f>IFERROR(INDEX(p_Value,MATCH(LARGE(p_Key,216),p_Key,0)),"")</f>
        <v/>
      </c>
      <c r="K220" s="33">
        <f>IFERROR(IF(H220="Open",INDEX(p_Prob,MATCH(LARGE(p_Key,216),p_Key,0)),""),"")</f>
        <v/>
      </c>
      <c r="L220" s="12">
        <f>IFERROR(INDEX(p_Risk,MATCH(LARGE(p_Key,216),p_Key,0)),"")</f>
        <v/>
      </c>
      <c r="M220" s="43">
        <f>IFERROR(INDEX(p_Month,MATCH(LARGE(p_Key,216),p_Key,0)),"")</f>
        <v/>
      </c>
      <c r="N220" s="38">
        <f>IFERROR(INDEX(p_Flags,MATCH(LARGE(p_Key,216),p_Key,0)),"")</f>
        <v/>
      </c>
    </row>
    <row r="221">
      <c r="A221" s="11">
        <f>IF(D221="","",217)</f>
        <v/>
      </c>
      <c r="B221" s="42">
        <f>IFERROR(INDEX(p_Rating,MATCH(LARGE(p_Key,217),p_Key,0)),"")</f>
        <v/>
      </c>
      <c r="C221" s="11">
        <f>IFERROR(INDEX(p_Score,MATCH(LARGE(p_Key,217),p_Key,0)),"")</f>
        <v/>
      </c>
      <c r="D221" s="38">
        <f>IFERROR(INDEX(p_Job,MATCH(LARGE(p_Key,217),p_Key,0)),"")</f>
        <v/>
      </c>
      <c r="E221" s="38">
        <f>IFERROR(INDEX(p_Client,MATCH(LARGE(p_Key,217),p_Key,0)),"")</f>
        <v/>
      </c>
      <c r="F221" s="38">
        <f>IFERROR(INDEX(p_Deal,MATCH(LARGE(p_Key,217),p_Key,0)),"")</f>
        <v/>
      </c>
      <c r="G221" s="38">
        <f>IFERROR(INDEX(p_CC,MATCH(LARGE(p_Key,217),p_Key,0)),"")</f>
        <v/>
      </c>
      <c r="H221" s="38">
        <f>IFERROR(INDEX(p_Status,MATCH(LARGE(p_Key,217),p_Key,0)),"")</f>
        <v/>
      </c>
      <c r="I221" s="38">
        <f>IFERROR(INDEX(p_Stage,MATCH(LARGE(p_Key,217),p_Key,0)),"")</f>
        <v/>
      </c>
      <c r="J221" s="12">
        <f>IFERROR(INDEX(p_Value,MATCH(LARGE(p_Key,217),p_Key,0)),"")</f>
        <v/>
      </c>
      <c r="K221" s="33">
        <f>IFERROR(IF(H221="Open",INDEX(p_Prob,MATCH(LARGE(p_Key,217),p_Key,0)),""),"")</f>
        <v/>
      </c>
      <c r="L221" s="12">
        <f>IFERROR(INDEX(p_Risk,MATCH(LARGE(p_Key,217),p_Key,0)),"")</f>
        <v/>
      </c>
      <c r="M221" s="43">
        <f>IFERROR(INDEX(p_Month,MATCH(LARGE(p_Key,217),p_Key,0)),"")</f>
        <v/>
      </c>
      <c r="N221" s="38">
        <f>IFERROR(INDEX(p_Flags,MATCH(LARGE(p_Key,217),p_Key,0)),"")</f>
        <v/>
      </c>
    </row>
    <row r="222">
      <c r="A222" s="11">
        <f>IF(D222="","",218)</f>
        <v/>
      </c>
      <c r="B222" s="42">
        <f>IFERROR(INDEX(p_Rating,MATCH(LARGE(p_Key,218),p_Key,0)),"")</f>
        <v/>
      </c>
      <c r="C222" s="11">
        <f>IFERROR(INDEX(p_Score,MATCH(LARGE(p_Key,218),p_Key,0)),"")</f>
        <v/>
      </c>
      <c r="D222" s="38">
        <f>IFERROR(INDEX(p_Job,MATCH(LARGE(p_Key,218),p_Key,0)),"")</f>
        <v/>
      </c>
      <c r="E222" s="38">
        <f>IFERROR(INDEX(p_Client,MATCH(LARGE(p_Key,218),p_Key,0)),"")</f>
        <v/>
      </c>
      <c r="F222" s="38">
        <f>IFERROR(INDEX(p_Deal,MATCH(LARGE(p_Key,218),p_Key,0)),"")</f>
        <v/>
      </c>
      <c r="G222" s="38">
        <f>IFERROR(INDEX(p_CC,MATCH(LARGE(p_Key,218),p_Key,0)),"")</f>
        <v/>
      </c>
      <c r="H222" s="38">
        <f>IFERROR(INDEX(p_Status,MATCH(LARGE(p_Key,218),p_Key,0)),"")</f>
        <v/>
      </c>
      <c r="I222" s="38">
        <f>IFERROR(INDEX(p_Stage,MATCH(LARGE(p_Key,218),p_Key,0)),"")</f>
        <v/>
      </c>
      <c r="J222" s="12">
        <f>IFERROR(INDEX(p_Value,MATCH(LARGE(p_Key,218),p_Key,0)),"")</f>
        <v/>
      </c>
      <c r="K222" s="33">
        <f>IFERROR(IF(H222="Open",INDEX(p_Prob,MATCH(LARGE(p_Key,218),p_Key,0)),""),"")</f>
        <v/>
      </c>
      <c r="L222" s="12">
        <f>IFERROR(INDEX(p_Risk,MATCH(LARGE(p_Key,218),p_Key,0)),"")</f>
        <v/>
      </c>
      <c r="M222" s="43">
        <f>IFERROR(INDEX(p_Month,MATCH(LARGE(p_Key,218),p_Key,0)),"")</f>
        <v/>
      </c>
      <c r="N222" s="38">
        <f>IFERROR(INDEX(p_Flags,MATCH(LARGE(p_Key,218),p_Key,0)),"")</f>
        <v/>
      </c>
    </row>
    <row r="223">
      <c r="A223" s="11">
        <f>IF(D223="","",219)</f>
        <v/>
      </c>
      <c r="B223" s="42">
        <f>IFERROR(INDEX(p_Rating,MATCH(LARGE(p_Key,219),p_Key,0)),"")</f>
        <v/>
      </c>
      <c r="C223" s="11">
        <f>IFERROR(INDEX(p_Score,MATCH(LARGE(p_Key,219),p_Key,0)),"")</f>
        <v/>
      </c>
      <c r="D223" s="38">
        <f>IFERROR(INDEX(p_Job,MATCH(LARGE(p_Key,219),p_Key,0)),"")</f>
        <v/>
      </c>
      <c r="E223" s="38">
        <f>IFERROR(INDEX(p_Client,MATCH(LARGE(p_Key,219),p_Key,0)),"")</f>
        <v/>
      </c>
      <c r="F223" s="38">
        <f>IFERROR(INDEX(p_Deal,MATCH(LARGE(p_Key,219),p_Key,0)),"")</f>
        <v/>
      </c>
      <c r="G223" s="38">
        <f>IFERROR(INDEX(p_CC,MATCH(LARGE(p_Key,219),p_Key,0)),"")</f>
        <v/>
      </c>
      <c r="H223" s="38">
        <f>IFERROR(INDEX(p_Status,MATCH(LARGE(p_Key,219),p_Key,0)),"")</f>
        <v/>
      </c>
      <c r="I223" s="38">
        <f>IFERROR(INDEX(p_Stage,MATCH(LARGE(p_Key,219),p_Key,0)),"")</f>
        <v/>
      </c>
      <c r="J223" s="12">
        <f>IFERROR(INDEX(p_Value,MATCH(LARGE(p_Key,219),p_Key,0)),"")</f>
        <v/>
      </c>
      <c r="K223" s="33">
        <f>IFERROR(IF(H223="Open",INDEX(p_Prob,MATCH(LARGE(p_Key,219),p_Key,0)),""),"")</f>
        <v/>
      </c>
      <c r="L223" s="12">
        <f>IFERROR(INDEX(p_Risk,MATCH(LARGE(p_Key,219),p_Key,0)),"")</f>
        <v/>
      </c>
      <c r="M223" s="43">
        <f>IFERROR(INDEX(p_Month,MATCH(LARGE(p_Key,219),p_Key,0)),"")</f>
        <v/>
      </c>
      <c r="N223" s="38">
        <f>IFERROR(INDEX(p_Flags,MATCH(LARGE(p_Key,219),p_Key,0)),"")</f>
        <v/>
      </c>
    </row>
    <row r="224">
      <c r="A224" s="11">
        <f>IF(D224="","",220)</f>
        <v/>
      </c>
      <c r="B224" s="42">
        <f>IFERROR(INDEX(p_Rating,MATCH(LARGE(p_Key,220),p_Key,0)),"")</f>
        <v/>
      </c>
      <c r="C224" s="11">
        <f>IFERROR(INDEX(p_Score,MATCH(LARGE(p_Key,220),p_Key,0)),"")</f>
        <v/>
      </c>
      <c r="D224" s="38">
        <f>IFERROR(INDEX(p_Job,MATCH(LARGE(p_Key,220),p_Key,0)),"")</f>
        <v/>
      </c>
      <c r="E224" s="38">
        <f>IFERROR(INDEX(p_Client,MATCH(LARGE(p_Key,220),p_Key,0)),"")</f>
        <v/>
      </c>
      <c r="F224" s="38">
        <f>IFERROR(INDEX(p_Deal,MATCH(LARGE(p_Key,220),p_Key,0)),"")</f>
        <v/>
      </c>
      <c r="G224" s="38">
        <f>IFERROR(INDEX(p_CC,MATCH(LARGE(p_Key,220),p_Key,0)),"")</f>
        <v/>
      </c>
      <c r="H224" s="38">
        <f>IFERROR(INDEX(p_Status,MATCH(LARGE(p_Key,220),p_Key,0)),"")</f>
        <v/>
      </c>
      <c r="I224" s="38">
        <f>IFERROR(INDEX(p_Stage,MATCH(LARGE(p_Key,220),p_Key,0)),"")</f>
        <v/>
      </c>
      <c r="J224" s="12">
        <f>IFERROR(INDEX(p_Value,MATCH(LARGE(p_Key,220),p_Key,0)),"")</f>
        <v/>
      </c>
      <c r="K224" s="33">
        <f>IFERROR(IF(H224="Open",INDEX(p_Prob,MATCH(LARGE(p_Key,220),p_Key,0)),""),"")</f>
        <v/>
      </c>
      <c r="L224" s="12">
        <f>IFERROR(INDEX(p_Risk,MATCH(LARGE(p_Key,220),p_Key,0)),"")</f>
        <v/>
      </c>
      <c r="M224" s="43">
        <f>IFERROR(INDEX(p_Month,MATCH(LARGE(p_Key,220),p_Key,0)),"")</f>
        <v/>
      </c>
      <c r="N224" s="38">
        <f>IFERROR(INDEX(p_Flags,MATCH(LARGE(p_Key,220),p_Key,0)),"")</f>
        <v/>
      </c>
    </row>
    <row r="225">
      <c r="A225" s="11">
        <f>IF(D225="","",221)</f>
        <v/>
      </c>
      <c r="B225" s="42">
        <f>IFERROR(INDEX(p_Rating,MATCH(LARGE(p_Key,221),p_Key,0)),"")</f>
        <v/>
      </c>
      <c r="C225" s="11">
        <f>IFERROR(INDEX(p_Score,MATCH(LARGE(p_Key,221),p_Key,0)),"")</f>
        <v/>
      </c>
      <c r="D225" s="38">
        <f>IFERROR(INDEX(p_Job,MATCH(LARGE(p_Key,221),p_Key,0)),"")</f>
        <v/>
      </c>
      <c r="E225" s="38">
        <f>IFERROR(INDEX(p_Client,MATCH(LARGE(p_Key,221),p_Key,0)),"")</f>
        <v/>
      </c>
      <c r="F225" s="38">
        <f>IFERROR(INDEX(p_Deal,MATCH(LARGE(p_Key,221),p_Key,0)),"")</f>
        <v/>
      </c>
      <c r="G225" s="38">
        <f>IFERROR(INDEX(p_CC,MATCH(LARGE(p_Key,221),p_Key,0)),"")</f>
        <v/>
      </c>
      <c r="H225" s="38">
        <f>IFERROR(INDEX(p_Status,MATCH(LARGE(p_Key,221),p_Key,0)),"")</f>
        <v/>
      </c>
      <c r="I225" s="38">
        <f>IFERROR(INDEX(p_Stage,MATCH(LARGE(p_Key,221),p_Key,0)),"")</f>
        <v/>
      </c>
      <c r="J225" s="12">
        <f>IFERROR(INDEX(p_Value,MATCH(LARGE(p_Key,221),p_Key,0)),"")</f>
        <v/>
      </c>
      <c r="K225" s="33">
        <f>IFERROR(IF(H225="Open",INDEX(p_Prob,MATCH(LARGE(p_Key,221),p_Key,0)),""),"")</f>
        <v/>
      </c>
      <c r="L225" s="12">
        <f>IFERROR(INDEX(p_Risk,MATCH(LARGE(p_Key,221),p_Key,0)),"")</f>
        <v/>
      </c>
      <c r="M225" s="43">
        <f>IFERROR(INDEX(p_Month,MATCH(LARGE(p_Key,221),p_Key,0)),"")</f>
        <v/>
      </c>
      <c r="N225" s="38">
        <f>IFERROR(INDEX(p_Flags,MATCH(LARGE(p_Key,221),p_Key,0)),"")</f>
        <v/>
      </c>
    </row>
    <row r="226">
      <c r="A226" s="11">
        <f>IF(D226="","",222)</f>
        <v/>
      </c>
      <c r="B226" s="42">
        <f>IFERROR(INDEX(p_Rating,MATCH(LARGE(p_Key,222),p_Key,0)),"")</f>
        <v/>
      </c>
      <c r="C226" s="11">
        <f>IFERROR(INDEX(p_Score,MATCH(LARGE(p_Key,222),p_Key,0)),"")</f>
        <v/>
      </c>
      <c r="D226" s="38">
        <f>IFERROR(INDEX(p_Job,MATCH(LARGE(p_Key,222),p_Key,0)),"")</f>
        <v/>
      </c>
      <c r="E226" s="38">
        <f>IFERROR(INDEX(p_Client,MATCH(LARGE(p_Key,222),p_Key,0)),"")</f>
        <v/>
      </c>
      <c r="F226" s="38">
        <f>IFERROR(INDEX(p_Deal,MATCH(LARGE(p_Key,222),p_Key,0)),"")</f>
        <v/>
      </c>
      <c r="G226" s="38">
        <f>IFERROR(INDEX(p_CC,MATCH(LARGE(p_Key,222),p_Key,0)),"")</f>
        <v/>
      </c>
      <c r="H226" s="38">
        <f>IFERROR(INDEX(p_Status,MATCH(LARGE(p_Key,222),p_Key,0)),"")</f>
        <v/>
      </c>
      <c r="I226" s="38">
        <f>IFERROR(INDEX(p_Stage,MATCH(LARGE(p_Key,222),p_Key,0)),"")</f>
        <v/>
      </c>
      <c r="J226" s="12">
        <f>IFERROR(INDEX(p_Value,MATCH(LARGE(p_Key,222),p_Key,0)),"")</f>
        <v/>
      </c>
      <c r="K226" s="33">
        <f>IFERROR(IF(H226="Open",INDEX(p_Prob,MATCH(LARGE(p_Key,222),p_Key,0)),""),"")</f>
        <v/>
      </c>
      <c r="L226" s="12">
        <f>IFERROR(INDEX(p_Risk,MATCH(LARGE(p_Key,222),p_Key,0)),"")</f>
        <v/>
      </c>
      <c r="M226" s="43">
        <f>IFERROR(INDEX(p_Month,MATCH(LARGE(p_Key,222),p_Key,0)),"")</f>
        <v/>
      </c>
      <c r="N226" s="38">
        <f>IFERROR(INDEX(p_Flags,MATCH(LARGE(p_Key,222),p_Key,0)),"")</f>
        <v/>
      </c>
    </row>
    <row r="227">
      <c r="A227" s="11">
        <f>IF(D227="","",223)</f>
        <v/>
      </c>
      <c r="B227" s="42">
        <f>IFERROR(INDEX(p_Rating,MATCH(LARGE(p_Key,223),p_Key,0)),"")</f>
        <v/>
      </c>
      <c r="C227" s="11">
        <f>IFERROR(INDEX(p_Score,MATCH(LARGE(p_Key,223),p_Key,0)),"")</f>
        <v/>
      </c>
      <c r="D227" s="38">
        <f>IFERROR(INDEX(p_Job,MATCH(LARGE(p_Key,223),p_Key,0)),"")</f>
        <v/>
      </c>
      <c r="E227" s="38">
        <f>IFERROR(INDEX(p_Client,MATCH(LARGE(p_Key,223),p_Key,0)),"")</f>
        <v/>
      </c>
      <c r="F227" s="38">
        <f>IFERROR(INDEX(p_Deal,MATCH(LARGE(p_Key,223),p_Key,0)),"")</f>
        <v/>
      </c>
      <c r="G227" s="38">
        <f>IFERROR(INDEX(p_CC,MATCH(LARGE(p_Key,223),p_Key,0)),"")</f>
        <v/>
      </c>
      <c r="H227" s="38">
        <f>IFERROR(INDEX(p_Status,MATCH(LARGE(p_Key,223),p_Key,0)),"")</f>
        <v/>
      </c>
      <c r="I227" s="38">
        <f>IFERROR(INDEX(p_Stage,MATCH(LARGE(p_Key,223),p_Key,0)),"")</f>
        <v/>
      </c>
      <c r="J227" s="12">
        <f>IFERROR(INDEX(p_Value,MATCH(LARGE(p_Key,223),p_Key,0)),"")</f>
        <v/>
      </c>
      <c r="K227" s="33">
        <f>IFERROR(IF(H227="Open",INDEX(p_Prob,MATCH(LARGE(p_Key,223),p_Key,0)),""),"")</f>
        <v/>
      </c>
      <c r="L227" s="12">
        <f>IFERROR(INDEX(p_Risk,MATCH(LARGE(p_Key,223),p_Key,0)),"")</f>
        <v/>
      </c>
      <c r="M227" s="43">
        <f>IFERROR(INDEX(p_Month,MATCH(LARGE(p_Key,223),p_Key,0)),"")</f>
        <v/>
      </c>
      <c r="N227" s="38">
        <f>IFERROR(INDEX(p_Flags,MATCH(LARGE(p_Key,223),p_Key,0)),"")</f>
        <v/>
      </c>
    </row>
    <row r="228">
      <c r="A228" s="11">
        <f>IF(D228="","",224)</f>
        <v/>
      </c>
      <c r="B228" s="42">
        <f>IFERROR(INDEX(p_Rating,MATCH(LARGE(p_Key,224),p_Key,0)),"")</f>
        <v/>
      </c>
      <c r="C228" s="11">
        <f>IFERROR(INDEX(p_Score,MATCH(LARGE(p_Key,224),p_Key,0)),"")</f>
        <v/>
      </c>
      <c r="D228" s="38">
        <f>IFERROR(INDEX(p_Job,MATCH(LARGE(p_Key,224),p_Key,0)),"")</f>
        <v/>
      </c>
      <c r="E228" s="38">
        <f>IFERROR(INDEX(p_Client,MATCH(LARGE(p_Key,224),p_Key,0)),"")</f>
        <v/>
      </c>
      <c r="F228" s="38">
        <f>IFERROR(INDEX(p_Deal,MATCH(LARGE(p_Key,224),p_Key,0)),"")</f>
        <v/>
      </c>
      <c r="G228" s="38">
        <f>IFERROR(INDEX(p_CC,MATCH(LARGE(p_Key,224),p_Key,0)),"")</f>
        <v/>
      </c>
      <c r="H228" s="38">
        <f>IFERROR(INDEX(p_Status,MATCH(LARGE(p_Key,224),p_Key,0)),"")</f>
        <v/>
      </c>
      <c r="I228" s="38">
        <f>IFERROR(INDEX(p_Stage,MATCH(LARGE(p_Key,224),p_Key,0)),"")</f>
        <v/>
      </c>
      <c r="J228" s="12">
        <f>IFERROR(INDEX(p_Value,MATCH(LARGE(p_Key,224),p_Key,0)),"")</f>
        <v/>
      </c>
      <c r="K228" s="33">
        <f>IFERROR(IF(H228="Open",INDEX(p_Prob,MATCH(LARGE(p_Key,224),p_Key,0)),""),"")</f>
        <v/>
      </c>
      <c r="L228" s="12">
        <f>IFERROR(INDEX(p_Risk,MATCH(LARGE(p_Key,224),p_Key,0)),"")</f>
        <v/>
      </c>
      <c r="M228" s="43">
        <f>IFERROR(INDEX(p_Month,MATCH(LARGE(p_Key,224),p_Key,0)),"")</f>
        <v/>
      </c>
      <c r="N228" s="38">
        <f>IFERROR(INDEX(p_Flags,MATCH(LARGE(p_Key,224),p_Key,0)),"")</f>
        <v/>
      </c>
    </row>
    <row r="229">
      <c r="A229" s="11">
        <f>IF(D229="","",225)</f>
        <v/>
      </c>
      <c r="B229" s="42">
        <f>IFERROR(INDEX(p_Rating,MATCH(LARGE(p_Key,225),p_Key,0)),"")</f>
        <v/>
      </c>
      <c r="C229" s="11">
        <f>IFERROR(INDEX(p_Score,MATCH(LARGE(p_Key,225),p_Key,0)),"")</f>
        <v/>
      </c>
      <c r="D229" s="38">
        <f>IFERROR(INDEX(p_Job,MATCH(LARGE(p_Key,225),p_Key,0)),"")</f>
        <v/>
      </c>
      <c r="E229" s="38">
        <f>IFERROR(INDEX(p_Client,MATCH(LARGE(p_Key,225),p_Key,0)),"")</f>
        <v/>
      </c>
      <c r="F229" s="38">
        <f>IFERROR(INDEX(p_Deal,MATCH(LARGE(p_Key,225),p_Key,0)),"")</f>
        <v/>
      </c>
      <c r="G229" s="38">
        <f>IFERROR(INDEX(p_CC,MATCH(LARGE(p_Key,225),p_Key,0)),"")</f>
        <v/>
      </c>
      <c r="H229" s="38">
        <f>IFERROR(INDEX(p_Status,MATCH(LARGE(p_Key,225),p_Key,0)),"")</f>
        <v/>
      </c>
      <c r="I229" s="38">
        <f>IFERROR(INDEX(p_Stage,MATCH(LARGE(p_Key,225),p_Key,0)),"")</f>
        <v/>
      </c>
      <c r="J229" s="12">
        <f>IFERROR(INDEX(p_Value,MATCH(LARGE(p_Key,225),p_Key,0)),"")</f>
        <v/>
      </c>
      <c r="K229" s="33">
        <f>IFERROR(IF(H229="Open",INDEX(p_Prob,MATCH(LARGE(p_Key,225),p_Key,0)),""),"")</f>
        <v/>
      </c>
      <c r="L229" s="12">
        <f>IFERROR(INDEX(p_Risk,MATCH(LARGE(p_Key,225),p_Key,0)),"")</f>
        <v/>
      </c>
      <c r="M229" s="43">
        <f>IFERROR(INDEX(p_Month,MATCH(LARGE(p_Key,225),p_Key,0)),"")</f>
        <v/>
      </c>
      <c r="N229" s="38">
        <f>IFERROR(INDEX(p_Flags,MATCH(LARGE(p_Key,225),p_Key,0)),"")</f>
        <v/>
      </c>
    </row>
    <row r="230">
      <c r="A230" s="11">
        <f>IF(D230="","",226)</f>
        <v/>
      </c>
      <c r="B230" s="42">
        <f>IFERROR(INDEX(p_Rating,MATCH(LARGE(p_Key,226),p_Key,0)),"")</f>
        <v/>
      </c>
      <c r="C230" s="11">
        <f>IFERROR(INDEX(p_Score,MATCH(LARGE(p_Key,226),p_Key,0)),"")</f>
        <v/>
      </c>
      <c r="D230" s="38">
        <f>IFERROR(INDEX(p_Job,MATCH(LARGE(p_Key,226),p_Key,0)),"")</f>
        <v/>
      </c>
      <c r="E230" s="38">
        <f>IFERROR(INDEX(p_Client,MATCH(LARGE(p_Key,226),p_Key,0)),"")</f>
        <v/>
      </c>
      <c r="F230" s="38">
        <f>IFERROR(INDEX(p_Deal,MATCH(LARGE(p_Key,226),p_Key,0)),"")</f>
        <v/>
      </c>
      <c r="G230" s="38">
        <f>IFERROR(INDEX(p_CC,MATCH(LARGE(p_Key,226),p_Key,0)),"")</f>
        <v/>
      </c>
      <c r="H230" s="38">
        <f>IFERROR(INDEX(p_Status,MATCH(LARGE(p_Key,226),p_Key,0)),"")</f>
        <v/>
      </c>
      <c r="I230" s="38">
        <f>IFERROR(INDEX(p_Stage,MATCH(LARGE(p_Key,226),p_Key,0)),"")</f>
        <v/>
      </c>
      <c r="J230" s="12">
        <f>IFERROR(INDEX(p_Value,MATCH(LARGE(p_Key,226),p_Key,0)),"")</f>
        <v/>
      </c>
      <c r="K230" s="33">
        <f>IFERROR(IF(H230="Open",INDEX(p_Prob,MATCH(LARGE(p_Key,226),p_Key,0)),""),"")</f>
        <v/>
      </c>
      <c r="L230" s="12">
        <f>IFERROR(INDEX(p_Risk,MATCH(LARGE(p_Key,226),p_Key,0)),"")</f>
        <v/>
      </c>
      <c r="M230" s="43">
        <f>IFERROR(INDEX(p_Month,MATCH(LARGE(p_Key,226),p_Key,0)),"")</f>
        <v/>
      </c>
      <c r="N230" s="38">
        <f>IFERROR(INDEX(p_Flags,MATCH(LARGE(p_Key,226),p_Key,0)),"")</f>
        <v/>
      </c>
    </row>
    <row r="231">
      <c r="A231" s="11">
        <f>IF(D231="","",227)</f>
        <v/>
      </c>
      <c r="B231" s="42">
        <f>IFERROR(INDEX(p_Rating,MATCH(LARGE(p_Key,227),p_Key,0)),"")</f>
        <v/>
      </c>
      <c r="C231" s="11">
        <f>IFERROR(INDEX(p_Score,MATCH(LARGE(p_Key,227),p_Key,0)),"")</f>
        <v/>
      </c>
      <c r="D231" s="38">
        <f>IFERROR(INDEX(p_Job,MATCH(LARGE(p_Key,227),p_Key,0)),"")</f>
        <v/>
      </c>
      <c r="E231" s="38">
        <f>IFERROR(INDEX(p_Client,MATCH(LARGE(p_Key,227),p_Key,0)),"")</f>
        <v/>
      </c>
      <c r="F231" s="38">
        <f>IFERROR(INDEX(p_Deal,MATCH(LARGE(p_Key,227),p_Key,0)),"")</f>
        <v/>
      </c>
      <c r="G231" s="38">
        <f>IFERROR(INDEX(p_CC,MATCH(LARGE(p_Key,227),p_Key,0)),"")</f>
        <v/>
      </c>
      <c r="H231" s="38">
        <f>IFERROR(INDEX(p_Status,MATCH(LARGE(p_Key,227),p_Key,0)),"")</f>
        <v/>
      </c>
      <c r="I231" s="38">
        <f>IFERROR(INDEX(p_Stage,MATCH(LARGE(p_Key,227),p_Key,0)),"")</f>
        <v/>
      </c>
      <c r="J231" s="12">
        <f>IFERROR(INDEX(p_Value,MATCH(LARGE(p_Key,227),p_Key,0)),"")</f>
        <v/>
      </c>
      <c r="K231" s="33">
        <f>IFERROR(IF(H231="Open",INDEX(p_Prob,MATCH(LARGE(p_Key,227),p_Key,0)),""),"")</f>
        <v/>
      </c>
      <c r="L231" s="12">
        <f>IFERROR(INDEX(p_Risk,MATCH(LARGE(p_Key,227),p_Key,0)),"")</f>
        <v/>
      </c>
      <c r="M231" s="43">
        <f>IFERROR(INDEX(p_Month,MATCH(LARGE(p_Key,227),p_Key,0)),"")</f>
        <v/>
      </c>
      <c r="N231" s="38">
        <f>IFERROR(INDEX(p_Flags,MATCH(LARGE(p_Key,227),p_Key,0)),"")</f>
        <v/>
      </c>
    </row>
    <row r="232">
      <c r="A232" s="11">
        <f>IF(D232="","",228)</f>
        <v/>
      </c>
      <c r="B232" s="42">
        <f>IFERROR(INDEX(p_Rating,MATCH(LARGE(p_Key,228),p_Key,0)),"")</f>
        <v/>
      </c>
      <c r="C232" s="11">
        <f>IFERROR(INDEX(p_Score,MATCH(LARGE(p_Key,228),p_Key,0)),"")</f>
        <v/>
      </c>
      <c r="D232" s="38">
        <f>IFERROR(INDEX(p_Job,MATCH(LARGE(p_Key,228),p_Key,0)),"")</f>
        <v/>
      </c>
      <c r="E232" s="38">
        <f>IFERROR(INDEX(p_Client,MATCH(LARGE(p_Key,228),p_Key,0)),"")</f>
        <v/>
      </c>
      <c r="F232" s="38">
        <f>IFERROR(INDEX(p_Deal,MATCH(LARGE(p_Key,228),p_Key,0)),"")</f>
        <v/>
      </c>
      <c r="G232" s="38">
        <f>IFERROR(INDEX(p_CC,MATCH(LARGE(p_Key,228),p_Key,0)),"")</f>
        <v/>
      </c>
      <c r="H232" s="38">
        <f>IFERROR(INDEX(p_Status,MATCH(LARGE(p_Key,228),p_Key,0)),"")</f>
        <v/>
      </c>
      <c r="I232" s="38">
        <f>IFERROR(INDEX(p_Stage,MATCH(LARGE(p_Key,228),p_Key,0)),"")</f>
        <v/>
      </c>
      <c r="J232" s="12">
        <f>IFERROR(INDEX(p_Value,MATCH(LARGE(p_Key,228),p_Key,0)),"")</f>
        <v/>
      </c>
      <c r="K232" s="33">
        <f>IFERROR(IF(H232="Open",INDEX(p_Prob,MATCH(LARGE(p_Key,228),p_Key,0)),""),"")</f>
        <v/>
      </c>
      <c r="L232" s="12">
        <f>IFERROR(INDEX(p_Risk,MATCH(LARGE(p_Key,228),p_Key,0)),"")</f>
        <v/>
      </c>
      <c r="M232" s="43">
        <f>IFERROR(INDEX(p_Month,MATCH(LARGE(p_Key,228),p_Key,0)),"")</f>
        <v/>
      </c>
      <c r="N232" s="38">
        <f>IFERROR(INDEX(p_Flags,MATCH(LARGE(p_Key,228),p_Key,0)),"")</f>
        <v/>
      </c>
    </row>
    <row r="233">
      <c r="A233" s="11">
        <f>IF(D233="","",229)</f>
        <v/>
      </c>
      <c r="B233" s="42">
        <f>IFERROR(INDEX(p_Rating,MATCH(LARGE(p_Key,229),p_Key,0)),"")</f>
        <v/>
      </c>
      <c r="C233" s="11">
        <f>IFERROR(INDEX(p_Score,MATCH(LARGE(p_Key,229),p_Key,0)),"")</f>
        <v/>
      </c>
      <c r="D233" s="38">
        <f>IFERROR(INDEX(p_Job,MATCH(LARGE(p_Key,229),p_Key,0)),"")</f>
        <v/>
      </c>
      <c r="E233" s="38">
        <f>IFERROR(INDEX(p_Client,MATCH(LARGE(p_Key,229),p_Key,0)),"")</f>
        <v/>
      </c>
      <c r="F233" s="38">
        <f>IFERROR(INDEX(p_Deal,MATCH(LARGE(p_Key,229),p_Key,0)),"")</f>
        <v/>
      </c>
      <c r="G233" s="38">
        <f>IFERROR(INDEX(p_CC,MATCH(LARGE(p_Key,229),p_Key,0)),"")</f>
        <v/>
      </c>
      <c r="H233" s="38">
        <f>IFERROR(INDEX(p_Status,MATCH(LARGE(p_Key,229),p_Key,0)),"")</f>
        <v/>
      </c>
      <c r="I233" s="38">
        <f>IFERROR(INDEX(p_Stage,MATCH(LARGE(p_Key,229),p_Key,0)),"")</f>
        <v/>
      </c>
      <c r="J233" s="12">
        <f>IFERROR(INDEX(p_Value,MATCH(LARGE(p_Key,229),p_Key,0)),"")</f>
        <v/>
      </c>
      <c r="K233" s="33">
        <f>IFERROR(IF(H233="Open",INDEX(p_Prob,MATCH(LARGE(p_Key,229),p_Key,0)),""),"")</f>
        <v/>
      </c>
      <c r="L233" s="12">
        <f>IFERROR(INDEX(p_Risk,MATCH(LARGE(p_Key,229),p_Key,0)),"")</f>
        <v/>
      </c>
      <c r="M233" s="43">
        <f>IFERROR(INDEX(p_Month,MATCH(LARGE(p_Key,229),p_Key,0)),"")</f>
        <v/>
      </c>
      <c r="N233" s="38">
        <f>IFERROR(INDEX(p_Flags,MATCH(LARGE(p_Key,229),p_Key,0)),"")</f>
        <v/>
      </c>
    </row>
    <row r="234">
      <c r="A234" s="11">
        <f>IF(D234="","",230)</f>
        <v/>
      </c>
      <c r="B234" s="42">
        <f>IFERROR(INDEX(p_Rating,MATCH(LARGE(p_Key,230),p_Key,0)),"")</f>
        <v/>
      </c>
      <c r="C234" s="11">
        <f>IFERROR(INDEX(p_Score,MATCH(LARGE(p_Key,230),p_Key,0)),"")</f>
        <v/>
      </c>
      <c r="D234" s="38">
        <f>IFERROR(INDEX(p_Job,MATCH(LARGE(p_Key,230),p_Key,0)),"")</f>
        <v/>
      </c>
      <c r="E234" s="38">
        <f>IFERROR(INDEX(p_Client,MATCH(LARGE(p_Key,230),p_Key,0)),"")</f>
        <v/>
      </c>
      <c r="F234" s="38">
        <f>IFERROR(INDEX(p_Deal,MATCH(LARGE(p_Key,230),p_Key,0)),"")</f>
        <v/>
      </c>
      <c r="G234" s="38">
        <f>IFERROR(INDEX(p_CC,MATCH(LARGE(p_Key,230),p_Key,0)),"")</f>
        <v/>
      </c>
      <c r="H234" s="38">
        <f>IFERROR(INDEX(p_Status,MATCH(LARGE(p_Key,230),p_Key,0)),"")</f>
        <v/>
      </c>
      <c r="I234" s="38">
        <f>IFERROR(INDEX(p_Stage,MATCH(LARGE(p_Key,230),p_Key,0)),"")</f>
        <v/>
      </c>
      <c r="J234" s="12">
        <f>IFERROR(INDEX(p_Value,MATCH(LARGE(p_Key,230),p_Key,0)),"")</f>
        <v/>
      </c>
      <c r="K234" s="33">
        <f>IFERROR(IF(H234="Open",INDEX(p_Prob,MATCH(LARGE(p_Key,230),p_Key,0)),""),"")</f>
        <v/>
      </c>
      <c r="L234" s="12">
        <f>IFERROR(INDEX(p_Risk,MATCH(LARGE(p_Key,230),p_Key,0)),"")</f>
        <v/>
      </c>
      <c r="M234" s="43">
        <f>IFERROR(INDEX(p_Month,MATCH(LARGE(p_Key,230),p_Key,0)),"")</f>
        <v/>
      </c>
      <c r="N234" s="38">
        <f>IFERROR(INDEX(p_Flags,MATCH(LARGE(p_Key,230),p_Key,0)),"")</f>
        <v/>
      </c>
    </row>
    <row r="235">
      <c r="A235" s="11">
        <f>IF(D235="","",231)</f>
        <v/>
      </c>
      <c r="B235" s="42">
        <f>IFERROR(INDEX(p_Rating,MATCH(LARGE(p_Key,231),p_Key,0)),"")</f>
        <v/>
      </c>
      <c r="C235" s="11">
        <f>IFERROR(INDEX(p_Score,MATCH(LARGE(p_Key,231),p_Key,0)),"")</f>
        <v/>
      </c>
      <c r="D235" s="38">
        <f>IFERROR(INDEX(p_Job,MATCH(LARGE(p_Key,231),p_Key,0)),"")</f>
        <v/>
      </c>
      <c r="E235" s="38">
        <f>IFERROR(INDEX(p_Client,MATCH(LARGE(p_Key,231),p_Key,0)),"")</f>
        <v/>
      </c>
      <c r="F235" s="38">
        <f>IFERROR(INDEX(p_Deal,MATCH(LARGE(p_Key,231),p_Key,0)),"")</f>
        <v/>
      </c>
      <c r="G235" s="38">
        <f>IFERROR(INDEX(p_CC,MATCH(LARGE(p_Key,231),p_Key,0)),"")</f>
        <v/>
      </c>
      <c r="H235" s="38">
        <f>IFERROR(INDEX(p_Status,MATCH(LARGE(p_Key,231),p_Key,0)),"")</f>
        <v/>
      </c>
      <c r="I235" s="38">
        <f>IFERROR(INDEX(p_Stage,MATCH(LARGE(p_Key,231),p_Key,0)),"")</f>
        <v/>
      </c>
      <c r="J235" s="12">
        <f>IFERROR(INDEX(p_Value,MATCH(LARGE(p_Key,231),p_Key,0)),"")</f>
        <v/>
      </c>
      <c r="K235" s="33">
        <f>IFERROR(IF(H235="Open",INDEX(p_Prob,MATCH(LARGE(p_Key,231),p_Key,0)),""),"")</f>
        <v/>
      </c>
      <c r="L235" s="12">
        <f>IFERROR(INDEX(p_Risk,MATCH(LARGE(p_Key,231),p_Key,0)),"")</f>
        <v/>
      </c>
      <c r="M235" s="43">
        <f>IFERROR(INDEX(p_Month,MATCH(LARGE(p_Key,231),p_Key,0)),"")</f>
        <v/>
      </c>
      <c r="N235" s="38">
        <f>IFERROR(INDEX(p_Flags,MATCH(LARGE(p_Key,231),p_Key,0)),"")</f>
        <v/>
      </c>
    </row>
    <row r="236">
      <c r="A236" s="11">
        <f>IF(D236="","",232)</f>
        <v/>
      </c>
      <c r="B236" s="42">
        <f>IFERROR(INDEX(p_Rating,MATCH(LARGE(p_Key,232),p_Key,0)),"")</f>
        <v/>
      </c>
      <c r="C236" s="11">
        <f>IFERROR(INDEX(p_Score,MATCH(LARGE(p_Key,232),p_Key,0)),"")</f>
        <v/>
      </c>
      <c r="D236" s="38">
        <f>IFERROR(INDEX(p_Job,MATCH(LARGE(p_Key,232),p_Key,0)),"")</f>
        <v/>
      </c>
      <c r="E236" s="38">
        <f>IFERROR(INDEX(p_Client,MATCH(LARGE(p_Key,232),p_Key,0)),"")</f>
        <v/>
      </c>
      <c r="F236" s="38">
        <f>IFERROR(INDEX(p_Deal,MATCH(LARGE(p_Key,232),p_Key,0)),"")</f>
        <v/>
      </c>
      <c r="G236" s="38">
        <f>IFERROR(INDEX(p_CC,MATCH(LARGE(p_Key,232),p_Key,0)),"")</f>
        <v/>
      </c>
      <c r="H236" s="38">
        <f>IFERROR(INDEX(p_Status,MATCH(LARGE(p_Key,232),p_Key,0)),"")</f>
        <v/>
      </c>
      <c r="I236" s="38">
        <f>IFERROR(INDEX(p_Stage,MATCH(LARGE(p_Key,232),p_Key,0)),"")</f>
        <v/>
      </c>
      <c r="J236" s="12">
        <f>IFERROR(INDEX(p_Value,MATCH(LARGE(p_Key,232),p_Key,0)),"")</f>
        <v/>
      </c>
      <c r="K236" s="33">
        <f>IFERROR(IF(H236="Open",INDEX(p_Prob,MATCH(LARGE(p_Key,232),p_Key,0)),""),"")</f>
        <v/>
      </c>
      <c r="L236" s="12">
        <f>IFERROR(INDEX(p_Risk,MATCH(LARGE(p_Key,232),p_Key,0)),"")</f>
        <v/>
      </c>
      <c r="M236" s="43">
        <f>IFERROR(INDEX(p_Month,MATCH(LARGE(p_Key,232),p_Key,0)),"")</f>
        <v/>
      </c>
      <c r="N236" s="38">
        <f>IFERROR(INDEX(p_Flags,MATCH(LARGE(p_Key,232),p_Key,0)),"")</f>
        <v/>
      </c>
    </row>
    <row r="237">
      <c r="A237" s="11">
        <f>IF(D237="","",233)</f>
        <v/>
      </c>
      <c r="B237" s="42">
        <f>IFERROR(INDEX(p_Rating,MATCH(LARGE(p_Key,233),p_Key,0)),"")</f>
        <v/>
      </c>
      <c r="C237" s="11">
        <f>IFERROR(INDEX(p_Score,MATCH(LARGE(p_Key,233),p_Key,0)),"")</f>
        <v/>
      </c>
      <c r="D237" s="38">
        <f>IFERROR(INDEX(p_Job,MATCH(LARGE(p_Key,233),p_Key,0)),"")</f>
        <v/>
      </c>
      <c r="E237" s="38">
        <f>IFERROR(INDEX(p_Client,MATCH(LARGE(p_Key,233),p_Key,0)),"")</f>
        <v/>
      </c>
      <c r="F237" s="38">
        <f>IFERROR(INDEX(p_Deal,MATCH(LARGE(p_Key,233),p_Key,0)),"")</f>
        <v/>
      </c>
      <c r="G237" s="38">
        <f>IFERROR(INDEX(p_CC,MATCH(LARGE(p_Key,233),p_Key,0)),"")</f>
        <v/>
      </c>
      <c r="H237" s="38">
        <f>IFERROR(INDEX(p_Status,MATCH(LARGE(p_Key,233),p_Key,0)),"")</f>
        <v/>
      </c>
      <c r="I237" s="38">
        <f>IFERROR(INDEX(p_Stage,MATCH(LARGE(p_Key,233),p_Key,0)),"")</f>
        <v/>
      </c>
      <c r="J237" s="12">
        <f>IFERROR(INDEX(p_Value,MATCH(LARGE(p_Key,233),p_Key,0)),"")</f>
        <v/>
      </c>
      <c r="K237" s="33">
        <f>IFERROR(IF(H237="Open",INDEX(p_Prob,MATCH(LARGE(p_Key,233),p_Key,0)),""),"")</f>
        <v/>
      </c>
      <c r="L237" s="12">
        <f>IFERROR(INDEX(p_Risk,MATCH(LARGE(p_Key,233),p_Key,0)),"")</f>
        <v/>
      </c>
      <c r="M237" s="43">
        <f>IFERROR(INDEX(p_Month,MATCH(LARGE(p_Key,233),p_Key,0)),"")</f>
        <v/>
      </c>
      <c r="N237" s="38">
        <f>IFERROR(INDEX(p_Flags,MATCH(LARGE(p_Key,233),p_Key,0)),"")</f>
        <v/>
      </c>
    </row>
    <row r="238">
      <c r="A238" s="11">
        <f>IF(D238="","",234)</f>
        <v/>
      </c>
      <c r="B238" s="42">
        <f>IFERROR(INDEX(p_Rating,MATCH(LARGE(p_Key,234),p_Key,0)),"")</f>
        <v/>
      </c>
      <c r="C238" s="11">
        <f>IFERROR(INDEX(p_Score,MATCH(LARGE(p_Key,234),p_Key,0)),"")</f>
        <v/>
      </c>
      <c r="D238" s="38">
        <f>IFERROR(INDEX(p_Job,MATCH(LARGE(p_Key,234),p_Key,0)),"")</f>
        <v/>
      </c>
      <c r="E238" s="38">
        <f>IFERROR(INDEX(p_Client,MATCH(LARGE(p_Key,234),p_Key,0)),"")</f>
        <v/>
      </c>
      <c r="F238" s="38">
        <f>IFERROR(INDEX(p_Deal,MATCH(LARGE(p_Key,234),p_Key,0)),"")</f>
        <v/>
      </c>
      <c r="G238" s="38">
        <f>IFERROR(INDEX(p_CC,MATCH(LARGE(p_Key,234),p_Key,0)),"")</f>
        <v/>
      </c>
      <c r="H238" s="38">
        <f>IFERROR(INDEX(p_Status,MATCH(LARGE(p_Key,234),p_Key,0)),"")</f>
        <v/>
      </c>
      <c r="I238" s="38">
        <f>IFERROR(INDEX(p_Stage,MATCH(LARGE(p_Key,234),p_Key,0)),"")</f>
        <v/>
      </c>
      <c r="J238" s="12">
        <f>IFERROR(INDEX(p_Value,MATCH(LARGE(p_Key,234),p_Key,0)),"")</f>
        <v/>
      </c>
      <c r="K238" s="33">
        <f>IFERROR(IF(H238="Open",INDEX(p_Prob,MATCH(LARGE(p_Key,234),p_Key,0)),""),"")</f>
        <v/>
      </c>
      <c r="L238" s="12">
        <f>IFERROR(INDEX(p_Risk,MATCH(LARGE(p_Key,234),p_Key,0)),"")</f>
        <v/>
      </c>
      <c r="M238" s="43">
        <f>IFERROR(INDEX(p_Month,MATCH(LARGE(p_Key,234),p_Key,0)),"")</f>
        <v/>
      </c>
      <c r="N238" s="38">
        <f>IFERROR(INDEX(p_Flags,MATCH(LARGE(p_Key,234),p_Key,0)),"")</f>
        <v/>
      </c>
    </row>
    <row r="239">
      <c r="A239" s="11">
        <f>IF(D239="","",235)</f>
        <v/>
      </c>
      <c r="B239" s="42">
        <f>IFERROR(INDEX(p_Rating,MATCH(LARGE(p_Key,235),p_Key,0)),"")</f>
        <v/>
      </c>
      <c r="C239" s="11">
        <f>IFERROR(INDEX(p_Score,MATCH(LARGE(p_Key,235),p_Key,0)),"")</f>
        <v/>
      </c>
      <c r="D239" s="38">
        <f>IFERROR(INDEX(p_Job,MATCH(LARGE(p_Key,235),p_Key,0)),"")</f>
        <v/>
      </c>
      <c r="E239" s="38">
        <f>IFERROR(INDEX(p_Client,MATCH(LARGE(p_Key,235),p_Key,0)),"")</f>
        <v/>
      </c>
      <c r="F239" s="38">
        <f>IFERROR(INDEX(p_Deal,MATCH(LARGE(p_Key,235),p_Key,0)),"")</f>
        <v/>
      </c>
      <c r="G239" s="38">
        <f>IFERROR(INDEX(p_CC,MATCH(LARGE(p_Key,235),p_Key,0)),"")</f>
        <v/>
      </c>
      <c r="H239" s="38">
        <f>IFERROR(INDEX(p_Status,MATCH(LARGE(p_Key,235),p_Key,0)),"")</f>
        <v/>
      </c>
      <c r="I239" s="38">
        <f>IFERROR(INDEX(p_Stage,MATCH(LARGE(p_Key,235),p_Key,0)),"")</f>
        <v/>
      </c>
      <c r="J239" s="12">
        <f>IFERROR(INDEX(p_Value,MATCH(LARGE(p_Key,235),p_Key,0)),"")</f>
        <v/>
      </c>
      <c r="K239" s="33">
        <f>IFERROR(IF(H239="Open",INDEX(p_Prob,MATCH(LARGE(p_Key,235),p_Key,0)),""),"")</f>
        <v/>
      </c>
      <c r="L239" s="12">
        <f>IFERROR(INDEX(p_Risk,MATCH(LARGE(p_Key,235),p_Key,0)),"")</f>
        <v/>
      </c>
      <c r="M239" s="43">
        <f>IFERROR(INDEX(p_Month,MATCH(LARGE(p_Key,235),p_Key,0)),"")</f>
        <v/>
      </c>
      <c r="N239" s="38">
        <f>IFERROR(INDEX(p_Flags,MATCH(LARGE(p_Key,235),p_Key,0)),"")</f>
        <v/>
      </c>
    </row>
    <row r="240">
      <c r="A240" s="11">
        <f>IF(D240="","",236)</f>
        <v/>
      </c>
      <c r="B240" s="42">
        <f>IFERROR(INDEX(p_Rating,MATCH(LARGE(p_Key,236),p_Key,0)),"")</f>
        <v/>
      </c>
      <c r="C240" s="11">
        <f>IFERROR(INDEX(p_Score,MATCH(LARGE(p_Key,236),p_Key,0)),"")</f>
        <v/>
      </c>
      <c r="D240" s="38">
        <f>IFERROR(INDEX(p_Job,MATCH(LARGE(p_Key,236),p_Key,0)),"")</f>
        <v/>
      </c>
      <c r="E240" s="38">
        <f>IFERROR(INDEX(p_Client,MATCH(LARGE(p_Key,236),p_Key,0)),"")</f>
        <v/>
      </c>
      <c r="F240" s="38">
        <f>IFERROR(INDEX(p_Deal,MATCH(LARGE(p_Key,236),p_Key,0)),"")</f>
        <v/>
      </c>
      <c r="G240" s="38">
        <f>IFERROR(INDEX(p_CC,MATCH(LARGE(p_Key,236),p_Key,0)),"")</f>
        <v/>
      </c>
      <c r="H240" s="38">
        <f>IFERROR(INDEX(p_Status,MATCH(LARGE(p_Key,236),p_Key,0)),"")</f>
        <v/>
      </c>
      <c r="I240" s="38">
        <f>IFERROR(INDEX(p_Stage,MATCH(LARGE(p_Key,236),p_Key,0)),"")</f>
        <v/>
      </c>
      <c r="J240" s="12">
        <f>IFERROR(INDEX(p_Value,MATCH(LARGE(p_Key,236),p_Key,0)),"")</f>
        <v/>
      </c>
      <c r="K240" s="33">
        <f>IFERROR(IF(H240="Open",INDEX(p_Prob,MATCH(LARGE(p_Key,236),p_Key,0)),""),"")</f>
        <v/>
      </c>
      <c r="L240" s="12">
        <f>IFERROR(INDEX(p_Risk,MATCH(LARGE(p_Key,236),p_Key,0)),"")</f>
        <v/>
      </c>
      <c r="M240" s="43">
        <f>IFERROR(INDEX(p_Month,MATCH(LARGE(p_Key,236),p_Key,0)),"")</f>
        <v/>
      </c>
      <c r="N240" s="38">
        <f>IFERROR(INDEX(p_Flags,MATCH(LARGE(p_Key,236),p_Key,0)),"")</f>
        <v/>
      </c>
    </row>
    <row r="241">
      <c r="A241" s="11">
        <f>IF(D241="","",237)</f>
        <v/>
      </c>
      <c r="B241" s="42">
        <f>IFERROR(INDEX(p_Rating,MATCH(LARGE(p_Key,237),p_Key,0)),"")</f>
        <v/>
      </c>
      <c r="C241" s="11">
        <f>IFERROR(INDEX(p_Score,MATCH(LARGE(p_Key,237),p_Key,0)),"")</f>
        <v/>
      </c>
      <c r="D241" s="38">
        <f>IFERROR(INDEX(p_Job,MATCH(LARGE(p_Key,237),p_Key,0)),"")</f>
        <v/>
      </c>
      <c r="E241" s="38">
        <f>IFERROR(INDEX(p_Client,MATCH(LARGE(p_Key,237),p_Key,0)),"")</f>
        <v/>
      </c>
      <c r="F241" s="38">
        <f>IFERROR(INDEX(p_Deal,MATCH(LARGE(p_Key,237),p_Key,0)),"")</f>
        <v/>
      </c>
      <c r="G241" s="38">
        <f>IFERROR(INDEX(p_CC,MATCH(LARGE(p_Key,237),p_Key,0)),"")</f>
        <v/>
      </c>
      <c r="H241" s="38">
        <f>IFERROR(INDEX(p_Status,MATCH(LARGE(p_Key,237),p_Key,0)),"")</f>
        <v/>
      </c>
      <c r="I241" s="38">
        <f>IFERROR(INDEX(p_Stage,MATCH(LARGE(p_Key,237),p_Key,0)),"")</f>
        <v/>
      </c>
      <c r="J241" s="12">
        <f>IFERROR(INDEX(p_Value,MATCH(LARGE(p_Key,237),p_Key,0)),"")</f>
        <v/>
      </c>
      <c r="K241" s="33">
        <f>IFERROR(IF(H241="Open",INDEX(p_Prob,MATCH(LARGE(p_Key,237),p_Key,0)),""),"")</f>
        <v/>
      </c>
      <c r="L241" s="12">
        <f>IFERROR(INDEX(p_Risk,MATCH(LARGE(p_Key,237),p_Key,0)),"")</f>
        <v/>
      </c>
      <c r="M241" s="43">
        <f>IFERROR(INDEX(p_Month,MATCH(LARGE(p_Key,237),p_Key,0)),"")</f>
        <v/>
      </c>
      <c r="N241" s="38">
        <f>IFERROR(INDEX(p_Flags,MATCH(LARGE(p_Key,237),p_Key,0)),"")</f>
        <v/>
      </c>
    </row>
    <row r="242">
      <c r="A242" s="11">
        <f>IF(D242="","",238)</f>
        <v/>
      </c>
      <c r="B242" s="42">
        <f>IFERROR(INDEX(p_Rating,MATCH(LARGE(p_Key,238),p_Key,0)),"")</f>
        <v/>
      </c>
      <c r="C242" s="11">
        <f>IFERROR(INDEX(p_Score,MATCH(LARGE(p_Key,238),p_Key,0)),"")</f>
        <v/>
      </c>
      <c r="D242" s="38">
        <f>IFERROR(INDEX(p_Job,MATCH(LARGE(p_Key,238),p_Key,0)),"")</f>
        <v/>
      </c>
      <c r="E242" s="38">
        <f>IFERROR(INDEX(p_Client,MATCH(LARGE(p_Key,238),p_Key,0)),"")</f>
        <v/>
      </c>
      <c r="F242" s="38">
        <f>IFERROR(INDEX(p_Deal,MATCH(LARGE(p_Key,238),p_Key,0)),"")</f>
        <v/>
      </c>
      <c r="G242" s="38">
        <f>IFERROR(INDEX(p_CC,MATCH(LARGE(p_Key,238),p_Key,0)),"")</f>
        <v/>
      </c>
      <c r="H242" s="38">
        <f>IFERROR(INDEX(p_Status,MATCH(LARGE(p_Key,238),p_Key,0)),"")</f>
        <v/>
      </c>
      <c r="I242" s="38">
        <f>IFERROR(INDEX(p_Stage,MATCH(LARGE(p_Key,238),p_Key,0)),"")</f>
        <v/>
      </c>
      <c r="J242" s="12">
        <f>IFERROR(INDEX(p_Value,MATCH(LARGE(p_Key,238),p_Key,0)),"")</f>
        <v/>
      </c>
      <c r="K242" s="33">
        <f>IFERROR(IF(H242="Open",INDEX(p_Prob,MATCH(LARGE(p_Key,238),p_Key,0)),""),"")</f>
        <v/>
      </c>
      <c r="L242" s="12">
        <f>IFERROR(INDEX(p_Risk,MATCH(LARGE(p_Key,238),p_Key,0)),"")</f>
        <v/>
      </c>
      <c r="M242" s="43">
        <f>IFERROR(INDEX(p_Month,MATCH(LARGE(p_Key,238),p_Key,0)),"")</f>
        <v/>
      </c>
      <c r="N242" s="38">
        <f>IFERROR(INDEX(p_Flags,MATCH(LARGE(p_Key,238),p_Key,0)),"")</f>
        <v/>
      </c>
    </row>
    <row r="243">
      <c r="A243" s="11">
        <f>IF(D243="","",239)</f>
        <v/>
      </c>
      <c r="B243" s="42">
        <f>IFERROR(INDEX(p_Rating,MATCH(LARGE(p_Key,239),p_Key,0)),"")</f>
        <v/>
      </c>
      <c r="C243" s="11">
        <f>IFERROR(INDEX(p_Score,MATCH(LARGE(p_Key,239),p_Key,0)),"")</f>
        <v/>
      </c>
      <c r="D243" s="38">
        <f>IFERROR(INDEX(p_Job,MATCH(LARGE(p_Key,239),p_Key,0)),"")</f>
        <v/>
      </c>
      <c r="E243" s="38">
        <f>IFERROR(INDEX(p_Client,MATCH(LARGE(p_Key,239),p_Key,0)),"")</f>
        <v/>
      </c>
      <c r="F243" s="38">
        <f>IFERROR(INDEX(p_Deal,MATCH(LARGE(p_Key,239),p_Key,0)),"")</f>
        <v/>
      </c>
      <c r="G243" s="38">
        <f>IFERROR(INDEX(p_CC,MATCH(LARGE(p_Key,239),p_Key,0)),"")</f>
        <v/>
      </c>
      <c r="H243" s="38">
        <f>IFERROR(INDEX(p_Status,MATCH(LARGE(p_Key,239),p_Key,0)),"")</f>
        <v/>
      </c>
      <c r="I243" s="38">
        <f>IFERROR(INDEX(p_Stage,MATCH(LARGE(p_Key,239),p_Key,0)),"")</f>
        <v/>
      </c>
      <c r="J243" s="12">
        <f>IFERROR(INDEX(p_Value,MATCH(LARGE(p_Key,239),p_Key,0)),"")</f>
        <v/>
      </c>
      <c r="K243" s="33">
        <f>IFERROR(IF(H243="Open",INDEX(p_Prob,MATCH(LARGE(p_Key,239),p_Key,0)),""),"")</f>
        <v/>
      </c>
      <c r="L243" s="12">
        <f>IFERROR(INDEX(p_Risk,MATCH(LARGE(p_Key,239),p_Key,0)),"")</f>
        <v/>
      </c>
      <c r="M243" s="43">
        <f>IFERROR(INDEX(p_Month,MATCH(LARGE(p_Key,239),p_Key,0)),"")</f>
        <v/>
      </c>
      <c r="N243" s="38">
        <f>IFERROR(INDEX(p_Flags,MATCH(LARGE(p_Key,239),p_Key,0)),"")</f>
        <v/>
      </c>
    </row>
    <row r="244">
      <c r="A244" s="11">
        <f>IF(D244="","",240)</f>
        <v/>
      </c>
      <c r="B244" s="42">
        <f>IFERROR(INDEX(p_Rating,MATCH(LARGE(p_Key,240),p_Key,0)),"")</f>
        <v/>
      </c>
      <c r="C244" s="11">
        <f>IFERROR(INDEX(p_Score,MATCH(LARGE(p_Key,240),p_Key,0)),"")</f>
        <v/>
      </c>
      <c r="D244" s="38">
        <f>IFERROR(INDEX(p_Job,MATCH(LARGE(p_Key,240),p_Key,0)),"")</f>
        <v/>
      </c>
      <c r="E244" s="38">
        <f>IFERROR(INDEX(p_Client,MATCH(LARGE(p_Key,240),p_Key,0)),"")</f>
        <v/>
      </c>
      <c r="F244" s="38">
        <f>IFERROR(INDEX(p_Deal,MATCH(LARGE(p_Key,240),p_Key,0)),"")</f>
        <v/>
      </c>
      <c r="G244" s="38">
        <f>IFERROR(INDEX(p_CC,MATCH(LARGE(p_Key,240),p_Key,0)),"")</f>
        <v/>
      </c>
      <c r="H244" s="38">
        <f>IFERROR(INDEX(p_Status,MATCH(LARGE(p_Key,240),p_Key,0)),"")</f>
        <v/>
      </c>
      <c r="I244" s="38">
        <f>IFERROR(INDEX(p_Stage,MATCH(LARGE(p_Key,240),p_Key,0)),"")</f>
        <v/>
      </c>
      <c r="J244" s="12">
        <f>IFERROR(INDEX(p_Value,MATCH(LARGE(p_Key,240),p_Key,0)),"")</f>
        <v/>
      </c>
      <c r="K244" s="33">
        <f>IFERROR(IF(H244="Open",INDEX(p_Prob,MATCH(LARGE(p_Key,240),p_Key,0)),""),"")</f>
        <v/>
      </c>
      <c r="L244" s="12">
        <f>IFERROR(INDEX(p_Risk,MATCH(LARGE(p_Key,240),p_Key,0)),"")</f>
        <v/>
      </c>
      <c r="M244" s="43">
        <f>IFERROR(INDEX(p_Month,MATCH(LARGE(p_Key,240),p_Key,0)),"")</f>
        <v/>
      </c>
      <c r="N244" s="38">
        <f>IFERROR(INDEX(p_Flags,MATCH(LARGE(p_Key,240),p_Key,0)),"")</f>
        <v/>
      </c>
    </row>
    <row r="245">
      <c r="A245" s="11">
        <f>IF(D245="","",241)</f>
        <v/>
      </c>
      <c r="B245" s="42">
        <f>IFERROR(INDEX(p_Rating,MATCH(LARGE(p_Key,241),p_Key,0)),"")</f>
        <v/>
      </c>
      <c r="C245" s="11">
        <f>IFERROR(INDEX(p_Score,MATCH(LARGE(p_Key,241),p_Key,0)),"")</f>
        <v/>
      </c>
      <c r="D245" s="38">
        <f>IFERROR(INDEX(p_Job,MATCH(LARGE(p_Key,241),p_Key,0)),"")</f>
        <v/>
      </c>
      <c r="E245" s="38">
        <f>IFERROR(INDEX(p_Client,MATCH(LARGE(p_Key,241),p_Key,0)),"")</f>
        <v/>
      </c>
      <c r="F245" s="38">
        <f>IFERROR(INDEX(p_Deal,MATCH(LARGE(p_Key,241),p_Key,0)),"")</f>
        <v/>
      </c>
      <c r="G245" s="38">
        <f>IFERROR(INDEX(p_CC,MATCH(LARGE(p_Key,241),p_Key,0)),"")</f>
        <v/>
      </c>
      <c r="H245" s="38">
        <f>IFERROR(INDEX(p_Status,MATCH(LARGE(p_Key,241),p_Key,0)),"")</f>
        <v/>
      </c>
      <c r="I245" s="38">
        <f>IFERROR(INDEX(p_Stage,MATCH(LARGE(p_Key,241),p_Key,0)),"")</f>
        <v/>
      </c>
      <c r="J245" s="12">
        <f>IFERROR(INDEX(p_Value,MATCH(LARGE(p_Key,241),p_Key,0)),"")</f>
        <v/>
      </c>
      <c r="K245" s="33">
        <f>IFERROR(IF(H245="Open",INDEX(p_Prob,MATCH(LARGE(p_Key,241),p_Key,0)),""),"")</f>
        <v/>
      </c>
      <c r="L245" s="12">
        <f>IFERROR(INDEX(p_Risk,MATCH(LARGE(p_Key,241),p_Key,0)),"")</f>
        <v/>
      </c>
      <c r="M245" s="43">
        <f>IFERROR(INDEX(p_Month,MATCH(LARGE(p_Key,241),p_Key,0)),"")</f>
        <v/>
      </c>
      <c r="N245" s="38">
        <f>IFERROR(INDEX(p_Flags,MATCH(LARGE(p_Key,241),p_Key,0)),"")</f>
        <v/>
      </c>
    </row>
    <row r="246">
      <c r="A246" s="11">
        <f>IF(D246="","",242)</f>
        <v/>
      </c>
      <c r="B246" s="42">
        <f>IFERROR(INDEX(p_Rating,MATCH(LARGE(p_Key,242),p_Key,0)),"")</f>
        <v/>
      </c>
      <c r="C246" s="11">
        <f>IFERROR(INDEX(p_Score,MATCH(LARGE(p_Key,242),p_Key,0)),"")</f>
        <v/>
      </c>
      <c r="D246" s="38">
        <f>IFERROR(INDEX(p_Job,MATCH(LARGE(p_Key,242),p_Key,0)),"")</f>
        <v/>
      </c>
      <c r="E246" s="38">
        <f>IFERROR(INDEX(p_Client,MATCH(LARGE(p_Key,242),p_Key,0)),"")</f>
        <v/>
      </c>
      <c r="F246" s="38">
        <f>IFERROR(INDEX(p_Deal,MATCH(LARGE(p_Key,242),p_Key,0)),"")</f>
        <v/>
      </c>
      <c r="G246" s="38">
        <f>IFERROR(INDEX(p_CC,MATCH(LARGE(p_Key,242),p_Key,0)),"")</f>
        <v/>
      </c>
      <c r="H246" s="38">
        <f>IFERROR(INDEX(p_Status,MATCH(LARGE(p_Key,242),p_Key,0)),"")</f>
        <v/>
      </c>
      <c r="I246" s="38">
        <f>IFERROR(INDEX(p_Stage,MATCH(LARGE(p_Key,242),p_Key,0)),"")</f>
        <v/>
      </c>
      <c r="J246" s="12">
        <f>IFERROR(INDEX(p_Value,MATCH(LARGE(p_Key,242),p_Key,0)),"")</f>
        <v/>
      </c>
      <c r="K246" s="33">
        <f>IFERROR(IF(H246="Open",INDEX(p_Prob,MATCH(LARGE(p_Key,242),p_Key,0)),""),"")</f>
        <v/>
      </c>
      <c r="L246" s="12">
        <f>IFERROR(INDEX(p_Risk,MATCH(LARGE(p_Key,242),p_Key,0)),"")</f>
        <v/>
      </c>
      <c r="M246" s="43">
        <f>IFERROR(INDEX(p_Month,MATCH(LARGE(p_Key,242),p_Key,0)),"")</f>
        <v/>
      </c>
      <c r="N246" s="38">
        <f>IFERROR(INDEX(p_Flags,MATCH(LARGE(p_Key,242),p_Key,0)),"")</f>
        <v/>
      </c>
    </row>
    <row r="247">
      <c r="A247" s="11">
        <f>IF(D247="","",243)</f>
        <v/>
      </c>
      <c r="B247" s="42">
        <f>IFERROR(INDEX(p_Rating,MATCH(LARGE(p_Key,243),p_Key,0)),"")</f>
        <v/>
      </c>
      <c r="C247" s="11">
        <f>IFERROR(INDEX(p_Score,MATCH(LARGE(p_Key,243),p_Key,0)),"")</f>
        <v/>
      </c>
      <c r="D247" s="38">
        <f>IFERROR(INDEX(p_Job,MATCH(LARGE(p_Key,243),p_Key,0)),"")</f>
        <v/>
      </c>
      <c r="E247" s="38">
        <f>IFERROR(INDEX(p_Client,MATCH(LARGE(p_Key,243),p_Key,0)),"")</f>
        <v/>
      </c>
      <c r="F247" s="38">
        <f>IFERROR(INDEX(p_Deal,MATCH(LARGE(p_Key,243),p_Key,0)),"")</f>
        <v/>
      </c>
      <c r="G247" s="38">
        <f>IFERROR(INDEX(p_CC,MATCH(LARGE(p_Key,243),p_Key,0)),"")</f>
        <v/>
      </c>
      <c r="H247" s="38">
        <f>IFERROR(INDEX(p_Status,MATCH(LARGE(p_Key,243),p_Key,0)),"")</f>
        <v/>
      </c>
      <c r="I247" s="38">
        <f>IFERROR(INDEX(p_Stage,MATCH(LARGE(p_Key,243),p_Key,0)),"")</f>
        <v/>
      </c>
      <c r="J247" s="12">
        <f>IFERROR(INDEX(p_Value,MATCH(LARGE(p_Key,243),p_Key,0)),"")</f>
        <v/>
      </c>
      <c r="K247" s="33">
        <f>IFERROR(IF(H247="Open",INDEX(p_Prob,MATCH(LARGE(p_Key,243),p_Key,0)),""),"")</f>
        <v/>
      </c>
      <c r="L247" s="12">
        <f>IFERROR(INDEX(p_Risk,MATCH(LARGE(p_Key,243),p_Key,0)),"")</f>
        <v/>
      </c>
      <c r="M247" s="43">
        <f>IFERROR(INDEX(p_Month,MATCH(LARGE(p_Key,243),p_Key,0)),"")</f>
        <v/>
      </c>
      <c r="N247" s="38">
        <f>IFERROR(INDEX(p_Flags,MATCH(LARGE(p_Key,243),p_Key,0)),"")</f>
        <v/>
      </c>
    </row>
    <row r="248">
      <c r="A248" s="11">
        <f>IF(D248="","",244)</f>
        <v/>
      </c>
      <c r="B248" s="42">
        <f>IFERROR(INDEX(p_Rating,MATCH(LARGE(p_Key,244),p_Key,0)),"")</f>
        <v/>
      </c>
      <c r="C248" s="11">
        <f>IFERROR(INDEX(p_Score,MATCH(LARGE(p_Key,244),p_Key,0)),"")</f>
        <v/>
      </c>
      <c r="D248" s="38">
        <f>IFERROR(INDEX(p_Job,MATCH(LARGE(p_Key,244),p_Key,0)),"")</f>
        <v/>
      </c>
      <c r="E248" s="38">
        <f>IFERROR(INDEX(p_Client,MATCH(LARGE(p_Key,244),p_Key,0)),"")</f>
        <v/>
      </c>
      <c r="F248" s="38">
        <f>IFERROR(INDEX(p_Deal,MATCH(LARGE(p_Key,244),p_Key,0)),"")</f>
        <v/>
      </c>
      <c r="G248" s="38">
        <f>IFERROR(INDEX(p_CC,MATCH(LARGE(p_Key,244),p_Key,0)),"")</f>
        <v/>
      </c>
      <c r="H248" s="38">
        <f>IFERROR(INDEX(p_Status,MATCH(LARGE(p_Key,244),p_Key,0)),"")</f>
        <v/>
      </c>
      <c r="I248" s="38">
        <f>IFERROR(INDEX(p_Stage,MATCH(LARGE(p_Key,244),p_Key,0)),"")</f>
        <v/>
      </c>
      <c r="J248" s="12">
        <f>IFERROR(INDEX(p_Value,MATCH(LARGE(p_Key,244),p_Key,0)),"")</f>
        <v/>
      </c>
      <c r="K248" s="33">
        <f>IFERROR(IF(H248="Open",INDEX(p_Prob,MATCH(LARGE(p_Key,244),p_Key,0)),""),"")</f>
        <v/>
      </c>
      <c r="L248" s="12">
        <f>IFERROR(INDEX(p_Risk,MATCH(LARGE(p_Key,244),p_Key,0)),"")</f>
        <v/>
      </c>
      <c r="M248" s="43">
        <f>IFERROR(INDEX(p_Month,MATCH(LARGE(p_Key,244),p_Key,0)),"")</f>
        <v/>
      </c>
      <c r="N248" s="38">
        <f>IFERROR(INDEX(p_Flags,MATCH(LARGE(p_Key,244),p_Key,0)),"")</f>
        <v/>
      </c>
    </row>
    <row r="249">
      <c r="A249" s="11">
        <f>IF(D249="","",245)</f>
        <v/>
      </c>
      <c r="B249" s="42">
        <f>IFERROR(INDEX(p_Rating,MATCH(LARGE(p_Key,245),p_Key,0)),"")</f>
        <v/>
      </c>
      <c r="C249" s="11">
        <f>IFERROR(INDEX(p_Score,MATCH(LARGE(p_Key,245),p_Key,0)),"")</f>
        <v/>
      </c>
      <c r="D249" s="38">
        <f>IFERROR(INDEX(p_Job,MATCH(LARGE(p_Key,245),p_Key,0)),"")</f>
        <v/>
      </c>
      <c r="E249" s="38">
        <f>IFERROR(INDEX(p_Client,MATCH(LARGE(p_Key,245),p_Key,0)),"")</f>
        <v/>
      </c>
      <c r="F249" s="38">
        <f>IFERROR(INDEX(p_Deal,MATCH(LARGE(p_Key,245),p_Key,0)),"")</f>
        <v/>
      </c>
      <c r="G249" s="38">
        <f>IFERROR(INDEX(p_CC,MATCH(LARGE(p_Key,245),p_Key,0)),"")</f>
        <v/>
      </c>
      <c r="H249" s="38">
        <f>IFERROR(INDEX(p_Status,MATCH(LARGE(p_Key,245),p_Key,0)),"")</f>
        <v/>
      </c>
      <c r="I249" s="38">
        <f>IFERROR(INDEX(p_Stage,MATCH(LARGE(p_Key,245),p_Key,0)),"")</f>
        <v/>
      </c>
      <c r="J249" s="12">
        <f>IFERROR(INDEX(p_Value,MATCH(LARGE(p_Key,245),p_Key,0)),"")</f>
        <v/>
      </c>
      <c r="K249" s="33">
        <f>IFERROR(IF(H249="Open",INDEX(p_Prob,MATCH(LARGE(p_Key,245),p_Key,0)),""),"")</f>
        <v/>
      </c>
      <c r="L249" s="12">
        <f>IFERROR(INDEX(p_Risk,MATCH(LARGE(p_Key,245),p_Key,0)),"")</f>
        <v/>
      </c>
      <c r="M249" s="43">
        <f>IFERROR(INDEX(p_Month,MATCH(LARGE(p_Key,245),p_Key,0)),"")</f>
        <v/>
      </c>
      <c r="N249" s="38">
        <f>IFERROR(INDEX(p_Flags,MATCH(LARGE(p_Key,245),p_Key,0)),"")</f>
        <v/>
      </c>
    </row>
    <row r="250">
      <c r="A250" s="11">
        <f>IF(D250="","",246)</f>
        <v/>
      </c>
      <c r="B250" s="42">
        <f>IFERROR(INDEX(p_Rating,MATCH(LARGE(p_Key,246),p_Key,0)),"")</f>
        <v/>
      </c>
      <c r="C250" s="11">
        <f>IFERROR(INDEX(p_Score,MATCH(LARGE(p_Key,246),p_Key,0)),"")</f>
        <v/>
      </c>
      <c r="D250" s="38">
        <f>IFERROR(INDEX(p_Job,MATCH(LARGE(p_Key,246),p_Key,0)),"")</f>
        <v/>
      </c>
      <c r="E250" s="38">
        <f>IFERROR(INDEX(p_Client,MATCH(LARGE(p_Key,246),p_Key,0)),"")</f>
        <v/>
      </c>
      <c r="F250" s="38">
        <f>IFERROR(INDEX(p_Deal,MATCH(LARGE(p_Key,246),p_Key,0)),"")</f>
        <v/>
      </c>
      <c r="G250" s="38">
        <f>IFERROR(INDEX(p_CC,MATCH(LARGE(p_Key,246),p_Key,0)),"")</f>
        <v/>
      </c>
      <c r="H250" s="38">
        <f>IFERROR(INDEX(p_Status,MATCH(LARGE(p_Key,246),p_Key,0)),"")</f>
        <v/>
      </c>
      <c r="I250" s="38">
        <f>IFERROR(INDEX(p_Stage,MATCH(LARGE(p_Key,246),p_Key,0)),"")</f>
        <v/>
      </c>
      <c r="J250" s="12">
        <f>IFERROR(INDEX(p_Value,MATCH(LARGE(p_Key,246),p_Key,0)),"")</f>
        <v/>
      </c>
      <c r="K250" s="33">
        <f>IFERROR(IF(H250="Open",INDEX(p_Prob,MATCH(LARGE(p_Key,246),p_Key,0)),""),"")</f>
        <v/>
      </c>
      <c r="L250" s="12">
        <f>IFERROR(INDEX(p_Risk,MATCH(LARGE(p_Key,246),p_Key,0)),"")</f>
        <v/>
      </c>
      <c r="M250" s="43">
        <f>IFERROR(INDEX(p_Month,MATCH(LARGE(p_Key,246),p_Key,0)),"")</f>
        <v/>
      </c>
      <c r="N250" s="38">
        <f>IFERROR(INDEX(p_Flags,MATCH(LARGE(p_Key,246),p_Key,0)),"")</f>
        <v/>
      </c>
    </row>
    <row r="251">
      <c r="A251" s="11">
        <f>IF(D251="","",247)</f>
        <v/>
      </c>
      <c r="B251" s="42">
        <f>IFERROR(INDEX(p_Rating,MATCH(LARGE(p_Key,247),p_Key,0)),"")</f>
        <v/>
      </c>
      <c r="C251" s="11">
        <f>IFERROR(INDEX(p_Score,MATCH(LARGE(p_Key,247),p_Key,0)),"")</f>
        <v/>
      </c>
      <c r="D251" s="38">
        <f>IFERROR(INDEX(p_Job,MATCH(LARGE(p_Key,247),p_Key,0)),"")</f>
        <v/>
      </c>
      <c r="E251" s="38">
        <f>IFERROR(INDEX(p_Client,MATCH(LARGE(p_Key,247),p_Key,0)),"")</f>
        <v/>
      </c>
      <c r="F251" s="38">
        <f>IFERROR(INDEX(p_Deal,MATCH(LARGE(p_Key,247),p_Key,0)),"")</f>
        <v/>
      </c>
      <c r="G251" s="38">
        <f>IFERROR(INDEX(p_CC,MATCH(LARGE(p_Key,247),p_Key,0)),"")</f>
        <v/>
      </c>
      <c r="H251" s="38">
        <f>IFERROR(INDEX(p_Status,MATCH(LARGE(p_Key,247),p_Key,0)),"")</f>
        <v/>
      </c>
      <c r="I251" s="38">
        <f>IFERROR(INDEX(p_Stage,MATCH(LARGE(p_Key,247),p_Key,0)),"")</f>
        <v/>
      </c>
      <c r="J251" s="12">
        <f>IFERROR(INDEX(p_Value,MATCH(LARGE(p_Key,247),p_Key,0)),"")</f>
        <v/>
      </c>
      <c r="K251" s="33">
        <f>IFERROR(IF(H251="Open",INDEX(p_Prob,MATCH(LARGE(p_Key,247),p_Key,0)),""),"")</f>
        <v/>
      </c>
      <c r="L251" s="12">
        <f>IFERROR(INDEX(p_Risk,MATCH(LARGE(p_Key,247),p_Key,0)),"")</f>
        <v/>
      </c>
      <c r="M251" s="43">
        <f>IFERROR(INDEX(p_Month,MATCH(LARGE(p_Key,247),p_Key,0)),"")</f>
        <v/>
      </c>
      <c r="N251" s="38">
        <f>IFERROR(INDEX(p_Flags,MATCH(LARGE(p_Key,247),p_Key,0)),"")</f>
        <v/>
      </c>
    </row>
    <row r="252">
      <c r="A252" s="11">
        <f>IF(D252="","",248)</f>
        <v/>
      </c>
      <c r="B252" s="42">
        <f>IFERROR(INDEX(p_Rating,MATCH(LARGE(p_Key,248),p_Key,0)),"")</f>
        <v/>
      </c>
      <c r="C252" s="11">
        <f>IFERROR(INDEX(p_Score,MATCH(LARGE(p_Key,248),p_Key,0)),"")</f>
        <v/>
      </c>
      <c r="D252" s="38">
        <f>IFERROR(INDEX(p_Job,MATCH(LARGE(p_Key,248),p_Key,0)),"")</f>
        <v/>
      </c>
      <c r="E252" s="38">
        <f>IFERROR(INDEX(p_Client,MATCH(LARGE(p_Key,248),p_Key,0)),"")</f>
        <v/>
      </c>
      <c r="F252" s="38">
        <f>IFERROR(INDEX(p_Deal,MATCH(LARGE(p_Key,248),p_Key,0)),"")</f>
        <v/>
      </c>
      <c r="G252" s="38">
        <f>IFERROR(INDEX(p_CC,MATCH(LARGE(p_Key,248),p_Key,0)),"")</f>
        <v/>
      </c>
      <c r="H252" s="38">
        <f>IFERROR(INDEX(p_Status,MATCH(LARGE(p_Key,248),p_Key,0)),"")</f>
        <v/>
      </c>
      <c r="I252" s="38">
        <f>IFERROR(INDEX(p_Stage,MATCH(LARGE(p_Key,248),p_Key,0)),"")</f>
        <v/>
      </c>
      <c r="J252" s="12">
        <f>IFERROR(INDEX(p_Value,MATCH(LARGE(p_Key,248),p_Key,0)),"")</f>
        <v/>
      </c>
      <c r="K252" s="33">
        <f>IFERROR(IF(H252="Open",INDEX(p_Prob,MATCH(LARGE(p_Key,248),p_Key,0)),""),"")</f>
        <v/>
      </c>
      <c r="L252" s="12">
        <f>IFERROR(INDEX(p_Risk,MATCH(LARGE(p_Key,248),p_Key,0)),"")</f>
        <v/>
      </c>
      <c r="M252" s="43">
        <f>IFERROR(INDEX(p_Month,MATCH(LARGE(p_Key,248),p_Key,0)),"")</f>
        <v/>
      </c>
      <c r="N252" s="38">
        <f>IFERROR(INDEX(p_Flags,MATCH(LARGE(p_Key,248),p_Key,0)),"")</f>
        <v/>
      </c>
    </row>
    <row r="253">
      <c r="A253" s="11">
        <f>IF(D253="","",249)</f>
        <v/>
      </c>
      <c r="B253" s="42">
        <f>IFERROR(INDEX(p_Rating,MATCH(LARGE(p_Key,249),p_Key,0)),"")</f>
        <v/>
      </c>
      <c r="C253" s="11">
        <f>IFERROR(INDEX(p_Score,MATCH(LARGE(p_Key,249),p_Key,0)),"")</f>
        <v/>
      </c>
      <c r="D253" s="38">
        <f>IFERROR(INDEX(p_Job,MATCH(LARGE(p_Key,249),p_Key,0)),"")</f>
        <v/>
      </c>
      <c r="E253" s="38">
        <f>IFERROR(INDEX(p_Client,MATCH(LARGE(p_Key,249),p_Key,0)),"")</f>
        <v/>
      </c>
      <c r="F253" s="38">
        <f>IFERROR(INDEX(p_Deal,MATCH(LARGE(p_Key,249),p_Key,0)),"")</f>
        <v/>
      </c>
      <c r="G253" s="38">
        <f>IFERROR(INDEX(p_CC,MATCH(LARGE(p_Key,249),p_Key,0)),"")</f>
        <v/>
      </c>
      <c r="H253" s="38">
        <f>IFERROR(INDEX(p_Status,MATCH(LARGE(p_Key,249),p_Key,0)),"")</f>
        <v/>
      </c>
      <c r="I253" s="38">
        <f>IFERROR(INDEX(p_Stage,MATCH(LARGE(p_Key,249),p_Key,0)),"")</f>
        <v/>
      </c>
      <c r="J253" s="12">
        <f>IFERROR(INDEX(p_Value,MATCH(LARGE(p_Key,249),p_Key,0)),"")</f>
        <v/>
      </c>
      <c r="K253" s="33">
        <f>IFERROR(IF(H253="Open",INDEX(p_Prob,MATCH(LARGE(p_Key,249),p_Key,0)),""),"")</f>
        <v/>
      </c>
      <c r="L253" s="12">
        <f>IFERROR(INDEX(p_Risk,MATCH(LARGE(p_Key,249),p_Key,0)),"")</f>
        <v/>
      </c>
      <c r="M253" s="43">
        <f>IFERROR(INDEX(p_Month,MATCH(LARGE(p_Key,249),p_Key,0)),"")</f>
        <v/>
      </c>
      <c r="N253" s="38">
        <f>IFERROR(INDEX(p_Flags,MATCH(LARGE(p_Key,249),p_Key,0)),"")</f>
        <v/>
      </c>
    </row>
    <row r="254">
      <c r="A254" s="11">
        <f>IF(D254="","",250)</f>
        <v/>
      </c>
      <c r="B254" s="42">
        <f>IFERROR(INDEX(p_Rating,MATCH(LARGE(p_Key,250),p_Key,0)),"")</f>
        <v/>
      </c>
      <c r="C254" s="11">
        <f>IFERROR(INDEX(p_Score,MATCH(LARGE(p_Key,250),p_Key,0)),"")</f>
        <v/>
      </c>
      <c r="D254" s="38">
        <f>IFERROR(INDEX(p_Job,MATCH(LARGE(p_Key,250),p_Key,0)),"")</f>
        <v/>
      </c>
      <c r="E254" s="38">
        <f>IFERROR(INDEX(p_Client,MATCH(LARGE(p_Key,250),p_Key,0)),"")</f>
        <v/>
      </c>
      <c r="F254" s="38">
        <f>IFERROR(INDEX(p_Deal,MATCH(LARGE(p_Key,250),p_Key,0)),"")</f>
        <v/>
      </c>
      <c r="G254" s="38">
        <f>IFERROR(INDEX(p_CC,MATCH(LARGE(p_Key,250),p_Key,0)),"")</f>
        <v/>
      </c>
      <c r="H254" s="38">
        <f>IFERROR(INDEX(p_Status,MATCH(LARGE(p_Key,250),p_Key,0)),"")</f>
        <v/>
      </c>
      <c r="I254" s="38">
        <f>IFERROR(INDEX(p_Stage,MATCH(LARGE(p_Key,250),p_Key,0)),"")</f>
        <v/>
      </c>
      <c r="J254" s="12">
        <f>IFERROR(INDEX(p_Value,MATCH(LARGE(p_Key,250),p_Key,0)),"")</f>
        <v/>
      </c>
      <c r="K254" s="33">
        <f>IFERROR(IF(H254="Open",INDEX(p_Prob,MATCH(LARGE(p_Key,250),p_Key,0)),""),"")</f>
        <v/>
      </c>
      <c r="L254" s="12">
        <f>IFERROR(INDEX(p_Risk,MATCH(LARGE(p_Key,250),p_Key,0)),"")</f>
        <v/>
      </c>
      <c r="M254" s="43">
        <f>IFERROR(INDEX(p_Month,MATCH(LARGE(p_Key,250),p_Key,0)),"")</f>
        <v/>
      </c>
      <c r="N254" s="38">
        <f>IFERROR(INDEX(p_Flags,MATCH(LARGE(p_Key,250),p_Key,0)),"")</f>
        <v/>
      </c>
    </row>
    <row r="256">
      <c r="A256" s="8" t="inlineStr">
        <is>
          <t>HOW THE SCORE WORKS (add the points; High / Medium / Low cut-offs are on Settings)</t>
        </is>
      </c>
    </row>
    <row r="257">
      <c r="A257" s="28" t="inlineStr">
        <is>
          <t>3 - Expected month passed: an open deal whose expected invoice month has gone. Update Zoho or mark it lost.</t>
        </is>
      </c>
    </row>
    <row r="258">
      <c r="A258" s="28" t="inlineStr">
        <is>
          <t>3 - Concentration: one open deal is at least the Settings share of all open pipeline. If it slips, the forecast moves a lot.</t>
        </is>
      </c>
    </row>
    <row r="259">
      <c r="A259" s="28" t="inlineStr">
        <is>
          <t>2 - Large deal at an early stage: at or above the large-deal value with a probability at or below the early-stage setting.</t>
        </is>
      </c>
    </row>
    <row r="260">
      <c r="A260" s="28" t="inlineStr">
        <is>
          <t>2 - No amount in Zoho: the deal cannot be forecast until it has a value.</t>
        </is>
      </c>
    </row>
    <row r="261">
      <c r="A261" s="28" t="inlineStr">
        <is>
          <t>3 - Won, invoice month passed, not fully invoiced: work we have won but not billed on time. Revenue at risk = what is still to invoice.</t>
        </is>
      </c>
    </row>
    <row r="262">
      <c r="A262" s="28" t="inlineStr">
        <is>
          <t>1 - Xero invoiced more than the deal value: check scope, variations or a missing credit note.</t>
        </is>
      </c>
    </row>
    <row r="263">
      <c r="A263" s="28" t="inlineStr">
        <is>
          <t>Revenue at risk: open deals = weighted value; won deals = amount still to invoice.</t>
        </is>
      </c>
    </row>
  </sheetData>
  <autoFilter ref="A4:N254"/>
  <conditionalFormatting sqref="B5:B254">
    <cfRule type="expression" priority="1" dxfId="0">
      <formula>B5="High"</formula>
    </cfRule>
    <cfRule type="expression" priority="2" dxfId="1">
      <formula>B5="Medium"</formula>
    </cfRule>
    <cfRule type="expression" priority="3" dxfId="2">
      <formula>B5="Low"</formula>
    </cfRule>
    <cfRule type="expression" priority="4" dxfId="3">
      <formula>B5="OK"</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5"/>
  <sheetViews>
    <sheetView showGridLines="0" workbookViewId="0">
      <selection activeCell="A1" sqref="A1"/>
    </sheetView>
  </sheetViews>
  <sheetFormatPr baseColWidth="8" defaultRowHeight="15"/>
  <cols>
    <col width="38" customWidth="1" min="1" max="1"/>
    <col width="14" customWidth="1" min="2" max="2"/>
    <col width="90" customWidth="1" min="3" max="3"/>
  </cols>
  <sheetData>
    <row r="1" ht="30" customHeight="1">
      <c r="A1" s="1" t="inlineStr">
        <is>
          <t>Settings</t>
        </is>
      </c>
      <c r="B1" s="2" t="n"/>
      <c r="C1" s="2" t="n"/>
      <c r="D1" s="2" t="n"/>
      <c r="E1" s="2" t="n"/>
      <c r="F1" s="2" t="n"/>
    </row>
    <row r="2">
      <c r="A2" s="3" t="inlineStr">
        <is>
          <t>Thresholds the risk ratings use. Change the cream cells - every sheet follows.</t>
        </is>
      </c>
      <c r="B2" s="2" t="n"/>
      <c r="C2" s="2" t="n"/>
      <c r="D2" s="2" t="n"/>
      <c r="E2" s="2" t="n"/>
      <c r="F2" s="2" t="n"/>
    </row>
    <row r="4">
      <c r="A4" s="23" t="inlineStr">
        <is>
          <t>Setting</t>
        </is>
      </c>
      <c r="B4" s="44" t="inlineStr">
        <is>
          <t>Value</t>
        </is>
      </c>
      <c r="C4" s="23" t="inlineStr">
        <is>
          <t>What it does</t>
        </is>
      </c>
    </row>
    <row r="5">
      <c r="A5" s="30" t="inlineStr">
        <is>
          <t>Data as at</t>
        </is>
      </c>
      <c r="B5" s="45" t="n">
        <v>46290</v>
      </c>
      <c r="C5" s="38" t="inlineStr">
        <is>
          <t>The date the tracker data was taken. Used to decide what is overdue or stale.</t>
        </is>
      </c>
    </row>
    <row r="6">
      <c r="A6" s="30" t="inlineStr">
        <is>
          <t>Financial year starts</t>
        </is>
      </c>
      <c r="B6" s="45" t="n">
        <v>46204</v>
      </c>
      <c r="C6" s="38" t="inlineStr">
        <is>
          <t>First day of the financial year (1 July).</t>
        </is>
      </c>
    </row>
    <row r="7">
      <c r="A7" s="30" t="inlineStr">
        <is>
          <t>Single deal - share of open pipeline</t>
        </is>
      </c>
      <c r="B7" s="46" t="n">
        <v>0.1</v>
      </c>
      <c r="C7" s="38" t="inlineStr">
        <is>
          <t>An open deal worth this share of all open pipeline or more is a concentration risk.</t>
        </is>
      </c>
    </row>
    <row r="8">
      <c r="A8" s="30" t="inlineStr">
        <is>
          <t>Large deal value</t>
        </is>
      </c>
      <c r="B8" s="47" t="n">
        <v>50000</v>
      </c>
      <c r="C8" s="38" t="inlineStr">
        <is>
          <t>Deals at or above this value count as large.</t>
        </is>
      </c>
    </row>
    <row r="9">
      <c r="A9" s="30" t="inlineStr">
        <is>
          <t>Early stage - probability at or below</t>
        </is>
      </c>
      <c r="B9" s="46" t="n">
        <v>0.25</v>
      </c>
      <c r="C9" s="38" t="inlineStr">
        <is>
          <t>A large deal this early is a forecast risk.</t>
        </is>
      </c>
    </row>
    <row r="10">
      <c r="A10" s="30" t="inlineStr">
        <is>
          <t>Top client share of revenue - High</t>
        </is>
      </c>
      <c r="B10" s="46" t="n">
        <v>0.2</v>
      </c>
      <c r="C10" s="38" t="inlineStr">
        <is>
          <t>One client above this share of FYTD revenue = High concentration.</t>
        </is>
      </c>
    </row>
    <row r="11">
      <c r="A11" s="30" t="inlineStr">
        <is>
          <t>Top 5 clients share - High</t>
        </is>
      </c>
      <c r="B11" s="46" t="n">
        <v>0.6</v>
      </c>
      <c r="C11" s="38" t="inlineStr">
        <is>
          <t>Top five clients above this share of FYTD revenue = High concentration.</t>
        </is>
      </c>
    </row>
    <row r="12">
      <c r="A12" s="30" t="inlineStr">
        <is>
          <t>Risk score for High</t>
        </is>
      </c>
      <c r="B12" s="48" t="n">
        <v>5</v>
      </c>
      <c r="C12" s="38" t="inlineStr">
        <is>
          <t>Risk Register: score at or above this = High.</t>
        </is>
      </c>
    </row>
    <row r="13">
      <c r="A13" s="30" t="inlineStr">
        <is>
          <t>Risk score for Medium</t>
        </is>
      </c>
      <c r="B13" s="48" t="n">
        <v>3</v>
      </c>
      <c r="C13" s="38" t="inlineStr">
        <is>
          <t>Score at or above this (and below High) = Medium. Anything above 0 = Low.</t>
        </is>
      </c>
    </row>
    <row r="15">
      <c r="A15" s="49" t="inlineStr">
        <is>
          <t>Probabilities by pipeline stage come from the tracker (Lists AA:AB) and arrive already applied in the Work Won data. They are assumptions, not Zoho data.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L4501"/>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s>
  <sheetData>
    <row r="1">
      <c r="A1" s="50" t="inlineStr">
        <is>
          <t>Row ID</t>
        </is>
      </c>
      <c r="B1" s="50" t="inlineStr">
        <is>
          <t>Department</t>
        </is>
      </c>
      <c r="C1" s="50" t="inlineStr">
        <is>
          <t>Job Number</t>
        </is>
      </c>
      <c r="D1" s="50" t="inlineStr">
        <is>
          <t>Client</t>
        </is>
      </c>
      <c r="E1" s="50" t="inlineStr">
        <is>
          <t>Job Description</t>
        </is>
      </c>
      <c r="F1" s="50" t="inlineStr">
        <is>
          <t>Dept Expected Ex GST</t>
        </is>
      </c>
      <c r="G1" s="50" t="inlineStr">
        <is>
          <t>Xero Invoice No</t>
        </is>
      </c>
      <c r="H1" s="50" t="inlineStr">
        <is>
          <t>Xero Invoice Date</t>
        </is>
      </c>
      <c r="I1" s="50" t="inlineStr">
        <is>
          <t>Xero Invoiced Ex GST</t>
        </is>
      </c>
      <c r="J1" s="50" t="inlineStr">
        <is>
          <t>Variance Dept vs Xero</t>
        </is>
      </c>
      <c r="K1" s="50" t="inlineStr">
        <is>
          <t>Compare</t>
        </is>
      </c>
      <c r="L1" s="50" t="inlineStr">
        <is>
          <t>Issue</t>
        </is>
      </c>
      <c r="M1" s="50" t="inlineStr">
        <is>
          <t>Finance Notes</t>
        </is>
      </c>
      <c r="N1" s="50" t="inlineStr">
        <is>
          <t>Job in Xero?</t>
        </is>
      </c>
      <c r="O1" s="50" t="inlineStr">
        <is>
          <t>Job Name (Xero)</t>
        </is>
      </c>
      <c r="P1" s="50" t="inlineStr">
        <is>
          <t>Cost Centre</t>
        </is>
      </c>
      <c r="Q1" s="50" t="inlineStr">
        <is>
          <t>Invoice Type</t>
        </is>
      </c>
      <c r="R1" s="50" t="inlineStr">
        <is>
          <t>Tax Code</t>
        </is>
      </c>
      <c r="S1" s="50" t="inlineStr">
        <is>
          <t>Revenue GL</t>
        </is>
      </c>
      <c r="T1" s="50" t="inlineStr">
        <is>
          <t>PO or Quote Ref</t>
        </is>
      </c>
      <c r="U1" s="50" t="inlineStr">
        <is>
          <t>Dept Notes</t>
        </is>
      </c>
      <c r="V1" s="50" t="inlineStr">
        <is>
          <t>GST</t>
        </is>
      </c>
      <c r="W1" s="50" t="inlineStr">
        <is>
          <t>Inc GST</t>
        </is>
      </c>
      <c r="X1" s="50" t="inlineStr">
        <is>
          <t>Invoice Month</t>
        </is>
      </c>
      <c r="Y1" s="50" t="inlineStr">
        <is>
          <t>Lines on Job</t>
        </is>
      </c>
      <c r="Z1" s="50" t="inlineStr">
        <is>
          <t>Job Total Expected</t>
        </is>
      </c>
      <c r="AA1" s="50" t="inlineStr">
        <is>
          <t>Job Total Invoiced</t>
        </is>
      </c>
      <c r="AB1" s="50" t="inlineStr">
        <is>
          <t>Dept Row</t>
        </is>
      </c>
      <c r="AD1" s="23" t="inlineStr">
        <is>
          <t>Amount</t>
        </is>
      </c>
      <c r="AE1" s="23" t="inlineStr">
        <is>
          <t>Invoice Date</t>
        </is>
      </c>
      <c r="AF1" s="23" t="inlineStr">
        <is>
          <t>Counted</t>
        </is>
      </c>
      <c r="AG1" s="23" t="inlineStr">
        <is>
          <t>Month</t>
        </is>
      </c>
      <c r="AH1" s="23" t="inlineStr">
        <is>
          <t>Client</t>
        </is>
      </c>
      <c r="AI1" s="23" t="inlineStr">
        <is>
          <t>Cost Centre</t>
        </is>
      </c>
      <c r="AJ1" s="23" t="inlineStr">
        <is>
          <t>In this FY to date</t>
        </is>
      </c>
      <c r="AK1" s="23" t="inlineStr">
        <is>
          <t>New client no.</t>
        </is>
      </c>
      <c r="AL1" s="23" t="inlineStr">
        <is>
          <t>Running</t>
        </is>
      </c>
    </row>
    <row r="2">
      <c r="A2" t="inlineStr">
        <is>
          <t>ONS-0001</t>
        </is>
      </c>
      <c r="B2" t="inlineStr">
        <is>
          <t>Onsite</t>
        </is>
      </c>
      <c r="C2" t="inlineStr">
        <is>
          <t>1350</t>
        </is>
      </c>
      <c r="D2" t="inlineStr">
        <is>
          <t>CBA</t>
        </is>
      </c>
      <c r="E2" t="inlineStr">
        <is>
          <t>CBA BNE July 2026</t>
        </is>
      </c>
      <c r="F2" t="n">
        <v>8588.450000000001</v>
      </c>
      <c r="G2" t="inlineStr">
        <is>
          <t>INV-10525</t>
        </is>
      </c>
      <c r="H2" s="51" t="n">
        <v>46234</v>
      </c>
      <c r="I2" t="n">
        <v>8588.450000000001</v>
      </c>
      <c r="J2" t="n">
        <v>0</v>
      </c>
      <c r="K2" t="inlineStr">
        <is>
          <t>Agrees</t>
        </is>
      </c>
      <c r="N2" t="inlineStr">
        <is>
          <t>OK</t>
        </is>
      </c>
      <c r="O2" t="inlineStr">
        <is>
          <t>CBA Brisbane ONS</t>
        </is>
      </c>
      <c r="P2" t="inlineStr">
        <is>
          <t>ONSITE</t>
        </is>
      </c>
      <c r="Q2" t="inlineStr">
        <is>
          <t>Contract</t>
        </is>
      </c>
      <c r="R2" t="inlineStr">
        <is>
          <t>GST 10%</t>
        </is>
      </c>
      <c r="S2" t="inlineStr">
        <is>
          <t>41100</t>
        </is>
      </c>
      <c r="U2" t="inlineStr">
        <is>
          <t>174.05 hours</t>
        </is>
      </c>
      <c r="V2" t="n">
        <v>858.85</v>
      </c>
      <c r="W2" t="n">
        <v>9447.299999999999</v>
      </c>
      <c r="X2" s="51" t="n">
        <v>46234</v>
      </c>
      <c r="Y2" t="n">
        <v>3</v>
      </c>
      <c r="Z2" t="n">
        <v>22550.95</v>
      </c>
      <c r="AA2" t="n">
        <v>22550.95</v>
      </c>
      <c r="AB2" t="n">
        <v>1</v>
      </c>
      <c r="AD2" s="52">
        <f>IFERROR(N(IFERROR(INDEX($A2:$AB2,MATCH("Xero Invoiced Ex GST",$A$1:$AB$1,0)),"")),0)</f>
        <v/>
      </c>
      <c r="AE2" s="53">
        <f>IFERROR(INDEX($A2:$AB2,MATCH("Xero Invoice Date",$A$1:$AB$1,0)),"")</f>
        <v/>
      </c>
      <c r="AF2" s="54">
        <f>IF(AND(IFERROR(INDEX($A2:$AB2,MATCH("Xero Invoice No",$A$1:$AB$1,0)),"")&amp;""&lt;&gt;"",ISNUMBER(AE2),AD2&lt;&gt;0),1,0)</f>
        <v/>
      </c>
      <c r="AG2" s="55">
        <f>IF(AF2=1,EOMONTH(AE2,0),"")</f>
        <v/>
      </c>
      <c r="AH2" s="9">
        <f>IF(AF2=1,UPPER(TRIM(IFERROR(INDEX($A2:$AB2,MATCH("Client",$A$1:$AB$1,0)),"")&amp;"")),"")</f>
        <v/>
      </c>
      <c r="AI2" s="9">
        <f>IF(AF2=1,IFERROR(INDEX($A2:$AB2,MATCH("Cost Centre",$A$1:$AB$1,0)),"")&amp;"","")</f>
        <v/>
      </c>
      <c r="AJ2" s="54">
        <f>IF(AND(AF2=1,AE2&gt;=set_FYStart,AE2&lt;=set_AsAt),1,0)</f>
        <v/>
      </c>
      <c r="AK2" s="54">
        <f>IF(AND(AJ2=1,AH2&lt;&gt;"",COUNTIFS($AH$2:AH2,AH2,$AJ$2:AJ2,1)=1),N(AL1)+1,"")</f>
        <v/>
      </c>
      <c r="AL2" s="54">
        <f>IF(AK2&lt;&gt;"",AK2,N(AL1))</f>
        <v/>
      </c>
    </row>
    <row r="3">
      <c r="A3" t="inlineStr">
        <is>
          <t>PRD-0001</t>
        </is>
      </c>
      <c r="B3" t="inlineStr">
        <is>
          <t>Production</t>
        </is>
      </c>
      <c r="C3" t="inlineStr">
        <is>
          <t>2602309</t>
        </is>
      </c>
      <c r="D3" t="inlineStr">
        <is>
          <t>Elkiem</t>
        </is>
      </c>
      <c r="E3" t="inlineStr">
        <is>
          <t>Studio Support | 1.7.26</t>
        </is>
      </c>
      <c r="F3" t="n">
        <v>380</v>
      </c>
      <c r="G3" t="inlineStr">
        <is>
          <t>INV-10513</t>
        </is>
      </c>
      <c r="H3" s="51" t="n">
        <v>46204</v>
      </c>
      <c r="I3" t="n">
        <v>380</v>
      </c>
      <c r="J3" t="n">
        <v>0</v>
      </c>
      <c r="K3" t="inlineStr">
        <is>
          <t>Agrees</t>
        </is>
      </c>
      <c r="L3" t="inlineStr">
        <is>
          <t>Job number not in the Xero job list</t>
        </is>
      </c>
      <c r="N3" t="inlineStr">
        <is>
          <t>CHECK</t>
        </is>
      </c>
      <c r="P3" t="inlineStr">
        <is>
          <t>PRODUCTION</t>
        </is>
      </c>
      <c r="Q3" t="inlineStr">
        <is>
          <t>Project</t>
        </is>
      </c>
      <c r="R3" t="inlineStr">
        <is>
          <t>GST 10%</t>
        </is>
      </c>
      <c r="S3" t="inlineStr">
        <is>
          <t>42100</t>
        </is>
      </c>
      <c r="T3" t="inlineStr">
        <is>
          <t>5879</t>
        </is>
      </c>
      <c r="V3" t="n">
        <v>38</v>
      </c>
      <c r="W3" t="n">
        <v>418</v>
      </c>
      <c r="X3" s="51" t="n">
        <v>46234</v>
      </c>
      <c r="Y3" t="n">
        <v>1</v>
      </c>
      <c r="Z3" t="n">
        <v>380</v>
      </c>
      <c r="AA3" t="n">
        <v>380</v>
      </c>
      <c r="AB3" t="n">
        <v>1</v>
      </c>
      <c r="AD3" s="52">
        <f>IFERROR(N(IFERROR(INDEX($A3:$AB3,MATCH("Xero Invoiced Ex GST",$A$1:$AB$1,0)),"")),0)</f>
        <v/>
      </c>
      <c r="AE3" s="53">
        <f>IFERROR(INDEX($A3:$AB3,MATCH("Xero Invoice Date",$A$1:$AB$1,0)),"")</f>
        <v/>
      </c>
      <c r="AF3" s="54">
        <f>IF(AND(IFERROR(INDEX($A3:$AB3,MATCH("Xero Invoice No",$A$1:$AB$1,0)),"")&amp;""&lt;&gt;"",ISNUMBER(AE3),AD3&lt;&gt;0),1,0)</f>
        <v/>
      </c>
      <c r="AG3" s="55">
        <f>IF(AF3=1,EOMONTH(AE3,0),"")</f>
        <v/>
      </c>
      <c r="AH3" s="9">
        <f>IF(AF3=1,UPPER(TRIM(IFERROR(INDEX($A3:$AB3,MATCH("Client",$A$1:$AB$1,0)),"")&amp;"")),"")</f>
        <v/>
      </c>
      <c r="AI3" s="9">
        <f>IF(AF3=1,IFERROR(INDEX($A3:$AB3,MATCH("Cost Centre",$A$1:$AB$1,0)),"")&amp;"","")</f>
        <v/>
      </c>
      <c r="AJ3" s="54">
        <f>IF(AND(AF3=1,AE3&gt;=set_FYStart,AE3&lt;=set_AsAt),1,0)</f>
        <v/>
      </c>
      <c r="AK3" s="54">
        <f>IF(AND(AJ3=1,AH3&lt;&gt;"",COUNTIFS($AH$2:AH3,AH3,$AJ$2:AJ3,1)=1),N(AL2)+1,"")</f>
        <v/>
      </c>
      <c r="AL3" s="54">
        <f>IF(AK3&lt;&gt;"",AK3,N(AL2))</f>
        <v/>
      </c>
    </row>
    <row r="4">
      <c r="A4" t="inlineStr">
        <is>
          <t>CON-0001</t>
        </is>
      </c>
      <c r="B4" t="inlineStr">
        <is>
          <t>Consulting</t>
        </is>
      </c>
      <c r="C4" t="inlineStr">
        <is>
          <t>25021901</t>
        </is>
      </c>
      <c r="D4" t="inlineStr">
        <is>
          <t>DAFF</t>
        </is>
      </c>
      <c r="E4" t="inlineStr">
        <is>
          <t>Technology Standards Evaluation</t>
        </is>
      </c>
      <c r="F4" t="n">
        <v>9875</v>
      </c>
      <c r="G4" t="inlineStr">
        <is>
          <t>INV-9860</t>
        </is>
      </c>
      <c r="H4" s="51" t="n">
        <v>45805</v>
      </c>
      <c r="I4" t="n">
        <v>9875</v>
      </c>
      <c r="J4" t="n">
        <v>0</v>
      </c>
      <c r="K4" t="inlineStr">
        <is>
          <t>Agrees</t>
        </is>
      </c>
      <c r="N4" t="inlineStr">
        <is>
          <t>OK</t>
        </is>
      </c>
      <c r="O4" t="inlineStr">
        <is>
          <t>DAFF Technology Standard</t>
        </is>
      </c>
      <c r="P4" t="inlineStr">
        <is>
          <t>CONSULTING</t>
        </is>
      </c>
      <c r="Q4" t="inlineStr">
        <is>
          <t>Project</t>
        </is>
      </c>
      <c r="R4" t="inlineStr">
        <is>
          <t>GST 10%</t>
        </is>
      </c>
      <c r="S4" t="inlineStr">
        <is>
          <t>42800</t>
        </is>
      </c>
      <c r="T4" t="inlineStr">
        <is>
          <t>https://cts.qwilr.com/25021901-DAFF-Technology-Standards-Evaluation-A7PRmNNwQ5Wn</t>
        </is>
      </c>
      <c r="U4" t="inlineStr">
        <is>
          <t>Status: Completed | Revenue still in WIP</t>
        </is>
      </c>
      <c r="V4" t="n">
        <v>987.5</v>
      </c>
      <c r="W4" t="n">
        <v>10862.5</v>
      </c>
      <c r="X4" s="51" t="n">
        <v>45808</v>
      </c>
      <c r="Y4" t="n">
        <v>1</v>
      </c>
      <c r="Z4" t="n">
        <v>9875</v>
      </c>
      <c r="AA4" t="n">
        <v>9875</v>
      </c>
      <c r="AB4" t="n">
        <v>1</v>
      </c>
      <c r="AD4" s="52">
        <f>IFERROR(N(IFERROR(INDEX($A4:$AB4,MATCH("Xero Invoiced Ex GST",$A$1:$AB$1,0)),"")),0)</f>
        <v/>
      </c>
      <c r="AE4" s="53">
        <f>IFERROR(INDEX($A4:$AB4,MATCH("Xero Invoice Date",$A$1:$AB$1,0)),"")</f>
        <v/>
      </c>
      <c r="AF4" s="54">
        <f>IF(AND(IFERROR(INDEX($A4:$AB4,MATCH("Xero Invoice No",$A$1:$AB$1,0)),"")&amp;""&lt;&gt;"",ISNUMBER(AE4),AD4&lt;&gt;0),1,0)</f>
        <v/>
      </c>
      <c r="AG4" s="55">
        <f>IF(AF4=1,EOMONTH(AE4,0),"")</f>
        <v/>
      </c>
      <c r="AH4" s="9">
        <f>IF(AF4=1,UPPER(TRIM(IFERROR(INDEX($A4:$AB4,MATCH("Client",$A$1:$AB$1,0)),"")&amp;"")),"")</f>
        <v/>
      </c>
      <c r="AI4" s="9">
        <f>IF(AF4=1,IFERROR(INDEX($A4:$AB4,MATCH("Cost Centre",$A$1:$AB$1,0)),"")&amp;"","")</f>
        <v/>
      </c>
      <c r="AJ4" s="54">
        <f>IF(AND(AF4=1,AE4&gt;=set_FYStart,AE4&lt;=set_AsAt),1,0)</f>
        <v/>
      </c>
      <c r="AK4" s="54">
        <f>IF(AND(AJ4=1,AH4&lt;&gt;"",COUNTIFS($AH$2:AH4,AH4,$AJ$2:AJ4,1)=1),N(AL3)+1,"")</f>
        <v/>
      </c>
      <c r="AL4" s="54">
        <f>IF(AK4&lt;&gt;"",AK4,N(AL3))</f>
        <v/>
      </c>
    </row>
    <row r="5">
      <c r="A5" t="inlineStr">
        <is>
          <t>ONS-0002</t>
        </is>
      </c>
      <c r="B5" t="inlineStr">
        <is>
          <t>Onsite</t>
        </is>
      </c>
      <c r="C5" t="inlineStr">
        <is>
          <t>585/586/1755</t>
        </is>
      </c>
      <c r="D5" t="inlineStr">
        <is>
          <t>CBA</t>
        </is>
      </c>
      <c r="E5" t="inlineStr">
        <is>
          <t>CBP July 2026</t>
        </is>
      </c>
      <c r="F5" t="n">
        <v>22120.57</v>
      </c>
      <c r="G5" t="inlineStr">
        <is>
          <t>INV-10526</t>
        </is>
      </c>
      <c r="H5" s="51" t="n">
        <v>46234</v>
      </c>
      <c r="I5" t="n">
        <v>22120.57</v>
      </c>
      <c r="J5" t="n">
        <v>0</v>
      </c>
      <c r="K5" t="inlineStr">
        <is>
          <t>Agrees</t>
        </is>
      </c>
      <c r="L5" t="inlineStr">
        <is>
          <t>Job number not in the Xero job list</t>
        </is>
      </c>
      <c r="N5" t="inlineStr">
        <is>
          <t>CHECK</t>
        </is>
      </c>
      <c r="P5" t="inlineStr">
        <is>
          <t>ONSITE</t>
        </is>
      </c>
      <c r="Q5" t="inlineStr">
        <is>
          <t>Contract</t>
        </is>
      </c>
      <c r="R5" t="inlineStr">
        <is>
          <t>GST 10%</t>
        </is>
      </c>
      <c r="S5" t="inlineStr">
        <is>
          <t>41100</t>
        </is>
      </c>
      <c r="U5" t="inlineStr">
        <is>
          <t>Deduct 3hrs for TN 01/07 &amp; 6hrs for NP 14/07</t>
        </is>
      </c>
      <c r="V5" t="n">
        <v>2212.06</v>
      </c>
      <c r="W5" t="n">
        <v>24332.63</v>
      </c>
      <c r="X5" s="51" t="n">
        <v>46234</v>
      </c>
      <c r="Y5" t="n">
        <v>2</v>
      </c>
      <c r="Z5" t="n">
        <v>22120.57</v>
      </c>
      <c r="AA5" t="n">
        <v>22120.57</v>
      </c>
      <c r="AB5" t="n">
        <v>2</v>
      </c>
      <c r="AD5" s="52">
        <f>IFERROR(N(IFERROR(INDEX($A5:$AB5,MATCH("Xero Invoiced Ex GST",$A$1:$AB$1,0)),"")),0)</f>
        <v/>
      </c>
      <c r="AE5" s="53">
        <f>IFERROR(INDEX($A5:$AB5,MATCH("Xero Invoice Date",$A$1:$AB$1,0)),"")</f>
        <v/>
      </c>
      <c r="AF5" s="54">
        <f>IF(AND(IFERROR(INDEX($A5:$AB5,MATCH("Xero Invoice No",$A$1:$AB$1,0)),"")&amp;""&lt;&gt;"",ISNUMBER(AE5),AD5&lt;&gt;0),1,0)</f>
        <v/>
      </c>
      <c r="AG5" s="55">
        <f>IF(AF5=1,EOMONTH(AE5,0),"")</f>
        <v/>
      </c>
      <c r="AH5" s="9">
        <f>IF(AF5=1,UPPER(TRIM(IFERROR(INDEX($A5:$AB5,MATCH("Client",$A$1:$AB$1,0)),"")&amp;"")),"")</f>
        <v/>
      </c>
      <c r="AI5" s="9">
        <f>IF(AF5=1,IFERROR(INDEX($A5:$AB5,MATCH("Cost Centre",$A$1:$AB$1,0)),"")&amp;"","")</f>
        <v/>
      </c>
      <c r="AJ5" s="54">
        <f>IF(AND(AF5=1,AE5&gt;=set_FYStart,AE5&lt;=set_AsAt),1,0)</f>
        <v/>
      </c>
      <c r="AK5" s="54">
        <f>IF(AND(AJ5=1,AH5&lt;&gt;"",COUNTIFS($AH$2:AH5,AH5,$AJ$2:AJ5,1)=1),N(AL4)+1,"")</f>
        <v/>
      </c>
      <c r="AL5" s="54">
        <f>IF(AK5&lt;&gt;"",AK5,N(AL4))</f>
        <v/>
      </c>
    </row>
    <row r="6">
      <c r="A6" t="inlineStr">
        <is>
          <t>PRD-0002</t>
        </is>
      </c>
      <c r="B6" t="inlineStr">
        <is>
          <t>Production</t>
        </is>
      </c>
      <c r="C6" t="inlineStr">
        <is>
          <t>26032301</t>
        </is>
      </c>
      <c r="D6" t="inlineStr">
        <is>
          <t>RSNSW</t>
        </is>
      </c>
      <c r="E6" t="inlineStr">
        <is>
          <t>Ordinary General Meeting | 1.7.26</t>
        </is>
      </c>
      <c r="F6" t="n">
        <v>2042</v>
      </c>
      <c r="G6" t="inlineStr">
        <is>
          <t>INV-10519</t>
        </is>
      </c>
      <c r="H6" s="51" t="n">
        <v>46210</v>
      </c>
      <c r="I6" t="n">
        <v>2042</v>
      </c>
      <c r="J6" t="n">
        <v>0</v>
      </c>
      <c r="K6" t="inlineStr">
        <is>
          <t>Agrees</t>
        </is>
      </c>
      <c r="N6" t="inlineStr">
        <is>
          <t>OK</t>
        </is>
      </c>
      <c r="O6" t="inlineStr">
        <is>
          <t>RSNSW - OGM - 1.7.2026</t>
        </is>
      </c>
      <c r="P6" t="inlineStr">
        <is>
          <t>PRODUCTION</t>
        </is>
      </c>
      <c r="Q6" t="inlineStr">
        <is>
          <t>Project</t>
        </is>
      </c>
      <c r="R6" t="inlineStr">
        <is>
          <t>GST 10%</t>
        </is>
      </c>
      <c r="S6" t="inlineStr">
        <is>
          <t>42100</t>
        </is>
      </c>
      <c r="T6" t="inlineStr">
        <is>
          <t>5924</t>
        </is>
      </c>
      <c r="V6" t="n">
        <v>204.2</v>
      </c>
      <c r="W6" t="n">
        <v>2246.2</v>
      </c>
      <c r="X6" s="51" t="n">
        <v>46234</v>
      </c>
      <c r="Y6" t="n">
        <v>1</v>
      </c>
      <c r="Z6" t="n">
        <v>2042</v>
      </c>
      <c r="AA6" t="n">
        <v>2042</v>
      </c>
      <c r="AB6" t="n">
        <v>2</v>
      </c>
      <c r="AD6" s="52">
        <f>IFERROR(N(IFERROR(INDEX($A6:$AB6,MATCH("Xero Invoiced Ex GST",$A$1:$AB$1,0)),"")),0)</f>
        <v/>
      </c>
      <c r="AE6" s="53">
        <f>IFERROR(INDEX($A6:$AB6,MATCH("Xero Invoice Date",$A$1:$AB$1,0)),"")</f>
        <v/>
      </c>
      <c r="AF6" s="54">
        <f>IF(AND(IFERROR(INDEX($A6:$AB6,MATCH("Xero Invoice No",$A$1:$AB$1,0)),"")&amp;""&lt;&gt;"",ISNUMBER(AE6),AD6&lt;&gt;0),1,0)</f>
        <v/>
      </c>
      <c r="AG6" s="55">
        <f>IF(AF6=1,EOMONTH(AE6,0),"")</f>
        <v/>
      </c>
      <c r="AH6" s="9">
        <f>IF(AF6=1,UPPER(TRIM(IFERROR(INDEX($A6:$AB6,MATCH("Client",$A$1:$AB$1,0)),"")&amp;"")),"")</f>
        <v/>
      </c>
      <c r="AI6" s="9">
        <f>IF(AF6=1,IFERROR(INDEX($A6:$AB6,MATCH("Cost Centre",$A$1:$AB$1,0)),"")&amp;"","")</f>
        <v/>
      </c>
      <c r="AJ6" s="54">
        <f>IF(AND(AF6=1,AE6&gt;=set_FYStart,AE6&lt;=set_AsAt),1,0)</f>
        <v/>
      </c>
      <c r="AK6" s="54">
        <f>IF(AND(AJ6=1,AH6&lt;&gt;"",COUNTIFS($AH$2:AH6,AH6,$AJ$2:AJ6,1)=1),N(AL5)+1,"")</f>
        <v/>
      </c>
      <c r="AL6" s="54">
        <f>IF(AK6&lt;&gt;"",AK6,N(AL5))</f>
        <v/>
      </c>
    </row>
    <row r="7">
      <c r="A7" t="inlineStr">
        <is>
          <t>CON-0002</t>
        </is>
      </c>
      <c r="B7" t="inlineStr">
        <is>
          <t>Consulting</t>
        </is>
      </c>
      <c r="C7" t="inlineStr">
        <is>
          <t>25102701</t>
        </is>
      </c>
      <c r="D7" t="inlineStr">
        <is>
          <t>DEWR</t>
        </is>
      </c>
      <c r="E7" t="inlineStr">
        <is>
          <t>DEWR Studio Upgrade</t>
        </is>
      </c>
      <c r="F7" t="n">
        <v>23050</v>
      </c>
      <c r="G7" t="inlineStr">
        <is>
          <t>INV-10319</t>
        </is>
      </c>
      <c r="H7" s="51" t="n">
        <v>46101</v>
      </c>
      <c r="I7" t="n">
        <v>23050</v>
      </c>
      <c r="J7" t="n">
        <v>0</v>
      </c>
      <c r="K7" t="inlineStr">
        <is>
          <t>Agrees</t>
        </is>
      </c>
      <c r="N7" t="inlineStr">
        <is>
          <t>OK</t>
        </is>
      </c>
      <c r="O7" t="inlineStr">
        <is>
          <t>DEWR - Studio Upgrade - Consulting, Design</t>
        </is>
      </c>
      <c r="P7" t="inlineStr">
        <is>
          <t>CONSULTING</t>
        </is>
      </c>
      <c r="Q7" t="inlineStr">
        <is>
          <t>Progress Claim</t>
        </is>
      </c>
      <c r="R7" t="inlineStr">
        <is>
          <t>GST 10%</t>
        </is>
      </c>
      <c r="S7" t="inlineStr">
        <is>
          <t>42800</t>
        </is>
      </c>
      <c r="T7" t="inlineStr">
        <is>
          <t>https://cts.qwilr.com/25102701-DEWR-Studio-Upgrade-ESE25-143997-Rev-4-KTqWXx2QQz6f</t>
        </is>
      </c>
      <c r="U7" t="inlineStr">
        <is>
          <t>Status: In Progress | Progress Claim 01</t>
        </is>
      </c>
      <c r="V7" t="n">
        <v>2305</v>
      </c>
      <c r="W7" t="n">
        <v>25355</v>
      </c>
      <c r="X7" s="51" t="n">
        <v>46112</v>
      </c>
      <c r="Y7" t="n">
        <v>4</v>
      </c>
      <c r="Z7" t="n">
        <v>68273</v>
      </c>
      <c r="AA7" t="n">
        <v>68273</v>
      </c>
      <c r="AB7" t="n">
        <v>2</v>
      </c>
      <c r="AD7" s="52">
        <f>IFERROR(N(IFERROR(INDEX($A7:$AB7,MATCH("Xero Invoiced Ex GST",$A$1:$AB$1,0)),"")),0)</f>
        <v/>
      </c>
      <c r="AE7" s="53">
        <f>IFERROR(INDEX($A7:$AB7,MATCH("Xero Invoice Date",$A$1:$AB$1,0)),"")</f>
        <v/>
      </c>
      <c r="AF7" s="54">
        <f>IF(AND(IFERROR(INDEX($A7:$AB7,MATCH("Xero Invoice No",$A$1:$AB$1,0)),"")&amp;""&lt;&gt;"",ISNUMBER(AE7),AD7&lt;&gt;0),1,0)</f>
        <v/>
      </c>
      <c r="AG7" s="55">
        <f>IF(AF7=1,EOMONTH(AE7,0),"")</f>
        <v/>
      </c>
      <c r="AH7" s="9">
        <f>IF(AF7=1,UPPER(TRIM(IFERROR(INDEX($A7:$AB7,MATCH("Client",$A$1:$AB$1,0)),"")&amp;"")),"")</f>
        <v/>
      </c>
      <c r="AI7" s="9">
        <f>IF(AF7=1,IFERROR(INDEX($A7:$AB7,MATCH("Cost Centre",$A$1:$AB$1,0)),"")&amp;"","")</f>
        <v/>
      </c>
      <c r="AJ7" s="54">
        <f>IF(AND(AF7=1,AE7&gt;=set_FYStart,AE7&lt;=set_AsAt),1,0)</f>
        <v/>
      </c>
      <c r="AK7" s="54">
        <f>IF(AND(AJ7=1,AH7&lt;&gt;"",COUNTIFS($AH$2:AH7,AH7,$AJ$2:AJ7,1)=1),N(AL6)+1,"")</f>
        <v/>
      </c>
      <c r="AL7" s="54">
        <f>IF(AK7&lt;&gt;"",AK7,N(AL6))</f>
        <v/>
      </c>
    </row>
    <row r="8">
      <c r="A8" t="inlineStr">
        <is>
          <t>ONS-0003</t>
        </is>
      </c>
      <c r="B8" t="inlineStr">
        <is>
          <t>Onsite</t>
        </is>
      </c>
      <c r="C8" t="inlineStr">
        <is>
          <t>587</t>
        </is>
      </c>
      <c r="D8" t="inlineStr">
        <is>
          <t>CBA</t>
        </is>
      </c>
      <c r="E8" t="inlineStr">
        <is>
          <t>CBS July 2026</t>
        </is>
      </c>
      <c r="F8" t="n">
        <v>10720</v>
      </c>
      <c r="G8" t="inlineStr">
        <is>
          <t>INV-10527</t>
        </is>
      </c>
      <c r="H8" s="51" t="n">
        <v>46234</v>
      </c>
      <c r="I8" t="n">
        <v>10720</v>
      </c>
      <c r="J8" t="n">
        <v>0</v>
      </c>
      <c r="K8" t="inlineStr">
        <is>
          <t>Agrees</t>
        </is>
      </c>
      <c r="N8" t="inlineStr">
        <is>
          <t>OK</t>
        </is>
      </c>
      <c r="O8" t="inlineStr">
        <is>
          <t>CBA Tech TN</t>
        </is>
      </c>
      <c r="P8" t="inlineStr">
        <is>
          <t>ONSITE</t>
        </is>
      </c>
      <c r="Q8" t="inlineStr">
        <is>
          <t>Contract</t>
        </is>
      </c>
      <c r="R8" t="inlineStr">
        <is>
          <t>GST 10%</t>
        </is>
      </c>
      <c r="S8" t="inlineStr">
        <is>
          <t>41100</t>
        </is>
      </c>
      <c r="V8" t="n">
        <v>1072</v>
      </c>
      <c r="W8" t="n">
        <v>11792</v>
      </c>
      <c r="X8" s="51" t="n">
        <v>46234</v>
      </c>
      <c r="Y8" t="n">
        <v>4</v>
      </c>
      <c r="Z8" t="n">
        <v>31637.88</v>
      </c>
      <c r="AA8" t="n">
        <v>31637.88</v>
      </c>
      <c r="AB8" t="n">
        <v>3</v>
      </c>
      <c r="AD8" s="52">
        <f>IFERROR(N(IFERROR(INDEX($A8:$AB8,MATCH("Xero Invoiced Ex GST",$A$1:$AB$1,0)),"")),0)</f>
        <v/>
      </c>
      <c r="AE8" s="53">
        <f>IFERROR(INDEX($A8:$AB8,MATCH("Xero Invoice Date",$A$1:$AB$1,0)),"")</f>
        <v/>
      </c>
      <c r="AF8" s="54">
        <f>IF(AND(IFERROR(INDEX($A8:$AB8,MATCH("Xero Invoice No",$A$1:$AB$1,0)),"")&amp;""&lt;&gt;"",ISNUMBER(AE8),AD8&lt;&gt;0),1,0)</f>
        <v/>
      </c>
      <c r="AG8" s="55">
        <f>IF(AF8=1,EOMONTH(AE8,0),"")</f>
        <v/>
      </c>
      <c r="AH8" s="9">
        <f>IF(AF8=1,UPPER(TRIM(IFERROR(INDEX($A8:$AB8,MATCH("Client",$A$1:$AB$1,0)),"")&amp;"")),"")</f>
        <v/>
      </c>
      <c r="AI8" s="9">
        <f>IF(AF8=1,IFERROR(INDEX($A8:$AB8,MATCH("Cost Centre",$A$1:$AB$1,0)),"")&amp;"","")</f>
        <v/>
      </c>
      <c r="AJ8" s="54">
        <f>IF(AND(AF8=1,AE8&gt;=set_FYStart,AE8&lt;=set_AsAt),1,0)</f>
        <v/>
      </c>
      <c r="AK8" s="54">
        <f>IF(AND(AJ8=1,AH8&lt;&gt;"",COUNTIFS($AH$2:AH8,AH8,$AJ$2:AJ8,1)=1),N(AL7)+1,"")</f>
        <v/>
      </c>
      <c r="AL8" s="54">
        <f>IF(AK8&lt;&gt;"",AK8,N(AL7))</f>
        <v/>
      </c>
    </row>
    <row r="9">
      <c r="A9" t="inlineStr">
        <is>
          <t>PRD-0003</t>
        </is>
      </c>
      <c r="B9" t="inlineStr">
        <is>
          <t>Production</t>
        </is>
      </c>
      <c r="C9" t="inlineStr">
        <is>
          <t>26062201</t>
        </is>
      </c>
      <c r="D9" t="inlineStr">
        <is>
          <t>PWC</t>
        </is>
      </c>
      <c r="E9" t="inlineStr">
        <is>
          <t>Tax and Legal Webcast 2.7.26</t>
        </is>
      </c>
      <c r="F9" t="n">
        <v>955</v>
      </c>
      <c r="G9" t="inlineStr">
        <is>
          <t>INV-10515</t>
        </is>
      </c>
      <c r="H9" s="51" t="n">
        <v>46210</v>
      </c>
      <c r="I9" t="n">
        <v>955</v>
      </c>
      <c r="J9" t="n">
        <v>0</v>
      </c>
      <c r="K9" t="inlineStr">
        <is>
          <t>Agrees</t>
        </is>
      </c>
      <c r="N9" t="inlineStr">
        <is>
          <t>OK</t>
        </is>
      </c>
      <c r="O9" t="inlineStr">
        <is>
          <t>PWC - Tax &amp; Legal Webcast 02.07.26</t>
        </is>
      </c>
      <c r="P9" t="inlineStr">
        <is>
          <t>PRODUCTION</t>
        </is>
      </c>
      <c r="Q9" t="inlineStr">
        <is>
          <t>Project</t>
        </is>
      </c>
      <c r="R9" t="inlineStr">
        <is>
          <t>GST 10%</t>
        </is>
      </c>
      <c r="S9" t="inlineStr">
        <is>
          <t>42100</t>
        </is>
      </c>
      <c r="T9" t="inlineStr">
        <is>
          <t>6076</t>
        </is>
      </c>
      <c r="V9" t="n">
        <v>95.5</v>
      </c>
      <c r="W9" t="n">
        <v>1050.5</v>
      </c>
      <c r="X9" s="51" t="n">
        <v>46234</v>
      </c>
      <c r="Y9" t="n">
        <v>1</v>
      </c>
      <c r="Z9" t="n">
        <v>955</v>
      </c>
      <c r="AA9" t="n">
        <v>955</v>
      </c>
      <c r="AB9" t="n">
        <v>3</v>
      </c>
      <c r="AD9" s="52">
        <f>IFERROR(N(IFERROR(INDEX($A9:$AB9,MATCH("Xero Invoiced Ex GST",$A$1:$AB$1,0)),"")),0)</f>
        <v/>
      </c>
      <c r="AE9" s="53">
        <f>IFERROR(INDEX($A9:$AB9,MATCH("Xero Invoice Date",$A$1:$AB$1,0)),"")</f>
        <v/>
      </c>
      <c r="AF9" s="54">
        <f>IF(AND(IFERROR(INDEX($A9:$AB9,MATCH("Xero Invoice No",$A$1:$AB$1,0)),"")&amp;""&lt;&gt;"",ISNUMBER(AE9),AD9&lt;&gt;0),1,0)</f>
        <v/>
      </c>
      <c r="AG9" s="55">
        <f>IF(AF9=1,EOMONTH(AE9,0),"")</f>
        <v/>
      </c>
      <c r="AH9" s="9">
        <f>IF(AF9=1,UPPER(TRIM(IFERROR(INDEX($A9:$AB9,MATCH("Client",$A$1:$AB$1,0)),"")&amp;"")),"")</f>
        <v/>
      </c>
      <c r="AI9" s="9">
        <f>IF(AF9=1,IFERROR(INDEX($A9:$AB9,MATCH("Cost Centre",$A$1:$AB$1,0)),"")&amp;"","")</f>
        <v/>
      </c>
      <c r="AJ9" s="54">
        <f>IF(AND(AF9=1,AE9&gt;=set_FYStart,AE9&lt;=set_AsAt),1,0)</f>
        <v/>
      </c>
      <c r="AK9" s="54">
        <f>IF(AND(AJ9=1,AH9&lt;&gt;"",COUNTIFS($AH$2:AH9,AH9,$AJ$2:AJ9,1)=1),N(AL8)+1,"")</f>
        <v/>
      </c>
      <c r="AL9" s="54">
        <f>IF(AK9&lt;&gt;"",AK9,N(AL8))</f>
        <v/>
      </c>
    </row>
    <row r="10">
      <c r="A10" t="inlineStr">
        <is>
          <t>CON-0003</t>
        </is>
      </c>
      <c r="B10" t="inlineStr">
        <is>
          <t>Consulting</t>
        </is>
      </c>
      <c r="C10" t="inlineStr">
        <is>
          <t>25102701</t>
        </is>
      </c>
      <c r="D10" t="inlineStr">
        <is>
          <t>DEWR</t>
        </is>
      </c>
      <c r="E10" t="inlineStr">
        <is>
          <t>DEWR Studio Upgrade</t>
        </is>
      </c>
      <c r="F10" t="n">
        <v>13250</v>
      </c>
      <c r="G10" t="inlineStr">
        <is>
          <t>INV-10320</t>
        </is>
      </c>
      <c r="H10" s="51" t="n">
        <v>46104</v>
      </c>
      <c r="I10" t="n">
        <v>13250</v>
      </c>
      <c r="J10" t="n">
        <v>0</v>
      </c>
      <c r="K10" t="inlineStr">
        <is>
          <t>Agrees</t>
        </is>
      </c>
      <c r="N10" t="inlineStr">
        <is>
          <t>OK</t>
        </is>
      </c>
      <c r="O10" t="inlineStr">
        <is>
          <t>DEWR - Studio Upgrade - Consulting, Design</t>
        </is>
      </c>
      <c r="P10" t="inlineStr">
        <is>
          <t>CONSULTING</t>
        </is>
      </c>
      <c r="Q10" t="inlineStr">
        <is>
          <t>Progress Claim</t>
        </is>
      </c>
      <c r="R10" t="inlineStr">
        <is>
          <t>GST 10%</t>
        </is>
      </c>
      <c r="S10" t="inlineStr">
        <is>
          <t>42800</t>
        </is>
      </c>
      <c r="T10" t="inlineStr">
        <is>
          <t>https://cts.qwilr.com/25102701-DEWR-Studio-Upgrade-ESE25-143997-Rev-4-KTqWXx2QQz6f</t>
        </is>
      </c>
      <c r="U10" t="inlineStr">
        <is>
          <t>Status: In Progress | Progress Claim 02</t>
        </is>
      </c>
      <c r="V10" t="n">
        <v>1325</v>
      </c>
      <c r="W10" t="n">
        <v>14575</v>
      </c>
      <c r="X10" s="51" t="n">
        <v>46112</v>
      </c>
      <c r="Y10" t="n">
        <v>4</v>
      </c>
      <c r="Z10" t="n">
        <v>68273</v>
      </c>
      <c r="AA10" t="n">
        <v>68273</v>
      </c>
      <c r="AB10" t="n">
        <v>3</v>
      </c>
      <c r="AD10" s="52">
        <f>IFERROR(N(IFERROR(INDEX($A10:$AB10,MATCH("Xero Invoiced Ex GST",$A$1:$AB$1,0)),"")),0)</f>
        <v/>
      </c>
      <c r="AE10" s="53">
        <f>IFERROR(INDEX($A10:$AB10,MATCH("Xero Invoice Date",$A$1:$AB$1,0)),"")</f>
        <v/>
      </c>
      <c r="AF10" s="54">
        <f>IF(AND(IFERROR(INDEX($A10:$AB10,MATCH("Xero Invoice No",$A$1:$AB$1,0)),"")&amp;""&lt;&gt;"",ISNUMBER(AE10),AD10&lt;&gt;0),1,0)</f>
        <v/>
      </c>
      <c r="AG10" s="55">
        <f>IF(AF10=1,EOMONTH(AE10,0),"")</f>
        <v/>
      </c>
      <c r="AH10" s="9">
        <f>IF(AF10=1,UPPER(TRIM(IFERROR(INDEX($A10:$AB10,MATCH("Client",$A$1:$AB$1,0)),"")&amp;"")),"")</f>
        <v/>
      </c>
      <c r="AI10" s="9">
        <f>IF(AF10=1,IFERROR(INDEX($A10:$AB10,MATCH("Cost Centre",$A$1:$AB$1,0)),"")&amp;"","")</f>
        <v/>
      </c>
      <c r="AJ10" s="54">
        <f>IF(AND(AF10=1,AE10&gt;=set_FYStart,AE10&lt;=set_AsAt),1,0)</f>
        <v/>
      </c>
      <c r="AK10" s="54">
        <f>IF(AND(AJ10=1,AH10&lt;&gt;"",COUNTIFS($AH$2:AH10,AH10,$AJ$2:AJ10,1)=1),N(AL9)+1,"")</f>
        <v/>
      </c>
      <c r="AL10" s="54">
        <f>IF(AK10&lt;&gt;"",AK10,N(AL9))</f>
        <v/>
      </c>
    </row>
    <row r="11">
      <c r="A11" t="inlineStr">
        <is>
          <t>ONS-0004</t>
        </is>
      </c>
      <c r="B11" t="inlineStr">
        <is>
          <t>Onsite</t>
        </is>
      </c>
      <c r="C11" t="inlineStr">
        <is>
          <t>2846/1401/725/1400/1530/1862/2402/2849/974</t>
        </is>
      </c>
      <c r="D11" t="inlineStr">
        <is>
          <t>DTTL</t>
        </is>
      </c>
      <c r="E11" t="inlineStr">
        <is>
          <t>DTTL Contract July 2026</t>
        </is>
      </c>
      <c r="F11" t="n">
        <v>103625.44</v>
      </c>
      <c r="G11" t="inlineStr">
        <is>
          <t>INV-10528</t>
        </is>
      </c>
      <c r="H11" s="51" t="n">
        <v>46234</v>
      </c>
      <c r="I11" t="n">
        <v>103625.44</v>
      </c>
      <c r="J11" t="n">
        <v>0</v>
      </c>
      <c r="K11" t="inlineStr">
        <is>
          <t>Agrees</t>
        </is>
      </c>
      <c r="L11" t="inlineStr">
        <is>
          <t>Job number not in the Xero job list</t>
        </is>
      </c>
      <c r="N11" t="inlineStr">
        <is>
          <t>CHECK</t>
        </is>
      </c>
      <c r="P11" t="inlineStr">
        <is>
          <t>ONSITE</t>
        </is>
      </c>
      <c r="Q11" t="inlineStr">
        <is>
          <t>Contract</t>
        </is>
      </c>
      <c r="R11" t="inlineStr">
        <is>
          <t>GST 10%</t>
        </is>
      </c>
      <c r="S11" t="inlineStr">
        <is>
          <t>41100</t>
        </is>
      </c>
      <c r="V11" t="n">
        <v>10362.54</v>
      </c>
      <c r="W11" t="n">
        <v>113987.98</v>
      </c>
      <c r="X11" s="51" t="n">
        <v>46234</v>
      </c>
      <c r="Y11" t="n">
        <v>3</v>
      </c>
      <c r="Z11" t="n">
        <v>310876.32</v>
      </c>
      <c r="AA11" t="n">
        <v>310876.32</v>
      </c>
      <c r="AB11" t="n">
        <v>4</v>
      </c>
      <c r="AD11" s="52">
        <f>IFERROR(N(IFERROR(INDEX($A11:$AB11,MATCH("Xero Invoiced Ex GST",$A$1:$AB$1,0)),"")),0)</f>
        <v/>
      </c>
      <c r="AE11" s="53">
        <f>IFERROR(INDEX($A11:$AB11,MATCH("Xero Invoice Date",$A$1:$AB$1,0)),"")</f>
        <v/>
      </c>
      <c r="AF11" s="54">
        <f>IF(AND(IFERROR(INDEX($A11:$AB11,MATCH("Xero Invoice No",$A$1:$AB$1,0)),"")&amp;""&lt;&gt;"",ISNUMBER(AE11),AD11&lt;&gt;0),1,0)</f>
        <v/>
      </c>
      <c r="AG11" s="55">
        <f>IF(AF11=1,EOMONTH(AE11,0),"")</f>
        <v/>
      </c>
      <c r="AH11" s="9">
        <f>IF(AF11=1,UPPER(TRIM(IFERROR(INDEX($A11:$AB11,MATCH("Client",$A$1:$AB$1,0)),"")&amp;"")),"")</f>
        <v/>
      </c>
      <c r="AI11" s="9">
        <f>IF(AF11=1,IFERROR(INDEX($A11:$AB11,MATCH("Cost Centre",$A$1:$AB$1,0)),"")&amp;"","")</f>
        <v/>
      </c>
      <c r="AJ11" s="54">
        <f>IF(AND(AF11=1,AE11&gt;=set_FYStart,AE11&lt;=set_AsAt),1,0)</f>
        <v/>
      </c>
      <c r="AK11" s="54">
        <f>IF(AND(AJ11=1,AH11&lt;&gt;"",COUNTIFS($AH$2:AH11,AH11,$AJ$2:AJ11,1)=1),N(AL10)+1,"")</f>
        <v/>
      </c>
      <c r="AL11" s="54">
        <f>IF(AK11&lt;&gt;"",AK11,N(AL10))</f>
        <v/>
      </c>
    </row>
    <row r="12">
      <c r="A12" t="inlineStr">
        <is>
          <t>PRD-0004</t>
        </is>
      </c>
      <c r="B12" t="inlineStr">
        <is>
          <t>Production</t>
        </is>
      </c>
      <c r="C12" t="inlineStr">
        <is>
          <t>2605802</t>
        </is>
      </c>
      <c r="D12" t="inlineStr">
        <is>
          <t>Elkiem - PM** Cancelled</t>
        </is>
      </c>
      <c r="E12" t="inlineStr">
        <is>
          <t>Elkiem Studio Support | 15.7.26</t>
        </is>
      </c>
      <c r="F12" t="n">
        <v>261.25</v>
      </c>
      <c r="G12" t="inlineStr">
        <is>
          <t>INV-10524</t>
        </is>
      </c>
      <c r="H12" s="51" t="n">
        <v>46219</v>
      </c>
      <c r="I12" t="n">
        <v>261.25</v>
      </c>
      <c r="J12" t="n">
        <v>0</v>
      </c>
      <c r="K12" t="inlineStr">
        <is>
          <t>Agrees</t>
        </is>
      </c>
      <c r="L12" t="inlineStr">
        <is>
          <t>Job number not in the Xero job list</t>
        </is>
      </c>
      <c r="N12" t="inlineStr">
        <is>
          <t>CHECK</t>
        </is>
      </c>
      <c r="P12" t="inlineStr">
        <is>
          <t>PRODUCTION</t>
        </is>
      </c>
      <c r="Q12" t="inlineStr">
        <is>
          <t>Project</t>
        </is>
      </c>
      <c r="R12" t="inlineStr">
        <is>
          <t>GST 10%</t>
        </is>
      </c>
      <c r="S12" t="inlineStr">
        <is>
          <t>42100</t>
        </is>
      </c>
      <c r="T12" t="inlineStr">
        <is>
          <t>6013</t>
        </is>
      </c>
      <c r="V12" t="n">
        <v>26.13</v>
      </c>
      <c r="W12" t="n">
        <v>287.38</v>
      </c>
      <c r="X12" s="51" t="n">
        <v>46234</v>
      </c>
      <c r="Y12" t="n">
        <v>1</v>
      </c>
      <c r="Z12" t="n">
        <v>261.25</v>
      </c>
      <c r="AA12" t="n">
        <v>261.25</v>
      </c>
      <c r="AB12" t="n">
        <v>4</v>
      </c>
      <c r="AD12" s="52">
        <f>IFERROR(N(IFERROR(INDEX($A12:$AB12,MATCH("Xero Invoiced Ex GST",$A$1:$AB$1,0)),"")),0)</f>
        <v/>
      </c>
      <c r="AE12" s="53">
        <f>IFERROR(INDEX($A12:$AB12,MATCH("Xero Invoice Date",$A$1:$AB$1,0)),"")</f>
        <v/>
      </c>
      <c r="AF12" s="54">
        <f>IF(AND(IFERROR(INDEX($A12:$AB12,MATCH("Xero Invoice No",$A$1:$AB$1,0)),"")&amp;""&lt;&gt;"",ISNUMBER(AE12),AD12&lt;&gt;0),1,0)</f>
        <v/>
      </c>
      <c r="AG12" s="55">
        <f>IF(AF12=1,EOMONTH(AE12,0),"")</f>
        <v/>
      </c>
      <c r="AH12" s="9">
        <f>IF(AF12=1,UPPER(TRIM(IFERROR(INDEX($A12:$AB12,MATCH("Client",$A$1:$AB$1,0)),"")&amp;"")),"")</f>
        <v/>
      </c>
      <c r="AI12" s="9">
        <f>IF(AF12=1,IFERROR(INDEX($A12:$AB12,MATCH("Cost Centre",$A$1:$AB$1,0)),"")&amp;"","")</f>
        <v/>
      </c>
      <c r="AJ12" s="54">
        <f>IF(AND(AF12=1,AE12&gt;=set_FYStart,AE12&lt;=set_AsAt),1,0)</f>
        <v/>
      </c>
      <c r="AK12" s="54">
        <f>IF(AND(AJ12=1,AH12&lt;&gt;"",COUNTIFS($AH$2:AH12,AH12,$AJ$2:AJ12,1)=1),N(AL11)+1,"")</f>
        <v/>
      </c>
      <c r="AL12" s="54">
        <f>IF(AK12&lt;&gt;"",AK12,N(AL11))</f>
        <v/>
      </c>
    </row>
    <row r="13">
      <c r="A13" t="inlineStr">
        <is>
          <t>CON-0004</t>
        </is>
      </c>
      <c r="B13" t="inlineStr">
        <is>
          <t>Consulting</t>
        </is>
      </c>
      <c r="C13" t="inlineStr">
        <is>
          <t>25102701</t>
        </is>
      </c>
      <c r="D13" t="inlineStr">
        <is>
          <t>DEWR</t>
        </is>
      </c>
      <c r="E13" t="inlineStr">
        <is>
          <t>DEWR Studio Upgrade</t>
        </is>
      </c>
      <c r="F13" t="n">
        <v>24410</v>
      </c>
      <c r="G13" t="inlineStr">
        <is>
          <t>INV-10353</t>
        </is>
      </c>
      <c r="H13" s="51" t="n">
        <v>46128</v>
      </c>
      <c r="I13" t="n">
        <v>24410</v>
      </c>
      <c r="J13" t="n">
        <v>0</v>
      </c>
      <c r="K13" t="inlineStr">
        <is>
          <t>Agrees</t>
        </is>
      </c>
      <c r="N13" t="inlineStr">
        <is>
          <t>OK</t>
        </is>
      </c>
      <c r="O13" t="inlineStr">
        <is>
          <t>DEWR - Studio Upgrade - Consulting, Design</t>
        </is>
      </c>
      <c r="P13" t="inlineStr">
        <is>
          <t>CONSULTING</t>
        </is>
      </c>
      <c r="Q13" t="inlineStr">
        <is>
          <t>Progress Claim</t>
        </is>
      </c>
      <c r="R13" t="inlineStr">
        <is>
          <t>GST 10%</t>
        </is>
      </c>
      <c r="S13" t="inlineStr">
        <is>
          <t>42800</t>
        </is>
      </c>
      <c r="T13" t="inlineStr">
        <is>
          <t>https://cts.qwilr.com/25102701-DEWR-Studio-Upgrade-ESE25-143997-Rev-4-KTqWXx2QQz6f</t>
        </is>
      </c>
      <c r="U13" t="inlineStr">
        <is>
          <t>Status: In Progress | Progress Claim 03</t>
        </is>
      </c>
      <c r="V13" t="n">
        <v>2441</v>
      </c>
      <c r="W13" t="n">
        <v>26851</v>
      </c>
      <c r="X13" s="51" t="n">
        <v>46142</v>
      </c>
      <c r="Y13" t="n">
        <v>4</v>
      </c>
      <c r="Z13" t="n">
        <v>68273</v>
      </c>
      <c r="AA13" t="n">
        <v>68273</v>
      </c>
      <c r="AB13" t="n">
        <v>4</v>
      </c>
      <c r="AD13" s="52">
        <f>IFERROR(N(IFERROR(INDEX($A13:$AB13,MATCH("Xero Invoiced Ex GST",$A$1:$AB$1,0)),"")),0)</f>
        <v/>
      </c>
      <c r="AE13" s="53">
        <f>IFERROR(INDEX($A13:$AB13,MATCH("Xero Invoice Date",$A$1:$AB$1,0)),"")</f>
        <v/>
      </c>
      <c r="AF13" s="54">
        <f>IF(AND(IFERROR(INDEX($A13:$AB13,MATCH("Xero Invoice No",$A$1:$AB$1,0)),"")&amp;""&lt;&gt;"",ISNUMBER(AE13),AD13&lt;&gt;0),1,0)</f>
        <v/>
      </c>
      <c r="AG13" s="55">
        <f>IF(AF13=1,EOMONTH(AE13,0),"")</f>
        <v/>
      </c>
      <c r="AH13" s="9">
        <f>IF(AF13=1,UPPER(TRIM(IFERROR(INDEX($A13:$AB13,MATCH("Client",$A$1:$AB$1,0)),"")&amp;"")),"")</f>
        <v/>
      </c>
      <c r="AI13" s="9">
        <f>IF(AF13=1,IFERROR(INDEX($A13:$AB13,MATCH("Cost Centre",$A$1:$AB$1,0)),"")&amp;"","")</f>
        <v/>
      </c>
      <c r="AJ13" s="54">
        <f>IF(AND(AF13=1,AE13&gt;=set_FYStart,AE13&lt;=set_AsAt),1,0)</f>
        <v/>
      </c>
      <c r="AK13" s="54">
        <f>IF(AND(AJ13=1,AH13&lt;&gt;"",COUNTIFS($AH$2:AH13,AH13,$AJ$2:AJ13,1)=1),N(AL12)+1,"")</f>
        <v/>
      </c>
      <c r="AL13" s="54">
        <f>IF(AK13&lt;&gt;"",AK13,N(AL12))</f>
        <v/>
      </c>
    </row>
    <row r="14">
      <c r="A14" t="inlineStr">
        <is>
          <t>ONS-0005</t>
        </is>
      </c>
      <c r="B14" t="inlineStr">
        <is>
          <t>Onsite</t>
        </is>
      </c>
      <c r="C14" t="inlineStr">
        <is>
          <t>732/1144</t>
        </is>
      </c>
      <c r="D14" t="inlineStr">
        <is>
          <t>BW</t>
        </is>
      </c>
      <c r="E14" t="inlineStr">
        <is>
          <t>BW Contract July 2026</t>
        </is>
      </c>
      <c r="F14" t="n">
        <v>19427.5</v>
      </c>
      <c r="G14" t="inlineStr">
        <is>
          <t>INV-10529</t>
        </is>
      </c>
      <c r="H14" s="51" t="n">
        <v>46234</v>
      </c>
      <c r="I14" t="n">
        <v>19427.5</v>
      </c>
      <c r="J14" t="n">
        <v>0</v>
      </c>
      <c r="K14" t="inlineStr">
        <is>
          <t>Agrees</t>
        </is>
      </c>
      <c r="L14" t="inlineStr">
        <is>
          <t>Job number not in the Xero job list</t>
        </is>
      </c>
      <c r="N14" t="inlineStr">
        <is>
          <t>CHECK</t>
        </is>
      </c>
      <c r="P14" t="inlineStr">
        <is>
          <t>ONSITE</t>
        </is>
      </c>
      <c r="Q14" t="inlineStr">
        <is>
          <t>Contract</t>
        </is>
      </c>
      <c r="R14" t="inlineStr">
        <is>
          <t>GST 10%</t>
        </is>
      </c>
      <c r="S14" t="inlineStr">
        <is>
          <t>41100</t>
        </is>
      </c>
      <c r="V14" t="n">
        <v>1942.75</v>
      </c>
      <c r="W14" t="n">
        <v>21370.25</v>
      </c>
      <c r="X14" s="51" t="n">
        <v>46234</v>
      </c>
      <c r="Y14" t="n">
        <v>3</v>
      </c>
      <c r="Z14" t="n">
        <v>53823.75</v>
      </c>
      <c r="AA14" t="n">
        <v>53823.75</v>
      </c>
      <c r="AB14" t="n">
        <v>5</v>
      </c>
      <c r="AD14" s="52">
        <f>IFERROR(N(IFERROR(INDEX($A14:$AB14,MATCH("Xero Invoiced Ex GST",$A$1:$AB$1,0)),"")),0)</f>
        <v/>
      </c>
      <c r="AE14" s="53">
        <f>IFERROR(INDEX($A14:$AB14,MATCH("Xero Invoice Date",$A$1:$AB$1,0)),"")</f>
        <v/>
      </c>
      <c r="AF14" s="54">
        <f>IF(AND(IFERROR(INDEX($A14:$AB14,MATCH("Xero Invoice No",$A$1:$AB$1,0)),"")&amp;""&lt;&gt;"",ISNUMBER(AE14),AD14&lt;&gt;0),1,0)</f>
        <v/>
      </c>
      <c r="AG14" s="55">
        <f>IF(AF14=1,EOMONTH(AE14,0),"")</f>
        <v/>
      </c>
      <c r="AH14" s="9">
        <f>IF(AF14=1,UPPER(TRIM(IFERROR(INDEX($A14:$AB14,MATCH("Client",$A$1:$AB$1,0)),"")&amp;"")),"")</f>
        <v/>
      </c>
      <c r="AI14" s="9">
        <f>IF(AF14=1,IFERROR(INDEX($A14:$AB14,MATCH("Cost Centre",$A$1:$AB$1,0)),"")&amp;"","")</f>
        <v/>
      </c>
      <c r="AJ14" s="54">
        <f>IF(AND(AF14=1,AE14&gt;=set_FYStart,AE14&lt;=set_AsAt),1,0)</f>
        <v/>
      </c>
      <c r="AK14" s="54">
        <f>IF(AND(AJ14=1,AH14&lt;&gt;"",COUNTIFS($AH$2:AH14,AH14,$AJ$2:AJ14,1)=1),N(AL13)+1,"")</f>
        <v/>
      </c>
      <c r="AL14" s="54">
        <f>IF(AK14&lt;&gt;"",AK14,N(AL13))</f>
        <v/>
      </c>
    </row>
    <row r="15">
      <c r="A15" t="inlineStr">
        <is>
          <t>PRD-0005</t>
        </is>
      </c>
      <c r="B15" t="inlineStr">
        <is>
          <t>Production</t>
        </is>
      </c>
      <c r="C15" t="inlineStr">
        <is>
          <t>2607701</t>
        </is>
      </c>
      <c r="D15" t="inlineStr">
        <is>
          <t>Litecard</t>
        </is>
      </c>
      <c r="E15" t="inlineStr">
        <is>
          <t>Screen &amp; Mic Hire 16.7.26</t>
        </is>
      </c>
      <c r="F15" t="n">
        <v>500</v>
      </c>
      <c r="G15" t="inlineStr">
        <is>
          <t>INV-10518</t>
        </is>
      </c>
      <c r="H15" s="51" t="n">
        <v>46210</v>
      </c>
      <c r="I15" t="n">
        <v>500</v>
      </c>
      <c r="J15" t="n">
        <v>0</v>
      </c>
      <c r="K15" t="inlineStr">
        <is>
          <t>Agrees</t>
        </is>
      </c>
      <c r="L15" t="inlineStr">
        <is>
          <t>Job number not in the Xero job list</t>
        </is>
      </c>
      <c r="N15" t="inlineStr">
        <is>
          <t>CHECK</t>
        </is>
      </c>
      <c r="P15" t="inlineStr">
        <is>
          <t>PRODUCTION</t>
        </is>
      </c>
      <c r="Q15" t="inlineStr">
        <is>
          <t>Project</t>
        </is>
      </c>
      <c r="R15" t="inlineStr">
        <is>
          <t>GST 10%</t>
        </is>
      </c>
      <c r="S15" t="inlineStr">
        <is>
          <t>42100</t>
        </is>
      </c>
      <c r="T15" t="inlineStr">
        <is>
          <t>6089</t>
        </is>
      </c>
      <c r="V15" t="n">
        <v>50</v>
      </c>
      <c r="W15" t="n">
        <v>550</v>
      </c>
      <c r="X15" s="51" t="n">
        <v>46234</v>
      </c>
      <c r="Y15" t="n">
        <v>2</v>
      </c>
      <c r="Z15" t="n">
        <v>500</v>
      </c>
      <c r="AA15" t="n">
        <v>500</v>
      </c>
      <c r="AB15" t="n">
        <v>5</v>
      </c>
      <c r="AD15" s="52">
        <f>IFERROR(N(IFERROR(INDEX($A15:$AB15,MATCH("Xero Invoiced Ex GST",$A$1:$AB$1,0)),"")),0)</f>
        <v/>
      </c>
      <c r="AE15" s="53">
        <f>IFERROR(INDEX($A15:$AB15,MATCH("Xero Invoice Date",$A$1:$AB$1,0)),"")</f>
        <v/>
      </c>
      <c r="AF15" s="54">
        <f>IF(AND(IFERROR(INDEX($A15:$AB15,MATCH("Xero Invoice No",$A$1:$AB$1,0)),"")&amp;""&lt;&gt;"",ISNUMBER(AE15),AD15&lt;&gt;0),1,0)</f>
        <v/>
      </c>
      <c r="AG15" s="55">
        <f>IF(AF15=1,EOMONTH(AE15,0),"")</f>
        <v/>
      </c>
      <c r="AH15" s="9">
        <f>IF(AF15=1,UPPER(TRIM(IFERROR(INDEX($A15:$AB15,MATCH("Client",$A$1:$AB$1,0)),"")&amp;"")),"")</f>
        <v/>
      </c>
      <c r="AI15" s="9">
        <f>IF(AF15=1,IFERROR(INDEX($A15:$AB15,MATCH("Cost Centre",$A$1:$AB$1,0)),"")&amp;"","")</f>
        <v/>
      </c>
      <c r="AJ15" s="54">
        <f>IF(AND(AF15=1,AE15&gt;=set_FYStart,AE15&lt;=set_AsAt),1,0)</f>
        <v/>
      </c>
      <c r="AK15" s="54">
        <f>IF(AND(AJ15=1,AH15&lt;&gt;"",COUNTIFS($AH$2:AH15,AH15,$AJ$2:AJ15,1)=1),N(AL14)+1,"")</f>
        <v/>
      </c>
      <c r="AL15" s="54">
        <f>IF(AK15&lt;&gt;"",AK15,N(AL14))</f>
        <v/>
      </c>
    </row>
    <row r="16">
      <c r="A16" t="inlineStr">
        <is>
          <t>CON-0005</t>
        </is>
      </c>
      <c r="B16" t="inlineStr">
        <is>
          <t>Consulting</t>
        </is>
      </c>
      <c r="C16" t="inlineStr">
        <is>
          <t>26052002</t>
        </is>
      </c>
      <c r="D16" t="inlineStr">
        <is>
          <t>DTTL</t>
        </is>
      </c>
      <c r="E16" t="inlineStr">
        <is>
          <t>BNE ​L23 Training Rooms Upgrade</t>
        </is>
      </c>
      <c r="F16" t="n">
        <v>57706</v>
      </c>
      <c r="G16" t="inlineStr">
        <is>
          <t>INV-10425</t>
        </is>
      </c>
      <c r="H16" s="51" t="n">
        <v>46162</v>
      </c>
      <c r="I16" t="n">
        <v>57706</v>
      </c>
      <c r="J16" t="n">
        <v>0</v>
      </c>
      <c r="K16" t="inlineStr">
        <is>
          <t>Agrees</t>
        </is>
      </c>
      <c r="N16" t="inlineStr">
        <is>
          <t>OK</t>
        </is>
      </c>
      <c r="O16" t="inlineStr">
        <is>
          <t>DTTL BNE L23 Training Rooms Upgrade</t>
        </is>
      </c>
      <c r="P16" t="inlineStr">
        <is>
          <t>INTEGRATION</t>
        </is>
      </c>
      <c r="Q16" t="inlineStr">
        <is>
          <t>Project</t>
        </is>
      </c>
      <c r="R16" t="inlineStr">
        <is>
          <t>GST 10%</t>
        </is>
      </c>
      <c r="S16" t="inlineStr">
        <is>
          <t>42300</t>
        </is>
      </c>
      <c r="T16" t="inlineStr">
        <is>
          <t>https://cts.qwilr.com/26052002-DeloitteBNE-Proposal-v1-0-Agx8wV5qTcax</t>
        </is>
      </c>
      <c r="U16" t="inlineStr">
        <is>
          <t>Status: In Progress</t>
        </is>
      </c>
      <c r="V16" t="n">
        <v>5770.6</v>
      </c>
      <c r="W16" t="n">
        <v>63476.6</v>
      </c>
      <c r="X16" s="51" t="n">
        <v>46173</v>
      </c>
      <c r="Y16" t="n">
        <v>1</v>
      </c>
      <c r="Z16" t="n">
        <v>57706</v>
      </c>
      <c r="AA16" t="n">
        <v>57706</v>
      </c>
      <c r="AB16" t="n">
        <v>5</v>
      </c>
      <c r="AD16" s="52">
        <f>IFERROR(N(IFERROR(INDEX($A16:$AB16,MATCH("Xero Invoiced Ex GST",$A$1:$AB$1,0)),"")),0)</f>
        <v/>
      </c>
      <c r="AE16" s="53">
        <f>IFERROR(INDEX($A16:$AB16,MATCH("Xero Invoice Date",$A$1:$AB$1,0)),"")</f>
        <v/>
      </c>
      <c r="AF16" s="54">
        <f>IF(AND(IFERROR(INDEX($A16:$AB16,MATCH("Xero Invoice No",$A$1:$AB$1,0)),"")&amp;""&lt;&gt;"",ISNUMBER(AE16),AD16&lt;&gt;0),1,0)</f>
        <v/>
      </c>
      <c r="AG16" s="55">
        <f>IF(AF16=1,EOMONTH(AE16,0),"")</f>
        <v/>
      </c>
      <c r="AH16" s="9">
        <f>IF(AF16=1,UPPER(TRIM(IFERROR(INDEX($A16:$AB16,MATCH("Client",$A$1:$AB$1,0)),"")&amp;"")),"")</f>
        <v/>
      </c>
      <c r="AI16" s="9">
        <f>IF(AF16=1,IFERROR(INDEX($A16:$AB16,MATCH("Cost Centre",$A$1:$AB$1,0)),"")&amp;"","")</f>
        <v/>
      </c>
      <c r="AJ16" s="54">
        <f>IF(AND(AF16=1,AE16&gt;=set_FYStart,AE16&lt;=set_AsAt),1,0)</f>
        <v/>
      </c>
      <c r="AK16" s="54">
        <f>IF(AND(AJ16=1,AH16&lt;&gt;"",COUNTIFS($AH$2:AH16,AH16,$AJ$2:AJ16,1)=1),N(AL15)+1,"")</f>
        <v/>
      </c>
      <c r="AL16" s="54">
        <f>IF(AK16&lt;&gt;"",AK16,N(AL15))</f>
        <v/>
      </c>
    </row>
    <row r="17">
      <c r="A17" t="inlineStr">
        <is>
          <t>ONS-0006</t>
        </is>
      </c>
      <c r="B17" t="inlineStr">
        <is>
          <t>Onsite</t>
        </is>
      </c>
      <c r="C17" t="inlineStr">
        <is>
          <t>2192</t>
        </is>
      </c>
      <c r="D17" t="inlineStr">
        <is>
          <t>BW</t>
        </is>
      </c>
      <c r="E17" t="inlineStr">
        <is>
          <t>BW Additionals July 2026</t>
        </is>
      </c>
      <c r="F17" t="n">
        <v>1120</v>
      </c>
      <c r="G17" t="inlineStr">
        <is>
          <t>INV-10530</t>
        </is>
      </c>
      <c r="H17" s="51" t="n">
        <v>46234</v>
      </c>
      <c r="I17" t="n">
        <v>1120</v>
      </c>
      <c r="J17" t="n">
        <v>0</v>
      </c>
      <c r="K17" t="inlineStr">
        <is>
          <t>Agrees</t>
        </is>
      </c>
      <c r="N17" t="inlineStr">
        <is>
          <t>OK</t>
        </is>
      </c>
      <c r="O17" t="inlineStr">
        <is>
          <t>Bankwest Additional Tech</t>
        </is>
      </c>
      <c r="P17" t="inlineStr">
        <is>
          <t>ONSITE</t>
        </is>
      </c>
      <c r="Q17" t="inlineStr">
        <is>
          <t>Ad-hoc</t>
        </is>
      </c>
      <c r="R17" t="inlineStr">
        <is>
          <t>GST 10%</t>
        </is>
      </c>
      <c r="S17" t="inlineStr">
        <is>
          <t>41100</t>
        </is>
      </c>
      <c r="V17" t="n">
        <v>112</v>
      </c>
      <c r="W17" t="n">
        <v>1232</v>
      </c>
      <c r="X17" s="51" t="n">
        <v>46234</v>
      </c>
      <c r="Y17" t="n">
        <v>2</v>
      </c>
      <c r="Z17" t="n">
        <v>3200</v>
      </c>
      <c r="AA17" t="n">
        <v>3200</v>
      </c>
      <c r="AB17" t="n">
        <v>6</v>
      </c>
      <c r="AD17" s="52">
        <f>IFERROR(N(IFERROR(INDEX($A17:$AB17,MATCH("Xero Invoiced Ex GST",$A$1:$AB$1,0)),"")),0)</f>
        <v/>
      </c>
      <c r="AE17" s="53">
        <f>IFERROR(INDEX($A17:$AB17,MATCH("Xero Invoice Date",$A$1:$AB$1,0)),"")</f>
        <v/>
      </c>
      <c r="AF17" s="54">
        <f>IF(AND(IFERROR(INDEX($A17:$AB17,MATCH("Xero Invoice No",$A$1:$AB$1,0)),"")&amp;""&lt;&gt;"",ISNUMBER(AE17),AD17&lt;&gt;0),1,0)</f>
        <v/>
      </c>
      <c r="AG17" s="55">
        <f>IF(AF17=1,EOMONTH(AE17,0),"")</f>
        <v/>
      </c>
      <c r="AH17" s="9">
        <f>IF(AF17=1,UPPER(TRIM(IFERROR(INDEX($A17:$AB17,MATCH("Client",$A$1:$AB$1,0)),"")&amp;"")),"")</f>
        <v/>
      </c>
      <c r="AI17" s="9">
        <f>IF(AF17=1,IFERROR(INDEX($A17:$AB17,MATCH("Cost Centre",$A$1:$AB$1,0)),"")&amp;"","")</f>
        <v/>
      </c>
      <c r="AJ17" s="54">
        <f>IF(AND(AF17=1,AE17&gt;=set_FYStart,AE17&lt;=set_AsAt),1,0)</f>
        <v/>
      </c>
      <c r="AK17" s="54">
        <f>IF(AND(AJ17=1,AH17&lt;&gt;"",COUNTIFS($AH$2:AH17,AH17,$AJ$2:AJ17,1)=1),N(AL16)+1,"")</f>
        <v/>
      </c>
      <c r="AL17" s="54">
        <f>IF(AK17&lt;&gt;"",AK17,N(AL16))</f>
        <v/>
      </c>
    </row>
    <row r="18">
      <c r="A18" t="inlineStr">
        <is>
          <t>PRD-0006</t>
        </is>
      </c>
      <c r="B18" t="inlineStr">
        <is>
          <t>Production</t>
        </is>
      </c>
      <c r="C18" t="inlineStr">
        <is>
          <t>2607701</t>
        </is>
      </c>
      <c r="D18" t="inlineStr">
        <is>
          <t>Litecard</t>
        </is>
      </c>
      <c r="E18" t="inlineStr">
        <is>
          <t>Litecard - Event Photographer - 16.7.26</t>
        </is>
      </c>
      <c r="F18" t="n">
        <v>0</v>
      </c>
      <c r="G18" t="inlineStr">
        <is>
          <t>INV-10522</t>
        </is>
      </c>
      <c r="H18" s="51" t="n">
        <v>46216</v>
      </c>
      <c r="I18" t="n">
        <v>0</v>
      </c>
      <c r="J18" t="n">
        <v>0</v>
      </c>
      <c r="K18" t="inlineStr">
        <is>
          <t>Agrees</t>
        </is>
      </c>
      <c r="L18" t="inlineStr">
        <is>
          <t>Job number not in the Xero job list</t>
        </is>
      </c>
      <c r="N18" t="inlineStr">
        <is>
          <t>CHECK</t>
        </is>
      </c>
      <c r="P18" t="inlineStr">
        <is>
          <t>PRODUCTION</t>
        </is>
      </c>
      <c r="Q18" t="inlineStr">
        <is>
          <t>Project</t>
        </is>
      </c>
      <c r="R18" t="inlineStr">
        <is>
          <t>GST 10%</t>
        </is>
      </c>
      <c r="S18" t="inlineStr">
        <is>
          <t>42100</t>
        </is>
      </c>
      <c r="T18" t="inlineStr">
        <is>
          <t>6102</t>
        </is>
      </c>
      <c r="V18" t="n">
        <v>0</v>
      </c>
      <c r="W18" t="n">
        <v>0</v>
      </c>
      <c r="X18" s="51" t="n">
        <v>46234</v>
      </c>
      <c r="Y18" t="n">
        <v>2</v>
      </c>
      <c r="Z18" t="n">
        <v>500</v>
      </c>
      <c r="AA18" t="n">
        <v>500</v>
      </c>
      <c r="AB18" t="n">
        <v>6</v>
      </c>
      <c r="AD18" s="52">
        <f>IFERROR(N(IFERROR(INDEX($A18:$AB18,MATCH("Xero Invoiced Ex GST",$A$1:$AB$1,0)),"")),0)</f>
        <v/>
      </c>
      <c r="AE18" s="53">
        <f>IFERROR(INDEX($A18:$AB18,MATCH("Xero Invoice Date",$A$1:$AB$1,0)),"")</f>
        <v/>
      </c>
      <c r="AF18" s="54">
        <f>IF(AND(IFERROR(INDEX($A18:$AB18,MATCH("Xero Invoice No",$A$1:$AB$1,0)),"")&amp;""&lt;&gt;"",ISNUMBER(AE18),AD18&lt;&gt;0),1,0)</f>
        <v/>
      </c>
      <c r="AG18" s="55">
        <f>IF(AF18=1,EOMONTH(AE18,0),"")</f>
        <v/>
      </c>
      <c r="AH18" s="9">
        <f>IF(AF18=1,UPPER(TRIM(IFERROR(INDEX($A18:$AB18,MATCH("Client",$A$1:$AB$1,0)),"")&amp;"")),"")</f>
        <v/>
      </c>
      <c r="AI18" s="9">
        <f>IF(AF18=1,IFERROR(INDEX($A18:$AB18,MATCH("Cost Centre",$A$1:$AB$1,0)),"")&amp;"","")</f>
        <v/>
      </c>
      <c r="AJ18" s="54">
        <f>IF(AND(AF18=1,AE18&gt;=set_FYStart,AE18&lt;=set_AsAt),1,0)</f>
        <v/>
      </c>
      <c r="AK18" s="54">
        <f>IF(AND(AJ18=1,AH18&lt;&gt;"",COUNTIFS($AH$2:AH18,AH18,$AJ$2:AJ18,1)=1),N(AL17)+1,"")</f>
        <v/>
      </c>
      <c r="AL18" s="54">
        <f>IF(AK18&lt;&gt;"",AK18,N(AL17))</f>
        <v/>
      </c>
    </row>
    <row r="19">
      <c r="A19" t="inlineStr">
        <is>
          <t>CON-0006</t>
        </is>
      </c>
      <c r="B19" t="inlineStr">
        <is>
          <t>Consulting</t>
        </is>
      </c>
      <c r="C19" t="inlineStr">
        <is>
          <t>26052003</t>
        </is>
      </c>
      <c r="D19" t="inlineStr">
        <is>
          <t>DTTL</t>
        </is>
      </c>
      <c r="E19" t="inlineStr">
        <is>
          <t>SYD Mobile Display Supply</t>
        </is>
      </c>
      <c r="F19" t="n">
        <v>26234</v>
      </c>
      <c r="G19" t="inlineStr">
        <is>
          <t>INV-10426</t>
        </is>
      </c>
      <c r="H19" s="51" t="n">
        <v>46163</v>
      </c>
      <c r="I19" t="n">
        <v>26234</v>
      </c>
      <c r="J19" t="n">
        <v>0</v>
      </c>
      <c r="K19" t="inlineStr">
        <is>
          <t>Agrees</t>
        </is>
      </c>
      <c r="N19" t="inlineStr">
        <is>
          <t>OK</t>
        </is>
      </c>
      <c r="O19" t="inlineStr">
        <is>
          <t>DTTL Mobile Commbox Displays</t>
        </is>
      </c>
      <c r="P19" t="inlineStr">
        <is>
          <t>INTEGRATION</t>
        </is>
      </c>
      <c r="Q19" t="inlineStr">
        <is>
          <t>Project</t>
        </is>
      </c>
      <c r="R19" t="inlineStr">
        <is>
          <t>GST 10%</t>
        </is>
      </c>
      <c r="S19" t="inlineStr">
        <is>
          <t>42300</t>
        </is>
      </c>
      <c r="T19" t="inlineStr">
        <is>
          <t>https://cts.qwilr.com/26052003-DTTL-Costing-v1-0-0mJlWQroQJWo</t>
        </is>
      </c>
      <c r="U19" t="inlineStr">
        <is>
          <t>Status: Closed</t>
        </is>
      </c>
      <c r="V19" t="n">
        <v>2623.4</v>
      </c>
      <c r="W19" t="n">
        <v>28857.4</v>
      </c>
      <c r="X19" s="51" t="n">
        <v>46173</v>
      </c>
      <c r="Y19" t="n">
        <v>2</v>
      </c>
      <c r="Z19" t="n">
        <v>33939</v>
      </c>
      <c r="AA19" t="n">
        <v>33939</v>
      </c>
      <c r="AB19" t="n">
        <v>6</v>
      </c>
      <c r="AD19" s="52">
        <f>IFERROR(N(IFERROR(INDEX($A19:$AB19,MATCH("Xero Invoiced Ex GST",$A$1:$AB$1,0)),"")),0)</f>
        <v/>
      </c>
      <c r="AE19" s="53">
        <f>IFERROR(INDEX($A19:$AB19,MATCH("Xero Invoice Date",$A$1:$AB$1,0)),"")</f>
        <v/>
      </c>
      <c r="AF19" s="54">
        <f>IF(AND(IFERROR(INDEX($A19:$AB19,MATCH("Xero Invoice No",$A$1:$AB$1,0)),"")&amp;""&lt;&gt;"",ISNUMBER(AE19),AD19&lt;&gt;0),1,0)</f>
        <v/>
      </c>
      <c r="AG19" s="55">
        <f>IF(AF19=1,EOMONTH(AE19,0),"")</f>
        <v/>
      </c>
      <c r="AH19" s="9">
        <f>IF(AF19=1,UPPER(TRIM(IFERROR(INDEX($A19:$AB19,MATCH("Client",$A$1:$AB$1,0)),"")&amp;"")),"")</f>
        <v/>
      </c>
      <c r="AI19" s="9">
        <f>IF(AF19=1,IFERROR(INDEX($A19:$AB19,MATCH("Cost Centre",$A$1:$AB$1,0)),"")&amp;"","")</f>
        <v/>
      </c>
      <c r="AJ19" s="54">
        <f>IF(AND(AF19=1,AE19&gt;=set_FYStart,AE19&lt;=set_AsAt),1,0)</f>
        <v/>
      </c>
      <c r="AK19" s="54">
        <f>IF(AND(AJ19=1,AH19&lt;&gt;"",COUNTIFS($AH$2:AH19,AH19,$AJ$2:AJ19,1)=1),N(AL18)+1,"")</f>
        <v/>
      </c>
      <c r="AL19" s="54">
        <f>IF(AK19&lt;&gt;"",AK19,N(AL18))</f>
        <v/>
      </c>
    </row>
    <row r="20">
      <c r="A20" t="inlineStr">
        <is>
          <t>ONS-0007</t>
        </is>
      </c>
      <c r="B20" t="inlineStr">
        <is>
          <t>Onsite</t>
        </is>
      </c>
      <c r="C20" t="inlineStr">
        <is>
          <t>2488</t>
        </is>
      </c>
      <c r="D20" t="inlineStr">
        <is>
          <t>PWC</t>
        </is>
      </c>
      <c r="E20" t="inlineStr">
        <is>
          <t>PWC Brisbane July 2026</t>
        </is>
      </c>
      <c r="F20" t="n">
        <v>7150</v>
      </c>
      <c r="G20" t="inlineStr">
        <is>
          <t>INV-10531</t>
        </is>
      </c>
      <c r="H20" s="51" t="n">
        <v>46234</v>
      </c>
      <c r="I20" t="n">
        <v>7150</v>
      </c>
      <c r="J20" t="n">
        <v>0</v>
      </c>
      <c r="K20" t="inlineStr">
        <is>
          <t>Agrees</t>
        </is>
      </c>
      <c r="N20" t="inlineStr">
        <is>
          <t>OK</t>
        </is>
      </c>
      <c r="O20" t="inlineStr">
        <is>
          <t>PWC IT P/T BNE</t>
        </is>
      </c>
      <c r="P20" t="inlineStr">
        <is>
          <t>ONSITE</t>
        </is>
      </c>
      <c r="Q20" t="inlineStr">
        <is>
          <t>Contract</t>
        </is>
      </c>
      <c r="R20" t="inlineStr">
        <is>
          <t>GST 10%</t>
        </is>
      </c>
      <c r="S20" t="inlineStr">
        <is>
          <t>41100</t>
        </is>
      </c>
      <c r="V20" t="n">
        <v>715</v>
      </c>
      <c r="W20" t="n">
        <v>7865</v>
      </c>
      <c r="X20" s="51" t="n">
        <v>46234</v>
      </c>
      <c r="Y20" t="n">
        <v>2</v>
      </c>
      <c r="Z20" t="n">
        <v>14300</v>
      </c>
      <c r="AA20" t="n">
        <v>14300</v>
      </c>
      <c r="AB20" t="n">
        <v>7</v>
      </c>
      <c r="AD20" s="52">
        <f>IFERROR(N(IFERROR(INDEX($A20:$AB20,MATCH("Xero Invoiced Ex GST",$A$1:$AB$1,0)),"")),0)</f>
        <v/>
      </c>
      <c r="AE20" s="53">
        <f>IFERROR(INDEX($A20:$AB20,MATCH("Xero Invoice Date",$A$1:$AB$1,0)),"")</f>
        <v/>
      </c>
      <c r="AF20" s="54">
        <f>IF(AND(IFERROR(INDEX($A20:$AB20,MATCH("Xero Invoice No",$A$1:$AB$1,0)),"")&amp;""&lt;&gt;"",ISNUMBER(AE20),AD20&lt;&gt;0),1,0)</f>
        <v/>
      </c>
      <c r="AG20" s="55">
        <f>IF(AF20=1,EOMONTH(AE20,0),"")</f>
        <v/>
      </c>
      <c r="AH20" s="9">
        <f>IF(AF20=1,UPPER(TRIM(IFERROR(INDEX($A20:$AB20,MATCH("Client",$A$1:$AB$1,0)),"")&amp;"")),"")</f>
        <v/>
      </c>
      <c r="AI20" s="9">
        <f>IF(AF20=1,IFERROR(INDEX($A20:$AB20,MATCH("Cost Centre",$A$1:$AB$1,0)),"")&amp;"","")</f>
        <v/>
      </c>
      <c r="AJ20" s="54">
        <f>IF(AND(AF20=1,AE20&gt;=set_FYStart,AE20&lt;=set_AsAt),1,0)</f>
        <v/>
      </c>
      <c r="AK20" s="54">
        <f>IF(AND(AJ20=1,AH20&lt;&gt;"",COUNTIFS($AH$2:AH20,AH20,$AJ$2:AJ20,1)=1),N(AL19)+1,"")</f>
        <v/>
      </c>
      <c r="AL20" s="54">
        <f>IF(AK20&lt;&gt;"",AK20,N(AL19))</f>
        <v/>
      </c>
    </row>
    <row r="21">
      <c r="A21" t="inlineStr">
        <is>
          <t>PRD-0007</t>
        </is>
      </c>
      <c r="B21" t="inlineStr">
        <is>
          <t>Production</t>
        </is>
      </c>
      <c r="C21" t="inlineStr">
        <is>
          <t>26052703</t>
        </is>
      </c>
      <c r="D21" t="inlineStr">
        <is>
          <t>Microsoft</t>
        </is>
      </c>
      <c r="E21" t="inlineStr">
        <is>
          <t>Microsoft Town Hall 21.7.26</t>
        </is>
      </c>
      <c r="F21" t="n">
        <v>10885</v>
      </c>
      <c r="G21" t="inlineStr">
        <is>
          <t>INV-10554</t>
        </is>
      </c>
      <c r="H21" s="51" t="n">
        <v>46234</v>
      </c>
      <c r="I21" t="n">
        <v>10885</v>
      </c>
      <c r="J21" t="n">
        <v>0</v>
      </c>
      <c r="K21" t="inlineStr">
        <is>
          <t>Agrees</t>
        </is>
      </c>
      <c r="N21" t="inlineStr">
        <is>
          <t>OK</t>
        </is>
      </c>
      <c r="O21" t="inlineStr">
        <is>
          <t>Microsoft Town Hall - 21.7.26</t>
        </is>
      </c>
      <c r="P21" t="inlineStr">
        <is>
          <t>PRODUCTION</t>
        </is>
      </c>
      <c r="Q21" t="inlineStr">
        <is>
          <t>Project</t>
        </is>
      </c>
      <c r="R21" t="inlineStr">
        <is>
          <t>GST 10%</t>
        </is>
      </c>
      <c r="S21" t="inlineStr">
        <is>
          <t>42100</t>
        </is>
      </c>
      <c r="T21" t="inlineStr">
        <is>
          <t>6034</t>
        </is>
      </c>
      <c r="V21" t="n">
        <v>1088.5</v>
      </c>
      <c r="W21" t="n">
        <v>11973.5</v>
      </c>
      <c r="X21" s="51" t="n">
        <v>46234</v>
      </c>
      <c r="Y21" t="n">
        <v>1</v>
      </c>
      <c r="Z21" t="n">
        <v>10885</v>
      </c>
      <c r="AA21" t="n">
        <v>10885</v>
      </c>
      <c r="AB21" t="n">
        <v>7</v>
      </c>
      <c r="AD21" s="52">
        <f>IFERROR(N(IFERROR(INDEX($A21:$AB21,MATCH("Xero Invoiced Ex GST",$A$1:$AB$1,0)),"")),0)</f>
        <v/>
      </c>
      <c r="AE21" s="53">
        <f>IFERROR(INDEX($A21:$AB21,MATCH("Xero Invoice Date",$A$1:$AB$1,0)),"")</f>
        <v/>
      </c>
      <c r="AF21" s="54">
        <f>IF(AND(IFERROR(INDEX($A21:$AB21,MATCH("Xero Invoice No",$A$1:$AB$1,0)),"")&amp;""&lt;&gt;"",ISNUMBER(AE21),AD21&lt;&gt;0),1,0)</f>
        <v/>
      </c>
      <c r="AG21" s="55">
        <f>IF(AF21=1,EOMONTH(AE21,0),"")</f>
        <v/>
      </c>
      <c r="AH21" s="9">
        <f>IF(AF21=1,UPPER(TRIM(IFERROR(INDEX($A21:$AB21,MATCH("Client",$A$1:$AB$1,0)),"")&amp;"")),"")</f>
        <v/>
      </c>
      <c r="AI21" s="9">
        <f>IF(AF21=1,IFERROR(INDEX($A21:$AB21,MATCH("Cost Centre",$A$1:$AB$1,0)),"")&amp;"","")</f>
        <v/>
      </c>
      <c r="AJ21" s="54">
        <f>IF(AND(AF21=1,AE21&gt;=set_FYStart,AE21&lt;=set_AsAt),1,0)</f>
        <v/>
      </c>
      <c r="AK21" s="54">
        <f>IF(AND(AJ21=1,AH21&lt;&gt;"",COUNTIFS($AH$2:AH21,AH21,$AJ$2:AJ21,1)=1),N(AL20)+1,"")</f>
        <v/>
      </c>
      <c r="AL21" s="54">
        <f>IF(AK21&lt;&gt;"",AK21,N(AL20))</f>
        <v/>
      </c>
    </row>
    <row r="22">
      <c r="A22" t="inlineStr">
        <is>
          <t>CON-0007</t>
        </is>
      </c>
      <c r="B22" t="inlineStr">
        <is>
          <t>Consulting</t>
        </is>
      </c>
      <c r="C22" t="inlineStr">
        <is>
          <t>25102701</t>
        </is>
      </c>
      <c r="D22" t="inlineStr">
        <is>
          <t>DEWR</t>
        </is>
      </c>
      <c r="E22" t="inlineStr">
        <is>
          <t>DEWR Studio Upgrade</t>
        </is>
      </c>
      <c r="F22" t="n">
        <v>7563</v>
      </c>
      <c r="G22" t="inlineStr">
        <is>
          <t>INV-10442</t>
        </is>
      </c>
      <c r="H22" s="51" t="n">
        <v>46171</v>
      </c>
      <c r="I22" t="n">
        <v>7563</v>
      </c>
      <c r="J22" t="n">
        <v>0</v>
      </c>
      <c r="K22" t="inlineStr">
        <is>
          <t>Agrees</t>
        </is>
      </c>
      <c r="N22" t="inlineStr">
        <is>
          <t>OK</t>
        </is>
      </c>
      <c r="O22" t="inlineStr">
        <is>
          <t>DEWR - Studio Upgrade - Consulting, Design</t>
        </is>
      </c>
      <c r="P22" t="inlineStr">
        <is>
          <t>CONSULTING</t>
        </is>
      </c>
      <c r="Q22" t="inlineStr">
        <is>
          <t>Progress Claim</t>
        </is>
      </c>
      <c r="R22" t="inlineStr">
        <is>
          <t>GST 10%</t>
        </is>
      </c>
      <c r="S22" t="inlineStr">
        <is>
          <t>42800</t>
        </is>
      </c>
      <c r="T22" t="inlineStr">
        <is>
          <t>https://cts.qwilr.com/25102701-DEWR-Studio-Upgrade-ESE25-143997-Rev-4-KTqWXx2QQz6f</t>
        </is>
      </c>
      <c r="U22" t="inlineStr">
        <is>
          <t>Status: In Progress | Progress Claim 04</t>
        </is>
      </c>
      <c r="V22" t="n">
        <v>756.3</v>
      </c>
      <c r="W22" t="n">
        <v>8319.299999999999</v>
      </c>
      <c r="X22" s="51" t="n">
        <v>46173</v>
      </c>
      <c r="Y22" t="n">
        <v>4</v>
      </c>
      <c r="Z22" t="n">
        <v>68273</v>
      </c>
      <c r="AA22" t="n">
        <v>68273</v>
      </c>
      <c r="AB22" t="n">
        <v>7</v>
      </c>
      <c r="AD22" s="52">
        <f>IFERROR(N(IFERROR(INDEX($A22:$AB22,MATCH("Xero Invoiced Ex GST",$A$1:$AB$1,0)),"")),0)</f>
        <v/>
      </c>
      <c r="AE22" s="53">
        <f>IFERROR(INDEX($A22:$AB22,MATCH("Xero Invoice Date",$A$1:$AB$1,0)),"")</f>
        <v/>
      </c>
      <c r="AF22" s="54">
        <f>IF(AND(IFERROR(INDEX($A22:$AB22,MATCH("Xero Invoice No",$A$1:$AB$1,0)),"")&amp;""&lt;&gt;"",ISNUMBER(AE22),AD22&lt;&gt;0),1,0)</f>
        <v/>
      </c>
      <c r="AG22" s="55">
        <f>IF(AF22=1,EOMONTH(AE22,0),"")</f>
        <v/>
      </c>
      <c r="AH22" s="9">
        <f>IF(AF22=1,UPPER(TRIM(IFERROR(INDEX($A22:$AB22,MATCH("Client",$A$1:$AB$1,0)),"")&amp;"")),"")</f>
        <v/>
      </c>
      <c r="AI22" s="9">
        <f>IF(AF22=1,IFERROR(INDEX($A22:$AB22,MATCH("Cost Centre",$A$1:$AB$1,0)),"")&amp;"","")</f>
        <v/>
      </c>
      <c r="AJ22" s="54">
        <f>IF(AND(AF22=1,AE22&gt;=set_FYStart,AE22&lt;=set_AsAt),1,0)</f>
        <v/>
      </c>
      <c r="AK22" s="54">
        <f>IF(AND(AJ22=1,AH22&lt;&gt;"",COUNTIFS($AH$2:AH22,AH22,$AJ$2:AJ22,1)=1),N(AL21)+1,"")</f>
        <v/>
      </c>
      <c r="AL22" s="54">
        <f>IF(AK22&lt;&gt;"",AK22,N(AL21))</f>
        <v/>
      </c>
    </row>
    <row r="23">
      <c r="A23" t="inlineStr">
        <is>
          <t>ONS-0008</t>
        </is>
      </c>
      <c r="B23" t="inlineStr">
        <is>
          <t>Onsite</t>
        </is>
      </c>
      <c r="C23" t="inlineStr">
        <is>
          <t>26021602</t>
        </is>
      </c>
      <c r="D23" t="inlineStr">
        <is>
          <t>Gen-E</t>
        </is>
      </c>
      <c r="E23" t="inlineStr">
        <is>
          <t>Gen-E ABS July 2026</t>
        </is>
      </c>
      <c r="F23" t="n">
        <v>12388.8</v>
      </c>
      <c r="G23" t="inlineStr">
        <is>
          <t>INV-10532</t>
        </is>
      </c>
      <c r="H23" s="51" t="n">
        <v>46234</v>
      </c>
      <c r="I23" t="n">
        <v>12388.8</v>
      </c>
      <c r="J23" t="n">
        <v>0</v>
      </c>
      <c r="K23" t="inlineStr">
        <is>
          <t>Agrees</t>
        </is>
      </c>
      <c r="N23" t="inlineStr">
        <is>
          <t>OK</t>
        </is>
      </c>
      <c r="O23" t="inlineStr">
        <is>
          <t>Gen E ABS AV Support (Canberra)</t>
        </is>
      </c>
      <c r="P23" t="inlineStr">
        <is>
          <t>ONSITE</t>
        </is>
      </c>
      <c r="Q23" t="inlineStr">
        <is>
          <t>Contract</t>
        </is>
      </c>
      <c r="R23" t="inlineStr">
        <is>
          <t>GST 10%</t>
        </is>
      </c>
      <c r="S23" t="inlineStr">
        <is>
          <t>41100</t>
        </is>
      </c>
      <c r="V23" t="n">
        <v>1238.88</v>
      </c>
      <c r="W23" t="n">
        <v>13627.68</v>
      </c>
      <c r="X23" s="51" t="n">
        <v>46234</v>
      </c>
      <c r="Y23" t="n">
        <v>3</v>
      </c>
      <c r="Z23" t="n">
        <v>37166.4</v>
      </c>
      <c r="AA23" t="n">
        <v>37166.4</v>
      </c>
      <c r="AB23" t="n">
        <v>8</v>
      </c>
      <c r="AD23" s="52">
        <f>IFERROR(N(IFERROR(INDEX($A23:$AB23,MATCH("Xero Invoiced Ex GST",$A$1:$AB$1,0)),"")),0)</f>
        <v/>
      </c>
      <c r="AE23" s="53">
        <f>IFERROR(INDEX($A23:$AB23,MATCH("Xero Invoice Date",$A$1:$AB$1,0)),"")</f>
        <v/>
      </c>
      <c r="AF23" s="54">
        <f>IF(AND(IFERROR(INDEX($A23:$AB23,MATCH("Xero Invoice No",$A$1:$AB$1,0)),"")&amp;""&lt;&gt;"",ISNUMBER(AE23),AD23&lt;&gt;0),1,0)</f>
        <v/>
      </c>
      <c r="AG23" s="55">
        <f>IF(AF23=1,EOMONTH(AE23,0),"")</f>
        <v/>
      </c>
      <c r="AH23" s="9">
        <f>IF(AF23=1,UPPER(TRIM(IFERROR(INDEX($A23:$AB23,MATCH("Client",$A$1:$AB$1,0)),"")&amp;"")),"")</f>
        <v/>
      </c>
      <c r="AI23" s="9">
        <f>IF(AF23=1,IFERROR(INDEX($A23:$AB23,MATCH("Cost Centre",$A$1:$AB$1,0)),"")&amp;"","")</f>
        <v/>
      </c>
      <c r="AJ23" s="54">
        <f>IF(AND(AF23=1,AE23&gt;=set_FYStart,AE23&lt;=set_AsAt),1,0)</f>
        <v/>
      </c>
      <c r="AK23" s="54">
        <f>IF(AND(AJ23=1,AH23&lt;&gt;"",COUNTIFS($AH$2:AH23,AH23,$AJ$2:AJ23,1)=1),N(AL22)+1,"")</f>
        <v/>
      </c>
      <c r="AL23" s="54">
        <f>IF(AK23&lt;&gt;"",AK23,N(AL22))</f>
        <v/>
      </c>
    </row>
    <row r="24">
      <c r="A24" t="inlineStr">
        <is>
          <t>PRD-0008</t>
        </is>
      </c>
      <c r="B24" t="inlineStr">
        <is>
          <t>Production</t>
        </is>
      </c>
      <c r="C24" t="inlineStr">
        <is>
          <t>26041603</t>
        </is>
      </c>
      <c r="D24" t="inlineStr">
        <is>
          <t>Optiver</t>
        </is>
      </c>
      <c r="E24" t="inlineStr">
        <is>
          <t>Mid-Year Town Hall 23.7.26</t>
        </is>
      </c>
      <c r="F24" t="n">
        <v>745</v>
      </c>
      <c r="G24" t="inlineStr">
        <is>
          <t>INV-10538</t>
        </is>
      </c>
      <c r="H24" s="51" t="n">
        <v>46232</v>
      </c>
      <c r="I24" t="n">
        <v>745</v>
      </c>
      <c r="J24" t="n">
        <v>0</v>
      </c>
      <c r="K24" t="inlineStr">
        <is>
          <t>Agrees</t>
        </is>
      </c>
      <c r="N24" t="inlineStr">
        <is>
          <t>OK</t>
        </is>
      </c>
      <c r="O24" t="inlineStr">
        <is>
          <t>Optiver - Town Hall - 23.7.26</t>
        </is>
      </c>
      <c r="P24" t="inlineStr">
        <is>
          <t>PRODUCTION</t>
        </is>
      </c>
      <c r="Q24" t="inlineStr">
        <is>
          <t>Project</t>
        </is>
      </c>
      <c r="R24" t="inlineStr">
        <is>
          <t>GST 10%</t>
        </is>
      </c>
      <c r="S24" t="inlineStr">
        <is>
          <t>42100</t>
        </is>
      </c>
      <c r="T24" t="inlineStr">
        <is>
          <t>6085</t>
        </is>
      </c>
      <c r="V24" t="n">
        <v>74.5</v>
      </c>
      <c r="W24" t="n">
        <v>819.5</v>
      </c>
      <c r="X24" s="51" t="n">
        <v>46234</v>
      </c>
      <c r="Y24" t="n">
        <v>1</v>
      </c>
      <c r="Z24" t="n">
        <v>745</v>
      </c>
      <c r="AA24" t="n">
        <v>745</v>
      </c>
      <c r="AB24" t="n">
        <v>8</v>
      </c>
      <c r="AD24" s="52">
        <f>IFERROR(N(IFERROR(INDEX($A24:$AB24,MATCH("Xero Invoiced Ex GST",$A$1:$AB$1,0)),"")),0)</f>
        <v/>
      </c>
      <c r="AE24" s="53">
        <f>IFERROR(INDEX($A24:$AB24,MATCH("Xero Invoice Date",$A$1:$AB$1,0)),"")</f>
        <v/>
      </c>
      <c r="AF24" s="54">
        <f>IF(AND(IFERROR(INDEX($A24:$AB24,MATCH("Xero Invoice No",$A$1:$AB$1,0)),"")&amp;""&lt;&gt;"",ISNUMBER(AE24),AD24&lt;&gt;0),1,0)</f>
        <v/>
      </c>
      <c r="AG24" s="55">
        <f>IF(AF24=1,EOMONTH(AE24,0),"")</f>
        <v/>
      </c>
      <c r="AH24" s="9">
        <f>IF(AF24=1,UPPER(TRIM(IFERROR(INDEX($A24:$AB24,MATCH("Client",$A$1:$AB$1,0)),"")&amp;"")),"")</f>
        <v/>
      </c>
      <c r="AI24" s="9">
        <f>IF(AF24=1,IFERROR(INDEX($A24:$AB24,MATCH("Cost Centre",$A$1:$AB$1,0)),"")&amp;"","")</f>
        <v/>
      </c>
      <c r="AJ24" s="54">
        <f>IF(AND(AF24=1,AE24&gt;=set_FYStart,AE24&lt;=set_AsAt),1,0)</f>
        <v/>
      </c>
      <c r="AK24" s="54">
        <f>IF(AND(AJ24=1,AH24&lt;&gt;"",COUNTIFS($AH$2:AH24,AH24,$AJ$2:AJ24,1)=1),N(AL23)+1,"")</f>
        <v/>
      </c>
      <c r="AL24" s="54">
        <f>IF(AK24&lt;&gt;"",AK24,N(AL23))</f>
        <v/>
      </c>
    </row>
    <row r="25">
      <c r="A25" t="inlineStr">
        <is>
          <t>CON-0008</t>
        </is>
      </c>
      <c r="B25" t="inlineStr">
        <is>
          <t>Consulting</t>
        </is>
      </c>
      <c r="C25" t="inlineStr">
        <is>
          <t>26051801</t>
        </is>
      </c>
      <c r="D25" t="inlineStr">
        <is>
          <t>PwC</t>
        </is>
      </c>
      <c r="E25" t="inlineStr">
        <is>
          <t>Mel Studio Equipment</t>
        </is>
      </c>
      <c r="F25" t="n">
        <v>12039</v>
      </c>
      <c r="G25" t="inlineStr">
        <is>
          <t>INV-10462</t>
        </is>
      </c>
      <c r="H25" s="51" t="n">
        <v>46190</v>
      </c>
      <c r="I25" t="n">
        <v>12039</v>
      </c>
      <c r="J25" t="n">
        <v>0</v>
      </c>
      <c r="K25" t="inlineStr">
        <is>
          <t>Agrees</t>
        </is>
      </c>
      <c r="N25" t="inlineStr">
        <is>
          <t>OK</t>
        </is>
      </c>
      <c r="O25" t="inlineStr">
        <is>
          <t>PwC | Mel Studio Equipment</t>
        </is>
      </c>
      <c r="P25" t="inlineStr">
        <is>
          <t>INTEGRATION</t>
        </is>
      </c>
      <c r="Q25" t="inlineStr">
        <is>
          <t>Project</t>
        </is>
      </c>
      <c r="R25" t="inlineStr">
        <is>
          <t>GST 10%</t>
        </is>
      </c>
      <c r="S25" t="inlineStr">
        <is>
          <t>42300</t>
        </is>
      </c>
      <c r="T25" t="inlineStr">
        <is>
          <t>https://cts.qwilr.com/26051801-PwC-Costing-v3-0-HUL2JaYQCO39</t>
        </is>
      </c>
      <c r="U25" t="inlineStr">
        <is>
          <t>Status: Completed</t>
        </is>
      </c>
      <c r="V25" t="n">
        <v>1203.9</v>
      </c>
      <c r="W25" t="n">
        <v>13242.9</v>
      </c>
      <c r="X25" s="51" t="n">
        <v>46203</v>
      </c>
      <c r="Y25" t="n">
        <v>1</v>
      </c>
      <c r="Z25" t="n">
        <v>12039</v>
      </c>
      <c r="AA25" t="n">
        <v>12039</v>
      </c>
      <c r="AB25" t="n">
        <v>8</v>
      </c>
      <c r="AD25" s="52">
        <f>IFERROR(N(IFERROR(INDEX($A25:$AB25,MATCH("Xero Invoiced Ex GST",$A$1:$AB$1,0)),"")),0)</f>
        <v/>
      </c>
      <c r="AE25" s="53">
        <f>IFERROR(INDEX($A25:$AB25,MATCH("Xero Invoice Date",$A$1:$AB$1,0)),"")</f>
        <v/>
      </c>
      <c r="AF25" s="54">
        <f>IF(AND(IFERROR(INDEX($A25:$AB25,MATCH("Xero Invoice No",$A$1:$AB$1,0)),"")&amp;""&lt;&gt;"",ISNUMBER(AE25),AD25&lt;&gt;0),1,0)</f>
        <v/>
      </c>
      <c r="AG25" s="55">
        <f>IF(AF25=1,EOMONTH(AE25,0),"")</f>
        <v/>
      </c>
      <c r="AH25" s="9">
        <f>IF(AF25=1,UPPER(TRIM(IFERROR(INDEX($A25:$AB25,MATCH("Client",$A$1:$AB$1,0)),"")&amp;"")),"")</f>
        <v/>
      </c>
      <c r="AI25" s="9">
        <f>IF(AF25=1,IFERROR(INDEX($A25:$AB25,MATCH("Cost Centre",$A$1:$AB$1,0)),"")&amp;"","")</f>
        <v/>
      </c>
      <c r="AJ25" s="54">
        <f>IF(AND(AF25=1,AE25&gt;=set_FYStart,AE25&lt;=set_AsAt),1,0)</f>
        <v/>
      </c>
      <c r="AK25" s="54">
        <f>IF(AND(AJ25=1,AH25&lt;&gt;"",COUNTIFS($AH$2:AH25,AH25,$AJ$2:AJ25,1)=1),N(AL24)+1,"")</f>
        <v/>
      </c>
      <c r="AL25" s="54">
        <f>IF(AK25&lt;&gt;"",AK25,N(AL24))</f>
        <v/>
      </c>
    </row>
    <row r="26">
      <c r="A26" t="inlineStr">
        <is>
          <t>ONS-0009</t>
        </is>
      </c>
      <c r="B26" t="inlineStr">
        <is>
          <t>Onsite</t>
        </is>
      </c>
      <c r="C26" t="inlineStr">
        <is>
          <t>26043001</t>
        </is>
      </c>
      <c r="D26" t="inlineStr">
        <is>
          <t>CBA</t>
        </is>
      </c>
      <c r="E26" t="inlineStr">
        <is>
          <t>CBA Mel July 2026</t>
        </is>
      </c>
      <c r="F26" t="n">
        <v>11377.12</v>
      </c>
      <c r="G26" t="inlineStr">
        <is>
          <t>INV-10534</t>
        </is>
      </c>
      <c r="H26" s="51" t="n">
        <v>46234</v>
      </c>
      <c r="I26" t="n">
        <v>11377.12</v>
      </c>
      <c r="J26" t="n">
        <v>0</v>
      </c>
      <c r="K26" t="inlineStr">
        <is>
          <t>Agrees</t>
        </is>
      </c>
      <c r="N26" t="inlineStr">
        <is>
          <t>OK</t>
        </is>
      </c>
      <c r="O26" t="inlineStr">
        <is>
          <t>CBA FT Tech MEL - 12 months</t>
        </is>
      </c>
      <c r="P26" t="inlineStr">
        <is>
          <t>ONSITE</t>
        </is>
      </c>
      <c r="Q26" t="inlineStr">
        <is>
          <t>Contract</t>
        </is>
      </c>
      <c r="R26" t="inlineStr">
        <is>
          <t>GST 10%</t>
        </is>
      </c>
      <c r="S26" t="inlineStr">
        <is>
          <t>41100</t>
        </is>
      </c>
      <c r="U26" t="inlineStr">
        <is>
          <t>Deduct 8hrs CN for 03/07</t>
        </is>
      </c>
      <c r="V26" t="n">
        <v>1137.71</v>
      </c>
      <c r="W26" t="n">
        <v>12514.83</v>
      </c>
      <c r="X26" s="51" t="n">
        <v>46234</v>
      </c>
      <c r="Y26" t="n">
        <v>3</v>
      </c>
      <c r="Z26" t="n">
        <v>35297.12</v>
      </c>
      <c r="AA26" t="n">
        <v>35297.12</v>
      </c>
      <c r="AB26" t="n">
        <v>9</v>
      </c>
      <c r="AD26" s="52">
        <f>IFERROR(N(IFERROR(INDEX($A26:$AB26,MATCH("Xero Invoiced Ex GST",$A$1:$AB$1,0)),"")),0)</f>
        <v/>
      </c>
      <c r="AE26" s="53">
        <f>IFERROR(INDEX($A26:$AB26,MATCH("Xero Invoice Date",$A$1:$AB$1,0)),"")</f>
        <v/>
      </c>
      <c r="AF26" s="54">
        <f>IF(AND(IFERROR(INDEX($A26:$AB26,MATCH("Xero Invoice No",$A$1:$AB$1,0)),"")&amp;""&lt;&gt;"",ISNUMBER(AE26),AD26&lt;&gt;0),1,0)</f>
        <v/>
      </c>
      <c r="AG26" s="55">
        <f>IF(AF26=1,EOMONTH(AE26,0),"")</f>
        <v/>
      </c>
      <c r="AH26" s="9">
        <f>IF(AF26=1,UPPER(TRIM(IFERROR(INDEX($A26:$AB26,MATCH("Client",$A$1:$AB$1,0)),"")&amp;"")),"")</f>
        <v/>
      </c>
      <c r="AI26" s="9">
        <f>IF(AF26=1,IFERROR(INDEX($A26:$AB26,MATCH("Cost Centre",$A$1:$AB$1,0)),"")&amp;"","")</f>
        <v/>
      </c>
      <c r="AJ26" s="54">
        <f>IF(AND(AF26=1,AE26&gt;=set_FYStart,AE26&lt;=set_AsAt),1,0)</f>
        <v/>
      </c>
      <c r="AK26" s="54">
        <f>IF(AND(AJ26=1,AH26&lt;&gt;"",COUNTIFS($AH$2:AH26,AH26,$AJ$2:AJ26,1)=1),N(AL25)+1,"")</f>
        <v/>
      </c>
      <c r="AL26" s="54">
        <f>IF(AK26&lt;&gt;"",AK26,N(AL25))</f>
        <v/>
      </c>
    </row>
    <row r="27">
      <c r="A27" t="inlineStr">
        <is>
          <t>PRD-0009</t>
        </is>
      </c>
      <c r="B27" t="inlineStr">
        <is>
          <t>Production</t>
        </is>
      </c>
      <c r="C27" t="inlineStr">
        <is>
          <t>2605403</t>
        </is>
      </c>
      <c r="D27" t="inlineStr">
        <is>
          <t>Arup</t>
        </is>
      </c>
      <c r="E27" t="inlineStr">
        <is>
          <t>Oves Awards Night 23.7.26</t>
        </is>
      </c>
      <c r="F27" t="n">
        <v>5460</v>
      </c>
      <c r="G27" t="inlineStr">
        <is>
          <t>INV-10540</t>
        </is>
      </c>
      <c r="H27" s="51" t="n">
        <v>46233</v>
      </c>
      <c r="I27" t="n">
        <v>5460</v>
      </c>
      <c r="J27" t="n">
        <v>0</v>
      </c>
      <c r="K27" t="inlineStr">
        <is>
          <t>Agrees</t>
        </is>
      </c>
      <c r="N27" t="inlineStr">
        <is>
          <t>OK</t>
        </is>
      </c>
      <c r="O27" t="inlineStr">
        <is>
          <t>ARUP - Oves Awards - 23.7.26</t>
        </is>
      </c>
      <c r="P27" t="inlineStr">
        <is>
          <t>PRODUCTION</t>
        </is>
      </c>
      <c r="Q27" t="inlineStr">
        <is>
          <t>Project</t>
        </is>
      </c>
      <c r="R27" t="inlineStr">
        <is>
          <t>GST 10%</t>
        </is>
      </c>
      <c r="S27" t="inlineStr">
        <is>
          <t>42100</t>
        </is>
      </c>
      <c r="T27" t="inlineStr">
        <is>
          <t>5956</t>
        </is>
      </c>
      <c r="V27" t="n">
        <v>546</v>
      </c>
      <c r="W27" t="n">
        <v>6006</v>
      </c>
      <c r="X27" s="51" t="n">
        <v>46234</v>
      </c>
      <c r="Y27" t="n">
        <v>1</v>
      </c>
      <c r="Z27" t="n">
        <v>5460</v>
      </c>
      <c r="AA27" t="n">
        <v>5460</v>
      </c>
      <c r="AB27" t="n">
        <v>9</v>
      </c>
      <c r="AD27" s="52">
        <f>IFERROR(N(IFERROR(INDEX($A27:$AB27,MATCH("Xero Invoiced Ex GST",$A$1:$AB$1,0)),"")),0)</f>
        <v/>
      </c>
      <c r="AE27" s="53">
        <f>IFERROR(INDEX($A27:$AB27,MATCH("Xero Invoice Date",$A$1:$AB$1,0)),"")</f>
        <v/>
      </c>
      <c r="AF27" s="54">
        <f>IF(AND(IFERROR(INDEX($A27:$AB27,MATCH("Xero Invoice No",$A$1:$AB$1,0)),"")&amp;""&lt;&gt;"",ISNUMBER(AE27),AD27&lt;&gt;0),1,0)</f>
        <v/>
      </c>
      <c r="AG27" s="55">
        <f>IF(AF27=1,EOMONTH(AE27,0),"")</f>
        <v/>
      </c>
      <c r="AH27" s="9">
        <f>IF(AF27=1,UPPER(TRIM(IFERROR(INDEX($A27:$AB27,MATCH("Client",$A$1:$AB$1,0)),"")&amp;"")),"")</f>
        <v/>
      </c>
      <c r="AI27" s="9">
        <f>IF(AF27=1,IFERROR(INDEX($A27:$AB27,MATCH("Cost Centre",$A$1:$AB$1,0)),"")&amp;"","")</f>
        <v/>
      </c>
      <c r="AJ27" s="54">
        <f>IF(AND(AF27=1,AE27&gt;=set_FYStart,AE27&lt;=set_AsAt),1,0)</f>
        <v/>
      </c>
      <c r="AK27" s="54">
        <f>IF(AND(AJ27=1,AH27&lt;&gt;"",COUNTIFS($AH$2:AH27,AH27,$AJ$2:AJ27,1)=1),N(AL26)+1,"")</f>
        <v/>
      </c>
      <c r="AL27" s="54">
        <f>IF(AK27&lt;&gt;"",AK27,N(AL26))</f>
        <v/>
      </c>
    </row>
    <row r="28">
      <c r="A28" t="inlineStr">
        <is>
          <t>CON-0009</t>
        </is>
      </c>
      <c r="B28" t="inlineStr">
        <is>
          <t>Consulting</t>
        </is>
      </c>
      <c r="C28" t="inlineStr">
        <is>
          <t>26043003</t>
        </is>
      </c>
      <c r="D28" t="inlineStr">
        <is>
          <t>PwC</t>
        </is>
      </c>
      <c r="E28" t="inlineStr">
        <is>
          <t>Screen Replacements (SYD/MEL)</t>
        </is>
      </c>
      <c r="F28" t="n">
        <v>96068</v>
      </c>
      <c r="G28" t="inlineStr">
        <is>
          <t>INV-10461</t>
        </is>
      </c>
      <c r="H28" s="51" t="n">
        <v>46190</v>
      </c>
      <c r="I28" t="n">
        <v>96068</v>
      </c>
      <c r="J28" t="n">
        <v>0</v>
      </c>
      <c r="K28" t="inlineStr">
        <is>
          <t>Agrees</t>
        </is>
      </c>
      <c r="N28" t="inlineStr">
        <is>
          <t>OK</t>
        </is>
      </c>
      <c r="O28" t="inlineStr">
        <is>
          <t>PwC Screen Replacements SYD+MEL</t>
        </is>
      </c>
      <c r="P28" t="inlineStr">
        <is>
          <t>INTEGRATION</t>
        </is>
      </c>
      <c r="Q28" t="inlineStr">
        <is>
          <t>Project</t>
        </is>
      </c>
      <c r="R28" t="inlineStr">
        <is>
          <t>GST 10%</t>
        </is>
      </c>
      <c r="S28" t="inlineStr">
        <is>
          <t>42300</t>
        </is>
      </c>
      <c r="T28" t="inlineStr">
        <is>
          <t>https://cts.qwilr.com/26043003-PwC-Costing-v1-0-LoPgcYilSIWh</t>
        </is>
      </c>
      <c r="U28" t="inlineStr">
        <is>
          <t>Status: Closed</t>
        </is>
      </c>
      <c r="V28" t="n">
        <v>9606.799999999999</v>
      </c>
      <c r="W28" t="n">
        <v>105674.8</v>
      </c>
      <c r="X28" s="51" t="n">
        <v>46203</v>
      </c>
      <c r="Y28" t="n">
        <v>1</v>
      </c>
      <c r="Z28" t="n">
        <v>96068</v>
      </c>
      <c r="AA28" t="n">
        <v>96068</v>
      </c>
      <c r="AB28" t="n">
        <v>9</v>
      </c>
      <c r="AD28" s="52">
        <f>IFERROR(N(IFERROR(INDEX($A28:$AB28,MATCH("Xero Invoiced Ex GST",$A$1:$AB$1,0)),"")),0)</f>
        <v/>
      </c>
      <c r="AE28" s="53">
        <f>IFERROR(INDEX($A28:$AB28,MATCH("Xero Invoice Date",$A$1:$AB$1,0)),"")</f>
        <v/>
      </c>
      <c r="AF28" s="54">
        <f>IF(AND(IFERROR(INDEX($A28:$AB28,MATCH("Xero Invoice No",$A$1:$AB$1,0)),"")&amp;""&lt;&gt;"",ISNUMBER(AE28),AD28&lt;&gt;0),1,0)</f>
        <v/>
      </c>
      <c r="AG28" s="55">
        <f>IF(AF28=1,EOMONTH(AE28,0),"")</f>
        <v/>
      </c>
      <c r="AH28" s="9">
        <f>IF(AF28=1,UPPER(TRIM(IFERROR(INDEX($A28:$AB28,MATCH("Client",$A$1:$AB$1,0)),"")&amp;"")),"")</f>
        <v/>
      </c>
      <c r="AI28" s="9">
        <f>IF(AF28=1,IFERROR(INDEX($A28:$AB28,MATCH("Cost Centre",$A$1:$AB$1,0)),"")&amp;"","")</f>
        <v/>
      </c>
      <c r="AJ28" s="54">
        <f>IF(AND(AF28=1,AE28&gt;=set_FYStart,AE28&lt;=set_AsAt),1,0)</f>
        <v/>
      </c>
      <c r="AK28" s="54">
        <f>IF(AND(AJ28=1,AH28&lt;&gt;"",COUNTIFS($AH$2:AH28,AH28,$AJ$2:AJ28,1)=1),N(AL27)+1,"")</f>
        <v/>
      </c>
      <c r="AL28" s="54">
        <f>IF(AK28&lt;&gt;"",AK28,N(AL27))</f>
        <v/>
      </c>
    </row>
    <row r="29">
      <c r="A29" t="inlineStr">
        <is>
          <t>ONS-0010</t>
        </is>
      </c>
      <c r="B29" t="inlineStr">
        <is>
          <t>Onsite</t>
        </is>
      </c>
      <c r="C29" t="inlineStr">
        <is>
          <t>25101301B</t>
        </is>
      </c>
      <c r="D29" t="inlineStr">
        <is>
          <t>PWC</t>
        </is>
      </c>
      <c r="E29" t="inlineStr">
        <is>
          <t>PWC Sydney IT July 2026</t>
        </is>
      </c>
      <c r="F29" t="n">
        <v>11907</v>
      </c>
      <c r="G29" t="inlineStr">
        <is>
          <t>INV-10535</t>
        </is>
      </c>
      <c r="H29" s="51" t="n">
        <v>46234</v>
      </c>
      <c r="I29" t="n">
        <v>11907</v>
      </c>
      <c r="J29" t="n">
        <v>0</v>
      </c>
      <c r="K29" t="inlineStr">
        <is>
          <t>Agrees</t>
        </is>
      </c>
      <c r="N29" t="inlineStr">
        <is>
          <t>OK</t>
        </is>
      </c>
      <c r="O29" t="inlineStr">
        <is>
          <t>PWC IT Support – Sydney</t>
        </is>
      </c>
      <c r="P29" t="inlineStr">
        <is>
          <t>ONSITE</t>
        </is>
      </c>
      <c r="Q29" t="inlineStr">
        <is>
          <t>Contract</t>
        </is>
      </c>
      <c r="R29" t="inlineStr">
        <is>
          <t>GST 10%</t>
        </is>
      </c>
      <c r="S29" t="inlineStr">
        <is>
          <t>41100</t>
        </is>
      </c>
      <c r="V29" t="n">
        <v>1190.7</v>
      </c>
      <c r="W29" t="n">
        <v>13097.7</v>
      </c>
      <c r="X29" s="51" t="n">
        <v>46234</v>
      </c>
      <c r="Y29" t="n">
        <v>2</v>
      </c>
      <c r="Z29" t="n">
        <v>23814</v>
      </c>
      <c r="AA29" t="n">
        <v>23814</v>
      </c>
      <c r="AB29" t="n">
        <v>10</v>
      </c>
      <c r="AD29" s="52">
        <f>IFERROR(N(IFERROR(INDEX($A29:$AB29,MATCH("Xero Invoiced Ex GST",$A$1:$AB$1,0)),"")),0)</f>
        <v/>
      </c>
      <c r="AE29" s="53">
        <f>IFERROR(INDEX($A29:$AB29,MATCH("Xero Invoice Date",$A$1:$AB$1,0)),"")</f>
        <v/>
      </c>
      <c r="AF29" s="54">
        <f>IF(AND(IFERROR(INDEX($A29:$AB29,MATCH("Xero Invoice No",$A$1:$AB$1,0)),"")&amp;""&lt;&gt;"",ISNUMBER(AE29),AD29&lt;&gt;0),1,0)</f>
        <v/>
      </c>
      <c r="AG29" s="55">
        <f>IF(AF29=1,EOMONTH(AE29,0),"")</f>
        <v/>
      </c>
      <c r="AH29" s="9">
        <f>IF(AF29=1,UPPER(TRIM(IFERROR(INDEX($A29:$AB29,MATCH("Client",$A$1:$AB$1,0)),"")&amp;"")),"")</f>
        <v/>
      </c>
      <c r="AI29" s="9">
        <f>IF(AF29=1,IFERROR(INDEX($A29:$AB29,MATCH("Cost Centre",$A$1:$AB$1,0)),"")&amp;"","")</f>
        <v/>
      </c>
      <c r="AJ29" s="54">
        <f>IF(AND(AF29=1,AE29&gt;=set_FYStart,AE29&lt;=set_AsAt),1,0)</f>
        <v/>
      </c>
      <c r="AK29" s="54">
        <f>IF(AND(AJ29=1,AH29&lt;&gt;"",COUNTIFS($AH$2:AH29,AH29,$AJ$2:AJ29,1)=1),N(AL28)+1,"")</f>
        <v/>
      </c>
      <c r="AL29" s="54">
        <f>IF(AK29&lt;&gt;"",AK29,N(AL28))</f>
        <v/>
      </c>
    </row>
    <row r="30">
      <c r="A30" t="inlineStr">
        <is>
          <t>PRD-0010</t>
        </is>
      </c>
      <c r="B30" t="inlineStr">
        <is>
          <t>Production</t>
        </is>
      </c>
      <c r="C30" t="inlineStr">
        <is>
          <t>2607901</t>
        </is>
      </c>
      <c r="D30" t="inlineStr">
        <is>
          <t>On24</t>
        </is>
      </c>
      <c r="E30" t="inlineStr">
        <is>
          <t>KWM Event 23.7.26 (PO #25962)</t>
        </is>
      </c>
      <c r="F30" t="n">
        <v>2575</v>
      </c>
      <c r="G30" t="inlineStr">
        <is>
          <t>INV-10552</t>
        </is>
      </c>
      <c r="H30" s="51" t="n">
        <v>46234</v>
      </c>
      <c r="I30" t="n">
        <v>2575</v>
      </c>
      <c r="J30" t="n">
        <v>0</v>
      </c>
      <c r="K30" t="inlineStr">
        <is>
          <t>Agrees</t>
        </is>
      </c>
      <c r="L30" t="inlineStr">
        <is>
          <t>Job number not in the Xero job list</t>
        </is>
      </c>
      <c r="N30" t="inlineStr">
        <is>
          <t>CHECK</t>
        </is>
      </c>
      <c r="P30" t="inlineStr">
        <is>
          <t>PRODUCTION</t>
        </is>
      </c>
      <c r="Q30" t="inlineStr">
        <is>
          <t>Project</t>
        </is>
      </c>
      <c r="R30" t="inlineStr">
        <is>
          <t>GST 10%</t>
        </is>
      </c>
      <c r="S30" t="inlineStr">
        <is>
          <t>42100</t>
        </is>
      </c>
      <c r="T30" t="inlineStr">
        <is>
          <t>6097</t>
        </is>
      </c>
      <c r="V30" t="n">
        <v>257.5</v>
      </c>
      <c r="W30" t="n">
        <v>2832.5</v>
      </c>
      <c r="X30" s="51" t="n">
        <v>46234</v>
      </c>
      <c r="Y30" t="n">
        <v>1</v>
      </c>
      <c r="Z30" t="n">
        <v>2575</v>
      </c>
      <c r="AA30" t="n">
        <v>2575</v>
      </c>
      <c r="AB30" t="n">
        <v>10</v>
      </c>
      <c r="AD30" s="52">
        <f>IFERROR(N(IFERROR(INDEX($A30:$AB30,MATCH("Xero Invoiced Ex GST",$A$1:$AB$1,0)),"")),0)</f>
        <v/>
      </c>
      <c r="AE30" s="53">
        <f>IFERROR(INDEX($A30:$AB30,MATCH("Xero Invoice Date",$A$1:$AB$1,0)),"")</f>
        <v/>
      </c>
      <c r="AF30" s="54">
        <f>IF(AND(IFERROR(INDEX($A30:$AB30,MATCH("Xero Invoice No",$A$1:$AB$1,0)),"")&amp;""&lt;&gt;"",ISNUMBER(AE30),AD30&lt;&gt;0),1,0)</f>
        <v/>
      </c>
      <c r="AG30" s="55">
        <f>IF(AF30=1,EOMONTH(AE30,0),"")</f>
        <v/>
      </c>
      <c r="AH30" s="9">
        <f>IF(AF30=1,UPPER(TRIM(IFERROR(INDEX($A30:$AB30,MATCH("Client",$A$1:$AB$1,0)),"")&amp;"")),"")</f>
        <v/>
      </c>
      <c r="AI30" s="9">
        <f>IF(AF30=1,IFERROR(INDEX($A30:$AB30,MATCH("Cost Centre",$A$1:$AB$1,0)),"")&amp;"","")</f>
        <v/>
      </c>
      <c r="AJ30" s="54">
        <f>IF(AND(AF30=1,AE30&gt;=set_FYStart,AE30&lt;=set_AsAt),1,0)</f>
        <v/>
      </c>
      <c r="AK30" s="54">
        <f>IF(AND(AJ30=1,AH30&lt;&gt;"",COUNTIFS($AH$2:AH30,AH30,$AJ$2:AJ30,1)=1),N(AL29)+1,"")</f>
        <v/>
      </c>
      <c r="AL30" s="54">
        <f>IF(AK30&lt;&gt;"",AK30,N(AL29))</f>
        <v/>
      </c>
    </row>
    <row r="31">
      <c r="A31" t="inlineStr">
        <is>
          <t>CON-0010</t>
        </is>
      </c>
      <c r="B31" t="inlineStr">
        <is>
          <t>Consulting</t>
        </is>
      </c>
      <c r="C31" t="inlineStr">
        <is>
          <t>2606901</t>
        </is>
      </c>
      <c r="D31" t="inlineStr">
        <is>
          <t>PwC</t>
        </is>
      </c>
      <c r="E31" t="inlineStr">
        <is>
          <t>Sydney Office box drop</t>
        </is>
      </c>
      <c r="F31" t="n">
        <v>561</v>
      </c>
      <c r="G31" t="inlineStr">
        <is>
          <t>INV-10500</t>
        </is>
      </c>
      <c r="H31" s="51" t="n">
        <v>46198</v>
      </c>
      <c r="I31" t="n">
        <v>561</v>
      </c>
      <c r="J31" t="n">
        <v>0</v>
      </c>
      <c r="K31" t="inlineStr">
        <is>
          <t>Agrees</t>
        </is>
      </c>
      <c r="N31" t="inlineStr">
        <is>
          <t>OK</t>
        </is>
      </c>
      <c r="O31" t="inlineStr">
        <is>
          <t>PwC | Syd Studio Equipment</t>
        </is>
      </c>
      <c r="P31" t="inlineStr">
        <is>
          <t>INTEGRATION</t>
        </is>
      </c>
      <c r="Q31" t="inlineStr">
        <is>
          <t>Project</t>
        </is>
      </c>
      <c r="R31" t="inlineStr">
        <is>
          <t>GST 10%</t>
        </is>
      </c>
      <c r="S31" t="inlineStr">
        <is>
          <t>42300</t>
        </is>
      </c>
      <c r="T31" t="inlineStr">
        <is>
          <t>https://app.qwilr.com/#/page-view/6a336995d5bfec1e1c7a08ed</t>
        </is>
      </c>
      <c r="U31" t="inlineStr">
        <is>
          <t>Status: Closed</t>
        </is>
      </c>
      <c r="V31" t="n">
        <v>56.1</v>
      </c>
      <c r="W31" t="n">
        <v>617.1</v>
      </c>
      <c r="X31" s="51" t="n">
        <v>46203</v>
      </c>
      <c r="Y31" t="n">
        <v>1</v>
      </c>
      <c r="Z31" t="n">
        <v>561</v>
      </c>
      <c r="AA31" t="n">
        <v>561</v>
      </c>
      <c r="AB31" t="n">
        <v>10</v>
      </c>
      <c r="AD31" s="52">
        <f>IFERROR(N(IFERROR(INDEX($A31:$AB31,MATCH("Xero Invoiced Ex GST",$A$1:$AB$1,0)),"")),0)</f>
        <v/>
      </c>
      <c r="AE31" s="53">
        <f>IFERROR(INDEX($A31:$AB31,MATCH("Xero Invoice Date",$A$1:$AB$1,0)),"")</f>
        <v/>
      </c>
      <c r="AF31" s="54">
        <f>IF(AND(IFERROR(INDEX($A31:$AB31,MATCH("Xero Invoice No",$A$1:$AB$1,0)),"")&amp;""&lt;&gt;"",ISNUMBER(AE31),AD31&lt;&gt;0),1,0)</f>
        <v/>
      </c>
      <c r="AG31" s="55">
        <f>IF(AF31=1,EOMONTH(AE31,0),"")</f>
        <v/>
      </c>
      <c r="AH31" s="9">
        <f>IF(AF31=1,UPPER(TRIM(IFERROR(INDEX($A31:$AB31,MATCH("Client",$A$1:$AB$1,0)),"")&amp;"")),"")</f>
        <v/>
      </c>
      <c r="AI31" s="9">
        <f>IF(AF31=1,IFERROR(INDEX($A31:$AB31,MATCH("Cost Centre",$A$1:$AB$1,0)),"")&amp;"","")</f>
        <v/>
      </c>
      <c r="AJ31" s="54">
        <f>IF(AND(AF31=1,AE31&gt;=set_FYStart,AE31&lt;=set_AsAt),1,0)</f>
        <v/>
      </c>
      <c r="AK31" s="54">
        <f>IF(AND(AJ31=1,AH31&lt;&gt;"",COUNTIFS($AH$2:AH31,AH31,$AJ$2:AJ31,1)=1),N(AL30)+1,"")</f>
        <v/>
      </c>
      <c r="AL31" s="54">
        <f>IF(AK31&lt;&gt;"",AK31,N(AL30))</f>
        <v/>
      </c>
    </row>
    <row r="32">
      <c r="A32" t="inlineStr">
        <is>
          <t>ONS-0011</t>
        </is>
      </c>
      <c r="B32" t="inlineStr">
        <is>
          <t>Onsite</t>
        </is>
      </c>
      <c r="C32" t="inlineStr">
        <is>
          <t>2880</t>
        </is>
      </c>
      <c r="D32" t="inlineStr">
        <is>
          <t>RICOH</t>
        </is>
      </c>
      <c r="E32" t="inlineStr">
        <is>
          <t>Ricoh Contract July 2026</t>
        </is>
      </c>
      <c r="F32" t="n">
        <v>11860.5</v>
      </c>
      <c r="G32" t="inlineStr">
        <is>
          <t>INV-10536</t>
        </is>
      </c>
      <c r="H32" s="51" t="n">
        <v>46234</v>
      </c>
      <c r="I32" t="n">
        <v>11860.56</v>
      </c>
      <c r="J32" t="n">
        <v>-0.0599999999994907</v>
      </c>
      <c r="K32" t="inlineStr">
        <is>
          <t>Xero higher - check dept</t>
        </is>
      </c>
      <c r="M32" t="inlineStr">
        <is>
          <t>Xero check 28-Sep-26: Xero INV-10536 is $11,860.56 ex GST</t>
        </is>
      </c>
      <c r="N32" t="inlineStr">
        <is>
          <t>OK</t>
        </is>
      </c>
      <c r="O32" t="inlineStr">
        <is>
          <t>Ricoh - QANTAS</t>
        </is>
      </c>
      <c r="P32" t="inlineStr">
        <is>
          <t>ONSITE</t>
        </is>
      </c>
      <c r="Q32" t="inlineStr">
        <is>
          <t>Contract</t>
        </is>
      </c>
      <c r="R32" t="inlineStr">
        <is>
          <t>GST 10%</t>
        </is>
      </c>
      <c r="S32" t="inlineStr">
        <is>
          <t>41100</t>
        </is>
      </c>
      <c r="U32" t="inlineStr">
        <is>
          <t>2 months extension</t>
        </is>
      </c>
      <c r="V32" t="n">
        <v>1186.06</v>
      </c>
      <c r="W32" t="n">
        <v>13046.62</v>
      </c>
      <c r="X32" s="51" t="n">
        <v>46234</v>
      </c>
      <c r="Y32" t="n">
        <v>2</v>
      </c>
      <c r="Z32" t="n">
        <v>23721.06</v>
      </c>
      <c r="AA32" t="n">
        <v>23721.12</v>
      </c>
      <c r="AB32" t="n">
        <v>11</v>
      </c>
      <c r="AD32" s="52">
        <f>IFERROR(N(IFERROR(INDEX($A32:$AB32,MATCH("Xero Invoiced Ex GST",$A$1:$AB$1,0)),"")),0)</f>
        <v/>
      </c>
      <c r="AE32" s="53">
        <f>IFERROR(INDEX($A32:$AB32,MATCH("Xero Invoice Date",$A$1:$AB$1,0)),"")</f>
        <v/>
      </c>
      <c r="AF32" s="54">
        <f>IF(AND(IFERROR(INDEX($A32:$AB32,MATCH("Xero Invoice No",$A$1:$AB$1,0)),"")&amp;""&lt;&gt;"",ISNUMBER(AE32),AD32&lt;&gt;0),1,0)</f>
        <v/>
      </c>
      <c r="AG32" s="55">
        <f>IF(AF32=1,EOMONTH(AE32,0),"")</f>
        <v/>
      </c>
      <c r="AH32" s="9">
        <f>IF(AF32=1,UPPER(TRIM(IFERROR(INDEX($A32:$AB32,MATCH("Client",$A$1:$AB$1,0)),"")&amp;"")),"")</f>
        <v/>
      </c>
      <c r="AI32" s="9">
        <f>IF(AF32=1,IFERROR(INDEX($A32:$AB32,MATCH("Cost Centre",$A$1:$AB$1,0)),"")&amp;"","")</f>
        <v/>
      </c>
      <c r="AJ32" s="54">
        <f>IF(AND(AF32=1,AE32&gt;=set_FYStart,AE32&lt;=set_AsAt),1,0)</f>
        <v/>
      </c>
      <c r="AK32" s="54">
        <f>IF(AND(AJ32=1,AH32&lt;&gt;"",COUNTIFS($AH$2:AH32,AH32,$AJ$2:AJ32,1)=1),N(AL31)+1,"")</f>
        <v/>
      </c>
      <c r="AL32" s="54">
        <f>IF(AK32&lt;&gt;"",AK32,N(AL31))</f>
        <v/>
      </c>
    </row>
    <row r="33">
      <c r="A33" t="inlineStr">
        <is>
          <t>PRD-0011</t>
        </is>
      </c>
      <c r="B33" t="inlineStr">
        <is>
          <t>Production</t>
        </is>
      </c>
      <c r="C33" t="inlineStr">
        <is>
          <t>26063001</t>
        </is>
      </c>
      <c r="D33" t="inlineStr">
        <is>
          <t>Skykick Ranger</t>
        </is>
      </c>
      <c r="E33" t="inlineStr">
        <is>
          <t>Sydney Performance Dry Hire 26.7.26</t>
        </is>
      </c>
      <c r="F33" t="n">
        <v>975</v>
      </c>
      <c r="G33" t="inlineStr">
        <is>
          <t>INV-10533</t>
        </is>
      </c>
      <c r="H33" s="51" t="n">
        <v>46223</v>
      </c>
      <c r="I33" t="n">
        <v>975</v>
      </c>
      <c r="J33" t="n">
        <v>0</v>
      </c>
      <c r="K33" t="inlineStr">
        <is>
          <t>Agrees</t>
        </is>
      </c>
      <c r="L33" t="inlineStr">
        <is>
          <t>Job number not in the Xero job list</t>
        </is>
      </c>
      <c r="N33" t="inlineStr">
        <is>
          <t>CHECK</t>
        </is>
      </c>
      <c r="P33" t="inlineStr">
        <is>
          <t>PRODUCTION</t>
        </is>
      </c>
      <c r="Q33" t="inlineStr">
        <is>
          <t>Project</t>
        </is>
      </c>
      <c r="R33" t="inlineStr">
        <is>
          <t>GST 10%</t>
        </is>
      </c>
      <c r="S33" t="inlineStr">
        <is>
          <t>42100</t>
        </is>
      </c>
      <c r="T33" t="inlineStr">
        <is>
          <t>6114</t>
        </is>
      </c>
      <c r="V33" t="n">
        <v>97.5</v>
      </c>
      <c r="W33" t="n">
        <v>1072.5</v>
      </c>
      <c r="X33" s="51" t="n">
        <v>46234</v>
      </c>
      <c r="Y33" t="n">
        <v>1</v>
      </c>
      <c r="Z33" t="n">
        <v>975</v>
      </c>
      <c r="AA33" t="n">
        <v>975</v>
      </c>
      <c r="AB33" t="n">
        <v>11</v>
      </c>
      <c r="AD33" s="52">
        <f>IFERROR(N(IFERROR(INDEX($A33:$AB33,MATCH("Xero Invoiced Ex GST",$A$1:$AB$1,0)),"")),0)</f>
        <v/>
      </c>
      <c r="AE33" s="53">
        <f>IFERROR(INDEX($A33:$AB33,MATCH("Xero Invoice Date",$A$1:$AB$1,0)),"")</f>
        <v/>
      </c>
      <c r="AF33" s="54">
        <f>IF(AND(IFERROR(INDEX($A33:$AB33,MATCH("Xero Invoice No",$A$1:$AB$1,0)),"")&amp;""&lt;&gt;"",ISNUMBER(AE33),AD33&lt;&gt;0),1,0)</f>
        <v/>
      </c>
      <c r="AG33" s="55">
        <f>IF(AF33=1,EOMONTH(AE33,0),"")</f>
        <v/>
      </c>
      <c r="AH33" s="9">
        <f>IF(AF33=1,UPPER(TRIM(IFERROR(INDEX($A33:$AB33,MATCH("Client",$A$1:$AB$1,0)),"")&amp;"")),"")</f>
        <v/>
      </c>
      <c r="AI33" s="9">
        <f>IF(AF33=1,IFERROR(INDEX($A33:$AB33,MATCH("Cost Centre",$A$1:$AB$1,0)),"")&amp;"","")</f>
        <v/>
      </c>
      <c r="AJ33" s="54">
        <f>IF(AND(AF33=1,AE33&gt;=set_FYStart,AE33&lt;=set_AsAt),1,0)</f>
        <v/>
      </c>
      <c r="AK33" s="54">
        <f>IF(AND(AJ33=1,AH33&lt;&gt;"",COUNTIFS($AH$2:AH33,AH33,$AJ$2:AJ33,1)=1),N(AL32)+1,"")</f>
        <v/>
      </c>
      <c r="AL33" s="54">
        <f>IF(AK33&lt;&gt;"",AK33,N(AL32))</f>
        <v/>
      </c>
    </row>
    <row r="34">
      <c r="A34" t="inlineStr">
        <is>
          <t>CON-0011</t>
        </is>
      </c>
      <c r="B34" t="inlineStr">
        <is>
          <t>Consulting</t>
        </is>
      </c>
      <c r="C34" t="inlineStr">
        <is>
          <t>2602203</t>
        </is>
      </c>
      <c r="D34" t="inlineStr">
        <is>
          <t>YSG Studio</t>
        </is>
      </c>
      <c r="E34" t="inlineStr">
        <is>
          <t>Orange Room Upgrade CONS</t>
        </is>
      </c>
      <c r="F34" t="n">
        <v>2247.5</v>
      </c>
      <c r="G34" t="inlineStr">
        <is>
          <t>INV-10499</t>
        </is>
      </c>
      <c r="H34" s="51" t="n">
        <v>46198</v>
      </c>
      <c r="I34" t="n">
        <v>2247.5</v>
      </c>
      <c r="J34" t="n">
        <v>0</v>
      </c>
      <c r="K34" t="inlineStr">
        <is>
          <t>Agrees</t>
        </is>
      </c>
      <c r="N34" t="inlineStr">
        <is>
          <t>OK</t>
        </is>
      </c>
      <c r="O34" t="inlineStr">
        <is>
          <t>YSG Studio Orange Room Upgrade</t>
        </is>
      </c>
      <c r="P34" t="inlineStr">
        <is>
          <t>CONSULTING</t>
        </is>
      </c>
      <c r="Q34" t="inlineStr">
        <is>
          <t>Progress Claim</t>
        </is>
      </c>
      <c r="R34" t="inlineStr">
        <is>
          <t>GST 10%</t>
        </is>
      </c>
      <c r="S34" t="inlineStr">
        <is>
          <t>42800</t>
        </is>
      </c>
      <c r="T34" t="inlineStr">
        <is>
          <t>https://cts.qwilr.com/2602203-YSGStudio-Proposal-A-Yw8447MlTUK7</t>
        </is>
      </c>
      <c r="U34" t="inlineStr">
        <is>
          <t>Status: In Progress | Progress Claim 03</t>
        </is>
      </c>
      <c r="V34" t="n">
        <v>224.75</v>
      </c>
      <c r="W34" t="n">
        <v>2472.25</v>
      </c>
      <c r="X34" s="51" t="n">
        <v>46203</v>
      </c>
      <c r="Y34" t="n">
        <v>2</v>
      </c>
      <c r="Z34" t="n">
        <v>3262.5</v>
      </c>
      <c r="AA34" t="n">
        <v>3262.5</v>
      </c>
      <c r="AB34" t="n">
        <v>11</v>
      </c>
      <c r="AD34" s="52">
        <f>IFERROR(N(IFERROR(INDEX($A34:$AB34,MATCH("Xero Invoiced Ex GST",$A$1:$AB$1,0)),"")),0)</f>
        <v/>
      </c>
      <c r="AE34" s="53">
        <f>IFERROR(INDEX($A34:$AB34,MATCH("Xero Invoice Date",$A$1:$AB$1,0)),"")</f>
        <v/>
      </c>
      <c r="AF34" s="54">
        <f>IF(AND(IFERROR(INDEX($A34:$AB34,MATCH("Xero Invoice No",$A$1:$AB$1,0)),"")&amp;""&lt;&gt;"",ISNUMBER(AE34),AD34&lt;&gt;0),1,0)</f>
        <v/>
      </c>
      <c r="AG34" s="55">
        <f>IF(AF34=1,EOMONTH(AE34,0),"")</f>
        <v/>
      </c>
      <c r="AH34" s="9">
        <f>IF(AF34=1,UPPER(TRIM(IFERROR(INDEX($A34:$AB34,MATCH("Client",$A$1:$AB$1,0)),"")&amp;"")),"")</f>
        <v/>
      </c>
      <c r="AI34" s="9">
        <f>IF(AF34=1,IFERROR(INDEX($A34:$AB34,MATCH("Cost Centre",$A$1:$AB$1,0)),"")&amp;"","")</f>
        <v/>
      </c>
      <c r="AJ34" s="54">
        <f>IF(AND(AF34=1,AE34&gt;=set_FYStart,AE34&lt;=set_AsAt),1,0)</f>
        <v/>
      </c>
      <c r="AK34" s="54">
        <f>IF(AND(AJ34=1,AH34&lt;&gt;"",COUNTIFS($AH$2:AH34,AH34,$AJ$2:AJ34,1)=1),N(AL33)+1,"")</f>
        <v/>
      </c>
      <c r="AL34" s="54">
        <f>IF(AK34&lt;&gt;"",AK34,N(AL33))</f>
        <v/>
      </c>
    </row>
    <row r="35">
      <c r="A35" t="inlineStr">
        <is>
          <t>ONS-0012</t>
        </is>
      </c>
      <c r="B35" t="inlineStr">
        <is>
          <t>Onsite</t>
        </is>
      </c>
      <c r="D35" t="inlineStr">
        <is>
          <t>PWC</t>
        </is>
      </c>
      <c r="E35" t="inlineStr">
        <is>
          <t>PWC Dedicated Tech 29/07/2026</t>
        </is>
      </c>
      <c r="F35" t="n">
        <v>340</v>
      </c>
      <c r="G35" t="inlineStr">
        <is>
          <t>INV-10537</t>
        </is>
      </c>
      <c r="H35" s="51" t="n">
        <v>46233</v>
      </c>
      <c r="I35" t="n">
        <v>340</v>
      </c>
      <c r="J35" t="n">
        <v>0</v>
      </c>
      <c r="K35" t="inlineStr">
        <is>
          <t>Invoice on empty job row</t>
        </is>
      </c>
      <c r="L35" t="inlineStr">
        <is>
          <t>Invoice entered but the department row has no job number</t>
        </is>
      </c>
      <c r="P35" t="inlineStr">
        <is>
          <t>ONSITE</t>
        </is>
      </c>
      <c r="Q35" t="inlineStr">
        <is>
          <t>Ad-hoc</t>
        </is>
      </c>
      <c r="R35" t="inlineStr">
        <is>
          <t>GST 10%</t>
        </is>
      </c>
      <c r="S35" t="inlineStr">
        <is>
          <t>41100</t>
        </is>
      </c>
      <c r="U35" t="inlineStr">
        <is>
          <t>29/07/2026 4hours</t>
        </is>
      </c>
      <c r="V35" t="n">
        <v>34</v>
      </c>
      <c r="W35" t="n">
        <v>374</v>
      </c>
      <c r="X35" s="51" t="n">
        <v>46234</v>
      </c>
      <c r="AB35" t="n">
        <v>12</v>
      </c>
      <c r="AD35" s="52">
        <f>IFERROR(N(IFERROR(INDEX($A35:$AB35,MATCH("Xero Invoiced Ex GST",$A$1:$AB$1,0)),"")),0)</f>
        <v/>
      </c>
      <c r="AE35" s="53">
        <f>IFERROR(INDEX($A35:$AB35,MATCH("Xero Invoice Date",$A$1:$AB$1,0)),"")</f>
        <v/>
      </c>
      <c r="AF35" s="54">
        <f>IF(AND(IFERROR(INDEX($A35:$AB35,MATCH("Xero Invoice No",$A$1:$AB$1,0)),"")&amp;""&lt;&gt;"",ISNUMBER(AE35),AD35&lt;&gt;0),1,0)</f>
        <v/>
      </c>
      <c r="AG35" s="55">
        <f>IF(AF35=1,EOMONTH(AE35,0),"")</f>
        <v/>
      </c>
      <c r="AH35" s="9">
        <f>IF(AF35=1,UPPER(TRIM(IFERROR(INDEX($A35:$AB35,MATCH("Client",$A$1:$AB$1,0)),"")&amp;"")),"")</f>
        <v/>
      </c>
      <c r="AI35" s="9">
        <f>IF(AF35=1,IFERROR(INDEX($A35:$AB35,MATCH("Cost Centre",$A$1:$AB$1,0)),"")&amp;"","")</f>
        <v/>
      </c>
      <c r="AJ35" s="54">
        <f>IF(AND(AF35=1,AE35&gt;=set_FYStart,AE35&lt;=set_AsAt),1,0)</f>
        <v/>
      </c>
      <c r="AK35" s="54">
        <f>IF(AND(AJ35=1,AH35&lt;&gt;"",COUNTIFS($AH$2:AH35,AH35,$AJ$2:AJ35,1)=1),N(AL34)+1,"")</f>
        <v/>
      </c>
      <c r="AL35" s="54">
        <f>IF(AK35&lt;&gt;"",AK35,N(AL34))</f>
        <v/>
      </c>
    </row>
    <row r="36">
      <c r="A36" t="inlineStr">
        <is>
          <t>PRD-0012</t>
        </is>
      </c>
      <c r="B36" t="inlineStr">
        <is>
          <t>Production</t>
        </is>
      </c>
      <c r="C36" t="inlineStr">
        <is>
          <t>2604202</t>
        </is>
      </c>
      <c r="D36" t="inlineStr">
        <is>
          <t>Ventia</t>
        </is>
      </c>
      <c r="E36" t="inlineStr">
        <is>
          <t>Ventia Awards 28 &amp; 30.7.26 (PO 4701355678)</t>
        </is>
      </c>
      <c r="F36" t="n">
        <v>52749.78</v>
      </c>
      <c r="G36" t="inlineStr">
        <is>
          <t>INV-10557</t>
        </is>
      </c>
      <c r="H36" s="51" t="n">
        <v>46234</v>
      </c>
      <c r="I36" t="n">
        <v>52749.78</v>
      </c>
      <c r="J36" t="n">
        <v>0</v>
      </c>
      <c r="K36" t="inlineStr">
        <is>
          <t>Agrees</t>
        </is>
      </c>
      <c r="N36" t="inlineStr">
        <is>
          <t>OK</t>
        </is>
      </c>
      <c r="O36" t="inlineStr">
        <is>
          <t>Ventia - Ventia Awards - 30.7.26</t>
        </is>
      </c>
      <c r="P36" t="inlineStr">
        <is>
          <t>PRODUCTION</t>
        </is>
      </c>
      <c r="Q36" t="inlineStr">
        <is>
          <t>Project</t>
        </is>
      </c>
      <c r="R36" t="inlineStr">
        <is>
          <t>GST 10%</t>
        </is>
      </c>
      <c r="S36" t="inlineStr">
        <is>
          <t>42100</t>
        </is>
      </c>
      <c r="T36" t="inlineStr">
        <is>
          <t>6099</t>
        </is>
      </c>
      <c r="V36" t="n">
        <v>5274.98</v>
      </c>
      <c r="W36" t="n">
        <v>58024.76</v>
      </c>
      <c r="X36" s="51" t="n">
        <v>46234</v>
      </c>
      <c r="Y36" t="n">
        <v>1</v>
      </c>
      <c r="Z36" t="n">
        <v>52749.78</v>
      </c>
      <c r="AA36" t="n">
        <v>52749.78</v>
      </c>
      <c r="AB36" t="n">
        <v>12</v>
      </c>
      <c r="AD36" s="52">
        <f>IFERROR(N(IFERROR(INDEX($A36:$AB36,MATCH("Xero Invoiced Ex GST",$A$1:$AB$1,0)),"")),0)</f>
        <v/>
      </c>
      <c r="AE36" s="53">
        <f>IFERROR(INDEX($A36:$AB36,MATCH("Xero Invoice Date",$A$1:$AB$1,0)),"")</f>
        <v/>
      </c>
      <c r="AF36" s="54">
        <f>IF(AND(IFERROR(INDEX($A36:$AB36,MATCH("Xero Invoice No",$A$1:$AB$1,0)),"")&amp;""&lt;&gt;"",ISNUMBER(AE36),AD36&lt;&gt;0),1,0)</f>
        <v/>
      </c>
      <c r="AG36" s="55">
        <f>IF(AF36=1,EOMONTH(AE36,0),"")</f>
        <v/>
      </c>
      <c r="AH36" s="9">
        <f>IF(AF36=1,UPPER(TRIM(IFERROR(INDEX($A36:$AB36,MATCH("Client",$A$1:$AB$1,0)),"")&amp;"")),"")</f>
        <v/>
      </c>
      <c r="AI36" s="9">
        <f>IF(AF36=1,IFERROR(INDEX($A36:$AB36,MATCH("Cost Centre",$A$1:$AB$1,0)),"")&amp;"","")</f>
        <v/>
      </c>
      <c r="AJ36" s="54">
        <f>IF(AND(AF36=1,AE36&gt;=set_FYStart,AE36&lt;=set_AsAt),1,0)</f>
        <v/>
      </c>
      <c r="AK36" s="54">
        <f>IF(AND(AJ36=1,AH36&lt;&gt;"",COUNTIFS($AH$2:AH36,AH36,$AJ$2:AJ36,1)=1),N(AL35)+1,"")</f>
        <v/>
      </c>
      <c r="AL36" s="54">
        <f>IF(AK36&lt;&gt;"",AK36,N(AL35))</f>
        <v/>
      </c>
    </row>
    <row r="37">
      <c r="A37" t="inlineStr">
        <is>
          <t>CON-0012</t>
        </is>
      </c>
      <c r="B37" t="inlineStr">
        <is>
          <t>Consulting</t>
        </is>
      </c>
      <c r="C37" t="inlineStr">
        <is>
          <t>25111203</t>
        </is>
      </c>
      <c r="D37" t="inlineStr">
        <is>
          <t>CoS</t>
        </is>
      </c>
      <c r="E37" t="inlineStr">
        <is>
          <t>Barco E3 Sale</t>
        </is>
      </c>
      <c r="F37" t="n">
        <v>159150</v>
      </c>
      <c r="G37" t="inlineStr">
        <is>
          <t>INV-10510</t>
        </is>
      </c>
      <c r="H37" s="51" t="n">
        <v>46203</v>
      </c>
      <c r="I37" t="n">
        <v>159150</v>
      </c>
      <c r="J37" t="n">
        <v>0</v>
      </c>
      <c r="K37" t="inlineStr">
        <is>
          <t>Agrees</t>
        </is>
      </c>
      <c r="N37" t="inlineStr">
        <is>
          <t>OK</t>
        </is>
      </c>
      <c r="O37" t="inlineStr">
        <is>
          <t>CoS | Barco E3 Sale</t>
        </is>
      </c>
      <c r="P37" t="inlineStr">
        <is>
          <t>INTEGRATION</t>
        </is>
      </c>
      <c r="Q37" t="inlineStr">
        <is>
          <t>Project</t>
        </is>
      </c>
      <c r="R37" t="inlineStr">
        <is>
          <t>GST 10%</t>
        </is>
      </c>
      <c r="S37" t="inlineStr">
        <is>
          <t>42300</t>
        </is>
      </c>
      <c r="T37" t="inlineStr">
        <is>
          <t>https://cts.qwilr.com/25111203-CoS-Proposal-v3-0-SyP1MwQ2TcKi</t>
        </is>
      </c>
      <c r="U37" t="inlineStr">
        <is>
          <t>Status: Closed</t>
        </is>
      </c>
      <c r="V37" t="n">
        <v>15915</v>
      </c>
      <c r="W37" t="n">
        <v>175065</v>
      </c>
      <c r="X37" s="51" t="n">
        <v>46203</v>
      </c>
      <c r="Y37" t="n">
        <v>1</v>
      </c>
      <c r="Z37" t="n">
        <v>159150</v>
      </c>
      <c r="AA37" t="n">
        <v>159150</v>
      </c>
      <c r="AB37" t="n">
        <v>12</v>
      </c>
      <c r="AD37" s="52">
        <f>IFERROR(N(IFERROR(INDEX($A37:$AB37,MATCH("Xero Invoiced Ex GST",$A$1:$AB$1,0)),"")),0)</f>
        <v/>
      </c>
      <c r="AE37" s="53">
        <f>IFERROR(INDEX($A37:$AB37,MATCH("Xero Invoice Date",$A$1:$AB$1,0)),"")</f>
        <v/>
      </c>
      <c r="AF37" s="54">
        <f>IF(AND(IFERROR(INDEX($A37:$AB37,MATCH("Xero Invoice No",$A$1:$AB$1,0)),"")&amp;""&lt;&gt;"",ISNUMBER(AE37),AD37&lt;&gt;0),1,0)</f>
        <v/>
      </c>
      <c r="AG37" s="55">
        <f>IF(AF37=1,EOMONTH(AE37,0),"")</f>
        <v/>
      </c>
      <c r="AH37" s="9">
        <f>IF(AF37=1,UPPER(TRIM(IFERROR(INDEX($A37:$AB37,MATCH("Client",$A$1:$AB$1,0)),"")&amp;"")),"")</f>
        <v/>
      </c>
      <c r="AI37" s="9">
        <f>IF(AF37=1,IFERROR(INDEX($A37:$AB37,MATCH("Cost Centre",$A$1:$AB$1,0)),"")&amp;"","")</f>
        <v/>
      </c>
      <c r="AJ37" s="54">
        <f>IF(AND(AF37=1,AE37&gt;=set_FYStart,AE37&lt;=set_AsAt),1,0)</f>
        <v/>
      </c>
      <c r="AK37" s="54">
        <f>IF(AND(AJ37=1,AH37&lt;&gt;"",COUNTIFS($AH$2:AH37,AH37,$AJ$2:AJ37,1)=1),N(AL36)+1,"")</f>
        <v/>
      </c>
      <c r="AL37" s="54">
        <f>IF(AK37&lt;&gt;"",AK37,N(AL36))</f>
        <v/>
      </c>
    </row>
    <row r="38">
      <c r="A38" t="inlineStr">
        <is>
          <t>ONS-0013</t>
        </is>
      </c>
      <c r="B38" t="inlineStr">
        <is>
          <t>Onsite</t>
        </is>
      </c>
      <c r="C38" t="inlineStr">
        <is>
          <t>3056</t>
        </is>
      </c>
      <c r="D38" t="inlineStr">
        <is>
          <t>APN</t>
        </is>
      </c>
      <c r="E38" t="inlineStr">
        <is>
          <t>APN Tech Support July 22 &amp; 24</t>
        </is>
      </c>
      <c r="F38" t="n">
        <v>680</v>
      </c>
      <c r="G38" t="inlineStr">
        <is>
          <t>INV-10541</t>
        </is>
      </c>
      <c r="H38" s="51" t="n">
        <v>46233</v>
      </c>
      <c r="I38" t="n">
        <v>680</v>
      </c>
      <c r="J38" t="n">
        <v>0</v>
      </c>
      <c r="K38" t="inlineStr">
        <is>
          <t>Agrees</t>
        </is>
      </c>
      <c r="N38" t="inlineStr">
        <is>
          <t>OK</t>
        </is>
      </c>
      <c r="O38" t="inlineStr">
        <is>
          <t>AusPayNet Onsite [Chargeable]</t>
        </is>
      </c>
      <c r="P38" t="inlineStr">
        <is>
          <t>ONSITE</t>
        </is>
      </c>
      <c r="Q38" t="inlineStr">
        <is>
          <t>Ad-hoc</t>
        </is>
      </c>
      <c r="R38" t="inlineStr">
        <is>
          <t>GST 10%</t>
        </is>
      </c>
      <c r="S38" t="inlineStr">
        <is>
          <t>41100</t>
        </is>
      </c>
      <c r="V38" t="n">
        <v>68</v>
      </c>
      <c r="W38" t="n">
        <v>748</v>
      </c>
      <c r="X38" s="51" t="n">
        <v>46234</v>
      </c>
      <c r="Y38" t="n">
        <v>1</v>
      </c>
      <c r="Z38" t="n">
        <v>680</v>
      </c>
      <c r="AA38" t="n">
        <v>680</v>
      </c>
      <c r="AB38" t="n">
        <v>13</v>
      </c>
      <c r="AD38" s="52">
        <f>IFERROR(N(IFERROR(INDEX($A38:$AB38,MATCH("Xero Invoiced Ex GST",$A$1:$AB$1,0)),"")),0)</f>
        <v/>
      </c>
      <c r="AE38" s="53">
        <f>IFERROR(INDEX($A38:$AB38,MATCH("Xero Invoice Date",$A$1:$AB$1,0)),"")</f>
        <v/>
      </c>
      <c r="AF38" s="54">
        <f>IF(AND(IFERROR(INDEX($A38:$AB38,MATCH("Xero Invoice No",$A$1:$AB$1,0)),"")&amp;""&lt;&gt;"",ISNUMBER(AE38),AD38&lt;&gt;0),1,0)</f>
        <v/>
      </c>
      <c r="AG38" s="55">
        <f>IF(AF38=1,EOMONTH(AE38,0),"")</f>
        <v/>
      </c>
      <c r="AH38" s="9">
        <f>IF(AF38=1,UPPER(TRIM(IFERROR(INDEX($A38:$AB38,MATCH("Client",$A$1:$AB$1,0)),"")&amp;"")),"")</f>
        <v/>
      </c>
      <c r="AI38" s="9">
        <f>IF(AF38=1,IFERROR(INDEX($A38:$AB38,MATCH("Cost Centre",$A$1:$AB$1,0)),"")&amp;"","")</f>
        <v/>
      </c>
      <c r="AJ38" s="54">
        <f>IF(AND(AF38=1,AE38&gt;=set_FYStart,AE38&lt;=set_AsAt),1,0)</f>
        <v/>
      </c>
      <c r="AK38" s="54">
        <f>IF(AND(AJ38=1,AH38&lt;&gt;"",COUNTIFS($AH$2:AH38,AH38,$AJ$2:AJ38,1)=1),N(AL37)+1,"")</f>
        <v/>
      </c>
      <c r="AL38" s="54">
        <f>IF(AK38&lt;&gt;"",AK38,N(AL37))</f>
        <v/>
      </c>
    </row>
    <row r="39">
      <c r="A39" t="inlineStr">
        <is>
          <t>PRD-0013</t>
        </is>
      </c>
      <c r="B39" t="inlineStr">
        <is>
          <t>Production</t>
        </is>
      </c>
      <c r="C39" t="inlineStr">
        <is>
          <t>26062202</t>
        </is>
      </c>
      <c r="D39" t="inlineStr">
        <is>
          <t>PWC</t>
        </is>
      </c>
      <c r="E39" t="inlineStr">
        <is>
          <t>Early Careers Webcast 29.7.26</t>
        </is>
      </c>
      <c r="F39" t="n">
        <v>1925</v>
      </c>
      <c r="G39" t="inlineStr">
        <is>
          <t>INV-10555</t>
        </is>
      </c>
      <c r="H39" s="51" t="n">
        <v>46234</v>
      </c>
      <c r="I39" t="n">
        <v>1925</v>
      </c>
      <c r="J39" t="n">
        <v>0</v>
      </c>
      <c r="K39" t="inlineStr">
        <is>
          <t>Agrees</t>
        </is>
      </c>
      <c r="N39" t="inlineStr">
        <is>
          <t>OK</t>
        </is>
      </c>
      <c r="O39" t="inlineStr">
        <is>
          <t>PWC - Early Careers Webcast - 29.7.26</t>
        </is>
      </c>
      <c r="P39" t="inlineStr">
        <is>
          <t>PRODUCTION</t>
        </is>
      </c>
      <c r="Q39" t="inlineStr">
        <is>
          <t>Project</t>
        </is>
      </c>
      <c r="R39" t="inlineStr">
        <is>
          <t>GST 10%</t>
        </is>
      </c>
      <c r="S39" t="inlineStr">
        <is>
          <t>42100</t>
        </is>
      </c>
      <c r="T39" t="inlineStr">
        <is>
          <t>6075</t>
        </is>
      </c>
      <c r="V39" t="n">
        <v>192.5</v>
      </c>
      <c r="W39" t="n">
        <v>2117.5</v>
      </c>
      <c r="X39" s="51" t="n">
        <v>46234</v>
      </c>
      <c r="Y39" t="n">
        <v>1</v>
      </c>
      <c r="Z39" t="n">
        <v>1925</v>
      </c>
      <c r="AA39" t="n">
        <v>1925</v>
      </c>
      <c r="AB39" t="n">
        <v>13</v>
      </c>
      <c r="AD39" s="52">
        <f>IFERROR(N(IFERROR(INDEX($A39:$AB39,MATCH("Xero Invoiced Ex GST",$A$1:$AB$1,0)),"")),0)</f>
        <v/>
      </c>
      <c r="AE39" s="53">
        <f>IFERROR(INDEX($A39:$AB39,MATCH("Xero Invoice Date",$A$1:$AB$1,0)),"")</f>
        <v/>
      </c>
      <c r="AF39" s="54">
        <f>IF(AND(IFERROR(INDEX($A39:$AB39,MATCH("Xero Invoice No",$A$1:$AB$1,0)),"")&amp;""&lt;&gt;"",ISNUMBER(AE39),AD39&lt;&gt;0),1,0)</f>
        <v/>
      </c>
      <c r="AG39" s="55">
        <f>IF(AF39=1,EOMONTH(AE39,0),"")</f>
        <v/>
      </c>
      <c r="AH39" s="9">
        <f>IF(AF39=1,UPPER(TRIM(IFERROR(INDEX($A39:$AB39,MATCH("Client",$A$1:$AB$1,0)),"")&amp;"")),"")</f>
        <v/>
      </c>
      <c r="AI39" s="9">
        <f>IF(AF39=1,IFERROR(INDEX($A39:$AB39,MATCH("Cost Centre",$A$1:$AB$1,0)),"")&amp;"","")</f>
        <v/>
      </c>
      <c r="AJ39" s="54">
        <f>IF(AND(AF39=1,AE39&gt;=set_FYStart,AE39&lt;=set_AsAt),1,0)</f>
        <v/>
      </c>
      <c r="AK39" s="54">
        <f>IF(AND(AJ39=1,AH39&lt;&gt;"",COUNTIFS($AH$2:AH39,AH39,$AJ$2:AJ39,1)=1),N(AL38)+1,"")</f>
        <v/>
      </c>
      <c r="AL39" s="54">
        <f>IF(AK39&lt;&gt;"",AK39,N(AL38))</f>
        <v/>
      </c>
    </row>
    <row r="40">
      <c r="A40" t="inlineStr">
        <is>
          <t>CON-0013</t>
        </is>
      </c>
      <c r="B40" t="inlineStr">
        <is>
          <t>Consulting</t>
        </is>
      </c>
      <c r="C40" t="inlineStr">
        <is>
          <t>26033003</t>
        </is>
      </c>
      <c r="D40" t="inlineStr">
        <is>
          <t>DTTL</t>
        </is>
      </c>
      <c r="E40" t="inlineStr">
        <is>
          <t>8PSQ-Dream-Big-Microphones</t>
        </is>
      </c>
      <c r="F40" t="n">
        <v>27408</v>
      </c>
      <c r="G40" t="inlineStr">
        <is>
          <t>INV-10355</t>
        </is>
      </c>
      <c r="H40" s="51" t="n">
        <v>46203</v>
      </c>
      <c r="I40" t="n">
        <v>27408</v>
      </c>
      <c r="J40" t="n">
        <v>0</v>
      </c>
      <c r="K40" t="inlineStr">
        <is>
          <t>Agrees</t>
        </is>
      </c>
      <c r="N40" t="inlineStr">
        <is>
          <t>OK</t>
        </is>
      </c>
      <c r="O40" t="inlineStr">
        <is>
          <t>DTTL 8PSQ Dream Big Microphones</t>
        </is>
      </c>
      <c r="P40" t="inlineStr">
        <is>
          <t>INTEGRATION</t>
        </is>
      </c>
      <c r="Q40" t="inlineStr">
        <is>
          <t>Project</t>
        </is>
      </c>
      <c r="R40" t="inlineStr">
        <is>
          <t>GST 10%</t>
        </is>
      </c>
      <c r="S40" t="inlineStr">
        <is>
          <t>42300</t>
        </is>
      </c>
      <c r="T40" t="inlineStr">
        <is>
          <t>26033003-Deloitte-8PSQ-Dream-Big-Microphones-v1-0-E9jd4w9T62Y1</t>
        </is>
      </c>
      <c r="U40" t="inlineStr">
        <is>
          <t>Status: Closed | Invoiced in DTTL Additionals</t>
        </is>
      </c>
      <c r="V40" t="n">
        <v>2740.8</v>
      </c>
      <c r="W40" t="n">
        <v>30148.8</v>
      </c>
      <c r="X40" s="51" t="n">
        <v>46203</v>
      </c>
      <c r="Y40" t="n">
        <v>1</v>
      </c>
      <c r="Z40" t="n">
        <v>27408</v>
      </c>
      <c r="AA40" t="n">
        <v>27408</v>
      </c>
      <c r="AB40" t="n">
        <v>13</v>
      </c>
      <c r="AD40" s="52">
        <f>IFERROR(N(IFERROR(INDEX($A40:$AB40,MATCH("Xero Invoiced Ex GST",$A$1:$AB$1,0)),"")),0)</f>
        <v/>
      </c>
      <c r="AE40" s="53">
        <f>IFERROR(INDEX($A40:$AB40,MATCH("Xero Invoice Date",$A$1:$AB$1,0)),"")</f>
        <v/>
      </c>
      <c r="AF40" s="54">
        <f>IF(AND(IFERROR(INDEX($A40:$AB40,MATCH("Xero Invoice No",$A$1:$AB$1,0)),"")&amp;""&lt;&gt;"",ISNUMBER(AE40),AD40&lt;&gt;0),1,0)</f>
        <v/>
      </c>
      <c r="AG40" s="55">
        <f>IF(AF40=1,EOMONTH(AE40,0),"")</f>
        <v/>
      </c>
      <c r="AH40" s="9">
        <f>IF(AF40=1,UPPER(TRIM(IFERROR(INDEX($A40:$AB40,MATCH("Client",$A$1:$AB$1,0)),"")&amp;"")),"")</f>
        <v/>
      </c>
      <c r="AI40" s="9">
        <f>IF(AF40=1,IFERROR(INDEX($A40:$AB40,MATCH("Cost Centre",$A$1:$AB$1,0)),"")&amp;"","")</f>
        <v/>
      </c>
      <c r="AJ40" s="54">
        <f>IF(AND(AF40=1,AE40&gt;=set_FYStart,AE40&lt;=set_AsAt),1,0)</f>
        <v/>
      </c>
      <c r="AK40" s="54">
        <f>IF(AND(AJ40=1,AH40&lt;&gt;"",COUNTIFS($AH$2:AH40,AH40,$AJ$2:AJ40,1)=1),N(AL39)+1,"")</f>
        <v/>
      </c>
      <c r="AL40" s="54">
        <f>IF(AK40&lt;&gt;"",AK40,N(AL39))</f>
        <v/>
      </c>
    </row>
    <row r="41">
      <c r="A41" t="inlineStr">
        <is>
          <t>ONS-0014</t>
        </is>
      </c>
      <c r="B41" t="inlineStr">
        <is>
          <t>Onsite</t>
        </is>
      </c>
      <c r="C41" t="inlineStr">
        <is>
          <t>20250731</t>
        </is>
      </c>
      <c r="D41" t="inlineStr">
        <is>
          <t>PWC</t>
        </is>
      </c>
      <c r="E41" t="inlineStr">
        <is>
          <t>PWC Pool of Hours (50 hours)</t>
        </is>
      </c>
      <c r="F41" t="n">
        <v>4250</v>
      </c>
      <c r="G41" t="inlineStr">
        <is>
          <t>INV-10539</t>
        </is>
      </c>
      <c r="H41" s="51" t="n">
        <v>46233</v>
      </c>
      <c r="I41" t="n">
        <v>4250</v>
      </c>
      <c r="J41" t="n">
        <v>0</v>
      </c>
      <c r="K41" t="inlineStr">
        <is>
          <t>Agrees</t>
        </is>
      </c>
      <c r="N41" t="inlineStr">
        <is>
          <t>OK</t>
        </is>
      </c>
      <c r="O41" t="inlineStr">
        <is>
          <t>PWC National Pool of Hours</t>
        </is>
      </c>
      <c r="P41" t="inlineStr">
        <is>
          <t>ONSITE</t>
        </is>
      </c>
      <c r="Q41" t="inlineStr">
        <is>
          <t>Ad-hoc</t>
        </is>
      </c>
      <c r="R41" t="inlineStr">
        <is>
          <t>GST 10%</t>
        </is>
      </c>
      <c r="S41" t="inlineStr">
        <is>
          <t>41100</t>
        </is>
      </c>
      <c r="U41" t="inlineStr">
        <is>
          <t>PO2601703215</t>
        </is>
      </c>
      <c r="V41" t="n">
        <v>425</v>
      </c>
      <c r="W41" t="n">
        <v>4675</v>
      </c>
      <c r="X41" s="51" t="n">
        <v>46234</v>
      </c>
      <c r="Y41" t="n">
        <v>1</v>
      </c>
      <c r="Z41" t="n">
        <v>4250</v>
      </c>
      <c r="AA41" t="n">
        <v>4250</v>
      </c>
      <c r="AB41" t="n">
        <v>14</v>
      </c>
      <c r="AD41" s="52">
        <f>IFERROR(N(IFERROR(INDEX($A41:$AB41,MATCH("Xero Invoiced Ex GST",$A$1:$AB$1,0)),"")),0)</f>
        <v/>
      </c>
      <c r="AE41" s="53">
        <f>IFERROR(INDEX($A41:$AB41,MATCH("Xero Invoice Date",$A$1:$AB$1,0)),"")</f>
        <v/>
      </c>
      <c r="AF41" s="54">
        <f>IF(AND(IFERROR(INDEX($A41:$AB41,MATCH("Xero Invoice No",$A$1:$AB$1,0)),"")&amp;""&lt;&gt;"",ISNUMBER(AE41),AD41&lt;&gt;0),1,0)</f>
        <v/>
      </c>
      <c r="AG41" s="55">
        <f>IF(AF41=1,EOMONTH(AE41,0),"")</f>
        <v/>
      </c>
      <c r="AH41" s="9">
        <f>IF(AF41=1,UPPER(TRIM(IFERROR(INDEX($A41:$AB41,MATCH("Client",$A$1:$AB$1,0)),"")&amp;"")),"")</f>
        <v/>
      </c>
      <c r="AI41" s="9">
        <f>IF(AF41=1,IFERROR(INDEX($A41:$AB41,MATCH("Cost Centre",$A$1:$AB$1,0)),"")&amp;"","")</f>
        <v/>
      </c>
      <c r="AJ41" s="54">
        <f>IF(AND(AF41=1,AE41&gt;=set_FYStart,AE41&lt;=set_AsAt),1,0)</f>
        <v/>
      </c>
      <c r="AK41" s="54">
        <f>IF(AND(AJ41=1,AH41&lt;&gt;"",COUNTIFS($AH$2:AH41,AH41,$AJ$2:AJ41,1)=1),N(AL40)+1,"")</f>
        <v/>
      </c>
      <c r="AL41" s="54">
        <f>IF(AK41&lt;&gt;"",AK41,N(AL40))</f>
        <v/>
      </c>
    </row>
    <row r="42">
      <c r="A42" t="inlineStr">
        <is>
          <t>PRD-0014</t>
        </is>
      </c>
      <c r="B42" t="inlineStr">
        <is>
          <t>Production</t>
        </is>
      </c>
      <c r="C42" t="inlineStr">
        <is>
          <t>26071303</t>
        </is>
      </c>
      <c r="D42" t="inlineStr">
        <is>
          <t>Ventia (Melbourne)</t>
        </is>
      </c>
      <c r="E42" t="inlineStr">
        <is>
          <t>Melbourne Office Event 30&amp;31.7.26</t>
        </is>
      </c>
      <c r="F42" t="n">
        <v>11570</v>
      </c>
      <c r="G42" t="inlineStr">
        <is>
          <t>INV-10558</t>
        </is>
      </c>
      <c r="H42" s="51" t="n">
        <v>46234</v>
      </c>
      <c r="I42" t="n">
        <v>11570</v>
      </c>
      <c r="J42" t="n">
        <v>0</v>
      </c>
      <c r="K42" t="inlineStr">
        <is>
          <t>Agrees</t>
        </is>
      </c>
      <c r="N42" t="inlineStr">
        <is>
          <t>OK</t>
        </is>
      </c>
      <c r="O42" t="inlineStr">
        <is>
          <t>Ventia - Melbourne Office Event - 30.7.26</t>
        </is>
      </c>
      <c r="P42" t="inlineStr">
        <is>
          <t>PRODUCTION</t>
        </is>
      </c>
      <c r="Q42" t="inlineStr">
        <is>
          <t>Project</t>
        </is>
      </c>
      <c r="R42" t="inlineStr">
        <is>
          <t>GST 10%</t>
        </is>
      </c>
      <c r="S42" t="inlineStr">
        <is>
          <t>42100</t>
        </is>
      </c>
      <c r="T42" t="inlineStr">
        <is>
          <t>6125</t>
        </is>
      </c>
      <c r="V42" t="n">
        <v>1157</v>
      </c>
      <c r="W42" t="n">
        <v>12727</v>
      </c>
      <c r="X42" s="51" t="n">
        <v>46234</v>
      </c>
      <c r="Y42" t="n">
        <v>1</v>
      </c>
      <c r="Z42" t="n">
        <v>11570</v>
      </c>
      <c r="AA42" t="n">
        <v>11570</v>
      </c>
      <c r="AB42" t="n">
        <v>14</v>
      </c>
      <c r="AD42" s="52">
        <f>IFERROR(N(IFERROR(INDEX($A42:$AB42,MATCH("Xero Invoiced Ex GST",$A$1:$AB$1,0)),"")),0)</f>
        <v/>
      </c>
      <c r="AE42" s="53">
        <f>IFERROR(INDEX($A42:$AB42,MATCH("Xero Invoice Date",$A$1:$AB$1,0)),"")</f>
        <v/>
      </c>
      <c r="AF42" s="54">
        <f>IF(AND(IFERROR(INDEX($A42:$AB42,MATCH("Xero Invoice No",$A$1:$AB$1,0)),"")&amp;""&lt;&gt;"",ISNUMBER(AE42),AD42&lt;&gt;0),1,0)</f>
        <v/>
      </c>
      <c r="AG42" s="55">
        <f>IF(AF42=1,EOMONTH(AE42,0),"")</f>
        <v/>
      </c>
      <c r="AH42" s="9">
        <f>IF(AF42=1,UPPER(TRIM(IFERROR(INDEX($A42:$AB42,MATCH("Client",$A$1:$AB$1,0)),"")&amp;"")),"")</f>
        <v/>
      </c>
      <c r="AI42" s="9">
        <f>IF(AF42=1,IFERROR(INDEX($A42:$AB42,MATCH("Cost Centre",$A$1:$AB$1,0)),"")&amp;"","")</f>
        <v/>
      </c>
      <c r="AJ42" s="54">
        <f>IF(AND(AF42=1,AE42&gt;=set_FYStart,AE42&lt;=set_AsAt),1,0)</f>
        <v/>
      </c>
      <c r="AK42" s="54">
        <f>IF(AND(AJ42=1,AH42&lt;&gt;"",COUNTIFS($AH$2:AH42,AH42,$AJ$2:AJ42,1)=1),N(AL41)+1,"")</f>
        <v/>
      </c>
      <c r="AL42" s="54">
        <f>IF(AK42&lt;&gt;"",AK42,N(AL41))</f>
        <v/>
      </c>
    </row>
    <row r="43">
      <c r="A43" t="inlineStr">
        <is>
          <t>CON-0014</t>
        </is>
      </c>
      <c r="B43" t="inlineStr">
        <is>
          <t>Consulting</t>
        </is>
      </c>
      <c r="C43" t="inlineStr">
        <is>
          <t>26033005</t>
        </is>
      </c>
      <c r="D43" t="inlineStr">
        <is>
          <t>DTTL</t>
        </is>
      </c>
      <c r="E43" t="inlineStr">
        <is>
          <t>QQT &amp; 8PSQ_Crestron Connect Adaptor</t>
        </is>
      </c>
      <c r="F43" t="n">
        <v>20128</v>
      </c>
      <c r="G43" t="inlineStr">
        <is>
          <t>INV-10355</t>
        </is>
      </c>
      <c r="H43" s="51" t="n">
        <v>46203</v>
      </c>
      <c r="I43" t="n">
        <v>20128</v>
      </c>
      <c r="J43" t="n">
        <v>0</v>
      </c>
      <c r="K43" t="inlineStr">
        <is>
          <t>Agrees</t>
        </is>
      </c>
      <c r="N43" t="inlineStr">
        <is>
          <t>OK</t>
        </is>
      </c>
      <c r="O43" t="inlineStr">
        <is>
          <t>DTTL QQT &amp; 8PSQ Crestron Connect Adaptor</t>
        </is>
      </c>
      <c r="P43" t="inlineStr">
        <is>
          <t>INTEGRATION</t>
        </is>
      </c>
      <c r="Q43" t="inlineStr">
        <is>
          <t>Project</t>
        </is>
      </c>
      <c r="R43" t="inlineStr">
        <is>
          <t>GST 10%</t>
        </is>
      </c>
      <c r="S43" t="inlineStr">
        <is>
          <t>42300</t>
        </is>
      </c>
      <c r="T43" t="inlineStr">
        <is>
          <t>26033005_Deloitte QQT &amp; 8PSQ_Crestron Connect Adaptor_v1.0</t>
        </is>
      </c>
      <c r="U43" t="inlineStr">
        <is>
          <t>Status: In Progress</t>
        </is>
      </c>
      <c r="V43" t="n">
        <v>2012.8</v>
      </c>
      <c r="W43" t="n">
        <v>22140.8</v>
      </c>
      <c r="X43" s="51" t="n">
        <v>46203</v>
      </c>
      <c r="Y43" t="n">
        <v>1</v>
      </c>
      <c r="Z43" t="n">
        <v>20128</v>
      </c>
      <c r="AA43" t="n">
        <v>20128</v>
      </c>
      <c r="AB43" t="n">
        <v>14</v>
      </c>
      <c r="AD43" s="52">
        <f>IFERROR(N(IFERROR(INDEX($A43:$AB43,MATCH("Xero Invoiced Ex GST",$A$1:$AB$1,0)),"")),0)</f>
        <v/>
      </c>
      <c r="AE43" s="53">
        <f>IFERROR(INDEX($A43:$AB43,MATCH("Xero Invoice Date",$A$1:$AB$1,0)),"")</f>
        <v/>
      </c>
      <c r="AF43" s="54">
        <f>IF(AND(IFERROR(INDEX($A43:$AB43,MATCH("Xero Invoice No",$A$1:$AB$1,0)),"")&amp;""&lt;&gt;"",ISNUMBER(AE43),AD43&lt;&gt;0),1,0)</f>
        <v/>
      </c>
      <c r="AG43" s="55">
        <f>IF(AF43=1,EOMONTH(AE43,0),"")</f>
        <v/>
      </c>
      <c r="AH43" s="9">
        <f>IF(AF43=1,UPPER(TRIM(IFERROR(INDEX($A43:$AB43,MATCH("Client",$A$1:$AB$1,0)),"")&amp;"")),"")</f>
        <v/>
      </c>
      <c r="AI43" s="9">
        <f>IF(AF43=1,IFERROR(INDEX($A43:$AB43,MATCH("Cost Centre",$A$1:$AB$1,0)),"")&amp;"","")</f>
        <v/>
      </c>
      <c r="AJ43" s="54">
        <f>IF(AND(AF43=1,AE43&gt;=set_FYStart,AE43&lt;=set_AsAt),1,0)</f>
        <v/>
      </c>
      <c r="AK43" s="54">
        <f>IF(AND(AJ43=1,AH43&lt;&gt;"",COUNTIFS($AH$2:AH43,AH43,$AJ$2:AJ43,1)=1),N(AL42)+1,"")</f>
        <v/>
      </c>
      <c r="AL43" s="54">
        <f>IF(AK43&lt;&gt;"",AK43,N(AL42))</f>
        <v/>
      </c>
    </row>
    <row r="44">
      <c r="A44" t="inlineStr">
        <is>
          <t>ONS-0015</t>
        </is>
      </c>
      <c r="B44" t="inlineStr">
        <is>
          <t>Onsite</t>
        </is>
      </c>
      <c r="C44" t="inlineStr">
        <is>
          <t>1668</t>
        </is>
      </c>
      <c r="D44" t="inlineStr">
        <is>
          <t>CBA</t>
        </is>
      </c>
      <c r="E44" t="inlineStr">
        <is>
          <t>AH Support 02/07/2026</t>
        </is>
      </c>
      <c r="F44" t="n">
        <v>180</v>
      </c>
      <c r="G44" t="inlineStr">
        <is>
          <t>INV-10542</t>
        </is>
      </c>
      <c r="H44" s="51" t="n">
        <v>46234</v>
      </c>
      <c r="I44" t="n">
        <v>180</v>
      </c>
      <c r="J44" t="n">
        <v>0</v>
      </c>
      <c r="K44" t="inlineStr">
        <is>
          <t>Agrees</t>
        </is>
      </c>
      <c r="N44" t="inlineStr">
        <is>
          <t>OK</t>
        </is>
      </c>
      <c r="O44" t="inlineStr">
        <is>
          <t>CBA Dedicated Tech</t>
        </is>
      </c>
      <c r="P44" t="inlineStr">
        <is>
          <t>ONSITE</t>
        </is>
      </c>
      <c r="Q44" t="inlineStr">
        <is>
          <t>Ad-hoc</t>
        </is>
      </c>
      <c r="R44" t="inlineStr">
        <is>
          <t>GST 10%</t>
        </is>
      </c>
      <c r="S44" t="inlineStr">
        <is>
          <t>41100</t>
        </is>
      </c>
      <c r="V44" t="n">
        <v>18</v>
      </c>
      <c r="W44" t="n">
        <v>198</v>
      </c>
      <c r="X44" s="51" t="n">
        <v>46234</v>
      </c>
      <c r="Y44" t="n">
        <v>12</v>
      </c>
      <c r="Z44" t="n">
        <v>5290</v>
      </c>
      <c r="AA44" t="n">
        <v>5290</v>
      </c>
      <c r="AB44" t="n">
        <v>15</v>
      </c>
      <c r="AD44" s="52">
        <f>IFERROR(N(IFERROR(INDEX($A44:$AB44,MATCH("Xero Invoiced Ex GST",$A$1:$AB$1,0)),"")),0)</f>
        <v/>
      </c>
      <c r="AE44" s="53">
        <f>IFERROR(INDEX($A44:$AB44,MATCH("Xero Invoice Date",$A$1:$AB$1,0)),"")</f>
        <v/>
      </c>
      <c r="AF44" s="54">
        <f>IF(AND(IFERROR(INDEX($A44:$AB44,MATCH("Xero Invoice No",$A$1:$AB$1,0)),"")&amp;""&lt;&gt;"",ISNUMBER(AE44),AD44&lt;&gt;0),1,0)</f>
        <v/>
      </c>
      <c r="AG44" s="55">
        <f>IF(AF44=1,EOMONTH(AE44,0),"")</f>
        <v/>
      </c>
      <c r="AH44" s="9">
        <f>IF(AF44=1,UPPER(TRIM(IFERROR(INDEX($A44:$AB44,MATCH("Client",$A$1:$AB$1,0)),"")&amp;"")),"")</f>
        <v/>
      </c>
      <c r="AI44" s="9">
        <f>IF(AF44=1,IFERROR(INDEX($A44:$AB44,MATCH("Cost Centre",$A$1:$AB$1,0)),"")&amp;"","")</f>
        <v/>
      </c>
      <c r="AJ44" s="54">
        <f>IF(AND(AF44=1,AE44&gt;=set_FYStart,AE44&lt;=set_AsAt),1,0)</f>
        <v/>
      </c>
      <c r="AK44" s="54">
        <f>IF(AND(AJ44=1,AH44&lt;&gt;"",COUNTIFS($AH$2:AH44,AH44,$AJ$2:AJ44,1)=1),N(AL43)+1,"")</f>
        <v/>
      </c>
      <c r="AL44" s="54">
        <f>IF(AK44&lt;&gt;"",AK44,N(AL43))</f>
        <v/>
      </c>
    </row>
    <row r="45">
      <c r="A45" t="inlineStr">
        <is>
          <t>PRD-0015</t>
        </is>
      </c>
      <c r="B45" t="inlineStr">
        <is>
          <t>Production</t>
        </is>
      </c>
      <c r="C45" t="inlineStr">
        <is>
          <t>26061702</t>
        </is>
      </c>
      <c r="D45" t="inlineStr">
        <is>
          <t>Garvan</t>
        </is>
      </c>
      <c r="E45" t="inlineStr">
        <is>
          <t>Morning Tea Event 31.7.26 (PO-58817)</t>
        </is>
      </c>
      <c r="F45" t="n">
        <v>1120</v>
      </c>
      <c r="G45" t="inlineStr">
        <is>
          <t>INV-10556</t>
        </is>
      </c>
      <c r="H45" s="51" t="n">
        <v>46234</v>
      </c>
      <c r="I45" t="n">
        <v>1120</v>
      </c>
      <c r="J45" t="n">
        <v>0</v>
      </c>
      <c r="K45" t="inlineStr">
        <is>
          <t>Agrees</t>
        </is>
      </c>
      <c r="N45" t="inlineStr">
        <is>
          <t>OK</t>
        </is>
      </c>
      <c r="O45" t="inlineStr">
        <is>
          <t>Garvan - Morning Tea Event - 31.7.26</t>
        </is>
      </c>
      <c r="P45" t="inlineStr">
        <is>
          <t>PRODUCTION</t>
        </is>
      </c>
      <c r="Q45" t="inlineStr">
        <is>
          <t>Project</t>
        </is>
      </c>
      <c r="R45" t="inlineStr">
        <is>
          <t>GST 10%</t>
        </is>
      </c>
      <c r="S45" t="inlineStr">
        <is>
          <t>42100</t>
        </is>
      </c>
      <c r="T45" t="inlineStr">
        <is>
          <t>6066</t>
        </is>
      </c>
      <c r="V45" t="n">
        <v>112</v>
      </c>
      <c r="W45" t="n">
        <v>1232</v>
      </c>
      <c r="X45" s="51" t="n">
        <v>46234</v>
      </c>
      <c r="Y45" t="n">
        <v>1</v>
      </c>
      <c r="Z45" t="n">
        <v>1120</v>
      </c>
      <c r="AA45" t="n">
        <v>1120</v>
      </c>
      <c r="AB45" t="n">
        <v>15</v>
      </c>
      <c r="AD45" s="52">
        <f>IFERROR(N(IFERROR(INDEX($A45:$AB45,MATCH("Xero Invoiced Ex GST",$A$1:$AB$1,0)),"")),0)</f>
        <v/>
      </c>
      <c r="AE45" s="53">
        <f>IFERROR(INDEX($A45:$AB45,MATCH("Xero Invoice Date",$A$1:$AB$1,0)),"")</f>
        <v/>
      </c>
      <c r="AF45" s="54">
        <f>IF(AND(IFERROR(INDEX($A45:$AB45,MATCH("Xero Invoice No",$A$1:$AB$1,0)),"")&amp;""&lt;&gt;"",ISNUMBER(AE45),AD45&lt;&gt;0),1,0)</f>
        <v/>
      </c>
      <c r="AG45" s="55">
        <f>IF(AF45=1,EOMONTH(AE45,0),"")</f>
        <v/>
      </c>
      <c r="AH45" s="9">
        <f>IF(AF45=1,UPPER(TRIM(IFERROR(INDEX($A45:$AB45,MATCH("Client",$A$1:$AB$1,0)),"")&amp;"")),"")</f>
        <v/>
      </c>
      <c r="AI45" s="9">
        <f>IF(AF45=1,IFERROR(INDEX($A45:$AB45,MATCH("Cost Centre",$A$1:$AB$1,0)),"")&amp;"","")</f>
        <v/>
      </c>
      <c r="AJ45" s="54">
        <f>IF(AND(AF45=1,AE45&gt;=set_FYStart,AE45&lt;=set_AsAt),1,0)</f>
        <v/>
      </c>
      <c r="AK45" s="54">
        <f>IF(AND(AJ45=1,AH45&lt;&gt;"",COUNTIFS($AH$2:AH45,AH45,$AJ$2:AJ45,1)=1),N(AL44)+1,"")</f>
        <v/>
      </c>
      <c r="AL45" s="54">
        <f>IF(AK45&lt;&gt;"",AK45,N(AL44))</f>
        <v/>
      </c>
    </row>
    <row r="46">
      <c r="A46" t="inlineStr">
        <is>
          <t>CON-0015</t>
        </is>
      </c>
      <c r="B46" t="inlineStr">
        <is>
          <t>Consulting</t>
        </is>
      </c>
      <c r="C46" t="inlineStr">
        <is>
          <t>26033006</t>
        </is>
      </c>
      <c r="D46" t="inlineStr">
        <is>
          <t>DTTL</t>
        </is>
      </c>
      <c r="E46" t="inlineStr">
        <is>
          <t>8PSQ_Bluetooth Audio</t>
        </is>
      </c>
      <c r="F46" t="n">
        <v>5065</v>
      </c>
      <c r="G46" t="inlineStr">
        <is>
          <t>INV-10355</t>
        </is>
      </c>
      <c r="H46" s="51" t="n">
        <v>46203</v>
      </c>
      <c r="I46" t="n">
        <v>5065</v>
      </c>
      <c r="J46" t="n">
        <v>0</v>
      </c>
      <c r="K46" t="inlineStr">
        <is>
          <t>Agrees</t>
        </is>
      </c>
      <c r="N46" t="inlineStr">
        <is>
          <t>OK</t>
        </is>
      </c>
      <c r="O46" t="inlineStr">
        <is>
          <t>DTTL 8PSQ Bluetooth Audio</t>
        </is>
      </c>
      <c r="P46" t="inlineStr">
        <is>
          <t>INTEGRATION</t>
        </is>
      </c>
      <c r="Q46" t="inlineStr">
        <is>
          <t>Project</t>
        </is>
      </c>
      <c r="R46" t="inlineStr">
        <is>
          <t>GST 10%</t>
        </is>
      </c>
      <c r="S46" t="inlineStr">
        <is>
          <t>42300</t>
        </is>
      </c>
      <c r="T46" t="inlineStr">
        <is>
          <t>26033006_Deloitte 8PSQ_Bluetooth Audio_v1.0</t>
        </is>
      </c>
      <c r="U46" t="inlineStr">
        <is>
          <t>Status: In Progress</t>
        </is>
      </c>
      <c r="V46" t="n">
        <v>506.5</v>
      </c>
      <c r="W46" t="n">
        <v>5571.5</v>
      </c>
      <c r="X46" s="51" t="n">
        <v>46203</v>
      </c>
      <c r="Y46" t="n">
        <v>1</v>
      </c>
      <c r="Z46" t="n">
        <v>5065</v>
      </c>
      <c r="AA46" t="n">
        <v>5065</v>
      </c>
      <c r="AB46" t="n">
        <v>15</v>
      </c>
      <c r="AD46" s="52">
        <f>IFERROR(N(IFERROR(INDEX($A46:$AB46,MATCH("Xero Invoiced Ex GST",$A$1:$AB$1,0)),"")),0)</f>
        <v/>
      </c>
      <c r="AE46" s="53">
        <f>IFERROR(INDEX($A46:$AB46,MATCH("Xero Invoice Date",$A$1:$AB$1,0)),"")</f>
        <v/>
      </c>
      <c r="AF46" s="54">
        <f>IF(AND(IFERROR(INDEX($A46:$AB46,MATCH("Xero Invoice No",$A$1:$AB$1,0)),"")&amp;""&lt;&gt;"",ISNUMBER(AE46),AD46&lt;&gt;0),1,0)</f>
        <v/>
      </c>
      <c r="AG46" s="55">
        <f>IF(AF46=1,EOMONTH(AE46,0),"")</f>
        <v/>
      </c>
      <c r="AH46" s="9">
        <f>IF(AF46=1,UPPER(TRIM(IFERROR(INDEX($A46:$AB46,MATCH("Client",$A$1:$AB$1,0)),"")&amp;"")),"")</f>
        <v/>
      </c>
      <c r="AI46" s="9">
        <f>IF(AF46=1,IFERROR(INDEX($A46:$AB46,MATCH("Cost Centre",$A$1:$AB$1,0)),"")&amp;"","")</f>
        <v/>
      </c>
      <c r="AJ46" s="54">
        <f>IF(AND(AF46=1,AE46&gt;=set_FYStart,AE46&lt;=set_AsAt),1,0)</f>
        <v/>
      </c>
      <c r="AK46" s="54">
        <f>IF(AND(AJ46=1,AH46&lt;&gt;"",COUNTIFS($AH$2:AH46,AH46,$AJ$2:AJ46,1)=1),N(AL45)+1,"")</f>
        <v/>
      </c>
      <c r="AL46" s="54">
        <f>IF(AK46&lt;&gt;"",AK46,N(AL45))</f>
        <v/>
      </c>
    </row>
    <row r="47">
      <c r="A47" t="inlineStr">
        <is>
          <t>ONS-0016</t>
        </is>
      </c>
      <c r="B47" t="inlineStr">
        <is>
          <t>Onsite</t>
        </is>
      </c>
      <c r="C47" t="inlineStr">
        <is>
          <t>1668</t>
        </is>
      </c>
      <c r="D47" t="inlineStr">
        <is>
          <t>CBA</t>
        </is>
      </c>
      <c r="E47" t="inlineStr">
        <is>
          <t>DT Support 02/07/2026</t>
        </is>
      </c>
      <c r="F47" t="n">
        <v>425</v>
      </c>
      <c r="G47" t="inlineStr">
        <is>
          <t>INV-10543</t>
        </is>
      </c>
      <c r="H47" s="51" t="n">
        <v>46234</v>
      </c>
      <c r="I47" t="n">
        <v>425</v>
      </c>
      <c r="J47" t="n">
        <v>0</v>
      </c>
      <c r="K47" t="inlineStr">
        <is>
          <t>Agrees</t>
        </is>
      </c>
      <c r="N47" t="inlineStr">
        <is>
          <t>OK</t>
        </is>
      </c>
      <c r="O47" t="inlineStr">
        <is>
          <t>CBA Dedicated Tech</t>
        </is>
      </c>
      <c r="P47" t="inlineStr">
        <is>
          <t>ONSITE</t>
        </is>
      </c>
      <c r="Q47" t="inlineStr">
        <is>
          <t>Ad-hoc</t>
        </is>
      </c>
      <c r="R47" t="inlineStr">
        <is>
          <t>GST 10%</t>
        </is>
      </c>
      <c r="S47" t="inlineStr">
        <is>
          <t>41100</t>
        </is>
      </c>
      <c r="V47" t="n">
        <v>42.5</v>
      </c>
      <c r="W47" t="n">
        <v>467.5</v>
      </c>
      <c r="X47" s="51" t="n">
        <v>46234</v>
      </c>
      <c r="Y47" t="n">
        <v>12</v>
      </c>
      <c r="Z47" t="n">
        <v>5290</v>
      </c>
      <c r="AA47" t="n">
        <v>5290</v>
      </c>
      <c r="AB47" t="n">
        <v>16</v>
      </c>
      <c r="AD47" s="52">
        <f>IFERROR(N(IFERROR(INDEX($A47:$AB47,MATCH("Xero Invoiced Ex GST",$A$1:$AB$1,0)),"")),0)</f>
        <v/>
      </c>
      <c r="AE47" s="53">
        <f>IFERROR(INDEX($A47:$AB47,MATCH("Xero Invoice Date",$A$1:$AB$1,0)),"")</f>
        <v/>
      </c>
      <c r="AF47" s="54">
        <f>IF(AND(IFERROR(INDEX($A47:$AB47,MATCH("Xero Invoice No",$A$1:$AB$1,0)),"")&amp;""&lt;&gt;"",ISNUMBER(AE47),AD47&lt;&gt;0),1,0)</f>
        <v/>
      </c>
      <c r="AG47" s="55">
        <f>IF(AF47=1,EOMONTH(AE47,0),"")</f>
        <v/>
      </c>
      <c r="AH47" s="9">
        <f>IF(AF47=1,UPPER(TRIM(IFERROR(INDEX($A47:$AB47,MATCH("Client",$A$1:$AB$1,0)),"")&amp;"")),"")</f>
        <v/>
      </c>
      <c r="AI47" s="9">
        <f>IF(AF47=1,IFERROR(INDEX($A47:$AB47,MATCH("Cost Centre",$A$1:$AB$1,0)),"")&amp;"","")</f>
        <v/>
      </c>
      <c r="AJ47" s="54">
        <f>IF(AND(AF47=1,AE47&gt;=set_FYStart,AE47&lt;=set_AsAt),1,0)</f>
        <v/>
      </c>
      <c r="AK47" s="54">
        <f>IF(AND(AJ47=1,AH47&lt;&gt;"",COUNTIFS($AH$2:AH47,AH47,$AJ$2:AJ47,1)=1),N(AL46)+1,"")</f>
        <v/>
      </c>
      <c r="AL47" s="54">
        <f>IF(AK47&lt;&gt;"",AK47,N(AL46))</f>
        <v/>
      </c>
    </row>
    <row r="48">
      <c r="A48" t="inlineStr">
        <is>
          <t>PRD-0016</t>
        </is>
      </c>
      <c r="B48" t="inlineStr">
        <is>
          <t>Production</t>
        </is>
      </c>
      <c r="C48" t="inlineStr">
        <is>
          <t>26061701</t>
        </is>
      </c>
      <c r="D48" t="inlineStr">
        <is>
          <t>CBA</t>
        </is>
      </c>
      <c r="E48" t="inlineStr">
        <is>
          <t>CBA LES July 2026</t>
        </is>
      </c>
      <c r="F48" t="n">
        <v>8550</v>
      </c>
      <c r="G48" t="inlineStr">
        <is>
          <t>INV-10559</t>
        </is>
      </c>
      <c r="H48" s="51" t="n">
        <v>46234</v>
      </c>
      <c r="I48" t="n">
        <v>8882.5</v>
      </c>
      <c r="J48" t="n">
        <v>-332.5</v>
      </c>
      <c r="K48" t="inlineStr">
        <is>
          <t>Xero higher - check dept</t>
        </is>
      </c>
      <c r="M48" t="inlineStr">
        <is>
          <t>Xero check 28-Sep-26: Xero INV-10559 is $8,882.50 ex GST; the $332.50 loading reversal is the separate credit note row PRD-0017, so $8,550 here counted the credit twice</t>
        </is>
      </c>
      <c r="N48" t="inlineStr">
        <is>
          <t>OK</t>
        </is>
      </c>
      <c r="O48" t="inlineStr">
        <is>
          <t>CBA - LES - July 2026</t>
        </is>
      </c>
      <c r="P48" t="inlineStr">
        <is>
          <t>PRODUCTION</t>
        </is>
      </c>
      <c r="Q48" t="inlineStr">
        <is>
          <t>Project</t>
        </is>
      </c>
      <c r="R48" t="inlineStr">
        <is>
          <t>GST 10%</t>
        </is>
      </c>
      <c r="S48" t="inlineStr">
        <is>
          <t>42100</t>
        </is>
      </c>
      <c r="T48" t="inlineStr">
        <is>
          <t>6145</t>
        </is>
      </c>
      <c r="V48" t="n">
        <v>888.25</v>
      </c>
      <c r="W48" t="n">
        <v>9770.75</v>
      </c>
      <c r="X48" s="51" t="n">
        <v>46234</v>
      </c>
      <c r="Y48" t="n">
        <v>2</v>
      </c>
      <c r="Z48" t="n">
        <v>8217.5</v>
      </c>
      <c r="AA48" t="n">
        <v>8550</v>
      </c>
      <c r="AB48" t="n">
        <v>16</v>
      </c>
      <c r="AD48" s="52">
        <f>IFERROR(N(IFERROR(INDEX($A48:$AB48,MATCH("Xero Invoiced Ex GST",$A$1:$AB$1,0)),"")),0)</f>
        <v/>
      </c>
      <c r="AE48" s="53">
        <f>IFERROR(INDEX($A48:$AB48,MATCH("Xero Invoice Date",$A$1:$AB$1,0)),"")</f>
        <v/>
      </c>
      <c r="AF48" s="54">
        <f>IF(AND(IFERROR(INDEX($A48:$AB48,MATCH("Xero Invoice No",$A$1:$AB$1,0)),"")&amp;""&lt;&gt;"",ISNUMBER(AE48),AD48&lt;&gt;0),1,0)</f>
        <v/>
      </c>
      <c r="AG48" s="55">
        <f>IF(AF48=1,EOMONTH(AE48,0),"")</f>
        <v/>
      </c>
      <c r="AH48" s="9">
        <f>IF(AF48=1,UPPER(TRIM(IFERROR(INDEX($A48:$AB48,MATCH("Client",$A$1:$AB$1,0)),"")&amp;"")),"")</f>
        <v/>
      </c>
      <c r="AI48" s="9">
        <f>IF(AF48=1,IFERROR(INDEX($A48:$AB48,MATCH("Cost Centre",$A$1:$AB$1,0)),"")&amp;"","")</f>
        <v/>
      </c>
      <c r="AJ48" s="54">
        <f>IF(AND(AF48=1,AE48&gt;=set_FYStart,AE48&lt;=set_AsAt),1,0)</f>
        <v/>
      </c>
      <c r="AK48" s="54">
        <f>IF(AND(AJ48=1,AH48&lt;&gt;"",COUNTIFS($AH$2:AH48,AH48,$AJ$2:AJ48,1)=1),N(AL47)+1,"")</f>
        <v/>
      </c>
      <c r="AL48" s="54">
        <f>IF(AK48&lt;&gt;"",AK48,N(AL47))</f>
        <v/>
      </c>
    </row>
    <row r="49">
      <c r="A49" t="inlineStr">
        <is>
          <t>CON-0016</t>
        </is>
      </c>
      <c r="B49" t="inlineStr">
        <is>
          <t>Consulting</t>
        </is>
      </c>
      <c r="C49" t="inlineStr">
        <is>
          <t>26033007</t>
        </is>
      </c>
      <c r="D49" t="inlineStr">
        <is>
          <t>DTTL</t>
        </is>
      </c>
      <c r="E49" t="inlineStr">
        <is>
          <t>QQT_Lv45 Seminar-Wheels repair</t>
        </is>
      </c>
      <c r="F49" t="n">
        <v>354</v>
      </c>
      <c r="G49" t="inlineStr">
        <is>
          <t>INV-10355</t>
        </is>
      </c>
      <c r="H49" s="51" t="n">
        <v>46203</v>
      </c>
      <c r="I49" t="n">
        <v>354</v>
      </c>
      <c r="J49" t="n">
        <v>0</v>
      </c>
      <c r="K49" t="inlineStr">
        <is>
          <t>Agrees</t>
        </is>
      </c>
      <c r="N49" t="inlineStr">
        <is>
          <t>OK</t>
        </is>
      </c>
      <c r="O49" t="inlineStr">
        <is>
          <t>DTTL QQT Lv45 Seminar Wheels repair</t>
        </is>
      </c>
      <c r="P49" t="inlineStr">
        <is>
          <t>INTEGRATION</t>
        </is>
      </c>
      <c r="Q49" t="inlineStr">
        <is>
          <t>Project</t>
        </is>
      </c>
      <c r="R49" t="inlineStr">
        <is>
          <t>GST 10%</t>
        </is>
      </c>
      <c r="S49" t="inlineStr">
        <is>
          <t>42300</t>
        </is>
      </c>
      <c r="T49" t="inlineStr">
        <is>
          <t>26033007_Deloitte QQT_Lv45 Seminar-Wheels repair_v1.0</t>
        </is>
      </c>
      <c r="U49" t="inlineStr">
        <is>
          <t>Status: In Progress</t>
        </is>
      </c>
      <c r="V49" t="n">
        <v>35.4</v>
      </c>
      <c r="W49" t="n">
        <v>389.4</v>
      </c>
      <c r="X49" s="51" t="n">
        <v>46203</v>
      </c>
      <c r="Y49" t="n">
        <v>1</v>
      </c>
      <c r="Z49" t="n">
        <v>354</v>
      </c>
      <c r="AA49" t="n">
        <v>354</v>
      </c>
      <c r="AB49" t="n">
        <v>16</v>
      </c>
      <c r="AD49" s="52">
        <f>IFERROR(N(IFERROR(INDEX($A49:$AB49,MATCH("Xero Invoiced Ex GST",$A$1:$AB$1,0)),"")),0)</f>
        <v/>
      </c>
      <c r="AE49" s="53">
        <f>IFERROR(INDEX($A49:$AB49,MATCH("Xero Invoice Date",$A$1:$AB$1,0)),"")</f>
        <v/>
      </c>
      <c r="AF49" s="54">
        <f>IF(AND(IFERROR(INDEX($A49:$AB49,MATCH("Xero Invoice No",$A$1:$AB$1,0)),"")&amp;""&lt;&gt;"",ISNUMBER(AE49),AD49&lt;&gt;0),1,0)</f>
        <v/>
      </c>
      <c r="AG49" s="55">
        <f>IF(AF49=1,EOMONTH(AE49,0),"")</f>
        <v/>
      </c>
      <c r="AH49" s="9">
        <f>IF(AF49=1,UPPER(TRIM(IFERROR(INDEX($A49:$AB49,MATCH("Client",$A$1:$AB$1,0)),"")&amp;"")),"")</f>
        <v/>
      </c>
      <c r="AI49" s="9">
        <f>IF(AF49=1,IFERROR(INDEX($A49:$AB49,MATCH("Cost Centre",$A$1:$AB$1,0)),"")&amp;"","")</f>
        <v/>
      </c>
      <c r="AJ49" s="54">
        <f>IF(AND(AF49=1,AE49&gt;=set_FYStart,AE49&lt;=set_AsAt),1,0)</f>
        <v/>
      </c>
      <c r="AK49" s="54">
        <f>IF(AND(AJ49=1,AH49&lt;&gt;"",COUNTIFS($AH$2:AH49,AH49,$AJ$2:AJ49,1)=1),N(AL48)+1,"")</f>
        <v/>
      </c>
      <c r="AL49" s="54">
        <f>IF(AK49&lt;&gt;"",AK49,N(AL48))</f>
        <v/>
      </c>
    </row>
    <row r="50">
      <c r="A50" t="inlineStr">
        <is>
          <t>ONS-0017</t>
        </is>
      </c>
      <c r="B50" t="inlineStr">
        <is>
          <t>Onsite</t>
        </is>
      </c>
      <c r="C50" t="inlineStr">
        <is>
          <t>1668</t>
        </is>
      </c>
      <c r="D50" t="inlineStr">
        <is>
          <t>CBA</t>
        </is>
      </c>
      <c r="E50" t="inlineStr">
        <is>
          <t>DT Support 23/07/2026</t>
        </is>
      </c>
      <c r="F50" t="n">
        <v>510</v>
      </c>
      <c r="G50" t="inlineStr">
        <is>
          <t>INV-10544</t>
        </is>
      </c>
      <c r="H50" s="51" t="n">
        <v>46234</v>
      </c>
      <c r="I50" t="n">
        <v>510</v>
      </c>
      <c r="J50" t="n">
        <v>0</v>
      </c>
      <c r="K50" t="inlineStr">
        <is>
          <t>Agrees</t>
        </is>
      </c>
      <c r="N50" t="inlineStr">
        <is>
          <t>OK</t>
        </is>
      </c>
      <c r="O50" t="inlineStr">
        <is>
          <t>CBA Dedicated Tech</t>
        </is>
      </c>
      <c r="P50" t="inlineStr">
        <is>
          <t>ONSITE</t>
        </is>
      </c>
      <c r="Q50" t="inlineStr">
        <is>
          <t>Ad-hoc</t>
        </is>
      </c>
      <c r="R50" t="inlineStr">
        <is>
          <t>GST 10%</t>
        </is>
      </c>
      <c r="S50" t="inlineStr">
        <is>
          <t>41100</t>
        </is>
      </c>
      <c r="V50" t="n">
        <v>51</v>
      </c>
      <c r="W50" t="n">
        <v>561</v>
      </c>
      <c r="X50" s="51" t="n">
        <v>46234</v>
      </c>
      <c r="Y50" t="n">
        <v>12</v>
      </c>
      <c r="Z50" t="n">
        <v>5290</v>
      </c>
      <c r="AA50" t="n">
        <v>5290</v>
      </c>
      <c r="AB50" t="n">
        <v>17</v>
      </c>
      <c r="AD50" s="52">
        <f>IFERROR(N(IFERROR(INDEX($A50:$AB50,MATCH("Xero Invoiced Ex GST",$A$1:$AB$1,0)),"")),0)</f>
        <v/>
      </c>
      <c r="AE50" s="53">
        <f>IFERROR(INDEX($A50:$AB50,MATCH("Xero Invoice Date",$A$1:$AB$1,0)),"")</f>
        <v/>
      </c>
      <c r="AF50" s="54">
        <f>IF(AND(IFERROR(INDEX($A50:$AB50,MATCH("Xero Invoice No",$A$1:$AB$1,0)),"")&amp;""&lt;&gt;"",ISNUMBER(AE50),AD50&lt;&gt;0),1,0)</f>
        <v/>
      </c>
      <c r="AG50" s="55">
        <f>IF(AF50=1,EOMONTH(AE50,0),"")</f>
        <v/>
      </c>
      <c r="AH50" s="9">
        <f>IF(AF50=1,UPPER(TRIM(IFERROR(INDEX($A50:$AB50,MATCH("Client",$A$1:$AB$1,0)),"")&amp;"")),"")</f>
        <v/>
      </c>
      <c r="AI50" s="9">
        <f>IF(AF50=1,IFERROR(INDEX($A50:$AB50,MATCH("Cost Centre",$A$1:$AB$1,0)),"")&amp;"","")</f>
        <v/>
      </c>
      <c r="AJ50" s="54">
        <f>IF(AND(AF50=1,AE50&gt;=set_FYStart,AE50&lt;=set_AsAt),1,0)</f>
        <v/>
      </c>
      <c r="AK50" s="54">
        <f>IF(AND(AJ50=1,AH50&lt;&gt;"",COUNTIFS($AH$2:AH50,AH50,$AJ$2:AJ50,1)=1),N(AL49)+1,"")</f>
        <v/>
      </c>
      <c r="AL50" s="54">
        <f>IF(AK50&lt;&gt;"",AK50,N(AL49))</f>
        <v/>
      </c>
    </row>
    <row r="51">
      <c r="A51" t="inlineStr">
        <is>
          <t>PRD-0017</t>
        </is>
      </c>
      <c r="B51" t="inlineStr">
        <is>
          <t>Production</t>
        </is>
      </c>
      <c r="C51" t="inlineStr">
        <is>
          <t>26061701</t>
        </is>
      </c>
      <c r="D51" t="inlineStr">
        <is>
          <t>CBA</t>
        </is>
      </c>
      <c r="E51" t="inlineStr">
        <is>
          <t>CBA LES July 2026 Loading Reversal</t>
        </is>
      </c>
      <c r="F51" t="n">
        <v>-332.5</v>
      </c>
      <c r="G51" t="inlineStr">
        <is>
          <t>CN-10563</t>
        </is>
      </c>
      <c r="H51" s="51" t="n">
        <v>46247</v>
      </c>
      <c r="I51" t="n">
        <v>-332.5</v>
      </c>
      <c r="J51" t="n">
        <v>0</v>
      </c>
      <c r="K51" t="inlineStr">
        <is>
          <t>Agrees</t>
        </is>
      </c>
      <c r="M51" t="inlineStr">
        <is>
          <t>Xero check 28-Sep-26: CN-10563 dated 13-Aug-26 in Xero - moved from July to August</t>
        </is>
      </c>
      <c r="N51" t="inlineStr">
        <is>
          <t>OK</t>
        </is>
      </c>
      <c r="O51" t="inlineStr">
        <is>
          <t>CBA - LES - July 2026</t>
        </is>
      </c>
      <c r="P51" t="inlineStr">
        <is>
          <t>PRODUCTION</t>
        </is>
      </c>
      <c r="Q51" t="inlineStr">
        <is>
          <t>Credit Note</t>
        </is>
      </c>
      <c r="R51" t="inlineStr">
        <is>
          <t>GST 10%</t>
        </is>
      </c>
      <c r="S51" t="inlineStr">
        <is>
          <t>42100</t>
        </is>
      </c>
      <c r="T51" t="inlineStr">
        <is>
          <t>6145</t>
        </is>
      </c>
      <c r="V51" t="n">
        <v>-33.25</v>
      </c>
      <c r="W51" t="n">
        <v>-365.75</v>
      </c>
      <c r="X51" s="51" t="n">
        <v>46265</v>
      </c>
      <c r="Y51" t="n">
        <v>2</v>
      </c>
      <c r="Z51" t="n">
        <v>8217.5</v>
      </c>
      <c r="AA51" t="n">
        <v>8550</v>
      </c>
      <c r="AB51" t="n">
        <v>17</v>
      </c>
      <c r="AD51" s="52">
        <f>IFERROR(N(IFERROR(INDEX($A51:$AB51,MATCH("Xero Invoiced Ex GST",$A$1:$AB$1,0)),"")),0)</f>
        <v/>
      </c>
      <c r="AE51" s="53">
        <f>IFERROR(INDEX($A51:$AB51,MATCH("Xero Invoice Date",$A$1:$AB$1,0)),"")</f>
        <v/>
      </c>
      <c r="AF51" s="54">
        <f>IF(AND(IFERROR(INDEX($A51:$AB51,MATCH("Xero Invoice No",$A$1:$AB$1,0)),"")&amp;""&lt;&gt;"",ISNUMBER(AE51),AD51&lt;&gt;0),1,0)</f>
        <v/>
      </c>
      <c r="AG51" s="55">
        <f>IF(AF51=1,EOMONTH(AE51,0),"")</f>
        <v/>
      </c>
      <c r="AH51" s="9">
        <f>IF(AF51=1,UPPER(TRIM(IFERROR(INDEX($A51:$AB51,MATCH("Client",$A$1:$AB$1,0)),"")&amp;"")),"")</f>
        <v/>
      </c>
      <c r="AI51" s="9">
        <f>IF(AF51=1,IFERROR(INDEX($A51:$AB51,MATCH("Cost Centre",$A$1:$AB$1,0)),"")&amp;"","")</f>
        <v/>
      </c>
      <c r="AJ51" s="54">
        <f>IF(AND(AF51=1,AE51&gt;=set_FYStart,AE51&lt;=set_AsAt),1,0)</f>
        <v/>
      </c>
      <c r="AK51" s="54">
        <f>IF(AND(AJ51=1,AH51&lt;&gt;"",COUNTIFS($AH$2:AH51,AH51,$AJ$2:AJ51,1)=1),N(AL50)+1,"")</f>
        <v/>
      </c>
      <c r="AL51" s="54">
        <f>IF(AK51&lt;&gt;"",AK51,N(AL50))</f>
        <v/>
      </c>
    </row>
    <row r="52">
      <c r="A52" t="inlineStr">
        <is>
          <t>CON-0017</t>
        </is>
      </c>
      <c r="B52" t="inlineStr">
        <is>
          <t>Consulting</t>
        </is>
      </c>
      <c r="C52" t="inlineStr">
        <is>
          <t>26051301</t>
        </is>
      </c>
      <c r="D52" t="inlineStr">
        <is>
          <t>HP Poly - BAE</t>
        </is>
      </c>
      <c r="E52" t="inlineStr">
        <is>
          <t>Phone Mod</t>
        </is>
      </c>
      <c r="F52" t="n">
        <v>1161</v>
      </c>
      <c r="G52" t="inlineStr">
        <is>
          <t>INV-10516</t>
        </is>
      </c>
      <c r="H52" s="51" t="n">
        <v>46209</v>
      </c>
      <c r="I52" t="n">
        <v>1161</v>
      </c>
      <c r="J52" t="n">
        <v>0</v>
      </c>
      <c r="K52" t="inlineStr">
        <is>
          <t>Agrees</t>
        </is>
      </c>
      <c r="N52" t="inlineStr">
        <is>
          <t>OK</t>
        </is>
      </c>
      <c r="O52" t="inlineStr">
        <is>
          <t>HP-BAE | Phone Mod</t>
        </is>
      </c>
      <c r="P52" t="inlineStr">
        <is>
          <t>INTEGRATION</t>
        </is>
      </c>
      <c r="Q52" t="inlineStr">
        <is>
          <t>Project</t>
        </is>
      </c>
      <c r="R52" t="inlineStr">
        <is>
          <t>GST 10%</t>
        </is>
      </c>
      <c r="S52" t="inlineStr">
        <is>
          <t>42300</t>
        </is>
      </c>
      <c r="T52" t="inlineStr">
        <is>
          <t>https://cts.qwilr.com/26051301-HP-BAE-PhoneMod-v1-0-nL48O1eQt25h</t>
        </is>
      </c>
      <c r="U52" t="inlineStr">
        <is>
          <t>Status: Closed</t>
        </is>
      </c>
      <c r="V52" t="n">
        <v>116.1</v>
      </c>
      <c r="W52" t="n">
        <v>1277.1</v>
      </c>
      <c r="X52" s="51" t="n">
        <v>46234</v>
      </c>
      <c r="Y52" t="n">
        <v>1</v>
      </c>
      <c r="Z52" t="n">
        <v>1161</v>
      </c>
      <c r="AA52" t="n">
        <v>1161</v>
      </c>
      <c r="AB52" t="n">
        <v>17</v>
      </c>
      <c r="AD52" s="52">
        <f>IFERROR(N(IFERROR(INDEX($A52:$AB52,MATCH("Xero Invoiced Ex GST",$A$1:$AB$1,0)),"")),0)</f>
        <v/>
      </c>
      <c r="AE52" s="53">
        <f>IFERROR(INDEX($A52:$AB52,MATCH("Xero Invoice Date",$A$1:$AB$1,0)),"")</f>
        <v/>
      </c>
      <c r="AF52" s="54">
        <f>IF(AND(IFERROR(INDEX($A52:$AB52,MATCH("Xero Invoice No",$A$1:$AB$1,0)),"")&amp;""&lt;&gt;"",ISNUMBER(AE52),AD52&lt;&gt;0),1,0)</f>
        <v/>
      </c>
      <c r="AG52" s="55">
        <f>IF(AF52=1,EOMONTH(AE52,0),"")</f>
        <v/>
      </c>
      <c r="AH52" s="9">
        <f>IF(AF52=1,UPPER(TRIM(IFERROR(INDEX($A52:$AB52,MATCH("Client",$A$1:$AB$1,0)),"")&amp;"")),"")</f>
        <v/>
      </c>
      <c r="AI52" s="9">
        <f>IF(AF52=1,IFERROR(INDEX($A52:$AB52,MATCH("Cost Centre",$A$1:$AB$1,0)),"")&amp;"","")</f>
        <v/>
      </c>
      <c r="AJ52" s="54">
        <f>IF(AND(AF52=1,AE52&gt;=set_FYStart,AE52&lt;=set_AsAt),1,0)</f>
        <v/>
      </c>
      <c r="AK52" s="54">
        <f>IF(AND(AJ52=1,AH52&lt;&gt;"",COUNTIFS($AH$2:AH52,AH52,$AJ$2:AJ52,1)=1),N(AL51)+1,"")</f>
        <v/>
      </c>
      <c r="AL52" s="54">
        <f>IF(AK52&lt;&gt;"",AK52,N(AL51))</f>
        <v/>
      </c>
    </row>
    <row r="53">
      <c r="A53" t="inlineStr">
        <is>
          <t>ONS-0018</t>
        </is>
      </c>
      <c r="B53" t="inlineStr">
        <is>
          <t>Onsite</t>
        </is>
      </c>
      <c r="C53" t="inlineStr">
        <is>
          <t>2540</t>
        </is>
      </c>
      <c r="D53" t="inlineStr">
        <is>
          <t>PWC</t>
        </is>
      </c>
      <c r="E53" t="inlineStr">
        <is>
          <t>PWC Dedicated Tech 30/07/2026</t>
        </is>
      </c>
      <c r="F53" t="n">
        <v>340</v>
      </c>
      <c r="G53" t="inlineStr">
        <is>
          <t>INV-10545</t>
        </is>
      </c>
      <c r="H53" s="51" t="n">
        <v>46233</v>
      </c>
      <c r="I53" t="n">
        <v>340</v>
      </c>
      <c r="J53" t="n">
        <v>0</v>
      </c>
      <c r="K53" t="inlineStr">
        <is>
          <t>Agrees</t>
        </is>
      </c>
      <c r="N53" t="inlineStr">
        <is>
          <t>OK</t>
        </is>
      </c>
      <c r="O53" t="inlineStr">
        <is>
          <t>PWC - SYD Tech</t>
        </is>
      </c>
      <c r="P53" t="inlineStr">
        <is>
          <t>ONSITE</t>
        </is>
      </c>
      <c r="Q53" t="inlineStr">
        <is>
          <t>Ad-hoc</t>
        </is>
      </c>
      <c r="R53" t="inlineStr">
        <is>
          <t>GST 10%</t>
        </is>
      </c>
      <c r="S53" t="inlineStr">
        <is>
          <t>41100</t>
        </is>
      </c>
      <c r="U53" t="inlineStr">
        <is>
          <t>PO2601703274</t>
        </is>
      </c>
      <c r="V53" t="n">
        <v>34</v>
      </c>
      <c r="W53" t="n">
        <v>374</v>
      </c>
      <c r="X53" s="51" t="n">
        <v>46234</v>
      </c>
      <c r="Y53" t="n">
        <v>1</v>
      </c>
      <c r="Z53" t="n">
        <v>340</v>
      </c>
      <c r="AA53" t="n">
        <v>340</v>
      </c>
      <c r="AB53" t="n">
        <v>18</v>
      </c>
      <c r="AD53" s="52">
        <f>IFERROR(N(IFERROR(INDEX($A53:$AB53,MATCH("Xero Invoiced Ex GST",$A$1:$AB$1,0)),"")),0)</f>
        <v/>
      </c>
      <c r="AE53" s="53">
        <f>IFERROR(INDEX($A53:$AB53,MATCH("Xero Invoice Date",$A$1:$AB$1,0)),"")</f>
        <v/>
      </c>
      <c r="AF53" s="54">
        <f>IF(AND(IFERROR(INDEX($A53:$AB53,MATCH("Xero Invoice No",$A$1:$AB$1,0)),"")&amp;""&lt;&gt;"",ISNUMBER(AE53),AD53&lt;&gt;0),1,0)</f>
        <v/>
      </c>
      <c r="AG53" s="55">
        <f>IF(AF53=1,EOMONTH(AE53,0),"")</f>
        <v/>
      </c>
      <c r="AH53" s="9">
        <f>IF(AF53=1,UPPER(TRIM(IFERROR(INDEX($A53:$AB53,MATCH("Client",$A$1:$AB$1,0)),"")&amp;"")),"")</f>
        <v/>
      </c>
      <c r="AI53" s="9">
        <f>IF(AF53=1,IFERROR(INDEX($A53:$AB53,MATCH("Cost Centre",$A$1:$AB$1,0)),"")&amp;"","")</f>
        <v/>
      </c>
      <c r="AJ53" s="54">
        <f>IF(AND(AF53=1,AE53&gt;=set_FYStart,AE53&lt;=set_AsAt),1,0)</f>
        <v/>
      </c>
      <c r="AK53" s="54">
        <f>IF(AND(AJ53=1,AH53&lt;&gt;"",COUNTIFS($AH$2:AH53,AH53,$AJ$2:AJ53,1)=1),N(AL52)+1,"")</f>
        <v/>
      </c>
      <c r="AL53" s="54">
        <f>IF(AK53&lt;&gt;"",AK53,N(AL52))</f>
        <v/>
      </c>
    </row>
    <row r="54">
      <c r="A54" t="inlineStr">
        <is>
          <t>PRD-0018</t>
        </is>
      </c>
      <c r="B54" t="inlineStr">
        <is>
          <t>Production</t>
        </is>
      </c>
      <c r="C54" t="inlineStr">
        <is>
          <t>2512804</t>
        </is>
      </c>
      <c r="D54" t="inlineStr">
        <is>
          <t>RSNSW</t>
        </is>
      </c>
      <c r="E54" t="inlineStr">
        <is>
          <t>Ordinary General Meeting 5.8.26</t>
        </is>
      </c>
      <c r="F54" t="n">
        <v>2232</v>
      </c>
      <c r="G54" t="inlineStr">
        <is>
          <t>INV-10561</t>
        </is>
      </c>
      <c r="H54" s="51" t="n">
        <v>46247</v>
      </c>
      <c r="I54" t="n">
        <v>2232</v>
      </c>
      <c r="J54" t="n">
        <v>0</v>
      </c>
      <c r="K54" t="inlineStr">
        <is>
          <t>Agrees</t>
        </is>
      </c>
      <c r="N54" t="inlineStr">
        <is>
          <t>OK</t>
        </is>
      </c>
      <c r="O54" t="inlineStr">
        <is>
          <t>RSNSW Ordinary General Meeting 5.8.26</t>
        </is>
      </c>
      <c r="P54" t="inlineStr">
        <is>
          <t>PRODUCTION</t>
        </is>
      </c>
      <c r="Q54" t="inlineStr">
        <is>
          <t>Project</t>
        </is>
      </c>
      <c r="R54" t="inlineStr">
        <is>
          <t>GST 10%</t>
        </is>
      </c>
      <c r="S54" t="inlineStr">
        <is>
          <t>42100</t>
        </is>
      </c>
      <c r="T54" t="inlineStr">
        <is>
          <t>5826</t>
        </is>
      </c>
      <c r="V54" t="n">
        <v>223.2</v>
      </c>
      <c r="W54" t="n">
        <v>2455.2</v>
      </c>
      <c r="X54" s="51" t="n">
        <v>46265</v>
      </c>
      <c r="Y54" t="n">
        <v>1</v>
      </c>
      <c r="Z54" t="n">
        <v>2232</v>
      </c>
      <c r="AA54" t="n">
        <v>2232</v>
      </c>
      <c r="AB54" t="n">
        <v>18</v>
      </c>
      <c r="AD54" s="52">
        <f>IFERROR(N(IFERROR(INDEX($A54:$AB54,MATCH("Xero Invoiced Ex GST",$A$1:$AB$1,0)),"")),0)</f>
        <v/>
      </c>
      <c r="AE54" s="53">
        <f>IFERROR(INDEX($A54:$AB54,MATCH("Xero Invoice Date",$A$1:$AB$1,0)),"")</f>
        <v/>
      </c>
      <c r="AF54" s="54">
        <f>IF(AND(IFERROR(INDEX($A54:$AB54,MATCH("Xero Invoice No",$A$1:$AB$1,0)),"")&amp;""&lt;&gt;"",ISNUMBER(AE54),AD54&lt;&gt;0),1,0)</f>
        <v/>
      </c>
      <c r="AG54" s="55">
        <f>IF(AF54=1,EOMONTH(AE54,0),"")</f>
        <v/>
      </c>
      <c r="AH54" s="9">
        <f>IF(AF54=1,UPPER(TRIM(IFERROR(INDEX($A54:$AB54,MATCH("Client",$A$1:$AB$1,0)),"")&amp;"")),"")</f>
        <v/>
      </c>
      <c r="AI54" s="9">
        <f>IF(AF54=1,IFERROR(INDEX($A54:$AB54,MATCH("Cost Centre",$A$1:$AB$1,0)),"")&amp;"","")</f>
        <v/>
      </c>
      <c r="AJ54" s="54">
        <f>IF(AND(AF54=1,AE54&gt;=set_FYStart,AE54&lt;=set_AsAt),1,0)</f>
        <v/>
      </c>
      <c r="AK54" s="54">
        <f>IF(AND(AJ54=1,AH54&lt;&gt;"",COUNTIFS($AH$2:AH54,AH54,$AJ$2:AJ54,1)=1),N(AL53)+1,"")</f>
        <v/>
      </c>
      <c r="AL54" s="54">
        <f>IF(AK54&lt;&gt;"",AK54,N(AL53))</f>
        <v/>
      </c>
    </row>
    <row r="55">
      <c r="A55" t="inlineStr">
        <is>
          <t>CON-0018</t>
        </is>
      </c>
      <c r="B55" t="inlineStr">
        <is>
          <t>Consulting</t>
        </is>
      </c>
      <c r="C55" t="inlineStr">
        <is>
          <t>26061501</t>
        </is>
      </c>
      <c r="D55" t="inlineStr">
        <is>
          <t>DTTL</t>
        </is>
      </c>
      <c r="E55" t="inlineStr">
        <is>
          <t>MEL Lv29 Display Supply</t>
        </is>
      </c>
      <c r="F55" t="n">
        <v>3890</v>
      </c>
      <c r="G55" t="inlineStr">
        <is>
          <t>INV-10546</t>
        </is>
      </c>
      <c r="H55" s="51" t="n">
        <v>46233</v>
      </c>
      <c r="I55" t="n">
        <v>3890</v>
      </c>
      <c r="J55" t="n">
        <v>0</v>
      </c>
      <c r="K55" t="inlineStr">
        <is>
          <t>Agrees</t>
        </is>
      </c>
      <c r="N55" t="inlineStr">
        <is>
          <t>OK</t>
        </is>
      </c>
      <c r="O55" t="inlineStr">
        <is>
          <t>DTTL MEL Lv29 Display Supply</t>
        </is>
      </c>
      <c r="P55" t="inlineStr">
        <is>
          <t>INTEGRATION</t>
        </is>
      </c>
      <c r="Q55" t="inlineStr">
        <is>
          <t>Project</t>
        </is>
      </c>
      <c r="R55" t="inlineStr">
        <is>
          <t>GST 10%</t>
        </is>
      </c>
      <c r="S55" t="inlineStr">
        <is>
          <t>42300</t>
        </is>
      </c>
      <c r="T55" t="inlineStr">
        <is>
          <t>https://cts.qwilr.com/26061501-DTTL-Costing-v1-0-3HdQMOES9eDo</t>
        </is>
      </c>
      <c r="U55" t="inlineStr">
        <is>
          <t>Status: Closed</t>
        </is>
      </c>
      <c r="V55" t="n">
        <v>389</v>
      </c>
      <c r="W55" t="n">
        <v>4279</v>
      </c>
      <c r="X55" s="51" t="n">
        <v>46234</v>
      </c>
      <c r="Y55" t="n">
        <v>1</v>
      </c>
      <c r="Z55" t="n">
        <v>3890</v>
      </c>
      <c r="AA55" t="n">
        <v>3890</v>
      </c>
      <c r="AB55" t="n">
        <v>18</v>
      </c>
      <c r="AD55" s="52">
        <f>IFERROR(N(IFERROR(INDEX($A55:$AB55,MATCH("Xero Invoiced Ex GST",$A$1:$AB$1,0)),"")),0)</f>
        <v/>
      </c>
      <c r="AE55" s="53">
        <f>IFERROR(INDEX($A55:$AB55,MATCH("Xero Invoice Date",$A$1:$AB$1,0)),"")</f>
        <v/>
      </c>
      <c r="AF55" s="54">
        <f>IF(AND(IFERROR(INDEX($A55:$AB55,MATCH("Xero Invoice No",$A$1:$AB$1,0)),"")&amp;""&lt;&gt;"",ISNUMBER(AE55),AD55&lt;&gt;0),1,0)</f>
        <v/>
      </c>
      <c r="AG55" s="55">
        <f>IF(AF55=1,EOMONTH(AE55,0),"")</f>
        <v/>
      </c>
      <c r="AH55" s="9">
        <f>IF(AF55=1,UPPER(TRIM(IFERROR(INDEX($A55:$AB55,MATCH("Client",$A$1:$AB$1,0)),"")&amp;"")),"")</f>
        <v/>
      </c>
      <c r="AI55" s="9">
        <f>IF(AF55=1,IFERROR(INDEX($A55:$AB55,MATCH("Cost Centre",$A$1:$AB$1,0)),"")&amp;"","")</f>
        <v/>
      </c>
      <c r="AJ55" s="54">
        <f>IF(AND(AF55=1,AE55&gt;=set_FYStart,AE55&lt;=set_AsAt),1,0)</f>
        <v/>
      </c>
      <c r="AK55" s="54">
        <f>IF(AND(AJ55=1,AH55&lt;&gt;"",COUNTIFS($AH$2:AH55,AH55,$AJ$2:AJ55,1)=1),N(AL54)+1,"")</f>
        <v/>
      </c>
      <c r="AL55" s="54">
        <f>IF(AK55&lt;&gt;"",AK55,N(AL54))</f>
        <v/>
      </c>
    </row>
    <row r="56">
      <c r="A56" t="inlineStr">
        <is>
          <t>ONS-0019</t>
        </is>
      </c>
      <c r="B56" t="inlineStr">
        <is>
          <t>Onsite</t>
        </is>
      </c>
      <c r="C56" t="inlineStr">
        <is>
          <t>26062501/2347</t>
        </is>
      </c>
      <c r="D56" t="inlineStr">
        <is>
          <t>DTTL</t>
        </is>
      </c>
      <c r="E56" t="inlineStr">
        <is>
          <t>DH Travel 06-07/07 &amp; Ad-hoc Tech Support 30/07 &amp; Market Shapers</t>
        </is>
      </c>
      <c r="F56" t="n">
        <v>1672.5</v>
      </c>
      <c r="G56" t="inlineStr">
        <is>
          <t>INV-10546</t>
        </is>
      </c>
      <c r="H56" s="51" t="n">
        <v>46233</v>
      </c>
      <c r="I56" t="n">
        <v>1672.5</v>
      </c>
      <c r="J56" t="n">
        <v>0</v>
      </c>
      <c r="K56" t="inlineStr">
        <is>
          <t>Agrees</t>
        </is>
      </c>
      <c r="L56" t="inlineStr">
        <is>
          <t>Job number not in the Xero job list</t>
        </is>
      </c>
      <c r="N56" t="inlineStr">
        <is>
          <t>CHECK</t>
        </is>
      </c>
      <c r="P56" t="inlineStr">
        <is>
          <t>ONSITE</t>
        </is>
      </c>
      <c r="Q56" t="inlineStr">
        <is>
          <t>Ad-hoc</t>
        </is>
      </c>
      <c r="R56" t="inlineStr">
        <is>
          <t>GST 10%</t>
        </is>
      </c>
      <c r="S56" t="inlineStr">
        <is>
          <t>41100</t>
        </is>
      </c>
      <c r="V56" t="n">
        <v>167.25</v>
      </c>
      <c r="W56" t="n">
        <v>1839.75</v>
      </c>
      <c r="X56" s="51" t="n">
        <v>46234</v>
      </c>
      <c r="Y56" t="n">
        <v>1</v>
      </c>
      <c r="Z56" t="n">
        <v>1672.5</v>
      </c>
      <c r="AA56" t="n">
        <v>1672.5</v>
      </c>
      <c r="AB56" t="n">
        <v>19</v>
      </c>
      <c r="AD56" s="52">
        <f>IFERROR(N(IFERROR(INDEX($A56:$AB56,MATCH("Xero Invoiced Ex GST",$A$1:$AB$1,0)),"")),0)</f>
        <v/>
      </c>
      <c r="AE56" s="53">
        <f>IFERROR(INDEX($A56:$AB56,MATCH("Xero Invoice Date",$A$1:$AB$1,0)),"")</f>
        <v/>
      </c>
      <c r="AF56" s="54">
        <f>IF(AND(IFERROR(INDEX($A56:$AB56,MATCH("Xero Invoice No",$A$1:$AB$1,0)),"")&amp;""&lt;&gt;"",ISNUMBER(AE56),AD56&lt;&gt;0),1,0)</f>
        <v/>
      </c>
      <c r="AG56" s="55">
        <f>IF(AF56=1,EOMONTH(AE56,0),"")</f>
        <v/>
      </c>
      <c r="AH56" s="9">
        <f>IF(AF56=1,UPPER(TRIM(IFERROR(INDEX($A56:$AB56,MATCH("Client",$A$1:$AB$1,0)),"")&amp;"")),"")</f>
        <v/>
      </c>
      <c r="AI56" s="9">
        <f>IF(AF56=1,IFERROR(INDEX($A56:$AB56,MATCH("Cost Centre",$A$1:$AB$1,0)),"")&amp;"","")</f>
        <v/>
      </c>
      <c r="AJ56" s="54">
        <f>IF(AND(AF56=1,AE56&gt;=set_FYStart,AE56&lt;=set_AsAt),1,0)</f>
        <v/>
      </c>
      <c r="AK56" s="54">
        <f>IF(AND(AJ56=1,AH56&lt;&gt;"",COUNTIFS($AH$2:AH56,AH56,$AJ$2:AJ56,1)=1),N(AL55)+1,"")</f>
        <v/>
      </c>
      <c r="AL56" s="54">
        <f>IF(AK56&lt;&gt;"",AK56,N(AL55))</f>
        <v/>
      </c>
    </row>
    <row r="57">
      <c r="A57" t="inlineStr">
        <is>
          <t>PRD-0019</t>
        </is>
      </c>
      <c r="B57" t="inlineStr">
        <is>
          <t>Production</t>
        </is>
      </c>
      <c r="C57" t="inlineStr">
        <is>
          <t>2607703</t>
        </is>
      </c>
      <c r="D57" t="inlineStr">
        <is>
          <t>Garvan</t>
        </is>
      </c>
      <c r="E57" t="inlineStr">
        <is>
          <t>YPO Event 6.8.26 (PO-58493)</t>
        </is>
      </c>
      <c r="F57" t="n">
        <v>2152.5</v>
      </c>
      <c r="G57" t="inlineStr">
        <is>
          <t>INV-10560</t>
        </is>
      </c>
      <c r="H57" s="51" t="n">
        <v>46247</v>
      </c>
      <c r="I57" t="n">
        <v>2152.5</v>
      </c>
      <c r="J57" t="n">
        <v>0</v>
      </c>
      <c r="K57" t="inlineStr">
        <is>
          <t>Agrees</t>
        </is>
      </c>
      <c r="N57" t="inlineStr">
        <is>
          <t>OK</t>
        </is>
      </c>
      <c r="O57" t="inlineStr">
        <is>
          <t>Garvan - YPO Event - 6.8.2026</t>
        </is>
      </c>
      <c r="P57" t="inlineStr">
        <is>
          <t>PRODUCTION</t>
        </is>
      </c>
      <c r="Q57" t="inlineStr">
        <is>
          <t>Project</t>
        </is>
      </c>
      <c r="R57" t="inlineStr">
        <is>
          <t>GST 10%</t>
        </is>
      </c>
      <c r="S57" t="inlineStr">
        <is>
          <t>42100</t>
        </is>
      </c>
      <c r="T57" t="inlineStr">
        <is>
          <t>6088</t>
        </is>
      </c>
      <c r="V57" t="n">
        <v>215.25</v>
      </c>
      <c r="W57" t="n">
        <v>2367.75</v>
      </c>
      <c r="X57" s="51" t="n">
        <v>46265</v>
      </c>
      <c r="Y57" t="n">
        <v>1</v>
      </c>
      <c r="Z57" t="n">
        <v>2152.5</v>
      </c>
      <c r="AA57" t="n">
        <v>2152.5</v>
      </c>
      <c r="AB57" t="n">
        <v>19</v>
      </c>
      <c r="AD57" s="52">
        <f>IFERROR(N(IFERROR(INDEX($A57:$AB57,MATCH("Xero Invoiced Ex GST",$A$1:$AB$1,0)),"")),0)</f>
        <v/>
      </c>
      <c r="AE57" s="53">
        <f>IFERROR(INDEX($A57:$AB57,MATCH("Xero Invoice Date",$A$1:$AB$1,0)),"")</f>
        <v/>
      </c>
      <c r="AF57" s="54">
        <f>IF(AND(IFERROR(INDEX($A57:$AB57,MATCH("Xero Invoice No",$A$1:$AB$1,0)),"")&amp;""&lt;&gt;"",ISNUMBER(AE57),AD57&lt;&gt;0),1,0)</f>
        <v/>
      </c>
      <c r="AG57" s="55">
        <f>IF(AF57=1,EOMONTH(AE57,0),"")</f>
        <v/>
      </c>
      <c r="AH57" s="9">
        <f>IF(AF57=1,UPPER(TRIM(IFERROR(INDEX($A57:$AB57,MATCH("Client",$A$1:$AB$1,0)),"")&amp;"")),"")</f>
        <v/>
      </c>
      <c r="AI57" s="9">
        <f>IF(AF57=1,IFERROR(INDEX($A57:$AB57,MATCH("Cost Centre",$A$1:$AB$1,0)),"")&amp;"","")</f>
        <v/>
      </c>
      <c r="AJ57" s="54">
        <f>IF(AND(AF57=1,AE57&gt;=set_FYStart,AE57&lt;=set_AsAt),1,0)</f>
        <v/>
      </c>
      <c r="AK57" s="54">
        <f>IF(AND(AJ57=1,AH57&lt;&gt;"",COUNTIFS($AH$2:AH57,AH57,$AJ$2:AJ57,1)=1),N(AL56)+1,"")</f>
        <v/>
      </c>
      <c r="AL57" s="54">
        <f>IF(AK57&lt;&gt;"",AK57,N(AL56))</f>
        <v/>
      </c>
    </row>
    <row r="58">
      <c r="A58" t="inlineStr">
        <is>
          <t>CON-0019</t>
        </is>
      </c>
      <c r="B58" t="inlineStr">
        <is>
          <t>Consulting</t>
        </is>
      </c>
      <c r="C58" t="inlineStr">
        <is>
          <t>2605605</t>
        </is>
      </c>
      <c r="D58" t="inlineStr">
        <is>
          <t>DTTL</t>
        </is>
      </c>
      <c r="E58" t="inlineStr">
        <is>
          <t>HBA AV Fitout</t>
        </is>
      </c>
      <c r="F58" t="n">
        <v>60348</v>
      </c>
      <c r="G58" t="inlineStr">
        <is>
          <t>INV-10546</t>
        </is>
      </c>
      <c r="H58" s="51" t="n">
        <v>46233</v>
      </c>
      <c r="I58" t="n">
        <v>60348</v>
      </c>
      <c r="J58" t="n">
        <v>0</v>
      </c>
      <c r="K58" t="inlineStr">
        <is>
          <t>Agrees</t>
        </is>
      </c>
      <c r="N58" t="inlineStr">
        <is>
          <t>OK</t>
        </is>
      </c>
      <c r="O58" t="inlineStr">
        <is>
          <t>DTTL Hobart AV Fitout</t>
        </is>
      </c>
      <c r="P58" t="inlineStr">
        <is>
          <t>INTEGRATION</t>
        </is>
      </c>
      <c r="Q58" t="inlineStr">
        <is>
          <t>Project</t>
        </is>
      </c>
      <c r="R58" t="inlineStr">
        <is>
          <t>GST 10%</t>
        </is>
      </c>
      <c r="S58" t="inlineStr">
        <is>
          <t>42300</t>
        </is>
      </c>
      <c r="T58" t="inlineStr">
        <is>
          <t>https://cts.qwilr.com/2605605-DTTL-Hobart-v3-2-6eP2dgISRMec</t>
        </is>
      </c>
      <c r="U58" t="inlineStr">
        <is>
          <t>Status: In Progress</t>
        </is>
      </c>
      <c r="V58" t="n">
        <v>6034.8</v>
      </c>
      <c r="W58" t="n">
        <v>66382.8</v>
      </c>
      <c r="X58" s="51" t="n">
        <v>46234</v>
      </c>
      <c r="Y58" t="n">
        <v>1</v>
      </c>
      <c r="Z58" t="n">
        <v>60348</v>
      </c>
      <c r="AA58" t="n">
        <v>60348</v>
      </c>
      <c r="AB58" t="n">
        <v>19</v>
      </c>
      <c r="AD58" s="52">
        <f>IFERROR(N(IFERROR(INDEX($A58:$AB58,MATCH("Xero Invoiced Ex GST",$A$1:$AB$1,0)),"")),0)</f>
        <v/>
      </c>
      <c r="AE58" s="53">
        <f>IFERROR(INDEX($A58:$AB58,MATCH("Xero Invoice Date",$A$1:$AB$1,0)),"")</f>
        <v/>
      </c>
      <c r="AF58" s="54">
        <f>IF(AND(IFERROR(INDEX($A58:$AB58,MATCH("Xero Invoice No",$A$1:$AB$1,0)),"")&amp;""&lt;&gt;"",ISNUMBER(AE58),AD58&lt;&gt;0),1,0)</f>
        <v/>
      </c>
      <c r="AG58" s="55">
        <f>IF(AF58=1,EOMONTH(AE58,0),"")</f>
        <v/>
      </c>
      <c r="AH58" s="9">
        <f>IF(AF58=1,UPPER(TRIM(IFERROR(INDEX($A58:$AB58,MATCH("Client",$A$1:$AB$1,0)),"")&amp;"")),"")</f>
        <v/>
      </c>
      <c r="AI58" s="9">
        <f>IF(AF58=1,IFERROR(INDEX($A58:$AB58,MATCH("Cost Centre",$A$1:$AB$1,0)),"")&amp;"","")</f>
        <v/>
      </c>
      <c r="AJ58" s="54">
        <f>IF(AND(AF58=1,AE58&gt;=set_FYStart,AE58&lt;=set_AsAt),1,0)</f>
        <v/>
      </c>
      <c r="AK58" s="54">
        <f>IF(AND(AJ58=1,AH58&lt;&gt;"",COUNTIFS($AH$2:AH58,AH58,$AJ$2:AJ58,1)=1),N(AL57)+1,"")</f>
        <v/>
      </c>
      <c r="AL58" s="54">
        <f>IF(AK58&lt;&gt;"",AK58,N(AL57))</f>
        <v/>
      </c>
    </row>
    <row r="59">
      <c r="A59" t="inlineStr">
        <is>
          <t>ONS-0020</t>
        </is>
      </c>
      <c r="B59" t="inlineStr">
        <is>
          <t>Onsite</t>
        </is>
      </c>
      <c r="C59" t="inlineStr">
        <is>
          <t>2026021101</t>
        </is>
      </c>
      <c r="D59" t="inlineStr">
        <is>
          <t>APN</t>
        </is>
      </c>
      <c r="E59" t="inlineStr">
        <is>
          <t>APN Quarterly AV Support</t>
        </is>
      </c>
      <c r="F59" t="n">
        <v>1670</v>
      </c>
      <c r="G59" t="inlineStr">
        <is>
          <t>INV-10550</t>
        </is>
      </c>
      <c r="H59" s="51" t="n">
        <v>46233</v>
      </c>
      <c r="I59" t="n">
        <v>1670</v>
      </c>
      <c r="J59" t="n">
        <v>0</v>
      </c>
      <c r="K59" t="inlineStr">
        <is>
          <t>Agrees</t>
        </is>
      </c>
      <c r="N59" t="inlineStr">
        <is>
          <t>OK</t>
        </is>
      </c>
      <c r="O59" t="inlineStr">
        <is>
          <t>AusPayNet Quarterly AV Support &amp; Maintenance 2026</t>
        </is>
      </c>
      <c r="P59" t="inlineStr">
        <is>
          <t>ONSITE</t>
        </is>
      </c>
      <c r="Q59" t="inlineStr">
        <is>
          <t>Ad-hoc</t>
        </is>
      </c>
      <c r="R59" t="inlineStr">
        <is>
          <t>GST 10%</t>
        </is>
      </c>
      <c r="S59" t="inlineStr">
        <is>
          <t>41100</t>
        </is>
      </c>
      <c r="U59" t="inlineStr">
        <is>
          <t>Invoice 1/2</t>
        </is>
      </c>
      <c r="V59" t="n">
        <v>167</v>
      </c>
      <c r="W59" t="n">
        <v>1837</v>
      </c>
      <c r="X59" s="51" t="n">
        <v>46234</v>
      </c>
      <c r="Y59" t="n">
        <v>1</v>
      </c>
      <c r="Z59" t="n">
        <v>1670</v>
      </c>
      <c r="AA59" t="n">
        <v>1670</v>
      </c>
      <c r="AB59" t="n">
        <v>20</v>
      </c>
      <c r="AD59" s="52">
        <f>IFERROR(N(IFERROR(INDEX($A59:$AB59,MATCH("Xero Invoiced Ex GST",$A$1:$AB$1,0)),"")),0)</f>
        <v/>
      </c>
      <c r="AE59" s="53">
        <f>IFERROR(INDEX($A59:$AB59,MATCH("Xero Invoice Date",$A$1:$AB$1,0)),"")</f>
        <v/>
      </c>
      <c r="AF59" s="54">
        <f>IF(AND(IFERROR(INDEX($A59:$AB59,MATCH("Xero Invoice No",$A$1:$AB$1,0)),"")&amp;""&lt;&gt;"",ISNUMBER(AE59),AD59&lt;&gt;0),1,0)</f>
        <v/>
      </c>
      <c r="AG59" s="55">
        <f>IF(AF59=1,EOMONTH(AE59,0),"")</f>
        <v/>
      </c>
      <c r="AH59" s="9">
        <f>IF(AF59=1,UPPER(TRIM(IFERROR(INDEX($A59:$AB59,MATCH("Client",$A$1:$AB$1,0)),"")&amp;"")),"")</f>
        <v/>
      </c>
      <c r="AI59" s="9">
        <f>IF(AF59=1,IFERROR(INDEX($A59:$AB59,MATCH("Cost Centre",$A$1:$AB$1,0)),"")&amp;"","")</f>
        <v/>
      </c>
      <c r="AJ59" s="54">
        <f>IF(AND(AF59=1,AE59&gt;=set_FYStart,AE59&lt;=set_AsAt),1,0)</f>
        <v/>
      </c>
      <c r="AK59" s="54">
        <f>IF(AND(AJ59=1,AH59&lt;&gt;"",COUNTIFS($AH$2:AH59,AH59,$AJ$2:AJ59,1)=1),N(AL58)+1,"")</f>
        <v/>
      </c>
      <c r="AL59" s="54">
        <f>IF(AK59&lt;&gt;"",AK59,N(AL58))</f>
        <v/>
      </c>
    </row>
    <row r="60">
      <c r="A60" t="inlineStr">
        <is>
          <t>PRD-0020</t>
        </is>
      </c>
      <c r="B60" t="inlineStr">
        <is>
          <t>Production</t>
        </is>
      </c>
      <c r="C60" t="inlineStr">
        <is>
          <t>26072902</t>
        </is>
      </c>
      <c r="D60" t="inlineStr">
        <is>
          <t>PwC</t>
        </is>
      </c>
      <c r="E60" t="inlineStr">
        <is>
          <t>AI Townhall 6.8.26 (PO2601703328)</t>
        </is>
      </c>
      <c r="F60" t="n">
        <v>1165</v>
      </c>
      <c r="G60" t="inlineStr">
        <is>
          <t>INV-10562</t>
        </is>
      </c>
      <c r="H60" s="51" t="n">
        <v>46247</v>
      </c>
      <c r="I60" t="n">
        <v>1165</v>
      </c>
      <c r="J60" t="n">
        <v>0</v>
      </c>
      <c r="K60" t="inlineStr">
        <is>
          <t>Agrees</t>
        </is>
      </c>
      <c r="N60" t="inlineStr">
        <is>
          <t>OK</t>
        </is>
      </c>
      <c r="O60" t="inlineStr">
        <is>
          <t>PWC AI Townhall 6.8.26</t>
        </is>
      </c>
      <c r="P60" t="inlineStr">
        <is>
          <t>PRODUCTION</t>
        </is>
      </c>
      <c r="Q60" t="inlineStr">
        <is>
          <t>Project</t>
        </is>
      </c>
      <c r="R60" t="inlineStr">
        <is>
          <t>GST 10%</t>
        </is>
      </c>
      <c r="S60" t="inlineStr">
        <is>
          <t>42100</t>
        </is>
      </c>
      <c r="T60" t="inlineStr">
        <is>
          <t>6128</t>
        </is>
      </c>
      <c r="V60" t="n">
        <v>116.5</v>
      </c>
      <c r="W60" t="n">
        <v>1281.5</v>
      </c>
      <c r="X60" s="51" t="n">
        <v>46265</v>
      </c>
      <c r="Y60" t="n">
        <v>1</v>
      </c>
      <c r="Z60" t="n">
        <v>1165</v>
      </c>
      <c r="AA60" t="n">
        <v>1165</v>
      </c>
      <c r="AB60" t="n">
        <v>20</v>
      </c>
      <c r="AD60" s="52">
        <f>IFERROR(N(IFERROR(INDEX($A60:$AB60,MATCH("Xero Invoiced Ex GST",$A$1:$AB$1,0)),"")),0)</f>
        <v/>
      </c>
      <c r="AE60" s="53">
        <f>IFERROR(INDEX($A60:$AB60,MATCH("Xero Invoice Date",$A$1:$AB$1,0)),"")</f>
        <v/>
      </c>
      <c r="AF60" s="54">
        <f>IF(AND(IFERROR(INDEX($A60:$AB60,MATCH("Xero Invoice No",$A$1:$AB$1,0)),"")&amp;""&lt;&gt;"",ISNUMBER(AE60),AD60&lt;&gt;0),1,0)</f>
        <v/>
      </c>
      <c r="AG60" s="55">
        <f>IF(AF60=1,EOMONTH(AE60,0),"")</f>
        <v/>
      </c>
      <c r="AH60" s="9">
        <f>IF(AF60=1,UPPER(TRIM(IFERROR(INDEX($A60:$AB60,MATCH("Client",$A$1:$AB$1,0)),"")&amp;"")),"")</f>
        <v/>
      </c>
      <c r="AI60" s="9">
        <f>IF(AF60=1,IFERROR(INDEX($A60:$AB60,MATCH("Cost Centre",$A$1:$AB$1,0)),"")&amp;"","")</f>
        <v/>
      </c>
      <c r="AJ60" s="54">
        <f>IF(AND(AF60=1,AE60&gt;=set_FYStart,AE60&lt;=set_AsAt),1,0)</f>
        <v/>
      </c>
      <c r="AK60" s="54">
        <f>IF(AND(AJ60=1,AH60&lt;&gt;"",COUNTIFS($AH$2:AH60,AH60,$AJ$2:AJ60,1)=1),N(AL59)+1,"")</f>
        <v/>
      </c>
      <c r="AL60" s="54">
        <f>IF(AK60&lt;&gt;"",AK60,N(AL59))</f>
        <v/>
      </c>
    </row>
    <row r="61">
      <c r="A61" t="inlineStr">
        <is>
          <t>CON-0020</t>
        </is>
      </c>
      <c r="B61" t="inlineStr">
        <is>
          <t>Consulting</t>
        </is>
      </c>
      <c r="C61" t="inlineStr">
        <is>
          <t>26052003</t>
        </is>
      </c>
      <c r="D61" t="inlineStr">
        <is>
          <t>DTTL</t>
        </is>
      </c>
      <c r="E61" t="inlineStr">
        <is>
          <t>SYD Mobile Display Supply</t>
        </is>
      </c>
      <c r="F61" t="n">
        <v>7705</v>
      </c>
      <c r="G61" t="inlineStr">
        <is>
          <t>INV-10546</t>
        </is>
      </c>
      <c r="H61" s="51" t="n">
        <v>46233</v>
      </c>
      <c r="I61" t="n">
        <v>7705</v>
      </c>
      <c r="J61" t="n">
        <v>0</v>
      </c>
      <c r="K61" t="inlineStr">
        <is>
          <t>Agrees</t>
        </is>
      </c>
      <c r="N61" t="inlineStr">
        <is>
          <t>OK</t>
        </is>
      </c>
      <c r="O61" t="inlineStr">
        <is>
          <t>DTTL Mobile Commbox Displays</t>
        </is>
      </c>
      <c r="P61" t="inlineStr">
        <is>
          <t>INTEGRATION</t>
        </is>
      </c>
      <c r="Q61" t="inlineStr">
        <is>
          <t>Project</t>
        </is>
      </c>
      <c r="R61" t="inlineStr">
        <is>
          <t>GST 10%</t>
        </is>
      </c>
      <c r="S61" t="inlineStr">
        <is>
          <t>42300</t>
        </is>
      </c>
      <c r="T61" t="inlineStr">
        <is>
          <t>https://cts.qwilr.com/26052003-DTTL-Costing-VQ01-v1-0-jIrM6h3CT1Ws</t>
        </is>
      </c>
      <c r="U61" t="inlineStr">
        <is>
          <t>Status: Closed | Variation for slot in PC's</t>
        </is>
      </c>
      <c r="V61" t="n">
        <v>770.5</v>
      </c>
      <c r="W61" t="n">
        <v>8475.5</v>
      </c>
      <c r="X61" s="51" t="n">
        <v>46234</v>
      </c>
      <c r="Y61" t="n">
        <v>2</v>
      </c>
      <c r="Z61" t="n">
        <v>33939</v>
      </c>
      <c r="AA61" t="n">
        <v>33939</v>
      </c>
      <c r="AB61" t="n">
        <v>20</v>
      </c>
      <c r="AD61" s="52">
        <f>IFERROR(N(IFERROR(INDEX($A61:$AB61,MATCH("Xero Invoiced Ex GST",$A$1:$AB$1,0)),"")),0)</f>
        <v/>
      </c>
      <c r="AE61" s="53">
        <f>IFERROR(INDEX($A61:$AB61,MATCH("Xero Invoice Date",$A$1:$AB$1,0)),"")</f>
        <v/>
      </c>
      <c r="AF61" s="54">
        <f>IF(AND(IFERROR(INDEX($A61:$AB61,MATCH("Xero Invoice No",$A$1:$AB$1,0)),"")&amp;""&lt;&gt;"",ISNUMBER(AE61),AD61&lt;&gt;0),1,0)</f>
        <v/>
      </c>
      <c r="AG61" s="55">
        <f>IF(AF61=1,EOMONTH(AE61,0),"")</f>
        <v/>
      </c>
      <c r="AH61" s="9">
        <f>IF(AF61=1,UPPER(TRIM(IFERROR(INDEX($A61:$AB61,MATCH("Client",$A$1:$AB$1,0)),"")&amp;"")),"")</f>
        <v/>
      </c>
      <c r="AI61" s="9">
        <f>IF(AF61=1,IFERROR(INDEX($A61:$AB61,MATCH("Cost Centre",$A$1:$AB$1,0)),"")&amp;"","")</f>
        <v/>
      </c>
      <c r="AJ61" s="54">
        <f>IF(AND(AF61=1,AE61&gt;=set_FYStart,AE61&lt;=set_AsAt),1,0)</f>
        <v/>
      </c>
      <c r="AK61" s="54">
        <f>IF(AND(AJ61=1,AH61&lt;&gt;"",COUNTIFS($AH$2:AH61,AH61,$AJ$2:AJ61,1)=1),N(AL60)+1,"")</f>
        <v/>
      </c>
      <c r="AL61" s="54">
        <f>IF(AK61&lt;&gt;"",AK61,N(AL60))</f>
        <v/>
      </c>
    </row>
    <row r="62">
      <c r="A62" t="inlineStr">
        <is>
          <t>ONS-0021</t>
        </is>
      </c>
      <c r="B62" t="inlineStr">
        <is>
          <t>Onsite</t>
        </is>
      </c>
      <c r="C62" t="inlineStr">
        <is>
          <t>26022301</t>
        </is>
      </c>
      <c r="D62" t="inlineStr">
        <is>
          <t>Aware Super</t>
        </is>
      </c>
      <c r="E62" t="inlineStr">
        <is>
          <t>Aware Super Contract July 2026</t>
        </is>
      </c>
      <c r="F62" t="n">
        <v>11000</v>
      </c>
      <c r="G62" t="inlineStr">
        <is>
          <t>INV-10551</t>
        </is>
      </c>
      <c r="H62" s="51" t="n">
        <v>46234</v>
      </c>
      <c r="I62" t="n">
        <v>11000</v>
      </c>
      <c r="J62" t="n">
        <v>0</v>
      </c>
      <c r="K62" t="inlineStr">
        <is>
          <t>Agrees</t>
        </is>
      </c>
      <c r="N62" t="inlineStr">
        <is>
          <t>OK</t>
        </is>
      </c>
      <c r="O62" t="inlineStr">
        <is>
          <t>Aware Super AV Maintenance</t>
        </is>
      </c>
      <c r="P62" t="inlineStr">
        <is>
          <t>ONSITE</t>
        </is>
      </c>
      <c r="Q62" t="inlineStr">
        <is>
          <t>Contract</t>
        </is>
      </c>
      <c r="R62" t="inlineStr">
        <is>
          <t>GST 10%</t>
        </is>
      </c>
      <c r="S62" t="inlineStr">
        <is>
          <t>41100</t>
        </is>
      </c>
      <c r="V62" t="n">
        <v>1100</v>
      </c>
      <c r="W62" t="n">
        <v>12100</v>
      </c>
      <c r="X62" s="51" t="n">
        <v>46234</v>
      </c>
      <c r="Y62" t="n">
        <v>2</v>
      </c>
      <c r="Z62" t="n">
        <v>22000</v>
      </c>
      <c r="AA62" t="n">
        <v>22000</v>
      </c>
      <c r="AB62" t="n">
        <v>21</v>
      </c>
      <c r="AD62" s="52">
        <f>IFERROR(N(IFERROR(INDEX($A62:$AB62,MATCH("Xero Invoiced Ex GST",$A$1:$AB$1,0)),"")),0)</f>
        <v/>
      </c>
      <c r="AE62" s="53">
        <f>IFERROR(INDEX($A62:$AB62,MATCH("Xero Invoice Date",$A$1:$AB$1,0)),"")</f>
        <v/>
      </c>
      <c r="AF62" s="54">
        <f>IF(AND(IFERROR(INDEX($A62:$AB62,MATCH("Xero Invoice No",$A$1:$AB$1,0)),"")&amp;""&lt;&gt;"",ISNUMBER(AE62),AD62&lt;&gt;0),1,0)</f>
        <v/>
      </c>
      <c r="AG62" s="55">
        <f>IF(AF62=1,EOMONTH(AE62,0),"")</f>
        <v/>
      </c>
      <c r="AH62" s="9">
        <f>IF(AF62=1,UPPER(TRIM(IFERROR(INDEX($A62:$AB62,MATCH("Client",$A$1:$AB$1,0)),"")&amp;"")),"")</f>
        <v/>
      </c>
      <c r="AI62" s="9">
        <f>IF(AF62=1,IFERROR(INDEX($A62:$AB62,MATCH("Cost Centre",$A$1:$AB$1,0)),"")&amp;"","")</f>
        <v/>
      </c>
      <c r="AJ62" s="54">
        <f>IF(AND(AF62=1,AE62&gt;=set_FYStart,AE62&lt;=set_AsAt),1,0)</f>
        <v/>
      </c>
      <c r="AK62" s="54">
        <f>IF(AND(AJ62=1,AH62&lt;&gt;"",COUNTIFS($AH$2:AH62,AH62,$AJ$2:AJ62,1)=1),N(AL61)+1,"")</f>
        <v/>
      </c>
      <c r="AL62" s="54">
        <f>IF(AK62&lt;&gt;"",AK62,N(AL61))</f>
        <v/>
      </c>
    </row>
    <row r="63">
      <c r="A63" t="inlineStr">
        <is>
          <t>PRD-0021</t>
        </is>
      </c>
      <c r="B63" t="inlineStr">
        <is>
          <t>Production</t>
        </is>
      </c>
      <c r="C63" t="inlineStr">
        <is>
          <t>26071901</t>
        </is>
      </c>
      <c r="D63" t="inlineStr">
        <is>
          <t>Elkiem</t>
        </is>
      </c>
      <c r="E63" t="inlineStr">
        <is>
          <t>Studio Support 11.8.26</t>
        </is>
      </c>
      <c r="F63" t="n">
        <v>380</v>
      </c>
      <c r="G63" t="inlineStr">
        <is>
          <t>INV-10580</t>
        </is>
      </c>
      <c r="H63" s="51" t="n">
        <v>46255</v>
      </c>
      <c r="I63" t="n">
        <v>380</v>
      </c>
      <c r="J63" t="n">
        <v>0</v>
      </c>
      <c r="K63" t="inlineStr">
        <is>
          <t>Agrees</t>
        </is>
      </c>
      <c r="N63" t="inlineStr">
        <is>
          <t>OK</t>
        </is>
      </c>
      <c r="O63" t="inlineStr">
        <is>
          <t>Elkiem - Studio Support - 11.8.26</t>
        </is>
      </c>
      <c r="P63" t="inlineStr">
        <is>
          <t>PRODUCTION</t>
        </is>
      </c>
      <c r="Q63" t="inlineStr">
        <is>
          <t>Project</t>
        </is>
      </c>
      <c r="R63" t="inlineStr">
        <is>
          <t>GST 10%</t>
        </is>
      </c>
      <c r="S63" t="inlineStr">
        <is>
          <t>42100</t>
        </is>
      </c>
      <c r="T63" t="inlineStr">
        <is>
          <t>6127</t>
        </is>
      </c>
      <c r="V63" t="n">
        <v>38</v>
      </c>
      <c r="W63" t="n">
        <v>418</v>
      </c>
      <c r="X63" s="51" t="n">
        <v>46265</v>
      </c>
      <c r="Y63" t="n">
        <v>1</v>
      </c>
      <c r="Z63" t="n">
        <v>380</v>
      </c>
      <c r="AA63" t="n">
        <v>380</v>
      </c>
      <c r="AB63" t="n">
        <v>21</v>
      </c>
      <c r="AD63" s="52">
        <f>IFERROR(N(IFERROR(INDEX($A63:$AB63,MATCH("Xero Invoiced Ex GST",$A$1:$AB$1,0)),"")),0)</f>
        <v/>
      </c>
      <c r="AE63" s="53">
        <f>IFERROR(INDEX($A63:$AB63,MATCH("Xero Invoice Date",$A$1:$AB$1,0)),"")</f>
        <v/>
      </c>
      <c r="AF63" s="54">
        <f>IF(AND(IFERROR(INDEX($A63:$AB63,MATCH("Xero Invoice No",$A$1:$AB$1,0)),"")&amp;""&lt;&gt;"",ISNUMBER(AE63),AD63&lt;&gt;0),1,0)</f>
        <v/>
      </c>
      <c r="AG63" s="55">
        <f>IF(AF63=1,EOMONTH(AE63,0),"")</f>
        <v/>
      </c>
      <c r="AH63" s="9">
        <f>IF(AF63=1,UPPER(TRIM(IFERROR(INDEX($A63:$AB63,MATCH("Client",$A$1:$AB$1,0)),"")&amp;"")),"")</f>
        <v/>
      </c>
      <c r="AI63" s="9">
        <f>IF(AF63=1,IFERROR(INDEX($A63:$AB63,MATCH("Cost Centre",$A$1:$AB$1,0)),"")&amp;"","")</f>
        <v/>
      </c>
      <c r="AJ63" s="54">
        <f>IF(AND(AF63=1,AE63&gt;=set_FYStart,AE63&lt;=set_AsAt),1,0)</f>
        <v/>
      </c>
      <c r="AK63" s="54">
        <f>IF(AND(AJ63=1,AH63&lt;&gt;"",COUNTIFS($AH$2:AH63,AH63,$AJ$2:AJ63,1)=1),N(AL62)+1,"")</f>
        <v/>
      </c>
      <c r="AL63" s="54">
        <f>IF(AK63&lt;&gt;"",AK63,N(AL62))</f>
        <v/>
      </c>
    </row>
    <row r="64">
      <c r="A64" t="inlineStr">
        <is>
          <t>CON-0021</t>
        </is>
      </c>
      <c r="B64" t="inlineStr">
        <is>
          <t>Consulting</t>
        </is>
      </c>
      <c r="C64" t="inlineStr">
        <is>
          <t>26072101</t>
        </is>
      </c>
      <c r="D64" t="inlineStr">
        <is>
          <t>Aware Super</t>
        </is>
      </c>
      <c r="E64" t="inlineStr">
        <is>
          <t>MEL 17.02 Amp Replacement</t>
        </is>
      </c>
      <c r="F64" t="n">
        <v>6137</v>
      </c>
      <c r="G64" t="inlineStr">
        <is>
          <t>INV-10549</t>
        </is>
      </c>
      <c r="H64" s="51" t="n">
        <v>46234</v>
      </c>
      <c r="I64" t="n">
        <v>6137</v>
      </c>
      <c r="J64" t="n">
        <v>0</v>
      </c>
      <c r="K64" t="inlineStr">
        <is>
          <t>Agrees</t>
        </is>
      </c>
      <c r="N64" t="inlineStr">
        <is>
          <t>OK</t>
        </is>
      </c>
      <c r="O64" t="inlineStr">
        <is>
          <t>Aware MEL 17.02 Amp Replacement</t>
        </is>
      </c>
      <c r="P64" t="inlineStr">
        <is>
          <t>INTEGRATION</t>
        </is>
      </c>
      <c r="Q64" t="inlineStr">
        <is>
          <t>Project</t>
        </is>
      </c>
      <c r="R64" t="inlineStr">
        <is>
          <t>GST 10%</t>
        </is>
      </c>
      <c r="S64" t="inlineStr">
        <is>
          <t>42300</t>
        </is>
      </c>
      <c r="T64" t="inlineStr">
        <is>
          <t>https://corptechservices.sharepoint.com/:b:/s/TeamIntegration/IQBagqp7IMy9QaQ1UUIv4eRPASus3A84m0lYjrSHFwHEyt0?e=9PLTPA</t>
        </is>
      </c>
      <c r="U64" t="inlineStr">
        <is>
          <t>Status: Closed</t>
        </is>
      </c>
      <c r="V64" t="n">
        <v>613.7</v>
      </c>
      <c r="W64" t="n">
        <v>6750.7</v>
      </c>
      <c r="X64" s="51" t="n">
        <v>46234</v>
      </c>
      <c r="Y64" t="n">
        <v>1</v>
      </c>
      <c r="Z64" t="n">
        <v>6137</v>
      </c>
      <c r="AA64" t="n">
        <v>6137</v>
      </c>
      <c r="AB64" t="n">
        <v>21</v>
      </c>
      <c r="AD64" s="52">
        <f>IFERROR(N(IFERROR(INDEX($A64:$AB64,MATCH("Xero Invoiced Ex GST",$A$1:$AB$1,0)),"")),0)</f>
        <v/>
      </c>
      <c r="AE64" s="53">
        <f>IFERROR(INDEX($A64:$AB64,MATCH("Xero Invoice Date",$A$1:$AB$1,0)),"")</f>
        <v/>
      </c>
      <c r="AF64" s="54">
        <f>IF(AND(IFERROR(INDEX($A64:$AB64,MATCH("Xero Invoice No",$A$1:$AB$1,0)),"")&amp;""&lt;&gt;"",ISNUMBER(AE64),AD64&lt;&gt;0),1,0)</f>
        <v/>
      </c>
      <c r="AG64" s="55">
        <f>IF(AF64=1,EOMONTH(AE64,0),"")</f>
        <v/>
      </c>
      <c r="AH64" s="9">
        <f>IF(AF64=1,UPPER(TRIM(IFERROR(INDEX($A64:$AB64,MATCH("Client",$A$1:$AB$1,0)),"")&amp;"")),"")</f>
        <v/>
      </c>
      <c r="AI64" s="9">
        <f>IF(AF64=1,IFERROR(INDEX($A64:$AB64,MATCH("Cost Centre",$A$1:$AB$1,0)),"")&amp;"","")</f>
        <v/>
      </c>
      <c r="AJ64" s="54">
        <f>IF(AND(AF64=1,AE64&gt;=set_FYStart,AE64&lt;=set_AsAt),1,0)</f>
        <v/>
      </c>
      <c r="AK64" s="54">
        <f>IF(AND(AJ64=1,AH64&lt;&gt;"",COUNTIFS($AH$2:AH64,AH64,$AJ$2:AJ64,1)=1),N(AL63)+1,"")</f>
        <v/>
      </c>
      <c r="AL64" s="54">
        <f>IF(AK64&lt;&gt;"",AK64,N(AL63))</f>
        <v/>
      </c>
    </row>
    <row r="65">
      <c r="A65" t="inlineStr">
        <is>
          <t>ONS-0022</t>
        </is>
      </c>
      <c r="B65" t="inlineStr">
        <is>
          <t>Onsite</t>
        </is>
      </c>
      <c r="C65" t="inlineStr">
        <is>
          <t>2608502</t>
        </is>
      </c>
      <c r="D65" t="inlineStr">
        <is>
          <t>DTTL</t>
        </is>
      </c>
      <c r="E65" t="inlineStr">
        <is>
          <t>DTTL Additionals August 2026</t>
        </is>
      </c>
      <c r="F65" t="n">
        <v>1275</v>
      </c>
      <c r="G65" t="inlineStr">
        <is>
          <t>INV-10597</t>
        </is>
      </c>
      <c r="H65" s="51" t="n">
        <v>46265</v>
      </c>
      <c r="I65" t="n">
        <v>1275</v>
      </c>
      <c r="J65" t="n">
        <v>0</v>
      </c>
      <c r="K65" t="inlineStr">
        <is>
          <t>Agrees</t>
        </is>
      </c>
      <c r="L65" t="inlineStr">
        <is>
          <t>Job number not in the Xero job list</t>
        </is>
      </c>
      <c r="N65" t="inlineStr">
        <is>
          <t>CHECK</t>
        </is>
      </c>
      <c r="P65" t="inlineStr">
        <is>
          <t>ONSITE</t>
        </is>
      </c>
      <c r="Q65" t="inlineStr">
        <is>
          <t>Ad-hoc</t>
        </is>
      </c>
      <c r="R65" t="inlineStr">
        <is>
          <t>GST 10%</t>
        </is>
      </c>
      <c r="S65" t="inlineStr">
        <is>
          <t>41100</t>
        </is>
      </c>
      <c r="U65" t="inlineStr">
        <is>
          <t xml:space="preserve">8419.62 differe from invoice amount </t>
        </is>
      </c>
      <c r="V65" t="n">
        <v>127.5</v>
      </c>
      <c r="W65" t="n">
        <v>1402.5</v>
      </c>
      <c r="X65" s="51" t="n">
        <v>46265</v>
      </c>
      <c r="Y65" t="n">
        <v>1</v>
      </c>
      <c r="Z65" t="n">
        <v>1275</v>
      </c>
      <c r="AA65" t="n">
        <v>1275</v>
      </c>
      <c r="AB65" t="n">
        <v>22</v>
      </c>
      <c r="AD65" s="52">
        <f>IFERROR(N(IFERROR(INDEX($A65:$AB65,MATCH("Xero Invoiced Ex GST",$A$1:$AB$1,0)),"")),0)</f>
        <v/>
      </c>
      <c r="AE65" s="53">
        <f>IFERROR(INDEX($A65:$AB65,MATCH("Xero Invoice Date",$A$1:$AB$1,0)),"")</f>
        <v/>
      </c>
      <c r="AF65" s="54">
        <f>IF(AND(IFERROR(INDEX($A65:$AB65,MATCH("Xero Invoice No",$A$1:$AB$1,0)),"")&amp;""&lt;&gt;"",ISNUMBER(AE65),AD65&lt;&gt;0),1,0)</f>
        <v/>
      </c>
      <c r="AG65" s="55">
        <f>IF(AF65=1,EOMONTH(AE65,0),"")</f>
        <v/>
      </c>
      <c r="AH65" s="9">
        <f>IF(AF65=1,UPPER(TRIM(IFERROR(INDEX($A65:$AB65,MATCH("Client",$A$1:$AB$1,0)),"")&amp;"")),"")</f>
        <v/>
      </c>
      <c r="AI65" s="9">
        <f>IF(AF65=1,IFERROR(INDEX($A65:$AB65,MATCH("Cost Centre",$A$1:$AB$1,0)),"")&amp;"","")</f>
        <v/>
      </c>
      <c r="AJ65" s="54">
        <f>IF(AND(AF65=1,AE65&gt;=set_FYStart,AE65&lt;=set_AsAt),1,0)</f>
        <v/>
      </c>
      <c r="AK65" s="54">
        <f>IF(AND(AJ65=1,AH65&lt;&gt;"",COUNTIFS($AH$2:AH65,AH65,$AJ$2:AJ65,1)=1),N(AL64)+1,"")</f>
        <v/>
      </c>
      <c r="AL65" s="54">
        <f>IF(AK65&lt;&gt;"",AK65,N(AL64))</f>
        <v/>
      </c>
    </row>
    <row r="66">
      <c r="A66" t="inlineStr">
        <is>
          <t>PRD-0022</t>
        </is>
      </c>
      <c r="B66" t="inlineStr">
        <is>
          <t>Production</t>
        </is>
      </c>
      <c r="C66" t="inlineStr">
        <is>
          <t>26063002</t>
        </is>
      </c>
      <c r="D66" t="inlineStr">
        <is>
          <t>CEO Institute</t>
        </is>
      </c>
      <c r="E66" t="inlineStr">
        <is>
          <t>CEO Connect 11.8.26</t>
        </is>
      </c>
      <c r="F66" t="n">
        <v>6283</v>
      </c>
      <c r="G66" t="inlineStr">
        <is>
          <t>INV-10581</t>
        </is>
      </c>
      <c r="H66" s="51" t="n">
        <v>46255</v>
      </c>
      <c r="I66" t="n">
        <v>6283</v>
      </c>
      <c r="J66" t="n">
        <v>0</v>
      </c>
      <c r="K66" t="inlineStr">
        <is>
          <t>Agrees</t>
        </is>
      </c>
      <c r="N66" t="inlineStr">
        <is>
          <t>OK</t>
        </is>
      </c>
      <c r="O66" t="inlineStr">
        <is>
          <t>CEOi - CEO Connect - 11.8.26</t>
        </is>
      </c>
      <c r="P66" t="inlineStr">
        <is>
          <t>PRODUCTION</t>
        </is>
      </c>
      <c r="Q66" t="inlineStr">
        <is>
          <t>Project</t>
        </is>
      </c>
      <c r="R66" t="inlineStr">
        <is>
          <t>GST 10%</t>
        </is>
      </c>
      <c r="S66" t="inlineStr">
        <is>
          <t>42100</t>
        </is>
      </c>
      <c r="T66" t="inlineStr">
        <is>
          <t>6084</t>
        </is>
      </c>
      <c r="V66" t="n">
        <v>628.3</v>
      </c>
      <c r="W66" t="n">
        <v>6911.3</v>
      </c>
      <c r="X66" s="51" t="n">
        <v>46265</v>
      </c>
      <c r="Y66" t="n">
        <v>1</v>
      </c>
      <c r="Z66" t="n">
        <v>6283</v>
      </c>
      <c r="AA66" t="n">
        <v>6283</v>
      </c>
      <c r="AB66" t="n">
        <v>22</v>
      </c>
      <c r="AD66" s="52">
        <f>IFERROR(N(IFERROR(INDEX($A66:$AB66,MATCH("Xero Invoiced Ex GST",$A$1:$AB$1,0)),"")),0)</f>
        <v/>
      </c>
      <c r="AE66" s="53">
        <f>IFERROR(INDEX($A66:$AB66,MATCH("Xero Invoice Date",$A$1:$AB$1,0)),"")</f>
        <v/>
      </c>
      <c r="AF66" s="54">
        <f>IF(AND(IFERROR(INDEX($A66:$AB66,MATCH("Xero Invoice No",$A$1:$AB$1,0)),"")&amp;""&lt;&gt;"",ISNUMBER(AE66),AD66&lt;&gt;0),1,0)</f>
        <v/>
      </c>
      <c r="AG66" s="55">
        <f>IF(AF66=1,EOMONTH(AE66,0),"")</f>
        <v/>
      </c>
      <c r="AH66" s="9">
        <f>IF(AF66=1,UPPER(TRIM(IFERROR(INDEX($A66:$AB66,MATCH("Client",$A$1:$AB$1,0)),"")&amp;"")),"")</f>
        <v/>
      </c>
      <c r="AI66" s="9">
        <f>IF(AF66=1,IFERROR(INDEX($A66:$AB66,MATCH("Cost Centre",$A$1:$AB$1,0)),"")&amp;"","")</f>
        <v/>
      </c>
      <c r="AJ66" s="54">
        <f>IF(AND(AF66=1,AE66&gt;=set_FYStart,AE66&lt;=set_AsAt),1,0)</f>
        <v/>
      </c>
      <c r="AK66" s="54">
        <f>IF(AND(AJ66=1,AH66&lt;&gt;"",COUNTIFS($AH$2:AH66,AH66,$AJ$2:AJ66,1)=1),N(AL65)+1,"")</f>
        <v/>
      </c>
      <c r="AL66" s="54">
        <f>IF(AK66&lt;&gt;"",AK66,N(AL65))</f>
        <v/>
      </c>
    </row>
    <row r="67">
      <c r="A67" t="inlineStr">
        <is>
          <t>CON-0022</t>
        </is>
      </c>
      <c r="B67" t="inlineStr">
        <is>
          <t>Consulting</t>
        </is>
      </c>
      <c r="C67" t="inlineStr">
        <is>
          <t>2606101</t>
        </is>
      </c>
      <c r="D67" t="inlineStr">
        <is>
          <t>APA</t>
        </is>
      </c>
      <c r="E67" t="inlineStr">
        <is>
          <t>Young Eptura Proxyclick Licence Renewal</t>
        </is>
      </c>
      <c r="F67" t="n">
        <v>4205</v>
      </c>
      <c r="G67" t="inlineStr">
        <is>
          <t>INV-10548</t>
        </is>
      </c>
      <c r="H67" s="51" t="n">
        <v>46233</v>
      </c>
      <c r="I67" t="n">
        <v>4205</v>
      </c>
      <c r="J67" t="n">
        <v>0</v>
      </c>
      <c r="K67" t="inlineStr">
        <is>
          <t>Agrees</t>
        </is>
      </c>
      <c r="L67" t="inlineStr">
        <is>
          <t>Job number not in the Xero job list</t>
        </is>
      </c>
      <c r="N67" t="inlineStr">
        <is>
          <t>CHECK</t>
        </is>
      </c>
      <c r="P67" t="inlineStr">
        <is>
          <t>INTEGRATION</t>
        </is>
      </c>
      <c r="Q67" t="inlineStr">
        <is>
          <t>Subscription</t>
        </is>
      </c>
      <c r="R67" t="inlineStr">
        <is>
          <t>GST 10%</t>
        </is>
      </c>
      <c r="S67" t="inlineStr">
        <is>
          <t>42300</t>
        </is>
      </c>
      <c r="T67" t="inlineStr">
        <is>
          <t>https://cts.qwilr.com/2606101-APA-Quotation-v1-0-QyyRipuR5uzy</t>
        </is>
      </c>
      <c r="U67" t="inlineStr">
        <is>
          <t>Status: Closed | 01/03/2027 to 29/02/2028</t>
        </is>
      </c>
      <c r="V67" t="n">
        <v>420.5</v>
      </c>
      <c r="W67" t="n">
        <v>4625.5</v>
      </c>
      <c r="X67" s="51" t="n">
        <v>46234</v>
      </c>
      <c r="Y67" t="n">
        <v>1</v>
      </c>
      <c r="Z67" t="n">
        <v>4205</v>
      </c>
      <c r="AA67" t="n">
        <v>4205</v>
      </c>
      <c r="AB67" t="n">
        <v>22</v>
      </c>
      <c r="AD67" s="52">
        <f>IFERROR(N(IFERROR(INDEX($A67:$AB67,MATCH("Xero Invoiced Ex GST",$A$1:$AB$1,0)),"")),0)</f>
        <v/>
      </c>
      <c r="AE67" s="53">
        <f>IFERROR(INDEX($A67:$AB67,MATCH("Xero Invoice Date",$A$1:$AB$1,0)),"")</f>
        <v/>
      </c>
      <c r="AF67" s="54">
        <f>IF(AND(IFERROR(INDEX($A67:$AB67,MATCH("Xero Invoice No",$A$1:$AB$1,0)),"")&amp;""&lt;&gt;"",ISNUMBER(AE67),AD67&lt;&gt;0),1,0)</f>
        <v/>
      </c>
      <c r="AG67" s="55">
        <f>IF(AF67=1,EOMONTH(AE67,0),"")</f>
        <v/>
      </c>
      <c r="AH67" s="9">
        <f>IF(AF67=1,UPPER(TRIM(IFERROR(INDEX($A67:$AB67,MATCH("Client",$A$1:$AB$1,0)),"")&amp;"")),"")</f>
        <v/>
      </c>
      <c r="AI67" s="9">
        <f>IF(AF67=1,IFERROR(INDEX($A67:$AB67,MATCH("Cost Centre",$A$1:$AB$1,0)),"")&amp;"","")</f>
        <v/>
      </c>
      <c r="AJ67" s="54">
        <f>IF(AND(AF67=1,AE67&gt;=set_FYStart,AE67&lt;=set_AsAt),1,0)</f>
        <v/>
      </c>
      <c r="AK67" s="54">
        <f>IF(AND(AJ67=1,AH67&lt;&gt;"",COUNTIFS($AH$2:AH67,AH67,$AJ$2:AJ67,1)=1),N(AL66)+1,"")</f>
        <v/>
      </c>
      <c r="AL67" s="54">
        <f>IF(AK67&lt;&gt;"",AK67,N(AL66))</f>
        <v/>
      </c>
    </row>
    <row r="68">
      <c r="A68" t="inlineStr">
        <is>
          <t>ONS-0023</t>
        </is>
      </c>
      <c r="B68" t="inlineStr">
        <is>
          <t>Onsite</t>
        </is>
      </c>
      <c r="C68" t="inlineStr">
        <is>
          <t>26073102</t>
        </is>
      </c>
      <c r="D68" t="inlineStr">
        <is>
          <t>PWC</t>
        </is>
      </c>
      <c r="E68" t="inlineStr">
        <is>
          <t>Pool of Hours - National AV/IT Support</t>
        </is>
      </c>
      <c r="F68" t="n">
        <v>8500</v>
      </c>
      <c r="J68" t="n">
        <v>8500</v>
      </c>
      <c r="K68" t="inlineStr">
        <is>
          <t>Not invoiced - to invoice</t>
        </is>
      </c>
      <c r="L68" t="inlineStr">
        <is>
          <t>Job number not in the Xero job list</t>
        </is>
      </c>
      <c r="M68" t="inlineStr">
        <is>
          <t>Xero check 28-Sep-26: INV-10598 is job 2609401 in Xero and is already on ONS-0050 - it was counted twice ($8,500). No Xero invoice found for 26073102 Jul-Sep</t>
        </is>
      </c>
      <c r="N68" t="inlineStr">
        <is>
          <t>CHECK</t>
        </is>
      </c>
      <c r="P68" t="inlineStr">
        <is>
          <t>ONSITE</t>
        </is>
      </c>
      <c r="Q68" t="inlineStr">
        <is>
          <t>Ad-hoc</t>
        </is>
      </c>
      <c r="R68" t="inlineStr">
        <is>
          <t>GST 10%</t>
        </is>
      </c>
      <c r="S68" t="inlineStr">
        <is>
          <t>41100</t>
        </is>
      </c>
      <c r="Y68" t="n">
        <v>1</v>
      </c>
      <c r="Z68" t="n">
        <v>8500</v>
      </c>
      <c r="AA68" t="n">
        <v>0</v>
      </c>
      <c r="AB68" t="n">
        <v>23</v>
      </c>
      <c r="AD68" s="52">
        <f>IFERROR(N(IFERROR(INDEX($A68:$AB68,MATCH("Xero Invoiced Ex GST",$A$1:$AB$1,0)),"")),0)</f>
        <v/>
      </c>
      <c r="AE68" s="53">
        <f>IFERROR(INDEX($A68:$AB68,MATCH("Xero Invoice Date",$A$1:$AB$1,0)),"")</f>
        <v/>
      </c>
      <c r="AF68" s="54">
        <f>IF(AND(IFERROR(INDEX($A68:$AB68,MATCH("Xero Invoice No",$A$1:$AB$1,0)),"")&amp;""&lt;&gt;"",ISNUMBER(AE68),AD68&lt;&gt;0),1,0)</f>
        <v/>
      </c>
      <c r="AG68" s="55">
        <f>IF(AF68=1,EOMONTH(AE68,0),"")</f>
        <v/>
      </c>
      <c r="AH68" s="9">
        <f>IF(AF68=1,UPPER(TRIM(IFERROR(INDEX($A68:$AB68,MATCH("Client",$A$1:$AB$1,0)),"")&amp;"")),"")</f>
        <v/>
      </c>
      <c r="AI68" s="9">
        <f>IF(AF68=1,IFERROR(INDEX($A68:$AB68,MATCH("Cost Centre",$A$1:$AB$1,0)),"")&amp;"","")</f>
        <v/>
      </c>
      <c r="AJ68" s="54">
        <f>IF(AND(AF68=1,AE68&gt;=set_FYStart,AE68&lt;=set_AsAt),1,0)</f>
        <v/>
      </c>
      <c r="AK68" s="54">
        <f>IF(AND(AJ68=1,AH68&lt;&gt;"",COUNTIFS($AH$2:AH68,AH68,$AJ$2:AJ68,1)=1),N(AL67)+1,"")</f>
        <v/>
      </c>
      <c r="AL68" s="54">
        <f>IF(AK68&lt;&gt;"",AK68,N(AL67))</f>
        <v/>
      </c>
    </row>
    <row r="69">
      <c r="A69" t="inlineStr">
        <is>
          <t>PRD-0023</t>
        </is>
      </c>
      <c r="B69" t="inlineStr">
        <is>
          <t>Production</t>
        </is>
      </c>
      <c r="C69" t="inlineStr">
        <is>
          <t>26072903</t>
        </is>
      </c>
      <c r="D69" t="inlineStr">
        <is>
          <t>PwC</t>
        </is>
      </c>
      <c r="E69" t="inlineStr">
        <is>
          <t>GB Webcast 11.8.26</t>
        </is>
      </c>
      <c r="F69" t="n">
        <v>3235</v>
      </c>
      <c r="G69" t="inlineStr">
        <is>
          <t>INV-10577</t>
        </is>
      </c>
      <c r="H69" s="51" t="n">
        <v>46259</v>
      </c>
      <c r="I69" t="n">
        <v>3235</v>
      </c>
      <c r="J69" t="n">
        <v>0</v>
      </c>
      <c r="K69" t="inlineStr">
        <is>
          <t>Agrees</t>
        </is>
      </c>
      <c r="N69" t="inlineStr">
        <is>
          <t>OK</t>
        </is>
      </c>
      <c r="O69" t="inlineStr">
        <is>
          <t>PWC - GB Webcast - 11.8.26</t>
        </is>
      </c>
      <c r="P69" t="inlineStr">
        <is>
          <t>PRODUCTION</t>
        </is>
      </c>
      <c r="Q69" t="inlineStr">
        <is>
          <t>Project</t>
        </is>
      </c>
      <c r="R69" t="inlineStr">
        <is>
          <t>GST 10%</t>
        </is>
      </c>
      <c r="S69" t="inlineStr">
        <is>
          <t>42100</t>
        </is>
      </c>
      <c r="T69" t="inlineStr">
        <is>
          <t>6134</t>
        </is>
      </c>
      <c r="V69" t="n">
        <v>323.5</v>
      </c>
      <c r="W69" t="n">
        <v>3558.5</v>
      </c>
      <c r="X69" s="51" t="n">
        <v>46265</v>
      </c>
      <c r="Y69" t="n">
        <v>1</v>
      </c>
      <c r="Z69" t="n">
        <v>3235</v>
      </c>
      <c r="AA69" t="n">
        <v>3235</v>
      </c>
      <c r="AB69" t="n">
        <v>23</v>
      </c>
      <c r="AD69" s="52">
        <f>IFERROR(N(IFERROR(INDEX($A69:$AB69,MATCH("Xero Invoiced Ex GST",$A$1:$AB$1,0)),"")),0)</f>
        <v/>
      </c>
      <c r="AE69" s="53">
        <f>IFERROR(INDEX($A69:$AB69,MATCH("Xero Invoice Date",$A$1:$AB$1,0)),"")</f>
        <v/>
      </c>
      <c r="AF69" s="54">
        <f>IF(AND(IFERROR(INDEX($A69:$AB69,MATCH("Xero Invoice No",$A$1:$AB$1,0)),"")&amp;""&lt;&gt;"",ISNUMBER(AE69),AD69&lt;&gt;0),1,0)</f>
        <v/>
      </c>
      <c r="AG69" s="55">
        <f>IF(AF69=1,EOMONTH(AE69,0),"")</f>
        <v/>
      </c>
      <c r="AH69" s="9">
        <f>IF(AF69=1,UPPER(TRIM(IFERROR(INDEX($A69:$AB69,MATCH("Client",$A$1:$AB$1,0)),"")&amp;"")),"")</f>
        <v/>
      </c>
      <c r="AI69" s="9">
        <f>IF(AF69=1,IFERROR(INDEX($A69:$AB69,MATCH("Cost Centre",$A$1:$AB$1,0)),"")&amp;"","")</f>
        <v/>
      </c>
      <c r="AJ69" s="54">
        <f>IF(AND(AF69=1,AE69&gt;=set_FYStart,AE69&lt;=set_AsAt),1,0)</f>
        <v/>
      </c>
      <c r="AK69" s="54">
        <f>IF(AND(AJ69=1,AH69&lt;&gt;"",COUNTIFS($AH$2:AH69,AH69,$AJ$2:AJ69,1)=1),N(AL68)+1,"")</f>
        <v/>
      </c>
      <c r="AL69" s="54">
        <f>IF(AK69&lt;&gt;"",AK69,N(AL68))</f>
        <v/>
      </c>
    </row>
    <row r="70">
      <c r="A70" t="inlineStr">
        <is>
          <t>CON-0023</t>
        </is>
      </c>
      <c r="B70" t="inlineStr">
        <is>
          <t>Consulting</t>
        </is>
      </c>
      <c r="C70" t="inlineStr">
        <is>
          <t>26071304</t>
        </is>
      </c>
      <c r="D70" t="inlineStr">
        <is>
          <t>YSG Studio</t>
        </is>
      </c>
      <c r="E70" t="inlineStr">
        <is>
          <t>Orange Room Upgrade INT</t>
        </is>
      </c>
      <c r="F70" t="n">
        <v>4702</v>
      </c>
      <c r="G70" t="inlineStr">
        <is>
          <t>INV-10547</t>
        </is>
      </c>
      <c r="H70" s="51" t="n">
        <v>46233</v>
      </c>
      <c r="I70" t="n">
        <v>4702</v>
      </c>
      <c r="J70" t="n">
        <v>0</v>
      </c>
      <c r="K70" t="inlineStr">
        <is>
          <t>Agrees</t>
        </is>
      </c>
      <c r="N70" t="inlineStr">
        <is>
          <t>OK</t>
        </is>
      </c>
      <c r="O70" t="inlineStr">
        <is>
          <t>YSG | Orange Room Upgrade</t>
        </is>
      </c>
      <c r="P70" t="inlineStr">
        <is>
          <t>INTEGRATION</t>
        </is>
      </c>
      <c r="Q70" t="inlineStr">
        <is>
          <t>Project</t>
        </is>
      </c>
      <c r="R70" t="inlineStr">
        <is>
          <t>GST 10%</t>
        </is>
      </c>
      <c r="S70" t="inlineStr">
        <is>
          <t>42300</t>
        </is>
      </c>
      <c r="T70" t="inlineStr">
        <is>
          <t>https://cts.qwilr.com/26071304-YSG-Costing-v1-0-FTAgpF5RoWQK</t>
        </is>
      </c>
      <c r="U70" t="inlineStr">
        <is>
          <t>Status: Closed | Invoice 1/2 Equipment only</t>
        </is>
      </c>
      <c r="V70" t="n">
        <v>470.2</v>
      </c>
      <c r="W70" t="n">
        <v>5172.2</v>
      </c>
      <c r="X70" s="51" t="n">
        <v>46234</v>
      </c>
      <c r="Y70" t="n">
        <v>2</v>
      </c>
      <c r="Z70" t="n">
        <v>9164</v>
      </c>
      <c r="AA70" t="n">
        <v>9164</v>
      </c>
      <c r="AB70" t="n">
        <v>23</v>
      </c>
      <c r="AD70" s="52">
        <f>IFERROR(N(IFERROR(INDEX($A70:$AB70,MATCH("Xero Invoiced Ex GST",$A$1:$AB$1,0)),"")),0)</f>
        <v/>
      </c>
      <c r="AE70" s="53">
        <f>IFERROR(INDEX($A70:$AB70,MATCH("Xero Invoice Date",$A$1:$AB$1,0)),"")</f>
        <v/>
      </c>
      <c r="AF70" s="54">
        <f>IF(AND(IFERROR(INDEX($A70:$AB70,MATCH("Xero Invoice No",$A$1:$AB$1,0)),"")&amp;""&lt;&gt;"",ISNUMBER(AE70),AD70&lt;&gt;0),1,0)</f>
        <v/>
      </c>
      <c r="AG70" s="55">
        <f>IF(AF70=1,EOMONTH(AE70,0),"")</f>
        <v/>
      </c>
      <c r="AH70" s="9">
        <f>IF(AF70=1,UPPER(TRIM(IFERROR(INDEX($A70:$AB70,MATCH("Client",$A$1:$AB$1,0)),"")&amp;"")),"")</f>
        <v/>
      </c>
      <c r="AI70" s="9">
        <f>IF(AF70=1,IFERROR(INDEX($A70:$AB70,MATCH("Cost Centre",$A$1:$AB$1,0)),"")&amp;"","")</f>
        <v/>
      </c>
      <c r="AJ70" s="54">
        <f>IF(AND(AF70=1,AE70&gt;=set_FYStart,AE70&lt;=set_AsAt),1,0)</f>
        <v/>
      </c>
      <c r="AK70" s="54">
        <f>IF(AND(AJ70=1,AH70&lt;&gt;"",COUNTIFS($AH$2:AH70,AH70,$AJ$2:AJ70,1)=1),N(AL69)+1,"")</f>
        <v/>
      </c>
      <c r="AL70" s="54">
        <f>IF(AK70&lt;&gt;"",AK70,N(AL69))</f>
        <v/>
      </c>
    </row>
    <row r="71">
      <c r="A71" t="inlineStr">
        <is>
          <t>ONS-0024</t>
        </is>
      </c>
      <c r="B71" t="inlineStr">
        <is>
          <t>Onsite</t>
        </is>
      </c>
      <c r="C71" t="inlineStr">
        <is>
          <t>1350</t>
        </is>
      </c>
      <c r="D71" t="inlineStr">
        <is>
          <t>CBA</t>
        </is>
      </c>
      <c r="E71" t="inlineStr">
        <is>
          <t>CBA BNE August 2026</t>
        </is>
      </c>
      <c r="F71" t="n">
        <v>8022.5</v>
      </c>
      <c r="G71" t="inlineStr">
        <is>
          <t>INV-10565</t>
        </is>
      </c>
      <c r="H71" s="51" t="n">
        <v>46265</v>
      </c>
      <c r="I71" t="n">
        <v>8022.5</v>
      </c>
      <c r="J71" t="n">
        <v>0</v>
      </c>
      <c r="K71" t="inlineStr">
        <is>
          <t>Agrees</t>
        </is>
      </c>
      <c r="N71" t="inlineStr">
        <is>
          <t>OK</t>
        </is>
      </c>
      <c r="O71" t="inlineStr">
        <is>
          <t>CBA Brisbane ONS</t>
        </is>
      </c>
      <c r="P71" t="inlineStr">
        <is>
          <t>ONSITE</t>
        </is>
      </c>
      <c r="Q71" t="inlineStr">
        <is>
          <t>Contract</t>
        </is>
      </c>
      <c r="R71" t="inlineStr">
        <is>
          <t>GST 10%</t>
        </is>
      </c>
      <c r="S71" t="inlineStr">
        <is>
          <t>41100</t>
        </is>
      </c>
      <c r="V71" t="n">
        <v>802.25</v>
      </c>
      <c r="W71" t="n">
        <v>8824.75</v>
      </c>
      <c r="X71" s="51" t="n">
        <v>46265</v>
      </c>
      <c r="Y71" t="n">
        <v>3</v>
      </c>
      <c r="Z71" t="n">
        <v>22550.95</v>
      </c>
      <c r="AA71" t="n">
        <v>22550.95</v>
      </c>
      <c r="AB71" t="n">
        <v>24</v>
      </c>
      <c r="AD71" s="52">
        <f>IFERROR(N(IFERROR(INDEX($A71:$AB71,MATCH("Xero Invoiced Ex GST",$A$1:$AB$1,0)),"")),0)</f>
        <v/>
      </c>
      <c r="AE71" s="53">
        <f>IFERROR(INDEX($A71:$AB71,MATCH("Xero Invoice Date",$A$1:$AB$1,0)),"")</f>
        <v/>
      </c>
      <c r="AF71" s="54">
        <f>IF(AND(IFERROR(INDEX($A71:$AB71,MATCH("Xero Invoice No",$A$1:$AB$1,0)),"")&amp;""&lt;&gt;"",ISNUMBER(AE71),AD71&lt;&gt;0),1,0)</f>
        <v/>
      </c>
      <c r="AG71" s="55">
        <f>IF(AF71=1,EOMONTH(AE71,0),"")</f>
        <v/>
      </c>
      <c r="AH71" s="9">
        <f>IF(AF71=1,UPPER(TRIM(IFERROR(INDEX($A71:$AB71,MATCH("Client",$A$1:$AB$1,0)),"")&amp;"")),"")</f>
        <v/>
      </c>
      <c r="AI71" s="9">
        <f>IF(AF71=1,IFERROR(INDEX($A71:$AB71,MATCH("Cost Centre",$A$1:$AB$1,0)),"")&amp;"","")</f>
        <v/>
      </c>
      <c r="AJ71" s="54">
        <f>IF(AND(AF71=1,AE71&gt;=set_FYStart,AE71&lt;=set_AsAt),1,0)</f>
        <v/>
      </c>
      <c r="AK71" s="54">
        <f>IF(AND(AJ71=1,AH71&lt;&gt;"",COUNTIFS($AH$2:AH71,AH71,$AJ$2:AJ71,1)=1),N(AL70)+1,"")</f>
        <v/>
      </c>
      <c r="AL71" s="54">
        <f>IF(AK71&lt;&gt;"",AK71,N(AL70))</f>
        <v/>
      </c>
    </row>
    <row r="72">
      <c r="A72" t="inlineStr">
        <is>
          <t>PRD-0024</t>
        </is>
      </c>
      <c r="B72" t="inlineStr">
        <is>
          <t>Production</t>
        </is>
      </c>
      <c r="C72" t="inlineStr">
        <is>
          <t>26061104</t>
        </is>
      </c>
      <c r="D72" t="inlineStr">
        <is>
          <t>MUFG</t>
        </is>
      </c>
      <c r="E72" t="inlineStr">
        <is>
          <t>MUFG - Suncorp FYR</t>
        </is>
      </c>
      <c r="F72" t="n">
        <v>25635.25</v>
      </c>
      <c r="G72" t="inlineStr">
        <is>
          <t>INV - 10584
INV - 10585</t>
        </is>
      </c>
      <c r="H72" s="51" t="n">
        <v>46246</v>
      </c>
      <c r="I72" t="n">
        <v>25635.25</v>
      </c>
      <c r="J72" t="n">
        <v>0</v>
      </c>
      <c r="K72" t="inlineStr">
        <is>
          <t>Agrees</t>
        </is>
      </c>
      <c r="N72" t="inlineStr">
        <is>
          <t>OK</t>
        </is>
      </c>
      <c r="O72" t="inlineStr">
        <is>
          <t>MUFG - FYR26 - 12.8.26</t>
        </is>
      </c>
      <c r="P72" t="inlineStr">
        <is>
          <t>PRODUCTION</t>
        </is>
      </c>
      <c r="Q72" t="inlineStr">
        <is>
          <t>Project</t>
        </is>
      </c>
      <c r="R72" t="inlineStr">
        <is>
          <t>GST 10%</t>
        </is>
      </c>
      <c r="S72" t="inlineStr">
        <is>
          <t>42100</t>
        </is>
      </c>
      <c r="T72" t="inlineStr">
        <is>
          <t>Proj: 0016</t>
        </is>
      </c>
      <c r="V72" t="n">
        <v>2563.53</v>
      </c>
      <c r="W72" t="n">
        <v>28198.78</v>
      </c>
      <c r="X72" s="51" t="n">
        <v>46265</v>
      </c>
      <c r="Y72" t="n">
        <v>1</v>
      </c>
      <c r="Z72" t="n">
        <v>25635.25</v>
      </c>
      <c r="AA72" t="n">
        <v>25635.25</v>
      </c>
      <c r="AB72" t="n">
        <v>24</v>
      </c>
      <c r="AD72" s="52">
        <f>IFERROR(N(IFERROR(INDEX($A72:$AB72,MATCH("Xero Invoiced Ex GST",$A$1:$AB$1,0)),"")),0)</f>
        <v/>
      </c>
      <c r="AE72" s="53">
        <f>IFERROR(INDEX($A72:$AB72,MATCH("Xero Invoice Date",$A$1:$AB$1,0)),"")</f>
        <v/>
      </c>
      <c r="AF72" s="54">
        <f>IF(AND(IFERROR(INDEX($A72:$AB72,MATCH("Xero Invoice No",$A$1:$AB$1,0)),"")&amp;""&lt;&gt;"",ISNUMBER(AE72),AD72&lt;&gt;0),1,0)</f>
        <v/>
      </c>
      <c r="AG72" s="55">
        <f>IF(AF72=1,EOMONTH(AE72,0),"")</f>
        <v/>
      </c>
      <c r="AH72" s="9">
        <f>IF(AF72=1,UPPER(TRIM(IFERROR(INDEX($A72:$AB72,MATCH("Client",$A$1:$AB$1,0)),"")&amp;"")),"")</f>
        <v/>
      </c>
      <c r="AI72" s="9">
        <f>IF(AF72=1,IFERROR(INDEX($A72:$AB72,MATCH("Cost Centre",$A$1:$AB$1,0)),"")&amp;"","")</f>
        <v/>
      </c>
      <c r="AJ72" s="54">
        <f>IF(AND(AF72=1,AE72&gt;=set_FYStart,AE72&lt;=set_AsAt),1,0)</f>
        <v/>
      </c>
      <c r="AK72" s="54">
        <f>IF(AND(AJ72=1,AH72&lt;&gt;"",COUNTIFS($AH$2:AH72,AH72,$AJ$2:AJ72,1)=1),N(AL71)+1,"")</f>
        <v/>
      </c>
      <c r="AL72" s="54">
        <f>IF(AK72&lt;&gt;"",AK72,N(AL71))</f>
        <v/>
      </c>
    </row>
    <row r="73">
      <c r="A73" t="inlineStr">
        <is>
          <t>CON-0024</t>
        </is>
      </c>
      <c r="B73" t="inlineStr">
        <is>
          <t>Consulting</t>
        </is>
      </c>
      <c r="C73" t="inlineStr">
        <is>
          <t>2604704</t>
        </is>
      </c>
      <c r="D73" t="inlineStr">
        <is>
          <t>Aware Super</t>
        </is>
      </c>
      <c r="E73" t="inlineStr">
        <is>
          <t>SYD Seminar Room Audio Upgrade</t>
        </is>
      </c>
      <c r="F73" t="n">
        <v>202647</v>
      </c>
      <c r="G73" t="inlineStr">
        <is>
          <t>INV-10596</t>
        </is>
      </c>
      <c r="H73" s="51" t="n">
        <v>46274</v>
      </c>
      <c r="I73" t="n">
        <v>205352.17</v>
      </c>
      <c r="J73" t="n">
        <v>-2705.17000000001</v>
      </c>
      <c r="K73" t="inlineStr">
        <is>
          <t>Xero higher - check dept</t>
        </is>
      </c>
      <c r="M73" t="inlineStr">
        <is>
          <t>Xero check 28-Sep-26: Xero INV-10596 is $205,352.17 ex GST</t>
        </is>
      </c>
      <c r="N73" t="inlineStr">
        <is>
          <t>OK</t>
        </is>
      </c>
      <c r="O73" t="inlineStr">
        <is>
          <t>Aware Super Seminar Room Audio Upgrade</t>
        </is>
      </c>
      <c r="P73" t="inlineStr">
        <is>
          <t>INTEGRATION</t>
        </is>
      </c>
      <c r="Q73" t="inlineStr">
        <is>
          <t>Project</t>
        </is>
      </c>
      <c r="R73" t="inlineStr">
        <is>
          <t>GST 10%</t>
        </is>
      </c>
      <c r="S73" t="inlineStr">
        <is>
          <t>42300</t>
        </is>
      </c>
      <c r="T73" t="inlineStr">
        <is>
          <t>https://cts.qwilr.com/2604704-AwareSuper-Proposal-v4-0-ilNUnNxKQIui</t>
        </is>
      </c>
      <c r="U73" t="inlineStr">
        <is>
          <t>Status: Completed</t>
        </is>
      </c>
      <c r="V73" t="n">
        <v>20535.22</v>
      </c>
      <c r="W73" t="n">
        <v>225887.39</v>
      </c>
      <c r="X73" s="51" t="n">
        <v>46295</v>
      </c>
      <c r="Y73" t="n">
        <v>1</v>
      </c>
      <c r="Z73" t="n">
        <v>202647</v>
      </c>
      <c r="AA73" t="n">
        <v>205352.17</v>
      </c>
      <c r="AB73" t="n">
        <v>24</v>
      </c>
      <c r="AD73" s="52">
        <f>IFERROR(N(IFERROR(INDEX($A73:$AB73,MATCH("Xero Invoiced Ex GST",$A$1:$AB$1,0)),"")),0)</f>
        <v/>
      </c>
      <c r="AE73" s="53">
        <f>IFERROR(INDEX($A73:$AB73,MATCH("Xero Invoice Date",$A$1:$AB$1,0)),"")</f>
        <v/>
      </c>
      <c r="AF73" s="54">
        <f>IF(AND(IFERROR(INDEX($A73:$AB73,MATCH("Xero Invoice No",$A$1:$AB$1,0)),"")&amp;""&lt;&gt;"",ISNUMBER(AE73),AD73&lt;&gt;0),1,0)</f>
        <v/>
      </c>
      <c r="AG73" s="55">
        <f>IF(AF73=1,EOMONTH(AE73,0),"")</f>
        <v/>
      </c>
      <c r="AH73" s="9">
        <f>IF(AF73=1,UPPER(TRIM(IFERROR(INDEX($A73:$AB73,MATCH("Client",$A$1:$AB$1,0)),"")&amp;"")),"")</f>
        <v/>
      </c>
      <c r="AI73" s="9">
        <f>IF(AF73=1,IFERROR(INDEX($A73:$AB73,MATCH("Cost Centre",$A$1:$AB$1,0)),"")&amp;"","")</f>
        <v/>
      </c>
      <c r="AJ73" s="54">
        <f>IF(AND(AF73=1,AE73&gt;=set_FYStart,AE73&lt;=set_AsAt),1,0)</f>
        <v/>
      </c>
      <c r="AK73" s="54">
        <f>IF(AND(AJ73=1,AH73&lt;&gt;"",COUNTIFS($AH$2:AH73,AH73,$AJ$2:AJ73,1)=1),N(AL72)+1,"")</f>
        <v/>
      </c>
      <c r="AL73" s="54">
        <f>IF(AK73&lt;&gt;"",AK73,N(AL72))</f>
        <v/>
      </c>
    </row>
    <row r="74">
      <c r="A74" t="inlineStr">
        <is>
          <t>ONS-0025</t>
        </is>
      </c>
      <c r="B74" t="inlineStr">
        <is>
          <t>Onsite</t>
        </is>
      </c>
      <c r="C74" t="inlineStr">
        <is>
          <t>585/586/1755</t>
        </is>
      </c>
      <c r="D74" t="inlineStr">
        <is>
          <t>CBA</t>
        </is>
      </c>
      <c r="E74" t="inlineStr">
        <is>
          <t>CBP August 2026</t>
        </is>
      </c>
      <c r="J74" t="n">
        <v>0</v>
      </c>
      <c r="K74" t="inlineStr">
        <is>
          <t>No dept value</t>
        </is>
      </c>
      <c r="L74" t="inlineStr">
        <is>
          <t>Job number not in the Xero job list; Dept has not entered an expected value</t>
        </is>
      </c>
      <c r="N74" t="inlineStr">
        <is>
          <t>CHECK</t>
        </is>
      </c>
      <c r="P74" t="inlineStr">
        <is>
          <t>ONSITE</t>
        </is>
      </c>
      <c r="Q74" t="inlineStr">
        <is>
          <t>Contract</t>
        </is>
      </c>
      <c r="R74" t="inlineStr">
        <is>
          <t>GST 10%</t>
        </is>
      </c>
      <c r="S74" t="inlineStr">
        <is>
          <t>41100</t>
        </is>
      </c>
      <c r="Y74" t="n">
        <v>2</v>
      </c>
      <c r="Z74" t="n">
        <v>22120.57</v>
      </c>
      <c r="AA74" t="n">
        <v>22120.57</v>
      </c>
      <c r="AB74" t="n">
        <v>25</v>
      </c>
      <c r="AD74" s="52">
        <f>IFERROR(N(IFERROR(INDEX($A74:$AB74,MATCH("Xero Invoiced Ex GST",$A$1:$AB$1,0)),"")),0)</f>
        <v/>
      </c>
      <c r="AE74" s="53">
        <f>IFERROR(INDEX($A74:$AB74,MATCH("Xero Invoice Date",$A$1:$AB$1,0)),"")</f>
        <v/>
      </c>
      <c r="AF74" s="54">
        <f>IF(AND(IFERROR(INDEX($A74:$AB74,MATCH("Xero Invoice No",$A$1:$AB$1,0)),"")&amp;""&lt;&gt;"",ISNUMBER(AE74),AD74&lt;&gt;0),1,0)</f>
        <v/>
      </c>
      <c r="AG74" s="55">
        <f>IF(AF74=1,EOMONTH(AE74,0),"")</f>
        <v/>
      </c>
      <c r="AH74" s="9">
        <f>IF(AF74=1,UPPER(TRIM(IFERROR(INDEX($A74:$AB74,MATCH("Client",$A$1:$AB$1,0)),"")&amp;"")),"")</f>
        <v/>
      </c>
      <c r="AI74" s="9">
        <f>IF(AF74=1,IFERROR(INDEX($A74:$AB74,MATCH("Cost Centre",$A$1:$AB$1,0)),"")&amp;"","")</f>
        <v/>
      </c>
      <c r="AJ74" s="54">
        <f>IF(AND(AF74=1,AE74&gt;=set_FYStart,AE74&lt;=set_AsAt),1,0)</f>
        <v/>
      </c>
      <c r="AK74" s="54">
        <f>IF(AND(AJ74=1,AH74&lt;&gt;"",COUNTIFS($AH$2:AH74,AH74,$AJ$2:AJ74,1)=1),N(AL73)+1,"")</f>
        <v/>
      </c>
      <c r="AL74" s="54">
        <f>IF(AK74&lt;&gt;"",AK74,N(AL73))</f>
        <v/>
      </c>
    </row>
    <row r="75">
      <c r="A75" t="inlineStr">
        <is>
          <t>PRD-0025</t>
        </is>
      </c>
      <c r="B75" t="inlineStr">
        <is>
          <t>Production</t>
        </is>
      </c>
      <c r="C75" t="inlineStr">
        <is>
          <t>26061105</t>
        </is>
      </c>
      <c r="D75" t="inlineStr">
        <is>
          <t xml:space="preserve">CBA </t>
        </is>
      </c>
      <c r="E75" t="inlineStr">
        <is>
          <t>CBA FYR 2026 (Order PO3308779)</t>
        </is>
      </c>
      <c r="F75" t="n">
        <v>11320</v>
      </c>
      <c r="G75" t="inlineStr">
        <is>
          <t>INV-10563</t>
        </is>
      </c>
      <c r="H75" s="51" t="n">
        <v>46247</v>
      </c>
      <c r="I75" t="n">
        <v>11320</v>
      </c>
      <c r="J75" t="n">
        <v>0</v>
      </c>
      <c r="K75" t="inlineStr">
        <is>
          <t>Agrees</t>
        </is>
      </c>
      <c r="N75" t="inlineStr">
        <is>
          <t>OK</t>
        </is>
      </c>
      <c r="O75" t="inlineStr">
        <is>
          <t>CBA - FYR 2026 - 12.8.26</t>
        </is>
      </c>
      <c r="P75" t="inlineStr">
        <is>
          <t>PRODUCTION</t>
        </is>
      </c>
      <c r="Q75" t="inlineStr">
        <is>
          <t>Project</t>
        </is>
      </c>
      <c r="R75" t="inlineStr">
        <is>
          <t>GST 10%</t>
        </is>
      </c>
      <c r="S75" t="inlineStr">
        <is>
          <t>42100</t>
        </is>
      </c>
      <c r="T75" t="inlineStr">
        <is>
          <t>6093</t>
        </is>
      </c>
      <c r="V75" t="n">
        <v>1132</v>
      </c>
      <c r="W75" t="n">
        <v>12452</v>
      </c>
      <c r="X75" s="51" t="n">
        <v>46265</v>
      </c>
      <c r="Y75" t="n">
        <v>1</v>
      </c>
      <c r="Z75" t="n">
        <v>11320</v>
      </c>
      <c r="AA75" t="n">
        <v>11320</v>
      </c>
      <c r="AB75" t="n">
        <v>25</v>
      </c>
      <c r="AD75" s="52">
        <f>IFERROR(N(IFERROR(INDEX($A75:$AB75,MATCH("Xero Invoiced Ex GST",$A$1:$AB$1,0)),"")),0)</f>
        <v/>
      </c>
      <c r="AE75" s="53">
        <f>IFERROR(INDEX($A75:$AB75,MATCH("Xero Invoice Date",$A$1:$AB$1,0)),"")</f>
        <v/>
      </c>
      <c r="AF75" s="54">
        <f>IF(AND(IFERROR(INDEX($A75:$AB75,MATCH("Xero Invoice No",$A$1:$AB$1,0)),"")&amp;""&lt;&gt;"",ISNUMBER(AE75),AD75&lt;&gt;0),1,0)</f>
        <v/>
      </c>
      <c r="AG75" s="55">
        <f>IF(AF75=1,EOMONTH(AE75,0),"")</f>
        <v/>
      </c>
      <c r="AH75" s="9">
        <f>IF(AF75=1,UPPER(TRIM(IFERROR(INDEX($A75:$AB75,MATCH("Client",$A$1:$AB$1,0)),"")&amp;"")),"")</f>
        <v/>
      </c>
      <c r="AI75" s="9">
        <f>IF(AF75=1,IFERROR(INDEX($A75:$AB75,MATCH("Cost Centre",$A$1:$AB$1,0)),"")&amp;"","")</f>
        <v/>
      </c>
      <c r="AJ75" s="54">
        <f>IF(AND(AF75=1,AE75&gt;=set_FYStart,AE75&lt;=set_AsAt),1,0)</f>
        <v/>
      </c>
      <c r="AK75" s="54">
        <f>IF(AND(AJ75=1,AH75&lt;&gt;"",COUNTIFS($AH$2:AH75,AH75,$AJ$2:AJ75,1)=1),N(AL74)+1,"")</f>
        <v/>
      </c>
      <c r="AL75" s="54">
        <f>IF(AK75&lt;&gt;"",AK75,N(AL74))</f>
        <v/>
      </c>
    </row>
    <row r="76">
      <c r="A76" t="inlineStr">
        <is>
          <t>CON-0025</t>
        </is>
      </c>
      <c r="B76" t="inlineStr">
        <is>
          <t>Consulting</t>
        </is>
      </c>
      <c r="C76" t="inlineStr">
        <is>
          <t>26052102</t>
        </is>
      </c>
      <c r="D76" t="inlineStr">
        <is>
          <t>HP Poly - Data#3</t>
        </is>
      </c>
      <c r="E76" t="inlineStr">
        <is>
          <t>AUSTRAC Phone Mods</t>
        </is>
      </c>
      <c r="F76" t="n">
        <v>45909</v>
      </c>
      <c r="G76" t="inlineStr">
        <is>
          <t>INV-10575</t>
        </is>
      </c>
      <c r="H76" s="51" t="n">
        <v>46254</v>
      </c>
      <c r="I76" t="n">
        <v>45909</v>
      </c>
      <c r="J76" t="n">
        <v>0</v>
      </c>
      <c r="K76" t="inlineStr">
        <is>
          <t>Agrees</t>
        </is>
      </c>
      <c r="N76" t="inlineStr">
        <is>
          <t>OK</t>
        </is>
      </c>
      <c r="O76" t="inlineStr">
        <is>
          <t>HP-D3 | Austrac Phone Mods</t>
        </is>
      </c>
      <c r="P76" t="inlineStr">
        <is>
          <t>INTEGRATION</t>
        </is>
      </c>
      <c r="Q76" t="inlineStr">
        <is>
          <t>Project</t>
        </is>
      </c>
      <c r="R76" t="inlineStr">
        <is>
          <t>GST 10%</t>
        </is>
      </c>
      <c r="S76" t="inlineStr">
        <is>
          <t>42300</t>
        </is>
      </c>
      <c r="T76" t="inlineStr">
        <is>
          <t>https://cts.qwilr.com/26052102-HP-D3-AustracPhoneMod-v3-0-PO-Received-4b9uvVwXSiqQ</t>
        </is>
      </c>
      <c r="U76" t="inlineStr">
        <is>
          <t>Status: Closed</t>
        </is>
      </c>
      <c r="V76" t="n">
        <v>4590.9</v>
      </c>
      <c r="W76" t="n">
        <v>50499.9</v>
      </c>
      <c r="X76" s="51" t="n">
        <v>46265</v>
      </c>
      <c r="Y76" t="n">
        <v>1</v>
      </c>
      <c r="Z76" t="n">
        <v>45909</v>
      </c>
      <c r="AA76" t="n">
        <v>45909</v>
      </c>
      <c r="AB76" t="n">
        <v>25</v>
      </c>
      <c r="AD76" s="52">
        <f>IFERROR(N(IFERROR(INDEX($A76:$AB76,MATCH("Xero Invoiced Ex GST",$A$1:$AB$1,0)),"")),0)</f>
        <v/>
      </c>
      <c r="AE76" s="53">
        <f>IFERROR(INDEX($A76:$AB76,MATCH("Xero Invoice Date",$A$1:$AB$1,0)),"")</f>
        <v/>
      </c>
      <c r="AF76" s="54">
        <f>IF(AND(IFERROR(INDEX($A76:$AB76,MATCH("Xero Invoice No",$A$1:$AB$1,0)),"")&amp;""&lt;&gt;"",ISNUMBER(AE76),AD76&lt;&gt;0),1,0)</f>
        <v/>
      </c>
      <c r="AG76" s="55">
        <f>IF(AF76=1,EOMONTH(AE76,0),"")</f>
        <v/>
      </c>
      <c r="AH76" s="9">
        <f>IF(AF76=1,UPPER(TRIM(IFERROR(INDEX($A76:$AB76,MATCH("Client",$A$1:$AB$1,0)),"")&amp;"")),"")</f>
        <v/>
      </c>
      <c r="AI76" s="9">
        <f>IF(AF76=1,IFERROR(INDEX($A76:$AB76,MATCH("Cost Centre",$A$1:$AB$1,0)),"")&amp;"","")</f>
        <v/>
      </c>
      <c r="AJ76" s="54">
        <f>IF(AND(AF76=1,AE76&gt;=set_FYStart,AE76&lt;=set_AsAt),1,0)</f>
        <v/>
      </c>
      <c r="AK76" s="54">
        <f>IF(AND(AJ76=1,AH76&lt;&gt;"",COUNTIFS($AH$2:AH76,AH76,$AJ$2:AJ76,1)=1),N(AL75)+1,"")</f>
        <v/>
      </c>
      <c r="AL76" s="54">
        <f>IF(AK76&lt;&gt;"",AK76,N(AL75))</f>
        <v/>
      </c>
    </row>
    <row r="77">
      <c r="A77" t="inlineStr">
        <is>
          <t>ONS-0026</t>
        </is>
      </c>
      <c r="B77" t="inlineStr">
        <is>
          <t>Onsite</t>
        </is>
      </c>
      <c r="C77" t="inlineStr">
        <is>
          <t>587</t>
        </is>
      </c>
      <c r="D77" t="inlineStr">
        <is>
          <t>CBA</t>
        </is>
      </c>
      <c r="E77" t="inlineStr">
        <is>
          <t>CBS August 2026</t>
        </is>
      </c>
      <c r="J77" t="n">
        <v>0</v>
      </c>
      <c r="K77" t="inlineStr">
        <is>
          <t>No dept value</t>
        </is>
      </c>
      <c r="L77" t="inlineStr">
        <is>
          <t>Dept has not entered an expected value</t>
        </is>
      </c>
      <c r="N77" t="inlineStr">
        <is>
          <t>OK</t>
        </is>
      </c>
      <c r="O77" t="inlineStr">
        <is>
          <t>CBA Tech TN</t>
        </is>
      </c>
      <c r="P77" t="inlineStr">
        <is>
          <t>ONSITE</t>
        </is>
      </c>
      <c r="Q77" t="inlineStr">
        <is>
          <t>Contract</t>
        </is>
      </c>
      <c r="R77" t="inlineStr">
        <is>
          <t>GST 10%</t>
        </is>
      </c>
      <c r="S77" t="inlineStr">
        <is>
          <t>41100</t>
        </is>
      </c>
      <c r="Y77" t="n">
        <v>4</v>
      </c>
      <c r="Z77" t="n">
        <v>31637.88</v>
      </c>
      <c r="AA77" t="n">
        <v>31637.88</v>
      </c>
      <c r="AB77" t="n">
        <v>26</v>
      </c>
      <c r="AD77" s="52">
        <f>IFERROR(N(IFERROR(INDEX($A77:$AB77,MATCH("Xero Invoiced Ex GST",$A$1:$AB$1,0)),"")),0)</f>
        <v/>
      </c>
      <c r="AE77" s="53">
        <f>IFERROR(INDEX($A77:$AB77,MATCH("Xero Invoice Date",$A$1:$AB$1,0)),"")</f>
        <v/>
      </c>
      <c r="AF77" s="54">
        <f>IF(AND(IFERROR(INDEX($A77:$AB77,MATCH("Xero Invoice No",$A$1:$AB$1,0)),"")&amp;""&lt;&gt;"",ISNUMBER(AE77),AD77&lt;&gt;0),1,0)</f>
        <v/>
      </c>
      <c r="AG77" s="55">
        <f>IF(AF77=1,EOMONTH(AE77,0),"")</f>
        <v/>
      </c>
      <c r="AH77" s="9">
        <f>IF(AF77=1,UPPER(TRIM(IFERROR(INDEX($A77:$AB77,MATCH("Client",$A$1:$AB$1,0)),"")&amp;"")),"")</f>
        <v/>
      </c>
      <c r="AI77" s="9">
        <f>IF(AF77=1,IFERROR(INDEX($A77:$AB77,MATCH("Cost Centre",$A$1:$AB$1,0)),"")&amp;"","")</f>
        <v/>
      </c>
      <c r="AJ77" s="54">
        <f>IF(AND(AF77=1,AE77&gt;=set_FYStart,AE77&lt;=set_AsAt),1,0)</f>
        <v/>
      </c>
      <c r="AK77" s="54">
        <f>IF(AND(AJ77=1,AH77&lt;&gt;"",COUNTIFS($AH$2:AH77,AH77,$AJ$2:AJ77,1)=1),N(AL76)+1,"")</f>
        <v/>
      </c>
      <c r="AL77" s="54">
        <f>IF(AK77&lt;&gt;"",AK77,N(AL76))</f>
        <v/>
      </c>
    </row>
    <row r="78">
      <c r="A78" t="inlineStr">
        <is>
          <t>PRD-0026</t>
        </is>
      </c>
      <c r="B78" t="inlineStr">
        <is>
          <t>Production</t>
        </is>
      </c>
      <c r="C78" t="inlineStr">
        <is>
          <t>2605401</t>
        </is>
      </c>
      <c r="D78" t="inlineStr">
        <is>
          <t>AGL</t>
        </is>
      </c>
      <c r="E78" t="inlineStr">
        <is>
          <t>AGL FYR - Investor Briefing</t>
        </is>
      </c>
      <c r="F78" t="n">
        <v>12465.5</v>
      </c>
      <c r="G78" t="inlineStr">
        <is>
          <t>INV-10579</t>
        </is>
      </c>
      <c r="H78" s="51" t="n">
        <v>46255</v>
      </c>
      <c r="I78" t="n">
        <v>12465.5</v>
      </c>
      <c r="J78" t="n">
        <v>0</v>
      </c>
      <c r="K78" t="inlineStr">
        <is>
          <t>Agrees</t>
        </is>
      </c>
      <c r="N78" t="inlineStr">
        <is>
          <t>OK</t>
        </is>
      </c>
      <c r="O78" t="inlineStr">
        <is>
          <t>AGL FYR - Investor Briefing - 12.8.26</t>
        </is>
      </c>
      <c r="P78" t="inlineStr">
        <is>
          <t>PRODUCTION</t>
        </is>
      </c>
      <c r="Q78" t="inlineStr">
        <is>
          <t>Project</t>
        </is>
      </c>
      <c r="R78" t="inlineStr">
        <is>
          <t>GST 10%</t>
        </is>
      </c>
      <c r="S78" t="inlineStr">
        <is>
          <t>42100</t>
        </is>
      </c>
      <c r="T78" t="inlineStr">
        <is>
          <t>Proj: 0019</t>
        </is>
      </c>
      <c r="V78" t="n">
        <v>1246.55</v>
      </c>
      <c r="W78" t="n">
        <v>13712.05</v>
      </c>
      <c r="X78" s="51" t="n">
        <v>46265</v>
      </c>
      <c r="Y78" t="n">
        <v>1</v>
      </c>
      <c r="Z78" t="n">
        <v>12465.5</v>
      </c>
      <c r="AA78" t="n">
        <v>12465.5</v>
      </c>
      <c r="AB78" t="n">
        <v>26</v>
      </c>
      <c r="AD78" s="52">
        <f>IFERROR(N(IFERROR(INDEX($A78:$AB78,MATCH("Xero Invoiced Ex GST",$A$1:$AB$1,0)),"")),0)</f>
        <v/>
      </c>
      <c r="AE78" s="53">
        <f>IFERROR(INDEX($A78:$AB78,MATCH("Xero Invoice Date",$A$1:$AB$1,0)),"")</f>
        <v/>
      </c>
      <c r="AF78" s="54">
        <f>IF(AND(IFERROR(INDEX($A78:$AB78,MATCH("Xero Invoice No",$A$1:$AB$1,0)),"")&amp;""&lt;&gt;"",ISNUMBER(AE78),AD78&lt;&gt;0),1,0)</f>
        <v/>
      </c>
      <c r="AG78" s="55">
        <f>IF(AF78=1,EOMONTH(AE78,0),"")</f>
        <v/>
      </c>
      <c r="AH78" s="9">
        <f>IF(AF78=1,UPPER(TRIM(IFERROR(INDEX($A78:$AB78,MATCH("Client",$A$1:$AB$1,0)),"")&amp;"")),"")</f>
        <v/>
      </c>
      <c r="AI78" s="9">
        <f>IF(AF78=1,IFERROR(INDEX($A78:$AB78,MATCH("Cost Centre",$A$1:$AB$1,0)),"")&amp;"","")</f>
        <v/>
      </c>
      <c r="AJ78" s="54">
        <f>IF(AND(AF78=1,AE78&gt;=set_FYStart,AE78&lt;=set_AsAt),1,0)</f>
        <v/>
      </c>
      <c r="AK78" s="54">
        <f>IF(AND(AJ78=1,AH78&lt;&gt;"",COUNTIFS($AH$2:AH78,AH78,$AJ$2:AJ78,1)=1),N(AL77)+1,"")</f>
        <v/>
      </c>
      <c r="AL78" s="54">
        <f>IF(AK78&lt;&gt;"",AK78,N(AL77))</f>
        <v/>
      </c>
    </row>
    <row r="79">
      <c r="A79" t="inlineStr">
        <is>
          <t>CON-0026</t>
        </is>
      </c>
      <c r="B79" t="inlineStr">
        <is>
          <t>Consulting</t>
        </is>
      </c>
      <c r="C79" t="inlineStr">
        <is>
          <t>26052701</t>
        </is>
      </c>
      <c r="D79" t="inlineStr">
        <is>
          <t>Aware Super</t>
        </is>
      </c>
      <c r="E79" t="inlineStr">
        <is>
          <t>SYD 28.06 Equipment</t>
        </is>
      </c>
      <c r="F79" t="n">
        <v>12271</v>
      </c>
      <c r="G79" t="inlineStr">
        <is>
          <t>INV-10553</t>
        </is>
      </c>
      <c r="H79" s="51" t="n">
        <v>46237</v>
      </c>
      <c r="I79" t="n">
        <v>12271</v>
      </c>
      <c r="J79" t="n">
        <v>0</v>
      </c>
      <c r="K79" t="inlineStr">
        <is>
          <t>Agrees</t>
        </is>
      </c>
      <c r="N79" t="inlineStr">
        <is>
          <t>OK</t>
        </is>
      </c>
      <c r="O79" t="inlineStr">
        <is>
          <t>Aware | SYD 28.06 Equipment</t>
        </is>
      </c>
      <c r="P79" t="inlineStr">
        <is>
          <t>INTEGRATION</t>
        </is>
      </c>
      <c r="Q79" t="inlineStr">
        <is>
          <t>Project</t>
        </is>
      </c>
      <c r="R79" t="inlineStr">
        <is>
          <t>GST 10%</t>
        </is>
      </c>
      <c r="S79" t="inlineStr">
        <is>
          <t>42300</t>
        </is>
      </c>
      <c r="T79" t="inlineStr">
        <is>
          <t>https://cts.qwilr.com/26052701-Aware-Costing-v5-0-CGHaKT8iSxmf</t>
        </is>
      </c>
      <c r="U79" t="inlineStr">
        <is>
          <t>Status: Completed</t>
        </is>
      </c>
      <c r="V79" t="n">
        <v>1227.1</v>
      </c>
      <c r="W79" t="n">
        <v>13498.1</v>
      </c>
      <c r="X79" s="51" t="n">
        <v>46265</v>
      </c>
      <c r="Y79" t="n">
        <v>1</v>
      </c>
      <c r="Z79" t="n">
        <v>12271</v>
      </c>
      <c r="AA79" t="n">
        <v>12271</v>
      </c>
      <c r="AB79" t="n">
        <v>26</v>
      </c>
      <c r="AD79" s="52">
        <f>IFERROR(N(IFERROR(INDEX($A79:$AB79,MATCH("Xero Invoiced Ex GST",$A$1:$AB$1,0)),"")),0)</f>
        <v/>
      </c>
      <c r="AE79" s="53">
        <f>IFERROR(INDEX($A79:$AB79,MATCH("Xero Invoice Date",$A$1:$AB$1,0)),"")</f>
        <v/>
      </c>
      <c r="AF79" s="54">
        <f>IF(AND(IFERROR(INDEX($A79:$AB79,MATCH("Xero Invoice No",$A$1:$AB$1,0)),"")&amp;""&lt;&gt;"",ISNUMBER(AE79),AD79&lt;&gt;0),1,0)</f>
        <v/>
      </c>
      <c r="AG79" s="55">
        <f>IF(AF79=1,EOMONTH(AE79,0),"")</f>
        <v/>
      </c>
      <c r="AH79" s="9">
        <f>IF(AF79=1,UPPER(TRIM(IFERROR(INDEX($A79:$AB79,MATCH("Client",$A$1:$AB$1,0)),"")&amp;"")),"")</f>
        <v/>
      </c>
      <c r="AI79" s="9">
        <f>IF(AF79=1,IFERROR(INDEX($A79:$AB79,MATCH("Cost Centre",$A$1:$AB$1,0)),"")&amp;"","")</f>
        <v/>
      </c>
      <c r="AJ79" s="54">
        <f>IF(AND(AF79=1,AE79&gt;=set_FYStart,AE79&lt;=set_AsAt),1,0)</f>
        <v/>
      </c>
      <c r="AK79" s="54">
        <f>IF(AND(AJ79=1,AH79&lt;&gt;"",COUNTIFS($AH$2:AH79,AH79,$AJ$2:AJ79,1)=1),N(AL78)+1,"")</f>
        <v/>
      </c>
      <c r="AL79" s="54">
        <f>IF(AK79&lt;&gt;"",AK79,N(AL78))</f>
        <v/>
      </c>
    </row>
    <row r="80">
      <c r="A80" t="inlineStr">
        <is>
          <t>ONS-0027</t>
        </is>
      </c>
      <c r="B80" t="inlineStr">
        <is>
          <t>Onsite</t>
        </is>
      </c>
      <c r="C80" t="inlineStr">
        <is>
          <t>2846/1401/725/1400/1530/1862/2402/2849/974</t>
        </is>
      </c>
      <c r="D80" t="inlineStr">
        <is>
          <t>DTTL</t>
        </is>
      </c>
      <c r="E80" t="inlineStr">
        <is>
          <t>DTTL Contract August 2026</t>
        </is>
      </c>
      <c r="F80" t="n">
        <v>103625.44</v>
      </c>
      <c r="G80" t="inlineStr">
        <is>
          <t>INV-10569</t>
        </is>
      </c>
      <c r="H80" s="51" t="n">
        <v>46265</v>
      </c>
      <c r="I80" t="n">
        <v>103625.44</v>
      </c>
      <c r="J80" t="n">
        <v>0</v>
      </c>
      <c r="K80" t="inlineStr">
        <is>
          <t>Agrees</t>
        </is>
      </c>
      <c r="L80" t="inlineStr">
        <is>
          <t>Job number not in the Xero job list</t>
        </is>
      </c>
      <c r="N80" t="inlineStr">
        <is>
          <t>CHECK</t>
        </is>
      </c>
      <c r="P80" t="inlineStr">
        <is>
          <t>ONSITE</t>
        </is>
      </c>
      <c r="Q80" t="inlineStr">
        <is>
          <t>Contract</t>
        </is>
      </c>
      <c r="R80" t="inlineStr">
        <is>
          <t>GST 10%</t>
        </is>
      </c>
      <c r="S80" t="inlineStr">
        <is>
          <t>41100</t>
        </is>
      </c>
      <c r="V80" t="n">
        <v>10362.54</v>
      </c>
      <c r="W80" t="n">
        <v>113987.98</v>
      </c>
      <c r="X80" s="51" t="n">
        <v>46265</v>
      </c>
      <c r="Y80" t="n">
        <v>3</v>
      </c>
      <c r="Z80" t="n">
        <v>310876.32</v>
      </c>
      <c r="AA80" t="n">
        <v>310876.32</v>
      </c>
      <c r="AB80" t="n">
        <v>27</v>
      </c>
      <c r="AD80" s="52">
        <f>IFERROR(N(IFERROR(INDEX($A80:$AB80,MATCH("Xero Invoiced Ex GST",$A$1:$AB$1,0)),"")),0)</f>
        <v/>
      </c>
      <c r="AE80" s="53">
        <f>IFERROR(INDEX($A80:$AB80,MATCH("Xero Invoice Date",$A$1:$AB$1,0)),"")</f>
        <v/>
      </c>
      <c r="AF80" s="54">
        <f>IF(AND(IFERROR(INDEX($A80:$AB80,MATCH("Xero Invoice No",$A$1:$AB$1,0)),"")&amp;""&lt;&gt;"",ISNUMBER(AE80),AD80&lt;&gt;0),1,0)</f>
        <v/>
      </c>
      <c r="AG80" s="55">
        <f>IF(AF80=1,EOMONTH(AE80,0),"")</f>
        <v/>
      </c>
      <c r="AH80" s="9">
        <f>IF(AF80=1,UPPER(TRIM(IFERROR(INDEX($A80:$AB80,MATCH("Client",$A$1:$AB$1,0)),"")&amp;"")),"")</f>
        <v/>
      </c>
      <c r="AI80" s="9">
        <f>IF(AF80=1,IFERROR(INDEX($A80:$AB80,MATCH("Cost Centre",$A$1:$AB$1,0)),"")&amp;"","")</f>
        <v/>
      </c>
      <c r="AJ80" s="54">
        <f>IF(AND(AF80=1,AE80&gt;=set_FYStart,AE80&lt;=set_AsAt),1,0)</f>
        <v/>
      </c>
      <c r="AK80" s="54">
        <f>IF(AND(AJ80=1,AH80&lt;&gt;"",COUNTIFS($AH$2:AH80,AH80,$AJ$2:AJ80,1)=1),N(AL79)+1,"")</f>
        <v/>
      </c>
      <c r="AL80" s="54">
        <f>IF(AK80&lt;&gt;"",AK80,N(AL79))</f>
        <v/>
      </c>
    </row>
    <row r="81">
      <c r="A81" t="inlineStr">
        <is>
          <t>PRD-0027</t>
        </is>
      </c>
      <c r="B81" t="inlineStr">
        <is>
          <t>Production</t>
        </is>
      </c>
      <c r="C81" t="inlineStr">
        <is>
          <t>2605402</t>
        </is>
      </c>
      <c r="D81" t="inlineStr">
        <is>
          <t>AGL</t>
        </is>
      </c>
      <c r="E81" t="inlineStr">
        <is>
          <t xml:space="preserve">AGL FYR - Employee Town Hall </t>
        </is>
      </c>
      <c r="F81" t="n">
        <v>7148.75</v>
      </c>
      <c r="G81" t="inlineStr">
        <is>
          <t>INV-10578</t>
        </is>
      </c>
      <c r="H81" s="51" t="n">
        <v>46255</v>
      </c>
      <c r="I81" t="n">
        <v>7148.75</v>
      </c>
      <c r="J81" t="n">
        <v>0</v>
      </c>
      <c r="K81" t="inlineStr">
        <is>
          <t>Agrees</t>
        </is>
      </c>
      <c r="N81" t="inlineStr">
        <is>
          <t>OK</t>
        </is>
      </c>
      <c r="O81" t="inlineStr">
        <is>
          <t>AGL FYR - Employee Town Hall - 12.8.26</t>
        </is>
      </c>
      <c r="P81" t="inlineStr">
        <is>
          <t>PRODUCTION</t>
        </is>
      </c>
      <c r="Q81" t="inlineStr">
        <is>
          <t>Project</t>
        </is>
      </c>
      <c r="R81" t="inlineStr">
        <is>
          <t>GST 10%</t>
        </is>
      </c>
      <c r="S81" t="inlineStr">
        <is>
          <t>42100</t>
        </is>
      </c>
      <c r="T81" t="inlineStr">
        <is>
          <t>Proj: 0019</t>
        </is>
      </c>
      <c r="V81" t="n">
        <v>714.88</v>
      </c>
      <c r="W81" t="n">
        <v>7863.63</v>
      </c>
      <c r="X81" s="51" t="n">
        <v>46265</v>
      </c>
      <c r="Y81" t="n">
        <v>1</v>
      </c>
      <c r="Z81" t="n">
        <v>7148.75</v>
      </c>
      <c r="AA81" t="n">
        <v>7148.75</v>
      </c>
      <c r="AB81" t="n">
        <v>27</v>
      </c>
      <c r="AD81" s="52">
        <f>IFERROR(N(IFERROR(INDEX($A81:$AB81,MATCH("Xero Invoiced Ex GST",$A$1:$AB$1,0)),"")),0)</f>
        <v/>
      </c>
      <c r="AE81" s="53">
        <f>IFERROR(INDEX($A81:$AB81,MATCH("Xero Invoice Date",$A$1:$AB$1,0)),"")</f>
        <v/>
      </c>
      <c r="AF81" s="54">
        <f>IF(AND(IFERROR(INDEX($A81:$AB81,MATCH("Xero Invoice No",$A$1:$AB$1,0)),"")&amp;""&lt;&gt;"",ISNUMBER(AE81),AD81&lt;&gt;0),1,0)</f>
        <v/>
      </c>
      <c r="AG81" s="55">
        <f>IF(AF81=1,EOMONTH(AE81,0),"")</f>
        <v/>
      </c>
      <c r="AH81" s="9">
        <f>IF(AF81=1,UPPER(TRIM(IFERROR(INDEX($A81:$AB81,MATCH("Client",$A$1:$AB$1,0)),"")&amp;"")),"")</f>
        <v/>
      </c>
      <c r="AI81" s="9">
        <f>IF(AF81=1,IFERROR(INDEX($A81:$AB81,MATCH("Cost Centre",$A$1:$AB$1,0)),"")&amp;"","")</f>
        <v/>
      </c>
      <c r="AJ81" s="54">
        <f>IF(AND(AF81=1,AE81&gt;=set_FYStart,AE81&lt;=set_AsAt),1,0)</f>
        <v/>
      </c>
      <c r="AK81" s="54">
        <f>IF(AND(AJ81=1,AH81&lt;&gt;"",COUNTIFS($AH$2:AH81,AH81,$AJ$2:AJ81,1)=1),N(AL80)+1,"")</f>
        <v/>
      </c>
      <c r="AL81" s="54">
        <f>IF(AK81&lt;&gt;"",AK81,N(AL80))</f>
        <v/>
      </c>
    </row>
    <row r="82">
      <c r="A82" t="inlineStr">
        <is>
          <t>CON-0027</t>
        </is>
      </c>
      <c r="B82" t="inlineStr">
        <is>
          <t>Consulting</t>
        </is>
      </c>
      <c r="C82" t="inlineStr">
        <is>
          <t>26071304</t>
        </is>
      </c>
      <c r="D82" t="inlineStr">
        <is>
          <t>YSG Studio</t>
        </is>
      </c>
      <c r="E82" t="inlineStr">
        <is>
          <t>Orange Room Upgrade INT</t>
        </is>
      </c>
      <c r="F82" t="n">
        <v>4462</v>
      </c>
      <c r="G82" t="inlineStr">
        <is>
          <t>INV-10601</t>
        </is>
      </c>
      <c r="H82" s="51" t="n">
        <v>46261</v>
      </c>
      <c r="I82" t="n">
        <v>4462</v>
      </c>
      <c r="J82" t="n">
        <v>0</v>
      </c>
      <c r="K82" t="inlineStr">
        <is>
          <t>Agrees</t>
        </is>
      </c>
      <c r="N82" t="inlineStr">
        <is>
          <t>OK</t>
        </is>
      </c>
      <c r="O82" t="inlineStr">
        <is>
          <t>YSG | Orange Room Upgrade</t>
        </is>
      </c>
      <c r="P82" t="inlineStr">
        <is>
          <t>INTEGRATION</t>
        </is>
      </c>
      <c r="Q82" t="inlineStr">
        <is>
          <t>Project</t>
        </is>
      </c>
      <c r="R82" t="inlineStr">
        <is>
          <t>GST 10%</t>
        </is>
      </c>
      <c r="S82" t="inlineStr">
        <is>
          <t>42300</t>
        </is>
      </c>
      <c r="T82" t="inlineStr">
        <is>
          <t>https://cts.qwilr.com/26071304-YSG-Costing-v1-0-FTAgpF5RoWQK</t>
        </is>
      </c>
      <c r="U82" t="inlineStr">
        <is>
          <t>Status: Closed | 2/2 Labour only</t>
        </is>
      </c>
      <c r="V82" t="n">
        <v>446.2</v>
      </c>
      <c r="W82" t="n">
        <v>4908.2</v>
      </c>
      <c r="X82" s="51" t="n">
        <v>46265</v>
      </c>
      <c r="Y82" t="n">
        <v>2</v>
      </c>
      <c r="Z82" t="n">
        <v>9164</v>
      </c>
      <c r="AA82" t="n">
        <v>9164</v>
      </c>
      <c r="AB82" t="n">
        <v>27</v>
      </c>
      <c r="AD82" s="52">
        <f>IFERROR(N(IFERROR(INDEX($A82:$AB82,MATCH("Xero Invoiced Ex GST",$A$1:$AB$1,0)),"")),0)</f>
        <v/>
      </c>
      <c r="AE82" s="53">
        <f>IFERROR(INDEX($A82:$AB82,MATCH("Xero Invoice Date",$A$1:$AB$1,0)),"")</f>
        <v/>
      </c>
      <c r="AF82" s="54">
        <f>IF(AND(IFERROR(INDEX($A82:$AB82,MATCH("Xero Invoice No",$A$1:$AB$1,0)),"")&amp;""&lt;&gt;"",ISNUMBER(AE82),AD82&lt;&gt;0),1,0)</f>
        <v/>
      </c>
      <c r="AG82" s="55">
        <f>IF(AF82=1,EOMONTH(AE82,0),"")</f>
        <v/>
      </c>
      <c r="AH82" s="9">
        <f>IF(AF82=1,UPPER(TRIM(IFERROR(INDEX($A82:$AB82,MATCH("Client",$A$1:$AB$1,0)),"")&amp;"")),"")</f>
        <v/>
      </c>
      <c r="AI82" s="9">
        <f>IF(AF82=1,IFERROR(INDEX($A82:$AB82,MATCH("Cost Centre",$A$1:$AB$1,0)),"")&amp;"","")</f>
        <v/>
      </c>
      <c r="AJ82" s="54">
        <f>IF(AND(AF82=1,AE82&gt;=set_FYStart,AE82&lt;=set_AsAt),1,0)</f>
        <v/>
      </c>
      <c r="AK82" s="54">
        <f>IF(AND(AJ82=1,AH82&lt;&gt;"",COUNTIFS($AH$2:AH82,AH82,$AJ$2:AJ82,1)=1),N(AL81)+1,"")</f>
        <v/>
      </c>
      <c r="AL82" s="54">
        <f>IF(AK82&lt;&gt;"",AK82,N(AL81))</f>
        <v/>
      </c>
    </row>
    <row r="83">
      <c r="A83" t="inlineStr">
        <is>
          <t>ONS-0028</t>
        </is>
      </c>
      <c r="B83" t="inlineStr">
        <is>
          <t>Onsite</t>
        </is>
      </c>
      <c r="C83" t="inlineStr">
        <is>
          <t>732/1144</t>
        </is>
      </c>
      <c r="D83" t="inlineStr">
        <is>
          <t>BW</t>
        </is>
      </c>
      <c r="E83" t="inlineStr">
        <is>
          <t>BW Contract August 2026</t>
        </is>
      </c>
      <c r="F83" t="n">
        <v>15113.75</v>
      </c>
      <c r="G83" t="inlineStr">
        <is>
          <t>INV-10570</t>
        </is>
      </c>
      <c r="H83" s="51" t="n">
        <v>46265</v>
      </c>
      <c r="I83" t="n">
        <v>15113.75</v>
      </c>
      <c r="J83" t="n">
        <v>0</v>
      </c>
      <c r="K83" t="inlineStr">
        <is>
          <t>Agrees</t>
        </is>
      </c>
      <c r="L83" t="inlineStr">
        <is>
          <t>Job number not in the Xero job list</t>
        </is>
      </c>
      <c r="N83" t="inlineStr">
        <is>
          <t>CHECK</t>
        </is>
      </c>
      <c r="P83" t="inlineStr">
        <is>
          <t>ONSITE</t>
        </is>
      </c>
      <c r="Q83" t="inlineStr">
        <is>
          <t>Contract</t>
        </is>
      </c>
      <c r="R83" t="inlineStr">
        <is>
          <t>GST 10%</t>
        </is>
      </c>
      <c r="S83" t="inlineStr">
        <is>
          <t>41100</t>
        </is>
      </c>
      <c r="V83" t="n">
        <v>1511.38</v>
      </c>
      <c r="W83" t="n">
        <v>16625.13</v>
      </c>
      <c r="X83" s="51" t="n">
        <v>46265</v>
      </c>
      <c r="Y83" t="n">
        <v>3</v>
      </c>
      <c r="Z83" t="n">
        <v>53823.75</v>
      </c>
      <c r="AA83" t="n">
        <v>53823.75</v>
      </c>
      <c r="AB83" t="n">
        <v>28</v>
      </c>
      <c r="AD83" s="52">
        <f>IFERROR(N(IFERROR(INDEX($A83:$AB83,MATCH("Xero Invoiced Ex GST",$A$1:$AB$1,0)),"")),0)</f>
        <v/>
      </c>
      <c r="AE83" s="53">
        <f>IFERROR(INDEX($A83:$AB83,MATCH("Xero Invoice Date",$A$1:$AB$1,0)),"")</f>
        <v/>
      </c>
      <c r="AF83" s="54">
        <f>IF(AND(IFERROR(INDEX($A83:$AB83,MATCH("Xero Invoice No",$A$1:$AB$1,0)),"")&amp;""&lt;&gt;"",ISNUMBER(AE83),AD83&lt;&gt;0),1,0)</f>
        <v/>
      </c>
      <c r="AG83" s="55">
        <f>IF(AF83=1,EOMONTH(AE83,0),"")</f>
        <v/>
      </c>
      <c r="AH83" s="9">
        <f>IF(AF83=1,UPPER(TRIM(IFERROR(INDEX($A83:$AB83,MATCH("Client",$A$1:$AB$1,0)),"")&amp;"")),"")</f>
        <v/>
      </c>
      <c r="AI83" s="9">
        <f>IF(AF83=1,IFERROR(INDEX($A83:$AB83,MATCH("Cost Centre",$A$1:$AB$1,0)),"")&amp;"","")</f>
        <v/>
      </c>
      <c r="AJ83" s="54">
        <f>IF(AND(AF83=1,AE83&gt;=set_FYStart,AE83&lt;=set_AsAt),1,0)</f>
        <v/>
      </c>
      <c r="AK83" s="54">
        <f>IF(AND(AJ83=1,AH83&lt;&gt;"",COUNTIFS($AH$2:AH83,AH83,$AJ$2:AJ83,1)=1),N(AL82)+1,"")</f>
        <v/>
      </c>
      <c r="AL83" s="54">
        <f>IF(AK83&lt;&gt;"",AK83,N(AL82))</f>
        <v/>
      </c>
    </row>
    <row r="84">
      <c r="A84" t="inlineStr">
        <is>
          <t>PRD-0028</t>
        </is>
      </c>
      <c r="B84" t="inlineStr">
        <is>
          <t>Production</t>
        </is>
      </c>
      <c r="C84" t="inlineStr">
        <is>
          <t>2608604</t>
        </is>
      </c>
      <c r="D84" t="inlineStr">
        <is>
          <t>ASX</t>
        </is>
      </c>
      <c r="E84" t="inlineStr">
        <is>
          <t>ASX Employee Townhall 13.8.26</t>
        </is>
      </c>
      <c r="F84" t="n">
        <v>1025</v>
      </c>
      <c r="G84" t="inlineStr">
        <is>
          <t>INV-10599</t>
        </is>
      </c>
      <c r="H84" s="51" t="n">
        <v>46261</v>
      </c>
      <c r="I84" t="n">
        <v>1025</v>
      </c>
      <c r="J84" t="n">
        <v>0</v>
      </c>
      <c r="K84" t="inlineStr">
        <is>
          <t>Agrees</t>
        </is>
      </c>
      <c r="N84" t="inlineStr">
        <is>
          <t>OK</t>
        </is>
      </c>
      <c r="O84" t="inlineStr">
        <is>
          <t>ASX - FYR Employee Town Hall - 13.8.26</t>
        </is>
      </c>
      <c r="P84" t="inlineStr">
        <is>
          <t>PRODUCTION</t>
        </is>
      </c>
      <c r="Q84" t="inlineStr">
        <is>
          <t>Project</t>
        </is>
      </c>
      <c r="R84" t="inlineStr">
        <is>
          <t>GST 10%</t>
        </is>
      </c>
      <c r="S84" t="inlineStr">
        <is>
          <t>42100</t>
        </is>
      </c>
      <c r="T84" t="inlineStr">
        <is>
          <t>6138</t>
        </is>
      </c>
      <c r="V84" t="n">
        <v>102.5</v>
      </c>
      <c r="W84" t="n">
        <v>1127.5</v>
      </c>
      <c r="X84" s="51" t="n">
        <v>46265</v>
      </c>
      <c r="Y84" t="n">
        <v>1</v>
      </c>
      <c r="Z84" t="n">
        <v>1025</v>
      </c>
      <c r="AA84" t="n">
        <v>1025</v>
      </c>
      <c r="AB84" t="n">
        <v>28</v>
      </c>
      <c r="AD84" s="52">
        <f>IFERROR(N(IFERROR(INDEX($A84:$AB84,MATCH("Xero Invoiced Ex GST",$A$1:$AB$1,0)),"")),0)</f>
        <v/>
      </c>
      <c r="AE84" s="53">
        <f>IFERROR(INDEX($A84:$AB84,MATCH("Xero Invoice Date",$A$1:$AB$1,0)),"")</f>
        <v/>
      </c>
      <c r="AF84" s="54">
        <f>IF(AND(IFERROR(INDEX($A84:$AB84,MATCH("Xero Invoice No",$A$1:$AB$1,0)),"")&amp;""&lt;&gt;"",ISNUMBER(AE84),AD84&lt;&gt;0),1,0)</f>
        <v/>
      </c>
      <c r="AG84" s="55">
        <f>IF(AF84=1,EOMONTH(AE84,0),"")</f>
        <v/>
      </c>
      <c r="AH84" s="9">
        <f>IF(AF84=1,UPPER(TRIM(IFERROR(INDEX($A84:$AB84,MATCH("Client",$A$1:$AB$1,0)),"")&amp;"")),"")</f>
        <v/>
      </c>
      <c r="AI84" s="9">
        <f>IF(AF84=1,IFERROR(INDEX($A84:$AB84,MATCH("Cost Centre",$A$1:$AB$1,0)),"")&amp;"","")</f>
        <v/>
      </c>
      <c r="AJ84" s="54">
        <f>IF(AND(AF84=1,AE84&gt;=set_FYStart,AE84&lt;=set_AsAt),1,0)</f>
        <v/>
      </c>
      <c r="AK84" s="54">
        <f>IF(AND(AJ84=1,AH84&lt;&gt;"",COUNTIFS($AH$2:AH84,AH84,$AJ$2:AJ84,1)=1),N(AL83)+1,"")</f>
        <v/>
      </c>
      <c r="AL84" s="54">
        <f>IF(AK84&lt;&gt;"",AK84,N(AL83))</f>
        <v/>
      </c>
    </row>
    <row r="85">
      <c r="A85" t="inlineStr">
        <is>
          <t>CON-0028</t>
        </is>
      </c>
      <c r="B85" t="inlineStr">
        <is>
          <t>Consulting</t>
        </is>
      </c>
      <c r="C85" t="inlineStr">
        <is>
          <t>26062902</t>
        </is>
      </c>
      <c r="D85" t="inlineStr">
        <is>
          <t>Aware Super</t>
        </is>
      </c>
      <c r="E85" t="inlineStr">
        <is>
          <t>SYD Occupancy Sensors</t>
        </is>
      </c>
      <c r="F85" t="n">
        <v>3489</v>
      </c>
      <c r="G85" t="inlineStr">
        <is>
          <t>INV-10564</t>
        </is>
      </c>
      <c r="H85" s="51" t="n">
        <v>46253</v>
      </c>
      <c r="I85" t="n">
        <v>3489</v>
      </c>
      <c r="J85" t="n">
        <v>0</v>
      </c>
      <c r="K85" t="inlineStr">
        <is>
          <t>Agrees</t>
        </is>
      </c>
      <c r="N85" t="inlineStr">
        <is>
          <t>OK</t>
        </is>
      </c>
      <c r="O85" t="inlineStr">
        <is>
          <t>Aware | SYD Occupancy Sensors</t>
        </is>
      </c>
      <c r="P85" t="inlineStr">
        <is>
          <t>INTEGRATION</t>
        </is>
      </c>
      <c r="Q85" t="inlineStr">
        <is>
          <t>Project</t>
        </is>
      </c>
      <c r="R85" t="inlineStr">
        <is>
          <t>GST 10%</t>
        </is>
      </c>
      <c r="S85" t="inlineStr">
        <is>
          <t>42300</t>
        </is>
      </c>
      <c r="T85" t="inlineStr">
        <is>
          <t>https://cts.qwilr.com/26062902-Aware-Costing-v2-0-Accepted-PDF-wrF7KzoUT8OK</t>
        </is>
      </c>
      <c r="U85" t="inlineStr">
        <is>
          <t>Status: Closed | Invoice 1/2 Equipment only</t>
        </is>
      </c>
      <c r="V85" t="n">
        <v>348.9</v>
      </c>
      <c r="W85" t="n">
        <v>3837.9</v>
      </c>
      <c r="X85" s="51" t="n">
        <v>46265</v>
      </c>
      <c r="Y85" t="n">
        <v>2</v>
      </c>
      <c r="Z85" t="n">
        <v>6196</v>
      </c>
      <c r="AA85" t="n">
        <v>3489</v>
      </c>
      <c r="AB85" t="n">
        <v>28</v>
      </c>
      <c r="AD85" s="52">
        <f>IFERROR(N(IFERROR(INDEX($A85:$AB85,MATCH("Xero Invoiced Ex GST",$A$1:$AB$1,0)),"")),0)</f>
        <v/>
      </c>
      <c r="AE85" s="53">
        <f>IFERROR(INDEX($A85:$AB85,MATCH("Xero Invoice Date",$A$1:$AB$1,0)),"")</f>
        <v/>
      </c>
      <c r="AF85" s="54">
        <f>IF(AND(IFERROR(INDEX($A85:$AB85,MATCH("Xero Invoice No",$A$1:$AB$1,0)),"")&amp;""&lt;&gt;"",ISNUMBER(AE85),AD85&lt;&gt;0),1,0)</f>
        <v/>
      </c>
      <c r="AG85" s="55">
        <f>IF(AF85=1,EOMONTH(AE85,0),"")</f>
        <v/>
      </c>
      <c r="AH85" s="9">
        <f>IF(AF85=1,UPPER(TRIM(IFERROR(INDEX($A85:$AB85,MATCH("Client",$A$1:$AB$1,0)),"")&amp;"")),"")</f>
        <v/>
      </c>
      <c r="AI85" s="9">
        <f>IF(AF85=1,IFERROR(INDEX($A85:$AB85,MATCH("Cost Centre",$A$1:$AB$1,0)),"")&amp;"","")</f>
        <v/>
      </c>
      <c r="AJ85" s="54">
        <f>IF(AND(AF85=1,AE85&gt;=set_FYStart,AE85&lt;=set_AsAt),1,0)</f>
        <v/>
      </c>
      <c r="AK85" s="54">
        <f>IF(AND(AJ85=1,AH85&lt;&gt;"",COUNTIFS($AH$2:AH85,AH85,$AJ$2:AJ85,1)=1),N(AL84)+1,"")</f>
        <v/>
      </c>
      <c r="AL85" s="54">
        <f>IF(AK85&lt;&gt;"",AK85,N(AL84))</f>
        <v/>
      </c>
    </row>
    <row r="86">
      <c r="A86" t="inlineStr">
        <is>
          <t>ONS-0029</t>
        </is>
      </c>
      <c r="B86" t="inlineStr">
        <is>
          <t>Onsite</t>
        </is>
      </c>
      <c r="C86" t="inlineStr">
        <is>
          <t>2192</t>
        </is>
      </c>
      <c r="D86" t="inlineStr">
        <is>
          <t>BW</t>
        </is>
      </c>
      <c r="E86" t="inlineStr">
        <is>
          <t>BW Additionals August 2026</t>
        </is>
      </c>
      <c r="F86" t="n">
        <v>2080</v>
      </c>
      <c r="G86" t="inlineStr">
        <is>
          <t>INV-10571</t>
        </is>
      </c>
      <c r="H86" s="51" t="n">
        <v>46265</v>
      </c>
      <c r="I86" t="n">
        <v>2080</v>
      </c>
      <c r="J86" t="n">
        <v>0</v>
      </c>
      <c r="K86" t="inlineStr">
        <is>
          <t>Agrees</t>
        </is>
      </c>
      <c r="N86" t="inlineStr">
        <is>
          <t>OK</t>
        </is>
      </c>
      <c r="O86" t="inlineStr">
        <is>
          <t>Bankwest Additional Tech</t>
        </is>
      </c>
      <c r="P86" t="inlineStr">
        <is>
          <t>ONSITE</t>
        </is>
      </c>
      <c r="Q86" t="inlineStr">
        <is>
          <t>Ad-hoc</t>
        </is>
      </c>
      <c r="R86" t="inlineStr">
        <is>
          <t>GST 10%</t>
        </is>
      </c>
      <c r="S86" t="inlineStr">
        <is>
          <t>41100</t>
        </is>
      </c>
      <c r="V86" t="n">
        <v>208</v>
      </c>
      <c r="W86" t="n">
        <v>2288</v>
      </c>
      <c r="X86" s="51" t="n">
        <v>46265</v>
      </c>
      <c r="Y86" t="n">
        <v>2</v>
      </c>
      <c r="Z86" t="n">
        <v>3200</v>
      </c>
      <c r="AA86" t="n">
        <v>3200</v>
      </c>
      <c r="AB86" t="n">
        <v>29</v>
      </c>
      <c r="AD86" s="52">
        <f>IFERROR(N(IFERROR(INDEX($A86:$AB86,MATCH("Xero Invoiced Ex GST",$A$1:$AB$1,0)),"")),0)</f>
        <v/>
      </c>
      <c r="AE86" s="53">
        <f>IFERROR(INDEX($A86:$AB86,MATCH("Xero Invoice Date",$A$1:$AB$1,0)),"")</f>
        <v/>
      </c>
      <c r="AF86" s="54">
        <f>IF(AND(IFERROR(INDEX($A86:$AB86,MATCH("Xero Invoice No",$A$1:$AB$1,0)),"")&amp;""&lt;&gt;"",ISNUMBER(AE86),AD86&lt;&gt;0),1,0)</f>
        <v/>
      </c>
      <c r="AG86" s="55">
        <f>IF(AF86=1,EOMONTH(AE86,0),"")</f>
        <v/>
      </c>
      <c r="AH86" s="9">
        <f>IF(AF86=1,UPPER(TRIM(IFERROR(INDEX($A86:$AB86,MATCH("Client",$A$1:$AB$1,0)),"")&amp;"")),"")</f>
        <v/>
      </c>
      <c r="AI86" s="9">
        <f>IF(AF86=1,IFERROR(INDEX($A86:$AB86,MATCH("Cost Centre",$A$1:$AB$1,0)),"")&amp;"","")</f>
        <v/>
      </c>
      <c r="AJ86" s="54">
        <f>IF(AND(AF86=1,AE86&gt;=set_FYStart,AE86&lt;=set_AsAt),1,0)</f>
        <v/>
      </c>
      <c r="AK86" s="54">
        <f>IF(AND(AJ86=1,AH86&lt;&gt;"",COUNTIFS($AH$2:AH86,AH86,$AJ$2:AJ86,1)=1),N(AL85)+1,"")</f>
        <v/>
      </c>
      <c r="AL86" s="54">
        <f>IF(AK86&lt;&gt;"",AK86,N(AL85))</f>
        <v/>
      </c>
    </row>
    <row r="87">
      <c r="A87" t="inlineStr">
        <is>
          <t>PRD-0029</t>
        </is>
      </c>
      <c r="B87" t="inlineStr">
        <is>
          <t>Production</t>
        </is>
      </c>
      <c r="C87" t="inlineStr">
        <is>
          <t>26052702</t>
        </is>
      </c>
      <c r="D87" t="inlineStr">
        <is>
          <t>ASX</t>
        </is>
      </c>
      <c r="E87" t="inlineStr">
        <is>
          <t>ASX FYR Briefing 13.8.26</t>
        </is>
      </c>
      <c r="F87" t="n">
        <v>34222</v>
      </c>
      <c r="G87" t="inlineStr">
        <is>
          <t>INV-10576</t>
        </is>
      </c>
      <c r="H87" s="51" t="n">
        <v>46255</v>
      </c>
      <c r="I87" t="n">
        <v>34222</v>
      </c>
      <c r="J87" t="n">
        <v>0</v>
      </c>
      <c r="K87" t="inlineStr">
        <is>
          <t>Agrees</t>
        </is>
      </c>
      <c r="N87" t="inlineStr">
        <is>
          <t>OK</t>
        </is>
      </c>
      <c r="O87" t="inlineStr">
        <is>
          <t>ASX - FYR - 13.8.26</t>
        </is>
      </c>
      <c r="P87" t="inlineStr">
        <is>
          <t>PRODUCTION</t>
        </is>
      </c>
      <c r="Q87" t="inlineStr">
        <is>
          <t>Project</t>
        </is>
      </c>
      <c r="R87" t="inlineStr">
        <is>
          <t>GST 10%</t>
        </is>
      </c>
      <c r="S87" t="inlineStr">
        <is>
          <t>42100</t>
        </is>
      </c>
      <c r="T87" t="inlineStr">
        <is>
          <t>6045</t>
        </is>
      </c>
      <c r="V87" t="n">
        <v>3422.2</v>
      </c>
      <c r="W87" t="n">
        <v>37644.2</v>
      </c>
      <c r="X87" s="51" t="n">
        <v>46265</v>
      </c>
      <c r="Y87" t="n">
        <v>1</v>
      </c>
      <c r="Z87" t="n">
        <v>34222</v>
      </c>
      <c r="AA87" t="n">
        <v>34222</v>
      </c>
      <c r="AB87" t="n">
        <v>29</v>
      </c>
      <c r="AD87" s="52">
        <f>IFERROR(N(IFERROR(INDEX($A87:$AB87,MATCH("Xero Invoiced Ex GST",$A$1:$AB$1,0)),"")),0)</f>
        <v/>
      </c>
      <c r="AE87" s="53">
        <f>IFERROR(INDEX($A87:$AB87,MATCH("Xero Invoice Date",$A$1:$AB$1,0)),"")</f>
        <v/>
      </c>
      <c r="AF87" s="54">
        <f>IF(AND(IFERROR(INDEX($A87:$AB87,MATCH("Xero Invoice No",$A$1:$AB$1,0)),"")&amp;""&lt;&gt;"",ISNUMBER(AE87),AD87&lt;&gt;0),1,0)</f>
        <v/>
      </c>
      <c r="AG87" s="55">
        <f>IF(AF87=1,EOMONTH(AE87,0),"")</f>
        <v/>
      </c>
      <c r="AH87" s="9">
        <f>IF(AF87=1,UPPER(TRIM(IFERROR(INDEX($A87:$AB87,MATCH("Client",$A$1:$AB$1,0)),"")&amp;"")),"")</f>
        <v/>
      </c>
      <c r="AI87" s="9">
        <f>IF(AF87=1,IFERROR(INDEX($A87:$AB87,MATCH("Cost Centre",$A$1:$AB$1,0)),"")&amp;"","")</f>
        <v/>
      </c>
      <c r="AJ87" s="54">
        <f>IF(AND(AF87=1,AE87&gt;=set_FYStart,AE87&lt;=set_AsAt),1,0)</f>
        <v/>
      </c>
      <c r="AK87" s="54">
        <f>IF(AND(AJ87=1,AH87&lt;&gt;"",COUNTIFS($AH$2:AH87,AH87,$AJ$2:AJ87,1)=1),N(AL86)+1,"")</f>
        <v/>
      </c>
      <c r="AL87" s="54">
        <f>IF(AK87&lt;&gt;"",AK87,N(AL86))</f>
        <v/>
      </c>
    </row>
    <row r="88">
      <c r="A88" t="inlineStr">
        <is>
          <t>CON-0029</t>
        </is>
      </c>
      <c r="B88" t="inlineStr">
        <is>
          <t>Consulting</t>
        </is>
      </c>
      <c r="C88" t="inlineStr">
        <is>
          <t>26062902</t>
        </is>
      </c>
      <c r="D88" t="inlineStr">
        <is>
          <t>Aware Super</t>
        </is>
      </c>
      <c r="E88" t="inlineStr">
        <is>
          <t>SYD Occupancy Sensors</t>
        </is>
      </c>
      <c r="F88" t="n">
        <v>2707</v>
      </c>
      <c r="J88" t="n">
        <v>2707</v>
      </c>
      <c r="K88" t="inlineStr">
        <is>
          <t>Not invoiced - to invoice</t>
        </is>
      </c>
      <c r="N88" t="inlineStr">
        <is>
          <t>OK</t>
        </is>
      </c>
      <c r="O88" t="inlineStr">
        <is>
          <t>Aware | SYD Occupancy Sensors</t>
        </is>
      </c>
      <c r="P88" t="inlineStr">
        <is>
          <t>INTEGRATION</t>
        </is>
      </c>
      <c r="Q88" t="inlineStr">
        <is>
          <t>Project</t>
        </is>
      </c>
      <c r="R88" t="inlineStr">
        <is>
          <t>GST 10%</t>
        </is>
      </c>
      <c r="S88" t="inlineStr">
        <is>
          <t>42300</t>
        </is>
      </c>
      <c r="T88" t="inlineStr">
        <is>
          <t>https://cts.qwilr.com/26062902-Aware-Costing-v2-0-Accepted-PDF-wrF7KzoUT8OK</t>
        </is>
      </c>
      <c r="U88" t="inlineStr">
        <is>
          <t>Status: In Progress | 2/2 Labour only; Not invoiced yet</t>
        </is>
      </c>
      <c r="Y88" t="n">
        <v>2</v>
      </c>
      <c r="Z88" t="n">
        <v>6196</v>
      </c>
      <c r="AA88" t="n">
        <v>3489</v>
      </c>
      <c r="AB88" t="n">
        <v>29</v>
      </c>
      <c r="AD88" s="52">
        <f>IFERROR(N(IFERROR(INDEX($A88:$AB88,MATCH("Xero Invoiced Ex GST",$A$1:$AB$1,0)),"")),0)</f>
        <v/>
      </c>
      <c r="AE88" s="53">
        <f>IFERROR(INDEX($A88:$AB88,MATCH("Xero Invoice Date",$A$1:$AB$1,0)),"")</f>
        <v/>
      </c>
      <c r="AF88" s="54">
        <f>IF(AND(IFERROR(INDEX($A88:$AB88,MATCH("Xero Invoice No",$A$1:$AB$1,0)),"")&amp;""&lt;&gt;"",ISNUMBER(AE88),AD88&lt;&gt;0),1,0)</f>
        <v/>
      </c>
      <c r="AG88" s="55">
        <f>IF(AF88=1,EOMONTH(AE88,0),"")</f>
        <v/>
      </c>
      <c r="AH88" s="9">
        <f>IF(AF88=1,UPPER(TRIM(IFERROR(INDEX($A88:$AB88,MATCH("Client",$A$1:$AB$1,0)),"")&amp;"")),"")</f>
        <v/>
      </c>
      <c r="AI88" s="9">
        <f>IF(AF88=1,IFERROR(INDEX($A88:$AB88,MATCH("Cost Centre",$A$1:$AB$1,0)),"")&amp;"","")</f>
        <v/>
      </c>
      <c r="AJ88" s="54">
        <f>IF(AND(AF88=1,AE88&gt;=set_FYStart,AE88&lt;=set_AsAt),1,0)</f>
        <v/>
      </c>
      <c r="AK88" s="54">
        <f>IF(AND(AJ88=1,AH88&lt;&gt;"",COUNTIFS($AH$2:AH88,AH88,$AJ$2:AJ88,1)=1),N(AL87)+1,"")</f>
        <v/>
      </c>
      <c r="AL88" s="54">
        <f>IF(AK88&lt;&gt;"",AK88,N(AL87))</f>
        <v/>
      </c>
    </row>
    <row r="89">
      <c r="A89" t="inlineStr">
        <is>
          <t>ONS-0030</t>
        </is>
      </c>
      <c r="B89" t="inlineStr">
        <is>
          <t>Onsite</t>
        </is>
      </c>
      <c r="C89" t="inlineStr">
        <is>
          <t>2488</t>
        </is>
      </c>
      <c r="D89" t="inlineStr">
        <is>
          <t>PWC</t>
        </is>
      </c>
      <c r="E89" t="inlineStr">
        <is>
          <t>PWC Brisbane August 2026</t>
        </is>
      </c>
      <c r="F89" t="n">
        <v>7150</v>
      </c>
      <c r="G89" t="inlineStr">
        <is>
          <t>INV-10572</t>
        </is>
      </c>
      <c r="H89" s="51" t="n">
        <v>46265</v>
      </c>
      <c r="I89" t="n">
        <v>7150</v>
      </c>
      <c r="J89" t="n">
        <v>0</v>
      </c>
      <c r="K89" t="inlineStr">
        <is>
          <t>Agrees</t>
        </is>
      </c>
      <c r="N89" t="inlineStr">
        <is>
          <t>OK</t>
        </is>
      </c>
      <c r="O89" t="inlineStr">
        <is>
          <t>PWC IT P/T BNE</t>
        </is>
      </c>
      <c r="P89" t="inlineStr">
        <is>
          <t>ONSITE</t>
        </is>
      </c>
      <c r="Q89" t="inlineStr">
        <is>
          <t>Contract</t>
        </is>
      </c>
      <c r="R89" t="inlineStr">
        <is>
          <t>GST 10%</t>
        </is>
      </c>
      <c r="S89" t="inlineStr">
        <is>
          <t>41100</t>
        </is>
      </c>
      <c r="V89" t="n">
        <v>715</v>
      </c>
      <c r="W89" t="n">
        <v>7865</v>
      </c>
      <c r="X89" s="51" t="n">
        <v>46265</v>
      </c>
      <c r="Y89" t="n">
        <v>2</v>
      </c>
      <c r="Z89" t="n">
        <v>14300</v>
      </c>
      <c r="AA89" t="n">
        <v>14300</v>
      </c>
      <c r="AB89" t="n">
        <v>30</v>
      </c>
      <c r="AD89" s="52">
        <f>IFERROR(N(IFERROR(INDEX($A89:$AB89,MATCH("Xero Invoiced Ex GST",$A$1:$AB$1,0)),"")),0)</f>
        <v/>
      </c>
      <c r="AE89" s="53">
        <f>IFERROR(INDEX($A89:$AB89,MATCH("Xero Invoice Date",$A$1:$AB$1,0)),"")</f>
        <v/>
      </c>
      <c r="AF89" s="54">
        <f>IF(AND(IFERROR(INDEX($A89:$AB89,MATCH("Xero Invoice No",$A$1:$AB$1,0)),"")&amp;""&lt;&gt;"",ISNUMBER(AE89),AD89&lt;&gt;0),1,0)</f>
        <v/>
      </c>
      <c r="AG89" s="55">
        <f>IF(AF89=1,EOMONTH(AE89,0),"")</f>
        <v/>
      </c>
      <c r="AH89" s="9">
        <f>IF(AF89=1,UPPER(TRIM(IFERROR(INDEX($A89:$AB89,MATCH("Client",$A$1:$AB$1,0)),"")&amp;"")),"")</f>
        <v/>
      </c>
      <c r="AI89" s="9">
        <f>IF(AF89=1,IFERROR(INDEX($A89:$AB89,MATCH("Cost Centre",$A$1:$AB$1,0)),"")&amp;"","")</f>
        <v/>
      </c>
      <c r="AJ89" s="54">
        <f>IF(AND(AF89=1,AE89&gt;=set_FYStart,AE89&lt;=set_AsAt),1,0)</f>
        <v/>
      </c>
      <c r="AK89" s="54">
        <f>IF(AND(AJ89=1,AH89&lt;&gt;"",COUNTIFS($AH$2:AH89,AH89,$AJ$2:AJ89,1)=1),N(AL88)+1,"")</f>
        <v/>
      </c>
      <c r="AL89" s="54">
        <f>IF(AK89&lt;&gt;"",AK89,N(AL88))</f>
        <v/>
      </c>
    </row>
    <row r="90">
      <c r="A90" t="inlineStr">
        <is>
          <t>PRD-0030</t>
        </is>
      </c>
      <c r="B90" t="inlineStr">
        <is>
          <t>Production</t>
        </is>
      </c>
      <c r="C90" t="inlineStr">
        <is>
          <t>26072906</t>
        </is>
      </c>
      <c r="D90" t="inlineStr">
        <is>
          <t>ASX</t>
        </is>
      </c>
      <c r="E90" t="inlineStr">
        <is>
          <t>ASX Advisory Group on Corporate Governance</t>
        </is>
      </c>
      <c r="F90" t="n">
        <v>380</v>
      </c>
      <c r="G90" t="inlineStr">
        <is>
          <t>INV-10600</t>
        </is>
      </c>
      <c r="H90" s="51" t="n">
        <v>46261</v>
      </c>
      <c r="I90" t="n">
        <v>380</v>
      </c>
      <c r="J90" t="n">
        <v>0</v>
      </c>
      <c r="K90" t="inlineStr">
        <is>
          <t>Agrees</t>
        </is>
      </c>
      <c r="N90" t="inlineStr">
        <is>
          <t>OK</t>
        </is>
      </c>
      <c r="O90" t="inlineStr">
        <is>
          <t>ASX Advisory Group on Corporate Governance</t>
        </is>
      </c>
      <c r="P90" t="inlineStr">
        <is>
          <t>PRODUCTION</t>
        </is>
      </c>
      <c r="Q90" t="inlineStr">
        <is>
          <t>Project</t>
        </is>
      </c>
      <c r="R90" t="inlineStr">
        <is>
          <t>GST 10%</t>
        </is>
      </c>
      <c r="S90" t="inlineStr">
        <is>
          <t>42100</t>
        </is>
      </c>
      <c r="T90" t="inlineStr">
        <is>
          <t>6130</t>
        </is>
      </c>
      <c r="V90" t="n">
        <v>38</v>
      </c>
      <c r="W90" t="n">
        <v>418</v>
      </c>
      <c r="X90" s="51" t="n">
        <v>46265</v>
      </c>
      <c r="Y90" t="n">
        <v>1</v>
      </c>
      <c r="Z90" t="n">
        <v>380</v>
      </c>
      <c r="AA90" t="n">
        <v>380</v>
      </c>
      <c r="AB90" t="n">
        <v>30</v>
      </c>
      <c r="AD90" s="52">
        <f>IFERROR(N(IFERROR(INDEX($A90:$AB90,MATCH("Xero Invoiced Ex GST",$A$1:$AB$1,0)),"")),0)</f>
        <v/>
      </c>
      <c r="AE90" s="53">
        <f>IFERROR(INDEX($A90:$AB90,MATCH("Xero Invoice Date",$A$1:$AB$1,0)),"")</f>
        <v/>
      </c>
      <c r="AF90" s="54">
        <f>IF(AND(IFERROR(INDEX($A90:$AB90,MATCH("Xero Invoice No",$A$1:$AB$1,0)),"")&amp;""&lt;&gt;"",ISNUMBER(AE90),AD90&lt;&gt;0),1,0)</f>
        <v/>
      </c>
      <c r="AG90" s="55">
        <f>IF(AF90=1,EOMONTH(AE90,0),"")</f>
        <v/>
      </c>
      <c r="AH90" s="9">
        <f>IF(AF90=1,UPPER(TRIM(IFERROR(INDEX($A90:$AB90,MATCH("Client",$A$1:$AB$1,0)),"")&amp;"")),"")</f>
        <v/>
      </c>
      <c r="AI90" s="9">
        <f>IF(AF90=1,IFERROR(INDEX($A90:$AB90,MATCH("Cost Centre",$A$1:$AB$1,0)),"")&amp;"","")</f>
        <v/>
      </c>
      <c r="AJ90" s="54">
        <f>IF(AND(AF90=1,AE90&gt;=set_FYStart,AE90&lt;=set_AsAt),1,0)</f>
        <v/>
      </c>
      <c r="AK90" s="54">
        <f>IF(AND(AJ90=1,AH90&lt;&gt;"",COUNTIFS($AH$2:AH90,AH90,$AJ$2:AJ90,1)=1),N(AL89)+1,"")</f>
        <v/>
      </c>
      <c r="AL90" s="54">
        <f>IF(AK90&lt;&gt;"",AK90,N(AL89))</f>
        <v/>
      </c>
    </row>
    <row r="91">
      <c r="A91" t="inlineStr">
        <is>
          <t>CON-0030</t>
        </is>
      </c>
      <c r="B91" t="inlineStr">
        <is>
          <t>Consulting</t>
        </is>
      </c>
      <c r="C91" t="inlineStr">
        <is>
          <t>26062901</t>
        </is>
      </c>
      <c r="D91" t="inlineStr">
        <is>
          <t>Aware Super</t>
        </is>
      </c>
      <c r="E91" t="inlineStr">
        <is>
          <t>Aware | SYD 28.06 Services</t>
        </is>
      </c>
      <c r="F91" t="n">
        <v>4631</v>
      </c>
      <c r="J91" t="n">
        <v>4631</v>
      </c>
      <c r="K91" t="inlineStr">
        <is>
          <t>Not invoiced - to invoice</t>
        </is>
      </c>
      <c r="N91" t="inlineStr">
        <is>
          <t>OK</t>
        </is>
      </c>
      <c r="O91" t="inlineStr">
        <is>
          <t>Aware | SYD 28.06 Services</t>
        </is>
      </c>
      <c r="P91" t="inlineStr">
        <is>
          <t>INTEGRATION</t>
        </is>
      </c>
      <c r="Q91" t="inlineStr">
        <is>
          <t>Project</t>
        </is>
      </c>
      <c r="R91" t="inlineStr">
        <is>
          <t>GST 10%</t>
        </is>
      </c>
      <c r="S91" t="inlineStr">
        <is>
          <t>42300</t>
        </is>
      </c>
      <c r="T91" t="inlineStr">
        <is>
          <t>https://corptechservices.sharepoint.com/:b:/s/TeamIntegration/IQAz4MvaxJkBRIexJJi1p2LTAVDk9PznGqnT-q1tS0i5o00?e=BH3DeT</t>
        </is>
      </c>
      <c r="U91" t="inlineStr">
        <is>
          <t>Status: In Progress</t>
        </is>
      </c>
      <c r="Y91" t="n">
        <v>1</v>
      </c>
      <c r="Z91" t="n">
        <v>4631</v>
      </c>
      <c r="AA91" t="n">
        <v>0</v>
      </c>
      <c r="AB91" t="n">
        <v>30</v>
      </c>
      <c r="AD91" s="52">
        <f>IFERROR(N(IFERROR(INDEX($A91:$AB91,MATCH("Xero Invoiced Ex GST",$A$1:$AB$1,0)),"")),0)</f>
        <v/>
      </c>
      <c r="AE91" s="53">
        <f>IFERROR(INDEX($A91:$AB91,MATCH("Xero Invoice Date",$A$1:$AB$1,0)),"")</f>
        <v/>
      </c>
      <c r="AF91" s="54">
        <f>IF(AND(IFERROR(INDEX($A91:$AB91,MATCH("Xero Invoice No",$A$1:$AB$1,0)),"")&amp;""&lt;&gt;"",ISNUMBER(AE91),AD91&lt;&gt;0),1,0)</f>
        <v/>
      </c>
      <c r="AG91" s="55">
        <f>IF(AF91=1,EOMONTH(AE91,0),"")</f>
        <v/>
      </c>
      <c r="AH91" s="9">
        <f>IF(AF91=1,UPPER(TRIM(IFERROR(INDEX($A91:$AB91,MATCH("Client",$A$1:$AB$1,0)),"")&amp;"")),"")</f>
        <v/>
      </c>
      <c r="AI91" s="9">
        <f>IF(AF91=1,IFERROR(INDEX($A91:$AB91,MATCH("Cost Centre",$A$1:$AB$1,0)),"")&amp;"","")</f>
        <v/>
      </c>
      <c r="AJ91" s="54">
        <f>IF(AND(AF91=1,AE91&gt;=set_FYStart,AE91&lt;=set_AsAt),1,0)</f>
        <v/>
      </c>
      <c r="AK91" s="54">
        <f>IF(AND(AJ91=1,AH91&lt;&gt;"",COUNTIFS($AH$2:AH91,AH91,$AJ$2:AJ91,1)=1),N(AL90)+1,"")</f>
        <v/>
      </c>
      <c r="AL91" s="54">
        <f>IF(AK91&lt;&gt;"",AK91,N(AL90))</f>
        <v/>
      </c>
    </row>
    <row r="92">
      <c r="A92" t="inlineStr">
        <is>
          <t>ONS-0031</t>
        </is>
      </c>
      <c r="B92" t="inlineStr">
        <is>
          <t>Onsite</t>
        </is>
      </c>
      <c r="C92" t="inlineStr">
        <is>
          <t>26021602</t>
        </is>
      </c>
      <c r="D92" t="inlineStr">
        <is>
          <t>Gen-E</t>
        </is>
      </c>
      <c r="E92" t="inlineStr">
        <is>
          <t>Gen-E ABS August 2026</t>
        </is>
      </c>
      <c r="F92" t="n">
        <v>12388.8</v>
      </c>
      <c r="G92" t="inlineStr">
        <is>
          <t>INV-10573</t>
        </is>
      </c>
      <c r="H92" s="51" t="n">
        <v>46265</v>
      </c>
      <c r="I92" t="n">
        <v>12388.8</v>
      </c>
      <c r="J92" t="n">
        <v>0</v>
      </c>
      <c r="K92" t="inlineStr">
        <is>
          <t>Agrees</t>
        </is>
      </c>
      <c r="N92" t="inlineStr">
        <is>
          <t>OK</t>
        </is>
      </c>
      <c r="O92" t="inlineStr">
        <is>
          <t>Gen E ABS AV Support (Canberra)</t>
        </is>
      </c>
      <c r="P92" t="inlineStr">
        <is>
          <t>ONSITE</t>
        </is>
      </c>
      <c r="Q92" t="inlineStr">
        <is>
          <t>Contract</t>
        </is>
      </c>
      <c r="R92" t="inlineStr">
        <is>
          <t>GST 10%</t>
        </is>
      </c>
      <c r="S92" t="inlineStr">
        <is>
          <t>41100</t>
        </is>
      </c>
      <c r="V92" t="n">
        <v>1238.88</v>
      </c>
      <c r="W92" t="n">
        <v>13627.68</v>
      </c>
      <c r="X92" s="51" t="n">
        <v>46265</v>
      </c>
      <c r="Y92" t="n">
        <v>3</v>
      </c>
      <c r="Z92" t="n">
        <v>37166.4</v>
      </c>
      <c r="AA92" t="n">
        <v>37166.4</v>
      </c>
      <c r="AB92" t="n">
        <v>31</v>
      </c>
      <c r="AD92" s="52">
        <f>IFERROR(N(IFERROR(INDEX($A92:$AB92,MATCH("Xero Invoiced Ex GST",$A$1:$AB$1,0)),"")),0)</f>
        <v/>
      </c>
      <c r="AE92" s="53">
        <f>IFERROR(INDEX($A92:$AB92,MATCH("Xero Invoice Date",$A$1:$AB$1,0)),"")</f>
        <v/>
      </c>
      <c r="AF92" s="54">
        <f>IF(AND(IFERROR(INDEX($A92:$AB92,MATCH("Xero Invoice No",$A$1:$AB$1,0)),"")&amp;""&lt;&gt;"",ISNUMBER(AE92),AD92&lt;&gt;0),1,0)</f>
        <v/>
      </c>
      <c r="AG92" s="55">
        <f>IF(AF92=1,EOMONTH(AE92,0),"")</f>
        <v/>
      </c>
      <c r="AH92" s="9">
        <f>IF(AF92=1,UPPER(TRIM(IFERROR(INDEX($A92:$AB92,MATCH("Client",$A$1:$AB$1,0)),"")&amp;"")),"")</f>
        <v/>
      </c>
      <c r="AI92" s="9">
        <f>IF(AF92=1,IFERROR(INDEX($A92:$AB92,MATCH("Cost Centre",$A$1:$AB$1,0)),"")&amp;"","")</f>
        <v/>
      </c>
      <c r="AJ92" s="54">
        <f>IF(AND(AF92=1,AE92&gt;=set_FYStart,AE92&lt;=set_AsAt),1,0)</f>
        <v/>
      </c>
      <c r="AK92" s="54">
        <f>IF(AND(AJ92=1,AH92&lt;&gt;"",COUNTIFS($AH$2:AH92,AH92,$AJ$2:AJ92,1)=1),N(AL91)+1,"")</f>
        <v/>
      </c>
      <c r="AL92" s="54">
        <f>IF(AK92&lt;&gt;"",AK92,N(AL91))</f>
        <v/>
      </c>
    </row>
    <row r="93">
      <c r="A93" t="inlineStr">
        <is>
          <t>PRD-0031</t>
        </is>
      </c>
      <c r="B93" t="inlineStr">
        <is>
          <t>Production</t>
        </is>
      </c>
      <c r="C93" t="inlineStr">
        <is>
          <t>2603104</t>
        </is>
      </c>
      <c r="D93" t="inlineStr">
        <is>
          <t>Cochlear</t>
        </is>
      </c>
      <c r="E93" t="inlineStr">
        <is>
          <t>Cochlear FY26 Results 18.8.26</t>
        </is>
      </c>
      <c r="F93" t="n">
        <v>10540.5</v>
      </c>
      <c r="G93" t="inlineStr">
        <is>
          <t>INV-10590</t>
        </is>
      </c>
      <c r="H93" s="51" t="n">
        <v>46260</v>
      </c>
      <c r="I93" t="n">
        <v>10540.5</v>
      </c>
      <c r="J93" t="n">
        <v>0</v>
      </c>
      <c r="K93" t="inlineStr">
        <is>
          <t>Agrees</t>
        </is>
      </c>
      <c r="N93" t="inlineStr">
        <is>
          <t>OK</t>
        </is>
      </c>
      <c r="O93" t="inlineStr">
        <is>
          <t>Cochlear FY26 Results 18.8.26</t>
        </is>
      </c>
      <c r="P93" t="inlineStr">
        <is>
          <t>PRODUCTION</t>
        </is>
      </c>
      <c r="Q93" t="inlineStr">
        <is>
          <t>Project</t>
        </is>
      </c>
      <c r="R93" t="inlineStr">
        <is>
          <t>GST 10%</t>
        </is>
      </c>
      <c r="S93" t="inlineStr">
        <is>
          <t>42100</t>
        </is>
      </c>
      <c r="T93" t="inlineStr">
        <is>
          <t>6091</t>
        </is>
      </c>
      <c r="V93" t="n">
        <v>1054.05</v>
      </c>
      <c r="W93" t="n">
        <v>11594.55</v>
      </c>
      <c r="X93" s="51" t="n">
        <v>46265</v>
      </c>
      <c r="Y93" t="n">
        <v>1</v>
      </c>
      <c r="Z93" t="n">
        <v>10540.5</v>
      </c>
      <c r="AA93" t="n">
        <v>10540.5</v>
      </c>
      <c r="AB93" t="n">
        <v>31</v>
      </c>
      <c r="AD93" s="52">
        <f>IFERROR(N(IFERROR(INDEX($A93:$AB93,MATCH("Xero Invoiced Ex GST",$A$1:$AB$1,0)),"")),0)</f>
        <v/>
      </c>
      <c r="AE93" s="53">
        <f>IFERROR(INDEX($A93:$AB93,MATCH("Xero Invoice Date",$A$1:$AB$1,0)),"")</f>
        <v/>
      </c>
      <c r="AF93" s="54">
        <f>IF(AND(IFERROR(INDEX($A93:$AB93,MATCH("Xero Invoice No",$A$1:$AB$1,0)),"")&amp;""&lt;&gt;"",ISNUMBER(AE93),AD93&lt;&gt;0),1,0)</f>
        <v/>
      </c>
      <c r="AG93" s="55">
        <f>IF(AF93=1,EOMONTH(AE93,0),"")</f>
        <v/>
      </c>
      <c r="AH93" s="9">
        <f>IF(AF93=1,UPPER(TRIM(IFERROR(INDEX($A93:$AB93,MATCH("Client",$A$1:$AB$1,0)),"")&amp;"")),"")</f>
        <v/>
      </c>
      <c r="AI93" s="9">
        <f>IF(AF93=1,IFERROR(INDEX($A93:$AB93,MATCH("Cost Centre",$A$1:$AB$1,0)),"")&amp;"","")</f>
        <v/>
      </c>
      <c r="AJ93" s="54">
        <f>IF(AND(AF93=1,AE93&gt;=set_FYStart,AE93&lt;=set_AsAt),1,0)</f>
        <v/>
      </c>
      <c r="AK93" s="54">
        <f>IF(AND(AJ93=1,AH93&lt;&gt;"",COUNTIFS($AH$2:AH93,AH93,$AJ$2:AJ93,1)=1),N(AL92)+1,"")</f>
        <v/>
      </c>
      <c r="AL93" s="54">
        <f>IF(AK93&lt;&gt;"",AK93,N(AL92))</f>
        <v/>
      </c>
    </row>
    <row r="94">
      <c r="A94" t="inlineStr">
        <is>
          <t>CON-0031</t>
        </is>
      </c>
      <c r="B94" t="inlineStr">
        <is>
          <t>Consulting</t>
        </is>
      </c>
      <c r="C94" t="inlineStr">
        <is>
          <t>26081901</t>
        </is>
      </c>
      <c r="D94" t="inlineStr">
        <is>
          <t>AusPayNet</t>
        </is>
      </c>
      <c r="E94" t="inlineStr">
        <is>
          <t>Logi Subscription</t>
        </is>
      </c>
      <c r="F94" t="n">
        <v>993</v>
      </c>
      <c r="G94" t="inlineStr">
        <is>
          <t>INV-10574</t>
        </is>
      </c>
      <c r="H94" s="51" t="n">
        <v>46254</v>
      </c>
      <c r="I94" t="n">
        <v>993</v>
      </c>
      <c r="J94" t="n">
        <v>0</v>
      </c>
      <c r="K94" t="inlineStr">
        <is>
          <t>Agrees</t>
        </is>
      </c>
      <c r="N94" t="inlineStr">
        <is>
          <t>OK</t>
        </is>
      </c>
      <c r="O94" t="inlineStr">
        <is>
          <t>AusPayNet Logitech Essentials for Room License Renewal</t>
        </is>
      </c>
      <c r="P94" t="inlineStr">
        <is>
          <t>INTEGRATION</t>
        </is>
      </c>
      <c r="Q94" t="inlineStr">
        <is>
          <t>Subscription</t>
        </is>
      </c>
      <c r="R94" t="inlineStr">
        <is>
          <t>GST 10%</t>
        </is>
      </c>
      <c r="S94" t="inlineStr">
        <is>
          <t>42300</t>
        </is>
      </c>
      <c r="T94" t="inlineStr">
        <is>
          <t>https://cts.qwilr.com/26081901-AusPayNet-Quotation-v1-0-3RSgmysoSnit</t>
        </is>
      </c>
      <c r="U94" t="inlineStr">
        <is>
          <t>Status: Closed</t>
        </is>
      </c>
      <c r="V94" t="n">
        <v>99.3</v>
      </c>
      <c r="W94" t="n">
        <v>1092.3</v>
      </c>
      <c r="X94" s="51" t="n">
        <v>46265</v>
      </c>
      <c r="Y94" t="n">
        <v>1</v>
      </c>
      <c r="Z94" t="n">
        <v>993</v>
      </c>
      <c r="AA94" t="n">
        <v>993</v>
      </c>
      <c r="AB94" t="n">
        <v>31</v>
      </c>
      <c r="AD94" s="52">
        <f>IFERROR(N(IFERROR(INDEX($A94:$AB94,MATCH("Xero Invoiced Ex GST",$A$1:$AB$1,0)),"")),0)</f>
        <v/>
      </c>
      <c r="AE94" s="53">
        <f>IFERROR(INDEX($A94:$AB94,MATCH("Xero Invoice Date",$A$1:$AB$1,0)),"")</f>
        <v/>
      </c>
      <c r="AF94" s="54">
        <f>IF(AND(IFERROR(INDEX($A94:$AB94,MATCH("Xero Invoice No",$A$1:$AB$1,0)),"")&amp;""&lt;&gt;"",ISNUMBER(AE94),AD94&lt;&gt;0),1,0)</f>
        <v/>
      </c>
      <c r="AG94" s="55">
        <f>IF(AF94=1,EOMONTH(AE94,0),"")</f>
        <v/>
      </c>
      <c r="AH94" s="9">
        <f>IF(AF94=1,UPPER(TRIM(IFERROR(INDEX($A94:$AB94,MATCH("Client",$A$1:$AB$1,0)),"")&amp;"")),"")</f>
        <v/>
      </c>
      <c r="AI94" s="9">
        <f>IF(AF94=1,IFERROR(INDEX($A94:$AB94,MATCH("Cost Centre",$A$1:$AB$1,0)),"")&amp;"","")</f>
        <v/>
      </c>
      <c r="AJ94" s="54">
        <f>IF(AND(AF94=1,AE94&gt;=set_FYStart,AE94&lt;=set_AsAt),1,0)</f>
        <v/>
      </c>
      <c r="AK94" s="54">
        <f>IF(AND(AJ94=1,AH94&lt;&gt;"",COUNTIFS($AH$2:AH94,AH94,$AJ$2:AJ94,1)=1),N(AL93)+1,"")</f>
        <v/>
      </c>
      <c r="AL94" s="54">
        <f>IF(AK94&lt;&gt;"",AK94,N(AL93))</f>
        <v/>
      </c>
    </row>
    <row r="95">
      <c r="A95" t="inlineStr">
        <is>
          <t>ONS-0032</t>
        </is>
      </c>
      <c r="B95" t="inlineStr">
        <is>
          <t>Onsite</t>
        </is>
      </c>
      <c r="C95" t="inlineStr">
        <is>
          <t>26043001</t>
        </is>
      </c>
      <c r="D95" t="inlineStr">
        <is>
          <t>CBA</t>
        </is>
      </c>
      <c r="E95" t="inlineStr">
        <is>
          <t>CBA Mel August 2026</t>
        </is>
      </c>
      <c r="F95" t="n">
        <v>11960</v>
      </c>
      <c r="G95" t="inlineStr">
        <is>
          <t>INV-10615</t>
        </is>
      </c>
      <c r="H95" s="51" t="n">
        <v>46265</v>
      </c>
      <c r="I95" t="n">
        <v>11960</v>
      </c>
      <c r="J95" t="n">
        <v>0</v>
      </c>
      <c r="K95" t="inlineStr">
        <is>
          <t>Agrees</t>
        </is>
      </c>
      <c r="M95" t="inlineStr">
        <is>
          <t>Xero check 28-Sep-26: INV-10582 is not in Xero. CBA Melbourne August $11,960 is INV-10615</t>
        </is>
      </c>
      <c r="N95" t="inlineStr">
        <is>
          <t>OK</t>
        </is>
      </c>
      <c r="O95" t="inlineStr">
        <is>
          <t>CBA FT Tech MEL - 12 months</t>
        </is>
      </c>
      <c r="P95" t="inlineStr">
        <is>
          <t>ONSITE</t>
        </is>
      </c>
      <c r="Q95" t="inlineStr">
        <is>
          <t>Contract</t>
        </is>
      </c>
      <c r="R95" t="inlineStr">
        <is>
          <t>GST 10%</t>
        </is>
      </c>
      <c r="S95" t="inlineStr">
        <is>
          <t>41100</t>
        </is>
      </c>
      <c r="V95" t="n">
        <v>1196</v>
      </c>
      <c r="W95" t="n">
        <v>13156</v>
      </c>
      <c r="X95" s="51" t="n">
        <v>46265</v>
      </c>
      <c r="Y95" t="n">
        <v>3</v>
      </c>
      <c r="Z95" t="n">
        <v>35297.12</v>
      </c>
      <c r="AA95" t="n">
        <v>35297.12</v>
      </c>
      <c r="AB95" t="n">
        <v>32</v>
      </c>
      <c r="AD95" s="52">
        <f>IFERROR(N(IFERROR(INDEX($A95:$AB95,MATCH("Xero Invoiced Ex GST",$A$1:$AB$1,0)),"")),0)</f>
        <v/>
      </c>
      <c r="AE95" s="53">
        <f>IFERROR(INDEX($A95:$AB95,MATCH("Xero Invoice Date",$A$1:$AB$1,0)),"")</f>
        <v/>
      </c>
      <c r="AF95" s="54">
        <f>IF(AND(IFERROR(INDEX($A95:$AB95,MATCH("Xero Invoice No",$A$1:$AB$1,0)),"")&amp;""&lt;&gt;"",ISNUMBER(AE95),AD95&lt;&gt;0),1,0)</f>
        <v/>
      </c>
      <c r="AG95" s="55">
        <f>IF(AF95=1,EOMONTH(AE95,0),"")</f>
        <v/>
      </c>
      <c r="AH95" s="9">
        <f>IF(AF95=1,UPPER(TRIM(IFERROR(INDEX($A95:$AB95,MATCH("Client",$A$1:$AB$1,0)),"")&amp;"")),"")</f>
        <v/>
      </c>
      <c r="AI95" s="9">
        <f>IF(AF95=1,IFERROR(INDEX($A95:$AB95,MATCH("Cost Centre",$A$1:$AB$1,0)),"")&amp;"","")</f>
        <v/>
      </c>
      <c r="AJ95" s="54">
        <f>IF(AND(AF95=1,AE95&gt;=set_FYStart,AE95&lt;=set_AsAt),1,0)</f>
        <v/>
      </c>
      <c r="AK95" s="54">
        <f>IF(AND(AJ95=1,AH95&lt;&gt;"",COUNTIFS($AH$2:AH95,AH95,$AJ$2:AJ95,1)=1),N(AL94)+1,"")</f>
        <v/>
      </c>
      <c r="AL95" s="54">
        <f>IF(AK95&lt;&gt;"",AK95,N(AL94))</f>
        <v/>
      </c>
    </row>
    <row r="96">
      <c r="A96" t="inlineStr">
        <is>
          <t>PRD-0032</t>
        </is>
      </c>
      <c r="B96" t="inlineStr">
        <is>
          <t>Production</t>
        </is>
      </c>
      <c r="C96" t="inlineStr">
        <is>
          <t>26072802</t>
        </is>
      </c>
      <c r="D96" t="inlineStr">
        <is>
          <t>ON24</t>
        </is>
      </c>
      <c r="E96" t="inlineStr">
        <is>
          <t>KWM Sydney Event 18.8.26 (PO25962)</t>
        </is>
      </c>
      <c r="F96" t="n">
        <v>2732.5</v>
      </c>
      <c r="G96" t="inlineStr">
        <is>
          <t>INV-10589</t>
        </is>
      </c>
      <c r="H96" s="51" t="n">
        <v>46260</v>
      </c>
      <c r="I96" t="n">
        <v>2732.5</v>
      </c>
      <c r="J96" t="n">
        <v>0</v>
      </c>
      <c r="K96" t="inlineStr">
        <is>
          <t>Agrees</t>
        </is>
      </c>
      <c r="N96" t="inlineStr">
        <is>
          <t>OK</t>
        </is>
      </c>
      <c r="O96" t="inlineStr">
        <is>
          <t>ON24 KWM Sydney Event - 18.08.2026</t>
        </is>
      </c>
      <c r="P96" t="inlineStr">
        <is>
          <t>PRODUCTION</t>
        </is>
      </c>
      <c r="Q96" t="inlineStr">
        <is>
          <t>Project</t>
        </is>
      </c>
      <c r="R96" t="inlineStr">
        <is>
          <t>GST 10%</t>
        </is>
      </c>
      <c r="S96" t="inlineStr">
        <is>
          <t>42100</t>
        </is>
      </c>
      <c r="T96" t="inlineStr">
        <is>
          <t>6131</t>
        </is>
      </c>
      <c r="V96" t="n">
        <v>273.25</v>
      </c>
      <c r="W96" t="n">
        <v>3005.75</v>
      </c>
      <c r="X96" s="51" t="n">
        <v>46265</v>
      </c>
      <c r="Y96" t="n">
        <v>1</v>
      </c>
      <c r="Z96" t="n">
        <v>2732.5</v>
      </c>
      <c r="AA96" t="n">
        <v>2732.5</v>
      </c>
      <c r="AB96" t="n">
        <v>32</v>
      </c>
      <c r="AD96" s="52">
        <f>IFERROR(N(IFERROR(INDEX($A96:$AB96,MATCH("Xero Invoiced Ex GST",$A$1:$AB$1,0)),"")),0)</f>
        <v/>
      </c>
      <c r="AE96" s="53">
        <f>IFERROR(INDEX($A96:$AB96,MATCH("Xero Invoice Date",$A$1:$AB$1,0)),"")</f>
        <v/>
      </c>
      <c r="AF96" s="54">
        <f>IF(AND(IFERROR(INDEX($A96:$AB96,MATCH("Xero Invoice No",$A$1:$AB$1,0)),"")&amp;""&lt;&gt;"",ISNUMBER(AE96),AD96&lt;&gt;0),1,0)</f>
        <v/>
      </c>
      <c r="AG96" s="55">
        <f>IF(AF96=1,EOMONTH(AE96,0),"")</f>
        <v/>
      </c>
      <c r="AH96" s="9">
        <f>IF(AF96=1,UPPER(TRIM(IFERROR(INDEX($A96:$AB96,MATCH("Client",$A$1:$AB$1,0)),"")&amp;"")),"")</f>
        <v/>
      </c>
      <c r="AI96" s="9">
        <f>IF(AF96=1,IFERROR(INDEX($A96:$AB96,MATCH("Cost Centre",$A$1:$AB$1,0)),"")&amp;"","")</f>
        <v/>
      </c>
      <c r="AJ96" s="54">
        <f>IF(AND(AF96=1,AE96&gt;=set_FYStart,AE96&lt;=set_AsAt),1,0)</f>
        <v/>
      </c>
      <c r="AK96" s="54">
        <f>IF(AND(AJ96=1,AH96&lt;&gt;"",COUNTIFS($AH$2:AH96,AH96,$AJ$2:AJ96,1)=1),N(AL95)+1,"")</f>
        <v/>
      </c>
      <c r="AL96" s="54">
        <f>IF(AK96&lt;&gt;"",AK96,N(AL95))</f>
        <v/>
      </c>
    </row>
    <row r="97">
      <c r="A97" t="inlineStr">
        <is>
          <t>CON-0032</t>
        </is>
      </c>
      <c r="B97" t="inlineStr">
        <is>
          <t>Consulting</t>
        </is>
      </c>
      <c r="C97" t="inlineStr">
        <is>
          <t>26071601</t>
        </is>
      </c>
      <c r="D97" t="inlineStr">
        <is>
          <t>Aware Super</t>
        </is>
      </c>
      <c r="E97" t="inlineStr">
        <is>
          <t>PER USB-C Cable Replacement</t>
        </is>
      </c>
      <c r="F97" t="n">
        <v>2957</v>
      </c>
      <c r="G97" t="inlineStr">
        <is>
          <t>INV-10646</t>
        </is>
      </c>
      <c r="H97" s="51" t="n">
        <v>46289</v>
      </c>
      <c r="I97" t="n">
        <v>2957</v>
      </c>
      <c r="J97" t="n">
        <v>0</v>
      </c>
      <c r="K97" t="inlineStr">
        <is>
          <t>Agrees</t>
        </is>
      </c>
      <c r="N97" t="inlineStr">
        <is>
          <t>OK</t>
        </is>
      </c>
      <c r="O97" t="inlineStr">
        <is>
          <t>Aware | PER | Barry Marshall and Albany Rooms BYOD USB-C Replcmnt</t>
        </is>
      </c>
      <c r="P97" t="inlineStr">
        <is>
          <t>INTEGRATION</t>
        </is>
      </c>
      <c r="Q97" t="inlineStr">
        <is>
          <t>Project</t>
        </is>
      </c>
      <c r="R97" t="inlineStr">
        <is>
          <t>GST 10%</t>
        </is>
      </c>
      <c r="S97" t="inlineStr">
        <is>
          <t>42300</t>
        </is>
      </c>
      <c r="T97" t="inlineStr">
        <is>
          <t>https://cts.qwilr.com/26071601-Aware-Costing-v1-0-bOvhpPx4TTut</t>
        </is>
      </c>
      <c r="U97" t="inlineStr">
        <is>
          <t>Status: Closed</t>
        </is>
      </c>
      <c r="V97" t="n">
        <v>295.7</v>
      </c>
      <c r="W97" t="n">
        <v>3252.7</v>
      </c>
      <c r="X97" s="51" t="n">
        <v>46295</v>
      </c>
      <c r="Y97" t="n">
        <v>1</v>
      </c>
      <c r="Z97" t="n">
        <v>2957</v>
      </c>
      <c r="AA97" t="n">
        <v>2957</v>
      </c>
      <c r="AB97" t="n">
        <v>32</v>
      </c>
      <c r="AD97" s="52">
        <f>IFERROR(N(IFERROR(INDEX($A97:$AB97,MATCH("Xero Invoiced Ex GST",$A$1:$AB$1,0)),"")),0)</f>
        <v/>
      </c>
      <c r="AE97" s="53">
        <f>IFERROR(INDEX($A97:$AB97,MATCH("Xero Invoice Date",$A$1:$AB$1,0)),"")</f>
        <v/>
      </c>
      <c r="AF97" s="54">
        <f>IF(AND(IFERROR(INDEX($A97:$AB97,MATCH("Xero Invoice No",$A$1:$AB$1,0)),"")&amp;""&lt;&gt;"",ISNUMBER(AE97),AD97&lt;&gt;0),1,0)</f>
        <v/>
      </c>
      <c r="AG97" s="55">
        <f>IF(AF97=1,EOMONTH(AE97,0),"")</f>
        <v/>
      </c>
      <c r="AH97" s="9">
        <f>IF(AF97=1,UPPER(TRIM(IFERROR(INDEX($A97:$AB97,MATCH("Client",$A$1:$AB$1,0)),"")&amp;"")),"")</f>
        <v/>
      </c>
      <c r="AI97" s="9">
        <f>IF(AF97=1,IFERROR(INDEX($A97:$AB97,MATCH("Cost Centre",$A$1:$AB$1,0)),"")&amp;"","")</f>
        <v/>
      </c>
      <c r="AJ97" s="54">
        <f>IF(AND(AF97=1,AE97&gt;=set_FYStart,AE97&lt;=set_AsAt),1,0)</f>
        <v/>
      </c>
      <c r="AK97" s="54">
        <f>IF(AND(AJ97=1,AH97&lt;&gt;"",COUNTIFS($AH$2:AH97,AH97,$AJ$2:AJ97,1)=1),N(AL96)+1,"")</f>
        <v/>
      </c>
      <c r="AL97" s="54">
        <f>IF(AK97&lt;&gt;"",AK97,N(AL96))</f>
        <v/>
      </c>
    </row>
    <row r="98">
      <c r="A98" t="inlineStr">
        <is>
          <t>ONS-0033</t>
        </is>
      </c>
      <c r="B98" t="inlineStr">
        <is>
          <t>Onsite</t>
        </is>
      </c>
      <c r="C98" t="inlineStr">
        <is>
          <t>26022301</t>
        </is>
      </c>
      <c r="D98" t="inlineStr">
        <is>
          <t>Aware Super</t>
        </is>
      </c>
      <c r="E98" t="inlineStr">
        <is>
          <t>Aware Super Contract August 2026</t>
        </is>
      </c>
      <c r="F98" t="n">
        <v>11000</v>
      </c>
      <c r="G98" t="inlineStr">
        <is>
          <t>INV-10583</t>
        </is>
      </c>
      <c r="H98" s="51" t="n">
        <v>46265</v>
      </c>
      <c r="I98" t="n">
        <v>11000</v>
      </c>
      <c r="J98" t="n">
        <v>0</v>
      </c>
      <c r="K98" t="inlineStr">
        <is>
          <t>Agrees</t>
        </is>
      </c>
      <c r="M98" t="inlineStr">
        <is>
          <t>Xero check 28-Sep-26: INV-10615 is the CBA Melbourne invoice. Aware Super August $11,000 is INV-10583</t>
        </is>
      </c>
      <c r="N98" t="inlineStr">
        <is>
          <t>OK</t>
        </is>
      </c>
      <c r="O98" t="inlineStr">
        <is>
          <t>Aware Super AV Maintenance</t>
        </is>
      </c>
      <c r="P98" t="inlineStr">
        <is>
          <t>ONSITE</t>
        </is>
      </c>
      <c r="Q98" t="inlineStr">
        <is>
          <t>Contract</t>
        </is>
      </c>
      <c r="R98" t="inlineStr">
        <is>
          <t>GST 10%</t>
        </is>
      </c>
      <c r="S98" t="inlineStr">
        <is>
          <t>41100</t>
        </is>
      </c>
      <c r="U98" t="inlineStr">
        <is>
          <t xml:space="preserve">Split TBC - Xero split this with production ($850) </t>
        </is>
      </c>
      <c r="V98" t="n">
        <v>1100</v>
      </c>
      <c r="W98" t="n">
        <v>12100</v>
      </c>
      <c r="X98" s="51" t="n">
        <v>46265</v>
      </c>
      <c r="Y98" t="n">
        <v>2</v>
      </c>
      <c r="Z98" t="n">
        <v>22000</v>
      </c>
      <c r="AA98" t="n">
        <v>22000</v>
      </c>
      <c r="AB98" t="n">
        <v>33</v>
      </c>
      <c r="AD98" s="52">
        <f>IFERROR(N(IFERROR(INDEX($A98:$AB98,MATCH("Xero Invoiced Ex GST",$A$1:$AB$1,0)),"")),0)</f>
        <v/>
      </c>
      <c r="AE98" s="53">
        <f>IFERROR(INDEX($A98:$AB98,MATCH("Xero Invoice Date",$A$1:$AB$1,0)),"")</f>
        <v/>
      </c>
      <c r="AF98" s="54">
        <f>IF(AND(IFERROR(INDEX($A98:$AB98,MATCH("Xero Invoice No",$A$1:$AB$1,0)),"")&amp;""&lt;&gt;"",ISNUMBER(AE98),AD98&lt;&gt;0),1,0)</f>
        <v/>
      </c>
      <c r="AG98" s="55">
        <f>IF(AF98=1,EOMONTH(AE98,0),"")</f>
        <v/>
      </c>
      <c r="AH98" s="9">
        <f>IF(AF98=1,UPPER(TRIM(IFERROR(INDEX($A98:$AB98,MATCH("Client",$A$1:$AB$1,0)),"")&amp;"")),"")</f>
        <v/>
      </c>
      <c r="AI98" s="9">
        <f>IF(AF98=1,IFERROR(INDEX($A98:$AB98,MATCH("Cost Centre",$A$1:$AB$1,0)),"")&amp;"","")</f>
        <v/>
      </c>
      <c r="AJ98" s="54">
        <f>IF(AND(AF98=1,AE98&gt;=set_FYStart,AE98&lt;=set_AsAt),1,0)</f>
        <v/>
      </c>
      <c r="AK98" s="54">
        <f>IF(AND(AJ98=1,AH98&lt;&gt;"",COUNTIFS($AH$2:AH98,AH98,$AJ$2:AJ98,1)=1),N(AL97)+1,"")</f>
        <v/>
      </c>
      <c r="AL98" s="54">
        <f>IF(AK98&lt;&gt;"",AK98,N(AL97))</f>
        <v/>
      </c>
    </row>
    <row r="99">
      <c r="A99" t="inlineStr">
        <is>
          <t>PRD-0033</t>
        </is>
      </c>
      <c r="B99" t="inlineStr">
        <is>
          <t>Production</t>
        </is>
      </c>
      <c r="C99" t="inlineStr">
        <is>
          <t>26081402</t>
        </is>
      </c>
      <c r="D99" t="inlineStr">
        <is>
          <t>Dimensional</t>
        </is>
      </c>
      <c r="E99" t="inlineStr">
        <is>
          <t>AV Support 19.8.26</t>
        </is>
      </c>
      <c r="F99" t="n">
        <v>460</v>
      </c>
      <c r="G99" t="inlineStr">
        <is>
          <t>INV-10588</t>
        </is>
      </c>
      <c r="H99" s="51" t="n">
        <v>46260</v>
      </c>
      <c r="I99" t="n">
        <v>460</v>
      </c>
      <c r="J99" t="n">
        <v>0</v>
      </c>
      <c r="K99" t="inlineStr">
        <is>
          <t>Agrees</t>
        </is>
      </c>
      <c r="N99" t="inlineStr">
        <is>
          <t>OK</t>
        </is>
      </c>
      <c r="O99" t="inlineStr">
        <is>
          <t>Dimensional - AV Support - 19.8.26</t>
        </is>
      </c>
      <c r="P99" t="inlineStr">
        <is>
          <t>PRODUCTION</t>
        </is>
      </c>
      <c r="Q99" t="inlineStr">
        <is>
          <t>Project</t>
        </is>
      </c>
      <c r="R99" t="inlineStr">
        <is>
          <t>GST 10%</t>
        </is>
      </c>
      <c r="S99" t="inlineStr">
        <is>
          <t>42100</t>
        </is>
      </c>
      <c r="T99" t="inlineStr">
        <is>
          <t>6153</t>
        </is>
      </c>
      <c r="V99" t="n">
        <v>46</v>
      </c>
      <c r="W99" t="n">
        <v>506</v>
      </c>
      <c r="X99" s="51" t="n">
        <v>46265</v>
      </c>
      <c r="Y99" t="n">
        <v>1</v>
      </c>
      <c r="Z99" t="n">
        <v>460</v>
      </c>
      <c r="AA99" t="n">
        <v>460</v>
      </c>
      <c r="AB99" t="n">
        <v>33</v>
      </c>
      <c r="AD99" s="52">
        <f>IFERROR(N(IFERROR(INDEX($A99:$AB99,MATCH("Xero Invoiced Ex GST",$A$1:$AB$1,0)),"")),0)</f>
        <v/>
      </c>
      <c r="AE99" s="53">
        <f>IFERROR(INDEX($A99:$AB99,MATCH("Xero Invoice Date",$A$1:$AB$1,0)),"")</f>
        <v/>
      </c>
      <c r="AF99" s="54">
        <f>IF(AND(IFERROR(INDEX($A99:$AB99,MATCH("Xero Invoice No",$A$1:$AB$1,0)),"")&amp;""&lt;&gt;"",ISNUMBER(AE99),AD99&lt;&gt;0),1,0)</f>
        <v/>
      </c>
      <c r="AG99" s="55">
        <f>IF(AF99=1,EOMONTH(AE99,0),"")</f>
        <v/>
      </c>
      <c r="AH99" s="9">
        <f>IF(AF99=1,UPPER(TRIM(IFERROR(INDEX($A99:$AB99,MATCH("Client",$A$1:$AB$1,0)),"")&amp;"")),"")</f>
        <v/>
      </c>
      <c r="AI99" s="9">
        <f>IF(AF99=1,IFERROR(INDEX($A99:$AB99,MATCH("Cost Centre",$A$1:$AB$1,0)),"")&amp;"","")</f>
        <v/>
      </c>
      <c r="AJ99" s="54">
        <f>IF(AND(AF99=1,AE99&gt;=set_FYStart,AE99&lt;=set_AsAt),1,0)</f>
        <v/>
      </c>
      <c r="AK99" s="54">
        <f>IF(AND(AJ99=1,AH99&lt;&gt;"",COUNTIFS($AH$2:AH99,AH99,$AJ$2:AJ99,1)=1),N(AL98)+1,"")</f>
        <v/>
      </c>
      <c r="AL99" s="54">
        <f>IF(AK99&lt;&gt;"",AK99,N(AL98))</f>
        <v/>
      </c>
    </row>
    <row r="100">
      <c r="A100" t="inlineStr">
        <is>
          <t>CON-0033</t>
        </is>
      </c>
      <c r="B100" t="inlineStr">
        <is>
          <t>Consulting</t>
        </is>
      </c>
      <c r="C100" t="inlineStr">
        <is>
          <t>26062503</t>
        </is>
      </c>
      <c r="D100" t="inlineStr">
        <is>
          <t>Aware Super</t>
        </is>
      </c>
      <c r="E100" t="inlineStr">
        <is>
          <t>24.16 UC Engine Reimaging</t>
        </is>
      </c>
      <c r="F100" t="n">
        <v>671</v>
      </c>
      <c r="G100" t="inlineStr">
        <is>
          <t>INV-10619</t>
        </is>
      </c>
      <c r="H100" s="51" t="n">
        <v>46290</v>
      </c>
      <c r="I100" t="n">
        <v>671</v>
      </c>
      <c r="J100" t="n">
        <v>0</v>
      </c>
      <c r="K100" t="inlineStr">
        <is>
          <t>Agrees</t>
        </is>
      </c>
      <c r="N100" t="inlineStr">
        <is>
          <t>OK</t>
        </is>
      </c>
      <c r="O100" t="inlineStr">
        <is>
          <t>Aware Super 24.16 UC Engine Replacement</t>
        </is>
      </c>
      <c r="P100" t="inlineStr">
        <is>
          <t>INTEGRATION</t>
        </is>
      </c>
      <c r="Q100" t="inlineStr">
        <is>
          <t>Project</t>
        </is>
      </c>
      <c r="R100" t="inlineStr">
        <is>
          <t>GST 10%</t>
        </is>
      </c>
      <c r="S100" t="inlineStr">
        <is>
          <t>42300</t>
        </is>
      </c>
      <c r="T100" t="inlineStr">
        <is>
          <t>CTS order form - 24.16 UC Engine Reimaging Variation</t>
        </is>
      </c>
      <c r="U100" t="inlineStr">
        <is>
          <t>Status: In Progress</t>
        </is>
      </c>
      <c r="V100" t="n">
        <v>67.09999999999999</v>
      </c>
      <c r="W100" t="n">
        <v>738.1</v>
      </c>
      <c r="X100" s="51" t="n">
        <v>46295</v>
      </c>
      <c r="Y100" t="n">
        <v>1</v>
      </c>
      <c r="Z100" t="n">
        <v>671</v>
      </c>
      <c r="AA100" t="n">
        <v>671</v>
      </c>
      <c r="AB100" t="n">
        <v>33</v>
      </c>
      <c r="AD100" s="52">
        <f>IFERROR(N(IFERROR(INDEX($A100:$AB100,MATCH("Xero Invoiced Ex GST",$A$1:$AB$1,0)),"")),0)</f>
        <v/>
      </c>
      <c r="AE100" s="53">
        <f>IFERROR(INDEX($A100:$AB100,MATCH("Xero Invoice Date",$A$1:$AB$1,0)),"")</f>
        <v/>
      </c>
      <c r="AF100" s="54">
        <f>IF(AND(IFERROR(INDEX($A100:$AB100,MATCH("Xero Invoice No",$A$1:$AB$1,0)),"")&amp;""&lt;&gt;"",ISNUMBER(AE100),AD100&lt;&gt;0),1,0)</f>
        <v/>
      </c>
      <c r="AG100" s="55">
        <f>IF(AF100=1,EOMONTH(AE100,0),"")</f>
        <v/>
      </c>
      <c r="AH100" s="9">
        <f>IF(AF100=1,UPPER(TRIM(IFERROR(INDEX($A100:$AB100,MATCH("Client",$A$1:$AB$1,0)),"")&amp;"")),"")</f>
        <v/>
      </c>
      <c r="AI100" s="9">
        <f>IF(AF100=1,IFERROR(INDEX($A100:$AB100,MATCH("Cost Centre",$A$1:$AB$1,0)),"")&amp;"","")</f>
        <v/>
      </c>
      <c r="AJ100" s="54">
        <f>IF(AND(AF100=1,AE100&gt;=set_FYStart,AE100&lt;=set_AsAt),1,0)</f>
        <v/>
      </c>
      <c r="AK100" s="54">
        <f>IF(AND(AJ100=1,AH100&lt;&gt;"",COUNTIFS($AH$2:AH100,AH100,$AJ$2:AJ100,1)=1),N(AL99)+1,"")</f>
        <v/>
      </c>
      <c r="AL100" s="54">
        <f>IF(AK100&lt;&gt;"",AK100,N(AL99))</f>
        <v/>
      </c>
    </row>
    <row r="101">
      <c r="A101" t="inlineStr">
        <is>
          <t>ONS-0034</t>
        </is>
      </c>
      <c r="B101" t="inlineStr">
        <is>
          <t>Onsite</t>
        </is>
      </c>
      <c r="C101" t="inlineStr">
        <is>
          <t>25101301B</t>
        </is>
      </c>
      <c r="D101" t="inlineStr">
        <is>
          <t>PWC</t>
        </is>
      </c>
      <c r="E101" t="inlineStr">
        <is>
          <t>PWC Sydney IT August 2026</t>
        </is>
      </c>
      <c r="F101" t="n">
        <v>11907</v>
      </c>
      <c r="G101" t="inlineStr">
        <is>
          <t>INV-10585</t>
        </is>
      </c>
      <c r="H101" s="51" t="n">
        <v>46265</v>
      </c>
      <c r="I101" t="n">
        <v>11907</v>
      </c>
      <c r="J101" t="n">
        <v>0</v>
      </c>
      <c r="K101" t="inlineStr">
        <is>
          <t>Agrees</t>
        </is>
      </c>
      <c r="N101" t="inlineStr">
        <is>
          <t>OK</t>
        </is>
      </c>
      <c r="O101" t="inlineStr">
        <is>
          <t>PWC IT Support – Sydney</t>
        </is>
      </c>
      <c r="P101" t="inlineStr">
        <is>
          <t>ONSITE</t>
        </is>
      </c>
      <c r="Q101" t="inlineStr">
        <is>
          <t>Contract</t>
        </is>
      </c>
      <c r="R101" t="inlineStr">
        <is>
          <t>GST 10%</t>
        </is>
      </c>
      <c r="S101" t="inlineStr">
        <is>
          <t>41100</t>
        </is>
      </c>
      <c r="V101" t="n">
        <v>1190.7</v>
      </c>
      <c r="W101" t="n">
        <v>13097.7</v>
      </c>
      <c r="X101" s="51" t="n">
        <v>46265</v>
      </c>
      <c r="Y101" t="n">
        <v>2</v>
      </c>
      <c r="Z101" t="n">
        <v>23814</v>
      </c>
      <c r="AA101" t="n">
        <v>23814</v>
      </c>
      <c r="AB101" t="n">
        <v>34</v>
      </c>
      <c r="AD101" s="52">
        <f>IFERROR(N(IFERROR(INDEX($A101:$AB101,MATCH("Xero Invoiced Ex GST",$A$1:$AB$1,0)),"")),0)</f>
        <v/>
      </c>
      <c r="AE101" s="53">
        <f>IFERROR(INDEX($A101:$AB101,MATCH("Xero Invoice Date",$A$1:$AB$1,0)),"")</f>
        <v/>
      </c>
      <c r="AF101" s="54">
        <f>IF(AND(IFERROR(INDEX($A101:$AB101,MATCH("Xero Invoice No",$A$1:$AB$1,0)),"")&amp;""&lt;&gt;"",ISNUMBER(AE101),AD101&lt;&gt;0),1,0)</f>
        <v/>
      </c>
      <c r="AG101" s="55">
        <f>IF(AF101=1,EOMONTH(AE101,0),"")</f>
        <v/>
      </c>
      <c r="AH101" s="9">
        <f>IF(AF101=1,UPPER(TRIM(IFERROR(INDEX($A101:$AB101,MATCH("Client",$A$1:$AB$1,0)),"")&amp;"")),"")</f>
        <v/>
      </c>
      <c r="AI101" s="9">
        <f>IF(AF101=1,IFERROR(INDEX($A101:$AB101,MATCH("Cost Centre",$A$1:$AB$1,0)),"")&amp;"","")</f>
        <v/>
      </c>
      <c r="AJ101" s="54">
        <f>IF(AND(AF101=1,AE101&gt;=set_FYStart,AE101&lt;=set_AsAt),1,0)</f>
        <v/>
      </c>
      <c r="AK101" s="54">
        <f>IF(AND(AJ101=1,AH101&lt;&gt;"",COUNTIFS($AH$2:AH101,AH101,$AJ$2:AJ101,1)=1),N(AL100)+1,"")</f>
        <v/>
      </c>
      <c r="AL101" s="54">
        <f>IF(AK101&lt;&gt;"",AK101,N(AL100))</f>
        <v/>
      </c>
    </row>
    <row r="102">
      <c r="A102" t="inlineStr">
        <is>
          <t>PRD-0034</t>
        </is>
      </c>
      <c r="B102" t="inlineStr">
        <is>
          <t>Production</t>
        </is>
      </c>
      <c r="C102" t="inlineStr">
        <is>
          <t>26061106</t>
        </is>
      </c>
      <c r="D102" t="inlineStr">
        <is>
          <t>TLC -  Melbourne</t>
        </is>
      </c>
      <c r="E102" t="inlineStr">
        <is>
          <t>TLC Full Year Results</t>
        </is>
      </c>
      <c r="F102" t="n">
        <v>12987</v>
      </c>
      <c r="G102" t="inlineStr">
        <is>
          <t>INV-10591</t>
        </is>
      </c>
      <c r="H102" s="51" t="n">
        <v>46260</v>
      </c>
      <c r="I102" t="n">
        <v>12987</v>
      </c>
      <c r="J102" t="n">
        <v>0</v>
      </c>
      <c r="K102" t="inlineStr">
        <is>
          <t>Agrees</t>
        </is>
      </c>
      <c r="N102" t="inlineStr">
        <is>
          <t>OK</t>
        </is>
      </c>
      <c r="O102" t="inlineStr">
        <is>
          <t>TLC Full Year Results MEL</t>
        </is>
      </c>
      <c r="P102" t="inlineStr">
        <is>
          <t>PRODUCTION</t>
        </is>
      </c>
      <c r="Q102" t="inlineStr">
        <is>
          <t>Project</t>
        </is>
      </c>
      <c r="R102" t="inlineStr">
        <is>
          <t>GST 10%</t>
        </is>
      </c>
      <c r="S102" t="inlineStr">
        <is>
          <t>42100</t>
        </is>
      </c>
      <c r="T102" t="inlineStr">
        <is>
          <t>5853</t>
        </is>
      </c>
      <c r="V102" t="n">
        <v>1298.7</v>
      </c>
      <c r="W102" t="n">
        <v>14285.7</v>
      </c>
      <c r="X102" s="51" t="n">
        <v>46265</v>
      </c>
      <c r="Y102" t="n">
        <v>1</v>
      </c>
      <c r="Z102" t="n">
        <v>12987</v>
      </c>
      <c r="AA102" t="n">
        <v>12987</v>
      </c>
      <c r="AB102" t="n">
        <v>34</v>
      </c>
      <c r="AD102" s="52">
        <f>IFERROR(N(IFERROR(INDEX($A102:$AB102,MATCH("Xero Invoiced Ex GST",$A$1:$AB$1,0)),"")),0)</f>
        <v/>
      </c>
      <c r="AE102" s="53">
        <f>IFERROR(INDEX($A102:$AB102,MATCH("Xero Invoice Date",$A$1:$AB$1,0)),"")</f>
        <v/>
      </c>
      <c r="AF102" s="54">
        <f>IF(AND(IFERROR(INDEX($A102:$AB102,MATCH("Xero Invoice No",$A$1:$AB$1,0)),"")&amp;""&lt;&gt;"",ISNUMBER(AE102),AD102&lt;&gt;0),1,0)</f>
        <v/>
      </c>
      <c r="AG102" s="55">
        <f>IF(AF102=1,EOMONTH(AE102,0),"")</f>
        <v/>
      </c>
      <c r="AH102" s="9">
        <f>IF(AF102=1,UPPER(TRIM(IFERROR(INDEX($A102:$AB102,MATCH("Client",$A$1:$AB$1,0)),"")&amp;"")),"")</f>
        <v/>
      </c>
      <c r="AI102" s="9">
        <f>IF(AF102=1,IFERROR(INDEX($A102:$AB102,MATCH("Cost Centre",$A$1:$AB$1,0)),"")&amp;"","")</f>
        <v/>
      </c>
      <c r="AJ102" s="54">
        <f>IF(AND(AF102=1,AE102&gt;=set_FYStart,AE102&lt;=set_AsAt),1,0)</f>
        <v/>
      </c>
      <c r="AK102" s="54">
        <f>IF(AND(AJ102=1,AH102&lt;&gt;"",COUNTIFS($AH$2:AH102,AH102,$AJ$2:AJ102,1)=1),N(AL101)+1,"")</f>
        <v/>
      </c>
      <c r="AL102" s="54">
        <f>IF(AK102&lt;&gt;"",AK102,N(AL101))</f>
        <v/>
      </c>
    </row>
    <row r="103">
      <c r="A103" t="inlineStr">
        <is>
          <t>CON-0034</t>
        </is>
      </c>
      <c r="B103" t="inlineStr">
        <is>
          <t>Consulting</t>
        </is>
      </c>
      <c r="C103" t="inlineStr">
        <is>
          <t>25070702</t>
        </is>
      </c>
      <c r="D103" t="inlineStr">
        <is>
          <t>APA</t>
        </is>
      </c>
      <c r="E103" t="inlineStr">
        <is>
          <t>APA BNE &amp; NT Year 2 license</t>
        </is>
      </c>
      <c r="F103" t="n">
        <v>3956.77</v>
      </c>
      <c r="G103" t="inlineStr">
        <is>
          <t>INV-10622</t>
        </is>
      </c>
      <c r="H103" s="51" t="n">
        <v>46275</v>
      </c>
      <c r="I103" t="n">
        <v>3956.77</v>
      </c>
      <c r="J103" t="n">
        <v>0</v>
      </c>
      <c r="K103" t="inlineStr">
        <is>
          <t>Agrees</t>
        </is>
      </c>
      <c r="N103" t="inlineStr">
        <is>
          <t>OK</t>
        </is>
      </c>
      <c r="O103" t="inlineStr">
        <is>
          <t>APA VMS Brisbane &amp; Darwin</t>
        </is>
      </c>
      <c r="P103" t="inlineStr">
        <is>
          <t>INTEGRATION</t>
        </is>
      </c>
      <c r="Q103" t="inlineStr">
        <is>
          <t>Subscription</t>
        </is>
      </c>
      <c r="R103" t="inlineStr">
        <is>
          <t>GST 10%</t>
        </is>
      </c>
      <c r="S103" t="inlineStr">
        <is>
          <t>42300</t>
        </is>
      </c>
      <c r="T103" t="inlineStr">
        <is>
          <t>https://corptechservices.sharepoint.com/sites/TeamIntegration/Shared%20Documents/Forms/AllItems.aspx?id=%2Fsites%2FTeamIntegration%2FShared%20Documents%2FBox%20Migration%2F%23Projects%2F%232025%20Projects%2F25070702%20APA%20Proxyclick%20VMS%20Renewal%20%2D%20Brisbane%20and%20Darwin%2FIN%2FQwilrAcceptedQuote%2F25070702%2DAPA%2DProxyclick%2DVMS%2DRenewal%2D%2D%2DBrisbane%2Dand%2DDarwin%2Epdf&amp;parent=%2Fsites%2FTeamIntegration%2FShared%20Documents%2FBox%20Migration%2F%23Projects%2F%232025%20Projects%2F25070702%20APA%20Proxyclick%20VMS%20Renewal%20%2D%20Brisbane%20and%20Darwin%2FIN%2FQwilrAcceptedQuote&amp;p=true&amp;ct=1789522581237&amp;or=Teams%2DHL&amp;ga=1&amp;LOF=1</t>
        </is>
      </c>
      <c r="U103" t="inlineStr">
        <is>
          <t>Status: Closed</t>
        </is>
      </c>
      <c r="V103" t="n">
        <v>395.68</v>
      </c>
      <c r="W103" t="n">
        <v>4352.45</v>
      </c>
      <c r="X103" s="51" t="n">
        <v>46295</v>
      </c>
      <c r="Y103" t="n">
        <v>1</v>
      </c>
      <c r="Z103" t="n">
        <v>3956.77</v>
      </c>
      <c r="AA103" t="n">
        <v>3956.77</v>
      </c>
      <c r="AB103" t="n">
        <v>34</v>
      </c>
      <c r="AD103" s="52">
        <f>IFERROR(N(IFERROR(INDEX($A103:$AB103,MATCH("Xero Invoiced Ex GST",$A$1:$AB$1,0)),"")),0)</f>
        <v/>
      </c>
      <c r="AE103" s="53">
        <f>IFERROR(INDEX($A103:$AB103,MATCH("Xero Invoice Date",$A$1:$AB$1,0)),"")</f>
        <v/>
      </c>
      <c r="AF103" s="54">
        <f>IF(AND(IFERROR(INDEX($A103:$AB103,MATCH("Xero Invoice No",$A$1:$AB$1,0)),"")&amp;""&lt;&gt;"",ISNUMBER(AE103),AD103&lt;&gt;0),1,0)</f>
        <v/>
      </c>
      <c r="AG103" s="55">
        <f>IF(AF103=1,EOMONTH(AE103,0),"")</f>
        <v/>
      </c>
      <c r="AH103" s="9">
        <f>IF(AF103=1,UPPER(TRIM(IFERROR(INDEX($A103:$AB103,MATCH("Client",$A$1:$AB$1,0)),"")&amp;"")),"")</f>
        <v/>
      </c>
      <c r="AI103" s="9">
        <f>IF(AF103=1,IFERROR(INDEX($A103:$AB103,MATCH("Cost Centre",$A$1:$AB$1,0)),"")&amp;"","")</f>
        <v/>
      </c>
      <c r="AJ103" s="54">
        <f>IF(AND(AF103=1,AE103&gt;=set_FYStart,AE103&lt;=set_AsAt),1,0)</f>
        <v/>
      </c>
      <c r="AK103" s="54">
        <f>IF(AND(AJ103=1,AH103&lt;&gt;"",COUNTIFS($AH$2:AH103,AH103,$AJ$2:AJ103,1)=1),N(AL102)+1,"")</f>
        <v/>
      </c>
      <c r="AL103" s="54">
        <f>IF(AK103&lt;&gt;"",AK103,N(AL102))</f>
        <v/>
      </c>
    </row>
    <row r="104">
      <c r="A104" t="inlineStr">
        <is>
          <t>ONS-0035</t>
        </is>
      </c>
      <c r="B104" t="inlineStr">
        <is>
          <t>Onsite</t>
        </is>
      </c>
      <c r="C104" t="inlineStr">
        <is>
          <t>26081301</t>
        </is>
      </c>
      <c r="D104" t="inlineStr">
        <is>
          <t>TWG</t>
        </is>
      </c>
      <c r="E104" t="inlineStr">
        <is>
          <t>EY Support Technician BNE</t>
        </is>
      </c>
      <c r="F104" t="n">
        <v>3740</v>
      </c>
      <c r="J104" t="n">
        <v>3740</v>
      </c>
      <c r="K104" t="inlineStr">
        <is>
          <t>Not invoiced - to invoice</t>
        </is>
      </c>
      <c r="L104" t="inlineStr">
        <is>
          <t>Job number not in the Xero job list</t>
        </is>
      </c>
      <c r="N104" t="inlineStr">
        <is>
          <t>CHECK</t>
        </is>
      </c>
      <c r="P104" t="inlineStr">
        <is>
          <t>ONSITE</t>
        </is>
      </c>
      <c r="Q104" t="inlineStr">
        <is>
          <t>Ad-hoc</t>
        </is>
      </c>
      <c r="R104" t="inlineStr">
        <is>
          <t>GST 10%</t>
        </is>
      </c>
      <c r="S104" t="inlineStr">
        <is>
          <t>41100</t>
        </is>
      </c>
      <c r="U104" t="inlineStr">
        <is>
          <t>November</t>
        </is>
      </c>
      <c r="Y104" t="n">
        <v>1</v>
      </c>
      <c r="Z104" t="n">
        <v>3740</v>
      </c>
      <c r="AA104" t="n">
        <v>0</v>
      </c>
      <c r="AB104" t="n">
        <v>35</v>
      </c>
      <c r="AD104" s="52">
        <f>IFERROR(N(IFERROR(INDEX($A104:$AB104,MATCH("Xero Invoiced Ex GST",$A$1:$AB$1,0)),"")),0)</f>
        <v/>
      </c>
      <c r="AE104" s="53">
        <f>IFERROR(INDEX($A104:$AB104,MATCH("Xero Invoice Date",$A$1:$AB$1,0)),"")</f>
        <v/>
      </c>
      <c r="AF104" s="54">
        <f>IF(AND(IFERROR(INDEX($A104:$AB104,MATCH("Xero Invoice No",$A$1:$AB$1,0)),"")&amp;""&lt;&gt;"",ISNUMBER(AE104),AD104&lt;&gt;0),1,0)</f>
        <v/>
      </c>
      <c r="AG104" s="55">
        <f>IF(AF104=1,EOMONTH(AE104,0),"")</f>
        <v/>
      </c>
      <c r="AH104" s="9">
        <f>IF(AF104=1,UPPER(TRIM(IFERROR(INDEX($A104:$AB104,MATCH("Client",$A$1:$AB$1,0)),"")&amp;"")),"")</f>
        <v/>
      </c>
      <c r="AI104" s="9">
        <f>IF(AF104=1,IFERROR(INDEX($A104:$AB104,MATCH("Cost Centre",$A$1:$AB$1,0)),"")&amp;"","")</f>
        <v/>
      </c>
      <c r="AJ104" s="54">
        <f>IF(AND(AF104=1,AE104&gt;=set_FYStart,AE104&lt;=set_AsAt),1,0)</f>
        <v/>
      </c>
      <c r="AK104" s="54">
        <f>IF(AND(AJ104=1,AH104&lt;&gt;"",COUNTIFS($AH$2:AH104,AH104,$AJ$2:AJ104,1)=1),N(AL103)+1,"")</f>
        <v/>
      </c>
      <c r="AL104" s="54">
        <f>IF(AK104&lt;&gt;"",AK104,N(AL103))</f>
        <v/>
      </c>
    </row>
    <row r="105">
      <c r="A105" t="inlineStr">
        <is>
          <t>PRD-0035</t>
        </is>
      </c>
      <c r="B105" t="inlineStr">
        <is>
          <t>Production</t>
        </is>
      </c>
      <c r="C105" t="inlineStr">
        <is>
          <t>26061107</t>
        </is>
      </c>
      <c r="D105" t="inlineStr">
        <is>
          <t>Downer</t>
        </is>
      </c>
      <c r="E105" t="inlineStr">
        <is>
          <t>Downer FYR26 20.8.26</t>
        </is>
      </c>
      <c r="F105" t="n">
        <v>11380.75</v>
      </c>
      <c r="G105" t="inlineStr">
        <is>
          <t>INV-10587</t>
        </is>
      </c>
      <c r="H105" s="51" t="n">
        <v>46259</v>
      </c>
      <c r="I105" t="n">
        <v>11380.75</v>
      </c>
      <c r="J105" t="n">
        <v>0</v>
      </c>
      <c r="K105" t="inlineStr">
        <is>
          <t>Agrees</t>
        </is>
      </c>
      <c r="N105" t="inlineStr">
        <is>
          <t>OK</t>
        </is>
      </c>
      <c r="O105" t="inlineStr">
        <is>
          <t>Downer - FYR 2026 - 20.8.26</t>
        </is>
      </c>
      <c r="P105" t="inlineStr">
        <is>
          <t>PRODUCTION</t>
        </is>
      </c>
      <c r="Q105" t="inlineStr">
        <is>
          <t>Project</t>
        </is>
      </c>
      <c r="R105" t="inlineStr">
        <is>
          <t>GST 10%</t>
        </is>
      </c>
      <c r="S105" t="inlineStr">
        <is>
          <t>42100</t>
        </is>
      </c>
      <c r="T105" t="inlineStr">
        <is>
          <t>6092</t>
        </is>
      </c>
      <c r="V105" t="n">
        <v>1138.08</v>
      </c>
      <c r="W105" t="n">
        <v>12518.83</v>
      </c>
      <c r="X105" s="51" t="n">
        <v>46265</v>
      </c>
      <c r="Y105" t="n">
        <v>1</v>
      </c>
      <c r="Z105" t="n">
        <v>11380.75</v>
      </c>
      <c r="AA105" t="n">
        <v>11380.75</v>
      </c>
      <c r="AB105" t="n">
        <v>35</v>
      </c>
      <c r="AD105" s="52">
        <f>IFERROR(N(IFERROR(INDEX($A105:$AB105,MATCH("Xero Invoiced Ex GST",$A$1:$AB$1,0)),"")),0)</f>
        <v/>
      </c>
      <c r="AE105" s="53">
        <f>IFERROR(INDEX($A105:$AB105,MATCH("Xero Invoice Date",$A$1:$AB$1,0)),"")</f>
        <v/>
      </c>
      <c r="AF105" s="54">
        <f>IF(AND(IFERROR(INDEX($A105:$AB105,MATCH("Xero Invoice No",$A$1:$AB$1,0)),"")&amp;""&lt;&gt;"",ISNUMBER(AE105),AD105&lt;&gt;0),1,0)</f>
        <v/>
      </c>
      <c r="AG105" s="55">
        <f>IF(AF105=1,EOMONTH(AE105,0),"")</f>
        <v/>
      </c>
      <c r="AH105" s="9">
        <f>IF(AF105=1,UPPER(TRIM(IFERROR(INDEX($A105:$AB105,MATCH("Client",$A$1:$AB$1,0)),"")&amp;"")),"")</f>
        <v/>
      </c>
      <c r="AI105" s="9">
        <f>IF(AF105=1,IFERROR(INDEX($A105:$AB105,MATCH("Cost Centre",$A$1:$AB$1,0)),"")&amp;"","")</f>
        <v/>
      </c>
      <c r="AJ105" s="54">
        <f>IF(AND(AF105=1,AE105&gt;=set_FYStart,AE105&lt;=set_AsAt),1,0)</f>
        <v/>
      </c>
      <c r="AK105" s="54">
        <f>IF(AND(AJ105=1,AH105&lt;&gt;"",COUNTIFS($AH$2:AH105,AH105,$AJ$2:AJ105,1)=1),N(AL104)+1,"")</f>
        <v/>
      </c>
      <c r="AL105" s="54">
        <f>IF(AK105&lt;&gt;"",AK105,N(AL104))</f>
        <v/>
      </c>
    </row>
    <row r="106">
      <c r="A106" t="inlineStr">
        <is>
          <t>CON-0035</t>
        </is>
      </c>
      <c r="B106" t="inlineStr">
        <is>
          <t>Consulting</t>
        </is>
      </c>
      <c r="C106" t="inlineStr">
        <is>
          <t>26082401</t>
        </is>
      </c>
      <c r="D106" t="inlineStr">
        <is>
          <t>CSIRO</t>
        </is>
      </c>
      <c r="E106" t="inlineStr">
        <is>
          <t>CSIRO - HP Phone Mod - Unmodified Phone</t>
        </is>
      </c>
      <c r="F106" t="n">
        <v>1410</v>
      </c>
      <c r="G106" t="inlineStr">
        <is>
          <t>INV-10648</t>
        </is>
      </c>
      <c r="H106" s="51" t="n">
        <v>46290</v>
      </c>
      <c r="I106" t="n">
        <v>1410</v>
      </c>
      <c r="J106" t="n">
        <v>0</v>
      </c>
      <c r="K106" t="inlineStr">
        <is>
          <t>Agrees</t>
        </is>
      </c>
      <c r="N106" t="inlineStr">
        <is>
          <t>OK</t>
        </is>
      </c>
      <c r="O106" t="inlineStr">
        <is>
          <t>CSIRO HP Poly CCX400 Phone Modification</t>
        </is>
      </c>
      <c r="P106" t="inlineStr">
        <is>
          <t>INTEGRATION</t>
        </is>
      </c>
      <c r="Q106" t="inlineStr">
        <is>
          <t>Project</t>
        </is>
      </c>
      <c r="R106" t="inlineStr">
        <is>
          <t>GST 10%</t>
        </is>
      </c>
      <c r="S106" t="inlineStr">
        <is>
          <t>42300</t>
        </is>
      </c>
      <c r="T106" t="inlineStr">
        <is>
          <t>https://corptechservices.sharepoint.com/sites/TeamIntegration/Shared%20Documents/Forms/AllItems.aspx?id=%2Fsites%2FTeamIntegration%2FShared%20Documents%2FBox%20Migration%2F%23Projects%2F%232026%20Projects%2F26082401%5FCSIRO%5F3PhoneMod%2FIN%2FQwilrAcceptedQuote%2F26082401%5FHP%2DCSIRO%5FPhoneMod%5Fv1%2E0%2Epdf&amp;parent=%2Fsites%2FTeamIntegration%2FShared%20Documents%2FBox%20Migration%2F%23Projects%2F%232026%20Projects%2F26082401%5FCSIRO%5F3PhoneMod%2FIN%2FQwilrAcceptedQuote&amp;p=true&amp;ct=1789686860792&amp;or=Outlook%2DBody&amp;cid=6A066D20%2DCA2B%2D4C3F%2DBEEE%2DCD030B92F1CA&amp;ga=1&amp;LOF=1</t>
        </is>
      </c>
      <c r="U106" t="inlineStr">
        <is>
          <t>Status: Completed | Equipment</t>
        </is>
      </c>
      <c r="V106" t="n">
        <v>141</v>
      </c>
      <c r="W106" t="n">
        <v>1551</v>
      </c>
      <c r="X106" s="51" t="n">
        <v>46295</v>
      </c>
      <c r="Y106" t="n">
        <v>2</v>
      </c>
      <c r="Z106" t="n">
        <v>1792</v>
      </c>
      <c r="AA106" t="n">
        <v>1792</v>
      </c>
      <c r="AB106" t="n">
        <v>35</v>
      </c>
      <c r="AD106" s="52">
        <f>IFERROR(N(IFERROR(INDEX($A106:$AB106,MATCH("Xero Invoiced Ex GST",$A$1:$AB$1,0)),"")),0)</f>
        <v/>
      </c>
      <c r="AE106" s="53">
        <f>IFERROR(INDEX($A106:$AB106,MATCH("Xero Invoice Date",$A$1:$AB$1,0)),"")</f>
        <v/>
      </c>
      <c r="AF106" s="54">
        <f>IF(AND(IFERROR(INDEX($A106:$AB106,MATCH("Xero Invoice No",$A$1:$AB$1,0)),"")&amp;""&lt;&gt;"",ISNUMBER(AE106),AD106&lt;&gt;0),1,0)</f>
        <v/>
      </c>
      <c r="AG106" s="55">
        <f>IF(AF106=1,EOMONTH(AE106,0),"")</f>
        <v/>
      </c>
      <c r="AH106" s="9">
        <f>IF(AF106=1,UPPER(TRIM(IFERROR(INDEX($A106:$AB106,MATCH("Client",$A$1:$AB$1,0)),"")&amp;"")),"")</f>
        <v/>
      </c>
      <c r="AI106" s="9">
        <f>IF(AF106=1,IFERROR(INDEX($A106:$AB106,MATCH("Cost Centre",$A$1:$AB$1,0)),"")&amp;"","")</f>
        <v/>
      </c>
      <c r="AJ106" s="54">
        <f>IF(AND(AF106=1,AE106&gt;=set_FYStart,AE106&lt;=set_AsAt),1,0)</f>
        <v/>
      </c>
      <c r="AK106" s="54">
        <f>IF(AND(AJ106=1,AH106&lt;&gt;"",COUNTIFS($AH$2:AH106,AH106,$AJ$2:AJ106,1)=1),N(AL105)+1,"")</f>
        <v/>
      </c>
      <c r="AL106" s="54">
        <f>IF(AK106&lt;&gt;"",AK106,N(AL105))</f>
        <v/>
      </c>
    </row>
    <row r="107">
      <c r="A107" t="inlineStr">
        <is>
          <t>ONS-0036</t>
        </is>
      </c>
      <c r="B107" t="inlineStr">
        <is>
          <t>Onsite</t>
        </is>
      </c>
      <c r="C107" t="inlineStr">
        <is>
          <t>1668</t>
        </is>
      </c>
      <c r="D107" t="inlineStr">
        <is>
          <t>CBA</t>
        </is>
      </c>
      <c r="E107" t="inlineStr">
        <is>
          <t>85720001CBPSCSJUN27 AFTERHOUR</t>
        </is>
      </c>
      <c r="F107" t="n">
        <v>775</v>
      </c>
      <c r="G107" t="inlineStr">
        <is>
          <t>INV-10603</t>
        </is>
      </c>
      <c r="H107" s="51" t="n">
        <v>46265</v>
      </c>
      <c r="I107" t="n">
        <v>775</v>
      </c>
      <c r="J107" t="n">
        <v>0</v>
      </c>
      <c r="K107" t="inlineStr">
        <is>
          <t>Agrees</t>
        </is>
      </c>
      <c r="N107" t="inlineStr">
        <is>
          <t>OK</t>
        </is>
      </c>
      <c r="O107" t="inlineStr">
        <is>
          <t>CBA Dedicated Tech</t>
        </is>
      </c>
      <c r="P107" t="inlineStr">
        <is>
          <t>ONSITE</t>
        </is>
      </c>
      <c r="Q107" t="inlineStr">
        <is>
          <t>Contract</t>
        </is>
      </c>
      <c r="R107" t="inlineStr">
        <is>
          <t>GST 10%</t>
        </is>
      </c>
      <c r="S107" t="inlineStr">
        <is>
          <t>41100</t>
        </is>
      </c>
      <c r="V107" t="n">
        <v>77.5</v>
      </c>
      <c r="W107" t="n">
        <v>852.5</v>
      </c>
      <c r="X107" s="51" t="n">
        <v>46265</v>
      </c>
      <c r="Y107" t="n">
        <v>12</v>
      </c>
      <c r="Z107" t="n">
        <v>5290</v>
      </c>
      <c r="AA107" t="n">
        <v>5290</v>
      </c>
      <c r="AB107" t="n">
        <v>36</v>
      </c>
      <c r="AD107" s="52">
        <f>IFERROR(N(IFERROR(INDEX($A107:$AB107,MATCH("Xero Invoiced Ex GST",$A$1:$AB$1,0)),"")),0)</f>
        <v/>
      </c>
      <c r="AE107" s="53">
        <f>IFERROR(INDEX($A107:$AB107,MATCH("Xero Invoice Date",$A$1:$AB$1,0)),"")</f>
        <v/>
      </c>
      <c r="AF107" s="54">
        <f>IF(AND(IFERROR(INDEX($A107:$AB107,MATCH("Xero Invoice No",$A$1:$AB$1,0)),"")&amp;""&lt;&gt;"",ISNUMBER(AE107),AD107&lt;&gt;0),1,0)</f>
        <v/>
      </c>
      <c r="AG107" s="55">
        <f>IF(AF107=1,EOMONTH(AE107,0),"")</f>
        <v/>
      </c>
      <c r="AH107" s="9">
        <f>IF(AF107=1,UPPER(TRIM(IFERROR(INDEX($A107:$AB107,MATCH("Client",$A$1:$AB$1,0)),"")&amp;"")),"")</f>
        <v/>
      </c>
      <c r="AI107" s="9">
        <f>IF(AF107=1,IFERROR(INDEX($A107:$AB107,MATCH("Cost Centre",$A$1:$AB$1,0)),"")&amp;"","")</f>
        <v/>
      </c>
      <c r="AJ107" s="54">
        <f>IF(AND(AF107=1,AE107&gt;=set_FYStart,AE107&lt;=set_AsAt),1,0)</f>
        <v/>
      </c>
      <c r="AK107" s="54">
        <f>IF(AND(AJ107=1,AH107&lt;&gt;"",COUNTIFS($AH$2:AH107,AH107,$AJ$2:AJ107,1)=1),N(AL106)+1,"")</f>
        <v/>
      </c>
      <c r="AL107" s="54">
        <f>IF(AK107&lt;&gt;"",AK107,N(AL106))</f>
        <v/>
      </c>
    </row>
    <row r="108">
      <c r="A108" t="inlineStr">
        <is>
          <t>PRD-0036</t>
        </is>
      </c>
      <c r="B108" t="inlineStr">
        <is>
          <t>Production</t>
        </is>
      </c>
      <c r="C108" t="inlineStr">
        <is>
          <t>26073110</t>
        </is>
      </c>
      <c r="D108" t="inlineStr">
        <is>
          <t>Garvan</t>
        </is>
      </c>
      <c r="E108" t="inlineStr">
        <is>
          <t>Garvan - Weizmann Dinner Event</t>
        </is>
      </c>
      <c r="F108" t="n">
        <v>1055</v>
      </c>
      <c r="G108" t="inlineStr">
        <is>
          <t>INV-10586</t>
        </is>
      </c>
      <c r="H108" s="51" t="n">
        <v>46260</v>
      </c>
      <c r="I108" t="n">
        <v>1055</v>
      </c>
      <c r="J108" t="n">
        <v>0</v>
      </c>
      <c r="K108" t="inlineStr">
        <is>
          <t>Agrees</t>
        </is>
      </c>
      <c r="N108" t="inlineStr">
        <is>
          <t>OK</t>
        </is>
      </c>
      <c r="O108" t="inlineStr">
        <is>
          <t>Garvan - Weizmann Dinner Event - 20.8.26</t>
        </is>
      </c>
      <c r="P108" t="inlineStr">
        <is>
          <t>PRODUCTION</t>
        </is>
      </c>
      <c r="Q108" t="inlineStr">
        <is>
          <t>Project</t>
        </is>
      </c>
      <c r="R108" t="inlineStr">
        <is>
          <t>GST 10%</t>
        </is>
      </c>
      <c r="S108" t="inlineStr">
        <is>
          <t>42100</t>
        </is>
      </c>
      <c r="T108" t="inlineStr">
        <is>
          <t>6117</t>
        </is>
      </c>
      <c r="V108" t="n">
        <v>105.5</v>
      </c>
      <c r="W108" t="n">
        <v>1160.5</v>
      </c>
      <c r="X108" s="51" t="n">
        <v>46265</v>
      </c>
      <c r="Y108" t="n">
        <v>1</v>
      </c>
      <c r="Z108" t="n">
        <v>1055</v>
      </c>
      <c r="AA108" t="n">
        <v>1055</v>
      </c>
      <c r="AB108" t="n">
        <v>36</v>
      </c>
      <c r="AD108" s="52">
        <f>IFERROR(N(IFERROR(INDEX($A108:$AB108,MATCH("Xero Invoiced Ex GST",$A$1:$AB$1,0)),"")),0)</f>
        <v/>
      </c>
      <c r="AE108" s="53">
        <f>IFERROR(INDEX($A108:$AB108,MATCH("Xero Invoice Date",$A$1:$AB$1,0)),"")</f>
        <v/>
      </c>
      <c r="AF108" s="54">
        <f>IF(AND(IFERROR(INDEX($A108:$AB108,MATCH("Xero Invoice No",$A$1:$AB$1,0)),"")&amp;""&lt;&gt;"",ISNUMBER(AE108),AD108&lt;&gt;0),1,0)</f>
        <v/>
      </c>
      <c r="AG108" s="55">
        <f>IF(AF108=1,EOMONTH(AE108,0),"")</f>
        <v/>
      </c>
      <c r="AH108" s="9">
        <f>IF(AF108=1,UPPER(TRIM(IFERROR(INDEX($A108:$AB108,MATCH("Client",$A$1:$AB$1,0)),"")&amp;"")),"")</f>
        <v/>
      </c>
      <c r="AI108" s="9">
        <f>IF(AF108=1,IFERROR(INDEX($A108:$AB108,MATCH("Cost Centre",$A$1:$AB$1,0)),"")&amp;"","")</f>
        <v/>
      </c>
      <c r="AJ108" s="54">
        <f>IF(AND(AF108=1,AE108&gt;=set_FYStart,AE108&lt;=set_AsAt),1,0)</f>
        <v/>
      </c>
      <c r="AK108" s="54">
        <f>IF(AND(AJ108=1,AH108&lt;&gt;"",COUNTIFS($AH$2:AH108,AH108,$AJ$2:AJ108,1)=1),N(AL107)+1,"")</f>
        <v/>
      </c>
      <c r="AL108" s="54">
        <f>IF(AK108&lt;&gt;"",AK108,N(AL107))</f>
        <v/>
      </c>
    </row>
    <row r="109">
      <c r="A109" t="inlineStr">
        <is>
          <t>CON-0036</t>
        </is>
      </c>
      <c r="B109" t="inlineStr">
        <is>
          <t>Consulting</t>
        </is>
      </c>
      <c r="C109" t="inlineStr">
        <is>
          <t>26082401</t>
        </is>
      </c>
      <c r="D109" t="inlineStr">
        <is>
          <t>CSIRO</t>
        </is>
      </c>
      <c r="E109" t="inlineStr">
        <is>
          <t>CSIRO - HP Phone Mod - Modification Process</t>
        </is>
      </c>
      <c r="F109" t="n">
        <v>382</v>
      </c>
      <c r="G109" t="inlineStr">
        <is>
          <t>INV-10648</t>
        </is>
      </c>
      <c r="H109" s="51" t="n">
        <v>46290</v>
      </c>
      <c r="I109" t="n">
        <v>382</v>
      </c>
      <c r="J109" t="n">
        <v>0</v>
      </c>
      <c r="K109" t="inlineStr">
        <is>
          <t>Agrees</t>
        </is>
      </c>
      <c r="N109" t="inlineStr">
        <is>
          <t>OK</t>
        </is>
      </c>
      <c r="O109" t="inlineStr">
        <is>
          <t>CSIRO HP Poly CCX400 Phone Modification</t>
        </is>
      </c>
      <c r="P109" t="inlineStr">
        <is>
          <t>INTEGRATION</t>
        </is>
      </c>
      <c r="Q109" t="inlineStr">
        <is>
          <t>Project</t>
        </is>
      </c>
      <c r="R109" t="inlineStr">
        <is>
          <t>GST 10%</t>
        </is>
      </c>
      <c r="S109" t="inlineStr">
        <is>
          <t>42300</t>
        </is>
      </c>
      <c r="T109" t="inlineStr">
        <is>
          <t>https://corptechservices.sharepoint.com/sites/TeamIntegration/Shared%20Documents/Forms/AllItems.aspx?id=%2Fsites%2FTeamIntegration%2FShared%20Documents%2FBox%20Migration%2F%23Projects%2F%232026%20Projects%2F26082401%5FCSIRO%5F3PhoneMod%2FIN%2FQwilrAcceptedQuote%2F26082401%5FHP%2DCSIRO%5FPhoneMod%5Fv1%2E0%2Epdf&amp;parent=%2Fsites%2FTeamIntegration%2FShared%20Documents%2FBox%20Migration%2F%23Projects%2F%232026%20Projects%2F26082401%5FCSIRO%5F3PhoneMod%2FIN%2FQwilrAcceptedQuote&amp;p=true&amp;ct=1789686860792&amp;or=Outlook%2DBody&amp;cid=6A066D20%2DCA2B%2D4C3F%2DBEEE%2DCD030B92F1CA&amp;ga=1&amp;LOF=1</t>
        </is>
      </c>
      <c r="U109" t="inlineStr">
        <is>
          <t>Status: Completed | Labour</t>
        </is>
      </c>
      <c r="V109" t="n">
        <v>38.2</v>
      </c>
      <c r="W109" t="n">
        <v>420.2</v>
      </c>
      <c r="X109" s="51" t="n">
        <v>46295</v>
      </c>
      <c r="Y109" t="n">
        <v>2</v>
      </c>
      <c r="Z109" t="n">
        <v>1792</v>
      </c>
      <c r="AA109" t="n">
        <v>1792</v>
      </c>
      <c r="AB109" t="n">
        <v>36</v>
      </c>
      <c r="AD109" s="52">
        <f>IFERROR(N(IFERROR(INDEX($A109:$AB109,MATCH("Xero Invoiced Ex GST",$A$1:$AB$1,0)),"")),0)</f>
        <v/>
      </c>
      <c r="AE109" s="53">
        <f>IFERROR(INDEX($A109:$AB109,MATCH("Xero Invoice Date",$A$1:$AB$1,0)),"")</f>
        <v/>
      </c>
      <c r="AF109" s="54">
        <f>IF(AND(IFERROR(INDEX($A109:$AB109,MATCH("Xero Invoice No",$A$1:$AB$1,0)),"")&amp;""&lt;&gt;"",ISNUMBER(AE109),AD109&lt;&gt;0),1,0)</f>
        <v/>
      </c>
      <c r="AG109" s="55">
        <f>IF(AF109=1,EOMONTH(AE109,0),"")</f>
        <v/>
      </c>
      <c r="AH109" s="9">
        <f>IF(AF109=1,UPPER(TRIM(IFERROR(INDEX($A109:$AB109,MATCH("Client",$A$1:$AB$1,0)),"")&amp;"")),"")</f>
        <v/>
      </c>
      <c r="AI109" s="9">
        <f>IF(AF109=1,IFERROR(INDEX($A109:$AB109,MATCH("Cost Centre",$A$1:$AB$1,0)),"")&amp;"","")</f>
        <v/>
      </c>
      <c r="AJ109" s="54">
        <f>IF(AND(AF109=1,AE109&gt;=set_FYStart,AE109&lt;=set_AsAt),1,0)</f>
        <v/>
      </c>
      <c r="AK109" s="54">
        <f>IF(AND(AJ109=1,AH109&lt;&gt;"",COUNTIFS($AH$2:AH109,AH109,$AJ$2:AJ109,1)=1),N(AL108)+1,"")</f>
        <v/>
      </c>
      <c r="AL109" s="54">
        <f>IF(AK109&lt;&gt;"",AK109,N(AL108))</f>
        <v/>
      </c>
    </row>
    <row r="110">
      <c r="A110" t="inlineStr">
        <is>
          <t>ONS-0037</t>
        </is>
      </c>
      <c r="B110" t="inlineStr">
        <is>
          <t>Onsite</t>
        </is>
      </c>
      <c r="C110" t="inlineStr">
        <is>
          <t>1668</t>
        </is>
      </c>
      <c r="D110" t="inlineStr">
        <is>
          <t>CBA</t>
        </is>
      </c>
      <c r="E110" t="inlineStr">
        <is>
          <t>85720001CBPSCSJUN27 DEDICATED TECH</t>
        </is>
      </c>
      <c r="F110" t="n">
        <v>510</v>
      </c>
      <c r="G110" t="inlineStr">
        <is>
          <t>INV-10604</t>
        </is>
      </c>
      <c r="H110" s="51" t="n">
        <v>46265</v>
      </c>
      <c r="I110" t="n">
        <v>510</v>
      </c>
      <c r="J110" t="n">
        <v>0</v>
      </c>
      <c r="K110" t="inlineStr">
        <is>
          <t>Agrees</t>
        </is>
      </c>
      <c r="N110" t="inlineStr">
        <is>
          <t>OK</t>
        </is>
      </c>
      <c r="O110" t="inlineStr">
        <is>
          <t>CBA Dedicated Tech</t>
        </is>
      </c>
      <c r="P110" t="inlineStr">
        <is>
          <t>ONSITE</t>
        </is>
      </c>
      <c r="Q110" t="inlineStr">
        <is>
          <t>Contract</t>
        </is>
      </c>
      <c r="R110" t="inlineStr">
        <is>
          <t>GST 10%</t>
        </is>
      </c>
      <c r="S110" t="inlineStr">
        <is>
          <t>41100</t>
        </is>
      </c>
      <c r="V110" t="n">
        <v>51</v>
      </c>
      <c r="W110" t="n">
        <v>561</v>
      </c>
      <c r="X110" s="51" t="n">
        <v>46265</v>
      </c>
      <c r="Y110" t="n">
        <v>12</v>
      </c>
      <c r="Z110" t="n">
        <v>5290</v>
      </c>
      <c r="AA110" t="n">
        <v>5290</v>
      </c>
      <c r="AB110" t="n">
        <v>37</v>
      </c>
      <c r="AD110" s="52">
        <f>IFERROR(N(IFERROR(INDEX($A110:$AB110,MATCH("Xero Invoiced Ex GST",$A$1:$AB$1,0)),"")),0)</f>
        <v/>
      </c>
      <c r="AE110" s="53">
        <f>IFERROR(INDEX($A110:$AB110,MATCH("Xero Invoice Date",$A$1:$AB$1,0)),"")</f>
        <v/>
      </c>
      <c r="AF110" s="54">
        <f>IF(AND(IFERROR(INDEX($A110:$AB110,MATCH("Xero Invoice No",$A$1:$AB$1,0)),"")&amp;""&lt;&gt;"",ISNUMBER(AE110),AD110&lt;&gt;0),1,0)</f>
        <v/>
      </c>
      <c r="AG110" s="55">
        <f>IF(AF110=1,EOMONTH(AE110,0),"")</f>
        <v/>
      </c>
      <c r="AH110" s="9">
        <f>IF(AF110=1,UPPER(TRIM(IFERROR(INDEX($A110:$AB110,MATCH("Client",$A$1:$AB$1,0)),"")&amp;"")),"")</f>
        <v/>
      </c>
      <c r="AI110" s="9">
        <f>IF(AF110=1,IFERROR(INDEX($A110:$AB110,MATCH("Cost Centre",$A$1:$AB$1,0)),"")&amp;"","")</f>
        <v/>
      </c>
      <c r="AJ110" s="54">
        <f>IF(AND(AF110=1,AE110&gt;=set_FYStart,AE110&lt;=set_AsAt),1,0)</f>
        <v/>
      </c>
      <c r="AK110" s="54">
        <f>IF(AND(AJ110=1,AH110&lt;&gt;"",COUNTIFS($AH$2:AH110,AH110,$AJ$2:AJ110,1)=1),N(AL109)+1,"")</f>
        <v/>
      </c>
      <c r="AL110" s="54">
        <f>IF(AK110&lt;&gt;"",AK110,N(AL109))</f>
        <v/>
      </c>
    </row>
    <row r="111">
      <c r="A111" t="inlineStr">
        <is>
          <t>PRD-0037</t>
        </is>
      </c>
      <c r="B111" t="inlineStr">
        <is>
          <t>Production</t>
        </is>
      </c>
      <c r="C111" t="inlineStr">
        <is>
          <t>25121208</t>
        </is>
      </c>
      <c r="D111" t="inlineStr">
        <is>
          <t xml:space="preserve">APA </t>
        </is>
      </c>
      <c r="E111" t="inlineStr">
        <is>
          <t>APA FYR Investor Briefing 20.8.26</t>
        </is>
      </c>
      <c r="F111" t="n">
        <v>0</v>
      </c>
      <c r="G111" t="inlineStr">
        <is>
          <t>Package</t>
        </is>
      </c>
      <c r="H111" s="51" t="n">
        <v>46254</v>
      </c>
      <c r="I111" t="n">
        <v>0</v>
      </c>
      <c r="J111" t="n">
        <v>0</v>
      </c>
      <c r="K111" t="inlineStr">
        <is>
          <t>Agrees</t>
        </is>
      </c>
      <c r="M111" t="inlineStr">
        <is>
          <t>Not a separate invoice: APA FYR August 2026 package - released through WIP Movements in August</t>
        </is>
      </c>
      <c r="N111" t="inlineStr">
        <is>
          <t>OK</t>
        </is>
      </c>
      <c r="O111" t="inlineStr">
        <is>
          <t>APA HYR &amp; FYR Package 2026</t>
        </is>
      </c>
      <c r="P111" t="inlineStr">
        <is>
          <t>PRODUCTION</t>
        </is>
      </c>
      <c r="Q111" t="inlineStr">
        <is>
          <t>Project</t>
        </is>
      </c>
      <c r="R111" t="inlineStr">
        <is>
          <t>GST 10%</t>
        </is>
      </c>
      <c r="S111" t="inlineStr">
        <is>
          <t>42100</t>
        </is>
      </c>
      <c r="T111" t="inlineStr">
        <is>
          <t>5821</t>
        </is>
      </c>
      <c r="U111" t="inlineStr">
        <is>
          <t>Event value 8472.5 billed in a package - APA FYR August 2026 package - released through WIP Movements in August</t>
        </is>
      </c>
      <c r="V111" t="n">
        <v>0</v>
      </c>
      <c r="W111" t="n">
        <v>0</v>
      </c>
      <c r="X111" s="51" t="n">
        <v>46265</v>
      </c>
      <c r="Y111" t="n">
        <v>1</v>
      </c>
      <c r="Z111" t="n">
        <v>0</v>
      </c>
      <c r="AA111" t="n">
        <v>0</v>
      </c>
      <c r="AB111" t="n">
        <v>37</v>
      </c>
      <c r="AD111" s="52">
        <f>IFERROR(N(IFERROR(INDEX($A111:$AB111,MATCH("Xero Invoiced Ex GST",$A$1:$AB$1,0)),"")),0)</f>
        <v/>
      </c>
      <c r="AE111" s="53">
        <f>IFERROR(INDEX($A111:$AB111,MATCH("Xero Invoice Date",$A$1:$AB$1,0)),"")</f>
        <v/>
      </c>
      <c r="AF111" s="54">
        <f>IF(AND(IFERROR(INDEX($A111:$AB111,MATCH("Xero Invoice No",$A$1:$AB$1,0)),"")&amp;""&lt;&gt;"",ISNUMBER(AE111),AD111&lt;&gt;0),1,0)</f>
        <v/>
      </c>
      <c r="AG111" s="55">
        <f>IF(AF111=1,EOMONTH(AE111,0),"")</f>
        <v/>
      </c>
      <c r="AH111" s="9">
        <f>IF(AF111=1,UPPER(TRIM(IFERROR(INDEX($A111:$AB111,MATCH("Client",$A$1:$AB$1,0)),"")&amp;"")),"")</f>
        <v/>
      </c>
      <c r="AI111" s="9">
        <f>IF(AF111=1,IFERROR(INDEX($A111:$AB111,MATCH("Cost Centre",$A$1:$AB$1,0)),"")&amp;"","")</f>
        <v/>
      </c>
      <c r="AJ111" s="54">
        <f>IF(AND(AF111=1,AE111&gt;=set_FYStart,AE111&lt;=set_AsAt),1,0)</f>
        <v/>
      </c>
      <c r="AK111" s="54">
        <f>IF(AND(AJ111=1,AH111&lt;&gt;"",COUNTIFS($AH$2:AH111,AH111,$AJ$2:AJ111,1)=1),N(AL110)+1,"")</f>
        <v/>
      </c>
      <c r="AL111" s="54">
        <f>IF(AK111&lt;&gt;"",AK111,N(AL110))</f>
        <v/>
      </c>
    </row>
    <row r="112">
      <c r="A112" t="inlineStr">
        <is>
          <t>CON-0037</t>
        </is>
      </c>
      <c r="B112" t="inlineStr">
        <is>
          <t>Consulting</t>
        </is>
      </c>
      <c r="C112" t="inlineStr">
        <is>
          <t>26091401</t>
        </is>
      </c>
      <c r="D112" t="inlineStr">
        <is>
          <t>Aware Super</t>
        </is>
      </c>
      <c r="E112" t="inlineStr">
        <is>
          <t>Appspace Licencing Subscription | 12 Months</t>
        </is>
      </c>
      <c r="F112" t="n">
        <v>21197.37</v>
      </c>
      <c r="G112" t="inlineStr">
        <is>
          <t>INV-10635</t>
        </is>
      </c>
      <c r="H112" s="51" t="n">
        <v>46283</v>
      </c>
      <c r="I112" t="n">
        <v>21197.37</v>
      </c>
      <c r="J112" t="n">
        <v>0</v>
      </c>
      <c r="K112" t="inlineStr">
        <is>
          <t>Agrees</t>
        </is>
      </c>
      <c r="N112" t="inlineStr">
        <is>
          <t>OK</t>
        </is>
      </c>
      <c r="O112" t="inlineStr">
        <is>
          <t>Aware Super | Appspace Licencing Subscription | 12 Months</t>
        </is>
      </c>
      <c r="P112" t="inlineStr">
        <is>
          <t>INTEGRATION</t>
        </is>
      </c>
      <c r="Q112" t="inlineStr">
        <is>
          <t>Subscription</t>
        </is>
      </c>
      <c r="R112" t="inlineStr">
        <is>
          <t>GST 10%</t>
        </is>
      </c>
      <c r="S112" t="inlineStr">
        <is>
          <t>42300</t>
        </is>
      </c>
      <c r="T112" t="inlineStr">
        <is>
          <t>file:///C:/Users/Downloads/Appspace%20Licensing%20Agreement.pdf</t>
        </is>
      </c>
      <c r="U112" t="inlineStr">
        <is>
          <t>Status: Closed</t>
        </is>
      </c>
      <c r="V112" t="n">
        <v>2119.74</v>
      </c>
      <c r="W112" t="n">
        <v>23317.11</v>
      </c>
      <c r="X112" s="51" t="n">
        <v>46295</v>
      </c>
      <c r="Y112" t="n">
        <v>1</v>
      </c>
      <c r="Z112" t="n">
        <v>21197.37</v>
      </c>
      <c r="AA112" t="n">
        <v>21197.37</v>
      </c>
      <c r="AB112" t="n">
        <v>37</v>
      </c>
      <c r="AD112" s="52">
        <f>IFERROR(N(IFERROR(INDEX($A112:$AB112,MATCH("Xero Invoiced Ex GST",$A$1:$AB$1,0)),"")),0)</f>
        <v/>
      </c>
      <c r="AE112" s="53">
        <f>IFERROR(INDEX($A112:$AB112,MATCH("Xero Invoice Date",$A$1:$AB$1,0)),"")</f>
        <v/>
      </c>
      <c r="AF112" s="54">
        <f>IF(AND(IFERROR(INDEX($A112:$AB112,MATCH("Xero Invoice No",$A$1:$AB$1,0)),"")&amp;""&lt;&gt;"",ISNUMBER(AE112),AD112&lt;&gt;0),1,0)</f>
        <v/>
      </c>
      <c r="AG112" s="55">
        <f>IF(AF112=1,EOMONTH(AE112,0),"")</f>
        <v/>
      </c>
      <c r="AH112" s="9">
        <f>IF(AF112=1,UPPER(TRIM(IFERROR(INDEX($A112:$AB112,MATCH("Client",$A$1:$AB$1,0)),"")&amp;"")),"")</f>
        <v/>
      </c>
      <c r="AI112" s="9">
        <f>IF(AF112=1,IFERROR(INDEX($A112:$AB112,MATCH("Cost Centre",$A$1:$AB$1,0)),"")&amp;"","")</f>
        <v/>
      </c>
      <c r="AJ112" s="54">
        <f>IF(AND(AF112=1,AE112&gt;=set_FYStart,AE112&lt;=set_AsAt),1,0)</f>
        <v/>
      </c>
      <c r="AK112" s="54">
        <f>IF(AND(AJ112=1,AH112&lt;&gt;"",COUNTIFS($AH$2:AH112,AH112,$AJ$2:AJ112,1)=1),N(AL111)+1,"")</f>
        <v/>
      </c>
      <c r="AL112" s="54">
        <f>IF(AK112&lt;&gt;"",AK112,N(AL111))</f>
        <v/>
      </c>
    </row>
    <row r="113">
      <c r="A113" t="inlineStr">
        <is>
          <t>ONS-0038</t>
        </is>
      </c>
      <c r="B113" t="inlineStr">
        <is>
          <t>Onsite</t>
        </is>
      </c>
      <c r="C113" t="inlineStr">
        <is>
          <t>1668</t>
        </is>
      </c>
      <c r="D113" t="inlineStr">
        <is>
          <t>CBA</t>
        </is>
      </c>
      <c r="E113" t="inlineStr">
        <is>
          <t>85720001CBPSCSJUN27 DEDICATED TECH</t>
        </is>
      </c>
      <c r="F113" t="n">
        <v>340</v>
      </c>
      <c r="G113" t="inlineStr">
        <is>
          <t>INV-10605</t>
        </is>
      </c>
      <c r="H113" s="51" t="n">
        <v>46265</v>
      </c>
      <c r="I113" t="n">
        <v>340</v>
      </c>
      <c r="J113" t="n">
        <v>0</v>
      </c>
      <c r="K113" t="inlineStr">
        <is>
          <t>Agrees</t>
        </is>
      </c>
      <c r="N113" t="inlineStr">
        <is>
          <t>OK</t>
        </is>
      </c>
      <c r="O113" t="inlineStr">
        <is>
          <t>CBA Dedicated Tech</t>
        </is>
      </c>
      <c r="P113" t="inlineStr">
        <is>
          <t>ONSITE</t>
        </is>
      </c>
      <c r="Q113" t="inlineStr">
        <is>
          <t>Contract</t>
        </is>
      </c>
      <c r="R113" t="inlineStr">
        <is>
          <t>GST 10%</t>
        </is>
      </c>
      <c r="S113" t="inlineStr">
        <is>
          <t>41100</t>
        </is>
      </c>
      <c r="V113" t="n">
        <v>34</v>
      </c>
      <c r="W113" t="n">
        <v>374</v>
      </c>
      <c r="X113" s="51" t="n">
        <v>46265</v>
      </c>
      <c r="Y113" t="n">
        <v>12</v>
      </c>
      <c r="Z113" t="n">
        <v>5290</v>
      </c>
      <c r="AA113" t="n">
        <v>5290</v>
      </c>
      <c r="AB113" t="n">
        <v>38</v>
      </c>
      <c r="AD113" s="52">
        <f>IFERROR(N(IFERROR(INDEX($A113:$AB113,MATCH("Xero Invoiced Ex GST",$A$1:$AB$1,0)),"")),0)</f>
        <v/>
      </c>
      <c r="AE113" s="53">
        <f>IFERROR(INDEX($A113:$AB113,MATCH("Xero Invoice Date",$A$1:$AB$1,0)),"")</f>
        <v/>
      </c>
      <c r="AF113" s="54">
        <f>IF(AND(IFERROR(INDEX($A113:$AB113,MATCH("Xero Invoice No",$A$1:$AB$1,0)),"")&amp;""&lt;&gt;"",ISNUMBER(AE113),AD113&lt;&gt;0),1,0)</f>
        <v/>
      </c>
      <c r="AG113" s="55">
        <f>IF(AF113=1,EOMONTH(AE113,0),"")</f>
        <v/>
      </c>
      <c r="AH113" s="9">
        <f>IF(AF113=1,UPPER(TRIM(IFERROR(INDEX($A113:$AB113,MATCH("Client",$A$1:$AB$1,0)),"")&amp;"")),"")</f>
        <v/>
      </c>
      <c r="AI113" s="9">
        <f>IF(AF113=1,IFERROR(INDEX($A113:$AB113,MATCH("Cost Centre",$A$1:$AB$1,0)),"")&amp;"","")</f>
        <v/>
      </c>
      <c r="AJ113" s="54">
        <f>IF(AND(AF113=1,AE113&gt;=set_FYStart,AE113&lt;=set_AsAt),1,0)</f>
        <v/>
      </c>
      <c r="AK113" s="54">
        <f>IF(AND(AJ113=1,AH113&lt;&gt;"",COUNTIFS($AH$2:AH113,AH113,$AJ$2:AJ113,1)=1),N(AL112)+1,"")</f>
        <v/>
      </c>
      <c r="AL113" s="54">
        <f>IF(AK113&lt;&gt;"",AK113,N(AL112))</f>
        <v/>
      </c>
    </row>
    <row r="114">
      <c r="A114" t="inlineStr">
        <is>
          <t>PRD-0038</t>
        </is>
      </c>
      <c r="B114" t="inlineStr">
        <is>
          <t>Production</t>
        </is>
      </c>
      <c r="C114" t="inlineStr">
        <is>
          <t>26061108</t>
        </is>
      </c>
      <c r="D114" t="inlineStr">
        <is>
          <t>APA</t>
        </is>
      </c>
      <c r="E114" t="inlineStr">
        <is>
          <t>APA FYR Town Hall 20.8.26</t>
        </is>
      </c>
      <c r="F114" t="n">
        <v>0</v>
      </c>
      <c r="G114" t="inlineStr">
        <is>
          <t>INV-10521</t>
        </is>
      </c>
      <c r="H114" s="51" t="n">
        <v>46254</v>
      </c>
      <c r="I114" t="n">
        <v>0</v>
      </c>
      <c r="J114" t="n">
        <v>0</v>
      </c>
      <c r="K114" t="inlineStr">
        <is>
          <t>Agrees</t>
        </is>
      </c>
      <c r="M114" t="inlineStr">
        <is>
          <t>Not a separate invoice: APA All Hands package INV-10521 (row 26061609/...) - released through WIP Movements in August</t>
        </is>
      </c>
      <c r="N114" t="inlineStr">
        <is>
          <t>OK</t>
        </is>
      </c>
      <c r="O114" t="inlineStr">
        <is>
          <t>APA - Qtly All Hands FYR26 - 20.8.26</t>
        </is>
      </c>
      <c r="P114" t="inlineStr">
        <is>
          <t>PRODUCTION</t>
        </is>
      </c>
      <c r="Q114" t="inlineStr">
        <is>
          <t>Project</t>
        </is>
      </c>
      <c r="R114" t="inlineStr">
        <is>
          <t>GST 10%</t>
        </is>
      </c>
      <c r="S114" t="inlineStr">
        <is>
          <t>42100</t>
        </is>
      </c>
      <c r="T114" t="inlineStr">
        <is>
          <t>6073</t>
        </is>
      </c>
      <c r="U114" t="inlineStr">
        <is>
          <t>Event value 11339.0 billed in a package - APA All Hands package INV-10521 (row 26061609/...) - released through WIP Movements in August</t>
        </is>
      </c>
      <c r="V114" t="n">
        <v>0</v>
      </c>
      <c r="W114" t="n">
        <v>0</v>
      </c>
      <c r="X114" s="51" t="n">
        <v>46265</v>
      </c>
      <c r="Y114" t="n">
        <v>1</v>
      </c>
      <c r="Z114" t="n">
        <v>0</v>
      </c>
      <c r="AA114" t="n">
        <v>0</v>
      </c>
      <c r="AB114" t="n">
        <v>38</v>
      </c>
      <c r="AD114" s="52">
        <f>IFERROR(N(IFERROR(INDEX($A114:$AB114,MATCH("Xero Invoiced Ex GST",$A$1:$AB$1,0)),"")),0)</f>
        <v/>
      </c>
      <c r="AE114" s="53">
        <f>IFERROR(INDEX($A114:$AB114,MATCH("Xero Invoice Date",$A$1:$AB$1,0)),"")</f>
        <v/>
      </c>
      <c r="AF114" s="54">
        <f>IF(AND(IFERROR(INDEX($A114:$AB114,MATCH("Xero Invoice No",$A$1:$AB$1,0)),"")&amp;""&lt;&gt;"",ISNUMBER(AE114),AD114&lt;&gt;0),1,0)</f>
        <v/>
      </c>
      <c r="AG114" s="55">
        <f>IF(AF114=1,EOMONTH(AE114,0),"")</f>
        <v/>
      </c>
      <c r="AH114" s="9">
        <f>IF(AF114=1,UPPER(TRIM(IFERROR(INDEX($A114:$AB114,MATCH("Client",$A$1:$AB$1,0)),"")&amp;"")),"")</f>
        <v/>
      </c>
      <c r="AI114" s="9">
        <f>IF(AF114=1,IFERROR(INDEX($A114:$AB114,MATCH("Cost Centre",$A$1:$AB$1,0)),"")&amp;"","")</f>
        <v/>
      </c>
      <c r="AJ114" s="54">
        <f>IF(AND(AF114=1,AE114&gt;=set_FYStart,AE114&lt;=set_AsAt),1,0)</f>
        <v/>
      </c>
      <c r="AK114" s="54">
        <f>IF(AND(AJ114=1,AH114&lt;&gt;"",COUNTIFS($AH$2:AH114,AH114,$AJ$2:AJ114,1)=1),N(AL113)+1,"")</f>
        <v/>
      </c>
      <c r="AL114" s="54">
        <f>IF(AK114&lt;&gt;"",AK114,N(AL113))</f>
        <v/>
      </c>
    </row>
    <row r="115">
      <c r="A115" t="inlineStr">
        <is>
          <t>CON-0038</t>
        </is>
      </c>
      <c r="B115" t="inlineStr">
        <is>
          <t>Consulting</t>
        </is>
      </c>
      <c r="C115" t="inlineStr">
        <is>
          <t>24121001</t>
        </is>
      </c>
      <c r="D115" t="inlineStr">
        <is>
          <t>Bankwest</t>
        </is>
      </c>
      <c r="E115" t="inlineStr">
        <is>
          <t>BWA Perth Studio Equipment Supply</t>
        </is>
      </c>
      <c r="F115" t="n">
        <v>215000</v>
      </c>
      <c r="J115" t="n">
        <v>215000</v>
      </c>
      <c r="K115" t="inlineStr">
        <is>
          <t>Not invoiced - to invoice</t>
        </is>
      </c>
      <c r="N115" t="inlineStr">
        <is>
          <t>OK</t>
        </is>
      </c>
      <c r="O115" t="inlineStr">
        <is>
          <t>BW PER Studio Equipment Supply</t>
        </is>
      </c>
      <c r="P115" t="inlineStr">
        <is>
          <t>INTEGRATION</t>
        </is>
      </c>
      <c r="Q115" t="inlineStr">
        <is>
          <t>Project</t>
        </is>
      </c>
      <c r="R115" t="inlineStr">
        <is>
          <t>GST 10%</t>
        </is>
      </c>
      <c r="S115" t="inlineStr">
        <is>
          <t>42300</t>
        </is>
      </c>
      <c r="T115" t="inlineStr">
        <is>
          <t>https://cts.qwilr.com/24121001-BWA-Costing-v6-0-w9lxRWpgThGW</t>
        </is>
      </c>
      <c r="U115" t="inlineStr">
        <is>
          <t>Status: In Progress</t>
        </is>
      </c>
      <c r="Y115" t="n">
        <v>1</v>
      </c>
      <c r="Z115" t="n">
        <v>215000</v>
      </c>
      <c r="AA115" t="n">
        <v>0</v>
      </c>
      <c r="AB115" t="n">
        <v>38</v>
      </c>
      <c r="AD115" s="52">
        <f>IFERROR(N(IFERROR(INDEX($A115:$AB115,MATCH("Xero Invoiced Ex GST",$A$1:$AB$1,0)),"")),0)</f>
        <v/>
      </c>
      <c r="AE115" s="53">
        <f>IFERROR(INDEX($A115:$AB115,MATCH("Xero Invoice Date",$A$1:$AB$1,0)),"")</f>
        <v/>
      </c>
      <c r="AF115" s="54">
        <f>IF(AND(IFERROR(INDEX($A115:$AB115,MATCH("Xero Invoice No",$A$1:$AB$1,0)),"")&amp;""&lt;&gt;"",ISNUMBER(AE115),AD115&lt;&gt;0),1,0)</f>
        <v/>
      </c>
      <c r="AG115" s="55">
        <f>IF(AF115=1,EOMONTH(AE115,0),"")</f>
        <v/>
      </c>
      <c r="AH115" s="9">
        <f>IF(AF115=1,UPPER(TRIM(IFERROR(INDEX($A115:$AB115,MATCH("Client",$A$1:$AB$1,0)),"")&amp;"")),"")</f>
        <v/>
      </c>
      <c r="AI115" s="9">
        <f>IF(AF115=1,IFERROR(INDEX($A115:$AB115,MATCH("Cost Centre",$A$1:$AB$1,0)),"")&amp;"","")</f>
        <v/>
      </c>
      <c r="AJ115" s="54">
        <f>IF(AND(AF115=1,AE115&gt;=set_FYStart,AE115&lt;=set_AsAt),1,0)</f>
        <v/>
      </c>
      <c r="AK115" s="54">
        <f>IF(AND(AJ115=1,AH115&lt;&gt;"",COUNTIFS($AH$2:AH115,AH115,$AJ$2:AJ115,1)=1),N(AL114)+1,"")</f>
        <v/>
      </c>
      <c r="AL115" s="54">
        <f>IF(AK115&lt;&gt;"",AK115,N(AL114))</f>
        <v/>
      </c>
    </row>
    <row r="116">
      <c r="A116" t="inlineStr">
        <is>
          <t>ONS-0039</t>
        </is>
      </c>
      <c r="B116" t="inlineStr">
        <is>
          <t>Onsite</t>
        </is>
      </c>
      <c r="C116" t="inlineStr">
        <is>
          <t>1668</t>
        </is>
      </c>
      <c r="D116" t="inlineStr">
        <is>
          <t>CBA</t>
        </is>
      </c>
      <c r="E116" t="inlineStr">
        <is>
          <t>85720001CBPSCSJUN27 DEDICATED TECH</t>
        </is>
      </c>
      <c r="F116" t="n">
        <v>510</v>
      </c>
      <c r="G116" t="inlineStr">
        <is>
          <t>INV-10606</t>
        </is>
      </c>
      <c r="H116" s="51" t="n">
        <v>46265</v>
      </c>
      <c r="I116" t="n">
        <v>510</v>
      </c>
      <c r="J116" t="n">
        <v>0</v>
      </c>
      <c r="K116" t="inlineStr">
        <is>
          <t>Agrees</t>
        </is>
      </c>
      <c r="N116" t="inlineStr">
        <is>
          <t>OK</t>
        </is>
      </c>
      <c r="O116" t="inlineStr">
        <is>
          <t>CBA Dedicated Tech</t>
        </is>
      </c>
      <c r="P116" t="inlineStr">
        <is>
          <t>ONSITE</t>
        </is>
      </c>
      <c r="Q116" t="inlineStr">
        <is>
          <t>Contract</t>
        </is>
      </c>
      <c r="R116" t="inlineStr">
        <is>
          <t>GST 10%</t>
        </is>
      </c>
      <c r="S116" t="inlineStr">
        <is>
          <t>41100</t>
        </is>
      </c>
      <c r="V116" t="n">
        <v>51</v>
      </c>
      <c r="W116" t="n">
        <v>561</v>
      </c>
      <c r="X116" s="51" t="n">
        <v>46265</v>
      </c>
      <c r="Y116" t="n">
        <v>12</v>
      </c>
      <c r="Z116" t="n">
        <v>5290</v>
      </c>
      <c r="AA116" t="n">
        <v>5290</v>
      </c>
      <c r="AB116" t="n">
        <v>39</v>
      </c>
      <c r="AD116" s="52">
        <f>IFERROR(N(IFERROR(INDEX($A116:$AB116,MATCH("Xero Invoiced Ex GST",$A$1:$AB$1,0)),"")),0)</f>
        <v/>
      </c>
      <c r="AE116" s="53">
        <f>IFERROR(INDEX($A116:$AB116,MATCH("Xero Invoice Date",$A$1:$AB$1,0)),"")</f>
        <v/>
      </c>
      <c r="AF116" s="54">
        <f>IF(AND(IFERROR(INDEX($A116:$AB116,MATCH("Xero Invoice No",$A$1:$AB$1,0)),"")&amp;""&lt;&gt;"",ISNUMBER(AE116),AD116&lt;&gt;0),1,0)</f>
        <v/>
      </c>
      <c r="AG116" s="55">
        <f>IF(AF116=1,EOMONTH(AE116,0),"")</f>
        <v/>
      </c>
      <c r="AH116" s="9">
        <f>IF(AF116=1,UPPER(TRIM(IFERROR(INDEX($A116:$AB116,MATCH("Client",$A$1:$AB$1,0)),"")&amp;"")),"")</f>
        <v/>
      </c>
      <c r="AI116" s="9">
        <f>IF(AF116=1,IFERROR(INDEX($A116:$AB116,MATCH("Cost Centre",$A$1:$AB$1,0)),"")&amp;"","")</f>
        <v/>
      </c>
      <c r="AJ116" s="54">
        <f>IF(AND(AF116=1,AE116&gt;=set_FYStart,AE116&lt;=set_AsAt),1,0)</f>
        <v/>
      </c>
      <c r="AK116" s="54">
        <f>IF(AND(AJ116=1,AH116&lt;&gt;"",COUNTIFS($AH$2:AH116,AH116,$AJ$2:AJ116,1)=1),N(AL115)+1,"")</f>
        <v/>
      </c>
      <c r="AL116" s="54">
        <f>IF(AK116&lt;&gt;"",AK116,N(AL115))</f>
        <v/>
      </c>
    </row>
    <row r="117">
      <c r="A117" t="inlineStr">
        <is>
          <t>PRD-0039</t>
        </is>
      </c>
      <c r="B117" t="inlineStr">
        <is>
          <t>Production</t>
        </is>
      </c>
      <c r="C117" t="inlineStr">
        <is>
          <t>26061109</t>
        </is>
      </c>
      <c r="D117" t="inlineStr">
        <is>
          <t>Ventia</t>
        </is>
      </c>
      <c r="E117" t="inlineStr">
        <is>
          <t>Ventia HYR Employee Town Hall 24.8.26 (PO 4701366307)</t>
        </is>
      </c>
      <c r="F117" t="n">
        <v>11630.5</v>
      </c>
      <c r="G117" t="inlineStr">
        <is>
          <t>INV-10593</t>
        </is>
      </c>
      <c r="H117" s="51" t="n">
        <v>46265</v>
      </c>
      <c r="I117" t="n">
        <v>11630.5</v>
      </c>
      <c r="J117" t="n">
        <v>0</v>
      </c>
      <c r="K117" t="inlineStr">
        <is>
          <t>Agrees</t>
        </is>
      </c>
      <c r="N117" t="inlineStr">
        <is>
          <t>OK</t>
        </is>
      </c>
      <c r="O117" t="inlineStr">
        <is>
          <t>Ventia - FYR26 - 24.8.26</t>
        </is>
      </c>
      <c r="P117" t="inlineStr">
        <is>
          <t>PRODUCTION</t>
        </is>
      </c>
      <c r="Q117" t="inlineStr">
        <is>
          <t>Project</t>
        </is>
      </c>
      <c r="R117" t="inlineStr">
        <is>
          <t>GST 10%</t>
        </is>
      </c>
      <c r="S117" t="inlineStr">
        <is>
          <t>42100</t>
        </is>
      </c>
      <c r="T117" t="inlineStr">
        <is>
          <t>6095</t>
        </is>
      </c>
      <c r="V117" t="n">
        <v>1163.05</v>
      </c>
      <c r="W117" t="n">
        <v>12793.55</v>
      </c>
      <c r="X117" s="51" t="n">
        <v>46265</v>
      </c>
      <c r="Y117" t="n">
        <v>1</v>
      </c>
      <c r="Z117" t="n">
        <v>11630.5</v>
      </c>
      <c r="AA117" t="n">
        <v>11630.5</v>
      </c>
      <c r="AB117" t="n">
        <v>39</v>
      </c>
      <c r="AD117" s="52">
        <f>IFERROR(N(IFERROR(INDEX($A117:$AB117,MATCH("Xero Invoiced Ex GST",$A$1:$AB$1,0)),"")),0)</f>
        <v/>
      </c>
      <c r="AE117" s="53">
        <f>IFERROR(INDEX($A117:$AB117,MATCH("Xero Invoice Date",$A$1:$AB$1,0)),"")</f>
        <v/>
      </c>
      <c r="AF117" s="54">
        <f>IF(AND(IFERROR(INDEX($A117:$AB117,MATCH("Xero Invoice No",$A$1:$AB$1,0)),"")&amp;""&lt;&gt;"",ISNUMBER(AE117),AD117&lt;&gt;0),1,0)</f>
        <v/>
      </c>
      <c r="AG117" s="55">
        <f>IF(AF117=1,EOMONTH(AE117,0),"")</f>
        <v/>
      </c>
      <c r="AH117" s="9">
        <f>IF(AF117=1,UPPER(TRIM(IFERROR(INDEX($A117:$AB117,MATCH("Client",$A$1:$AB$1,0)),"")&amp;"")),"")</f>
        <v/>
      </c>
      <c r="AI117" s="9">
        <f>IF(AF117=1,IFERROR(INDEX($A117:$AB117,MATCH("Cost Centre",$A$1:$AB$1,0)),"")&amp;"","")</f>
        <v/>
      </c>
      <c r="AJ117" s="54">
        <f>IF(AND(AF117=1,AE117&gt;=set_FYStart,AE117&lt;=set_AsAt),1,0)</f>
        <v/>
      </c>
      <c r="AK117" s="54">
        <f>IF(AND(AJ117=1,AH117&lt;&gt;"",COUNTIFS($AH$2:AH117,AH117,$AJ$2:AJ117,1)=1),N(AL116)+1,"")</f>
        <v/>
      </c>
      <c r="AL117" s="54">
        <f>IF(AK117&lt;&gt;"",AK117,N(AL116))</f>
        <v/>
      </c>
    </row>
    <row r="118">
      <c r="A118" t="inlineStr">
        <is>
          <t>CON-0039</t>
        </is>
      </c>
      <c r="B118" t="inlineStr">
        <is>
          <t>Consulting</t>
        </is>
      </c>
      <c r="C118" t="inlineStr">
        <is>
          <t>2605704</t>
        </is>
      </c>
      <c r="D118" t="inlineStr">
        <is>
          <t>CBA</t>
        </is>
      </c>
      <c r="E118" t="inlineStr">
        <is>
          <t>CBPS Auditorium Upgrade</t>
        </is>
      </c>
      <c r="F118" t="n">
        <v>49969</v>
      </c>
      <c r="J118" t="n">
        <v>49969</v>
      </c>
      <c r="K118" t="inlineStr">
        <is>
          <t>Not invoiced - to invoice</t>
        </is>
      </c>
      <c r="N118" t="inlineStr">
        <is>
          <t>OK</t>
        </is>
      </c>
      <c r="O118" t="inlineStr">
        <is>
          <t>CBA CBPS Auditorium Upgrade</t>
        </is>
      </c>
      <c r="P118" t="inlineStr">
        <is>
          <t>INTEGRATION</t>
        </is>
      </c>
      <c r="Q118" t="inlineStr">
        <is>
          <t>Project</t>
        </is>
      </c>
      <c r="R118" t="inlineStr">
        <is>
          <t>GST 10%</t>
        </is>
      </c>
      <c r="S118" t="inlineStr">
        <is>
          <t>42300</t>
        </is>
      </c>
      <c r="T118" t="inlineStr">
        <is>
          <t>https://cts.qwilr.com/2605704-CBPS-Proposal-v4-0-jempLtKURIeL</t>
        </is>
      </c>
      <c r="U118" t="inlineStr">
        <is>
          <t>Status: In Progress</t>
        </is>
      </c>
      <c r="Y118" t="n">
        <v>1</v>
      </c>
      <c r="Z118" t="n">
        <v>49969</v>
      </c>
      <c r="AA118" t="n">
        <v>0</v>
      </c>
      <c r="AB118" t="n">
        <v>39</v>
      </c>
      <c r="AD118" s="52">
        <f>IFERROR(N(IFERROR(INDEX($A118:$AB118,MATCH("Xero Invoiced Ex GST",$A$1:$AB$1,0)),"")),0)</f>
        <v/>
      </c>
      <c r="AE118" s="53">
        <f>IFERROR(INDEX($A118:$AB118,MATCH("Xero Invoice Date",$A$1:$AB$1,0)),"")</f>
        <v/>
      </c>
      <c r="AF118" s="54">
        <f>IF(AND(IFERROR(INDEX($A118:$AB118,MATCH("Xero Invoice No",$A$1:$AB$1,0)),"")&amp;""&lt;&gt;"",ISNUMBER(AE118),AD118&lt;&gt;0),1,0)</f>
        <v/>
      </c>
      <c r="AG118" s="55">
        <f>IF(AF118=1,EOMONTH(AE118,0),"")</f>
        <v/>
      </c>
      <c r="AH118" s="9">
        <f>IF(AF118=1,UPPER(TRIM(IFERROR(INDEX($A118:$AB118,MATCH("Client",$A$1:$AB$1,0)),"")&amp;"")),"")</f>
        <v/>
      </c>
      <c r="AI118" s="9">
        <f>IF(AF118=1,IFERROR(INDEX($A118:$AB118,MATCH("Cost Centre",$A$1:$AB$1,0)),"")&amp;"","")</f>
        <v/>
      </c>
      <c r="AJ118" s="54">
        <f>IF(AND(AF118=1,AE118&gt;=set_FYStart,AE118&lt;=set_AsAt),1,0)</f>
        <v/>
      </c>
      <c r="AK118" s="54">
        <f>IF(AND(AJ118=1,AH118&lt;&gt;"",COUNTIFS($AH$2:AH118,AH118,$AJ$2:AJ118,1)=1),N(AL117)+1,"")</f>
        <v/>
      </c>
      <c r="AL118" s="54">
        <f>IF(AK118&lt;&gt;"",AK118,N(AL117))</f>
        <v/>
      </c>
    </row>
    <row r="119">
      <c r="A119" t="inlineStr">
        <is>
          <t>ONS-0040</t>
        </is>
      </c>
      <c r="B119" t="inlineStr">
        <is>
          <t>Onsite</t>
        </is>
      </c>
      <c r="C119" t="inlineStr">
        <is>
          <t>1668</t>
        </is>
      </c>
      <c r="D119" t="inlineStr">
        <is>
          <t>CBA</t>
        </is>
      </c>
      <c r="E119" t="inlineStr">
        <is>
          <t>85720001CBPSCSJUN27 DEDICATED TECH</t>
        </is>
      </c>
      <c r="F119" t="n">
        <v>510</v>
      </c>
      <c r="G119" t="inlineStr">
        <is>
          <t>INV-10607</t>
        </is>
      </c>
      <c r="H119" s="51" t="n">
        <v>46265</v>
      </c>
      <c r="I119" t="n">
        <v>510</v>
      </c>
      <c r="J119" t="n">
        <v>0</v>
      </c>
      <c r="K119" t="inlineStr">
        <is>
          <t>Agrees</t>
        </is>
      </c>
      <c r="N119" t="inlineStr">
        <is>
          <t>OK</t>
        </is>
      </c>
      <c r="O119" t="inlineStr">
        <is>
          <t>CBA Dedicated Tech</t>
        </is>
      </c>
      <c r="P119" t="inlineStr">
        <is>
          <t>ONSITE</t>
        </is>
      </c>
      <c r="Q119" t="inlineStr">
        <is>
          <t>Contract</t>
        </is>
      </c>
      <c r="R119" t="inlineStr">
        <is>
          <t>GST 10%</t>
        </is>
      </c>
      <c r="S119" t="inlineStr">
        <is>
          <t>41100</t>
        </is>
      </c>
      <c r="V119" t="n">
        <v>51</v>
      </c>
      <c r="W119" t="n">
        <v>561</v>
      </c>
      <c r="X119" s="51" t="n">
        <v>46265</v>
      </c>
      <c r="Y119" t="n">
        <v>12</v>
      </c>
      <c r="Z119" t="n">
        <v>5290</v>
      </c>
      <c r="AA119" t="n">
        <v>5290</v>
      </c>
      <c r="AB119" t="n">
        <v>40</v>
      </c>
      <c r="AD119" s="52">
        <f>IFERROR(N(IFERROR(INDEX($A119:$AB119,MATCH("Xero Invoiced Ex GST",$A$1:$AB$1,0)),"")),0)</f>
        <v/>
      </c>
      <c r="AE119" s="53">
        <f>IFERROR(INDEX($A119:$AB119,MATCH("Xero Invoice Date",$A$1:$AB$1,0)),"")</f>
        <v/>
      </c>
      <c r="AF119" s="54">
        <f>IF(AND(IFERROR(INDEX($A119:$AB119,MATCH("Xero Invoice No",$A$1:$AB$1,0)),"")&amp;""&lt;&gt;"",ISNUMBER(AE119),AD119&lt;&gt;0),1,0)</f>
        <v/>
      </c>
      <c r="AG119" s="55">
        <f>IF(AF119=1,EOMONTH(AE119,0),"")</f>
        <v/>
      </c>
      <c r="AH119" s="9">
        <f>IF(AF119=1,UPPER(TRIM(IFERROR(INDEX($A119:$AB119,MATCH("Client",$A$1:$AB$1,0)),"")&amp;"")),"")</f>
        <v/>
      </c>
      <c r="AI119" s="9">
        <f>IF(AF119=1,IFERROR(INDEX($A119:$AB119,MATCH("Cost Centre",$A$1:$AB$1,0)),"")&amp;"","")</f>
        <v/>
      </c>
      <c r="AJ119" s="54">
        <f>IF(AND(AF119=1,AE119&gt;=set_FYStart,AE119&lt;=set_AsAt),1,0)</f>
        <v/>
      </c>
      <c r="AK119" s="54">
        <f>IF(AND(AJ119=1,AH119&lt;&gt;"",COUNTIFS($AH$2:AH119,AH119,$AJ$2:AJ119,1)=1),N(AL118)+1,"")</f>
        <v/>
      </c>
      <c r="AL119" s="54">
        <f>IF(AK119&lt;&gt;"",AK119,N(AL118))</f>
        <v/>
      </c>
    </row>
    <row r="120">
      <c r="A120" t="inlineStr">
        <is>
          <t>PRD-0040</t>
        </is>
      </c>
      <c r="B120" t="inlineStr">
        <is>
          <t>Production</t>
        </is>
      </c>
      <c r="C120" t="inlineStr">
        <is>
          <t>26071501</t>
        </is>
      </c>
      <c r="D120" t="inlineStr">
        <is>
          <t>Ventia</t>
        </is>
      </c>
      <c r="E120" t="inlineStr">
        <is>
          <t>Ventia Half Year Results Briefing</t>
        </is>
      </c>
      <c r="F120" t="n">
        <v>10835.49</v>
      </c>
      <c r="G120" t="inlineStr">
        <is>
          <t>INV-10612</t>
        </is>
      </c>
      <c r="H120" s="51" t="n">
        <v>46265</v>
      </c>
      <c r="I120" t="n">
        <v>10835.49</v>
      </c>
      <c r="J120" t="n">
        <v>0</v>
      </c>
      <c r="K120" t="inlineStr">
        <is>
          <t>Agrees</t>
        </is>
      </c>
      <c r="N120" t="inlineStr">
        <is>
          <t>OK</t>
        </is>
      </c>
      <c r="O120" t="inlineStr">
        <is>
          <t>Ventia - Half Year Results Briefing - 24.8.26</t>
        </is>
      </c>
      <c r="P120" t="inlineStr">
        <is>
          <t>PRODUCTION</t>
        </is>
      </c>
      <c r="Q120" t="inlineStr">
        <is>
          <t>Project</t>
        </is>
      </c>
      <c r="R120" t="inlineStr">
        <is>
          <t>GST 10%</t>
        </is>
      </c>
      <c r="S120" t="inlineStr">
        <is>
          <t>42100</t>
        </is>
      </c>
      <c r="T120" t="inlineStr">
        <is>
          <t>6094</t>
        </is>
      </c>
      <c r="V120" t="n">
        <v>1083.55</v>
      </c>
      <c r="W120" t="n">
        <v>11919.04</v>
      </c>
      <c r="X120" s="51" t="n">
        <v>46265</v>
      </c>
      <c r="Y120" t="n">
        <v>1</v>
      </c>
      <c r="Z120" t="n">
        <v>10835.49</v>
      </c>
      <c r="AA120" t="n">
        <v>10835.49</v>
      </c>
      <c r="AB120" t="n">
        <v>40</v>
      </c>
      <c r="AD120" s="52">
        <f>IFERROR(N(IFERROR(INDEX($A120:$AB120,MATCH("Xero Invoiced Ex GST",$A$1:$AB$1,0)),"")),0)</f>
        <v/>
      </c>
      <c r="AE120" s="53">
        <f>IFERROR(INDEX($A120:$AB120,MATCH("Xero Invoice Date",$A$1:$AB$1,0)),"")</f>
        <v/>
      </c>
      <c r="AF120" s="54">
        <f>IF(AND(IFERROR(INDEX($A120:$AB120,MATCH("Xero Invoice No",$A$1:$AB$1,0)),"")&amp;""&lt;&gt;"",ISNUMBER(AE120),AD120&lt;&gt;0),1,0)</f>
        <v/>
      </c>
      <c r="AG120" s="55">
        <f>IF(AF120=1,EOMONTH(AE120,0),"")</f>
        <v/>
      </c>
      <c r="AH120" s="9">
        <f>IF(AF120=1,UPPER(TRIM(IFERROR(INDEX($A120:$AB120,MATCH("Client",$A$1:$AB$1,0)),"")&amp;"")),"")</f>
        <v/>
      </c>
      <c r="AI120" s="9">
        <f>IF(AF120=1,IFERROR(INDEX($A120:$AB120,MATCH("Cost Centre",$A$1:$AB$1,0)),"")&amp;"","")</f>
        <v/>
      </c>
      <c r="AJ120" s="54">
        <f>IF(AND(AF120=1,AE120&gt;=set_FYStart,AE120&lt;=set_AsAt),1,0)</f>
        <v/>
      </c>
      <c r="AK120" s="54">
        <f>IF(AND(AJ120=1,AH120&lt;&gt;"",COUNTIFS($AH$2:AH120,AH120,$AJ$2:AJ120,1)=1),N(AL119)+1,"")</f>
        <v/>
      </c>
      <c r="AL120" s="54">
        <f>IF(AK120&lt;&gt;"",AK120,N(AL119))</f>
        <v/>
      </c>
    </row>
    <row r="121">
      <c r="A121" t="inlineStr">
        <is>
          <t>CON-0040</t>
        </is>
      </c>
      <c r="B121" t="inlineStr">
        <is>
          <t>Consulting</t>
        </is>
      </c>
      <c r="C121" t="inlineStr">
        <is>
          <t>26081701</t>
        </is>
      </c>
      <c r="D121" t="inlineStr">
        <is>
          <t>DAFF</t>
        </is>
      </c>
      <c r="E121" t="inlineStr">
        <is>
          <t>Standards Package Drafting</t>
        </is>
      </c>
      <c r="F121" t="n">
        <v>3500</v>
      </c>
      <c r="J121" t="n">
        <v>3500</v>
      </c>
      <c r="K121" t="inlineStr">
        <is>
          <t>Not invoiced - to invoice</t>
        </is>
      </c>
      <c r="L121" t="inlineStr">
        <is>
          <t>Job number not in the Xero job list</t>
        </is>
      </c>
      <c r="N121" t="inlineStr">
        <is>
          <t>CHECK</t>
        </is>
      </c>
      <c r="P121" t="inlineStr">
        <is>
          <t>CONSULTING</t>
        </is>
      </c>
      <c r="Q121" t="inlineStr">
        <is>
          <t>Project</t>
        </is>
      </c>
      <c r="R121" t="inlineStr">
        <is>
          <t>GST 10%</t>
        </is>
      </c>
      <c r="S121" t="inlineStr">
        <is>
          <t>42800</t>
        </is>
      </c>
      <c r="T121" t="inlineStr">
        <is>
          <t>https://cts.qwilr.com/26081701-DAFF-StandardsPackageDrafting-v1-0-4jTipGmbQcmc</t>
        </is>
      </c>
      <c r="U121" t="inlineStr">
        <is>
          <t>Status: In Progress</t>
        </is>
      </c>
      <c r="Y121" t="n">
        <v>1</v>
      </c>
      <c r="Z121" t="n">
        <v>3500</v>
      </c>
      <c r="AA121" t="n">
        <v>0</v>
      </c>
      <c r="AB121" t="n">
        <v>40</v>
      </c>
      <c r="AD121" s="52">
        <f>IFERROR(N(IFERROR(INDEX($A121:$AB121,MATCH("Xero Invoiced Ex GST",$A$1:$AB$1,0)),"")),0)</f>
        <v/>
      </c>
      <c r="AE121" s="53">
        <f>IFERROR(INDEX($A121:$AB121,MATCH("Xero Invoice Date",$A$1:$AB$1,0)),"")</f>
        <v/>
      </c>
      <c r="AF121" s="54">
        <f>IF(AND(IFERROR(INDEX($A121:$AB121,MATCH("Xero Invoice No",$A$1:$AB$1,0)),"")&amp;""&lt;&gt;"",ISNUMBER(AE121),AD121&lt;&gt;0),1,0)</f>
        <v/>
      </c>
      <c r="AG121" s="55">
        <f>IF(AF121=1,EOMONTH(AE121,0),"")</f>
        <v/>
      </c>
      <c r="AH121" s="9">
        <f>IF(AF121=1,UPPER(TRIM(IFERROR(INDEX($A121:$AB121,MATCH("Client",$A$1:$AB$1,0)),"")&amp;"")),"")</f>
        <v/>
      </c>
      <c r="AI121" s="9">
        <f>IF(AF121=1,IFERROR(INDEX($A121:$AB121,MATCH("Cost Centre",$A$1:$AB$1,0)),"")&amp;"","")</f>
        <v/>
      </c>
      <c r="AJ121" s="54">
        <f>IF(AND(AF121=1,AE121&gt;=set_FYStart,AE121&lt;=set_AsAt),1,0)</f>
        <v/>
      </c>
      <c r="AK121" s="54">
        <f>IF(AND(AJ121=1,AH121&lt;&gt;"",COUNTIFS($AH$2:AH121,AH121,$AJ$2:AJ121,1)=1),N(AL120)+1,"")</f>
        <v/>
      </c>
      <c r="AL121" s="54">
        <f>IF(AK121&lt;&gt;"",AK121,N(AL120))</f>
        <v/>
      </c>
    </row>
    <row r="122">
      <c r="A122" t="inlineStr">
        <is>
          <t>ONS-0041</t>
        </is>
      </c>
      <c r="B122" t="inlineStr">
        <is>
          <t>Onsite</t>
        </is>
      </c>
      <c r="C122" t="inlineStr">
        <is>
          <t>1668</t>
        </is>
      </c>
      <c r="D122" t="inlineStr">
        <is>
          <t>CBA</t>
        </is>
      </c>
      <c r="E122" t="inlineStr">
        <is>
          <t>85720001CBPSCSJUN27 DEDICATED TECH</t>
        </is>
      </c>
      <c r="F122" t="n">
        <v>340</v>
      </c>
      <c r="G122" t="inlineStr">
        <is>
          <t>INV-10608</t>
        </is>
      </c>
      <c r="H122" s="51" t="n">
        <v>46265</v>
      </c>
      <c r="I122" t="n">
        <v>340</v>
      </c>
      <c r="J122" t="n">
        <v>0</v>
      </c>
      <c r="K122" t="inlineStr">
        <is>
          <t>Agrees</t>
        </is>
      </c>
      <c r="N122" t="inlineStr">
        <is>
          <t>OK</t>
        </is>
      </c>
      <c r="O122" t="inlineStr">
        <is>
          <t>CBA Dedicated Tech</t>
        </is>
      </c>
      <c r="P122" t="inlineStr">
        <is>
          <t>ONSITE</t>
        </is>
      </c>
      <c r="Q122" t="inlineStr">
        <is>
          <t>Contract</t>
        </is>
      </c>
      <c r="R122" t="inlineStr">
        <is>
          <t>GST 10%</t>
        </is>
      </c>
      <c r="S122" t="inlineStr">
        <is>
          <t>41100</t>
        </is>
      </c>
      <c r="V122" t="n">
        <v>34</v>
      </c>
      <c r="W122" t="n">
        <v>374</v>
      </c>
      <c r="X122" s="51" t="n">
        <v>46265</v>
      </c>
      <c r="Y122" t="n">
        <v>12</v>
      </c>
      <c r="Z122" t="n">
        <v>5290</v>
      </c>
      <c r="AA122" t="n">
        <v>5290</v>
      </c>
      <c r="AB122" t="n">
        <v>41</v>
      </c>
      <c r="AD122" s="52">
        <f>IFERROR(N(IFERROR(INDEX($A122:$AB122,MATCH("Xero Invoiced Ex GST",$A$1:$AB$1,0)),"")),0)</f>
        <v/>
      </c>
      <c r="AE122" s="53">
        <f>IFERROR(INDEX($A122:$AB122,MATCH("Xero Invoice Date",$A$1:$AB$1,0)),"")</f>
        <v/>
      </c>
      <c r="AF122" s="54">
        <f>IF(AND(IFERROR(INDEX($A122:$AB122,MATCH("Xero Invoice No",$A$1:$AB$1,0)),"")&amp;""&lt;&gt;"",ISNUMBER(AE122),AD122&lt;&gt;0),1,0)</f>
        <v/>
      </c>
      <c r="AG122" s="55">
        <f>IF(AF122=1,EOMONTH(AE122,0),"")</f>
        <v/>
      </c>
      <c r="AH122" s="9">
        <f>IF(AF122=1,UPPER(TRIM(IFERROR(INDEX($A122:$AB122,MATCH("Client",$A$1:$AB$1,0)),"")&amp;"")),"")</f>
        <v/>
      </c>
      <c r="AI122" s="9">
        <f>IF(AF122=1,IFERROR(INDEX($A122:$AB122,MATCH("Cost Centre",$A$1:$AB$1,0)),"")&amp;"","")</f>
        <v/>
      </c>
      <c r="AJ122" s="54">
        <f>IF(AND(AF122=1,AE122&gt;=set_FYStart,AE122&lt;=set_AsAt),1,0)</f>
        <v/>
      </c>
      <c r="AK122" s="54">
        <f>IF(AND(AJ122=1,AH122&lt;&gt;"",COUNTIFS($AH$2:AH122,AH122,$AJ$2:AJ122,1)=1),N(AL121)+1,"")</f>
        <v/>
      </c>
      <c r="AL122" s="54">
        <f>IF(AK122&lt;&gt;"",AK122,N(AL121))</f>
        <v/>
      </c>
    </row>
    <row r="123">
      <c r="A123" t="inlineStr">
        <is>
          <t>PRD-0041</t>
        </is>
      </c>
      <c r="B123" t="inlineStr">
        <is>
          <t>Production</t>
        </is>
      </c>
      <c r="C123" t="inlineStr">
        <is>
          <t>26073111</t>
        </is>
      </c>
      <c r="D123" t="inlineStr">
        <is>
          <t>Downer - Melbourne</t>
        </is>
      </c>
      <c r="E123" t="inlineStr">
        <is>
          <t>Employee Results Briefing</t>
        </is>
      </c>
      <c r="F123" t="n">
        <v>22628.75</v>
      </c>
      <c r="G123" t="inlineStr">
        <is>
          <t>INV-10611</t>
        </is>
      </c>
      <c r="H123" s="51" t="n">
        <v>46265</v>
      </c>
      <c r="I123" t="n">
        <v>22628.75</v>
      </c>
      <c r="J123" t="n">
        <v>0</v>
      </c>
      <c r="K123" t="inlineStr">
        <is>
          <t>Agrees</t>
        </is>
      </c>
      <c r="N123" t="inlineStr">
        <is>
          <t>OK</t>
        </is>
      </c>
      <c r="O123" t="inlineStr">
        <is>
          <t>Downer - FYR &amp; Employee Webcast - 25.8.26</t>
        </is>
      </c>
      <c r="P123" t="inlineStr">
        <is>
          <t>PRODUCTION</t>
        </is>
      </c>
      <c r="Q123" t="inlineStr">
        <is>
          <t>Project</t>
        </is>
      </c>
      <c r="R123" t="inlineStr">
        <is>
          <t>GST 10%</t>
        </is>
      </c>
      <c r="S123" t="inlineStr">
        <is>
          <t>42100</t>
        </is>
      </c>
      <c r="T123" t="inlineStr">
        <is>
          <t>6144</t>
        </is>
      </c>
      <c r="V123" t="n">
        <v>2262.88</v>
      </c>
      <c r="W123" t="n">
        <v>24891.63</v>
      </c>
      <c r="X123" s="51" t="n">
        <v>46265</v>
      </c>
      <c r="Y123" t="n">
        <v>1</v>
      </c>
      <c r="Z123" t="n">
        <v>22628.75</v>
      </c>
      <c r="AA123" t="n">
        <v>22628.75</v>
      </c>
      <c r="AB123" t="n">
        <v>41</v>
      </c>
      <c r="AD123" s="52">
        <f>IFERROR(N(IFERROR(INDEX($A123:$AB123,MATCH("Xero Invoiced Ex GST",$A$1:$AB$1,0)),"")),0)</f>
        <v/>
      </c>
      <c r="AE123" s="53">
        <f>IFERROR(INDEX($A123:$AB123,MATCH("Xero Invoice Date",$A$1:$AB$1,0)),"")</f>
        <v/>
      </c>
      <c r="AF123" s="54">
        <f>IF(AND(IFERROR(INDEX($A123:$AB123,MATCH("Xero Invoice No",$A$1:$AB$1,0)),"")&amp;""&lt;&gt;"",ISNUMBER(AE123),AD123&lt;&gt;0),1,0)</f>
        <v/>
      </c>
      <c r="AG123" s="55">
        <f>IF(AF123=1,EOMONTH(AE123,0),"")</f>
        <v/>
      </c>
      <c r="AH123" s="9">
        <f>IF(AF123=1,UPPER(TRIM(IFERROR(INDEX($A123:$AB123,MATCH("Client",$A$1:$AB$1,0)),"")&amp;"")),"")</f>
        <v/>
      </c>
      <c r="AI123" s="9">
        <f>IF(AF123=1,IFERROR(INDEX($A123:$AB123,MATCH("Cost Centre",$A$1:$AB$1,0)),"")&amp;"","")</f>
        <v/>
      </c>
      <c r="AJ123" s="54">
        <f>IF(AND(AF123=1,AE123&gt;=set_FYStart,AE123&lt;=set_AsAt),1,0)</f>
        <v/>
      </c>
      <c r="AK123" s="54">
        <f>IF(AND(AJ123=1,AH123&lt;&gt;"",COUNTIFS($AH$2:AH123,AH123,$AJ$2:AJ123,1)=1),N(AL122)+1,"")</f>
        <v/>
      </c>
      <c r="AL123" s="54">
        <f>IF(AK123&lt;&gt;"",AK123,N(AL122))</f>
        <v/>
      </c>
    </row>
    <row r="124">
      <c r="A124" t="inlineStr">
        <is>
          <t>CON-0041</t>
        </is>
      </c>
      <c r="B124" t="inlineStr">
        <is>
          <t>Consulting</t>
        </is>
      </c>
      <c r="C124" t="inlineStr">
        <is>
          <t>2602203</t>
        </is>
      </c>
      <c r="D124" t="inlineStr">
        <is>
          <t>YSG Studio</t>
        </is>
      </c>
      <c r="E124" t="inlineStr">
        <is>
          <t>Orange Room Upgrade CONS</t>
        </is>
      </c>
      <c r="F124" t="n">
        <v>1015</v>
      </c>
      <c r="G124" t="inlineStr">
        <is>
          <t>INV-10653</t>
        </is>
      </c>
      <c r="H124" s="51" t="n">
        <v>46290</v>
      </c>
      <c r="I124" t="n">
        <v>1015</v>
      </c>
      <c r="J124" t="n">
        <v>0</v>
      </c>
      <c r="K124" t="inlineStr">
        <is>
          <t>Agrees</t>
        </is>
      </c>
      <c r="N124" t="inlineStr">
        <is>
          <t>OK</t>
        </is>
      </c>
      <c r="O124" t="inlineStr">
        <is>
          <t>YSG Studio Orange Room Upgrade</t>
        </is>
      </c>
      <c r="P124" t="inlineStr">
        <is>
          <t>CONSULTING</t>
        </is>
      </c>
      <c r="Q124" t="inlineStr">
        <is>
          <t>Progress Claim</t>
        </is>
      </c>
      <c r="R124" t="inlineStr">
        <is>
          <t>GST 10%</t>
        </is>
      </c>
      <c r="S124" t="inlineStr">
        <is>
          <t>42800</t>
        </is>
      </c>
      <c r="T124" t="inlineStr">
        <is>
          <t>https://cts.qwilr.com/2602203-YSGStudio-Proposal-A-Yw8447MlTUK7</t>
        </is>
      </c>
      <c r="U124" t="inlineStr">
        <is>
          <t>Status: Closed | Progress Claim 04</t>
        </is>
      </c>
      <c r="V124" t="n">
        <v>101.5</v>
      </c>
      <c r="W124" t="n">
        <v>1116.5</v>
      </c>
      <c r="X124" s="51" t="n">
        <v>46295</v>
      </c>
      <c r="Y124" t="n">
        <v>2</v>
      </c>
      <c r="Z124" t="n">
        <v>3262.5</v>
      </c>
      <c r="AA124" t="n">
        <v>3262.5</v>
      </c>
      <c r="AB124" t="n">
        <v>41</v>
      </c>
      <c r="AD124" s="52">
        <f>IFERROR(N(IFERROR(INDEX($A124:$AB124,MATCH("Xero Invoiced Ex GST",$A$1:$AB$1,0)),"")),0)</f>
        <v/>
      </c>
      <c r="AE124" s="53">
        <f>IFERROR(INDEX($A124:$AB124,MATCH("Xero Invoice Date",$A$1:$AB$1,0)),"")</f>
        <v/>
      </c>
      <c r="AF124" s="54">
        <f>IF(AND(IFERROR(INDEX($A124:$AB124,MATCH("Xero Invoice No",$A$1:$AB$1,0)),"")&amp;""&lt;&gt;"",ISNUMBER(AE124),AD124&lt;&gt;0),1,0)</f>
        <v/>
      </c>
      <c r="AG124" s="55">
        <f>IF(AF124=1,EOMONTH(AE124,0),"")</f>
        <v/>
      </c>
      <c r="AH124" s="9">
        <f>IF(AF124=1,UPPER(TRIM(IFERROR(INDEX($A124:$AB124,MATCH("Client",$A$1:$AB$1,0)),"")&amp;"")),"")</f>
        <v/>
      </c>
      <c r="AI124" s="9">
        <f>IF(AF124=1,IFERROR(INDEX($A124:$AB124,MATCH("Cost Centre",$A$1:$AB$1,0)),"")&amp;"","")</f>
        <v/>
      </c>
      <c r="AJ124" s="54">
        <f>IF(AND(AF124=1,AE124&gt;=set_FYStart,AE124&lt;=set_AsAt),1,0)</f>
        <v/>
      </c>
      <c r="AK124" s="54">
        <f>IF(AND(AJ124=1,AH124&lt;&gt;"",COUNTIFS($AH$2:AH124,AH124,$AJ$2:AJ124,1)=1),N(AL123)+1,"")</f>
        <v/>
      </c>
      <c r="AL124" s="54">
        <f>IF(AK124&lt;&gt;"",AK124,N(AL123))</f>
        <v/>
      </c>
    </row>
    <row r="125">
      <c r="A125" t="inlineStr">
        <is>
          <t>ONS-0042</t>
        </is>
      </c>
      <c r="B125" t="inlineStr">
        <is>
          <t>Onsite</t>
        </is>
      </c>
      <c r="C125" t="inlineStr">
        <is>
          <t>1668</t>
        </is>
      </c>
      <c r="D125" t="inlineStr">
        <is>
          <t>CBA</t>
        </is>
      </c>
      <c r="E125" t="inlineStr">
        <is>
          <t>85720001CBPSCSJUN27 DEDICATED TECH</t>
        </is>
      </c>
      <c r="F125" t="n">
        <v>425</v>
      </c>
      <c r="G125" t="inlineStr">
        <is>
          <t>INV-10609</t>
        </is>
      </c>
      <c r="H125" s="51" t="n">
        <v>46265</v>
      </c>
      <c r="I125" t="n">
        <v>425</v>
      </c>
      <c r="J125" t="n">
        <v>0</v>
      </c>
      <c r="K125" t="inlineStr">
        <is>
          <t>Agrees</t>
        </is>
      </c>
      <c r="N125" t="inlineStr">
        <is>
          <t>OK</t>
        </is>
      </c>
      <c r="O125" t="inlineStr">
        <is>
          <t>CBA Dedicated Tech</t>
        </is>
      </c>
      <c r="P125" t="inlineStr">
        <is>
          <t>ONSITE</t>
        </is>
      </c>
      <c r="Q125" t="inlineStr">
        <is>
          <t>Contract</t>
        </is>
      </c>
      <c r="R125" t="inlineStr">
        <is>
          <t>GST 10%</t>
        </is>
      </c>
      <c r="S125" t="inlineStr">
        <is>
          <t>41100</t>
        </is>
      </c>
      <c r="V125" t="n">
        <v>42.5</v>
      </c>
      <c r="W125" t="n">
        <v>467.5</v>
      </c>
      <c r="X125" s="51" t="n">
        <v>46265</v>
      </c>
      <c r="Y125" t="n">
        <v>12</v>
      </c>
      <c r="Z125" t="n">
        <v>5290</v>
      </c>
      <c r="AA125" t="n">
        <v>5290</v>
      </c>
      <c r="AB125" t="n">
        <v>42</v>
      </c>
      <c r="AD125" s="52">
        <f>IFERROR(N(IFERROR(INDEX($A125:$AB125,MATCH("Xero Invoiced Ex GST",$A$1:$AB$1,0)),"")),0)</f>
        <v/>
      </c>
      <c r="AE125" s="53">
        <f>IFERROR(INDEX($A125:$AB125,MATCH("Xero Invoice Date",$A$1:$AB$1,0)),"")</f>
        <v/>
      </c>
      <c r="AF125" s="54">
        <f>IF(AND(IFERROR(INDEX($A125:$AB125,MATCH("Xero Invoice No",$A$1:$AB$1,0)),"")&amp;""&lt;&gt;"",ISNUMBER(AE125),AD125&lt;&gt;0),1,0)</f>
        <v/>
      </c>
      <c r="AG125" s="55">
        <f>IF(AF125=1,EOMONTH(AE125,0),"")</f>
        <v/>
      </c>
      <c r="AH125" s="9">
        <f>IF(AF125=1,UPPER(TRIM(IFERROR(INDEX($A125:$AB125,MATCH("Client",$A$1:$AB$1,0)),"")&amp;"")),"")</f>
        <v/>
      </c>
      <c r="AI125" s="9">
        <f>IF(AF125=1,IFERROR(INDEX($A125:$AB125,MATCH("Cost Centre",$A$1:$AB$1,0)),"")&amp;"","")</f>
        <v/>
      </c>
      <c r="AJ125" s="54">
        <f>IF(AND(AF125=1,AE125&gt;=set_FYStart,AE125&lt;=set_AsAt),1,0)</f>
        <v/>
      </c>
      <c r="AK125" s="54">
        <f>IF(AND(AJ125=1,AH125&lt;&gt;"",COUNTIFS($AH$2:AH125,AH125,$AJ$2:AJ125,1)=1),N(AL124)+1,"")</f>
        <v/>
      </c>
      <c r="AL125" s="54">
        <f>IF(AK125&lt;&gt;"",AK125,N(AL124))</f>
        <v/>
      </c>
    </row>
    <row r="126">
      <c r="A126" t="inlineStr">
        <is>
          <t>PRD-0042</t>
        </is>
      </c>
      <c r="B126" t="inlineStr">
        <is>
          <t>Production</t>
        </is>
      </c>
      <c r="C126" t="inlineStr">
        <is>
          <t>2606904</t>
        </is>
      </c>
      <c r="D126" t="inlineStr">
        <is>
          <t>Symal - Melbourne</t>
        </is>
      </c>
      <c r="E126" t="inlineStr">
        <is>
          <t>Symal FYR 2026</t>
        </is>
      </c>
      <c r="F126" t="n">
        <v>13260.5</v>
      </c>
      <c r="G126" t="inlineStr">
        <is>
          <t>INV-10567</t>
        </is>
      </c>
      <c r="H126" s="51" t="n">
        <v>46253</v>
      </c>
      <c r="I126" t="n">
        <v>13260.5</v>
      </c>
      <c r="J126" t="n">
        <v>0</v>
      </c>
      <c r="K126" t="inlineStr">
        <is>
          <t>Agrees</t>
        </is>
      </c>
      <c r="M126" t="inlineStr">
        <is>
          <t>Xero check 28-Sep-26: invoice number typed as in Xero</t>
        </is>
      </c>
      <c r="N126" t="inlineStr">
        <is>
          <t>OK</t>
        </is>
      </c>
      <c r="O126" t="inlineStr">
        <is>
          <t>Symal - FYR26 (Melb) - 24.8.26</t>
        </is>
      </c>
      <c r="P126" t="inlineStr">
        <is>
          <t>PRODUCTION</t>
        </is>
      </c>
      <c r="Q126" t="inlineStr">
        <is>
          <t>Project</t>
        </is>
      </c>
      <c r="R126" t="inlineStr">
        <is>
          <t>GST 10%</t>
        </is>
      </c>
      <c r="S126" t="inlineStr">
        <is>
          <t>42100</t>
        </is>
      </c>
      <c r="T126" t="inlineStr">
        <is>
          <t>6044</t>
        </is>
      </c>
      <c r="V126" t="n">
        <v>1326.05</v>
      </c>
      <c r="W126" t="n">
        <v>14586.55</v>
      </c>
      <c r="X126" s="51" t="n">
        <v>46265</v>
      </c>
      <c r="Y126" t="n">
        <v>1</v>
      </c>
      <c r="Z126" t="n">
        <v>13260.5</v>
      </c>
      <c r="AA126" t="n">
        <v>13260.5</v>
      </c>
      <c r="AB126" t="n">
        <v>42</v>
      </c>
      <c r="AD126" s="52">
        <f>IFERROR(N(IFERROR(INDEX($A126:$AB126,MATCH("Xero Invoiced Ex GST",$A$1:$AB$1,0)),"")),0)</f>
        <v/>
      </c>
      <c r="AE126" s="53">
        <f>IFERROR(INDEX($A126:$AB126,MATCH("Xero Invoice Date",$A$1:$AB$1,0)),"")</f>
        <v/>
      </c>
      <c r="AF126" s="54">
        <f>IF(AND(IFERROR(INDEX($A126:$AB126,MATCH("Xero Invoice No",$A$1:$AB$1,0)),"")&amp;""&lt;&gt;"",ISNUMBER(AE126),AD126&lt;&gt;0),1,0)</f>
        <v/>
      </c>
      <c r="AG126" s="55">
        <f>IF(AF126=1,EOMONTH(AE126,0),"")</f>
        <v/>
      </c>
      <c r="AH126" s="9">
        <f>IF(AF126=1,UPPER(TRIM(IFERROR(INDEX($A126:$AB126,MATCH("Client",$A$1:$AB$1,0)),"")&amp;"")),"")</f>
        <v/>
      </c>
      <c r="AI126" s="9">
        <f>IF(AF126=1,IFERROR(INDEX($A126:$AB126,MATCH("Cost Centre",$A$1:$AB$1,0)),"")&amp;"","")</f>
        <v/>
      </c>
      <c r="AJ126" s="54">
        <f>IF(AND(AF126=1,AE126&gt;=set_FYStart,AE126&lt;=set_AsAt),1,0)</f>
        <v/>
      </c>
      <c r="AK126" s="54">
        <f>IF(AND(AJ126=1,AH126&lt;&gt;"",COUNTIFS($AH$2:AH126,AH126,$AJ$2:AJ126,1)=1),N(AL125)+1,"")</f>
        <v/>
      </c>
      <c r="AL126" s="54">
        <f>IF(AK126&lt;&gt;"",AK126,N(AL125))</f>
        <v/>
      </c>
    </row>
    <row r="127">
      <c r="A127" t="inlineStr">
        <is>
          <t>CON-0042</t>
        </is>
      </c>
      <c r="B127" t="inlineStr">
        <is>
          <t>Consulting</t>
        </is>
      </c>
      <c r="AB127" t="n">
        <v>42</v>
      </c>
      <c r="AD127" s="52">
        <f>IFERROR(N(IFERROR(INDEX($A127:$AB127,MATCH("Xero Invoiced Ex GST",$A$1:$AB$1,0)),"")),0)</f>
        <v/>
      </c>
      <c r="AE127" s="53">
        <f>IFERROR(INDEX($A127:$AB127,MATCH("Xero Invoice Date",$A$1:$AB$1,0)),"")</f>
        <v/>
      </c>
      <c r="AF127" s="54">
        <f>IF(AND(IFERROR(INDEX($A127:$AB127,MATCH("Xero Invoice No",$A$1:$AB$1,0)),"")&amp;""&lt;&gt;"",ISNUMBER(AE127),AD127&lt;&gt;0),1,0)</f>
        <v/>
      </c>
      <c r="AG127" s="55">
        <f>IF(AF127=1,EOMONTH(AE127,0),"")</f>
        <v/>
      </c>
      <c r="AH127" s="9">
        <f>IF(AF127=1,UPPER(TRIM(IFERROR(INDEX($A127:$AB127,MATCH("Client",$A$1:$AB$1,0)),"")&amp;"")),"")</f>
        <v/>
      </c>
      <c r="AI127" s="9">
        <f>IF(AF127=1,IFERROR(INDEX($A127:$AB127,MATCH("Cost Centre",$A$1:$AB$1,0)),"")&amp;"","")</f>
        <v/>
      </c>
      <c r="AJ127" s="54">
        <f>IF(AND(AF127=1,AE127&gt;=set_FYStart,AE127&lt;=set_AsAt),1,0)</f>
        <v/>
      </c>
      <c r="AK127" s="54">
        <f>IF(AND(AJ127=1,AH127&lt;&gt;"",COUNTIFS($AH$2:AH127,AH127,$AJ$2:AJ127,1)=1),N(AL126)+1,"")</f>
        <v/>
      </c>
      <c r="AL127" s="54">
        <f>IF(AK127&lt;&gt;"",AK127,N(AL126))</f>
        <v/>
      </c>
    </row>
    <row r="128">
      <c r="A128" t="inlineStr">
        <is>
          <t>ONS-0043</t>
        </is>
      </c>
      <c r="B128" t="inlineStr">
        <is>
          <t>Onsite</t>
        </is>
      </c>
      <c r="C128" t="inlineStr">
        <is>
          <t>1668</t>
        </is>
      </c>
      <c r="D128" t="inlineStr">
        <is>
          <t>CBA</t>
        </is>
      </c>
      <c r="E128" t="inlineStr">
        <is>
          <t>85720001CBPSCSJUN27 DEDICATED TECH</t>
        </is>
      </c>
      <c r="F128" t="n">
        <v>595</v>
      </c>
      <c r="G128" t="inlineStr">
        <is>
          <t>INV-10610</t>
        </is>
      </c>
      <c r="H128" s="51" t="n">
        <v>46265</v>
      </c>
      <c r="I128" t="n">
        <v>595</v>
      </c>
      <c r="J128" t="n">
        <v>0</v>
      </c>
      <c r="K128" t="inlineStr">
        <is>
          <t>Agrees</t>
        </is>
      </c>
      <c r="N128" t="inlineStr">
        <is>
          <t>OK</t>
        </is>
      </c>
      <c r="O128" t="inlineStr">
        <is>
          <t>CBA Dedicated Tech</t>
        </is>
      </c>
      <c r="P128" t="inlineStr">
        <is>
          <t>ONSITE</t>
        </is>
      </c>
      <c r="Q128" t="inlineStr">
        <is>
          <t>Contract</t>
        </is>
      </c>
      <c r="R128" t="inlineStr">
        <is>
          <t>GST 10%</t>
        </is>
      </c>
      <c r="S128" t="inlineStr">
        <is>
          <t>41100</t>
        </is>
      </c>
      <c r="V128" t="n">
        <v>59.5</v>
      </c>
      <c r="W128" t="n">
        <v>654.5</v>
      </c>
      <c r="X128" s="51" t="n">
        <v>46265</v>
      </c>
      <c r="Y128" t="n">
        <v>12</v>
      </c>
      <c r="Z128" t="n">
        <v>5290</v>
      </c>
      <c r="AA128" t="n">
        <v>5290</v>
      </c>
      <c r="AB128" t="n">
        <v>43</v>
      </c>
      <c r="AD128" s="52">
        <f>IFERROR(N(IFERROR(INDEX($A128:$AB128,MATCH("Xero Invoiced Ex GST",$A$1:$AB$1,0)),"")),0)</f>
        <v/>
      </c>
      <c r="AE128" s="53">
        <f>IFERROR(INDEX($A128:$AB128,MATCH("Xero Invoice Date",$A$1:$AB$1,0)),"")</f>
        <v/>
      </c>
      <c r="AF128" s="54">
        <f>IF(AND(IFERROR(INDEX($A128:$AB128,MATCH("Xero Invoice No",$A$1:$AB$1,0)),"")&amp;""&lt;&gt;"",ISNUMBER(AE128),AD128&lt;&gt;0),1,0)</f>
        <v/>
      </c>
      <c r="AG128" s="55">
        <f>IF(AF128=1,EOMONTH(AE128,0),"")</f>
        <v/>
      </c>
      <c r="AH128" s="9">
        <f>IF(AF128=1,UPPER(TRIM(IFERROR(INDEX($A128:$AB128,MATCH("Client",$A$1:$AB$1,0)),"")&amp;"")),"")</f>
        <v/>
      </c>
      <c r="AI128" s="9">
        <f>IF(AF128=1,IFERROR(INDEX($A128:$AB128,MATCH("Cost Centre",$A$1:$AB$1,0)),"")&amp;"","")</f>
        <v/>
      </c>
      <c r="AJ128" s="54">
        <f>IF(AND(AF128=1,AE128&gt;=set_FYStart,AE128&lt;=set_AsAt),1,0)</f>
        <v/>
      </c>
      <c r="AK128" s="54">
        <f>IF(AND(AJ128=1,AH128&lt;&gt;"",COUNTIFS($AH$2:AH128,AH128,$AJ$2:AJ128,1)=1),N(AL127)+1,"")</f>
        <v/>
      </c>
      <c r="AL128" s="54">
        <f>IF(AK128&lt;&gt;"",AK128,N(AL127))</f>
        <v/>
      </c>
    </row>
    <row r="129">
      <c r="A129" t="inlineStr">
        <is>
          <t>PRD-0043</t>
        </is>
      </c>
      <c r="B129" t="inlineStr">
        <is>
          <t>Production</t>
        </is>
      </c>
      <c r="C129" t="inlineStr">
        <is>
          <t>26061001</t>
        </is>
      </c>
      <c r="D129" t="inlineStr">
        <is>
          <t>Garvan</t>
        </is>
      </c>
      <c r="E129" t="inlineStr">
        <is>
          <t>Garvan August All Clear Event 25.8.26</t>
        </is>
      </c>
      <c r="F129" t="n">
        <v>770</v>
      </c>
      <c r="G129" t="inlineStr">
        <is>
          <t>INV-10595</t>
        </is>
      </c>
      <c r="H129" s="51" t="n">
        <v>46261</v>
      </c>
      <c r="I129" t="n">
        <v>770</v>
      </c>
      <c r="J129" t="n">
        <v>0</v>
      </c>
      <c r="K129" t="inlineStr">
        <is>
          <t>Agrees</t>
        </is>
      </c>
      <c r="N129" t="inlineStr">
        <is>
          <t>OK</t>
        </is>
      </c>
      <c r="O129" t="inlineStr">
        <is>
          <t>Garvan August All Clear Event 25.8.26</t>
        </is>
      </c>
      <c r="P129" t="inlineStr">
        <is>
          <t>PRODUCTION</t>
        </is>
      </c>
      <c r="Q129" t="inlineStr">
        <is>
          <t>Project</t>
        </is>
      </c>
      <c r="R129" t="inlineStr">
        <is>
          <t>GST 10%</t>
        </is>
      </c>
      <c r="S129" t="inlineStr">
        <is>
          <t>42100</t>
        </is>
      </c>
      <c r="T129" t="inlineStr">
        <is>
          <t>6055</t>
        </is>
      </c>
      <c r="V129" t="n">
        <v>77</v>
      </c>
      <c r="W129" t="n">
        <v>847</v>
      </c>
      <c r="X129" s="51" t="n">
        <v>46265</v>
      </c>
      <c r="Y129" t="n">
        <v>1</v>
      </c>
      <c r="Z129" t="n">
        <v>770</v>
      </c>
      <c r="AA129" t="n">
        <v>770</v>
      </c>
      <c r="AB129" t="n">
        <v>43</v>
      </c>
      <c r="AD129" s="52">
        <f>IFERROR(N(IFERROR(INDEX($A129:$AB129,MATCH("Xero Invoiced Ex GST",$A$1:$AB$1,0)),"")),0)</f>
        <v/>
      </c>
      <c r="AE129" s="53">
        <f>IFERROR(INDEX($A129:$AB129,MATCH("Xero Invoice Date",$A$1:$AB$1,0)),"")</f>
        <v/>
      </c>
      <c r="AF129" s="54">
        <f>IF(AND(IFERROR(INDEX($A129:$AB129,MATCH("Xero Invoice No",$A$1:$AB$1,0)),"")&amp;""&lt;&gt;"",ISNUMBER(AE129),AD129&lt;&gt;0),1,0)</f>
        <v/>
      </c>
      <c r="AG129" s="55">
        <f>IF(AF129=1,EOMONTH(AE129,0),"")</f>
        <v/>
      </c>
      <c r="AH129" s="9">
        <f>IF(AF129=1,UPPER(TRIM(IFERROR(INDEX($A129:$AB129,MATCH("Client",$A$1:$AB$1,0)),"")&amp;"")),"")</f>
        <v/>
      </c>
      <c r="AI129" s="9">
        <f>IF(AF129=1,IFERROR(INDEX($A129:$AB129,MATCH("Cost Centre",$A$1:$AB$1,0)),"")&amp;"","")</f>
        <v/>
      </c>
      <c r="AJ129" s="54">
        <f>IF(AND(AF129=1,AE129&gt;=set_FYStart,AE129&lt;=set_AsAt),1,0)</f>
        <v/>
      </c>
      <c r="AK129" s="54">
        <f>IF(AND(AJ129=1,AH129&lt;&gt;"",COUNTIFS($AH$2:AH129,AH129,$AJ$2:AJ129,1)=1),N(AL128)+1,"")</f>
        <v/>
      </c>
      <c r="AL129" s="54">
        <f>IF(AK129&lt;&gt;"",AK129,N(AL128))</f>
        <v/>
      </c>
    </row>
    <row r="130">
      <c r="A130" t="inlineStr">
        <is>
          <t>CON-0043</t>
        </is>
      </c>
      <c r="B130" t="inlineStr">
        <is>
          <t>Consulting</t>
        </is>
      </c>
      <c r="AB130" t="n">
        <v>43</v>
      </c>
      <c r="AD130" s="52">
        <f>IFERROR(N(IFERROR(INDEX($A130:$AB130,MATCH("Xero Invoiced Ex GST",$A$1:$AB$1,0)),"")),0)</f>
        <v/>
      </c>
      <c r="AE130" s="53">
        <f>IFERROR(INDEX($A130:$AB130,MATCH("Xero Invoice Date",$A$1:$AB$1,0)),"")</f>
        <v/>
      </c>
      <c r="AF130" s="54">
        <f>IF(AND(IFERROR(INDEX($A130:$AB130,MATCH("Xero Invoice No",$A$1:$AB$1,0)),"")&amp;""&lt;&gt;"",ISNUMBER(AE130),AD130&lt;&gt;0),1,0)</f>
        <v/>
      </c>
      <c r="AG130" s="55">
        <f>IF(AF130=1,EOMONTH(AE130,0),"")</f>
        <v/>
      </c>
      <c r="AH130" s="9">
        <f>IF(AF130=1,UPPER(TRIM(IFERROR(INDEX($A130:$AB130,MATCH("Client",$A$1:$AB$1,0)),"")&amp;"")),"")</f>
        <v/>
      </c>
      <c r="AI130" s="9">
        <f>IF(AF130=1,IFERROR(INDEX($A130:$AB130,MATCH("Cost Centre",$A$1:$AB$1,0)),"")&amp;"","")</f>
        <v/>
      </c>
      <c r="AJ130" s="54">
        <f>IF(AND(AF130=1,AE130&gt;=set_FYStart,AE130&lt;=set_AsAt),1,0)</f>
        <v/>
      </c>
      <c r="AK130" s="54">
        <f>IF(AND(AJ130=1,AH130&lt;&gt;"",COUNTIFS($AH$2:AH130,AH130,$AJ$2:AJ130,1)=1),N(AL129)+1,"")</f>
        <v/>
      </c>
      <c r="AL130" s="54">
        <f>IF(AK130&lt;&gt;"",AK130,N(AL129))</f>
        <v/>
      </c>
    </row>
    <row r="131">
      <c r="A131" t="inlineStr">
        <is>
          <t>ONS-0044</t>
        </is>
      </c>
      <c r="B131" t="inlineStr">
        <is>
          <t>Onsite</t>
        </is>
      </c>
      <c r="C131" t="inlineStr">
        <is>
          <t>585, 586</t>
        </is>
      </c>
      <c r="D131" t="inlineStr">
        <is>
          <t>CBA</t>
        </is>
      </c>
      <c r="E131" t="inlineStr">
        <is>
          <t>85720001CBPSCSJUN27</t>
        </is>
      </c>
      <c r="F131" t="n">
        <v>22680</v>
      </c>
      <c r="G131" t="inlineStr">
        <is>
          <t>INV-10614</t>
        </is>
      </c>
      <c r="H131" s="51" t="n">
        <v>46265</v>
      </c>
      <c r="I131" t="n">
        <v>22680</v>
      </c>
      <c r="J131" t="n">
        <v>0</v>
      </c>
      <c r="K131" t="inlineStr">
        <is>
          <t>Agrees</t>
        </is>
      </c>
      <c r="L131" t="inlineStr">
        <is>
          <t>Job number not in the Xero job list</t>
        </is>
      </c>
      <c r="N131" t="inlineStr">
        <is>
          <t>CHECK</t>
        </is>
      </c>
      <c r="P131" t="inlineStr">
        <is>
          <t>ONSITE</t>
        </is>
      </c>
      <c r="Q131" t="inlineStr">
        <is>
          <t>Contract</t>
        </is>
      </c>
      <c r="R131" t="inlineStr">
        <is>
          <t>GST 10%</t>
        </is>
      </c>
      <c r="S131" t="inlineStr">
        <is>
          <t>41100</t>
        </is>
      </c>
      <c r="V131" t="n">
        <v>2268</v>
      </c>
      <c r="W131" t="n">
        <v>24948</v>
      </c>
      <c r="X131" s="51" t="n">
        <v>46265</v>
      </c>
      <c r="Y131" t="n">
        <v>1</v>
      </c>
      <c r="Z131" t="n">
        <v>22680</v>
      </c>
      <c r="AA131" t="n">
        <v>22680</v>
      </c>
      <c r="AB131" t="n">
        <v>44</v>
      </c>
      <c r="AD131" s="52">
        <f>IFERROR(N(IFERROR(INDEX($A131:$AB131,MATCH("Xero Invoiced Ex GST",$A$1:$AB$1,0)),"")),0)</f>
        <v/>
      </c>
      <c r="AE131" s="53">
        <f>IFERROR(INDEX($A131:$AB131,MATCH("Xero Invoice Date",$A$1:$AB$1,0)),"")</f>
        <v/>
      </c>
      <c r="AF131" s="54">
        <f>IF(AND(IFERROR(INDEX($A131:$AB131,MATCH("Xero Invoice No",$A$1:$AB$1,0)),"")&amp;""&lt;&gt;"",ISNUMBER(AE131),AD131&lt;&gt;0),1,0)</f>
        <v/>
      </c>
      <c r="AG131" s="55">
        <f>IF(AF131=1,EOMONTH(AE131,0),"")</f>
        <v/>
      </c>
      <c r="AH131" s="9">
        <f>IF(AF131=1,UPPER(TRIM(IFERROR(INDEX($A131:$AB131,MATCH("Client",$A$1:$AB$1,0)),"")&amp;"")),"")</f>
        <v/>
      </c>
      <c r="AI131" s="9">
        <f>IF(AF131=1,IFERROR(INDEX($A131:$AB131,MATCH("Cost Centre",$A$1:$AB$1,0)),"")&amp;"","")</f>
        <v/>
      </c>
      <c r="AJ131" s="54">
        <f>IF(AND(AF131=1,AE131&gt;=set_FYStart,AE131&lt;=set_AsAt),1,0)</f>
        <v/>
      </c>
      <c r="AK131" s="54">
        <f>IF(AND(AJ131=1,AH131&lt;&gt;"",COUNTIFS($AH$2:AH131,AH131,$AJ$2:AJ131,1)=1),N(AL130)+1,"")</f>
        <v/>
      </c>
      <c r="AL131" s="54">
        <f>IF(AK131&lt;&gt;"",AK131,N(AL130))</f>
        <v/>
      </c>
    </row>
    <row r="132">
      <c r="A132" t="inlineStr">
        <is>
          <t>PRD-0044</t>
        </is>
      </c>
      <c r="B132" t="inlineStr">
        <is>
          <t>Production</t>
        </is>
      </c>
      <c r="C132" t="inlineStr">
        <is>
          <t>26073105</t>
        </is>
      </c>
      <c r="D132" t="inlineStr">
        <is>
          <t>Elkiem</t>
        </is>
      </c>
      <c r="E132" t="inlineStr">
        <is>
          <t>Studio Support 25.8.26</t>
        </is>
      </c>
      <c r="F132" t="n">
        <v>380</v>
      </c>
      <c r="G132" t="inlineStr">
        <is>
          <t>INV-10594</t>
        </is>
      </c>
      <c r="H132" s="51" t="n">
        <v>46260</v>
      </c>
      <c r="I132" t="n">
        <v>380</v>
      </c>
      <c r="J132" t="n">
        <v>0</v>
      </c>
      <c r="K132" t="inlineStr">
        <is>
          <t>Agrees</t>
        </is>
      </c>
      <c r="N132" t="inlineStr">
        <is>
          <t>OK</t>
        </is>
      </c>
      <c r="O132" t="inlineStr">
        <is>
          <t>Elkiem - Studio Support - 25.8.26</t>
        </is>
      </c>
      <c r="P132" t="inlineStr">
        <is>
          <t>PRODUCTION</t>
        </is>
      </c>
      <c r="Q132" t="inlineStr">
        <is>
          <t>Project</t>
        </is>
      </c>
      <c r="R132" t="inlineStr">
        <is>
          <t>GST 10%</t>
        </is>
      </c>
      <c r="S132" t="inlineStr">
        <is>
          <t>42100</t>
        </is>
      </c>
      <c r="T132" t="inlineStr">
        <is>
          <t>6129</t>
        </is>
      </c>
      <c r="V132" t="n">
        <v>38</v>
      </c>
      <c r="W132" t="n">
        <v>418</v>
      </c>
      <c r="X132" s="51" t="n">
        <v>46265</v>
      </c>
      <c r="Y132" t="n">
        <v>1</v>
      </c>
      <c r="Z132" t="n">
        <v>380</v>
      </c>
      <c r="AA132" t="n">
        <v>380</v>
      </c>
      <c r="AB132" t="n">
        <v>44</v>
      </c>
      <c r="AD132" s="52">
        <f>IFERROR(N(IFERROR(INDEX($A132:$AB132,MATCH("Xero Invoiced Ex GST",$A$1:$AB$1,0)),"")),0)</f>
        <v/>
      </c>
      <c r="AE132" s="53">
        <f>IFERROR(INDEX($A132:$AB132,MATCH("Xero Invoice Date",$A$1:$AB$1,0)),"")</f>
        <v/>
      </c>
      <c r="AF132" s="54">
        <f>IF(AND(IFERROR(INDEX($A132:$AB132,MATCH("Xero Invoice No",$A$1:$AB$1,0)),"")&amp;""&lt;&gt;"",ISNUMBER(AE132),AD132&lt;&gt;0),1,0)</f>
        <v/>
      </c>
      <c r="AG132" s="55">
        <f>IF(AF132=1,EOMONTH(AE132,0),"")</f>
        <v/>
      </c>
      <c r="AH132" s="9">
        <f>IF(AF132=1,UPPER(TRIM(IFERROR(INDEX($A132:$AB132,MATCH("Client",$A$1:$AB$1,0)),"")&amp;"")),"")</f>
        <v/>
      </c>
      <c r="AI132" s="9">
        <f>IF(AF132=1,IFERROR(INDEX($A132:$AB132,MATCH("Cost Centre",$A$1:$AB$1,0)),"")&amp;"","")</f>
        <v/>
      </c>
      <c r="AJ132" s="54">
        <f>IF(AND(AF132=1,AE132&gt;=set_FYStart,AE132&lt;=set_AsAt),1,0)</f>
        <v/>
      </c>
      <c r="AK132" s="54">
        <f>IF(AND(AJ132=1,AH132&lt;&gt;"",COUNTIFS($AH$2:AH132,AH132,$AJ$2:AJ132,1)=1),N(AL131)+1,"")</f>
        <v/>
      </c>
      <c r="AL132" s="54">
        <f>IF(AK132&lt;&gt;"",AK132,N(AL131))</f>
        <v/>
      </c>
    </row>
    <row r="133">
      <c r="A133" t="inlineStr">
        <is>
          <t>CON-0044</t>
        </is>
      </c>
      <c r="B133" t="inlineStr">
        <is>
          <t>Consulting</t>
        </is>
      </c>
      <c r="AB133" t="n">
        <v>44</v>
      </c>
      <c r="AD133" s="52">
        <f>IFERROR(N(IFERROR(INDEX($A133:$AB133,MATCH("Xero Invoiced Ex GST",$A$1:$AB$1,0)),"")),0)</f>
        <v/>
      </c>
      <c r="AE133" s="53">
        <f>IFERROR(INDEX($A133:$AB133,MATCH("Xero Invoice Date",$A$1:$AB$1,0)),"")</f>
        <v/>
      </c>
      <c r="AF133" s="54">
        <f>IF(AND(IFERROR(INDEX($A133:$AB133,MATCH("Xero Invoice No",$A$1:$AB$1,0)),"")&amp;""&lt;&gt;"",ISNUMBER(AE133),AD133&lt;&gt;0),1,0)</f>
        <v/>
      </c>
      <c r="AG133" s="55">
        <f>IF(AF133=1,EOMONTH(AE133,0),"")</f>
        <v/>
      </c>
      <c r="AH133" s="9">
        <f>IF(AF133=1,UPPER(TRIM(IFERROR(INDEX($A133:$AB133,MATCH("Client",$A$1:$AB$1,0)),"")&amp;"")),"")</f>
        <v/>
      </c>
      <c r="AI133" s="9">
        <f>IF(AF133=1,IFERROR(INDEX($A133:$AB133,MATCH("Cost Centre",$A$1:$AB$1,0)),"")&amp;"","")</f>
        <v/>
      </c>
      <c r="AJ133" s="54">
        <f>IF(AND(AF133=1,AE133&gt;=set_FYStart,AE133&lt;=set_AsAt),1,0)</f>
        <v/>
      </c>
      <c r="AK133" s="54">
        <f>IF(AND(AJ133=1,AH133&lt;&gt;"",COUNTIFS($AH$2:AH133,AH133,$AJ$2:AJ133,1)=1),N(AL132)+1,"")</f>
        <v/>
      </c>
      <c r="AL133" s="54">
        <f>IF(AK133&lt;&gt;"",AK133,N(AL132))</f>
        <v/>
      </c>
    </row>
    <row r="134">
      <c r="A134" t="inlineStr">
        <is>
          <t>ONS-0045</t>
        </is>
      </c>
      <c r="B134" t="inlineStr">
        <is>
          <t>Onsite</t>
        </is>
      </c>
      <c r="C134" t="inlineStr">
        <is>
          <t>587</t>
        </is>
      </c>
      <c r="D134" t="inlineStr">
        <is>
          <t>CBA</t>
        </is>
      </c>
      <c r="E134" t="inlineStr">
        <is>
          <t>85720001CBSCSJUN27</t>
        </is>
      </c>
      <c r="F134" t="n">
        <v>10197.88</v>
      </c>
      <c r="G134" t="inlineStr">
        <is>
          <t>INV-10613</t>
        </is>
      </c>
      <c r="H134" s="51" t="n">
        <v>46265</v>
      </c>
      <c r="I134" t="n">
        <v>10197.88</v>
      </c>
      <c r="J134" t="n">
        <v>0</v>
      </c>
      <c r="K134" t="inlineStr">
        <is>
          <t>Agrees</t>
        </is>
      </c>
      <c r="N134" t="inlineStr">
        <is>
          <t>OK</t>
        </is>
      </c>
      <c r="O134" t="inlineStr">
        <is>
          <t>CBA Tech TN</t>
        </is>
      </c>
      <c r="P134" t="inlineStr">
        <is>
          <t>ONSITE</t>
        </is>
      </c>
      <c r="Q134" t="inlineStr">
        <is>
          <t>Contract</t>
        </is>
      </c>
      <c r="R134" t="inlineStr">
        <is>
          <t>GST 10%</t>
        </is>
      </c>
      <c r="S134" t="inlineStr">
        <is>
          <t>41100</t>
        </is>
      </c>
      <c r="V134" t="n">
        <v>1019.79</v>
      </c>
      <c r="W134" t="n">
        <v>11217.67</v>
      </c>
      <c r="X134" s="51" t="n">
        <v>46265</v>
      </c>
      <c r="Y134" t="n">
        <v>4</v>
      </c>
      <c r="Z134" t="n">
        <v>31637.88</v>
      </c>
      <c r="AA134" t="n">
        <v>31637.88</v>
      </c>
      <c r="AB134" t="n">
        <v>45</v>
      </c>
      <c r="AD134" s="52">
        <f>IFERROR(N(IFERROR(INDEX($A134:$AB134,MATCH("Xero Invoiced Ex GST",$A$1:$AB$1,0)),"")),0)</f>
        <v/>
      </c>
      <c r="AE134" s="53">
        <f>IFERROR(INDEX($A134:$AB134,MATCH("Xero Invoice Date",$A$1:$AB$1,0)),"")</f>
        <v/>
      </c>
      <c r="AF134" s="54">
        <f>IF(AND(IFERROR(INDEX($A134:$AB134,MATCH("Xero Invoice No",$A$1:$AB$1,0)),"")&amp;""&lt;&gt;"",ISNUMBER(AE134),AD134&lt;&gt;0),1,0)</f>
        <v/>
      </c>
      <c r="AG134" s="55">
        <f>IF(AF134=1,EOMONTH(AE134,0),"")</f>
        <v/>
      </c>
      <c r="AH134" s="9">
        <f>IF(AF134=1,UPPER(TRIM(IFERROR(INDEX($A134:$AB134,MATCH("Client",$A$1:$AB$1,0)),"")&amp;"")),"")</f>
        <v/>
      </c>
      <c r="AI134" s="9">
        <f>IF(AF134=1,IFERROR(INDEX($A134:$AB134,MATCH("Cost Centre",$A$1:$AB$1,0)),"")&amp;"","")</f>
        <v/>
      </c>
      <c r="AJ134" s="54">
        <f>IF(AND(AF134=1,AE134&gt;=set_FYStart,AE134&lt;=set_AsAt),1,0)</f>
        <v/>
      </c>
      <c r="AK134" s="54">
        <f>IF(AND(AJ134=1,AH134&lt;&gt;"",COUNTIFS($AH$2:AH134,AH134,$AJ$2:AJ134,1)=1),N(AL133)+1,"")</f>
        <v/>
      </c>
      <c r="AL134" s="54">
        <f>IF(AK134&lt;&gt;"",AK134,N(AL133))</f>
        <v/>
      </c>
    </row>
    <row r="135">
      <c r="A135" t="inlineStr">
        <is>
          <t>PRD-0045</t>
        </is>
      </c>
      <c r="B135" t="inlineStr">
        <is>
          <t>Production</t>
        </is>
      </c>
      <c r="C135" t="inlineStr">
        <is>
          <t>2608702</t>
        </is>
      </c>
      <c r="D135" t="inlineStr">
        <is>
          <t xml:space="preserve">APA </t>
        </is>
      </c>
      <c r="E135" t="inlineStr">
        <is>
          <t>APA FYR Town Hall Screen Hire 20.8.26</t>
        </is>
      </c>
      <c r="F135" t="n">
        <v>830</v>
      </c>
      <c r="G135" t="inlineStr">
        <is>
          <t>INV-10592</t>
        </is>
      </c>
      <c r="H135" s="51" t="n">
        <v>46260</v>
      </c>
      <c r="I135" t="n">
        <v>830</v>
      </c>
      <c r="J135" t="n">
        <v>0</v>
      </c>
      <c r="K135" t="inlineStr">
        <is>
          <t>Agrees</t>
        </is>
      </c>
      <c r="N135" t="inlineStr">
        <is>
          <t>OK</t>
        </is>
      </c>
      <c r="O135" t="inlineStr">
        <is>
          <t>APA - Qtly All Hands SYD Screen Hire - 20.8.26</t>
        </is>
      </c>
      <c r="P135" t="inlineStr">
        <is>
          <t>PRODUCTION</t>
        </is>
      </c>
      <c r="Q135" t="inlineStr">
        <is>
          <t>Project</t>
        </is>
      </c>
      <c r="R135" t="inlineStr">
        <is>
          <t>GST 10%</t>
        </is>
      </c>
      <c r="S135" t="inlineStr">
        <is>
          <t>42100</t>
        </is>
      </c>
      <c r="T135" t="inlineStr">
        <is>
          <t>6149</t>
        </is>
      </c>
      <c r="V135" t="n">
        <v>83</v>
      </c>
      <c r="W135" t="n">
        <v>913</v>
      </c>
      <c r="X135" s="51" t="n">
        <v>46265</v>
      </c>
      <c r="Y135" t="n">
        <v>1</v>
      </c>
      <c r="Z135" t="n">
        <v>830</v>
      </c>
      <c r="AA135" t="n">
        <v>830</v>
      </c>
      <c r="AB135" t="n">
        <v>45</v>
      </c>
      <c r="AD135" s="52">
        <f>IFERROR(N(IFERROR(INDEX($A135:$AB135,MATCH("Xero Invoiced Ex GST",$A$1:$AB$1,0)),"")),0)</f>
        <v/>
      </c>
      <c r="AE135" s="53">
        <f>IFERROR(INDEX($A135:$AB135,MATCH("Xero Invoice Date",$A$1:$AB$1,0)),"")</f>
        <v/>
      </c>
      <c r="AF135" s="54">
        <f>IF(AND(IFERROR(INDEX($A135:$AB135,MATCH("Xero Invoice No",$A$1:$AB$1,0)),"")&amp;""&lt;&gt;"",ISNUMBER(AE135),AD135&lt;&gt;0),1,0)</f>
        <v/>
      </c>
      <c r="AG135" s="55">
        <f>IF(AF135=1,EOMONTH(AE135,0),"")</f>
        <v/>
      </c>
      <c r="AH135" s="9">
        <f>IF(AF135=1,UPPER(TRIM(IFERROR(INDEX($A135:$AB135,MATCH("Client",$A$1:$AB$1,0)),"")&amp;"")),"")</f>
        <v/>
      </c>
      <c r="AI135" s="9">
        <f>IF(AF135=1,IFERROR(INDEX($A135:$AB135,MATCH("Cost Centre",$A$1:$AB$1,0)),"")&amp;"","")</f>
        <v/>
      </c>
      <c r="AJ135" s="54">
        <f>IF(AND(AF135=1,AE135&gt;=set_FYStart,AE135&lt;=set_AsAt),1,0)</f>
        <v/>
      </c>
      <c r="AK135" s="54">
        <f>IF(AND(AJ135=1,AH135&lt;&gt;"",COUNTIFS($AH$2:AH135,AH135,$AJ$2:AJ135,1)=1),N(AL134)+1,"")</f>
        <v/>
      </c>
      <c r="AL135" s="54">
        <f>IF(AK135&lt;&gt;"",AK135,N(AL134))</f>
        <v/>
      </c>
    </row>
    <row r="136">
      <c r="A136" t="inlineStr">
        <is>
          <t>CON-0045</t>
        </is>
      </c>
      <c r="B136" t="inlineStr">
        <is>
          <t>Consulting</t>
        </is>
      </c>
      <c r="AB136" t="n">
        <v>45</v>
      </c>
      <c r="AD136" s="52">
        <f>IFERROR(N(IFERROR(INDEX($A136:$AB136,MATCH("Xero Invoiced Ex GST",$A$1:$AB$1,0)),"")),0)</f>
        <v/>
      </c>
      <c r="AE136" s="53">
        <f>IFERROR(INDEX($A136:$AB136,MATCH("Xero Invoice Date",$A$1:$AB$1,0)),"")</f>
        <v/>
      </c>
      <c r="AF136" s="54">
        <f>IF(AND(IFERROR(INDEX($A136:$AB136,MATCH("Xero Invoice No",$A$1:$AB$1,0)),"")&amp;""&lt;&gt;"",ISNUMBER(AE136),AD136&lt;&gt;0),1,0)</f>
        <v/>
      </c>
      <c r="AG136" s="55">
        <f>IF(AF136=1,EOMONTH(AE136,0),"")</f>
        <v/>
      </c>
      <c r="AH136" s="9">
        <f>IF(AF136=1,UPPER(TRIM(IFERROR(INDEX($A136:$AB136,MATCH("Client",$A$1:$AB$1,0)),"")&amp;"")),"")</f>
        <v/>
      </c>
      <c r="AI136" s="9">
        <f>IF(AF136=1,IFERROR(INDEX($A136:$AB136,MATCH("Cost Centre",$A$1:$AB$1,0)),"")&amp;"","")</f>
        <v/>
      </c>
      <c r="AJ136" s="54">
        <f>IF(AND(AF136=1,AE136&gt;=set_FYStart,AE136&lt;=set_AsAt),1,0)</f>
        <v/>
      </c>
      <c r="AK136" s="54">
        <f>IF(AND(AJ136=1,AH136&lt;&gt;"",COUNTIFS($AH$2:AH136,AH136,$AJ$2:AJ136,1)=1),N(AL135)+1,"")</f>
        <v/>
      </c>
      <c r="AL136" s="54">
        <f>IF(AK136&lt;&gt;"",AK136,N(AL135))</f>
        <v/>
      </c>
    </row>
    <row r="137">
      <c r="A137" t="inlineStr">
        <is>
          <t>ONS-0046</t>
        </is>
      </c>
      <c r="B137" t="inlineStr">
        <is>
          <t>Onsite</t>
        </is>
      </c>
      <c r="C137" t="inlineStr">
        <is>
          <t>1668</t>
        </is>
      </c>
      <c r="D137" t="inlineStr">
        <is>
          <t>CBA</t>
        </is>
      </c>
      <c r="E137" t="inlineStr">
        <is>
          <t>85720001CBPSCSJUN27 DEDICATED TECH</t>
        </is>
      </c>
      <c r="F137" t="n">
        <v>170</v>
      </c>
      <c r="G137" t="inlineStr">
        <is>
          <t>INV-10602</t>
        </is>
      </c>
      <c r="H137" s="51" t="n">
        <v>46265</v>
      </c>
      <c r="I137" t="n">
        <v>170</v>
      </c>
      <c r="J137" t="n">
        <v>0</v>
      </c>
      <c r="K137" t="inlineStr">
        <is>
          <t>Agrees</t>
        </is>
      </c>
      <c r="N137" t="inlineStr">
        <is>
          <t>OK</t>
        </is>
      </c>
      <c r="O137" t="inlineStr">
        <is>
          <t>CBA Dedicated Tech</t>
        </is>
      </c>
      <c r="P137" t="inlineStr">
        <is>
          <t>ONSITE</t>
        </is>
      </c>
      <c r="Q137" t="inlineStr">
        <is>
          <t>Contract</t>
        </is>
      </c>
      <c r="R137" t="inlineStr">
        <is>
          <t>GST 10%</t>
        </is>
      </c>
      <c r="S137" t="inlineStr">
        <is>
          <t>41100</t>
        </is>
      </c>
      <c r="V137" t="n">
        <v>17</v>
      </c>
      <c r="W137" t="n">
        <v>187</v>
      </c>
      <c r="X137" s="51" t="n">
        <v>46265</v>
      </c>
      <c r="Y137" t="n">
        <v>12</v>
      </c>
      <c r="Z137" t="n">
        <v>5290</v>
      </c>
      <c r="AA137" t="n">
        <v>5290</v>
      </c>
      <c r="AB137" t="n">
        <v>46</v>
      </c>
      <c r="AD137" s="52">
        <f>IFERROR(N(IFERROR(INDEX($A137:$AB137,MATCH("Xero Invoiced Ex GST",$A$1:$AB$1,0)),"")),0)</f>
        <v/>
      </c>
      <c r="AE137" s="53">
        <f>IFERROR(INDEX($A137:$AB137,MATCH("Xero Invoice Date",$A$1:$AB$1,0)),"")</f>
        <v/>
      </c>
      <c r="AF137" s="54">
        <f>IF(AND(IFERROR(INDEX($A137:$AB137,MATCH("Xero Invoice No",$A$1:$AB$1,0)),"")&amp;""&lt;&gt;"",ISNUMBER(AE137),AD137&lt;&gt;0),1,0)</f>
        <v/>
      </c>
      <c r="AG137" s="55">
        <f>IF(AF137=1,EOMONTH(AE137,0),"")</f>
        <v/>
      </c>
      <c r="AH137" s="9">
        <f>IF(AF137=1,UPPER(TRIM(IFERROR(INDEX($A137:$AB137,MATCH("Client",$A$1:$AB$1,0)),"")&amp;"")),"")</f>
        <v/>
      </c>
      <c r="AI137" s="9">
        <f>IF(AF137=1,IFERROR(INDEX($A137:$AB137,MATCH("Cost Centre",$A$1:$AB$1,0)),"")&amp;"","")</f>
        <v/>
      </c>
      <c r="AJ137" s="54">
        <f>IF(AND(AF137=1,AE137&gt;=set_FYStart,AE137&lt;=set_AsAt),1,0)</f>
        <v/>
      </c>
      <c r="AK137" s="54">
        <f>IF(AND(AJ137=1,AH137&lt;&gt;"",COUNTIFS($AH$2:AH137,AH137,$AJ$2:AJ137,1)=1),N(AL136)+1,"")</f>
        <v/>
      </c>
      <c r="AL137" s="54">
        <f>IF(AK137&lt;&gt;"",AK137,N(AL136))</f>
        <v/>
      </c>
    </row>
    <row r="138">
      <c r="A138" t="inlineStr">
        <is>
          <t>PRD-0046</t>
        </is>
      </c>
      <c r="B138" t="inlineStr">
        <is>
          <t>Production</t>
        </is>
      </c>
      <c r="C138" t="inlineStr">
        <is>
          <t>2606903</t>
        </is>
      </c>
      <c r="D138" t="inlineStr">
        <is>
          <t>Virgin - BNE</t>
        </is>
      </c>
      <c r="E138" t="inlineStr">
        <is>
          <t>FY26 Results - 28.8.26</t>
        </is>
      </c>
      <c r="F138" t="n">
        <v>13389.5</v>
      </c>
      <c r="G138" t="inlineStr">
        <is>
          <t>INV-10617</t>
        </is>
      </c>
      <c r="H138" s="51" t="n">
        <v>46265</v>
      </c>
      <c r="I138" t="n">
        <v>13389.5</v>
      </c>
      <c r="J138" t="n">
        <v>0</v>
      </c>
      <c r="K138" t="inlineStr">
        <is>
          <t>Agrees</t>
        </is>
      </c>
      <c r="N138" t="inlineStr">
        <is>
          <t>OK</t>
        </is>
      </c>
      <c r="O138" t="inlineStr">
        <is>
          <t>Virgin FY26 Results</t>
        </is>
      </c>
      <c r="P138" t="inlineStr">
        <is>
          <t>PRODUCTION</t>
        </is>
      </c>
      <c r="Q138" t="inlineStr">
        <is>
          <t>Project</t>
        </is>
      </c>
      <c r="R138" t="inlineStr">
        <is>
          <t>GST 10%</t>
        </is>
      </c>
      <c r="S138" t="inlineStr">
        <is>
          <t>42100</t>
        </is>
      </c>
      <c r="T138" t="inlineStr">
        <is>
          <t>6024</t>
        </is>
      </c>
      <c r="V138" t="n">
        <v>1338.95</v>
      </c>
      <c r="W138" t="n">
        <v>14728.45</v>
      </c>
      <c r="X138" s="51" t="n">
        <v>46265</v>
      </c>
      <c r="Y138" t="n">
        <v>1</v>
      </c>
      <c r="Z138" t="n">
        <v>13389.5</v>
      </c>
      <c r="AA138" t="n">
        <v>13389.5</v>
      </c>
      <c r="AB138" t="n">
        <v>46</v>
      </c>
      <c r="AD138" s="52">
        <f>IFERROR(N(IFERROR(INDEX($A138:$AB138,MATCH("Xero Invoiced Ex GST",$A$1:$AB$1,0)),"")),0)</f>
        <v/>
      </c>
      <c r="AE138" s="53">
        <f>IFERROR(INDEX($A138:$AB138,MATCH("Xero Invoice Date",$A$1:$AB$1,0)),"")</f>
        <v/>
      </c>
      <c r="AF138" s="54">
        <f>IF(AND(IFERROR(INDEX($A138:$AB138,MATCH("Xero Invoice No",$A$1:$AB$1,0)),"")&amp;""&lt;&gt;"",ISNUMBER(AE138),AD138&lt;&gt;0),1,0)</f>
        <v/>
      </c>
      <c r="AG138" s="55">
        <f>IF(AF138=1,EOMONTH(AE138,0),"")</f>
        <v/>
      </c>
      <c r="AH138" s="9">
        <f>IF(AF138=1,UPPER(TRIM(IFERROR(INDEX($A138:$AB138,MATCH("Client",$A$1:$AB$1,0)),"")&amp;"")),"")</f>
        <v/>
      </c>
      <c r="AI138" s="9">
        <f>IF(AF138=1,IFERROR(INDEX($A138:$AB138,MATCH("Cost Centre",$A$1:$AB$1,0)),"")&amp;"","")</f>
        <v/>
      </c>
      <c r="AJ138" s="54">
        <f>IF(AND(AF138=1,AE138&gt;=set_FYStart,AE138&lt;=set_AsAt),1,0)</f>
        <v/>
      </c>
      <c r="AK138" s="54">
        <f>IF(AND(AJ138=1,AH138&lt;&gt;"",COUNTIFS($AH$2:AH138,AH138,$AJ$2:AJ138,1)=1),N(AL137)+1,"")</f>
        <v/>
      </c>
      <c r="AL138" s="54">
        <f>IF(AK138&lt;&gt;"",AK138,N(AL137))</f>
        <v/>
      </c>
    </row>
    <row r="139">
      <c r="A139" t="inlineStr">
        <is>
          <t>CON-0046</t>
        </is>
      </c>
      <c r="B139" t="inlineStr">
        <is>
          <t>Consulting</t>
        </is>
      </c>
      <c r="AB139" t="n">
        <v>46</v>
      </c>
      <c r="AD139" s="52">
        <f>IFERROR(N(IFERROR(INDEX($A139:$AB139,MATCH("Xero Invoiced Ex GST",$A$1:$AB$1,0)),"")),0)</f>
        <v/>
      </c>
      <c r="AE139" s="53">
        <f>IFERROR(INDEX($A139:$AB139,MATCH("Xero Invoice Date",$A$1:$AB$1,0)),"")</f>
        <v/>
      </c>
      <c r="AF139" s="54">
        <f>IF(AND(IFERROR(INDEX($A139:$AB139,MATCH("Xero Invoice No",$A$1:$AB$1,0)),"")&amp;""&lt;&gt;"",ISNUMBER(AE139),AD139&lt;&gt;0),1,0)</f>
        <v/>
      </c>
      <c r="AG139" s="55">
        <f>IF(AF139=1,EOMONTH(AE139,0),"")</f>
        <v/>
      </c>
      <c r="AH139" s="9">
        <f>IF(AF139=1,UPPER(TRIM(IFERROR(INDEX($A139:$AB139,MATCH("Client",$A$1:$AB$1,0)),"")&amp;"")),"")</f>
        <v/>
      </c>
      <c r="AI139" s="9">
        <f>IF(AF139=1,IFERROR(INDEX($A139:$AB139,MATCH("Cost Centre",$A$1:$AB$1,0)),"")&amp;"","")</f>
        <v/>
      </c>
      <c r="AJ139" s="54">
        <f>IF(AND(AF139=1,AE139&gt;=set_FYStart,AE139&lt;=set_AsAt),1,0)</f>
        <v/>
      </c>
      <c r="AK139" s="54">
        <f>IF(AND(AJ139=1,AH139&lt;&gt;"",COUNTIFS($AH$2:AH139,AH139,$AJ$2:AJ139,1)=1),N(AL138)+1,"")</f>
        <v/>
      </c>
      <c r="AL139" s="54">
        <f>IF(AK139&lt;&gt;"",AK139,N(AL138))</f>
        <v/>
      </c>
    </row>
    <row r="140">
      <c r="A140" t="inlineStr">
        <is>
          <t>ONS-0047</t>
        </is>
      </c>
      <c r="B140" t="inlineStr">
        <is>
          <t>Onsite</t>
        </is>
      </c>
      <c r="C140" t="inlineStr">
        <is>
          <t>2880</t>
        </is>
      </c>
      <c r="D140" t="inlineStr">
        <is>
          <t>Ricoh Australia Pty Ltd</t>
        </is>
      </c>
      <c r="E140" t="inlineStr">
        <is>
          <t>CONTRACT</t>
        </is>
      </c>
      <c r="F140" t="n">
        <v>11860.56</v>
      </c>
      <c r="G140" t="inlineStr">
        <is>
          <t>INV-10618</t>
        </is>
      </c>
      <c r="H140" s="51" t="n">
        <v>46265</v>
      </c>
      <c r="I140" t="n">
        <v>11860.56</v>
      </c>
      <c r="J140" t="n">
        <v>0</v>
      </c>
      <c r="K140" t="inlineStr">
        <is>
          <t>Agrees</t>
        </is>
      </c>
      <c r="N140" t="inlineStr">
        <is>
          <t>OK</t>
        </is>
      </c>
      <c r="O140" t="inlineStr">
        <is>
          <t>Ricoh - QANTAS</t>
        </is>
      </c>
      <c r="P140" t="inlineStr">
        <is>
          <t>ONSITE</t>
        </is>
      </c>
      <c r="Q140" t="inlineStr">
        <is>
          <t>Contract</t>
        </is>
      </c>
      <c r="R140" t="inlineStr">
        <is>
          <t>GST 10%</t>
        </is>
      </c>
      <c r="S140" t="inlineStr">
        <is>
          <t>41100</t>
        </is>
      </c>
      <c r="V140" t="n">
        <v>1186.06</v>
      </c>
      <c r="W140" t="n">
        <v>13046.62</v>
      </c>
      <c r="X140" s="51" t="n">
        <v>46265</v>
      </c>
      <c r="Y140" t="n">
        <v>2</v>
      </c>
      <c r="Z140" t="n">
        <v>23721.06</v>
      </c>
      <c r="AA140" t="n">
        <v>23721.12</v>
      </c>
      <c r="AB140" t="n">
        <v>47</v>
      </c>
      <c r="AD140" s="52">
        <f>IFERROR(N(IFERROR(INDEX($A140:$AB140,MATCH("Xero Invoiced Ex GST",$A$1:$AB$1,0)),"")),0)</f>
        <v/>
      </c>
      <c r="AE140" s="53">
        <f>IFERROR(INDEX($A140:$AB140,MATCH("Xero Invoice Date",$A$1:$AB$1,0)),"")</f>
        <v/>
      </c>
      <c r="AF140" s="54">
        <f>IF(AND(IFERROR(INDEX($A140:$AB140,MATCH("Xero Invoice No",$A$1:$AB$1,0)),"")&amp;""&lt;&gt;"",ISNUMBER(AE140),AD140&lt;&gt;0),1,0)</f>
        <v/>
      </c>
      <c r="AG140" s="55">
        <f>IF(AF140=1,EOMONTH(AE140,0),"")</f>
        <v/>
      </c>
      <c r="AH140" s="9">
        <f>IF(AF140=1,UPPER(TRIM(IFERROR(INDEX($A140:$AB140,MATCH("Client",$A$1:$AB$1,0)),"")&amp;"")),"")</f>
        <v/>
      </c>
      <c r="AI140" s="9">
        <f>IF(AF140=1,IFERROR(INDEX($A140:$AB140,MATCH("Cost Centre",$A$1:$AB$1,0)),"")&amp;"","")</f>
        <v/>
      </c>
      <c r="AJ140" s="54">
        <f>IF(AND(AF140=1,AE140&gt;=set_FYStart,AE140&lt;=set_AsAt),1,0)</f>
        <v/>
      </c>
      <c r="AK140" s="54">
        <f>IF(AND(AJ140=1,AH140&lt;&gt;"",COUNTIFS($AH$2:AH140,AH140,$AJ$2:AJ140,1)=1),N(AL139)+1,"")</f>
        <v/>
      </c>
      <c r="AL140" s="54">
        <f>IF(AK140&lt;&gt;"",AK140,N(AL139))</f>
        <v/>
      </c>
    </row>
    <row r="141">
      <c r="A141" t="inlineStr">
        <is>
          <t>PRD-0047</t>
        </is>
      </c>
      <c r="B141" t="inlineStr">
        <is>
          <t>Production</t>
        </is>
      </c>
      <c r="C141" t="inlineStr">
        <is>
          <t>26072003</t>
        </is>
      </c>
      <c r="D141" t="inlineStr">
        <is>
          <t>CBA</t>
        </is>
      </c>
      <c r="E141" t="inlineStr">
        <is>
          <t>CBA - Live Event Support - August</t>
        </is>
      </c>
      <c r="F141" t="n">
        <v>3990</v>
      </c>
      <c r="G141" t="inlineStr">
        <is>
          <t>INV-10616</t>
        </is>
      </c>
      <c r="H141" s="51" t="n">
        <v>46265</v>
      </c>
      <c r="I141" t="n">
        <v>3990</v>
      </c>
      <c r="J141" t="n">
        <v>0</v>
      </c>
      <c r="K141" t="inlineStr">
        <is>
          <t>Agrees</t>
        </is>
      </c>
      <c r="N141" t="inlineStr">
        <is>
          <t>OK</t>
        </is>
      </c>
      <c r="O141" t="inlineStr">
        <is>
          <t>CBA Live Event Support August 2026</t>
        </is>
      </c>
      <c r="P141" t="inlineStr">
        <is>
          <t>PRODUCTION</t>
        </is>
      </c>
      <c r="Q141" t="inlineStr">
        <is>
          <t>Project</t>
        </is>
      </c>
      <c r="R141" t="inlineStr">
        <is>
          <t>GST 10%</t>
        </is>
      </c>
      <c r="S141" t="inlineStr">
        <is>
          <t>42100</t>
        </is>
      </c>
      <c r="T141" t="inlineStr">
        <is>
          <t>6169</t>
        </is>
      </c>
      <c r="V141" t="n">
        <v>399</v>
      </c>
      <c r="W141" t="n">
        <v>4389</v>
      </c>
      <c r="X141" s="51" t="n">
        <v>46265</v>
      </c>
      <c r="Y141" t="n">
        <v>1</v>
      </c>
      <c r="Z141" t="n">
        <v>3990</v>
      </c>
      <c r="AA141" t="n">
        <v>3990</v>
      </c>
      <c r="AB141" t="n">
        <v>47</v>
      </c>
      <c r="AD141" s="52">
        <f>IFERROR(N(IFERROR(INDEX($A141:$AB141,MATCH("Xero Invoiced Ex GST",$A$1:$AB$1,0)),"")),0)</f>
        <v/>
      </c>
      <c r="AE141" s="53">
        <f>IFERROR(INDEX($A141:$AB141,MATCH("Xero Invoice Date",$A$1:$AB$1,0)),"")</f>
        <v/>
      </c>
      <c r="AF141" s="54">
        <f>IF(AND(IFERROR(INDEX($A141:$AB141,MATCH("Xero Invoice No",$A$1:$AB$1,0)),"")&amp;""&lt;&gt;"",ISNUMBER(AE141),AD141&lt;&gt;0),1,0)</f>
        <v/>
      </c>
      <c r="AG141" s="55">
        <f>IF(AF141=1,EOMONTH(AE141,0),"")</f>
        <v/>
      </c>
      <c r="AH141" s="9">
        <f>IF(AF141=1,UPPER(TRIM(IFERROR(INDEX($A141:$AB141,MATCH("Client",$A$1:$AB$1,0)),"")&amp;"")),"")</f>
        <v/>
      </c>
      <c r="AI141" s="9">
        <f>IF(AF141=1,IFERROR(INDEX($A141:$AB141,MATCH("Cost Centre",$A$1:$AB$1,0)),"")&amp;"","")</f>
        <v/>
      </c>
      <c r="AJ141" s="54">
        <f>IF(AND(AF141=1,AE141&gt;=set_FYStart,AE141&lt;=set_AsAt),1,0)</f>
        <v/>
      </c>
      <c r="AK141" s="54">
        <f>IF(AND(AJ141=1,AH141&lt;&gt;"",COUNTIFS($AH$2:AH141,AH141,$AJ$2:AJ141,1)=1),N(AL140)+1,"")</f>
        <v/>
      </c>
      <c r="AL141" s="54">
        <f>IF(AK141&lt;&gt;"",AK141,N(AL140))</f>
        <v/>
      </c>
    </row>
    <row r="142">
      <c r="A142" t="inlineStr">
        <is>
          <t>CON-0047</t>
        </is>
      </c>
      <c r="B142" t="inlineStr">
        <is>
          <t>Consulting</t>
        </is>
      </c>
      <c r="AB142" t="n">
        <v>47</v>
      </c>
      <c r="AD142" s="52">
        <f>IFERROR(N(IFERROR(INDEX($A142:$AB142,MATCH("Xero Invoiced Ex GST",$A$1:$AB$1,0)),"")),0)</f>
        <v/>
      </c>
      <c r="AE142" s="53">
        <f>IFERROR(INDEX($A142:$AB142,MATCH("Xero Invoice Date",$A$1:$AB$1,0)),"")</f>
        <v/>
      </c>
      <c r="AF142" s="54">
        <f>IF(AND(IFERROR(INDEX($A142:$AB142,MATCH("Xero Invoice No",$A$1:$AB$1,0)),"")&amp;""&lt;&gt;"",ISNUMBER(AE142),AD142&lt;&gt;0),1,0)</f>
        <v/>
      </c>
      <c r="AG142" s="55">
        <f>IF(AF142=1,EOMONTH(AE142,0),"")</f>
        <v/>
      </c>
      <c r="AH142" s="9">
        <f>IF(AF142=1,UPPER(TRIM(IFERROR(INDEX($A142:$AB142,MATCH("Client",$A$1:$AB$1,0)),"")&amp;"")),"")</f>
        <v/>
      </c>
      <c r="AI142" s="9">
        <f>IF(AF142=1,IFERROR(INDEX($A142:$AB142,MATCH("Cost Centre",$A$1:$AB$1,0)),"")&amp;"","")</f>
        <v/>
      </c>
      <c r="AJ142" s="54">
        <f>IF(AND(AF142=1,AE142&gt;=set_FYStart,AE142&lt;=set_AsAt),1,0)</f>
        <v/>
      </c>
      <c r="AK142" s="54">
        <f>IF(AND(AJ142=1,AH142&lt;&gt;"",COUNTIFS($AH$2:AH142,AH142,$AJ$2:AJ142,1)=1),N(AL141)+1,"")</f>
        <v/>
      </c>
      <c r="AL142" s="54">
        <f>IF(AK142&lt;&gt;"",AK142,N(AL141))</f>
        <v/>
      </c>
    </row>
    <row r="143">
      <c r="A143" t="inlineStr">
        <is>
          <t>ONS-0048</t>
        </is>
      </c>
      <c r="B143" t="inlineStr">
        <is>
          <t>Onsite</t>
        </is>
      </c>
      <c r="C143" t="inlineStr">
        <is>
          <t xml:space="preserve">To start invoicing in October </t>
        </is>
      </c>
      <c r="D143" t="inlineStr">
        <is>
          <t>DTTL</t>
        </is>
      </c>
      <c r="E143" t="inlineStr">
        <is>
          <t>Perth AV &amp; Hospitality Technician (SEP26-FEB27)</t>
        </is>
      </c>
      <c r="F143" t="n">
        <v>13600</v>
      </c>
      <c r="G143" t="inlineStr">
        <is>
          <t>INV-10650</t>
        </is>
      </c>
      <c r="I143" t="n">
        <v>13600</v>
      </c>
      <c r="J143" t="n">
        <v>0</v>
      </c>
      <c r="K143" t="inlineStr">
        <is>
          <t>Agrees</t>
        </is>
      </c>
      <c r="L143" t="inlineStr">
        <is>
          <t>Job number not in the Xero job list; Invoice incomplete - needs Invoice No, a date and a number in Ex GST</t>
        </is>
      </c>
      <c r="N143" t="inlineStr">
        <is>
          <t>CHECK</t>
        </is>
      </c>
      <c r="P143" t="inlineStr">
        <is>
          <t>ONSITE</t>
        </is>
      </c>
      <c r="Q143" t="inlineStr">
        <is>
          <t>Ad-hoc</t>
        </is>
      </c>
      <c r="R143" t="inlineStr">
        <is>
          <t>GST 10%</t>
        </is>
      </c>
      <c r="S143" t="inlineStr">
        <is>
          <t>41100</t>
        </is>
      </c>
      <c r="U143" t="inlineStr">
        <is>
          <t>https://protect.checkpoint.com/v2/r04/___https://app.qwilr.com/%23/page/6a6fe5279de8ab6be4a65917___.Y3A0YTpjb3Jwb3JhdGV0ZWNobm9sb2d5c2VydmljZXNwdHlsdGQ6YzpvOmI1YjBhMWJiMjVjM2UxZGViYmNmN2MyYzg2MGMwOGIwOjc6YjdkZDo5NzUxYWEwYjZkNTAxZWIyMGNiNmQ4OWExM2E0Mm</t>
        </is>
      </c>
      <c r="V143" t="n">
        <v>1360</v>
      </c>
      <c r="W143" t="n">
        <v>14960</v>
      </c>
      <c r="Y143" t="n">
        <v>1</v>
      </c>
      <c r="Z143" t="n">
        <v>13600</v>
      </c>
      <c r="AA143" t="n">
        <v>13600</v>
      </c>
      <c r="AB143" t="n">
        <v>48</v>
      </c>
      <c r="AD143" s="52">
        <f>IFERROR(N(IFERROR(INDEX($A143:$AB143,MATCH("Xero Invoiced Ex GST",$A$1:$AB$1,0)),"")),0)</f>
        <v/>
      </c>
      <c r="AE143" s="53">
        <f>IFERROR(INDEX($A143:$AB143,MATCH("Xero Invoice Date",$A$1:$AB$1,0)),"")</f>
        <v/>
      </c>
      <c r="AF143" s="54">
        <f>IF(AND(IFERROR(INDEX($A143:$AB143,MATCH("Xero Invoice No",$A$1:$AB$1,0)),"")&amp;""&lt;&gt;"",ISNUMBER(AE143),AD143&lt;&gt;0),1,0)</f>
        <v/>
      </c>
      <c r="AG143" s="55">
        <f>IF(AF143=1,EOMONTH(AE143,0),"")</f>
        <v/>
      </c>
      <c r="AH143" s="9">
        <f>IF(AF143=1,UPPER(TRIM(IFERROR(INDEX($A143:$AB143,MATCH("Client",$A$1:$AB$1,0)),"")&amp;"")),"")</f>
        <v/>
      </c>
      <c r="AI143" s="9">
        <f>IF(AF143=1,IFERROR(INDEX($A143:$AB143,MATCH("Cost Centre",$A$1:$AB$1,0)),"")&amp;"","")</f>
        <v/>
      </c>
      <c r="AJ143" s="54">
        <f>IF(AND(AF143=1,AE143&gt;=set_FYStart,AE143&lt;=set_AsAt),1,0)</f>
        <v/>
      </c>
      <c r="AK143" s="54">
        <f>IF(AND(AJ143=1,AH143&lt;&gt;"",COUNTIFS($AH$2:AH143,AH143,$AJ$2:AJ143,1)=1),N(AL142)+1,"")</f>
        <v/>
      </c>
      <c r="AL143" s="54">
        <f>IF(AK143&lt;&gt;"",AK143,N(AL142))</f>
        <v/>
      </c>
    </row>
    <row r="144">
      <c r="A144" t="inlineStr">
        <is>
          <t>PRD-0048</t>
        </is>
      </c>
      <c r="B144" t="inlineStr">
        <is>
          <t>Production</t>
        </is>
      </c>
      <c r="C144" t="inlineStr">
        <is>
          <t>26061609/26061608/26061607/26061108</t>
        </is>
      </c>
      <c r="D144" t="inlineStr">
        <is>
          <t>APA</t>
        </is>
      </c>
      <c r="E144" t="inlineStr">
        <is>
          <t>APA - All Hands Package FY27 (PO-00030766)</t>
        </is>
      </c>
      <c r="F144" t="n">
        <v>49743.4</v>
      </c>
      <c r="G144" t="inlineStr">
        <is>
          <t>INV-10521</t>
        </is>
      </c>
      <c r="H144" s="51" t="n">
        <v>46218</v>
      </c>
      <c r="I144" t="n">
        <v>49743.4</v>
      </c>
      <c r="J144" t="n">
        <v>0</v>
      </c>
      <c r="K144" t="inlineStr">
        <is>
          <t>Agrees</t>
        </is>
      </c>
      <c r="L144" t="inlineStr">
        <is>
          <t>Job number not in the Xero job list</t>
        </is>
      </c>
      <c r="M144" t="inlineStr">
        <is>
          <t>Invoice date taken from the v2 tracker - check against Xero</t>
        </is>
      </c>
      <c r="N144" t="inlineStr">
        <is>
          <t>CHECK</t>
        </is>
      </c>
      <c r="P144" t="inlineStr">
        <is>
          <t>PRODUCTION</t>
        </is>
      </c>
      <c r="Q144" t="inlineStr">
        <is>
          <t>Project</t>
        </is>
      </c>
      <c r="R144" t="inlineStr">
        <is>
          <t>GST 10%</t>
        </is>
      </c>
      <c r="S144" t="inlineStr">
        <is>
          <t>42100</t>
        </is>
      </c>
      <c r="T144" t="inlineStr">
        <is>
          <t>Proj: 0017</t>
        </is>
      </c>
      <c r="V144" t="n">
        <v>4974.34</v>
      </c>
      <c r="W144" t="n">
        <v>54717.74</v>
      </c>
      <c r="X144" s="51" t="n">
        <v>46234</v>
      </c>
      <c r="Y144" t="n">
        <v>1</v>
      </c>
      <c r="Z144" t="n">
        <v>49743.4</v>
      </c>
      <c r="AA144" t="n">
        <v>49743.4</v>
      </c>
      <c r="AB144" t="n">
        <v>48</v>
      </c>
      <c r="AD144" s="52">
        <f>IFERROR(N(IFERROR(INDEX($A144:$AB144,MATCH("Xero Invoiced Ex GST",$A$1:$AB$1,0)),"")),0)</f>
        <v/>
      </c>
      <c r="AE144" s="53">
        <f>IFERROR(INDEX($A144:$AB144,MATCH("Xero Invoice Date",$A$1:$AB$1,0)),"")</f>
        <v/>
      </c>
      <c r="AF144" s="54">
        <f>IF(AND(IFERROR(INDEX($A144:$AB144,MATCH("Xero Invoice No",$A$1:$AB$1,0)),"")&amp;""&lt;&gt;"",ISNUMBER(AE144),AD144&lt;&gt;0),1,0)</f>
        <v/>
      </c>
      <c r="AG144" s="55">
        <f>IF(AF144=1,EOMONTH(AE144,0),"")</f>
        <v/>
      </c>
      <c r="AH144" s="9">
        <f>IF(AF144=1,UPPER(TRIM(IFERROR(INDEX($A144:$AB144,MATCH("Client",$A$1:$AB$1,0)),"")&amp;"")),"")</f>
        <v/>
      </c>
      <c r="AI144" s="9">
        <f>IF(AF144=1,IFERROR(INDEX($A144:$AB144,MATCH("Cost Centre",$A$1:$AB$1,0)),"")&amp;"","")</f>
        <v/>
      </c>
      <c r="AJ144" s="54">
        <f>IF(AND(AF144=1,AE144&gt;=set_FYStart,AE144&lt;=set_AsAt),1,0)</f>
        <v/>
      </c>
      <c r="AK144" s="54">
        <f>IF(AND(AJ144=1,AH144&lt;&gt;"",COUNTIFS($AH$2:AH144,AH144,$AJ$2:AJ144,1)=1),N(AL143)+1,"")</f>
        <v/>
      </c>
      <c r="AL144" s="54">
        <f>IF(AK144&lt;&gt;"",AK144,N(AL143))</f>
        <v/>
      </c>
    </row>
    <row r="145">
      <c r="A145" t="inlineStr">
        <is>
          <t>CON-0048</t>
        </is>
      </c>
      <c r="B145" t="inlineStr">
        <is>
          <t>Consulting</t>
        </is>
      </c>
      <c r="AB145" t="n">
        <v>48</v>
      </c>
      <c r="AD145" s="52">
        <f>IFERROR(N(IFERROR(INDEX($A145:$AB145,MATCH("Xero Invoiced Ex GST",$A$1:$AB$1,0)),"")),0)</f>
        <v/>
      </c>
      <c r="AE145" s="53">
        <f>IFERROR(INDEX($A145:$AB145,MATCH("Xero Invoice Date",$A$1:$AB$1,0)),"")</f>
        <v/>
      </c>
      <c r="AF145" s="54">
        <f>IF(AND(IFERROR(INDEX($A145:$AB145,MATCH("Xero Invoice No",$A$1:$AB$1,0)),"")&amp;""&lt;&gt;"",ISNUMBER(AE145),AD145&lt;&gt;0),1,0)</f>
        <v/>
      </c>
      <c r="AG145" s="55">
        <f>IF(AF145=1,EOMONTH(AE145,0),"")</f>
        <v/>
      </c>
      <c r="AH145" s="9">
        <f>IF(AF145=1,UPPER(TRIM(IFERROR(INDEX($A145:$AB145,MATCH("Client",$A$1:$AB$1,0)),"")&amp;"")),"")</f>
        <v/>
      </c>
      <c r="AI145" s="9">
        <f>IF(AF145=1,IFERROR(INDEX($A145:$AB145,MATCH("Cost Centre",$A$1:$AB$1,0)),"")&amp;"","")</f>
        <v/>
      </c>
      <c r="AJ145" s="54">
        <f>IF(AND(AF145=1,AE145&gt;=set_FYStart,AE145&lt;=set_AsAt),1,0)</f>
        <v/>
      </c>
      <c r="AK145" s="54">
        <f>IF(AND(AJ145=1,AH145&lt;&gt;"",COUNTIFS($AH$2:AH145,AH145,$AJ$2:AJ145,1)=1),N(AL144)+1,"")</f>
        <v/>
      </c>
      <c r="AL145" s="54">
        <f>IF(AK145&lt;&gt;"",AK145,N(AL144))</f>
        <v/>
      </c>
    </row>
    <row r="146">
      <c r="A146" t="inlineStr">
        <is>
          <t>ONS-0049</t>
        </is>
      </c>
      <c r="B146" t="inlineStr">
        <is>
          <t>Onsite</t>
        </is>
      </c>
      <c r="C146" t="inlineStr">
        <is>
          <t>26082801</t>
        </is>
      </c>
      <c r="D146" t="inlineStr">
        <is>
          <t>Ricoh Australia Pty Ltd</t>
        </is>
      </c>
      <c r="E146" t="inlineStr">
        <is>
          <t>Ricoh Australia - SHELL AV Support</t>
        </is>
      </c>
      <c r="F146" t="n">
        <v>340</v>
      </c>
      <c r="G146" t="inlineStr">
        <is>
          <t>INV-10620</t>
        </is>
      </c>
      <c r="H146" s="51" t="n">
        <v>46268</v>
      </c>
      <c r="I146" t="n">
        <v>340</v>
      </c>
      <c r="J146" t="n">
        <v>0</v>
      </c>
      <c r="K146" t="inlineStr">
        <is>
          <t>Agrees</t>
        </is>
      </c>
      <c r="N146" t="inlineStr">
        <is>
          <t>OK</t>
        </is>
      </c>
      <c r="O146" t="inlineStr">
        <is>
          <t>Ricoh Australia - SHELL AV Support</t>
        </is>
      </c>
      <c r="P146" t="inlineStr">
        <is>
          <t>ONSITE</t>
        </is>
      </c>
      <c r="Q146" t="inlineStr">
        <is>
          <t>Ad-hoc</t>
        </is>
      </c>
      <c r="R146" t="inlineStr">
        <is>
          <t>GST 10%</t>
        </is>
      </c>
      <c r="S146" t="inlineStr">
        <is>
          <t>41100</t>
        </is>
      </c>
      <c r="U146" t="inlineStr">
        <is>
          <t>This was not actually for Shell - error in quote. End client was Wotton Kearney.</t>
        </is>
      </c>
      <c r="V146" t="n">
        <v>34</v>
      </c>
      <c r="W146" t="n">
        <v>374</v>
      </c>
      <c r="X146" s="51" t="n">
        <v>46295</v>
      </c>
      <c r="Y146" t="n">
        <v>1</v>
      </c>
      <c r="Z146" t="n">
        <v>340</v>
      </c>
      <c r="AA146" t="n">
        <v>340</v>
      </c>
      <c r="AB146" t="n">
        <v>49</v>
      </c>
      <c r="AD146" s="52">
        <f>IFERROR(N(IFERROR(INDEX($A146:$AB146,MATCH("Xero Invoiced Ex GST",$A$1:$AB$1,0)),"")),0)</f>
        <v/>
      </c>
      <c r="AE146" s="53">
        <f>IFERROR(INDEX($A146:$AB146,MATCH("Xero Invoice Date",$A$1:$AB$1,0)),"")</f>
        <v/>
      </c>
      <c r="AF146" s="54">
        <f>IF(AND(IFERROR(INDEX($A146:$AB146,MATCH("Xero Invoice No",$A$1:$AB$1,0)),"")&amp;""&lt;&gt;"",ISNUMBER(AE146),AD146&lt;&gt;0),1,0)</f>
        <v/>
      </c>
      <c r="AG146" s="55">
        <f>IF(AF146=1,EOMONTH(AE146,0),"")</f>
        <v/>
      </c>
      <c r="AH146" s="9">
        <f>IF(AF146=1,UPPER(TRIM(IFERROR(INDEX($A146:$AB146,MATCH("Client",$A$1:$AB$1,0)),"")&amp;"")),"")</f>
        <v/>
      </c>
      <c r="AI146" s="9">
        <f>IF(AF146=1,IFERROR(INDEX($A146:$AB146,MATCH("Cost Centre",$A$1:$AB$1,0)),"")&amp;"","")</f>
        <v/>
      </c>
      <c r="AJ146" s="54">
        <f>IF(AND(AF146=1,AE146&gt;=set_FYStart,AE146&lt;=set_AsAt),1,0)</f>
        <v/>
      </c>
      <c r="AK146" s="54">
        <f>IF(AND(AJ146=1,AH146&lt;&gt;"",COUNTIFS($AH$2:AH146,AH146,$AJ$2:AJ146,1)=1),N(AL145)+1,"")</f>
        <v/>
      </c>
      <c r="AL146" s="54">
        <f>IF(AK146&lt;&gt;"",AK146,N(AL145))</f>
        <v/>
      </c>
    </row>
    <row r="147">
      <c r="A147" t="inlineStr">
        <is>
          <t>PRD-0049</t>
        </is>
      </c>
      <c r="B147" t="inlineStr">
        <is>
          <t>Production</t>
        </is>
      </c>
      <c r="C147" t="inlineStr">
        <is>
          <t>9100</t>
        </is>
      </c>
      <c r="D147" t="inlineStr">
        <is>
          <t>Jaaz Salanoa</t>
        </is>
      </c>
      <c r="E147" t="inlineStr">
        <is>
          <t>Jaaz - Goget Hire</t>
        </is>
      </c>
      <c r="G147" t="inlineStr">
        <is>
          <t>INV-10523</t>
        </is>
      </c>
      <c r="H147" s="51" t="n">
        <v>46216</v>
      </c>
      <c r="I147" t="n">
        <v>39.15</v>
      </c>
      <c r="J147" t="n">
        <v>-39.15</v>
      </c>
      <c r="K147" t="inlineStr">
        <is>
          <t>Invoiced - no dept value</t>
        </is>
      </c>
      <c r="L147" t="inlineStr">
        <is>
          <t>Dept has not entered an expected value</t>
        </is>
      </c>
      <c r="M147" t="inlineStr">
        <is>
          <t>Invoice date taken from the v2 tracker - check against Xero; Xero check 28-Sep-26: Xero INV-10523 $39.15 ex GST</t>
        </is>
      </c>
      <c r="N147" t="inlineStr">
        <is>
          <t>OK</t>
        </is>
      </c>
      <c r="O147" t="inlineStr">
        <is>
          <t>PRODUCTION</t>
        </is>
      </c>
      <c r="P147" t="inlineStr">
        <is>
          <t>Other</t>
        </is>
      </c>
      <c r="Q147" t="inlineStr">
        <is>
          <t>Project</t>
        </is>
      </c>
      <c r="R147" t="inlineStr">
        <is>
          <t>GST 10%</t>
        </is>
      </c>
      <c r="V147" t="n">
        <v>3.92</v>
      </c>
      <c r="W147" t="n">
        <v>43.07</v>
      </c>
      <c r="X147" s="51" t="n">
        <v>46234</v>
      </c>
      <c r="Y147" t="n">
        <v>2</v>
      </c>
      <c r="Z147" t="n">
        <v>0</v>
      </c>
      <c r="AA147" t="n">
        <v>99.73</v>
      </c>
      <c r="AB147" t="n">
        <v>49</v>
      </c>
      <c r="AD147" s="52">
        <f>IFERROR(N(IFERROR(INDEX($A147:$AB147,MATCH("Xero Invoiced Ex GST",$A$1:$AB$1,0)),"")),0)</f>
        <v/>
      </c>
      <c r="AE147" s="53">
        <f>IFERROR(INDEX($A147:$AB147,MATCH("Xero Invoice Date",$A$1:$AB$1,0)),"")</f>
        <v/>
      </c>
      <c r="AF147" s="54">
        <f>IF(AND(IFERROR(INDEX($A147:$AB147,MATCH("Xero Invoice No",$A$1:$AB$1,0)),"")&amp;""&lt;&gt;"",ISNUMBER(AE147),AD147&lt;&gt;0),1,0)</f>
        <v/>
      </c>
      <c r="AG147" s="55">
        <f>IF(AF147=1,EOMONTH(AE147,0),"")</f>
        <v/>
      </c>
      <c r="AH147" s="9">
        <f>IF(AF147=1,UPPER(TRIM(IFERROR(INDEX($A147:$AB147,MATCH("Client",$A$1:$AB$1,0)),"")&amp;"")),"")</f>
        <v/>
      </c>
      <c r="AI147" s="9">
        <f>IF(AF147=1,IFERROR(INDEX($A147:$AB147,MATCH("Cost Centre",$A$1:$AB$1,0)),"")&amp;"","")</f>
        <v/>
      </c>
      <c r="AJ147" s="54">
        <f>IF(AND(AF147=1,AE147&gt;=set_FYStart,AE147&lt;=set_AsAt),1,0)</f>
        <v/>
      </c>
      <c r="AK147" s="54">
        <f>IF(AND(AJ147=1,AH147&lt;&gt;"",COUNTIFS($AH$2:AH147,AH147,$AJ$2:AJ147,1)=1),N(AL146)+1,"")</f>
        <v/>
      </c>
      <c r="AL147" s="54">
        <f>IF(AK147&lt;&gt;"",AK147,N(AL146))</f>
        <v/>
      </c>
    </row>
    <row r="148">
      <c r="A148" t="inlineStr">
        <is>
          <t>CON-0049</t>
        </is>
      </c>
      <c r="B148" t="inlineStr">
        <is>
          <t>Consulting</t>
        </is>
      </c>
      <c r="AB148" t="n">
        <v>49</v>
      </c>
      <c r="AD148" s="52">
        <f>IFERROR(N(IFERROR(INDEX($A148:$AB148,MATCH("Xero Invoiced Ex GST",$A$1:$AB$1,0)),"")),0)</f>
        <v/>
      </c>
      <c r="AE148" s="53">
        <f>IFERROR(INDEX($A148:$AB148,MATCH("Xero Invoice Date",$A$1:$AB$1,0)),"")</f>
        <v/>
      </c>
      <c r="AF148" s="54">
        <f>IF(AND(IFERROR(INDEX($A148:$AB148,MATCH("Xero Invoice No",$A$1:$AB$1,0)),"")&amp;""&lt;&gt;"",ISNUMBER(AE148),AD148&lt;&gt;0),1,0)</f>
        <v/>
      </c>
      <c r="AG148" s="55">
        <f>IF(AF148=1,EOMONTH(AE148,0),"")</f>
        <v/>
      </c>
      <c r="AH148" s="9">
        <f>IF(AF148=1,UPPER(TRIM(IFERROR(INDEX($A148:$AB148,MATCH("Client",$A$1:$AB$1,0)),"")&amp;"")),"")</f>
        <v/>
      </c>
      <c r="AI148" s="9">
        <f>IF(AF148=1,IFERROR(INDEX($A148:$AB148,MATCH("Cost Centre",$A$1:$AB$1,0)),"")&amp;"","")</f>
        <v/>
      </c>
      <c r="AJ148" s="54">
        <f>IF(AND(AF148=1,AE148&gt;=set_FYStart,AE148&lt;=set_AsAt),1,0)</f>
        <v/>
      </c>
      <c r="AK148" s="54">
        <f>IF(AND(AJ148=1,AH148&lt;&gt;"",COUNTIFS($AH$2:AH148,AH148,$AJ$2:AJ148,1)=1),N(AL147)+1,"")</f>
        <v/>
      </c>
      <c r="AL148" s="54">
        <f>IF(AK148&lt;&gt;"",AK148,N(AL147))</f>
        <v/>
      </c>
    </row>
    <row r="149">
      <c r="A149" t="inlineStr">
        <is>
          <t>ONS-0050</t>
        </is>
      </c>
      <c r="B149" t="inlineStr">
        <is>
          <t>Onsite</t>
        </is>
      </c>
      <c r="C149" t="inlineStr">
        <is>
          <t>2609401</t>
        </is>
      </c>
      <c r="D149" t="inlineStr">
        <is>
          <t>PWC</t>
        </is>
      </c>
      <c r="E149" t="inlineStr">
        <is>
          <t xml:space="preserve">Pool of Hours - National AV / IT Support </t>
        </is>
      </c>
      <c r="F149" t="n">
        <v>8500</v>
      </c>
      <c r="G149" t="inlineStr">
        <is>
          <t>INV-10598</t>
        </is>
      </c>
      <c r="H149" s="51" t="n">
        <v>46265</v>
      </c>
      <c r="I149" t="n">
        <v>8500</v>
      </c>
      <c r="J149" t="n">
        <v>0</v>
      </c>
      <c r="K149" t="inlineStr">
        <is>
          <t>Agrees</t>
        </is>
      </c>
      <c r="L149" t="inlineStr">
        <is>
          <t>Job number not in the Xero job list</t>
        </is>
      </c>
      <c r="N149" t="inlineStr">
        <is>
          <t>CHECK</t>
        </is>
      </c>
      <c r="P149" t="inlineStr">
        <is>
          <t>ONSITE</t>
        </is>
      </c>
      <c r="Q149" t="inlineStr">
        <is>
          <t>Ad-hoc</t>
        </is>
      </c>
      <c r="R149" t="inlineStr">
        <is>
          <t>GST 10%</t>
        </is>
      </c>
      <c r="S149" t="inlineStr">
        <is>
          <t>41100</t>
        </is>
      </c>
      <c r="V149" t="n">
        <v>850</v>
      </c>
      <c r="W149" t="n">
        <v>9350</v>
      </c>
      <c r="X149" s="51" t="n">
        <v>46265</v>
      </c>
      <c r="Y149" t="n">
        <v>1</v>
      </c>
      <c r="Z149" t="n">
        <v>8500</v>
      </c>
      <c r="AA149" t="n">
        <v>8500</v>
      </c>
      <c r="AB149" t="n">
        <v>50</v>
      </c>
      <c r="AD149" s="52">
        <f>IFERROR(N(IFERROR(INDEX($A149:$AB149,MATCH("Xero Invoiced Ex GST",$A$1:$AB$1,0)),"")),0)</f>
        <v/>
      </c>
      <c r="AE149" s="53">
        <f>IFERROR(INDEX($A149:$AB149,MATCH("Xero Invoice Date",$A$1:$AB$1,0)),"")</f>
        <v/>
      </c>
      <c r="AF149" s="54">
        <f>IF(AND(IFERROR(INDEX($A149:$AB149,MATCH("Xero Invoice No",$A$1:$AB$1,0)),"")&amp;""&lt;&gt;"",ISNUMBER(AE149),AD149&lt;&gt;0),1,0)</f>
        <v/>
      </c>
      <c r="AG149" s="55">
        <f>IF(AF149=1,EOMONTH(AE149,0),"")</f>
        <v/>
      </c>
      <c r="AH149" s="9">
        <f>IF(AF149=1,UPPER(TRIM(IFERROR(INDEX($A149:$AB149,MATCH("Client",$A$1:$AB$1,0)),"")&amp;"")),"")</f>
        <v/>
      </c>
      <c r="AI149" s="9">
        <f>IF(AF149=1,IFERROR(INDEX($A149:$AB149,MATCH("Cost Centre",$A$1:$AB$1,0)),"")&amp;"","")</f>
        <v/>
      </c>
      <c r="AJ149" s="54">
        <f>IF(AND(AF149=1,AE149&gt;=set_FYStart,AE149&lt;=set_AsAt),1,0)</f>
        <v/>
      </c>
      <c r="AK149" s="54">
        <f>IF(AND(AJ149=1,AH149&lt;&gt;"",COUNTIFS($AH$2:AH149,AH149,$AJ$2:AJ149,1)=1),N(AL148)+1,"")</f>
        <v/>
      </c>
      <c r="AL149" s="54">
        <f>IF(AK149&lt;&gt;"",AK149,N(AL148))</f>
        <v/>
      </c>
    </row>
    <row r="150">
      <c r="A150" t="inlineStr">
        <is>
          <t>PRD-0050</t>
        </is>
      </c>
      <c r="B150" t="inlineStr">
        <is>
          <t>Production</t>
        </is>
      </c>
      <c r="C150" t="inlineStr">
        <is>
          <t>9100</t>
        </is>
      </c>
      <c r="D150" t="inlineStr">
        <is>
          <t>Jaaz Salanoa</t>
        </is>
      </c>
      <c r="E150" t="inlineStr">
        <is>
          <t>Jaaz - Goget Hire</t>
        </is>
      </c>
      <c r="G150" t="inlineStr">
        <is>
          <t>INV-10621</t>
        </is>
      </c>
      <c r="H150" s="51" t="n">
        <v>46265</v>
      </c>
      <c r="I150" t="n">
        <v>60.58</v>
      </c>
      <c r="J150" t="n">
        <v>-60.58</v>
      </c>
      <c r="K150" t="inlineStr">
        <is>
          <t>Invoiced - no dept value</t>
        </is>
      </c>
      <c r="L150" t="inlineStr">
        <is>
          <t>Dept has not entered an expected value</t>
        </is>
      </c>
      <c r="M150" t="inlineStr">
        <is>
          <t>Invoice date taken from the v2 tracker - check against Xero; Xero check 28-Sep-26: Xero INV-10621 $60.58 ex GST dated 31-Aug-26</t>
        </is>
      </c>
      <c r="N150" t="inlineStr">
        <is>
          <t>OK</t>
        </is>
      </c>
      <c r="O150" t="inlineStr">
        <is>
          <t>PRODUCTION</t>
        </is>
      </c>
      <c r="P150" t="inlineStr">
        <is>
          <t>Other</t>
        </is>
      </c>
      <c r="Q150" t="inlineStr">
        <is>
          <t>Project</t>
        </is>
      </c>
      <c r="R150" t="inlineStr">
        <is>
          <t>GST 10%</t>
        </is>
      </c>
      <c r="V150" t="n">
        <v>6.06</v>
      </c>
      <c r="W150" t="n">
        <v>66.64</v>
      </c>
      <c r="X150" s="51" t="n">
        <v>46265</v>
      </c>
      <c r="Y150" t="n">
        <v>2</v>
      </c>
      <c r="Z150" t="n">
        <v>0</v>
      </c>
      <c r="AA150" t="n">
        <v>99.73</v>
      </c>
      <c r="AB150" t="n">
        <v>50</v>
      </c>
      <c r="AD150" s="52">
        <f>IFERROR(N(IFERROR(INDEX($A150:$AB150,MATCH("Xero Invoiced Ex GST",$A$1:$AB$1,0)),"")),0)</f>
        <v/>
      </c>
      <c r="AE150" s="53">
        <f>IFERROR(INDEX($A150:$AB150,MATCH("Xero Invoice Date",$A$1:$AB$1,0)),"")</f>
        <v/>
      </c>
      <c r="AF150" s="54">
        <f>IF(AND(IFERROR(INDEX($A150:$AB150,MATCH("Xero Invoice No",$A$1:$AB$1,0)),"")&amp;""&lt;&gt;"",ISNUMBER(AE150),AD150&lt;&gt;0),1,0)</f>
        <v/>
      </c>
      <c r="AG150" s="55">
        <f>IF(AF150=1,EOMONTH(AE150,0),"")</f>
        <v/>
      </c>
      <c r="AH150" s="9">
        <f>IF(AF150=1,UPPER(TRIM(IFERROR(INDEX($A150:$AB150,MATCH("Client",$A$1:$AB$1,0)),"")&amp;"")),"")</f>
        <v/>
      </c>
      <c r="AI150" s="9">
        <f>IF(AF150=1,IFERROR(INDEX($A150:$AB150,MATCH("Cost Centre",$A$1:$AB$1,0)),"")&amp;"","")</f>
        <v/>
      </c>
      <c r="AJ150" s="54">
        <f>IF(AND(AF150=1,AE150&gt;=set_FYStart,AE150&lt;=set_AsAt),1,0)</f>
        <v/>
      </c>
      <c r="AK150" s="54">
        <f>IF(AND(AJ150=1,AH150&lt;&gt;"",COUNTIFS($AH$2:AH150,AH150,$AJ$2:AJ150,1)=1),N(AL149)+1,"")</f>
        <v/>
      </c>
      <c r="AL150" s="54">
        <f>IF(AK150&lt;&gt;"",AK150,N(AL149))</f>
        <v/>
      </c>
    </row>
    <row r="151">
      <c r="A151" t="inlineStr">
        <is>
          <t>CON-0050</t>
        </is>
      </c>
      <c r="B151" t="inlineStr">
        <is>
          <t>Consulting</t>
        </is>
      </c>
      <c r="AB151" t="n">
        <v>50</v>
      </c>
      <c r="AD151" s="52">
        <f>IFERROR(N(IFERROR(INDEX($A151:$AB151,MATCH("Xero Invoiced Ex GST",$A$1:$AB$1,0)),"")),0)</f>
        <v/>
      </c>
      <c r="AE151" s="53">
        <f>IFERROR(INDEX($A151:$AB151,MATCH("Xero Invoice Date",$A$1:$AB$1,0)),"")</f>
        <v/>
      </c>
      <c r="AF151" s="54">
        <f>IF(AND(IFERROR(INDEX($A151:$AB151,MATCH("Xero Invoice No",$A$1:$AB$1,0)),"")&amp;""&lt;&gt;"",ISNUMBER(AE151),AD151&lt;&gt;0),1,0)</f>
        <v/>
      </c>
      <c r="AG151" s="55">
        <f>IF(AF151=1,EOMONTH(AE151,0),"")</f>
        <v/>
      </c>
      <c r="AH151" s="9">
        <f>IF(AF151=1,UPPER(TRIM(IFERROR(INDEX($A151:$AB151,MATCH("Client",$A$1:$AB$1,0)),"")&amp;"")),"")</f>
        <v/>
      </c>
      <c r="AI151" s="9">
        <f>IF(AF151=1,IFERROR(INDEX($A151:$AB151,MATCH("Cost Centre",$A$1:$AB$1,0)),"")&amp;"","")</f>
        <v/>
      </c>
      <c r="AJ151" s="54">
        <f>IF(AND(AF151=1,AE151&gt;=set_FYStart,AE151&lt;=set_AsAt),1,0)</f>
        <v/>
      </c>
      <c r="AK151" s="54">
        <f>IF(AND(AJ151=1,AH151&lt;&gt;"",COUNTIFS($AH$2:AH151,AH151,$AJ$2:AJ151,1)=1),N(AL150)+1,"")</f>
        <v/>
      </c>
      <c r="AL151" s="54">
        <f>IF(AK151&lt;&gt;"",AK151,N(AL150))</f>
        <v/>
      </c>
    </row>
    <row r="152">
      <c r="A152" t="inlineStr">
        <is>
          <t>ONS-0051</t>
        </is>
      </c>
      <c r="B152" t="inlineStr">
        <is>
          <t>Onsite</t>
        </is>
      </c>
      <c r="C152" t="inlineStr">
        <is>
          <t>26073107</t>
        </is>
      </c>
      <c r="D152" t="inlineStr">
        <is>
          <t>DTTL</t>
        </is>
      </c>
      <c r="E152" t="inlineStr">
        <is>
          <t>Technician Travel (ADL-HOB Return) (Additionals September 2026)</t>
        </is>
      </c>
      <c r="F152" t="n">
        <v>7145</v>
      </c>
      <c r="G152" t="inlineStr">
        <is>
          <t>INV-10651</t>
        </is>
      </c>
      <c r="I152" t="n">
        <v>7145</v>
      </c>
      <c r="J152" t="n">
        <v>0</v>
      </c>
      <c r="K152" t="inlineStr">
        <is>
          <t>Agrees</t>
        </is>
      </c>
      <c r="L152" t="inlineStr">
        <is>
          <t>Invoice incomplete - needs Invoice No, a date and a number in Ex GST</t>
        </is>
      </c>
      <c r="N152" t="inlineStr">
        <is>
          <t>OK</t>
        </is>
      </c>
      <c r="O152" t="inlineStr">
        <is>
          <t>DTTL Travel for Technician &amp; Coverage ADL-HOB</t>
        </is>
      </c>
      <c r="P152" t="inlineStr">
        <is>
          <t>ONSITE</t>
        </is>
      </c>
      <c r="Q152" t="inlineStr">
        <is>
          <t>Ad-hoc</t>
        </is>
      </c>
      <c r="R152" t="inlineStr">
        <is>
          <t>GST 10%</t>
        </is>
      </c>
      <c r="S152" t="inlineStr">
        <is>
          <t>41100</t>
        </is>
      </c>
      <c r="V152" t="n">
        <v>714.5</v>
      </c>
      <c r="W152" t="n">
        <v>7859.5</v>
      </c>
      <c r="Y152" t="n">
        <v>1</v>
      </c>
      <c r="Z152" t="n">
        <v>7145</v>
      </c>
      <c r="AA152" t="n">
        <v>7145</v>
      </c>
      <c r="AB152" t="n">
        <v>51</v>
      </c>
      <c r="AD152" s="52">
        <f>IFERROR(N(IFERROR(INDEX($A152:$AB152,MATCH("Xero Invoiced Ex GST",$A$1:$AB$1,0)),"")),0)</f>
        <v/>
      </c>
      <c r="AE152" s="53">
        <f>IFERROR(INDEX($A152:$AB152,MATCH("Xero Invoice Date",$A$1:$AB$1,0)),"")</f>
        <v/>
      </c>
      <c r="AF152" s="54">
        <f>IF(AND(IFERROR(INDEX($A152:$AB152,MATCH("Xero Invoice No",$A$1:$AB$1,0)),"")&amp;""&lt;&gt;"",ISNUMBER(AE152),AD152&lt;&gt;0),1,0)</f>
        <v/>
      </c>
      <c r="AG152" s="55">
        <f>IF(AF152=1,EOMONTH(AE152,0),"")</f>
        <v/>
      </c>
      <c r="AH152" s="9">
        <f>IF(AF152=1,UPPER(TRIM(IFERROR(INDEX($A152:$AB152,MATCH("Client",$A$1:$AB$1,0)),"")&amp;"")),"")</f>
        <v/>
      </c>
      <c r="AI152" s="9">
        <f>IF(AF152=1,IFERROR(INDEX($A152:$AB152,MATCH("Cost Centre",$A$1:$AB$1,0)),"")&amp;"","")</f>
        <v/>
      </c>
      <c r="AJ152" s="54">
        <f>IF(AND(AF152=1,AE152&gt;=set_FYStart,AE152&lt;=set_AsAt),1,0)</f>
        <v/>
      </c>
      <c r="AK152" s="54">
        <f>IF(AND(AJ152=1,AH152&lt;&gt;"",COUNTIFS($AH$2:AH152,AH152,$AJ$2:AJ152,1)=1),N(AL151)+1,"")</f>
        <v/>
      </c>
      <c r="AL152" s="54">
        <f>IF(AK152&lt;&gt;"",AK152,N(AL151))</f>
        <v/>
      </c>
    </row>
    <row r="153">
      <c r="A153" t="inlineStr">
        <is>
          <t>PRD-0051</t>
        </is>
      </c>
      <c r="B153" t="inlineStr">
        <is>
          <t>Production</t>
        </is>
      </c>
      <c r="C153" t="inlineStr">
        <is>
          <t>26061602</t>
        </is>
      </c>
      <c r="D153" t="inlineStr">
        <is>
          <t>ASX</t>
        </is>
      </c>
      <c r="E153" t="inlineStr">
        <is>
          <t>CEO Connect (Extended Results)</t>
        </is>
      </c>
      <c r="F153" t="n">
        <v>2674</v>
      </c>
      <c r="G153" t="inlineStr">
        <is>
          <t>INV-10624</t>
        </is>
      </c>
      <c r="H153" s="51" t="n">
        <v>46280</v>
      </c>
      <c r="I153" t="n">
        <v>2674</v>
      </c>
      <c r="J153" t="n">
        <v>0</v>
      </c>
      <c r="K153" t="inlineStr">
        <is>
          <t>Agrees</t>
        </is>
      </c>
      <c r="M153" t="inlineStr">
        <is>
          <t>Xero check 28-Sep-26: invoice found in Xero</t>
        </is>
      </c>
      <c r="N153" t="inlineStr">
        <is>
          <t>OK</t>
        </is>
      </c>
      <c r="O153" t="inlineStr">
        <is>
          <t>ASX - CEO Connect (Extended) - 1.9.26</t>
        </is>
      </c>
      <c r="P153" t="inlineStr">
        <is>
          <t>PRODUCTION</t>
        </is>
      </c>
      <c r="Q153" t="inlineStr">
        <is>
          <t>Project</t>
        </is>
      </c>
      <c r="R153" t="inlineStr">
        <is>
          <t>GST 10%</t>
        </is>
      </c>
      <c r="S153" t="inlineStr">
        <is>
          <t>42100</t>
        </is>
      </c>
      <c r="T153" t="inlineStr">
        <is>
          <t>5849</t>
        </is>
      </c>
      <c r="V153" t="n">
        <v>267.4</v>
      </c>
      <c r="W153" t="n">
        <v>2941.4</v>
      </c>
      <c r="X153" s="51" t="n">
        <v>46295</v>
      </c>
      <c r="Y153" t="n">
        <v>1</v>
      </c>
      <c r="Z153" t="n">
        <v>2674</v>
      </c>
      <c r="AA153" t="n">
        <v>2674</v>
      </c>
      <c r="AB153" t="n">
        <v>51</v>
      </c>
      <c r="AD153" s="52">
        <f>IFERROR(N(IFERROR(INDEX($A153:$AB153,MATCH("Xero Invoiced Ex GST",$A$1:$AB$1,0)),"")),0)</f>
        <v/>
      </c>
      <c r="AE153" s="53">
        <f>IFERROR(INDEX($A153:$AB153,MATCH("Xero Invoice Date",$A$1:$AB$1,0)),"")</f>
        <v/>
      </c>
      <c r="AF153" s="54">
        <f>IF(AND(IFERROR(INDEX($A153:$AB153,MATCH("Xero Invoice No",$A$1:$AB$1,0)),"")&amp;""&lt;&gt;"",ISNUMBER(AE153),AD153&lt;&gt;0),1,0)</f>
        <v/>
      </c>
      <c r="AG153" s="55">
        <f>IF(AF153=1,EOMONTH(AE153,0),"")</f>
        <v/>
      </c>
      <c r="AH153" s="9">
        <f>IF(AF153=1,UPPER(TRIM(IFERROR(INDEX($A153:$AB153,MATCH("Client",$A$1:$AB$1,0)),"")&amp;"")),"")</f>
        <v/>
      </c>
      <c r="AI153" s="9">
        <f>IF(AF153=1,IFERROR(INDEX($A153:$AB153,MATCH("Cost Centre",$A$1:$AB$1,0)),"")&amp;"","")</f>
        <v/>
      </c>
      <c r="AJ153" s="54">
        <f>IF(AND(AF153=1,AE153&gt;=set_FYStart,AE153&lt;=set_AsAt),1,0)</f>
        <v/>
      </c>
      <c r="AK153" s="54">
        <f>IF(AND(AJ153=1,AH153&lt;&gt;"",COUNTIFS($AH$2:AH153,AH153,$AJ$2:AJ153,1)=1),N(AL152)+1,"")</f>
        <v/>
      </c>
      <c r="AL153" s="54">
        <f>IF(AK153&lt;&gt;"",AK153,N(AL152))</f>
        <v/>
      </c>
    </row>
    <row r="154">
      <c r="A154" t="inlineStr">
        <is>
          <t>CON-0051</t>
        </is>
      </c>
      <c r="B154" t="inlineStr">
        <is>
          <t>Consulting</t>
        </is>
      </c>
      <c r="AB154" t="n">
        <v>51</v>
      </c>
      <c r="AD154" s="52">
        <f>IFERROR(N(IFERROR(INDEX($A154:$AB154,MATCH("Xero Invoiced Ex GST",$A$1:$AB$1,0)),"")),0)</f>
        <v/>
      </c>
      <c r="AE154" s="53">
        <f>IFERROR(INDEX($A154:$AB154,MATCH("Xero Invoice Date",$A$1:$AB$1,0)),"")</f>
        <v/>
      </c>
      <c r="AF154" s="54">
        <f>IF(AND(IFERROR(INDEX($A154:$AB154,MATCH("Xero Invoice No",$A$1:$AB$1,0)),"")&amp;""&lt;&gt;"",ISNUMBER(AE154),AD154&lt;&gt;0),1,0)</f>
        <v/>
      </c>
      <c r="AG154" s="55">
        <f>IF(AF154=1,EOMONTH(AE154,0),"")</f>
        <v/>
      </c>
      <c r="AH154" s="9">
        <f>IF(AF154=1,UPPER(TRIM(IFERROR(INDEX($A154:$AB154,MATCH("Client",$A$1:$AB$1,0)),"")&amp;"")),"")</f>
        <v/>
      </c>
      <c r="AI154" s="9">
        <f>IF(AF154=1,IFERROR(INDEX($A154:$AB154,MATCH("Cost Centre",$A$1:$AB$1,0)),"")&amp;"","")</f>
        <v/>
      </c>
      <c r="AJ154" s="54">
        <f>IF(AND(AF154=1,AE154&gt;=set_FYStart,AE154&lt;=set_AsAt),1,0)</f>
        <v/>
      </c>
      <c r="AK154" s="54">
        <f>IF(AND(AJ154=1,AH154&lt;&gt;"",COUNTIFS($AH$2:AH154,AH154,$AJ$2:AJ154,1)=1),N(AL153)+1,"")</f>
        <v/>
      </c>
      <c r="AL154" s="54">
        <f>IF(AK154&lt;&gt;"",AK154,N(AL153))</f>
        <v/>
      </c>
    </row>
    <row r="155">
      <c r="A155" t="inlineStr">
        <is>
          <t>ONS-0052</t>
        </is>
      </c>
      <c r="B155" t="inlineStr">
        <is>
          <t>Onsite</t>
        </is>
      </c>
      <c r="P155" t="inlineStr">
        <is>
          <t>ONSITE</t>
        </is>
      </c>
      <c r="R155" t="inlineStr">
        <is>
          <t>GST 10%</t>
        </is>
      </c>
      <c r="S155" t="inlineStr">
        <is>
          <t>41100</t>
        </is>
      </c>
      <c r="AB155" t="n">
        <v>52</v>
      </c>
      <c r="AD155" s="52">
        <f>IFERROR(N(IFERROR(INDEX($A155:$AB155,MATCH("Xero Invoiced Ex GST",$A$1:$AB$1,0)),"")),0)</f>
        <v/>
      </c>
      <c r="AE155" s="53">
        <f>IFERROR(INDEX($A155:$AB155,MATCH("Xero Invoice Date",$A$1:$AB$1,0)),"")</f>
        <v/>
      </c>
      <c r="AF155" s="54">
        <f>IF(AND(IFERROR(INDEX($A155:$AB155,MATCH("Xero Invoice No",$A$1:$AB$1,0)),"")&amp;""&lt;&gt;"",ISNUMBER(AE155),AD155&lt;&gt;0),1,0)</f>
        <v/>
      </c>
      <c r="AG155" s="55">
        <f>IF(AF155=1,EOMONTH(AE155,0),"")</f>
        <v/>
      </c>
      <c r="AH155" s="9">
        <f>IF(AF155=1,UPPER(TRIM(IFERROR(INDEX($A155:$AB155,MATCH("Client",$A$1:$AB$1,0)),"")&amp;"")),"")</f>
        <v/>
      </c>
      <c r="AI155" s="9">
        <f>IF(AF155=1,IFERROR(INDEX($A155:$AB155,MATCH("Cost Centre",$A$1:$AB$1,0)),"")&amp;"","")</f>
        <v/>
      </c>
      <c r="AJ155" s="54">
        <f>IF(AND(AF155=1,AE155&gt;=set_FYStart,AE155&lt;=set_AsAt),1,0)</f>
        <v/>
      </c>
      <c r="AK155" s="54">
        <f>IF(AND(AJ155=1,AH155&lt;&gt;"",COUNTIFS($AH$2:AH155,AH155,$AJ$2:AJ155,1)=1),N(AL154)+1,"")</f>
        <v/>
      </c>
      <c r="AL155" s="54">
        <f>IF(AK155&lt;&gt;"",AK155,N(AL154))</f>
        <v/>
      </c>
    </row>
    <row r="156">
      <c r="A156" t="inlineStr">
        <is>
          <t>PRD-0052</t>
        </is>
      </c>
      <c r="B156" t="inlineStr">
        <is>
          <t>Production</t>
        </is>
      </c>
      <c r="C156" t="inlineStr">
        <is>
          <t>26071701</t>
        </is>
      </c>
      <c r="D156" t="inlineStr">
        <is>
          <t>ASX</t>
        </is>
      </c>
      <c r="E156" t="inlineStr">
        <is>
          <t>ASX Live 1.9.26</t>
        </is>
      </c>
      <c r="F156" t="n">
        <v>6260</v>
      </c>
      <c r="G156" t="inlineStr">
        <is>
          <t>INV-10623</t>
        </is>
      </c>
      <c r="H156" s="51" t="n">
        <v>46280</v>
      </c>
      <c r="I156" t="n">
        <v>6260</v>
      </c>
      <c r="J156" t="n">
        <v>0</v>
      </c>
      <c r="K156" t="inlineStr">
        <is>
          <t>Agrees</t>
        </is>
      </c>
      <c r="M156" t="inlineStr">
        <is>
          <t>Xero check 28-Sep-26: invoice found in Xero</t>
        </is>
      </c>
      <c r="N156" t="inlineStr">
        <is>
          <t>OK</t>
        </is>
      </c>
      <c r="O156" t="inlineStr">
        <is>
          <t>ASX Live - 9.9.26</t>
        </is>
      </c>
      <c r="P156" t="inlineStr">
        <is>
          <t>PRODUCTION</t>
        </is>
      </c>
      <c r="Q156" t="inlineStr">
        <is>
          <t>Project</t>
        </is>
      </c>
      <c r="R156" t="inlineStr">
        <is>
          <t>GST 10%</t>
        </is>
      </c>
      <c r="S156" t="inlineStr">
        <is>
          <t>42100</t>
        </is>
      </c>
      <c r="T156" t="inlineStr">
        <is>
          <t>6143</t>
        </is>
      </c>
      <c r="V156" t="n">
        <v>626</v>
      </c>
      <c r="W156" t="n">
        <v>6886</v>
      </c>
      <c r="X156" s="51" t="n">
        <v>46295</v>
      </c>
      <c r="Y156" t="n">
        <v>1</v>
      </c>
      <c r="Z156" t="n">
        <v>6260</v>
      </c>
      <c r="AA156" t="n">
        <v>6260</v>
      </c>
      <c r="AB156" t="n">
        <v>52</v>
      </c>
      <c r="AD156" s="52">
        <f>IFERROR(N(IFERROR(INDEX($A156:$AB156,MATCH("Xero Invoiced Ex GST",$A$1:$AB$1,0)),"")),0)</f>
        <v/>
      </c>
      <c r="AE156" s="53">
        <f>IFERROR(INDEX($A156:$AB156,MATCH("Xero Invoice Date",$A$1:$AB$1,0)),"")</f>
        <v/>
      </c>
      <c r="AF156" s="54">
        <f>IF(AND(IFERROR(INDEX($A156:$AB156,MATCH("Xero Invoice No",$A$1:$AB$1,0)),"")&amp;""&lt;&gt;"",ISNUMBER(AE156),AD156&lt;&gt;0),1,0)</f>
        <v/>
      </c>
      <c r="AG156" s="55">
        <f>IF(AF156=1,EOMONTH(AE156,0),"")</f>
        <v/>
      </c>
      <c r="AH156" s="9">
        <f>IF(AF156=1,UPPER(TRIM(IFERROR(INDEX($A156:$AB156,MATCH("Client",$A$1:$AB$1,0)),"")&amp;"")),"")</f>
        <v/>
      </c>
      <c r="AI156" s="9">
        <f>IF(AF156=1,IFERROR(INDEX($A156:$AB156,MATCH("Cost Centre",$A$1:$AB$1,0)),"")&amp;"","")</f>
        <v/>
      </c>
      <c r="AJ156" s="54">
        <f>IF(AND(AF156=1,AE156&gt;=set_FYStart,AE156&lt;=set_AsAt),1,0)</f>
        <v/>
      </c>
      <c r="AK156" s="54">
        <f>IF(AND(AJ156=1,AH156&lt;&gt;"",COUNTIFS($AH$2:AH156,AH156,$AJ$2:AJ156,1)=1),N(AL155)+1,"")</f>
        <v/>
      </c>
      <c r="AL156" s="54">
        <f>IF(AK156&lt;&gt;"",AK156,N(AL155))</f>
        <v/>
      </c>
    </row>
    <row r="157">
      <c r="A157" t="inlineStr">
        <is>
          <t>CON-0052</t>
        </is>
      </c>
      <c r="B157" t="inlineStr">
        <is>
          <t>Consulting</t>
        </is>
      </c>
      <c r="AB157" t="n">
        <v>52</v>
      </c>
      <c r="AD157" s="52">
        <f>IFERROR(N(IFERROR(INDEX($A157:$AB157,MATCH("Xero Invoiced Ex GST",$A$1:$AB$1,0)),"")),0)</f>
        <v/>
      </c>
      <c r="AE157" s="53">
        <f>IFERROR(INDEX($A157:$AB157,MATCH("Xero Invoice Date",$A$1:$AB$1,0)),"")</f>
        <v/>
      </c>
      <c r="AF157" s="54">
        <f>IF(AND(IFERROR(INDEX($A157:$AB157,MATCH("Xero Invoice No",$A$1:$AB$1,0)),"")&amp;""&lt;&gt;"",ISNUMBER(AE157),AD157&lt;&gt;0),1,0)</f>
        <v/>
      </c>
      <c r="AG157" s="55">
        <f>IF(AF157=1,EOMONTH(AE157,0),"")</f>
        <v/>
      </c>
      <c r="AH157" s="9">
        <f>IF(AF157=1,UPPER(TRIM(IFERROR(INDEX($A157:$AB157,MATCH("Client",$A$1:$AB$1,0)),"")&amp;"")),"")</f>
        <v/>
      </c>
      <c r="AI157" s="9">
        <f>IF(AF157=1,IFERROR(INDEX($A157:$AB157,MATCH("Cost Centre",$A$1:$AB$1,0)),"")&amp;"","")</f>
        <v/>
      </c>
      <c r="AJ157" s="54">
        <f>IF(AND(AF157=1,AE157&gt;=set_FYStart,AE157&lt;=set_AsAt),1,0)</f>
        <v/>
      </c>
      <c r="AK157" s="54">
        <f>IF(AND(AJ157=1,AH157&lt;&gt;"",COUNTIFS($AH$2:AH157,AH157,$AJ$2:AJ157,1)=1),N(AL156)+1,"")</f>
        <v/>
      </c>
      <c r="AL157" s="54">
        <f>IF(AK157&lt;&gt;"",AK157,N(AL156))</f>
        <v/>
      </c>
    </row>
    <row r="158">
      <c r="A158" t="inlineStr">
        <is>
          <t>ONS-0053</t>
        </is>
      </c>
      <c r="B158" t="inlineStr">
        <is>
          <t>Onsite</t>
        </is>
      </c>
      <c r="C158" t="inlineStr">
        <is>
          <t>26082704</t>
        </is>
      </c>
      <c r="D158" t="inlineStr">
        <is>
          <t>DTTL</t>
        </is>
      </c>
      <c r="E158" t="inlineStr">
        <is>
          <t>STL Travel (SYD-PER) (Additionals September 2026)</t>
        </is>
      </c>
      <c r="F158" t="n">
        <v>7735</v>
      </c>
      <c r="G158" t="inlineStr">
        <is>
          <t>INV-10651</t>
        </is>
      </c>
      <c r="I158" t="n">
        <v>7735</v>
      </c>
      <c r="J158" t="n">
        <v>0</v>
      </c>
      <c r="K158" t="inlineStr">
        <is>
          <t>Agrees</t>
        </is>
      </c>
      <c r="L158" t="inlineStr">
        <is>
          <t>Invoice incomplete - needs Invoice No, a date and a number in Ex GST</t>
        </is>
      </c>
      <c r="N158" t="inlineStr">
        <is>
          <t>OK</t>
        </is>
      </c>
      <c r="O158" t="inlineStr">
        <is>
          <t>DTTL Travel for National STL &amp; Coverage SYD-PER</t>
        </is>
      </c>
      <c r="P158" t="inlineStr">
        <is>
          <t>ONSITE</t>
        </is>
      </c>
      <c r="Q158" t="inlineStr">
        <is>
          <t>Ad-hoc</t>
        </is>
      </c>
      <c r="R158" t="inlineStr">
        <is>
          <t>GST 10%</t>
        </is>
      </c>
      <c r="S158" t="inlineStr">
        <is>
          <t>41100</t>
        </is>
      </c>
      <c r="V158" t="n">
        <v>773.5</v>
      </c>
      <c r="W158" t="n">
        <v>8508.5</v>
      </c>
      <c r="Y158" t="n">
        <v>1</v>
      </c>
      <c r="Z158" t="n">
        <v>7735</v>
      </c>
      <c r="AA158" t="n">
        <v>7735</v>
      </c>
      <c r="AB158" t="n">
        <v>53</v>
      </c>
      <c r="AD158" s="52">
        <f>IFERROR(N(IFERROR(INDEX($A158:$AB158,MATCH("Xero Invoiced Ex GST",$A$1:$AB$1,0)),"")),0)</f>
        <v/>
      </c>
      <c r="AE158" s="53">
        <f>IFERROR(INDEX($A158:$AB158,MATCH("Xero Invoice Date",$A$1:$AB$1,0)),"")</f>
        <v/>
      </c>
      <c r="AF158" s="54">
        <f>IF(AND(IFERROR(INDEX($A158:$AB158,MATCH("Xero Invoice No",$A$1:$AB$1,0)),"")&amp;""&lt;&gt;"",ISNUMBER(AE158),AD158&lt;&gt;0),1,0)</f>
        <v/>
      </c>
      <c r="AG158" s="55">
        <f>IF(AF158=1,EOMONTH(AE158,0),"")</f>
        <v/>
      </c>
      <c r="AH158" s="9">
        <f>IF(AF158=1,UPPER(TRIM(IFERROR(INDEX($A158:$AB158,MATCH("Client",$A$1:$AB$1,0)),"")&amp;"")),"")</f>
        <v/>
      </c>
      <c r="AI158" s="9">
        <f>IF(AF158=1,IFERROR(INDEX($A158:$AB158,MATCH("Cost Centre",$A$1:$AB$1,0)),"")&amp;"","")</f>
        <v/>
      </c>
      <c r="AJ158" s="54">
        <f>IF(AND(AF158=1,AE158&gt;=set_FYStart,AE158&lt;=set_AsAt),1,0)</f>
        <v/>
      </c>
      <c r="AK158" s="54">
        <f>IF(AND(AJ158=1,AH158&lt;&gt;"",COUNTIFS($AH$2:AH158,AH158,$AJ$2:AJ158,1)=1),N(AL157)+1,"")</f>
        <v/>
      </c>
      <c r="AL158" s="54">
        <f>IF(AK158&lt;&gt;"",AK158,N(AL157))</f>
        <v/>
      </c>
    </row>
    <row r="159">
      <c r="A159" t="inlineStr">
        <is>
          <t>PRD-0053</t>
        </is>
      </c>
      <c r="B159" t="inlineStr">
        <is>
          <t>Production</t>
        </is>
      </c>
      <c r="C159" t="inlineStr">
        <is>
          <t>2608404</t>
        </is>
      </c>
      <c r="D159" t="inlineStr">
        <is>
          <t>SVHS</t>
        </is>
      </c>
      <c r="E159" t="inlineStr">
        <is>
          <t>St Vincent's Hospital - Award Ceremony 2.9.26</t>
        </is>
      </c>
      <c r="F159" t="n">
        <v>495</v>
      </c>
      <c r="G159" t="inlineStr">
        <is>
          <t>INV-10626</t>
        </is>
      </c>
      <c r="H159" s="51" t="n">
        <v>46280</v>
      </c>
      <c r="I159" t="n">
        <v>495</v>
      </c>
      <c r="J159" t="n">
        <v>0</v>
      </c>
      <c r="K159" t="inlineStr">
        <is>
          <t>Agrees</t>
        </is>
      </c>
      <c r="M159" t="inlineStr">
        <is>
          <t>Xero check 28-Sep-26: invoice found in Xero</t>
        </is>
      </c>
      <c r="N159" t="inlineStr">
        <is>
          <t>OK</t>
        </is>
      </c>
      <c r="O159" t="inlineStr">
        <is>
          <t>St Vincents Public Hospital - Awards Night - 26.8.25</t>
        </is>
      </c>
      <c r="P159" t="inlineStr">
        <is>
          <t>PRODUCTION</t>
        </is>
      </c>
      <c r="Q159" t="inlineStr">
        <is>
          <t>Project</t>
        </is>
      </c>
      <c r="R159" t="inlineStr">
        <is>
          <t>GST 10%</t>
        </is>
      </c>
      <c r="S159" t="inlineStr">
        <is>
          <t>42100</t>
        </is>
      </c>
      <c r="T159" t="inlineStr">
        <is>
          <t>6115</t>
        </is>
      </c>
      <c r="V159" t="n">
        <v>49.5</v>
      </c>
      <c r="W159" t="n">
        <v>544.5</v>
      </c>
      <c r="X159" s="51" t="n">
        <v>46295</v>
      </c>
      <c r="Y159" t="n">
        <v>1</v>
      </c>
      <c r="Z159" t="n">
        <v>495</v>
      </c>
      <c r="AA159" t="n">
        <v>495</v>
      </c>
      <c r="AB159" t="n">
        <v>53</v>
      </c>
      <c r="AD159" s="52">
        <f>IFERROR(N(IFERROR(INDEX($A159:$AB159,MATCH("Xero Invoiced Ex GST",$A$1:$AB$1,0)),"")),0)</f>
        <v/>
      </c>
      <c r="AE159" s="53">
        <f>IFERROR(INDEX($A159:$AB159,MATCH("Xero Invoice Date",$A$1:$AB$1,0)),"")</f>
        <v/>
      </c>
      <c r="AF159" s="54">
        <f>IF(AND(IFERROR(INDEX($A159:$AB159,MATCH("Xero Invoice No",$A$1:$AB$1,0)),"")&amp;""&lt;&gt;"",ISNUMBER(AE159),AD159&lt;&gt;0),1,0)</f>
        <v/>
      </c>
      <c r="AG159" s="55">
        <f>IF(AF159=1,EOMONTH(AE159,0),"")</f>
        <v/>
      </c>
      <c r="AH159" s="9">
        <f>IF(AF159=1,UPPER(TRIM(IFERROR(INDEX($A159:$AB159,MATCH("Client",$A$1:$AB$1,0)),"")&amp;"")),"")</f>
        <v/>
      </c>
      <c r="AI159" s="9">
        <f>IF(AF159=1,IFERROR(INDEX($A159:$AB159,MATCH("Cost Centre",$A$1:$AB$1,0)),"")&amp;"","")</f>
        <v/>
      </c>
      <c r="AJ159" s="54">
        <f>IF(AND(AF159=1,AE159&gt;=set_FYStart,AE159&lt;=set_AsAt),1,0)</f>
        <v/>
      </c>
      <c r="AK159" s="54">
        <f>IF(AND(AJ159=1,AH159&lt;&gt;"",COUNTIFS($AH$2:AH159,AH159,$AJ$2:AJ159,1)=1),N(AL158)+1,"")</f>
        <v/>
      </c>
      <c r="AL159" s="54">
        <f>IF(AK159&lt;&gt;"",AK159,N(AL158))</f>
        <v/>
      </c>
    </row>
    <row r="160">
      <c r="A160" t="inlineStr">
        <is>
          <t>CON-0053</t>
        </is>
      </c>
      <c r="B160" t="inlineStr">
        <is>
          <t>Consulting</t>
        </is>
      </c>
      <c r="AB160" t="n">
        <v>53</v>
      </c>
      <c r="AD160" s="52">
        <f>IFERROR(N(IFERROR(INDEX($A160:$AB160,MATCH("Xero Invoiced Ex GST",$A$1:$AB$1,0)),"")),0)</f>
        <v/>
      </c>
      <c r="AE160" s="53">
        <f>IFERROR(INDEX($A160:$AB160,MATCH("Xero Invoice Date",$A$1:$AB$1,0)),"")</f>
        <v/>
      </c>
      <c r="AF160" s="54">
        <f>IF(AND(IFERROR(INDEX($A160:$AB160,MATCH("Xero Invoice No",$A$1:$AB$1,0)),"")&amp;""&lt;&gt;"",ISNUMBER(AE160),AD160&lt;&gt;0),1,0)</f>
        <v/>
      </c>
      <c r="AG160" s="55">
        <f>IF(AF160=1,EOMONTH(AE160,0),"")</f>
        <v/>
      </c>
      <c r="AH160" s="9">
        <f>IF(AF160=1,UPPER(TRIM(IFERROR(INDEX($A160:$AB160,MATCH("Client",$A$1:$AB$1,0)),"")&amp;"")),"")</f>
        <v/>
      </c>
      <c r="AI160" s="9">
        <f>IF(AF160=1,IFERROR(INDEX($A160:$AB160,MATCH("Cost Centre",$A$1:$AB$1,0)),"")&amp;"","")</f>
        <v/>
      </c>
      <c r="AJ160" s="54">
        <f>IF(AND(AF160=1,AE160&gt;=set_FYStart,AE160&lt;=set_AsAt),1,0)</f>
        <v/>
      </c>
      <c r="AK160" s="54">
        <f>IF(AND(AJ160=1,AH160&lt;&gt;"",COUNTIFS($AH$2:AH160,AH160,$AJ$2:AJ160,1)=1),N(AL159)+1,"")</f>
        <v/>
      </c>
      <c r="AL160" s="54">
        <f>IF(AK160&lt;&gt;"",AK160,N(AL159))</f>
        <v/>
      </c>
    </row>
    <row r="161">
      <c r="A161" t="inlineStr">
        <is>
          <t>ONS-0054</t>
        </is>
      </c>
      <c r="B161" t="inlineStr">
        <is>
          <t>Onsite</t>
        </is>
      </c>
      <c r="C161" t="inlineStr">
        <is>
          <t>26021602</t>
        </is>
      </c>
      <c r="D161" t="inlineStr">
        <is>
          <t>Gen-E</t>
        </is>
      </c>
      <c r="E161" t="inlineStr">
        <is>
          <t>PAU26-407</t>
        </is>
      </c>
      <c r="F161" t="n">
        <v>12388.8</v>
      </c>
      <c r="G161" t="inlineStr">
        <is>
          <t>INV-10642</t>
        </is>
      </c>
      <c r="I161" t="n">
        <v>12388.8</v>
      </c>
      <c r="J161" t="n">
        <v>0</v>
      </c>
      <c r="K161" t="inlineStr">
        <is>
          <t>Agrees</t>
        </is>
      </c>
      <c r="L161" t="inlineStr">
        <is>
          <t>Invoice incomplete - needs Invoice No, a date and a number in Ex GST</t>
        </is>
      </c>
      <c r="N161" t="inlineStr">
        <is>
          <t>OK</t>
        </is>
      </c>
      <c r="O161" t="inlineStr">
        <is>
          <t>Gen E ABS AV Support (Canberra)</t>
        </is>
      </c>
      <c r="P161" t="inlineStr">
        <is>
          <t>ONSITE</t>
        </is>
      </c>
      <c r="Q161" t="inlineStr">
        <is>
          <t>Ad-hoc</t>
        </is>
      </c>
      <c r="R161" t="inlineStr">
        <is>
          <t>GST 10%</t>
        </is>
      </c>
      <c r="S161" t="inlineStr">
        <is>
          <t>41100</t>
        </is>
      </c>
      <c r="U161" t="inlineStr">
        <is>
          <t>Last invoice for Gen-E?</t>
        </is>
      </c>
      <c r="V161" t="n">
        <v>1238.88</v>
      </c>
      <c r="W161" t="n">
        <v>13627.68</v>
      </c>
      <c r="Y161" t="n">
        <v>3</v>
      </c>
      <c r="Z161" t="n">
        <v>37166.4</v>
      </c>
      <c r="AA161" t="n">
        <v>37166.4</v>
      </c>
      <c r="AB161" t="n">
        <v>54</v>
      </c>
      <c r="AD161" s="52">
        <f>IFERROR(N(IFERROR(INDEX($A161:$AB161,MATCH("Xero Invoiced Ex GST",$A$1:$AB$1,0)),"")),0)</f>
        <v/>
      </c>
      <c r="AE161" s="53">
        <f>IFERROR(INDEX($A161:$AB161,MATCH("Xero Invoice Date",$A$1:$AB$1,0)),"")</f>
        <v/>
      </c>
      <c r="AF161" s="54">
        <f>IF(AND(IFERROR(INDEX($A161:$AB161,MATCH("Xero Invoice No",$A$1:$AB$1,0)),"")&amp;""&lt;&gt;"",ISNUMBER(AE161),AD161&lt;&gt;0),1,0)</f>
        <v/>
      </c>
      <c r="AG161" s="55">
        <f>IF(AF161=1,EOMONTH(AE161,0),"")</f>
        <v/>
      </c>
      <c r="AH161" s="9">
        <f>IF(AF161=1,UPPER(TRIM(IFERROR(INDEX($A161:$AB161,MATCH("Client",$A$1:$AB$1,0)),"")&amp;"")),"")</f>
        <v/>
      </c>
      <c r="AI161" s="9">
        <f>IF(AF161=1,IFERROR(INDEX($A161:$AB161,MATCH("Cost Centre",$A$1:$AB$1,0)),"")&amp;"","")</f>
        <v/>
      </c>
      <c r="AJ161" s="54">
        <f>IF(AND(AF161=1,AE161&gt;=set_FYStart,AE161&lt;=set_AsAt),1,0)</f>
        <v/>
      </c>
      <c r="AK161" s="54">
        <f>IF(AND(AJ161=1,AH161&lt;&gt;"",COUNTIFS($AH$2:AH161,AH161,$AJ$2:AJ161,1)=1),N(AL160)+1,"")</f>
        <v/>
      </c>
      <c r="AL161" s="54">
        <f>IF(AK161&lt;&gt;"",AK161,N(AL160))</f>
        <v/>
      </c>
    </row>
    <row r="162">
      <c r="A162" t="inlineStr">
        <is>
          <t>PRD-0054</t>
        </is>
      </c>
      <c r="B162" t="inlineStr">
        <is>
          <t>Production</t>
        </is>
      </c>
      <c r="C162" t="inlineStr">
        <is>
          <t>26081904</t>
        </is>
      </c>
      <c r="D162" t="inlineStr">
        <is>
          <t xml:space="preserve">Garvan </t>
        </is>
      </c>
      <c r="E162" t="inlineStr">
        <is>
          <t>AllClear Program Meeting - 2.9.26</t>
        </is>
      </c>
      <c r="F162" t="n">
        <v>865</v>
      </c>
      <c r="G162" t="inlineStr">
        <is>
          <t>INV-10625</t>
        </is>
      </c>
      <c r="H162" s="51" t="n">
        <v>46280</v>
      </c>
      <c r="I162" t="n">
        <v>865</v>
      </c>
      <c r="J162" t="n">
        <v>0</v>
      </c>
      <c r="K162" t="inlineStr">
        <is>
          <t>Agrees</t>
        </is>
      </c>
      <c r="M162" t="inlineStr">
        <is>
          <t>Xero check 28-Sep-26: invoice found in Xero</t>
        </is>
      </c>
      <c r="N162" t="inlineStr">
        <is>
          <t>OK</t>
        </is>
      </c>
      <c r="O162" t="inlineStr">
        <is>
          <t>Garvan - AllClear Program Meeting - 2.9.26</t>
        </is>
      </c>
      <c r="P162" t="inlineStr">
        <is>
          <t>PRODUCTION</t>
        </is>
      </c>
      <c r="Q162" t="inlineStr">
        <is>
          <t>Project</t>
        </is>
      </c>
      <c r="R162" t="inlineStr">
        <is>
          <t>GST 10%</t>
        </is>
      </c>
      <c r="S162" t="inlineStr">
        <is>
          <t>42100</t>
        </is>
      </c>
      <c r="T162" t="inlineStr">
        <is>
          <t>6160</t>
        </is>
      </c>
      <c r="V162" t="n">
        <v>86.5</v>
      </c>
      <c r="W162" t="n">
        <v>951.5</v>
      </c>
      <c r="X162" s="51" t="n">
        <v>46295</v>
      </c>
      <c r="Y162" t="n">
        <v>1</v>
      </c>
      <c r="Z162" t="n">
        <v>865</v>
      </c>
      <c r="AA162" t="n">
        <v>865</v>
      </c>
      <c r="AB162" t="n">
        <v>54</v>
      </c>
      <c r="AD162" s="52">
        <f>IFERROR(N(IFERROR(INDEX($A162:$AB162,MATCH("Xero Invoiced Ex GST",$A$1:$AB$1,0)),"")),0)</f>
        <v/>
      </c>
      <c r="AE162" s="53">
        <f>IFERROR(INDEX($A162:$AB162,MATCH("Xero Invoice Date",$A$1:$AB$1,0)),"")</f>
        <v/>
      </c>
      <c r="AF162" s="54">
        <f>IF(AND(IFERROR(INDEX($A162:$AB162,MATCH("Xero Invoice No",$A$1:$AB$1,0)),"")&amp;""&lt;&gt;"",ISNUMBER(AE162),AD162&lt;&gt;0),1,0)</f>
        <v/>
      </c>
      <c r="AG162" s="55">
        <f>IF(AF162=1,EOMONTH(AE162,0),"")</f>
        <v/>
      </c>
      <c r="AH162" s="9">
        <f>IF(AF162=1,UPPER(TRIM(IFERROR(INDEX($A162:$AB162,MATCH("Client",$A$1:$AB$1,0)),"")&amp;"")),"")</f>
        <v/>
      </c>
      <c r="AI162" s="9">
        <f>IF(AF162=1,IFERROR(INDEX($A162:$AB162,MATCH("Cost Centre",$A$1:$AB$1,0)),"")&amp;"","")</f>
        <v/>
      </c>
      <c r="AJ162" s="54">
        <f>IF(AND(AF162=1,AE162&gt;=set_FYStart,AE162&lt;=set_AsAt),1,0)</f>
        <v/>
      </c>
      <c r="AK162" s="54">
        <f>IF(AND(AJ162=1,AH162&lt;&gt;"",COUNTIFS($AH$2:AH162,AH162,$AJ$2:AJ162,1)=1),N(AL161)+1,"")</f>
        <v/>
      </c>
      <c r="AL162" s="54">
        <f>IF(AK162&lt;&gt;"",AK162,N(AL161))</f>
        <v/>
      </c>
    </row>
    <row r="163">
      <c r="A163" t="inlineStr">
        <is>
          <t>CON-0054</t>
        </is>
      </c>
      <c r="B163" t="inlineStr">
        <is>
          <t>Consulting</t>
        </is>
      </c>
      <c r="AB163" t="n">
        <v>54</v>
      </c>
      <c r="AD163" s="52">
        <f>IFERROR(N(IFERROR(INDEX($A163:$AB163,MATCH("Xero Invoiced Ex GST",$A$1:$AB$1,0)),"")),0)</f>
        <v/>
      </c>
      <c r="AE163" s="53">
        <f>IFERROR(INDEX($A163:$AB163,MATCH("Xero Invoice Date",$A$1:$AB$1,0)),"")</f>
        <v/>
      </c>
      <c r="AF163" s="54">
        <f>IF(AND(IFERROR(INDEX($A163:$AB163,MATCH("Xero Invoice No",$A$1:$AB$1,0)),"")&amp;""&lt;&gt;"",ISNUMBER(AE163),AD163&lt;&gt;0),1,0)</f>
        <v/>
      </c>
      <c r="AG163" s="55">
        <f>IF(AF163=1,EOMONTH(AE163,0),"")</f>
        <v/>
      </c>
      <c r="AH163" s="9">
        <f>IF(AF163=1,UPPER(TRIM(IFERROR(INDEX($A163:$AB163,MATCH("Client",$A$1:$AB$1,0)),"")&amp;"")),"")</f>
        <v/>
      </c>
      <c r="AI163" s="9">
        <f>IF(AF163=1,IFERROR(INDEX($A163:$AB163,MATCH("Cost Centre",$A$1:$AB$1,0)),"")&amp;"","")</f>
        <v/>
      </c>
      <c r="AJ163" s="54">
        <f>IF(AND(AF163=1,AE163&gt;=set_FYStart,AE163&lt;=set_AsAt),1,0)</f>
        <v/>
      </c>
      <c r="AK163" s="54">
        <f>IF(AND(AJ163=1,AH163&lt;&gt;"",COUNTIFS($AH$2:AH163,AH163,$AJ$2:AJ163,1)=1),N(AL162)+1,"")</f>
        <v/>
      </c>
      <c r="AL163" s="54">
        <f>IF(AK163&lt;&gt;"",AK163,N(AL162))</f>
        <v/>
      </c>
    </row>
    <row r="164">
      <c r="A164" t="inlineStr">
        <is>
          <t>ONS-0055</t>
        </is>
      </c>
      <c r="B164" t="inlineStr">
        <is>
          <t>Onsite</t>
        </is>
      </c>
      <c r="C164" t="inlineStr">
        <is>
          <t>1350</t>
        </is>
      </c>
      <c r="D164" t="inlineStr">
        <is>
          <t>CBA</t>
        </is>
      </c>
      <c r="E164" t="inlineStr">
        <is>
          <t>85720001BRISCSJUN27</t>
        </is>
      </c>
      <c r="F164" t="n">
        <v>5940</v>
      </c>
      <c r="G164" t="inlineStr">
        <is>
          <t>INV-10636</t>
        </is>
      </c>
      <c r="I164" t="n">
        <v>5940</v>
      </c>
      <c r="J164" t="n">
        <v>0</v>
      </c>
      <c r="K164" t="inlineStr">
        <is>
          <t>Agrees</t>
        </is>
      </c>
      <c r="L164" t="inlineStr">
        <is>
          <t>Invoice incomplete - needs Invoice No, a date and a number in Ex GST</t>
        </is>
      </c>
      <c r="N164" t="inlineStr">
        <is>
          <t>OK</t>
        </is>
      </c>
      <c r="O164" t="inlineStr">
        <is>
          <t>CBA Brisbane ONS</t>
        </is>
      </c>
      <c r="P164" t="inlineStr">
        <is>
          <t>ONSITE</t>
        </is>
      </c>
      <c r="Q164" t="inlineStr">
        <is>
          <t>Contract</t>
        </is>
      </c>
      <c r="R164" t="inlineStr">
        <is>
          <t>GST 10%</t>
        </is>
      </c>
      <c r="S164" t="inlineStr">
        <is>
          <t>41100</t>
        </is>
      </c>
      <c r="V164" t="n">
        <v>594</v>
      </c>
      <c r="W164" t="n">
        <v>6534</v>
      </c>
      <c r="Y164" t="n">
        <v>3</v>
      </c>
      <c r="Z164" t="n">
        <v>22550.95</v>
      </c>
      <c r="AA164" t="n">
        <v>22550.95</v>
      </c>
      <c r="AB164" t="n">
        <v>55</v>
      </c>
      <c r="AD164" s="52">
        <f>IFERROR(N(IFERROR(INDEX($A164:$AB164,MATCH("Xero Invoiced Ex GST",$A$1:$AB$1,0)),"")),0)</f>
        <v/>
      </c>
      <c r="AE164" s="53">
        <f>IFERROR(INDEX($A164:$AB164,MATCH("Xero Invoice Date",$A$1:$AB$1,0)),"")</f>
        <v/>
      </c>
      <c r="AF164" s="54">
        <f>IF(AND(IFERROR(INDEX($A164:$AB164,MATCH("Xero Invoice No",$A$1:$AB$1,0)),"")&amp;""&lt;&gt;"",ISNUMBER(AE164),AD164&lt;&gt;0),1,0)</f>
        <v/>
      </c>
      <c r="AG164" s="55">
        <f>IF(AF164=1,EOMONTH(AE164,0),"")</f>
        <v/>
      </c>
      <c r="AH164" s="9">
        <f>IF(AF164=1,UPPER(TRIM(IFERROR(INDEX($A164:$AB164,MATCH("Client",$A$1:$AB$1,0)),"")&amp;"")),"")</f>
        <v/>
      </c>
      <c r="AI164" s="9">
        <f>IF(AF164=1,IFERROR(INDEX($A164:$AB164,MATCH("Cost Centre",$A$1:$AB$1,0)),"")&amp;"","")</f>
        <v/>
      </c>
      <c r="AJ164" s="54">
        <f>IF(AND(AF164=1,AE164&gt;=set_FYStart,AE164&lt;=set_AsAt),1,0)</f>
        <v/>
      </c>
      <c r="AK164" s="54">
        <f>IF(AND(AJ164=1,AH164&lt;&gt;"",COUNTIFS($AH$2:AH164,AH164,$AJ$2:AJ164,1)=1),N(AL163)+1,"")</f>
        <v/>
      </c>
      <c r="AL164" s="54">
        <f>IF(AK164&lt;&gt;"",AK164,N(AL163))</f>
        <v/>
      </c>
    </row>
    <row r="165">
      <c r="A165" t="inlineStr">
        <is>
          <t>PRD-0055</t>
        </is>
      </c>
      <c r="B165" t="inlineStr">
        <is>
          <t>Production</t>
        </is>
      </c>
      <c r="C165" t="inlineStr">
        <is>
          <t>26032302</t>
        </is>
      </c>
      <c r="D165" t="inlineStr">
        <is>
          <t>RSNSW</t>
        </is>
      </c>
      <c r="E165" t="inlineStr">
        <is>
          <t>Ordinary General Meeting 2.9.26</t>
        </is>
      </c>
      <c r="F165" t="n">
        <v>2232</v>
      </c>
      <c r="G165" t="inlineStr">
        <is>
          <t>INV-10627</t>
        </is>
      </c>
      <c r="H165" s="51" t="n">
        <v>46280</v>
      </c>
      <c r="I165" t="n">
        <v>2232</v>
      </c>
      <c r="J165" t="n">
        <v>0</v>
      </c>
      <c r="K165" t="inlineStr">
        <is>
          <t>Agrees</t>
        </is>
      </c>
      <c r="M165" t="inlineStr">
        <is>
          <t>Xero check 28-Sep-26: invoice found in Xero</t>
        </is>
      </c>
      <c r="N165" t="inlineStr">
        <is>
          <t>OK</t>
        </is>
      </c>
      <c r="O165" t="inlineStr">
        <is>
          <t>RSNSW - OGM - 2.9.2026</t>
        </is>
      </c>
      <c r="P165" t="inlineStr">
        <is>
          <t>PRODUCTION</t>
        </is>
      </c>
      <c r="Q165" t="inlineStr">
        <is>
          <t>Project</t>
        </is>
      </c>
      <c r="R165" t="inlineStr">
        <is>
          <t>GST 10%</t>
        </is>
      </c>
      <c r="S165" t="inlineStr">
        <is>
          <t>42100</t>
        </is>
      </c>
      <c r="T165" t="inlineStr">
        <is>
          <t>5925</t>
        </is>
      </c>
      <c r="V165" t="n">
        <v>223.2</v>
      </c>
      <c r="W165" t="n">
        <v>2455.2</v>
      </c>
      <c r="X165" s="51" t="n">
        <v>46295</v>
      </c>
      <c r="Y165" t="n">
        <v>1</v>
      </c>
      <c r="Z165" t="n">
        <v>2232</v>
      </c>
      <c r="AA165" t="n">
        <v>2232</v>
      </c>
      <c r="AB165" t="n">
        <v>55</v>
      </c>
      <c r="AD165" s="52">
        <f>IFERROR(N(IFERROR(INDEX($A165:$AB165,MATCH("Xero Invoiced Ex GST",$A$1:$AB$1,0)),"")),0)</f>
        <v/>
      </c>
      <c r="AE165" s="53">
        <f>IFERROR(INDEX($A165:$AB165,MATCH("Xero Invoice Date",$A$1:$AB$1,0)),"")</f>
        <v/>
      </c>
      <c r="AF165" s="54">
        <f>IF(AND(IFERROR(INDEX($A165:$AB165,MATCH("Xero Invoice No",$A$1:$AB$1,0)),"")&amp;""&lt;&gt;"",ISNUMBER(AE165),AD165&lt;&gt;0),1,0)</f>
        <v/>
      </c>
      <c r="AG165" s="55">
        <f>IF(AF165=1,EOMONTH(AE165,0),"")</f>
        <v/>
      </c>
      <c r="AH165" s="9">
        <f>IF(AF165=1,UPPER(TRIM(IFERROR(INDEX($A165:$AB165,MATCH("Client",$A$1:$AB$1,0)),"")&amp;"")),"")</f>
        <v/>
      </c>
      <c r="AI165" s="9">
        <f>IF(AF165=1,IFERROR(INDEX($A165:$AB165,MATCH("Cost Centre",$A$1:$AB$1,0)),"")&amp;"","")</f>
        <v/>
      </c>
      <c r="AJ165" s="54">
        <f>IF(AND(AF165=1,AE165&gt;=set_FYStart,AE165&lt;=set_AsAt),1,0)</f>
        <v/>
      </c>
      <c r="AK165" s="54">
        <f>IF(AND(AJ165=1,AH165&lt;&gt;"",COUNTIFS($AH$2:AH165,AH165,$AJ$2:AJ165,1)=1),N(AL164)+1,"")</f>
        <v/>
      </c>
      <c r="AL165" s="54">
        <f>IF(AK165&lt;&gt;"",AK165,N(AL164))</f>
        <v/>
      </c>
    </row>
    <row r="166">
      <c r="A166" t="inlineStr">
        <is>
          <t>CON-0055</t>
        </is>
      </c>
      <c r="B166" t="inlineStr">
        <is>
          <t>Consulting</t>
        </is>
      </c>
      <c r="AB166" t="n">
        <v>55</v>
      </c>
      <c r="AD166" s="52">
        <f>IFERROR(N(IFERROR(INDEX($A166:$AB166,MATCH("Xero Invoiced Ex GST",$A$1:$AB$1,0)),"")),0)</f>
        <v/>
      </c>
      <c r="AE166" s="53">
        <f>IFERROR(INDEX($A166:$AB166,MATCH("Xero Invoice Date",$A$1:$AB$1,0)),"")</f>
        <v/>
      </c>
      <c r="AF166" s="54">
        <f>IF(AND(IFERROR(INDEX($A166:$AB166,MATCH("Xero Invoice No",$A$1:$AB$1,0)),"")&amp;""&lt;&gt;"",ISNUMBER(AE166),AD166&lt;&gt;0),1,0)</f>
        <v/>
      </c>
      <c r="AG166" s="55">
        <f>IF(AF166=1,EOMONTH(AE166,0),"")</f>
        <v/>
      </c>
      <c r="AH166" s="9">
        <f>IF(AF166=1,UPPER(TRIM(IFERROR(INDEX($A166:$AB166,MATCH("Client",$A$1:$AB$1,0)),"")&amp;"")),"")</f>
        <v/>
      </c>
      <c r="AI166" s="9">
        <f>IF(AF166=1,IFERROR(INDEX($A166:$AB166,MATCH("Cost Centre",$A$1:$AB$1,0)),"")&amp;"","")</f>
        <v/>
      </c>
      <c r="AJ166" s="54">
        <f>IF(AND(AF166=1,AE166&gt;=set_FYStart,AE166&lt;=set_AsAt),1,0)</f>
        <v/>
      </c>
      <c r="AK166" s="54">
        <f>IF(AND(AJ166=1,AH166&lt;&gt;"",COUNTIFS($AH$2:AH166,AH166,$AJ$2:AJ166,1)=1),N(AL165)+1,"")</f>
        <v/>
      </c>
      <c r="AL166" s="54">
        <f>IF(AK166&lt;&gt;"",AK166,N(AL165))</f>
        <v/>
      </c>
    </row>
    <row r="167">
      <c r="A167" t="inlineStr">
        <is>
          <t>ONS-0056</t>
        </is>
      </c>
      <c r="B167" t="inlineStr">
        <is>
          <t>Onsite</t>
        </is>
      </c>
      <c r="C167" t="inlineStr">
        <is>
          <t>587</t>
        </is>
      </c>
      <c r="D167" t="inlineStr">
        <is>
          <t>CBA</t>
        </is>
      </c>
      <c r="E167" t="inlineStr">
        <is>
          <t>85720001CBSCSJUN27</t>
        </is>
      </c>
      <c r="F167" t="n">
        <v>10720</v>
      </c>
      <c r="G167" t="inlineStr">
        <is>
          <t>INV-10637</t>
        </is>
      </c>
      <c r="I167" t="n">
        <v>10720</v>
      </c>
      <c r="J167" t="n">
        <v>0</v>
      </c>
      <c r="K167" t="inlineStr">
        <is>
          <t>Agrees</t>
        </is>
      </c>
      <c r="L167" t="inlineStr">
        <is>
          <t>Invoice incomplete - needs Invoice No, a date and a number in Ex GST</t>
        </is>
      </c>
      <c r="N167" t="inlineStr">
        <is>
          <t>OK</t>
        </is>
      </c>
      <c r="O167" t="inlineStr">
        <is>
          <t>CBA Tech TN</t>
        </is>
      </c>
      <c r="P167" t="inlineStr">
        <is>
          <t>ONSITE</t>
        </is>
      </c>
      <c r="Q167" t="inlineStr">
        <is>
          <t>Contract</t>
        </is>
      </c>
      <c r="R167" t="inlineStr">
        <is>
          <t>GST 10%</t>
        </is>
      </c>
      <c r="S167" t="inlineStr">
        <is>
          <t>41100</t>
        </is>
      </c>
      <c r="V167" t="n">
        <v>1072</v>
      </c>
      <c r="W167" t="n">
        <v>11792</v>
      </c>
      <c r="Y167" t="n">
        <v>4</v>
      </c>
      <c r="Z167" t="n">
        <v>31637.88</v>
      </c>
      <c r="AA167" t="n">
        <v>31637.88</v>
      </c>
      <c r="AB167" t="n">
        <v>56</v>
      </c>
      <c r="AD167" s="52">
        <f>IFERROR(N(IFERROR(INDEX($A167:$AB167,MATCH("Xero Invoiced Ex GST",$A$1:$AB$1,0)),"")),0)</f>
        <v/>
      </c>
      <c r="AE167" s="53">
        <f>IFERROR(INDEX($A167:$AB167,MATCH("Xero Invoice Date",$A$1:$AB$1,0)),"")</f>
        <v/>
      </c>
      <c r="AF167" s="54">
        <f>IF(AND(IFERROR(INDEX($A167:$AB167,MATCH("Xero Invoice No",$A$1:$AB$1,0)),"")&amp;""&lt;&gt;"",ISNUMBER(AE167),AD167&lt;&gt;0),1,0)</f>
        <v/>
      </c>
      <c r="AG167" s="55">
        <f>IF(AF167=1,EOMONTH(AE167,0),"")</f>
        <v/>
      </c>
      <c r="AH167" s="9">
        <f>IF(AF167=1,UPPER(TRIM(IFERROR(INDEX($A167:$AB167,MATCH("Client",$A$1:$AB$1,0)),"")&amp;"")),"")</f>
        <v/>
      </c>
      <c r="AI167" s="9">
        <f>IF(AF167=1,IFERROR(INDEX($A167:$AB167,MATCH("Cost Centre",$A$1:$AB$1,0)),"")&amp;"","")</f>
        <v/>
      </c>
      <c r="AJ167" s="54">
        <f>IF(AND(AF167=1,AE167&gt;=set_FYStart,AE167&lt;=set_AsAt),1,0)</f>
        <v/>
      </c>
      <c r="AK167" s="54">
        <f>IF(AND(AJ167=1,AH167&lt;&gt;"",COUNTIFS($AH$2:AH167,AH167,$AJ$2:AJ167,1)=1),N(AL166)+1,"")</f>
        <v/>
      </c>
      <c r="AL167" s="54">
        <f>IF(AK167&lt;&gt;"",AK167,N(AL166))</f>
        <v/>
      </c>
    </row>
    <row r="168">
      <c r="A168" t="inlineStr">
        <is>
          <t>PRD-0056</t>
        </is>
      </c>
      <c r="B168" t="inlineStr">
        <is>
          <t>Production</t>
        </is>
      </c>
      <c r="C168" t="inlineStr">
        <is>
          <t>26072102</t>
        </is>
      </c>
      <c r="D168" t="inlineStr">
        <is>
          <t>Ventia</t>
        </is>
      </c>
      <c r="E168" t="inlineStr">
        <is>
          <t>RUOK? Day 10.9.26</t>
        </is>
      </c>
      <c r="F168" t="n">
        <v>8437.790000000001</v>
      </c>
      <c r="G168" t="inlineStr">
        <is>
          <t>INV-10632</t>
        </is>
      </c>
      <c r="H168" s="51" t="n">
        <v>46281</v>
      </c>
      <c r="I168" t="n">
        <v>7527.25</v>
      </c>
      <c r="J168" t="n">
        <v>910.540000000001</v>
      </c>
      <c r="K168" t="inlineStr">
        <is>
          <t>Dept higher - to invoice</t>
        </is>
      </c>
      <c r="M168" t="inlineStr">
        <is>
          <t>Xero check 28-Sep-26: invoice found in Xero - INV-10632 total $9,105.35 is $910.54 under the department's $10,015.89 (video line kept at $1,578.10)</t>
        </is>
      </c>
      <c r="N168" t="inlineStr">
        <is>
          <t>OK</t>
        </is>
      </c>
      <c r="O168" t="inlineStr">
        <is>
          <t>Ventia - RUOK? Day - 10.09.2026</t>
        </is>
      </c>
      <c r="P168" t="inlineStr">
        <is>
          <t>PRODUCTION</t>
        </is>
      </c>
      <c r="Q168" t="inlineStr">
        <is>
          <t>Project</t>
        </is>
      </c>
      <c r="R168" t="inlineStr">
        <is>
          <t>GST 10%</t>
        </is>
      </c>
      <c r="S168" t="inlineStr">
        <is>
          <t>42100</t>
        </is>
      </c>
      <c r="T168" t="inlineStr">
        <is>
          <t>6122</t>
        </is>
      </c>
      <c r="V168" t="n">
        <v>752.73</v>
      </c>
      <c r="W168" t="n">
        <v>8279.98</v>
      </c>
      <c r="X168" s="51" t="n">
        <v>46295</v>
      </c>
      <c r="Y168" t="n">
        <v>1</v>
      </c>
      <c r="Z168" t="n">
        <v>8437.790000000001</v>
      </c>
      <c r="AA168" t="n">
        <v>7527.25</v>
      </c>
      <c r="AB168" t="n">
        <v>56</v>
      </c>
      <c r="AD168" s="52">
        <f>IFERROR(N(IFERROR(INDEX($A168:$AB168,MATCH("Xero Invoiced Ex GST",$A$1:$AB$1,0)),"")),0)</f>
        <v/>
      </c>
      <c r="AE168" s="53">
        <f>IFERROR(INDEX($A168:$AB168,MATCH("Xero Invoice Date",$A$1:$AB$1,0)),"")</f>
        <v/>
      </c>
      <c r="AF168" s="54">
        <f>IF(AND(IFERROR(INDEX($A168:$AB168,MATCH("Xero Invoice No",$A$1:$AB$1,0)),"")&amp;""&lt;&gt;"",ISNUMBER(AE168),AD168&lt;&gt;0),1,0)</f>
        <v/>
      </c>
      <c r="AG168" s="55">
        <f>IF(AF168=1,EOMONTH(AE168,0),"")</f>
        <v/>
      </c>
      <c r="AH168" s="9">
        <f>IF(AF168=1,UPPER(TRIM(IFERROR(INDEX($A168:$AB168,MATCH("Client",$A$1:$AB$1,0)),"")&amp;"")),"")</f>
        <v/>
      </c>
      <c r="AI168" s="9">
        <f>IF(AF168=1,IFERROR(INDEX($A168:$AB168,MATCH("Cost Centre",$A$1:$AB$1,0)),"")&amp;"","")</f>
        <v/>
      </c>
      <c r="AJ168" s="54">
        <f>IF(AND(AF168=1,AE168&gt;=set_FYStart,AE168&lt;=set_AsAt),1,0)</f>
        <v/>
      </c>
      <c r="AK168" s="54">
        <f>IF(AND(AJ168=1,AH168&lt;&gt;"",COUNTIFS($AH$2:AH168,AH168,$AJ$2:AJ168,1)=1),N(AL167)+1,"")</f>
        <v/>
      </c>
      <c r="AL168" s="54">
        <f>IF(AK168&lt;&gt;"",AK168,N(AL167))</f>
        <v/>
      </c>
    </row>
    <row r="169">
      <c r="A169" t="inlineStr">
        <is>
          <t>CON-0056</t>
        </is>
      </c>
      <c r="B169" t="inlineStr">
        <is>
          <t>Consulting</t>
        </is>
      </c>
      <c r="AB169" t="n">
        <v>56</v>
      </c>
      <c r="AD169" s="52">
        <f>IFERROR(N(IFERROR(INDEX($A169:$AB169,MATCH("Xero Invoiced Ex GST",$A$1:$AB$1,0)),"")),0)</f>
        <v/>
      </c>
      <c r="AE169" s="53">
        <f>IFERROR(INDEX($A169:$AB169,MATCH("Xero Invoice Date",$A$1:$AB$1,0)),"")</f>
        <v/>
      </c>
      <c r="AF169" s="54">
        <f>IF(AND(IFERROR(INDEX($A169:$AB169,MATCH("Xero Invoice No",$A$1:$AB$1,0)),"")&amp;""&lt;&gt;"",ISNUMBER(AE169),AD169&lt;&gt;0),1,0)</f>
        <v/>
      </c>
      <c r="AG169" s="55">
        <f>IF(AF169=1,EOMONTH(AE169,0),"")</f>
        <v/>
      </c>
      <c r="AH169" s="9">
        <f>IF(AF169=1,UPPER(TRIM(IFERROR(INDEX($A169:$AB169,MATCH("Client",$A$1:$AB$1,0)),"")&amp;"")),"")</f>
        <v/>
      </c>
      <c r="AI169" s="9">
        <f>IF(AF169=1,IFERROR(INDEX($A169:$AB169,MATCH("Cost Centre",$A$1:$AB$1,0)),"")&amp;"","")</f>
        <v/>
      </c>
      <c r="AJ169" s="54">
        <f>IF(AND(AF169=1,AE169&gt;=set_FYStart,AE169&lt;=set_AsAt),1,0)</f>
        <v/>
      </c>
      <c r="AK169" s="54">
        <f>IF(AND(AJ169=1,AH169&lt;&gt;"",COUNTIFS($AH$2:AH169,AH169,$AJ$2:AJ169,1)=1),N(AL168)+1,"")</f>
        <v/>
      </c>
      <c r="AL169" s="54">
        <f>IF(AK169&lt;&gt;"",AK169,N(AL168))</f>
        <v/>
      </c>
    </row>
    <row r="170">
      <c r="A170" t="inlineStr">
        <is>
          <t>ONS-0057</t>
        </is>
      </c>
      <c r="B170" t="inlineStr">
        <is>
          <t>Onsite</t>
        </is>
      </c>
      <c r="C170" t="inlineStr">
        <is>
          <t>585</t>
        </is>
      </c>
      <c r="D170" t="inlineStr">
        <is>
          <t>CBA</t>
        </is>
      </c>
      <c r="E170" t="inlineStr">
        <is>
          <t>85720001CBPSCSJUN27</t>
        </is>
      </c>
      <c r="F170" t="n">
        <v>22708</v>
      </c>
      <c r="G170" t="inlineStr">
        <is>
          <t>INV-10643</t>
        </is>
      </c>
      <c r="I170" t="n">
        <v>22708</v>
      </c>
      <c r="J170" t="n">
        <v>0</v>
      </c>
      <c r="K170" t="inlineStr">
        <is>
          <t>Agrees</t>
        </is>
      </c>
      <c r="L170" t="inlineStr">
        <is>
          <t>Invoice incomplete - needs Invoice No, a date and a number in Ex GST</t>
        </is>
      </c>
      <c r="N170" t="inlineStr">
        <is>
          <t>OK</t>
        </is>
      </c>
      <c r="O170" t="inlineStr">
        <is>
          <t>CBA Team Leader</t>
        </is>
      </c>
      <c r="P170" t="inlineStr">
        <is>
          <t>ONSITE</t>
        </is>
      </c>
      <c r="Q170" t="inlineStr">
        <is>
          <t>Contract</t>
        </is>
      </c>
      <c r="R170" t="inlineStr">
        <is>
          <t>GST 10%</t>
        </is>
      </c>
      <c r="S170" t="inlineStr">
        <is>
          <t>41100</t>
        </is>
      </c>
      <c r="V170" t="n">
        <v>2270.8</v>
      </c>
      <c r="W170" t="n">
        <v>24978.8</v>
      </c>
      <c r="Y170" t="n">
        <v>1</v>
      </c>
      <c r="Z170" t="n">
        <v>22708</v>
      </c>
      <c r="AA170" t="n">
        <v>22708</v>
      </c>
      <c r="AB170" t="n">
        <v>57</v>
      </c>
      <c r="AD170" s="52">
        <f>IFERROR(N(IFERROR(INDEX($A170:$AB170,MATCH("Xero Invoiced Ex GST",$A$1:$AB$1,0)),"")),0)</f>
        <v/>
      </c>
      <c r="AE170" s="53">
        <f>IFERROR(INDEX($A170:$AB170,MATCH("Xero Invoice Date",$A$1:$AB$1,0)),"")</f>
        <v/>
      </c>
      <c r="AF170" s="54">
        <f>IF(AND(IFERROR(INDEX($A170:$AB170,MATCH("Xero Invoice No",$A$1:$AB$1,0)),"")&amp;""&lt;&gt;"",ISNUMBER(AE170),AD170&lt;&gt;0),1,0)</f>
        <v/>
      </c>
      <c r="AG170" s="55">
        <f>IF(AF170=1,EOMONTH(AE170,0),"")</f>
        <v/>
      </c>
      <c r="AH170" s="9">
        <f>IF(AF170=1,UPPER(TRIM(IFERROR(INDEX($A170:$AB170,MATCH("Client",$A$1:$AB$1,0)),"")&amp;"")),"")</f>
        <v/>
      </c>
      <c r="AI170" s="9">
        <f>IF(AF170=1,IFERROR(INDEX($A170:$AB170,MATCH("Cost Centre",$A$1:$AB$1,0)),"")&amp;"","")</f>
        <v/>
      </c>
      <c r="AJ170" s="54">
        <f>IF(AND(AF170=1,AE170&gt;=set_FYStart,AE170&lt;=set_AsAt),1,0)</f>
        <v/>
      </c>
      <c r="AK170" s="54">
        <f>IF(AND(AJ170=1,AH170&lt;&gt;"",COUNTIFS($AH$2:AH170,AH170,$AJ$2:AJ170,1)=1),N(AL169)+1,"")</f>
        <v/>
      </c>
      <c r="AL170" s="54">
        <f>IF(AK170&lt;&gt;"",AK170,N(AL169))</f>
        <v/>
      </c>
    </row>
    <row r="171">
      <c r="A171" t="inlineStr">
        <is>
          <t>PRD-0057</t>
        </is>
      </c>
      <c r="B171" t="inlineStr">
        <is>
          <t>Production</t>
        </is>
      </c>
      <c r="C171" t="inlineStr">
        <is>
          <t>26082703</t>
        </is>
      </c>
      <c r="D171" t="inlineStr">
        <is>
          <t>APA</t>
        </is>
      </c>
      <c r="E171" t="inlineStr">
        <is>
          <t>RUOK? Day 10.9.26</t>
        </is>
      </c>
      <c r="F171" t="n">
        <v>570</v>
      </c>
      <c r="G171" t="inlineStr">
        <is>
          <t>INV-10628</t>
        </is>
      </c>
      <c r="H171" s="51" t="n">
        <v>46281</v>
      </c>
      <c r="I171" t="n">
        <v>570</v>
      </c>
      <c r="J171" t="n">
        <v>0</v>
      </c>
      <c r="K171" t="inlineStr">
        <is>
          <t>Agrees</t>
        </is>
      </c>
      <c r="M171" t="inlineStr">
        <is>
          <t>Xero check 28-Sep-26: invoice found in Xero</t>
        </is>
      </c>
      <c r="N171" t="inlineStr">
        <is>
          <t>OK</t>
        </is>
      </c>
      <c r="O171" t="inlineStr">
        <is>
          <t>APA - RUOK Day - 10.9.26</t>
        </is>
      </c>
      <c r="P171" t="inlineStr">
        <is>
          <t>PRODUCTION</t>
        </is>
      </c>
      <c r="Q171" t="inlineStr">
        <is>
          <t>Project</t>
        </is>
      </c>
      <c r="R171" t="inlineStr">
        <is>
          <t>GST 10%</t>
        </is>
      </c>
      <c r="S171" t="inlineStr">
        <is>
          <t>42100</t>
        </is>
      </c>
      <c r="T171" t="inlineStr">
        <is>
          <t>6168</t>
        </is>
      </c>
      <c r="V171" t="n">
        <v>57</v>
      </c>
      <c r="W171" t="n">
        <v>627</v>
      </c>
      <c r="X171" s="51" t="n">
        <v>46295</v>
      </c>
      <c r="Y171" t="n">
        <v>1</v>
      </c>
      <c r="Z171" t="n">
        <v>570</v>
      </c>
      <c r="AA171" t="n">
        <v>570</v>
      </c>
      <c r="AB171" t="n">
        <v>57</v>
      </c>
      <c r="AD171" s="52">
        <f>IFERROR(N(IFERROR(INDEX($A171:$AB171,MATCH("Xero Invoiced Ex GST",$A$1:$AB$1,0)),"")),0)</f>
        <v/>
      </c>
      <c r="AE171" s="53">
        <f>IFERROR(INDEX($A171:$AB171,MATCH("Xero Invoice Date",$A$1:$AB$1,0)),"")</f>
        <v/>
      </c>
      <c r="AF171" s="54">
        <f>IF(AND(IFERROR(INDEX($A171:$AB171,MATCH("Xero Invoice No",$A$1:$AB$1,0)),"")&amp;""&lt;&gt;"",ISNUMBER(AE171),AD171&lt;&gt;0),1,0)</f>
        <v/>
      </c>
      <c r="AG171" s="55">
        <f>IF(AF171=1,EOMONTH(AE171,0),"")</f>
        <v/>
      </c>
      <c r="AH171" s="9">
        <f>IF(AF171=1,UPPER(TRIM(IFERROR(INDEX($A171:$AB171,MATCH("Client",$A$1:$AB$1,0)),"")&amp;"")),"")</f>
        <v/>
      </c>
      <c r="AI171" s="9">
        <f>IF(AF171=1,IFERROR(INDEX($A171:$AB171,MATCH("Cost Centre",$A$1:$AB$1,0)),"")&amp;"","")</f>
        <v/>
      </c>
      <c r="AJ171" s="54">
        <f>IF(AND(AF171=1,AE171&gt;=set_FYStart,AE171&lt;=set_AsAt),1,0)</f>
        <v/>
      </c>
      <c r="AK171" s="54">
        <f>IF(AND(AJ171=1,AH171&lt;&gt;"",COUNTIFS($AH$2:AH171,AH171,$AJ$2:AJ171,1)=1),N(AL170)+1,"")</f>
        <v/>
      </c>
      <c r="AL171" s="54">
        <f>IF(AK171&lt;&gt;"",AK171,N(AL170))</f>
        <v/>
      </c>
    </row>
    <row r="172">
      <c r="A172" t="inlineStr">
        <is>
          <t>CON-0057</t>
        </is>
      </c>
      <c r="B172" t="inlineStr">
        <is>
          <t>Consulting</t>
        </is>
      </c>
      <c r="AB172" t="n">
        <v>57</v>
      </c>
      <c r="AD172" s="52">
        <f>IFERROR(N(IFERROR(INDEX($A172:$AB172,MATCH("Xero Invoiced Ex GST",$A$1:$AB$1,0)),"")),0)</f>
        <v/>
      </c>
      <c r="AE172" s="53">
        <f>IFERROR(INDEX($A172:$AB172,MATCH("Xero Invoice Date",$A$1:$AB$1,0)),"")</f>
        <v/>
      </c>
      <c r="AF172" s="54">
        <f>IF(AND(IFERROR(INDEX($A172:$AB172,MATCH("Xero Invoice No",$A$1:$AB$1,0)),"")&amp;""&lt;&gt;"",ISNUMBER(AE172),AD172&lt;&gt;0),1,0)</f>
        <v/>
      </c>
      <c r="AG172" s="55">
        <f>IF(AF172=1,EOMONTH(AE172,0),"")</f>
        <v/>
      </c>
      <c r="AH172" s="9">
        <f>IF(AF172=1,UPPER(TRIM(IFERROR(INDEX($A172:$AB172,MATCH("Client",$A$1:$AB$1,0)),"")&amp;"")),"")</f>
        <v/>
      </c>
      <c r="AI172" s="9">
        <f>IF(AF172=1,IFERROR(INDEX($A172:$AB172,MATCH("Cost Centre",$A$1:$AB$1,0)),"")&amp;"","")</f>
        <v/>
      </c>
      <c r="AJ172" s="54">
        <f>IF(AND(AF172=1,AE172&gt;=set_FYStart,AE172&lt;=set_AsAt),1,0)</f>
        <v/>
      </c>
      <c r="AK172" s="54">
        <f>IF(AND(AJ172=1,AH172&lt;&gt;"",COUNTIFS($AH$2:AH172,AH172,$AJ$2:AJ172,1)=1),N(AL171)+1,"")</f>
        <v/>
      </c>
      <c r="AL172" s="54">
        <f>IF(AK172&lt;&gt;"",AK172,N(AL171))</f>
        <v/>
      </c>
    </row>
    <row r="173">
      <c r="A173" t="inlineStr">
        <is>
          <t>ONS-0058</t>
        </is>
      </c>
      <c r="B173" t="inlineStr">
        <is>
          <t>Onsite</t>
        </is>
      </c>
      <c r="C173" t="inlineStr">
        <is>
          <t>26043001</t>
        </is>
      </c>
      <c r="D173" t="inlineStr">
        <is>
          <t>CBA</t>
        </is>
      </c>
      <c r="E173" t="inlineStr">
        <is>
          <t>85720001MEL435CSJUN27</t>
        </is>
      </c>
      <c r="F173" t="n">
        <v>11960</v>
      </c>
      <c r="G173" t="inlineStr">
        <is>
          <t>INV-10644</t>
        </is>
      </c>
      <c r="I173" t="n">
        <v>11960</v>
      </c>
      <c r="J173" t="n">
        <v>0</v>
      </c>
      <c r="K173" t="inlineStr">
        <is>
          <t>Agrees</t>
        </is>
      </c>
      <c r="L173" t="inlineStr">
        <is>
          <t>Invoice incomplete - needs Invoice No, a date and a number in Ex GST</t>
        </is>
      </c>
      <c r="N173" t="inlineStr">
        <is>
          <t>OK</t>
        </is>
      </c>
      <c r="O173" t="inlineStr">
        <is>
          <t>CBA FT Tech MEL - 12 months</t>
        </is>
      </c>
      <c r="P173" t="inlineStr">
        <is>
          <t>ONSITE</t>
        </is>
      </c>
      <c r="Q173" t="inlineStr">
        <is>
          <t>Contract</t>
        </is>
      </c>
      <c r="R173" t="inlineStr">
        <is>
          <t>GST 10%</t>
        </is>
      </c>
      <c r="S173" t="inlineStr">
        <is>
          <t>41100</t>
        </is>
      </c>
      <c r="V173" t="n">
        <v>1196</v>
      </c>
      <c r="W173" t="n">
        <v>13156</v>
      </c>
      <c r="Y173" t="n">
        <v>3</v>
      </c>
      <c r="Z173" t="n">
        <v>35297.12</v>
      </c>
      <c r="AA173" t="n">
        <v>35297.12</v>
      </c>
      <c r="AB173" t="n">
        <v>58</v>
      </c>
      <c r="AD173" s="52">
        <f>IFERROR(N(IFERROR(INDEX($A173:$AB173,MATCH("Xero Invoiced Ex GST",$A$1:$AB$1,0)),"")),0)</f>
        <v/>
      </c>
      <c r="AE173" s="53">
        <f>IFERROR(INDEX($A173:$AB173,MATCH("Xero Invoice Date",$A$1:$AB$1,0)),"")</f>
        <v/>
      </c>
      <c r="AF173" s="54">
        <f>IF(AND(IFERROR(INDEX($A173:$AB173,MATCH("Xero Invoice No",$A$1:$AB$1,0)),"")&amp;""&lt;&gt;"",ISNUMBER(AE173),AD173&lt;&gt;0),1,0)</f>
        <v/>
      </c>
      <c r="AG173" s="55">
        <f>IF(AF173=1,EOMONTH(AE173,0),"")</f>
        <v/>
      </c>
      <c r="AH173" s="9">
        <f>IF(AF173=1,UPPER(TRIM(IFERROR(INDEX($A173:$AB173,MATCH("Client",$A$1:$AB$1,0)),"")&amp;"")),"")</f>
        <v/>
      </c>
      <c r="AI173" s="9">
        <f>IF(AF173=1,IFERROR(INDEX($A173:$AB173,MATCH("Cost Centre",$A$1:$AB$1,0)),"")&amp;"","")</f>
        <v/>
      </c>
      <c r="AJ173" s="54">
        <f>IF(AND(AF173=1,AE173&gt;=set_FYStart,AE173&lt;=set_AsAt),1,0)</f>
        <v/>
      </c>
      <c r="AK173" s="54">
        <f>IF(AND(AJ173=1,AH173&lt;&gt;"",COUNTIFS($AH$2:AH173,AH173,$AJ$2:AJ173,1)=1),N(AL172)+1,"")</f>
        <v/>
      </c>
      <c r="AL173" s="54">
        <f>IF(AK173&lt;&gt;"",AK173,N(AL172))</f>
        <v/>
      </c>
    </row>
    <row r="174">
      <c r="A174" t="inlineStr">
        <is>
          <t>PRD-0058</t>
        </is>
      </c>
      <c r="B174" t="inlineStr">
        <is>
          <t>Production</t>
        </is>
      </c>
      <c r="C174" t="inlineStr">
        <is>
          <t>2608701</t>
        </is>
      </c>
      <c r="D174" t="inlineStr">
        <is>
          <t>Ventia</t>
        </is>
      </c>
      <c r="E174" t="inlineStr">
        <is>
          <t>Elkiem Studio Support 10.9.26</t>
        </is>
      </c>
      <c r="F174" t="n">
        <v>380</v>
      </c>
      <c r="G174" t="inlineStr">
        <is>
          <t>INV-10629</t>
        </is>
      </c>
      <c r="H174" s="51" t="n">
        <v>46281</v>
      </c>
      <c r="I174" t="n">
        <v>380</v>
      </c>
      <c r="J174" t="n">
        <v>0</v>
      </c>
      <c r="K174" t="inlineStr">
        <is>
          <t>Agrees</t>
        </is>
      </c>
      <c r="M174" t="inlineStr">
        <is>
          <t>Xero check 28-Sep-26: invoice found in Xero</t>
        </is>
      </c>
      <c r="N174" t="inlineStr">
        <is>
          <t>OK</t>
        </is>
      </c>
      <c r="O174" t="inlineStr">
        <is>
          <t>Elkeim - Studio Support - 10.9.26</t>
        </is>
      </c>
      <c r="P174" t="inlineStr">
        <is>
          <t>PRODUCTION</t>
        </is>
      </c>
      <c r="Q174" t="inlineStr">
        <is>
          <t>Project</t>
        </is>
      </c>
      <c r="R174" t="inlineStr">
        <is>
          <t>GST 10%</t>
        </is>
      </c>
      <c r="S174" t="inlineStr">
        <is>
          <t>42100</t>
        </is>
      </c>
      <c r="T174" t="inlineStr">
        <is>
          <t>6148</t>
        </is>
      </c>
      <c r="V174" t="n">
        <v>38</v>
      </c>
      <c r="W174" t="n">
        <v>418</v>
      </c>
      <c r="X174" s="51" t="n">
        <v>46295</v>
      </c>
      <c r="Y174" t="n">
        <v>1</v>
      </c>
      <c r="Z174" t="n">
        <v>380</v>
      </c>
      <c r="AA174" t="n">
        <v>380</v>
      </c>
      <c r="AB174" t="n">
        <v>58</v>
      </c>
      <c r="AD174" s="52">
        <f>IFERROR(N(IFERROR(INDEX($A174:$AB174,MATCH("Xero Invoiced Ex GST",$A$1:$AB$1,0)),"")),0)</f>
        <v/>
      </c>
      <c r="AE174" s="53">
        <f>IFERROR(INDEX($A174:$AB174,MATCH("Xero Invoice Date",$A$1:$AB$1,0)),"")</f>
        <v/>
      </c>
      <c r="AF174" s="54">
        <f>IF(AND(IFERROR(INDEX($A174:$AB174,MATCH("Xero Invoice No",$A$1:$AB$1,0)),"")&amp;""&lt;&gt;"",ISNUMBER(AE174),AD174&lt;&gt;0),1,0)</f>
        <v/>
      </c>
      <c r="AG174" s="55">
        <f>IF(AF174=1,EOMONTH(AE174,0),"")</f>
        <v/>
      </c>
      <c r="AH174" s="9">
        <f>IF(AF174=1,UPPER(TRIM(IFERROR(INDEX($A174:$AB174,MATCH("Client",$A$1:$AB$1,0)),"")&amp;"")),"")</f>
        <v/>
      </c>
      <c r="AI174" s="9">
        <f>IF(AF174=1,IFERROR(INDEX($A174:$AB174,MATCH("Cost Centre",$A$1:$AB$1,0)),"")&amp;"","")</f>
        <v/>
      </c>
      <c r="AJ174" s="54">
        <f>IF(AND(AF174=1,AE174&gt;=set_FYStart,AE174&lt;=set_AsAt),1,0)</f>
        <v/>
      </c>
      <c r="AK174" s="54">
        <f>IF(AND(AJ174=1,AH174&lt;&gt;"",COUNTIFS($AH$2:AH174,AH174,$AJ$2:AJ174,1)=1),N(AL173)+1,"")</f>
        <v/>
      </c>
      <c r="AL174" s="54">
        <f>IF(AK174&lt;&gt;"",AK174,N(AL173))</f>
        <v/>
      </c>
    </row>
    <row r="175">
      <c r="A175" t="inlineStr">
        <is>
          <t>CON-0058</t>
        </is>
      </c>
      <c r="B175" t="inlineStr">
        <is>
          <t>Consulting</t>
        </is>
      </c>
      <c r="AB175" t="n">
        <v>58</v>
      </c>
      <c r="AD175" s="52">
        <f>IFERROR(N(IFERROR(INDEX($A175:$AB175,MATCH("Xero Invoiced Ex GST",$A$1:$AB$1,0)),"")),0)</f>
        <v/>
      </c>
      <c r="AE175" s="53">
        <f>IFERROR(INDEX($A175:$AB175,MATCH("Xero Invoice Date",$A$1:$AB$1,0)),"")</f>
        <v/>
      </c>
      <c r="AF175" s="54">
        <f>IF(AND(IFERROR(INDEX($A175:$AB175,MATCH("Xero Invoice No",$A$1:$AB$1,0)),"")&amp;""&lt;&gt;"",ISNUMBER(AE175),AD175&lt;&gt;0),1,0)</f>
        <v/>
      </c>
      <c r="AG175" s="55">
        <f>IF(AF175=1,EOMONTH(AE175,0),"")</f>
        <v/>
      </c>
      <c r="AH175" s="9">
        <f>IF(AF175=1,UPPER(TRIM(IFERROR(INDEX($A175:$AB175,MATCH("Client",$A$1:$AB$1,0)),"")&amp;"")),"")</f>
        <v/>
      </c>
      <c r="AI175" s="9">
        <f>IF(AF175=1,IFERROR(INDEX($A175:$AB175,MATCH("Cost Centre",$A$1:$AB$1,0)),"")&amp;"","")</f>
        <v/>
      </c>
      <c r="AJ175" s="54">
        <f>IF(AND(AF175=1,AE175&gt;=set_FYStart,AE175&lt;=set_AsAt),1,0)</f>
        <v/>
      </c>
      <c r="AK175" s="54">
        <f>IF(AND(AJ175=1,AH175&lt;&gt;"",COUNTIFS($AH$2:AH175,AH175,$AJ$2:AJ175,1)=1),N(AL174)+1,"")</f>
        <v/>
      </c>
      <c r="AL175" s="54">
        <f>IF(AK175&lt;&gt;"",AK175,N(AL174))</f>
        <v/>
      </c>
    </row>
    <row r="176">
      <c r="A176" t="inlineStr">
        <is>
          <t>ONS-0059</t>
        </is>
      </c>
      <c r="B176" t="inlineStr">
        <is>
          <t>Onsite</t>
        </is>
      </c>
      <c r="C176" t="inlineStr">
        <is>
          <t>2846/1401/725/1400/1530/1862/2402/2849/974</t>
        </is>
      </c>
      <c r="D176" t="inlineStr">
        <is>
          <t>DTTL</t>
        </is>
      </c>
      <c r="E176" t="inlineStr">
        <is>
          <t>CONTRACT</t>
        </is>
      </c>
      <c r="F176" t="n">
        <v>103625.44</v>
      </c>
      <c r="G176" t="inlineStr">
        <is>
          <t>INV-10638</t>
        </is>
      </c>
      <c r="I176" t="n">
        <v>103625.44</v>
      </c>
      <c r="J176" t="n">
        <v>0</v>
      </c>
      <c r="K176" t="inlineStr">
        <is>
          <t>Agrees</t>
        </is>
      </c>
      <c r="L176" t="inlineStr">
        <is>
          <t>Job number not in the Xero job list; Invoice incomplete - needs Invoice No, a date and a number in Ex GST</t>
        </is>
      </c>
      <c r="N176" t="inlineStr">
        <is>
          <t>CHECK</t>
        </is>
      </c>
      <c r="P176" t="inlineStr">
        <is>
          <t>ONSITE</t>
        </is>
      </c>
      <c r="Q176" t="inlineStr">
        <is>
          <t>Contract</t>
        </is>
      </c>
      <c r="R176" t="inlineStr">
        <is>
          <t>GST 10%</t>
        </is>
      </c>
      <c r="S176" t="inlineStr">
        <is>
          <t>41100</t>
        </is>
      </c>
      <c r="U176" t="inlineStr">
        <is>
          <t>(no deductions for Sept)</t>
        </is>
      </c>
      <c r="V176" t="n">
        <v>10362.54</v>
      </c>
      <c r="W176" t="n">
        <v>113987.98</v>
      </c>
      <c r="Y176" t="n">
        <v>3</v>
      </c>
      <c r="Z176" t="n">
        <v>310876.32</v>
      </c>
      <c r="AA176" t="n">
        <v>310876.32</v>
      </c>
      <c r="AB176" t="n">
        <v>59</v>
      </c>
      <c r="AD176" s="52">
        <f>IFERROR(N(IFERROR(INDEX($A176:$AB176,MATCH("Xero Invoiced Ex GST",$A$1:$AB$1,0)),"")),0)</f>
        <v/>
      </c>
      <c r="AE176" s="53">
        <f>IFERROR(INDEX($A176:$AB176,MATCH("Xero Invoice Date",$A$1:$AB$1,0)),"")</f>
        <v/>
      </c>
      <c r="AF176" s="54">
        <f>IF(AND(IFERROR(INDEX($A176:$AB176,MATCH("Xero Invoice No",$A$1:$AB$1,0)),"")&amp;""&lt;&gt;"",ISNUMBER(AE176),AD176&lt;&gt;0),1,0)</f>
        <v/>
      </c>
      <c r="AG176" s="55">
        <f>IF(AF176=1,EOMONTH(AE176,0),"")</f>
        <v/>
      </c>
      <c r="AH176" s="9">
        <f>IF(AF176=1,UPPER(TRIM(IFERROR(INDEX($A176:$AB176,MATCH("Client",$A$1:$AB$1,0)),"")&amp;"")),"")</f>
        <v/>
      </c>
      <c r="AI176" s="9">
        <f>IF(AF176=1,IFERROR(INDEX($A176:$AB176,MATCH("Cost Centre",$A$1:$AB$1,0)),"")&amp;"","")</f>
        <v/>
      </c>
      <c r="AJ176" s="54">
        <f>IF(AND(AF176=1,AE176&gt;=set_FYStart,AE176&lt;=set_AsAt),1,0)</f>
        <v/>
      </c>
      <c r="AK176" s="54">
        <f>IF(AND(AJ176=1,AH176&lt;&gt;"",COUNTIFS($AH$2:AH176,AH176,$AJ$2:AJ176,1)=1),N(AL175)+1,"")</f>
        <v/>
      </c>
      <c r="AL176" s="54">
        <f>IF(AK176&lt;&gt;"",AK176,N(AL175))</f>
        <v/>
      </c>
    </row>
    <row r="177">
      <c r="A177" t="inlineStr">
        <is>
          <t>PRD-0059</t>
        </is>
      </c>
      <c r="B177" t="inlineStr">
        <is>
          <t>Production</t>
        </is>
      </c>
      <c r="C177" t="inlineStr">
        <is>
          <t>2609801</t>
        </is>
      </c>
      <c r="D177" t="inlineStr">
        <is>
          <t>Elkeim</t>
        </is>
      </c>
      <c r="E177" t="inlineStr">
        <is>
          <t>Elkiem Studio Support 16.9.26</t>
        </is>
      </c>
      <c r="F177" t="n">
        <v>380</v>
      </c>
      <c r="G177" t="inlineStr">
        <is>
          <t>INV-10634</t>
        </is>
      </c>
      <c r="H177" s="51" t="n">
        <v>46281</v>
      </c>
      <c r="I177" t="n">
        <v>380</v>
      </c>
      <c r="J177" t="n">
        <v>0</v>
      </c>
      <c r="K177" t="inlineStr">
        <is>
          <t>Agrees</t>
        </is>
      </c>
      <c r="M177" t="inlineStr">
        <is>
          <t>Xero check 28-Sep-26: invoice found in Xero</t>
        </is>
      </c>
      <c r="N177" t="inlineStr">
        <is>
          <t>OK</t>
        </is>
      </c>
      <c r="O177" t="inlineStr">
        <is>
          <t>Elkiem - Studio Support - 16.9.26</t>
        </is>
      </c>
      <c r="P177" t="inlineStr">
        <is>
          <t>PRODUCTION</t>
        </is>
      </c>
      <c r="Q177" t="inlineStr">
        <is>
          <t>Project</t>
        </is>
      </c>
      <c r="R177" t="inlineStr">
        <is>
          <t>GST 10%</t>
        </is>
      </c>
      <c r="S177" t="inlineStr">
        <is>
          <t>42100</t>
        </is>
      </c>
      <c r="T177" t="inlineStr">
        <is>
          <t>6175</t>
        </is>
      </c>
      <c r="V177" t="n">
        <v>38</v>
      </c>
      <c r="W177" t="n">
        <v>418</v>
      </c>
      <c r="X177" s="51" t="n">
        <v>46295</v>
      </c>
      <c r="Y177" t="n">
        <v>1</v>
      </c>
      <c r="Z177" t="n">
        <v>380</v>
      </c>
      <c r="AA177" t="n">
        <v>380</v>
      </c>
      <c r="AB177" t="n">
        <v>59</v>
      </c>
      <c r="AD177" s="52">
        <f>IFERROR(N(IFERROR(INDEX($A177:$AB177,MATCH("Xero Invoiced Ex GST",$A$1:$AB$1,0)),"")),0)</f>
        <v/>
      </c>
      <c r="AE177" s="53">
        <f>IFERROR(INDEX($A177:$AB177,MATCH("Xero Invoice Date",$A$1:$AB$1,0)),"")</f>
        <v/>
      </c>
      <c r="AF177" s="54">
        <f>IF(AND(IFERROR(INDEX($A177:$AB177,MATCH("Xero Invoice No",$A$1:$AB$1,0)),"")&amp;""&lt;&gt;"",ISNUMBER(AE177),AD177&lt;&gt;0),1,0)</f>
        <v/>
      </c>
      <c r="AG177" s="55">
        <f>IF(AF177=1,EOMONTH(AE177,0),"")</f>
        <v/>
      </c>
      <c r="AH177" s="9">
        <f>IF(AF177=1,UPPER(TRIM(IFERROR(INDEX($A177:$AB177,MATCH("Client",$A$1:$AB$1,0)),"")&amp;"")),"")</f>
        <v/>
      </c>
      <c r="AI177" s="9">
        <f>IF(AF177=1,IFERROR(INDEX($A177:$AB177,MATCH("Cost Centre",$A$1:$AB$1,0)),"")&amp;"","")</f>
        <v/>
      </c>
      <c r="AJ177" s="54">
        <f>IF(AND(AF177=1,AE177&gt;=set_FYStart,AE177&lt;=set_AsAt),1,0)</f>
        <v/>
      </c>
      <c r="AK177" s="54">
        <f>IF(AND(AJ177=1,AH177&lt;&gt;"",COUNTIFS($AH$2:AH177,AH177,$AJ$2:AJ177,1)=1),N(AL176)+1,"")</f>
        <v/>
      </c>
      <c r="AL177" s="54">
        <f>IF(AK177&lt;&gt;"",AK177,N(AL176))</f>
        <v/>
      </c>
    </row>
    <row r="178">
      <c r="A178" t="inlineStr">
        <is>
          <t>CON-0059</t>
        </is>
      </c>
      <c r="B178" t="inlineStr">
        <is>
          <t>Consulting</t>
        </is>
      </c>
      <c r="AB178" t="n">
        <v>59</v>
      </c>
      <c r="AD178" s="52">
        <f>IFERROR(N(IFERROR(INDEX($A178:$AB178,MATCH("Xero Invoiced Ex GST",$A$1:$AB$1,0)),"")),0)</f>
        <v/>
      </c>
      <c r="AE178" s="53">
        <f>IFERROR(INDEX($A178:$AB178,MATCH("Xero Invoice Date",$A$1:$AB$1,0)),"")</f>
        <v/>
      </c>
      <c r="AF178" s="54">
        <f>IF(AND(IFERROR(INDEX($A178:$AB178,MATCH("Xero Invoice No",$A$1:$AB$1,0)),"")&amp;""&lt;&gt;"",ISNUMBER(AE178),AD178&lt;&gt;0),1,0)</f>
        <v/>
      </c>
      <c r="AG178" s="55">
        <f>IF(AF178=1,EOMONTH(AE178,0),"")</f>
        <v/>
      </c>
      <c r="AH178" s="9">
        <f>IF(AF178=1,UPPER(TRIM(IFERROR(INDEX($A178:$AB178,MATCH("Client",$A$1:$AB$1,0)),"")&amp;"")),"")</f>
        <v/>
      </c>
      <c r="AI178" s="9">
        <f>IF(AF178=1,IFERROR(INDEX($A178:$AB178,MATCH("Cost Centre",$A$1:$AB$1,0)),"")&amp;"","")</f>
        <v/>
      </c>
      <c r="AJ178" s="54">
        <f>IF(AND(AF178=1,AE178&gt;=set_FYStart,AE178&lt;=set_AsAt),1,0)</f>
        <v/>
      </c>
      <c r="AK178" s="54">
        <f>IF(AND(AJ178=1,AH178&lt;&gt;"",COUNTIFS($AH$2:AH178,AH178,$AJ$2:AJ178,1)=1),N(AL177)+1,"")</f>
        <v/>
      </c>
      <c r="AL178" s="54">
        <f>IF(AK178&lt;&gt;"",AK178,N(AL177))</f>
        <v/>
      </c>
    </row>
    <row r="179">
      <c r="A179" t="inlineStr">
        <is>
          <t>ONS-0060</t>
        </is>
      </c>
      <c r="B179" t="inlineStr">
        <is>
          <t>Onsite</t>
        </is>
      </c>
      <c r="C179" t="inlineStr">
        <is>
          <t>732/1144</t>
        </is>
      </c>
      <c r="D179" t="inlineStr">
        <is>
          <t>BW</t>
        </is>
      </c>
      <c r="E179" t="inlineStr">
        <is>
          <t>85720001BWPCSJUN27</t>
        </is>
      </c>
      <c r="F179" t="n">
        <v>19282.5</v>
      </c>
      <c r="G179" t="inlineStr">
        <is>
          <t>INV-10639</t>
        </is>
      </c>
      <c r="I179" t="n">
        <v>19282.5</v>
      </c>
      <c r="J179" t="n">
        <v>0</v>
      </c>
      <c r="K179" t="inlineStr">
        <is>
          <t>Agrees</t>
        </is>
      </c>
      <c r="L179" t="inlineStr">
        <is>
          <t>Job number not in the Xero job list; Invoice incomplete - needs Invoice No, a date and a number in Ex GST</t>
        </is>
      </c>
      <c r="N179" t="inlineStr">
        <is>
          <t>CHECK</t>
        </is>
      </c>
      <c r="P179" t="inlineStr">
        <is>
          <t>ONSITE</t>
        </is>
      </c>
      <c r="Q179" t="inlineStr">
        <is>
          <t>Contract</t>
        </is>
      </c>
      <c r="R179" t="inlineStr">
        <is>
          <t>GST 10%</t>
        </is>
      </c>
      <c r="S179" t="inlineStr">
        <is>
          <t>41100</t>
        </is>
      </c>
      <c r="U179" t="inlineStr">
        <is>
          <t>(No half-tech role for Sept 2026)</t>
        </is>
      </c>
      <c r="V179" t="n">
        <v>1928.25</v>
      </c>
      <c r="W179" t="n">
        <v>21210.75</v>
      </c>
      <c r="Y179" t="n">
        <v>3</v>
      </c>
      <c r="Z179" t="n">
        <v>53823.75</v>
      </c>
      <c r="AA179" t="n">
        <v>53823.75</v>
      </c>
      <c r="AB179" t="n">
        <v>60</v>
      </c>
      <c r="AD179" s="52">
        <f>IFERROR(N(IFERROR(INDEX($A179:$AB179,MATCH("Xero Invoiced Ex GST",$A$1:$AB$1,0)),"")),0)</f>
        <v/>
      </c>
      <c r="AE179" s="53">
        <f>IFERROR(INDEX($A179:$AB179,MATCH("Xero Invoice Date",$A$1:$AB$1,0)),"")</f>
        <v/>
      </c>
      <c r="AF179" s="54">
        <f>IF(AND(IFERROR(INDEX($A179:$AB179,MATCH("Xero Invoice No",$A$1:$AB$1,0)),"")&amp;""&lt;&gt;"",ISNUMBER(AE179),AD179&lt;&gt;0),1,0)</f>
        <v/>
      </c>
      <c r="AG179" s="55">
        <f>IF(AF179=1,EOMONTH(AE179,0),"")</f>
        <v/>
      </c>
      <c r="AH179" s="9">
        <f>IF(AF179=1,UPPER(TRIM(IFERROR(INDEX($A179:$AB179,MATCH("Client",$A$1:$AB$1,0)),"")&amp;"")),"")</f>
        <v/>
      </c>
      <c r="AI179" s="9">
        <f>IF(AF179=1,IFERROR(INDEX($A179:$AB179,MATCH("Cost Centre",$A$1:$AB$1,0)),"")&amp;"","")</f>
        <v/>
      </c>
      <c r="AJ179" s="54">
        <f>IF(AND(AF179=1,AE179&gt;=set_FYStart,AE179&lt;=set_AsAt),1,0)</f>
        <v/>
      </c>
      <c r="AK179" s="54">
        <f>IF(AND(AJ179=1,AH179&lt;&gt;"",COUNTIFS($AH$2:AH179,AH179,$AJ$2:AJ179,1)=1),N(AL178)+1,"")</f>
        <v/>
      </c>
      <c r="AL179" s="54">
        <f>IF(AK179&lt;&gt;"",AK179,N(AL178))</f>
        <v/>
      </c>
    </row>
    <row r="180">
      <c r="A180" t="inlineStr">
        <is>
          <t>PRD-0060</t>
        </is>
      </c>
      <c r="B180" t="inlineStr">
        <is>
          <t>Production</t>
        </is>
      </c>
      <c r="C180" t="inlineStr">
        <is>
          <t>26082502</t>
        </is>
      </c>
      <c r="D180" t="inlineStr">
        <is>
          <t>ICC</t>
        </is>
      </c>
      <c r="E180" t="inlineStr">
        <is>
          <t>ICC - September Presenter Support Presentations - ISE</t>
        </is>
      </c>
      <c r="F180" t="n">
        <v>4729</v>
      </c>
      <c r="G180" t="inlineStr">
        <is>
          <t>INV-10633</t>
        </is>
      </c>
      <c r="H180" s="51" t="n">
        <v>46281</v>
      </c>
      <c r="I180" t="n">
        <v>4665</v>
      </c>
      <c r="J180" t="n">
        <v>64</v>
      </c>
      <c r="K180" t="inlineStr">
        <is>
          <t>Dept higher - to invoice</t>
        </is>
      </c>
      <c r="M180" t="inlineStr">
        <is>
          <t>Xero check 28-Sep-26: invoice found in Xero - Xero INV-10633 (ISE) $4,665 vs department $4,729</t>
        </is>
      </c>
      <c r="N180" t="inlineStr">
        <is>
          <t>OK</t>
        </is>
      </c>
      <c r="O180" t="inlineStr">
        <is>
          <t>ICC - Presenter &amp; Speaker Preparation - September 2026</t>
        </is>
      </c>
      <c r="P180" t="inlineStr">
        <is>
          <t>PRODUCTION</t>
        </is>
      </c>
      <c r="Q180" t="inlineStr">
        <is>
          <t>Project</t>
        </is>
      </c>
      <c r="R180" t="inlineStr">
        <is>
          <t>GST 10%</t>
        </is>
      </c>
      <c r="S180" t="inlineStr">
        <is>
          <t>42100</t>
        </is>
      </c>
      <c r="T180" t="inlineStr">
        <is>
          <t>6186</t>
        </is>
      </c>
      <c r="V180" t="n">
        <v>466.5</v>
      </c>
      <c r="W180" t="n">
        <v>5131.5</v>
      </c>
      <c r="X180" s="51" t="n">
        <v>46295</v>
      </c>
      <c r="Y180" t="n">
        <v>1</v>
      </c>
      <c r="Z180" t="n">
        <v>4729</v>
      </c>
      <c r="AA180" t="n">
        <v>4665</v>
      </c>
      <c r="AB180" t="n">
        <v>60</v>
      </c>
      <c r="AD180" s="52">
        <f>IFERROR(N(IFERROR(INDEX($A180:$AB180,MATCH("Xero Invoiced Ex GST",$A$1:$AB$1,0)),"")),0)</f>
        <v/>
      </c>
      <c r="AE180" s="53">
        <f>IFERROR(INDEX($A180:$AB180,MATCH("Xero Invoice Date",$A$1:$AB$1,0)),"")</f>
        <v/>
      </c>
      <c r="AF180" s="54">
        <f>IF(AND(IFERROR(INDEX($A180:$AB180,MATCH("Xero Invoice No",$A$1:$AB$1,0)),"")&amp;""&lt;&gt;"",ISNUMBER(AE180),AD180&lt;&gt;0),1,0)</f>
        <v/>
      </c>
      <c r="AG180" s="55">
        <f>IF(AF180=1,EOMONTH(AE180,0),"")</f>
        <v/>
      </c>
      <c r="AH180" s="9">
        <f>IF(AF180=1,UPPER(TRIM(IFERROR(INDEX($A180:$AB180,MATCH("Client",$A$1:$AB$1,0)),"")&amp;"")),"")</f>
        <v/>
      </c>
      <c r="AI180" s="9">
        <f>IF(AF180=1,IFERROR(INDEX($A180:$AB180,MATCH("Cost Centre",$A$1:$AB$1,0)),"")&amp;"","")</f>
        <v/>
      </c>
      <c r="AJ180" s="54">
        <f>IF(AND(AF180=1,AE180&gt;=set_FYStart,AE180&lt;=set_AsAt),1,0)</f>
        <v/>
      </c>
      <c r="AK180" s="54">
        <f>IF(AND(AJ180=1,AH180&lt;&gt;"",COUNTIFS($AH$2:AH180,AH180,$AJ$2:AJ180,1)=1),N(AL179)+1,"")</f>
        <v/>
      </c>
      <c r="AL180" s="54">
        <f>IF(AK180&lt;&gt;"",AK180,N(AL179))</f>
        <v/>
      </c>
    </row>
    <row r="181">
      <c r="A181" t="inlineStr">
        <is>
          <t>CON-0060</t>
        </is>
      </c>
      <c r="B181" t="inlineStr">
        <is>
          <t>Consulting</t>
        </is>
      </c>
      <c r="AB181" t="n">
        <v>60</v>
      </c>
      <c r="AD181" s="52">
        <f>IFERROR(N(IFERROR(INDEX($A181:$AB181,MATCH("Xero Invoiced Ex GST",$A$1:$AB$1,0)),"")),0)</f>
        <v/>
      </c>
      <c r="AE181" s="53">
        <f>IFERROR(INDEX($A181:$AB181,MATCH("Xero Invoice Date",$A$1:$AB$1,0)),"")</f>
        <v/>
      </c>
      <c r="AF181" s="54">
        <f>IF(AND(IFERROR(INDEX($A181:$AB181,MATCH("Xero Invoice No",$A$1:$AB$1,0)),"")&amp;""&lt;&gt;"",ISNUMBER(AE181),AD181&lt;&gt;0),1,0)</f>
        <v/>
      </c>
      <c r="AG181" s="55">
        <f>IF(AF181=1,EOMONTH(AE181,0),"")</f>
        <v/>
      </c>
      <c r="AH181" s="9">
        <f>IF(AF181=1,UPPER(TRIM(IFERROR(INDEX($A181:$AB181,MATCH("Client",$A$1:$AB$1,0)),"")&amp;"")),"")</f>
        <v/>
      </c>
      <c r="AI181" s="9">
        <f>IF(AF181=1,IFERROR(INDEX($A181:$AB181,MATCH("Cost Centre",$A$1:$AB$1,0)),"")&amp;"","")</f>
        <v/>
      </c>
      <c r="AJ181" s="54">
        <f>IF(AND(AF181=1,AE181&gt;=set_FYStart,AE181&lt;=set_AsAt),1,0)</f>
        <v/>
      </c>
      <c r="AK181" s="54">
        <f>IF(AND(AJ181=1,AH181&lt;&gt;"",COUNTIFS($AH$2:AH181,AH181,$AJ$2:AJ181,1)=1),N(AL180)+1,"")</f>
        <v/>
      </c>
      <c r="AL181" s="54">
        <f>IF(AK181&lt;&gt;"",AK181,N(AL180))</f>
        <v/>
      </c>
    </row>
    <row r="182">
      <c r="A182" t="inlineStr">
        <is>
          <t>ONS-0061</t>
        </is>
      </c>
      <c r="B182" t="inlineStr">
        <is>
          <t>Onsite</t>
        </is>
      </c>
      <c r="D182" t="inlineStr">
        <is>
          <t>BW</t>
        </is>
      </c>
      <c r="E182" t="inlineStr">
        <is>
          <t>85720001BWPCSJUN27 Additionals</t>
        </is>
      </c>
      <c r="F182" t="n">
        <v>1355</v>
      </c>
      <c r="G182" t="inlineStr">
        <is>
          <t>INV-10640</t>
        </is>
      </c>
      <c r="I182" t="n">
        <v>1355</v>
      </c>
      <c r="J182" t="n">
        <v>0</v>
      </c>
      <c r="K182" t="inlineStr">
        <is>
          <t>Invoice on empty job row</t>
        </is>
      </c>
      <c r="L182" t="inlineStr">
        <is>
          <t>Invoice entered but the department row has no job number; Invoice incomplete - needs Invoice No, a date and a number in Ex GST</t>
        </is>
      </c>
      <c r="P182" t="inlineStr">
        <is>
          <t>ONSITE</t>
        </is>
      </c>
      <c r="Q182" t="inlineStr">
        <is>
          <t>Ad-hoc</t>
        </is>
      </c>
      <c r="R182" t="inlineStr">
        <is>
          <t>GST 10%</t>
        </is>
      </c>
      <c r="S182" t="inlineStr">
        <is>
          <t>41100</t>
        </is>
      </c>
      <c r="V182" t="n">
        <v>135.5</v>
      </c>
      <c r="W182" t="n">
        <v>1490.5</v>
      </c>
      <c r="AB182" t="n">
        <v>61</v>
      </c>
      <c r="AD182" s="52">
        <f>IFERROR(N(IFERROR(INDEX($A182:$AB182,MATCH("Xero Invoiced Ex GST",$A$1:$AB$1,0)),"")),0)</f>
        <v/>
      </c>
      <c r="AE182" s="53">
        <f>IFERROR(INDEX($A182:$AB182,MATCH("Xero Invoice Date",$A$1:$AB$1,0)),"")</f>
        <v/>
      </c>
      <c r="AF182" s="54">
        <f>IF(AND(IFERROR(INDEX($A182:$AB182,MATCH("Xero Invoice No",$A$1:$AB$1,0)),"")&amp;""&lt;&gt;"",ISNUMBER(AE182),AD182&lt;&gt;0),1,0)</f>
        <v/>
      </c>
      <c r="AG182" s="55">
        <f>IF(AF182=1,EOMONTH(AE182,0),"")</f>
        <v/>
      </c>
      <c r="AH182" s="9">
        <f>IF(AF182=1,UPPER(TRIM(IFERROR(INDEX($A182:$AB182,MATCH("Client",$A$1:$AB$1,0)),"")&amp;"")),"")</f>
        <v/>
      </c>
      <c r="AI182" s="9">
        <f>IF(AF182=1,IFERROR(INDEX($A182:$AB182,MATCH("Cost Centre",$A$1:$AB$1,0)),"")&amp;"","")</f>
        <v/>
      </c>
      <c r="AJ182" s="54">
        <f>IF(AND(AF182=1,AE182&gt;=set_FYStart,AE182&lt;=set_AsAt),1,0)</f>
        <v/>
      </c>
      <c r="AK182" s="54">
        <f>IF(AND(AJ182=1,AH182&lt;&gt;"",COUNTIFS($AH$2:AH182,AH182,$AJ$2:AJ182,1)=1),N(AL181)+1,"")</f>
        <v/>
      </c>
      <c r="AL182" s="54">
        <f>IF(AK182&lt;&gt;"",AK182,N(AL181))</f>
        <v/>
      </c>
    </row>
    <row r="183">
      <c r="A183" t="inlineStr">
        <is>
          <t>PRD-0061</t>
        </is>
      </c>
      <c r="B183" t="inlineStr">
        <is>
          <t>Production</t>
        </is>
      </c>
      <c r="C183" t="inlineStr">
        <is>
          <t>26082503</t>
        </is>
      </c>
      <c r="D183" t="inlineStr">
        <is>
          <t>ICC</t>
        </is>
      </c>
      <c r="E183" t="inlineStr">
        <is>
          <t>ICC - September Presenter Support Presentations - ICAS</t>
        </is>
      </c>
      <c r="F183" t="n">
        <v>946</v>
      </c>
      <c r="G183" t="inlineStr">
        <is>
          <t>INV-10630</t>
        </is>
      </c>
      <c r="H183" s="51" t="n">
        <v>46281</v>
      </c>
      <c r="I183" t="n">
        <v>946.25</v>
      </c>
      <c r="J183" t="n">
        <v>-0.25</v>
      </c>
      <c r="K183" t="inlineStr">
        <is>
          <t>Xero higher - check dept</t>
        </is>
      </c>
      <c r="L183" t="inlineStr">
        <is>
          <t>Job number not in the Xero job list</t>
        </is>
      </c>
      <c r="M183" t="inlineStr">
        <is>
          <t>Xero check 28-Sep-26: invoice found in Xero - Xero INV-10630 (ICAS) is on job 26082502, not 26082503 - department to check the job number</t>
        </is>
      </c>
      <c r="N183" t="inlineStr">
        <is>
          <t>CHECK</t>
        </is>
      </c>
      <c r="P183" t="inlineStr">
        <is>
          <t>PRODUCTION</t>
        </is>
      </c>
      <c r="Q183" t="inlineStr">
        <is>
          <t>Project</t>
        </is>
      </c>
      <c r="R183" t="inlineStr">
        <is>
          <t>GST 10%</t>
        </is>
      </c>
      <c r="S183" t="inlineStr">
        <is>
          <t>42100</t>
        </is>
      </c>
      <c r="T183" t="inlineStr">
        <is>
          <t>6187</t>
        </is>
      </c>
      <c r="V183" t="n">
        <v>94.63</v>
      </c>
      <c r="W183" t="n">
        <v>1040.88</v>
      </c>
      <c r="X183" s="51" t="n">
        <v>46295</v>
      </c>
      <c r="Y183" t="n">
        <v>1</v>
      </c>
      <c r="Z183" t="n">
        <v>946</v>
      </c>
      <c r="AA183" t="n">
        <v>946.25</v>
      </c>
      <c r="AB183" t="n">
        <v>61</v>
      </c>
      <c r="AD183" s="52">
        <f>IFERROR(N(IFERROR(INDEX($A183:$AB183,MATCH("Xero Invoiced Ex GST",$A$1:$AB$1,0)),"")),0)</f>
        <v/>
      </c>
      <c r="AE183" s="53">
        <f>IFERROR(INDEX($A183:$AB183,MATCH("Xero Invoice Date",$A$1:$AB$1,0)),"")</f>
        <v/>
      </c>
      <c r="AF183" s="54">
        <f>IF(AND(IFERROR(INDEX($A183:$AB183,MATCH("Xero Invoice No",$A$1:$AB$1,0)),"")&amp;""&lt;&gt;"",ISNUMBER(AE183),AD183&lt;&gt;0),1,0)</f>
        <v/>
      </c>
      <c r="AG183" s="55">
        <f>IF(AF183=1,EOMONTH(AE183,0),"")</f>
        <v/>
      </c>
      <c r="AH183" s="9">
        <f>IF(AF183=1,UPPER(TRIM(IFERROR(INDEX($A183:$AB183,MATCH("Client",$A$1:$AB$1,0)),"")&amp;"")),"")</f>
        <v/>
      </c>
      <c r="AI183" s="9">
        <f>IF(AF183=1,IFERROR(INDEX($A183:$AB183,MATCH("Cost Centre",$A$1:$AB$1,0)),"")&amp;"","")</f>
        <v/>
      </c>
      <c r="AJ183" s="54">
        <f>IF(AND(AF183=1,AE183&gt;=set_FYStart,AE183&lt;=set_AsAt),1,0)</f>
        <v/>
      </c>
      <c r="AK183" s="54">
        <f>IF(AND(AJ183=1,AH183&lt;&gt;"",COUNTIFS($AH$2:AH183,AH183,$AJ$2:AJ183,1)=1),N(AL182)+1,"")</f>
        <v/>
      </c>
      <c r="AL183" s="54">
        <f>IF(AK183&lt;&gt;"",AK183,N(AL182))</f>
        <v/>
      </c>
    </row>
    <row r="184">
      <c r="A184" t="inlineStr">
        <is>
          <t>CON-0061</t>
        </is>
      </c>
      <c r="B184" t="inlineStr">
        <is>
          <t>Consulting</t>
        </is>
      </c>
      <c r="AB184" t="n">
        <v>61</v>
      </c>
      <c r="AD184" s="52">
        <f>IFERROR(N(IFERROR(INDEX($A184:$AB184,MATCH("Xero Invoiced Ex GST",$A$1:$AB$1,0)),"")),0)</f>
        <v/>
      </c>
      <c r="AE184" s="53">
        <f>IFERROR(INDEX($A184:$AB184,MATCH("Xero Invoice Date",$A$1:$AB$1,0)),"")</f>
        <v/>
      </c>
      <c r="AF184" s="54">
        <f>IF(AND(IFERROR(INDEX($A184:$AB184,MATCH("Xero Invoice No",$A$1:$AB$1,0)),"")&amp;""&lt;&gt;"",ISNUMBER(AE184),AD184&lt;&gt;0),1,0)</f>
        <v/>
      </c>
      <c r="AG184" s="55">
        <f>IF(AF184=1,EOMONTH(AE184,0),"")</f>
        <v/>
      </c>
      <c r="AH184" s="9">
        <f>IF(AF184=1,UPPER(TRIM(IFERROR(INDEX($A184:$AB184,MATCH("Client",$A$1:$AB$1,0)),"")&amp;"")),"")</f>
        <v/>
      </c>
      <c r="AI184" s="9">
        <f>IF(AF184=1,IFERROR(INDEX($A184:$AB184,MATCH("Cost Centre",$A$1:$AB$1,0)),"")&amp;"","")</f>
        <v/>
      </c>
      <c r="AJ184" s="54">
        <f>IF(AND(AF184=1,AE184&gt;=set_FYStart,AE184&lt;=set_AsAt),1,0)</f>
        <v/>
      </c>
      <c r="AK184" s="54">
        <f>IF(AND(AJ184=1,AH184&lt;&gt;"",COUNTIFS($AH$2:AH184,AH184,$AJ$2:AJ184,1)=1),N(AL183)+1,"")</f>
        <v/>
      </c>
      <c r="AL184" s="54">
        <f>IF(AK184&lt;&gt;"",AK184,N(AL183))</f>
        <v/>
      </c>
    </row>
    <row r="185">
      <c r="A185" t="inlineStr">
        <is>
          <t>ONS-0062</t>
        </is>
      </c>
      <c r="B185" t="inlineStr">
        <is>
          <t>Onsite</t>
        </is>
      </c>
      <c r="C185" t="inlineStr">
        <is>
          <t>2604901</t>
        </is>
      </c>
      <c r="D185" t="inlineStr">
        <is>
          <t>PwC</t>
        </is>
      </c>
      <c r="E185" t="inlineStr">
        <is>
          <t>PO2601702371</t>
        </is>
      </c>
      <c r="F185" t="n">
        <v>7150</v>
      </c>
      <c r="G185" t="inlineStr">
        <is>
          <t>INV-10641</t>
        </is>
      </c>
      <c r="I185" t="n">
        <v>7150</v>
      </c>
      <c r="J185" t="n">
        <v>0</v>
      </c>
      <c r="K185" t="inlineStr">
        <is>
          <t>Agrees</t>
        </is>
      </c>
      <c r="L185" t="inlineStr">
        <is>
          <t>Job number not in the Xero job list; Invoice incomplete - needs Invoice No, a date and a number in Ex GST</t>
        </is>
      </c>
      <c r="N185" t="inlineStr">
        <is>
          <t>CHECK</t>
        </is>
      </c>
      <c r="P185" t="inlineStr">
        <is>
          <t>ONSITE</t>
        </is>
      </c>
      <c r="Q185" t="inlineStr">
        <is>
          <t>Ad-hoc</t>
        </is>
      </c>
      <c r="R185" t="inlineStr">
        <is>
          <t>GST 10%</t>
        </is>
      </c>
      <c r="S185" t="inlineStr">
        <is>
          <t>41100</t>
        </is>
      </c>
      <c r="U185" t="inlineStr">
        <is>
          <t>2604901 (PWC Brisbane AV Support - 12 Months)</t>
        </is>
      </c>
      <c r="V185" t="n">
        <v>715</v>
      </c>
      <c r="W185" t="n">
        <v>7865</v>
      </c>
      <c r="Y185" t="n">
        <v>1</v>
      </c>
      <c r="Z185" t="n">
        <v>7150</v>
      </c>
      <c r="AA185" t="n">
        <v>7150</v>
      </c>
      <c r="AB185" t="n">
        <v>62</v>
      </c>
      <c r="AD185" s="52">
        <f>IFERROR(N(IFERROR(INDEX($A185:$AB185,MATCH("Xero Invoiced Ex GST",$A$1:$AB$1,0)),"")),0)</f>
        <v/>
      </c>
      <c r="AE185" s="53">
        <f>IFERROR(INDEX($A185:$AB185,MATCH("Xero Invoice Date",$A$1:$AB$1,0)),"")</f>
        <v/>
      </c>
      <c r="AF185" s="54">
        <f>IF(AND(IFERROR(INDEX($A185:$AB185,MATCH("Xero Invoice No",$A$1:$AB$1,0)),"")&amp;""&lt;&gt;"",ISNUMBER(AE185),AD185&lt;&gt;0),1,0)</f>
        <v/>
      </c>
      <c r="AG185" s="55">
        <f>IF(AF185=1,EOMONTH(AE185,0),"")</f>
        <v/>
      </c>
      <c r="AH185" s="9">
        <f>IF(AF185=1,UPPER(TRIM(IFERROR(INDEX($A185:$AB185,MATCH("Client",$A$1:$AB$1,0)),"")&amp;"")),"")</f>
        <v/>
      </c>
      <c r="AI185" s="9">
        <f>IF(AF185=1,IFERROR(INDEX($A185:$AB185,MATCH("Cost Centre",$A$1:$AB$1,0)),"")&amp;"","")</f>
        <v/>
      </c>
      <c r="AJ185" s="54">
        <f>IF(AND(AF185=1,AE185&gt;=set_FYStart,AE185&lt;=set_AsAt),1,0)</f>
        <v/>
      </c>
      <c r="AK185" s="54">
        <f>IF(AND(AJ185=1,AH185&lt;&gt;"",COUNTIFS($AH$2:AH185,AH185,$AJ$2:AJ185,1)=1),N(AL184)+1,"")</f>
        <v/>
      </c>
      <c r="AL185" s="54">
        <f>IF(AK185&lt;&gt;"",AK185,N(AL184))</f>
        <v/>
      </c>
    </row>
    <row r="186">
      <c r="A186" t="inlineStr">
        <is>
          <t>PRD-0062</t>
        </is>
      </c>
      <c r="B186" t="inlineStr">
        <is>
          <t>Production</t>
        </is>
      </c>
      <c r="C186" t="inlineStr">
        <is>
          <t>26032301V</t>
        </is>
      </c>
      <c r="D186" t="inlineStr">
        <is>
          <t>RSNSW</t>
        </is>
      </c>
      <c r="E186" t="inlineStr">
        <is>
          <t>Ordinary General Meeting | 1.7.26</t>
        </is>
      </c>
      <c r="F186" t="n">
        <v>1029</v>
      </c>
      <c r="G186" t="inlineStr">
        <is>
          <t>INV-10519</t>
        </is>
      </c>
      <c r="H186" s="51" t="n">
        <v>46210</v>
      </c>
      <c r="I186" t="n">
        <v>1029</v>
      </c>
      <c r="J186" t="n">
        <v>0</v>
      </c>
      <c r="K186" t="inlineStr">
        <is>
          <t>Agrees</t>
        </is>
      </c>
      <c r="N186" t="inlineStr">
        <is>
          <t>OK</t>
        </is>
      </c>
      <c r="O186" t="inlineStr">
        <is>
          <t>RSNSW - OGM - 1.7.2026</t>
        </is>
      </c>
      <c r="P186" t="inlineStr">
        <is>
          <t>VIDEO</t>
        </is>
      </c>
      <c r="Q186" t="inlineStr">
        <is>
          <t>Project</t>
        </is>
      </c>
      <c r="R186" t="inlineStr">
        <is>
          <t>GST 10%</t>
        </is>
      </c>
      <c r="S186" t="inlineStr">
        <is>
          <t>42150</t>
        </is>
      </c>
      <c r="T186" t="inlineStr">
        <is>
          <t>5924</t>
        </is>
      </c>
      <c r="U186" t="inlineStr">
        <is>
          <t>Video part of 26032301 - Video Total per job list</t>
        </is>
      </c>
      <c r="V186" t="n">
        <v>102.9</v>
      </c>
      <c r="W186" t="n">
        <v>1131.9</v>
      </c>
      <c r="X186" s="51" t="n">
        <v>46234</v>
      </c>
      <c r="Y186" t="n">
        <v>1</v>
      </c>
      <c r="Z186" t="n">
        <v>1029</v>
      </c>
      <c r="AA186" t="n">
        <v>1029</v>
      </c>
      <c r="AB186" t="n">
        <v>62</v>
      </c>
      <c r="AD186" s="52">
        <f>IFERROR(N(IFERROR(INDEX($A186:$AB186,MATCH("Xero Invoiced Ex GST",$A$1:$AB$1,0)),"")),0)</f>
        <v/>
      </c>
      <c r="AE186" s="53">
        <f>IFERROR(INDEX($A186:$AB186,MATCH("Xero Invoice Date",$A$1:$AB$1,0)),"")</f>
        <v/>
      </c>
      <c r="AF186" s="54">
        <f>IF(AND(IFERROR(INDEX($A186:$AB186,MATCH("Xero Invoice No",$A$1:$AB$1,0)),"")&amp;""&lt;&gt;"",ISNUMBER(AE186),AD186&lt;&gt;0),1,0)</f>
        <v/>
      </c>
      <c r="AG186" s="55">
        <f>IF(AF186=1,EOMONTH(AE186,0),"")</f>
        <v/>
      </c>
      <c r="AH186" s="9">
        <f>IF(AF186=1,UPPER(TRIM(IFERROR(INDEX($A186:$AB186,MATCH("Client",$A$1:$AB$1,0)),"")&amp;"")),"")</f>
        <v/>
      </c>
      <c r="AI186" s="9">
        <f>IF(AF186=1,IFERROR(INDEX($A186:$AB186,MATCH("Cost Centre",$A$1:$AB$1,0)),"")&amp;"","")</f>
        <v/>
      </c>
      <c r="AJ186" s="54">
        <f>IF(AND(AF186=1,AE186&gt;=set_FYStart,AE186&lt;=set_AsAt),1,0)</f>
        <v/>
      </c>
      <c r="AK186" s="54">
        <f>IF(AND(AJ186=1,AH186&lt;&gt;"",COUNTIFS($AH$2:AH186,AH186,$AJ$2:AJ186,1)=1),N(AL185)+1,"")</f>
        <v/>
      </c>
      <c r="AL186" s="54">
        <f>IF(AK186&lt;&gt;"",AK186,N(AL185))</f>
        <v/>
      </c>
    </row>
    <row r="187">
      <c r="A187" t="inlineStr">
        <is>
          <t>CON-0062</t>
        </is>
      </c>
      <c r="B187" t="inlineStr">
        <is>
          <t>Consulting</t>
        </is>
      </c>
      <c r="AB187" t="n">
        <v>62</v>
      </c>
      <c r="AD187" s="52">
        <f>IFERROR(N(IFERROR(INDEX($A187:$AB187,MATCH("Xero Invoiced Ex GST",$A$1:$AB$1,0)),"")),0)</f>
        <v/>
      </c>
      <c r="AE187" s="53">
        <f>IFERROR(INDEX($A187:$AB187,MATCH("Xero Invoice Date",$A$1:$AB$1,0)),"")</f>
        <v/>
      </c>
      <c r="AF187" s="54">
        <f>IF(AND(IFERROR(INDEX($A187:$AB187,MATCH("Xero Invoice No",$A$1:$AB$1,0)),"")&amp;""&lt;&gt;"",ISNUMBER(AE187),AD187&lt;&gt;0),1,0)</f>
        <v/>
      </c>
      <c r="AG187" s="55">
        <f>IF(AF187=1,EOMONTH(AE187,0),"")</f>
        <v/>
      </c>
      <c r="AH187" s="9">
        <f>IF(AF187=1,UPPER(TRIM(IFERROR(INDEX($A187:$AB187,MATCH("Client",$A$1:$AB$1,0)),"")&amp;"")),"")</f>
        <v/>
      </c>
      <c r="AI187" s="9">
        <f>IF(AF187=1,IFERROR(INDEX($A187:$AB187,MATCH("Cost Centre",$A$1:$AB$1,0)),"")&amp;"","")</f>
        <v/>
      </c>
      <c r="AJ187" s="54">
        <f>IF(AND(AF187=1,AE187&gt;=set_FYStart,AE187&lt;=set_AsAt),1,0)</f>
        <v/>
      </c>
      <c r="AK187" s="54">
        <f>IF(AND(AJ187=1,AH187&lt;&gt;"",COUNTIFS($AH$2:AH187,AH187,$AJ$2:AJ187,1)=1),N(AL186)+1,"")</f>
        <v/>
      </c>
      <c r="AL187" s="54">
        <f>IF(AK187&lt;&gt;"",AK187,N(AL186))</f>
        <v/>
      </c>
    </row>
    <row r="188">
      <c r="A188" t="inlineStr">
        <is>
          <t>ONS-0063</t>
        </is>
      </c>
      <c r="B188" t="inlineStr">
        <is>
          <t>Onsite</t>
        </is>
      </c>
      <c r="C188" t="inlineStr">
        <is>
          <t>26073101</t>
        </is>
      </c>
      <c r="D188" t="inlineStr">
        <is>
          <t>PWC</t>
        </is>
      </c>
      <c r="E188" t="inlineStr">
        <is>
          <t xml:space="preserve">PWC - Melbourne Support | Technician Coverage August-September 2026 </t>
        </is>
      </c>
      <c r="J188" t="n">
        <v>0</v>
      </c>
      <c r="K188" t="inlineStr">
        <is>
          <t>No dept value</t>
        </is>
      </c>
      <c r="L188" t="inlineStr">
        <is>
          <t>Dept has not entered an expected value</t>
        </is>
      </c>
      <c r="M188" t="inlineStr">
        <is>
          <t>Xero check 28-Sep-26: INV-10645 in Xero is Bankwest BCEC WGEA Report Launch (job 26092101) $950, not this PwC job. No approved PwC invoice for 26073101 yet</t>
        </is>
      </c>
      <c r="N188" t="inlineStr">
        <is>
          <t>OK</t>
        </is>
      </c>
      <c r="O188" t="inlineStr">
        <is>
          <t>PwC MEL Tech Cover Aug-Sep 2026</t>
        </is>
      </c>
      <c r="P188" t="inlineStr">
        <is>
          <t>ONSITE</t>
        </is>
      </c>
      <c r="Q188" t="inlineStr">
        <is>
          <t>Contract</t>
        </is>
      </c>
      <c r="R188" t="inlineStr">
        <is>
          <t>GST 10%</t>
        </is>
      </c>
      <c r="S188" t="inlineStr">
        <is>
          <t>41100</t>
        </is>
      </c>
      <c r="U188" t="inlineStr">
        <is>
          <t>26073101 - PWC Melbourne Support | Technician coverage - August-September</t>
        </is>
      </c>
      <c r="Y188" t="n">
        <v>1</v>
      </c>
      <c r="Z188" t="n">
        <v>0</v>
      </c>
      <c r="AA188" t="n">
        <v>0</v>
      </c>
      <c r="AB188" t="n">
        <v>63</v>
      </c>
      <c r="AD188" s="52">
        <f>IFERROR(N(IFERROR(INDEX($A188:$AB188,MATCH("Xero Invoiced Ex GST",$A$1:$AB$1,0)),"")),0)</f>
        <v/>
      </c>
      <c r="AE188" s="53">
        <f>IFERROR(INDEX($A188:$AB188,MATCH("Xero Invoice Date",$A$1:$AB$1,0)),"")</f>
        <v/>
      </c>
      <c r="AF188" s="54">
        <f>IF(AND(IFERROR(INDEX($A188:$AB188,MATCH("Xero Invoice No",$A$1:$AB$1,0)),"")&amp;""&lt;&gt;"",ISNUMBER(AE188),AD188&lt;&gt;0),1,0)</f>
        <v/>
      </c>
      <c r="AG188" s="55">
        <f>IF(AF188=1,EOMONTH(AE188,0),"")</f>
        <v/>
      </c>
      <c r="AH188" s="9">
        <f>IF(AF188=1,UPPER(TRIM(IFERROR(INDEX($A188:$AB188,MATCH("Client",$A$1:$AB$1,0)),"")&amp;"")),"")</f>
        <v/>
      </c>
      <c r="AI188" s="9">
        <f>IF(AF188=1,IFERROR(INDEX($A188:$AB188,MATCH("Cost Centre",$A$1:$AB$1,0)),"")&amp;"","")</f>
        <v/>
      </c>
      <c r="AJ188" s="54">
        <f>IF(AND(AF188=1,AE188&gt;=set_FYStart,AE188&lt;=set_AsAt),1,0)</f>
        <v/>
      </c>
      <c r="AK188" s="54">
        <f>IF(AND(AJ188=1,AH188&lt;&gt;"",COUNTIFS($AH$2:AH188,AH188,$AJ$2:AJ188,1)=1),N(AL187)+1,"")</f>
        <v/>
      </c>
      <c r="AL188" s="54">
        <f>IF(AK188&lt;&gt;"",AK188,N(AL187))</f>
        <v/>
      </c>
    </row>
    <row r="189">
      <c r="A189" t="inlineStr">
        <is>
          <t>PRD-0063</t>
        </is>
      </c>
      <c r="B189" t="inlineStr">
        <is>
          <t>Production</t>
        </is>
      </c>
      <c r="C189" t="inlineStr">
        <is>
          <t>26062201V</t>
        </is>
      </c>
      <c r="D189" t="inlineStr">
        <is>
          <t>PWC</t>
        </is>
      </c>
      <c r="E189" t="inlineStr">
        <is>
          <t>Tax and Legal Webcast 2.7.26</t>
        </is>
      </c>
      <c r="F189" t="n">
        <v>970</v>
      </c>
      <c r="G189" t="inlineStr">
        <is>
          <t>INV-10515</t>
        </is>
      </c>
      <c r="H189" s="51" t="n">
        <v>46210</v>
      </c>
      <c r="I189" t="n">
        <v>970</v>
      </c>
      <c r="J189" t="n">
        <v>0</v>
      </c>
      <c r="K189" t="inlineStr">
        <is>
          <t>Agrees</t>
        </is>
      </c>
      <c r="N189" t="inlineStr">
        <is>
          <t>OK</t>
        </is>
      </c>
      <c r="O189" t="inlineStr">
        <is>
          <t>PWC - Tax &amp; Legal Webcast 02.07.26</t>
        </is>
      </c>
      <c r="P189" t="inlineStr">
        <is>
          <t>VIDEO</t>
        </is>
      </c>
      <c r="Q189" t="inlineStr">
        <is>
          <t>Project</t>
        </is>
      </c>
      <c r="R189" t="inlineStr">
        <is>
          <t>GST 10%</t>
        </is>
      </c>
      <c r="S189" t="inlineStr">
        <is>
          <t>42150</t>
        </is>
      </c>
      <c r="T189" t="inlineStr">
        <is>
          <t>6076</t>
        </is>
      </c>
      <c r="U189" t="inlineStr">
        <is>
          <t>Video part of 26062201 - Video Total per job list</t>
        </is>
      </c>
      <c r="V189" t="n">
        <v>97</v>
      </c>
      <c r="W189" t="n">
        <v>1067</v>
      </c>
      <c r="X189" s="51" t="n">
        <v>46234</v>
      </c>
      <c r="Y189" t="n">
        <v>1</v>
      </c>
      <c r="Z189" t="n">
        <v>970</v>
      </c>
      <c r="AA189" t="n">
        <v>970</v>
      </c>
      <c r="AB189" t="n">
        <v>63</v>
      </c>
      <c r="AD189" s="52">
        <f>IFERROR(N(IFERROR(INDEX($A189:$AB189,MATCH("Xero Invoiced Ex GST",$A$1:$AB$1,0)),"")),0)</f>
        <v/>
      </c>
      <c r="AE189" s="53">
        <f>IFERROR(INDEX($A189:$AB189,MATCH("Xero Invoice Date",$A$1:$AB$1,0)),"")</f>
        <v/>
      </c>
      <c r="AF189" s="54">
        <f>IF(AND(IFERROR(INDEX($A189:$AB189,MATCH("Xero Invoice No",$A$1:$AB$1,0)),"")&amp;""&lt;&gt;"",ISNUMBER(AE189),AD189&lt;&gt;0),1,0)</f>
        <v/>
      </c>
      <c r="AG189" s="55">
        <f>IF(AF189=1,EOMONTH(AE189,0),"")</f>
        <v/>
      </c>
      <c r="AH189" s="9">
        <f>IF(AF189=1,UPPER(TRIM(IFERROR(INDEX($A189:$AB189,MATCH("Client",$A$1:$AB$1,0)),"")&amp;"")),"")</f>
        <v/>
      </c>
      <c r="AI189" s="9">
        <f>IF(AF189=1,IFERROR(INDEX($A189:$AB189,MATCH("Cost Centre",$A$1:$AB$1,0)),"")&amp;"","")</f>
        <v/>
      </c>
      <c r="AJ189" s="54">
        <f>IF(AND(AF189=1,AE189&gt;=set_FYStart,AE189&lt;=set_AsAt),1,0)</f>
        <v/>
      </c>
      <c r="AK189" s="54">
        <f>IF(AND(AJ189=1,AH189&lt;&gt;"",COUNTIFS($AH$2:AH189,AH189,$AJ$2:AJ189,1)=1),N(AL188)+1,"")</f>
        <v/>
      </c>
      <c r="AL189" s="54">
        <f>IF(AK189&lt;&gt;"",AK189,N(AL188))</f>
        <v/>
      </c>
    </row>
    <row r="190">
      <c r="A190" t="inlineStr">
        <is>
          <t>CON-0063</t>
        </is>
      </c>
      <c r="B190" t="inlineStr">
        <is>
          <t>Consulting</t>
        </is>
      </c>
      <c r="AB190" t="n">
        <v>63</v>
      </c>
      <c r="AD190" s="52">
        <f>IFERROR(N(IFERROR(INDEX($A190:$AB190,MATCH("Xero Invoiced Ex GST",$A$1:$AB$1,0)),"")),0)</f>
        <v/>
      </c>
      <c r="AE190" s="53">
        <f>IFERROR(INDEX($A190:$AB190,MATCH("Xero Invoice Date",$A$1:$AB$1,0)),"")</f>
        <v/>
      </c>
      <c r="AF190" s="54">
        <f>IF(AND(IFERROR(INDEX($A190:$AB190,MATCH("Xero Invoice No",$A$1:$AB$1,0)),"")&amp;""&lt;&gt;"",ISNUMBER(AE190),AD190&lt;&gt;0),1,0)</f>
        <v/>
      </c>
      <c r="AG190" s="55">
        <f>IF(AF190=1,EOMONTH(AE190,0),"")</f>
        <v/>
      </c>
      <c r="AH190" s="9">
        <f>IF(AF190=1,UPPER(TRIM(IFERROR(INDEX($A190:$AB190,MATCH("Client",$A$1:$AB$1,0)),"")&amp;"")),"")</f>
        <v/>
      </c>
      <c r="AI190" s="9">
        <f>IF(AF190=1,IFERROR(INDEX($A190:$AB190,MATCH("Cost Centre",$A$1:$AB$1,0)),"")&amp;"","")</f>
        <v/>
      </c>
      <c r="AJ190" s="54">
        <f>IF(AND(AF190=1,AE190&gt;=set_FYStart,AE190&lt;=set_AsAt),1,0)</f>
        <v/>
      </c>
      <c r="AK190" s="54">
        <f>IF(AND(AJ190=1,AH190&lt;&gt;"",COUNTIFS($AH$2:AH190,AH190,$AJ$2:AJ190,1)=1),N(AL189)+1,"")</f>
        <v/>
      </c>
      <c r="AL190" s="54">
        <f>IF(AK190&lt;&gt;"",AK190,N(AL189))</f>
        <v/>
      </c>
    </row>
    <row r="191">
      <c r="A191" t="inlineStr">
        <is>
          <t>ONS-0064</t>
        </is>
      </c>
      <c r="B191" t="inlineStr">
        <is>
          <t>Onsite</t>
        </is>
      </c>
      <c r="C191" t="inlineStr">
        <is>
          <t>2605706</t>
        </is>
      </c>
      <c r="D191" t="inlineStr">
        <is>
          <t>DTTL</t>
        </is>
      </c>
      <c r="E191" t="inlineStr">
        <is>
          <t>Deloitte Tech Support - 2026 ESNSW CBA Forum (Additionals September 2026)</t>
        </is>
      </c>
      <c r="G191" t="inlineStr">
        <is>
          <t>INV-10651</t>
        </is>
      </c>
      <c r="J191" t="n">
        <v>0</v>
      </c>
      <c r="K191" t="inlineStr">
        <is>
          <t>No dept value</t>
        </is>
      </c>
      <c r="L191" t="inlineStr">
        <is>
          <t>Job number not in the Xero job list; Dept has not entered an expected value; Invoice incomplete - needs Invoice No, a date and a number in Ex GST</t>
        </is>
      </c>
      <c r="N191" t="inlineStr">
        <is>
          <t>CHECK</t>
        </is>
      </c>
      <c r="P191" t="inlineStr">
        <is>
          <t>ONSITE</t>
        </is>
      </c>
      <c r="Q191" t="inlineStr">
        <is>
          <t>Ad-hoc</t>
        </is>
      </c>
      <c r="R191" t="inlineStr">
        <is>
          <t>GST 10%</t>
        </is>
      </c>
      <c r="S191" t="inlineStr">
        <is>
          <t>41100</t>
        </is>
      </c>
      <c r="U191" t="inlineStr">
        <is>
          <t>Deloitte Tech Support -2026 ESNSW CBA Forum</t>
        </is>
      </c>
      <c r="Y191" t="n">
        <v>1</v>
      </c>
      <c r="Z191" t="n">
        <v>0</v>
      </c>
      <c r="AA191" t="n">
        <v>0</v>
      </c>
      <c r="AB191" t="n">
        <v>64</v>
      </c>
      <c r="AD191" s="52">
        <f>IFERROR(N(IFERROR(INDEX($A191:$AB191,MATCH("Xero Invoiced Ex GST",$A$1:$AB$1,0)),"")),0)</f>
        <v/>
      </c>
      <c r="AE191" s="53">
        <f>IFERROR(INDEX($A191:$AB191,MATCH("Xero Invoice Date",$A$1:$AB$1,0)),"")</f>
        <v/>
      </c>
      <c r="AF191" s="54">
        <f>IF(AND(IFERROR(INDEX($A191:$AB191,MATCH("Xero Invoice No",$A$1:$AB$1,0)),"")&amp;""&lt;&gt;"",ISNUMBER(AE191),AD191&lt;&gt;0),1,0)</f>
        <v/>
      </c>
      <c r="AG191" s="55">
        <f>IF(AF191=1,EOMONTH(AE191,0),"")</f>
        <v/>
      </c>
      <c r="AH191" s="9">
        <f>IF(AF191=1,UPPER(TRIM(IFERROR(INDEX($A191:$AB191,MATCH("Client",$A$1:$AB$1,0)),"")&amp;"")),"")</f>
        <v/>
      </c>
      <c r="AI191" s="9">
        <f>IF(AF191=1,IFERROR(INDEX($A191:$AB191,MATCH("Cost Centre",$A$1:$AB$1,0)),"")&amp;"","")</f>
        <v/>
      </c>
      <c r="AJ191" s="54">
        <f>IF(AND(AF191=1,AE191&gt;=set_FYStart,AE191&lt;=set_AsAt),1,0)</f>
        <v/>
      </c>
      <c r="AK191" s="54">
        <f>IF(AND(AJ191=1,AH191&lt;&gt;"",COUNTIFS($AH$2:AH191,AH191,$AJ$2:AJ191,1)=1),N(AL190)+1,"")</f>
        <v/>
      </c>
      <c r="AL191" s="54">
        <f>IF(AK191&lt;&gt;"",AK191,N(AL190))</f>
        <v/>
      </c>
    </row>
    <row r="192">
      <c r="A192" t="inlineStr">
        <is>
          <t>PRD-0064</t>
        </is>
      </c>
      <c r="B192" t="inlineStr">
        <is>
          <t>Production</t>
        </is>
      </c>
      <c r="C192" t="inlineStr">
        <is>
          <t>2607701V</t>
        </is>
      </c>
      <c r="D192" t="inlineStr">
        <is>
          <t>Litecard</t>
        </is>
      </c>
      <c r="E192" t="inlineStr">
        <is>
          <t>Litecard - Event Photographer - 16.7.26</t>
        </is>
      </c>
      <c r="F192" t="n">
        <v>550</v>
      </c>
      <c r="G192" t="inlineStr">
        <is>
          <t>INV-10522</t>
        </is>
      </c>
      <c r="H192" s="51" t="n">
        <v>46216</v>
      </c>
      <c r="I192" t="n">
        <v>550</v>
      </c>
      <c r="J192" t="n">
        <v>0</v>
      </c>
      <c r="K192" t="inlineStr">
        <is>
          <t>Agrees</t>
        </is>
      </c>
      <c r="L192" t="inlineStr">
        <is>
          <t>Job number not in the Xero job list</t>
        </is>
      </c>
      <c r="N192" t="inlineStr">
        <is>
          <t>CHECK</t>
        </is>
      </c>
      <c r="P192" t="inlineStr">
        <is>
          <t>VIDEO</t>
        </is>
      </c>
      <c r="Q192" t="inlineStr">
        <is>
          <t>Project</t>
        </is>
      </c>
      <c r="R192" t="inlineStr">
        <is>
          <t>GST 10%</t>
        </is>
      </c>
      <c r="S192" t="inlineStr">
        <is>
          <t>42150</t>
        </is>
      </c>
      <c r="T192" t="inlineStr">
        <is>
          <t>6102</t>
        </is>
      </c>
      <c r="U192" t="inlineStr">
        <is>
          <t>Video part of 2607701 - Video Total per job list</t>
        </is>
      </c>
      <c r="V192" t="n">
        <v>55</v>
      </c>
      <c r="W192" t="n">
        <v>605</v>
      </c>
      <c r="X192" s="51" t="n">
        <v>46234</v>
      </c>
      <c r="Y192" t="n">
        <v>1</v>
      </c>
      <c r="Z192" t="n">
        <v>550</v>
      </c>
      <c r="AA192" t="n">
        <v>550</v>
      </c>
      <c r="AB192" t="n">
        <v>64</v>
      </c>
      <c r="AD192" s="52">
        <f>IFERROR(N(IFERROR(INDEX($A192:$AB192,MATCH("Xero Invoiced Ex GST",$A$1:$AB$1,0)),"")),0)</f>
        <v/>
      </c>
      <c r="AE192" s="53">
        <f>IFERROR(INDEX($A192:$AB192,MATCH("Xero Invoice Date",$A$1:$AB$1,0)),"")</f>
        <v/>
      </c>
      <c r="AF192" s="54">
        <f>IF(AND(IFERROR(INDEX($A192:$AB192,MATCH("Xero Invoice No",$A$1:$AB$1,0)),"")&amp;""&lt;&gt;"",ISNUMBER(AE192),AD192&lt;&gt;0),1,0)</f>
        <v/>
      </c>
      <c r="AG192" s="55">
        <f>IF(AF192=1,EOMONTH(AE192,0),"")</f>
        <v/>
      </c>
      <c r="AH192" s="9">
        <f>IF(AF192=1,UPPER(TRIM(IFERROR(INDEX($A192:$AB192,MATCH("Client",$A$1:$AB$1,0)),"")&amp;"")),"")</f>
        <v/>
      </c>
      <c r="AI192" s="9">
        <f>IF(AF192=1,IFERROR(INDEX($A192:$AB192,MATCH("Cost Centre",$A$1:$AB$1,0)),"")&amp;"","")</f>
        <v/>
      </c>
      <c r="AJ192" s="54">
        <f>IF(AND(AF192=1,AE192&gt;=set_FYStart,AE192&lt;=set_AsAt),1,0)</f>
        <v/>
      </c>
      <c r="AK192" s="54">
        <f>IF(AND(AJ192=1,AH192&lt;&gt;"",COUNTIFS($AH$2:AH192,AH192,$AJ$2:AJ192,1)=1),N(AL191)+1,"")</f>
        <v/>
      </c>
      <c r="AL192" s="54">
        <f>IF(AK192&lt;&gt;"",AK192,N(AL191))</f>
        <v/>
      </c>
    </row>
    <row r="193">
      <c r="A193" t="inlineStr">
        <is>
          <t>CON-0064</t>
        </is>
      </c>
      <c r="B193" t="inlineStr">
        <is>
          <t>Consulting</t>
        </is>
      </c>
      <c r="AB193" t="n">
        <v>64</v>
      </c>
      <c r="AD193" s="52">
        <f>IFERROR(N(IFERROR(INDEX($A193:$AB193,MATCH("Xero Invoiced Ex GST",$A$1:$AB$1,0)),"")),0)</f>
        <v/>
      </c>
      <c r="AE193" s="53">
        <f>IFERROR(INDEX($A193:$AB193,MATCH("Xero Invoice Date",$A$1:$AB$1,0)),"")</f>
        <v/>
      </c>
      <c r="AF193" s="54">
        <f>IF(AND(IFERROR(INDEX($A193:$AB193,MATCH("Xero Invoice No",$A$1:$AB$1,0)),"")&amp;""&lt;&gt;"",ISNUMBER(AE193),AD193&lt;&gt;0),1,0)</f>
        <v/>
      </c>
      <c r="AG193" s="55">
        <f>IF(AF193=1,EOMONTH(AE193,0),"")</f>
        <v/>
      </c>
      <c r="AH193" s="9">
        <f>IF(AF193=1,UPPER(TRIM(IFERROR(INDEX($A193:$AB193,MATCH("Client",$A$1:$AB$1,0)),"")&amp;"")),"")</f>
        <v/>
      </c>
      <c r="AI193" s="9">
        <f>IF(AF193=1,IFERROR(INDEX($A193:$AB193,MATCH("Cost Centre",$A$1:$AB$1,0)),"")&amp;"","")</f>
        <v/>
      </c>
      <c r="AJ193" s="54">
        <f>IF(AND(AF193=1,AE193&gt;=set_FYStart,AE193&lt;=set_AsAt),1,0)</f>
        <v/>
      </c>
      <c r="AK193" s="54">
        <f>IF(AND(AJ193=1,AH193&lt;&gt;"",COUNTIFS($AH$2:AH193,AH193,$AJ$2:AJ193,1)=1),N(AL192)+1,"")</f>
        <v/>
      </c>
      <c r="AL193" s="54">
        <f>IF(AK193&lt;&gt;"",AK193,N(AL192))</f>
        <v/>
      </c>
    </row>
    <row r="194">
      <c r="A194" t="inlineStr">
        <is>
          <t>ONS-0065</t>
        </is>
      </c>
      <c r="B194" t="inlineStr">
        <is>
          <t>Onsite</t>
        </is>
      </c>
      <c r="D194" t="inlineStr">
        <is>
          <t>DTTL</t>
        </is>
      </c>
      <c r="E194" t="inlineStr">
        <is>
          <t>DTTL Additionals September 2026</t>
        </is>
      </c>
      <c r="F194" t="n">
        <v>15771.73</v>
      </c>
      <c r="G194" t="inlineStr">
        <is>
          <t>INV-10651</t>
        </is>
      </c>
      <c r="I194" t="n">
        <v>15771.73</v>
      </c>
      <c r="J194" t="n">
        <v>0</v>
      </c>
      <c r="K194" t="inlineStr">
        <is>
          <t>Invoice on empty job row</t>
        </is>
      </c>
      <c r="L194" t="inlineStr">
        <is>
          <t>Invoice entered but the department row has no job number; Invoice incomplete - needs Invoice No, a date and a number in Ex GST</t>
        </is>
      </c>
      <c r="P194" t="inlineStr">
        <is>
          <t>ONSITE</t>
        </is>
      </c>
      <c r="Q194" t="inlineStr">
        <is>
          <t>Ad-hoc</t>
        </is>
      </c>
      <c r="R194" t="inlineStr">
        <is>
          <t>GST 10%</t>
        </is>
      </c>
      <c r="S194" t="inlineStr">
        <is>
          <t>41100</t>
        </is>
      </c>
      <c r="V194" t="n">
        <v>1577.17</v>
      </c>
      <c r="W194" t="n">
        <v>17348.9</v>
      </c>
      <c r="AB194" t="n">
        <v>65</v>
      </c>
      <c r="AD194" s="52">
        <f>IFERROR(N(IFERROR(INDEX($A194:$AB194,MATCH("Xero Invoiced Ex GST",$A$1:$AB$1,0)),"")),0)</f>
        <v/>
      </c>
      <c r="AE194" s="53">
        <f>IFERROR(INDEX($A194:$AB194,MATCH("Xero Invoice Date",$A$1:$AB$1,0)),"")</f>
        <v/>
      </c>
      <c r="AF194" s="54">
        <f>IF(AND(IFERROR(INDEX($A194:$AB194,MATCH("Xero Invoice No",$A$1:$AB$1,0)),"")&amp;""&lt;&gt;"",ISNUMBER(AE194),AD194&lt;&gt;0),1,0)</f>
        <v/>
      </c>
      <c r="AG194" s="55">
        <f>IF(AF194=1,EOMONTH(AE194,0),"")</f>
        <v/>
      </c>
      <c r="AH194" s="9">
        <f>IF(AF194=1,UPPER(TRIM(IFERROR(INDEX($A194:$AB194,MATCH("Client",$A$1:$AB$1,0)),"")&amp;"")),"")</f>
        <v/>
      </c>
      <c r="AI194" s="9">
        <f>IF(AF194=1,IFERROR(INDEX($A194:$AB194,MATCH("Cost Centre",$A$1:$AB$1,0)),"")&amp;"","")</f>
        <v/>
      </c>
      <c r="AJ194" s="54">
        <f>IF(AND(AF194=1,AE194&gt;=set_FYStart,AE194&lt;=set_AsAt),1,0)</f>
        <v/>
      </c>
      <c r="AK194" s="54">
        <f>IF(AND(AJ194=1,AH194&lt;&gt;"",COUNTIFS($AH$2:AH194,AH194,$AJ$2:AJ194,1)=1),N(AL193)+1,"")</f>
        <v/>
      </c>
      <c r="AL194" s="54">
        <f>IF(AK194&lt;&gt;"",AK194,N(AL193))</f>
        <v/>
      </c>
    </row>
    <row r="195">
      <c r="A195" t="inlineStr">
        <is>
          <t>PRD-0065</t>
        </is>
      </c>
      <c r="B195" t="inlineStr">
        <is>
          <t>Production</t>
        </is>
      </c>
      <c r="C195" t="inlineStr">
        <is>
          <t>26052703V</t>
        </is>
      </c>
      <c r="D195" t="inlineStr">
        <is>
          <t>Microsoft</t>
        </is>
      </c>
      <c r="E195" t="inlineStr">
        <is>
          <t>Microsoft Town Hall 21.7.26</t>
        </is>
      </c>
      <c r="F195" t="n">
        <v>1702</v>
      </c>
      <c r="G195" t="inlineStr">
        <is>
          <t>INV-10554</t>
        </is>
      </c>
      <c r="H195" s="51" t="n">
        <v>46234</v>
      </c>
      <c r="I195" t="n">
        <v>1702</v>
      </c>
      <c r="J195" t="n">
        <v>0</v>
      </c>
      <c r="K195" t="inlineStr">
        <is>
          <t>Agrees</t>
        </is>
      </c>
      <c r="N195" t="inlineStr">
        <is>
          <t>OK</t>
        </is>
      </c>
      <c r="O195" t="inlineStr">
        <is>
          <t>Microsoft Town Hall - 21.7.26</t>
        </is>
      </c>
      <c r="P195" t="inlineStr">
        <is>
          <t>VIDEO</t>
        </is>
      </c>
      <c r="Q195" t="inlineStr">
        <is>
          <t>Project</t>
        </is>
      </c>
      <c r="R195" t="inlineStr">
        <is>
          <t>GST 10%</t>
        </is>
      </c>
      <c r="S195" t="inlineStr">
        <is>
          <t>42150</t>
        </is>
      </c>
      <c r="T195" t="inlineStr">
        <is>
          <t>6034</t>
        </is>
      </c>
      <c r="U195" t="inlineStr">
        <is>
          <t>Video part of 26052703 - Video Total per job list</t>
        </is>
      </c>
      <c r="V195" t="n">
        <v>170.2</v>
      </c>
      <c r="W195" t="n">
        <v>1872.2</v>
      </c>
      <c r="X195" s="51" t="n">
        <v>46234</v>
      </c>
      <c r="Y195" t="n">
        <v>1</v>
      </c>
      <c r="Z195" t="n">
        <v>1702</v>
      </c>
      <c r="AA195" t="n">
        <v>1702</v>
      </c>
      <c r="AB195" t="n">
        <v>65</v>
      </c>
      <c r="AD195" s="52">
        <f>IFERROR(N(IFERROR(INDEX($A195:$AB195,MATCH("Xero Invoiced Ex GST",$A$1:$AB$1,0)),"")),0)</f>
        <v/>
      </c>
      <c r="AE195" s="53">
        <f>IFERROR(INDEX($A195:$AB195,MATCH("Xero Invoice Date",$A$1:$AB$1,0)),"")</f>
        <v/>
      </c>
      <c r="AF195" s="54">
        <f>IF(AND(IFERROR(INDEX($A195:$AB195,MATCH("Xero Invoice No",$A$1:$AB$1,0)),"")&amp;""&lt;&gt;"",ISNUMBER(AE195),AD195&lt;&gt;0),1,0)</f>
        <v/>
      </c>
      <c r="AG195" s="55">
        <f>IF(AF195=1,EOMONTH(AE195,0),"")</f>
        <v/>
      </c>
      <c r="AH195" s="9">
        <f>IF(AF195=1,UPPER(TRIM(IFERROR(INDEX($A195:$AB195,MATCH("Client",$A$1:$AB$1,0)),"")&amp;"")),"")</f>
        <v/>
      </c>
      <c r="AI195" s="9">
        <f>IF(AF195=1,IFERROR(INDEX($A195:$AB195,MATCH("Cost Centre",$A$1:$AB$1,0)),"")&amp;"","")</f>
        <v/>
      </c>
      <c r="AJ195" s="54">
        <f>IF(AND(AF195=1,AE195&gt;=set_FYStart,AE195&lt;=set_AsAt),1,0)</f>
        <v/>
      </c>
      <c r="AK195" s="54">
        <f>IF(AND(AJ195=1,AH195&lt;&gt;"",COUNTIFS($AH$2:AH195,AH195,$AJ$2:AJ195,1)=1),N(AL194)+1,"")</f>
        <v/>
      </c>
      <c r="AL195" s="54">
        <f>IF(AK195&lt;&gt;"",AK195,N(AL194))</f>
        <v/>
      </c>
    </row>
    <row r="196">
      <c r="A196" t="inlineStr">
        <is>
          <t>CON-0065</t>
        </is>
      </c>
      <c r="B196" t="inlineStr">
        <is>
          <t>Consulting</t>
        </is>
      </c>
      <c r="AB196" t="n">
        <v>65</v>
      </c>
      <c r="AD196" s="52">
        <f>IFERROR(N(IFERROR(INDEX($A196:$AB196,MATCH("Xero Invoiced Ex GST",$A$1:$AB$1,0)),"")),0)</f>
        <v/>
      </c>
      <c r="AE196" s="53">
        <f>IFERROR(INDEX($A196:$AB196,MATCH("Xero Invoice Date",$A$1:$AB$1,0)),"")</f>
        <v/>
      </c>
      <c r="AF196" s="54">
        <f>IF(AND(IFERROR(INDEX($A196:$AB196,MATCH("Xero Invoice No",$A$1:$AB$1,0)),"")&amp;""&lt;&gt;"",ISNUMBER(AE196),AD196&lt;&gt;0),1,0)</f>
        <v/>
      </c>
      <c r="AG196" s="55">
        <f>IF(AF196=1,EOMONTH(AE196,0),"")</f>
        <v/>
      </c>
      <c r="AH196" s="9">
        <f>IF(AF196=1,UPPER(TRIM(IFERROR(INDEX($A196:$AB196,MATCH("Client",$A$1:$AB$1,0)),"")&amp;"")),"")</f>
        <v/>
      </c>
      <c r="AI196" s="9">
        <f>IF(AF196=1,IFERROR(INDEX($A196:$AB196,MATCH("Cost Centre",$A$1:$AB$1,0)),"")&amp;"","")</f>
        <v/>
      </c>
      <c r="AJ196" s="54">
        <f>IF(AND(AF196=1,AE196&gt;=set_FYStart,AE196&lt;=set_AsAt),1,0)</f>
        <v/>
      </c>
      <c r="AK196" s="54">
        <f>IF(AND(AJ196=1,AH196&lt;&gt;"",COUNTIFS($AH$2:AH196,AH196,$AJ$2:AJ196,1)=1),N(AL195)+1,"")</f>
        <v/>
      </c>
      <c r="AL196" s="54">
        <f>IF(AK196&lt;&gt;"",AK196,N(AL195))</f>
        <v/>
      </c>
    </row>
    <row r="197">
      <c r="A197" t="inlineStr">
        <is>
          <t>ONS-0066</t>
        </is>
      </c>
      <c r="B197" t="inlineStr">
        <is>
          <t>Onsite</t>
        </is>
      </c>
      <c r="D197" t="inlineStr">
        <is>
          <t>DTTL</t>
        </is>
      </c>
      <c r="E197" t="inlineStr">
        <is>
          <t>Next Gen (included in the Sept additionals)</t>
        </is>
      </c>
      <c r="P197" t="inlineStr">
        <is>
          <t>ONSITE</t>
        </is>
      </c>
      <c r="Q197" t="inlineStr">
        <is>
          <t>Ad-hoc</t>
        </is>
      </c>
      <c r="R197" t="inlineStr">
        <is>
          <t>GST 10%</t>
        </is>
      </c>
      <c r="S197" t="inlineStr">
        <is>
          <t>41100</t>
        </is>
      </c>
      <c r="AB197" t="n">
        <v>66</v>
      </c>
      <c r="AD197" s="52">
        <f>IFERROR(N(IFERROR(INDEX($A197:$AB197,MATCH("Xero Invoiced Ex GST",$A$1:$AB$1,0)),"")),0)</f>
        <v/>
      </c>
      <c r="AE197" s="53">
        <f>IFERROR(INDEX($A197:$AB197,MATCH("Xero Invoice Date",$A$1:$AB$1,0)),"")</f>
        <v/>
      </c>
      <c r="AF197" s="54">
        <f>IF(AND(IFERROR(INDEX($A197:$AB197,MATCH("Xero Invoice No",$A$1:$AB$1,0)),"")&amp;""&lt;&gt;"",ISNUMBER(AE197),AD197&lt;&gt;0),1,0)</f>
        <v/>
      </c>
      <c r="AG197" s="55">
        <f>IF(AF197=1,EOMONTH(AE197,0),"")</f>
        <v/>
      </c>
      <c r="AH197" s="9">
        <f>IF(AF197=1,UPPER(TRIM(IFERROR(INDEX($A197:$AB197,MATCH("Client",$A$1:$AB$1,0)),"")&amp;"")),"")</f>
        <v/>
      </c>
      <c r="AI197" s="9">
        <f>IF(AF197=1,IFERROR(INDEX($A197:$AB197,MATCH("Cost Centre",$A$1:$AB$1,0)),"")&amp;"","")</f>
        <v/>
      </c>
      <c r="AJ197" s="54">
        <f>IF(AND(AF197=1,AE197&gt;=set_FYStart,AE197&lt;=set_AsAt),1,0)</f>
        <v/>
      </c>
      <c r="AK197" s="54">
        <f>IF(AND(AJ197=1,AH197&lt;&gt;"",COUNTIFS($AH$2:AH197,AH197,$AJ$2:AJ197,1)=1),N(AL196)+1,"")</f>
        <v/>
      </c>
      <c r="AL197" s="54">
        <f>IF(AK197&lt;&gt;"",AK197,N(AL196))</f>
        <v/>
      </c>
    </row>
    <row r="198">
      <c r="A198" t="inlineStr">
        <is>
          <t>PRD-0066</t>
        </is>
      </c>
      <c r="B198" t="inlineStr">
        <is>
          <t>Production</t>
        </is>
      </c>
      <c r="C198" t="inlineStr">
        <is>
          <t>2605403V</t>
        </is>
      </c>
      <c r="D198" t="inlineStr">
        <is>
          <t>Arup</t>
        </is>
      </c>
      <c r="E198" t="inlineStr">
        <is>
          <t>Oves Awards Night 23.7.26</t>
        </is>
      </c>
      <c r="F198" t="n">
        <v>176</v>
      </c>
      <c r="G198" t="inlineStr">
        <is>
          <t>INV-10540</t>
        </is>
      </c>
      <c r="H198" s="51" t="n">
        <v>46233</v>
      </c>
      <c r="I198" t="n">
        <v>176</v>
      </c>
      <c r="J198" t="n">
        <v>0</v>
      </c>
      <c r="K198" t="inlineStr">
        <is>
          <t>Agrees</t>
        </is>
      </c>
      <c r="N198" t="inlineStr">
        <is>
          <t>OK</t>
        </is>
      </c>
      <c r="O198" t="inlineStr">
        <is>
          <t>ARUP - Oves Awards - 23.7.26</t>
        </is>
      </c>
      <c r="P198" t="inlineStr">
        <is>
          <t>VIDEO</t>
        </is>
      </c>
      <c r="Q198" t="inlineStr">
        <is>
          <t>Project</t>
        </is>
      </c>
      <c r="R198" t="inlineStr">
        <is>
          <t>GST 10%</t>
        </is>
      </c>
      <c r="S198" t="inlineStr">
        <is>
          <t>42150</t>
        </is>
      </c>
      <c r="T198" t="inlineStr">
        <is>
          <t>5956</t>
        </is>
      </c>
      <c r="U198" t="inlineStr">
        <is>
          <t>Video part of 2605403 - Video Total per job list</t>
        </is>
      </c>
      <c r="V198" t="n">
        <v>17.6</v>
      </c>
      <c r="W198" t="n">
        <v>193.6</v>
      </c>
      <c r="X198" s="51" t="n">
        <v>46234</v>
      </c>
      <c r="Y198" t="n">
        <v>1</v>
      </c>
      <c r="Z198" t="n">
        <v>176</v>
      </c>
      <c r="AA198" t="n">
        <v>176</v>
      </c>
      <c r="AB198" t="n">
        <v>66</v>
      </c>
      <c r="AD198" s="52">
        <f>IFERROR(N(IFERROR(INDEX($A198:$AB198,MATCH("Xero Invoiced Ex GST",$A$1:$AB$1,0)),"")),0)</f>
        <v/>
      </c>
      <c r="AE198" s="53">
        <f>IFERROR(INDEX($A198:$AB198,MATCH("Xero Invoice Date",$A$1:$AB$1,0)),"")</f>
        <v/>
      </c>
      <c r="AF198" s="54">
        <f>IF(AND(IFERROR(INDEX($A198:$AB198,MATCH("Xero Invoice No",$A$1:$AB$1,0)),"")&amp;""&lt;&gt;"",ISNUMBER(AE198),AD198&lt;&gt;0),1,0)</f>
        <v/>
      </c>
      <c r="AG198" s="55">
        <f>IF(AF198=1,EOMONTH(AE198,0),"")</f>
        <v/>
      </c>
      <c r="AH198" s="9">
        <f>IF(AF198=1,UPPER(TRIM(IFERROR(INDEX($A198:$AB198,MATCH("Client",$A$1:$AB$1,0)),"")&amp;"")),"")</f>
        <v/>
      </c>
      <c r="AI198" s="9">
        <f>IF(AF198=1,IFERROR(INDEX($A198:$AB198,MATCH("Cost Centre",$A$1:$AB$1,0)),"")&amp;"","")</f>
        <v/>
      </c>
      <c r="AJ198" s="54">
        <f>IF(AND(AF198=1,AE198&gt;=set_FYStart,AE198&lt;=set_AsAt),1,0)</f>
        <v/>
      </c>
      <c r="AK198" s="54">
        <f>IF(AND(AJ198=1,AH198&lt;&gt;"",COUNTIFS($AH$2:AH198,AH198,$AJ$2:AJ198,1)=1),N(AL197)+1,"")</f>
        <v/>
      </c>
      <c r="AL198" s="54">
        <f>IF(AK198&lt;&gt;"",AK198,N(AL197))</f>
        <v/>
      </c>
    </row>
    <row r="199">
      <c r="A199" t="inlineStr">
        <is>
          <t>CON-0066</t>
        </is>
      </c>
      <c r="B199" t="inlineStr">
        <is>
          <t>Consulting</t>
        </is>
      </c>
      <c r="AB199" t="n">
        <v>66</v>
      </c>
      <c r="AD199" s="52">
        <f>IFERROR(N(IFERROR(INDEX($A199:$AB199,MATCH("Xero Invoiced Ex GST",$A$1:$AB$1,0)),"")),0)</f>
        <v/>
      </c>
      <c r="AE199" s="53">
        <f>IFERROR(INDEX($A199:$AB199,MATCH("Xero Invoice Date",$A$1:$AB$1,0)),"")</f>
        <v/>
      </c>
      <c r="AF199" s="54">
        <f>IF(AND(IFERROR(INDEX($A199:$AB199,MATCH("Xero Invoice No",$A$1:$AB$1,0)),"")&amp;""&lt;&gt;"",ISNUMBER(AE199),AD199&lt;&gt;0),1,0)</f>
        <v/>
      </c>
      <c r="AG199" s="55">
        <f>IF(AF199=1,EOMONTH(AE199,0),"")</f>
        <v/>
      </c>
      <c r="AH199" s="9">
        <f>IF(AF199=1,UPPER(TRIM(IFERROR(INDEX($A199:$AB199,MATCH("Client",$A$1:$AB$1,0)),"")&amp;"")),"")</f>
        <v/>
      </c>
      <c r="AI199" s="9">
        <f>IF(AF199=1,IFERROR(INDEX($A199:$AB199,MATCH("Cost Centre",$A$1:$AB$1,0)),"")&amp;"","")</f>
        <v/>
      </c>
      <c r="AJ199" s="54">
        <f>IF(AND(AF199=1,AE199&gt;=set_FYStart,AE199&lt;=set_AsAt),1,0)</f>
        <v/>
      </c>
      <c r="AK199" s="54">
        <f>IF(AND(AJ199=1,AH199&lt;&gt;"",COUNTIFS($AH$2:AH199,AH199,$AJ$2:AJ199,1)=1),N(AL198)+1,"")</f>
        <v/>
      </c>
      <c r="AL199" s="54">
        <f>IF(AK199&lt;&gt;"",AK199,N(AL198))</f>
        <v/>
      </c>
    </row>
    <row r="200">
      <c r="A200" t="inlineStr">
        <is>
          <t>ONS-0067</t>
        </is>
      </c>
      <c r="B200" t="inlineStr">
        <is>
          <t>Onsite</t>
        </is>
      </c>
      <c r="C200" t="inlineStr">
        <is>
          <t>To be invoiced in Sept 2026</t>
        </is>
      </c>
      <c r="D200" t="inlineStr">
        <is>
          <t>AusPayNet</t>
        </is>
      </c>
      <c r="J200" t="n">
        <v>0</v>
      </c>
      <c r="K200" t="inlineStr">
        <is>
          <t>No dept value</t>
        </is>
      </c>
      <c r="L200" t="inlineStr">
        <is>
          <t>Job number not in the Xero job list; Dept has not entered an expected value</t>
        </is>
      </c>
      <c r="N200" t="inlineStr">
        <is>
          <t>CHECK</t>
        </is>
      </c>
      <c r="P200" t="inlineStr">
        <is>
          <t>ONSITE</t>
        </is>
      </c>
      <c r="Q200" t="inlineStr">
        <is>
          <t>Ad-hoc</t>
        </is>
      </c>
      <c r="R200" t="inlineStr">
        <is>
          <t>GST 10%</t>
        </is>
      </c>
      <c r="S200" t="inlineStr">
        <is>
          <t>41100</t>
        </is>
      </c>
      <c r="Y200" t="n">
        <v>1</v>
      </c>
      <c r="Z200" t="n">
        <v>0</v>
      </c>
      <c r="AA200" t="n">
        <v>0</v>
      </c>
      <c r="AB200" t="n">
        <v>67</v>
      </c>
      <c r="AD200" s="52">
        <f>IFERROR(N(IFERROR(INDEX($A200:$AB200,MATCH("Xero Invoiced Ex GST",$A$1:$AB$1,0)),"")),0)</f>
        <v/>
      </c>
      <c r="AE200" s="53">
        <f>IFERROR(INDEX($A200:$AB200,MATCH("Xero Invoice Date",$A$1:$AB$1,0)),"")</f>
        <v/>
      </c>
      <c r="AF200" s="54">
        <f>IF(AND(IFERROR(INDEX($A200:$AB200,MATCH("Xero Invoice No",$A$1:$AB$1,0)),"")&amp;""&lt;&gt;"",ISNUMBER(AE200),AD200&lt;&gt;0),1,0)</f>
        <v/>
      </c>
      <c r="AG200" s="55">
        <f>IF(AF200=1,EOMONTH(AE200,0),"")</f>
        <v/>
      </c>
      <c r="AH200" s="9">
        <f>IF(AF200=1,UPPER(TRIM(IFERROR(INDEX($A200:$AB200,MATCH("Client",$A$1:$AB$1,0)),"")&amp;"")),"")</f>
        <v/>
      </c>
      <c r="AI200" s="9">
        <f>IF(AF200=1,IFERROR(INDEX($A200:$AB200,MATCH("Cost Centre",$A$1:$AB$1,0)),"")&amp;"","")</f>
        <v/>
      </c>
      <c r="AJ200" s="54">
        <f>IF(AND(AF200=1,AE200&gt;=set_FYStart,AE200&lt;=set_AsAt),1,0)</f>
        <v/>
      </c>
      <c r="AK200" s="54">
        <f>IF(AND(AJ200=1,AH200&lt;&gt;"",COUNTIFS($AH$2:AH200,AH200,$AJ$2:AJ200,1)=1),N(AL199)+1,"")</f>
        <v/>
      </c>
      <c r="AL200" s="54">
        <f>IF(AK200&lt;&gt;"",AK200,N(AL199))</f>
        <v/>
      </c>
    </row>
    <row r="201">
      <c r="A201" t="inlineStr">
        <is>
          <t>PRD-0067</t>
        </is>
      </c>
      <c r="B201" t="inlineStr">
        <is>
          <t>Production</t>
        </is>
      </c>
      <c r="C201" t="inlineStr">
        <is>
          <t>2512804V</t>
        </is>
      </c>
      <c r="D201" t="inlineStr">
        <is>
          <t>RSNSW</t>
        </is>
      </c>
      <c r="E201" t="inlineStr">
        <is>
          <t>Ordinary General Meeting 5.8.26</t>
        </is>
      </c>
      <c r="F201" t="n">
        <v>1029</v>
      </c>
      <c r="G201" t="inlineStr">
        <is>
          <t>INV-10561</t>
        </is>
      </c>
      <c r="H201" s="51" t="n">
        <v>46247</v>
      </c>
      <c r="I201" t="n">
        <v>1029</v>
      </c>
      <c r="J201" t="n">
        <v>0</v>
      </c>
      <c r="K201" t="inlineStr">
        <is>
          <t>Agrees</t>
        </is>
      </c>
      <c r="N201" t="inlineStr">
        <is>
          <t>OK</t>
        </is>
      </c>
      <c r="O201" t="inlineStr">
        <is>
          <t>RSNSW Ordinary General Meeting 5.8.26</t>
        </is>
      </c>
      <c r="P201" t="inlineStr">
        <is>
          <t>VIDEO</t>
        </is>
      </c>
      <c r="Q201" t="inlineStr">
        <is>
          <t>Project</t>
        </is>
      </c>
      <c r="R201" t="inlineStr">
        <is>
          <t>GST 10%</t>
        </is>
      </c>
      <c r="S201" t="inlineStr">
        <is>
          <t>42150</t>
        </is>
      </c>
      <c r="T201" t="inlineStr">
        <is>
          <t>5826</t>
        </is>
      </c>
      <c r="U201" t="inlineStr">
        <is>
          <t>Video part of 2512804 - Video Total per job list</t>
        </is>
      </c>
      <c r="V201" t="n">
        <v>102.9</v>
      </c>
      <c r="W201" t="n">
        <v>1131.9</v>
      </c>
      <c r="X201" s="51" t="n">
        <v>46265</v>
      </c>
      <c r="Y201" t="n">
        <v>1</v>
      </c>
      <c r="Z201" t="n">
        <v>1029</v>
      </c>
      <c r="AA201" t="n">
        <v>1029</v>
      </c>
      <c r="AB201" t="n">
        <v>67</v>
      </c>
      <c r="AD201" s="52">
        <f>IFERROR(N(IFERROR(INDEX($A201:$AB201,MATCH("Xero Invoiced Ex GST",$A$1:$AB$1,0)),"")),0)</f>
        <v/>
      </c>
      <c r="AE201" s="53">
        <f>IFERROR(INDEX($A201:$AB201,MATCH("Xero Invoice Date",$A$1:$AB$1,0)),"")</f>
        <v/>
      </c>
      <c r="AF201" s="54">
        <f>IF(AND(IFERROR(INDEX($A201:$AB201,MATCH("Xero Invoice No",$A$1:$AB$1,0)),"")&amp;""&lt;&gt;"",ISNUMBER(AE201),AD201&lt;&gt;0),1,0)</f>
        <v/>
      </c>
      <c r="AG201" s="55">
        <f>IF(AF201=1,EOMONTH(AE201,0),"")</f>
        <v/>
      </c>
      <c r="AH201" s="9">
        <f>IF(AF201=1,UPPER(TRIM(IFERROR(INDEX($A201:$AB201,MATCH("Client",$A$1:$AB$1,0)),"")&amp;"")),"")</f>
        <v/>
      </c>
      <c r="AI201" s="9">
        <f>IF(AF201=1,IFERROR(INDEX($A201:$AB201,MATCH("Cost Centre",$A$1:$AB$1,0)),"")&amp;"","")</f>
        <v/>
      </c>
      <c r="AJ201" s="54">
        <f>IF(AND(AF201=1,AE201&gt;=set_FYStart,AE201&lt;=set_AsAt),1,0)</f>
        <v/>
      </c>
      <c r="AK201" s="54">
        <f>IF(AND(AJ201=1,AH201&lt;&gt;"",COUNTIFS($AH$2:AH201,AH201,$AJ$2:AJ201,1)=1),N(AL200)+1,"")</f>
        <v/>
      </c>
      <c r="AL201" s="54">
        <f>IF(AK201&lt;&gt;"",AK201,N(AL200))</f>
        <v/>
      </c>
    </row>
    <row r="202">
      <c r="A202" t="inlineStr">
        <is>
          <t>CON-0067</t>
        </is>
      </c>
      <c r="B202" t="inlineStr">
        <is>
          <t>Consulting</t>
        </is>
      </c>
      <c r="AB202" t="n">
        <v>67</v>
      </c>
      <c r="AD202" s="52">
        <f>IFERROR(N(IFERROR(INDEX($A202:$AB202,MATCH("Xero Invoiced Ex GST",$A$1:$AB$1,0)),"")),0)</f>
        <v/>
      </c>
      <c r="AE202" s="53">
        <f>IFERROR(INDEX($A202:$AB202,MATCH("Xero Invoice Date",$A$1:$AB$1,0)),"")</f>
        <v/>
      </c>
      <c r="AF202" s="54">
        <f>IF(AND(IFERROR(INDEX($A202:$AB202,MATCH("Xero Invoice No",$A$1:$AB$1,0)),"")&amp;""&lt;&gt;"",ISNUMBER(AE202),AD202&lt;&gt;0),1,0)</f>
        <v/>
      </c>
      <c r="AG202" s="55">
        <f>IF(AF202=1,EOMONTH(AE202,0),"")</f>
        <v/>
      </c>
      <c r="AH202" s="9">
        <f>IF(AF202=1,UPPER(TRIM(IFERROR(INDEX($A202:$AB202,MATCH("Client",$A$1:$AB$1,0)),"")&amp;"")),"")</f>
        <v/>
      </c>
      <c r="AI202" s="9">
        <f>IF(AF202=1,IFERROR(INDEX($A202:$AB202,MATCH("Cost Centre",$A$1:$AB$1,0)),"")&amp;"","")</f>
        <v/>
      </c>
      <c r="AJ202" s="54">
        <f>IF(AND(AF202=1,AE202&gt;=set_FYStart,AE202&lt;=set_AsAt),1,0)</f>
        <v/>
      </c>
      <c r="AK202" s="54">
        <f>IF(AND(AJ202=1,AH202&lt;&gt;"",COUNTIFS($AH$2:AH202,AH202,$AJ$2:AJ202,1)=1),N(AL201)+1,"")</f>
        <v/>
      </c>
      <c r="AL202" s="54">
        <f>IF(AK202&lt;&gt;"",AK202,N(AL201))</f>
        <v/>
      </c>
    </row>
    <row r="203">
      <c r="A203" t="inlineStr">
        <is>
          <t>ONS-0068</t>
        </is>
      </c>
      <c r="B203" t="inlineStr">
        <is>
          <t>Onsite</t>
        </is>
      </c>
      <c r="C203" t="inlineStr">
        <is>
          <t>Sydney Contract</t>
        </is>
      </c>
      <c r="D203" t="inlineStr">
        <is>
          <t xml:space="preserve">Pwc </t>
        </is>
      </c>
      <c r="J203" t="n">
        <v>0</v>
      </c>
      <c r="K203" t="inlineStr">
        <is>
          <t>No dept value</t>
        </is>
      </c>
      <c r="L203" t="inlineStr">
        <is>
          <t>Job number not in the Xero job list; Dept has not entered an expected value</t>
        </is>
      </c>
      <c r="N203" t="inlineStr">
        <is>
          <t>CHECK</t>
        </is>
      </c>
      <c r="P203" t="inlineStr">
        <is>
          <t>ONSITE</t>
        </is>
      </c>
      <c r="Q203" t="inlineStr">
        <is>
          <t>Ad-hoc</t>
        </is>
      </c>
      <c r="R203" t="inlineStr">
        <is>
          <t>GST 10%</t>
        </is>
      </c>
      <c r="S203" t="inlineStr">
        <is>
          <t>41100</t>
        </is>
      </c>
      <c r="Y203" t="n">
        <v>1</v>
      </c>
      <c r="Z203" t="n">
        <v>0</v>
      </c>
      <c r="AA203" t="n">
        <v>0</v>
      </c>
      <c r="AB203" t="n">
        <v>68</v>
      </c>
      <c r="AD203" s="52">
        <f>IFERROR(N(IFERROR(INDEX($A203:$AB203,MATCH("Xero Invoiced Ex GST",$A$1:$AB$1,0)),"")),0)</f>
        <v/>
      </c>
      <c r="AE203" s="53">
        <f>IFERROR(INDEX($A203:$AB203,MATCH("Xero Invoice Date",$A$1:$AB$1,0)),"")</f>
        <v/>
      </c>
      <c r="AF203" s="54">
        <f>IF(AND(IFERROR(INDEX($A203:$AB203,MATCH("Xero Invoice No",$A$1:$AB$1,0)),"")&amp;""&lt;&gt;"",ISNUMBER(AE203),AD203&lt;&gt;0),1,0)</f>
        <v/>
      </c>
      <c r="AG203" s="55">
        <f>IF(AF203=1,EOMONTH(AE203,0),"")</f>
        <v/>
      </c>
      <c r="AH203" s="9">
        <f>IF(AF203=1,UPPER(TRIM(IFERROR(INDEX($A203:$AB203,MATCH("Client",$A$1:$AB$1,0)),"")&amp;"")),"")</f>
        <v/>
      </c>
      <c r="AI203" s="9">
        <f>IF(AF203=1,IFERROR(INDEX($A203:$AB203,MATCH("Cost Centre",$A$1:$AB$1,0)),"")&amp;"","")</f>
        <v/>
      </c>
      <c r="AJ203" s="54">
        <f>IF(AND(AF203=1,AE203&gt;=set_FYStart,AE203&lt;=set_AsAt),1,0)</f>
        <v/>
      </c>
      <c r="AK203" s="54">
        <f>IF(AND(AJ203=1,AH203&lt;&gt;"",COUNTIFS($AH$2:AH203,AH203,$AJ$2:AJ203,1)=1),N(AL202)+1,"")</f>
        <v/>
      </c>
      <c r="AL203" s="54">
        <f>IF(AK203&lt;&gt;"",AK203,N(AL202))</f>
        <v/>
      </c>
    </row>
    <row r="204">
      <c r="A204" t="inlineStr">
        <is>
          <t>PRD-0068</t>
        </is>
      </c>
      <c r="B204" t="inlineStr">
        <is>
          <t>Production</t>
        </is>
      </c>
      <c r="C204" t="inlineStr">
        <is>
          <t>26072902V</t>
        </is>
      </c>
      <c r="D204" t="inlineStr">
        <is>
          <t>PwC</t>
        </is>
      </c>
      <c r="E204" t="inlineStr">
        <is>
          <t>AI Townhall 6.8.26 (PO2601703328)</t>
        </is>
      </c>
      <c r="F204" t="n">
        <v>485</v>
      </c>
      <c r="G204" t="inlineStr">
        <is>
          <t>INV-10562</t>
        </is>
      </c>
      <c r="H204" s="51" t="n">
        <v>46247</v>
      </c>
      <c r="I204" t="n">
        <v>485</v>
      </c>
      <c r="J204" t="n">
        <v>0</v>
      </c>
      <c r="K204" t="inlineStr">
        <is>
          <t>Agrees</t>
        </is>
      </c>
      <c r="N204" t="inlineStr">
        <is>
          <t>OK</t>
        </is>
      </c>
      <c r="O204" t="inlineStr">
        <is>
          <t>PWC AI Townhall 6.8.26</t>
        </is>
      </c>
      <c r="P204" t="inlineStr">
        <is>
          <t>VIDEO</t>
        </is>
      </c>
      <c r="Q204" t="inlineStr">
        <is>
          <t>Project</t>
        </is>
      </c>
      <c r="R204" t="inlineStr">
        <is>
          <t>GST 10%</t>
        </is>
      </c>
      <c r="S204" t="inlineStr">
        <is>
          <t>42150</t>
        </is>
      </c>
      <c r="T204" t="inlineStr">
        <is>
          <t>6128</t>
        </is>
      </c>
      <c r="U204" t="inlineStr">
        <is>
          <t>Video part of 26072902 - Video Total per job list</t>
        </is>
      </c>
      <c r="V204" t="n">
        <v>48.5</v>
      </c>
      <c r="W204" t="n">
        <v>533.5</v>
      </c>
      <c r="X204" s="51" t="n">
        <v>46265</v>
      </c>
      <c r="Y204" t="n">
        <v>1</v>
      </c>
      <c r="Z204" t="n">
        <v>485</v>
      </c>
      <c r="AA204" t="n">
        <v>485</v>
      </c>
      <c r="AB204" t="n">
        <v>68</v>
      </c>
      <c r="AD204" s="52">
        <f>IFERROR(N(IFERROR(INDEX($A204:$AB204,MATCH("Xero Invoiced Ex GST",$A$1:$AB$1,0)),"")),0)</f>
        <v/>
      </c>
      <c r="AE204" s="53">
        <f>IFERROR(INDEX($A204:$AB204,MATCH("Xero Invoice Date",$A$1:$AB$1,0)),"")</f>
        <v/>
      </c>
      <c r="AF204" s="54">
        <f>IF(AND(IFERROR(INDEX($A204:$AB204,MATCH("Xero Invoice No",$A$1:$AB$1,0)),"")&amp;""&lt;&gt;"",ISNUMBER(AE204),AD204&lt;&gt;0),1,0)</f>
        <v/>
      </c>
      <c r="AG204" s="55">
        <f>IF(AF204=1,EOMONTH(AE204,0),"")</f>
        <v/>
      </c>
      <c r="AH204" s="9">
        <f>IF(AF204=1,UPPER(TRIM(IFERROR(INDEX($A204:$AB204,MATCH("Client",$A$1:$AB$1,0)),"")&amp;"")),"")</f>
        <v/>
      </c>
      <c r="AI204" s="9">
        <f>IF(AF204=1,IFERROR(INDEX($A204:$AB204,MATCH("Cost Centre",$A$1:$AB$1,0)),"")&amp;"","")</f>
        <v/>
      </c>
      <c r="AJ204" s="54">
        <f>IF(AND(AF204=1,AE204&gt;=set_FYStart,AE204&lt;=set_AsAt),1,0)</f>
        <v/>
      </c>
      <c r="AK204" s="54">
        <f>IF(AND(AJ204=1,AH204&lt;&gt;"",COUNTIFS($AH$2:AH204,AH204,$AJ$2:AJ204,1)=1),N(AL203)+1,"")</f>
        <v/>
      </c>
      <c r="AL204" s="54">
        <f>IF(AK204&lt;&gt;"",AK204,N(AL203))</f>
        <v/>
      </c>
    </row>
    <row r="205">
      <c r="A205" t="inlineStr">
        <is>
          <t>CON-0068</t>
        </is>
      </c>
      <c r="B205" t="inlineStr">
        <is>
          <t>Consulting</t>
        </is>
      </c>
      <c r="AB205" t="n">
        <v>68</v>
      </c>
      <c r="AD205" s="52">
        <f>IFERROR(N(IFERROR(INDEX($A205:$AB205,MATCH("Xero Invoiced Ex GST",$A$1:$AB$1,0)),"")),0)</f>
        <v/>
      </c>
      <c r="AE205" s="53">
        <f>IFERROR(INDEX($A205:$AB205,MATCH("Xero Invoice Date",$A$1:$AB$1,0)),"")</f>
        <v/>
      </c>
      <c r="AF205" s="54">
        <f>IF(AND(IFERROR(INDEX($A205:$AB205,MATCH("Xero Invoice No",$A$1:$AB$1,0)),"")&amp;""&lt;&gt;"",ISNUMBER(AE205),AD205&lt;&gt;0),1,0)</f>
        <v/>
      </c>
      <c r="AG205" s="55">
        <f>IF(AF205=1,EOMONTH(AE205,0),"")</f>
        <v/>
      </c>
      <c r="AH205" s="9">
        <f>IF(AF205=1,UPPER(TRIM(IFERROR(INDEX($A205:$AB205,MATCH("Client",$A$1:$AB$1,0)),"")&amp;"")),"")</f>
        <v/>
      </c>
      <c r="AI205" s="9">
        <f>IF(AF205=1,IFERROR(INDEX($A205:$AB205,MATCH("Cost Centre",$A$1:$AB$1,0)),"")&amp;"","")</f>
        <v/>
      </c>
      <c r="AJ205" s="54">
        <f>IF(AND(AF205=1,AE205&gt;=set_FYStart,AE205&lt;=set_AsAt),1,0)</f>
        <v/>
      </c>
      <c r="AK205" s="54">
        <f>IF(AND(AJ205=1,AH205&lt;&gt;"",COUNTIFS($AH$2:AH205,AH205,$AJ$2:AJ205,1)=1),N(AL204)+1,"")</f>
        <v/>
      </c>
      <c r="AL205" s="54">
        <f>IF(AK205&lt;&gt;"",AK205,N(AL204))</f>
        <v/>
      </c>
    </row>
    <row r="206">
      <c r="A206" t="inlineStr">
        <is>
          <t>ONS-0069</t>
        </is>
      </c>
      <c r="B206" t="inlineStr">
        <is>
          <t>Onsite</t>
        </is>
      </c>
      <c r="D206" t="inlineStr">
        <is>
          <t xml:space="preserve">Aware Super </t>
        </is>
      </c>
      <c r="E206" t="inlineStr">
        <is>
          <t>Aware Super Annual National Maintenance Proposal</t>
        </is>
      </c>
      <c r="G206" t="inlineStr">
        <is>
          <t>INV-10652</t>
        </is>
      </c>
      <c r="J206" t="n">
        <v>0</v>
      </c>
      <c r="K206" t="inlineStr">
        <is>
          <t>Invoice on empty job row</t>
        </is>
      </c>
      <c r="L206" t="inlineStr">
        <is>
          <t>Invoice entered but the department row has no job number; Invoice incomplete - needs Invoice No, a date and a number in Ex GST</t>
        </is>
      </c>
      <c r="P206" t="inlineStr">
        <is>
          <t>ONSITE</t>
        </is>
      </c>
      <c r="Q206" t="inlineStr">
        <is>
          <t>Ad-hoc</t>
        </is>
      </c>
      <c r="R206" t="inlineStr">
        <is>
          <t>GST 10%</t>
        </is>
      </c>
      <c r="S206" t="inlineStr">
        <is>
          <t>41100</t>
        </is>
      </c>
      <c r="AB206" t="n">
        <v>69</v>
      </c>
      <c r="AD206" s="52">
        <f>IFERROR(N(IFERROR(INDEX($A206:$AB206,MATCH("Xero Invoiced Ex GST",$A$1:$AB$1,0)),"")),0)</f>
        <v/>
      </c>
      <c r="AE206" s="53">
        <f>IFERROR(INDEX($A206:$AB206,MATCH("Xero Invoice Date",$A$1:$AB$1,0)),"")</f>
        <v/>
      </c>
      <c r="AF206" s="54">
        <f>IF(AND(IFERROR(INDEX($A206:$AB206,MATCH("Xero Invoice No",$A$1:$AB$1,0)),"")&amp;""&lt;&gt;"",ISNUMBER(AE206),AD206&lt;&gt;0),1,0)</f>
        <v/>
      </c>
      <c r="AG206" s="55">
        <f>IF(AF206=1,EOMONTH(AE206,0),"")</f>
        <v/>
      </c>
      <c r="AH206" s="9">
        <f>IF(AF206=1,UPPER(TRIM(IFERROR(INDEX($A206:$AB206,MATCH("Client",$A$1:$AB$1,0)),"")&amp;"")),"")</f>
        <v/>
      </c>
      <c r="AI206" s="9">
        <f>IF(AF206=1,IFERROR(INDEX($A206:$AB206,MATCH("Cost Centre",$A$1:$AB$1,0)),"")&amp;"","")</f>
        <v/>
      </c>
      <c r="AJ206" s="54">
        <f>IF(AND(AF206=1,AE206&gt;=set_FYStart,AE206&lt;=set_AsAt),1,0)</f>
        <v/>
      </c>
      <c r="AK206" s="54">
        <f>IF(AND(AJ206=1,AH206&lt;&gt;"",COUNTIFS($AH$2:AH206,AH206,$AJ$2:AJ206,1)=1),N(AL205)+1,"")</f>
        <v/>
      </c>
      <c r="AL206" s="54">
        <f>IF(AK206&lt;&gt;"",AK206,N(AL205))</f>
        <v/>
      </c>
    </row>
    <row r="207">
      <c r="A207" t="inlineStr">
        <is>
          <t>PRD-0069</t>
        </is>
      </c>
      <c r="B207" t="inlineStr">
        <is>
          <t>Production</t>
        </is>
      </c>
      <c r="C207" t="inlineStr">
        <is>
          <t>26063002V</t>
        </is>
      </c>
      <c r="D207" t="inlineStr">
        <is>
          <t>CEO Institute</t>
        </is>
      </c>
      <c r="E207" t="inlineStr">
        <is>
          <t>CEO Connect 11.8.26</t>
        </is>
      </c>
      <c r="F207" t="n">
        <v>1977.35</v>
      </c>
      <c r="G207" t="inlineStr">
        <is>
          <t>INV-10581</t>
        </is>
      </c>
      <c r="H207" s="51" t="n">
        <v>46255</v>
      </c>
      <c r="I207" t="n">
        <v>1977.35</v>
      </c>
      <c r="J207" t="n">
        <v>0</v>
      </c>
      <c r="K207" t="inlineStr">
        <is>
          <t>Agrees</t>
        </is>
      </c>
      <c r="N207" t="inlineStr">
        <is>
          <t>OK</t>
        </is>
      </c>
      <c r="O207" t="inlineStr">
        <is>
          <t>CEOi - CEO Connect - 11.8.26</t>
        </is>
      </c>
      <c r="P207" t="inlineStr">
        <is>
          <t>VIDEO</t>
        </is>
      </c>
      <c r="Q207" t="inlineStr">
        <is>
          <t>Project</t>
        </is>
      </c>
      <c r="R207" t="inlineStr">
        <is>
          <t>GST 10%</t>
        </is>
      </c>
      <c r="S207" t="inlineStr">
        <is>
          <t>42150</t>
        </is>
      </c>
      <c r="T207" t="inlineStr">
        <is>
          <t>6084</t>
        </is>
      </c>
      <c r="U207" t="inlineStr">
        <is>
          <t>Video part of 26063002 - Video Total per job list</t>
        </is>
      </c>
      <c r="V207" t="n">
        <v>197.74</v>
      </c>
      <c r="W207" t="n">
        <v>2175.09</v>
      </c>
      <c r="X207" s="51" t="n">
        <v>46265</v>
      </c>
      <c r="Y207" t="n">
        <v>1</v>
      </c>
      <c r="Z207" t="n">
        <v>1977.35</v>
      </c>
      <c r="AA207" t="n">
        <v>1977.35</v>
      </c>
      <c r="AB207" t="n">
        <v>69</v>
      </c>
      <c r="AD207" s="52">
        <f>IFERROR(N(IFERROR(INDEX($A207:$AB207,MATCH("Xero Invoiced Ex GST",$A$1:$AB$1,0)),"")),0)</f>
        <v/>
      </c>
      <c r="AE207" s="53">
        <f>IFERROR(INDEX($A207:$AB207,MATCH("Xero Invoice Date",$A$1:$AB$1,0)),"")</f>
        <v/>
      </c>
      <c r="AF207" s="54">
        <f>IF(AND(IFERROR(INDEX($A207:$AB207,MATCH("Xero Invoice No",$A$1:$AB$1,0)),"")&amp;""&lt;&gt;"",ISNUMBER(AE207),AD207&lt;&gt;0),1,0)</f>
        <v/>
      </c>
      <c r="AG207" s="55">
        <f>IF(AF207=1,EOMONTH(AE207,0),"")</f>
        <v/>
      </c>
      <c r="AH207" s="9">
        <f>IF(AF207=1,UPPER(TRIM(IFERROR(INDEX($A207:$AB207,MATCH("Client",$A$1:$AB$1,0)),"")&amp;"")),"")</f>
        <v/>
      </c>
      <c r="AI207" s="9">
        <f>IF(AF207=1,IFERROR(INDEX($A207:$AB207,MATCH("Cost Centre",$A$1:$AB$1,0)),"")&amp;"","")</f>
        <v/>
      </c>
      <c r="AJ207" s="54">
        <f>IF(AND(AF207=1,AE207&gt;=set_FYStart,AE207&lt;=set_AsAt),1,0)</f>
        <v/>
      </c>
      <c r="AK207" s="54">
        <f>IF(AND(AJ207=1,AH207&lt;&gt;"",COUNTIFS($AH$2:AH207,AH207,$AJ$2:AJ207,1)=1),N(AL206)+1,"")</f>
        <v/>
      </c>
      <c r="AL207" s="54">
        <f>IF(AK207&lt;&gt;"",AK207,N(AL206))</f>
        <v/>
      </c>
    </row>
    <row r="208">
      <c r="A208" t="inlineStr">
        <is>
          <t>CON-0069</t>
        </is>
      </c>
      <c r="B208" t="inlineStr">
        <is>
          <t>Consulting</t>
        </is>
      </c>
      <c r="AB208" t="n">
        <v>69</v>
      </c>
      <c r="AD208" s="52">
        <f>IFERROR(N(IFERROR(INDEX($A208:$AB208,MATCH("Xero Invoiced Ex GST",$A$1:$AB$1,0)),"")),0)</f>
        <v/>
      </c>
      <c r="AE208" s="53">
        <f>IFERROR(INDEX($A208:$AB208,MATCH("Xero Invoice Date",$A$1:$AB$1,0)),"")</f>
        <v/>
      </c>
      <c r="AF208" s="54">
        <f>IF(AND(IFERROR(INDEX($A208:$AB208,MATCH("Xero Invoice No",$A$1:$AB$1,0)),"")&amp;""&lt;&gt;"",ISNUMBER(AE208),AD208&lt;&gt;0),1,0)</f>
        <v/>
      </c>
      <c r="AG208" s="55">
        <f>IF(AF208=1,EOMONTH(AE208,0),"")</f>
        <v/>
      </c>
      <c r="AH208" s="9">
        <f>IF(AF208=1,UPPER(TRIM(IFERROR(INDEX($A208:$AB208,MATCH("Client",$A$1:$AB$1,0)),"")&amp;"")),"")</f>
        <v/>
      </c>
      <c r="AI208" s="9">
        <f>IF(AF208=1,IFERROR(INDEX($A208:$AB208,MATCH("Cost Centre",$A$1:$AB$1,0)),"")&amp;"","")</f>
        <v/>
      </c>
      <c r="AJ208" s="54">
        <f>IF(AND(AF208=1,AE208&gt;=set_FYStart,AE208&lt;=set_AsAt),1,0)</f>
        <v/>
      </c>
      <c r="AK208" s="54">
        <f>IF(AND(AJ208=1,AH208&lt;&gt;"",COUNTIFS($AH$2:AH208,AH208,$AJ$2:AJ208,1)=1),N(AL207)+1,"")</f>
        <v/>
      </c>
      <c r="AL208" s="54">
        <f>IF(AK208&lt;&gt;"",AK208,N(AL207))</f>
        <v/>
      </c>
    </row>
    <row r="209">
      <c r="A209" t="inlineStr">
        <is>
          <t>ONS-0070</t>
        </is>
      </c>
      <c r="B209" t="inlineStr">
        <is>
          <t>Onsite</t>
        </is>
      </c>
      <c r="D209" t="inlineStr">
        <is>
          <t>DTTL</t>
        </is>
      </c>
      <c r="E209" t="inlineStr">
        <is>
          <t>Deloitte Tech Support - ARC AI Symposium (to add to additionals)</t>
        </is>
      </c>
      <c r="P209" t="inlineStr">
        <is>
          <t>ONSITE</t>
        </is>
      </c>
      <c r="Q209" t="inlineStr">
        <is>
          <t>Ad-hoc</t>
        </is>
      </c>
      <c r="R209" t="inlineStr">
        <is>
          <t>GST 10%</t>
        </is>
      </c>
      <c r="S209" t="inlineStr">
        <is>
          <t>41100</t>
        </is>
      </c>
      <c r="AB209" t="n">
        <v>70</v>
      </c>
      <c r="AD209" s="52">
        <f>IFERROR(N(IFERROR(INDEX($A209:$AB209,MATCH("Xero Invoiced Ex GST",$A$1:$AB$1,0)),"")),0)</f>
        <v/>
      </c>
      <c r="AE209" s="53">
        <f>IFERROR(INDEX($A209:$AB209,MATCH("Xero Invoice Date",$A$1:$AB$1,0)),"")</f>
        <v/>
      </c>
      <c r="AF209" s="54">
        <f>IF(AND(IFERROR(INDEX($A209:$AB209,MATCH("Xero Invoice No",$A$1:$AB$1,0)),"")&amp;""&lt;&gt;"",ISNUMBER(AE209),AD209&lt;&gt;0),1,0)</f>
        <v/>
      </c>
      <c r="AG209" s="55">
        <f>IF(AF209=1,EOMONTH(AE209,0),"")</f>
        <v/>
      </c>
      <c r="AH209" s="9">
        <f>IF(AF209=1,UPPER(TRIM(IFERROR(INDEX($A209:$AB209,MATCH("Client",$A$1:$AB$1,0)),"")&amp;"")),"")</f>
        <v/>
      </c>
      <c r="AI209" s="9">
        <f>IF(AF209=1,IFERROR(INDEX($A209:$AB209,MATCH("Cost Centre",$A$1:$AB$1,0)),"")&amp;"","")</f>
        <v/>
      </c>
      <c r="AJ209" s="54">
        <f>IF(AND(AF209=1,AE209&gt;=set_FYStart,AE209&lt;=set_AsAt),1,0)</f>
        <v/>
      </c>
      <c r="AK209" s="54">
        <f>IF(AND(AJ209=1,AH209&lt;&gt;"",COUNTIFS($AH$2:AH209,AH209,$AJ$2:AJ209,1)=1),N(AL208)+1,"")</f>
        <v/>
      </c>
      <c r="AL209" s="54">
        <f>IF(AK209&lt;&gt;"",AK209,N(AL208))</f>
        <v/>
      </c>
    </row>
    <row r="210">
      <c r="A210" t="inlineStr">
        <is>
          <t>PRD-0070</t>
        </is>
      </c>
      <c r="B210" t="inlineStr">
        <is>
          <t>Production</t>
        </is>
      </c>
      <c r="C210" t="inlineStr">
        <is>
          <t>26072903V</t>
        </is>
      </c>
      <c r="D210" t="inlineStr">
        <is>
          <t>PwC</t>
        </is>
      </c>
      <c r="E210" t="inlineStr">
        <is>
          <t>GB Webcast 11.8.26</t>
        </is>
      </c>
      <c r="F210" t="n">
        <v>1065</v>
      </c>
      <c r="G210" t="inlineStr">
        <is>
          <t>INV-10577</t>
        </is>
      </c>
      <c r="H210" s="51" t="n">
        <v>46259</v>
      </c>
      <c r="I210" t="n">
        <v>1065</v>
      </c>
      <c r="J210" t="n">
        <v>0</v>
      </c>
      <c r="K210" t="inlineStr">
        <is>
          <t>Agrees</t>
        </is>
      </c>
      <c r="N210" t="inlineStr">
        <is>
          <t>OK</t>
        </is>
      </c>
      <c r="O210" t="inlineStr">
        <is>
          <t>PWC - GB Webcast - 11.8.26</t>
        </is>
      </c>
      <c r="P210" t="inlineStr">
        <is>
          <t>VIDEO</t>
        </is>
      </c>
      <c r="Q210" t="inlineStr">
        <is>
          <t>Project</t>
        </is>
      </c>
      <c r="R210" t="inlineStr">
        <is>
          <t>GST 10%</t>
        </is>
      </c>
      <c r="S210" t="inlineStr">
        <is>
          <t>42150</t>
        </is>
      </c>
      <c r="T210" t="inlineStr">
        <is>
          <t>6134</t>
        </is>
      </c>
      <c r="U210" t="inlineStr">
        <is>
          <t>Video part of 26072903 - Video Total per job list</t>
        </is>
      </c>
      <c r="V210" t="n">
        <v>106.5</v>
      </c>
      <c r="W210" t="n">
        <v>1171.5</v>
      </c>
      <c r="X210" s="51" t="n">
        <v>46265</v>
      </c>
      <c r="Y210" t="n">
        <v>1</v>
      </c>
      <c r="Z210" t="n">
        <v>1065</v>
      </c>
      <c r="AA210" t="n">
        <v>1065</v>
      </c>
      <c r="AB210" t="n">
        <v>70</v>
      </c>
      <c r="AD210" s="52">
        <f>IFERROR(N(IFERROR(INDEX($A210:$AB210,MATCH("Xero Invoiced Ex GST",$A$1:$AB$1,0)),"")),0)</f>
        <v/>
      </c>
      <c r="AE210" s="53">
        <f>IFERROR(INDEX($A210:$AB210,MATCH("Xero Invoice Date",$A$1:$AB$1,0)),"")</f>
        <v/>
      </c>
      <c r="AF210" s="54">
        <f>IF(AND(IFERROR(INDEX($A210:$AB210,MATCH("Xero Invoice No",$A$1:$AB$1,0)),"")&amp;""&lt;&gt;"",ISNUMBER(AE210),AD210&lt;&gt;0),1,0)</f>
        <v/>
      </c>
      <c r="AG210" s="55">
        <f>IF(AF210=1,EOMONTH(AE210,0),"")</f>
        <v/>
      </c>
      <c r="AH210" s="9">
        <f>IF(AF210=1,UPPER(TRIM(IFERROR(INDEX($A210:$AB210,MATCH("Client",$A$1:$AB$1,0)),"")&amp;"")),"")</f>
        <v/>
      </c>
      <c r="AI210" s="9">
        <f>IF(AF210=1,IFERROR(INDEX($A210:$AB210,MATCH("Cost Centre",$A$1:$AB$1,0)),"")&amp;"","")</f>
        <v/>
      </c>
      <c r="AJ210" s="54">
        <f>IF(AND(AF210=1,AE210&gt;=set_FYStart,AE210&lt;=set_AsAt),1,0)</f>
        <v/>
      </c>
      <c r="AK210" s="54">
        <f>IF(AND(AJ210=1,AH210&lt;&gt;"",COUNTIFS($AH$2:AH210,AH210,$AJ$2:AJ210,1)=1),N(AL209)+1,"")</f>
        <v/>
      </c>
      <c r="AL210" s="54">
        <f>IF(AK210&lt;&gt;"",AK210,N(AL209))</f>
        <v/>
      </c>
    </row>
    <row r="211">
      <c r="A211" t="inlineStr">
        <is>
          <t>CON-0070</t>
        </is>
      </c>
      <c r="B211" t="inlineStr">
        <is>
          <t>Consulting</t>
        </is>
      </c>
      <c r="AB211" t="n">
        <v>70</v>
      </c>
      <c r="AD211" s="52">
        <f>IFERROR(N(IFERROR(INDEX($A211:$AB211,MATCH("Xero Invoiced Ex GST",$A$1:$AB$1,0)),"")),0)</f>
        <v/>
      </c>
      <c r="AE211" s="53">
        <f>IFERROR(INDEX($A211:$AB211,MATCH("Xero Invoice Date",$A$1:$AB$1,0)),"")</f>
        <v/>
      </c>
      <c r="AF211" s="54">
        <f>IF(AND(IFERROR(INDEX($A211:$AB211,MATCH("Xero Invoice No",$A$1:$AB$1,0)),"")&amp;""&lt;&gt;"",ISNUMBER(AE211),AD211&lt;&gt;0),1,0)</f>
        <v/>
      </c>
      <c r="AG211" s="55">
        <f>IF(AF211=1,EOMONTH(AE211,0),"")</f>
        <v/>
      </c>
      <c r="AH211" s="9">
        <f>IF(AF211=1,UPPER(TRIM(IFERROR(INDEX($A211:$AB211,MATCH("Client",$A$1:$AB$1,0)),"")&amp;"")),"")</f>
        <v/>
      </c>
      <c r="AI211" s="9">
        <f>IF(AF211=1,IFERROR(INDEX($A211:$AB211,MATCH("Cost Centre",$A$1:$AB$1,0)),"")&amp;"","")</f>
        <v/>
      </c>
      <c r="AJ211" s="54">
        <f>IF(AND(AF211=1,AE211&gt;=set_FYStart,AE211&lt;=set_AsAt),1,0)</f>
        <v/>
      </c>
      <c r="AK211" s="54">
        <f>IF(AND(AJ211=1,AH211&lt;&gt;"",COUNTIFS($AH$2:AH211,AH211,$AJ$2:AJ211,1)=1),N(AL210)+1,"")</f>
        <v/>
      </c>
      <c r="AL211" s="54">
        <f>IF(AK211&lt;&gt;"",AK211,N(AL210))</f>
        <v/>
      </c>
    </row>
    <row r="212">
      <c r="A212" t="inlineStr">
        <is>
          <t>ONS-0071</t>
        </is>
      </c>
      <c r="B212" t="inlineStr">
        <is>
          <t>Onsite</t>
        </is>
      </c>
      <c r="R212" t="inlineStr">
        <is>
          <t>GST 10%</t>
        </is>
      </c>
      <c r="AB212" t="n">
        <v>71</v>
      </c>
      <c r="AD212" s="52">
        <f>IFERROR(N(IFERROR(INDEX($A212:$AB212,MATCH("Xero Invoiced Ex GST",$A$1:$AB$1,0)),"")),0)</f>
        <v/>
      </c>
      <c r="AE212" s="53">
        <f>IFERROR(INDEX($A212:$AB212,MATCH("Xero Invoice Date",$A$1:$AB$1,0)),"")</f>
        <v/>
      </c>
      <c r="AF212" s="54">
        <f>IF(AND(IFERROR(INDEX($A212:$AB212,MATCH("Xero Invoice No",$A$1:$AB$1,0)),"")&amp;""&lt;&gt;"",ISNUMBER(AE212),AD212&lt;&gt;0),1,0)</f>
        <v/>
      </c>
      <c r="AG212" s="55">
        <f>IF(AF212=1,EOMONTH(AE212,0),"")</f>
        <v/>
      </c>
      <c r="AH212" s="9">
        <f>IF(AF212=1,UPPER(TRIM(IFERROR(INDEX($A212:$AB212,MATCH("Client",$A$1:$AB$1,0)),"")&amp;"")),"")</f>
        <v/>
      </c>
      <c r="AI212" s="9">
        <f>IF(AF212=1,IFERROR(INDEX($A212:$AB212,MATCH("Cost Centre",$A$1:$AB$1,0)),"")&amp;"","")</f>
        <v/>
      </c>
      <c r="AJ212" s="54">
        <f>IF(AND(AF212=1,AE212&gt;=set_FYStart,AE212&lt;=set_AsAt),1,0)</f>
        <v/>
      </c>
      <c r="AK212" s="54">
        <f>IF(AND(AJ212=1,AH212&lt;&gt;"",COUNTIFS($AH$2:AH212,AH212,$AJ$2:AJ212,1)=1),N(AL211)+1,"")</f>
        <v/>
      </c>
      <c r="AL212" s="54">
        <f>IF(AK212&lt;&gt;"",AK212,N(AL211))</f>
        <v/>
      </c>
    </row>
    <row r="213">
      <c r="A213" t="inlineStr">
        <is>
          <t>PRD-0071</t>
        </is>
      </c>
      <c r="B213" t="inlineStr">
        <is>
          <t>Production</t>
        </is>
      </c>
      <c r="C213" t="inlineStr">
        <is>
          <t>26061104V</t>
        </is>
      </c>
      <c r="D213" t="inlineStr">
        <is>
          <t>MUFG</t>
        </is>
      </c>
      <c r="E213" t="inlineStr">
        <is>
          <t>MUFG - Suncorp FYR</t>
        </is>
      </c>
      <c r="F213" t="n">
        <v>3017</v>
      </c>
      <c r="G213" t="inlineStr">
        <is>
          <t>INV - 10584
INV - 10585</t>
        </is>
      </c>
      <c r="H213" s="51" t="n">
        <v>46246</v>
      </c>
      <c r="I213" t="n">
        <v>3017</v>
      </c>
      <c r="J213" t="n">
        <v>0</v>
      </c>
      <c r="K213" t="inlineStr">
        <is>
          <t>Agrees</t>
        </is>
      </c>
      <c r="N213" t="inlineStr">
        <is>
          <t>OK</t>
        </is>
      </c>
      <c r="O213" t="inlineStr">
        <is>
          <t>MUFG - FYR26 - 12.8.26</t>
        </is>
      </c>
      <c r="P213" t="inlineStr">
        <is>
          <t>VIDEO</t>
        </is>
      </c>
      <c r="Q213" t="inlineStr">
        <is>
          <t>Project</t>
        </is>
      </c>
      <c r="R213" t="inlineStr">
        <is>
          <t>GST 10%</t>
        </is>
      </c>
      <c r="S213" t="inlineStr">
        <is>
          <t>42150</t>
        </is>
      </c>
      <c r="T213" t="inlineStr">
        <is>
          <t>Proj: 0016</t>
        </is>
      </c>
      <c r="U213" t="inlineStr">
        <is>
          <t>Video part of 26061104 - Video Total per job list</t>
        </is>
      </c>
      <c r="V213" t="n">
        <v>301.7</v>
      </c>
      <c r="W213" t="n">
        <v>3318.7</v>
      </c>
      <c r="X213" s="51" t="n">
        <v>46265</v>
      </c>
      <c r="Y213" t="n">
        <v>1</v>
      </c>
      <c r="Z213" t="n">
        <v>3017</v>
      </c>
      <c r="AA213" t="n">
        <v>3017</v>
      </c>
      <c r="AB213" t="n">
        <v>71</v>
      </c>
      <c r="AD213" s="52">
        <f>IFERROR(N(IFERROR(INDEX($A213:$AB213,MATCH("Xero Invoiced Ex GST",$A$1:$AB$1,0)),"")),0)</f>
        <v/>
      </c>
      <c r="AE213" s="53">
        <f>IFERROR(INDEX($A213:$AB213,MATCH("Xero Invoice Date",$A$1:$AB$1,0)),"")</f>
        <v/>
      </c>
      <c r="AF213" s="54">
        <f>IF(AND(IFERROR(INDEX($A213:$AB213,MATCH("Xero Invoice No",$A$1:$AB$1,0)),"")&amp;""&lt;&gt;"",ISNUMBER(AE213),AD213&lt;&gt;0),1,0)</f>
        <v/>
      </c>
      <c r="AG213" s="55">
        <f>IF(AF213=1,EOMONTH(AE213,0),"")</f>
        <v/>
      </c>
      <c r="AH213" s="9">
        <f>IF(AF213=1,UPPER(TRIM(IFERROR(INDEX($A213:$AB213,MATCH("Client",$A$1:$AB$1,0)),"")&amp;"")),"")</f>
        <v/>
      </c>
      <c r="AI213" s="9">
        <f>IF(AF213=1,IFERROR(INDEX($A213:$AB213,MATCH("Cost Centre",$A$1:$AB$1,0)),"")&amp;"","")</f>
        <v/>
      </c>
      <c r="AJ213" s="54">
        <f>IF(AND(AF213=1,AE213&gt;=set_FYStart,AE213&lt;=set_AsAt),1,0)</f>
        <v/>
      </c>
      <c r="AK213" s="54">
        <f>IF(AND(AJ213=1,AH213&lt;&gt;"",COUNTIFS($AH$2:AH213,AH213,$AJ$2:AJ213,1)=1),N(AL212)+1,"")</f>
        <v/>
      </c>
      <c r="AL213" s="54">
        <f>IF(AK213&lt;&gt;"",AK213,N(AL212))</f>
        <v/>
      </c>
    </row>
    <row r="214">
      <c r="A214" t="inlineStr">
        <is>
          <t>CON-0071</t>
        </is>
      </c>
      <c r="B214" t="inlineStr">
        <is>
          <t>Consulting</t>
        </is>
      </c>
      <c r="AB214" t="n">
        <v>71</v>
      </c>
      <c r="AD214" s="52">
        <f>IFERROR(N(IFERROR(INDEX($A214:$AB214,MATCH("Xero Invoiced Ex GST",$A$1:$AB$1,0)),"")),0)</f>
        <v/>
      </c>
      <c r="AE214" s="53">
        <f>IFERROR(INDEX($A214:$AB214,MATCH("Xero Invoice Date",$A$1:$AB$1,0)),"")</f>
        <v/>
      </c>
      <c r="AF214" s="54">
        <f>IF(AND(IFERROR(INDEX($A214:$AB214,MATCH("Xero Invoice No",$A$1:$AB$1,0)),"")&amp;""&lt;&gt;"",ISNUMBER(AE214),AD214&lt;&gt;0),1,0)</f>
        <v/>
      </c>
      <c r="AG214" s="55">
        <f>IF(AF214=1,EOMONTH(AE214,0),"")</f>
        <v/>
      </c>
      <c r="AH214" s="9">
        <f>IF(AF214=1,UPPER(TRIM(IFERROR(INDEX($A214:$AB214,MATCH("Client",$A$1:$AB$1,0)),"")&amp;"")),"")</f>
        <v/>
      </c>
      <c r="AI214" s="9">
        <f>IF(AF214=1,IFERROR(INDEX($A214:$AB214,MATCH("Cost Centre",$A$1:$AB$1,0)),"")&amp;"","")</f>
        <v/>
      </c>
      <c r="AJ214" s="54">
        <f>IF(AND(AF214=1,AE214&gt;=set_FYStart,AE214&lt;=set_AsAt),1,0)</f>
        <v/>
      </c>
      <c r="AK214" s="54">
        <f>IF(AND(AJ214=1,AH214&lt;&gt;"",COUNTIFS($AH$2:AH214,AH214,$AJ$2:AJ214,1)=1),N(AL213)+1,"")</f>
        <v/>
      </c>
      <c r="AL214" s="54">
        <f>IF(AK214&lt;&gt;"",AK214,N(AL213))</f>
        <v/>
      </c>
    </row>
    <row r="215">
      <c r="A215" t="inlineStr">
        <is>
          <t>ONS-0072</t>
        </is>
      </c>
      <c r="B215" t="inlineStr">
        <is>
          <t>Onsite</t>
        </is>
      </c>
      <c r="R215" t="inlineStr">
        <is>
          <t>GST 10%</t>
        </is>
      </c>
      <c r="AB215" t="n">
        <v>72</v>
      </c>
      <c r="AD215" s="52">
        <f>IFERROR(N(IFERROR(INDEX($A215:$AB215,MATCH("Xero Invoiced Ex GST",$A$1:$AB$1,0)),"")),0)</f>
        <v/>
      </c>
      <c r="AE215" s="53">
        <f>IFERROR(INDEX($A215:$AB215,MATCH("Xero Invoice Date",$A$1:$AB$1,0)),"")</f>
        <v/>
      </c>
      <c r="AF215" s="54">
        <f>IF(AND(IFERROR(INDEX($A215:$AB215,MATCH("Xero Invoice No",$A$1:$AB$1,0)),"")&amp;""&lt;&gt;"",ISNUMBER(AE215),AD215&lt;&gt;0),1,0)</f>
        <v/>
      </c>
      <c r="AG215" s="55">
        <f>IF(AF215=1,EOMONTH(AE215,0),"")</f>
        <v/>
      </c>
      <c r="AH215" s="9">
        <f>IF(AF215=1,UPPER(TRIM(IFERROR(INDEX($A215:$AB215,MATCH("Client",$A$1:$AB$1,0)),"")&amp;"")),"")</f>
        <v/>
      </c>
      <c r="AI215" s="9">
        <f>IF(AF215=1,IFERROR(INDEX($A215:$AB215,MATCH("Cost Centre",$A$1:$AB$1,0)),"")&amp;"","")</f>
        <v/>
      </c>
      <c r="AJ215" s="54">
        <f>IF(AND(AF215=1,AE215&gt;=set_FYStart,AE215&lt;=set_AsAt),1,0)</f>
        <v/>
      </c>
      <c r="AK215" s="54">
        <f>IF(AND(AJ215=1,AH215&lt;&gt;"",COUNTIFS($AH$2:AH215,AH215,$AJ$2:AJ215,1)=1),N(AL214)+1,"")</f>
        <v/>
      </c>
      <c r="AL215" s="54">
        <f>IF(AK215&lt;&gt;"",AK215,N(AL214))</f>
        <v/>
      </c>
    </row>
    <row r="216">
      <c r="A216" t="inlineStr">
        <is>
          <t>PRD-0072</t>
        </is>
      </c>
      <c r="B216" t="inlineStr">
        <is>
          <t>Production</t>
        </is>
      </c>
      <c r="C216" t="inlineStr">
        <is>
          <t>26061105V</t>
        </is>
      </c>
      <c r="D216" t="inlineStr">
        <is>
          <t xml:space="preserve">CBA </t>
        </is>
      </c>
      <c r="E216" t="inlineStr">
        <is>
          <t>CBA FYR 2026 (Order PO3308779)</t>
        </is>
      </c>
      <c r="F216" t="n">
        <v>850</v>
      </c>
      <c r="G216" t="inlineStr">
        <is>
          <t>INV-10563</t>
        </is>
      </c>
      <c r="H216" s="51" t="n">
        <v>46247</v>
      </c>
      <c r="I216" t="n">
        <v>850</v>
      </c>
      <c r="J216" t="n">
        <v>0</v>
      </c>
      <c r="K216" t="inlineStr">
        <is>
          <t>Agrees</t>
        </is>
      </c>
      <c r="N216" t="inlineStr">
        <is>
          <t>OK</t>
        </is>
      </c>
      <c r="O216" t="inlineStr">
        <is>
          <t>CBA - FYR 2026 - 12.8.26</t>
        </is>
      </c>
      <c r="P216" t="inlineStr">
        <is>
          <t>VIDEO</t>
        </is>
      </c>
      <c r="Q216" t="inlineStr">
        <is>
          <t>Project</t>
        </is>
      </c>
      <c r="R216" t="inlineStr">
        <is>
          <t>GST 10%</t>
        </is>
      </c>
      <c r="S216" t="inlineStr">
        <is>
          <t>42150</t>
        </is>
      </c>
      <c r="T216" t="inlineStr">
        <is>
          <t>6093</t>
        </is>
      </c>
      <c r="U216" t="inlineStr">
        <is>
          <t>Video part of 26061105 - Video Total per job list</t>
        </is>
      </c>
      <c r="V216" t="n">
        <v>85</v>
      </c>
      <c r="W216" t="n">
        <v>935</v>
      </c>
      <c r="X216" s="51" t="n">
        <v>46265</v>
      </c>
      <c r="Y216" t="n">
        <v>1</v>
      </c>
      <c r="Z216" t="n">
        <v>850</v>
      </c>
      <c r="AA216" t="n">
        <v>850</v>
      </c>
      <c r="AB216" t="n">
        <v>72</v>
      </c>
      <c r="AD216" s="52">
        <f>IFERROR(N(IFERROR(INDEX($A216:$AB216,MATCH("Xero Invoiced Ex GST",$A$1:$AB$1,0)),"")),0)</f>
        <v/>
      </c>
      <c r="AE216" s="53">
        <f>IFERROR(INDEX($A216:$AB216,MATCH("Xero Invoice Date",$A$1:$AB$1,0)),"")</f>
        <v/>
      </c>
      <c r="AF216" s="54">
        <f>IF(AND(IFERROR(INDEX($A216:$AB216,MATCH("Xero Invoice No",$A$1:$AB$1,0)),"")&amp;""&lt;&gt;"",ISNUMBER(AE216),AD216&lt;&gt;0),1,0)</f>
        <v/>
      </c>
      <c r="AG216" s="55">
        <f>IF(AF216=1,EOMONTH(AE216,0),"")</f>
        <v/>
      </c>
      <c r="AH216" s="9">
        <f>IF(AF216=1,UPPER(TRIM(IFERROR(INDEX($A216:$AB216,MATCH("Client",$A$1:$AB$1,0)),"")&amp;"")),"")</f>
        <v/>
      </c>
      <c r="AI216" s="9">
        <f>IF(AF216=1,IFERROR(INDEX($A216:$AB216,MATCH("Cost Centre",$A$1:$AB$1,0)),"")&amp;"","")</f>
        <v/>
      </c>
      <c r="AJ216" s="54">
        <f>IF(AND(AF216=1,AE216&gt;=set_FYStart,AE216&lt;=set_AsAt),1,0)</f>
        <v/>
      </c>
      <c r="AK216" s="54">
        <f>IF(AND(AJ216=1,AH216&lt;&gt;"",COUNTIFS($AH$2:AH216,AH216,$AJ$2:AJ216,1)=1),N(AL215)+1,"")</f>
        <v/>
      </c>
      <c r="AL216" s="54">
        <f>IF(AK216&lt;&gt;"",AK216,N(AL215))</f>
        <v/>
      </c>
    </row>
    <row r="217">
      <c r="A217" t="inlineStr">
        <is>
          <t>CON-0072</t>
        </is>
      </c>
      <c r="B217" t="inlineStr">
        <is>
          <t>Consulting</t>
        </is>
      </c>
      <c r="AB217" t="n">
        <v>72</v>
      </c>
      <c r="AD217" s="52">
        <f>IFERROR(N(IFERROR(INDEX($A217:$AB217,MATCH("Xero Invoiced Ex GST",$A$1:$AB$1,0)),"")),0)</f>
        <v/>
      </c>
      <c r="AE217" s="53">
        <f>IFERROR(INDEX($A217:$AB217,MATCH("Xero Invoice Date",$A$1:$AB$1,0)),"")</f>
        <v/>
      </c>
      <c r="AF217" s="54">
        <f>IF(AND(IFERROR(INDEX($A217:$AB217,MATCH("Xero Invoice No",$A$1:$AB$1,0)),"")&amp;""&lt;&gt;"",ISNUMBER(AE217),AD217&lt;&gt;0),1,0)</f>
        <v/>
      </c>
      <c r="AG217" s="55">
        <f>IF(AF217=1,EOMONTH(AE217,0),"")</f>
        <v/>
      </c>
      <c r="AH217" s="9">
        <f>IF(AF217=1,UPPER(TRIM(IFERROR(INDEX($A217:$AB217,MATCH("Client",$A$1:$AB$1,0)),"")&amp;"")),"")</f>
        <v/>
      </c>
      <c r="AI217" s="9">
        <f>IF(AF217=1,IFERROR(INDEX($A217:$AB217,MATCH("Cost Centre",$A$1:$AB$1,0)),"")&amp;"","")</f>
        <v/>
      </c>
      <c r="AJ217" s="54">
        <f>IF(AND(AF217=1,AE217&gt;=set_FYStart,AE217&lt;=set_AsAt),1,0)</f>
        <v/>
      </c>
      <c r="AK217" s="54">
        <f>IF(AND(AJ217=1,AH217&lt;&gt;"",COUNTIFS($AH$2:AH217,AH217,$AJ$2:AJ217,1)=1),N(AL216)+1,"")</f>
        <v/>
      </c>
      <c r="AL217" s="54">
        <f>IF(AK217&lt;&gt;"",AK217,N(AL216))</f>
        <v/>
      </c>
    </row>
    <row r="218">
      <c r="A218" t="inlineStr">
        <is>
          <t>ONS-0073</t>
        </is>
      </c>
      <c r="B218" t="inlineStr">
        <is>
          <t>Onsite</t>
        </is>
      </c>
      <c r="R218" t="inlineStr">
        <is>
          <t>GST 10%</t>
        </is>
      </c>
      <c r="AB218" t="n">
        <v>73</v>
      </c>
      <c r="AD218" s="52">
        <f>IFERROR(N(IFERROR(INDEX($A218:$AB218,MATCH("Xero Invoiced Ex GST",$A$1:$AB$1,0)),"")),0)</f>
        <v/>
      </c>
      <c r="AE218" s="53">
        <f>IFERROR(INDEX($A218:$AB218,MATCH("Xero Invoice Date",$A$1:$AB$1,0)),"")</f>
        <v/>
      </c>
      <c r="AF218" s="54">
        <f>IF(AND(IFERROR(INDEX($A218:$AB218,MATCH("Xero Invoice No",$A$1:$AB$1,0)),"")&amp;""&lt;&gt;"",ISNUMBER(AE218),AD218&lt;&gt;0),1,0)</f>
        <v/>
      </c>
      <c r="AG218" s="55">
        <f>IF(AF218=1,EOMONTH(AE218,0),"")</f>
        <v/>
      </c>
      <c r="AH218" s="9">
        <f>IF(AF218=1,UPPER(TRIM(IFERROR(INDEX($A218:$AB218,MATCH("Client",$A$1:$AB$1,0)),"")&amp;"")),"")</f>
        <v/>
      </c>
      <c r="AI218" s="9">
        <f>IF(AF218=1,IFERROR(INDEX($A218:$AB218,MATCH("Cost Centre",$A$1:$AB$1,0)),"")&amp;"","")</f>
        <v/>
      </c>
      <c r="AJ218" s="54">
        <f>IF(AND(AF218=1,AE218&gt;=set_FYStart,AE218&lt;=set_AsAt),1,0)</f>
        <v/>
      </c>
      <c r="AK218" s="54">
        <f>IF(AND(AJ218=1,AH218&lt;&gt;"",COUNTIFS($AH$2:AH218,AH218,$AJ$2:AJ218,1)=1),N(AL217)+1,"")</f>
        <v/>
      </c>
      <c r="AL218" s="54">
        <f>IF(AK218&lt;&gt;"",AK218,N(AL217))</f>
        <v/>
      </c>
    </row>
    <row r="219">
      <c r="A219" t="inlineStr">
        <is>
          <t>PRD-0073</t>
        </is>
      </c>
      <c r="B219" t="inlineStr">
        <is>
          <t>Production</t>
        </is>
      </c>
      <c r="C219" t="inlineStr">
        <is>
          <t>2605401V</t>
        </is>
      </c>
      <c r="D219" t="inlineStr">
        <is>
          <t>AGL</t>
        </is>
      </c>
      <c r="E219" t="inlineStr">
        <is>
          <t>AGL FYR - Investor Briefing</t>
        </is>
      </c>
      <c r="F219" t="n">
        <v>1806</v>
      </c>
      <c r="G219" t="inlineStr">
        <is>
          <t>INV-10579</t>
        </is>
      </c>
      <c r="H219" s="51" t="n">
        <v>46255</v>
      </c>
      <c r="I219" t="n">
        <v>1806</v>
      </c>
      <c r="J219" t="n">
        <v>0</v>
      </c>
      <c r="K219" t="inlineStr">
        <is>
          <t>Agrees</t>
        </is>
      </c>
      <c r="N219" t="inlineStr">
        <is>
          <t>OK</t>
        </is>
      </c>
      <c r="O219" t="inlineStr">
        <is>
          <t>AGL FYR - Investor Briefing - 12.8.26</t>
        </is>
      </c>
      <c r="P219" t="inlineStr">
        <is>
          <t>VIDEO</t>
        </is>
      </c>
      <c r="Q219" t="inlineStr">
        <is>
          <t>Project</t>
        </is>
      </c>
      <c r="R219" t="inlineStr">
        <is>
          <t>GST 10%</t>
        </is>
      </c>
      <c r="S219" t="inlineStr">
        <is>
          <t>42150</t>
        </is>
      </c>
      <c r="T219" t="inlineStr">
        <is>
          <t>Proj: 0019</t>
        </is>
      </c>
      <c r="U219" t="inlineStr">
        <is>
          <t>Video part of 2605401 - Video Total per job list</t>
        </is>
      </c>
      <c r="V219" t="n">
        <v>180.6</v>
      </c>
      <c r="W219" t="n">
        <v>1986.6</v>
      </c>
      <c r="X219" s="51" t="n">
        <v>46265</v>
      </c>
      <c r="Y219" t="n">
        <v>1</v>
      </c>
      <c r="Z219" t="n">
        <v>1806</v>
      </c>
      <c r="AA219" t="n">
        <v>1806</v>
      </c>
      <c r="AB219" t="n">
        <v>73</v>
      </c>
      <c r="AD219" s="52">
        <f>IFERROR(N(IFERROR(INDEX($A219:$AB219,MATCH("Xero Invoiced Ex GST",$A$1:$AB$1,0)),"")),0)</f>
        <v/>
      </c>
      <c r="AE219" s="53">
        <f>IFERROR(INDEX($A219:$AB219,MATCH("Xero Invoice Date",$A$1:$AB$1,0)),"")</f>
        <v/>
      </c>
      <c r="AF219" s="54">
        <f>IF(AND(IFERROR(INDEX($A219:$AB219,MATCH("Xero Invoice No",$A$1:$AB$1,0)),"")&amp;""&lt;&gt;"",ISNUMBER(AE219),AD219&lt;&gt;0),1,0)</f>
        <v/>
      </c>
      <c r="AG219" s="55">
        <f>IF(AF219=1,EOMONTH(AE219,0),"")</f>
        <v/>
      </c>
      <c r="AH219" s="9">
        <f>IF(AF219=1,UPPER(TRIM(IFERROR(INDEX($A219:$AB219,MATCH("Client",$A$1:$AB$1,0)),"")&amp;"")),"")</f>
        <v/>
      </c>
      <c r="AI219" s="9">
        <f>IF(AF219=1,IFERROR(INDEX($A219:$AB219,MATCH("Cost Centre",$A$1:$AB$1,0)),"")&amp;"","")</f>
        <v/>
      </c>
      <c r="AJ219" s="54">
        <f>IF(AND(AF219=1,AE219&gt;=set_FYStart,AE219&lt;=set_AsAt),1,0)</f>
        <v/>
      </c>
      <c r="AK219" s="54">
        <f>IF(AND(AJ219=1,AH219&lt;&gt;"",COUNTIFS($AH$2:AH219,AH219,$AJ$2:AJ219,1)=1),N(AL218)+1,"")</f>
        <v/>
      </c>
      <c r="AL219" s="54">
        <f>IF(AK219&lt;&gt;"",AK219,N(AL218))</f>
        <v/>
      </c>
    </row>
    <row r="220">
      <c r="A220" t="inlineStr">
        <is>
          <t>CON-0073</t>
        </is>
      </c>
      <c r="B220" t="inlineStr">
        <is>
          <t>Consulting</t>
        </is>
      </c>
      <c r="AB220" t="n">
        <v>73</v>
      </c>
      <c r="AD220" s="52">
        <f>IFERROR(N(IFERROR(INDEX($A220:$AB220,MATCH("Xero Invoiced Ex GST",$A$1:$AB$1,0)),"")),0)</f>
        <v/>
      </c>
      <c r="AE220" s="53">
        <f>IFERROR(INDEX($A220:$AB220,MATCH("Xero Invoice Date",$A$1:$AB$1,0)),"")</f>
        <v/>
      </c>
      <c r="AF220" s="54">
        <f>IF(AND(IFERROR(INDEX($A220:$AB220,MATCH("Xero Invoice No",$A$1:$AB$1,0)),"")&amp;""&lt;&gt;"",ISNUMBER(AE220),AD220&lt;&gt;0),1,0)</f>
        <v/>
      </c>
      <c r="AG220" s="55">
        <f>IF(AF220=1,EOMONTH(AE220,0),"")</f>
        <v/>
      </c>
      <c r="AH220" s="9">
        <f>IF(AF220=1,UPPER(TRIM(IFERROR(INDEX($A220:$AB220,MATCH("Client",$A$1:$AB$1,0)),"")&amp;"")),"")</f>
        <v/>
      </c>
      <c r="AI220" s="9">
        <f>IF(AF220=1,IFERROR(INDEX($A220:$AB220,MATCH("Cost Centre",$A$1:$AB$1,0)),"")&amp;"","")</f>
        <v/>
      </c>
      <c r="AJ220" s="54">
        <f>IF(AND(AF220=1,AE220&gt;=set_FYStart,AE220&lt;=set_AsAt),1,0)</f>
        <v/>
      </c>
      <c r="AK220" s="54">
        <f>IF(AND(AJ220=1,AH220&lt;&gt;"",COUNTIFS($AH$2:AH220,AH220,$AJ$2:AJ220,1)=1),N(AL219)+1,"")</f>
        <v/>
      </c>
      <c r="AL220" s="54">
        <f>IF(AK220&lt;&gt;"",AK220,N(AL219))</f>
        <v/>
      </c>
    </row>
    <row r="221">
      <c r="A221" t="inlineStr">
        <is>
          <t>ONS-0074</t>
        </is>
      </c>
      <c r="B221" t="inlineStr">
        <is>
          <t>Onsite</t>
        </is>
      </c>
      <c r="R221" t="inlineStr">
        <is>
          <t>GST 10%</t>
        </is>
      </c>
      <c r="AB221" t="n">
        <v>74</v>
      </c>
      <c r="AD221" s="52">
        <f>IFERROR(N(IFERROR(INDEX($A221:$AB221,MATCH("Xero Invoiced Ex GST",$A$1:$AB$1,0)),"")),0)</f>
        <v/>
      </c>
      <c r="AE221" s="53">
        <f>IFERROR(INDEX($A221:$AB221,MATCH("Xero Invoice Date",$A$1:$AB$1,0)),"")</f>
        <v/>
      </c>
      <c r="AF221" s="54">
        <f>IF(AND(IFERROR(INDEX($A221:$AB221,MATCH("Xero Invoice No",$A$1:$AB$1,0)),"")&amp;""&lt;&gt;"",ISNUMBER(AE221),AD221&lt;&gt;0),1,0)</f>
        <v/>
      </c>
      <c r="AG221" s="55">
        <f>IF(AF221=1,EOMONTH(AE221,0),"")</f>
        <v/>
      </c>
      <c r="AH221" s="9">
        <f>IF(AF221=1,UPPER(TRIM(IFERROR(INDEX($A221:$AB221,MATCH("Client",$A$1:$AB$1,0)),"")&amp;"")),"")</f>
        <v/>
      </c>
      <c r="AI221" s="9">
        <f>IF(AF221=1,IFERROR(INDEX($A221:$AB221,MATCH("Cost Centre",$A$1:$AB$1,0)),"")&amp;"","")</f>
        <v/>
      </c>
      <c r="AJ221" s="54">
        <f>IF(AND(AF221=1,AE221&gt;=set_FYStart,AE221&lt;=set_AsAt),1,0)</f>
        <v/>
      </c>
      <c r="AK221" s="54">
        <f>IF(AND(AJ221=1,AH221&lt;&gt;"",COUNTIFS($AH$2:AH221,AH221,$AJ$2:AJ221,1)=1),N(AL220)+1,"")</f>
        <v/>
      </c>
      <c r="AL221" s="54">
        <f>IF(AK221&lt;&gt;"",AK221,N(AL220))</f>
        <v/>
      </c>
    </row>
    <row r="222">
      <c r="A222" t="inlineStr">
        <is>
          <t>PRD-0074</t>
        </is>
      </c>
      <c r="B222" t="inlineStr">
        <is>
          <t>Production</t>
        </is>
      </c>
      <c r="C222" t="inlineStr">
        <is>
          <t>2608604V</t>
        </is>
      </c>
      <c r="D222" t="inlineStr">
        <is>
          <t>ASX</t>
        </is>
      </c>
      <c r="E222" t="inlineStr">
        <is>
          <t>ASX Employee Townhall 13.8.26</t>
        </is>
      </c>
      <c r="F222" t="n">
        <v>485</v>
      </c>
      <c r="G222" t="inlineStr">
        <is>
          <t>INV-10599</t>
        </is>
      </c>
      <c r="H222" s="51" t="n">
        <v>46261</v>
      </c>
      <c r="I222" t="n">
        <v>485</v>
      </c>
      <c r="J222" t="n">
        <v>0</v>
      </c>
      <c r="K222" t="inlineStr">
        <is>
          <t>Agrees</t>
        </is>
      </c>
      <c r="N222" t="inlineStr">
        <is>
          <t>OK</t>
        </is>
      </c>
      <c r="O222" t="inlineStr">
        <is>
          <t>ASX - FYR Employee Town Hall - 13.8.26</t>
        </is>
      </c>
      <c r="P222" t="inlineStr">
        <is>
          <t>VIDEO</t>
        </is>
      </c>
      <c r="Q222" t="inlineStr">
        <is>
          <t>Project</t>
        </is>
      </c>
      <c r="R222" t="inlineStr">
        <is>
          <t>GST 10%</t>
        </is>
      </c>
      <c r="S222" t="inlineStr">
        <is>
          <t>42150</t>
        </is>
      </c>
      <c r="T222" t="inlineStr">
        <is>
          <t>6138</t>
        </is>
      </c>
      <c r="U222" t="inlineStr">
        <is>
          <t>Video part of 2608604 - Video Total per job list</t>
        </is>
      </c>
      <c r="V222" t="n">
        <v>48.5</v>
      </c>
      <c r="W222" t="n">
        <v>533.5</v>
      </c>
      <c r="X222" s="51" t="n">
        <v>46265</v>
      </c>
      <c r="Y222" t="n">
        <v>1</v>
      </c>
      <c r="Z222" t="n">
        <v>485</v>
      </c>
      <c r="AA222" t="n">
        <v>485</v>
      </c>
      <c r="AB222" t="n">
        <v>74</v>
      </c>
      <c r="AD222" s="52">
        <f>IFERROR(N(IFERROR(INDEX($A222:$AB222,MATCH("Xero Invoiced Ex GST",$A$1:$AB$1,0)),"")),0)</f>
        <v/>
      </c>
      <c r="AE222" s="53">
        <f>IFERROR(INDEX($A222:$AB222,MATCH("Xero Invoice Date",$A$1:$AB$1,0)),"")</f>
        <v/>
      </c>
      <c r="AF222" s="54">
        <f>IF(AND(IFERROR(INDEX($A222:$AB222,MATCH("Xero Invoice No",$A$1:$AB$1,0)),"")&amp;""&lt;&gt;"",ISNUMBER(AE222),AD222&lt;&gt;0),1,0)</f>
        <v/>
      </c>
      <c r="AG222" s="55">
        <f>IF(AF222=1,EOMONTH(AE222,0),"")</f>
        <v/>
      </c>
      <c r="AH222" s="9">
        <f>IF(AF222=1,UPPER(TRIM(IFERROR(INDEX($A222:$AB222,MATCH("Client",$A$1:$AB$1,0)),"")&amp;"")),"")</f>
        <v/>
      </c>
      <c r="AI222" s="9">
        <f>IF(AF222=1,IFERROR(INDEX($A222:$AB222,MATCH("Cost Centre",$A$1:$AB$1,0)),"")&amp;"","")</f>
        <v/>
      </c>
      <c r="AJ222" s="54">
        <f>IF(AND(AF222=1,AE222&gt;=set_FYStart,AE222&lt;=set_AsAt),1,0)</f>
        <v/>
      </c>
      <c r="AK222" s="54">
        <f>IF(AND(AJ222=1,AH222&lt;&gt;"",COUNTIFS($AH$2:AH222,AH222,$AJ$2:AJ222,1)=1),N(AL221)+1,"")</f>
        <v/>
      </c>
      <c r="AL222" s="54">
        <f>IF(AK222&lt;&gt;"",AK222,N(AL221))</f>
        <v/>
      </c>
    </row>
    <row r="223">
      <c r="A223" t="inlineStr">
        <is>
          <t>CON-0074</t>
        </is>
      </c>
      <c r="B223" t="inlineStr">
        <is>
          <t>Consulting</t>
        </is>
      </c>
      <c r="AB223" t="n">
        <v>74</v>
      </c>
      <c r="AD223" s="52">
        <f>IFERROR(N(IFERROR(INDEX($A223:$AB223,MATCH("Xero Invoiced Ex GST",$A$1:$AB$1,0)),"")),0)</f>
        <v/>
      </c>
      <c r="AE223" s="53">
        <f>IFERROR(INDEX($A223:$AB223,MATCH("Xero Invoice Date",$A$1:$AB$1,0)),"")</f>
        <v/>
      </c>
      <c r="AF223" s="54">
        <f>IF(AND(IFERROR(INDEX($A223:$AB223,MATCH("Xero Invoice No",$A$1:$AB$1,0)),"")&amp;""&lt;&gt;"",ISNUMBER(AE223),AD223&lt;&gt;0),1,0)</f>
        <v/>
      </c>
      <c r="AG223" s="55">
        <f>IF(AF223=1,EOMONTH(AE223,0),"")</f>
        <v/>
      </c>
      <c r="AH223" s="9">
        <f>IF(AF223=1,UPPER(TRIM(IFERROR(INDEX($A223:$AB223,MATCH("Client",$A$1:$AB$1,0)),"")&amp;"")),"")</f>
        <v/>
      </c>
      <c r="AI223" s="9">
        <f>IF(AF223=1,IFERROR(INDEX($A223:$AB223,MATCH("Cost Centre",$A$1:$AB$1,0)),"")&amp;"","")</f>
        <v/>
      </c>
      <c r="AJ223" s="54">
        <f>IF(AND(AF223=1,AE223&gt;=set_FYStart,AE223&lt;=set_AsAt),1,0)</f>
        <v/>
      </c>
      <c r="AK223" s="54">
        <f>IF(AND(AJ223=1,AH223&lt;&gt;"",COUNTIFS($AH$2:AH223,AH223,$AJ$2:AJ223,1)=1),N(AL222)+1,"")</f>
        <v/>
      </c>
      <c r="AL223" s="54">
        <f>IF(AK223&lt;&gt;"",AK223,N(AL222))</f>
        <v/>
      </c>
    </row>
    <row r="224">
      <c r="A224" t="inlineStr">
        <is>
          <t>ONS-0075</t>
        </is>
      </c>
      <c r="B224" t="inlineStr">
        <is>
          <t>Onsite</t>
        </is>
      </c>
      <c r="R224" t="inlineStr">
        <is>
          <t>GST 10%</t>
        </is>
      </c>
      <c r="AB224" t="n">
        <v>75</v>
      </c>
      <c r="AD224" s="52">
        <f>IFERROR(N(IFERROR(INDEX($A224:$AB224,MATCH("Xero Invoiced Ex GST",$A$1:$AB$1,0)),"")),0)</f>
        <v/>
      </c>
      <c r="AE224" s="53">
        <f>IFERROR(INDEX($A224:$AB224,MATCH("Xero Invoice Date",$A$1:$AB$1,0)),"")</f>
        <v/>
      </c>
      <c r="AF224" s="54">
        <f>IF(AND(IFERROR(INDEX($A224:$AB224,MATCH("Xero Invoice No",$A$1:$AB$1,0)),"")&amp;""&lt;&gt;"",ISNUMBER(AE224),AD224&lt;&gt;0),1,0)</f>
        <v/>
      </c>
      <c r="AG224" s="55">
        <f>IF(AF224=1,EOMONTH(AE224,0),"")</f>
        <v/>
      </c>
      <c r="AH224" s="9">
        <f>IF(AF224=1,UPPER(TRIM(IFERROR(INDEX($A224:$AB224,MATCH("Client",$A$1:$AB$1,0)),"")&amp;"")),"")</f>
        <v/>
      </c>
      <c r="AI224" s="9">
        <f>IF(AF224=1,IFERROR(INDEX($A224:$AB224,MATCH("Cost Centre",$A$1:$AB$1,0)),"")&amp;"","")</f>
        <v/>
      </c>
      <c r="AJ224" s="54">
        <f>IF(AND(AF224=1,AE224&gt;=set_FYStart,AE224&lt;=set_AsAt),1,0)</f>
        <v/>
      </c>
      <c r="AK224" s="54">
        <f>IF(AND(AJ224=1,AH224&lt;&gt;"",COUNTIFS($AH$2:AH224,AH224,$AJ$2:AJ224,1)=1),N(AL223)+1,"")</f>
        <v/>
      </c>
      <c r="AL224" s="54">
        <f>IF(AK224&lt;&gt;"",AK224,N(AL223))</f>
        <v/>
      </c>
    </row>
    <row r="225">
      <c r="A225" t="inlineStr">
        <is>
          <t>PRD-0075</t>
        </is>
      </c>
      <c r="B225" t="inlineStr">
        <is>
          <t>Production</t>
        </is>
      </c>
      <c r="C225" t="inlineStr">
        <is>
          <t>26052702V</t>
        </is>
      </c>
      <c r="D225" t="inlineStr">
        <is>
          <t>ASX</t>
        </is>
      </c>
      <c r="E225" t="inlineStr">
        <is>
          <t>ASX FYR Briefing 13.8.26</t>
        </is>
      </c>
      <c r="F225" t="n">
        <v>3357</v>
      </c>
      <c r="G225" t="inlineStr">
        <is>
          <t>INV-10576</t>
        </is>
      </c>
      <c r="H225" s="51" t="n">
        <v>46255</v>
      </c>
      <c r="I225" t="n">
        <v>3357</v>
      </c>
      <c r="J225" t="n">
        <v>0</v>
      </c>
      <c r="K225" t="inlineStr">
        <is>
          <t>Agrees</t>
        </is>
      </c>
      <c r="N225" t="inlineStr">
        <is>
          <t>OK</t>
        </is>
      </c>
      <c r="O225" t="inlineStr">
        <is>
          <t>ASX - FYR - 13.8.26</t>
        </is>
      </c>
      <c r="P225" t="inlineStr">
        <is>
          <t>VIDEO</t>
        </is>
      </c>
      <c r="Q225" t="inlineStr">
        <is>
          <t>Project</t>
        </is>
      </c>
      <c r="R225" t="inlineStr">
        <is>
          <t>GST 10%</t>
        </is>
      </c>
      <c r="S225" t="inlineStr">
        <is>
          <t>42150</t>
        </is>
      </c>
      <c r="T225" t="inlineStr">
        <is>
          <t>6045</t>
        </is>
      </c>
      <c r="U225" t="inlineStr">
        <is>
          <t>Video part of 26052702 - Video Total per job list</t>
        </is>
      </c>
      <c r="V225" t="n">
        <v>335.7</v>
      </c>
      <c r="W225" t="n">
        <v>3692.7</v>
      </c>
      <c r="X225" s="51" t="n">
        <v>46265</v>
      </c>
      <c r="Y225" t="n">
        <v>1</v>
      </c>
      <c r="Z225" t="n">
        <v>3357</v>
      </c>
      <c r="AA225" t="n">
        <v>3357</v>
      </c>
      <c r="AB225" t="n">
        <v>75</v>
      </c>
      <c r="AD225" s="52">
        <f>IFERROR(N(IFERROR(INDEX($A225:$AB225,MATCH("Xero Invoiced Ex GST",$A$1:$AB$1,0)),"")),0)</f>
        <v/>
      </c>
      <c r="AE225" s="53">
        <f>IFERROR(INDEX($A225:$AB225,MATCH("Xero Invoice Date",$A$1:$AB$1,0)),"")</f>
        <v/>
      </c>
      <c r="AF225" s="54">
        <f>IF(AND(IFERROR(INDEX($A225:$AB225,MATCH("Xero Invoice No",$A$1:$AB$1,0)),"")&amp;""&lt;&gt;"",ISNUMBER(AE225),AD225&lt;&gt;0),1,0)</f>
        <v/>
      </c>
      <c r="AG225" s="55">
        <f>IF(AF225=1,EOMONTH(AE225,0),"")</f>
        <v/>
      </c>
      <c r="AH225" s="9">
        <f>IF(AF225=1,UPPER(TRIM(IFERROR(INDEX($A225:$AB225,MATCH("Client",$A$1:$AB$1,0)),"")&amp;"")),"")</f>
        <v/>
      </c>
      <c r="AI225" s="9">
        <f>IF(AF225=1,IFERROR(INDEX($A225:$AB225,MATCH("Cost Centre",$A$1:$AB$1,0)),"")&amp;"","")</f>
        <v/>
      </c>
      <c r="AJ225" s="54">
        <f>IF(AND(AF225=1,AE225&gt;=set_FYStart,AE225&lt;=set_AsAt),1,0)</f>
        <v/>
      </c>
      <c r="AK225" s="54">
        <f>IF(AND(AJ225=1,AH225&lt;&gt;"",COUNTIFS($AH$2:AH225,AH225,$AJ$2:AJ225,1)=1),N(AL224)+1,"")</f>
        <v/>
      </c>
      <c r="AL225" s="54">
        <f>IF(AK225&lt;&gt;"",AK225,N(AL224))</f>
        <v/>
      </c>
    </row>
    <row r="226">
      <c r="A226" t="inlineStr">
        <is>
          <t>CON-0075</t>
        </is>
      </c>
      <c r="B226" t="inlineStr">
        <is>
          <t>Consulting</t>
        </is>
      </c>
      <c r="AB226" t="n">
        <v>75</v>
      </c>
      <c r="AD226" s="52">
        <f>IFERROR(N(IFERROR(INDEX($A226:$AB226,MATCH("Xero Invoiced Ex GST",$A$1:$AB$1,0)),"")),0)</f>
        <v/>
      </c>
      <c r="AE226" s="53">
        <f>IFERROR(INDEX($A226:$AB226,MATCH("Xero Invoice Date",$A$1:$AB$1,0)),"")</f>
        <v/>
      </c>
      <c r="AF226" s="54">
        <f>IF(AND(IFERROR(INDEX($A226:$AB226,MATCH("Xero Invoice No",$A$1:$AB$1,0)),"")&amp;""&lt;&gt;"",ISNUMBER(AE226),AD226&lt;&gt;0),1,0)</f>
        <v/>
      </c>
      <c r="AG226" s="55">
        <f>IF(AF226=1,EOMONTH(AE226,0),"")</f>
        <v/>
      </c>
      <c r="AH226" s="9">
        <f>IF(AF226=1,UPPER(TRIM(IFERROR(INDEX($A226:$AB226,MATCH("Client",$A$1:$AB$1,0)),"")&amp;"")),"")</f>
        <v/>
      </c>
      <c r="AI226" s="9">
        <f>IF(AF226=1,IFERROR(INDEX($A226:$AB226,MATCH("Cost Centre",$A$1:$AB$1,0)),"")&amp;"","")</f>
        <v/>
      </c>
      <c r="AJ226" s="54">
        <f>IF(AND(AF226=1,AE226&gt;=set_FYStart,AE226&lt;=set_AsAt),1,0)</f>
        <v/>
      </c>
      <c r="AK226" s="54">
        <f>IF(AND(AJ226=1,AH226&lt;&gt;"",COUNTIFS($AH$2:AH226,AH226,$AJ$2:AJ226,1)=1),N(AL225)+1,"")</f>
        <v/>
      </c>
      <c r="AL226" s="54">
        <f>IF(AK226&lt;&gt;"",AK226,N(AL225))</f>
        <v/>
      </c>
    </row>
    <row r="227">
      <c r="A227" t="inlineStr">
        <is>
          <t>ONS-0076</t>
        </is>
      </c>
      <c r="B227" t="inlineStr">
        <is>
          <t>Onsite</t>
        </is>
      </c>
      <c r="R227" t="inlineStr">
        <is>
          <t>GST 10%</t>
        </is>
      </c>
      <c r="AB227" t="n">
        <v>76</v>
      </c>
      <c r="AD227" s="52">
        <f>IFERROR(N(IFERROR(INDEX($A227:$AB227,MATCH("Xero Invoiced Ex GST",$A$1:$AB$1,0)),"")),0)</f>
        <v/>
      </c>
      <c r="AE227" s="53">
        <f>IFERROR(INDEX($A227:$AB227,MATCH("Xero Invoice Date",$A$1:$AB$1,0)),"")</f>
        <v/>
      </c>
      <c r="AF227" s="54">
        <f>IF(AND(IFERROR(INDEX($A227:$AB227,MATCH("Xero Invoice No",$A$1:$AB$1,0)),"")&amp;""&lt;&gt;"",ISNUMBER(AE227),AD227&lt;&gt;0),1,0)</f>
        <v/>
      </c>
      <c r="AG227" s="55">
        <f>IF(AF227=1,EOMONTH(AE227,0),"")</f>
        <v/>
      </c>
      <c r="AH227" s="9">
        <f>IF(AF227=1,UPPER(TRIM(IFERROR(INDEX($A227:$AB227,MATCH("Client",$A$1:$AB$1,0)),"")&amp;"")),"")</f>
        <v/>
      </c>
      <c r="AI227" s="9">
        <f>IF(AF227=1,IFERROR(INDEX($A227:$AB227,MATCH("Cost Centre",$A$1:$AB$1,0)),"")&amp;"","")</f>
        <v/>
      </c>
      <c r="AJ227" s="54">
        <f>IF(AND(AF227=1,AE227&gt;=set_FYStart,AE227&lt;=set_AsAt),1,0)</f>
        <v/>
      </c>
      <c r="AK227" s="54">
        <f>IF(AND(AJ227=1,AH227&lt;&gt;"",COUNTIFS($AH$2:AH227,AH227,$AJ$2:AJ227,1)=1),N(AL226)+1,"")</f>
        <v/>
      </c>
      <c r="AL227" s="54">
        <f>IF(AK227&lt;&gt;"",AK227,N(AL226))</f>
        <v/>
      </c>
    </row>
    <row r="228">
      <c r="A228" t="inlineStr">
        <is>
          <t>PRD-0076</t>
        </is>
      </c>
      <c r="B228" t="inlineStr">
        <is>
          <t>Production</t>
        </is>
      </c>
      <c r="C228" t="inlineStr">
        <is>
          <t>26072906V</t>
        </is>
      </c>
      <c r="D228" t="inlineStr">
        <is>
          <t>ASX</t>
        </is>
      </c>
      <c r="E228" t="inlineStr">
        <is>
          <t>ASX Advisory Group on Corporate Governance</t>
        </is>
      </c>
      <c r="F228" t="n">
        <v>4221.7</v>
      </c>
      <c r="G228" t="inlineStr">
        <is>
          <t>INV-10600</t>
        </is>
      </c>
      <c r="H228" s="51" t="n">
        <v>46261</v>
      </c>
      <c r="I228" t="n">
        <v>4221.7</v>
      </c>
      <c r="J228" t="n">
        <v>0</v>
      </c>
      <c r="K228" t="inlineStr">
        <is>
          <t>Agrees</t>
        </is>
      </c>
      <c r="N228" t="inlineStr">
        <is>
          <t>OK</t>
        </is>
      </c>
      <c r="O228" t="inlineStr">
        <is>
          <t>ASX Advisory Group on Corporate Governance</t>
        </is>
      </c>
      <c r="P228" t="inlineStr">
        <is>
          <t>VIDEO</t>
        </is>
      </c>
      <c r="Q228" t="inlineStr">
        <is>
          <t>Project</t>
        </is>
      </c>
      <c r="R228" t="inlineStr">
        <is>
          <t>GST 10%</t>
        </is>
      </c>
      <c r="S228" t="inlineStr">
        <is>
          <t>42150</t>
        </is>
      </c>
      <c r="T228" t="inlineStr">
        <is>
          <t>6130</t>
        </is>
      </c>
      <c r="U228" t="inlineStr">
        <is>
          <t>Video part of 26072906 - Video Total per job list</t>
        </is>
      </c>
      <c r="V228" t="n">
        <v>422.17</v>
      </c>
      <c r="W228" t="n">
        <v>4643.87</v>
      </c>
      <c r="X228" s="51" t="n">
        <v>46265</v>
      </c>
      <c r="Y228" t="n">
        <v>1</v>
      </c>
      <c r="Z228" t="n">
        <v>4221.7</v>
      </c>
      <c r="AA228" t="n">
        <v>4221.7</v>
      </c>
      <c r="AB228" t="n">
        <v>76</v>
      </c>
      <c r="AD228" s="52">
        <f>IFERROR(N(IFERROR(INDEX($A228:$AB228,MATCH("Xero Invoiced Ex GST",$A$1:$AB$1,0)),"")),0)</f>
        <v/>
      </c>
      <c r="AE228" s="53">
        <f>IFERROR(INDEX($A228:$AB228,MATCH("Xero Invoice Date",$A$1:$AB$1,0)),"")</f>
        <v/>
      </c>
      <c r="AF228" s="54">
        <f>IF(AND(IFERROR(INDEX($A228:$AB228,MATCH("Xero Invoice No",$A$1:$AB$1,0)),"")&amp;""&lt;&gt;"",ISNUMBER(AE228),AD228&lt;&gt;0),1,0)</f>
        <v/>
      </c>
      <c r="AG228" s="55">
        <f>IF(AF228=1,EOMONTH(AE228,0),"")</f>
        <v/>
      </c>
      <c r="AH228" s="9">
        <f>IF(AF228=1,UPPER(TRIM(IFERROR(INDEX($A228:$AB228,MATCH("Client",$A$1:$AB$1,0)),"")&amp;"")),"")</f>
        <v/>
      </c>
      <c r="AI228" s="9">
        <f>IF(AF228=1,IFERROR(INDEX($A228:$AB228,MATCH("Cost Centre",$A$1:$AB$1,0)),"")&amp;"","")</f>
        <v/>
      </c>
      <c r="AJ228" s="54">
        <f>IF(AND(AF228=1,AE228&gt;=set_FYStart,AE228&lt;=set_AsAt),1,0)</f>
        <v/>
      </c>
      <c r="AK228" s="54">
        <f>IF(AND(AJ228=1,AH228&lt;&gt;"",COUNTIFS($AH$2:AH228,AH228,$AJ$2:AJ228,1)=1),N(AL227)+1,"")</f>
        <v/>
      </c>
      <c r="AL228" s="54">
        <f>IF(AK228&lt;&gt;"",AK228,N(AL227))</f>
        <v/>
      </c>
    </row>
    <row r="229">
      <c r="A229" t="inlineStr">
        <is>
          <t>CON-0076</t>
        </is>
      </c>
      <c r="B229" t="inlineStr">
        <is>
          <t>Consulting</t>
        </is>
      </c>
      <c r="AB229" t="n">
        <v>76</v>
      </c>
      <c r="AD229" s="52">
        <f>IFERROR(N(IFERROR(INDEX($A229:$AB229,MATCH("Xero Invoiced Ex GST",$A$1:$AB$1,0)),"")),0)</f>
        <v/>
      </c>
      <c r="AE229" s="53">
        <f>IFERROR(INDEX($A229:$AB229,MATCH("Xero Invoice Date",$A$1:$AB$1,0)),"")</f>
        <v/>
      </c>
      <c r="AF229" s="54">
        <f>IF(AND(IFERROR(INDEX($A229:$AB229,MATCH("Xero Invoice No",$A$1:$AB$1,0)),"")&amp;""&lt;&gt;"",ISNUMBER(AE229),AD229&lt;&gt;0),1,0)</f>
        <v/>
      </c>
      <c r="AG229" s="55">
        <f>IF(AF229=1,EOMONTH(AE229,0),"")</f>
        <v/>
      </c>
      <c r="AH229" s="9">
        <f>IF(AF229=1,UPPER(TRIM(IFERROR(INDEX($A229:$AB229,MATCH("Client",$A$1:$AB$1,0)),"")&amp;"")),"")</f>
        <v/>
      </c>
      <c r="AI229" s="9">
        <f>IF(AF229=1,IFERROR(INDEX($A229:$AB229,MATCH("Cost Centre",$A$1:$AB$1,0)),"")&amp;"","")</f>
        <v/>
      </c>
      <c r="AJ229" s="54">
        <f>IF(AND(AF229=1,AE229&gt;=set_FYStart,AE229&lt;=set_AsAt),1,0)</f>
        <v/>
      </c>
      <c r="AK229" s="54">
        <f>IF(AND(AJ229=1,AH229&lt;&gt;"",COUNTIFS($AH$2:AH229,AH229,$AJ$2:AJ229,1)=1),N(AL228)+1,"")</f>
        <v/>
      </c>
      <c r="AL229" s="54">
        <f>IF(AK229&lt;&gt;"",AK229,N(AL228))</f>
        <v/>
      </c>
    </row>
    <row r="230">
      <c r="A230" t="inlineStr">
        <is>
          <t>ONS-0077</t>
        </is>
      </c>
      <c r="B230" t="inlineStr">
        <is>
          <t>Onsite</t>
        </is>
      </c>
      <c r="R230" t="inlineStr">
        <is>
          <t>GST 10%</t>
        </is>
      </c>
      <c r="AB230" t="n">
        <v>77</v>
      </c>
      <c r="AD230" s="52">
        <f>IFERROR(N(IFERROR(INDEX($A230:$AB230,MATCH("Xero Invoiced Ex GST",$A$1:$AB$1,0)),"")),0)</f>
        <v/>
      </c>
      <c r="AE230" s="53">
        <f>IFERROR(INDEX($A230:$AB230,MATCH("Xero Invoice Date",$A$1:$AB$1,0)),"")</f>
        <v/>
      </c>
      <c r="AF230" s="54">
        <f>IF(AND(IFERROR(INDEX($A230:$AB230,MATCH("Xero Invoice No",$A$1:$AB$1,0)),"")&amp;""&lt;&gt;"",ISNUMBER(AE230),AD230&lt;&gt;0),1,0)</f>
        <v/>
      </c>
      <c r="AG230" s="55">
        <f>IF(AF230=1,EOMONTH(AE230,0),"")</f>
        <v/>
      </c>
      <c r="AH230" s="9">
        <f>IF(AF230=1,UPPER(TRIM(IFERROR(INDEX($A230:$AB230,MATCH("Client",$A$1:$AB$1,0)),"")&amp;"")),"")</f>
        <v/>
      </c>
      <c r="AI230" s="9">
        <f>IF(AF230=1,IFERROR(INDEX($A230:$AB230,MATCH("Cost Centre",$A$1:$AB$1,0)),"")&amp;"","")</f>
        <v/>
      </c>
      <c r="AJ230" s="54">
        <f>IF(AND(AF230=1,AE230&gt;=set_FYStart,AE230&lt;=set_AsAt),1,0)</f>
        <v/>
      </c>
      <c r="AK230" s="54">
        <f>IF(AND(AJ230=1,AH230&lt;&gt;"",COUNTIFS($AH$2:AH230,AH230,$AJ$2:AJ230,1)=1),N(AL229)+1,"")</f>
        <v/>
      </c>
      <c r="AL230" s="54">
        <f>IF(AK230&lt;&gt;"",AK230,N(AL229))</f>
        <v/>
      </c>
    </row>
    <row r="231">
      <c r="A231" t="inlineStr">
        <is>
          <t>PRD-0077</t>
        </is>
      </c>
      <c r="B231" t="inlineStr">
        <is>
          <t>Production</t>
        </is>
      </c>
      <c r="C231" t="inlineStr">
        <is>
          <t>26061106V</t>
        </is>
      </c>
      <c r="D231" t="inlineStr">
        <is>
          <t>TLC -  Melbourne</t>
        </is>
      </c>
      <c r="E231" t="inlineStr">
        <is>
          <t>TLC Full Year Results</t>
        </is>
      </c>
      <c r="F231" t="n">
        <v>674</v>
      </c>
      <c r="G231" t="inlineStr">
        <is>
          <t>INV-10591</t>
        </is>
      </c>
      <c r="H231" s="51" t="n">
        <v>46260</v>
      </c>
      <c r="I231" t="n">
        <v>674</v>
      </c>
      <c r="J231" t="n">
        <v>0</v>
      </c>
      <c r="K231" t="inlineStr">
        <is>
          <t>Agrees</t>
        </is>
      </c>
      <c r="N231" t="inlineStr">
        <is>
          <t>OK</t>
        </is>
      </c>
      <c r="O231" t="inlineStr">
        <is>
          <t>TLC Full Year Results MEL</t>
        </is>
      </c>
      <c r="P231" t="inlineStr">
        <is>
          <t>VIDEO</t>
        </is>
      </c>
      <c r="Q231" t="inlineStr">
        <is>
          <t>Project</t>
        </is>
      </c>
      <c r="R231" t="inlineStr">
        <is>
          <t>GST 10%</t>
        </is>
      </c>
      <c r="S231" t="inlineStr">
        <is>
          <t>42150</t>
        </is>
      </c>
      <c r="T231" t="inlineStr">
        <is>
          <t>5853</t>
        </is>
      </c>
      <c r="U231" t="inlineStr">
        <is>
          <t>Video part of 26061106 - Video Total per job list</t>
        </is>
      </c>
      <c r="V231" t="n">
        <v>67.40000000000001</v>
      </c>
      <c r="W231" t="n">
        <v>741.4</v>
      </c>
      <c r="X231" s="51" t="n">
        <v>46265</v>
      </c>
      <c r="Y231" t="n">
        <v>1</v>
      </c>
      <c r="Z231" t="n">
        <v>674</v>
      </c>
      <c r="AA231" t="n">
        <v>674</v>
      </c>
      <c r="AB231" t="n">
        <v>77</v>
      </c>
      <c r="AD231" s="52">
        <f>IFERROR(N(IFERROR(INDEX($A231:$AB231,MATCH("Xero Invoiced Ex GST",$A$1:$AB$1,0)),"")),0)</f>
        <v/>
      </c>
      <c r="AE231" s="53">
        <f>IFERROR(INDEX($A231:$AB231,MATCH("Xero Invoice Date",$A$1:$AB$1,0)),"")</f>
        <v/>
      </c>
      <c r="AF231" s="54">
        <f>IF(AND(IFERROR(INDEX($A231:$AB231,MATCH("Xero Invoice No",$A$1:$AB$1,0)),"")&amp;""&lt;&gt;"",ISNUMBER(AE231),AD231&lt;&gt;0),1,0)</f>
        <v/>
      </c>
      <c r="AG231" s="55">
        <f>IF(AF231=1,EOMONTH(AE231,0),"")</f>
        <v/>
      </c>
      <c r="AH231" s="9">
        <f>IF(AF231=1,UPPER(TRIM(IFERROR(INDEX($A231:$AB231,MATCH("Client",$A$1:$AB$1,0)),"")&amp;"")),"")</f>
        <v/>
      </c>
      <c r="AI231" s="9">
        <f>IF(AF231=1,IFERROR(INDEX($A231:$AB231,MATCH("Cost Centre",$A$1:$AB$1,0)),"")&amp;"","")</f>
        <v/>
      </c>
      <c r="AJ231" s="54">
        <f>IF(AND(AF231=1,AE231&gt;=set_FYStart,AE231&lt;=set_AsAt),1,0)</f>
        <v/>
      </c>
      <c r="AK231" s="54">
        <f>IF(AND(AJ231=1,AH231&lt;&gt;"",COUNTIFS($AH$2:AH231,AH231,$AJ$2:AJ231,1)=1),N(AL230)+1,"")</f>
        <v/>
      </c>
      <c r="AL231" s="54">
        <f>IF(AK231&lt;&gt;"",AK231,N(AL230))</f>
        <v/>
      </c>
    </row>
    <row r="232">
      <c r="A232" t="inlineStr">
        <is>
          <t>CON-0077</t>
        </is>
      </c>
      <c r="B232" t="inlineStr">
        <is>
          <t>Consulting</t>
        </is>
      </c>
      <c r="AB232" t="n">
        <v>77</v>
      </c>
      <c r="AD232" s="52">
        <f>IFERROR(N(IFERROR(INDEX($A232:$AB232,MATCH("Xero Invoiced Ex GST",$A$1:$AB$1,0)),"")),0)</f>
        <v/>
      </c>
      <c r="AE232" s="53">
        <f>IFERROR(INDEX($A232:$AB232,MATCH("Xero Invoice Date",$A$1:$AB$1,0)),"")</f>
        <v/>
      </c>
      <c r="AF232" s="54">
        <f>IF(AND(IFERROR(INDEX($A232:$AB232,MATCH("Xero Invoice No",$A$1:$AB$1,0)),"")&amp;""&lt;&gt;"",ISNUMBER(AE232),AD232&lt;&gt;0),1,0)</f>
        <v/>
      </c>
      <c r="AG232" s="55">
        <f>IF(AF232=1,EOMONTH(AE232,0),"")</f>
        <v/>
      </c>
      <c r="AH232" s="9">
        <f>IF(AF232=1,UPPER(TRIM(IFERROR(INDEX($A232:$AB232,MATCH("Client",$A$1:$AB$1,0)),"")&amp;"")),"")</f>
        <v/>
      </c>
      <c r="AI232" s="9">
        <f>IF(AF232=1,IFERROR(INDEX($A232:$AB232,MATCH("Cost Centre",$A$1:$AB$1,0)),"")&amp;"","")</f>
        <v/>
      </c>
      <c r="AJ232" s="54">
        <f>IF(AND(AF232=1,AE232&gt;=set_FYStart,AE232&lt;=set_AsAt),1,0)</f>
        <v/>
      </c>
      <c r="AK232" s="54">
        <f>IF(AND(AJ232=1,AH232&lt;&gt;"",COUNTIFS($AH$2:AH232,AH232,$AJ$2:AJ232,1)=1),N(AL231)+1,"")</f>
        <v/>
      </c>
      <c r="AL232" s="54">
        <f>IF(AK232&lt;&gt;"",AK232,N(AL231))</f>
        <v/>
      </c>
    </row>
    <row r="233">
      <c r="A233" t="inlineStr">
        <is>
          <t>ONS-0078</t>
        </is>
      </c>
      <c r="B233" t="inlineStr">
        <is>
          <t>Onsite</t>
        </is>
      </c>
      <c r="R233" t="inlineStr">
        <is>
          <t>GST 10%</t>
        </is>
      </c>
      <c r="AB233" t="n">
        <v>78</v>
      </c>
      <c r="AD233" s="52">
        <f>IFERROR(N(IFERROR(INDEX($A233:$AB233,MATCH("Xero Invoiced Ex GST",$A$1:$AB$1,0)),"")),0)</f>
        <v/>
      </c>
      <c r="AE233" s="53">
        <f>IFERROR(INDEX($A233:$AB233,MATCH("Xero Invoice Date",$A$1:$AB$1,0)),"")</f>
        <v/>
      </c>
      <c r="AF233" s="54">
        <f>IF(AND(IFERROR(INDEX($A233:$AB233,MATCH("Xero Invoice No",$A$1:$AB$1,0)),"")&amp;""&lt;&gt;"",ISNUMBER(AE233),AD233&lt;&gt;0),1,0)</f>
        <v/>
      </c>
      <c r="AG233" s="55">
        <f>IF(AF233=1,EOMONTH(AE233,0),"")</f>
        <v/>
      </c>
      <c r="AH233" s="9">
        <f>IF(AF233=1,UPPER(TRIM(IFERROR(INDEX($A233:$AB233,MATCH("Client",$A$1:$AB$1,0)),"")&amp;"")),"")</f>
        <v/>
      </c>
      <c r="AI233" s="9">
        <f>IF(AF233=1,IFERROR(INDEX($A233:$AB233,MATCH("Cost Centre",$A$1:$AB$1,0)),"")&amp;"","")</f>
        <v/>
      </c>
      <c r="AJ233" s="54">
        <f>IF(AND(AF233=1,AE233&gt;=set_FYStart,AE233&lt;=set_AsAt),1,0)</f>
        <v/>
      </c>
      <c r="AK233" s="54">
        <f>IF(AND(AJ233=1,AH233&lt;&gt;"",COUNTIFS($AH$2:AH233,AH233,$AJ$2:AJ233,1)=1),N(AL232)+1,"")</f>
        <v/>
      </c>
      <c r="AL233" s="54">
        <f>IF(AK233&lt;&gt;"",AK233,N(AL232))</f>
        <v/>
      </c>
    </row>
    <row r="234">
      <c r="A234" t="inlineStr">
        <is>
          <t>PRD-0078</t>
        </is>
      </c>
      <c r="B234" t="inlineStr">
        <is>
          <t>Production</t>
        </is>
      </c>
      <c r="C234" t="inlineStr">
        <is>
          <t>26061107V</t>
        </is>
      </c>
      <c r="D234" t="inlineStr">
        <is>
          <t>Downer</t>
        </is>
      </c>
      <c r="E234" t="inlineStr">
        <is>
          <t>Downer FYR26 20.8.26</t>
        </is>
      </c>
      <c r="F234" t="n">
        <v>263.5</v>
      </c>
      <c r="G234" t="inlineStr">
        <is>
          <t>INV-10587</t>
        </is>
      </c>
      <c r="H234" s="51" t="n">
        <v>46259</v>
      </c>
      <c r="I234" t="n">
        <v>263.5</v>
      </c>
      <c r="J234" t="n">
        <v>0</v>
      </c>
      <c r="K234" t="inlineStr">
        <is>
          <t>Agrees</t>
        </is>
      </c>
      <c r="N234" t="inlineStr">
        <is>
          <t>OK</t>
        </is>
      </c>
      <c r="O234" t="inlineStr">
        <is>
          <t>Downer - FYR 2026 - 20.8.26</t>
        </is>
      </c>
      <c r="P234" t="inlineStr">
        <is>
          <t>VIDEO</t>
        </is>
      </c>
      <c r="Q234" t="inlineStr">
        <is>
          <t>Project</t>
        </is>
      </c>
      <c r="R234" t="inlineStr">
        <is>
          <t>GST 10%</t>
        </is>
      </c>
      <c r="S234" t="inlineStr">
        <is>
          <t>42150</t>
        </is>
      </c>
      <c r="T234" t="inlineStr">
        <is>
          <t>6092</t>
        </is>
      </c>
      <c r="U234" t="inlineStr">
        <is>
          <t>Video part of 26061107 - Video Total per job list</t>
        </is>
      </c>
      <c r="V234" t="n">
        <v>26.35</v>
      </c>
      <c r="W234" t="n">
        <v>289.85</v>
      </c>
      <c r="X234" s="51" t="n">
        <v>46265</v>
      </c>
      <c r="Y234" t="n">
        <v>1</v>
      </c>
      <c r="Z234" t="n">
        <v>263.5</v>
      </c>
      <c r="AA234" t="n">
        <v>263.5</v>
      </c>
      <c r="AB234" t="n">
        <v>78</v>
      </c>
      <c r="AD234" s="52">
        <f>IFERROR(N(IFERROR(INDEX($A234:$AB234,MATCH("Xero Invoiced Ex GST",$A$1:$AB$1,0)),"")),0)</f>
        <v/>
      </c>
      <c r="AE234" s="53">
        <f>IFERROR(INDEX($A234:$AB234,MATCH("Xero Invoice Date",$A$1:$AB$1,0)),"")</f>
        <v/>
      </c>
      <c r="AF234" s="54">
        <f>IF(AND(IFERROR(INDEX($A234:$AB234,MATCH("Xero Invoice No",$A$1:$AB$1,0)),"")&amp;""&lt;&gt;"",ISNUMBER(AE234),AD234&lt;&gt;0),1,0)</f>
        <v/>
      </c>
      <c r="AG234" s="55">
        <f>IF(AF234=1,EOMONTH(AE234,0),"")</f>
        <v/>
      </c>
      <c r="AH234" s="9">
        <f>IF(AF234=1,UPPER(TRIM(IFERROR(INDEX($A234:$AB234,MATCH("Client",$A$1:$AB$1,0)),"")&amp;"")),"")</f>
        <v/>
      </c>
      <c r="AI234" s="9">
        <f>IF(AF234=1,IFERROR(INDEX($A234:$AB234,MATCH("Cost Centre",$A$1:$AB$1,0)),"")&amp;"","")</f>
        <v/>
      </c>
      <c r="AJ234" s="54">
        <f>IF(AND(AF234=1,AE234&gt;=set_FYStart,AE234&lt;=set_AsAt),1,0)</f>
        <v/>
      </c>
      <c r="AK234" s="54">
        <f>IF(AND(AJ234=1,AH234&lt;&gt;"",COUNTIFS($AH$2:AH234,AH234,$AJ$2:AJ234,1)=1),N(AL233)+1,"")</f>
        <v/>
      </c>
      <c r="AL234" s="54">
        <f>IF(AK234&lt;&gt;"",AK234,N(AL233))</f>
        <v/>
      </c>
    </row>
    <row r="235">
      <c r="A235" t="inlineStr">
        <is>
          <t>CON-0078</t>
        </is>
      </c>
      <c r="B235" t="inlineStr">
        <is>
          <t>Consulting</t>
        </is>
      </c>
      <c r="AB235" t="n">
        <v>78</v>
      </c>
      <c r="AD235" s="52">
        <f>IFERROR(N(IFERROR(INDEX($A235:$AB235,MATCH("Xero Invoiced Ex GST",$A$1:$AB$1,0)),"")),0)</f>
        <v/>
      </c>
      <c r="AE235" s="53">
        <f>IFERROR(INDEX($A235:$AB235,MATCH("Xero Invoice Date",$A$1:$AB$1,0)),"")</f>
        <v/>
      </c>
      <c r="AF235" s="54">
        <f>IF(AND(IFERROR(INDEX($A235:$AB235,MATCH("Xero Invoice No",$A$1:$AB$1,0)),"")&amp;""&lt;&gt;"",ISNUMBER(AE235),AD235&lt;&gt;0),1,0)</f>
        <v/>
      </c>
      <c r="AG235" s="55">
        <f>IF(AF235=1,EOMONTH(AE235,0),"")</f>
        <v/>
      </c>
      <c r="AH235" s="9">
        <f>IF(AF235=1,UPPER(TRIM(IFERROR(INDEX($A235:$AB235,MATCH("Client",$A$1:$AB$1,0)),"")&amp;"")),"")</f>
        <v/>
      </c>
      <c r="AI235" s="9">
        <f>IF(AF235=1,IFERROR(INDEX($A235:$AB235,MATCH("Cost Centre",$A$1:$AB$1,0)),"")&amp;"","")</f>
        <v/>
      </c>
      <c r="AJ235" s="54">
        <f>IF(AND(AF235=1,AE235&gt;=set_FYStart,AE235&lt;=set_AsAt),1,0)</f>
        <v/>
      </c>
      <c r="AK235" s="54">
        <f>IF(AND(AJ235=1,AH235&lt;&gt;"",COUNTIFS($AH$2:AH235,AH235,$AJ$2:AJ235,1)=1),N(AL234)+1,"")</f>
        <v/>
      </c>
      <c r="AL235" s="54">
        <f>IF(AK235&lt;&gt;"",AK235,N(AL234))</f>
        <v/>
      </c>
    </row>
    <row r="236">
      <c r="A236" t="inlineStr">
        <is>
          <t>ONS-0079</t>
        </is>
      </c>
      <c r="B236" t="inlineStr">
        <is>
          <t>Onsite</t>
        </is>
      </c>
      <c r="R236" t="inlineStr">
        <is>
          <t>GST 10%</t>
        </is>
      </c>
      <c r="AB236" t="n">
        <v>79</v>
      </c>
      <c r="AD236" s="52">
        <f>IFERROR(N(IFERROR(INDEX($A236:$AB236,MATCH("Xero Invoiced Ex GST",$A$1:$AB$1,0)),"")),0)</f>
        <v/>
      </c>
      <c r="AE236" s="53">
        <f>IFERROR(INDEX($A236:$AB236,MATCH("Xero Invoice Date",$A$1:$AB$1,0)),"")</f>
        <v/>
      </c>
      <c r="AF236" s="54">
        <f>IF(AND(IFERROR(INDEX($A236:$AB236,MATCH("Xero Invoice No",$A$1:$AB$1,0)),"")&amp;""&lt;&gt;"",ISNUMBER(AE236),AD236&lt;&gt;0),1,0)</f>
        <v/>
      </c>
      <c r="AG236" s="55">
        <f>IF(AF236=1,EOMONTH(AE236,0),"")</f>
        <v/>
      </c>
      <c r="AH236" s="9">
        <f>IF(AF236=1,UPPER(TRIM(IFERROR(INDEX($A236:$AB236,MATCH("Client",$A$1:$AB$1,0)),"")&amp;"")),"")</f>
        <v/>
      </c>
      <c r="AI236" s="9">
        <f>IF(AF236=1,IFERROR(INDEX($A236:$AB236,MATCH("Cost Centre",$A$1:$AB$1,0)),"")&amp;"","")</f>
        <v/>
      </c>
      <c r="AJ236" s="54">
        <f>IF(AND(AF236=1,AE236&gt;=set_FYStart,AE236&lt;=set_AsAt),1,0)</f>
        <v/>
      </c>
      <c r="AK236" s="54">
        <f>IF(AND(AJ236=1,AH236&lt;&gt;"",COUNTIFS($AH$2:AH236,AH236,$AJ$2:AJ236,1)=1),N(AL235)+1,"")</f>
        <v/>
      </c>
      <c r="AL236" s="54">
        <f>IF(AK236&lt;&gt;"",AK236,N(AL235))</f>
        <v/>
      </c>
    </row>
    <row r="237">
      <c r="A237" t="inlineStr">
        <is>
          <t>PRD-0079</t>
        </is>
      </c>
      <c r="B237" t="inlineStr">
        <is>
          <t>Production</t>
        </is>
      </c>
      <c r="C237" t="inlineStr">
        <is>
          <t>26061108V</t>
        </is>
      </c>
      <c r="D237" t="inlineStr">
        <is>
          <t>APA</t>
        </is>
      </c>
      <c r="E237" t="inlineStr">
        <is>
          <t>APA FYR Town Hall 20.8.26</t>
        </is>
      </c>
      <c r="F237" t="n">
        <v>0</v>
      </c>
      <c r="G237" t="inlineStr">
        <is>
          <t>INV-10521</t>
        </is>
      </c>
      <c r="H237" s="51" t="n">
        <v>46254</v>
      </c>
      <c r="I237" t="n">
        <v>0</v>
      </c>
      <c r="J237" t="n">
        <v>0</v>
      </c>
      <c r="K237" t="inlineStr">
        <is>
          <t>Agrees</t>
        </is>
      </c>
      <c r="M237" t="inlineStr">
        <is>
          <t>Not a separate invoice: APA All Hands package INV-10521 (row 26061609/...) - released through WIP Movements in August</t>
        </is>
      </c>
      <c r="N237" t="inlineStr">
        <is>
          <t>OK</t>
        </is>
      </c>
      <c r="O237" t="inlineStr">
        <is>
          <t>APA - Qtly All Hands FYR26 - 20.8.26</t>
        </is>
      </c>
      <c r="P237" t="inlineStr">
        <is>
          <t>VIDEO</t>
        </is>
      </c>
      <c r="Q237" t="inlineStr">
        <is>
          <t>Project</t>
        </is>
      </c>
      <c r="R237" t="inlineStr">
        <is>
          <t>GST 10%</t>
        </is>
      </c>
      <c r="S237" t="inlineStr">
        <is>
          <t>42150</t>
        </is>
      </c>
      <c r="T237" t="inlineStr">
        <is>
          <t>6073</t>
        </is>
      </c>
      <c r="U237" t="inlineStr">
        <is>
          <t>Event value 1261.6 billed in a package - APA All Hands package INV-10521 (row 26061609/...) - released through WIP Movements in August</t>
        </is>
      </c>
      <c r="V237" t="n">
        <v>0</v>
      </c>
      <c r="W237" t="n">
        <v>0</v>
      </c>
      <c r="X237" s="51" t="n">
        <v>46265</v>
      </c>
      <c r="Y237" t="n">
        <v>1</v>
      </c>
      <c r="Z237" t="n">
        <v>0</v>
      </c>
      <c r="AA237" t="n">
        <v>0</v>
      </c>
      <c r="AB237" t="n">
        <v>79</v>
      </c>
      <c r="AD237" s="52">
        <f>IFERROR(N(IFERROR(INDEX($A237:$AB237,MATCH("Xero Invoiced Ex GST",$A$1:$AB$1,0)),"")),0)</f>
        <v/>
      </c>
      <c r="AE237" s="53">
        <f>IFERROR(INDEX($A237:$AB237,MATCH("Xero Invoice Date",$A$1:$AB$1,0)),"")</f>
        <v/>
      </c>
      <c r="AF237" s="54">
        <f>IF(AND(IFERROR(INDEX($A237:$AB237,MATCH("Xero Invoice No",$A$1:$AB$1,0)),"")&amp;""&lt;&gt;"",ISNUMBER(AE237),AD237&lt;&gt;0),1,0)</f>
        <v/>
      </c>
      <c r="AG237" s="55">
        <f>IF(AF237=1,EOMONTH(AE237,0),"")</f>
        <v/>
      </c>
      <c r="AH237" s="9">
        <f>IF(AF237=1,UPPER(TRIM(IFERROR(INDEX($A237:$AB237,MATCH("Client",$A$1:$AB$1,0)),"")&amp;"")),"")</f>
        <v/>
      </c>
      <c r="AI237" s="9">
        <f>IF(AF237=1,IFERROR(INDEX($A237:$AB237,MATCH("Cost Centre",$A$1:$AB$1,0)),"")&amp;"","")</f>
        <v/>
      </c>
      <c r="AJ237" s="54">
        <f>IF(AND(AF237=1,AE237&gt;=set_FYStart,AE237&lt;=set_AsAt),1,0)</f>
        <v/>
      </c>
      <c r="AK237" s="54">
        <f>IF(AND(AJ237=1,AH237&lt;&gt;"",COUNTIFS($AH$2:AH237,AH237,$AJ$2:AJ237,1)=1),N(AL236)+1,"")</f>
        <v/>
      </c>
      <c r="AL237" s="54">
        <f>IF(AK237&lt;&gt;"",AK237,N(AL236))</f>
        <v/>
      </c>
    </row>
    <row r="238">
      <c r="A238" t="inlineStr">
        <is>
          <t>CON-0079</t>
        </is>
      </c>
      <c r="B238" t="inlineStr">
        <is>
          <t>Consulting</t>
        </is>
      </c>
      <c r="AB238" t="n">
        <v>79</v>
      </c>
      <c r="AD238" s="52">
        <f>IFERROR(N(IFERROR(INDEX($A238:$AB238,MATCH("Xero Invoiced Ex GST",$A$1:$AB$1,0)),"")),0)</f>
        <v/>
      </c>
      <c r="AE238" s="53">
        <f>IFERROR(INDEX($A238:$AB238,MATCH("Xero Invoice Date",$A$1:$AB$1,0)),"")</f>
        <v/>
      </c>
      <c r="AF238" s="54">
        <f>IF(AND(IFERROR(INDEX($A238:$AB238,MATCH("Xero Invoice No",$A$1:$AB$1,0)),"")&amp;""&lt;&gt;"",ISNUMBER(AE238),AD238&lt;&gt;0),1,0)</f>
        <v/>
      </c>
      <c r="AG238" s="55">
        <f>IF(AF238=1,EOMONTH(AE238,0),"")</f>
        <v/>
      </c>
      <c r="AH238" s="9">
        <f>IF(AF238=1,UPPER(TRIM(IFERROR(INDEX($A238:$AB238,MATCH("Client",$A$1:$AB$1,0)),"")&amp;"")),"")</f>
        <v/>
      </c>
      <c r="AI238" s="9">
        <f>IF(AF238=1,IFERROR(INDEX($A238:$AB238,MATCH("Cost Centre",$A$1:$AB$1,0)),"")&amp;"","")</f>
        <v/>
      </c>
      <c r="AJ238" s="54">
        <f>IF(AND(AF238=1,AE238&gt;=set_FYStart,AE238&lt;=set_AsAt),1,0)</f>
        <v/>
      </c>
      <c r="AK238" s="54">
        <f>IF(AND(AJ238=1,AH238&lt;&gt;"",COUNTIFS($AH$2:AH238,AH238,$AJ$2:AJ238,1)=1),N(AL237)+1,"")</f>
        <v/>
      </c>
      <c r="AL238" s="54">
        <f>IF(AK238&lt;&gt;"",AK238,N(AL237))</f>
        <v/>
      </c>
    </row>
    <row r="239">
      <c r="A239" t="inlineStr">
        <is>
          <t>ONS-0080</t>
        </is>
      </c>
      <c r="B239" t="inlineStr">
        <is>
          <t>Onsite</t>
        </is>
      </c>
      <c r="R239" t="inlineStr">
        <is>
          <t>GST 10%</t>
        </is>
      </c>
      <c r="AB239" t="n">
        <v>80</v>
      </c>
      <c r="AD239" s="52">
        <f>IFERROR(N(IFERROR(INDEX($A239:$AB239,MATCH("Xero Invoiced Ex GST",$A$1:$AB$1,0)),"")),0)</f>
        <v/>
      </c>
      <c r="AE239" s="53">
        <f>IFERROR(INDEX($A239:$AB239,MATCH("Xero Invoice Date",$A$1:$AB$1,0)),"")</f>
        <v/>
      </c>
      <c r="AF239" s="54">
        <f>IF(AND(IFERROR(INDEX($A239:$AB239,MATCH("Xero Invoice No",$A$1:$AB$1,0)),"")&amp;""&lt;&gt;"",ISNUMBER(AE239),AD239&lt;&gt;0),1,0)</f>
        <v/>
      </c>
      <c r="AG239" s="55">
        <f>IF(AF239=1,EOMONTH(AE239,0),"")</f>
        <v/>
      </c>
      <c r="AH239" s="9">
        <f>IF(AF239=1,UPPER(TRIM(IFERROR(INDEX($A239:$AB239,MATCH("Client",$A$1:$AB$1,0)),"")&amp;"")),"")</f>
        <v/>
      </c>
      <c r="AI239" s="9">
        <f>IF(AF239=1,IFERROR(INDEX($A239:$AB239,MATCH("Cost Centre",$A$1:$AB$1,0)),"")&amp;"","")</f>
        <v/>
      </c>
      <c r="AJ239" s="54">
        <f>IF(AND(AF239=1,AE239&gt;=set_FYStart,AE239&lt;=set_AsAt),1,0)</f>
        <v/>
      </c>
      <c r="AK239" s="54">
        <f>IF(AND(AJ239=1,AH239&lt;&gt;"",COUNTIFS($AH$2:AH239,AH239,$AJ$2:AJ239,1)=1),N(AL238)+1,"")</f>
        <v/>
      </c>
      <c r="AL239" s="54">
        <f>IF(AK239&lt;&gt;"",AK239,N(AL238))</f>
        <v/>
      </c>
    </row>
    <row r="240">
      <c r="A240" t="inlineStr">
        <is>
          <t>PRD-0080</t>
        </is>
      </c>
      <c r="B240" t="inlineStr">
        <is>
          <t>Production</t>
        </is>
      </c>
      <c r="C240" t="inlineStr">
        <is>
          <t>26061109V</t>
        </is>
      </c>
      <c r="D240" t="inlineStr">
        <is>
          <t>Ventia</t>
        </is>
      </c>
      <c r="E240" t="inlineStr">
        <is>
          <t>Ventia HYR Employee Town Hall 24.8.26 (PO 4701366307)</t>
        </is>
      </c>
      <c r="F240" t="n">
        <v>1771</v>
      </c>
      <c r="G240" t="inlineStr">
        <is>
          <t>INV-10593</t>
        </is>
      </c>
      <c r="H240" s="51" t="n">
        <v>46265</v>
      </c>
      <c r="I240" t="n">
        <v>1771</v>
      </c>
      <c r="J240" t="n">
        <v>0</v>
      </c>
      <c r="K240" t="inlineStr">
        <is>
          <t>Agrees</t>
        </is>
      </c>
      <c r="N240" t="inlineStr">
        <is>
          <t>OK</t>
        </is>
      </c>
      <c r="O240" t="inlineStr">
        <is>
          <t>Ventia - FYR26 - 24.8.26</t>
        </is>
      </c>
      <c r="P240" t="inlineStr">
        <is>
          <t>VIDEO</t>
        </is>
      </c>
      <c r="Q240" t="inlineStr">
        <is>
          <t>Project</t>
        </is>
      </c>
      <c r="R240" t="inlineStr">
        <is>
          <t>GST 10%</t>
        </is>
      </c>
      <c r="S240" t="inlineStr">
        <is>
          <t>42150</t>
        </is>
      </c>
      <c r="T240" t="inlineStr">
        <is>
          <t>6095</t>
        </is>
      </c>
      <c r="U240" t="inlineStr">
        <is>
          <t>Video part of 26061109 - Video Total per job list</t>
        </is>
      </c>
      <c r="V240" t="n">
        <v>177.1</v>
      </c>
      <c r="W240" t="n">
        <v>1948.1</v>
      </c>
      <c r="X240" s="51" t="n">
        <v>46265</v>
      </c>
      <c r="Y240" t="n">
        <v>1</v>
      </c>
      <c r="Z240" t="n">
        <v>1771</v>
      </c>
      <c r="AA240" t="n">
        <v>1771</v>
      </c>
      <c r="AB240" t="n">
        <v>80</v>
      </c>
      <c r="AD240" s="52">
        <f>IFERROR(N(IFERROR(INDEX($A240:$AB240,MATCH("Xero Invoiced Ex GST",$A$1:$AB$1,0)),"")),0)</f>
        <v/>
      </c>
      <c r="AE240" s="53">
        <f>IFERROR(INDEX($A240:$AB240,MATCH("Xero Invoice Date",$A$1:$AB$1,0)),"")</f>
        <v/>
      </c>
      <c r="AF240" s="54">
        <f>IF(AND(IFERROR(INDEX($A240:$AB240,MATCH("Xero Invoice No",$A$1:$AB$1,0)),"")&amp;""&lt;&gt;"",ISNUMBER(AE240),AD240&lt;&gt;0),1,0)</f>
        <v/>
      </c>
      <c r="AG240" s="55">
        <f>IF(AF240=1,EOMONTH(AE240,0),"")</f>
        <v/>
      </c>
      <c r="AH240" s="9">
        <f>IF(AF240=1,UPPER(TRIM(IFERROR(INDEX($A240:$AB240,MATCH("Client",$A$1:$AB$1,0)),"")&amp;"")),"")</f>
        <v/>
      </c>
      <c r="AI240" s="9">
        <f>IF(AF240=1,IFERROR(INDEX($A240:$AB240,MATCH("Cost Centre",$A$1:$AB$1,0)),"")&amp;"","")</f>
        <v/>
      </c>
      <c r="AJ240" s="54">
        <f>IF(AND(AF240=1,AE240&gt;=set_FYStart,AE240&lt;=set_AsAt),1,0)</f>
        <v/>
      </c>
      <c r="AK240" s="54">
        <f>IF(AND(AJ240=1,AH240&lt;&gt;"",COUNTIFS($AH$2:AH240,AH240,$AJ$2:AJ240,1)=1),N(AL239)+1,"")</f>
        <v/>
      </c>
      <c r="AL240" s="54">
        <f>IF(AK240&lt;&gt;"",AK240,N(AL239))</f>
        <v/>
      </c>
    </row>
    <row r="241">
      <c r="A241" t="inlineStr">
        <is>
          <t>CON-0080</t>
        </is>
      </c>
      <c r="B241" t="inlineStr">
        <is>
          <t>Consulting</t>
        </is>
      </c>
      <c r="AB241" t="n">
        <v>80</v>
      </c>
      <c r="AD241" s="52">
        <f>IFERROR(N(IFERROR(INDEX($A241:$AB241,MATCH("Xero Invoiced Ex GST",$A$1:$AB$1,0)),"")),0)</f>
        <v/>
      </c>
      <c r="AE241" s="53">
        <f>IFERROR(INDEX($A241:$AB241,MATCH("Xero Invoice Date",$A$1:$AB$1,0)),"")</f>
        <v/>
      </c>
      <c r="AF241" s="54">
        <f>IF(AND(IFERROR(INDEX($A241:$AB241,MATCH("Xero Invoice No",$A$1:$AB$1,0)),"")&amp;""&lt;&gt;"",ISNUMBER(AE241),AD241&lt;&gt;0),1,0)</f>
        <v/>
      </c>
      <c r="AG241" s="55">
        <f>IF(AF241=1,EOMONTH(AE241,0),"")</f>
        <v/>
      </c>
      <c r="AH241" s="9">
        <f>IF(AF241=1,UPPER(TRIM(IFERROR(INDEX($A241:$AB241,MATCH("Client",$A$1:$AB$1,0)),"")&amp;"")),"")</f>
        <v/>
      </c>
      <c r="AI241" s="9">
        <f>IF(AF241=1,IFERROR(INDEX($A241:$AB241,MATCH("Cost Centre",$A$1:$AB$1,0)),"")&amp;"","")</f>
        <v/>
      </c>
      <c r="AJ241" s="54">
        <f>IF(AND(AF241=1,AE241&gt;=set_FYStart,AE241&lt;=set_AsAt),1,0)</f>
        <v/>
      </c>
      <c r="AK241" s="54">
        <f>IF(AND(AJ241=1,AH241&lt;&gt;"",COUNTIFS($AH$2:AH241,AH241,$AJ$2:AJ241,1)=1),N(AL240)+1,"")</f>
        <v/>
      </c>
      <c r="AL241" s="54">
        <f>IF(AK241&lt;&gt;"",AK241,N(AL240))</f>
        <v/>
      </c>
    </row>
    <row r="242">
      <c r="A242" t="inlineStr">
        <is>
          <t>ONS-0081</t>
        </is>
      </c>
      <c r="B242" t="inlineStr">
        <is>
          <t>Onsite</t>
        </is>
      </c>
      <c r="R242" t="inlineStr">
        <is>
          <t>GST 10%</t>
        </is>
      </c>
      <c r="AB242" t="n">
        <v>81</v>
      </c>
      <c r="AD242" s="52">
        <f>IFERROR(N(IFERROR(INDEX($A242:$AB242,MATCH("Xero Invoiced Ex GST",$A$1:$AB$1,0)),"")),0)</f>
        <v/>
      </c>
      <c r="AE242" s="53">
        <f>IFERROR(INDEX($A242:$AB242,MATCH("Xero Invoice Date",$A$1:$AB$1,0)),"")</f>
        <v/>
      </c>
      <c r="AF242" s="54">
        <f>IF(AND(IFERROR(INDEX($A242:$AB242,MATCH("Xero Invoice No",$A$1:$AB$1,0)),"")&amp;""&lt;&gt;"",ISNUMBER(AE242),AD242&lt;&gt;0),1,0)</f>
        <v/>
      </c>
      <c r="AG242" s="55">
        <f>IF(AF242=1,EOMONTH(AE242,0),"")</f>
        <v/>
      </c>
      <c r="AH242" s="9">
        <f>IF(AF242=1,UPPER(TRIM(IFERROR(INDEX($A242:$AB242,MATCH("Client",$A$1:$AB$1,0)),"")&amp;"")),"")</f>
        <v/>
      </c>
      <c r="AI242" s="9">
        <f>IF(AF242=1,IFERROR(INDEX($A242:$AB242,MATCH("Cost Centre",$A$1:$AB$1,0)),"")&amp;"","")</f>
        <v/>
      </c>
      <c r="AJ242" s="54">
        <f>IF(AND(AF242=1,AE242&gt;=set_FYStart,AE242&lt;=set_AsAt),1,0)</f>
        <v/>
      </c>
      <c r="AK242" s="54">
        <f>IF(AND(AJ242=1,AH242&lt;&gt;"",COUNTIFS($AH$2:AH242,AH242,$AJ$2:AJ242,1)=1),N(AL241)+1,"")</f>
        <v/>
      </c>
      <c r="AL242" s="54">
        <f>IF(AK242&lt;&gt;"",AK242,N(AL241))</f>
        <v/>
      </c>
    </row>
    <row r="243">
      <c r="A243" t="inlineStr">
        <is>
          <t>PRD-0081</t>
        </is>
      </c>
      <c r="B243" t="inlineStr">
        <is>
          <t>Production</t>
        </is>
      </c>
      <c r="C243" t="inlineStr">
        <is>
          <t>26073111V</t>
        </is>
      </c>
      <c r="D243" t="inlineStr">
        <is>
          <t>Downer - Melbourne</t>
        </is>
      </c>
      <c r="E243" t="inlineStr">
        <is>
          <t>Employee Results Briefing</t>
        </is>
      </c>
      <c r="F243" t="n">
        <v>1785</v>
      </c>
      <c r="G243" t="inlineStr">
        <is>
          <t>INV-10611</t>
        </is>
      </c>
      <c r="H243" s="51" t="n">
        <v>46265</v>
      </c>
      <c r="I243" t="n">
        <v>1785</v>
      </c>
      <c r="J243" t="n">
        <v>0</v>
      </c>
      <c r="K243" t="inlineStr">
        <is>
          <t>Agrees</t>
        </is>
      </c>
      <c r="N243" t="inlineStr">
        <is>
          <t>OK</t>
        </is>
      </c>
      <c r="O243" t="inlineStr">
        <is>
          <t>Downer - FYR &amp; Employee Webcast - 25.8.26</t>
        </is>
      </c>
      <c r="P243" t="inlineStr">
        <is>
          <t>VIDEO</t>
        </is>
      </c>
      <c r="Q243" t="inlineStr">
        <is>
          <t>Project</t>
        </is>
      </c>
      <c r="R243" t="inlineStr">
        <is>
          <t>GST 10%</t>
        </is>
      </c>
      <c r="S243" t="inlineStr">
        <is>
          <t>42150</t>
        </is>
      </c>
      <c r="T243" t="inlineStr">
        <is>
          <t>6144</t>
        </is>
      </c>
      <c r="U243" t="inlineStr">
        <is>
          <t>Video part of 26073111 - Video Total per job list</t>
        </is>
      </c>
      <c r="V243" t="n">
        <v>178.5</v>
      </c>
      <c r="W243" t="n">
        <v>1963.5</v>
      </c>
      <c r="X243" s="51" t="n">
        <v>46265</v>
      </c>
      <c r="Y243" t="n">
        <v>1</v>
      </c>
      <c r="Z243" t="n">
        <v>1785</v>
      </c>
      <c r="AA243" t="n">
        <v>1785</v>
      </c>
      <c r="AB243" t="n">
        <v>81</v>
      </c>
      <c r="AD243" s="52">
        <f>IFERROR(N(IFERROR(INDEX($A243:$AB243,MATCH("Xero Invoiced Ex GST",$A$1:$AB$1,0)),"")),0)</f>
        <v/>
      </c>
      <c r="AE243" s="53">
        <f>IFERROR(INDEX($A243:$AB243,MATCH("Xero Invoice Date",$A$1:$AB$1,0)),"")</f>
        <v/>
      </c>
      <c r="AF243" s="54">
        <f>IF(AND(IFERROR(INDEX($A243:$AB243,MATCH("Xero Invoice No",$A$1:$AB$1,0)),"")&amp;""&lt;&gt;"",ISNUMBER(AE243),AD243&lt;&gt;0),1,0)</f>
        <v/>
      </c>
      <c r="AG243" s="55">
        <f>IF(AF243=1,EOMONTH(AE243,0),"")</f>
        <v/>
      </c>
      <c r="AH243" s="9">
        <f>IF(AF243=1,UPPER(TRIM(IFERROR(INDEX($A243:$AB243,MATCH("Client",$A$1:$AB$1,0)),"")&amp;"")),"")</f>
        <v/>
      </c>
      <c r="AI243" s="9">
        <f>IF(AF243=1,IFERROR(INDEX($A243:$AB243,MATCH("Cost Centre",$A$1:$AB$1,0)),"")&amp;"","")</f>
        <v/>
      </c>
      <c r="AJ243" s="54">
        <f>IF(AND(AF243=1,AE243&gt;=set_FYStart,AE243&lt;=set_AsAt),1,0)</f>
        <v/>
      </c>
      <c r="AK243" s="54">
        <f>IF(AND(AJ243=1,AH243&lt;&gt;"",COUNTIFS($AH$2:AH243,AH243,$AJ$2:AJ243,1)=1),N(AL242)+1,"")</f>
        <v/>
      </c>
      <c r="AL243" s="54">
        <f>IF(AK243&lt;&gt;"",AK243,N(AL242))</f>
        <v/>
      </c>
    </row>
    <row r="244">
      <c r="A244" t="inlineStr">
        <is>
          <t>CON-0081</t>
        </is>
      </c>
      <c r="B244" t="inlineStr">
        <is>
          <t>Consulting</t>
        </is>
      </c>
      <c r="AB244" t="n">
        <v>81</v>
      </c>
      <c r="AD244" s="52">
        <f>IFERROR(N(IFERROR(INDEX($A244:$AB244,MATCH("Xero Invoiced Ex GST",$A$1:$AB$1,0)),"")),0)</f>
        <v/>
      </c>
      <c r="AE244" s="53">
        <f>IFERROR(INDEX($A244:$AB244,MATCH("Xero Invoice Date",$A$1:$AB$1,0)),"")</f>
        <v/>
      </c>
      <c r="AF244" s="54">
        <f>IF(AND(IFERROR(INDEX($A244:$AB244,MATCH("Xero Invoice No",$A$1:$AB$1,0)),"")&amp;""&lt;&gt;"",ISNUMBER(AE244),AD244&lt;&gt;0),1,0)</f>
        <v/>
      </c>
      <c r="AG244" s="55">
        <f>IF(AF244=1,EOMONTH(AE244,0),"")</f>
        <v/>
      </c>
      <c r="AH244" s="9">
        <f>IF(AF244=1,UPPER(TRIM(IFERROR(INDEX($A244:$AB244,MATCH("Client",$A$1:$AB$1,0)),"")&amp;"")),"")</f>
        <v/>
      </c>
      <c r="AI244" s="9">
        <f>IF(AF244=1,IFERROR(INDEX($A244:$AB244,MATCH("Cost Centre",$A$1:$AB$1,0)),"")&amp;"","")</f>
        <v/>
      </c>
      <c r="AJ244" s="54">
        <f>IF(AND(AF244=1,AE244&gt;=set_FYStart,AE244&lt;=set_AsAt),1,0)</f>
        <v/>
      </c>
      <c r="AK244" s="54">
        <f>IF(AND(AJ244=1,AH244&lt;&gt;"",COUNTIFS($AH$2:AH244,AH244,$AJ$2:AJ244,1)=1),N(AL243)+1,"")</f>
        <v/>
      </c>
      <c r="AL244" s="54">
        <f>IF(AK244&lt;&gt;"",AK244,N(AL243))</f>
        <v/>
      </c>
    </row>
    <row r="245">
      <c r="A245" t="inlineStr">
        <is>
          <t>ONS-0082</t>
        </is>
      </c>
      <c r="B245" t="inlineStr">
        <is>
          <t>Onsite</t>
        </is>
      </c>
      <c r="R245" t="inlineStr">
        <is>
          <t>GST 10%</t>
        </is>
      </c>
      <c r="AB245" t="n">
        <v>82</v>
      </c>
      <c r="AD245" s="52">
        <f>IFERROR(N(IFERROR(INDEX($A245:$AB245,MATCH("Xero Invoiced Ex GST",$A$1:$AB$1,0)),"")),0)</f>
        <v/>
      </c>
      <c r="AE245" s="53">
        <f>IFERROR(INDEX($A245:$AB245,MATCH("Xero Invoice Date",$A$1:$AB$1,0)),"")</f>
        <v/>
      </c>
      <c r="AF245" s="54">
        <f>IF(AND(IFERROR(INDEX($A245:$AB245,MATCH("Xero Invoice No",$A$1:$AB$1,0)),"")&amp;""&lt;&gt;"",ISNUMBER(AE245),AD245&lt;&gt;0),1,0)</f>
        <v/>
      </c>
      <c r="AG245" s="55">
        <f>IF(AF245=1,EOMONTH(AE245,0),"")</f>
        <v/>
      </c>
      <c r="AH245" s="9">
        <f>IF(AF245=1,UPPER(TRIM(IFERROR(INDEX($A245:$AB245,MATCH("Client",$A$1:$AB$1,0)),"")&amp;"")),"")</f>
        <v/>
      </c>
      <c r="AI245" s="9">
        <f>IF(AF245=1,IFERROR(INDEX($A245:$AB245,MATCH("Cost Centre",$A$1:$AB$1,0)),"")&amp;"","")</f>
        <v/>
      </c>
      <c r="AJ245" s="54">
        <f>IF(AND(AF245=1,AE245&gt;=set_FYStart,AE245&lt;=set_AsAt),1,0)</f>
        <v/>
      </c>
      <c r="AK245" s="54">
        <f>IF(AND(AJ245=1,AH245&lt;&gt;"",COUNTIFS($AH$2:AH245,AH245,$AJ$2:AJ245,1)=1),N(AL244)+1,"")</f>
        <v/>
      </c>
      <c r="AL245" s="54">
        <f>IF(AK245&lt;&gt;"",AK245,N(AL244))</f>
        <v/>
      </c>
    </row>
    <row r="246">
      <c r="A246" t="inlineStr">
        <is>
          <t>PRD-0082</t>
        </is>
      </c>
      <c r="B246" t="inlineStr">
        <is>
          <t>Production</t>
        </is>
      </c>
      <c r="C246" t="inlineStr">
        <is>
          <t>2606904V</t>
        </is>
      </c>
      <c r="D246" t="inlineStr">
        <is>
          <t>Symal - Melbourne</t>
        </is>
      </c>
      <c r="E246" t="inlineStr">
        <is>
          <t>Symal FYR 2026</t>
        </is>
      </c>
      <c r="F246" t="n">
        <v>86.5</v>
      </c>
      <c r="G246" t="inlineStr">
        <is>
          <t>INV-10567</t>
        </is>
      </c>
      <c r="H246" s="51" t="n">
        <v>46253</v>
      </c>
      <c r="I246" t="n">
        <v>86.5</v>
      </c>
      <c r="J246" t="n">
        <v>0</v>
      </c>
      <c r="K246" t="inlineStr">
        <is>
          <t>Agrees</t>
        </is>
      </c>
      <c r="M246" t="inlineStr">
        <is>
          <t>Xero check 28-Sep-26: invoice number typed as in Xero</t>
        </is>
      </c>
      <c r="N246" t="inlineStr">
        <is>
          <t>OK</t>
        </is>
      </c>
      <c r="O246" t="inlineStr">
        <is>
          <t>Symal - FYR26 (Melb) - 24.8.26</t>
        </is>
      </c>
      <c r="P246" t="inlineStr">
        <is>
          <t>VIDEO</t>
        </is>
      </c>
      <c r="Q246" t="inlineStr">
        <is>
          <t>Project</t>
        </is>
      </c>
      <c r="R246" t="inlineStr">
        <is>
          <t>GST 10%</t>
        </is>
      </c>
      <c r="S246" t="inlineStr">
        <is>
          <t>42150</t>
        </is>
      </c>
      <c r="T246" t="inlineStr">
        <is>
          <t>6044</t>
        </is>
      </c>
      <c r="U246" t="inlineStr">
        <is>
          <t>Video part of 2606904 - Video Total per job list</t>
        </is>
      </c>
      <c r="V246" t="n">
        <v>8.65</v>
      </c>
      <c r="W246" t="n">
        <v>95.15000000000001</v>
      </c>
      <c r="X246" s="51" t="n">
        <v>46265</v>
      </c>
      <c r="Y246" t="n">
        <v>1</v>
      </c>
      <c r="Z246" t="n">
        <v>86.5</v>
      </c>
      <c r="AA246" t="n">
        <v>86.5</v>
      </c>
      <c r="AB246" t="n">
        <v>82</v>
      </c>
      <c r="AD246" s="52">
        <f>IFERROR(N(IFERROR(INDEX($A246:$AB246,MATCH("Xero Invoiced Ex GST",$A$1:$AB$1,0)),"")),0)</f>
        <v/>
      </c>
      <c r="AE246" s="53">
        <f>IFERROR(INDEX($A246:$AB246,MATCH("Xero Invoice Date",$A$1:$AB$1,0)),"")</f>
        <v/>
      </c>
      <c r="AF246" s="54">
        <f>IF(AND(IFERROR(INDEX($A246:$AB246,MATCH("Xero Invoice No",$A$1:$AB$1,0)),"")&amp;""&lt;&gt;"",ISNUMBER(AE246),AD246&lt;&gt;0),1,0)</f>
        <v/>
      </c>
      <c r="AG246" s="55">
        <f>IF(AF246=1,EOMONTH(AE246,0),"")</f>
        <v/>
      </c>
      <c r="AH246" s="9">
        <f>IF(AF246=1,UPPER(TRIM(IFERROR(INDEX($A246:$AB246,MATCH("Client",$A$1:$AB$1,0)),"")&amp;"")),"")</f>
        <v/>
      </c>
      <c r="AI246" s="9">
        <f>IF(AF246=1,IFERROR(INDEX($A246:$AB246,MATCH("Cost Centre",$A$1:$AB$1,0)),"")&amp;"","")</f>
        <v/>
      </c>
      <c r="AJ246" s="54">
        <f>IF(AND(AF246=1,AE246&gt;=set_FYStart,AE246&lt;=set_AsAt),1,0)</f>
        <v/>
      </c>
      <c r="AK246" s="54">
        <f>IF(AND(AJ246=1,AH246&lt;&gt;"",COUNTIFS($AH$2:AH246,AH246,$AJ$2:AJ246,1)=1),N(AL245)+1,"")</f>
        <v/>
      </c>
      <c r="AL246" s="54">
        <f>IF(AK246&lt;&gt;"",AK246,N(AL245))</f>
        <v/>
      </c>
    </row>
    <row r="247">
      <c r="A247" t="inlineStr">
        <is>
          <t>CON-0082</t>
        </is>
      </c>
      <c r="B247" t="inlineStr">
        <is>
          <t>Consulting</t>
        </is>
      </c>
      <c r="AB247" t="n">
        <v>82</v>
      </c>
      <c r="AD247" s="52">
        <f>IFERROR(N(IFERROR(INDEX($A247:$AB247,MATCH("Xero Invoiced Ex GST",$A$1:$AB$1,0)),"")),0)</f>
        <v/>
      </c>
      <c r="AE247" s="53">
        <f>IFERROR(INDEX($A247:$AB247,MATCH("Xero Invoice Date",$A$1:$AB$1,0)),"")</f>
        <v/>
      </c>
      <c r="AF247" s="54">
        <f>IF(AND(IFERROR(INDEX($A247:$AB247,MATCH("Xero Invoice No",$A$1:$AB$1,0)),"")&amp;""&lt;&gt;"",ISNUMBER(AE247),AD247&lt;&gt;0),1,0)</f>
        <v/>
      </c>
      <c r="AG247" s="55">
        <f>IF(AF247=1,EOMONTH(AE247,0),"")</f>
        <v/>
      </c>
      <c r="AH247" s="9">
        <f>IF(AF247=1,UPPER(TRIM(IFERROR(INDEX($A247:$AB247,MATCH("Client",$A$1:$AB$1,0)),"")&amp;"")),"")</f>
        <v/>
      </c>
      <c r="AI247" s="9">
        <f>IF(AF247=1,IFERROR(INDEX($A247:$AB247,MATCH("Cost Centre",$A$1:$AB$1,0)),"")&amp;"","")</f>
        <v/>
      </c>
      <c r="AJ247" s="54">
        <f>IF(AND(AF247=1,AE247&gt;=set_FYStart,AE247&lt;=set_AsAt),1,0)</f>
        <v/>
      </c>
      <c r="AK247" s="54">
        <f>IF(AND(AJ247=1,AH247&lt;&gt;"",COUNTIFS($AH$2:AH247,AH247,$AJ$2:AJ247,1)=1),N(AL246)+1,"")</f>
        <v/>
      </c>
      <c r="AL247" s="54">
        <f>IF(AK247&lt;&gt;"",AK247,N(AL246))</f>
        <v/>
      </c>
    </row>
    <row r="248">
      <c r="A248" t="inlineStr">
        <is>
          <t>ONS-0083</t>
        </is>
      </c>
      <c r="B248" t="inlineStr">
        <is>
          <t>Onsite</t>
        </is>
      </c>
      <c r="R248" t="inlineStr">
        <is>
          <t>GST 10%</t>
        </is>
      </c>
      <c r="AB248" t="n">
        <v>83</v>
      </c>
      <c r="AD248" s="52">
        <f>IFERROR(N(IFERROR(INDEX($A248:$AB248,MATCH("Xero Invoiced Ex GST",$A$1:$AB$1,0)),"")),0)</f>
        <v/>
      </c>
      <c r="AE248" s="53">
        <f>IFERROR(INDEX($A248:$AB248,MATCH("Xero Invoice Date",$A$1:$AB$1,0)),"")</f>
        <v/>
      </c>
      <c r="AF248" s="54">
        <f>IF(AND(IFERROR(INDEX($A248:$AB248,MATCH("Xero Invoice No",$A$1:$AB$1,0)),"")&amp;""&lt;&gt;"",ISNUMBER(AE248),AD248&lt;&gt;0),1,0)</f>
        <v/>
      </c>
      <c r="AG248" s="55">
        <f>IF(AF248=1,EOMONTH(AE248,0),"")</f>
        <v/>
      </c>
      <c r="AH248" s="9">
        <f>IF(AF248=1,UPPER(TRIM(IFERROR(INDEX($A248:$AB248,MATCH("Client",$A$1:$AB$1,0)),"")&amp;"")),"")</f>
        <v/>
      </c>
      <c r="AI248" s="9">
        <f>IF(AF248=1,IFERROR(INDEX($A248:$AB248,MATCH("Cost Centre",$A$1:$AB$1,0)),"")&amp;"","")</f>
        <v/>
      </c>
      <c r="AJ248" s="54">
        <f>IF(AND(AF248=1,AE248&gt;=set_FYStart,AE248&lt;=set_AsAt),1,0)</f>
        <v/>
      </c>
      <c r="AK248" s="54">
        <f>IF(AND(AJ248=1,AH248&lt;&gt;"",COUNTIFS($AH$2:AH248,AH248,$AJ$2:AJ248,1)=1),N(AL247)+1,"")</f>
        <v/>
      </c>
      <c r="AL248" s="54">
        <f>IF(AK248&lt;&gt;"",AK248,N(AL247))</f>
        <v/>
      </c>
    </row>
    <row r="249">
      <c r="A249" t="inlineStr">
        <is>
          <t>PRD-0083</t>
        </is>
      </c>
      <c r="B249" t="inlineStr">
        <is>
          <t>Production</t>
        </is>
      </c>
      <c r="C249" t="inlineStr">
        <is>
          <t>26061609V</t>
        </is>
      </c>
      <c r="D249" t="inlineStr">
        <is>
          <t>APA</t>
        </is>
      </c>
      <c r="E249" t="inlineStr">
        <is>
          <t>APA - All Hands Package FY27 (PO-00030766)</t>
        </is>
      </c>
      <c r="F249" t="n">
        <v>4308</v>
      </c>
      <c r="G249" t="inlineStr">
        <is>
          <t>INV-10521</t>
        </is>
      </c>
      <c r="H249" s="51" t="n">
        <v>46218</v>
      </c>
      <c r="I249" t="n">
        <v>4308</v>
      </c>
      <c r="J249" t="n">
        <v>0</v>
      </c>
      <c r="K249" t="inlineStr">
        <is>
          <t>Agrees</t>
        </is>
      </c>
      <c r="N249" t="inlineStr">
        <is>
          <t>OK</t>
        </is>
      </c>
      <c r="O249" t="inlineStr">
        <is>
          <t>APA Qtly All Hands Perth - May 2027</t>
        </is>
      </c>
      <c r="P249" t="inlineStr">
        <is>
          <t>VIDEO</t>
        </is>
      </c>
      <c r="Q249" t="inlineStr">
        <is>
          <t>Project</t>
        </is>
      </c>
      <c r="R249" t="inlineStr">
        <is>
          <t>GST 10%</t>
        </is>
      </c>
      <c r="S249" t="inlineStr">
        <is>
          <t>42150</t>
        </is>
      </c>
      <c r="T249" t="inlineStr">
        <is>
          <t>Proj: 0017</t>
        </is>
      </c>
      <c r="U249" t="inlineStr">
        <is>
          <t>Video part of 26061609 - Video Total per job list</t>
        </is>
      </c>
      <c r="V249" t="n">
        <v>430.8</v>
      </c>
      <c r="W249" t="n">
        <v>4738.8</v>
      </c>
      <c r="X249" s="51" t="n">
        <v>46234</v>
      </c>
      <c r="Y249" t="n">
        <v>1</v>
      </c>
      <c r="Z249" t="n">
        <v>4308</v>
      </c>
      <c r="AA249" t="n">
        <v>4308</v>
      </c>
      <c r="AB249" t="n">
        <v>83</v>
      </c>
      <c r="AD249" s="52">
        <f>IFERROR(N(IFERROR(INDEX($A249:$AB249,MATCH("Xero Invoiced Ex GST",$A$1:$AB$1,0)),"")),0)</f>
        <v/>
      </c>
      <c r="AE249" s="53">
        <f>IFERROR(INDEX($A249:$AB249,MATCH("Xero Invoice Date",$A$1:$AB$1,0)),"")</f>
        <v/>
      </c>
      <c r="AF249" s="54">
        <f>IF(AND(IFERROR(INDEX($A249:$AB249,MATCH("Xero Invoice No",$A$1:$AB$1,0)),"")&amp;""&lt;&gt;"",ISNUMBER(AE249),AD249&lt;&gt;0),1,0)</f>
        <v/>
      </c>
      <c r="AG249" s="55">
        <f>IF(AF249=1,EOMONTH(AE249,0),"")</f>
        <v/>
      </c>
      <c r="AH249" s="9">
        <f>IF(AF249=1,UPPER(TRIM(IFERROR(INDEX($A249:$AB249,MATCH("Client",$A$1:$AB$1,0)),"")&amp;"")),"")</f>
        <v/>
      </c>
      <c r="AI249" s="9">
        <f>IF(AF249=1,IFERROR(INDEX($A249:$AB249,MATCH("Cost Centre",$A$1:$AB$1,0)),"")&amp;"","")</f>
        <v/>
      </c>
      <c r="AJ249" s="54">
        <f>IF(AND(AF249=1,AE249&gt;=set_FYStart,AE249&lt;=set_AsAt),1,0)</f>
        <v/>
      </c>
      <c r="AK249" s="54">
        <f>IF(AND(AJ249=1,AH249&lt;&gt;"",COUNTIFS($AH$2:AH249,AH249,$AJ$2:AJ249,1)=1),N(AL248)+1,"")</f>
        <v/>
      </c>
      <c r="AL249" s="54">
        <f>IF(AK249&lt;&gt;"",AK249,N(AL248))</f>
        <v/>
      </c>
    </row>
    <row r="250">
      <c r="A250" t="inlineStr">
        <is>
          <t>CON-0083</t>
        </is>
      </c>
      <c r="B250" t="inlineStr">
        <is>
          <t>Consulting</t>
        </is>
      </c>
      <c r="AB250" t="n">
        <v>83</v>
      </c>
      <c r="AD250" s="52">
        <f>IFERROR(N(IFERROR(INDEX($A250:$AB250,MATCH("Xero Invoiced Ex GST",$A$1:$AB$1,0)),"")),0)</f>
        <v/>
      </c>
      <c r="AE250" s="53">
        <f>IFERROR(INDEX($A250:$AB250,MATCH("Xero Invoice Date",$A$1:$AB$1,0)),"")</f>
        <v/>
      </c>
      <c r="AF250" s="54">
        <f>IF(AND(IFERROR(INDEX($A250:$AB250,MATCH("Xero Invoice No",$A$1:$AB$1,0)),"")&amp;""&lt;&gt;"",ISNUMBER(AE250),AD250&lt;&gt;0),1,0)</f>
        <v/>
      </c>
      <c r="AG250" s="55">
        <f>IF(AF250=1,EOMONTH(AE250,0),"")</f>
        <v/>
      </c>
      <c r="AH250" s="9">
        <f>IF(AF250=1,UPPER(TRIM(IFERROR(INDEX($A250:$AB250,MATCH("Client",$A$1:$AB$1,0)),"")&amp;"")),"")</f>
        <v/>
      </c>
      <c r="AI250" s="9">
        <f>IF(AF250=1,IFERROR(INDEX($A250:$AB250,MATCH("Cost Centre",$A$1:$AB$1,0)),"")&amp;"","")</f>
        <v/>
      </c>
      <c r="AJ250" s="54">
        <f>IF(AND(AF250=1,AE250&gt;=set_FYStart,AE250&lt;=set_AsAt),1,0)</f>
        <v/>
      </c>
      <c r="AK250" s="54">
        <f>IF(AND(AJ250=1,AH250&lt;&gt;"",COUNTIFS($AH$2:AH250,AH250,$AJ$2:AJ250,1)=1),N(AL249)+1,"")</f>
        <v/>
      </c>
      <c r="AL250" s="54">
        <f>IF(AK250&lt;&gt;"",AK250,N(AL249))</f>
        <v/>
      </c>
    </row>
    <row r="251">
      <c r="A251" t="inlineStr">
        <is>
          <t>ONS-0084</t>
        </is>
      </c>
      <c r="B251" t="inlineStr">
        <is>
          <t>Onsite</t>
        </is>
      </c>
      <c r="R251" t="inlineStr">
        <is>
          <t>GST 10%</t>
        </is>
      </c>
      <c r="AB251" t="n">
        <v>84</v>
      </c>
      <c r="AD251" s="52">
        <f>IFERROR(N(IFERROR(INDEX($A251:$AB251,MATCH("Xero Invoiced Ex GST",$A$1:$AB$1,0)),"")),0)</f>
        <v/>
      </c>
      <c r="AE251" s="53">
        <f>IFERROR(INDEX($A251:$AB251,MATCH("Xero Invoice Date",$A$1:$AB$1,0)),"")</f>
        <v/>
      </c>
      <c r="AF251" s="54">
        <f>IF(AND(IFERROR(INDEX($A251:$AB251,MATCH("Xero Invoice No",$A$1:$AB$1,0)),"")&amp;""&lt;&gt;"",ISNUMBER(AE251),AD251&lt;&gt;0),1,0)</f>
        <v/>
      </c>
      <c r="AG251" s="55">
        <f>IF(AF251=1,EOMONTH(AE251,0),"")</f>
        <v/>
      </c>
      <c r="AH251" s="9">
        <f>IF(AF251=1,UPPER(TRIM(IFERROR(INDEX($A251:$AB251,MATCH("Client",$A$1:$AB$1,0)),"")&amp;"")),"")</f>
        <v/>
      </c>
      <c r="AI251" s="9">
        <f>IF(AF251=1,IFERROR(INDEX($A251:$AB251,MATCH("Cost Centre",$A$1:$AB$1,0)),"")&amp;"","")</f>
        <v/>
      </c>
      <c r="AJ251" s="54">
        <f>IF(AND(AF251=1,AE251&gt;=set_FYStart,AE251&lt;=set_AsAt),1,0)</f>
        <v/>
      </c>
      <c r="AK251" s="54">
        <f>IF(AND(AJ251=1,AH251&lt;&gt;"",COUNTIFS($AH$2:AH251,AH251,$AJ$2:AJ251,1)=1),N(AL250)+1,"")</f>
        <v/>
      </c>
      <c r="AL251" s="54">
        <f>IF(AK251&lt;&gt;"",AK251,N(AL250))</f>
        <v/>
      </c>
    </row>
    <row r="252">
      <c r="A252" t="inlineStr">
        <is>
          <t>PRD-0084</t>
        </is>
      </c>
      <c r="B252" t="inlineStr">
        <is>
          <t>Production</t>
        </is>
      </c>
      <c r="C252" t="inlineStr">
        <is>
          <t>26061602V</t>
        </is>
      </c>
      <c r="D252" t="inlineStr">
        <is>
          <t>ASX</t>
        </is>
      </c>
      <c r="E252" t="inlineStr">
        <is>
          <t>CEO Connect (Extended Results)</t>
        </is>
      </c>
      <c r="F252" t="n">
        <v>1500</v>
      </c>
      <c r="G252" t="inlineStr">
        <is>
          <t>INV-10624</t>
        </is>
      </c>
      <c r="H252" s="51" t="n">
        <v>46280</v>
      </c>
      <c r="I252" t="n">
        <v>1500</v>
      </c>
      <c r="J252" t="n">
        <v>0</v>
      </c>
      <c r="K252" t="inlineStr">
        <is>
          <t>Agrees</t>
        </is>
      </c>
      <c r="M252" t="inlineStr">
        <is>
          <t>Xero check 28-Sep-26: invoice found in Xero</t>
        </is>
      </c>
      <c r="N252" t="inlineStr">
        <is>
          <t>OK</t>
        </is>
      </c>
      <c r="O252" t="inlineStr">
        <is>
          <t>ASX - CEO Connect (Extended) - 1.9.26</t>
        </is>
      </c>
      <c r="P252" t="inlineStr">
        <is>
          <t>VIDEO</t>
        </is>
      </c>
      <c r="Q252" t="inlineStr">
        <is>
          <t>Project</t>
        </is>
      </c>
      <c r="R252" t="inlineStr">
        <is>
          <t>GST 10%</t>
        </is>
      </c>
      <c r="S252" t="inlineStr">
        <is>
          <t>42150</t>
        </is>
      </c>
      <c r="T252" t="inlineStr">
        <is>
          <t>5849</t>
        </is>
      </c>
      <c r="U252" t="inlineStr">
        <is>
          <t>Video part of 26061602 - Video Total per job list</t>
        </is>
      </c>
      <c r="V252" t="n">
        <v>150</v>
      </c>
      <c r="W252" t="n">
        <v>1650</v>
      </c>
      <c r="X252" s="51" t="n">
        <v>46295</v>
      </c>
      <c r="Y252" t="n">
        <v>1</v>
      </c>
      <c r="Z252" t="n">
        <v>1500</v>
      </c>
      <c r="AA252" t="n">
        <v>1500</v>
      </c>
      <c r="AB252" t="n">
        <v>84</v>
      </c>
      <c r="AD252" s="52">
        <f>IFERROR(N(IFERROR(INDEX($A252:$AB252,MATCH("Xero Invoiced Ex GST",$A$1:$AB$1,0)),"")),0)</f>
        <v/>
      </c>
      <c r="AE252" s="53">
        <f>IFERROR(INDEX($A252:$AB252,MATCH("Xero Invoice Date",$A$1:$AB$1,0)),"")</f>
        <v/>
      </c>
      <c r="AF252" s="54">
        <f>IF(AND(IFERROR(INDEX($A252:$AB252,MATCH("Xero Invoice No",$A$1:$AB$1,0)),"")&amp;""&lt;&gt;"",ISNUMBER(AE252),AD252&lt;&gt;0),1,0)</f>
        <v/>
      </c>
      <c r="AG252" s="55">
        <f>IF(AF252=1,EOMONTH(AE252,0),"")</f>
        <v/>
      </c>
      <c r="AH252" s="9">
        <f>IF(AF252=1,UPPER(TRIM(IFERROR(INDEX($A252:$AB252,MATCH("Client",$A$1:$AB$1,0)),"")&amp;"")),"")</f>
        <v/>
      </c>
      <c r="AI252" s="9">
        <f>IF(AF252=1,IFERROR(INDEX($A252:$AB252,MATCH("Cost Centre",$A$1:$AB$1,0)),"")&amp;"","")</f>
        <v/>
      </c>
      <c r="AJ252" s="54">
        <f>IF(AND(AF252=1,AE252&gt;=set_FYStart,AE252&lt;=set_AsAt),1,0)</f>
        <v/>
      </c>
      <c r="AK252" s="54">
        <f>IF(AND(AJ252=1,AH252&lt;&gt;"",COUNTIFS($AH$2:AH252,AH252,$AJ$2:AJ252,1)=1),N(AL251)+1,"")</f>
        <v/>
      </c>
      <c r="AL252" s="54">
        <f>IF(AK252&lt;&gt;"",AK252,N(AL251))</f>
        <v/>
      </c>
    </row>
    <row r="253">
      <c r="A253" t="inlineStr">
        <is>
          <t>CON-0084</t>
        </is>
      </c>
      <c r="B253" t="inlineStr">
        <is>
          <t>Consulting</t>
        </is>
      </c>
      <c r="AB253" t="n">
        <v>84</v>
      </c>
      <c r="AD253" s="52">
        <f>IFERROR(N(IFERROR(INDEX($A253:$AB253,MATCH("Xero Invoiced Ex GST",$A$1:$AB$1,0)),"")),0)</f>
        <v/>
      </c>
      <c r="AE253" s="53">
        <f>IFERROR(INDEX($A253:$AB253,MATCH("Xero Invoice Date",$A$1:$AB$1,0)),"")</f>
        <v/>
      </c>
      <c r="AF253" s="54">
        <f>IF(AND(IFERROR(INDEX($A253:$AB253,MATCH("Xero Invoice No",$A$1:$AB$1,0)),"")&amp;""&lt;&gt;"",ISNUMBER(AE253),AD253&lt;&gt;0),1,0)</f>
        <v/>
      </c>
      <c r="AG253" s="55">
        <f>IF(AF253=1,EOMONTH(AE253,0),"")</f>
        <v/>
      </c>
      <c r="AH253" s="9">
        <f>IF(AF253=1,UPPER(TRIM(IFERROR(INDEX($A253:$AB253,MATCH("Client",$A$1:$AB$1,0)),"")&amp;"")),"")</f>
        <v/>
      </c>
      <c r="AI253" s="9">
        <f>IF(AF253=1,IFERROR(INDEX($A253:$AB253,MATCH("Cost Centre",$A$1:$AB$1,0)),"")&amp;"","")</f>
        <v/>
      </c>
      <c r="AJ253" s="54">
        <f>IF(AND(AF253=1,AE253&gt;=set_FYStart,AE253&lt;=set_AsAt),1,0)</f>
        <v/>
      </c>
      <c r="AK253" s="54">
        <f>IF(AND(AJ253=1,AH253&lt;&gt;"",COUNTIFS($AH$2:AH253,AH253,$AJ$2:AJ253,1)=1),N(AL252)+1,"")</f>
        <v/>
      </c>
      <c r="AL253" s="54">
        <f>IF(AK253&lt;&gt;"",AK253,N(AL252))</f>
        <v/>
      </c>
    </row>
    <row r="254">
      <c r="A254" t="inlineStr">
        <is>
          <t>ONS-0085</t>
        </is>
      </c>
      <c r="B254" t="inlineStr">
        <is>
          <t>Onsite</t>
        </is>
      </c>
      <c r="R254" t="inlineStr">
        <is>
          <t>GST 10%</t>
        </is>
      </c>
      <c r="AB254" t="n">
        <v>85</v>
      </c>
      <c r="AD254" s="52">
        <f>IFERROR(N(IFERROR(INDEX($A254:$AB254,MATCH("Xero Invoiced Ex GST",$A$1:$AB$1,0)),"")),0)</f>
        <v/>
      </c>
      <c r="AE254" s="53">
        <f>IFERROR(INDEX($A254:$AB254,MATCH("Xero Invoice Date",$A$1:$AB$1,0)),"")</f>
        <v/>
      </c>
      <c r="AF254" s="54">
        <f>IF(AND(IFERROR(INDEX($A254:$AB254,MATCH("Xero Invoice No",$A$1:$AB$1,0)),"")&amp;""&lt;&gt;"",ISNUMBER(AE254),AD254&lt;&gt;0),1,0)</f>
        <v/>
      </c>
      <c r="AG254" s="55">
        <f>IF(AF254=1,EOMONTH(AE254,0),"")</f>
        <v/>
      </c>
      <c r="AH254" s="9">
        <f>IF(AF254=1,UPPER(TRIM(IFERROR(INDEX($A254:$AB254,MATCH("Client",$A$1:$AB$1,0)),"")&amp;"")),"")</f>
        <v/>
      </c>
      <c r="AI254" s="9">
        <f>IF(AF254=1,IFERROR(INDEX($A254:$AB254,MATCH("Cost Centre",$A$1:$AB$1,0)),"")&amp;"","")</f>
        <v/>
      </c>
      <c r="AJ254" s="54">
        <f>IF(AND(AF254=1,AE254&gt;=set_FYStart,AE254&lt;=set_AsAt),1,0)</f>
        <v/>
      </c>
      <c r="AK254" s="54">
        <f>IF(AND(AJ254=1,AH254&lt;&gt;"",COUNTIFS($AH$2:AH254,AH254,$AJ$2:AJ254,1)=1),N(AL253)+1,"")</f>
        <v/>
      </c>
      <c r="AL254" s="54">
        <f>IF(AK254&lt;&gt;"",AK254,N(AL253))</f>
        <v/>
      </c>
    </row>
    <row r="255">
      <c r="A255" t="inlineStr">
        <is>
          <t>PRD-0085</t>
        </is>
      </c>
      <c r="B255" t="inlineStr">
        <is>
          <t>Production</t>
        </is>
      </c>
      <c r="C255" t="inlineStr">
        <is>
          <t>26071701V</t>
        </is>
      </c>
      <c r="D255" t="inlineStr">
        <is>
          <t>ASX</t>
        </is>
      </c>
      <c r="E255" t="inlineStr">
        <is>
          <t>ASX Live 1.9.26</t>
        </is>
      </c>
      <c r="F255" t="n">
        <v>1508</v>
      </c>
      <c r="G255" t="inlineStr">
        <is>
          <t>INV-10623</t>
        </is>
      </c>
      <c r="H255" s="51" t="n">
        <v>46280</v>
      </c>
      <c r="I255" t="n">
        <v>1508</v>
      </c>
      <c r="J255" t="n">
        <v>0</v>
      </c>
      <c r="K255" t="inlineStr">
        <is>
          <t>Agrees</t>
        </is>
      </c>
      <c r="M255" t="inlineStr">
        <is>
          <t>Xero check 28-Sep-26: invoice found in Xero</t>
        </is>
      </c>
      <c r="N255" t="inlineStr">
        <is>
          <t>OK</t>
        </is>
      </c>
      <c r="O255" t="inlineStr">
        <is>
          <t>ASX Live - 9.9.26</t>
        </is>
      </c>
      <c r="P255" t="inlineStr">
        <is>
          <t>VIDEO</t>
        </is>
      </c>
      <c r="Q255" t="inlineStr">
        <is>
          <t>Project</t>
        </is>
      </c>
      <c r="R255" t="inlineStr">
        <is>
          <t>GST 10%</t>
        </is>
      </c>
      <c r="S255" t="inlineStr">
        <is>
          <t>42150</t>
        </is>
      </c>
      <c r="T255" t="inlineStr">
        <is>
          <t>6143</t>
        </is>
      </c>
      <c r="U255" t="inlineStr">
        <is>
          <t>Video part of 26071701 - Video Total per job list</t>
        </is>
      </c>
      <c r="V255" t="n">
        <v>150.8</v>
      </c>
      <c r="W255" t="n">
        <v>1658.8</v>
      </c>
      <c r="X255" s="51" t="n">
        <v>46295</v>
      </c>
      <c r="Y255" t="n">
        <v>1</v>
      </c>
      <c r="Z255" t="n">
        <v>1508</v>
      </c>
      <c r="AA255" t="n">
        <v>1508</v>
      </c>
      <c r="AB255" t="n">
        <v>85</v>
      </c>
      <c r="AD255" s="52">
        <f>IFERROR(N(IFERROR(INDEX($A255:$AB255,MATCH("Xero Invoiced Ex GST",$A$1:$AB$1,0)),"")),0)</f>
        <v/>
      </c>
      <c r="AE255" s="53">
        <f>IFERROR(INDEX($A255:$AB255,MATCH("Xero Invoice Date",$A$1:$AB$1,0)),"")</f>
        <v/>
      </c>
      <c r="AF255" s="54">
        <f>IF(AND(IFERROR(INDEX($A255:$AB255,MATCH("Xero Invoice No",$A$1:$AB$1,0)),"")&amp;""&lt;&gt;"",ISNUMBER(AE255),AD255&lt;&gt;0),1,0)</f>
        <v/>
      </c>
      <c r="AG255" s="55">
        <f>IF(AF255=1,EOMONTH(AE255,0),"")</f>
        <v/>
      </c>
      <c r="AH255" s="9">
        <f>IF(AF255=1,UPPER(TRIM(IFERROR(INDEX($A255:$AB255,MATCH("Client",$A$1:$AB$1,0)),"")&amp;"")),"")</f>
        <v/>
      </c>
      <c r="AI255" s="9">
        <f>IF(AF255=1,IFERROR(INDEX($A255:$AB255,MATCH("Cost Centre",$A$1:$AB$1,0)),"")&amp;"","")</f>
        <v/>
      </c>
      <c r="AJ255" s="54">
        <f>IF(AND(AF255=1,AE255&gt;=set_FYStart,AE255&lt;=set_AsAt),1,0)</f>
        <v/>
      </c>
      <c r="AK255" s="54">
        <f>IF(AND(AJ255=1,AH255&lt;&gt;"",COUNTIFS($AH$2:AH255,AH255,$AJ$2:AJ255,1)=1),N(AL254)+1,"")</f>
        <v/>
      </c>
      <c r="AL255" s="54">
        <f>IF(AK255&lt;&gt;"",AK255,N(AL254))</f>
        <v/>
      </c>
    </row>
    <row r="256">
      <c r="A256" t="inlineStr">
        <is>
          <t>CON-0085</t>
        </is>
      </c>
      <c r="B256" t="inlineStr">
        <is>
          <t>Consulting</t>
        </is>
      </c>
      <c r="AB256" t="n">
        <v>85</v>
      </c>
      <c r="AD256" s="52">
        <f>IFERROR(N(IFERROR(INDEX($A256:$AB256,MATCH("Xero Invoiced Ex GST",$A$1:$AB$1,0)),"")),0)</f>
        <v/>
      </c>
      <c r="AE256" s="53">
        <f>IFERROR(INDEX($A256:$AB256,MATCH("Xero Invoice Date",$A$1:$AB$1,0)),"")</f>
        <v/>
      </c>
      <c r="AF256" s="54">
        <f>IF(AND(IFERROR(INDEX($A256:$AB256,MATCH("Xero Invoice No",$A$1:$AB$1,0)),"")&amp;""&lt;&gt;"",ISNUMBER(AE256),AD256&lt;&gt;0),1,0)</f>
        <v/>
      </c>
      <c r="AG256" s="55">
        <f>IF(AF256=1,EOMONTH(AE256,0),"")</f>
        <v/>
      </c>
      <c r="AH256" s="9">
        <f>IF(AF256=1,UPPER(TRIM(IFERROR(INDEX($A256:$AB256,MATCH("Client",$A$1:$AB$1,0)),"")&amp;"")),"")</f>
        <v/>
      </c>
      <c r="AI256" s="9">
        <f>IF(AF256=1,IFERROR(INDEX($A256:$AB256,MATCH("Cost Centre",$A$1:$AB$1,0)),"")&amp;"","")</f>
        <v/>
      </c>
      <c r="AJ256" s="54">
        <f>IF(AND(AF256=1,AE256&gt;=set_FYStart,AE256&lt;=set_AsAt),1,0)</f>
        <v/>
      </c>
      <c r="AK256" s="54">
        <f>IF(AND(AJ256=1,AH256&lt;&gt;"",COUNTIFS($AH$2:AH256,AH256,$AJ$2:AJ256,1)=1),N(AL255)+1,"")</f>
        <v/>
      </c>
      <c r="AL256" s="54">
        <f>IF(AK256&lt;&gt;"",AK256,N(AL255))</f>
        <v/>
      </c>
    </row>
    <row r="257">
      <c r="A257" t="inlineStr">
        <is>
          <t>ONS-0086</t>
        </is>
      </c>
      <c r="B257" t="inlineStr">
        <is>
          <t>Onsite</t>
        </is>
      </c>
      <c r="R257" t="inlineStr">
        <is>
          <t>GST 10%</t>
        </is>
      </c>
      <c r="AB257" t="n">
        <v>86</v>
      </c>
      <c r="AD257" s="52">
        <f>IFERROR(N(IFERROR(INDEX($A257:$AB257,MATCH("Xero Invoiced Ex GST",$A$1:$AB$1,0)),"")),0)</f>
        <v/>
      </c>
      <c r="AE257" s="53">
        <f>IFERROR(INDEX($A257:$AB257,MATCH("Xero Invoice Date",$A$1:$AB$1,0)),"")</f>
        <v/>
      </c>
      <c r="AF257" s="54">
        <f>IF(AND(IFERROR(INDEX($A257:$AB257,MATCH("Xero Invoice No",$A$1:$AB$1,0)),"")&amp;""&lt;&gt;"",ISNUMBER(AE257),AD257&lt;&gt;0),1,0)</f>
        <v/>
      </c>
      <c r="AG257" s="55">
        <f>IF(AF257=1,EOMONTH(AE257,0),"")</f>
        <v/>
      </c>
      <c r="AH257" s="9">
        <f>IF(AF257=1,UPPER(TRIM(IFERROR(INDEX($A257:$AB257,MATCH("Client",$A$1:$AB$1,0)),"")&amp;"")),"")</f>
        <v/>
      </c>
      <c r="AI257" s="9">
        <f>IF(AF257=1,IFERROR(INDEX($A257:$AB257,MATCH("Cost Centre",$A$1:$AB$1,0)),"")&amp;"","")</f>
        <v/>
      </c>
      <c r="AJ257" s="54">
        <f>IF(AND(AF257=1,AE257&gt;=set_FYStart,AE257&lt;=set_AsAt),1,0)</f>
        <v/>
      </c>
      <c r="AK257" s="54">
        <f>IF(AND(AJ257=1,AH257&lt;&gt;"",COUNTIFS($AH$2:AH257,AH257,$AJ$2:AJ257,1)=1),N(AL256)+1,"")</f>
        <v/>
      </c>
      <c r="AL257" s="54">
        <f>IF(AK257&lt;&gt;"",AK257,N(AL256))</f>
        <v/>
      </c>
    </row>
    <row r="258">
      <c r="A258" t="inlineStr">
        <is>
          <t>PRD-0086</t>
        </is>
      </c>
      <c r="B258" t="inlineStr">
        <is>
          <t>Production</t>
        </is>
      </c>
      <c r="C258" t="inlineStr">
        <is>
          <t>26032302V</t>
        </is>
      </c>
      <c r="D258" t="inlineStr">
        <is>
          <t>RSNSW</t>
        </is>
      </c>
      <c r="E258" t="inlineStr">
        <is>
          <t>Ordinary General Meeting 2.9.26</t>
        </is>
      </c>
      <c r="F258" t="n">
        <v>1029</v>
      </c>
      <c r="G258" t="inlineStr">
        <is>
          <t>INV-10627</t>
        </is>
      </c>
      <c r="H258" s="51" t="n">
        <v>46280</v>
      </c>
      <c r="I258" t="n">
        <v>1029</v>
      </c>
      <c r="J258" t="n">
        <v>0</v>
      </c>
      <c r="K258" t="inlineStr">
        <is>
          <t>Agrees</t>
        </is>
      </c>
      <c r="M258" t="inlineStr">
        <is>
          <t>Xero check 28-Sep-26: invoice found in Xero</t>
        </is>
      </c>
      <c r="N258" t="inlineStr">
        <is>
          <t>OK</t>
        </is>
      </c>
      <c r="O258" t="inlineStr">
        <is>
          <t>RSNSW - OGM - 2.9.2026</t>
        </is>
      </c>
      <c r="P258" t="inlineStr">
        <is>
          <t>VIDEO</t>
        </is>
      </c>
      <c r="Q258" t="inlineStr">
        <is>
          <t>Project</t>
        </is>
      </c>
      <c r="R258" t="inlineStr">
        <is>
          <t>GST 10%</t>
        </is>
      </c>
      <c r="S258" t="inlineStr">
        <is>
          <t>42150</t>
        </is>
      </c>
      <c r="T258" t="inlineStr">
        <is>
          <t>5925</t>
        </is>
      </c>
      <c r="U258" t="inlineStr">
        <is>
          <t>Video part of 26032302 - Video Total per job list</t>
        </is>
      </c>
      <c r="V258" t="n">
        <v>102.9</v>
      </c>
      <c r="W258" t="n">
        <v>1131.9</v>
      </c>
      <c r="X258" s="51" t="n">
        <v>46295</v>
      </c>
      <c r="Y258" t="n">
        <v>1</v>
      </c>
      <c r="Z258" t="n">
        <v>1029</v>
      </c>
      <c r="AA258" t="n">
        <v>1029</v>
      </c>
      <c r="AB258" t="n">
        <v>86</v>
      </c>
      <c r="AD258" s="52">
        <f>IFERROR(N(IFERROR(INDEX($A258:$AB258,MATCH("Xero Invoiced Ex GST",$A$1:$AB$1,0)),"")),0)</f>
        <v/>
      </c>
      <c r="AE258" s="53">
        <f>IFERROR(INDEX($A258:$AB258,MATCH("Xero Invoice Date",$A$1:$AB$1,0)),"")</f>
        <v/>
      </c>
      <c r="AF258" s="54">
        <f>IF(AND(IFERROR(INDEX($A258:$AB258,MATCH("Xero Invoice No",$A$1:$AB$1,0)),"")&amp;""&lt;&gt;"",ISNUMBER(AE258),AD258&lt;&gt;0),1,0)</f>
        <v/>
      </c>
      <c r="AG258" s="55">
        <f>IF(AF258=1,EOMONTH(AE258,0),"")</f>
        <v/>
      </c>
      <c r="AH258" s="9">
        <f>IF(AF258=1,UPPER(TRIM(IFERROR(INDEX($A258:$AB258,MATCH("Client",$A$1:$AB$1,0)),"")&amp;"")),"")</f>
        <v/>
      </c>
      <c r="AI258" s="9">
        <f>IF(AF258=1,IFERROR(INDEX($A258:$AB258,MATCH("Cost Centre",$A$1:$AB$1,0)),"")&amp;"","")</f>
        <v/>
      </c>
      <c r="AJ258" s="54">
        <f>IF(AND(AF258=1,AE258&gt;=set_FYStart,AE258&lt;=set_AsAt),1,0)</f>
        <v/>
      </c>
      <c r="AK258" s="54">
        <f>IF(AND(AJ258=1,AH258&lt;&gt;"",COUNTIFS($AH$2:AH258,AH258,$AJ$2:AJ258,1)=1),N(AL257)+1,"")</f>
        <v/>
      </c>
      <c r="AL258" s="54">
        <f>IF(AK258&lt;&gt;"",AK258,N(AL257))</f>
        <v/>
      </c>
    </row>
    <row r="259">
      <c r="A259" t="inlineStr">
        <is>
          <t>CON-0086</t>
        </is>
      </c>
      <c r="B259" t="inlineStr">
        <is>
          <t>Consulting</t>
        </is>
      </c>
      <c r="AB259" t="n">
        <v>86</v>
      </c>
      <c r="AD259" s="52">
        <f>IFERROR(N(IFERROR(INDEX($A259:$AB259,MATCH("Xero Invoiced Ex GST",$A$1:$AB$1,0)),"")),0)</f>
        <v/>
      </c>
      <c r="AE259" s="53">
        <f>IFERROR(INDEX($A259:$AB259,MATCH("Xero Invoice Date",$A$1:$AB$1,0)),"")</f>
        <v/>
      </c>
      <c r="AF259" s="54">
        <f>IF(AND(IFERROR(INDEX($A259:$AB259,MATCH("Xero Invoice No",$A$1:$AB$1,0)),"")&amp;""&lt;&gt;"",ISNUMBER(AE259),AD259&lt;&gt;0),1,0)</f>
        <v/>
      </c>
      <c r="AG259" s="55">
        <f>IF(AF259=1,EOMONTH(AE259,0),"")</f>
        <v/>
      </c>
      <c r="AH259" s="9">
        <f>IF(AF259=1,UPPER(TRIM(IFERROR(INDEX($A259:$AB259,MATCH("Client",$A$1:$AB$1,0)),"")&amp;"")),"")</f>
        <v/>
      </c>
      <c r="AI259" s="9">
        <f>IF(AF259=1,IFERROR(INDEX($A259:$AB259,MATCH("Cost Centre",$A$1:$AB$1,0)),"")&amp;"","")</f>
        <v/>
      </c>
      <c r="AJ259" s="54">
        <f>IF(AND(AF259=1,AE259&gt;=set_FYStart,AE259&lt;=set_AsAt),1,0)</f>
        <v/>
      </c>
      <c r="AK259" s="54">
        <f>IF(AND(AJ259=1,AH259&lt;&gt;"",COUNTIFS($AH$2:AH259,AH259,$AJ$2:AJ259,1)=1),N(AL258)+1,"")</f>
        <v/>
      </c>
      <c r="AL259" s="54">
        <f>IF(AK259&lt;&gt;"",AK259,N(AL258))</f>
        <v/>
      </c>
    </row>
    <row r="260">
      <c r="A260" t="inlineStr">
        <is>
          <t>ONS-0087</t>
        </is>
      </c>
      <c r="B260" t="inlineStr">
        <is>
          <t>Onsite</t>
        </is>
      </c>
      <c r="R260" t="inlineStr">
        <is>
          <t>GST 10%</t>
        </is>
      </c>
      <c r="AB260" t="n">
        <v>87</v>
      </c>
      <c r="AD260" s="52">
        <f>IFERROR(N(IFERROR(INDEX($A260:$AB260,MATCH("Xero Invoiced Ex GST",$A$1:$AB$1,0)),"")),0)</f>
        <v/>
      </c>
      <c r="AE260" s="53">
        <f>IFERROR(INDEX($A260:$AB260,MATCH("Xero Invoice Date",$A$1:$AB$1,0)),"")</f>
        <v/>
      </c>
      <c r="AF260" s="54">
        <f>IF(AND(IFERROR(INDEX($A260:$AB260,MATCH("Xero Invoice No",$A$1:$AB$1,0)),"")&amp;""&lt;&gt;"",ISNUMBER(AE260),AD260&lt;&gt;0),1,0)</f>
        <v/>
      </c>
      <c r="AG260" s="55">
        <f>IF(AF260=1,EOMONTH(AE260,0),"")</f>
        <v/>
      </c>
      <c r="AH260" s="9">
        <f>IF(AF260=1,UPPER(TRIM(IFERROR(INDEX($A260:$AB260,MATCH("Client",$A$1:$AB$1,0)),"")&amp;"")),"")</f>
        <v/>
      </c>
      <c r="AI260" s="9">
        <f>IF(AF260=1,IFERROR(INDEX($A260:$AB260,MATCH("Cost Centre",$A$1:$AB$1,0)),"")&amp;"","")</f>
        <v/>
      </c>
      <c r="AJ260" s="54">
        <f>IF(AND(AF260=1,AE260&gt;=set_FYStart,AE260&lt;=set_AsAt),1,0)</f>
        <v/>
      </c>
      <c r="AK260" s="54">
        <f>IF(AND(AJ260=1,AH260&lt;&gt;"",COUNTIFS($AH$2:AH260,AH260,$AJ$2:AJ260,1)=1),N(AL259)+1,"")</f>
        <v/>
      </c>
      <c r="AL260" s="54">
        <f>IF(AK260&lt;&gt;"",AK260,N(AL259))</f>
        <v/>
      </c>
    </row>
    <row r="261">
      <c r="A261" t="inlineStr">
        <is>
          <t>PRD-0087</t>
        </is>
      </c>
      <c r="B261" t="inlineStr">
        <is>
          <t>Production</t>
        </is>
      </c>
      <c r="C261" t="inlineStr">
        <is>
          <t>26072102V</t>
        </is>
      </c>
      <c r="D261" t="inlineStr">
        <is>
          <t>Ventia</t>
        </is>
      </c>
      <c r="E261" t="inlineStr">
        <is>
          <t>RUOK? Day 10.9.26</t>
        </is>
      </c>
      <c r="F261" t="n">
        <v>1578.1</v>
      </c>
      <c r="G261" t="inlineStr">
        <is>
          <t>INV-10632</t>
        </is>
      </c>
      <c r="H261" s="51" t="n">
        <v>46281</v>
      </c>
      <c r="I261" t="n">
        <v>1578.1</v>
      </c>
      <c r="J261" t="n">
        <v>0</v>
      </c>
      <c r="K261" t="inlineStr">
        <is>
          <t>Agrees</t>
        </is>
      </c>
      <c r="M261" t="inlineStr">
        <is>
          <t>Xero check 28-Sep-26: invoice found in Xero</t>
        </is>
      </c>
      <c r="N261" t="inlineStr">
        <is>
          <t>OK</t>
        </is>
      </c>
      <c r="O261" t="inlineStr">
        <is>
          <t>Ventia - RUOK? Day - 10.09.2026</t>
        </is>
      </c>
      <c r="P261" t="inlineStr">
        <is>
          <t>VIDEO</t>
        </is>
      </c>
      <c r="Q261" t="inlineStr">
        <is>
          <t>Project</t>
        </is>
      </c>
      <c r="R261" t="inlineStr">
        <is>
          <t>GST 10%</t>
        </is>
      </c>
      <c r="S261" t="inlineStr">
        <is>
          <t>42150</t>
        </is>
      </c>
      <c r="T261" t="inlineStr">
        <is>
          <t>6122</t>
        </is>
      </c>
      <c r="U261" t="inlineStr">
        <is>
          <t>Video part of 26072102 - Video Total per job list</t>
        </is>
      </c>
      <c r="V261" t="n">
        <v>157.81</v>
      </c>
      <c r="W261" t="n">
        <v>1735.91</v>
      </c>
      <c r="X261" s="51" t="n">
        <v>46295</v>
      </c>
      <c r="Y261" t="n">
        <v>1</v>
      </c>
      <c r="Z261" t="n">
        <v>1578.1</v>
      </c>
      <c r="AA261" t="n">
        <v>1578.1</v>
      </c>
      <c r="AB261" t="n">
        <v>87</v>
      </c>
      <c r="AD261" s="52">
        <f>IFERROR(N(IFERROR(INDEX($A261:$AB261,MATCH("Xero Invoiced Ex GST",$A$1:$AB$1,0)),"")),0)</f>
        <v/>
      </c>
      <c r="AE261" s="53">
        <f>IFERROR(INDEX($A261:$AB261,MATCH("Xero Invoice Date",$A$1:$AB$1,0)),"")</f>
        <v/>
      </c>
      <c r="AF261" s="54">
        <f>IF(AND(IFERROR(INDEX($A261:$AB261,MATCH("Xero Invoice No",$A$1:$AB$1,0)),"")&amp;""&lt;&gt;"",ISNUMBER(AE261),AD261&lt;&gt;0),1,0)</f>
        <v/>
      </c>
      <c r="AG261" s="55">
        <f>IF(AF261=1,EOMONTH(AE261,0),"")</f>
        <v/>
      </c>
      <c r="AH261" s="9">
        <f>IF(AF261=1,UPPER(TRIM(IFERROR(INDEX($A261:$AB261,MATCH("Client",$A$1:$AB$1,0)),"")&amp;"")),"")</f>
        <v/>
      </c>
      <c r="AI261" s="9">
        <f>IF(AF261=1,IFERROR(INDEX($A261:$AB261,MATCH("Cost Centre",$A$1:$AB$1,0)),"")&amp;"","")</f>
        <v/>
      </c>
      <c r="AJ261" s="54">
        <f>IF(AND(AF261=1,AE261&gt;=set_FYStart,AE261&lt;=set_AsAt),1,0)</f>
        <v/>
      </c>
      <c r="AK261" s="54">
        <f>IF(AND(AJ261=1,AH261&lt;&gt;"",COUNTIFS($AH$2:AH261,AH261,$AJ$2:AJ261,1)=1),N(AL260)+1,"")</f>
        <v/>
      </c>
      <c r="AL261" s="54">
        <f>IF(AK261&lt;&gt;"",AK261,N(AL260))</f>
        <v/>
      </c>
    </row>
    <row r="262">
      <c r="A262" t="inlineStr">
        <is>
          <t>CON-0087</t>
        </is>
      </c>
      <c r="B262" t="inlineStr">
        <is>
          <t>Consulting</t>
        </is>
      </c>
      <c r="AB262" t="n">
        <v>87</v>
      </c>
      <c r="AD262" s="52">
        <f>IFERROR(N(IFERROR(INDEX($A262:$AB262,MATCH("Xero Invoiced Ex GST",$A$1:$AB$1,0)),"")),0)</f>
        <v/>
      </c>
      <c r="AE262" s="53">
        <f>IFERROR(INDEX($A262:$AB262,MATCH("Xero Invoice Date",$A$1:$AB$1,0)),"")</f>
        <v/>
      </c>
      <c r="AF262" s="54">
        <f>IF(AND(IFERROR(INDEX($A262:$AB262,MATCH("Xero Invoice No",$A$1:$AB$1,0)),"")&amp;""&lt;&gt;"",ISNUMBER(AE262),AD262&lt;&gt;0),1,0)</f>
        <v/>
      </c>
      <c r="AG262" s="55">
        <f>IF(AF262=1,EOMONTH(AE262,0),"")</f>
        <v/>
      </c>
      <c r="AH262" s="9">
        <f>IF(AF262=1,UPPER(TRIM(IFERROR(INDEX($A262:$AB262,MATCH("Client",$A$1:$AB$1,0)),"")&amp;"")),"")</f>
        <v/>
      </c>
      <c r="AI262" s="9">
        <f>IF(AF262=1,IFERROR(INDEX($A262:$AB262,MATCH("Cost Centre",$A$1:$AB$1,0)),"")&amp;"","")</f>
        <v/>
      </c>
      <c r="AJ262" s="54">
        <f>IF(AND(AF262=1,AE262&gt;=set_FYStart,AE262&lt;=set_AsAt),1,0)</f>
        <v/>
      </c>
      <c r="AK262" s="54">
        <f>IF(AND(AJ262=1,AH262&lt;&gt;"",COUNTIFS($AH$2:AH262,AH262,$AJ$2:AJ262,1)=1),N(AL261)+1,"")</f>
        <v/>
      </c>
      <c r="AL262" s="54">
        <f>IF(AK262&lt;&gt;"",AK262,N(AL261))</f>
        <v/>
      </c>
    </row>
    <row r="263">
      <c r="A263" t="inlineStr">
        <is>
          <t>ONS-0088</t>
        </is>
      </c>
      <c r="B263" t="inlineStr">
        <is>
          <t>Onsite</t>
        </is>
      </c>
      <c r="R263" t="inlineStr">
        <is>
          <t>GST 10%</t>
        </is>
      </c>
      <c r="AB263" t="n">
        <v>88</v>
      </c>
      <c r="AD263" s="52">
        <f>IFERROR(N(IFERROR(INDEX($A263:$AB263,MATCH("Xero Invoiced Ex GST",$A$1:$AB$1,0)),"")),0)</f>
        <v/>
      </c>
      <c r="AE263" s="53">
        <f>IFERROR(INDEX($A263:$AB263,MATCH("Xero Invoice Date",$A$1:$AB$1,0)),"")</f>
        <v/>
      </c>
      <c r="AF263" s="54">
        <f>IF(AND(IFERROR(INDEX($A263:$AB263,MATCH("Xero Invoice No",$A$1:$AB$1,0)),"")&amp;""&lt;&gt;"",ISNUMBER(AE263),AD263&lt;&gt;0),1,0)</f>
        <v/>
      </c>
      <c r="AG263" s="55">
        <f>IF(AF263=1,EOMONTH(AE263,0),"")</f>
        <v/>
      </c>
      <c r="AH263" s="9">
        <f>IF(AF263=1,UPPER(TRIM(IFERROR(INDEX($A263:$AB263,MATCH("Client",$A$1:$AB$1,0)),"")&amp;"")),"")</f>
        <v/>
      </c>
      <c r="AI263" s="9">
        <f>IF(AF263=1,IFERROR(INDEX($A263:$AB263,MATCH("Cost Centre",$A$1:$AB$1,0)),"")&amp;"","")</f>
        <v/>
      </c>
      <c r="AJ263" s="54">
        <f>IF(AND(AF263=1,AE263&gt;=set_FYStart,AE263&lt;=set_AsAt),1,0)</f>
        <v/>
      </c>
      <c r="AK263" s="54">
        <f>IF(AND(AJ263=1,AH263&lt;&gt;"",COUNTIFS($AH$2:AH263,AH263,$AJ$2:AJ263,1)=1),N(AL262)+1,"")</f>
        <v/>
      </c>
      <c r="AL263" s="54">
        <f>IF(AK263&lt;&gt;"",AK263,N(AL262))</f>
        <v/>
      </c>
    </row>
    <row r="264">
      <c r="A264" t="inlineStr">
        <is>
          <t>PRD-0088</t>
        </is>
      </c>
      <c r="B264" t="inlineStr">
        <is>
          <t>Production</t>
        </is>
      </c>
      <c r="AB264" t="n">
        <v>88</v>
      </c>
      <c r="AD264" s="52">
        <f>IFERROR(N(IFERROR(INDEX($A264:$AB264,MATCH("Xero Invoiced Ex GST",$A$1:$AB$1,0)),"")),0)</f>
        <v/>
      </c>
      <c r="AE264" s="53">
        <f>IFERROR(INDEX($A264:$AB264,MATCH("Xero Invoice Date",$A$1:$AB$1,0)),"")</f>
        <v/>
      </c>
      <c r="AF264" s="54">
        <f>IF(AND(IFERROR(INDEX($A264:$AB264,MATCH("Xero Invoice No",$A$1:$AB$1,0)),"")&amp;""&lt;&gt;"",ISNUMBER(AE264),AD264&lt;&gt;0),1,0)</f>
        <v/>
      </c>
      <c r="AG264" s="55">
        <f>IF(AF264=1,EOMONTH(AE264,0),"")</f>
        <v/>
      </c>
      <c r="AH264" s="9">
        <f>IF(AF264=1,UPPER(TRIM(IFERROR(INDEX($A264:$AB264,MATCH("Client",$A$1:$AB$1,0)),"")&amp;"")),"")</f>
        <v/>
      </c>
      <c r="AI264" s="9">
        <f>IF(AF264=1,IFERROR(INDEX($A264:$AB264,MATCH("Cost Centre",$A$1:$AB$1,0)),"")&amp;"","")</f>
        <v/>
      </c>
      <c r="AJ264" s="54">
        <f>IF(AND(AF264=1,AE264&gt;=set_FYStart,AE264&lt;=set_AsAt),1,0)</f>
        <v/>
      </c>
      <c r="AK264" s="54">
        <f>IF(AND(AJ264=1,AH264&lt;&gt;"",COUNTIFS($AH$2:AH264,AH264,$AJ$2:AJ264,1)=1),N(AL263)+1,"")</f>
        <v/>
      </c>
      <c r="AL264" s="54">
        <f>IF(AK264&lt;&gt;"",AK264,N(AL263))</f>
        <v/>
      </c>
    </row>
    <row r="265">
      <c r="A265" t="inlineStr">
        <is>
          <t>CON-0088</t>
        </is>
      </c>
      <c r="B265" t="inlineStr">
        <is>
          <t>Consulting</t>
        </is>
      </c>
      <c r="AB265" t="n">
        <v>88</v>
      </c>
      <c r="AD265" s="52">
        <f>IFERROR(N(IFERROR(INDEX($A265:$AB265,MATCH("Xero Invoiced Ex GST",$A$1:$AB$1,0)),"")),0)</f>
        <v/>
      </c>
      <c r="AE265" s="53">
        <f>IFERROR(INDEX($A265:$AB265,MATCH("Xero Invoice Date",$A$1:$AB$1,0)),"")</f>
        <v/>
      </c>
      <c r="AF265" s="54">
        <f>IF(AND(IFERROR(INDEX($A265:$AB265,MATCH("Xero Invoice No",$A$1:$AB$1,0)),"")&amp;""&lt;&gt;"",ISNUMBER(AE265),AD265&lt;&gt;0),1,0)</f>
        <v/>
      </c>
      <c r="AG265" s="55">
        <f>IF(AF265=1,EOMONTH(AE265,0),"")</f>
        <v/>
      </c>
      <c r="AH265" s="9">
        <f>IF(AF265=1,UPPER(TRIM(IFERROR(INDEX($A265:$AB265,MATCH("Client",$A$1:$AB$1,0)),"")&amp;"")),"")</f>
        <v/>
      </c>
      <c r="AI265" s="9">
        <f>IF(AF265=1,IFERROR(INDEX($A265:$AB265,MATCH("Cost Centre",$A$1:$AB$1,0)),"")&amp;"","")</f>
        <v/>
      </c>
      <c r="AJ265" s="54">
        <f>IF(AND(AF265=1,AE265&gt;=set_FYStart,AE265&lt;=set_AsAt),1,0)</f>
        <v/>
      </c>
      <c r="AK265" s="54">
        <f>IF(AND(AJ265=1,AH265&lt;&gt;"",COUNTIFS($AH$2:AH265,AH265,$AJ$2:AJ265,1)=1),N(AL264)+1,"")</f>
        <v/>
      </c>
      <c r="AL265" s="54">
        <f>IF(AK265&lt;&gt;"",AK265,N(AL264))</f>
        <v/>
      </c>
    </row>
    <row r="266">
      <c r="A266" t="inlineStr">
        <is>
          <t>ONS-0089</t>
        </is>
      </c>
      <c r="B266" t="inlineStr">
        <is>
          <t>Onsite</t>
        </is>
      </c>
      <c r="R266" t="inlineStr">
        <is>
          <t>GST 10%</t>
        </is>
      </c>
      <c r="AB266" t="n">
        <v>89</v>
      </c>
      <c r="AD266" s="52">
        <f>IFERROR(N(IFERROR(INDEX($A266:$AB266,MATCH("Xero Invoiced Ex GST",$A$1:$AB$1,0)),"")),0)</f>
        <v/>
      </c>
      <c r="AE266" s="53">
        <f>IFERROR(INDEX($A266:$AB266,MATCH("Xero Invoice Date",$A$1:$AB$1,0)),"")</f>
        <v/>
      </c>
      <c r="AF266" s="54">
        <f>IF(AND(IFERROR(INDEX($A266:$AB266,MATCH("Xero Invoice No",$A$1:$AB$1,0)),"")&amp;""&lt;&gt;"",ISNUMBER(AE266),AD266&lt;&gt;0),1,0)</f>
        <v/>
      </c>
      <c r="AG266" s="55">
        <f>IF(AF266=1,EOMONTH(AE266,0),"")</f>
        <v/>
      </c>
      <c r="AH266" s="9">
        <f>IF(AF266=1,UPPER(TRIM(IFERROR(INDEX($A266:$AB266,MATCH("Client",$A$1:$AB$1,0)),"")&amp;"")),"")</f>
        <v/>
      </c>
      <c r="AI266" s="9">
        <f>IF(AF266=1,IFERROR(INDEX($A266:$AB266,MATCH("Cost Centre",$A$1:$AB$1,0)),"")&amp;"","")</f>
        <v/>
      </c>
      <c r="AJ266" s="54">
        <f>IF(AND(AF266=1,AE266&gt;=set_FYStart,AE266&lt;=set_AsAt),1,0)</f>
        <v/>
      </c>
      <c r="AK266" s="54">
        <f>IF(AND(AJ266=1,AH266&lt;&gt;"",COUNTIFS($AH$2:AH266,AH266,$AJ$2:AJ266,1)=1),N(AL265)+1,"")</f>
        <v/>
      </c>
      <c r="AL266" s="54">
        <f>IF(AK266&lt;&gt;"",AK266,N(AL265))</f>
        <v/>
      </c>
    </row>
    <row r="267">
      <c r="A267" t="inlineStr">
        <is>
          <t>PRD-0089</t>
        </is>
      </c>
      <c r="B267" t="inlineStr">
        <is>
          <t>Production</t>
        </is>
      </c>
      <c r="AB267" t="n">
        <v>89</v>
      </c>
      <c r="AD267" s="52">
        <f>IFERROR(N(IFERROR(INDEX($A267:$AB267,MATCH("Xero Invoiced Ex GST",$A$1:$AB$1,0)),"")),0)</f>
        <v/>
      </c>
      <c r="AE267" s="53">
        <f>IFERROR(INDEX($A267:$AB267,MATCH("Xero Invoice Date",$A$1:$AB$1,0)),"")</f>
        <v/>
      </c>
      <c r="AF267" s="54">
        <f>IF(AND(IFERROR(INDEX($A267:$AB267,MATCH("Xero Invoice No",$A$1:$AB$1,0)),"")&amp;""&lt;&gt;"",ISNUMBER(AE267),AD267&lt;&gt;0),1,0)</f>
        <v/>
      </c>
      <c r="AG267" s="55">
        <f>IF(AF267=1,EOMONTH(AE267,0),"")</f>
        <v/>
      </c>
      <c r="AH267" s="9">
        <f>IF(AF267=1,UPPER(TRIM(IFERROR(INDEX($A267:$AB267,MATCH("Client",$A$1:$AB$1,0)),"")&amp;"")),"")</f>
        <v/>
      </c>
      <c r="AI267" s="9">
        <f>IF(AF267=1,IFERROR(INDEX($A267:$AB267,MATCH("Cost Centre",$A$1:$AB$1,0)),"")&amp;"","")</f>
        <v/>
      </c>
      <c r="AJ267" s="54">
        <f>IF(AND(AF267=1,AE267&gt;=set_FYStart,AE267&lt;=set_AsAt),1,0)</f>
        <v/>
      </c>
      <c r="AK267" s="54">
        <f>IF(AND(AJ267=1,AH267&lt;&gt;"",COUNTIFS($AH$2:AH267,AH267,$AJ$2:AJ267,1)=1),N(AL266)+1,"")</f>
        <v/>
      </c>
      <c r="AL267" s="54">
        <f>IF(AK267&lt;&gt;"",AK267,N(AL266))</f>
        <v/>
      </c>
    </row>
    <row r="268">
      <c r="A268" t="inlineStr">
        <is>
          <t>CON-0089</t>
        </is>
      </c>
      <c r="B268" t="inlineStr">
        <is>
          <t>Consulting</t>
        </is>
      </c>
      <c r="AB268" t="n">
        <v>89</v>
      </c>
      <c r="AD268" s="52">
        <f>IFERROR(N(IFERROR(INDEX($A268:$AB268,MATCH("Xero Invoiced Ex GST",$A$1:$AB$1,0)),"")),0)</f>
        <v/>
      </c>
      <c r="AE268" s="53">
        <f>IFERROR(INDEX($A268:$AB268,MATCH("Xero Invoice Date",$A$1:$AB$1,0)),"")</f>
        <v/>
      </c>
      <c r="AF268" s="54">
        <f>IF(AND(IFERROR(INDEX($A268:$AB268,MATCH("Xero Invoice No",$A$1:$AB$1,0)),"")&amp;""&lt;&gt;"",ISNUMBER(AE268),AD268&lt;&gt;0),1,0)</f>
        <v/>
      </c>
      <c r="AG268" s="55">
        <f>IF(AF268=1,EOMONTH(AE268,0),"")</f>
        <v/>
      </c>
      <c r="AH268" s="9">
        <f>IF(AF268=1,UPPER(TRIM(IFERROR(INDEX($A268:$AB268,MATCH("Client",$A$1:$AB$1,0)),"")&amp;"")),"")</f>
        <v/>
      </c>
      <c r="AI268" s="9">
        <f>IF(AF268=1,IFERROR(INDEX($A268:$AB268,MATCH("Cost Centre",$A$1:$AB$1,0)),"")&amp;"","")</f>
        <v/>
      </c>
      <c r="AJ268" s="54">
        <f>IF(AND(AF268=1,AE268&gt;=set_FYStart,AE268&lt;=set_AsAt),1,0)</f>
        <v/>
      </c>
      <c r="AK268" s="54">
        <f>IF(AND(AJ268=1,AH268&lt;&gt;"",COUNTIFS($AH$2:AH268,AH268,$AJ$2:AJ268,1)=1),N(AL267)+1,"")</f>
        <v/>
      </c>
      <c r="AL268" s="54">
        <f>IF(AK268&lt;&gt;"",AK268,N(AL267))</f>
        <v/>
      </c>
    </row>
    <row r="269">
      <c r="A269" t="inlineStr">
        <is>
          <t>ONS-0090</t>
        </is>
      </c>
      <c r="B269" t="inlineStr">
        <is>
          <t>Onsite</t>
        </is>
      </c>
      <c r="R269" t="inlineStr">
        <is>
          <t>GST 10%</t>
        </is>
      </c>
      <c r="AB269" t="n">
        <v>90</v>
      </c>
      <c r="AD269" s="52">
        <f>IFERROR(N(IFERROR(INDEX($A269:$AB269,MATCH("Xero Invoiced Ex GST",$A$1:$AB$1,0)),"")),0)</f>
        <v/>
      </c>
      <c r="AE269" s="53">
        <f>IFERROR(INDEX($A269:$AB269,MATCH("Xero Invoice Date",$A$1:$AB$1,0)),"")</f>
        <v/>
      </c>
      <c r="AF269" s="54">
        <f>IF(AND(IFERROR(INDEX($A269:$AB269,MATCH("Xero Invoice No",$A$1:$AB$1,0)),"")&amp;""&lt;&gt;"",ISNUMBER(AE269),AD269&lt;&gt;0),1,0)</f>
        <v/>
      </c>
      <c r="AG269" s="55">
        <f>IF(AF269=1,EOMONTH(AE269,0),"")</f>
        <v/>
      </c>
      <c r="AH269" s="9">
        <f>IF(AF269=1,UPPER(TRIM(IFERROR(INDEX($A269:$AB269,MATCH("Client",$A$1:$AB$1,0)),"")&amp;"")),"")</f>
        <v/>
      </c>
      <c r="AI269" s="9">
        <f>IF(AF269=1,IFERROR(INDEX($A269:$AB269,MATCH("Cost Centre",$A$1:$AB$1,0)),"")&amp;"","")</f>
        <v/>
      </c>
      <c r="AJ269" s="54">
        <f>IF(AND(AF269=1,AE269&gt;=set_FYStart,AE269&lt;=set_AsAt),1,0)</f>
        <v/>
      </c>
      <c r="AK269" s="54">
        <f>IF(AND(AJ269=1,AH269&lt;&gt;"",COUNTIFS($AH$2:AH269,AH269,$AJ$2:AJ269,1)=1),N(AL268)+1,"")</f>
        <v/>
      </c>
      <c r="AL269" s="54">
        <f>IF(AK269&lt;&gt;"",AK269,N(AL268))</f>
        <v/>
      </c>
    </row>
    <row r="270">
      <c r="A270" t="inlineStr">
        <is>
          <t>PRD-0090</t>
        </is>
      </c>
      <c r="B270" t="inlineStr">
        <is>
          <t>Production</t>
        </is>
      </c>
      <c r="AB270" t="n">
        <v>90</v>
      </c>
      <c r="AD270" s="52">
        <f>IFERROR(N(IFERROR(INDEX($A270:$AB270,MATCH("Xero Invoiced Ex GST",$A$1:$AB$1,0)),"")),0)</f>
        <v/>
      </c>
      <c r="AE270" s="53">
        <f>IFERROR(INDEX($A270:$AB270,MATCH("Xero Invoice Date",$A$1:$AB$1,0)),"")</f>
        <v/>
      </c>
      <c r="AF270" s="54">
        <f>IF(AND(IFERROR(INDEX($A270:$AB270,MATCH("Xero Invoice No",$A$1:$AB$1,0)),"")&amp;""&lt;&gt;"",ISNUMBER(AE270),AD270&lt;&gt;0),1,0)</f>
        <v/>
      </c>
      <c r="AG270" s="55">
        <f>IF(AF270=1,EOMONTH(AE270,0),"")</f>
        <v/>
      </c>
      <c r="AH270" s="9">
        <f>IF(AF270=1,UPPER(TRIM(IFERROR(INDEX($A270:$AB270,MATCH("Client",$A$1:$AB$1,0)),"")&amp;"")),"")</f>
        <v/>
      </c>
      <c r="AI270" s="9">
        <f>IF(AF270=1,IFERROR(INDEX($A270:$AB270,MATCH("Cost Centre",$A$1:$AB$1,0)),"")&amp;"","")</f>
        <v/>
      </c>
      <c r="AJ270" s="54">
        <f>IF(AND(AF270=1,AE270&gt;=set_FYStart,AE270&lt;=set_AsAt),1,0)</f>
        <v/>
      </c>
      <c r="AK270" s="54">
        <f>IF(AND(AJ270=1,AH270&lt;&gt;"",COUNTIFS($AH$2:AH270,AH270,$AJ$2:AJ270,1)=1),N(AL269)+1,"")</f>
        <v/>
      </c>
      <c r="AL270" s="54">
        <f>IF(AK270&lt;&gt;"",AK270,N(AL269))</f>
        <v/>
      </c>
    </row>
    <row r="271">
      <c r="A271" t="inlineStr">
        <is>
          <t>CON-0090</t>
        </is>
      </c>
      <c r="B271" t="inlineStr">
        <is>
          <t>Consulting</t>
        </is>
      </c>
      <c r="AB271" t="n">
        <v>90</v>
      </c>
      <c r="AD271" s="52">
        <f>IFERROR(N(IFERROR(INDEX($A271:$AB271,MATCH("Xero Invoiced Ex GST",$A$1:$AB$1,0)),"")),0)</f>
        <v/>
      </c>
      <c r="AE271" s="53">
        <f>IFERROR(INDEX($A271:$AB271,MATCH("Xero Invoice Date",$A$1:$AB$1,0)),"")</f>
        <v/>
      </c>
      <c r="AF271" s="54">
        <f>IF(AND(IFERROR(INDEX($A271:$AB271,MATCH("Xero Invoice No",$A$1:$AB$1,0)),"")&amp;""&lt;&gt;"",ISNUMBER(AE271),AD271&lt;&gt;0),1,0)</f>
        <v/>
      </c>
      <c r="AG271" s="55">
        <f>IF(AF271=1,EOMONTH(AE271,0),"")</f>
        <v/>
      </c>
      <c r="AH271" s="9">
        <f>IF(AF271=1,UPPER(TRIM(IFERROR(INDEX($A271:$AB271,MATCH("Client",$A$1:$AB$1,0)),"")&amp;"")),"")</f>
        <v/>
      </c>
      <c r="AI271" s="9">
        <f>IF(AF271=1,IFERROR(INDEX($A271:$AB271,MATCH("Cost Centre",$A$1:$AB$1,0)),"")&amp;"","")</f>
        <v/>
      </c>
      <c r="AJ271" s="54">
        <f>IF(AND(AF271=1,AE271&gt;=set_FYStart,AE271&lt;=set_AsAt),1,0)</f>
        <v/>
      </c>
      <c r="AK271" s="54">
        <f>IF(AND(AJ271=1,AH271&lt;&gt;"",COUNTIFS($AH$2:AH271,AH271,$AJ$2:AJ271,1)=1),N(AL270)+1,"")</f>
        <v/>
      </c>
      <c r="AL271" s="54">
        <f>IF(AK271&lt;&gt;"",AK271,N(AL270))</f>
        <v/>
      </c>
    </row>
    <row r="272">
      <c r="A272" t="inlineStr">
        <is>
          <t>ONS-0091</t>
        </is>
      </c>
      <c r="B272" t="inlineStr">
        <is>
          <t>Onsite</t>
        </is>
      </c>
      <c r="R272" t="inlineStr">
        <is>
          <t>GST 10%</t>
        </is>
      </c>
      <c r="AB272" t="n">
        <v>91</v>
      </c>
      <c r="AD272" s="52">
        <f>IFERROR(N(IFERROR(INDEX($A272:$AB272,MATCH("Xero Invoiced Ex GST",$A$1:$AB$1,0)),"")),0)</f>
        <v/>
      </c>
      <c r="AE272" s="53">
        <f>IFERROR(INDEX($A272:$AB272,MATCH("Xero Invoice Date",$A$1:$AB$1,0)),"")</f>
        <v/>
      </c>
      <c r="AF272" s="54">
        <f>IF(AND(IFERROR(INDEX($A272:$AB272,MATCH("Xero Invoice No",$A$1:$AB$1,0)),"")&amp;""&lt;&gt;"",ISNUMBER(AE272),AD272&lt;&gt;0),1,0)</f>
        <v/>
      </c>
      <c r="AG272" s="55">
        <f>IF(AF272=1,EOMONTH(AE272,0),"")</f>
        <v/>
      </c>
      <c r="AH272" s="9">
        <f>IF(AF272=1,UPPER(TRIM(IFERROR(INDEX($A272:$AB272,MATCH("Client",$A$1:$AB$1,0)),"")&amp;"")),"")</f>
        <v/>
      </c>
      <c r="AI272" s="9">
        <f>IF(AF272=1,IFERROR(INDEX($A272:$AB272,MATCH("Cost Centre",$A$1:$AB$1,0)),"")&amp;"","")</f>
        <v/>
      </c>
      <c r="AJ272" s="54">
        <f>IF(AND(AF272=1,AE272&gt;=set_FYStart,AE272&lt;=set_AsAt),1,0)</f>
        <v/>
      </c>
      <c r="AK272" s="54">
        <f>IF(AND(AJ272=1,AH272&lt;&gt;"",COUNTIFS($AH$2:AH272,AH272,$AJ$2:AJ272,1)=1),N(AL271)+1,"")</f>
        <v/>
      </c>
      <c r="AL272" s="54">
        <f>IF(AK272&lt;&gt;"",AK272,N(AL271))</f>
        <v/>
      </c>
    </row>
    <row r="273">
      <c r="A273" t="inlineStr">
        <is>
          <t>PRD-0091</t>
        </is>
      </c>
      <c r="B273" t="inlineStr">
        <is>
          <t>Production</t>
        </is>
      </c>
      <c r="AB273" t="n">
        <v>91</v>
      </c>
      <c r="AD273" s="52">
        <f>IFERROR(N(IFERROR(INDEX($A273:$AB273,MATCH("Xero Invoiced Ex GST",$A$1:$AB$1,0)),"")),0)</f>
        <v/>
      </c>
      <c r="AE273" s="53">
        <f>IFERROR(INDEX($A273:$AB273,MATCH("Xero Invoice Date",$A$1:$AB$1,0)),"")</f>
        <v/>
      </c>
      <c r="AF273" s="54">
        <f>IF(AND(IFERROR(INDEX($A273:$AB273,MATCH("Xero Invoice No",$A$1:$AB$1,0)),"")&amp;""&lt;&gt;"",ISNUMBER(AE273),AD273&lt;&gt;0),1,0)</f>
        <v/>
      </c>
      <c r="AG273" s="55">
        <f>IF(AF273=1,EOMONTH(AE273,0),"")</f>
        <v/>
      </c>
      <c r="AH273" s="9">
        <f>IF(AF273=1,UPPER(TRIM(IFERROR(INDEX($A273:$AB273,MATCH("Client",$A$1:$AB$1,0)),"")&amp;"")),"")</f>
        <v/>
      </c>
      <c r="AI273" s="9">
        <f>IF(AF273=1,IFERROR(INDEX($A273:$AB273,MATCH("Cost Centre",$A$1:$AB$1,0)),"")&amp;"","")</f>
        <v/>
      </c>
      <c r="AJ273" s="54">
        <f>IF(AND(AF273=1,AE273&gt;=set_FYStart,AE273&lt;=set_AsAt),1,0)</f>
        <v/>
      </c>
      <c r="AK273" s="54">
        <f>IF(AND(AJ273=1,AH273&lt;&gt;"",COUNTIFS($AH$2:AH273,AH273,$AJ$2:AJ273,1)=1),N(AL272)+1,"")</f>
        <v/>
      </c>
      <c r="AL273" s="54">
        <f>IF(AK273&lt;&gt;"",AK273,N(AL272))</f>
        <v/>
      </c>
    </row>
    <row r="274">
      <c r="A274" t="inlineStr">
        <is>
          <t>CON-0091</t>
        </is>
      </c>
      <c r="B274" t="inlineStr">
        <is>
          <t>Consulting</t>
        </is>
      </c>
      <c r="AB274" t="n">
        <v>91</v>
      </c>
      <c r="AD274" s="52">
        <f>IFERROR(N(IFERROR(INDEX($A274:$AB274,MATCH("Xero Invoiced Ex GST",$A$1:$AB$1,0)),"")),0)</f>
        <v/>
      </c>
      <c r="AE274" s="53">
        <f>IFERROR(INDEX($A274:$AB274,MATCH("Xero Invoice Date",$A$1:$AB$1,0)),"")</f>
        <v/>
      </c>
      <c r="AF274" s="54">
        <f>IF(AND(IFERROR(INDEX($A274:$AB274,MATCH("Xero Invoice No",$A$1:$AB$1,0)),"")&amp;""&lt;&gt;"",ISNUMBER(AE274),AD274&lt;&gt;0),1,0)</f>
        <v/>
      </c>
      <c r="AG274" s="55">
        <f>IF(AF274=1,EOMONTH(AE274,0),"")</f>
        <v/>
      </c>
      <c r="AH274" s="9">
        <f>IF(AF274=1,UPPER(TRIM(IFERROR(INDEX($A274:$AB274,MATCH("Client",$A$1:$AB$1,0)),"")&amp;"")),"")</f>
        <v/>
      </c>
      <c r="AI274" s="9">
        <f>IF(AF274=1,IFERROR(INDEX($A274:$AB274,MATCH("Cost Centre",$A$1:$AB$1,0)),"")&amp;"","")</f>
        <v/>
      </c>
      <c r="AJ274" s="54">
        <f>IF(AND(AF274=1,AE274&gt;=set_FYStart,AE274&lt;=set_AsAt),1,0)</f>
        <v/>
      </c>
      <c r="AK274" s="54">
        <f>IF(AND(AJ274=1,AH274&lt;&gt;"",COUNTIFS($AH$2:AH274,AH274,$AJ$2:AJ274,1)=1),N(AL273)+1,"")</f>
        <v/>
      </c>
      <c r="AL274" s="54">
        <f>IF(AK274&lt;&gt;"",AK274,N(AL273))</f>
        <v/>
      </c>
    </row>
    <row r="275">
      <c r="A275" t="inlineStr">
        <is>
          <t>ONS-0092</t>
        </is>
      </c>
      <c r="B275" t="inlineStr">
        <is>
          <t>Onsite</t>
        </is>
      </c>
      <c r="R275" t="inlineStr">
        <is>
          <t>GST 10%</t>
        </is>
      </c>
      <c r="AB275" t="n">
        <v>92</v>
      </c>
      <c r="AD275" s="52">
        <f>IFERROR(N(IFERROR(INDEX($A275:$AB275,MATCH("Xero Invoiced Ex GST",$A$1:$AB$1,0)),"")),0)</f>
        <v/>
      </c>
      <c r="AE275" s="53">
        <f>IFERROR(INDEX($A275:$AB275,MATCH("Xero Invoice Date",$A$1:$AB$1,0)),"")</f>
        <v/>
      </c>
      <c r="AF275" s="54">
        <f>IF(AND(IFERROR(INDEX($A275:$AB275,MATCH("Xero Invoice No",$A$1:$AB$1,0)),"")&amp;""&lt;&gt;"",ISNUMBER(AE275),AD275&lt;&gt;0),1,0)</f>
        <v/>
      </c>
      <c r="AG275" s="55">
        <f>IF(AF275=1,EOMONTH(AE275,0),"")</f>
        <v/>
      </c>
      <c r="AH275" s="9">
        <f>IF(AF275=1,UPPER(TRIM(IFERROR(INDEX($A275:$AB275,MATCH("Client",$A$1:$AB$1,0)),"")&amp;"")),"")</f>
        <v/>
      </c>
      <c r="AI275" s="9">
        <f>IF(AF275=1,IFERROR(INDEX($A275:$AB275,MATCH("Cost Centre",$A$1:$AB$1,0)),"")&amp;"","")</f>
        <v/>
      </c>
      <c r="AJ275" s="54">
        <f>IF(AND(AF275=1,AE275&gt;=set_FYStart,AE275&lt;=set_AsAt),1,0)</f>
        <v/>
      </c>
      <c r="AK275" s="54">
        <f>IF(AND(AJ275=1,AH275&lt;&gt;"",COUNTIFS($AH$2:AH275,AH275,$AJ$2:AJ275,1)=1),N(AL274)+1,"")</f>
        <v/>
      </c>
      <c r="AL275" s="54">
        <f>IF(AK275&lt;&gt;"",AK275,N(AL274))</f>
        <v/>
      </c>
    </row>
    <row r="276">
      <c r="A276" t="inlineStr">
        <is>
          <t>PRD-0092</t>
        </is>
      </c>
      <c r="B276" t="inlineStr">
        <is>
          <t>Production</t>
        </is>
      </c>
      <c r="AB276" t="n">
        <v>92</v>
      </c>
      <c r="AD276" s="52">
        <f>IFERROR(N(IFERROR(INDEX($A276:$AB276,MATCH("Xero Invoiced Ex GST",$A$1:$AB$1,0)),"")),0)</f>
        <v/>
      </c>
      <c r="AE276" s="53">
        <f>IFERROR(INDEX($A276:$AB276,MATCH("Xero Invoice Date",$A$1:$AB$1,0)),"")</f>
        <v/>
      </c>
      <c r="AF276" s="54">
        <f>IF(AND(IFERROR(INDEX($A276:$AB276,MATCH("Xero Invoice No",$A$1:$AB$1,0)),"")&amp;""&lt;&gt;"",ISNUMBER(AE276),AD276&lt;&gt;0),1,0)</f>
        <v/>
      </c>
      <c r="AG276" s="55">
        <f>IF(AF276=1,EOMONTH(AE276,0),"")</f>
        <v/>
      </c>
      <c r="AH276" s="9">
        <f>IF(AF276=1,UPPER(TRIM(IFERROR(INDEX($A276:$AB276,MATCH("Client",$A$1:$AB$1,0)),"")&amp;"")),"")</f>
        <v/>
      </c>
      <c r="AI276" s="9">
        <f>IF(AF276=1,IFERROR(INDEX($A276:$AB276,MATCH("Cost Centre",$A$1:$AB$1,0)),"")&amp;"","")</f>
        <v/>
      </c>
      <c r="AJ276" s="54">
        <f>IF(AND(AF276=1,AE276&gt;=set_FYStart,AE276&lt;=set_AsAt),1,0)</f>
        <v/>
      </c>
      <c r="AK276" s="54">
        <f>IF(AND(AJ276=1,AH276&lt;&gt;"",COUNTIFS($AH$2:AH276,AH276,$AJ$2:AJ276,1)=1),N(AL275)+1,"")</f>
        <v/>
      </c>
      <c r="AL276" s="54">
        <f>IF(AK276&lt;&gt;"",AK276,N(AL275))</f>
        <v/>
      </c>
    </row>
    <row r="277">
      <c r="A277" t="inlineStr">
        <is>
          <t>CON-0092</t>
        </is>
      </c>
      <c r="B277" t="inlineStr">
        <is>
          <t>Consulting</t>
        </is>
      </c>
      <c r="AB277" t="n">
        <v>92</v>
      </c>
      <c r="AD277" s="52">
        <f>IFERROR(N(IFERROR(INDEX($A277:$AB277,MATCH("Xero Invoiced Ex GST",$A$1:$AB$1,0)),"")),0)</f>
        <v/>
      </c>
      <c r="AE277" s="53">
        <f>IFERROR(INDEX($A277:$AB277,MATCH("Xero Invoice Date",$A$1:$AB$1,0)),"")</f>
        <v/>
      </c>
      <c r="AF277" s="54">
        <f>IF(AND(IFERROR(INDEX($A277:$AB277,MATCH("Xero Invoice No",$A$1:$AB$1,0)),"")&amp;""&lt;&gt;"",ISNUMBER(AE277),AD277&lt;&gt;0),1,0)</f>
        <v/>
      </c>
      <c r="AG277" s="55">
        <f>IF(AF277=1,EOMONTH(AE277,0),"")</f>
        <v/>
      </c>
      <c r="AH277" s="9">
        <f>IF(AF277=1,UPPER(TRIM(IFERROR(INDEX($A277:$AB277,MATCH("Client",$A$1:$AB$1,0)),"")&amp;"")),"")</f>
        <v/>
      </c>
      <c r="AI277" s="9">
        <f>IF(AF277=1,IFERROR(INDEX($A277:$AB277,MATCH("Cost Centre",$A$1:$AB$1,0)),"")&amp;"","")</f>
        <v/>
      </c>
      <c r="AJ277" s="54">
        <f>IF(AND(AF277=1,AE277&gt;=set_FYStart,AE277&lt;=set_AsAt),1,0)</f>
        <v/>
      </c>
      <c r="AK277" s="54">
        <f>IF(AND(AJ277=1,AH277&lt;&gt;"",COUNTIFS($AH$2:AH277,AH277,$AJ$2:AJ277,1)=1),N(AL276)+1,"")</f>
        <v/>
      </c>
      <c r="AL277" s="54">
        <f>IF(AK277&lt;&gt;"",AK277,N(AL276))</f>
        <v/>
      </c>
    </row>
    <row r="278">
      <c r="A278" t="inlineStr">
        <is>
          <t>ONS-0093</t>
        </is>
      </c>
      <c r="B278" t="inlineStr">
        <is>
          <t>Onsite</t>
        </is>
      </c>
      <c r="R278" t="inlineStr">
        <is>
          <t>GST 10%</t>
        </is>
      </c>
      <c r="AB278" t="n">
        <v>93</v>
      </c>
      <c r="AD278" s="52">
        <f>IFERROR(N(IFERROR(INDEX($A278:$AB278,MATCH("Xero Invoiced Ex GST",$A$1:$AB$1,0)),"")),0)</f>
        <v/>
      </c>
      <c r="AE278" s="53">
        <f>IFERROR(INDEX($A278:$AB278,MATCH("Xero Invoice Date",$A$1:$AB$1,0)),"")</f>
        <v/>
      </c>
      <c r="AF278" s="54">
        <f>IF(AND(IFERROR(INDEX($A278:$AB278,MATCH("Xero Invoice No",$A$1:$AB$1,0)),"")&amp;""&lt;&gt;"",ISNUMBER(AE278),AD278&lt;&gt;0),1,0)</f>
        <v/>
      </c>
      <c r="AG278" s="55">
        <f>IF(AF278=1,EOMONTH(AE278,0),"")</f>
        <v/>
      </c>
      <c r="AH278" s="9">
        <f>IF(AF278=1,UPPER(TRIM(IFERROR(INDEX($A278:$AB278,MATCH("Client",$A$1:$AB$1,0)),"")&amp;"")),"")</f>
        <v/>
      </c>
      <c r="AI278" s="9">
        <f>IF(AF278=1,IFERROR(INDEX($A278:$AB278,MATCH("Cost Centre",$A$1:$AB$1,0)),"")&amp;"","")</f>
        <v/>
      </c>
      <c r="AJ278" s="54">
        <f>IF(AND(AF278=1,AE278&gt;=set_FYStart,AE278&lt;=set_AsAt),1,0)</f>
        <v/>
      </c>
      <c r="AK278" s="54">
        <f>IF(AND(AJ278=1,AH278&lt;&gt;"",COUNTIFS($AH$2:AH278,AH278,$AJ$2:AJ278,1)=1),N(AL277)+1,"")</f>
        <v/>
      </c>
      <c r="AL278" s="54">
        <f>IF(AK278&lt;&gt;"",AK278,N(AL277))</f>
        <v/>
      </c>
    </row>
    <row r="279">
      <c r="A279" t="inlineStr">
        <is>
          <t>PRD-0093</t>
        </is>
      </c>
      <c r="B279" t="inlineStr">
        <is>
          <t>Production</t>
        </is>
      </c>
      <c r="AB279" t="n">
        <v>93</v>
      </c>
      <c r="AD279" s="52">
        <f>IFERROR(N(IFERROR(INDEX($A279:$AB279,MATCH("Xero Invoiced Ex GST",$A$1:$AB$1,0)),"")),0)</f>
        <v/>
      </c>
      <c r="AE279" s="53">
        <f>IFERROR(INDEX($A279:$AB279,MATCH("Xero Invoice Date",$A$1:$AB$1,0)),"")</f>
        <v/>
      </c>
      <c r="AF279" s="54">
        <f>IF(AND(IFERROR(INDEX($A279:$AB279,MATCH("Xero Invoice No",$A$1:$AB$1,0)),"")&amp;""&lt;&gt;"",ISNUMBER(AE279),AD279&lt;&gt;0),1,0)</f>
        <v/>
      </c>
      <c r="AG279" s="55">
        <f>IF(AF279=1,EOMONTH(AE279,0),"")</f>
        <v/>
      </c>
      <c r="AH279" s="9">
        <f>IF(AF279=1,UPPER(TRIM(IFERROR(INDEX($A279:$AB279,MATCH("Client",$A$1:$AB$1,0)),"")&amp;"")),"")</f>
        <v/>
      </c>
      <c r="AI279" s="9">
        <f>IF(AF279=1,IFERROR(INDEX($A279:$AB279,MATCH("Cost Centre",$A$1:$AB$1,0)),"")&amp;"","")</f>
        <v/>
      </c>
      <c r="AJ279" s="54">
        <f>IF(AND(AF279=1,AE279&gt;=set_FYStart,AE279&lt;=set_AsAt),1,0)</f>
        <v/>
      </c>
      <c r="AK279" s="54">
        <f>IF(AND(AJ279=1,AH279&lt;&gt;"",COUNTIFS($AH$2:AH279,AH279,$AJ$2:AJ279,1)=1),N(AL278)+1,"")</f>
        <v/>
      </c>
      <c r="AL279" s="54">
        <f>IF(AK279&lt;&gt;"",AK279,N(AL278))</f>
        <v/>
      </c>
    </row>
    <row r="280">
      <c r="A280" t="inlineStr">
        <is>
          <t>CON-0093</t>
        </is>
      </c>
      <c r="B280" t="inlineStr">
        <is>
          <t>Consulting</t>
        </is>
      </c>
      <c r="AB280" t="n">
        <v>93</v>
      </c>
      <c r="AD280" s="52">
        <f>IFERROR(N(IFERROR(INDEX($A280:$AB280,MATCH("Xero Invoiced Ex GST",$A$1:$AB$1,0)),"")),0)</f>
        <v/>
      </c>
      <c r="AE280" s="53">
        <f>IFERROR(INDEX($A280:$AB280,MATCH("Xero Invoice Date",$A$1:$AB$1,0)),"")</f>
        <v/>
      </c>
      <c r="AF280" s="54">
        <f>IF(AND(IFERROR(INDEX($A280:$AB280,MATCH("Xero Invoice No",$A$1:$AB$1,0)),"")&amp;""&lt;&gt;"",ISNUMBER(AE280),AD280&lt;&gt;0),1,0)</f>
        <v/>
      </c>
      <c r="AG280" s="55">
        <f>IF(AF280=1,EOMONTH(AE280,0),"")</f>
        <v/>
      </c>
      <c r="AH280" s="9">
        <f>IF(AF280=1,UPPER(TRIM(IFERROR(INDEX($A280:$AB280,MATCH("Client",$A$1:$AB$1,0)),"")&amp;"")),"")</f>
        <v/>
      </c>
      <c r="AI280" s="9">
        <f>IF(AF280=1,IFERROR(INDEX($A280:$AB280,MATCH("Cost Centre",$A$1:$AB$1,0)),"")&amp;"","")</f>
        <v/>
      </c>
      <c r="AJ280" s="54">
        <f>IF(AND(AF280=1,AE280&gt;=set_FYStart,AE280&lt;=set_AsAt),1,0)</f>
        <v/>
      </c>
      <c r="AK280" s="54">
        <f>IF(AND(AJ280=1,AH280&lt;&gt;"",COUNTIFS($AH$2:AH280,AH280,$AJ$2:AJ280,1)=1),N(AL279)+1,"")</f>
        <v/>
      </c>
      <c r="AL280" s="54">
        <f>IF(AK280&lt;&gt;"",AK280,N(AL279))</f>
        <v/>
      </c>
    </row>
    <row r="281">
      <c r="A281" t="inlineStr">
        <is>
          <t>ONS-0094</t>
        </is>
      </c>
      <c r="B281" t="inlineStr">
        <is>
          <t>Onsite</t>
        </is>
      </c>
      <c r="R281" t="inlineStr">
        <is>
          <t>GST 10%</t>
        </is>
      </c>
      <c r="AB281" t="n">
        <v>94</v>
      </c>
      <c r="AD281" s="52">
        <f>IFERROR(N(IFERROR(INDEX($A281:$AB281,MATCH("Xero Invoiced Ex GST",$A$1:$AB$1,0)),"")),0)</f>
        <v/>
      </c>
      <c r="AE281" s="53">
        <f>IFERROR(INDEX($A281:$AB281,MATCH("Xero Invoice Date",$A$1:$AB$1,0)),"")</f>
        <v/>
      </c>
      <c r="AF281" s="54">
        <f>IF(AND(IFERROR(INDEX($A281:$AB281,MATCH("Xero Invoice No",$A$1:$AB$1,0)),"")&amp;""&lt;&gt;"",ISNUMBER(AE281),AD281&lt;&gt;0),1,0)</f>
        <v/>
      </c>
      <c r="AG281" s="55">
        <f>IF(AF281=1,EOMONTH(AE281,0),"")</f>
        <v/>
      </c>
      <c r="AH281" s="9">
        <f>IF(AF281=1,UPPER(TRIM(IFERROR(INDEX($A281:$AB281,MATCH("Client",$A$1:$AB$1,0)),"")&amp;"")),"")</f>
        <v/>
      </c>
      <c r="AI281" s="9">
        <f>IF(AF281=1,IFERROR(INDEX($A281:$AB281,MATCH("Cost Centre",$A$1:$AB$1,0)),"")&amp;"","")</f>
        <v/>
      </c>
      <c r="AJ281" s="54">
        <f>IF(AND(AF281=1,AE281&gt;=set_FYStart,AE281&lt;=set_AsAt),1,0)</f>
        <v/>
      </c>
      <c r="AK281" s="54">
        <f>IF(AND(AJ281=1,AH281&lt;&gt;"",COUNTIFS($AH$2:AH281,AH281,$AJ$2:AJ281,1)=1),N(AL280)+1,"")</f>
        <v/>
      </c>
      <c r="AL281" s="54">
        <f>IF(AK281&lt;&gt;"",AK281,N(AL280))</f>
        <v/>
      </c>
    </row>
    <row r="282">
      <c r="A282" t="inlineStr">
        <is>
          <t>PRD-0094</t>
        </is>
      </c>
      <c r="B282" t="inlineStr">
        <is>
          <t>Production</t>
        </is>
      </c>
      <c r="AB282" t="n">
        <v>94</v>
      </c>
      <c r="AD282" s="52">
        <f>IFERROR(N(IFERROR(INDEX($A282:$AB282,MATCH("Xero Invoiced Ex GST",$A$1:$AB$1,0)),"")),0)</f>
        <v/>
      </c>
      <c r="AE282" s="53">
        <f>IFERROR(INDEX($A282:$AB282,MATCH("Xero Invoice Date",$A$1:$AB$1,0)),"")</f>
        <v/>
      </c>
      <c r="AF282" s="54">
        <f>IF(AND(IFERROR(INDEX($A282:$AB282,MATCH("Xero Invoice No",$A$1:$AB$1,0)),"")&amp;""&lt;&gt;"",ISNUMBER(AE282),AD282&lt;&gt;0),1,0)</f>
        <v/>
      </c>
      <c r="AG282" s="55">
        <f>IF(AF282=1,EOMONTH(AE282,0),"")</f>
        <v/>
      </c>
      <c r="AH282" s="9">
        <f>IF(AF282=1,UPPER(TRIM(IFERROR(INDEX($A282:$AB282,MATCH("Client",$A$1:$AB$1,0)),"")&amp;"")),"")</f>
        <v/>
      </c>
      <c r="AI282" s="9">
        <f>IF(AF282=1,IFERROR(INDEX($A282:$AB282,MATCH("Cost Centre",$A$1:$AB$1,0)),"")&amp;"","")</f>
        <v/>
      </c>
      <c r="AJ282" s="54">
        <f>IF(AND(AF282=1,AE282&gt;=set_FYStart,AE282&lt;=set_AsAt),1,0)</f>
        <v/>
      </c>
      <c r="AK282" s="54">
        <f>IF(AND(AJ282=1,AH282&lt;&gt;"",COUNTIFS($AH$2:AH282,AH282,$AJ$2:AJ282,1)=1),N(AL281)+1,"")</f>
        <v/>
      </c>
      <c r="AL282" s="54">
        <f>IF(AK282&lt;&gt;"",AK282,N(AL281))</f>
        <v/>
      </c>
    </row>
    <row r="283">
      <c r="A283" t="inlineStr">
        <is>
          <t>CON-0094</t>
        </is>
      </c>
      <c r="B283" t="inlineStr">
        <is>
          <t>Consulting</t>
        </is>
      </c>
      <c r="AB283" t="n">
        <v>94</v>
      </c>
      <c r="AD283" s="52">
        <f>IFERROR(N(IFERROR(INDEX($A283:$AB283,MATCH("Xero Invoiced Ex GST",$A$1:$AB$1,0)),"")),0)</f>
        <v/>
      </c>
      <c r="AE283" s="53">
        <f>IFERROR(INDEX($A283:$AB283,MATCH("Xero Invoice Date",$A$1:$AB$1,0)),"")</f>
        <v/>
      </c>
      <c r="AF283" s="54">
        <f>IF(AND(IFERROR(INDEX($A283:$AB283,MATCH("Xero Invoice No",$A$1:$AB$1,0)),"")&amp;""&lt;&gt;"",ISNUMBER(AE283),AD283&lt;&gt;0),1,0)</f>
        <v/>
      </c>
      <c r="AG283" s="55">
        <f>IF(AF283=1,EOMONTH(AE283,0),"")</f>
        <v/>
      </c>
      <c r="AH283" s="9">
        <f>IF(AF283=1,UPPER(TRIM(IFERROR(INDEX($A283:$AB283,MATCH("Client",$A$1:$AB$1,0)),"")&amp;"")),"")</f>
        <v/>
      </c>
      <c r="AI283" s="9">
        <f>IF(AF283=1,IFERROR(INDEX($A283:$AB283,MATCH("Cost Centre",$A$1:$AB$1,0)),"")&amp;"","")</f>
        <v/>
      </c>
      <c r="AJ283" s="54">
        <f>IF(AND(AF283=1,AE283&gt;=set_FYStart,AE283&lt;=set_AsAt),1,0)</f>
        <v/>
      </c>
      <c r="AK283" s="54">
        <f>IF(AND(AJ283=1,AH283&lt;&gt;"",COUNTIFS($AH$2:AH283,AH283,$AJ$2:AJ283,1)=1),N(AL282)+1,"")</f>
        <v/>
      </c>
      <c r="AL283" s="54">
        <f>IF(AK283&lt;&gt;"",AK283,N(AL282))</f>
        <v/>
      </c>
    </row>
    <row r="284">
      <c r="A284" t="inlineStr">
        <is>
          <t>ONS-0095</t>
        </is>
      </c>
      <c r="B284" t="inlineStr">
        <is>
          <t>Onsite</t>
        </is>
      </c>
      <c r="R284" t="inlineStr">
        <is>
          <t>GST 10%</t>
        </is>
      </c>
      <c r="AB284" t="n">
        <v>95</v>
      </c>
      <c r="AD284" s="52">
        <f>IFERROR(N(IFERROR(INDEX($A284:$AB284,MATCH("Xero Invoiced Ex GST",$A$1:$AB$1,0)),"")),0)</f>
        <v/>
      </c>
      <c r="AE284" s="53">
        <f>IFERROR(INDEX($A284:$AB284,MATCH("Xero Invoice Date",$A$1:$AB$1,0)),"")</f>
        <v/>
      </c>
      <c r="AF284" s="54">
        <f>IF(AND(IFERROR(INDEX($A284:$AB284,MATCH("Xero Invoice No",$A$1:$AB$1,0)),"")&amp;""&lt;&gt;"",ISNUMBER(AE284),AD284&lt;&gt;0),1,0)</f>
        <v/>
      </c>
      <c r="AG284" s="55">
        <f>IF(AF284=1,EOMONTH(AE284,0),"")</f>
        <v/>
      </c>
      <c r="AH284" s="9">
        <f>IF(AF284=1,UPPER(TRIM(IFERROR(INDEX($A284:$AB284,MATCH("Client",$A$1:$AB$1,0)),"")&amp;"")),"")</f>
        <v/>
      </c>
      <c r="AI284" s="9">
        <f>IF(AF284=1,IFERROR(INDEX($A284:$AB284,MATCH("Cost Centre",$A$1:$AB$1,0)),"")&amp;"","")</f>
        <v/>
      </c>
      <c r="AJ284" s="54">
        <f>IF(AND(AF284=1,AE284&gt;=set_FYStart,AE284&lt;=set_AsAt),1,0)</f>
        <v/>
      </c>
      <c r="AK284" s="54">
        <f>IF(AND(AJ284=1,AH284&lt;&gt;"",COUNTIFS($AH$2:AH284,AH284,$AJ$2:AJ284,1)=1),N(AL283)+1,"")</f>
        <v/>
      </c>
      <c r="AL284" s="54">
        <f>IF(AK284&lt;&gt;"",AK284,N(AL283))</f>
        <v/>
      </c>
    </row>
    <row r="285">
      <c r="A285" t="inlineStr">
        <is>
          <t>PRD-0095</t>
        </is>
      </c>
      <c r="B285" t="inlineStr">
        <is>
          <t>Production</t>
        </is>
      </c>
      <c r="AB285" t="n">
        <v>95</v>
      </c>
      <c r="AD285" s="52">
        <f>IFERROR(N(IFERROR(INDEX($A285:$AB285,MATCH("Xero Invoiced Ex GST",$A$1:$AB$1,0)),"")),0)</f>
        <v/>
      </c>
      <c r="AE285" s="53">
        <f>IFERROR(INDEX($A285:$AB285,MATCH("Xero Invoice Date",$A$1:$AB$1,0)),"")</f>
        <v/>
      </c>
      <c r="AF285" s="54">
        <f>IF(AND(IFERROR(INDEX($A285:$AB285,MATCH("Xero Invoice No",$A$1:$AB$1,0)),"")&amp;""&lt;&gt;"",ISNUMBER(AE285),AD285&lt;&gt;0),1,0)</f>
        <v/>
      </c>
      <c r="AG285" s="55">
        <f>IF(AF285=1,EOMONTH(AE285,0),"")</f>
        <v/>
      </c>
      <c r="AH285" s="9">
        <f>IF(AF285=1,UPPER(TRIM(IFERROR(INDEX($A285:$AB285,MATCH("Client",$A$1:$AB$1,0)),"")&amp;"")),"")</f>
        <v/>
      </c>
      <c r="AI285" s="9">
        <f>IF(AF285=1,IFERROR(INDEX($A285:$AB285,MATCH("Cost Centre",$A$1:$AB$1,0)),"")&amp;"","")</f>
        <v/>
      </c>
      <c r="AJ285" s="54">
        <f>IF(AND(AF285=1,AE285&gt;=set_FYStart,AE285&lt;=set_AsAt),1,0)</f>
        <v/>
      </c>
      <c r="AK285" s="54">
        <f>IF(AND(AJ285=1,AH285&lt;&gt;"",COUNTIFS($AH$2:AH285,AH285,$AJ$2:AJ285,1)=1),N(AL284)+1,"")</f>
        <v/>
      </c>
      <c r="AL285" s="54">
        <f>IF(AK285&lt;&gt;"",AK285,N(AL284))</f>
        <v/>
      </c>
    </row>
    <row r="286">
      <c r="A286" t="inlineStr">
        <is>
          <t>CON-0095</t>
        </is>
      </c>
      <c r="B286" t="inlineStr">
        <is>
          <t>Consulting</t>
        </is>
      </c>
      <c r="AB286" t="n">
        <v>95</v>
      </c>
      <c r="AD286" s="52">
        <f>IFERROR(N(IFERROR(INDEX($A286:$AB286,MATCH("Xero Invoiced Ex GST",$A$1:$AB$1,0)),"")),0)</f>
        <v/>
      </c>
      <c r="AE286" s="53">
        <f>IFERROR(INDEX($A286:$AB286,MATCH("Xero Invoice Date",$A$1:$AB$1,0)),"")</f>
        <v/>
      </c>
      <c r="AF286" s="54">
        <f>IF(AND(IFERROR(INDEX($A286:$AB286,MATCH("Xero Invoice No",$A$1:$AB$1,0)),"")&amp;""&lt;&gt;"",ISNUMBER(AE286),AD286&lt;&gt;0),1,0)</f>
        <v/>
      </c>
      <c r="AG286" s="55">
        <f>IF(AF286=1,EOMONTH(AE286,0),"")</f>
        <v/>
      </c>
      <c r="AH286" s="9">
        <f>IF(AF286=1,UPPER(TRIM(IFERROR(INDEX($A286:$AB286,MATCH("Client",$A$1:$AB$1,0)),"")&amp;"")),"")</f>
        <v/>
      </c>
      <c r="AI286" s="9">
        <f>IF(AF286=1,IFERROR(INDEX($A286:$AB286,MATCH("Cost Centre",$A$1:$AB$1,0)),"")&amp;"","")</f>
        <v/>
      </c>
      <c r="AJ286" s="54">
        <f>IF(AND(AF286=1,AE286&gt;=set_FYStart,AE286&lt;=set_AsAt),1,0)</f>
        <v/>
      </c>
      <c r="AK286" s="54">
        <f>IF(AND(AJ286=1,AH286&lt;&gt;"",COUNTIFS($AH$2:AH286,AH286,$AJ$2:AJ286,1)=1),N(AL285)+1,"")</f>
        <v/>
      </c>
      <c r="AL286" s="54">
        <f>IF(AK286&lt;&gt;"",AK286,N(AL285))</f>
        <v/>
      </c>
    </row>
    <row r="287">
      <c r="A287" t="inlineStr">
        <is>
          <t>ONS-0096</t>
        </is>
      </c>
      <c r="B287" t="inlineStr">
        <is>
          <t>Onsite</t>
        </is>
      </c>
      <c r="R287" t="inlineStr">
        <is>
          <t>GST 10%</t>
        </is>
      </c>
      <c r="AB287" t="n">
        <v>96</v>
      </c>
      <c r="AD287" s="52">
        <f>IFERROR(N(IFERROR(INDEX($A287:$AB287,MATCH("Xero Invoiced Ex GST",$A$1:$AB$1,0)),"")),0)</f>
        <v/>
      </c>
      <c r="AE287" s="53">
        <f>IFERROR(INDEX($A287:$AB287,MATCH("Xero Invoice Date",$A$1:$AB$1,0)),"")</f>
        <v/>
      </c>
      <c r="AF287" s="54">
        <f>IF(AND(IFERROR(INDEX($A287:$AB287,MATCH("Xero Invoice No",$A$1:$AB$1,0)),"")&amp;""&lt;&gt;"",ISNUMBER(AE287),AD287&lt;&gt;0),1,0)</f>
        <v/>
      </c>
      <c r="AG287" s="55">
        <f>IF(AF287=1,EOMONTH(AE287,0),"")</f>
        <v/>
      </c>
      <c r="AH287" s="9">
        <f>IF(AF287=1,UPPER(TRIM(IFERROR(INDEX($A287:$AB287,MATCH("Client",$A$1:$AB$1,0)),"")&amp;"")),"")</f>
        <v/>
      </c>
      <c r="AI287" s="9">
        <f>IF(AF287=1,IFERROR(INDEX($A287:$AB287,MATCH("Cost Centre",$A$1:$AB$1,0)),"")&amp;"","")</f>
        <v/>
      </c>
      <c r="AJ287" s="54">
        <f>IF(AND(AF287=1,AE287&gt;=set_FYStart,AE287&lt;=set_AsAt),1,0)</f>
        <v/>
      </c>
      <c r="AK287" s="54">
        <f>IF(AND(AJ287=1,AH287&lt;&gt;"",COUNTIFS($AH$2:AH287,AH287,$AJ$2:AJ287,1)=1),N(AL286)+1,"")</f>
        <v/>
      </c>
      <c r="AL287" s="54">
        <f>IF(AK287&lt;&gt;"",AK287,N(AL286))</f>
        <v/>
      </c>
    </row>
    <row r="288">
      <c r="A288" t="inlineStr">
        <is>
          <t>PRD-0096</t>
        </is>
      </c>
      <c r="B288" t="inlineStr">
        <is>
          <t>Production</t>
        </is>
      </c>
      <c r="AB288" t="n">
        <v>96</v>
      </c>
      <c r="AD288" s="52">
        <f>IFERROR(N(IFERROR(INDEX($A288:$AB288,MATCH("Xero Invoiced Ex GST",$A$1:$AB$1,0)),"")),0)</f>
        <v/>
      </c>
      <c r="AE288" s="53">
        <f>IFERROR(INDEX($A288:$AB288,MATCH("Xero Invoice Date",$A$1:$AB$1,0)),"")</f>
        <v/>
      </c>
      <c r="AF288" s="54">
        <f>IF(AND(IFERROR(INDEX($A288:$AB288,MATCH("Xero Invoice No",$A$1:$AB$1,0)),"")&amp;""&lt;&gt;"",ISNUMBER(AE288),AD288&lt;&gt;0),1,0)</f>
        <v/>
      </c>
      <c r="AG288" s="55">
        <f>IF(AF288=1,EOMONTH(AE288,0),"")</f>
        <v/>
      </c>
      <c r="AH288" s="9">
        <f>IF(AF288=1,UPPER(TRIM(IFERROR(INDEX($A288:$AB288,MATCH("Client",$A$1:$AB$1,0)),"")&amp;"")),"")</f>
        <v/>
      </c>
      <c r="AI288" s="9">
        <f>IF(AF288=1,IFERROR(INDEX($A288:$AB288,MATCH("Cost Centre",$A$1:$AB$1,0)),"")&amp;"","")</f>
        <v/>
      </c>
      <c r="AJ288" s="54">
        <f>IF(AND(AF288=1,AE288&gt;=set_FYStart,AE288&lt;=set_AsAt),1,0)</f>
        <v/>
      </c>
      <c r="AK288" s="54">
        <f>IF(AND(AJ288=1,AH288&lt;&gt;"",COUNTIFS($AH$2:AH288,AH288,$AJ$2:AJ288,1)=1),N(AL287)+1,"")</f>
        <v/>
      </c>
      <c r="AL288" s="54">
        <f>IF(AK288&lt;&gt;"",AK288,N(AL287))</f>
        <v/>
      </c>
    </row>
    <row r="289">
      <c r="A289" t="inlineStr">
        <is>
          <t>CON-0096</t>
        </is>
      </c>
      <c r="B289" t="inlineStr">
        <is>
          <t>Consulting</t>
        </is>
      </c>
      <c r="AB289" t="n">
        <v>96</v>
      </c>
      <c r="AD289" s="52">
        <f>IFERROR(N(IFERROR(INDEX($A289:$AB289,MATCH("Xero Invoiced Ex GST",$A$1:$AB$1,0)),"")),0)</f>
        <v/>
      </c>
      <c r="AE289" s="53">
        <f>IFERROR(INDEX($A289:$AB289,MATCH("Xero Invoice Date",$A$1:$AB$1,0)),"")</f>
        <v/>
      </c>
      <c r="AF289" s="54">
        <f>IF(AND(IFERROR(INDEX($A289:$AB289,MATCH("Xero Invoice No",$A$1:$AB$1,0)),"")&amp;""&lt;&gt;"",ISNUMBER(AE289),AD289&lt;&gt;0),1,0)</f>
        <v/>
      </c>
      <c r="AG289" s="55">
        <f>IF(AF289=1,EOMONTH(AE289,0),"")</f>
        <v/>
      </c>
      <c r="AH289" s="9">
        <f>IF(AF289=1,UPPER(TRIM(IFERROR(INDEX($A289:$AB289,MATCH("Client",$A$1:$AB$1,0)),"")&amp;"")),"")</f>
        <v/>
      </c>
      <c r="AI289" s="9">
        <f>IF(AF289=1,IFERROR(INDEX($A289:$AB289,MATCH("Cost Centre",$A$1:$AB$1,0)),"")&amp;"","")</f>
        <v/>
      </c>
      <c r="AJ289" s="54">
        <f>IF(AND(AF289=1,AE289&gt;=set_FYStart,AE289&lt;=set_AsAt),1,0)</f>
        <v/>
      </c>
      <c r="AK289" s="54">
        <f>IF(AND(AJ289=1,AH289&lt;&gt;"",COUNTIFS($AH$2:AH289,AH289,$AJ$2:AJ289,1)=1),N(AL288)+1,"")</f>
        <v/>
      </c>
      <c r="AL289" s="54">
        <f>IF(AK289&lt;&gt;"",AK289,N(AL288))</f>
        <v/>
      </c>
    </row>
    <row r="290">
      <c r="A290" t="inlineStr">
        <is>
          <t>ONS-0097</t>
        </is>
      </c>
      <c r="B290" t="inlineStr">
        <is>
          <t>Onsite</t>
        </is>
      </c>
      <c r="R290" t="inlineStr">
        <is>
          <t>GST 10%</t>
        </is>
      </c>
      <c r="AB290" t="n">
        <v>97</v>
      </c>
      <c r="AD290" s="52">
        <f>IFERROR(N(IFERROR(INDEX($A290:$AB290,MATCH("Xero Invoiced Ex GST",$A$1:$AB$1,0)),"")),0)</f>
        <v/>
      </c>
      <c r="AE290" s="53">
        <f>IFERROR(INDEX($A290:$AB290,MATCH("Xero Invoice Date",$A$1:$AB$1,0)),"")</f>
        <v/>
      </c>
      <c r="AF290" s="54">
        <f>IF(AND(IFERROR(INDEX($A290:$AB290,MATCH("Xero Invoice No",$A$1:$AB$1,0)),"")&amp;""&lt;&gt;"",ISNUMBER(AE290),AD290&lt;&gt;0),1,0)</f>
        <v/>
      </c>
      <c r="AG290" s="55">
        <f>IF(AF290=1,EOMONTH(AE290,0),"")</f>
        <v/>
      </c>
      <c r="AH290" s="9">
        <f>IF(AF290=1,UPPER(TRIM(IFERROR(INDEX($A290:$AB290,MATCH("Client",$A$1:$AB$1,0)),"")&amp;"")),"")</f>
        <v/>
      </c>
      <c r="AI290" s="9">
        <f>IF(AF290=1,IFERROR(INDEX($A290:$AB290,MATCH("Cost Centre",$A$1:$AB$1,0)),"")&amp;"","")</f>
        <v/>
      </c>
      <c r="AJ290" s="54">
        <f>IF(AND(AF290=1,AE290&gt;=set_FYStart,AE290&lt;=set_AsAt),1,0)</f>
        <v/>
      </c>
      <c r="AK290" s="54">
        <f>IF(AND(AJ290=1,AH290&lt;&gt;"",COUNTIFS($AH$2:AH290,AH290,$AJ$2:AJ290,1)=1),N(AL289)+1,"")</f>
        <v/>
      </c>
      <c r="AL290" s="54">
        <f>IF(AK290&lt;&gt;"",AK290,N(AL289))</f>
        <v/>
      </c>
    </row>
    <row r="291">
      <c r="A291" t="inlineStr">
        <is>
          <t>PRD-0097</t>
        </is>
      </c>
      <c r="B291" t="inlineStr">
        <is>
          <t>Production</t>
        </is>
      </c>
      <c r="AB291" t="n">
        <v>97</v>
      </c>
      <c r="AD291" s="52">
        <f>IFERROR(N(IFERROR(INDEX($A291:$AB291,MATCH("Xero Invoiced Ex GST",$A$1:$AB$1,0)),"")),0)</f>
        <v/>
      </c>
      <c r="AE291" s="53">
        <f>IFERROR(INDEX($A291:$AB291,MATCH("Xero Invoice Date",$A$1:$AB$1,0)),"")</f>
        <v/>
      </c>
      <c r="AF291" s="54">
        <f>IF(AND(IFERROR(INDEX($A291:$AB291,MATCH("Xero Invoice No",$A$1:$AB$1,0)),"")&amp;""&lt;&gt;"",ISNUMBER(AE291),AD291&lt;&gt;0),1,0)</f>
        <v/>
      </c>
      <c r="AG291" s="55">
        <f>IF(AF291=1,EOMONTH(AE291,0),"")</f>
        <v/>
      </c>
      <c r="AH291" s="9">
        <f>IF(AF291=1,UPPER(TRIM(IFERROR(INDEX($A291:$AB291,MATCH("Client",$A$1:$AB$1,0)),"")&amp;"")),"")</f>
        <v/>
      </c>
      <c r="AI291" s="9">
        <f>IF(AF291=1,IFERROR(INDEX($A291:$AB291,MATCH("Cost Centre",$A$1:$AB$1,0)),"")&amp;"","")</f>
        <v/>
      </c>
      <c r="AJ291" s="54">
        <f>IF(AND(AF291=1,AE291&gt;=set_FYStart,AE291&lt;=set_AsAt),1,0)</f>
        <v/>
      </c>
      <c r="AK291" s="54">
        <f>IF(AND(AJ291=1,AH291&lt;&gt;"",COUNTIFS($AH$2:AH291,AH291,$AJ$2:AJ291,1)=1),N(AL290)+1,"")</f>
        <v/>
      </c>
      <c r="AL291" s="54">
        <f>IF(AK291&lt;&gt;"",AK291,N(AL290))</f>
        <v/>
      </c>
    </row>
    <row r="292">
      <c r="A292" t="inlineStr">
        <is>
          <t>CON-0097</t>
        </is>
      </c>
      <c r="B292" t="inlineStr">
        <is>
          <t>Consulting</t>
        </is>
      </c>
      <c r="AB292" t="n">
        <v>97</v>
      </c>
      <c r="AD292" s="52">
        <f>IFERROR(N(IFERROR(INDEX($A292:$AB292,MATCH("Xero Invoiced Ex GST",$A$1:$AB$1,0)),"")),0)</f>
        <v/>
      </c>
      <c r="AE292" s="53">
        <f>IFERROR(INDEX($A292:$AB292,MATCH("Xero Invoice Date",$A$1:$AB$1,0)),"")</f>
        <v/>
      </c>
      <c r="AF292" s="54">
        <f>IF(AND(IFERROR(INDEX($A292:$AB292,MATCH("Xero Invoice No",$A$1:$AB$1,0)),"")&amp;""&lt;&gt;"",ISNUMBER(AE292),AD292&lt;&gt;0),1,0)</f>
        <v/>
      </c>
      <c r="AG292" s="55">
        <f>IF(AF292=1,EOMONTH(AE292,0),"")</f>
        <v/>
      </c>
      <c r="AH292" s="9">
        <f>IF(AF292=1,UPPER(TRIM(IFERROR(INDEX($A292:$AB292,MATCH("Client",$A$1:$AB$1,0)),"")&amp;"")),"")</f>
        <v/>
      </c>
      <c r="AI292" s="9">
        <f>IF(AF292=1,IFERROR(INDEX($A292:$AB292,MATCH("Cost Centre",$A$1:$AB$1,0)),"")&amp;"","")</f>
        <v/>
      </c>
      <c r="AJ292" s="54">
        <f>IF(AND(AF292=1,AE292&gt;=set_FYStart,AE292&lt;=set_AsAt),1,0)</f>
        <v/>
      </c>
      <c r="AK292" s="54">
        <f>IF(AND(AJ292=1,AH292&lt;&gt;"",COUNTIFS($AH$2:AH292,AH292,$AJ$2:AJ292,1)=1),N(AL291)+1,"")</f>
        <v/>
      </c>
      <c r="AL292" s="54">
        <f>IF(AK292&lt;&gt;"",AK292,N(AL291))</f>
        <v/>
      </c>
    </row>
    <row r="293">
      <c r="A293" t="inlineStr">
        <is>
          <t>ONS-0098</t>
        </is>
      </c>
      <c r="B293" t="inlineStr">
        <is>
          <t>Onsite</t>
        </is>
      </c>
      <c r="R293" t="inlineStr">
        <is>
          <t>GST 10%</t>
        </is>
      </c>
      <c r="AB293" t="n">
        <v>98</v>
      </c>
      <c r="AD293" s="52">
        <f>IFERROR(N(IFERROR(INDEX($A293:$AB293,MATCH("Xero Invoiced Ex GST",$A$1:$AB$1,0)),"")),0)</f>
        <v/>
      </c>
      <c r="AE293" s="53">
        <f>IFERROR(INDEX($A293:$AB293,MATCH("Xero Invoice Date",$A$1:$AB$1,0)),"")</f>
        <v/>
      </c>
      <c r="AF293" s="54">
        <f>IF(AND(IFERROR(INDEX($A293:$AB293,MATCH("Xero Invoice No",$A$1:$AB$1,0)),"")&amp;""&lt;&gt;"",ISNUMBER(AE293),AD293&lt;&gt;0),1,0)</f>
        <v/>
      </c>
      <c r="AG293" s="55">
        <f>IF(AF293=1,EOMONTH(AE293,0),"")</f>
        <v/>
      </c>
      <c r="AH293" s="9">
        <f>IF(AF293=1,UPPER(TRIM(IFERROR(INDEX($A293:$AB293,MATCH("Client",$A$1:$AB$1,0)),"")&amp;"")),"")</f>
        <v/>
      </c>
      <c r="AI293" s="9">
        <f>IF(AF293=1,IFERROR(INDEX($A293:$AB293,MATCH("Cost Centre",$A$1:$AB$1,0)),"")&amp;"","")</f>
        <v/>
      </c>
      <c r="AJ293" s="54">
        <f>IF(AND(AF293=1,AE293&gt;=set_FYStart,AE293&lt;=set_AsAt),1,0)</f>
        <v/>
      </c>
      <c r="AK293" s="54">
        <f>IF(AND(AJ293=1,AH293&lt;&gt;"",COUNTIFS($AH$2:AH293,AH293,$AJ$2:AJ293,1)=1),N(AL292)+1,"")</f>
        <v/>
      </c>
      <c r="AL293" s="54">
        <f>IF(AK293&lt;&gt;"",AK293,N(AL292))</f>
        <v/>
      </c>
    </row>
    <row r="294">
      <c r="A294" t="inlineStr">
        <is>
          <t>PRD-0098</t>
        </is>
      </c>
      <c r="B294" t="inlineStr">
        <is>
          <t>Production</t>
        </is>
      </c>
      <c r="AB294" t="n">
        <v>98</v>
      </c>
      <c r="AD294" s="52">
        <f>IFERROR(N(IFERROR(INDEX($A294:$AB294,MATCH("Xero Invoiced Ex GST",$A$1:$AB$1,0)),"")),0)</f>
        <v/>
      </c>
      <c r="AE294" s="53">
        <f>IFERROR(INDEX($A294:$AB294,MATCH("Xero Invoice Date",$A$1:$AB$1,0)),"")</f>
        <v/>
      </c>
      <c r="AF294" s="54">
        <f>IF(AND(IFERROR(INDEX($A294:$AB294,MATCH("Xero Invoice No",$A$1:$AB$1,0)),"")&amp;""&lt;&gt;"",ISNUMBER(AE294),AD294&lt;&gt;0),1,0)</f>
        <v/>
      </c>
      <c r="AG294" s="55">
        <f>IF(AF294=1,EOMONTH(AE294,0),"")</f>
        <v/>
      </c>
      <c r="AH294" s="9">
        <f>IF(AF294=1,UPPER(TRIM(IFERROR(INDEX($A294:$AB294,MATCH("Client",$A$1:$AB$1,0)),"")&amp;"")),"")</f>
        <v/>
      </c>
      <c r="AI294" s="9">
        <f>IF(AF294=1,IFERROR(INDEX($A294:$AB294,MATCH("Cost Centre",$A$1:$AB$1,0)),"")&amp;"","")</f>
        <v/>
      </c>
      <c r="AJ294" s="54">
        <f>IF(AND(AF294=1,AE294&gt;=set_FYStart,AE294&lt;=set_AsAt),1,0)</f>
        <v/>
      </c>
      <c r="AK294" s="54">
        <f>IF(AND(AJ294=1,AH294&lt;&gt;"",COUNTIFS($AH$2:AH294,AH294,$AJ$2:AJ294,1)=1),N(AL293)+1,"")</f>
        <v/>
      </c>
      <c r="AL294" s="54">
        <f>IF(AK294&lt;&gt;"",AK294,N(AL293))</f>
        <v/>
      </c>
    </row>
    <row r="295">
      <c r="A295" t="inlineStr">
        <is>
          <t>CON-0098</t>
        </is>
      </c>
      <c r="B295" t="inlineStr">
        <is>
          <t>Consulting</t>
        </is>
      </c>
      <c r="AB295" t="n">
        <v>98</v>
      </c>
      <c r="AD295" s="52">
        <f>IFERROR(N(IFERROR(INDEX($A295:$AB295,MATCH("Xero Invoiced Ex GST",$A$1:$AB$1,0)),"")),0)</f>
        <v/>
      </c>
      <c r="AE295" s="53">
        <f>IFERROR(INDEX($A295:$AB295,MATCH("Xero Invoice Date",$A$1:$AB$1,0)),"")</f>
        <v/>
      </c>
      <c r="AF295" s="54">
        <f>IF(AND(IFERROR(INDEX($A295:$AB295,MATCH("Xero Invoice No",$A$1:$AB$1,0)),"")&amp;""&lt;&gt;"",ISNUMBER(AE295),AD295&lt;&gt;0),1,0)</f>
        <v/>
      </c>
      <c r="AG295" s="55">
        <f>IF(AF295=1,EOMONTH(AE295,0),"")</f>
        <v/>
      </c>
      <c r="AH295" s="9">
        <f>IF(AF295=1,UPPER(TRIM(IFERROR(INDEX($A295:$AB295,MATCH("Client",$A$1:$AB$1,0)),"")&amp;"")),"")</f>
        <v/>
      </c>
      <c r="AI295" s="9">
        <f>IF(AF295=1,IFERROR(INDEX($A295:$AB295,MATCH("Cost Centre",$A$1:$AB$1,0)),"")&amp;"","")</f>
        <v/>
      </c>
      <c r="AJ295" s="54">
        <f>IF(AND(AF295=1,AE295&gt;=set_FYStart,AE295&lt;=set_AsAt),1,0)</f>
        <v/>
      </c>
      <c r="AK295" s="54">
        <f>IF(AND(AJ295=1,AH295&lt;&gt;"",COUNTIFS($AH$2:AH295,AH295,$AJ$2:AJ295,1)=1),N(AL294)+1,"")</f>
        <v/>
      </c>
      <c r="AL295" s="54">
        <f>IF(AK295&lt;&gt;"",AK295,N(AL294))</f>
        <v/>
      </c>
    </row>
    <row r="296">
      <c r="A296" t="inlineStr">
        <is>
          <t>ONS-0099</t>
        </is>
      </c>
      <c r="B296" t="inlineStr">
        <is>
          <t>Onsite</t>
        </is>
      </c>
      <c r="R296" t="inlineStr">
        <is>
          <t>GST 10%</t>
        </is>
      </c>
      <c r="AB296" t="n">
        <v>99</v>
      </c>
      <c r="AD296" s="52">
        <f>IFERROR(N(IFERROR(INDEX($A296:$AB296,MATCH("Xero Invoiced Ex GST",$A$1:$AB$1,0)),"")),0)</f>
        <v/>
      </c>
      <c r="AE296" s="53">
        <f>IFERROR(INDEX($A296:$AB296,MATCH("Xero Invoice Date",$A$1:$AB$1,0)),"")</f>
        <v/>
      </c>
      <c r="AF296" s="54">
        <f>IF(AND(IFERROR(INDEX($A296:$AB296,MATCH("Xero Invoice No",$A$1:$AB$1,0)),"")&amp;""&lt;&gt;"",ISNUMBER(AE296),AD296&lt;&gt;0),1,0)</f>
        <v/>
      </c>
      <c r="AG296" s="55">
        <f>IF(AF296=1,EOMONTH(AE296,0),"")</f>
        <v/>
      </c>
      <c r="AH296" s="9">
        <f>IF(AF296=1,UPPER(TRIM(IFERROR(INDEX($A296:$AB296,MATCH("Client",$A$1:$AB$1,0)),"")&amp;"")),"")</f>
        <v/>
      </c>
      <c r="AI296" s="9">
        <f>IF(AF296=1,IFERROR(INDEX($A296:$AB296,MATCH("Cost Centre",$A$1:$AB$1,0)),"")&amp;"","")</f>
        <v/>
      </c>
      <c r="AJ296" s="54">
        <f>IF(AND(AF296=1,AE296&gt;=set_FYStart,AE296&lt;=set_AsAt),1,0)</f>
        <v/>
      </c>
      <c r="AK296" s="54">
        <f>IF(AND(AJ296=1,AH296&lt;&gt;"",COUNTIFS($AH$2:AH296,AH296,$AJ$2:AJ296,1)=1),N(AL295)+1,"")</f>
        <v/>
      </c>
      <c r="AL296" s="54">
        <f>IF(AK296&lt;&gt;"",AK296,N(AL295))</f>
        <v/>
      </c>
    </row>
    <row r="297">
      <c r="A297" t="inlineStr">
        <is>
          <t>PRD-0099</t>
        </is>
      </c>
      <c r="B297" t="inlineStr">
        <is>
          <t>Production</t>
        </is>
      </c>
      <c r="AB297" t="n">
        <v>99</v>
      </c>
      <c r="AD297" s="52">
        <f>IFERROR(N(IFERROR(INDEX($A297:$AB297,MATCH("Xero Invoiced Ex GST",$A$1:$AB$1,0)),"")),0)</f>
        <v/>
      </c>
      <c r="AE297" s="53">
        <f>IFERROR(INDEX($A297:$AB297,MATCH("Xero Invoice Date",$A$1:$AB$1,0)),"")</f>
        <v/>
      </c>
      <c r="AF297" s="54">
        <f>IF(AND(IFERROR(INDEX($A297:$AB297,MATCH("Xero Invoice No",$A$1:$AB$1,0)),"")&amp;""&lt;&gt;"",ISNUMBER(AE297),AD297&lt;&gt;0),1,0)</f>
        <v/>
      </c>
      <c r="AG297" s="55">
        <f>IF(AF297=1,EOMONTH(AE297,0),"")</f>
        <v/>
      </c>
      <c r="AH297" s="9">
        <f>IF(AF297=1,UPPER(TRIM(IFERROR(INDEX($A297:$AB297,MATCH("Client",$A$1:$AB$1,0)),"")&amp;"")),"")</f>
        <v/>
      </c>
      <c r="AI297" s="9">
        <f>IF(AF297=1,IFERROR(INDEX($A297:$AB297,MATCH("Cost Centre",$A$1:$AB$1,0)),"")&amp;"","")</f>
        <v/>
      </c>
      <c r="AJ297" s="54">
        <f>IF(AND(AF297=1,AE297&gt;=set_FYStart,AE297&lt;=set_AsAt),1,0)</f>
        <v/>
      </c>
      <c r="AK297" s="54">
        <f>IF(AND(AJ297=1,AH297&lt;&gt;"",COUNTIFS($AH$2:AH297,AH297,$AJ$2:AJ297,1)=1),N(AL296)+1,"")</f>
        <v/>
      </c>
      <c r="AL297" s="54">
        <f>IF(AK297&lt;&gt;"",AK297,N(AL296))</f>
        <v/>
      </c>
    </row>
    <row r="298">
      <c r="A298" t="inlineStr">
        <is>
          <t>CON-0099</t>
        </is>
      </c>
      <c r="B298" t="inlineStr">
        <is>
          <t>Consulting</t>
        </is>
      </c>
      <c r="AB298" t="n">
        <v>99</v>
      </c>
      <c r="AD298" s="52">
        <f>IFERROR(N(IFERROR(INDEX($A298:$AB298,MATCH("Xero Invoiced Ex GST",$A$1:$AB$1,0)),"")),0)</f>
        <v/>
      </c>
      <c r="AE298" s="53">
        <f>IFERROR(INDEX($A298:$AB298,MATCH("Xero Invoice Date",$A$1:$AB$1,0)),"")</f>
        <v/>
      </c>
      <c r="AF298" s="54">
        <f>IF(AND(IFERROR(INDEX($A298:$AB298,MATCH("Xero Invoice No",$A$1:$AB$1,0)),"")&amp;""&lt;&gt;"",ISNUMBER(AE298),AD298&lt;&gt;0),1,0)</f>
        <v/>
      </c>
      <c r="AG298" s="55">
        <f>IF(AF298=1,EOMONTH(AE298,0),"")</f>
        <v/>
      </c>
      <c r="AH298" s="9">
        <f>IF(AF298=1,UPPER(TRIM(IFERROR(INDEX($A298:$AB298,MATCH("Client",$A$1:$AB$1,0)),"")&amp;"")),"")</f>
        <v/>
      </c>
      <c r="AI298" s="9">
        <f>IF(AF298=1,IFERROR(INDEX($A298:$AB298,MATCH("Cost Centre",$A$1:$AB$1,0)),"")&amp;"","")</f>
        <v/>
      </c>
      <c r="AJ298" s="54">
        <f>IF(AND(AF298=1,AE298&gt;=set_FYStart,AE298&lt;=set_AsAt),1,0)</f>
        <v/>
      </c>
      <c r="AK298" s="54">
        <f>IF(AND(AJ298=1,AH298&lt;&gt;"",COUNTIFS($AH$2:AH298,AH298,$AJ$2:AJ298,1)=1),N(AL297)+1,"")</f>
        <v/>
      </c>
      <c r="AL298" s="54">
        <f>IF(AK298&lt;&gt;"",AK298,N(AL297))</f>
        <v/>
      </c>
    </row>
    <row r="299">
      <c r="A299" t="inlineStr">
        <is>
          <t>ONS-0100</t>
        </is>
      </c>
      <c r="B299" t="inlineStr">
        <is>
          <t>Onsite</t>
        </is>
      </c>
      <c r="R299" t="inlineStr">
        <is>
          <t>GST 10%</t>
        </is>
      </c>
      <c r="AB299" t="n">
        <v>100</v>
      </c>
      <c r="AD299" s="52">
        <f>IFERROR(N(IFERROR(INDEX($A299:$AB299,MATCH("Xero Invoiced Ex GST",$A$1:$AB$1,0)),"")),0)</f>
        <v/>
      </c>
      <c r="AE299" s="53">
        <f>IFERROR(INDEX($A299:$AB299,MATCH("Xero Invoice Date",$A$1:$AB$1,0)),"")</f>
        <v/>
      </c>
      <c r="AF299" s="54">
        <f>IF(AND(IFERROR(INDEX($A299:$AB299,MATCH("Xero Invoice No",$A$1:$AB$1,0)),"")&amp;""&lt;&gt;"",ISNUMBER(AE299),AD299&lt;&gt;0),1,0)</f>
        <v/>
      </c>
      <c r="AG299" s="55">
        <f>IF(AF299=1,EOMONTH(AE299,0),"")</f>
        <v/>
      </c>
      <c r="AH299" s="9">
        <f>IF(AF299=1,UPPER(TRIM(IFERROR(INDEX($A299:$AB299,MATCH("Client",$A$1:$AB$1,0)),"")&amp;"")),"")</f>
        <v/>
      </c>
      <c r="AI299" s="9">
        <f>IF(AF299=1,IFERROR(INDEX($A299:$AB299,MATCH("Cost Centre",$A$1:$AB$1,0)),"")&amp;"","")</f>
        <v/>
      </c>
      <c r="AJ299" s="54">
        <f>IF(AND(AF299=1,AE299&gt;=set_FYStart,AE299&lt;=set_AsAt),1,0)</f>
        <v/>
      </c>
      <c r="AK299" s="54">
        <f>IF(AND(AJ299=1,AH299&lt;&gt;"",COUNTIFS($AH$2:AH299,AH299,$AJ$2:AJ299,1)=1),N(AL298)+1,"")</f>
        <v/>
      </c>
      <c r="AL299" s="54">
        <f>IF(AK299&lt;&gt;"",AK299,N(AL298))</f>
        <v/>
      </c>
    </row>
    <row r="300">
      <c r="A300" t="inlineStr">
        <is>
          <t>PRD-0100</t>
        </is>
      </c>
      <c r="B300" t="inlineStr">
        <is>
          <t>Production</t>
        </is>
      </c>
      <c r="AB300" t="n">
        <v>100</v>
      </c>
      <c r="AD300" s="52">
        <f>IFERROR(N(IFERROR(INDEX($A300:$AB300,MATCH("Xero Invoiced Ex GST",$A$1:$AB$1,0)),"")),0)</f>
        <v/>
      </c>
      <c r="AE300" s="53">
        <f>IFERROR(INDEX($A300:$AB300,MATCH("Xero Invoice Date",$A$1:$AB$1,0)),"")</f>
        <v/>
      </c>
      <c r="AF300" s="54">
        <f>IF(AND(IFERROR(INDEX($A300:$AB300,MATCH("Xero Invoice No",$A$1:$AB$1,0)),"")&amp;""&lt;&gt;"",ISNUMBER(AE300),AD300&lt;&gt;0),1,0)</f>
        <v/>
      </c>
      <c r="AG300" s="55">
        <f>IF(AF300=1,EOMONTH(AE300,0),"")</f>
        <v/>
      </c>
      <c r="AH300" s="9">
        <f>IF(AF300=1,UPPER(TRIM(IFERROR(INDEX($A300:$AB300,MATCH("Client",$A$1:$AB$1,0)),"")&amp;"")),"")</f>
        <v/>
      </c>
      <c r="AI300" s="9">
        <f>IF(AF300=1,IFERROR(INDEX($A300:$AB300,MATCH("Cost Centre",$A$1:$AB$1,0)),"")&amp;"","")</f>
        <v/>
      </c>
      <c r="AJ300" s="54">
        <f>IF(AND(AF300=1,AE300&gt;=set_FYStart,AE300&lt;=set_AsAt),1,0)</f>
        <v/>
      </c>
      <c r="AK300" s="54">
        <f>IF(AND(AJ300=1,AH300&lt;&gt;"",COUNTIFS($AH$2:AH300,AH300,$AJ$2:AJ300,1)=1),N(AL299)+1,"")</f>
        <v/>
      </c>
      <c r="AL300" s="54">
        <f>IF(AK300&lt;&gt;"",AK300,N(AL299))</f>
        <v/>
      </c>
    </row>
    <row r="301">
      <c r="A301" t="inlineStr">
        <is>
          <t>CON-0100</t>
        </is>
      </c>
      <c r="B301" t="inlineStr">
        <is>
          <t>Consulting</t>
        </is>
      </c>
      <c r="AB301" t="n">
        <v>100</v>
      </c>
      <c r="AD301" s="52">
        <f>IFERROR(N(IFERROR(INDEX($A301:$AB301,MATCH("Xero Invoiced Ex GST",$A$1:$AB$1,0)),"")),0)</f>
        <v/>
      </c>
      <c r="AE301" s="53">
        <f>IFERROR(INDEX($A301:$AB301,MATCH("Xero Invoice Date",$A$1:$AB$1,0)),"")</f>
        <v/>
      </c>
      <c r="AF301" s="54">
        <f>IF(AND(IFERROR(INDEX($A301:$AB301,MATCH("Xero Invoice No",$A$1:$AB$1,0)),"")&amp;""&lt;&gt;"",ISNUMBER(AE301),AD301&lt;&gt;0),1,0)</f>
        <v/>
      </c>
      <c r="AG301" s="55">
        <f>IF(AF301=1,EOMONTH(AE301,0),"")</f>
        <v/>
      </c>
      <c r="AH301" s="9">
        <f>IF(AF301=1,UPPER(TRIM(IFERROR(INDEX($A301:$AB301,MATCH("Client",$A$1:$AB$1,0)),"")&amp;"")),"")</f>
        <v/>
      </c>
      <c r="AI301" s="9">
        <f>IF(AF301=1,IFERROR(INDEX($A301:$AB301,MATCH("Cost Centre",$A$1:$AB$1,0)),"")&amp;"","")</f>
        <v/>
      </c>
      <c r="AJ301" s="54">
        <f>IF(AND(AF301=1,AE301&gt;=set_FYStart,AE301&lt;=set_AsAt),1,0)</f>
        <v/>
      </c>
      <c r="AK301" s="54">
        <f>IF(AND(AJ301=1,AH301&lt;&gt;"",COUNTIFS($AH$2:AH301,AH301,$AJ$2:AJ301,1)=1),N(AL300)+1,"")</f>
        <v/>
      </c>
      <c r="AL301" s="54">
        <f>IF(AK301&lt;&gt;"",AK301,N(AL300))</f>
        <v/>
      </c>
    </row>
    <row r="302">
      <c r="A302" t="inlineStr">
        <is>
          <t>ONS-0101</t>
        </is>
      </c>
      <c r="B302" t="inlineStr">
        <is>
          <t>Onsite</t>
        </is>
      </c>
      <c r="R302" t="inlineStr">
        <is>
          <t>GST 10%</t>
        </is>
      </c>
      <c r="AB302" t="n">
        <v>101</v>
      </c>
      <c r="AD302" s="52">
        <f>IFERROR(N(IFERROR(INDEX($A302:$AB302,MATCH("Xero Invoiced Ex GST",$A$1:$AB$1,0)),"")),0)</f>
        <v/>
      </c>
      <c r="AE302" s="53">
        <f>IFERROR(INDEX($A302:$AB302,MATCH("Xero Invoice Date",$A$1:$AB$1,0)),"")</f>
        <v/>
      </c>
      <c r="AF302" s="54">
        <f>IF(AND(IFERROR(INDEX($A302:$AB302,MATCH("Xero Invoice No",$A$1:$AB$1,0)),"")&amp;""&lt;&gt;"",ISNUMBER(AE302),AD302&lt;&gt;0),1,0)</f>
        <v/>
      </c>
      <c r="AG302" s="55">
        <f>IF(AF302=1,EOMONTH(AE302,0),"")</f>
        <v/>
      </c>
      <c r="AH302" s="9">
        <f>IF(AF302=1,UPPER(TRIM(IFERROR(INDEX($A302:$AB302,MATCH("Client",$A$1:$AB$1,0)),"")&amp;"")),"")</f>
        <v/>
      </c>
      <c r="AI302" s="9">
        <f>IF(AF302=1,IFERROR(INDEX($A302:$AB302,MATCH("Cost Centre",$A$1:$AB$1,0)),"")&amp;"","")</f>
        <v/>
      </c>
      <c r="AJ302" s="54">
        <f>IF(AND(AF302=1,AE302&gt;=set_FYStart,AE302&lt;=set_AsAt),1,0)</f>
        <v/>
      </c>
      <c r="AK302" s="54">
        <f>IF(AND(AJ302=1,AH302&lt;&gt;"",COUNTIFS($AH$2:AH302,AH302,$AJ$2:AJ302,1)=1),N(AL301)+1,"")</f>
        <v/>
      </c>
      <c r="AL302" s="54">
        <f>IF(AK302&lt;&gt;"",AK302,N(AL301))</f>
        <v/>
      </c>
    </row>
    <row r="303">
      <c r="A303" t="inlineStr">
        <is>
          <t>PRD-0101</t>
        </is>
      </c>
      <c r="B303" t="inlineStr">
        <is>
          <t>Production</t>
        </is>
      </c>
      <c r="AB303" t="n">
        <v>101</v>
      </c>
      <c r="AD303" s="52">
        <f>IFERROR(N(IFERROR(INDEX($A303:$AB303,MATCH("Xero Invoiced Ex GST",$A$1:$AB$1,0)),"")),0)</f>
        <v/>
      </c>
      <c r="AE303" s="53">
        <f>IFERROR(INDEX($A303:$AB303,MATCH("Xero Invoice Date",$A$1:$AB$1,0)),"")</f>
        <v/>
      </c>
      <c r="AF303" s="54">
        <f>IF(AND(IFERROR(INDEX($A303:$AB303,MATCH("Xero Invoice No",$A$1:$AB$1,0)),"")&amp;""&lt;&gt;"",ISNUMBER(AE303),AD303&lt;&gt;0),1,0)</f>
        <v/>
      </c>
      <c r="AG303" s="55">
        <f>IF(AF303=1,EOMONTH(AE303,0),"")</f>
        <v/>
      </c>
      <c r="AH303" s="9">
        <f>IF(AF303=1,UPPER(TRIM(IFERROR(INDEX($A303:$AB303,MATCH("Client",$A$1:$AB$1,0)),"")&amp;"")),"")</f>
        <v/>
      </c>
      <c r="AI303" s="9">
        <f>IF(AF303=1,IFERROR(INDEX($A303:$AB303,MATCH("Cost Centre",$A$1:$AB$1,0)),"")&amp;"","")</f>
        <v/>
      </c>
      <c r="AJ303" s="54">
        <f>IF(AND(AF303=1,AE303&gt;=set_FYStart,AE303&lt;=set_AsAt),1,0)</f>
        <v/>
      </c>
      <c r="AK303" s="54">
        <f>IF(AND(AJ303=1,AH303&lt;&gt;"",COUNTIFS($AH$2:AH303,AH303,$AJ$2:AJ303,1)=1),N(AL302)+1,"")</f>
        <v/>
      </c>
      <c r="AL303" s="54">
        <f>IF(AK303&lt;&gt;"",AK303,N(AL302))</f>
        <v/>
      </c>
    </row>
    <row r="304">
      <c r="A304" t="inlineStr">
        <is>
          <t>CON-0101</t>
        </is>
      </c>
      <c r="B304" t="inlineStr">
        <is>
          <t>Consulting</t>
        </is>
      </c>
      <c r="AB304" t="n">
        <v>101</v>
      </c>
      <c r="AD304" s="52">
        <f>IFERROR(N(IFERROR(INDEX($A304:$AB304,MATCH("Xero Invoiced Ex GST",$A$1:$AB$1,0)),"")),0)</f>
        <v/>
      </c>
      <c r="AE304" s="53">
        <f>IFERROR(INDEX($A304:$AB304,MATCH("Xero Invoice Date",$A$1:$AB$1,0)),"")</f>
        <v/>
      </c>
      <c r="AF304" s="54">
        <f>IF(AND(IFERROR(INDEX($A304:$AB304,MATCH("Xero Invoice No",$A$1:$AB$1,0)),"")&amp;""&lt;&gt;"",ISNUMBER(AE304),AD304&lt;&gt;0),1,0)</f>
        <v/>
      </c>
      <c r="AG304" s="55">
        <f>IF(AF304=1,EOMONTH(AE304,0),"")</f>
        <v/>
      </c>
      <c r="AH304" s="9">
        <f>IF(AF304=1,UPPER(TRIM(IFERROR(INDEX($A304:$AB304,MATCH("Client",$A$1:$AB$1,0)),"")&amp;"")),"")</f>
        <v/>
      </c>
      <c r="AI304" s="9">
        <f>IF(AF304=1,IFERROR(INDEX($A304:$AB304,MATCH("Cost Centre",$A$1:$AB$1,0)),"")&amp;"","")</f>
        <v/>
      </c>
      <c r="AJ304" s="54">
        <f>IF(AND(AF304=1,AE304&gt;=set_FYStart,AE304&lt;=set_AsAt),1,0)</f>
        <v/>
      </c>
      <c r="AK304" s="54">
        <f>IF(AND(AJ304=1,AH304&lt;&gt;"",COUNTIFS($AH$2:AH304,AH304,$AJ$2:AJ304,1)=1),N(AL303)+1,"")</f>
        <v/>
      </c>
      <c r="AL304" s="54">
        <f>IF(AK304&lt;&gt;"",AK304,N(AL303))</f>
        <v/>
      </c>
    </row>
    <row r="305">
      <c r="A305" t="inlineStr">
        <is>
          <t>ONS-0102</t>
        </is>
      </c>
      <c r="B305" t="inlineStr">
        <is>
          <t>Onsite</t>
        </is>
      </c>
      <c r="R305" t="inlineStr">
        <is>
          <t>GST 10%</t>
        </is>
      </c>
      <c r="AB305" t="n">
        <v>102</v>
      </c>
      <c r="AD305" s="52">
        <f>IFERROR(N(IFERROR(INDEX($A305:$AB305,MATCH("Xero Invoiced Ex GST",$A$1:$AB$1,0)),"")),0)</f>
        <v/>
      </c>
      <c r="AE305" s="53">
        <f>IFERROR(INDEX($A305:$AB305,MATCH("Xero Invoice Date",$A$1:$AB$1,0)),"")</f>
        <v/>
      </c>
      <c r="AF305" s="54">
        <f>IF(AND(IFERROR(INDEX($A305:$AB305,MATCH("Xero Invoice No",$A$1:$AB$1,0)),"")&amp;""&lt;&gt;"",ISNUMBER(AE305),AD305&lt;&gt;0),1,0)</f>
        <v/>
      </c>
      <c r="AG305" s="55">
        <f>IF(AF305=1,EOMONTH(AE305,0),"")</f>
        <v/>
      </c>
      <c r="AH305" s="9">
        <f>IF(AF305=1,UPPER(TRIM(IFERROR(INDEX($A305:$AB305,MATCH("Client",$A$1:$AB$1,0)),"")&amp;"")),"")</f>
        <v/>
      </c>
      <c r="AI305" s="9">
        <f>IF(AF305=1,IFERROR(INDEX($A305:$AB305,MATCH("Cost Centre",$A$1:$AB$1,0)),"")&amp;"","")</f>
        <v/>
      </c>
      <c r="AJ305" s="54">
        <f>IF(AND(AF305=1,AE305&gt;=set_FYStart,AE305&lt;=set_AsAt),1,0)</f>
        <v/>
      </c>
      <c r="AK305" s="54">
        <f>IF(AND(AJ305=1,AH305&lt;&gt;"",COUNTIFS($AH$2:AH305,AH305,$AJ$2:AJ305,1)=1),N(AL304)+1,"")</f>
        <v/>
      </c>
      <c r="AL305" s="54">
        <f>IF(AK305&lt;&gt;"",AK305,N(AL304))</f>
        <v/>
      </c>
    </row>
    <row r="306">
      <c r="A306" t="inlineStr">
        <is>
          <t>PRD-0102</t>
        </is>
      </c>
      <c r="B306" t="inlineStr">
        <is>
          <t>Production</t>
        </is>
      </c>
      <c r="AB306" t="n">
        <v>102</v>
      </c>
      <c r="AD306" s="52">
        <f>IFERROR(N(IFERROR(INDEX($A306:$AB306,MATCH("Xero Invoiced Ex GST",$A$1:$AB$1,0)),"")),0)</f>
        <v/>
      </c>
      <c r="AE306" s="53">
        <f>IFERROR(INDEX($A306:$AB306,MATCH("Xero Invoice Date",$A$1:$AB$1,0)),"")</f>
        <v/>
      </c>
      <c r="AF306" s="54">
        <f>IF(AND(IFERROR(INDEX($A306:$AB306,MATCH("Xero Invoice No",$A$1:$AB$1,0)),"")&amp;""&lt;&gt;"",ISNUMBER(AE306),AD306&lt;&gt;0),1,0)</f>
        <v/>
      </c>
      <c r="AG306" s="55">
        <f>IF(AF306=1,EOMONTH(AE306,0),"")</f>
        <v/>
      </c>
      <c r="AH306" s="9">
        <f>IF(AF306=1,UPPER(TRIM(IFERROR(INDEX($A306:$AB306,MATCH("Client",$A$1:$AB$1,0)),"")&amp;"")),"")</f>
        <v/>
      </c>
      <c r="AI306" s="9">
        <f>IF(AF306=1,IFERROR(INDEX($A306:$AB306,MATCH("Cost Centre",$A$1:$AB$1,0)),"")&amp;"","")</f>
        <v/>
      </c>
      <c r="AJ306" s="54">
        <f>IF(AND(AF306=1,AE306&gt;=set_FYStart,AE306&lt;=set_AsAt),1,0)</f>
        <v/>
      </c>
      <c r="AK306" s="54">
        <f>IF(AND(AJ306=1,AH306&lt;&gt;"",COUNTIFS($AH$2:AH306,AH306,$AJ$2:AJ306,1)=1),N(AL305)+1,"")</f>
        <v/>
      </c>
      <c r="AL306" s="54">
        <f>IF(AK306&lt;&gt;"",AK306,N(AL305))</f>
        <v/>
      </c>
    </row>
    <row r="307">
      <c r="A307" t="inlineStr">
        <is>
          <t>CON-0102</t>
        </is>
      </c>
      <c r="B307" t="inlineStr">
        <is>
          <t>Consulting</t>
        </is>
      </c>
      <c r="AB307" t="n">
        <v>102</v>
      </c>
      <c r="AD307" s="52">
        <f>IFERROR(N(IFERROR(INDEX($A307:$AB307,MATCH("Xero Invoiced Ex GST",$A$1:$AB$1,0)),"")),0)</f>
        <v/>
      </c>
      <c r="AE307" s="53">
        <f>IFERROR(INDEX($A307:$AB307,MATCH("Xero Invoice Date",$A$1:$AB$1,0)),"")</f>
        <v/>
      </c>
      <c r="AF307" s="54">
        <f>IF(AND(IFERROR(INDEX($A307:$AB307,MATCH("Xero Invoice No",$A$1:$AB$1,0)),"")&amp;""&lt;&gt;"",ISNUMBER(AE307),AD307&lt;&gt;0),1,0)</f>
        <v/>
      </c>
      <c r="AG307" s="55">
        <f>IF(AF307=1,EOMONTH(AE307,0),"")</f>
        <v/>
      </c>
      <c r="AH307" s="9">
        <f>IF(AF307=1,UPPER(TRIM(IFERROR(INDEX($A307:$AB307,MATCH("Client",$A$1:$AB$1,0)),"")&amp;"")),"")</f>
        <v/>
      </c>
      <c r="AI307" s="9">
        <f>IF(AF307=1,IFERROR(INDEX($A307:$AB307,MATCH("Cost Centre",$A$1:$AB$1,0)),"")&amp;"","")</f>
        <v/>
      </c>
      <c r="AJ307" s="54">
        <f>IF(AND(AF307=1,AE307&gt;=set_FYStart,AE307&lt;=set_AsAt),1,0)</f>
        <v/>
      </c>
      <c r="AK307" s="54">
        <f>IF(AND(AJ307=1,AH307&lt;&gt;"",COUNTIFS($AH$2:AH307,AH307,$AJ$2:AJ307,1)=1),N(AL306)+1,"")</f>
        <v/>
      </c>
      <c r="AL307" s="54">
        <f>IF(AK307&lt;&gt;"",AK307,N(AL306))</f>
        <v/>
      </c>
    </row>
    <row r="308">
      <c r="A308" t="inlineStr">
        <is>
          <t>ONS-0103</t>
        </is>
      </c>
      <c r="B308" t="inlineStr">
        <is>
          <t>Onsite</t>
        </is>
      </c>
      <c r="R308" t="inlineStr">
        <is>
          <t>GST 10%</t>
        </is>
      </c>
      <c r="AB308" t="n">
        <v>103</v>
      </c>
      <c r="AD308" s="52">
        <f>IFERROR(N(IFERROR(INDEX($A308:$AB308,MATCH("Xero Invoiced Ex GST",$A$1:$AB$1,0)),"")),0)</f>
        <v/>
      </c>
      <c r="AE308" s="53">
        <f>IFERROR(INDEX($A308:$AB308,MATCH("Xero Invoice Date",$A$1:$AB$1,0)),"")</f>
        <v/>
      </c>
      <c r="AF308" s="54">
        <f>IF(AND(IFERROR(INDEX($A308:$AB308,MATCH("Xero Invoice No",$A$1:$AB$1,0)),"")&amp;""&lt;&gt;"",ISNUMBER(AE308),AD308&lt;&gt;0),1,0)</f>
        <v/>
      </c>
      <c r="AG308" s="55">
        <f>IF(AF308=1,EOMONTH(AE308,0),"")</f>
        <v/>
      </c>
      <c r="AH308" s="9">
        <f>IF(AF308=1,UPPER(TRIM(IFERROR(INDEX($A308:$AB308,MATCH("Client",$A$1:$AB$1,0)),"")&amp;"")),"")</f>
        <v/>
      </c>
      <c r="AI308" s="9">
        <f>IF(AF308=1,IFERROR(INDEX($A308:$AB308,MATCH("Cost Centre",$A$1:$AB$1,0)),"")&amp;"","")</f>
        <v/>
      </c>
      <c r="AJ308" s="54">
        <f>IF(AND(AF308=1,AE308&gt;=set_FYStart,AE308&lt;=set_AsAt),1,0)</f>
        <v/>
      </c>
      <c r="AK308" s="54">
        <f>IF(AND(AJ308=1,AH308&lt;&gt;"",COUNTIFS($AH$2:AH308,AH308,$AJ$2:AJ308,1)=1),N(AL307)+1,"")</f>
        <v/>
      </c>
      <c r="AL308" s="54">
        <f>IF(AK308&lt;&gt;"",AK308,N(AL307))</f>
        <v/>
      </c>
    </row>
    <row r="309">
      <c r="A309" t="inlineStr">
        <is>
          <t>PRD-0103</t>
        </is>
      </c>
      <c r="B309" t="inlineStr">
        <is>
          <t>Production</t>
        </is>
      </c>
      <c r="AB309" t="n">
        <v>103</v>
      </c>
      <c r="AD309" s="52">
        <f>IFERROR(N(IFERROR(INDEX($A309:$AB309,MATCH("Xero Invoiced Ex GST",$A$1:$AB$1,0)),"")),0)</f>
        <v/>
      </c>
      <c r="AE309" s="53">
        <f>IFERROR(INDEX($A309:$AB309,MATCH("Xero Invoice Date",$A$1:$AB$1,0)),"")</f>
        <v/>
      </c>
      <c r="AF309" s="54">
        <f>IF(AND(IFERROR(INDEX($A309:$AB309,MATCH("Xero Invoice No",$A$1:$AB$1,0)),"")&amp;""&lt;&gt;"",ISNUMBER(AE309),AD309&lt;&gt;0),1,0)</f>
        <v/>
      </c>
      <c r="AG309" s="55">
        <f>IF(AF309=1,EOMONTH(AE309,0),"")</f>
        <v/>
      </c>
      <c r="AH309" s="9">
        <f>IF(AF309=1,UPPER(TRIM(IFERROR(INDEX($A309:$AB309,MATCH("Client",$A$1:$AB$1,0)),"")&amp;"")),"")</f>
        <v/>
      </c>
      <c r="AI309" s="9">
        <f>IF(AF309=1,IFERROR(INDEX($A309:$AB309,MATCH("Cost Centre",$A$1:$AB$1,0)),"")&amp;"","")</f>
        <v/>
      </c>
      <c r="AJ309" s="54">
        <f>IF(AND(AF309=1,AE309&gt;=set_FYStart,AE309&lt;=set_AsAt),1,0)</f>
        <v/>
      </c>
      <c r="AK309" s="54">
        <f>IF(AND(AJ309=1,AH309&lt;&gt;"",COUNTIFS($AH$2:AH309,AH309,$AJ$2:AJ309,1)=1),N(AL308)+1,"")</f>
        <v/>
      </c>
      <c r="AL309" s="54">
        <f>IF(AK309&lt;&gt;"",AK309,N(AL308))</f>
        <v/>
      </c>
    </row>
    <row r="310">
      <c r="A310" t="inlineStr">
        <is>
          <t>CON-0103</t>
        </is>
      </c>
      <c r="B310" t="inlineStr">
        <is>
          <t>Consulting</t>
        </is>
      </c>
      <c r="AB310" t="n">
        <v>103</v>
      </c>
      <c r="AD310" s="52">
        <f>IFERROR(N(IFERROR(INDEX($A310:$AB310,MATCH("Xero Invoiced Ex GST",$A$1:$AB$1,0)),"")),0)</f>
        <v/>
      </c>
      <c r="AE310" s="53">
        <f>IFERROR(INDEX($A310:$AB310,MATCH("Xero Invoice Date",$A$1:$AB$1,0)),"")</f>
        <v/>
      </c>
      <c r="AF310" s="54">
        <f>IF(AND(IFERROR(INDEX($A310:$AB310,MATCH("Xero Invoice No",$A$1:$AB$1,0)),"")&amp;""&lt;&gt;"",ISNUMBER(AE310),AD310&lt;&gt;0),1,0)</f>
        <v/>
      </c>
      <c r="AG310" s="55">
        <f>IF(AF310=1,EOMONTH(AE310,0),"")</f>
        <v/>
      </c>
      <c r="AH310" s="9">
        <f>IF(AF310=1,UPPER(TRIM(IFERROR(INDEX($A310:$AB310,MATCH("Client",$A$1:$AB$1,0)),"")&amp;"")),"")</f>
        <v/>
      </c>
      <c r="AI310" s="9">
        <f>IF(AF310=1,IFERROR(INDEX($A310:$AB310,MATCH("Cost Centre",$A$1:$AB$1,0)),"")&amp;"","")</f>
        <v/>
      </c>
      <c r="AJ310" s="54">
        <f>IF(AND(AF310=1,AE310&gt;=set_FYStart,AE310&lt;=set_AsAt),1,0)</f>
        <v/>
      </c>
      <c r="AK310" s="54">
        <f>IF(AND(AJ310=1,AH310&lt;&gt;"",COUNTIFS($AH$2:AH310,AH310,$AJ$2:AJ310,1)=1),N(AL309)+1,"")</f>
        <v/>
      </c>
      <c r="AL310" s="54">
        <f>IF(AK310&lt;&gt;"",AK310,N(AL309))</f>
        <v/>
      </c>
    </row>
    <row r="311">
      <c r="A311" t="inlineStr">
        <is>
          <t>ONS-0104</t>
        </is>
      </c>
      <c r="B311" t="inlineStr">
        <is>
          <t>Onsite</t>
        </is>
      </c>
      <c r="R311" t="inlineStr">
        <is>
          <t>GST 10%</t>
        </is>
      </c>
      <c r="AB311" t="n">
        <v>104</v>
      </c>
      <c r="AD311" s="52">
        <f>IFERROR(N(IFERROR(INDEX($A311:$AB311,MATCH("Xero Invoiced Ex GST",$A$1:$AB$1,0)),"")),0)</f>
        <v/>
      </c>
      <c r="AE311" s="53">
        <f>IFERROR(INDEX($A311:$AB311,MATCH("Xero Invoice Date",$A$1:$AB$1,0)),"")</f>
        <v/>
      </c>
      <c r="AF311" s="54">
        <f>IF(AND(IFERROR(INDEX($A311:$AB311,MATCH("Xero Invoice No",$A$1:$AB$1,0)),"")&amp;""&lt;&gt;"",ISNUMBER(AE311),AD311&lt;&gt;0),1,0)</f>
        <v/>
      </c>
      <c r="AG311" s="55">
        <f>IF(AF311=1,EOMONTH(AE311,0),"")</f>
        <v/>
      </c>
      <c r="AH311" s="9">
        <f>IF(AF311=1,UPPER(TRIM(IFERROR(INDEX($A311:$AB311,MATCH("Client",$A$1:$AB$1,0)),"")&amp;"")),"")</f>
        <v/>
      </c>
      <c r="AI311" s="9">
        <f>IF(AF311=1,IFERROR(INDEX($A311:$AB311,MATCH("Cost Centre",$A$1:$AB$1,0)),"")&amp;"","")</f>
        <v/>
      </c>
      <c r="AJ311" s="54">
        <f>IF(AND(AF311=1,AE311&gt;=set_FYStart,AE311&lt;=set_AsAt),1,0)</f>
        <v/>
      </c>
      <c r="AK311" s="54">
        <f>IF(AND(AJ311=1,AH311&lt;&gt;"",COUNTIFS($AH$2:AH311,AH311,$AJ$2:AJ311,1)=1),N(AL310)+1,"")</f>
        <v/>
      </c>
      <c r="AL311" s="54">
        <f>IF(AK311&lt;&gt;"",AK311,N(AL310))</f>
        <v/>
      </c>
    </row>
    <row r="312">
      <c r="A312" t="inlineStr">
        <is>
          <t>PRD-0104</t>
        </is>
      </c>
      <c r="B312" t="inlineStr">
        <is>
          <t>Production</t>
        </is>
      </c>
      <c r="AB312" t="n">
        <v>104</v>
      </c>
      <c r="AD312" s="52">
        <f>IFERROR(N(IFERROR(INDEX($A312:$AB312,MATCH("Xero Invoiced Ex GST",$A$1:$AB$1,0)),"")),0)</f>
        <v/>
      </c>
      <c r="AE312" s="53">
        <f>IFERROR(INDEX($A312:$AB312,MATCH("Xero Invoice Date",$A$1:$AB$1,0)),"")</f>
        <v/>
      </c>
      <c r="AF312" s="54">
        <f>IF(AND(IFERROR(INDEX($A312:$AB312,MATCH("Xero Invoice No",$A$1:$AB$1,0)),"")&amp;""&lt;&gt;"",ISNUMBER(AE312),AD312&lt;&gt;0),1,0)</f>
        <v/>
      </c>
      <c r="AG312" s="55">
        <f>IF(AF312=1,EOMONTH(AE312,0),"")</f>
        <v/>
      </c>
      <c r="AH312" s="9">
        <f>IF(AF312=1,UPPER(TRIM(IFERROR(INDEX($A312:$AB312,MATCH("Client",$A$1:$AB$1,0)),"")&amp;"")),"")</f>
        <v/>
      </c>
      <c r="AI312" s="9">
        <f>IF(AF312=1,IFERROR(INDEX($A312:$AB312,MATCH("Cost Centre",$A$1:$AB$1,0)),"")&amp;"","")</f>
        <v/>
      </c>
      <c r="AJ312" s="54">
        <f>IF(AND(AF312=1,AE312&gt;=set_FYStart,AE312&lt;=set_AsAt),1,0)</f>
        <v/>
      </c>
      <c r="AK312" s="54">
        <f>IF(AND(AJ312=1,AH312&lt;&gt;"",COUNTIFS($AH$2:AH312,AH312,$AJ$2:AJ312,1)=1),N(AL311)+1,"")</f>
        <v/>
      </c>
      <c r="AL312" s="54">
        <f>IF(AK312&lt;&gt;"",AK312,N(AL311))</f>
        <v/>
      </c>
    </row>
    <row r="313">
      <c r="A313" t="inlineStr">
        <is>
          <t>CON-0104</t>
        </is>
      </c>
      <c r="B313" t="inlineStr">
        <is>
          <t>Consulting</t>
        </is>
      </c>
      <c r="AB313" t="n">
        <v>104</v>
      </c>
      <c r="AD313" s="52">
        <f>IFERROR(N(IFERROR(INDEX($A313:$AB313,MATCH("Xero Invoiced Ex GST",$A$1:$AB$1,0)),"")),0)</f>
        <v/>
      </c>
      <c r="AE313" s="53">
        <f>IFERROR(INDEX($A313:$AB313,MATCH("Xero Invoice Date",$A$1:$AB$1,0)),"")</f>
        <v/>
      </c>
      <c r="AF313" s="54">
        <f>IF(AND(IFERROR(INDEX($A313:$AB313,MATCH("Xero Invoice No",$A$1:$AB$1,0)),"")&amp;""&lt;&gt;"",ISNUMBER(AE313),AD313&lt;&gt;0),1,0)</f>
        <v/>
      </c>
      <c r="AG313" s="55">
        <f>IF(AF313=1,EOMONTH(AE313,0),"")</f>
        <v/>
      </c>
      <c r="AH313" s="9">
        <f>IF(AF313=1,UPPER(TRIM(IFERROR(INDEX($A313:$AB313,MATCH("Client",$A$1:$AB$1,0)),"")&amp;"")),"")</f>
        <v/>
      </c>
      <c r="AI313" s="9">
        <f>IF(AF313=1,IFERROR(INDEX($A313:$AB313,MATCH("Cost Centre",$A$1:$AB$1,0)),"")&amp;"","")</f>
        <v/>
      </c>
      <c r="AJ313" s="54">
        <f>IF(AND(AF313=1,AE313&gt;=set_FYStart,AE313&lt;=set_AsAt),1,0)</f>
        <v/>
      </c>
      <c r="AK313" s="54">
        <f>IF(AND(AJ313=1,AH313&lt;&gt;"",COUNTIFS($AH$2:AH313,AH313,$AJ$2:AJ313,1)=1),N(AL312)+1,"")</f>
        <v/>
      </c>
      <c r="AL313" s="54">
        <f>IF(AK313&lt;&gt;"",AK313,N(AL312))</f>
        <v/>
      </c>
    </row>
    <row r="314">
      <c r="A314" t="inlineStr">
        <is>
          <t>ONS-0105</t>
        </is>
      </c>
      <c r="B314" t="inlineStr">
        <is>
          <t>Onsite</t>
        </is>
      </c>
      <c r="R314" t="inlineStr">
        <is>
          <t>GST 10%</t>
        </is>
      </c>
      <c r="AB314" t="n">
        <v>105</v>
      </c>
      <c r="AD314" s="52">
        <f>IFERROR(N(IFERROR(INDEX($A314:$AB314,MATCH("Xero Invoiced Ex GST",$A$1:$AB$1,0)),"")),0)</f>
        <v/>
      </c>
      <c r="AE314" s="53">
        <f>IFERROR(INDEX($A314:$AB314,MATCH("Xero Invoice Date",$A$1:$AB$1,0)),"")</f>
        <v/>
      </c>
      <c r="AF314" s="54">
        <f>IF(AND(IFERROR(INDEX($A314:$AB314,MATCH("Xero Invoice No",$A$1:$AB$1,0)),"")&amp;""&lt;&gt;"",ISNUMBER(AE314),AD314&lt;&gt;0),1,0)</f>
        <v/>
      </c>
      <c r="AG314" s="55">
        <f>IF(AF314=1,EOMONTH(AE314,0),"")</f>
        <v/>
      </c>
      <c r="AH314" s="9">
        <f>IF(AF314=1,UPPER(TRIM(IFERROR(INDEX($A314:$AB314,MATCH("Client",$A$1:$AB$1,0)),"")&amp;"")),"")</f>
        <v/>
      </c>
      <c r="AI314" s="9">
        <f>IF(AF314=1,IFERROR(INDEX($A314:$AB314,MATCH("Cost Centre",$A$1:$AB$1,0)),"")&amp;"","")</f>
        <v/>
      </c>
      <c r="AJ314" s="54">
        <f>IF(AND(AF314=1,AE314&gt;=set_FYStart,AE314&lt;=set_AsAt),1,0)</f>
        <v/>
      </c>
      <c r="AK314" s="54">
        <f>IF(AND(AJ314=1,AH314&lt;&gt;"",COUNTIFS($AH$2:AH314,AH314,$AJ$2:AJ314,1)=1),N(AL313)+1,"")</f>
        <v/>
      </c>
      <c r="AL314" s="54">
        <f>IF(AK314&lt;&gt;"",AK314,N(AL313))</f>
        <v/>
      </c>
    </row>
    <row r="315">
      <c r="A315" t="inlineStr">
        <is>
          <t>PRD-0105</t>
        </is>
      </c>
      <c r="B315" t="inlineStr">
        <is>
          <t>Production</t>
        </is>
      </c>
      <c r="AB315" t="n">
        <v>105</v>
      </c>
      <c r="AD315" s="52">
        <f>IFERROR(N(IFERROR(INDEX($A315:$AB315,MATCH("Xero Invoiced Ex GST",$A$1:$AB$1,0)),"")),0)</f>
        <v/>
      </c>
      <c r="AE315" s="53">
        <f>IFERROR(INDEX($A315:$AB315,MATCH("Xero Invoice Date",$A$1:$AB$1,0)),"")</f>
        <v/>
      </c>
      <c r="AF315" s="54">
        <f>IF(AND(IFERROR(INDEX($A315:$AB315,MATCH("Xero Invoice No",$A$1:$AB$1,0)),"")&amp;""&lt;&gt;"",ISNUMBER(AE315),AD315&lt;&gt;0),1,0)</f>
        <v/>
      </c>
      <c r="AG315" s="55">
        <f>IF(AF315=1,EOMONTH(AE315,0),"")</f>
        <v/>
      </c>
      <c r="AH315" s="9">
        <f>IF(AF315=1,UPPER(TRIM(IFERROR(INDEX($A315:$AB315,MATCH("Client",$A$1:$AB$1,0)),"")&amp;"")),"")</f>
        <v/>
      </c>
      <c r="AI315" s="9">
        <f>IF(AF315=1,IFERROR(INDEX($A315:$AB315,MATCH("Cost Centre",$A$1:$AB$1,0)),"")&amp;"","")</f>
        <v/>
      </c>
      <c r="AJ315" s="54">
        <f>IF(AND(AF315=1,AE315&gt;=set_FYStart,AE315&lt;=set_AsAt),1,0)</f>
        <v/>
      </c>
      <c r="AK315" s="54">
        <f>IF(AND(AJ315=1,AH315&lt;&gt;"",COUNTIFS($AH$2:AH315,AH315,$AJ$2:AJ315,1)=1),N(AL314)+1,"")</f>
        <v/>
      </c>
      <c r="AL315" s="54">
        <f>IF(AK315&lt;&gt;"",AK315,N(AL314))</f>
        <v/>
      </c>
    </row>
    <row r="316">
      <c r="A316" t="inlineStr">
        <is>
          <t>CON-0105</t>
        </is>
      </c>
      <c r="B316" t="inlineStr">
        <is>
          <t>Consulting</t>
        </is>
      </c>
      <c r="AB316" t="n">
        <v>105</v>
      </c>
      <c r="AD316" s="52">
        <f>IFERROR(N(IFERROR(INDEX($A316:$AB316,MATCH("Xero Invoiced Ex GST",$A$1:$AB$1,0)),"")),0)</f>
        <v/>
      </c>
      <c r="AE316" s="53">
        <f>IFERROR(INDEX($A316:$AB316,MATCH("Xero Invoice Date",$A$1:$AB$1,0)),"")</f>
        <v/>
      </c>
      <c r="AF316" s="54">
        <f>IF(AND(IFERROR(INDEX($A316:$AB316,MATCH("Xero Invoice No",$A$1:$AB$1,0)),"")&amp;""&lt;&gt;"",ISNUMBER(AE316),AD316&lt;&gt;0),1,0)</f>
        <v/>
      </c>
      <c r="AG316" s="55">
        <f>IF(AF316=1,EOMONTH(AE316,0),"")</f>
        <v/>
      </c>
      <c r="AH316" s="9">
        <f>IF(AF316=1,UPPER(TRIM(IFERROR(INDEX($A316:$AB316,MATCH("Client",$A$1:$AB$1,0)),"")&amp;"")),"")</f>
        <v/>
      </c>
      <c r="AI316" s="9">
        <f>IF(AF316=1,IFERROR(INDEX($A316:$AB316,MATCH("Cost Centre",$A$1:$AB$1,0)),"")&amp;"","")</f>
        <v/>
      </c>
      <c r="AJ316" s="54">
        <f>IF(AND(AF316=1,AE316&gt;=set_FYStart,AE316&lt;=set_AsAt),1,0)</f>
        <v/>
      </c>
      <c r="AK316" s="54">
        <f>IF(AND(AJ316=1,AH316&lt;&gt;"",COUNTIFS($AH$2:AH316,AH316,$AJ$2:AJ316,1)=1),N(AL315)+1,"")</f>
        <v/>
      </c>
      <c r="AL316" s="54">
        <f>IF(AK316&lt;&gt;"",AK316,N(AL315))</f>
        <v/>
      </c>
    </row>
    <row r="317">
      <c r="A317" t="inlineStr">
        <is>
          <t>ONS-0106</t>
        </is>
      </c>
      <c r="B317" t="inlineStr">
        <is>
          <t>Onsite</t>
        </is>
      </c>
      <c r="R317" t="inlineStr">
        <is>
          <t>GST 10%</t>
        </is>
      </c>
      <c r="AB317" t="n">
        <v>106</v>
      </c>
      <c r="AD317" s="52">
        <f>IFERROR(N(IFERROR(INDEX($A317:$AB317,MATCH("Xero Invoiced Ex GST",$A$1:$AB$1,0)),"")),0)</f>
        <v/>
      </c>
      <c r="AE317" s="53">
        <f>IFERROR(INDEX($A317:$AB317,MATCH("Xero Invoice Date",$A$1:$AB$1,0)),"")</f>
        <v/>
      </c>
      <c r="AF317" s="54">
        <f>IF(AND(IFERROR(INDEX($A317:$AB317,MATCH("Xero Invoice No",$A$1:$AB$1,0)),"")&amp;""&lt;&gt;"",ISNUMBER(AE317),AD317&lt;&gt;0),1,0)</f>
        <v/>
      </c>
      <c r="AG317" s="55">
        <f>IF(AF317=1,EOMONTH(AE317,0),"")</f>
        <v/>
      </c>
      <c r="AH317" s="9">
        <f>IF(AF317=1,UPPER(TRIM(IFERROR(INDEX($A317:$AB317,MATCH("Client",$A$1:$AB$1,0)),"")&amp;"")),"")</f>
        <v/>
      </c>
      <c r="AI317" s="9">
        <f>IF(AF317=1,IFERROR(INDEX($A317:$AB317,MATCH("Cost Centre",$A$1:$AB$1,0)),"")&amp;"","")</f>
        <v/>
      </c>
      <c r="AJ317" s="54">
        <f>IF(AND(AF317=1,AE317&gt;=set_FYStart,AE317&lt;=set_AsAt),1,0)</f>
        <v/>
      </c>
      <c r="AK317" s="54">
        <f>IF(AND(AJ317=1,AH317&lt;&gt;"",COUNTIFS($AH$2:AH317,AH317,$AJ$2:AJ317,1)=1),N(AL316)+1,"")</f>
        <v/>
      </c>
      <c r="AL317" s="54">
        <f>IF(AK317&lt;&gt;"",AK317,N(AL316))</f>
        <v/>
      </c>
    </row>
    <row r="318">
      <c r="A318" t="inlineStr">
        <is>
          <t>PRD-0106</t>
        </is>
      </c>
      <c r="B318" t="inlineStr">
        <is>
          <t>Production</t>
        </is>
      </c>
      <c r="AB318" t="n">
        <v>106</v>
      </c>
      <c r="AD318" s="52">
        <f>IFERROR(N(IFERROR(INDEX($A318:$AB318,MATCH("Xero Invoiced Ex GST",$A$1:$AB$1,0)),"")),0)</f>
        <v/>
      </c>
      <c r="AE318" s="53">
        <f>IFERROR(INDEX($A318:$AB318,MATCH("Xero Invoice Date",$A$1:$AB$1,0)),"")</f>
        <v/>
      </c>
      <c r="AF318" s="54">
        <f>IF(AND(IFERROR(INDEX($A318:$AB318,MATCH("Xero Invoice No",$A$1:$AB$1,0)),"")&amp;""&lt;&gt;"",ISNUMBER(AE318),AD318&lt;&gt;0),1,0)</f>
        <v/>
      </c>
      <c r="AG318" s="55">
        <f>IF(AF318=1,EOMONTH(AE318,0),"")</f>
        <v/>
      </c>
      <c r="AH318" s="9">
        <f>IF(AF318=1,UPPER(TRIM(IFERROR(INDEX($A318:$AB318,MATCH("Client",$A$1:$AB$1,0)),"")&amp;"")),"")</f>
        <v/>
      </c>
      <c r="AI318" s="9">
        <f>IF(AF318=1,IFERROR(INDEX($A318:$AB318,MATCH("Cost Centre",$A$1:$AB$1,0)),"")&amp;"","")</f>
        <v/>
      </c>
      <c r="AJ318" s="54">
        <f>IF(AND(AF318=1,AE318&gt;=set_FYStart,AE318&lt;=set_AsAt),1,0)</f>
        <v/>
      </c>
      <c r="AK318" s="54">
        <f>IF(AND(AJ318=1,AH318&lt;&gt;"",COUNTIFS($AH$2:AH318,AH318,$AJ$2:AJ318,1)=1),N(AL317)+1,"")</f>
        <v/>
      </c>
      <c r="AL318" s="54">
        <f>IF(AK318&lt;&gt;"",AK318,N(AL317))</f>
        <v/>
      </c>
    </row>
    <row r="319">
      <c r="A319" t="inlineStr">
        <is>
          <t>CON-0106</t>
        </is>
      </c>
      <c r="B319" t="inlineStr">
        <is>
          <t>Consulting</t>
        </is>
      </c>
      <c r="AB319" t="n">
        <v>106</v>
      </c>
      <c r="AD319" s="52">
        <f>IFERROR(N(IFERROR(INDEX($A319:$AB319,MATCH("Xero Invoiced Ex GST",$A$1:$AB$1,0)),"")),0)</f>
        <v/>
      </c>
      <c r="AE319" s="53">
        <f>IFERROR(INDEX($A319:$AB319,MATCH("Xero Invoice Date",$A$1:$AB$1,0)),"")</f>
        <v/>
      </c>
      <c r="AF319" s="54">
        <f>IF(AND(IFERROR(INDEX($A319:$AB319,MATCH("Xero Invoice No",$A$1:$AB$1,0)),"")&amp;""&lt;&gt;"",ISNUMBER(AE319),AD319&lt;&gt;0),1,0)</f>
        <v/>
      </c>
      <c r="AG319" s="55">
        <f>IF(AF319=1,EOMONTH(AE319,0),"")</f>
        <v/>
      </c>
      <c r="AH319" s="9">
        <f>IF(AF319=1,UPPER(TRIM(IFERROR(INDEX($A319:$AB319,MATCH("Client",$A$1:$AB$1,0)),"")&amp;"")),"")</f>
        <v/>
      </c>
      <c r="AI319" s="9">
        <f>IF(AF319=1,IFERROR(INDEX($A319:$AB319,MATCH("Cost Centre",$A$1:$AB$1,0)),"")&amp;"","")</f>
        <v/>
      </c>
      <c r="AJ319" s="54">
        <f>IF(AND(AF319=1,AE319&gt;=set_FYStart,AE319&lt;=set_AsAt),1,0)</f>
        <v/>
      </c>
      <c r="AK319" s="54">
        <f>IF(AND(AJ319=1,AH319&lt;&gt;"",COUNTIFS($AH$2:AH319,AH319,$AJ$2:AJ319,1)=1),N(AL318)+1,"")</f>
        <v/>
      </c>
      <c r="AL319" s="54">
        <f>IF(AK319&lt;&gt;"",AK319,N(AL318))</f>
        <v/>
      </c>
    </row>
    <row r="320">
      <c r="A320" t="inlineStr">
        <is>
          <t>ONS-0107</t>
        </is>
      </c>
      <c r="B320" t="inlineStr">
        <is>
          <t>Onsite</t>
        </is>
      </c>
      <c r="R320" t="inlineStr">
        <is>
          <t>GST 10%</t>
        </is>
      </c>
      <c r="AB320" t="n">
        <v>107</v>
      </c>
      <c r="AD320" s="52">
        <f>IFERROR(N(IFERROR(INDEX($A320:$AB320,MATCH("Xero Invoiced Ex GST",$A$1:$AB$1,0)),"")),0)</f>
        <v/>
      </c>
      <c r="AE320" s="53">
        <f>IFERROR(INDEX($A320:$AB320,MATCH("Xero Invoice Date",$A$1:$AB$1,0)),"")</f>
        <v/>
      </c>
      <c r="AF320" s="54">
        <f>IF(AND(IFERROR(INDEX($A320:$AB320,MATCH("Xero Invoice No",$A$1:$AB$1,0)),"")&amp;""&lt;&gt;"",ISNUMBER(AE320),AD320&lt;&gt;0),1,0)</f>
        <v/>
      </c>
      <c r="AG320" s="55">
        <f>IF(AF320=1,EOMONTH(AE320,0),"")</f>
        <v/>
      </c>
      <c r="AH320" s="9">
        <f>IF(AF320=1,UPPER(TRIM(IFERROR(INDEX($A320:$AB320,MATCH("Client",$A$1:$AB$1,0)),"")&amp;"")),"")</f>
        <v/>
      </c>
      <c r="AI320" s="9">
        <f>IF(AF320=1,IFERROR(INDEX($A320:$AB320,MATCH("Cost Centre",$A$1:$AB$1,0)),"")&amp;"","")</f>
        <v/>
      </c>
      <c r="AJ320" s="54">
        <f>IF(AND(AF320=1,AE320&gt;=set_FYStart,AE320&lt;=set_AsAt),1,0)</f>
        <v/>
      </c>
      <c r="AK320" s="54">
        <f>IF(AND(AJ320=1,AH320&lt;&gt;"",COUNTIFS($AH$2:AH320,AH320,$AJ$2:AJ320,1)=1),N(AL319)+1,"")</f>
        <v/>
      </c>
      <c r="AL320" s="54">
        <f>IF(AK320&lt;&gt;"",AK320,N(AL319))</f>
        <v/>
      </c>
    </row>
    <row r="321">
      <c r="A321" t="inlineStr">
        <is>
          <t>PRD-0107</t>
        </is>
      </c>
      <c r="B321" t="inlineStr">
        <is>
          <t>Production</t>
        </is>
      </c>
      <c r="AB321" t="n">
        <v>107</v>
      </c>
      <c r="AD321" s="52">
        <f>IFERROR(N(IFERROR(INDEX($A321:$AB321,MATCH("Xero Invoiced Ex GST",$A$1:$AB$1,0)),"")),0)</f>
        <v/>
      </c>
      <c r="AE321" s="53">
        <f>IFERROR(INDEX($A321:$AB321,MATCH("Xero Invoice Date",$A$1:$AB$1,0)),"")</f>
        <v/>
      </c>
      <c r="AF321" s="54">
        <f>IF(AND(IFERROR(INDEX($A321:$AB321,MATCH("Xero Invoice No",$A$1:$AB$1,0)),"")&amp;""&lt;&gt;"",ISNUMBER(AE321),AD321&lt;&gt;0),1,0)</f>
        <v/>
      </c>
      <c r="AG321" s="55">
        <f>IF(AF321=1,EOMONTH(AE321,0),"")</f>
        <v/>
      </c>
      <c r="AH321" s="9">
        <f>IF(AF321=1,UPPER(TRIM(IFERROR(INDEX($A321:$AB321,MATCH("Client",$A$1:$AB$1,0)),"")&amp;"")),"")</f>
        <v/>
      </c>
      <c r="AI321" s="9">
        <f>IF(AF321=1,IFERROR(INDEX($A321:$AB321,MATCH("Cost Centre",$A$1:$AB$1,0)),"")&amp;"","")</f>
        <v/>
      </c>
      <c r="AJ321" s="54">
        <f>IF(AND(AF321=1,AE321&gt;=set_FYStart,AE321&lt;=set_AsAt),1,0)</f>
        <v/>
      </c>
      <c r="AK321" s="54">
        <f>IF(AND(AJ321=1,AH321&lt;&gt;"",COUNTIFS($AH$2:AH321,AH321,$AJ$2:AJ321,1)=1),N(AL320)+1,"")</f>
        <v/>
      </c>
      <c r="AL321" s="54">
        <f>IF(AK321&lt;&gt;"",AK321,N(AL320))</f>
        <v/>
      </c>
    </row>
    <row r="322">
      <c r="A322" t="inlineStr">
        <is>
          <t>CON-0107</t>
        </is>
      </c>
      <c r="B322" t="inlineStr">
        <is>
          <t>Consulting</t>
        </is>
      </c>
      <c r="AB322" t="n">
        <v>107</v>
      </c>
      <c r="AD322" s="52">
        <f>IFERROR(N(IFERROR(INDEX($A322:$AB322,MATCH("Xero Invoiced Ex GST",$A$1:$AB$1,0)),"")),0)</f>
        <v/>
      </c>
      <c r="AE322" s="53">
        <f>IFERROR(INDEX($A322:$AB322,MATCH("Xero Invoice Date",$A$1:$AB$1,0)),"")</f>
        <v/>
      </c>
      <c r="AF322" s="54">
        <f>IF(AND(IFERROR(INDEX($A322:$AB322,MATCH("Xero Invoice No",$A$1:$AB$1,0)),"")&amp;""&lt;&gt;"",ISNUMBER(AE322),AD322&lt;&gt;0),1,0)</f>
        <v/>
      </c>
      <c r="AG322" s="55">
        <f>IF(AF322=1,EOMONTH(AE322,0),"")</f>
        <v/>
      </c>
      <c r="AH322" s="9">
        <f>IF(AF322=1,UPPER(TRIM(IFERROR(INDEX($A322:$AB322,MATCH("Client",$A$1:$AB$1,0)),"")&amp;"")),"")</f>
        <v/>
      </c>
      <c r="AI322" s="9">
        <f>IF(AF322=1,IFERROR(INDEX($A322:$AB322,MATCH("Cost Centre",$A$1:$AB$1,0)),"")&amp;"","")</f>
        <v/>
      </c>
      <c r="AJ322" s="54">
        <f>IF(AND(AF322=1,AE322&gt;=set_FYStart,AE322&lt;=set_AsAt),1,0)</f>
        <v/>
      </c>
      <c r="AK322" s="54">
        <f>IF(AND(AJ322=1,AH322&lt;&gt;"",COUNTIFS($AH$2:AH322,AH322,$AJ$2:AJ322,1)=1),N(AL321)+1,"")</f>
        <v/>
      </c>
      <c r="AL322" s="54">
        <f>IF(AK322&lt;&gt;"",AK322,N(AL321))</f>
        <v/>
      </c>
    </row>
    <row r="323">
      <c r="A323" t="inlineStr">
        <is>
          <t>ONS-0108</t>
        </is>
      </c>
      <c r="B323" t="inlineStr">
        <is>
          <t>Onsite</t>
        </is>
      </c>
      <c r="R323" t="inlineStr">
        <is>
          <t>GST 10%</t>
        </is>
      </c>
      <c r="AB323" t="n">
        <v>108</v>
      </c>
      <c r="AD323" s="52">
        <f>IFERROR(N(IFERROR(INDEX($A323:$AB323,MATCH("Xero Invoiced Ex GST",$A$1:$AB$1,0)),"")),0)</f>
        <v/>
      </c>
      <c r="AE323" s="53">
        <f>IFERROR(INDEX($A323:$AB323,MATCH("Xero Invoice Date",$A$1:$AB$1,0)),"")</f>
        <v/>
      </c>
      <c r="AF323" s="54">
        <f>IF(AND(IFERROR(INDEX($A323:$AB323,MATCH("Xero Invoice No",$A$1:$AB$1,0)),"")&amp;""&lt;&gt;"",ISNUMBER(AE323),AD323&lt;&gt;0),1,0)</f>
        <v/>
      </c>
      <c r="AG323" s="55">
        <f>IF(AF323=1,EOMONTH(AE323,0),"")</f>
        <v/>
      </c>
      <c r="AH323" s="9">
        <f>IF(AF323=1,UPPER(TRIM(IFERROR(INDEX($A323:$AB323,MATCH("Client",$A$1:$AB$1,0)),"")&amp;"")),"")</f>
        <v/>
      </c>
      <c r="AI323" s="9">
        <f>IF(AF323=1,IFERROR(INDEX($A323:$AB323,MATCH("Cost Centre",$A$1:$AB$1,0)),"")&amp;"","")</f>
        <v/>
      </c>
      <c r="AJ323" s="54">
        <f>IF(AND(AF323=1,AE323&gt;=set_FYStart,AE323&lt;=set_AsAt),1,0)</f>
        <v/>
      </c>
      <c r="AK323" s="54">
        <f>IF(AND(AJ323=1,AH323&lt;&gt;"",COUNTIFS($AH$2:AH323,AH323,$AJ$2:AJ323,1)=1),N(AL322)+1,"")</f>
        <v/>
      </c>
      <c r="AL323" s="54">
        <f>IF(AK323&lt;&gt;"",AK323,N(AL322))</f>
        <v/>
      </c>
    </row>
    <row r="324">
      <c r="A324" t="inlineStr">
        <is>
          <t>PRD-0108</t>
        </is>
      </c>
      <c r="B324" t="inlineStr">
        <is>
          <t>Production</t>
        </is>
      </c>
      <c r="AB324" t="n">
        <v>108</v>
      </c>
      <c r="AD324" s="52">
        <f>IFERROR(N(IFERROR(INDEX($A324:$AB324,MATCH("Xero Invoiced Ex GST",$A$1:$AB$1,0)),"")),0)</f>
        <v/>
      </c>
      <c r="AE324" s="53">
        <f>IFERROR(INDEX($A324:$AB324,MATCH("Xero Invoice Date",$A$1:$AB$1,0)),"")</f>
        <v/>
      </c>
      <c r="AF324" s="54">
        <f>IF(AND(IFERROR(INDEX($A324:$AB324,MATCH("Xero Invoice No",$A$1:$AB$1,0)),"")&amp;""&lt;&gt;"",ISNUMBER(AE324),AD324&lt;&gt;0),1,0)</f>
        <v/>
      </c>
      <c r="AG324" s="55">
        <f>IF(AF324=1,EOMONTH(AE324,0),"")</f>
        <v/>
      </c>
      <c r="AH324" s="9">
        <f>IF(AF324=1,UPPER(TRIM(IFERROR(INDEX($A324:$AB324,MATCH("Client",$A$1:$AB$1,0)),"")&amp;"")),"")</f>
        <v/>
      </c>
      <c r="AI324" s="9">
        <f>IF(AF324=1,IFERROR(INDEX($A324:$AB324,MATCH("Cost Centre",$A$1:$AB$1,0)),"")&amp;"","")</f>
        <v/>
      </c>
      <c r="AJ324" s="54">
        <f>IF(AND(AF324=1,AE324&gt;=set_FYStart,AE324&lt;=set_AsAt),1,0)</f>
        <v/>
      </c>
      <c r="AK324" s="54">
        <f>IF(AND(AJ324=1,AH324&lt;&gt;"",COUNTIFS($AH$2:AH324,AH324,$AJ$2:AJ324,1)=1),N(AL323)+1,"")</f>
        <v/>
      </c>
      <c r="AL324" s="54">
        <f>IF(AK324&lt;&gt;"",AK324,N(AL323))</f>
        <v/>
      </c>
    </row>
    <row r="325">
      <c r="A325" t="inlineStr">
        <is>
          <t>CON-0108</t>
        </is>
      </c>
      <c r="B325" t="inlineStr">
        <is>
          <t>Consulting</t>
        </is>
      </c>
      <c r="AB325" t="n">
        <v>108</v>
      </c>
      <c r="AD325" s="52">
        <f>IFERROR(N(IFERROR(INDEX($A325:$AB325,MATCH("Xero Invoiced Ex GST",$A$1:$AB$1,0)),"")),0)</f>
        <v/>
      </c>
      <c r="AE325" s="53">
        <f>IFERROR(INDEX($A325:$AB325,MATCH("Xero Invoice Date",$A$1:$AB$1,0)),"")</f>
        <v/>
      </c>
      <c r="AF325" s="54">
        <f>IF(AND(IFERROR(INDEX($A325:$AB325,MATCH("Xero Invoice No",$A$1:$AB$1,0)),"")&amp;""&lt;&gt;"",ISNUMBER(AE325),AD325&lt;&gt;0),1,0)</f>
        <v/>
      </c>
      <c r="AG325" s="55">
        <f>IF(AF325=1,EOMONTH(AE325,0),"")</f>
        <v/>
      </c>
      <c r="AH325" s="9">
        <f>IF(AF325=1,UPPER(TRIM(IFERROR(INDEX($A325:$AB325,MATCH("Client",$A$1:$AB$1,0)),"")&amp;"")),"")</f>
        <v/>
      </c>
      <c r="AI325" s="9">
        <f>IF(AF325=1,IFERROR(INDEX($A325:$AB325,MATCH("Cost Centre",$A$1:$AB$1,0)),"")&amp;"","")</f>
        <v/>
      </c>
      <c r="AJ325" s="54">
        <f>IF(AND(AF325=1,AE325&gt;=set_FYStart,AE325&lt;=set_AsAt),1,0)</f>
        <v/>
      </c>
      <c r="AK325" s="54">
        <f>IF(AND(AJ325=1,AH325&lt;&gt;"",COUNTIFS($AH$2:AH325,AH325,$AJ$2:AJ325,1)=1),N(AL324)+1,"")</f>
        <v/>
      </c>
      <c r="AL325" s="54">
        <f>IF(AK325&lt;&gt;"",AK325,N(AL324))</f>
        <v/>
      </c>
    </row>
    <row r="326">
      <c r="A326" t="inlineStr">
        <is>
          <t>ONS-0109</t>
        </is>
      </c>
      <c r="B326" t="inlineStr">
        <is>
          <t>Onsite</t>
        </is>
      </c>
      <c r="R326" t="inlineStr">
        <is>
          <t>GST 10%</t>
        </is>
      </c>
      <c r="AB326" t="n">
        <v>109</v>
      </c>
      <c r="AD326" s="52">
        <f>IFERROR(N(IFERROR(INDEX($A326:$AB326,MATCH("Xero Invoiced Ex GST",$A$1:$AB$1,0)),"")),0)</f>
        <v/>
      </c>
      <c r="AE326" s="53">
        <f>IFERROR(INDEX($A326:$AB326,MATCH("Xero Invoice Date",$A$1:$AB$1,0)),"")</f>
        <v/>
      </c>
      <c r="AF326" s="54">
        <f>IF(AND(IFERROR(INDEX($A326:$AB326,MATCH("Xero Invoice No",$A$1:$AB$1,0)),"")&amp;""&lt;&gt;"",ISNUMBER(AE326),AD326&lt;&gt;0),1,0)</f>
        <v/>
      </c>
      <c r="AG326" s="55">
        <f>IF(AF326=1,EOMONTH(AE326,0),"")</f>
        <v/>
      </c>
      <c r="AH326" s="9">
        <f>IF(AF326=1,UPPER(TRIM(IFERROR(INDEX($A326:$AB326,MATCH("Client",$A$1:$AB$1,0)),"")&amp;"")),"")</f>
        <v/>
      </c>
      <c r="AI326" s="9">
        <f>IF(AF326=1,IFERROR(INDEX($A326:$AB326,MATCH("Cost Centre",$A$1:$AB$1,0)),"")&amp;"","")</f>
        <v/>
      </c>
      <c r="AJ326" s="54">
        <f>IF(AND(AF326=1,AE326&gt;=set_FYStart,AE326&lt;=set_AsAt),1,0)</f>
        <v/>
      </c>
      <c r="AK326" s="54">
        <f>IF(AND(AJ326=1,AH326&lt;&gt;"",COUNTIFS($AH$2:AH326,AH326,$AJ$2:AJ326,1)=1),N(AL325)+1,"")</f>
        <v/>
      </c>
      <c r="AL326" s="54">
        <f>IF(AK326&lt;&gt;"",AK326,N(AL325))</f>
        <v/>
      </c>
    </row>
    <row r="327">
      <c r="A327" t="inlineStr">
        <is>
          <t>PRD-0109</t>
        </is>
      </c>
      <c r="B327" t="inlineStr">
        <is>
          <t>Production</t>
        </is>
      </c>
      <c r="AB327" t="n">
        <v>109</v>
      </c>
      <c r="AD327" s="52">
        <f>IFERROR(N(IFERROR(INDEX($A327:$AB327,MATCH("Xero Invoiced Ex GST",$A$1:$AB$1,0)),"")),0)</f>
        <v/>
      </c>
      <c r="AE327" s="53">
        <f>IFERROR(INDEX($A327:$AB327,MATCH("Xero Invoice Date",$A$1:$AB$1,0)),"")</f>
        <v/>
      </c>
      <c r="AF327" s="54">
        <f>IF(AND(IFERROR(INDEX($A327:$AB327,MATCH("Xero Invoice No",$A$1:$AB$1,0)),"")&amp;""&lt;&gt;"",ISNUMBER(AE327),AD327&lt;&gt;0),1,0)</f>
        <v/>
      </c>
      <c r="AG327" s="55">
        <f>IF(AF327=1,EOMONTH(AE327,0),"")</f>
        <v/>
      </c>
      <c r="AH327" s="9">
        <f>IF(AF327=1,UPPER(TRIM(IFERROR(INDEX($A327:$AB327,MATCH("Client",$A$1:$AB$1,0)),"")&amp;"")),"")</f>
        <v/>
      </c>
      <c r="AI327" s="9">
        <f>IF(AF327=1,IFERROR(INDEX($A327:$AB327,MATCH("Cost Centre",$A$1:$AB$1,0)),"")&amp;"","")</f>
        <v/>
      </c>
      <c r="AJ327" s="54">
        <f>IF(AND(AF327=1,AE327&gt;=set_FYStart,AE327&lt;=set_AsAt),1,0)</f>
        <v/>
      </c>
      <c r="AK327" s="54">
        <f>IF(AND(AJ327=1,AH327&lt;&gt;"",COUNTIFS($AH$2:AH327,AH327,$AJ$2:AJ327,1)=1),N(AL326)+1,"")</f>
        <v/>
      </c>
      <c r="AL327" s="54">
        <f>IF(AK327&lt;&gt;"",AK327,N(AL326))</f>
        <v/>
      </c>
    </row>
    <row r="328">
      <c r="A328" t="inlineStr">
        <is>
          <t>CON-0109</t>
        </is>
      </c>
      <c r="B328" t="inlineStr">
        <is>
          <t>Consulting</t>
        </is>
      </c>
      <c r="AB328" t="n">
        <v>109</v>
      </c>
      <c r="AD328" s="52">
        <f>IFERROR(N(IFERROR(INDEX($A328:$AB328,MATCH("Xero Invoiced Ex GST",$A$1:$AB$1,0)),"")),0)</f>
        <v/>
      </c>
      <c r="AE328" s="53">
        <f>IFERROR(INDEX($A328:$AB328,MATCH("Xero Invoice Date",$A$1:$AB$1,0)),"")</f>
        <v/>
      </c>
      <c r="AF328" s="54">
        <f>IF(AND(IFERROR(INDEX($A328:$AB328,MATCH("Xero Invoice No",$A$1:$AB$1,0)),"")&amp;""&lt;&gt;"",ISNUMBER(AE328),AD328&lt;&gt;0),1,0)</f>
        <v/>
      </c>
      <c r="AG328" s="55">
        <f>IF(AF328=1,EOMONTH(AE328,0),"")</f>
        <v/>
      </c>
      <c r="AH328" s="9">
        <f>IF(AF328=1,UPPER(TRIM(IFERROR(INDEX($A328:$AB328,MATCH("Client",$A$1:$AB$1,0)),"")&amp;"")),"")</f>
        <v/>
      </c>
      <c r="AI328" s="9">
        <f>IF(AF328=1,IFERROR(INDEX($A328:$AB328,MATCH("Cost Centre",$A$1:$AB$1,0)),"")&amp;"","")</f>
        <v/>
      </c>
      <c r="AJ328" s="54">
        <f>IF(AND(AF328=1,AE328&gt;=set_FYStart,AE328&lt;=set_AsAt),1,0)</f>
        <v/>
      </c>
      <c r="AK328" s="54">
        <f>IF(AND(AJ328=1,AH328&lt;&gt;"",COUNTIFS($AH$2:AH328,AH328,$AJ$2:AJ328,1)=1),N(AL327)+1,"")</f>
        <v/>
      </c>
      <c r="AL328" s="54">
        <f>IF(AK328&lt;&gt;"",AK328,N(AL327))</f>
        <v/>
      </c>
    </row>
    <row r="329">
      <c r="A329" t="inlineStr">
        <is>
          <t>ONS-0110</t>
        </is>
      </c>
      <c r="B329" t="inlineStr">
        <is>
          <t>Onsite</t>
        </is>
      </c>
      <c r="R329" t="inlineStr">
        <is>
          <t>GST 10%</t>
        </is>
      </c>
      <c r="AB329" t="n">
        <v>110</v>
      </c>
      <c r="AD329" s="52">
        <f>IFERROR(N(IFERROR(INDEX($A329:$AB329,MATCH("Xero Invoiced Ex GST",$A$1:$AB$1,0)),"")),0)</f>
        <v/>
      </c>
      <c r="AE329" s="53">
        <f>IFERROR(INDEX($A329:$AB329,MATCH("Xero Invoice Date",$A$1:$AB$1,0)),"")</f>
        <v/>
      </c>
      <c r="AF329" s="54">
        <f>IF(AND(IFERROR(INDEX($A329:$AB329,MATCH("Xero Invoice No",$A$1:$AB$1,0)),"")&amp;""&lt;&gt;"",ISNUMBER(AE329),AD329&lt;&gt;0),1,0)</f>
        <v/>
      </c>
      <c r="AG329" s="55">
        <f>IF(AF329=1,EOMONTH(AE329,0),"")</f>
        <v/>
      </c>
      <c r="AH329" s="9">
        <f>IF(AF329=1,UPPER(TRIM(IFERROR(INDEX($A329:$AB329,MATCH("Client",$A$1:$AB$1,0)),"")&amp;"")),"")</f>
        <v/>
      </c>
      <c r="AI329" s="9">
        <f>IF(AF329=1,IFERROR(INDEX($A329:$AB329,MATCH("Cost Centre",$A$1:$AB$1,0)),"")&amp;"","")</f>
        <v/>
      </c>
      <c r="AJ329" s="54">
        <f>IF(AND(AF329=1,AE329&gt;=set_FYStart,AE329&lt;=set_AsAt),1,0)</f>
        <v/>
      </c>
      <c r="AK329" s="54">
        <f>IF(AND(AJ329=1,AH329&lt;&gt;"",COUNTIFS($AH$2:AH329,AH329,$AJ$2:AJ329,1)=1),N(AL328)+1,"")</f>
        <v/>
      </c>
      <c r="AL329" s="54">
        <f>IF(AK329&lt;&gt;"",AK329,N(AL328))</f>
        <v/>
      </c>
    </row>
    <row r="330">
      <c r="A330" t="inlineStr">
        <is>
          <t>PRD-0110</t>
        </is>
      </c>
      <c r="B330" t="inlineStr">
        <is>
          <t>Production</t>
        </is>
      </c>
      <c r="AB330" t="n">
        <v>110</v>
      </c>
      <c r="AD330" s="52">
        <f>IFERROR(N(IFERROR(INDEX($A330:$AB330,MATCH("Xero Invoiced Ex GST",$A$1:$AB$1,0)),"")),0)</f>
        <v/>
      </c>
      <c r="AE330" s="53">
        <f>IFERROR(INDEX($A330:$AB330,MATCH("Xero Invoice Date",$A$1:$AB$1,0)),"")</f>
        <v/>
      </c>
      <c r="AF330" s="54">
        <f>IF(AND(IFERROR(INDEX($A330:$AB330,MATCH("Xero Invoice No",$A$1:$AB$1,0)),"")&amp;""&lt;&gt;"",ISNUMBER(AE330),AD330&lt;&gt;0),1,0)</f>
        <v/>
      </c>
      <c r="AG330" s="55">
        <f>IF(AF330=1,EOMONTH(AE330,0),"")</f>
        <v/>
      </c>
      <c r="AH330" s="9">
        <f>IF(AF330=1,UPPER(TRIM(IFERROR(INDEX($A330:$AB330,MATCH("Client",$A$1:$AB$1,0)),"")&amp;"")),"")</f>
        <v/>
      </c>
      <c r="AI330" s="9">
        <f>IF(AF330=1,IFERROR(INDEX($A330:$AB330,MATCH("Cost Centre",$A$1:$AB$1,0)),"")&amp;"","")</f>
        <v/>
      </c>
      <c r="AJ330" s="54">
        <f>IF(AND(AF330=1,AE330&gt;=set_FYStart,AE330&lt;=set_AsAt),1,0)</f>
        <v/>
      </c>
      <c r="AK330" s="54">
        <f>IF(AND(AJ330=1,AH330&lt;&gt;"",COUNTIFS($AH$2:AH330,AH330,$AJ$2:AJ330,1)=1),N(AL329)+1,"")</f>
        <v/>
      </c>
      <c r="AL330" s="54">
        <f>IF(AK330&lt;&gt;"",AK330,N(AL329))</f>
        <v/>
      </c>
    </row>
    <row r="331">
      <c r="A331" t="inlineStr">
        <is>
          <t>CON-0110</t>
        </is>
      </c>
      <c r="B331" t="inlineStr">
        <is>
          <t>Consulting</t>
        </is>
      </c>
      <c r="AB331" t="n">
        <v>110</v>
      </c>
      <c r="AD331" s="52">
        <f>IFERROR(N(IFERROR(INDEX($A331:$AB331,MATCH("Xero Invoiced Ex GST",$A$1:$AB$1,0)),"")),0)</f>
        <v/>
      </c>
      <c r="AE331" s="53">
        <f>IFERROR(INDEX($A331:$AB331,MATCH("Xero Invoice Date",$A$1:$AB$1,0)),"")</f>
        <v/>
      </c>
      <c r="AF331" s="54">
        <f>IF(AND(IFERROR(INDEX($A331:$AB331,MATCH("Xero Invoice No",$A$1:$AB$1,0)),"")&amp;""&lt;&gt;"",ISNUMBER(AE331),AD331&lt;&gt;0),1,0)</f>
        <v/>
      </c>
      <c r="AG331" s="55">
        <f>IF(AF331=1,EOMONTH(AE331,0),"")</f>
        <v/>
      </c>
      <c r="AH331" s="9">
        <f>IF(AF331=1,UPPER(TRIM(IFERROR(INDEX($A331:$AB331,MATCH("Client",$A$1:$AB$1,0)),"")&amp;"")),"")</f>
        <v/>
      </c>
      <c r="AI331" s="9">
        <f>IF(AF331=1,IFERROR(INDEX($A331:$AB331,MATCH("Cost Centre",$A$1:$AB$1,0)),"")&amp;"","")</f>
        <v/>
      </c>
      <c r="AJ331" s="54">
        <f>IF(AND(AF331=1,AE331&gt;=set_FYStart,AE331&lt;=set_AsAt),1,0)</f>
        <v/>
      </c>
      <c r="AK331" s="54">
        <f>IF(AND(AJ331=1,AH331&lt;&gt;"",COUNTIFS($AH$2:AH331,AH331,$AJ$2:AJ331,1)=1),N(AL330)+1,"")</f>
        <v/>
      </c>
      <c r="AL331" s="54">
        <f>IF(AK331&lt;&gt;"",AK331,N(AL330))</f>
        <v/>
      </c>
    </row>
    <row r="332">
      <c r="A332" t="inlineStr">
        <is>
          <t>ONS-0111</t>
        </is>
      </c>
      <c r="B332" t="inlineStr">
        <is>
          <t>Onsite</t>
        </is>
      </c>
      <c r="R332" t="inlineStr">
        <is>
          <t>GST 10%</t>
        </is>
      </c>
      <c r="AB332" t="n">
        <v>111</v>
      </c>
      <c r="AD332" s="52">
        <f>IFERROR(N(IFERROR(INDEX($A332:$AB332,MATCH("Xero Invoiced Ex GST",$A$1:$AB$1,0)),"")),0)</f>
        <v/>
      </c>
      <c r="AE332" s="53">
        <f>IFERROR(INDEX($A332:$AB332,MATCH("Xero Invoice Date",$A$1:$AB$1,0)),"")</f>
        <v/>
      </c>
      <c r="AF332" s="54">
        <f>IF(AND(IFERROR(INDEX($A332:$AB332,MATCH("Xero Invoice No",$A$1:$AB$1,0)),"")&amp;""&lt;&gt;"",ISNUMBER(AE332),AD332&lt;&gt;0),1,0)</f>
        <v/>
      </c>
      <c r="AG332" s="55">
        <f>IF(AF332=1,EOMONTH(AE332,0),"")</f>
        <v/>
      </c>
      <c r="AH332" s="9">
        <f>IF(AF332=1,UPPER(TRIM(IFERROR(INDEX($A332:$AB332,MATCH("Client",$A$1:$AB$1,0)),"")&amp;"")),"")</f>
        <v/>
      </c>
      <c r="AI332" s="9">
        <f>IF(AF332=1,IFERROR(INDEX($A332:$AB332,MATCH("Cost Centre",$A$1:$AB$1,0)),"")&amp;"","")</f>
        <v/>
      </c>
      <c r="AJ332" s="54">
        <f>IF(AND(AF332=1,AE332&gt;=set_FYStart,AE332&lt;=set_AsAt),1,0)</f>
        <v/>
      </c>
      <c r="AK332" s="54">
        <f>IF(AND(AJ332=1,AH332&lt;&gt;"",COUNTIFS($AH$2:AH332,AH332,$AJ$2:AJ332,1)=1),N(AL331)+1,"")</f>
        <v/>
      </c>
      <c r="AL332" s="54">
        <f>IF(AK332&lt;&gt;"",AK332,N(AL331))</f>
        <v/>
      </c>
    </row>
    <row r="333">
      <c r="A333" t="inlineStr">
        <is>
          <t>PRD-0111</t>
        </is>
      </c>
      <c r="B333" t="inlineStr">
        <is>
          <t>Production</t>
        </is>
      </c>
      <c r="AB333" t="n">
        <v>111</v>
      </c>
      <c r="AD333" s="52">
        <f>IFERROR(N(IFERROR(INDEX($A333:$AB333,MATCH("Xero Invoiced Ex GST",$A$1:$AB$1,0)),"")),0)</f>
        <v/>
      </c>
      <c r="AE333" s="53">
        <f>IFERROR(INDEX($A333:$AB333,MATCH("Xero Invoice Date",$A$1:$AB$1,0)),"")</f>
        <v/>
      </c>
      <c r="AF333" s="54">
        <f>IF(AND(IFERROR(INDEX($A333:$AB333,MATCH("Xero Invoice No",$A$1:$AB$1,0)),"")&amp;""&lt;&gt;"",ISNUMBER(AE333),AD333&lt;&gt;0),1,0)</f>
        <v/>
      </c>
      <c r="AG333" s="55">
        <f>IF(AF333=1,EOMONTH(AE333,0),"")</f>
        <v/>
      </c>
      <c r="AH333" s="9">
        <f>IF(AF333=1,UPPER(TRIM(IFERROR(INDEX($A333:$AB333,MATCH("Client",$A$1:$AB$1,0)),"")&amp;"")),"")</f>
        <v/>
      </c>
      <c r="AI333" s="9">
        <f>IF(AF333=1,IFERROR(INDEX($A333:$AB333,MATCH("Cost Centre",$A$1:$AB$1,0)),"")&amp;"","")</f>
        <v/>
      </c>
      <c r="AJ333" s="54">
        <f>IF(AND(AF333=1,AE333&gt;=set_FYStart,AE333&lt;=set_AsAt),1,0)</f>
        <v/>
      </c>
      <c r="AK333" s="54">
        <f>IF(AND(AJ333=1,AH333&lt;&gt;"",COUNTIFS($AH$2:AH333,AH333,$AJ$2:AJ333,1)=1),N(AL332)+1,"")</f>
        <v/>
      </c>
      <c r="AL333" s="54">
        <f>IF(AK333&lt;&gt;"",AK333,N(AL332))</f>
        <v/>
      </c>
    </row>
    <row r="334">
      <c r="A334" t="inlineStr">
        <is>
          <t>CON-0111</t>
        </is>
      </c>
      <c r="B334" t="inlineStr">
        <is>
          <t>Consulting</t>
        </is>
      </c>
      <c r="AB334" t="n">
        <v>111</v>
      </c>
      <c r="AD334" s="52">
        <f>IFERROR(N(IFERROR(INDEX($A334:$AB334,MATCH("Xero Invoiced Ex GST",$A$1:$AB$1,0)),"")),0)</f>
        <v/>
      </c>
      <c r="AE334" s="53">
        <f>IFERROR(INDEX($A334:$AB334,MATCH("Xero Invoice Date",$A$1:$AB$1,0)),"")</f>
        <v/>
      </c>
      <c r="AF334" s="54">
        <f>IF(AND(IFERROR(INDEX($A334:$AB334,MATCH("Xero Invoice No",$A$1:$AB$1,0)),"")&amp;""&lt;&gt;"",ISNUMBER(AE334),AD334&lt;&gt;0),1,0)</f>
        <v/>
      </c>
      <c r="AG334" s="55">
        <f>IF(AF334=1,EOMONTH(AE334,0),"")</f>
        <v/>
      </c>
      <c r="AH334" s="9">
        <f>IF(AF334=1,UPPER(TRIM(IFERROR(INDEX($A334:$AB334,MATCH("Client",$A$1:$AB$1,0)),"")&amp;"")),"")</f>
        <v/>
      </c>
      <c r="AI334" s="9">
        <f>IF(AF334=1,IFERROR(INDEX($A334:$AB334,MATCH("Cost Centre",$A$1:$AB$1,0)),"")&amp;"","")</f>
        <v/>
      </c>
      <c r="AJ334" s="54">
        <f>IF(AND(AF334=1,AE334&gt;=set_FYStart,AE334&lt;=set_AsAt),1,0)</f>
        <v/>
      </c>
      <c r="AK334" s="54">
        <f>IF(AND(AJ334=1,AH334&lt;&gt;"",COUNTIFS($AH$2:AH334,AH334,$AJ$2:AJ334,1)=1),N(AL333)+1,"")</f>
        <v/>
      </c>
      <c r="AL334" s="54">
        <f>IF(AK334&lt;&gt;"",AK334,N(AL333))</f>
        <v/>
      </c>
    </row>
    <row r="335">
      <c r="A335" t="inlineStr">
        <is>
          <t>ONS-0112</t>
        </is>
      </c>
      <c r="B335" t="inlineStr">
        <is>
          <t>Onsite</t>
        </is>
      </c>
      <c r="R335" t="inlineStr">
        <is>
          <t>GST 10%</t>
        </is>
      </c>
      <c r="AB335" t="n">
        <v>112</v>
      </c>
      <c r="AD335" s="52">
        <f>IFERROR(N(IFERROR(INDEX($A335:$AB335,MATCH("Xero Invoiced Ex GST",$A$1:$AB$1,0)),"")),0)</f>
        <v/>
      </c>
      <c r="AE335" s="53">
        <f>IFERROR(INDEX($A335:$AB335,MATCH("Xero Invoice Date",$A$1:$AB$1,0)),"")</f>
        <v/>
      </c>
      <c r="AF335" s="54">
        <f>IF(AND(IFERROR(INDEX($A335:$AB335,MATCH("Xero Invoice No",$A$1:$AB$1,0)),"")&amp;""&lt;&gt;"",ISNUMBER(AE335),AD335&lt;&gt;0),1,0)</f>
        <v/>
      </c>
      <c r="AG335" s="55">
        <f>IF(AF335=1,EOMONTH(AE335,0),"")</f>
        <v/>
      </c>
      <c r="AH335" s="9">
        <f>IF(AF335=1,UPPER(TRIM(IFERROR(INDEX($A335:$AB335,MATCH("Client",$A$1:$AB$1,0)),"")&amp;"")),"")</f>
        <v/>
      </c>
      <c r="AI335" s="9">
        <f>IF(AF335=1,IFERROR(INDEX($A335:$AB335,MATCH("Cost Centre",$A$1:$AB$1,0)),"")&amp;"","")</f>
        <v/>
      </c>
      <c r="AJ335" s="54">
        <f>IF(AND(AF335=1,AE335&gt;=set_FYStart,AE335&lt;=set_AsAt),1,0)</f>
        <v/>
      </c>
      <c r="AK335" s="54">
        <f>IF(AND(AJ335=1,AH335&lt;&gt;"",COUNTIFS($AH$2:AH335,AH335,$AJ$2:AJ335,1)=1),N(AL334)+1,"")</f>
        <v/>
      </c>
      <c r="AL335" s="54">
        <f>IF(AK335&lt;&gt;"",AK335,N(AL334))</f>
        <v/>
      </c>
    </row>
    <row r="336">
      <c r="A336" t="inlineStr">
        <is>
          <t>PRD-0112</t>
        </is>
      </c>
      <c r="B336" t="inlineStr">
        <is>
          <t>Production</t>
        </is>
      </c>
      <c r="AB336" t="n">
        <v>112</v>
      </c>
      <c r="AD336" s="52">
        <f>IFERROR(N(IFERROR(INDEX($A336:$AB336,MATCH("Xero Invoiced Ex GST",$A$1:$AB$1,0)),"")),0)</f>
        <v/>
      </c>
      <c r="AE336" s="53">
        <f>IFERROR(INDEX($A336:$AB336,MATCH("Xero Invoice Date",$A$1:$AB$1,0)),"")</f>
        <v/>
      </c>
      <c r="AF336" s="54">
        <f>IF(AND(IFERROR(INDEX($A336:$AB336,MATCH("Xero Invoice No",$A$1:$AB$1,0)),"")&amp;""&lt;&gt;"",ISNUMBER(AE336),AD336&lt;&gt;0),1,0)</f>
        <v/>
      </c>
      <c r="AG336" s="55">
        <f>IF(AF336=1,EOMONTH(AE336,0),"")</f>
        <v/>
      </c>
      <c r="AH336" s="9">
        <f>IF(AF336=1,UPPER(TRIM(IFERROR(INDEX($A336:$AB336,MATCH("Client",$A$1:$AB$1,0)),"")&amp;"")),"")</f>
        <v/>
      </c>
      <c r="AI336" s="9">
        <f>IF(AF336=1,IFERROR(INDEX($A336:$AB336,MATCH("Cost Centre",$A$1:$AB$1,0)),"")&amp;"","")</f>
        <v/>
      </c>
      <c r="AJ336" s="54">
        <f>IF(AND(AF336=1,AE336&gt;=set_FYStart,AE336&lt;=set_AsAt),1,0)</f>
        <v/>
      </c>
      <c r="AK336" s="54">
        <f>IF(AND(AJ336=1,AH336&lt;&gt;"",COUNTIFS($AH$2:AH336,AH336,$AJ$2:AJ336,1)=1),N(AL335)+1,"")</f>
        <v/>
      </c>
      <c r="AL336" s="54">
        <f>IF(AK336&lt;&gt;"",AK336,N(AL335))</f>
        <v/>
      </c>
    </row>
    <row r="337">
      <c r="A337" t="inlineStr">
        <is>
          <t>CON-0112</t>
        </is>
      </c>
      <c r="B337" t="inlineStr">
        <is>
          <t>Consulting</t>
        </is>
      </c>
      <c r="AB337" t="n">
        <v>112</v>
      </c>
      <c r="AD337" s="52">
        <f>IFERROR(N(IFERROR(INDEX($A337:$AB337,MATCH("Xero Invoiced Ex GST",$A$1:$AB$1,0)),"")),0)</f>
        <v/>
      </c>
      <c r="AE337" s="53">
        <f>IFERROR(INDEX($A337:$AB337,MATCH("Xero Invoice Date",$A$1:$AB$1,0)),"")</f>
        <v/>
      </c>
      <c r="AF337" s="54">
        <f>IF(AND(IFERROR(INDEX($A337:$AB337,MATCH("Xero Invoice No",$A$1:$AB$1,0)),"")&amp;""&lt;&gt;"",ISNUMBER(AE337),AD337&lt;&gt;0),1,0)</f>
        <v/>
      </c>
      <c r="AG337" s="55">
        <f>IF(AF337=1,EOMONTH(AE337,0),"")</f>
        <v/>
      </c>
      <c r="AH337" s="9">
        <f>IF(AF337=1,UPPER(TRIM(IFERROR(INDEX($A337:$AB337,MATCH("Client",$A$1:$AB$1,0)),"")&amp;"")),"")</f>
        <v/>
      </c>
      <c r="AI337" s="9">
        <f>IF(AF337=1,IFERROR(INDEX($A337:$AB337,MATCH("Cost Centre",$A$1:$AB$1,0)),"")&amp;"","")</f>
        <v/>
      </c>
      <c r="AJ337" s="54">
        <f>IF(AND(AF337=1,AE337&gt;=set_FYStart,AE337&lt;=set_AsAt),1,0)</f>
        <v/>
      </c>
      <c r="AK337" s="54">
        <f>IF(AND(AJ337=1,AH337&lt;&gt;"",COUNTIFS($AH$2:AH337,AH337,$AJ$2:AJ337,1)=1),N(AL336)+1,"")</f>
        <v/>
      </c>
      <c r="AL337" s="54">
        <f>IF(AK337&lt;&gt;"",AK337,N(AL336))</f>
        <v/>
      </c>
    </row>
    <row r="338">
      <c r="A338" t="inlineStr">
        <is>
          <t>ONS-0113</t>
        </is>
      </c>
      <c r="B338" t="inlineStr">
        <is>
          <t>Onsite</t>
        </is>
      </c>
      <c r="R338" t="inlineStr">
        <is>
          <t>GST 10%</t>
        </is>
      </c>
      <c r="AB338" t="n">
        <v>113</v>
      </c>
      <c r="AD338" s="52">
        <f>IFERROR(N(IFERROR(INDEX($A338:$AB338,MATCH("Xero Invoiced Ex GST",$A$1:$AB$1,0)),"")),0)</f>
        <v/>
      </c>
      <c r="AE338" s="53">
        <f>IFERROR(INDEX($A338:$AB338,MATCH("Xero Invoice Date",$A$1:$AB$1,0)),"")</f>
        <v/>
      </c>
      <c r="AF338" s="54">
        <f>IF(AND(IFERROR(INDEX($A338:$AB338,MATCH("Xero Invoice No",$A$1:$AB$1,0)),"")&amp;""&lt;&gt;"",ISNUMBER(AE338),AD338&lt;&gt;0),1,0)</f>
        <v/>
      </c>
      <c r="AG338" s="55">
        <f>IF(AF338=1,EOMONTH(AE338,0),"")</f>
        <v/>
      </c>
      <c r="AH338" s="9">
        <f>IF(AF338=1,UPPER(TRIM(IFERROR(INDEX($A338:$AB338,MATCH("Client",$A$1:$AB$1,0)),"")&amp;"")),"")</f>
        <v/>
      </c>
      <c r="AI338" s="9">
        <f>IF(AF338=1,IFERROR(INDEX($A338:$AB338,MATCH("Cost Centre",$A$1:$AB$1,0)),"")&amp;"","")</f>
        <v/>
      </c>
      <c r="AJ338" s="54">
        <f>IF(AND(AF338=1,AE338&gt;=set_FYStart,AE338&lt;=set_AsAt),1,0)</f>
        <v/>
      </c>
      <c r="AK338" s="54">
        <f>IF(AND(AJ338=1,AH338&lt;&gt;"",COUNTIFS($AH$2:AH338,AH338,$AJ$2:AJ338,1)=1),N(AL337)+1,"")</f>
        <v/>
      </c>
      <c r="AL338" s="54">
        <f>IF(AK338&lt;&gt;"",AK338,N(AL337))</f>
        <v/>
      </c>
    </row>
    <row r="339">
      <c r="A339" t="inlineStr">
        <is>
          <t>PRD-0113</t>
        </is>
      </c>
      <c r="B339" t="inlineStr">
        <is>
          <t>Production</t>
        </is>
      </c>
      <c r="AB339" t="n">
        <v>113</v>
      </c>
      <c r="AD339" s="52">
        <f>IFERROR(N(IFERROR(INDEX($A339:$AB339,MATCH("Xero Invoiced Ex GST",$A$1:$AB$1,0)),"")),0)</f>
        <v/>
      </c>
      <c r="AE339" s="53">
        <f>IFERROR(INDEX($A339:$AB339,MATCH("Xero Invoice Date",$A$1:$AB$1,0)),"")</f>
        <v/>
      </c>
      <c r="AF339" s="54">
        <f>IF(AND(IFERROR(INDEX($A339:$AB339,MATCH("Xero Invoice No",$A$1:$AB$1,0)),"")&amp;""&lt;&gt;"",ISNUMBER(AE339),AD339&lt;&gt;0),1,0)</f>
        <v/>
      </c>
      <c r="AG339" s="55">
        <f>IF(AF339=1,EOMONTH(AE339,0),"")</f>
        <v/>
      </c>
      <c r="AH339" s="9">
        <f>IF(AF339=1,UPPER(TRIM(IFERROR(INDEX($A339:$AB339,MATCH("Client",$A$1:$AB$1,0)),"")&amp;"")),"")</f>
        <v/>
      </c>
      <c r="AI339" s="9">
        <f>IF(AF339=1,IFERROR(INDEX($A339:$AB339,MATCH("Cost Centre",$A$1:$AB$1,0)),"")&amp;"","")</f>
        <v/>
      </c>
      <c r="AJ339" s="54">
        <f>IF(AND(AF339=1,AE339&gt;=set_FYStart,AE339&lt;=set_AsAt),1,0)</f>
        <v/>
      </c>
      <c r="AK339" s="54">
        <f>IF(AND(AJ339=1,AH339&lt;&gt;"",COUNTIFS($AH$2:AH339,AH339,$AJ$2:AJ339,1)=1),N(AL338)+1,"")</f>
        <v/>
      </c>
      <c r="AL339" s="54">
        <f>IF(AK339&lt;&gt;"",AK339,N(AL338))</f>
        <v/>
      </c>
    </row>
    <row r="340">
      <c r="A340" t="inlineStr">
        <is>
          <t>CON-0113</t>
        </is>
      </c>
      <c r="B340" t="inlineStr">
        <is>
          <t>Consulting</t>
        </is>
      </c>
      <c r="AB340" t="n">
        <v>113</v>
      </c>
      <c r="AD340" s="52">
        <f>IFERROR(N(IFERROR(INDEX($A340:$AB340,MATCH("Xero Invoiced Ex GST",$A$1:$AB$1,0)),"")),0)</f>
        <v/>
      </c>
      <c r="AE340" s="53">
        <f>IFERROR(INDEX($A340:$AB340,MATCH("Xero Invoice Date",$A$1:$AB$1,0)),"")</f>
        <v/>
      </c>
      <c r="AF340" s="54">
        <f>IF(AND(IFERROR(INDEX($A340:$AB340,MATCH("Xero Invoice No",$A$1:$AB$1,0)),"")&amp;""&lt;&gt;"",ISNUMBER(AE340),AD340&lt;&gt;0),1,0)</f>
        <v/>
      </c>
      <c r="AG340" s="55">
        <f>IF(AF340=1,EOMONTH(AE340,0),"")</f>
        <v/>
      </c>
      <c r="AH340" s="9">
        <f>IF(AF340=1,UPPER(TRIM(IFERROR(INDEX($A340:$AB340,MATCH("Client",$A$1:$AB$1,0)),"")&amp;"")),"")</f>
        <v/>
      </c>
      <c r="AI340" s="9">
        <f>IF(AF340=1,IFERROR(INDEX($A340:$AB340,MATCH("Cost Centre",$A$1:$AB$1,0)),"")&amp;"","")</f>
        <v/>
      </c>
      <c r="AJ340" s="54">
        <f>IF(AND(AF340=1,AE340&gt;=set_FYStart,AE340&lt;=set_AsAt),1,0)</f>
        <v/>
      </c>
      <c r="AK340" s="54">
        <f>IF(AND(AJ340=1,AH340&lt;&gt;"",COUNTIFS($AH$2:AH340,AH340,$AJ$2:AJ340,1)=1),N(AL339)+1,"")</f>
        <v/>
      </c>
      <c r="AL340" s="54">
        <f>IF(AK340&lt;&gt;"",AK340,N(AL339))</f>
        <v/>
      </c>
    </row>
    <row r="341">
      <c r="A341" t="inlineStr">
        <is>
          <t>ONS-0114</t>
        </is>
      </c>
      <c r="B341" t="inlineStr">
        <is>
          <t>Onsite</t>
        </is>
      </c>
      <c r="R341" t="inlineStr">
        <is>
          <t>GST 10%</t>
        </is>
      </c>
      <c r="AB341" t="n">
        <v>114</v>
      </c>
      <c r="AD341" s="52">
        <f>IFERROR(N(IFERROR(INDEX($A341:$AB341,MATCH("Xero Invoiced Ex GST",$A$1:$AB$1,0)),"")),0)</f>
        <v/>
      </c>
      <c r="AE341" s="53">
        <f>IFERROR(INDEX($A341:$AB341,MATCH("Xero Invoice Date",$A$1:$AB$1,0)),"")</f>
        <v/>
      </c>
      <c r="AF341" s="54">
        <f>IF(AND(IFERROR(INDEX($A341:$AB341,MATCH("Xero Invoice No",$A$1:$AB$1,0)),"")&amp;""&lt;&gt;"",ISNUMBER(AE341),AD341&lt;&gt;0),1,0)</f>
        <v/>
      </c>
      <c r="AG341" s="55">
        <f>IF(AF341=1,EOMONTH(AE341,0),"")</f>
        <v/>
      </c>
      <c r="AH341" s="9">
        <f>IF(AF341=1,UPPER(TRIM(IFERROR(INDEX($A341:$AB341,MATCH("Client",$A$1:$AB$1,0)),"")&amp;"")),"")</f>
        <v/>
      </c>
      <c r="AI341" s="9">
        <f>IF(AF341=1,IFERROR(INDEX($A341:$AB341,MATCH("Cost Centre",$A$1:$AB$1,0)),"")&amp;"","")</f>
        <v/>
      </c>
      <c r="AJ341" s="54">
        <f>IF(AND(AF341=1,AE341&gt;=set_FYStart,AE341&lt;=set_AsAt),1,0)</f>
        <v/>
      </c>
      <c r="AK341" s="54">
        <f>IF(AND(AJ341=1,AH341&lt;&gt;"",COUNTIFS($AH$2:AH341,AH341,$AJ$2:AJ341,1)=1),N(AL340)+1,"")</f>
        <v/>
      </c>
      <c r="AL341" s="54">
        <f>IF(AK341&lt;&gt;"",AK341,N(AL340))</f>
        <v/>
      </c>
    </row>
    <row r="342">
      <c r="A342" t="inlineStr">
        <is>
          <t>PRD-0114</t>
        </is>
      </c>
      <c r="B342" t="inlineStr">
        <is>
          <t>Production</t>
        </is>
      </c>
      <c r="AB342" t="n">
        <v>114</v>
      </c>
      <c r="AD342" s="52">
        <f>IFERROR(N(IFERROR(INDEX($A342:$AB342,MATCH("Xero Invoiced Ex GST",$A$1:$AB$1,0)),"")),0)</f>
        <v/>
      </c>
      <c r="AE342" s="53">
        <f>IFERROR(INDEX($A342:$AB342,MATCH("Xero Invoice Date",$A$1:$AB$1,0)),"")</f>
        <v/>
      </c>
      <c r="AF342" s="54">
        <f>IF(AND(IFERROR(INDEX($A342:$AB342,MATCH("Xero Invoice No",$A$1:$AB$1,0)),"")&amp;""&lt;&gt;"",ISNUMBER(AE342),AD342&lt;&gt;0),1,0)</f>
        <v/>
      </c>
      <c r="AG342" s="55">
        <f>IF(AF342=1,EOMONTH(AE342,0),"")</f>
        <v/>
      </c>
      <c r="AH342" s="9">
        <f>IF(AF342=1,UPPER(TRIM(IFERROR(INDEX($A342:$AB342,MATCH("Client",$A$1:$AB$1,0)),"")&amp;"")),"")</f>
        <v/>
      </c>
      <c r="AI342" s="9">
        <f>IF(AF342=1,IFERROR(INDEX($A342:$AB342,MATCH("Cost Centre",$A$1:$AB$1,0)),"")&amp;"","")</f>
        <v/>
      </c>
      <c r="AJ342" s="54">
        <f>IF(AND(AF342=1,AE342&gt;=set_FYStart,AE342&lt;=set_AsAt),1,0)</f>
        <v/>
      </c>
      <c r="AK342" s="54">
        <f>IF(AND(AJ342=1,AH342&lt;&gt;"",COUNTIFS($AH$2:AH342,AH342,$AJ$2:AJ342,1)=1),N(AL341)+1,"")</f>
        <v/>
      </c>
      <c r="AL342" s="54">
        <f>IF(AK342&lt;&gt;"",AK342,N(AL341))</f>
        <v/>
      </c>
    </row>
    <row r="343">
      <c r="A343" t="inlineStr">
        <is>
          <t>CON-0114</t>
        </is>
      </c>
      <c r="B343" t="inlineStr">
        <is>
          <t>Consulting</t>
        </is>
      </c>
      <c r="AB343" t="n">
        <v>114</v>
      </c>
      <c r="AD343" s="52">
        <f>IFERROR(N(IFERROR(INDEX($A343:$AB343,MATCH("Xero Invoiced Ex GST",$A$1:$AB$1,0)),"")),0)</f>
        <v/>
      </c>
      <c r="AE343" s="53">
        <f>IFERROR(INDEX($A343:$AB343,MATCH("Xero Invoice Date",$A$1:$AB$1,0)),"")</f>
        <v/>
      </c>
      <c r="AF343" s="54">
        <f>IF(AND(IFERROR(INDEX($A343:$AB343,MATCH("Xero Invoice No",$A$1:$AB$1,0)),"")&amp;""&lt;&gt;"",ISNUMBER(AE343),AD343&lt;&gt;0),1,0)</f>
        <v/>
      </c>
      <c r="AG343" s="55">
        <f>IF(AF343=1,EOMONTH(AE343,0),"")</f>
        <v/>
      </c>
      <c r="AH343" s="9">
        <f>IF(AF343=1,UPPER(TRIM(IFERROR(INDEX($A343:$AB343,MATCH("Client",$A$1:$AB$1,0)),"")&amp;"")),"")</f>
        <v/>
      </c>
      <c r="AI343" s="9">
        <f>IF(AF343=1,IFERROR(INDEX($A343:$AB343,MATCH("Cost Centre",$A$1:$AB$1,0)),"")&amp;"","")</f>
        <v/>
      </c>
      <c r="AJ343" s="54">
        <f>IF(AND(AF343=1,AE343&gt;=set_FYStart,AE343&lt;=set_AsAt),1,0)</f>
        <v/>
      </c>
      <c r="AK343" s="54">
        <f>IF(AND(AJ343=1,AH343&lt;&gt;"",COUNTIFS($AH$2:AH343,AH343,$AJ$2:AJ343,1)=1),N(AL342)+1,"")</f>
        <v/>
      </c>
      <c r="AL343" s="54">
        <f>IF(AK343&lt;&gt;"",AK343,N(AL342))</f>
        <v/>
      </c>
    </row>
    <row r="344">
      <c r="A344" t="inlineStr">
        <is>
          <t>ONS-0115</t>
        </is>
      </c>
      <c r="B344" t="inlineStr">
        <is>
          <t>Onsite</t>
        </is>
      </c>
      <c r="R344" t="inlineStr">
        <is>
          <t>GST 10%</t>
        </is>
      </c>
      <c r="AB344" t="n">
        <v>115</v>
      </c>
      <c r="AD344" s="52">
        <f>IFERROR(N(IFERROR(INDEX($A344:$AB344,MATCH("Xero Invoiced Ex GST",$A$1:$AB$1,0)),"")),0)</f>
        <v/>
      </c>
      <c r="AE344" s="53">
        <f>IFERROR(INDEX($A344:$AB344,MATCH("Xero Invoice Date",$A$1:$AB$1,0)),"")</f>
        <v/>
      </c>
      <c r="AF344" s="54">
        <f>IF(AND(IFERROR(INDEX($A344:$AB344,MATCH("Xero Invoice No",$A$1:$AB$1,0)),"")&amp;""&lt;&gt;"",ISNUMBER(AE344),AD344&lt;&gt;0),1,0)</f>
        <v/>
      </c>
      <c r="AG344" s="55">
        <f>IF(AF344=1,EOMONTH(AE344,0),"")</f>
        <v/>
      </c>
      <c r="AH344" s="9">
        <f>IF(AF344=1,UPPER(TRIM(IFERROR(INDEX($A344:$AB344,MATCH("Client",$A$1:$AB$1,0)),"")&amp;"")),"")</f>
        <v/>
      </c>
      <c r="AI344" s="9">
        <f>IF(AF344=1,IFERROR(INDEX($A344:$AB344,MATCH("Cost Centre",$A$1:$AB$1,0)),"")&amp;"","")</f>
        <v/>
      </c>
      <c r="AJ344" s="54">
        <f>IF(AND(AF344=1,AE344&gt;=set_FYStart,AE344&lt;=set_AsAt),1,0)</f>
        <v/>
      </c>
      <c r="AK344" s="54">
        <f>IF(AND(AJ344=1,AH344&lt;&gt;"",COUNTIFS($AH$2:AH344,AH344,$AJ$2:AJ344,1)=1),N(AL343)+1,"")</f>
        <v/>
      </c>
      <c r="AL344" s="54">
        <f>IF(AK344&lt;&gt;"",AK344,N(AL343))</f>
        <v/>
      </c>
    </row>
    <row r="345">
      <c r="A345" t="inlineStr">
        <is>
          <t>PRD-0115</t>
        </is>
      </c>
      <c r="B345" t="inlineStr">
        <is>
          <t>Production</t>
        </is>
      </c>
      <c r="AB345" t="n">
        <v>115</v>
      </c>
      <c r="AD345" s="52">
        <f>IFERROR(N(IFERROR(INDEX($A345:$AB345,MATCH("Xero Invoiced Ex GST",$A$1:$AB$1,0)),"")),0)</f>
        <v/>
      </c>
      <c r="AE345" s="53">
        <f>IFERROR(INDEX($A345:$AB345,MATCH("Xero Invoice Date",$A$1:$AB$1,0)),"")</f>
        <v/>
      </c>
      <c r="AF345" s="54">
        <f>IF(AND(IFERROR(INDEX($A345:$AB345,MATCH("Xero Invoice No",$A$1:$AB$1,0)),"")&amp;""&lt;&gt;"",ISNUMBER(AE345),AD345&lt;&gt;0),1,0)</f>
        <v/>
      </c>
      <c r="AG345" s="55">
        <f>IF(AF345=1,EOMONTH(AE345,0),"")</f>
        <v/>
      </c>
      <c r="AH345" s="9">
        <f>IF(AF345=1,UPPER(TRIM(IFERROR(INDEX($A345:$AB345,MATCH("Client",$A$1:$AB$1,0)),"")&amp;"")),"")</f>
        <v/>
      </c>
      <c r="AI345" s="9">
        <f>IF(AF345=1,IFERROR(INDEX($A345:$AB345,MATCH("Cost Centre",$A$1:$AB$1,0)),"")&amp;"","")</f>
        <v/>
      </c>
      <c r="AJ345" s="54">
        <f>IF(AND(AF345=1,AE345&gt;=set_FYStart,AE345&lt;=set_AsAt),1,0)</f>
        <v/>
      </c>
      <c r="AK345" s="54">
        <f>IF(AND(AJ345=1,AH345&lt;&gt;"",COUNTIFS($AH$2:AH345,AH345,$AJ$2:AJ345,1)=1),N(AL344)+1,"")</f>
        <v/>
      </c>
      <c r="AL345" s="54">
        <f>IF(AK345&lt;&gt;"",AK345,N(AL344))</f>
        <v/>
      </c>
    </row>
    <row r="346">
      <c r="A346" t="inlineStr">
        <is>
          <t>CON-0115</t>
        </is>
      </c>
      <c r="B346" t="inlineStr">
        <is>
          <t>Consulting</t>
        </is>
      </c>
      <c r="AB346" t="n">
        <v>115</v>
      </c>
      <c r="AD346" s="52">
        <f>IFERROR(N(IFERROR(INDEX($A346:$AB346,MATCH("Xero Invoiced Ex GST",$A$1:$AB$1,0)),"")),0)</f>
        <v/>
      </c>
      <c r="AE346" s="53">
        <f>IFERROR(INDEX($A346:$AB346,MATCH("Xero Invoice Date",$A$1:$AB$1,0)),"")</f>
        <v/>
      </c>
      <c r="AF346" s="54">
        <f>IF(AND(IFERROR(INDEX($A346:$AB346,MATCH("Xero Invoice No",$A$1:$AB$1,0)),"")&amp;""&lt;&gt;"",ISNUMBER(AE346),AD346&lt;&gt;0),1,0)</f>
        <v/>
      </c>
      <c r="AG346" s="55">
        <f>IF(AF346=1,EOMONTH(AE346,0),"")</f>
        <v/>
      </c>
      <c r="AH346" s="9">
        <f>IF(AF346=1,UPPER(TRIM(IFERROR(INDEX($A346:$AB346,MATCH("Client",$A$1:$AB$1,0)),"")&amp;"")),"")</f>
        <v/>
      </c>
      <c r="AI346" s="9">
        <f>IF(AF346=1,IFERROR(INDEX($A346:$AB346,MATCH("Cost Centre",$A$1:$AB$1,0)),"")&amp;"","")</f>
        <v/>
      </c>
      <c r="AJ346" s="54">
        <f>IF(AND(AF346=1,AE346&gt;=set_FYStart,AE346&lt;=set_AsAt),1,0)</f>
        <v/>
      </c>
      <c r="AK346" s="54">
        <f>IF(AND(AJ346=1,AH346&lt;&gt;"",COUNTIFS($AH$2:AH346,AH346,$AJ$2:AJ346,1)=1),N(AL345)+1,"")</f>
        <v/>
      </c>
      <c r="AL346" s="54">
        <f>IF(AK346&lt;&gt;"",AK346,N(AL345))</f>
        <v/>
      </c>
    </row>
    <row r="347">
      <c r="A347" t="inlineStr">
        <is>
          <t>ONS-0116</t>
        </is>
      </c>
      <c r="B347" t="inlineStr">
        <is>
          <t>Onsite</t>
        </is>
      </c>
      <c r="R347" t="inlineStr">
        <is>
          <t>GST 10%</t>
        </is>
      </c>
      <c r="AB347" t="n">
        <v>116</v>
      </c>
      <c r="AD347" s="52">
        <f>IFERROR(N(IFERROR(INDEX($A347:$AB347,MATCH("Xero Invoiced Ex GST",$A$1:$AB$1,0)),"")),0)</f>
        <v/>
      </c>
      <c r="AE347" s="53">
        <f>IFERROR(INDEX($A347:$AB347,MATCH("Xero Invoice Date",$A$1:$AB$1,0)),"")</f>
        <v/>
      </c>
      <c r="AF347" s="54">
        <f>IF(AND(IFERROR(INDEX($A347:$AB347,MATCH("Xero Invoice No",$A$1:$AB$1,0)),"")&amp;""&lt;&gt;"",ISNUMBER(AE347),AD347&lt;&gt;0),1,0)</f>
        <v/>
      </c>
      <c r="AG347" s="55">
        <f>IF(AF347=1,EOMONTH(AE347,0),"")</f>
        <v/>
      </c>
      <c r="AH347" s="9">
        <f>IF(AF347=1,UPPER(TRIM(IFERROR(INDEX($A347:$AB347,MATCH("Client",$A$1:$AB$1,0)),"")&amp;"")),"")</f>
        <v/>
      </c>
      <c r="AI347" s="9">
        <f>IF(AF347=1,IFERROR(INDEX($A347:$AB347,MATCH("Cost Centre",$A$1:$AB$1,0)),"")&amp;"","")</f>
        <v/>
      </c>
      <c r="AJ347" s="54">
        <f>IF(AND(AF347=1,AE347&gt;=set_FYStart,AE347&lt;=set_AsAt),1,0)</f>
        <v/>
      </c>
      <c r="AK347" s="54">
        <f>IF(AND(AJ347=1,AH347&lt;&gt;"",COUNTIFS($AH$2:AH347,AH347,$AJ$2:AJ347,1)=1),N(AL346)+1,"")</f>
        <v/>
      </c>
      <c r="AL347" s="54">
        <f>IF(AK347&lt;&gt;"",AK347,N(AL346))</f>
        <v/>
      </c>
    </row>
    <row r="348">
      <c r="A348" t="inlineStr">
        <is>
          <t>PRD-0116</t>
        </is>
      </c>
      <c r="B348" t="inlineStr">
        <is>
          <t>Production</t>
        </is>
      </c>
      <c r="AB348" t="n">
        <v>116</v>
      </c>
      <c r="AD348" s="52">
        <f>IFERROR(N(IFERROR(INDEX($A348:$AB348,MATCH("Xero Invoiced Ex GST",$A$1:$AB$1,0)),"")),0)</f>
        <v/>
      </c>
      <c r="AE348" s="53">
        <f>IFERROR(INDEX($A348:$AB348,MATCH("Xero Invoice Date",$A$1:$AB$1,0)),"")</f>
        <v/>
      </c>
      <c r="AF348" s="54">
        <f>IF(AND(IFERROR(INDEX($A348:$AB348,MATCH("Xero Invoice No",$A$1:$AB$1,0)),"")&amp;""&lt;&gt;"",ISNUMBER(AE348),AD348&lt;&gt;0),1,0)</f>
        <v/>
      </c>
      <c r="AG348" s="55">
        <f>IF(AF348=1,EOMONTH(AE348,0),"")</f>
        <v/>
      </c>
      <c r="AH348" s="9">
        <f>IF(AF348=1,UPPER(TRIM(IFERROR(INDEX($A348:$AB348,MATCH("Client",$A$1:$AB$1,0)),"")&amp;"")),"")</f>
        <v/>
      </c>
      <c r="AI348" s="9">
        <f>IF(AF348=1,IFERROR(INDEX($A348:$AB348,MATCH("Cost Centre",$A$1:$AB$1,0)),"")&amp;"","")</f>
        <v/>
      </c>
      <c r="AJ348" s="54">
        <f>IF(AND(AF348=1,AE348&gt;=set_FYStart,AE348&lt;=set_AsAt),1,0)</f>
        <v/>
      </c>
      <c r="AK348" s="54">
        <f>IF(AND(AJ348=1,AH348&lt;&gt;"",COUNTIFS($AH$2:AH348,AH348,$AJ$2:AJ348,1)=1),N(AL347)+1,"")</f>
        <v/>
      </c>
      <c r="AL348" s="54">
        <f>IF(AK348&lt;&gt;"",AK348,N(AL347))</f>
        <v/>
      </c>
    </row>
    <row r="349">
      <c r="A349" t="inlineStr">
        <is>
          <t>CON-0116</t>
        </is>
      </c>
      <c r="B349" t="inlineStr">
        <is>
          <t>Consulting</t>
        </is>
      </c>
      <c r="AB349" t="n">
        <v>116</v>
      </c>
      <c r="AD349" s="52">
        <f>IFERROR(N(IFERROR(INDEX($A349:$AB349,MATCH("Xero Invoiced Ex GST",$A$1:$AB$1,0)),"")),0)</f>
        <v/>
      </c>
      <c r="AE349" s="53">
        <f>IFERROR(INDEX($A349:$AB349,MATCH("Xero Invoice Date",$A$1:$AB$1,0)),"")</f>
        <v/>
      </c>
      <c r="AF349" s="54">
        <f>IF(AND(IFERROR(INDEX($A349:$AB349,MATCH("Xero Invoice No",$A$1:$AB$1,0)),"")&amp;""&lt;&gt;"",ISNUMBER(AE349),AD349&lt;&gt;0),1,0)</f>
        <v/>
      </c>
      <c r="AG349" s="55">
        <f>IF(AF349=1,EOMONTH(AE349,0),"")</f>
        <v/>
      </c>
      <c r="AH349" s="9">
        <f>IF(AF349=1,UPPER(TRIM(IFERROR(INDEX($A349:$AB349,MATCH("Client",$A$1:$AB$1,0)),"")&amp;"")),"")</f>
        <v/>
      </c>
      <c r="AI349" s="9">
        <f>IF(AF349=1,IFERROR(INDEX($A349:$AB349,MATCH("Cost Centre",$A$1:$AB$1,0)),"")&amp;"","")</f>
        <v/>
      </c>
      <c r="AJ349" s="54">
        <f>IF(AND(AF349=1,AE349&gt;=set_FYStart,AE349&lt;=set_AsAt),1,0)</f>
        <v/>
      </c>
      <c r="AK349" s="54">
        <f>IF(AND(AJ349=1,AH349&lt;&gt;"",COUNTIFS($AH$2:AH349,AH349,$AJ$2:AJ349,1)=1),N(AL348)+1,"")</f>
        <v/>
      </c>
      <c r="AL349" s="54">
        <f>IF(AK349&lt;&gt;"",AK349,N(AL348))</f>
        <v/>
      </c>
    </row>
    <row r="350">
      <c r="A350" t="inlineStr">
        <is>
          <t>ONS-0117</t>
        </is>
      </c>
      <c r="B350" t="inlineStr">
        <is>
          <t>Onsite</t>
        </is>
      </c>
      <c r="R350" t="inlineStr">
        <is>
          <t>GST 10%</t>
        </is>
      </c>
      <c r="AB350" t="n">
        <v>117</v>
      </c>
      <c r="AD350" s="52">
        <f>IFERROR(N(IFERROR(INDEX($A350:$AB350,MATCH("Xero Invoiced Ex GST",$A$1:$AB$1,0)),"")),0)</f>
        <v/>
      </c>
      <c r="AE350" s="53">
        <f>IFERROR(INDEX($A350:$AB350,MATCH("Xero Invoice Date",$A$1:$AB$1,0)),"")</f>
        <v/>
      </c>
      <c r="AF350" s="54">
        <f>IF(AND(IFERROR(INDEX($A350:$AB350,MATCH("Xero Invoice No",$A$1:$AB$1,0)),"")&amp;""&lt;&gt;"",ISNUMBER(AE350),AD350&lt;&gt;0),1,0)</f>
        <v/>
      </c>
      <c r="AG350" s="55">
        <f>IF(AF350=1,EOMONTH(AE350,0),"")</f>
        <v/>
      </c>
      <c r="AH350" s="9">
        <f>IF(AF350=1,UPPER(TRIM(IFERROR(INDEX($A350:$AB350,MATCH("Client",$A$1:$AB$1,0)),"")&amp;"")),"")</f>
        <v/>
      </c>
      <c r="AI350" s="9">
        <f>IF(AF350=1,IFERROR(INDEX($A350:$AB350,MATCH("Cost Centre",$A$1:$AB$1,0)),"")&amp;"","")</f>
        <v/>
      </c>
      <c r="AJ350" s="54">
        <f>IF(AND(AF350=1,AE350&gt;=set_FYStart,AE350&lt;=set_AsAt),1,0)</f>
        <v/>
      </c>
      <c r="AK350" s="54">
        <f>IF(AND(AJ350=1,AH350&lt;&gt;"",COUNTIFS($AH$2:AH350,AH350,$AJ$2:AJ350,1)=1),N(AL349)+1,"")</f>
        <v/>
      </c>
      <c r="AL350" s="54">
        <f>IF(AK350&lt;&gt;"",AK350,N(AL349))</f>
        <v/>
      </c>
    </row>
    <row r="351">
      <c r="A351" t="inlineStr">
        <is>
          <t>PRD-0117</t>
        </is>
      </c>
      <c r="B351" t="inlineStr">
        <is>
          <t>Production</t>
        </is>
      </c>
      <c r="AB351" t="n">
        <v>117</v>
      </c>
      <c r="AD351" s="52">
        <f>IFERROR(N(IFERROR(INDEX($A351:$AB351,MATCH("Xero Invoiced Ex GST",$A$1:$AB$1,0)),"")),0)</f>
        <v/>
      </c>
      <c r="AE351" s="53">
        <f>IFERROR(INDEX($A351:$AB351,MATCH("Xero Invoice Date",$A$1:$AB$1,0)),"")</f>
        <v/>
      </c>
      <c r="AF351" s="54">
        <f>IF(AND(IFERROR(INDEX($A351:$AB351,MATCH("Xero Invoice No",$A$1:$AB$1,0)),"")&amp;""&lt;&gt;"",ISNUMBER(AE351),AD351&lt;&gt;0),1,0)</f>
        <v/>
      </c>
      <c r="AG351" s="55">
        <f>IF(AF351=1,EOMONTH(AE351,0),"")</f>
        <v/>
      </c>
      <c r="AH351" s="9">
        <f>IF(AF351=1,UPPER(TRIM(IFERROR(INDEX($A351:$AB351,MATCH("Client",$A$1:$AB$1,0)),"")&amp;"")),"")</f>
        <v/>
      </c>
      <c r="AI351" s="9">
        <f>IF(AF351=1,IFERROR(INDEX($A351:$AB351,MATCH("Cost Centre",$A$1:$AB$1,0)),"")&amp;"","")</f>
        <v/>
      </c>
      <c r="AJ351" s="54">
        <f>IF(AND(AF351=1,AE351&gt;=set_FYStart,AE351&lt;=set_AsAt),1,0)</f>
        <v/>
      </c>
      <c r="AK351" s="54">
        <f>IF(AND(AJ351=1,AH351&lt;&gt;"",COUNTIFS($AH$2:AH351,AH351,$AJ$2:AJ351,1)=1),N(AL350)+1,"")</f>
        <v/>
      </c>
      <c r="AL351" s="54">
        <f>IF(AK351&lt;&gt;"",AK351,N(AL350))</f>
        <v/>
      </c>
    </row>
    <row r="352">
      <c r="A352" t="inlineStr">
        <is>
          <t>CON-0117</t>
        </is>
      </c>
      <c r="B352" t="inlineStr">
        <is>
          <t>Consulting</t>
        </is>
      </c>
      <c r="AB352" t="n">
        <v>117</v>
      </c>
      <c r="AD352" s="52">
        <f>IFERROR(N(IFERROR(INDEX($A352:$AB352,MATCH("Xero Invoiced Ex GST",$A$1:$AB$1,0)),"")),0)</f>
        <v/>
      </c>
      <c r="AE352" s="53">
        <f>IFERROR(INDEX($A352:$AB352,MATCH("Xero Invoice Date",$A$1:$AB$1,0)),"")</f>
        <v/>
      </c>
      <c r="AF352" s="54">
        <f>IF(AND(IFERROR(INDEX($A352:$AB352,MATCH("Xero Invoice No",$A$1:$AB$1,0)),"")&amp;""&lt;&gt;"",ISNUMBER(AE352),AD352&lt;&gt;0),1,0)</f>
        <v/>
      </c>
      <c r="AG352" s="55">
        <f>IF(AF352=1,EOMONTH(AE352,0),"")</f>
        <v/>
      </c>
      <c r="AH352" s="9">
        <f>IF(AF352=1,UPPER(TRIM(IFERROR(INDEX($A352:$AB352,MATCH("Client",$A$1:$AB$1,0)),"")&amp;"")),"")</f>
        <v/>
      </c>
      <c r="AI352" s="9">
        <f>IF(AF352=1,IFERROR(INDEX($A352:$AB352,MATCH("Cost Centre",$A$1:$AB$1,0)),"")&amp;"","")</f>
        <v/>
      </c>
      <c r="AJ352" s="54">
        <f>IF(AND(AF352=1,AE352&gt;=set_FYStart,AE352&lt;=set_AsAt),1,0)</f>
        <v/>
      </c>
      <c r="AK352" s="54">
        <f>IF(AND(AJ352=1,AH352&lt;&gt;"",COUNTIFS($AH$2:AH352,AH352,$AJ$2:AJ352,1)=1),N(AL351)+1,"")</f>
        <v/>
      </c>
      <c r="AL352" s="54">
        <f>IF(AK352&lt;&gt;"",AK352,N(AL351))</f>
        <v/>
      </c>
    </row>
    <row r="353">
      <c r="A353" t="inlineStr">
        <is>
          <t>ONS-0118</t>
        </is>
      </c>
      <c r="B353" t="inlineStr">
        <is>
          <t>Onsite</t>
        </is>
      </c>
      <c r="R353" t="inlineStr">
        <is>
          <t>GST 10%</t>
        </is>
      </c>
      <c r="AB353" t="n">
        <v>118</v>
      </c>
      <c r="AD353" s="52">
        <f>IFERROR(N(IFERROR(INDEX($A353:$AB353,MATCH("Xero Invoiced Ex GST",$A$1:$AB$1,0)),"")),0)</f>
        <v/>
      </c>
      <c r="AE353" s="53">
        <f>IFERROR(INDEX($A353:$AB353,MATCH("Xero Invoice Date",$A$1:$AB$1,0)),"")</f>
        <v/>
      </c>
      <c r="AF353" s="54">
        <f>IF(AND(IFERROR(INDEX($A353:$AB353,MATCH("Xero Invoice No",$A$1:$AB$1,0)),"")&amp;""&lt;&gt;"",ISNUMBER(AE353),AD353&lt;&gt;0),1,0)</f>
        <v/>
      </c>
      <c r="AG353" s="55">
        <f>IF(AF353=1,EOMONTH(AE353,0),"")</f>
        <v/>
      </c>
      <c r="AH353" s="9">
        <f>IF(AF353=1,UPPER(TRIM(IFERROR(INDEX($A353:$AB353,MATCH("Client",$A$1:$AB$1,0)),"")&amp;"")),"")</f>
        <v/>
      </c>
      <c r="AI353" s="9">
        <f>IF(AF353=1,IFERROR(INDEX($A353:$AB353,MATCH("Cost Centre",$A$1:$AB$1,0)),"")&amp;"","")</f>
        <v/>
      </c>
      <c r="AJ353" s="54">
        <f>IF(AND(AF353=1,AE353&gt;=set_FYStart,AE353&lt;=set_AsAt),1,0)</f>
        <v/>
      </c>
      <c r="AK353" s="54">
        <f>IF(AND(AJ353=1,AH353&lt;&gt;"",COUNTIFS($AH$2:AH353,AH353,$AJ$2:AJ353,1)=1),N(AL352)+1,"")</f>
        <v/>
      </c>
      <c r="AL353" s="54">
        <f>IF(AK353&lt;&gt;"",AK353,N(AL352))</f>
        <v/>
      </c>
    </row>
    <row r="354">
      <c r="A354" t="inlineStr">
        <is>
          <t>PRD-0118</t>
        </is>
      </c>
      <c r="B354" t="inlineStr">
        <is>
          <t>Production</t>
        </is>
      </c>
      <c r="AB354" t="n">
        <v>118</v>
      </c>
      <c r="AD354" s="52">
        <f>IFERROR(N(IFERROR(INDEX($A354:$AB354,MATCH("Xero Invoiced Ex GST",$A$1:$AB$1,0)),"")),0)</f>
        <v/>
      </c>
      <c r="AE354" s="53">
        <f>IFERROR(INDEX($A354:$AB354,MATCH("Xero Invoice Date",$A$1:$AB$1,0)),"")</f>
        <v/>
      </c>
      <c r="AF354" s="54">
        <f>IF(AND(IFERROR(INDEX($A354:$AB354,MATCH("Xero Invoice No",$A$1:$AB$1,0)),"")&amp;""&lt;&gt;"",ISNUMBER(AE354),AD354&lt;&gt;0),1,0)</f>
        <v/>
      </c>
      <c r="AG354" s="55">
        <f>IF(AF354=1,EOMONTH(AE354,0),"")</f>
        <v/>
      </c>
      <c r="AH354" s="9">
        <f>IF(AF354=1,UPPER(TRIM(IFERROR(INDEX($A354:$AB354,MATCH("Client",$A$1:$AB$1,0)),"")&amp;"")),"")</f>
        <v/>
      </c>
      <c r="AI354" s="9">
        <f>IF(AF354=1,IFERROR(INDEX($A354:$AB354,MATCH("Cost Centre",$A$1:$AB$1,0)),"")&amp;"","")</f>
        <v/>
      </c>
      <c r="AJ354" s="54">
        <f>IF(AND(AF354=1,AE354&gt;=set_FYStart,AE354&lt;=set_AsAt),1,0)</f>
        <v/>
      </c>
      <c r="AK354" s="54">
        <f>IF(AND(AJ354=1,AH354&lt;&gt;"",COUNTIFS($AH$2:AH354,AH354,$AJ$2:AJ354,1)=1),N(AL353)+1,"")</f>
        <v/>
      </c>
      <c r="AL354" s="54">
        <f>IF(AK354&lt;&gt;"",AK354,N(AL353))</f>
        <v/>
      </c>
    </row>
    <row r="355">
      <c r="A355" t="inlineStr">
        <is>
          <t>CON-0118</t>
        </is>
      </c>
      <c r="B355" t="inlineStr">
        <is>
          <t>Consulting</t>
        </is>
      </c>
      <c r="AB355" t="n">
        <v>118</v>
      </c>
      <c r="AD355" s="52">
        <f>IFERROR(N(IFERROR(INDEX($A355:$AB355,MATCH("Xero Invoiced Ex GST",$A$1:$AB$1,0)),"")),0)</f>
        <v/>
      </c>
      <c r="AE355" s="53">
        <f>IFERROR(INDEX($A355:$AB355,MATCH("Xero Invoice Date",$A$1:$AB$1,0)),"")</f>
        <v/>
      </c>
      <c r="AF355" s="54">
        <f>IF(AND(IFERROR(INDEX($A355:$AB355,MATCH("Xero Invoice No",$A$1:$AB$1,0)),"")&amp;""&lt;&gt;"",ISNUMBER(AE355),AD355&lt;&gt;0),1,0)</f>
        <v/>
      </c>
      <c r="AG355" s="55">
        <f>IF(AF355=1,EOMONTH(AE355,0),"")</f>
        <v/>
      </c>
      <c r="AH355" s="9">
        <f>IF(AF355=1,UPPER(TRIM(IFERROR(INDEX($A355:$AB355,MATCH("Client",$A$1:$AB$1,0)),"")&amp;"")),"")</f>
        <v/>
      </c>
      <c r="AI355" s="9">
        <f>IF(AF355=1,IFERROR(INDEX($A355:$AB355,MATCH("Cost Centre",$A$1:$AB$1,0)),"")&amp;"","")</f>
        <v/>
      </c>
      <c r="AJ355" s="54">
        <f>IF(AND(AF355=1,AE355&gt;=set_FYStart,AE355&lt;=set_AsAt),1,0)</f>
        <v/>
      </c>
      <c r="AK355" s="54">
        <f>IF(AND(AJ355=1,AH355&lt;&gt;"",COUNTIFS($AH$2:AH355,AH355,$AJ$2:AJ355,1)=1),N(AL354)+1,"")</f>
        <v/>
      </c>
      <c r="AL355" s="54">
        <f>IF(AK355&lt;&gt;"",AK355,N(AL354))</f>
        <v/>
      </c>
    </row>
    <row r="356">
      <c r="A356" t="inlineStr">
        <is>
          <t>ONS-0119</t>
        </is>
      </c>
      <c r="B356" t="inlineStr">
        <is>
          <t>Onsite</t>
        </is>
      </c>
      <c r="R356" t="inlineStr">
        <is>
          <t>GST 10%</t>
        </is>
      </c>
      <c r="AB356" t="n">
        <v>119</v>
      </c>
      <c r="AD356" s="52">
        <f>IFERROR(N(IFERROR(INDEX($A356:$AB356,MATCH("Xero Invoiced Ex GST",$A$1:$AB$1,0)),"")),0)</f>
        <v/>
      </c>
      <c r="AE356" s="53">
        <f>IFERROR(INDEX($A356:$AB356,MATCH("Xero Invoice Date",$A$1:$AB$1,0)),"")</f>
        <v/>
      </c>
      <c r="AF356" s="54">
        <f>IF(AND(IFERROR(INDEX($A356:$AB356,MATCH("Xero Invoice No",$A$1:$AB$1,0)),"")&amp;""&lt;&gt;"",ISNUMBER(AE356),AD356&lt;&gt;0),1,0)</f>
        <v/>
      </c>
      <c r="AG356" s="55">
        <f>IF(AF356=1,EOMONTH(AE356,0),"")</f>
        <v/>
      </c>
      <c r="AH356" s="9">
        <f>IF(AF356=1,UPPER(TRIM(IFERROR(INDEX($A356:$AB356,MATCH("Client",$A$1:$AB$1,0)),"")&amp;"")),"")</f>
        <v/>
      </c>
      <c r="AI356" s="9">
        <f>IF(AF356=1,IFERROR(INDEX($A356:$AB356,MATCH("Cost Centre",$A$1:$AB$1,0)),"")&amp;"","")</f>
        <v/>
      </c>
      <c r="AJ356" s="54">
        <f>IF(AND(AF356=1,AE356&gt;=set_FYStart,AE356&lt;=set_AsAt),1,0)</f>
        <v/>
      </c>
      <c r="AK356" s="54">
        <f>IF(AND(AJ356=1,AH356&lt;&gt;"",COUNTIFS($AH$2:AH356,AH356,$AJ$2:AJ356,1)=1),N(AL355)+1,"")</f>
        <v/>
      </c>
      <c r="AL356" s="54">
        <f>IF(AK356&lt;&gt;"",AK356,N(AL355))</f>
        <v/>
      </c>
    </row>
    <row r="357">
      <c r="A357" t="inlineStr">
        <is>
          <t>PRD-0119</t>
        </is>
      </c>
      <c r="B357" t="inlineStr">
        <is>
          <t>Production</t>
        </is>
      </c>
      <c r="AB357" t="n">
        <v>119</v>
      </c>
      <c r="AD357" s="52">
        <f>IFERROR(N(IFERROR(INDEX($A357:$AB357,MATCH("Xero Invoiced Ex GST",$A$1:$AB$1,0)),"")),0)</f>
        <v/>
      </c>
      <c r="AE357" s="53">
        <f>IFERROR(INDEX($A357:$AB357,MATCH("Xero Invoice Date",$A$1:$AB$1,0)),"")</f>
        <v/>
      </c>
      <c r="AF357" s="54">
        <f>IF(AND(IFERROR(INDEX($A357:$AB357,MATCH("Xero Invoice No",$A$1:$AB$1,0)),"")&amp;""&lt;&gt;"",ISNUMBER(AE357),AD357&lt;&gt;0),1,0)</f>
        <v/>
      </c>
      <c r="AG357" s="55">
        <f>IF(AF357=1,EOMONTH(AE357,0),"")</f>
        <v/>
      </c>
      <c r="AH357" s="9">
        <f>IF(AF357=1,UPPER(TRIM(IFERROR(INDEX($A357:$AB357,MATCH("Client",$A$1:$AB$1,0)),"")&amp;"")),"")</f>
        <v/>
      </c>
      <c r="AI357" s="9">
        <f>IF(AF357=1,IFERROR(INDEX($A357:$AB357,MATCH("Cost Centre",$A$1:$AB$1,0)),"")&amp;"","")</f>
        <v/>
      </c>
      <c r="AJ357" s="54">
        <f>IF(AND(AF357=1,AE357&gt;=set_FYStart,AE357&lt;=set_AsAt),1,0)</f>
        <v/>
      </c>
      <c r="AK357" s="54">
        <f>IF(AND(AJ357=1,AH357&lt;&gt;"",COUNTIFS($AH$2:AH357,AH357,$AJ$2:AJ357,1)=1),N(AL356)+1,"")</f>
        <v/>
      </c>
      <c r="AL357" s="54">
        <f>IF(AK357&lt;&gt;"",AK357,N(AL356))</f>
        <v/>
      </c>
    </row>
    <row r="358">
      <c r="A358" t="inlineStr">
        <is>
          <t>CON-0119</t>
        </is>
      </c>
      <c r="B358" t="inlineStr">
        <is>
          <t>Consulting</t>
        </is>
      </c>
      <c r="AB358" t="n">
        <v>119</v>
      </c>
      <c r="AD358" s="52">
        <f>IFERROR(N(IFERROR(INDEX($A358:$AB358,MATCH("Xero Invoiced Ex GST",$A$1:$AB$1,0)),"")),0)</f>
        <v/>
      </c>
      <c r="AE358" s="53">
        <f>IFERROR(INDEX($A358:$AB358,MATCH("Xero Invoice Date",$A$1:$AB$1,0)),"")</f>
        <v/>
      </c>
      <c r="AF358" s="54">
        <f>IF(AND(IFERROR(INDEX($A358:$AB358,MATCH("Xero Invoice No",$A$1:$AB$1,0)),"")&amp;""&lt;&gt;"",ISNUMBER(AE358),AD358&lt;&gt;0),1,0)</f>
        <v/>
      </c>
      <c r="AG358" s="55">
        <f>IF(AF358=1,EOMONTH(AE358,0),"")</f>
        <v/>
      </c>
      <c r="AH358" s="9">
        <f>IF(AF358=1,UPPER(TRIM(IFERROR(INDEX($A358:$AB358,MATCH("Client",$A$1:$AB$1,0)),"")&amp;"")),"")</f>
        <v/>
      </c>
      <c r="AI358" s="9">
        <f>IF(AF358=1,IFERROR(INDEX($A358:$AB358,MATCH("Cost Centre",$A$1:$AB$1,0)),"")&amp;"","")</f>
        <v/>
      </c>
      <c r="AJ358" s="54">
        <f>IF(AND(AF358=1,AE358&gt;=set_FYStart,AE358&lt;=set_AsAt),1,0)</f>
        <v/>
      </c>
      <c r="AK358" s="54">
        <f>IF(AND(AJ358=1,AH358&lt;&gt;"",COUNTIFS($AH$2:AH358,AH358,$AJ$2:AJ358,1)=1),N(AL357)+1,"")</f>
        <v/>
      </c>
      <c r="AL358" s="54">
        <f>IF(AK358&lt;&gt;"",AK358,N(AL357))</f>
        <v/>
      </c>
    </row>
    <row r="359">
      <c r="A359" t="inlineStr">
        <is>
          <t>ONS-0120</t>
        </is>
      </c>
      <c r="B359" t="inlineStr">
        <is>
          <t>Onsite</t>
        </is>
      </c>
      <c r="R359" t="inlineStr">
        <is>
          <t>GST 10%</t>
        </is>
      </c>
      <c r="AB359" t="n">
        <v>120</v>
      </c>
      <c r="AD359" s="52">
        <f>IFERROR(N(IFERROR(INDEX($A359:$AB359,MATCH("Xero Invoiced Ex GST",$A$1:$AB$1,0)),"")),0)</f>
        <v/>
      </c>
      <c r="AE359" s="53">
        <f>IFERROR(INDEX($A359:$AB359,MATCH("Xero Invoice Date",$A$1:$AB$1,0)),"")</f>
        <v/>
      </c>
      <c r="AF359" s="54">
        <f>IF(AND(IFERROR(INDEX($A359:$AB359,MATCH("Xero Invoice No",$A$1:$AB$1,0)),"")&amp;""&lt;&gt;"",ISNUMBER(AE359),AD359&lt;&gt;0),1,0)</f>
        <v/>
      </c>
      <c r="AG359" s="55">
        <f>IF(AF359=1,EOMONTH(AE359,0),"")</f>
        <v/>
      </c>
      <c r="AH359" s="9">
        <f>IF(AF359=1,UPPER(TRIM(IFERROR(INDEX($A359:$AB359,MATCH("Client",$A$1:$AB$1,0)),"")&amp;"")),"")</f>
        <v/>
      </c>
      <c r="AI359" s="9">
        <f>IF(AF359=1,IFERROR(INDEX($A359:$AB359,MATCH("Cost Centre",$A$1:$AB$1,0)),"")&amp;"","")</f>
        <v/>
      </c>
      <c r="AJ359" s="54">
        <f>IF(AND(AF359=1,AE359&gt;=set_FYStart,AE359&lt;=set_AsAt),1,0)</f>
        <v/>
      </c>
      <c r="AK359" s="54">
        <f>IF(AND(AJ359=1,AH359&lt;&gt;"",COUNTIFS($AH$2:AH359,AH359,$AJ$2:AJ359,1)=1),N(AL358)+1,"")</f>
        <v/>
      </c>
      <c r="AL359" s="54">
        <f>IF(AK359&lt;&gt;"",AK359,N(AL358))</f>
        <v/>
      </c>
    </row>
    <row r="360">
      <c r="A360" t="inlineStr">
        <is>
          <t>PRD-0120</t>
        </is>
      </c>
      <c r="B360" t="inlineStr">
        <is>
          <t>Production</t>
        </is>
      </c>
      <c r="AB360" t="n">
        <v>120</v>
      </c>
      <c r="AD360" s="52">
        <f>IFERROR(N(IFERROR(INDEX($A360:$AB360,MATCH("Xero Invoiced Ex GST",$A$1:$AB$1,0)),"")),0)</f>
        <v/>
      </c>
      <c r="AE360" s="53">
        <f>IFERROR(INDEX($A360:$AB360,MATCH("Xero Invoice Date",$A$1:$AB$1,0)),"")</f>
        <v/>
      </c>
      <c r="AF360" s="54">
        <f>IF(AND(IFERROR(INDEX($A360:$AB360,MATCH("Xero Invoice No",$A$1:$AB$1,0)),"")&amp;""&lt;&gt;"",ISNUMBER(AE360),AD360&lt;&gt;0),1,0)</f>
        <v/>
      </c>
      <c r="AG360" s="55">
        <f>IF(AF360=1,EOMONTH(AE360,0),"")</f>
        <v/>
      </c>
      <c r="AH360" s="9">
        <f>IF(AF360=1,UPPER(TRIM(IFERROR(INDEX($A360:$AB360,MATCH("Client",$A$1:$AB$1,0)),"")&amp;"")),"")</f>
        <v/>
      </c>
      <c r="AI360" s="9">
        <f>IF(AF360=1,IFERROR(INDEX($A360:$AB360,MATCH("Cost Centre",$A$1:$AB$1,0)),"")&amp;"","")</f>
        <v/>
      </c>
      <c r="AJ360" s="54">
        <f>IF(AND(AF360=1,AE360&gt;=set_FYStart,AE360&lt;=set_AsAt),1,0)</f>
        <v/>
      </c>
      <c r="AK360" s="54">
        <f>IF(AND(AJ360=1,AH360&lt;&gt;"",COUNTIFS($AH$2:AH360,AH360,$AJ$2:AJ360,1)=1),N(AL359)+1,"")</f>
        <v/>
      </c>
      <c r="AL360" s="54">
        <f>IF(AK360&lt;&gt;"",AK360,N(AL359))</f>
        <v/>
      </c>
    </row>
    <row r="361">
      <c r="A361" t="inlineStr">
        <is>
          <t>CON-0120</t>
        </is>
      </c>
      <c r="B361" t="inlineStr">
        <is>
          <t>Consulting</t>
        </is>
      </c>
      <c r="AB361" t="n">
        <v>120</v>
      </c>
      <c r="AD361" s="52">
        <f>IFERROR(N(IFERROR(INDEX($A361:$AB361,MATCH("Xero Invoiced Ex GST",$A$1:$AB$1,0)),"")),0)</f>
        <v/>
      </c>
      <c r="AE361" s="53">
        <f>IFERROR(INDEX($A361:$AB361,MATCH("Xero Invoice Date",$A$1:$AB$1,0)),"")</f>
        <v/>
      </c>
      <c r="AF361" s="54">
        <f>IF(AND(IFERROR(INDEX($A361:$AB361,MATCH("Xero Invoice No",$A$1:$AB$1,0)),"")&amp;""&lt;&gt;"",ISNUMBER(AE361),AD361&lt;&gt;0),1,0)</f>
        <v/>
      </c>
      <c r="AG361" s="55">
        <f>IF(AF361=1,EOMONTH(AE361,0),"")</f>
        <v/>
      </c>
      <c r="AH361" s="9">
        <f>IF(AF361=1,UPPER(TRIM(IFERROR(INDEX($A361:$AB361,MATCH("Client",$A$1:$AB$1,0)),"")&amp;"")),"")</f>
        <v/>
      </c>
      <c r="AI361" s="9">
        <f>IF(AF361=1,IFERROR(INDEX($A361:$AB361,MATCH("Cost Centre",$A$1:$AB$1,0)),"")&amp;"","")</f>
        <v/>
      </c>
      <c r="AJ361" s="54">
        <f>IF(AND(AF361=1,AE361&gt;=set_FYStart,AE361&lt;=set_AsAt),1,0)</f>
        <v/>
      </c>
      <c r="AK361" s="54">
        <f>IF(AND(AJ361=1,AH361&lt;&gt;"",COUNTIFS($AH$2:AH361,AH361,$AJ$2:AJ361,1)=1),N(AL360)+1,"")</f>
        <v/>
      </c>
      <c r="AL361" s="54">
        <f>IF(AK361&lt;&gt;"",AK361,N(AL360))</f>
        <v/>
      </c>
    </row>
    <row r="362">
      <c r="A362" t="inlineStr">
        <is>
          <t>ONS-0121</t>
        </is>
      </c>
      <c r="B362" t="inlineStr">
        <is>
          <t>Onsite</t>
        </is>
      </c>
      <c r="R362" t="inlineStr">
        <is>
          <t>GST 10%</t>
        </is>
      </c>
      <c r="AB362" t="n">
        <v>121</v>
      </c>
      <c r="AD362" s="52">
        <f>IFERROR(N(IFERROR(INDEX($A362:$AB362,MATCH("Xero Invoiced Ex GST",$A$1:$AB$1,0)),"")),0)</f>
        <v/>
      </c>
      <c r="AE362" s="53">
        <f>IFERROR(INDEX($A362:$AB362,MATCH("Xero Invoice Date",$A$1:$AB$1,0)),"")</f>
        <v/>
      </c>
      <c r="AF362" s="54">
        <f>IF(AND(IFERROR(INDEX($A362:$AB362,MATCH("Xero Invoice No",$A$1:$AB$1,0)),"")&amp;""&lt;&gt;"",ISNUMBER(AE362),AD362&lt;&gt;0),1,0)</f>
        <v/>
      </c>
      <c r="AG362" s="55">
        <f>IF(AF362=1,EOMONTH(AE362,0),"")</f>
        <v/>
      </c>
      <c r="AH362" s="9">
        <f>IF(AF362=1,UPPER(TRIM(IFERROR(INDEX($A362:$AB362,MATCH("Client",$A$1:$AB$1,0)),"")&amp;"")),"")</f>
        <v/>
      </c>
      <c r="AI362" s="9">
        <f>IF(AF362=1,IFERROR(INDEX($A362:$AB362,MATCH("Cost Centre",$A$1:$AB$1,0)),"")&amp;"","")</f>
        <v/>
      </c>
      <c r="AJ362" s="54">
        <f>IF(AND(AF362=1,AE362&gt;=set_FYStart,AE362&lt;=set_AsAt),1,0)</f>
        <v/>
      </c>
      <c r="AK362" s="54">
        <f>IF(AND(AJ362=1,AH362&lt;&gt;"",COUNTIFS($AH$2:AH362,AH362,$AJ$2:AJ362,1)=1),N(AL361)+1,"")</f>
        <v/>
      </c>
      <c r="AL362" s="54">
        <f>IF(AK362&lt;&gt;"",AK362,N(AL361))</f>
        <v/>
      </c>
    </row>
    <row r="363">
      <c r="A363" t="inlineStr">
        <is>
          <t>PRD-0121</t>
        </is>
      </c>
      <c r="B363" t="inlineStr">
        <is>
          <t>Production</t>
        </is>
      </c>
      <c r="AB363" t="n">
        <v>121</v>
      </c>
      <c r="AD363" s="52">
        <f>IFERROR(N(IFERROR(INDEX($A363:$AB363,MATCH("Xero Invoiced Ex GST",$A$1:$AB$1,0)),"")),0)</f>
        <v/>
      </c>
      <c r="AE363" s="53">
        <f>IFERROR(INDEX($A363:$AB363,MATCH("Xero Invoice Date",$A$1:$AB$1,0)),"")</f>
        <v/>
      </c>
      <c r="AF363" s="54">
        <f>IF(AND(IFERROR(INDEX($A363:$AB363,MATCH("Xero Invoice No",$A$1:$AB$1,0)),"")&amp;""&lt;&gt;"",ISNUMBER(AE363),AD363&lt;&gt;0),1,0)</f>
        <v/>
      </c>
      <c r="AG363" s="55">
        <f>IF(AF363=1,EOMONTH(AE363,0),"")</f>
        <v/>
      </c>
      <c r="AH363" s="9">
        <f>IF(AF363=1,UPPER(TRIM(IFERROR(INDEX($A363:$AB363,MATCH("Client",$A$1:$AB$1,0)),"")&amp;"")),"")</f>
        <v/>
      </c>
      <c r="AI363" s="9">
        <f>IF(AF363=1,IFERROR(INDEX($A363:$AB363,MATCH("Cost Centre",$A$1:$AB$1,0)),"")&amp;"","")</f>
        <v/>
      </c>
      <c r="AJ363" s="54">
        <f>IF(AND(AF363=1,AE363&gt;=set_FYStart,AE363&lt;=set_AsAt),1,0)</f>
        <v/>
      </c>
      <c r="AK363" s="54">
        <f>IF(AND(AJ363=1,AH363&lt;&gt;"",COUNTIFS($AH$2:AH363,AH363,$AJ$2:AJ363,1)=1),N(AL362)+1,"")</f>
        <v/>
      </c>
      <c r="AL363" s="54">
        <f>IF(AK363&lt;&gt;"",AK363,N(AL362))</f>
        <v/>
      </c>
    </row>
    <row r="364">
      <c r="A364" t="inlineStr">
        <is>
          <t>CON-0121</t>
        </is>
      </c>
      <c r="B364" t="inlineStr">
        <is>
          <t>Consulting</t>
        </is>
      </c>
      <c r="AB364" t="n">
        <v>121</v>
      </c>
      <c r="AD364" s="52">
        <f>IFERROR(N(IFERROR(INDEX($A364:$AB364,MATCH("Xero Invoiced Ex GST",$A$1:$AB$1,0)),"")),0)</f>
        <v/>
      </c>
      <c r="AE364" s="53">
        <f>IFERROR(INDEX($A364:$AB364,MATCH("Xero Invoice Date",$A$1:$AB$1,0)),"")</f>
        <v/>
      </c>
      <c r="AF364" s="54">
        <f>IF(AND(IFERROR(INDEX($A364:$AB364,MATCH("Xero Invoice No",$A$1:$AB$1,0)),"")&amp;""&lt;&gt;"",ISNUMBER(AE364),AD364&lt;&gt;0),1,0)</f>
        <v/>
      </c>
      <c r="AG364" s="55">
        <f>IF(AF364=1,EOMONTH(AE364,0),"")</f>
        <v/>
      </c>
      <c r="AH364" s="9">
        <f>IF(AF364=1,UPPER(TRIM(IFERROR(INDEX($A364:$AB364,MATCH("Client",$A$1:$AB$1,0)),"")&amp;"")),"")</f>
        <v/>
      </c>
      <c r="AI364" s="9">
        <f>IF(AF364=1,IFERROR(INDEX($A364:$AB364,MATCH("Cost Centre",$A$1:$AB$1,0)),"")&amp;"","")</f>
        <v/>
      </c>
      <c r="AJ364" s="54">
        <f>IF(AND(AF364=1,AE364&gt;=set_FYStart,AE364&lt;=set_AsAt),1,0)</f>
        <v/>
      </c>
      <c r="AK364" s="54">
        <f>IF(AND(AJ364=1,AH364&lt;&gt;"",COUNTIFS($AH$2:AH364,AH364,$AJ$2:AJ364,1)=1),N(AL363)+1,"")</f>
        <v/>
      </c>
      <c r="AL364" s="54">
        <f>IF(AK364&lt;&gt;"",AK364,N(AL363))</f>
        <v/>
      </c>
    </row>
    <row r="365">
      <c r="A365" t="inlineStr">
        <is>
          <t>ONS-0122</t>
        </is>
      </c>
      <c r="B365" t="inlineStr">
        <is>
          <t>Onsite</t>
        </is>
      </c>
      <c r="R365" t="inlineStr">
        <is>
          <t>GST 10%</t>
        </is>
      </c>
      <c r="AB365" t="n">
        <v>122</v>
      </c>
      <c r="AD365" s="52">
        <f>IFERROR(N(IFERROR(INDEX($A365:$AB365,MATCH("Xero Invoiced Ex GST",$A$1:$AB$1,0)),"")),0)</f>
        <v/>
      </c>
      <c r="AE365" s="53">
        <f>IFERROR(INDEX($A365:$AB365,MATCH("Xero Invoice Date",$A$1:$AB$1,0)),"")</f>
        <v/>
      </c>
      <c r="AF365" s="54">
        <f>IF(AND(IFERROR(INDEX($A365:$AB365,MATCH("Xero Invoice No",$A$1:$AB$1,0)),"")&amp;""&lt;&gt;"",ISNUMBER(AE365),AD365&lt;&gt;0),1,0)</f>
        <v/>
      </c>
      <c r="AG365" s="55">
        <f>IF(AF365=1,EOMONTH(AE365,0),"")</f>
        <v/>
      </c>
      <c r="AH365" s="9">
        <f>IF(AF365=1,UPPER(TRIM(IFERROR(INDEX($A365:$AB365,MATCH("Client",$A$1:$AB$1,0)),"")&amp;"")),"")</f>
        <v/>
      </c>
      <c r="AI365" s="9">
        <f>IF(AF365=1,IFERROR(INDEX($A365:$AB365,MATCH("Cost Centre",$A$1:$AB$1,0)),"")&amp;"","")</f>
        <v/>
      </c>
      <c r="AJ365" s="54">
        <f>IF(AND(AF365=1,AE365&gt;=set_FYStart,AE365&lt;=set_AsAt),1,0)</f>
        <v/>
      </c>
      <c r="AK365" s="54">
        <f>IF(AND(AJ365=1,AH365&lt;&gt;"",COUNTIFS($AH$2:AH365,AH365,$AJ$2:AJ365,1)=1),N(AL364)+1,"")</f>
        <v/>
      </c>
      <c r="AL365" s="54">
        <f>IF(AK365&lt;&gt;"",AK365,N(AL364))</f>
        <v/>
      </c>
    </row>
    <row r="366">
      <c r="A366" t="inlineStr">
        <is>
          <t>PRD-0122</t>
        </is>
      </c>
      <c r="B366" t="inlineStr">
        <is>
          <t>Production</t>
        </is>
      </c>
      <c r="AB366" t="n">
        <v>122</v>
      </c>
      <c r="AD366" s="52">
        <f>IFERROR(N(IFERROR(INDEX($A366:$AB366,MATCH("Xero Invoiced Ex GST",$A$1:$AB$1,0)),"")),0)</f>
        <v/>
      </c>
      <c r="AE366" s="53">
        <f>IFERROR(INDEX($A366:$AB366,MATCH("Xero Invoice Date",$A$1:$AB$1,0)),"")</f>
        <v/>
      </c>
      <c r="AF366" s="54">
        <f>IF(AND(IFERROR(INDEX($A366:$AB366,MATCH("Xero Invoice No",$A$1:$AB$1,0)),"")&amp;""&lt;&gt;"",ISNUMBER(AE366),AD366&lt;&gt;0),1,0)</f>
        <v/>
      </c>
      <c r="AG366" s="55">
        <f>IF(AF366=1,EOMONTH(AE366,0),"")</f>
        <v/>
      </c>
      <c r="AH366" s="9">
        <f>IF(AF366=1,UPPER(TRIM(IFERROR(INDEX($A366:$AB366,MATCH("Client",$A$1:$AB$1,0)),"")&amp;"")),"")</f>
        <v/>
      </c>
      <c r="AI366" s="9">
        <f>IF(AF366=1,IFERROR(INDEX($A366:$AB366,MATCH("Cost Centre",$A$1:$AB$1,0)),"")&amp;"","")</f>
        <v/>
      </c>
      <c r="AJ366" s="54">
        <f>IF(AND(AF366=1,AE366&gt;=set_FYStart,AE366&lt;=set_AsAt),1,0)</f>
        <v/>
      </c>
      <c r="AK366" s="54">
        <f>IF(AND(AJ366=1,AH366&lt;&gt;"",COUNTIFS($AH$2:AH366,AH366,$AJ$2:AJ366,1)=1),N(AL365)+1,"")</f>
        <v/>
      </c>
      <c r="AL366" s="54">
        <f>IF(AK366&lt;&gt;"",AK366,N(AL365))</f>
        <v/>
      </c>
    </row>
    <row r="367">
      <c r="A367" t="inlineStr">
        <is>
          <t>CON-0122</t>
        </is>
      </c>
      <c r="B367" t="inlineStr">
        <is>
          <t>Consulting</t>
        </is>
      </c>
      <c r="AB367" t="n">
        <v>122</v>
      </c>
      <c r="AD367" s="52">
        <f>IFERROR(N(IFERROR(INDEX($A367:$AB367,MATCH("Xero Invoiced Ex GST",$A$1:$AB$1,0)),"")),0)</f>
        <v/>
      </c>
      <c r="AE367" s="53">
        <f>IFERROR(INDEX($A367:$AB367,MATCH("Xero Invoice Date",$A$1:$AB$1,0)),"")</f>
        <v/>
      </c>
      <c r="AF367" s="54">
        <f>IF(AND(IFERROR(INDEX($A367:$AB367,MATCH("Xero Invoice No",$A$1:$AB$1,0)),"")&amp;""&lt;&gt;"",ISNUMBER(AE367),AD367&lt;&gt;0),1,0)</f>
        <v/>
      </c>
      <c r="AG367" s="55">
        <f>IF(AF367=1,EOMONTH(AE367,0),"")</f>
        <v/>
      </c>
      <c r="AH367" s="9">
        <f>IF(AF367=1,UPPER(TRIM(IFERROR(INDEX($A367:$AB367,MATCH("Client",$A$1:$AB$1,0)),"")&amp;"")),"")</f>
        <v/>
      </c>
      <c r="AI367" s="9">
        <f>IF(AF367=1,IFERROR(INDEX($A367:$AB367,MATCH("Cost Centre",$A$1:$AB$1,0)),"")&amp;"","")</f>
        <v/>
      </c>
      <c r="AJ367" s="54">
        <f>IF(AND(AF367=1,AE367&gt;=set_FYStart,AE367&lt;=set_AsAt),1,0)</f>
        <v/>
      </c>
      <c r="AK367" s="54">
        <f>IF(AND(AJ367=1,AH367&lt;&gt;"",COUNTIFS($AH$2:AH367,AH367,$AJ$2:AJ367,1)=1),N(AL366)+1,"")</f>
        <v/>
      </c>
      <c r="AL367" s="54">
        <f>IF(AK367&lt;&gt;"",AK367,N(AL366))</f>
        <v/>
      </c>
    </row>
    <row r="368">
      <c r="A368" t="inlineStr">
        <is>
          <t>ONS-0123</t>
        </is>
      </c>
      <c r="B368" t="inlineStr">
        <is>
          <t>Onsite</t>
        </is>
      </c>
      <c r="R368" t="inlineStr">
        <is>
          <t>GST 10%</t>
        </is>
      </c>
      <c r="AB368" t="n">
        <v>123</v>
      </c>
      <c r="AD368" s="52">
        <f>IFERROR(N(IFERROR(INDEX($A368:$AB368,MATCH("Xero Invoiced Ex GST",$A$1:$AB$1,0)),"")),0)</f>
        <v/>
      </c>
      <c r="AE368" s="53">
        <f>IFERROR(INDEX($A368:$AB368,MATCH("Xero Invoice Date",$A$1:$AB$1,0)),"")</f>
        <v/>
      </c>
      <c r="AF368" s="54">
        <f>IF(AND(IFERROR(INDEX($A368:$AB368,MATCH("Xero Invoice No",$A$1:$AB$1,0)),"")&amp;""&lt;&gt;"",ISNUMBER(AE368),AD368&lt;&gt;0),1,0)</f>
        <v/>
      </c>
      <c r="AG368" s="55">
        <f>IF(AF368=1,EOMONTH(AE368,0),"")</f>
        <v/>
      </c>
      <c r="AH368" s="9">
        <f>IF(AF368=1,UPPER(TRIM(IFERROR(INDEX($A368:$AB368,MATCH("Client",$A$1:$AB$1,0)),"")&amp;"")),"")</f>
        <v/>
      </c>
      <c r="AI368" s="9">
        <f>IF(AF368=1,IFERROR(INDEX($A368:$AB368,MATCH("Cost Centre",$A$1:$AB$1,0)),"")&amp;"","")</f>
        <v/>
      </c>
      <c r="AJ368" s="54">
        <f>IF(AND(AF368=1,AE368&gt;=set_FYStart,AE368&lt;=set_AsAt),1,0)</f>
        <v/>
      </c>
      <c r="AK368" s="54">
        <f>IF(AND(AJ368=1,AH368&lt;&gt;"",COUNTIFS($AH$2:AH368,AH368,$AJ$2:AJ368,1)=1),N(AL367)+1,"")</f>
        <v/>
      </c>
      <c r="AL368" s="54">
        <f>IF(AK368&lt;&gt;"",AK368,N(AL367))</f>
        <v/>
      </c>
    </row>
    <row r="369">
      <c r="A369" t="inlineStr">
        <is>
          <t>PRD-0123</t>
        </is>
      </c>
      <c r="B369" t="inlineStr">
        <is>
          <t>Production</t>
        </is>
      </c>
      <c r="AB369" t="n">
        <v>123</v>
      </c>
      <c r="AD369" s="52">
        <f>IFERROR(N(IFERROR(INDEX($A369:$AB369,MATCH("Xero Invoiced Ex GST",$A$1:$AB$1,0)),"")),0)</f>
        <v/>
      </c>
      <c r="AE369" s="53">
        <f>IFERROR(INDEX($A369:$AB369,MATCH("Xero Invoice Date",$A$1:$AB$1,0)),"")</f>
        <v/>
      </c>
      <c r="AF369" s="54">
        <f>IF(AND(IFERROR(INDEX($A369:$AB369,MATCH("Xero Invoice No",$A$1:$AB$1,0)),"")&amp;""&lt;&gt;"",ISNUMBER(AE369),AD369&lt;&gt;0),1,0)</f>
        <v/>
      </c>
      <c r="AG369" s="55">
        <f>IF(AF369=1,EOMONTH(AE369,0),"")</f>
        <v/>
      </c>
      <c r="AH369" s="9">
        <f>IF(AF369=1,UPPER(TRIM(IFERROR(INDEX($A369:$AB369,MATCH("Client",$A$1:$AB$1,0)),"")&amp;"")),"")</f>
        <v/>
      </c>
      <c r="AI369" s="9">
        <f>IF(AF369=1,IFERROR(INDEX($A369:$AB369,MATCH("Cost Centre",$A$1:$AB$1,0)),"")&amp;"","")</f>
        <v/>
      </c>
      <c r="AJ369" s="54">
        <f>IF(AND(AF369=1,AE369&gt;=set_FYStart,AE369&lt;=set_AsAt),1,0)</f>
        <v/>
      </c>
      <c r="AK369" s="54">
        <f>IF(AND(AJ369=1,AH369&lt;&gt;"",COUNTIFS($AH$2:AH369,AH369,$AJ$2:AJ369,1)=1),N(AL368)+1,"")</f>
        <v/>
      </c>
      <c r="AL369" s="54">
        <f>IF(AK369&lt;&gt;"",AK369,N(AL368))</f>
        <v/>
      </c>
    </row>
    <row r="370">
      <c r="A370" t="inlineStr">
        <is>
          <t>CON-0123</t>
        </is>
      </c>
      <c r="B370" t="inlineStr">
        <is>
          <t>Consulting</t>
        </is>
      </c>
      <c r="AB370" t="n">
        <v>123</v>
      </c>
      <c r="AD370" s="52">
        <f>IFERROR(N(IFERROR(INDEX($A370:$AB370,MATCH("Xero Invoiced Ex GST",$A$1:$AB$1,0)),"")),0)</f>
        <v/>
      </c>
      <c r="AE370" s="53">
        <f>IFERROR(INDEX($A370:$AB370,MATCH("Xero Invoice Date",$A$1:$AB$1,0)),"")</f>
        <v/>
      </c>
      <c r="AF370" s="54">
        <f>IF(AND(IFERROR(INDEX($A370:$AB370,MATCH("Xero Invoice No",$A$1:$AB$1,0)),"")&amp;""&lt;&gt;"",ISNUMBER(AE370),AD370&lt;&gt;0),1,0)</f>
        <v/>
      </c>
      <c r="AG370" s="55">
        <f>IF(AF370=1,EOMONTH(AE370,0),"")</f>
        <v/>
      </c>
      <c r="AH370" s="9">
        <f>IF(AF370=1,UPPER(TRIM(IFERROR(INDEX($A370:$AB370,MATCH("Client",$A$1:$AB$1,0)),"")&amp;"")),"")</f>
        <v/>
      </c>
      <c r="AI370" s="9">
        <f>IF(AF370=1,IFERROR(INDEX($A370:$AB370,MATCH("Cost Centre",$A$1:$AB$1,0)),"")&amp;"","")</f>
        <v/>
      </c>
      <c r="AJ370" s="54">
        <f>IF(AND(AF370=1,AE370&gt;=set_FYStart,AE370&lt;=set_AsAt),1,0)</f>
        <v/>
      </c>
      <c r="AK370" s="54">
        <f>IF(AND(AJ370=1,AH370&lt;&gt;"",COUNTIFS($AH$2:AH370,AH370,$AJ$2:AJ370,1)=1),N(AL369)+1,"")</f>
        <v/>
      </c>
      <c r="AL370" s="54">
        <f>IF(AK370&lt;&gt;"",AK370,N(AL369))</f>
        <v/>
      </c>
    </row>
    <row r="371">
      <c r="A371" t="inlineStr">
        <is>
          <t>ONS-0124</t>
        </is>
      </c>
      <c r="B371" t="inlineStr">
        <is>
          <t>Onsite</t>
        </is>
      </c>
      <c r="R371" t="inlineStr">
        <is>
          <t>GST 10%</t>
        </is>
      </c>
      <c r="AB371" t="n">
        <v>124</v>
      </c>
      <c r="AD371" s="52">
        <f>IFERROR(N(IFERROR(INDEX($A371:$AB371,MATCH("Xero Invoiced Ex GST",$A$1:$AB$1,0)),"")),0)</f>
        <v/>
      </c>
      <c r="AE371" s="53">
        <f>IFERROR(INDEX($A371:$AB371,MATCH("Xero Invoice Date",$A$1:$AB$1,0)),"")</f>
        <v/>
      </c>
      <c r="AF371" s="54">
        <f>IF(AND(IFERROR(INDEX($A371:$AB371,MATCH("Xero Invoice No",$A$1:$AB$1,0)),"")&amp;""&lt;&gt;"",ISNUMBER(AE371),AD371&lt;&gt;0),1,0)</f>
        <v/>
      </c>
      <c r="AG371" s="55">
        <f>IF(AF371=1,EOMONTH(AE371,0),"")</f>
        <v/>
      </c>
      <c r="AH371" s="9">
        <f>IF(AF371=1,UPPER(TRIM(IFERROR(INDEX($A371:$AB371,MATCH("Client",$A$1:$AB$1,0)),"")&amp;"")),"")</f>
        <v/>
      </c>
      <c r="AI371" s="9">
        <f>IF(AF371=1,IFERROR(INDEX($A371:$AB371,MATCH("Cost Centre",$A$1:$AB$1,0)),"")&amp;"","")</f>
        <v/>
      </c>
      <c r="AJ371" s="54">
        <f>IF(AND(AF371=1,AE371&gt;=set_FYStart,AE371&lt;=set_AsAt),1,0)</f>
        <v/>
      </c>
      <c r="AK371" s="54">
        <f>IF(AND(AJ371=1,AH371&lt;&gt;"",COUNTIFS($AH$2:AH371,AH371,$AJ$2:AJ371,1)=1),N(AL370)+1,"")</f>
        <v/>
      </c>
      <c r="AL371" s="54">
        <f>IF(AK371&lt;&gt;"",AK371,N(AL370))</f>
        <v/>
      </c>
    </row>
    <row r="372">
      <c r="A372" t="inlineStr">
        <is>
          <t>PRD-0124</t>
        </is>
      </c>
      <c r="B372" t="inlineStr">
        <is>
          <t>Production</t>
        </is>
      </c>
      <c r="AB372" t="n">
        <v>124</v>
      </c>
      <c r="AD372" s="52">
        <f>IFERROR(N(IFERROR(INDEX($A372:$AB372,MATCH("Xero Invoiced Ex GST",$A$1:$AB$1,0)),"")),0)</f>
        <v/>
      </c>
      <c r="AE372" s="53">
        <f>IFERROR(INDEX($A372:$AB372,MATCH("Xero Invoice Date",$A$1:$AB$1,0)),"")</f>
        <v/>
      </c>
      <c r="AF372" s="54">
        <f>IF(AND(IFERROR(INDEX($A372:$AB372,MATCH("Xero Invoice No",$A$1:$AB$1,0)),"")&amp;""&lt;&gt;"",ISNUMBER(AE372),AD372&lt;&gt;0),1,0)</f>
        <v/>
      </c>
      <c r="AG372" s="55">
        <f>IF(AF372=1,EOMONTH(AE372,0),"")</f>
        <v/>
      </c>
      <c r="AH372" s="9">
        <f>IF(AF372=1,UPPER(TRIM(IFERROR(INDEX($A372:$AB372,MATCH("Client",$A$1:$AB$1,0)),"")&amp;"")),"")</f>
        <v/>
      </c>
      <c r="AI372" s="9">
        <f>IF(AF372=1,IFERROR(INDEX($A372:$AB372,MATCH("Cost Centre",$A$1:$AB$1,0)),"")&amp;"","")</f>
        <v/>
      </c>
      <c r="AJ372" s="54">
        <f>IF(AND(AF372=1,AE372&gt;=set_FYStart,AE372&lt;=set_AsAt),1,0)</f>
        <v/>
      </c>
      <c r="AK372" s="54">
        <f>IF(AND(AJ372=1,AH372&lt;&gt;"",COUNTIFS($AH$2:AH372,AH372,$AJ$2:AJ372,1)=1),N(AL371)+1,"")</f>
        <v/>
      </c>
      <c r="AL372" s="54">
        <f>IF(AK372&lt;&gt;"",AK372,N(AL371))</f>
        <v/>
      </c>
    </row>
    <row r="373">
      <c r="A373" t="inlineStr">
        <is>
          <t>CON-0124</t>
        </is>
      </c>
      <c r="B373" t="inlineStr">
        <is>
          <t>Consulting</t>
        </is>
      </c>
      <c r="AB373" t="n">
        <v>124</v>
      </c>
      <c r="AD373" s="52">
        <f>IFERROR(N(IFERROR(INDEX($A373:$AB373,MATCH("Xero Invoiced Ex GST",$A$1:$AB$1,0)),"")),0)</f>
        <v/>
      </c>
      <c r="AE373" s="53">
        <f>IFERROR(INDEX($A373:$AB373,MATCH("Xero Invoice Date",$A$1:$AB$1,0)),"")</f>
        <v/>
      </c>
      <c r="AF373" s="54">
        <f>IF(AND(IFERROR(INDEX($A373:$AB373,MATCH("Xero Invoice No",$A$1:$AB$1,0)),"")&amp;""&lt;&gt;"",ISNUMBER(AE373),AD373&lt;&gt;0),1,0)</f>
        <v/>
      </c>
      <c r="AG373" s="55">
        <f>IF(AF373=1,EOMONTH(AE373,0),"")</f>
        <v/>
      </c>
      <c r="AH373" s="9">
        <f>IF(AF373=1,UPPER(TRIM(IFERROR(INDEX($A373:$AB373,MATCH("Client",$A$1:$AB$1,0)),"")&amp;"")),"")</f>
        <v/>
      </c>
      <c r="AI373" s="9">
        <f>IF(AF373=1,IFERROR(INDEX($A373:$AB373,MATCH("Cost Centre",$A$1:$AB$1,0)),"")&amp;"","")</f>
        <v/>
      </c>
      <c r="AJ373" s="54">
        <f>IF(AND(AF373=1,AE373&gt;=set_FYStart,AE373&lt;=set_AsAt),1,0)</f>
        <v/>
      </c>
      <c r="AK373" s="54">
        <f>IF(AND(AJ373=1,AH373&lt;&gt;"",COUNTIFS($AH$2:AH373,AH373,$AJ$2:AJ373,1)=1),N(AL372)+1,"")</f>
        <v/>
      </c>
      <c r="AL373" s="54">
        <f>IF(AK373&lt;&gt;"",AK373,N(AL372))</f>
        <v/>
      </c>
    </row>
    <row r="374">
      <c r="A374" t="inlineStr">
        <is>
          <t>ONS-0125</t>
        </is>
      </c>
      <c r="B374" t="inlineStr">
        <is>
          <t>Onsite</t>
        </is>
      </c>
      <c r="R374" t="inlineStr">
        <is>
          <t>GST 10%</t>
        </is>
      </c>
      <c r="AB374" t="n">
        <v>125</v>
      </c>
      <c r="AD374" s="52">
        <f>IFERROR(N(IFERROR(INDEX($A374:$AB374,MATCH("Xero Invoiced Ex GST",$A$1:$AB$1,0)),"")),0)</f>
        <v/>
      </c>
      <c r="AE374" s="53">
        <f>IFERROR(INDEX($A374:$AB374,MATCH("Xero Invoice Date",$A$1:$AB$1,0)),"")</f>
        <v/>
      </c>
      <c r="AF374" s="54">
        <f>IF(AND(IFERROR(INDEX($A374:$AB374,MATCH("Xero Invoice No",$A$1:$AB$1,0)),"")&amp;""&lt;&gt;"",ISNUMBER(AE374),AD374&lt;&gt;0),1,0)</f>
        <v/>
      </c>
      <c r="AG374" s="55">
        <f>IF(AF374=1,EOMONTH(AE374,0),"")</f>
        <v/>
      </c>
      <c r="AH374" s="9">
        <f>IF(AF374=1,UPPER(TRIM(IFERROR(INDEX($A374:$AB374,MATCH("Client",$A$1:$AB$1,0)),"")&amp;"")),"")</f>
        <v/>
      </c>
      <c r="AI374" s="9">
        <f>IF(AF374=1,IFERROR(INDEX($A374:$AB374,MATCH("Cost Centre",$A$1:$AB$1,0)),"")&amp;"","")</f>
        <v/>
      </c>
      <c r="AJ374" s="54">
        <f>IF(AND(AF374=1,AE374&gt;=set_FYStart,AE374&lt;=set_AsAt),1,0)</f>
        <v/>
      </c>
      <c r="AK374" s="54">
        <f>IF(AND(AJ374=1,AH374&lt;&gt;"",COUNTIFS($AH$2:AH374,AH374,$AJ$2:AJ374,1)=1),N(AL373)+1,"")</f>
        <v/>
      </c>
      <c r="AL374" s="54">
        <f>IF(AK374&lt;&gt;"",AK374,N(AL373))</f>
        <v/>
      </c>
    </row>
    <row r="375">
      <c r="A375" t="inlineStr">
        <is>
          <t>PRD-0125</t>
        </is>
      </c>
      <c r="B375" t="inlineStr">
        <is>
          <t>Production</t>
        </is>
      </c>
      <c r="AB375" t="n">
        <v>125</v>
      </c>
      <c r="AD375" s="52">
        <f>IFERROR(N(IFERROR(INDEX($A375:$AB375,MATCH("Xero Invoiced Ex GST",$A$1:$AB$1,0)),"")),0)</f>
        <v/>
      </c>
      <c r="AE375" s="53">
        <f>IFERROR(INDEX($A375:$AB375,MATCH("Xero Invoice Date",$A$1:$AB$1,0)),"")</f>
        <v/>
      </c>
      <c r="AF375" s="54">
        <f>IF(AND(IFERROR(INDEX($A375:$AB375,MATCH("Xero Invoice No",$A$1:$AB$1,0)),"")&amp;""&lt;&gt;"",ISNUMBER(AE375),AD375&lt;&gt;0),1,0)</f>
        <v/>
      </c>
      <c r="AG375" s="55">
        <f>IF(AF375=1,EOMONTH(AE375,0),"")</f>
        <v/>
      </c>
      <c r="AH375" s="9">
        <f>IF(AF375=1,UPPER(TRIM(IFERROR(INDEX($A375:$AB375,MATCH("Client",$A$1:$AB$1,0)),"")&amp;"")),"")</f>
        <v/>
      </c>
      <c r="AI375" s="9">
        <f>IF(AF375=1,IFERROR(INDEX($A375:$AB375,MATCH("Cost Centre",$A$1:$AB$1,0)),"")&amp;"","")</f>
        <v/>
      </c>
      <c r="AJ375" s="54">
        <f>IF(AND(AF375=1,AE375&gt;=set_FYStart,AE375&lt;=set_AsAt),1,0)</f>
        <v/>
      </c>
      <c r="AK375" s="54">
        <f>IF(AND(AJ375=1,AH375&lt;&gt;"",COUNTIFS($AH$2:AH375,AH375,$AJ$2:AJ375,1)=1),N(AL374)+1,"")</f>
        <v/>
      </c>
      <c r="AL375" s="54">
        <f>IF(AK375&lt;&gt;"",AK375,N(AL374))</f>
        <v/>
      </c>
    </row>
    <row r="376">
      <c r="A376" t="inlineStr">
        <is>
          <t>CON-0125</t>
        </is>
      </c>
      <c r="B376" t="inlineStr">
        <is>
          <t>Consulting</t>
        </is>
      </c>
      <c r="AB376" t="n">
        <v>125</v>
      </c>
      <c r="AD376" s="52">
        <f>IFERROR(N(IFERROR(INDEX($A376:$AB376,MATCH("Xero Invoiced Ex GST",$A$1:$AB$1,0)),"")),0)</f>
        <v/>
      </c>
      <c r="AE376" s="53">
        <f>IFERROR(INDEX($A376:$AB376,MATCH("Xero Invoice Date",$A$1:$AB$1,0)),"")</f>
        <v/>
      </c>
      <c r="AF376" s="54">
        <f>IF(AND(IFERROR(INDEX($A376:$AB376,MATCH("Xero Invoice No",$A$1:$AB$1,0)),"")&amp;""&lt;&gt;"",ISNUMBER(AE376),AD376&lt;&gt;0),1,0)</f>
        <v/>
      </c>
      <c r="AG376" s="55">
        <f>IF(AF376=1,EOMONTH(AE376,0),"")</f>
        <v/>
      </c>
      <c r="AH376" s="9">
        <f>IF(AF376=1,UPPER(TRIM(IFERROR(INDEX($A376:$AB376,MATCH("Client",$A$1:$AB$1,0)),"")&amp;"")),"")</f>
        <v/>
      </c>
      <c r="AI376" s="9">
        <f>IF(AF376=1,IFERROR(INDEX($A376:$AB376,MATCH("Cost Centre",$A$1:$AB$1,0)),"")&amp;"","")</f>
        <v/>
      </c>
      <c r="AJ376" s="54">
        <f>IF(AND(AF376=1,AE376&gt;=set_FYStart,AE376&lt;=set_AsAt),1,0)</f>
        <v/>
      </c>
      <c r="AK376" s="54">
        <f>IF(AND(AJ376=1,AH376&lt;&gt;"",COUNTIFS($AH$2:AH376,AH376,$AJ$2:AJ376,1)=1),N(AL375)+1,"")</f>
        <v/>
      </c>
      <c r="AL376" s="54">
        <f>IF(AK376&lt;&gt;"",AK376,N(AL375))</f>
        <v/>
      </c>
    </row>
    <row r="377">
      <c r="A377" t="inlineStr">
        <is>
          <t>ONS-0126</t>
        </is>
      </c>
      <c r="B377" t="inlineStr">
        <is>
          <t>Onsite</t>
        </is>
      </c>
      <c r="R377" t="inlineStr">
        <is>
          <t>GST 10%</t>
        </is>
      </c>
      <c r="AB377" t="n">
        <v>126</v>
      </c>
      <c r="AD377" s="52">
        <f>IFERROR(N(IFERROR(INDEX($A377:$AB377,MATCH("Xero Invoiced Ex GST",$A$1:$AB$1,0)),"")),0)</f>
        <v/>
      </c>
      <c r="AE377" s="53">
        <f>IFERROR(INDEX($A377:$AB377,MATCH("Xero Invoice Date",$A$1:$AB$1,0)),"")</f>
        <v/>
      </c>
      <c r="AF377" s="54">
        <f>IF(AND(IFERROR(INDEX($A377:$AB377,MATCH("Xero Invoice No",$A$1:$AB$1,0)),"")&amp;""&lt;&gt;"",ISNUMBER(AE377),AD377&lt;&gt;0),1,0)</f>
        <v/>
      </c>
      <c r="AG377" s="55">
        <f>IF(AF377=1,EOMONTH(AE377,0),"")</f>
        <v/>
      </c>
      <c r="AH377" s="9">
        <f>IF(AF377=1,UPPER(TRIM(IFERROR(INDEX($A377:$AB377,MATCH("Client",$A$1:$AB$1,0)),"")&amp;"")),"")</f>
        <v/>
      </c>
      <c r="AI377" s="9">
        <f>IF(AF377=1,IFERROR(INDEX($A377:$AB377,MATCH("Cost Centre",$A$1:$AB$1,0)),"")&amp;"","")</f>
        <v/>
      </c>
      <c r="AJ377" s="54">
        <f>IF(AND(AF377=1,AE377&gt;=set_FYStart,AE377&lt;=set_AsAt),1,0)</f>
        <v/>
      </c>
      <c r="AK377" s="54">
        <f>IF(AND(AJ377=1,AH377&lt;&gt;"",COUNTIFS($AH$2:AH377,AH377,$AJ$2:AJ377,1)=1),N(AL376)+1,"")</f>
        <v/>
      </c>
      <c r="AL377" s="54">
        <f>IF(AK377&lt;&gt;"",AK377,N(AL376))</f>
        <v/>
      </c>
    </row>
    <row r="378">
      <c r="A378" t="inlineStr">
        <is>
          <t>PRD-0126</t>
        </is>
      </c>
      <c r="B378" t="inlineStr">
        <is>
          <t>Production</t>
        </is>
      </c>
      <c r="AB378" t="n">
        <v>126</v>
      </c>
      <c r="AD378" s="52">
        <f>IFERROR(N(IFERROR(INDEX($A378:$AB378,MATCH("Xero Invoiced Ex GST",$A$1:$AB$1,0)),"")),0)</f>
        <v/>
      </c>
      <c r="AE378" s="53">
        <f>IFERROR(INDEX($A378:$AB378,MATCH("Xero Invoice Date",$A$1:$AB$1,0)),"")</f>
        <v/>
      </c>
      <c r="AF378" s="54">
        <f>IF(AND(IFERROR(INDEX($A378:$AB378,MATCH("Xero Invoice No",$A$1:$AB$1,0)),"")&amp;""&lt;&gt;"",ISNUMBER(AE378),AD378&lt;&gt;0),1,0)</f>
        <v/>
      </c>
      <c r="AG378" s="55">
        <f>IF(AF378=1,EOMONTH(AE378,0),"")</f>
        <v/>
      </c>
      <c r="AH378" s="9">
        <f>IF(AF378=1,UPPER(TRIM(IFERROR(INDEX($A378:$AB378,MATCH("Client",$A$1:$AB$1,0)),"")&amp;"")),"")</f>
        <v/>
      </c>
      <c r="AI378" s="9">
        <f>IF(AF378=1,IFERROR(INDEX($A378:$AB378,MATCH("Cost Centre",$A$1:$AB$1,0)),"")&amp;"","")</f>
        <v/>
      </c>
      <c r="AJ378" s="54">
        <f>IF(AND(AF378=1,AE378&gt;=set_FYStart,AE378&lt;=set_AsAt),1,0)</f>
        <v/>
      </c>
      <c r="AK378" s="54">
        <f>IF(AND(AJ378=1,AH378&lt;&gt;"",COUNTIFS($AH$2:AH378,AH378,$AJ$2:AJ378,1)=1),N(AL377)+1,"")</f>
        <v/>
      </c>
      <c r="AL378" s="54">
        <f>IF(AK378&lt;&gt;"",AK378,N(AL377))</f>
        <v/>
      </c>
    </row>
    <row r="379">
      <c r="A379" t="inlineStr">
        <is>
          <t>CON-0126</t>
        </is>
      </c>
      <c r="B379" t="inlineStr">
        <is>
          <t>Consulting</t>
        </is>
      </c>
      <c r="AB379" t="n">
        <v>126</v>
      </c>
      <c r="AD379" s="52">
        <f>IFERROR(N(IFERROR(INDEX($A379:$AB379,MATCH("Xero Invoiced Ex GST",$A$1:$AB$1,0)),"")),0)</f>
        <v/>
      </c>
      <c r="AE379" s="53">
        <f>IFERROR(INDEX($A379:$AB379,MATCH("Xero Invoice Date",$A$1:$AB$1,0)),"")</f>
        <v/>
      </c>
      <c r="AF379" s="54">
        <f>IF(AND(IFERROR(INDEX($A379:$AB379,MATCH("Xero Invoice No",$A$1:$AB$1,0)),"")&amp;""&lt;&gt;"",ISNUMBER(AE379),AD379&lt;&gt;0),1,0)</f>
        <v/>
      </c>
      <c r="AG379" s="55">
        <f>IF(AF379=1,EOMONTH(AE379,0),"")</f>
        <v/>
      </c>
      <c r="AH379" s="9">
        <f>IF(AF379=1,UPPER(TRIM(IFERROR(INDEX($A379:$AB379,MATCH("Client",$A$1:$AB$1,0)),"")&amp;"")),"")</f>
        <v/>
      </c>
      <c r="AI379" s="9">
        <f>IF(AF379=1,IFERROR(INDEX($A379:$AB379,MATCH("Cost Centre",$A$1:$AB$1,0)),"")&amp;"","")</f>
        <v/>
      </c>
      <c r="AJ379" s="54">
        <f>IF(AND(AF379=1,AE379&gt;=set_FYStart,AE379&lt;=set_AsAt),1,0)</f>
        <v/>
      </c>
      <c r="AK379" s="54">
        <f>IF(AND(AJ379=1,AH379&lt;&gt;"",COUNTIFS($AH$2:AH379,AH379,$AJ$2:AJ379,1)=1),N(AL378)+1,"")</f>
        <v/>
      </c>
      <c r="AL379" s="54">
        <f>IF(AK379&lt;&gt;"",AK379,N(AL378))</f>
        <v/>
      </c>
    </row>
    <row r="380">
      <c r="A380" t="inlineStr">
        <is>
          <t>ONS-0127</t>
        </is>
      </c>
      <c r="B380" t="inlineStr">
        <is>
          <t>Onsite</t>
        </is>
      </c>
      <c r="R380" t="inlineStr">
        <is>
          <t>GST 10%</t>
        </is>
      </c>
      <c r="AB380" t="n">
        <v>127</v>
      </c>
      <c r="AD380" s="52">
        <f>IFERROR(N(IFERROR(INDEX($A380:$AB380,MATCH("Xero Invoiced Ex GST",$A$1:$AB$1,0)),"")),0)</f>
        <v/>
      </c>
      <c r="AE380" s="53">
        <f>IFERROR(INDEX($A380:$AB380,MATCH("Xero Invoice Date",$A$1:$AB$1,0)),"")</f>
        <v/>
      </c>
      <c r="AF380" s="54">
        <f>IF(AND(IFERROR(INDEX($A380:$AB380,MATCH("Xero Invoice No",$A$1:$AB$1,0)),"")&amp;""&lt;&gt;"",ISNUMBER(AE380),AD380&lt;&gt;0),1,0)</f>
        <v/>
      </c>
      <c r="AG380" s="55">
        <f>IF(AF380=1,EOMONTH(AE380,0),"")</f>
        <v/>
      </c>
      <c r="AH380" s="9">
        <f>IF(AF380=1,UPPER(TRIM(IFERROR(INDEX($A380:$AB380,MATCH("Client",$A$1:$AB$1,0)),"")&amp;"")),"")</f>
        <v/>
      </c>
      <c r="AI380" s="9">
        <f>IF(AF380=1,IFERROR(INDEX($A380:$AB380,MATCH("Cost Centre",$A$1:$AB$1,0)),"")&amp;"","")</f>
        <v/>
      </c>
      <c r="AJ380" s="54">
        <f>IF(AND(AF380=1,AE380&gt;=set_FYStart,AE380&lt;=set_AsAt),1,0)</f>
        <v/>
      </c>
      <c r="AK380" s="54">
        <f>IF(AND(AJ380=1,AH380&lt;&gt;"",COUNTIFS($AH$2:AH380,AH380,$AJ$2:AJ380,1)=1),N(AL379)+1,"")</f>
        <v/>
      </c>
      <c r="AL380" s="54">
        <f>IF(AK380&lt;&gt;"",AK380,N(AL379))</f>
        <v/>
      </c>
    </row>
    <row r="381">
      <c r="A381" t="inlineStr">
        <is>
          <t>PRD-0127</t>
        </is>
      </c>
      <c r="B381" t="inlineStr">
        <is>
          <t>Production</t>
        </is>
      </c>
      <c r="AB381" t="n">
        <v>127</v>
      </c>
      <c r="AD381" s="52">
        <f>IFERROR(N(IFERROR(INDEX($A381:$AB381,MATCH("Xero Invoiced Ex GST",$A$1:$AB$1,0)),"")),0)</f>
        <v/>
      </c>
      <c r="AE381" s="53">
        <f>IFERROR(INDEX($A381:$AB381,MATCH("Xero Invoice Date",$A$1:$AB$1,0)),"")</f>
        <v/>
      </c>
      <c r="AF381" s="54">
        <f>IF(AND(IFERROR(INDEX($A381:$AB381,MATCH("Xero Invoice No",$A$1:$AB$1,0)),"")&amp;""&lt;&gt;"",ISNUMBER(AE381),AD381&lt;&gt;0),1,0)</f>
        <v/>
      </c>
      <c r="AG381" s="55">
        <f>IF(AF381=1,EOMONTH(AE381,0),"")</f>
        <v/>
      </c>
      <c r="AH381" s="9">
        <f>IF(AF381=1,UPPER(TRIM(IFERROR(INDEX($A381:$AB381,MATCH("Client",$A$1:$AB$1,0)),"")&amp;"")),"")</f>
        <v/>
      </c>
      <c r="AI381" s="9">
        <f>IF(AF381=1,IFERROR(INDEX($A381:$AB381,MATCH("Cost Centre",$A$1:$AB$1,0)),"")&amp;"","")</f>
        <v/>
      </c>
      <c r="AJ381" s="54">
        <f>IF(AND(AF381=1,AE381&gt;=set_FYStart,AE381&lt;=set_AsAt),1,0)</f>
        <v/>
      </c>
      <c r="AK381" s="54">
        <f>IF(AND(AJ381=1,AH381&lt;&gt;"",COUNTIFS($AH$2:AH381,AH381,$AJ$2:AJ381,1)=1),N(AL380)+1,"")</f>
        <v/>
      </c>
      <c r="AL381" s="54">
        <f>IF(AK381&lt;&gt;"",AK381,N(AL380))</f>
        <v/>
      </c>
    </row>
    <row r="382">
      <c r="A382" t="inlineStr">
        <is>
          <t>CON-0127</t>
        </is>
      </c>
      <c r="B382" t="inlineStr">
        <is>
          <t>Consulting</t>
        </is>
      </c>
      <c r="AB382" t="n">
        <v>127</v>
      </c>
      <c r="AD382" s="52">
        <f>IFERROR(N(IFERROR(INDEX($A382:$AB382,MATCH("Xero Invoiced Ex GST",$A$1:$AB$1,0)),"")),0)</f>
        <v/>
      </c>
      <c r="AE382" s="53">
        <f>IFERROR(INDEX($A382:$AB382,MATCH("Xero Invoice Date",$A$1:$AB$1,0)),"")</f>
        <v/>
      </c>
      <c r="AF382" s="54">
        <f>IF(AND(IFERROR(INDEX($A382:$AB382,MATCH("Xero Invoice No",$A$1:$AB$1,0)),"")&amp;""&lt;&gt;"",ISNUMBER(AE382),AD382&lt;&gt;0),1,0)</f>
        <v/>
      </c>
      <c r="AG382" s="55">
        <f>IF(AF382=1,EOMONTH(AE382,0),"")</f>
        <v/>
      </c>
      <c r="AH382" s="9">
        <f>IF(AF382=1,UPPER(TRIM(IFERROR(INDEX($A382:$AB382,MATCH("Client",$A$1:$AB$1,0)),"")&amp;"")),"")</f>
        <v/>
      </c>
      <c r="AI382" s="9">
        <f>IF(AF382=1,IFERROR(INDEX($A382:$AB382,MATCH("Cost Centre",$A$1:$AB$1,0)),"")&amp;"","")</f>
        <v/>
      </c>
      <c r="AJ382" s="54">
        <f>IF(AND(AF382=1,AE382&gt;=set_FYStart,AE382&lt;=set_AsAt),1,0)</f>
        <v/>
      </c>
      <c r="AK382" s="54">
        <f>IF(AND(AJ382=1,AH382&lt;&gt;"",COUNTIFS($AH$2:AH382,AH382,$AJ$2:AJ382,1)=1),N(AL381)+1,"")</f>
        <v/>
      </c>
      <c r="AL382" s="54">
        <f>IF(AK382&lt;&gt;"",AK382,N(AL381))</f>
        <v/>
      </c>
    </row>
    <row r="383">
      <c r="A383" t="inlineStr">
        <is>
          <t>ONS-0128</t>
        </is>
      </c>
      <c r="B383" t="inlineStr">
        <is>
          <t>Onsite</t>
        </is>
      </c>
      <c r="R383" t="inlineStr">
        <is>
          <t>GST 10%</t>
        </is>
      </c>
      <c r="AB383" t="n">
        <v>128</v>
      </c>
      <c r="AD383" s="52">
        <f>IFERROR(N(IFERROR(INDEX($A383:$AB383,MATCH("Xero Invoiced Ex GST",$A$1:$AB$1,0)),"")),0)</f>
        <v/>
      </c>
      <c r="AE383" s="53">
        <f>IFERROR(INDEX($A383:$AB383,MATCH("Xero Invoice Date",$A$1:$AB$1,0)),"")</f>
        <v/>
      </c>
      <c r="AF383" s="54">
        <f>IF(AND(IFERROR(INDEX($A383:$AB383,MATCH("Xero Invoice No",$A$1:$AB$1,0)),"")&amp;""&lt;&gt;"",ISNUMBER(AE383),AD383&lt;&gt;0),1,0)</f>
        <v/>
      </c>
      <c r="AG383" s="55">
        <f>IF(AF383=1,EOMONTH(AE383,0),"")</f>
        <v/>
      </c>
      <c r="AH383" s="9">
        <f>IF(AF383=1,UPPER(TRIM(IFERROR(INDEX($A383:$AB383,MATCH("Client",$A$1:$AB$1,0)),"")&amp;"")),"")</f>
        <v/>
      </c>
      <c r="AI383" s="9">
        <f>IF(AF383=1,IFERROR(INDEX($A383:$AB383,MATCH("Cost Centre",$A$1:$AB$1,0)),"")&amp;"","")</f>
        <v/>
      </c>
      <c r="AJ383" s="54">
        <f>IF(AND(AF383=1,AE383&gt;=set_FYStart,AE383&lt;=set_AsAt),1,0)</f>
        <v/>
      </c>
      <c r="AK383" s="54">
        <f>IF(AND(AJ383=1,AH383&lt;&gt;"",COUNTIFS($AH$2:AH383,AH383,$AJ$2:AJ383,1)=1),N(AL382)+1,"")</f>
        <v/>
      </c>
      <c r="AL383" s="54">
        <f>IF(AK383&lt;&gt;"",AK383,N(AL382))</f>
        <v/>
      </c>
    </row>
    <row r="384">
      <c r="A384" t="inlineStr">
        <is>
          <t>PRD-0128</t>
        </is>
      </c>
      <c r="B384" t="inlineStr">
        <is>
          <t>Production</t>
        </is>
      </c>
      <c r="AB384" t="n">
        <v>128</v>
      </c>
      <c r="AD384" s="52">
        <f>IFERROR(N(IFERROR(INDEX($A384:$AB384,MATCH("Xero Invoiced Ex GST",$A$1:$AB$1,0)),"")),0)</f>
        <v/>
      </c>
      <c r="AE384" s="53">
        <f>IFERROR(INDEX($A384:$AB384,MATCH("Xero Invoice Date",$A$1:$AB$1,0)),"")</f>
        <v/>
      </c>
      <c r="AF384" s="54">
        <f>IF(AND(IFERROR(INDEX($A384:$AB384,MATCH("Xero Invoice No",$A$1:$AB$1,0)),"")&amp;""&lt;&gt;"",ISNUMBER(AE384),AD384&lt;&gt;0),1,0)</f>
        <v/>
      </c>
      <c r="AG384" s="55">
        <f>IF(AF384=1,EOMONTH(AE384,0),"")</f>
        <v/>
      </c>
      <c r="AH384" s="9">
        <f>IF(AF384=1,UPPER(TRIM(IFERROR(INDEX($A384:$AB384,MATCH("Client",$A$1:$AB$1,0)),"")&amp;"")),"")</f>
        <v/>
      </c>
      <c r="AI384" s="9">
        <f>IF(AF384=1,IFERROR(INDEX($A384:$AB384,MATCH("Cost Centre",$A$1:$AB$1,0)),"")&amp;"","")</f>
        <v/>
      </c>
      <c r="AJ384" s="54">
        <f>IF(AND(AF384=1,AE384&gt;=set_FYStart,AE384&lt;=set_AsAt),1,0)</f>
        <v/>
      </c>
      <c r="AK384" s="54">
        <f>IF(AND(AJ384=1,AH384&lt;&gt;"",COUNTIFS($AH$2:AH384,AH384,$AJ$2:AJ384,1)=1),N(AL383)+1,"")</f>
        <v/>
      </c>
      <c r="AL384" s="54">
        <f>IF(AK384&lt;&gt;"",AK384,N(AL383))</f>
        <v/>
      </c>
    </row>
    <row r="385">
      <c r="A385" t="inlineStr">
        <is>
          <t>CON-0128</t>
        </is>
      </c>
      <c r="B385" t="inlineStr">
        <is>
          <t>Consulting</t>
        </is>
      </c>
      <c r="AB385" t="n">
        <v>128</v>
      </c>
      <c r="AD385" s="52">
        <f>IFERROR(N(IFERROR(INDEX($A385:$AB385,MATCH("Xero Invoiced Ex GST",$A$1:$AB$1,0)),"")),0)</f>
        <v/>
      </c>
      <c r="AE385" s="53">
        <f>IFERROR(INDEX($A385:$AB385,MATCH("Xero Invoice Date",$A$1:$AB$1,0)),"")</f>
        <v/>
      </c>
      <c r="AF385" s="54">
        <f>IF(AND(IFERROR(INDEX($A385:$AB385,MATCH("Xero Invoice No",$A$1:$AB$1,0)),"")&amp;""&lt;&gt;"",ISNUMBER(AE385),AD385&lt;&gt;0),1,0)</f>
        <v/>
      </c>
      <c r="AG385" s="55">
        <f>IF(AF385=1,EOMONTH(AE385,0),"")</f>
        <v/>
      </c>
      <c r="AH385" s="9">
        <f>IF(AF385=1,UPPER(TRIM(IFERROR(INDEX($A385:$AB385,MATCH("Client",$A$1:$AB$1,0)),"")&amp;"")),"")</f>
        <v/>
      </c>
      <c r="AI385" s="9">
        <f>IF(AF385=1,IFERROR(INDEX($A385:$AB385,MATCH("Cost Centre",$A$1:$AB$1,0)),"")&amp;"","")</f>
        <v/>
      </c>
      <c r="AJ385" s="54">
        <f>IF(AND(AF385=1,AE385&gt;=set_FYStart,AE385&lt;=set_AsAt),1,0)</f>
        <v/>
      </c>
      <c r="AK385" s="54">
        <f>IF(AND(AJ385=1,AH385&lt;&gt;"",COUNTIFS($AH$2:AH385,AH385,$AJ$2:AJ385,1)=1),N(AL384)+1,"")</f>
        <v/>
      </c>
      <c r="AL385" s="54">
        <f>IF(AK385&lt;&gt;"",AK385,N(AL384))</f>
        <v/>
      </c>
    </row>
    <row r="386">
      <c r="A386" t="inlineStr">
        <is>
          <t>ONS-0129</t>
        </is>
      </c>
      <c r="B386" t="inlineStr">
        <is>
          <t>Onsite</t>
        </is>
      </c>
      <c r="R386" t="inlineStr">
        <is>
          <t>GST 10%</t>
        </is>
      </c>
      <c r="AB386" t="n">
        <v>129</v>
      </c>
      <c r="AD386" s="52">
        <f>IFERROR(N(IFERROR(INDEX($A386:$AB386,MATCH("Xero Invoiced Ex GST",$A$1:$AB$1,0)),"")),0)</f>
        <v/>
      </c>
      <c r="AE386" s="53">
        <f>IFERROR(INDEX($A386:$AB386,MATCH("Xero Invoice Date",$A$1:$AB$1,0)),"")</f>
        <v/>
      </c>
      <c r="AF386" s="54">
        <f>IF(AND(IFERROR(INDEX($A386:$AB386,MATCH("Xero Invoice No",$A$1:$AB$1,0)),"")&amp;""&lt;&gt;"",ISNUMBER(AE386),AD386&lt;&gt;0),1,0)</f>
        <v/>
      </c>
      <c r="AG386" s="55">
        <f>IF(AF386=1,EOMONTH(AE386,0),"")</f>
        <v/>
      </c>
      <c r="AH386" s="9">
        <f>IF(AF386=1,UPPER(TRIM(IFERROR(INDEX($A386:$AB386,MATCH("Client",$A$1:$AB$1,0)),"")&amp;"")),"")</f>
        <v/>
      </c>
      <c r="AI386" s="9">
        <f>IF(AF386=1,IFERROR(INDEX($A386:$AB386,MATCH("Cost Centre",$A$1:$AB$1,0)),"")&amp;"","")</f>
        <v/>
      </c>
      <c r="AJ386" s="54">
        <f>IF(AND(AF386=1,AE386&gt;=set_FYStart,AE386&lt;=set_AsAt),1,0)</f>
        <v/>
      </c>
      <c r="AK386" s="54">
        <f>IF(AND(AJ386=1,AH386&lt;&gt;"",COUNTIFS($AH$2:AH386,AH386,$AJ$2:AJ386,1)=1),N(AL385)+1,"")</f>
        <v/>
      </c>
      <c r="AL386" s="54">
        <f>IF(AK386&lt;&gt;"",AK386,N(AL385))</f>
        <v/>
      </c>
    </row>
    <row r="387">
      <c r="A387" t="inlineStr">
        <is>
          <t>PRD-0129</t>
        </is>
      </c>
      <c r="B387" t="inlineStr">
        <is>
          <t>Production</t>
        </is>
      </c>
      <c r="AB387" t="n">
        <v>129</v>
      </c>
      <c r="AD387" s="52">
        <f>IFERROR(N(IFERROR(INDEX($A387:$AB387,MATCH("Xero Invoiced Ex GST",$A$1:$AB$1,0)),"")),0)</f>
        <v/>
      </c>
      <c r="AE387" s="53">
        <f>IFERROR(INDEX($A387:$AB387,MATCH("Xero Invoice Date",$A$1:$AB$1,0)),"")</f>
        <v/>
      </c>
      <c r="AF387" s="54">
        <f>IF(AND(IFERROR(INDEX($A387:$AB387,MATCH("Xero Invoice No",$A$1:$AB$1,0)),"")&amp;""&lt;&gt;"",ISNUMBER(AE387),AD387&lt;&gt;0),1,0)</f>
        <v/>
      </c>
      <c r="AG387" s="55">
        <f>IF(AF387=1,EOMONTH(AE387,0),"")</f>
        <v/>
      </c>
      <c r="AH387" s="9">
        <f>IF(AF387=1,UPPER(TRIM(IFERROR(INDEX($A387:$AB387,MATCH("Client",$A$1:$AB$1,0)),"")&amp;"")),"")</f>
        <v/>
      </c>
      <c r="AI387" s="9">
        <f>IF(AF387=1,IFERROR(INDEX($A387:$AB387,MATCH("Cost Centre",$A$1:$AB$1,0)),"")&amp;"","")</f>
        <v/>
      </c>
      <c r="AJ387" s="54">
        <f>IF(AND(AF387=1,AE387&gt;=set_FYStart,AE387&lt;=set_AsAt),1,0)</f>
        <v/>
      </c>
      <c r="AK387" s="54">
        <f>IF(AND(AJ387=1,AH387&lt;&gt;"",COUNTIFS($AH$2:AH387,AH387,$AJ$2:AJ387,1)=1),N(AL386)+1,"")</f>
        <v/>
      </c>
      <c r="AL387" s="54">
        <f>IF(AK387&lt;&gt;"",AK387,N(AL386))</f>
        <v/>
      </c>
    </row>
    <row r="388">
      <c r="A388" t="inlineStr">
        <is>
          <t>CON-0129</t>
        </is>
      </c>
      <c r="B388" t="inlineStr">
        <is>
          <t>Consulting</t>
        </is>
      </c>
      <c r="AB388" t="n">
        <v>129</v>
      </c>
      <c r="AD388" s="52">
        <f>IFERROR(N(IFERROR(INDEX($A388:$AB388,MATCH("Xero Invoiced Ex GST",$A$1:$AB$1,0)),"")),0)</f>
        <v/>
      </c>
      <c r="AE388" s="53">
        <f>IFERROR(INDEX($A388:$AB388,MATCH("Xero Invoice Date",$A$1:$AB$1,0)),"")</f>
        <v/>
      </c>
      <c r="AF388" s="54">
        <f>IF(AND(IFERROR(INDEX($A388:$AB388,MATCH("Xero Invoice No",$A$1:$AB$1,0)),"")&amp;""&lt;&gt;"",ISNUMBER(AE388),AD388&lt;&gt;0),1,0)</f>
        <v/>
      </c>
      <c r="AG388" s="55">
        <f>IF(AF388=1,EOMONTH(AE388,0),"")</f>
        <v/>
      </c>
      <c r="AH388" s="9">
        <f>IF(AF388=1,UPPER(TRIM(IFERROR(INDEX($A388:$AB388,MATCH("Client",$A$1:$AB$1,0)),"")&amp;"")),"")</f>
        <v/>
      </c>
      <c r="AI388" s="9">
        <f>IF(AF388=1,IFERROR(INDEX($A388:$AB388,MATCH("Cost Centre",$A$1:$AB$1,0)),"")&amp;"","")</f>
        <v/>
      </c>
      <c r="AJ388" s="54">
        <f>IF(AND(AF388=1,AE388&gt;=set_FYStart,AE388&lt;=set_AsAt),1,0)</f>
        <v/>
      </c>
      <c r="AK388" s="54">
        <f>IF(AND(AJ388=1,AH388&lt;&gt;"",COUNTIFS($AH$2:AH388,AH388,$AJ$2:AJ388,1)=1),N(AL387)+1,"")</f>
        <v/>
      </c>
      <c r="AL388" s="54">
        <f>IF(AK388&lt;&gt;"",AK388,N(AL387))</f>
        <v/>
      </c>
    </row>
    <row r="389">
      <c r="A389" t="inlineStr">
        <is>
          <t>ONS-0130</t>
        </is>
      </c>
      <c r="B389" t="inlineStr">
        <is>
          <t>Onsite</t>
        </is>
      </c>
      <c r="R389" t="inlineStr">
        <is>
          <t>GST 10%</t>
        </is>
      </c>
      <c r="AB389" t="n">
        <v>130</v>
      </c>
      <c r="AD389" s="52">
        <f>IFERROR(N(IFERROR(INDEX($A389:$AB389,MATCH("Xero Invoiced Ex GST",$A$1:$AB$1,0)),"")),0)</f>
        <v/>
      </c>
      <c r="AE389" s="53">
        <f>IFERROR(INDEX($A389:$AB389,MATCH("Xero Invoice Date",$A$1:$AB$1,0)),"")</f>
        <v/>
      </c>
      <c r="AF389" s="54">
        <f>IF(AND(IFERROR(INDEX($A389:$AB389,MATCH("Xero Invoice No",$A$1:$AB$1,0)),"")&amp;""&lt;&gt;"",ISNUMBER(AE389),AD389&lt;&gt;0),1,0)</f>
        <v/>
      </c>
      <c r="AG389" s="55">
        <f>IF(AF389=1,EOMONTH(AE389,0),"")</f>
        <v/>
      </c>
      <c r="AH389" s="9">
        <f>IF(AF389=1,UPPER(TRIM(IFERROR(INDEX($A389:$AB389,MATCH("Client",$A$1:$AB$1,0)),"")&amp;"")),"")</f>
        <v/>
      </c>
      <c r="AI389" s="9">
        <f>IF(AF389=1,IFERROR(INDEX($A389:$AB389,MATCH("Cost Centre",$A$1:$AB$1,0)),"")&amp;"","")</f>
        <v/>
      </c>
      <c r="AJ389" s="54">
        <f>IF(AND(AF389=1,AE389&gt;=set_FYStart,AE389&lt;=set_AsAt),1,0)</f>
        <v/>
      </c>
      <c r="AK389" s="54">
        <f>IF(AND(AJ389=1,AH389&lt;&gt;"",COUNTIFS($AH$2:AH389,AH389,$AJ$2:AJ389,1)=1),N(AL388)+1,"")</f>
        <v/>
      </c>
      <c r="AL389" s="54">
        <f>IF(AK389&lt;&gt;"",AK389,N(AL388))</f>
        <v/>
      </c>
    </row>
    <row r="390">
      <c r="A390" t="inlineStr">
        <is>
          <t>PRD-0130</t>
        </is>
      </c>
      <c r="B390" t="inlineStr">
        <is>
          <t>Production</t>
        </is>
      </c>
      <c r="AB390" t="n">
        <v>130</v>
      </c>
      <c r="AD390" s="52">
        <f>IFERROR(N(IFERROR(INDEX($A390:$AB390,MATCH("Xero Invoiced Ex GST",$A$1:$AB$1,0)),"")),0)</f>
        <v/>
      </c>
      <c r="AE390" s="53">
        <f>IFERROR(INDEX($A390:$AB390,MATCH("Xero Invoice Date",$A$1:$AB$1,0)),"")</f>
        <v/>
      </c>
      <c r="AF390" s="54">
        <f>IF(AND(IFERROR(INDEX($A390:$AB390,MATCH("Xero Invoice No",$A$1:$AB$1,0)),"")&amp;""&lt;&gt;"",ISNUMBER(AE390),AD390&lt;&gt;0),1,0)</f>
        <v/>
      </c>
      <c r="AG390" s="55">
        <f>IF(AF390=1,EOMONTH(AE390,0),"")</f>
        <v/>
      </c>
      <c r="AH390" s="9">
        <f>IF(AF390=1,UPPER(TRIM(IFERROR(INDEX($A390:$AB390,MATCH("Client",$A$1:$AB$1,0)),"")&amp;"")),"")</f>
        <v/>
      </c>
      <c r="AI390" s="9">
        <f>IF(AF390=1,IFERROR(INDEX($A390:$AB390,MATCH("Cost Centre",$A$1:$AB$1,0)),"")&amp;"","")</f>
        <v/>
      </c>
      <c r="AJ390" s="54">
        <f>IF(AND(AF390=1,AE390&gt;=set_FYStart,AE390&lt;=set_AsAt),1,0)</f>
        <v/>
      </c>
      <c r="AK390" s="54">
        <f>IF(AND(AJ390=1,AH390&lt;&gt;"",COUNTIFS($AH$2:AH390,AH390,$AJ$2:AJ390,1)=1),N(AL389)+1,"")</f>
        <v/>
      </c>
      <c r="AL390" s="54">
        <f>IF(AK390&lt;&gt;"",AK390,N(AL389))</f>
        <v/>
      </c>
    </row>
    <row r="391">
      <c r="A391" t="inlineStr">
        <is>
          <t>CON-0130</t>
        </is>
      </c>
      <c r="B391" t="inlineStr">
        <is>
          <t>Consulting</t>
        </is>
      </c>
      <c r="AB391" t="n">
        <v>130</v>
      </c>
      <c r="AD391" s="52">
        <f>IFERROR(N(IFERROR(INDEX($A391:$AB391,MATCH("Xero Invoiced Ex GST",$A$1:$AB$1,0)),"")),0)</f>
        <v/>
      </c>
      <c r="AE391" s="53">
        <f>IFERROR(INDEX($A391:$AB391,MATCH("Xero Invoice Date",$A$1:$AB$1,0)),"")</f>
        <v/>
      </c>
      <c r="AF391" s="54">
        <f>IF(AND(IFERROR(INDEX($A391:$AB391,MATCH("Xero Invoice No",$A$1:$AB$1,0)),"")&amp;""&lt;&gt;"",ISNUMBER(AE391),AD391&lt;&gt;0),1,0)</f>
        <v/>
      </c>
      <c r="AG391" s="55">
        <f>IF(AF391=1,EOMONTH(AE391,0),"")</f>
        <v/>
      </c>
      <c r="AH391" s="9">
        <f>IF(AF391=1,UPPER(TRIM(IFERROR(INDEX($A391:$AB391,MATCH("Client",$A$1:$AB$1,0)),"")&amp;"")),"")</f>
        <v/>
      </c>
      <c r="AI391" s="9">
        <f>IF(AF391=1,IFERROR(INDEX($A391:$AB391,MATCH("Cost Centre",$A$1:$AB$1,0)),"")&amp;"","")</f>
        <v/>
      </c>
      <c r="AJ391" s="54">
        <f>IF(AND(AF391=1,AE391&gt;=set_FYStart,AE391&lt;=set_AsAt),1,0)</f>
        <v/>
      </c>
      <c r="AK391" s="54">
        <f>IF(AND(AJ391=1,AH391&lt;&gt;"",COUNTIFS($AH$2:AH391,AH391,$AJ$2:AJ391,1)=1),N(AL390)+1,"")</f>
        <v/>
      </c>
      <c r="AL391" s="54">
        <f>IF(AK391&lt;&gt;"",AK391,N(AL390))</f>
        <v/>
      </c>
    </row>
    <row r="392">
      <c r="A392" t="inlineStr">
        <is>
          <t>ONS-0131</t>
        </is>
      </c>
      <c r="B392" t="inlineStr">
        <is>
          <t>Onsite</t>
        </is>
      </c>
      <c r="R392" t="inlineStr">
        <is>
          <t>GST 10%</t>
        </is>
      </c>
      <c r="AB392" t="n">
        <v>131</v>
      </c>
      <c r="AD392" s="52">
        <f>IFERROR(N(IFERROR(INDEX($A392:$AB392,MATCH("Xero Invoiced Ex GST",$A$1:$AB$1,0)),"")),0)</f>
        <v/>
      </c>
      <c r="AE392" s="53">
        <f>IFERROR(INDEX($A392:$AB392,MATCH("Xero Invoice Date",$A$1:$AB$1,0)),"")</f>
        <v/>
      </c>
      <c r="AF392" s="54">
        <f>IF(AND(IFERROR(INDEX($A392:$AB392,MATCH("Xero Invoice No",$A$1:$AB$1,0)),"")&amp;""&lt;&gt;"",ISNUMBER(AE392),AD392&lt;&gt;0),1,0)</f>
        <v/>
      </c>
      <c r="AG392" s="55">
        <f>IF(AF392=1,EOMONTH(AE392,0),"")</f>
        <v/>
      </c>
      <c r="AH392" s="9">
        <f>IF(AF392=1,UPPER(TRIM(IFERROR(INDEX($A392:$AB392,MATCH("Client",$A$1:$AB$1,0)),"")&amp;"")),"")</f>
        <v/>
      </c>
      <c r="AI392" s="9">
        <f>IF(AF392=1,IFERROR(INDEX($A392:$AB392,MATCH("Cost Centre",$A$1:$AB$1,0)),"")&amp;"","")</f>
        <v/>
      </c>
      <c r="AJ392" s="54">
        <f>IF(AND(AF392=1,AE392&gt;=set_FYStart,AE392&lt;=set_AsAt),1,0)</f>
        <v/>
      </c>
      <c r="AK392" s="54">
        <f>IF(AND(AJ392=1,AH392&lt;&gt;"",COUNTIFS($AH$2:AH392,AH392,$AJ$2:AJ392,1)=1),N(AL391)+1,"")</f>
        <v/>
      </c>
      <c r="AL392" s="54">
        <f>IF(AK392&lt;&gt;"",AK392,N(AL391))</f>
        <v/>
      </c>
    </row>
    <row r="393">
      <c r="A393" t="inlineStr">
        <is>
          <t>PRD-0131</t>
        </is>
      </c>
      <c r="B393" t="inlineStr">
        <is>
          <t>Production</t>
        </is>
      </c>
      <c r="AB393" t="n">
        <v>131</v>
      </c>
      <c r="AD393" s="52">
        <f>IFERROR(N(IFERROR(INDEX($A393:$AB393,MATCH("Xero Invoiced Ex GST",$A$1:$AB$1,0)),"")),0)</f>
        <v/>
      </c>
      <c r="AE393" s="53">
        <f>IFERROR(INDEX($A393:$AB393,MATCH("Xero Invoice Date",$A$1:$AB$1,0)),"")</f>
        <v/>
      </c>
      <c r="AF393" s="54">
        <f>IF(AND(IFERROR(INDEX($A393:$AB393,MATCH("Xero Invoice No",$A$1:$AB$1,0)),"")&amp;""&lt;&gt;"",ISNUMBER(AE393),AD393&lt;&gt;0),1,0)</f>
        <v/>
      </c>
      <c r="AG393" s="55">
        <f>IF(AF393=1,EOMONTH(AE393,0),"")</f>
        <v/>
      </c>
      <c r="AH393" s="9">
        <f>IF(AF393=1,UPPER(TRIM(IFERROR(INDEX($A393:$AB393,MATCH("Client",$A$1:$AB$1,0)),"")&amp;"")),"")</f>
        <v/>
      </c>
      <c r="AI393" s="9">
        <f>IF(AF393=1,IFERROR(INDEX($A393:$AB393,MATCH("Cost Centre",$A$1:$AB$1,0)),"")&amp;"","")</f>
        <v/>
      </c>
      <c r="AJ393" s="54">
        <f>IF(AND(AF393=1,AE393&gt;=set_FYStart,AE393&lt;=set_AsAt),1,0)</f>
        <v/>
      </c>
      <c r="AK393" s="54">
        <f>IF(AND(AJ393=1,AH393&lt;&gt;"",COUNTIFS($AH$2:AH393,AH393,$AJ$2:AJ393,1)=1),N(AL392)+1,"")</f>
        <v/>
      </c>
      <c r="AL393" s="54">
        <f>IF(AK393&lt;&gt;"",AK393,N(AL392))</f>
        <v/>
      </c>
    </row>
    <row r="394">
      <c r="A394" t="inlineStr">
        <is>
          <t>CON-0131</t>
        </is>
      </c>
      <c r="B394" t="inlineStr">
        <is>
          <t>Consulting</t>
        </is>
      </c>
      <c r="AB394" t="n">
        <v>131</v>
      </c>
      <c r="AD394" s="52">
        <f>IFERROR(N(IFERROR(INDEX($A394:$AB394,MATCH("Xero Invoiced Ex GST",$A$1:$AB$1,0)),"")),0)</f>
        <v/>
      </c>
      <c r="AE394" s="53">
        <f>IFERROR(INDEX($A394:$AB394,MATCH("Xero Invoice Date",$A$1:$AB$1,0)),"")</f>
        <v/>
      </c>
      <c r="AF394" s="54">
        <f>IF(AND(IFERROR(INDEX($A394:$AB394,MATCH("Xero Invoice No",$A$1:$AB$1,0)),"")&amp;""&lt;&gt;"",ISNUMBER(AE394),AD394&lt;&gt;0),1,0)</f>
        <v/>
      </c>
      <c r="AG394" s="55">
        <f>IF(AF394=1,EOMONTH(AE394,0),"")</f>
        <v/>
      </c>
      <c r="AH394" s="9">
        <f>IF(AF394=1,UPPER(TRIM(IFERROR(INDEX($A394:$AB394,MATCH("Client",$A$1:$AB$1,0)),"")&amp;"")),"")</f>
        <v/>
      </c>
      <c r="AI394" s="9">
        <f>IF(AF394=1,IFERROR(INDEX($A394:$AB394,MATCH("Cost Centre",$A$1:$AB$1,0)),"")&amp;"","")</f>
        <v/>
      </c>
      <c r="AJ394" s="54">
        <f>IF(AND(AF394=1,AE394&gt;=set_FYStart,AE394&lt;=set_AsAt),1,0)</f>
        <v/>
      </c>
      <c r="AK394" s="54">
        <f>IF(AND(AJ394=1,AH394&lt;&gt;"",COUNTIFS($AH$2:AH394,AH394,$AJ$2:AJ394,1)=1),N(AL393)+1,"")</f>
        <v/>
      </c>
      <c r="AL394" s="54">
        <f>IF(AK394&lt;&gt;"",AK394,N(AL393))</f>
        <v/>
      </c>
    </row>
    <row r="395">
      <c r="A395" t="inlineStr">
        <is>
          <t>ONS-0132</t>
        </is>
      </c>
      <c r="B395" t="inlineStr">
        <is>
          <t>Onsite</t>
        </is>
      </c>
      <c r="R395" t="inlineStr">
        <is>
          <t>GST 10%</t>
        </is>
      </c>
      <c r="AB395" t="n">
        <v>132</v>
      </c>
      <c r="AD395" s="52">
        <f>IFERROR(N(IFERROR(INDEX($A395:$AB395,MATCH("Xero Invoiced Ex GST",$A$1:$AB$1,0)),"")),0)</f>
        <v/>
      </c>
      <c r="AE395" s="53">
        <f>IFERROR(INDEX($A395:$AB395,MATCH("Xero Invoice Date",$A$1:$AB$1,0)),"")</f>
        <v/>
      </c>
      <c r="AF395" s="54">
        <f>IF(AND(IFERROR(INDEX($A395:$AB395,MATCH("Xero Invoice No",$A$1:$AB$1,0)),"")&amp;""&lt;&gt;"",ISNUMBER(AE395),AD395&lt;&gt;0),1,0)</f>
        <v/>
      </c>
      <c r="AG395" s="55">
        <f>IF(AF395=1,EOMONTH(AE395,0),"")</f>
        <v/>
      </c>
      <c r="AH395" s="9">
        <f>IF(AF395=1,UPPER(TRIM(IFERROR(INDEX($A395:$AB395,MATCH("Client",$A$1:$AB$1,0)),"")&amp;"")),"")</f>
        <v/>
      </c>
      <c r="AI395" s="9">
        <f>IF(AF395=1,IFERROR(INDEX($A395:$AB395,MATCH("Cost Centre",$A$1:$AB$1,0)),"")&amp;"","")</f>
        <v/>
      </c>
      <c r="AJ395" s="54">
        <f>IF(AND(AF395=1,AE395&gt;=set_FYStart,AE395&lt;=set_AsAt),1,0)</f>
        <v/>
      </c>
      <c r="AK395" s="54">
        <f>IF(AND(AJ395=1,AH395&lt;&gt;"",COUNTIFS($AH$2:AH395,AH395,$AJ$2:AJ395,1)=1),N(AL394)+1,"")</f>
        <v/>
      </c>
      <c r="AL395" s="54">
        <f>IF(AK395&lt;&gt;"",AK395,N(AL394))</f>
        <v/>
      </c>
    </row>
    <row r="396">
      <c r="A396" t="inlineStr">
        <is>
          <t>PRD-0132</t>
        </is>
      </c>
      <c r="B396" t="inlineStr">
        <is>
          <t>Production</t>
        </is>
      </c>
      <c r="AB396" t="n">
        <v>132</v>
      </c>
      <c r="AD396" s="52">
        <f>IFERROR(N(IFERROR(INDEX($A396:$AB396,MATCH("Xero Invoiced Ex GST",$A$1:$AB$1,0)),"")),0)</f>
        <v/>
      </c>
      <c r="AE396" s="53">
        <f>IFERROR(INDEX($A396:$AB396,MATCH("Xero Invoice Date",$A$1:$AB$1,0)),"")</f>
        <v/>
      </c>
      <c r="AF396" s="54">
        <f>IF(AND(IFERROR(INDEX($A396:$AB396,MATCH("Xero Invoice No",$A$1:$AB$1,0)),"")&amp;""&lt;&gt;"",ISNUMBER(AE396),AD396&lt;&gt;0),1,0)</f>
        <v/>
      </c>
      <c r="AG396" s="55">
        <f>IF(AF396=1,EOMONTH(AE396,0),"")</f>
        <v/>
      </c>
      <c r="AH396" s="9">
        <f>IF(AF396=1,UPPER(TRIM(IFERROR(INDEX($A396:$AB396,MATCH("Client",$A$1:$AB$1,0)),"")&amp;"")),"")</f>
        <v/>
      </c>
      <c r="AI396" s="9">
        <f>IF(AF396=1,IFERROR(INDEX($A396:$AB396,MATCH("Cost Centre",$A$1:$AB$1,0)),"")&amp;"","")</f>
        <v/>
      </c>
      <c r="AJ396" s="54">
        <f>IF(AND(AF396=1,AE396&gt;=set_FYStart,AE396&lt;=set_AsAt),1,0)</f>
        <v/>
      </c>
      <c r="AK396" s="54">
        <f>IF(AND(AJ396=1,AH396&lt;&gt;"",COUNTIFS($AH$2:AH396,AH396,$AJ$2:AJ396,1)=1),N(AL395)+1,"")</f>
        <v/>
      </c>
      <c r="AL396" s="54">
        <f>IF(AK396&lt;&gt;"",AK396,N(AL395))</f>
        <v/>
      </c>
    </row>
    <row r="397">
      <c r="A397" t="inlineStr">
        <is>
          <t>CON-0132</t>
        </is>
      </c>
      <c r="B397" t="inlineStr">
        <is>
          <t>Consulting</t>
        </is>
      </c>
      <c r="AB397" t="n">
        <v>132</v>
      </c>
      <c r="AD397" s="52">
        <f>IFERROR(N(IFERROR(INDEX($A397:$AB397,MATCH("Xero Invoiced Ex GST",$A$1:$AB$1,0)),"")),0)</f>
        <v/>
      </c>
      <c r="AE397" s="53">
        <f>IFERROR(INDEX($A397:$AB397,MATCH("Xero Invoice Date",$A$1:$AB$1,0)),"")</f>
        <v/>
      </c>
      <c r="AF397" s="54">
        <f>IF(AND(IFERROR(INDEX($A397:$AB397,MATCH("Xero Invoice No",$A$1:$AB$1,0)),"")&amp;""&lt;&gt;"",ISNUMBER(AE397),AD397&lt;&gt;0),1,0)</f>
        <v/>
      </c>
      <c r="AG397" s="55">
        <f>IF(AF397=1,EOMONTH(AE397,0),"")</f>
        <v/>
      </c>
      <c r="AH397" s="9">
        <f>IF(AF397=1,UPPER(TRIM(IFERROR(INDEX($A397:$AB397,MATCH("Client",$A$1:$AB$1,0)),"")&amp;"")),"")</f>
        <v/>
      </c>
      <c r="AI397" s="9">
        <f>IF(AF397=1,IFERROR(INDEX($A397:$AB397,MATCH("Cost Centre",$A$1:$AB$1,0)),"")&amp;"","")</f>
        <v/>
      </c>
      <c r="AJ397" s="54">
        <f>IF(AND(AF397=1,AE397&gt;=set_FYStart,AE397&lt;=set_AsAt),1,0)</f>
        <v/>
      </c>
      <c r="AK397" s="54">
        <f>IF(AND(AJ397=1,AH397&lt;&gt;"",COUNTIFS($AH$2:AH397,AH397,$AJ$2:AJ397,1)=1),N(AL396)+1,"")</f>
        <v/>
      </c>
      <c r="AL397" s="54">
        <f>IF(AK397&lt;&gt;"",AK397,N(AL396))</f>
        <v/>
      </c>
    </row>
    <row r="398">
      <c r="A398" t="inlineStr">
        <is>
          <t>ONS-0133</t>
        </is>
      </c>
      <c r="B398" t="inlineStr">
        <is>
          <t>Onsite</t>
        </is>
      </c>
      <c r="R398" t="inlineStr">
        <is>
          <t>GST 10%</t>
        </is>
      </c>
      <c r="AB398" t="n">
        <v>133</v>
      </c>
      <c r="AD398" s="52">
        <f>IFERROR(N(IFERROR(INDEX($A398:$AB398,MATCH("Xero Invoiced Ex GST",$A$1:$AB$1,0)),"")),0)</f>
        <v/>
      </c>
      <c r="AE398" s="53">
        <f>IFERROR(INDEX($A398:$AB398,MATCH("Xero Invoice Date",$A$1:$AB$1,0)),"")</f>
        <v/>
      </c>
      <c r="AF398" s="54">
        <f>IF(AND(IFERROR(INDEX($A398:$AB398,MATCH("Xero Invoice No",$A$1:$AB$1,0)),"")&amp;""&lt;&gt;"",ISNUMBER(AE398),AD398&lt;&gt;0),1,0)</f>
        <v/>
      </c>
      <c r="AG398" s="55">
        <f>IF(AF398=1,EOMONTH(AE398,0),"")</f>
        <v/>
      </c>
      <c r="AH398" s="9">
        <f>IF(AF398=1,UPPER(TRIM(IFERROR(INDEX($A398:$AB398,MATCH("Client",$A$1:$AB$1,0)),"")&amp;"")),"")</f>
        <v/>
      </c>
      <c r="AI398" s="9">
        <f>IF(AF398=1,IFERROR(INDEX($A398:$AB398,MATCH("Cost Centre",$A$1:$AB$1,0)),"")&amp;"","")</f>
        <v/>
      </c>
      <c r="AJ398" s="54">
        <f>IF(AND(AF398=1,AE398&gt;=set_FYStart,AE398&lt;=set_AsAt),1,0)</f>
        <v/>
      </c>
      <c r="AK398" s="54">
        <f>IF(AND(AJ398=1,AH398&lt;&gt;"",COUNTIFS($AH$2:AH398,AH398,$AJ$2:AJ398,1)=1),N(AL397)+1,"")</f>
        <v/>
      </c>
      <c r="AL398" s="54">
        <f>IF(AK398&lt;&gt;"",AK398,N(AL397))</f>
        <v/>
      </c>
    </row>
    <row r="399">
      <c r="A399" t="inlineStr">
        <is>
          <t>PRD-0133</t>
        </is>
      </c>
      <c r="B399" t="inlineStr">
        <is>
          <t>Production</t>
        </is>
      </c>
      <c r="AB399" t="n">
        <v>133</v>
      </c>
      <c r="AD399" s="52">
        <f>IFERROR(N(IFERROR(INDEX($A399:$AB399,MATCH("Xero Invoiced Ex GST",$A$1:$AB$1,0)),"")),0)</f>
        <v/>
      </c>
      <c r="AE399" s="53">
        <f>IFERROR(INDEX($A399:$AB399,MATCH("Xero Invoice Date",$A$1:$AB$1,0)),"")</f>
        <v/>
      </c>
      <c r="AF399" s="54">
        <f>IF(AND(IFERROR(INDEX($A399:$AB399,MATCH("Xero Invoice No",$A$1:$AB$1,0)),"")&amp;""&lt;&gt;"",ISNUMBER(AE399),AD399&lt;&gt;0),1,0)</f>
        <v/>
      </c>
      <c r="AG399" s="55">
        <f>IF(AF399=1,EOMONTH(AE399,0),"")</f>
        <v/>
      </c>
      <c r="AH399" s="9">
        <f>IF(AF399=1,UPPER(TRIM(IFERROR(INDEX($A399:$AB399,MATCH("Client",$A$1:$AB$1,0)),"")&amp;"")),"")</f>
        <v/>
      </c>
      <c r="AI399" s="9">
        <f>IF(AF399=1,IFERROR(INDEX($A399:$AB399,MATCH("Cost Centre",$A$1:$AB$1,0)),"")&amp;"","")</f>
        <v/>
      </c>
      <c r="AJ399" s="54">
        <f>IF(AND(AF399=1,AE399&gt;=set_FYStart,AE399&lt;=set_AsAt),1,0)</f>
        <v/>
      </c>
      <c r="AK399" s="54">
        <f>IF(AND(AJ399=1,AH399&lt;&gt;"",COUNTIFS($AH$2:AH399,AH399,$AJ$2:AJ399,1)=1),N(AL398)+1,"")</f>
        <v/>
      </c>
      <c r="AL399" s="54">
        <f>IF(AK399&lt;&gt;"",AK399,N(AL398))</f>
        <v/>
      </c>
    </row>
    <row r="400">
      <c r="A400" t="inlineStr">
        <is>
          <t>CON-0133</t>
        </is>
      </c>
      <c r="B400" t="inlineStr">
        <is>
          <t>Consulting</t>
        </is>
      </c>
      <c r="AB400" t="n">
        <v>133</v>
      </c>
      <c r="AD400" s="52">
        <f>IFERROR(N(IFERROR(INDEX($A400:$AB400,MATCH("Xero Invoiced Ex GST",$A$1:$AB$1,0)),"")),0)</f>
        <v/>
      </c>
      <c r="AE400" s="53">
        <f>IFERROR(INDEX($A400:$AB400,MATCH("Xero Invoice Date",$A$1:$AB$1,0)),"")</f>
        <v/>
      </c>
      <c r="AF400" s="54">
        <f>IF(AND(IFERROR(INDEX($A400:$AB400,MATCH("Xero Invoice No",$A$1:$AB$1,0)),"")&amp;""&lt;&gt;"",ISNUMBER(AE400),AD400&lt;&gt;0),1,0)</f>
        <v/>
      </c>
      <c r="AG400" s="55">
        <f>IF(AF400=1,EOMONTH(AE400,0),"")</f>
        <v/>
      </c>
      <c r="AH400" s="9">
        <f>IF(AF400=1,UPPER(TRIM(IFERROR(INDEX($A400:$AB400,MATCH("Client",$A$1:$AB$1,0)),"")&amp;"")),"")</f>
        <v/>
      </c>
      <c r="AI400" s="9">
        <f>IF(AF400=1,IFERROR(INDEX($A400:$AB400,MATCH("Cost Centre",$A$1:$AB$1,0)),"")&amp;"","")</f>
        <v/>
      </c>
      <c r="AJ400" s="54">
        <f>IF(AND(AF400=1,AE400&gt;=set_FYStart,AE400&lt;=set_AsAt),1,0)</f>
        <v/>
      </c>
      <c r="AK400" s="54">
        <f>IF(AND(AJ400=1,AH400&lt;&gt;"",COUNTIFS($AH$2:AH400,AH400,$AJ$2:AJ400,1)=1),N(AL399)+1,"")</f>
        <v/>
      </c>
      <c r="AL400" s="54">
        <f>IF(AK400&lt;&gt;"",AK400,N(AL399))</f>
        <v/>
      </c>
    </row>
    <row r="401">
      <c r="A401" t="inlineStr">
        <is>
          <t>ONS-0134</t>
        </is>
      </c>
      <c r="B401" t="inlineStr">
        <is>
          <t>Onsite</t>
        </is>
      </c>
      <c r="R401" t="inlineStr">
        <is>
          <t>GST 10%</t>
        </is>
      </c>
      <c r="AB401" t="n">
        <v>134</v>
      </c>
      <c r="AD401" s="52">
        <f>IFERROR(N(IFERROR(INDEX($A401:$AB401,MATCH("Xero Invoiced Ex GST",$A$1:$AB$1,0)),"")),0)</f>
        <v/>
      </c>
      <c r="AE401" s="53">
        <f>IFERROR(INDEX($A401:$AB401,MATCH("Xero Invoice Date",$A$1:$AB$1,0)),"")</f>
        <v/>
      </c>
      <c r="AF401" s="54">
        <f>IF(AND(IFERROR(INDEX($A401:$AB401,MATCH("Xero Invoice No",$A$1:$AB$1,0)),"")&amp;""&lt;&gt;"",ISNUMBER(AE401),AD401&lt;&gt;0),1,0)</f>
        <v/>
      </c>
      <c r="AG401" s="55">
        <f>IF(AF401=1,EOMONTH(AE401,0),"")</f>
        <v/>
      </c>
      <c r="AH401" s="9">
        <f>IF(AF401=1,UPPER(TRIM(IFERROR(INDEX($A401:$AB401,MATCH("Client",$A$1:$AB$1,0)),"")&amp;"")),"")</f>
        <v/>
      </c>
      <c r="AI401" s="9">
        <f>IF(AF401=1,IFERROR(INDEX($A401:$AB401,MATCH("Cost Centre",$A$1:$AB$1,0)),"")&amp;"","")</f>
        <v/>
      </c>
      <c r="AJ401" s="54">
        <f>IF(AND(AF401=1,AE401&gt;=set_FYStart,AE401&lt;=set_AsAt),1,0)</f>
        <v/>
      </c>
      <c r="AK401" s="54">
        <f>IF(AND(AJ401=1,AH401&lt;&gt;"",COUNTIFS($AH$2:AH401,AH401,$AJ$2:AJ401,1)=1),N(AL400)+1,"")</f>
        <v/>
      </c>
      <c r="AL401" s="54">
        <f>IF(AK401&lt;&gt;"",AK401,N(AL400))</f>
        <v/>
      </c>
    </row>
    <row r="402">
      <c r="A402" t="inlineStr">
        <is>
          <t>PRD-0134</t>
        </is>
      </c>
      <c r="B402" t="inlineStr">
        <is>
          <t>Production</t>
        </is>
      </c>
      <c r="AB402" t="n">
        <v>134</v>
      </c>
      <c r="AD402" s="52">
        <f>IFERROR(N(IFERROR(INDEX($A402:$AB402,MATCH("Xero Invoiced Ex GST",$A$1:$AB$1,0)),"")),0)</f>
        <v/>
      </c>
      <c r="AE402" s="53">
        <f>IFERROR(INDEX($A402:$AB402,MATCH("Xero Invoice Date",$A$1:$AB$1,0)),"")</f>
        <v/>
      </c>
      <c r="AF402" s="54">
        <f>IF(AND(IFERROR(INDEX($A402:$AB402,MATCH("Xero Invoice No",$A$1:$AB$1,0)),"")&amp;""&lt;&gt;"",ISNUMBER(AE402),AD402&lt;&gt;0),1,0)</f>
        <v/>
      </c>
      <c r="AG402" s="55">
        <f>IF(AF402=1,EOMONTH(AE402,0),"")</f>
        <v/>
      </c>
      <c r="AH402" s="9">
        <f>IF(AF402=1,UPPER(TRIM(IFERROR(INDEX($A402:$AB402,MATCH("Client",$A$1:$AB$1,0)),"")&amp;"")),"")</f>
        <v/>
      </c>
      <c r="AI402" s="9">
        <f>IF(AF402=1,IFERROR(INDEX($A402:$AB402,MATCH("Cost Centre",$A$1:$AB$1,0)),"")&amp;"","")</f>
        <v/>
      </c>
      <c r="AJ402" s="54">
        <f>IF(AND(AF402=1,AE402&gt;=set_FYStart,AE402&lt;=set_AsAt),1,0)</f>
        <v/>
      </c>
      <c r="AK402" s="54">
        <f>IF(AND(AJ402=1,AH402&lt;&gt;"",COUNTIFS($AH$2:AH402,AH402,$AJ$2:AJ402,1)=1),N(AL401)+1,"")</f>
        <v/>
      </c>
      <c r="AL402" s="54">
        <f>IF(AK402&lt;&gt;"",AK402,N(AL401))</f>
        <v/>
      </c>
    </row>
    <row r="403">
      <c r="A403" t="inlineStr">
        <is>
          <t>CON-0134</t>
        </is>
      </c>
      <c r="B403" t="inlineStr">
        <is>
          <t>Consulting</t>
        </is>
      </c>
      <c r="AB403" t="n">
        <v>134</v>
      </c>
      <c r="AD403" s="52">
        <f>IFERROR(N(IFERROR(INDEX($A403:$AB403,MATCH("Xero Invoiced Ex GST",$A$1:$AB$1,0)),"")),0)</f>
        <v/>
      </c>
      <c r="AE403" s="53">
        <f>IFERROR(INDEX($A403:$AB403,MATCH("Xero Invoice Date",$A$1:$AB$1,0)),"")</f>
        <v/>
      </c>
      <c r="AF403" s="54">
        <f>IF(AND(IFERROR(INDEX($A403:$AB403,MATCH("Xero Invoice No",$A$1:$AB$1,0)),"")&amp;""&lt;&gt;"",ISNUMBER(AE403),AD403&lt;&gt;0),1,0)</f>
        <v/>
      </c>
      <c r="AG403" s="55">
        <f>IF(AF403=1,EOMONTH(AE403,0),"")</f>
        <v/>
      </c>
      <c r="AH403" s="9">
        <f>IF(AF403=1,UPPER(TRIM(IFERROR(INDEX($A403:$AB403,MATCH("Client",$A$1:$AB$1,0)),"")&amp;"")),"")</f>
        <v/>
      </c>
      <c r="AI403" s="9">
        <f>IF(AF403=1,IFERROR(INDEX($A403:$AB403,MATCH("Cost Centre",$A$1:$AB$1,0)),"")&amp;"","")</f>
        <v/>
      </c>
      <c r="AJ403" s="54">
        <f>IF(AND(AF403=1,AE403&gt;=set_FYStart,AE403&lt;=set_AsAt),1,0)</f>
        <v/>
      </c>
      <c r="AK403" s="54">
        <f>IF(AND(AJ403=1,AH403&lt;&gt;"",COUNTIFS($AH$2:AH403,AH403,$AJ$2:AJ403,1)=1),N(AL402)+1,"")</f>
        <v/>
      </c>
      <c r="AL403" s="54">
        <f>IF(AK403&lt;&gt;"",AK403,N(AL402))</f>
        <v/>
      </c>
    </row>
    <row r="404">
      <c r="A404" t="inlineStr">
        <is>
          <t>ONS-0135</t>
        </is>
      </c>
      <c r="B404" t="inlineStr">
        <is>
          <t>Onsite</t>
        </is>
      </c>
      <c r="R404" t="inlineStr">
        <is>
          <t>GST 10%</t>
        </is>
      </c>
      <c r="AB404" t="n">
        <v>135</v>
      </c>
      <c r="AD404" s="52">
        <f>IFERROR(N(IFERROR(INDEX($A404:$AB404,MATCH("Xero Invoiced Ex GST",$A$1:$AB$1,0)),"")),0)</f>
        <v/>
      </c>
      <c r="AE404" s="53">
        <f>IFERROR(INDEX($A404:$AB404,MATCH("Xero Invoice Date",$A$1:$AB$1,0)),"")</f>
        <v/>
      </c>
      <c r="AF404" s="54">
        <f>IF(AND(IFERROR(INDEX($A404:$AB404,MATCH("Xero Invoice No",$A$1:$AB$1,0)),"")&amp;""&lt;&gt;"",ISNUMBER(AE404),AD404&lt;&gt;0),1,0)</f>
        <v/>
      </c>
      <c r="AG404" s="55">
        <f>IF(AF404=1,EOMONTH(AE404,0),"")</f>
        <v/>
      </c>
      <c r="AH404" s="9">
        <f>IF(AF404=1,UPPER(TRIM(IFERROR(INDEX($A404:$AB404,MATCH("Client",$A$1:$AB$1,0)),"")&amp;"")),"")</f>
        <v/>
      </c>
      <c r="AI404" s="9">
        <f>IF(AF404=1,IFERROR(INDEX($A404:$AB404,MATCH("Cost Centre",$A$1:$AB$1,0)),"")&amp;"","")</f>
        <v/>
      </c>
      <c r="AJ404" s="54">
        <f>IF(AND(AF404=1,AE404&gt;=set_FYStart,AE404&lt;=set_AsAt),1,0)</f>
        <v/>
      </c>
      <c r="AK404" s="54">
        <f>IF(AND(AJ404=1,AH404&lt;&gt;"",COUNTIFS($AH$2:AH404,AH404,$AJ$2:AJ404,1)=1),N(AL403)+1,"")</f>
        <v/>
      </c>
      <c r="AL404" s="54">
        <f>IF(AK404&lt;&gt;"",AK404,N(AL403))</f>
        <v/>
      </c>
    </row>
    <row r="405">
      <c r="A405" t="inlineStr">
        <is>
          <t>PRD-0135</t>
        </is>
      </c>
      <c r="B405" t="inlineStr">
        <is>
          <t>Production</t>
        </is>
      </c>
      <c r="AB405" t="n">
        <v>135</v>
      </c>
      <c r="AD405" s="52">
        <f>IFERROR(N(IFERROR(INDEX($A405:$AB405,MATCH("Xero Invoiced Ex GST",$A$1:$AB$1,0)),"")),0)</f>
        <v/>
      </c>
      <c r="AE405" s="53">
        <f>IFERROR(INDEX($A405:$AB405,MATCH("Xero Invoice Date",$A$1:$AB$1,0)),"")</f>
        <v/>
      </c>
      <c r="AF405" s="54">
        <f>IF(AND(IFERROR(INDEX($A405:$AB405,MATCH("Xero Invoice No",$A$1:$AB$1,0)),"")&amp;""&lt;&gt;"",ISNUMBER(AE405),AD405&lt;&gt;0),1,0)</f>
        <v/>
      </c>
      <c r="AG405" s="55">
        <f>IF(AF405=1,EOMONTH(AE405,0),"")</f>
        <v/>
      </c>
      <c r="AH405" s="9">
        <f>IF(AF405=1,UPPER(TRIM(IFERROR(INDEX($A405:$AB405,MATCH("Client",$A$1:$AB$1,0)),"")&amp;"")),"")</f>
        <v/>
      </c>
      <c r="AI405" s="9">
        <f>IF(AF405=1,IFERROR(INDEX($A405:$AB405,MATCH("Cost Centre",$A$1:$AB$1,0)),"")&amp;"","")</f>
        <v/>
      </c>
      <c r="AJ405" s="54">
        <f>IF(AND(AF405=1,AE405&gt;=set_FYStart,AE405&lt;=set_AsAt),1,0)</f>
        <v/>
      </c>
      <c r="AK405" s="54">
        <f>IF(AND(AJ405=1,AH405&lt;&gt;"",COUNTIFS($AH$2:AH405,AH405,$AJ$2:AJ405,1)=1),N(AL404)+1,"")</f>
        <v/>
      </c>
      <c r="AL405" s="54">
        <f>IF(AK405&lt;&gt;"",AK405,N(AL404))</f>
        <v/>
      </c>
    </row>
    <row r="406">
      <c r="A406" t="inlineStr">
        <is>
          <t>CON-0135</t>
        </is>
      </c>
      <c r="B406" t="inlineStr">
        <is>
          <t>Consulting</t>
        </is>
      </c>
      <c r="AB406" t="n">
        <v>135</v>
      </c>
      <c r="AD406" s="52">
        <f>IFERROR(N(IFERROR(INDEX($A406:$AB406,MATCH("Xero Invoiced Ex GST",$A$1:$AB$1,0)),"")),0)</f>
        <v/>
      </c>
      <c r="AE406" s="53">
        <f>IFERROR(INDEX($A406:$AB406,MATCH("Xero Invoice Date",$A$1:$AB$1,0)),"")</f>
        <v/>
      </c>
      <c r="AF406" s="54">
        <f>IF(AND(IFERROR(INDEX($A406:$AB406,MATCH("Xero Invoice No",$A$1:$AB$1,0)),"")&amp;""&lt;&gt;"",ISNUMBER(AE406),AD406&lt;&gt;0),1,0)</f>
        <v/>
      </c>
      <c r="AG406" s="55">
        <f>IF(AF406=1,EOMONTH(AE406,0),"")</f>
        <v/>
      </c>
      <c r="AH406" s="9">
        <f>IF(AF406=1,UPPER(TRIM(IFERROR(INDEX($A406:$AB406,MATCH("Client",$A$1:$AB$1,0)),"")&amp;"")),"")</f>
        <v/>
      </c>
      <c r="AI406" s="9">
        <f>IF(AF406=1,IFERROR(INDEX($A406:$AB406,MATCH("Cost Centre",$A$1:$AB$1,0)),"")&amp;"","")</f>
        <v/>
      </c>
      <c r="AJ406" s="54">
        <f>IF(AND(AF406=1,AE406&gt;=set_FYStart,AE406&lt;=set_AsAt),1,0)</f>
        <v/>
      </c>
      <c r="AK406" s="54">
        <f>IF(AND(AJ406=1,AH406&lt;&gt;"",COUNTIFS($AH$2:AH406,AH406,$AJ$2:AJ406,1)=1),N(AL405)+1,"")</f>
        <v/>
      </c>
      <c r="AL406" s="54">
        <f>IF(AK406&lt;&gt;"",AK406,N(AL405))</f>
        <v/>
      </c>
    </row>
    <row r="407">
      <c r="A407" t="inlineStr">
        <is>
          <t>ONS-0136</t>
        </is>
      </c>
      <c r="B407" t="inlineStr">
        <is>
          <t>Onsite</t>
        </is>
      </c>
      <c r="R407" t="inlineStr">
        <is>
          <t>GST 10%</t>
        </is>
      </c>
      <c r="AB407" t="n">
        <v>136</v>
      </c>
      <c r="AD407" s="52">
        <f>IFERROR(N(IFERROR(INDEX($A407:$AB407,MATCH("Xero Invoiced Ex GST",$A$1:$AB$1,0)),"")),0)</f>
        <v/>
      </c>
      <c r="AE407" s="53">
        <f>IFERROR(INDEX($A407:$AB407,MATCH("Xero Invoice Date",$A$1:$AB$1,0)),"")</f>
        <v/>
      </c>
      <c r="AF407" s="54">
        <f>IF(AND(IFERROR(INDEX($A407:$AB407,MATCH("Xero Invoice No",$A$1:$AB$1,0)),"")&amp;""&lt;&gt;"",ISNUMBER(AE407),AD407&lt;&gt;0),1,0)</f>
        <v/>
      </c>
      <c r="AG407" s="55">
        <f>IF(AF407=1,EOMONTH(AE407,0),"")</f>
        <v/>
      </c>
      <c r="AH407" s="9">
        <f>IF(AF407=1,UPPER(TRIM(IFERROR(INDEX($A407:$AB407,MATCH("Client",$A$1:$AB$1,0)),"")&amp;"")),"")</f>
        <v/>
      </c>
      <c r="AI407" s="9">
        <f>IF(AF407=1,IFERROR(INDEX($A407:$AB407,MATCH("Cost Centre",$A$1:$AB$1,0)),"")&amp;"","")</f>
        <v/>
      </c>
      <c r="AJ407" s="54">
        <f>IF(AND(AF407=1,AE407&gt;=set_FYStart,AE407&lt;=set_AsAt),1,0)</f>
        <v/>
      </c>
      <c r="AK407" s="54">
        <f>IF(AND(AJ407=1,AH407&lt;&gt;"",COUNTIFS($AH$2:AH407,AH407,$AJ$2:AJ407,1)=1),N(AL406)+1,"")</f>
        <v/>
      </c>
      <c r="AL407" s="54">
        <f>IF(AK407&lt;&gt;"",AK407,N(AL406))</f>
        <v/>
      </c>
    </row>
    <row r="408">
      <c r="A408" t="inlineStr">
        <is>
          <t>PRD-0136</t>
        </is>
      </c>
      <c r="B408" t="inlineStr">
        <is>
          <t>Production</t>
        </is>
      </c>
      <c r="AB408" t="n">
        <v>136</v>
      </c>
      <c r="AD408" s="52">
        <f>IFERROR(N(IFERROR(INDEX($A408:$AB408,MATCH("Xero Invoiced Ex GST",$A$1:$AB$1,0)),"")),0)</f>
        <v/>
      </c>
      <c r="AE408" s="53">
        <f>IFERROR(INDEX($A408:$AB408,MATCH("Xero Invoice Date",$A$1:$AB$1,0)),"")</f>
        <v/>
      </c>
      <c r="AF408" s="54">
        <f>IF(AND(IFERROR(INDEX($A408:$AB408,MATCH("Xero Invoice No",$A$1:$AB$1,0)),"")&amp;""&lt;&gt;"",ISNUMBER(AE408),AD408&lt;&gt;0),1,0)</f>
        <v/>
      </c>
      <c r="AG408" s="55">
        <f>IF(AF408=1,EOMONTH(AE408,0),"")</f>
        <v/>
      </c>
      <c r="AH408" s="9">
        <f>IF(AF408=1,UPPER(TRIM(IFERROR(INDEX($A408:$AB408,MATCH("Client",$A$1:$AB$1,0)),"")&amp;"")),"")</f>
        <v/>
      </c>
      <c r="AI408" s="9">
        <f>IF(AF408=1,IFERROR(INDEX($A408:$AB408,MATCH("Cost Centre",$A$1:$AB$1,0)),"")&amp;"","")</f>
        <v/>
      </c>
      <c r="AJ408" s="54">
        <f>IF(AND(AF408=1,AE408&gt;=set_FYStart,AE408&lt;=set_AsAt),1,0)</f>
        <v/>
      </c>
      <c r="AK408" s="54">
        <f>IF(AND(AJ408=1,AH408&lt;&gt;"",COUNTIFS($AH$2:AH408,AH408,$AJ$2:AJ408,1)=1),N(AL407)+1,"")</f>
        <v/>
      </c>
      <c r="AL408" s="54">
        <f>IF(AK408&lt;&gt;"",AK408,N(AL407))</f>
        <v/>
      </c>
    </row>
    <row r="409">
      <c r="A409" t="inlineStr">
        <is>
          <t>CON-0136</t>
        </is>
      </c>
      <c r="B409" t="inlineStr">
        <is>
          <t>Consulting</t>
        </is>
      </c>
      <c r="AB409" t="n">
        <v>136</v>
      </c>
      <c r="AD409" s="52">
        <f>IFERROR(N(IFERROR(INDEX($A409:$AB409,MATCH("Xero Invoiced Ex GST",$A$1:$AB$1,0)),"")),0)</f>
        <v/>
      </c>
      <c r="AE409" s="53">
        <f>IFERROR(INDEX($A409:$AB409,MATCH("Xero Invoice Date",$A$1:$AB$1,0)),"")</f>
        <v/>
      </c>
      <c r="AF409" s="54">
        <f>IF(AND(IFERROR(INDEX($A409:$AB409,MATCH("Xero Invoice No",$A$1:$AB$1,0)),"")&amp;""&lt;&gt;"",ISNUMBER(AE409),AD409&lt;&gt;0),1,0)</f>
        <v/>
      </c>
      <c r="AG409" s="55">
        <f>IF(AF409=1,EOMONTH(AE409,0),"")</f>
        <v/>
      </c>
      <c r="AH409" s="9">
        <f>IF(AF409=1,UPPER(TRIM(IFERROR(INDEX($A409:$AB409,MATCH("Client",$A$1:$AB$1,0)),"")&amp;"")),"")</f>
        <v/>
      </c>
      <c r="AI409" s="9">
        <f>IF(AF409=1,IFERROR(INDEX($A409:$AB409,MATCH("Cost Centre",$A$1:$AB$1,0)),"")&amp;"","")</f>
        <v/>
      </c>
      <c r="AJ409" s="54">
        <f>IF(AND(AF409=1,AE409&gt;=set_FYStart,AE409&lt;=set_AsAt),1,0)</f>
        <v/>
      </c>
      <c r="AK409" s="54">
        <f>IF(AND(AJ409=1,AH409&lt;&gt;"",COUNTIFS($AH$2:AH409,AH409,$AJ$2:AJ409,1)=1),N(AL408)+1,"")</f>
        <v/>
      </c>
      <c r="AL409" s="54">
        <f>IF(AK409&lt;&gt;"",AK409,N(AL408))</f>
        <v/>
      </c>
    </row>
    <row r="410">
      <c r="A410" t="inlineStr">
        <is>
          <t>ONS-0137</t>
        </is>
      </c>
      <c r="B410" t="inlineStr">
        <is>
          <t>Onsite</t>
        </is>
      </c>
      <c r="R410" t="inlineStr">
        <is>
          <t>GST 10%</t>
        </is>
      </c>
      <c r="AB410" t="n">
        <v>137</v>
      </c>
      <c r="AD410" s="52">
        <f>IFERROR(N(IFERROR(INDEX($A410:$AB410,MATCH("Xero Invoiced Ex GST",$A$1:$AB$1,0)),"")),0)</f>
        <v/>
      </c>
      <c r="AE410" s="53">
        <f>IFERROR(INDEX($A410:$AB410,MATCH("Xero Invoice Date",$A$1:$AB$1,0)),"")</f>
        <v/>
      </c>
      <c r="AF410" s="54">
        <f>IF(AND(IFERROR(INDEX($A410:$AB410,MATCH("Xero Invoice No",$A$1:$AB$1,0)),"")&amp;""&lt;&gt;"",ISNUMBER(AE410),AD410&lt;&gt;0),1,0)</f>
        <v/>
      </c>
      <c r="AG410" s="55">
        <f>IF(AF410=1,EOMONTH(AE410,0),"")</f>
        <v/>
      </c>
      <c r="AH410" s="9">
        <f>IF(AF410=1,UPPER(TRIM(IFERROR(INDEX($A410:$AB410,MATCH("Client",$A$1:$AB$1,0)),"")&amp;"")),"")</f>
        <v/>
      </c>
      <c r="AI410" s="9">
        <f>IF(AF410=1,IFERROR(INDEX($A410:$AB410,MATCH("Cost Centre",$A$1:$AB$1,0)),"")&amp;"","")</f>
        <v/>
      </c>
      <c r="AJ410" s="54">
        <f>IF(AND(AF410=1,AE410&gt;=set_FYStart,AE410&lt;=set_AsAt),1,0)</f>
        <v/>
      </c>
      <c r="AK410" s="54">
        <f>IF(AND(AJ410=1,AH410&lt;&gt;"",COUNTIFS($AH$2:AH410,AH410,$AJ$2:AJ410,1)=1),N(AL409)+1,"")</f>
        <v/>
      </c>
      <c r="AL410" s="54">
        <f>IF(AK410&lt;&gt;"",AK410,N(AL409))</f>
        <v/>
      </c>
    </row>
    <row r="411">
      <c r="A411" t="inlineStr">
        <is>
          <t>PRD-0137</t>
        </is>
      </c>
      <c r="B411" t="inlineStr">
        <is>
          <t>Production</t>
        </is>
      </c>
      <c r="AB411" t="n">
        <v>137</v>
      </c>
      <c r="AD411" s="52">
        <f>IFERROR(N(IFERROR(INDEX($A411:$AB411,MATCH("Xero Invoiced Ex GST",$A$1:$AB$1,0)),"")),0)</f>
        <v/>
      </c>
      <c r="AE411" s="53">
        <f>IFERROR(INDEX($A411:$AB411,MATCH("Xero Invoice Date",$A$1:$AB$1,0)),"")</f>
        <v/>
      </c>
      <c r="AF411" s="54">
        <f>IF(AND(IFERROR(INDEX($A411:$AB411,MATCH("Xero Invoice No",$A$1:$AB$1,0)),"")&amp;""&lt;&gt;"",ISNUMBER(AE411),AD411&lt;&gt;0),1,0)</f>
        <v/>
      </c>
      <c r="AG411" s="55">
        <f>IF(AF411=1,EOMONTH(AE411,0),"")</f>
        <v/>
      </c>
      <c r="AH411" s="9">
        <f>IF(AF411=1,UPPER(TRIM(IFERROR(INDEX($A411:$AB411,MATCH("Client",$A$1:$AB$1,0)),"")&amp;"")),"")</f>
        <v/>
      </c>
      <c r="AI411" s="9">
        <f>IF(AF411=1,IFERROR(INDEX($A411:$AB411,MATCH("Cost Centre",$A$1:$AB$1,0)),"")&amp;"","")</f>
        <v/>
      </c>
      <c r="AJ411" s="54">
        <f>IF(AND(AF411=1,AE411&gt;=set_FYStart,AE411&lt;=set_AsAt),1,0)</f>
        <v/>
      </c>
      <c r="AK411" s="54">
        <f>IF(AND(AJ411=1,AH411&lt;&gt;"",COUNTIFS($AH$2:AH411,AH411,$AJ$2:AJ411,1)=1),N(AL410)+1,"")</f>
        <v/>
      </c>
      <c r="AL411" s="54">
        <f>IF(AK411&lt;&gt;"",AK411,N(AL410))</f>
        <v/>
      </c>
    </row>
    <row r="412">
      <c r="A412" t="inlineStr">
        <is>
          <t>CON-0137</t>
        </is>
      </c>
      <c r="B412" t="inlineStr">
        <is>
          <t>Consulting</t>
        </is>
      </c>
      <c r="AB412" t="n">
        <v>137</v>
      </c>
      <c r="AD412" s="52">
        <f>IFERROR(N(IFERROR(INDEX($A412:$AB412,MATCH("Xero Invoiced Ex GST",$A$1:$AB$1,0)),"")),0)</f>
        <v/>
      </c>
      <c r="AE412" s="53">
        <f>IFERROR(INDEX($A412:$AB412,MATCH("Xero Invoice Date",$A$1:$AB$1,0)),"")</f>
        <v/>
      </c>
      <c r="AF412" s="54">
        <f>IF(AND(IFERROR(INDEX($A412:$AB412,MATCH("Xero Invoice No",$A$1:$AB$1,0)),"")&amp;""&lt;&gt;"",ISNUMBER(AE412),AD412&lt;&gt;0),1,0)</f>
        <v/>
      </c>
      <c r="AG412" s="55">
        <f>IF(AF412=1,EOMONTH(AE412,0),"")</f>
        <v/>
      </c>
      <c r="AH412" s="9">
        <f>IF(AF412=1,UPPER(TRIM(IFERROR(INDEX($A412:$AB412,MATCH("Client",$A$1:$AB$1,0)),"")&amp;"")),"")</f>
        <v/>
      </c>
      <c r="AI412" s="9">
        <f>IF(AF412=1,IFERROR(INDEX($A412:$AB412,MATCH("Cost Centre",$A$1:$AB$1,0)),"")&amp;"","")</f>
        <v/>
      </c>
      <c r="AJ412" s="54">
        <f>IF(AND(AF412=1,AE412&gt;=set_FYStart,AE412&lt;=set_AsAt),1,0)</f>
        <v/>
      </c>
      <c r="AK412" s="54">
        <f>IF(AND(AJ412=1,AH412&lt;&gt;"",COUNTIFS($AH$2:AH412,AH412,$AJ$2:AJ412,1)=1),N(AL411)+1,"")</f>
        <v/>
      </c>
      <c r="AL412" s="54">
        <f>IF(AK412&lt;&gt;"",AK412,N(AL411))</f>
        <v/>
      </c>
    </row>
    <row r="413">
      <c r="A413" t="inlineStr">
        <is>
          <t>ONS-0138</t>
        </is>
      </c>
      <c r="B413" t="inlineStr">
        <is>
          <t>Onsite</t>
        </is>
      </c>
      <c r="R413" t="inlineStr">
        <is>
          <t>GST 10%</t>
        </is>
      </c>
      <c r="AB413" t="n">
        <v>138</v>
      </c>
      <c r="AD413" s="52">
        <f>IFERROR(N(IFERROR(INDEX($A413:$AB413,MATCH("Xero Invoiced Ex GST",$A$1:$AB$1,0)),"")),0)</f>
        <v/>
      </c>
      <c r="AE413" s="53">
        <f>IFERROR(INDEX($A413:$AB413,MATCH("Xero Invoice Date",$A$1:$AB$1,0)),"")</f>
        <v/>
      </c>
      <c r="AF413" s="54">
        <f>IF(AND(IFERROR(INDEX($A413:$AB413,MATCH("Xero Invoice No",$A$1:$AB$1,0)),"")&amp;""&lt;&gt;"",ISNUMBER(AE413),AD413&lt;&gt;0),1,0)</f>
        <v/>
      </c>
      <c r="AG413" s="55">
        <f>IF(AF413=1,EOMONTH(AE413,0),"")</f>
        <v/>
      </c>
      <c r="AH413" s="9">
        <f>IF(AF413=1,UPPER(TRIM(IFERROR(INDEX($A413:$AB413,MATCH("Client",$A$1:$AB$1,0)),"")&amp;"")),"")</f>
        <v/>
      </c>
      <c r="AI413" s="9">
        <f>IF(AF413=1,IFERROR(INDEX($A413:$AB413,MATCH("Cost Centre",$A$1:$AB$1,0)),"")&amp;"","")</f>
        <v/>
      </c>
      <c r="AJ413" s="54">
        <f>IF(AND(AF413=1,AE413&gt;=set_FYStart,AE413&lt;=set_AsAt),1,0)</f>
        <v/>
      </c>
      <c r="AK413" s="54">
        <f>IF(AND(AJ413=1,AH413&lt;&gt;"",COUNTIFS($AH$2:AH413,AH413,$AJ$2:AJ413,1)=1),N(AL412)+1,"")</f>
        <v/>
      </c>
      <c r="AL413" s="54">
        <f>IF(AK413&lt;&gt;"",AK413,N(AL412))</f>
        <v/>
      </c>
    </row>
    <row r="414">
      <c r="A414" t="inlineStr">
        <is>
          <t>PRD-0138</t>
        </is>
      </c>
      <c r="B414" t="inlineStr">
        <is>
          <t>Production</t>
        </is>
      </c>
      <c r="AB414" t="n">
        <v>138</v>
      </c>
      <c r="AD414" s="52">
        <f>IFERROR(N(IFERROR(INDEX($A414:$AB414,MATCH("Xero Invoiced Ex GST",$A$1:$AB$1,0)),"")),0)</f>
        <v/>
      </c>
      <c r="AE414" s="53">
        <f>IFERROR(INDEX($A414:$AB414,MATCH("Xero Invoice Date",$A$1:$AB$1,0)),"")</f>
        <v/>
      </c>
      <c r="AF414" s="54">
        <f>IF(AND(IFERROR(INDEX($A414:$AB414,MATCH("Xero Invoice No",$A$1:$AB$1,0)),"")&amp;""&lt;&gt;"",ISNUMBER(AE414),AD414&lt;&gt;0),1,0)</f>
        <v/>
      </c>
      <c r="AG414" s="55">
        <f>IF(AF414=1,EOMONTH(AE414,0),"")</f>
        <v/>
      </c>
      <c r="AH414" s="9">
        <f>IF(AF414=1,UPPER(TRIM(IFERROR(INDEX($A414:$AB414,MATCH("Client",$A$1:$AB$1,0)),"")&amp;"")),"")</f>
        <v/>
      </c>
      <c r="AI414" s="9">
        <f>IF(AF414=1,IFERROR(INDEX($A414:$AB414,MATCH("Cost Centre",$A$1:$AB$1,0)),"")&amp;"","")</f>
        <v/>
      </c>
      <c r="AJ414" s="54">
        <f>IF(AND(AF414=1,AE414&gt;=set_FYStart,AE414&lt;=set_AsAt),1,0)</f>
        <v/>
      </c>
      <c r="AK414" s="54">
        <f>IF(AND(AJ414=1,AH414&lt;&gt;"",COUNTIFS($AH$2:AH414,AH414,$AJ$2:AJ414,1)=1),N(AL413)+1,"")</f>
        <v/>
      </c>
      <c r="AL414" s="54">
        <f>IF(AK414&lt;&gt;"",AK414,N(AL413))</f>
        <v/>
      </c>
    </row>
    <row r="415">
      <c r="A415" t="inlineStr">
        <is>
          <t>CON-0138</t>
        </is>
      </c>
      <c r="B415" t="inlineStr">
        <is>
          <t>Consulting</t>
        </is>
      </c>
      <c r="AB415" t="n">
        <v>138</v>
      </c>
      <c r="AD415" s="52">
        <f>IFERROR(N(IFERROR(INDEX($A415:$AB415,MATCH("Xero Invoiced Ex GST",$A$1:$AB$1,0)),"")),0)</f>
        <v/>
      </c>
      <c r="AE415" s="53">
        <f>IFERROR(INDEX($A415:$AB415,MATCH("Xero Invoice Date",$A$1:$AB$1,0)),"")</f>
        <v/>
      </c>
      <c r="AF415" s="54">
        <f>IF(AND(IFERROR(INDEX($A415:$AB415,MATCH("Xero Invoice No",$A$1:$AB$1,0)),"")&amp;""&lt;&gt;"",ISNUMBER(AE415),AD415&lt;&gt;0),1,0)</f>
        <v/>
      </c>
      <c r="AG415" s="55">
        <f>IF(AF415=1,EOMONTH(AE415,0),"")</f>
        <v/>
      </c>
      <c r="AH415" s="9">
        <f>IF(AF415=1,UPPER(TRIM(IFERROR(INDEX($A415:$AB415,MATCH("Client",$A$1:$AB$1,0)),"")&amp;"")),"")</f>
        <v/>
      </c>
      <c r="AI415" s="9">
        <f>IF(AF415=1,IFERROR(INDEX($A415:$AB415,MATCH("Cost Centre",$A$1:$AB$1,0)),"")&amp;"","")</f>
        <v/>
      </c>
      <c r="AJ415" s="54">
        <f>IF(AND(AF415=1,AE415&gt;=set_FYStart,AE415&lt;=set_AsAt),1,0)</f>
        <v/>
      </c>
      <c r="AK415" s="54">
        <f>IF(AND(AJ415=1,AH415&lt;&gt;"",COUNTIFS($AH$2:AH415,AH415,$AJ$2:AJ415,1)=1),N(AL414)+1,"")</f>
        <v/>
      </c>
      <c r="AL415" s="54">
        <f>IF(AK415&lt;&gt;"",AK415,N(AL414))</f>
        <v/>
      </c>
    </row>
    <row r="416">
      <c r="A416" t="inlineStr">
        <is>
          <t>ONS-0139</t>
        </is>
      </c>
      <c r="B416" t="inlineStr">
        <is>
          <t>Onsite</t>
        </is>
      </c>
      <c r="R416" t="inlineStr">
        <is>
          <t>GST 10%</t>
        </is>
      </c>
      <c r="AB416" t="n">
        <v>139</v>
      </c>
      <c r="AD416" s="52">
        <f>IFERROR(N(IFERROR(INDEX($A416:$AB416,MATCH("Xero Invoiced Ex GST",$A$1:$AB$1,0)),"")),0)</f>
        <v/>
      </c>
      <c r="AE416" s="53">
        <f>IFERROR(INDEX($A416:$AB416,MATCH("Xero Invoice Date",$A$1:$AB$1,0)),"")</f>
        <v/>
      </c>
      <c r="AF416" s="54">
        <f>IF(AND(IFERROR(INDEX($A416:$AB416,MATCH("Xero Invoice No",$A$1:$AB$1,0)),"")&amp;""&lt;&gt;"",ISNUMBER(AE416),AD416&lt;&gt;0),1,0)</f>
        <v/>
      </c>
      <c r="AG416" s="55">
        <f>IF(AF416=1,EOMONTH(AE416,0),"")</f>
        <v/>
      </c>
      <c r="AH416" s="9">
        <f>IF(AF416=1,UPPER(TRIM(IFERROR(INDEX($A416:$AB416,MATCH("Client",$A$1:$AB$1,0)),"")&amp;"")),"")</f>
        <v/>
      </c>
      <c r="AI416" s="9">
        <f>IF(AF416=1,IFERROR(INDEX($A416:$AB416,MATCH("Cost Centre",$A$1:$AB$1,0)),"")&amp;"","")</f>
        <v/>
      </c>
      <c r="AJ416" s="54">
        <f>IF(AND(AF416=1,AE416&gt;=set_FYStart,AE416&lt;=set_AsAt),1,0)</f>
        <v/>
      </c>
      <c r="AK416" s="54">
        <f>IF(AND(AJ416=1,AH416&lt;&gt;"",COUNTIFS($AH$2:AH416,AH416,$AJ$2:AJ416,1)=1),N(AL415)+1,"")</f>
        <v/>
      </c>
      <c r="AL416" s="54">
        <f>IF(AK416&lt;&gt;"",AK416,N(AL415))</f>
        <v/>
      </c>
    </row>
    <row r="417">
      <c r="A417" t="inlineStr">
        <is>
          <t>PRD-0139</t>
        </is>
      </c>
      <c r="B417" t="inlineStr">
        <is>
          <t>Production</t>
        </is>
      </c>
      <c r="AB417" t="n">
        <v>139</v>
      </c>
      <c r="AD417" s="52">
        <f>IFERROR(N(IFERROR(INDEX($A417:$AB417,MATCH("Xero Invoiced Ex GST",$A$1:$AB$1,0)),"")),0)</f>
        <v/>
      </c>
      <c r="AE417" s="53">
        <f>IFERROR(INDEX($A417:$AB417,MATCH("Xero Invoice Date",$A$1:$AB$1,0)),"")</f>
        <v/>
      </c>
      <c r="AF417" s="54">
        <f>IF(AND(IFERROR(INDEX($A417:$AB417,MATCH("Xero Invoice No",$A$1:$AB$1,0)),"")&amp;""&lt;&gt;"",ISNUMBER(AE417),AD417&lt;&gt;0),1,0)</f>
        <v/>
      </c>
      <c r="AG417" s="55">
        <f>IF(AF417=1,EOMONTH(AE417,0),"")</f>
        <v/>
      </c>
      <c r="AH417" s="9">
        <f>IF(AF417=1,UPPER(TRIM(IFERROR(INDEX($A417:$AB417,MATCH("Client",$A$1:$AB$1,0)),"")&amp;"")),"")</f>
        <v/>
      </c>
      <c r="AI417" s="9">
        <f>IF(AF417=1,IFERROR(INDEX($A417:$AB417,MATCH("Cost Centre",$A$1:$AB$1,0)),"")&amp;"","")</f>
        <v/>
      </c>
      <c r="AJ417" s="54">
        <f>IF(AND(AF417=1,AE417&gt;=set_FYStart,AE417&lt;=set_AsAt),1,0)</f>
        <v/>
      </c>
      <c r="AK417" s="54">
        <f>IF(AND(AJ417=1,AH417&lt;&gt;"",COUNTIFS($AH$2:AH417,AH417,$AJ$2:AJ417,1)=1),N(AL416)+1,"")</f>
        <v/>
      </c>
      <c r="AL417" s="54">
        <f>IF(AK417&lt;&gt;"",AK417,N(AL416))</f>
        <v/>
      </c>
    </row>
    <row r="418">
      <c r="A418" t="inlineStr">
        <is>
          <t>CON-0139</t>
        </is>
      </c>
      <c r="B418" t="inlineStr">
        <is>
          <t>Consulting</t>
        </is>
      </c>
      <c r="AB418" t="n">
        <v>139</v>
      </c>
      <c r="AD418" s="52">
        <f>IFERROR(N(IFERROR(INDEX($A418:$AB418,MATCH("Xero Invoiced Ex GST",$A$1:$AB$1,0)),"")),0)</f>
        <v/>
      </c>
      <c r="AE418" s="53">
        <f>IFERROR(INDEX($A418:$AB418,MATCH("Xero Invoice Date",$A$1:$AB$1,0)),"")</f>
        <v/>
      </c>
      <c r="AF418" s="54">
        <f>IF(AND(IFERROR(INDEX($A418:$AB418,MATCH("Xero Invoice No",$A$1:$AB$1,0)),"")&amp;""&lt;&gt;"",ISNUMBER(AE418),AD418&lt;&gt;0),1,0)</f>
        <v/>
      </c>
      <c r="AG418" s="55">
        <f>IF(AF418=1,EOMONTH(AE418,0),"")</f>
        <v/>
      </c>
      <c r="AH418" s="9">
        <f>IF(AF418=1,UPPER(TRIM(IFERROR(INDEX($A418:$AB418,MATCH("Client",$A$1:$AB$1,0)),"")&amp;"")),"")</f>
        <v/>
      </c>
      <c r="AI418" s="9">
        <f>IF(AF418=1,IFERROR(INDEX($A418:$AB418,MATCH("Cost Centre",$A$1:$AB$1,0)),"")&amp;"","")</f>
        <v/>
      </c>
      <c r="AJ418" s="54">
        <f>IF(AND(AF418=1,AE418&gt;=set_FYStart,AE418&lt;=set_AsAt),1,0)</f>
        <v/>
      </c>
      <c r="AK418" s="54">
        <f>IF(AND(AJ418=1,AH418&lt;&gt;"",COUNTIFS($AH$2:AH418,AH418,$AJ$2:AJ418,1)=1),N(AL417)+1,"")</f>
        <v/>
      </c>
      <c r="AL418" s="54">
        <f>IF(AK418&lt;&gt;"",AK418,N(AL417))</f>
        <v/>
      </c>
    </row>
    <row r="419">
      <c r="A419" t="inlineStr">
        <is>
          <t>ONS-0140</t>
        </is>
      </c>
      <c r="B419" t="inlineStr">
        <is>
          <t>Onsite</t>
        </is>
      </c>
      <c r="R419" t="inlineStr">
        <is>
          <t>GST 10%</t>
        </is>
      </c>
      <c r="AB419" t="n">
        <v>140</v>
      </c>
      <c r="AD419" s="52">
        <f>IFERROR(N(IFERROR(INDEX($A419:$AB419,MATCH("Xero Invoiced Ex GST",$A$1:$AB$1,0)),"")),0)</f>
        <v/>
      </c>
      <c r="AE419" s="53">
        <f>IFERROR(INDEX($A419:$AB419,MATCH("Xero Invoice Date",$A$1:$AB$1,0)),"")</f>
        <v/>
      </c>
      <c r="AF419" s="54">
        <f>IF(AND(IFERROR(INDEX($A419:$AB419,MATCH("Xero Invoice No",$A$1:$AB$1,0)),"")&amp;""&lt;&gt;"",ISNUMBER(AE419),AD419&lt;&gt;0),1,0)</f>
        <v/>
      </c>
      <c r="AG419" s="55">
        <f>IF(AF419=1,EOMONTH(AE419,0),"")</f>
        <v/>
      </c>
      <c r="AH419" s="9">
        <f>IF(AF419=1,UPPER(TRIM(IFERROR(INDEX($A419:$AB419,MATCH("Client",$A$1:$AB$1,0)),"")&amp;"")),"")</f>
        <v/>
      </c>
      <c r="AI419" s="9">
        <f>IF(AF419=1,IFERROR(INDEX($A419:$AB419,MATCH("Cost Centre",$A$1:$AB$1,0)),"")&amp;"","")</f>
        <v/>
      </c>
      <c r="AJ419" s="54">
        <f>IF(AND(AF419=1,AE419&gt;=set_FYStart,AE419&lt;=set_AsAt),1,0)</f>
        <v/>
      </c>
      <c r="AK419" s="54">
        <f>IF(AND(AJ419=1,AH419&lt;&gt;"",COUNTIFS($AH$2:AH419,AH419,$AJ$2:AJ419,1)=1),N(AL418)+1,"")</f>
        <v/>
      </c>
      <c r="AL419" s="54">
        <f>IF(AK419&lt;&gt;"",AK419,N(AL418))</f>
        <v/>
      </c>
    </row>
    <row r="420">
      <c r="A420" t="inlineStr">
        <is>
          <t>PRD-0140</t>
        </is>
      </c>
      <c r="B420" t="inlineStr">
        <is>
          <t>Production</t>
        </is>
      </c>
      <c r="AB420" t="n">
        <v>140</v>
      </c>
      <c r="AD420" s="52">
        <f>IFERROR(N(IFERROR(INDEX($A420:$AB420,MATCH("Xero Invoiced Ex GST",$A$1:$AB$1,0)),"")),0)</f>
        <v/>
      </c>
      <c r="AE420" s="53">
        <f>IFERROR(INDEX($A420:$AB420,MATCH("Xero Invoice Date",$A$1:$AB$1,0)),"")</f>
        <v/>
      </c>
      <c r="AF420" s="54">
        <f>IF(AND(IFERROR(INDEX($A420:$AB420,MATCH("Xero Invoice No",$A$1:$AB$1,0)),"")&amp;""&lt;&gt;"",ISNUMBER(AE420),AD420&lt;&gt;0),1,0)</f>
        <v/>
      </c>
      <c r="AG420" s="55">
        <f>IF(AF420=1,EOMONTH(AE420,0),"")</f>
        <v/>
      </c>
      <c r="AH420" s="9">
        <f>IF(AF420=1,UPPER(TRIM(IFERROR(INDEX($A420:$AB420,MATCH("Client",$A$1:$AB$1,0)),"")&amp;"")),"")</f>
        <v/>
      </c>
      <c r="AI420" s="9">
        <f>IF(AF420=1,IFERROR(INDEX($A420:$AB420,MATCH("Cost Centre",$A$1:$AB$1,0)),"")&amp;"","")</f>
        <v/>
      </c>
      <c r="AJ420" s="54">
        <f>IF(AND(AF420=1,AE420&gt;=set_FYStart,AE420&lt;=set_AsAt),1,0)</f>
        <v/>
      </c>
      <c r="AK420" s="54">
        <f>IF(AND(AJ420=1,AH420&lt;&gt;"",COUNTIFS($AH$2:AH420,AH420,$AJ$2:AJ420,1)=1),N(AL419)+1,"")</f>
        <v/>
      </c>
      <c r="AL420" s="54">
        <f>IF(AK420&lt;&gt;"",AK420,N(AL419))</f>
        <v/>
      </c>
    </row>
    <row r="421">
      <c r="A421" t="inlineStr">
        <is>
          <t>CON-0140</t>
        </is>
      </c>
      <c r="B421" t="inlineStr">
        <is>
          <t>Consulting</t>
        </is>
      </c>
      <c r="AB421" t="n">
        <v>140</v>
      </c>
      <c r="AD421" s="52">
        <f>IFERROR(N(IFERROR(INDEX($A421:$AB421,MATCH("Xero Invoiced Ex GST",$A$1:$AB$1,0)),"")),0)</f>
        <v/>
      </c>
      <c r="AE421" s="53">
        <f>IFERROR(INDEX($A421:$AB421,MATCH("Xero Invoice Date",$A$1:$AB$1,0)),"")</f>
        <v/>
      </c>
      <c r="AF421" s="54">
        <f>IF(AND(IFERROR(INDEX($A421:$AB421,MATCH("Xero Invoice No",$A$1:$AB$1,0)),"")&amp;""&lt;&gt;"",ISNUMBER(AE421),AD421&lt;&gt;0),1,0)</f>
        <v/>
      </c>
      <c r="AG421" s="55">
        <f>IF(AF421=1,EOMONTH(AE421,0),"")</f>
        <v/>
      </c>
      <c r="AH421" s="9">
        <f>IF(AF421=1,UPPER(TRIM(IFERROR(INDEX($A421:$AB421,MATCH("Client",$A$1:$AB$1,0)),"")&amp;"")),"")</f>
        <v/>
      </c>
      <c r="AI421" s="9">
        <f>IF(AF421=1,IFERROR(INDEX($A421:$AB421,MATCH("Cost Centre",$A$1:$AB$1,0)),"")&amp;"","")</f>
        <v/>
      </c>
      <c r="AJ421" s="54">
        <f>IF(AND(AF421=1,AE421&gt;=set_FYStart,AE421&lt;=set_AsAt),1,0)</f>
        <v/>
      </c>
      <c r="AK421" s="54">
        <f>IF(AND(AJ421=1,AH421&lt;&gt;"",COUNTIFS($AH$2:AH421,AH421,$AJ$2:AJ421,1)=1),N(AL420)+1,"")</f>
        <v/>
      </c>
      <c r="AL421" s="54">
        <f>IF(AK421&lt;&gt;"",AK421,N(AL420))</f>
        <v/>
      </c>
    </row>
    <row r="422">
      <c r="A422" t="inlineStr">
        <is>
          <t>ONS-0141</t>
        </is>
      </c>
      <c r="B422" t="inlineStr">
        <is>
          <t>Onsite</t>
        </is>
      </c>
      <c r="R422" t="inlineStr">
        <is>
          <t>GST 10%</t>
        </is>
      </c>
      <c r="AB422" t="n">
        <v>141</v>
      </c>
      <c r="AD422" s="52">
        <f>IFERROR(N(IFERROR(INDEX($A422:$AB422,MATCH("Xero Invoiced Ex GST",$A$1:$AB$1,0)),"")),0)</f>
        <v/>
      </c>
      <c r="AE422" s="53">
        <f>IFERROR(INDEX($A422:$AB422,MATCH("Xero Invoice Date",$A$1:$AB$1,0)),"")</f>
        <v/>
      </c>
      <c r="AF422" s="54">
        <f>IF(AND(IFERROR(INDEX($A422:$AB422,MATCH("Xero Invoice No",$A$1:$AB$1,0)),"")&amp;""&lt;&gt;"",ISNUMBER(AE422),AD422&lt;&gt;0),1,0)</f>
        <v/>
      </c>
      <c r="AG422" s="55">
        <f>IF(AF422=1,EOMONTH(AE422,0),"")</f>
        <v/>
      </c>
      <c r="AH422" s="9">
        <f>IF(AF422=1,UPPER(TRIM(IFERROR(INDEX($A422:$AB422,MATCH("Client",$A$1:$AB$1,0)),"")&amp;"")),"")</f>
        <v/>
      </c>
      <c r="AI422" s="9">
        <f>IF(AF422=1,IFERROR(INDEX($A422:$AB422,MATCH("Cost Centre",$A$1:$AB$1,0)),"")&amp;"","")</f>
        <v/>
      </c>
      <c r="AJ422" s="54">
        <f>IF(AND(AF422=1,AE422&gt;=set_FYStart,AE422&lt;=set_AsAt),1,0)</f>
        <v/>
      </c>
      <c r="AK422" s="54">
        <f>IF(AND(AJ422=1,AH422&lt;&gt;"",COUNTIFS($AH$2:AH422,AH422,$AJ$2:AJ422,1)=1),N(AL421)+1,"")</f>
        <v/>
      </c>
      <c r="AL422" s="54">
        <f>IF(AK422&lt;&gt;"",AK422,N(AL421))</f>
        <v/>
      </c>
    </row>
    <row r="423">
      <c r="A423" t="inlineStr">
        <is>
          <t>PRD-0141</t>
        </is>
      </c>
      <c r="B423" t="inlineStr">
        <is>
          <t>Production</t>
        </is>
      </c>
      <c r="AB423" t="n">
        <v>141</v>
      </c>
      <c r="AD423" s="52">
        <f>IFERROR(N(IFERROR(INDEX($A423:$AB423,MATCH("Xero Invoiced Ex GST",$A$1:$AB$1,0)),"")),0)</f>
        <v/>
      </c>
      <c r="AE423" s="53">
        <f>IFERROR(INDEX($A423:$AB423,MATCH("Xero Invoice Date",$A$1:$AB$1,0)),"")</f>
        <v/>
      </c>
      <c r="AF423" s="54">
        <f>IF(AND(IFERROR(INDEX($A423:$AB423,MATCH("Xero Invoice No",$A$1:$AB$1,0)),"")&amp;""&lt;&gt;"",ISNUMBER(AE423),AD423&lt;&gt;0),1,0)</f>
        <v/>
      </c>
      <c r="AG423" s="55">
        <f>IF(AF423=1,EOMONTH(AE423,0),"")</f>
        <v/>
      </c>
      <c r="AH423" s="9">
        <f>IF(AF423=1,UPPER(TRIM(IFERROR(INDEX($A423:$AB423,MATCH("Client",$A$1:$AB$1,0)),"")&amp;"")),"")</f>
        <v/>
      </c>
      <c r="AI423" s="9">
        <f>IF(AF423=1,IFERROR(INDEX($A423:$AB423,MATCH("Cost Centre",$A$1:$AB$1,0)),"")&amp;"","")</f>
        <v/>
      </c>
      <c r="AJ423" s="54">
        <f>IF(AND(AF423=1,AE423&gt;=set_FYStart,AE423&lt;=set_AsAt),1,0)</f>
        <v/>
      </c>
      <c r="AK423" s="54">
        <f>IF(AND(AJ423=1,AH423&lt;&gt;"",COUNTIFS($AH$2:AH423,AH423,$AJ$2:AJ423,1)=1),N(AL422)+1,"")</f>
        <v/>
      </c>
      <c r="AL423" s="54">
        <f>IF(AK423&lt;&gt;"",AK423,N(AL422))</f>
        <v/>
      </c>
    </row>
    <row r="424">
      <c r="A424" t="inlineStr">
        <is>
          <t>CON-0141</t>
        </is>
      </c>
      <c r="B424" t="inlineStr">
        <is>
          <t>Consulting</t>
        </is>
      </c>
      <c r="AB424" t="n">
        <v>141</v>
      </c>
      <c r="AD424" s="52">
        <f>IFERROR(N(IFERROR(INDEX($A424:$AB424,MATCH("Xero Invoiced Ex GST",$A$1:$AB$1,0)),"")),0)</f>
        <v/>
      </c>
      <c r="AE424" s="53">
        <f>IFERROR(INDEX($A424:$AB424,MATCH("Xero Invoice Date",$A$1:$AB$1,0)),"")</f>
        <v/>
      </c>
      <c r="AF424" s="54">
        <f>IF(AND(IFERROR(INDEX($A424:$AB424,MATCH("Xero Invoice No",$A$1:$AB$1,0)),"")&amp;""&lt;&gt;"",ISNUMBER(AE424),AD424&lt;&gt;0),1,0)</f>
        <v/>
      </c>
      <c r="AG424" s="55">
        <f>IF(AF424=1,EOMONTH(AE424,0),"")</f>
        <v/>
      </c>
      <c r="AH424" s="9">
        <f>IF(AF424=1,UPPER(TRIM(IFERROR(INDEX($A424:$AB424,MATCH("Client",$A$1:$AB$1,0)),"")&amp;"")),"")</f>
        <v/>
      </c>
      <c r="AI424" s="9">
        <f>IF(AF424=1,IFERROR(INDEX($A424:$AB424,MATCH("Cost Centre",$A$1:$AB$1,0)),"")&amp;"","")</f>
        <v/>
      </c>
      <c r="AJ424" s="54">
        <f>IF(AND(AF424=1,AE424&gt;=set_FYStart,AE424&lt;=set_AsAt),1,0)</f>
        <v/>
      </c>
      <c r="AK424" s="54">
        <f>IF(AND(AJ424=1,AH424&lt;&gt;"",COUNTIFS($AH$2:AH424,AH424,$AJ$2:AJ424,1)=1),N(AL423)+1,"")</f>
        <v/>
      </c>
      <c r="AL424" s="54">
        <f>IF(AK424&lt;&gt;"",AK424,N(AL423))</f>
        <v/>
      </c>
    </row>
    <row r="425">
      <c r="A425" t="inlineStr">
        <is>
          <t>ONS-0142</t>
        </is>
      </c>
      <c r="B425" t="inlineStr">
        <is>
          <t>Onsite</t>
        </is>
      </c>
      <c r="R425" t="inlineStr">
        <is>
          <t>GST 10%</t>
        </is>
      </c>
      <c r="AB425" t="n">
        <v>142</v>
      </c>
      <c r="AD425" s="52">
        <f>IFERROR(N(IFERROR(INDEX($A425:$AB425,MATCH("Xero Invoiced Ex GST",$A$1:$AB$1,0)),"")),0)</f>
        <v/>
      </c>
      <c r="AE425" s="53">
        <f>IFERROR(INDEX($A425:$AB425,MATCH("Xero Invoice Date",$A$1:$AB$1,0)),"")</f>
        <v/>
      </c>
      <c r="AF425" s="54">
        <f>IF(AND(IFERROR(INDEX($A425:$AB425,MATCH("Xero Invoice No",$A$1:$AB$1,0)),"")&amp;""&lt;&gt;"",ISNUMBER(AE425),AD425&lt;&gt;0),1,0)</f>
        <v/>
      </c>
      <c r="AG425" s="55">
        <f>IF(AF425=1,EOMONTH(AE425,0),"")</f>
        <v/>
      </c>
      <c r="AH425" s="9">
        <f>IF(AF425=1,UPPER(TRIM(IFERROR(INDEX($A425:$AB425,MATCH("Client",$A$1:$AB$1,0)),"")&amp;"")),"")</f>
        <v/>
      </c>
      <c r="AI425" s="9">
        <f>IF(AF425=1,IFERROR(INDEX($A425:$AB425,MATCH("Cost Centre",$A$1:$AB$1,0)),"")&amp;"","")</f>
        <v/>
      </c>
      <c r="AJ425" s="54">
        <f>IF(AND(AF425=1,AE425&gt;=set_FYStart,AE425&lt;=set_AsAt),1,0)</f>
        <v/>
      </c>
      <c r="AK425" s="54">
        <f>IF(AND(AJ425=1,AH425&lt;&gt;"",COUNTIFS($AH$2:AH425,AH425,$AJ$2:AJ425,1)=1),N(AL424)+1,"")</f>
        <v/>
      </c>
      <c r="AL425" s="54">
        <f>IF(AK425&lt;&gt;"",AK425,N(AL424))</f>
        <v/>
      </c>
    </row>
    <row r="426">
      <c r="A426" t="inlineStr">
        <is>
          <t>PRD-0142</t>
        </is>
      </c>
      <c r="B426" t="inlineStr">
        <is>
          <t>Production</t>
        </is>
      </c>
      <c r="AB426" t="n">
        <v>142</v>
      </c>
      <c r="AD426" s="52">
        <f>IFERROR(N(IFERROR(INDEX($A426:$AB426,MATCH("Xero Invoiced Ex GST",$A$1:$AB$1,0)),"")),0)</f>
        <v/>
      </c>
      <c r="AE426" s="53">
        <f>IFERROR(INDEX($A426:$AB426,MATCH("Xero Invoice Date",$A$1:$AB$1,0)),"")</f>
        <v/>
      </c>
      <c r="AF426" s="54">
        <f>IF(AND(IFERROR(INDEX($A426:$AB426,MATCH("Xero Invoice No",$A$1:$AB$1,0)),"")&amp;""&lt;&gt;"",ISNUMBER(AE426),AD426&lt;&gt;0),1,0)</f>
        <v/>
      </c>
      <c r="AG426" s="55">
        <f>IF(AF426=1,EOMONTH(AE426,0),"")</f>
        <v/>
      </c>
      <c r="AH426" s="9">
        <f>IF(AF426=1,UPPER(TRIM(IFERROR(INDEX($A426:$AB426,MATCH("Client",$A$1:$AB$1,0)),"")&amp;"")),"")</f>
        <v/>
      </c>
      <c r="AI426" s="9">
        <f>IF(AF426=1,IFERROR(INDEX($A426:$AB426,MATCH("Cost Centre",$A$1:$AB$1,0)),"")&amp;"","")</f>
        <v/>
      </c>
      <c r="AJ426" s="54">
        <f>IF(AND(AF426=1,AE426&gt;=set_FYStart,AE426&lt;=set_AsAt),1,0)</f>
        <v/>
      </c>
      <c r="AK426" s="54">
        <f>IF(AND(AJ426=1,AH426&lt;&gt;"",COUNTIFS($AH$2:AH426,AH426,$AJ$2:AJ426,1)=1),N(AL425)+1,"")</f>
        <v/>
      </c>
      <c r="AL426" s="54">
        <f>IF(AK426&lt;&gt;"",AK426,N(AL425))</f>
        <v/>
      </c>
    </row>
    <row r="427">
      <c r="A427" t="inlineStr">
        <is>
          <t>CON-0142</t>
        </is>
      </c>
      <c r="B427" t="inlineStr">
        <is>
          <t>Consulting</t>
        </is>
      </c>
      <c r="AB427" t="n">
        <v>142</v>
      </c>
      <c r="AD427" s="52">
        <f>IFERROR(N(IFERROR(INDEX($A427:$AB427,MATCH("Xero Invoiced Ex GST",$A$1:$AB$1,0)),"")),0)</f>
        <v/>
      </c>
      <c r="AE427" s="53">
        <f>IFERROR(INDEX($A427:$AB427,MATCH("Xero Invoice Date",$A$1:$AB$1,0)),"")</f>
        <v/>
      </c>
      <c r="AF427" s="54">
        <f>IF(AND(IFERROR(INDEX($A427:$AB427,MATCH("Xero Invoice No",$A$1:$AB$1,0)),"")&amp;""&lt;&gt;"",ISNUMBER(AE427),AD427&lt;&gt;0),1,0)</f>
        <v/>
      </c>
      <c r="AG427" s="55">
        <f>IF(AF427=1,EOMONTH(AE427,0),"")</f>
        <v/>
      </c>
      <c r="AH427" s="9">
        <f>IF(AF427=1,UPPER(TRIM(IFERROR(INDEX($A427:$AB427,MATCH("Client",$A$1:$AB$1,0)),"")&amp;"")),"")</f>
        <v/>
      </c>
      <c r="AI427" s="9">
        <f>IF(AF427=1,IFERROR(INDEX($A427:$AB427,MATCH("Cost Centre",$A$1:$AB$1,0)),"")&amp;"","")</f>
        <v/>
      </c>
      <c r="AJ427" s="54">
        <f>IF(AND(AF427=1,AE427&gt;=set_FYStart,AE427&lt;=set_AsAt),1,0)</f>
        <v/>
      </c>
      <c r="AK427" s="54">
        <f>IF(AND(AJ427=1,AH427&lt;&gt;"",COUNTIFS($AH$2:AH427,AH427,$AJ$2:AJ427,1)=1),N(AL426)+1,"")</f>
        <v/>
      </c>
      <c r="AL427" s="54">
        <f>IF(AK427&lt;&gt;"",AK427,N(AL426))</f>
        <v/>
      </c>
    </row>
    <row r="428">
      <c r="A428" t="inlineStr">
        <is>
          <t>ONS-0143</t>
        </is>
      </c>
      <c r="B428" t="inlineStr">
        <is>
          <t>Onsite</t>
        </is>
      </c>
      <c r="R428" t="inlineStr">
        <is>
          <t>GST 10%</t>
        </is>
      </c>
      <c r="AB428" t="n">
        <v>143</v>
      </c>
      <c r="AD428" s="52">
        <f>IFERROR(N(IFERROR(INDEX($A428:$AB428,MATCH("Xero Invoiced Ex GST",$A$1:$AB$1,0)),"")),0)</f>
        <v/>
      </c>
      <c r="AE428" s="53">
        <f>IFERROR(INDEX($A428:$AB428,MATCH("Xero Invoice Date",$A$1:$AB$1,0)),"")</f>
        <v/>
      </c>
      <c r="AF428" s="54">
        <f>IF(AND(IFERROR(INDEX($A428:$AB428,MATCH("Xero Invoice No",$A$1:$AB$1,0)),"")&amp;""&lt;&gt;"",ISNUMBER(AE428),AD428&lt;&gt;0),1,0)</f>
        <v/>
      </c>
      <c r="AG428" s="55">
        <f>IF(AF428=1,EOMONTH(AE428,0),"")</f>
        <v/>
      </c>
      <c r="AH428" s="9">
        <f>IF(AF428=1,UPPER(TRIM(IFERROR(INDEX($A428:$AB428,MATCH("Client",$A$1:$AB$1,0)),"")&amp;"")),"")</f>
        <v/>
      </c>
      <c r="AI428" s="9">
        <f>IF(AF428=1,IFERROR(INDEX($A428:$AB428,MATCH("Cost Centre",$A$1:$AB$1,0)),"")&amp;"","")</f>
        <v/>
      </c>
      <c r="AJ428" s="54">
        <f>IF(AND(AF428=1,AE428&gt;=set_FYStart,AE428&lt;=set_AsAt),1,0)</f>
        <v/>
      </c>
      <c r="AK428" s="54">
        <f>IF(AND(AJ428=1,AH428&lt;&gt;"",COUNTIFS($AH$2:AH428,AH428,$AJ$2:AJ428,1)=1),N(AL427)+1,"")</f>
        <v/>
      </c>
      <c r="AL428" s="54">
        <f>IF(AK428&lt;&gt;"",AK428,N(AL427))</f>
        <v/>
      </c>
    </row>
    <row r="429">
      <c r="A429" t="inlineStr">
        <is>
          <t>PRD-0143</t>
        </is>
      </c>
      <c r="B429" t="inlineStr">
        <is>
          <t>Production</t>
        </is>
      </c>
      <c r="AB429" t="n">
        <v>143</v>
      </c>
      <c r="AD429" s="52">
        <f>IFERROR(N(IFERROR(INDEX($A429:$AB429,MATCH("Xero Invoiced Ex GST",$A$1:$AB$1,0)),"")),0)</f>
        <v/>
      </c>
      <c r="AE429" s="53">
        <f>IFERROR(INDEX($A429:$AB429,MATCH("Xero Invoice Date",$A$1:$AB$1,0)),"")</f>
        <v/>
      </c>
      <c r="AF429" s="54">
        <f>IF(AND(IFERROR(INDEX($A429:$AB429,MATCH("Xero Invoice No",$A$1:$AB$1,0)),"")&amp;""&lt;&gt;"",ISNUMBER(AE429),AD429&lt;&gt;0),1,0)</f>
        <v/>
      </c>
      <c r="AG429" s="55">
        <f>IF(AF429=1,EOMONTH(AE429,0),"")</f>
        <v/>
      </c>
      <c r="AH429" s="9">
        <f>IF(AF429=1,UPPER(TRIM(IFERROR(INDEX($A429:$AB429,MATCH("Client",$A$1:$AB$1,0)),"")&amp;"")),"")</f>
        <v/>
      </c>
      <c r="AI429" s="9">
        <f>IF(AF429=1,IFERROR(INDEX($A429:$AB429,MATCH("Cost Centre",$A$1:$AB$1,0)),"")&amp;"","")</f>
        <v/>
      </c>
      <c r="AJ429" s="54">
        <f>IF(AND(AF429=1,AE429&gt;=set_FYStart,AE429&lt;=set_AsAt),1,0)</f>
        <v/>
      </c>
      <c r="AK429" s="54">
        <f>IF(AND(AJ429=1,AH429&lt;&gt;"",COUNTIFS($AH$2:AH429,AH429,$AJ$2:AJ429,1)=1),N(AL428)+1,"")</f>
        <v/>
      </c>
      <c r="AL429" s="54">
        <f>IF(AK429&lt;&gt;"",AK429,N(AL428))</f>
        <v/>
      </c>
    </row>
    <row r="430">
      <c r="A430" t="inlineStr">
        <is>
          <t>CON-0143</t>
        </is>
      </c>
      <c r="B430" t="inlineStr">
        <is>
          <t>Consulting</t>
        </is>
      </c>
      <c r="AB430" t="n">
        <v>143</v>
      </c>
      <c r="AD430" s="52">
        <f>IFERROR(N(IFERROR(INDEX($A430:$AB430,MATCH("Xero Invoiced Ex GST",$A$1:$AB$1,0)),"")),0)</f>
        <v/>
      </c>
      <c r="AE430" s="53">
        <f>IFERROR(INDEX($A430:$AB430,MATCH("Xero Invoice Date",$A$1:$AB$1,0)),"")</f>
        <v/>
      </c>
      <c r="AF430" s="54">
        <f>IF(AND(IFERROR(INDEX($A430:$AB430,MATCH("Xero Invoice No",$A$1:$AB$1,0)),"")&amp;""&lt;&gt;"",ISNUMBER(AE430),AD430&lt;&gt;0),1,0)</f>
        <v/>
      </c>
      <c r="AG430" s="55">
        <f>IF(AF430=1,EOMONTH(AE430,0),"")</f>
        <v/>
      </c>
      <c r="AH430" s="9">
        <f>IF(AF430=1,UPPER(TRIM(IFERROR(INDEX($A430:$AB430,MATCH("Client",$A$1:$AB$1,0)),"")&amp;"")),"")</f>
        <v/>
      </c>
      <c r="AI430" s="9">
        <f>IF(AF430=1,IFERROR(INDEX($A430:$AB430,MATCH("Cost Centre",$A$1:$AB$1,0)),"")&amp;"","")</f>
        <v/>
      </c>
      <c r="AJ430" s="54">
        <f>IF(AND(AF430=1,AE430&gt;=set_FYStart,AE430&lt;=set_AsAt),1,0)</f>
        <v/>
      </c>
      <c r="AK430" s="54">
        <f>IF(AND(AJ430=1,AH430&lt;&gt;"",COUNTIFS($AH$2:AH430,AH430,$AJ$2:AJ430,1)=1),N(AL429)+1,"")</f>
        <v/>
      </c>
      <c r="AL430" s="54">
        <f>IF(AK430&lt;&gt;"",AK430,N(AL429))</f>
        <v/>
      </c>
    </row>
    <row r="431">
      <c r="A431" t="inlineStr">
        <is>
          <t>ONS-0144</t>
        </is>
      </c>
      <c r="B431" t="inlineStr">
        <is>
          <t>Onsite</t>
        </is>
      </c>
      <c r="R431" t="inlineStr">
        <is>
          <t>GST 10%</t>
        </is>
      </c>
      <c r="AB431" t="n">
        <v>144</v>
      </c>
      <c r="AD431" s="52">
        <f>IFERROR(N(IFERROR(INDEX($A431:$AB431,MATCH("Xero Invoiced Ex GST",$A$1:$AB$1,0)),"")),0)</f>
        <v/>
      </c>
      <c r="AE431" s="53">
        <f>IFERROR(INDEX($A431:$AB431,MATCH("Xero Invoice Date",$A$1:$AB$1,0)),"")</f>
        <v/>
      </c>
      <c r="AF431" s="54">
        <f>IF(AND(IFERROR(INDEX($A431:$AB431,MATCH("Xero Invoice No",$A$1:$AB$1,0)),"")&amp;""&lt;&gt;"",ISNUMBER(AE431),AD431&lt;&gt;0),1,0)</f>
        <v/>
      </c>
      <c r="AG431" s="55">
        <f>IF(AF431=1,EOMONTH(AE431,0),"")</f>
        <v/>
      </c>
      <c r="AH431" s="9">
        <f>IF(AF431=1,UPPER(TRIM(IFERROR(INDEX($A431:$AB431,MATCH("Client",$A$1:$AB$1,0)),"")&amp;"")),"")</f>
        <v/>
      </c>
      <c r="AI431" s="9">
        <f>IF(AF431=1,IFERROR(INDEX($A431:$AB431,MATCH("Cost Centre",$A$1:$AB$1,0)),"")&amp;"","")</f>
        <v/>
      </c>
      <c r="AJ431" s="54">
        <f>IF(AND(AF431=1,AE431&gt;=set_FYStart,AE431&lt;=set_AsAt),1,0)</f>
        <v/>
      </c>
      <c r="AK431" s="54">
        <f>IF(AND(AJ431=1,AH431&lt;&gt;"",COUNTIFS($AH$2:AH431,AH431,$AJ$2:AJ431,1)=1),N(AL430)+1,"")</f>
        <v/>
      </c>
      <c r="AL431" s="54">
        <f>IF(AK431&lt;&gt;"",AK431,N(AL430))</f>
        <v/>
      </c>
    </row>
    <row r="432">
      <c r="A432" t="inlineStr">
        <is>
          <t>PRD-0144</t>
        </is>
      </c>
      <c r="B432" t="inlineStr">
        <is>
          <t>Production</t>
        </is>
      </c>
      <c r="AB432" t="n">
        <v>144</v>
      </c>
      <c r="AD432" s="52">
        <f>IFERROR(N(IFERROR(INDEX($A432:$AB432,MATCH("Xero Invoiced Ex GST",$A$1:$AB$1,0)),"")),0)</f>
        <v/>
      </c>
      <c r="AE432" s="53">
        <f>IFERROR(INDEX($A432:$AB432,MATCH("Xero Invoice Date",$A$1:$AB$1,0)),"")</f>
        <v/>
      </c>
      <c r="AF432" s="54">
        <f>IF(AND(IFERROR(INDEX($A432:$AB432,MATCH("Xero Invoice No",$A$1:$AB$1,0)),"")&amp;""&lt;&gt;"",ISNUMBER(AE432),AD432&lt;&gt;0),1,0)</f>
        <v/>
      </c>
      <c r="AG432" s="55">
        <f>IF(AF432=1,EOMONTH(AE432,0),"")</f>
        <v/>
      </c>
      <c r="AH432" s="9">
        <f>IF(AF432=1,UPPER(TRIM(IFERROR(INDEX($A432:$AB432,MATCH("Client",$A$1:$AB$1,0)),"")&amp;"")),"")</f>
        <v/>
      </c>
      <c r="AI432" s="9">
        <f>IF(AF432=1,IFERROR(INDEX($A432:$AB432,MATCH("Cost Centre",$A$1:$AB$1,0)),"")&amp;"","")</f>
        <v/>
      </c>
      <c r="AJ432" s="54">
        <f>IF(AND(AF432=1,AE432&gt;=set_FYStart,AE432&lt;=set_AsAt),1,0)</f>
        <v/>
      </c>
      <c r="AK432" s="54">
        <f>IF(AND(AJ432=1,AH432&lt;&gt;"",COUNTIFS($AH$2:AH432,AH432,$AJ$2:AJ432,1)=1),N(AL431)+1,"")</f>
        <v/>
      </c>
      <c r="AL432" s="54">
        <f>IF(AK432&lt;&gt;"",AK432,N(AL431))</f>
        <v/>
      </c>
    </row>
    <row r="433">
      <c r="A433" t="inlineStr">
        <is>
          <t>CON-0144</t>
        </is>
      </c>
      <c r="B433" t="inlineStr">
        <is>
          <t>Consulting</t>
        </is>
      </c>
      <c r="AB433" t="n">
        <v>144</v>
      </c>
      <c r="AD433" s="52">
        <f>IFERROR(N(IFERROR(INDEX($A433:$AB433,MATCH("Xero Invoiced Ex GST",$A$1:$AB$1,0)),"")),0)</f>
        <v/>
      </c>
      <c r="AE433" s="53">
        <f>IFERROR(INDEX($A433:$AB433,MATCH("Xero Invoice Date",$A$1:$AB$1,0)),"")</f>
        <v/>
      </c>
      <c r="AF433" s="54">
        <f>IF(AND(IFERROR(INDEX($A433:$AB433,MATCH("Xero Invoice No",$A$1:$AB$1,0)),"")&amp;""&lt;&gt;"",ISNUMBER(AE433),AD433&lt;&gt;0),1,0)</f>
        <v/>
      </c>
      <c r="AG433" s="55">
        <f>IF(AF433=1,EOMONTH(AE433,0),"")</f>
        <v/>
      </c>
      <c r="AH433" s="9">
        <f>IF(AF433=1,UPPER(TRIM(IFERROR(INDEX($A433:$AB433,MATCH("Client",$A$1:$AB$1,0)),"")&amp;"")),"")</f>
        <v/>
      </c>
      <c r="AI433" s="9">
        <f>IF(AF433=1,IFERROR(INDEX($A433:$AB433,MATCH("Cost Centre",$A$1:$AB$1,0)),"")&amp;"","")</f>
        <v/>
      </c>
      <c r="AJ433" s="54">
        <f>IF(AND(AF433=1,AE433&gt;=set_FYStart,AE433&lt;=set_AsAt),1,0)</f>
        <v/>
      </c>
      <c r="AK433" s="54">
        <f>IF(AND(AJ433=1,AH433&lt;&gt;"",COUNTIFS($AH$2:AH433,AH433,$AJ$2:AJ433,1)=1),N(AL432)+1,"")</f>
        <v/>
      </c>
      <c r="AL433" s="54">
        <f>IF(AK433&lt;&gt;"",AK433,N(AL432))</f>
        <v/>
      </c>
    </row>
    <row r="434">
      <c r="A434" t="inlineStr">
        <is>
          <t>ONS-0145</t>
        </is>
      </c>
      <c r="B434" t="inlineStr">
        <is>
          <t>Onsite</t>
        </is>
      </c>
      <c r="R434" t="inlineStr">
        <is>
          <t>GST 10%</t>
        </is>
      </c>
      <c r="AB434" t="n">
        <v>145</v>
      </c>
      <c r="AD434" s="52">
        <f>IFERROR(N(IFERROR(INDEX($A434:$AB434,MATCH("Xero Invoiced Ex GST",$A$1:$AB$1,0)),"")),0)</f>
        <v/>
      </c>
      <c r="AE434" s="53">
        <f>IFERROR(INDEX($A434:$AB434,MATCH("Xero Invoice Date",$A$1:$AB$1,0)),"")</f>
        <v/>
      </c>
      <c r="AF434" s="54">
        <f>IF(AND(IFERROR(INDEX($A434:$AB434,MATCH("Xero Invoice No",$A$1:$AB$1,0)),"")&amp;""&lt;&gt;"",ISNUMBER(AE434),AD434&lt;&gt;0),1,0)</f>
        <v/>
      </c>
      <c r="AG434" s="55">
        <f>IF(AF434=1,EOMONTH(AE434,0),"")</f>
        <v/>
      </c>
      <c r="AH434" s="9">
        <f>IF(AF434=1,UPPER(TRIM(IFERROR(INDEX($A434:$AB434,MATCH("Client",$A$1:$AB$1,0)),"")&amp;"")),"")</f>
        <v/>
      </c>
      <c r="AI434" s="9">
        <f>IF(AF434=1,IFERROR(INDEX($A434:$AB434,MATCH("Cost Centre",$A$1:$AB$1,0)),"")&amp;"","")</f>
        <v/>
      </c>
      <c r="AJ434" s="54">
        <f>IF(AND(AF434=1,AE434&gt;=set_FYStart,AE434&lt;=set_AsAt),1,0)</f>
        <v/>
      </c>
      <c r="AK434" s="54">
        <f>IF(AND(AJ434=1,AH434&lt;&gt;"",COUNTIFS($AH$2:AH434,AH434,$AJ$2:AJ434,1)=1),N(AL433)+1,"")</f>
        <v/>
      </c>
      <c r="AL434" s="54">
        <f>IF(AK434&lt;&gt;"",AK434,N(AL433))</f>
        <v/>
      </c>
    </row>
    <row r="435">
      <c r="A435" t="inlineStr">
        <is>
          <t>PRD-0145</t>
        </is>
      </c>
      <c r="B435" t="inlineStr">
        <is>
          <t>Production</t>
        </is>
      </c>
      <c r="AB435" t="n">
        <v>145</v>
      </c>
      <c r="AD435" s="52">
        <f>IFERROR(N(IFERROR(INDEX($A435:$AB435,MATCH("Xero Invoiced Ex GST",$A$1:$AB$1,0)),"")),0)</f>
        <v/>
      </c>
      <c r="AE435" s="53">
        <f>IFERROR(INDEX($A435:$AB435,MATCH("Xero Invoice Date",$A$1:$AB$1,0)),"")</f>
        <v/>
      </c>
      <c r="AF435" s="54">
        <f>IF(AND(IFERROR(INDEX($A435:$AB435,MATCH("Xero Invoice No",$A$1:$AB$1,0)),"")&amp;""&lt;&gt;"",ISNUMBER(AE435),AD435&lt;&gt;0),1,0)</f>
        <v/>
      </c>
      <c r="AG435" s="55">
        <f>IF(AF435=1,EOMONTH(AE435,0),"")</f>
        <v/>
      </c>
      <c r="AH435" s="9">
        <f>IF(AF435=1,UPPER(TRIM(IFERROR(INDEX($A435:$AB435,MATCH("Client",$A$1:$AB$1,0)),"")&amp;"")),"")</f>
        <v/>
      </c>
      <c r="AI435" s="9">
        <f>IF(AF435=1,IFERROR(INDEX($A435:$AB435,MATCH("Cost Centre",$A$1:$AB$1,0)),"")&amp;"","")</f>
        <v/>
      </c>
      <c r="AJ435" s="54">
        <f>IF(AND(AF435=1,AE435&gt;=set_FYStart,AE435&lt;=set_AsAt),1,0)</f>
        <v/>
      </c>
      <c r="AK435" s="54">
        <f>IF(AND(AJ435=1,AH435&lt;&gt;"",COUNTIFS($AH$2:AH435,AH435,$AJ$2:AJ435,1)=1),N(AL434)+1,"")</f>
        <v/>
      </c>
      <c r="AL435" s="54">
        <f>IF(AK435&lt;&gt;"",AK435,N(AL434))</f>
        <v/>
      </c>
    </row>
    <row r="436">
      <c r="A436" t="inlineStr">
        <is>
          <t>CON-0145</t>
        </is>
      </c>
      <c r="B436" t="inlineStr">
        <is>
          <t>Consulting</t>
        </is>
      </c>
      <c r="AB436" t="n">
        <v>145</v>
      </c>
      <c r="AD436" s="52">
        <f>IFERROR(N(IFERROR(INDEX($A436:$AB436,MATCH("Xero Invoiced Ex GST",$A$1:$AB$1,0)),"")),0)</f>
        <v/>
      </c>
      <c r="AE436" s="53">
        <f>IFERROR(INDEX($A436:$AB436,MATCH("Xero Invoice Date",$A$1:$AB$1,0)),"")</f>
        <v/>
      </c>
      <c r="AF436" s="54">
        <f>IF(AND(IFERROR(INDEX($A436:$AB436,MATCH("Xero Invoice No",$A$1:$AB$1,0)),"")&amp;""&lt;&gt;"",ISNUMBER(AE436),AD436&lt;&gt;0),1,0)</f>
        <v/>
      </c>
      <c r="AG436" s="55">
        <f>IF(AF436=1,EOMONTH(AE436,0),"")</f>
        <v/>
      </c>
      <c r="AH436" s="9">
        <f>IF(AF436=1,UPPER(TRIM(IFERROR(INDEX($A436:$AB436,MATCH("Client",$A$1:$AB$1,0)),"")&amp;"")),"")</f>
        <v/>
      </c>
      <c r="AI436" s="9">
        <f>IF(AF436=1,IFERROR(INDEX($A436:$AB436,MATCH("Cost Centre",$A$1:$AB$1,0)),"")&amp;"","")</f>
        <v/>
      </c>
      <c r="AJ436" s="54">
        <f>IF(AND(AF436=1,AE436&gt;=set_FYStart,AE436&lt;=set_AsAt),1,0)</f>
        <v/>
      </c>
      <c r="AK436" s="54">
        <f>IF(AND(AJ436=1,AH436&lt;&gt;"",COUNTIFS($AH$2:AH436,AH436,$AJ$2:AJ436,1)=1),N(AL435)+1,"")</f>
        <v/>
      </c>
      <c r="AL436" s="54">
        <f>IF(AK436&lt;&gt;"",AK436,N(AL435))</f>
        <v/>
      </c>
    </row>
    <row r="437">
      <c r="A437" t="inlineStr">
        <is>
          <t>ONS-0146</t>
        </is>
      </c>
      <c r="B437" t="inlineStr">
        <is>
          <t>Onsite</t>
        </is>
      </c>
      <c r="R437" t="inlineStr">
        <is>
          <t>GST 10%</t>
        </is>
      </c>
      <c r="AB437" t="n">
        <v>146</v>
      </c>
      <c r="AD437" s="52">
        <f>IFERROR(N(IFERROR(INDEX($A437:$AB437,MATCH("Xero Invoiced Ex GST",$A$1:$AB$1,0)),"")),0)</f>
        <v/>
      </c>
      <c r="AE437" s="53">
        <f>IFERROR(INDEX($A437:$AB437,MATCH("Xero Invoice Date",$A$1:$AB$1,0)),"")</f>
        <v/>
      </c>
      <c r="AF437" s="54">
        <f>IF(AND(IFERROR(INDEX($A437:$AB437,MATCH("Xero Invoice No",$A$1:$AB$1,0)),"")&amp;""&lt;&gt;"",ISNUMBER(AE437),AD437&lt;&gt;0),1,0)</f>
        <v/>
      </c>
      <c r="AG437" s="55">
        <f>IF(AF437=1,EOMONTH(AE437,0),"")</f>
        <v/>
      </c>
      <c r="AH437" s="9">
        <f>IF(AF437=1,UPPER(TRIM(IFERROR(INDEX($A437:$AB437,MATCH("Client",$A$1:$AB$1,0)),"")&amp;"")),"")</f>
        <v/>
      </c>
      <c r="AI437" s="9">
        <f>IF(AF437=1,IFERROR(INDEX($A437:$AB437,MATCH("Cost Centre",$A$1:$AB$1,0)),"")&amp;"","")</f>
        <v/>
      </c>
      <c r="AJ437" s="54">
        <f>IF(AND(AF437=1,AE437&gt;=set_FYStart,AE437&lt;=set_AsAt),1,0)</f>
        <v/>
      </c>
      <c r="AK437" s="54">
        <f>IF(AND(AJ437=1,AH437&lt;&gt;"",COUNTIFS($AH$2:AH437,AH437,$AJ$2:AJ437,1)=1),N(AL436)+1,"")</f>
        <v/>
      </c>
      <c r="AL437" s="54">
        <f>IF(AK437&lt;&gt;"",AK437,N(AL436))</f>
        <v/>
      </c>
    </row>
    <row r="438">
      <c r="A438" t="inlineStr">
        <is>
          <t>PRD-0146</t>
        </is>
      </c>
      <c r="B438" t="inlineStr">
        <is>
          <t>Production</t>
        </is>
      </c>
      <c r="AB438" t="n">
        <v>146</v>
      </c>
      <c r="AD438" s="52">
        <f>IFERROR(N(IFERROR(INDEX($A438:$AB438,MATCH("Xero Invoiced Ex GST",$A$1:$AB$1,0)),"")),0)</f>
        <v/>
      </c>
      <c r="AE438" s="53">
        <f>IFERROR(INDEX($A438:$AB438,MATCH("Xero Invoice Date",$A$1:$AB$1,0)),"")</f>
        <v/>
      </c>
      <c r="AF438" s="54">
        <f>IF(AND(IFERROR(INDEX($A438:$AB438,MATCH("Xero Invoice No",$A$1:$AB$1,0)),"")&amp;""&lt;&gt;"",ISNUMBER(AE438),AD438&lt;&gt;0),1,0)</f>
        <v/>
      </c>
      <c r="AG438" s="55">
        <f>IF(AF438=1,EOMONTH(AE438,0),"")</f>
        <v/>
      </c>
      <c r="AH438" s="9">
        <f>IF(AF438=1,UPPER(TRIM(IFERROR(INDEX($A438:$AB438,MATCH("Client",$A$1:$AB$1,0)),"")&amp;"")),"")</f>
        <v/>
      </c>
      <c r="AI438" s="9">
        <f>IF(AF438=1,IFERROR(INDEX($A438:$AB438,MATCH("Cost Centre",$A$1:$AB$1,0)),"")&amp;"","")</f>
        <v/>
      </c>
      <c r="AJ438" s="54">
        <f>IF(AND(AF438=1,AE438&gt;=set_FYStart,AE438&lt;=set_AsAt),1,0)</f>
        <v/>
      </c>
      <c r="AK438" s="54">
        <f>IF(AND(AJ438=1,AH438&lt;&gt;"",COUNTIFS($AH$2:AH438,AH438,$AJ$2:AJ438,1)=1),N(AL437)+1,"")</f>
        <v/>
      </c>
      <c r="AL438" s="54">
        <f>IF(AK438&lt;&gt;"",AK438,N(AL437))</f>
        <v/>
      </c>
    </row>
    <row r="439">
      <c r="A439" t="inlineStr">
        <is>
          <t>CON-0146</t>
        </is>
      </c>
      <c r="B439" t="inlineStr">
        <is>
          <t>Consulting</t>
        </is>
      </c>
      <c r="AB439" t="n">
        <v>146</v>
      </c>
      <c r="AD439" s="52">
        <f>IFERROR(N(IFERROR(INDEX($A439:$AB439,MATCH("Xero Invoiced Ex GST",$A$1:$AB$1,0)),"")),0)</f>
        <v/>
      </c>
      <c r="AE439" s="53">
        <f>IFERROR(INDEX($A439:$AB439,MATCH("Xero Invoice Date",$A$1:$AB$1,0)),"")</f>
        <v/>
      </c>
      <c r="AF439" s="54">
        <f>IF(AND(IFERROR(INDEX($A439:$AB439,MATCH("Xero Invoice No",$A$1:$AB$1,0)),"")&amp;""&lt;&gt;"",ISNUMBER(AE439),AD439&lt;&gt;0),1,0)</f>
        <v/>
      </c>
      <c r="AG439" s="55">
        <f>IF(AF439=1,EOMONTH(AE439,0),"")</f>
        <v/>
      </c>
      <c r="AH439" s="9">
        <f>IF(AF439=1,UPPER(TRIM(IFERROR(INDEX($A439:$AB439,MATCH("Client",$A$1:$AB$1,0)),"")&amp;"")),"")</f>
        <v/>
      </c>
      <c r="AI439" s="9">
        <f>IF(AF439=1,IFERROR(INDEX($A439:$AB439,MATCH("Cost Centre",$A$1:$AB$1,0)),"")&amp;"","")</f>
        <v/>
      </c>
      <c r="AJ439" s="54">
        <f>IF(AND(AF439=1,AE439&gt;=set_FYStart,AE439&lt;=set_AsAt),1,0)</f>
        <v/>
      </c>
      <c r="AK439" s="54">
        <f>IF(AND(AJ439=1,AH439&lt;&gt;"",COUNTIFS($AH$2:AH439,AH439,$AJ$2:AJ439,1)=1),N(AL438)+1,"")</f>
        <v/>
      </c>
      <c r="AL439" s="54">
        <f>IF(AK439&lt;&gt;"",AK439,N(AL438))</f>
        <v/>
      </c>
    </row>
    <row r="440">
      <c r="A440" t="inlineStr">
        <is>
          <t>ONS-0147</t>
        </is>
      </c>
      <c r="B440" t="inlineStr">
        <is>
          <t>Onsite</t>
        </is>
      </c>
      <c r="R440" t="inlineStr">
        <is>
          <t>GST 10%</t>
        </is>
      </c>
      <c r="AB440" t="n">
        <v>147</v>
      </c>
      <c r="AD440" s="52">
        <f>IFERROR(N(IFERROR(INDEX($A440:$AB440,MATCH("Xero Invoiced Ex GST",$A$1:$AB$1,0)),"")),0)</f>
        <v/>
      </c>
      <c r="AE440" s="53">
        <f>IFERROR(INDEX($A440:$AB440,MATCH("Xero Invoice Date",$A$1:$AB$1,0)),"")</f>
        <v/>
      </c>
      <c r="AF440" s="54">
        <f>IF(AND(IFERROR(INDEX($A440:$AB440,MATCH("Xero Invoice No",$A$1:$AB$1,0)),"")&amp;""&lt;&gt;"",ISNUMBER(AE440),AD440&lt;&gt;0),1,0)</f>
        <v/>
      </c>
      <c r="AG440" s="55">
        <f>IF(AF440=1,EOMONTH(AE440,0),"")</f>
        <v/>
      </c>
      <c r="AH440" s="9">
        <f>IF(AF440=1,UPPER(TRIM(IFERROR(INDEX($A440:$AB440,MATCH("Client",$A$1:$AB$1,0)),"")&amp;"")),"")</f>
        <v/>
      </c>
      <c r="AI440" s="9">
        <f>IF(AF440=1,IFERROR(INDEX($A440:$AB440,MATCH("Cost Centre",$A$1:$AB$1,0)),"")&amp;"","")</f>
        <v/>
      </c>
      <c r="AJ440" s="54">
        <f>IF(AND(AF440=1,AE440&gt;=set_FYStart,AE440&lt;=set_AsAt),1,0)</f>
        <v/>
      </c>
      <c r="AK440" s="54">
        <f>IF(AND(AJ440=1,AH440&lt;&gt;"",COUNTIFS($AH$2:AH440,AH440,$AJ$2:AJ440,1)=1),N(AL439)+1,"")</f>
        <v/>
      </c>
      <c r="AL440" s="54">
        <f>IF(AK440&lt;&gt;"",AK440,N(AL439))</f>
        <v/>
      </c>
    </row>
    <row r="441">
      <c r="A441" t="inlineStr">
        <is>
          <t>PRD-0147</t>
        </is>
      </c>
      <c r="B441" t="inlineStr">
        <is>
          <t>Production</t>
        </is>
      </c>
      <c r="AB441" t="n">
        <v>147</v>
      </c>
      <c r="AD441" s="52">
        <f>IFERROR(N(IFERROR(INDEX($A441:$AB441,MATCH("Xero Invoiced Ex GST",$A$1:$AB$1,0)),"")),0)</f>
        <v/>
      </c>
      <c r="AE441" s="53">
        <f>IFERROR(INDEX($A441:$AB441,MATCH("Xero Invoice Date",$A$1:$AB$1,0)),"")</f>
        <v/>
      </c>
      <c r="AF441" s="54">
        <f>IF(AND(IFERROR(INDEX($A441:$AB441,MATCH("Xero Invoice No",$A$1:$AB$1,0)),"")&amp;""&lt;&gt;"",ISNUMBER(AE441),AD441&lt;&gt;0),1,0)</f>
        <v/>
      </c>
      <c r="AG441" s="55">
        <f>IF(AF441=1,EOMONTH(AE441,0),"")</f>
        <v/>
      </c>
      <c r="AH441" s="9">
        <f>IF(AF441=1,UPPER(TRIM(IFERROR(INDEX($A441:$AB441,MATCH("Client",$A$1:$AB$1,0)),"")&amp;"")),"")</f>
        <v/>
      </c>
      <c r="AI441" s="9">
        <f>IF(AF441=1,IFERROR(INDEX($A441:$AB441,MATCH("Cost Centre",$A$1:$AB$1,0)),"")&amp;"","")</f>
        <v/>
      </c>
      <c r="AJ441" s="54">
        <f>IF(AND(AF441=1,AE441&gt;=set_FYStart,AE441&lt;=set_AsAt),1,0)</f>
        <v/>
      </c>
      <c r="AK441" s="54">
        <f>IF(AND(AJ441=1,AH441&lt;&gt;"",COUNTIFS($AH$2:AH441,AH441,$AJ$2:AJ441,1)=1),N(AL440)+1,"")</f>
        <v/>
      </c>
      <c r="AL441" s="54">
        <f>IF(AK441&lt;&gt;"",AK441,N(AL440))</f>
        <v/>
      </c>
    </row>
    <row r="442">
      <c r="A442" t="inlineStr">
        <is>
          <t>CON-0147</t>
        </is>
      </c>
      <c r="B442" t="inlineStr">
        <is>
          <t>Consulting</t>
        </is>
      </c>
      <c r="AB442" t="n">
        <v>147</v>
      </c>
      <c r="AD442" s="52">
        <f>IFERROR(N(IFERROR(INDEX($A442:$AB442,MATCH("Xero Invoiced Ex GST",$A$1:$AB$1,0)),"")),0)</f>
        <v/>
      </c>
      <c r="AE442" s="53">
        <f>IFERROR(INDEX($A442:$AB442,MATCH("Xero Invoice Date",$A$1:$AB$1,0)),"")</f>
        <v/>
      </c>
      <c r="AF442" s="54">
        <f>IF(AND(IFERROR(INDEX($A442:$AB442,MATCH("Xero Invoice No",$A$1:$AB$1,0)),"")&amp;""&lt;&gt;"",ISNUMBER(AE442),AD442&lt;&gt;0),1,0)</f>
        <v/>
      </c>
      <c r="AG442" s="55">
        <f>IF(AF442=1,EOMONTH(AE442,0),"")</f>
        <v/>
      </c>
      <c r="AH442" s="9">
        <f>IF(AF442=1,UPPER(TRIM(IFERROR(INDEX($A442:$AB442,MATCH("Client",$A$1:$AB$1,0)),"")&amp;"")),"")</f>
        <v/>
      </c>
      <c r="AI442" s="9">
        <f>IF(AF442=1,IFERROR(INDEX($A442:$AB442,MATCH("Cost Centre",$A$1:$AB$1,0)),"")&amp;"","")</f>
        <v/>
      </c>
      <c r="AJ442" s="54">
        <f>IF(AND(AF442=1,AE442&gt;=set_FYStart,AE442&lt;=set_AsAt),1,0)</f>
        <v/>
      </c>
      <c r="AK442" s="54">
        <f>IF(AND(AJ442=1,AH442&lt;&gt;"",COUNTIFS($AH$2:AH442,AH442,$AJ$2:AJ442,1)=1),N(AL441)+1,"")</f>
        <v/>
      </c>
      <c r="AL442" s="54">
        <f>IF(AK442&lt;&gt;"",AK442,N(AL441))</f>
        <v/>
      </c>
    </row>
    <row r="443">
      <c r="A443" t="inlineStr">
        <is>
          <t>ONS-0148</t>
        </is>
      </c>
      <c r="B443" t="inlineStr">
        <is>
          <t>Onsite</t>
        </is>
      </c>
      <c r="R443" t="inlineStr">
        <is>
          <t>GST 10%</t>
        </is>
      </c>
      <c r="AB443" t="n">
        <v>148</v>
      </c>
      <c r="AD443" s="52">
        <f>IFERROR(N(IFERROR(INDEX($A443:$AB443,MATCH("Xero Invoiced Ex GST",$A$1:$AB$1,0)),"")),0)</f>
        <v/>
      </c>
      <c r="AE443" s="53">
        <f>IFERROR(INDEX($A443:$AB443,MATCH("Xero Invoice Date",$A$1:$AB$1,0)),"")</f>
        <v/>
      </c>
      <c r="AF443" s="54">
        <f>IF(AND(IFERROR(INDEX($A443:$AB443,MATCH("Xero Invoice No",$A$1:$AB$1,0)),"")&amp;""&lt;&gt;"",ISNUMBER(AE443),AD443&lt;&gt;0),1,0)</f>
        <v/>
      </c>
      <c r="AG443" s="55">
        <f>IF(AF443=1,EOMONTH(AE443,0),"")</f>
        <v/>
      </c>
      <c r="AH443" s="9">
        <f>IF(AF443=1,UPPER(TRIM(IFERROR(INDEX($A443:$AB443,MATCH("Client",$A$1:$AB$1,0)),"")&amp;"")),"")</f>
        <v/>
      </c>
      <c r="AI443" s="9">
        <f>IF(AF443=1,IFERROR(INDEX($A443:$AB443,MATCH("Cost Centre",$A$1:$AB$1,0)),"")&amp;"","")</f>
        <v/>
      </c>
      <c r="AJ443" s="54">
        <f>IF(AND(AF443=1,AE443&gt;=set_FYStart,AE443&lt;=set_AsAt),1,0)</f>
        <v/>
      </c>
      <c r="AK443" s="54">
        <f>IF(AND(AJ443=1,AH443&lt;&gt;"",COUNTIFS($AH$2:AH443,AH443,$AJ$2:AJ443,1)=1),N(AL442)+1,"")</f>
        <v/>
      </c>
      <c r="AL443" s="54">
        <f>IF(AK443&lt;&gt;"",AK443,N(AL442))</f>
        <v/>
      </c>
    </row>
    <row r="444">
      <c r="A444" t="inlineStr">
        <is>
          <t>PRD-0148</t>
        </is>
      </c>
      <c r="B444" t="inlineStr">
        <is>
          <t>Production</t>
        </is>
      </c>
      <c r="AB444" t="n">
        <v>148</v>
      </c>
      <c r="AD444" s="52">
        <f>IFERROR(N(IFERROR(INDEX($A444:$AB444,MATCH("Xero Invoiced Ex GST",$A$1:$AB$1,0)),"")),0)</f>
        <v/>
      </c>
      <c r="AE444" s="53">
        <f>IFERROR(INDEX($A444:$AB444,MATCH("Xero Invoice Date",$A$1:$AB$1,0)),"")</f>
        <v/>
      </c>
      <c r="AF444" s="54">
        <f>IF(AND(IFERROR(INDEX($A444:$AB444,MATCH("Xero Invoice No",$A$1:$AB$1,0)),"")&amp;""&lt;&gt;"",ISNUMBER(AE444),AD444&lt;&gt;0),1,0)</f>
        <v/>
      </c>
      <c r="AG444" s="55">
        <f>IF(AF444=1,EOMONTH(AE444,0),"")</f>
        <v/>
      </c>
      <c r="AH444" s="9">
        <f>IF(AF444=1,UPPER(TRIM(IFERROR(INDEX($A444:$AB444,MATCH("Client",$A$1:$AB$1,0)),"")&amp;"")),"")</f>
        <v/>
      </c>
      <c r="AI444" s="9">
        <f>IF(AF444=1,IFERROR(INDEX($A444:$AB444,MATCH("Cost Centre",$A$1:$AB$1,0)),"")&amp;"","")</f>
        <v/>
      </c>
      <c r="AJ444" s="54">
        <f>IF(AND(AF444=1,AE444&gt;=set_FYStart,AE444&lt;=set_AsAt),1,0)</f>
        <v/>
      </c>
      <c r="AK444" s="54">
        <f>IF(AND(AJ444=1,AH444&lt;&gt;"",COUNTIFS($AH$2:AH444,AH444,$AJ$2:AJ444,1)=1),N(AL443)+1,"")</f>
        <v/>
      </c>
      <c r="AL444" s="54">
        <f>IF(AK444&lt;&gt;"",AK444,N(AL443))</f>
        <v/>
      </c>
    </row>
    <row r="445">
      <c r="A445" t="inlineStr">
        <is>
          <t>CON-0148</t>
        </is>
      </c>
      <c r="B445" t="inlineStr">
        <is>
          <t>Consulting</t>
        </is>
      </c>
      <c r="AB445" t="n">
        <v>148</v>
      </c>
      <c r="AD445" s="52">
        <f>IFERROR(N(IFERROR(INDEX($A445:$AB445,MATCH("Xero Invoiced Ex GST",$A$1:$AB$1,0)),"")),0)</f>
        <v/>
      </c>
      <c r="AE445" s="53">
        <f>IFERROR(INDEX($A445:$AB445,MATCH("Xero Invoice Date",$A$1:$AB$1,0)),"")</f>
        <v/>
      </c>
      <c r="AF445" s="54">
        <f>IF(AND(IFERROR(INDEX($A445:$AB445,MATCH("Xero Invoice No",$A$1:$AB$1,0)),"")&amp;""&lt;&gt;"",ISNUMBER(AE445),AD445&lt;&gt;0),1,0)</f>
        <v/>
      </c>
      <c r="AG445" s="55">
        <f>IF(AF445=1,EOMONTH(AE445,0),"")</f>
        <v/>
      </c>
      <c r="AH445" s="9">
        <f>IF(AF445=1,UPPER(TRIM(IFERROR(INDEX($A445:$AB445,MATCH("Client",$A$1:$AB$1,0)),"")&amp;"")),"")</f>
        <v/>
      </c>
      <c r="AI445" s="9">
        <f>IF(AF445=1,IFERROR(INDEX($A445:$AB445,MATCH("Cost Centre",$A$1:$AB$1,0)),"")&amp;"","")</f>
        <v/>
      </c>
      <c r="AJ445" s="54">
        <f>IF(AND(AF445=1,AE445&gt;=set_FYStart,AE445&lt;=set_AsAt),1,0)</f>
        <v/>
      </c>
      <c r="AK445" s="54">
        <f>IF(AND(AJ445=1,AH445&lt;&gt;"",COUNTIFS($AH$2:AH445,AH445,$AJ$2:AJ445,1)=1),N(AL444)+1,"")</f>
        <v/>
      </c>
      <c r="AL445" s="54">
        <f>IF(AK445&lt;&gt;"",AK445,N(AL444))</f>
        <v/>
      </c>
    </row>
    <row r="446">
      <c r="A446" t="inlineStr">
        <is>
          <t>ONS-0149</t>
        </is>
      </c>
      <c r="B446" t="inlineStr">
        <is>
          <t>Onsite</t>
        </is>
      </c>
      <c r="R446" t="inlineStr">
        <is>
          <t>GST 10%</t>
        </is>
      </c>
      <c r="AB446" t="n">
        <v>149</v>
      </c>
      <c r="AD446" s="52">
        <f>IFERROR(N(IFERROR(INDEX($A446:$AB446,MATCH("Xero Invoiced Ex GST",$A$1:$AB$1,0)),"")),0)</f>
        <v/>
      </c>
      <c r="AE446" s="53">
        <f>IFERROR(INDEX($A446:$AB446,MATCH("Xero Invoice Date",$A$1:$AB$1,0)),"")</f>
        <v/>
      </c>
      <c r="AF446" s="54">
        <f>IF(AND(IFERROR(INDEX($A446:$AB446,MATCH("Xero Invoice No",$A$1:$AB$1,0)),"")&amp;""&lt;&gt;"",ISNUMBER(AE446),AD446&lt;&gt;0),1,0)</f>
        <v/>
      </c>
      <c r="AG446" s="55">
        <f>IF(AF446=1,EOMONTH(AE446,0),"")</f>
        <v/>
      </c>
      <c r="AH446" s="9">
        <f>IF(AF446=1,UPPER(TRIM(IFERROR(INDEX($A446:$AB446,MATCH("Client",$A$1:$AB$1,0)),"")&amp;"")),"")</f>
        <v/>
      </c>
      <c r="AI446" s="9">
        <f>IF(AF446=1,IFERROR(INDEX($A446:$AB446,MATCH("Cost Centre",$A$1:$AB$1,0)),"")&amp;"","")</f>
        <v/>
      </c>
      <c r="AJ446" s="54">
        <f>IF(AND(AF446=1,AE446&gt;=set_FYStart,AE446&lt;=set_AsAt),1,0)</f>
        <v/>
      </c>
      <c r="AK446" s="54">
        <f>IF(AND(AJ446=1,AH446&lt;&gt;"",COUNTIFS($AH$2:AH446,AH446,$AJ$2:AJ446,1)=1),N(AL445)+1,"")</f>
        <v/>
      </c>
      <c r="AL446" s="54">
        <f>IF(AK446&lt;&gt;"",AK446,N(AL445))</f>
        <v/>
      </c>
    </row>
    <row r="447">
      <c r="A447" t="inlineStr">
        <is>
          <t>PRD-0149</t>
        </is>
      </c>
      <c r="B447" t="inlineStr">
        <is>
          <t>Production</t>
        </is>
      </c>
      <c r="AB447" t="n">
        <v>149</v>
      </c>
      <c r="AD447" s="52">
        <f>IFERROR(N(IFERROR(INDEX($A447:$AB447,MATCH("Xero Invoiced Ex GST",$A$1:$AB$1,0)),"")),0)</f>
        <v/>
      </c>
      <c r="AE447" s="53">
        <f>IFERROR(INDEX($A447:$AB447,MATCH("Xero Invoice Date",$A$1:$AB$1,0)),"")</f>
        <v/>
      </c>
      <c r="AF447" s="54">
        <f>IF(AND(IFERROR(INDEX($A447:$AB447,MATCH("Xero Invoice No",$A$1:$AB$1,0)),"")&amp;""&lt;&gt;"",ISNUMBER(AE447),AD447&lt;&gt;0),1,0)</f>
        <v/>
      </c>
      <c r="AG447" s="55">
        <f>IF(AF447=1,EOMONTH(AE447,0),"")</f>
        <v/>
      </c>
      <c r="AH447" s="9">
        <f>IF(AF447=1,UPPER(TRIM(IFERROR(INDEX($A447:$AB447,MATCH("Client",$A$1:$AB$1,0)),"")&amp;"")),"")</f>
        <v/>
      </c>
      <c r="AI447" s="9">
        <f>IF(AF447=1,IFERROR(INDEX($A447:$AB447,MATCH("Cost Centre",$A$1:$AB$1,0)),"")&amp;"","")</f>
        <v/>
      </c>
      <c r="AJ447" s="54">
        <f>IF(AND(AF447=1,AE447&gt;=set_FYStart,AE447&lt;=set_AsAt),1,0)</f>
        <v/>
      </c>
      <c r="AK447" s="54">
        <f>IF(AND(AJ447=1,AH447&lt;&gt;"",COUNTIFS($AH$2:AH447,AH447,$AJ$2:AJ447,1)=1),N(AL446)+1,"")</f>
        <v/>
      </c>
      <c r="AL447" s="54">
        <f>IF(AK447&lt;&gt;"",AK447,N(AL446))</f>
        <v/>
      </c>
    </row>
    <row r="448">
      <c r="A448" t="inlineStr">
        <is>
          <t>CON-0149</t>
        </is>
      </c>
      <c r="B448" t="inlineStr">
        <is>
          <t>Consulting</t>
        </is>
      </c>
      <c r="AB448" t="n">
        <v>149</v>
      </c>
      <c r="AD448" s="52">
        <f>IFERROR(N(IFERROR(INDEX($A448:$AB448,MATCH("Xero Invoiced Ex GST",$A$1:$AB$1,0)),"")),0)</f>
        <v/>
      </c>
      <c r="AE448" s="53">
        <f>IFERROR(INDEX($A448:$AB448,MATCH("Xero Invoice Date",$A$1:$AB$1,0)),"")</f>
        <v/>
      </c>
      <c r="AF448" s="54">
        <f>IF(AND(IFERROR(INDEX($A448:$AB448,MATCH("Xero Invoice No",$A$1:$AB$1,0)),"")&amp;""&lt;&gt;"",ISNUMBER(AE448),AD448&lt;&gt;0),1,0)</f>
        <v/>
      </c>
      <c r="AG448" s="55">
        <f>IF(AF448=1,EOMONTH(AE448,0),"")</f>
        <v/>
      </c>
      <c r="AH448" s="9">
        <f>IF(AF448=1,UPPER(TRIM(IFERROR(INDEX($A448:$AB448,MATCH("Client",$A$1:$AB$1,0)),"")&amp;"")),"")</f>
        <v/>
      </c>
      <c r="AI448" s="9">
        <f>IF(AF448=1,IFERROR(INDEX($A448:$AB448,MATCH("Cost Centre",$A$1:$AB$1,0)),"")&amp;"","")</f>
        <v/>
      </c>
      <c r="AJ448" s="54">
        <f>IF(AND(AF448=1,AE448&gt;=set_FYStart,AE448&lt;=set_AsAt),1,0)</f>
        <v/>
      </c>
      <c r="AK448" s="54">
        <f>IF(AND(AJ448=1,AH448&lt;&gt;"",COUNTIFS($AH$2:AH448,AH448,$AJ$2:AJ448,1)=1),N(AL447)+1,"")</f>
        <v/>
      </c>
      <c r="AL448" s="54">
        <f>IF(AK448&lt;&gt;"",AK448,N(AL447))</f>
        <v/>
      </c>
    </row>
    <row r="449">
      <c r="A449" t="inlineStr">
        <is>
          <t>ONS-0150</t>
        </is>
      </c>
      <c r="B449" t="inlineStr">
        <is>
          <t>Onsite</t>
        </is>
      </c>
      <c r="R449" t="inlineStr">
        <is>
          <t>GST 10%</t>
        </is>
      </c>
      <c r="AB449" t="n">
        <v>150</v>
      </c>
      <c r="AD449" s="52">
        <f>IFERROR(N(IFERROR(INDEX($A449:$AB449,MATCH("Xero Invoiced Ex GST",$A$1:$AB$1,0)),"")),0)</f>
        <v/>
      </c>
      <c r="AE449" s="53">
        <f>IFERROR(INDEX($A449:$AB449,MATCH("Xero Invoice Date",$A$1:$AB$1,0)),"")</f>
        <v/>
      </c>
      <c r="AF449" s="54">
        <f>IF(AND(IFERROR(INDEX($A449:$AB449,MATCH("Xero Invoice No",$A$1:$AB$1,0)),"")&amp;""&lt;&gt;"",ISNUMBER(AE449),AD449&lt;&gt;0),1,0)</f>
        <v/>
      </c>
      <c r="AG449" s="55">
        <f>IF(AF449=1,EOMONTH(AE449,0),"")</f>
        <v/>
      </c>
      <c r="AH449" s="9">
        <f>IF(AF449=1,UPPER(TRIM(IFERROR(INDEX($A449:$AB449,MATCH("Client",$A$1:$AB$1,0)),"")&amp;"")),"")</f>
        <v/>
      </c>
      <c r="AI449" s="9">
        <f>IF(AF449=1,IFERROR(INDEX($A449:$AB449,MATCH("Cost Centre",$A$1:$AB$1,0)),"")&amp;"","")</f>
        <v/>
      </c>
      <c r="AJ449" s="54">
        <f>IF(AND(AF449=1,AE449&gt;=set_FYStart,AE449&lt;=set_AsAt),1,0)</f>
        <v/>
      </c>
      <c r="AK449" s="54">
        <f>IF(AND(AJ449=1,AH449&lt;&gt;"",COUNTIFS($AH$2:AH449,AH449,$AJ$2:AJ449,1)=1),N(AL448)+1,"")</f>
        <v/>
      </c>
      <c r="AL449" s="54">
        <f>IF(AK449&lt;&gt;"",AK449,N(AL448))</f>
        <v/>
      </c>
    </row>
    <row r="450">
      <c r="A450" t="inlineStr">
        <is>
          <t>PRD-0150</t>
        </is>
      </c>
      <c r="B450" t="inlineStr">
        <is>
          <t>Production</t>
        </is>
      </c>
      <c r="AB450" t="n">
        <v>150</v>
      </c>
      <c r="AD450" s="52">
        <f>IFERROR(N(IFERROR(INDEX($A450:$AB450,MATCH("Xero Invoiced Ex GST",$A$1:$AB$1,0)),"")),0)</f>
        <v/>
      </c>
      <c r="AE450" s="53">
        <f>IFERROR(INDEX($A450:$AB450,MATCH("Xero Invoice Date",$A$1:$AB$1,0)),"")</f>
        <v/>
      </c>
      <c r="AF450" s="54">
        <f>IF(AND(IFERROR(INDEX($A450:$AB450,MATCH("Xero Invoice No",$A$1:$AB$1,0)),"")&amp;""&lt;&gt;"",ISNUMBER(AE450),AD450&lt;&gt;0),1,0)</f>
        <v/>
      </c>
      <c r="AG450" s="55">
        <f>IF(AF450=1,EOMONTH(AE450,0),"")</f>
        <v/>
      </c>
      <c r="AH450" s="9">
        <f>IF(AF450=1,UPPER(TRIM(IFERROR(INDEX($A450:$AB450,MATCH("Client",$A$1:$AB$1,0)),"")&amp;"")),"")</f>
        <v/>
      </c>
      <c r="AI450" s="9">
        <f>IF(AF450=1,IFERROR(INDEX($A450:$AB450,MATCH("Cost Centre",$A$1:$AB$1,0)),"")&amp;"","")</f>
        <v/>
      </c>
      <c r="AJ450" s="54">
        <f>IF(AND(AF450=1,AE450&gt;=set_FYStart,AE450&lt;=set_AsAt),1,0)</f>
        <v/>
      </c>
      <c r="AK450" s="54">
        <f>IF(AND(AJ450=1,AH450&lt;&gt;"",COUNTIFS($AH$2:AH450,AH450,$AJ$2:AJ450,1)=1),N(AL449)+1,"")</f>
        <v/>
      </c>
      <c r="AL450" s="54">
        <f>IF(AK450&lt;&gt;"",AK450,N(AL449))</f>
        <v/>
      </c>
    </row>
    <row r="451">
      <c r="A451" t="inlineStr">
        <is>
          <t>CON-0150</t>
        </is>
      </c>
      <c r="B451" t="inlineStr">
        <is>
          <t>Consulting</t>
        </is>
      </c>
      <c r="AB451" t="n">
        <v>150</v>
      </c>
      <c r="AD451" s="52">
        <f>IFERROR(N(IFERROR(INDEX($A451:$AB451,MATCH("Xero Invoiced Ex GST",$A$1:$AB$1,0)),"")),0)</f>
        <v/>
      </c>
      <c r="AE451" s="53">
        <f>IFERROR(INDEX($A451:$AB451,MATCH("Xero Invoice Date",$A$1:$AB$1,0)),"")</f>
        <v/>
      </c>
      <c r="AF451" s="54">
        <f>IF(AND(IFERROR(INDEX($A451:$AB451,MATCH("Xero Invoice No",$A$1:$AB$1,0)),"")&amp;""&lt;&gt;"",ISNUMBER(AE451),AD451&lt;&gt;0),1,0)</f>
        <v/>
      </c>
      <c r="AG451" s="55">
        <f>IF(AF451=1,EOMONTH(AE451,0),"")</f>
        <v/>
      </c>
      <c r="AH451" s="9">
        <f>IF(AF451=1,UPPER(TRIM(IFERROR(INDEX($A451:$AB451,MATCH("Client",$A$1:$AB$1,0)),"")&amp;"")),"")</f>
        <v/>
      </c>
      <c r="AI451" s="9">
        <f>IF(AF451=1,IFERROR(INDEX($A451:$AB451,MATCH("Cost Centre",$A$1:$AB$1,0)),"")&amp;"","")</f>
        <v/>
      </c>
      <c r="AJ451" s="54">
        <f>IF(AND(AF451=1,AE451&gt;=set_FYStart,AE451&lt;=set_AsAt),1,0)</f>
        <v/>
      </c>
      <c r="AK451" s="54">
        <f>IF(AND(AJ451=1,AH451&lt;&gt;"",COUNTIFS($AH$2:AH451,AH451,$AJ$2:AJ451,1)=1),N(AL450)+1,"")</f>
        <v/>
      </c>
      <c r="AL451" s="54">
        <f>IF(AK451&lt;&gt;"",AK451,N(AL450))</f>
        <v/>
      </c>
    </row>
    <row r="452">
      <c r="A452" t="inlineStr">
        <is>
          <t>ONS-0151</t>
        </is>
      </c>
      <c r="B452" t="inlineStr">
        <is>
          <t>Onsite</t>
        </is>
      </c>
      <c r="R452" t="inlineStr">
        <is>
          <t>GST 10%</t>
        </is>
      </c>
      <c r="AB452" t="n">
        <v>151</v>
      </c>
      <c r="AD452" s="52">
        <f>IFERROR(N(IFERROR(INDEX($A452:$AB452,MATCH("Xero Invoiced Ex GST",$A$1:$AB$1,0)),"")),0)</f>
        <v/>
      </c>
      <c r="AE452" s="53">
        <f>IFERROR(INDEX($A452:$AB452,MATCH("Xero Invoice Date",$A$1:$AB$1,0)),"")</f>
        <v/>
      </c>
      <c r="AF452" s="54">
        <f>IF(AND(IFERROR(INDEX($A452:$AB452,MATCH("Xero Invoice No",$A$1:$AB$1,0)),"")&amp;""&lt;&gt;"",ISNUMBER(AE452),AD452&lt;&gt;0),1,0)</f>
        <v/>
      </c>
      <c r="AG452" s="55">
        <f>IF(AF452=1,EOMONTH(AE452,0),"")</f>
        <v/>
      </c>
      <c r="AH452" s="9">
        <f>IF(AF452=1,UPPER(TRIM(IFERROR(INDEX($A452:$AB452,MATCH("Client",$A$1:$AB$1,0)),"")&amp;"")),"")</f>
        <v/>
      </c>
      <c r="AI452" s="9">
        <f>IF(AF452=1,IFERROR(INDEX($A452:$AB452,MATCH("Cost Centre",$A$1:$AB$1,0)),"")&amp;"","")</f>
        <v/>
      </c>
      <c r="AJ452" s="54">
        <f>IF(AND(AF452=1,AE452&gt;=set_FYStart,AE452&lt;=set_AsAt),1,0)</f>
        <v/>
      </c>
      <c r="AK452" s="54">
        <f>IF(AND(AJ452=1,AH452&lt;&gt;"",COUNTIFS($AH$2:AH452,AH452,$AJ$2:AJ452,1)=1),N(AL451)+1,"")</f>
        <v/>
      </c>
      <c r="AL452" s="54">
        <f>IF(AK452&lt;&gt;"",AK452,N(AL451))</f>
        <v/>
      </c>
    </row>
    <row r="453">
      <c r="A453" t="inlineStr">
        <is>
          <t>PRD-0151</t>
        </is>
      </c>
      <c r="B453" t="inlineStr">
        <is>
          <t>Production</t>
        </is>
      </c>
      <c r="AB453" t="n">
        <v>151</v>
      </c>
      <c r="AD453" s="52">
        <f>IFERROR(N(IFERROR(INDEX($A453:$AB453,MATCH("Xero Invoiced Ex GST",$A$1:$AB$1,0)),"")),0)</f>
        <v/>
      </c>
      <c r="AE453" s="53">
        <f>IFERROR(INDEX($A453:$AB453,MATCH("Xero Invoice Date",$A$1:$AB$1,0)),"")</f>
        <v/>
      </c>
      <c r="AF453" s="54">
        <f>IF(AND(IFERROR(INDEX($A453:$AB453,MATCH("Xero Invoice No",$A$1:$AB$1,0)),"")&amp;""&lt;&gt;"",ISNUMBER(AE453),AD453&lt;&gt;0),1,0)</f>
        <v/>
      </c>
      <c r="AG453" s="55">
        <f>IF(AF453=1,EOMONTH(AE453,0),"")</f>
        <v/>
      </c>
      <c r="AH453" s="9">
        <f>IF(AF453=1,UPPER(TRIM(IFERROR(INDEX($A453:$AB453,MATCH("Client",$A$1:$AB$1,0)),"")&amp;"")),"")</f>
        <v/>
      </c>
      <c r="AI453" s="9">
        <f>IF(AF453=1,IFERROR(INDEX($A453:$AB453,MATCH("Cost Centre",$A$1:$AB$1,0)),"")&amp;"","")</f>
        <v/>
      </c>
      <c r="AJ453" s="54">
        <f>IF(AND(AF453=1,AE453&gt;=set_FYStart,AE453&lt;=set_AsAt),1,0)</f>
        <v/>
      </c>
      <c r="AK453" s="54">
        <f>IF(AND(AJ453=1,AH453&lt;&gt;"",COUNTIFS($AH$2:AH453,AH453,$AJ$2:AJ453,1)=1),N(AL452)+1,"")</f>
        <v/>
      </c>
      <c r="AL453" s="54">
        <f>IF(AK453&lt;&gt;"",AK453,N(AL452))</f>
        <v/>
      </c>
    </row>
    <row r="454">
      <c r="A454" t="inlineStr">
        <is>
          <t>CON-0151</t>
        </is>
      </c>
      <c r="B454" t="inlineStr">
        <is>
          <t>Consulting</t>
        </is>
      </c>
      <c r="AB454" t="n">
        <v>151</v>
      </c>
      <c r="AD454" s="52">
        <f>IFERROR(N(IFERROR(INDEX($A454:$AB454,MATCH("Xero Invoiced Ex GST",$A$1:$AB$1,0)),"")),0)</f>
        <v/>
      </c>
      <c r="AE454" s="53">
        <f>IFERROR(INDEX($A454:$AB454,MATCH("Xero Invoice Date",$A$1:$AB$1,0)),"")</f>
        <v/>
      </c>
      <c r="AF454" s="54">
        <f>IF(AND(IFERROR(INDEX($A454:$AB454,MATCH("Xero Invoice No",$A$1:$AB$1,0)),"")&amp;""&lt;&gt;"",ISNUMBER(AE454),AD454&lt;&gt;0),1,0)</f>
        <v/>
      </c>
      <c r="AG454" s="55">
        <f>IF(AF454=1,EOMONTH(AE454,0),"")</f>
        <v/>
      </c>
      <c r="AH454" s="9">
        <f>IF(AF454=1,UPPER(TRIM(IFERROR(INDEX($A454:$AB454,MATCH("Client",$A$1:$AB$1,0)),"")&amp;"")),"")</f>
        <v/>
      </c>
      <c r="AI454" s="9">
        <f>IF(AF454=1,IFERROR(INDEX($A454:$AB454,MATCH("Cost Centre",$A$1:$AB$1,0)),"")&amp;"","")</f>
        <v/>
      </c>
      <c r="AJ454" s="54">
        <f>IF(AND(AF454=1,AE454&gt;=set_FYStart,AE454&lt;=set_AsAt),1,0)</f>
        <v/>
      </c>
      <c r="AK454" s="54">
        <f>IF(AND(AJ454=1,AH454&lt;&gt;"",COUNTIFS($AH$2:AH454,AH454,$AJ$2:AJ454,1)=1),N(AL453)+1,"")</f>
        <v/>
      </c>
      <c r="AL454" s="54">
        <f>IF(AK454&lt;&gt;"",AK454,N(AL453))</f>
        <v/>
      </c>
    </row>
    <row r="455">
      <c r="A455" t="inlineStr">
        <is>
          <t>ONS-0152</t>
        </is>
      </c>
      <c r="B455" t="inlineStr">
        <is>
          <t>Onsite</t>
        </is>
      </c>
      <c r="R455" t="inlineStr">
        <is>
          <t>GST 10%</t>
        </is>
      </c>
      <c r="AB455" t="n">
        <v>152</v>
      </c>
      <c r="AD455" s="52">
        <f>IFERROR(N(IFERROR(INDEX($A455:$AB455,MATCH("Xero Invoiced Ex GST",$A$1:$AB$1,0)),"")),0)</f>
        <v/>
      </c>
      <c r="AE455" s="53">
        <f>IFERROR(INDEX($A455:$AB455,MATCH("Xero Invoice Date",$A$1:$AB$1,0)),"")</f>
        <v/>
      </c>
      <c r="AF455" s="54">
        <f>IF(AND(IFERROR(INDEX($A455:$AB455,MATCH("Xero Invoice No",$A$1:$AB$1,0)),"")&amp;""&lt;&gt;"",ISNUMBER(AE455),AD455&lt;&gt;0),1,0)</f>
        <v/>
      </c>
      <c r="AG455" s="55">
        <f>IF(AF455=1,EOMONTH(AE455,0),"")</f>
        <v/>
      </c>
      <c r="AH455" s="9">
        <f>IF(AF455=1,UPPER(TRIM(IFERROR(INDEX($A455:$AB455,MATCH("Client",$A$1:$AB$1,0)),"")&amp;"")),"")</f>
        <v/>
      </c>
      <c r="AI455" s="9">
        <f>IF(AF455=1,IFERROR(INDEX($A455:$AB455,MATCH("Cost Centre",$A$1:$AB$1,0)),"")&amp;"","")</f>
        <v/>
      </c>
      <c r="AJ455" s="54">
        <f>IF(AND(AF455=1,AE455&gt;=set_FYStart,AE455&lt;=set_AsAt),1,0)</f>
        <v/>
      </c>
      <c r="AK455" s="54">
        <f>IF(AND(AJ455=1,AH455&lt;&gt;"",COUNTIFS($AH$2:AH455,AH455,$AJ$2:AJ455,1)=1),N(AL454)+1,"")</f>
        <v/>
      </c>
      <c r="AL455" s="54">
        <f>IF(AK455&lt;&gt;"",AK455,N(AL454))</f>
        <v/>
      </c>
    </row>
    <row r="456">
      <c r="A456" t="inlineStr">
        <is>
          <t>PRD-0152</t>
        </is>
      </c>
      <c r="B456" t="inlineStr">
        <is>
          <t>Production</t>
        </is>
      </c>
      <c r="AB456" t="n">
        <v>152</v>
      </c>
      <c r="AD456" s="52">
        <f>IFERROR(N(IFERROR(INDEX($A456:$AB456,MATCH("Xero Invoiced Ex GST",$A$1:$AB$1,0)),"")),0)</f>
        <v/>
      </c>
      <c r="AE456" s="53">
        <f>IFERROR(INDEX($A456:$AB456,MATCH("Xero Invoice Date",$A$1:$AB$1,0)),"")</f>
        <v/>
      </c>
      <c r="AF456" s="54">
        <f>IF(AND(IFERROR(INDEX($A456:$AB456,MATCH("Xero Invoice No",$A$1:$AB$1,0)),"")&amp;""&lt;&gt;"",ISNUMBER(AE456),AD456&lt;&gt;0),1,0)</f>
        <v/>
      </c>
      <c r="AG456" s="55">
        <f>IF(AF456=1,EOMONTH(AE456,0),"")</f>
        <v/>
      </c>
      <c r="AH456" s="9">
        <f>IF(AF456=1,UPPER(TRIM(IFERROR(INDEX($A456:$AB456,MATCH("Client",$A$1:$AB$1,0)),"")&amp;"")),"")</f>
        <v/>
      </c>
      <c r="AI456" s="9">
        <f>IF(AF456=1,IFERROR(INDEX($A456:$AB456,MATCH("Cost Centre",$A$1:$AB$1,0)),"")&amp;"","")</f>
        <v/>
      </c>
      <c r="AJ456" s="54">
        <f>IF(AND(AF456=1,AE456&gt;=set_FYStart,AE456&lt;=set_AsAt),1,0)</f>
        <v/>
      </c>
      <c r="AK456" s="54">
        <f>IF(AND(AJ456=1,AH456&lt;&gt;"",COUNTIFS($AH$2:AH456,AH456,$AJ$2:AJ456,1)=1),N(AL455)+1,"")</f>
        <v/>
      </c>
      <c r="AL456" s="54">
        <f>IF(AK456&lt;&gt;"",AK456,N(AL455))</f>
        <v/>
      </c>
    </row>
    <row r="457">
      <c r="A457" t="inlineStr">
        <is>
          <t>CON-0152</t>
        </is>
      </c>
      <c r="B457" t="inlineStr">
        <is>
          <t>Consulting</t>
        </is>
      </c>
      <c r="AB457" t="n">
        <v>152</v>
      </c>
      <c r="AD457" s="52">
        <f>IFERROR(N(IFERROR(INDEX($A457:$AB457,MATCH("Xero Invoiced Ex GST",$A$1:$AB$1,0)),"")),0)</f>
        <v/>
      </c>
      <c r="AE457" s="53">
        <f>IFERROR(INDEX($A457:$AB457,MATCH("Xero Invoice Date",$A$1:$AB$1,0)),"")</f>
        <v/>
      </c>
      <c r="AF457" s="54">
        <f>IF(AND(IFERROR(INDEX($A457:$AB457,MATCH("Xero Invoice No",$A$1:$AB$1,0)),"")&amp;""&lt;&gt;"",ISNUMBER(AE457),AD457&lt;&gt;0),1,0)</f>
        <v/>
      </c>
      <c r="AG457" s="55">
        <f>IF(AF457=1,EOMONTH(AE457,0),"")</f>
        <v/>
      </c>
      <c r="AH457" s="9">
        <f>IF(AF457=1,UPPER(TRIM(IFERROR(INDEX($A457:$AB457,MATCH("Client",$A$1:$AB$1,0)),"")&amp;"")),"")</f>
        <v/>
      </c>
      <c r="AI457" s="9">
        <f>IF(AF457=1,IFERROR(INDEX($A457:$AB457,MATCH("Cost Centre",$A$1:$AB$1,0)),"")&amp;"","")</f>
        <v/>
      </c>
      <c r="AJ457" s="54">
        <f>IF(AND(AF457=1,AE457&gt;=set_FYStart,AE457&lt;=set_AsAt),1,0)</f>
        <v/>
      </c>
      <c r="AK457" s="54">
        <f>IF(AND(AJ457=1,AH457&lt;&gt;"",COUNTIFS($AH$2:AH457,AH457,$AJ$2:AJ457,1)=1),N(AL456)+1,"")</f>
        <v/>
      </c>
      <c r="AL457" s="54">
        <f>IF(AK457&lt;&gt;"",AK457,N(AL456))</f>
        <v/>
      </c>
    </row>
    <row r="458">
      <c r="A458" t="inlineStr">
        <is>
          <t>ONS-0153</t>
        </is>
      </c>
      <c r="B458" t="inlineStr">
        <is>
          <t>Onsite</t>
        </is>
      </c>
      <c r="R458" t="inlineStr">
        <is>
          <t>GST 10%</t>
        </is>
      </c>
      <c r="AB458" t="n">
        <v>153</v>
      </c>
      <c r="AD458" s="52">
        <f>IFERROR(N(IFERROR(INDEX($A458:$AB458,MATCH("Xero Invoiced Ex GST",$A$1:$AB$1,0)),"")),0)</f>
        <v/>
      </c>
      <c r="AE458" s="53">
        <f>IFERROR(INDEX($A458:$AB458,MATCH("Xero Invoice Date",$A$1:$AB$1,0)),"")</f>
        <v/>
      </c>
      <c r="AF458" s="54">
        <f>IF(AND(IFERROR(INDEX($A458:$AB458,MATCH("Xero Invoice No",$A$1:$AB$1,0)),"")&amp;""&lt;&gt;"",ISNUMBER(AE458),AD458&lt;&gt;0),1,0)</f>
        <v/>
      </c>
      <c r="AG458" s="55">
        <f>IF(AF458=1,EOMONTH(AE458,0),"")</f>
        <v/>
      </c>
      <c r="AH458" s="9">
        <f>IF(AF458=1,UPPER(TRIM(IFERROR(INDEX($A458:$AB458,MATCH("Client",$A$1:$AB$1,0)),"")&amp;"")),"")</f>
        <v/>
      </c>
      <c r="AI458" s="9">
        <f>IF(AF458=1,IFERROR(INDEX($A458:$AB458,MATCH("Cost Centre",$A$1:$AB$1,0)),"")&amp;"","")</f>
        <v/>
      </c>
      <c r="AJ458" s="54">
        <f>IF(AND(AF458=1,AE458&gt;=set_FYStart,AE458&lt;=set_AsAt),1,0)</f>
        <v/>
      </c>
      <c r="AK458" s="54">
        <f>IF(AND(AJ458=1,AH458&lt;&gt;"",COUNTIFS($AH$2:AH458,AH458,$AJ$2:AJ458,1)=1),N(AL457)+1,"")</f>
        <v/>
      </c>
      <c r="AL458" s="54">
        <f>IF(AK458&lt;&gt;"",AK458,N(AL457))</f>
        <v/>
      </c>
    </row>
    <row r="459">
      <c r="A459" t="inlineStr">
        <is>
          <t>PRD-0153</t>
        </is>
      </c>
      <c r="B459" t="inlineStr">
        <is>
          <t>Production</t>
        </is>
      </c>
      <c r="AB459" t="n">
        <v>153</v>
      </c>
      <c r="AD459" s="52">
        <f>IFERROR(N(IFERROR(INDEX($A459:$AB459,MATCH("Xero Invoiced Ex GST",$A$1:$AB$1,0)),"")),0)</f>
        <v/>
      </c>
      <c r="AE459" s="53">
        <f>IFERROR(INDEX($A459:$AB459,MATCH("Xero Invoice Date",$A$1:$AB$1,0)),"")</f>
        <v/>
      </c>
      <c r="AF459" s="54">
        <f>IF(AND(IFERROR(INDEX($A459:$AB459,MATCH("Xero Invoice No",$A$1:$AB$1,0)),"")&amp;""&lt;&gt;"",ISNUMBER(AE459),AD459&lt;&gt;0),1,0)</f>
        <v/>
      </c>
      <c r="AG459" s="55">
        <f>IF(AF459=1,EOMONTH(AE459,0),"")</f>
        <v/>
      </c>
      <c r="AH459" s="9">
        <f>IF(AF459=1,UPPER(TRIM(IFERROR(INDEX($A459:$AB459,MATCH("Client",$A$1:$AB$1,0)),"")&amp;"")),"")</f>
        <v/>
      </c>
      <c r="AI459" s="9">
        <f>IF(AF459=1,IFERROR(INDEX($A459:$AB459,MATCH("Cost Centre",$A$1:$AB$1,0)),"")&amp;"","")</f>
        <v/>
      </c>
      <c r="AJ459" s="54">
        <f>IF(AND(AF459=1,AE459&gt;=set_FYStart,AE459&lt;=set_AsAt),1,0)</f>
        <v/>
      </c>
      <c r="AK459" s="54">
        <f>IF(AND(AJ459=1,AH459&lt;&gt;"",COUNTIFS($AH$2:AH459,AH459,$AJ$2:AJ459,1)=1),N(AL458)+1,"")</f>
        <v/>
      </c>
      <c r="AL459" s="54">
        <f>IF(AK459&lt;&gt;"",AK459,N(AL458))</f>
        <v/>
      </c>
    </row>
    <row r="460">
      <c r="A460" t="inlineStr">
        <is>
          <t>CON-0153</t>
        </is>
      </c>
      <c r="B460" t="inlineStr">
        <is>
          <t>Consulting</t>
        </is>
      </c>
      <c r="AB460" t="n">
        <v>153</v>
      </c>
      <c r="AD460" s="52">
        <f>IFERROR(N(IFERROR(INDEX($A460:$AB460,MATCH("Xero Invoiced Ex GST",$A$1:$AB$1,0)),"")),0)</f>
        <v/>
      </c>
      <c r="AE460" s="53">
        <f>IFERROR(INDEX($A460:$AB460,MATCH("Xero Invoice Date",$A$1:$AB$1,0)),"")</f>
        <v/>
      </c>
      <c r="AF460" s="54">
        <f>IF(AND(IFERROR(INDEX($A460:$AB460,MATCH("Xero Invoice No",$A$1:$AB$1,0)),"")&amp;""&lt;&gt;"",ISNUMBER(AE460),AD460&lt;&gt;0),1,0)</f>
        <v/>
      </c>
      <c r="AG460" s="55">
        <f>IF(AF460=1,EOMONTH(AE460,0),"")</f>
        <v/>
      </c>
      <c r="AH460" s="9">
        <f>IF(AF460=1,UPPER(TRIM(IFERROR(INDEX($A460:$AB460,MATCH("Client",$A$1:$AB$1,0)),"")&amp;"")),"")</f>
        <v/>
      </c>
      <c r="AI460" s="9">
        <f>IF(AF460=1,IFERROR(INDEX($A460:$AB460,MATCH("Cost Centre",$A$1:$AB$1,0)),"")&amp;"","")</f>
        <v/>
      </c>
      <c r="AJ460" s="54">
        <f>IF(AND(AF460=1,AE460&gt;=set_FYStart,AE460&lt;=set_AsAt),1,0)</f>
        <v/>
      </c>
      <c r="AK460" s="54">
        <f>IF(AND(AJ460=1,AH460&lt;&gt;"",COUNTIFS($AH$2:AH460,AH460,$AJ$2:AJ460,1)=1),N(AL459)+1,"")</f>
        <v/>
      </c>
      <c r="AL460" s="54">
        <f>IF(AK460&lt;&gt;"",AK460,N(AL459))</f>
        <v/>
      </c>
    </row>
    <row r="461">
      <c r="A461" t="inlineStr">
        <is>
          <t>ONS-0154</t>
        </is>
      </c>
      <c r="B461" t="inlineStr">
        <is>
          <t>Onsite</t>
        </is>
      </c>
      <c r="R461" t="inlineStr">
        <is>
          <t>GST 10%</t>
        </is>
      </c>
      <c r="AB461" t="n">
        <v>154</v>
      </c>
      <c r="AD461" s="52">
        <f>IFERROR(N(IFERROR(INDEX($A461:$AB461,MATCH("Xero Invoiced Ex GST",$A$1:$AB$1,0)),"")),0)</f>
        <v/>
      </c>
      <c r="AE461" s="53">
        <f>IFERROR(INDEX($A461:$AB461,MATCH("Xero Invoice Date",$A$1:$AB$1,0)),"")</f>
        <v/>
      </c>
      <c r="AF461" s="54">
        <f>IF(AND(IFERROR(INDEX($A461:$AB461,MATCH("Xero Invoice No",$A$1:$AB$1,0)),"")&amp;""&lt;&gt;"",ISNUMBER(AE461),AD461&lt;&gt;0),1,0)</f>
        <v/>
      </c>
      <c r="AG461" s="55">
        <f>IF(AF461=1,EOMONTH(AE461,0),"")</f>
        <v/>
      </c>
      <c r="AH461" s="9">
        <f>IF(AF461=1,UPPER(TRIM(IFERROR(INDEX($A461:$AB461,MATCH("Client",$A$1:$AB$1,0)),"")&amp;"")),"")</f>
        <v/>
      </c>
      <c r="AI461" s="9">
        <f>IF(AF461=1,IFERROR(INDEX($A461:$AB461,MATCH("Cost Centre",$A$1:$AB$1,0)),"")&amp;"","")</f>
        <v/>
      </c>
      <c r="AJ461" s="54">
        <f>IF(AND(AF461=1,AE461&gt;=set_FYStart,AE461&lt;=set_AsAt),1,0)</f>
        <v/>
      </c>
      <c r="AK461" s="54">
        <f>IF(AND(AJ461=1,AH461&lt;&gt;"",COUNTIFS($AH$2:AH461,AH461,$AJ$2:AJ461,1)=1),N(AL460)+1,"")</f>
        <v/>
      </c>
      <c r="AL461" s="54">
        <f>IF(AK461&lt;&gt;"",AK461,N(AL460))</f>
        <v/>
      </c>
    </row>
    <row r="462">
      <c r="A462" t="inlineStr">
        <is>
          <t>PRD-0154</t>
        </is>
      </c>
      <c r="B462" t="inlineStr">
        <is>
          <t>Production</t>
        </is>
      </c>
      <c r="AB462" t="n">
        <v>154</v>
      </c>
      <c r="AD462" s="52">
        <f>IFERROR(N(IFERROR(INDEX($A462:$AB462,MATCH("Xero Invoiced Ex GST",$A$1:$AB$1,0)),"")),0)</f>
        <v/>
      </c>
      <c r="AE462" s="53">
        <f>IFERROR(INDEX($A462:$AB462,MATCH("Xero Invoice Date",$A$1:$AB$1,0)),"")</f>
        <v/>
      </c>
      <c r="AF462" s="54">
        <f>IF(AND(IFERROR(INDEX($A462:$AB462,MATCH("Xero Invoice No",$A$1:$AB$1,0)),"")&amp;""&lt;&gt;"",ISNUMBER(AE462),AD462&lt;&gt;0),1,0)</f>
        <v/>
      </c>
      <c r="AG462" s="55">
        <f>IF(AF462=1,EOMONTH(AE462,0),"")</f>
        <v/>
      </c>
      <c r="AH462" s="9">
        <f>IF(AF462=1,UPPER(TRIM(IFERROR(INDEX($A462:$AB462,MATCH("Client",$A$1:$AB$1,0)),"")&amp;"")),"")</f>
        <v/>
      </c>
      <c r="AI462" s="9">
        <f>IF(AF462=1,IFERROR(INDEX($A462:$AB462,MATCH("Cost Centre",$A$1:$AB$1,0)),"")&amp;"","")</f>
        <v/>
      </c>
      <c r="AJ462" s="54">
        <f>IF(AND(AF462=1,AE462&gt;=set_FYStart,AE462&lt;=set_AsAt),1,0)</f>
        <v/>
      </c>
      <c r="AK462" s="54">
        <f>IF(AND(AJ462=1,AH462&lt;&gt;"",COUNTIFS($AH$2:AH462,AH462,$AJ$2:AJ462,1)=1),N(AL461)+1,"")</f>
        <v/>
      </c>
      <c r="AL462" s="54">
        <f>IF(AK462&lt;&gt;"",AK462,N(AL461))</f>
        <v/>
      </c>
    </row>
    <row r="463">
      <c r="A463" t="inlineStr">
        <is>
          <t>CON-0154</t>
        </is>
      </c>
      <c r="B463" t="inlineStr">
        <is>
          <t>Consulting</t>
        </is>
      </c>
      <c r="AB463" t="n">
        <v>154</v>
      </c>
      <c r="AD463" s="52">
        <f>IFERROR(N(IFERROR(INDEX($A463:$AB463,MATCH("Xero Invoiced Ex GST",$A$1:$AB$1,0)),"")),0)</f>
        <v/>
      </c>
      <c r="AE463" s="53">
        <f>IFERROR(INDEX($A463:$AB463,MATCH("Xero Invoice Date",$A$1:$AB$1,0)),"")</f>
        <v/>
      </c>
      <c r="AF463" s="54">
        <f>IF(AND(IFERROR(INDEX($A463:$AB463,MATCH("Xero Invoice No",$A$1:$AB$1,0)),"")&amp;""&lt;&gt;"",ISNUMBER(AE463),AD463&lt;&gt;0),1,0)</f>
        <v/>
      </c>
      <c r="AG463" s="55">
        <f>IF(AF463=1,EOMONTH(AE463,0),"")</f>
        <v/>
      </c>
      <c r="AH463" s="9">
        <f>IF(AF463=1,UPPER(TRIM(IFERROR(INDEX($A463:$AB463,MATCH("Client",$A$1:$AB$1,0)),"")&amp;"")),"")</f>
        <v/>
      </c>
      <c r="AI463" s="9">
        <f>IF(AF463=1,IFERROR(INDEX($A463:$AB463,MATCH("Cost Centre",$A$1:$AB$1,0)),"")&amp;"","")</f>
        <v/>
      </c>
      <c r="AJ463" s="54">
        <f>IF(AND(AF463=1,AE463&gt;=set_FYStart,AE463&lt;=set_AsAt),1,0)</f>
        <v/>
      </c>
      <c r="AK463" s="54">
        <f>IF(AND(AJ463=1,AH463&lt;&gt;"",COUNTIFS($AH$2:AH463,AH463,$AJ$2:AJ463,1)=1),N(AL462)+1,"")</f>
        <v/>
      </c>
      <c r="AL463" s="54">
        <f>IF(AK463&lt;&gt;"",AK463,N(AL462))</f>
        <v/>
      </c>
    </row>
    <row r="464">
      <c r="A464" t="inlineStr">
        <is>
          <t>ONS-0155</t>
        </is>
      </c>
      <c r="B464" t="inlineStr">
        <is>
          <t>Onsite</t>
        </is>
      </c>
      <c r="R464" t="inlineStr">
        <is>
          <t>GST 10%</t>
        </is>
      </c>
      <c r="AB464" t="n">
        <v>155</v>
      </c>
      <c r="AD464" s="52">
        <f>IFERROR(N(IFERROR(INDEX($A464:$AB464,MATCH("Xero Invoiced Ex GST",$A$1:$AB$1,0)),"")),0)</f>
        <v/>
      </c>
      <c r="AE464" s="53">
        <f>IFERROR(INDEX($A464:$AB464,MATCH("Xero Invoice Date",$A$1:$AB$1,0)),"")</f>
        <v/>
      </c>
      <c r="AF464" s="54">
        <f>IF(AND(IFERROR(INDEX($A464:$AB464,MATCH("Xero Invoice No",$A$1:$AB$1,0)),"")&amp;""&lt;&gt;"",ISNUMBER(AE464),AD464&lt;&gt;0),1,0)</f>
        <v/>
      </c>
      <c r="AG464" s="55">
        <f>IF(AF464=1,EOMONTH(AE464,0),"")</f>
        <v/>
      </c>
      <c r="AH464" s="9">
        <f>IF(AF464=1,UPPER(TRIM(IFERROR(INDEX($A464:$AB464,MATCH("Client",$A$1:$AB$1,0)),"")&amp;"")),"")</f>
        <v/>
      </c>
      <c r="AI464" s="9">
        <f>IF(AF464=1,IFERROR(INDEX($A464:$AB464,MATCH("Cost Centre",$A$1:$AB$1,0)),"")&amp;"","")</f>
        <v/>
      </c>
      <c r="AJ464" s="54">
        <f>IF(AND(AF464=1,AE464&gt;=set_FYStart,AE464&lt;=set_AsAt),1,0)</f>
        <v/>
      </c>
      <c r="AK464" s="54">
        <f>IF(AND(AJ464=1,AH464&lt;&gt;"",COUNTIFS($AH$2:AH464,AH464,$AJ$2:AJ464,1)=1),N(AL463)+1,"")</f>
        <v/>
      </c>
      <c r="AL464" s="54">
        <f>IF(AK464&lt;&gt;"",AK464,N(AL463))</f>
        <v/>
      </c>
    </row>
    <row r="465">
      <c r="A465" t="inlineStr">
        <is>
          <t>PRD-0155</t>
        </is>
      </c>
      <c r="B465" t="inlineStr">
        <is>
          <t>Production</t>
        </is>
      </c>
      <c r="AB465" t="n">
        <v>155</v>
      </c>
      <c r="AD465" s="52">
        <f>IFERROR(N(IFERROR(INDEX($A465:$AB465,MATCH("Xero Invoiced Ex GST",$A$1:$AB$1,0)),"")),0)</f>
        <v/>
      </c>
      <c r="AE465" s="53">
        <f>IFERROR(INDEX($A465:$AB465,MATCH("Xero Invoice Date",$A$1:$AB$1,0)),"")</f>
        <v/>
      </c>
      <c r="AF465" s="54">
        <f>IF(AND(IFERROR(INDEX($A465:$AB465,MATCH("Xero Invoice No",$A$1:$AB$1,0)),"")&amp;""&lt;&gt;"",ISNUMBER(AE465),AD465&lt;&gt;0),1,0)</f>
        <v/>
      </c>
      <c r="AG465" s="55">
        <f>IF(AF465=1,EOMONTH(AE465,0),"")</f>
        <v/>
      </c>
      <c r="AH465" s="9">
        <f>IF(AF465=1,UPPER(TRIM(IFERROR(INDEX($A465:$AB465,MATCH("Client",$A$1:$AB$1,0)),"")&amp;"")),"")</f>
        <v/>
      </c>
      <c r="AI465" s="9">
        <f>IF(AF465=1,IFERROR(INDEX($A465:$AB465,MATCH("Cost Centre",$A$1:$AB$1,0)),"")&amp;"","")</f>
        <v/>
      </c>
      <c r="AJ465" s="54">
        <f>IF(AND(AF465=1,AE465&gt;=set_FYStart,AE465&lt;=set_AsAt),1,0)</f>
        <v/>
      </c>
      <c r="AK465" s="54">
        <f>IF(AND(AJ465=1,AH465&lt;&gt;"",COUNTIFS($AH$2:AH465,AH465,$AJ$2:AJ465,1)=1),N(AL464)+1,"")</f>
        <v/>
      </c>
      <c r="AL465" s="54">
        <f>IF(AK465&lt;&gt;"",AK465,N(AL464))</f>
        <v/>
      </c>
    </row>
    <row r="466">
      <c r="A466" t="inlineStr">
        <is>
          <t>CON-0155</t>
        </is>
      </c>
      <c r="B466" t="inlineStr">
        <is>
          <t>Consulting</t>
        </is>
      </c>
      <c r="AB466" t="n">
        <v>155</v>
      </c>
      <c r="AD466" s="52">
        <f>IFERROR(N(IFERROR(INDEX($A466:$AB466,MATCH("Xero Invoiced Ex GST",$A$1:$AB$1,0)),"")),0)</f>
        <v/>
      </c>
      <c r="AE466" s="53">
        <f>IFERROR(INDEX($A466:$AB466,MATCH("Xero Invoice Date",$A$1:$AB$1,0)),"")</f>
        <v/>
      </c>
      <c r="AF466" s="54">
        <f>IF(AND(IFERROR(INDEX($A466:$AB466,MATCH("Xero Invoice No",$A$1:$AB$1,0)),"")&amp;""&lt;&gt;"",ISNUMBER(AE466),AD466&lt;&gt;0),1,0)</f>
        <v/>
      </c>
      <c r="AG466" s="55">
        <f>IF(AF466=1,EOMONTH(AE466,0),"")</f>
        <v/>
      </c>
      <c r="AH466" s="9">
        <f>IF(AF466=1,UPPER(TRIM(IFERROR(INDEX($A466:$AB466,MATCH("Client",$A$1:$AB$1,0)),"")&amp;"")),"")</f>
        <v/>
      </c>
      <c r="AI466" s="9">
        <f>IF(AF466=1,IFERROR(INDEX($A466:$AB466,MATCH("Cost Centre",$A$1:$AB$1,0)),"")&amp;"","")</f>
        <v/>
      </c>
      <c r="AJ466" s="54">
        <f>IF(AND(AF466=1,AE466&gt;=set_FYStart,AE466&lt;=set_AsAt),1,0)</f>
        <v/>
      </c>
      <c r="AK466" s="54">
        <f>IF(AND(AJ466=1,AH466&lt;&gt;"",COUNTIFS($AH$2:AH466,AH466,$AJ$2:AJ466,1)=1),N(AL465)+1,"")</f>
        <v/>
      </c>
      <c r="AL466" s="54">
        <f>IF(AK466&lt;&gt;"",AK466,N(AL465))</f>
        <v/>
      </c>
    </row>
    <row r="467">
      <c r="A467" t="inlineStr">
        <is>
          <t>ONS-0156</t>
        </is>
      </c>
      <c r="B467" t="inlineStr">
        <is>
          <t>Onsite</t>
        </is>
      </c>
      <c r="R467" t="inlineStr">
        <is>
          <t>GST 10%</t>
        </is>
      </c>
      <c r="AB467" t="n">
        <v>156</v>
      </c>
      <c r="AD467" s="52">
        <f>IFERROR(N(IFERROR(INDEX($A467:$AB467,MATCH("Xero Invoiced Ex GST",$A$1:$AB$1,0)),"")),0)</f>
        <v/>
      </c>
      <c r="AE467" s="53">
        <f>IFERROR(INDEX($A467:$AB467,MATCH("Xero Invoice Date",$A$1:$AB$1,0)),"")</f>
        <v/>
      </c>
      <c r="AF467" s="54">
        <f>IF(AND(IFERROR(INDEX($A467:$AB467,MATCH("Xero Invoice No",$A$1:$AB$1,0)),"")&amp;""&lt;&gt;"",ISNUMBER(AE467),AD467&lt;&gt;0),1,0)</f>
        <v/>
      </c>
      <c r="AG467" s="55">
        <f>IF(AF467=1,EOMONTH(AE467,0),"")</f>
        <v/>
      </c>
      <c r="AH467" s="9">
        <f>IF(AF467=1,UPPER(TRIM(IFERROR(INDEX($A467:$AB467,MATCH("Client",$A$1:$AB$1,0)),"")&amp;"")),"")</f>
        <v/>
      </c>
      <c r="AI467" s="9">
        <f>IF(AF467=1,IFERROR(INDEX($A467:$AB467,MATCH("Cost Centre",$A$1:$AB$1,0)),"")&amp;"","")</f>
        <v/>
      </c>
      <c r="AJ467" s="54">
        <f>IF(AND(AF467=1,AE467&gt;=set_FYStart,AE467&lt;=set_AsAt),1,0)</f>
        <v/>
      </c>
      <c r="AK467" s="54">
        <f>IF(AND(AJ467=1,AH467&lt;&gt;"",COUNTIFS($AH$2:AH467,AH467,$AJ$2:AJ467,1)=1),N(AL466)+1,"")</f>
        <v/>
      </c>
      <c r="AL467" s="54">
        <f>IF(AK467&lt;&gt;"",AK467,N(AL466))</f>
        <v/>
      </c>
    </row>
    <row r="468">
      <c r="A468" t="inlineStr">
        <is>
          <t>PRD-0156</t>
        </is>
      </c>
      <c r="B468" t="inlineStr">
        <is>
          <t>Production</t>
        </is>
      </c>
      <c r="AB468" t="n">
        <v>156</v>
      </c>
      <c r="AD468" s="52">
        <f>IFERROR(N(IFERROR(INDEX($A468:$AB468,MATCH("Xero Invoiced Ex GST",$A$1:$AB$1,0)),"")),0)</f>
        <v/>
      </c>
      <c r="AE468" s="53">
        <f>IFERROR(INDEX($A468:$AB468,MATCH("Xero Invoice Date",$A$1:$AB$1,0)),"")</f>
        <v/>
      </c>
      <c r="AF468" s="54">
        <f>IF(AND(IFERROR(INDEX($A468:$AB468,MATCH("Xero Invoice No",$A$1:$AB$1,0)),"")&amp;""&lt;&gt;"",ISNUMBER(AE468),AD468&lt;&gt;0),1,0)</f>
        <v/>
      </c>
      <c r="AG468" s="55">
        <f>IF(AF468=1,EOMONTH(AE468,0),"")</f>
        <v/>
      </c>
      <c r="AH468" s="9">
        <f>IF(AF468=1,UPPER(TRIM(IFERROR(INDEX($A468:$AB468,MATCH("Client",$A$1:$AB$1,0)),"")&amp;"")),"")</f>
        <v/>
      </c>
      <c r="AI468" s="9">
        <f>IF(AF468=1,IFERROR(INDEX($A468:$AB468,MATCH("Cost Centre",$A$1:$AB$1,0)),"")&amp;"","")</f>
        <v/>
      </c>
      <c r="AJ468" s="54">
        <f>IF(AND(AF468=1,AE468&gt;=set_FYStart,AE468&lt;=set_AsAt),1,0)</f>
        <v/>
      </c>
      <c r="AK468" s="54">
        <f>IF(AND(AJ468=1,AH468&lt;&gt;"",COUNTIFS($AH$2:AH468,AH468,$AJ$2:AJ468,1)=1),N(AL467)+1,"")</f>
        <v/>
      </c>
      <c r="AL468" s="54">
        <f>IF(AK468&lt;&gt;"",AK468,N(AL467))</f>
        <v/>
      </c>
    </row>
    <row r="469">
      <c r="A469" t="inlineStr">
        <is>
          <t>CON-0156</t>
        </is>
      </c>
      <c r="B469" t="inlineStr">
        <is>
          <t>Consulting</t>
        </is>
      </c>
      <c r="AB469" t="n">
        <v>156</v>
      </c>
      <c r="AD469" s="52">
        <f>IFERROR(N(IFERROR(INDEX($A469:$AB469,MATCH("Xero Invoiced Ex GST",$A$1:$AB$1,0)),"")),0)</f>
        <v/>
      </c>
      <c r="AE469" s="53">
        <f>IFERROR(INDEX($A469:$AB469,MATCH("Xero Invoice Date",$A$1:$AB$1,0)),"")</f>
        <v/>
      </c>
      <c r="AF469" s="54">
        <f>IF(AND(IFERROR(INDEX($A469:$AB469,MATCH("Xero Invoice No",$A$1:$AB$1,0)),"")&amp;""&lt;&gt;"",ISNUMBER(AE469),AD469&lt;&gt;0),1,0)</f>
        <v/>
      </c>
      <c r="AG469" s="55">
        <f>IF(AF469=1,EOMONTH(AE469,0),"")</f>
        <v/>
      </c>
      <c r="AH469" s="9">
        <f>IF(AF469=1,UPPER(TRIM(IFERROR(INDEX($A469:$AB469,MATCH("Client",$A$1:$AB$1,0)),"")&amp;"")),"")</f>
        <v/>
      </c>
      <c r="AI469" s="9">
        <f>IF(AF469=1,IFERROR(INDEX($A469:$AB469,MATCH("Cost Centre",$A$1:$AB$1,0)),"")&amp;"","")</f>
        <v/>
      </c>
      <c r="AJ469" s="54">
        <f>IF(AND(AF469=1,AE469&gt;=set_FYStart,AE469&lt;=set_AsAt),1,0)</f>
        <v/>
      </c>
      <c r="AK469" s="54">
        <f>IF(AND(AJ469=1,AH469&lt;&gt;"",COUNTIFS($AH$2:AH469,AH469,$AJ$2:AJ469,1)=1),N(AL468)+1,"")</f>
        <v/>
      </c>
      <c r="AL469" s="54">
        <f>IF(AK469&lt;&gt;"",AK469,N(AL468))</f>
        <v/>
      </c>
    </row>
    <row r="470">
      <c r="A470" t="inlineStr">
        <is>
          <t>ONS-0157</t>
        </is>
      </c>
      <c r="B470" t="inlineStr">
        <is>
          <t>Onsite</t>
        </is>
      </c>
      <c r="R470" t="inlineStr">
        <is>
          <t>GST 10%</t>
        </is>
      </c>
      <c r="AB470" t="n">
        <v>157</v>
      </c>
      <c r="AD470" s="52">
        <f>IFERROR(N(IFERROR(INDEX($A470:$AB470,MATCH("Xero Invoiced Ex GST",$A$1:$AB$1,0)),"")),0)</f>
        <v/>
      </c>
      <c r="AE470" s="53">
        <f>IFERROR(INDEX($A470:$AB470,MATCH("Xero Invoice Date",$A$1:$AB$1,0)),"")</f>
        <v/>
      </c>
      <c r="AF470" s="54">
        <f>IF(AND(IFERROR(INDEX($A470:$AB470,MATCH("Xero Invoice No",$A$1:$AB$1,0)),"")&amp;""&lt;&gt;"",ISNUMBER(AE470),AD470&lt;&gt;0),1,0)</f>
        <v/>
      </c>
      <c r="AG470" s="55">
        <f>IF(AF470=1,EOMONTH(AE470,0),"")</f>
        <v/>
      </c>
      <c r="AH470" s="9">
        <f>IF(AF470=1,UPPER(TRIM(IFERROR(INDEX($A470:$AB470,MATCH("Client",$A$1:$AB$1,0)),"")&amp;"")),"")</f>
        <v/>
      </c>
      <c r="AI470" s="9">
        <f>IF(AF470=1,IFERROR(INDEX($A470:$AB470,MATCH("Cost Centre",$A$1:$AB$1,0)),"")&amp;"","")</f>
        <v/>
      </c>
      <c r="AJ470" s="54">
        <f>IF(AND(AF470=1,AE470&gt;=set_FYStart,AE470&lt;=set_AsAt),1,0)</f>
        <v/>
      </c>
      <c r="AK470" s="54">
        <f>IF(AND(AJ470=1,AH470&lt;&gt;"",COUNTIFS($AH$2:AH470,AH470,$AJ$2:AJ470,1)=1),N(AL469)+1,"")</f>
        <v/>
      </c>
      <c r="AL470" s="54">
        <f>IF(AK470&lt;&gt;"",AK470,N(AL469))</f>
        <v/>
      </c>
    </row>
    <row r="471">
      <c r="A471" t="inlineStr">
        <is>
          <t>PRD-0157</t>
        </is>
      </c>
      <c r="B471" t="inlineStr">
        <is>
          <t>Production</t>
        </is>
      </c>
      <c r="AB471" t="n">
        <v>157</v>
      </c>
      <c r="AD471" s="52">
        <f>IFERROR(N(IFERROR(INDEX($A471:$AB471,MATCH("Xero Invoiced Ex GST",$A$1:$AB$1,0)),"")),0)</f>
        <v/>
      </c>
      <c r="AE471" s="53">
        <f>IFERROR(INDEX($A471:$AB471,MATCH("Xero Invoice Date",$A$1:$AB$1,0)),"")</f>
        <v/>
      </c>
      <c r="AF471" s="54">
        <f>IF(AND(IFERROR(INDEX($A471:$AB471,MATCH("Xero Invoice No",$A$1:$AB$1,0)),"")&amp;""&lt;&gt;"",ISNUMBER(AE471),AD471&lt;&gt;0),1,0)</f>
        <v/>
      </c>
      <c r="AG471" s="55">
        <f>IF(AF471=1,EOMONTH(AE471,0),"")</f>
        <v/>
      </c>
      <c r="AH471" s="9">
        <f>IF(AF471=1,UPPER(TRIM(IFERROR(INDEX($A471:$AB471,MATCH("Client",$A$1:$AB$1,0)),"")&amp;"")),"")</f>
        <v/>
      </c>
      <c r="AI471" s="9">
        <f>IF(AF471=1,IFERROR(INDEX($A471:$AB471,MATCH("Cost Centre",$A$1:$AB$1,0)),"")&amp;"","")</f>
        <v/>
      </c>
      <c r="AJ471" s="54">
        <f>IF(AND(AF471=1,AE471&gt;=set_FYStart,AE471&lt;=set_AsAt),1,0)</f>
        <v/>
      </c>
      <c r="AK471" s="54">
        <f>IF(AND(AJ471=1,AH471&lt;&gt;"",COUNTIFS($AH$2:AH471,AH471,$AJ$2:AJ471,1)=1),N(AL470)+1,"")</f>
        <v/>
      </c>
      <c r="AL471" s="54">
        <f>IF(AK471&lt;&gt;"",AK471,N(AL470))</f>
        <v/>
      </c>
    </row>
    <row r="472">
      <c r="A472" t="inlineStr">
        <is>
          <t>CON-0157</t>
        </is>
      </c>
      <c r="B472" t="inlineStr">
        <is>
          <t>Consulting</t>
        </is>
      </c>
      <c r="AB472" t="n">
        <v>157</v>
      </c>
      <c r="AD472" s="52">
        <f>IFERROR(N(IFERROR(INDEX($A472:$AB472,MATCH("Xero Invoiced Ex GST",$A$1:$AB$1,0)),"")),0)</f>
        <v/>
      </c>
      <c r="AE472" s="53">
        <f>IFERROR(INDEX($A472:$AB472,MATCH("Xero Invoice Date",$A$1:$AB$1,0)),"")</f>
        <v/>
      </c>
      <c r="AF472" s="54">
        <f>IF(AND(IFERROR(INDEX($A472:$AB472,MATCH("Xero Invoice No",$A$1:$AB$1,0)),"")&amp;""&lt;&gt;"",ISNUMBER(AE472),AD472&lt;&gt;0),1,0)</f>
        <v/>
      </c>
      <c r="AG472" s="55">
        <f>IF(AF472=1,EOMONTH(AE472,0),"")</f>
        <v/>
      </c>
      <c r="AH472" s="9">
        <f>IF(AF472=1,UPPER(TRIM(IFERROR(INDEX($A472:$AB472,MATCH("Client",$A$1:$AB$1,0)),"")&amp;"")),"")</f>
        <v/>
      </c>
      <c r="AI472" s="9">
        <f>IF(AF472=1,IFERROR(INDEX($A472:$AB472,MATCH("Cost Centre",$A$1:$AB$1,0)),"")&amp;"","")</f>
        <v/>
      </c>
      <c r="AJ472" s="54">
        <f>IF(AND(AF472=1,AE472&gt;=set_FYStart,AE472&lt;=set_AsAt),1,0)</f>
        <v/>
      </c>
      <c r="AK472" s="54">
        <f>IF(AND(AJ472=1,AH472&lt;&gt;"",COUNTIFS($AH$2:AH472,AH472,$AJ$2:AJ472,1)=1),N(AL471)+1,"")</f>
        <v/>
      </c>
      <c r="AL472" s="54">
        <f>IF(AK472&lt;&gt;"",AK472,N(AL471))</f>
        <v/>
      </c>
    </row>
    <row r="473">
      <c r="A473" t="inlineStr">
        <is>
          <t>ONS-0158</t>
        </is>
      </c>
      <c r="B473" t="inlineStr">
        <is>
          <t>Onsite</t>
        </is>
      </c>
      <c r="R473" t="inlineStr">
        <is>
          <t>GST 10%</t>
        </is>
      </c>
      <c r="AB473" t="n">
        <v>158</v>
      </c>
      <c r="AD473" s="52">
        <f>IFERROR(N(IFERROR(INDEX($A473:$AB473,MATCH("Xero Invoiced Ex GST",$A$1:$AB$1,0)),"")),0)</f>
        <v/>
      </c>
      <c r="AE473" s="53">
        <f>IFERROR(INDEX($A473:$AB473,MATCH("Xero Invoice Date",$A$1:$AB$1,0)),"")</f>
        <v/>
      </c>
      <c r="AF473" s="54">
        <f>IF(AND(IFERROR(INDEX($A473:$AB473,MATCH("Xero Invoice No",$A$1:$AB$1,0)),"")&amp;""&lt;&gt;"",ISNUMBER(AE473),AD473&lt;&gt;0),1,0)</f>
        <v/>
      </c>
      <c r="AG473" s="55">
        <f>IF(AF473=1,EOMONTH(AE473,0),"")</f>
        <v/>
      </c>
      <c r="AH473" s="9">
        <f>IF(AF473=1,UPPER(TRIM(IFERROR(INDEX($A473:$AB473,MATCH("Client",$A$1:$AB$1,0)),"")&amp;"")),"")</f>
        <v/>
      </c>
      <c r="AI473" s="9">
        <f>IF(AF473=1,IFERROR(INDEX($A473:$AB473,MATCH("Cost Centre",$A$1:$AB$1,0)),"")&amp;"","")</f>
        <v/>
      </c>
      <c r="AJ473" s="54">
        <f>IF(AND(AF473=1,AE473&gt;=set_FYStart,AE473&lt;=set_AsAt),1,0)</f>
        <v/>
      </c>
      <c r="AK473" s="54">
        <f>IF(AND(AJ473=1,AH473&lt;&gt;"",COUNTIFS($AH$2:AH473,AH473,$AJ$2:AJ473,1)=1),N(AL472)+1,"")</f>
        <v/>
      </c>
      <c r="AL473" s="54">
        <f>IF(AK473&lt;&gt;"",AK473,N(AL472))</f>
        <v/>
      </c>
    </row>
    <row r="474">
      <c r="A474" t="inlineStr">
        <is>
          <t>PRD-0158</t>
        </is>
      </c>
      <c r="B474" t="inlineStr">
        <is>
          <t>Production</t>
        </is>
      </c>
      <c r="AB474" t="n">
        <v>158</v>
      </c>
      <c r="AD474" s="52">
        <f>IFERROR(N(IFERROR(INDEX($A474:$AB474,MATCH("Xero Invoiced Ex GST",$A$1:$AB$1,0)),"")),0)</f>
        <v/>
      </c>
      <c r="AE474" s="53">
        <f>IFERROR(INDEX($A474:$AB474,MATCH("Xero Invoice Date",$A$1:$AB$1,0)),"")</f>
        <v/>
      </c>
      <c r="AF474" s="54">
        <f>IF(AND(IFERROR(INDEX($A474:$AB474,MATCH("Xero Invoice No",$A$1:$AB$1,0)),"")&amp;""&lt;&gt;"",ISNUMBER(AE474),AD474&lt;&gt;0),1,0)</f>
        <v/>
      </c>
      <c r="AG474" s="55">
        <f>IF(AF474=1,EOMONTH(AE474,0),"")</f>
        <v/>
      </c>
      <c r="AH474" s="9">
        <f>IF(AF474=1,UPPER(TRIM(IFERROR(INDEX($A474:$AB474,MATCH("Client",$A$1:$AB$1,0)),"")&amp;"")),"")</f>
        <v/>
      </c>
      <c r="AI474" s="9">
        <f>IF(AF474=1,IFERROR(INDEX($A474:$AB474,MATCH("Cost Centre",$A$1:$AB$1,0)),"")&amp;"","")</f>
        <v/>
      </c>
      <c r="AJ474" s="54">
        <f>IF(AND(AF474=1,AE474&gt;=set_FYStart,AE474&lt;=set_AsAt),1,0)</f>
        <v/>
      </c>
      <c r="AK474" s="54">
        <f>IF(AND(AJ474=1,AH474&lt;&gt;"",COUNTIFS($AH$2:AH474,AH474,$AJ$2:AJ474,1)=1),N(AL473)+1,"")</f>
        <v/>
      </c>
      <c r="AL474" s="54">
        <f>IF(AK474&lt;&gt;"",AK474,N(AL473))</f>
        <v/>
      </c>
    </row>
    <row r="475">
      <c r="A475" t="inlineStr">
        <is>
          <t>CON-0158</t>
        </is>
      </c>
      <c r="B475" t="inlineStr">
        <is>
          <t>Consulting</t>
        </is>
      </c>
      <c r="AB475" t="n">
        <v>158</v>
      </c>
      <c r="AD475" s="52">
        <f>IFERROR(N(IFERROR(INDEX($A475:$AB475,MATCH("Xero Invoiced Ex GST",$A$1:$AB$1,0)),"")),0)</f>
        <v/>
      </c>
      <c r="AE475" s="53">
        <f>IFERROR(INDEX($A475:$AB475,MATCH("Xero Invoice Date",$A$1:$AB$1,0)),"")</f>
        <v/>
      </c>
      <c r="AF475" s="54">
        <f>IF(AND(IFERROR(INDEX($A475:$AB475,MATCH("Xero Invoice No",$A$1:$AB$1,0)),"")&amp;""&lt;&gt;"",ISNUMBER(AE475),AD475&lt;&gt;0),1,0)</f>
        <v/>
      </c>
      <c r="AG475" s="55">
        <f>IF(AF475=1,EOMONTH(AE475,0),"")</f>
        <v/>
      </c>
      <c r="AH475" s="9">
        <f>IF(AF475=1,UPPER(TRIM(IFERROR(INDEX($A475:$AB475,MATCH("Client",$A$1:$AB$1,0)),"")&amp;"")),"")</f>
        <v/>
      </c>
      <c r="AI475" s="9">
        <f>IF(AF475=1,IFERROR(INDEX($A475:$AB475,MATCH("Cost Centre",$A$1:$AB$1,0)),"")&amp;"","")</f>
        <v/>
      </c>
      <c r="AJ475" s="54">
        <f>IF(AND(AF475=1,AE475&gt;=set_FYStart,AE475&lt;=set_AsAt),1,0)</f>
        <v/>
      </c>
      <c r="AK475" s="54">
        <f>IF(AND(AJ475=1,AH475&lt;&gt;"",COUNTIFS($AH$2:AH475,AH475,$AJ$2:AJ475,1)=1),N(AL474)+1,"")</f>
        <v/>
      </c>
      <c r="AL475" s="54">
        <f>IF(AK475&lt;&gt;"",AK475,N(AL474))</f>
        <v/>
      </c>
    </row>
    <row r="476">
      <c r="A476" t="inlineStr">
        <is>
          <t>ONS-0159</t>
        </is>
      </c>
      <c r="B476" t="inlineStr">
        <is>
          <t>Onsite</t>
        </is>
      </c>
      <c r="R476" t="inlineStr">
        <is>
          <t>GST 10%</t>
        </is>
      </c>
      <c r="AB476" t="n">
        <v>159</v>
      </c>
      <c r="AD476" s="52">
        <f>IFERROR(N(IFERROR(INDEX($A476:$AB476,MATCH("Xero Invoiced Ex GST",$A$1:$AB$1,0)),"")),0)</f>
        <v/>
      </c>
      <c r="AE476" s="53">
        <f>IFERROR(INDEX($A476:$AB476,MATCH("Xero Invoice Date",$A$1:$AB$1,0)),"")</f>
        <v/>
      </c>
      <c r="AF476" s="54">
        <f>IF(AND(IFERROR(INDEX($A476:$AB476,MATCH("Xero Invoice No",$A$1:$AB$1,0)),"")&amp;""&lt;&gt;"",ISNUMBER(AE476),AD476&lt;&gt;0),1,0)</f>
        <v/>
      </c>
      <c r="AG476" s="55">
        <f>IF(AF476=1,EOMONTH(AE476,0),"")</f>
        <v/>
      </c>
      <c r="AH476" s="9">
        <f>IF(AF476=1,UPPER(TRIM(IFERROR(INDEX($A476:$AB476,MATCH("Client",$A$1:$AB$1,0)),"")&amp;"")),"")</f>
        <v/>
      </c>
      <c r="AI476" s="9">
        <f>IF(AF476=1,IFERROR(INDEX($A476:$AB476,MATCH("Cost Centre",$A$1:$AB$1,0)),"")&amp;"","")</f>
        <v/>
      </c>
      <c r="AJ476" s="54">
        <f>IF(AND(AF476=1,AE476&gt;=set_FYStart,AE476&lt;=set_AsAt),1,0)</f>
        <v/>
      </c>
      <c r="AK476" s="54">
        <f>IF(AND(AJ476=1,AH476&lt;&gt;"",COUNTIFS($AH$2:AH476,AH476,$AJ$2:AJ476,1)=1),N(AL475)+1,"")</f>
        <v/>
      </c>
      <c r="AL476" s="54">
        <f>IF(AK476&lt;&gt;"",AK476,N(AL475))</f>
        <v/>
      </c>
    </row>
    <row r="477">
      <c r="A477" t="inlineStr">
        <is>
          <t>PRD-0159</t>
        </is>
      </c>
      <c r="B477" t="inlineStr">
        <is>
          <t>Production</t>
        </is>
      </c>
      <c r="AB477" t="n">
        <v>159</v>
      </c>
      <c r="AD477" s="52">
        <f>IFERROR(N(IFERROR(INDEX($A477:$AB477,MATCH("Xero Invoiced Ex GST",$A$1:$AB$1,0)),"")),0)</f>
        <v/>
      </c>
      <c r="AE477" s="53">
        <f>IFERROR(INDEX($A477:$AB477,MATCH("Xero Invoice Date",$A$1:$AB$1,0)),"")</f>
        <v/>
      </c>
      <c r="AF477" s="54">
        <f>IF(AND(IFERROR(INDEX($A477:$AB477,MATCH("Xero Invoice No",$A$1:$AB$1,0)),"")&amp;""&lt;&gt;"",ISNUMBER(AE477),AD477&lt;&gt;0),1,0)</f>
        <v/>
      </c>
      <c r="AG477" s="55">
        <f>IF(AF477=1,EOMONTH(AE477,0),"")</f>
        <v/>
      </c>
      <c r="AH477" s="9">
        <f>IF(AF477=1,UPPER(TRIM(IFERROR(INDEX($A477:$AB477,MATCH("Client",$A$1:$AB$1,0)),"")&amp;"")),"")</f>
        <v/>
      </c>
      <c r="AI477" s="9">
        <f>IF(AF477=1,IFERROR(INDEX($A477:$AB477,MATCH("Cost Centre",$A$1:$AB$1,0)),"")&amp;"","")</f>
        <v/>
      </c>
      <c r="AJ477" s="54">
        <f>IF(AND(AF477=1,AE477&gt;=set_FYStart,AE477&lt;=set_AsAt),1,0)</f>
        <v/>
      </c>
      <c r="AK477" s="54">
        <f>IF(AND(AJ477=1,AH477&lt;&gt;"",COUNTIFS($AH$2:AH477,AH477,$AJ$2:AJ477,1)=1),N(AL476)+1,"")</f>
        <v/>
      </c>
      <c r="AL477" s="54">
        <f>IF(AK477&lt;&gt;"",AK477,N(AL476))</f>
        <v/>
      </c>
    </row>
    <row r="478">
      <c r="A478" t="inlineStr">
        <is>
          <t>CON-0159</t>
        </is>
      </c>
      <c r="B478" t="inlineStr">
        <is>
          <t>Consulting</t>
        </is>
      </c>
      <c r="AB478" t="n">
        <v>159</v>
      </c>
      <c r="AD478" s="52">
        <f>IFERROR(N(IFERROR(INDEX($A478:$AB478,MATCH("Xero Invoiced Ex GST",$A$1:$AB$1,0)),"")),0)</f>
        <v/>
      </c>
      <c r="AE478" s="53">
        <f>IFERROR(INDEX($A478:$AB478,MATCH("Xero Invoice Date",$A$1:$AB$1,0)),"")</f>
        <v/>
      </c>
      <c r="AF478" s="54">
        <f>IF(AND(IFERROR(INDEX($A478:$AB478,MATCH("Xero Invoice No",$A$1:$AB$1,0)),"")&amp;""&lt;&gt;"",ISNUMBER(AE478),AD478&lt;&gt;0),1,0)</f>
        <v/>
      </c>
      <c r="AG478" s="55">
        <f>IF(AF478=1,EOMONTH(AE478,0),"")</f>
        <v/>
      </c>
      <c r="AH478" s="9">
        <f>IF(AF478=1,UPPER(TRIM(IFERROR(INDEX($A478:$AB478,MATCH("Client",$A$1:$AB$1,0)),"")&amp;"")),"")</f>
        <v/>
      </c>
      <c r="AI478" s="9">
        <f>IF(AF478=1,IFERROR(INDEX($A478:$AB478,MATCH("Cost Centre",$A$1:$AB$1,0)),"")&amp;"","")</f>
        <v/>
      </c>
      <c r="AJ478" s="54">
        <f>IF(AND(AF478=1,AE478&gt;=set_FYStart,AE478&lt;=set_AsAt),1,0)</f>
        <v/>
      </c>
      <c r="AK478" s="54">
        <f>IF(AND(AJ478=1,AH478&lt;&gt;"",COUNTIFS($AH$2:AH478,AH478,$AJ$2:AJ478,1)=1),N(AL477)+1,"")</f>
        <v/>
      </c>
      <c r="AL478" s="54">
        <f>IF(AK478&lt;&gt;"",AK478,N(AL477))</f>
        <v/>
      </c>
    </row>
    <row r="479">
      <c r="A479" t="inlineStr">
        <is>
          <t>ONS-0160</t>
        </is>
      </c>
      <c r="B479" t="inlineStr">
        <is>
          <t>Onsite</t>
        </is>
      </c>
      <c r="R479" t="inlineStr">
        <is>
          <t>GST 10%</t>
        </is>
      </c>
      <c r="AB479" t="n">
        <v>160</v>
      </c>
      <c r="AD479" s="52">
        <f>IFERROR(N(IFERROR(INDEX($A479:$AB479,MATCH("Xero Invoiced Ex GST",$A$1:$AB$1,0)),"")),0)</f>
        <v/>
      </c>
      <c r="AE479" s="53">
        <f>IFERROR(INDEX($A479:$AB479,MATCH("Xero Invoice Date",$A$1:$AB$1,0)),"")</f>
        <v/>
      </c>
      <c r="AF479" s="54">
        <f>IF(AND(IFERROR(INDEX($A479:$AB479,MATCH("Xero Invoice No",$A$1:$AB$1,0)),"")&amp;""&lt;&gt;"",ISNUMBER(AE479),AD479&lt;&gt;0),1,0)</f>
        <v/>
      </c>
      <c r="AG479" s="55">
        <f>IF(AF479=1,EOMONTH(AE479,0),"")</f>
        <v/>
      </c>
      <c r="AH479" s="9">
        <f>IF(AF479=1,UPPER(TRIM(IFERROR(INDEX($A479:$AB479,MATCH("Client",$A$1:$AB$1,0)),"")&amp;"")),"")</f>
        <v/>
      </c>
      <c r="AI479" s="9">
        <f>IF(AF479=1,IFERROR(INDEX($A479:$AB479,MATCH("Cost Centre",$A$1:$AB$1,0)),"")&amp;"","")</f>
        <v/>
      </c>
      <c r="AJ479" s="54">
        <f>IF(AND(AF479=1,AE479&gt;=set_FYStart,AE479&lt;=set_AsAt),1,0)</f>
        <v/>
      </c>
      <c r="AK479" s="54">
        <f>IF(AND(AJ479=1,AH479&lt;&gt;"",COUNTIFS($AH$2:AH479,AH479,$AJ$2:AJ479,1)=1),N(AL478)+1,"")</f>
        <v/>
      </c>
      <c r="AL479" s="54">
        <f>IF(AK479&lt;&gt;"",AK479,N(AL478))</f>
        <v/>
      </c>
    </row>
    <row r="480">
      <c r="A480" t="inlineStr">
        <is>
          <t>PRD-0160</t>
        </is>
      </c>
      <c r="B480" t="inlineStr">
        <is>
          <t>Production</t>
        </is>
      </c>
      <c r="AB480" t="n">
        <v>160</v>
      </c>
      <c r="AD480" s="52">
        <f>IFERROR(N(IFERROR(INDEX($A480:$AB480,MATCH("Xero Invoiced Ex GST",$A$1:$AB$1,0)),"")),0)</f>
        <v/>
      </c>
      <c r="AE480" s="53">
        <f>IFERROR(INDEX($A480:$AB480,MATCH("Xero Invoice Date",$A$1:$AB$1,0)),"")</f>
        <v/>
      </c>
      <c r="AF480" s="54">
        <f>IF(AND(IFERROR(INDEX($A480:$AB480,MATCH("Xero Invoice No",$A$1:$AB$1,0)),"")&amp;""&lt;&gt;"",ISNUMBER(AE480),AD480&lt;&gt;0),1,0)</f>
        <v/>
      </c>
      <c r="AG480" s="55">
        <f>IF(AF480=1,EOMONTH(AE480,0),"")</f>
        <v/>
      </c>
      <c r="AH480" s="9">
        <f>IF(AF480=1,UPPER(TRIM(IFERROR(INDEX($A480:$AB480,MATCH("Client",$A$1:$AB$1,0)),"")&amp;"")),"")</f>
        <v/>
      </c>
      <c r="AI480" s="9">
        <f>IF(AF480=1,IFERROR(INDEX($A480:$AB480,MATCH("Cost Centre",$A$1:$AB$1,0)),"")&amp;"","")</f>
        <v/>
      </c>
      <c r="AJ480" s="54">
        <f>IF(AND(AF480=1,AE480&gt;=set_FYStart,AE480&lt;=set_AsAt),1,0)</f>
        <v/>
      </c>
      <c r="AK480" s="54">
        <f>IF(AND(AJ480=1,AH480&lt;&gt;"",COUNTIFS($AH$2:AH480,AH480,$AJ$2:AJ480,1)=1),N(AL479)+1,"")</f>
        <v/>
      </c>
      <c r="AL480" s="54">
        <f>IF(AK480&lt;&gt;"",AK480,N(AL479))</f>
        <v/>
      </c>
    </row>
    <row r="481">
      <c r="A481" t="inlineStr">
        <is>
          <t>CON-0160</t>
        </is>
      </c>
      <c r="B481" t="inlineStr">
        <is>
          <t>Consulting</t>
        </is>
      </c>
      <c r="AB481" t="n">
        <v>160</v>
      </c>
      <c r="AD481" s="52">
        <f>IFERROR(N(IFERROR(INDEX($A481:$AB481,MATCH("Xero Invoiced Ex GST",$A$1:$AB$1,0)),"")),0)</f>
        <v/>
      </c>
      <c r="AE481" s="53">
        <f>IFERROR(INDEX($A481:$AB481,MATCH("Xero Invoice Date",$A$1:$AB$1,0)),"")</f>
        <v/>
      </c>
      <c r="AF481" s="54">
        <f>IF(AND(IFERROR(INDEX($A481:$AB481,MATCH("Xero Invoice No",$A$1:$AB$1,0)),"")&amp;""&lt;&gt;"",ISNUMBER(AE481),AD481&lt;&gt;0),1,0)</f>
        <v/>
      </c>
      <c r="AG481" s="55">
        <f>IF(AF481=1,EOMONTH(AE481,0),"")</f>
        <v/>
      </c>
      <c r="AH481" s="9">
        <f>IF(AF481=1,UPPER(TRIM(IFERROR(INDEX($A481:$AB481,MATCH("Client",$A$1:$AB$1,0)),"")&amp;"")),"")</f>
        <v/>
      </c>
      <c r="AI481" s="9">
        <f>IF(AF481=1,IFERROR(INDEX($A481:$AB481,MATCH("Cost Centre",$A$1:$AB$1,0)),"")&amp;"","")</f>
        <v/>
      </c>
      <c r="AJ481" s="54">
        <f>IF(AND(AF481=1,AE481&gt;=set_FYStart,AE481&lt;=set_AsAt),1,0)</f>
        <v/>
      </c>
      <c r="AK481" s="54">
        <f>IF(AND(AJ481=1,AH481&lt;&gt;"",COUNTIFS($AH$2:AH481,AH481,$AJ$2:AJ481,1)=1),N(AL480)+1,"")</f>
        <v/>
      </c>
      <c r="AL481" s="54">
        <f>IF(AK481&lt;&gt;"",AK481,N(AL480))</f>
        <v/>
      </c>
    </row>
    <row r="482">
      <c r="A482" t="inlineStr">
        <is>
          <t>ONS-0161</t>
        </is>
      </c>
      <c r="B482" t="inlineStr">
        <is>
          <t>Onsite</t>
        </is>
      </c>
      <c r="R482" t="inlineStr">
        <is>
          <t>GST 10%</t>
        </is>
      </c>
      <c r="AB482" t="n">
        <v>161</v>
      </c>
      <c r="AD482" s="52">
        <f>IFERROR(N(IFERROR(INDEX($A482:$AB482,MATCH("Xero Invoiced Ex GST",$A$1:$AB$1,0)),"")),0)</f>
        <v/>
      </c>
      <c r="AE482" s="53">
        <f>IFERROR(INDEX($A482:$AB482,MATCH("Xero Invoice Date",$A$1:$AB$1,0)),"")</f>
        <v/>
      </c>
      <c r="AF482" s="54">
        <f>IF(AND(IFERROR(INDEX($A482:$AB482,MATCH("Xero Invoice No",$A$1:$AB$1,0)),"")&amp;""&lt;&gt;"",ISNUMBER(AE482),AD482&lt;&gt;0),1,0)</f>
        <v/>
      </c>
      <c r="AG482" s="55">
        <f>IF(AF482=1,EOMONTH(AE482,0),"")</f>
        <v/>
      </c>
      <c r="AH482" s="9">
        <f>IF(AF482=1,UPPER(TRIM(IFERROR(INDEX($A482:$AB482,MATCH("Client",$A$1:$AB$1,0)),"")&amp;"")),"")</f>
        <v/>
      </c>
      <c r="AI482" s="9">
        <f>IF(AF482=1,IFERROR(INDEX($A482:$AB482,MATCH("Cost Centre",$A$1:$AB$1,0)),"")&amp;"","")</f>
        <v/>
      </c>
      <c r="AJ482" s="54">
        <f>IF(AND(AF482=1,AE482&gt;=set_FYStart,AE482&lt;=set_AsAt),1,0)</f>
        <v/>
      </c>
      <c r="AK482" s="54">
        <f>IF(AND(AJ482=1,AH482&lt;&gt;"",COUNTIFS($AH$2:AH482,AH482,$AJ$2:AJ482,1)=1),N(AL481)+1,"")</f>
        <v/>
      </c>
      <c r="AL482" s="54">
        <f>IF(AK482&lt;&gt;"",AK482,N(AL481))</f>
        <v/>
      </c>
    </row>
    <row r="483">
      <c r="A483" t="inlineStr">
        <is>
          <t>PRD-0161</t>
        </is>
      </c>
      <c r="B483" t="inlineStr">
        <is>
          <t>Production</t>
        </is>
      </c>
      <c r="AB483" t="n">
        <v>161</v>
      </c>
      <c r="AD483" s="52">
        <f>IFERROR(N(IFERROR(INDEX($A483:$AB483,MATCH("Xero Invoiced Ex GST",$A$1:$AB$1,0)),"")),0)</f>
        <v/>
      </c>
      <c r="AE483" s="53">
        <f>IFERROR(INDEX($A483:$AB483,MATCH("Xero Invoice Date",$A$1:$AB$1,0)),"")</f>
        <v/>
      </c>
      <c r="AF483" s="54">
        <f>IF(AND(IFERROR(INDEX($A483:$AB483,MATCH("Xero Invoice No",$A$1:$AB$1,0)),"")&amp;""&lt;&gt;"",ISNUMBER(AE483),AD483&lt;&gt;0),1,0)</f>
        <v/>
      </c>
      <c r="AG483" s="55">
        <f>IF(AF483=1,EOMONTH(AE483,0),"")</f>
        <v/>
      </c>
      <c r="AH483" s="9">
        <f>IF(AF483=1,UPPER(TRIM(IFERROR(INDEX($A483:$AB483,MATCH("Client",$A$1:$AB$1,0)),"")&amp;"")),"")</f>
        <v/>
      </c>
      <c r="AI483" s="9">
        <f>IF(AF483=1,IFERROR(INDEX($A483:$AB483,MATCH("Cost Centre",$A$1:$AB$1,0)),"")&amp;"","")</f>
        <v/>
      </c>
      <c r="AJ483" s="54">
        <f>IF(AND(AF483=1,AE483&gt;=set_FYStart,AE483&lt;=set_AsAt),1,0)</f>
        <v/>
      </c>
      <c r="AK483" s="54">
        <f>IF(AND(AJ483=1,AH483&lt;&gt;"",COUNTIFS($AH$2:AH483,AH483,$AJ$2:AJ483,1)=1),N(AL482)+1,"")</f>
        <v/>
      </c>
      <c r="AL483" s="54">
        <f>IF(AK483&lt;&gt;"",AK483,N(AL482))</f>
        <v/>
      </c>
    </row>
    <row r="484">
      <c r="A484" t="inlineStr">
        <is>
          <t>CON-0161</t>
        </is>
      </c>
      <c r="B484" t="inlineStr">
        <is>
          <t>Consulting</t>
        </is>
      </c>
      <c r="AB484" t="n">
        <v>161</v>
      </c>
      <c r="AD484" s="52">
        <f>IFERROR(N(IFERROR(INDEX($A484:$AB484,MATCH("Xero Invoiced Ex GST",$A$1:$AB$1,0)),"")),0)</f>
        <v/>
      </c>
      <c r="AE484" s="53">
        <f>IFERROR(INDEX($A484:$AB484,MATCH("Xero Invoice Date",$A$1:$AB$1,0)),"")</f>
        <v/>
      </c>
      <c r="AF484" s="54">
        <f>IF(AND(IFERROR(INDEX($A484:$AB484,MATCH("Xero Invoice No",$A$1:$AB$1,0)),"")&amp;""&lt;&gt;"",ISNUMBER(AE484),AD484&lt;&gt;0),1,0)</f>
        <v/>
      </c>
      <c r="AG484" s="55">
        <f>IF(AF484=1,EOMONTH(AE484,0),"")</f>
        <v/>
      </c>
      <c r="AH484" s="9">
        <f>IF(AF484=1,UPPER(TRIM(IFERROR(INDEX($A484:$AB484,MATCH("Client",$A$1:$AB$1,0)),"")&amp;"")),"")</f>
        <v/>
      </c>
      <c r="AI484" s="9">
        <f>IF(AF484=1,IFERROR(INDEX($A484:$AB484,MATCH("Cost Centre",$A$1:$AB$1,0)),"")&amp;"","")</f>
        <v/>
      </c>
      <c r="AJ484" s="54">
        <f>IF(AND(AF484=1,AE484&gt;=set_FYStart,AE484&lt;=set_AsAt),1,0)</f>
        <v/>
      </c>
      <c r="AK484" s="54">
        <f>IF(AND(AJ484=1,AH484&lt;&gt;"",COUNTIFS($AH$2:AH484,AH484,$AJ$2:AJ484,1)=1),N(AL483)+1,"")</f>
        <v/>
      </c>
      <c r="AL484" s="54">
        <f>IF(AK484&lt;&gt;"",AK484,N(AL483))</f>
        <v/>
      </c>
    </row>
    <row r="485">
      <c r="A485" t="inlineStr">
        <is>
          <t>ONS-0162</t>
        </is>
      </c>
      <c r="B485" t="inlineStr">
        <is>
          <t>Onsite</t>
        </is>
      </c>
      <c r="R485" t="inlineStr">
        <is>
          <t>GST 10%</t>
        </is>
      </c>
      <c r="AB485" t="n">
        <v>162</v>
      </c>
      <c r="AD485" s="52">
        <f>IFERROR(N(IFERROR(INDEX($A485:$AB485,MATCH("Xero Invoiced Ex GST",$A$1:$AB$1,0)),"")),0)</f>
        <v/>
      </c>
      <c r="AE485" s="53">
        <f>IFERROR(INDEX($A485:$AB485,MATCH("Xero Invoice Date",$A$1:$AB$1,0)),"")</f>
        <v/>
      </c>
      <c r="AF485" s="54">
        <f>IF(AND(IFERROR(INDEX($A485:$AB485,MATCH("Xero Invoice No",$A$1:$AB$1,0)),"")&amp;""&lt;&gt;"",ISNUMBER(AE485),AD485&lt;&gt;0),1,0)</f>
        <v/>
      </c>
      <c r="AG485" s="55">
        <f>IF(AF485=1,EOMONTH(AE485,0),"")</f>
        <v/>
      </c>
      <c r="AH485" s="9">
        <f>IF(AF485=1,UPPER(TRIM(IFERROR(INDEX($A485:$AB485,MATCH("Client",$A$1:$AB$1,0)),"")&amp;"")),"")</f>
        <v/>
      </c>
      <c r="AI485" s="9">
        <f>IF(AF485=1,IFERROR(INDEX($A485:$AB485,MATCH("Cost Centre",$A$1:$AB$1,0)),"")&amp;"","")</f>
        <v/>
      </c>
      <c r="AJ485" s="54">
        <f>IF(AND(AF485=1,AE485&gt;=set_FYStart,AE485&lt;=set_AsAt),1,0)</f>
        <v/>
      </c>
      <c r="AK485" s="54">
        <f>IF(AND(AJ485=1,AH485&lt;&gt;"",COUNTIFS($AH$2:AH485,AH485,$AJ$2:AJ485,1)=1),N(AL484)+1,"")</f>
        <v/>
      </c>
      <c r="AL485" s="54">
        <f>IF(AK485&lt;&gt;"",AK485,N(AL484))</f>
        <v/>
      </c>
    </row>
    <row r="486">
      <c r="A486" t="inlineStr">
        <is>
          <t>PRD-0162</t>
        </is>
      </c>
      <c r="B486" t="inlineStr">
        <is>
          <t>Production</t>
        </is>
      </c>
      <c r="AB486" t="n">
        <v>162</v>
      </c>
      <c r="AD486" s="52">
        <f>IFERROR(N(IFERROR(INDEX($A486:$AB486,MATCH("Xero Invoiced Ex GST",$A$1:$AB$1,0)),"")),0)</f>
        <v/>
      </c>
      <c r="AE486" s="53">
        <f>IFERROR(INDEX($A486:$AB486,MATCH("Xero Invoice Date",$A$1:$AB$1,0)),"")</f>
        <v/>
      </c>
      <c r="AF486" s="54">
        <f>IF(AND(IFERROR(INDEX($A486:$AB486,MATCH("Xero Invoice No",$A$1:$AB$1,0)),"")&amp;""&lt;&gt;"",ISNUMBER(AE486),AD486&lt;&gt;0),1,0)</f>
        <v/>
      </c>
      <c r="AG486" s="55">
        <f>IF(AF486=1,EOMONTH(AE486,0),"")</f>
        <v/>
      </c>
      <c r="AH486" s="9">
        <f>IF(AF486=1,UPPER(TRIM(IFERROR(INDEX($A486:$AB486,MATCH("Client",$A$1:$AB$1,0)),"")&amp;"")),"")</f>
        <v/>
      </c>
      <c r="AI486" s="9">
        <f>IF(AF486=1,IFERROR(INDEX($A486:$AB486,MATCH("Cost Centre",$A$1:$AB$1,0)),"")&amp;"","")</f>
        <v/>
      </c>
      <c r="AJ486" s="54">
        <f>IF(AND(AF486=1,AE486&gt;=set_FYStart,AE486&lt;=set_AsAt),1,0)</f>
        <v/>
      </c>
      <c r="AK486" s="54">
        <f>IF(AND(AJ486=1,AH486&lt;&gt;"",COUNTIFS($AH$2:AH486,AH486,$AJ$2:AJ486,1)=1),N(AL485)+1,"")</f>
        <v/>
      </c>
      <c r="AL486" s="54">
        <f>IF(AK486&lt;&gt;"",AK486,N(AL485))</f>
        <v/>
      </c>
    </row>
    <row r="487">
      <c r="A487" t="inlineStr">
        <is>
          <t>CON-0162</t>
        </is>
      </c>
      <c r="B487" t="inlineStr">
        <is>
          <t>Consulting</t>
        </is>
      </c>
      <c r="AB487" t="n">
        <v>162</v>
      </c>
      <c r="AD487" s="52">
        <f>IFERROR(N(IFERROR(INDEX($A487:$AB487,MATCH("Xero Invoiced Ex GST",$A$1:$AB$1,0)),"")),0)</f>
        <v/>
      </c>
      <c r="AE487" s="53">
        <f>IFERROR(INDEX($A487:$AB487,MATCH("Xero Invoice Date",$A$1:$AB$1,0)),"")</f>
        <v/>
      </c>
      <c r="AF487" s="54">
        <f>IF(AND(IFERROR(INDEX($A487:$AB487,MATCH("Xero Invoice No",$A$1:$AB$1,0)),"")&amp;""&lt;&gt;"",ISNUMBER(AE487),AD487&lt;&gt;0),1,0)</f>
        <v/>
      </c>
      <c r="AG487" s="55">
        <f>IF(AF487=1,EOMONTH(AE487,0),"")</f>
        <v/>
      </c>
      <c r="AH487" s="9">
        <f>IF(AF487=1,UPPER(TRIM(IFERROR(INDEX($A487:$AB487,MATCH("Client",$A$1:$AB$1,0)),"")&amp;"")),"")</f>
        <v/>
      </c>
      <c r="AI487" s="9">
        <f>IF(AF487=1,IFERROR(INDEX($A487:$AB487,MATCH("Cost Centre",$A$1:$AB$1,0)),"")&amp;"","")</f>
        <v/>
      </c>
      <c r="AJ487" s="54">
        <f>IF(AND(AF487=1,AE487&gt;=set_FYStart,AE487&lt;=set_AsAt),1,0)</f>
        <v/>
      </c>
      <c r="AK487" s="54">
        <f>IF(AND(AJ487=1,AH487&lt;&gt;"",COUNTIFS($AH$2:AH487,AH487,$AJ$2:AJ487,1)=1),N(AL486)+1,"")</f>
        <v/>
      </c>
      <c r="AL487" s="54">
        <f>IF(AK487&lt;&gt;"",AK487,N(AL486))</f>
        <v/>
      </c>
    </row>
    <row r="488">
      <c r="A488" t="inlineStr">
        <is>
          <t>ONS-0163</t>
        </is>
      </c>
      <c r="B488" t="inlineStr">
        <is>
          <t>Onsite</t>
        </is>
      </c>
      <c r="R488" t="inlineStr">
        <is>
          <t>GST 10%</t>
        </is>
      </c>
      <c r="AB488" t="n">
        <v>163</v>
      </c>
      <c r="AD488" s="52">
        <f>IFERROR(N(IFERROR(INDEX($A488:$AB488,MATCH("Xero Invoiced Ex GST",$A$1:$AB$1,0)),"")),0)</f>
        <v/>
      </c>
      <c r="AE488" s="53">
        <f>IFERROR(INDEX($A488:$AB488,MATCH("Xero Invoice Date",$A$1:$AB$1,0)),"")</f>
        <v/>
      </c>
      <c r="AF488" s="54">
        <f>IF(AND(IFERROR(INDEX($A488:$AB488,MATCH("Xero Invoice No",$A$1:$AB$1,0)),"")&amp;""&lt;&gt;"",ISNUMBER(AE488),AD488&lt;&gt;0),1,0)</f>
        <v/>
      </c>
      <c r="AG488" s="55">
        <f>IF(AF488=1,EOMONTH(AE488,0),"")</f>
        <v/>
      </c>
      <c r="AH488" s="9">
        <f>IF(AF488=1,UPPER(TRIM(IFERROR(INDEX($A488:$AB488,MATCH("Client",$A$1:$AB$1,0)),"")&amp;"")),"")</f>
        <v/>
      </c>
      <c r="AI488" s="9">
        <f>IF(AF488=1,IFERROR(INDEX($A488:$AB488,MATCH("Cost Centre",$A$1:$AB$1,0)),"")&amp;"","")</f>
        <v/>
      </c>
      <c r="AJ488" s="54">
        <f>IF(AND(AF488=1,AE488&gt;=set_FYStart,AE488&lt;=set_AsAt),1,0)</f>
        <v/>
      </c>
      <c r="AK488" s="54">
        <f>IF(AND(AJ488=1,AH488&lt;&gt;"",COUNTIFS($AH$2:AH488,AH488,$AJ$2:AJ488,1)=1),N(AL487)+1,"")</f>
        <v/>
      </c>
      <c r="AL488" s="54">
        <f>IF(AK488&lt;&gt;"",AK488,N(AL487))</f>
        <v/>
      </c>
    </row>
    <row r="489">
      <c r="A489" t="inlineStr">
        <is>
          <t>PRD-0163</t>
        </is>
      </c>
      <c r="B489" t="inlineStr">
        <is>
          <t>Production</t>
        </is>
      </c>
      <c r="AB489" t="n">
        <v>163</v>
      </c>
      <c r="AD489" s="52">
        <f>IFERROR(N(IFERROR(INDEX($A489:$AB489,MATCH("Xero Invoiced Ex GST",$A$1:$AB$1,0)),"")),0)</f>
        <v/>
      </c>
      <c r="AE489" s="53">
        <f>IFERROR(INDEX($A489:$AB489,MATCH("Xero Invoice Date",$A$1:$AB$1,0)),"")</f>
        <v/>
      </c>
      <c r="AF489" s="54">
        <f>IF(AND(IFERROR(INDEX($A489:$AB489,MATCH("Xero Invoice No",$A$1:$AB$1,0)),"")&amp;""&lt;&gt;"",ISNUMBER(AE489),AD489&lt;&gt;0),1,0)</f>
        <v/>
      </c>
      <c r="AG489" s="55">
        <f>IF(AF489=1,EOMONTH(AE489,0),"")</f>
        <v/>
      </c>
      <c r="AH489" s="9">
        <f>IF(AF489=1,UPPER(TRIM(IFERROR(INDEX($A489:$AB489,MATCH("Client",$A$1:$AB$1,0)),"")&amp;"")),"")</f>
        <v/>
      </c>
      <c r="AI489" s="9">
        <f>IF(AF489=1,IFERROR(INDEX($A489:$AB489,MATCH("Cost Centre",$A$1:$AB$1,0)),"")&amp;"","")</f>
        <v/>
      </c>
      <c r="AJ489" s="54">
        <f>IF(AND(AF489=1,AE489&gt;=set_FYStart,AE489&lt;=set_AsAt),1,0)</f>
        <v/>
      </c>
      <c r="AK489" s="54">
        <f>IF(AND(AJ489=1,AH489&lt;&gt;"",COUNTIFS($AH$2:AH489,AH489,$AJ$2:AJ489,1)=1),N(AL488)+1,"")</f>
        <v/>
      </c>
      <c r="AL489" s="54">
        <f>IF(AK489&lt;&gt;"",AK489,N(AL488))</f>
        <v/>
      </c>
    </row>
    <row r="490">
      <c r="A490" t="inlineStr">
        <is>
          <t>CON-0163</t>
        </is>
      </c>
      <c r="B490" t="inlineStr">
        <is>
          <t>Consulting</t>
        </is>
      </c>
      <c r="AB490" t="n">
        <v>163</v>
      </c>
      <c r="AD490" s="52">
        <f>IFERROR(N(IFERROR(INDEX($A490:$AB490,MATCH("Xero Invoiced Ex GST",$A$1:$AB$1,0)),"")),0)</f>
        <v/>
      </c>
      <c r="AE490" s="53">
        <f>IFERROR(INDEX($A490:$AB490,MATCH("Xero Invoice Date",$A$1:$AB$1,0)),"")</f>
        <v/>
      </c>
      <c r="AF490" s="54">
        <f>IF(AND(IFERROR(INDEX($A490:$AB490,MATCH("Xero Invoice No",$A$1:$AB$1,0)),"")&amp;""&lt;&gt;"",ISNUMBER(AE490),AD490&lt;&gt;0),1,0)</f>
        <v/>
      </c>
      <c r="AG490" s="55">
        <f>IF(AF490=1,EOMONTH(AE490,0),"")</f>
        <v/>
      </c>
      <c r="AH490" s="9">
        <f>IF(AF490=1,UPPER(TRIM(IFERROR(INDEX($A490:$AB490,MATCH("Client",$A$1:$AB$1,0)),"")&amp;"")),"")</f>
        <v/>
      </c>
      <c r="AI490" s="9">
        <f>IF(AF490=1,IFERROR(INDEX($A490:$AB490,MATCH("Cost Centre",$A$1:$AB$1,0)),"")&amp;"","")</f>
        <v/>
      </c>
      <c r="AJ490" s="54">
        <f>IF(AND(AF490=1,AE490&gt;=set_FYStart,AE490&lt;=set_AsAt),1,0)</f>
        <v/>
      </c>
      <c r="AK490" s="54">
        <f>IF(AND(AJ490=1,AH490&lt;&gt;"",COUNTIFS($AH$2:AH490,AH490,$AJ$2:AJ490,1)=1),N(AL489)+1,"")</f>
        <v/>
      </c>
      <c r="AL490" s="54">
        <f>IF(AK490&lt;&gt;"",AK490,N(AL489))</f>
        <v/>
      </c>
    </row>
    <row r="491">
      <c r="A491" t="inlineStr">
        <is>
          <t>ONS-0164</t>
        </is>
      </c>
      <c r="B491" t="inlineStr">
        <is>
          <t>Onsite</t>
        </is>
      </c>
      <c r="R491" t="inlineStr">
        <is>
          <t>GST 10%</t>
        </is>
      </c>
      <c r="AB491" t="n">
        <v>164</v>
      </c>
      <c r="AD491" s="52">
        <f>IFERROR(N(IFERROR(INDEX($A491:$AB491,MATCH("Xero Invoiced Ex GST",$A$1:$AB$1,0)),"")),0)</f>
        <v/>
      </c>
      <c r="AE491" s="53">
        <f>IFERROR(INDEX($A491:$AB491,MATCH("Xero Invoice Date",$A$1:$AB$1,0)),"")</f>
        <v/>
      </c>
      <c r="AF491" s="54">
        <f>IF(AND(IFERROR(INDEX($A491:$AB491,MATCH("Xero Invoice No",$A$1:$AB$1,0)),"")&amp;""&lt;&gt;"",ISNUMBER(AE491),AD491&lt;&gt;0),1,0)</f>
        <v/>
      </c>
      <c r="AG491" s="55">
        <f>IF(AF491=1,EOMONTH(AE491,0),"")</f>
        <v/>
      </c>
      <c r="AH491" s="9">
        <f>IF(AF491=1,UPPER(TRIM(IFERROR(INDEX($A491:$AB491,MATCH("Client",$A$1:$AB$1,0)),"")&amp;"")),"")</f>
        <v/>
      </c>
      <c r="AI491" s="9">
        <f>IF(AF491=1,IFERROR(INDEX($A491:$AB491,MATCH("Cost Centre",$A$1:$AB$1,0)),"")&amp;"","")</f>
        <v/>
      </c>
      <c r="AJ491" s="54">
        <f>IF(AND(AF491=1,AE491&gt;=set_FYStart,AE491&lt;=set_AsAt),1,0)</f>
        <v/>
      </c>
      <c r="AK491" s="54">
        <f>IF(AND(AJ491=1,AH491&lt;&gt;"",COUNTIFS($AH$2:AH491,AH491,$AJ$2:AJ491,1)=1),N(AL490)+1,"")</f>
        <v/>
      </c>
      <c r="AL491" s="54">
        <f>IF(AK491&lt;&gt;"",AK491,N(AL490))</f>
        <v/>
      </c>
    </row>
    <row r="492">
      <c r="A492" t="inlineStr">
        <is>
          <t>PRD-0164</t>
        </is>
      </c>
      <c r="B492" t="inlineStr">
        <is>
          <t>Production</t>
        </is>
      </c>
      <c r="AB492" t="n">
        <v>164</v>
      </c>
      <c r="AD492" s="52">
        <f>IFERROR(N(IFERROR(INDEX($A492:$AB492,MATCH("Xero Invoiced Ex GST",$A$1:$AB$1,0)),"")),0)</f>
        <v/>
      </c>
      <c r="AE492" s="53">
        <f>IFERROR(INDEX($A492:$AB492,MATCH("Xero Invoice Date",$A$1:$AB$1,0)),"")</f>
        <v/>
      </c>
      <c r="AF492" s="54">
        <f>IF(AND(IFERROR(INDEX($A492:$AB492,MATCH("Xero Invoice No",$A$1:$AB$1,0)),"")&amp;""&lt;&gt;"",ISNUMBER(AE492),AD492&lt;&gt;0),1,0)</f>
        <v/>
      </c>
      <c r="AG492" s="55">
        <f>IF(AF492=1,EOMONTH(AE492,0),"")</f>
        <v/>
      </c>
      <c r="AH492" s="9">
        <f>IF(AF492=1,UPPER(TRIM(IFERROR(INDEX($A492:$AB492,MATCH("Client",$A$1:$AB$1,0)),"")&amp;"")),"")</f>
        <v/>
      </c>
      <c r="AI492" s="9">
        <f>IF(AF492=1,IFERROR(INDEX($A492:$AB492,MATCH("Cost Centre",$A$1:$AB$1,0)),"")&amp;"","")</f>
        <v/>
      </c>
      <c r="AJ492" s="54">
        <f>IF(AND(AF492=1,AE492&gt;=set_FYStart,AE492&lt;=set_AsAt),1,0)</f>
        <v/>
      </c>
      <c r="AK492" s="54">
        <f>IF(AND(AJ492=1,AH492&lt;&gt;"",COUNTIFS($AH$2:AH492,AH492,$AJ$2:AJ492,1)=1),N(AL491)+1,"")</f>
        <v/>
      </c>
      <c r="AL492" s="54">
        <f>IF(AK492&lt;&gt;"",AK492,N(AL491))</f>
        <v/>
      </c>
    </row>
    <row r="493">
      <c r="A493" t="inlineStr">
        <is>
          <t>CON-0164</t>
        </is>
      </c>
      <c r="B493" t="inlineStr">
        <is>
          <t>Consulting</t>
        </is>
      </c>
      <c r="AB493" t="n">
        <v>164</v>
      </c>
      <c r="AD493" s="52">
        <f>IFERROR(N(IFERROR(INDEX($A493:$AB493,MATCH("Xero Invoiced Ex GST",$A$1:$AB$1,0)),"")),0)</f>
        <v/>
      </c>
      <c r="AE493" s="53">
        <f>IFERROR(INDEX($A493:$AB493,MATCH("Xero Invoice Date",$A$1:$AB$1,0)),"")</f>
        <v/>
      </c>
      <c r="AF493" s="54">
        <f>IF(AND(IFERROR(INDEX($A493:$AB493,MATCH("Xero Invoice No",$A$1:$AB$1,0)),"")&amp;""&lt;&gt;"",ISNUMBER(AE493),AD493&lt;&gt;0),1,0)</f>
        <v/>
      </c>
      <c r="AG493" s="55">
        <f>IF(AF493=1,EOMONTH(AE493,0),"")</f>
        <v/>
      </c>
      <c r="AH493" s="9">
        <f>IF(AF493=1,UPPER(TRIM(IFERROR(INDEX($A493:$AB493,MATCH("Client",$A$1:$AB$1,0)),"")&amp;"")),"")</f>
        <v/>
      </c>
      <c r="AI493" s="9">
        <f>IF(AF493=1,IFERROR(INDEX($A493:$AB493,MATCH("Cost Centre",$A$1:$AB$1,0)),"")&amp;"","")</f>
        <v/>
      </c>
      <c r="AJ493" s="54">
        <f>IF(AND(AF493=1,AE493&gt;=set_FYStart,AE493&lt;=set_AsAt),1,0)</f>
        <v/>
      </c>
      <c r="AK493" s="54">
        <f>IF(AND(AJ493=1,AH493&lt;&gt;"",COUNTIFS($AH$2:AH493,AH493,$AJ$2:AJ493,1)=1),N(AL492)+1,"")</f>
        <v/>
      </c>
      <c r="AL493" s="54">
        <f>IF(AK493&lt;&gt;"",AK493,N(AL492))</f>
        <v/>
      </c>
    </row>
    <row r="494">
      <c r="A494" t="inlineStr">
        <is>
          <t>ONS-0165</t>
        </is>
      </c>
      <c r="B494" t="inlineStr">
        <is>
          <t>Onsite</t>
        </is>
      </c>
      <c r="R494" t="inlineStr">
        <is>
          <t>GST 10%</t>
        </is>
      </c>
      <c r="AB494" t="n">
        <v>165</v>
      </c>
      <c r="AD494" s="52">
        <f>IFERROR(N(IFERROR(INDEX($A494:$AB494,MATCH("Xero Invoiced Ex GST",$A$1:$AB$1,0)),"")),0)</f>
        <v/>
      </c>
      <c r="AE494" s="53">
        <f>IFERROR(INDEX($A494:$AB494,MATCH("Xero Invoice Date",$A$1:$AB$1,0)),"")</f>
        <v/>
      </c>
      <c r="AF494" s="54">
        <f>IF(AND(IFERROR(INDEX($A494:$AB494,MATCH("Xero Invoice No",$A$1:$AB$1,0)),"")&amp;""&lt;&gt;"",ISNUMBER(AE494),AD494&lt;&gt;0),1,0)</f>
        <v/>
      </c>
      <c r="AG494" s="55">
        <f>IF(AF494=1,EOMONTH(AE494,0),"")</f>
        <v/>
      </c>
      <c r="AH494" s="9">
        <f>IF(AF494=1,UPPER(TRIM(IFERROR(INDEX($A494:$AB494,MATCH("Client",$A$1:$AB$1,0)),"")&amp;"")),"")</f>
        <v/>
      </c>
      <c r="AI494" s="9">
        <f>IF(AF494=1,IFERROR(INDEX($A494:$AB494,MATCH("Cost Centre",$A$1:$AB$1,0)),"")&amp;"","")</f>
        <v/>
      </c>
      <c r="AJ494" s="54">
        <f>IF(AND(AF494=1,AE494&gt;=set_FYStart,AE494&lt;=set_AsAt),1,0)</f>
        <v/>
      </c>
      <c r="AK494" s="54">
        <f>IF(AND(AJ494=1,AH494&lt;&gt;"",COUNTIFS($AH$2:AH494,AH494,$AJ$2:AJ494,1)=1),N(AL493)+1,"")</f>
        <v/>
      </c>
      <c r="AL494" s="54">
        <f>IF(AK494&lt;&gt;"",AK494,N(AL493))</f>
        <v/>
      </c>
    </row>
    <row r="495">
      <c r="A495" t="inlineStr">
        <is>
          <t>PRD-0165</t>
        </is>
      </c>
      <c r="B495" t="inlineStr">
        <is>
          <t>Production</t>
        </is>
      </c>
      <c r="AB495" t="n">
        <v>165</v>
      </c>
      <c r="AD495" s="52">
        <f>IFERROR(N(IFERROR(INDEX($A495:$AB495,MATCH("Xero Invoiced Ex GST",$A$1:$AB$1,0)),"")),0)</f>
        <v/>
      </c>
      <c r="AE495" s="53">
        <f>IFERROR(INDEX($A495:$AB495,MATCH("Xero Invoice Date",$A$1:$AB$1,0)),"")</f>
        <v/>
      </c>
      <c r="AF495" s="54">
        <f>IF(AND(IFERROR(INDEX($A495:$AB495,MATCH("Xero Invoice No",$A$1:$AB$1,0)),"")&amp;""&lt;&gt;"",ISNUMBER(AE495),AD495&lt;&gt;0),1,0)</f>
        <v/>
      </c>
      <c r="AG495" s="55">
        <f>IF(AF495=1,EOMONTH(AE495,0),"")</f>
        <v/>
      </c>
      <c r="AH495" s="9">
        <f>IF(AF495=1,UPPER(TRIM(IFERROR(INDEX($A495:$AB495,MATCH("Client",$A$1:$AB$1,0)),"")&amp;"")),"")</f>
        <v/>
      </c>
      <c r="AI495" s="9">
        <f>IF(AF495=1,IFERROR(INDEX($A495:$AB495,MATCH("Cost Centre",$A$1:$AB$1,0)),"")&amp;"","")</f>
        <v/>
      </c>
      <c r="AJ495" s="54">
        <f>IF(AND(AF495=1,AE495&gt;=set_FYStart,AE495&lt;=set_AsAt),1,0)</f>
        <v/>
      </c>
      <c r="AK495" s="54">
        <f>IF(AND(AJ495=1,AH495&lt;&gt;"",COUNTIFS($AH$2:AH495,AH495,$AJ$2:AJ495,1)=1),N(AL494)+1,"")</f>
        <v/>
      </c>
      <c r="AL495" s="54">
        <f>IF(AK495&lt;&gt;"",AK495,N(AL494))</f>
        <v/>
      </c>
    </row>
    <row r="496">
      <c r="A496" t="inlineStr">
        <is>
          <t>CON-0165</t>
        </is>
      </c>
      <c r="B496" t="inlineStr">
        <is>
          <t>Consulting</t>
        </is>
      </c>
      <c r="AB496" t="n">
        <v>165</v>
      </c>
      <c r="AD496" s="52">
        <f>IFERROR(N(IFERROR(INDEX($A496:$AB496,MATCH("Xero Invoiced Ex GST",$A$1:$AB$1,0)),"")),0)</f>
        <v/>
      </c>
      <c r="AE496" s="53">
        <f>IFERROR(INDEX($A496:$AB496,MATCH("Xero Invoice Date",$A$1:$AB$1,0)),"")</f>
        <v/>
      </c>
      <c r="AF496" s="54">
        <f>IF(AND(IFERROR(INDEX($A496:$AB496,MATCH("Xero Invoice No",$A$1:$AB$1,0)),"")&amp;""&lt;&gt;"",ISNUMBER(AE496),AD496&lt;&gt;0),1,0)</f>
        <v/>
      </c>
      <c r="AG496" s="55">
        <f>IF(AF496=1,EOMONTH(AE496,0),"")</f>
        <v/>
      </c>
      <c r="AH496" s="9">
        <f>IF(AF496=1,UPPER(TRIM(IFERROR(INDEX($A496:$AB496,MATCH("Client",$A$1:$AB$1,0)),"")&amp;"")),"")</f>
        <v/>
      </c>
      <c r="AI496" s="9">
        <f>IF(AF496=1,IFERROR(INDEX($A496:$AB496,MATCH("Cost Centre",$A$1:$AB$1,0)),"")&amp;"","")</f>
        <v/>
      </c>
      <c r="AJ496" s="54">
        <f>IF(AND(AF496=1,AE496&gt;=set_FYStart,AE496&lt;=set_AsAt),1,0)</f>
        <v/>
      </c>
      <c r="AK496" s="54">
        <f>IF(AND(AJ496=1,AH496&lt;&gt;"",COUNTIFS($AH$2:AH496,AH496,$AJ$2:AJ496,1)=1),N(AL495)+1,"")</f>
        <v/>
      </c>
      <c r="AL496" s="54">
        <f>IF(AK496&lt;&gt;"",AK496,N(AL495))</f>
        <v/>
      </c>
    </row>
    <row r="497">
      <c r="A497" t="inlineStr">
        <is>
          <t>ONS-0166</t>
        </is>
      </c>
      <c r="B497" t="inlineStr">
        <is>
          <t>Onsite</t>
        </is>
      </c>
      <c r="R497" t="inlineStr">
        <is>
          <t>GST 10%</t>
        </is>
      </c>
      <c r="AB497" t="n">
        <v>166</v>
      </c>
      <c r="AD497" s="52">
        <f>IFERROR(N(IFERROR(INDEX($A497:$AB497,MATCH("Xero Invoiced Ex GST",$A$1:$AB$1,0)),"")),0)</f>
        <v/>
      </c>
      <c r="AE497" s="53">
        <f>IFERROR(INDEX($A497:$AB497,MATCH("Xero Invoice Date",$A$1:$AB$1,0)),"")</f>
        <v/>
      </c>
      <c r="AF497" s="54">
        <f>IF(AND(IFERROR(INDEX($A497:$AB497,MATCH("Xero Invoice No",$A$1:$AB$1,0)),"")&amp;""&lt;&gt;"",ISNUMBER(AE497),AD497&lt;&gt;0),1,0)</f>
        <v/>
      </c>
      <c r="AG497" s="55">
        <f>IF(AF497=1,EOMONTH(AE497,0),"")</f>
        <v/>
      </c>
      <c r="AH497" s="9">
        <f>IF(AF497=1,UPPER(TRIM(IFERROR(INDEX($A497:$AB497,MATCH("Client",$A$1:$AB$1,0)),"")&amp;"")),"")</f>
        <v/>
      </c>
      <c r="AI497" s="9">
        <f>IF(AF497=1,IFERROR(INDEX($A497:$AB497,MATCH("Cost Centre",$A$1:$AB$1,0)),"")&amp;"","")</f>
        <v/>
      </c>
      <c r="AJ497" s="54">
        <f>IF(AND(AF497=1,AE497&gt;=set_FYStart,AE497&lt;=set_AsAt),1,0)</f>
        <v/>
      </c>
      <c r="AK497" s="54">
        <f>IF(AND(AJ497=1,AH497&lt;&gt;"",COUNTIFS($AH$2:AH497,AH497,$AJ$2:AJ497,1)=1),N(AL496)+1,"")</f>
        <v/>
      </c>
      <c r="AL497" s="54">
        <f>IF(AK497&lt;&gt;"",AK497,N(AL496))</f>
        <v/>
      </c>
    </row>
    <row r="498">
      <c r="A498" t="inlineStr">
        <is>
          <t>PRD-0166</t>
        </is>
      </c>
      <c r="B498" t="inlineStr">
        <is>
          <t>Production</t>
        </is>
      </c>
      <c r="AB498" t="n">
        <v>166</v>
      </c>
      <c r="AD498" s="52">
        <f>IFERROR(N(IFERROR(INDEX($A498:$AB498,MATCH("Xero Invoiced Ex GST",$A$1:$AB$1,0)),"")),0)</f>
        <v/>
      </c>
      <c r="AE498" s="53">
        <f>IFERROR(INDEX($A498:$AB498,MATCH("Xero Invoice Date",$A$1:$AB$1,0)),"")</f>
        <v/>
      </c>
      <c r="AF498" s="54">
        <f>IF(AND(IFERROR(INDEX($A498:$AB498,MATCH("Xero Invoice No",$A$1:$AB$1,0)),"")&amp;""&lt;&gt;"",ISNUMBER(AE498),AD498&lt;&gt;0),1,0)</f>
        <v/>
      </c>
      <c r="AG498" s="55">
        <f>IF(AF498=1,EOMONTH(AE498,0),"")</f>
        <v/>
      </c>
      <c r="AH498" s="9">
        <f>IF(AF498=1,UPPER(TRIM(IFERROR(INDEX($A498:$AB498,MATCH("Client",$A$1:$AB$1,0)),"")&amp;"")),"")</f>
        <v/>
      </c>
      <c r="AI498" s="9">
        <f>IF(AF498=1,IFERROR(INDEX($A498:$AB498,MATCH("Cost Centre",$A$1:$AB$1,0)),"")&amp;"","")</f>
        <v/>
      </c>
      <c r="AJ498" s="54">
        <f>IF(AND(AF498=1,AE498&gt;=set_FYStart,AE498&lt;=set_AsAt),1,0)</f>
        <v/>
      </c>
      <c r="AK498" s="54">
        <f>IF(AND(AJ498=1,AH498&lt;&gt;"",COUNTIFS($AH$2:AH498,AH498,$AJ$2:AJ498,1)=1),N(AL497)+1,"")</f>
        <v/>
      </c>
      <c r="AL498" s="54">
        <f>IF(AK498&lt;&gt;"",AK498,N(AL497))</f>
        <v/>
      </c>
    </row>
    <row r="499">
      <c r="A499" t="inlineStr">
        <is>
          <t>CON-0166</t>
        </is>
      </c>
      <c r="B499" t="inlineStr">
        <is>
          <t>Consulting</t>
        </is>
      </c>
      <c r="AB499" t="n">
        <v>166</v>
      </c>
      <c r="AD499" s="52">
        <f>IFERROR(N(IFERROR(INDEX($A499:$AB499,MATCH("Xero Invoiced Ex GST",$A$1:$AB$1,0)),"")),0)</f>
        <v/>
      </c>
      <c r="AE499" s="53">
        <f>IFERROR(INDEX($A499:$AB499,MATCH("Xero Invoice Date",$A$1:$AB$1,0)),"")</f>
        <v/>
      </c>
      <c r="AF499" s="54">
        <f>IF(AND(IFERROR(INDEX($A499:$AB499,MATCH("Xero Invoice No",$A$1:$AB$1,0)),"")&amp;""&lt;&gt;"",ISNUMBER(AE499),AD499&lt;&gt;0),1,0)</f>
        <v/>
      </c>
      <c r="AG499" s="55">
        <f>IF(AF499=1,EOMONTH(AE499,0),"")</f>
        <v/>
      </c>
      <c r="AH499" s="9">
        <f>IF(AF499=1,UPPER(TRIM(IFERROR(INDEX($A499:$AB499,MATCH("Client",$A$1:$AB$1,0)),"")&amp;"")),"")</f>
        <v/>
      </c>
      <c r="AI499" s="9">
        <f>IF(AF499=1,IFERROR(INDEX($A499:$AB499,MATCH("Cost Centre",$A$1:$AB$1,0)),"")&amp;"","")</f>
        <v/>
      </c>
      <c r="AJ499" s="54">
        <f>IF(AND(AF499=1,AE499&gt;=set_FYStart,AE499&lt;=set_AsAt),1,0)</f>
        <v/>
      </c>
      <c r="AK499" s="54">
        <f>IF(AND(AJ499=1,AH499&lt;&gt;"",COUNTIFS($AH$2:AH499,AH499,$AJ$2:AJ499,1)=1),N(AL498)+1,"")</f>
        <v/>
      </c>
      <c r="AL499" s="54">
        <f>IF(AK499&lt;&gt;"",AK499,N(AL498))</f>
        <v/>
      </c>
    </row>
    <row r="500">
      <c r="A500" t="inlineStr">
        <is>
          <t>ONS-0167</t>
        </is>
      </c>
      <c r="B500" t="inlineStr">
        <is>
          <t>Onsite</t>
        </is>
      </c>
      <c r="R500" t="inlineStr">
        <is>
          <t>GST 10%</t>
        </is>
      </c>
      <c r="AB500" t="n">
        <v>167</v>
      </c>
      <c r="AD500" s="52">
        <f>IFERROR(N(IFERROR(INDEX($A500:$AB500,MATCH("Xero Invoiced Ex GST",$A$1:$AB$1,0)),"")),0)</f>
        <v/>
      </c>
      <c r="AE500" s="53">
        <f>IFERROR(INDEX($A500:$AB500,MATCH("Xero Invoice Date",$A$1:$AB$1,0)),"")</f>
        <v/>
      </c>
      <c r="AF500" s="54">
        <f>IF(AND(IFERROR(INDEX($A500:$AB500,MATCH("Xero Invoice No",$A$1:$AB$1,0)),"")&amp;""&lt;&gt;"",ISNUMBER(AE500),AD500&lt;&gt;0),1,0)</f>
        <v/>
      </c>
      <c r="AG500" s="55">
        <f>IF(AF500=1,EOMONTH(AE500,0),"")</f>
        <v/>
      </c>
      <c r="AH500" s="9">
        <f>IF(AF500=1,UPPER(TRIM(IFERROR(INDEX($A500:$AB500,MATCH("Client",$A$1:$AB$1,0)),"")&amp;"")),"")</f>
        <v/>
      </c>
      <c r="AI500" s="9">
        <f>IF(AF500=1,IFERROR(INDEX($A500:$AB500,MATCH("Cost Centre",$A$1:$AB$1,0)),"")&amp;"","")</f>
        <v/>
      </c>
      <c r="AJ500" s="54">
        <f>IF(AND(AF500=1,AE500&gt;=set_FYStart,AE500&lt;=set_AsAt),1,0)</f>
        <v/>
      </c>
      <c r="AK500" s="54">
        <f>IF(AND(AJ500=1,AH500&lt;&gt;"",COUNTIFS($AH$2:AH500,AH500,$AJ$2:AJ500,1)=1),N(AL499)+1,"")</f>
        <v/>
      </c>
      <c r="AL500" s="54">
        <f>IF(AK500&lt;&gt;"",AK500,N(AL499))</f>
        <v/>
      </c>
    </row>
    <row r="501">
      <c r="A501" t="inlineStr">
        <is>
          <t>PRD-0167</t>
        </is>
      </c>
      <c r="B501" t="inlineStr">
        <is>
          <t>Production</t>
        </is>
      </c>
      <c r="AB501" t="n">
        <v>167</v>
      </c>
      <c r="AD501" s="52">
        <f>IFERROR(N(IFERROR(INDEX($A501:$AB501,MATCH("Xero Invoiced Ex GST",$A$1:$AB$1,0)),"")),0)</f>
        <v/>
      </c>
      <c r="AE501" s="53">
        <f>IFERROR(INDEX($A501:$AB501,MATCH("Xero Invoice Date",$A$1:$AB$1,0)),"")</f>
        <v/>
      </c>
      <c r="AF501" s="54">
        <f>IF(AND(IFERROR(INDEX($A501:$AB501,MATCH("Xero Invoice No",$A$1:$AB$1,0)),"")&amp;""&lt;&gt;"",ISNUMBER(AE501),AD501&lt;&gt;0),1,0)</f>
        <v/>
      </c>
      <c r="AG501" s="55">
        <f>IF(AF501=1,EOMONTH(AE501,0),"")</f>
        <v/>
      </c>
      <c r="AH501" s="9">
        <f>IF(AF501=1,UPPER(TRIM(IFERROR(INDEX($A501:$AB501,MATCH("Client",$A$1:$AB$1,0)),"")&amp;"")),"")</f>
        <v/>
      </c>
      <c r="AI501" s="9">
        <f>IF(AF501=1,IFERROR(INDEX($A501:$AB501,MATCH("Cost Centre",$A$1:$AB$1,0)),"")&amp;"","")</f>
        <v/>
      </c>
      <c r="AJ501" s="54">
        <f>IF(AND(AF501=1,AE501&gt;=set_FYStart,AE501&lt;=set_AsAt),1,0)</f>
        <v/>
      </c>
      <c r="AK501" s="54">
        <f>IF(AND(AJ501=1,AH501&lt;&gt;"",COUNTIFS($AH$2:AH501,AH501,$AJ$2:AJ501,1)=1),N(AL500)+1,"")</f>
        <v/>
      </c>
      <c r="AL501" s="54">
        <f>IF(AK501&lt;&gt;"",AK501,N(AL500))</f>
        <v/>
      </c>
    </row>
    <row r="502">
      <c r="A502" t="inlineStr">
        <is>
          <t>CON-0167</t>
        </is>
      </c>
      <c r="B502" t="inlineStr">
        <is>
          <t>Consulting</t>
        </is>
      </c>
      <c r="AB502" t="n">
        <v>167</v>
      </c>
      <c r="AD502" s="52">
        <f>IFERROR(N(IFERROR(INDEX($A502:$AB502,MATCH("Xero Invoiced Ex GST",$A$1:$AB$1,0)),"")),0)</f>
        <v/>
      </c>
      <c r="AE502" s="53">
        <f>IFERROR(INDEX($A502:$AB502,MATCH("Xero Invoice Date",$A$1:$AB$1,0)),"")</f>
        <v/>
      </c>
      <c r="AF502" s="54">
        <f>IF(AND(IFERROR(INDEX($A502:$AB502,MATCH("Xero Invoice No",$A$1:$AB$1,0)),"")&amp;""&lt;&gt;"",ISNUMBER(AE502),AD502&lt;&gt;0),1,0)</f>
        <v/>
      </c>
      <c r="AG502" s="55">
        <f>IF(AF502=1,EOMONTH(AE502,0),"")</f>
        <v/>
      </c>
      <c r="AH502" s="9">
        <f>IF(AF502=1,UPPER(TRIM(IFERROR(INDEX($A502:$AB502,MATCH("Client",$A$1:$AB$1,0)),"")&amp;"")),"")</f>
        <v/>
      </c>
      <c r="AI502" s="9">
        <f>IF(AF502=1,IFERROR(INDEX($A502:$AB502,MATCH("Cost Centre",$A$1:$AB$1,0)),"")&amp;"","")</f>
        <v/>
      </c>
      <c r="AJ502" s="54">
        <f>IF(AND(AF502=1,AE502&gt;=set_FYStart,AE502&lt;=set_AsAt),1,0)</f>
        <v/>
      </c>
      <c r="AK502" s="54">
        <f>IF(AND(AJ502=1,AH502&lt;&gt;"",COUNTIFS($AH$2:AH502,AH502,$AJ$2:AJ502,1)=1),N(AL501)+1,"")</f>
        <v/>
      </c>
      <c r="AL502" s="54">
        <f>IF(AK502&lt;&gt;"",AK502,N(AL501))</f>
        <v/>
      </c>
    </row>
    <row r="503">
      <c r="A503" t="inlineStr">
        <is>
          <t>ONS-0168</t>
        </is>
      </c>
      <c r="B503" t="inlineStr">
        <is>
          <t>Onsite</t>
        </is>
      </c>
      <c r="R503" t="inlineStr">
        <is>
          <t>GST 10%</t>
        </is>
      </c>
      <c r="AB503" t="n">
        <v>168</v>
      </c>
      <c r="AD503" s="52">
        <f>IFERROR(N(IFERROR(INDEX($A503:$AB503,MATCH("Xero Invoiced Ex GST",$A$1:$AB$1,0)),"")),0)</f>
        <v/>
      </c>
      <c r="AE503" s="53">
        <f>IFERROR(INDEX($A503:$AB503,MATCH("Xero Invoice Date",$A$1:$AB$1,0)),"")</f>
        <v/>
      </c>
      <c r="AF503" s="54">
        <f>IF(AND(IFERROR(INDEX($A503:$AB503,MATCH("Xero Invoice No",$A$1:$AB$1,0)),"")&amp;""&lt;&gt;"",ISNUMBER(AE503),AD503&lt;&gt;0),1,0)</f>
        <v/>
      </c>
      <c r="AG503" s="55">
        <f>IF(AF503=1,EOMONTH(AE503,0),"")</f>
        <v/>
      </c>
      <c r="AH503" s="9">
        <f>IF(AF503=1,UPPER(TRIM(IFERROR(INDEX($A503:$AB503,MATCH("Client",$A$1:$AB$1,0)),"")&amp;"")),"")</f>
        <v/>
      </c>
      <c r="AI503" s="9">
        <f>IF(AF503=1,IFERROR(INDEX($A503:$AB503,MATCH("Cost Centre",$A$1:$AB$1,0)),"")&amp;"","")</f>
        <v/>
      </c>
      <c r="AJ503" s="54">
        <f>IF(AND(AF503=1,AE503&gt;=set_FYStart,AE503&lt;=set_AsAt),1,0)</f>
        <v/>
      </c>
      <c r="AK503" s="54">
        <f>IF(AND(AJ503=1,AH503&lt;&gt;"",COUNTIFS($AH$2:AH503,AH503,$AJ$2:AJ503,1)=1),N(AL502)+1,"")</f>
        <v/>
      </c>
      <c r="AL503" s="54">
        <f>IF(AK503&lt;&gt;"",AK503,N(AL502))</f>
        <v/>
      </c>
    </row>
    <row r="504">
      <c r="A504" t="inlineStr">
        <is>
          <t>PRD-0168</t>
        </is>
      </c>
      <c r="B504" t="inlineStr">
        <is>
          <t>Production</t>
        </is>
      </c>
      <c r="AB504" t="n">
        <v>168</v>
      </c>
      <c r="AD504" s="52">
        <f>IFERROR(N(IFERROR(INDEX($A504:$AB504,MATCH("Xero Invoiced Ex GST",$A$1:$AB$1,0)),"")),0)</f>
        <v/>
      </c>
      <c r="AE504" s="53">
        <f>IFERROR(INDEX($A504:$AB504,MATCH("Xero Invoice Date",$A$1:$AB$1,0)),"")</f>
        <v/>
      </c>
      <c r="AF504" s="54">
        <f>IF(AND(IFERROR(INDEX($A504:$AB504,MATCH("Xero Invoice No",$A$1:$AB$1,0)),"")&amp;""&lt;&gt;"",ISNUMBER(AE504),AD504&lt;&gt;0),1,0)</f>
        <v/>
      </c>
      <c r="AG504" s="55">
        <f>IF(AF504=1,EOMONTH(AE504,0),"")</f>
        <v/>
      </c>
      <c r="AH504" s="9">
        <f>IF(AF504=1,UPPER(TRIM(IFERROR(INDEX($A504:$AB504,MATCH("Client",$A$1:$AB$1,0)),"")&amp;"")),"")</f>
        <v/>
      </c>
      <c r="AI504" s="9">
        <f>IF(AF504=1,IFERROR(INDEX($A504:$AB504,MATCH("Cost Centre",$A$1:$AB$1,0)),"")&amp;"","")</f>
        <v/>
      </c>
      <c r="AJ504" s="54">
        <f>IF(AND(AF504=1,AE504&gt;=set_FYStart,AE504&lt;=set_AsAt),1,0)</f>
        <v/>
      </c>
      <c r="AK504" s="54">
        <f>IF(AND(AJ504=1,AH504&lt;&gt;"",COUNTIFS($AH$2:AH504,AH504,$AJ$2:AJ504,1)=1),N(AL503)+1,"")</f>
        <v/>
      </c>
      <c r="AL504" s="54">
        <f>IF(AK504&lt;&gt;"",AK504,N(AL503))</f>
        <v/>
      </c>
    </row>
    <row r="505">
      <c r="A505" t="inlineStr">
        <is>
          <t>CON-0168</t>
        </is>
      </c>
      <c r="B505" t="inlineStr">
        <is>
          <t>Consulting</t>
        </is>
      </c>
      <c r="AB505" t="n">
        <v>168</v>
      </c>
      <c r="AD505" s="52">
        <f>IFERROR(N(IFERROR(INDEX($A505:$AB505,MATCH("Xero Invoiced Ex GST",$A$1:$AB$1,0)),"")),0)</f>
        <v/>
      </c>
      <c r="AE505" s="53">
        <f>IFERROR(INDEX($A505:$AB505,MATCH("Xero Invoice Date",$A$1:$AB$1,0)),"")</f>
        <v/>
      </c>
      <c r="AF505" s="54">
        <f>IF(AND(IFERROR(INDEX($A505:$AB505,MATCH("Xero Invoice No",$A$1:$AB$1,0)),"")&amp;""&lt;&gt;"",ISNUMBER(AE505),AD505&lt;&gt;0),1,0)</f>
        <v/>
      </c>
      <c r="AG505" s="55">
        <f>IF(AF505=1,EOMONTH(AE505,0),"")</f>
        <v/>
      </c>
      <c r="AH505" s="9">
        <f>IF(AF505=1,UPPER(TRIM(IFERROR(INDEX($A505:$AB505,MATCH("Client",$A$1:$AB$1,0)),"")&amp;"")),"")</f>
        <v/>
      </c>
      <c r="AI505" s="9">
        <f>IF(AF505=1,IFERROR(INDEX($A505:$AB505,MATCH("Cost Centre",$A$1:$AB$1,0)),"")&amp;"","")</f>
        <v/>
      </c>
      <c r="AJ505" s="54">
        <f>IF(AND(AF505=1,AE505&gt;=set_FYStart,AE505&lt;=set_AsAt),1,0)</f>
        <v/>
      </c>
      <c r="AK505" s="54">
        <f>IF(AND(AJ505=1,AH505&lt;&gt;"",COUNTIFS($AH$2:AH505,AH505,$AJ$2:AJ505,1)=1),N(AL504)+1,"")</f>
        <v/>
      </c>
      <c r="AL505" s="54">
        <f>IF(AK505&lt;&gt;"",AK505,N(AL504))</f>
        <v/>
      </c>
    </row>
    <row r="506">
      <c r="A506" t="inlineStr">
        <is>
          <t>ONS-0169</t>
        </is>
      </c>
      <c r="B506" t="inlineStr">
        <is>
          <t>Onsite</t>
        </is>
      </c>
      <c r="R506" t="inlineStr">
        <is>
          <t>GST 10%</t>
        </is>
      </c>
      <c r="AB506" t="n">
        <v>169</v>
      </c>
      <c r="AD506" s="52">
        <f>IFERROR(N(IFERROR(INDEX($A506:$AB506,MATCH("Xero Invoiced Ex GST",$A$1:$AB$1,0)),"")),0)</f>
        <v/>
      </c>
      <c r="AE506" s="53">
        <f>IFERROR(INDEX($A506:$AB506,MATCH("Xero Invoice Date",$A$1:$AB$1,0)),"")</f>
        <v/>
      </c>
      <c r="AF506" s="54">
        <f>IF(AND(IFERROR(INDEX($A506:$AB506,MATCH("Xero Invoice No",$A$1:$AB$1,0)),"")&amp;""&lt;&gt;"",ISNUMBER(AE506),AD506&lt;&gt;0),1,0)</f>
        <v/>
      </c>
      <c r="AG506" s="55">
        <f>IF(AF506=1,EOMONTH(AE506,0),"")</f>
        <v/>
      </c>
      <c r="AH506" s="9">
        <f>IF(AF506=1,UPPER(TRIM(IFERROR(INDEX($A506:$AB506,MATCH("Client",$A$1:$AB$1,0)),"")&amp;"")),"")</f>
        <v/>
      </c>
      <c r="AI506" s="9">
        <f>IF(AF506=1,IFERROR(INDEX($A506:$AB506,MATCH("Cost Centre",$A$1:$AB$1,0)),"")&amp;"","")</f>
        <v/>
      </c>
      <c r="AJ506" s="54">
        <f>IF(AND(AF506=1,AE506&gt;=set_FYStart,AE506&lt;=set_AsAt),1,0)</f>
        <v/>
      </c>
      <c r="AK506" s="54">
        <f>IF(AND(AJ506=1,AH506&lt;&gt;"",COUNTIFS($AH$2:AH506,AH506,$AJ$2:AJ506,1)=1),N(AL505)+1,"")</f>
        <v/>
      </c>
      <c r="AL506" s="54">
        <f>IF(AK506&lt;&gt;"",AK506,N(AL505))</f>
        <v/>
      </c>
    </row>
    <row r="507">
      <c r="A507" t="inlineStr">
        <is>
          <t>PRD-0169</t>
        </is>
      </c>
      <c r="B507" t="inlineStr">
        <is>
          <t>Production</t>
        </is>
      </c>
      <c r="AB507" t="n">
        <v>169</v>
      </c>
      <c r="AD507" s="52">
        <f>IFERROR(N(IFERROR(INDEX($A507:$AB507,MATCH("Xero Invoiced Ex GST",$A$1:$AB$1,0)),"")),0)</f>
        <v/>
      </c>
      <c r="AE507" s="53">
        <f>IFERROR(INDEX($A507:$AB507,MATCH("Xero Invoice Date",$A$1:$AB$1,0)),"")</f>
        <v/>
      </c>
      <c r="AF507" s="54">
        <f>IF(AND(IFERROR(INDEX($A507:$AB507,MATCH("Xero Invoice No",$A$1:$AB$1,0)),"")&amp;""&lt;&gt;"",ISNUMBER(AE507),AD507&lt;&gt;0),1,0)</f>
        <v/>
      </c>
      <c r="AG507" s="55">
        <f>IF(AF507=1,EOMONTH(AE507,0),"")</f>
        <v/>
      </c>
      <c r="AH507" s="9">
        <f>IF(AF507=1,UPPER(TRIM(IFERROR(INDEX($A507:$AB507,MATCH("Client",$A$1:$AB$1,0)),"")&amp;"")),"")</f>
        <v/>
      </c>
      <c r="AI507" s="9">
        <f>IF(AF507=1,IFERROR(INDEX($A507:$AB507,MATCH("Cost Centre",$A$1:$AB$1,0)),"")&amp;"","")</f>
        <v/>
      </c>
      <c r="AJ507" s="54">
        <f>IF(AND(AF507=1,AE507&gt;=set_FYStart,AE507&lt;=set_AsAt),1,0)</f>
        <v/>
      </c>
      <c r="AK507" s="54">
        <f>IF(AND(AJ507=1,AH507&lt;&gt;"",COUNTIFS($AH$2:AH507,AH507,$AJ$2:AJ507,1)=1),N(AL506)+1,"")</f>
        <v/>
      </c>
      <c r="AL507" s="54">
        <f>IF(AK507&lt;&gt;"",AK507,N(AL506))</f>
        <v/>
      </c>
    </row>
    <row r="508">
      <c r="A508" t="inlineStr">
        <is>
          <t>CON-0169</t>
        </is>
      </c>
      <c r="B508" t="inlineStr">
        <is>
          <t>Consulting</t>
        </is>
      </c>
      <c r="AB508" t="n">
        <v>169</v>
      </c>
      <c r="AD508" s="52">
        <f>IFERROR(N(IFERROR(INDEX($A508:$AB508,MATCH("Xero Invoiced Ex GST",$A$1:$AB$1,0)),"")),0)</f>
        <v/>
      </c>
      <c r="AE508" s="53">
        <f>IFERROR(INDEX($A508:$AB508,MATCH("Xero Invoice Date",$A$1:$AB$1,0)),"")</f>
        <v/>
      </c>
      <c r="AF508" s="54">
        <f>IF(AND(IFERROR(INDEX($A508:$AB508,MATCH("Xero Invoice No",$A$1:$AB$1,0)),"")&amp;""&lt;&gt;"",ISNUMBER(AE508),AD508&lt;&gt;0),1,0)</f>
        <v/>
      </c>
      <c r="AG508" s="55">
        <f>IF(AF508=1,EOMONTH(AE508,0),"")</f>
        <v/>
      </c>
      <c r="AH508" s="9">
        <f>IF(AF508=1,UPPER(TRIM(IFERROR(INDEX($A508:$AB508,MATCH("Client",$A$1:$AB$1,0)),"")&amp;"")),"")</f>
        <v/>
      </c>
      <c r="AI508" s="9">
        <f>IF(AF508=1,IFERROR(INDEX($A508:$AB508,MATCH("Cost Centre",$A$1:$AB$1,0)),"")&amp;"","")</f>
        <v/>
      </c>
      <c r="AJ508" s="54">
        <f>IF(AND(AF508=1,AE508&gt;=set_FYStart,AE508&lt;=set_AsAt),1,0)</f>
        <v/>
      </c>
      <c r="AK508" s="54">
        <f>IF(AND(AJ508=1,AH508&lt;&gt;"",COUNTIFS($AH$2:AH508,AH508,$AJ$2:AJ508,1)=1),N(AL507)+1,"")</f>
        <v/>
      </c>
      <c r="AL508" s="54">
        <f>IF(AK508&lt;&gt;"",AK508,N(AL507))</f>
        <v/>
      </c>
    </row>
    <row r="509">
      <c r="A509" t="inlineStr">
        <is>
          <t>ONS-0170</t>
        </is>
      </c>
      <c r="B509" t="inlineStr">
        <is>
          <t>Onsite</t>
        </is>
      </c>
      <c r="R509" t="inlineStr">
        <is>
          <t>GST 10%</t>
        </is>
      </c>
      <c r="AB509" t="n">
        <v>170</v>
      </c>
      <c r="AD509" s="52">
        <f>IFERROR(N(IFERROR(INDEX($A509:$AB509,MATCH("Xero Invoiced Ex GST",$A$1:$AB$1,0)),"")),0)</f>
        <v/>
      </c>
      <c r="AE509" s="53">
        <f>IFERROR(INDEX($A509:$AB509,MATCH("Xero Invoice Date",$A$1:$AB$1,0)),"")</f>
        <v/>
      </c>
      <c r="AF509" s="54">
        <f>IF(AND(IFERROR(INDEX($A509:$AB509,MATCH("Xero Invoice No",$A$1:$AB$1,0)),"")&amp;""&lt;&gt;"",ISNUMBER(AE509),AD509&lt;&gt;0),1,0)</f>
        <v/>
      </c>
      <c r="AG509" s="55">
        <f>IF(AF509=1,EOMONTH(AE509,0),"")</f>
        <v/>
      </c>
      <c r="AH509" s="9">
        <f>IF(AF509=1,UPPER(TRIM(IFERROR(INDEX($A509:$AB509,MATCH("Client",$A$1:$AB$1,0)),"")&amp;"")),"")</f>
        <v/>
      </c>
      <c r="AI509" s="9">
        <f>IF(AF509=1,IFERROR(INDEX($A509:$AB509,MATCH("Cost Centre",$A$1:$AB$1,0)),"")&amp;"","")</f>
        <v/>
      </c>
      <c r="AJ509" s="54">
        <f>IF(AND(AF509=1,AE509&gt;=set_FYStart,AE509&lt;=set_AsAt),1,0)</f>
        <v/>
      </c>
      <c r="AK509" s="54">
        <f>IF(AND(AJ509=1,AH509&lt;&gt;"",COUNTIFS($AH$2:AH509,AH509,$AJ$2:AJ509,1)=1),N(AL508)+1,"")</f>
        <v/>
      </c>
      <c r="AL509" s="54">
        <f>IF(AK509&lt;&gt;"",AK509,N(AL508))</f>
        <v/>
      </c>
    </row>
    <row r="510">
      <c r="A510" t="inlineStr">
        <is>
          <t>PRD-0170</t>
        </is>
      </c>
      <c r="B510" t="inlineStr">
        <is>
          <t>Production</t>
        </is>
      </c>
      <c r="AB510" t="n">
        <v>170</v>
      </c>
      <c r="AD510" s="52">
        <f>IFERROR(N(IFERROR(INDEX($A510:$AB510,MATCH("Xero Invoiced Ex GST",$A$1:$AB$1,0)),"")),0)</f>
        <v/>
      </c>
      <c r="AE510" s="53">
        <f>IFERROR(INDEX($A510:$AB510,MATCH("Xero Invoice Date",$A$1:$AB$1,0)),"")</f>
        <v/>
      </c>
      <c r="AF510" s="54">
        <f>IF(AND(IFERROR(INDEX($A510:$AB510,MATCH("Xero Invoice No",$A$1:$AB$1,0)),"")&amp;""&lt;&gt;"",ISNUMBER(AE510),AD510&lt;&gt;0),1,0)</f>
        <v/>
      </c>
      <c r="AG510" s="55">
        <f>IF(AF510=1,EOMONTH(AE510,0),"")</f>
        <v/>
      </c>
      <c r="AH510" s="9">
        <f>IF(AF510=1,UPPER(TRIM(IFERROR(INDEX($A510:$AB510,MATCH("Client",$A$1:$AB$1,0)),"")&amp;"")),"")</f>
        <v/>
      </c>
      <c r="AI510" s="9">
        <f>IF(AF510=1,IFERROR(INDEX($A510:$AB510,MATCH("Cost Centre",$A$1:$AB$1,0)),"")&amp;"","")</f>
        <v/>
      </c>
      <c r="AJ510" s="54">
        <f>IF(AND(AF510=1,AE510&gt;=set_FYStart,AE510&lt;=set_AsAt),1,0)</f>
        <v/>
      </c>
      <c r="AK510" s="54">
        <f>IF(AND(AJ510=1,AH510&lt;&gt;"",COUNTIFS($AH$2:AH510,AH510,$AJ$2:AJ510,1)=1),N(AL509)+1,"")</f>
        <v/>
      </c>
      <c r="AL510" s="54">
        <f>IF(AK510&lt;&gt;"",AK510,N(AL509))</f>
        <v/>
      </c>
    </row>
    <row r="511">
      <c r="A511" t="inlineStr">
        <is>
          <t>CON-0170</t>
        </is>
      </c>
      <c r="B511" t="inlineStr">
        <is>
          <t>Consulting</t>
        </is>
      </c>
      <c r="AB511" t="n">
        <v>170</v>
      </c>
      <c r="AD511" s="52">
        <f>IFERROR(N(IFERROR(INDEX($A511:$AB511,MATCH("Xero Invoiced Ex GST",$A$1:$AB$1,0)),"")),0)</f>
        <v/>
      </c>
      <c r="AE511" s="53">
        <f>IFERROR(INDEX($A511:$AB511,MATCH("Xero Invoice Date",$A$1:$AB$1,0)),"")</f>
        <v/>
      </c>
      <c r="AF511" s="54">
        <f>IF(AND(IFERROR(INDEX($A511:$AB511,MATCH("Xero Invoice No",$A$1:$AB$1,0)),"")&amp;""&lt;&gt;"",ISNUMBER(AE511),AD511&lt;&gt;0),1,0)</f>
        <v/>
      </c>
      <c r="AG511" s="55">
        <f>IF(AF511=1,EOMONTH(AE511,0),"")</f>
        <v/>
      </c>
      <c r="AH511" s="9">
        <f>IF(AF511=1,UPPER(TRIM(IFERROR(INDEX($A511:$AB511,MATCH("Client",$A$1:$AB$1,0)),"")&amp;"")),"")</f>
        <v/>
      </c>
      <c r="AI511" s="9">
        <f>IF(AF511=1,IFERROR(INDEX($A511:$AB511,MATCH("Cost Centre",$A$1:$AB$1,0)),"")&amp;"","")</f>
        <v/>
      </c>
      <c r="AJ511" s="54">
        <f>IF(AND(AF511=1,AE511&gt;=set_FYStart,AE511&lt;=set_AsAt),1,0)</f>
        <v/>
      </c>
      <c r="AK511" s="54">
        <f>IF(AND(AJ511=1,AH511&lt;&gt;"",COUNTIFS($AH$2:AH511,AH511,$AJ$2:AJ511,1)=1),N(AL510)+1,"")</f>
        <v/>
      </c>
      <c r="AL511" s="54">
        <f>IF(AK511&lt;&gt;"",AK511,N(AL510))</f>
        <v/>
      </c>
    </row>
    <row r="512">
      <c r="A512" t="inlineStr">
        <is>
          <t>ONS-0171</t>
        </is>
      </c>
      <c r="B512" t="inlineStr">
        <is>
          <t>Onsite</t>
        </is>
      </c>
      <c r="R512" t="inlineStr">
        <is>
          <t>GST 10%</t>
        </is>
      </c>
      <c r="AB512" t="n">
        <v>171</v>
      </c>
      <c r="AD512" s="52">
        <f>IFERROR(N(IFERROR(INDEX($A512:$AB512,MATCH("Xero Invoiced Ex GST",$A$1:$AB$1,0)),"")),0)</f>
        <v/>
      </c>
      <c r="AE512" s="53">
        <f>IFERROR(INDEX($A512:$AB512,MATCH("Xero Invoice Date",$A$1:$AB$1,0)),"")</f>
        <v/>
      </c>
      <c r="AF512" s="54">
        <f>IF(AND(IFERROR(INDEX($A512:$AB512,MATCH("Xero Invoice No",$A$1:$AB$1,0)),"")&amp;""&lt;&gt;"",ISNUMBER(AE512),AD512&lt;&gt;0),1,0)</f>
        <v/>
      </c>
      <c r="AG512" s="55">
        <f>IF(AF512=1,EOMONTH(AE512,0),"")</f>
        <v/>
      </c>
      <c r="AH512" s="9">
        <f>IF(AF512=1,UPPER(TRIM(IFERROR(INDEX($A512:$AB512,MATCH("Client",$A$1:$AB$1,0)),"")&amp;"")),"")</f>
        <v/>
      </c>
      <c r="AI512" s="9">
        <f>IF(AF512=1,IFERROR(INDEX($A512:$AB512,MATCH("Cost Centre",$A$1:$AB$1,0)),"")&amp;"","")</f>
        <v/>
      </c>
      <c r="AJ512" s="54">
        <f>IF(AND(AF512=1,AE512&gt;=set_FYStart,AE512&lt;=set_AsAt),1,0)</f>
        <v/>
      </c>
      <c r="AK512" s="54">
        <f>IF(AND(AJ512=1,AH512&lt;&gt;"",COUNTIFS($AH$2:AH512,AH512,$AJ$2:AJ512,1)=1),N(AL511)+1,"")</f>
        <v/>
      </c>
      <c r="AL512" s="54">
        <f>IF(AK512&lt;&gt;"",AK512,N(AL511))</f>
        <v/>
      </c>
    </row>
    <row r="513">
      <c r="A513" t="inlineStr">
        <is>
          <t>PRD-0171</t>
        </is>
      </c>
      <c r="B513" t="inlineStr">
        <is>
          <t>Production</t>
        </is>
      </c>
      <c r="AB513" t="n">
        <v>171</v>
      </c>
      <c r="AD513" s="52">
        <f>IFERROR(N(IFERROR(INDEX($A513:$AB513,MATCH("Xero Invoiced Ex GST",$A$1:$AB$1,0)),"")),0)</f>
        <v/>
      </c>
      <c r="AE513" s="53">
        <f>IFERROR(INDEX($A513:$AB513,MATCH("Xero Invoice Date",$A$1:$AB$1,0)),"")</f>
        <v/>
      </c>
      <c r="AF513" s="54">
        <f>IF(AND(IFERROR(INDEX($A513:$AB513,MATCH("Xero Invoice No",$A$1:$AB$1,0)),"")&amp;""&lt;&gt;"",ISNUMBER(AE513),AD513&lt;&gt;0),1,0)</f>
        <v/>
      </c>
      <c r="AG513" s="55">
        <f>IF(AF513=1,EOMONTH(AE513,0),"")</f>
        <v/>
      </c>
      <c r="AH513" s="9">
        <f>IF(AF513=1,UPPER(TRIM(IFERROR(INDEX($A513:$AB513,MATCH("Client",$A$1:$AB$1,0)),"")&amp;"")),"")</f>
        <v/>
      </c>
      <c r="AI513" s="9">
        <f>IF(AF513=1,IFERROR(INDEX($A513:$AB513,MATCH("Cost Centre",$A$1:$AB$1,0)),"")&amp;"","")</f>
        <v/>
      </c>
      <c r="AJ513" s="54">
        <f>IF(AND(AF513=1,AE513&gt;=set_FYStart,AE513&lt;=set_AsAt),1,0)</f>
        <v/>
      </c>
      <c r="AK513" s="54">
        <f>IF(AND(AJ513=1,AH513&lt;&gt;"",COUNTIFS($AH$2:AH513,AH513,$AJ$2:AJ513,1)=1),N(AL512)+1,"")</f>
        <v/>
      </c>
      <c r="AL513" s="54">
        <f>IF(AK513&lt;&gt;"",AK513,N(AL512))</f>
        <v/>
      </c>
    </row>
    <row r="514">
      <c r="A514" t="inlineStr">
        <is>
          <t>CON-0171</t>
        </is>
      </c>
      <c r="B514" t="inlineStr">
        <is>
          <t>Consulting</t>
        </is>
      </c>
      <c r="AB514" t="n">
        <v>171</v>
      </c>
      <c r="AD514" s="52">
        <f>IFERROR(N(IFERROR(INDEX($A514:$AB514,MATCH("Xero Invoiced Ex GST",$A$1:$AB$1,0)),"")),0)</f>
        <v/>
      </c>
      <c r="AE514" s="53">
        <f>IFERROR(INDEX($A514:$AB514,MATCH("Xero Invoice Date",$A$1:$AB$1,0)),"")</f>
        <v/>
      </c>
      <c r="AF514" s="54">
        <f>IF(AND(IFERROR(INDEX($A514:$AB514,MATCH("Xero Invoice No",$A$1:$AB$1,0)),"")&amp;""&lt;&gt;"",ISNUMBER(AE514),AD514&lt;&gt;0),1,0)</f>
        <v/>
      </c>
      <c r="AG514" s="55">
        <f>IF(AF514=1,EOMONTH(AE514,0),"")</f>
        <v/>
      </c>
      <c r="AH514" s="9">
        <f>IF(AF514=1,UPPER(TRIM(IFERROR(INDEX($A514:$AB514,MATCH("Client",$A$1:$AB$1,0)),"")&amp;"")),"")</f>
        <v/>
      </c>
      <c r="AI514" s="9">
        <f>IF(AF514=1,IFERROR(INDEX($A514:$AB514,MATCH("Cost Centre",$A$1:$AB$1,0)),"")&amp;"","")</f>
        <v/>
      </c>
      <c r="AJ514" s="54">
        <f>IF(AND(AF514=1,AE514&gt;=set_FYStart,AE514&lt;=set_AsAt),1,0)</f>
        <v/>
      </c>
      <c r="AK514" s="54">
        <f>IF(AND(AJ514=1,AH514&lt;&gt;"",COUNTIFS($AH$2:AH514,AH514,$AJ$2:AJ514,1)=1),N(AL513)+1,"")</f>
        <v/>
      </c>
      <c r="AL514" s="54">
        <f>IF(AK514&lt;&gt;"",AK514,N(AL513))</f>
        <v/>
      </c>
    </row>
    <row r="515">
      <c r="A515" t="inlineStr">
        <is>
          <t>ONS-0172</t>
        </is>
      </c>
      <c r="B515" t="inlineStr">
        <is>
          <t>Onsite</t>
        </is>
      </c>
      <c r="R515" t="inlineStr">
        <is>
          <t>GST 10%</t>
        </is>
      </c>
      <c r="AB515" t="n">
        <v>172</v>
      </c>
      <c r="AD515" s="52">
        <f>IFERROR(N(IFERROR(INDEX($A515:$AB515,MATCH("Xero Invoiced Ex GST",$A$1:$AB$1,0)),"")),0)</f>
        <v/>
      </c>
      <c r="AE515" s="53">
        <f>IFERROR(INDEX($A515:$AB515,MATCH("Xero Invoice Date",$A$1:$AB$1,0)),"")</f>
        <v/>
      </c>
      <c r="AF515" s="54">
        <f>IF(AND(IFERROR(INDEX($A515:$AB515,MATCH("Xero Invoice No",$A$1:$AB$1,0)),"")&amp;""&lt;&gt;"",ISNUMBER(AE515),AD515&lt;&gt;0),1,0)</f>
        <v/>
      </c>
      <c r="AG515" s="55">
        <f>IF(AF515=1,EOMONTH(AE515,0),"")</f>
        <v/>
      </c>
      <c r="AH515" s="9">
        <f>IF(AF515=1,UPPER(TRIM(IFERROR(INDEX($A515:$AB515,MATCH("Client",$A$1:$AB$1,0)),"")&amp;"")),"")</f>
        <v/>
      </c>
      <c r="AI515" s="9">
        <f>IF(AF515=1,IFERROR(INDEX($A515:$AB515,MATCH("Cost Centre",$A$1:$AB$1,0)),"")&amp;"","")</f>
        <v/>
      </c>
      <c r="AJ515" s="54">
        <f>IF(AND(AF515=1,AE515&gt;=set_FYStart,AE515&lt;=set_AsAt),1,0)</f>
        <v/>
      </c>
      <c r="AK515" s="54">
        <f>IF(AND(AJ515=1,AH515&lt;&gt;"",COUNTIFS($AH$2:AH515,AH515,$AJ$2:AJ515,1)=1),N(AL514)+1,"")</f>
        <v/>
      </c>
      <c r="AL515" s="54">
        <f>IF(AK515&lt;&gt;"",AK515,N(AL514))</f>
        <v/>
      </c>
    </row>
    <row r="516">
      <c r="A516" t="inlineStr">
        <is>
          <t>PRD-0172</t>
        </is>
      </c>
      <c r="B516" t="inlineStr">
        <is>
          <t>Production</t>
        </is>
      </c>
      <c r="AB516" t="n">
        <v>172</v>
      </c>
      <c r="AD516" s="52">
        <f>IFERROR(N(IFERROR(INDEX($A516:$AB516,MATCH("Xero Invoiced Ex GST",$A$1:$AB$1,0)),"")),0)</f>
        <v/>
      </c>
      <c r="AE516" s="53">
        <f>IFERROR(INDEX($A516:$AB516,MATCH("Xero Invoice Date",$A$1:$AB$1,0)),"")</f>
        <v/>
      </c>
      <c r="AF516" s="54">
        <f>IF(AND(IFERROR(INDEX($A516:$AB516,MATCH("Xero Invoice No",$A$1:$AB$1,0)),"")&amp;""&lt;&gt;"",ISNUMBER(AE516),AD516&lt;&gt;0),1,0)</f>
        <v/>
      </c>
      <c r="AG516" s="55">
        <f>IF(AF516=1,EOMONTH(AE516,0),"")</f>
        <v/>
      </c>
      <c r="AH516" s="9">
        <f>IF(AF516=1,UPPER(TRIM(IFERROR(INDEX($A516:$AB516,MATCH("Client",$A$1:$AB$1,0)),"")&amp;"")),"")</f>
        <v/>
      </c>
      <c r="AI516" s="9">
        <f>IF(AF516=1,IFERROR(INDEX($A516:$AB516,MATCH("Cost Centre",$A$1:$AB$1,0)),"")&amp;"","")</f>
        <v/>
      </c>
      <c r="AJ516" s="54">
        <f>IF(AND(AF516=1,AE516&gt;=set_FYStart,AE516&lt;=set_AsAt),1,0)</f>
        <v/>
      </c>
      <c r="AK516" s="54">
        <f>IF(AND(AJ516=1,AH516&lt;&gt;"",COUNTIFS($AH$2:AH516,AH516,$AJ$2:AJ516,1)=1),N(AL515)+1,"")</f>
        <v/>
      </c>
      <c r="AL516" s="54">
        <f>IF(AK516&lt;&gt;"",AK516,N(AL515))</f>
        <v/>
      </c>
    </row>
    <row r="517">
      <c r="A517" t="inlineStr">
        <is>
          <t>CON-0172</t>
        </is>
      </c>
      <c r="B517" t="inlineStr">
        <is>
          <t>Consulting</t>
        </is>
      </c>
      <c r="AB517" t="n">
        <v>172</v>
      </c>
      <c r="AD517" s="52">
        <f>IFERROR(N(IFERROR(INDEX($A517:$AB517,MATCH("Xero Invoiced Ex GST",$A$1:$AB$1,0)),"")),0)</f>
        <v/>
      </c>
      <c r="AE517" s="53">
        <f>IFERROR(INDEX($A517:$AB517,MATCH("Xero Invoice Date",$A$1:$AB$1,0)),"")</f>
        <v/>
      </c>
      <c r="AF517" s="54">
        <f>IF(AND(IFERROR(INDEX($A517:$AB517,MATCH("Xero Invoice No",$A$1:$AB$1,0)),"")&amp;""&lt;&gt;"",ISNUMBER(AE517),AD517&lt;&gt;0),1,0)</f>
        <v/>
      </c>
      <c r="AG517" s="55">
        <f>IF(AF517=1,EOMONTH(AE517,0),"")</f>
        <v/>
      </c>
      <c r="AH517" s="9">
        <f>IF(AF517=1,UPPER(TRIM(IFERROR(INDEX($A517:$AB517,MATCH("Client",$A$1:$AB$1,0)),"")&amp;"")),"")</f>
        <v/>
      </c>
      <c r="AI517" s="9">
        <f>IF(AF517=1,IFERROR(INDEX($A517:$AB517,MATCH("Cost Centre",$A$1:$AB$1,0)),"")&amp;"","")</f>
        <v/>
      </c>
      <c r="AJ517" s="54">
        <f>IF(AND(AF517=1,AE517&gt;=set_FYStart,AE517&lt;=set_AsAt),1,0)</f>
        <v/>
      </c>
      <c r="AK517" s="54">
        <f>IF(AND(AJ517=1,AH517&lt;&gt;"",COUNTIFS($AH$2:AH517,AH517,$AJ$2:AJ517,1)=1),N(AL516)+1,"")</f>
        <v/>
      </c>
      <c r="AL517" s="54">
        <f>IF(AK517&lt;&gt;"",AK517,N(AL516))</f>
        <v/>
      </c>
    </row>
    <row r="518">
      <c r="A518" t="inlineStr">
        <is>
          <t>ONS-0173</t>
        </is>
      </c>
      <c r="B518" t="inlineStr">
        <is>
          <t>Onsite</t>
        </is>
      </c>
      <c r="R518" t="inlineStr">
        <is>
          <t>GST 10%</t>
        </is>
      </c>
      <c r="AB518" t="n">
        <v>173</v>
      </c>
      <c r="AD518" s="52">
        <f>IFERROR(N(IFERROR(INDEX($A518:$AB518,MATCH("Xero Invoiced Ex GST",$A$1:$AB$1,0)),"")),0)</f>
        <v/>
      </c>
      <c r="AE518" s="53">
        <f>IFERROR(INDEX($A518:$AB518,MATCH("Xero Invoice Date",$A$1:$AB$1,0)),"")</f>
        <v/>
      </c>
      <c r="AF518" s="54">
        <f>IF(AND(IFERROR(INDEX($A518:$AB518,MATCH("Xero Invoice No",$A$1:$AB$1,0)),"")&amp;""&lt;&gt;"",ISNUMBER(AE518),AD518&lt;&gt;0),1,0)</f>
        <v/>
      </c>
      <c r="AG518" s="55">
        <f>IF(AF518=1,EOMONTH(AE518,0),"")</f>
        <v/>
      </c>
      <c r="AH518" s="9">
        <f>IF(AF518=1,UPPER(TRIM(IFERROR(INDEX($A518:$AB518,MATCH("Client",$A$1:$AB$1,0)),"")&amp;"")),"")</f>
        <v/>
      </c>
      <c r="AI518" s="9">
        <f>IF(AF518=1,IFERROR(INDEX($A518:$AB518,MATCH("Cost Centre",$A$1:$AB$1,0)),"")&amp;"","")</f>
        <v/>
      </c>
      <c r="AJ518" s="54">
        <f>IF(AND(AF518=1,AE518&gt;=set_FYStart,AE518&lt;=set_AsAt),1,0)</f>
        <v/>
      </c>
      <c r="AK518" s="54">
        <f>IF(AND(AJ518=1,AH518&lt;&gt;"",COUNTIFS($AH$2:AH518,AH518,$AJ$2:AJ518,1)=1),N(AL517)+1,"")</f>
        <v/>
      </c>
      <c r="AL518" s="54">
        <f>IF(AK518&lt;&gt;"",AK518,N(AL517))</f>
        <v/>
      </c>
    </row>
    <row r="519">
      <c r="A519" t="inlineStr">
        <is>
          <t>PRD-0173</t>
        </is>
      </c>
      <c r="B519" t="inlineStr">
        <is>
          <t>Production</t>
        </is>
      </c>
      <c r="AB519" t="n">
        <v>173</v>
      </c>
      <c r="AD519" s="52">
        <f>IFERROR(N(IFERROR(INDEX($A519:$AB519,MATCH("Xero Invoiced Ex GST",$A$1:$AB$1,0)),"")),0)</f>
        <v/>
      </c>
      <c r="AE519" s="53">
        <f>IFERROR(INDEX($A519:$AB519,MATCH("Xero Invoice Date",$A$1:$AB$1,0)),"")</f>
        <v/>
      </c>
      <c r="AF519" s="54">
        <f>IF(AND(IFERROR(INDEX($A519:$AB519,MATCH("Xero Invoice No",$A$1:$AB$1,0)),"")&amp;""&lt;&gt;"",ISNUMBER(AE519),AD519&lt;&gt;0),1,0)</f>
        <v/>
      </c>
      <c r="AG519" s="55">
        <f>IF(AF519=1,EOMONTH(AE519,0),"")</f>
        <v/>
      </c>
      <c r="AH519" s="9">
        <f>IF(AF519=1,UPPER(TRIM(IFERROR(INDEX($A519:$AB519,MATCH("Client",$A$1:$AB$1,0)),"")&amp;"")),"")</f>
        <v/>
      </c>
      <c r="AI519" s="9">
        <f>IF(AF519=1,IFERROR(INDEX($A519:$AB519,MATCH("Cost Centre",$A$1:$AB$1,0)),"")&amp;"","")</f>
        <v/>
      </c>
      <c r="AJ519" s="54">
        <f>IF(AND(AF519=1,AE519&gt;=set_FYStart,AE519&lt;=set_AsAt),1,0)</f>
        <v/>
      </c>
      <c r="AK519" s="54">
        <f>IF(AND(AJ519=1,AH519&lt;&gt;"",COUNTIFS($AH$2:AH519,AH519,$AJ$2:AJ519,1)=1),N(AL518)+1,"")</f>
        <v/>
      </c>
      <c r="AL519" s="54">
        <f>IF(AK519&lt;&gt;"",AK519,N(AL518))</f>
        <v/>
      </c>
    </row>
    <row r="520">
      <c r="A520" t="inlineStr">
        <is>
          <t>CON-0173</t>
        </is>
      </c>
      <c r="B520" t="inlineStr">
        <is>
          <t>Consulting</t>
        </is>
      </c>
      <c r="AB520" t="n">
        <v>173</v>
      </c>
      <c r="AD520" s="52">
        <f>IFERROR(N(IFERROR(INDEX($A520:$AB520,MATCH("Xero Invoiced Ex GST",$A$1:$AB$1,0)),"")),0)</f>
        <v/>
      </c>
      <c r="AE520" s="53">
        <f>IFERROR(INDEX($A520:$AB520,MATCH("Xero Invoice Date",$A$1:$AB$1,0)),"")</f>
        <v/>
      </c>
      <c r="AF520" s="54">
        <f>IF(AND(IFERROR(INDEX($A520:$AB520,MATCH("Xero Invoice No",$A$1:$AB$1,0)),"")&amp;""&lt;&gt;"",ISNUMBER(AE520),AD520&lt;&gt;0),1,0)</f>
        <v/>
      </c>
      <c r="AG520" s="55">
        <f>IF(AF520=1,EOMONTH(AE520,0),"")</f>
        <v/>
      </c>
      <c r="AH520" s="9">
        <f>IF(AF520=1,UPPER(TRIM(IFERROR(INDEX($A520:$AB520,MATCH("Client",$A$1:$AB$1,0)),"")&amp;"")),"")</f>
        <v/>
      </c>
      <c r="AI520" s="9">
        <f>IF(AF520=1,IFERROR(INDEX($A520:$AB520,MATCH("Cost Centre",$A$1:$AB$1,0)),"")&amp;"","")</f>
        <v/>
      </c>
      <c r="AJ520" s="54">
        <f>IF(AND(AF520=1,AE520&gt;=set_FYStart,AE520&lt;=set_AsAt),1,0)</f>
        <v/>
      </c>
      <c r="AK520" s="54">
        <f>IF(AND(AJ520=1,AH520&lt;&gt;"",COUNTIFS($AH$2:AH520,AH520,$AJ$2:AJ520,1)=1),N(AL519)+1,"")</f>
        <v/>
      </c>
      <c r="AL520" s="54">
        <f>IF(AK520&lt;&gt;"",AK520,N(AL519))</f>
        <v/>
      </c>
    </row>
    <row r="521">
      <c r="A521" t="inlineStr">
        <is>
          <t>ONS-0174</t>
        </is>
      </c>
      <c r="B521" t="inlineStr">
        <is>
          <t>Onsite</t>
        </is>
      </c>
      <c r="R521" t="inlineStr">
        <is>
          <t>GST 10%</t>
        </is>
      </c>
      <c r="AB521" t="n">
        <v>174</v>
      </c>
      <c r="AD521" s="52">
        <f>IFERROR(N(IFERROR(INDEX($A521:$AB521,MATCH("Xero Invoiced Ex GST",$A$1:$AB$1,0)),"")),0)</f>
        <v/>
      </c>
      <c r="AE521" s="53">
        <f>IFERROR(INDEX($A521:$AB521,MATCH("Xero Invoice Date",$A$1:$AB$1,0)),"")</f>
        <v/>
      </c>
      <c r="AF521" s="54">
        <f>IF(AND(IFERROR(INDEX($A521:$AB521,MATCH("Xero Invoice No",$A$1:$AB$1,0)),"")&amp;""&lt;&gt;"",ISNUMBER(AE521),AD521&lt;&gt;0),1,0)</f>
        <v/>
      </c>
      <c r="AG521" s="55">
        <f>IF(AF521=1,EOMONTH(AE521,0),"")</f>
        <v/>
      </c>
      <c r="AH521" s="9">
        <f>IF(AF521=1,UPPER(TRIM(IFERROR(INDEX($A521:$AB521,MATCH("Client",$A$1:$AB$1,0)),"")&amp;"")),"")</f>
        <v/>
      </c>
      <c r="AI521" s="9">
        <f>IF(AF521=1,IFERROR(INDEX($A521:$AB521,MATCH("Cost Centre",$A$1:$AB$1,0)),"")&amp;"","")</f>
        <v/>
      </c>
      <c r="AJ521" s="54">
        <f>IF(AND(AF521=1,AE521&gt;=set_FYStart,AE521&lt;=set_AsAt),1,0)</f>
        <v/>
      </c>
      <c r="AK521" s="54">
        <f>IF(AND(AJ521=1,AH521&lt;&gt;"",COUNTIFS($AH$2:AH521,AH521,$AJ$2:AJ521,1)=1),N(AL520)+1,"")</f>
        <v/>
      </c>
      <c r="AL521" s="54">
        <f>IF(AK521&lt;&gt;"",AK521,N(AL520))</f>
        <v/>
      </c>
    </row>
    <row r="522">
      <c r="A522" t="inlineStr">
        <is>
          <t>PRD-0174</t>
        </is>
      </c>
      <c r="B522" t="inlineStr">
        <is>
          <t>Production</t>
        </is>
      </c>
      <c r="AB522" t="n">
        <v>174</v>
      </c>
      <c r="AD522" s="52">
        <f>IFERROR(N(IFERROR(INDEX($A522:$AB522,MATCH("Xero Invoiced Ex GST",$A$1:$AB$1,0)),"")),0)</f>
        <v/>
      </c>
      <c r="AE522" s="53">
        <f>IFERROR(INDEX($A522:$AB522,MATCH("Xero Invoice Date",$A$1:$AB$1,0)),"")</f>
        <v/>
      </c>
      <c r="AF522" s="54">
        <f>IF(AND(IFERROR(INDEX($A522:$AB522,MATCH("Xero Invoice No",$A$1:$AB$1,0)),"")&amp;""&lt;&gt;"",ISNUMBER(AE522),AD522&lt;&gt;0),1,0)</f>
        <v/>
      </c>
      <c r="AG522" s="55">
        <f>IF(AF522=1,EOMONTH(AE522,0),"")</f>
        <v/>
      </c>
      <c r="AH522" s="9">
        <f>IF(AF522=1,UPPER(TRIM(IFERROR(INDEX($A522:$AB522,MATCH("Client",$A$1:$AB$1,0)),"")&amp;"")),"")</f>
        <v/>
      </c>
      <c r="AI522" s="9">
        <f>IF(AF522=1,IFERROR(INDEX($A522:$AB522,MATCH("Cost Centre",$A$1:$AB$1,0)),"")&amp;"","")</f>
        <v/>
      </c>
      <c r="AJ522" s="54">
        <f>IF(AND(AF522=1,AE522&gt;=set_FYStart,AE522&lt;=set_AsAt),1,0)</f>
        <v/>
      </c>
      <c r="AK522" s="54">
        <f>IF(AND(AJ522=1,AH522&lt;&gt;"",COUNTIFS($AH$2:AH522,AH522,$AJ$2:AJ522,1)=1),N(AL521)+1,"")</f>
        <v/>
      </c>
      <c r="AL522" s="54">
        <f>IF(AK522&lt;&gt;"",AK522,N(AL521))</f>
        <v/>
      </c>
    </row>
    <row r="523">
      <c r="A523" t="inlineStr">
        <is>
          <t>CON-0174</t>
        </is>
      </c>
      <c r="B523" t="inlineStr">
        <is>
          <t>Consulting</t>
        </is>
      </c>
      <c r="AB523" t="n">
        <v>174</v>
      </c>
      <c r="AD523" s="52">
        <f>IFERROR(N(IFERROR(INDEX($A523:$AB523,MATCH("Xero Invoiced Ex GST",$A$1:$AB$1,0)),"")),0)</f>
        <v/>
      </c>
      <c r="AE523" s="53">
        <f>IFERROR(INDEX($A523:$AB523,MATCH("Xero Invoice Date",$A$1:$AB$1,0)),"")</f>
        <v/>
      </c>
      <c r="AF523" s="54">
        <f>IF(AND(IFERROR(INDEX($A523:$AB523,MATCH("Xero Invoice No",$A$1:$AB$1,0)),"")&amp;""&lt;&gt;"",ISNUMBER(AE523),AD523&lt;&gt;0),1,0)</f>
        <v/>
      </c>
      <c r="AG523" s="55">
        <f>IF(AF523=1,EOMONTH(AE523,0),"")</f>
        <v/>
      </c>
      <c r="AH523" s="9">
        <f>IF(AF523=1,UPPER(TRIM(IFERROR(INDEX($A523:$AB523,MATCH("Client",$A$1:$AB$1,0)),"")&amp;"")),"")</f>
        <v/>
      </c>
      <c r="AI523" s="9">
        <f>IF(AF523=1,IFERROR(INDEX($A523:$AB523,MATCH("Cost Centre",$A$1:$AB$1,0)),"")&amp;"","")</f>
        <v/>
      </c>
      <c r="AJ523" s="54">
        <f>IF(AND(AF523=1,AE523&gt;=set_FYStart,AE523&lt;=set_AsAt),1,0)</f>
        <v/>
      </c>
      <c r="AK523" s="54">
        <f>IF(AND(AJ523=1,AH523&lt;&gt;"",COUNTIFS($AH$2:AH523,AH523,$AJ$2:AJ523,1)=1),N(AL522)+1,"")</f>
        <v/>
      </c>
      <c r="AL523" s="54">
        <f>IF(AK523&lt;&gt;"",AK523,N(AL522))</f>
        <v/>
      </c>
    </row>
    <row r="524">
      <c r="A524" t="inlineStr">
        <is>
          <t>ONS-0175</t>
        </is>
      </c>
      <c r="B524" t="inlineStr">
        <is>
          <t>Onsite</t>
        </is>
      </c>
      <c r="R524" t="inlineStr">
        <is>
          <t>GST 10%</t>
        </is>
      </c>
      <c r="AB524" t="n">
        <v>175</v>
      </c>
      <c r="AD524" s="52">
        <f>IFERROR(N(IFERROR(INDEX($A524:$AB524,MATCH("Xero Invoiced Ex GST",$A$1:$AB$1,0)),"")),0)</f>
        <v/>
      </c>
      <c r="AE524" s="53">
        <f>IFERROR(INDEX($A524:$AB524,MATCH("Xero Invoice Date",$A$1:$AB$1,0)),"")</f>
        <v/>
      </c>
      <c r="AF524" s="54">
        <f>IF(AND(IFERROR(INDEX($A524:$AB524,MATCH("Xero Invoice No",$A$1:$AB$1,0)),"")&amp;""&lt;&gt;"",ISNUMBER(AE524),AD524&lt;&gt;0),1,0)</f>
        <v/>
      </c>
      <c r="AG524" s="55">
        <f>IF(AF524=1,EOMONTH(AE524,0),"")</f>
        <v/>
      </c>
      <c r="AH524" s="9">
        <f>IF(AF524=1,UPPER(TRIM(IFERROR(INDEX($A524:$AB524,MATCH("Client",$A$1:$AB$1,0)),"")&amp;"")),"")</f>
        <v/>
      </c>
      <c r="AI524" s="9">
        <f>IF(AF524=1,IFERROR(INDEX($A524:$AB524,MATCH("Cost Centre",$A$1:$AB$1,0)),"")&amp;"","")</f>
        <v/>
      </c>
      <c r="AJ524" s="54">
        <f>IF(AND(AF524=1,AE524&gt;=set_FYStart,AE524&lt;=set_AsAt),1,0)</f>
        <v/>
      </c>
      <c r="AK524" s="54">
        <f>IF(AND(AJ524=1,AH524&lt;&gt;"",COUNTIFS($AH$2:AH524,AH524,$AJ$2:AJ524,1)=1),N(AL523)+1,"")</f>
        <v/>
      </c>
      <c r="AL524" s="54">
        <f>IF(AK524&lt;&gt;"",AK524,N(AL523))</f>
        <v/>
      </c>
    </row>
    <row r="525">
      <c r="A525" t="inlineStr">
        <is>
          <t>PRD-0175</t>
        </is>
      </c>
      <c r="B525" t="inlineStr">
        <is>
          <t>Production</t>
        </is>
      </c>
      <c r="AB525" t="n">
        <v>175</v>
      </c>
      <c r="AD525" s="52">
        <f>IFERROR(N(IFERROR(INDEX($A525:$AB525,MATCH("Xero Invoiced Ex GST",$A$1:$AB$1,0)),"")),0)</f>
        <v/>
      </c>
      <c r="AE525" s="53">
        <f>IFERROR(INDEX($A525:$AB525,MATCH("Xero Invoice Date",$A$1:$AB$1,0)),"")</f>
        <v/>
      </c>
      <c r="AF525" s="54">
        <f>IF(AND(IFERROR(INDEX($A525:$AB525,MATCH("Xero Invoice No",$A$1:$AB$1,0)),"")&amp;""&lt;&gt;"",ISNUMBER(AE525),AD525&lt;&gt;0),1,0)</f>
        <v/>
      </c>
      <c r="AG525" s="55">
        <f>IF(AF525=1,EOMONTH(AE525,0),"")</f>
        <v/>
      </c>
      <c r="AH525" s="9">
        <f>IF(AF525=1,UPPER(TRIM(IFERROR(INDEX($A525:$AB525,MATCH("Client",$A$1:$AB$1,0)),"")&amp;"")),"")</f>
        <v/>
      </c>
      <c r="AI525" s="9">
        <f>IF(AF525=1,IFERROR(INDEX($A525:$AB525,MATCH("Cost Centre",$A$1:$AB$1,0)),"")&amp;"","")</f>
        <v/>
      </c>
      <c r="AJ525" s="54">
        <f>IF(AND(AF525=1,AE525&gt;=set_FYStart,AE525&lt;=set_AsAt),1,0)</f>
        <v/>
      </c>
      <c r="AK525" s="54">
        <f>IF(AND(AJ525=1,AH525&lt;&gt;"",COUNTIFS($AH$2:AH525,AH525,$AJ$2:AJ525,1)=1),N(AL524)+1,"")</f>
        <v/>
      </c>
      <c r="AL525" s="54">
        <f>IF(AK525&lt;&gt;"",AK525,N(AL524))</f>
        <v/>
      </c>
    </row>
    <row r="526">
      <c r="A526" t="inlineStr">
        <is>
          <t>CON-0175</t>
        </is>
      </c>
      <c r="B526" t="inlineStr">
        <is>
          <t>Consulting</t>
        </is>
      </c>
      <c r="AB526" t="n">
        <v>175</v>
      </c>
      <c r="AD526" s="52">
        <f>IFERROR(N(IFERROR(INDEX($A526:$AB526,MATCH("Xero Invoiced Ex GST",$A$1:$AB$1,0)),"")),0)</f>
        <v/>
      </c>
      <c r="AE526" s="53">
        <f>IFERROR(INDEX($A526:$AB526,MATCH("Xero Invoice Date",$A$1:$AB$1,0)),"")</f>
        <v/>
      </c>
      <c r="AF526" s="54">
        <f>IF(AND(IFERROR(INDEX($A526:$AB526,MATCH("Xero Invoice No",$A$1:$AB$1,0)),"")&amp;""&lt;&gt;"",ISNUMBER(AE526),AD526&lt;&gt;0),1,0)</f>
        <v/>
      </c>
      <c r="AG526" s="55">
        <f>IF(AF526=1,EOMONTH(AE526,0),"")</f>
        <v/>
      </c>
      <c r="AH526" s="9">
        <f>IF(AF526=1,UPPER(TRIM(IFERROR(INDEX($A526:$AB526,MATCH("Client",$A$1:$AB$1,0)),"")&amp;"")),"")</f>
        <v/>
      </c>
      <c r="AI526" s="9">
        <f>IF(AF526=1,IFERROR(INDEX($A526:$AB526,MATCH("Cost Centre",$A$1:$AB$1,0)),"")&amp;"","")</f>
        <v/>
      </c>
      <c r="AJ526" s="54">
        <f>IF(AND(AF526=1,AE526&gt;=set_FYStart,AE526&lt;=set_AsAt),1,0)</f>
        <v/>
      </c>
      <c r="AK526" s="54">
        <f>IF(AND(AJ526=1,AH526&lt;&gt;"",COUNTIFS($AH$2:AH526,AH526,$AJ$2:AJ526,1)=1),N(AL525)+1,"")</f>
        <v/>
      </c>
      <c r="AL526" s="54">
        <f>IF(AK526&lt;&gt;"",AK526,N(AL525))</f>
        <v/>
      </c>
    </row>
    <row r="527">
      <c r="A527" t="inlineStr">
        <is>
          <t>ONS-0176</t>
        </is>
      </c>
      <c r="B527" t="inlineStr">
        <is>
          <t>Onsite</t>
        </is>
      </c>
      <c r="R527" t="inlineStr">
        <is>
          <t>GST 10%</t>
        </is>
      </c>
      <c r="AB527" t="n">
        <v>176</v>
      </c>
      <c r="AD527" s="52">
        <f>IFERROR(N(IFERROR(INDEX($A527:$AB527,MATCH("Xero Invoiced Ex GST",$A$1:$AB$1,0)),"")),0)</f>
        <v/>
      </c>
      <c r="AE527" s="53">
        <f>IFERROR(INDEX($A527:$AB527,MATCH("Xero Invoice Date",$A$1:$AB$1,0)),"")</f>
        <v/>
      </c>
      <c r="AF527" s="54">
        <f>IF(AND(IFERROR(INDEX($A527:$AB527,MATCH("Xero Invoice No",$A$1:$AB$1,0)),"")&amp;""&lt;&gt;"",ISNUMBER(AE527),AD527&lt;&gt;0),1,0)</f>
        <v/>
      </c>
      <c r="AG527" s="55">
        <f>IF(AF527=1,EOMONTH(AE527,0),"")</f>
        <v/>
      </c>
      <c r="AH527" s="9">
        <f>IF(AF527=1,UPPER(TRIM(IFERROR(INDEX($A527:$AB527,MATCH("Client",$A$1:$AB$1,0)),"")&amp;"")),"")</f>
        <v/>
      </c>
      <c r="AI527" s="9">
        <f>IF(AF527=1,IFERROR(INDEX($A527:$AB527,MATCH("Cost Centre",$A$1:$AB$1,0)),"")&amp;"","")</f>
        <v/>
      </c>
      <c r="AJ527" s="54">
        <f>IF(AND(AF527=1,AE527&gt;=set_FYStart,AE527&lt;=set_AsAt),1,0)</f>
        <v/>
      </c>
      <c r="AK527" s="54">
        <f>IF(AND(AJ527=1,AH527&lt;&gt;"",COUNTIFS($AH$2:AH527,AH527,$AJ$2:AJ527,1)=1),N(AL526)+1,"")</f>
        <v/>
      </c>
      <c r="AL527" s="54">
        <f>IF(AK527&lt;&gt;"",AK527,N(AL526))</f>
        <v/>
      </c>
    </row>
    <row r="528">
      <c r="A528" t="inlineStr">
        <is>
          <t>PRD-0176</t>
        </is>
      </c>
      <c r="B528" t="inlineStr">
        <is>
          <t>Production</t>
        </is>
      </c>
      <c r="AB528" t="n">
        <v>176</v>
      </c>
      <c r="AD528" s="52">
        <f>IFERROR(N(IFERROR(INDEX($A528:$AB528,MATCH("Xero Invoiced Ex GST",$A$1:$AB$1,0)),"")),0)</f>
        <v/>
      </c>
      <c r="AE528" s="53">
        <f>IFERROR(INDEX($A528:$AB528,MATCH("Xero Invoice Date",$A$1:$AB$1,0)),"")</f>
        <v/>
      </c>
      <c r="AF528" s="54">
        <f>IF(AND(IFERROR(INDEX($A528:$AB528,MATCH("Xero Invoice No",$A$1:$AB$1,0)),"")&amp;""&lt;&gt;"",ISNUMBER(AE528),AD528&lt;&gt;0),1,0)</f>
        <v/>
      </c>
      <c r="AG528" s="55">
        <f>IF(AF528=1,EOMONTH(AE528,0),"")</f>
        <v/>
      </c>
      <c r="AH528" s="9">
        <f>IF(AF528=1,UPPER(TRIM(IFERROR(INDEX($A528:$AB528,MATCH("Client",$A$1:$AB$1,0)),"")&amp;"")),"")</f>
        <v/>
      </c>
      <c r="AI528" s="9">
        <f>IF(AF528=1,IFERROR(INDEX($A528:$AB528,MATCH("Cost Centre",$A$1:$AB$1,0)),"")&amp;"","")</f>
        <v/>
      </c>
      <c r="AJ528" s="54">
        <f>IF(AND(AF528=1,AE528&gt;=set_FYStart,AE528&lt;=set_AsAt),1,0)</f>
        <v/>
      </c>
      <c r="AK528" s="54">
        <f>IF(AND(AJ528=1,AH528&lt;&gt;"",COUNTIFS($AH$2:AH528,AH528,$AJ$2:AJ528,1)=1),N(AL527)+1,"")</f>
        <v/>
      </c>
      <c r="AL528" s="54">
        <f>IF(AK528&lt;&gt;"",AK528,N(AL527))</f>
        <v/>
      </c>
    </row>
    <row r="529">
      <c r="A529" t="inlineStr">
        <is>
          <t>CON-0176</t>
        </is>
      </c>
      <c r="B529" t="inlineStr">
        <is>
          <t>Consulting</t>
        </is>
      </c>
      <c r="AB529" t="n">
        <v>176</v>
      </c>
      <c r="AD529" s="52">
        <f>IFERROR(N(IFERROR(INDEX($A529:$AB529,MATCH("Xero Invoiced Ex GST",$A$1:$AB$1,0)),"")),0)</f>
        <v/>
      </c>
      <c r="AE529" s="53">
        <f>IFERROR(INDEX($A529:$AB529,MATCH("Xero Invoice Date",$A$1:$AB$1,0)),"")</f>
        <v/>
      </c>
      <c r="AF529" s="54">
        <f>IF(AND(IFERROR(INDEX($A529:$AB529,MATCH("Xero Invoice No",$A$1:$AB$1,0)),"")&amp;""&lt;&gt;"",ISNUMBER(AE529),AD529&lt;&gt;0),1,0)</f>
        <v/>
      </c>
      <c r="AG529" s="55">
        <f>IF(AF529=1,EOMONTH(AE529,0),"")</f>
        <v/>
      </c>
      <c r="AH529" s="9">
        <f>IF(AF529=1,UPPER(TRIM(IFERROR(INDEX($A529:$AB529,MATCH("Client",$A$1:$AB$1,0)),"")&amp;"")),"")</f>
        <v/>
      </c>
      <c r="AI529" s="9">
        <f>IF(AF529=1,IFERROR(INDEX($A529:$AB529,MATCH("Cost Centre",$A$1:$AB$1,0)),"")&amp;"","")</f>
        <v/>
      </c>
      <c r="AJ529" s="54">
        <f>IF(AND(AF529=1,AE529&gt;=set_FYStart,AE529&lt;=set_AsAt),1,0)</f>
        <v/>
      </c>
      <c r="AK529" s="54">
        <f>IF(AND(AJ529=1,AH529&lt;&gt;"",COUNTIFS($AH$2:AH529,AH529,$AJ$2:AJ529,1)=1),N(AL528)+1,"")</f>
        <v/>
      </c>
      <c r="AL529" s="54">
        <f>IF(AK529&lt;&gt;"",AK529,N(AL528))</f>
        <v/>
      </c>
    </row>
    <row r="530">
      <c r="A530" t="inlineStr">
        <is>
          <t>ONS-0177</t>
        </is>
      </c>
      <c r="B530" t="inlineStr">
        <is>
          <t>Onsite</t>
        </is>
      </c>
      <c r="R530" t="inlineStr">
        <is>
          <t>GST 10%</t>
        </is>
      </c>
      <c r="AB530" t="n">
        <v>177</v>
      </c>
      <c r="AD530" s="52">
        <f>IFERROR(N(IFERROR(INDEX($A530:$AB530,MATCH("Xero Invoiced Ex GST",$A$1:$AB$1,0)),"")),0)</f>
        <v/>
      </c>
      <c r="AE530" s="53">
        <f>IFERROR(INDEX($A530:$AB530,MATCH("Xero Invoice Date",$A$1:$AB$1,0)),"")</f>
        <v/>
      </c>
      <c r="AF530" s="54">
        <f>IF(AND(IFERROR(INDEX($A530:$AB530,MATCH("Xero Invoice No",$A$1:$AB$1,0)),"")&amp;""&lt;&gt;"",ISNUMBER(AE530),AD530&lt;&gt;0),1,0)</f>
        <v/>
      </c>
      <c r="AG530" s="55">
        <f>IF(AF530=1,EOMONTH(AE530,0),"")</f>
        <v/>
      </c>
      <c r="AH530" s="9">
        <f>IF(AF530=1,UPPER(TRIM(IFERROR(INDEX($A530:$AB530,MATCH("Client",$A$1:$AB$1,0)),"")&amp;"")),"")</f>
        <v/>
      </c>
      <c r="AI530" s="9">
        <f>IF(AF530=1,IFERROR(INDEX($A530:$AB530,MATCH("Cost Centre",$A$1:$AB$1,0)),"")&amp;"","")</f>
        <v/>
      </c>
      <c r="AJ530" s="54">
        <f>IF(AND(AF530=1,AE530&gt;=set_FYStart,AE530&lt;=set_AsAt),1,0)</f>
        <v/>
      </c>
      <c r="AK530" s="54">
        <f>IF(AND(AJ530=1,AH530&lt;&gt;"",COUNTIFS($AH$2:AH530,AH530,$AJ$2:AJ530,1)=1),N(AL529)+1,"")</f>
        <v/>
      </c>
      <c r="AL530" s="54">
        <f>IF(AK530&lt;&gt;"",AK530,N(AL529))</f>
        <v/>
      </c>
    </row>
    <row r="531">
      <c r="A531" t="inlineStr">
        <is>
          <t>PRD-0177</t>
        </is>
      </c>
      <c r="B531" t="inlineStr">
        <is>
          <t>Production</t>
        </is>
      </c>
      <c r="AB531" t="n">
        <v>177</v>
      </c>
      <c r="AD531" s="52">
        <f>IFERROR(N(IFERROR(INDEX($A531:$AB531,MATCH("Xero Invoiced Ex GST",$A$1:$AB$1,0)),"")),0)</f>
        <v/>
      </c>
      <c r="AE531" s="53">
        <f>IFERROR(INDEX($A531:$AB531,MATCH("Xero Invoice Date",$A$1:$AB$1,0)),"")</f>
        <v/>
      </c>
      <c r="AF531" s="54">
        <f>IF(AND(IFERROR(INDEX($A531:$AB531,MATCH("Xero Invoice No",$A$1:$AB$1,0)),"")&amp;""&lt;&gt;"",ISNUMBER(AE531),AD531&lt;&gt;0),1,0)</f>
        <v/>
      </c>
      <c r="AG531" s="55">
        <f>IF(AF531=1,EOMONTH(AE531,0),"")</f>
        <v/>
      </c>
      <c r="AH531" s="9">
        <f>IF(AF531=1,UPPER(TRIM(IFERROR(INDEX($A531:$AB531,MATCH("Client",$A$1:$AB$1,0)),"")&amp;"")),"")</f>
        <v/>
      </c>
      <c r="AI531" s="9">
        <f>IF(AF531=1,IFERROR(INDEX($A531:$AB531,MATCH("Cost Centre",$A$1:$AB$1,0)),"")&amp;"","")</f>
        <v/>
      </c>
      <c r="AJ531" s="54">
        <f>IF(AND(AF531=1,AE531&gt;=set_FYStart,AE531&lt;=set_AsAt),1,0)</f>
        <v/>
      </c>
      <c r="AK531" s="54">
        <f>IF(AND(AJ531=1,AH531&lt;&gt;"",COUNTIFS($AH$2:AH531,AH531,$AJ$2:AJ531,1)=1),N(AL530)+1,"")</f>
        <v/>
      </c>
      <c r="AL531" s="54">
        <f>IF(AK531&lt;&gt;"",AK531,N(AL530))</f>
        <v/>
      </c>
    </row>
    <row r="532">
      <c r="A532" t="inlineStr">
        <is>
          <t>CON-0177</t>
        </is>
      </c>
      <c r="B532" t="inlineStr">
        <is>
          <t>Consulting</t>
        </is>
      </c>
      <c r="AB532" t="n">
        <v>177</v>
      </c>
      <c r="AD532" s="52">
        <f>IFERROR(N(IFERROR(INDEX($A532:$AB532,MATCH("Xero Invoiced Ex GST",$A$1:$AB$1,0)),"")),0)</f>
        <v/>
      </c>
      <c r="AE532" s="53">
        <f>IFERROR(INDEX($A532:$AB532,MATCH("Xero Invoice Date",$A$1:$AB$1,0)),"")</f>
        <v/>
      </c>
      <c r="AF532" s="54">
        <f>IF(AND(IFERROR(INDEX($A532:$AB532,MATCH("Xero Invoice No",$A$1:$AB$1,0)),"")&amp;""&lt;&gt;"",ISNUMBER(AE532),AD532&lt;&gt;0),1,0)</f>
        <v/>
      </c>
      <c r="AG532" s="55">
        <f>IF(AF532=1,EOMONTH(AE532,0),"")</f>
        <v/>
      </c>
      <c r="AH532" s="9">
        <f>IF(AF532=1,UPPER(TRIM(IFERROR(INDEX($A532:$AB532,MATCH("Client",$A$1:$AB$1,0)),"")&amp;"")),"")</f>
        <v/>
      </c>
      <c r="AI532" s="9">
        <f>IF(AF532=1,IFERROR(INDEX($A532:$AB532,MATCH("Cost Centre",$A$1:$AB$1,0)),"")&amp;"","")</f>
        <v/>
      </c>
      <c r="AJ532" s="54">
        <f>IF(AND(AF532=1,AE532&gt;=set_FYStart,AE532&lt;=set_AsAt),1,0)</f>
        <v/>
      </c>
      <c r="AK532" s="54">
        <f>IF(AND(AJ532=1,AH532&lt;&gt;"",COUNTIFS($AH$2:AH532,AH532,$AJ$2:AJ532,1)=1),N(AL531)+1,"")</f>
        <v/>
      </c>
      <c r="AL532" s="54">
        <f>IF(AK532&lt;&gt;"",AK532,N(AL531))</f>
        <v/>
      </c>
    </row>
    <row r="533">
      <c r="A533" t="inlineStr">
        <is>
          <t>ONS-0178</t>
        </is>
      </c>
      <c r="B533" t="inlineStr">
        <is>
          <t>Onsite</t>
        </is>
      </c>
      <c r="R533" t="inlineStr">
        <is>
          <t>GST 10%</t>
        </is>
      </c>
      <c r="AB533" t="n">
        <v>178</v>
      </c>
      <c r="AD533" s="52">
        <f>IFERROR(N(IFERROR(INDEX($A533:$AB533,MATCH("Xero Invoiced Ex GST",$A$1:$AB$1,0)),"")),0)</f>
        <v/>
      </c>
      <c r="AE533" s="53">
        <f>IFERROR(INDEX($A533:$AB533,MATCH("Xero Invoice Date",$A$1:$AB$1,0)),"")</f>
        <v/>
      </c>
      <c r="AF533" s="54">
        <f>IF(AND(IFERROR(INDEX($A533:$AB533,MATCH("Xero Invoice No",$A$1:$AB$1,0)),"")&amp;""&lt;&gt;"",ISNUMBER(AE533),AD533&lt;&gt;0),1,0)</f>
        <v/>
      </c>
      <c r="AG533" s="55">
        <f>IF(AF533=1,EOMONTH(AE533,0),"")</f>
        <v/>
      </c>
      <c r="AH533" s="9">
        <f>IF(AF533=1,UPPER(TRIM(IFERROR(INDEX($A533:$AB533,MATCH("Client",$A$1:$AB$1,0)),"")&amp;"")),"")</f>
        <v/>
      </c>
      <c r="AI533" s="9">
        <f>IF(AF533=1,IFERROR(INDEX($A533:$AB533,MATCH("Cost Centre",$A$1:$AB$1,0)),"")&amp;"","")</f>
        <v/>
      </c>
      <c r="AJ533" s="54">
        <f>IF(AND(AF533=1,AE533&gt;=set_FYStart,AE533&lt;=set_AsAt),1,0)</f>
        <v/>
      </c>
      <c r="AK533" s="54">
        <f>IF(AND(AJ533=1,AH533&lt;&gt;"",COUNTIFS($AH$2:AH533,AH533,$AJ$2:AJ533,1)=1),N(AL532)+1,"")</f>
        <v/>
      </c>
      <c r="AL533" s="54">
        <f>IF(AK533&lt;&gt;"",AK533,N(AL532))</f>
        <v/>
      </c>
    </row>
    <row r="534">
      <c r="A534" t="inlineStr">
        <is>
          <t>PRD-0178</t>
        </is>
      </c>
      <c r="B534" t="inlineStr">
        <is>
          <t>Production</t>
        </is>
      </c>
      <c r="AB534" t="n">
        <v>178</v>
      </c>
      <c r="AD534" s="52">
        <f>IFERROR(N(IFERROR(INDEX($A534:$AB534,MATCH("Xero Invoiced Ex GST",$A$1:$AB$1,0)),"")),0)</f>
        <v/>
      </c>
      <c r="AE534" s="53">
        <f>IFERROR(INDEX($A534:$AB534,MATCH("Xero Invoice Date",$A$1:$AB$1,0)),"")</f>
        <v/>
      </c>
      <c r="AF534" s="54">
        <f>IF(AND(IFERROR(INDEX($A534:$AB534,MATCH("Xero Invoice No",$A$1:$AB$1,0)),"")&amp;""&lt;&gt;"",ISNUMBER(AE534),AD534&lt;&gt;0),1,0)</f>
        <v/>
      </c>
      <c r="AG534" s="55">
        <f>IF(AF534=1,EOMONTH(AE534,0),"")</f>
        <v/>
      </c>
      <c r="AH534" s="9">
        <f>IF(AF534=1,UPPER(TRIM(IFERROR(INDEX($A534:$AB534,MATCH("Client",$A$1:$AB$1,0)),"")&amp;"")),"")</f>
        <v/>
      </c>
      <c r="AI534" s="9">
        <f>IF(AF534=1,IFERROR(INDEX($A534:$AB534,MATCH("Cost Centre",$A$1:$AB$1,0)),"")&amp;"","")</f>
        <v/>
      </c>
      <c r="AJ534" s="54">
        <f>IF(AND(AF534=1,AE534&gt;=set_FYStart,AE534&lt;=set_AsAt),1,0)</f>
        <v/>
      </c>
      <c r="AK534" s="54">
        <f>IF(AND(AJ534=1,AH534&lt;&gt;"",COUNTIFS($AH$2:AH534,AH534,$AJ$2:AJ534,1)=1),N(AL533)+1,"")</f>
        <v/>
      </c>
      <c r="AL534" s="54">
        <f>IF(AK534&lt;&gt;"",AK534,N(AL533))</f>
        <v/>
      </c>
    </row>
    <row r="535">
      <c r="A535" t="inlineStr">
        <is>
          <t>CON-0178</t>
        </is>
      </c>
      <c r="B535" t="inlineStr">
        <is>
          <t>Consulting</t>
        </is>
      </c>
      <c r="AB535" t="n">
        <v>178</v>
      </c>
      <c r="AD535" s="52">
        <f>IFERROR(N(IFERROR(INDEX($A535:$AB535,MATCH("Xero Invoiced Ex GST",$A$1:$AB$1,0)),"")),0)</f>
        <v/>
      </c>
      <c r="AE535" s="53">
        <f>IFERROR(INDEX($A535:$AB535,MATCH("Xero Invoice Date",$A$1:$AB$1,0)),"")</f>
        <v/>
      </c>
      <c r="AF535" s="54">
        <f>IF(AND(IFERROR(INDEX($A535:$AB535,MATCH("Xero Invoice No",$A$1:$AB$1,0)),"")&amp;""&lt;&gt;"",ISNUMBER(AE535),AD535&lt;&gt;0),1,0)</f>
        <v/>
      </c>
      <c r="AG535" s="55">
        <f>IF(AF535=1,EOMONTH(AE535,0),"")</f>
        <v/>
      </c>
      <c r="AH535" s="9">
        <f>IF(AF535=1,UPPER(TRIM(IFERROR(INDEX($A535:$AB535,MATCH("Client",$A$1:$AB$1,0)),"")&amp;"")),"")</f>
        <v/>
      </c>
      <c r="AI535" s="9">
        <f>IF(AF535=1,IFERROR(INDEX($A535:$AB535,MATCH("Cost Centre",$A$1:$AB$1,0)),"")&amp;"","")</f>
        <v/>
      </c>
      <c r="AJ535" s="54">
        <f>IF(AND(AF535=1,AE535&gt;=set_FYStart,AE535&lt;=set_AsAt),1,0)</f>
        <v/>
      </c>
      <c r="AK535" s="54">
        <f>IF(AND(AJ535=1,AH535&lt;&gt;"",COUNTIFS($AH$2:AH535,AH535,$AJ$2:AJ535,1)=1),N(AL534)+1,"")</f>
        <v/>
      </c>
      <c r="AL535" s="54">
        <f>IF(AK535&lt;&gt;"",AK535,N(AL534))</f>
        <v/>
      </c>
    </row>
    <row r="536">
      <c r="A536" t="inlineStr">
        <is>
          <t>ONS-0179</t>
        </is>
      </c>
      <c r="B536" t="inlineStr">
        <is>
          <t>Onsite</t>
        </is>
      </c>
      <c r="R536" t="inlineStr">
        <is>
          <t>GST 10%</t>
        </is>
      </c>
      <c r="AB536" t="n">
        <v>179</v>
      </c>
      <c r="AD536" s="52">
        <f>IFERROR(N(IFERROR(INDEX($A536:$AB536,MATCH("Xero Invoiced Ex GST",$A$1:$AB$1,0)),"")),0)</f>
        <v/>
      </c>
      <c r="AE536" s="53">
        <f>IFERROR(INDEX($A536:$AB536,MATCH("Xero Invoice Date",$A$1:$AB$1,0)),"")</f>
        <v/>
      </c>
      <c r="AF536" s="54">
        <f>IF(AND(IFERROR(INDEX($A536:$AB536,MATCH("Xero Invoice No",$A$1:$AB$1,0)),"")&amp;""&lt;&gt;"",ISNUMBER(AE536),AD536&lt;&gt;0),1,0)</f>
        <v/>
      </c>
      <c r="AG536" s="55">
        <f>IF(AF536=1,EOMONTH(AE536,0),"")</f>
        <v/>
      </c>
      <c r="AH536" s="9">
        <f>IF(AF536=1,UPPER(TRIM(IFERROR(INDEX($A536:$AB536,MATCH("Client",$A$1:$AB$1,0)),"")&amp;"")),"")</f>
        <v/>
      </c>
      <c r="AI536" s="9">
        <f>IF(AF536=1,IFERROR(INDEX($A536:$AB536,MATCH("Cost Centre",$A$1:$AB$1,0)),"")&amp;"","")</f>
        <v/>
      </c>
      <c r="AJ536" s="54">
        <f>IF(AND(AF536=1,AE536&gt;=set_FYStart,AE536&lt;=set_AsAt),1,0)</f>
        <v/>
      </c>
      <c r="AK536" s="54">
        <f>IF(AND(AJ536=1,AH536&lt;&gt;"",COUNTIFS($AH$2:AH536,AH536,$AJ$2:AJ536,1)=1),N(AL535)+1,"")</f>
        <v/>
      </c>
      <c r="AL536" s="54">
        <f>IF(AK536&lt;&gt;"",AK536,N(AL535))</f>
        <v/>
      </c>
    </row>
    <row r="537">
      <c r="A537" t="inlineStr">
        <is>
          <t>PRD-0179</t>
        </is>
      </c>
      <c r="B537" t="inlineStr">
        <is>
          <t>Production</t>
        </is>
      </c>
      <c r="AB537" t="n">
        <v>179</v>
      </c>
      <c r="AD537" s="52">
        <f>IFERROR(N(IFERROR(INDEX($A537:$AB537,MATCH("Xero Invoiced Ex GST",$A$1:$AB$1,0)),"")),0)</f>
        <v/>
      </c>
      <c r="AE537" s="53">
        <f>IFERROR(INDEX($A537:$AB537,MATCH("Xero Invoice Date",$A$1:$AB$1,0)),"")</f>
        <v/>
      </c>
      <c r="AF537" s="54">
        <f>IF(AND(IFERROR(INDEX($A537:$AB537,MATCH("Xero Invoice No",$A$1:$AB$1,0)),"")&amp;""&lt;&gt;"",ISNUMBER(AE537),AD537&lt;&gt;0),1,0)</f>
        <v/>
      </c>
      <c r="AG537" s="55">
        <f>IF(AF537=1,EOMONTH(AE537,0),"")</f>
        <v/>
      </c>
      <c r="AH537" s="9">
        <f>IF(AF537=1,UPPER(TRIM(IFERROR(INDEX($A537:$AB537,MATCH("Client",$A$1:$AB$1,0)),"")&amp;"")),"")</f>
        <v/>
      </c>
      <c r="AI537" s="9">
        <f>IF(AF537=1,IFERROR(INDEX($A537:$AB537,MATCH("Cost Centre",$A$1:$AB$1,0)),"")&amp;"","")</f>
        <v/>
      </c>
      <c r="AJ537" s="54">
        <f>IF(AND(AF537=1,AE537&gt;=set_FYStart,AE537&lt;=set_AsAt),1,0)</f>
        <v/>
      </c>
      <c r="AK537" s="54">
        <f>IF(AND(AJ537=1,AH537&lt;&gt;"",COUNTIFS($AH$2:AH537,AH537,$AJ$2:AJ537,1)=1),N(AL536)+1,"")</f>
        <v/>
      </c>
      <c r="AL537" s="54">
        <f>IF(AK537&lt;&gt;"",AK537,N(AL536))</f>
        <v/>
      </c>
    </row>
    <row r="538">
      <c r="A538" t="inlineStr">
        <is>
          <t>CON-0179</t>
        </is>
      </c>
      <c r="B538" t="inlineStr">
        <is>
          <t>Consulting</t>
        </is>
      </c>
      <c r="AB538" t="n">
        <v>179</v>
      </c>
      <c r="AD538" s="52">
        <f>IFERROR(N(IFERROR(INDEX($A538:$AB538,MATCH("Xero Invoiced Ex GST",$A$1:$AB$1,0)),"")),0)</f>
        <v/>
      </c>
      <c r="AE538" s="53">
        <f>IFERROR(INDEX($A538:$AB538,MATCH("Xero Invoice Date",$A$1:$AB$1,0)),"")</f>
        <v/>
      </c>
      <c r="AF538" s="54">
        <f>IF(AND(IFERROR(INDEX($A538:$AB538,MATCH("Xero Invoice No",$A$1:$AB$1,0)),"")&amp;""&lt;&gt;"",ISNUMBER(AE538),AD538&lt;&gt;0),1,0)</f>
        <v/>
      </c>
      <c r="AG538" s="55">
        <f>IF(AF538=1,EOMONTH(AE538,0),"")</f>
        <v/>
      </c>
      <c r="AH538" s="9">
        <f>IF(AF538=1,UPPER(TRIM(IFERROR(INDEX($A538:$AB538,MATCH("Client",$A$1:$AB$1,0)),"")&amp;"")),"")</f>
        <v/>
      </c>
      <c r="AI538" s="9">
        <f>IF(AF538=1,IFERROR(INDEX($A538:$AB538,MATCH("Cost Centre",$A$1:$AB$1,0)),"")&amp;"","")</f>
        <v/>
      </c>
      <c r="AJ538" s="54">
        <f>IF(AND(AF538=1,AE538&gt;=set_FYStart,AE538&lt;=set_AsAt),1,0)</f>
        <v/>
      </c>
      <c r="AK538" s="54">
        <f>IF(AND(AJ538=1,AH538&lt;&gt;"",COUNTIFS($AH$2:AH538,AH538,$AJ$2:AJ538,1)=1),N(AL537)+1,"")</f>
        <v/>
      </c>
      <c r="AL538" s="54">
        <f>IF(AK538&lt;&gt;"",AK538,N(AL537))</f>
        <v/>
      </c>
    </row>
    <row r="539">
      <c r="A539" t="inlineStr">
        <is>
          <t>ONS-0180</t>
        </is>
      </c>
      <c r="B539" t="inlineStr">
        <is>
          <t>Onsite</t>
        </is>
      </c>
      <c r="R539" t="inlineStr">
        <is>
          <t>GST 10%</t>
        </is>
      </c>
      <c r="AB539" t="n">
        <v>180</v>
      </c>
      <c r="AD539" s="52">
        <f>IFERROR(N(IFERROR(INDEX($A539:$AB539,MATCH("Xero Invoiced Ex GST",$A$1:$AB$1,0)),"")),0)</f>
        <v/>
      </c>
      <c r="AE539" s="53">
        <f>IFERROR(INDEX($A539:$AB539,MATCH("Xero Invoice Date",$A$1:$AB$1,0)),"")</f>
        <v/>
      </c>
      <c r="AF539" s="54">
        <f>IF(AND(IFERROR(INDEX($A539:$AB539,MATCH("Xero Invoice No",$A$1:$AB$1,0)),"")&amp;""&lt;&gt;"",ISNUMBER(AE539),AD539&lt;&gt;0),1,0)</f>
        <v/>
      </c>
      <c r="AG539" s="55">
        <f>IF(AF539=1,EOMONTH(AE539,0),"")</f>
        <v/>
      </c>
      <c r="AH539" s="9">
        <f>IF(AF539=1,UPPER(TRIM(IFERROR(INDEX($A539:$AB539,MATCH("Client",$A$1:$AB$1,0)),"")&amp;"")),"")</f>
        <v/>
      </c>
      <c r="AI539" s="9">
        <f>IF(AF539=1,IFERROR(INDEX($A539:$AB539,MATCH("Cost Centre",$A$1:$AB$1,0)),"")&amp;"","")</f>
        <v/>
      </c>
      <c r="AJ539" s="54">
        <f>IF(AND(AF539=1,AE539&gt;=set_FYStart,AE539&lt;=set_AsAt),1,0)</f>
        <v/>
      </c>
      <c r="AK539" s="54">
        <f>IF(AND(AJ539=1,AH539&lt;&gt;"",COUNTIFS($AH$2:AH539,AH539,$AJ$2:AJ539,1)=1),N(AL538)+1,"")</f>
        <v/>
      </c>
      <c r="AL539" s="54">
        <f>IF(AK539&lt;&gt;"",AK539,N(AL538))</f>
        <v/>
      </c>
    </row>
    <row r="540">
      <c r="A540" t="inlineStr">
        <is>
          <t>PRD-0180</t>
        </is>
      </c>
      <c r="B540" t="inlineStr">
        <is>
          <t>Production</t>
        </is>
      </c>
      <c r="AB540" t="n">
        <v>180</v>
      </c>
      <c r="AD540" s="52">
        <f>IFERROR(N(IFERROR(INDEX($A540:$AB540,MATCH("Xero Invoiced Ex GST",$A$1:$AB$1,0)),"")),0)</f>
        <v/>
      </c>
      <c r="AE540" s="53">
        <f>IFERROR(INDEX($A540:$AB540,MATCH("Xero Invoice Date",$A$1:$AB$1,0)),"")</f>
        <v/>
      </c>
      <c r="AF540" s="54">
        <f>IF(AND(IFERROR(INDEX($A540:$AB540,MATCH("Xero Invoice No",$A$1:$AB$1,0)),"")&amp;""&lt;&gt;"",ISNUMBER(AE540),AD540&lt;&gt;0),1,0)</f>
        <v/>
      </c>
      <c r="AG540" s="55">
        <f>IF(AF540=1,EOMONTH(AE540,0),"")</f>
        <v/>
      </c>
      <c r="AH540" s="9">
        <f>IF(AF540=1,UPPER(TRIM(IFERROR(INDEX($A540:$AB540,MATCH("Client",$A$1:$AB$1,0)),"")&amp;"")),"")</f>
        <v/>
      </c>
      <c r="AI540" s="9">
        <f>IF(AF540=1,IFERROR(INDEX($A540:$AB540,MATCH("Cost Centre",$A$1:$AB$1,0)),"")&amp;"","")</f>
        <v/>
      </c>
      <c r="AJ540" s="54">
        <f>IF(AND(AF540=1,AE540&gt;=set_FYStart,AE540&lt;=set_AsAt),1,0)</f>
        <v/>
      </c>
      <c r="AK540" s="54">
        <f>IF(AND(AJ540=1,AH540&lt;&gt;"",COUNTIFS($AH$2:AH540,AH540,$AJ$2:AJ540,1)=1),N(AL539)+1,"")</f>
        <v/>
      </c>
      <c r="AL540" s="54">
        <f>IF(AK540&lt;&gt;"",AK540,N(AL539))</f>
        <v/>
      </c>
    </row>
    <row r="541">
      <c r="A541" t="inlineStr">
        <is>
          <t>CON-0180</t>
        </is>
      </c>
      <c r="B541" t="inlineStr">
        <is>
          <t>Consulting</t>
        </is>
      </c>
      <c r="AB541" t="n">
        <v>180</v>
      </c>
      <c r="AD541" s="52">
        <f>IFERROR(N(IFERROR(INDEX($A541:$AB541,MATCH("Xero Invoiced Ex GST",$A$1:$AB$1,0)),"")),0)</f>
        <v/>
      </c>
      <c r="AE541" s="53">
        <f>IFERROR(INDEX($A541:$AB541,MATCH("Xero Invoice Date",$A$1:$AB$1,0)),"")</f>
        <v/>
      </c>
      <c r="AF541" s="54">
        <f>IF(AND(IFERROR(INDEX($A541:$AB541,MATCH("Xero Invoice No",$A$1:$AB$1,0)),"")&amp;""&lt;&gt;"",ISNUMBER(AE541),AD541&lt;&gt;0),1,0)</f>
        <v/>
      </c>
      <c r="AG541" s="55">
        <f>IF(AF541=1,EOMONTH(AE541,0),"")</f>
        <v/>
      </c>
      <c r="AH541" s="9">
        <f>IF(AF541=1,UPPER(TRIM(IFERROR(INDEX($A541:$AB541,MATCH("Client",$A$1:$AB$1,0)),"")&amp;"")),"")</f>
        <v/>
      </c>
      <c r="AI541" s="9">
        <f>IF(AF541=1,IFERROR(INDEX($A541:$AB541,MATCH("Cost Centre",$A$1:$AB$1,0)),"")&amp;"","")</f>
        <v/>
      </c>
      <c r="AJ541" s="54">
        <f>IF(AND(AF541=1,AE541&gt;=set_FYStart,AE541&lt;=set_AsAt),1,0)</f>
        <v/>
      </c>
      <c r="AK541" s="54">
        <f>IF(AND(AJ541=1,AH541&lt;&gt;"",COUNTIFS($AH$2:AH541,AH541,$AJ$2:AJ541,1)=1),N(AL540)+1,"")</f>
        <v/>
      </c>
      <c r="AL541" s="54">
        <f>IF(AK541&lt;&gt;"",AK541,N(AL540))</f>
        <v/>
      </c>
    </row>
    <row r="542">
      <c r="A542" t="inlineStr">
        <is>
          <t>ONS-0181</t>
        </is>
      </c>
      <c r="B542" t="inlineStr">
        <is>
          <t>Onsite</t>
        </is>
      </c>
      <c r="R542" t="inlineStr">
        <is>
          <t>GST 10%</t>
        </is>
      </c>
      <c r="AB542" t="n">
        <v>181</v>
      </c>
      <c r="AD542" s="52">
        <f>IFERROR(N(IFERROR(INDEX($A542:$AB542,MATCH("Xero Invoiced Ex GST",$A$1:$AB$1,0)),"")),0)</f>
        <v/>
      </c>
      <c r="AE542" s="53">
        <f>IFERROR(INDEX($A542:$AB542,MATCH("Xero Invoice Date",$A$1:$AB$1,0)),"")</f>
        <v/>
      </c>
      <c r="AF542" s="54">
        <f>IF(AND(IFERROR(INDEX($A542:$AB542,MATCH("Xero Invoice No",$A$1:$AB$1,0)),"")&amp;""&lt;&gt;"",ISNUMBER(AE542),AD542&lt;&gt;0),1,0)</f>
        <v/>
      </c>
      <c r="AG542" s="55">
        <f>IF(AF542=1,EOMONTH(AE542,0),"")</f>
        <v/>
      </c>
      <c r="AH542" s="9">
        <f>IF(AF542=1,UPPER(TRIM(IFERROR(INDEX($A542:$AB542,MATCH("Client",$A$1:$AB$1,0)),"")&amp;"")),"")</f>
        <v/>
      </c>
      <c r="AI542" s="9">
        <f>IF(AF542=1,IFERROR(INDEX($A542:$AB542,MATCH("Cost Centre",$A$1:$AB$1,0)),"")&amp;"","")</f>
        <v/>
      </c>
      <c r="AJ542" s="54">
        <f>IF(AND(AF542=1,AE542&gt;=set_FYStart,AE542&lt;=set_AsAt),1,0)</f>
        <v/>
      </c>
      <c r="AK542" s="54">
        <f>IF(AND(AJ542=1,AH542&lt;&gt;"",COUNTIFS($AH$2:AH542,AH542,$AJ$2:AJ542,1)=1),N(AL541)+1,"")</f>
        <v/>
      </c>
      <c r="AL542" s="54">
        <f>IF(AK542&lt;&gt;"",AK542,N(AL541))</f>
        <v/>
      </c>
    </row>
    <row r="543">
      <c r="A543" t="inlineStr">
        <is>
          <t>PRD-0181</t>
        </is>
      </c>
      <c r="B543" t="inlineStr">
        <is>
          <t>Production</t>
        </is>
      </c>
      <c r="AB543" t="n">
        <v>181</v>
      </c>
      <c r="AD543" s="52">
        <f>IFERROR(N(IFERROR(INDEX($A543:$AB543,MATCH("Xero Invoiced Ex GST",$A$1:$AB$1,0)),"")),0)</f>
        <v/>
      </c>
      <c r="AE543" s="53">
        <f>IFERROR(INDEX($A543:$AB543,MATCH("Xero Invoice Date",$A$1:$AB$1,0)),"")</f>
        <v/>
      </c>
      <c r="AF543" s="54">
        <f>IF(AND(IFERROR(INDEX($A543:$AB543,MATCH("Xero Invoice No",$A$1:$AB$1,0)),"")&amp;""&lt;&gt;"",ISNUMBER(AE543),AD543&lt;&gt;0),1,0)</f>
        <v/>
      </c>
      <c r="AG543" s="55">
        <f>IF(AF543=1,EOMONTH(AE543,0),"")</f>
        <v/>
      </c>
      <c r="AH543" s="9">
        <f>IF(AF543=1,UPPER(TRIM(IFERROR(INDEX($A543:$AB543,MATCH("Client",$A$1:$AB$1,0)),"")&amp;"")),"")</f>
        <v/>
      </c>
      <c r="AI543" s="9">
        <f>IF(AF543=1,IFERROR(INDEX($A543:$AB543,MATCH("Cost Centre",$A$1:$AB$1,0)),"")&amp;"","")</f>
        <v/>
      </c>
      <c r="AJ543" s="54">
        <f>IF(AND(AF543=1,AE543&gt;=set_FYStart,AE543&lt;=set_AsAt),1,0)</f>
        <v/>
      </c>
      <c r="AK543" s="54">
        <f>IF(AND(AJ543=1,AH543&lt;&gt;"",COUNTIFS($AH$2:AH543,AH543,$AJ$2:AJ543,1)=1),N(AL542)+1,"")</f>
        <v/>
      </c>
      <c r="AL543" s="54">
        <f>IF(AK543&lt;&gt;"",AK543,N(AL542))</f>
        <v/>
      </c>
    </row>
    <row r="544">
      <c r="A544" t="inlineStr">
        <is>
          <t>CON-0181</t>
        </is>
      </c>
      <c r="B544" t="inlineStr">
        <is>
          <t>Consulting</t>
        </is>
      </c>
      <c r="AB544" t="n">
        <v>181</v>
      </c>
      <c r="AD544" s="52">
        <f>IFERROR(N(IFERROR(INDEX($A544:$AB544,MATCH("Xero Invoiced Ex GST",$A$1:$AB$1,0)),"")),0)</f>
        <v/>
      </c>
      <c r="AE544" s="53">
        <f>IFERROR(INDEX($A544:$AB544,MATCH("Xero Invoice Date",$A$1:$AB$1,0)),"")</f>
        <v/>
      </c>
      <c r="AF544" s="54">
        <f>IF(AND(IFERROR(INDEX($A544:$AB544,MATCH("Xero Invoice No",$A$1:$AB$1,0)),"")&amp;""&lt;&gt;"",ISNUMBER(AE544),AD544&lt;&gt;0),1,0)</f>
        <v/>
      </c>
      <c r="AG544" s="55">
        <f>IF(AF544=1,EOMONTH(AE544,0),"")</f>
        <v/>
      </c>
      <c r="AH544" s="9">
        <f>IF(AF544=1,UPPER(TRIM(IFERROR(INDEX($A544:$AB544,MATCH("Client",$A$1:$AB$1,0)),"")&amp;"")),"")</f>
        <v/>
      </c>
      <c r="AI544" s="9">
        <f>IF(AF544=1,IFERROR(INDEX($A544:$AB544,MATCH("Cost Centre",$A$1:$AB$1,0)),"")&amp;"","")</f>
        <v/>
      </c>
      <c r="AJ544" s="54">
        <f>IF(AND(AF544=1,AE544&gt;=set_FYStart,AE544&lt;=set_AsAt),1,0)</f>
        <v/>
      </c>
      <c r="AK544" s="54">
        <f>IF(AND(AJ544=1,AH544&lt;&gt;"",COUNTIFS($AH$2:AH544,AH544,$AJ$2:AJ544,1)=1),N(AL543)+1,"")</f>
        <v/>
      </c>
      <c r="AL544" s="54">
        <f>IF(AK544&lt;&gt;"",AK544,N(AL543))</f>
        <v/>
      </c>
    </row>
    <row r="545">
      <c r="A545" t="inlineStr">
        <is>
          <t>ONS-0182</t>
        </is>
      </c>
      <c r="B545" t="inlineStr">
        <is>
          <t>Onsite</t>
        </is>
      </c>
      <c r="R545" t="inlineStr">
        <is>
          <t>GST 10%</t>
        </is>
      </c>
      <c r="AB545" t="n">
        <v>182</v>
      </c>
      <c r="AD545" s="52">
        <f>IFERROR(N(IFERROR(INDEX($A545:$AB545,MATCH("Xero Invoiced Ex GST",$A$1:$AB$1,0)),"")),0)</f>
        <v/>
      </c>
      <c r="AE545" s="53">
        <f>IFERROR(INDEX($A545:$AB545,MATCH("Xero Invoice Date",$A$1:$AB$1,0)),"")</f>
        <v/>
      </c>
      <c r="AF545" s="54">
        <f>IF(AND(IFERROR(INDEX($A545:$AB545,MATCH("Xero Invoice No",$A$1:$AB$1,0)),"")&amp;""&lt;&gt;"",ISNUMBER(AE545),AD545&lt;&gt;0),1,0)</f>
        <v/>
      </c>
      <c r="AG545" s="55">
        <f>IF(AF545=1,EOMONTH(AE545,0),"")</f>
        <v/>
      </c>
      <c r="AH545" s="9">
        <f>IF(AF545=1,UPPER(TRIM(IFERROR(INDEX($A545:$AB545,MATCH("Client",$A$1:$AB$1,0)),"")&amp;"")),"")</f>
        <v/>
      </c>
      <c r="AI545" s="9">
        <f>IF(AF545=1,IFERROR(INDEX($A545:$AB545,MATCH("Cost Centre",$A$1:$AB$1,0)),"")&amp;"","")</f>
        <v/>
      </c>
      <c r="AJ545" s="54">
        <f>IF(AND(AF545=1,AE545&gt;=set_FYStart,AE545&lt;=set_AsAt),1,0)</f>
        <v/>
      </c>
      <c r="AK545" s="54">
        <f>IF(AND(AJ545=1,AH545&lt;&gt;"",COUNTIFS($AH$2:AH545,AH545,$AJ$2:AJ545,1)=1),N(AL544)+1,"")</f>
        <v/>
      </c>
      <c r="AL545" s="54">
        <f>IF(AK545&lt;&gt;"",AK545,N(AL544))</f>
        <v/>
      </c>
    </row>
    <row r="546">
      <c r="A546" t="inlineStr">
        <is>
          <t>PRD-0182</t>
        </is>
      </c>
      <c r="B546" t="inlineStr">
        <is>
          <t>Production</t>
        </is>
      </c>
      <c r="AB546" t="n">
        <v>182</v>
      </c>
      <c r="AD546" s="52">
        <f>IFERROR(N(IFERROR(INDEX($A546:$AB546,MATCH("Xero Invoiced Ex GST",$A$1:$AB$1,0)),"")),0)</f>
        <v/>
      </c>
      <c r="AE546" s="53">
        <f>IFERROR(INDEX($A546:$AB546,MATCH("Xero Invoice Date",$A$1:$AB$1,0)),"")</f>
        <v/>
      </c>
      <c r="AF546" s="54">
        <f>IF(AND(IFERROR(INDEX($A546:$AB546,MATCH("Xero Invoice No",$A$1:$AB$1,0)),"")&amp;""&lt;&gt;"",ISNUMBER(AE546),AD546&lt;&gt;0),1,0)</f>
        <v/>
      </c>
      <c r="AG546" s="55">
        <f>IF(AF546=1,EOMONTH(AE546,0),"")</f>
        <v/>
      </c>
      <c r="AH546" s="9">
        <f>IF(AF546=1,UPPER(TRIM(IFERROR(INDEX($A546:$AB546,MATCH("Client",$A$1:$AB$1,0)),"")&amp;"")),"")</f>
        <v/>
      </c>
      <c r="AI546" s="9">
        <f>IF(AF546=1,IFERROR(INDEX($A546:$AB546,MATCH("Cost Centre",$A$1:$AB$1,0)),"")&amp;"","")</f>
        <v/>
      </c>
      <c r="AJ546" s="54">
        <f>IF(AND(AF546=1,AE546&gt;=set_FYStart,AE546&lt;=set_AsAt),1,0)</f>
        <v/>
      </c>
      <c r="AK546" s="54">
        <f>IF(AND(AJ546=1,AH546&lt;&gt;"",COUNTIFS($AH$2:AH546,AH546,$AJ$2:AJ546,1)=1),N(AL545)+1,"")</f>
        <v/>
      </c>
      <c r="AL546" s="54">
        <f>IF(AK546&lt;&gt;"",AK546,N(AL545))</f>
        <v/>
      </c>
    </row>
    <row r="547">
      <c r="A547" t="inlineStr">
        <is>
          <t>CON-0182</t>
        </is>
      </c>
      <c r="B547" t="inlineStr">
        <is>
          <t>Consulting</t>
        </is>
      </c>
      <c r="AB547" t="n">
        <v>182</v>
      </c>
      <c r="AD547" s="52">
        <f>IFERROR(N(IFERROR(INDEX($A547:$AB547,MATCH("Xero Invoiced Ex GST",$A$1:$AB$1,0)),"")),0)</f>
        <v/>
      </c>
      <c r="AE547" s="53">
        <f>IFERROR(INDEX($A547:$AB547,MATCH("Xero Invoice Date",$A$1:$AB$1,0)),"")</f>
        <v/>
      </c>
      <c r="AF547" s="54">
        <f>IF(AND(IFERROR(INDEX($A547:$AB547,MATCH("Xero Invoice No",$A$1:$AB$1,0)),"")&amp;""&lt;&gt;"",ISNUMBER(AE547),AD547&lt;&gt;0),1,0)</f>
        <v/>
      </c>
      <c r="AG547" s="55">
        <f>IF(AF547=1,EOMONTH(AE547,0),"")</f>
        <v/>
      </c>
      <c r="AH547" s="9">
        <f>IF(AF547=1,UPPER(TRIM(IFERROR(INDEX($A547:$AB547,MATCH("Client",$A$1:$AB$1,0)),"")&amp;"")),"")</f>
        <v/>
      </c>
      <c r="AI547" s="9">
        <f>IF(AF547=1,IFERROR(INDEX($A547:$AB547,MATCH("Cost Centre",$A$1:$AB$1,0)),"")&amp;"","")</f>
        <v/>
      </c>
      <c r="AJ547" s="54">
        <f>IF(AND(AF547=1,AE547&gt;=set_FYStart,AE547&lt;=set_AsAt),1,0)</f>
        <v/>
      </c>
      <c r="AK547" s="54">
        <f>IF(AND(AJ547=1,AH547&lt;&gt;"",COUNTIFS($AH$2:AH547,AH547,$AJ$2:AJ547,1)=1),N(AL546)+1,"")</f>
        <v/>
      </c>
      <c r="AL547" s="54">
        <f>IF(AK547&lt;&gt;"",AK547,N(AL546))</f>
        <v/>
      </c>
    </row>
    <row r="548">
      <c r="A548" t="inlineStr">
        <is>
          <t>ONS-0183</t>
        </is>
      </c>
      <c r="B548" t="inlineStr">
        <is>
          <t>Onsite</t>
        </is>
      </c>
      <c r="R548" t="inlineStr">
        <is>
          <t>GST 10%</t>
        </is>
      </c>
      <c r="AB548" t="n">
        <v>183</v>
      </c>
      <c r="AD548" s="52">
        <f>IFERROR(N(IFERROR(INDEX($A548:$AB548,MATCH("Xero Invoiced Ex GST",$A$1:$AB$1,0)),"")),0)</f>
        <v/>
      </c>
      <c r="AE548" s="53">
        <f>IFERROR(INDEX($A548:$AB548,MATCH("Xero Invoice Date",$A$1:$AB$1,0)),"")</f>
        <v/>
      </c>
      <c r="AF548" s="54">
        <f>IF(AND(IFERROR(INDEX($A548:$AB548,MATCH("Xero Invoice No",$A$1:$AB$1,0)),"")&amp;""&lt;&gt;"",ISNUMBER(AE548),AD548&lt;&gt;0),1,0)</f>
        <v/>
      </c>
      <c r="AG548" s="55">
        <f>IF(AF548=1,EOMONTH(AE548,0),"")</f>
        <v/>
      </c>
      <c r="AH548" s="9">
        <f>IF(AF548=1,UPPER(TRIM(IFERROR(INDEX($A548:$AB548,MATCH("Client",$A$1:$AB$1,0)),"")&amp;"")),"")</f>
        <v/>
      </c>
      <c r="AI548" s="9">
        <f>IF(AF548=1,IFERROR(INDEX($A548:$AB548,MATCH("Cost Centre",$A$1:$AB$1,0)),"")&amp;"","")</f>
        <v/>
      </c>
      <c r="AJ548" s="54">
        <f>IF(AND(AF548=1,AE548&gt;=set_FYStart,AE548&lt;=set_AsAt),1,0)</f>
        <v/>
      </c>
      <c r="AK548" s="54">
        <f>IF(AND(AJ548=1,AH548&lt;&gt;"",COUNTIFS($AH$2:AH548,AH548,$AJ$2:AJ548,1)=1),N(AL547)+1,"")</f>
        <v/>
      </c>
      <c r="AL548" s="54">
        <f>IF(AK548&lt;&gt;"",AK548,N(AL547))</f>
        <v/>
      </c>
    </row>
    <row r="549">
      <c r="A549" t="inlineStr">
        <is>
          <t>PRD-0183</t>
        </is>
      </c>
      <c r="B549" t="inlineStr">
        <is>
          <t>Production</t>
        </is>
      </c>
      <c r="AB549" t="n">
        <v>183</v>
      </c>
      <c r="AD549" s="52">
        <f>IFERROR(N(IFERROR(INDEX($A549:$AB549,MATCH("Xero Invoiced Ex GST",$A$1:$AB$1,0)),"")),0)</f>
        <v/>
      </c>
      <c r="AE549" s="53">
        <f>IFERROR(INDEX($A549:$AB549,MATCH("Xero Invoice Date",$A$1:$AB$1,0)),"")</f>
        <v/>
      </c>
      <c r="AF549" s="54">
        <f>IF(AND(IFERROR(INDEX($A549:$AB549,MATCH("Xero Invoice No",$A$1:$AB$1,0)),"")&amp;""&lt;&gt;"",ISNUMBER(AE549),AD549&lt;&gt;0),1,0)</f>
        <v/>
      </c>
      <c r="AG549" s="55">
        <f>IF(AF549=1,EOMONTH(AE549,0),"")</f>
        <v/>
      </c>
      <c r="AH549" s="9">
        <f>IF(AF549=1,UPPER(TRIM(IFERROR(INDEX($A549:$AB549,MATCH("Client",$A$1:$AB$1,0)),"")&amp;"")),"")</f>
        <v/>
      </c>
      <c r="AI549" s="9">
        <f>IF(AF549=1,IFERROR(INDEX($A549:$AB549,MATCH("Cost Centre",$A$1:$AB$1,0)),"")&amp;"","")</f>
        <v/>
      </c>
      <c r="AJ549" s="54">
        <f>IF(AND(AF549=1,AE549&gt;=set_FYStart,AE549&lt;=set_AsAt),1,0)</f>
        <v/>
      </c>
      <c r="AK549" s="54">
        <f>IF(AND(AJ549=1,AH549&lt;&gt;"",COUNTIFS($AH$2:AH549,AH549,$AJ$2:AJ549,1)=1),N(AL548)+1,"")</f>
        <v/>
      </c>
      <c r="AL549" s="54">
        <f>IF(AK549&lt;&gt;"",AK549,N(AL548))</f>
        <v/>
      </c>
    </row>
    <row r="550">
      <c r="A550" t="inlineStr">
        <is>
          <t>CON-0183</t>
        </is>
      </c>
      <c r="B550" t="inlineStr">
        <is>
          <t>Consulting</t>
        </is>
      </c>
      <c r="AB550" t="n">
        <v>183</v>
      </c>
      <c r="AD550" s="52">
        <f>IFERROR(N(IFERROR(INDEX($A550:$AB550,MATCH("Xero Invoiced Ex GST",$A$1:$AB$1,0)),"")),0)</f>
        <v/>
      </c>
      <c r="AE550" s="53">
        <f>IFERROR(INDEX($A550:$AB550,MATCH("Xero Invoice Date",$A$1:$AB$1,0)),"")</f>
        <v/>
      </c>
      <c r="AF550" s="54">
        <f>IF(AND(IFERROR(INDEX($A550:$AB550,MATCH("Xero Invoice No",$A$1:$AB$1,0)),"")&amp;""&lt;&gt;"",ISNUMBER(AE550),AD550&lt;&gt;0),1,0)</f>
        <v/>
      </c>
      <c r="AG550" s="55">
        <f>IF(AF550=1,EOMONTH(AE550,0),"")</f>
        <v/>
      </c>
      <c r="AH550" s="9">
        <f>IF(AF550=1,UPPER(TRIM(IFERROR(INDEX($A550:$AB550,MATCH("Client",$A$1:$AB$1,0)),"")&amp;"")),"")</f>
        <v/>
      </c>
      <c r="AI550" s="9">
        <f>IF(AF550=1,IFERROR(INDEX($A550:$AB550,MATCH("Cost Centre",$A$1:$AB$1,0)),"")&amp;"","")</f>
        <v/>
      </c>
      <c r="AJ550" s="54">
        <f>IF(AND(AF550=1,AE550&gt;=set_FYStart,AE550&lt;=set_AsAt),1,0)</f>
        <v/>
      </c>
      <c r="AK550" s="54">
        <f>IF(AND(AJ550=1,AH550&lt;&gt;"",COUNTIFS($AH$2:AH550,AH550,$AJ$2:AJ550,1)=1),N(AL549)+1,"")</f>
        <v/>
      </c>
      <c r="AL550" s="54">
        <f>IF(AK550&lt;&gt;"",AK550,N(AL549))</f>
        <v/>
      </c>
    </row>
    <row r="551">
      <c r="A551" t="inlineStr">
        <is>
          <t>ONS-0184</t>
        </is>
      </c>
      <c r="B551" t="inlineStr">
        <is>
          <t>Onsite</t>
        </is>
      </c>
      <c r="R551" t="inlineStr">
        <is>
          <t>GST 10%</t>
        </is>
      </c>
      <c r="AB551" t="n">
        <v>184</v>
      </c>
      <c r="AD551" s="52">
        <f>IFERROR(N(IFERROR(INDEX($A551:$AB551,MATCH("Xero Invoiced Ex GST",$A$1:$AB$1,0)),"")),0)</f>
        <v/>
      </c>
      <c r="AE551" s="53">
        <f>IFERROR(INDEX($A551:$AB551,MATCH("Xero Invoice Date",$A$1:$AB$1,0)),"")</f>
        <v/>
      </c>
      <c r="AF551" s="54">
        <f>IF(AND(IFERROR(INDEX($A551:$AB551,MATCH("Xero Invoice No",$A$1:$AB$1,0)),"")&amp;""&lt;&gt;"",ISNUMBER(AE551),AD551&lt;&gt;0),1,0)</f>
        <v/>
      </c>
      <c r="AG551" s="55">
        <f>IF(AF551=1,EOMONTH(AE551,0),"")</f>
        <v/>
      </c>
      <c r="AH551" s="9">
        <f>IF(AF551=1,UPPER(TRIM(IFERROR(INDEX($A551:$AB551,MATCH("Client",$A$1:$AB$1,0)),"")&amp;"")),"")</f>
        <v/>
      </c>
      <c r="AI551" s="9">
        <f>IF(AF551=1,IFERROR(INDEX($A551:$AB551,MATCH("Cost Centre",$A$1:$AB$1,0)),"")&amp;"","")</f>
        <v/>
      </c>
      <c r="AJ551" s="54">
        <f>IF(AND(AF551=1,AE551&gt;=set_FYStart,AE551&lt;=set_AsAt),1,0)</f>
        <v/>
      </c>
      <c r="AK551" s="54">
        <f>IF(AND(AJ551=1,AH551&lt;&gt;"",COUNTIFS($AH$2:AH551,AH551,$AJ$2:AJ551,1)=1),N(AL550)+1,"")</f>
        <v/>
      </c>
      <c r="AL551" s="54">
        <f>IF(AK551&lt;&gt;"",AK551,N(AL550))</f>
        <v/>
      </c>
    </row>
    <row r="552">
      <c r="A552" t="inlineStr">
        <is>
          <t>PRD-0184</t>
        </is>
      </c>
      <c r="B552" t="inlineStr">
        <is>
          <t>Production</t>
        </is>
      </c>
      <c r="AB552" t="n">
        <v>184</v>
      </c>
      <c r="AD552" s="52">
        <f>IFERROR(N(IFERROR(INDEX($A552:$AB552,MATCH("Xero Invoiced Ex GST",$A$1:$AB$1,0)),"")),0)</f>
        <v/>
      </c>
      <c r="AE552" s="53">
        <f>IFERROR(INDEX($A552:$AB552,MATCH("Xero Invoice Date",$A$1:$AB$1,0)),"")</f>
        <v/>
      </c>
      <c r="AF552" s="54">
        <f>IF(AND(IFERROR(INDEX($A552:$AB552,MATCH("Xero Invoice No",$A$1:$AB$1,0)),"")&amp;""&lt;&gt;"",ISNUMBER(AE552),AD552&lt;&gt;0),1,0)</f>
        <v/>
      </c>
      <c r="AG552" s="55">
        <f>IF(AF552=1,EOMONTH(AE552,0),"")</f>
        <v/>
      </c>
      <c r="AH552" s="9">
        <f>IF(AF552=1,UPPER(TRIM(IFERROR(INDEX($A552:$AB552,MATCH("Client",$A$1:$AB$1,0)),"")&amp;"")),"")</f>
        <v/>
      </c>
      <c r="AI552" s="9">
        <f>IF(AF552=1,IFERROR(INDEX($A552:$AB552,MATCH("Cost Centre",$A$1:$AB$1,0)),"")&amp;"","")</f>
        <v/>
      </c>
      <c r="AJ552" s="54">
        <f>IF(AND(AF552=1,AE552&gt;=set_FYStart,AE552&lt;=set_AsAt),1,0)</f>
        <v/>
      </c>
      <c r="AK552" s="54">
        <f>IF(AND(AJ552=1,AH552&lt;&gt;"",COUNTIFS($AH$2:AH552,AH552,$AJ$2:AJ552,1)=1),N(AL551)+1,"")</f>
        <v/>
      </c>
      <c r="AL552" s="54">
        <f>IF(AK552&lt;&gt;"",AK552,N(AL551))</f>
        <v/>
      </c>
    </row>
    <row r="553">
      <c r="A553" t="inlineStr">
        <is>
          <t>CON-0184</t>
        </is>
      </c>
      <c r="B553" t="inlineStr">
        <is>
          <t>Consulting</t>
        </is>
      </c>
      <c r="AB553" t="n">
        <v>184</v>
      </c>
      <c r="AD553" s="52">
        <f>IFERROR(N(IFERROR(INDEX($A553:$AB553,MATCH("Xero Invoiced Ex GST",$A$1:$AB$1,0)),"")),0)</f>
        <v/>
      </c>
      <c r="AE553" s="53">
        <f>IFERROR(INDEX($A553:$AB553,MATCH("Xero Invoice Date",$A$1:$AB$1,0)),"")</f>
        <v/>
      </c>
      <c r="AF553" s="54">
        <f>IF(AND(IFERROR(INDEX($A553:$AB553,MATCH("Xero Invoice No",$A$1:$AB$1,0)),"")&amp;""&lt;&gt;"",ISNUMBER(AE553),AD553&lt;&gt;0),1,0)</f>
        <v/>
      </c>
      <c r="AG553" s="55">
        <f>IF(AF553=1,EOMONTH(AE553,0),"")</f>
        <v/>
      </c>
      <c r="AH553" s="9">
        <f>IF(AF553=1,UPPER(TRIM(IFERROR(INDEX($A553:$AB553,MATCH("Client",$A$1:$AB$1,0)),"")&amp;"")),"")</f>
        <v/>
      </c>
      <c r="AI553" s="9">
        <f>IF(AF553=1,IFERROR(INDEX($A553:$AB553,MATCH("Cost Centre",$A$1:$AB$1,0)),"")&amp;"","")</f>
        <v/>
      </c>
      <c r="AJ553" s="54">
        <f>IF(AND(AF553=1,AE553&gt;=set_FYStart,AE553&lt;=set_AsAt),1,0)</f>
        <v/>
      </c>
      <c r="AK553" s="54">
        <f>IF(AND(AJ553=1,AH553&lt;&gt;"",COUNTIFS($AH$2:AH553,AH553,$AJ$2:AJ553,1)=1),N(AL552)+1,"")</f>
        <v/>
      </c>
      <c r="AL553" s="54">
        <f>IF(AK553&lt;&gt;"",AK553,N(AL552))</f>
        <v/>
      </c>
    </row>
    <row r="554">
      <c r="A554" t="inlineStr">
        <is>
          <t>ONS-0185</t>
        </is>
      </c>
      <c r="B554" t="inlineStr">
        <is>
          <t>Onsite</t>
        </is>
      </c>
      <c r="R554" t="inlineStr">
        <is>
          <t>GST 10%</t>
        </is>
      </c>
      <c r="AB554" t="n">
        <v>185</v>
      </c>
      <c r="AD554" s="52">
        <f>IFERROR(N(IFERROR(INDEX($A554:$AB554,MATCH("Xero Invoiced Ex GST",$A$1:$AB$1,0)),"")),0)</f>
        <v/>
      </c>
      <c r="AE554" s="53">
        <f>IFERROR(INDEX($A554:$AB554,MATCH("Xero Invoice Date",$A$1:$AB$1,0)),"")</f>
        <v/>
      </c>
      <c r="AF554" s="54">
        <f>IF(AND(IFERROR(INDEX($A554:$AB554,MATCH("Xero Invoice No",$A$1:$AB$1,0)),"")&amp;""&lt;&gt;"",ISNUMBER(AE554),AD554&lt;&gt;0),1,0)</f>
        <v/>
      </c>
      <c r="AG554" s="55">
        <f>IF(AF554=1,EOMONTH(AE554,0),"")</f>
        <v/>
      </c>
      <c r="AH554" s="9">
        <f>IF(AF554=1,UPPER(TRIM(IFERROR(INDEX($A554:$AB554,MATCH("Client",$A$1:$AB$1,0)),"")&amp;"")),"")</f>
        <v/>
      </c>
      <c r="AI554" s="9">
        <f>IF(AF554=1,IFERROR(INDEX($A554:$AB554,MATCH("Cost Centre",$A$1:$AB$1,0)),"")&amp;"","")</f>
        <v/>
      </c>
      <c r="AJ554" s="54">
        <f>IF(AND(AF554=1,AE554&gt;=set_FYStart,AE554&lt;=set_AsAt),1,0)</f>
        <v/>
      </c>
      <c r="AK554" s="54">
        <f>IF(AND(AJ554=1,AH554&lt;&gt;"",COUNTIFS($AH$2:AH554,AH554,$AJ$2:AJ554,1)=1),N(AL553)+1,"")</f>
        <v/>
      </c>
      <c r="AL554" s="54">
        <f>IF(AK554&lt;&gt;"",AK554,N(AL553))</f>
        <v/>
      </c>
    </row>
    <row r="555">
      <c r="A555" t="inlineStr">
        <is>
          <t>PRD-0185</t>
        </is>
      </c>
      <c r="B555" t="inlineStr">
        <is>
          <t>Production</t>
        </is>
      </c>
      <c r="AB555" t="n">
        <v>185</v>
      </c>
      <c r="AD555" s="52">
        <f>IFERROR(N(IFERROR(INDEX($A555:$AB555,MATCH("Xero Invoiced Ex GST",$A$1:$AB$1,0)),"")),0)</f>
        <v/>
      </c>
      <c r="AE555" s="53">
        <f>IFERROR(INDEX($A555:$AB555,MATCH("Xero Invoice Date",$A$1:$AB$1,0)),"")</f>
        <v/>
      </c>
      <c r="AF555" s="54">
        <f>IF(AND(IFERROR(INDEX($A555:$AB555,MATCH("Xero Invoice No",$A$1:$AB$1,0)),"")&amp;""&lt;&gt;"",ISNUMBER(AE555),AD555&lt;&gt;0),1,0)</f>
        <v/>
      </c>
      <c r="AG555" s="55">
        <f>IF(AF555=1,EOMONTH(AE555,0),"")</f>
        <v/>
      </c>
      <c r="AH555" s="9">
        <f>IF(AF555=1,UPPER(TRIM(IFERROR(INDEX($A555:$AB555,MATCH("Client",$A$1:$AB$1,0)),"")&amp;"")),"")</f>
        <v/>
      </c>
      <c r="AI555" s="9">
        <f>IF(AF555=1,IFERROR(INDEX($A555:$AB555,MATCH("Cost Centre",$A$1:$AB$1,0)),"")&amp;"","")</f>
        <v/>
      </c>
      <c r="AJ555" s="54">
        <f>IF(AND(AF555=1,AE555&gt;=set_FYStart,AE555&lt;=set_AsAt),1,0)</f>
        <v/>
      </c>
      <c r="AK555" s="54">
        <f>IF(AND(AJ555=1,AH555&lt;&gt;"",COUNTIFS($AH$2:AH555,AH555,$AJ$2:AJ555,1)=1),N(AL554)+1,"")</f>
        <v/>
      </c>
      <c r="AL555" s="54">
        <f>IF(AK555&lt;&gt;"",AK555,N(AL554))</f>
        <v/>
      </c>
    </row>
    <row r="556">
      <c r="A556" t="inlineStr">
        <is>
          <t>CON-0185</t>
        </is>
      </c>
      <c r="B556" t="inlineStr">
        <is>
          <t>Consulting</t>
        </is>
      </c>
      <c r="AB556" t="n">
        <v>185</v>
      </c>
      <c r="AD556" s="52">
        <f>IFERROR(N(IFERROR(INDEX($A556:$AB556,MATCH("Xero Invoiced Ex GST",$A$1:$AB$1,0)),"")),0)</f>
        <v/>
      </c>
      <c r="AE556" s="53">
        <f>IFERROR(INDEX($A556:$AB556,MATCH("Xero Invoice Date",$A$1:$AB$1,0)),"")</f>
        <v/>
      </c>
      <c r="AF556" s="54">
        <f>IF(AND(IFERROR(INDEX($A556:$AB556,MATCH("Xero Invoice No",$A$1:$AB$1,0)),"")&amp;""&lt;&gt;"",ISNUMBER(AE556),AD556&lt;&gt;0),1,0)</f>
        <v/>
      </c>
      <c r="AG556" s="55">
        <f>IF(AF556=1,EOMONTH(AE556,0),"")</f>
        <v/>
      </c>
      <c r="AH556" s="9">
        <f>IF(AF556=1,UPPER(TRIM(IFERROR(INDEX($A556:$AB556,MATCH("Client",$A$1:$AB$1,0)),"")&amp;"")),"")</f>
        <v/>
      </c>
      <c r="AI556" s="9">
        <f>IF(AF556=1,IFERROR(INDEX($A556:$AB556,MATCH("Cost Centre",$A$1:$AB$1,0)),"")&amp;"","")</f>
        <v/>
      </c>
      <c r="AJ556" s="54">
        <f>IF(AND(AF556=1,AE556&gt;=set_FYStart,AE556&lt;=set_AsAt),1,0)</f>
        <v/>
      </c>
      <c r="AK556" s="54">
        <f>IF(AND(AJ556=1,AH556&lt;&gt;"",COUNTIFS($AH$2:AH556,AH556,$AJ$2:AJ556,1)=1),N(AL555)+1,"")</f>
        <v/>
      </c>
      <c r="AL556" s="54">
        <f>IF(AK556&lt;&gt;"",AK556,N(AL555))</f>
        <v/>
      </c>
    </row>
    <row r="557">
      <c r="A557" t="inlineStr">
        <is>
          <t>ONS-0186</t>
        </is>
      </c>
      <c r="B557" t="inlineStr">
        <is>
          <t>Onsite</t>
        </is>
      </c>
      <c r="R557" t="inlineStr">
        <is>
          <t>GST 10%</t>
        </is>
      </c>
      <c r="AB557" t="n">
        <v>186</v>
      </c>
      <c r="AD557" s="52">
        <f>IFERROR(N(IFERROR(INDEX($A557:$AB557,MATCH("Xero Invoiced Ex GST",$A$1:$AB$1,0)),"")),0)</f>
        <v/>
      </c>
      <c r="AE557" s="53">
        <f>IFERROR(INDEX($A557:$AB557,MATCH("Xero Invoice Date",$A$1:$AB$1,0)),"")</f>
        <v/>
      </c>
      <c r="AF557" s="54">
        <f>IF(AND(IFERROR(INDEX($A557:$AB557,MATCH("Xero Invoice No",$A$1:$AB$1,0)),"")&amp;""&lt;&gt;"",ISNUMBER(AE557),AD557&lt;&gt;0),1,0)</f>
        <v/>
      </c>
      <c r="AG557" s="55">
        <f>IF(AF557=1,EOMONTH(AE557,0),"")</f>
        <v/>
      </c>
      <c r="AH557" s="9">
        <f>IF(AF557=1,UPPER(TRIM(IFERROR(INDEX($A557:$AB557,MATCH("Client",$A$1:$AB$1,0)),"")&amp;"")),"")</f>
        <v/>
      </c>
      <c r="AI557" s="9">
        <f>IF(AF557=1,IFERROR(INDEX($A557:$AB557,MATCH("Cost Centre",$A$1:$AB$1,0)),"")&amp;"","")</f>
        <v/>
      </c>
      <c r="AJ557" s="54">
        <f>IF(AND(AF557=1,AE557&gt;=set_FYStart,AE557&lt;=set_AsAt),1,0)</f>
        <v/>
      </c>
      <c r="AK557" s="54">
        <f>IF(AND(AJ557=1,AH557&lt;&gt;"",COUNTIFS($AH$2:AH557,AH557,$AJ$2:AJ557,1)=1),N(AL556)+1,"")</f>
        <v/>
      </c>
      <c r="AL557" s="54">
        <f>IF(AK557&lt;&gt;"",AK557,N(AL556))</f>
        <v/>
      </c>
    </row>
    <row r="558">
      <c r="A558" t="inlineStr">
        <is>
          <t>PRD-0186</t>
        </is>
      </c>
      <c r="B558" t="inlineStr">
        <is>
          <t>Production</t>
        </is>
      </c>
      <c r="AB558" t="n">
        <v>186</v>
      </c>
      <c r="AD558" s="52">
        <f>IFERROR(N(IFERROR(INDEX($A558:$AB558,MATCH("Xero Invoiced Ex GST",$A$1:$AB$1,0)),"")),0)</f>
        <v/>
      </c>
      <c r="AE558" s="53">
        <f>IFERROR(INDEX($A558:$AB558,MATCH("Xero Invoice Date",$A$1:$AB$1,0)),"")</f>
        <v/>
      </c>
      <c r="AF558" s="54">
        <f>IF(AND(IFERROR(INDEX($A558:$AB558,MATCH("Xero Invoice No",$A$1:$AB$1,0)),"")&amp;""&lt;&gt;"",ISNUMBER(AE558),AD558&lt;&gt;0),1,0)</f>
        <v/>
      </c>
      <c r="AG558" s="55">
        <f>IF(AF558=1,EOMONTH(AE558,0),"")</f>
        <v/>
      </c>
      <c r="AH558" s="9">
        <f>IF(AF558=1,UPPER(TRIM(IFERROR(INDEX($A558:$AB558,MATCH("Client",$A$1:$AB$1,0)),"")&amp;"")),"")</f>
        <v/>
      </c>
      <c r="AI558" s="9">
        <f>IF(AF558=1,IFERROR(INDEX($A558:$AB558,MATCH("Cost Centre",$A$1:$AB$1,0)),"")&amp;"","")</f>
        <v/>
      </c>
      <c r="AJ558" s="54">
        <f>IF(AND(AF558=1,AE558&gt;=set_FYStart,AE558&lt;=set_AsAt),1,0)</f>
        <v/>
      </c>
      <c r="AK558" s="54">
        <f>IF(AND(AJ558=1,AH558&lt;&gt;"",COUNTIFS($AH$2:AH558,AH558,$AJ$2:AJ558,1)=1),N(AL557)+1,"")</f>
        <v/>
      </c>
      <c r="AL558" s="54">
        <f>IF(AK558&lt;&gt;"",AK558,N(AL557))</f>
        <v/>
      </c>
    </row>
    <row r="559">
      <c r="A559" t="inlineStr">
        <is>
          <t>CON-0186</t>
        </is>
      </c>
      <c r="B559" t="inlineStr">
        <is>
          <t>Consulting</t>
        </is>
      </c>
      <c r="AB559" t="n">
        <v>186</v>
      </c>
      <c r="AD559" s="52">
        <f>IFERROR(N(IFERROR(INDEX($A559:$AB559,MATCH("Xero Invoiced Ex GST",$A$1:$AB$1,0)),"")),0)</f>
        <v/>
      </c>
      <c r="AE559" s="53">
        <f>IFERROR(INDEX($A559:$AB559,MATCH("Xero Invoice Date",$A$1:$AB$1,0)),"")</f>
        <v/>
      </c>
      <c r="AF559" s="54">
        <f>IF(AND(IFERROR(INDEX($A559:$AB559,MATCH("Xero Invoice No",$A$1:$AB$1,0)),"")&amp;""&lt;&gt;"",ISNUMBER(AE559),AD559&lt;&gt;0),1,0)</f>
        <v/>
      </c>
      <c r="AG559" s="55">
        <f>IF(AF559=1,EOMONTH(AE559,0),"")</f>
        <v/>
      </c>
      <c r="AH559" s="9">
        <f>IF(AF559=1,UPPER(TRIM(IFERROR(INDEX($A559:$AB559,MATCH("Client",$A$1:$AB$1,0)),"")&amp;"")),"")</f>
        <v/>
      </c>
      <c r="AI559" s="9">
        <f>IF(AF559=1,IFERROR(INDEX($A559:$AB559,MATCH("Cost Centre",$A$1:$AB$1,0)),"")&amp;"","")</f>
        <v/>
      </c>
      <c r="AJ559" s="54">
        <f>IF(AND(AF559=1,AE559&gt;=set_FYStart,AE559&lt;=set_AsAt),1,0)</f>
        <v/>
      </c>
      <c r="AK559" s="54">
        <f>IF(AND(AJ559=1,AH559&lt;&gt;"",COUNTIFS($AH$2:AH559,AH559,$AJ$2:AJ559,1)=1),N(AL558)+1,"")</f>
        <v/>
      </c>
      <c r="AL559" s="54">
        <f>IF(AK559&lt;&gt;"",AK559,N(AL558))</f>
        <v/>
      </c>
    </row>
    <row r="560">
      <c r="A560" t="inlineStr">
        <is>
          <t>ONS-0187</t>
        </is>
      </c>
      <c r="B560" t="inlineStr">
        <is>
          <t>Onsite</t>
        </is>
      </c>
      <c r="R560" t="inlineStr">
        <is>
          <t>GST 10%</t>
        </is>
      </c>
      <c r="AB560" t="n">
        <v>187</v>
      </c>
      <c r="AD560" s="52">
        <f>IFERROR(N(IFERROR(INDEX($A560:$AB560,MATCH("Xero Invoiced Ex GST",$A$1:$AB$1,0)),"")),0)</f>
        <v/>
      </c>
      <c r="AE560" s="53">
        <f>IFERROR(INDEX($A560:$AB560,MATCH("Xero Invoice Date",$A$1:$AB$1,0)),"")</f>
        <v/>
      </c>
      <c r="AF560" s="54">
        <f>IF(AND(IFERROR(INDEX($A560:$AB560,MATCH("Xero Invoice No",$A$1:$AB$1,0)),"")&amp;""&lt;&gt;"",ISNUMBER(AE560),AD560&lt;&gt;0),1,0)</f>
        <v/>
      </c>
      <c r="AG560" s="55">
        <f>IF(AF560=1,EOMONTH(AE560,0),"")</f>
        <v/>
      </c>
      <c r="AH560" s="9">
        <f>IF(AF560=1,UPPER(TRIM(IFERROR(INDEX($A560:$AB560,MATCH("Client",$A$1:$AB$1,0)),"")&amp;"")),"")</f>
        <v/>
      </c>
      <c r="AI560" s="9">
        <f>IF(AF560=1,IFERROR(INDEX($A560:$AB560,MATCH("Cost Centre",$A$1:$AB$1,0)),"")&amp;"","")</f>
        <v/>
      </c>
      <c r="AJ560" s="54">
        <f>IF(AND(AF560=1,AE560&gt;=set_FYStart,AE560&lt;=set_AsAt),1,0)</f>
        <v/>
      </c>
      <c r="AK560" s="54">
        <f>IF(AND(AJ560=1,AH560&lt;&gt;"",COUNTIFS($AH$2:AH560,AH560,$AJ$2:AJ560,1)=1),N(AL559)+1,"")</f>
        <v/>
      </c>
      <c r="AL560" s="54">
        <f>IF(AK560&lt;&gt;"",AK560,N(AL559))</f>
        <v/>
      </c>
    </row>
    <row r="561">
      <c r="A561" t="inlineStr">
        <is>
          <t>PRD-0187</t>
        </is>
      </c>
      <c r="B561" t="inlineStr">
        <is>
          <t>Production</t>
        </is>
      </c>
      <c r="AB561" t="n">
        <v>187</v>
      </c>
      <c r="AD561" s="52">
        <f>IFERROR(N(IFERROR(INDEX($A561:$AB561,MATCH("Xero Invoiced Ex GST",$A$1:$AB$1,0)),"")),0)</f>
        <v/>
      </c>
      <c r="AE561" s="53">
        <f>IFERROR(INDEX($A561:$AB561,MATCH("Xero Invoice Date",$A$1:$AB$1,0)),"")</f>
        <v/>
      </c>
      <c r="AF561" s="54">
        <f>IF(AND(IFERROR(INDEX($A561:$AB561,MATCH("Xero Invoice No",$A$1:$AB$1,0)),"")&amp;""&lt;&gt;"",ISNUMBER(AE561),AD561&lt;&gt;0),1,0)</f>
        <v/>
      </c>
      <c r="AG561" s="55">
        <f>IF(AF561=1,EOMONTH(AE561,0),"")</f>
        <v/>
      </c>
      <c r="AH561" s="9">
        <f>IF(AF561=1,UPPER(TRIM(IFERROR(INDEX($A561:$AB561,MATCH("Client",$A$1:$AB$1,0)),"")&amp;"")),"")</f>
        <v/>
      </c>
      <c r="AI561" s="9">
        <f>IF(AF561=1,IFERROR(INDEX($A561:$AB561,MATCH("Cost Centre",$A$1:$AB$1,0)),"")&amp;"","")</f>
        <v/>
      </c>
      <c r="AJ561" s="54">
        <f>IF(AND(AF561=1,AE561&gt;=set_FYStart,AE561&lt;=set_AsAt),1,0)</f>
        <v/>
      </c>
      <c r="AK561" s="54">
        <f>IF(AND(AJ561=1,AH561&lt;&gt;"",COUNTIFS($AH$2:AH561,AH561,$AJ$2:AJ561,1)=1),N(AL560)+1,"")</f>
        <v/>
      </c>
      <c r="AL561" s="54">
        <f>IF(AK561&lt;&gt;"",AK561,N(AL560))</f>
        <v/>
      </c>
    </row>
    <row r="562">
      <c r="A562" t="inlineStr">
        <is>
          <t>CON-0187</t>
        </is>
      </c>
      <c r="B562" t="inlineStr">
        <is>
          <t>Consulting</t>
        </is>
      </c>
      <c r="AB562" t="n">
        <v>187</v>
      </c>
      <c r="AD562" s="52">
        <f>IFERROR(N(IFERROR(INDEX($A562:$AB562,MATCH("Xero Invoiced Ex GST",$A$1:$AB$1,0)),"")),0)</f>
        <v/>
      </c>
      <c r="AE562" s="53">
        <f>IFERROR(INDEX($A562:$AB562,MATCH("Xero Invoice Date",$A$1:$AB$1,0)),"")</f>
        <v/>
      </c>
      <c r="AF562" s="54">
        <f>IF(AND(IFERROR(INDEX($A562:$AB562,MATCH("Xero Invoice No",$A$1:$AB$1,0)),"")&amp;""&lt;&gt;"",ISNUMBER(AE562),AD562&lt;&gt;0),1,0)</f>
        <v/>
      </c>
      <c r="AG562" s="55">
        <f>IF(AF562=1,EOMONTH(AE562,0),"")</f>
        <v/>
      </c>
      <c r="AH562" s="9">
        <f>IF(AF562=1,UPPER(TRIM(IFERROR(INDEX($A562:$AB562,MATCH("Client",$A$1:$AB$1,0)),"")&amp;"")),"")</f>
        <v/>
      </c>
      <c r="AI562" s="9">
        <f>IF(AF562=1,IFERROR(INDEX($A562:$AB562,MATCH("Cost Centre",$A$1:$AB$1,0)),"")&amp;"","")</f>
        <v/>
      </c>
      <c r="AJ562" s="54">
        <f>IF(AND(AF562=1,AE562&gt;=set_FYStart,AE562&lt;=set_AsAt),1,0)</f>
        <v/>
      </c>
      <c r="AK562" s="54">
        <f>IF(AND(AJ562=1,AH562&lt;&gt;"",COUNTIFS($AH$2:AH562,AH562,$AJ$2:AJ562,1)=1),N(AL561)+1,"")</f>
        <v/>
      </c>
      <c r="AL562" s="54">
        <f>IF(AK562&lt;&gt;"",AK562,N(AL561))</f>
        <v/>
      </c>
    </row>
    <row r="563">
      <c r="A563" t="inlineStr">
        <is>
          <t>ONS-0188</t>
        </is>
      </c>
      <c r="B563" t="inlineStr">
        <is>
          <t>Onsite</t>
        </is>
      </c>
      <c r="R563" t="inlineStr">
        <is>
          <t>GST 10%</t>
        </is>
      </c>
      <c r="AB563" t="n">
        <v>188</v>
      </c>
      <c r="AD563" s="52">
        <f>IFERROR(N(IFERROR(INDEX($A563:$AB563,MATCH("Xero Invoiced Ex GST",$A$1:$AB$1,0)),"")),0)</f>
        <v/>
      </c>
      <c r="AE563" s="53">
        <f>IFERROR(INDEX($A563:$AB563,MATCH("Xero Invoice Date",$A$1:$AB$1,0)),"")</f>
        <v/>
      </c>
      <c r="AF563" s="54">
        <f>IF(AND(IFERROR(INDEX($A563:$AB563,MATCH("Xero Invoice No",$A$1:$AB$1,0)),"")&amp;""&lt;&gt;"",ISNUMBER(AE563),AD563&lt;&gt;0),1,0)</f>
        <v/>
      </c>
      <c r="AG563" s="55">
        <f>IF(AF563=1,EOMONTH(AE563,0),"")</f>
        <v/>
      </c>
      <c r="AH563" s="9">
        <f>IF(AF563=1,UPPER(TRIM(IFERROR(INDEX($A563:$AB563,MATCH("Client",$A$1:$AB$1,0)),"")&amp;"")),"")</f>
        <v/>
      </c>
      <c r="AI563" s="9">
        <f>IF(AF563=1,IFERROR(INDEX($A563:$AB563,MATCH("Cost Centre",$A$1:$AB$1,0)),"")&amp;"","")</f>
        <v/>
      </c>
      <c r="AJ563" s="54">
        <f>IF(AND(AF563=1,AE563&gt;=set_FYStart,AE563&lt;=set_AsAt),1,0)</f>
        <v/>
      </c>
      <c r="AK563" s="54">
        <f>IF(AND(AJ563=1,AH563&lt;&gt;"",COUNTIFS($AH$2:AH563,AH563,$AJ$2:AJ563,1)=1),N(AL562)+1,"")</f>
        <v/>
      </c>
      <c r="AL563" s="54">
        <f>IF(AK563&lt;&gt;"",AK563,N(AL562))</f>
        <v/>
      </c>
    </row>
    <row r="564">
      <c r="A564" t="inlineStr">
        <is>
          <t>PRD-0188</t>
        </is>
      </c>
      <c r="B564" t="inlineStr">
        <is>
          <t>Production</t>
        </is>
      </c>
      <c r="AB564" t="n">
        <v>188</v>
      </c>
      <c r="AD564" s="52">
        <f>IFERROR(N(IFERROR(INDEX($A564:$AB564,MATCH("Xero Invoiced Ex GST",$A$1:$AB$1,0)),"")),0)</f>
        <v/>
      </c>
      <c r="AE564" s="53">
        <f>IFERROR(INDEX($A564:$AB564,MATCH("Xero Invoice Date",$A$1:$AB$1,0)),"")</f>
        <v/>
      </c>
      <c r="AF564" s="54">
        <f>IF(AND(IFERROR(INDEX($A564:$AB564,MATCH("Xero Invoice No",$A$1:$AB$1,0)),"")&amp;""&lt;&gt;"",ISNUMBER(AE564),AD564&lt;&gt;0),1,0)</f>
        <v/>
      </c>
      <c r="AG564" s="55">
        <f>IF(AF564=1,EOMONTH(AE564,0),"")</f>
        <v/>
      </c>
      <c r="AH564" s="9">
        <f>IF(AF564=1,UPPER(TRIM(IFERROR(INDEX($A564:$AB564,MATCH("Client",$A$1:$AB$1,0)),"")&amp;"")),"")</f>
        <v/>
      </c>
      <c r="AI564" s="9">
        <f>IF(AF564=1,IFERROR(INDEX($A564:$AB564,MATCH("Cost Centre",$A$1:$AB$1,0)),"")&amp;"","")</f>
        <v/>
      </c>
      <c r="AJ564" s="54">
        <f>IF(AND(AF564=1,AE564&gt;=set_FYStart,AE564&lt;=set_AsAt),1,0)</f>
        <v/>
      </c>
      <c r="AK564" s="54">
        <f>IF(AND(AJ564=1,AH564&lt;&gt;"",COUNTIFS($AH$2:AH564,AH564,$AJ$2:AJ564,1)=1),N(AL563)+1,"")</f>
        <v/>
      </c>
      <c r="AL564" s="54">
        <f>IF(AK564&lt;&gt;"",AK564,N(AL563))</f>
        <v/>
      </c>
    </row>
    <row r="565">
      <c r="A565" t="inlineStr">
        <is>
          <t>CON-0188</t>
        </is>
      </c>
      <c r="B565" t="inlineStr">
        <is>
          <t>Consulting</t>
        </is>
      </c>
      <c r="AB565" t="n">
        <v>188</v>
      </c>
      <c r="AD565" s="52">
        <f>IFERROR(N(IFERROR(INDEX($A565:$AB565,MATCH("Xero Invoiced Ex GST",$A$1:$AB$1,0)),"")),0)</f>
        <v/>
      </c>
      <c r="AE565" s="53">
        <f>IFERROR(INDEX($A565:$AB565,MATCH("Xero Invoice Date",$A$1:$AB$1,0)),"")</f>
        <v/>
      </c>
      <c r="AF565" s="54">
        <f>IF(AND(IFERROR(INDEX($A565:$AB565,MATCH("Xero Invoice No",$A$1:$AB$1,0)),"")&amp;""&lt;&gt;"",ISNUMBER(AE565),AD565&lt;&gt;0),1,0)</f>
        <v/>
      </c>
      <c r="AG565" s="55">
        <f>IF(AF565=1,EOMONTH(AE565,0),"")</f>
        <v/>
      </c>
      <c r="AH565" s="9">
        <f>IF(AF565=1,UPPER(TRIM(IFERROR(INDEX($A565:$AB565,MATCH("Client",$A$1:$AB$1,0)),"")&amp;"")),"")</f>
        <v/>
      </c>
      <c r="AI565" s="9">
        <f>IF(AF565=1,IFERROR(INDEX($A565:$AB565,MATCH("Cost Centre",$A$1:$AB$1,0)),"")&amp;"","")</f>
        <v/>
      </c>
      <c r="AJ565" s="54">
        <f>IF(AND(AF565=1,AE565&gt;=set_FYStart,AE565&lt;=set_AsAt),1,0)</f>
        <v/>
      </c>
      <c r="AK565" s="54">
        <f>IF(AND(AJ565=1,AH565&lt;&gt;"",COUNTIFS($AH$2:AH565,AH565,$AJ$2:AJ565,1)=1),N(AL564)+1,"")</f>
        <v/>
      </c>
      <c r="AL565" s="54">
        <f>IF(AK565&lt;&gt;"",AK565,N(AL564))</f>
        <v/>
      </c>
    </row>
    <row r="566">
      <c r="A566" t="inlineStr">
        <is>
          <t>ONS-0189</t>
        </is>
      </c>
      <c r="B566" t="inlineStr">
        <is>
          <t>Onsite</t>
        </is>
      </c>
      <c r="R566" t="inlineStr">
        <is>
          <t>GST 10%</t>
        </is>
      </c>
      <c r="AB566" t="n">
        <v>189</v>
      </c>
      <c r="AD566" s="52">
        <f>IFERROR(N(IFERROR(INDEX($A566:$AB566,MATCH("Xero Invoiced Ex GST",$A$1:$AB$1,0)),"")),0)</f>
        <v/>
      </c>
      <c r="AE566" s="53">
        <f>IFERROR(INDEX($A566:$AB566,MATCH("Xero Invoice Date",$A$1:$AB$1,0)),"")</f>
        <v/>
      </c>
      <c r="AF566" s="54">
        <f>IF(AND(IFERROR(INDEX($A566:$AB566,MATCH("Xero Invoice No",$A$1:$AB$1,0)),"")&amp;""&lt;&gt;"",ISNUMBER(AE566),AD566&lt;&gt;0),1,0)</f>
        <v/>
      </c>
      <c r="AG566" s="55">
        <f>IF(AF566=1,EOMONTH(AE566,0),"")</f>
        <v/>
      </c>
      <c r="AH566" s="9">
        <f>IF(AF566=1,UPPER(TRIM(IFERROR(INDEX($A566:$AB566,MATCH("Client",$A$1:$AB$1,0)),"")&amp;"")),"")</f>
        <v/>
      </c>
      <c r="AI566" s="9">
        <f>IF(AF566=1,IFERROR(INDEX($A566:$AB566,MATCH("Cost Centre",$A$1:$AB$1,0)),"")&amp;"","")</f>
        <v/>
      </c>
      <c r="AJ566" s="54">
        <f>IF(AND(AF566=1,AE566&gt;=set_FYStart,AE566&lt;=set_AsAt),1,0)</f>
        <v/>
      </c>
      <c r="AK566" s="54">
        <f>IF(AND(AJ566=1,AH566&lt;&gt;"",COUNTIFS($AH$2:AH566,AH566,$AJ$2:AJ566,1)=1),N(AL565)+1,"")</f>
        <v/>
      </c>
      <c r="AL566" s="54">
        <f>IF(AK566&lt;&gt;"",AK566,N(AL565))</f>
        <v/>
      </c>
    </row>
    <row r="567">
      <c r="A567" t="inlineStr">
        <is>
          <t>PRD-0189</t>
        </is>
      </c>
      <c r="B567" t="inlineStr">
        <is>
          <t>Production</t>
        </is>
      </c>
      <c r="AB567" t="n">
        <v>189</v>
      </c>
      <c r="AD567" s="52">
        <f>IFERROR(N(IFERROR(INDEX($A567:$AB567,MATCH("Xero Invoiced Ex GST",$A$1:$AB$1,0)),"")),0)</f>
        <v/>
      </c>
      <c r="AE567" s="53">
        <f>IFERROR(INDEX($A567:$AB567,MATCH("Xero Invoice Date",$A$1:$AB$1,0)),"")</f>
        <v/>
      </c>
      <c r="AF567" s="54">
        <f>IF(AND(IFERROR(INDEX($A567:$AB567,MATCH("Xero Invoice No",$A$1:$AB$1,0)),"")&amp;""&lt;&gt;"",ISNUMBER(AE567),AD567&lt;&gt;0),1,0)</f>
        <v/>
      </c>
      <c r="AG567" s="55">
        <f>IF(AF567=1,EOMONTH(AE567,0),"")</f>
        <v/>
      </c>
      <c r="AH567" s="9">
        <f>IF(AF567=1,UPPER(TRIM(IFERROR(INDEX($A567:$AB567,MATCH("Client",$A$1:$AB$1,0)),"")&amp;"")),"")</f>
        <v/>
      </c>
      <c r="AI567" s="9">
        <f>IF(AF567=1,IFERROR(INDEX($A567:$AB567,MATCH("Cost Centre",$A$1:$AB$1,0)),"")&amp;"","")</f>
        <v/>
      </c>
      <c r="AJ567" s="54">
        <f>IF(AND(AF567=1,AE567&gt;=set_FYStart,AE567&lt;=set_AsAt),1,0)</f>
        <v/>
      </c>
      <c r="AK567" s="54">
        <f>IF(AND(AJ567=1,AH567&lt;&gt;"",COUNTIFS($AH$2:AH567,AH567,$AJ$2:AJ567,1)=1),N(AL566)+1,"")</f>
        <v/>
      </c>
      <c r="AL567" s="54">
        <f>IF(AK567&lt;&gt;"",AK567,N(AL566))</f>
        <v/>
      </c>
    </row>
    <row r="568">
      <c r="A568" t="inlineStr">
        <is>
          <t>CON-0189</t>
        </is>
      </c>
      <c r="B568" t="inlineStr">
        <is>
          <t>Consulting</t>
        </is>
      </c>
      <c r="AB568" t="n">
        <v>189</v>
      </c>
      <c r="AD568" s="52">
        <f>IFERROR(N(IFERROR(INDEX($A568:$AB568,MATCH("Xero Invoiced Ex GST",$A$1:$AB$1,0)),"")),0)</f>
        <v/>
      </c>
      <c r="AE568" s="53">
        <f>IFERROR(INDEX($A568:$AB568,MATCH("Xero Invoice Date",$A$1:$AB$1,0)),"")</f>
        <v/>
      </c>
      <c r="AF568" s="54">
        <f>IF(AND(IFERROR(INDEX($A568:$AB568,MATCH("Xero Invoice No",$A$1:$AB$1,0)),"")&amp;""&lt;&gt;"",ISNUMBER(AE568),AD568&lt;&gt;0),1,0)</f>
        <v/>
      </c>
      <c r="AG568" s="55">
        <f>IF(AF568=1,EOMONTH(AE568,0),"")</f>
        <v/>
      </c>
      <c r="AH568" s="9">
        <f>IF(AF568=1,UPPER(TRIM(IFERROR(INDEX($A568:$AB568,MATCH("Client",$A$1:$AB$1,0)),"")&amp;"")),"")</f>
        <v/>
      </c>
      <c r="AI568" s="9">
        <f>IF(AF568=1,IFERROR(INDEX($A568:$AB568,MATCH("Cost Centre",$A$1:$AB$1,0)),"")&amp;"","")</f>
        <v/>
      </c>
      <c r="AJ568" s="54">
        <f>IF(AND(AF568=1,AE568&gt;=set_FYStart,AE568&lt;=set_AsAt),1,0)</f>
        <v/>
      </c>
      <c r="AK568" s="54">
        <f>IF(AND(AJ568=1,AH568&lt;&gt;"",COUNTIFS($AH$2:AH568,AH568,$AJ$2:AJ568,1)=1),N(AL567)+1,"")</f>
        <v/>
      </c>
      <c r="AL568" s="54">
        <f>IF(AK568&lt;&gt;"",AK568,N(AL567))</f>
        <v/>
      </c>
    </row>
    <row r="569">
      <c r="A569" t="inlineStr">
        <is>
          <t>ONS-0190</t>
        </is>
      </c>
      <c r="B569" t="inlineStr">
        <is>
          <t>Onsite</t>
        </is>
      </c>
      <c r="R569" t="inlineStr">
        <is>
          <t>GST 10%</t>
        </is>
      </c>
      <c r="AB569" t="n">
        <v>190</v>
      </c>
      <c r="AD569" s="52">
        <f>IFERROR(N(IFERROR(INDEX($A569:$AB569,MATCH("Xero Invoiced Ex GST",$A$1:$AB$1,0)),"")),0)</f>
        <v/>
      </c>
      <c r="AE569" s="53">
        <f>IFERROR(INDEX($A569:$AB569,MATCH("Xero Invoice Date",$A$1:$AB$1,0)),"")</f>
        <v/>
      </c>
      <c r="AF569" s="54">
        <f>IF(AND(IFERROR(INDEX($A569:$AB569,MATCH("Xero Invoice No",$A$1:$AB$1,0)),"")&amp;""&lt;&gt;"",ISNUMBER(AE569),AD569&lt;&gt;0),1,0)</f>
        <v/>
      </c>
      <c r="AG569" s="55">
        <f>IF(AF569=1,EOMONTH(AE569,0),"")</f>
        <v/>
      </c>
      <c r="AH569" s="9">
        <f>IF(AF569=1,UPPER(TRIM(IFERROR(INDEX($A569:$AB569,MATCH("Client",$A$1:$AB$1,0)),"")&amp;"")),"")</f>
        <v/>
      </c>
      <c r="AI569" s="9">
        <f>IF(AF569=1,IFERROR(INDEX($A569:$AB569,MATCH("Cost Centre",$A$1:$AB$1,0)),"")&amp;"","")</f>
        <v/>
      </c>
      <c r="AJ569" s="54">
        <f>IF(AND(AF569=1,AE569&gt;=set_FYStart,AE569&lt;=set_AsAt),1,0)</f>
        <v/>
      </c>
      <c r="AK569" s="54">
        <f>IF(AND(AJ569=1,AH569&lt;&gt;"",COUNTIFS($AH$2:AH569,AH569,$AJ$2:AJ569,1)=1),N(AL568)+1,"")</f>
        <v/>
      </c>
      <c r="AL569" s="54">
        <f>IF(AK569&lt;&gt;"",AK569,N(AL568))</f>
        <v/>
      </c>
    </row>
    <row r="570">
      <c r="A570" t="inlineStr">
        <is>
          <t>PRD-0190</t>
        </is>
      </c>
      <c r="B570" t="inlineStr">
        <is>
          <t>Production</t>
        </is>
      </c>
      <c r="AB570" t="n">
        <v>190</v>
      </c>
      <c r="AD570" s="52">
        <f>IFERROR(N(IFERROR(INDEX($A570:$AB570,MATCH("Xero Invoiced Ex GST",$A$1:$AB$1,0)),"")),0)</f>
        <v/>
      </c>
      <c r="AE570" s="53">
        <f>IFERROR(INDEX($A570:$AB570,MATCH("Xero Invoice Date",$A$1:$AB$1,0)),"")</f>
        <v/>
      </c>
      <c r="AF570" s="54">
        <f>IF(AND(IFERROR(INDEX($A570:$AB570,MATCH("Xero Invoice No",$A$1:$AB$1,0)),"")&amp;""&lt;&gt;"",ISNUMBER(AE570),AD570&lt;&gt;0),1,0)</f>
        <v/>
      </c>
      <c r="AG570" s="55">
        <f>IF(AF570=1,EOMONTH(AE570,0),"")</f>
        <v/>
      </c>
      <c r="AH570" s="9">
        <f>IF(AF570=1,UPPER(TRIM(IFERROR(INDEX($A570:$AB570,MATCH("Client",$A$1:$AB$1,0)),"")&amp;"")),"")</f>
        <v/>
      </c>
      <c r="AI570" s="9">
        <f>IF(AF570=1,IFERROR(INDEX($A570:$AB570,MATCH("Cost Centre",$A$1:$AB$1,0)),"")&amp;"","")</f>
        <v/>
      </c>
      <c r="AJ570" s="54">
        <f>IF(AND(AF570=1,AE570&gt;=set_FYStart,AE570&lt;=set_AsAt),1,0)</f>
        <v/>
      </c>
      <c r="AK570" s="54">
        <f>IF(AND(AJ570=1,AH570&lt;&gt;"",COUNTIFS($AH$2:AH570,AH570,$AJ$2:AJ570,1)=1),N(AL569)+1,"")</f>
        <v/>
      </c>
      <c r="AL570" s="54">
        <f>IF(AK570&lt;&gt;"",AK570,N(AL569))</f>
        <v/>
      </c>
    </row>
    <row r="571">
      <c r="A571" t="inlineStr">
        <is>
          <t>CON-0190</t>
        </is>
      </c>
      <c r="B571" t="inlineStr">
        <is>
          <t>Consulting</t>
        </is>
      </c>
      <c r="AB571" t="n">
        <v>190</v>
      </c>
      <c r="AD571" s="52">
        <f>IFERROR(N(IFERROR(INDEX($A571:$AB571,MATCH("Xero Invoiced Ex GST",$A$1:$AB$1,0)),"")),0)</f>
        <v/>
      </c>
      <c r="AE571" s="53">
        <f>IFERROR(INDEX($A571:$AB571,MATCH("Xero Invoice Date",$A$1:$AB$1,0)),"")</f>
        <v/>
      </c>
      <c r="AF571" s="54">
        <f>IF(AND(IFERROR(INDEX($A571:$AB571,MATCH("Xero Invoice No",$A$1:$AB$1,0)),"")&amp;""&lt;&gt;"",ISNUMBER(AE571),AD571&lt;&gt;0),1,0)</f>
        <v/>
      </c>
      <c r="AG571" s="55">
        <f>IF(AF571=1,EOMONTH(AE571,0),"")</f>
        <v/>
      </c>
      <c r="AH571" s="9">
        <f>IF(AF571=1,UPPER(TRIM(IFERROR(INDEX($A571:$AB571,MATCH("Client",$A$1:$AB$1,0)),"")&amp;"")),"")</f>
        <v/>
      </c>
      <c r="AI571" s="9">
        <f>IF(AF571=1,IFERROR(INDEX($A571:$AB571,MATCH("Cost Centre",$A$1:$AB$1,0)),"")&amp;"","")</f>
        <v/>
      </c>
      <c r="AJ571" s="54">
        <f>IF(AND(AF571=1,AE571&gt;=set_FYStart,AE571&lt;=set_AsAt),1,0)</f>
        <v/>
      </c>
      <c r="AK571" s="54">
        <f>IF(AND(AJ571=1,AH571&lt;&gt;"",COUNTIFS($AH$2:AH571,AH571,$AJ$2:AJ571,1)=1),N(AL570)+1,"")</f>
        <v/>
      </c>
      <c r="AL571" s="54">
        <f>IF(AK571&lt;&gt;"",AK571,N(AL570))</f>
        <v/>
      </c>
    </row>
    <row r="572">
      <c r="A572" t="inlineStr">
        <is>
          <t>ONS-0191</t>
        </is>
      </c>
      <c r="B572" t="inlineStr">
        <is>
          <t>Onsite</t>
        </is>
      </c>
      <c r="R572" t="inlineStr">
        <is>
          <t>GST 10%</t>
        </is>
      </c>
      <c r="AB572" t="n">
        <v>191</v>
      </c>
      <c r="AD572" s="52">
        <f>IFERROR(N(IFERROR(INDEX($A572:$AB572,MATCH("Xero Invoiced Ex GST",$A$1:$AB$1,0)),"")),0)</f>
        <v/>
      </c>
      <c r="AE572" s="53">
        <f>IFERROR(INDEX($A572:$AB572,MATCH("Xero Invoice Date",$A$1:$AB$1,0)),"")</f>
        <v/>
      </c>
      <c r="AF572" s="54">
        <f>IF(AND(IFERROR(INDEX($A572:$AB572,MATCH("Xero Invoice No",$A$1:$AB$1,0)),"")&amp;""&lt;&gt;"",ISNUMBER(AE572),AD572&lt;&gt;0),1,0)</f>
        <v/>
      </c>
      <c r="AG572" s="55">
        <f>IF(AF572=1,EOMONTH(AE572,0),"")</f>
        <v/>
      </c>
      <c r="AH572" s="9">
        <f>IF(AF572=1,UPPER(TRIM(IFERROR(INDEX($A572:$AB572,MATCH("Client",$A$1:$AB$1,0)),"")&amp;"")),"")</f>
        <v/>
      </c>
      <c r="AI572" s="9">
        <f>IF(AF572=1,IFERROR(INDEX($A572:$AB572,MATCH("Cost Centre",$A$1:$AB$1,0)),"")&amp;"","")</f>
        <v/>
      </c>
      <c r="AJ572" s="54">
        <f>IF(AND(AF572=1,AE572&gt;=set_FYStart,AE572&lt;=set_AsAt),1,0)</f>
        <v/>
      </c>
      <c r="AK572" s="54">
        <f>IF(AND(AJ572=1,AH572&lt;&gt;"",COUNTIFS($AH$2:AH572,AH572,$AJ$2:AJ572,1)=1),N(AL571)+1,"")</f>
        <v/>
      </c>
      <c r="AL572" s="54">
        <f>IF(AK572&lt;&gt;"",AK572,N(AL571))</f>
        <v/>
      </c>
    </row>
    <row r="573">
      <c r="A573" t="inlineStr">
        <is>
          <t>PRD-0191</t>
        </is>
      </c>
      <c r="B573" t="inlineStr">
        <is>
          <t>Production</t>
        </is>
      </c>
      <c r="AB573" t="n">
        <v>191</v>
      </c>
      <c r="AD573" s="52">
        <f>IFERROR(N(IFERROR(INDEX($A573:$AB573,MATCH("Xero Invoiced Ex GST",$A$1:$AB$1,0)),"")),0)</f>
        <v/>
      </c>
      <c r="AE573" s="53">
        <f>IFERROR(INDEX($A573:$AB573,MATCH("Xero Invoice Date",$A$1:$AB$1,0)),"")</f>
        <v/>
      </c>
      <c r="AF573" s="54">
        <f>IF(AND(IFERROR(INDEX($A573:$AB573,MATCH("Xero Invoice No",$A$1:$AB$1,0)),"")&amp;""&lt;&gt;"",ISNUMBER(AE573),AD573&lt;&gt;0),1,0)</f>
        <v/>
      </c>
      <c r="AG573" s="55">
        <f>IF(AF573=1,EOMONTH(AE573,0),"")</f>
        <v/>
      </c>
      <c r="AH573" s="9">
        <f>IF(AF573=1,UPPER(TRIM(IFERROR(INDEX($A573:$AB573,MATCH("Client",$A$1:$AB$1,0)),"")&amp;"")),"")</f>
        <v/>
      </c>
      <c r="AI573" s="9">
        <f>IF(AF573=1,IFERROR(INDEX($A573:$AB573,MATCH("Cost Centre",$A$1:$AB$1,0)),"")&amp;"","")</f>
        <v/>
      </c>
      <c r="AJ573" s="54">
        <f>IF(AND(AF573=1,AE573&gt;=set_FYStart,AE573&lt;=set_AsAt),1,0)</f>
        <v/>
      </c>
      <c r="AK573" s="54">
        <f>IF(AND(AJ573=1,AH573&lt;&gt;"",COUNTIFS($AH$2:AH573,AH573,$AJ$2:AJ573,1)=1),N(AL572)+1,"")</f>
        <v/>
      </c>
      <c r="AL573" s="54">
        <f>IF(AK573&lt;&gt;"",AK573,N(AL572))</f>
        <v/>
      </c>
    </row>
    <row r="574">
      <c r="A574" t="inlineStr">
        <is>
          <t>CON-0191</t>
        </is>
      </c>
      <c r="B574" t="inlineStr">
        <is>
          <t>Consulting</t>
        </is>
      </c>
      <c r="AB574" t="n">
        <v>191</v>
      </c>
      <c r="AD574" s="52">
        <f>IFERROR(N(IFERROR(INDEX($A574:$AB574,MATCH("Xero Invoiced Ex GST",$A$1:$AB$1,0)),"")),0)</f>
        <v/>
      </c>
      <c r="AE574" s="53">
        <f>IFERROR(INDEX($A574:$AB574,MATCH("Xero Invoice Date",$A$1:$AB$1,0)),"")</f>
        <v/>
      </c>
      <c r="AF574" s="54">
        <f>IF(AND(IFERROR(INDEX($A574:$AB574,MATCH("Xero Invoice No",$A$1:$AB$1,0)),"")&amp;""&lt;&gt;"",ISNUMBER(AE574),AD574&lt;&gt;0),1,0)</f>
        <v/>
      </c>
      <c r="AG574" s="55">
        <f>IF(AF574=1,EOMONTH(AE574,0),"")</f>
        <v/>
      </c>
      <c r="AH574" s="9">
        <f>IF(AF574=1,UPPER(TRIM(IFERROR(INDEX($A574:$AB574,MATCH("Client",$A$1:$AB$1,0)),"")&amp;"")),"")</f>
        <v/>
      </c>
      <c r="AI574" s="9">
        <f>IF(AF574=1,IFERROR(INDEX($A574:$AB574,MATCH("Cost Centre",$A$1:$AB$1,0)),"")&amp;"","")</f>
        <v/>
      </c>
      <c r="AJ574" s="54">
        <f>IF(AND(AF574=1,AE574&gt;=set_FYStart,AE574&lt;=set_AsAt),1,0)</f>
        <v/>
      </c>
      <c r="AK574" s="54">
        <f>IF(AND(AJ574=1,AH574&lt;&gt;"",COUNTIFS($AH$2:AH574,AH574,$AJ$2:AJ574,1)=1),N(AL573)+1,"")</f>
        <v/>
      </c>
      <c r="AL574" s="54">
        <f>IF(AK574&lt;&gt;"",AK574,N(AL573))</f>
        <v/>
      </c>
    </row>
    <row r="575">
      <c r="A575" t="inlineStr">
        <is>
          <t>ONS-0192</t>
        </is>
      </c>
      <c r="B575" t="inlineStr">
        <is>
          <t>Onsite</t>
        </is>
      </c>
      <c r="R575" t="inlineStr">
        <is>
          <t>GST 10%</t>
        </is>
      </c>
      <c r="AB575" t="n">
        <v>192</v>
      </c>
      <c r="AD575" s="52">
        <f>IFERROR(N(IFERROR(INDEX($A575:$AB575,MATCH("Xero Invoiced Ex GST",$A$1:$AB$1,0)),"")),0)</f>
        <v/>
      </c>
      <c r="AE575" s="53">
        <f>IFERROR(INDEX($A575:$AB575,MATCH("Xero Invoice Date",$A$1:$AB$1,0)),"")</f>
        <v/>
      </c>
      <c r="AF575" s="54">
        <f>IF(AND(IFERROR(INDEX($A575:$AB575,MATCH("Xero Invoice No",$A$1:$AB$1,0)),"")&amp;""&lt;&gt;"",ISNUMBER(AE575),AD575&lt;&gt;0),1,0)</f>
        <v/>
      </c>
      <c r="AG575" s="55">
        <f>IF(AF575=1,EOMONTH(AE575,0),"")</f>
        <v/>
      </c>
      <c r="AH575" s="9">
        <f>IF(AF575=1,UPPER(TRIM(IFERROR(INDEX($A575:$AB575,MATCH("Client",$A$1:$AB$1,0)),"")&amp;"")),"")</f>
        <v/>
      </c>
      <c r="AI575" s="9">
        <f>IF(AF575=1,IFERROR(INDEX($A575:$AB575,MATCH("Cost Centre",$A$1:$AB$1,0)),"")&amp;"","")</f>
        <v/>
      </c>
      <c r="AJ575" s="54">
        <f>IF(AND(AF575=1,AE575&gt;=set_FYStart,AE575&lt;=set_AsAt),1,0)</f>
        <v/>
      </c>
      <c r="AK575" s="54">
        <f>IF(AND(AJ575=1,AH575&lt;&gt;"",COUNTIFS($AH$2:AH575,AH575,$AJ$2:AJ575,1)=1),N(AL574)+1,"")</f>
        <v/>
      </c>
      <c r="AL575" s="54">
        <f>IF(AK575&lt;&gt;"",AK575,N(AL574))</f>
        <v/>
      </c>
    </row>
    <row r="576">
      <c r="A576" t="inlineStr">
        <is>
          <t>PRD-0192</t>
        </is>
      </c>
      <c r="B576" t="inlineStr">
        <is>
          <t>Production</t>
        </is>
      </c>
      <c r="AB576" t="n">
        <v>192</v>
      </c>
      <c r="AD576" s="52">
        <f>IFERROR(N(IFERROR(INDEX($A576:$AB576,MATCH("Xero Invoiced Ex GST",$A$1:$AB$1,0)),"")),0)</f>
        <v/>
      </c>
      <c r="AE576" s="53">
        <f>IFERROR(INDEX($A576:$AB576,MATCH("Xero Invoice Date",$A$1:$AB$1,0)),"")</f>
        <v/>
      </c>
      <c r="AF576" s="54">
        <f>IF(AND(IFERROR(INDEX($A576:$AB576,MATCH("Xero Invoice No",$A$1:$AB$1,0)),"")&amp;""&lt;&gt;"",ISNUMBER(AE576),AD576&lt;&gt;0),1,0)</f>
        <v/>
      </c>
      <c r="AG576" s="55">
        <f>IF(AF576=1,EOMONTH(AE576,0),"")</f>
        <v/>
      </c>
      <c r="AH576" s="9">
        <f>IF(AF576=1,UPPER(TRIM(IFERROR(INDEX($A576:$AB576,MATCH("Client",$A$1:$AB$1,0)),"")&amp;"")),"")</f>
        <v/>
      </c>
      <c r="AI576" s="9">
        <f>IF(AF576=1,IFERROR(INDEX($A576:$AB576,MATCH("Cost Centre",$A$1:$AB$1,0)),"")&amp;"","")</f>
        <v/>
      </c>
      <c r="AJ576" s="54">
        <f>IF(AND(AF576=1,AE576&gt;=set_FYStart,AE576&lt;=set_AsAt),1,0)</f>
        <v/>
      </c>
      <c r="AK576" s="54">
        <f>IF(AND(AJ576=1,AH576&lt;&gt;"",COUNTIFS($AH$2:AH576,AH576,$AJ$2:AJ576,1)=1),N(AL575)+1,"")</f>
        <v/>
      </c>
      <c r="AL576" s="54">
        <f>IF(AK576&lt;&gt;"",AK576,N(AL575))</f>
        <v/>
      </c>
    </row>
    <row r="577">
      <c r="A577" t="inlineStr">
        <is>
          <t>CON-0192</t>
        </is>
      </c>
      <c r="B577" t="inlineStr">
        <is>
          <t>Consulting</t>
        </is>
      </c>
      <c r="AB577" t="n">
        <v>192</v>
      </c>
      <c r="AD577" s="52">
        <f>IFERROR(N(IFERROR(INDEX($A577:$AB577,MATCH("Xero Invoiced Ex GST",$A$1:$AB$1,0)),"")),0)</f>
        <v/>
      </c>
      <c r="AE577" s="53">
        <f>IFERROR(INDEX($A577:$AB577,MATCH("Xero Invoice Date",$A$1:$AB$1,0)),"")</f>
        <v/>
      </c>
      <c r="AF577" s="54">
        <f>IF(AND(IFERROR(INDEX($A577:$AB577,MATCH("Xero Invoice No",$A$1:$AB$1,0)),"")&amp;""&lt;&gt;"",ISNUMBER(AE577),AD577&lt;&gt;0),1,0)</f>
        <v/>
      </c>
      <c r="AG577" s="55">
        <f>IF(AF577=1,EOMONTH(AE577,0),"")</f>
        <v/>
      </c>
      <c r="AH577" s="9">
        <f>IF(AF577=1,UPPER(TRIM(IFERROR(INDEX($A577:$AB577,MATCH("Client",$A$1:$AB$1,0)),"")&amp;"")),"")</f>
        <v/>
      </c>
      <c r="AI577" s="9">
        <f>IF(AF577=1,IFERROR(INDEX($A577:$AB577,MATCH("Cost Centre",$A$1:$AB$1,0)),"")&amp;"","")</f>
        <v/>
      </c>
      <c r="AJ577" s="54">
        <f>IF(AND(AF577=1,AE577&gt;=set_FYStart,AE577&lt;=set_AsAt),1,0)</f>
        <v/>
      </c>
      <c r="AK577" s="54">
        <f>IF(AND(AJ577=1,AH577&lt;&gt;"",COUNTIFS($AH$2:AH577,AH577,$AJ$2:AJ577,1)=1),N(AL576)+1,"")</f>
        <v/>
      </c>
      <c r="AL577" s="54">
        <f>IF(AK577&lt;&gt;"",AK577,N(AL576))</f>
        <v/>
      </c>
    </row>
    <row r="578">
      <c r="A578" t="inlineStr">
        <is>
          <t>ONS-0193</t>
        </is>
      </c>
      <c r="B578" t="inlineStr">
        <is>
          <t>Onsite</t>
        </is>
      </c>
      <c r="R578" t="inlineStr">
        <is>
          <t>GST 10%</t>
        </is>
      </c>
      <c r="AB578" t="n">
        <v>193</v>
      </c>
      <c r="AD578" s="52">
        <f>IFERROR(N(IFERROR(INDEX($A578:$AB578,MATCH("Xero Invoiced Ex GST",$A$1:$AB$1,0)),"")),0)</f>
        <v/>
      </c>
      <c r="AE578" s="53">
        <f>IFERROR(INDEX($A578:$AB578,MATCH("Xero Invoice Date",$A$1:$AB$1,0)),"")</f>
        <v/>
      </c>
      <c r="AF578" s="54">
        <f>IF(AND(IFERROR(INDEX($A578:$AB578,MATCH("Xero Invoice No",$A$1:$AB$1,0)),"")&amp;""&lt;&gt;"",ISNUMBER(AE578),AD578&lt;&gt;0),1,0)</f>
        <v/>
      </c>
      <c r="AG578" s="55">
        <f>IF(AF578=1,EOMONTH(AE578,0),"")</f>
        <v/>
      </c>
      <c r="AH578" s="9">
        <f>IF(AF578=1,UPPER(TRIM(IFERROR(INDEX($A578:$AB578,MATCH("Client",$A$1:$AB$1,0)),"")&amp;"")),"")</f>
        <v/>
      </c>
      <c r="AI578" s="9">
        <f>IF(AF578=1,IFERROR(INDEX($A578:$AB578,MATCH("Cost Centre",$A$1:$AB$1,0)),"")&amp;"","")</f>
        <v/>
      </c>
      <c r="AJ578" s="54">
        <f>IF(AND(AF578=1,AE578&gt;=set_FYStart,AE578&lt;=set_AsAt),1,0)</f>
        <v/>
      </c>
      <c r="AK578" s="54">
        <f>IF(AND(AJ578=1,AH578&lt;&gt;"",COUNTIFS($AH$2:AH578,AH578,$AJ$2:AJ578,1)=1),N(AL577)+1,"")</f>
        <v/>
      </c>
      <c r="AL578" s="54">
        <f>IF(AK578&lt;&gt;"",AK578,N(AL577))</f>
        <v/>
      </c>
    </row>
    <row r="579">
      <c r="A579" t="inlineStr">
        <is>
          <t>PRD-0193</t>
        </is>
      </c>
      <c r="B579" t="inlineStr">
        <is>
          <t>Production</t>
        </is>
      </c>
      <c r="AB579" t="n">
        <v>193</v>
      </c>
      <c r="AD579" s="52">
        <f>IFERROR(N(IFERROR(INDEX($A579:$AB579,MATCH("Xero Invoiced Ex GST",$A$1:$AB$1,0)),"")),0)</f>
        <v/>
      </c>
      <c r="AE579" s="53">
        <f>IFERROR(INDEX($A579:$AB579,MATCH("Xero Invoice Date",$A$1:$AB$1,0)),"")</f>
        <v/>
      </c>
      <c r="AF579" s="54">
        <f>IF(AND(IFERROR(INDEX($A579:$AB579,MATCH("Xero Invoice No",$A$1:$AB$1,0)),"")&amp;""&lt;&gt;"",ISNUMBER(AE579),AD579&lt;&gt;0),1,0)</f>
        <v/>
      </c>
      <c r="AG579" s="55">
        <f>IF(AF579=1,EOMONTH(AE579,0),"")</f>
        <v/>
      </c>
      <c r="AH579" s="9">
        <f>IF(AF579=1,UPPER(TRIM(IFERROR(INDEX($A579:$AB579,MATCH("Client",$A$1:$AB$1,0)),"")&amp;"")),"")</f>
        <v/>
      </c>
      <c r="AI579" s="9">
        <f>IF(AF579=1,IFERROR(INDEX($A579:$AB579,MATCH("Cost Centre",$A$1:$AB$1,0)),"")&amp;"","")</f>
        <v/>
      </c>
      <c r="AJ579" s="54">
        <f>IF(AND(AF579=1,AE579&gt;=set_FYStart,AE579&lt;=set_AsAt),1,0)</f>
        <v/>
      </c>
      <c r="AK579" s="54">
        <f>IF(AND(AJ579=1,AH579&lt;&gt;"",COUNTIFS($AH$2:AH579,AH579,$AJ$2:AJ579,1)=1),N(AL578)+1,"")</f>
        <v/>
      </c>
      <c r="AL579" s="54">
        <f>IF(AK579&lt;&gt;"",AK579,N(AL578))</f>
        <v/>
      </c>
    </row>
    <row r="580">
      <c r="A580" t="inlineStr">
        <is>
          <t>CON-0193</t>
        </is>
      </c>
      <c r="B580" t="inlineStr">
        <is>
          <t>Consulting</t>
        </is>
      </c>
      <c r="AB580" t="n">
        <v>193</v>
      </c>
      <c r="AD580" s="52">
        <f>IFERROR(N(IFERROR(INDEX($A580:$AB580,MATCH("Xero Invoiced Ex GST",$A$1:$AB$1,0)),"")),0)</f>
        <v/>
      </c>
      <c r="AE580" s="53">
        <f>IFERROR(INDEX($A580:$AB580,MATCH("Xero Invoice Date",$A$1:$AB$1,0)),"")</f>
        <v/>
      </c>
      <c r="AF580" s="54">
        <f>IF(AND(IFERROR(INDEX($A580:$AB580,MATCH("Xero Invoice No",$A$1:$AB$1,0)),"")&amp;""&lt;&gt;"",ISNUMBER(AE580),AD580&lt;&gt;0),1,0)</f>
        <v/>
      </c>
      <c r="AG580" s="55">
        <f>IF(AF580=1,EOMONTH(AE580,0),"")</f>
        <v/>
      </c>
      <c r="AH580" s="9">
        <f>IF(AF580=1,UPPER(TRIM(IFERROR(INDEX($A580:$AB580,MATCH("Client",$A$1:$AB$1,0)),"")&amp;"")),"")</f>
        <v/>
      </c>
      <c r="AI580" s="9">
        <f>IF(AF580=1,IFERROR(INDEX($A580:$AB580,MATCH("Cost Centre",$A$1:$AB$1,0)),"")&amp;"","")</f>
        <v/>
      </c>
      <c r="AJ580" s="54">
        <f>IF(AND(AF580=1,AE580&gt;=set_FYStart,AE580&lt;=set_AsAt),1,0)</f>
        <v/>
      </c>
      <c r="AK580" s="54">
        <f>IF(AND(AJ580=1,AH580&lt;&gt;"",COUNTIFS($AH$2:AH580,AH580,$AJ$2:AJ580,1)=1),N(AL579)+1,"")</f>
        <v/>
      </c>
      <c r="AL580" s="54">
        <f>IF(AK580&lt;&gt;"",AK580,N(AL579))</f>
        <v/>
      </c>
    </row>
    <row r="581">
      <c r="A581" t="inlineStr">
        <is>
          <t>ONS-0194</t>
        </is>
      </c>
      <c r="B581" t="inlineStr">
        <is>
          <t>Onsite</t>
        </is>
      </c>
      <c r="R581" t="inlineStr">
        <is>
          <t>GST 10%</t>
        </is>
      </c>
      <c r="AB581" t="n">
        <v>194</v>
      </c>
      <c r="AD581" s="52">
        <f>IFERROR(N(IFERROR(INDEX($A581:$AB581,MATCH("Xero Invoiced Ex GST",$A$1:$AB$1,0)),"")),0)</f>
        <v/>
      </c>
      <c r="AE581" s="53">
        <f>IFERROR(INDEX($A581:$AB581,MATCH("Xero Invoice Date",$A$1:$AB$1,0)),"")</f>
        <v/>
      </c>
      <c r="AF581" s="54">
        <f>IF(AND(IFERROR(INDEX($A581:$AB581,MATCH("Xero Invoice No",$A$1:$AB$1,0)),"")&amp;""&lt;&gt;"",ISNUMBER(AE581),AD581&lt;&gt;0),1,0)</f>
        <v/>
      </c>
      <c r="AG581" s="55">
        <f>IF(AF581=1,EOMONTH(AE581,0),"")</f>
        <v/>
      </c>
      <c r="AH581" s="9">
        <f>IF(AF581=1,UPPER(TRIM(IFERROR(INDEX($A581:$AB581,MATCH("Client",$A$1:$AB$1,0)),"")&amp;"")),"")</f>
        <v/>
      </c>
      <c r="AI581" s="9">
        <f>IF(AF581=1,IFERROR(INDEX($A581:$AB581,MATCH("Cost Centre",$A$1:$AB$1,0)),"")&amp;"","")</f>
        <v/>
      </c>
      <c r="AJ581" s="54">
        <f>IF(AND(AF581=1,AE581&gt;=set_FYStart,AE581&lt;=set_AsAt),1,0)</f>
        <v/>
      </c>
      <c r="AK581" s="54">
        <f>IF(AND(AJ581=1,AH581&lt;&gt;"",COUNTIFS($AH$2:AH581,AH581,$AJ$2:AJ581,1)=1),N(AL580)+1,"")</f>
        <v/>
      </c>
      <c r="AL581" s="54">
        <f>IF(AK581&lt;&gt;"",AK581,N(AL580))</f>
        <v/>
      </c>
    </row>
    <row r="582">
      <c r="A582" t="inlineStr">
        <is>
          <t>PRD-0194</t>
        </is>
      </c>
      <c r="B582" t="inlineStr">
        <is>
          <t>Production</t>
        </is>
      </c>
      <c r="AB582" t="n">
        <v>194</v>
      </c>
      <c r="AD582" s="52">
        <f>IFERROR(N(IFERROR(INDEX($A582:$AB582,MATCH("Xero Invoiced Ex GST",$A$1:$AB$1,0)),"")),0)</f>
        <v/>
      </c>
      <c r="AE582" s="53">
        <f>IFERROR(INDEX($A582:$AB582,MATCH("Xero Invoice Date",$A$1:$AB$1,0)),"")</f>
        <v/>
      </c>
      <c r="AF582" s="54">
        <f>IF(AND(IFERROR(INDEX($A582:$AB582,MATCH("Xero Invoice No",$A$1:$AB$1,0)),"")&amp;""&lt;&gt;"",ISNUMBER(AE582),AD582&lt;&gt;0),1,0)</f>
        <v/>
      </c>
      <c r="AG582" s="55">
        <f>IF(AF582=1,EOMONTH(AE582,0),"")</f>
        <v/>
      </c>
      <c r="AH582" s="9">
        <f>IF(AF582=1,UPPER(TRIM(IFERROR(INDEX($A582:$AB582,MATCH("Client",$A$1:$AB$1,0)),"")&amp;"")),"")</f>
        <v/>
      </c>
      <c r="AI582" s="9">
        <f>IF(AF582=1,IFERROR(INDEX($A582:$AB582,MATCH("Cost Centre",$A$1:$AB$1,0)),"")&amp;"","")</f>
        <v/>
      </c>
      <c r="AJ582" s="54">
        <f>IF(AND(AF582=1,AE582&gt;=set_FYStart,AE582&lt;=set_AsAt),1,0)</f>
        <v/>
      </c>
      <c r="AK582" s="54">
        <f>IF(AND(AJ582=1,AH582&lt;&gt;"",COUNTIFS($AH$2:AH582,AH582,$AJ$2:AJ582,1)=1),N(AL581)+1,"")</f>
        <v/>
      </c>
      <c r="AL582" s="54">
        <f>IF(AK582&lt;&gt;"",AK582,N(AL581))</f>
        <v/>
      </c>
    </row>
    <row r="583">
      <c r="A583" t="inlineStr">
        <is>
          <t>CON-0194</t>
        </is>
      </c>
      <c r="B583" t="inlineStr">
        <is>
          <t>Consulting</t>
        </is>
      </c>
      <c r="AB583" t="n">
        <v>194</v>
      </c>
      <c r="AD583" s="52">
        <f>IFERROR(N(IFERROR(INDEX($A583:$AB583,MATCH("Xero Invoiced Ex GST",$A$1:$AB$1,0)),"")),0)</f>
        <v/>
      </c>
      <c r="AE583" s="53">
        <f>IFERROR(INDEX($A583:$AB583,MATCH("Xero Invoice Date",$A$1:$AB$1,0)),"")</f>
        <v/>
      </c>
      <c r="AF583" s="54">
        <f>IF(AND(IFERROR(INDEX($A583:$AB583,MATCH("Xero Invoice No",$A$1:$AB$1,0)),"")&amp;""&lt;&gt;"",ISNUMBER(AE583),AD583&lt;&gt;0),1,0)</f>
        <v/>
      </c>
      <c r="AG583" s="55">
        <f>IF(AF583=1,EOMONTH(AE583,0),"")</f>
        <v/>
      </c>
      <c r="AH583" s="9">
        <f>IF(AF583=1,UPPER(TRIM(IFERROR(INDEX($A583:$AB583,MATCH("Client",$A$1:$AB$1,0)),"")&amp;"")),"")</f>
        <v/>
      </c>
      <c r="AI583" s="9">
        <f>IF(AF583=1,IFERROR(INDEX($A583:$AB583,MATCH("Cost Centre",$A$1:$AB$1,0)),"")&amp;"","")</f>
        <v/>
      </c>
      <c r="AJ583" s="54">
        <f>IF(AND(AF583=1,AE583&gt;=set_FYStart,AE583&lt;=set_AsAt),1,0)</f>
        <v/>
      </c>
      <c r="AK583" s="54">
        <f>IF(AND(AJ583=1,AH583&lt;&gt;"",COUNTIFS($AH$2:AH583,AH583,$AJ$2:AJ583,1)=1),N(AL582)+1,"")</f>
        <v/>
      </c>
      <c r="AL583" s="54">
        <f>IF(AK583&lt;&gt;"",AK583,N(AL582))</f>
        <v/>
      </c>
    </row>
    <row r="584">
      <c r="A584" t="inlineStr">
        <is>
          <t>ONS-0195</t>
        </is>
      </c>
      <c r="B584" t="inlineStr">
        <is>
          <t>Onsite</t>
        </is>
      </c>
      <c r="R584" t="inlineStr">
        <is>
          <t>GST 10%</t>
        </is>
      </c>
      <c r="AB584" t="n">
        <v>195</v>
      </c>
      <c r="AD584" s="52">
        <f>IFERROR(N(IFERROR(INDEX($A584:$AB584,MATCH("Xero Invoiced Ex GST",$A$1:$AB$1,0)),"")),0)</f>
        <v/>
      </c>
      <c r="AE584" s="53">
        <f>IFERROR(INDEX($A584:$AB584,MATCH("Xero Invoice Date",$A$1:$AB$1,0)),"")</f>
        <v/>
      </c>
      <c r="AF584" s="54">
        <f>IF(AND(IFERROR(INDEX($A584:$AB584,MATCH("Xero Invoice No",$A$1:$AB$1,0)),"")&amp;""&lt;&gt;"",ISNUMBER(AE584),AD584&lt;&gt;0),1,0)</f>
        <v/>
      </c>
      <c r="AG584" s="55">
        <f>IF(AF584=1,EOMONTH(AE584,0),"")</f>
        <v/>
      </c>
      <c r="AH584" s="9">
        <f>IF(AF584=1,UPPER(TRIM(IFERROR(INDEX($A584:$AB584,MATCH("Client",$A$1:$AB$1,0)),"")&amp;"")),"")</f>
        <v/>
      </c>
      <c r="AI584" s="9">
        <f>IF(AF584=1,IFERROR(INDEX($A584:$AB584,MATCH("Cost Centre",$A$1:$AB$1,0)),"")&amp;"","")</f>
        <v/>
      </c>
      <c r="AJ584" s="54">
        <f>IF(AND(AF584=1,AE584&gt;=set_FYStart,AE584&lt;=set_AsAt),1,0)</f>
        <v/>
      </c>
      <c r="AK584" s="54">
        <f>IF(AND(AJ584=1,AH584&lt;&gt;"",COUNTIFS($AH$2:AH584,AH584,$AJ$2:AJ584,1)=1),N(AL583)+1,"")</f>
        <v/>
      </c>
      <c r="AL584" s="54">
        <f>IF(AK584&lt;&gt;"",AK584,N(AL583))</f>
        <v/>
      </c>
    </row>
    <row r="585">
      <c r="A585" t="inlineStr">
        <is>
          <t>PRD-0195</t>
        </is>
      </c>
      <c r="B585" t="inlineStr">
        <is>
          <t>Production</t>
        </is>
      </c>
      <c r="AB585" t="n">
        <v>195</v>
      </c>
      <c r="AD585" s="52">
        <f>IFERROR(N(IFERROR(INDEX($A585:$AB585,MATCH("Xero Invoiced Ex GST",$A$1:$AB$1,0)),"")),0)</f>
        <v/>
      </c>
      <c r="AE585" s="53">
        <f>IFERROR(INDEX($A585:$AB585,MATCH("Xero Invoice Date",$A$1:$AB$1,0)),"")</f>
        <v/>
      </c>
      <c r="AF585" s="54">
        <f>IF(AND(IFERROR(INDEX($A585:$AB585,MATCH("Xero Invoice No",$A$1:$AB$1,0)),"")&amp;""&lt;&gt;"",ISNUMBER(AE585),AD585&lt;&gt;0),1,0)</f>
        <v/>
      </c>
      <c r="AG585" s="55">
        <f>IF(AF585=1,EOMONTH(AE585,0),"")</f>
        <v/>
      </c>
      <c r="AH585" s="9">
        <f>IF(AF585=1,UPPER(TRIM(IFERROR(INDEX($A585:$AB585,MATCH("Client",$A$1:$AB$1,0)),"")&amp;"")),"")</f>
        <v/>
      </c>
      <c r="AI585" s="9">
        <f>IF(AF585=1,IFERROR(INDEX($A585:$AB585,MATCH("Cost Centre",$A$1:$AB$1,0)),"")&amp;"","")</f>
        <v/>
      </c>
      <c r="AJ585" s="54">
        <f>IF(AND(AF585=1,AE585&gt;=set_FYStart,AE585&lt;=set_AsAt),1,0)</f>
        <v/>
      </c>
      <c r="AK585" s="54">
        <f>IF(AND(AJ585=1,AH585&lt;&gt;"",COUNTIFS($AH$2:AH585,AH585,$AJ$2:AJ585,1)=1),N(AL584)+1,"")</f>
        <v/>
      </c>
      <c r="AL585" s="54">
        <f>IF(AK585&lt;&gt;"",AK585,N(AL584))</f>
        <v/>
      </c>
    </row>
    <row r="586">
      <c r="A586" t="inlineStr">
        <is>
          <t>CON-0195</t>
        </is>
      </c>
      <c r="B586" t="inlineStr">
        <is>
          <t>Consulting</t>
        </is>
      </c>
      <c r="AB586" t="n">
        <v>195</v>
      </c>
      <c r="AD586" s="52">
        <f>IFERROR(N(IFERROR(INDEX($A586:$AB586,MATCH("Xero Invoiced Ex GST",$A$1:$AB$1,0)),"")),0)</f>
        <v/>
      </c>
      <c r="AE586" s="53">
        <f>IFERROR(INDEX($A586:$AB586,MATCH("Xero Invoice Date",$A$1:$AB$1,0)),"")</f>
        <v/>
      </c>
      <c r="AF586" s="54">
        <f>IF(AND(IFERROR(INDEX($A586:$AB586,MATCH("Xero Invoice No",$A$1:$AB$1,0)),"")&amp;""&lt;&gt;"",ISNUMBER(AE586),AD586&lt;&gt;0),1,0)</f>
        <v/>
      </c>
      <c r="AG586" s="55">
        <f>IF(AF586=1,EOMONTH(AE586,0),"")</f>
        <v/>
      </c>
      <c r="AH586" s="9">
        <f>IF(AF586=1,UPPER(TRIM(IFERROR(INDEX($A586:$AB586,MATCH("Client",$A$1:$AB$1,0)),"")&amp;"")),"")</f>
        <v/>
      </c>
      <c r="AI586" s="9">
        <f>IF(AF586=1,IFERROR(INDEX($A586:$AB586,MATCH("Cost Centre",$A$1:$AB$1,0)),"")&amp;"","")</f>
        <v/>
      </c>
      <c r="AJ586" s="54">
        <f>IF(AND(AF586=1,AE586&gt;=set_FYStart,AE586&lt;=set_AsAt),1,0)</f>
        <v/>
      </c>
      <c r="AK586" s="54">
        <f>IF(AND(AJ586=1,AH586&lt;&gt;"",COUNTIFS($AH$2:AH586,AH586,$AJ$2:AJ586,1)=1),N(AL585)+1,"")</f>
        <v/>
      </c>
      <c r="AL586" s="54">
        <f>IF(AK586&lt;&gt;"",AK586,N(AL585))</f>
        <v/>
      </c>
    </row>
    <row r="587">
      <c r="A587" t="inlineStr">
        <is>
          <t>ONS-0196</t>
        </is>
      </c>
      <c r="B587" t="inlineStr">
        <is>
          <t>Onsite</t>
        </is>
      </c>
      <c r="R587" t="inlineStr">
        <is>
          <t>GST 10%</t>
        </is>
      </c>
      <c r="AB587" t="n">
        <v>196</v>
      </c>
      <c r="AD587" s="52">
        <f>IFERROR(N(IFERROR(INDEX($A587:$AB587,MATCH("Xero Invoiced Ex GST",$A$1:$AB$1,0)),"")),0)</f>
        <v/>
      </c>
      <c r="AE587" s="53">
        <f>IFERROR(INDEX($A587:$AB587,MATCH("Xero Invoice Date",$A$1:$AB$1,0)),"")</f>
        <v/>
      </c>
      <c r="AF587" s="54">
        <f>IF(AND(IFERROR(INDEX($A587:$AB587,MATCH("Xero Invoice No",$A$1:$AB$1,0)),"")&amp;""&lt;&gt;"",ISNUMBER(AE587),AD587&lt;&gt;0),1,0)</f>
        <v/>
      </c>
      <c r="AG587" s="55">
        <f>IF(AF587=1,EOMONTH(AE587,0),"")</f>
        <v/>
      </c>
      <c r="AH587" s="9">
        <f>IF(AF587=1,UPPER(TRIM(IFERROR(INDEX($A587:$AB587,MATCH("Client",$A$1:$AB$1,0)),"")&amp;"")),"")</f>
        <v/>
      </c>
      <c r="AI587" s="9">
        <f>IF(AF587=1,IFERROR(INDEX($A587:$AB587,MATCH("Cost Centre",$A$1:$AB$1,0)),"")&amp;"","")</f>
        <v/>
      </c>
      <c r="AJ587" s="54">
        <f>IF(AND(AF587=1,AE587&gt;=set_FYStart,AE587&lt;=set_AsAt),1,0)</f>
        <v/>
      </c>
      <c r="AK587" s="54">
        <f>IF(AND(AJ587=1,AH587&lt;&gt;"",COUNTIFS($AH$2:AH587,AH587,$AJ$2:AJ587,1)=1),N(AL586)+1,"")</f>
        <v/>
      </c>
      <c r="AL587" s="54">
        <f>IF(AK587&lt;&gt;"",AK587,N(AL586))</f>
        <v/>
      </c>
    </row>
    <row r="588">
      <c r="A588" t="inlineStr">
        <is>
          <t>PRD-0196</t>
        </is>
      </c>
      <c r="B588" t="inlineStr">
        <is>
          <t>Production</t>
        </is>
      </c>
      <c r="AB588" t="n">
        <v>196</v>
      </c>
      <c r="AD588" s="52">
        <f>IFERROR(N(IFERROR(INDEX($A588:$AB588,MATCH("Xero Invoiced Ex GST",$A$1:$AB$1,0)),"")),0)</f>
        <v/>
      </c>
      <c r="AE588" s="53">
        <f>IFERROR(INDEX($A588:$AB588,MATCH("Xero Invoice Date",$A$1:$AB$1,0)),"")</f>
        <v/>
      </c>
      <c r="AF588" s="54">
        <f>IF(AND(IFERROR(INDEX($A588:$AB588,MATCH("Xero Invoice No",$A$1:$AB$1,0)),"")&amp;""&lt;&gt;"",ISNUMBER(AE588),AD588&lt;&gt;0),1,0)</f>
        <v/>
      </c>
      <c r="AG588" s="55">
        <f>IF(AF588=1,EOMONTH(AE588,0),"")</f>
        <v/>
      </c>
      <c r="AH588" s="9">
        <f>IF(AF588=1,UPPER(TRIM(IFERROR(INDEX($A588:$AB588,MATCH("Client",$A$1:$AB$1,0)),"")&amp;"")),"")</f>
        <v/>
      </c>
      <c r="AI588" s="9">
        <f>IF(AF588=1,IFERROR(INDEX($A588:$AB588,MATCH("Cost Centre",$A$1:$AB$1,0)),"")&amp;"","")</f>
        <v/>
      </c>
      <c r="AJ588" s="54">
        <f>IF(AND(AF588=1,AE588&gt;=set_FYStart,AE588&lt;=set_AsAt),1,0)</f>
        <v/>
      </c>
      <c r="AK588" s="54">
        <f>IF(AND(AJ588=1,AH588&lt;&gt;"",COUNTIFS($AH$2:AH588,AH588,$AJ$2:AJ588,1)=1),N(AL587)+1,"")</f>
        <v/>
      </c>
      <c r="AL588" s="54">
        <f>IF(AK588&lt;&gt;"",AK588,N(AL587))</f>
        <v/>
      </c>
    </row>
    <row r="589">
      <c r="A589" t="inlineStr">
        <is>
          <t>CON-0196</t>
        </is>
      </c>
      <c r="B589" t="inlineStr">
        <is>
          <t>Consulting</t>
        </is>
      </c>
      <c r="AB589" t="n">
        <v>196</v>
      </c>
      <c r="AD589" s="52">
        <f>IFERROR(N(IFERROR(INDEX($A589:$AB589,MATCH("Xero Invoiced Ex GST",$A$1:$AB$1,0)),"")),0)</f>
        <v/>
      </c>
      <c r="AE589" s="53">
        <f>IFERROR(INDEX($A589:$AB589,MATCH("Xero Invoice Date",$A$1:$AB$1,0)),"")</f>
        <v/>
      </c>
      <c r="AF589" s="54">
        <f>IF(AND(IFERROR(INDEX($A589:$AB589,MATCH("Xero Invoice No",$A$1:$AB$1,0)),"")&amp;""&lt;&gt;"",ISNUMBER(AE589),AD589&lt;&gt;0),1,0)</f>
        <v/>
      </c>
      <c r="AG589" s="55">
        <f>IF(AF589=1,EOMONTH(AE589,0),"")</f>
        <v/>
      </c>
      <c r="AH589" s="9">
        <f>IF(AF589=1,UPPER(TRIM(IFERROR(INDEX($A589:$AB589,MATCH("Client",$A$1:$AB$1,0)),"")&amp;"")),"")</f>
        <v/>
      </c>
      <c r="AI589" s="9">
        <f>IF(AF589=1,IFERROR(INDEX($A589:$AB589,MATCH("Cost Centre",$A$1:$AB$1,0)),"")&amp;"","")</f>
        <v/>
      </c>
      <c r="AJ589" s="54">
        <f>IF(AND(AF589=1,AE589&gt;=set_FYStart,AE589&lt;=set_AsAt),1,0)</f>
        <v/>
      </c>
      <c r="AK589" s="54">
        <f>IF(AND(AJ589=1,AH589&lt;&gt;"",COUNTIFS($AH$2:AH589,AH589,$AJ$2:AJ589,1)=1),N(AL588)+1,"")</f>
        <v/>
      </c>
      <c r="AL589" s="54">
        <f>IF(AK589&lt;&gt;"",AK589,N(AL588))</f>
        <v/>
      </c>
    </row>
    <row r="590">
      <c r="A590" t="inlineStr">
        <is>
          <t>ONS-0197</t>
        </is>
      </c>
      <c r="B590" t="inlineStr">
        <is>
          <t>Onsite</t>
        </is>
      </c>
      <c r="R590" t="inlineStr">
        <is>
          <t>GST 10%</t>
        </is>
      </c>
      <c r="AB590" t="n">
        <v>197</v>
      </c>
      <c r="AD590" s="52">
        <f>IFERROR(N(IFERROR(INDEX($A590:$AB590,MATCH("Xero Invoiced Ex GST",$A$1:$AB$1,0)),"")),0)</f>
        <v/>
      </c>
      <c r="AE590" s="53">
        <f>IFERROR(INDEX($A590:$AB590,MATCH("Xero Invoice Date",$A$1:$AB$1,0)),"")</f>
        <v/>
      </c>
      <c r="AF590" s="54">
        <f>IF(AND(IFERROR(INDEX($A590:$AB590,MATCH("Xero Invoice No",$A$1:$AB$1,0)),"")&amp;""&lt;&gt;"",ISNUMBER(AE590),AD590&lt;&gt;0),1,0)</f>
        <v/>
      </c>
      <c r="AG590" s="55">
        <f>IF(AF590=1,EOMONTH(AE590,0),"")</f>
        <v/>
      </c>
      <c r="AH590" s="9">
        <f>IF(AF590=1,UPPER(TRIM(IFERROR(INDEX($A590:$AB590,MATCH("Client",$A$1:$AB$1,0)),"")&amp;"")),"")</f>
        <v/>
      </c>
      <c r="AI590" s="9">
        <f>IF(AF590=1,IFERROR(INDEX($A590:$AB590,MATCH("Cost Centre",$A$1:$AB$1,0)),"")&amp;"","")</f>
        <v/>
      </c>
      <c r="AJ590" s="54">
        <f>IF(AND(AF590=1,AE590&gt;=set_FYStart,AE590&lt;=set_AsAt),1,0)</f>
        <v/>
      </c>
      <c r="AK590" s="54">
        <f>IF(AND(AJ590=1,AH590&lt;&gt;"",COUNTIFS($AH$2:AH590,AH590,$AJ$2:AJ590,1)=1),N(AL589)+1,"")</f>
        <v/>
      </c>
      <c r="AL590" s="54">
        <f>IF(AK590&lt;&gt;"",AK590,N(AL589))</f>
        <v/>
      </c>
    </row>
    <row r="591">
      <c r="A591" t="inlineStr">
        <is>
          <t>PRD-0197</t>
        </is>
      </c>
      <c r="B591" t="inlineStr">
        <is>
          <t>Production</t>
        </is>
      </c>
      <c r="AB591" t="n">
        <v>197</v>
      </c>
      <c r="AD591" s="52">
        <f>IFERROR(N(IFERROR(INDEX($A591:$AB591,MATCH("Xero Invoiced Ex GST",$A$1:$AB$1,0)),"")),0)</f>
        <v/>
      </c>
      <c r="AE591" s="53">
        <f>IFERROR(INDEX($A591:$AB591,MATCH("Xero Invoice Date",$A$1:$AB$1,0)),"")</f>
        <v/>
      </c>
      <c r="AF591" s="54">
        <f>IF(AND(IFERROR(INDEX($A591:$AB591,MATCH("Xero Invoice No",$A$1:$AB$1,0)),"")&amp;""&lt;&gt;"",ISNUMBER(AE591),AD591&lt;&gt;0),1,0)</f>
        <v/>
      </c>
      <c r="AG591" s="55">
        <f>IF(AF591=1,EOMONTH(AE591,0),"")</f>
        <v/>
      </c>
      <c r="AH591" s="9">
        <f>IF(AF591=1,UPPER(TRIM(IFERROR(INDEX($A591:$AB591,MATCH("Client",$A$1:$AB$1,0)),"")&amp;"")),"")</f>
        <v/>
      </c>
      <c r="AI591" s="9">
        <f>IF(AF591=1,IFERROR(INDEX($A591:$AB591,MATCH("Cost Centre",$A$1:$AB$1,0)),"")&amp;"","")</f>
        <v/>
      </c>
      <c r="AJ591" s="54">
        <f>IF(AND(AF591=1,AE591&gt;=set_FYStart,AE591&lt;=set_AsAt),1,0)</f>
        <v/>
      </c>
      <c r="AK591" s="54">
        <f>IF(AND(AJ591=1,AH591&lt;&gt;"",COUNTIFS($AH$2:AH591,AH591,$AJ$2:AJ591,1)=1),N(AL590)+1,"")</f>
        <v/>
      </c>
      <c r="AL591" s="54">
        <f>IF(AK591&lt;&gt;"",AK591,N(AL590))</f>
        <v/>
      </c>
    </row>
    <row r="592">
      <c r="A592" t="inlineStr">
        <is>
          <t>CON-0197</t>
        </is>
      </c>
      <c r="B592" t="inlineStr">
        <is>
          <t>Consulting</t>
        </is>
      </c>
      <c r="AB592" t="n">
        <v>197</v>
      </c>
      <c r="AD592" s="52">
        <f>IFERROR(N(IFERROR(INDEX($A592:$AB592,MATCH("Xero Invoiced Ex GST",$A$1:$AB$1,0)),"")),0)</f>
        <v/>
      </c>
      <c r="AE592" s="53">
        <f>IFERROR(INDEX($A592:$AB592,MATCH("Xero Invoice Date",$A$1:$AB$1,0)),"")</f>
        <v/>
      </c>
      <c r="AF592" s="54">
        <f>IF(AND(IFERROR(INDEX($A592:$AB592,MATCH("Xero Invoice No",$A$1:$AB$1,0)),"")&amp;""&lt;&gt;"",ISNUMBER(AE592),AD592&lt;&gt;0),1,0)</f>
        <v/>
      </c>
      <c r="AG592" s="55">
        <f>IF(AF592=1,EOMONTH(AE592,0),"")</f>
        <v/>
      </c>
      <c r="AH592" s="9">
        <f>IF(AF592=1,UPPER(TRIM(IFERROR(INDEX($A592:$AB592,MATCH("Client",$A$1:$AB$1,0)),"")&amp;"")),"")</f>
        <v/>
      </c>
      <c r="AI592" s="9">
        <f>IF(AF592=1,IFERROR(INDEX($A592:$AB592,MATCH("Cost Centre",$A$1:$AB$1,0)),"")&amp;"","")</f>
        <v/>
      </c>
      <c r="AJ592" s="54">
        <f>IF(AND(AF592=1,AE592&gt;=set_FYStart,AE592&lt;=set_AsAt),1,0)</f>
        <v/>
      </c>
      <c r="AK592" s="54">
        <f>IF(AND(AJ592=1,AH592&lt;&gt;"",COUNTIFS($AH$2:AH592,AH592,$AJ$2:AJ592,1)=1),N(AL591)+1,"")</f>
        <v/>
      </c>
      <c r="AL592" s="54">
        <f>IF(AK592&lt;&gt;"",AK592,N(AL591))</f>
        <v/>
      </c>
    </row>
    <row r="593">
      <c r="A593" t="inlineStr">
        <is>
          <t>ONS-0198</t>
        </is>
      </c>
      <c r="B593" t="inlineStr">
        <is>
          <t>Onsite</t>
        </is>
      </c>
      <c r="R593" t="inlineStr">
        <is>
          <t>GST 10%</t>
        </is>
      </c>
      <c r="AB593" t="n">
        <v>198</v>
      </c>
      <c r="AD593" s="52">
        <f>IFERROR(N(IFERROR(INDEX($A593:$AB593,MATCH("Xero Invoiced Ex GST",$A$1:$AB$1,0)),"")),0)</f>
        <v/>
      </c>
      <c r="AE593" s="53">
        <f>IFERROR(INDEX($A593:$AB593,MATCH("Xero Invoice Date",$A$1:$AB$1,0)),"")</f>
        <v/>
      </c>
      <c r="AF593" s="54">
        <f>IF(AND(IFERROR(INDEX($A593:$AB593,MATCH("Xero Invoice No",$A$1:$AB$1,0)),"")&amp;""&lt;&gt;"",ISNUMBER(AE593),AD593&lt;&gt;0),1,0)</f>
        <v/>
      </c>
      <c r="AG593" s="55">
        <f>IF(AF593=1,EOMONTH(AE593,0),"")</f>
        <v/>
      </c>
      <c r="AH593" s="9">
        <f>IF(AF593=1,UPPER(TRIM(IFERROR(INDEX($A593:$AB593,MATCH("Client",$A$1:$AB$1,0)),"")&amp;"")),"")</f>
        <v/>
      </c>
      <c r="AI593" s="9">
        <f>IF(AF593=1,IFERROR(INDEX($A593:$AB593,MATCH("Cost Centre",$A$1:$AB$1,0)),"")&amp;"","")</f>
        <v/>
      </c>
      <c r="AJ593" s="54">
        <f>IF(AND(AF593=1,AE593&gt;=set_FYStart,AE593&lt;=set_AsAt),1,0)</f>
        <v/>
      </c>
      <c r="AK593" s="54">
        <f>IF(AND(AJ593=1,AH593&lt;&gt;"",COUNTIFS($AH$2:AH593,AH593,$AJ$2:AJ593,1)=1),N(AL592)+1,"")</f>
        <v/>
      </c>
      <c r="AL593" s="54">
        <f>IF(AK593&lt;&gt;"",AK593,N(AL592))</f>
        <v/>
      </c>
    </row>
    <row r="594">
      <c r="A594" t="inlineStr">
        <is>
          <t>PRD-0198</t>
        </is>
      </c>
      <c r="B594" t="inlineStr">
        <is>
          <t>Production</t>
        </is>
      </c>
      <c r="AB594" t="n">
        <v>198</v>
      </c>
      <c r="AD594" s="52">
        <f>IFERROR(N(IFERROR(INDEX($A594:$AB594,MATCH("Xero Invoiced Ex GST",$A$1:$AB$1,0)),"")),0)</f>
        <v/>
      </c>
      <c r="AE594" s="53">
        <f>IFERROR(INDEX($A594:$AB594,MATCH("Xero Invoice Date",$A$1:$AB$1,0)),"")</f>
        <v/>
      </c>
      <c r="AF594" s="54">
        <f>IF(AND(IFERROR(INDEX($A594:$AB594,MATCH("Xero Invoice No",$A$1:$AB$1,0)),"")&amp;""&lt;&gt;"",ISNUMBER(AE594),AD594&lt;&gt;0),1,0)</f>
        <v/>
      </c>
      <c r="AG594" s="55">
        <f>IF(AF594=1,EOMONTH(AE594,0),"")</f>
        <v/>
      </c>
      <c r="AH594" s="9">
        <f>IF(AF594=1,UPPER(TRIM(IFERROR(INDEX($A594:$AB594,MATCH("Client",$A$1:$AB$1,0)),"")&amp;"")),"")</f>
        <v/>
      </c>
      <c r="AI594" s="9">
        <f>IF(AF594=1,IFERROR(INDEX($A594:$AB594,MATCH("Cost Centre",$A$1:$AB$1,0)),"")&amp;"","")</f>
        <v/>
      </c>
      <c r="AJ594" s="54">
        <f>IF(AND(AF594=1,AE594&gt;=set_FYStart,AE594&lt;=set_AsAt),1,0)</f>
        <v/>
      </c>
      <c r="AK594" s="54">
        <f>IF(AND(AJ594=1,AH594&lt;&gt;"",COUNTIFS($AH$2:AH594,AH594,$AJ$2:AJ594,1)=1),N(AL593)+1,"")</f>
        <v/>
      </c>
      <c r="AL594" s="54">
        <f>IF(AK594&lt;&gt;"",AK594,N(AL593))</f>
        <v/>
      </c>
    </row>
    <row r="595">
      <c r="A595" t="inlineStr">
        <is>
          <t>CON-0198</t>
        </is>
      </c>
      <c r="B595" t="inlineStr">
        <is>
          <t>Consulting</t>
        </is>
      </c>
      <c r="AB595" t="n">
        <v>198</v>
      </c>
      <c r="AD595" s="52">
        <f>IFERROR(N(IFERROR(INDEX($A595:$AB595,MATCH("Xero Invoiced Ex GST",$A$1:$AB$1,0)),"")),0)</f>
        <v/>
      </c>
      <c r="AE595" s="53">
        <f>IFERROR(INDEX($A595:$AB595,MATCH("Xero Invoice Date",$A$1:$AB$1,0)),"")</f>
        <v/>
      </c>
      <c r="AF595" s="54">
        <f>IF(AND(IFERROR(INDEX($A595:$AB595,MATCH("Xero Invoice No",$A$1:$AB$1,0)),"")&amp;""&lt;&gt;"",ISNUMBER(AE595),AD595&lt;&gt;0),1,0)</f>
        <v/>
      </c>
      <c r="AG595" s="55">
        <f>IF(AF595=1,EOMONTH(AE595,0),"")</f>
        <v/>
      </c>
      <c r="AH595" s="9">
        <f>IF(AF595=1,UPPER(TRIM(IFERROR(INDEX($A595:$AB595,MATCH("Client",$A$1:$AB$1,0)),"")&amp;"")),"")</f>
        <v/>
      </c>
      <c r="AI595" s="9">
        <f>IF(AF595=1,IFERROR(INDEX($A595:$AB595,MATCH("Cost Centre",$A$1:$AB$1,0)),"")&amp;"","")</f>
        <v/>
      </c>
      <c r="AJ595" s="54">
        <f>IF(AND(AF595=1,AE595&gt;=set_FYStart,AE595&lt;=set_AsAt),1,0)</f>
        <v/>
      </c>
      <c r="AK595" s="54">
        <f>IF(AND(AJ595=1,AH595&lt;&gt;"",COUNTIFS($AH$2:AH595,AH595,$AJ$2:AJ595,1)=1),N(AL594)+1,"")</f>
        <v/>
      </c>
      <c r="AL595" s="54">
        <f>IF(AK595&lt;&gt;"",AK595,N(AL594))</f>
        <v/>
      </c>
    </row>
    <row r="596">
      <c r="A596" t="inlineStr">
        <is>
          <t>ONS-0199</t>
        </is>
      </c>
      <c r="B596" t="inlineStr">
        <is>
          <t>Onsite</t>
        </is>
      </c>
      <c r="R596" t="inlineStr">
        <is>
          <t>GST 10%</t>
        </is>
      </c>
      <c r="AB596" t="n">
        <v>199</v>
      </c>
      <c r="AD596" s="52">
        <f>IFERROR(N(IFERROR(INDEX($A596:$AB596,MATCH("Xero Invoiced Ex GST",$A$1:$AB$1,0)),"")),0)</f>
        <v/>
      </c>
      <c r="AE596" s="53">
        <f>IFERROR(INDEX($A596:$AB596,MATCH("Xero Invoice Date",$A$1:$AB$1,0)),"")</f>
        <v/>
      </c>
      <c r="AF596" s="54">
        <f>IF(AND(IFERROR(INDEX($A596:$AB596,MATCH("Xero Invoice No",$A$1:$AB$1,0)),"")&amp;""&lt;&gt;"",ISNUMBER(AE596),AD596&lt;&gt;0),1,0)</f>
        <v/>
      </c>
      <c r="AG596" s="55">
        <f>IF(AF596=1,EOMONTH(AE596,0),"")</f>
        <v/>
      </c>
      <c r="AH596" s="9">
        <f>IF(AF596=1,UPPER(TRIM(IFERROR(INDEX($A596:$AB596,MATCH("Client",$A$1:$AB$1,0)),"")&amp;"")),"")</f>
        <v/>
      </c>
      <c r="AI596" s="9">
        <f>IF(AF596=1,IFERROR(INDEX($A596:$AB596,MATCH("Cost Centre",$A$1:$AB$1,0)),"")&amp;"","")</f>
        <v/>
      </c>
      <c r="AJ596" s="54">
        <f>IF(AND(AF596=1,AE596&gt;=set_FYStart,AE596&lt;=set_AsAt),1,0)</f>
        <v/>
      </c>
      <c r="AK596" s="54">
        <f>IF(AND(AJ596=1,AH596&lt;&gt;"",COUNTIFS($AH$2:AH596,AH596,$AJ$2:AJ596,1)=1),N(AL595)+1,"")</f>
        <v/>
      </c>
      <c r="AL596" s="54">
        <f>IF(AK596&lt;&gt;"",AK596,N(AL595))</f>
        <v/>
      </c>
    </row>
    <row r="597">
      <c r="A597" t="inlineStr">
        <is>
          <t>PRD-0199</t>
        </is>
      </c>
      <c r="B597" t="inlineStr">
        <is>
          <t>Production</t>
        </is>
      </c>
      <c r="AB597" t="n">
        <v>199</v>
      </c>
      <c r="AD597" s="52">
        <f>IFERROR(N(IFERROR(INDEX($A597:$AB597,MATCH("Xero Invoiced Ex GST",$A$1:$AB$1,0)),"")),0)</f>
        <v/>
      </c>
      <c r="AE597" s="53">
        <f>IFERROR(INDEX($A597:$AB597,MATCH("Xero Invoice Date",$A$1:$AB$1,0)),"")</f>
        <v/>
      </c>
      <c r="AF597" s="54">
        <f>IF(AND(IFERROR(INDEX($A597:$AB597,MATCH("Xero Invoice No",$A$1:$AB$1,0)),"")&amp;""&lt;&gt;"",ISNUMBER(AE597),AD597&lt;&gt;0),1,0)</f>
        <v/>
      </c>
      <c r="AG597" s="55">
        <f>IF(AF597=1,EOMONTH(AE597,0),"")</f>
        <v/>
      </c>
      <c r="AH597" s="9">
        <f>IF(AF597=1,UPPER(TRIM(IFERROR(INDEX($A597:$AB597,MATCH("Client",$A$1:$AB$1,0)),"")&amp;"")),"")</f>
        <v/>
      </c>
      <c r="AI597" s="9">
        <f>IF(AF597=1,IFERROR(INDEX($A597:$AB597,MATCH("Cost Centre",$A$1:$AB$1,0)),"")&amp;"","")</f>
        <v/>
      </c>
      <c r="AJ597" s="54">
        <f>IF(AND(AF597=1,AE597&gt;=set_FYStart,AE597&lt;=set_AsAt),1,0)</f>
        <v/>
      </c>
      <c r="AK597" s="54">
        <f>IF(AND(AJ597=1,AH597&lt;&gt;"",COUNTIFS($AH$2:AH597,AH597,$AJ$2:AJ597,1)=1),N(AL596)+1,"")</f>
        <v/>
      </c>
      <c r="AL597" s="54">
        <f>IF(AK597&lt;&gt;"",AK597,N(AL596))</f>
        <v/>
      </c>
    </row>
    <row r="598">
      <c r="A598" t="inlineStr">
        <is>
          <t>CON-0199</t>
        </is>
      </c>
      <c r="B598" t="inlineStr">
        <is>
          <t>Consulting</t>
        </is>
      </c>
      <c r="AB598" t="n">
        <v>199</v>
      </c>
      <c r="AD598" s="52">
        <f>IFERROR(N(IFERROR(INDEX($A598:$AB598,MATCH("Xero Invoiced Ex GST",$A$1:$AB$1,0)),"")),0)</f>
        <v/>
      </c>
      <c r="AE598" s="53">
        <f>IFERROR(INDEX($A598:$AB598,MATCH("Xero Invoice Date",$A$1:$AB$1,0)),"")</f>
        <v/>
      </c>
      <c r="AF598" s="54">
        <f>IF(AND(IFERROR(INDEX($A598:$AB598,MATCH("Xero Invoice No",$A$1:$AB$1,0)),"")&amp;""&lt;&gt;"",ISNUMBER(AE598),AD598&lt;&gt;0),1,0)</f>
        <v/>
      </c>
      <c r="AG598" s="55">
        <f>IF(AF598=1,EOMONTH(AE598,0),"")</f>
        <v/>
      </c>
      <c r="AH598" s="9">
        <f>IF(AF598=1,UPPER(TRIM(IFERROR(INDEX($A598:$AB598,MATCH("Client",$A$1:$AB$1,0)),"")&amp;"")),"")</f>
        <v/>
      </c>
      <c r="AI598" s="9">
        <f>IF(AF598=1,IFERROR(INDEX($A598:$AB598,MATCH("Cost Centre",$A$1:$AB$1,0)),"")&amp;"","")</f>
        <v/>
      </c>
      <c r="AJ598" s="54">
        <f>IF(AND(AF598=1,AE598&gt;=set_FYStart,AE598&lt;=set_AsAt),1,0)</f>
        <v/>
      </c>
      <c r="AK598" s="54">
        <f>IF(AND(AJ598=1,AH598&lt;&gt;"",COUNTIFS($AH$2:AH598,AH598,$AJ$2:AJ598,1)=1),N(AL597)+1,"")</f>
        <v/>
      </c>
      <c r="AL598" s="54">
        <f>IF(AK598&lt;&gt;"",AK598,N(AL597))</f>
        <v/>
      </c>
    </row>
    <row r="599">
      <c r="A599" t="inlineStr">
        <is>
          <t>ONS-0200</t>
        </is>
      </c>
      <c r="B599" t="inlineStr">
        <is>
          <t>Onsite</t>
        </is>
      </c>
      <c r="R599" t="inlineStr">
        <is>
          <t>GST 10%</t>
        </is>
      </c>
      <c r="AB599" t="n">
        <v>200</v>
      </c>
      <c r="AD599" s="52">
        <f>IFERROR(N(IFERROR(INDEX($A599:$AB599,MATCH("Xero Invoiced Ex GST",$A$1:$AB$1,0)),"")),0)</f>
        <v/>
      </c>
      <c r="AE599" s="53">
        <f>IFERROR(INDEX($A599:$AB599,MATCH("Xero Invoice Date",$A$1:$AB$1,0)),"")</f>
        <v/>
      </c>
      <c r="AF599" s="54">
        <f>IF(AND(IFERROR(INDEX($A599:$AB599,MATCH("Xero Invoice No",$A$1:$AB$1,0)),"")&amp;""&lt;&gt;"",ISNUMBER(AE599),AD599&lt;&gt;0),1,0)</f>
        <v/>
      </c>
      <c r="AG599" s="55">
        <f>IF(AF599=1,EOMONTH(AE599,0),"")</f>
        <v/>
      </c>
      <c r="AH599" s="9">
        <f>IF(AF599=1,UPPER(TRIM(IFERROR(INDEX($A599:$AB599,MATCH("Client",$A$1:$AB$1,0)),"")&amp;"")),"")</f>
        <v/>
      </c>
      <c r="AI599" s="9">
        <f>IF(AF599=1,IFERROR(INDEX($A599:$AB599,MATCH("Cost Centre",$A$1:$AB$1,0)),"")&amp;"","")</f>
        <v/>
      </c>
      <c r="AJ599" s="54">
        <f>IF(AND(AF599=1,AE599&gt;=set_FYStart,AE599&lt;=set_AsAt),1,0)</f>
        <v/>
      </c>
      <c r="AK599" s="54">
        <f>IF(AND(AJ599=1,AH599&lt;&gt;"",COUNTIFS($AH$2:AH599,AH599,$AJ$2:AJ599,1)=1),N(AL598)+1,"")</f>
        <v/>
      </c>
      <c r="AL599" s="54">
        <f>IF(AK599&lt;&gt;"",AK599,N(AL598))</f>
        <v/>
      </c>
    </row>
    <row r="600">
      <c r="A600" t="inlineStr">
        <is>
          <t>PRD-0200</t>
        </is>
      </c>
      <c r="B600" t="inlineStr">
        <is>
          <t>Production</t>
        </is>
      </c>
      <c r="AB600" t="n">
        <v>200</v>
      </c>
      <c r="AD600" s="52">
        <f>IFERROR(N(IFERROR(INDEX($A600:$AB600,MATCH("Xero Invoiced Ex GST",$A$1:$AB$1,0)),"")),0)</f>
        <v/>
      </c>
      <c r="AE600" s="53">
        <f>IFERROR(INDEX($A600:$AB600,MATCH("Xero Invoice Date",$A$1:$AB$1,0)),"")</f>
        <v/>
      </c>
      <c r="AF600" s="54">
        <f>IF(AND(IFERROR(INDEX($A600:$AB600,MATCH("Xero Invoice No",$A$1:$AB$1,0)),"")&amp;""&lt;&gt;"",ISNUMBER(AE600),AD600&lt;&gt;0),1,0)</f>
        <v/>
      </c>
      <c r="AG600" s="55">
        <f>IF(AF600=1,EOMONTH(AE600,0),"")</f>
        <v/>
      </c>
      <c r="AH600" s="9">
        <f>IF(AF600=1,UPPER(TRIM(IFERROR(INDEX($A600:$AB600,MATCH("Client",$A$1:$AB$1,0)),"")&amp;"")),"")</f>
        <v/>
      </c>
      <c r="AI600" s="9">
        <f>IF(AF600=1,IFERROR(INDEX($A600:$AB600,MATCH("Cost Centre",$A$1:$AB$1,0)),"")&amp;"","")</f>
        <v/>
      </c>
      <c r="AJ600" s="54">
        <f>IF(AND(AF600=1,AE600&gt;=set_FYStart,AE600&lt;=set_AsAt),1,0)</f>
        <v/>
      </c>
      <c r="AK600" s="54">
        <f>IF(AND(AJ600=1,AH600&lt;&gt;"",COUNTIFS($AH$2:AH600,AH600,$AJ$2:AJ600,1)=1),N(AL599)+1,"")</f>
        <v/>
      </c>
      <c r="AL600" s="54">
        <f>IF(AK600&lt;&gt;"",AK600,N(AL599))</f>
        <v/>
      </c>
    </row>
    <row r="601">
      <c r="A601" t="inlineStr">
        <is>
          <t>CON-0200</t>
        </is>
      </c>
      <c r="B601" t="inlineStr">
        <is>
          <t>Consulting</t>
        </is>
      </c>
      <c r="AB601" t="n">
        <v>200</v>
      </c>
      <c r="AD601" s="52">
        <f>IFERROR(N(IFERROR(INDEX($A601:$AB601,MATCH("Xero Invoiced Ex GST",$A$1:$AB$1,0)),"")),0)</f>
        <v/>
      </c>
      <c r="AE601" s="53">
        <f>IFERROR(INDEX($A601:$AB601,MATCH("Xero Invoice Date",$A$1:$AB$1,0)),"")</f>
        <v/>
      </c>
      <c r="AF601" s="54">
        <f>IF(AND(IFERROR(INDEX($A601:$AB601,MATCH("Xero Invoice No",$A$1:$AB$1,0)),"")&amp;""&lt;&gt;"",ISNUMBER(AE601),AD601&lt;&gt;0),1,0)</f>
        <v/>
      </c>
      <c r="AG601" s="55">
        <f>IF(AF601=1,EOMONTH(AE601,0),"")</f>
        <v/>
      </c>
      <c r="AH601" s="9">
        <f>IF(AF601=1,UPPER(TRIM(IFERROR(INDEX($A601:$AB601,MATCH("Client",$A$1:$AB$1,0)),"")&amp;"")),"")</f>
        <v/>
      </c>
      <c r="AI601" s="9">
        <f>IF(AF601=1,IFERROR(INDEX($A601:$AB601,MATCH("Cost Centre",$A$1:$AB$1,0)),"")&amp;"","")</f>
        <v/>
      </c>
      <c r="AJ601" s="54">
        <f>IF(AND(AF601=1,AE601&gt;=set_FYStart,AE601&lt;=set_AsAt),1,0)</f>
        <v/>
      </c>
      <c r="AK601" s="54">
        <f>IF(AND(AJ601=1,AH601&lt;&gt;"",COUNTIFS($AH$2:AH601,AH601,$AJ$2:AJ601,1)=1),N(AL600)+1,"")</f>
        <v/>
      </c>
      <c r="AL601" s="54">
        <f>IF(AK601&lt;&gt;"",AK601,N(AL600))</f>
        <v/>
      </c>
    </row>
    <row r="602">
      <c r="A602" t="inlineStr">
        <is>
          <t>ONS-0201</t>
        </is>
      </c>
      <c r="B602" t="inlineStr">
        <is>
          <t>Onsite</t>
        </is>
      </c>
      <c r="R602" t="inlineStr">
        <is>
          <t>GST 10%</t>
        </is>
      </c>
      <c r="AB602" t="n">
        <v>201</v>
      </c>
      <c r="AD602" s="52">
        <f>IFERROR(N(IFERROR(INDEX($A602:$AB602,MATCH("Xero Invoiced Ex GST",$A$1:$AB$1,0)),"")),0)</f>
        <v/>
      </c>
      <c r="AE602" s="53">
        <f>IFERROR(INDEX($A602:$AB602,MATCH("Xero Invoice Date",$A$1:$AB$1,0)),"")</f>
        <v/>
      </c>
      <c r="AF602" s="54">
        <f>IF(AND(IFERROR(INDEX($A602:$AB602,MATCH("Xero Invoice No",$A$1:$AB$1,0)),"")&amp;""&lt;&gt;"",ISNUMBER(AE602),AD602&lt;&gt;0),1,0)</f>
        <v/>
      </c>
      <c r="AG602" s="55">
        <f>IF(AF602=1,EOMONTH(AE602,0),"")</f>
        <v/>
      </c>
      <c r="AH602" s="9">
        <f>IF(AF602=1,UPPER(TRIM(IFERROR(INDEX($A602:$AB602,MATCH("Client",$A$1:$AB$1,0)),"")&amp;"")),"")</f>
        <v/>
      </c>
      <c r="AI602" s="9">
        <f>IF(AF602=1,IFERROR(INDEX($A602:$AB602,MATCH("Cost Centre",$A$1:$AB$1,0)),"")&amp;"","")</f>
        <v/>
      </c>
      <c r="AJ602" s="54">
        <f>IF(AND(AF602=1,AE602&gt;=set_FYStart,AE602&lt;=set_AsAt),1,0)</f>
        <v/>
      </c>
      <c r="AK602" s="54">
        <f>IF(AND(AJ602=1,AH602&lt;&gt;"",COUNTIFS($AH$2:AH602,AH602,$AJ$2:AJ602,1)=1),N(AL601)+1,"")</f>
        <v/>
      </c>
      <c r="AL602" s="54">
        <f>IF(AK602&lt;&gt;"",AK602,N(AL601))</f>
        <v/>
      </c>
    </row>
    <row r="603">
      <c r="A603" t="inlineStr">
        <is>
          <t>PRD-0201</t>
        </is>
      </c>
      <c r="B603" t="inlineStr">
        <is>
          <t>Production</t>
        </is>
      </c>
      <c r="AB603" t="n">
        <v>201</v>
      </c>
      <c r="AD603" s="52">
        <f>IFERROR(N(IFERROR(INDEX($A603:$AB603,MATCH("Xero Invoiced Ex GST",$A$1:$AB$1,0)),"")),0)</f>
        <v/>
      </c>
      <c r="AE603" s="53">
        <f>IFERROR(INDEX($A603:$AB603,MATCH("Xero Invoice Date",$A$1:$AB$1,0)),"")</f>
        <v/>
      </c>
      <c r="AF603" s="54">
        <f>IF(AND(IFERROR(INDEX($A603:$AB603,MATCH("Xero Invoice No",$A$1:$AB$1,0)),"")&amp;""&lt;&gt;"",ISNUMBER(AE603),AD603&lt;&gt;0),1,0)</f>
        <v/>
      </c>
      <c r="AG603" s="55">
        <f>IF(AF603=1,EOMONTH(AE603,0),"")</f>
        <v/>
      </c>
      <c r="AH603" s="9">
        <f>IF(AF603=1,UPPER(TRIM(IFERROR(INDEX($A603:$AB603,MATCH("Client",$A$1:$AB$1,0)),"")&amp;"")),"")</f>
        <v/>
      </c>
      <c r="AI603" s="9">
        <f>IF(AF603=1,IFERROR(INDEX($A603:$AB603,MATCH("Cost Centre",$A$1:$AB$1,0)),"")&amp;"","")</f>
        <v/>
      </c>
      <c r="AJ603" s="54">
        <f>IF(AND(AF603=1,AE603&gt;=set_FYStart,AE603&lt;=set_AsAt),1,0)</f>
        <v/>
      </c>
      <c r="AK603" s="54">
        <f>IF(AND(AJ603=1,AH603&lt;&gt;"",COUNTIFS($AH$2:AH603,AH603,$AJ$2:AJ603,1)=1),N(AL602)+1,"")</f>
        <v/>
      </c>
      <c r="AL603" s="54">
        <f>IF(AK603&lt;&gt;"",AK603,N(AL602))</f>
        <v/>
      </c>
    </row>
    <row r="604">
      <c r="A604" t="inlineStr">
        <is>
          <t>CON-0201</t>
        </is>
      </c>
      <c r="B604" t="inlineStr">
        <is>
          <t>Consulting</t>
        </is>
      </c>
      <c r="AB604" t="n">
        <v>201</v>
      </c>
      <c r="AD604" s="52">
        <f>IFERROR(N(IFERROR(INDEX($A604:$AB604,MATCH("Xero Invoiced Ex GST",$A$1:$AB$1,0)),"")),0)</f>
        <v/>
      </c>
      <c r="AE604" s="53">
        <f>IFERROR(INDEX($A604:$AB604,MATCH("Xero Invoice Date",$A$1:$AB$1,0)),"")</f>
        <v/>
      </c>
      <c r="AF604" s="54">
        <f>IF(AND(IFERROR(INDEX($A604:$AB604,MATCH("Xero Invoice No",$A$1:$AB$1,0)),"")&amp;""&lt;&gt;"",ISNUMBER(AE604),AD604&lt;&gt;0),1,0)</f>
        <v/>
      </c>
      <c r="AG604" s="55">
        <f>IF(AF604=1,EOMONTH(AE604,0),"")</f>
        <v/>
      </c>
      <c r="AH604" s="9">
        <f>IF(AF604=1,UPPER(TRIM(IFERROR(INDEX($A604:$AB604,MATCH("Client",$A$1:$AB$1,0)),"")&amp;"")),"")</f>
        <v/>
      </c>
      <c r="AI604" s="9">
        <f>IF(AF604=1,IFERROR(INDEX($A604:$AB604,MATCH("Cost Centre",$A$1:$AB$1,0)),"")&amp;"","")</f>
        <v/>
      </c>
      <c r="AJ604" s="54">
        <f>IF(AND(AF604=1,AE604&gt;=set_FYStart,AE604&lt;=set_AsAt),1,0)</f>
        <v/>
      </c>
      <c r="AK604" s="54">
        <f>IF(AND(AJ604=1,AH604&lt;&gt;"",COUNTIFS($AH$2:AH604,AH604,$AJ$2:AJ604,1)=1),N(AL603)+1,"")</f>
        <v/>
      </c>
      <c r="AL604" s="54">
        <f>IF(AK604&lt;&gt;"",AK604,N(AL603))</f>
        <v/>
      </c>
    </row>
    <row r="605">
      <c r="A605" t="inlineStr">
        <is>
          <t>ONS-0202</t>
        </is>
      </c>
      <c r="B605" t="inlineStr">
        <is>
          <t>Onsite</t>
        </is>
      </c>
      <c r="R605" t="inlineStr">
        <is>
          <t>GST 10%</t>
        </is>
      </c>
      <c r="AB605" t="n">
        <v>202</v>
      </c>
      <c r="AD605" s="52">
        <f>IFERROR(N(IFERROR(INDEX($A605:$AB605,MATCH("Xero Invoiced Ex GST",$A$1:$AB$1,0)),"")),0)</f>
        <v/>
      </c>
      <c r="AE605" s="53">
        <f>IFERROR(INDEX($A605:$AB605,MATCH("Xero Invoice Date",$A$1:$AB$1,0)),"")</f>
        <v/>
      </c>
      <c r="AF605" s="54">
        <f>IF(AND(IFERROR(INDEX($A605:$AB605,MATCH("Xero Invoice No",$A$1:$AB$1,0)),"")&amp;""&lt;&gt;"",ISNUMBER(AE605),AD605&lt;&gt;0),1,0)</f>
        <v/>
      </c>
      <c r="AG605" s="55">
        <f>IF(AF605=1,EOMONTH(AE605,0),"")</f>
        <v/>
      </c>
      <c r="AH605" s="9">
        <f>IF(AF605=1,UPPER(TRIM(IFERROR(INDEX($A605:$AB605,MATCH("Client",$A$1:$AB$1,0)),"")&amp;"")),"")</f>
        <v/>
      </c>
      <c r="AI605" s="9">
        <f>IF(AF605=1,IFERROR(INDEX($A605:$AB605,MATCH("Cost Centre",$A$1:$AB$1,0)),"")&amp;"","")</f>
        <v/>
      </c>
      <c r="AJ605" s="54">
        <f>IF(AND(AF605=1,AE605&gt;=set_FYStart,AE605&lt;=set_AsAt),1,0)</f>
        <v/>
      </c>
      <c r="AK605" s="54">
        <f>IF(AND(AJ605=1,AH605&lt;&gt;"",COUNTIFS($AH$2:AH605,AH605,$AJ$2:AJ605,1)=1),N(AL604)+1,"")</f>
        <v/>
      </c>
      <c r="AL605" s="54">
        <f>IF(AK605&lt;&gt;"",AK605,N(AL604))</f>
        <v/>
      </c>
    </row>
    <row r="606">
      <c r="A606" t="inlineStr">
        <is>
          <t>PRD-0202</t>
        </is>
      </c>
      <c r="B606" t="inlineStr">
        <is>
          <t>Production</t>
        </is>
      </c>
      <c r="AB606" t="n">
        <v>202</v>
      </c>
      <c r="AD606" s="52">
        <f>IFERROR(N(IFERROR(INDEX($A606:$AB606,MATCH("Xero Invoiced Ex GST",$A$1:$AB$1,0)),"")),0)</f>
        <v/>
      </c>
      <c r="AE606" s="53">
        <f>IFERROR(INDEX($A606:$AB606,MATCH("Xero Invoice Date",$A$1:$AB$1,0)),"")</f>
        <v/>
      </c>
      <c r="AF606" s="54">
        <f>IF(AND(IFERROR(INDEX($A606:$AB606,MATCH("Xero Invoice No",$A$1:$AB$1,0)),"")&amp;""&lt;&gt;"",ISNUMBER(AE606),AD606&lt;&gt;0),1,0)</f>
        <v/>
      </c>
      <c r="AG606" s="55">
        <f>IF(AF606=1,EOMONTH(AE606,0),"")</f>
        <v/>
      </c>
      <c r="AH606" s="9">
        <f>IF(AF606=1,UPPER(TRIM(IFERROR(INDEX($A606:$AB606,MATCH("Client",$A$1:$AB$1,0)),"")&amp;"")),"")</f>
        <v/>
      </c>
      <c r="AI606" s="9">
        <f>IF(AF606=1,IFERROR(INDEX($A606:$AB606,MATCH("Cost Centre",$A$1:$AB$1,0)),"")&amp;"","")</f>
        <v/>
      </c>
      <c r="AJ606" s="54">
        <f>IF(AND(AF606=1,AE606&gt;=set_FYStart,AE606&lt;=set_AsAt),1,0)</f>
        <v/>
      </c>
      <c r="AK606" s="54">
        <f>IF(AND(AJ606=1,AH606&lt;&gt;"",COUNTIFS($AH$2:AH606,AH606,$AJ$2:AJ606,1)=1),N(AL605)+1,"")</f>
        <v/>
      </c>
      <c r="AL606" s="54">
        <f>IF(AK606&lt;&gt;"",AK606,N(AL605))</f>
        <v/>
      </c>
    </row>
    <row r="607">
      <c r="A607" t="inlineStr">
        <is>
          <t>CON-0202</t>
        </is>
      </c>
      <c r="B607" t="inlineStr">
        <is>
          <t>Consulting</t>
        </is>
      </c>
      <c r="AB607" t="n">
        <v>202</v>
      </c>
      <c r="AD607" s="52">
        <f>IFERROR(N(IFERROR(INDEX($A607:$AB607,MATCH("Xero Invoiced Ex GST",$A$1:$AB$1,0)),"")),0)</f>
        <v/>
      </c>
      <c r="AE607" s="53">
        <f>IFERROR(INDEX($A607:$AB607,MATCH("Xero Invoice Date",$A$1:$AB$1,0)),"")</f>
        <v/>
      </c>
      <c r="AF607" s="54">
        <f>IF(AND(IFERROR(INDEX($A607:$AB607,MATCH("Xero Invoice No",$A$1:$AB$1,0)),"")&amp;""&lt;&gt;"",ISNUMBER(AE607),AD607&lt;&gt;0),1,0)</f>
        <v/>
      </c>
      <c r="AG607" s="55">
        <f>IF(AF607=1,EOMONTH(AE607,0),"")</f>
        <v/>
      </c>
      <c r="AH607" s="9">
        <f>IF(AF607=1,UPPER(TRIM(IFERROR(INDEX($A607:$AB607,MATCH("Client",$A$1:$AB$1,0)),"")&amp;"")),"")</f>
        <v/>
      </c>
      <c r="AI607" s="9">
        <f>IF(AF607=1,IFERROR(INDEX($A607:$AB607,MATCH("Cost Centre",$A$1:$AB$1,0)),"")&amp;"","")</f>
        <v/>
      </c>
      <c r="AJ607" s="54">
        <f>IF(AND(AF607=1,AE607&gt;=set_FYStart,AE607&lt;=set_AsAt),1,0)</f>
        <v/>
      </c>
      <c r="AK607" s="54">
        <f>IF(AND(AJ607=1,AH607&lt;&gt;"",COUNTIFS($AH$2:AH607,AH607,$AJ$2:AJ607,1)=1),N(AL606)+1,"")</f>
        <v/>
      </c>
      <c r="AL607" s="54">
        <f>IF(AK607&lt;&gt;"",AK607,N(AL606))</f>
        <v/>
      </c>
    </row>
    <row r="608">
      <c r="A608" t="inlineStr">
        <is>
          <t>ONS-0203</t>
        </is>
      </c>
      <c r="B608" t="inlineStr">
        <is>
          <t>Onsite</t>
        </is>
      </c>
      <c r="R608" t="inlineStr">
        <is>
          <t>GST 10%</t>
        </is>
      </c>
      <c r="AB608" t="n">
        <v>203</v>
      </c>
      <c r="AD608" s="52">
        <f>IFERROR(N(IFERROR(INDEX($A608:$AB608,MATCH("Xero Invoiced Ex GST",$A$1:$AB$1,0)),"")),0)</f>
        <v/>
      </c>
      <c r="AE608" s="53">
        <f>IFERROR(INDEX($A608:$AB608,MATCH("Xero Invoice Date",$A$1:$AB$1,0)),"")</f>
        <v/>
      </c>
      <c r="AF608" s="54">
        <f>IF(AND(IFERROR(INDEX($A608:$AB608,MATCH("Xero Invoice No",$A$1:$AB$1,0)),"")&amp;""&lt;&gt;"",ISNUMBER(AE608),AD608&lt;&gt;0),1,0)</f>
        <v/>
      </c>
      <c r="AG608" s="55">
        <f>IF(AF608=1,EOMONTH(AE608,0),"")</f>
        <v/>
      </c>
      <c r="AH608" s="9">
        <f>IF(AF608=1,UPPER(TRIM(IFERROR(INDEX($A608:$AB608,MATCH("Client",$A$1:$AB$1,0)),"")&amp;"")),"")</f>
        <v/>
      </c>
      <c r="AI608" s="9">
        <f>IF(AF608=1,IFERROR(INDEX($A608:$AB608,MATCH("Cost Centre",$A$1:$AB$1,0)),"")&amp;"","")</f>
        <v/>
      </c>
      <c r="AJ608" s="54">
        <f>IF(AND(AF608=1,AE608&gt;=set_FYStart,AE608&lt;=set_AsAt),1,0)</f>
        <v/>
      </c>
      <c r="AK608" s="54">
        <f>IF(AND(AJ608=1,AH608&lt;&gt;"",COUNTIFS($AH$2:AH608,AH608,$AJ$2:AJ608,1)=1),N(AL607)+1,"")</f>
        <v/>
      </c>
      <c r="AL608" s="54">
        <f>IF(AK608&lt;&gt;"",AK608,N(AL607))</f>
        <v/>
      </c>
    </row>
    <row r="609">
      <c r="A609" t="inlineStr">
        <is>
          <t>PRD-0203</t>
        </is>
      </c>
      <c r="B609" t="inlineStr">
        <is>
          <t>Production</t>
        </is>
      </c>
      <c r="AB609" t="n">
        <v>203</v>
      </c>
      <c r="AD609" s="52">
        <f>IFERROR(N(IFERROR(INDEX($A609:$AB609,MATCH("Xero Invoiced Ex GST",$A$1:$AB$1,0)),"")),0)</f>
        <v/>
      </c>
      <c r="AE609" s="53">
        <f>IFERROR(INDEX($A609:$AB609,MATCH("Xero Invoice Date",$A$1:$AB$1,0)),"")</f>
        <v/>
      </c>
      <c r="AF609" s="54">
        <f>IF(AND(IFERROR(INDEX($A609:$AB609,MATCH("Xero Invoice No",$A$1:$AB$1,0)),"")&amp;""&lt;&gt;"",ISNUMBER(AE609),AD609&lt;&gt;0),1,0)</f>
        <v/>
      </c>
      <c r="AG609" s="55">
        <f>IF(AF609=1,EOMONTH(AE609,0),"")</f>
        <v/>
      </c>
      <c r="AH609" s="9">
        <f>IF(AF609=1,UPPER(TRIM(IFERROR(INDEX($A609:$AB609,MATCH("Client",$A$1:$AB$1,0)),"")&amp;"")),"")</f>
        <v/>
      </c>
      <c r="AI609" s="9">
        <f>IF(AF609=1,IFERROR(INDEX($A609:$AB609,MATCH("Cost Centre",$A$1:$AB$1,0)),"")&amp;"","")</f>
        <v/>
      </c>
      <c r="AJ609" s="54">
        <f>IF(AND(AF609=1,AE609&gt;=set_FYStart,AE609&lt;=set_AsAt),1,0)</f>
        <v/>
      </c>
      <c r="AK609" s="54">
        <f>IF(AND(AJ609=1,AH609&lt;&gt;"",COUNTIFS($AH$2:AH609,AH609,$AJ$2:AJ609,1)=1),N(AL608)+1,"")</f>
        <v/>
      </c>
      <c r="AL609" s="54">
        <f>IF(AK609&lt;&gt;"",AK609,N(AL608))</f>
        <v/>
      </c>
    </row>
    <row r="610">
      <c r="A610" t="inlineStr">
        <is>
          <t>CON-0203</t>
        </is>
      </c>
      <c r="B610" t="inlineStr">
        <is>
          <t>Consulting</t>
        </is>
      </c>
      <c r="AB610" t="n">
        <v>203</v>
      </c>
      <c r="AD610" s="52">
        <f>IFERROR(N(IFERROR(INDEX($A610:$AB610,MATCH("Xero Invoiced Ex GST",$A$1:$AB$1,0)),"")),0)</f>
        <v/>
      </c>
      <c r="AE610" s="53">
        <f>IFERROR(INDEX($A610:$AB610,MATCH("Xero Invoice Date",$A$1:$AB$1,0)),"")</f>
        <v/>
      </c>
      <c r="AF610" s="54">
        <f>IF(AND(IFERROR(INDEX($A610:$AB610,MATCH("Xero Invoice No",$A$1:$AB$1,0)),"")&amp;""&lt;&gt;"",ISNUMBER(AE610),AD610&lt;&gt;0),1,0)</f>
        <v/>
      </c>
      <c r="AG610" s="55">
        <f>IF(AF610=1,EOMONTH(AE610,0),"")</f>
        <v/>
      </c>
      <c r="AH610" s="9">
        <f>IF(AF610=1,UPPER(TRIM(IFERROR(INDEX($A610:$AB610,MATCH("Client",$A$1:$AB$1,0)),"")&amp;"")),"")</f>
        <v/>
      </c>
      <c r="AI610" s="9">
        <f>IF(AF610=1,IFERROR(INDEX($A610:$AB610,MATCH("Cost Centre",$A$1:$AB$1,0)),"")&amp;"","")</f>
        <v/>
      </c>
      <c r="AJ610" s="54">
        <f>IF(AND(AF610=1,AE610&gt;=set_FYStart,AE610&lt;=set_AsAt),1,0)</f>
        <v/>
      </c>
      <c r="AK610" s="54">
        <f>IF(AND(AJ610=1,AH610&lt;&gt;"",COUNTIFS($AH$2:AH610,AH610,$AJ$2:AJ610,1)=1),N(AL609)+1,"")</f>
        <v/>
      </c>
      <c r="AL610" s="54">
        <f>IF(AK610&lt;&gt;"",AK610,N(AL609))</f>
        <v/>
      </c>
    </row>
    <row r="611">
      <c r="A611" t="inlineStr">
        <is>
          <t>ONS-0204</t>
        </is>
      </c>
      <c r="B611" t="inlineStr">
        <is>
          <t>Onsite</t>
        </is>
      </c>
      <c r="R611" t="inlineStr">
        <is>
          <t>GST 10%</t>
        </is>
      </c>
      <c r="AB611" t="n">
        <v>204</v>
      </c>
      <c r="AD611" s="52">
        <f>IFERROR(N(IFERROR(INDEX($A611:$AB611,MATCH("Xero Invoiced Ex GST",$A$1:$AB$1,0)),"")),0)</f>
        <v/>
      </c>
      <c r="AE611" s="53">
        <f>IFERROR(INDEX($A611:$AB611,MATCH("Xero Invoice Date",$A$1:$AB$1,0)),"")</f>
        <v/>
      </c>
      <c r="AF611" s="54">
        <f>IF(AND(IFERROR(INDEX($A611:$AB611,MATCH("Xero Invoice No",$A$1:$AB$1,0)),"")&amp;""&lt;&gt;"",ISNUMBER(AE611),AD611&lt;&gt;0),1,0)</f>
        <v/>
      </c>
      <c r="AG611" s="55">
        <f>IF(AF611=1,EOMONTH(AE611,0),"")</f>
        <v/>
      </c>
      <c r="AH611" s="9">
        <f>IF(AF611=1,UPPER(TRIM(IFERROR(INDEX($A611:$AB611,MATCH("Client",$A$1:$AB$1,0)),"")&amp;"")),"")</f>
        <v/>
      </c>
      <c r="AI611" s="9">
        <f>IF(AF611=1,IFERROR(INDEX($A611:$AB611,MATCH("Cost Centre",$A$1:$AB$1,0)),"")&amp;"","")</f>
        <v/>
      </c>
      <c r="AJ611" s="54">
        <f>IF(AND(AF611=1,AE611&gt;=set_FYStart,AE611&lt;=set_AsAt),1,0)</f>
        <v/>
      </c>
      <c r="AK611" s="54">
        <f>IF(AND(AJ611=1,AH611&lt;&gt;"",COUNTIFS($AH$2:AH611,AH611,$AJ$2:AJ611,1)=1),N(AL610)+1,"")</f>
        <v/>
      </c>
      <c r="AL611" s="54">
        <f>IF(AK611&lt;&gt;"",AK611,N(AL610))</f>
        <v/>
      </c>
    </row>
    <row r="612">
      <c r="A612" t="inlineStr">
        <is>
          <t>PRD-0204</t>
        </is>
      </c>
      <c r="B612" t="inlineStr">
        <is>
          <t>Production</t>
        </is>
      </c>
      <c r="AB612" t="n">
        <v>204</v>
      </c>
      <c r="AD612" s="52">
        <f>IFERROR(N(IFERROR(INDEX($A612:$AB612,MATCH("Xero Invoiced Ex GST",$A$1:$AB$1,0)),"")),0)</f>
        <v/>
      </c>
      <c r="AE612" s="53">
        <f>IFERROR(INDEX($A612:$AB612,MATCH("Xero Invoice Date",$A$1:$AB$1,0)),"")</f>
        <v/>
      </c>
      <c r="AF612" s="54">
        <f>IF(AND(IFERROR(INDEX($A612:$AB612,MATCH("Xero Invoice No",$A$1:$AB$1,0)),"")&amp;""&lt;&gt;"",ISNUMBER(AE612),AD612&lt;&gt;0),1,0)</f>
        <v/>
      </c>
      <c r="AG612" s="55">
        <f>IF(AF612=1,EOMONTH(AE612,0),"")</f>
        <v/>
      </c>
      <c r="AH612" s="9">
        <f>IF(AF612=1,UPPER(TRIM(IFERROR(INDEX($A612:$AB612,MATCH("Client",$A$1:$AB$1,0)),"")&amp;"")),"")</f>
        <v/>
      </c>
      <c r="AI612" s="9">
        <f>IF(AF612=1,IFERROR(INDEX($A612:$AB612,MATCH("Cost Centre",$A$1:$AB$1,0)),"")&amp;"","")</f>
        <v/>
      </c>
      <c r="AJ612" s="54">
        <f>IF(AND(AF612=1,AE612&gt;=set_FYStart,AE612&lt;=set_AsAt),1,0)</f>
        <v/>
      </c>
      <c r="AK612" s="54">
        <f>IF(AND(AJ612=1,AH612&lt;&gt;"",COUNTIFS($AH$2:AH612,AH612,$AJ$2:AJ612,1)=1),N(AL611)+1,"")</f>
        <v/>
      </c>
      <c r="AL612" s="54">
        <f>IF(AK612&lt;&gt;"",AK612,N(AL611))</f>
        <v/>
      </c>
    </row>
    <row r="613">
      <c r="A613" t="inlineStr">
        <is>
          <t>CON-0204</t>
        </is>
      </c>
      <c r="B613" t="inlineStr">
        <is>
          <t>Consulting</t>
        </is>
      </c>
      <c r="AB613" t="n">
        <v>204</v>
      </c>
      <c r="AD613" s="52">
        <f>IFERROR(N(IFERROR(INDEX($A613:$AB613,MATCH("Xero Invoiced Ex GST",$A$1:$AB$1,0)),"")),0)</f>
        <v/>
      </c>
      <c r="AE613" s="53">
        <f>IFERROR(INDEX($A613:$AB613,MATCH("Xero Invoice Date",$A$1:$AB$1,0)),"")</f>
        <v/>
      </c>
      <c r="AF613" s="54">
        <f>IF(AND(IFERROR(INDEX($A613:$AB613,MATCH("Xero Invoice No",$A$1:$AB$1,0)),"")&amp;""&lt;&gt;"",ISNUMBER(AE613),AD613&lt;&gt;0),1,0)</f>
        <v/>
      </c>
      <c r="AG613" s="55">
        <f>IF(AF613=1,EOMONTH(AE613,0),"")</f>
        <v/>
      </c>
      <c r="AH613" s="9">
        <f>IF(AF613=1,UPPER(TRIM(IFERROR(INDEX($A613:$AB613,MATCH("Client",$A$1:$AB$1,0)),"")&amp;"")),"")</f>
        <v/>
      </c>
      <c r="AI613" s="9">
        <f>IF(AF613=1,IFERROR(INDEX($A613:$AB613,MATCH("Cost Centre",$A$1:$AB$1,0)),"")&amp;"","")</f>
        <v/>
      </c>
      <c r="AJ613" s="54">
        <f>IF(AND(AF613=1,AE613&gt;=set_FYStart,AE613&lt;=set_AsAt),1,0)</f>
        <v/>
      </c>
      <c r="AK613" s="54">
        <f>IF(AND(AJ613=1,AH613&lt;&gt;"",COUNTIFS($AH$2:AH613,AH613,$AJ$2:AJ613,1)=1),N(AL612)+1,"")</f>
        <v/>
      </c>
      <c r="AL613" s="54">
        <f>IF(AK613&lt;&gt;"",AK613,N(AL612))</f>
        <v/>
      </c>
    </row>
    <row r="614">
      <c r="A614" t="inlineStr">
        <is>
          <t>ONS-0205</t>
        </is>
      </c>
      <c r="B614" t="inlineStr">
        <is>
          <t>Onsite</t>
        </is>
      </c>
      <c r="R614" t="inlineStr">
        <is>
          <t>GST 10%</t>
        </is>
      </c>
      <c r="AB614" t="n">
        <v>205</v>
      </c>
      <c r="AD614" s="52">
        <f>IFERROR(N(IFERROR(INDEX($A614:$AB614,MATCH("Xero Invoiced Ex GST",$A$1:$AB$1,0)),"")),0)</f>
        <v/>
      </c>
      <c r="AE614" s="53">
        <f>IFERROR(INDEX($A614:$AB614,MATCH("Xero Invoice Date",$A$1:$AB$1,0)),"")</f>
        <v/>
      </c>
      <c r="AF614" s="54">
        <f>IF(AND(IFERROR(INDEX($A614:$AB614,MATCH("Xero Invoice No",$A$1:$AB$1,0)),"")&amp;""&lt;&gt;"",ISNUMBER(AE614),AD614&lt;&gt;0),1,0)</f>
        <v/>
      </c>
      <c r="AG614" s="55">
        <f>IF(AF614=1,EOMONTH(AE614,0),"")</f>
        <v/>
      </c>
      <c r="AH614" s="9">
        <f>IF(AF614=1,UPPER(TRIM(IFERROR(INDEX($A614:$AB614,MATCH("Client",$A$1:$AB$1,0)),"")&amp;"")),"")</f>
        <v/>
      </c>
      <c r="AI614" s="9">
        <f>IF(AF614=1,IFERROR(INDEX($A614:$AB614,MATCH("Cost Centre",$A$1:$AB$1,0)),"")&amp;"","")</f>
        <v/>
      </c>
      <c r="AJ614" s="54">
        <f>IF(AND(AF614=1,AE614&gt;=set_FYStart,AE614&lt;=set_AsAt),1,0)</f>
        <v/>
      </c>
      <c r="AK614" s="54">
        <f>IF(AND(AJ614=1,AH614&lt;&gt;"",COUNTIFS($AH$2:AH614,AH614,$AJ$2:AJ614,1)=1),N(AL613)+1,"")</f>
        <v/>
      </c>
      <c r="AL614" s="54">
        <f>IF(AK614&lt;&gt;"",AK614,N(AL613))</f>
        <v/>
      </c>
    </row>
    <row r="615">
      <c r="A615" t="inlineStr">
        <is>
          <t>PRD-0205</t>
        </is>
      </c>
      <c r="B615" t="inlineStr">
        <is>
          <t>Production</t>
        </is>
      </c>
      <c r="AB615" t="n">
        <v>205</v>
      </c>
      <c r="AD615" s="52">
        <f>IFERROR(N(IFERROR(INDEX($A615:$AB615,MATCH("Xero Invoiced Ex GST",$A$1:$AB$1,0)),"")),0)</f>
        <v/>
      </c>
      <c r="AE615" s="53">
        <f>IFERROR(INDEX($A615:$AB615,MATCH("Xero Invoice Date",$A$1:$AB$1,0)),"")</f>
        <v/>
      </c>
      <c r="AF615" s="54">
        <f>IF(AND(IFERROR(INDEX($A615:$AB615,MATCH("Xero Invoice No",$A$1:$AB$1,0)),"")&amp;""&lt;&gt;"",ISNUMBER(AE615),AD615&lt;&gt;0),1,0)</f>
        <v/>
      </c>
      <c r="AG615" s="55">
        <f>IF(AF615=1,EOMONTH(AE615,0),"")</f>
        <v/>
      </c>
      <c r="AH615" s="9">
        <f>IF(AF615=1,UPPER(TRIM(IFERROR(INDEX($A615:$AB615,MATCH("Client",$A$1:$AB$1,0)),"")&amp;"")),"")</f>
        <v/>
      </c>
      <c r="AI615" s="9">
        <f>IF(AF615=1,IFERROR(INDEX($A615:$AB615,MATCH("Cost Centre",$A$1:$AB$1,0)),"")&amp;"","")</f>
        <v/>
      </c>
      <c r="AJ615" s="54">
        <f>IF(AND(AF615=1,AE615&gt;=set_FYStart,AE615&lt;=set_AsAt),1,0)</f>
        <v/>
      </c>
      <c r="AK615" s="54">
        <f>IF(AND(AJ615=1,AH615&lt;&gt;"",COUNTIFS($AH$2:AH615,AH615,$AJ$2:AJ615,1)=1),N(AL614)+1,"")</f>
        <v/>
      </c>
      <c r="AL615" s="54">
        <f>IF(AK615&lt;&gt;"",AK615,N(AL614))</f>
        <v/>
      </c>
    </row>
    <row r="616">
      <c r="A616" t="inlineStr">
        <is>
          <t>CON-0205</t>
        </is>
      </c>
      <c r="B616" t="inlineStr">
        <is>
          <t>Consulting</t>
        </is>
      </c>
      <c r="AB616" t="n">
        <v>205</v>
      </c>
      <c r="AD616" s="52">
        <f>IFERROR(N(IFERROR(INDEX($A616:$AB616,MATCH("Xero Invoiced Ex GST",$A$1:$AB$1,0)),"")),0)</f>
        <v/>
      </c>
      <c r="AE616" s="53">
        <f>IFERROR(INDEX($A616:$AB616,MATCH("Xero Invoice Date",$A$1:$AB$1,0)),"")</f>
        <v/>
      </c>
      <c r="AF616" s="54">
        <f>IF(AND(IFERROR(INDEX($A616:$AB616,MATCH("Xero Invoice No",$A$1:$AB$1,0)),"")&amp;""&lt;&gt;"",ISNUMBER(AE616),AD616&lt;&gt;0),1,0)</f>
        <v/>
      </c>
      <c r="AG616" s="55">
        <f>IF(AF616=1,EOMONTH(AE616,0),"")</f>
        <v/>
      </c>
      <c r="AH616" s="9">
        <f>IF(AF616=1,UPPER(TRIM(IFERROR(INDEX($A616:$AB616,MATCH("Client",$A$1:$AB$1,0)),"")&amp;"")),"")</f>
        <v/>
      </c>
      <c r="AI616" s="9">
        <f>IF(AF616=1,IFERROR(INDEX($A616:$AB616,MATCH("Cost Centre",$A$1:$AB$1,0)),"")&amp;"","")</f>
        <v/>
      </c>
      <c r="AJ616" s="54">
        <f>IF(AND(AF616=1,AE616&gt;=set_FYStart,AE616&lt;=set_AsAt),1,0)</f>
        <v/>
      </c>
      <c r="AK616" s="54">
        <f>IF(AND(AJ616=1,AH616&lt;&gt;"",COUNTIFS($AH$2:AH616,AH616,$AJ$2:AJ616,1)=1),N(AL615)+1,"")</f>
        <v/>
      </c>
      <c r="AL616" s="54">
        <f>IF(AK616&lt;&gt;"",AK616,N(AL615))</f>
        <v/>
      </c>
    </row>
    <row r="617">
      <c r="A617" t="inlineStr">
        <is>
          <t>ONS-0206</t>
        </is>
      </c>
      <c r="B617" t="inlineStr">
        <is>
          <t>Onsite</t>
        </is>
      </c>
      <c r="R617" t="inlineStr">
        <is>
          <t>GST 10%</t>
        </is>
      </c>
      <c r="AB617" t="n">
        <v>206</v>
      </c>
      <c r="AD617" s="52">
        <f>IFERROR(N(IFERROR(INDEX($A617:$AB617,MATCH("Xero Invoiced Ex GST",$A$1:$AB$1,0)),"")),0)</f>
        <v/>
      </c>
      <c r="AE617" s="53">
        <f>IFERROR(INDEX($A617:$AB617,MATCH("Xero Invoice Date",$A$1:$AB$1,0)),"")</f>
        <v/>
      </c>
      <c r="AF617" s="54">
        <f>IF(AND(IFERROR(INDEX($A617:$AB617,MATCH("Xero Invoice No",$A$1:$AB$1,0)),"")&amp;""&lt;&gt;"",ISNUMBER(AE617),AD617&lt;&gt;0),1,0)</f>
        <v/>
      </c>
      <c r="AG617" s="55">
        <f>IF(AF617=1,EOMONTH(AE617,0),"")</f>
        <v/>
      </c>
      <c r="AH617" s="9">
        <f>IF(AF617=1,UPPER(TRIM(IFERROR(INDEX($A617:$AB617,MATCH("Client",$A$1:$AB$1,0)),"")&amp;"")),"")</f>
        <v/>
      </c>
      <c r="AI617" s="9">
        <f>IF(AF617=1,IFERROR(INDEX($A617:$AB617,MATCH("Cost Centre",$A$1:$AB$1,0)),"")&amp;"","")</f>
        <v/>
      </c>
      <c r="AJ617" s="54">
        <f>IF(AND(AF617=1,AE617&gt;=set_FYStart,AE617&lt;=set_AsAt),1,0)</f>
        <v/>
      </c>
      <c r="AK617" s="54">
        <f>IF(AND(AJ617=1,AH617&lt;&gt;"",COUNTIFS($AH$2:AH617,AH617,$AJ$2:AJ617,1)=1),N(AL616)+1,"")</f>
        <v/>
      </c>
      <c r="AL617" s="54">
        <f>IF(AK617&lt;&gt;"",AK617,N(AL616))</f>
        <v/>
      </c>
    </row>
    <row r="618">
      <c r="A618" t="inlineStr">
        <is>
          <t>PRD-0206</t>
        </is>
      </c>
      <c r="B618" t="inlineStr">
        <is>
          <t>Production</t>
        </is>
      </c>
      <c r="AB618" t="n">
        <v>206</v>
      </c>
      <c r="AD618" s="52">
        <f>IFERROR(N(IFERROR(INDEX($A618:$AB618,MATCH("Xero Invoiced Ex GST",$A$1:$AB$1,0)),"")),0)</f>
        <v/>
      </c>
      <c r="AE618" s="53">
        <f>IFERROR(INDEX($A618:$AB618,MATCH("Xero Invoice Date",$A$1:$AB$1,0)),"")</f>
        <v/>
      </c>
      <c r="AF618" s="54">
        <f>IF(AND(IFERROR(INDEX($A618:$AB618,MATCH("Xero Invoice No",$A$1:$AB$1,0)),"")&amp;""&lt;&gt;"",ISNUMBER(AE618),AD618&lt;&gt;0),1,0)</f>
        <v/>
      </c>
      <c r="AG618" s="55">
        <f>IF(AF618=1,EOMONTH(AE618,0),"")</f>
        <v/>
      </c>
      <c r="AH618" s="9">
        <f>IF(AF618=1,UPPER(TRIM(IFERROR(INDEX($A618:$AB618,MATCH("Client",$A$1:$AB$1,0)),"")&amp;"")),"")</f>
        <v/>
      </c>
      <c r="AI618" s="9">
        <f>IF(AF618=1,IFERROR(INDEX($A618:$AB618,MATCH("Cost Centre",$A$1:$AB$1,0)),"")&amp;"","")</f>
        <v/>
      </c>
      <c r="AJ618" s="54">
        <f>IF(AND(AF618=1,AE618&gt;=set_FYStart,AE618&lt;=set_AsAt),1,0)</f>
        <v/>
      </c>
      <c r="AK618" s="54">
        <f>IF(AND(AJ618=1,AH618&lt;&gt;"",COUNTIFS($AH$2:AH618,AH618,$AJ$2:AJ618,1)=1),N(AL617)+1,"")</f>
        <v/>
      </c>
      <c r="AL618" s="54">
        <f>IF(AK618&lt;&gt;"",AK618,N(AL617))</f>
        <v/>
      </c>
    </row>
    <row r="619">
      <c r="A619" t="inlineStr">
        <is>
          <t>CON-0206</t>
        </is>
      </c>
      <c r="B619" t="inlineStr">
        <is>
          <t>Consulting</t>
        </is>
      </c>
      <c r="AB619" t="n">
        <v>206</v>
      </c>
      <c r="AD619" s="52">
        <f>IFERROR(N(IFERROR(INDEX($A619:$AB619,MATCH("Xero Invoiced Ex GST",$A$1:$AB$1,0)),"")),0)</f>
        <v/>
      </c>
      <c r="AE619" s="53">
        <f>IFERROR(INDEX($A619:$AB619,MATCH("Xero Invoice Date",$A$1:$AB$1,0)),"")</f>
        <v/>
      </c>
      <c r="AF619" s="54">
        <f>IF(AND(IFERROR(INDEX($A619:$AB619,MATCH("Xero Invoice No",$A$1:$AB$1,0)),"")&amp;""&lt;&gt;"",ISNUMBER(AE619),AD619&lt;&gt;0),1,0)</f>
        <v/>
      </c>
      <c r="AG619" s="55">
        <f>IF(AF619=1,EOMONTH(AE619,0),"")</f>
        <v/>
      </c>
      <c r="AH619" s="9">
        <f>IF(AF619=1,UPPER(TRIM(IFERROR(INDEX($A619:$AB619,MATCH("Client",$A$1:$AB$1,0)),"")&amp;"")),"")</f>
        <v/>
      </c>
      <c r="AI619" s="9">
        <f>IF(AF619=1,IFERROR(INDEX($A619:$AB619,MATCH("Cost Centre",$A$1:$AB$1,0)),"")&amp;"","")</f>
        <v/>
      </c>
      <c r="AJ619" s="54">
        <f>IF(AND(AF619=1,AE619&gt;=set_FYStart,AE619&lt;=set_AsAt),1,0)</f>
        <v/>
      </c>
      <c r="AK619" s="54">
        <f>IF(AND(AJ619=1,AH619&lt;&gt;"",COUNTIFS($AH$2:AH619,AH619,$AJ$2:AJ619,1)=1),N(AL618)+1,"")</f>
        <v/>
      </c>
      <c r="AL619" s="54">
        <f>IF(AK619&lt;&gt;"",AK619,N(AL618))</f>
        <v/>
      </c>
    </row>
    <row r="620">
      <c r="A620" t="inlineStr">
        <is>
          <t>ONS-0207</t>
        </is>
      </c>
      <c r="B620" t="inlineStr">
        <is>
          <t>Onsite</t>
        </is>
      </c>
      <c r="R620" t="inlineStr">
        <is>
          <t>GST 10%</t>
        </is>
      </c>
      <c r="AB620" t="n">
        <v>207</v>
      </c>
      <c r="AD620" s="52">
        <f>IFERROR(N(IFERROR(INDEX($A620:$AB620,MATCH("Xero Invoiced Ex GST",$A$1:$AB$1,0)),"")),0)</f>
        <v/>
      </c>
      <c r="AE620" s="53">
        <f>IFERROR(INDEX($A620:$AB620,MATCH("Xero Invoice Date",$A$1:$AB$1,0)),"")</f>
        <v/>
      </c>
      <c r="AF620" s="54">
        <f>IF(AND(IFERROR(INDEX($A620:$AB620,MATCH("Xero Invoice No",$A$1:$AB$1,0)),"")&amp;""&lt;&gt;"",ISNUMBER(AE620),AD620&lt;&gt;0),1,0)</f>
        <v/>
      </c>
      <c r="AG620" s="55">
        <f>IF(AF620=1,EOMONTH(AE620,0),"")</f>
        <v/>
      </c>
      <c r="AH620" s="9">
        <f>IF(AF620=1,UPPER(TRIM(IFERROR(INDEX($A620:$AB620,MATCH("Client",$A$1:$AB$1,0)),"")&amp;"")),"")</f>
        <v/>
      </c>
      <c r="AI620" s="9">
        <f>IF(AF620=1,IFERROR(INDEX($A620:$AB620,MATCH("Cost Centre",$A$1:$AB$1,0)),"")&amp;"","")</f>
        <v/>
      </c>
      <c r="AJ620" s="54">
        <f>IF(AND(AF620=1,AE620&gt;=set_FYStart,AE620&lt;=set_AsAt),1,0)</f>
        <v/>
      </c>
      <c r="AK620" s="54">
        <f>IF(AND(AJ620=1,AH620&lt;&gt;"",COUNTIFS($AH$2:AH620,AH620,$AJ$2:AJ620,1)=1),N(AL619)+1,"")</f>
        <v/>
      </c>
      <c r="AL620" s="54">
        <f>IF(AK620&lt;&gt;"",AK620,N(AL619))</f>
        <v/>
      </c>
    </row>
    <row r="621">
      <c r="A621" t="inlineStr">
        <is>
          <t>PRD-0207</t>
        </is>
      </c>
      <c r="B621" t="inlineStr">
        <is>
          <t>Production</t>
        </is>
      </c>
      <c r="AB621" t="n">
        <v>207</v>
      </c>
      <c r="AD621" s="52">
        <f>IFERROR(N(IFERROR(INDEX($A621:$AB621,MATCH("Xero Invoiced Ex GST",$A$1:$AB$1,0)),"")),0)</f>
        <v/>
      </c>
      <c r="AE621" s="53">
        <f>IFERROR(INDEX($A621:$AB621,MATCH("Xero Invoice Date",$A$1:$AB$1,0)),"")</f>
        <v/>
      </c>
      <c r="AF621" s="54">
        <f>IF(AND(IFERROR(INDEX($A621:$AB621,MATCH("Xero Invoice No",$A$1:$AB$1,0)),"")&amp;""&lt;&gt;"",ISNUMBER(AE621),AD621&lt;&gt;0),1,0)</f>
        <v/>
      </c>
      <c r="AG621" s="55">
        <f>IF(AF621=1,EOMONTH(AE621,0),"")</f>
        <v/>
      </c>
      <c r="AH621" s="9">
        <f>IF(AF621=1,UPPER(TRIM(IFERROR(INDEX($A621:$AB621,MATCH("Client",$A$1:$AB$1,0)),"")&amp;"")),"")</f>
        <v/>
      </c>
      <c r="AI621" s="9">
        <f>IF(AF621=1,IFERROR(INDEX($A621:$AB621,MATCH("Cost Centre",$A$1:$AB$1,0)),"")&amp;"","")</f>
        <v/>
      </c>
      <c r="AJ621" s="54">
        <f>IF(AND(AF621=1,AE621&gt;=set_FYStart,AE621&lt;=set_AsAt),1,0)</f>
        <v/>
      </c>
      <c r="AK621" s="54">
        <f>IF(AND(AJ621=1,AH621&lt;&gt;"",COUNTIFS($AH$2:AH621,AH621,$AJ$2:AJ621,1)=1),N(AL620)+1,"")</f>
        <v/>
      </c>
      <c r="AL621" s="54">
        <f>IF(AK621&lt;&gt;"",AK621,N(AL620))</f>
        <v/>
      </c>
    </row>
    <row r="622">
      <c r="A622" t="inlineStr">
        <is>
          <t>CON-0207</t>
        </is>
      </c>
      <c r="B622" t="inlineStr">
        <is>
          <t>Consulting</t>
        </is>
      </c>
      <c r="AB622" t="n">
        <v>207</v>
      </c>
      <c r="AD622" s="52">
        <f>IFERROR(N(IFERROR(INDEX($A622:$AB622,MATCH("Xero Invoiced Ex GST",$A$1:$AB$1,0)),"")),0)</f>
        <v/>
      </c>
      <c r="AE622" s="53">
        <f>IFERROR(INDEX($A622:$AB622,MATCH("Xero Invoice Date",$A$1:$AB$1,0)),"")</f>
        <v/>
      </c>
      <c r="AF622" s="54">
        <f>IF(AND(IFERROR(INDEX($A622:$AB622,MATCH("Xero Invoice No",$A$1:$AB$1,0)),"")&amp;""&lt;&gt;"",ISNUMBER(AE622),AD622&lt;&gt;0),1,0)</f>
        <v/>
      </c>
      <c r="AG622" s="55">
        <f>IF(AF622=1,EOMONTH(AE622,0),"")</f>
        <v/>
      </c>
      <c r="AH622" s="9">
        <f>IF(AF622=1,UPPER(TRIM(IFERROR(INDEX($A622:$AB622,MATCH("Client",$A$1:$AB$1,0)),"")&amp;"")),"")</f>
        <v/>
      </c>
      <c r="AI622" s="9">
        <f>IF(AF622=1,IFERROR(INDEX($A622:$AB622,MATCH("Cost Centre",$A$1:$AB$1,0)),"")&amp;"","")</f>
        <v/>
      </c>
      <c r="AJ622" s="54">
        <f>IF(AND(AF622=1,AE622&gt;=set_FYStart,AE622&lt;=set_AsAt),1,0)</f>
        <v/>
      </c>
      <c r="AK622" s="54">
        <f>IF(AND(AJ622=1,AH622&lt;&gt;"",COUNTIFS($AH$2:AH622,AH622,$AJ$2:AJ622,1)=1),N(AL621)+1,"")</f>
        <v/>
      </c>
      <c r="AL622" s="54">
        <f>IF(AK622&lt;&gt;"",AK622,N(AL621))</f>
        <v/>
      </c>
    </row>
    <row r="623">
      <c r="A623" t="inlineStr">
        <is>
          <t>ONS-0208</t>
        </is>
      </c>
      <c r="B623" t="inlineStr">
        <is>
          <t>Onsite</t>
        </is>
      </c>
      <c r="R623" t="inlineStr">
        <is>
          <t>GST 10%</t>
        </is>
      </c>
      <c r="AB623" t="n">
        <v>208</v>
      </c>
      <c r="AD623" s="52">
        <f>IFERROR(N(IFERROR(INDEX($A623:$AB623,MATCH("Xero Invoiced Ex GST",$A$1:$AB$1,0)),"")),0)</f>
        <v/>
      </c>
      <c r="AE623" s="53">
        <f>IFERROR(INDEX($A623:$AB623,MATCH("Xero Invoice Date",$A$1:$AB$1,0)),"")</f>
        <v/>
      </c>
      <c r="AF623" s="54">
        <f>IF(AND(IFERROR(INDEX($A623:$AB623,MATCH("Xero Invoice No",$A$1:$AB$1,0)),"")&amp;""&lt;&gt;"",ISNUMBER(AE623),AD623&lt;&gt;0),1,0)</f>
        <v/>
      </c>
      <c r="AG623" s="55">
        <f>IF(AF623=1,EOMONTH(AE623,0),"")</f>
        <v/>
      </c>
      <c r="AH623" s="9">
        <f>IF(AF623=1,UPPER(TRIM(IFERROR(INDEX($A623:$AB623,MATCH("Client",$A$1:$AB$1,0)),"")&amp;"")),"")</f>
        <v/>
      </c>
      <c r="AI623" s="9">
        <f>IF(AF623=1,IFERROR(INDEX($A623:$AB623,MATCH("Cost Centre",$A$1:$AB$1,0)),"")&amp;"","")</f>
        <v/>
      </c>
      <c r="AJ623" s="54">
        <f>IF(AND(AF623=1,AE623&gt;=set_FYStart,AE623&lt;=set_AsAt),1,0)</f>
        <v/>
      </c>
      <c r="AK623" s="54">
        <f>IF(AND(AJ623=1,AH623&lt;&gt;"",COUNTIFS($AH$2:AH623,AH623,$AJ$2:AJ623,1)=1),N(AL622)+1,"")</f>
        <v/>
      </c>
      <c r="AL623" s="54">
        <f>IF(AK623&lt;&gt;"",AK623,N(AL622))</f>
        <v/>
      </c>
    </row>
    <row r="624">
      <c r="A624" t="inlineStr">
        <is>
          <t>PRD-0208</t>
        </is>
      </c>
      <c r="B624" t="inlineStr">
        <is>
          <t>Production</t>
        </is>
      </c>
      <c r="AB624" t="n">
        <v>208</v>
      </c>
      <c r="AD624" s="52">
        <f>IFERROR(N(IFERROR(INDEX($A624:$AB624,MATCH("Xero Invoiced Ex GST",$A$1:$AB$1,0)),"")),0)</f>
        <v/>
      </c>
      <c r="AE624" s="53">
        <f>IFERROR(INDEX($A624:$AB624,MATCH("Xero Invoice Date",$A$1:$AB$1,0)),"")</f>
        <v/>
      </c>
      <c r="AF624" s="54">
        <f>IF(AND(IFERROR(INDEX($A624:$AB624,MATCH("Xero Invoice No",$A$1:$AB$1,0)),"")&amp;""&lt;&gt;"",ISNUMBER(AE624),AD624&lt;&gt;0),1,0)</f>
        <v/>
      </c>
      <c r="AG624" s="55">
        <f>IF(AF624=1,EOMONTH(AE624,0),"")</f>
        <v/>
      </c>
      <c r="AH624" s="9">
        <f>IF(AF624=1,UPPER(TRIM(IFERROR(INDEX($A624:$AB624,MATCH("Client",$A$1:$AB$1,0)),"")&amp;"")),"")</f>
        <v/>
      </c>
      <c r="AI624" s="9">
        <f>IF(AF624=1,IFERROR(INDEX($A624:$AB624,MATCH("Cost Centre",$A$1:$AB$1,0)),"")&amp;"","")</f>
        <v/>
      </c>
      <c r="AJ624" s="54">
        <f>IF(AND(AF624=1,AE624&gt;=set_FYStart,AE624&lt;=set_AsAt),1,0)</f>
        <v/>
      </c>
      <c r="AK624" s="54">
        <f>IF(AND(AJ624=1,AH624&lt;&gt;"",COUNTIFS($AH$2:AH624,AH624,$AJ$2:AJ624,1)=1),N(AL623)+1,"")</f>
        <v/>
      </c>
      <c r="AL624" s="54">
        <f>IF(AK624&lt;&gt;"",AK624,N(AL623))</f>
        <v/>
      </c>
    </row>
    <row r="625">
      <c r="A625" t="inlineStr">
        <is>
          <t>CON-0208</t>
        </is>
      </c>
      <c r="B625" t="inlineStr">
        <is>
          <t>Consulting</t>
        </is>
      </c>
      <c r="AB625" t="n">
        <v>208</v>
      </c>
      <c r="AD625" s="52">
        <f>IFERROR(N(IFERROR(INDEX($A625:$AB625,MATCH("Xero Invoiced Ex GST",$A$1:$AB$1,0)),"")),0)</f>
        <v/>
      </c>
      <c r="AE625" s="53">
        <f>IFERROR(INDEX($A625:$AB625,MATCH("Xero Invoice Date",$A$1:$AB$1,0)),"")</f>
        <v/>
      </c>
      <c r="AF625" s="54">
        <f>IF(AND(IFERROR(INDEX($A625:$AB625,MATCH("Xero Invoice No",$A$1:$AB$1,0)),"")&amp;""&lt;&gt;"",ISNUMBER(AE625),AD625&lt;&gt;0),1,0)</f>
        <v/>
      </c>
      <c r="AG625" s="55">
        <f>IF(AF625=1,EOMONTH(AE625,0),"")</f>
        <v/>
      </c>
      <c r="AH625" s="9">
        <f>IF(AF625=1,UPPER(TRIM(IFERROR(INDEX($A625:$AB625,MATCH("Client",$A$1:$AB$1,0)),"")&amp;"")),"")</f>
        <v/>
      </c>
      <c r="AI625" s="9">
        <f>IF(AF625=1,IFERROR(INDEX($A625:$AB625,MATCH("Cost Centre",$A$1:$AB$1,0)),"")&amp;"","")</f>
        <v/>
      </c>
      <c r="AJ625" s="54">
        <f>IF(AND(AF625=1,AE625&gt;=set_FYStart,AE625&lt;=set_AsAt),1,0)</f>
        <v/>
      </c>
      <c r="AK625" s="54">
        <f>IF(AND(AJ625=1,AH625&lt;&gt;"",COUNTIFS($AH$2:AH625,AH625,$AJ$2:AJ625,1)=1),N(AL624)+1,"")</f>
        <v/>
      </c>
      <c r="AL625" s="54">
        <f>IF(AK625&lt;&gt;"",AK625,N(AL624))</f>
        <v/>
      </c>
    </row>
    <row r="626">
      <c r="A626" t="inlineStr">
        <is>
          <t>ONS-0209</t>
        </is>
      </c>
      <c r="B626" t="inlineStr">
        <is>
          <t>Onsite</t>
        </is>
      </c>
      <c r="R626" t="inlineStr">
        <is>
          <t>GST 10%</t>
        </is>
      </c>
      <c r="AB626" t="n">
        <v>209</v>
      </c>
      <c r="AD626" s="52">
        <f>IFERROR(N(IFERROR(INDEX($A626:$AB626,MATCH("Xero Invoiced Ex GST",$A$1:$AB$1,0)),"")),0)</f>
        <v/>
      </c>
      <c r="AE626" s="53">
        <f>IFERROR(INDEX($A626:$AB626,MATCH("Xero Invoice Date",$A$1:$AB$1,0)),"")</f>
        <v/>
      </c>
      <c r="AF626" s="54">
        <f>IF(AND(IFERROR(INDEX($A626:$AB626,MATCH("Xero Invoice No",$A$1:$AB$1,0)),"")&amp;""&lt;&gt;"",ISNUMBER(AE626),AD626&lt;&gt;0),1,0)</f>
        <v/>
      </c>
      <c r="AG626" s="55">
        <f>IF(AF626=1,EOMONTH(AE626,0),"")</f>
        <v/>
      </c>
      <c r="AH626" s="9">
        <f>IF(AF626=1,UPPER(TRIM(IFERROR(INDEX($A626:$AB626,MATCH("Client",$A$1:$AB$1,0)),"")&amp;"")),"")</f>
        <v/>
      </c>
      <c r="AI626" s="9">
        <f>IF(AF626=1,IFERROR(INDEX($A626:$AB626,MATCH("Cost Centre",$A$1:$AB$1,0)),"")&amp;"","")</f>
        <v/>
      </c>
      <c r="AJ626" s="54">
        <f>IF(AND(AF626=1,AE626&gt;=set_FYStart,AE626&lt;=set_AsAt),1,0)</f>
        <v/>
      </c>
      <c r="AK626" s="54">
        <f>IF(AND(AJ626=1,AH626&lt;&gt;"",COUNTIFS($AH$2:AH626,AH626,$AJ$2:AJ626,1)=1),N(AL625)+1,"")</f>
        <v/>
      </c>
      <c r="AL626" s="54">
        <f>IF(AK626&lt;&gt;"",AK626,N(AL625))</f>
        <v/>
      </c>
    </row>
    <row r="627">
      <c r="A627" t="inlineStr">
        <is>
          <t>PRD-0209</t>
        </is>
      </c>
      <c r="B627" t="inlineStr">
        <is>
          <t>Production</t>
        </is>
      </c>
      <c r="AB627" t="n">
        <v>209</v>
      </c>
      <c r="AD627" s="52">
        <f>IFERROR(N(IFERROR(INDEX($A627:$AB627,MATCH("Xero Invoiced Ex GST",$A$1:$AB$1,0)),"")),0)</f>
        <v/>
      </c>
      <c r="AE627" s="53">
        <f>IFERROR(INDEX($A627:$AB627,MATCH("Xero Invoice Date",$A$1:$AB$1,0)),"")</f>
        <v/>
      </c>
      <c r="AF627" s="54">
        <f>IF(AND(IFERROR(INDEX($A627:$AB627,MATCH("Xero Invoice No",$A$1:$AB$1,0)),"")&amp;""&lt;&gt;"",ISNUMBER(AE627),AD627&lt;&gt;0),1,0)</f>
        <v/>
      </c>
      <c r="AG627" s="55">
        <f>IF(AF627=1,EOMONTH(AE627,0),"")</f>
        <v/>
      </c>
      <c r="AH627" s="9">
        <f>IF(AF627=1,UPPER(TRIM(IFERROR(INDEX($A627:$AB627,MATCH("Client",$A$1:$AB$1,0)),"")&amp;"")),"")</f>
        <v/>
      </c>
      <c r="AI627" s="9">
        <f>IF(AF627=1,IFERROR(INDEX($A627:$AB627,MATCH("Cost Centre",$A$1:$AB$1,0)),"")&amp;"","")</f>
        <v/>
      </c>
      <c r="AJ627" s="54">
        <f>IF(AND(AF627=1,AE627&gt;=set_FYStart,AE627&lt;=set_AsAt),1,0)</f>
        <v/>
      </c>
      <c r="AK627" s="54">
        <f>IF(AND(AJ627=1,AH627&lt;&gt;"",COUNTIFS($AH$2:AH627,AH627,$AJ$2:AJ627,1)=1),N(AL626)+1,"")</f>
        <v/>
      </c>
      <c r="AL627" s="54">
        <f>IF(AK627&lt;&gt;"",AK627,N(AL626))</f>
        <v/>
      </c>
    </row>
    <row r="628">
      <c r="A628" t="inlineStr">
        <is>
          <t>CON-0209</t>
        </is>
      </c>
      <c r="B628" t="inlineStr">
        <is>
          <t>Consulting</t>
        </is>
      </c>
      <c r="AB628" t="n">
        <v>209</v>
      </c>
      <c r="AD628" s="52">
        <f>IFERROR(N(IFERROR(INDEX($A628:$AB628,MATCH("Xero Invoiced Ex GST",$A$1:$AB$1,0)),"")),0)</f>
        <v/>
      </c>
      <c r="AE628" s="53">
        <f>IFERROR(INDEX($A628:$AB628,MATCH("Xero Invoice Date",$A$1:$AB$1,0)),"")</f>
        <v/>
      </c>
      <c r="AF628" s="54">
        <f>IF(AND(IFERROR(INDEX($A628:$AB628,MATCH("Xero Invoice No",$A$1:$AB$1,0)),"")&amp;""&lt;&gt;"",ISNUMBER(AE628),AD628&lt;&gt;0),1,0)</f>
        <v/>
      </c>
      <c r="AG628" s="55">
        <f>IF(AF628=1,EOMONTH(AE628,0),"")</f>
        <v/>
      </c>
      <c r="AH628" s="9">
        <f>IF(AF628=1,UPPER(TRIM(IFERROR(INDEX($A628:$AB628,MATCH("Client",$A$1:$AB$1,0)),"")&amp;"")),"")</f>
        <v/>
      </c>
      <c r="AI628" s="9">
        <f>IF(AF628=1,IFERROR(INDEX($A628:$AB628,MATCH("Cost Centre",$A$1:$AB$1,0)),"")&amp;"","")</f>
        <v/>
      </c>
      <c r="AJ628" s="54">
        <f>IF(AND(AF628=1,AE628&gt;=set_FYStart,AE628&lt;=set_AsAt),1,0)</f>
        <v/>
      </c>
      <c r="AK628" s="54">
        <f>IF(AND(AJ628=1,AH628&lt;&gt;"",COUNTIFS($AH$2:AH628,AH628,$AJ$2:AJ628,1)=1),N(AL627)+1,"")</f>
        <v/>
      </c>
      <c r="AL628" s="54">
        <f>IF(AK628&lt;&gt;"",AK628,N(AL627))</f>
        <v/>
      </c>
    </row>
    <row r="629">
      <c r="A629" t="inlineStr">
        <is>
          <t>ONS-0210</t>
        </is>
      </c>
      <c r="B629" t="inlineStr">
        <is>
          <t>Onsite</t>
        </is>
      </c>
      <c r="R629" t="inlineStr">
        <is>
          <t>GST 10%</t>
        </is>
      </c>
      <c r="AB629" t="n">
        <v>210</v>
      </c>
      <c r="AD629" s="52">
        <f>IFERROR(N(IFERROR(INDEX($A629:$AB629,MATCH("Xero Invoiced Ex GST",$A$1:$AB$1,0)),"")),0)</f>
        <v/>
      </c>
      <c r="AE629" s="53">
        <f>IFERROR(INDEX($A629:$AB629,MATCH("Xero Invoice Date",$A$1:$AB$1,0)),"")</f>
        <v/>
      </c>
      <c r="AF629" s="54">
        <f>IF(AND(IFERROR(INDEX($A629:$AB629,MATCH("Xero Invoice No",$A$1:$AB$1,0)),"")&amp;""&lt;&gt;"",ISNUMBER(AE629),AD629&lt;&gt;0),1,0)</f>
        <v/>
      </c>
      <c r="AG629" s="55">
        <f>IF(AF629=1,EOMONTH(AE629,0),"")</f>
        <v/>
      </c>
      <c r="AH629" s="9">
        <f>IF(AF629=1,UPPER(TRIM(IFERROR(INDEX($A629:$AB629,MATCH("Client",$A$1:$AB$1,0)),"")&amp;"")),"")</f>
        <v/>
      </c>
      <c r="AI629" s="9">
        <f>IF(AF629=1,IFERROR(INDEX($A629:$AB629,MATCH("Cost Centre",$A$1:$AB$1,0)),"")&amp;"","")</f>
        <v/>
      </c>
      <c r="AJ629" s="54">
        <f>IF(AND(AF629=1,AE629&gt;=set_FYStart,AE629&lt;=set_AsAt),1,0)</f>
        <v/>
      </c>
      <c r="AK629" s="54">
        <f>IF(AND(AJ629=1,AH629&lt;&gt;"",COUNTIFS($AH$2:AH629,AH629,$AJ$2:AJ629,1)=1),N(AL628)+1,"")</f>
        <v/>
      </c>
      <c r="AL629" s="54">
        <f>IF(AK629&lt;&gt;"",AK629,N(AL628))</f>
        <v/>
      </c>
    </row>
    <row r="630">
      <c r="A630" t="inlineStr">
        <is>
          <t>PRD-0210</t>
        </is>
      </c>
      <c r="B630" t="inlineStr">
        <is>
          <t>Production</t>
        </is>
      </c>
      <c r="AB630" t="n">
        <v>210</v>
      </c>
      <c r="AD630" s="52">
        <f>IFERROR(N(IFERROR(INDEX($A630:$AB630,MATCH("Xero Invoiced Ex GST",$A$1:$AB$1,0)),"")),0)</f>
        <v/>
      </c>
      <c r="AE630" s="53">
        <f>IFERROR(INDEX($A630:$AB630,MATCH("Xero Invoice Date",$A$1:$AB$1,0)),"")</f>
        <v/>
      </c>
      <c r="AF630" s="54">
        <f>IF(AND(IFERROR(INDEX($A630:$AB630,MATCH("Xero Invoice No",$A$1:$AB$1,0)),"")&amp;""&lt;&gt;"",ISNUMBER(AE630),AD630&lt;&gt;0),1,0)</f>
        <v/>
      </c>
      <c r="AG630" s="55">
        <f>IF(AF630=1,EOMONTH(AE630,0),"")</f>
        <v/>
      </c>
      <c r="AH630" s="9">
        <f>IF(AF630=1,UPPER(TRIM(IFERROR(INDEX($A630:$AB630,MATCH("Client",$A$1:$AB$1,0)),"")&amp;"")),"")</f>
        <v/>
      </c>
      <c r="AI630" s="9">
        <f>IF(AF630=1,IFERROR(INDEX($A630:$AB630,MATCH("Cost Centre",$A$1:$AB$1,0)),"")&amp;"","")</f>
        <v/>
      </c>
      <c r="AJ630" s="54">
        <f>IF(AND(AF630=1,AE630&gt;=set_FYStart,AE630&lt;=set_AsAt),1,0)</f>
        <v/>
      </c>
      <c r="AK630" s="54">
        <f>IF(AND(AJ630=1,AH630&lt;&gt;"",COUNTIFS($AH$2:AH630,AH630,$AJ$2:AJ630,1)=1),N(AL629)+1,"")</f>
        <v/>
      </c>
      <c r="AL630" s="54">
        <f>IF(AK630&lt;&gt;"",AK630,N(AL629))</f>
        <v/>
      </c>
    </row>
    <row r="631">
      <c r="A631" t="inlineStr">
        <is>
          <t>CON-0210</t>
        </is>
      </c>
      <c r="B631" t="inlineStr">
        <is>
          <t>Consulting</t>
        </is>
      </c>
      <c r="AB631" t="n">
        <v>210</v>
      </c>
      <c r="AD631" s="52">
        <f>IFERROR(N(IFERROR(INDEX($A631:$AB631,MATCH("Xero Invoiced Ex GST",$A$1:$AB$1,0)),"")),0)</f>
        <v/>
      </c>
      <c r="AE631" s="53">
        <f>IFERROR(INDEX($A631:$AB631,MATCH("Xero Invoice Date",$A$1:$AB$1,0)),"")</f>
        <v/>
      </c>
      <c r="AF631" s="54">
        <f>IF(AND(IFERROR(INDEX($A631:$AB631,MATCH("Xero Invoice No",$A$1:$AB$1,0)),"")&amp;""&lt;&gt;"",ISNUMBER(AE631),AD631&lt;&gt;0),1,0)</f>
        <v/>
      </c>
      <c r="AG631" s="55">
        <f>IF(AF631=1,EOMONTH(AE631,0),"")</f>
        <v/>
      </c>
      <c r="AH631" s="9">
        <f>IF(AF631=1,UPPER(TRIM(IFERROR(INDEX($A631:$AB631,MATCH("Client",$A$1:$AB$1,0)),"")&amp;"")),"")</f>
        <v/>
      </c>
      <c r="AI631" s="9">
        <f>IF(AF631=1,IFERROR(INDEX($A631:$AB631,MATCH("Cost Centre",$A$1:$AB$1,0)),"")&amp;"","")</f>
        <v/>
      </c>
      <c r="AJ631" s="54">
        <f>IF(AND(AF631=1,AE631&gt;=set_FYStart,AE631&lt;=set_AsAt),1,0)</f>
        <v/>
      </c>
      <c r="AK631" s="54">
        <f>IF(AND(AJ631=1,AH631&lt;&gt;"",COUNTIFS($AH$2:AH631,AH631,$AJ$2:AJ631,1)=1),N(AL630)+1,"")</f>
        <v/>
      </c>
      <c r="AL631" s="54">
        <f>IF(AK631&lt;&gt;"",AK631,N(AL630))</f>
        <v/>
      </c>
    </row>
    <row r="632">
      <c r="A632" t="inlineStr">
        <is>
          <t>ONS-0211</t>
        </is>
      </c>
      <c r="B632" t="inlineStr">
        <is>
          <t>Onsite</t>
        </is>
      </c>
      <c r="R632" t="inlineStr">
        <is>
          <t>GST 10%</t>
        </is>
      </c>
      <c r="AB632" t="n">
        <v>211</v>
      </c>
      <c r="AD632" s="52">
        <f>IFERROR(N(IFERROR(INDEX($A632:$AB632,MATCH("Xero Invoiced Ex GST",$A$1:$AB$1,0)),"")),0)</f>
        <v/>
      </c>
      <c r="AE632" s="53">
        <f>IFERROR(INDEX($A632:$AB632,MATCH("Xero Invoice Date",$A$1:$AB$1,0)),"")</f>
        <v/>
      </c>
      <c r="AF632" s="54">
        <f>IF(AND(IFERROR(INDEX($A632:$AB632,MATCH("Xero Invoice No",$A$1:$AB$1,0)),"")&amp;""&lt;&gt;"",ISNUMBER(AE632),AD632&lt;&gt;0),1,0)</f>
        <v/>
      </c>
      <c r="AG632" s="55">
        <f>IF(AF632=1,EOMONTH(AE632,0),"")</f>
        <v/>
      </c>
      <c r="AH632" s="9">
        <f>IF(AF632=1,UPPER(TRIM(IFERROR(INDEX($A632:$AB632,MATCH("Client",$A$1:$AB$1,0)),"")&amp;"")),"")</f>
        <v/>
      </c>
      <c r="AI632" s="9">
        <f>IF(AF632=1,IFERROR(INDEX($A632:$AB632,MATCH("Cost Centre",$A$1:$AB$1,0)),"")&amp;"","")</f>
        <v/>
      </c>
      <c r="AJ632" s="54">
        <f>IF(AND(AF632=1,AE632&gt;=set_FYStart,AE632&lt;=set_AsAt),1,0)</f>
        <v/>
      </c>
      <c r="AK632" s="54">
        <f>IF(AND(AJ632=1,AH632&lt;&gt;"",COUNTIFS($AH$2:AH632,AH632,$AJ$2:AJ632,1)=1),N(AL631)+1,"")</f>
        <v/>
      </c>
      <c r="AL632" s="54">
        <f>IF(AK632&lt;&gt;"",AK632,N(AL631))</f>
        <v/>
      </c>
    </row>
    <row r="633">
      <c r="A633" t="inlineStr">
        <is>
          <t>PRD-0211</t>
        </is>
      </c>
      <c r="B633" t="inlineStr">
        <is>
          <t>Production</t>
        </is>
      </c>
      <c r="AB633" t="n">
        <v>211</v>
      </c>
      <c r="AD633" s="52">
        <f>IFERROR(N(IFERROR(INDEX($A633:$AB633,MATCH("Xero Invoiced Ex GST",$A$1:$AB$1,0)),"")),0)</f>
        <v/>
      </c>
      <c r="AE633" s="53">
        <f>IFERROR(INDEX($A633:$AB633,MATCH("Xero Invoice Date",$A$1:$AB$1,0)),"")</f>
        <v/>
      </c>
      <c r="AF633" s="54">
        <f>IF(AND(IFERROR(INDEX($A633:$AB633,MATCH("Xero Invoice No",$A$1:$AB$1,0)),"")&amp;""&lt;&gt;"",ISNUMBER(AE633),AD633&lt;&gt;0),1,0)</f>
        <v/>
      </c>
      <c r="AG633" s="55">
        <f>IF(AF633=1,EOMONTH(AE633,0),"")</f>
        <v/>
      </c>
      <c r="AH633" s="9">
        <f>IF(AF633=1,UPPER(TRIM(IFERROR(INDEX($A633:$AB633,MATCH("Client",$A$1:$AB$1,0)),"")&amp;"")),"")</f>
        <v/>
      </c>
      <c r="AI633" s="9">
        <f>IF(AF633=1,IFERROR(INDEX($A633:$AB633,MATCH("Cost Centre",$A$1:$AB$1,0)),"")&amp;"","")</f>
        <v/>
      </c>
      <c r="AJ633" s="54">
        <f>IF(AND(AF633=1,AE633&gt;=set_FYStart,AE633&lt;=set_AsAt),1,0)</f>
        <v/>
      </c>
      <c r="AK633" s="54">
        <f>IF(AND(AJ633=1,AH633&lt;&gt;"",COUNTIFS($AH$2:AH633,AH633,$AJ$2:AJ633,1)=1),N(AL632)+1,"")</f>
        <v/>
      </c>
      <c r="AL633" s="54">
        <f>IF(AK633&lt;&gt;"",AK633,N(AL632))</f>
        <v/>
      </c>
    </row>
    <row r="634">
      <c r="A634" t="inlineStr">
        <is>
          <t>CON-0211</t>
        </is>
      </c>
      <c r="B634" t="inlineStr">
        <is>
          <t>Consulting</t>
        </is>
      </c>
      <c r="AB634" t="n">
        <v>211</v>
      </c>
      <c r="AD634" s="52">
        <f>IFERROR(N(IFERROR(INDEX($A634:$AB634,MATCH("Xero Invoiced Ex GST",$A$1:$AB$1,0)),"")),0)</f>
        <v/>
      </c>
      <c r="AE634" s="53">
        <f>IFERROR(INDEX($A634:$AB634,MATCH("Xero Invoice Date",$A$1:$AB$1,0)),"")</f>
        <v/>
      </c>
      <c r="AF634" s="54">
        <f>IF(AND(IFERROR(INDEX($A634:$AB634,MATCH("Xero Invoice No",$A$1:$AB$1,0)),"")&amp;""&lt;&gt;"",ISNUMBER(AE634),AD634&lt;&gt;0),1,0)</f>
        <v/>
      </c>
      <c r="AG634" s="55">
        <f>IF(AF634=1,EOMONTH(AE634,0),"")</f>
        <v/>
      </c>
      <c r="AH634" s="9">
        <f>IF(AF634=1,UPPER(TRIM(IFERROR(INDEX($A634:$AB634,MATCH("Client",$A$1:$AB$1,0)),"")&amp;"")),"")</f>
        <v/>
      </c>
      <c r="AI634" s="9">
        <f>IF(AF634=1,IFERROR(INDEX($A634:$AB634,MATCH("Cost Centre",$A$1:$AB$1,0)),"")&amp;"","")</f>
        <v/>
      </c>
      <c r="AJ634" s="54">
        <f>IF(AND(AF634=1,AE634&gt;=set_FYStart,AE634&lt;=set_AsAt),1,0)</f>
        <v/>
      </c>
      <c r="AK634" s="54">
        <f>IF(AND(AJ634=1,AH634&lt;&gt;"",COUNTIFS($AH$2:AH634,AH634,$AJ$2:AJ634,1)=1),N(AL633)+1,"")</f>
        <v/>
      </c>
      <c r="AL634" s="54">
        <f>IF(AK634&lt;&gt;"",AK634,N(AL633))</f>
        <v/>
      </c>
    </row>
    <row r="635">
      <c r="A635" t="inlineStr">
        <is>
          <t>ONS-0212</t>
        </is>
      </c>
      <c r="B635" t="inlineStr">
        <is>
          <t>Onsite</t>
        </is>
      </c>
      <c r="R635" t="inlineStr">
        <is>
          <t>GST 10%</t>
        </is>
      </c>
      <c r="AB635" t="n">
        <v>212</v>
      </c>
      <c r="AD635" s="52">
        <f>IFERROR(N(IFERROR(INDEX($A635:$AB635,MATCH("Xero Invoiced Ex GST",$A$1:$AB$1,0)),"")),0)</f>
        <v/>
      </c>
      <c r="AE635" s="53">
        <f>IFERROR(INDEX($A635:$AB635,MATCH("Xero Invoice Date",$A$1:$AB$1,0)),"")</f>
        <v/>
      </c>
      <c r="AF635" s="54">
        <f>IF(AND(IFERROR(INDEX($A635:$AB635,MATCH("Xero Invoice No",$A$1:$AB$1,0)),"")&amp;""&lt;&gt;"",ISNUMBER(AE635),AD635&lt;&gt;0),1,0)</f>
        <v/>
      </c>
      <c r="AG635" s="55">
        <f>IF(AF635=1,EOMONTH(AE635,0),"")</f>
        <v/>
      </c>
      <c r="AH635" s="9">
        <f>IF(AF635=1,UPPER(TRIM(IFERROR(INDEX($A635:$AB635,MATCH("Client",$A$1:$AB$1,0)),"")&amp;"")),"")</f>
        <v/>
      </c>
      <c r="AI635" s="9">
        <f>IF(AF635=1,IFERROR(INDEX($A635:$AB635,MATCH("Cost Centre",$A$1:$AB$1,0)),"")&amp;"","")</f>
        <v/>
      </c>
      <c r="AJ635" s="54">
        <f>IF(AND(AF635=1,AE635&gt;=set_FYStart,AE635&lt;=set_AsAt),1,0)</f>
        <v/>
      </c>
      <c r="AK635" s="54">
        <f>IF(AND(AJ635=1,AH635&lt;&gt;"",COUNTIFS($AH$2:AH635,AH635,$AJ$2:AJ635,1)=1),N(AL634)+1,"")</f>
        <v/>
      </c>
      <c r="AL635" s="54">
        <f>IF(AK635&lt;&gt;"",AK635,N(AL634))</f>
        <v/>
      </c>
    </row>
    <row r="636">
      <c r="A636" t="inlineStr">
        <is>
          <t>PRD-0212</t>
        </is>
      </c>
      <c r="B636" t="inlineStr">
        <is>
          <t>Production</t>
        </is>
      </c>
      <c r="AB636" t="n">
        <v>212</v>
      </c>
      <c r="AD636" s="52">
        <f>IFERROR(N(IFERROR(INDEX($A636:$AB636,MATCH("Xero Invoiced Ex GST",$A$1:$AB$1,0)),"")),0)</f>
        <v/>
      </c>
      <c r="AE636" s="53">
        <f>IFERROR(INDEX($A636:$AB636,MATCH("Xero Invoice Date",$A$1:$AB$1,0)),"")</f>
        <v/>
      </c>
      <c r="AF636" s="54">
        <f>IF(AND(IFERROR(INDEX($A636:$AB636,MATCH("Xero Invoice No",$A$1:$AB$1,0)),"")&amp;""&lt;&gt;"",ISNUMBER(AE636),AD636&lt;&gt;0),1,0)</f>
        <v/>
      </c>
      <c r="AG636" s="55">
        <f>IF(AF636=1,EOMONTH(AE636,0),"")</f>
        <v/>
      </c>
      <c r="AH636" s="9">
        <f>IF(AF636=1,UPPER(TRIM(IFERROR(INDEX($A636:$AB636,MATCH("Client",$A$1:$AB$1,0)),"")&amp;"")),"")</f>
        <v/>
      </c>
      <c r="AI636" s="9">
        <f>IF(AF636=1,IFERROR(INDEX($A636:$AB636,MATCH("Cost Centre",$A$1:$AB$1,0)),"")&amp;"","")</f>
        <v/>
      </c>
      <c r="AJ636" s="54">
        <f>IF(AND(AF636=1,AE636&gt;=set_FYStart,AE636&lt;=set_AsAt),1,0)</f>
        <v/>
      </c>
      <c r="AK636" s="54">
        <f>IF(AND(AJ636=1,AH636&lt;&gt;"",COUNTIFS($AH$2:AH636,AH636,$AJ$2:AJ636,1)=1),N(AL635)+1,"")</f>
        <v/>
      </c>
      <c r="AL636" s="54">
        <f>IF(AK636&lt;&gt;"",AK636,N(AL635))</f>
        <v/>
      </c>
    </row>
    <row r="637">
      <c r="A637" t="inlineStr">
        <is>
          <t>CON-0212</t>
        </is>
      </c>
      <c r="B637" t="inlineStr">
        <is>
          <t>Consulting</t>
        </is>
      </c>
      <c r="AB637" t="n">
        <v>212</v>
      </c>
      <c r="AD637" s="52">
        <f>IFERROR(N(IFERROR(INDEX($A637:$AB637,MATCH("Xero Invoiced Ex GST",$A$1:$AB$1,0)),"")),0)</f>
        <v/>
      </c>
      <c r="AE637" s="53">
        <f>IFERROR(INDEX($A637:$AB637,MATCH("Xero Invoice Date",$A$1:$AB$1,0)),"")</f>
        <v/>
      </c>
      <c r="AF637" s="54">
        <f>IF(AND(IFERROR(INDEX($A637:$AB637,MATCH("Xero Invoice No",$A$1:$AB$1,0)),"")&amp;""&lt;&gt;"",ISNUMBER(AE637),AD637&lt;&gt;0),1,0)</f>
        <v/>
      </c>
      <c r="AG637" s="55">
        <f>IF(AF637=1,EOMONTH(AE637,0),"")</f>
        <v/>
      </c>
      <c r="AH637" s="9">
        <f>IF(AF637=1,UPPER(TRIM(IFERROR(INDEX($A637:$AB637,MATCH("Client",$A$1:$AB$1,0)),"")&amp;"")),"")</f>
        <v/>
      </c>
      <c r="AI637" s="9">
        <f>IF(AF637=1,IFERROR(INDEX($A637:$AB637,MATCH("Cost Centre",$A$1:$AB$1,0)),"")&amp;"","")</f>
        <v/>
      </c>
      <c r="AJ637" s="54">
        <f>IF(AND(AF637=1,AE637&gt;=set_FYStart,AE637&lt;=set_AsAt),1,0)</f>
        <v/>
      </c>
      <c r="AK637" s="54">
        <f>IF(AND(AJ637=1,AH637&lt;&gt;"",COUNTIFS($AH$2:AH637,AH637,$AJ$2:AJ637,1)=1),N(AL636)+1,"")</f>
        <v/>
      </c>
      <c r="AL637" s="54">
        <f>IF(AK637&lt;&gt;"",AK637,N(AL636))</f>
        <v/>
      </c>
    </row>
    <row r="638">
      <c r="A638" t="inlineStr">
        <is>
          <t>ONS-0213</t>
        </is>
      </c>
      <c r="B638" t="inlineStr">
        <is>
          <t>Onsite</t>
        </is>
      </c>
      <c r="R638" t="inlineStr">
        <is>
          <t>GST 10%</t>
        </is>
      </c>
      <c r="AB638" t="n">
        <v>213</v>
      </c>
      <c r="AD638" s="52">
        <f>IFERROR(N(IFERROR(INDEX($A638:$AB638,MATCH("Xero Invoiced Ex GST",$A$1:$AB$1,0)),"")),0)</f>
        <v/>
      </c>
      <c r="AE638" s="53">
        <f>IFERROR(INDEX($A638:$AB638,MATCH("Xero Invoice Date",$A$1:$AB$1,0)),"")</f>
        <v/>
      </c>
      <c r="AF638" s="54">
        <f>IF(AND(IFERROR(INDEX($A638:$AB638,MATCH("Xero Invoice No",$A$1:$AB$1,0)),"")&amp;""&lt;&gt;"",ISNUMBER(AE638),AD638&lt;&gt;0),1,0)</f>
        <v/>
      </c>
      <c r="AG638" s="55">
        <f>IF(AF638=1,EOMONTH(AE638,0),"")</f>
        <v/>
      </c>
      <c r="AH638" s="9">
        <f>IF(AF638=1,UPPER(TRIM(IFERROR(INDEX($A638:$AB638,MATCH("Client",$A$1:$AB$1,0)),"")&amp;"")),"")</f>
        <v/>
      </c>
      <c r="AI638" s="9">
        <f>IF(AF638=1,IFERROR(INDEX($A638:$AB638,MATCH("Cost Centre",$A$1:$AB$1,0)),"")&amp;"","")</f>
        <v/>
      </c>
      <c r="AJ638" s="54">
        <f>IF(AND(AF638=1,AE638&gt;=set_FYStart,AE638&lt;=set_AsAt),1,0)</f>
        <v/>
      </c>
      <c r="AK638" s="54">
        <f>IF(AND(AJ638=1,AH638&lt;&gt;"",COUNTIFS($AH$2:AH638,AH638,$AJ$2:AJ638,1)=1),N(AL637)+1,"")</f>
        <v/>
      </c>
      <c r="AL638" s="54">
        <f>IF(AK638&lt;&gt;"",AK638,N(AL637))</f>
        <v/>
      </c>
    </row>
    <row r="639">
      <c r="A639" t="inlineStr">
        <is>
          <t>PRD-0213</t>
        </is>
      </c>
      <c r="B639" t="inlineStr">
        <is>
          <t>Production</t>
        </is>
      </c>
      <c r="AB639" t="n">
        <v>213</v>
      </c>
      <c r="AD639" s="52">
        <f>IFERROR(N(IFERROR(INDEX($A639:$AB639,MATCH("Xero Invoiced Ex GST",$A$1:$AB$1,0)),"")),0)</f>
        <v/>
      </c>
      <c r="AE639" s="53">
        <f>IFERROR(INDEX($A639:$AB639,MATCH("Xero Invoice Date",$A$1:$AB$1,0)),"")</f>
        <v/>
      </c>
      <c r="AF639" s="54">
        <f>IF(AND(IFERROR(INDEX($A639:$AB639,MATCH("Xero Invoice No",$A$1:$AB$1,0)),"")&amp;""&lt;&gt;"",ISNUMBER(AE639),AD639&lt;&gt;0),1,0)</f>
        <v/>
      </c>
      <c r="AG639" s="55">
        <f>IF(AF639=1,EOMONTH(AE639,0),"")</f>
        <v/>
      </c>
      <c r="AH639" s="9">
        <f>IF(AF639=1,UPPER(TRIM(IFERROR(INDEX($A639:$AB639,MATCH("Client",$A$1:$AB$1,0)),"")&amp;"")),"")</f>
        <v/>
      </c>
      <c r="AI639" s="9">
        <f>IF(AF639=1,IFERROR(INDEX($A639:$AB639,MATCH("Cost Centre",$A$1:$AB$1,0)),"")&amp;"","")</f>
        <v/>
      </c>
      <c r="AJ639" s="54">
        <f>IF(AND(AF639=1,AE639&gt;=set_FYStart,AE639&lt;=set_AsAt),1,0)</f>
        <v/>
      </c>
      <c r="AK639" s="54">
        <f>IF(AND(AJ639=1,AH639&lt;&gt;"",COUNTIFS($AH$2:AH639,AH639,$AJ$2:AJ639,1)=1),N(AL638)+1,"")</f>
        <v/>
      </c>
      <c r="AL639" s="54">
        <f>IF(AK639&lt;&gt;"",AK639,N(AL638))</f>
        <v/>
      </c>
    </row>
    <row r="640">
      <c r="A640" t="inlineStr">
        <is>
          <t>CON-0213</t>
        </is>
      </c>
      <c r="B640" t="inlineStr">
        <is>
          <t>Consulting</t>
        </is>
      </c>
      <c r="AB640" t="n">
        <v>213</v>
      </c>
      <c r="AD640" s="52">
        <f>IFERROR(N(IFERROR(INDEX($A640:$AB640,MATCH("Xero Invoiced Ex GST",$A$1:$AB$1,0)),"")),0)</f>
        <v/>
      </c>
      <c r="AE640" s="53">
        <f>IFERROR(INDEX($A640:$AB640,MATCH("Xero Invoice Date",$A$1:$AB$1,0)),"")</f>
        <v/>
      </c>
      <c r="AF640" s="54">
        <f>IF(AND(IFERROR(INDEX($A640:$AB640,MATCH("Xero Invoice No",$A$1:$AB$1,0)),"")&amp;""&lt;&gt;"",ISNUMBER(AE640),AD640&lt;&gt;0),1,0)</f>
        <v/>
      </c>
      <c r="AG640" s="55">
        <f>IF(AF640=1,EOMONTH(AE640,0),"")</f>
        <v/>
      </c>
      <c r="AH640" s="9">
        <f>IF(AF640=1,UPPER(TRIM(IFERROR(INDEX($A640:$AB640,MATCH("Client",$A$1:$AB$1,0)),"")&amp;"")),"")</f>
        <v/>
      </c>
      <c r="AI640" s="9">
        <f>IF(AF640=1,IFERROR(INDEX($A640:$AB640,MATCH("Cost Centre",$A$1:$AB$1,0)),"")&amp;"","")</f>
        <v/>
      </c>
      <c r="AJ640" s="54">
        <f>IF(AND(AF640=1,AE640&gt;=set_FYStart,AE640&lt;=set_AsAt),1,0)</f>
        <v/>
      </c>
      <c r="AK640" s="54">
        <f>IF(AND(AJ640=1,AH640&lt;&gt;"",COUNTIFS($AH$2:AH640,AH640,$AJ$2:AJ640,1)=1),N(AL639)+1,"")</f>
        <v/>
      </c>
      <c r="AL640" s="54">
        <f>IF(AK640&lt;&gt;"",AK640,N(AL639))</f>
        <v/>
      </c>
    </row>
    <row r="641">
      <c r="A641" t="inlineStr">
        <is>
          <t>ONS-0214</t>
        </is>
      </c>
      <c r="B641" t="inlineStr">
        <is>
          <t>Onsite</t>
        </is>
      </c>
      <c r="R641" t="inlineStr">
        <is>
          <t>GST 10%</t>
        </is>
      </c>
      <c r="AB641" t="n">
        <v>214</v>
      </c>
      <c r="AD641" s="52">
        <f>IFERROR(N(IFERROR(INDEX($A641:$AB641,MATCH("Xero Invoiced Ex GST",$A$1:$AB$1,0)),"")),0)</f>
        <v/>
      </c>
      <c r="AE641" s="53">
        <f>IFERROR(INDEX($A641:$AB641,MATCH("Xero Invoice Date",$A$1:$AB$1,0)),"")</f>
        <v/>
      </c>
      <c r="AF641" s="54">
        <f>IF(AND(IFERROR(INDEX($A641:$AB641,MATCH("Xero Invoice No",$A$1:$AB$1,0)),"")&amp;""&lt;&gt;"",ISNUMBER(AE641),AD641&lt;&gt;0),1,0)</f>
        <v/>
      </c>
      <c r="AG641" s="55">
        <f>IF(AF641=1,EOMONTH(AE641,0),"")</f>
        <v/>
      </c>
      <c r="AH641" s="9">
        <f>IF(AF641=1,UPPER(TRIM(IFERROR(INDEX($A641:$AB641,MATCH("Client",$A$1:$AB$1,0)),"")&amp;"")),"")</f>
        <v/>
      </c>
      <c r="AI641" s="9">
        <f>IF(AF641=1,IFERROR(INDEX($A641:$AB641,MATCH("Cost Centre",$A$1:$AB$1,0)),"")&amp;"","")</f>
        <v/>
      </c>
      <c r="AJ641" s="54">
        <f>IF(AND(AF641=1,AE641&gt;=set_FYStart,AE641&lt;=set_AsAt),1,0)</f>
        <v/>
      </c>
      <c r="AK641" s="54">
        <f>IF(AND(AJ641=1,AH641&lt;&gt;"",COUNTIFS($AH$2:AH641,AH641,$AJ$2:AJ641,1)=1),N(AL640)+1,"")</f>
        <v/>
      </c>
      <c r="AL641" s="54">
        <f>IF(AK641&lt;&gt;"",AK641,N(AL640))</f>
        <v/>
      </c>
    </row>
    <row r="642">
      <c r="A642" t="inlineStr">
        <is>
          <t>PRD-0214</t>
        </is>
      </c>
      <c r="B642" t="inlineStr">
        <is>
          <t>Production</t>
        </is>
      </c>
      <c r="AB642" t="n">
        <v>214</v>
      </c>
      <c r="AD642" s="52">
        <f>IFERROR(N(IFERROR(INDEX($A642:$AB642,MATCH("Xero Invoiced Ex GST",$A$1:$AB$1,0)),"")),0)</f>
        <v/>
      </c>
      <c r="AE642" s="53">
        <f>IFERROR(INDEX($A642:$AB642,MATCH("Xero Invoice Date",$A$1:$AB$1,0)),"")</f>
        <v/>
      </c>
      <c r="AF642" s="54">
        <f>IF(AND(IFERROR(INDEX($A642:$AB642,MATCH("Xero Invoice No",$A$1:$AB$1,0)),"")&amp;""&lt;&gt;"",ISNUMBER(AE642),AD642&lt;&gt;0),1,0)</f>
        <v/>
      </c>
      <c r="AG642" s="55">
        <f>IF(AF642=1,EOMONTH(AE642,0),"")</f>
        <v/>
      </c>
      <c r="AH642" s="9">
        <f>IF(AF642=1,UPPER(TRIM(IFERROR(INDEX($A642:$AB642,MATCH("Client",$A$1:$AB$1,0)),"")&amp;"")),"")</f>
        <v/>
      </c>
      <c r="AI642" s="9">
        <f>IF(AF642=1,IFERROR(INDEX($A642:$AB642,MATCH("Cost Centre",$A$1:$AB$1,0)),"")&amp;"","")</f>
        <v/>
      </c>
      <c r="AJ642" s="54">
        <f>IF(AND(AF642=1,AE642&gt;=set_FYStart,AE642&lt;=set_AsAt),1,0)</f>
        <v/>
      </c>
      <c r="AK642" s="54">
        <f>IF(AND(AJ642=1,AH642&lt;&gt;"",COUNTIFS($AH$2:AH642,AH642,$AJ$2:AJ642,1)=1),N(AL641)+1,"")</f>
        <v/>
      </c>
      <c r="AL642" s="54">
        <f>IF(AK642&lt;&gt;"",AK642,N(AL641))</f>
        <v/>
      </c>
    </row>
    <row r="643">
      <c r="A643" t="inlineStr">
        <is>
          <t>CON-0214</t>
        </is>
      </c>
      <c r="B643" t="inlineStr">
        <is>
          <t>Consulting</t>
        </is>
      </c>
      <c r="AB643" t="n">
        <v>214</v>
      </c>
      <c r="AD643" s="52">
        <f>IFERROR(N(IFERROR(INDEX($A643:$AB643,MATCH("Xero Invoiced Ex GST",$A$1:$AB$1,0)),"")),0)</f>
        <v/>
      </c>
      <c r="AE643" s="53">
        <f>IFERROR(INDEX($A643:$AB643,MATCH("Xero Invoice Date",$A$1:$AB$1,0)),"")</f>
        <v/>
      </c>
      <c r="AF643" s="54">
        <f>IF(AND(IFERROR(INDEX($A643:$AB643,MATCH("Xero Invoice No",$A$1:$AB$1,0)),"")&amp;""&lt;&gt;"",ISNUMBER(AE643),AD643&lt;&gt;0),1,0)</f>
        <v/>
      </c>
      <c r="AG643" s="55">
        <f>IF(AF643=1,EOMONTH(AE643,0),"")</f>
        <v/>
      </c>
      <c r="AH643" s="9">
        <f>IF(AF643=1,UPPER(TRIM(IFERROR(INDEX($A643:$AB643,MATCH("Client",$A$1:$AB$1,0)),"")&amp;"")),"")</f>
        <v/>
      </c>
      <c r="AI643" s="9">
        <f>IF(AF643=1,IFERROR(INDEX($A643:$AB643,MATCH("Cost Centre",$A$1:$AB$1,0)),"")&amp;"","")</f>
        <v/>
      </c>
      <c r="AJ643" s="54">
        <f>IF(AND(AF643=1,AE643&gt;=set_FYStart,AE643&lt;=set_AsAt),1,0)</f>
        <v/>
      </c>
      <c r="AK643" s="54">
        <f>IF(AND(AJ643=1,AH643&lt;&gt;"",COUNTIFS($AH$2:AH643,AH643,$AJ$2:AJ643,1)=1),N(AL642)+1,"")</f>
        <v/>
      </c>
      <c r="AL643" s="54">
        <f>IF(AK643&lt;&gt;"",AK643,N(AL642))</f>
        <v/>
      </c>
    </row>
    <row r="644">
      <c r="A644" t="inlineStr">
        <is>
          <t>ONS-0215</t>
        </is>
      </c>
      <c r="B644" t="inlineStr">
        <is>
          <t>Onsite</t>
        </is>
      </c>
      <c r="R644" t="inlineStr">
        <is>
          <t>GST 10%</t>
        </is>
      </c>
      <c r="AB644" t="n">
        <v>215</v>
      </c>
      <c r="AD644" s="52">
        <f>IFERROR(N(IFERROR(INDEX($A644:$AB644,MATCH("Xero Invoiced Ex GST",$A$1:$AB$1,0)),"")),0)</f>
        <v/>
      </c>
      <c r="AE644" s="53">
        <f>IFERROR(INDEX($A644:$AB644,MATCH("Xero Invoice Date",$A$1:$AB$1,0)),"")</f>
        <v/>
      </c>
      <c r="AF644" s="54">
        <f>IF(AND(IFERROR(INDEX($A644:$AB644,MATCH("Xero Invoice No",$A$1:$AB$1,0)),"")&amp;""&lt;&gt;"",ISNUMBER(AE644),AD644&lt;&gt;0),1,0)</f>
        <v/>
      </c>
      <c r="AG644" s="55">
        <f>IF(AF644=1,EOMONTH(AE644,0),"")</f>
        <v/>
      </c>
      <c r="AH644" s="9">
        <f>IF(AF644=1,UPPER(TRIM(IFERROR(INDEX($A644:$AB644,MATCH("Client",$A$1:$AB$1,0)),"")&amp;"")),"")</f>
        <v/>
      </c>
      <c r="AI644" s="9">
        <f>IF(AF644=1,IFERROR(INDEX($A644:$AB644,MATCH("Cost Centre",$A$1:$AB$1,0)),"")&amp;"","")</f>
        <v/>
      </c>
      <c r="AJ644" s="54">
        <f>IF(AND(AF644=1,AE644&gt;=set_FYStart,AE644&lt;=set_AsAt),1,0)</f>
        <v/>
      </c>
      <c r="AK644" s="54">
        <f>IF(AND(AJ644=1,AH644&lt;&gt;"",COUNTIFS($AH$2:AH644,AH644,$AJ$2:AJ644,1)=1),N(AL643)+1,"")</f>
        <v/>
      </c>
      <c r="AL644" s="54">
        <f>IF(AK644&lt;&gt;"",AK644,N(AL643))</f>
        <v/>
      </c>
    </row>
    <row r="645">
      <c r="A645" t="inlineStr">
        <is>
          <t>PRD-0215</t>
        </is>
      </c>
      <c r="B645" t="inlineStr">
        <is>
          <t>Production</t>
        </is>
      </c>
      <c r="AB645" t="n">
        <v>215</v>
      </c>
      <c r="AD645" s="52">
        <f>IFERROR(N(IFERROR(INDEX($A645:$AB645,MATCH("Xero Invoiced Ex GST",$A$1:$AB$1,0)),"")),0)</f>
        <v/>
      </c>
      <c r="AE645" s="53">
        <f>IFERROR(INDEX($A645:$AB645,MATCH("Xero Invoice Date",$A$1:$AB$1,0)),"")</f>
        <v/>
      </c>
      <c r="AF645" s="54">
        <f>IF(AND(IFERROR(INDEX($A645:$AB645,MATCH("Xero Invoice No",$A$1:$AB$1,0)),"")&amp;""&lt;&gt;"",ISNUMBER(AE645),AD645&lt;&gt;0),1,0)</f>
        <v/>
      </c>
      <c r="AG645" s="55">
        <f>IF(AF645=1,EOMONTH(AE645,0),"")</f>
        <v/>
      </c>
      <c r="AH645" s="9">
        <f>IF(AF645=1,UPPER(TRIM(IFERROR(INDEX($A645:$AB645,MATCH("Client",$A$1:$AB$1,0)),"")&amp;"")),"")</f>
        <v/>
      </c>
      <c r="AI645" s="9">
        <f>IF(AF645=1,IFERROR(INDEX($A645:$AB645,MATCH("Cost Centre",$A$1:$AB$1,0)),"")&amp;"","")</f>
        <v/>
      </c>
      <c r="AJ645" s="54">
        <f>IF(AND(AF645=1,AE645&gt;=set_FYStart,AE645&lt;=set_AsAt),1,0)</f>
        <v/>
      </c>
      <c r="AK645" s="54">
        <f>IF(AND(AJ645=1,AH645&lt;&gt;"",COUNTIFS($AH$2:AH645,AH645,$AJ$2:AJ645,1)=1),N(AL644)+1,"")</f>
        <v/>
      </c>
      <c r="AL645" s="54">
        <f>IF(AK645&lt;&gt;"",AK645,N(AL644))</f>
        <v/>
      </c>
    </row>
    <row r="646">
      <c r="A646" t="inlineStr">
        <is>
          <t>CON-0215</t>
        </is>
      </c>
      <c r="B646" t="inlineStr">
        <is>
          <t>Consulting</t>
        </is>
      </c>
      <c r="AB646" t="n">
        <v>215</v>
      </c>
      <c r="AD646" s="52">
        <f>IFERROR(N(IFERROR(INDEX($A646:$AB646,MATCH("Xero Invoiced Ex GST",$A$1:$AB$1,0)),"")),0)</f>
        <v/>
      </c>
      <c r="AE646" s="53">
        <f>IFERROR(INDEX($A646:$AB646,MATCH("Xero Invoice Date",$A$1:$AB$1,0)),"")</f>
        <v/>
      </c>
      <c r="AF646" s="54">
        <f>IF(AND(IFERROR(INDEX($A646:$AB646,MATCH("Xero Invoice No",$A$1:$AB$1,0)),"")&amp;""&lt;&gt;"",ISNUMBER(AE646),AD646&lt;&gt;0),1,0)</f>
        <v/>
      </c>
      <c r="AG646" s="55">
        <f>IF(AF646=1,EOMONTH(AE646,0),"")</f>
        <v/>
      </c>
      <c r="AH646" s="9">
        <f>IF(AF646=1,UPPER(TRIM(IFERROR(INDEX($A646:$AB646,MATCH("Client",$A$1:$AB$1,0)),"")&amp;"")),"")</f>
        <v/>
      </c>
      <c r="AI646" s="9">
        <f>IF(AF646=1,IFERROR(INDEX($A646:$AB646,MATCH("Cost Centre",$A$1:$AB$1,0)),"")&amp;"","")</f>
        <v/>
      </c>
      <c r="AJ646" s="54">
        <f>IF(AND(AF646=1,AE646&gt;=set_FYStart,AE646&lt;=set_AsAt),1,0)</f>
        <v/>
      </c>
      <c r="AK646" s="54">
        <f>IF(AND(AJ646=1,AH646&lt;&gt;"",COUNTIFS($AH$2:AH646,AH646,$AJ$2:AJ646,1)=1),N(AL645)+1,"")</f>
        <v/>
      </c>
      <c r="AL646" s="54">
        <f>IF(AK646&lt;&gt;"",AK646,N(AL645))</f>
        <v/>
      </c>
    </row>
    <row r="647">
      <c r="A647" t="inlineStr">
        <is>
          <t>ONS-0216</t>
        </is>
      </c>
      <c r="B647" t="inlineStr">
        <is>
          <t>Onsite</t>
        </is>
      </c>
      <c r="R647" t="inlineStr">
        <is>
          <t>GST 10%</t>
        </is>
      </c>
      <c r="AB647" t="n">
        <v>216</v>
      </c>
      <c r="AD647" s="52">
        <f>IFERROR(N(IFERROR(INDEX($A647:$AB647,MATCH("Xero Invoiced Ex GST",$A$1:$AB$1,0)),"")),0)</f>
        <v/>
      </c>
      <c r="AE647" s="53">
        <f>IFERROR(INDEX($A647:$AB647,MATCH("Xero Invoice Date",$A$1:$AB$1,0)),"")</f>
        <v/>
      </c>
      <c r="AF647" s="54">
        <f>IF(AND(IFERROR(INDEX($A647:$AB647,MATCH("Xero Invoice No",$A$1:$AB$1,0)),"")&amp;""&lt;&gt;"",ISNUMBER(AE647),AD647&lt;&gt;0),1,0)</f>
        <v/>
      </c>
      <c r="AG647" s="55">
        <f>IF(AF647=1,EOMONTH(AE647,0),"")</f>
        <v/>
      </c>
      <c r="AH647" s="9">
        <f>IF(AF647=1,UPPER(TRIM(IFERROR(INDEX($A647:$AB647,MATCH("Client",$A$1:$AB$1,0)),"")&amp;"")),"")</f>
        <v/>
      </c>
      <c r="AI647" s="9">
        <f>IF(AF647=1,IFERROR(INDEX($A647:$AB647,MATCH("Cost Centre",$A$1:$AB$1,0)),"")&amp;"","")</f>
        <v/>
      </c>
      <c r="AJ647" s="54">
        <f>IF(AND(AF647=1,AE647&gt;=set_FYStart,AE647&lt;=set_AsAt),1,0)</f>
        <v/>
      </c>
      <c r="AK647" s="54">
        <f>IF(AND(AJ647=1,AH647&lt;&gt;"",COUNTIFS($AH$2:AH647,AH647,$AJ$2:AJ647,1)=1),N(AL646)+1,"")</f>
        <v/>
      </c>
      <c r="AL647" s="54">
        <f>IF(AK647&lt;&gt;"",AK647,N(AL646))</f>
        <v/>
      </c>
    </row>
    <row r="648">
      <c r="A648" t="inlineStr">
        <is>
          <t>PRD-0216</t>
        </is>
      </c>
      <c r="B648" t="inlineStr">
        <is>
          <t>Production</t>
        </is>
      </c>
      <c r="AB648" t="n">
        <v>216</v>
      </c>
      <c r="AD648" s="52">
        <f>IFERROR(N(IFERROR(INDEX($A648:$AB648,MATCH("Xero Invoiced Ex GST",$A$1:$AB$1,0)),"")),0)</f>
        <v/>
      </c>
      <c r="AE648" s="53">
        <f>IFERROR(INDEX($A648:$AB648,MATCH("Xero Invoice Date",$A$1:$AB$1,0)),"")</f>
        <v/>
      </c>
      <c r="AF648" s="54">
        <f>IF(AND(IFERROR(INDEX($A648:$AB648,MATCH("Xero Invoice No",$A$1:$AB$1,0)),"")&amp;""&lt;&gt;"",ISNUMBER(AE648),AD648&lt;&gt;0),1,0)</f>
        <v/>
      </c>
      <c r="AG648" s="55">
        <f>IF(AF648=1,EOMONTH(AE648,0),"")</f>
        <v/>
      </c>
      <c r="AH648" s="9">
        <f>IF(AF648=1,UPPER(TRIM(IFERROR(INDEX($A648:$AB648,MATCH("Client",$A$1:$AB$1,0)),"")&amp;"")),"")</f>
        <v/>
      </c>
      <c r="AI648" s="9">
        <f>IF(AF648=1,IFERROR(INDEX($A648:$AB648,MATCH("Cost Centre",$A$1:$AB$1,0)),"")&amp;"","")</f>
        <v/>
      </c>
      <c r="AJ648" s="54">
        <f>IF(AND(AF648=1,AE648&gt;=set_FYStart,AE648&lt;=set_AsAt),1,0)</f>
        <v/>
      </c>
      <c r="AK648" s="54">
        <f>IF(AND(AJ648=1,AH648&lt;&gt;"",COUNTIFS($AH$2:AH648,AH648,$AJ$2:AJ648,1)=1),N(AL647)+1,"")</f>
        <v/>
      </c>
      <c r="AL648" s="54">
        <f>IF(AK648&lt;&gt;"",AK648,N(AL647))</f>
        <v/>
      </c>
    </row>
    <row r="649">
      <c r="A649" t="inlineStr">
        <is>
          <t>CON-0216</t>
        </is>
      </c>
      <c r="B649" t="inlineStr">
        <is>
          <t>Consulting</t>
        </is>
      </c>
      <c r="AB649" t="n">
        <v>216</v>
      </c>
      <c r="AD649" s="52">
        <f>IFERROR(N(IFERROR(INDEX($A649:$AB649,MATCH("Xero Invoiced Ex GST",$A$1:$AB$1,0)),"")),0)</f>
        <v/>
      </c>
      <c r="AE649" s="53">
        <f>IFERROR(INDEX($A649:$AB649,MATCH("Xero Invoice Date",$A$1:$AB$1,0)),"")</f>
        <v/>
      </c>
      <c r="AF649" s="54">
        <f>IF(AND(IFERROR(INDEX($A649:$AB649,MATCH("Xero Invoice No",$A$1:$AB$1,0)),"")&amp;""&lt;&gt;"",ISNUMBER(AE649),AD649&lt;&gt;0),1,0)</f>
        <v/>
      </c>
      <c r="AG649" s="55">
        <f>IF(AF649=1,EOMONTH(AE649,0),"")</f>
        <v/>
      </c>
      <c r="AH649" s="9">
        <f>IF(AF649=1,UPPER(TRIM(IFERROR(INDEX($A649:$AB649,MATCH("Client",$A$1:$AB$1,0)),"")&amp;"")),"")</f>
        <v/>
      </c>
      <c r="AI649" s="9">
        <f>IF(AF649=1,IFERROR(INDEX($A649:$AB649,MATCH("Cost Centre",$A$1:$AB$1,0)),"")&amp;"","")</f>
        <v/>
      </c>
      <c r="AJ649" s="54">
        <f>IF(AND(AF649=1,AE649&gt;=set_FYStart,AE649&lt;=set_AsAt),1,0)</f>
        <v/>
      </c>
      <c r="AK649" s="54">
        <f>IF(AND(AJ649=1,AH649&lt;&gt;"",COUNTIFS($AH$2:AH649,AH649,$AJ$2:AJ649,1)=1),N(AL648)+1,"")</f>
        <v/>
      </c>
      <c r="AL649" s="54">
        <f>IF(AK649&lt;&gt;"",AK649,N(AL648))</f>
        <v/>
      </c>
    </row>
    <row r="650">
      <c r="A650" t="inlineStr">
        <is>
          <t>ONS-0217</t>
        </is>
      </c>
      <c r="B650" t="inlineStr">
        <is>
          <t>Onsite</t>
        </is>
      </c>
      <c r="R650" t="inlineStr">
        <is>
          <t>GST 10%</t>
        </is>
      </c>
      <c r="AB650" t="n">
        <v>217</v>
      </c>
      <c r="AD650" s="52">
        <f>IFERROR(N(IFERROR(INDEX($A650:$AB650,MATCH("Xero Invoiced Ex GST",$A$1:$AB$1,0)),"")),0)</f>
        <v/>
      </c>
      <c r="AE650" s="53">
        <f>IFERROR(INDEX($A650:$AB650,MATCH("Xero Invoice Date",$A$1:$AB$1,0)),"")</f>
        <v/>
      </c>
      <c r="AF650" s="54">
        <f>IF(AND(IFERROR(INDEX($A650:$AB650,MATCH("Xero Invoice No",$A$1:$AB$1,0)),"")&amp;""&lt;&gt;"",ISNUMBER(AE650),AD650&lt;&gt;0),1,0)</f>
        <v/>
      </c>
      <c r="AG650" s="55">
        <f>IF(AF650=1,EOMONTH(AE650,0),"")</f>
        <v/>
      </c>
      <c r="AH650" s="9">
        <f>IF(AF650=1,UPPER(TRIM(IFERROR(INDEX($A650:$AB650,MATCH("Client",$A$1:$AB$1,0)),"")&amp;"")),"")</f>
        <v/>
      </c>
      <c r="AI650" s="9">
        <f>IF(AF650=1,IFERROR(INDEX($A650:$AB650,MATCH("Cost Centre",$A$1:$AB$1,0)),"")&amp;"","")</f>
        <v/>
      </c>
      <c r="AJ650" s="54">
        <f>IF(AND(AF650=1,AE650&gt;=set_FYStart,AE650&lt;=set_AsAt),1,0)</f>
        <v/>
      </c>
      <c r="AK650" s="54">
        <f>IF(AND(AJ650=1,AH650&lt;&gt;"",COUNTIFS($AH$2:AH650,AH650,$AJ$2:AJ650,1)=1),N(AL649)+1,"")</f>
        <v/>
      </c>
      <c r="AL650" s="54">
        <f>IF(AK650&lt;&gt;"",AK650,N(AL649))</f>
        <v/>
      </c>
    </row>
    <row r="651">
      <c r="A651" t="inlineStr">
        <is>
          <t>PRD-0217</t>
        </is>
      </c>
      <c r="B651" t="inlineStr">
        <is>
          <t>Production</t>
        </is>
      </c>
      <c r="AB651" t="n">
        <v>217</v>
      </c>
      <c r="AD651" s="52">
        <f>IFERROR(N(IFERROR(INDEX($A651:$AB651,MATCH("Xero Invoiced Ex GST",$A$1:$AB$1,0)),"")),0)</f>
        <v/>
      </c>
      <c r="AE651" s="53">
        <f>IFERROR(INDEX($A651:$AB651,MATCH("Xero Invoice Date",$A$1:$AB$1,0)),"")</f>
        <v/>
      </c>
      <c r="AF651" s="54">
        <f>IF(AND(IFERROR(INDEX($A651:$AB651,MATCH("Xero Invoice No",$A$1:$AB$1,0)),"")&amp;""&lt;&gt;"",ISNUMBER(AE651),AD651&lt;&gt;0),1,0)</f>
        <v/>
      </c>
      <c r="AG651" s="55">
        <f>IF(AF651=1,EOMONTH(AE651,0),"")</f>
        <v/>
      </c>
      <c r="AH651" s="9">
        <f>IF(AF651=1,UPPER(TRIM(IFERROR(INDEX($A651:$AB651,MATCH("Client",$A$1:$AB$1,0)),"")&amp;"")),"")</f>
        <v/>
      </c>
      <c r="AI651" s="9">
        <f>IF(AF651=1,IFERROR(INDEX($A651:$AB651,MATCH("Cost Centre",$A$1:$AB$1,0)),"")&amp;"","")</f>
        <v/>
      </c>
      <c r="AJ651" s="54">
        <f>IF(AND(AF651=1,AE651&gt;=set_FYStart,AE651&lt;=set_AsAt),1,0)</f>
        <v/>
      </c>
      <c r="AK651" s="54">
        <f>IF(AND(AJ651=1,AH651&lt;&gt;"",COUNTIFS($AH$2:AH651,AH651,$AJ$2:AJ651,1)=1),N(AL650)+1,"")</f>
        <v/>
      </c>
      <c r="AL651" s="54">
        <f>IF(AK651&lt;&gt;"",AK651,N(AL650))</f>
        <v/>
      </c>
    </row>
    <row r="652">
      <c r="A652" t="inlineStr">
        <is>
          <t>CON-0217</t>
        </is>
      </c>
      <c r="B652" t="inlineStr">
        <is>
          <t>Consulting</t>
        </is>
      </c>
      <c r="AB652" t="n">
        <v>217</v>
      </c>
      <c r="AD652" s="52">
        <f>IFERROR(N(IFERROR(INDEX($A652:$AB652,MATCH("Xero Invoiced Ex GST",$A$1:$AB$1,0)),"")),0)</f>
        <v/>
      </c>
      <c r="AE652" s="53">
        <f>IFERROR(INDEX($A652:$AB652,MATCH("Xero Invoice Date",$A$1:$AB$1,0)),"")</f>
        <v/>
      </c>
      <c r="AF652" s="54">
        <f>IF(AND(IFERROR(INDEX($A652:$AB652,MATCH("Xero Invoice No",$A$1:$AB$1,0)),"")&amp;""&lt;&gt;"",ISNUMBER(AE652),AD652&lt;&gt;0),1,0)</f>
        <v/>
      </c>
      <c r="AG652" s="55">
        <f>IF(AF652=1,EOMONTH(AE652,0),"")</f>
        <v/>
      </c>
      <c r="AH652" s="9">
        <f>IF(AF652=1,UPPER(TRIM(IFERROR(INDEX($A652:$AB652,MATCH("Client",$A$1:$AB$1,0)),"")&amp;"")),"")</f>
        <v/>
      </c>
      <c r="AI652" s="9">
        <f>IF(AF652=1,IFERROR(INDEX($A652:$AB652,MATCH("Cost Centre",$A$1:$AB$1,0)),"")&amp;"","")</f>
        <v/>
      </c>
      <c r="AJ652" s="54">
        <f>IF(AND(AF652=1,AE652&gt;=set_FYStart,AE652&lt;=set_AsAt),1,0)</f>
        <v/>
      </c>
      <c r="AK652" s="54">
        <f>IF(AND(AJ652=1,AH652&lt;&gt;"",COUNTIFS($AH$2:AH652,AH652,$AJ$2:AJ652,1)=1),N(AL651)+1,"")</f>
        <v/>
      </c>
      <c r="AL652" s="54">
        <f>IF(AK652&lt;&gt;"",AK652,N(AL651))</f>
        <v/>
      </c>
    </row>
    <row r="653">
      <c r="A653" t="inlineStr">
        <is>
          <t>ONS-0218</t>
        </is>
      </c>
      <c r="B653" t="inlineStr">
        <is>
          <t>Onsite</t>
        </is>
      </c>
      <c r="R653" t="inlineStr">
        <is>
          <t>GST 10%</t>
        </is>
      </c>
      <c r="AB653" t="n">
        <v>218</v>
      </c>
      <c r="AD653" s="52">
        <f>IFERROR(N(IFERROR(INDEX($A653:$AB653,MATCH("Xero Invoiced Ex GST",$A$1:$AB$1,0)),"")),0)</f>
        <v/>
      </c>
      <c r="AE653" s="53">
        <f>IFERROR(INDEX($A653:$AB653,MATCH("Xero Invoice Date",$A$1:$AB$1,0)),"")</f>
        <v/>
      </c>
      <c r="AF653" s="54">
        <f>IF(AND(IFERROR(INDEX($A653:$AB653,MATCH("Xero Invoice No",$A$1:$AB$1,0)),"")&amp;""&lt;&gt;"",ISNUMBER(AE653),AD653&lt;&gt;0),1,0)</f>
        <v/>
      </c>
      <c r="AG653" s="55">
        <f>IF(AF653=1,EOMONTH(AE653,0),"")</f>
        <v/>
      </c>
      <c r="AH653" s="9">
        <f>IF(AF653=1,UPPER(TRIM(IFERROR(INDEX($A653:$AB653,MATCH("Client",$A$1:$AB$1,0)),"")&amp;"")),"")</f>
        <v/>
      </c>
      <c r="AI653" s="9">
        <f>IF(AF653=1,IFERROR(INDEX($A653:$AB653,MATCH("Cost Centre",$A$1:$AB$1,0)),"")&amp;"","")</f>
        <v/>
      </c>
      <c r="AJ653" s="54">
        <f>IF(AND(AF653=1,AE653&gt;=set_FYStart,AE653&lt;=set_AsAt),1,0)</f>
        <v/>
      </c>
      <c r="AK653" s="54">
        <f>IF(AND(AJ653=1,AH653&lt;&gt;"",COUNTIFS($AH$2:AH653,AH653,$AJ$2:AJ653,1)=1),N(AL652)+1,"")</f>
        <v/>
      </c>
      <c r="AL653" s="54">
        <f>IF(AK653&lt;&gt;"",AK653,N(AL652))</f>
        <v/>
      </c>
    </row>
    <row r="654">
      <c r="A654" t="inlineStr">
        <is>
          <t>PRD-0218</t>
        </is>
      </c>
      <c r="B654" t="inlineStr">
        <is>
          <t>Production</t>
        </is>
      </c>
      <c r="AB654" t="n">
        <v>218</v>
      </c>
      <c r="AD654" s="52">
        <f>IFERROR(N(IFERROR(INDEX($A654:$AB654,MATCH("Xero Invoiced Ex GST",$A$1:$AB$1,0)),"")),0)</f>
        <v/>
      </c>
      <c r="AE654" s="53">
        <f>IFERROR(INDEX($A654:$AB654,MATCH("Xero Invoice Date",$A$1:$AB$1,0)),"")</f>
        <v/>
      </c>
      <c r="AF654" s="54">
        <f>IF(AND(IFERROR(INDEX($A654:$AB654,MATCH("Xero Invoice No",$A$1:$AB$1,0)),"")&amp;""&lt;&gt;"",ISNUMBER(AE654),AD654&lt;&gt;0),1,0)</f>
        <v/>
      </c>
      <c r="AG654" s="55">
        <f>IF(AF654=1,EOMONTH(AE654,0),"")</f>
        <v/>
      </c>
      <c r="AH654" s="9">
        <f>IF(AF654=1,UPPER(TRIM(IFERROR(INDEX($A654:$AB654,MATCH("Client",$A$1:$AB$1,0)),"")&amp;"")),"")</f>
        <v/>
      </c>
      <c r="AI654" s="9">
        <f>IF(AF654=1,IFERROR(INDEX($A654:$AB654,MATCH("Cost Centre",$A$1:$AB$1,0)),"")&amp;"","")</f>
        <v/>
      </c>
      <c r="AJ654" s="54">
        <f>IF(AND(AF654=1,AE654&gt;=set_FYStart,AE654&lt;=set_AsAt),1,0)</f>
        <v/>
      </c>
      <c r="AK654" s="54">
        <f>IF(AND(AJ654=1,AH654&lt;&gt;"",COUNTIFS($AH$2:AH654,AH654,$AJ$2:AJ654,1)=1),N(AL653)+1,"")</f>
        <v/>
      </c>
      <c r="AL654" s="54">
        <f>IF(AK654&lt;&gt;"",AK654,N(AL653))</f>
        <v/>
      </c>
    </row>
    <row r="655">
      <c r="A655" t="inlineStr">
        <is>
          <t>CON-0218</t>
        </is>
      </c>
      <c r="B655" t="inlineStr">
        <is>
          <t>Consulting</t>
        </is>
      </c>
      <c r="AB655" t="n">
        <v>218</v>
      </c>
      <c r="AD655" s="52">
        <f>IFERROR(N(IFERROR(INDEX($A655:$AB655,MATCH("Xero Invoiced Ex GST",$A$1:$AB$1,0)),"")),0)</f>
        <v/>
      </c>
      <c r="AE655" s="53">
        <f>IFERROR(INDEX($A655:$AB655,MATCH("Xero Invoice Date",$A$1:$AB$1,0)),"")</f>
        <v/>
      </c>
      <c r="AF655" s="54">
        <f>IF(AND(IFERROR(INDEX($A655:$AB655,MATCH("Xero Invoice No",$A$1:$AB$1,0)),"")&amp;""&lt;&gt;"",ISNUMBER(AE655),AD655&lt;&gt;0),1,0)</f>
        <v/>
      </c>
      <c r="AG655" s="55">
        <f>IF(AF655=1,EOMONTH(AE655,0),"")</f>
        <v/>
      </c>
      <c r="AH655" s="9">
        <f>IF(AF655=1,UPPER(TRIM(IFERROR(INDEX($A655:$AB655,MATCH("Client",$A$1:$AB$1,0)),"")&amp;"")),"")</f>
        <v/>
      </c>
      <c r="AI655" s="9">
        <f>IF(AF655=1,IFERROR(INDEX($A655:$AB655,MATCH("Cost Centre",$A$1:$AB$1,0)),"")&amp;"","")</f>
        <v/>
      </c>
      <c r="AJ655" s="54">
        <f>IF(AND(AF655=1,AE655&gt;=set_FYStart,AE655&lt;=set_AsAt),1,0)</f>
        <v/>
      </c>
      <c r="AK655" s="54">
        <f>IF(AND(AJ655=1,AH655&lt;&gt;"",COUNTIFS($AH$2:AH655,AH655,$AJ$2:AJ655,1)=1),N(AL654)+1,"")</f>
        <v/>
      </c>
      <c r="AL655" s="54">
        <f>IF(AK655&lt;&gt;"",AK655,N(AL654))</f>
        <v/>
      </c>
    </row>
    <row r="656">
      <c r="A656" t="inlineStr">
        <is>
          <t>ONS-0219</t>
        </is>
      </c>
      <c r="B656" t="inlineStr">
        <is>
          <t>Onsite</t>
        </is>
      </c>
      <c r="R656" t="inlineStr">
        <is>
          <t>GST 10%</t>
        </is>
      </c>
      <c r="AB656" t="n">
        <v>219</v>
      </c>
      <c r="AD656" s="52">
        <f>IFERROR(N(IFERROR(INDEX($A656:$AB656,MATCH("Xero Invoiced Ex GST",$A$1:$AB$1,0)),"")),0)</f>
        <v/>
      </c>
      <c r="AE656" s="53">
        <f>IFERROR(INDEX($A656:$AB656,MATCH("Xero Invoice Date",$A$1:$AB$1,0)),"")</f>
        <v/>
      </c>
      <c r="AF656" s="54">
        <f>IF(AND(IFERROR(INDEX($A656:$AB656,MATCH("Xero Invoice No",$A$1:$AB$1,0)),"")&amp;""&lt;&gt;"",ISNUMBER(AE656),AD656&lt;&gt;0),1,0)</f>
        <v/>
      </c>
      <c r="AG656" s="55">
        <f>IF(AF656=1,EOMONTH(AE656,0),"")</f>
        <v/>
      </c>
      <c r="AH656" s="9">
        <f>IF(AF656=1,UPPER(TRIM(IFERROR(INDEX($A656:$AB656,MATCH("Client",$A$1:$AB$1,0)),"")&amp;"")),"")</f>
        <v/>
      </c>
      <c r="AI656" s="9">
        <f>IF(AF656=1,IFERROR(INDEX($A656:$AB656,MATCH("Cost Centre",$A$1:$AB$1,0)),"")&amp;"","")</f>
        <v/>
      </c>
      <c r="AJ656" s="54">
        <f>IF(AND(AF656=1,AE656&gt;=set_FYStart,AE656&lt;=set_AsAt),1,0)</f>
        <v/>
      </c>
      <c r="AK656" s="54">
        <f>IF(AND(AJ656=1,AH656&lt;&gt;"",COUNTIFS($AH$2:AH656,AH656,$AJ$2:AJ656,1)=1),N(AL655)+1,"")</f>
        <v/>
      </c>
      <c r="AL656" s="54">
        <f>IF(AK656&lt;&gt;"",AK656,N(AL655))</f>
        <v/>
      </c>
    </row>
    <row r="657">
      <c r="A657" t="inlineStr">
        <is>
          <t>PRD-0219</t>
        </is>
      </c>
      <c r="B657" t="inlineStr">
        <is>
          <t>Production</t>
        </is>
      </c>
      <c r="AB657" t="n">
        <v>219</v>
      </c>
      <c r="AD657" s="52">
        <f>IFERROR(N(IFERROR(INDEX($A657:$AB657,MATCH("Xero Invoiced Ex GST",$A$1:$AB$1,0)),"")),0)</f>
        <v/>
      </c>
      <c r="AE657" s="53">
        <f>IFERROR(INDEX($A657:$AB657,MATCH("Xero Invoice Date",$A$1:$AB$1,0)),"")</f>
        <v/>
      </c>
      <c r="AF657" s="54">
        <f>IF(AND(IFERROR(INDEX($A657:$AB657,MATCH("Xero Invoice No",$A$1:$AB$1,0)),"")&amp;""&lt;&gt;"",ISNUMBER(AE657),AD657&lt;&gt;0),1,0)</f>
        <v/>
      </c>
      <c r="AG657" s="55">
        <f>IF(AF657=1,EOMONTH(AE657,0),"")</f>
        <v/>
      </c>
      <c r="AH657" s="9">
        <f>IF(AF657=1,UPPER(TRIM(IFERROR(INDEX($A657:$AB657,MATCH("Client",$A$1:$AB$1,0)),"")&amp;"")),"")</f>
        <v/>
      </c>
      <c r="AI657" s="9">
        <f>IF(AF657=1,IFERROR(INDEX($A657:$AB657,MATCH("Cost Centre",$A$1:$AB$1,0)),"")&amp;"","")</f>
        <v/>
      </c>
      <c r="AJ657" s="54">
        <f>IF(AND(AF657=1,AE657&gt;=set_FYStart,AE657&lt;=set_AsAt),1,0)</f>
        <v/>
      </c>
      <c r="AK657" s="54">
        <f>IF(AND(AJ657=1,AH657&lt;&gt;"",COUNTIFS($AH$2:AH657,AH657,$AJ$2:AJ657,1)=1),N(AL656)+1,"")</f>
        <v/>
      </c>
      <c r="AL657" s="54">
        <f>IF(AK657&lt;&gt;"",AK657,N(AL656))</f>
        <v/>
      </c>
    </row>
    <row r="658">
      <c r="A658" t="inlineStr">
        <is>
          <t>CON-0219</t>
        </is>
      </c>
      <c r="B658" t="inlineStr">
        <is>
          <t>Consulting</t>
        </is>
      </c>
      <c r="AB658" t="n">
        <v>219</v>
      </c>
      <c r="AD658" s="52">
        <f>IFERROR(N(IFERROR(INDEX($A658:$AB658,MATCH("Xero Invoiced Ex GST",$A$1:$AB$1,0)),"")),0)</f>
        <v/>
      </c>
      <c r="AE658" s="53">
        <f>IFERROR(INDEX($A658:$AB658,MATCH("Xero Invoice Date",$A$1:$AB$1,0)),"")</f>
        <v/>
      </c>
      <c r="AF658" s="54">
        <f>IF(AND(IFERROR(INDEX($A658:$AB658,MATCH("Xero Invoice No",$A$1:$AB$1,0)),"")&amp;""&lt;&gt;"",ISNUMBER(AE658),AD658&lt;&gt;0),1,0)</f>
        <v/>
      </c>
      <c r="AG658" s="55">
        <f>IF(AF658=1,EOMONTH(AE658,0),"")</f>
        <v/>
      </c>
      <c r="AH658" s="9">
        <f>IF(AF658=1,UPPER(TRIM(IFERROR(INDEX($A658:$AB658,MATCH("Client",$A$1:$AB$1,0)),"")&amp;"")),"")</f>
        <v/>
      </c>
      <c r="AI658" s="9">
        <f>IF(AF658=1,IFERROR(INDEX($A658:$AB658,MATCH("Cost Centre",$A$1:$AB$1,0)),"")&amp;"","")</f>
        <v/>
      </c>
      <c r="AJ658" s="54">
        <f>IF(AND(AF658=1,AE658&gt;=set_FYStart,AE658&lt;=set_AsAt),1,0)</f>
        <v/>
      </c>
      <c r="AK658" s="54">
        <f>IF(AND(AJ658=1,AH658&lt;&gt;"",COUNTIFS($AH$2:AH658,AH658,$AJ$2:AJ658,1)=1),N(AL657)+1,"")</f>
        <v/>
      </c>
      <c r="AL658" s="54">
        <f>IF(AK658&lt;&gt;"",AK658,N(AL657))</f>
        <v/>
      </c>
    </row>
    <row r="659">
      <c r="A659" t="inlineStr">
        <is>
          <t>ONS-0220</t>
        </is>
      </c>
      <c r="B659" t="inlineStr">
        <is>
          <t>Onsite</t>
        </is>
      </c>
      <c r="R659" t="inlineStr">
        <is>
          <t>GST 10%</t>
        </is>
      </c>
      <c r="AB659" t="n">
        <v>220</v>
      </c>
      <c r="AD659" s="52">
        <f>IFERROR(N(IFERROR(INDEX($A659:$AB659,MATCH("Xero Invoiced Ex GST",$A$1:$AB$1,0)),"")),0)</f>
        <v/>
      </c>
      <c r="AE659" s="53">
        <f>IFERROR(INDEX($A659:$AB659,MATCH("Xero Invoice Date",$A$1:$AB$1,0)),"")</f>
        <v/>
      </c>
      <c r="AF659" s="54">
        <f>IF(AND(IFERROR(INDEX($A659:$AB659,MATCH("Xero Invoice No",$A$1:$AB$1,0)),"")&amp;""&lt;&gt;"",ISNUMBER(AE659),AD659&lt;&gt;0),1,0)</f>
        <v/>
      </c>
      <c r="AG659" s="55">
        <f>IF(AF659=1,EOMONTH(AE659,0),"")</f>
        <v/>
      </c>
      <c r="AH659" s="9">
        <f>IF(AF659=1,UPPER(TRIM(IFERROR(INDEX($A659:$AB659,MATCH("Client",$A$1:$AB$1,0)),"")&amp;"")),"")</f>
        <v/>
      </c>
      <c r="AI659" s="9">
        <f>IF(AF659=1,IFERROR(INDEX($A659:$AB659,MATCH("Cost Centre",$A$1:$AB$1,0)),"")&amp;"","")</f>
        <v/>
      </c>
      <c r="AJ659" s="54">
        <f>IF(AND(AF659=1,AE659&gt;=set_FYStart,AE659&lt;=set_AsAt),1,0)</f>
        <v/>
      </c>
      <c r="AK659" s="54">
        <f>IF(AND(AJ659=1,AH659&lt;&gt;"",COUNTIFS($AH$2:AH659,AH659,$AJ$2:AJ659,1)=1),N(AL658)+1,"")</f>
        <v/>
      </c>
      <c r="AL659" s="54">
        <f>IF(AK659&lt;&gt;"",AK659,N(AL658))</f>
        <v/>
      </c>
    </row>
    <row r="660">
      <c r="A660" t="inlineStr">
        <is>
          <t>PRD-0220</t>
        </is>
      </c>
      <c r="B660" t="inlineStr">
        <is>
          <t>Production</t>
        </is>
      </c>
      <c r="AB660" t="n">
        <v>220</v>
      </c>
      <c r="AD660" s="52">
        <f>IFERROR(N(IFERROR(INDEX($A660:$AB660,MATCH("Xero Invoiced Ex GST",$A$1:$AB$1,0)),"")),0)</f>
        <v/>
      </c>
      <c r="AE660" s="53">
        <f>IFERROR(INDEX($A660:$AB660,MATCH("Xero Invoice Date",$A$1:$AB$1,0)),"")</f>
        <v/>
      </c>
      <c r="AF660" s="54">
        <f>IF(AND(IFERROR(INDEX($A660:$AB660,MATCH("Xero Invoice No",$A$1:$AB$1,0)),"")&amp;""&lt;&gt;"",ISNUMBER(AE660),AD660&lt;&gt;0),1,0)</f>
        <v/>
      </c>
      <c r="AG660" s="55">
        <f>IF(AF660=1,EOMONTH(AE660,0),"")</f>
        <v/>
      </c>
      <c r="AH660" s="9">
        <f>IF(AF660=1,UPPER(TRIM(IFERROR(INDEX($A660:$AB660,MATCH("Client",$A$1:$AB$1,0)),"")&amp;"")),"")</f>
        <v/>
      </c>
      <c r="AI660" s="9">
        <f>IF(AF660=1,IFERROR(INDEX($A660:$AB660,MATCH("Cost Centre",$A$1:$AB$1,0)),"")&amp;"","")</f>
        <v/>
      </c>
      <c r="AJ660" s="54">
        <f>IF(AND(AF660=1,AE660&gt;=set_FYStart,AE660&lt;=set_AsAt),1,0)</f>
        <v/>
      </c>
      <c r="AK660" s="54">
        <f>IF(AND(AJ660=1,AH660&lt;&gt;"",COUNTIFS($AH$2:AH660,AH660,$AJ$2:AJ660,1)=1),N(AL659)+1,"")</f>
        <v/>
      </c>
      <c r="AL660" s="54">
        <f>IF(AK660&lt;&gt;"",AK660,N(AL659))</f>
        <v/>
      </c>
    </row>
    <row r="661">
      <c r="A661" t="inlineStr">
        <is>
          <t>CON-0220</t>
        </is>
      </c>
      <c r="B661" t="inlineStr">
        <is>
          <t>Consulting</t>
        </is>
      </c>
      <c r="AB661" t="n">
        <v>220</v>
      </c>
      <c r="AD661" s="52">
        <f>IFERROR(N(IFERROR(INDEX($A661:$AB661,MATCH("Xero Invoiced Ex GST",$A$1:$AB$1,0)),"")),0)</f>
        <v/>
      </c>
      <c r="AE661" s="53">
        <f>IFERROR(INDEX($A661:$AB661,MATCH("Xero Invoice Date",$A$1:$AB$1,0)),"")</f>
        <v/>
      </c>
      <c r="AF661" s="54">
        <f>IF(AND(IFERROR(INDEX($A661:$AB661,MATCH("Xero Invoice No",$A$1:$AB$1,0)),"")&amp;""&lt;&gt;"",ISNUMBER(AE661),AD661&lt;&gt;0),1,0)</f>
        <v/>
      </c>
      <c r="AG661" s="55">
        <f>IF(AF661=1,EOMONTH(AE661,0),"")</f>
        <v/>
      </c>
      <c r="AH661" s="9">
        <f>IF(AF661=1,UPPER(TRIM(IFERROR(INDEX($A661:$AB661,MATCH("Client",$A$1:$AB$1,0)),"")&amp;"")),"")</f>
        <v/>
      </c>
      <c r="AI661" s="9">
        <f>IF(AF661=1,IFERROR(INDEX($A661:$AB661,MATCH("Cost Centre",$A$1:$AB$1,0)),"")&amp;"","")</f>
        <v/>
      </c>
      <c r="AJ661" s="54">
        <f>IF(AND(AF661=1,AE661&gt;=set_FYStart,AE661&lt;=set_AsAt),1,0)</f>
        <v/>
      </c>
      <c r="AK661" s="54">
        <f>IF(AND(AJ661=1,AH661&lt;&gt;"",COUNTIFS($AH$2:AH661,AH661,$AJ$2:AJ661,1)=1),N(AL660)+1,"")</f>
        <v/>
      </c>
      <c r="AL661" s="54">
        <f>IF(AK661&lt;&gt;"",AK661,N(AL660))</f>
        <v/>
      </c>
    </row>
    <row r="662">
      <c r="A662" t="inlineStr">
        <is>
          <t>ONS-0221</t>
        </is>
      </c>
      <c r="B662" t="inlineStr">
        <is>
          <t>Onsite</t>
        </is>
      </c>
      <c r="R662" t="inlineStr">
        <is>
          <t>GST 10%</t>
        </is>
      </c>
      <c r="AB662" t="n">
        <v>221</v>
      </c>
      <c r="AD662" s="52">
        <f>IFERROR(N(IFERROR(INDEX($A662:$AB662,MATCH("Xero Invoiced Ex GST",$A$1:$AB$1,0)),"")),0)</f>
        <v/>
      </c>
      <c r="AE662" s="53">
        <f>IFERROR(INDEX($A662:$AB662,MATCH("Xero Invoice Date",$A$1:$AB$1,0)),"")</f>
        <v/>
      </c>
      <c r="AF662" s="54">
        <f>IF(AND(IFERROR(INDEX($A662:$AB662,MATCH("Xero Invoice No",$A$1:$AB$1,0)),"")&amp;""&lt;&gt;"",ISNUMBER(AE662),AD662&lt;&gt;0),1,0)</f>
        <v/>
      </c>
      <c r="AG662" s="55">
        <f>IF(AF662=1,EOMONTH(AE662,0),"")</f>
        <v/>
      </c>
      <c r="AH662" s="9">
        <f>IF(AF662=1,UPPER(TRIM(IFERROR(INDEX($A662:$AB662,MATCH("Client",$A$1:$AB$1,0)),"")&amp;"")),"")</f>
        <v/>
      </c>
      <c r="AI662" s="9">
        <f>IF(AF662=1,IFERROR(INDEX($A662:$AB662,MATCH("Cost Centre",$A$1:$AB$1,0)),"")&amp;"","")</f>
        <v/>
      </c>
      <c r="AJ662" s="54">
        <f>IF(AND(AF662=1,AE662&gt;=set_FYStart,AE662&lt;=set_AsAt),1,0)</f>
        <v/>
      </c>
      <c r="AK662" s="54">
        <f>IF(AND(AJ662=1,AH662&lt;&gt;"",COUNTIFS($AH$2:AH662,AH662,$AJ$2:AJ662,1)=1),N(AL661)+1,"")</f>
        <v/>
      </c>
      <c r="AL662" s="54">
        <f>IF(AK662&lt;&gt;"",AK662,N(AL661))</f>
        <v/>
      </c>
    </row>
    <row r="663">
      <c r="A663" t="inlineStr">
        <is>
          <t>PRD-0221</t>
        </is>
      </c>
      <c r="B663" t="inlineStr">
        <is>
          <t>Production</t>
        </is>
      </c>
      <c r="AB663" t="n">
        <v>221</v>
      </c>
      <c r="AD663" s="52">
        <f>IFERROR(N(IFERROR(INDEX($A663:$AB663,MATCH("Xero Invoiced Ex GST",$A$1:$AB$1,0)),"")),0)</f>
        <v/>
      </c>
      <c r="AE663" s="53">
        <f>IFERROR(INDEX($A663:$AB663,MATCH("Xero Invoice Date",$A$1:$AB$1,0)),"")</f>
        <v/>
      </c>
      <c r="AF663" s="54">
        <f>IF(AND(IFERROR(INDEX($A663:$AB663,MATCH("Xero Invoice No",$A$1:$AB$1,0)),"")&amp;""&lt;&gt;"",ISNUMBER(AE663),AD663&lt;&gt;0),1,0)</f>
        <v/>
      </c>
      <c r="AG663" s="55">
        <f>IF(AF663=1,EOMONTH(AE663,0),"")</f>
        <v/>
      </c>
      <c r="AH663" s="9">
        <f>IF(AF663=1,UPPER(TRIM(IFERROR(INDEX($A663:$AB663,MATCH("Client",$A$1:$AB$1,0)),"")&amp;"")),"")</f>
        <v/>
      </c>
      <c r="AI663" s="9">
        <f>IF(AF663=1,IFERROR(INDEX($A663:$AB663,MATCH("Cost Centre",$A$1:$AB$1,0)),"")&amp;"","")</f>
        <v/>
      </c>
      <c r="AJ663" s="54">
        <f>IF(AND(AF663=1,AE663&gt;=set_FYStart,AE663&lt;=set_AsAt),1,0)</f>
        <v/>
      </c>
      <c r="AK663" s="54">
        <f>IF(AND(AJ663=1,AH663&lt;&gt;"",COUNTIFS($AH$2:AH663,AH663,$AJ$2:AJ663,1)=1),N(AL662)+1,"")</f>
        <v/>
      </c>
      <c r="AL663" s="54">
        <f>IF(AK663&lt;&gt;"",AK663,N(AL662))</f>
        <v/>
      </c>
    </row>
    <row r="664">
      <c r="A664" t="inlineStr">
        <is>
          <t>CON-0221</t>
        </is>
      </c>
      <c r="B664" t="inlineStr">
        <is>
          <t>Consulting</t>
        </is>
      </c>
      <c r="AB664" t="n">
        <v>221</v>
      </c>
      <c r="AD664" s="52">
        <f>IFERROR(N(IFERROR(INDEX($A664:$AB664,MATCH("Xero Invoiced Ex GST",$A$1:$AB$1,0)),"")),0)</f>
        <v/>
      </c>
      <c r="AE664" s="53">
        <f>IFERROR(INDEX($A664:$AB664,MATCH("Xero Invoice Date",$A$1:$AB$1,0)),"")</f>
        <v/>
      </c>
      <c r="AF664" s="54">
        <f>IF(AND(IFERROR(INDEX($A664:$AB664,MATCH("Xero Invoice No",$A$1:$AB$1,0)),"")&amp;""&lt;&gt;"",ISNUMBER(AE664),AD664&lt;&gt;0),1,0)</f>
        <v/>
      </c>
      <c r="AG664" s="55">
        <f>IF(AF664=1,EOMONTH(AE664,0),"")</f>
        <v/>
      </c>
      <c r="AH664" s="9">
        <f>IF(AF664=1,UPPER(TRIM(IFERROR(INDEX($A664:$AB664,MATCH("Client",$A$1:$AB$1,0)),"")&amp;"")),"")</f>
        <v/>
      </c>
      <c r="AI664" s="9">
        <f>IF(AF664=1,IFERROR(INDEX($A664:$AB664,MATCH("Cost Centre",$A$1:$AB$1,0)),"")&amp;"","")</f>
        <v/>
      </c>
      <c r="AJ664" s="54">
        <f>IF(AND(AF664=1,AE664&gt;=set_FYStart,AE664&lt;=set_AsAt),1,0)</f>
        <v/>
      </c>
      <c r="AK664" s="54">
        <f>IF(AND(AJ664=1,AH664&lt;&gt;"",COUNTIFS($AH$2:AH664,AH664,$AJ$2:AJ664,1)=1),N(AL663)+1,"")</f>
        <v/>
      </c>
      <c r="AL664" s="54">
        <f>IF(AK664&lt;&gt;"",AK664,N(AL663))</f>
        <v/>
      </c>
    </row>
    <row r="665">
      <c r="A665" t="inlineStr">
        <is>
          <t>ONS-0222</t>
        </is>
      </c>
      <c r="B665" t="inlineStr">
        <is>
          <t>Onsite</t>
        </is>
      </c>
      <c r="R665" t="inlineStr">
        <is>
          <t>GST 10%</t>
        </is>
      </c>
      <c r="AB665" t="n">
        <v>222</v>
      </c>
      <c r="AD665" s="52">
        <f>IFERROR(N(IFERROR(INDEX($A665:$AB665,MATCH("Xero Invoiced Ex GST",$A$1:$AB$1,0)),"")),0)</f>
        <v/>
      </c>
      <c r="AE665" s="53">
        <f>IFERROR(INDEX($A665:$AB665,MATCH("Xero Invoice Date",$A$1:$AB$1,0)),"")</f>
        <v/>
      </c>
      <c r="AF665" s="54">
        <f>IF(AND(IFERROR(INDEX($A665:$AB665,MATCH("Xero Invoice No",$A$1:$AB$1,0)),"")&amp;""&lt;&gt;"",ISNUMBER(AE665),AD665&lt;&gt;0),1,0)</f>
        <v/>
      </c>
      <c r="AG665" s="55">
        <f>IF(AF665=1,EOMONTH(AE665,0),"")</f>
        <v/>
      </c>
      <c r="AH665" s="9">
        <f>IF(AF665=1,UPPER(TRIM(IFERROR(INDEX($A665:$AB665,MATCH("Client",$A$1:$AB$1,0)),"")&amp;"")),"")</f>
        <v/>
      </c>
      <c r="AI665" s="9">
        <f>IF(AF665=1,IFERROR(INDEX($A665:$AB665,MATCH("Cost Centre",$A$1:$AB$1,0)),"")&amp;"","")</f>
        <v/>
      </c>
      <c r="AJ665" s="54">
        <f>IF(AND(AF665=1,AE665&gt;=set_FYStart,AE665&lt;=set_AsAt),1,0)</f>
        <v/>
      </c>
      <c r="AK665" s="54">
        <f>IF(AND(AJ665=1,AH665&lt;&gt;"",COUNTIFS($AH$2:AH665,AH665,$AJ$2:AJ665,1)=1),N(AL664)+1,"")</f>
        <v/>
      </c>
      <c r="AL665" s="54">
        <f>IF(AK665&lt;&gt;"",AK665,N(AL664))</f>
        <v/>
      </c>
    </row>
    <row r="666">
      <c r="A666" t="inlineStr">
        <is>
          <t>PRD-0222</t>
        </is>
      </c>
      <c r="B666" t="inlineStr">
        <is>
          <t>Production</t>
        </is>
      </c>
      <c r="AB666" t="n">
        <v>222</v>
      </c>
      <c r="AD666" s="52">
        <f>IFERROR(N(IFERROR(INDEX($A666:$AB666,MATCH("Xero Invoiced Ex GST",$A$1:$AB$1,0)),"")),0)</f>
        <v/>
      </c>
      <c r="AE666" s="53">
        <f>IFERROR(INDEX($A666:$AB666,MATCH("Xero Invoice Date",$A$1:$AB$1,0)),"")</f>
        <v/>
      </c>
      <c r="AF666" s="54">
        <f>IF(AND(IFERROR(INDEX($A666:$AB666,MATCH("Xero Invoice No",$A$1:$AB$1,0)),"")&amp;""&lt;&gt;"",ISNUMBER(AE666),AD666&lt;&gt;0),1,0)</f>
        <v/>
      </c>
      <c r="AG666" s="55">
        <f>IF(AF666=1,EOMONTH(AE666,0),"")</f>
        <v/>
      </c>
      <c r="AH666" s="9">
        <f>IF(AF666=1,UPPER(TRIM(IFERROR(INDEX($A666:$AB666,MATCH("Client",$A$1:$AB$1,0)),"")&amp;"")),"")</f>
        <v/>
      </c>
      <c r="AI666" s="9">
        <f>IF(AF666=1,IFERROR(INDEX($A666:$AB666,MATCH("Cost Centre",$A$1:$AB$1,0)),"")&amp;"","")</f>
        <v/>
      </c>
      <c r="AJ666" s="54">
        <f>IF(AND(AF666=1,AE666&gt;=set_FYStart,AE666&lt;=set_AsAt),1,0)</f>
        <v/>
      </c>
      <c r="AK666" s="54">
        <f>IF(AND(AJ666=1,AH666&lt;&gt;"",COUNTIFS($AH$2:AH666,AH666,$AJ$2:AJ666,1)=1),N(AL665)+1,"")</f>
        <v/>
      </c>
      <c r="AL666" s="54">
        <f>IF(AK666&lt;&gt;"",AK666,N(AL665))</f>
        <v/>
      </c>
    </row>
    <row r="667">
      <c r="A667" t="inlineStr">
        <is>
          <t>CON-0222</t>
        </is>
      </c>
      <c r="B667" t="inlineStr">
        <is>
          <t>Consulting</t>
        </is>
      </c>
      <c r="AB667" t="n">
        <v>222</v>
      </c>
      <c r="AD667" s="52">
        <f>IFERROR(N(IFERROR(INDEX($A667:$AB667,MATCH("Xero Invoiced Ex GST",$A$1:$AB$1,0)),"")),0)</f>
        <v/>
      </c>
      <c r="AE667" s="53">
        <f>IFERROR(INDEX($A667:$AB667,MATCH("Xero Invoice Date",$A$1:$AB$1,0)),"")</f>
        <v/>
      </c>
      <c r="AF667" s="54">
        <f>IF(AND(IFERROR(INDEX($A667:$AB667,MATCH("Xero Invoice No",$A$1:$AB$1,0)),"")&amp;""&lt;&gt;"",ISNUMBER(AE667),AD667&lt;&gt;0),1,0)</f>
        <v/>
      </c>
      <c r="AG667" s="55">
        <f>IF(AF667=1,EOMONTH(AE667,0),"")</f>
        <v/>
      </c>
      <c r="AH667" s="9">
        <f>IF(AF667=1,UPPER(TRIM(IFERROR(INDEX($A667:$AB667,MATCH("Client",$A$1:$AB$1,0)),"")&amp;"")),"")</f>
        <v/>
      </c>
      <c r="AI667" s="9">
        <f>IF(AF667=1,IFERROR(INDEX($A667:$AB667,MATCH("Cost Centre",$A$1:$AB$1,0)),"")&amp;"","")</f>
        <v/>
      </c>
      <c r="AJ667" s="54">
        <f>IF(AND(AF667=1,AE667&gt;=set_FYStart,AE667&lt;=set_AsAt),1,0)</f>
        <v/>
      </c>
      <c r="AK667" s="54">
        <f>IF(AND(AJ667=1,AH667&lt;&gt;"",COUNTIFS($AH$2:AH667,AH667,$AJ$2:AJ667,1)=1),N(AL666)+1,"")</f>
        <v/>
      </c>
      <c r="AL667" s="54">
        <f>IF(AK667&lt;&gt;"",AK667,N(AL666))</f>
        <v/>
      </c>
    </row>
    <row r="668">
      <c r="A668" t="inlineStr">
        <is>
          <t>ONS-0223</t>
        </is>
      </c>
      <c r="B668" t="inlineStr">
        <is>
          <t>Onsite</t>
        </is>
      </c>
      <c r="R668" t="inlineStr">
        <is>
          <t>GST 10%</t>
        </is>
      </c>
      <c r="AB668" t="n">
        <v>223</v>
      </c>
      <c r="AD668" s="52">
        <f>IFERROR(N(IFERROR(INDEX($A668:$AB668,MATCH("Xero Invoiced Ex GST",$A$1:$AB$1,0)),"")),0)</f>
        <v/>
      </c>
      <c r="AE668" s="53">
        <f>IFERROR(INDEX($A668:$AB668,MATCH("Xero Invoice Date",$A$1:$AB$1,0)),"")</f>
        <v/>
      </c>
      <c r="AF668" s="54">
        <f>IF(AND(IFERROR(INDEX($A668:$AB668,MATCH("Xero Invoice No",$A$1:$AB$1,0)),"")&amp;""&lt;&gt;"",ISNUMBER(AE668),AD668&lt;&gt;0),1,0)</f>
        <v/>
      </c>
      <c r="AG668" s="55">
        <f>IF(AF668=1,EOMONTH(AE668,0),"")</f>
        <v/>
      </c>
      <c r="AH668" s="9">
        <f>IF(AF668=1,UPPER(TRIM(IFERROR(INDEX($A668:$AB668,MATCH("Client",$A$1:$AB$1,0)),"")&amp;"")),"")</f>
        <v/>
      </c>
      <c r="AI668" s="9">
        <f>IF(AF668=1,IFERROR(INDEX($A668:$AB668,MATCH("Cost Centre",$A$1:$AB$1,0)),"")&amp;"","")</f>
        <v/>
      </c>
      <c r="AJ668" s="54">
        <f>IF(AND(AF668=1,AE668&gt;=set_FYStart,AE668&lt;=set_AsAt),1,0)</f>
        <v/>
      </c>
      <c r="AK668" s="54">
        <f>IF(AND(AJ668=1,AH668&lt;&gt;"",COUNTIFS($AH$2:AH668,AH668,$AJ$2:AJ668,1)=1),N(AL667)+1,"")</f>
        <v/>
      </c>
      <c r="AL668" s="54">
        <f>IF(AK668&lt;&gt;"",AK668,N(AL667))</f>
        <v/>
      </c>
    </row>
    <row r="669">
      <c r="A669" t="inlineStr">
        <is>
          <t>PRD-0223</t>
        </is>
      </c>
      <c r="B669" t="inlineStr">
        <is>
          <t>Production</t>
        </is>
      </c>
      <c r="AB669" t="n">
        <v>223</v>
      </c>
      <c r="AD669" s="52">
        <f>IFERROR(N(IFERROR(INDEX($A669:$AB669,MATCH("Xero Invoiced Ex GST",$A$1:$AB$1,0)),"")),0)</f>
        <v/>
      </c>
      <c r="AE669" s="53">
        <f>IFERROR(INDEX($A669:$AB669,MATCH("Xero Invoice Date",$A$1:$AB$1,0)),"")</f>
        <v/>
      </c>
      <c r="AF669" s="54">
        <f>IF(AND(IFERROR(INDEX($A669:$AB669,MATCH("Xero Invoice No",$A$1:$AB$1,0)),"")&amp;""&lt;&gt;"",ISNUMBER(AE669),AD669&lt;&gt;0),1,0)</f>
        <v/>
      </c>
      <c r="AG669" s="55">
        <f>IF(AF669=1,EOMONTH(AE669,0),"")</f>
        <v/>
      </c>
      <c r="AH669" s="9">
        <f>IF(AF669=1,UPPER(TRIM(IFERROR(INDEX($A669:$AB669,MATCH("Client",$A$1:$AB$1,0)),"")&amp;"")),"")</f>
        <v/>
      </c>
      <c r="AI669" s="9">
        <f>IF(AF669=1,IFERROR(INDEX($A669:$AB669,MATCH("Cost Centre",$A$1:$AB$1,0)),"")&amp;"","")</f>
        <v/>
      </c>
      <c r="AJ669" s="54">
        <f>IF(AND(AF669=1,AE669&gt;=set_FYStart,AE669&lt;=set_AsAt),1,0)</f>
        <v/>
      </c>
      <c r="AK669" s="54">
        <f>IF(AND(AJ669=1,AH669&lt;&gt;"",COUNTIFS($AH$2:AH669,AH669,$AJ$2:AJ669,1)=1),N(AL668)+1,"")</f>
        <v/>
      </c>
      <c r="AL669" s="54">
        <f>IF(AK669&lt;&gt;"",AK669,N(AL668))</f>
        <v/>
      </c>
    </row>
    <row r="670">
      <c r="A670" t="inlineStr">
        <is>
          <t>CON-0223</t>
        </is>
      </c>
      <c r="B670" t="inlineStr">
        <is>
          <t>Consulting</t>
        </is>
      </c>
      <c r="AB670" t="n">
        <v>223</v>
      </c>
      <c r="AD670" s="52">
        <f>IFERROR(N(IFERROR(INDEX($A670:$AB670,MATCH("Xero Invoiced Ex GST",$A$1:$AB$1,0)),"")),0)</f>
        <v/>
      </c>
      <c r="AE670" s="53">
        <f>IFERROR(INDEX($A670:$AB670,MATCH("Xero Invoice Date",$A$1:$AB$1,0)),"")</f>
        <v/>
      </c>
      <c r="AF670" s="54">
        <f>IF(AND(IFERROR(INDEX($A670:$AB670,MATCH("Xero Invoice No",$A$1:$AB$1,0)),"")&amp;""&lt;&gt;"",ISNUMBER(AE670),AD670&lt;&gt;0),1,0)</f>
        <v/>
      </c>
      <c r="AG670" s="55">
        <f>IF(AF670=1,EOMONTH(AE670,0),"")</f>
        <v/>
      </c>
      <c r="AH670" s="9">
        <f>IF(AF670=1,UPPER(TRIM(IFERROR(INDEX($A670:$AB670,MATCH("Client",$A$1:$AB$1,0)),"")&amp;"")),"")</f>
        <v/>
      </c>
      <c r="AI670" s="9">
        <f>IF(AF670=1,IFERROR(INDEX($A670:$AB670,MATCH("Cost Centre",$A$1:$AB$1,0)),"")&amp;"","")</f>
        <v/>
      </c>
      <c r="AJ670" s="54">
        <f>IF(AND(AF670=1,AE670&gt;=set_FYStart,AE670&lt;=set_AsAt),1,0)</f>
        <v/>
      </c>
      <c r="AK670" s="54">
        <f>IF(AND(AJ670=1,AH670&lt;&gt;"",COUNTIFS($AH$2:AH670,AH670,$AJ$2:AJ670,1)=1),N(AL669)+1,"")</f>
        <v/>
      </c>
      <c r="AL670" s="54">
        <f>IF(AK670&lt;&gt;"",AK670,N(AL669))</f>
        <v/>
      </c>
    </row>
    <row r="671">
      <c r="A671" t="inlineStr">
        <is>
          <t>ONS-0224</t>
        </is>
      </c>
      <c r="B671" t="inlineStr">
        <is>
          <t>Onsite</t>
        </is>
      </c>
      <c r="R671" t="inlineStr">
        <is>
          <t>GST 10%</t>
        </is>
      </c>
      <c r="AB671" t="n">
        <v>224</v>
      </c>
      <c r="AD671" s="52">
        <f>IFERROR(N(IFERROR(INDEX($A671:$AB671,MATCH("Xero Invoiced Ex GST",$A$1:$AB$1,0)),"")),0)</f>
        <v/>
      </c>
      <c r="AE671" s="53">
        <f>IFERROR(INDEX($A671:$AB671,MATCH("Xero Invoice Date",$A$1:$AB$1,0)),"")</f>
        <v/>
      </c>
      <c r="AF671" s="54">
        <f>IF(AND(IFERROR(INDEX($A671:$AB671,MATCH("Xero Invoice No",$A$1:$AB$1,0)),"")&amp;""&lt;&gt;"",ISNUMBER(AE671),AD671&lt;&gt;0),1,0)</f>
        <v/>
      </c>
      <c r="AG671" s="55">
        <f>IF(AF671=1,EOMONTH(AE671,0),"")</f>
        <v/>
      </c>
      <c r="AH671" s="9">
        <f>IF(AF671=1,UPPER(TRIM(IFERROR(INDEX($A671:$AB671,MATCH("Client",$A$1:$AB$1,0)),"")&amp;"")),"")</f>
        <v/>
      </c>
      <c r="AI671" s="9">
        <f>IF(AF671=1,IFERROR(INDEX($A671:$AB671,MATCH("Cost Centre",$A$1:$AB$1,0)),"")&amp;"","")</f>
        <v/>
      </c>
      <c r="AJ671" s="54">
        <f>IF(AND(AF671=1,AE671&gt;=set_FYStart,AE671&lt;=set_AsAt),1,0)</f>
        <v/>
      </c>
      <c r="AK671" s="54">
        <f>IF(AND(AJ671=1,AH671&lt;&gt;"",COUNTIFS($AH$2:AH671,AH671,$AJ$2:AJ671,1)=1),N(AL670)+1,"")</f>
        <v/>
      </c>
      <c r="AL671" s="54">
        <f>IF(AK671&lt;&gt;"",AK671,N(AL670))</f>
        <v/>
      </c>
    </row>
    <row r="672">
      <c r="A672" t="inlineStr">
        <is>
          <t>PRD-0224</t>
        </is>
      </c>
      <c r="B672" t="inlineStr">
        <is>
          <t>Production</t>
        </is>
      </c>
      <c r="AB672" t="n">
        <v>224</v>
      </c>
      <c r="AD672" s="52">
        <f>IFERROR(N(IFERROR(INDEX($A672:$AB672,MATCH("Xero Invoiced Ex GST",$A$1:$AB$1,0)),"")),0)</f>
        <v/>
      </c>
      <c r="AE672" s="53">
        <f>IFERROR(INDEX($A672:$AB672,MATCH("Xero Invoice Date",$A$1:$AB$1,0)),"")</f>
        <v/>
      </c>
      <c r="AF672" s="54">
        <f>IF(AND(IFERROR(INDEX($A672:$AB672,MATCH("Xero Invoice No",$A$1:$AB$1,0)),"")&amp;""&lt;&gt;"",ISNUMBER(AE672),AD672&lt;&gt;0),1,0)</f>
        <v/>
      </c>
      <c r="AG672" s="55">
        <f>IF(AF672=1,EOMONTH(AE672,0),"")</f>
        <v/>
      </c>
      <c r="AH672" s="9">
        <f>IF(AF672=1,UPPER(TRIM(IFERROR(INDEX($A672:$AB672,MATCH("Client",$A$1:$AB$1,0)),"")&amp;"")),"")</f>
        <v/>
      </c>
      <c r="AI672" s="9">
        <f>IF(AF672=1,IFERROR(INDEX($A672:$AB672,MATCH("Cost Centre",$A$1:$AB$1,0)),"")&amp;"","")</f>
        <v/>
      </c>
      <c r="AJ672" s="54">
        <f>IF(AND(AF672=1,AE672&gt;=set_FYStart,AE672&lt;=set_AsAt),1,0)</f>
        <v/>
      </c>
      <c r="AK672" s="54">
        <f>IF(AND(AJ672=1,AH672&lt;&gt;"",COUNTIFS($AH$2:AH672,AH672,$AJ$2:AJ672,1)=1),N(AL671)+1,"")</f>
        <v/>
      </c>
      <c r="AL672" s="54">
        <f>IF(AK672&lt;&gt;"",AK672,N(AL671))</f>
        <v/>
      </c>
    </row>
    <row r="673">
      <c r="A673" t="inlineStr">
        <is>
          <t>CON-0224</t>
        </is>
      </c>
      <c r="B673" t="inlineStr">
        <is>
          <t>Consulting</t>
        </is>
      </c>
      <c r="AB673" t="n">
        <v>224</v>
      </c>
      <c r="AD673" s="52">
        <f>IFERROR(N(IFERROR(INDEX($A673:$AB673,MATCH("Xero Invoiced Ex GST",$A$1:$AB$1,0)),"")),0)</f>
        <v/>
      </c>
      <c r="AE673" s="53">
        <f>IFERROR(INDEX($A673:$AB673,MATCH("Xero Invoice Date",$A$1:$AB$1,0)),"")</f>
        <v/>
      </c>
      <c r="AF673" s="54">
        <f>IF(AND(IFERROR(INDEX($A673:$AB673,MATCH("Xero Invoice No",$A$1:$AB$1,0)),"")&amp;""&lt;&gt;"",ISNUMBER(AE673),AD673&lt;&gt;0),1,0)</f>
        <v/>
      </c>
      <c r="AG673" s="55">
        <f>IF(AF673=1,EOMONTH(AE673,0),"")</f>
        <v/>
      </c>
      <c r="AH673" s="9">
        <f>IF(AF673=1,UPPER(TRIM(IFERROR(INDEX($A673:$AB673,MATCH("Client",$A$1:$AB$1,0)),"")&amp;"")),"")</f>
        <v/>
      </c>
      <c r="AI673" s="9">
        <f>IF(AF673=1,IFERROR(INDEX($A673:$AB673,MATCH("Cost Centre",$A$1:$AB$1,0)),"")&amp;"","")</f>
        <v/>
      </c>
      <c r="AJ673" s="54">
        <f>IF(AND(AF673=1,AE673&gt;=set_FYStart,AE673&lt;=set_AsAt),1,0)</f>
        <v/>
      </c>
      <c r="AK673" s="54">
        <f>IF(AND(AJ673=1,AH673&lt;&gt;"",COUNTIFS($AH$2:AH673,AH673,$AJ$2:AJ673,1)=1),N(AL672)+1,"")</f>
        <v/>
      </c>
      <c r="AL673" s="54">
        <f>IF(AK673&lt;&gt;"",AK673,N(AL672))</f>
        <v/>
      </c>
    </row>
    <row r="674">
      <c r="A674" t="inlineStr">
        <is>
          <t>ONS-0225</t>
        </is>
      </c>
      <c r="B674" t="inlineStr">
        <is>
          <t>Onsite</t>
        </is>
      </c>
      <c r="R674" t="inlineStr">
        <is>
          <t>GST 10%</t>
        </is>
      </c>
      <c r="AB674" t="n">
        <v>225</v>
      </c>
      <c r="AD674" s="52">
        <f>IFERROR(N(IFERROR(INDEX($A674:$AB674,MATCH("Xero Invoiced Ex GST",$A$1:$AB$1,0)),"")),0)</f>
        <v/>
      </c>
      <c r="AE674" s="53">
        <f>IFERROR(INDEX($A674:$AB674,MATCH("Xero Invoice Date",$A$1:$AB$1,0)),"")</f>
        <v/>
      </c>
      <c r="AF674" s="54">
        <f>IF(AND(IFERROR(INDEX($A674:$AB674,MATCH("Xero Invoice No",$A$1:$AB$1,0)),"")&amp;""&lt;&gt;"",ISNUMBER(AE674),AD674&lt;&gt;0),1,0)</f>
        <v/>
      </c>
      <c r="AG674" s="55">
        <f>IF(AF674=1,EOMONTH(AE674,0),"")</f>
        <v/>
      </c>
      <c r="AH674" s="9">
        <f>IF(AF674=1,UPPER(TRIM(IFERROR(INDEX($A674:$AB674,MATCH("Client",$A$1:$AB$1,0)),"")&amp;"")),"")</f>
        <v/>
      </c>
      <c r="AI674" s="9">
        <f>IF(AF674=1,IFERROR(INDEX($A674:$AB674,MATCH("Cost Centre",$A$1:$AB$1,0)),"")&amp;"","")</f>
        <v/>
      </c>
      <c r="AJ674" s="54">
        <f>IF(AND(AF674=1,AE674&gt;=set_FYStart,AE674&lt;=set_AsAt),1,0)</f>
        <v/>
      </c>
      <c r="AK674" s="54">
        <f>IF(AND(AJ674=1,AH674&lt;&gt;"",COUNTIFS($AH$2:AH674,AH674,$AJ$2:AJ674,1)=1),N(AL673)+1,"")</f>
        <v/>
      </c>
      <c r="AL674" s="54">
        <f>IF(AK674&lt;&gt;"",AK674,N(AL673))</f>
        <v/>
      </c>
    </row>
    <row r="675">
      <c r="A675" t="inlineStr">
        <is>
          <t>PRD-0225</t>
        </is>
      </c>
      <c r="B675" t="inlineStr">
        <is>
          <t>Production</t>
        </is>
      </c>
      <c r="AB675" t="n">
        <v>225</v>
      </c>
      <c r="AD675" s="52">
        <f>IFERROR(N(IFERROR(INDEX($A675:$AB675,MATCH("Xero Invoiced Ex GST",$A$1:$AB$1,0)),"")),0)</f>
        <v/>
      </c>
      <c r="AE675" s="53">
        <f>IFERROR(INDEX($A675:$AB675,MATCH("Xero Invoice Date",$A$1:$AB$1,0)),"")</f>
        <v/>
      </c>
      <c r="AF675" s="54">
        <f>IF(AND(IFERROR(INDEX($A675:$AB675,MATCH("Xero Invoice No",$A$1:$AB$1,0)),"")&amp;""&lt;&gt;"",ISNUMBER(AE675),AD675&lt;&gt;0),1,0)</f>
        <v/>
      </c>
      <c r="AG675" s="55">
        <f>IF(AF675=1,EOMONTH(AE675,0),"")</f>
        <v/>
      </c>
      <c r="AH675" s="9">
        <f>IF(AF675=1,UPPER(TRIM(IFERROR(INDEX($A675:$AB675,MATCH("Client",$A$1:$AB$1,0)),"")&amp;"")),"")</f>
        <v/>
      </c>
      <c r="AI675" s="9">
        <f>IF(AF675=1,IFERROR(INDEX($A675:$AB675,MATCH("Cost Centre",$A$1:$AB$1,0)),"")&amp;"","")</f>
        <v/>
      </c>
      <c r="AJ675" s="54">
        <f>IF(AND(AF675=1,AE675&gt;=set_FYStart,AE675&lt;=set_AsAt),1,0)</f>
        <v/>
      </c>
      <c r="AK675" s="54">
        <f>IF(AND(AJ675=1,AH675&lt;&gt;"",COUNTIFS($AH$2:AH675,AH675,$AJ$2:AJ675,1)=1),N(AL674)+1,"")</f>
        <v/>
      </c>
      <c r="AL675" s="54">
        <f>IF(AK675&lt;&gt;"",AK675,N(AL674))</f>
        <v/>
      </c>
    </row>
    <row r="676">
      <c r="A676" t="inlineStr">
        <is>
          <t>CON-0225</t>
        </is>
      </c>
      <c r="B676" t="inlineStr">
        <is>
          <t>Consulting</t>
        </is>
      </c>
      <c r="AB676" t="n">
        <v>225</v>
      </c>
      <c r="AD676" s="52">
        <f>IFERROR(N(IFERROR(INDEX($A676:$AB676,MATCH("Xero Invoiced Ex GST",$A$1:$AB$1,0)),"")),0)</f>
        <v/>
      </c>
      <c r="AE676" s="53">
        <f>IFERROR(INDEX($A676:$AB676,MATCH("Xero Invoice Date",$A$1:$AB$1,0)),"")</f>
        <v/>
      </c>
      <c r="AF676" s="54">
        <f>IF(AND(IFERROR(INDEX($A676:$AB676,MATCH("Xero Invoice No",$A$1:$AB$1,0)),"")&amp;""&lt;&gt;"",ISNUMBER(AE676),AD676&lt;&gt;0),1,0)</f>
        <v/>
      </c>
      <c r="AG676" s="55">
        <f>IF(AF676=1,EOMONTH(AE676,0),"")</f>
        <v/>
      </c>
      <c r="AH676" s="9">
        <f>IF(AF676=1,UPPER(TRIM(IFERROR(INDEX($A676:$AB676,MATCH("Client",$A$1:$AB$1,0)),"")&amp;"")),"")</f>
        <v/>
      </c>
      <c r="AI676" s="9">
        <f>IF(AF676=1,IFERROR(INDEX($A676:$AB676,MATCH("Cost Centre",$A$1:$AB$1,0)),"")&amp;"","")</f>
        <v/>
      </c>
      <c r="AJ676" s="54">
        <f>IF(AND(AF676=1,AE676&gt;=set_FYStart,AE676&lt;=set_AsAt),1,0)</f>
        <v/>
      </c>
      <c r="AK676" s="54">
        <f>IF(AND(AJ676=1,AH676&lt;&gt;"",COUNTIFS($AH$2:AH676,AH676,$AJ$2:AJ676,1)=1),N(AL675)+1,"")</f>
        <v/>
      </c>
      <c r="AL676" s="54">
        <f>IF(AK676&lt;&gt;"",AK676,N(AL675))</f>
        <v/>
      </c>
    </row>
    <row r="677">
      <c r="A677" t="inlineStr">
        <is>
          <t>ONS-0226</t>
        </is>
      </c>
      <c r="B677" t="inlineStr">
        <is>
          <t>Onsite</t>
        </is>
      </c>
      <c r="R677" t="inlineStr">
        <is>
          <t>GST 10%</t>
        </is>
      </c>
      <c r="AB677" t="n">
        <v>226</v>
      </c>
      <c r="AD677" s="52">
        <f>IFERROR(N(IFERROR(INDEX($A677:$AB677,MATCH("Xero Invoiced Ex GST",$A$1:$AB$1,0)),"")),0)</f>
        <v/>
      </c>
      <c r="AE677" s="53">
        <f>IFERROR(INDEX($A677:$AB677,MATCH("Xero Invoice Date",$A$1:$AB$1,0)),"")</f>
        <v/>
      </c>
      <c r="AF677" s="54">
        <f>IF(AND(IFERROR(INDEX($A677:$AB677,MATCH("Xero Invoice No",$A$1:$AB$1,0)),"")&amp;""&lt;&gt;"",ISNUMBER(AE677),AD677&lt;&gt;0),1,0)</f>
        <v/>
      </c>
      <c r="AG677" s="55">
        <f>IF(AF677=1,EOMONTH(AE677,0),"")</f>
        <v/>
      </c>
      <c r="AH677" s="9">
        <f>IF(AF677=1,UPPER(TRIM(IFERROR(INDEX($A677:$AB677,MATCH("Client",$A$1:$AB$1,0)),"")&amp;"")),"")</f>
        <v/>
      </c>
      <c r="AI677" s="9">
        <f>IF(AF677=1,IFERROR(INDEX($A677:$AB677,MATCH("Cost Centre",$A$1:$AB$1,0)),"")&amp;"","")</f>
        <v/>
      </c>
      <c r="AJ677" s="54">
        <f>IF(AND(AF677=1,AE677&gt;=set_FYStart,AE677&lt;=set_AsAt),1,0)</f>
        <v/>
      </c>
      <c r="AK677" s="54">
        <f>IF(AND(AJ677=1,AH677&lt;&gt;"",COUNTIFS($AH$2:AH677,AH677,$AJ$2:AJ677,1)=1),N(AL676)+1,"")</f>
        <v/>
      </c>
      <c r="AL677" s="54">
        <f>IF(AK677&lt;&gt;"",AK677,N(AL676))</f>
        <v/>
      </c>
    </row>
    <row r="678">
      <c r="A678" t="inlineStr">
        <is>
          <t>PRD-0226</t>
        </is>
      </c>
      <c r="B678" t="inlineStr">
        <is>
          <t>Production</t>
        </is>
      </c>
      <c r="AB678" t="n">
        <v>226</v>
      </c>
      <c r="AD678" s="52">
        <f>IFERROR(N(IFERROR(INDEX($A678:$AB678,MATCH("Xero Invoiced Ex GST",$A$1:$AB$1,0)),"")),0)</f>
        <v/>
      </c>
      <c r="AE678" s="53">
        <f>IFERROR(INDEX($A678:$AB678,MATCH("Xero Invoice Date",$A$1:$AB$1,0)),"")</f>
        <v/>
      </c>
      <c r="AF678" s="54">
        <f>IF(AND(IFERROR(INDEX($A678:$AB678,MATCH("Xero Invoice No",$A$1:$AB$1,0)),"")&amp;""&lt;&gt;"",ISNUMBER(AE678),AD678&lt;&gt;0),1,0)</f>
        <v/>
      </c>
      <c r="AG678" s="55">
        <f>IF(AF678=1,EOMONTH(AE678,0),"")</f>
        <v/>
      </c>
      <c r="AH678" s="9">
        <f>IF(AF678=1,UPPER(TRIM(IFERROR(INDEX($A678:$AB678,MATCH("Client",$A$1:$AB$1,0)),"")&amp;"")),"")</f>
        <v/>
      </c>
      <c r="AI678" s="9">
        <f>IF(AF678=1,IFERROR(INDEX($A678:$AB678,MATCH("Cost Centre",$A$1:$AB$1,0)),"")&amp;"","")</f>
        <v/>
      </c>
      <c r="AJ678" s="54">
        <f>IF(AND(AF678=1,AE678&gt;=set_FYStart,AE678&lt;=set_AsAt),1,0)</f>
        <v/>
      </c>
      <c r="AK678" s="54">
        <f>IF(AND(AJ678=1,AH678&lt;&gt;"",COUNTIFS($AH$2:AH678,AH678,$AJ$2:AJ678,1)=1),N(AL677)+1,"")</f>
        <v/>
      </c>
      <c r="AL678" s="54">
        <f>IF(AK678&lt;&gt;"",AK678,N(AL677))</f>
        <v/>
      </c>
    </row>
    <row r="679">
      <c r="A679" t="inlineStr">
        <is>
          <t>CON-0226</t>
        </is>
      </c>
      <c r="B679" t="inlineStr">
        <is>
          <t>Consulting</t>
        </is>
      </c>
      <c r="AB679" t="n">
        <v>226</v>
      </c>
      <c r="AD679" s="52">
        <f>IFERROR(N(IFERROR(INDEX($A679:$AB679,MATCH("Xero Invoiced Ex GST",$A$1:$AB$1,0)),"")),0)</f>
        <v/>
      </c>
      <c r="AE679" s="53">
        <f>IFERROR(INDEX($A679:$AB679,MATCH("Xero Invoice Date",$A$1:$AB$1,0)),"")</f>
        <v/>
      </c>
      <c r="AF679" s="54">
        <f>IF(AND(IFERROR(INDEX($A679:$AB679,MATCH("Xero Invoice No",$A$1:$AB$1,0)),"")&amp;""&lt;&gt;"",ISNUMBER(AE679),AD679&lt;&gt;0),1,0)</f>
        <v/>
      </c>
      <c r="AG679" s="55">
        <f>IF(AF679=1,EOMONTH(AE679,0),"")</f>
        <v/>
      </c>
      <c r="AH679" s="9">
        <f>IF(AF679=1,UPPER(TRIM(IFERROR(INDEX($A679:$AB679,MATCH("Client",$A$1:$AB$1,0)),"")&amp;"")),"")</f>
        <v/>
      </c>
      <c r="AI679" s="9">
        <f>IF(AF679=1,IFERROR(INDEX($A679:$AB679,MATCH("Cost Centre",$A$1:$AB$1,0)),"")&amp;"","")</f>
        <v/>
      </c>
      <c r="AJ679" s="54">
        <f>IF(AND(AF679=1,AE679&gt;=set_FYStart,AE679&lt;=set_AsAt),1,0)</f>
        <v/>
      </c>
      <c r="AK679" s="54">
        <f>IF(AND(AJ679=1,AH679&lt;&gt;"",COUNTIFS($AH$2:AH679,AH679,$AJ$2:AJ679,1)=1),N(AL678)+1,"")</f>
        <v/>
      </c>
      <c r="AL679" s="54">
        <f>IF(AK679&lt;&gt;"",AK679,N(AL678))</f>
        <v/>
      </c>
    </row>
    <row r="680">
      <c r="A680" t="inlineStr">
        <is>
          <t>ONS-0227</t>
        </is>
      </c>
      <c r="B680" t="inlineStr">
        <is>
          <t>Onsite</t>
        </is>
      </c>
      <c r="R680" t="inlineStr">
        <is>
          <t>GST 10%</t>
        </is>
      </c>
      <c r="AB680" t="n">
        <v>227</v>
      </c>
      <c r="AD680" s="52">
        <f>IFERROR(N(IFERROR(INDEX($A680:$AB680,MATCH("Xero Invoiced Ex GST",$A$1:$AB$1,0)),"")),0)</f>
        <v/>
      </c>
      <c r="AE680" s="53">
        <f>IFERROR(INDEX($A680:$AB680,MATCH("Xero Invoice Date",$A$1:$AB$1,0)),"")</f>
        <v/>
      </c>
      <c r="AF680" s="54">
        <f>IF(AND(IFERROR(INDEX($A680:$AB680,MATCH("Xero Invoice No",$A$1:$AB$1,0)),"")&amp;""&lt;&gt;"",ISNUMBER(AE680),AD680&lt;&gt;0),1,0)</f>
        <v/>
      </c>
      <c r="AG680" s="55">
        <f>IF(AF680=1,EOMONTH(AE680,0),"")</f>
        <v/>
      </c>
      <c r="AH680" s="9">
        <f>IF(AF680=1,UPPER(TRIM(IFERROR(INDEX($A680:$AB680,MATCH("Client",$A$1:$AB$1,0)),"")&amp;"")),"")</f>
        <v/>
      </c>
      <c r="AI680" s="9">
        <f>IF(AF680=1,IFERROR(INDEX($A680:$AB680,MATCH("Cost Centre",$A$1:$AB$1,0)),"")&amp;"","")</f>
        <v/>
      </c>
      <c r="AJ680" s="54">
        <f>IF(AND(AF680=1,AE680&gt;=set_FYStart,AE680&lt;=set_AsAt),1,0)</f>
        <v/>
      </c>
      <c r="AK680" s="54">
        <f>IF(AND(AJ680=1,AH680&lt;&gt;"",COUNTIFS($AH$2:AH680,AH680,$AJ$2:AJ680,1)=1),N(AL679)+1,"")</f>
        <v/>
      </c>
      <c r="AL680" s="54">
        <f>IF(AK680&lt;&gt;"",AK680,N(AL679))</f>
        <v/>
      </c>
    </row>
    <row r="681">
      <c r="A681" t="inlineStr">
        <is>
          <t>PRD-0227</t>
        </is>
      </c>
      <c r="B681" t="inlineStr">
        <is>
          <t>Production</t>
        </is>
      </c>
      <c r="AB681" t="n">
        <v>227</v>
      </c>
      <c r="AD681" s="52">
        <f>IFERROR(N(IFERROR(INDEX($A681:$AB681,MATCH("Xero Invoiced Ex GST",$A$1:$AB$1,0)),"")),0)</f>
        <v/>
      </c>
      <c r="AE681" s="53">
        <f>IFERROR(INDEX($A681:$AB681,MATCH("Xero Invoice Date",$A$1:$AB$1,0)),"")</f>
        <v/>
      </c>
      <c r="AF681" s="54">
        <f>IF(AND(IFERROR(INDEX($A681:$AB681,MATCH("Xero Invoice No",$A$1:$AB$1,0)),"")&amp;""&lt;&gt;"",ISNUMBER(AE681),AD681&lt;&gt;0),1,0)</f>
        <v/>
      </c>
      <c r="AG681" s="55">
        <f>IF(AF681=1,EOMONTH(AE681,0),"")</f>
        <v/>
      </c>
      <c r="AH681" s="9">
        <f>IF(AF681=1,UPPER(TRIM(IFERROR(INDEX($A681:$AB681,MATCH("Client",$A$1:$AB$1,0)),"")&amp;"")),"")</f>
        <v/>
      </c>
      <c r="AI681" s="9">
        <f>IF(AF681=1,IFERROR(INDEX($A681:$AB681,MATCH("Cost Centre",$A$1:$AB$1,0)),"")&amp;"","")</f>
        <v/>
      </c>
      <c r="AJ681" s="54">
        <f>IF(AND(AF681=1,AE681&gt;=set_FYStart,AE681&lt;=set_AsAt),1,0)</f>
        <v/>
      </c>
      <c r="AK681" s="54">
        <f>IF(AND(AJ681=1,AH681&lt;&gt;"",COUNTIFS($AH$2:AH681,AH681,$AJ$2:AJ681,1)=1),N(AL680)+1,"")</f>
        <v/>
      </c>
      <c r="AL681" s="54">
        <f>IF(AK681&lt;&gt;"",AK681,N(AL680))</f>
        <v/>
      </c>
    </row>
    <row r="682">
      <c r="A682" t="inlineStr">
        <is>
          <t>CON-0227</t>
        </is>
      </c>
      <c r="B682" t="inlineStr">
        <is>
          <t>Consulting</t>
        </is>
      </c>
      <c r="AB682" t="n">
        <v>227</v>
      </c>
      <c r="AD682" s="52">
        <f>IFERROR(N(IFERROR(INDEX($A682:$AB682,MATCH("Xero Invoiced Ex GST",$A$1:$AB$1,0)),"")),0)</f>
        <v/>
      </c>
      <c r="AE682" s="53">
        <f>IFERROR(INDEX($A682:$AB682,MATCH("Xero Invoice Date",$A$1:$AB$1,0)),"")</f>
        <v/>
      </c>
      <c r="AF682" s="54">
        <f>IF(AND(IFERROR(INDEX($A682:$AB682,MATCH("Xero Invoice No",$A$1:$AB$1,0)),"")&amp;""&lt;&gt;"",ISNUMBER(AE682),AD682&lt;&gt;0),1,0)</f>
        <v/>
      </c>
      <c r="AG682" s="55">
        <f>IF(AF682=1,EOMONTH(AE682,0),"")</f>
        <v/>
      </c>
      <c r="AH682" s="9">
        <f>IF(AF682=1,UPPER(TRIM(IFERROR(INDEX($A682:$AB682,MATCH("Client",$A$1:$AB$1,0)),"")&amp;"")),"")</f>
        <v/>
      </c>
      <c r="AI682" s="9">
        <f>IF(AF682=1,IFERROR(INDEX($A682:$AB682,MATCH("Cost Centre",$A$1:$AB$1,0)),"")&amp;"","")</f>
        <v/>
      </c>
      <c r="AJ682" s="54">
        <f>IF(AND(AF682=1,AE682&gt;=set_FYStart,AE682&lt;=set_AsAt),1,0)</f>
        <v/>
      </c>
      <c r="AK682" s="54">
        <f>IF(AND(AJ682=1,AH682&lt;&gt;"",COUNTIFS($AH$2:AH682,AH682,$AJ$2:AJ682,1)=1),N(AL681)+1,"")</f>
        <v/>
      </c>
      <c r="AL682" s="54">
        <f>IF(AK682&lt;&gt;"",AK682,N(AL681))</f>
        <v/>
      </c>
    </row>
    <row r="683">
      <c r="A683" t="inlineStr">
        <is>
          <t>ONS-0228</t>
        </is>
      </c>
      <c r="B683" t="inlineStr">
        <is>
          <t>Onsite</t>
        </is>
      </c>
      <c r="R683" t="inlineStr">
        <is>
          <t>GST 10%</t>
        </is>
      </c>
      <c r="AB683" t="n">
        <v>228</v>
      </c>
      <c r="AD683" s="52">
        <f>IFERROR(N(IFERROR(INDEX($A683:$AB683,MATCH("Xero Invoiced Ex GST",$A$1:$AB$1,0)),"")),0)</f>
        <v/>
      </c>
      <c r="AE683" s="53">
        <f>IFERROR(INDEX($A683:$AB683,MATCH("Xero Invoice Date",$A$1:$AB$1,0)),"")</f>
        <v/>
      </c>
      <c r="AF683" s="54">
        <f>IF(AND(IFERROR(INDEX($A683:$AB683,MATCH("Xero Invoice No",$A$1:$AB$1,0)),"")&amp;""&lt;&gt;"",ISNUMBER(AE683),AD683&lt;&gt;0),1,0)</f>
        <v/>
      </c>
      <c r="AG683" s="55">
        <f>IF(AF683=1,EOMONTH(AE683,0),"")</f>
        <v/>
      </c>
      <c r="AH683" s="9">
        <f>IF(AF683=1,UPPER(TRIM(IFERROR(INDEX($A683:$AB683,MATCH("Client",$A$1:$AB$1,0)),"")&amp;"")),"")</f>
        <v/>
      </c>
      <c r="AI683" s="9">
        <f>IF(AF683=1,IFERROR(INDEX($A683:$AB683,MATCH("Cost Centre",$A$1:$AB$1,0)),"")&amp;"","")</f>
        <v/>
      </c>
      <c r="AJ683" s="54">
        <f>IF(AND(AF683=1,AE683&gt;=set_FYStart,AE683&lt;=set_AsAt),1,0)</f>
        <v/>
      </c>
      <c r="AK683" s="54">
        <f>IF(AND(AJ683=1,AH683&lt;&gt;"",COUNTIFS($AH$2:AH683,AH683,$AJ$2:AJ683,1)=1),N(AL682)+1,"")</f>
        <v/>
      </c>
      <c r="AL683" s="54">
        <f>IF(AK683&lt;&gt;"",AK683,N(AL682))</f>
        <v/>
      </c>
    </row>
    <row r="684">
      <c r="A684" t="inlineStr">
        <is>
          <t>PRD-0228</t>
        </is>
      </c>
      <c r="B684" t="inlineStr">
        <is>
          <t>Production</t>
        </is>
      </c>
      <c r="AB684" t="n">
        <v>228</v>
      </c>
      <c r="AD684" s="52">
        <f>IFERROR(N(IFERROR(INDEX($A684:$AB684,MATCH("Xero Invoiced Ex GST",$A$1:$AB$1,0)),"")),0)</f>
        <v/>
      </c>
      <c r="AE684" s="53">
        <f>IFERROR(INDEX($A684:$AB684,MATCH("Xero Invoice Date",$A$1:$AB$1,0)),"")</f>
        <v/>
      </c>
      <c r="AF684" s="54">
        <f>IF(AND(IFERROR(INDEX($A684:$AB684,MATCH("Xero Invoice No",$A$1:$AB$1,0)),"")&amp;""&lt;&gt;"",ISNUMBER(AE684),AD684&lt;&gt;0),1,0)</f>
        <v/>
      </c>
      <c r="AG684" s="55">
        <f>IF(AF684=1,EOMONTH(AE684,0),"")</f>
        <v/>
      </c>
      <c r="AH684" s="9">
        <f>IF(AF684=1,UPPER(TRIM(IFERROR(INDEX($A684:$AB684,MATCH("Client",$A$1:$AB$1,0)),"")&amp;"")),"")</f>
        <v/>
      </c>
      <c r="AI684" s="9">
        <f>IF(AF684=1,IFERROR(INDEX($A684:$AB684,MATCH("Cost Centre",$A$1:$AB$1,0)),"")&amp;"","")</f>
        <v/>
      </c>
      <c r="AJ684" s="54">
        <f>IF(AND(AF684=1,AE684&gt;=set_FYStart,AE684&lt;=set_AsAt),1,0)</f>
        <v/>
      </c>
      <c r="AK684" s="54">
        <f>IF(AND(AJ684=1,AH684&lt;&gt;"",COUNTIFS($AH$2:AH684,AH684,$AJ$2:AJ684,1)=1),N(AL683)+1,"")</f>
        <v/>
      </c>
      <c r="AL684" s="54">
        <f>IF(AK684&lt;&gt;"",AK684,N(AL683))</f>
        <v/>
      </c>
    </row>
    <row r="685">
      <c r="A685" t="inlineStr">
        <is>
          <t>CON-0228</t>
        </is>
      </c>
      <c r="B685" t="inlineStr">
        <is>
          <t>Consulting</t>
        </is>
      </c>
      <c r="AB685" t="n">
        <v>228</v>
      </c>
      <c r="AD685" s="52">
        <f>IFERROR(N(IFERROR(INDEX($A685:$AB685,MATCH("Xero Invoiced Ex GST",$A$1:$AB$1,0)),"")),0)</f>
        <v/>
      </c>
      <c r="AE685" s="53">
        <f>IFERROR(INDEX($A685:$AB685,MATCH("Xero Invoice Date",$A$1:$AB$1,0)),"")</f>
        <v/>
      </c>
      <c r="AF685" s="54">
        <f>IF(AND(IFERROR(INDEX($A685:$AB685,MATCH("Xero Invoice No",$A$1:$AB$1,0)),"")&amp;""&lt;&gt;"",ISNUMBER(AE685),AD685&lt;&gt;0),1,0)</f>
        <v/>
      </c>
      <c r="AG685" s="55">
        <f>IF(AF685=1,EOMONTH(AE685,0),"")</f>
        <v/>
      </c>
      <c r="AH685" s="9">
        <f>IF(AF685=1,UPPER(TRIM(IFERROR(INDEX($A685:$AB685,MATCH("Client",$A$1:$AB$1,0)),"")&amp;"")),"")</f>
        <v/>
      </c>
      <c r="AI685" s="9">
        <f>IF(AF685=1,IFERROR(INDEX($A685:$AB685,MATCH("Cost Centre",$A$1:$AB$1,0)),"")&amp;"","")</f>
        <v/>
      </c>
      <c r="AJ685" s="54">
        <f>IF(AND(AF685=1,AE685&gt;=set_FYStart,AE685&lt;=set_AsAt),1,0)</f>
        <v/>
      </c>
      <c r="AK685" s="54">
        <f>IF(AND(AJ685=1,AH685&lt;&gt;"",COUNTIFS($AH$2:AH685,AH685,$AJ$2:AJ685,1)=1),N(AL684)+1,"")</f>
        <v/>
      </c>
      <c r="AL685" s="54">
        <f>IF(AK685&lt;&gt;"",AK685,N(AL684))</f>
        <v/>
      </c>
    </row>
    <row r="686">
      <c r="A686" t="inlineStr">
        <is>
          <t>ONS-0229</t>
        </is>
      </c>
      <c r="B686" t="inlineStr">
        <is>
          <t>Onsite</t>
        </is>
      </c>
      <c r="R686" t="inlineStr">
        <is>
          <t>GST 10%</t>
        </is>
      </c>
      <c r="AB686" t="n">
        <v>229</v>
      </c>
      <c r="AD686" s="52">
        <f>IFERROR(N(IFERROR(INDEX($A686:$AB686,MATCH("Xero Invoiced Ex GST",$A$1:$AB$1,0)),"")),0)</f>
        <v/>
      </c>
      <c r="AE686" s="53">
        <f>IFERROR(INDEX($A686:$AB686,MATCH("Xero Invoice Date",$A$1:$AB$1,0)),"")</f>
        <v/>
      </c>
      <c r="AF686" s="54">
        <f>IF(AND(IFERROR(INDEX($A686:$AB686,MATCH("Xero Invoice No",$A$1:$AB$1,0)),"")&amp;""&lt;&gt;"",ISNUMBER(AE686),AD686&lt;&gt;0),1,0)</f>
        <v/>
      </c>
      <c r="AG686" s="55">
        <f>IF(AF686=1,EOMONTH(AE686,0),"")</f>
        <v/>
      </c>
      <c r="AH686" s="9">
        <f>IF(AF686=1,UPPER(TRIM(IFERROR(INDEX($A686:$AB686,MATCH("Client",$A$1:$AB$1,0)),"")&amp;"")),"")</f>
        <v/>
      </c>
      <c r="AI686" s="9">
        <f>IF(AF686=1,IFERROR(INDEX($A686:$AB686,MATCH("Cost Centre",$A$1:$AB$1,0)),"")&amp;"","")</f>
        <v/>
      </c>
      <c r="AJ686" s="54">
        <f>IF(AND(AF686=1,AE686&gt;=set_FYStart,AE686&lt;=set_AsAt),1,0)</f>
        <v/>
      </c>
      <c r="AK686" s="54">
        <f>IF(AND(AJ686=1,AH686&lt;&gt;"",COUNTIFS($AH$2:AH686,AH686,$AJ$2:AJ686,1)=1),N(AL685)+1,"")</f>
        <v/>
      </c>
      <c r="AL686" s="54">
        <f>IF(AK686&lt;&gt;"",AK686,N(AL685))</f>
        <v/>
      </c>
    </row>
    <row r="687">
      <c r="A687" t="inlineStr">
        <is>
          <t>PRD-0229</t>
        </is>
      </c>
      <c r="B687" t="inlineStr">
        <is>
          <t>Production</t>
        </is>
      </c>
      <c r="AB687" t="n">
        <v>229</v>
      </c>
      <c r="AD687" s="52">
        <f>IFERROR(N(IFERROR(INDEX($A687:$AB687,MATCH("Xero Invoiced Ex GST",$A$1:$AB$1,0)),"")),0)</f>
        <v/>
      </c>
      <c r="AE687" s="53">
        <f>IFERROR(INDEX($A687:$AB687,MATCH("Xero Invoice Date",$A$1:$AB$1,0)),"")</f>
        <v/>
      </c>
      <c r="AF687" s="54">
        <f>IF(AND(IFERROR(INDEX($A687:$AB687,MATCH("Xero Invoice No",$A$1:$AB$1,0)),"")&amp;""&lt;&gt;"",ISNUMBER(AE687),AD687&lt;&gt;0),1,0)</f>
        <v/>
      </c>
      <c r="AG687" s="55">
        <f>IF(AF687=1,EOMONTH(AE687,0),"")</f>
        <v/>
      </c>
      <c r="AH687" s="9">
        <f>IF(AF687=1,UPPER(TRIM(IFERROR(INDEX($A687:$AB687,MATCH("Client",$A$1:$AB$1,0)),"")&amp;"")),"")</f>
        <v/>
      </c>
      <c r="AI687" s="9">
        <f>IF(AF687=1,IFERROR(INDEX($A687:$AB687,MATCH("Cost Centre",$A$1:$AB$1,0)),"")&amp;"","")</f>
        <v/>
      </c>
      <c r="AJ687" s="54">
        <f>IF(AND(AF687=1,AE687&gt;=set_FYStart,AE687&lt;=set_AsAt),1,0)</f>
        <v/>
      </c>
      <c r="AK687" s="54">
        <f>IF(AND(AJ687=1,AH687&lt;&gt;"",COUNTIFS($AH$2:AH687,AH687,$AJ$2:AJ687,1)=1),N(AL686)+1,"")</f>
        <v/>
      </c>
      <c r="AL687" s="54">
        <f>IF(AK687&lt;&gt;"",AK687,N(AL686))</f>
        <v/>
      </c>
    </row>
    <row r="688">
      <c r="A688" t="inlineStr">
        <is>
          <t>CON-0229</t>
        </is>
      </c>
      <c r="B688" t="inlineStr">
        <is>
          <t>Consulting</t>
        </is>
      </c>
      <c r="AB688" t="n">
        <v>229</v>
      </c>
      <c r="AD688" s="52">
        <f>IFERROR(N(IFERROR(INDEX($A688:$AB688,MATCH("Xero Invoiced Ex GST",$A$1:$AB$1,0)),"")),0)</f>
        <v/>
      </c>
      <c r="AE688" s="53">
        <f>IFERROR(INDEX($A688:$AB688,MATCH("Xero Invoice Date",$A$1:$AB$1,0)),"")</f>
        <v/>
      </c>
      <c r="AF688" s="54">
        <f>IF(AND(IFERROR(INDEX($A688:$AB688,MATCH("Xero Invoice No",$A$1:$AB$1,0)),"")&amp;""&lt;&gt;"",ISNUMBER(AE688),AD688&lt;&gt;0),1,0)</f>
        <v/>
      </c>
      <c r="AG688" s="55">
        <f>IF(AF688=1,EOMONTH(AE688,0),"")</f>
        <v/>
      </c>
      <c r="AH688" s="9">
        <f>IF(AF688=1,UPPER(TRIM(IFERROR(INDEX($A688:$AB688,MATCH("Client",$A$1:$AB$1,0)),"")&amp;"")),"")</f>
        <v/>
      </c>
      <c r="AI688" s="9">
        <f>IF(AF688=1,IFERROR(INDEX($A688:$AB688,MATCH("Cost Centre",$A$1:$AB$1,0)),"")&amp;"","")</f>
        <v/>
      </c>
      <c r="AJ688" s="54">
        <f>IF(AND(AF688=1,AE688&gt;=set_FYStart,AE688&lt;=set_AsAt),1,0)</f>
        <v/>
      </c>
      <c r="AK688" s="54">
        <f>IF(AND(AJ688=1,AH688&lt;&gt;"",COUNTIFS($AH$2:AH688,AH688,$AJ$2:AJ688,1)=1),N(AL687)+1,"")</f>
        <v/>
      </c>
      <c r="AL688" s="54">
        <f>IF(AK688&lt;&gt;"",AK688,N(AL687))</f>
        <v/>
      </c>
    </row>
    <row r="689">
      <c r="A689" t="inlineStr">
        <is>
          <t>ONS-0230</t>
        </is>
      </c>
      <c r="B689" t="inlineStr">
        <is>
          <t>Onsite</t>
        </is>
      </c>
      <c r="R689" t="inlineStr">
        <is>
          <t>GST 10%</t>
        </is>
      </c>
      <c r="AB689" t="n">
        <v>230</v>
      </c>
      <c r="AD689" s="52">
        <f>IFERROR(N(IFERROR(INDEX($A689:$AB689,MATCH("Xero Invoiced Ex GST",$A$1:$AB$1,0)),"")),0)</f>
        <v/>
      </c>
      <c r="AE689" s="53">
        <f>IFERROR(INDEX($A689:$AB689,MATCH("Xero Invoice Date",$A$1:$AB$1,0)),"")</f>
        <v/>
      </c>
      <c r="AF689" s="54">
        <f>IF(AND(IFERROR(INDEX($A689:$AB689,MATCH("Xero Invoice No",$A$1:$AB$1,0)),"")&amp;""&lt;&gt;"",ISNUMBER(AE689),AD689&lt;&gt;0),1,0)</f>
        <v/>
      </c>
      <c r="AG689" s="55">
        <f>IF(AF689=1,EOMONTH(AE689,0),"")</f>
        <v/>
      </c>
      <c r="AH689" s="9">
        <f>IF(AF689=1,UPPER(TRIM(IFERROR(INDEX($A689:$AB689,MATCH("Client",$A$1:$AB$1,0)),"")&amp;"")),"")</f>
        <v/>
      </c>
      <c r="AI689" s="9">
        <f>IF(AF689=1,IFERROR(INDEX($A689:$AB689,MATCH("Cost Centre",$A$1:$AB$1,0)),"")&amp;"","")</f>
        <v/>
      </c>
      <c r="AJ689" s="54">
        <f>IF(AND(AF689=1,AE689&gt;=set_FYStart,AE689&lt;=set_AsAt),1,0)</f>
        <v/>
      </c>
      <c r="AK689" s="54">
        <f>IF(AND(AJ689=1,AH689&lt;&gt;"",COUNTIFS($AH$2:AH689,AH689,$AJ$2:AJ689,1)=1),N(AL688)+1,"")</f>
        <v/>
      </c>
      <c r="AL689" s="54">
        <f>IF(AK689&lt;&gt;"",AK689,N(AL688))</f>
        <v/>
      </c>
    </row>
    <row r="690">
      <c r="A690" t="inlineStr">
        <is>
          <t>PRD-0230</t>
        </is>
      </c>
      <c r="B690" t="inlineStr">
        <is>
          <t>Production</t>
        </is>
      </c>
      <c r="AB690" t="n">
        <v>230</v>
      </c>
      <c r="AD690" s="52">
        <f>IFERROR(N(IFERROR(INDEX($A690:$AB690,MATCH("Xero Invoiced Ex GST",$A$1:$AB$1,0)),"")),0)</f>
        <v/>
      </c>
      <c r="AE690" s="53">
        <f>IFERROR(INDEX($A690:$AB690,MATCH("Xero Invoice Date",$A$1:$AB$1,0)),"")</f>
        <v/>
      </c>
      <c r="AF690" s="54">
        <f>IF(AND(IFERROR(INDEX($A690:$AB690,MATCH("Xero Invoice No",$A$1:$AB$1,0)),"")&amp;""&lt;&gt;"",ISNUMBER(AE690),AD690&lt;&gt;0),1,0)</f>
        <v/>
      </c>
      <c r="AG690" s="55">
        <f>IF(AF690=1,EOMONTH(AE690,0),"")</f>
        <v/>
      </c>
      <c r="AH690" s="9">
        <f>IF(AF690=1,UPPER(TRIM(IFERROR(INDEX($A690:$AB690,MATCH("Client",$A$1:$AB$1,0)),"")&amp;"")),"")</f>
        <v/>
      </c>
      <c r="AI690" s="9">
        <f>IF(AF690=1,IFERROR(INDEX($A690:$AB690,MATCH("Cost Centre",$A$1:$AB$1,0)),"")&amp;"","")</f>
        <v/>
      </c>
      <c r="AJ690" s="54">
        <f>IF(AND(AF690=1,AE690&gt;=set_FYStart,AE690&lt;=set_AsAt),1,0)</f>
        <v/>
      </c>
      <c r="AK690" s="54">
        <f>IF(AND(AJ690=1,AH690&lt;&gt;"",COUNTIFS($AH$2:AH690,AH690,$AJ$2:AJ690,1)=1),N(AL689)+1,"")</f>
        <v/>
      </c>
      <c r="AL690" s="54">
        <f>IF(AK690&lt;&gt;"",AK690,N(AL689))</f>
        <v/>
      </c>
    </row>
    <row r="691">
      <c r="A691" t="inlineStr">
        <is>
          <t>CON-0230</t>
        </is>
      </c>
      <c r="B691" t="inlineStr">
        <is>
          <t>Consulting</t>
        </is>
      </c>
      <c r="AB691" t="n">
        <v>230</v>
      </c>
      <c r="AD691" s="52">
        <f>IFERROR(N(IFERROR(INDEX($A691:$AB691,MATCH("Xero Invoiced Ex GST",$A$1:$AB$1,0)),"")),0)</f>
        <v/>
      </c>
      <c r="AE691" s="53">
        <f>IFERROR(INDEX($A691:$AB691,MATCH("Xero Invoice Date",$A$1:$AB$1,0)),"")</f>
        <v/>
      </c>
      <c r="AF691" s="54">
        <f>IF(AND(IFERROR(INDEX($A691:$AB691,MATCH("Xero Invoice No",$A$1:$AB$1,0)),"")&amp;""&lt;&gt;"",ISNUMBER(AE691),AD691&lt;&gt;0),1,0)</f>
        <v/>
      </c>
      <c r="AG691" s="55">
        <f>IF(AF691=1,EOMONTH(AE691,0),"")</f>
        <v/>
      </c>
      <c r="AH691" s="9">
        <f>IF(AF691=1,UPPER(TRIM(IFERROR(INDEX($A691:$AB691,MATCH("Client",$A$1:$AB$1,0)),"")&amp;"")),"")</f>
        <v/>
      </c>
      <c r="AI691" s="9">
        <f>IF(AF691=1,IFERROR(INDEX($A691:$AB691,MATCH("Cost Centre",$A$1:$AB$1,0)),"")&amp;"","")</f>
        <v/>
      </c>
      <c r="AJ691" s="54">
        <f>IF(AND(AF691=1,AE691&gt;=set_FYStart,AE691&lt;=set_AsAt),1,0)</f>
        <v/>
      </c>
      <c r="AK691" s="54">
        <f>IF(AND(AJ691=1,AH691&lt;&gt;"",COUNTIFS($AH$2:AH691,AH691,$AJ$2:AJ691,1)=1),N(AL690)+1,"")</f>
        <v/>
      </c>
      <c r="AL691" s="54">
        <f>IF(AK691&lt;&gt;"",AK691,N(AL690))</f>
        <v/>
      </c>
    </row>
    <row r="692">
      <c r="A692" t="inlineStr">
        <is>
          <t>ONS-0231</t>
        </is>
      </c>
      <c r="B692" t="inlineStr">
        <is>
          <t>Onsite</t>
        </is>
      </c>
      <c r="R692" t="inlineStr">
        <is>
          <t>GST 10%</t>
        </is>
      </c>
      <c r="AB692" t="n">
        <v>231</v>
      </c>
      <c r="AD692" s="52">
        <f>IFERROR(N(IFERROR(INDEX($A692:$AB692,MATCH("Xero Invoiced Ex GST",$A$1:$AB$1,0)),"")),0)</f>
        <v/>
      </c>
      <c r="AE692" s="53">
        <f>IFERROR(INDEX($A692:$AB692,MATCH("Xero Invoice Date",$A$1:$AB$1,0)),"")</f>
        <v/>
      </c>
      <c r="AF692" s="54">
        <f>IF(AND(IFERROR(INDEX($A692:$AB692,MATCH("Xero Invoice No",$A$1:$AB$1,0)),"")&amp;""&lt;&gt;"",ISNUMBER(AE692),AD692&lt;&gt;0),1,0)</f>
        <v/>
      </c>
      <c r="AG692" s="55">
        <f>IF(AF692=1,EOMONTH(AE692,0),"")</f>
        <v/>
      </c>
      <c r="AH692" s="9">
        <f>IF(AF692=1,UPPER(TRIM(IFERROR(INDEX($A692:$AB692,MATCH("Client",$A$1:$AB$1,0)),"")&amp;"")),"")</f>
        <v/>
      </c>
      <c r="AI692" s="9">
        <f>IF(AF692=1,IFERROR(INDEX($A692:$AB692,MATCH("Cost Centre",$A$1:$AB$1,0)),"")&amp;"","")</f>
        <v/>
      </c>
      <c r="AJ692" s="54">
        <f>IF(AND(AF692=1,AE692&gt;=set_FYStart,AE692&lt;=set_AsAt),1,0)</f>
        <v/>
      </c>
      <c r="AK692" s="54">
        <f>IF(AND(AJ692=1,AH692&lt;&gt;"",COUNTIFS($AH$2:AH692,AH692,$AJ$2:AJ692,1)=1),N(AL691)+1,"")</f>
        <v/>
      </c>
      <c r="AL692" s="54">
        <f>IF(AK692&lt;&gt;"",AK692,N(AL691))</f>
        <v/>
      </c>
    </row>
    <row r="693">
      <c r="A693" t="inlineStr">
        <is>
          <t>PRD-0231</t>
        </is>
      </c>
      <c r="B693" t="inlineStr">
        <is>
          <t>Production</t>
        </is>
      </c>
      <c r="AB693" t="n">
        <v>231</v>
      </c>
      <c r="AD693" s="52">
        <f>IFERROR(N(IFERROR(INDEX($A693:$AB693,MATCH("Xero Invoiced Ex GST",$A$1:$AB$1,0)),"")),0)</f>
        <v/>
      </c>
      <c r="AE693" s="53">
        <f>IFERROR(INDEX($A693:$AB693,MATCH("Xero Invoice Date",$A$1:$AB$1,0)),"")</f>
        <v/>
      </c>
      <c r="AF693" s="54">
        <f>IF(AND(IFERROR(INDEX($A693:$AB693,MATCH("Xero Invoice No",$A$1:$AB$1,0)),"")&amp;""&lt;&gt;"",ISNUMBER(AE693),AD693&lt;&gt;0),1,0)</f>
        <v/>
      </c>
      <c r="AG693" s="55">
        <f>IF(AF693=1,EOMONTH(AE693,0),"")</f>
        <v/>
      </c>
      <c r="AH693" s="9">
        <f>IF(AF693=1,UPPER(TRIM(IFERROR(INDEX($A693:$AB693,MATCH("Client",$A$1:$AB$1,0)),"")&amp;"")),"")</f>
        <v/>
      </c>
      <c r="AI693" s="9">
        <f>IF(AF693=1,IFERROR(INDEX($A693:$AB693,MATCH("Cost Centre",$A$1:$AB$1,0)),"")&amp;"","")</f>
        <v/>
      </c>
      <c r="AJ693" s="54">
        <f>IF(AND(AF693=1,AE693&gt;=set_FYStart,AE693&lt;=set_AsAt),1,0)</f>
        <v/>
      </c>
      <c r="AK693" s="54">
        <f>IF(AND(AJ693=1,AH693&lt;&gt;"",COUNTIFS($AH$2:AH693,AH693,$AJ$2:AJ693,1)=1),N(AL692)+1,"")</f>
        <v/>
      </c>
      <c r="AL693" s="54">
        <f>IF(AK693&lt;&gt;"",AK693,N(AL692))</f>
        <v/>
      </c>
    </row>
    <row r="694">
      <c r="A694" t="inlineStr">
        <is>
          <t>CON-0231</t>
        </is>
      </c>
      <c r="B694" t="inlineStr">
        <is>
          <t>Consulting</t>
        </is>
      </c>
      <c r="AB694" t="n">
        <v>231</v>
      </c>
      <c r="AD694" s="52">
        <f>IFERROR(N(IFERROR(INDEX($A694:$AB694,MATCH("Xero Invoiced Ex GST",$A$1:$AB$1,0)),"")),0)</f>
        <v/>
      </c>
      <c r="AE694" s="53">
        <f>IFERROR(INDEX($A694:$AB694,MATCH("Xero Invoice Date",$A$1:$AB$1,0)),"")</f>
        <v/>
      </c>
      <c r="AF694" s="54">
        <f>IF(AND(IFERROR(INDEX($A694:$AB694,MATCH("Xero Invoice No",$A$1:$AB$1,0)),"")&amp;""&lt;&gt;"",ISNUMBER(AE694),AD694&lt;&gt;0),1,0)</f>
        <v/>
      </c>
      <c r="AG694" s="55">
        <f>IF(AF694=1,EOMONTH(AE694,0),"")</f>
        <v/>
      </c>
      <c r="AH694" s="9">
        <f>IF(AF694=1,UPPER(TRIM(IFERROR(INDEX($A694:$AB694,MATCH("Client",$A$1:$AB$1,0)),"")&amp;"")),"")</f>
        <v/>
      </c>
      <c r="AI694" s="9">
        <f>IF(AF694=1,IFERROR(INDEX($A694:$AB694,MATCH("Cost Centre",$A$1:$AB$1,0)),"")&amp;"","")</f>
        <v/>
      </c>
      <c r="AJ694" s="54">
        <f>IF(AND(AF694=1,AE694&gt;=set_FYStart,AE694&lt;=set_AsAt),1,0)</f>
        <v/>
      </c>
      <c r="AK694" s="54">
        <f>IF(AND(AJ694=1,AH694&lt;&gt;"",COUNTIFS($AH$2:AH694,AH694,$AJ$2:AJ694,1)=1),N(AL693)+1,"")</f>
        <v/>
      </c>
      <c r="AL694" s="54">
        <f>IF(AK694&lt;&gt;"",AK694,N(AL693))</f>
        <v/>
      </c>
    </row>
    <row r="695">
      <c r="A695" t="inlineStr">
        <is>
          <t>ONS-0232</t>
        </is>
      </c>
      <c r="B695" t="inlineStr">
        <is>
          <t>Onsite</t>
        </is>
      </c>
      <c r="R695" t="inlineStr">
        <is>
          <t>GST 10%</t>
        </is>
      </c>
      <c r="AB695" t="n">
        <v>232</v>
      </c>
      <c r="AD695" s="52">
        <f>IFERROR(N(IFERROR(INDEX($A695:$AB695,MATCH("Xero Invoiced Ex GST",$A$1:$AB$1,0)),"")),0)</f>
        <v/>
      </c>
      <c r="AE695" s="53">
        <f>IFERROR(INDEX($A695:$AB695,MATCH("Xero Invoice Date",$A$1:$AB$1,0)),"")</f>
        <v/>
      </c>
      <c r="AF695" s="54">
        <f>IF(AND(IFERROR(INDEX($A695:$AB695,MATCH("Xero Invoice No",$A$1:$AB$1,0)),"")&amp;""&lt;&gt;"",ISNUMBER(AE695),AD695&lt;&gt;0),1,0)</f>
        <v/>
      </c>
      <c r="AG695" s="55">
        <f>IF(AF695=1,EOMONTH(AE695,0),"")</f>
        <v/>
      </c>
      <c r="AH695" s="9">
        <f>IF(AF695=1,UPPER(TRIM(IFERROR(INDEX($A695:$AB695,MATCH("Client",$A$1:$AB$1,0)),"")&amp;"")),"")</f>
        <v/>
      </c>
      <c r="AI695" s="9">
        <f>IF(AF695=1,IFERROR(INDEX($A695:$AB695,MATCH("Cost Centre",$A$1:$AB$1,0)),"")&amp;"","")</f>
        <v/>
      </c>
      <c r="AJ695" s="54">
        <f>IF(AND(AF695=1,AE695&gt;=set_FYStart,AE695&lt;=set_AsAt),1,0)</f>
        <v/>
      </c>
      <c r="AK695" s="54">
        <f>IF(AND(AJ695=1,AH695&lt;&gt;"",COUNTIFS($AH$2:AH695,AH695,$AJ$2:AJ695,1)=1),N(AL694)+1,"")</f>
        <v/>
      </c>
      <c r="AL695" s="54">
        <f>IF(AK695&lt;&gt;"",AK695,N(AL694))</f>
        <v/>
      </c>
    </row>
    <row r="696">
      <c r="A696" t="inlineStr">
        <is>
          <t>PRD-0232</t>
        </is>
      </c>
      <c r="B696" t="inlineStr">
        <is>
          <t>Production</t>
        </is>
      </c>
      <c r="AB696" t="n">
        <v>232</v>
      </c>
      <c r="AD696" s="52">
        <f>IFERROR(N(IFERROR(INDEX($A696:$AB696,MATCH("Xero Invoiced Ex GST",$A$1:$AB$1,0)),"")),0)</f>
        <v/>
      </c>
      <c r="AE696" s="53">
        <f>IFERROR(INDEX($A696:$AB696,MATCH("Xero Invoice Date",$A$1:$AB$1,0)),"")</f>
        <v/>
      </c>
      <c r="AF696" s="54">
        <f>IF(AND(IFERROR(INDEX($A696:$AB696,MATCH("Xero Invoice No",$A$1:$AB$1,0)),"")&amp;""&lt;&gt;"",ISNUMBER(AE696),AD696&lt;&gt;0),1,0)</f>
        <v/>
      </c>
      <c r="AG696" s="55">
        <f>IF(AF696=1,EOMONTH(AE696,0),"")</f>
        <v/>
      </c>
      <c r="AH696" s="9">
        <f>IF(AF696=1,UPPER(TRIM(IFERROR(INDEX($A696:$AB696,MATCH("Client",$A$1:$AB$1,0)),"")&amp;"")),"")</f>
        <v/>
      </c>
      <c r="AI696" s="9">
        <f>IF(AF696=1,IFERROR(INDEX($A696:$AB696,MATCH("Cost Centre",$A$1:$AB$1,0)),"")&amp;"","")</f>
        <v/>
      </c>
      <c r="AJ696" s="54">
        <f>IF(AND(AF696=1,AE696&gt;=set_FYStart,AE696&lt;=set_AsAt),1,0)</f>
        <v/>
      </c>
      <c r="AK696" s="54">
        <f>IF(AND(AJ696=1,AH696&lt;&gt;"",COUNTIFS($AH$2:AH696,AH696,$AJ$2:AJ696,1)=1),N(AL695)+1,"")</f>
        <v/>
      </c>
      <c r="AL696" s="54">
        <f>IF(AK696&lt;&gt;"",AK696,N(AL695))</f>
        <v/>
      </c>
    </row>
    <row r="697">
      <c r="A697" t="inlineStr">
        <is>
          <t>CON-0232</t>
        </is>
      </c>
      <c r="B697" t="inlineStr">
        <is>
          <t>Consulting</t>
        </is>
      </c>
      <c r="AB697" t="n">
        <v>232</v>
      </c>
      <c r="AD697" s="52">
        <f>IFERROR(N(IFERROR(INDEX($A697:$AB697,MATCH("Xero Invoiced Ex GST",$A$1:$AB$1,0)),"")),0)</f>
        <v/>
      </c>
      <c r="AE697" s="53">
        <f>IFERROR(INDEX($A697:$AB697,MATCH("Xero Invoice Date",$A$1:$AB$1,0)),"")</f>
        <v/>
      </c>
      <c r="AF697" s="54">
        <f>IF(AND(IFERROR(INDEX($A697:$AB697,MATCH("Xero Invoice No",$A$1:$AB$1,0)),"")&amp;""&lt;&gt;"",ISNUMBER(AE697),AD697&lt;&gt;0),1,0)</f>
        <v/>
      </c>
      <c r="AG697" s="55">
        <f>IF(AF697=1,EOMONTH(AE697,0),"")</f>
        <v/>
      </c>
      <c r="AH697" s="9">
        <f>IF(AF697=1,UPPER(TRIM(IFERROR(INDEX($A697:$AB697,MATCH("Client",$A$1:$AB$1,0)),"")&amp;"")),"")</f>
        <v/>
      </c>
      <c r="AI697" s="9">
        <f>IF(AF697=1,IFERROR(INDEX($A697:$AB697,MATCH("Cost Centre",$A$1:$AB$1,0)),"")&amp;"","")</f>
        <v/>
      </c>
      <c r="AJ697" s="54">
        <f>IF(AND(AF697=1,AE697&gt;=set_FYStart,AE697&lt;=set_AsAt),1,0)</f>
        <v/>
      </c>
      <c r="AK697" s="54">
        <f>IF(AND(AJ697=1,AH697&lt;&gt;"",COUNTIFS($AH$2:AH697,AH697,$AJ$2:AJ697,1)=1),N(AL696)+1,"")</f>
        <v/>
      </c>
      <c r="AL697" s="54">
        <f>IF(AK697&lt;&gt;"",AK697,N(AL696))</f>
        <v/>
      </c>
    </row>
    <row r="698">
      <c r="A698" t="inlineStr">
        <is>
          <t>ONS-0233</t>
        </is>
      </c>
      <c r="B698" t="inlineStr">
        <is>
          <t>Onsite</t>
        </is>
      </c>
      <c r="R698" t="inlineStr">
        <is>
          <t>GST 10%</t>
        </is>
      </c>
      <c r="AB698" t="n">
        <v>233</v>
      </c>
      <c r="AD698" s="52">
        <f>IFERROR(N(IFERROR(INDEX($A698:$AB698,MATCH("Xero Invoiced Ex GST",$A$1:$AB$1,0)),"")),0)</f>
        <v/>
      </c>
      <c r="AE698" s="53">
        <f>IFERROR(INDEX($A698:$AB698,MATCH("Xero Invoice Date",$A$1:$AB$1,0)),"")</f>
        <v/>
      </c>
      <c r="AF698" s="54">
        <f>IF(AND(IFERROR(INDEX($A698:$AB698,MATCH("Xero Invoice No",$A$1:$AB$1,0)),"")&amp;""&lt;&gt;"",ISNUMBER(AE698),AD698&lt;&gt;0),1,0)</f>
        <v/>
      </c>
      <c r="AG698" s="55">
        <f>IF(AF698=1,EOMONTH(AE698,0),"")</f>
        <v/>
      </c>
      <c r="AH698" s="9">
        <f>IF(AF698=1,UPPER(TRIM(IFERROR(INDEX($A698:$AB698,MATCH("Client",$A$1:$AB$1,0)),"")&amp;"")),"")</f>
        <v/>
      </c>
      <c r="AI698" s="9">
        <f>IF(AF698=1,IFERROR(INDEX($A698:$AB698,MATCH("Cost Centre",$A$1:$AB$1,0)),"")&amp;"","")</f>
        <v/>
      </c>
      <c r="AJ698" s="54">
        <f>IF(AND(AF698=1,AE698&gt;=set_FYStart,AE698&lt;=set_AsAt),1,0)</f>
        <v/>
      </c>
      <c r="AK698" s="54">
        <f>IF(AND(AJ698=1,AH698&lt;&gt;"",COUNTIFS($AH$2:AH698,AH698,$AJ$2:AJ698,1)=1),N(AL697)+1,"")</f>
        <v/>
      </c>
      <c r="AL698" s="54">
        <f>IF(AK698&lt;&gt;"",AK698,N(AL697))</f>
        <v/>
      </c>
    </row>
    <row r="699">
      <c r="A699" t="inlineStr">
        <is>
          <t>PRD-0233</t>
        </is>
      </c>
      <c r="B699" t="inlineStr">
        <is>
          <t>Production</t>
        </is>
      </c>
      <c r="AB699" t="n">
        <v>233</v>
      </c>
      <c r="AD699" s="52">
        <f>IFERROR(N(IFERROR(INDEX($A699:$AB699,MATCH("Xero Invoiced Ex GST",$A$1:$AB$1,0)),"")),0)</f>
        <v/>
      </c>
      <c r="AE699" s="53">
        <f>IFERROR(INDEX($A699:$AB699,MATCH("Xero Invoice Date",$A$1:$AB$1,0)),"")</f>
        <v/>
      </c>
      <c r="AF699" s="54">
        <f>IF(AND(IFERROR(INDEX($A699:$AB699,MATCH("Xero Invoice No",$A$1:$AB$1,0)),"")&amp;""&lt;&gt;"",ISNUMBER(AE699),AD699&lt;&gt;0),1,0)</f>
        <v/>
      </c>
      <c r="AG699" s="55">
        <f>IF(AF699=1,EOMONTH(AE699,0),"")</f>
        <v/>
      </c>
      <c r="AH699" s="9">
        <f>IF(AF699=1,UPPER(TRIM(IFERROR(INDEX($A699:$AB699,MATCH("Client",$A$1:$AB$1,0)),"")&amp;"")),"")</f>
        <v/>
      </c>
      <c r="AI699" s="9">
        <f>IF(AF699=1,IFERROR(INDEX($A699:$AB699,MATCH("Cost Centre",$A$1:$AB$1,0)),"")&amp;"","")</f>
        <v/>
      </c>
      <c r="AJ699" s="54">
        <f>IF(AND(AF699=1,AE699&gt;=set_FYStart,AE699&lt;=set_AsAt),1,0)</f>
        <v/>
      </c>
      <c r="AK699" s="54">
        <f>IF(AND(AJ699=1,AH699&lt;&gt;"",COUNTIFS($AH$2:AH699,AH699,$AJ$2:AJ699,1)=1),N(AL698)+1,"")</f>
        <v/>
      </c>
      <c r="AL699" s="54">
        <f>IF(AK699&lt;&gt;"",AK699,N(AL698))</f>
        <v/>
      </c>
    </row>
    <row r="700">
      <c r="A700" t="inlineStr">
        <is>
          <t>CON-0233</t>
        </is>
      </c>
      <c r="B700" t="inlineStr">
        <is>
          <t>Consulting</t>
        </is>
      </c>
      <c r="AB700" t="n">
        <v>233</v>
      </c>
      <c r="AD700" s="52">
        <f>IFERROR(N(IFERROR(INDEX($A700:$AB700,MATCH("Xero Invoiced Ex GST",$A$1:$AB$1,0)),"")),0)</f>
        <v/>
      </c>
      <c r="AE700" s="53">
        <f>IFERROR(INDEX($A700:$AB700,MATCH("Xero Invoice Date",$A$1:$AB$1,0)),"")</f>
        <v/>
      </c>
      <c r="AF700" s="54">
        <f>IF(AND(IFERROR(INDEX($A700:$AB700,MATCH("Xero Invoice No",$A$1:$AB$1,0)),"")&amp;""&lt;&gt;"",ISNUMBER(AE700),AD700&lt;&gt;0),1,0)</f>
        <v/>
      </c>
      <c r="AG700" s="55">
        <f>IF(AF700=1,EOMONTH(AE700,0),"")</f>
        <v/>
      </c>
      <c r="AH700" s="9">
        <f>IF(AF700=1,UPPER(TRIM(IFERROR(INDEX($A700:$AB700,MATCH("Client",$A$1:$AB$1,0)),"")&amp;"")),"")</f>
        <v/>
      </c>
      <c r="AI700" s="9">
        <f>IF(AF700=1,IFERROR(INDEX($A700:$AB700,MATCH("Cost Centre",$A$1:$AB$1,0)),"")&amp;"","")</f>
        <v/>
      </c>
      <c r="AJ700" s="54">
        <f>IF(AND(AF700=1,AE700&gt;=set_FYStart,AE700&lt;=set_AsAt),1,0)</f>
        <v/>
      </c>
      <c r="AK700" s="54">
        <f>IF(AND(AJ700=1,AH700&lt;&gt;"",COUNTIFS($AH$2:AH700,AH700,$AJ$2:AJ700,1)=1),N(AL699)+1,"")</f>
        <v/>
      </c>
      <c r="AL700" s="54">
        <f>IF(AK700&lt;&gt;"",AK700,N(AL699))</f>
        <v/>
      </c>
    </row>
    <row r="701">
      <c r="A701" t="inlineStr">
        <is>
          <t>ONS-0234</t>
        </is>
      </c>
      <c r="B701" t="inlineStr">
        <is>
          <t>Onsite</t>
        </is>
      </c>
      <c r="R701" t="inlineStr">
        <is>
          <t>GST 10%</t>
        </is>
      </c>
      <c r="AB701" t="n">
        <v>234</v>
      </c>
      <c r="AD701" s="52">
        <f>IFERROR(N(IFERROR(INDEX($A701:$AB701,MATCH("Xero Invoiced Ex GST",$A$1:$AB$1,0)),"")),0)</f>
        <v/>
      </c>
      <c r="AE701" s="53">
        <f>IFERROR(INDEX($A701:$AB701,MATCH("Xero Invoice Date",$A$1:$AB$1,0)),"")</f>
        <v/>
      </c>
      <c r="AF701" s="54">
        <f>IF(AND(IFERROR(INDEX($A701:$AB701,MATCH("Xero Invoice No",$A$1:$AB$1,0)),"")&amp;""&lt;&gt;"",ISNUMBER(AE701),AD701&lt;&gt;0),1,0)</f>
        <v/>
      </c>
      <c r="AG701" s="55">
        <f>IF(AF701=1,EOMONTH(AE701,0),"")</f>
        <v/>
      </c>
      <c r="AH701" s="9">
        <f>IF(AF701=1,UPPER(TRIM(IFERROR(INDEX($A701:$AB701,MATCH("Client",$A$1:$AB$1,0)),"")&amp;"")),"")</f>
        <v/>
      </c>
      <c r="AI701" s="9">
        <f>IF(AF701=1,IFERROR(INDEX($A701:$AB701,MATCH("Cost Centre",$A$1:$AB$1,0)),"")&amp;"","")</f>
        <v/>
      </c>
      <c r="AJ701" s="54">
        <f>IF(AND(AF701=1,AE701&gt;=set_FYStart,AE701&lt;=set_AsAt),1,0)</f>
        <v/>
      </c>
      <c r="AK701" s="54">
        <f>IF(AND(AJ701=1,AH701&lt;&gt;"",COUNTIFS($AH$2:AH701,AH701,$AJ$2:AJ701,1)=1),N(AL700)+1,"")</f>
        <v/>
      </c>
      <c r="AL701" s="54">
        <f>IF(AK701&lt;&gt;"",AK701,N(AL700))</f>
        <v/>
      </c>
    </row>
    <row r="702">
      <c r="A702" t="inlineStr">
        <is>
          <t>PRD-0234</t>
        </is>
      </c>
      <c r="B702" t="inlineStr">
        <is>
          <t>Production</t>
        </is>
      </c>
      <c r="AB702" t="n">
        <v>234</v>
      </c>
      <c r="AD702" s="52">
        <f>IFERROR(N(IFERROR(INDEX($A702:$AB702,MATCH("Xero Invoiced Ex GST",$A$1:$AB$1,0)),"")),0)</f>
        <v/>
      </c>
      <c r="AE702" s="53">
        <f>IFERROR(INDEX($A702:$AB702,MATCH("Xero Invoice Date",$A$1:$AB$1,0)),"")</f>
        <v/>
      </c>
      <c r="AF702" s="54">
        <f>IF(AND(IFERROR(INDEX($A702:$AB702,MATCH("Xero Invoice No",$A$1:$AB$1,0)),"")&amp;""&lt;&gt;"",ISNUMBER(AE702),AD702&lt;&gt;0),1,0)</f>
        <v/>
      </c>
      <c r="AG702" s="55">
        <f>IF(AF702=1,EOMONTH(AE702,0),"")</f>
        <v/>
      </c>
      <c r="AH702" s="9">
        <f>IF(AF702=1,UPPER(TRIM(IFERROR(INDEX($A702:$AB702,MATCH("Client",$A$1:$AB$1,0)),"")&amp;"")),"")</f>
        <v/>
      </c>
      <c r="AI702" s="9">
        <f>IF(AF702=1,IFERROR(INDEX($A702:$AB702,MATCH("Cost Centre",$A$1:$AB$1,0)),"")&amp;"","")</f>
        <v/>
      </c>
      <c r="AJ702" s="54">
        <f>IF(AND(AF702=1,AE702&gt;=set_FYStart,AE702&lt;=set_AsAt),1,0)</f>
        <v/>
      </c>
      <c r="AK702" s="54">
        <f>IF(AND(AJ702=1,AH702&lt;&gt;"",COUNTIFS($AH$2:AH702,AH702,$AJ$2:AJ702,1)=1),N(AL701)+1,"")</f>
        <v/>
      </c>
      <c r="AL702" s="54">
        <f>IF(AK702&lt;&gt;"",AK702,N(AL701))</f>
        <v/>
      </c>
    </row>
    <row r="703">
      <c r="A703" t="inlineStr">
        <is>
          <t>CON-0234</t>
        </is>
      </c>
      <c r="B703" t="inlineStr">
        <is>
          <t>Consulting</t>
        </is>
      </c>
      <c r="AB703" t="n">
        <v>234</v>
      </c>
      <c r="AD703" s="52">
        <f>IFERROR(N(IFERROR(INDEX($A703:$AB703,MATCH("Xero Invoiced Ex GST",$A$1:$AB$1,0)),"")),0)</f>
        <v/>
      </c>
      <c r="AE703" s="53">
        <f>IFERROR(INDEX($A703:$AB703,MATCH("Xero Invoice Date",$A$1:$AB$1,0)),"")</f>
        <v/>
      </c>
      <c r="AF703" s="54">
        <f>IF(AND(IFERROR(INDEX($A703:$AB703,MATCH("Xero Invoice No",$A$1:$AB$1,0)),"")&amp;""&lt;&gt;"",ISNUMBER(AE703),AD703&lt;&gt;0),1,0)</f>
        <v/>
      </c>
      <c r="AG703" s="55">
        <f>IF(AF703=1,EOMONTH(AE703,0),"")</f>
        <v/>
      </c>
      <c r="AH703" s="9">
        <f>IF(AF703=1,UPPER(TRIM(IFERROR(INDEX($A703:$AB703,MATCH("Client",$A$1:$AB$1,0)),"")&amp;"")),"")</f>
        <v/>
      </c>
      <c r="AI703" s="9">
        <f>IF(AF703=1,IFERROR(INDEX($A703:$AB703,MATCH("Cost Centre",$A$1:$AB$1,0)),"")&amp;"","")</f>
        <v/>
      </c>
      <c r="AJ703" s="54">
        <f>IF(AND(AF703=1,AE703&gt;=set_FYStart,AE703&lt;=set_AsAt),1,0)</f>
        <v/>
      </c>
      <c r="AK703" s="54">
        <f>IF(AND(AJ703=1,AH703&lt;&gt;"",COUNTIFS($AH$2:AH703,AH703,$AJ$2:AJ703,1)=1),N(AL702)+1,"")</f>
        <v/>
      </c>
      <c r="AL703" s="54">
        <f>IF(AK703&lt;&gt;"",AK703,N(AL702))</f>
        <v/>
      </c>
    </row>
    <row r="704">
      <c r="A704" t="inlineStr">
        <is>
          <t>ONS-0235</t>
        </is>
      </c>
      <c r="B704" t="inlineStr">
        <is>
          <t>Onsite</t>
        </is>
      </c>
      <c r="R704" t="inlineStr">
        <is>
          <t>GST 10%</t>
        </is>
      </c>
      <c r="AB704" t="n">
        <v>235</v>
      </c>
      <c r="AD704" s="52">
        <f>IFERROR(N(IFERROR(INDEX($A704:$AB704,MATCH("Xero Invoiced Ex GST",$A$1:$AB$1,0)),"")),0)</f>
        <v/>
      </c>
      <c r="AE704" s="53">
        <f>IFERROR(INDEX($A704:$AB704,MATCH("Xero Invoice Date",$A$1:$AB$1,0)),"")</f>
        <v/>
      </c>
      <c r="AF704" s="54">
        <f>IF(AND(IFERROR(INDEX($A704:$AB704,MATCH("Xero Invoice No",$A$1:$AB$1,0)),"")&amp;""&lt;&gt;"",ISNUMBER(AE704),AD704&lt;&gt;0),1,0)</f>
        <v/>
      </c>
      <c r="AG704" s="55">
        <f>IF(AF704=1,EOMONTH(AE704,0),"")</f>
        <v/>
      </c>
      <c r="AH704" s="9">
        <f>IF(AF704=1,UPPER(TRIM(IFERROR(INDEX($A704:$AB704,MATCH("Client",$A$1:$AB$1,0)),"")&amp;"")),"")</f>
        <v/>
      </c>
      <c r="AI704" s="9">
        <f>IF(AF704=1,IFERROR(INDEX($A704:$AB704,MATCH("Cost Centre",$A$1:$AB$1,0)),"")&amp;"","")</f>
        <v/>
      </c>
      <c r="AJ704" s="54">
        <f>IF(AND(AF704=1,AE704&gt;=set_FYStart,AE704&lt;=set_AsAt),1,0)</f>
        <v/>
      </c>
      <c r="AK704" s="54">
        <f>IF(AND(AJ704=1,AH704&lt;&gt;"",COUNTIFS($AH$2:AH704,AH704,$AJ$2:AJ704,1)=1),N(AL703)+1,"")</f>
        <v/>
      </c>
      <c r="AL704" s="54">
        <f>IF(AK704&lt;&gt;"",AK704,N(AL703))</f>
        <v/>
      </c>
    </row>
    <row r="705">
      <c r="A705" t="inlineStr">
        <is>
          <t>PRD-0235</t>
        </is>
      </c>
      <c r="B705" t="inlineStr">
        <is>
          <t>Production</t>
        </is>
      </c>
      <c r="AB705" t="n">
        <v>235</v>
      </c>
      <c r="AD705" s="52">
        <f>IFERROR(N(IFERROR(INDEX($A705:$AB705,MATCH("Xero Invoiced Ex GST",$A$1:$AB$1,0)),"")),0)</f>
        <v/>
      </c>
      <c r="AE705" s="53">
        <f>IFERROR(INDEX($A705:$AB705,MATCH("Xero Invoice Date",$A$1:$AB$1,0)),"")</f>
        <v/>
      </c>
      <c r="AF705" s="54">
        <f>IF(AND(IFERROR(INDEX($A705:$AB705,MATCH("Xero Invoice No",$A$1:$AB$1,0)),"")&amp;""&lt;&gt;"",ISNUMBER(AE705),AD705&lt;&gt;0),1,0)</f>
        <v/>
      </c>
      <c r="AG705" s="55">
        <f>IF(AF705=1,EOMONTH(AE705,0),"")</f>
        <v/>
      </c>
      <c r="AH705" s="9">
        <f>IF(AF705=1,UPPER(TRIM(IFERROR(INDEX($A705:$AB705,MATCH("Client",$A$1:$AB$1,0)),"")&amp;"")),"")</f>
        <v/>
      </c>
      <c r="AI705" s="9">
        <f>IF(AF705=1,IFERROR(INDEX($A705:$AB705,MATCH("Cost Centre",$A$1:$AB$1,0)),"")&amp;"","")</f>
        <v/>
      </c>
      <c r="AJ705" s="54">
        <f>IF(AND(AF705=1,AE705&gt;=set_FYStart,AE705&lt;=set_AsAt),1,0)</f>
        <v/>
      </c>
      <c r="AK705" s="54">
        <f>IF(AND(AJ705=1,AH705&lt;&gt;"",COUNTIFS($AH$2:AH705,AH705,$AJ$2:AJ705,1)=1),N(AL704)+1,"")</f>
        <v/>
      </c>
      <c r="AL705" s="54">
        <f>IF(AK705&lt;&gt;"",AK705,N(AL704))</f>
        <v/>
      </c>
    </row>
    <row r="706">
      <c r="A706" t="inlineStr">
        <is>
          <t>CON-0235</t>
        </is>
      </c>
      <c r="B706" t="inlineStr">
        <is>
          <t>Consulting</t>
        </is>
      </c>
      <c r="AB706" t="n">
        <v>235</v>
      </c>
      <c r="AD706" s="52">
        <f>IFERROR(N(IFERROR(INDEX($A706:$AB706,MATCH("Xero Invoiced Ex GST",$A$1:$AB$1,0)),"")),0)</f>
        <v/>
      </c>
      <c r="AE706" s="53">
        <f>IFERROR(INDEX($A706:$AB706,MATCH("Xero Invoice Date",$A$1:$AB$1,0)),"")</f>
        <v/>
      </c>
      <c r="AF706" s="54">
        <f>IF(AND(IFERROR(INDEX($A706:$AB706,MATCH("Xero Invoice No",$A$1:$AB$1,0)),"")&amp;""&lt;&gt;"",ISNUMBER(AE706),AD706&lt;&gt;0),1,0)</f>
        <v/>
      </c>
      <c r="AG706" s="55">
        <f>IF(AF706=1,EOMONTH(AE706,0),"")</f>
        <v/>
      </c>
      <c r="AH706" s="9">
        <f>IF(AF706=1,UPPER(TRIM(IFERROR(INDEX($A706:$AB706,MATCH("Client",$A$1:$AB$1,0)),"")&amp;"")),"")</f>
        <v/>
      </c>
      <c r="AI706" s="9">
        <f>IF(AF706=1,IFERROR(INDEX($A706:$AB706,MATCH("Cost Centre",$A$1:$AB$1,0)),"")&amp;"","")</f>
        <v/>
      </c>
      <c r="AJ706" s="54">
        <f>IF(AND(AF706=1,AE706&gt;=set_FYStart,AE706&lt;=set_AsAt),1,0)</f>
        <v/>
      </c>
      <c r="AK706" s="54">
        <f>IF(AND(AJ706=1,AH706&lt;&gt;"",COUNTIFS($AH$2:AH706,AH706,$AJ$2:AJ706,1)=1),N(AL705)+1,"")</f>
        <v/>
      </c>
      <c r="AL706" s="54">
        <f>IF(AK706&lt;&gt;"",AK706,N(AL705))</f>
        <v/>
      </c>
    </row>
    <row r="707">
      <c r="A707" t="inlineStr">
        <is>
          <t>ONS-0236</t>
        </is>
      </c>
      <c r="B707" t="inlineStr">
        <is>
          <t>Onsite</t>
        </is>
      </c>
      <c r="R707" t="inlineStr">
        <is>
          <t>GST 10%</t>
        </is>
      </c>
      <c r="AB707" t="n">
        <v>236</v>
      </c>
      <c r="AD707" s="52">
        <f>IFERROR(N(IFERROR(INDEX($A707:$AB707,MATCH("Xero Invoiced Ex GST",$A$1:$AB$1,0)),"")),0)</f>
        <v/>
      </c>
      <c r="AE707" s="53">
        <f>IFERROR(INDEX($A707:$AB707,MATCH("Xero Invoice Date",$A$1:$AB$1,0)),"")</f>
        <v/>
      </c>
      <c r="AF707" s="54">
        <f>IF(AND(IFERROR(INDEX($A707:$AB707,MATCH("Xero Invoice No",$A$1:$AB$1,0)),"")&amp;""&lt;&gt;"",ISNUMBER(AE707),AD707&lt;&gt;0),1,0)</f>
        <v/>
      </c>
      <c r="AG707" s="55">
        <f>IF(AF707=1,EOMONTH(AE707,0),"")</f>
        <v/>
      </c>
      <c r="AH707" s="9">
        <f>IF(AF707=1,UPPER(TRIM(IFERROR(INDEX($A707:$AB707,MATCH("Client",$A$1:$AB$1,0)),"")&amp;"")),"")</f>
        <v/>
      </c>
      <c r="AI707" s="9">
        <f>IF(AF707=1,IFERROR(INDEX($A707:$AB707,MATCH("Cost Centre",$A$1:$AB$1,0)),"")&amp;"","")</f>
        <v/>
      </c>
      <c r="AJ707" s="54">
        <f>IF(AND(AF707=1,AE707&gt;=set_FYStart,AE707&lt;=set_AsAt),1,0)</f>
        <v/>
      </c>
      <c r="AK707" s="54">
        <f>IF(AND(AJ707=1,AH707&lt;&gt;"",COUNTIFS($AH$2:AH707,AH707,$AJ$2:AJ707,1)=1),N(AL706)+1,"")</f>
        <v/>
      </c>
      <c r="AL707" s="54">
        <f>IF(AK707&lt;&gt;"",AK707,N(AL706))</f>
        <v/>
      </c>
    </row>
    <row r="708">
      <c r="A708" t="inlineStr">
        <is>
          <t>PRD-0236</t>
        </is>
      </c>
      <c r="B708" t="inlineStr">
        <is>
          <t>Production</t>
        </is>
      </c>
      <c r="AB708" t="n">
        <v>236</v>
      </c>
      <c r="AD708" s="52">
        <f>IFERROR(N(IFERROR(INDEX($A708:$AB708,MATCH("Xero Invoiced Ex GST",$A$1:$AB$1,0)),"")),0)</f>
        <v/>
      </c>
      <c r="AE708" s="53">
        <f>IFERROR(INDEX($A708:$AB708,MATCH("Xero Invoice Date",$A$1:$AB$1,0)),"")</f>
        <v/>
      </c>
      <c r="AF708" s="54">
        <f>IF(AND(IFERROR(INDEX($A708:$AB708,MATCH("Xero Invoice No",$A$1:$AB$1,0)),"")&amp;""&lt;&gt;"",ISNUMBER(AE708),AD708&lt;&gt;0),1,0)</f>
        <v/>
      </c>
      <c r="AG708" s="55">
        <f>IF(AF708=1,EOMONTH(AE708,0),"")</f>
        <v/>
      </c>
      <c r="AH708" s="9">
        <f>IF(AF708=1,UPPER(TRIM(IFERROR(INDEX($A708:$AB708,MATCH("Client",$A$1:$AB$1,0)),"")&amp;"")),"")</f>
        <v/>
      </c>
      <c r="AI708" s="9">
        <f>IF(AF708=1,IFERROR(INDEX($A708:$AB708,MATCH("Cost Centre",$A$1:$AB$1,0)),"")&amp;"","")</f>
        <v/>
      </c>
      <c r="AJ708" s="54">
        <f>IF(AND(AF708=1,AE708&gt;=set_FYStart,AE708&lt;=set_AsAt),1,0)</f>
        <v/>
      </c>
      <c r="AK708" s="54">
        <f>IF(AND(AJ708=1,AH708&lt;&gt;"",COUNTIFS($AH$2:AH708,AH708,$AJ$2:AJ708,1)=1),N(AL707)+1,"")</f>
        <v/>
      </c>
      <c r="AL708" s="54">
        <f>IF(AK708&lt;&gt;"",AK708,N(AL707))</f>
        <v/>
      </c>
    </row>
    <row r="709">
      <c r="A709" t="inlineStr">
        <is>
          <t>CON-0236</t>
        </is>
      </c>
      <c r="B709" t="inlineStr">
        <is>
          <t>Consulting</t>
        </is>
      </c>
      <c r="AB709" t="n">
        <v>236</v>
      </c>
      <c r="AD709" s="52">
        <f>IFERROR(N(IFERROR(INDEX($A709:$AB709,MATCH("Xero Invoiced Ex GST",$A$1:$AB$1,0)),"")),0)</f>
        <v/>
      </c>
      <c r="AE709" s="53">
        <f>IFERROR(INDEX($A709:$AB709,MATCH("Xero Invoice Date",$A$1:$AB$1,0)),"")</f>
        <v/>
      </c>
      <c r="AF709" s="54">
        <f>IF(AND(IFERROR(INDEX($A709:$AB709,MATCH("Xero Invoice No",$A$1:$AB$1,0)),"")&amp;""&lt;&gt;"",ISNUMBER(AE709),AD709&lt;&gt;0),1,0)</f>
        <v/>
      </c>
      <c r="AG709" s="55">
        <f>IF(AF709=1,EOMONTH(AE709,0),"")</f>
        <v/>
      </c>
      <c r="AH709" s="9">
        <f>IF(AF709=1,UPPER(TRIM(IFERROR(INDEX($A709:$AB709,MATCH("Client",$A$1:$AB$1,0)),"")&amp;"")),"")</f>
        <v/>
      </c>
      <c r="AI709" s="9">
        <f>IF(AF709=1,IFERROR(INDEX($A709:$AB709,MATCH("Cost Centre",$A$1:$AB$1,0)),"")&amp;"","")</f>
        <v/>
      </c>
      <c r="AJ709" s="54">
        <f>IF(AND(AF709=1,AE709&gt;=set_FYStart,AE709&lt;=set_AsAt),1,0)</f>
        <v/>
      </c>
      <c r="AK709" s="54">
        <f>IF(AND(AJ709=1,AH709&lt;&gt;"",COUNTIFS($AH$2:AH709,AH709,$AJ$2:AJ709,1)=1),N(AL708)+1,"")</f>
        <v/>
      </c>
      <c r="AL709" s="54">
        <f>IF(AK709&lt;&gt;"",AK709,N(AL708))</f>
        <v/>
      </c>
    </row>
    <row r="710">
      <c r="A710" t="inlineStr">
        <is>
          <t>ONS-0237</t>
        </is>
      </c>
      <c r="B710" t="inlineStr">
        <is>
          <t>Onsite</t>
        </is>
      </c>
      <c r="R710" t="inlineStr">
        <is>
          <t>GST 10%</t>
        </is>
      </c>
      <c r="AB710" t="n">
        <v>237</v>
      </c>
      <c r="AD710" s="52">
        <f>IFERROR(N(IFERROR(INDEX($A710:$AB710,MATCH("Xero Invoiced Ex GST",$A$1:$AB$1,0)),"")),0)</f>
        <v/>
      </c>
      <c r="AE710" s="53">
        <f>IFERROR(INDEX($A710:$AB710,MATCH("Xero Invoice Date",$A$1:$AB$1,0)),"")</f>
        <v/>
      </c>
      <c r="AF710" s="54">
        <f>IF(AND(IFERROR(INDEX($A710:$AB710,MATCH("Xero Invoice No",$A$1:$AB$1,0)),"")&amp;""&lt;&gt;"",ISNUMBER(AE710),AD710&lt;&gt;0),1,0)</f>
        <v/>
      </c>
      <c r="AG710" s="55">
        <f>IF(AF710=1,EOMONTH(AE710,0),"")</f>
        <v/>
      </c>
      <c r="AH710" s="9">
        <f>IF(AF710=1,UPPER(TRIM(IFERROR(INDEX($A710:$AB710,MATCH("Client",$A$1:$AB$1,0)),"")&amp;"")),"")</f>
        <v/>
      </c>
      <c r="AI710" s="9">
        <f>IF(AF710=1,IFERROR(INDEX($A710:$AB710,MATCH("Cost Centre",$A$1:$AB$1,0)),"")&amp;"","")</f>
        <v/>
      </c>
      <c r="AJ710" s="54">
        <f>IF(AND(AF710=1,AE710&gt;=set_FYStart,AE710&lt;=set_AsAt),1,0)</f>
        <v/>
      </c>
      <c r="AK710" s="54">
        <f>IF(AND(AJ710=1,AH710&lt;&gt;"",COUNTIFS($AH$2:AH710,AH710,$AJ$2:AJ710,1)=1),N(AL709)+1,"")</f>
        <v/>
      </c>
      <c r="AL710" s="54">
        <f>IF(AK710&lt;&gt;"",AK710,N(AL709))</f>
        <v/>
      </c>
    </row>
    <row r="711">
      <c r="A711" t="inlineStr">
        <is>
          <t>PRD-0237</t>
        </is>
      </c>
      <c r="B711" t="inlineStr">
        <is>
          <t>Production</t>
        </is>
      </c>
      <c r="AB711" t="n">
        <v>237</v>
      </c>
      <c r="AD711" s="52">
        <f>IFERROR(N(IFERROR(INDEX($A711:$AB711,MATCH("Xero Invoiced Ex GST",$A$1:$AB$1,0)),"")),0)</f>
        <v/>
      </c>
      <c r="AE711" s="53">
        <f>IFERROR(INDEX($A711:$AB711,MATCH("Xero Invoice Date",$A$1:$AB$1,0)),"")</f>
        <v/>
      </c>
      <c r="AF711" s="54">
        <f>IF(AND(IFERROR(INDEX($A711:$AB711,MATCH("Xero Invoice No",$A$1:$AB$1,0)),"")&amp;""&lt;&gt;"",ISNUMBER(AE711),AD711&lt;&gt;0),1,0)</f>
        <v/>
      </c>
      <c r="AG711" s="55">
        <f>IF(AF711=1,EOMONTH(AE711,0),"")</f>
        <v/>
      </c>
      <c r="AH711" s="9">
        <f>IF(AF711=1,UPPER(TRIM(IFERROR(INDEX($A711:$AB711,MATCH("Client",$A$1:$AB$1,0)),"")&amp;"")),"")</f>
        <v/>
      </c>
      <c r="AI711" s="9">
        <f>IF(AF711=1,IFERROR(INDEX($A711:$AB711,MATCH("Cost Centre",$A$1:$AB$1,0)),"")&amp;"","")</f>
        <v/>
      </c>
      <c r="AJ711" s="54">
        <f>IF(AND(AF711=1,AE711&gt;=set_FYStart,AE711&lt;=set_AsAt),1,0)</f>
        <v/>
      </c>
      <c r="AK711" s="54">
        <f>IF(AND(AJ711=1,AH711&lt;&gt;"",COUNTIFS($AH$2:AH711,AH711,$AJ$2:AJ711,1)=1),N(AL710)+1,"")</f>
        <v/>
      </c>
      <c r="AL711" s="54">
        <f>IF(AK711&lt;&gt;"",AK711,N(AL710))</f>
        <v/>
      </c>
    </row>
    <row r="712">
      <c r="A712" t="inlineStr">
        <is>
          <t>CON-0237</t>
        </is>
      </c>
      <c r="B712" t="inlineStr">
        <is>
          <t>Consulting</t>
        </is>
      </c>
      <c r="AB712" t="n">
        <v>237</v>
      </c>
      <c r="AD712" s="52">
        <f>IFERROR(N(IFERROR(INDEX($A712:$AB712,MATCH("Xero Invoiced Ex GST",$A$1:$AB$1,0)),"")),0)</f>
        <v/>
      </c>
      <c r="AE712" s="53">
        <f>IFERROR(INDEX($A712:$AB712,MATCH("Xero Invoice Date",$A$1:$AB$1,0)),"")</f>
        <v/>
      </c>
      <c r="AF712" s="54">
        <f>IF(AND(IFERROR(INDEX($A712:$AB712,MATCH("Xero Invoice No",$A$1:$AB$1,0)),"")&amp;""&lt;&gt;"",ISNUMBER(AE712),AD712&lt;&gt;0),1,0)</f>
        <v/>
      </c>
      <c r="AG712" s="55">
        <f>IF(AF712=1,EOMONTH(AE712,0),"")</f>
        <v/>
      </c>
      <c r="AH712" s="9">
        <f>IF(AF712=1,UPPER(TRIM(IFERROR(INDEX($A712:$AB712,MATCH("Client",$A$1:$AB$1,0)),"")&amp;"")),"")</f>
        <v/>
      </c>
      <c r="AI712" s="9">
        <f>IF(AF712=1,IFERROR(INDEX($A712:$AB712,MATCH("Cost Centre",$A$1:$AB$1,0)),"")&amp;"","")</f>
        <v/>
      </c>
      <c r="AJ712" s="54">
        <f>IF(AND(AF712=1,AE712&gt;=set_FYStart,AE712&lt;=set_AsAt),1,0)</f>
        <v/>
      </c>
      <c r="AK712" s="54">
        <f>IF(AND(AJ712=1,AH712&lt;&gt;"",COUNTIFS($AH$2:AH712,AH712,$AJ$2:AJ712,1)=1),N(AL711)+1,"")</f>
        <v/>
      </c>
      <c r="AL712" s="54">
        <f>IF(AK712&lt;&gt;"",AK712,N(AL711))</f>
        <v/>
      </c>
    </row>
    <row r="713">
      <c r="A713" t="inlineStr">
        <is>
          <t>ONS-0238</t>
        </is>
      </c>
      <c r="B713" t="inlineStr">
        <is>
          <t>Onsite</t>
        </is>
      </c>
      <c r="R713" t="inlineStr">
        <is>
          <t>GST 10%</t>
        </is>
      </c>
      <c r="AB713" t="n">
        <v>238</v>
      </c>
      <c r="AD713" s="52">
        <f>IFERROR(N(IFERROR(INDEX($A713:$AB713,MATCH("Xero Invoiced Ex GST",$A$1:$AB$1,0)),"")),0)</f>
        <v/>
      </c>
      <c r="AE713" s="53">
        <f>IFERROR(INDEX($A713:$AB713,MATCH("Xero Invoice Date",$A$1:$AB$1,0)),"")</f>
        <v/>
      </c>
      <c r="AF713" s="54">
        <f>IF(AND(IFERROR(INDEX($A713:$AB713,MATCH("Xero Invoice No",$A$1:$AB$1,0)),"")&amp;""&lt;&gt;"",ISNUMBER(AE713),AD713&lt;&gt;0),1,0)</f>
        <v/>
      </c>
      <c r="AG713" s="55">
        <f>IF(AF713=1,EOMONTH(AE713,0),"")</f>
        <v/>
      </c>
      <c r="AH713" s="9">
        <f>IF(AF713=1,UPPER(TRIM(IFERROR(INDEX($A713:$AB713,MATCH("Client",$A$1:$AB$1,0)),"")&amp;"")),"")</f>
        <v/>
      </c>
      <c r="AI713" s="9">
        <f>IF(AF713=1,IFERROR(INDEX($A713:$AB713,MATCH("Cost Centre",$A$1:$AB$1,0)),"")&amp;"","")</f>
        <v/>
      </c>
      <c r="AJ713" s="54">
        <f>IF(AND(AF713=1,AE713&gt;=set_FYStart,AE713&lt;=set_AsAt),1,0)</f>
        <v/>
      </c>
      <c r="AK713" s="54">
        <f>IF(AND(AJ713=1,AH713&lt;&gt;"",COUNTIFS($AH$2:AH713,AH713,$AJ$2:AJ713,1)=1),N(AL712)+1,"")</f>
        <v/>
      </c>
      <c r="AL713" s="54">
        <f>IF(AK713&lt;&gt;"",AK713,N(AL712))</f>
        <v/>
      </c>
    </row>
    <row r="714">
      <c r="A714" t="inlineStr">
        <is>
          <t>PRD-0238</t>
        </is>
      </c>
      <c r="B714" t="inlineStr">
        <is>
          <t>Production</t>
        </is>
      </c>
      <c r="AB714" t="n">
        <v>238</v>
      </c>
      <c r="AD714" s="52">
        <f>IFERROR(N(IFERROR(INDEX($A714:$AB714,MATCH("Xero Invoiced Ex GST",$A$1:$AB$1,0)),"")),0)</f>
        <v/>
      </c>
      <c r="AE714" s="53">
        <f>IFERROR(INDEX($A714:$AB714,MATCH("Xero Invoice Date",$A$1:$AB$1,0)),"")</f>
        <v/>
      </c>
      <c r="AF714" s="54">
        <f>IF(AND(IFERROR(INDEX($A714:$AB714,MATCH("Xero Invoice No",$A$1:$AB$1,0)),"")&amp;""&lt;&gt;"",ISNUMBER(AE714),AD714&lt;&gt;0),1,0)</f>
        <v/>
      </c>
      <c r="AG714" s="55">
        <f>IF(AF714=1,EOMONTH(AE714,0),"")</f>
        <v/>
      </c>
      <c r="AH714" s="9">
        <f>IF(AF714=1,UPPER(TRIM(IFERROR(INDEX($A714:$AB714,MATCH("Client",$A$1:$AB$1,0)),"")&amp;"")),"")</f>
        <v/>
      </c>
      <c r="AI714" s="9">
        <f>IF(AF714=1,IFERROR(INDEX($A714:$AB714,MATCH("Cost Centre",$A$1:$AB$1,0)),"")&amp;"","")</f>
        <v/>
      </c>
      <c r="AJ714" s="54">
        <f>IF(AND(AF714=1,AE714&gt;=set_FYStart,AE714&lt;=set_AsAt),1,0)</f>
        <v/>
      </c>
      <c r="AK714" s="54">
        <f>IF(AND(AJ714=1,AH714&lt;&gt;"",COUNTIFS($AH$2:AH714,AH714,$AJ$2:AJ714,1)=1),N(AL713)+1,"")</f>
        <v/>
      </c>
      <c r="AL714" s="54">
        <f>IF(AK714&lt;&gt;"",AK714,N(AL713))</f>
        <v/>
      </c>
    </row>
    <row r="715">
      <c r="A715" t="inlineStr">
        <is>
          <t>CON-0238</t>
        </is>
      </c>
      <c r="B715" t="inlineStr">
        <is>
          <t>Consulting</t>
        </is>
      </c>
      <c r="AB715" t="n">
        <v>238</v>
      </c>
      <c r="AD715" s="52">
        <f>IFERROR(N(IFERROR(INDEX($A715:$AB715,MATCH("Xero Invoiced Ex GST",$A$1:$AB$1,0)),"")),0)</f>
        <v/>
      </c>
      <c r="AE715" s="53">
        <f>IFERROR(INDEX($A715:$AB715,MATCH("Xero Invoice Date",$A$1:$AB$1,0)),"")</f>
        <v/>
      </c>
      <c r="AF715" s="54">
        <f>IF(AND(IFERROR(INDEX($A715:$AB715,MATCH("Xero Invoice No",$A$1:$AB$1,0)),"")&amp;""&lt;&gt;"",ISNUMBER(AE715),AD715&lt;&gt;0),1,0)</f>
        <v/>
      </c>
      <c r="AG715" s="55">
        <f>IF(AF715=1,EOMONTH(AE715,0),"")</f>
        <v/>
      </c>
      <c r="AH715" s="9">
        <f>IF(AF715=1,UPPER(TRIM(IFERROR(INDEX($A715:$AB715,MATCH("Client",$A$1:$AB$1,0)),"")&amp;"")),"")</f>
        <v/>
      </c>
      <c r="AI715" s="9">
        <f>IF(AF715=1,IFERROR(INDEX($A715:$AB715,MATCH("Cost Centre",$A$1:$AB$1,0)),"")&amp;"","")</f>
        <v/>
      </c>
      <c r="AJ715" s="54">
        <f>IF(AND(AF715=1,AE715&gt;=set_FYStart,AE715&lt;=set_AsAt),1,0)</f>
        <v/>
      </c>
      <c r="AK715" s="54">
        <f>IF(AND(AJ715=1,AH715&lt;&gt;"",COUNTIFS($AH$2:AH715,AH715,$AJ$2:AJ715,1)=1),N(AL714)+1,"")</f>
        <v/>
      </c>
      <c r="AL715" s="54">
        <f>IF(AK715&lt;&gt;"",AK715,N(AL714))</f>
        <v/>
      </c>
    </row>
    <row r="716">
      <c r="A716" t="inlineStr">
        <is>
          <t>ONS-0239</t>
        </is>
      </c>
      <c r="B716" t="inlineStr">
        <is>
          <t>Onsite</t>
        </is>
      </c>
      <c r="R716" t="inlineStr">
        <is>
          <t>GST 10%</t>
        </is>
      </c>
      <c r="AB716" t="n">
        <v>239</v>
      </c>
      <c r="AD716" s="52">
        <f>IFERROR(N(IFERROR(INDEX($A716:$AB716,MATCH("Xero Invoiced Ex GST",$A$1:$AB$1,0)),"")),0)</f>
        <v/>
      </c>
      <c r="AE716" s="53">
        <f>IFERROR(INDEX($A716:$AB716,MATCH("Xero Invoice Date",$A$1:$AB$1,0)),"")</f>
        <v/>
      </c>
      <c r="AF716" s="54">
        <f>IF(AND(IFERROR(INDEX($A716:$AB716,MATCH("Xero Invoice No",$A$1:$AB$1,0)),"")&amp;""&lt;&gt;"",ISNUMBER(AE716),AD716&lt;&gt;0),1,0)</f>
        <v/>
      </c>
      <c r="AG716" s="55">
        <f>IF(AF716=1,EOMONTH(AE716,0),"")</f>
        <v/>
      </c>
      <c r="AH716" s="9">
        <f>IF(AF716=1,UPPER(TRIM(IFERROR(INDEX($A716:$AB716,MATCH("Client",$A$1:$AB$1,0)),"")&amp;"")),"")</f>
        <v/>
      </c>
      <c r="AI716" s="9">
        <f>IF(AF716=1,IFERROR(INDEX($A716:$AB716,MATCH("Cost Centre",$A$1:$AB$1,0)),"")&amp;"","")</f>
        <v/>
      </c>
      <c r="AJ716" s="54">
        <f>IF(AND(AF716=1,AE716&gt;=set_FYStart,AE716&lt;=set_AsAt),1,0)</f>
        <v/>
      </c>
      <c r="AK716" s="54">
        <f>IF(AND(AJ716=1,AH716&lt;&gt;"",COUNTIFS($AH$2:AH716,AH716,$AJ$2:AJ716,1)=1),N(AL715)+1,"")</f>
        <v/>
      </c>
      <c r="AL716" s="54">
        <f>IF(AK716&lt;&gt;"",AK716,N(AL715))</f>
        <v/>
      </c>
    </row>
    <row r="717">
      <c r="A717" t="inlineStr">
        <is>
          <t>PRD-0239</t>
        </is>
      </c>
      <c r="B717" t="inlineStr">
        <is>
          <t>Production</t>
        </is>
      </c>
      <c r="AB717" t="n">
        <v>239</v>
      </c>
      <c r="AD717" s="52">
        <f>IFERROR(N(IFERROR(INDEX($A717:$AB717,MATCH("Xero Invoiced Ex GST",$A$1:$AB$1,0)),"")),0)</f>
        <v/>
      </c>
      <c r="AE717" s="53">
        <f>IFERROR(INDEX($A717:$AB717,MATCH("Xero Invoice Date",$A$1:$AB$1,0)),"")</f>
        <v/>
      </c>
      <c r="AF717" s="54">
        <f>IF(AND(IFERROR(INDEX($A717:$AB717,MATCH("Xero Invoice No",$A$1:$AB$1,0)),"")&amp;""&lt;&gt;"",ISNUMBER(AE717),AD717&lt;&gt;0),1,0)</f>
        <v/>
      </c>
      <c r="AG717" s="55">
        <f>IF(AF717=1,EOMONTH(AE717,0),"")</f>
        <v/>
      </c>
      <c r="AH717" s="9">
        <f>IF(AF717=1,UPPER(TRIM(IFERROR(INDEX($A717:$AB717,MATCH("Client",$A$1:$AB$1,0)),"")&amp;"")),"")</f>
        <v/>
      </c>
      <c r="AI717" s="9">
        <f>IF(AF717=1,IFERROR(INDEX($A717:$AB717,MATCH("Cost Centre",$A$1:$AB$1,0)),"")&amp;"","")</f>
        <v/>
      </c>
      <c r="AJ717" s="54">
        <f>IF(AND(AF717=1,AE717&gt;=set_FYStart,AE717&lt;=set_AsAt),1,0)</f>
        <v/>
      </c>
      <c r="AK717" s="54">
        <f>IF(AND(AJ717=1,AH717&lt;&gt;"",COUNTIFS($AH$2:AH717,AH717,$AJ$2:AJ717,1)=1),N(AL716)+1,"")</f>
        <v/>
      </c>
      <c r="AL717" s="54">
        <f>IF(AK717&lt;&gt;"",AK717,N(AL716))</f>
        <v/>
      </c>
    </row>
    <row r="718">
      <c r="A718" t="inlineStr">
        <is>
          <t>CON-0239</t>
        </is>
      </c>
      <c r="B718" t="inlineStr">
        <is>
          <t>Consulting</t>
        </is>
      </c>
      <c r="AB718" t="n">
        <v>239</v>
      </c>
      <c r="AD718" s="52">
        <f>IFERROR(N(IFERROR(INDEX($A718:$AB718,MATCH("Xero Invoiced Ex GST",$A$1:$AB$1,0)),"")),0)</f>
        <v/>
      </c>
      <c r="AE718" s="53">
        <f>IFERROR(INDEX($A718:$AB718,MATCH("Xero Invoice Date",$A$1:$AB$1,0)),"")</f>
        <v/>
      </c>
      <c r="AF718" s="54">
        <f>IF(AND(IFERROR(INDEX($A718:$AB718,MATCH("Xero Invoice No",$A$1:$AB$1,0)),"")&amp;""&lt;&gt;"",ISNUMBER(AE718),AD718&lt;&gt;0),1,0)</f>
        <v/>
      </c>
      <c r="AG718" s="55">
        <f>IF(AF718=1,EOMONTH(AE718,0),"")</f>
        <v/>
      </c>
      <c r="AH718" s="9">
        <f>IF(AF718=1,UPPER(TRIM(IFERROR(INDEX($A718:$AB718,MATCH("Client",$A$1:$AB$1,0)),"")&amp;"")),"")</f>
        <v/>
      </c>
      <c r="AI718" s="9">
        <f>IF(AF718=1,IFERROR(INDEX($A718:$AB718,MATCH("Cost Centre",$A$1:$AB$1,0)),"")&amp;"","")</f>
        <v/>
      </c>
      <c r="AJ718" s="54">
        <f>IF(AND(AF718=1,AE718&gt;=set_FYStart,AE718&lt;=set_AsAt),1,0)</f>
        <v/>
      </c>
      <c r="AK718" s="54">
        <f>IF(AND(AJ718=1,AH718&lt;&gt;"",COUNTIFS($AH$2:AH718,AH718,$AJ$2:AJ718,1)=1),N(AL717)+1,"")</f>
        <v/>
      </c>
      <c r="AL718" s="54">
        <f>IF(AK718&lt;&gt;"",AK718,N(AL717))</f>
        <v/>
      </c>
    </row>
    <row r="719">
      <c r="A719" t="inlineStr">
        <is>
          <t>ONS-0240</t>
        </is>
      </c>
      <c r="B719" t="inlineStr">
        <is>
          <t>Onsite</t>
        </is>
      </c>
      <c r="R719" t="inlineStr">
        <is>
          <t>GST 10%</t>
        </is>
      </c>
      <c r="AB719" t="n">
        <v>240</v>
      </c>
      <c r="AD719" s="52">
        <f>IFERROR(N(IFERROR(INDEX($A719:$AB719,MATCH("Xero Invoiced Ex GST",$A$1:$AB$1,0)),"")),0)</f>
        <v/>
      </c>
      <c r="AE719" s="53">
        <f>IFERROR(INDEX($A719:$AB719,MATCH("Xero Invoice Date",$A$1:$AB$1,0)),"")</f>
        <v/>
      </c>
      <c r="AF719" s="54">
        <f>IF(AND(IFERROR(INDEX($A719:$AB719,MATCH("Xero Invoice No",$A$1:$AB$1,0)),"")&amp;""&lt;&gt;"",ISNUMBER(AE719),AD719&lt;&gt;0),1,0)</f>
        <v/>
      </c>
      <c r="AG719" s="55">
        <f>IF(AF719=1,EOMONTH(AE719,0),"")</f>
        <v/>
      </c>
      <c r="AH719" s="9">
        <f>IF(AF719=1,UPPER(TRIM(IFERROR(INDEX($A719:$AB719,MATCH("Client",$A$1:$AB$1,0)),"")&amp;"")),"")</f>
        <v/>
      </c>
      <c r="AI719" s="9">
        <f>IF(AF719=1,IFERROR(INDEX($A719:$AB719,MATCH("Cost Centre",$A$1:$AB$1,0)),"")&amp;"","")</f>
        <v/>
      </c>
      <c r="AJ719" s="54">
        <f>IF(AND(AF719=1,AE719&gt;=set_FYStart,AE719&lt;=set_AsAt),1,0)</f>
        <v/>
      </c>
      <c r="AK719" s="54">
        <f>IF(AND(AJ719=1,AH719&lt;&gt;"",COUNTIFS($AH$2:AH719,AH719,$AJ$2:AJ719,1)=1),N(AL718)+1,"")</f>
        <v/>
      </c>
      <c r="AL719" s="54">
        <f>IF(AK719&lt;&gt;"",AK719,N(AL718))</f>
        <v/>
      </c>
    </row>
    <row r="720">
      <c r="A720" t="inlineStr">
        <is>
          <t>PRD-0240</t>
        </is>
      </c>
      <c r="B720" t="inlineStr">
        <is>
          <t>Production</t>
        </is>
      </c>
      <c r="AB720" t="n">
        <v>240</v>
      </c>
      <c r="AD720" s="52">
        <f>IFERROR(N(IFERROR(INDEX($A720:$AB720,MATCH("Xero Invoiced Ex GST",$A$1:$AB$1,0)),"")),0)</f>
        <v/>
      </c>
      <c r="AE720" s="53">
        <f>IFERROR(INDEX($A720:$AB720,MATCH("Xero Invoice Date",$A$1:$AB$1,0)),"")</f>
        <v/>
      </c>
      <c r="AF720" s="54">
        <f>IF(AND(IFERROR(INDEX($A720:$AB720,MATCH("Xero Invoice No",$A$1:$AB$1,0)),"")&amp;""&lt;&gt;"",ISNUMBER(AE720),AD720&lt;&gt;0),1,0)</f>
        <v/>
      </c>
      <c r="AG720" s="55">
        <f>IF(AF720=1,EOMONTH(AE720,0),"")</f>
        <v/>
      </c>
      <c r="AH720" s="9">
        <f>IF(AF720=1,UPPER(TRIM(IFERROR(INDEX($A720:$AB720,MATCH("Client",$A$1:$AB$1,0)),"")&amp;"")),"")</f>
        <v/>
      </c>
      <c r="AI720" s="9">
        <f>IF(AF720=1,IFERROR(INDEX($A720:$AB720,MATCH("Cost Centre",$A$1:$AB$1,0)),"")&amp;"","")</f>
        <v/>
      </c>
      <c r="AJ720" s="54">
        <f>IF(AND(AF720=1,AE720&gt;=set_FYStart,AE720&lt;=set_AsAt),1,0)</f>
        <v/>
      </c>
      <c r="AK720" s="54">
        <f>IF(AND(AJ720=1,AH720&lt;&gt;"",COUNTIFS($AH$2:AH720,AH720,$AJ$2:AJ720,1)=1),N(AL719)+1,"")</f>
        <v/>
      </c>
      <c r="AL720" s="54">
        <f>IF(AK720&lt;&gt;"",AK720,N(AL719))</f>
        <v/>
      </c>
    </row>
    <row r="721">
      <c r="A721" t="inlineStr">
        <is>
          <t>CON-0240</t>
        </is>
      </c>
      <c r="B721" t="inlineStr">
        <is>
          <t>Consulting</t>
        </is>
      </c>
      <c r="AB721" t="n">
        <v>240</v>
      </c>
      <c r="AD721" s="52">
        <f>IFERROR(N(IFERROR(INDEX($A721:$AB721,MATCH("Xero Invoiced Ex GST",$A$1:$AB$1,0)),"")),0)</f>
        <v/>
      </c>
      <c r="AE721" s="53">
        <f>IFERROR(INDEX($A721:$AB721,MATCH("Xero Invoice Date",$A$1:$AB$1,0)),"")</f>
        <v/>
      </c>
      <c r="AF721" s="54">
        <f>IF(AND(IFERROR(INDEX($A721:$AB721,MATCH("Xero Invoice No",$A$1:$AB$1,0)),"")&amp;""&lt;&gt;"",ISNUMBER(AE721),AD721&lt;&gt;0),1,0)</f>
        <v/>
      </c>
      <c r="AG721" s="55">
        <f>IF(AF721=1,EOMONTH(AE721,0),"")</f>
        <v/>
      </c>
      <c r="AH721" s="9">
        <f>IF(AF721=1,UPPER(TRIM(IFERROR(INDEX($A721:$AB721,MATCH("Client",$A$1:$AB$1,0)),"")&amp;"")),"")</f>
        <v/>
      </c>
      <c r="AI721" s="9">
        <f>IF(AF721=1,IFERROR(INDEX($A721:$AB721,MATCH("Cost Centre",$A$1:$AB$1,0)),"")&amp;"","")</f>
        <v/>
      </c>
      <c r="AJ721" s="54">
        <f>IF(AND(AF721=1,AE721&gt;=set_FYStart,AE721&lt;=set_AsAt),1,0)</f>
        <v/>
      </c>
      <c r="AK721" s="54">
        <f>IF(AND(AJ721=1,AH721&lt;&gt;"",COUNTIFS($AH$2:AH721,AH721,$AJ$2:AJ721,1)=1),N(AL720)+1,"")</f>
        <v/>
      </c>
      <c r="AL721" s="54">
        <f>IF(AK721&lt;&gt;"",AK721,N(AL720))</f>
        <v/>
      </c>
    </row>
    <row r="722">
      <c r="A722" t="inlineStr">
        <is>
          <t>ONS-0241</t>
        </is>
      </c>
      <c r="B722" t="inlineStr">
        <is>
          <t>Onsite</t>
        </is>
      </c>
      <c r="R722" t="inlineStr">
        <is>
          <t>GST 10%</t>
        </is>
      </c>
      <c r="AB722" t="n">
        <v>241</v>
      </c>
      <c r="AD722" s="52">
        <f>IFERROR(N(IFERROR(INDEX($A722:$AB722,MATCH("Xero Invoiced Ex GST",$A$1:$AB$1,0)),"")),0)</f>
        <v/>
      </c>
      <c r="AE722" s="53">
        <f>IFERROR(INDEX($A722:$AB722,MATCH("Xero Invoice Date",$A$1:$AB$1,0)),"")</f>
        <v/>
      </c>
      <c r="AF722" s="54">
        <f>IF(AND(IFERROR(INDEX($A722:$AB722,MATCH("Xero Invoice No",$A$1:$AB$1,0)),"")&amp;""&lt;&gt;"",ISNUMBER(AE722),AD722&lt;&gt;0),1,0)</f>
        <v/>
      </c>
      <c r="AG722" s="55">
        <f>IF(AF722=1,EOMONTH(AE722,0),"")</f>
        <v/>
      </c>
      <c r="AH722" s="9">
        <f>IF(AF722=1,UPPER(TRIM(IFERROR(INDEX($A722:$AB722,MATCH("Client",$A$1:$AB$1,0)),"")&amp;"")),"")</f>
        <v/>
      </c>
      <c r="AI722" s="9">
        <f>IF(AF722=1,IFERROR(INDEX($A722:$AB722,MATCH("Cost Centre",$A$1:$AB$1,0)),"")&amp;"","")</f>
        <v/>
      </c>
      <c r="AJ722" s="54">
        <f>IF(AND(AF722=1,AE722&gt;=set_FYStart,AE722&lt;=set_AsAt),1,0)</f>
        <v/>
      </c>
      <c r="AK722" s="54">
        <f>IF(AND(AJ722=1,AH722&lt;&gt;"",COUNTIFS($AH$2:AH722,AH722,$AJ$2:AJ722,1)=1),N(AL721)+1,"")</f>
        <v/>
      </c>
      <c r="AL722" s="54">
        <f>IF(AK722&lt;&gt;"",AK722,N(AL721))</f>
        <v/>
      </c>
    </row>
    <row r="723">
      <c r="A723" t="inlineStr">
        <is>
          <t>PRD-0241</t>
        </is>
      </c>
      <c r="B723" t="inlineStr">
        <is>
          <t>Production</t>
        </is>
      </c>
      <c r="AB723" t="n">
        <v>241</v>
      </c>
      <c r="AD723" s="52">
        <f>IFERROR(N(IFERROR(INDEX($A723:$AB723,MATCH("Xero Invoiced Ex GST",$A$1:$AB$1,0)),"")),0)</f>
        <v/>
      </c>
      <c r="AE723" s="53">
        <f>IFERROR(INDEX($A723:$AB723,MATCH("Xero Invoice Date",$A$1:$AB$1,0)),"")</f>
        <v/>
      </c>
      <c r="AF723" s="54">
        <f>IF(AND(IFERROR(INDEX($A723:$AB723,MATCH("Xero Invoice No",$A$1:$AB$1,0)),"")&amp;""&lt;&gt;"",ISNUMBER(AE723),AD723&lt;&gt;0),1,0)</f>
        <v/>
      </c>
      <c r="AG723" s="55">
        <f>IF(AF723=1,EOMONTH(AE723,0),"")</f>
        <v/>
      </c>
      <c r="AH723" s="9">
        <f>IF(AF723=1,UPPER(TRIM(IFERROR(INDEX($A723:$AB723,MATCH("Client",$A$1:$AB$1,0)),"")&amp;"")),"")</f>
        <v/>
      </c>
      <c r="AI723" s="9">
        <f>IF(AF723=1,IFERROR(INDEX($A723:$AB723,MATCH("Cost Centre",$A$1:$AB$1,0)),"")&amp;"","")</f>
        <v/>
      </c>
      <c r="AJ723" s="54">
        <f>IF(AND(AF723=1,AE723&gt;=set_FYStart,AE723&lt;=set_AsAt),1,0)</f>
        <v/>
      </c>
      <c r="AK723" s="54">
        <f>IF(AND(AJ723=1,AH723&lt;&gt;"",COUNTIFS($AH$2:AH723,AH723,$AJ$2:AJ723,1)=1),N(AL722)+1,"")</f>
        <v/>
      </c>
      <c r="AL723" s="54">
        <f>IF(AK723&lt;&gt;"",AK723,N(AL722))</f>
        <v/>
      </c>
    </row>
    <row r="724">
      <c r="A724" t="inlineStr">
        <is>
          <t>CON-0241</t>
        </is>
      </c>
      <c r="B724" t="inlineStr">
        <is>
          <t>Consulting</t>
        </is>
      </c>
      <c r="AB724" t="n">
        <v>241</v>
      </c>
      <c r="AD724" s="52">
        <f>IFERROR(N(IFERROR(INDEX($A724:$AB724,MATCH("Xero Invoiced Ex GST",$A$1:$AB$1,0)),"")),0)</f>
        <v/>
      </c>
      <c r="AE724" s="53">
        <f>IFERROR(INDEX($A724:$AB724,MATCH("Xero Invoice Date",$A$1:$AB$1,0)),"")</f>
        <v/>
      </c>
      <c r="AF724" s="54">
        <f>IF(AND(IFERROR(INDEX($A724:$AB724,MATCH("Xero Invoice No",$A$1:$AB$1,0)),"")&amp;""&lt;&gt;"",ISNUMBER(AE724),AD724&lt;&gt;0),1,0)</f>
        <v/>
      </c>
      <c r="AG724" s="55">
        <f>IF(AF724=1,EOMONTH(AE724,0),"")</f>
        <v/>
      </c>
      <c r="AH724" s="9">
        <f>IF(AF724=1,UPPER(TRIM(IFERROR(INDEX($A724:$AB724,MATCH("Client",$A$1:$AB$1,0)),"")&amp;"")),"")</f>
        <v/>
      </c>
      <c r="AI724" s="9">
        <f>IF(AF724=1,IFERROR(INDEX($A724:$AB724,MATCH("Cost Centre",$A$1:$AB$1,0)),"")&amp;"","")</f>
        <v/>
      </c>
      <c r="AJ724" s="54">
        <f>IF(AND(AF724=1,AE724&gt;=set_FYStart,AE724&lt;=set_AsAt),1,0)</f>
        <v/>
      </c>
      <c r="AK724" s="54">
        <f>IF(AND(AJ724=1,AH724&lt;&gt;"",COUNTIFS($AH$2:AH724,AH724,$AJ$2:AJ724,1)=1),N(AL723)+1,"")</f>
        <v/>
      </c>
      <c r="AL724" s="54">
        <f>IF(AK724&lt;&gt;"",AK724,N(AL723))</f>
        <v/>
      </c>
    </row>
    <row r="725">
      <c r="A725" t="inlineStr">
        <is>
          <t>ONS-0242</t>
        </is>
      </c>
      <c r="B725" t="inlineStr">
        <is>
          <t>Onsite</t>
        </is>
      </c>
      <c r="R725" t="inlineStr">
        <is>
          <t>GST 10%</t>
        </is>
      </c>
      <c r="AB725" t="n">
        <v>242</v>
      </c>
      <c r="AD725" s="52">
        <f>IFERROR(N(IFERROR(INDEX($A725:$AB725,MATCH("Xero Invoiced Ex GST",$A$1:$AB$1,0)),"")),0)</f>
        <v/>
      </c>
      <c r="AE725" s="53">
        <f>IFERROR(INDEX($A725:$AB725,MATCH("Xero Invoice Date",$A$1:$AB$1,0)),"")</f>
        <v/>
      </c>
      <c r="AF725" s="54">
        <f>IF(AND(IFERROR(INDEX($A725:$AB725,MATCH("Xero Invoice No",$A$1:$AB$1,0)),"")&amp;""&lt;&gt;"",ISNUMBER(AE725),AD725&lt;&gt;0),1,0)</f>
        <v/>
      </c>
      <c r="AG725" s="55">
        <f>IF(AF725=1,EOMONTH(AE725,0),"")</f>
        <v/>
      </c>
      <c r="AH725" s="9">
        <f>IF(AF725=1,UPPER(TRIM(IFERROR(INDEX($A725:$AB725,MATCH("Client",$A$1:$AB$1,0)),"")&amp;"")),"")</f>
        <v/>
      </c>
      <c r="AI725" s="9">
        <f>IF(AF725=1,IFERROR(INDEX($A725:$AB725,MATCH("Cost Centre",$A$1:$AB$1,0)),"")&amp;"","")</f>
        <v/>
      </c>
      <c r="AJ725" s="54">
        <f>IF(AND(AF725=1,AE725&gt;=set_FYStart,AE725&lt;=set_AsAt),1,0)</f>
        <v/>
      </c>
      <c r="AK725" s="54">
        <f>IF(AND(AJ725=1,AH725&lt;&gt;"",COUNTIFS($AH$2:AH725,AH725,$AJ$2:AJ725,1)=1),N(AL724)+1,"")</f>
        <v/>
      </c>
      <c r="AL725" s="54">
        <f>IF(AK725&lt;&gt;"",AK725,N(AL724))</f>
        <v/>
      </c>
    </row>
    <row r="726">
      <c r="A726" t="inlineStr">
        <is>
          <t>PRD-0242</t>
        </is>
      </c>
      <c r="B726" t="inlineStr">
        <is>
          <t>Production</t>
        </is>
      </c>
      <c r="AB726" t="n">
        <v>242</v>
      </c>
      <c r="AD726" s="52">
        <f>IFERROR(N(IFERROR(INDEX($A726:$AB726,MATCH("Xero Invoiced Ex GST",$A$1:$AB$1,0)),"")),0)</f>
        <v/>
      </c>
      <c r="AE726" s="53">
        <f>IFERROR(INDEX($A726:$AB726,MATCH("Xero Invoice Date",$A$1:$AB$1,0)),"")</f>
        <v/>
      </c>
      <c r="AF726" s="54">
        <f>IF(AND(IFERROR(INDEX($A726:$AB726,MATCH("Xero Invoice No",$A$1:$AB$1,0)),"")&amp;""&lt;&gt;"",ISNUMBER(AE726),AD726&lt;&gt;0),1,0)</f>
        <v/>
      </c>
      <c r="AG726" s="55">
        <f>IF(AF726=1,EOMONTH(AE726,0),"")</f>
        <v/>
      </c>
      <c r="AH726" s="9">
        <f>IF(AF726=1,UPPER(TRIM(IFERROR(INDEX($A726:$AB726,MATCH("Client",$A$1:$AB$1,0)),"")&amp;"")),"")</f>
        <v/>
      </c>
      <c r="AI726" s="9">
        <f>IF(AF726=1,IFERROR(INDEX($A726:$AB726,MATCH("Cost Centre",$A$1:$AB$1,0)),"")&amp;"","")</f>
        <v/>
      </c>
      <c r="AJ726" s="54">
        <f>IF(AND(AF726=1,AE726&gt;=set_FYStart,AE726&lt;=set_AsAt),1,0)</f>
        <v/>
      </c>
      <c r="AK726" s="54">
        <f>IF(AND(AJ726=1,AH726&lt;&gt;"",COUNTIFS($AH$2:AH726,AH726,$AJ$2:AJ726,1)=1),N(AL725)+1,"")</f>
        <v/>
      </c>
      <c r="AL726" s="54">
        <f>IF(AK726&lt;&gt;"",AK726,N(AL725))</f>
        <v/>
      </c>
    </row>
    <row r="727">
      <c r="A727" t="inlineStr">
        <is>
          <t>CON-0242</t>
        </is>
      </c>
      <c r="B727" t="inlineStr">
        <is>
          <t>Consulting</t>
        </is>
      </c>
      <c r="AB727" t="n">
        <v>242</v>
      </c>
      <c r="AD727" s="52">
        <f>IFERROR(N(IFERROR(INDEX($A727:$AB727,MATCH("Xero Invoiced Ex GST",$A$1:$AB$1,0)),"")),0)</f>
        <v/>
      </c>
      <c r="AE727" s="53">
        <f>IFERROR(INDEX($A727:$AB727,MATCH("Xero Invoice Date",$A$1:$AB$1,0)),"")</f>
        <v/>
      </c>
      <c r="AF727" s="54">
        <f>IF(AND(IFERROR(INDEX($A727:$AB727,MATCH("Xero Invoice No",$A$1:$AB$1,0)),"")&amp;""&lt;&gt;"",ISNUMBER(AE727),AD727&lt;&gt;0),1,0)</f>
        <v/>
      </c>
      <c r="AG727" s="55">
        <f>IF(AF727=1,EOMONTH(AE727,0),"")</f>
        <v/>
      </c>
      <c r="AH727" s="9">
        <f>IF(AF727=1,UPPER(TRIM(IFERROR(INDEX($A727:$AB727,MATCH("Client",$A$1:$AB$1,0)),"")&amp;"")),"")</f>
        <v/>
      </c>
      <c r="AI727" s="9">
        <f>IF(AF727=1,IFERROR(INDEX($A727:$AB727,MATCH("Cost Centre",$A$1:$AB$1,0)),"")&amp;"","")</f>
        <v/>
      </c>
      <c r="AJ727" s="54">
        <f>IF(AND(AF727=1,AE727&gt;=set_FYStart,AE727&lt;=set_AsAt),1,0)</f>
        <v/>
      </c>
      <c r="AK727" s="54">
        <f>IF(AND(AJ727=1,AH727&lt;&gt;"",COUNTIFS($AH$2:AH727,AH727,$AJ$2:AJ727,1)=1),N(AL726)+1,"")</f>
        <v/>
      </c>
      <c r="AL727" s="54">
        <f>IF(AK727&lt;&gt;"",AK727,N(AL726))</f>
        <v/>
      </c>
    </row>
    <row r="728">
      <c r="A728" t="inlineStr">
        <is>
          <t>ONS-0243</t>
        </is>
      </c>
      <c r="B728" t="inlineStr">
        <is>
          <t>Onsite</t>
        </is>
      </c>
      <c r="AB728" t="n">
        <v>243</v>
      </c>
      <c r="AD728" s="52">
        <f>IFERROR(N(IFERROR(INDEX($A728:$AB728,MATCH("Xero Invoiced Ex GST",$A$1:$AB$1,0)),"")),0)</f>
        <v/>
      </c>
      <c r="AE728" s="53">
        <f>IFERROR(INDEX($A728:$AB728,MATCH("Xero Invoice Date",$A$1:$AB$1,0)),"")</f>
        <v/>
      </c>
      <c r="AF728" s="54">
        <f>IF(AND(IFERROR(INDEX($A728:$AB728,MATCH("Xero Invoice No",$A$1:$AB$1,0)),"")&amp;""&lt;&gt;"",ISNUMBER(AE728),AD728&lt;&gt;0),1,0)</f>
        <v/>
      </c>
      <c r="AG728" s="55">
        <f>IF(AF728=1,EOMONTH(AE728,0),"")</f>
        <v/>
      </c>
      <c r="AH728" s="9">
        <f>IF(AF728=1,UPPER(TRIM(IFERROR(INDEX($A728:$AB728,MATCH("Client",$A$1:$AB$1,0)),"")&amp;"")),"")</f>
        <v/>
      </c>
      <c r="AI728" s="9">
        <f>IF(AF728=1,IFERROR(INDEX($A728:$AB728,MATCH("Cost Centre",$A$1:$AB$1,0)),"")&amp;"","")</f>
        <v/>
      </c>
      <c r="AJ728" s="54">
        <f>IF(AND(AF728=1,AE728&gt;=set_FYStart,AE728&lt;=set_AsAt),1,0)</f>
        <v/>
      </c>
      <c r="AK728" s="54">
        <f>IF(AND(AJ728=1,AH728&lt;&gt;"",COUNTIFS($AH$2:AH728,AH728,$AJ$2:AJ728,1)=1),N(AL727)+1,"")</f>
        <v/>
      </c>
      <c r="AL728" s="54">
        <f>IF(AK728&lt;&gt;"",AK728,N(AL727))</f>
        <v/>
      </c>
    </row>
    <row r="729">
      <c r="A729" t="inlineStr">
        <is>
          <t>PRD-0243</t>
        </is>
      </c>
      <c r="B729" t="inlineStr">
        <is>
          <t>Production</t>
        </is>
      </c>
      <c r="AB729" t="n">
        <v>243</v>
      </c>
      <c r="AD729" s="52">
        <f>IFERROR(N(IFERROR(INDEX($A729:$AB729,MATCH("Xero Invoiced Ex GST",$A$1:$AB$1,0)),"")),0)</f>
        <v/>
      </c>
      <c r="AE729" s="53">
        <f>IFERROR(INDEX($A729:$AB729,MATCH("Xero Invoice Date",$A$1:$AB$1,0)),"")</f>
        <v/>
      </c>
      <c r="AF729" s="54">
        <f>IF(AND(IFERROR(INDEX($A729:$AB729,MATCH("Xero Invoice No",$A$1:$AB$1,0)),"")&amp;""&lt;&gt;"",ISNUMBER(AE729),AD729&lt;&gt;0),1,0)</f>
        <v/>
      </c>
      <c r="AG729" s="55">
        <f>IF(AF729=1,EOMONTH(AE729,0),"")</f>
        <v/>
      </c>
      <c r="AH729" s="9">
        <f>IF(AF729=1,UPPER(TRIM(IFERROR(INDEX($A729:$AB729,MATCH("Client",$A$1:$AB$1,0)),"")&amp;"")),"")</f>
        <v/>
      </c>
      <c r="AI729" s="9">
        <f>IF(AF729=1,IFERROR(INDEX($A729:$AB729,MATCH("Cost Centre",$A$1:$AB$1,0)),"")&amp;"","")</f>
        <v/>
      </c>
      <c r="AJ729" s="54">
        <f>IF(AND(AF729=1,AE729&gt;=set_FYStart,AE729&lt;=set_AsAt),1,0)</f>
        <v/>
      </c>
      <c r="AK729" s="54">
        <f>IF(AND(AJ729=1,AH729&lt;&gt;"",COUNTIFS($AH$2:AH729,AH729,$AJ$2:AJ729,1)=1),N(AL728)+1,"")</f>
        <v/>
      </c>
      <c r="AL729" s="54">
        <f>IF(AK729&lt;&gt;"",AK729,N(AL728))</f>
        <v/>
      </c>
    </row>
    <row r="730">
      <c r="A730" t="inlineStr">
        <is>
          <t>CON-0243</t>
        </is>
      </c>
      <c r="B730" t="inlineStr">
        <is>
          <t>Consulting</t>
        </is>
      </c>
      <c r="AB730" t="n">
        <v>243</v>
      </c>
      <c r="AD730" s="52">
        <f>IFERROR(N(IFERROR(INDEX($A730:$AB730,MATCH("Xero Invoiced Ex GST",$A$1:$AB$1,0)),"")),0)</f>
        <v/>
      </c>
      <c r="AE730" s="53">
        <f>IFERROR(INDEX($A730:$AB730,MATCH("Xero Invoice Date",$A$1:$AB$1,0)),"")</f>
        <v/>
      </c>
      <c r="AF730" s="54">
        <f>IF(AND(IFERROR(INDEX($A730:$AB730,MATCH("Xero Invoice No",$A$1:$AB$1,0)),"")&amp;""&lt;&gt;"",ISNUMBER(AE730),AD730&lt;&gt;0),1,0)</f>
        <v/>
      </c>
      <c r="AG730" s="55">
        <f>IF(AF730=1,EOMONTH(AE730,0),"")</f>
        <v/>
      </c>
      <c r="AH730" s="9">
        <f>IF(AF730=1,UPPER(TRIM(IFERROR(INDEX($A730:$AB730,MATCH("Client",$A$1:$AB$1,0)),"")&amp;"")),"")</f>
        <v/>
      </c>
      <c r="AI730" s="9">
        <f>IF(AF730=1,IFERROR(INDEX($A730:$AB730,MATCH("Cost Centre",$A$1:$AB$1,0)),"")&amp;"","")</f>
        <v/>
      </c>
      <c r="AJ730" s="54">
        <f>IF(AND(AF730=1,AE730&gt;=set_FYStart,AE730&lt;=set_AsAt),1,0)</f>
        <v/>
      </c>
      <c r="AK730" s="54">
        <f>IF(AND(AJ730=1,AH730&lt;&gt;"",COUNTIFS($AH$2:AH730,AH730,$AJ$2:AJ730,1)=1),N(AL729)+1,"")</f>
        <v/>
      </c>
      <c r="AL730" s="54">
        <f>IF(AK730&lt;&gt;"",AK730,N(AL729))</f>
        <v/>
      </c>
    </row>
    <row r="731">
      <c r="A731" t="inlineStr">
        <is>
          <t>ONS-0244</t>
        </is>
      </c>
      <c r="B731" t="inlineStr">
        <is>
          <t>Onsite</t>
        </is>
      </c>
      <c r="AB731" t="n">
        <v>244</v>
      </c>
      <c r="AD731" s="52">
        <f>IFERROR(N(IFERROR(INDEX($A731:$AB731,MATCH("Xero Invoiced Ex GST",$A$1:$AB$1,0)),"")),0)</f>
        <v/>
      </c>
      <c r="AE731" s="53">
        <f>IFERROR(INDEX($A731:$AB731,MATCH("Xero Invoice Date",$A$1:$AB$1,0)),"")</f>
        <v/>
      </c>
      <c r="AF731" s="54">
        <f>IF(AND(IFERROR(INDEX($A731:$AB731,MATCH("Xero Invoice No",$A$1:$AB$1,0)),"")&amp;""&lt;&gt;"",ISNUMBER(AE731),AD731&lt;&gt;0),1,0)</f>
        <v/>
      </c>
      <c r="AG731" s="55">
        <f>IF(AF731=1,EOMONTH(AE731,0),"")</f>
        <v/>
      </c>
      <c r="AH731" s="9">
        <f>IF(AF731=1,UPPER(TRIM(IFERROR(INDEX($A731:$AB731,MATCH("Client",$A$1:$AB$1,0)),"")&amp;"")),"")</f>
        <v/>
      </c>
      <c r="AI731" s="9">
        <f>IF(AF731=1,IFERROR(INDEX($A731:$AB731,MATCH("Cost Centre",$A$1:$AB$1,0)),"")&amp;"","")</f>
        <v/>
      </c>
      <c r="AJ731" s="54">
        <f>IF(AND(AF731=1,AE731&gt;=set_FYStart,AE731&lt;=set_AsAt),1,0)</f>
        <v/>
      </c>
      <c r="AK731" s="54">
        <f>IF(AND(AJ731=1,AH731&lt;&gt;"",COUNTIFS($AH$2:AH731,AH731,$AJ$2:AJ731,1)=1),N(AL730)+1,"")</f>
        <v/>
      </c>
      <c r="AL731" s="54">
        <f>IF(AK731&lt;&gt;"",AK731,N(AL730))</f>
        <v/>
      </c>
    </row>
    <row r="732">
      <c r="A732" t="inlineStr">
        <is>
          <t>PRD-0244</t>
        </is>
      </c>
      <c r="B732" t="inlineStr">
        <is>
          <t>Production</t>
        </is>
      </c>
      <c r="AB732" t="n">
        <v>244</v>
      </c>
      <c r="AD732" s="52">
        <f>IFERROR(N(IFERROR(INDEX($A732:$AB732,MATCH("Xero Invoiced Ex GST",$A$1:$AB$1,0)),"")),0)</f>
        <v/>
      </c>
      <c r="AE732" s="53">
        <f>IFERROR(INDEX($A732:$AB732,MATCH("Xero Invoice Date",$A$1:$AB$1,0)),"")</f>
        <v/>
      </c>
      <c r="AF732" s="54">
        <f>IF(AND(IFERROR(INDEX($A732:$AB732,MATCH("Xero Invoice No",$A$1:$AB$1,0)),"")&amp;""&lt;&gt;"",ISNUMBER(AE732),AD732&lt;&gt;0),1,0)</f>
        <v/>
      </c>
      <c r="AG732" s="55">
        <f>IF(AF732=1,EOMONTH(AE732,0),"")</f>
        <v/>
      </c>
      <c r="AH732" s="9">
        <f>IF(AF732=1,UPPER(TRIM(IFERROR(INDEX($A732:$AB732,MATCH("Client",$A$1:$AB$1,0)),"")&amp;"")),"")</f>
        <v/>
      </c>
      <c r="AI732" s="9">
        <f>IF(AF732=1,IFERROR(INDEX($A732:$AB732,MATCH("Cost Centre",$A$1:$AB$1,0)),"")&amp;"","")</f>
        <v/>
      </c>
      <c r="AJ732" s="54">
        <f>IF(AND(AF732=1,AE732&gt;=set_FYStart,AE732&lt;=set_AsAt),1,0)</f>
        <v/>
      </c>
      <c r="AK732" s="54">
        <f>IF(AND(AJ732=1,AH732&lt;&gt;"",COUNTIFS($AH$2:AH732,AH732,$AJ$2:AJ732,1)=1),N(AL731)+1,"")</f>
        <v/>
      </c>
      <c r="AL732" s="54">
        <f>IF(AK732&lt;&gt;"",AK732,N(AL731))</f>
        <v/>
      </c>
    </row>
    <row r="733">
      <c r="A733" t="inlineStr">
        <is>
          <t>CON-0244</t>
        </is>
      </c>
      <c r="B733" t="inlineStr">
        <is>
          <t>Consulting</t>
        </is>
      </c>
      <c r="AB733" t="n">
        <v>244</v>
      </c>
      <c r="AD733" s="52">
        <f>IFERROR(N(IFERROR(INDEX($A733:$AB733,MATCH("Xero Invoiced Ex GST",$A$1:$AB$1,0)),"")),0)</f>
        <v/>
      </c>
      <c r="AE733" s="53">
        <f>IFERROR(INDEX($A733:$AB733,MATCH("Xero Invoice Date",$A$1:$AB$1,0)),"")</f>
        <v/>
      </c>
      <c r="AF733" s="54">
        <f>IF(AND(IFERROR(INDEX($A733:$AB733,MATCH("Xero Invoice No",$A$1:$AB$1,0)),"")&amp;""&lt;&gt;"",ISNUMBER(AE733),AD733&lt;&gt;0),1,0)</f>
        <v/>
      </c>
      <c r="AG733" s="55">
        <f>IF(AF733=1,EOMONTH(AE733,0),"")</f>
        <v/>
      </c>
      <c r="AH733" s="9">
        <f>IF(AF733=1,UPPER(TRIM(IFERROR(INDEX($A733:$AB733,MATCH("Client",$A$1:$AB$1,0)),"")&amp;"")),"")</f>
        <v/>
      </c>
      <c r="AI733" s="9">
        <f>IF(AF733=1,IFERROR(INDEX($A733:$AB733,MATCH("Cost Centre",$A$1:$AB$1,0)),"")&amp;"","")</f>
        <v/>
      </c>
      <c r="AJ733" s="54">
        <f>IF(AND(AF733=1,AE733&gt;=set_FYStart,AE733&lt;=set_AsAt),1,0)</f>
        <v/>
      </c>
      <c r="AK733" s="54">
        <f>IF(AND(AJ733=1,AH733&lt;&gt;"",COUNTIFS($AH$2:AH733,AH733,$AJ$2:AJ733,1)=1),N(AL732)+1,"")</f>
        <v/>
      </c>
      <c r="AL733" s="54">
        <f>IF(AK733&lt;&gt;"",AK733,N(AL732))</f>
        <v/>
      </c>
    </row>
    <row r="734">
      <c r="A734" t="inlineStr">
        <is>
          <t>ONS-0245</t>
        </is>
      </c>
      <c r="B734" t="inlineStr">
        <is>
          <t>Onsite</t>
        </is>
      </c>
      <c r="AB734" t="n">
        <v>245</v>
      </c>
      <c r="AD734" s="52">
        <f>IFERROR(N(IFERROR(INDEX($A734:$AB734,MATCH("Xero Invoiced Ex GST",$A$1:$AB$1,0)),"")),0)</f>
        <v/>
      </c>
      <c r="AE734" s="53">
        <f>IFERROR(INDEX($A734:$AB734,MATCH("Xero Invoice Date",$A$1:$AB$1,0)),"")</f>
        <v/>
      </c>
      <c r="AF734" s="54">
        <f>IF(AND(IFERROR(INDEX($A734:$AB734,MATCH("Xero Invoice No",$A$1:$AB$1,0)),"")&amp;""&lt;&gt;"",ISNUMBER(AE734),AD734&lt;&gt;0),1,0)</f>
        <v/>
      </c>
      <c r="AG734" s="55">
        <f>IF(AF734=1,EOMONTH(AE734,0),"")</f>
        <v/>
      </c>
      <c r="AH734" s="9">
        <f>IF(AF734=1,UPPER(TRIM(IFERROR(INDEX($A734:$AB734,MATCH("Client",$A$1:$AB$1,0)),"")&amp;"")),"")</f>
        <v/>
      </c>
      <c r="AI734" s="9">
        <f>IF(AF734=1,IFERROR(INDEX($A734:$AB734,MATCH("Cost Centre",$A$1:$AB$1,0)),"")&amp;"","")</f>
        <v/>
      </c>
      <c r="AJ734" s="54">
        <f>IF(AND(AF734=1,AE734&gt;=set_FYStart,AE734&lt;=set_AsAt),1,0)</f>
        <v/>
      </c>
      <c r="AK734" s="54">
        <f>IF(AND(AJ734=1,AH734&lt;&gt;"",COUNTIFS($AH$2:AH734,AH734,$AJ$2:AJ734,1)=1),N(AL733)+1,"")</f>
        <v/>
      </c>
      <c r="AL734" s="54">
        <f>IF(AK734&lt;&gt;"",AK734,N(AL733))</f>
        <v/>
      </c>
    </row>
    <row r="735">
      <c r="A735" t="inlineStr">
        <is>
          <t>PRD-0245</t>
        </is>
      </c>
      <c r="B735" t="inlineStr">
        <is>
          <t>Production</t>
        </is>
      </c>
      <c r="AB735" t="n">
        <v>245</v>
      </c>
      <c r="AD735" s="52">
        <f>IFERROR(N(IFERROR(INDEX($A735:$AB735,MATCH("Xero Invoiced Ex GST",$A$1:$AB$1,0)),"")),0)</f>
        <v/>
      </c>
      <c r="AE735" s="53">
        <f>IFERROR(INDEX($A735:$AB735,MATCH("Xero Invoice Date",$A$1:$AB$1,0)),"")</f>
        <v/>
      </c>
      <c r="AF735" s="54">
        <f>IF(AND(IFERROR(INDEX($A735:$AB735,MATCH("Xero Invoice No",$A$1:$AB$1,0)),"")&amp;""&lt;&gt;"",ISNUMBER(AE735),AD735&lt;&gt;0),1,0)</f>
        <v/>
      </c>
      <c r="AG735" s="55">
        <f>IF(AF735=1,EOMONTH(AE735,0),"")</f>
        <v/>
      </c>
      <c r="AH735" s="9">
        <f>IF(AF735=1,UPPER(TRIM(IFERROR(INDEX($A735:$AB735,MATCH("Client",$A$1:$AB$1,0)),"")&amp;"")),"")</f>
        <v/>
      </c>
      <c r="AI735" s="9">
        <f>IF(AF735=1,IFERROR(INDEX($A735:$AB735,MATCH("Cost Centre",$A$1:$AB$1,0)),"")&amp;"","")</f>
        <v/>
      </c>
      <c r="AJ735" s="54">
        <f>IF(AND(AF735=1,AE735&gt;=set_FYStart,AE735&lt;=set_AsAt),1,0)</f>
        <v/>
      </c>
      <c r="AK735" s="54">
        <f>IF(AND(AJ735=1,AH735&lt;&gt;"",COUNTIFS($AH$2:AH735,AH735,$AJ$2:AJ735,1)=1),N(AL734)+1,"")</f>
        <v/>
      </c>
      <c r="AL735" s="54">
        <f>IF(AK735&lt;&gt;"",AK735,N(AL734))</f>
        <v/>
      </c>
    </row>
    <row r="736">
      <c r="A736" t="inlineStr">
        <is>
          <t>CON-0245</t>
        </is>
      </c>
      <c r="B736" t="inlineStr">
        <is>
          <t>Consulting</t>
        </is>
      </c>
      <c r="AB736" t="n">
        <v>245</v>
      </c>
      <c r="AD736" s="52">
        <f>IFERROR(N(IFERROR(INDEX($A736:$AB736,MATCH("Xero Invoiced Ex GST",$A$1:$AB$1,0)),"")),0)</f>
        <v/>
      </c>
      <c r="AE736" s="53">
        <f>IFERROR(INDEX($A736:$AB736,MATCH("Xero Invoice Date",$A$1:$AB$1,0)),"")</f>
        <v/>
      </c>
      <c r="AF736" s="54">
        <f>IF(AND(IFERROR(INDEX($A736:$AB736,MATCH("Xero Invoice No",$A$1:$AB$1,0)),"")&amp;""&lt;&gt;"",ISNUMBER(AE736),AD736&lt;&gt;0),1,0)</f>
        <v/>
      </c>
      <c r="AG736" s="55">
        <f>IF(AF736=1,EOMONTH(AE736,0),"")</f>
        <v/>
      </c>
      <c r="AH736" s="9">
        <f>IF(AF736=1,UPPER(TRIM(IFERROR(INDEX($A736:$AB736,MATCH("Client",$A$1:$AB$1,0)),"")&amp;"")),"")</f>
        <v/>
      </c>
      <c r="AI736" s="9">
        <f>IF(AF736=1,IFERROR(INDEX($A736:$AB736,MATCH("Cost Centre",$A$1:$AB$1,0)),"")&amp;"","")</f>
        <v/>
      </c>
      <c r="AJ736" s="54">
        <f>IF(AND(AF736=1,AE736&gt;=set_FYStart,AE736&lt;=set_AsAt),1,0)</f>
        <v/>
      </c>
      <c r="AK736" s="54">
        <f>IF(AND(AJ736=1,AH736&lt;&gt;"",COUNTIFS($AH$2:AH736,AH736,$AJ$2:AJ736,1)=1),N(AL735)+1,"")</f>
        <v/>
      </c>
      <c r="AL736" s="54">
        <f>IF(AK736&lt;&gt;"",AK736,N(AL735))</f>
        <v/>
      </c>
    </row>
    <row r="737">
      <c r="A737" t="inlineStr">
        <is>
          <t>ONS-0246</t>
        </is>
      </c>
      <c r="B737" t="inlineStr">
        <is>
          <t>Onsite</t>
        </is>
      </c>
      <c r="AB737" t="n">
        <v>246</v>
      </c>
      <c r="AD737" s="52">
        <f>IFERROR(N(IFERROR(INDEX($A737:$AB737,MATCH("Xero Invoiced Ex GST",$A$1:$AB$1,0)),"")),0)</f>
        <v/>
      </c>
      <c r="AE737" s="53">
        <f>IFERROR(INDEX($A737:$AB737,MATCH("Xero Invoice Date",$A$1:$AB$1,0)),"")</f>
        <v/>
      </c>
      <c r="AF737" s="54">
        <f>IF(AND(IFERROR(INDEX($A737:$AB737,MATCH("Xero Invoice No",$A$1:$AB$1,0)),"")&amp;""&lt;&gt;"",ISNUMBER(AE737),AD737&lt;&gt;0),1,0)</f>
        <v/>
      </c>
      <c r="AG737" s="55">
        <f>IF(AF737=1,EOMONTH(AE737,0),"")</f>
        <v/>
      </c>
      <c r="AH737" s="9">
        <f>IF(AF737=1,UPPER(TRIM(IFERROR(INDEX($A737:$AB737,MATCH("Client",$A$1:$AB$1,0)),"")&amp;"")),"")</f>
        <v/>
      </c>
      <c r="AI737" s="9">
        <f>IF(AF737=1,IFERROR(INDEX($A737:$AB737,MATCH("Cost Centre",$A$1:$AB$1,0)),"")&amp;"","")</f>
        <v/>
      </c>
      <c r="AJ737" s="54">
        <f>IF(AND(AF737=1,AE737&gt;=set_FYStart,AE737&lt;=set_AsAt),1,0)</f>
        <v/>
      </c>
      <c r="AK737" s="54">
        <f>IF(AND(AJ737=1,AH737&lt;&gt;"",COUNTIFS($AH$2:AH737,AH737,$AJ$2:AJ737,1)=1),N(AL736)+1,"")</f>
        <v/>
      </c>
      <c r="AL737" s="54">
        <f>IF(AK737&lt;&gt;"",AK737,N(AL736))</f>
        <v/>
      </c>
    </row>
    <row r="738">
      <c r="A738" t="inlineStr">
        <is>
          <t>PRD-0246</t>
        </is>
      </c>
      <c r="B738" t="inlineStr">
        <is>
          <t>Production</t>
        </is>
      </c>
      <c r="AB738" t="n">
        <v>246</v>
      </c>
      <c r="AD738" s="52">
        <f>IFERROR(N(IFERROR(INDEX($A738:$AB738,MATCH("Xero Invoiced Ex GST",$A$1:$AB$1,0)),"")),0)</f>
        <v/>
      </c>
      <c r="AE738" s="53">
        <f>IFERROR(INDEX($A738:$AB738,MATCH("Xero Invoice Date",$A$1:$AB$1,0)),"")</f>
        <v/>
      </c>
      <c r="AF738" s="54">
        <f>IF(AND(IFERROR(INDEX($A738:$AB738,MATCH("Xero Invoice No",$A$1:$AB$1,0)),"")&amp;""&lt;&gt;"",ISNUMBER(AE738),AD738&lt;&gt;0),1,0)</f>
        <v/>
      </c>
      <c r="AG738" s="55">
        <f>IF(AF738=1,EOMONTH(AE738,0),"")</f>
        <v/>
      </c>
      <c r="AH738" s="9">
        <f>IF(AF738=1,UPPER(TRIM(IFERROR(INDEX($A738:$AB738,MATCH("Client",$A$1:$AB$1,0)),"")&amp;"")),"")</f>
        <v/>
      </c>
      <c r="AI738" s="9">
        <f>IF(AF738=1,IFERROR(INDEX($A738:$AB738,MATCH("Cost Centre",$A$1:$AB$1,0)),"")&amp;"","")</f>
        <v/>
      </c>
      <c r="AJ738" s="54">
        <f>IF(AND(AF738=1,AE738&gt;=set_FYStart,AE738&lt;=set_AsAt),1,0)</f>
        <v/>
      </c>
      <c r="AK738" s="54">
        <f>IF(AND(AJ738=1,AH738&lt;&gt;"",COUNTIFS($AH$2:AH738,AH738,$AJ$2:AJ738,1)=1),N(AL737)+1,"")</f>
        <v/>
      </c>
      <c r="AL738" s="54">
        <f>IF(AK738&lt;&gt;"",AK738,N(AL737))</f>
        <v/>
      </c>
    </row>
    <row r="739">
      <c r="A739" t="inlineStr">
        <is>
          <t>CON-0246</t>
        </is>
      </c>
      <c r="B739" t="inlineStr">
        <is>
          <t>Consulting</t>
        </is>
      </c>
      <c r="AB739" t="n">
        <v>246</v>
      </c>
      <c r="AD739" s="52">
        <f>IFERROR(N(IFERROR(INDEX($A739:$AB739,MATCH("Xero Invoiced Ex GST",$A$1:$AB$1,0)),"")),0)</f>
        <v/>
      </c>
      <c r="AE739" s="53">
        <f>IFERROR(INDEX($A739:$AB739,MATCH("Xero Invoice Date",$A$1:$AB$1,0)),"")</f>
        <v/>
      </c>
      <c r="AF739" s="54">
        <f>IF(AND(IFERROR(INDEX($A739:$AB739,MATCH("Xero Invoice No",$A$1:$AB$1,0)),"")&amp;""&lt;&gt;"",ISNUMBER(AE739),AD739&lt;&gt;0),1,0)</f>
        <v/>
      </c>
      <c r="AG739" s="55">
        <f>IF(AF739=1,EOMONTH(AE739,0),"")</f>
        <v/>
      </c>
      <c r="AH739" s="9">
        <f>IF(AF739=1,UPPER(TRIM(IFERROR(INDEX($A739:$AB739,MATCH("Client",$A$1:$AB$1,0)),"")&amp;"")),"")</f>
        <v/>
      </c>
      <c r="AI739" s="9">
        <f>IF(AF739=1,IFERROR(INDEX($A739:$AB739,MATCH("Cost Centre",$A$1:$AB$1,0)),"")&amp;"","")</f>
        <v/>
      </c>
      <c r="AJ739" s="54">
        <f>IF(AND(AF739=1,AE739&gt;=set_FYStart,AE739&lt;=set_AsAt),1,0)</f>
        <v/>
      </c>
      <c r="AK739" s="54">
        <f>IF(AND(AJ739=1,AH739&lt;&gt;"",COUNTIFS($AH$2:AH739,AH739,$AJ$2:AJ739,1)=1),N(AL738)+1,"")</f>
        <v/>
      </c>
      <c r="AL739" s="54">
        <f>IF(AK739&lt;&gt;"",AK739,N(AL738))</f>
        <v/>
      </c>
    </row>
    <row r="740">
      <c r="A740" t="inlineStr">
        <is>
          <t>ONS-0247</t>
        </is>
      </c>
      <c r="B740" t="inlineStr">
        <is>
          <t>Onsite</t>
        </is>
      </c>
      <c r="AB740" t="n">
        <v>247</v>
      </c>
      <c r="AD740" s="52">
        <f>IFERROR(N(IFERROR(INDEX($A740:$AB740,MATCH("Xero Invoiced Ex GST",$A$1:$AB$1,0)),"")),0)</f>
        <v/>
      </c>
      <c r="AE740" s="53">
        <f>IFERROR(INDEX($A740:$AB740,MATCH("Xero Invoice Date",$A$1:$AB$1,0)),"")</f>
        <v/>
      </c>
      <c r="AF740" s="54">
        <f>IF(AND(IFERROR(INDEX($A740:$AB740,MATCH("Xero Invoice No",$A$1:$AB$1,0)),"")&amp;""&lt;&gt;"",ISNUMBER(AE740),AD740&lt;&gt;0),1,0)</f>
        <v/>
      </c>
      <c r="AG740" s="55">
        <f>IF(AF740=1,EOMONTH(AE740,0),"")</f>
        <v/>
      </c>
      <c r="AH740" s="9">
        <f>IF(AF740=1,UPPER(TRIM(IFERROR(INDEX($A740:$AB740,MATCH("Client",$A$1:$AB$1,0)),"")&amp;"")),"")</f>
        <v/>
      </c>
      <c r="AI740" s="9">
        <f>IF(AF740=1,IFERROR(INDEX($A740:$AB740,MATCH("Cost Centre",$A$1:$AB$1,0)),"")&amp;"","")</f>
        <v/>
      </c>
      <c r="AJ740" s="54">
        <f>IF(AND(AF740=1,AE740&gt;=set_FYStart,AE740&lt;=set_AsAt),1,0)</f>
        <v/>
      </c>
      <c r="AK740" s="54">
        <f>IF(AND(AJ740=1,AH740&lt;&gt;"",COUNTIFS($AH$2:AH740,AH740,$AJ$2:AJ740,1)=1),N(AL739)+1,"")</f>
        <v/>
      </c>
      <c r="AL740" s="54">
        <f>IF(AK740&lt;&gt;"",AK740,N(AL739))</f>
        <v/>
      </c>
    </row>
    <row r="741">
      <c r="A741" t="inlineStr">
        <is>
          <t>PRD-0247</t>
        </is>
      </c>
      <c r="B741" t="inlineStr">
        <is>
          <t>Production</t>
        </is>
      </c>
      <c r="AB741" t="n">
        <v>247</v>
      </c>
      <c r="AD741" s="52">
        <f>IFERROR(N(IFERROR(INDEX($A741:$AB741,MATCH("Xero Invoiced Ex GST",$A$1:$AB$1,0)),"")),0)</f>
        <v/>
      </c>
      <c r="AE741" s="53">
        <f>IFERROR(INDEX($A741:$AB741,MATCH("Xero Invoice Date",$A$1:$AB$1,0)),"")</f>
        <v/>
      </c>
      <c r="AF741" s="54">
        <f>IF(AND(IFERROR(INDEX($A741:$AB741,MATCH("Xero Invoice No",$A$1:$AB$1,0)),"")&amp;""&lt;&gt;"",ISNUMBER(AE741),AD741&lt;&gt;0),1,0)</f>
        <v/>
      </c>
      <c r="AG741" s="55">
        <f>IF(AF741=1,EOMONTH(AE741,0),"")</f>
        <v/>
      </c>
      <c r="AH741" s="9">
        <f>IF(AF741=1,UPPER(TRIM(IFERROR(INDEX($A741:$AB741,MATCH("Client",$A$1:$AB$1,0)),"")&amp;"")),"")</f>
        <v/>
      </c>
      <c r="AI741" s="9">
        <f>IF(AF741=1,IFERROR(INDEX($A741:$AB741,MATCH("Cost Centre",$A$1:$AB$1,0)),"")&amp;"","")</f>
        <v/>
      </c>
      <c r="AJ741" s="54">
        <f>IF(AND(AF741=1,AE741&gt;=set_FYStart,AE741&lt;=set_AsAt),1,0)</f>
        <v/>
      </c>
      <c r="AK741" s="54">
        <f>IF(AND(AJ741=1,AH741&lt;&gt;"",COUNTIFS($AH$2:AH741,AH741,$AJ$2:AJ741,1)=1),N(AL740)+1,"")</f>
        <v/>
      </c>
      <c r="AL741" s="54">
        <f>IF(AK741&lt;&gt;"",AK741,N(AL740))</f>
        <v/>
      </c>
    </row>
    <row r="742">
      <c r="A742" t="inlineStr">
        <is>
          <t>CON-0247</t>
        </is>
      </c>
      <c r="B742" t="inlineStr">
        <is>
          <t>Consulting</t>
        </is>
      </c>
      <c r="AB742" t="n">
        <v>247</v>
      </c>
      <c r="AD742" s="52">
        <f>IFERROR(N(IFERROR(INDEX($A742:$AB742,MATCH("Xero Invoiced Ex GST",$A$1:$AB$1,0)),"")),0)</f>
        <v/>
      </c>
      <c r="AE742" s="53">
        <f>IFERROR(INDEX($A742:$AB742,MATCH("Xero Invoice Date",$A$1:$AB$1,0)),"")</f>
        <v/>
      </c>
      <c r="AF742" s="54">
        <f>IF(AND(IFERROR(INDEX($A742:$AB742,MATCH("Xero Invoice No",$A$1:$AB$1,0)),"")&amp;""&lt;&gt;"",ISNUMBER(AE742),AD742&lt;&gt;0),1,0)</f>
        <v/>
      </c>
      <c r="AG742" s="55">
        <f>IF(AF742=1,EOMONTH(AE742,0),"")</f>
        <v/>
      </c>
      <c r="AH742" s="9">
        <f>IF(AF742=1,UPPER(TRIM(IFERROR(INDEX($A742:$AB742,MATCH("Client",$A$1:$AB$1,0)),"")&amp;"")),"")</f>
        <v/>
      </c>
      <c r="AI742" s="9">
        <f>IF(AF742=1,IFERROR(INDEX($A742:$AB742,MATCH("Cost Centre",$A$1:$AB$1,0)),"")&amp;"","")</f>
        <v/>
      </c>
      <c r="AJ742" s="54">
        <f>IF(AND(AF742=1,AE742&gt;=set_FYStart,AE742&lt;=set_AsAt),1,0)</f>
        <v/>
      </c>
      <c r="AK742" s="54">
        <f>IF(AND(AJ742=1,AH742&lt;&gt;"",COUNTIFS($AH$2:AH742,AH742,$AJ$2:AJ742,1)=1),N(AL741)+1,"")</f>
        <v/>
      </c>
      <c r="AL742" s="54">
        <f>IF(AK742&lt;&gt;"",AK742,N(AL741))</f>
        <v/>
      </c>
    </row>
    <row r="743">
      <c r="A743" t="inlineStr">
        <is>
          <t>ONS-0248</t>
        </is>
      </c>
      <c r="B743" t="inlineStr">
        <is>
          <t>Onsite</t>
        </is>
      </c>
      <c r="AB743" t="n">
        <v>248</v>
      </c>
      <c r="AD743" s="52">
        <f>IFERROR(N(IFERROR(INDEX($A743:$AB743,MATCH("Xero Invoiced Ex GST",$A$1:$AB$1,0)),"")),0)</f>
        <v/>
      </c>
      <c r="AE743" s="53">
        <f>IFERROR(INDEX($A743:$AB743,MATCH("Xero Invoice Date",$A$1:$AB$1,0)),"")</f>
        <v/>
      </c>
      <c r="AF743" s="54">
        <f>IF(AND(IFERROR(INDEX($A743:$AB743,MATCH("Xero Invoice No",$A$1:$AB$1,0)),"")&amp;""&lt;&gt;"",ISNUMBER(AE743),AD743&lt;&gt;0),1,0)</f>
        <v/>
      </c>
      <c r="AG743" s="55">
        <f>IF(AF743=1,EOMONTH(AE743,0),"")</f>
        <v/>
      </c>
      <c r="AH743" s="9">
        <f>IF(AF743=1,UPPER(TRIM(IFERROR(INDEX($A743:$AB743,MATCH("Client",$A$1:$AB$1,0)),"")&amp;"")),"")</f>
        <v/>
      </c>
      <c r="AI743" s="9">
        <f>IF(AF743=1,IFERROR(INDEX($A743:$AB743,MATCH("Cost Centre",$A$1:$AB$1,0)),"")&amp;"","")</f>
        <v/>
      </c>
      <c r="AJ743" s="54">
        <f>IF(AND(AF743=1,AE743&gt;=set_FYStart,AE743&lt;=set_AsAt),1,0)</f>
        <v/>
      </c>
      <c r="AK743" s="54">
        <f>IF(AND(AJ743=1,AH743&lt;&gt;"",COUNTIFS($AH$2:AH743,AH743,$AJ$2:AJ743,1)=1),N(AL742)+1,"")</f>
        <v/>
      </c>
      <c r="AL743" s="54">
        <f>IF(AK743&lt;&gt;"",AK743,N(AL742))</f>
        <v/>
      </c>
    </row>
    <row r="744">
      <c r="A744" t="inlineStr">
        <is>
          <t>PRD-0248</t>
        </is>
      </c>
      <c r="B744" t="inlineStr">
        <is>
          <t>Production</t>
        </is>
      </c>
      <c r="AB744" t="n">
        <v>248</v>
      </c>
      <c r="AD744" s="52">
        <f>IFERROR(N(IFERROR(INDEX($A744:$AB744,MATCH("Xero Invoiced Ex GST",$A$1:$AB$1,0)),"")),0)</f>
        <v/>
      </c>
      <c r="AE744" s="53">
        <f>IFERROR(INDEX($A744:$AB744,MATCH("Xero Invoice Date",$A$1:$AB$1,0)),"")</f>
        <v/>
      </c>
      <c r="AF744" s="54">
        <f>IF(AND(IFERROR(INDEX($A744:$AB744,MATCH("Xero Invoice No",$A$1:$AB$1,0)),"")&amp;""&lt;&gt;"",ISNUMBER(AE744),AD744&lt;&gt;0),1,0)</f>
        <v/>
      </c>
      <c r="AG744" s="55">
        <f>IF(AF744=1,EOMONTH(AE744,0),"")</f>
        <v/>
      </c>
      <c r="AH744" s="9">
        <f>IF(AF744=1,UPPER(TRIM(IFERROR(INDEX($A744:$AB744,MATCH("Client",$A$1:$AB$1,0)),"")&amp;"")),"")</f>
        <v/>
      </c>
      <c r="AI744" s="9">
        <f>IF(AF744=1,IFERROR(INDEX($A744:$AB744,MATCH("Cost Centre",$A$1:$AB$1,0)),"")&amp;"","")</f>
        <v/>
      </c>
      <c r="AJ744" s="54">
        <f>IF(AND(AF744=1,AE744&gt;=set_FYStart,AE744&lt;=set_AsAt),1,0)</f>
        <v/>
      </c>
      <c r="AK744" s="54">
        <f>IF(AND(AJ744=1,AH744&lt;&gt;"",COUNTIFS($AH$2:AH744,AH744,$AJ$2:AJ744,1)=1),N(AL743)+1,"")</f>
        <v/>
      </c>
      <c r="AL744" s="54">
        <f>IF(AK744&lt;&gt;"",AK744,N(AL743))</f>
        <v/>
      </c>
    </row>
    <row r="745">
      <c r="A745" t="inlineStr">
        <is>
          <t>CON-0248</t>
        </is>
      </c>
      <c r="B745" t="inlineStr">
        <is>
          <t>Consulting</t>
        </is>
      </c>
      <c r="AB745" t="n">
        <v>248</v>
      </c>
      <c r="AD745" s="52">
        <f>IFERROR(N(IFERROR(INDEX($A745:$AB745,MATCH("Xero Invoiced Ex GST",$A$1:$AB$1,0)),"")),0)</f>
        <v/>
      </c>
      <c r="AE745" s="53">
        <f>IFERROR(INDEX($A745:$AB745,MATCH("Xero Invoice Date",$A$1:$AB$1,0)),"")</f>
        <v/>
      </c>
      <c r="AF745" s="54">
        <f>IF(AND(IFERROR(INDEX($A745:$AB745,MATCH("Xero Invoice No",$A$1:$AB$1,0)),"")&amp;""&lt;&gt;"",ISNUMBER(AE745),AD745&lt;&gt;0),1,0)</f>
        <v/>
      </c>
      <c r="AG745" s="55">
        <f>IF(AF745=1,EOMONTH(AE745,0),"")</f>
        <v/>
      </c>
      <c r="AH745" s="9">
        <f>IF(AF745=1,UPPER(TRIM(IFERROR(INDEX($A745:$AB745,MATCH("Client",$A$1:$AB$1,0)),"")&amp;"")),"")</f>
        <v/>
      </c>
      <c r="AI745" s="9">
        <f>IF(AF745=1,IFERROR(INDEX($A745:$AB745,MATCH("Cost Centre",$A$1:$AB$1,0)),"")&amp;"","")</f>
        <v/>
      </c>
      <c r="AJ745" s="54">
        <f>IF(AND(AF745=1,AE745&gt;=set_FYStart,AE745&lt;=set_AsAt),1,0)</f>
        <v/>
      </c>
      <c r="AK745" s="54">
        <f>IF(AND(AJ745=1,AH745&lt;&gt;"",COUNTIFS($AH$2:AH745,AH745,$AJ$2:AJ745,1)=1),N(AL744)+1,"")</f>
        <v/>
      </c>
      <c r="AL745" s="54">
        <f>IF(AK745&lt;&gt;"",AK745,N(AL744))</f>
        <v/>
      </c>
    </row>
    <row r="746">
      <c r="A746" t="inlineStr">
        <is>
          <t>ONS-0249</t>
        </is>
      </c>
      <c r="B746" t="inlineStr">
        <is>
          <t>Onsite</t>
        </is>
      </c>
      <c r="AB746" t="n">
        <v>249</v>
      </c>
      <c r="AD746" s="52">
        <f>IFERROR(N(IFERROR(INDEX($A746:$AB746,MATCH("Xero Invoiced Ex GST",$A$1:$AB$1,0)),"")),0)</f>
        <v/>
      </c>
      <c r="AE746" s="53">
        <f>IFERROR(INDEX($A746:$AB746,MATCH("Xero Invoice Date",$A$1:$AB$1,0)),"")</f>
        <v/>
      </c>
      <c r="AF746" s="54">
        <f>IF(AND(IFERROR(INDEX($A746:$AB746,MATCH("Xero Invoice No",$A$1:$AB$1,0)),"")&amp;""&lt;&gt;"",ISNUMBER(AE746),AD746&lt;&gt;0),1,0)</f>
        <v/>
      </c>
      <c r="AG746" s="55">
        <f>IF(AF746=1,EOMONTH(AE746,0),"")</f>
        <v/>
      </c>
      <c r="AH746" s="9">
        <f>IF(AF746=1,UPPER(TRIM(IFERROR(INDEX($A746:$AB746,MATCH("Client",$A$1:$AB$1,0)),"")&amp;"")),"")</f>
        <v/>
      </c>
      <c r="AI746" s="9">
        <f>IF(AF746=1,IFERROR(INDEX($A746:$AB746,MATCH("Cost Centre",$A$1:$AB$1,0)),"")&amp;"","")</f>
        <v/>
      </c>
      <c r="AJ746" s="54">
        <f>IF(AND(AF746=1,AE746&gt;=set_FYStart,AE746&lt;=set_AsAt),1,0)</f>
        <v/>
      </c>
      <c r="AK746" s="54">
        <f>IF(AND(AJ746=1,AH746&lt;&gt;"",COUNTIFS($AH$2:AH746,AH746,$AJ$2:AJ746,1)=1),N(AL745)+1,"")</f>
        <v/>
      </c>
      <c r="AL746" s="54">
        <f>IF(AK746&lt;&gt;"",AK746,N(AL745))</f>
        <v/>
      </c>
    </row>
    <row r="747">
      <c r="A747" t="inlineStr">
        <is>
          <t>PRD-0249</t>
        </is>
      </c>
      <c r="B747" t="inlineStr">
        <is>
          <t>Production</t>
        </is>
      </c>
      <c r="AB747" t="n">
        <v>249</v>
      </c>
      <c r="AD747" s="52">
        <f>IFERROR(N(IFERROR(INDEX($A747:$AB747,MATCH("Xero Invoiced Ex GST",$A$1:$AB$1,0)),"")),0)</f>
        <v/>
      </c>
      <c r="AE747" s="53">
        <f>IFERROR(INDEX($A747:$AB747,MATCH("Xero Invoice Date",$A$1:$AB$1,0)),"")</f>
        <v/>
      </c>
      <c r="AF747" s="54">
        <f>IF(AND(IFERROR(INDEX($A747:$AB747,MATCH("Xero Invoice No",$A$1:$AB$1,0)),"")&amp;""&lt;&gt;"",ISNUMBER(AE747),AD747&lt;&gt;0),1,0)</f>
        <v/>
      </c>
      <c r="AG747" s="55">
        <f>IF(AF747=1,EOMONTH(AE747,0),"")</f>
        <v/>
      </c>
      <c r="AH747" s="9">
        <f>IF(AF747=1,UPPER(TRIM(IFERROR(INDEX($A747:$AB747,MATCH("Client",$A$1:$AB$1,0)),"")&amp;"")),"")</f>
        <v/>
      </c>
      <c r="AI747" s="9">
        <f>IF(AF747=1,IFERROR(INDEX($A747:$AB747,MATCH("Cost Centre",$A$1:$AB$1,0)),"")&amp;"","")</f>
        <v/>
      </c>
      <c r="AJ747" s="54">
        <f>IF(AND(AF747=1,AE747&gt;=set_FYStart,AE747&lt;=set_AsAt),1,0)</f>
        <v/>
      </c>
      <c r="AK747" s="54">
        <f>IF(AND(AJ747=1,AH747&lt;&gt;"",COUNTIFS($AH$2:AH747,AH747,$AJ$2:AJ747,1)=1),N(AL746)+1,"")</f>
        <v/>
      </c>
      <c r="AL747" s="54">
        <f>IF(AK747&lt;&gt;"",AK747,N(AL746))</f>
        <v/>
      </c>
    </row>
    <row r="748">
      <c r="A748" t="inlineStr">
        <is>
          <t>CON-0249</t>
        </is>
      </c>
      <c r="B748" t="inlineStr">
        <is>
          <t>Consulting</t>
        </is>
      </c>
      <c r="AB748" t="n">
        <v>249</v>
      </c>
      <c r="AD748" s="52">
        <f>IFERROR(N(IFERROR(INDEX($A748:$AB748,MATCH("Xero Invoiced Ex GST",$A$1:$AB$1,0)),"")),0)</f>
        <v/>
      </c>
      <c r="AE748" s="53">
        <f>IFERROR(INDEX($A748:$AB748,MATCH("Xero Invoice Date",$A$1:$AB$1,0)),"")</f>
        <v/>
      </c>
      <c r="AF748" s="54">
        <f>IF(AND(IFERROR(INDEX($A748:$AB748,MATCH("Xero Invoice No",$A$1:$AB$1,0)),"")&amp;""&lt;&gt;"",ISNUMBER(AE748),AD748&lt;&gt;0),1,0)</f>
        <v/>
      </c>
      <c r="AG748" s="55">
        <f>IF(AF748=1,EOMONTH(AE748,0),"")</f>
        <v/>
      </c>
      <c r="AH748" s="9">
        <f>IF(AF748=1,UPPER(TRIM(IFERROR(INDEX($A748:$AB748,MATCH("Client",$A$1:$AB$1,0)),"")&amp;"")),"")</f>
        <v/>
      </c>
      <c r="AI748" s="9">
        <f>IF(AF748=1,IFERROR(INDEX($A748:$AB748,MATCH("Cost Centre",$A$1:$AB$1,0)),"")&amp;"","")</f>
        <v/>
      </c>
      <c r="AJ748" s="54">
        <f>IF(AND(AF748=1,AE748&gt;=set_FYStart,AE748&lt;=set_AsAt),1,0)</f>
        <v/>
      </c>
      <c r="AK748" s="54">
        <f>IF(AND(AJ748=1,AH748&lt;&gt;"",COUNTIFS($AH$2:AH748,AH748,$AJ$2:AJ748,1)=1),N(AL747)+1,"")</f>
        <v/>
      </c>
      <c r="AL748" s="54">
        <f>IF(AK748&lt;&gt;"",AK748,N(AL747))</f>
        <v/>
      </c>
    </row>
    <row r="749">
      <c r="A749" t="inlineStr">
        <is>
          <t>ONS-0250</t>
        </is>
      </c>
      <c r="B749" t="inlineStr">
        <is>
          <t>Onsite</t>
        </is>
      </c>
      <c r="AB749" t="n">
        <v>250</v>
      </c>
      <c r="AD749" s="52">
        <f>IFERROR(N(IFERROR(INDEX($A749:$AB749,MATCH("Xero Invoiced Ex GST",$A$1:$AB$1,0)),"")),0)</f>
        <v/>
      </c>
      <c r="AE749" s="53">
        <f>IFERROR(INDEX($A749:$AB749,MATCH("Xero Invoice Date",$A$1:$AB$1,0)),"")</f>
        <v/>
      </c>
      <c r="AF749" s="54">
        <f>IF(AND(IFERROR(INDEX($A749:$AB749,MATCH("Xero Invoice No",$A$1:$AB$1,0)),"")&amp;""&lt;&gt;"",ISNUMBER(AE749),AD749&lt;&gt;0),1,0)</f>
        <v/>
      </c>
      <c r="AG749" s="55">
        <f>IF(AF749=1,EOMONTH(AE749,0),"")</f>
        <v/>
      </c>
      <c r="AH749" s="9">
        <f>IF(AF749=1,UPPER(TRIM(IFERROR(INDEX($A749:$AB749,MATCH("Client",$A$1:$AB$1,0)),"")&amp;"")),"")</f>
        <v/>
      </c>
      <c r="AI749" s="9">
        <f>IF(AF749=1,IFERROR(INDEX($A749:$AB749,MATCH("Cost Centre",$A$1:$AB$1,0)),"")&amp;"","")</f>
        <v/>
      </c>
      <c r="AJ749" s="54">
        <f>IF(AND(AF749=1,AE749&gt;=set_FYStart,AE749&lt;=set_AsAt),1,0)</f>
        <v/>
      </c>
      <c r="AK749" s="54">
        <f>IF(AND(AJ749=1,AH749&lt;&gt;"",COUNTIFS($AH$2:AH749,AH749,$AJ$2:AJ749,1)=1),N(AL748)+1,"")</f>
        <v/>
      </c>
      <c r="AL749" s="54">
        <f>IF(AK749&lt;&gt;"",AK749,N(AL748))</f>
        <v/>
      </c>
    </row>
    <row r="750">
      <c r="A750" t="inlineStr">
        <is>
          <t>PRD-0250</t>
        </is>
      </c>
      <c r="B750" t="inlineStr">
        <is>
          <t>Production</t>
        </is>
      </c>
      <c r="AB750" t="n">
        <v>250</v>
      </c>
      <c r="AD750" s="52">
        <f>IFERROR(N(IFERROR(INDEX($A750:$AB750,MATCH("Xero Invoiced Ex GST",$A$1:$AB$1,0)),"")),0)</f>
        <v/>
      </c>
      <c r="AE750" s="53">
        <f>IFERROR(INDEX($A750:$AB750,MATCH("Xero Invoice Date",$A$1:$AB$1,0)),"")</f>
        <v/>
      </c>
      <c r="AF750" s="54">
        <f>IF(AND(IFERROR(INDEX($A750:$AB750,MATCH("Xero Invoice No",$A$1:$AB$1,0)),"")&amp;""&lt;&gt;"",ISNUMBER(AE750),AD750&lt;&gt;0),1,0)</f>
        <v/>
      </c>
      <c r="AG750" s="55">
        <f>IF(AF750=1,EOMONTH(AE750,0),"")</f>
        <v/>
      </c>
      <c r="AH750" s="9">
        <f>IF(AF750=1,UPPER(TRIM(IFERROR(INDEX($A750:$AB750,MATCH("Client",$A$1:$AB$1,0)),"")&amp;"")),"")</f>
        <v/>
      </c>
      <c r="AI750" s="9">
        <f>IF(AF750=1,IFERROR(INDEX($A750:$AB750,MATCH("Cost Centre",$A$1:$AB$1,0)),"")&amp;"","")</f>
        <v/>
      </c>
      <c r="AJ750" s="54">
        <f>IF(AND(AF750=1,AE750&gt;=set_FYStart,AE750&lt;=set_AsAt),1,0)</f>
        <v/>
      </c>
      <c r="AK750" s="54">
        <f>IF(AND(AJ750=1,AH750&lt;&gt;"",COUNTIFS($AH$2:AH750,AH750,$AJ$2:AJ750,1)=1),N(AL749)+1,"")</f>
        <v/>
      </c>
      <c r="AL750" s="54">
        <f>IF(AK750&lt;&gt;"",AK750,N(AL749))</f>
        <v/>
      </c>
    </row>
    <row r="751">
      <c r="A751" t="inlineStr">
        <is>
          <t>CON-0250</t>
        </is>
      </c>
      <c r="B751" t="inlineStr">
        <is>
          <t>Consulting</t>
        </is>
      </c>
      <c r="AB751" t="n">
        <v>250</v>
      </c>
      <c r="AD751" s="52">
        <f>IFERROR(N(IFERROR(INDEX($A751:$AB751,MATCH("Xero Invoiced Ex GST",$A$1:$AB$1,0)),"")),0)</f>
        <v/>
      </c>
      <c r="AE751" s="53">
        <f>IFERROR(INDEX($A751:$AB751,MATCH("Xero Invoice Date",$A$1:$AB$1,0)),"")</f>
        <v/>
      </c>
      <c r="AF751" s="54">
        <f>IF(AND(IFERROR(INDEX($A751:$AB751,MATCH("Xero Invoice No",$A$1:$AB$1,0)),"")&amp;""&lt;&gt;"",ISNUMBER(AE751),AD751&lt;&gt;0),1,0)</f>
        <v/>
      </c>
      <c r="AG751" s="55">
        <f>IF(AF751=1,EOMONTH(AE751,0),"")</f>
        <v/>
      </c>
      <c r="AH751" s="9">
        <f>IF(AF751=1,UPPER(TRIM(IFERROR(INDEX($A751:$AB751,MATCH("Client",$A$1:$AB$1,0)),"")&amp;"")),"")</f>
        <v/>
      </c>
      <c r="AI751" s="9">
        <f>IF(AF751=1,IFERROR(INDEX($A751:$AB751,MATCH("Cost Centre",$A$1:$AB$1,0)),"")&amp;"","")</f>
        <v/>
      </c>
      <c r="AJ751" s="54">
        <f>IF(AND(AF751=1,AE751&gt;=set_FYStart,AE751&lt;=set_AsAt),1,0)</f>
        <v/>
      </c>
      <c r="AK751" s="54">
        <f>IF(AND(AJ751=1,AH751&lt;&gt;"",COUNTIFS($AH$2:AH751,AH751,$AJ$2:AJ751,1)=1),N(AL750)+1,"")</f>
        <v/>
      </c>
      <c r="AL751" s="54">
        <f>IF(AK751&lt;&gt;"",AK751,N(AL750))</f>
        <v/>
      </c>
    </row>
    <row r="752">
      <c r="A752" t="inlineStr">
        <is>
          <t>ONS-0251</t>
        </is>
      </c>
      <c r="B752" t="inlineStr">
        <is>
          <t>Onsite</t>
        </is>
      </c>
      <c r="AB752" t="n">
        <v>251</v>
      </c>
      <c r="AD752" s="52">
        <f>IFERROR(N(IFERROR(INDEX($A752:$AB752,MATCH("Xero Invoiced Ex GST",$A$1:$AB$1,0)),"")),0)</f>
        <v/>
      </c>
      <c r="AE752" s="53">
        <f>IFERROR(INDEX($A752:$AB752,MATCH("Xero Invoice Date",$A$1:$AB$1,0)),"")</f>
        <v/>
      </c>
      <c r="AF752" s="54">
        <f>IF(AND(IFERROR(INDEX($A752:$AB752,MATCH("Xero Invoice No",$A$1:$AB$1,0)),"")&amp;""&lt;&gt;"",ISNUMBER(AE752),AD752&lt;&gt;0),1,0)</f>
        <v/>
      </c>
      <c r="AG752" s="55">
        <f>IF(AF752=1,EOMONTH(AE752,0),"")</f>
        <v/>
      </c>
      <c r="AH752" s="9">
        <f>IF(AF752=1,UPPER(TRIM(IFERROR(INDEX($A752:$AB752,MATCH("Client",$A$1:$AB$1,0)),"")&amp;"")),"")</f>
        <v/>
      </c>
      <c r="AI752" s="9">
        <f>IF(AF752=1,IFERROR(INDEX($A752:$AB752,MATCH("Cost Centre",$A$1:$AB$1,0)),"")&amp;"","")</f>
        <v/>
      </c>
      <c r="AJ752" s="54">
        <f>IF(AND(AF752=1,AE752&gt;=set_FYStart,AE752&lt;=set_AsAt),1,0)</f>
        <v/>
      </c>
      <c r="AK752" s="54">
        <f>IF(AND(AJ752=1,AH752&lt;&gt;"",COUNTIFS($AH$2:AH752,AH752,$AJ$2:AJ752,1)=1),N(AL751)+1,"")</f>
        <v/>
      </c>
      <c r="AL752" s="54">
        <f>IF(AK752&lt;&gt;"",AK752,N(AL751))</f>
        <v/>
      </c>
    </row>
    <row r="753">
      <c r="A753" t="inlineStr">
        <is>
          <t>PRD-0251</t>
        </is>
      </c>
      <c r="B753" t="inlineStr">
        <is>
          <t>Production</t>
        </is>
      </c>
      <c r="AB753" t="n">
        <v>251</v>
      </c>
      <c r="AD753" s="52">
        <f>IFERROR(N(IFERROR(INDEX($A753:$AB753,MATCH("Xero Invoiced Ex GST",$A$1:$AB$1,0)),"")),0)</f>
        <v/>
      </c>
      <c r="AE753" s="53">
        <f>IFERROR(INDEX($A753:$AB753,MATCH("Xero Invoice Date",$A$1:$AB$1,0)),"")</f>
        <v/>
      </c>
      <c r="AF753" s="54">
        <f>IF(AND(IFERROR(INDEX($A753:$AB753,MATCH("Xero Invoice No",$A$1:$AB$1,0)),"")&amp;""&lt;&gt;"",ISNUMBER(AE753),AD753&lt;&gt;0),1,0)</f>
        <v/>
      </c>
      <c r="AG753" s="55">
        <f>IF(AF753=1,EOMONTH(AE753,0),"")</f>
        <v/>
      </c>
      <c r="AH753" s="9">
        <f>IF(AF753=1,UPPER(TRIM(IFERROR(INDEX($A753:$AB753,MATCH("Client",$A$1:$AB$1,0)),"")&amp;"")),"")</f>
        <v/>
      </c>
      <c r="AI753" s="9">
        <f>IF(AF753=1,IFERROR(INDEX($A753:$AB753,MATCH("Cost Centre",$A$1:$AB$1,0)),"")&amp;"","")</f>
        <v/>
      </c>
      <c r="AJ753" s="54">
        <f>IF(AND(AF753=1,AE753&gt;=set_FYStart,AE753&lt;=set_AsAt),1,0)</f>
        <v/>
      </c>
      <c r="AK753" s="54">
        <f>IF(AND(AJ753=1,AH753&lt;&gt;"",COUNTIFS($AH$2:AH753,AH753,$AJ$2:AJ753,1)=1),N(AL752)+1,"")</f>
        <v/>
      </c>
      <c r="AL753" s="54">
        <f>IF(AK753&lt;&gt;"",AK753,N(AL752))</f>
        <v/>
      </c>
    </row>
    <row r="754">
      <c r="A754" t="inlineStr">
        <is>
          <t>CON-0251</t>
        </is>
      </c>
      <c r="B754" t="inlineStr">
        <is>
          <t>Consulting</t>
        </is>
      </c>
      <c r="AB754" t="n">
        <v>251</v>
      </c>
      <c r="AD754" s="52">
        <f>IFERROR(N(IFERROR(INDEX($A754:$AB754,MATCH("Xero Invoiced Ex GST",$A$1:$AB$1,0)),"")),0)</f>
        <v/>
      </c>
      <c r="AE754" s="53">
        <f>IFERROR(INDEX($A754:$AB754,MATCH("Xero Invoice Date",$A$1:$AB$1,0)),"")</f>
        <v/>
      </c>
      <c r="AF754" s="54">
        <f>IF(AND(IFERROR(INDEX($A754:$AB754,MATCH("Xero Invoice No",$A$1:$AB$1,0)),"")&amp;""&lt;&gt;"",ISNUMBER(AE754),AD754&lt;&gt;0),1,0)</f>
        <v/>
      </c>
      <c r="AG754" s="55">
        <f>IF(AF754=1,EOMONTH(AE754,0),"")</f>
        <v/>
      </c>
      <c r="AH754" s="9">
        <f>IF(AF754=1,UPPER(TRIM(IFERROR(INDEX($A754:$AB754,MATCH("Client",$A$1:$AB$1,0)),"")&amp;"")),"")</f>
        <v/>
      </c>
      <c r="AI754" s="9">
        <f>IF(AF754=1,IFERROR(INDEX($A754:$AB754,MATCH("Cost Centre",$A$1:$AB$1,0)),"")&amp;"","")</f>
        <v/>
      </c>
      <c r="AJ754" s="54">
        <f>IF(AND(AF754=1,AE754&gt;=set_FYStart,AE754&lt;=set_AsAt),1,0)</f>
        <v/>
      </c>
      <c r="AK754" s="54">
        <f>IF(AND(AJ754=1,AH754&lt;&gt;"",COUNTIFS($AH$2:AH754,AH754,$AJ$2:AJ754,1)=1),N(AL753)+1,"")</f>
        <v/>
      </c>
      <c r="AL754" s="54">
        <f>IF(AK754&lt;&gt;"",AK754,N(AL753))</f>
        <v/>
      </c>
    </row>
    <row r="755">
      <c r="A755" t="inlineStr">
        <is>
          <t>ONS-0252</t>
        </is>
      </c>
      <c r="B755" t="inlineStr">
        <is>
          <t>Onsite</t>
        </is>
      </c>
      <c r="AB755" t="n">
        <v>252</v>
      </c>
      <c r="AD755" s="52">
        <f>IFERROR(N(IFERROR(INDEX($A755:$AB755,MATCH("Xero Invoiced Ex GST",$A$1:$AB$1,0)),"")),0)</f>
        <v/>
      </c>
      <c r="AE755" s="53">
        <f>IFERROR(INDEX($A755:$AB755,MATCH("Xero Invoice Date",$A$1:$AB$1,0)),"")</f>
        <v/>
      </c>
      <c r="AF755" s="54">
        <f>IF(AND(IFERROR(INDEX($A755:$AB755,MATCH("Xero Invoice No",$A$1:$AB$1,0)),"")&amp;""&lt;&gt;"",ISNUMBER(AE755),AD755&lt;&gt;0),1,0)</f>
        <v/>
      </c>
      <c r="AG755" s="55">
        <f>IF(AF755=1,EOMONTH(AE755,0),"")</f>
        <v/>
      </c>
      <c r="AH755" s="9">
        <f>IF(AF755=1,UPPER(TRIM(IFERROR(INDEX($A755:$AB755,MATCH("Client",$A$1:$AB$1,0)),"")&amp;"")),"")</f>
        <v/>
      </c>
      <c r="AI755" s="9">
        <f>IF(AF755=1,IFERROR(INDEX($A755:$AB755,MATCH("Cost Centre",$A$1:$AB$1,0)),"")&amp;"","")</f>
        <v/>
      </c>
      <c r="AJ755" s="54">
        <f>IF(AND(AF755=1,AE755&gt;=set_FYStart,AE755&lt;=set_AsAt),1,0)</f>
        <v/>
      </c>
      <c r="AK755" s="54">
        <f>IF(AND(AJ755=1,AH755&lt;&gt;"",COUNTIFS($AH$2:AH755,AH755,$AJ$2:AJ755,1)=1),N(AL754)+1,"")</f>
        <v/>
      </c>
      <c r="AL755" s="54">
        <f>IF(AK755&lt;&gt;"",AK755,N(AL754))</f>
        <v/>
      </c>
    </row>
    <row r="756">
      <c r="A756" t="inlineStr">
        <is>
          <t>PRD-0252</t>
        </is>
      </c>
      <c r="B756" t="inlineStr">
        <is>
          <t>Production</t>
        </is>
      </c>
      <c r="AB756" t="n">
        <v>252</v>
      </c>
      <c r="AD756" s="52">
        <f>IFERROR(N(IFERROR(INDEX($A756:$AB756,MATCH("Xero Invoiced Ex GST",$A$1:$AB$1,0)),"")),0)</f>
        <v/>
      </c>
      <c r="AE756" s="53">
        <f>IFERROR(INDEX($A756:$AB756,MATCH("Xero Invoice Date",$A$1:$AB$1,0)),"")</f>
        <v/>
      </c>
      <c r="AF756" s="54">
        <f>IF(AND(IFERROR(INDEX($A756:$AB756,MATCH("Xero Invoice No",$A$1:$AB$1,0)),"")&amp;""&lt;&gt;"",ISNUMBER(AE756),AD756&lt;&gt;0),1,0)</f>
        <v/>
      </c>
      <c r="AG756" s="55">
        <f>IF(AF756=1,EOMONTH(AE756,0),"")</f>
        <v/>
      </c>
      <c r="AH756" s="9">
        <f>IF(AF756=1,UPPER(TRIM(IFERROR(INDEX($A756:$AB756,MATCH("Client",$A$1:$AB$1,0)),"")&amp;"")),"")</f>
        <v/>
      </c>
      <c r="AI756" s="9">
        <f>IF(AF756=1,IFERROR(INDEX($A756:$AB756,MATCH("Cost Centre",$A$1:$AB$1,0)),"")&amp;"","")</f>
        <v/>
      </c>
      <c r="AJ756" s="54">
        <f>IF(AND(AF756=1,AE756&gt;=set_FYStart,AE756&lt;=set_AsAt),1,0)</f>
        <v/>
      </c>
      <c r="AK756" s="54">
        <f>IF(AND(AJ756=1,AH756&lt;&gt;"",COUNTIFS($AH$2:AH756,AH756,$AJ$2:AJ756,1)=1),N(AL755)+1,"")</f>
        <v/>
      </c>
      <c r="AL756" s="54">
        <f>IF(AK756&lt;&gt;"",AK756,N(AL755))</f>
        <v/>
      </c>
    </row>
    <row r="757">
      <c r="A757" t="inlineStr">
        <is>
          <t>CON-0252</t>
        </is>
      </c>
      <c r="B757" t="inlineStr">
        <is>
          <t>Consulting</t>
        </is>
      </c>
      <c r="AB757" t="n">
        <v>252</v>
      </c>
      <c r="AD757" s="52">
        <f>IFERROR(N(IFERROR(INDEX($A757:$AB757,MATCH("Xero Invoiced Ex GST",$A$1:$AB$1,0)),"")),0)</f>
        <v/>
      </c>
      <c r="AE757" s="53">
        <f>IFERROR(INDEX($A757:$AB757,MATCH("Xero Invoice Date",$A$1:$AB$1,0)),"")</f>
        <v/>
      </c>
      <c r="AF757" s="54">
        <f>IF(AND(IFERROR(INDEX($A757:$AB757,MATCH("Xero Invoice No",$A$1:$AB$1,0)),"")&amp;""&lt;&gt;"",ISNUMBER(AE757),AD757&lt;&gt;0),1,0)</f>
        <v/>
      </c>
      <c r="AG757" s="55">
        <f>IF(AF757=1,EOMONTH(AE757,0),"")</f>
        <v/>
      </c>
      <c r="AH757" s="9">
        <f>IF(AF757=1,UPPER(TRIM(IFERROR(INDEX($A757:$AB757,MATCH("Client",$A$1:$AB$1,0)),"")&amp;"")),"")</f>
        <v/>
      </c>
      <c r="AI757" s="9">
        <f>IF(AF757=1,IFERROR(INDEX($A757:$AB757,MATCH("Cost Centre",$A$1:$AB$1,0)),"")&amp;"","")</f>
        <v/>
      </c>
      <c r="AJ757" s="54">
        <f>IF(AND(AF757=1,AE757&gt;=set_FYStart,AE757&lt;=set_AsAt),1,0)</f>
        <v/>
      </c>
      <c r="AK757" s="54">
        <f>IF(AND(AJ757=1,AH757&lt;&gt;"",COUNTIFS($AH$2:AH757,AH757,$AJ$2:AJ757,1)=1),N(AL756)+1,"")</f>
        <v/>
      </c>
      <c r="AL757" s="54">
        <f>IF(AK757&lt;&gt;"",AK757,N(AL756))</f>
        <v/>
      </c>
    </row>
    <row r="758">
      <c r="A758" t="inlineStr">
        <is>
          <t>ONS-0253</t>
        </is>
      </c>
      <c r="B758" t="inlineStr">
        <is>
          <t>Onsite</t>
        </is>
      </c>
      <c r="AB758" t="n">
        <v>253</v>
      </c>
      <c r="AD758" s="52">
        <f>IFERROR(N(IFERROR(INDEX($A758:$AB758,MATCH("Xero Invoiced Ex GST",$A$1:$AB$1,0)),"")),0)</f>
        <v/>
      </c>
      <c r="AE758" s="53">
        <f>IFERROR(INDEX($A758:$AB758,MATCH("Xero Invoice Date",$A$1:$AB$1,0)),"")</f>
        <v/>
      </c>
      <c r="AF758" s="54">
        <f>IF(AND(IFERROR(INDEX($A758:$AB758,MATCH("Xero Invoice No",$A$1:$AB$1,0)),"")&amp;""&lt;&gt;"",ISNUMBER(AE758),AD758&lt;&gt;0),1,0)</f>
        <v/>
      </c>
      <c r="AG758" s="55">
        <f>IF(AF758=1,EOMONTH(AE758,0),"")</f>
        <v/>
      </c>
      <c r="AH758" s="9">
        <f>IF(AF758=1,UPPER(TRIM(IFERROR(INDEX($A758:$AB758,MATCH("Client",$A$1:$AB$1,0)),"")&amp;"")),"")</f>
        <v/>
      </c>
      <c r="AI758" s="9">
        <f>IF(AF758=1,IFERROR(INDEX($A758:$AB758,MATCH("Cost Centre",$A$1:$AB$1,0)),"")&amp;"","")</f>
        <v/>
      </c>
      <c r="AJ758" s="54">
        <f>IF(AND(AF758=1,AE758&gt;=set_FYStart,AE758&lt;=set_AsAt),1,0)</f>
        <v/>
      </c>
      <c r="AK758" s="54">
        <f>IF(AND(AJ758=1,AH758&lt;&gt;"",COUNTIFS($AH$2:AH758,AH758,$AJ$2:AJ758,1)=1),N(AL757)+1,"")</f>
        <v/>
      </c>
      <c r="AL758" s="54">
        <f>IF(AK758&lt;&gt;"",AK758,N(AL757))</f>
        <v/>
      </c>
    </row>
    <row r="759">
      <c r="A759" t="inlineStr">
        <is>
          <t>PRD-0253</t>
        </is>
      </c>
      <c r="B759" t="inlineStr">
        <is>
          <t>Production</t>
        </is>
      </c>
      <c r="AB759" t="n">
        <v>253</v>
      </c>
      <c r="AD759" s="52">
        <f>IFERROR(N(IFERROR(INDEX($A759:$AB759,MATCH("Xero Invoiced Ex GST",$A$1:$AB$1,0)),"")),0)</f>
        <v/>
      </c>
      <c r="AE759" s="53">
        <f>IFERROR(INDEX($A759:$AB759,MATCH("Xero Invoice Date",$A$1:$AB$1,0)),"")</f>
        <v/>
      </c>
      <c r="AF759" s="54">
        <f>IF(AND(IFERROR(INDEX($A759:$AB759,MATCH("Xero Invoice No",$A$1:$AB$1,0)),"")&amp;""&lt;&gt;"",ISNUMBER(AE759),AD759&lt;&gt;0),1,0)</f>
        <v/>
      </c>
      <c r="AG759" s="55">
        <f>IF(AF759=1,EOMONTH(AE759,0),"")</f>
        <v/>
      </c>
      <c r="AH759" s="9">
        <f>IF(AF759=1,UPPER(TRIM(IFERROR(INDEX($A759:$AB759,MATCH("Client",$A$1:$AB$1,0)),"")&amp;"")),"")</f>
        <v/>
      </c>
      <c r="AI759" s="9">
        <f>IF(AF759=1,IFERROR(INDEX($A759:$AB759,MATCH("Cost Centre",$A$1:$AB$1,0)),"")&amp;"","")</f>
        <v/>
      </c>
      <c r="AJ759" s="54">
        <f>IF(AND(AF759=1,AE759&gt;=set_FYStart,AE759&lt;=set_AsAt),1,0)</f>
        <v/>
      </c>
      <c r="AK759" s="54">
        <f>IF(AND(AJ759=1,AH759&lt;&gt;"",COUNTIFS($AH$2:AH759,AH759,$AJ$2:AJ759,1)=1),N(AL758)+1,"")</f>
        <v/>
      </c>
      <c r="AL759" s="54">
        <f>IF(AK759&lt;&gt;"",AK759,N(AL758))</f>
        <v/>
      </c>
    </row>
    <row r="760">
      <c r="A760" t="inlineStr">
        <is>
          <t>CON-0253</t>
        </is>
      </c>
      <c r="B760" t="inlineStr">
        <is>
          <t>Consulting</t>
        </is>
      </c>
      <c r="AB760" t="n">
        <v>253</v>
      </c>
      <c r="AD760" s="52">
        <f>IFERROR(N(IFERROR(INDEX($A760:$AB760,MATCH("Xero Invoiced Ex GST",$A$1:$AB$1,0)),"")),0)</f>
        <v/>
      </c>
      <c r="AE760" s="53">
        <f>IFERROR(INDEX($A760:$AB760,MATCH("Xero Invoice Date",$A$1:$AB$1,0)),"")</f>
        <v/>
      </c>
      <c r="AF760" s="54">
        <f>IF(AND(IFERROR(INDEX($A760:$AB760,MATCH("Xero Invoice No",$A$1:$AB$1,0)),"")&amp;""&lt;&gt;"",ISNUMBER(AE760),AD760&lt;&gt;0),1,0)</f>
        <v/>
      </c>
      <c r="AG760" s="55">
        <f>IF(AF760=1,EOMONTH(AE760,0),"")</f>
        <v/>
      </c>
      <c r="AH760" s="9">
        <f>IF(AF760=1,UPPER(TRIM(IFERROR(INDEX($A760:$AB760,MATCH("Client",$A$1:$AB$1,0)),"")&amp;"")),"")</f>
        <v/>
      </c>
      <c r="AI760" s="9">
        <f>IF(AF760=1,IFERROR(INDEX($A760:$AB760,MATCH("Cost Centre",$A$1:$AB$1,0)),"")&amp;"","")</f>
        <v/>
      </c>
      <c r="AJ760" s="54">
        <f>IF(AND(AF760=1,AE760&gt;=set_FYStart,AE760&lt;=set_AsAt),1,0)</f>
        <v/>
      </c>
      <c r="AK760" s="54">
        <f>IF(AND(AJ760=1,AH760&lt;&gt;"",COUNTIFS($AH$2:AH760,AH760,$AJ$2:AJ760,1)=1),N(AL759)+1,"")</f>
        <v/>
      </c>
      <c r="AL760" s="54">
        <f>IF(AK760&lt;&gt;"",AK760,N(AL759))</f>
        <v/>
      </c>
    </row>
    <row r="761">
      <c r="A761" t="inlineStr">
        <is>
          <t>ONS-0254</t>
        </is>
      </c>
      <c r="B761" t="inlineStr">
        <is>
          <t>Onsite</t>
        </is>
      </c>
      <c r="AB761" t="n">
        <v>254</v>
      </c>
      <c r="AD761" s="52">
        <f>IFERROR(N(IFERROR(INDEX($A761:$AB761,MATCH("Xero Invoiced Ex GST",$A$1:$AB$1,0)),"")),0)</f>
        <v/>
      </c>
      <c r="AE761" s="53">
        <f>IFERROR(INDEX($A761:$AB761,MATCH("Xero Invoice Date",$A$1:$AB$1,0)),"")</f>
        <v/>
      </c>
      <c r="AF761" s="54">
        <f>IF(AND(IFERROR(INDEX($A761:$AB761,MATCH("Xero Invoice No",$A$1:$AB$1,0)),"")&amp;""&lt;&gt;"",ISNUMBER(AE761),AD761&lt;&gt;0),1,0)</f>
        <v/>
      </c>
      <c r="AG761" s="55">
        <f>IF(AF761=1,EOMONTH(AE761,0),"")</f>
        <v/>
      </c>
      <c r="AH761" s="9">
        <f>IF(AF761=1,UPPER(TRIM(IFERROR(INDEX($A761:$AB761,MATCH("Client",$A$1:$AB$1,0)),"")&amp;"")),"")</f>
        <v/>
      </c>
      <c r="AI761" s="9">
        <f>IF(AF761=1,IFERROR(INDEX($A761:$AB761,MATCH("Cost Centre",$A$1:$AB$1,0)),"")&amp;"","")</f>
        <v/>
      </c>
      <c r="AJ761" s="54">
        <f>IF(AND(AF761=1,AE761&gt;=set_FYStart,AE761&lt;=set_AsAt),1,0)</f>
        <v/>
      </c>
      <c r="AK761" s="54">
        <f>IF(AND(AJ761=1,AH761&lt;&gt;"",COUNTIFS($AH$2:AH761,AH761,$AJ$2:AJ761,1)=1),N(AL760)+1,"")</f>
        <v/>
      </c>
      <c r="AL761" s="54">
        <f>IF(AK761&lt;&gt;"",AK761,N(AL760))</f>
        <v/>
      </c>
    </row>
    <row r="762">
      <c r="A762" t="inlineStr">
        <is>
          <t>PRD-0254</t>
        </is>
      </c>
      <c r="B762" t="inlineStr">
        <is>
          <t>Production</t>
        </is>
      </c>
      <c r="AB762" t="n">
        <v>254</v>
      </c>
      <c r="AD762" s="52">
        <f>IFERROR(N(IFERROR(INDEX($A762:$AB762,MATCH("Xero Invoiced Ex GST",$A$1:$AB$1,0)),"")),0)</f>
        <v/>
      </c>
      <c r="AE762" s="53">
        <f>IFERROR(INDEX($A762:$AB762,MATCH("Xero Invoice Date",$A$1:$AB$1,0)),"")</f>
        <v/>
      </c>
      <c r="AF762" s="54">
        <f>IF(AND(IFERROR(INDEX($A762:$AB762,MATCH("Xero Invoice No",$A$1:$AB$1,0)),"")&amp;""&lt;&gt;"",ISNUMBER(AE762),AD762&lt;&gt;0),1,0)</f>
        <v/>
      </c>
      <c r="AG762" s="55">
        <f>IF(AF762=1,EOMONTH(AE762,0),"")</f>
        <v/>
      </c>
      <c r="AH762" s="9">
        <f>IF(AF762=1,UPPER(TRIM(IFERROR(INDEX($A762:$AB762,MATCH("Client",$A$1:$AB$1,0)),"")&amp;"")),"")</f>
        <v/>
      </c>
      <c r="AI762" s="9">
        <f>IF(AF762=1,IFERROR(INDEX($A762:$AB762,MATCH("Cost Centre",$A$1:$AB$1,0)),"")&amp;"","")</f>
        <v/>
      </c>
      <c r="AJ762" s="54">
        <f>IF(AND(AF762=1,AE762&gt;=set_FYStart,AE762&lt;=set_AsAt),1,0)</f>
        <v/>
      </c>
      <c r="AK762" s="54">
        <f>IF(AND(AJ762=1,AH762&lt;&gt;"",COUNTIFS($AH$2:AH762,AH762,$AJ$2:AJ762,1)=1),N(AL761)+1,"")</f>
        <v/>
      </c>
      <c r="AL762" s="54">
        <f>IF(AK762&lt;&gt;"",AK762,N(AL761))</f>
        <v/>
      </c>
    </row>
    <row r="763">
      <c r="A763" t="inlineStr">
        <is>
          <t>CON-0254</t>
        </is>
      </c>
      <c r="B763" t="inlineStr">
        <is>
          <t>Consulting</t>
        </is>
      </c>
      <c r="AB763" t="n">
        <v>254</v>
      </c>
      <c r="AD763" s="52">
        <f>IFERROR(N(IFERROR(INDEX($A763:$AB763,MATCH("Xero Invoiced Ex GST",$A$1:$AB$1,0)),"")),0)</f>
        <v/>
      </c>
      <c r="AE763" s="53">
        <f>IFERROR(INDEX($A763:$AB763,MATCH("Xero Invoice Date",$A$1:$AB$1,0)),"")</f>
        <v/>
      </c>
      <c r="AF763" s="54">
        <f>IF(AND(IFERROR(INDEX($A763:$AB763,MATCH("Xero Invoice No",$A$1:$AB$1,0)),"")&amp;""&lt;&gt;"",ISNUMBER(AE763),AD763&lt;&gt;0),1,0)</f>
        <v/>
      </c>
      <c r="AG763" s="55">
        <f>IF(AF763=1,EOMONTH(AE763,0),"")</f>
        <v/>
      </c>
      <c r="AH763" s="9">
        <f>IF(AF763=1,UPPER(TRIM(IFERROR(INDEX($A763:$AB763,MATCH("Client",$A$1:$AB$1,0)),"")&amp;"")),"")</f>
        <v/>
      </c>
      <c r="AI763" s="9">
        <f>IF(AF763=1,IFERROR(INDEX($A763:$AB763,MATCH("Cost Centre",$A$1:$AB$1,0)),"")&amp;"","")</f>
        <v/>
      </c>
      <c r="AJ763" s="54">
        <f>IF(AND(AF763=1,AE763&gt;=set_FYStart,AE763&lt;=set_AsAt),1,0)</f>
        <v/>
      </c>
      <c r="AK763" s="54">
        <f>IF(AND(AJ763=1,AH763&lt;&gt;"",COUNTIFS($AH$2:AH763,AH763,$AJ$2:AJ763,1)=1),N(AL762)+1,"")</f>
        <v/>
      </c>
      <c r="AL763" s="54">
        <f>IF(AK763&lt;&gt;"",AK763,N(AL762))</f>
        <v/>
      </c>
    </row>
    <row r="764">
      <c r="A764" t="inlineStr">
        <is>
          <t>ONS-0255</t>
        </is>
      </c>
      <c r="B764" t="inlineStr">
        <is>
          <t>Onsite</t>
        </is>
      </c>
      <c r="AB764" t="n">
        <v>255</v>
      </c>
      <c r="AD764" s="52">
        <f>IFERROR(N(IFERROR(INDEX($A764:$AB764,MATCH("Xero Invoiced Ex GST",$A$1:$AB$1,0)),"")),0)</f>
        <v/>
      </c>
      <c r="AE764" s="53">
        <f>IFERROR(INDEX($A764:$AB764,MATCH("Xero Invoice Date",$A$1:$AB$1,0)),"")</f>
        <v/>
      </c>
      <c r="AF764" s="54">
        <f>IF(AND(IFERROR(INDEX($A764:$AB764,MATCH("Xero Invoice No",$A$1:$AB$1,0)),"")&amp;""&lt;&gt;"",ISNUMBER(AE764),AD764&lt;&gt;0),1,0)</f>
        <v/>
      </c>
      <c r="AG764" s="55">
        <f>IF(AF764=1,EOMONTH(AE764,0),"")</f>
        <v/>
      </c>
      <c r="AH764" s="9">
        <f>IF(AF764=1,UPPER(TRIM(IFERROR(INDEX($A764:$AB764,MATCH("Client",$A$1:$AB$1,0)),"")&amp;"")),"")</f>
        <v/>
      </c>
      <c r="AI764" s="9">
        <f>IF(AF764=1,IFERROR(INDEX($A764:$AB764,MATCH("Cost Centre",$A$1:$AB$1,0)),"")&amp;"","")</f>
        <v/>
      </c>
      <c r="AJ764" s="54">
        <f>IF(AND(AF764=1,AE764&gt;=set_FYStart,AE764&lt;=set_AsAt),1,0)</f>
        <v/>
      </c>
      <c r="AK764" s="54">
        <f>IF(AND(AJ764=1,AH764&lt;&gt;"",COUNTIFS($AH$2:AH764,AH764,$AJ$2:AJ764,1)=1),N(AL763)+1,"")</f>
        <v/>
      </c>
      <c r="AL764" s="54">
        <f>IF(AK764&lt;&gt;"",AK764,N(AL763))</f>
        <v/>
      </c>
    </row>
    <row r="765">
      <c r="A765" t="inlineStr">
        <is>
          <t>PRD-0255</t>
        </is>
      </c>
      <c r="B765" t="inlineStr">
        <is>
          <t>Production</t>
        </is>
      </c>
      <c r="AB765" t="n">
        <v>255</v>
      </c>
      <c r="AD765" s="52">
        <f>IFERROR(N(IFERROR(INDEX($A765:$AB765,MATCH("Xero Invoiced Ex GST",$A$1:$AB$1,0)),"")),0)</f>
        <v/>
      </c>
      <c r="AE765" s="53">
        <f>IFERROR(INDEX($A765:$AB765,MATCH("Xero Invoice Date",$A$1:$AB$1,0)),"")</f>
        <v/>
      </c>
      <c r="AF765" s="54">
        <f>IF(AND(IFERROR(INDEX($A765:$AB765,MATCH("Xero Invoice No",$A$1:$AB$1,0)),"")&amp;""&lt;&gt;"",ISNUMBER(AE765),AD765&lt;&gt;0),1,0)</f>
        <v/>
      </c>
      <c r="AG765" s="55">
        <f>IF(AF765=1,EOMONTH(AE765,0),"")</f>
        <v/>
      </c>
      <c r="AH765" s="9">
        <f>IF(AF765=1,UPPER(TRIM(IFERROR(INDEX($A765:$AB765,MATCH("Client",$A$1:$AB$1,0)),"")&amp;"")),"")</f>
        <v/>
      </c>
      <c r="AI765" s="9">
        <f>IF(AF765=1,IFERROR(INDEX($A765:$AB765,MATCH("Cost Centre",$A$1:$AB$1,0)),"")&amp;"","")</f>
        <v/>
      </c>
      <c r="AJ765" s="54">
        <f>IF(AND(AF765=1,AE765&gt;=set_FYStart,AE765&lt;=set_AsAt),1,0)</f>
        <v/>
      </c>
      <c r="AK765" s="54">
        <f>IF(AND(AJ765=1,AH765&lt;&gt;"",COUNTIFS($AH$2:AH765,AH765,$AJ$2:AJ765,1)=1),N(AL764)+1,"")</f>
        <v/>
      </c>
      <c r="AL765" s="54">
        <f>IF(AK765&lt;&gt;"",AK765,N(AL764))</f>
        <v/>
      </c>
    </row>
    <row r="766">
      <c r="A766" t="inlineStr">
        <is>
          <t>CON-0255</t>
        </is>
      </c>
      <c r="B766" t="inlineStr">
        <is>
          <t>Consulting</t>
        </is>
      </c>
      <c r="AB766" t="n">
        <v>255</v>
      </c>
      <c r="AD766" s="52">
        <f>IFERROR(N(IFERROR(INDEX($A766:$AB766,MATCH("Xero Invoiced Ex GST",$A$1:$AB$1,0)),"")),0)</f>
        <v/>
      </c>
      <c r="AE766" s="53">
        <f>IFERROR(INDEX($A766:$AB766,MATCH("Xero Invoice Date",$A$1:$AB$1,0)),"")</f>
        <v/>
      </c>
      <c r="AF766" s="54">
        <f>IF(AND(IFERROR(INDEX($A766:$AB766,MATCH("Xero Invoice No",$A$1:$AB$1,0)),"")&amp;""&lt;&gt;"",ISNUMBER(AE766),AD766&lt;&gt;0),1,0)</f>
        <v/>
      </c>
      <c r="AG766" s="55">
        <f>IF(AF766=1,EOMONTH(AE766,0),"")</f>
        <v/>
      </c>
      <c r="AH766" s="9">
        <f>IF(AF766=1,UPPER(TRIM(IFERROR(INDEX($A766:$AB766,MATCH("Client",$A$1:$AB$1,0)),"")&amp;"")),"")</f>
        <v/>
      </c>
      <c r="AI766" s="9">
        <f>IF(AF766=1,IFERROR(INDEX($A766:$AB766,MATCH("Cost Centre",$A$1:$AB$1,0)),"")&amp;"","")</f>
        <v/>
      </c>
      <c r="AJ766" s="54">
        <f>IF(AND(AF766=1,AE766&gt;=set_FYStart,AE766&lt;=set_AsAt),1,0)</f>
        <v/>
      </c>
      <c r="AK766" s="54">
        <f>IF(AND(AJ766=1,AH766&lt;&gt;"",COUNTIFS($AH$2:AH766,AH766,$AJ$2:AJ766,1)=1),N(AL765)+1,"")</f>
        <v/>
      </c>
      <c r="AL766" s="54">
        <f>IF(AK766&lt;&gt;"",AK766,N(AL765))</f>
        <v/>
      </c>
    </row>
    <row r="767">
      <c r="A767" t="inlineStr">
        <is>
          <t>ONS-0256</t>
        </is>
      </c>
      <c r="B767" t="inlineStr">
        <is>
          <t>Onsite</t>
        </is>
      </c>
      <c r="AB767" t="n">
        <v>256</v>
      </c>
      <c r="AD767" s="52">
        <f>IFERROR(N(IFERROR(INDEX($A767:$AB767,MATCH("Xero Invoiced Ex GST",$A$1:$AB$1,0)),"")),0)</f>
        <v/>
      </c>
      <c r="AE767" s="53">
        <f>IFERROR(INDEX($A767:$AB767,MATCH("Xero Invoice Date",$A$1:$AB$1,0)),"")</f>
        <v/>
      </c>
      <c r="AF767" s="54">
        <f>IF(AND(IFERROR(INDEX($A767:$AB767,MATCH("Xero Invoice No",$A$1:$AB$1,0)),"")&amp;""&lt;&gt;"",ISNUMBER(AE767),AD767&lt;&gt;0),1,0)</f>
        <v/>
      </c>
      <c r="AG767" s="55">
        <f>IF(AF767=1,EOMONTH(AE767,0),"")</f>
        <v/>
      </c>
      <c r="AH767" s="9">
        <f>IF(AF767=1,UPPER(TRIM(IFERROR(INDEX($A767:$AB767,MATCH("Client",$A$1:$AB$1,0)),"")&amp;"")),"")</f>
        <v/>
      </c>
      <c r="AI767" s="9">
        <f>IF(AF767=1,IFERROR(INDEX($A767:$AB767,MATCH("Cost Centre",$A$1:$AB$1,0)),"")&amp;"","")</f>
        <v/>
      </c>
      <c r="AJ767" s="54">
        <f>IF(AND(AF767=1,AE767&gt;=set_FYStart,AE767&lt;=set_AsAt),1,0)</f>
        <v/>
      </c>
      <c r="AK767" s="54">
        <f>IF(AND(AJ767=1,AH767&lt;&gt;"",COUNTIFS($AH$2:AH767,AH767,$AJ$2:AJ767,1)=1),N(AL766)+1,"")</f>
        <v/>
      </c>
      <c r="AL767" s="54">
        <f>IF(AK767&lt;&gt;"",AK767,N(AL766))</f>
        <v/>
      </c>
    </row>
    <row r="768">
      <c r="A768" t="inlineStr">
        <is>
          <t>PRD-0256</t>
        </is>
      </c>
      <c r="B768" t="inlineStr">
        <is>
          <t>Production</t>
        </is>
      </c>
      <c r="AB768" t="n">
        <v>256</v>
      </c>
      <c r="AD768" s="52">
        <f>IFERROR(N(IFERROR(INDEX($A768:$AB768,MATCH("Xero Invoiced Ex GST",$A$1:$AB$1,0)),"")),0)</f>
        <v/>
      </c>
      <c r="AE768" s="53">
        <f>IFERROR(INDEX($A768:$AB768,MATCH("Xero Invoice Date",$A$1:$AB$1,0)),"")</f>
        <v/>
      </c>
      <c r="AF768" s="54">
        <f>IF(AND(IFERROR(INDEX($A768:$AB768,MATCH("Xero Invoice No",$A$1:$AB$1,0)),"")&amp;""&lt;&gt;"",ISNUMBER(AE768),AD768&lt;&gt;0),1,0)</f>
        <v/>
      </c>
      <c r="AG768" s="55">
        <f>IF(AF768=1,EOMONTH(AE768,0),"")</f>
        <v/>
      </c>
      <c r="AH768" s="9">
        <f>IF(AF768=1,UPPER(TRIM(IFERROR(INDEX($A768:$AB768,MATCH("Client",$A$1:$AB$1,0)),"")&amp;"")),"")</f>
        <v/>
      </c>
      <c r="AI768" s="9">
        <f>IF(AF768=1,IFERROR(INDEX($A768:$AB768,MATCH("Cost Centre",$A$1:$AB$1,0)),"")&amp;"","")</f>
        <v/>
      </c>
      <c r="AJ768" s="54">
        <f>IF(AND(AF768=1,AE768&gt;=set_FYStart,AE768&lt;=set_AsAt),1,0)</f>
        <v/>
      </c>
      <c r="AK768" s="54">
        <f>IF(AND(AJ768=1,AH768&lt;&gt;"",COUNTIFS($AH$2:AH768,AH768,$AJ$2:AJ768,1)=1),N(AL767)+1,"")</f>
        <v/>
      </c>
      <c r="AL768" s="54">
        <f>IF(AK768&lt;&gt;"",AK768,N(AL767))</f>
        <v/>
      </c>
    </row>
    <row r="769">
      <c r="A769" t="inlineStr">
        <is>
          <t>CON-0256</t>
        </is>
      </c>
      <c r="B769" t="inlineStr">
        <is>
          <t>Consulting</t>
        </is>
      </c>
      <c r="AB769" t="n">
        <v>256</v>
      </c>
      <c r="AD769" s="52">
        <f>IFERROR(N(IFERROR(INDEX($A769:$AB769,MATCH("Xero Invoiced Ex GST",$A$1:$AB$1,0)),"")),0)</f>
        <v/>
      </c>
      <c r="AE769" s="53">
        <f>IFERROR(INDEX($A769:$AB769,MATCH("Xero Invoice Date",$A$1:$AB$1,0)),"")</f>
        <v/>
      </c>
      <c r="AF769" s="54">
        <f>IF(AND(IFERROR(INDEX($A769:$AB769,MATCH("Xero Invoice No",$A$1:$AB$1,0)),"")&amp;""&lt;&gt;"",ISNUMBER(AE769),AD769&lt;&gt;0),1,0)</f>
        <v/>
      </c>
      <c r="AG769" s="55">
        <f>IF(AF769=1,EOMONTH(AE769,0),"")</f>
        <v/>
      </c>
      <c r="AH769" s="9">
        <f>IF(AF769=1,UPPER(TRIM(IFERROR(INDEX($A769:$AB769,MATCH("Client",$A$1:$AB$1,0)),"")&amp;"")),"")</f>
        <v/>
      </c>
      <c r="AI769" s="9">
        <f>IF(AF769=1,IFERROR(INDEX($A769:$AB769,MATCH("Cost Centre",$A$1:$AB$1,0)),"")&amp;"","")</f>
        <v/>
      </c>
      <c r="AJ769" s="54">
        <f>IF(AND(AF769=1,AE769&gt;=set_FYStart,AE769&lt;=set_AsAt),1,0)</f>
        <v/>
      </c>
      <c r="AK769" s="54">
        <f>IF(AND(AJ769=1,AH769&lt;&gt;"",COUNTIFS($AH$2:AH769,AH769,$AJ$2:AJ769,1)=1),N(AL768)+1,"")</f>
        <v/>
      </c>
      <c r="AL769" s="54">
        <f>IF(AK769&lt;&gt;"",AK769,N(AL768))</f>
        <v/>
      </c>
    </row>
    <row r="770">
      <c r="A770" t="inlineStr">
        <is>
          <t>ONS-0257</t>
        </is>
      </c>
      <c r="B770" t="inlineStr">
        <is>
          <t>Onsite</t>
        </is>
      </c>
      <c r="AB770" t="n">
        <v>257</v>
      </c>
      <c r="AD770" s="52">
        <f>IFERROR(N(IFERROR(INDEX($A770:$AB770,MATCH("Xero Invoiced Ex GST",$A$1:$AB$1,0)),"")),0)</f>
        <v/>
      </c>
      <c r="AE770" s="53">
        <f>IFERROR(INDEX($A770:$AB770,MATCH("Xero Invoice Date",$A$1:$AB$1,0)),"")</f>
        <v/>
      </c>
      <c r="AF770" s="54">
        <f>IF(AND(IFERROR(INDEX($A770:$AB770,MATCH("Xero Invoice No",$A$1:$AB$1,0)),"")&amp;""&lt;&gt;"",ISNUMBER(AE770),AD770&lt;&gt;0),1,0)</f>
        <v/>
      </c>
      <c r="AG770" s="55">
        <f>IF(AF770=1,EOMONTH(AE770,0),"")</f>
        <v/>
      </c>
      <c r="AH770" s="9">
        <f>IF(AF770=1,UPPER(TRIM(IFERROR(INDEX($A770:$AB770,MATCH("Client",$A$1:$AB$1,0)),"")&amp;"")),"")</f>
        <v/>
      </c>
      <c r="AI770" s="9">
        <f>IF(AF770=1,IFERROR(INDEX($A770:$AB770,MATCH("Cost Centre",$A$1:$AB$1,0)),"")&amp;"","")</f>
        <v/>
      </c>
      <c r="AJ770" s="54">
        <f>IF(AND(AF770=1,AE770&gt;=set_FYStart,AE770&lt;=set_AsAt),1,0)</f>
        <v/>
      </c>
      <c r="AK770" s="54">
        <f>IF(AND(AJ770=1,AH770&lt;&gt;"",COUNTIFS($AH$2:AH770,AH770,$AJ$2:AJ770,1)=1),N(AL769)+1,"")</f>
        <v/>
      </c>
      <c r="AL770" s="54">
        <f>IF(AK770&lt;&gt;"",AK770,N(AL769))</f>
        <v/>
      </c>
    </row>
    <row r="771">
      <c r="A771" t="inlineStr">
        <is>
          <t>PRD-0257</t>
        </is>
      </c>
      <c r="B771" t="inlineStr">
        <is>
          <t>Production</t>
        </is>
      </c>
      <c r="AB771" t="n">
        <v>257</v>
      </c>
      <c r="AD771" s="52">
        <f>IFERROR(N(IFERROR(INDEX($A771:$AB771,MATCH("Xero Invoiced Ex GST",$A$1:$AB$1,0)),"")),0)</f>
        <v/>
      </c>
      <c r="AE771" s="53">
        <f>IFERROR(INDEX($A771:$AB771,MATCH("Xero Invoice Date",$A$1:$AB$1,0)),"")</f>
        <v/>
      </c>
      <c r="AF771" s="54">
        <f>IF(AND(IFERROR(INDEX($A771:$AB771,MATCH("Xero Invoice No",$A$1:$AB$1,0)),"")&amp;""&lt;&gt;"",ISNUMBER(AE771),AD771&lt;&gt;0),1,0)</f>
        <v/>
      </c>
      <c r="AG771" s="55">
        <f>IF(AF771=1,EOMONTH(AE771,0),"")</f>
        <v/>
      </c>
      <c r="AH771" s="9">
        <f>IF(AF771=1,UPPER(TRIM(IFERROR(INDEX($A771:$AB771,MATCH("Client",$A$1:$AB$1,0)),"")&amp;"")),"")</f>
        <v/>
      </c>
      <c r="AI771" s="9">
        <f>IF(AF771=1,IFERROR(INDEX($A771:$AB771,MATCH("Cost Centre",$A$1:$AB$1,0)),"")&amp;"","")</f>
        <v/>
      </c>
      <c r="AJ771" s="54">
        <f>IF(AND(AF771=1,AE771&gt;=set_FYStart,AE771&lt;=set_AsAt),1,0)</f>
        <v/>
      </c>
      <c r="AK771" s="54">
        <f>IF(AND(AJ771=1,AH771&lt;&gt;"",COUNTIFS($AH$2:AH771,AH771,$AJ$2:AJ771,1)=1),N(AL770)+1,"")</f>
        <v/>
      </c>
      <c r="AL771" s="54">
        <f>IF(AK771&lt;&gt;"",AK771,N(AL770))</f>
        <v/>
      </c>
    </row>
    <row r="772">
      <c r="A772" t="inlineStr">
        <is>
          <t>CON-0257</t>
        </is>
      </c>
      <c r="B772" t="inlineStr">
        <is>
          <t>Consulting</t>
        </is>
      </c>
      <c r="AB772" t="n">
        <v>257</v>
      </c>
      <c r="AD772" s="52">
        <f>IFERROR(N(IFERROR(INDEX($A772:$AB772,MATCH("Xero Invoiced Ex GST",$A$1:$AB$1,0)),"")),0)</f>
        <v/>
      </c>
      <c r="AE772" s="53">
        <f>IFERROR(INDEX($A772:$AB772,MATCH("Xero Invoice Date",$A$1:$AB$1,0)),"")</f>
        <v/>
      </c>
      <c r="AF772" s="54">
        <f>IF(AND(IFERROR(INDEX($A772:$AB772,MATCH("Xero Invoice No",$A$1:$AB$1,0)),"")&amp;""&lt;&gt;"",ISNUMBER(AE772),AD772&lt;&gt;0),1,0)</f>
        <v/>
      </c>
      <c r="AG772" s="55">
        <f>IF(AF772=1,EOMONTH(AE772,0),"")</f>
        <v/>
      </c>
      <c r="AH772" s="9">
        <f>IF(AF772=1,UPPER(TRIM(IFERROR(INDEX($A772:$AB772,MATCH("Client",$A$1:$AB$1,0)),"")&amp;"")),"")</f>
        <v/>
      </c>
      <c r="AI772" s="9">
        <f>IF(AF772=1,IFERROR(INDEX($A772:$AB772,MATCH("Cost Centre",$A$1:$AB$1,0)),"")&amp;"","")</f>
        <v/>
      </c>
      <c r="AJ772" s="54">
        <f>IF(AND(AF772=1,AE772&gt;=set_FYStart,AE772&lt;=set_AsAt),1,0)</f>
        <v/>
      </c>
      <c r="AK772" s="54">
        <f>IF(AND(AJ772=1,AH772&lt;&gt;"",COUNTIFS($AH$2:AH772,AH772,$AJ$2:AJ772,1)=1),N(AL771)+1,"")</f>
        <v/>
      </c>
      <c r="AL772" s="54">
        <f>IF(AK772&lt;&gt;"",AK772,N(AL771))</f>
        <v/>
      </c>
    </row>
    <row r="773">
      <c r="A773" t="inlineStr">
        <is>
          <t>ONS-0258</t>
        </is>
      </c>
      <c r="B773" t="inlineStr">
        <is>
          <t>Onsite</t>
        </is>
      </c>
      <c r="AB773" t="n">
        <v>258</v>
      </c>
      <c r="AD773" s="52">
        <f>IFERROR(N(IFERROR(INDEX($A773:$AB773,MATCH("Xero Invoiced Ex GST",$A$1:$AB$1,0)),"")),0)</f>
        <v/>
      </c>
      <c r="AE773" s="53">
        <f>IFERROR(INDEX($A773:$AB773,MATCH("Xero Invoice Date",$A$1:$AB$1,0)),"")</f>
        <v/>
      </c>
      <c r="AF773" s="54">
        <f>IF(AND(IFERROR(INDEX($A773:$AB773,MATCH("Xero Invoice No",$A$1:$AB$1,0)),"")&amp;""&lt;&gt;"",ISNUMBER(AE773),AD773&lt;&gt;0),1,0)</f>
        <v/>
      </c>
      <c r="AG773" s="55">
        <f>IF(AF773=1,EOMONTH(AE773,0),"")</f>
        <v/>
      </c>
      <c r="AH773" s="9">
        <f>IF(AF773=1,UPPER(TRIM(IFERROR(INDEX($A773:$AB773,MATCH("Client",$A$1:$AB$1,0)),"")&amp;"")),"")</f>
        <v/>
      </c>
      <c r="AI773" s="9">
        <f>IF(AF773=1,IFERROR(INDEX($A773:$AB773,MATCH("Cost Centre",$A$1:$AB$1,0)),"")&amp;"","")</f>
        <v/>
      </c>
      <c r="AJ773" s="54">
        <f>IF(AND(AF773=1,AE773&gt;=set_FYStart,AE773&lt;=set_AsAt),1,0)</f>
        <v/>
      </c>
      <c r="AK773" s="54">
        <f>IF(AND(AJ773=1,AH773&lt;&gt;"",COUNTIFS($AH$2:AH773,AH773,$AJ$2:AJ773,1)=1),N(AL772)+1,"")</f>
        <v/>
      </c>
      <c r="AL773" s="54">
        <f>IF(AK773&lt;&gt;"",AK773,N(AL772))</f>
        <v/>
      </c>
    </row>
    <row r="774">
      <c r="A774" t="inlineStr">
        <is>
          <t>PRD-0258</t>
        </is>
      </c>
      <c r="B774" t="inlineStr">
        <is>
          <t>Production</t>
        </is>
      </c>
      <c r="AB774" t="n">
        <v>258</v>
      </c>
      <c r="AD774" s="52">
        <f>IFERROR(N(IFERROR(INDEX($A774:$AB774,MATCH("Xero Invoiced Ex GST",$A$1:$AB$1,0)),"")),0)</f>
        <v/>
      </c>
      <c r="AE774" s="53">
        <f>IFERROR(INDEX($A774:$AB774,MATCH("Xero Invoice Date",$A$1:$AB$1,0)),"")</f>
        <v/>
      </c>
      <c r="AF774" s="54">
        <f>IF(AND(IFERROR(INDEX($A774:$AB774,MATCH("Xero Invoice No",$A$1:$AB$1,0)),"")&amp;""&lt;&gt;"",ISNUMBER(AE774),AD774&lt;&gt;0),1,0)</f>
        <v/>
      </c>
      <c r="AG774" s="55">
        <f>IF(AF774=1,EOMONTH(AE774,0),"")</f>
        <v/>
      </c>
      <c r="AH774" s="9">
        <f>IF(AF774=1,UPPER(TRIM(IFERROR(INDEX($A774:$AB774,MATCH("Client",$A$1:$AB$1,0)),"")&amp;"")),"")</f>
        <v/>
      </c>
      <c r="AI774" s="9">
        <f>IF(AF774=1,IFERROR(INDEX($A774:$AB774,MATCH("Cost Centre",$A$1:$AB$1,0)),"")&amp;"","")</f>
        <v/>
      </c>
      <c r="AJ774" s="54">
        <f>IF(AND(AF774=1,AE774&gt;=set_FYStart,AE774&lt;=set_AsAt),1,0)</f>
        <v/>
      </c>
      <c r="AK774" s="54">
        <f>IF(AND(AJ774=1,AH774&lt;&gt;"",COUNTIFS($AH$2:AH774,AH774,$AJ$2:AJ774,1)=1),N(AL773)+1,"")</f>
        <v/>
      </c>
      <c r="AL774" s="54">
        <f>IF(AK774&lt;&gt;"",AK774,N(AL773))</f>
        <v/>
      </c>
    </row>
    <row r="775">
      <c r="A775" t="inlineStr">
        <is>
          <t>CON-0258</t>
        </is>
      </c>
      <c r="B775" t="inlineStr">
        <is>
          <t>Consulting</t>
        </is>
      </c>
      <c r="AB775" t="n">
        <v>258</v>
      </c>
      <c r="AD775" s="52">
        <f>IFERROR(N(IFERROR(INDEX($A775:$AB775,MATCH("Xero Invoiced Ex GST",$A$1:$AB$1,0)),"")),0)</f>
        <v/>
      </c>
      <c r="AE775" s="53">
        <f>IFERROR(INDEX($A775:$AB775,MATCH("Xero Invoice Date",$A$1:$AB$1,0)),"")</f>
        <v/>
      </c>
      <c r="AF775" s="54">
        <f>IF(AND(IFERROR(INDEX($A775:$AB775,MATCH("Xero Invoice No",$A$1:$AB$1,0)),"")&amp;""&lt;&gt;"",ISNUMBER(AE775),AD775&lt;&gt;0),1,0)</f>
        <v/>
      </c>
      <c r="AG775" s="55">
        <f>IF(AF775=1,EOMONTH(AE775,0),"")</f>
        <v/>
      </c>
      <c r="AH775" s="9">
        <f>IF(AF775=1,UPPER(TRIM(IFERROR(INDEX($A775:$AB775,MATCH("Client",$A$1:$AB$1,0)),"")&amp;"")),"")</f>
        <v/>
      </c>
      <c r="AI775" s="9">
        <f>IF(AF775=1,IFERROR(INDEX($A775:$AB775,MATCH("Cost Centre",$A$1:$AB$1,0)),"")&amp;"","")</f>
        <v/>
      </c>
      <c r="AJ775" s="54">
        <f>IF(AND(AF775=1,AE775&gt;=set_FYStart,AE775&lt;=set_AsAt),1,0)</f>
        <v/>
      </c>
      <c r="AK775" s="54">
        <f>IF(AND(AJ775=1,AH775&lt;&gt;"",COUNTIFS($AH$2:AH775,AH775,$AJ$2:AJ775,1)=1),N(AL774)+1,"")</f>
        <v/>
      </c>
      <c r="AL775" s="54">
        <f>IF(AK775&lt;&gt;"",AK775,N(AL774))</f>
        <v/>
      </c>
    </row>
    <row r="776">
      <c r="A776" t="inlineStr">
        <is>
          <t>ONS-0259</t>
        </is>
      </c>
      <c r="B776" t="inlineStr">
        <is>
          <t>Onsite</t>
        </is>
      </c>
      <c r="AB776" t="n">
        <v>259</v>
      </c>
      <c r="AD776" s="52">
        <f>IFERROR(N(IFERROR(INDEX($A776:$AB776,MATCH("Xero Invoiced Ex GST",$A$1:$AB$1,0)),"")),0)</f>
        <v/>
      </c>
      <c r="AE776" s="53">
        <f>IFERROR(INDEX($A776:$AB776,MATCH("Xero Invoice Date",$A$1:$AB$1,0)),"")</f>
        <v/>
      </c>
      <c r="AF776" s="54">
        <f>IF(AND(IFERROR(INDEX($A776:$AB776,MATCH("Xero Invoice No",$A$1:$AB$1,0)),"")&amp;""&lt;&gt;"",ISNUMBER(AE776),AD776&lt;&gt;0),1,0)</f>
        <v/>
      </c>
      <c r="AG776" s="55">
        <f>IF(AF776=1,EOMONTH(AE776,0),"")</f>
        <v/>
      </c>
      <c r="AH776" s="9">
        <f>IF(AF776=1,UPPER(TRIM(IFERROR(INDEX($A776:$AB776,MATCH("Client",$A$1:$AB$1,0)),"")&amp;"")),"")</f>
        <v/>
      </c>
      <c r="AI776" s="9">
        <f>IF(AF776=1,IFERROR(INDEX($A776:$AB776,MATCH("Cost Centre",$A$1:$AB$1,0)),"")&amp;"","")</f>
        <v/>
      </c>
      <c r="AJ776" s="54">
        <f>IF(AND(AF776=1,AE776&gt;=set_FYStart,AE776&lt;=set_AsAt),1,0)</f>
        <v/>
      </c>
      <c r="AK776" s="54">
        <f>IF(AND(AJ776=1,AH776&lt;&gt;"",COUNTIFS($AH$2:AH776,AH776,$AJ$2:AJ776,1)=1),N(AL775)+1,"")</f>
        <v/>
      </c>
      <c r="AL776" s="54">
        <f>IF(AK776&lt;&gt;"",AK776,N(AL775))</f>
        <v/>
      </c>
    </row>
    <row r="777">
      <c r="A777" t="inlineStr">
        <is>
          <t>PRD-0259</t>
        </is>
      </c>
      <c r="B777" t="inlineStr">
        <is>
          <t>Production</t>
        </is>
      </c>
      <c r="AB777" t="n">
        <v>259</v>
      </c>
      <c r="AD777" s="52">
        <f>IFERROR(N(IFERROR(INDEX($A777:$AB777,MATCH("Xero Invoiced Ex GST",$A$1:$AB$1,0)),"")),0)</f>
        <v/>
      </c>
      <c r="AE777" s="53">
        <f>IFERROR(INDEX($A777:$AB777,MATCH("Xero Invoice Date",$A$1:$AB$1,0)),"")</f>
        <v/>
      </c>
      <c r="AF777" s="54">
        <f>IF(AND(IFERROR(INDEX($A777:$AB777,MATCH("Xero Invoice No",$A$1:$AB$1,0)),"")&amp;""&lt;&gt;"",ISNUMBER(AE777),AD777&lt;&gt;0),1,0)</f>
        <v/>
      </c>
      <c r="AG777" s="55">
        <f>IF(AF777=1,EOMONTH(AE777,0),"")</f>
        <v/>
      </c>
      <c r="AH777" s="9">
        <f>IF(AF777=1,UPPER(TRIM(IFERROR(INDEX($A777:$AB777,MATCH("Client",$A$1:$AB$1,0)),"")&amp;"")),"")</f>
        <v/>
      </c>
      <c r="AI777" s="9">
        <f>IF(AF777=1,IFERROR(INDEX($A777:$AB777,MATCH("Cost Centre",$A$1:$AB$1,0)),"")&amp;"","")</f>
        <v/>
      </c>
      <c r="AJ777" s="54">
        <f>IF(AND(AF777=1,AE777&gt;=set_FYStart,AE777&lt;=set_AsAt),1,0)</f>
        <v/>
      </c>
      <c r="AK777" s="54">
        <f>IF(AND(AJ777=1,AH777&lt;&gt;"",COUNTIFS($AH$2:AH777,AH777,$AJ$2:AJ777,1)=1),N(AL776)+1,"")</f>
        <v/>
      </c>
      <c r="AL777" s="54">
        <f>IF(AK777&lt;&gt;"",AK777,N(AL776))</f>
        <v/>
      </c>
    </row>
    <row r="778">
      <c r="A778" t="inlineStr">
        <is>
          <t>CON-0259</t>
        </is>
      </c>
      <c r="B778" t="inlineStr">
        <is>
          <t>Consulting</t>
        </is>
      </c>
      <c r="AB778" t="n">
        <v>259</v>
      </c>
      <c r="AD778" s="52">
        <f>IFERROR(N(IFERROR(INDEX($A778:$AB778,MATCH("Xero Invoiced Ex GST",$A$1:$AB$1,0)),"")),0)</f>
        <v/>
      </c>
      <c r="AE778" s="53">
        <f>IFERROR(INDEX($A778:$AB778,MATCH("Xero Invoice Date",$A$1:$AB$1,0)),"")</f>
        <v/>
      </c>
      <c r="AF778" s="54">
        <f>IF(AND(IFERROR(INDEX($A778:$AB778,MATCH("Xero Invoice No",$A$1:$AB$1,0)),"")&amp;""&lt;&gt;"",ISNUMBER(AE778),AD778&lt;&gt;0),1,0)</f>
        <v/>
      </c>
      <c r="AG778" s="55">
        <f>IF(AF778=1,EOMONTH(AE778,0),"")</f>
        <v/>
      </c>
      <c r="AH778" s="9">
        <f>IF(AF778=1,UPPER(TRIM(IFERROR(INDEX($A778:$AB778,MATCH("Client",$A$1:$AB$1,0)),"")&amp;"")),"")</f>
        <v/>
      </c>
      <c r="AI778" s="9">
        <f>IF(AF778=1,IFERROR(INDEX($A778:$AB778,MATCH("Cost Centre",$A$1:$AB$1,0)),"")&amp;"","")</f>
        <v/>
      </c>
      <c r="AJ778" s="54">
        <f>IF(AND(AF778=1,AE778&gt;=set_FYStart,AE778&lt;=set_AsAt),1,0)</f>
        <v/>
      </c>
      <c r="AK778" s="54">
        <f>IF(AND(AJ778=1,AH778&lt;&gt;"",COUNTIFS($AH$2:AH778,AH778,$AJ$2:AJ778,1)=1),N(AL777)+1,"")</f>
        <v/>
      </c>
      <c r="AL778" s="54">
        <f>IF(AK778&lt;&gt;"",AK778,N(AL777))</f>
        <v/>
      </c>
    </row>
    <row r="779">
      <c r="A779" t="inlineStr">
        <is>
          <t>ONS-0260</t>
        </is>
      </c>
      <c r="B779" t="inlineStr">
        <is>
          <t>Onsite</t>
        </is>
      </c>
      <c r="AB779" t="n">
        <v>260</v>
      </c>
      <c r="AD779" s="52">
        <f>IFERROR(N(IFERROR(INDEX($A779:$AB779,MATCH("Xero Invoiced Ex GST",$A$1:$AB$1,0)),"")),0)</f>
        <v/>
      </c>
      <c r="AE779" s="53">
        <f>IFERROR(INDEX($A779:$AB779,MATCH("Xero Invoice Date",$A$1:$AB$1,0)),"")</f>
        <v/>
      </c>
      <c r="AF779" s="54">
        <f>IF(AND(IFERROR(INDEX($A779:$AB779,MATCH("Xero Invoice No",$A$1:$AB$1,0)),"")&amp;""&lt;&gt;"",ISNUMBER(AE779),AD779&lt;&gt;0),1,0)</f>
        <v/>
      </c>
      <c r="AG779" s="55">
        <f>IF(AF779=1,EOMONTH(AE779,0),"")</f>
        <v/>
      </c>
      <c r="AH779" s="9">
        <f>IF(AF779=1,UPPER(TRIM(IFERROR(INDEX($A779:$AB779,MATCH("Client",$A$1:$AB$1,0)),"")&amp;"")),"")</f>
        <v/>
      </c>
      <c r="AI779" s="9">
        <f>IF(AF779=1,IFERROR(INDEX($A779:$AB779,MATCH("Cost Centre",$A$1:$AB$1,0)),"")&amp;"","")</f>
        <v/>
      </c>
      <c r="AJ779" s="54">
        <f>IF(AND(AF779=1,AE779&gt;=set_FYStart,AE779&lt;=set_AsAt),1,0)</f>
        <v/>
      </c>
      <c r="AK779" s="54">
        <f>IF(AND(AJ779=1,AH779&lt;&gt;"",COUNTIFS($AH$2:AH779,AH779,$AJ$2:AJ779,1)=1),N(AL778)+1,"")</f>
        <v/>
      </c>
      <c r="AL779" s="54">
        <f>IF(AK779&lt;&gt;"",AK779,N(AL778))</f>
        <v/>
      </c>
    </row>
    <row r="780">
      <c r="A780" t="inlineStr">
        <is>
          <t>PRD-0260</t>
        </is>
      </c>
      <c r="B780" t="inlineStr">
        <is>
          <t>Production</t>
        </is>
      </c>
      <c r="AB780" t="n">
        <v>260</v>
      </c>
      <c r="AD780" s="52">
        <f>IFERROR(N(IFERROR(INDEX($A780:$AB780,MATCH("Xero Invoiced Ex GST",$A$1:$AB$1,0)),"")),0)</f>
        <v/>
      </c>
      <c r="AE780" s="53">
        <f>IFERROR(INDEX($A780:$AB780,MATCH("Xero Invoice Date",$A$1:$AB$1,0)),"")</f>
        <v/>
      </c>
      <c r="AF780" s="54">
        <f>IF(AND(IFERROR(INDEX($A780:$AB780,MATCH("Xero Invoice No",$A$1:$AB$1,0)),"")&amp;""&lt;&gt;"",ISNUMBER(AE780),AD780&lt;&gt;0),1,0)</f>
        <v/>
      </c>
      <c r="AG780" s="55">
        <f>IF(AF780=1,EOMONTH(AE780,0),"")</f>
        <v/>
      </c>
      <c r="AH780" s="9">
        <f>IF(AF780=1,UPPER(TRIM(IFERROR(INDEX($A780:$AB780,MATCH("Client",$A$1:$AB$1,0)),"")&amp;"")),"")</f>
        <v/>
      </c>
      <c r="AI780" s="9">
        <f>IF(AF780=1,IFERROR(INDEX($A780:$AB780,MATCH("Cost Centre",$A$1:$AB$1,0)),"")&amp;"","")</f>
        <v/>
      </c>
      <c r="AJ780" s="54">
        <f>IF(AND(AF780=1,AE780&gt;=set_FYStart,AE780&lt;=set_AsAt),1,0)</f>
        <v/>
      </c>
      <c r="AK780" s="54">
        <f>IF(AND(AJ780=1,AH780&lt;&gt;"",COUNTIFS($AH$2:AH780,AH780,$AJ$2:AJ780,1)=1),N(AL779)+1,"")</f>
        <v/>
      </c>
      <c r="AL780" s="54">
        <f>IF(AK780&lt;&gt;"",AK780,N(AL779))</f>
        <v/>
      </c>
    </row>
    <row r="781">
      <c r="A781" t="inlineStr">
        <is>
          <t>CON-0260</t>
        </is>
      </c>
      <c r="B781" t="inlineStr">
        <is>
          <t>Consulting</t>
        </is>
      </c>
      <c r="AB781" t="n">
        <v>260</v>
      </c>
      <c r="AD781" s="52">
        <f>IFERROR(N(IFERROR(INDEX($A781:$AB781,MATCH("Xero Invoiced Ex GST",$A$1:$AB$1,0)),"")),0)</f>
        <v/>
      </c>
      <c r="AE781" s="53">
        <f>IFERROR(INDEX($A781:$AB781,MATCH("Xero Invoice Date",$A$1:$AB$1,0)),"")</f>
        <v/>
      </c>
      <c r="AF781" s="54">
        <f>IF(AND(IFERROR(INDEX($A781:$AB781,MATCH("Xero Invoice No",$A$1:$AB$1,0)),"")&amp;""&lt;&gt;"",ISNUMBER(AE781),AD781&lt;&gt;0),1,0)</f>
        <v/>
      </c>
      <c r="AG781" s="55">
        <f>IF(AF781=1,EOMONTH(AE781,0),"")</f>
        <v/>
      </c>
      <c r="AH781" s="9">
        <f>IF(AF781=1,UPPER(TRIM(IFERROR(INDEX($A781:$AB781,MATCH("Client",$A$1:$AB$1,0)),"")&amp;"")),"")</f>
        <v/>
      </c>
      <c r="AI781" s="9">
        <f>IF(AF781=1,IFERROR(INDEX($A781:$AB781,MATCH("Cost Centre",$A$1:$AB$1,0)),"")&amp;"","")</f>
        <v/>
      </c>
      <c r="AJ781" s="54">
        <f>IF(AND(AF781=1,AE781&gt;=set_FYStart,AE781&lt;=set_AsAt),1,0)</f>
        <v/>
      </c>
      <c r="AK781" s="54">
        <f>IF(AND(AJ781=1,AH781&lt;&gt;"",COUNTIFS($AH$2:AH781,AH781,$AJ$2:AJ781,1)=1),N(AL780)+1,"")</f>
        <v/>
      </c>
      <c r="AL781" s="54">
        <f>IF(AK781&lt;&gt;"",AK781,N(AL780))</f>
        <v/>
      </c>
    </row>
    <row r="782">
      <c r="A782" t="inlineStr">
        <is>
          <t>ONS-0261</t>
        </is>
      </c>
      <c r="B782" t="inlineStr">
        <is>
          <t>Onsite</t>
        </is>
      </c>
      <c r="AB782" t="n">
        <v>261</v>
      </c>
      <c r="AD782" s="52">
        <f>IFERROR(N(IFERROR(INDEX($A782:$AB782,MATCH("Xero Invoiced Ex GST",$A$1:$AB$1,0)),"")),0)</f>
        <v/>
      </c>
      <c r="AE782" s="53">
        <f>IFERROR(INDEX($A782:$AB782,MATCH("Xero Invoice Date",$A$1:$AB$1,0)),"")</f>
        <v/>
      </c>
      <c r="AF782" s="54">
        <f>IF(AND(IFERROR(INDEX($A782:$AB782,MATCH("Xero Invoice No",$A$1:$AB$1,0)),"")&amp;""&lt;&gt;"",ISNUMBER(AE782),AD782&lt;&gt;0),1,0)</f>
        <v/>
      </c>
      <c r="AG782" s="55">
        <f>IF(AF782=1,EOMONTH(AE782,0),"")</f>
        <v/>
      </c>
      <c r="AH782" s="9">
        <f>IF(AF782=1,UPPER(TRIM(IFERROR(INDEX($A782:$AB782,MATCH("Client",$A$1:$AB$1,0)),"")&amp;"")),"")</f>
        <v/>
      </c>
      <c r="AI782" s="9">
        <f>IF(AF782=1,IFERROR(INDEX($A782:$AB782,MATCH("Cost Centre",$A$1:$AB$1,0)),"")&amp;"","")</f>
        <v/>
      </c>
      <c r="AJ782" s="54">
        <f>IF(AND(AF782=1,AE782&gt;=set_FYStart,AE782&lt;=set_AsAt),1,0)</f>
        <v/>
      </c>
      <c r="AK782" s="54">
        <f>IF(AND(AJ782=1,AH782&lt;&gt;"",COUNTIFS($AH$2:AH782,AH782,$AJ$2:AJ782,1)=1),N(AL781)+1,"")</f>
        <v/>
      </c>
      <c r="AL782" s="54">
        <f>IF(AK782&lt;&gt;"",AK782,N(AL781))</f>
        <v/>
      </c>
    </row>
    <row r="783">
      <c r="A783" t="inlineStr">
        <is>
          <t>PRD-0261</t>
        </is>
      </c>
      <c r="B783" t="inlineStr">
        <is>
          <t>Production</t>
        </is>
      </c>
      <c r="AB783" t="n">
        <v>261</v>
      </c>
      <c r="AD783" s="52">
        <f>IFERROR(N(IFERROR(INDEX($A783:$AB783,MATCH("Xero Invoiced Ex GST",$A$1:$AB$1,0)),"")),0)</f>
        <v/>
      </c>
      <c r="AE783" s="53">
        <f>IFERROR(INDEX($A783:$AB783,MATCH("Xero Invoice Date",$A$1:$AB$1,0)),"")</f>
        <v/>
      </c>
      <c r="AF783" s="54">
        <f>IF(AND(IFERROR(INDEX($A783:$AB783,MATCH("Xero Invoice No",$A$1:$AB$1,0)),"")&amp;""&lt;&gt;"",ISNUMBER(AE783),AD783&lt;&gt;0),1,0)</f>
        <v/>
      </c>
      <c r="AG783" s="55">
        <f>IF(AF783=1,EOMONTH(AE783,0),"")</f>
        <v/>
      </c>
      <c r="AH783" s="9">
        <f>IF(AF783=1,UPPER(TRIM(IFERROR(INDEX($A783:$AB783,MATCH("Client",$A$1:$AB$1,0)),"")&amp;"")),"")</f>
        <v/>
      </c>
      <c r="AI783" s="9">
        <f>IF(AF783=1,IFERROR(INDEX($A783:$AB783,MATCH("Cost Centre",$A$1:$AB$1,0)),"")&amp;"","")</f>
        <v/>
      </c>
      <c r="AJ783" s="54">
        <f>IF(AND(AF783=1,AE783&gt;=set_FYStart,AE783&lt;=set_AsAt),1,0)</f>
        <v/>
      </c>
      <c r="AK783" s="54">
        <f>IF(AND(AJ783=1,AH783&lt;&gt;"",COUNTIFS($AH$2:AH783,AH783,$AJ$2:AJ783,1)=1),N(AL782)+1,"")</f>
        <v/>
      </c>
      <c r="AL783" s="54">
        <f>IF(AK783&lt;&gt;"",AK783,N(AL782))</f>
        <v/>
      </c>
    </row>
    <row r="784">
      <c r="A784" t="inlineStr">
        <is>
          <t>CON-0261</t>
        </is>
      </c>
      <c r="B784" t="inlineStr">
        <is>
          <t>Consulting</t>
        </is>
      </c>
      <c r="AB784" t="n">
        <v>261</v>
      </c>
      <c r="AD784" s="52">
        <f>IFERROR(N(IFERROR(INDEX($A784:$AB784,MATCH("Xero Invoiced Ex GST",$A$1:$AB$1,0)),"")),0)</f>
        <v/>
      </c>
      <c r="AE784" s="53">
        <f>IFERROR(INDEX($A784:$AB784,MATCH("Xero Invoice Date",$A$1:$AB$1,0)),"")</f>
        <v/>
      </c>
      <c r="AF784" s="54">
        <f>IF(AND(IFERROR(INDEX($A784:$AB784,MATCH("Xero Invoice No",$A$1:$AB$1,0)),"")&amp;""&lt;&gt;"",ISNUMBER(AE784),AD784&lt;&gt;0),1,0)</f>
        <v/>
      </c>
      <c r="AG784" s="55">
        <f>IF(AF784=1,EOMONTH(AE784,0),"")</f>
        <v/>
      </c>
      <c r="AH784" s="9">
        <f>IF(AF784=1,UPPER(TRIM(IFERROR(INDEX($A784:$AB784,MATCH("Client",$A$1:$AB$1,0)),"")&amp;"")),"")</f>
        <v/>
      </c>
      <c r="AI784" s="9">
        <f>IF(AF784=1,IFERROR(INDEX($A784:$AB784,MATCH("Cost Centre",$A$1:$AB$1,0)),"")&amp;"","")</f>
        <v/>
      </c>
      <c r="AJ784" s="54">
        <f>IF(AND(AF784=1,AE784&gt;=set_FYStart,AE784&lt;=set_AsAt),1,0)</f>
        <v/>
      </c>
      <c r="AK784" s="54">
        <f>IF(AND(AJ784=1,AH784&lt;&gt;"",COUNTIFS($AH$2:AH784,AH784,$AJ$2:AJ784,1)=1),N(AL783)+1,"")</f>
        <v/>
      </c>
      <c r="AL784" s="54">
        <f>IF(AK784&lt;&gt;"",AK784,N(AL783))</f>
        <v/>
      </c>
    </row>
    <row r="785">
      <c r="A785" t="inlineStr">
        <is>
          <t>ONS-0262</t>
        </is>
      </c>
      <c r="B785" t="inlineStr">
        <is>
          <t>Onsite</t>
        </is>
      </c>
      <c r="AB785" t="n">
        <v>262</v>
      </c>
      <c r="AD785" s="52">
        <f>IFERROR(N(IFERROR(INDEX($A785:$AB785,MATCH("Xero Invoiced Ex GST",$A$1:$AB$1,0)),"")),0)</f>
        <v/>
      </c>
      <c r="AE785" s="53">
        <f>IFERROR(INDEX($A785:$AB785,MATCH("Xero Invoice Date",$A$1:$AB$1,0)),"")</f>
        <v/>
      </c>
      <c r="AF785" s="54">
        <f>IF(AND(IFERROR(INDEX($A785:$AB785,MATCH("Xero Invoice No",$A$1:$AB$1,0)),"")&amp;""&lt;&gt;"",ISNUMBER(AE785),AD785&lt;&gt;0),1,0)</f>
        <v/>
      </c>
      <c r="AG785" s="55">
        <f>IF(AF785=1,EOMONTH(AE785,0),"")</f>
        <v/>
      </c>
      <c r="AH785" s="9">
        <f>IF(AF785=1,UPPER(TRIM(IFERROR(INDEX($A785:$AB785,MATCH("Client",$A$1:$AB$1,0)),"")&amp;"")),"")</f>
        <v/>
      </c>
      <c r="AI785" s="9">
        <f>IF(AF785=1,IFERROR(INDEX($A785:$AB785,MATCH("Cost Centre",$A$1:$AB$1,0)),"")&amp;"","")</f>
        <v/>
      </c>
      <c r="AJ785" s="54">
        <f>IF(AND(AF785=1,AE785&gt;=set_FYStart,AE785&lt;=set_AsAt),1,0)</f>
        <v/>
      </c>
      <c r="AK785" s="54">
        <f>IF(AND(AJ785=1,AH785&lt;&gt;"",COUNTIFS($AH$2:AH785,AH785,$AJ$2:AJ785,1)=1),N(AL784)+1,"")</f>
        <v/>
      </c>
      <c r="AL785" s="54">
        <f>IF(AK785&lt;&gt;"",AK785,N(AL784))</f>
        <v/>
      </c>
    </row>
    <row r="786">
      <c r="A786" t="inlineStr">
        <is>
          <t>PRD-0262</t>
        </is>
      </c>
      <c r="B786" t="inlineStr">
        <is>
          <t>Production</t>
        </is>
      </c>
      <c r="AB786" t="n">
        <v>262</v>
      </c>
      <c r="AD786" s="52">
        <f>IFERROR(N(IFERROR(INDEX($A786:$AB786,MATCH("Xero Invoiced Ex GST",$A$1:$AB$1,0)),"")),0)</f>
        <v/>
      </c>
      <c r="AE786" s="53">
        <f>IFERROR(INDEX($A786:$AB786,MATCH("Xero Invoice Date",$A$1:$AB$1,0)),"")</f>
        <v/>
      </c>
      <c r="AF786" s="54">
        <f>IF(AND(IFERROR(INDEX($A786:$AB786,MATCH("Xero Invoice No",$A$1:$AB$1,0)),"")&amp;""&lt;&gt;"",ISNUMBER(AE786),AD786&lt;&gt;0),1,0)</f>
        <v/>
      </c>
      <c r="AG786" s="55">
        <f>IF(AF786=1,EOMONTH(AE786,0),"")</f>
        <v/>
      </c>
      <c r="AH786" s="9">
        <f>IF(AF786=1,UPPER(TRIM(IFERROR(INDEX($A786:$AB786,MATCH("Client",$A$1:$AB$1,0)),"")&amp;"")),"")</f>
        <v/>
      </c>
      <c r="AI786" s="9">
        <f>IF(AF786=1,IFERROR(INDEX($A786:$AB786,MATCH("Cost Centre",$A$1:$AB$1,0)),"")&amp;"","")</f>
        <v/>
      </c>
      <c r="AJ786" s="54">
        <f>IF(AND(AF786=1,AE786&gt;=set_FYStart,AE786&lt;=set_AsAt),1,0)</f>
        <v/>
      </c>
      <c r="AK786" s="54">
        <f>IF(AND(AJ786=1,AH786&lt;&gt;"",COUNTIFS($AH$2:AH786,AH786,$AJ$2:AJ786,1)=1),N(AL785)+1,"")</f>
        <v/>
      </c>
      <c r="AL786" s="54">
        <f>IF(AK786&lt;&gt;"",AK786,N(AL785))</f>
        <v/>
      </c>
    </row>
    <row r="787">
      <c r="A787" t="inlineStr">
        <is>
          <t>CON-0262</t>
        </is>
      </c>
      <c r="B787" t="inlineStr">
        <is>
          <t>Consulting</t>
        </is>
      </c>
      <c r="AB787" t="n">
        <v>262</v>
      </c>
      <c r="AD787" s="52">
        <f>IFERROR(N(IFERROR(INDEX($A787:$AB787,MATCH("Xero Invoiced Ex GST",$A$1:$AB$1,0)),"")),0)</f>
        <v/>
      </c>
      <c r="AE787" s="53">
        <f>IFERROR(INDEX($A787:$AB787,MATCH("Xero Invoice Date",$A$1:$AB$1,0)),"")</f>
        <v/>
      </c>
      <c r="AF787" s="54">
        <f>IF(AND(IFERROR(INDEX($A787:$AB787,MATCH("Xero Invoice No",$A$1:$AB$1,0)),"")&amp;""&lt;&gt;"",ISNUMBER(AE787),AD787&lt;&gt;0),1,0)</f>
        <v/>
      </c>
      <c r="AG787" s="55">
        <f>IF(AF787=1,EOMONTH(AE787,0),"")</f>
        <v/>
      </c>
      <c r="AH787" s="9">
        <f>IF(AF787=1,UPPER(TRIM(IFERROR(INDEX($A787:$AB787,MATCH("Client",$A$1:$AB$1,0)),"")&amp;"")),"")</f>
        <v/>
      </c>
      <c r="AI787" s="9">
        <f>IF(AF787=1,IFERROR(INDEX($A787:$AB787,MATCH("Cost Centre",$A$1:$AB$1,0)),"")&amp;"","")</f>
        <v/>
      </c>
      <c r="AJ787" s="54">
        <f>IF(AND(AF787=1,AE787&gt;=set_FYStart,AE787&lt;=set_AsAt),1,0)</f>
        <v/>
      </c>
      <c r="AK787" s="54">
        <f>IF(AND(AJ787=1,AH787&lt;&gt;"",COUNTIFS($AH$2:AH787,AH787,$AJ$2:AJ787,1)=1),N(AL786)+1,"")</f>
        <v/>
      </c>
      <c r="AL787" s="54">
        <f>IF(AK787&lt;&gt;"",AK787,N(AL786))</f>
        <v/>
      </c>
    </row>
    <row r="788">
      <c r="A788" t="inlineStr">
        <is>
          <t>ONS-0263</t>
        </is>
      </c>
      <c r="B788" t="inlineStr">
        <is>
          <t>Onsite</t>
        </is>
      </c>
      <c r="AB788" t="n">
        <v>263</v>
      </c>
      <c r="AD788" s="52">
        <f>IFERROR(N(IFERROR(INDEX($A788:$AB788,MATCH("Xero Invoiced Ex GST",$A$1:$AB$1,0)),"")),0)</f>
        <v/>
      </c>
      <c r="AE788" s="53">
        <f>IFERROR(INDEX($A788:$AB788,MATCH("Xero Invoice Date",$A$1:$AB$1,0)),"")</f>
        <v/>
      </c>
      <c r="AF788" s="54">
        <f>IF(AND(IFERROR(INDEX($A788:$AB788,MATCH("Xero Invoice No",$A$1:$AB$1,0)),"")&amp;""&lt;&gt;"",ISNUMBER(AE788),AD788&lt;&gt;0),1,0)</f>
        <v/>
      </c>
      <c r="AG788" s="55">
        <f>IF(AF788=1,EOMONTH(AE788,0),"")</f>
        <v/>
      </c>
      <c r="AH788" s="9">
        <f>IF(AF788=1,UPPER(TRIM(IFERROR(INDEX($A788:$AB788,MATCH("Client",$A$1:$AB$1,0)),"")&amp;"")),"")</f>
        <v/>
      </c>
      <c r="AI788" s="9">
        <f>IF(AF788=1,IFERROR(INDEX($A788:$AB788,MATCH("Cost Centre",$A$1:$AB$1,0)),"")&amp;"","")</f>
        <v/>
      </c>
      <c r="AJ788" s="54">
        <f>IF(AND(AF788=1,AE788&gt;=set_FYStart,AE788&lt;=set_AsAt),1,0)</f>
        <v/>
      </c>
      <c r="AK788" s="54">
        <f>IF(AND(AJ788=1,AH788&lt;&gt;"",COUNTIFS($AH$2:AH788,AH788,$AJ$2:AJ788,1)=1),N(AL787)+1,"")</f>
        <v/>
      </c>
      <c r="AL788" s="54">
        <f>IF(AK788&lt;&gt;"",AK788,N(AL787))</f>
        <v/>
      </c>
    </row>
    <row r="789">
      <c r="A789" t="inlineStr">
        <is>
          <t>PRD-0263</t>
        </is>
      </c>
      <c r="B789" t="inlineStr">
        <is>
          <t>Production</t>
        </is>
      </c>
      <c r="AB789" t="n">
        <v>263</v>
      </c>
      <c r="AD789" s="52">
        <f>IFERROR(N(IFERROR(INDEX($A789:$AB789,MATCH("Xero Invoiced Ex GST",$A$1:$AB$1,0)),"")),0)</f>
        <v/>
      </c>
      <c r="AE789" s="53">
        <f>IFERROR(INDEX($A789:$AB789,MATCH("Xero Invoice Date",$A$1:$AB$1,0)),"")</f>
        <v/>
      </c>
      <c r="AF789" s="54">
        <f>IF(AND(IFERROR(INDEX($A789:$AB789,MATCH("Xero Invoice No",$A$1:$AB$1,0)),"")&amp;""&lt;&gt;"",ISNUMBER(AE789),AD789&lt;&gt;0),1,0)</f>
        <v/>
      </c>
      <c r="AG789" s="55">
        <f>IF(AF789=1,EOMONTH(AE789,0),"")</f>
        <v/>
      </c>
      <c r="AH789" s="9">
        <f>IF(AF789=1,UPPER(TRIM(IFERROR(INDEX($A789:$AB789,MATCH("Client",$A$1:$AB$1,0)),"")&amp;"")),"")</f>
        <v/>
      </c>
      <c r="AI789" s="9">
        <f>IF(AF789=1,IFERROR(INDEX($A789:$AB789,MATCH("Cost Centre",$A$1:$AB$1,0)),"")&amp;"","")</f>
        <v/>
      </c>
      <c r="AJ789" s="54">
        <f>IF(AND(AF789=1,AE789&gt;=set_FYStart,AE789&lt;=set_AsAt),1,0)</f>
        <v/>
      </c>
      <c r="AK789" s="54">
        <f>IF(AND(AJ789=1,AH789&lt;&gt;"",COUNTIFS($AH$2:AH789,AH789,$AJ$2:AJ789,1)=1),N(AL788)+1,"")</f>
        <v/>
      </c>
      <c r="AL789" s="54">
        <f>IF(AK789&lt;&gt;"",AK789,N(AL788))</f>
        <v/>
      </c>
    </row>
    <row r="790">
      <c r="A790" t="inlineStr">
        <is>
          <t>CON-0263</t>
        </is>
      </c>
      <c r="B790" t="inlineStr">
        <is>
          <t>Consulting</t>
        </is>
      </c>
      <c r="AB790" t="n">
        <v>263</v>
      </c>
      <c r="AD790" s="52">
        <f>IFERROR(N(IFERROR(INDEX($A790:$AB790,MATCH("Xero Invoiced Ex GST",$A$1:$AB$1,0)),"")),0)</f>
        <v/>
      </c>
      <c r="AE790" s="53">
        <f>IFERROR(INDEX($A790:$AB790,MATCH("Xero Invoice Date",$A$1:$AB$1,0)),"")</f>
        <v/>
      </c>
      <c r="AF790" s="54">
        <f>IF(AND(IFERROR(INDEX($A790:$AB790,MATCH("Xero Invoice No",$A$1:$AB$1,0)),"")&amp;""&lt;&gt;"",ISNUMBER(AE790),AD790&lt;&gt;0),1,0)</f>
        <v/>
      </c>
      <c r="AG790" s="55">
        <f>IF(AF790=1,EOMONTH(AE790,0),"")</f>
        <v/>
      </c>
      <c r="AH790" s="9">
        <f>IF(AF790=1,UPPER(TRIM(IFERROR(INDEX($A790:$AB790,MATCH("Client",$A$1:$AB$1,0)),"")&amp;"")),"")</f>
        <v/>
      </c>
      <c r="AI790" s="9">
        <f>IF(AF790=1,IFERROR(INDEX($A790:$AB790,MATCH("Cost Centre",$A$1:$AB$1,0)),"")&amp;"","")</f>
        <v/>
      </c>
      <c r="AJ790" s="54">
        <f>IF(AND(AF790=1,AE790&gt;=set_FYStart,AE790&lt;=set_AsAt),1,0)</f>
        <v/>
      </c>
      <c r="AK790" s="54">
        <f>IF(AND(AJ790=1,AH790&lt;&gt;"",COUNTIFS($AH$2:AH790,AH790,$AJ$2:AJ790,1)=1),N(AL789)+1,"")</f>
        <v/>
      </c>
      <c r="AL790" s="54">
        <f>IF(AK790&lt;&gt;"",AK790,N(AL789))</f>
        <v/>
      </c>
    </row>
    <row r="791">
      <c r="A791" t="inlineStr">
        <is>
          <t>ONS-0264</t>
        </is>
      </c>
      <c r="B791" t="inlineStr">
        <is>
          <t>Onsite</t>
        </is>
      </c>
      <c r="AB791" t="n">
        <v>264</v>
      </c>
      <c r="AD791" s="52">
        <f>IFERROR(N(IFERROR(INDEX($A791:$AB791,MATCH("Xero Invoiced Ex GST",$A$1:$AB$1,0)),"")),0)</f>
        <v/>
      </c>
      <c r="AE791" s="53">
        <f>IFERROR(INDEX($A791:$AB791,MATCH("Xero Invoice Date",$A$1:$AB$1,0)),"")</f>
        <v/>
      </c>
      <c r="AF791" s="54">
        <f>IF(AND(IFERROR(INDEX($A791:$AB791,MATCH("Xero Invoice No",$A$1:$AB$1,0)),"")&amp;""&lt;&gt;"",ISNUMBER(AE791),AD791&lt;&gt;0),1,0)</f>
        <v/>
      </c>
      <c r="AG791" s="55">
        <f>IF(AF791=1,EOMONTH(AE791,0),"")</f>
        <v/>
      </c>
      <c r="AH791" s="9">
        <f>IF(AF791=1,UPPER(TRIM(IFERROR(INDEX($A791:$AB791,MATCH("Client",$A$1:$AB$1,0)),"")&amp;"")),"")</f>
        <v/>
      </c>
      <c r="AI791" s="9">
        <f>IF(AF791=1,IFERROR(INDEX($A791:$AB791,MATCH("Cost Centre",$A$1:$AB$1,0)),"")&amp;"","")</f>
        <v/>
      </c>
      <c r="AJ791" s="54">
        <f>IF(AND(AF791=1,AE791&gt;=set_FYStart,AE791&lt;=set_AsAt),1,0)</f>
        <v/>
      </c>
      <c r="AK791" s="54">
        <f>IF(AND(AJ791=1,AH791&lt;&gt;"",COUNTIFS($AH$2:AH791,AH791,$AJ$2:AJ791,1)=1),N(AL790)+1,"")</f>
        <v/>
      </c>
      <c r="AL791" s="54">
        <f>IF(AK791&lt;&gt;"",AK791,N(AL790))</f>
        <v/>
      </c>
    </row>
    <row r="792">
      <c r="A792" t="inlineStr">
        <is>
          <t>PRD-0264</t>
        </is>
      </c>
      <c r="B792" t="inlineStr">
        <is>
          <t>Production</t>
        </is>
      </c>
      <c r="AB792" t="n">
        <v>264</v>
      </c>
      <c r="AD792" s="52">
        <f>IFERROR(N(IFERROR(INDEX($A792:$AB792,MATCH("Xero Invoiced Ex GST",$A$1:$AB$1,0)),"")),0)</f>
        <v/>
      </c>
      <c r="AE792" s="53">
        <f>IFERROR(INDEX($A792:$AB792,MATCH("Xero Invoice Date",$A$1:$AB$1,0)),"")</f>
        <v/>
      </c>
      <c r="AF792" s="54">
        <f>IF(AND(IFERROR(INDEX($A792:$AB792,MATCH("Xero Invoice No",$A$1:$AB$1,0)),"")&amp;""&lt;&gt;"",ISNUMBER(AE792),AD792&lt;&gt;0),1,0)</f>
        <v/>
      </c>
      <c r="AG792" s="55">
        <f>IF(AF792=1,EOMONTH(AE792,0),"")</f>
        <v/>
      </c>
      <c r="AH792" s="9">
        <f>IF(AF792=1,UPPER(TRIM(IFERROR(INDEX($A792:$AB792,MATCH("Client",$A$1:$AB$1,0)),"")&amp;"")),"")</f>
        <v/>
      </c>
      <c r="AI792" s="9">
        <f>IF(AF792=1,IFERROR(INDEX($A792:$AB792,MATCH("Cost Centre",$A$1:$AB$1,0)),"")&amp;"","")</f>
        <v/>
      </c>
      <c r="AJ792" s="54">
        <f>IF(AND(AF792=1,AE792&gt;=set_FYStart,AE792&lt;=set_AsAt),1,0)</f>
        <v/>
      </c>
      <c r="AK792" s="54">
        <f>IF(AND(AJ792=1,AH792&lt;&gt;"",COUNTIFS($AH$2:AH792,AH792,$AJ$2:AJ792,1)=1),N(AL791)+1,"")</f>
        <v/>
      </c>
      <c r="AL792" s="54">
        <f>IF(AK792&lt;&gt;"",AK792,N(AL791))</f>
        <v/>
      </c>
    </row>
    <row r="793">
      <c r="A793" t="inlineStr">
        <is>
          <t>CON-0264</t>
        </is>
      </c>
      <c r="B793" t="inlineStr">
        <is>
          <t>Consulting</t>
        </is>
      </c>
      <c r="AB793" t="n">
        <v>264</v>
      </c>
      <c r="AD793" s="52">
        <f>IFERROR(N(IFERROR(INDEX($A793:$AB793,MATCH("Xero Invoiced Ex GST",$A$1:$AB$1,0)),"")),0)</f>
        <v/>
      </c>
      <c r="AE793" s="53">
        <f>IFERROR(INDEX($A793:$AB793,MATCH("Xero Invoice Date",$A$1:$AB$1,0)),"")</f>
        <v/>
      </c>
      <c r="AF793" s="54">
        <f>IF(AND(IFERROR(INDEX($A793:$AB793,MATCH("Xero Invoice No",$A$1:$AB$1,0)),"")&amp;""&lt;&gt;"",ISNUMBER(AE793),AD793&lt;&gt;0),1,0)</f>
        <v/>
      </c>
      <c r="AG793" s="55">
        <f>IF(AF793=1,EOMONTH(AE793,0),"")</f>
        <v/>
      </c>
      <c r="AH793" s="9">
        <f>IF(AF793=1,UPPER(TRIM(IFERROR(INDEX($A793:$AB793,MATCH("Client",$A$1:$AB$1,0)),"")&amp;"")),"")</f>
        <v/>
      </c>
      <c r="AI793" s="9">
        <f>IF(AF793=1,IFERROR(INDEX($A793:$AB793,MATCH("Cost Centre",$A$1:$AB$1,0)),"")&amp;"","")</f>
        <v/>
      </c>
      <c r="AJ793" s="54">
        <f>IF(AND(AF793=1,AE793&gt;=set_FYStart,AE793&lt;=set_AsAt),1,0)</f>
        <v/>
      </c>
      <c r="AK793" s="54">
        <f>IF(AND(AJ793=1,AH793&lt;&gt;"",COUNTIFS($AH$2:AH793,AH793,$AJ$2:AJ793,1)=1),N(AL792)+1,"")</f>
        <v/>
      </c>
      <c r="AL793" s="54">
        <f>IF(AK793&lt;&gt;"",AK793,N(AL792))</f>
        <v/>
      </c>
    </row>
    <row r="794">
      <c r="A794" t="inlineStr">
        <is>
          <t>ONS-0265</t>
        </is>
      </c>
      <c r="B794" t="inlineStr">
        <is>
          <t>Onsite</t>
        </is>
      </c>
      <c r="AB794" t="n">
        <v>265</v>
      </c>
      <c r="AD794" s="52">
        <f>IFERROR(N(IFERROR(INDEX($A794:$AB794,MATCH("Xero Invoiced Ex GST",$A$1:$AB$1,0)),"")),0)</f>
        <v/>
      </c>
      <c r="AE794" s="53">
        <f>IFERROR(INDEX($A794:$AB794,MATCH("Xero Invoice Date",$A$1:$AB$1,0)),"")</f>
        <v/>
      </c>
      <c r="AF794" s="54">
        <f>IF(AND(IFERROR(INDEX($A794:$AB794,MATCH("Xero Invoice No",$A$1:$AB$1,0)),"")&amp;""&lt;&gt;"",ISNUMBER(AE794),AD794&lt;&gt;0),1,0)</f>
        <v/>
      </c>
      <c r="AG794" s="55">
        <f>IF(AF794=1,EOMONTH(AE794,0),"")</f>
        <v/>
      </c>
      <c r="AH794" s="9">
        <f>IF(AF794=1,UPPER(TRIM(IFERROR(INDEX($A794:$AB794,MATCH("Client",$A$1:$AB$1,0)),"")&amp;"")),"")</f>
        <v/>
      </c>
      <c r="AI794" s="9">
        <f>IF(AF794=1,IFERROR(INDEX($A794:$AB794,MATCH("Cost Centre",$A$1:$AB$1,0)),"")&amp;"","")</f>
        <v/>
      </c>
      <c r="AJ794" s="54">
        <f>IF(AND(AF794=1,AE794&gt;=set_FYStart,AE794&lt;=set_AsAt),1,0)</f>
        <v/>
      </c>
      <c r="AK794" s="54">
        <f>IF(AND(AJ794=1,AH794&lt;&gt;"",COUNTIFS($AH$2:AH794,AH794,$AJ$2:AJ794,1)=1),N(AL793)+1,"")</f>
        <v/>
      </c>
      <c r="AL794" s="54">
        <f>IF(AK794&lt;&gt;"",AK794,N(AL793))</f>
        <v/>
      </c>
    </row>
    <row r="795">
      <c r="A795" t="inlineStr">
        <is>
          <t>PRD-0265</t>
        </is>
      </c>
      <c r="B795" t="inlineStr">
        <is>
          <t>Production</t>
        </is>
      </c>
      <c r="AB795" t="n">
        <v>265</v>
      </c>
      <c r="AD795" s="52">
        <f>IFERROR(N(IFERROR(INDEX($A795:$AB795,MATCH("Xero Invoiced Ex GST",$A$1:$AB$1,0)),"")),0)</f>
        <v/>
      </c>
      <c r="AE795" s="53">
        <f>IFERROR(INDEX($A795:$AB795,MATCH("Xero Invoice Date",$A$1:$AB$1,0)),"")</f>
        <v/>
      </c>
      <c r="AF795" s="54">
        <f>IF(AND(IFERROR(INDEX($A795:$AB795,MATCH("Xero Invoice No",$A$1:$AB$1,0)),"")&amp;""&lt;&gt;"",ISNUMBER(AE795),AD795&lt;&gt;0),1,0)</f>
        <v/>
      </c>
      <c r="AG795" s="55">
        <f>IF(AF795=1,EOMONTH(AE795,0),"")</f>
        <v/>
      </c>
      <c r="AH795" s="9">
        <f>IF(AF795=1,UPPER(TRIM(IFERROR(INDEX($A795:$AB795,MATCH("Client",$A$1:$AB$1,0)),"")&amp;"")),"")</f>
        <v/>
      </c>
      <c r="AI795" s="9">
        <f>IF(AF795=1,IFERROR(INDEX($A795:$AB795,MATCH("Cost Centre",$A$1:$AB$1,0)),"")&amp;"","")</f>
        <v/>
      </c>
      <c r="AJ795" s="54">
        <f>IF(AND(AF795=1,AE795&gt;=set_FYStart,AE795&lt;=set_AsAt),1,0)</f>
        <v/>
      </c>
      <c r="AK795" s="54">
        <f>IF(AND(AJ795=1,AH795&lt;&gt;"",COUNTIFS($AH$2:AH795,AH795,$AJ$2:AJ795,1)=1),N(AL794)+1,"")</f>
        <v/>
      </c>
      <c r="AL795" s="54">
        <f>IF(AK795&lt;&gt;"",AK795,N(AL794))</f>
        <v/>
      </c>
    </row>
    <row r="796">
      <c r="A796" t="inlineStr">
        <is>
          <t>CON-0265</t>
        </is>
      </c>
      <c r="B796" t="inlineStr">
        <is>
          <t>Consulting</t>
        </is>
      </c>
      <c r="AB796" t="n">
        <v>265</v>
      </c>
      <c r="AD796" s="52">
        <f>IFERROR(N(IFERROR(INDEX($A796:$AB796,MATCH("Xero Invoiced Ex GST",$A$1:$AB$1,0)),"")),0)</f>
        <v/>
      </c>
      <c r="AE796" s="53">
        <f>IFERROR(INDEX($A796:$AB796,MATCH("Xero Invoice Date",$A$1:$AB$1,0)),"")</f>
        <v/>
      </c>
      <c r="AF796" s="54">
        <f>IF(AND(IFERROR(INDEX($A796:$AB796,MATCH("Xero Invoice No",$A$1:$AB$1,0)),"")&amp;""&lt;&gt;"",ISNUMBER(AE796),AD796&lt;&gt;0),1,0)</f>
        <v/>
      </c>
      <c r="AG796" s="55">
        <f>IF(AF796=1,EOMONTH(AE796,0),"")</f>
        <v/>
      </c>
      <c r="AH796" s="9">
        <f>IF(AF796=1,UPPER(TRIM(IFERROR(INDEX($A796:$AB796,MATCH("Client",$A$1:$AB$1,0)),"")&amp;"")),"")</f>
        <v/>
      </c>
      <c r="AI796" s="9">
        <f>IF(AF796=1,IFERROR(INDEX($A796:$AB796,MATCH("Cost Centre",$A$1:$AB$1,0)),"")&amp;"","")</f>
        <v/>
      </c>
      <c r="AJ796" s="54">
        <f>IF(AND(AF796=1,AE796&gt;=set_FYStart,AE796&lt;=set_AsAt),1,0)</f>
        <v/>
      </c>
      <c r="AK796" s="54">
        <f>IF(AND(AJ796=1,AH796&lt;&gt;"",COUNTIFS($AH$2:AH796,AH796,$AJ$2:AJ796,1)=1),N(AL795)+1,"")</f>
        <v/>
      </c>
      <c r="AL796" s="54">
        <f>IF(AK796&lt;&gt;"",AK796,N(AL795))</f>
        <v/>
      </c>
    </row>
    <row r="797">
      <c r="A797" t="inlineStr">
        <is>
          <t>ONS-0266</t>
        </is>
      </c>
      <c r="B797" t="inlineStr">
        <is>
          <t>Onsite</t>
        </is>
      </c>
      <c r="AB797" t="n">
        <v>266</v>
      </c>
      <c r="AD797" s="52">
        <f>IFERROR(N(IFERROR(INDEX($A797:$AB797,MATCH("Xero Invoiced Ex GST",$A$1:$AB$1,0)),"")),0)</f>
        <v/>
      </c>
      <c r="AE797" s="53">
        <f>IFERROR(INDEX($A797:$AB797,MATCH("Xero Invoice Date",$A$1:$AB$1,0)),"")</f>
        <v/>
      </c>
      <c r="AF797" s="54">
        <f>IF(AND(IFERROR(INDEX($A797:$AB797,MATCH("Xero Invoice No",$A$1:$AB$1,0)),"")&amp;""&lt;&gt;"",ISNUMBER(AE797),AD797&lt;&gt;0),1,0)</f>
        <v/>
      </c>
      <c r="AG797" s="55">
        <f>IF(AF797=1,EOMONTH(AE797,0),"")</f>
        <v/>
      </c>
      <c r="AH797" s="9">
        <f>IF(AF797=1,UPPER(TRIM(IFERROR(INDEX($A797:$AB797,MATCH("Client",$A$1:$AB$1,0)),"")&amp;"")),"")</f>
        <v/>
      </c>
      <c r="AI797" s="9">
        <f>IF(AF797=1,IFERROR(INDEX($A797:$AB797,MATCH("Cost Centre",$A$1:$AB$1,0)),"")&amp;"","")</f>
        <v/>
      </c>
      <c r="AJ797" s="54">
        <f>IF(AND(AF797=1,AE797&gt;=set_FYStart,AE797&lt;=set_AsAt),1,0)</f>
        <v/>
      </c>
      <c r="AK797" s="54">
        <f>IF(AND(AJ797=1,AH797&lt;&gt;"",COUNTIFS($AH$2:AH797,AH797,$AJ$2:AJ797,1)=1),N(AL796)+1,"")</f>
        <v/>
      </c>
      <c r="AL797" s="54">
        <f>IF(AK797&lt;&gt;"",AK797,N(AL796))</f>
        <v/>
      </c>
    </row>
    <row r="798">
      <c r="A798" t="inlineStr">
        <is>
          <t>PRD-0266</t>
        </is>
      </c>
      <c r="B798" t="inlineStr">
        <is>
          <t>Production</t>
        </is>
      </c>
      <c r="AB798" t="n">
        <v>266</v>
      </c>
      <c r="AD798" s="52">
        <f>IFERROR(N(IFERROR(INDEX($A798:$AB798,MATCH("Xero Invoiced Ex GST",$A$1:$AB$1,0)),"")),0)</f>
        <v/>
      </c>
      <c r="AE798" s="53">
        <f>IFERROR(INDEX($A798:$AB798,MATCH("Xero Invoice Date",$A$1:$AB$1,0)),"")</f>
        <v/>
      </c>
      <c r="AF798" s="54">
        <f>IF(AND(IFERROR(INDEX($A798:$AB798,MATCH("Xero Invoice No",$A$1:$AB$1,0)),"")&amp;""&lt;&gt;"",ISNUMBER(AE798),AD798&lt;&gt;0),1,0)</f>
        <v/>
      </c>
      <c r="AG798" s="55">
        <f>IF(AF798=1,EOMONTH(AE798,0),"")</f>
        <v/>
      </c>
      <c r="AH798" s="9">
        <f>IF(AF798=1,UPPER(TRIM(IFERROR(INDEX($A798:$AB798,MATCH("Client",$A$1:$AB$1,0)),"")&amp;"")),"")</f>
        <v/>
      </c>
      <c r="AI798" s="9">
        <f>IF(AF798=1,IFERROR(INDEX($A798:$AB798,MATCH("Cost Centre",$A$1:$AB$1,0)),"")&amp;"","")</f>
        <v/>
      </c>
      <c r="AJ798" s="54">
        <f>IF(AND(AF798=1,AE798&gt;=set_FYStart,AE798&lt;=set_AsAt),1,0)</f>
        <v/>
      </c>
      <c r="AK798" s="54">
        <f>IF(AND(AJ798=1,AH798&lt;&gt;"",COUNTIFS($AH$2:AH798,AH798,$AJ$2:AJ798,1)=1),N(AL797)+1,"")</f>
        <v/>
      </c>
      <c r="AL798" s="54">
        <f>IF(AK798&lt;&gt;"",AK798,N(AL797))</f>
        <v/>
      </c>
    </row>
    <row r="799">
      <c r="A799" t="inlineStr">
        <is>
          <t>CON-0266</t>
        </is>
      </c>
      <c r="B799" t="inlineStr">
        <is>
          <t>Consulting</t>
        </is>
      </c>
      <c r="AB799" t="n">
        <v>266</v>
      </c>
      <c r="AD799" s="52">
        <f>IFERROR(N(IFERROR(INDEX($A799:$AB799,MATCH("Xero Invoiced Ex GST",$A$1:$AB$1,0)),"")),0)</f>
        <v/>
      </c>
      <c r="AE799" s="53">
        <f>IFERROR(INDEX($A799:$AB799,MATCH("Xero Invoice Date",$A$1:$AB$1,0)),"")</f>
        <v/>
      </c>
      <c r="AF799" s="54">
        <f>IF(AND(IFERROR(INDEX($A799:$AB799,MATCH("Xero Invoice No",$A$1:$AB$1,0)),"")&amp;""&lt;&gt;"",ISNUMBER(AE799),AD799&lt;&gt;0),1,0)</f>
        <v/>
      </c>
      <c r="AG799" s="55">
        <f>IF(AF799=1,EOMONTH(AE799,0),"")</f>
        <v/>
      </c>
      <c r="AH799" s="9">
        <f>IF(AF799=1,UPPER(TRIM(IFERROR(INDEX($A799:$AB799,MATCH("Client",$A$1:$AB$1,0)),"")&amp;"")),"")</f>
        <v/>
      </c>
      <c r="AI799" s="9">
        <f>IF(AF799=1,IFERROR(INDEX($A799:$AB799,MATCH("Cost Centre",$A$1:$AB$1,0)),"")&amp;"","")</f>
        <v/>
      </c>
      <c r="AJ799" s="54">
        <f>IF(AND(AF799=1,AE799&gt;=set_FYStart,AE799&lt;=set_AsAt),1,0)</f>
        <v/>
      </c>
      <c r="AK799" s="54">
        <f>IF(AND(AJ799=1,AH799&lt;&gt;"",COUNTIFS($AH$2:AH799,AH799,$AJ$2:AJ799,1)=1),N(AL798)+1,"")</f>
        <v/>
      </c>
      <c r="AL799" s="54">
        <f>IF(AK799&lt;&gt;"",AK799,N(AL798))</f>
        <v/>
      </c>
    </row>
    <row r="800">
      <c r="A800" t="inlineStr">
        <is>
          <t>ONS-0267</t>
        </is>
      </c>
      <c r="B800" t="inlineStr">
        <is>
          <t>Onsite</t>
        </is>
      </c>
      <c r="AB800" t="n">
        <v>267</v>
      </c>
      <c r="AD800" s="52">
        <f>IFERROR(N(IFERROR(INDEX($A800:$AB800,MATCH("Xero Invoiced Ex GST",$A$1:$AB$1,0)),"")),0)</f>
        <v/>
      </c>
      <c r="AE800" s="53">
        <f>IFERROR(INDEX($A800:$AB800,MATCH("Xero Invoice Date",$A$1:$AB$1,0)),"")</f>
        <v/>
      </c>
      <c r="AF800" s="54">
        <f>IF(AND(IFERROR(INDEX($A800:$AB800,MATCH("Xero Invoice No",$A$1:$AB$1,0)),"")&amp;""&lt;&gt;"",ISNUMBER(AE800),AD800&lt;&gt;0),1,0)</f>
        <v/>
      </c>
      <c r="AG800" s="55">
        <f>IF(AF800=1,EOMONTH(AE800,0),"")</f>
        <v/>
      </c>
      <c r="AH800" s="9">
        <f>IF(AF800=1,UPPER(TRIM(IFERROR(INDEX($A800:$AB800,MATCH("Client",$A$1:$AB$1,0)),"")&amp;"")),"")</f>
        <v/>
      </c>
      <c r="AI800" s="9">
        <f>IF(AF800=1,IFERROR(INDEX($A800:$AB800,MATCH("Cost Centre",$A$1:$AB$1,0)),"")&amp;"","")</f>
        <v/>
      </c>
      <c r="AJ800" s="54">
        <f>IF(AND(AF800=1,AE800&gt;=set_FYStart,AE800&lt;=set_AsAt),1,0)</f>
        <v/>
      </c>
      <c r="AK800" s="54">
        <f>IF(AND(AJ800=1,AH800&lt;&gt;"",COUNTIFS($AH$2:AH800,AH800,$AJ$2:AJ800,1)=1),N(AL799)+1,"")</f>
        <v/>
      </c>
      <c r="AL800" s="54">
        <f>IF(AK800&lt;&gt;"",AK800,N(AL799))</f>
        <v/>
      </c>
    </row>
    <row r="801">
      <c r="A801" t="inlineStr">
        <is>
          <t>PRD-0267</t>
        </is>
      </c>
      <c r="B801" t="inlineStr">
        <is>
          <t>Production</t>
        </is>
      </c>
      <c r="AB801" t="n">
        <v>267</v>
      </c>
      <c r="AD801" s="52">
        <f>IFERROR(N(IFERROR(INDEX($A801:$AB801,MATCH("Xero Invoiced Ex GST",$A$1:$AB$1,0)),"")),0)</f>
        <v/>
      </c>
      <c r="AE801" s="53">
        <f>IFERROR(INDEX($A801:$AB801,MATCH("Xero Invoice Date",$A$1:$AB$1,0)),"")</f>
        <v/>
      </c>
      <c r="AF801" s="54">
        <f>IF(AND(IFERROR(INDEX($A801:$AB801,MATCH("Xero Invoice No",$A$1:$AB$1,0)),"")&amp;""&lt;&gt;"",ISNUMBER(AE801),AD801&lt;&gt;0),1,0)</f>
        <v/>
      </c>
      <c r="AG801" s="55">
        <f>IF(AF801=1,EOMONTH(AE801,0),"")</f>
        <v/>
      </c>
      <c r="AH801" s="9">
        <f>IF(AF801=1,UPPER(TRIM(IFERROR(INDEX($A801:$AB801,MATCH("Client",$A$1:$AB$1,0)),"")&amp;"")),"")</f>
        <v/>
      </c>
      <c r="AI801" s="9">
        <f>IF(AF801=1,IFERROR(INDEX($A801:$AB801,MATCH("Cost Centre",$A$1:$AB$1,0)),"")&amp;"","")</f>
        <v/>
      </c>
      <c r="AJ801" s="54">
        <f>IF(AND(AF801=1,AE801&gt;=set_FYStart,AE801&lt;=set_AsAt),1,0)</f>
        <v/>
      </c>
      <c r="AK801" s="54">
        <f>IF(AND(AJ801=1,AH801&lt;&gt;"",COUNTIFS($AH$2:AH801,AH801,$AJ$2:AJ801,1)=1),N(AL800)+1,"")</f>
        <v/>
      </c>
      <c r="AL801" s="54">
        <f>IF(AK801&lt;&gt;"",AK801,N(AL800))</f>
        <v/>
      </c>
    </row>
    <row r="802">
      <c r="A802" t="inlineStr">
        <is>
          <t>CON-0267</t>
        </is>
      </c>
      <c r="B802" t="inlineStr">
        <is>
          <t>Consulting</t>
        </is>
      </c>
      <c r="AB802" t="n">
        <v>267</v>
      </c>
      <c r="AD802" s="52">
        <f>IFERROR(N(IFERROR(INDEX($A802:$AB802,MATCH("Xero Invoiced Ex GST",$A$1:$AB$1,0)),"")),0)</f>
        <v/>
      </c>
      <c r="AE802" s="53">
        <f>IFERROR(INDEX($A802:$AB802,MATCH("Xero Invoice Date",$A$1:$AB$1,0)),"")</f>
        <v/>
      </c>
      <c r="AF802" s="54">
        <f>IF(AND(IFERROR(INDEX($A802:$AB802,MATCH("Xero Invoice No",$A$1:$AB$1,0)),"")&amp;""&lt;&gt;"",ISNUMBER(AE802),AD802&lt;&gt;0),1,0)</f>
        <v/>
      </c>
      <c r="AG802" s="55">
        <f>IF(AF802=1,EOMONTH(AE802,0),"")</f>
        <v/>
      </c>
      <c r="AH802" s="9">
        <f>IF(AF802=1,UPPER(TRIM(IFERROR(INDEX($A802:$AB802,MATCH("Client",$A$1:$AB$1,0)),"")&amp;"")),"")</f>
        <v/>
      </c>
      <c r="AI802" s="9">
        <f>IF(AF802=1,IFERROR(INDEX($A802:$AB802,MATCH("Cost Centre",$A$1:$AB$1,0)),"")&amp;"","")</f>
        <v/>
      </c>
      <c r="AJ802" s="54">
        <f>IF(AND(AF802=1,AE802&gt;=set_FYStart,AE802&lt;=set_AsAt),1,0)</f>
        <v/>
      </c>
      <c r="AK802" s="54">
        <f>IF(AND(AJ802=1,AH802&lt;&gt;"",COUNTIFS($AH$2:AH802,AH802,$AJ$2:AJ802,1)=1),N(AL801)+1,"")</f>
        <v/>
      </c>
      <c r="AL802" s="54">
        <f>IF(AK802&lt;&gt;"",AK802,N(AL801))</f>
        <v/>
      </c>
    </row>
    <row r="803">
      <c r="A803" t="inlineStr">
        <is>
          <t>ONS-0268</t>
        </is>
      </c>
      <c r="B803" t="inlineStr">
        <is>
          <t>Onsite</t>
        </is>
      </c>
      <c r="AB803" t="n">
        <v>268</v>
      </c>
      <c r="AD803" s="52">
        <f>IFERROR(N(IFERROR(INDEX($A803:$AB803,MATCH("Xero Invoiced Ex GST",$A$1:$AB$1,0)),"")),0)</f>
        <v/>
      </c>
      <c r="AE803" s="53">
        <f>IFERROR(INDEX($A803:$AB803,MATCH("Xero Invoice Date",$A$1:$AB$1,0)),"")</f>
        <v/>
      </c>
      <c r="AF803" s="54">
        <f>IF(AND(IFERROR(INDEX($A803:$AB803,MATCH("Xero Invoice No",$A$1:$AB$1,0)),"")&amp;""&lt;&gt;"",ISNUMBER(AE803),AD803&lt;&gt;0),1,0)</f>
        <v/>
      </c>
      <c r="AG803" s="55">
        <f>IF(AF803=1,EOMONTH(AE803,0),"")</f>
        <v/>
      </c>
      <c r="AH803" s="9">
        <f>IF(AF803=1,UPPER(TRIM(IFERROR(INDEX($A803:$AB803,MATCH("Client",$A$1:$AB$1,0)),"")&amp;"")),"")</f>
        <v/>
      </c>
      <c r="AI803" s="9">
        <f>IF(AF803=1,IFERROR(INDEX($A803:$AB803,MATCH("Cost Centre",$A$1:$AB$1,0)),"")&amp;"","")</f>
        <v/>
      </c>
      <c r="AJ803" s="54">
        <f>IF(AND(AF803=1,AE803&gt;=set_FYStart,AE803&lt;=set_AsAt),1,0)</f>
        <v/>
      </c>
      <c r="AK803" s="54">
        <f>IF(AND(AJ803=1,AH803&lt;&gt;"",COUNTIFS($AH$2:AH803,AH803,$AJ$2:AJ803,1)=1),N(AL802)+1,"")</f>
        <v/>
      </c>
      <c r="AL803" s="54">
        <f>IF(AK803&lt;&gt;"",AK803,N(AL802))</f>
        <v/>
      </c>
    </row>
    <row r="804">
      <c r="A804" t="inlineStr">
        <is>
          <t>PRD-0268</t>
        </is>
      </c>
      <c r="B804" t="inlineStr">
        <is>
          <t>Production</t>
        </is>
      </c>
      <c r="AB804" t="n">
        <v>268</v>
      </c>
      <c r="AD804" s="52">
        <f>IFERROR(N(IFERROR(INDEX($A804:$AB804,MATCH("Xero Invoiced Ex GST",$A$1:$AB$1,0)),"")),0)</f>
        <v/>
      </c>
      <c r="AE804" s="53">
        <f>IFERROR(INDEX($A804:$AB804,MATCH("Xero Invoice Date",$A$1:$AB$1,0)),"")</f>
        <v/>
      </c>
      <c r="AF804" s="54">
        <f>IF(AND(IFERROR(INDEX($A804:$AB804,MATCH("Xero Invoice No",$A$1:$AB$1,0)),"")&amp;""&lt;&gt;"",ISNUMBER(AE804),AD804&lt;&gt;0),1,0)</f>
        <v/>
      </c>
      <c r="AG804" s="55">
        <f>IF(AF804=1,EOMONTH(AE804,0),"")</f>
        <v/>
      </c>
      <c r="AH804" s="9">
        <f>IF(AF804=1,UPPER(TRIM(IFERROR(INDEX($A804:$AB804,MATCH("Client",$A$1:$AB$1,0)),"")&amp;"")),"")</f>
        <v/>
      </c>
      <c r="AI804" s="9">
        <f>IF(AF804=1,IFERROR(INDEX($A804:$AB804,MATCH("Cost Centre",$A$1:$AB$1,0)),"")&amp;"","")</f>
        <v/>
      </c>
      <c r="AJ804" s="54">
        <f>IF(AND(AF804=1,AE804&gt;=set_FYStart,AE804&lt;=set_AsAt),1,0)</f>
        <v/>
      </c>
      <c r="AK804" s="54">
        <f>IF(AND(AJ804=1,AH804&lt;&gt;"",COUNTIFS($AH$2:AH804,AH804,$AJ$2:AJ804,1)=1),N(AL803)+1,"")</f>
        <v/>
      </c>
      <c r="AL804" s="54">
        <f>IF(AK804&lt;&gt;"",AK804,N(AL803))</f>
        <v/>
      </c>
    </row>
    <row r="805">
      <c r="A805" t="inlineStr">
        <is>
          <t>CON-0268</t>
        </is>
      </c>
      <c r="B805" t="inlineStr">
        <is>
          <t>Consulting</t>
        </is>
      </c>
      <c r="AB805" t="n">
        <v>268</v>
      </c>
      <c r="AD805" s="52">
        <f>IFERROR(N(IFERROR(INDEX($A805:$AB805,MATCH("Xero Invoiced Ex GST",$A$1:$AB$1,0)),"")),0)</f>
        <v/>
      </c>
      <c r="AE805" s="53">
        <f>IFERROR(INDEX($A805:$AB805,MATCH("Xero Invoice Date",$A$1:$AB$1,0)),"")</f>
        <v/>
      </c>
      <c r="AF805" s="54">
        <f>IF(AND(IFERROR(INDEX($A805:$AB805,MATCH("Xero Invoice No",$A$1:$AB$1,0)),"")&amp;""&lt;&gt;"",ISNUMBER(AE805),AD805&lt;&gt;0),1,0)</f>
        <v/>
      </c>
      <c r="AG805" s="55">
        <f>IF(AF805=1,EOMONTH(AE805,0),"")</f>
        <v/>
      </c>
      <c r="AH805" s="9">
        <f>IF(AF805=1,UPPER(TRIM(IFERROR(INDEX($A805:$AB805,MATCH("Client",$A$1:$AB$1,0)),"")&amp;"")),"")</f>
        <v/>
      </c>
      <c r="AI805" s="9">
        <f>IF(AF805=1,IFERROR(INDEX($A805:$AB805,MATCH("Cost Centre",$A$1:$AB$1,0)),"")&amp;"","")</f>
        <v/>
      </c>
      <c r="AJ805" s="54">
        <f>IF(AND(AF805=1,AE805&gt;=set_FYStart,AE805&lt;=set_AsAt),1,0)</f>
        <v/>
      </c>
      <c r="AK805" s="54">
        <f>IF(AND(AJ805=1,AH805&lt;&gt;"",COUNTIFS($AH$2:AH805,AH805,$AJ$2:AJ805,1)=1),N(AL804)+1,"")</f>
        <v/>
      </c>
      <c r="AL805" s="54">
        <f>IF(AK805&lt;&gt;"",AK805,N(AL804))</f>
        <v/>
      </c>
    </row>
    <row r="806">
      <c r="A806" t="inlineStr">
        <is>
          <t>ONS-0269</t>
        </is>
      </c>
      <c r="B806" t="inlineStr">
        <is>
          <t>Onsite</t>
        </is>
      </c>
      <c r="AB806" t="n">
        <v>269</v>
      </c>
      <c r="AD806" s="52">
        <f>IFERROR(N(IFERROR(INDEX($A806:$AB806,MATCH("Xero Invoiced Ex GST",$A$1:$AB$1,0)),"")),0)</f>
        <v/>
      </c>
      <c r="AE806" s="53">
        <f>IFERROR(INDEX($A806:$AB806,MATCH("Xero Invoice Date",$A$1:$AB$1,0)),"")</f>
        <v/>
      </c>
      <c r="AF806" s="54">
        <f>IF(AND(IFERROR(INDEX($A806:$AB806,MATCH("Xero Invoice No",$A$1:$AB$1,0)),"")&amp;""&lt;&gt;"",ISNUMBER(AE806),AD806&lt;&gt;0),1,0)</f>
        <v/>
      </c>
      <c r="AG806" s="55">
        <f>IF(AF806=1,EOMONTH(AE806,0),"")</f>
        <v/>
      </c>
      <c r="AH806" s="9">
        <f>IF(AF806=1,UPPER(TRIM(IFERROR(INDEX($A806:$AB806,MATCH("Client",$A$1:$AB$1,0)),"")&amp;"")),"")</f>
        <v/>
      </c>
      <c r="AI806" s="9">
        <f>IF(AF806=1,IFERROR(INDEX($A806:$AB806,MATCH("Cost Centre",$A$1:$AB$1,0)),"")&amp;"","")</f>
        <v/>
      </c>
      <c r="AJ806" s="54">
        <f>IF(AND(AF806=1,AE806&gt;=set_FYStart,AE806&lt;=set_AsAt),1,0)</f>
        <v/>
      </c>
      <c r="AK806" s="54">
        <f>IF(AND(AJ806=1,AH806&lt;&gt;"",COUNTIFS($AH$2:AH806,AH806,$AJ$2:AJ806,1)=1),N(AL805)+1,"")</f>
        <v/>
      </c>
      <c r="AL806" s="54">
        <f>IF(AK806&lt;&gt;"",AK806,N(AL805))</f>
        <v/>
      </c>
    </row>
    <row r="807">
      <c r="A807" t="inlineStr">
        <is>
          <t>PRD-0269</t>
        </is>
      </c>
      <c r="B807" t="inlineStr">
        <is>
          <t>Production</t>
        </is>
      </c>
      <c r="AB807" t="n">
        <v>269</v>
      </c>
      <c r="AD807" s="52">
        <f>IFERROR(N(IFERROR(INDEX($A807:$AB807,MATCH("Xero Invoiced Ex GST",$A$1:$AB$1,0)),"")),0)</f>
        <v/>
      </c>
      <c r="AE807" s="53">
        <f>IFERROR(INDEX($A807:$AB807,MATCH("Xero Invoice Date",$A$1:$AB$1,0)),"")</f>
        <v/>
      </c>
      <c r="AF807" s="54">
        <f>IF(AND(IFERROR(INDEX($A807:$AB807,MATCH("Xero Invoice No",$A$1:$AB$1,0)),"")&amp;""&lt;&gt;"",ISNUMBER(AE807),AD807&lt;&gt;0),1,0)</f>
        <v/>
      </c>
      <c r="AG807" s="55">
        <f>IF(AF807=1,EOMONTH(AE807,0),"")</f>
        <v/>
      </c>
      <c r="AH807" s="9">
        <f>IF(AF807=1,UPPER(TRIM(IFERROR(INDEX($A807:$AB807,MATCH("Client",$A$1:$AB$1,0)),"")&amp;"")),"")</f>
        <v/>
      </c>
      <c r="AI807" s="9">
        <f>IF(AF807=1,IFERROR(INDEX($A807:$AB807,MATCH("Cost Centre",$A$1:$AB$1,0)),"")&amp;"","")</f>
        <v/>
      </c>
      <c r="AJ807" s="54">
        <f>IF(AND(AF807=1,AE807&gt;=set_FYStart,AE807&lt;=set_AsAt),1,0)</f>
        <v/>
      </c>
      <c r="AK807" s="54">
        <f>IF(AND(AJ807=1,AH807&lt;&gt;"",COUNTIFS($AH$2:AH807,AH807,$AJ$2:AJ807,1)=1),N(AL806)+1,"")</f>
        <v/>
      </c>
      <c r="AL807" s="54">
        <f>IF(AK807&lt;&gt;"",AK807,N(AL806))</f>
        <v/>
      </c>
    </row>
    <row r="808">
      <c r="A808" t="inlineStr">
        <is>
          <t>CON-0269</t>
        </is>
      </c>
      <c r="B808" t="inlineStr">
        <is>
          <t>Consulting</t>
        </is>
      </c>
      <c r="AB808" t="n">
        <v>269</v>
      </c>
      <c r="AD808" s="52">
        <f>IFERROR(N(IFERROR(INDEX($A808:$AB808,MATCH("Xero Invoiced Ex GST",$A$1:$AB$1,0)),"")),0)</f>
        <v/>
      </c>
      <c r="AE808" s="53">
        <f>IFERROR(INDEX($A808:$AB808,MATCH("Xero Invoice Date",$A$1:$AB$1,0)),"")</f>
        <v/>
      </c>
      <c r="AF808" s="54">
        <f>IF(AND(IFERROR(INDEX($A808:$AB808,MATCH("Xero Invoice No",$A$1:$AB$1,0)),"")&amp;""&lt;&gt;"",ISNUMBER(AE808),AD808&lt;&gt;0),1,0)</f>
        <v/>
      </c>
      <c r="AG808" s="55">
        <f>IF(AF808=1,EOMONTH(AE808,0),"")</f>
        <v/>
      </c>
      <c r="AH808" s="9">
        <f>IF(AF808=1,UPPER(TRIM(IFERROR(INDEX($A808:$AB808,MATCH("Client",$A$1:$AB$1,0)),"")&amp;"")),"")</f>
        <v/>
      </c>
      <c r="AI808" s="9">
        <f>IF(AF808=1,IFERROR(INDEX($A808:$AB808,MATCH("Cost Centre",$A$1:$AB$1,0)),"")&amp;"","")</f>
        <v/>
      </c>
      <c r="AJ808" s="54">
        <f>IF(AND(AF808=1,AE808&gt;=set_FYStart,AE808&lt;=set_AsAt),1,0)</f>
        <v/>
      </c>
      <c r="AK808" s="54">
        <f>IF(AND(AJ808=1,AH808&lt;&gt;"",COUNTIFS($AH$2:AH808,AH808,$AJ$2:AJ808,1)=1),N(AL807)+1,"")</f>
        <v/>
      </c>
      <c r="AL808" s="54">
        <f>IF(AK808&lt;&gt;"",AK808,N(AL807))</f>
        <v/>
      </c>
    </row>
    <row r="809">
      <c r="A809" t="inlineStr">
        <is>
          <t>ONS-0270</t>
        </is>
      </c>
      <c r="B809" t="inlineStr">
        <is>
          <t>Onsite</t>
        </is>
      </c>
      <c r="AB809" t="n">
        <v>270</v>
      </c>
      <c r="AD809" s="52">
        <f>IFERROR(N(IFERROR(INDEX($A809:$AB809,MATCH("Xero Invoiced Ex GST",$A$1:$AB$1,0)),"")),0)</f>
        <v/>
      </c>
      <c r="AE809" s="53">
        <f>IFERROR(INDEX($A809:$AB809,MATCH("Xero Invoice Date",$A$1:$AB$1,0)),"")</f>
        <v/>
      </c>
      <c r="AF809" s="54">
        <f>IF(AND(IFERROR(INDEX($A809:$AB809,MATCH("Xero Invoice No",$A$1:$AB$1,0)),"")&amp;""&lt;&gt;"",ISNUMBER(AE809),AD809&lt;&gt;0),1,0)</f>
        <v/>
      </c>
      <c r="AG809" s="55">
        <f>IF(AF809=1,EOMONTH(AE809,0),"")</f>
        <v/>
      </c>
      <c r="AH809" s="9">
        <f>IF(AF809=1,UPPER(TRIM(IFERROR(INDEX($A809:$AB809,MATCH("Client",$A$1:$AB$1,0)),"")&amp;"")),"")</f>
        <v/>
      </c>
      <c r="AI809" s="9">
        <f>IF(AF809=1,IFERROR(INDEX($A809:$AB809,MATCH("Cost Centre",$A$1:$AB$1,0)),"")&amp;"","")</f>
        <v/>
      </c>
      <c r="AJ809" s="54">
        <f>IF(AND(AF809=1,AE809&gt;=set_FYStart,AE809&lt;=set_AsAt),1,0)</f>
        <v/>
      </c>
      <c r="AK809" s="54">
        <f>IF(AND(AJ809=1,AH809&lt;&gt;"",COUNTIFS($AH$2:AH809,AH809,$AJ$2:AJ809,1)=1),N(AL808)+1,"")</f>
        <v/>
      </c>
      <c r="AL809" s="54">
        <f>IF(AK809&lt;&gt;"",AK809,N(AL808))</f>
        <v/>
      </c>
    </row>
    <row r="810">
      <c r="A810" t="inlineStr">
        <is>
          <t>PRD-0270</t>
        </is>
      </c>
      <c r="B810" t="inlineStr">
        <is>
          <t>Production</t>
        </is>
      </c>
      <c r="AB810" t="n">
        <v>270</v>
      </c>
      <c r="AD810" s="52">
        <f>IFERROR(N(IFERROR(INDEX($A810:$AB810,MATCH("Xero Invoiced Ex GST",$A$1:$AB$1,0)),"")),0)</f>
        <v/>
      </c>
      <c r="AE810" s="53">
        <f>IFERROR(INDEX($A810:$AB810,MATCH("Xero Invoice Date",$A$1:$AB$1,0)),"")</f>
        <v/>
      </c>
      <c r="AF810" s="54">
        <f>IF(AND(IFERROR(INDEX($A810:$AB810,MATCH("Xero Invoice No",$A$1:$AB$1,0)),"")&amp;""&lt;&gt;"",ISNUMBER(AE810),AD810&lt;&gt;0),1,0)</f>
        <v/>
      </c>
      <c r="AG810" s="55">
        <f>IF(AF810=1,EOMONTH(AE810,0),"")</f>
        <v/>
      </c>
      <c r="AH810" s="9">
        <f>IF(AF810=1,UPPER(TRIM(IFERROR(INDEX($A810:$AB810,MATCH("Client",$A$1:$AB$1,0)),"")&amp;"")),"")</f>
        <v/>
      </c>
      <c r="AI810" s="9">
        <f>IF(AF810=1,IFERROR(INDEX($A810:$AB810,MATCH("Cost Centre",$A$1:$AB$1,0)),"")&amp;"","")</f>
        <v/>
      </c>
      <c r="AJ810" s="54">
        <f>IF(AND(AF810=1,AE810&gt;=set_FYStart,AE810&lt;=set_AsAt),1,0)</f>
        <v/>
      </c>
      <c r="AK810" s="54">
        <f>IF(AND(AJ810=1,AH810&lt;&gt;"",COUNTIFS($AH$2:AH810,AH810,$AJ$2:AJ810,1)=1),N(AL809)+1,"")</f>
        <v/>
      </c>
      <c r="AL810" s="54">
        <f>IF(AK810&lt;&gt;"",AK810,N(AL809))</f>
        <v/>
      </c>
    </row>
    <row r="811">
      <c r="A811" t="inlineStr">
        <is>
          <t>CON-0270</t>
        </is>
      </c>
      <c r="B811" t="inlineStr">
        <is>
          <t>Consulting</t>
        </is>
      </c>
      <c r="AB811" t="n">
        <v>270</v>
      </c>
      <c r="AD811" s="52">
        <f>IFERROR(N(IFERROR(INDEX($A811:$AB811,MATCH("Xero Invoiced Ex GST",$A$1:$AB$1,0)),"")),0)</f>
        <v/>
      </c>
      <c r="AE811" s="53">
        <f>IFERROR(INDEX($A811:$AB811,MATCH("Xero Invoice Date",$A$1:$AB$1,0)),"")</f>
        <v/>
      </c>
      <c r="AF811" s="54">
        <f>IF(AND(IFERROR(INDEX($A811:$AB811,MATCH("Xero Invoice No",$A$1:$AB$1,0)),"")&amp;""&lt;&gt;"",ISNUMBER(AE811),AD811&lt;&gt;0),1,0)</f>
        <v/>
      </c>
      <c r="AG811" s="55">
        <f>IF(AF811=1,EOMONTH(AE811,0),"")</f>
        <v/>
      </c>
      <c r="AH811" s="9">
        <f>IF(AF811=1,UPPER(TRIM(IFERROR(INDEX($A811:$AB811,MATCH("Client",$A$1:$AB$1,0)),"")&amp;"")),"")</f>
        <v/>
      </c>
      <c r="AI811" s="9">
        <f>IF(AF811=1,IFERROR(INDEX($A811:$AB811,MATCH("Cost Centre",$A$1:$AB$1,0)),"")&amp;"","")</f>
        <v/>
      </c>
      <c r="AJ811" s="54">
        <f>IF(AND(AF811=1,AE811&gt;=set_FYStart,AE811&lt;=set_AsAt),1,0)</f>
        <v/>
      </c>
      <c r="AK811" s="54">
        <f>IF(AND(AJ811=1,AH811&lt;&gt;"",COUNTIFS($AH$2:AH811,AH811,$AJ$2:AJ811,1)=1),N(AL810)+1,"")</f>
        <v/>
      </c>
      <c r="AL811" s="54">
        <f>IF(AK811&lt;&gt;"",AK811,N(AL810))</f>
        <v/>
      </c>
    </row>
    <row r="812">
      <c r="A812" t="inlineStr">
        <is>
          <t>ONS-0271</t>
        </is>
      </c>
      <c r="B812" t="inlineStr">
        <is>
          <t>Onsite</t>
        </is>
      </c>
      <c r="AB812" t="n">
        <v>271</v>
      </c>
      <c r="AD812" s="52">
        <f>IFERROR(N(IFERROR(INDEX($A812:$AB812,MATCH("Xero Invoiced Ex GST",$A$1:$AB$1,0)),"")),0)</f>
        <v/>
      </c>
      <c r="AE812" s="53">
        <f>IFERROR(INDEX($A812:$AB812,MATCH("Xero Invoice Date",$A$1:$AB$1,0)),"")</f>
        <v/>
      </c>
      <c r="AF812" s="54">
        <f>IF(AND(IFERROR(INDEX($A812:$AB812,MATCH("Xero Invoice No",$A$1:$AB$1,0)),"")&amp;""&lt;&gt;"",ISNUMBER(AE812),AD812&lt;&gt;0),1,0)</f>
        <v/>
      </c>
      <c r="AG812" s="55">
        <f>IF(AF812=1,EOMONTH(AE812,0),"")</f>
        <v/>
      </c>
      <c r="AH812" s="9">
        <f>IF(AF812=1,UPPER(TRIM(IFERROR(INDEX($A812:$AB812,MATCH("Client",$A$1:$AB$1,0)),"")&amp;"")),"")</f>
        <v/>
      </c>
      <c r="AI812" s="9">
        <f>IF(AF812=1,IFERROR(INDEX($A812:$AB812,MATCH("Cost Centre",$A$1:$AB$1,0)),"")&amp;"","")</f>
        <v/>
      </c>
      <c r="AJ812" s="54">
        <f>IF(AND(AF812=1,AE812&gt;=set_FYStart,AE812&lt;=set_AsAt),1,0)</f>
        <v/>
      </c>
      <c r="AK812" s="54">
        <f>IF(AND(AJ812=1,AH812&lt;&gt;"",COUNTIFS($AH$2:AH812,AH812,$AJ$2:AJ812,1)=1),N(AL811)+1,"")</f>
        <v/>
      </c>
      <c r="AL812" s="54">
        <f>IF(AK812&lt;&gt;"",AK812,N(AL811))</f>
        <v/>
      </c>
    </row>
    <row r="813">
      <c r="A813" t="inlineStr">
        <is>
          <t>PRD-0271</t>
        </is>
      </c>
      <c r="B813" t="inlineStr">
        <is>
          <t>Production</t>
        </is>
      </c>
      <c r="AB813" t="n">
        <v>271</v>
      </c>
      <c r="AD813" s="52">
        <f>IFERROR(N(IFERROR(INDEX($A813:$AB813,MATCH("Xero Invoiced Ex GST",$A$1:$AB$1,0)),"")),0)</f>
        <v/>
      </c>
      <c r="AE813" s="53">
        <f>IFERROR(INDEX($A813:$AB813,MATCH("Xero Invoice Date",$A$1:$AB$1,0)),"")</f>
        <v/>
      </c>
      <c r="AF813" s="54">
        <f>IF(AND(IFERROR(INDEX($A813:$AB813,MATCH("Xero Invoice No",$A$1:$AB$1,0)),"")&amp;""&lt;&gt;"",ISNUMBER(AE813),AD813&lt;&gt;0),1,0)</f>
        <v/>
      </c>
      <c r="AG813" s="55">
        <f>IF(AF813=1,EOMONTH(AE813,0),"")</f>
        <v/>
      </c>
      <c r="AH813" s="9">
        <f>IF(AF813=1,UPPER(TRIM(IFERROR(INDEX($A813:$AB813,MATCH("Client",$A$1:$AB$1,0)),"")&amp;"")),"")</f>
        <v/>
      </c>
      <c r="AI813" s="9">
        <f>IF(AF813=1,IFERROR(INDEX($A813:$AB813,MATCH("Cost Centre",$A$1:$AB$1,0)),"")&amp;"","")</f>
        <v/>
      </c>
      <c r="AJ813" s="54">
        <f>IF(AND(AF813=1,AE813&gt;=set_FYStart,AE813&lt;=set_AsAt),1,0)</f>
        <v/>
      </c>
      <c r="AK813" s="54">
        <f>IF(AND(AJ813=1,AH813&lt;&gt;"",COUNTIFS($AH$2:AH813,AH813,$AJ$2:AJ813,1)=1),N(AL812)+1,"")</f>
        <v/>
      </c>
      <c r="AL813" s="54">
        <f>IF(AK813&lt;&gt;"",AK813,N(AL812))</f>
        <v/>
      </c>
    </row>
    <row r="814">
      <c r="A814" t="inlineStr">
        <is>
          <t>CON-0271</t>
        </is>
      </c>
      <c r="B814" t="inlineStr">
        <is>
          <t>Consulting</t>
        </is>
      </c>
      <c r="AB814" t="n">
        <v>271</v>
      </c>
      <c r="AD814" s="52">
        <f>IFERROR(N(IFERROR(INDEX($A814:$AB814,MATCH("Xero Invoiced Ex GST",$A$1:$AB$1,0)),"")),0)</f>
        <v/>
      </c>
      <c r="AE814" s="53">
        <f>IFERROR(INDEX($A814:$AB814,MATCH("Xero Invoice Date",$A$1:$AB$1,0)),"")</f>
        <v/>
      </c>
      <c r="AF814" s="54">
        <f>IF(AND(IFERROR(INDEX($A814:$AB814,MATCH("Xero Invoice No",$A$1:$AB$1,0)),"")&amp;""&lt;&gt;"",ISNUMBER(AE814),AD814&lt;&gt;0),1,0)</f>
        <v/>
      </c>
      <c r="AG814" s="55">
        <f>IF(AF814=1,EOMONTH(AE814,0),"")</f>
        <v/>
      </c>
      <c r="AH814" s="9">
        <f>IF(AF814=1,UPPER(TRIM(IFERROR(INDEX($A814:$AB814,MATCH("Client",$A$1:$AB$1,0)),"")&amp;"")),"")</f>
        <v/>
      </c>
      <c r="AI814" s="9">
        <f>IF(AF814=1,IFERROR(INDEX($A814:$AB814,MATCH("Cost Centre",$A$1:$AB$1,0)),"")&amp;"","")</f>
        <v/>
      </c>
      <c r="AJ814" s="54">
        <f>IF(AND(AF814=1,AE814&gt;=set_FYStart,AE814&lt;=set_AsAt),1,0)</f>
        <v/>
      </c>
      <c r="AK814" s="54">
        <f>IF(AND(AJ814=1,AH814&lt;&gt;"",COUNTIFS($AH$2:AH814,AH814,$AJ$2:AJ814,1)=1),N(AL813)+1,"")</f>
        <v/>
      </c>
      <c r="AL814" s="54">
        <f>IF(AK814&lt;&gt;"",AK814,N(AL813))</f>
        <v/>
      </c>
    </row>
    <row r="815">
      <c r="A815" t="inlineStr">
        <is>
          <t>ONS-0272</t>
        </is>
      </c>
      <c r="B815" t="inlineStr">
        <is>
          <t>Onsite</t>
        </is>
      </c>
      <c r="AB815" t="n">
        <v>272</v>
      </c>
      <c r="AD815" s="52">
        <f>IFERROR(N(IFERROR(INDEX($A815:$AB815,MATCH("Xero Invoiced Ex GST",$A$1:$AB$1,0)),"")),0)</f>
        <v/>
      </c>
      <c r="AE815" s="53">
        <f>IFERROR(INDEX($A815:$AB815,MATCH("Xero Invoice Date",$A$1:$AB$1,0)),"")</f>
        <v/>
      </c>
      <c r="AF815" s="54">
        <f>IF(AND(IFERROR(INDEX($A815:$AB815,MATCH("Xero Invoice No",$A$1:$AB$1,0)),"")&amp;""&lt;&gt;"",ISNUMBER(AE815),AD815&lt;&gt;0),1,0)</f>
        <v/>
      </c>
      <c r="AG815" s="55">
        <f>IF(AF815=1,EOMONTH(AE815,0),"")</f>
        <v/>
      </c>
      <c r="AH815" s="9">
        <f>IF(AF815=1,UPPER(TRIM(IFERROR(INDEX($A815:$AB815,MATCH("Client",$A$1:$AB$1,0)),"")&amp;"")),"")</f>
        <v/>
      </c>
      <c r="AI815" s="9">
        <f>IF(AF815=1,IFERROR(INDEX($A815:$AB815,MATCH("Cost Centre",$A$1:$AB$1,0)),"")&amp;"","")</f>
        <v/>
      </c>
      <c r="AJ815" s="54">
        <f>IF(AND(AF815=1,AE815&gt;=set_FYStart,AE815&lt;=set_AsAt),1,0)</f>
        <v/>
      </c>
      <c r="AK815" s="54">
        <f>IF(AND(AJ815=1,AH815&lt;&gt;"",COUNTIFS($AH$2:AH815,AH815,$AJ$2:AJ815,1)=1),N(AL814)+1,"")</f>
        <v/>
      </c>
      <c r="AL815" s="54">
        <f>IF(AK815&lt;&gt;"",AK815,N(AL814))</f>
        <v/>
      </c>
    </row>
    <row r="816">
      <c r="A816" t="inlineStr">
        <is>
          <t>PRD-0272</t>
        </is>
      </c>
      <c r="B816" t="inlineStr">
        <is>
          <t>Production</t>
        </is>
      </c>
      <c r="AB816" t="n">
        <v>272</v>
      </c>
      <c r="AD816" s="52">
        <f>IFERROR(N(IFERROR(INDEX($A816:$AB816,MATCH("Xero Invoiced Ex GST",$A$1:$AB$1,0)),"")),0)</f>
        <v/>
      </c>
      <c r="AE816" s="53">
        <f>IFERROR(INDEX($A816:$AB816,MATCH("Xero Invoice Date",$A$1:$AB$1,0)),"")</f>
        <v/>
      </c>
      <c r="AF816" s="54">
        <f>IF(AND(IFERROR(INDEX($A816:$AB816,MATCH("Xero Invoice No",$A$1:$AB$1,0)),"")&amp;""&lt;&gt;"",ISNUMBER(AE816),AD816&lt;&gt;0),1,0)</f>
        <v/>
      </c>
      <c r="AG816" s="55">
        <f>IF(AF816=1,EOMONTH(AE816,0),"")</f>
        <v/>
      </c>
      <c r="AH816" s="9">
        <f>IF(AF816=1,UPPER(TRIM(IFERROR(INDEX($A816:$AB816,MATCH("Client",$A$1:$AB$1,0)),"")&amp;"")),"")</f>
        <v/>
      </c>
      <c r="AI816" s="9">
        <f>IF(AF816=1,IFERROR(INDEX($A816:$AB816,MATCH("Cost Centre",$A$1:$AB$1,0)),"")&amp;"","")</f>
        <v/>
      </c>
      <c r="AJ816" s="54">
        <f>IF(AND(AF816=1,AE816&gt;=set_FYStart,AE816&lt;=set_AsAt),1,0)</f>
        <v/>
      </c>
      <c r="AK816" s="54">
        <f>IF(AND(AJ816=1,AH816&lt;&gt;"",COUNTIFS($AH$2:AH816,AH816,$AJ$2:AJ816,1)=1),N(AL815)+1,"")</f>
        <v/>
      </c>
      <c r="AL816" s="54">
        <f>IF(AK816&lt;&gt;"",AK816,N(AL815))</f>
        <v/>
      </c>
    </row>
    <row r="817">
      <c r="A817" t="inlineStr">
        <is>
          <t>CON-0272</t>
        </is>
      </c>
      <c r="B817" t="inlineStr">
        <is>
          <t>Consulting</t>
        </is>
      </c>
      <c r="AB817" t="n">
        <v>272</v>
      </c>
      <c r="AD817" s="52">
        <f>IFERROR(N(IFERROR(INDEX($A817:$AB817,MATCH("Xero Invoiced Ex GST",$A$1:$AB$1,0)),"")),0)</f>
        <v/>
      </c>
      <c r="AE817" s="53">
        <f>IFERROR(INDEX($A817:$AB817,MATCH("Xero Invoice Date",$A$1:$AB$1,0)),"")</f>
        <v/>
      </c>
      <c r="AF817" s="54">
        <f>IF(AND(IFERROR(INDEX($A817:$AB817,MATCH("Xero Invoice No",$A$1:$AB$1,0)),"")&amp;""&lt;&gt;"",ISNUMBER(AE817),AD817&lt;&gt;0),1,0)</f>
        <v/>
      </c>
      <c r="AG817" s="55">
        <f>IF(AF817=1,EOMONTH(AE817,0),"")</f>
        <v/>
      </c>
      <c r="AH817" s="9">
        <f>IF(AF817=1,UPPER(TRIM(IFERROR(INDEX($A817:$AB817,MATCH("Client",$A$1:$AB$1,0)),"")&amp;"")),"")</f>
        <v/>
      </c>
      <c r="AI817" s="9">
        <f>IF(AF817=1,IFERROR(INDEX($A817:$AB817,MATCH("Cost Centre",$A$1:$AB$1,0)),"")&amp;"","")</f>
        <v/>
      </c>
      <c r="AJ817" s="54">
        <f>IF(AND(AF817=1,AE817&gt;=set_FYStart,AE817&lt;=set_AsAt),1,0)</f>
        <v/>
      </c>
      <c r="AK817" s="54">
        <f>IF(AND(AJ817=1,AH817&lt;&gt;"",COUNTIFS($AH$2:AH817,AH817,$AJ$2:AJ817,1)=1),N(AL816)+1,"")</f>
        <v/>
      </c>
      <c r="AL817" s="54">
        <f>IF(AK817&lt;&gt;"",AK817,N(AL816))</f>
        <v/>
      </c>
    </row>
    <row r="818">
      <c r="A818" t="inlineStr">
        <is>
          <t>ONS-0273</t>
        </is>
      </c>
      <c r="B818" t="inlineStr">
        <is>
          <t>Onsite</t>
        </is>
      </c>
      <c r="AB818" t="n">
        <v>273</v>
      </c>
      <c r="AD818" s="52">
        <f>IFERROR(N(IFERROR(INDEX($A818:$AB818,MATCH("Xero Invoiced Ex GST",$A$1:$AB$1,0)),"")),0)</f>
        <v/>
      </c>
      <c r="AE818" s="53">
        <f>IFERROR(INDEX($A818:$AB818,MATCH("Xero Invoice Date",$A$1:$AB$1,0)),"")</f>
        <v/>
      </c>
      <c r="AF818" s="54">
        <f>IF(AND(IFERROR(INDEX($A818:$AB818,MATCH("Xero Invoice No",$A$1:$AB$1,0)),"")&amp;""&lt;&gt;"",ISNUMBER(AE818),AD818&lt;&gt;0),1,0)</f>
        <v/>
      </c>
      <c r="AG818" s="55">
        <f>IF(AF818=1,EOMONTH(AE818,0),"")</f>
        <v/>
      </c>
      <c r="AH818" s="9">
        <f>IF(AF818=1,UPPER(TRIM(IFERROR(INDEX($A818:$AB818,MATCH("Client",$A$1:$AB$1,0)),"")&amp;"")),"")</f>
        <v/>
      </c>
      <c r="AI818" s="9">
        <f>IF(AF818=1,IFERROR(INDEX($A818:$AB818,MATCH("Cost Centre",$A$1:$AB$1,0)),"")&amp;"","")</f>
        <v/>
      </c>
      <c r="AJ818" s="54">
        <f>IF(AND(AF818=1,AE818&gt;=set_FYStart,AE818&lt;=set_AsAt),1,0)</f>
        <v/>
      </c>
      <c r="AK818" s="54">
        <f>IF(AND(AJ818=1,AH818&lt;&gt;"",COUNTIFS($AH$2:AH818,AH818,$AJ$2:AJ818,1)=1),N(AL817)+1,"")</f>
        <v/>
      </c>
      <c r="AL818" s="54">
        <f>IF(AK818&lt;&gt;"",AK818,N(AL817))</f>
        <v/>
      </c>
    </row>
    <row r="819">
      <c r="A819" t="inlineStr">
        <is>
          <t>PRD-0273</t>
        </is>
      </c>
      <c r="B819" t="inlineStr">
        <is>
          <t>Production</t>
        </is>
      </c>
      <c r="AB819" t="n">
        <v>273</v>
      </c>
      <c r="AD819" s="52">
        <f>IFERROR(N(IFERROR(INDEX($A819:$AB819,MATCH("Xero Invoiced Ex GST",$A$1:$AB$1,0)),"")),0)</f>
        <v/>
      </c>
      <c r="AE819" s="53">
        <f>IFERROR(INDEX($A819:$AB819,MATCH("Xero Invoice Date",$A$1:$AB$1,0)),"")</f>
        <v/>
      </c>
      <c r="AF819" s="54">
        <f>IF(AND(IFERROR(INDEX($A819:$AB819,MATCH("Xero Invoice No",$A$1:$AB$1,0)),"")&amp;""&lt;&gt;"",ISNUMBER(AE819),AD819&lt;&gt;0),1,0)</f>
        <v/>
      </c>
      <c r="AG819" s="55">
        <f>IF(AF819=1,EOMONTH(AE819,0),"")</f>
        <v/>
      </c>
      <c r="AH819" s="9">
        <f>IF(AF819=1,UPPER(TRIM(IFERROR(INDEX($A819:$AB819,MATCH("Client",$A$1:$AB$1,0)),"")&amp;"")),"")</f>
        <v/>
      </c>
      <c r="AI819" s="9">
        <f>IF(AF819=1,IFERROR(INDEX($A819:$AB819,MATCH("Cost Centre",$A$1:$AB$1,0)),"")&amp;"","")</f>
        <v/>
      </c>
      <c r="AJ819" s="54">
        <f>IF(AND(AF819=1,AE819&gt;=set_FYStart,AE819&lt;=set_AsAt),1,0)</f>
        <v/>
      </c>
      <c r="AK819" s="54">
        <f>IF(AND(AJ819=1,AH819&lt;&gt;"",COUNTIFS($AH$2:AH819,AH819,$AJ$2:AJ819,1)=1),N(AL818)+1,"")</f>
        <v/>
      </c>
      <c r="AL819" s="54">
        <f>IF(AK819&lt;&gt;"",AK819,N(AL818))</f>
        <v/>
      </c>
    </row>
    <row r="820">
      <c r="A820" t="inlineStr">
        <is>
          <t>CON-0273</t>
        </is>
      </c>
      <c r="B820" t="inlineStr">
        <is>
          <t>Consulting</t>
        </is>
      </c>
      <c r="AB820" t="n">
        <v>273</v>
      </c>
      <c r="AD820" s="52">
        <f>IFERROR(N(IFERROR(INDEX($A820:$AB820,MATCH("Xero Invoiced Ex GST",$A$1:$AB$1,0)),"")),0)</f>
        <v/>
      </c>
      <c r="AE820" s="53">
        <f>IFERROR(INDEX($A820:$AB820,MATCH("Xero Invoice Date",$A$1:$AB$1,0)),"")</f>
        <v/>
      </c>
      <c r="AF820" s="54">
        <f>IF(AND(IFERROR(INDEX($A820:$AB820,MATCH("Xero Invoice No",$A$1:$AB$1,0)),"")&amp;""&lt;&gt;"",ISNUMBER(AE820),AD820&lt;&gt;0),1,0)</f>
        <v/>
      </c>
      <c r="AG820" s="55">
        <f>IF(AF820=1,EOMONTH(AE820,0),"")</f>
        <v/>
      </c>
      <c r="AH820" s="9">
        <f>IF(AF820=1,UPPER(TRIM(IFERROR(INDEX($A820:$AB820,MATCH("Client",$A$1:$AB$1,0)),"")&amp;"")),"")</f>
        <v/>
      </c>
      <c r="AI820" s="9">
        <f>IF(AF820=1,IFERROR(INDEX($A820:$AB820,MATCH("Cost Centre",$A$1:$AB$1,0)),"")&amp;"","")</f>
        <v/>
      </c>
      <c r="AJ820" s="54">
        <f>IF(AND(AF820=1,AE820&gt;=set_FYStart,AE820&lt;=set_AsAt),1,0)</f>
        <v/>
      </c>
      <c r="AK820" s="54">
        <f>IF(AND(AJ820=1,AH820&lt;&gt;"",COUNTIFS($AH$2:AH820,AH820,$AJ$2:AJ820,1)=1),N(AL819)+1,"")</f>
        <v/>
      </c>
      <c r="AL820" s="54">
        <f>IF(AK820&lt;&gt;"",AK820,N(AL819))</f>
        <v/>
      </c>
    </row>
    <row r="821">
      <c r="A821" t="inlineStr">
        <is>
          <t>ONS-0274</t>
        </is>
      </c>
      <c r="B821" t="inlineStr">
        <is>
          <t>Onsite</t>
        </is>
      </c>
      <c r="AB821" t="n">
        <v>274</v>
      </c>
      <c r="AD821" s="52">
        <f>IFERROR(N(IFERROR(INDEX($A821:$AB821,MATCH("Xero Invoiced Ex GST",$A$1:$AB$1,0)),"")),0)</f>
        <v/>
      </c>
      <c r="AE821" s="53">
        <f>IFERROR(INDEX($A821:$AB821,MATCH("Xero Invoice Date",$A$1:$AB$1,0)),"")</f>
        <v/>
      </c>
      <c r="AF821" s="54">
        <f>IF(AND(IFERROR(INDEX($A821:$AB821,MATCH("Xero Invoice No",$A$1:$AB$1,0)),"")&amp;""&lt;&gt;"",ISNUMBER(AE821),AD821&lt;&gt;0),1,0)</f>
        <v/>
      </c>
      <c r="AG821" s="55">
        <f>IF(AF821=1,EOMONTH(AE821,0),"")</f>
        <v/>
      </c>
      <c r="AH821" s="9">
        <f>IF(AF821=1,UPPER(TRIM(IFERROR(INDEX($A821:$AB821,MATCH("Client",$A$1:$AB$1,0)),"")&amp;"")),"")</f>
        <v/>
      </c>
      <c r="AI821" s="9">
        <f>IF(AF821=1,IFERROR(INDEX($A821:$AB821,MATCH("Cost Centre",$A$1:$AB$1,0)),"")&amp;"","")</f>
        <v/>
      </c>
      <c r="AJ821" s="54">
        <f>IF(AND(AF821=1,AE821&gt;=set_FYStart,AE821&lt;=set_AsAt),1,0)</f>
        <v/>
      </c>
      <c r="AK821" s="54">
        <f>IF(AND(AJ821=1,AH821&lt;&gt;"",COUNTIFS($AH$2:AH821,AH821,$AJ$2:AJ821,1)=1),N(AL820)+1,"")</f>
        <v/>
      </c>
      <c r="AL821" s="54">
        <f>IF(AK821&lt;&gt;"",AK821,N(AL820))</f>
        <v/>
      </c>
    </row>
    <row r="822">
      <c r="A822" t="inlineStr">
        <is>
          <t>PRD-0274</t>
        </is>
      </c>
      <c r="B822" t="inlineStr">
        <is>
          <t>Production</t>
        </is>
      </c>
      <c r="AB822" t="n">
        <v>274</v>
      </c>
      <c r="AD822" s="52">
        <f>IFERROR(N(IFERROR(INDEX($A822:$AB822,MATCH("Xero Invoiced Ex GST",$A$1:$AB$1,0)),"")),0)</f>
        <v/>
      </c>
      <c r="AE822" s="53">
        <f>IFERROR(INDEX($A822:$AB822,MATCH("Xero Invoice Date",$A$1:$AB$1,0)),"")</f>
        <v/>
      </c>
      <c r="AF822" s="54">
        <f>IF(AND(IFERROR(INDEX($A822:$AB822,MATCH("Xero Invoice No",$A$1:$AB$1,0)),"")&amp;""&lt;&gt;"",ISNUMBER(AE822),AD822&lt;&gt;0),1,0)</f>
        <v/>
      </c>
      <c r="AG822" s="55">
        <f>IF(AF822=1,EOMONTH(AE822,0),"")</f>
        <v/>
      </c>
      <c r="AH822" s="9">
        <f>IF(AF822=1,UPPER(TRIM(IFERROR(INDEX($A822:$AB822,MATCH("Client",$A$1:$AB$1,0)),"")&amp;"")),"")</f>
        <v/>
      </c>
      <c r="AI822" s="9">
        <f>IF(AF822=1,IFERROR(INDEX($A822:$AB822,MATCH("Cost Centre",$A$1:$AB$1,0)),"")&amp;"","")</f>
        <v/>
      </c>
      <c r="AJ822" s="54">
        <f>IF(AND(AF822=1,AE822&gt;=set_FYStart,AE822&lt;=set_AsAt),1,0)</f>
        <v/>
      </c>
      <c r="AK822" s="54">
        <f>IF(AND(AJ822=1,AH822&lt;&gt;"",COUNTIFS($AH$2:AH822,AH822,$AJ$2:AJ822,1)=1),N(AL821)+1,"")</f>
        <v/>
      </c>
      <c r="AL822" s="54">
        <f>IF(AK822&lt;&gt;"",AK822,N(AL821))</f>
        <v/>
      </c>
    </row>
    <row r="823">
      <c r="A823" t="inlineStr">
        <is>
          <t>CON-0274</t>
        </is>
      </c>
      <c r="B823" t="inlineStr">
        <is>
          <t>Consulting</t>
        </is>
      </c>
      <c r="AB823" t="n">
        <v>274</v>
      </c>
      <c r="AD823" s="52">
        <f>IFERROR(N(IFERROR(INDEX($A823:$AB823,MATCH("Xero Invoiced Ex GST",$A$1:$AB$1,0)),"")),0)</f>
        <v/>
      </c>
      <c r="AE823" s="53">
        <f>IFERROR(INDEX($A823:$AB823,MATCH("Xero Invoice Date",$A$1:$AB$1,0)),"")</f>
        <v/>
      </c>
      <c r="AF823" s="54">
        <f>IF(AND(IFERROR(INDEX($A823:$AB823,MATCH("Xero Invoice No",$A$1:$AB$1,0)),"")&amp;""&lt;&gt;"",ISNUMBER(AE823),AD823&lt;&gt;0),1,0)</f>
        <v/>
      </c>
      <c r="AG823" s="55">
        <f>IF(AF823=1,EOMONTH(AE823,0),"")</f>
        <v/>
      </c>
      <c r="AH823" s="9">
        <f>IF(AF823=1,UPPER(TRIM(IFERROR(INDEX($A823:$AB823,MATCH("Client",$A$1:$AB$1,0)),"")&amp;"")),"")</f>
        <v/>
      </c>
      <c r="AI823" s="9">
        <f>IF(AF823=1,IFERROR(INDEX($A823:$AB823,MATCH("Cost Centre",$A$1:$AB$1,0)),"")&amp;"","")</f>
        <v/>
      </c>
      <c r="AJ823" s="54">
        <f>IF(AND(AF823=1,AE823&gt;=set_FYStart,AE823&lt;=set_AsAt),1,0)</f>
        <v/>
      </c>
      <c r="AK823" s="54">
        <f>IF(AND(AJ823=1,AH823&lt;&gt;"",COUNTIFS($AH$2:AH823,AH823,$AJ$2:AJ823,1)=1),N(AL822)+1,"")</f>
        <v/>
      </c>
      <c r="AL823" s="54">
        <f>IF(AK823&lt;&gt;"",AK823,N(AL822))</f>
        <v/>
      </c>
    </row>
    <row r="824">
      <c r="A824" t="inlineStr">
        <is>
          <t>ONS-0275</t>
        </is>
      </c>
      <c r="B824" t="inlineStr">
        <is>
          <t>Onsite</t>
        </is>
      </c>
      <c r="AB824" t="n">
        <v>275</v>
      </c>
      <c r="AD824" s="52">
        <f>IFERROR(N(IFERROR(INDEX($A824:$AB824,MATCH("Xero Invoiced Ex GST",$A$1:$AB$1,0)),"")),0)</f>
        <v/>
      </c>
      <c r="AE824" s="53">
        <f>IFERROR(INDEX($A824:$AB824,MATCH("Xero Invoice Date",$A$1:$AB$1,0)),"")</f>
        <v/>
      </c>
      <c r="AF824" s="54">
        <f>IF(AND(IFERROR(INDEX($A824:$AB824,MATCH("Xero Invoice No",$A$1:$AB$1,0)),"")&amp;""&lt;&gt;"",ISNUMBER(AE824),AD824&lt;&gt;0),1,0)</f>
        <v/>
      </c>
      <c r="AG824" s="55">
        <f>IF(AF824=1,EOMONTH(AE824,0),"")</f>
        <v/>
      </c>
      <c r="AH824" s="9">
        <f>IF(AF824=1,UPPER(TRIM(IFERROR(INDEX($A824:$AB824,MATCH("Client",$A$1:$AB$1,0)),"")&amp;"")),"")</f>
        <v/>
      </c>
      <c r="AI824" s="9">
        <f>IF(AF824=1,IFERROR(INDEX($A824:$AB824,MATCH("Cost Centre",$A$1:$AB$1,0)),"")&amp;"","")</f>
        <v/>
      </c>
      <c r="AJ824" s="54">
        <f>IF(AND(AF824=1,AE824&gt;=set_FYStart,AE824&lt;=set_AsAt),1,0)</f>
        <v/>
      </c>
      <c r="AK824" s="54">
        <f>IF(AND(AJ824=1,AH824&lt;&gt;"",COUNTIFS($AH$2:AH824,AH824,$AJ$2:AJ824,1)=1),N(AL823)+1,"")</f>
        <v/>
      </c>
      <c r="AL824" s="54">
        <f>IF(AK824&lt;&gt;"",AK824,N(AL823))</f>
        <v/>
      </c>
    </row>
    <row r="825">
      <c r="A825" t="inlineStr">
        <is>
          <t>PRD-0275</t>
        </is>
      </c>
      <c r="B825" t="inlineStr">
        <is>
          <t>Production</t>
        </is>
      </c>
      <c r="AB825" t="n">
        <v>275</v>
      </c>
      <c r="AD825" s="52">
        <f>IFERROR(N(IFERROR(INDEX($A825:$AB825,MATCH("Xero Invoiced Ex GST",$A$1:$AB$1,0)),"")),0)</f>
        <v/>
      </c>
      <c r="AE825" s="53">
        <f>IFERROR(INDEX($A825:$AB825,MATCH("Xero Invoice Date",$A$1:$AB$1,0)),"")</f>
        <v/>
      </c>
      <c r="AF825" s="54">
        <f>IF(AND(IFERROR(INDEX($A825:$AB825,MATCH("Xero Invoice No",$A$1:$AB$1,0)),"")&amp;""&lt;&gt;"",ISNUMBER(AE825),AD825&lt;&gt;0),1,0)</f>
        <v/>
      </c>
      <c r="AG825" s="55">
        <f>IF(AF825=1,EOMONTH(AE825,0),"")</f>
        <v/>
      </c>
      <c r="AH825" s="9">
        <f>IF(AF825=1,UPPER(TRIM(IFERROR(INDEX($A825:$AB825,MATCH("Client",$A$1:$AB$1,0)),"")&amp;"")),"")</f>
        <v/>
      </c>
      <c r="AI825" s="9">
        <f>IF(AF825=1,IFERROR(INDEX($A825:$AB825,MATCH("Cost Centre",$A$1:$AB$1,0)),"")&amp;"","")</f>
        <v/>
      </c>
      <c r="AJ825" s="54">
        <f>IF(AND(AF825=1,AE825&gt;=set_FYStart,AE825&lt;=set_AsAt),1,0)</f>
        <v/>
      </c>
      <c r="AK825" s="54">
        <f>IF(AND(AJ825=1,AH825&lt;&gt;"",COUNTIFS($AH$2:AH825,AH825,$AJ$2:AJ825,1)=1),N(AL824)+1,"")</f>
        <v/>
      </c>
      <c r="AL825" s="54">
        <f>IF(AK825&lt;&gt;"",AK825,N(AL824))</f>
        <v/>
      </c>
    </row>
    <row r="826">
      <c r="A826" t="inlineStr">
        <is>
          <t>CON-0275</t>
        </is>
      </c>
      <c r="B826" t="inlineStr">
        <is>
          <t>Consulting</t>
        </is>
      </c>
      <c r="AB826" t="n">
        <v>275</v>
      </c>
      <c r="AD826" s="52">
        <f>IFERROR(N(IFERROR(INDEX($A826:$AB826,MATCH("Xero Invoiced Ex GST",$A$1:$AB$1,0)),"")),0)</f>
        <v/>
      </c>
      <c r="AE826" s="53">
        <f>IFERROR(INDEX($A826:$AB826,MATCH("Xero Invoice Date",$A$1:$AB$1,0)),"")</f>
        <v/>
      </c>
      <c r="AF826" s="54">
        <f>IF(AND(IFERROR(INDEX($A826:$AB826,MATCH("Xero Invoice No",$A$1:$AB$1,0)),"")&amp;""&lt;&gt;"",ISNUMBER(AE826),AD826&lt;&gt;0),1,0)</f>
        <v/>
      </c>
      <c r="AG826" s="55">
        <f>IF(AF826=1,EOMONTH(AE826,0),"")</f>
        <v/>
      </c>
      <c r="AH826" s="9">
        <f>IF(AF826=1,UPPER(TRIM(IFERROR(INDEX($A826:$AB826,MATCH("Client",$A$1:$AB$1,0)),"")&amp;"")),"")</f>
        <v/>
      </c>
      <c r="AI826" s="9">
        <f>IF(AF826=1,IFERROR(INDEX($A826:$AB826,MATCH("Cost Centre",$A$1:$AB$1,0)),"")&amp;"","")</f>
        <v/>
      </c>
      <c r="AJ826" s="54">
        <f>IF(AND(AF826=1,AE826&gt;=set_FYStart,AE826&lt;=set_AsAt),1,0)</f>
        <v/>
      </c>
      <c r="AK826" s="54">
        <f>IF(AND(AJ826=1,AH826&lt;&gt;"",COUNTIFS($AH$2:AH826,AH826,$AJ$2:AJ826,1)=1),N(AL825)+1,"")</f>
        <v/>
      </c>
      <c r="AL826" s="54">
        <f>IF(AK826&lt;&gt;"",AK826,N(AL825))</f>
        <v/>
      </c>
    </row>
    <row r="827">
      <c r="A827" t="inlineStr">
        <is>
          <t>ONS-0276</t>
        </is>
      </c>
      <c r="B827" t="inlineStr">
        <is>
          <t>Onsite</t>
        </is>
      </c>
      <c r="AB827" t="n">
        <v>276</v>
      </c>
      <c r="AD827" s="52">
        <f>IFERROR(N(IFERROR(INDEX($A827:$AB827,MATCH("Xero Invoiced Ex GST",$A$1:$AB$1,0)),"")),0)</f>
        <v/>
      </c>
      <c r="AE827" s="53">
        <f>IFERROR(INDEX($A827:$AB827,MATCH("Xero Invoice Date",$A$1:$AB$1,0)),"")</f>
        <v/>
      </c>
      <c r="AF827" s="54">
        <f>IF(AND(IFERROR(INDEX($A827:$AB827,MATCH("Xero Invoice No",$A$1:$AB$1,0)),"")&amp;""&lt;&gt;"",ISNUMBER(AE827),AD827&lt;&gt;0),1,0)</f>
        <v/>
      </c>
      <c r="AG827" s="55">
        <f>IF(AF827=1,EOMONTH(AE827,0),"")</f>
        <v/>
      </c>
      <c r="AH827" s="9">
        <f>IF(AF827=1,UPPER(TRIM(IFERROR(INDEX($A827:$AB827,MATCH("Client",$A$1:$AB$1,0)),"")&amp;"")),"")</f>
        <v/>
      </c>
      <c r="AI827" s="9">
        <f>IF(AF827=1,IFERROR(INDEX($A827:$AB827,MATCH("Cost Centre",$A$1:$AB$1,0)),"")&amp;"","")</f>
        <v/>
      </c>
      <c r="AJ827" s="54">
        <f>IF(AND(AF827=1,AE827&gt;=set_FYStart,AE827&lt;=set_AsAt),1,0)</f>
        <v/>
      </c>
      <c r="AK827" s="54">
        <f>IF(AND(AJ827=1,AH827&lt;&gt;"",COUNTIFS($AH$2:AH827,AH827,$AJ$2:AJ827,1)=1),N(AL826)+1,"")</f>
        <v/>
      </c>
      <c r="AL827" s="54">
        <f>IF(AK827&lt;&gt;"",AK827,N(AL826))</f>
        <v/>
      </c>
    </row>
    <row r="828">
      <c r="A828" t="inlineStr">
        <is>
          <t>PRD-0276</t>
        </is>
      </c>
      <c r="B828" t="inlineStr">
        <is>
          <t>Production</t>
        </is>
      </c>
      <c r="AB828" t="n">
        <v>276</v>
      </c>
      <c r="AD828" s="52">
        <f>IFERROR(N(IFERROR(INDEX($A828:$AB828,MATCH("Xero Invoiced Ex GST",$A$1:$AB$1,0)),"")),0)</f>
        <v/>
      </c>
      <c r="AE828" s="53">
        <f>IFERROR(INDEX($A828:$AB828,MATCH("Xero Invoice Date",$A$1:$AB$1,0)),"")</f>
        <v/>
      </c>
      <c r="AF828" s="54">
        <f>IF(AND(IFERROR(INDEX($A828:$AB828,MATCH("Xero Invoice No",$A$1:$AB$1,0)),"")&amp;""&lt;&gt;"",ISNUMBER(AE828),AD828&lt;&gt;0),1,0)</f>
        <v/>
      </c>
      <c r="AG828" s="55">
        <f>IF(AF828=1,EOMONTH(AE828,0),"")</f>
        <v/>
      </c>
      <c r="AH828" s="9">
        <f>IF(AF828=1,UPPER(TRIM(IFERROR(INDEX($A828:$AB828,MATCH("Client",$A$1:$AB$1,0)),"")&amp;"")),"")</f>
        <v/>
      </c>
      <c r="AI828" s="9">
        <f>IF(AF828=1,IFERROR(INDEX($A828:$AB828,MATCH("Cost Centre",$A$1:$AB$1,0)),"")&amp;"","")</f>
        <v/>
      </c>
      <c r="AJ828" s="54">
        <f>IF(AND(AF828=1,AE828&gt;=set_FYStart,AE828&lt;=set_AsAt),1,0)</f>
        <v/>
      </c>
      <c r="AK828" s="54">
        <f>IF(AND(AJ828=1,AH828&lt;&gt;"",COUNTIFS($AH$2:AH828,AH828,$AJ$2:AJ828,1)=1),N(AL827)+1,"")</f>
        <v/>
      </c>
      <c r="AL828" s="54">
        <f>IF(AK828&lt;&gt;"",AK828,N(AL827))</f>
        <v/>
      </c>
    </row>
    <row r="829">
      <c r="A829" t="inlineStr">
        <is>
          <t>CON-0276</t>
        </is>
      </c>
      <c r="B829" t="inlineStr">
        <is>
          <t>Consulting</t>
        </is>
      </c>
      <c r="AB829" t="n">
        <v>276</v>
      </c>
      <c r="AD829" s="52">
        <f>IFERROR(N(IFERROR(INDEX($A829:$AB829,MATCH("Xero Invoiced Ex GST",$A$1:$AB$1,0)),"")),0)</f>
        <v/>
      </c>
      <c r="AE829" s="53">
        <f>IFERROR(INDEX($A829:$AB829,MATCH("Xero Invoice Date",$A$1:$AB$1,0)),"")</f>
        <v/>
      </c>
      <c r="AF829" s="54">
        <f>IF(AND(IFERROR(INDEX($A829:$AB829,MATCH("Xero Invoice No",$A$1:$AB$1,0)),"")&amp;""&lt;&gt;"",ISNUMBER(AE829),AD829&lt;&gt;0),1,0)</f>
        <v/>
      </c>
      <c r="AG829" s="55">
        <f>IF(AF829=1,EOMONTH(AE829,0),"")</f>
        <v/>
      </c>
      <c r="AH829" s="9">
        <f>IF(AF829=1,UPPER(TRIM(IFERROR(INDEX($A829:$AB829,MATCH("Client",$A$1:$AB$1,0)),"")&amp;"")),"")</f>
        <v/>
      </c>
      <c r="AI829" s="9">
        <f>IF(AF829=1,IFERROR(INDEX($A829:$AB829,MATCH("Cost Centre",$A$1:$AB$1,0)),"")&amp;"","")</f>
        <v/>
      </c>
      <c r="AJ829" s="54">
        <f>IF(AND(AF829=1,AE829&gt;=set_FYStart,AE829&lt;=set_AsAt),1,0)</f>
        <v/>
      </c>
      <c r="AK829" s="54">
        <f>IF(AND(AJ829=1,AH829&lt;&gt;"",COUNTIFS($AH$2:AH829,AH829,$AJ$2:AJ829,1)=1),N(AL828)+1,"")</f>
        <v/>
      </c>
      <c r="AL829" s="54">
        <f>IF(AK829&lt;&gt;"",AK829,N(AL828))</f>
        <v/>
      </c>
    </row>
    <row r="830">
      <c r="A830" t="inlineStr">
        <is>
          <t>ONS-0277</t>
        </is>
      </c>
      <c r="B830" t="inlineStr">
        <is>
          <t>Onsite</t>
        </is>
      </c>
      <c r="AB830" t="n">
        <v>277</v>
      </c>
      <c r="AD830" s="52">
        <f>IFERROR(N(IFERROR(INDEX($A830:$AB830,MATCH("Xero Invoiced Ex GST",$A$1:$AB$1,0)),"")),0)</f>
        <v/>
      </c>
      <c r="AE830" s="53">
        <f>IFERROR(INDEX($A830:$AB830,MATCH("Xero Invoice Date",$A$1:$AB$1,0)),"")</f>
        <v/>
      </c>
      <c r="AF830" s="54">
        <f>IF(AND(IFERROR(INDEX($A830:$AB830,MATCH("Xero Invoice No",$A$1:$AB$1,0)),"")&amp;""&lt;&gt;"",ISNUMBER(AE830),AD830&lt;&gt;0),1,0)</f>
        <v/>
      </c>
      <c r="AG830" s="55">
        <f>IF(AF830=1,EOMONTH(AE830,0),"")</f>
        <v/>
      </c>
      <c r="AH830" s="9">
        <f>IF(AF830=1,UPPER(TRIM(IFERROR(INDEX($A830:$AB830,MATCH("Client",$A$1:$AB$1,0)),"")&amp;"")),"")</f>
        <v/>
      </c>
      <c r="AI830" s="9">
        <f>IF(AF830=1,IFERROR(INDEX($A830:$AB830,MATCH("Cost Centre",$A$1:$AB$1,0)),"")&amp;"","")</f>
        <v/>
      </c>
      <c r="AJ830" s="54">
        <f>IF(AND(AF830=1,AE830&gt;=set_FYStart,AE830&lt;=set_AsAt),1,0)</f>
        <v/>
      </c>
      <c r="AK830" s="54">
        <f>IF(AND(AJ830=1,AH830&lt;&gt;"",COUNTIFS($AH$2:AH830,AH830,$AJ$2:AJ830,1)=1),N(AL829)+1,"")</f>
        <v/>
      </c>
      <c r="AL830" s="54">
        <f>IF(AK830&lt;&gt;"",AK830,N(AL829))</f>
        <v/>
      </c>
    </row>
    <row r="831">
      <c r="A831" t="inlineStr">
        <is>
          <t>PRD-0277</t>
        </is>
      </c>
      <c r="B831" t="inlineStr">
        <is>
          <t>Production</t>
        </is>
      </c>
      <c r="AB831" t="n">
        <v>277</v>
      </c>
      <c r="AD831" s="52">
        <f>IFERROR(N(IFERROR(INDEX($A831:$AB831,MATCH("Xero Invoiced Ex GST",$A$1:$AB$1,0)),"")),0)</f>
        <v/>
      </c>
      <c r="AE831" s="53">
        <f>IFERROR(INDEX($A831:$AB831,MATCH("Xero Invoice Date",$A$1:$AB$1,0)),"")</f>
        <v/>
      </c>
      <c r="AF831" s="54">
        <f>IF(AND(IFERROR(INDEX($A831:$AB831,MATCH("Xero Invoice No",$A$1:$AB$1,0)),"")&amp;""&lt;&gt;"",ISNUMBER(AE831),AD831&lt;&gt;0),1,0)</f>
        <v/>
      </c>
      <c r="AG831" s="55">
        <f>IF(AF831=1,EOMONTH(AE831,0),"")</f>
        <v/>
      </c>
      <c r="AH831" s="9">
        <f>IF(AF831=1,UPPER(TRIM(IFERROR(INDEX($A831:$AB831,MATCH("Client",$A$1:$AB$1,0)),"")&amp;"")),"")</f>
        <v/>
      </c>
      <c r="AI831" s="9">
        <f>IF(AF831=1,IFERROR(INDEX($A831:$AB831,MATCH("Cost Centre",$A$1:$AB$1,0)),"")&amp;"","")</f>
        <v/>
      </c>
      <c r="AJ831" s="54">
        <f>IF(AND(AF831=1,AE831&gt;=set_FYStart,AE831&lt;=set_AsAt),1,0)</f>
        <v/>
      </c>
      <c r="AK831" s="54">
        <f>IF(AND(AJ831=1,AH831&lt;&gt;"",COUNTIFS($AH$2:AH831,AH831,$AJ$2:AJ831,1)=1),N(AL830)+1,"")</f>
        <v/>
      </c>
      <c r="AL831" s="54">
        <f>IF(AK831&lt;&gt;"",AK831,N(AL830))</f>
        <v/>
      </c>
    </row>
    <row r="832">
      <c r="A832" t="inlineStr">
        <is>
          <t>CON-0277</t>
        </is>
      </c>
      <c r="B832" t="inlineStr">
        <is>
          <t>Consulting</t>
        </is>
      </c>
      <c r="AB832" t="n">
        <v>277</v>
      </c>
      <c r="AD832" s="52">
        <f>IFERROR(N(IFERROR(INDEX($A832:$AB832,MATCH("Xero Invoiced Ex GST",$A$1:$AB$1,0)),"")),0)</f>
        <v/>
      </c>
      <c r="AE832" s="53">
        <f>IFERROR(INDEX($A832:$AB832,MATCH("Xero Invoice Date",$A$1:$AB$1,0)),"")</f>
        <v/>
      </c>
      <c r="AF832" s="54">
        <f>IF(AND(IFERROR(INDEX($A832:$AB832,MATCH("Xero Invoice No",$A$1:$AB$1,0)),"")&amp;""&lt;&gt;"",ISNUMBER(AE832),AD832&lt;&gt;0),1,0)</f>
        <v/>
      </c>
      <c r="AG832" s="55">
        <f>IF(AF832=1,EOMONTH(AE832,0),"")</f>
        <v/>
      </c>
      <c r="AH832" s="9">
        <f>IF(AF832=1,UPPER(TRIM(IFERROR(INDEX($A832:$AB832,MATCH("Client",$A$1:$AB$1,0)),"")&amp;"")),"")</f>
        <v/>
      </c>
      <c r="AI832" s="9">
        <f>IF(AF832=1,IFERROR(INDEX($A832:$AB832,MATCH("Cost Centre",$A$1:$AB$1,0)),"")&amp;"","")</f>
        <v/>
      </c>
      <c r="AJ832" s="54">
        <f>IF(AND(AF832=1,AE832&gt;=set_FYStart,AE832&lt;=set_AsAt),1,0)</f>
        <v/>
      </c>
      <c r="AK832" s="54">
        <f>IF(AND(AJ832=1,AH832&lt;&gt;"",COUNTIFS($AH$2:AH832,AH832,$AJ$2:AJ832,1)=1),N(AL831)+1,"")</f>
        <v/>
      </c>
      <c r="AL832" s="54">
        <f>IF(AK832&lt;&gt;"",AK832,N(AL831))</f>
        <v/>
      </c>
    </row>
    <row r="833">
      <c r="A833" t="inlineStr">
        <is>
          <t>ONS-0278</t>
        </is>
      </c>
      <c r="B833" t="inlineStr">
        <is>
          <t>Onsite</t>
        </is>
      </c>
      <c r="AB833" t="n">
        <v>278</v>
      </c>
      <c r="AD833" s="52">
        <f>IFERROR(N(IFERROR(INDEX($A833:$AB833,MATCH("Xero Invoiced Ex GST",$A$1:$AB$1,0)),"")),0)</f>
        <v/>
      </c>
      <c r="AE833" s="53">
        <f>IFERROR(INDEX($A833:$AB833,MATCH("Xero Invoice Date",$A$1:$AB$1,0)),"")</f>
        <v/>
      </c>
      <c r="AF833" s="54">
        <f>IF(AND(IFERROR(INDEX($A833:$AB833,MATCH("Xero Invoice No",$A$1:$AB$1,0)),"")&amp;""&lt;&gt;"",ISNUMBER(AE833),AD833&lt;&gt;0),1,0)</f>
        <v/>
      </c>
      <c r="AG833" s="55">
        <f>IF(AF833=1,EOMONTH(AE833,0),"")</f>
        <v/>
      </c>
      <c r="AH833" s="9">
        <f>IF(AF833=1,UPPER(TRIM(IFERROR(INDEX($A833:$AB833,MATCH("Client",$A$1:$AB$1,0)),"")&amp;"")),"")</f>
        <v/>
      </c>
      <c r="AI833" s="9">
        <f>IF(AF833=1,IFERROR(INDEX($A833:$AB833,MATCH("Cost Centre",$A$1:$AB$1,0)),"")&amp;"","")</f>
        <v/>
      </c>
      <c r="AJ833" s="54">
        <f>IF(AND(AF833=1,AE833&gt;=set_FYStart,AE833&lt;=set_AsAt),1,0)</f>
        <v/>
      </c>
      <c r="AK833" s="54">
        <f>IF(AND(AJ833=1,AH833&lt;&gt;"",COUNTIFS($AH$2:AH833,AH833,$AJ$2:AJ833,1)=1),N(AL832)+1,"")</f>
        <v/>
      </c>
      <c r="AL833" s="54">
        <f>IF(AK833&lt;&gt;"",AK833,N(AL832))</f>
        <v/>
      </c>
    </row>
    <row r="834">
      <c r="A834" t="inlineStr">
        <is>
          <t>PRD-0278</t>
        </is>
      </c>
      <c r="B834" t="inlineStr">
        <is>
          <t>Production</t>
        </is>
      </c>
      <c r="AB834" t="n">
        <v>278</v>
      </c>
      <c r="AD834" s="52">
        <f>IFERROR(N(IFERROR(INDEX($A834:$AB834,MATCH("Xero Invoiced Ex GST",$A$1:$AB$1,0)),"")),0)</f>
        <v/>
      </c>
      <c r="AE834" s="53">
        <f>IFERROR(INDEX($A834:$AB834,MATCH("Xero Invoice Date",$A$1:$AB$1,0)),"")</f>
        <v/>
      </c>
      <c r="AF834" s="54">
        <f>IF(AND(IFERROR(INDEX($A834:$AB834,MATCH("Xero Invoice No",$A$1:$AB$1,0)),"")&amp;""&lt;&gt;"",ISNUMBER(AE834),AD834&lt;&gt;0),1,0)</f>
        <v/>
      </c>
      <c r="AG834" s="55">
        <f>IF(AF834=1,EOMONTH(AE834,0),"")</f>
        <v/>
      </c>
      <c r="AH834" s="9">
        <f>IF(AF834=1,UPPER(TRIM(IFERROR(INDEX($A834:$AB834,MATCH("Client",$A$1:$AB$1,0)),"")&amp;"")),"")</f>
        <v/>
      </c>
      <c r="AI834" s="9">
        <f>IF(AF834=1,IFERROR(INDEX($A834:$AB834,MATCH("Cost Centre",$A$1:$AB$1,0)),"")&amp;"","")</f>
        <v/>
      </c>
      <c r="AJ834" s="54">
        <f>IF(AND(AF834=1,AE834&gt;=set_FYStart,AE834&lt;=set_AsAt),1,0)</f>
        <v/>
      </c>
      <c r="AK834" s="54">
        <f>IF(AND(AJ834=1,AH834&lt;&gt;"",COUNTIFS($AH$2:AH834,AH834,$AJ$2:AJ834,1)=1),N(AL833)+1,"")</f>
        <v/>
      </c>
      <c r="AL834" s="54">
        <f>IF(AK834&lt;&gt;"",AK834,N(AL833))</f>
        <v/>
      </c>
    </row>
    <row r="835">
      <c r="A835" t="inlineStr">
        <is>
          <t>CON-0278</t>
        </is>
      </c>
      <c r="B835" t="inlineStr">
        <is>
          <t>Consulting</t>
        </is>
      </c>
      <c r="AB835" t="n">
        <v>278</v>
      </c>
      <c r="AD835" s="52">
        <f>IFERROR(N(IFERROR(INDEX($A835:$AB835,MATCH("Xero Invoiced Ex GST",$A$1:$AB$1,0)),"")),0)</f>
        <v/>
      </c>
      <c r="AE835" s="53">
        <f>IFERROR(INDEX($A835:$AB835,MATCH("Xero Invoice Date",$A$1:$AB$1,0)),"")</f>
        <v/>
      </c>
      <c r="AF835" s="54">
        <f>IF(AND(IFERROR(INDEX($A835:$AB835,MATCH("Xero Invoice No",$A$1:$AB$1,0)),"")&amp;""&lt;&gt;"",ISNUMBER(AE835),AD835&lt;&gt;0),1,0)</f>
        <v/>
      </c>
      <c r="AG835" s="55">
        <f>IF(AF835=1,EOMONTH(AE835,0),"")</f>
        <v/>
      </c>
      <c r="AH835" s="9">
        <f>IF(AF835=1,UPPER(TRIM(IFERROR(INDEX($A835:$AB835,MATCH("Client",$A$1:$AB$1,0)),"")&amp;"")),"")</f>
        <v/>
      </c>
      <c r="AI835" s="9">
        <f>IF(AF835=1,IFERROR(INDEX($A835:$AB835,MATCH("Cost Centre",$A$1:$AB$1,0)),"")&amp;"","")</f>
        <v/>
      </c>
      <c r="AJ835" s="54">
        <f>IF(AND(AF835=1,AE835&gt;=set_FYStart,AE835&lt;=set_AsAt),1,0)</f>
        <v/>
      </c>
      <c r="AK835" s="54">
        <f>IF(AND(AJ835=1,AH835&lt;&gt;"",COUNTIFS($AH$2:AH835,AH835,$AJ$2:AJ835,1)=1),N(AL834)+1,"")</f>
        <v/>
      </c>
      <c r="AL835" s="54">
        <f>IF(AK835&lt;&gt;"",AK835,N(AL834))</f>
        <v/>
      </c>
    </row>
    <row r="836">
      <c r="A836" t="inlineStr">
        <is>
          <t>ONS-0279</t>
        </is>
      </c>
      <c r="B836" t="inlineStr">
        <is>
          <t>Onsite</t>
        </is>
      </c>
      <c r="AB836" t="n">
        <v>279</v>
      </c>
      <c r="AD836" s="52">
        <f>IFERROR(N(IFERROR(INDEX($A836:$AB836,MATCH("Xero Invoiced Ex GST",$A$1:$AB$1,0)),"")),0)</f>
        <v/>
      </c>
      <c r="AE836" s="53">
        <f>IFERROR(INDEX($A836:$AB836,MATCH("Xero Invoice Date",$A$1:$AB$1,0)),"")</f>
        <v/>
      </c>
      <c r="AF836" s="54">
        <f>IF(AND(IFERROR(INDEX($A836:$AB836,MATCH("Xero Invoice No",$A$1:$AB$1,0)),"")&amp;""&lt;&gt;"",ISNUMBER(AE836),AD836&lt;&gt;0),1,0)</f>
        <v/>
      </c>
      <c r="AG836" s="55">
        <f>IF(AF836=1,EOMONTH(AE836,0),"")</f>
        <v/>
      </c>
      <c r="AH836" s="9">
        <f>IF(AF836=1,UPPER(TRIM(IFERROR(INDEX($A836:$AB836,MATCH("Client",$A$1:$AB$1,0)),"")&amp;"")),"")</f>
        <v/>
      </c>
      <c r="AI836" s="9">
        <f>IF(AF836=1,IFERROR(INDEX($A836:$AB836,MATCH("Cost Centre",$A$1:$AB$1,0)),"")&amp;"","")</f>
        <v/>
      </c>
      <c r="AJ836" s="54">
        <f>IF(AND(AF836=1,AE836&gt;=set_FYStart,AE836&lt;=set_AsAt),1,0)</f>
        <v/>
      </c>
      <c r="AK836" s="54">
        <f>IF(AND(AJ836=1,AH836&lt;&gt;"",COUNTIFS($AH$2:AH836,AH836,$AJ$2:AJ836,1)=1),N(AL835)+1,"")</f>
        <v/>
      </c>
      <c r="AL836" s="54">
        <f>IF(AK836&lt;&gt;"",AK836,N(AL835))</f>
        <v/>
      </c>
    </row>
    <row r="837">
      <c r="A837" t="inlineStr">
        <is>
          <t>PRD-0279</t>
        </is>
      </c>
      <c r="B837" t="inlineStr">
        <is>
          <t>Production</t>
        </is>
      </c>
      <c r="AB837" t="n">
        <v>279</v>
      </c>
      <c r="AD837" s="52">
        <f>IFERROR(N(IFERROR(INDEX($A837:$AB837,MATCH("Xero Invoiced Ex GST",$A$1:$AB$1,0)),"")),0)</f>
        <v/>
      </c>
      <c r="AE837" s="53">
        <f>IFERROR(INDEX($A837:$AB837,MATCH("Xero Invoice Date",$A$1:$AB$1,0)),"")</f>
        <v/>
      </c>
      <c r="AF837" s="54">
        <f>IF(AND(IFERROR(INDEX($A837:$AB837,MATCH("Xero Invoice No",$A$1:$AB$1,0)),"")&amp;""&lt;&gt;"",ISNUMBER(AE837),AD837&lt;&gt;0),1,0)</f>
        <v/>
      </c>
      <c r="AG837" s="55">
        <f>IF(AF837=1,EOMONTH(AE837,0),"")</f>
        <v/>
      </c>
      <c r="AH837" s="9">
        <f>IF(AF837=1,UPPER(TRIM(IFERROR(INDEX($A837:$AB837,MATCH("Client",$A$1:$AB$1,0)),"")&amp;"")),"")</f>
        <v/>
      </c>
      <c r="AI837" s="9">
        <f>IF(AF837=1,IFERROR(INDEX($A837:$AB837,MATCH("Cost Centre",$A$1:$AB$1,0)),"")&amp;"","")</f>
        <v/>
      </c>
      <c r="AJ837" s="54">
        <f>IF(AND(AF837=1,AE837&gt;=set_FYStart,AE837&lt;=set_AsAt),1,0)</f>
        <v/>
      </c>
      <c r="AK837" s="54">
        <f>IF(AND(AJ837=1,AH837&lt;&gt;"",COUNTIFS($AH$2:AH837,AH837,$AJ$2:AJ837,1)=1),N(AL836)+1,"")</f>
        <v/>
      </c>
      <c r="AL837" s="54">
        <f>IF(AK837&lt;&gt;"",AK837,N(AL836))</f>
        <v/>
      </c>
    </row>
    <row r="838">
      <c r="A838" t="inlineStr">
        <is>
          <t>CON-0279</t>
        </is>
      </c>
      <c r="B838" t="inlineStr">
        <is>
          <t>Consulting</t>
        </is>
      </c>
      <c r="AB838" t="n">
        <v>279</v>
      </c>
      <c r="AD838" s="52">
        <f>IFERROR(N(IFERROR(INDEX($A838:$AB838,MATCH("Xero Invoiced Ex GST",$A$1:$AB$1,0)),"")),0)</f>
        <v/>
      </c>
      <c r="AE838" s="53">
        <f>IFERROR(INDEX($A838:$AB838,MATCH("Xero Invoice Date",$A$1:$AB$1,0)),"")</f>
        <v/>
      </c>
      <c r="AF838" s="54">
        <f>IF(AND(IFERROR(INDEX($A838:$AB838,MATCH("Xero Invoice No",$A$1:$AB$1,0)),"")&amp;""&lt;&gt;"",ISNUMBER(AE838),AD838&lt;&gt;0),1,0)</f>
        <v/>
      </c>
      <c r="AG838" s="55">
        <f>IF(AF838=1,EOMONTH(AE838,0),"")</f>
        <v/>
      </c>
      <c r="AH838" s="9">
        <f>IF(AF838=1,UPPER(TRIM(IFERROR(INDEX($A838:$AB838,MATCH("Client",$A$1:$AB$1,0)),"")&amp;"")),"")</f>
        <v/>
      </c>
      <c r="AI838" s="9">
        <f>IF(AF838=1,IFERROR(INDEX($A838:$AB838,MATCH("Cost Centre",$A$1:$AB$1,0)),"")&amp;"","")</f>
        <v/>
      </c>
      <c r="AJ838" s="54">
        <f>IF(AND(AF838=1,AE838&gt;=set_FYStart,AE838&lt;=set_AsAt),1,0)</f>
        <v/>
      </c>
      <c r="AK838" s="54">
        <f>IF(AND(AJ838=1,AH838&lt;&gt;"",COUNTIFS($AH$2:AH838,AH838,$AJ$2:AJ838,1)=1),N(AL837)+1,"")</f>
        <v/>
      </c>
      <c r="AL838" s="54">
        <f>IF(AK838&lt;&gt;"",AK838,N(AL837))</f>
        <v/>
      </c>
    </row>
    <row r="839">
      <c r="A839" t="inlineStr">
        <is>
          <t>ONS-0280</t>
        </is>
      </c>
      <c r="B839" t="inlineStr">
        <is>
          <t>Onsite</t>
        </is>
      </c>
      <c r="AB839" t="n">
        <v>280</v>
      </c>
      <c r="AD839" s="52">
        <f>IFERROR(N(IFERROR(INDEX($A839:$AB839,MATCH("Xero Invoiced Ex GST",$A$1:$AB$1,0)),"")),0)</f>
        <v/>
      </c>
      <c r="AE839" s="53">
        <f>IFERROR(INDEX($A839:$AB839,MATCH("Xero Invoice Date",$A$1:$AB$1,0)),"")</f>
        <v/>
      </c>
      <c r="AF839" s="54">
        <f>IF(AND(IFERROR(INDEX($A839:$AB839,MATCH("Xero Invoice No",$A$1:$AB$1,0)),"")&amp;""&lt;&gt;"",ISNUMBER(AE839),AD839&lt;&gt;0),1,0)</f>
        <v/>
      </c>
      <c r="AG839" s="55">
        <f>IF(AF839=1,EOMONTH(AE839,0),"")</f>
        <v/>
      </c>
      <c r="AH839" s="9">
        <f>IF(AF839=1,UPPER(TRIM(IFERROR(INDEX($A839:$AB839,MATCH("Client",$A$1:$AB$1,0)),"")&amp;"")),"")</f>
        <v/>
      </c>
      <c r="AI839" s="9">
        <f>IF(AF839=1,IFERROR(INDEX($A839:$AB839,MATCH("Cost Centre",$A$1:$AB$1,0)),"")&amp;"","")</f>
        <v/>
      </c>
      <c r="AJ839" s="54">
        <f>IF(AND(AF839=1,AE839&gt;=set_FYStart,AE839&lt;=set_AsAt),1,0)</f>
        <v/>
      </c>
      <c r="AK839" s="54">
        <f>IF(AND(AJ839=1,AH839&lt;&gt;"",COUNTIFS($AH$2:AH839,AH839,$AJ$2:AJ839,1)=1),N(AL838)+1,"")</f>
        <v/>
      </c>
      <c r="AL839" s="54">
        <f>IF(AK839&lt;&gt;"",AK839,N(AL838))</f>
        <v/>
      </c>
    </row>
    <row r="840">
      <c r="A840" t="inlineStr">
        <is>
          <t>PRD-0280</t>
        </is>
      </c>
      <c r="B840" t="inlineStr">
        <is>
          <t>Production</t>
        </is>
      </c>
      <c r="AB840" t="n">
        <v>280</v>
      </c>
      <c r="AD840" s="52">
        <f>IFERROR(N(IFERROR(INDEX($A840:$AB840,MATCH("Xero Invoiced Ex GST",$A$1:$AB$1,0)),"")),0)</f>
        <v/>
      </c>
      <c r="AE840" s="53">
        <f>IFERROR(INDEX($A840:$AB840,MATCH("Xero Invoice Date",$A$1:$AB$1,0)),"")</f>
        <v/>
      </c>
      <c r="AF840" s="54">
        <f>IF(AND(IFERROR(INDEX($A840:$AB840,MATCH("Xero Invoice No",$A$1:$AB$1,0)),"")&amp;""&lt;&gt;"",ISNUMBER(AE840),AD840&lt;&gt;0),1,0)</f>
        <v/>
      </c>
      <c r="AG840" s="55">
        <f>IF(AF840=1,EOMONTH(AE840,0),"")</f>
        <v/>
      </c>
      <c r="AH840" s="9">
        <f>IF(AF840=1,UPPER(TRIM(IFERROR(INDEX($A840:$AB840,MATCH("Client",$A$1:$AB$1,0)),"")&amp;"")),"")</f>
        <v/>
      </c>
      <c r="AI840" s="9">
        <f>IF(AF840=1,IFERROR(INDEX($A840:$AB840,MATCH("Cost Centre",$A$1:$AB$1,0)),"")&amp;"","")</f>
        <v/>
      </c>
      <c r="AJ840" s="54">
        <f>IF(AND(AF840=1,AE840&gt;=set_FYStart,AE840&lt;=set_AsAt),1,0)</f>
        <v/>
      </c>
      <c r="AK840" s="54">
        <f>IF(AND(AJ840=1,AH840&lt;&gt;"",COUNTIFS($AH$2:AH840,AH840,$AJ$2:AJ840,1)=1),N(AL839)+1,"")</f>
        <v/>
      </c>
      <c r="AL840" s="54">
        <f>IF(AK840&lt;&gt;"",AK840,N(AL839))</f>
        <v/>
      </c>
    </row>
    <row r="841">
      <c r="A841" t="inlineStr">
        <is>
          <t>CON-0280</t>
        </is>
      </c>
      <c r="B841" t="inlineStr">
        <is>
          <t>Consulting</t>
        </is>
      </c>
      <c r="AB841" t="n">
        <v>280</v>
      </c>
      <c r="AD841" s="52">
        <f>IFERROR(N(IFERROR(INDEX($A841:$AB841,MATCH("Xero Invoiced Ex GST",$A$1:$AB$1,0)),"")),0)</f>
        <v/>
      </c>
      <c r="AE841" s="53">
        <f>IFERROR(INDEX($A841:$AB841,MATCH("Xero Invoice Date",$A$1:$AB$1,0)),"")</f>
        <v/>
      </c>
      <c r="AF841" s="54">
        <f>IF(AND(IFERROR(INDEX($A841:$AB841,MATCH("Xero Invoice No",$A$1:$AB$1,0)),"")&amp;""&lt;&gt;"",ISNUMBER(AE841),AD841&lt;&gt;0),1,0)</f>
        <v/>
      </c>
      <c r="AG841" s="55">
        <f>IF(AF841=1,EOMONTH(AE841,0),"")</f>
        <v/>
      </c>
      <c r="AH841" s="9">
        <f>IF(AF841=1,UPPER(TRIM(IFERROR(INDEX($A841:$AB841,MATCH("Client",$A$1:$AB$1,0)),"")&amp;"")),"")</f>
        <v/>
      </c>
      <c r="AI841" s="9">
        <f>IF(AF841=1,IFERROR(INDEX($A841:$AB841,MATCH("Cost Centre",$A$1:$AB$1,0)),"")&amp;"","")</f>
        <v/>
      </c>
      <c r="AJ841" s="54">
        <f>IF(AND(AF841=1,AE841&gt;=set_FYStart,AE841&lt;=set_AsAt),1,0)</f>
        <v/>
      </c>
      <c r="AK841" s="54">
        <f>IF(AND(AJ841=1,AH841&lt;&gt;"",COUNTIFS($AH$2:AH841,AH841,$AJ$2:AJ841,1)=1),N(AL840)+1,"")</f>
        <v/>
      </c>
      <c r="AL841" s="54">
        <f>IF(AK841&lt;&gt;"",AK841,N(AL840))</f>
        <v/>
      </c>
    </row>
    <row r="842">
      <c r="A842" t="inlineStr">
        <is>
          <t>ONS-0281</t>
        </is>
      </c>
      <c r="B842" t="inlineStr">
        <is>
          <t>Onsite</t>
        </is>
      </c>
      <c r="AB842" t="n">
        <v>281</v>
      </c>
      <c r="AD842" s="52">
        <f>IFERROR(N(IFERROR(INDEX($A842:$AB842,MATCH("Xero Invoiced Ex GST",$A$1:$AB$1,0)),"")),0)</f>
        <v/>
      </c>
      <c r="AE842" s="53">
        <f>IFERROR(INDEX($A842:$AB842,MATCH("Xero Invoice Date",$A$1:$AB$1,0)),"")</f>
        <v/>
      </c>
      <c r="AF842" s="54">
        <f>IF(AND(IFERROR(INDEX($A842:$AB842,MATCH("Xero Invoice No",$A$1:$AB$1,0)),"")&amp;""&lt;&gt;"",ISNUMBER(AE842),AD842&lt;&gt;0),1,0)</f>
        <v/>
      </c>
      <c r="AG842" s="55">
        <f>IF(AF842=1,EOMONTH(AE842,0),"")</f>
        <v/>
      </c>
      <c r="AH842" s="9">
        <f>IF(AF842=1,UPPER(TRIM(IFERROR(INDEX($A842:$AB842,MATCH("Client",$A$1:$AB$1,0)),"")&amp;"")),"")</f>
        <v/>
      </c>
      <c r="AI842" s="9">
        <f>IF(AF842=1,IFERROR(INDEX($A842:$AB842,MATCH("Cost Centre",$A$1:$AB$1,0)),"")&amp;"","")</f>
        <v/>
      </c>
      <c r="AJ842" s="54">
        <f>IF(AND(AF842=1,AE842&gt;=set_FYStart,AE842&lt;=set_AsAt),1,0)</f>
        <v/>
      </c>
      <c r="AK842" s="54">
        <f>IF(AND(AJ842=1,AH842&lt;&gt;"",COUNTIFS($AH$2:AH842,AH842,$AJ$2:AJ842,1)=1),N(AL841)+1,"")</f>
        <v/>
      </c>
      <c r="AL842" s="54">
        <f>IF(AK842&lt;&gt;"",AK842,N(AL841))</f>
        <v/>
      </c>
    </row>
    <row r="843">
      <c r="A843" t="inlineStr">
        <is>
          <t>PRD-0281</t>
        </is>
      </c>
      <c r="B843" t="inlineStr">
        <is>
          <t>Production</t>
        </is>
      </c>
      <c r="AB843" t="n">
        <v>281</v>
      </c>
      <c r="AD843" s="52">
        <f>IFERROR(N(IFERROR(INDEX($A843:$AB843,MATCH("Xero Invoiced Ex GST",$A$1:$AB$1,0)),"")),0)</f>
        <v/>
      </c>
      <c r="AE843" s="53">
        <f>IFERROR(INDEX($A843:$AB843,MATCH("Xero Invoice Date",$A$1:$AB$1,0)),"")</f>
        <v/>
      </c>
      <c r="AF843" s="54">
        <f>IF(AND(IFERROR(INDEX($A843:$AB843,MATCH("Xero Invoice No",$A$1:$AB$1,0)),"")&amp;""&lt;&gt;"",ISNUMBER(AE843),AD843&lt;&gt;0),1,0)</f>
        <v/>
      </c>
      <c r="AG843" s="55">
        <f>IF(AF843=1,EOMONTH(AE843,0),"")</f>
        <v/>
      </c>
      <c r="AH843" s="9">
        <f>IF(AF843=1,UPPER(TRIM(IFERROR(INDEX($A843:$AB843,MATCH("Client",$A$1:$AB$1,0)),"")&amp;"")),"")</f>
        <v/>
      </c>
      <c r="AI843" s="9">
        <f>IF(AF843=1,IFERROR(INDEX($A843:$AB843,MATCH("Cost Centre",$A$1:$AB$1,0)),"")&amp;"","")</f>
        <v/>
      </c>
      <c r="AJ843" s="54">
        <f>IF(AND(AF843=1,AE843&gt;=set_FYStart,AE843&lt;=set_AsAt),1,0)</f>
        <v/>
      </c>
      <c r="AK843" s="54">
        <f>IF(AND(AJ843=1,AH843&lt;&gt;"",COUNTIFS($AH$2:AH843,AH843,$AJ$2:AJ843,1)=1),N(AL842)+1,"")</f>
        <v/>
      </c>
      <c r="AL843" s="54">
        <f>IF(AK843&lt;&gt;"",AK843,N(AL842))</f>
        <v/>
      </c>
    </row>
    <row r="844">
      <c r="A844" t="inlineStr">
        <is>
          <t>CON-0281</t>
        </is>
      </c>
      <c r="B844" t="inlineStr">
        <is>
          <t>Consulting</t>
        </is>
      </c>
      <c r="AB844" t="n">
        <v>281</v>
      </c>
      <c r="AD844" s="52">
        <f>IFERROR(N(IFERROR(INDEX($A844:$AB844,MATCH("Xero Invoiced Ex GST",$A$1:$AB$1,0)),"")),0)</f>
        <v/>
      </c>
      <c r="AE844" s="53">
        <f>IFERROR(INDEX($A844:$AB844,MATCH("Xero Invoice Date",$A$1:$AB$1,0)),"")</f>
        <v/>
      </c>
      <c r="AF844" s="54">
        <f>IF(AND(IFERROR(INDEX($A844:$AB844,MATCH("Xero Invoice No",$A$1:$AB$1,0)),"")&amp;""&lt;&gt;"",ISNUMBER(AE844),AD844&lt;&gt;0),1,0)</f>
        <v/>
      </c>
      <c r="AG844" s="55">
        <f>IF(AF844=1,EOMONTH(AE844,0),"")</f>
        <v/>
      </c>
      <c r="AH844" s="9">
        <f>IF(AF844=1,UPPER(TRIM(IFERROR(INDEX($A844:$AB844,MATCH("Client",$A$1:$AB$1,0)),"")&amp;"")),"")</f>
        <v/>
      </c>
      <c r="AI844" s="9">
        <f>IF(AF844=1,IFERROR(INDEX($A844:$AB844,MATCH("Cost Centre",$A$1:$AB$1,0)),"")&amp;"","")</f>
        <v/>
      </c>
      <c r="AJ844" s="54">
        <f>IF(AND(AF844=1,AE844&gt;=set_FYStart,AE844&lt;=set_AsAt),1,0)</f>
        <v/>
      </c>
      <c r="AK844" s="54">
        <f>IF(AND(AJ844=1,AH844&lt;&gt;"",COUNTIFS($AH$2:AH844,AH844,$AJ$2:AJ844,1)=1),N(AL843)+1,"")</f>
        <v/>
      </c>
      <c r="AL844" s="54">
        <f>IF(AK844&lt;&gt;"",AK844,N(AL843))</f>
        <v/>
      </c>
    </row>
    <row r="845">
      <c r="A845" t="inlineStr">
        <is>
          <t>ONS-0282</t>
        </is>
      </c>
      <c r="B845" t="inlineStr">
        <is>
          <t>Onsite</t>
        </is>
      </c>
      <c r="AB845" t="n">
        <v>282</v>
      </c>
      <c r="AD845" s="52">
        <f>IFERROR(N(IFERROR(INDEX($A845:$AB845,MATCH("Xero Invoiced Ex GST",$A$1:$AB$1,0)),"")),0)</f>
        <v/>
      </c>
      <c r="AE845" s="53">
        <f>IFERROR(INDEX($A845:$AB845,MATCH("Xero Invoice Date",$A$1:$AB$1,0)),"")</f>
        <v/>
      </c>
      <c r="AF845" s="54">
        <f>IF(AND(IFERROR(INDEX($A845:$AB845,MATCH("Xero Invoice No",$A$1:$AB$1,0)),"")&amp;""&lt;&gt;"",ISNUMBER(AE845),AD845&lt;&gt;0),1,0)</f>
        <v/>
      </c>
      <c r="AG845" s="55">
        <f>IF(AF845=1,EOMONTH(AE845,0),"")</f>
        <v/>
      </c>
      <c r="AH845" s="9">
        <f>IF(AF845=1,UPPER(TRIM(IFERROR(INDEX($A845:$AB845,MATCH("Client",$A$1:$AB$1,0)),"")&amp;"")),"")</f>
        <v/>
      </c>
      <c r="AI845" s="9">
        <f>IF(AF845=1,IFERROR(INDEX($A845:$AB845,MATCH("Cost Centre",$A$1:$AB$1,0)),"")&amp;"","")</f>
        <v/>
      </c>
      <c r="AJ845" s="54">
        <f>IF(AND(AF845=1,AE845&gt;=set_FYStart,AE845&lt;=set_AsAt),1,0)</f>
        <v/>
      </c>
      <c r="AK845" s="54">
        <f>IF(AND(AJ845=1,AH845&lt;&gt;"",COUNTIFS($AH$2:AH845,AH845,$AJ$2:AJ845,1)=1),N(AL844)+1,"")</f>
        <v/>
      </c>
      <c r="AL845" s="54">
        <f>IF(AK845&lt;&gt;"",AK845,N(AL844))</f>
        <v/>
      </c>
    </row>
    <row r="846">
      <c r="A846" t="inlineStr">
        <is>
          <t>PRD-0282</t>
        </is>
      </c>
      <c r="B846" t="inlineStr">
        <is>
          <t>Production</t>
        </is>
      </c>
      <c r="AB846" t="n">
        <v>282</v>
      </c>
      <c r="AD846" s="52">
        <f>IFERROR(N(IFERROR(INDEX($A846:$AB846,MATCH("Xero Invoiced Ex GST",$A$1:$AB$1,0)),"")),0)</f>
        <v/>
      </c>
      <c r="AE846" s="53">
        <f>IFERROR(INDEX($A846:$AB846,MATCH("Xero Invoice Date",$A$1:$AB$1,0)),"")</f>
        <v/>
      </c>
      <c r="AF846" s="54">
        <f>IF(AND(IFERROR(INDEX($A846:$AB846,MATCH("Xero Invoice No",$A$1:$AB$1,0)),"")&amp;""&lt;&gt;"",ISNUMBER(AE846),AD846&lt;&gt;0),1,0)</f>
        <v/>
      </c>
      <c r="AG846" s="55">
        <f>IF(AF846=1,EOMONTH(AE846,0),"")</f>
        <v/>
      </c>
      <c r="AH846" s="9">
        <f>IF(AF846=1,UPPER(TRIM(IFERROR(INDEX($A846:$AB846,MATCH("Client",$A$1:$AB$1,0)),"")&amp;"")),"")</f>
        <v/>
      </c>
      <c r="AI846" s="9">
        <f>IF(AF846=1,IFERROR(INDEX($A846:$AB846,MATCH("Cost Centre",$A$1:$AB$1,0)),"")&amp;"","")</f>
        <v/>
      </c>
      <c r="AJ846" s="54">
        <f>IF(AND(AF846=1,AE846&gt;=set_FYStart,AE846&lt;=set_AsAt),1,0)</f>
        <v/>
      </c>
      <c r="AK846" s="54">
        <f>IF(AND(AJ846=1,AH846&lt;&gt;"",COUNTIFS($AH$2:AH846,AH846,$AJ$2:AJ846,1)=1),N(AL845)+1,"")</f>
        <v/>
      </c>
      <c r="AL846" s="54">
        <f>IF(AK846&lt;&gt;"",AK846,N(AL845))</f>
        <v/>
      </c>
    </row>
    <row r="847">
      <c r="A847" t="inlineStr">
        <is>
          <t>CON-0282</t>
        </is>
      </c>
      <c r="B847" t="inlineStr">
        <is>
          <t>Consulting</t>
        </is>
      </c>
      <c r="AB847" t="n">
        <v>282</v>
      </c>
      <c r="AD847" s="52">
        <f>IFERROR(N(IFERROR(INDEX($A847:$AB847,MATCH("Xero Invoiced Ex GST",$A$1:$AB$1,0)),"")),0)</f>
        <v/>
      </c>
      <c r="AE847" s="53">
        <f>IFERROR(INDEX($A847:$AB847,MATCH("Xero Invoice Date",$A$1:$AB$1,0)),"")</f>
        <v/>
      </c>
      <c r="AF847" s="54">
        <f>IF(AND(IFERROR(INDEX($A847:$AB847,MATCH("Xero Invoice No",$A$1:$AB$1,0)),"")&amp;""&lt;&gt;"",ISNUMBER(AE847),AD847&lt;&gt;0),1,0)</f>
        <v/>
      </c>
      <c r="AG847" s="55">
        <f>IF(AF847=1,EOMONTH(AE847,0),"")</f>
        <v/>
      </c>
      <c r="AH847" s="9">
        <f>IF(AF847=1,UPPER(TRIM(IFERROR(INDEX($A847:$AB847,MATCH("Client",$A$1:$AB$1,0)),"")&amp;"")),"")</f>
        <v/>
      </c>
      <c r="AI847" s="9">
        <f>IF(AF847=1,IFERROR(INDEX($A847:$AB847,MATCH("Cost Centre",$A$1:$AB$1,0)),"")&amp;"","")</f>
        <v/>
      </c>
      <c r="AJ847" s="54">
        <f>IF(AND(AF847=1,AE847&gt;=set_FYStart,AE847&lt;=set_AsAt),1,0)</f>
        <v/>
      </c>
      <c r="AK847" s="54">
        <f>IF(AND(AJ847=1,AH847&lt;&gt;"",COUNTIFS($AH$2:AH847,AH847,$AJ$2:AJ847,1)=1),N(AL846)+1,"")</f>
        <v/>
      </c>
      <c r="AL847" s="54">
        <f>IF(AK847&lt;&gt;"",AK847,N(AL846))</f>
        <v/>
      </c>
    </row>
    <row r="848">
      <c r="A848" t="inlineStr">
        <is>
          <t>ONS-0283</t>
        </is>
      </c>
      <c r="B848" t="inlineStr">
        <is>
          <t>Onsite</t>
        </is>
      </c>
      <c r="AB848" t="n">
        <v>283</v>
      </c>
      <c r="AD848" s="52">
        <f>IFERROR(N(IFERROR(INDEX($A848:$AB848,MATCH("Xero Invoiced Ex GST",$A$1:$AB$1,0)),"")),0)</f>
        <v/>
      </c>
      <c r="AE848" s="53">
        <f>IFERROR(INDEX($A848:$AB848,MATCH("Xero Invoice Date",$A$1:$AB$1,0)),"")</f>
        <v/>
      </c>
      <c r="AF848" s="54">
        <f>IF(AND(IFERROR(INDEX($A848:$AB848,MATCH("Xero Invoice No",$A$1:$AB$1,0)),"")&amp;""&lt;&gt;"",ISNUMBER(AE848),AD848&lt;&gt;0),1,0)</f>
        <v/>
      </c>
      <c r="AG848" s="55">
        <f>IF(AF848=1,EOMONTH(AE848,0),"")</f>
        <v/>
      </c>
      <c r="AH848" s="9">
        <f>IF(AF848=1,UPPER(TRIM(IFERROR(INDEX($A848:$AB848,MATCH("Client",$A$1:$AB$1,0)),"")&amp;"")),"")</f>
        <v/>
      </c>
      <c r="AI848" s="9">
        <f>IF(AF848=1,IFERROR(INDEX($A848:$AB848,MATCH("Cost Centre",$A$1:$AB$1,0)),"")&amp;"","")</f>
        <v/>
      </c>
      <c r="AJ848" s="54">
        <f>IF(AND(AF848=1,AE848&gt;=set_FYStart,AE848&lt;=set_AsAt),1,0)</f>
        <v/>
      </c>
      <c r="AK848" s="54">
        <f>IF(AND(AJ848=1,AH848&lt;&gt;"",COUNTIFS($AH$2:AH848,AH848,$AJ$2:AJ848,1)=1),N(AL847)+1,"")</f>
        <v/>
      </c>
      <c r="AL848" s="54">
        <f>IF(AK848&lt;&gt;"",AK848,N(AL847))</f>
        <v/>
      </c>
    </row>
    <row r="849">
      <c r="A849" t="inlineStr">
        <is>
          <t>PRD-0283</t>
        </is>
      </c>
      <c r="B849" t="inlineStr">
        <is>
          <t>Production</t>
        </is>
      </c>
      <c r="AB849" t="n">
        <v>283</v>
      </c>
      <c r="AD849" s="52">
        <f>IFERROR(N(IFERROR(INDEX($A849:$AB849,MATCH("Xero Invoiced Ex GST",$A$1:$AB$1,0)),"")),0)</f>
        <v/>
      </c>
      <c r="AE849" s="53">
        <f>IFERROR(INDEX($A849:$AB849,MATCH("Xero Invoice Date",$A$1:$AB$1,0)),"")</f>
        <v/>
      </c>
      <c r="AF849" s="54">
        <f>IF(AND(IFERROR(INDEX($A849:$AB849,MATCH("Xero Invoice No",$A$1:$AB$1,0)),"")&amp;""&lt;&gt;"",ISNUMBER(AE849),AD849&lt;&gt;0),1,0)</f>
        <v/>
      </c>
      <c r="AG849" s="55">
        <f>IF(AF849=1,EOMONTH(AE849,0),"")</f>
        <v/>
      </c>
      <c r="AH849" s="9">
        <f>IF(AF849=1,UPPER(TRIM(IFERROR(INDEX($A849:$AB849,MATCH("Client",$A$1:$AB$1,0)),"")&amp;"")),"")</f>
        <v/>
      </c>
      <c r="AI849" s="9">
        <f>IF(AF849=1,IFERROR(INDEX($A849:$AB849,MATCH("Cost Centre",$A$1:$AB$1,0)),"")&amp;"","")</f>
        <v/>
      </c>
      <c r="AJ849" s="54">
        <f>IF(AND(AF849=1,AE849&gt;=set_FYStart,AE849&lt;=set_AsAt),1,0)</f>
        <v/>
      </c>
      <c r="AK849" s="54">
        <f>IF(AND(AJ849=1,AH849&lt;&gt;"",COUNTIFS($AH$2:AH849,AH849,$AJ$2:AJ849,1)=1),N(AL848)+1,"")</f>
        <v/>
      </c>
      <c r="AL849" s="54">
        <f>IF(AK849&lt;&gt;"",AK849,N(AL848))</f>
        <v/>
      </c>
    </row>
    <row r="850">
      <c r="A850" t="inlineStr">
        <is>
          <t>CON-0283</t>
        </is>
      </c>
      <c r="B850" t="inlineStr">
        <is>
          <t>Consulting</t>
        </is>
      </c>
      <c r="AB850" t="n">
        <v>283</v>
      </c>
      <c r="AD850" s="52">
        <f>IFERROR(N(IFERROR(INDEX($A850:$AB850,MATCH("Xero Invoiced Ex GST",$A$1:$AB$1,0)),"")),0)</f>
        <v/>
      </c>
      <c r="AE850" s="53">
        <f>IFERROR(INDEX($A850:$AB850,MATCH("Xero Invoice Date",$A$1:$AB$1,0)),"")</f>
        <v/>
      </c>
      <c r="AF850" s="54">
        <f>IF(AND(IFERROR(INDEX($A850:$AB850,MATCH("Xero Invoice No",$A$1:$AB$1,0)),"")&amp;""&lt;&gt;"",ISNUMBER(AE850),AD850&lt;&gt;0),1,0)</f>
        <v/>
      </c>
      <c r="AG850" s="55">
        <f>IF(AF850=1,EOMONTH(AE850,0),"")</f>
        <v/>
      </c>
      <c r="AH850" s="9">
        <f>IF(AF850=1,UPPER(TRIM(IFERROR(INDEX($A850:$AB850,MATCH("Client",$A$1:$AB$1,0)),"")&amp;"")),"")</f>
        <v/>
      </c>
      <c r="AI850" s="9">
        <f>IF(AF850=1,IFERROR(INDEX($A850:$AB850,MATCH("Cost Centre",$A$1:$AB$1,0)),"")&amp;"","")</f>
        <v/>
      </c>
      <c r="AJ850" s="54">
        <f>IF(AND(AF850=1,AE850&gt;=set_FYStart,AE850&lt;=set_AsAt),1,0)</f>
        <v/>
      </c>
      <c r="AK850" s="54">
        <f>IF(AND(AJ850=1,AH850&lt;&gt;"",COUNTIFS($AH$2:AH850,AH850,$AJ$2:AJ850,1)=1),N(AL849)+1,"")</f>
        <v/>
      </c>
      <c r="AL850" s="54">
        <f>IF(AK850&lt;&gt;"",AK850,N(AL849))</f>
        <v/>
      </c>
    </row>
    <row r="851">
      <c r="A851" t="inlineStr">
        <is>
          <t>ONS-0284</t>
        </is>
      </c>
      <c r="B851" t="inlineStr">
        <is>
          <t>Onsite</t>
        </is>
      </c>
      <c r="AB851" t="n">
        <v>284</v>
      </c>
      <c r="AD851" s="52">
        <f>IFERROR(N(IFERROR(INDEX($A851:$AB851,MATCH("Xero Invoiced Ex GST",$A$1:$AB$1,0)),"")),0)</f>
        <v/>
      </c>
      <c r="AE851" s="53">
        <f>IFERROR(INDEX($A851:$AB851,MATCH("Xero Invoice Date",$A$1:$AB$1,0)),"")</f>
        <v/>
      </c>
      <c r="AF851" s="54">
        <f>IF(AND(IFERROR(INDEX($A851:$AB851,MATCH("Xero Invoice No",$A$1:$AB$1,0)),"")&amp;""&lt;&gt;"",ISNUMBER(AE851),AD851&lt;&gt;0),1,0)</f>
        <v/>
      </c>
      <c r="AG851" s="55">
        <f>IF(AF851=1,EOMONTH(AE851,0),"")</f>
        <v/>
      </c>
      <c r="AH851" s="9">
        <f>IF(AF851=1,UPPER(TRIM(IFERROR(INDEX($A851:$AB851,MATCH("Client",$A$1:$AB$1,0)),"")&amp;"")),"")</f>
        <v/>
      </c>
      <c r="AI851" s="9">
        <f>IF(AF851=1,IFERROR(INDEX($A851:$AB851,MATCH("Cost Centre",$A$1:$AB$1,0)),"")&amp;"","")</f>
        <v/>
      </c>
      <c r="AJ851" s="54">
        <f>IF(AND(AF851=1,AE851&gt;=set_FYStart,AE851&lt;=set_AsAt),1,0)</f>
        <v/>
      </c>
      <c r="AK851" s="54">
        <f>IF(AND(AJ851=1,AH851&lt;&gt;"",COUNTIFS($AH$2:AH851,AH851,$AJ$2:AJ851,1)=1),N(AL850)+1,"")</f>
        <v/>
      </c>
      <c r="AL851" s="54">
        <f>IF(AK851&lt;&gt;"",AK851,N(AL850))</f>
        <v/>
      </c>
    </row>
    <row r="852">
      <c r="A852" t="inlineStr">
        <is>
          <t>PRD-0284</t>
        </is>
      </c>
      <c r="B852" t="inlineStr">
        <is>
          <t>Production</t>
        </is>
      </c>
      <c r="AB852" t="n">
        <v>284</v>
      </c>
      <c r="AD852" s="52">
        <f>IFERROR(N(IFERROR(INDEX($A852:$AB852,MATCH("Xero Invoiced Ex GST",$A$1:$AB$1,0)),"")),0)</f>
        <v/>
      </c>
      <c r="AE852" s="53">
        <f>IFERROR(INDEX($A852:$AB852,MATCH("Xero Invoice Date",$A$1:$AB$1,0)),"")</f>
        <v/>
      </c>
      <c r="AF852" s="54">
        <f>IF(AND(IFERROR(INDEX($A852:$AB852,MATCH("Xero Invoice No",$A$1:$AB$1,0)),"")&amp;""&lt;&gt;"",ISNUMBER(AE852),AD852&lt;&gt;0),1,0)</f>
        <v/>
      </c>
      <c r="AG852" s="55">
        <f>IF(AF852=1,EOMONTH(AE852,0),"")</f>
        <v/>
      </c>
      <c r="AH852" s="9">
        <f>IF(AF852=1,UPPER(TRIM(IFERROR(INDEX($A852:$AB852,MATCH("Client",$A$1:$AB$1,0)),"")&amp;"")),"")</f>
        <v/>
      </c>
      <c r="AI852" s="9">
        <f>IF(AF852=1,IFERROR(INDEX($A852:$AB852,MATCH("Cost Centre",$A$1:$AB$1,0)),"")&amp;"","")</f>
        <v/>
      </c>
      <c r="AJ852" s="54">
        <f>IF(AND(AF852=1,AE852&gt;=set_FYStart,AE852&lt;=set_AsAt),1,0)</f>
        <v/>
      </c>
      <c r="AK852" s="54">
        <f>IF(AND(AJ852=1,AH852&lt;&gt;"",COUNTIFS($AH$2:AH852,AH852,$AJ$2:AJ852,1)=1),N(AL851)+1,"")</f>
        <v/>
      </c>
      <c r="AL852" s="54">
        <f>IF(AK852&lt;&gt;"",AK852,N(AL851))</f>
        <v/>
      </c>
    </row>
    <row r="853">
      <c r="A853" t="inlineStr">
        <is>
          <t>CON-0284</t>
        </is>
      </c>
      <c r="B853" t="inlineStr">
        <is>
          <t>Consulting</t>
        </is>
      </c>
      <c r="AB853" t="n">
        <v>284</v>
      </c>
      <c r="AD853" s="52">
        <f>IFERROR(N(IFERROR(INDEX($A853:$AB853,MATCH("Xero Invoiced Ex GST",$A$1:$AB$1,0)),"")),0)</f>
        <v/>
      </c>
      <c r="AE853" s="53">
        <f>IFERROR(INDEX($A853:$AB853,MATCH("Xero Invoice Date",$A$1:$AB$1,0)),"")</f>
        <v/>
      </c>
      <c r="AF853" s="54">
        <f>IF(AND(IFERROR(INDEX($A853:$AB853,MATCH("Xero Invoice No",$A$1:$AB$1,0)),"")&amp;""&lt;&gt;"",ISNUMBER(AE853),AD853&lt;&gt;0),1,0)</f>
        <v/>
      </c>
      <c r="AG853" s="55">
        <f>IF(AF853=1,EOMONTH(AE853,0),"")</f>
        <v/>
      </c>
      <c r="AH853" s="9">
        <f>IF(AF853=1,UPPER(TRIM(IFERROR(INDEX($A853:$AB853,MATCH("Client",$A$1:$AB$1,0)),"")&amp;"")),"")</f>
        <v/>
      </c>
      <c r="AI853" s="9">
        <f>IF(AF853=1,IFERROR(INDEX($A853:$AB853,MATCH("Cost Centre",$A$1:$AB$1,0)),"")&amp;"","")</f>
        <v/>
      </c>
      <c r="AJ853" s="54">
        <f>IF(AND(AF853=1,AE853&gt;=set_FYStart,AE853&lt;=set_AsAt),1,0)</f>
        <v/>
      </c>
      <c r="AK853" s="54">
        <f>IF(AND(AJ853=1,AH853&lt;&gt;"",COUNTIFS($AH$2:AH853,AH853,$AJ$2:AJ853,1)=1),N(AL852)+1,"")</f>
        <v/>
      </c>
      <c r="AL853" s="54">
        <f>IF(AK853&lt;&gt;"",AK853,N(AL852))</f>
        <v/>
      </c>
    </row>
    <row r="854">
      <c r="A854" t="inlineStr">
        <is>
          <t>ONS-0285</t>
        </is>
      </c>
      <c r="B854" t="inlineStr">
        <is>
          <t>Onsite</t>
        </is>
      </c>
      <c r="AB854" t="n">
        <v>285</v>
      </c>
      <c r="AD854" s="52">
        <f>IFERROR(N(IFERROR(INDEX($A854:$AB854,MATCH("Xero Invoiced Ex GST",$A$1:$AB$1,0)),"")),0)</f>
        <v/>
      </c>
      <c r="AE854" s="53">
        <f>IFERROR(INDEX($A854:$AB854,MATCH("Xero Invoice Date",$A$1:$AB$1,0)),"")</f>
        <v/>
      </c>
      <c r="AF854" s="54">
        <f>IF(AND(IFERROR(INDEX($A854:$AB854,MATCH("Xero Invoice No",$A$1:$AB$1,0)),"")&amp;""&lt;&gt;"",ISNUMBER(AE854),AD854&lt;&gt;0),1,0)</f>
        <v/>
      </c>
      <c r="AG854" s="55">
        <f>IF(AF854=1,EOMONTH(AE854,0),"")</f>
        <v/>
      </c>
      <c r="AH854" s="9">
        <f>IF(AF854=1,UPPER(TRIM(IFERROR(INDEX($A854:$AB854,MATCH("Client",$A$1:$AB$1,0)),"")&amp;"")),"")</f>
        <v/>
      </c>
      <c r="AI854" s="9">
        <f>IF(AF854=1,IFERROR(INDEX($A854:$AB854,MATCH("Cost Centre",$A$1:$AB$1,0)),"")&amp;"","")</f>
        <v/>
      </c>
      <c r="AJ854" s="54">
        <f>IF(AND(AF854=1,AE854&gt;=set_FYStart,AE854&lt;=set_AsAt),1,0)</f>
        <v/>
      </c>
      <c r="AK854" s="54">
        <f>IF(AND(AJ854=1,AH854&lt;&gt;"",COUNTIFS($AH$2:AH854,AH854,$AJ$2:AJ854,1)=1),N(AL853)+1,"")</f>
        <v/>
      </c>
      <c r="AL854" s="54">
        <f>IF(AK854&lt;&gt;"",AK854,N(AL853))</f>
        <v/>
      </c>
    </row>
    <row r="855">
      <c r="A855" t="inlineStr">
        <is>
          <t>PRD-0285</t>
        </is>
      </c>
      <c r="B855" t="inlineStr">
        <is>
          <t>Production</t>
        </is>
      </c>
      <c r="AB855" t="n">
        <v>285</v>
      </c>
      <c r="AD855" s="52">
        <f>IFERROR(N(IFERROR(INDEX($A855:$AB855,MATCH("Xero Invoiced Ex GST",$A$1:$AB$1,0)),"")),0)</f>
        <v/>
      </c>
      <c r="AE855" s="53">
        <f>IFERROR(INDEX($A855:$AB855,MATCH("Xero Invoice Date",$A$1:$AB$1,0)),"")</f>
        <v/>
      </c>
      <c r="AF855" s="54">
        <f>IF(AND(IFERROR(INDEX($A855:$AB855,MATCH("Xero Invoice No",$A$1:$AB$1,0)),"")&amp;""&lt;&gt;"",ISNUMBER(AE855),AD855&lt;&gt;0),1,0)</f>
        <v/>
      </c>
      <c r="AG855" s="55">
        <f>IF(AF855=1,EOMONTH(AE855,0),"")</f>
        <v/>
      </c>
      <c r="AH855" s="9">
        <f>IF(AF855=1,UPPER(TRIM(IFERROR(INDEX($A855:$AB855,MATCH("Client",$A$1:$AB$1,0)),"")&amp;"")),"")</f>
        <v/>
      </c>
      <c r="AI855" s="9">
        <f>IF(AF855=1,IFERROR(INDEX($A855:$AB855,MATCH("Cost Centre",$A$1:$AB$1,0)),"")&amp;"","")</f>
        <v/>
      </c>
      <c r="AJ855" s="54">
        <f>IF(AND(AF855=1,AE855&gt;=set_FYStart,AE855&lt;=set_AsAt),1,0)</f>
        <v/>
      </c>
      <c r="AK855" s="54">
        <f>IF(AND(AJ855=1,AH855&lt;&gt;"",COUNTIFS($AH$2:AH855,AH855,$AJ$2:AJ855,1)=1),N(AL854)+1,"")</f>
        <v/>
      </c>
      <c r="AL855" s="54">
        <f>IF(AK855&lt;&gt;"",AK855,N(AL854))</f>
        <v/>
      </c>
    </row>
    <row r="856">
      <c r="A856" t="inlineStr">
        <is>
          <t>CON-0285</t>
        </is>
      </c>
      <c r="B856" t="inlineStr">
        <is>
          <t>Consulting</t>
        </is>
      </c>
      <c r="AB856" t="n">
        <v>285</v>
      </c>
      <c r="AD856" s="52">
        <f>IFERROR(N(IFERROR(INDEX($A856:$AB856,MATCH("Xero Invoiced Ex GST",$A$1:$AB$1,0)),"")),0)</f>
        <v/>
      </c>
      <c r="AE856" s="53">
        <f>IFERROR(INDEX($A856:$AB856,MATCH("Xero Invoice Date",$A$1:$AB$1,0)),"")</f>
        <v/>
      </c>
      <c r="AF856" s="54">
        <f>IF(AND(IFERROR(INDEX($A856:$AB856,MATCH("Xero Invoice No",$A$1:$AB$1,0)),"")&amp;""&lt;&gt;"",ISNUMBER(AE856),AD856&lt;&gt;0),1,0)</f>
        <v/>
      </c>
      <c r="AG856" s="55">
        <f>IF(AF856=1,EOMONTH(AE856,0),"")</f>
        <v/>
      </c>
      <c r="AH856" s="9">
        <f>IF(AF856=1,UPPER(TRIM(IFERROR(INDEX($A856:$AB856,MATCH("Client",$A$1:$AB$1,0)),"")&amp;"")),"")</f>
        <v/>
      </c>
      <c r="AI856" s="9">
        <f>IF(AF856=1,IFERROR(INDEX($A856:$AB856,MATCH("Cost Centre",$A$1:$AB$1,0)),"")&amp;"","")</f>
        <v/>
      </c>
      <c r="AJ856" s="54">
        <f>IF(AND(AF856=1,AE856&gt;=set_FYStart,AE856&lt;=set_AsAt),1,0)</f>
        <v/>
      </c>
      <c r="AK856" s="54">
        <f>IF(AND(AJ856=1,AH856&lt;&gt;"",COUNTIFS($AH$2:AH856,AH856,$AJ$2:AJ856,1)=1),N(AL855)+1,"")</f>
        <v/>
      </c>
      <c r="AL856" s="54">
        <f>IF(AK856&lt;&gt;"",AK856,N(AL855))</f>
        <v/>
      </c>
    </row>
    <row r="857">
      <c r="A857" t="inlineStr">
        <is>
          <t>ONS-0286</t>
        </is>
      </c>
      <c r="B857" t="inlineStr">
        <is>
          <t>Onsite</t>
        </is>
      </c>
      <c r="AB857" t="n">
        <v>286</v>
      </c>
      <c r="AD857" s="52">
        <f>IFERROR(N(IFERROR(INDEX($A857:$AB857,MATCH("Xero Invoiced Ex GST",$A$1:$AB$1,0)),"")),0)</f>
        <v/>
      </c>
      <c r="AE857" s="53">
        <f>IFERROR(INDEX($A857:$AB857,MATCH("Xero Invoice Date",$A$1:$AB$1,0)),"")</f>
        <v/>
      </c>
      <c r="AF857" s="54">
        <f>IF(AND(IFERROR(INDEX($A857:$AB857,MATCH("Xero Invoice No",$A$1:$AB$1,0)),"")&amp;""&lt;&gt;"",ISNUMBER(AE857),AD857&lt;&gt;0),1,0)</f>
        <v/>
      </c>
      <c r="AG857" s="55">
        <f>IF(AF857=1,EOMONTH(AE857,0),"")</f>
        <v/>
      </c>
      <c r="AH857" s="9">
        <f>IF(AF857=1,UPPER(TRIM(IFERROR(INDEX($A857:$AB857,MATCH("Client",$A$1:$AB$1,0)),"")&amp;"")),"")</f>
        <v/>
      </c>
      <c r="AI857" s="9">
        <f>IF(AF857=1,IFERROR(INDEX($A857:$AB857,MATCH("Cost Centre",$A$1:$AB$1,0)),"")&amp;"","")</f>
        <v/>
      </c>
      <c r="AJ857" s="54">
        <f>IF(AND(AF857=1,AE857&gt;=set_FYStart,AE857&lt;=set_AsAt),1,0)</f>
        <v/>
      </c>
      <c r="AK857" s="54">
        <f>IF(AND(AJ857=1,AH857&lt;&gt;"",COUNTIFS($AH$2:AH857,AH857,$AJ$2:AJ857,1)=1),N(AL856)+1,"")</f>
        <v/>
      </c>
      <c r="AL857" s="54">
        <f>IF(AK857&lt;&gt;"",AK857,N(AL856))</f>
        <v/>
      </c>
    </row>
    <row r="858">
      <c r="A858" t="inlineStr">
        <is>
          <t>PRD-0286</t>
        </is>
      </c>
      <c r="B858" t="inlineStr">
        <is>
          <t>Production</t>
        </is>
      </c>
      <c r="AB858" t="n">
        <v>286</v>
      </c>
      <c r="AD858" s="52">
        <f>IFERROR(N(IFERROR(INDEX($A858:$AB858,MATCH("Xero Invoiced Ex GST",$A$1:$AB$1,0)),"")),0)</f>
        <v/>
      </c>
      <c r="AE858" s="53">
        <f>IFERROR(INDEX($A858:$AB858,MATCH("Xero Invoice Date",$A$1:$AB$1,0)),"")</f>
        <v/>
      </c>
      <c r="AF858" s="54">
        <f>IF(AND(IFERROR(INDEX($A858:$AB858,MATCH("Xero Invoice No",$A$1:$AB$1,0)),"")&amp;""&lt;&gt;"",ISNUMBER(AE858),AD858&lt;&gt;0),1,0)</f>
        <v/>
      </c>
      <c r="AG858" s="55">
        <f>IF(AF858=1,EOMONTH(AE858,0),"")</f>
        <v/>
      </c>
      <c r="AH858" s="9">
        <f>IF(AF858=1,UPPER(TRIM(IFERROR(INDEX($A858:$AB858,MATCH("Client",$A$1:$AB$1,0)),"")&amp;"")),"")</f>
        <v/>
      </c>
      <c r="AI858" s="9">
        <f>IF(AF858=1,IFERROR(INDEX($A858:$AB858,MATCH("Cost Centre",$A$1:$AB$1,0)),"")&amp;"","")</f>
        <v/>
      </c>
      <c r="AJ858" s="54">
        <f>IF(AND(AF858=1,AE858&gt;=set_FYStart,AE858&lt;=set_AsAt),1,0)</f>
        <v/>
      </c>
      <c r="AK858" s="54">
        <f>IF(AND(AJ858=1,AH858&lt;&gt;"",COUNTIFS($AH$2:AH858,AH858,$AJ$2:AJ858,1)=1),N(AL857)+1,"")</f>
        <v/>
      </c>
      <c r="AL858" s="54">
        <f>IF(AK858&lt;&gt;"",AK858,N(AL857))</f>
        <v/>
      </c>
    </row>
    <row r="859">
      <c r="A859" t="inlineStr">
        <is>
          <t>CON-0286</t>
        </is>
      </c>
      <c r="B859" t="inlineStr">
        <is>
          <t>Consulting</t>
        </is>
      </c>
      <c r="AB859" t="n">
        <v>286</v>
      </c>
      <c r="AD859" s="52">
        <f>IFERROR(N(IFERROR(INDEX($A859:$AB859,MATCH("Xero Invoiced Ex GST",$A$1:$AB$1,0)),"")),0)</f>
        <v/>
      </c>
      <c r="AE859" s="53">
        <f>IFERROR(INDEX($A859:$AB859,MATCH("Xero Invoice Date",$A$1:$AB$1,0)),"")</f>
        <v/>
      </c>
      <c r="AF859" s="54">
        <f>IF(AND(IFERROR(INDEX($A859:$AB859,MATCH("Xero Invoice No",$A$1:$AB$1,0)),"")&amp;""&lt;&gt;"",ISNUMBER(AE859),AD859&lt;&gt;0),1,0)</f>
        <v/>
      </c>
      <c r="AG859" s="55">
        <f>IF(AF859=1,EOMONTH(AE859,0),"")</f>
        <v/>
      </c>
      <c r="AH859" s="9">
        <f>IF(AF859=1,UPPER(TRIM(IFERROR(INDEX($A859:$AB859,MATCH("Client",$A$1:$AB$1,0)),"")&amp;"")),"")</f>
        <v/>
      </c>
      <c r="AI859" s="9">
        <f>IF(AF859=1,IFERROR(INDEX($A859:$AB859,MATCH("Cost Centre",$A$1:$AB$1,0)),"")&amp;"","")</f>
        <v/>
      </c>
      <c r="AJ859" s="54">
        <f>IF(AND(AF859=1,AE859&gt;=set_FYStart,AE859&lt;=set_AsAt),1,0)</f>
        <v/>
      </c>
      <c r="AK859" s="54">
        <f>IF(AND(AJ859=1,AH859&lt;&gt;"",COUNTIFS($AH$2:AH859,AH859,$AJ$2:AJ859,1)=1),N(AL858)+1,"")</f>
        <v/>
      </c>
      <c r="AL859" s="54">
        <f>IF(AK859&lt;&gt;"",AK859,N(AL858))</f>
        <v/>
      </c>
    </row>
    <row r="860">
      <c r="A860" t="inlineStr">
        <is>
          <t>ONS-0287</t>
        </is>
      </c>
      <c r="B860" t="inlineStr">
        <is>
          <t>Onsite</t>
        </is>
      </c>
      <c r="AB860" t="n">
        <v>287</v>
      </c>
      <c r="AD860" s="52">
        <f>IFERROR(N(IFERROR(INDEX($A860:$AB860,MATCH("Xero Invoiced Ex GST",$A$1:$AB$1,0)),"")),0)</f>
        <v/>
      </c>
      <c r="AE860" s="53">
        <f>IFERROR(INDEX($A860:$AB860,MATCH("Xero Invoice Date",$A$1:$AB$1,0)),"")</f>
        <v/>
      </c>
      <c r="AF860" s="54">
        <f>IF(AND(IFERROR(INDEX($A860:$AB860,MATCH("Xero Invoice No",$A$1:$AB$1,0)),"")&amp;""&lt;&gt;"",ISNUMBER(AE860),AD860&lt;&gt;0),1,0)</f>
        <v/>
      </c>
      <c r="AG860" s="55">
        <f>IF(AF860=1,EOMONTH(AE860,0),"")</f>
        <v/>
      </c>
      <c r="AH860" s="9">
        <f>IF(AF860=1,UPPER(TRIM(IFERROR(INDEX($A860:$AB860,MATCH("Client",$A$1:$AB$1,0)),"")&amp;"")),"")</f>
        <v/>
      </c>
      <c r="AI860" s="9">
        <f>IF(AF860=1,IFERROR(INDEX($A860:$AB860,MATCH("Cost Centre",$A$1:$AB$1,0)),"")&amp;"","")</f>
        <v/>
      </c>
      <c r="AJ860" s="54">
        <f>IF(AND(AF860=1,AE860&gt;=set_FYStart,AE860&lt;=set_AsAt),1,0)</f>
        <v/>
      </c>
      <c r="AK860" s="54">
        <f>IF(AND(AJ860=1,AH860&lt;&gt;"",COUNTIFS($AH$2:AH860,AH860,$AJ$2:AJ860,1)=1),N(AL859)+1,"")</f>
        <v/>
      </c>
      <c r="AL860" s="54">
        <f>IF(AK860&lt;&gt;"",AK860,N(AL859))</f>
        <v/>
      </c>
    </row>
    <row r="861">
      <c r="A861" t="inlineStr">
        <is>
          <t>PRD-0287</t>
        </is>
      </c>
      <c r="B861" t="inlineStr">
        <is>
          <t>Production</t>
        </is>
      </c>
      <c r="AB861" t="n">
        <v>287</v>
      </c>
      <c r="AD861" s="52">
        <f>IFERROR(N(IFERROR(INDEX($A861:$AB861,MATCH("Xero Invoiced Ex GST",$A$1:$AB$1,0)),"")),0)</f>
        <v/>
      </c>
      <c r="AE861" s="53">
        <f>IFERROR(INDEX($A861:$AB861,MATCH("Xero Invoice Date",$A$1:$AB$1,0)),"")</f>
        <v/>
      </c>
      <c r="AF861" s="54">
        <f>IF(AND(IFERROR(INDEX($A861:$AB861,MATCH("Xero Invoice No",$A$1:$AB$1,0)),"")&amp;""&lt;&gt;"",ISNUMBER(AE861),AD861&lt;&gt;0),1,0)</f>
        <v/>
      </c>
      <c r="AG861" s="55">
        <f>IF(AF861=1,EOMONTH(AE861,0),"")</f>
        <v/>
      </c>
      <c r="AH861" s="9">
        <f>IF(AF861=1,UPPER(TRIM(IFERROR(INDEX($A861:$AB861,MATCH("Client",$A$1:$AB$1,0)),"")&amp;"")),"")</f>
        <v/>
      </c>
      <c r="AI861" s="9">
        <f>IF(AF861=1,IFERROR(INDEX($A861:$AB861,MATCH("Cost Centre",$A$1:$AB$1,0)),"")&amp;"","")</f>
        <v/>
      </c>
      <c r="AJ861" s="54">
        <f>IF(AND(AF861=1,AE861&gt;=set_FYStart,AE861&lt;=set_AsAt),1,0)</f>
        <v/>
      </c>
      <c r="AK861" s="54">
        <f>IF(AND(AJ861=1,AH861&lt;&gt;"",COUNTIFS($AH$2:AH861,AH861,$AJ$2:AJ861,1)=1),N(AL860)+1,"")</f>
        <v/>
      </c>
      <c r="AL861" s="54">
        <f>IF(AK861&lt;&gt;"",AK861,N(AL860))</f>
        <v/>
      </c>
    </row>
    <row r="862">
      <c r="A862" t="inlineStr">
        <is>
          <t>CON-0287</t>
        </is>
      </c>
      <c r="B862" t="inlineStr">
        <is>
          <t>Consulting</t>
        </is>
      </c>
      <c r="AB862" t="n">
        <v>287</v>
      </c>
      <c r="AD862" s="52">
        <f>IFERROR(N(IFERROR(INDEX($A862:$AB862,MATCH("Xero Invoiced Ex GST",$A$1:$AB$1,0)),"")),0)</f>
        <v/>
      </c>
      <c r="AE862" s="53">
        <f>IFERROR(INDEX($A862:$AB862,MATCH("Xero Invoice Date",$A$1:$AB$1,0)),"")</f>
        <v/>
      </c>
      <c r="AF862" s="54">
        <f>IF(AND(IFERROR(INDEX($A862:$AB862,MATCH("Xero Invoice No",$A$1:$AB$1,0)),"")&amp;""&lt;&gt;"",ISNUMBER(AE862),AD862&lt;&gt;0),1,0)</f>
        <v/>
      </c>
      <c r="AG862" s="55">
        <f>IF(AF862=1,EOMONTH(AE862,0),"")</f>
        <v/>
      </c>
      <c r="AH862" s="9">
        <f>IF(AF862=1,UPPER(TRIM(IFERROR(INDEX($A862:$AB862,MATCH("Client",$A$1:$AB$1,0)),"")&amp;"")),"")</f>
        <v/>
      </c>
      <c r="AI862" s="9">
        <f>IF(AF862=1,IFERROR(INDEX($A862:$AB862,MATCH("Cost Centre",$A$1:$AB$1,0)),"")&amp;"","")</f>
        <v/>
      </c>
      <c r="AJ862" s="54">
        <f>IF(AND(AF862=1,AE862&gt;=set_FYStart,AE862&lt;=set_AsAt),1,0)</f>
        <v/>
      </c>
      <c r="AK862" s="54">
        <f>IF(AND(AJ862=1,AH862&lt;&gt;"",COUNTIFS($AH$2:AH862,AH862,$AJ$2:AJ862,1)=1),N(AL861)+1,"")</f>
        <v/>
      </c>
      <c r="AL862" s="54">
        <f>IF(AK862&lt;&gt;"",AK862,N(AL861))</f>
        <v/>
      </c>
    </row>
    <row r="863">
      <c r="A863" t="inlineStr">
        <is>
          <t>ONS-0288</t>
        </is>
      </c>
      <c r="B863" t="inlineStr">
        <is>
          <t>Onsite</t>
        </is>
      </c>
      <c r="AB863" t="n">
        <v>288</v>
      </c>
      <c r="AD863" s="52">
        <f>IFERROR(N(IFERROR(INDEX($A863:$AB863,MATCH("Xero Invoiced Ex GST",$A$1:$AB$1,0)),"")),0)</f>
        <v/>
      </c>
      <c r="AE863" s="53">
        <f>IFERROR(INDEX($A863:$AB863,MATCH("Xero Invoice Date",$A$1:$AB$1,0)),"")</f>
        <v/>
      </c>
      <c r="AF863" s="54">
        <f>IF(AND(IFERROR(INDEX($A863:$AB863,MATCH("Xero Invoice No",$A$1:$AB$1,0)),"")&amp;""&lt;&gt;"",ISNUMBER(AE863),AD863&lt;&gt;0),1,0)</f>
        <v/>
      </c>
      <c r="AG863" s="55">
        <f>IF(AF863=1,EOMONTH(AE863,0),"")</f>
        <v/>
      </c>
      <c r="AH863" s="9">
        <f>IF(AF863=1,UPPER(TRIM(IFERROR(INDEX($A863:$AB863,MATCH("Client",$A$1:$AB$1,0)),"")&amp;"")),"")</f>
        <v/>
      </c>
      <c r="AI863" s="9">
        <f>IF(AF863=1,IFERROR(INDEX($A863:$AB863,MATCH("Cost Centre",$A$1:$AB$1,0)),"")&amp;"","")</f>
        <v/>
      </c>
      <c r="AJ863" s="54">
        <f>IF(AND(AF863=1,AE863&gt;=set_FYStart,AE863&lt;=set_AsAt),1,0)</f>
        <v/>
      </c>
      <c r="AK863" s="54">
        <f>IF(AND(AJ863=1,AH863&lt;&gt;"",COUNTIFS($AH$2:AH863,AH863,$AJ$2:AJ863,1)=1),N(AL862)+1,"")</f>
        <v/>
      </c>
      <c r="AL863" s="54">
        <f>IF(AK863&lt;&gt;"",AK863,N(AL862))</f>
        <v/>
      </c>
    </row>
    <row r="864">
      <c r="A864" t="inlineStr">
        <is>
          <t>PRD-0288</t>
        </is>
      </c>
      <c r="B864" t="inlineStr">
        <is>
          <t>Production</t>
        </is>
      </c>
      <c r="AB864" t="n">
        <v>288</v>
      </c>
      <c r="AD864" s="52">
        <f>IFERROR(N(IFERROR(INDEX($A864:$AB864,MATCH("Xero Invoiced Ex GST",$A$1:$AB$1,0)),"")),0)</f>
        <v/>
      </c>
      <c r="AE864" s="53">
        <f>IFERROR(INDEX($A864:$AB864,MATCH("Xero Invoice Date",$A$1:$AB$1,0)),"")</f>
        <v/>
      </c>
      <c r="AF864" s="54">
        <f>IF(AND(IFERROR(INDEX($A864:$AB864,MATCH("Xero Invoice No",$A$1:$AB$1,0)),"")&amp;""&lt;&gt;"",ISNUMBER(AE864),AD864&lt;&gt;0),1,0)</f>
        <v/>
      </c>
      <c r="AG864" s="55">
        <f>IF(AF864=1,EOMONTH(AE864,0),"")</f>
        <v/>
      </c>
      <c r="AH864" s="9">
        <f>IF(AF864=1,UPPER(TRIM(IFERROR(INDEX($A864:$AB864,MATCH("Client",$A$1:$AB$1,0)),"")&amp;"")),"")</f>
        <v/>
      </c>
      <c r="AI864" s="9">
        <f>IF(AF864=1,IFERROR(INDEX($A864:$AB864,MATCH("Cost Centre",$A$1:$AB$1,0)),"")&amp;"","")</f>
        <v/>
      </c>
      <c r="AJ864" s="54">
        <f>IF(AND(AF864=1,AE864&gt;=set_FYStart,AE864&lt;=set_AsAt),1,0)</f>
        <v/>
      </c>
      <c r="AK864" s="54">
        <f>IF(AND(AJ864=1,AH864&lt;&gt;"",COUNTIFS($AH$2:AH864,AH864,$AJ$2:AJ864,1)=1),N(AL863)+1,"")</f>
        <v/>
      </c>
      <c r="AL864" s="54">
        <f>IF(AK864&lt;&gt;"",AK864,N(AL863))</f>
        <v/>
      </c>
    </row>
    <row r="865">
      <c r="A865" t="inlineStr">
        <is>
          <t>CON-0288</t>
        </is>
      </c>
      <c r="B865" t="inlineStr">
        <is>
          <t>Consulting</t>
        </is>
      </c>
      <c r="AB865" t="n">
        <v>288</v>
      </c>
      <c r="AD865" s="52">
        <f>IFERROR(N(IFERROR(INDEX($A865:$AB865,MATCH("Xero Invoiced Ex GST",$A$1:$AB$1,0)),"")),0)</f>
        <v/>
      </c>
      <c r="AE865" s="53">
        <f>IFERROR(INDEX($A865:$AB865,MATCH("Xero Invoice Date",$A$1:$AB$1,0)),"")</f>
        <v/>
      </c>
      <c r="AF865" s="54">
        <f>IF(AND(IFERROR(INDEX($A865:$AB865,MATCH("Xero Invoice No",$A$1:$AB$1,0)),"")&amp;""&lt;&gt;"",ISNUMBER(AE865),AD865&lt;&gt;0),1,0)</f>
        <v/>
      </c>
      <c r="AG865" s="55">
        <f>IF(AF865=1,EOMONTH(AE865,0),"")</f>
        <v/>
      </c>
      <c r="AH865" s="9">
        <f>IF(AF865=1,UPPER(TRIM(IFERROR(INDEX($A865:$AB865,MATCH("Client",$A$1:$AB$1,0)),"")&amp;"")),"")</f>
        <v/>
      </c>
      <c r="AI865" s="9">
        <f>IF(AF865=1,IFERROR(INDEX($A865:$AB865,MATCH("Cost Centre",$A$1:$AB$1,0)),"")&amp;"","")</f>
        <v/>
      </c>
      <c r="AJ865" s="54">
        <f>IF(AND(AF865=1,AE865&gt;=set_FYStart,AE865&lt;=set_AsAt),1,0)</f>
        <v/>
      </c>
      <c r="AK865" s="54">
        <f>IF(AND(AJ865=1,AH865&lt;&gt;"",COUNTIFS($AH$2:AH865,AH865,$AJ$2:AJ865,1)=1),N(AL864)+1,"")</f>
        <v/>
      </c>
      <c r="AL865" s="54">
        <f>IF(AK865&lt;&gt;"",AK865,N(AL864))</f>
        <v/>
      </c>
    </row>
    <row r="866">
      <c r="A866" t="inlineStr">
        <is>
          <t>ONS-0289</t>
        </is>
      </c>
      <c r="B866" t="inlineStr">
        <is>
          <t>Onsite</t>
        </is>
      </c>
      <c r="AB866" t="n">
        <v>289</v>
      </c>
      <c r="AD866" s="52">
        <f>IFERROR(N(IFERROR(INDEX($A866:$AB866,MATCH("Xero Invoiced Ex GST",$A$1:$AB$1,0)),"")),0)</f>
        <v/>
      </c>
      <c r="AE866" s="53">
        <f>IFERROR(INDEX($A866:$AB866,MATCH("Xero Invoice Date",$A$1:$AB$1,0)),"")</f>
        <v/>
      </c>
      <c r="AF866" s="54">
        <f>IF(AND(IFERROR(INDEX($A866:$AB866,MATCH("Xero Invoice No",$A$1:$AB$1,0)),"")&amp;""&lt;&gt;"",ISNUMBER(AE866),AD866&lt;&gt;0),1,0)</f>
        <v/>
      </c>
      <c r="AG866" s="55">
        <f>IF(AF866=1,EOMONTH(AE866,0),"")</f>
        <v/>
      </c>
      <c r="AH866" s="9">
        <f>IF(AF866=1,UPPER(TRIM(IFERROR(INDEX($A866:$AB866,MATCH("Client",$A$1:$AB$1,0)),"")&amp;"")),"")</f>
        <v/>
      </c>
      <c r="AI866" s="9">
        <f>IF(AF866=1,IFERROR(INDEX($A866:$AB866,MATCH("Cost Centre",$A$1:$AB$1,0)),"")&amp;"","")</f>
        <v/>
      </c>
      <c r="AJ866" s="54">
        <f>IF(AND(AF866=1,AE866&gt;=set_FYStart,AE866&lt;=set_AsAt),1,0)</f>
        <v/>
      </c>
      <c r="AK866" s="54">
        <f>IF(AND(AJ866=1,AH866&lt;&gt;"",COUNTIFS($AH$2:AH866,AH866,$AJ$2:AJ866,1)=1),N(AL865)+1,"")</f>
        <v/>
      </c>
      <c r="AL866" s="54">
        <f>IF(AK866&lt;&gt;"",AK866,N(AL865))</f>
        <v/>
      </c>
    </row>
    <row r="867">
      <c r="A867" t="inlineStr">
        <is>
          <t>PRD-0289</t>
        </is>
      </c>
      <c r="B867" t="inlineStr">
        <is>
          <t>Production</t>
        </is>
      </c>
      <c r="AB867" t="n">
        <v>289</v>
      </c>
      <c r="AD867" s="52">
        <f>IFERROR(N(IFERROR(INDEX($A867:$AB867,MATCH("Xero Invoiced Ex GST",$A$1:$AB$1,0)),"")),0)</f>
        <v/>
      </c>
      <c r="AE867" s="53">
        <f>IFERROR(INDEX($A867:$AB867,MATCH("Xero Invoice Date",$A$1:$AB$1,0)),"")</f>
        <v/>
      </c>
      <c r="AF867" s="54">
        <f>IF(AND(IFERROR(INDEX($A867:$AB867,MATCH("Xero Invoice No",$A$1:$AB$1,0)),"")&amp;""&lt;&gt;"",ISNUMBER(AE867),AD867&lt;&gt;0),1,0)</f>
        <v/>
      </c>
      <c r="AG867" s="55">
        <f>IF(AF867=1,EOMONTH(AE867,0),"")</f>
        <v/>
      </c>
      <c r="AH867" s="9">
        <f>IF(AF867=1,UPPER(TRIM(IFERROR(INDEX($A867:$AB867,MATCH("Client",$A$1:$AB$1,0)),"")&amp;"")),"")</f>
        <v/>
      </c>
      <c r="AI867" s="9">
        <f>IF(AF867=1,IFERROR(INDEX($A867:$AB867,MATCH("Cost Centre",$A$1:$AB$1,0)),"")&amp;"","")</f>
        <v/>
      </c>
      <c r="AJ867" s="54">
        <f>IF(AND(AF867=1,AE867&gt;=set_FYStart,AE867&lt;=set_AsAt),1,0)</f>
        <v/>
      </c>
      <c r="AK867" s="54">
        <f>IF(AND(AJ867=1,AH867&lt;&gt;"",COUNTIFS($AH$2:AH867,AH867,$AJ$2:AJ867,1)=1),N(AL866)+1,"")</f>
        <v/>
      </c>
      <c r="AL867" s="54">
        <f>IF(AK867&lt;&gt;"",AK867,N(AL866))</f>
        <v/>
      </c>
    </row>
    <row r="868">
      <c r="A868" t="inlineStr">
        <is>
          <t>CON-0289</t>
        </is>
      </c>
      <c r="B868" t="inlineStr">
        <is>
          <t>Consulting</t>
        </is>
      </c>
      <c r="AB868" t="n">
        <v>289</v>
      </c>
      <c r="AD868" s="52">
        <f>IFERROR(N(IFERROR(INDEX($A868:$AB868,MATCH("Xero Invoiced Ex GST",$A$1:$AB$1,0)),"")),0)</f>
        <v/>
      </c>
      <c r="AE868" s="53">
        <f>IFERROR(INDEX($A868:$AB868,MATCH("Xero Invoice Date",$A$1:$AB$1,0)),"")</f>
        <v/>
      </c>
      <c r="AF868" s="54">
        <f>IF(AND(IFERROR(INDEX($A868:$AB868,MATCH("Xero Invoice No",$A$1:$AB$1,0)),"")&amp;""&lt;&gt;"",ISNUMBER(AE868),AD868&lt;&gt;0),1,0)</f>
        <v/>
      </c>
      <c r="AG868" s="55">
        <f>IF(AF868=1,EOMONTH(AE868,0),"")</f>
        <v/>
      </c>
      <c r="AH868" s="9">
        <f>IF(AF868=1,UPPER(TRIM(IFERROR(INDEX($A868:$AB868,MATCH("Client",$A$1:$AB$1,0)),"")&amp;"")),"")</f>
        <v/>
      </c>
      <c r="AI868" s="9">
        <f>IF(AF868=1,IFERROR(INDEX($A868:$AB868,MATCH("Cost Centre",$A$1:$AB$1,0)),"")&amp;"","")</f>
        <v/>
      </c>
      <c r="AJ868" s="54">
        <f>IF(AND(AF868=1,AE868&gt;=set_FYStart,AE868&lt;=set_AsAt),1,0)</f>
        <v/>
      </c>
      <c r="AK868" s="54">
        <f>IF(AND(AJ868=1,AH868&lt;&gt;"",COUNTIFS($AH$2:AH868,AH868,$AJ$2:AJ868,1)=1),N(AL867)+1,"")</f>
        <v/>
      </c>
      <c r="AL868" s="54">
        <f>IF(AK868&lt;&gt;"",AK868,N(AL867))</f>
        <v/>
      </c>
    </row>
    <row r="869">
      <c r="A869" t="inlineStr">
        <is>
          <t>ONS-0290</t>
        </is>
      </c>
      <c r="B869" t="inlineStr">
        <is>
          <t>Onsite</t>
        </is>
      </c>
      <c r="AB869" t="n">
        <v>290</v>
      </c>
      <c r="AD869" s="52">
        <f>IFERROR(N(IFERROR(INDEX($A869:$AB869,MATCH("Xero Invoiced Ex GST",$A$1:$AB$1,0)),"")),0)</f>
        <v/>
      </c>
      <c r="AE869" s="53">
        <f>IFERROR(INDEX($A869:$AB869,MATCH("Xero Invoice Date",$A$1:$AB$1,0)),"")</f>
        <v/>
      </c>
      <c r="AF869" s="54">
        <f>IF(AND(IFERROR(INDEX($A869:$AB869,MATCH("Xero Invoice No",$A$1:$AB$1,0)),"")&amp;""&lt;&gt;"",ISNUMBER(AE869),AD869&lt;&gt;0),1,0)</f>
        <v/>
      </c>
      <c r="AG869" s="55">
        <f>IF(AF869=1,EOMONTH(AE869,0),"")</f>
        <v/>
      </c>
      <c r="AH869" s="9">
        <f>IF(AF869=1,UPPER(TRIM(IFERROR(INDEX($A869:$AB869,MATCH("Client",$A$1:$AB$1,0)),"")&amp;"")),"")</f>
        <v/>
      </c>
      <c r="AI869" s="9">
        <f>IF(AF869=1,IFERROR(INDEX($A869:$AB869,MATCH("Cost Centre",$A$1:$AB$1,0)),"")&amp;"","")</f>
        <v/>
      </c>
      <c r="AJ869" s="54">
        <f>IF(AND(AF869=1,AE869&gt;=set_FYStart,AE869&lt;=set_AsAt),1,0)</f>
        <v/>
      </c>
      <c r="AK869" s="54">
        <f>IF(AND(AJ869=1,AH869&lt;&gt;"",COUNTIFS($AH$2:AH869,AH869,$AJ$2:AJ869,1)=1),N(AL868)+1,"")</f>
        <v/>
      </c>
      <c r="AL869" s="54">
        <f>IF(AK869&lt;&gt;"",AK869,N(AL868))</f>
        <v/>
      </c>
    </row>
    <row r="870">
      <c r="A870" t="inlineStr">
        <is>
          <t>PRD-0290</t>
        </is>
      </c>
      <c r="B870" t="inlineStr">
        <is>
          <t>Production</t>
        </is>
      </c>
      <c r="AB870" t="n">
        <v>290</v>
      </c>
      <c r="AD870" s="52">
        <f>IFERROR(N(IFERROR(INDEX($A870:$AB870,MATCH("Xero Invoiced Ex GST",$A$1:$AB$1,0)),"")),0)</f>
        <v/>
      </c>
      <c r="AE870" s="53">
        <f>IFERROR(INDEX($A870:$AB870,MATCH("Xero Invoice Date",$A$1:$AB$1,0)),"")</f>
        <v/>
      </c>
      <c r="AF870" s="54">
        <f>IF(AND(IFERROR(INDEX($A870:$AB870,MATCH("Xero Invoice No",$A$1:$AB$1,0)),"")&amp;""&lt;&gt;"",ISNUMBER(AE870),AD870&lt;&gt;0),1,0)</f>
        <v/>
      </c>
      <c r="AG870" s="55">
        <f>IF(AF870=1,EOMONTH(AE870,0),"")</f>
        <v/>
      </c>
      <c r="AH870" s="9">
        <f>IF(AF870=1,UPPER(TRIM(IFERROR(INDEX($A870:$AB870,MATCH("Client",$A$1:$AB$1,0)),"")&amp;"")),"")</f>
        <v/>
      </c>
      <c r="AI870" s="9">
        <f>IF(AF870=1,IFERROR(INDEX($A870:$AB870,MATCH("Cost Centre",$A$1:$AB$1,0)),"")&amp;"","")</f>
        <v/>
      </c>
      <c r="AJ870" s="54">
        <f>IF(AND(AF870=1,AE870&gt;=set_FYStart,AE870&lt;=set_AsAt),1,0)</f>
        <v/>
      </c>
      <c r="AK870" s="54">
        <f>IF(AND(AJ870=1,AH870&lt;&gt;"",COUNTIFS($AH$2:AH870,AH870,$AJ$2:AJ870,1)=1),N(AL869)+1,"")</f>
        <v/>
      </c>
      <c r="AL870" s="54">
        <f>IF(AK870&lt;&gt;"",AK870,N(AL869))</f>
        <v/>
      </c>
    </row>
    <row r="871">
      <c r="A871" t="inlineStr">
        <is>
          <t>CON-0290</t>
        </is>
      </c>
      <c r="B871" t="inlineStr">
        <is>
          <t>Consulting</t>
        </is>
      </c>
      <c r="AB871" t="n">
        <v>290</v>
      </c>
      <c r="AD871" s="52">
        <f>IFERROR(N(IFERROR(INDEX($A871:$AB871,MATCH("Xero Invoiced Ex GST",$A$1:$AB$1,0)),"")),0)</f>
        <v/>
      </c>
      <c r="AE871" s="53">
        <f>IFERROR(INDEX($A871:$AB871,MATCH("Xero Invoice Date",$A$1:$AB$1,0)),"")</f>
        <v/>
      </c>
      <c r="AF871" s="54">
        <f>IF(AND(IFERROR(INDEX($A871:$AB871,MATCH("Xero Invoice No",$A$1:$AB$1,0)),"")&amp;""&lt;&gt;"",ISNUMBER(AE871),AD871&lt;&gt;0),1,0)</f>
        <v/>
      </c>
      <c r="AG871" s="55">
        <f>IF(AF871=1,EOMONTH(AE871,0),"")</f>
        <v/>
      </c>
      <c r="AH871" s="9">
        <f>IF(AF871=1,UPPER(TRIM(IFERROR(INDEX($A871:$AB871,MATCH("Client",$A$1:$AB$1,0)),"")&amp;"")),"")</f>
        <v/>
      </c>
      <c r="AI871" s="9">
        <f>IF(AF871=1,IFERROR(INDEX($A871:$AB871,MATCH("Cost Centre",$A$1:$AB$1,0)),"")&amp;"","")</f>
        <v/>
      </c>
      <c r="AJ871" s="54">
        <f>IF(AND(AF871=1,AE871&gt;=set_FYStart,AE871&lt;=set_AsAt),1,0)</f>
        <v/>
      </c>
      <c r="AK871" s="54">
        <f>IF(AND(AJ871=1,AH871&lt;&gt;"",COUNTIFS($AH$2:AH871,AH871,$AJ$2:AJ871,1)=1),N(AL870)+1,"")</f>
        <v/>
      </c>
      <c r="AL871" s="54">
        <f>IF(AK871&lt;&gt;"",AK871,N(AL870))</f>
        <v/>
      </c>
    </row>
    <row r="872">
      <c r="A872" t="inlineStr">
        <is>
          <t>ONS-0291</t>
        </is>
      </c>
      <c r="B872" t="inlineStr">
        <is>
          <t>Onsite</t>
        </is>
      </c>
      <c r="AB872" t="n">
        <v>291</v>
      </c>
      <c r="AD872" s="52">
        <f>IFERROR(N(IFERROR(INDEX($A872:$AB872,MATCH("Xero Invoiced Ex GST",$A$1:$AB$1,0)),"")),0)</f>
        <v/>
      </c>
      <c r="AE872" s="53">
        <f>IFERROR(INDEX($A872:$AB872,MATCH("Xero Invoice Date",$A$1:$AB$1,0)),"")</f>
        <v/>
      </c>
      <c r="AF872" s="54">
        <f>IF(AND(IFERROR(INDEX($A872:$AB872,MATCH("Xero Invoice No",$A$1:$AB$1,0)),"")&amp;""&lt;&gt;"",ISNUMBER(AE872),AD872&lt;&gt;0),1,0)</f>
        <v/>
      </c>
      <c r="AG872" s="55">
        <f>IF(AF872=1,EOMONTH(AE872,0),"")</f>
        <v/>
      </c>
      <c r="AH872" s="9">
        <f>IF(AF872=1,UPPER(TRIM(IFERROR(INDEX($A872:$AB872,MATCH("Client",$A$1:$AB$1,0)),"")&amp;"")),"")</f>
        <v/>
      </c>
      <c r="AI872" s="9">
        <f>IF(AF872=1,IFERROR(INDEX($A872:$AB872,MATCH("Cost Centre",$A$1:$AB$1,0)),"")&amp;"","")</f>
        <v/>
      </c>
      <c r="AJ872" s="54">
        <f>IF(AND(AF872=1,AE872&gt;=set_FYStart,AE872&lt;=set_AsAt),1,0)</f>
        <v/>
      </c>
      <c r="AK872" s="54">
        <f>IF(AND(AJ872=1,AH872&lt;&gt;"",COUNTIFS($AH$2:AH872,AH872,$AJ$2:AJ872,1)=1),N(AL871)+1,"")</f>
        <v/>
      </c>
      <c r="AL872" s="54">
        <f>IF(AK872&lt;&gt;"",AK872,N(AL871))</f>
        <v/>
      </c>
    </row>
    <row r="873">
      <c r="A873" t="inlineStr">
        <is>
          <t>PRD-0291</t>
        </is>
      </c>
      <c r="B873" t="inlineStr">
        <is>
          <t>Production</t>
        </is>
      </c>
      <c r="AB873" t="n">
        <v>291</v>
      </c>
      <c r="AD873" s="52">
        <f>IFERROR(N(IFERROR(INDEX($A873:$AB873,MATCH("Xero Invoiced Ex GST",$A$1:$AB$1,0)),"")),0)</f>
        <v/>
      </c>
      <c r="AE873" s="53">
        <f>IFERROR(INDEX($A873:$AB873,MATCH("Xero Invoice Date",$A$1:$AB$1,0)),"")</f>
        <v/>
      </c>
      <c r="AF873" s="54">
        <f>IF(AND(IFERROR(INDEX($A873:$AB873,MATCH("Xero Invoice No",$A$1:$AB$1,0)),"")&amp;""&lt;&gt;"",ISNUMBER(AE873),AD873&lt;&gt;0),1,0)</f>
        <v/>
      </c>
      <c r="AG873" s="55">
        <f>IF(AF873=1,EOMONTH(AE873,0),"")</f>
        <v/>
      </c>
      <c r="AH873" s="9">
        <f>IF(AF873=1,UPPER(TRIM(IFERROR(INDEX($A873:$AB873,MATCH("Client",$A$1:$AB$1,0)),"")&amp;"")),"")</f>
        <v/>
      </c>
      <c r="AI873" s="9">
        <f>IF(AF873=1,IFERROR(INDEX($A873:$AB873,MATCH("Cost Centre",$A$1:$AB$1,0)),"")&amp;"","")</f>
        <v/>
      </c>
      <c r="AJ873" s="54">
        <f>IF(AND(AF873=1,AE873&gt;=set_FYStart,AE873&lt;=set_AsAt),1,0)</f>
        <v/>
      </c>
      <c r="AK873" s="54">
        <f>IF(AND(AJ873=1,AH873&lt;&gt;"",COUNTIFS($AH$2:AH873,AH873,$AJ$2:AJ873,1)=1),N(AL872)+1,"")</f>
        <v/>
      </c>
      <c r="AL873" s="54">
        <f>IF(AK873&lt;&gt;"",AK873,N(AL872))</f>
        <v/>
      </c>
    </row>
    <row r="874">
      <c r="A874" t="inlineStr">
        <is>
          <t>CON-0291</t>
        </is>
      </c>
      <c r="B874" t="inlineStr">
        <is>
          <t>Consulting</t>
        </is>
      </c>
      <c r="AB874" t="n">
        <v>291</v>
      </c>
      <c r="AD874" s="52">
        <f>IFERROR(N(IFERROR(INDEX($A874:$AB874,MATCH("Xero Invoiced Ex GST",$A$1:$AB$1,0)),"")),0)</f>
        <v/>
      </c>
      <c r="AE874" s="53">
        <f>IFERROR(INDEX($A874:$AB874,MATCH("Xero Invoice Date",$A$1:$AB$1,0)),"")</f>
        <v/>
      </c>
      <c r="AF874" s="54">
        <f>IF(AND(IFERROR(INDEX($A874:$AB874,MATCH("Xero Invoice No",$A$1:$AB$1,0)),"")&amp;""&lt;&gt;"",ISNUMBER(AE874),AD874&lt;&gt;0),1,0)</f>
        <v/>
      </c>
      <c r="AG874" s="55">
        <f>IF(AF874=1,EOMONTH(AE874,0),"")</f>
        <v/>
      </c>
      <c r="AH874" s="9">
        <f>IF(AF874=1,UPPER(TRIM(IFERROR(INDEX($A874:$AB874,MATCH("Client",$A$1:$AB$1,0)),"")&amp;"")),"")</f>
        <v/>
      </c>
      <c r="AI874" s="9">
        <f>IF(AF874=1,IFERROR(INDEX($A874:$AB874,MATCH("Cost Centre",$A$1:$AB$1,0)),"")&amp;"","")</f>
        <v/>
      </c>
      <c r="AJ874" s="54">
        <f>IF(AND(AF874=1,AE874&gt;=set_FYStart,AE874&lt;=set_AsAt),1,0)</f>
        <v/>
      </c>
      <c r="AK874" s="54">
        <f>IF(AND(AJ874=1,AH874&lt;&gt;"",COUNTIFS($AH$2:AH874,AH874,$AJ$2:AJ874,1)=1),N(AL873)+1,"")</f>
        <v/>
      </c>
      <c r="AL874" s="54">
        <f>IF(AK874&lt;&gt;"",AK874,N(AL873))</f>
        <v/>
      </c>
    </row>
    <row r="875">
      <c r="A875" t="inlineStr">
        <is>
          <t>ONS-0292</t>
        </is>
      </c>
      <c r="B875" t="inlineStr">
        <is>
          <t>Onsite</t>
        </is>
      </c>
      <c r="AB875" t="n">
        <v>292</v>
      </c>
      <c r="AD875" s="52">
        <f>IFERROR(N(IFERROR(INDEX($A875:$AB875,MATCH("Xero Invoiced Ex GST",$A$1:$AB$1,0)),"")),0)</f>
        <v/>
      </c>
      <c r="AE875" s="53">
        <f>IFERROR(INDEX($A875:$AB875,MATCH("Xero Invoice Date",$A$1:$AB$1,0)),"")</f>
        <v/>
      </c>
      <c r="AF875" s="54">
        <f>IF(AND(IFERROR(INDEX($A875:$AB875,MATCH("Xero Invoice No",$A$1:$AB$1,0)),"")&amp;""&lt;&gt;"",ISNUMBER(AE875),AD875&lt;&gt;0),1,0)</f>
        <v/>
      </c>
      <c r="AG875" s="55">
        <f>IF(AF875=1,EOMONTH(AE875,0),"")</f>
        <v/>
      </c>
      <c r="AH875" s="9">
        <f>IF(AF875=1,UPPER(TRIM(IFERROR(INDEX($A875:$AB875,MATCH("Client",$A$1:$AB$1,0)),"")&amp;"")),"")</f>
        <v/>
      </c>
      <c r="AI875" s="9">
        <f>IF(AF875=1,IFERROR(INDEX($A875:$AB875,MATCH("Cost Centre",$A$1:$AB$1,0)),"")&amp;"","")</f>
        <v/>
      </c>
      <c r="AJ875" s="54">
        <f>IF(AND(AF875=1,AE875&gt;=set_FYStart,AE875&lt;=set_AsAt),1,0)</f>
        <v/>
      </c>
      <c r="AK875" s="54">
        <f>IF(AND(AJ875=1,AH875&lt;&gt;"",COUNTIFS($AH$2:AH875,AH875,$AJ$2:AJ875,1)=1),N(AL874)+1,"")</f>
        <v/>
      </c>
      <c r="AL875" s="54">
        <f>IF(AK875&lt;&gt;"",AK875,N(AL874))</f>
        <v/>
      </c>
    </row>
    <row r="876">
      <c r="A876" t="inlineStr">
        <is>
          <t>PRD-0292</t>
        </is>
      </c>
      <c r="B876" t="inlineStr">
        <is>
          <t>Production</t>
        </is>
      </c>
      <c r="AB876" t="n">
        <v>292</v>
      </c>
      <c r="AD876" s="52">
        <f>IFERROR(N(IFERROR(INDEX($A876:$AB876,MATCH("Xero Invoiced Ex GST",$A$1:$AB$1,0)),"")),0)</f>
        <v/>
      </c>
      <c r="AE876" s="53">
        <f>IFERROR(INDEX($A876:$AB876,MATCH("Xero Invoice Date",$A$1:$AB$1,0)),"")</f>
        <v/>
      </c>
      <c r="AF876" s="54">
        <f>IF(AND(IFERROR(INDEX($A876:$AB876,MATCH("Xero Invoice No",$A$1:$AB$1,0)),"")&amp;""&lt;&gt;"",ISNUMBER(AE876),AD876&lt;&gt;0),1,0)</f>
        <v/>
      </c>
      <c r="AG876" s="55">
        <f>IF(AF876=1,EOMONTH(AE876,0),"")</f>
        <v/>
      </c>
      <c r="AH876" s="9">
        <f>IF(AF876=1,UPPER(TRIM(IFERROR(INDEX($A876:$AB876,MATCH("Client",$A$1:$AB$1,0)),"")&amp;"")),"")</f>
        <v/>
      </c>
      <c r="AI876" s="9">
        <f>IF(AF876=1,IFERROR(INDEX($A876:$AB876,MATCH("Cost Centre",$A$1:$AB$1,0)),"")&amp;"","")</f>
        <v/>
      </c>
      <c r="AJ876" s="54">
        <f>IF(AND(AF876=1,AE876&gt;=set_FYStart,AE876&lt;=set_AsAt),1,0)</f>
        <v/>
      </c>
      <c r="AK876" s="54">
        <f>IF(AND(AJ876=1,AH876&lt;&gt;"",COUNTIFS($AH$2:AH876,AH876,$AJ$2:AJ876,1)=1),N(AL875)+1,"")</f>
        <v/>
      </c>
      <c r="AL876" s="54">
        <f>IF(AK876&lt;&gt;"",AK876,N(AL875))</f>
        <v/>
      </c>
    </row>
    <row r="877">
      <c r="A877" t="inlineStr">
        <is>
          <t>CON-0292</t>
        </is>
      </c>
      <c r="B877" t="inlineStr">
        <is>
          <t>Consulting</t>
        </is>
      </c>
      <c r="AB877" t="n">
        <v>292</v>
      </c>
      <c r="AD877" s="52">
        <f>IFERROR(N(IFERROR(INDEX($A877:$AB877,MATCH("Xero Invoiced Ex GST",$A$1:$AB$1,0)),"")),0)</f>
        <v/>
      </c>
      <c r="AE877" s="53">
        <f>IFERROR(INDEX($A877:$AB877,MATCH("Xero Invoice Date",$A$1:$AB$1,0)),"")</f>
        <v/>
      </c>
      <c r="AF877" s="54">
        <f>IF(AND(IFERROR(INDEX($A877:$AB877,MATCH("Xero Invoice No",$A$1:$AB$1,0)),"")&amp;""&lt;&gt;"",ISNUMBER(AE877),AD877&lt;&gt;0),1,0)</f>
        <v/>
      </c>
      <c r="AG877" s="55">
        <f>IF(AF877=1,EOMONTH(AE877,0),"")</f>
        <v/>
      </c>
      <c r="AH877" s="9">
        <f>IF(AF877=1,UPPER(TRIM(IFERROR(INDEX($A877:$AB877,MATCH("Client",$A$1:$AB$1,0)),"")&amp;"")),"")</f>
        <v/>
      </c>
      <c r="AI877" s="9">
        <f>IF(AF877=1,IFERROR(INDEX($A877:$AB877,MATCH("Cost Centre",$A$1:$AB$1,0)),"")&amp;"","")</f>
        <v/>
      </c>
      <c r="AJ877" s="54">
        <f>IF(AND(AF877=1,AE877&gt;=set_FYStart,AE877&lt;=set_AsAt),1,0)</f>
        <v/>
      </c>
      <c r="AK877" s="54">
        <f>IF(AND(AJ877=1,AH877&lt;&gt;"",COUNTIFS($AH$2:AH877,AH877,$AJ$2:AJ877,1)=1),N(AL876)+1,"")</f>
        <v/>
      </c>
      <c r="AL877" s="54">
        <f>IF(AK877&lt;&gt;"",AK877,N(AL876))</f>
        <v/>
      </c>
    </row>
    <row r="878">
      <c r="A878" t="inlineStr">
        <is>
          <t>ONS-0293</t>
        </is>
      </c>
      <c r="B878" t="inlineStr">
        <is>
          <t>Onsite</t>
        </is>
      </c>
      <c r="AB878" t="n">
        <v>293</v>
      </c>
      <c r="AD878" s="52">
        <f>IFERROR(N(IFERROR(INDEX($A878:$AB878,MATCH("Xero Invoiced Ex GST",$A$1:$AB$1,0)),"")),0)</f>
        <v/>
      </c>
      <c r="AE878" s="53">
        <f>IFERROR(INDEX($A878:$AB878,MATCH("Xero Invoice Date",$A$1:$AB$1,0)),"")</f>
        <v/>
      </c>
      <c r="AF878" s="54">
        <f>IF(AND(IFERROR(INDEX($A878:$AB878,MATCH("Xero Invoice No",$A$1:$AB$1,0)),"")&amp;""&lt;&gt;"",ISNUMBER(AE878),AD878&lt;&gt;0),1,0)</f>
        <v/>
      </c>
      <c r="AG878" s="55">
        <f>IF(AF878=1,EOMONTH(AE878,0),"")</f>
        <v/>
      </c>
      <c r="AH878" s="9">
        <f>IF(AF878=1,UPPER(TRIM(IFERROR(INDEX($A878:$AB878,MATCH("Client",$A$1:$AB$1,0)),"")&amp;"")),"")</f>
        <v/>
      </c>
      <c r="AI878" s="9">
        <f>IF(AF878=1,IFERROR(INDEX($A878:$AB878,MATCH("Cost Centre",$A$1:$AB$1,0)),"")&amp;"","")</f>
        <v/>
      </c>
      <c r="AJ878" s="54">
        <f>IF(AND(AF878=1,AE878&gt;=set_FYStart,AE878&lt;=set_AsAt),1,0)</f>
        <v/>
      </c>
      <c r="AK878" s="54">
        <f>IF(AND(AJ878=1,AH878&lt;&gt;"",COUNTIFS($AH$2:AH878,AH878,$AJ$2:AJ878,1)=1),N(AL877)+1,"")</f>
        <v/>
      </c>
      <c r="AL878" s="54">
        <f>IF(AK878&lt;&gt;"",AK878,N(AL877))</f>
        <v/>
      </c>
    </row>
    <row r="879">
      <c r="A879" t="inlineStr">
        <is>
          <t>PRD-0293</t>
        </is>
      </c>
      <c r="B879" t="inlineStr">
        <is>
          <t>Production</t>
        </is>
      </c>
      <c r="AB879" t="n">
        <v>293</v>
      </c>
      <c r="AD879" s="52">
        <f>IFERROR(N(IFERROR(INDEX($A879:$AB879,MATCH("Xero Invoiced Ex GST",$A$1:$AB$1,0)),"")),0)</f>
        <v/>
      </c>
      <c r="AE879" s="53">
        <f>IFERROR(INDEX($A879:$AB879,MATCH("Xero Invoice Date",$A$1:$AB$1,0)),"")</f>
        <v/>
      </c>
      <c r="AF879" s="54">
        <f>IF(AND(IFERROR(INDEX($A879:$AB879,MATCH("Xero Invoice No",$A$1:$AB$1,0)),"")&amp;""&lt;&gt;"",ISNUMBER(AE879),AD879&lt;&gt;0),1,0)</f>
        <v/>
      </c>
      <c r="AG879" s="55">
        <f>IF(AF879=1,EOMONTH(AE879,0),"")</f>
        <v/>
      </c>
      <c r="AH879" s="9">
        <f>IF(AF879=1,UPPER(TRIM(IFERROR(INDEX($A879:$AB879,MATCH("Client",$A$1:$AB$1,0)),"")&amp;"")),"")</f>
        <v/>
      </c>
      <c r="AI879" s="9">
        <f>IF(AF879=1,IFERROR(INDEX($A879:$AB879,MATCH("Cost Centre",$A$1:$AB$1,0)),"")&amp;"","")</f>
        <v/>
      </c>
      <c r="AJ879" s="54">
        <f>IF(AND(AF879=1,AE879&gt;=set_FYStart,AE879&lt;=set_AsAt),1,0)</f>
        <v/>
      </c>
      <c r="AK879" s="54">
        <f>IF(AND(AJ879=1,AH879&lt;&gt;"",COUNTIFS($AH$2:AH879,AH879,$AJ$2:AJ879,1)=1),N(AL878)+1,"")</f>
        <v/>
      </c>
      <c r="AL879" s="54">
        <f>IF(AK879&lt;&gt;"",AK879,N(AL878))</f>
        <v/>
      </c>
    </row>
    <row r="880">
      <c r="A880" t="inlineStr">
        <is>
          <t>CON-0293</t>
        </is>
      </c>
      <c r="B880" t="inlineStr">
        <is>
          <t>Consulting</t>
        </is>
      </c>
      <c r="AB880" t="n">
        <v>293</v>
      </c>
      <c r="AD880" s="52">
        <f>IFERROR(N(IFERROR(INDEX($A880:$AB880,MATCH("Xero Invoiced Ex GST",$A$1:$AB$1,0)),"")),0)</f>
        <v/>
      </c>
      <c r="AE880" s="53">
        <f>IFERROR(INDEX($A880:$AB880,MATCH("Xero Invoice Date",$A$1:$AB$1,0)),"")</f>
        <v/>
      </c>
      <c r="AF880" s="54">
        <f>IF(AND(IFERROR(INDEX($A880:$AB880,MATCH("Xero Invoice No",$A$1:$AB$1,0)),"")&amp;""&lt;&gt;"",ISNUMBER(AE880),AD880&lt;&gt;0),1,0)</f>
        <v/>
      </c>
      <c r="AG880" s="55">
        <f>IF(AF880=1,EOMONTH(AE880,0),"")</f>
        <v/>
      </c>
      <c r="AH880" s="9">
        <f>IF(AF880=1,UPPER(TRIM(IFERROR(INDEX($A880:$AB880,MATCH("Client",$A$1:$AB$1,0)),"")&amp;"")),"")</f>
        <v/>
      </c>
      <c r="AI880" s="9">
        <f>IF(AF880=1,IFERROR(INDEX($A880:$AB880,MATCH("Cost Centre",$A$1:$AB$1,0)),"")&amp;"","")</f>
        <v/>
      </c>
      <c r="AJ880" s="54">
        <f>IF(AND(AF880=1,AE880&gt;=set_FYStart,AE880&lt;=set_AsAt),1,0)</f>
        <v/>
      </c>
      <c r="AK880" s="54">
        <f>IF(AND(AJ880=1,AH880&lt;&gt;"",COUNTIFS($AH$2:AH880,AH880,$AJ$2:AJ880,1)=1),N(AL879)+1,"")</f>
        <v/>
      </c>
      <c r="AL880" s="54">
        <f>IF(AK880&lt;&gt;"",AK880,N(AL879))</f>
        <v/>
      </c>
    </row>
    <row r="881">
      <c r="A881" t="inlineStr">
        <is>
          <t>ONS-0294</t>
        </is>
      </c>
      <c r="B881" t="inlineStr">
        <is>
          <t>Onsite</t>
        </is>
      </c>
      <c r="AB881" t="n">
        <v>294</v>
      </c>
      <c r="AD881" s="52">
        <f>IFERROR(N(IFERROR(INDEX($A881:$AB881,MATCH("Xero Invoiced Ex GST",$A$1:$AB$1,0)),"")),0)</f>
        <v/>
      </c>
      <c r="AE881" s="53">
        <f>IFERROR(INDEX($A881:$AB881,MATCH("Xero Invoice Date",$A$1:$AB$1,0)),"")</f>
        <v/>
      </c>
      <c r="AF881" s="54">
        <f>IF(AND(IFERROR(INDEX($A881:$AB881,MATCH("Xero Invoice No",$A$1:$AB$1,0)),"")&amp;""&lt;&gt;"",ISNUMBER(AE881),AD881&lt;&gt;0),1,0)</f>
        <v/>
      </c>
      <c r="AG881" s="55">
        <f>IF(AF881=1,EOMONTH(AE881,0),"")</f>
        <v/>
      </c>
      <c r="AH881" s="9">
        <f>IF(AF881=1,UPPER(TRIM(IFERROR(INDEX($A881:$AB881,MATCH("Client",$A$1:$AB$1,0)),"")&amp;"")),"")</f>
        <v/>
      </c>
      <c r="AI881" s="9">
        <f>IF(AF881=1,IFERROR(INDEX($A881:$AB881,MATCH("Cost Centre",$A$1:$AB$1,0)),"")&amp;"","")</f>
        <v/>
      </c>
      <c r="AJ881" s="54">
        <f>IF(AND(AF881=1,AE881&gt;=set_FYStart,AE881&lt;=set_AsAt),1,0)</f>
        <v/>
      </c>
      <c r="AK881" s="54">
        <f>IF(AND(AJ881=1,AH881&lt;&gt;"",COUNTIFS($AH$2:AH881,AH881,$AJ$2:AJ881,1)=1),N(AL880)+1,"")</f>
        <v/>
      </c>
      <c r="AL881" s="54">
        <f>IF(AK881&lt;&gt;"",AK881,N(AL880))</f>
        <v/>
      </c>
    </row>
    <row r="882">
      <c r="A882" t="inlineStr">
        <is>
          <t>PRD-0294</t>
        </is>
      </c>
      <c r="B882" t="inlineStr">
        <is>
          <t>Production</t>
        </is>
      </c>
      <c r="AB882" t="n">
        <v>294</v>
      </c>
      <c r="AD882" s="52">
        <f>IFERROR(N(IFERROR(INDEX($A882:$AB882,MATCH("Xero Invoiced Ex GST",$A$1:$AB$1,0)),"")),0)</f>
        <v/>
      </c>
      <c r="AE882" s="53">
        <f>IFERROR(INDEX($A882:$AB882,MATCH("Xero Invoice Date",$A$1:$AB$1,0)),"")</f>
        <v/>
      </c>
      <c r="AF882" s="54">
        <f>IF(AND(IFERROR(INDEX($A882:$AB882,MATCH("Xero Invoice No",$A$1:$AB$1,0)),"")&amp;""&lt;&gt;"",ISNUMBER(AE882),AD882&lt;&gt;0),1,0)</f>
        <v/>
      </c>
      <c r="AG882" s="55">
        <f>IF(AF882=1,EOMONTH(AE882,0),"")</f>
        <v/>
      </c>
      <c r="AH882" s="9">
        <f>IF(AF882=1,UPPER(TRIM(IFERROR(INDEX($A882:$AB882,MATCH("Client",$A$1:$AB$1,0)),"")&amp;"")),"")</f>
        <v/>
      </c>
      <c r="AI882" s="9">
        <f>IF(AF882=1,IFERROR(INDEX($A882:$AB882,MATCH("Cost Centre",$A$1:$AB$1,0)),"")&amp;"","")</f>
        <v/>
      </c>
      <c r="AJ882" s="54">
        <f>IF(AND(AF882=1,AE882&gt;=set_FYStart,AE882&lt;=set_AsAt),1,0)</f>
        <v/>
      </c>
      <c r="AK882" s="54">
        <f>IF(AND(AJ882=1,AH882&lt;&gt;"",COUNTIFS($AH$2:AH882,AH882,$AJ$2:AJ882,1)=1),N(AL881)+1,"")</f>
        <v/>
      </c>
      <c r="AL882" s="54">
        <f>IF(AK882&lt;&gt;"",AK882,N(AL881))</f>
        <v/>
      </c>
    </row>
    <row r="883">
      <c r="A883" t="inlineStr">
        <is>
          <t>CON-0294</t>
        </is>
      </c>
      <c r="B883" t="inlineStr">
        <is>
          <t>Consulting</t>
        </is>
      </c>
      <c r="AB883" t="n">
        <v>294</v>
      </c>
      <c r="AD883" s="52">
        <f>IFERROR(N(IFERROR(INDEX($A883:$AB883,MATCH("Xero Invoiced Ex GST",$A$1:$AB$1,0)),"")),0)</f>
        <v/>
      </c>
      <c r="AE883" s="53">
        <f>IFERROR(INDEX($A883:$AB883,MATCH("Xero Invoice Date",$A$1:$AB$1,0)),"")</f>
        <v/>
      </c>
      <c r="AF883" s="54">
        <f>IF(AND(IFERROR(INDEX($A883:$AB883,MATCH("Xero Invoice No",$A$1:$AB$1,0)),"")&amp;""&lt;&gt;"",ISNUMBER(AE883),AD883&lt;&gt;0),1,0)</f>
        <v/>
      </c>
      <c r="AG883" s="55">
        <f>IF(AF883=1,EOMONTH(AE883,0),"")</f>
        <v/>
      </c>
      <c r="AH883" s="9">
        <f>IF(AF883=1,UPPER(TRIM(IFERROR(INDEX($A883:$AB883,MATCH("Client",$A$1:$AB$1,0)),"")&amp;"")),"")</f>
        <v/>
      </c>
      <c r="AI883" s="9">
        <f>IF(AF883=1,IFERROR(INDEX($A883:$AB883,MATCH("Cost Centre",$A$1:$AB$1,0)),"")&amp;"","")</f>
        <v/>
      </c>
      <c r="AJ883" s="54">
        <f>IF(AND(AF883=1,AE883&gt;=set_FYStart,AE883&lt;=set_AsAt),1,0)</f>
        <v/>
      </c>
      <c r="AK883" s="54">
        <f>IF(AND(AJ883=1,AH883&lt;&gt;"",COUNTIFS($AH$2:AH883,AH883,$AJ$2:AJ883,1)=1),N(AL882)+1,"")</f>
        <v/>
      </c>
      <c r="AL883" s="54">
        <f>IF(AK883&lt;&gt;"",AK883,N(AL882))</f>
        <v/>
      </c>
    </row>
    <row r="884">
      <c r="A884" t="inlineStr">
        <is>
          <t>ONS-0295</t>
        </is>
      </c>
      <c r="B884" t="inlineStr">
        <is>
          <t>Onsite</t>
        </is>
      </c>
      <c r="AB884" t="n">
        <v>295</v>
      </c>
      <c r="AD884" s="52">
        <f>IFERROR(N(IFERROR(INDEX($A884:$AB884,MATCH("Xero Invoiced Ex GST",$A$1:$AB$1,0)),"")),0)</f>
        <v/>
      </c>
      <c r="AE884" s="53">
        <f>IFERROR(INDEX($A884:$AB884,MATCH("Xero Invoice Date",$A$1:$AB$1,0)),"")</f>
        <v/>
      </c>
      <c r="AF884" s="54">
        <f>IF(AND(IFERROR(INDEX($A884:$AB884,MATCH("Xero Invoice No",$A$1:$AB$1,0)),"")&amp;""&lt;&gt;"",ISNUMBER(AE884),AD884&lt;&gt;0),1,0)</f>
        <v/>
      </c>
      <c r="AG884" s="55">
        <f>IF(AF884=1,EOMONTH(AE884,0),"")</f>
        <v/>
      </c>
      <c r="AH884" s="9">
        <f>IF(AF884=1,UPPER(TRIM(IFERROR(INDEX($A884:$AB884,MATCH("Client",$A$1:$AB$1,0)),"")&amp;"")),"")</f>
        <v/>
      </c>
      <c r="AI884" s="9">
        <f>IF(AF884=1,IFERROR(INDEX($A884:$AB884,MATCH("Cost Centre",$A$1:$AB$1,0)),"")&amp;"","")</f>
        <v/>
      </c>
      <c r="AJ884" s="54">
        <f>IF(AND(AF884=1,AE884&gt;=set_FYStart,AE884&lt;=set_AsAt),1,0)</f>
        <v/>
      </c>
      <c r="AK884" s="54">
        <f>IF(AND(AJ884=1,AH884&lt;&gt;"",COUNTIFS($AH$2:AH884,AH884,$AJ$2:AJ884,1)=1),N(AL883)+1,"")</f>
        <v/>
      </c>
      <c r="AL884" s="54">
        <f>IF(AK884&lt;&gt;"",AK884,N(AL883))</f>
        <v/>
      </c>
    </row>
    <row r="885">
      <c r="A885" t="inlineStr">
        <is>
          <t>PRD-0295</t>
        </is>
      </c>
      <c r="B885" t="inlineStr">
        <is>
          <t>Production</t>
        </is>
      </c>
      <c r="AB885" t="n">
        <v>295</v>
      </c>
      <c r="AD885" s="52">
        <f>IFERROR(N(IFERROR(INDEX($A885:$AB885,MATCH("Xero Invoiced Ex GST",$A$1:$AB$1,0)),"")),0)</f>
        <v/>
      </c>
      <c r="AE885" s="53">
        <f>IFERROR(INDEX($A885:$AB885,MATCH("Xero Invoice Date",$A$1:$AB$1,0)),"")</f>
        <v/>
      </c>
      <c r="AF885" s="54">
        <f>IF(AND(IFERROR(INDEX($A885:$AB885,MATCH("Xero Invoice No",$A$1:$AB$1,0)),"")&amp;""&lt;&gt;"",ISNUMBER(AE885),AD885&lt;&gt;0),1,0)</f>
        <v/>
      </c>
      <c r="AG885" s="55">
        <f>IF(AF885=1,EOMONTH(AE885,0),"")</f>
        <v/>
      </c>
      <c r="AH885" s="9">
        <f>IF(AF885=1,UPPER(TRIM(IFERROR(INDEX($A885:$AB885,MATCH("Client",$A$1:$AB$1,0)),"")&amp;"")),"")</f>
        <v/>
      </c>
      <c r="AI885" s="9">
        <f>IF(AF885=1,IFERROR(INDEX($A885:$AB885,MATCH("Cost Centre",$A$1:$AB$1,0)),"")&amp;"","")</f>
        <v/>
      </c>
      <c r="AJ885" s="54">
        <f>IF(AND(AF885=1,AE885&gt;=set_FYStart,AE885&lt;=set_AsAt),1,0)</f>
        <v/>
      </c>
      <c r="AK885" s="54">
        <f>IF(AND(AJ885=1,AH885&lt;&gt;"",COUNTIFS($AH$2:AH885,AH885,$AJ$2:AJ885,1)=1),N(AL884)+1,"")</f>
        <v/>
      </c>
      <c r="AL885" s="54">
        <f>IF(AK885&lt;&gt;"",AK885,N(AL884))</f>
        <v/>
      </c>
    </row>
    <row r="886">
      <c r="A886" t="inlineStr">
        <is>
          <t>CON-0295</t>
        </is>
      </c>
      <c r="B886" t="inlineStr">
        <is>
          <t>Consulting</t>
        </is>
      </c>
      <c r="AB886" t="n">
        <v>295</v>
      </c>
      <c r="AD886" s="52">
        <f>IFERROR(N(IFERROR(INDEX($A886:$AB886,MATCH("Xero Invoiced Ex GST",$A$1:$AB$1,0)),"")),0)</f>
        <v/>
      </c>
      <c r="AE886" s="53">
        <f>IFERROR(INDEX($A886:$AB886,MATCH("Xero Invoice Date",$A$1:$AB$1,0)),"")</f>
        <v/>
      </c>
      <c r="AF886" s="54">
        <f>IF(AND(IFERROR(INDEX($A886:$AB886,MATCH("Xero Invoice No",$A$1:$AB$1,0)),"")&amp;""&lt;&gt;"",ISNUMBER(AE886),AD886&lt;&gt;0),1,0)</f>
        <v/>
      </c>
      <c r="AG886" s="55">
        <f>IF(AF886=1,EOMONTH(AE886,0),"")</f>
        <v/>
      </c>
      <c r="AH886" s="9">
        <f>IF(AF886=1,UPPER(TRIM(IFERROR(INDEX($A886:$AB886,MATCH("Client",$A$1:$AB$1,0)),"")&amp;"")),"")</f>
        <v/>
      </c>
      <c r="AI886" s="9">
        <f>IF(AF886=1,IFERROR(INDEX($A886:$AB886,MATCH("Cost Centre",$A$1:$AB$1,0)),"")&amp;"","")</f>
        <v/>
      </c>
      <c r="AJ886" s="54">
        <f>IF(AND(AF886=1,AE886&gt;=set_FYStart,AE886&lt;=set_AsAt),1,0)</f>
        <v/>
      </c>
      <c r="AK886" s="54">
        <f>IF(AND(AJ886=1,AH886&lt;&gt;"",COUNTIFS($AH$2:AH886,AH886,$AJ$2:AJ886,1)=1),N(AL885)+1,"")</f>
        <v/>
      </c>
      <c r="AL886" s="54">
        <f>IF(AK886&lt;&gt;"",AK886,N(AL885))</f>
        <v/>
      </c>
    </row>
    <row r="887">
      <c r="A887" t="inlineStr">
        <is>
          <t>ONS-0296</t>
        </is>
      </c>
      <c r="B887" t="inlineStr">
        <is>
          <t>Onsite</t>
        </is>
      </c>
      <c r="AB887" t="n">
        <v>296</v>
      </c>
      <c r="AD887" s="52">
        <f>IFERROR(N(IFERROR(INDEX($A887:$AB887,MATCH("Xero Invoiced Ex GST",$A$1:$AB$1,0)),"")),0)</f>
        <v/>
      </c>
      <c r="AE887" s="53">
        <f>IFERROR(INDEX($A887:$AB887,MATCH("Xero Invoice Date",$A$1:$AB$1,0)),"")</f>
        <v/>
      </c>
      <c r="AF887" s="54">
        <f>IF(AND(IFERROR(INDEX($A887:$AB887,MATCH("Xero Invoice No",$A$1:$AB$1,0)),"")&amp;""&lt;&gt;"",ISNUMBER(AE887),AD887&lt;&gt;0),1,0)</f>
        <v/>
      </c>
      <c r="AG887" s="55">
        <f>IF(AF887=1,EOMONTH(AE887,0),"")</f>
        <v/>
      </c>
      <c r="AH887" s="9">
        <f>IF(AF887=1,UPPER(TRIM(IFERROR(INDEX($A887:$AB887,MATCH("Client",$A$1:$AB$1,0)),"")&amp;"")),"")</f>
        <v/>
      </c>
      <c r="AI887" s="9">
        <f>IF(AF887=1,IFERROR(INDEX($A887:$AB887,MATCH("Cost Centre",$A$1:$AB$1,0)),"")&amp;"","")</f>
        <v/>
      </c>
      <c r="AJ887" s="54">
        <f>IF(AND(AF887=1,AE887&gt;=set_FYStart,AE887&lt;=set_AsAt),1,0)</f>
        <v/>
      </c>
      <c r="AK887" s="54">
        <f>IF(AND(AJ887=1,AH887&lt;&gt;"",COUNTIFS($AH$2:AH887,AH887,$AJ$2:AJ887,1)=1),N(AL886)+1,"")</f>
        <v/>
      </c>
      <c r="AL887" s="54">
        <f>IF(AK887&lt;&gt;"",AK887,N(AL886))</f>
        <v/>
      </c>
    </row>
    <row r="888">
      <c r="A888" t="inlineStr">
        <is>
          <t>PRD-0296</t>
        </is>
      </c>
      <c r="B888" t="inlineStr">
        <is>
          <t>Production</t>
        </is>
      </c>
      <c r="AB888" t="n">
        <v>296</v>
      </c>
      <c r="AD888" s="52">
        <f>IFERROR(N(IFERROR(INDEX($A888:$AB888,MATCH("Xero Invoiced Ex GST",$A$1:$AB$1,0)),"")),0)</f>
        <v/>
      </c>
      <c r="AE888" s="53">
        <f>IFERROR(INDEX($A888:$AB888,MATCH("Xero Invoice Date",$A$1:$AB$1,0)),"")</f>
        <v/>
      </c>
      <c r="AF888" s="54">
        <f>IF(AND(IFERROR(INDEX($A888:$AB888,MATCH("Xero Invoice No",$A$1:$AB$1,0)),"")&amp;""&lt;&gt;"",ISNUMBER(AE888),AD888&lt;&gt;0),1,0)</f>
        <v/>
      </c>
      <c r="AG888" s="55">
        <f>IF(AF888=1,EOMONTH(AE888,0),"")</f>
        <v/>
      </c>
      <c r="AH888" s="9">
        <f>IF(AF888=1,UPPER(TRIM(IFERROR(INDEX($A888:$AB888,MATCH("Client",$A$1:$AB$1,0)),"")&amp;"")),"")</f>
        <v/>
      </c>
      <c r="AI888" s="9">
        <f>IF(AF888=1,IFERROR(INDEX($A888:$AB888,MATCH("Cost Centre",$A$1:$AB$1,0)),"")&amp;"","")</f>
        <v/>
      </c>
      <c r="AJ888" s="54">
        <f>IF(AND(AF888=1,AE888&gt;=set_FYStart,AE888&lt;=set_AsAt),1,0)</f>
        <v/>
      </c>
      <c r="AK888" s="54">
        <f>IF(AND(AJ888=1,AH888&lt;&gt;"",COUNTIFS($AH$2:AH888,AH888,$AJ$2:AJ888,1)=1),N(AL887)+1,"")</f>
        <v/>
      </c>
      <c r="AL888" s="54">
        <f>IF(AK888&lt;&gt;"",AK888,N(AL887))</f>
        <v/>
      </c>
    </row>
    <row r="889">
      <c r="A889" t="inlineStr">
        <is>
          <t>CON-0296</t>
        </is>
      </c>
      <c r="B889" t="inlineStr">
        <is>
          <t>Consulting</t>
        </is>
      </c>
      <c r="AB889" t="n">
        <v>296</v>
      </c>
      <c r="AD889" s="52">
        <f>IFERROR(N(IFERROR(INDEX($A889:$AB889,MATCH("Xero Invoiced Ex GST",$A$1:$AB$1,0)),"")),0)</f>
        <v/>
      </c>
      <c r="AE889" s="53">
        <f>IFERROR(INDEX($A889:$AB889,MATCH("Xero Invoice Date",$A$1:$AB$1,0)),"")</f>
        <v/>
      </c>
      <c r="AF889" s="54">
        <f>IF(AND(IFERROR(INDEX($A889:$AB889,MATCH("Xero Invoice No",$A$1:$AB$1,0)),"")&amp;""&lt;&gt;"",ISNUMBER(AE889),AD889&lt;&gt;0),1,0)</f>
        <v/>
      </c>
      <c r="AG889" s="55">
        <f>IF(AF889=1,EOMONTH(AE889,0),"")</f>
        <v/>
      </c>
      <c r="AH889" s="9">
        <f>IF(AF889=1,UPPER(TRIM(IFERROR(INDEX($A889:$AB889,MATCH("Client",$A$1:$AB$1,0)),"")&amp;"")),"")</f>
        <v/>
      </c>
      <c r="AI889" s="9">
        <f>IF(AF889=1,IFERROR(INDEX($A889:$AB889,MATCH("Cost Centre",$A$1:$AB$1,0)),"")&amp;"","")</f>
        <v/>
      </c>
      <c r="AJ889" s="54">
        <f>IF(AND(AF889=1,AE889&gt;=set_FYStart,AE889&lt;=set_AsAt),1,0)</f>
        <v/>
      </c>
      <c r="AK889" s="54">
        <f>IF(AND(AJ889=1,AH889&lt;&gt;"",COUNTIFS($AH$2:AH889,AH889,$AJ$2:AJ889,1)=1),N(AL888)+1,"")</f>
        <v/>
      </c>
      <c r="AL889" s="54">
        <f>IF(AK889&lt;&gt;"",AK889,N(AL888))</f>
        <v/>
      </c>
    </row>
    <row r="890">
      <c r="A890" t="inlineStr">
        <is>
          <t>ONS-0297</t>
        </is>
      </c>
      <c r="B890" t="inlineStr">
        <is>
          <t>Onsite</t>
        </is>
      </c>
      <c r="AB890" t="n">
        <v>297</v>
      </c>
      <c r="AD890" s="52">
        <f>IFERROR(N(IFERROR(INDEX($A890:$AB890,MATCH("Xero Invoiced Ex GST",$A$1:$AB$1,0)),"")),0)</f>
        <v/>
      </c>
      <c r="AE890" s="53">
        <f>IFERROR(INDEX($A890:$AB890,MATCH("Xero Invoice Date",$A$1:$AB$1,0)),"")</f>
        <v/>
      </c>
      <c r="AF890" s="54">
        <f>IF(AND(IFERROR(INDEX($A890:$AB890,MATCH("Xero Invoice No",$A$1:$AB$1,0)),"")&amp;""&lt;&gt;"",ISNUMBER(AE890),AD890&lt;&gt;0),1,0)</f>
        <v/>
      </c>
      <c r="AG890" s="55">
        <f>IF(AF890=1,EOMONTH(AE890,0),"")</f>
        <v/>
      </c>
      <c r="AH890" s="9">
        <f>IF(AF890=1,UPPER(TRIM(IFERROR(INDEX($A890:$AB890,MATCH("Client",$A$1:$AB$1,0)),"")&amp;"")),"")</f>
        <v/>
      </c>
      <c r="AI890" s="9">
        <f>IF(AF890=1,IFERROR(INDEX($A890:$AB890,MATCH("Cost Centre",$A$1:$AB$1,0)),"")&amp;"","")</f>
        <v/>
      </c>
      <c r="AJ890" s="54">
        <f>IF(AND(AF890=1,AE890&gt;=set_FYStart,AE890&lt;=set_AsAt),1,0)</f>
        <v/>
      </c>
      <c r="AK890" s="54">
        <f>IF(AND(AJ890=1,AH890&lt;&gt;"",COUNTIFS($AH$2:AH890,AH890,$AJ$2:AJ890,1)=1),N(AL889)+1,"")</f>
        <v/>
      </c>
      <c r="AL890" s="54">
        <f>IF(AK890&lt;&gt;"",AK890,N(AL889))</f>
        <v/>
      </c>
    </row>
    <row r="891">
      <c r="A891" t="inlineStr">
        <is>
          <t>PRD-0297</t>
        </is>
      </c>
      <c r="B891" t="inlineStr">
        <is>
          <t>Production</t>
        </is>
      </c>
      <c r="AB891" t="n">
        <v>297</v>
      </c>
      <c r="AD891" s="52">
        <f>IFERROR(N(IFERROR(INDEX($A891:$AB891,MATCH("Xero Invoiced Ex GST",$A$1:$AB$1,0)),"")),0)</f>
        <v/>
      </c>
      <c r="AE891" s="53">
        <f>IFERROR(INDEX($A891:$AB891,MATCH("Xero Invoice Date",$A$1:$AB$1,0)),"")</f>
        <v/>
      </c>
      <c r="AF891" s="54">
        <f>IF(AND(IFERROR(INDEX($A891:$AB891,MATCH("Xero Invoice No",$A$1:$AB$1,0)),"")&amp;""&lt;&gt;"",ISNUMBER(AE891),AD891&lt;&gt;0),1,0)</f>
        <v/>
      </c>
      <c r="AG891" s="55">
        <f>IF(AF891=1,EOMONTH(AE891,0),"")</f>
        <v/>
      </c>
      <c r="AH891" s="9">
        <f>IF(AF891=1,UPPER(TRIM(IFERROR(INDEX($A891:$AB891,MATCH("Client",$A$1:$AB$1,0)),"")&amp;"")),"")</f>
        <v/>
      </c>
      <c r="AI891" s="9">
        <f>IF(AF891=1,IFERROR(INDEX($A891:$AB891,MATCH("Cost Centre",$A$1:$AB$1,0)),"")&amp;"","")</f>
        <v/>
      </c>
      <c r="AJ891" s="54">
        <f>IF(AND(AF891=1,AE891&gt;=set_FYStart,AE891&lt;=set_AsAt),1,0)</f>
        <v/>
      </c>
      <c r="AK891" s="54">
        <f>IF(AND(AJ891=1,AH891&lt;&gt;"",COUNTIFS($AH$2:AH891,AH891,$AJ$2:AJ891,1)=1),N(AL890)+1,"")</f>
        <v/>
      </c>
      <c r="AL891" s="54">
        <f>IF(AK891&lt;&gt;"",AK891,N(AL890))</f>
        <v/>
      </c>
    </row>
    <row r="892">
      <c r="A892" t="inlineStr">
        <is>
          <t>CON-0297</t>
        </is>
      </c>
      <c r="B892" t="inlineStr">
        <is>
          <t>Consulting</t>
        </is>
      </c>
      <c r="AB892" t="n">
        <v>297</v>
      </c>
      <c r="AD892" s="52">
        <f>IFERROR(N(IFERROR(INDEX($A892:$AB892,MATCH("Xero Invoiced Ex GST",$A$1:$AB$1,0)),"")),0)</f>
        <v/>
      </c>
      <c r="AE892" s="53">
        <f>IFERROR(INDEX($A892:$AB892,MATCH("Xero Invoice Date",$A$1:$AB$1,0)),"")</f>
        <v/>
      </c>
      <c r="AF892" s="54">
        <f>IF(AND(IFERROR(INDEX($A892:$AB892,MATCH("Xero Invoice No",$A$1:$AB$1,0)),"")&amp;""&lt;&gt;"",ISNUMBER(AE892),AD892&lt;&gt;0),1,0)</f>
        <v/>
      </c>
      <c r="AG892" s="55">
        <f>IF(AF892=1,EOMONTH(AE892,0),"")</f>
        <v/>
      </c>
      <c r="AH892" s="9">
        <f>IF(AF892=1,UPPER(TRIM(IFERROR(INDEX($A892:$AB892,MATCH("Client",$A$1:$AB$1,0)),"")&amp;"")),"")</f>
        <v/>
      </c>
      <c r="AI892" s="9">
        <f>IF(AF892=1,IFERROR(INDEX($A892:$AB892,MATCH("Cost Centre",$A$1:$AB$1,0)),"")&amp;"","")</f>
        <v/>
      </c>
      <c r="AJ892" s="54">
        <f>IF(AND(AF892=1,AE892&gt;=set_FYStart,AE892&lt;=set_AsAt),1,0)</f>
        <v/>
      </c>
      <c r="AK892" s="54">
        <f>IF(AND(AJ892=1,AH892&lt;&gt;"",COUNTIFS($AH$2:AH892,AH892,$AJ$2:AJ892,1)=1),N(AL891)+1,"")</f>
        <v/>
      </c>
      <c r="AL892" s="54">
        <f>IF(AK892&lt;&gt;"",AK892,N(AL891))</f>
        <v/>
      </c>
    </row>
    <row r="893">
      <c r="A893" t="inlineStr">
        <is>
          <t>ONS-0298</t>
        </is>
      </c>
      <c r="B893" t="inlineStr">
        <is>
          <t>Onsite</t>
        </is>
      </c>
      <c r="AB893" t="n">
        <v>298</v>
      </c>
      <c r="AD893" s="52">
        <f>IFERROR(N(IFERROR(INDEX($A893:$AB893,MATCH("Xero Invoiced Ex GST",$A$1:$AB$1,0)),"")),0)</f>
        <v/>
      </c>
      <c r="AE893" s="53">
        <f>IFERROR(INDEX($A893:$AB893,MATCH("Xero Invoice Date",$A$1:$AB$1,0)),"")</f>
        <v/>
      </c>
      <c r="AF893" s="54">
        <f>IF(AND(IFERROR(INDEX($A893:$AB893,MATCH("Xero Invoice No",$A$1:$AB$1,0)),"")&amp;""&lt;&gt;"",ISNUMBER(AE893),AD893&lt;&gt;0),1,0)</f>
        <v/>
      </c>
      <c r="AG893" s="55">
        <f>IF(AF893=1,EOMONTH(AE893,0),"")</f>
        <v/>
      </c>
      <c r="AH893" s="9">
        <f>IF(AF893=1,UPPER(TRIM(IFERROR(INDEX($A893:$AB893,MATCH("Client",$A$1:$AB$1,0)),"")&amp;"")),"")</f>
        <v/>
      </c>
      <c r="AI893" s="9">
        <f>IF(AF893=1,IFERROR(INDEX($A893:$AB893,MATCH("Cost Centre",$A$1:$AB$1,0)),"")&amp;"","")</f>
        <v/>
      </c>
      <c r="AJ893" s="54">
        <f>IF(AND(AF893=1,AE893&gt;=set_FYStart,AE893&lt;=set_AsAt),1,0)</f>
        <v/>
      </c>
      <c r="AK893" s="54">
        <f>IF(AND(AJ893=1,AH893&lt;&gt;"",COUNTIFS($AH$2:AH893,AH893,$AJ$2:AJ893,1)=1),N(AL892)+1,"")</f>
        <v/>
      </c>
      <c r="AL893" s="54">
        <f>IF(AK893&lt;&gt;"",AK893,N(AL892))</f>
        <v/>
      </c>
    </row>
    <row r="894">
      <c r="A894" t="inlineStr">
        <is>
          <t>PRD-0298</t>
        </is>
      </c>
      <c r="B894" t="inlineStr">
        <is>
          <t>Production</t>
        </is>
      </c>
      <c r="AB894" t="n">
        <v>298</v>
      </c>
      <c r="AD894" s="52">
        <f>IFERROR(N(IFERROR(INDEX($A894:$AB894,MATCH("Xero Invoiced Ex GST",$A$1:$AB$1,0)),"")),0)</f>
        <v/>
      </c>
      <c r="AE894" s="53">
        <f>IFERROR(INDEX($A894:$AB894,MATCH("Xero Invoice Date",$A$1:$AB$1,0)),"")</f>
        <v/>
      </c>
      <c r="AF894" s="54">
        <f>IF(AND(IFERROR(INDEX($A894:$AB894,MATCH("Xero Invoice No",$A$1:$AB$1,0)),"")&amp;""&lt;&gt;"",ISNUMBER(AE894),AD894&lt;&gt;0),1,0)</f>
        <v/>
      </c>
      <c r="AG894" s="55">
        <f>IF(AF894=1,EOMONTH(AE894,0),"")</f>
        <v/>
      </c>
      <c r="AH894" s="9">
        <f>IF(AF894=1,UPPER(TRIM(IFERROR(INDEX($A894:$AB894,MATCH("Client",$A$1:$AB$1,0)),"")&amp;"")),"")</f>
        <v/>
      </c>
      <c r="AI894" s="9">
        <f>IF(AF894=1,IFERROR(INDEX($A894:$AB894,MATCH("Cost Centre",$A$1:$AB$1,0)),"")&amp;"","")</f>
        <v/>
      </c>
      <c r="AJ894" s="54">
        <f>IF(AND(AF894=1,AE894&gt;=set_FYStart,AE894&lt;=set_AsAt),1,0)</f>
        <v/>
      </c>
      <c r="AK894" s="54">
        <f>IF(AND(AJ894=1,AH894&lt;&gt;"",COUNTIFS($AH$2:AH894,AH894,$AJ$2:AJ894,1)=1),N(AL893)+1,"")</f>
        <v/>
      </c>
      <c r="AL894" s="54">
        <f>IF(AK894&lt;&gt;"",AK894,N(AL893))</f>
        <v/>
      </c>
    </row>
    <row r="895">
      <c r="A895" t="inlineStr">
        <is>
          <t>CON-0298</t>
        </is>
      </c>
      <c r="B895" t="inlineStr">
        <is>
          <t>Consulting</t>
        </is>
      </c>
      <c r="AB895" t="n">
        <v>298</v>
      </c>
      <c r="AD895" s="52">
        <f>IFERROR(N(IFERROR(INDEX($A895:$AB895,MATCH("Xero Invoiced Ex GST",$A$1:$AB$1,0)),"")),0)</f>
        <v/>
      </c>
      <c r="AE895" s="53">
        <f>IFERROR(INDEX($A895:$AB895,MATCH("Xero Invoice Date",$A$1:$AB$1,0)),"")</f>
        <v/>
      </c>
      <c r="AF895" s="54">
        <f>IF(AND(IFERROR(INDEX($A895:$AB895,MATCH("Xero Invoice No",$A$1:$AB$1,0)),"")&amp;""&lt;&gt;"",ISNUMBER(AE895),AD895&lt;&gt;0),1,0)</f>
        <v/>
      </c>
      <c r="AG895" s="55">
        <f>IF(AF895=1,EOMONTH(AE895,0),"")</f>
        <v/>
      </c>
      <c r="AH895" s="9">
        <f>IF(AF895=1,UPPER(TRIM(IFERROR(INDEX($A895:$AB895,MATCH("Client",$A$1:$AB$1,0)),"")&amp;"")),"")</f>
        <v/>
      </c>
      <c r="AI895" s="9">
        <f>IF(AF895=1,IFERROR(INDEX($A895:$AB895,MATCH("Cost Centre",$A$1:$AB$1,0)),"")&amp;"","")</f>
        <v/>
      </c>
      <c r="AJ895" s="54">
        <f>IF(AND(AF895=1,AE895&gt;=set_FYStart,AE895&lt;=set_AsAt),1,0)</f>
        <v/>
      </c>
      <c r="AK895" s="54">
        <f>IF(AND(AJ895=1,AH895&lt;&gt;"",COUNTIFS($AH$2:AH895,AH895,$AJ$2:AJ895,1)=1),N(AL894)+1,"")</f>
        <v/>
      </c>
      <c r="AL895" s="54">
        <f>IF(AK895&lt;&gt;"",AK895,N(AL894))</f>
        <v/>
      </c>
    </row>
    <row r="896">
      <c r="A896" t="inlineStr">
        <is>
          <t>ONS-0299</t>
        </is>
      </c>
      <c r="B896" t="inlineStr">
        <is>
          <t>Onsite</t>
        </is>
      </c>
      <c r="AB896" t="n">
        <v>299</v>
      </c>
      <c r="AD896" s="52">
        <f>IFERROR(N(IFERROR(INDEX($A896:$AB896,MATCH("Xero Invoiced Ex GST",$A$1:$AB$1,0)),"")),0)</f>
        <v/>
      </c>
      <c r="AE896" s="53">
        <f>IFERROR(INDEX($A896:$AB896,MATCH("Xero Invoice Date",$A$1:$AB$1,0)),"")</f>
        <v/>
      </c>
      <c r="AF896" s="54">
        <f>IF(AND(IFERROR(INDEX($A896:$AB896,MATCH("Xero Invoice No",$A$1:$AB$1,0)),"")&amp;""&lt;&gt;"",ISNUMBER(AE896),AD896&lt;&gt;0),1,0)</f>
        <v/>
      </c>
      <c r="AG896" s="55">
        <f>IF(AF896=1,EOMONTH(AE896,0),"")</f>
        <v/>
      </c>
      <c r="AH896" s="9">
        <f>IF(AF896=1,UPPER(TRIM(IFERROR(INDEX($A896:$AB896,MATCH("Client",$A$1:$AB$1,0)),"")&amp;"")),"")</f>
        <v/>
      </c>
      <c r="AI896" s="9">
        <f>IF(AF896=1,IFERROR(INDEX($A896:$AB896,MATCH("Cost Centre",$A$1:$AB$1,0)),"")&amp;"","")</f>
        <v/>
      </c>
      <c r="AJ896" s="54">
        <f>IF(AND(AF896=1,AE896&gt;=set_FYStart,AE896&lt;=set_AsAt),1,0)</f>
        <v/>
      </c>
      <c r="AK896" s="54">
        <f>IF(AND(AJ896=1,AH896&lt;&gt;"",COUNTIFS($AH$2:AH896,AH896,$AJ$2:AJ896,1)=1),N(AL895)+1,"")</f>
        <v/>
      </c>
      <c r="AL896" s="54">
        <f>IF(AK896&lt;&gt;"",AK896,N(AL895))</f>
        <v/>
      </c>
    </row>
    <row r="897">
      <c r="A897" t="inlineStr">
        <is>
          <t>PRD-0299</t>
        </is>
      </c>
      <c r="B897" t="inlineStr">
        <is>
          <t>Production</t>
        </is>
      </c>
      <c r="AB897" t="n">
        <v>299</v>
      </c>
      <c r="AD897" s="52">
        <f>IFERROR(N(IFERROR(INDEX($A897:$AB897,MATCH("Xero Invoiced Ex GST",$A$1:$AB$1,0)),"")),0)</f>
        <v/>
      </c>
      <c r="AE897" s="53">
        <f>IFERROR(INDEX($A897:$AB897,MATCH("Xero Invoice Date",$A$1:$AB$1,0)),"")</f>
        <v/>
      </c>
      <c r="AF897" s="54">
        <f>IF(AND(IFERROR(INDEX($A897:$AB897,MATCH("Xero Invoice No",$A$1:$AB$1,0)),"")&amp;""&lt;&gt;"",ISNUMBER(AE897),AD897&lt;&gt;0),1,0)</f>
        <v/>
      </c>
      <c r="AG897" s="55">
        <f>IF(AF897=1,EOMONTH(AE897,0),"")</f>
        <v/>
      </c>
      <c r="AH897" s="9">
        <f>IF(AF897=1,UPPER(TRIM(IFERROR(INDEX($A897:$AB897,MATCH("Client",$A$1:$AB$1,0)),"")&amp;"")),"")</f>
        <v/>
      </c>
      <c r="AI897" s="9">
        <f>IF(AF897=1,IFERROR(INDEX($A897:$AB897,MATCH("Cost Centre",$A$1:$AB$1,0)),"")&amp;"","")</f>
        <v/>
      </c>
      <c r="AJ897" s="54">
        <f>IF(AND(AF897=1,AE897&gt;=set_FYStart,AE897&lt;=set_AsAt),1,0)</f>
        <v/>
      </c>
      <c r="AK897" s="54">
        <f>IF(AND(AJ897=1,AH897&lt;&gt;"",COUNTIFS($AH$2:AH897,AH897,$AJ$2:AJ897,1)=1),N(AL896)+1,"")</f>
        <v/>
      </c>
      <c r="AL897" s="54">
        <f>IF(AK897&lt;&gt;"",AK897,N(AL896))</f>
        <v/>
      </c>
    </row>
    <row r="898">
      <c r="A898" t="inlineStr">
        <is>
          <t>CON-0299</t>
        </is>
      </c>
      <c r="B898" t="inlineStr">
        <is>
          <t>Consulting</t>
        </is>
      </c>
      <c r="AB898" t="n">
        <v>299</v>
      </c>
      <c r="AD898" s="52">
        <f>IFERROR(N(IFERROR(INDEX($A898:$AB898,MATCH("Xero Invoiced Ex GST",$A$1:$AB$1,0)),"")),0)</f>
        <v/>
      </c>
      <c r="AE898" s="53">
        <f>IFERROR(INDEX($A898:$AB898,MATCH("Xero Invoice Date",$A$1:$AB$1,0)),"")</f>
        <v/>
      </c>
      <c r="AF898" s="54">
        <f>IF(AND(IFERROR(INDEX($A898:$AB898,MATCH("Xero Invoice No",$A$1:$AB$1,0)),"")&amp;""&lt;&gt;"",ISNUMBER(AE898),AD898&lt;&gt;0),1,0)</f>
        <v/>
      </c>
      <c r="AG898" s="55">
        <f>IF(AF898=1,EOMONTH(AE898,0),"")</f>
        <v/>
      </c>
      <c r="AH898" s="9">
        <f>IF(AF898=1,UPPER(TRIM(IFERROR(INDEX($A898:$AB898,MATCH("Client",$A$1:$AB$1,0)),"")&amp;"")),"")</f>
        <v/>
      </c>
      <c r="AI898" s="9">
        <f>IF(AF898=1,IFERROR(INDEX($A898:$AB898,MATCH("Cost Centre",$A$1:$AB$1,0)),"")&amp;"","")</f>
        <v/>
      </c>
      <c r="AJ898" s="54">
        <f>IF(AND(AF898=1,AE898&gt;=set_FYStart,AE898&lt;=set_AsAt),1,0)</f>
        <v/>
      </c>
      <c r="AK898" s="54">
        <f>IF(AND(AJ898=1,AH898&lt;&gt;"",COUNTIFS($AH$2:AH898,AH898,$AJ$2:AJ898,1)=1),N(AL897)+1,"")</f>
        <v/>
      </c>
      <c r="AL898" s="54">
        <f>IF(AK898&lt;&gt;"",AK898,N(AL897))</f>
        <v/>
      </c>
    </row>
    <row r="899">
      <c r="A899" t="inlineStr">
        <is>
          <t>ONS-0300</t>
        </is>
      </c>
      <c r="B899" t="inlineStr">
        <is>
          <t>Onsite</t>
        </is>
      </c>
      <c r="AB899" t="n">
        <v>300</v>
      </c>
      <c r="AD899" s="52">
        <f>IFERROR(N(IFERROR(INDEX($A899:$AB899,MATCH("Xero Invoiced Ex GST",$A$1:$AB$1,0)),"")),0)</f>
        <v/>
      </c>
      <c r="AE899" s="53">
        <f>IFERROR(INDEX($A899:$AB899,MATCH("Xero Invoice Date",$A$1:$AB$1,0)),"")</f>
        <v/>
      </c>
      <c r="AF899" s="54">
        <f>IF(AND(IFERROR(INDEX($A899:$AB899,MATCH("Xero Invoice No",$A$1:$AB$1,0)),"")&amp;""&lt;&gt;"",ISNUMBER(AE899),AD899&lt;&gt;0),1,0)</f>
        <v/>
      </c>
      <c r="AG899" s="55">
        <f>IF(AF899=1,EOMONTH(AE899,0),"")</f>
        <v/>
      </c>
      <c r="AH899" s="9">
        <f>IF(AF899=1,UPPER(TRIM(IFERROR(INDEX($A899:$AB899,MATCH("Client",$A$1:$AB$1,0)),"")&amp;"")),"")</f>
        <v/>
      </c>
      <c r="AI899" s="9">
        <f>IF(AF899=1,IFERROR(INDEX($A899:$AB899,MATCH("Cost Centre",$A$1:$AB$1,0)),"")&amp;"","")</f>
        <v/>
      </c>
      <c r="AJ899" s="54">
        <f>IF(AND(AF899=1,AE899&gt;=set_FYStart,AE899&lt;=set_AsAt),1,0)</f>
        <v/>
      </c>
      <c r="AK899" s="54">
        <f>IF(AND(AJ899=1,AH899&lt;&gt;"",COUNTIFS($AH$2:AH899,AH899,$AJ$2:AJ899,1)=1),N(AL898)+1,"")</f>
        <v/>
      </c>
      <c r="AL899" s="54">
        <f>IF(AK899&lt;&gt;"",AK899,N(AL898))</f>
        <v/>
      </c>
    </row>
    <row r="900">
      <c r="A900" t="inlineStr">
        <is>
          <t>PRD-0300</t>
        </is>
      </c>
      <c r="B900" t="inlineStr">
        <is>
          <t>Production</t>
        </is>
      </c>
      <c r="AB900" t="n">
        <v>300</v>
      </c>
      <c r="AD900" s="52">
        <f>IFERROR(N(IFERROR(INDEX($A900:$AB900,MATCH("Xero Invoiced Ex GST",$A$1:$AB$1,0)),"")),0)</f>
        <v/>
      </c>
      <c r="AE900" s="53">
        <f>IFERROR(INDEX($A900:$AB900,MATCH("Xero Invoice Date",$A$1:$AB$1,0)),"")</f>
        <v/>
      </c>
      <c r="AF900" s="54">
        <f>IF(AND(IFERROR(INDEX($A900:$AB900,MATCH("Xero Invoice No",$A$1:$AB$1,0)),"")&amp;""&lt;&gt;"",ISNUMBER(AE900),AD900&lt;&gt;0),1,0)</f>
        <v/>
      </c>
      <c r="AG900" s="55">
        <f>IF(AF900=1,EOMONTH(AE900,0),"")</f>
        <v/>
      </c>
      <c r="AH900" s="9">
        <f>IF(AF900=1,UPPER(TRIM(IFERROR(INDEX($A900:$AB900,MATCH("Client",$A$1:$AB$1,0)),"")&amp;"")),"")</f>
        <v/>
      </c>
      <c r="AI900" s="9">
        <f>IF(AF900=1,IFERROR(INDEX($A900:$AB900,MATCH("Cost Centre",$A$1:$AB$1,0)),"")&amp;"","")</f>
        <v/>
      </c>
      <c r="AJ900" s="54">
        <f>IF(AND(AF900=1,AE900&gt;=set_FYStart,AE900&lt;=set_AsAt),1,0)</f>
        <v/>
      </c>
      <c r="AK900" s="54">
        <f>IF(AND(AJ900=1,AH900&lt;&gt;"",COUNTIFS($AH$2:AH900,AH900,$AJ$2:AJ900,1)=1),N(AL899)+1,"")</f>
        <v/>
      </c>
      <c r="AL900" s="54">
        <f>IF(AK900&lt;&gt;"",AK900,N(AL899))</f>
        <v/>
      </c>
    </row>
    <row r="901">
      <c r="A901" t="inlineStr">
        <is>
          <t>CON-0300</t>
        </is>
      </c>
      <c r="B901" t="inlineStr">
        <is>
          <t>Consulting</t>
        </is>
      </c>
      <c r="AB901" t="n">
        <v>300</v>
      </c>
      <c r="AD901" s="52">
        <f>IFERROR(N(IFERROR(INDEX($A901:$AB901,MATCH("Xero Invoiced Ex GST",$A$1:$AB$1,0)),"")),0)</f>
        <v/>
      </c>
      <c r="AE901" s="53">
        <f>IFERROR(INDEX($A901:$AB901,MATCH("Xero Invoice Date",$A$1:$AB$1,0)),"")</f>
        <v/>
      </c>
      <c r="AF901" s="54">
        <f>IF(AND(IFERROR(INDEX($A901:$AB901,MATCH("Xero Invoice No",$A$1:$AB$1,0)),"")&amp;""&lt;&gt;"",ISNUMBER(AE901),AD901&lt;&gt;0),1,0)</f>
        <v/>
      </c>
      <c r="AG901" s="55">
        <f>IF(AF901=1,EOMONTH(AE901,0),"")</f>
        <v/>
      </c>
      <c r="AH901" s="9">
        <f>IF(AF901=1,UPPER(TRIM(IFERROR(INDEX($A901:$AB901,MATCH("Client",$A$1:$AB$1,0)),"")&amp;"")),"")</f>
        <v/>
      </c>
      <c r="AI901" s="9">
        <f>IF(AF901=1,IFERROR(INDEX($A901:$AB901,MATCH("Cost Centre",$A$1:$AB$1,0)),"")&amp;"","")</f>
        <v/>
      </c>
      <c r="AJ901" s="54">
        <f>IF(AND(AF901=1,AE901&gt;=set_FYStart,AE901&lt;=set_AsAt),1,0)</f>
        <v/>
      </c>
      <c r="AK901" s="54">
        <f>IF(AND(AJ901=1,AH901&lt;&gt;"",COUNTIFS($AH$2:AH901,AH901,$AJ$2:AJ901,1)=1),N(AL900)+1,"")</f>
        <v/>
      </c>
      <c r="AL901" s="54">
        <f>IF(AK901&lt;&gt;"",AK901,N(AL900))</f>
        <v/>
      </c>
    </row>
    <row r="902">
      <c r="A902" t="inlineStr">
        <is>
          <t>ONS-0301</t>
        </is>
      </c>
      <c r="B902" t="inlineStr">
        <is>
          <t>Onsite</t>
        </is>
      </c>
      <c r="AB902" t="n">
        <v>301</v>
      </c>
      <c r="AD902" s="52">
        <f>IFERROR(N(IFERROR(INDEX($A902:$AB902,MATCH("Xero Invoiced Ex GST",$A$1:$AB$1,0)),"")),0)</f>
        <v/>
      </c>
      <c r="AE902" s="53">
        <f>IFERROR(INDEX($A902:$AB902,MATCH("Xero Invoice Date",$A$1:$AB$1,0)),"")</f>
        <v/>
      </c>
      <c r="AF902" s="54">
        <f>IF(AND(IFERROR(INDEX($A902:$AB902,MATCH("Xero Invoice No",$A$1:$AB$1,0)),"")&amp;""&lt;&gt;"",ISNUMBER(AE902),AD902&lt;&gt;0),1,0)</f>
        <v/>
      </c>
      <c r="AG902" s="55">
        <f>IF(AF902=1,EOMONTH(AE902,0),"")</f>
        <v/>
      </c>
      <c r="AH902" s="9">
        <f>IF(AF902=1,UPPER(TRIM(IFERROR(INDEX($A902:$AB902,MATCH("Client",$A$1:$AB$1,0)),"")&amp;"")),"")</f>
        <v/>
      </c>
      <c r="AI902" s="9">
        <f>IF(AF902=1,IFERROR(INDEX($A902:$AB902,MATCH("Cost Centre",$A$1:$AB$1,0)),"")&amp;"","")</f>
        <v/>
      </c>
      <c r="AJ902" s="54">
        <f>IF(AND(AF902=1,AE902&gt;=set_FYStart,AE902&lt;=set_AsAt),1,0)</f>
        <v/>
      </c>
      <c r="AK902" s="54">
        <f>IF(AND(AJ902=1,AH902&lt;&gt;"",COUNTIFS($AH$2:AH902,AH902,$AJ$2:AJ902,1)=1),N(AL901)+1,"")</f>
        <v/>
      </c>
      <c r="AL902" s="54">
        <f>IF(AK902&lt;&gt;"",AK902,N(AL901))</f>
        <v/>
      </c>
    </row>
    <row r="903">
      <c r="A903" t="inlineStr">
        <is>
          <t>PRD-0301</t>
        </is>
      </c>
      <c r="B903" t="inlineStr">
        <is>
          <t>Production</t>
        </is>
      </c>
      <c r="AB903" t="n">
        <v>301</v>
      </c>
      <c r="AD903" s="52">
        <f>IFERROR(N(IFERROR(INDEX($A903:$AB903,MATCH("Xero Invoiced Ex GST",$A$1:$AB$1,0)),"")),0)</f>
        <v/>
      </c>
      <c r="AE903" s="53">
        <f>IFERROR(INDEX($A903:$AB903,MATCH("Xero Invoice Date",$A$1:$AB$1,0)),"")</f>
        <v/>
      </c>
      <c r="AF903" s="54">
        <f>IF(AND(IFERROR(INDEX($A903:$AB903,MATCH("Xero Invoice No",$A$1:$AB$1,0)),"")&amp;""&lt;&gt;"",ISNUMBER(AE903),AD903&lt;&gt;0),1,0)</f>
        <v/>
      </c>
      <c r="AG903" s="55">
        <f>IF(AF903=1,EOMONTH(AE903,0),"")</f>
        <v/>
      </c>
      <c r="AH903" s="9">
        <f>IF(AF903=1,UPPER(TRIM(IFERROR(INDEX($A903:$AB903,MATCH("Client",$A$1:$AB$1,0)),"")&amp;"")),"")</f>
        <v/>
      </c>
      <c r="AI903" s="9">
        <f>IF(AF903=1,IFERROR(INDEX($A903:$AB903,MATCH("Cost Centre",$A$1:$AB$1,0)),"")&amp;"","")</f>
        <v/>
      </c>
      <c r="AJ903" s="54">
        <f>IF(AND(AF903=1,AE903&gt;=set_FYStart,AE903&lt;=set_AsAt),1,0)</f>
        <v/>
      </c>
      <c r="AK903" s="54">
        <f>IF(AND(AJ903=1,AH903&lt;&gt;"",COUNTIFS($AH$2:AH903,AH903,$AJ$2:AJ903,1)=1),N(AL902)+1,"")</f>
        <v/>
      </c>
      <c r="AL903" s="54">
        <f>IF(AK903&lt;&gt;"",AK903,N(AL902))</f>
        <v/>
      </c>
    </row>
    <row r="904">
      <c r="A904" t="inlineStr">
        <is>
          <t>CON-0301</t>
        </is>
      </c>
      <c r="B904" t="inlineStr">
        <is>
          <t>Consulting</t>
        </is>
      </c>
      <c r="AB904" t="n">
        <v>301</v>
      </c>
      <c r="AD904" s="52">
        <f>IFERROR(N(IFERROR(INDEX($A904:$AB904,MATCH("Xero Invoiced Ex GST",$A$1:$AB$1,0)),"")),0)</f>
        <v/>
      </c>
      <c r="AE904" s="53">
        <f>IFERROR(INDEX($A904:$AB904,MATCH("Xero Invoice Date",$A$1:$AB$1,0)),"")</f>
        <v/>
      </c>
      <c r="AF904" s="54">
        <f>IF(AND(IFERROR(INDEX($A904:$AB904,MATCH("Xero Invoice No",$A$1:$AB$1,0)),"")&amp;""&lt;&gt;"",ISNUMBER(AE904),AD904&lt;&gt;0),1,0)</f>
        <v/>
      </c>
      <c r="AG904" s="55">
        <f>IF(AF904=1,EOMONTH(AE904,0),"")</f>
        <v/>
      </c>
      <c r="AH904" s="9">
        <f>IF(AF904=1,UPPER(TRIM(IFERROR(INDEX($A904:$AB904,MATCH("Client",$A$1:$AB$1,0)),"")&amp;"")),"")</f>
        <v/>
      </c>
      <c r="AI904" s="9">
        <f>IF(AF904=1,IFERROR(INDEX($A904:$AB904,MATCH("Cost Centre",$A$1:$AB$1,0)),"")&amp;"","")</f>
        <v/>
      </c>
      <c r="AJ904" s="54">
        <f>IF(AND(AF904=1,AE904&gt;=set_FYStart,AE904&lt;=set_AsAt),1,0)</f>
        <v/>
      </c>
      <c r="AK904" s="54">
        <f>IF(AND(AJ904=1,AH904&lt;&gt;"",COUNTIFS($AH$2:AH904,AH904,$AJ$2:AJ904,1)=1),N(AL903)+1,"")</f>
        <v/>
      </c>
      <c r="AL904" s="54">
        <f>IF(AK904&lt;&gt;"",AK904,N(AL903))</f>
        <v/>
      </c>
    </row>
    <row r="905">
      <c r="A905" t="inlineStr">
        <is>
          <t>ONS-0302</t>
        </is>
      </c>
      <c r="B905" t="inlineStr">
        <is>
          <t>Onsite</t>
        </is>
      </c>
      <c r="AB905" t="n">
        <v>302</v>
      </c>
      <c r="AD905" s="52">
        <f>IFERROR(N(IFERROR(INDEX($A905:$AB905,MATCH("Xero Invoiced Ex GST",$A$1:$AB$1,0)),"")),0)</f>
        <v/>
      </c>
      <c r="AE905" s="53">
        <f>IFERROR(INDEX($A905:$AB905,MATCH("Xero Invoice Date",$A$1:$AB$1,0)),"")</f>
        <v/>
      </c>
      <c r="AF905" s="54">
        <f>IF(AND(IFERROR(INDEX($A905:$AB905,MATCH("Xero Invoice No",$A$1:$AB$1,0)),"")&amp;""&lt;&gt;"",ISNUMBER(AE905),AD905&lt;&gt;0),1,0)</f>
        <v/>
      </c>
      <c r="AG905" s="55">
        <f>IF(AF905=1,EOMONTH(AE905,0),"")</f>
        <v/>
      </c>
      <c r="AH905" s="9">
        <f>IF(AF905=1,UPPER(TRIM(IFERROR(INDEX($A905:$AB905,MATCH("Client",$A$1:$AB$1,0)),"")&amp;"")),"")</f>
        <v/>
      </c>
      <c r="AI905" s="9">
        <f>IF(AF905=1,IFERROR(INDEX($A905:$AB905,MATCH("Cost Centre",$A$1:$AB$1,0)),"")&amp;"","")</f>
        <v/>
      </c>
      <c r="AJ905" s="54">
        <f>IF(AND(AF905=1,AE905&gt;=set_FYStart,AE905&lt;=set_AsAt),1,0)</f>
        <v/>
      </c>
      <c r="AK905" s="54">
        <f>IF(AND(AJ905=1,AH905&lt;&gt;"",COUNTIFS($AH$2:AH905,AH905,$AJ$2:AJ905,1)=1),N(AL904)+1,"")</f>
        <v/>
      </c>
      <c r="AL905" s="54">
        <f>IF(AK905&lt;&gt;"",AK905,N(AL904))</f>
        <v/>
      </c>
    </row>
    <row r="906">
      <c r="A906" t="inlineStr">
        <is>
          <t>PRD-0302</t>
        </is>
      </c>
      <c r="B906" t="inlineStr">
        <is>
          <t>Production</t>
        </is>
      </c>
      <c r="AB906" t="n">
        <v>302</v>
      </c>
      <c r="AD906" s="52">
        <f>IFERROR(N(IFERROR(INDEX($A906:$AB906,MATCH("Xero Invoiced Ex GST",$A$1:$AB$1,0)),"")),0)</f>
        <v/>
      </c>
      <c r="AE906" s="53">
        <f>IFERROR(INDEX($A906:$AB906,MATCH("Xero Invoice Date",$A$1:$AB$1,0)),"")</f>
        <v/>
      </c>
      <c r="AF906" s="54">
        <f>IF(AND(IFERROR(INDEX($A906:$AB906,MATCH("Xero Invoice No",$A$1:$AB$1,0)),"")&amp;""&lt;&gt;"",ISNUMBER(AE906),AD906&lt;&gt;0),1,0)</f>
        <v/>
      </c>
      <c r="AG906" s="55">
        <f>IF(AF906=1,EOMONTH(AE906,0),"")</f>
        <v/>
      </c>
      <c r="AH906" s="9">
        <f>IF(AF906=1,UPPER(TRIM(IFERROR(INDEX($A906:$AB906,MATCH("Client",$A$1:$AB$1,0)),"")&amp;"")),"")</f>
        <v/>
      </c>
      <c r="AI906" s="9">
        <f>IF(AF906=1,IFERROR(INDEX($A906:$AB906,MATCH("Cost Centre",$A$1:$AB$1,0)),"")&amp;"","")</f>
        <v/>
      </c>
      <c r="AJ906" s="54">
        <f>IF(AND(AF906=1,AE906&gt;=set_FYStart,AE906&lt;=set_AsAt),1,0)</f>
        <v/>
      </c>
      <c r="AK906" s="54">
        <f>IF(AND(AJ906=1,AH906&lt;&gt;"",COUNTIFS($AH$2:AH906,AH906,$AJ$2:AJ906,1)=1),N(AL905)+1,"")</f>
        <v/>
      </c>
      <c r="AL906" s="54">
        <f>IF(AK906&lt;&gt;"",AK906,N(AL905))</f>
        <v/>
      </c>
    </row>
    <row r="907">
      <c r="A907" t="inlineStr">
        <is>
          <t>CON-0302</t>
        </is>
      </c>
      <c r="B907" t="inlineStr">
        <is>
          <t>Consulting</t>
        </is>
      </c>
      <c r="AB907" t="n">
        <v>302</v>
      </c>
      <c r="AD907" s="52">
        <f>IFERROR(N(IFERROR(INDEX($A907:$AB907,MATCH("Xero Invoiced Ex GST",$A$1:$AB$1,0)),"")),0)</f>
        <v/>
      </c>
      <c r="AE907" s="53">
        <f>IFERROR(INDEX($A907:$AB907,MATCH("Xero Invoice Date",$A$1:$AB$1,0)),"")</f>
        <v/>
      </c>
      <c r="AF907" s="54">
        <f>IF(AND(IFERROR(INDEX($A907:$AB907,MATCH("Xero Invoice No",$A$1:$AB$1,0)),"")&amp;""&lt;&gt;"",ISNUMBER(AE907),AD907&lt;&gt;0),1,0)</f>
        <v/>
      </c>
      <c r="AG907" s="55">
        <f>IF(AF907=1,EOMONTH(AE907,0),"")</f>
        <v/>
      </c>
      <c r="AH907" s="9">
        <f>IF(AF907=1,UPPER(TRIM(IFERROR(INDEX($A907:$AB907,MATCH("Client",$A$1:$AB$1,0)),"")&amp;"")),"")</f>
        <v/>
      </c>
      <c r="AI907" s="9">
        <f>IF(AF907=1,IFERROR(INDEX($A907:$AB907,MATCH("Cost Centre",$A$1:$AB$1,0)),"")&amp;"","")</f>
        <v/>
      </c>
      <c r="AJ907" s="54">
        <f>IF(AND(AF907=1,AE907&gt;=set_FYStart,AE907&lt;=set_AsAt),1,0)</f>
        <v/>
      </c>
      <c r="AK907" s="54">
        <f>IF(AND(AJ907=1,AH907&lt;&gt;"",COUNTIFS($AH$2:AH907,AH907,$AJ$2:AJ907,1)=1),N(AL906)+1,"")</f>
        <v/>
      </c>
      <c r="AL907" s="54">
        <f>IF(AK907&lt;&gt;"",AK907,N(AL906))</f>
        <v/>
      </c>
    </row>
    <row r="908">
      <c r="A908" t="inlineStr">
        <is>
          <t>ONS-0303</t>
        </is>
      </c>
      <c r="B908" t="inlineStr">
        <is>
          <t>Onsite</t>
        </is>
      </c>
      <c r="AB908" t="n">
        <v>303</v>
      </c>
      <c r="AD908" s="52">
        <f>IFERROR(N(IFERROR(INDEX($A908:$AB908,MATCH("Xero Invoiced Ex GST",$A$1:$AB$1,0)),"")),0)</f>
        <v/>
      </c>
      <c r="AE908" s="53">
        <f>IFERROR(INDEX($A908:$AB908,MATCH("Xero Invoice Date",$A$1:$AB$1,0)),"")</f>
        <v/>
      </c>
      <c r="AF908" s="54">
        <f>IF(AND(IFERROR(INDEX($A908:$AB908,MATCH("Xero Invoice No",$A$1:$AB$1,0)),"")&amp;""&lt;&gt;"",ISNUMBER(AE908),AD908&lt;&gt;0),1,0)</f>
        <v/>
      </c>
      <c r="AG908" s="55">
        <f>IF(AF908=1,EOMONTH(AE908,0),"")</f>
        <v/>
      </c>
      <c r="AH908" s="9">
        <f>IF(AF908=1,UPPER(TRIM(IFERROR(INDEX($A908:$AB908,MATCH("Client",$A$1:$AB$1,0)),"")&amp;"")),"")</f>
        <v/>
      </c>
      <c r="AI908" s="9">
        <f>IF(AF908=1,IFERROR(INDEX($A908:$AB908,MATCH("Cost Centre",$A$1:$AB$1,0)),"")&amp;"","")</f>
        <v/>
      </c>
      <c r="AJ908" s="54">
        <f>IF(AND(AF908=1,AE908&gt;=set_FYStart,AE908&lt;=set_AsAt),1,0)</f>
        <v/>
      </c>
      <c r="AK908" s="54">
        <f>IF(AND(AJ908=1,AH908&lt;&gt;"",COUNTIFS($AH$2:AH908,AH908,$AJ$2:AJ908,1)=1),N(AL907)+1,"")</f>
        <v/>
      </c>
      <c r="AL908" s="54">
        <f>IF(AK908&lt;&gt;"",AK908,N(AL907))</f>
        <v/>
      </c>
    </row>
    <row r="909">
      <c r="A909" t="inlineStr">
        <is>
          <t>PRD-0303</t>
        </is>
      </c>
      <c r="B909" t="inlineStr">
        <is>
          <t>Production</t>
        </is>
      </c>
      <c r="AB909" t="n">
        <v>303</v>
      </c>
      <c r="AD909" s="52">
        <f>IFERROR(N(IFERROR(INDEX($A909:$AB909,MATCH("Xero Invoiced Ex GST",$A$1:$AB$1,0)),"")),0)</f>
        <v/>
      </c>
      <c r="AE909" s="53">
        <f>IFERROR(INDEX($A909:$AB909,MATCH("Xero Invoice Date",$A$1:$AB$1,0)),"")</f>
        <v/>
      </c>
      <c r="AF909" s="54">
        <f>IF(AND(IFERROR(INDEX($A909:$AB909,MATCH("Xero Invoice No",$A$1:$AB$1,0)),"")&amp;""&lt;&gt;"",ISNUMBER(AE909),AD909&lt;&gt;0),1,0)</f>
        <v/>
      </c>
      <c r="AG909" s="55">
        <f>IF(AF909=1,EOMONTH(AE909,0),"")</f>
        <v/>
      </c>
      <c r="AH909" s="9">
        <f>IF(AF909=1,UPPER(TRIM(IFERROR(INDEX($A909:$AB909,MATCH("Client",$A$1:$AB$1,0)),"")&amp;"")),"")</f>
        <v/>
      </c>
      <c r="AI909" s="9">
        <f>IF(AF909=1,IFERROR(INDEX($A909:$AB909,MATCH("Cost Centre",$A$1:$AB$1,0)),"")&amp;"","")</f>
        <v/>
      </c>
      <c r="AJ909" s="54">
        <f>IF(AND(AF909=1,AE909&gt;=set_FYStart,AE909&lt;=set_AsAt),1,0)</f>
        <v/>
      </c>
      <c r="AK909" s="54">
        <f>IF(AND(AJ909=1,AH909&lt;&gt;"",COUNTIFS($AH$2:AH909,AH909,$AJ$2:AJ909,1)=1),N(AL908)+1,"")</f>
        <v/>
      </c>
      <c r="AL909" s="54">
        <f>IF(AK909&lt;&gt;"",AK909,N(AL908))</f>
        <v/>
      </c>
    </row>
    <row r="910">
      <c r="A910" t="inlineStr">
        <is>
          <t>CON-0303</t>
        </is>
      </c>
      <c r="B910" t="inlineStr">
        <is>
          <t>Consulting</t>
        </is>
      </c>
      <c r="AB910" t="n">
        <v>303</v>
      </c>
      <c r="AD910" s="52">
        <f>IFERROR(N(IFERROR(INDEX($A910:$AB910,MATCH("Xero Invoiced Ex GST",$A$1:$AB$1,0)),"")),0)</f>
        <v/>
      </c>
      <c r="AE910" s="53">
        <f>IFERROR(INDEX($A910:$AB910,MATCH("Xero Invoice Date",$A$1:$AB$1,0)),"")</f>
        <v/>
      </c>
      <c r="AF910" s="54">
        <f>IF(AND(IFERROR(INDEX($A910:$AB910,MATCH("Xero Invoice No",$A$1:$AB$1,0)),"")&amp;""&lt;&gt;"",ISNUMBER(AE910),AD910&lt;&gt;0),1,0)</f>
        <v/>
      </c>
      <c r="AG910" s="55">
        <f>IF(AF910=1,EOMONTH(AE910,0),"")</f>
        <v/>
      </c>
      <c r="AH910" s="9">
        <f>IF(AF910=1,UPPER(TRIM(IFERROR(INDEX($A910:$AB910,MATCH("Client",$A$1:$AB$1,0)),"")&amp;"")),"")</f>
        <v/>
      </c>
      <c r="AI910" s="9">
        <f>IF(AF910=1,IFERROR(INDEX($A910:$AB910,MATCH("Cost Centre",$A$1:$AB$1,0)),"")&amp;"","")</f>
        <v/>
      </c>
      <c r="AJ910" s="54">
        <f>IF(AND(AF910=1,AE910&gt;=set_FYStart,AE910&lt;=set_AsAt),1,0)</f>
        <v/>
      </c>
      <c r="AK910" s="54">
        <f>IF(AND(AJ910=1,AH910&lt;&gt;"",COUNTIFS($AH$2:AH910,AH910,$AJ$2:AJ910,1)=1),N(AL909)+1,"")</f>
        <v/>
      </c>
      <c r="AL910" s="54">
        <f>IF(AK910&lt;&gt;"",AK910,N(AL909))</f>
        <v/>
      </c>
    </row>
    <row r="911">
      <c r="A911" t="inlineStr">
        <is>
          <t>ONS-0304</t>
        </is>
      </c>
      <c r="B911" t="inlineStr">
        <is>
          <t>Onsite</t>
        </is>
      </c>
      <c r="AB911" t="n">
        <v>304</v>
      </c>
      <c r="AD911" s="52">
        <f>IFERROR(N(IFERROR(INDEX($A911:$AB911,MATCH("Xero Invoiced Ex GST",$A$1:$AB$1,0)),"")),0)</f>
        <v/>
      </c>
      <c r="AE911" s="53">
        <f>IFERROR(INDEX($A911:$AB911,MATCH("Xero Invoice Date",$A$1:$AB$1,0)),"")</f>
        <v/>
      </c>
      <c r="AF911" s="54">
        <f>IF(AND(IFERROR(INDEX($A911:$AB911,MATCH("Xero Invoice No",$A$1:$AB$1,0)),"")&amp;""&lt;&gt;"",ISNUMBER(AE911),AD911&lt;&gt;0),1,0)</f>
        <v/>
      </c>
      <c r="AG911" s="55">
        <f>IF(AF911=1,EOMONTH(AE911,0),"")</f>
        <v/>
      </c>
      <c r="AH911" s="9">
        <f>IF(AF911=1,UPPER(TRIM(IFERROR(INDEX($A911:$AB911,MATCH("Client",$A$1:$AB$1,0)),"")&amp;"")),"")</f>
        <v/>
      </c>
      <c r="AI911" s="9">
        <f>IF(AF911=1,IFERROR(INDEX($A911:$AB911,MATCH("Cost Centre",$A$1:$AB$1,0)),"")&amp;"","")</f>
        <v/>
      </c>
      <c r="AJ911" s="54">
        <f>IF(AND(AF911=1,AE911&gt;=set_FYStart,AE911&lt;=set_AsAt),1,0)</f>
        <v/>
      </c>
      <c r="AK911" s="54">
        <f>IF(AND(AJ911=1,AH911&lt;&gt;"",COUNTIFS($AH$2:AH911,AH911,$AJ$2:AJ911,1)=1),N(AL910)+1,"")</f>
        <v/>
      </c>
      <c r="AL911" s="54">
        <f>IF(AK911&lt;&gt;"",AK911,N(AL910))</f>
        <v/>
      </c>
    </row>
    <row r="912">
      <c r="A912" t="inlineStr">
        <is>
          <t>PRD-0304</t>
        </is>
      </c>
      <c r="B912" t="inlineStr">
        <is>
          <t>Production</t>
        </is>
      </c>
      <c r="AB912" t="n">
        <v>304</v>
      </c>
      <c r="AD912" s="52">
        <f>IFERROR(N(IFERROR(INDEX($A912:$AB912,MATCH("Xero Invoiced Ex GST",$A$1:$AB$1,0)),"")),0)</f>
        <v/>
      </c>
      <c r="AE912" s="53">
        <f>IFERROR(INDEX($A912:$AB912,MATCH("Xero Invoice Date",$A$1:$AB$1,0)),"")</f>
        <v/>
      </c>
      <c r="AF912" s="54">
        <f>IF(AND(IFERROR(INDEX($A912:$AB912,MATCH("Xero Invoice No",$A$1:$AB$1,0)),"")&amp;""&lt;&gt;"",ISNUMBER(AE912),AD912&lt;&gt;0),1,0)</f>
        <v/>
      </c>
      <c r="AG912" s="55">
        <f>IF(AF912=1,EOMONTH(AE912,0),"")</f>
        <v/>
      </c>
      <c r="AH912" s="9">
        <f>IF(AF912=1,UPPER(TRIM(IFERROR(INDEX($A912:$AB912,MATCH("Client",$A$1:$AB$1,0)),"")&amp;"")),"")</f>
        <v/>
      </c>
      <c r="AI912" s="9">
        <f>IF(AF912=1,IFERROR(INDEX($A912:$AB912,MATCH("Cost Centre",$A$1:$AB$1,0)),"")&amp;"","")</f>
        <v/>
      </c>
      <c r="AJ912" s="54">
        <f>IF(AND(AF912=1,AE912&gt;=set_FYStart,AE912&lt;=set_AsAt),1,0)</f>
        <v/>
      </c>
      <c r="AK912" s="54">
        <f>IF(AND(AJ912=1,AH912&lt;&gt;"",COUNTIFS($AH$2:AH912,AH912,$AJ$2:AJ912,1)=1),N(AL911)+1,"")</f>
        <v/>
      </c>
      <c r="AL912" s="54">
        <f>IF(AK912&lt;&gt;"",AK912,N(AL911))</f>
        <v/>
      </c>
    </row>
    <row r="913">
      <c r="A913" t="inlineStr">
        <is>
          <t>CON-0304</t>
        </is>
      </c>
      <c r="B913" t="inlineStr">
        <is>
          <t>Consulting</t>
        </is>
      </c>
      <c r="AB913" t="n">
        <v>304</v>
      </c>
      <c r="AD913" s="52">
        <f>IFERROR(N(IFERROR(INDEX($A913:$AB913,MATCH("Xero Invoiced Ex GST",$A$1:$AB$1,0)),"")),0)</f>
        <v/>
      </c>
      <c r="AE913" s="53">
        <f>IFERROR(INDEX($A913:$AB913,MATCH("Xero Invoice Date",$A$1:$AB$1,0)),"")</f>
        <v/>
      </c>
      <c r="AF913" s="54">
        <f>IF(AND(IFERROR(INDEX($A913:$AB913,MATCH("Xero Invoice No",$A$1:$AB$1,0)),"")&amp;""&lt;&gt;"",ISNUMBER(AE913),AD913&lt;&gt;0),1,0)</f>
        <v/>
      </c>
      <c r="AG913" s="55">
        <f>IF(AF913=1,EOMONTH(AE913,0),"")</f>
        <v/>
      </c>
      <c r="AH913" s="9">
        <f>IF(AF913=1,UPPER(TRIM(IFERROR(INDEX($A913:$AB913,MATCH("Client",$A$1:$AB$1,0)),"")&amp;"")),"")</f>
        <v/>
      </c>
      <c r="AI913" s="9">
        <f>IF(AF913=1,IFERROR(INDEX($A913:$AB913,MATCH("Cost Centre",$A$1:$AB$1,0)),"")&amp;"","")</f>
        <v/>
      </c>
      <c r="AJ913" s="54">
        <f>IF(AND(AF913=1,AE913&gt;=set_FYStart,AE913&lt;=set_AsAt),1,0)</f>
        <v/>
      </c>
      <c r="AK913" s="54">
        <f>IF(AND(AJ913=1,AH913&lt;&gt;"",COUNTIFS($AH$2:AH913,AH913,$AJ$2:AJ913,1)=1),N(AL912)+1,"")</f>
        <v/>
      </c>
      <c r="AL913" s="54">
        <f>IF(AK913&lt;&gt;"",AK913,N(AL912))</f>
        <v/>
      </c>
    </row>
    <row r="914">
      <c r="A914" t="inlineStr">
        <is>
          <t>ONS-0305</t>
        </is>
      </c>
      <c r="B914" t="inlineStr">
        <is>
          <t>Onsite</t>
        </is>
      </c>
      <c r="AB914" t="n">
        <v>305</v>
      </c>
      <c r="AD914" s="52">
        <f>IFERROR(N(IFERROR(INDEX($A914:$AB914,MATCH("Xero Invoiced Ex GST",$A$1:$AB$1,0)),"")),0)</f>
        <v/>
      </c>
      <c r="AE914" s="53">
        <f>IFERROR(INDEX($A914:$AB914,MATCH("Xero Invoice Date",$A$1:$AB$1,0)),"")</f>
        <v/>
      </c>
      <c r="AF914" s="54">
        <f>IF(AND(IFERROR(INDEX($A914:$AB914,MATCH("Xero Invoice No",$A$1:$AB$1,0)),"")&amp;""&lt;&gt;"",ISNUMBER(AE914),AD914&lt;&gt;0),1,0)</f>
        <v/>
      </c>
      <c r="AG914" s="55">
        <f>IF(AF914=1,EOMONTH(AE914,0),"")</f>
        <v/>
      </c>
      <c r="AH914" s="9">
        <f>IF(AF914=1,UPPER(TRIM(IFERROR(INDEX($A914:$AB914,MATCH("Client",$A$1:$AB$1,0)),"")&amp;"")),"")</f>
        <v/>
      </c>
      <c r="AI914" s="9">
        <f>IF(AF914=1,IFERROR(INDEX($A914:$AB914,MATCH("Cost Centre",$A$1:$AB$1,0)),"")&amp;"","")</f>
        <v/>
      </c>
      <c r="AJ914" s="54">
        <f>IF(AND(AF914=1,AE914&gt;=set_FYStart,AE914&lt;=set_AsAt),1,0)</f>
        <v/>
      </c>
      <c r="AK914" s="54">
        <f>IF(AND(AJ914=1,AH914&lt;&gt;"",COUNTIFS($AH$2:AH914,AH914,$AJ$2:AJ914,1)=1),N(AL913)+1,"")</f>
        <v/>
      </c>
      <c r="AL914" s="54">
        <f>IF(AK914&lt;&gt;"",AK914,N(AL913))</f>
        <v/>
      </c>
    </row>
    <row r="915">
      <c r="A915" t="inlineStr">
        <is>
          <t>PRD-0305</t>
        </is>
      </c>
      <c r="B915" t="inlineStr">
        <is>
          <t>Production</t>
        </is>
      </c>
      <c r="AB915" t="n">
        <v>305</v>
      </c>
      <c r="AD915" s="52">
        <f>IFERROR(N(IFERROR(INDEX($A915:$AB915,MATCH("Xero Invoiced Ex GST",$A$1:$AB$1,0)),"")),0)</f>
        <v/>
      </c>
      <c r="AE915" s="53">
        <f>IFERROR(INDEX($A915:$AB915,MATCH("Xero Invoice Date",$A$1:$AB$1,0)),"")</f>
        <v/>
      </c>
      <c r="AF915" s="54">
        <f>IF(AND(IFERROR(INDEX($A915:$AB915,MATCH("Xero Invoice No",$A$1:$AB$1,0)),"")&amp;""&lt;&gt;"",ISNUMBER(AE915),AD915&lt;&gt;0),1,0)</f>
        <v/>
      </c>
      <c r="AG915" s="55">
        <f>IF(AF915=1,EOMONTH(AE915,0),"")</f>
        <v/>
      </c>
      <c r="AH915" s="9">
        <f>IF(AF915=1,UPPER(TRIM(IFERROR(INDEX($A915:$AB915,MATCH("Client",$A$1:$AB$1,0)),"")&amp;"")),"")</f>
        <v/>
      </c>
      <c r="AI915" s="9">
        <f>IF(AF915=1,IFERROR(INDEX($A915:$AB915,MATCH("Cost Centre",$A$1:$AB$1,0)),"")&amp;"","")</f>
        <v/>
      </c>
      <c r="AJ915" s="54">
        <f>IF(AND(AF915=1,AE915&gt;=set_FYStart,AE915&lt;=set_AsAt),1,0)</f>
        <v/>
      </c>
      <c r="AK915" s="54">
        <f>IF(AND(AJ915=1,AH915&lt;&gt;"",COUNTIFS($AH$2:AH915,AH915,$AJ$2:AJ915,1)=1),N(AL914)+1,"")</f>
        <v/>
      </c>
      <c r="AL915" s="54">
        <f>IF(AK915&lt;&gt;"",AK915,N(AL914))</f>
        <v/>
      </c>
    </row>
    <row r="916">
      <c r="A916" t="inlineStr">
        <is>
          <t>CON-0305</t>
        </is>
      </c>
      <c r="B916" t="inlineStr">
        <is>
          <t>Consulting</t>
        </is>
      </c>
      <c r="AB916" t="n">
        <v>305</v>
      </c>
      <c r="AD916" s="52">
        <f>IFERROR(N(IFERROR(INDEX($A916:$AB916,MATCH("Xero Invoiced Ex GST",$A$1:$AB$1,0)),"")),0)</f>
        <v/>
      </c>
      <c r="AE916" s="53">
        <f>IFERROR(INDEX($A916:$AB916,MATCH("Xero Invoice Date",$A$1:$AB$1,0)),"")</f>
        <v/>
      </c>
      <c r="AF916" s="54">
        <f>IF(AND(IFERROR(INDEX($A916:$AB916,MATCH("Xero Invoice No",$A$1:$AB$1,0)),"")&amp;""&lt;&gt;"",ISNUMBER(AE916),AD916&lt;&gt;0),1,0)</f>
        <v/>
      </c>
      <c r="AG916" s="55">
        <f>IF(AF916=1,EOMONTH(AE916,0),"")</f>
        <v/>
      </c>
      <c r="AH916" s="9">
        <f>IF(AF916=1,UPPER(TRIM(IFERROR(INDEX($A916:$AB916,MATCH("Client",$A$1:$AB$1,0)),"")&amp;"")),"")</f>
        <v/>
      </c>
      <c r="AI916" s="9">
        <f>IF(AF916=1,IFERROR(INDEX($A916:$AB916,MATCH("Cost Centre",$A$1:$AB$1,0)),"")&amp;"","")</f>
        <v/>
      </c>
      <c r="AJ916" s="54">
        <f>IF(AND(AF916=1,AE916&gt;=set_FYStart,AE916&lt;=set_AsAt),1,0)</f>
        <v/>
      </c>
      <c r="AK916" s="54">
        <f>IF(AND(AJ916=1,AH916&lt;&gt;"",COUNTIFS($AH$2:AH916,AH916,$AJ$2:AJ916,1)=1),N(AL915)+1,"")</f>
        <v/>
      </c>
      <c r="AL916" s="54">
        <f>IF(AK916&lt;&gt;"",AK916,N(AL915))</f>
        <v/>
      </c>
    </row>
    <row r="917">
      <c r="A917" t="inlineStr">
        <is>
          <t>ONS-0306</t>
        </is>
      </c>
      <c r="B917" t="inlineStr">
        <is>
          <t>Onsite</t>
        </is>
      </c>
      <c r="AB917" t="n">
        <v>306</v>
      </c>
      <c r="AD917" s="52">
        <f>IFERROR(N(IFERROR(INDEX($A917:$AB917,MATCH("Xero Invoiced Ex GST",$A$1:$AB$1,0)),"")),0)</f>
        <v/>
      </c>
      <c r="AE917" s="53">
        <f>IFERROR(INDEX($A917:$AB917,MATCH("Xero Invoice Date",$A$1:$AB$1,0)),"")</f>
        <v/>
      </c>
      <c r="AF917" s="54">
        <f>IF(AND(IFERROR(INDEX($A917:$AB917,MATCH("Xero Invoice No",$A$1:$AB$1,0)),"")&amp;""&lt;&gt;"",ISNUMBER(AE917),AD917&lt;&gt;0),1,0)</f>
        <v/>
      </c>
      <c r="AG917" s="55">
        <f>IF(AF917=1,EOMONTH(AE917,0),"")</f>
        <v/>
      </c>
      <c r="AH917" s="9">
        <f>IF(AF917=1,UPPER(TRIM(IFERROR(INDEX($A917:$AB917,MATCH("Client",$A$1:$AB$1,0)),"")&amp;"")),"")</f>
        <v/>
      </c>
      <c r="AI917" s="9">
        <f>IF(AF917=1,IFERROR(INDEX($A917:$AB917,MATCH("Cost Centre",$A$1:$AB$1,0)),"")&amp;"","")</f>
        <v/>
      </c>
      <c r="AJ917" s="54">
        <f>IF(AND(AF917=1,AE917&gt;=set_FYStart,AE917&lt;=set_AsAt),1,0)</f>
        <v/>
      </c>
      <c r="AK917" s="54">
        <f>IF(AND(AJ917=1,AH917&lt;&gt;"",COUNTIFS($AH$2:AH917,AH917,$AJ$2:AJ917,1)=1),N(AL916)+1,"")</f>
        <v/>
      </c>
      <c r="AL917" s="54">
        <f>IF(AK917&lt;&gt;"",AK917,N(AL916))</f>
        <v/>
      </c>
    </row>
    <row r="918">
      <c r="A918" t="inlineStr">
        <is>
          <t>PRD-0306</t>
        </is>
      </c>
      <c r="B918" t="inlineStr">
        <is>
          <t>Production</t>
        </is>
      </c>
      <c r="AB918" t="n">
        <v>306</v>
      </c>
      <c r="AD918" s="52">
        <f>IFERROR(N(IFERROR(INDEX($A918:$AB918,MATCH("Xero Invoiced Ex GST",$A$1:$AB$1,0)),"")),0)</f>
        <v/>
      </c>
      <c r="AE918" s="53">
        <f>IFERROR(INDEX($A918:$AB918,MATCH("Xero Invoice Date",$A$1:$AB$1,0)),"")</f>
        <v/>
      </c>
      <c r="AF918" s="54">
        <f>IF(AND(IFERROR(INDEX($A918:$AB918,MATCH("Xero Invoice No",$A$1:$AB$1,0)),"")&amp;""&lt;&gt;"",ISNUMBER(AE918),AD918&lt;&gt;0),1,0)</f>
        <v/>
      </c>
      <c r="AG918" s="55">
        <f>IF(AF918=1,EOMONTH(AE918,0),"")</f>
        <v/>
      </c>
      <c r="AH918" s="9">
        <f>IF(AF918=1,UPPER(TRIM(IFERROR(INDEX($A918:$AB918,MATCH("Client",$A$1:$AB$1,0)),"")&amp;"")),"")</f>
        <v/>
      </c>
      <c r="AI918" s="9">
        <f>IF(AF918=1,IFERROR(INDEX($A918:$AB918,MATCH("Cost Centre",$A$1:$AB$1,0)),"")&amp;"","")</f>
        <v/>
      </c>
      <c r="AJ918" s="54">
        <f>IF(AND(AF918=1,AE918&gt;=set_FYStart,AE918&lt;=set_AsAt),1,0)</f>
        <v/>
      </c>
      <c r="AK918" s="54">
        <f>IF(AND(AJ918=1,AH918&lt;&gt;"",COUNTIFS($AH$2:AH918,AH918,$AJ$2:AJ918,1)=1),N(AL917)+1,"")</f>
        <v/>
      </c>
      <c r="AL918" s="54">
        <f>IF(AK918&lt;&gt;"",AK918,N(AL917))</f>
        <v/>
      </c>
    </row>
    <row r="919">
      <c r="A919" t="inlineStr">
        <is>
          <t>CON-0306</t>
        </is>
      </c>
      <c r="B919" t="inlineStr">
        <is>
          <t>Consulting</t>
        </is>
      </c>
      <c r="AB919" t="n">
        <v>306</v>
      </c>
      <c r="AD919" s="52">
        <f>IFERROR(N(IFERROR(INDEX($A919:$AB919,MATCH("Xero Invoiced Ex GST",$A$1:$AB$1,0)),"")),0)</f>
        <v/>
      </c>
      <c r="AE919" s="53">
        <f>IFERROR(INDEX($A919:$AB919,MATCH("Xero Invoice Date",$A$1:$AB$1,0)),"")</f>
        <v/>
      </c>
      <c r="AF919" s="54">
        <f>IF(AND(IFERROR(INDEX($A919:$AB919,MATCH("Xero Invoice No",$A$1:$AB$1,0)),"")&amp;""&lt;&gt;"",ISNUMBER(AE919),AD919&lt;&gt;0),1,0)</f>
        <v/>
      </c>
      <c r="AG919" s="55">
        <f>IF(AF919=1,EOMONTH(AE919,0),"")</f>
        <v/>
      </c>
      <c r="AH919" s="9">
        <f>IF(AF919=1,UPPER(TRIM(IFERROR(INDEX($A919:$AB919,MATCH("Client",$A$1:$AB$1,0)),"")&amp;"")),"")</f>
        <v/>
      </c>
      <c r="AI919" s="9">
        <f>IF(AF919=1,IFERROR(INDEX($A919:$AB919,MATCH("Cost Centre",$A$1:$AB$1,0)),"")&amp;"","")</f>
        <v/>
      </c>
      <c r="AJ919" s="54">
        <f>IF(AND(AF919=1,AE919&gt;=set_FYStart,AE919&lt;=set_AsAt),1,0)</f>
        <v/>
      </c>
      <c r="AK919" s="54">
        <f>IF(AND(AJ919=1,AH919&lt;&gt;"",COUNTIFS($AH$2:AH919,AH919,$AJ$2:AJ919,1)=1),N(AL918)+1,"")</f>
        <v/>
      </c>
      <c r="AL919" s="54">
        <f>IF(AK919&lt;&gt;"",AK919,N(AL918))</f>
        <v/>
      </c>
    </row>
    <row r="920">
      <c r="A920" t="inlineStr">
        <is>
          <t>ONS-0307</t>
        </is>
      </c>
      <c r="B920" t="inlineStr">
        <is>
          <t>Onsite</t>
        </is>
      </c>
      <c r="AB920" t="n">
        <v>307</v>
      </c>
      <c r="AD920" s="52">
        <f>IFERROR(N(IFERROR(INDEX($A920:$AB920,MATCH("Xero Invoiced Ex GST",$A$1:$AB$1,0)),"")),0)</f>
        <v/>
      </c>
      <c r="AE920" s="53">
        <f>IFERROR(INDEX($A920:$AB920,MATCH("Xero Invoice Date",$A$1:$AB$1,0)),"")</f>
        <v/>
      </c>
      <c r="AF920" s="54">
        <f>IF(AND(IFERROR(INDEX($A920:$AB920,MATCH("Xero Invoice No",$A$1:$AB$1,0)),"")&amp;""&lt;&gt;"",ISNUMBER(AE920),AD920&lt;&gt;0),1,0)</f>
        <v/>
      </c>
      <c r="AG920" s="55">
        <f>IF(AF920=1,EOMONTH(AE920,0),"")</f>
        <v/>
      </c>
      <c r="AH920" s="9">
        <f>IF(AF920=1,UPPER(TRIM(IFERROR(INDEX($A920:$AB920,MATCH("Client",$A$1:$AB$1,0)),"")&amp;"")),"")</f>
        <v/>
      </c>
      <c r="AI920" s="9">
        <f>IF(AF920=1,IFERROR(INDEX($A920:$AB920,MATCH("Cost Centre",$A$1:$AB$1,0)),"")&amp;"","")</f>
        <v/>
      </c>
      <c r="AJ920" s="54">
        <f>IF(AND(AF920=1,AE920&gt;=set_FYStart,AE920&lt;=set_AsAt),1,0)</f>
        <v/>
      </c>
      <c r="AK920" s="54">
        <f>IF(AND(AJ920=1,AH920&lt;&gt;"",COUNTIFS($AH$2:AH920,AH920,$AJ$2:AJ920,1)=1),N(AL919)+1,"")</f>
        <v/>
      </c>
      <c r="AL920" s="54">
        <f>IF(AK920&lt;&gt;"",AK920,N(AL919))</f>
        <v/>
      </c>
    </row>
    <row r="921">
      <c r="A921" t="inlineStr">
        <is>
          <t>PRD-0307</t>
        </is>
      </c>
      <c r="B921" t="inlineStr">
        <is>
          <t>Production</t>
        </is>
      </c>
      <c r="AB921" t="n">
        <v>307</v>
      </c>
      <c r="AD921" s="52">
        <f>IFERROR(N(IFERROR(INDEX($A921:$AB921,MATCH("Xero Invoiced Ex GST",$A$1:$AB$1,0)),"")),0)</f>
        <v/>
      </c>
      <c r="AE921" s="53">
        <f>IFERROR(INDEX($A921:$AB921,MATCH("Xero Invoice Date",$A$1:$AB$1,0)),"")</f>
        <v/>
      </c>
      <c r="AF921" s="54">
        <f>IF(AND(IFERROR(INDEX($A921:$AB921,MATCH("Xero Invoice No",$A$1:$AB$1,0)),"")&amp;""&lt;&gt;"",ISNUMBER(AE921),AD921&lt;&gt;0),1,0)</f>
        <v/>
      </c>
      <c r="AG921" s="55">
        <f>IF(AF921=1,EOMONTH(AE921,0),"")</f>
        <v/>
      </c>
      <c r="AH921" s="9">
        <f>IF(AF921=1,UPPER(TRIM(IFERROR(INDEX($A921:$AB921,MATCH("Client",$A$1:$AB$1,0)),"")&amp;"")),"")</f>
        <v/>
      </c>
      <c r="AI921" s="9">
        <f>IF(AF921=1,IFERROR(INDEX($A921:$AB921,MATCH("Cost Centre",$A$1:$AB$1,0)),"")&amp;"","")</f>
        <v/>
      </c>
      <c r="AJ921" s="54">
        <f>IF(AND(AF921=1,AE921&gt;=set_FYStart,AE921&lt;=set_AsAt),1,0)</f>
        <v/>
      </c>
      <c r="AK921" s="54">
        <f>IF(AND(AJ921=1,AH921&lt;&gt;"",COUNTIFS($AH$2:AH921,AH921,$AJ$2:AJ921,1)=1),N(AL920)+1,"")</f>
        <v/>
      </c>
      <c r="AL921" s="54">
        <f>IF(AK921&lt;&gt;"",AK921,N(AL920))</f>
        <v/>
      </c>
    </row>
    <row r="922">
      <c r="A922" t="inlineStr">
        <is>
          <t>CON-0307</t>
        </is>
      </c>
      <c r="B922" t="inlineStr">
        <is>
          <t>Consulting</t>
        </is>
      </c>
      <c r="AB922" t="n">
        <v>307</v>
      </c>
      <c r="AD922" s="52">
        <f>IFERROR(N(IFERROR(INDEX($A922:$AB922,MATCH("Xero Invoiced Ex GST",$A$1:$AB$1,0)),"")),0)</f>
        <v/>
      </c>
      <c r="AE922" s="53">
        <f>IFERROR(INDEX($A922:$AB922,MATCH("Xero Invoice Date",$A$1:$AB$1,0)),"")</f>
        <v/>
      </c>
      <c r="AF922" s="54">
        <f>IF(AND(IFERROR(INDEX($A922:$AB922,MATCH("Xero Invoice No",$A$1:$AB$1,0)),"")&amp;""&lt;&gt;"",ISNUMBER(AE922),AD922&lt;&gt;0),1,0)</f>
        <v/>
      </c>
      <c r="AG922" s="55">
        <f>IF(AF922=1,EOMONTH(AE922,0),"")</f>
        <v/>
      </c>
      <c r="AH922" s="9">
        <f>IF(AF922=1,UPPER(TRIM(IFERROR(INDEX($A922:$AB922,MATCH("Client",$A$1:$AB$1,0)),"")&amp;"")),"")</f>
        <v/>
      </c>
      <c r="AI922" s="9">
        <f>IF(AF922=1,IFERROR(INDEX($A922:$AB922,MATCH("Cost Centre",$A$1:$AB$1,0)),"")&amp;"","")</f>
        <v/>
      </c>
      <c r="AJ922" s="54">
        <f>IF(AND(AF922=1,AE922&gt;=set_FYStart,AE922&lt;=set_AsAt),1,0)</f>
        <v/>
      </c>
      <c r="AK922" s="54">
        <f>IF(AND(AJ922=1,AH922&lt;&gt;"",COUNTIFS($AH$2:AH922,AH922,$AJ$2:AJ922,1)=1),N(AL921)+1,"")</f>
        <v/>
      </c>
      <c r="AL922" s="54">
        <f>IF(AK922&lt;&gt;"",AK922,N(AL921))</f>
        <v/>
      </c>
    </row>
    <row r="923">
      <c r="A923" t="inlineStr">
        <is>
          <t>ONS-0308</t>
        </is>
      </c>
      <c r="B923" t="inlineStr">
        <is>
          <t>Onsite</t>
        </is>
      </c>
      <c r="AB923" t="n">
        <v>308</v>
      </c>
      <c r="AD923" s="52">
        <f>IFERROR(N(IFERROR(INDEX($A923:$AB923,MATCH("Xero Invoiced Ex GST",$A$1:$AB$1,0)),"")),0)</f>
        <v/>
      </c>
      <c r="AE923" s="53">
        <f>IFERROR(INDEX($A923:$AB923,MATCH("Xero Invoice Date",$A$1:$AB$1,0)),"")</f>
        <v/>
      </c>
      <c r="AF923" s="54">
        <f>IF(AND(IFERROR(INDEX($A923:$AB923,MATCH("Xero Invoice No",$A$1:$AB$1,0)),"")&amp;""&lt;&gt;"",ISNUMBER(AE923),AD923&lt;&gt;0),1,0)</f>
        <v/>
      </c>
      <c r="AG923" s="55">
        <f>IF(AF923=1,EOMONTH(AE923,0),"")</f>
        <v/>
      </c>
      <c r="AH923" s="9">
        <f>IF(AF923=1,UPPER(TRIM(IFERROR(INDEX($A923:$AB923,MATCH("Client",$A$1:$AB$1,0)),"")&amp;"")),"")</f>
        <v/>
      </c>
      <c r="AI923" s="9">
        <f>IF(AF923=1,IFERROR(INDEX($A923:$AB923,MATCH("Cost Centre",$A$1:$AB$1,0)),"")&amp;"","")</f>
        <v/>
      </c>
      <c r="AJ923" s="54">
        <f>IF(AND(AF923=1,AE923&gt;=set_FYStart,AE923&lt;=set_AsAt),1,0)</f>
        <v/>
      </c>
      <c r="AK923" s="54">
        <f>IF(AND(AJ923=1,AH923&lt;&gt;"",COUNTIFS($AH$2:AH923,AH923,$AJ$2:AJ923,1)=1),N(AL922)+1,"")</f>
        <v/>
      </c>
      <c r="AL923" s="54">
        <f>IF(AK923&lt;&gt;"",AK923,N(AL922))</f>
        <v/>
      </c>
    </row>
    <row r="924">
      <c r="A924" t="inlineStr">
        <is>
          <t>PRD-0308</t>
        </is>
      </c>
      <c r="B924" t="inlineStr">
        <is>
          <t>Production</t>
        </is>
      </c>
      <c r="AB924" t="n">
        <v>308</v>
      </c>
      <c r="AD924" s="52">
        <f>IFERROR(N(IFERROR(INDEX($A924:$AB924,MATCH("Xero Invoiced Ex GST",$A$1:$AB$1,0)),"")),0)</f>
        <v/>
      </c>
      <c r="AE924" s="53">
        <f>IFERROR(INDEX($A924:$AB924,MATCH("Xero Invoice Date",$A$1:$AB$1,0)),"")</f>
        <v/>
      </c>
      <c r="AF924" s="54">
        <f>IF(AND(IFERROR(INDEX($A924:$AB924,MATCH("Xero Invoice No",$A$1:$AB$1,0)),"")&amp;""&lt;&gt;"",ISNUMBER(AE924),AD924&lt;&gt;0),1,0)</f>
        <v/>
      </c>
      <c r="AG924" s="55">
        <f>IF(AF924=1,EOMONTH(AE924,0),"")</f>
        <v/>
      </c>
      <c r="AH924" s="9">
        <f>IF(AF924=1,UPPER(TRIM(IFERROR(INDEX($A924:$AB924,MATCH("Client",$A$1:$AB$1,0)),"")&amp;"")),"")</f>
        <v/>
      </c>
      <c r="AI924" s="9">
        <f>IF(AF924=1,IFERROR(INDEX($A924:$AB924,MATCH("Cost Centre",$A$1:$AB$1,0)),"")&amp;"","")</f>
        <v/>
      </c>
      <c r="AJ924" s="54">
        <f>IF(AND(AF924=1,AE924&gt;=set_FYStart,AE924&lt;=set_AsAt),1,0)</f>
        <v/>
      </c>
      <c r="AK924" s="54">
        <f>IF(AND(AJ924=1,AH924&lt;&gt;"",COUNTIFS($AH$2:AH924,AH924,$AJ$2:AJ924,1)=1),N(AL923)+1,"")</f>
        <v/>
      </c>
      <c r="AL924" s="54">
        <f>IF(AK924&lt;&gt;"",AK924,N(AL923))</f>
        <v/>
      </c>
    </row>
    <row r="925">
      <c r="A925" t="inlineStr">
        <is>
          <t>CON-0308</t>
        </is>
      </c>
      <c r="B925" t="inlineStr">
        <is>
          <t>Consulting</t>
        </is>
      </c>
      <c r="AB925" t="n">
        <v>308</v>
      </c>
      <c r="AD925" s="52">
        <f>IFERROR(N(IFERROR(INDEX($A925:$AB925,MATCH("Xero Invoiced Ex GST",$A$1:$AB$1,0)),"")),0)</f>
        <v/>
      </c>
      <c r="AE925" s="53">
        <f>IFERROR(INDEX($A925:$AB925,MATCH("Xero Invoice Date",$A$1:$AB$1,0)),"")</f>
        <v/>
      </c>
      <c r="AF925" s="54">
        <f>IF(AND(IFERROR(INDEX($A925:$AB925,MATCH("Xero Invoice No",$A$1:$AB$1,0)),"")&amp;""&lt;&gt;"",ISNUMBER(AE925),AD925&lt;&gt;0),1,0)</f>
        <v/>
      </c>
      <c r="AG925" s="55">
        <f>IF(AF925=1,EOMONTH(AE925,0),"")</f>
        <v/>
      </c>
      <c r="AH925" s="9">
        <f>IF(AF925=1,UPPER(TRIM(IFERROR(INDEX($A925:$AB925,MATCH("Client",$A$1:$AB$1,0)),"")&amp;"")),"")</f>
        <v/>
      </c>
      <c r="AI925" s="9">
        <f>IF(AF925=1,IFERROR(INDEX($A925:$AB925,MATCH("Cost Centre",$A$1:$AB$1,0)),"")&amp;"","")</f>
        <v/>
      </c>
      <c r="AJ925" s="54">
        <f>IF(AND(AF925=1,AE925&gt;=set_FYStart,AE925&lt;=set_AsAt),1,0)</f>
        <v/>
      </c>
      <c r="AK925" s="54">
        <f>IF(AND(AJ925=1,AH925&lt;&gt;"",COUNTIFS($AH$2:AH925,AH925,$AJ$2:AJ925,1)=1),N(AL924)+1,"")</f>
        <v/>
      </c>
      <c r="AL925" s="54">
        <f>IF(AK925&lt;&gt;"",AK925,N(AL924))</f>
        <v/>
      </c>
    </row>
    <row r="926">
      <c r="A926" t="inlineStr">
        <is>
          <t>ONS-0309</t>
        </is>
      </c>
      <c r="B926" t="inlineStr">
        <is>
          <t>Onsite</t>
        </is>
      </c>
      <c r="AB926" t="n">
        <v>309</v>
      </c>
      <c r="AD926" s="52">
        <f>IFERROR(N(IFERROR(INDEX($A926:$AB926,MATCH("Xero Invoiced Ex GST",$A$1:$AB$1,0)),"")),0)</f>
        <v/>
      </c>
      <c r="AE926" s="53">
        <f>IFERROR(INDEX($A926:$AB926,MATCH("Xero Invoice Date",$A$1:$AB$1,0)),"")</f>
        <v/>
      </c>
      <c r="AF926" s="54">
        <f>IF(AND(IFERROR(INDEX($A926:$AB926,MATCH("Xero Invoice No",$A$1:$AB$1,0)),"")&amp;""&lt;&gt;"",ISNUMBER(AE926),AD926&lt;&gt;0),1,0)</f>
        <v/>
      </c>
      <c r="AG926" s="55">
        <f>IF(AF926=1,EOMONTH(AE926,0),"")</f>
        <v/>
      </c>
      <c r="AH926" s="9">
        <f>IF(AF926=1,UPPER(TRIM(IFERROR(INDEX($A926:$AB926,MATCH("Client",$A$1:$AB$1,0)),"")&amp;"")),"")</f>
        <v/>
      </c>
      <c r="AI926" s="9">
        <f>IF(AF926=1,IFERROR(INDEX($A926:$AB926,MATCH("Cost Centre",$A$1:$AB$1,0)),"")&amp;"","")</f>
        <v/>
      </c>
      <c r="AJ926" s="54">
        <f>IF(AND(AF926=1,AE926&gt;=set_FYStart,AE926&lt;=set_AsAt),1,0)</f>
        <v/>
      </c>
      <c r="AK926" s="54">
        <f>IF(AND(AJ926=1,AH926&lt;&gt;"",COUNTIFS($AH$2:AH926,AH926,$AJ$2:AJ926,1)=1),N(AL925)+1,"")</f>
        <v/>
      </c>
      <c r="AL926" s="54">
        <f>IF(AK926&lt;&gt;"",AK926,N(AL925))</f>
        <v/>
      </c>
    </row>
    <row r="927">
      <c r="A927" t="inlineStr">
        <is>
          <t>PRD-0309</t>
        </is>
      </c>
      <c r="B927" t="inlineStr">
        <is>
          <t>Production</t>
        </is>
      </c>
      <c r="AB927" t="n">
        <v>309</v>
      </c>
      <c r="AD927" s="52">
        <f>IFERROR(N(IFERROR(INDEX($A927:$AB927,MATCH("Xero Invoiced Ex GST",$A$1:$AB$1,0)),"")),0)</f>
        <v/>
      </c>
      <c r="AE927" s="53">
        <f>IFERROR(INDEX($A927:$AB927,MATCH("Xero Invoice Date",$A$1:$AB$1,0)),"")</f>
        <v/>
      </c>
      <c r="AF927" s="54">
        <f>IF(AND(IFERROR(INDEX($A927:$AB927,MATCH("Xero Invoice No",$A$1:$AB$1,0)),"")&amp;""&lt;&gt;"",ISNUMBER(AE927),AD927&lt;&gt;0),1,0)</f>
        <v/>
      </c>
      <c r="AG927" s="55">
        <f>IF(AF927=1,EOMONTH(AE927,0),"")</f>
        <v/>
      </c>
      <c r="AH927" s="9">
        <f>IF(AF927=1,UPPER(TRIM(IFERROR(INDEX($A927:$AB927,MATCH("Client",$A$1:$AB$1,0)),"")&amp;"")),"")</f>
        <v/>
      </c>
      <c r="AI927" s="9">
        <f>IF(AF927=1,IFERROR(INDEX($A927:$AB927,MATCH("Cost Centre",$A$1:$AB$1,0)),"")&amp;"","")</f>
        <v/>
      </c>
      <c r="AJ927" s="54">
        <f>IF(AND(AF927=1,AE927&gt;=set_FYStart,AE927&lt;=set_AsAt),1,0)</f>
        <v/>
      </c>
      <c r="AK927" s="54">
        <f>IF(AND(AJ927=1,AH927&lt;&gt;"",COUNTIFS($AH$2:AH927,AH927,$AJ$2:AJ927,1)=1),N(AL926)+1,"")</f>
        <v/>
      </c>
      <c r="AL927" s="54">
        <f>IF(AK927&lt;&gt;"",AK927,N(AL926))</f>
        <v/>
      </c>
    </row>
    <row r="928">
      <c r="A928" t="inlineStr">
        <is>
          <t>CON-0309</t>
        </is>
      </c>
      <c r="B928" t="inlineStr">
        <is>
          <t>Consulting</t>
        </is>
      </c>
      <c r="AB928" t="n">
        <v>309</v>
      </c>
      <c r="AD928" s="52">
        <f>IFERROR(N(IFERROR(INDEX($A928:$AB928,MATCH("Xero Invoiced Ex GST",$A$1:$AB$1,0)),"")),0)</f>
        <v/>
      </c>
      <c r="AE928" s="53">
        <f>IFERROR(INDEX($A928:$AB928,MATCH("Xero Invoice Date",$A$1:$AB$1,0)),"")</f>
        <v/>
      </c>
      <c r="AF928" s="54">
        <f>IF(AND(IFERROR(INDEX($A928:$AB928,MATCH("Xero Invoice No",$A$1:$AB$1,0)),"")&amp;""&lt;&gt;"",ISNUMBER(AE928),AD928&lt;&gt;0),1,0)</f>
        <v/>
      </c>
      <c r="AG928" s="55">
        <f>IF(AF928=1,EOMONTH(AE928,0),"")</f>
        <v/>
      </c>
      <c r="AH928" s="9">
        <f>IF(AF928=1,UPPER(TRIM(IFERROR(INDEX($A928:$AB928,MATCH("Client",$A$1:$AB$1,0)),"")&amp;"")),"")</f>
        <v/>
      </c>
      <c r="AI928" s="9">
        <f>IF(AF928=1,IFERROR(INDEX($A928:$AB928,MATCH("Cost Centre",$A$1:$AB$1,0)),"")&amp;"","")</f>
        <v/>
      </c>
      <c r="AJ928" s="54">
        <f>IF(AND(AF928=1,AE928&gt;=set_FYStart,AE928&lt;=set_AsAt),1,0)</f>
        <v/>
      </c>
      <c r="AK928" s="54">
        <f>IF(AND(AJ928=1,AH928&lt;&gt;"",COUNTIFS($AH$2:AH928,AH928,$AJ$2:AJ928,1)=1),N(AL927)+1,"")</f>
        <v/>
      </c>
      <c r="AL928" s="54">
        <f>IF(AK928&lt;&gt;"",AK928,N(AL927))</f>
        <v/>
      </c>
    </row>
    <row r="929">
      <c r="A929" t="inlineStr">
        <is>
          <t>ONS-0310</t>
        </is>
      </c>
      <c r="B929" t="inlineStr">
        <is>
          <t>Onsite</t>
        </is>
      </c>
      <c r="AB929" t="n">
        <v>310</v>
      </c>
      <c r="AD929" s="52">
        <f>IFERROR(N(IFERROR(INDEX($A929:$AB929,MATCH("Xero Invoiced Ex GST",$A$1:$AB$1,0)),"")),0)</f>
        <v/>
      </c>
      <c r="AE929" s="53">
        <f>IFERROR(INDEX($A929:$AB929,MATCH("Xero Invoice Date",$A$1:$AB$1,0)),"")</f>
        <v/>
      </c>
      <c r="AF929" s="54">
        <f>IF(AND(IFERROR(INDEX($A929:$AB929,MATCH("Xero Invoice No",$A$1:$AB$1,0)),"")&amp;""&lt;&gt;"",ISNUMBER(AE929),AD929&lt;&gt;0),1,0)</f>
        <v/>
      </c>
      <c r="AG929" s="55">
        <f>IF(AF929=1,EOMONTH(AE929,0),"")</f>
        <v/>
      </c>
      <c r="AH929" s="9">
        <f>IF(AF929=1,UPPER(TRIM(IFERROR(INDEX($A929:$AB929,MATCH("Client",$A$1:$AB$1,0)),"")&amp;"")),"")</f>
        <v/>
      </c>
      <c r="AI929" s="9">
        <f>IF(AF929=1,IFERROR(INDEX($A929:$AB929,MATCH("Cost Centre",$A$1:$AB$1,0)),"")&amp;"","")</f>
        <v/>
      </c>
      <c r="AJ929" s="54">
        <f>IF(AND(AF929=1,AE929&gt;=set_FYStart,AE929&lt;=set_AsAt),1,0)</f>
        <v/>
      </c>
      <c r="AK929" s="54">
        <f>IF(AND(AJ929=1,AH929&lt;&gt;"",COUNTIFS($AH$2:AH929,AH929,$AJ$2:AJ929,1)=1),N(AL928)+1,"")</f>
        <v/>
      </c>
      <c r="AL929" s="54">
        <f>IF(AK929&lt;&gt;"",AK929,N(AL928))</f>
        <v/>
      </c>
    </row>
    <row r="930">
      <c r="A930" t="inlineStr">
        <is>
          <t>PRD-0310</t>
        </is>
      </c>
      <c r="B930" t="inlineStr">
        <is>
          <t>Production</t>
        </is>
      </c>
      <c r="AB930" t="n">
        <v>310</v>
      </c>
      <c r="AD930" s="52">
        <f>IFERROR(N(IFERROR(INDEX($A930:$AB930,MATCH("Xero Invoiced Ex GST",$A$1:$AB$1,0)),"")),0)</f>
        <v/>
      </c>
      <c r="AE930" s="53">
        <f>IFERROR(INDEX($A930:$AB930,MATCH("Xero Invoice Date",$A$1:$AB$1,0)),"")</f>
        <v/>
      </c>
      <c r="AF930" s="54">
        <f>IF(AND(IFERROR(INDEX($A930:$AB930,MATCH("Xero Invoice No",$A$1:$AB$1,0)),"")&amp;""&lt;&gt;"",ISNUMBER(AE930),AD930&lt;&gt;0),1,0)</f>
        <v/>
      </c>
      <c r="AG930" s="55">
        <f>IF(AF930=1,EOMONTH(AE930,0),"")</f>
        <v/>
      </c>
      <c r="AH930" s="9">
        <f>IF(AF930=1,UPPER(TRIM(IFERROR(INDEX($A930:$AB930,MATCH("Client",$A$1:$AB$1,0)),"")&amp;"")),"")</f>
        <v/>
      </c>
      <c r="AI930" s="9">
        <f>IF(AF930=1,IFERROR(INDEX($A930:$AB930,MATCH("Cost Centre",$A$1:$AB$1,0)),"")&amp;"","")</f>
        <v/>
      </c>
      <c r="AJ930" s="54">
        <f>IF(AND(AF930=1,AE930&gt;=set_FYStart,AE930&lt;=set_AsAt),1,0)</f>
        <v/>
      </c>
      <c r="AK930" s="54">
        <f>IF(AND(AJ930=1,AH930&lt;&gt;"",COUNTIFS($AH$2:AH930,AH930,$AJ$2:AJ930,1)=1),N(AL929)+1,"")</f>
        <v/>
      </c>
      <c r="AL930" s="54">
        <f>IF(AK930&lt;&gt;"",AK930,N(AL929))</f>
        <v/>
      </c>
    </row>
    <row r="931">
      <c r="A931" t="inlineStr">
        <is>
          <t>CON-0310</t>
        </is>
      </c>
      <c r="B931" t="inlineStr">
        <is>
          <t>Consulting</t>
        </is>
      </c>
      <c r="AB931" t="n">
        <v>310</v>
      </c>
      <c r="AD931" s="52">
        <f>IFERROR(N(IFERROR(INDEX($A931:$AB931,MATCH("Xero Invoiced Ex GST",$A$1:$AB$1,0)),"")),0)</f>
        <v/>
      </c>
      <c r="AE931" s="53">
        <f>IFERROR(INDEX($A931:$AB931,MATCH("Xero Invoice Date",$A$1:$AB$1,0)),"")</f>
        <v/>
      </c>
      <c r="AF931" s="54">
        <f>IF(AND(IFERROR(INDEX($A931:$AB931,MATCH("Xero Invoice No",$A$1:$AB$1,0)),"")&amp;""&lt;&gt;"",ISNUMBER(AE931),AD931&lt;&gt;0),1,0)</f>
        <v/>
      </c>
      <c r="AG931" s="55">
        <f>IF(AF931=1,EOMONTH(AE931,0),"")</f>
        <v/>
      </c>
      <c r="AH931" s="9">
        <f>IF(AF931=1,UPPER(TRIM(IFERROR(INDEX($A931:$AB931,MATCH("Client",$A$1:$AB$1,0)),"")&amp;"")),"")</f>
        <v/>
      </c>
      <c r="AI931" s="9">
        <f>IF(AF931=1,IFERROR(INDEX($A931:$AB931,MATCH("Cost Centre",$A$1:$AB$1,0)),"")&amp;"","")</f>
        <v/>
      </c>
      <c r="AJ931" s="54">
        <f>IF(AND(AF931=1,AE931&gt;=set_FYStart,AE931&lt;=set_AsAt),1,0)</f>
        <v/>
      </c>
      <c r="AK931" s="54">
        <f>IF(AND(AJ931=1,AH931&lt;&gt;"",COUNTIFS($AH$2:AH931,AH931,$AJ$2:AJ931,1)=1),N(AL930)+1,"")</f>
        <v/>
      </c>
      <c r="AL931" s="54">
        <f>IF(AK931&lt;&gt;"",AK931,N(AL930))</f>
        <v/>
      </c>
    </row>
    <row r="932">
      <c r="A932" t="inlineStr">
        <is>
          <t>ONS-0311</t>
        </is>
      </c>
      <c r="B932" t="inlineStr">
        <is>
          <t>Onsite</t>
        </is>
      </c>
      <c r="AB932" t="n">
        <v>311</v>
      </c>
      <c r="AD932" s="52">
        <f>IFERROR(N(IFERROR(INDEX($A932:$AB932,MATCH("Xero Invoiced Ex GST",$A$1:$AB$1,0)),"")),0)</f>
        <v/>
      </c>
      <c r="AE932" s="53">
        <f>IFERROR(INDEX($A932:$AB932,MATCH("Xero Invoice Date",$A$1:$AB$1,0)),"")</f>
        <v/>
      </c>
      <c r="AF932" s="54">
        <f>IF(AND(IFERROR(INDEX($A932:$AB932,MATCH("Xero Invoice No",$A$1:$AB$1,0)),"")&amp;""&lt;&gt;"",ISNUMBER(AE932),AD932&lt;&gt;0),1,0)</f>
        <v/>
      </c>
      <c r="AG932" s="55">
        <f>IF(AF932=1,EOMONTH(AE932,0),"")</f>
        <v/>
      </c>
      <c r="AH932" s="9">
        <f>IF(AF932=1,UPPER(TRIM(IFERROR(INDEX($A932:$AB932,MATCH("Client",$A$1:$AB$1,0)),"")&amp;"")),"")</f>
        <v/>
      </c>
      <c r="AI932" s="9">
        <f>IF(AF932=1,IFERROR(INDEX($A932:$AB932,MATCH("Cost Centre",$A$1:$AB$1,0)),"")&amp;"","")</f>
        <v/>
      </c>
      <c r="AJ932" s="54">
        <f>IF(AND(AF932=1,AE932&gt;=set_FYStart,AE932&lt;=set_AsAt),1,0)</f>
        <v/>
      </c>
      <c r="AK932" s="54">
        <f>IF(AND(AJ932=1,AH932&lt;&gt;"",COUNTIFS($AH$2:AH932,AH932,$AJ$2:AJ932,1)=1),N(AL931)+1,"")</f>
        <v/>
      </c>
      <c r="AL932" s="54">
        <f>IF(AK932&lt;&gt;"",AK932,N(AL931))</f>
        <v/>
      </c>
    </row>
    <row r="933">
      <c r="A933" t="inlineStr">
        <is>
          <t>PRD-0311</t>
        </is>
      </c>
      <c r="B933" t="inlineStr">
        <is>
          <t>Production</t>
        </is>
      </c>
      <c r="AB933" t="n">
        <v>311</v>
      </c>
      <c r="AD933" s="52">
        <f>IFERROR(N(IFERROR(INDEX($A933:$AB933,MATCH("Xero Invoiced Ex GST",$A$1:$AB$1,0)),"")),0)</f>
        <v/>
      </c>
      <c r="AE933" s="53">
        <f>IFERROR(INDEX($A933:$AB933,MATCH("Xero Invoice Date",$A$1:$AB$1,0)),"")</f>
        <v/>
      </c>
      <c r="AF933" s="54">
        <f>IF(AND(IFERROR(INDEX($A933:$AB933,MATCH("Xero Invoice No",$A$1:$AB$1,0)),"")&amp;""&lt;&gt;"",ISNUMBER(AE933),AD933&lt;&gt;0),1,0)</f>
        <v/>
      </c>
      <c r="AG933" s="55">
        <f>IF(AF933=1,EOMONTH(AE933,0),"")</f>
        <v/>
      </c>
      <c r="AH933" s="9">
        <f>IF(AF933=1,UPPER(TRIM(IFERROR(INDEX($A933:$AB933,MATCH("Client",$A$1:$AB$1,0)),"")&amp;"")),"")</f>
        <v/>
      </c>
      <c r="AI933" s="9">
        <f>IF(AF933=1,IFERROR(INDEX($A933:$AB933,MATCH("Cost Centre",$A$1:$AB$1,0)),"")&amp;"","")</f>
        <v/>
      </c>
      <c r="AJ933" s="54">
        <f>IF(AND(AF933=1,AE933&gt;=set_FYStart,AE933&lt;=set_AsAt),1,0)</f>
        <v/>
      </c>
      <c r="AK933" s="54">
        <f>IF(AND(AJ933=1,AH933&lt;&gt;"",COUNTIFS($AH$2:AH933,AH933,$AJ$2:AJ933,1)=1),N(AL932)+1,"")</f>
        <v/>
      </c>
      <c r="AL933" s="54">
        <f>IF(AK933&lt;&gt;"",AK933,N(AL932))</f>
        <v/>
      </c>
    </row>
    <row r="934">
      <c r="A934" t="inlineStr">
        <is>
          <t>CON-0311</t>
        </is>
      </c>
      <c r="B934" t="inlineStr">
        <is>
          <t>Consulting</t>
        </is>
      </c>
      <c r="AB934" t="n">
        <v>311</v>
      </c>
      <c r="AD934" s="52">
        <f>IFERROR(N(IFERROR(INDEX($A934:$AB934,MATCH("Xero Invoiced Ex GST",$A$1:$AB$1,0)),"")),0)</f>
        <v/>
      </c>
      <c r="AE934" s="53">
        <f>IFERROR(INDEX($A934:$AB934,MATCH("Xero Invoice Date",$A$1:$AB$1,0)),"")</f>
        <v/>
      </c>
      <c r="AF934" s="54">
        <f>IF(AND(IFERROR(INDEX($A934:$AB934,MATCH("Xero Invoice No",$A$1:$AB$1,0)),"")&amp;""&lt;&gt;"",ISNUMBER(AE934),AD934&lt;&gt;0),1,0)</f>
        <v/>
      </c>
      <c r="AG934" s="55">
        <f>IF(AF934=1,EOMONTH(AE934,0),"")</f>
        <v/>
      </c>
      <c r="AH934" s="9">
        <f>IF(AF934=1,UPPER(TRIM(IFERROR(INDEX($A934:$AB934,MATCH("Client",$A$1:$AB$1,0)),"")&amp;"")),"")</f>
        <v/>
      </c>
      <c r="AI934" s="9">
        <f>IF(AF934=1,IFERROR(INDEX($A934:$AB934,MATCH("Cost Centre",$A$1:$AB$1,0)),"")&amp;"","")</f>
        <v/>
      </c>
      <c r="AJ934" s="54">
        <f>IF(AND(AF934=1,AE934&gt;=set_FYStart,AE934&lt;=set_AsAt),1,0)</f>
        <v/>
      </c>
      <c r="AK934" s="54">
        <f>IF(AND(AJ934=1,AH934&lt;&gt;"",COUNTIFS($AH$2:AH934,AH934,$AJ$2:AJ934,1)=1),N(AL933)+1,"")</f>
        <v/>
      </c>
      <c r="AL934" s="54">
        <f>IF(AK934&lt;&gt;"",AK934,N(AL933))</f>
        <v/>
      </c>
    </row>
    <row r="935">
      <c r="A935" t="inlineStr">
        <is>
          <t>ONS-0312</t>
        </is>
      </c>
      <c r="B935" t="inlineStr">
        <is>
          <t>Onsite</t>
        </is>
      </c>
      <c r="AB935" t="n">
        <v>312</v>
      </c>
      <c r="AD935" s="52">
        <f>IFERROR(N(IFERROR(INDEX($A935:$AB935,MATCH("Xero Invoiced Ex GST",$A$1:$AB$1,0)),"")),0)</f>
        <v/>
      </c>
      <c r="AE935" s="53">
        <f>IFERROR(INDEX($A935:$AB935,MATCH("Xero Invoice Date",$A$1:$AB$1,0)),"")</f>
        <v/>
      </c>
      <c r="AF935" s="54">
        <f>IF(AND(IFERROR(INDEX($A935:$AB935,MATCH("Xero Invoice No",$A$1:$AB$1,0)),"")&amp;""&lt;&gt;"",ISNUMBER(AE935),AD935&lt;&gt;0),1,0)</f>
        <v/>
      </c>
      <c r="AG935" s="55">
        <f>IF(AF935=1,EOMONTH(AE935,0),"")</f>
        <v/>
      </c>
      <c r="AH935" s="9">
        <f>IF(AF935=1,UPPER(TRIM(IFERROR(INDEX($A935:$AB935,MATCH("Client",$A$1:$AB$1,0)),"")&amp;"")),"")</f>
        <v/>
      </c>
      <c r="AI935" s="9">
        <f>IF(AF935=1,IFERROR(INDEX($A935:$AB935,MATCH("Cost Centre",$A$1:$AB$1,0)),"")&amp;"","")</f>
        <v/>
      </c>
      <c r="AJ935" s="54">
        <f>IF(AND(AF935=1,AE935&gt;=set_FYStart,AE935&lt;=set_AsAt),1,0)</f>
        <v/>
      </c>
      <c r="AK935" s="54">
        <f>IF(AND(AJ935=1,AH935&lt;&gt;"",COUNTIFS($AH$2:AH935,AH935,$AJ$2:AJ935,1)=1),N(AL934)+1,"")</f>
        <v/>
      </c>
      <c r="AL935" s="54">
        <f>IF(AK935&lt;&gt;"",AK935,N(AL934))</f>
        <v/>
      </c>
    </row>
    <row r="936">
      <c r="A936" t="inlineStr">
        <is>
          <t>PRD-0312</t>
        </is>
      </c>
      <c r="B936" t="inlineStr">
        <is>
          <t>Production</t>
        </is>
      </c>
      <c r="AB936" t="n">
        <v>312</v>
      </c>
      <c r="AD936" s="52">
        <f>IFERROR(N(IFERROR(INDEX($A936:$AB936,MATCH("Xero Invoiced Ex GST",$A$1:$AB$1,0)),"")),0)</f>
        <v/>
      </c>
      <c r="AE936" s="53">
        <f>IFERROR(INDEX($A936:$AB936,MATCH("Xero Invoice Date",$A$1:$AB$1,0)),"")</f>
        <v/>
      </c>
      <c r="AF936" s="54">
        <f>IF(AND(IFERROR(INDEX($A936:$AB936,MATCH("Xero Invoice No",$A$1:$AB$1,0)),"")&amp;""&lt;&gt;"",ISNUMBER(AE936),AD936&lt;&gt;0),1,0)</f>
        <v/>
      </c>
      <c r="AG936" s="55">
        <f>IF(AF936=1,EOMONTH(AE936,0),"")</f>
        <v/>
      </c>
      <c r="AH936" s="9">
        <f>IF(AF936=1,UPPER(TRIM(IFERROR(INDEX($A936:$AB936,MATCH("Client",$A$1:$AB$1,0)),"")&amp;"")),"")</f>
        <v/>
      </c>
      <c r="AI936" s="9">
        <f>IF(AF936=1,IFERROR(INDEX($A936:$AB936,MATCH("Cost Centre",$A$1:$AB$1,0)),"")&amp;"","")</f>
        <v/>
      </c>
      <c r="AJ936" s="54">
        <f>IF(AND(AF936=1,AE936&gt;=set_FYStart,AE936&lt;=set_AsAt),1,0)</f>
        <v/>
      </c>
      <c r="AK936" s="54">
        <f>IF(AND(AJ936=1,AH936&lt;&gt;"",COUNTIFS($AH$2:AH936,AH936,$AJ$2:AJ936,1)=1),N(AL935)+1,"")</f>
        <v/>
      </c>
      <c r="AL936" s="54">
        <f>IF(AK936&lt;&gt;"",AK936,N(AL935))</f>
        <v/>
      </c>
    </row>
    <row r="937">
      <c r="A937" t="inlineStr">
        <is>
          <t>CON-0312</t>
        </is>
      </c>
      <c r="B937" t="inlineStr">
        <is>
          <t>Consulting</t>
        </is>
      </c>
      <c r="AB937" t="n">
        <v>312</v>
      </c>
      <c r="AD937" s="52">
        <f>IFERROR(N(IFERROR(INDEX($A937:$AB937,MATCH("Xero Invoiced Ex GST",$A$1:$AB$1,0)),"")),0)</f>
        <v/>
      </c>
      <c r="AE937" s="53">
        <f>IFERROR(INDEX($A937:$AB937,MATCH("Xero Invoice Date",$A$1:$AB$1,0)),"")</f>
        <v/>
      </c>
      <c r="AF937" s="54">
        <f>IF(AND(IFERROR(INDEX($A937:$AB937,MATCH("Xero Invoice No",$A$1:$AB$1,0)),"")&amp;""&lt;&gt;"",ISNUMBER(AE937),AD937&lt;&gt;0),1,0)</f>
        <v/>
      </c>
      <c r="AG937" s="55">
        <f>IF(AF937=1,EOMONTH(AE937,0),"")</f>
        <v/>
      </c>
      <c r="AH937" s="9">
        <f>IF(AF937=1,UPPER(TRIM(IFERROR(INDEX($A937:$AB937,MATCH("Client",$A$1:$AB$1,0)),"")&amp;"")),"")</f>
        <v/>
      </c>
      <c r="AI937" s="9">
        <f>IF(AF937=1,IFERROR(INDEX($A937:$AB937,MATCH("Cost Centre",$A$1:$AB$1,0)),"")&amp;"","")</f>
        <v/>
      </c>
      <c r="AJ937" s="54">
        <f>IF(AND(AF937=1,AE937&gt;=set_FYStart,AE937&lt;=set_AsAt),1,0)</f>
        <v/>
      </c>
      <c r="AK937" s="54">
        <f>IF(AND(AJ937=1,AH937&lt;&gt;"",COUNTIFS($AH$2:AH937,AH937,$AJ$2:AJ937,1)=1),N(AL936)+1,"")</f>
        <v/>
      </c>
      <c r="AL937" s="54">
        <f>IF(AK937&lt;&gt;"",AK937,N(AL936))</f>
        <v/>
      </c>
    </row>
    <row r="938">
      <c r="A938" t="inlineStr">
        <is>
          <t>ONS-0313</t>
        </is>
      </c>
      <c r="B938" t="inlineStr">
        <is>
          <t>Onsite</t>
        </is>
      </c>
      <c r="AB938" t="n">
        <v>313</v>
      </c>
      <c r="AD938" s="52">
        <f>IFERROR(N(IFERROR(INDEX($A938:$AB938,MATCH("Xero Invoiced Ex GST",$A$1:$AB$1,0)),"")),0)</f>
        <v/>
      </c>
      <c r="AE938" s="53">
        <f>IFERROR(INDEX($A938:$AB938,MATCH("Xero Invoice Date",$A$1:$AB$1,0)),"")</f>
        <v/>
      </c>
      <c r="AF938" s="54">
        <f>IF(AND(IFERROR(INDEX($A938:$AB938,MATCH("Xero Invoice No",$A$1:$AB$1,0)),"")&amp;""&lt;&gt;"",ISNUMBER(AE938),AD938&lt;&gt;0),1,0)</f>
        <v/>
      </c>
      <c r="AG938" s="55">
        <f>IF(AF938=1,EOMONTH(AE938,0),"")</f>
        <v/>
      </c>
      <c r="AH938" s="9">
        <f>IF(AF938=1,UPPER(TRIM(IFERROR(INDEX($A938:$AB938,MATCH("Client",$A$1:$AB$1,0)),"")&amp;"")),"")</f>
        <v/>
      </c>
      <c r="AI938" s="9">
        <f>IF(AF938=1,IFERROR(INDEX($A938:$AB938,MATCH("Cost Centre",$A$1:$AB$1,0)),"")&amp;"","")</f>
        <v/>
      </c>
      <c r="AJ938" s="54">
        <f>IF(AND(AF938=1,AE938&gt;=set_FYStart,AE938&lt;=set_AsAt),1,0)</f>
        <v/>
      </c>
      <c r="AK938" s="54">
        <f>IF(AND(AJ938=1,AH938&lt;&gt;"",COUNTIFS($AH$2:AH938,AH938,$AJ$2:AJ938,1)=1),N(AL937)+1,"")</f>
        <v/>
      </c>
      <c r="AL938" s="54">
        <f>IF(AK938&lt;&gt;"",AK938,N(AL937))</f>
        <v/>
      </c>
    </row>
    <row r="939">
      <c r="A939" t="inlineStr">
        <is>
          <t>PRD-0313</t>
        </is>
      </c>
      <c r="B939" t="inlineStr">
        <is>
          <t>Production</t>
        </is>
      </c>
      <c r="AB939" t="n">
        <v>313</v>
      </c>
      <c r="AD939" s="52">
        <f>IFERROR(N(IFERROR(INDEX($A939:$AB939,MATCH("Xero Invoiced Ex GST",$A$1:$AB$1,0)),"")),0)</f>
        <v/>
      </c>
      <c r="AE939" s="53">
        <f>IFERROR(INDEX($A939:$AB939,MATCH("Xero Invoice Date",$A$1:$AB$1,0)),"")</f>
        <v/>
      </c>
      <c r="AF939" s="54">
        <f>IF(AND(IFERROR(INDEX($A939:$AB939,MATCH("Xero Invoice No",$A$1:$AB$1,0)),"")&amp;""&lt;&gt;"",ISNUMBER(AE939),AD939&lt;&gt;0),1,0)</f>
        <v/>
      </c>
      <c r="AG939" s="55">
        <f>IF(AF939=1,EOMONTH(AE939,0),"")</f>
        <v/>
      </c>
      <c r="AH939" s="9">
        <f>IF(AF939=1,UPPER(TRIM(IFERROR(INDEX($A939:$AB939,MATCH("Client",$A$1:$AB$1,0)),"")&amp;"")),"")</f>
        <v/>
      </c>
      <c r="AI939" s="9">
        <f>IF(AF939=1,IFERROR(INDEX($A939:$AB939,MATCH("Cost Centre",$A$1:$AB$1,0)),"")&amp;"","")</f>
        <v/>
      </c>
      <c r="AJ939" s="54">
        <f>IF(AND(AF939=1,AE939&gt;=set_FYStart,AE939&lt;=set_AsAt),1,0)</f>
        <v/>
      </c>
      <c r="AK939" s="54">
        <f>IF(AND(AJ939=1,AH939&lt;&gt;"",COUNTIFS($AH$2:AH939,AH939,$AJ$2:AJ939,1)=1),N(AL938)+1,"")</f>
        <v/>
      </c>
      <c r="AL939" s="54">
        <f>IF(AK939&lt;&gt;"",AK939,N(AL938))</f>
        <v/>
      </c>
    </row>
    <row r="940">
      <c r="A940" t="inlineStr">
        <is>
          <t>CON-0313</t>
        </is>
      </c>
      <c r="B940" t="inlineStr">
        <is>
          <t>Consulting</t>
        </is>
      </c>
      <c r="AB940" t="n">
        <v>313</v>
      </c>
      <c r="AD940" s="52">
        <f>IFERROR(N(IFERROR(INDEX($A940:$AB940,MATCH("Xero Invoiced Ex GST",$A$1:$AB$1,0)),"")),0)</f>
        <v/>
      </c>
      <c r="AE940" s="53">
        <f>IFERROR(INDEX($A940:$AB940,MATCH("Xero Invoice Date",$A$1:$AB$1,0)),"")</f>
        <v/>
      </c>
      <c r="AF940" s="54">
        <f>IF(AND(IFERROR(INDEX($A940:$AB940,MATCH("Xero Invoice No",$A$1:$AB$1,0)),"")&amp;""&lt;&gt;"",ISNUMBER(AE940),AD940&lt;&gt;0),1,0)</f>
        <v/>
      </c>
      <c r="AG940" s="55">
        <f>IF(AF940=1,EOMONTH(AE940,0),"")</f>
        <v/>
      </c>
      <c r="AH940" s="9">
        <f>IF(AF940=1,UPPER(TRIM(IFERROR(INDEX($A940:$AB940,MATCH("Client",$A$1:$AB$1,0)),"")&amp;"")),"")</f>
        <v/>
      </c>
      <c r="AI940" s="9">
        <f>IF(AF940=1,IFERROR(INDEX($A940:$AB940,MATCH("Cost Centre",$A$1:$AB$1,0)),"")&amp;"","")</f>
        <v/>
      </c>
      <c r="AJ940" s="54">
        <f>IF(AND(AF940=1,AE940&gt;=set_FYStart,AE940&lt;=set_AsAt),1,0)</f>
        <v/>
      </c>
      <c r="AK940" s="54">
        <f>IF(AND(AJ940=1,AH940&lt;&gt;"",COUNTIFS($AH$2:AH940,AH940,$AJ$2:AJ940,1)=1),N(AL939)+1,"")</f>
        <v/>
      </c>
      <c r="AL940" s="54">
        <f>IF(AK940&lt;&gt;"",AK940,N(AL939))</f>
        <v/>
      </c>
    </row>
    <row r="941">
      <c r="A941" t="inlineStr">
        <is>
          <t>ONS-0314</t>
        </is>
      </c>
      <c r="B941" t="inlineStr">
        <is>
          <t>Onsite</t>
        </is>
      </c>
      <c r="AB941" t="n">
        <v>314</v>
      </c>
      <c r="AD941" s="52">
        <f>IFERROR(N(IFERROR(INDEX($A941:$AB941,MATCH("Xero Invoiced Ex GST",$A$1:$AB$1,0)),"")),0)</f>
        <v/>
      </c>
      <c r="AE941" s="53">
        <f>IFERROR(INDEX($A941:$AB941,MATCH("Xero Invoice Date",$A$1:$AB$1,0)),"")</f>
        <v/>
      </c>
      <c r="AF941" s="54">
        <f>IF(AND(IFERROR(INDEX($A941:$AB941,MATCH("Xero Invoice No",$A$1:$AB$1,0)),"")&amp;""&lt;&gt;"",ISNUMBER(AE941),AD941&lt;&gt;0),1,0)</f>
        <v/>
      </c>
      <c r="AG941" s="55">
        <f>IF(AF941=1,EOMONTH(AE941,0),"")</f>
        <v/>
      </c>
      <c r="AH941" s="9">
        <f>IF(AF941=1,UPPER(TRIM(IFERROR(INDEX($A941:$AB941,MATCH("Client",$A$1:$AB$1,0)),"")&amp;"")),"")</f>
        <v/>
      </c>
      <c r="AI941" s="9">
        <f>IF(AF941=1,IFERROR(INDEX($A941:$AB941,MATCH("Cost Centre",$A$1:$AB$1,0)),"")&amp;"","")</f>
        <v/>
      </c>
      <c r="AJ941" s="54">
        <f>IF(AND(AF941=1,AE941&gt;=set_FYStart,AE941&lt;=set_AsAt),1,0)</f>
        <v/>
      </c>
      <c r="AK941" s="54">
        <f>IF(AND(AJ941=1,AH941&lt;&gt;"",COUNTIFS($AH$2:AH941,AH941,$AJ$2:AJ941,1)=1),N(AL940)+1,"")</f>
        <v/>
      </c>
      <c r="AL941" s="54">
        <f>IF(AK941&lt;&gt;"",AK941,N(AL940))</f>
        <v/>
      </c>
    </row>
    <row r="942">
      <c r="A942" t="inlineStr">
        <is>
          <t>PRD-0314</t>
        </is>
      </c>
      <c r="B942" t="inlineStr">
        <is>
          <t>Production</t>
        </is>
      </c>
      <c r="AB942" t="n">
        <v>314</v>
      </c>
      <c r="AD942" s="52">
        <f>IFERROR(N(IFERROR(INDEX($A942:$AB942,MATCH("Xero Invoiced Ex GST",$A$1:$AB$1,0)),"")),0)</f>
        <v/>
      </c>
      <c r="AE942" s="53">
        <f>IFERROR(INDEX($A942:$AB942,MATCH("Xero Invoice Date",$A$1:$AB$1,0)),"")</f>
        <v/>
      </c>
      <c r="AF942" s="54">
        <f>IF(AND(IFERROR(INDEX($A942:$AB942,MATCH("Xero Invoice No",$A$1:$AB$1,0)),"")&amp;""&lt;&gt;"",ISNUMBER(AE942),AD942&lt;&gt;0),1,0)</f>
        <v/>
      </c>
      <c r="AG942" s="55">
        <f>IF(AF942=1,EOMONTH(AE942,0),"")</f>
        <v/>
      </c>
      <c r="AH942" s="9">
        <f>IF(AF942=1,UPPER(TRIM(IFERROR(INDEX($A942:$AB942,MATCH("Client",$A$1:$AB$1,0)),"")&amp;"")),"")</f>
        <v/>
      </c>
      <c r="AI942" s="9">
        <f>IF(AF942=1,IFERROR(INDEX($A942:$AB942,MATCH("Cost Centre",$A$1:$AB$1,0)),"")&amp;"","")</f>
        <v/>
      </c>
      <c r="AJ942" s="54">
        <f>IF(AND(AF942=1,AE942&gt;=set_FYStart,AE942&lt;=set_AsAt),1,0)</f>
        <v/>
      </c>
      <c r="AK942" s="54">
        <f>IF(AND(AJ942=1,AH942&lt;&gt;"",COUNTIFS($AH$2:AH942,AH942,$AJ$2:AJ942,1)=1),N(AL941)+1,"")</f>
        <v/>
      </c>
      <c r="AL942" s="54">
        <f>IF(AK942&lt;&gt;"",AK942,N(AL941))</f>
        <v/>
      </c>
    </row>
    <row r="943">
      <c r="A943" t="inlineStr">
        <is>
          <t>CON-0314</t>
        </is>
      </c>
      <c r="B943" t="inlineStr">
        <is>
          <t>Consulting</t>
        </is>
      </c>
      <c r="AB943" t="n">
        <v>314</v>
      </c>
      <c r="AD943" s="52">
        <f>IFERROR(N(IFERROR(INDEX($A943:$AB943,MATCH("Xero Invoiced Ex GST",$A$1:$AB$1,0)),"")),0)</f>
        <v/>
      </c>
      <c r="AE943" s="53">
        <f>IFERROR(INDEX($A943:$AB943,MATCH("Xero Invoice Date",$A$1:$AB$1,0)),"")</f>
        <v/>
      </c>
      <c r="AF943" s="54">
        <f>IF(AND(IFERROR(INDEX($A943:$AB943,MATCH("Xero Invoice No",$A$1:$AB$1,0)),"")&amp;""&lt;&gt;"",ISNUMBER(AE943),AD943&lt;&gt;0),1,0)</f>
        <v/>
      </c>
      <c r="AG943" s="55">
        <f>IF(AF943=1,EOMONTH(AE943,0),"")</f>
        <v/>
      </c>
      <c r="AH943" s="9">
        <f>IF(AF943=1,UPPER(TRIM(IFERROR(INDEX($A943:$AB943,MATCH("Client",$A$1:$AB$1,0)),"")&amp;"")),"")</f>
        <v/>
      </c>
      <c r="AI943" s="9">
        <f>IF(AF943=1,IFERROR(INDEX($A943:$AB943,MATCH("Cost Centre",$A$1:$AB$1,0)),"")&amp;"","")</f>
        <v/>
      </c>
      <c r="AJ943" s="54">
        <f>IF(AND(AF943=1,AE943&gt;=set_FYStart,AE943&lt;=set_AsAt),1,0)</f>
        <v/>
      </c>
      <c r="AK943" s="54">
        <f>IF(AND(AJ943=1,AH943&lt;&gt;"",COUNTIFS($AH$2:AH943,AH943,$AJ$2:AJ943,1)=1),N(AL942)+1,"")</f>
        <v/>
      </c>
      <c r="AL943" s="54">
        <f>IF(AK943&lt;&gt;"",AK943,N(AL942))</f>
        <v/>
      </c>
    </row>
    <row r="944">
      <c r="A944" t="inlineStr">
        <is>
          <t>ONS-0315</t>
        </is>
      </c>
      <c r="B944" t="inlineStr">
        <is>
          <t>Onsite</t>
        </is>
      </c>
      <c r="AB944" t="n">
        <v>315</v>
      </c>
      <c r="AD944" s="52">
        <f>IFERROR(N(IFERROR(INDEX($A944:$AB944,MATCH("Xero Invoiced Ex GST",$A$1:$AB$1,0)),"")),0)</f>
        <v/>
      </c>
      <c r="AE944" s="53">
        <f>IFERROR(INDEX($A944:$AB944,MATCH("Xero Invoice Date",$A$1:$AB$1,0)),"")</f>
        <v/>
      </c>
      <c r="AF944" s="54">
        <f>IF(AND(IFERROR(INDEX($A944:$AB944,MATCH("Xero Invoice No",$A$1:$AB$1,0)),"")&amp;""&lt;&gt;"",ISNUMBER(AE944),AD944&lt;&gt;0),1,0)</f>
        <v/>
      </c>
      <c r="AG944" s="55">
        <f>IF(AF944=1,EOMONTH(AE944,0),"")</f>
        <v/>
      </c>
      <c r="AH944" s="9">
        <f>IF(AF944=1,UPPER(TRIM(IFERROR(INDEX($A944:$AB944,MATCH("Client",$A$1:$AB$1,0)),"")&amp;"")),"")</f>
        <v/>
      </c>
      <c r="AI944" s="9">
        <f>IF(AF944=1,IFERROR(INDEX($A944:$AB944,MATCH("Cost Centre",$A$1:$AB$1,0)),"")&amp;"","")</f>
        <v/>
      </c>
      <c r="AJ944" s="54">
        <f>IF(AND(AF944=1,AE944&gt;=set_FYStart,AE944&lt;=set_AsAt),1,0)</f>
        <v/>
      </c>
      <c r="AK944" s="54">
        <f>IF(AND(AJ944=1,AH944&lt;&gt;"",COUNTIFS($AH$2:AH944,AH944,$AJ$2:AJ944,1)=1),N(AL943)+1,"")</f>
        <v/>
      </c>
      <c r="AL944" s="54">
        <f>IF(AK944&lt;&gt;"",AK944,N(AL943))</f>
        <v/>
      </c>
    </row>
    <row r="945">
      <c r="A945" t="inlineStr">
        <is>
          <t>PRD-0315</t>
        </is>
      </c>
      <c r="B945" t="inlineStr">
        <is>
          <t>Production</t>
        </is>
      </c>
      <c r="AB945" t="n">
        <v>315</v>
      </c>
      <c r="AD945" s="52">
        <f>IFERROR(N(IFERROR(INDEX($A945:$AB945,MATCH("Xero Invoiced Ex GST",$A$1:$AB$1,0)),"")),0)</f>
        <v/>
      </c>
      <c r="AE945" s="53">
        <f>IFERROR(INDEX($A945:$AB945,MATCH("Xero Invoice Date",$A$1:$AB$1,0)),"")</f>
        <v/>
      </c>
      <c r="AF945" s="54">
        <f>IF(AND(IFERROR(INDEX($A945:$AB945,MATCH("Xero Invoice No",$A$1:$AB$1,0)),"")&amp;""&lt;&gt;"",ISNUMBER(AE945),AD945&lt;&gt;0),1,0)</f>
        <v/>
      </c>
      <c r="AG945" s="55">
        <f>IF(AF945=1,EOMONTH(AE945,0),"")</f>
        <v/>
      </c>
      <c r="AH945" s="9">
        <f>IF(AF945=1,UPPER(TRIM(IFERROR(INDEX($A945:$AB945,MATCH("Client",$A$1:$AB$1,0)),"")&amp;"")),"")</f>
        <v/>
      </c>
      <c r="AI945" s="9">
        <f>IF(AF945=1,IFERROR(INDEX($A945:$AB945,MATCH("Cost Centre",$A$1:$AB$1,0)),"")&amp;"","")</f>
        <v/>
      </c>
      <c r="AJ945" s="54">
        <f>IF(AND(AF945=1,AE945&gt;=set_FYStart,AE945&lt;=set_AsAt),1,0)</f>
        <v/>
      </c>
      <c r="AK945" s="54">
        <f>IF(AND(AJ945=1,AH945&lt;&gt;"",COUNTIFS($AH$2:AH945,AH945,$AJ$2:AJ945,1)=1),N(AL944)+1,"")</f>
        <v/>
      </c>
      <c r="AL945" s="54">
        <f>IF(AK945&lt;&gt;"",AK945,N(AL944))</f>
        <v/>
      </c>
    </row>
    <row r="946">
      <c r="A946" t="inlineStr">
        <is>
          <t>CON-0315</t>
        </is>
      </c>
      <c r="B946" t="inlineStr">
        <is>
          <t>Consulting</t>
        </is>
      </c>
      <c r="AB946" t="n">
        <v>315</v>
      </c>
      <c r="AD946" s="52">
        <f>IFERROR(N(IFERROR(INDEX($A946:$AB946,MATCH("Xero Invoiced Ex GST",$A$1:$AB$1,0)),"")),0)</f>
        <v/>
      </c>
      <c r="AE946" s="53">
        <f>IFERROR(INDEX($A946:$AB946,MATCH("Xero Invoice Date",$A$1:$AB$1,0)),"")</f>
        <v/>
      </c>
      <c r="AF946" s="54">
        <f>IF(AND(IFERROR(INDEX($A946:$AB946,MATCH("Xero Invoice No",$A$1:$AB$1,0)),"")&amp;""&lt;&gt;"",ISNUMBER(AE946),AD946&lt;&gt;0),1,0)</f>
        <v/>
      </c>
      <c r="AG946" s="55">
        <f>IF(AF946=1,EOMONTH(AE946,0),"")</f>
        <v/>
      </c>
      <c r="AH946" s="9">
        <f>IF(AF946=1,UPPER(TRIM(IFERROR(INDEX($A946:$AB946,MATCH("Client",$A$1:$AB$1,0)),"")&amp;"")),"")</f>
        <v/>
      </c>
      <c r="AI946" s="9">
        <f>IF(AF946=1,IFERROR(INDEX($A946:$AB946,MATCH("Cost Centre",$A$1:$AB$1,0)),"")&amp;"","")</f>
        <v/>
      </c>
      <c r="AJ946" s="54">
        <f>IF(AND(AF946=1,AE946&gt;=set_FYStart,AE946&lt;=set_AsAt),1,0)</f>
        <v/>
      </c>
      <c r="AK946" s="54">
        <f>IF(AND(AJ946=1,AH946&lt;&gt;"",COUNTIFS($AH$2:AH946,AH946,$AJ$2:AJ946,1)=1),N(AL945)+1,"")</f>
        <v/>
      </c>
      <c r="AL946" s="54">
        <f>IF(AK946&lt;&gt;"",AK946,N(AL945))</f>
        <v/>
      </c>
    </row>
    <row r="947">
      <c r="A947" t="inlineStr">
        <is>
          <t>ONS-0316</t>
        </is>
      </c>
      <c r="B947" t="inlineStr">
        <is>
          <t>Onsite</t>
        </is>
      </c>
      <c r="AB947" t="n">
        <v>316</v>
      </c>
      <c r="AD947" s="52">
        <f>IFERROR(N(IFERROR(INDEX($A947:$AB947,MATCH("Xero Invoiced Ex GST",$A$1:$AB$1,0)),"")),0)</f>
        <v/>
      </c>
      <c r="AE947" s="53">
        <f>IFERROR(INDEX($A947:$AB947,MATCH("Xero Invoice Date",$A$1:$AB$1,0)),"")</f>
        <v/>
      </c>
      <c r="AF947" s="54">
        <f>IF(AND(IFERROR(INDEX($A947:$AB947,MATCH("Xero Invoice No",$A$1:$AB$1,0)),"")&amp;""&lt;&gt;"",ISNUMBER(AE947),AD947&lt;&gt;0),1,0)</f>
        <v/>
      </c>
      <c r="AG947" s="55">
        <f>IF(AF947=1,EOMONTH(AE947,0),"")</f>
        <v/>
      </c>
      <c r="AH947" s="9">
        <f>IF(AF947=1,UPPER(TRIM(IFERROR(INDEX($A947:$AB947,MATCH("Client",$A$1:$AB$1,0)),"")&amp;"")),"")</f>
        <v/>
      </c>
      <c r="AI947" s="9">
        <f>IF(AF947=1,IFERROR(INDEX($A947:$AB947,MATCH("Cost Centre",$A$1:$AB$1,0)),"")&amp;"","")</f>
        <v/>
      </c>
      <c r="AJ947" s="54">
        <f>IF(AND(AF947=1,AE947&gt;=set_FYStart,AE947&lt;=set_AsAt),1,0)</f>
        <v/>
      </c>
      <c r="AK947" s="54">
        <f>IF(AND(AJ947=1,AH947&lt;&gt;"",COUNTIFS($AH$2:AH947,AH947,$AJ$2:AJ947,1)=1),N(AL946)+1,"")</f>
        <v/>
      </c>
      <c r="AL947" s="54">
        <f>IF(AK947&lt;&gt;"",AK947,N(AL946))</f>
        <v/>
      </c>
    </row>
    <row r="948">
      <c r="A948" t="inlineStr">
        <is>
          <t>PRD-0316</t>
        </is>
      </c>
      <c r="B948" t="inlineStr">
        <is>
          <t>Production</t>
        </is>
      </c>
      <c r="AB948" t="n">
        <v>316</v>
      </c>
      <c r="AD948" s="52">
        <f>IFERROR(N(IFERROR(INDEX($A948:$AB948,MATCH("Xero Invoiced Ex GST",$A$1:$AB$1,0)),"")),0)</f>
        <v/>
      </c>
      <c r="AE948" s="53">
        <f>IFERROR(INDEX($A948:$AB948,MATCH("Xero Invoice Date",$A$1:$AB$1,0)),"")</f>
        <v/>
      </c>
      <c r="AF948" s="54">
        <f>IF(AND(IFERROR(INDEX($A948:$AB948,MATCH("Xero Invoice No",$A$1:$AB$1,0)),"")&amp;""&lt;&gt;"",ISNUMBER(AE948),AD948&lt;&gt;0),1,0)</f>
        <v/>
      </c>
      <c r="AG948" s="55">
        <f>IF(AF948=1,EOMONTH(AE948,0),"")</f>
        <v/>
      </c>
      <c r="AH948" s="9">
        <f>IF(AF948=1,UPPER(TRIM(IFERROR(INDEX($A948:$AB948,MATCH("Client",$A$1:$AB$1,0)),"")&amp;"")),"")</f>
        <v/>
      </c>
      <c r="AI948" s="9">
        <f>IF(AF948=1,IFERROR(INDEX($A948:$AB948,MATCH("Cost Centre",$A$1:$AB$1,0)),"")&amp;"","")</f>
        <v/>
      </c>
      <c r="AJ948" s="54">
        <f>IF(AND(AF948=1,AE948&gt;=set_FYStart,AE948&lt;=set_AsAt),1,0)</f>
        <v/>
      </c>
      <c r="AK948" s="54">
        <f>IF(AND(AJ948=1,AH948&lt;&gt;"",COUNTIFS($AH$2:AH948,AH948,$AJ$2:AJ948,1)=1),N(AL947)+1,"")</f>
        <v/>
      </c>
      <c r="AL948" s="54">
        <f>IF(AK948&lt;&gt;"",AK948,N(AL947))</f>
        <v/>
      </c>
    </row>
    <row r="949">
      <c r="A949" t="inlineStr">
        <is>
          <t>CON-0316</t>
        </is>
      </c>
      <c r="B949" t="inlineStr">
        <is>
          <t>Consulting</t>
        </is>
      </c>
      <c r="AB949" t="n">
        <v>316</v>
      </c>
      <c r="AD949" s="52">
        <f>IFERROR(N(IFERROR(INDEX($A949:$AB949,MATCH("Xero Invoiced Ex GST",$A$1:$AB$1,0)),"")),0)</f>
        <v/>
      </c>
      <c r="AE949" s="53">
        <f>IFERROR(INDEX($A949:$AB949,MATCH("Xero Invoice Date",$A$1:$AB$1,0)),"")</f>
        <v/>
      </c>
      <c r="AF949" s="54">
        <f>IF(AND(IFERROR(INDEX($A949:$AB949,MATCH("Xero Invoice No",$A$1:$AB$1,0)),"")&amp;""&lt;&gt;"",ISNUMBER(AE949),AD949&lt;&gt;0),1,0)</f>
        <v/>
      </c>
      <c r="AG949" s="55">
        <f>IF(AF949=1,EOMONTH(AE949,0),"")</f>
        <v/>
      </c>
      <c r="AH949" s="9">
        <f>IF(AF949=1,UPPER(TRIM(IFERROR(INDEX($A949:$AB949,MATCH("Client",$A$1:$AB$1,0)),"")&amp;"")),"")</f>
        <v/>
      </c>
      <c r="AI949" s="9">
        <f>IF(AF949=1,IFERROR(INDEX($A949:$AB949,MATCH("Cost Centre",$A$1:$AB$1,0)),"")&amp;"","")</f>
        <v/>
      </c>
      <c r="AJ949" s="54">
        <f>IF(AND(AF949=1,AE949&gt;=set_FYStart,AE949&lt;=set_AsAt),1,0)</f>
        <v/>
      </c>
      <c r="AK949" s="54">
        <f>IF(AND(AJ949=1,AH949&lt;&gt;"",COUNTIFS($AH$2:AH949,AH949,$AJ$2:AJ949,1)=1),N(AL948)+1,"")</f>
        <v/>
      </c>
      <c r="AL949" s="54">
        <f>IF(AK949&lt;&gt;"",AK949,N(AL948))</f>
        <v/>
      </c>
    </row>
    <row r="950">
      <c r="A950" t="inlineStr">
        <is>
          <t>ONS-0317</t>
        </is>
      </c>
      <c r="B950" t="inlineStr">
        <is>
          <t>Onsite</t>
        </is>
      </c>
      <c r="AB950" t="n">
        <v>317</v>
      </c>
      <c r="AD950" s="52">
        <f>IFERROR(N(IFERROR(INDEX($A950:$AB950,MATCH("Xero Invoiced Ex GST",$A$1:$AB$1,0)),"")),0)</f>
        <v/>
      </c>
      <c r="AE950" s="53">
        <f>IFERROR(INDEX($A950:$AB950,MATCH("Xero Invoice Date",$A$1:$AB$1,0)),"")</f>
        <v/>
      </c>
      <c r="AF950" s="54">
        <f>IF(AND(IFERROR(INDEX($A950:$AB950,MATCH("Xero Invoice No",$A$1:$AB$1,0)),"")&amp;""&lt;&gt;"",ISNUMBER(AE950),AD950&lt;&gt;0),1,0)</f>
        <v/>
      </c>
      <c r="AG950" s="55">
        <f>IF(AF950=1,EOMONTH(AE950,0),"")</f>
        <v/>
      </c>
      <c r="AH950" s="9">
        <f>IF(AF950=1,UPPER(TRIM(IFERROR(INDEX($A950:$AB950,MATCH("Client",$A$1:$AB$1,0)),"")&amp;"")),"")</f>
        <v/>
      </c>
      <c r="AI950" s="9">
        <f>IF(AF950=1,IFERROR(INDEX($A950:$AB950,MATCH("Cost Centre",$A$1:$AB$1,0)),"")&amp;"","")</f>
        <v/>
      </c>
      <c r="AJ950" s="54">
        <f>IF(AND(AF950=1,AE950&gt;=set_FYStart,AE950&lt;=set_AsAt),1,0)</f>
        <v/>
      </c>
      <c r="AK950" s="54">
        <f>IF(AND(AJ950=1,AH950&lt;&gt;"",COUNTIFS($AH$2:AH950,AH950,$AJ$2:AJ950,1)=1),N(AL949)+1,"")</f>
        <v/>
      </c>
      <c r="AL950" s="54">
        <f>IF(AK950&lt;&gt;"",AK950,N(AL949))</f>
        <v/>
      </c>
    </row>
    <row r="951">
      <c r="A951" t="inlineStr">
        <is>
          <t>PRD-0317</t>
        </is>
      </c>
      <c r="B951" t="inlineStr">
        <is>
          <t>Production</t>
        </is>
      </c>
      <c r="AB951" t="n">
        <v>317</v>
      </c>
      <c r="AD951" s="52">
        <f>IFERROR(N(IFERROR(INDEX($A951:$AB951,MATCH("Xero Invoiced Ex GST",$A$1:$AB$1,0)),"")),0)</f>
        <v/>
      </c>
      <c r="AE951" s="53">
        <f>IFERROR(INDEX($A951:$AB951,MATCH("Xero Invoice Date",$A$1:$AB$1,0)),"")</f>
        <v/>
      </c>
      <c r="AF951" s="54">
        <f>IF(AND(IFERROR(INDEX($A951:$AB951,MATCH("Xero Invoice No",$A$1:$AB$1,0)),"")&amp;""&lt;&gt;"",ISNUMBER(AE951),AD951&lt;&gt;0),1,0)</f>
        <v/>
      </c>
      <c r="AG951" s="55">
        <f>IF(AF951=1,EOMONTH(AE951,0),"")</f>
        <v/>
      </c>
      <c r="AH951" s="9">
        <f>IF(AF951=1,UPPER(TRIM(IFERROR(INDEX($A951:$AB951,MATCH("Client",$A$1:$AB$1,0)),"")&amp;"")),"")</f>
        <v/>
      </c>
      <c r="AI951" s="9">
        <f>IF(AF951=1,IFERROR(INDEX($A951:$AB951,MATCH("Cost Centre",$A$1:$AB$1,0)),"")&amp;"","")</f>
        <v/>
      </c>
      <c r="AJ951" s="54">
        <f>IF(AND(AF951=1,AE951&gt;=set_FYStart,AE951&lt;=set_AsAt),1,0)</f>
        <v/>
      </c>
      <c r="AK951" s="54">
        <f>IF(AND(AJ951=1,AH951&lt;&gt;"",COUNTIFS($AH$2:AH951,AH951,$AJ$2:AJ951,1)=1),N(AL950)+1,"")</f>
        <v/>
      </c>
      <c r="AL951" s="54">
        <f>IF(AK951&lt;&gt;"",AK951,N(AL950))</f>
        <v/>
      </c>
    </row>
    <row r="952">
      <c r="A952" t="inlineStr">
        <is>
          <t>CON-0317</t>
        </is>
      </c>
      <c r="B952" t="inlineStr">
        <is>
          <t>Consulting</t>
        </is>
      </c>
      <c r="AB952" t="n">
        <v>317</v>
      </c>
      <c r="AD952" s="52">
        <f>IFERROR(N(IFERROR(INDEX($A952:$AB952,MATCH("Xero Invoiced Ex GST",$A$1:$AB$1,0)),"")),0)</f>
        <v/>
      </c>
      <c r="AE952" s="53">
        <f>IFERROR(INDEX($A952:$AB952,MATCH("Xero Invoice Date",$A$1:$AB$1,0)),"")</f>
        <v/>
      </c>
      <c r="AF952" s="54">
        <f>IF(AND(IFERROR(INDEX($A952:$AB952,MATCH("Xero Invoice No",$A$1:$AB$1,0)),"")&amp;""&lt;&gt;"",ISNUMBER(AE952),AD952&lt;&gt;0),1,0)</f>
        <v/>
      </c>
      <c r="AG952" s="55">
        <f>IF(AF952=1,EOMONTH(AE952,0),"")</f>
        <v/>
      </c>
      <c r="AH952" s="9">
        <f>IF(AF952=1,UPPER(TRIM(IFERROR(INDEX($A952:$AB952,MATCH("Client",$A$1:$AB$1,0)),"")&amp;"")),"")</f>
        <v/>
      </c>
      <c r="AI952" s="9">
        <f>IF(AF952=1,IFERROR(INDEX($A952:$AB952,MATCH("Cost Centre",$A$1:$AB$1,0)),"")&amp;"","")</f>
        <v/>
      </c>
      <c r="AJ952" s="54">
        <f>IF(AND(AF952=1,AE952&gt;=set_FYStart,AE952&lt;=set_AsAt),1,0)</f>
        <v/>
      </c>
      <c r="AK952" s="54">
        <f>IF(AND(AJ952=1,AH952&lt;&gt;"",COUNTIFS($AH$2:AH952,AH952,$AJ$2:AJ952,1)=1),N(AL951)+1,"")</f>
        <v/>
      </c>
      <c r="AL952" s="54">
        <f>IF(AK952&lt;&gt;"",AK952,N(AL951))</f>
        <v/>
      </c>
    </row>
    <row r="953">
      <c r="A953" t="inlineStr">
        <is>
          <t>ONS-0318</t>
        </is>
      </c>
      <c r="B953" t="inlineStr">
        <is>
          <t>Onsite</t>
        </is>
      </c>
      <c r="AB953" t="n">
        <v>318</v>
      </c>
      <c r="AD953" s="52">
        <f>IFERROR(N(IFERROR(INDEX($A953:$AB953,MATCH("Xero Invoiced Ex GST",$A$1:$AB$1,0)),"")),0)</f>
        <v/>
      </c>
      <c r="AE953" s="53">
        <f>IFERROR(INDEX($A953:$AB953,MATCH("Xero Invoice Date",$A$1:$AB$1,0)),"")</f>
        <v/>
      </c>
      <c r="AF953" s="54">
        <f>IF(AND(IFERROR(INDEX($A953:$AB953,MATCH("Xero Invoice No",$A$1:$AB$1,0)),"")&amp;""&lt;&gt;"",ISNUMBER(AE953),AD953&lt;&gt;0),1,0)</f>
        <v/>
      </c>
      <c r="AG953" s="55">
        <f>IF(AF953=1,EOMONTH(AE953,0),"")</f>
        <v/>
      </c>
      <c r="AH953" s="9">
        <f>IF(AF953=1,UPPER(TRIM(IFERROR(INDEX($A953:$AB953,MATCH("Client",$A$1:$AB$1,0)),"")&amp;"")),"")</f>
        <v/>
      </c>
      <c r="AI953" s="9">
        <f>IF(AF953=1,IFERROR(INDEX($A953:$AB953,MATCH("Cost Centre",$A$1:$AB$1,0)),"")&amp;"","")</f>
        <v/>
      </c>
      <c r="AJ953" s="54">
        <f>IF(AND(AF953=1,AE953&gt;=set_FYStart,AE953&lt;=set_AsAt),1,0)</f>
        <v/>
      </c>
      <c r="AK953" s="54">
        <f>IF(AND(AJ953=1,AH953&lt;&gt;"",COUNTIFS($AH$2:AH953,AH953,$AJ$2:AJ953,1)=1),N(AL952)+1,"")</f>
        <v/>
      </c>
      <c r="AL953" s="54">
        <f>IF(AK953&lt;&gt;"",AK953,N(AL952))</f>
        <v/>
      </c>
    </row>
    <row r="954">
      <c r="A954" t="inlineStr">
        <is>
          <t>PRD-0318</t>
        </is>
      </c>
      <c r="B954" t="inlineStr">
        <is>
          <t>Production</t>
        </is>
      </c>
      <c r="AB954" t="n">
        <v>318</v>
      </c>
      <c r="AD954" s="52">
        <f>IFERROR(N(IFERROR(INDEX($A954:$AB954,MATCH("Xero Invoiced Ex GST",$A$1:$AB$1,0)),"")),0)</f>
        <v/>
      </c>
      <c r="AE954" s="53">
        <f>IFERROR(INDEX($A954:$AB954,MATCH("Xero Invoice Date",$A$1:$AB$1,0)),"")</f>
        <v/>
      </c>
      <c r="AF954" s="54">
        <f>IF(AND(IFERROR(INDEX($A954:$AB954,MATCH("Xero Invoice No",$A$1:$AB$1,0)),"")&amp;""&lt;&gt;"",ISNUMBER(AE954),AD954&lt;&gt;0),1,0)</f>
        <v/>
      </c>
      <c r="AG954" s="55">
        <f>IF(AF954=1,EOMONTH(AE954,0),"")</f>
        <v/>
      </c>
      <c r="AH954" s="9">
        <f>IF(AF954=1,UPPER(TRIM(IFERROR(INDEX($A954:$AB954,MATCH("Client",$A$1:$AB$1,0)),"")&amp;"")),"")</f>
        <v/>
      </c>
      <c r="AI954" s="9">
        <f>IF(AF954=1,IFERROR(INDEX($A954:$AB954,MATCH("Cost Centre",$A$1:$AB$1,0)),"")&amp;"","")</f>
        <v/>
      </c>
      <c r="AJ954" s="54">
        <f>IF(AND(AF954=1,AE954&gt;=set_FYStart,AE954&lt;=set_AsAt),1,0)</f>
        <v/>
      </c>
      <c r="AK954" s="54">
        <f>IF(AND(AJ954=1,AH954&lt;&gt;"",COUNTIFS($AH$2:AH954,AH954,$AJ$2:AJ954,1)=1),N(AL953)+1,"")</f>
        <v/>
      </c>
      <c r="AL954" s="54">
        <f>IF(AK954&lt;&gt;"",AK954,N(AL953))</f>
        <v/>
      </c>
    </row>
    <row r="955">
      <c r="A955" t="inlineStr">
        <is>
          <t>CON-0318</t>
        </is>
      </c>
      <c r="B955" t="inlineStr">
        <is>
          <t>Consulting</t>
        </is>
      </c>
      <c r="AB955" t="n">
        <v>318</v>
      </c>
      <c r="AD955" s="52">
        <f>IFERROR(N(IFERROR(INDEX($A955:$AB955,MATCH("Xero Invoiced Ex GST",$A$1:$AB$1,0)),"")),0)</f>
        <v/>
      </c>
      <c r="AE955" s="53">
        <f>IFERROR(INDEX($A955:$AB955,MATCH("Xero Invoice Date",$A$1:$AB$1,0)),"")</f>
        <v/>
      </c>
      <c r="AF955" s="54">
        <f>IF(AND(IFERROR(INDEX($A955:$AB955,MATCH("Xero Invoice No",$A$1:$AB$1,0)),"")&amp;""&lt;&gt;"",ISNUMBER(AE955),AD955&lt;&gt;0),1,0)</f>
        <v/>
      </c>
      <c r="AG955" s="55">
        <f>IF(AF955=1,EOMONTH(AE955,0),"")</f>
        <v/>
      </c>
      <c r="AH955" s="9">
        <f>IF(AF955=1,UPPER(TRIM(IFERROR(INDEX($A955:$AB955,MATCH("Client",$A$1:$AB$1,0)),"")&amp;"")),"")</f>
        <v/>
      </c>
      <c r="AI955" s="9">
        <f>IF(AF955=1,IFERROR(INDEX($A955:$AB955,MATCH("Cost Centre",$A$1:$AB$1,0)),"")&amp;"","")</f>
        <v/>
      </c>
      <c r="AJ955" s="54">
        <f>IF(AND(AF955=1,AE955&gt;=set_FYStart,AE955&lt;=set_AsAt),1,0)</f>
        <v/>
      </c>
      <c r="AK955" s="54">
        <f>IF(AND(AJ955=1,AH955&lt;&gt;"",COUNTIFS($AH$2:AH955,AH955,$AJ$2:AJ955,1)=1),N(AL954)+1,"")</f>
        <v/>
      </c>
      <c r="AL955" s="54">
        <f>IF(AK955&lt;&gt;"",AK955,N(AL954))</f>
        <v/>
      </c>
    </row>
    <row r="956">
      <c r="A956" t="inlineStr">
        <is>
          <t>ONS-0319</t>
        </is>
      </c>
      <c r="B956" t="inlineStr">
        <is>
          <t>Onsite</t>
        </is>
      </c>
      <c r="AB956" t="n">
        <v>319</v>
      </c>
      <c r="AD956" s="52">
        <f>IFERROR(N(IFERROR(INDEX($A956:$AB956,MATCH("Xero Invoiced Ex GST",$A$1:$AB$1,0)),"")),0)</f>
        <v/>
      </c>
      <c r="AE956" s="53">
        <f>IFERROR(INDEX($A956:$AB956,MATCH("Xero Invoice Date",$A$1:$AB$1,0)),"")</f>
        <v/>
      </c>
      <c r="AF956" s="54">
        <f>IF(AND(IFERROR(INDEX($A956:$AB956,MATCH("Xero Invoice No",$A$1:$AB$1,0)),"")&amp;""&lt;&gt;"",ISNUMBER(AE956),AD956&lt;&gt;0),1,0)</f>
        <v/>
      </c>
      <c r="AG956" s="55">
        <f>IF(AF956=1,EOMONTH(AE956,0),"")</f>
        <v/>
      </c>
      <c r="AH956" s="9">
        <f>IF(AF956=1,UPPER(TRIM(IFERROR(INDEX($A956:$AB956,MATCH("Client",$A$1:$AB$1,0)),"")&amp;"")),"")</f>
        <v/>
      </c>
      <c r="AI956" s="9">
        <f>IF(AF956=1,IFERROR(INDEX($A956:$AB956,MATCH("Cost Centre",$A$1:$AB$1,0)),"")&amp;"","")</f>
        <v/>
      </c>
      <c r="AJ956" s="54">
        <f>IF(AND(AF956=1,AE956&gt;=set_FYStart,AE956&lt;=set_AsAt),1,0)</f>
        <v/>
      </c>
      <c r="AK956" s="54">
        <f>IF(AND(AJ956=1,AH956&lt;&gt;"",COUNTIFS($AH$2:AH956,AH956,$AJ$2:AJ956,1)=1),N(AL955)+1,"")</f>
        <v/>
      </c>
      <c r="AL956" s="54">
        <f>IF(AK956&lt;&gt;"",AK956,N(AL955))</f>
        <v/>
      </c>
    </row>
    <row r="957">
      <c r="A957" t="inlineStr">
        <is>
          <t>PRD-0319</t>
        </is>
      </c>
      <c r="B957" t="inlineStr">
        <is>
          <t>Production</t>
        </is>
      </c>
      <c r="AB957" t="n">
        <v>319</v>
      </c>
      <c r="AD957" s="52">
        <f>IFERROR(N(IFERROR(INDEX($A957:$AB957,MATCH("Xero Invoiced Ex GST",$A$1:$AB$1,0)),"")),0)</f>
        <v/>
      </c>
      <c r="AE957" s="53">
        <f>IFERROR(INDEX($A957:$AB957,MATCH("Xero Invoice Date",$A$1:$AB$1,0)),"")</f>
        <v/>
      </c>
      <c r="AF957" s="54">
        <f>IF(AND(IFERROR(INDEX($A957:$AB957,MATCH("Xero Invoice No",$A$1:$AB$1,0)),"")&amp;""&lt;&gt;"",ISNUMBER(AE957),AD957&lt;&gt;0),1,0)</f>
        <v/>
      </c>
      <c r="AG957" s="55">
        <f>IF(AF957=1,EOMONTH(AE957,0),"")</f>
        <v/>
      </c>
      <c r="AH957" s="9">
        <f>IF(AF957=1,UPPER(TRIM(IFERROR(INDEX($A957:$AB957,MATCH("Client",$A$1:$AB$1,0)),"")&amp;"")),"")</f>
        <v/>
      </c>
      <c r="AI957" s="9">
        <f>IF(AF957=1,IFERROR(INDEX($A957:$AB957,MATCH("Cost Centre",$A$1:$AB$1,0)),"")&amp;"","")</f>
        <v/>
      </c>
      <c r="AJ957" s="54">
        <f>IF(AND(AF957=1,AE957&gt;=set_FYStart,AE957&lt;=set_AsAt),1,0)</f>
        <v/>
      </c>
      <c r="AK957" s="54">
        <f>IF(AND(AJ957=1,AH957&lt;&gt;"",COUNTIFS($AH$2:AH957,AH957,$AJ$2:AJ957,1)=1),N(AL956)+1,"")</f>
        <v/>
      </c>
      <c r="AL957" s="54">
        <f>IF(AK957&lt;&gt;"",AK957,N(AL956))</f>
        <v/>
      </c>
    </row>
    <row r="958">
      <c r="A958" t="inlineStr">
        <is>
          <t>CON-0319</t>
        </is>
      </c>
      <c r="B958" t="inlineStr">
        <is>
          <t>Consulting</t>
        </is>
      </c>
      <c r="AB958" t="n">
        <v>319</v>
      </c>
      <c r="AD958" s="52">
        <f>IFERROR(N(IFERROR(INDEX($A958:$AB958,MATCH("Xero Invoiced Ex GST",$A$1:$AB$1,0)),"")),0)</f>
        <v/>
      </c>
      <c r="AE958" s="53">
        <f>IFERROR(INDEX($A958:$AB958,MATCH("Xero Invoice Date",$A$1:$AB$1,0)),"")</f>
        <v/>
      </c>
      <c r="AF958" s="54">
        <f>IF(AND(IFERROR(INDEX($A958:$AB958,MATCH("Xero Invoice No",$A$1:$AB$1,0)),"")&amp;""&lt;&gt;"",ISNUMBER(AE958),AD958&lt;&gt;0),1,0)</f>
        <v/>
      </c>
      <c r="AG958" s="55">
        <f>IF(AF958=1,EOMONTH(AE958,0),"")</f>
        <v/>
      </c>
      <c r="AH958" s="9">
        <f>IF(AF958=1,UPPER(TRIM(IFERROR(INDEX($A958:$AB958,MATCH("Client",$A$1:$AB$1,0)),"")&amp;"")),"")</f>
        <v/>
      </c>
      <c r="AI958" s="9">
        <f>IF(AF958=1,IFERROR(INDEX($A958:$AB958,MATCH("Cost Centre",$A$1:$AB$1,0)),"")&amp;"","")</f>
        <v/>
      </c>
      <c r="AJ958" s="54">
        <f>IF(AND(AF958=1,AE958&gt;=set_FYStart,AE958&lt;=set_AsAt),1,0)</f>
        <v/>
      </c>
      <c r="AK958" s="54">
        <f>IF(AND(AJ958=1,AH958&lt;&gt;"",COUNTIFS($AH$2:AH958,AH958,$AJ$2:AJ958,1)=1),N(AL957)+1,"")</f>
        <v/>
      </c>
      <c r="AL958" s="54">
        <f>IF(AK958&lt;&gt;"",AK958,N(AL957))</f>
        <v/>
      </c>
    </row>
    <row r="959">
      <c r="A959" t="inlineStr">
        <is>
          <t>ONS-0320</t>
        </is>
      </c>
      <c r="B959" t="inlineStr">
        <is>
          <t>Onsite</t>
        </is>
      </c>
      <c r="AB959" t="n">
        <v>320</v>
      </c>
      <c r="AD959" s="52">
        <f>IFERROR(N(IFERROR(INDEX($A959:$AB959,MATCH("Xero Invoiced Ex GST",$A$1:$AB$1,0)),"")),0)</f>
        <v/>
      </c>
      <c r="AE959" s="53">
        <f>IFERROR(INDEX($A959:$AB959,MATCH("Xero Invoice Date",$A$1:$AB$1,0)),"")</f>
        <v/>
      </c>
      <c r="AF959" s="54">
        <f>IF(AND(IFERROR(INDEX($A959:$AB959,MATCH("Xero Invoice No",$A$1:$AB$1,0)),"")&amp;""&lt;&gt;"",ISNUMBER(AE959),AD959&lt;&gt;0),1,0)</f>
        <v/>
      </c>
      <c r="AG959" s="55">
        <f>IF(AF959=1,EOMONTH(AE959,0),"")</f>
        <v/>
      </c>
      <c r="AH959" s="9">
        <f>IF(AF959=1,UPPER(TRIM(IFERROR(INDEX($A959:$AB959,MATCH("Client",$A$1:$AB$1,0)),"")&amp;"")),"")</f>
        <v/>
      </c>
      <c r="AI959" s="9">
        <f>IF(AF959=1,IFERROR(INDEX($A959:$AB959,MATCH("Cost Centre",$A$1:$AB$1,0)),"")&amp;"","")</f>
        <v/>
      </c>
      <c r="AJ959" s="54">
        <f>IF(AND(AF959=1,AE959&gt;=set_FYStart,AE959&lt;=set_AsAt),1,0)</f>
        <v/>
      </c>
      <c r="AK959" s="54">
        <f>IF(AND(AJ959=1,AH959&lt;&gt;"",COUNTIFS($AH$2:AH959,AH959,$AJ$2:AJ959,1)=1),N(AL958)+1,"")</f>
        <v/>
      </c>
      <c r="AL959" s="54">
        <f>IF(AK959&lt;&gt;"",AK959,N(AL958))</f>
        <v/>
      </c>
    </row>
    <row r="960">
      <c r="A960" t="inlineStr">
        <is>
          <t>PRD-0320</t>
        </is>
      </c>
      <c r="B960" t="inlineStr">
        <is>
          <t>Production</t>
        </is>
      </c>
      <c r="AB960" t="n">
        <v>320</v>
      </c>
      <c r="AD960" s="52">
        <f>IFERROR(N(IFERROR(INDEX($A960:$AB960,MATCH("Xero Invoiced Ex GST",$A$1:$AB$1,0)),"")),0)</f>
        <v/>
      </c>
      <c r="AE960" s="53">
        <f>IFERROR(INDEX($A960:$AB960,MATCH("Xero Invoice Date",$A$1:$AB$1,0)),"")</f>
        <v/>
      </c>
      <c r="AF960" s="54">
        <f>IF(AND(IFERROR(INDEX($A960:$AB960,MATCH("Xero Invoice No",$A$1:$AB$1,0)),"")&amp;""&lt;&gt;"",ISNUMBER(AE960),AD960&lt;&gt;0),1,0)</f>
        <v/>
      </c>
      <c r="AG960" s="55">
        <f>IF(AF960=1,EOMONTH(AE960,0),"")</f>
        <v/>
      </c>
      <c r="AH960" s="9">
        <f>IF(AF960=1,UPPER(TRIM(IFERROR(INDEX($A960:$AB960,MATCH("Client",$A$1:$AB$1,0)),"")&amp;"")),"")</f>
        <v/>
      </c>
      <c r="AI960" s="9">
        <f>IF(AF960=1,IFERROR(INDEX($A960:$AB960,MATCH("Cost Centre",$A$1:$AB$1,0)),"")&amp;"","")</f>
        <v/>
      </c>
      <c r="AJ960" s="54">
        <f>IF(AND(AF960=1,AE960&gt;=set_FYStart,AE960&lt;=set_AsAt),1,0)</f>
        <v/>
      </c>
      <c r="AK960" s="54">
        <f>IF(AND(AJ960=1,AH960&lt;&gt;"",COUNTIFS($AH$2:AH960,AH960,$AJ$2:AJ960,1)=1),N(AL959)+1,"")</f>
        <v/>
      </c>
      <c r="AL960" s="54">
        <f>IF(AK960&lt;&gt;"",AK960,N(AL959))</f>
        <v/>
      </c>
    </row>
    <row r="961">
      <c r="A961" t="inlineStr">
        <is>
          <t>CON-0320</t>
        </is>
      </c>
      <c r="B961" t="inlineStr">
        <is>
          <t>Consulting</t>
        </is>
      </c>
      <c r="AB961" t="n">
        <v>320</v>
      </c>
      <c r="AD961" s="52">
        <f>IFERROR(N(IFERROR(INDEX($A961:$AB961,MATCH("Xero Invoiced Ex GST",$A$1:$AB$1,0)),"")),0)</f>
        <v/>
      </c>
      <c r="AE961" s="53">
        <f>IFERROR(INDEX($A961:$AB961,MATCH("Xero Invoice Date",$A$1:$AB$1,0)),"")</f>
        <v/>
      </c>
      <c r="AF961" s="54">
        <f>IF(AND(IFERROR(INDEX($A961:$AB961,MATCH("Xero Invoice No",$A$1:$AB$1,0)),"")&amp;""&lt;&gt;"",ISNUMBER(AE961),AD961&lt;&gt;0),1,0)</f>
        <v/>
      </c>
      <c r="AG961" s="55">
        <f>IF(AF961=1,EOMONTH(AE961,0),"")</f>
        <v/>
      </c>
      <c r="AH961" s="9">
        <f>IF(AF961=1,UPPER(TRIM(IFERROR(INDEX($A961:$AB961,MATCH("Client",$A$1:$AB$1,0)),"")&amp;"")),"")</f>
        <v/>
      </c>
      <c r="AI961" s="9">
        <f>IF(AF961=1,IFERROR(INDEX($A961:$AB961,MATCH("Cost Centre",$A$1:$AB$1,0)),"")&amp;"","")</f>
        <v/>
      </c>
      <c r="AJ961" s="54">
        <f>IF(AND(AF961=1,AE961&gt;=set_FYStart,AE961&lt;=set_AsAt),1,0)</f>
        <v/>
      </c>
      <c r="AK961" s="54">
        <f>IF(AND(AJ961=1,AH961&lt;&gt;"",COUNTIFS($AH$2:AH961,AH961,$AJ$2:AJ961,1)=1),N(AL960)+1,"")</f>
        <v/>
      </c>
      <c r="AL961" s="54">
        <f>IF(AK961&lt;&gt;"",AK961,N(AL960))</f>
        <v/>
      </c>
    </row>
    <row r="962">
      <c r="A962" t="inlineStr">
        <is>
          <t>ONS-0321</t>
        </is>
      </c>
      <c r="B962" t="inlineStr">
        <is>
          <t>Onsite</t>
        </is>
      </c>
      <c r="AB962" t="n">
        <v>321</v>
      </c>
      <c r="AD962" s="52">
        <f>IFERROR(N(IFERROR(INDEX($A962:$AB962,MATCH("Xero Invoiced Ex GST",$A$1:$AB$1,0)),"")),0)</f>
        <v/>
      </c>
      <c r="AE962" s="53">
        <f>IFERROR(INDEX($A962:$AB962,MATCH("Xero Invoice Date",$A$1:$AB$1,0)),"")</f>
        <v/>
      </c>
      <c r="AF962" s="54">
        <f>IF(AND(IFERROR(INDEX($A962:$AB962,MATCH("Xero Invoice No",$A$1:$AB$1,0)),"")&amp;""&lt;&gt;"",ISNUMBER(AE962),AD962&lt;&gt;0),1,0)</f>
        <v/>
      </c>
      <c r="AG962" s="55">
        <f>IF(AF962=1,EOMONTH(AE962,0),"")</f>
        <v/>
      </c>
      <c r="AH962" s="9">
        <f>IF(AF962=1,UPPER(TRIM(IFERROR(INDEX($A962:$AB962,MATCH("Client",$A$1:$AB$1,0)),"")&amp;"")),"")</f>
        <v/>
      </c>
      <c r="AI962" s="9">
        <f>IF(AF962=1,IFERROR(INDEX($A962:$AB962,MATCH("Cost Centre",$A$1:$AB$1,0)),"")&amp;"","")</f>
        <v/>
      </c>
      <c r="AJ962" s="54">
        <f>IF(AND(AF962=1,AE962&gt;=set_FYStart,AE962&lt;=set_AsAt),1,0)</f>
        <v/>
      </c>
      <c r="AK962" s="54">
        <f>IF(AND(AJ962=1,AH962&lt;&gt;"",COUNTIFS($AH$2:AH962,AH962,$AJ$2:AJ962,1)=1),N(AL961)+1,"")</f>
        <v/>
      </c>
      <c r="AL962" s="54">
        <f>IF(AK962&lt;&gt;"",AK962,N(AL961))</f>
        <v/>
      </c>
    </row>
    <row r="963">
      <c r="A963" t="inlineStr">
        <is>
          <t>PRD-0321</t>
        </is>
      </c>
      <c r="B963" t="inlineStr">
        <is>
          <t>Production</t>
        </is>
      </c>
      <c r="AB963" t="n">
        <v>321</v>
      </c>
      <c r="AD963" s="52">
        <f>IFERROR(N(IFERROR(INDEX($A963:$AB963,MATCH("Xero Invoiced Ex GST",$A$1:$AB$1,0)),"")),0)</f>
        <v/>
      </c>
      <c r="AE963" s="53">
        <f>IFERROR(INDEX($A963:$AB963,MATCH("Xero Invoice Date",$A$1:$AB$1,0)),"")</f>
        <v/>
      </c>
      <c r="AF963" s="54">
        <f>IF(AND(IFERROR(INDEX($A963:$AB963,MATCH("Xero Invoice No",$A$1:$AB$1,0)),"")&amp;""&lt;&gt;"",ISNUMBER(AE963),AD963&lt;&gt;0),1,0)</f>
        <v/>
      </c>
      <c r="AG963" s="55">
        <f>IF(AF963=1,EOMONTH(AE963,0),"")</f>
        <v/>
      </c>
      <c r="AH963" s="9">
        <f>IF(AF963=1,UPPER(TRIM(IFERROR(INDEX($A963:$AB963,MATCH("Client",$A$1:$AB$1,0)),"")&amp;"")),"")</f>
        <v/>
      </c>
      <c r="AI963" s="9">
        <f>IF(AF963=1,IFERROR(INDEX($A963:$AB963,MATCH("Cost Centre",$A$1:$AB$1,0)),"")&amp;"","")</f>
        <v/>
      </c>
      <c r="AJ963" s="54">
        <f>IF(AND(AF963=1,AE963&gt;=set_FYStart,AE963&lt;=set_AsAt),1,0)</f>
        <v/>
      </c>
      <c r="AK963" s="54">
        <f>IF(AND(AJ963=1,AH963&lt;&gt;"",COUNTIFS($AH$2:AH963,AH963,$AJ$2:AJ963,1)=1),N(AL962)+1,"")</f>
        <v/>
      </c>
      <c r="AL963" s="54">
        <f>IF(AK963&lt;&gt;"",AK963,N(AL962))</f>
        <v/>
      </c>
    </row>
    <row r="964">
      <c r="A964" t="inlineStr">
        <is>
          <t>CON-0321</t>
        </is>
      </c>
      <c r="B964" t="inlineStr">
        <is>
          <t>Consulting</t>
        </is>
      </c>
      <c r="AB964" t="n">
        <v>321</v>
      </c>
      <c r="AD964" s="52">
        <f>IFERROR(N(IFERROR(INDEX($A964:$AB964,MATCH("Xero Invoiced Ex GST",$A$1:$AB$1,0)),"")),0)</f>
        <v/>
      </c>
      <c r="AE964" s="53">
        <f>IFERROR(INDEX($A964:$AB964,MATCH("Xero Invoice Date",$A$1:$AB$1,0)),"")</f>
        <v/>
      </c>
      <c r="AF964" s="54">
        <f>IF(AND(IFERROR(INDEX($A964:$AB964,MATCH("Xero Invoice No",$A$1:$AB$1,0)),"")&amp;""&lt;&gt;"",ISNUMBER(AE964),AD964&lt;&gt;0),1,0)</f>
        <v/>
      </c>
      <c r="AG964" s="55">
        <f>IF(AF964=1,EOMONTH(AE964,0),"")</f>
        <v/>
      </c>
      <c r="AH964" s="9">
        <f>IF(AF964=1,UPPER(TRIM(IFERROR(INDEX($A964:$AB964,MATCH("Client",$A$1:$AB$1,0)),"")&amp;"")),"")</f>
        <v/>
      </c>
      <c r="AI964" s="9">
        <f>IF(AF964=1,IFERROR(INDEX($A964:$AB964,MATCH("Cost Centre",$A$1:$AB$1,0)),"")&amp;"","")</f>
        <v/>
      </c>
      <c r="AJ964" s="54">
        <f>IF(AND(AF964=1,AE964&gt;=set_FYStart,AE964&lt;=set_AsAt),1,0)</f>
        <v/>
      </c>
      <c r="AK964" s="54">
        <f>IF(AND(AJ964=1,AH964&lt;&gt;"",COUNTIFS($AH$2:AH964,AH964,$AJ$2:AJ964,1)=1),N(AL963)+1,"")</f>
        <v/>
      </c>
      <c r="AL964" s="54">
        <f>IF(AK964&lt;&gt;"",AK964,N(AL963))</f>
        <v/>
      </c>
    </row>
    <row r="965">
      <c r="A965" t="inlineStr">
        <is>
          <t>ONS-0322</t>
        </is>
      </c>
      <c r="B965" t="inlineStr">
        <is>
          <t>Onsite</t>
        </is>
      </c>
      <c r="AB965" t="n">
        <v>322</v>
      </c>
      <c r="AD965" s="52">
        <f>IFERROR(N(IFERROR(INDEX($A965:$AB965,MATCH("Xero Invoiced Ex GST",$A$1:$AB$1,0)),"")),0)</f>
        <v/>
      </c>
      <c r="AE965" s="53">
        <f>IFERROR(INDEX($A965:$AB965,MATCH("Xero Invoice Date",$A$1:$AB$1,0)),"")</f>
        <v/>
      </c>
      <c r="AF965" s="54">
        <f>IF(AND(IFERROR(INDEX($A965:$AB965,MATCH("Xero Invoice No",$A$1:$AB$1,0)),"")&amp;""&lt;&gt;"",ISNUMBER(AE965),AD965&lt;&gt;0),1,0)</f>
        <v/>
      </c>
      <c r="AG965" s="55">
        <f>IF(AF965=1,EOMONTH(AE965,0),"")</f>
        <v/>
      </c>
      <c r="AH965" s="9">
        <f>IF(AF965=1,UPPER(TRIM(IFERROR(INDEX($A965:$AB965,MATCH("Client",$A$1:$AB$1,0)),"")&amp;"")),"")</f>
        <v/>
      </c>
      <c r="AI965" s="9">
        <f>IF(AF965=1,IFERROR(INDEX($A965:$AB965,MATCH("Cost Centre",$A$1:$AB$1,0)),"")&amp;"","")</f>
        <v/>
      </c>
      <c r="AJ965" s="54">
        <f>IF(AND(AF965=1,AE965&gt;=set_FYStart,AE965&lt;=set_AsAt),1,0)</f>
        <v/>
      </c>
      <c r="AK965" s="54">
        <f>IF(AND(AJ965=1,AH965&lt;&gt;"",COUNTIFS($AH$2:AH965,AH965,$AJ$2:AJ965,1)=1),N(AL964)+1,"")</f>
        <v/>
      </c>
      <c r="AL965" s="54">
        <f>IF(AK965&lt;&gt;"",AK965,N(AL964))</f>
        <v/>
      </c>
    </row>
    <row r="966">
      <c r="A966" t="inlineStr">
        <is>
          <t>PRD-0322</t>
        </is>
      </c>
      <c r="B966" t="inlineStr">
        <is>
          <t>Production</t>
        </is>
      </c>
      <c r="AB966" t="n">
        <v>322</v>
      </c>
      <c r="AD966" s="52">
        <f>IFERROR(N(IFERROR(INDEX($A966:$AB966,MATCH("Xero Invoiced Ex GST",$A$1:$AB$1,0)),"")),0)</f>
        <v/>
      </c>
      <c r="AE966" s="53">
        <f>IFERROR(INDEX($A966:$AB966,MATCH("Xero Invoice Date",$A$1:$AB$1,0)),"")</f>
        <v/>
      </c>
      <c r="AF966" s="54">
        <f>IF(AND(IFERROR(INDEX($A966:$AB966,MATCH("Xero Invoice No",$A$1:$AB$1,0)),"")&amp;""&lt;&gt;"",ISNUMBER(AE966),AD966&lt;&gt;0),1,0)</f>
        <v/>
      </c>
      <c r="AG966" s="55">
        <f>IF(AF966=1,EOMONTH(AE966,0),"")</f>
        <v/>
      </c>
      <c r="AH966" s="9">
        <f>IF(AF966=1,UPPER(TRIM(IFERROR(INDEX($A966:$AB966,MATCH("Client",$A$1:$AB$1,0)),"")&amp;"")),"")</f>
        <v/>
      </c>
      <c r="AI966" s="9">
        <f>IF(AF966=1,IFERROR(INDEX($A966:$AB966,MATCH("Cost Centre",$A$1:$AB$1,0)),"")&amp;"","")</f>
        <v/>
      </c>
      <c r="AJ966" s="54">
        <f>IF(AND(AF966=1,AE966&gt;=set_FYStart,AE966&lt;=set_AsAt),1,0)</f>
        <v/>
      </c>
      <c r="AK966" s="54">
        <f>IF(AND(AJ966=1,AH966&lt;&gt;"",COUNTIFS($AH$2:AH966,AH966,$AJ$2:AJ966,1)=1),N(AL965)+1,"")</f>
        <v/>
      </c>
      <c r="AL966" s="54">
        <f>IF(AK966&lt;&gt;"",AK966,N(AL965))</f>
        <v/>
      </c>
    </row>
    <row r="967">
      <c r="A967" t="inlineStr">
        <is>
          <t>CON-0322</t>
        </is>
      </c>
      <c r="B967" t="inlineStr">
        <is>
          <t>Consulting</t>
        </is>
      </c>
      <c r="AB967" t="n">
        <v>322</v>
      </c>
      <c r="AD967" s="52">
        <f>IFERROR(N(IFERROR(INDEX($A967:$AB967,MATCH("Xero Invoiced Ex GST",$A$1:$AB$1,0)),"")),0)</f>
        <v/>
      </c>
      <c r="AE967" s="53">
        <f>IFERROR(INDEX($A967:$AB967,MATCH("Xero Invoice Date",$A$1:$AB$1,0)),"")</f>
        <v/>
      </c>
      <c r="AF967" s="54">
        <f>IF(AND(IFERROR(INDEX($A967:$AB967,MATCH("Xero Invoice No",$A$1:$AB$1,0)),"")&amp;""&lt;&gt;"",ISNUMBER(AE967),AD967&lt;&gt;0),1,0)</f>
        <v/>
      </c>
      <c r="AG967" s="55">
        <f>IF(AF967=1,EOMONTH(AE967,0),"")</f>
        <v/>
      </c>
      <c r="AH967" s="9">
        <f>IF(AF967=1,UPPER(TRIM(IFERROR(INDEX($A967:$AB967,MATCH("Client",$A$1:$AB$1,0)),"")&amp;"")),"")</f>
        <v/>
      </c>
      <c r="AI967" s="9">
        <f>IF(AF967=1,IFERROR(INDEX($A967:$AB967,MATCH("Cost Centre",$A$1:$AB$1,0)),"")&amp;"","")</f>
        <v/>
      </c>
      <c r="AJ967" s="54">
        <f>IF(AND(AF967=1,AE967&gt;=set_FYStart,AE967&lt;=set_AsAt),1,0)</f>
        <v/>
      </c>
      <c r="AK967" s="54">
        <f>IF(AND(AJ967=1,AH967&lt;&gt;"",COUNTIFS($AH$2:AH967,AH967,$AJ$2:AJ967,1)=1),N(AL966)+1,"")</f>
        <v/>
      </c>
      <c r="AL967" s="54">
        <f>IF(AK967&lt;&gt;"",AK967,N(AL966))</f>
        <v/>
      </c>
    </row>
    <row r="968">
      <c r="A968" t="inlineStr">
        <is>
          <t>ONS-0323</t>
        </is>
      </c>
      <c r="B968" t="inlineStr">
        <is>
          <t>Onsite</t>
        </is>
      </c>
      <c r="AB968" t="n">
        <v>323</v>
      </c>
      <c r="AD968" s="52">
        <f>IFERROR(N(IFERROR(INDEX($A968:$AB968,MATCH("Xero Invoiced Ex GST",$A$1:$AB$1,0)),"")),0)</f>
        <v/>
      </c>
      <c r="AE968" s="53">
        <f>IFERROR(INDEX($A968:$AB968,MATCH("Xero Invoice Date",$A$1:$AB$1,0)),"")</f>
        <v/>
      </c>
      <c r="AF968" s="54">
        <f>IF(AND(IFERROR(INDEX($A968:$AB968,MATCH("Xero Invoice No",$A$1:$AB$1,0)),"")&amp;""&lt;&gt;"",ISNUMBER(AE968),AD968&lt;&gt;0),1,0)</f>
        <v/>
      </c>
      <c r="AG968" s="55">
        <f>IF(AF968=1,EOMONTH(AE968,0),"")</f>
        <v/>
      </c>
      <c r="AH968" s="9">
        <f>IF(AF968=1,UPPER(TRIM(IFERROR(INDEX($A968:$AB968,MATCH("Client",$A$1:$AB$1,0)),"")&amp;"")),"")</f>
        <v/>
      </c>
      <c r="AI968" s="9">
        <f>IF(AF968=1,IFERROR(INDEX($A968:$AB968,MATCH("Cost Centre",$A$1:$AB$1,0)),"")&amp;"","")</f>
        <v/>
      </c>
      <c r="AJ968" s="54">
        <f>IF(AND(AF968=1,AE968&gt;=set_FYStart,AE968&lt;=set_AsAt),1,0)</f>
        <v/>
      </c>
      <c r="AK968" s="54">
        <f>IF(AND(AJ968=1,AH968&lt;&gt;"",COUNTIFS($AH$2:AH968,AH968,$AJ$2:AJ968,1)=1),N(AL967)+1,"")</f>
        <v/>
      </c>
      <c r="AL968" s="54">
        <f>IF(AK968&lt;&gt;"",AK968,N(AL967))</f>
        <v/>
      </c>
    </row>
    <row r="969">
      <c r="A969" t="inlineStr">
        <is>
          <t>PRD-0323</t>
        </is>
      </c>
      <c r="B969" t="inlineStr">
        <is>
          <t>Production</t>
        </is>
      </c>
      <c r="AB969" t="n">
        <v>323</v>
      </c>
      <c r="AD969" s="52">
        <f>IFERROR(N(IFERROR(INDEX($A969:$AB969,MATCH("Xero Invoiced Ex GST",$A$1:$AB$1,0)),"")),0)</f>
        <v/>
      </c>
      <c r="AE969" s="53">
        <f>IFERROR(INDEX($A969:$AB969,MATCH("Xero Invoice Date",$A$1:$AB$1,0)),"")</f>
        <v/>
      </c>
      <c r="AF969" s="54">
        <f>IF(AND(IFERROR(INDEX($A969:$AB969,MATCH("Xero Invoice No",$A$1:$AB$1,0)),"")&amp;""&lt;&gt;"",ISNUMBER(AE969),AD969&lt;&gt;0),1,0)</f>
        <v/>
      </c>
      <c r="AG969" s="55">
        <f>IF(AF969=1,EOMONTH(AE969,0),"")</f>
        <v/>
      </c>
      <c r="AH969" s="9">
        <f>IF(AF969=1,UPPER(TRIM(IFERROR(INDEX($A969:$AB969,MATCH("Client",$A$1:$AB$1,0)),"")&amp;"")),"")</f>
        <v/>
      </c>
      <c r="AI969" s="9">
        <f>IF(AF969=1,IFERROR(INDEX($A969:$AB969,MATCH("Cost Centre",$A$1:$AB$1,0)),"")&amp;"","")</f>
        <v/>
      </c>
      <c r="AJ969" s="54">
        <f>IF(AND(AF969=1,AE969&gt;=set_FYStart,AE969&lt;=set_AsAt),1,0)</f>
        <v/>
      </c>
      <c r="AK969" s="54">
        <f>IF(AND(AJ969=1,AH969&lt;&gt;"",COUNTIFS($AH$2:AH969,AH969,$AJ$2:AJ969,1)=1),N(AL968)+1,"")</f>
        <v/>
      </c>
      <c r="AL969" s="54">
        <f>IF(AK969&lt;&gt;"",AK969,N(AL968))</f>
        <v/>
      </c>
    </row>
    <row r="970">
      <c r="A970" t="inlineStr">
        <is>
          <t>CON-0323</t>
        </is>
      </c>
      <c r="B970" t="inlineStr">
        <is>
          <t>Consulting</t>
        </is>
      </c>
      <c r="AB970" t="n">
        <v>323</v>
      </c>
      <c r="AD970" s="52">
        <f>IFERROR(N(IFERROR(INDEX($A970:$AB970,MATCH("Xero Invoiced Ex GST",$A$1:$AB$1,0)),"")),0)</f>
        <v/>
      </c>
      <c r="AE970" s="53">
        <f>IFERROR(INDEX($A970:$AB970,MATCH("Xero Invoice Date",$A$1:$AB$1,0)),"")</f>
        <v/>
      </c>
      <c r="AF970" s="54">
        <f>IF(AND(IFERROR(INDEX($A970:$AB970,MATCH("Xero Invoice No",$A$1:$AB$1,0)),"")&amp;""&lt;&gt;"",ISNUMBER(AE970),AD970&lt;&gt;0),1,0)</f>
        <v/>
      </c>
      <c r="AG970" s="55">
        <f>IF(AF970=1,EOMONTH(AE970,0),"")</f>
        <v/>
      </c>
      <c r="AH970" s="9">
        <f>IF(AF970=1,UPPER(TRIM(IFERROR(INDEX($A970:$AB970,MATCH("Client",$A$1:$AB$1,0)),"")&amp;"")),"")</f>
        <v/>
      </c>
      <c r="AI970" s="9">
        <f>IF(AF970=1,IFERROR(INDEX($A970:$AB970,MATCH("Cost Centre",$A$1:$AB$1,0)),"")&amp;"","")</f>
        <v/>
      </c>
      <c r="AJ970" s="54">
        <f>IF(AND(AF970=1,AE970&gt;=set_FYStart,AE970&lt;=set_AsAt),1,0)</f>
        <v/>
      </c>
      <c r="AK970" s="54">
        <f>IF(AND(AJ970=1,AH970&lt;&gt;"",COUNTIFS($AH$2:AH970,AH970,$AJ$2:AJ970,1)=1),N(AL969)+1,"")</f>
        <v/>
      </c>
      <c r="AL970" s="54">
        <f>IF(AK970&lt;&gt;"",AK970,N(AL969))</f>
        <v/>
      </c>
    </row>
    <row r="971">
      <c r="A971" t="inlineStr">
        <is>
          <t>ONS-0324</t>
        </is>
      </c>
      <c r="B971" t="inlineStr">
        <is>
          <t>Onsite</t>
        </is>
      </c>
      <c r="AB971" t="n">
        <v>324</v>
      </c>
      <c r="AD971" s="52">
        <f>IFERROR(N(IFERROR(INDEX($A971:$AB971,MATCH("Xero Invoiced Ex GST",$A$1:$AB$1,0)),"")),0)</f>
        <v/>
      </c>
      <c r="AE971" s="53">
        <f>IFERROR(INDEX($A971:$AB971,MATCH("Xero Invoice Date",$A$1:$AB$1,0)),"")</f>
        <v/>
      </c>
      <c r="AF971" s="54">
        <f>IF(AND(IFERROR(INDEX($A971:$AB971,MATCH("Xero Invoice No",$A$1:$AB$1,0)),"")&amp;""&lt;&gt;"",ISNUMBER(AE971),AD971&lt;&gt;0),1,0)</f>
        <v/>
      </c>
      <c r="AG971" s="55">
        <f>IF(AF971=1,EOMONTH(AE971,0),"")</f>
        <v/>
      </c>
      <c r="AH971" s="9">
        <f>IF(AF971=1,UPPER(TRIM(IFERROR(INDEX($A971:$AB971,MATCH("Client",$A$1:$AB$1,0)),"")&amp;"")),"")</f>
        <v/>
      </c>
      <c r="AI971" s="9">
        <f>IF(AF971=1,IFERROR(INDEX($A971:$AB971,MATCH("Cost Centre",$A$1:$AB$1,0)),"")&amp;"","")</f>
        <v/>
      </c>
      <c r="AJ971" s="54">
        <f>IF(AND(AF971=1,AE971&gt;=set_FYStart,AE971&lt;=set_AsAt),1,0)</f>
        <v/>
      </c>
      <c r="AK971" s="54">
        <f>IF(AND(AJ971=1,AH971&lt;&gt;"",COUNTIFS($AH$2:AH971,AH971,$AJ$2:AJ971,1)=1),N(AL970)+1,"")</f>
        <v/>
      </c>
      <c r="AL971" s="54">
        <f>IF(AK971&lt;&gt;"",AK971,N(AL970))</f>
        <v/>
      </c>
    </row>
    <row r="972">
      <c r="A972" t="inlineStr">
        <is>
          <t>PRD-0324</t>
        </is>
      </c>
      <c r="B972" t="inlineStr">
        <is>
          <t>Production</t>
        </is>
      </c>
      <c r="AB972" t="n">
        <v>324</v>
      </c>
      <c r="AD972" s="52">
        <f>IFERROR(N(IFERROR(INDEX($A972:$AB972,MATCH("Xero Invoiced Ex GST",$A$1:$AB$1,0)),"")),0)</f>
        <v/>
      </c>
      <c r="AE972" s="53">
        <f>IFERROR(INDEX($A972:$AB972,MATCH("Xero Invoice Date",$A$1:$AB$1,0)),"")</f>
        <v/>
      </c>
      <c r="AF972" s="54">
        <f>IF(AND(IFERROR(INDEX($A972:$AB972,MATCH("Xero Invoice No",$A$1:$AB$1,0)),"")&amp;""&lt;&gt;"",ISNUMBER(AE972),AD972&lt;&gt;0),1,0)</f>
        <v/>
      </c>
      <c r="AG972" s="55">
        <f>IF(AF972=1,EOMONTH(AE972,0),"")</f>
        <v/>
      </c>
      <c r="AH972" s="9">
        <f>IF(AF972=1,UPPER(TRIM(IFERROR(INDEX($A972:$AB972,MATCH("Client",$A$1:$AB$1,0)),"")&amp;"")),"")</f>
        <v/>
      </c>
      <c r="AI972" s="9">
        <f>IF(AF972=1,IFERROR(INDEX($A972:$AB972,MATCH("Cost Centre",$A$1:$AB$1,0)),"")&amp;"","")</f>
        <v/>
      </c>
      <c r="AJ972" s="54">
        <f>IF(AND(AF972=1,AE972&gt;=set_FYStart,AE972&lt;=set_AsAt),1,0)</f>
        <v/>
      </c>
      <c r="AK972" s="54">
        <f>IF(AND(AJ972=1,AH972&lt;&gt;"",COUNTIFS($AH$2:AH972,AH972,$AJ$2:AJ972,1)=1),N(AL971)+1,"")</f>
        <v/>
      </c>
      <c r="AL972" s="54">
        <f>IF(AK972&lt;&gt;"",AK972,N(AL971))</f>
        <v/>
      </c>
    </row>
    <row r="973">
      <c r="A973" t="inlineStr">
        <is>
          <t>CON-0324</t>
        </is>
      </c>
      <c r="B973" t="inlineStr">
        <is>
          <t>Consulting</t>
        </is>
      </c>
      <c r="AB973" t="n">
        <v>324</v>
      </c>
      <c r="AD973" s="52">
        <f>IFERROR(N(IFERROR(INDEX($A973:$AB973,MATCH("Xero Invoiced Ex GST",$A$1:$AB$1,0)),"")),0)</f>
        <v/>
      </c>
      <c r="AE973" s="53">
        <f>IFERROR(INDEX($A973:$AB973,MATCH("Xero Invoice Date",$A$1:$AB$1,0)),"")</f>
        <v/>
      </c>
      <c r="AF973" s="54">
        <f>IF(AND(IFERROR(INDEX($A973:$AB973,MATCH("Xero Invoice No",$A$1:$AB$1,0)),"")&amp;""&lt;&gt;"",ISNUMBER(AE973),AD973&lt;&gt;0),1,0)</f>
        <v/>
      </c>
      <c r="AG973" s="55">
        <f>IF(AF973=1,EOMONTH(AE973,0),"")</f>
        <v/>
      </c>
      <c r="AH973" s="9">
        <f>IF(AF973=1,UPPER(TRIM(IFERROR(INDEX($A973:$AB973,MATCH("Client",$A$1:$AB$1,0)),"")&amp;"")),"")</f>
        <v/>
      </c>
      <c r="AI973" s="9">
        <f>IF(AF973=1,IFERROR(INDEX($A973:$AB973,MATCH("Cost Centre",$A$1:$AB$1,0)),"")&amp;"","")</f>
        <v/>
      </c>
      <c r="AJ973" s="54">
        <f>IF(AND(AF973=1,AE973&gt;=set_FYStart,AE973&lt;=set_AsAt),1,0)</f>
        <v/>
      </c>
      <c r="AK973" s="54">
        <f>IF(AND(AJ973=1,AH973&lt;&gt;"",COUNTIFS($AH$2:AH973,AH973,$AJ$2:AJ973,1)=1),N(AL972)+1,"")</f>
        <v/>
      </c>
      <c r="AL973" s="54">
        <f>IF(AK973&lt;&gt;"",AK973,N(AL972))</f>
        <v/>
      </c>
    </row>
    <row r="974">
      <c r="A974" t="inlineStr">
        <is>
          <t>ONS-0325</t>
        </is>
      </c>
      <c r="B974" t="inlineStr">
        <is>
          <t>Onsite</t>
        </is>
      </c>
      <c r="AB974" t="n">
        <v>325</v>
      </c>
      <c r="AD974" s="52">
        <f>IFERROR(N(IFERROR(INDEX($A974:$AB974,MATCH("Xero Invoiced Ex GST",$A$1:$AB$1,0)),"")),0)</f>
        <v/>
      </c>
      <c r="AE974" s="53">
        <f>IFERROR(INDEX($A974:$AB974,MATCH("Xero Invoice Date",$A$1:$AB$1,0)),"")</f>
        <v/>
      </c>
      <c r="AF974" s="54">
        <f>IF(AND(IFERROR(INDEX($A974:$AB974,MATCH("Xero Invoice No",$A$1:$AB$1,0)),"")&amp;""&lt;&gt;"",ISNUMBER(AE974),AD974&lt;&gt;0),1,0)</f>
        <v/>
      </c>
      <c r="AG974" s="55">
        <f>IF(AF974=1,EOMONTH(AE974,0),"")</f>
        <v/>
      </c>
      <c r="AH974" s="9">
        <f>IF(AF974=1,UPPER(TRIM(IFERROR(INDEX($A974:$AB974,MATCH("Client",$A$1:$AB$1,0)),"")&amp;"")),"")</f>
        <v/>
      </c>
      <c r="AI974" s="9">
        <f>IF(AF974=1,IFERROR(INDEX($A974:$AB974,MATCH("Cost Centre",$A$1:$AB$1,0)),"")&amp;"","")</f>
        <v/>
      </c>
      <c r="AJ974" s="54">
        <f>IF(AND(AF974=1,AE974&gt;=set_FYStart,AE974&lt;=set_AsAt),1,0)</f>
        <v/>
      </c>
      <c r="AK974" s="54">
        <f>IF(AND(AJ974=1,AH974&lt;&gt;"",COUNTIFS($AH$2:AH974,AH974,$AJ$2:AJ974,1)=1),N(AL973)+1,"")</f>
        <v/>
      </c>
      <c r="AL974" s="54">
        <f>IF(AK974&lt;&gt;"",AK974,N(AL973))</f>
        <v/>
      </c>
    </row>
    <row r="975">
      <c r="A975" t="inlineStr">
        <is>
          <t>PRD-0325</t>
        </is>
      </c>
      <c r="B975" t="inlineStr">
        <is>
          <t>Production</t>
        </is>
      </c>
      <c r="AB975" t="n">
        <v>325</v>
      </c>
      <c r="AD975" s="52">
        <f>IFERROR(N(IFERROR(INDEX($A975:$AB975,MATCH("Xero Invoiced Ex GST",$A$1:$AB$1,0)),"")),0)</f>
        <v/>
      </c>
      <c r="AE975" s="53">
        <f>IFERROR(INDEX($A975:$AB975,MATCH("Xero Invoice Date",$A$1:$AB$1,0)),"")</f>
        <v/>
      </c>
      <c r="AF975" s="54">
        <f>IF(AND(IFERROR(INDEX($A975:$AB975,MATCH("Xero Invoice No",$A$1:$AB$1,0)),"")&amp;""&lt;&gt;"",ISNUMBER(AE975),AD975&lt;&gt;0),1,0)</f>
        <v/>
      </c>
      <c r="AG975" s="55">
        <f>IF(AF975=1,EOMONTH(AE975,0),"")</f>
        <v/>
      </c>
      <c r="AH975" s="9">
        <f>IF(AF975=1,UPPER(TRIM(IFERROR(INDEX($A975:$AB975,MATCH("Client",$A$1:$AB$1,0)),"")&amp;"")),"")</f>
        <v/>
      </c>
      <c r="AI975" s="9">
        <f>IF(AF975=1,IFERROR(INDEX($A975:$AB975,MATCH("Cost Centre",$A$1:$AB$1,0)),"")&amp;"","")</f>
        <v/>
      </c>
      <c r="AJ975" s="54">
        <f>IF(AND(AF975=1,AE975&gt;=set_FYStart,AE975&lt;=set_AsAt),1,0)</f>
        <v/>
      </c>
      <c r="AK975" s="54">
        <f>IF(AND(AJ975=1,AH975&lt;&gt;"",COUNTIFS($AH$2:AH975,AH975,$AJ$2:AJ975,1)=1),N(AL974)+1,"")</f>
        <v/>
      </c>
      <c r="AL975" s="54">
        <f>IF(AK975&lt;&gt;"",AK975,N(AL974))</f>
        <v/>
      </c>
    </row>
    <row r="976">
      <c r="A976" t="inlineStr">
        <is>
          <t>CON-0325</t>
        </is>
      </c>
      <c r="B976" t="inlineStr">
        <is>
          <t>Consulting</t>
        </is>
      </c>
      <c r="AB976" t="n">
        <v>325</v>
      </c>
      <c r="AD976" s="52">
        <f>IFERROR(N(IFERROR(INDEX($A976:$AB976,MATCH("Xero Invoiced Ex GST",$A$1:$AB$1,0)),"")),0)</f>
        <v/>
      </c>
      <c r="AE976" s="53">
        <f>IFERROR(INDEX($A976:$AB976,MATCH("Xero Invoice Date",$A$1:$AB$1,0)),"")</f>
        <v/>
      </c>
      <c r="AF976" s="54">
        <f>IF(AND(IFERROR(INDEX($A976:$AB976,MATCH("Xero Invoice No",$A$1:$AB$1,0)),"")&amp;""&lt;&gt;"",ISNUMBER(AE976),AD976&lt;&gt;0),1,0)</f>
        <v/>
      </c>
      <c r="AG976" s="55">
        <f>IF(AF976=1,EOMONTH(AE976,0),"")</f>
        <v/>
      </c>
      <c r="AH976" s="9">
        <f>IF(AF976=1,UPPER(TRIM(IFERROR(INDEX($A976:$AB976,MATCH("Client",$A$1:$AB$1,0)),"")&amp;"")),"")</f>
        <v/>
      </c>
      <c r="AI976" s="9">
        <f>IF(AF976=1,IFERROR(INDEX($A976:$AB976,MATCH("Cost Centre",$A$1:$AB$1,0)),"")&amp;"","")</f>
        <v/>
      </c>
      <c r="AJ976" s="54">
        <f>IF(AND(AF976=1,AE976&gt;=set_FYStart,AE976&lt;=set_AsAt),1,0)</f>
        <v/>
      </c>
      <c r="AK976" s="54">
        <f>IF(AND(AJ976=1,AH976&lt;&gt;"",COUNTIFS($AH$2:AH976,AH976,$AJ$2:AJ976,1)=1),N(AL975)+1,"")</f>
        <v/>
      </c>
      <c r="AL976" s="54">
        <f>IF(AK976&lt;&gt;"",AK976,N(AL975))</f>
        <v/>
      </c>
    </row>
    <row r="977">
      <c r="A977" t="inlineStr">
        <is>
          <t>ONS-0326</t>
        </is>
      </c>
      <c r="B977" t="inlineStr">
        <is>
          <t>Onsite</t>
        </is>
      </c>
      <c r="AB977" t="n">
        <v>326</v>
      </c>
      <c r="AD977" s="52">
        <f>IFERROR(N(IFERROR(INDEX($A977:$AB977,MATCH("Xero Invoiced Ex GST",$A$1:$AB$1,0)),"")),0)</f>
        <v/>
      </c>
      <c r="AE977" s="53">
        <f>IFERROR(INDEX($A977:$AB977,MATCH("Xero Invoice Date",$A$1:$AB$1,0)),"")</f>
        <v/>
      </c>
      <c r="AF977" s="54">
        <f>IF(AND(IFERROR(INDEX($A977:$AB977,MATCH("Xero Invoice No",$A$1:$AB$1,0)),"")&amp;""&lt;&gt;"",ISNUMBER(AE977),AD977&lt;&gt;0),1,0)</f>
        <v/>
      </c>
      <c r="AG977" s="55">
        <f>IF(AF977=1,EOMONTH(AE977,0),"")</f>
        <v/>
      </c>
      <c r="AH977" s="9">
        <f>IF(AF977=1,UPPER(TRIM(IFERROR(INDEX($A977:$AB977,MATCH("Client",$A$1:$AB$1,0)),"")&amp;"")),"")</f>
        <v/>
      </c>
      <c r="AI977" s="9">
        <f>IF(AF977=1,IFERROR(INDEX($A977:$AB977,MATCH("Cost Centre",$A$1:$AB$1,0)),"")&amp;"","")</f>
        <v/>
      </c>
      <c r="AJ977" s="54">
        <f>IF(AND(AF977=1,AE977&gt;=set_FYStart,AE977&lt;=set_AsAt),1,0)</f>
        <v/>
      </c>
      <c r="AK977" s="54">
        <f>IF(AND(AJ977=1,AH977&lt;&gt;"",COUNTIFS($AH$2:AH977,AH977,$AJ$2:AJ977,1)=1),N(AL976)+1,"")</f>
        <v/>
      </c>
      <c r="AL977" s="54">
        <f>IF(AK977&lt;&gt;"",AK977,N(AL976))</f>
        <v/>
      </c>
    </row>
    <row r="978">
      <c r="A978" t="inlineStr">
        <is>
          <t>PRD-0326</t>
        </is>
      </c>
      <c r="B978" t="inlineStr">
        <is>
          <t>Production</t>
        </is>
      </c>
      <c r="AB978" t="n">
        <v>326</v>
      </c>
      <c r="AD978" s="52">
        <f>IFERROR(N(IFERROR(INDEX($A978:$AB978,MATCH("Xero Invoiced Ex GST",$A$1:$AB$1,0)),"")),0)</f>
        <v/>
      </c>
      <c r="AE978" s="53">
        <f>IFERROR(INDEX($A978:$AB978,MATCH("Xero Invoice Date",$A$1:$AB$1,0)),"")</f>
        <v/>
      </c>
      <c r="AF978" s="54">
        <f>IF(AND(IFERROR(INDEX($A978:$AB978,MATCH("Xero Invoice No",$A$1:$AB$1,0)),"")&amp;""&lt;&gt;"",ISNUMBER(AE978),AD978&lt;&gt;0),1,0)</f>
        <v/>
      </c>
      <c r="AG978" s="55">
        <f>IF(AF978=1,EOMONTH(AE978,0),"")</f>
        <v/>
      </c>
      <c r="AH978" s="9">
        <f>IF(AF978=1,UPPER(TRIM(IFERROR(INDEX($A978:$AB978,MATCH("Client",$A$1:$AB$1,0)),"")&amp;"")),"")</f>
        <v/>
      </c>
      <c r="AI978" s="9">
        <f>IF(AF978=1,IFERROR(INDEX($A978:$AB978,MATCH("Cost Centre",$A$1:$AB$1,0)),"")&amp;"","")</f>
        <v/>
      </c>
      <c r="AJ978" s="54">
        <f>IF(AND(AF978=1,AE978&gt;=set_FYStart,AE978&lt;=set_AsAt),1,0)</f>
        <v/>
      </c>
      <c r="AK978" s="54">
        <f>IF(AND(AJ978=1,AH978&lt;&gt;"",COUNTIFS($AH$2:AH978,AH978,$AJ$2:AJ978,1)=1),N(AL977)+1,"")</f>
        <v/>
      </c>
      <c r="AL978" s="54">
        <f>IF(AK978&lt;&gt;"",AK978,N(AL977))</f>
        <v/>
      </c>
    </row>
    <row r="979">
      <c r="A979" t="inlineStr">
        <is>
          <t>CON-0326</t>
        </is>
      </c>
      <c r="B979" t="inlineStr">
        <is>
          <t>Consulting</t>
        </is>
      </c>
      <c r="AB979" t="n">
        <v>326</v>
      </c>
      <c r="AD979" s="52">
        <f>IFERROR(N(IFERROR(INDEX($A979:$AB979,MATCH("Xero Invoiced Ex GST",$A$1:$AB$1,0)),"")),0)</f>
        <v/>
      </c>
      <c r="AE979" s="53">
        <f>IFERROR(INDEX($A979:$AB979,MATCH("Xero Invoice Date",$A$1:$AB$1,0)),"")</f>
        <v/>
      </c>
      <c r="AF979" s="54">
        <f>IF(AND(IFERROR(INDEX($A979:$AB979,MATCH("Xero Invoice No",$A$1:$AB$1,0)),"")&amp;""&lt;&gt;"",ISNUMBER(AE979),AD979&lt;&gt;0),1,0)</f>
        <v/>
      </c>
      <c r="AG979" s="55">
        <f>IF(AF979=1,EOMONTH(AE979,0),"")</f>
        <v/>
      </c>
      <c r="AH979" s="9">
        <f>IF(AF979=1,UPPER(TRIM(IFERROR(INDEX($A979:$AB979,MATCH("Client",$A$1:$AB$1,0)),"")&amp;"")),"")</f>
        <v/>
      </c>
      <c r="AI979" s="9">
        <f>IF(AF979=1,IFERROR(INDEX($A979:$AB979,MATCH("Cost Centre",$A$1:$AB$1,0)),"")&amp;"","")</f>
        <v/>
      </c>
      <c r="AJ979" s="54">
        <f>IF(AND(AF979=1,AE979&gt;=set_FYStart,AE979&lt;=set_AsAt),1,0)</f>
        <v/>
      </c>
      <c r="AK979" s="54">
        <f>IF(AND(AJ979=1,AH979&lt;&gt;"",COUNTIFS($AH$2:AH979,AH979,$AJ$2:AJ979,1)=1),N(AL978)+1,"")</f>
        <v/>
      </c>
      <c r="AL979" s="54">
        <f>IF(AK979&lt;&gt;"",AK979,N(AL978))</f>
        <v/>
      </c>
    </row>
    <row r="980">
      <c r="A980" t="inlineStr">
        <is>
          <t>ONS-0327</t>
        </is>
      </c>
      <c r="B980" t="inlineStr">
        <is>
          <t>Onsite</t>
        </is>
      </c>
      <c r="AB980" t="n">
        <v>327</v>
      </c>
      <c r="AD980" s="52">
        <f>IFERROR(N(IFERROR(INDEX($A980:$AB980,MATCH("Xero Invoiced Ex GST",$A$1:$AB$1,0)),"")),0)</f>
        <v/>
      </c>
      <c r="AE980" s="53">
        <f>IFERROR(INDEX($A980:$AB980,MATCH("Xero Invoice Date",$A$1:$AB$1,0)),"")</f>
        <v/>
      </c>
      <c r="AF980" s="54">
        <f>IF(AND(IFERROR(INDEX($A980:$AB980,MATCH("Xero Invoice No",$A$1:$AB$1,0)),"")&amp;""&lt;&gt;"",ISNUMBER(AE980),AD980&lt;&gt;0),1,0)</f>
        <v/>
      </c>
      <c r="AG980" s="55">
        <f>IF(AF980=1,EOMONTH(AE980,0),"")</f>
        <v/>
      </c>
      <c r="AH980" s="9">
        <f>IF(AF980=1,UPPER(TRIM(IFERROR(INDEX($A980:$AB980,MATCH("Client",$A$1:$AB$1,0)),"")&amp;"")),"")</f>
        <v/>
      </c>
      <c r="AI980" s="9">
        <f>IF(AF980=1,IFERROR(INDEX($A980:$AB980,MATCH("Cost Centre",$A$1:$AB$1,0)),"")&amp;"","")</f>
        <v/>
      </c>
      <c r="AJ980" s="54">
        <f>IF(AND(AF980=1,AE980&gt;=set_FYStart,AE980&lt;=set_AsAt),1,0)</f>
        <v/>
      </c>
      <c r="AK980" s="54">
        <f>IF(AND(AJ980=1,AH980&lt;&gt;"",COUNTIFS($AH$2:AH980,AH980,$AJ$2:AJ980,1)=1),N(AL979)+1,"")</f>
        <v/>
      </c>
      <c r="AL980" s="54">
        <f>IF(AK980&lt;&gt;"",AK980,N(AL979))</f>
        <v/>
      </c>
    </row>
    <row r="981">
      <c r="A981" t="inlineStr">
        <is>
          <t>PRD-0327</t>
        </is>
      </c>
      <c r="B981" t="inlineStr">
        <is>
          <t>Production</t>
        </is>
      </c>
      <c r="AB981" t="n">
        <v>327</v>
      </c>
      <c r="AD981" s="52">
        <f>IFERROR(N(IFERROR(INDEX($A981:$AB981,MATCH("Xero Invoiced Ex GST",$A$1:$AB$1,0)),"")),0)</f>
        <v/>
      </c>
      <c r="AE981" s="53">
        <f>IFERROR(INDEX($A981:$AB981,MATCH("Xero Invoice Date",$A$1:$AB$1,0)),"")</f>
        <v/>
      </c>
      <c r="AF981" s="54">
        <f>IF(AND(IFERROR(INDEX($A981:$AB981,MATCH("Xero Invoice No",$A$1:$AB$1,0)),"")&amp;""&lt;&gt;"",ISNUMBER(AE981),AD981&lt;&gt;0),1,0)</f>
        <v/>
      </c>
      <c r="AG981" s="55">
        <f>IF(AF981=1,EOMONTH(AE981,0),"")</f>
        <v/>
      </c>
      <c r="AH981" s="9">
        <f>IF(AF981=1,UPPER(TRIM(IFERROR(INDEX($A981:$AB981,MATCH("Client",$A$1:$AB$1,0)),"")&amp;"")),"")</f>
        <v/>
      </c>
      <c r="AI981" s="9">
        <f>IF(AF981=1,IFERROR(INDEX($A981:$AB981,MATCH("Cost Centre",$A$1:$AB$1,0)),"")&amp;"","")</f>
        <v/>
      </c>
      <c r="AJ981" s="54">
        <f>IF(AND(AF981=1,AE981&gt;=set_FYStart,AE981&lt;=set_AsAt),1,0)</f>
        <v/>
      </c>
      <c r="AK981" s="54">
        <f>IF(AND(AJ981=1,AH981&lt;&gt;"",COUNTIFS($AH$2:AH981,AH981,$AJ$2:AJ981,1)=1),N(AL980)+1,"")</f>
        <v/>
      </c>
      <c r="AL981" s="54">
        <f>IF(AK981&lt;&gt;"",AK981,N(AL980))</f>
        <v/>
      </c>
    </row>
    <row r="982">
      <c r="A982" t="inlineStr">
        <is>
          <t>CON-0327</t>
        </is>
      </c>
      <c r="B982" t="inlineStr">
        <is>
          <t>Consulting</t>
        </is>
      </c>
      <c r="AB982" t="n">
        <v>327</v>
      </c>
      <c r="AD982" s="52">
        <f>IFERROR(N(IFERROR(INDEX($A982:$AB982,MATCH("Xero Invoiced Ex GST",$A$1:$AB$1,0)),"")),0)</f>
        <v/>
      </c>
      <c r="AE982" s="53">
        <f>IFERROR(INDEX($A982:$AB982,MATCH("Xero Invoice Date",$A$1:$AB$1,0)),"")</f>
        <v/>
      </c>
      <c r="AF982" s="54">
        <f>IF(AND(IFERROR(INDEX($A982:$AB982,MATCH("Xero Invoice No",$A$1:$AB$1,0)),"")&amp;""&lt;&gt;"",ISNUMBER(AE982),AD982&lt;&gt;0),1,0)</f>
        <v/>
      </c>
      <c r="AG982" s="55">
        <f>IF(AF982=1,EOMONTH(AE982,0),"")</f>
        <v/>
      </c>
      <c r="AH982" s="9">
        <f>IF(AF982=1,UPPER(TRIM(IFERROR(INDEX($A982:$AB982,MATCH("Client",$A$1:$AB$1,0)),"")&amp;"")),"")</f>
        <v/>
      </c>
      <c r="AI982" s="9">
        <f>IF(AF982=1,IFERROR(INDEX($A982:$AB982,MATCH("Cost Centre",$A$1:$AB$1,0)),"")&amp;"","")</f>
        <v/>
      </c>
      <c r="AJ982" s="54">
        <f>IF(AND(AF982=1,AE982&gt;=set_FYStart,AE982&lt;=set_AsAt),1,0)</f>
        <v/>
      </c>
      <c r="AK982" s="54">
        <f>IF(AND(AJ982=1,AH982&lt;&gt;"",COUNTIFS($AH$2:AH982,AH982,$AJ$2:AJ982,1)=1),N(AL981)+1,"")</f>
        <v/>
      </c>
      <c r="AL982" s="54">
        <f>IF(AK982&lt;&gt;"",AK982,N(AL981))</f>
        <v/>
      </c>
    </row>
    <row r="983">
      <c r="A983" t="inlineStr">
        <is>
          <t>ONS-0328</t>
        </is>
      </c>
      <c r="B983" t="inlineStr">
        <is>
          <t>Onsite</t>
        </is>
      </c>
      <c r="AB983" t="n">
        <v>328</v>
      </c>
      <c r="AD983" s="52">
        <f>IFERROR(N(IFERROR(INDEX($A983:$AB983,MATCH("Xero Invoiced Ex GST",$A$1:$AB$1,0)),"")),0)</f>
        <v/>
      </c>
      <c r="AE983" s="53">
        <f>IFERROR(INDEX($A983:$AB983,MATCH("Xero Invoice Date",$A$1:$AB$1,0)),"")</f>
        <v/>
      </c>
      <c r="AF983" s="54">
        <f>IF(AND(IFERROR(INDEX($A983:$AB983,MATCH("Xero Invoice No",$A$1:$AB$1,0)),"")&amp;""&lt;&gt;"",ISNUMBER(AE983),AD983&lt;&gt;0),1,0)</f>
        <v/>
      </c>
      <c r="AG983" s="55">
        <f>IF(AF983=1,EOMONTH(AE983,0),"")</f>
        <v/>
      </c>
      <c r="AH983" s="9">
        <f>IF(AF983=1,UPPER(TRIM(IFERROR(INDEX($A983:$AB983,MATCH("Client",$A$1:$AB$1,0)),"")&amp;"")),"")</f>
        <v/>
      </c>
      <c r="AI983" s="9">
        <f>IF(AF983=1,IFERROR(INDEX($A983:$AB983,MATCH("Cost Centre",$A$1:$AB$1,0)),"")&amp;"","")</f>
        <v/>
      </c>
      <c r="AJ983" s="54">
        <f>IF(AND(AF983=1,AE983&gt;=set_FYStart,AE983&lt;=set_AsAt),1,0)</f>
        <v/>
      </c>
      <c r="AK983" s="54">
        <f>IF(AND(AJ983=1,AH983&lt;&gt;"",COUNTIFS($AH$2:AH983,AH983,$AJ$2:AJ983,1)=1),N(AL982)+1,"")</f>
        <v/>
      </c>
      <c r="AL983" s="54">
        <f>IF(AK983&lt;&gt;"",AK983,N(AL982))</f>
        <v/>
      </c>
    </row>
    <row r="984">
      <c r="A984" t="inlineStr">
        <is>
          <t>PRD-0328</t>
        </is>
      </c>
      <c r="B984" t="inlineStr">
        <is>
          <t>Production</t>
        </is>
      </c>
      <c r="AB984" t="n">
        <v>328</v>
      </c>
      <c r="AD984" s="52">
        <f>IFERROR(N(IFERROR(INDEX($A984:$AB984,MATCH("Xero Invoiced Ex GST",$A$1:$AB$1,0)),"")),0)</f>
        <v/>
      </c>
      <c r="AE984" s="53">
        <f>IFERROR(INDEX($A984:$AB984,MATCH("Xero Invoice Date",$A$1:$AB$1,0)),"")</f>
        <v/>
      </c>
      <c r="AF984" s="54">
        <f>IF(AND(IFERROR(INDEX($A984:$AB984,MATCH("Xero Invoice No",$A$1:$AB$1,0)),"")&amp;""&lt;&gt;"",ISNUMBER(AE984),AD984&lt;&gt;0),1,0)</f>
        <v/>
      </c>
      <c r="AG984" s="55">
        <f>IF(AF984=1,EOMONTH(AE984,0),"")</f>
        <v/>
      </c>
      <c r="AH984" s="9">
        <f>IF(AF984=1,UPPER(TRIM(IFERROR(INDEX($A984:$AB984,MATCH("Client",$A$1:$AB$1,0)),"")&amp;"")),"")</f>
        <v/>
      </c>
      <c r="AI984" s="9">
        <f>IF(AF984=1,IFERROR(INDEX($A984:$AB984,MATCH("Cost Centre",$A$1:$AB$1,0)),"")&amp;"","")</f>
        <v/>
      </c>
      <c r="AJ984" s="54">
        <f>IF(AND(AF984=1,AE984&gt;=set_FYStart,AE984&lt;=set_AsAt),1,0)</f>
        <v/>
      </c>
      <c r="AK984" s="54">
        <f>IF(AND(AJ984=1,AH984&lt;&gt;"",COUNTIFS($AH$2:AH984,AH984,$AJ$2:AJ984,1)=1),N(AL983)+1,"")</f>
        <v/>
      </c>
      <c r="AL984" s="54">
        <f>IF(AK984&lt;&gt;"",AK984,N(AL983))</f>
        <v/>
      </c>
    </row>
    <row r="985">
      <c r="A985" t="inlineStr">
        <is>
          <t>CON-0328</t>
        </is>
      </c>
      <c r="B985" t="inlineStr">
        <is>
          <t>Consulting</t>
        </is>
      </c>
      <c r="AB985" t="n">
        <v>328</v>
      </c>
      <c r="AD985" s="52">
        <f>IFERROR(N(IFERROR(INDEX($A985:$AB985,MATCH("Xero Invoiced Ex GST",$A$1:$AB$1,0)),"")),0)</f>
        <v/>
      </c>
      <c r="AE985" s="53">
        <f>IFERROR(INDEX($A985:$AB985,MATCH("Xero Invoice Date",$A$1:$AB$1,0)),"")</f>
        <v/>
      </c>
      <c r="AF985" s="54">
        <f>IF(AND(IFERROR(INDEX($A985:$AB985,MATCH("Xero Invoice No",$A$1:$AB$1,0)),"")&amp;""&lt;&gt;"",ISNUMBER(AE985),AD985&lt;&gt;0),1,0)</f>
        <v/>
      </c>
      <c r="AG985" s="55">
        <f>IF(AF985=1,EOMONTH(AE985,0),"")</f>
        <v/>
      </c>
      <c r="AH985" s="9">
        <f>IF(AF985=1,UPPER(TRIM(IFERROR(INDEX($A985:$AB985,MATCH("Client",$A$1:$AB$1,0)),"")&amp;"")),"")</f>
        <v/>
      </c>
      <c r="AI985" s="9">
        <f>IF(AF985=1,IFERROR(INDEX($A985:$AB985,MATCH("Cost Centre",$A$1:$AB$1,0)),"")&amp;"","")</f>
        <v/>
      </c>
      <c r="AJ985" s="54">
        <f>IF(AND(AF985=1,AE985&gt;=set_FYStart,AE985&lt;=set_AsAt),1,0)</f>
        <v/>
      </c>
      <c r="AK985" s="54">
        <f>IF(AND(AJ985=1,AH985&lt;&gt;"",COUNTIFS($AH$2:AH985,AH985,$AJ$2:AJ985,1)=1),N(AL984)+1,"")</f>
        <v/>
      </c>
      <c r="AL985" s="54">
        <f>IF(AK985&lt;&gt;"",AK985,N(AL984))</f>
        <v/>
      </c>
    </row>
    <row r="986">
      <c r="A986" t="inlineStr">
        <is>
          <t>ONS-0329</t>
        </is>
      </c>
      <c r="B986" t="inlineStr">
        <is>
          <t>Onsite</t>
        </is>
      </c>
      <c r="AB986" t="n">
        <v>329</v>
      </c>
      <c r="AD986" s="52">
        <f>IFERROR(N(IFERROR(INDEX($A986:$AB986,MATCH("Xero Invoiced Ex GST",$A$1:$AB$1,0)),"")),0)</f>
        <v/>
      </c>
      <c r="AE986" s="53">
        <f>IFERROR(INDEX($A986:$AB986,MATCH("Xero Invoice Date",$A$1:$AB$1,0)),"")</f>
        <v/>
      </c>
      <c r="AF986" s="54">
        <f>IF(AND(IFERROR(INDEX($A986:$AB986,MATCH("Xero Invoice No",$A$1:$AB$1,0)),"")&amp;""&lt;&gt;"",ISNUMBER(AE986),AD986&lt;&gt;0),1,0)</f>
        <v/>
      </c>
      <c r="AG986" s="55">
        <f>IF(AF986=1,EOMONTH(AE986,0),"")</f>
        <v/>
      </c>
      <c r="AH986" s="9">
        <f>IF(AF986=1,UPPER(TRIM(IFERROR(INDEX($A986:$AB986,MATCH("Client",$A$1:$AB$1,0)),"")&amp;"")),"")</f>
        <v/>
      </c>
      <c r="AI986" s="9">
        <f>IF(AF986=1,IFERROR(INDEX($A986:$AB986,MATCH("Cost Centre",$A$1:$AB$1,0)),"")&amp;"","")</f>
        <v/>
      </c>
      <c r="AJ986" s="54">
        <f>IF(AND(AF986=1,AE986&gt;=set_FYStart,AE986&lt;=set_AsAt),1,0)</f>
        <v/>
      </c>
      <c r="AK986" s="54">
        <f>IF(AND(AJ986=1,AH986&lt;&gt;"",COUNTIFS($AH$2:AH986,AH986,$AJ$2:AJ986,1)=1),N(AL985)+1,"")</f>
        <v/>
      </c>
      <c r="AL986" s="54">
        <f>IF(AK986&lt;&gt;"",AK986,N(AL985))</f>
        <v/>
      </c>
    </row>
    <row r="987">
      <c r="A987" t="inlineStr">
        <is>
          <t>PRD-0329</t>
        </is>
      </c>
      <c r="B987" t="inlineStr">
        <is>
          <t>Production</t>
        </is>
      </c>
      <c r="AB987" t="n">
        <v>329</v>
      </c>
      <c r="AD987" s="52">
        <f>IFERROR(N(IFERROR(INDEX($A987:$AB987,MATCH("Xero Invoiced Ex GST",$A$1:$AB$1,0)),"")),0)</f>
        <v/>
      </c>
      <c r="AE987" s="53">
        <f>IFERROR(INDEX($A987:$AB987,MATCH("Xero Invoice Date",$A$1:$AB$1,0)),"")</f>
        <v/>
      </c>
      <c r="AF987" s="54">
        <f>IF(AND(IFERROR(INDEX($A987:$AB987,MATCH("Xero Invoice No",$A$1:$AB$1,0)),"")&amp;""&lt;&gt;"",ISNUMBER(AE987),AD987&lt;&gt;0),1,0)</f>
        <v/>
      </c>
      <c r="AG987" s="55">
        <f>IF(AF987=1,EOMONTH(AE987,0),"")</f>
        <v/>
      </c>
      <c r="AH987" s="9">
        <f>IF(AF987=1,UPPER(TRIM(IFERROR(INDEX($A987:$AB987,MATCH("Client",$A$1:$AB$1,0)),"")&amp;"")),"")</f>
        <v/>
      </c>
      <c r="AI987" s="9">
        <f>IF(AF987=1,IFERROR(INDEX($A987:$AB987,MATCH("Cost Centre",$A$1:$AB$1,0)),"")&amp;"","")</f>
        <v/>
      </c>
      <c r="AJ987" s="54">
        <f>IF(AND(AF987=1,AE987&gt;=set_FYStart,AE987&lt;=set_AsAt),1,0)</f>
        <v/>
      </c>
      <c r="AK987" s="54">
        <f>IF(AND(AJ987=1,AH987&lt;&gt;"",COUNTIFS($AH$2:AH987,AH987,$AJ$2:AJ987,1)=1),N(AL986)+1,"")</f>
        <v/>
      </c>
      <c r="AL987" s="54">
        <f>IF(AK987&lt;&gt;"",AK987,N(AL986))</f>
        <v/>
      </c>
    </row>
    <row r="988">
      <c r="A988" t="inlineStr">
        <is>
          <t>CON-0329</t>
        </is>
      </c>
      <c r="B988" t="inlineStr">
        <is>
          <t>Consulting</t>
        </is>
      </c>
      <c r="AB988" t="n">
        <v>329</v>
      </c>
      <c r="AD988" s="52">
        <f>IFERROR(N(IFERROR(INDEX($A988:$AB988,MATCH("Xero Invoiced Ex GST",$A$1:$AB$1,0)),"")),0)</f>
        <v/>
      </c>
      <c r="AE988" s="53">
        <f>IFERROR(INDEX($A988:$AB988,MATCH("Xero Invoice Date",$A$1:$AB$1,0)),"")</f>
        <v/>
      </c>
      <c r="AF988" s="54">
        <f>IF(AND(IFERROR(INDEX($A988:$AB988,MATCH("Xero Invoice No",$A$1:$AB$1,0)),"")&amp;""&lt;&gt;"",ISNUMBER(AE988),AD988&lt;&gt;0),1,0)</f>
        <v/>
      </c>
      <c r="AG988" s="55">
        <f>IF(AF988=1,EOMONTH(AE988,0),"")</f>
        <v/>
      </c>
      <c r="AH988" s="9">
        <f>IF(AF988=1,UPPER(TRIM(IFERROR(INDEX($A988:$AB988,MATCH("Client",$A$1:$AB$1,0)),"")&amp;"")),"")</f>
        <v/>
      </c>
      <c r="AI988" s="9">
        <f>IF(AF988=1,IFERROR(INDEX($A988:$AB988,MATCH("Cost Centre",$A$1:$AB$1,0)),"")&amp;"","")</f>
        <v/>
      </c>
      <c r="AJ988" s="54">
        <f>IF(AND(AF988=1,AE988&gt;=set_FYStart,AE988&lt;=set_AsAt),1,0)</f>
        <v/>
      </c>
      <c r="AK988" s="54">
        <f>IF(AND(AJ988=1,AH988&lt;&gt;"",COUNTIFS($AH$2:AH988,AH988,$AJ$2:AJ988,1)=1),N(AL987)+1,"")</f>
        <v/>
      </c>
      <c r="AL988" s="54">
        <f>IF(AK988&lt;&gt;"",AK988,N(AL987))</f>
        <v/>
      </c>
    </row>
    <row r="989">
      <c r="A989" t="inlineStr">
        <is>
          <t>ONS-0330</t>
        </is>
      </c>
      <c r="B989" t="inlineStr">
        <is>
          <t>Onsite</t>
        </is>
      </c>
      <c r="AB989" t="n">
        <v>330</v>
      </c>
      <c r="AD989" s="52">
        <f>IFERROR(N(IFERROR(INDEX($A989:$AB989,MATCH("Xero Invoiced Ex GST",$A$1:$AB$1,0)),"")),0)</f>
        <v/>
      </c>
      <c r="AE989" s="53">
        <f>IFERROR(INDEX($A989:$AB989,MATCH("Xero Invoice Date",$A$1:$AB$1,0)),"")</f>
        <v/>
      </c>
      <c r="AF989" s="54">
        <f>IF(AND(IFERROR(INDEX($A989:$AB989,MATCH("Xero Invoice No",$A$1:$AB$1,0)),"")&amp;""&lt;&gt;"",ISNUMBER(AE989),AD989&lt;&gt;0),1,0)</f>
        <v/>
      </c>
      <c r="AG989" s="55">
        <f>IF(AF989=1,EOMONTH(AE989,0),"")</f>
        <v/>
      </c>
      <c r="AH989" s="9">
        <f>IF(AF989=1,UPPER(TRIM(IFERROR(INDEX($A989:$AB989,MATCH("Client",$A$1:$AB$1,0)),"")&amp;"")),"")</f>
        <v/>
      </c>
      <c r="AI989" s="9">
        <f>IF(AF989=1,IFERROR(INDEX($A989:$AB989,MATCH("Cost Centre",$A$1:$AB$1,0)),"")&amp;"","")</f>
        <v/>
      </c>
      <c r="AJ989" s="54">
        <f>IF(AND(AF989=1,AE989&gt;=set_FYStart,AE989&lt;=set_AsAt),1,0)</f>
        <v/>
      </c>
      <c r="AK989" s="54">
        <f>IF(AND(AJ989=1,AH989&lt;&gt;"",COUNTIFS($AH$2:AH989,AH989,$AJ$2:AJ989,1)=1),N(AL988)+1,"")</f>
        <v/>
      </c>
      <c r="AL989" s="54">
        <f>IF(AK989&lt;&gt;"",AK989,N(AL988))</f>
        <v/>
      </c>
    </row>
    <row r="990">
      <c r="A990" t="inlineStr">
        <is>
          <t>PRD-0330</t>
        </is>
      </c>
      <c r="B990" t="inlineStr">
        <is>
          <t>Production</t>
        </is>
      </c>
      <c r="AB990" t="n">
        <v>330</v>
      </c>
      <c r="AD990" s="52">
        <f>IFERROR(N(IFERROR(INDEX($A990:$AB990,MATCH("Xero Invoiced Ex GST",$A$1:$AB$1,0)),"")),0)</f>
        <v/>
      </c>
      <c r="AE990" s="53">
        <f>IFERROR(INDEX($A990:$AB990,MATCH("Xero Invoice Date",$A$1:$AB$1,0)),"")</f>
        <v/>
      </c>
      <c r="AF990" s="54">
        <f>IF(AND(IFERROR(INDEX($A990:$AB990,MATCH("Xero Invoice No",$A$1:$AB$1,0)),"")&amp;""&lt;&gt;"",ISNUMBER(AE990),AD990&lt;&gt;0),1,0)</f>
        <v/>
      </c>
      <c r="AG990" s="55">
        <f>IF(AF990=1,EOMONTH(AE990,0),"")</f>
        <v/>
      </c>
      <c r="AH990" s="9">
        <f>IF(AF990=1,UPPER(TRIM(IFERROR(INDEX($A990:$AB990,MATCH("Client",$A$1:$AB$1,0)),"")&amp;"")),"")</f>
        <v/>
      </c>
      <c r="AI990" s="9">
        <f>IF(AF990=1,IFERROR(INDEX($A990:$AB990,MATCH("Cost Centre",$A$1:$AB$1,0)),"")&amp;"","")</f>
        <v/>
      </c>
      <c r="AJ990" s="54">
        <f>IF(AND(AF990=1,AE990&gt;=set_FYStart,AE990&lt;=set_AsAt),1,0)</f>
        <v/>
      </c>
      <c r="AK990" s="54">
        <f>IF(AND(AJ990=1,AH990&lt;&gt;"",COUNTIFS($AH$2:AH990,AH990,$AJ$2:AJ990,1)=1),N(AL989)+1,"")</f>
        <v/>
      </c>
      <c r="AL990" s="54">
        <f>IF(AK990&lt;&gt;"",AK990,N(AL989))</f>
        <v/>
      </c>
    </row>
    <row r="991">
      <c r="A991" t="inlineStr">
        <is>
          <t>CON-0330</t>
        </is>
      </c>
      <c r="B991" t="inlineStr">
        <is>
          <t>Consulting</t>
        </is>
      </c>
      <c r="AB991" t="n">
        <v>330</v>
      </c>
      <c r="AD991" s="52">
        <f>IFERROR(N(IFERROR(INDEX($A991:$AB991,MATCH("Xero Invoiced Ex GST",$A$1:$AB$1,0)),"")),0)</f>
        <v/>
      </c>
      <c r="AE991" s="53">
        <f>IFERROR(INDEX($A991:$AB991,MATCH("Xero Invoice Date",$A$1:$AB$1,0)),"")</f>
        <v/>
      </c>
      <c r="AF991" s="54">
        <f>IF(AND(IFERROR(INDEX($A991:$AB991,MATCH("Xero Invoice No",$A$1:$AB$1,0)),"")&amp;""&lt;&gt;"",ISNUMBER(AE991),AD991&lt;&gt;0),1,0)</f>
        <v/>
      </c>
      <c r="AG991" s="55">
        <f>IF(AF991=1,EOMONTH(AE991,0),"")</f>
        <v/>
      </c>
      <c r="AH991" s="9">
        <f>IF(AF991=1,UPPER(TRIM(IFERROR(INDEX($A991:$AB991,MATCH("Client",$A$1:$AB$1,0)),"")&amp;"")),"")</f>
        <v/>
      </c>
      <c r="AI991" s="9">
        <f>IF(AF991=1,IFERROR(INDEX($A991:$AB991,MATCH("Cost Centre",$A$1:$AB$1,0)),"")&amp;"","")</f>
        <v/>
      </c>
      <c r="AJ991" s="54">
        <f>IF(AND(AF991=1,AE991&gt;=set_FYStart,AE991&lt;=set_AsAt),1,0)</f>
        <v/>
      </c>
      <c r="AK991" s="54">
        <f>IF(AND(AJ991=1,AH991&lt;&gt;"",COUNTIFS($AH$2:AH991,AH991,$AJ$2:AJ991,1)=1),N(AL990)+1,"")</f>
        <v/>
      </c>
      <c r="AL991" s="54">
        <f>IF(AK991&lt;&gt;"",AK991,N(AL990))</f>
        <v/>
      </c>
    </row>
    <row r="992">
      <c r="A992" t="inlineStr">
        <is>
          <t>ONS-0331</t>
        </is>
      </c>
      <c r="B992" t="inlineStr">
        <is>
          <t>Onsite</t>
        </is>
      </c>
      <c r="AB992" t="n">
        <v>331</v>
      </c>
      <c r="AD992" s="52">
        <f>IFERROR(N(IFERROR(INDEX($A992:$AB992,MATCH("Xero Invoiced Ex GST",$A$1:$AB$1,0)),"")),0)</f>
        <v/>
      </c>
      <c r="AE992" s="53">
        <f>IFERROR(INDEX($A992:$AB992,MATCH("Xero Invoice Date",$A$1:$AB$1,0)),"")</f>
        <v/>
      </c>
      <c r="AF992" s="54">
        <f>IF(AND(IFERROR(INDEX($A992:$AB992,MATCH("Xero Invoice No",$A$1:$AB$1,0)),"")&amp;""&lt;&gt;"",ISNUMBER(AE992),AD992&lt;&gt;0),1,0)</f>
        <v/>
      </c>
      <c r="AG992" s="55">
        <f>IF(AF992=1,EOMONTH(AE992,0),"")</f>
        <v/>
      </c>
      <c r="AH992" s="9">
        <f>IF(AF992=1,UPPER(TRIM(IFERROR(INDEX($A992:$AB992,MATCH("Client",$A$1:$AB$1,0)),"")&amp;"")),"")</f>
        <v/>
      </c>
      <c r="AI992" s="9">
        <f>IF(AF992=1,IFERROR(INDEX($A992:$AB992,MATCH("Cost Centre",$A$1:$AB$1,0)),"")&amp;"","")</f>
        <v/>
      </c>
      <c r="AJ992" s="54">
        <f>IF(AND(AF992=1,AE992&gt;=set_FYStart,AE992&lt;=set_AsAt),1,0)</f>
        <v/>
      </c>
      <c r="AK992" s="54">
        <f>IF(AND(AJ992=1,AH992&lt;&gt;"",COUNTIFS($AH$2:AH992,AH992,$AJ$2:AJ992,1)=1),N(AL991)+1,"")</f>
        <v/>
      </c>
      <c r="AL992" s="54">
        <f>IF(AK992&lt;&gt;"",AK992,N(AL991))</f>
        <v/>
      </c>
    </row>
    <row r="993">
      <c r="A993" t="inlineStr">
        <is>
          <t>PRD-0331</t>
        </is>
      </c>
      <c r="B993" t="inlineStr">
        <is>
          <t>Production</t>
        </is>
      </c>
      <c r="AB993" t="n">
        <v>331</v>
      </c>
      <c r="AD993" s="52">
        <f>IFERROR(N(IFERROR(INDEX($A993:$AB993,MATCH("Xero Invoiced Ex GST",$A$1:$AB$1,0)),"")),0)</f>
        <v/>
      </c>
      <c r="AE993" s="53">
        <f>IFERROR(INDEX($A993:$AB993,MATCH("Xero Invoice Date",$A$1:$AB$1,0)),"")</f>
        <v/>
      </c>
      <c r="AF993" s="54">
        <f>IF(AND(IFERROR(INDEX($A993:$AB993,MATCH("Xero Invoice No",$A$1:$AB$1,0)),"")&amp;""&lt;&gt;"",ISNUMBER(AE993),AD993&lt;&gt;0),1,0)</f>
        <v/>
      </c>
      <c r="AG993" s="55">
        <f>IF(AF993=1,EOMONTH(AE993,0),"")</f>
        <v/>
      </c>
      <c r="AH993" s="9">
        <f>IF(AF993=1,UPPER(TRIM(IFERROR(INDEX($A993:$AB993,MATCH("Client",$A$1:$AB$1,0)),"")&amp;"")),"")</f>
        <v/>
      </c>
      <c r="AI993" s="9">
        <f>IF(AF993=1,IFERROR(INDEX($A993:$AB993,MATCH("Cost Centre",$A$1:$AB$1,0)),"")&amp;"","")</f>
        <v/>
      </c>
      <c r="AJ993" s="54">
        <f>IF(AND(AF993=1,AE993&gt;=set_FYStart,AE993&lt;=set_AsAt),1,0)</f>
        <v/>
      </c>
      <c r="AK993" s="54">
        <f>IF(AND(AJ993=1,AH993&lt;&gt;"",COUNTIFS($AH$2:AH993,AH993,$AJ$2:AJ993,1)=1),N(AL992)+1,"")</f>
        <v/>
      </c>
      <c r="AL993" s="54">
        <f>IF(AK993&lt;&gt;"",AK993,N(AL992))</f>
        <v/>
      </c>
    </row>
    <row r="994">
      <c r="A994" t="inlineStr">
        <is>
          <t>CON-0331</t>
        </is>
      </c>
      <c r="B994" t="inlineStr">
        <is>
          <t>Consulting</t>
        </is>
      </c>
      <c r="AB994" t="n">
        <v>331</v>
      </c>
      <c r="AD994" s="52">
        <f>IFERROR(N(IFERROR(INDEX($A994:$AB994,MATCH("Xero Invoiced Ex GST",$A$1:$AB$1,0)),"")),0)</f>
        <v/>
      </c>
      <c r="AE994" s="53">
        <f>IFERROR(INDEX($A994:$AB994,MATCH("Xero Invoice Date",$A$1:$AB$1,0)),"")</f>
        <v/>
      </c>
      <c r="AF994" s="54">
        <f>IF(AND(IFERROR(INDEX($A994:$AB994,MATCH("Xero Invoice No",$A$1:$AB$1,0)),"")&amp;""&lt;&gt;"",ISNUMBER(AE994),AD994&lt;&gt;0),1,0)</f>
        <v/>
      </c>
      <c r="AG994" s="55">
        <f>IF(AF994=1,EOMONTH(AE994,0),"")</f>
        <v/>
      </c>
      <c r="AH994" s="9">
        <f>IF(AF994=1,UPPER(TRIM(IFERROR(INDEX($A994:$AB994,MATCH("Client",$A$1:$AB$1,0)),"")&amp;"")),"")</f>
        <v/>
      </c>
      <c r="AI994" s="9">
        <f>IF(AF994=1,IFERROR(INDEX($A994:$AB994,MATCH("Cost Centre",$A$1:$AB$1,0)),"")&amp;"","")</f>
        <v/>
      </c>
      <c r="AJ994" s="54">
        <f>IF(AND(AF994=1,AE994&gt;=set_FYStart,AE994&lt;=set_AsAt),1,0)</f>
        <v/>
      </c>
      <c r="AK994" s="54">
        <f>IF(AND(AJ994=1,AH994&lt;&gt;"",COUNTIFS($AH$2:AH994,AH994,$AJ$2:AJ994,1)=1),N(AL993)+1,"")</f>
        <v/>
      </c>
      <c r="AL994" s="54">
        <f>IF(AK994&lt;&gt;"",AK994,N(AL993))</f>
        <v/>
      </c>
    </row>
    <row r="995">
      <c r="A995" t="inlineStr">
        <is>
          <t>ONS-0332</t>
        </is>
      </c>
      <c r="B995" t="inlineStr">
        <is>
          <t>Onsite</t>
        </is>
      </c>
      <c r="AB995" t="n">
        <v>332</v>
      </c>
      <c r="AD995" s="52">
        <f>IFERROR(N(IFERROR(INDEX($A995:$AB995,MATCH("Xero Invoiced Ex GST",$A$1:$AB$1,0)),"")),0)</f>
        <v/>
      </c>
      <c r="AE995" s="53">
        <f>IFERROR(INDEX($A995:$AB995,MATCH("Xero Invoice Date",$A$1:$AB$1,0)),"")</f>
        <v/>
      </c>
      <c r="AF995" s="54">
        <f>IF(AND(IFERROR(INDEX($A995:$AB995,MATCH("Xero Invoice No",$A$1:$AB$1,0)),"")&amp;""&lt;&gt;"",ISNUMBER(AE995),AD995&lt;&gt;0),1,0)</f>
        <v/>
      </c>
      <c r="AG995" s="55">
        <f>IF(AF995=1,EOMONTH(AE995,0),"")</f>
        <v/>
      </c>
      <c r="AH995" s="9">
        <f>IF(AF995=1,UPPER(TRIM(IFERROR(INDEX($A995:$AB995,MATCH("Client",$A$1:$AB$1,0)),"")&amp;"")),"")</f>
        <v/>
      </c>
      <c r="AI995" s="9">
        <f>IF(AF995=1,IFERROR(INDEX($A995:$AB995,MATCH("Cost Centre",$A$1:$AB$1,0)),"")&amp;"","")</f>
        <v/>
      </c>
      <c r="AJ995" s="54">
        <f>IF(AND(AF995=1,AE995&gt;=set_FYStart,AE995&lt;=set_AsAt),1,0)</f>
        <v/>
      </c>
      <c r="AK995" s="54">
        <f>IF(AND(AJ995=1,AH995&lt;&gt;"",COUNTIFS($AH$2:AH995,AH995,$AJ$2:AJ995,1)=1),N(AL994)+1,"")</f>
        <v/>
      </c>
      <c r="AL995" s="54">
        <f>IF(AK995&lt;&gt;"",AK995,N(AL994))</f>
        <v/>
      </c>
    </row>
    <row r="996">
      <c r="A996" t="inlineStr">
        <is>
          <t>PRD-0332</t>
        </is>
      </c>
      <c r="B996" t="inlineStr">
        <is>
          <t>Production</t>
        </is>
      </c>
      <c r="AB996" t="n">
        <v>332</v>
      </c>
      <c r="AD996" s="52">
        <f>IFERROR(N(IFERROR(INDEX($A996:$AB996,MATCH("Xero Invoiced Ex GST",$A$1:$AB$1,0)),"")),0)</f>
        <v/>
      </c>
      <c r="AE996" s="53">
        <f>IFERROR(INDEX($A996:$AB996,MATCH("Xero Invoice Date",$A$1:$AB$1,0)),"")</f>
        <v/>
      </c>
      <c r="AF996" s="54">
        <f>IF(AND(IFERROR(INDEX($A996:$AB996,MATCH("Xero Invoice No",$A$1:$AB$1,0)),"")&amp;""&lt;&gt;"",ISNUMBER(AE996),AD996&lt;&gt;0),1,0)</f>
        <v/>
      </c>
      <c r="AG996" s="55">
        <f>IF(AF996=1,EOMONTH(AE996,0),"")</f>
        <v/>
      </c>
      <c r="AH996" s="9">
        <f>IF(AF996=1,UPPER(TRIM(IFERROR(INDEX($A996:$AB996,MATCH("Client",$A$1:$AB$1,0)),"")&amp;"")),"")</f>
        <v/>
      </c>
      <c r="AI996" s="9">
        <f>IF(AF996=1,IFERROR(INDEX($A996:$AB996,MATCH("Cost Centre",$A$1:$AB$1,0)),"")&amp;"","")</f>
        <v/>
      </c>
      <c r="AJ996" s="54">
        <f>IF(AND(AF996=1,AE996&gt;=set_FYStart,AE996&lt;=set_AsAt),1,0)</f>
        <v/>
      </c>
      <c r="AK996" s="54">
        <f>IF(AND(AJ996=1,AH996&lt;&gt;"",COUNTIFS($AH$2:AH996,AH996,$AJ$2:AJ996,1)=1),N(AL995)+1,"")</f>
        <v/>
      </c>
      <c r="AL996" s="54">
        <f>IF(AK996&lt;&gt;"",AK996,N(AL995))</f>
        <v/>
      </c>
    </row>
    <row r="997">
      <c r="A997" t="inlineStr">
        <is>
          <t>CON-0332</t>
        </is>
      </c>
      <c r="B997" t="inlineStr">
        <is>
          <t>Consulting</t>
        </is>
      </c>
      <c r="AB997" t="n">
        <v>332</v>
      </c>
      <c r="AD997" s="52">
        <f>IFERROR(N(IFERROR(INDEX($A997:$AB997,MATCH("Xero Invoiced Ex GST",$A$1:$AB$1,0)),"")),0)</f>
        <v/>
      </c>
      <c r="AE997" s="53">
        <f>IFERROR(INDEX($A997:$AB997,MATCH("Xero Invoice Date",$A$1:$AB$1,0)),"")</f>
        <v/>
      </c>
      <c r="AF997" s="54">
        <f>IF(AND(IFERROR(INDEX($A997:$AB997,MATCH("Xero Invoice No",$A$1:$AB$1,0)),"")&amp;""&lt;&gt;"",ISNUMBER(AE997),AD997&lt;&gt;0),1,0)</f>
        <v/>
      </c>
      <c r="AG997" s="55">
        <f>IF(AF997=1,EOMONTH(AE997,0),"")</f>
        <v/>
      </c>
      <c r="AH997" s="9">
        <f>IF(AF997=1,UPPER(TRIM(IFERROR(INDEX($A997:$AB997,MATCH("Client",$A$1:$AB$1,0)),"")&amp;"")),"")</f>
        <v/>
      </c>
      <c r="AI997" s="9">
        <f>IF(AF997=1,IFERROR(INDEX($A997:$AB997,MATCH("Cost Centre",$A$1:$AB$1,0)),"")&amp;"","")</f>
        <v/>
      </c>
      <c r="AJ997" s="54">
        <f>IF(AND(AF997=1,AE997&gt;=set_FYStart,AE997&lt;=set_AsAt),1,0)</f>
        <v/>
      </c>
      <c r="AK997" s="54">
        <f>IF(AND(AJ997=1,AH997&lt;&gt;"",COUNTIFS($AH$2:AH997,AH997,$AJ$2:AJ997,1)=1),N(AL996)+1,"")</f>
        <v/>
      </c>
      <c r="AL997" s="54">
        <f>IF(AK997&lt;&gt;"",AK997,N(AL996))</f>
        <v/>
      </c>
    </row>
    <row r="998">
      <c r="A998" t="inlineStr">
        <is>
          <t>ONS-0333</t>
        </is>
      </c>
      <c r="B998" t="inlineStr">
        <is>
          <t>Onsite</t>
        </is>
      </c>
      <c r="AB998" t="n">
        <v>333</v>
      </c>
      <c r="AD998" s="52">
        <f>IFERROR(N(IFERROR(INDEX($A998:$AB998,MATCH("Xero Invoiced Ex GST",$A$1:$AB$1,0)),"")),0)</f>
        <v/>
      </c>
      <c r="AE998" s="53">
        <f>IFERROR(INDEX($A998:$AB998,MATCH("Xero Invoice Date",$A$1:$AB$1,0)),"")</f>
        <v/>
      </c>
      <c r="AF998" s="54">
        <f>IF(AND(IFERROR(INDEX($A998:$AB998,MATCH("Xero Invoice No",$A$1:$AB$1,0)),"")&amp;""&lt;&gt;"",ISNUMBER(AE998),AD998&lt;&gt;0),1,0)</f>
        <v/>
      </c>
      <c r="AG998" s="55">
        <f>IF(AF998=1,EOMONTH(AE998,0),"")</f>
        <v/>
      </c>
      <c r="AH998" s="9">
        <f>IF(AF998=1,UPPER(TRIM(IFERROR(INDEX($A998:$AB998,MATCH("Client",$A$1:$AB$1,0)),"")&amp;"")),"")</f>
        <v/>
      </c>
      <c r="AI998" s="9">
        <f>IF(AF998=1,IFERROR(INDEX($A998:$AB998,MATCH("Cost Centre",$A$1:$AB$1,0)),"")&amp;"","")</f>
        <v/>
      </c>
      <c r="AJ998" s="54">
        <f>IF(AND(AF998=1,AE998&gt;=set_FYStart,AE998&lt;=set_AsAt),1,0)</f>
        <v/>
      </c>
      <c r="AK998" s="54">
        <f>IF(AND(AJ998=1,AH998&lt;&gt;"",COUNTIFS($AH$2:AH998,AH998,$AJ$2:AJ998,1)=1),N(AL997)+1,"")</f>
        <v/>
      </c>
      <c r="AL998" s="54">
        <f>IF(AK998&lt;&gt;"",AK998,N(AL997))</f>
        <v/>
      </c>
    </row>
    <row r="999">
      <c r="A999" t="inlineStr">
        <is>
          <t>PRD-0333</t>
        </is>
      </c>
      <c r="B999" t="inlineStr">
        <is>
          <t>Production</t>
        </is>
      </c>
      <c r="AB999" t="n">
        <v>333</v>
      </c>
      <c r="AD999" s="52">
        <f>IFERROR(N(IFERROR(INDEX($A999:$AB999,MATCH("Xero Invoiced Ex GST",$A$1:$AB$1,0)),"")),0)</f>
        <v/>
      </c>
      <c r="AE999" s="53">
        <f>IFERROR(INDEX($A999:$AB999,MATCH("Xero Invoice Date",$A$1:$AB$1,0)),"")</f>
        <v/>
      </c>
      <c r="AF999" s="54">
        <f>IF(AND(IFERROR(INDEX($A999:$AB999,MATCH("Xero Invoice No",$A$1:$AB$1,0)),"")&amp;""&lt;&gt;"",ISNUMBER(AE999),AD999&lt;&gt;0),1,0)</f>
        <v/>
      </c>
      <c r="AG999" s="55">
        <f>IF(AF999=1,EOMONTH(AE999,0),"")</f>
        <v/>
      </c>
      <c r="AH999" s="9">
        <f>IF(AF999=1,UPPER(TRIM(IFERROR(INDEX($A999:$AB999,MATCH("Client",$A$1:$AB$1,0)),"")&amp;"")),"")</f>
        <v/>
      </c>
      <c r="AI999" s="9">
        <f>IF(AF999=1,IFERROR(INDEX($A999:$AB999,MATCH("Cost Centre",$A$1:$AB$1,0)),"")&amp;"","")</f>
        <v/>
      </c>
      <c r="AJ999" s="54">
        <f>IF(AND(AF999=1,AE999&gt;=set_FYStart,AE999&lt;=set_AsAt),1,0)</f>
        <v/>
      </c>
      <c r="AK999" s="54">
        <f>IF(AND(AJ999=1,AH999&lt;&gt;"",COUNTIFS($AH$2:AH999,AH999,$AJ$2:AJ999,1)=1),N(AL998)+1,"")</f>
        <v/>
      </c>
      <c r="AL999" s="54">
        <f>IF(AK999&lt;&gt;"",AK999,N(AL998))</f>
        <v/>
      </c>
    </row>
    <row r="1000">
      <c r="A1000" t="inlineStr">
        <is>
          <t>CON-0333</t>
        </is>
      </c>
      <c r="B1000" t="inlineStr">
        <is>
          <t>Consulting</t>
        </is>
      </c>
      <c r="AB1000" t="n">
        <v>333</v>
      </c>
      <c r="AD1000" s="52">
        <f>IFERROR(N(IFERROR(INDEX($A1000:$AB1000,MATCH("Xero Invoiced Ex GST",$A$1:$AB$1,0)),"")),0)</f>
        <v/>
      </c>
      <c r="AE1000" s="53">
        <f>IFERROR(INDEX($A1000:$AB1000,MATCH("Xero Invoice Date",$A$1:$AB$1,0)),"")</f>
        <v/>
      </c>
      <c r="AF1000" s="54">
        <f>IF(AND(IFERROR(INDEX($A1000:$AB1000,MATCH("Xero Invoice No",$A$1:$AB$1,0)),"")&amp;""&lt;&gt;"",ISNUMBER(AE1000),AD1000&lt;&gt;0),1,0)</f>
        <v/>
      </c>
      <c r="AG1000" s="55">
        <f>IF(AF1000=1,EOMONTH(AE1000,0),"")</f>
        <v/>
      </c>
      <c r="AH1000" s="9">
        <f>IF(AF1000=1,UPPER(TRIM(IFERROR(INDEX($A1000:$AB1000,MATCH("Client",$A$1:$AB$1,0)),"")&amp;"")),"")</f>
        <v/>
      </c>
      <c r="AI1000" s="9">
        <f>IF(AF1000=1,IFERROR(INDEX($A1000:$AB1000,MATCH("Cost Centre",$A$1:$AB$1,0)),"")&amp;"","")</f>
        <v/>
      </c>
      <c r="AJ1000" s="54">
        <f>IF(AND(AF1000=1,AE1000&gt;=set_FYStart,AE1000&lt;=set_AsAt),1,0)</f>
        <v/>
      </c>
      <c r="AK1000" s="54">
        <f>IF(AND(AJ1000=1,AH1000&lt;&gt;"",COUNTIFS($AH$2:AH1000,AH1000,$AJ$2:AJ1000,1)=1),N(AL999)+1,"")</f>
        <v/>
      </c>
      <c r="AL1000" s="54">
        <f>IF(AK1000&lt;&gt;"",AK1000,N(AL999))</f>
        <v/>
      </c>
    </row>
    <row r="1001">
      <c r="A1001" t="inlineStr">
        <is>
          <t>ONS-0334</t>
        </is>
      </c>
      <c r="B1001" t="inlineStr">
        <is>
          <t>Onsite</t>
        </is>
      </c>
      <c r="AB1001" t="n">
        <v>334</v>
      </c>
      <c r="AD1001" s="52">
        <f>IFERROR(N(IFERROR(INDEX($A1001:$AB1001,MATCH("Xero Invoiced Ex GST",$A$1:$AB$1,0)),"")),0)</f>
        <v/>
      </c>
      <c r="AE1001" s="53">
        <f>IFERROR(INDEX($A1001:$AB1001,MATCH("Xero Invoice Date",$A$1:$AB$1,0)),"")</f>
        <v/>
      </c>
      <c r="AF1001" s="54">
        <f>IF(AND(IFERROR(INDEX($A1001:$AB1001,MATCH("Xero Invoice No",$A$1:$AB$1,0)),"")&amp;""&lt;&gt;"",ISNUMBER(AE1001),AD1001&lt;&gt;0),1,0)</f>
        <v/>
      </c>
      <c r="AG1001" s="55">
        <f>IF(AF1001=1,EOMONTH(AE1001,0),"")</f>
        <v/>
      </c>
      <c r="AH1001" s="9">
        <f>IF(AF1001=1,UPPER(TRIM(IFERROR(INDEX($A1001:$AB1001,MATCH("Client",$A$1:$AB$1,0)),"")&amp;"")),"")</f>
        <v/>
      </c>
      <c r="AI1001" s="9">
        <f>IF(AF1001=1,IFERROR(INDEX($A1001:$AB1001,MATCH("Cost Centre",$A$1:$AB$1,0)),"")&amp;"","")</f>
        <v/>
      </c>
      <c r="AJ1001" s="54">
        <f>IF(AND(AF1001=1,AE1001&gt;=set_FYStart,AE1001&lt;=set_AsAt),1,0)</f>
        <v/>
      </c>
      <c r="AK1001" s="54">
        <f>IF(AND(AJ1001=1,AH1001&lt;&gt;"",COUNTIFS($AH$2:AH1001,AH1001,$AJ$2:AJ1001,1)=1),N(AL1000)+1,"")</f>
        <v/>
      </c>
      <c r="AL1001" s="54">
        <f>IF(AK1001&lt;&gt;"",AK1001,N(AL1000))</f>
        <v/>
      </c>
    </row>
    <row r="1002">
      <c r="A1002" t="inlineStr">
        <is>
          <t>PRD-0334</t>
        </is>
      </c>
      <c r="B1002" t="inlineStr">
        <is>
          <t>Production</t>
        </is>
      </c>
      <c r="AB1002" t="n">
        <v>334</v>
      </c>
      <c r="AD1002" s="52">
        <f>IFERROR(N(IFERROR(INDEX($A1002:$AB1002,MATCH("Xero Invoiced Ex GST",$A$1:$AB$1,0)),"")),0)</f>
        <v/>
      </c>
      <c r="AE1002" s="53">
        <f>IFERROR(INDEX($A1002:$AB1002,MATCH("Xero Invoice Date",$A$1:$AB$1,0)),"")</f>
        <v/>
      </c>
      <c r="AF1002" s="54">
        <f>IF(AND(IFERROR(INDEX($A1002:$AB1002,MATCH("Xero Invoice No",$A$1:$AB$1,0)),"")&amp;""&lt;&gt;"",ISNUMBER(AE1002),AD1002&lt;&gt;0),1,0)</f>
        <v/>
      </c>
      <c r="AG1002" s="55">
        <f>IF(AF1002=1,EOMONTH(AE1002,0),"")</f>
        <v/>
      </c>
      <c r="AH1002" s="9">
        <f>IF(AF1002=1,UPPER(TRIM(IFERROR(INDEX($A1002:$AB1002,MATCH("Client",$A$1:$AB$1,0)),"")&amp;"")),"")</f>
        <v/>
      </c>
      <c r="AI1002" s="9">
        <f>IF(AF1002=1,IFERROR(INDEX($A1002:$AB1002,MATCH("Cost Centre",$A$1:$AB$1,0)),"")&amp;"","")</f>
        <v/>
      </c>
      <c r="AJ1002" s="54">
        <f>IF(AND(AF1002=1,AE1002&gt;=set_FYStart,AE1002&lt;=set_AsAt),1,0)</f>
        <v/>
      </c>
      <c r="AK1002" s="54">
        <f>IF(AND(AJ1002=1,AH1002&lt;&gt;"",COUNTIFS($AH$2:AH1002,AH1002,$AJ$2:AJ1002,1)=1),N(AL1001)+1,"")</f>
        <v/>
      </c>
      <c r="AL1002" s="54">
        <f>IF(AK1002&lt;&gt;"",AK1002,N(AL1001))</f>
        <v/>
      </c>
    </row>
    <row r="1003">
      <c r="A1003" t="inlineStr">
        <is>
          <t>CON-0334</t>
        </is>
      </c>
      <c r="B1003" t="inlineStr">
        <is>
          <t>Consulting</t>
        </is>
      </c>
      <c r="AB1003" t="n">
        <v>334</v>
      </c>
      <c r="AD1003" s="52">
        <f>IFERROR(N(IFERROR(INDEX($A1003:$AB1003,MATCH("Xero Invoiced Ex GST",$A$1:$AB$1,0)),"")),0)</f>
        <v/>
      </c>
      <c r="AE1003" s="53">
        <f>IFERROR(INDEX($A1003:$AB1003,MATCH("Xero Invoice Date",$A$1:$AB$1,0)),"")</f>
        <v/>
      </c>
      <c r="AF1003" s="54">
        <f>IF(AND(IFERROR(INDEX($A1003:$AB1003,MATCH("Xero Invoice No",$A$1:$AB$1,0)),"")&amp;""&lt;&gt;"",ISNUMBER(AE1003),AD1003&lt;&gt;0),1,0)</f>
        <v/>
      </c>
      <c r="AG1003" s="55">
        <f>IF(AF1003=1,EOMONTH(AE1003,0),"")</f>
        <v/>
      </c>
      <c r="AH1003" s="9">
        <f>IF(AF1003=1,UPPER(TRIM(IFERROR(INDEX($A1003:$AB1003,MATCH("Client",$A$1:$AB$1,0)),"")&amp;"")),"")</f>
        <v/>
      </c>
      <c r="AI1003" s="9">
        <f>IF(AF1003=1,IFERROR(INDEX($A1003:$AB1003,MATCH("Cost Centre",$A$1:$AB$1,0)),"")&amp;"","")</f>
        <v/>
      </c>
      <c r="AJ1003" s="54">
        <f>IF(AND(AF1003=1,AE1003&gt;=set_FYStart,AE1003&lt;=set_AsAt),1,0)</f>
        <v/>
      </c>
      <c r="AK1003" s="54">
        <f>IF(AND(AJ1003=1,AH1003&lt;&gt;"",COUNTIFS($AH$2:AH1003,AH1003,$AJ$2:AJ1003,1)=1),N(AL1002)+1,"")</f>
        <v/>
      </c>
      <c r="AL1003" s="54">
        <f>IF(AK1003&lt;&gt;"",AK1003,N(AL1002))</f>
        <v/>
      </c>
    </row>
    <row r="1004">
      <c r="A1004" t="inlineStr">
        <is>
          <t>ONS-0335</t>
        </is>
      </c>
      <c r="B1004" t="inlineStr">
        <is>
          <t>Onsite</t>
        </is>
      </c>
      <c r="AB1004" t="n">
        <v>335</v>
      </c>
      <c r="AD1004" s="52">
        <f>IFERROR(N(IFERROR(INDEX($A1004:$AB1004,MATCH("Xero Invoiced Ex GST",$A$1:$AB$1,0)),"")),0)</f>
        <v/>
      </c>
      <c r="AE1004" s="53">
        <f>IFERROR(INDEX($A1004:$AB1004,MATCH("Xero Invoice Date",$A$1:$AB$1,0)),"")</f>
        <v/>
      </c>
      <c r="AF1004" s="54">
        <f>IF(AND(IFERROR(INDEX($A1004:$AB1004,MATCH("Xero Invoice No",$A$1:$AB$1,0)),"")&amp;""&lt;&gt;"",ISNUMBER(AE1004),AD1004&lt;&gt;0),1,0)</f>
        <v/>
      </c>
      <c r="AG1004" s="55">
        <f>IF(AF1004=1,EOMONTH(AE1004,0),"")</f>
        <v/>
      </c>
      <c r="AH1004" s="9">
        <f>IF(AF1004=1,UPPER(TRIM(IFERROR(INDEX($A1004:$AB1004,MATCH("Client",$A$1:$AB$1,0)),"")&amp;"")),"")</f>
        <v/>
      </c>
      <c r="AI1004" s="9">
        <f>IF(AF1004=1,IFERROR(INDEX($A1004:$AB1004,MATCH("Cost Centre",$A$1:$AB$1,0)),"")&amp;"","")</f>
        <v/>
      </c>
      <c r="AJ1004" s="54">
        <f>IF(AND(AF1004=1,AE1004&gt;=set_FYStart,AE1004&lt;=set_AsAt),1,0)</f>
        <v/>
      </c>
      <c r="AK1004" s="54">
        <f>IF(AND(AJ1004=1,AH1004&lt;&gt;"",COUNTIFS($AH$2:AH1004,AH1004,$AJ$2:AJ1004,1)=1),N(AL1003)+1,"")</f>
        <v/>
      </c>
      <c r="AL1004" s="54">
        <f>IF(AK1004&lt;&gt;"",AK1004,N(AL1003))</f>
        <v/>
      </c>
    </row>
    <row r="1005">
      <c r="A1005" t="inlineStr">
        <is>
          <t>PRD-0335</t>
        </is>
      </c>
      <c r="B1005" t="inlineStr">
        <is>
          <t>Production</t>
        </is>
      </c>
      <c r="AB1005" t="n">
        <v>335</v>
      </c>
      <c r="AD1005" s="52">
        <f>IFERROR(N(IFERROR(INDEX($A1005:$AB1005,MATCH("Xero Invoiced Ex GST",$A$1:$AB$1,0)),"")),0)</f>
        <v/>
      </c>
      <c r="AE1005" s="53">
        <f>IFERROR(INDEX($A1005:$AB1005,MATCH("Xero Invoice Date",$A$1:$AB$1,0)),"")</f>
        <v/>
      </c>
      <c r="AF1005" s="54">
        <f>IF(AND(IFERROR(INDEX($A1005:$AB1005,MATCH("Xero Invoice No",$A$1:$AB$1,0)),"")&amp;""&lt;&gt;"",ISNUMBER(AE1005),AD1005&lt;&gt;0),1,0)</f>
        <v/>
      </c>
      <c r="AG1005" s="55">
        <f>IF(AF1005=1,EOMONTH(AE1005,0),"")</f>
        <v/>
      </c>
      <c r="AH1005" s="9">
        <f>IF(AF1005=1,UPPER(TRIM(IFERROR(INDEX($A1005:$AB1005,MATCH("Client",$A$1:$AB$1,0)),"")&amp;"")),"")</f>
        <v/>
      </c>
      <c r="AI1005" s="9">
        <f>IF(AF1005=1,IFERROR(INDEX($A1005:$AB1005,MATCH("Cost Centre",$A$1:$AB$1,0)),"")&amp;"","")</f>
        <v/>
      </c>
      <c r="AJ1005" s="54">
        <f>IF(AND(AF1005=1,AE1005&gt;=set_FYStart,AE1005&lt;=set_AsAt),1,0)</f>
        <v/>
      </c>
      <c r="AK1005" s="54">
        <f>IF(AND(AJ1005=1,AH1005&lt;&gt;"",COUNTIFS($AH$2:AH1005,AH1005,$AJ$2:AJ1005,1)=1),N(AL1004)+1,"")</f>
        <v/>
      </c>
      <c r="AL1005" s="54">
        <f>IF(AK1005&lt;&gt;"",AK1005,N(AL1004))</f>
        <v/>
      </c>
    </row>
    <row r="1006">
      <c r="A1006" t="inlineStr">
        <is>
          <t>CON-0335</t>
        </is>
      </c>
      <c r="B1006" t="inlineStr">
        <is>
          <t>Consulting</t>
        </is>
      </c>
      <c r="AB1006" t="n">
        <v>335</v>
      </c>
      <c r="AD1006" s="52">
        <f>IFERROR(N(IFERROR(INDEX($A1006:$AB1006,MATCH("Xero Invoiced Ex GST",$A$1:$AB$1,0)),"")),0)</f>
        <v/>
      </c>
      <c r="AE1006" s="53">
        <f>IFERROR(INDEX($A1006:$AB1006,MATCH("Xero Invoice Date",$A$1:$AB$1,0)),"")</f>
        <v/>
      </c>
      <c r="AF1006" s="54">
        <f>IF(AND(IFERROR(INDEX($A1006:$AB1006,MATCH("Xero Invoice No",$A$1:$AB$1,0)),"")&amp;""&lt;&gt;"",ISNUMBER(AE1006),AD1006&lt;&gt;0),1,0)</f>
        <v/>
      </c>
      <c r="AG1006" s="55">
        <f>IF(AF1006=1,EOMONTH(AE1006,0),"")</f>
        <v/>
      </c>
      <c r="AH1006" s="9">
        <f>IF(AF1006=1,UPPER(TRIM(IFERROR(INDEX($A1006:$AB1006,MATCH("Client",$A$1:$AB$1,0)),"")&amp;"")),"")</f>
        <v/>
      </c>
      <c r="AI1006" s="9">
        <f>IF(AF1006=1,IFERROR(INDEX($A1006:$AB1006,MATCH("Cost Centre",$A$1:$AB$1,0)),"")&amp;"","")</f>
        <v/>
      </c>
      <c r="AJ1006" s="54">
        <f>IF(AND(AF1006=1,AE1006&gt;=set_FYStart,AE1006&lt;=set_AsAt),1,0)</f>
        <v/>
      </c>
      <c r="AK1006" s="54">
        <f>IF(AND(AJ1006=1,AH1006&lt;&gt;"",COUNTIFS($AH$2:AH1006,AH1006,$AJ$2:AJ1006,1)=1),N(AL1005)+1,"")</f>
        <v/>
      </c>
      <c r="AL1006" s="54">
        <f>IF(AK1006&lt;&gt;"",AK1006,N(AL1005))</f>
        <v/>
      </c>
    </row>
    <row r="1007">
      <c r="A1007" t="inlineStr">
        <is>
          <t>ONS-0336</t>
        </is>
      </c>
      <c r="B1007" t="inlineStr">
        <is>
          <t>Onsite</t>
        </is>
      </c>
      <c r="AB1007" t="n">
        <v>336</v>
      </c>
      <c r="AD1007" s="52">
        <f>IFERROR(N(IFERROR(INDEX($A1007:$AB1007,MATCH("Xero Invoiced Ex GST",$A$1:$AB$1,0)),"")),0)</f>
        <v/>
      </c>
      <c r="AE1007" s="53">
        <f>IFERROR(INDEX($A1007:$AB1007,MATCH("Xero Invoice Date",$A$1:$AB$1,0)),"")</f>
        <v/>
      </c>
      <c r="AF1007" s="54">
        <f>IF(AND(IFERROR(INDEX($A1007:$AB1007,MATCH("Xero Invoice No",$A$1:$AB$1,0)),"")&amp;""&lt;&gt;"",ISNUMBER(AE1007),AD1007&lt;&gt;0),1,0)</f>
        <v/>
      </c>
      <c r="AG1007" s="55">
        <f>IF(AF1007=1,EOMONTH(AE1007,0),"")</f>
        <v/>
      </c>
      <c r="AH1007" s="9">
        <f>IF(AF1007=1,UPPER(TRIM(IFERROR(INDEX($A1007:$AB1007,MATCH("Client",$A$1:$AB$1,0)),"")&amp;"")),"")</f>
        <v/>
      </c>
      <c r="AI1007" s="9">
        <f>IF(AF1007=1,IFERROR(INDEX($A1007:$AB1007,MATCH("Cost Centre",$A$1:$AB$1,0)),"")&amp;"","")</f>
        <v/>
      </c>
      <c r="AJ1007" s="54">
        <f>IF(AND(AF1007=1,AE1007&gt;=set_FYStart,AE1007&lt;=set_AsAt),1,0)</f>
        <v/>
      </c>
      <c r="AK1007" s="54">
        <f>IF(AND(AJ1007=1,AH1007&lt;&gt;"",COUNTIFS($AH$2:AH1007,AH1007,$AJ$2:AJ1007,1)=1),N(AL1006)+1,"")</f>
        <v/>
      </c>
      <c r="AL1007" s="54">
        <f>IF(AK1007&lt;&gt;"",AK1007,N(AL1006))</f>
        <v/>
      </c>
    </row>
    <row r="1008">
      <c r="A1008" t="inlineStr">
        <is>
          <t>PRD-0336</t>
        </is>
      </c>
      <c r="B1008" t="inlineStr">
        <is>
          <t>Production</t>
        </is>
      </c>
      <c r="AB1008" t="n">
        <v>336</v>
      </c>
      <c r="AD1008" s="52">
        <f>IFERROR(N(IFERROR(INDEX($A1008:$AB1008,MATCH("Xero Invoiced Ex GST",$A$1:$AB$1,0)),"")),0)</f>
        <v/>
      </c>
      <c r="AE1008" s="53">
        <f>IFERROR(INDEX($A1008:$AB1008,MATCH("Xero Invoice Date",$A$1:$AB$1,0)),"")</f>
        <v/>
      </c>
      <c r="AF1008" s="54">
        <f>IF(AND(IFERROR(INDEX($A1008:$AB1008,MATCH("Xero Invoice No",$A$1:$AB$1,0)),"")&amp;""&lt;&gt;"",ISNUMBER(AE1008),AD1008&lt;&gt;0),1,0)</f>
        <v/>
      </c>
      <c r="AG1008" s="55">
        <f>IF(AF1008=1,EOMONTH(AE1008,0),"")</f>
        <v/>
      </c>
      <c r="AH1008" s="9">
        <f>IF(AF1008=1,UPPER(TRIM(IFERROR(INDEX($A1008:$AB1008,MATCH("Client",$A$1:$AB$1,0)),"")&amp;"")),"")</f>
        <v/>
      </c>
      <c r="AI1008" s="9">
        <f>IF(AF1008=1,IFERROR(INDEX($A1008:$AB1008,MATCH("Cost Centre",$A$1:$AB$1,0)),"")&amp;"","")</f>
        <v/>
      </c>
      <c r="AJ1008" s="54">
        <f>IF(AND(AF1008=1,AE1008&gt;=set_FYStart,AE1008&lt;=set_AsAt),1,0)</f>
        <v/>
      </c>
      <c r="AK1008" s="54">
        <f>IF(AND(AJ1008=1,AH1008&lt;&gt;"",COUNTIFS($AH$2:AH1008,AH1008,$AJ$2:AJ1008,1)=1),N(AL1007)+1,"")</f>
        <v/>
      </c>
      <c r="AL1008" s="54">
        <f>IF(AK1008&lt;&gt;"",AK1008,N(AL1007))</f>
        <v/>
      </c>
    </row>
    <row r="1009">
      <c r="A1009" t="inlineStr">
        <is>
          <t>CON-0336</t>
        </is>
      </c>
      <c r="B1009" t="inlineStr">
        <is>
          <t>Consulting</t>
        </is>
      </c>
      <c r="AB1009" t="n">
        <v>336</v>
      </c>
      <c r="AD1009" s="52">
        <f>IFERROR(N(IFERROR(INDEX($A1009:$AB1009,MATCH("Xero Invoiced Ex GST",$A$1:$AB$1,0)),"")),0)</f>
        <v/>
      </c>
      <c r="AE1009" s="53">
        <f>IFERROR(INDEX($A1009:$AB1009,MATCH("Xero Invoice Date",$A$1:$AB$1,0)),"")</f>
        <v/>
      </c>
      <c r="AF1009" s="54">
        <f>IF(AND(IFERROR(INDEX($A1009:$AB1009,MATCH("Xero Invoice No",$A$1:$AB$1,0)),"")&amp;""&lt;&gt;"",ISNUMBER(AE1009),AD1009&lt;&gt;0),1,0)</f>
        <v/>
      </c>
      <c r="AG1009" s="55">
        <f>IF(AF1009=1,EOMONTH(AE1009,0),"")</f>
        <v/>
      </c>
      <c r="AH1009" s="9">
        <f>IF(AF1009=1,UPPER(TRIM(IFERROR(INDEX($A1009:$AB1009,MATCH("Client",$A$1:$AB$1,0)),"")&amp;"")),"")</f>
        <v/>
      </c>
      <c r="AI1009" s="9">
        <f>IF(AF1009=1,IFERROR(INDEX($A1009:$AB1009,MATCH("Cost Centre",$A$1:$AB$1,0)),"")&amp;"","")</f>
        <v/>
      </c>
      <c r="AJ1009" s="54">
        <f>IF(AND(AF1009=1,AE1009&gt;=set_FYStart,AE1009&lt;=set_AsAt),1,0)</f>
        <v/>
      </c>
      <c r="AK1009" s="54">
        <f>IF(AND(AJ1009=1,AH1009&lt;&gt;"",COUNTIFS($AH$2:AH1009,AH1009,$AJ$2:AJ1009,1)=1),N(AL1008)+1,"")</f>
        <v/>
      </c>
      <c r="AL1009" s="54">
        <f>IF(AK1009&lt;&gt;"",AK1009,N(AL1008))</f>
        <v/>
      </c>
    </row>
    <row r="1010">
      <c r="A1010" t="inlineStr">
        <is>
          <t>ONS-0337</t>
        </is>
      </c>
      <c r="B1010" t="inlineStr">
        <is>
          <t>Onsite</t>
        </is>
      </c>
      <c r="AB1010" t="n">
        <v>337</v>
      </c>
      <c r="AD1010" s="52">
        <f>IFERROR(N(IFERROR(INDEX($A1010:$AB1010,MATCH("Xero Invoiced Ex GST",$A$1:$AB$1,0)),"")),0)</f>
        <v/>
      </c>
      <c r="AE1010" s="53">
        <f>IFERROR(INDEX($A1010:$AB1010,MATCH("Xero Invoice Date",$A$1:$AB$1,0)),"")</f>
        <v/>
      </c>
      <c r="AF1010" s="54">
        <f>IF(AND(IFERROR(INDEX($A1010:$AB1010,MATCH("Xero Invoice No",$A$1:$AB$1,0)),"")&amp;""&lt;&gt;"",ISNUMBER(AE1010),AD1010&lt;&gt;0),1,0)</f>
        <v/>
      </c>
      <c r="AG1010" s="55">
        <f>IF(AF1010=1,EOMONTH(AE1010,0),"")</f>
        <v/>
      </c>
      <c r="AH1010" s="9">
        <f>IF(AF1010=1,UPPER(TRIM(IFERROR(INDEX($A1010:$AB1010,MATCH("Client",$A$1:$AB$1,0)),"")&amp;"")),"")</f>
        <v/>
      </c>
      <c r="AI1010" s="9">
        <f>IF(AF1010=1,IFERROR(INDEX($A1010:$AB1010,MATCH("Cost Centre",$A$1:$AB$1,0)),"")&amp;"","")</f>
        <v/>
      </c>
      <c r="AJ1010" s="54">
        <f>IF(AND(AF1010=1,AE1010&gt;=set_FYStart,AE1010&lt;=set_AsAt),1,0)</f>
        <v/>
      </c>
      <c r="AK1010" s="54">
        <f>IF(AND(AJ1010=1,AH1010&lt;&gt;"",COUNTIFS($AH$2:AH1010,AH1010,$AJ$2:AJ1010,1)=1),N(AL1009)+1,"")</f>
        <v/>
      </c>
      <c r="AL1010" s="54">
        <f>IF(AK1010&lt;&gt;"",AK1010,N(AL1009))</f>
        <v/>
      </c>
    </row>
    <row r="1011">
      <c r="A1011" t="inlineStr">
        <is>
          <t>PRD-0337</t>
        </is>
      </c>
      <c r="B1011" t="inlineStr">
        <is>
          <t>Production</t>
        </is>
      </c>
      <c r="AB1011" t="n">
        <v>337</v>
      </c>
      <c r="AD1011" s="52">
        <f>IFERROR(N(IFERROR(INDEX($A1011:$AB1011,MATCH("Xero Invoiced Ex GST",$A$1:$AB$1,0)),"")),0)</f>
        <v/>
      </c>
      <c r="AE1011" s="53">
        <f>IFERROR(INDEX($A1011:$AB1011,MATCH("Xero Invoice Date",$A$1:$AB$1,0)),"")</f>
        <v/>
      </c>
      <c r="AF1011" s="54">
        <f>IF(AND(IFERROR(INDEX($A1011:$AB1011,MATCH("Xero Invoice No",$A$1:$AB$1,0)),"")&amp;""&lt;&gt;"",ISNUMBER(AE1011),AD1011&lt;&gt;0),1,0)</f>
        <v/>
      </c>
      <c r="AG1011" s="55">
        <f>IF(AF1011=1,EOMONTH(AE1011,0),"")</f>
        <v/>
      </c>
      <c r="AH1011" s="9">
        <f>IF(AF1011=1,UPPER(TRIM(IFERROR(INDEX($A1011:$AB1011,MATCH("Client",$A$1:$AB$1,0)),"")&amp;"")),"")</f>
        <v/>
      </c>
      <c r="AI1011" s="9">
        <f>IF(AF1011=1,IFERROR(INDEX($A1011:$AB1011,MATCH("Cost Centre",$A$1:$AB$1,0)),"")&amp;"","")</f>
        <v/>
      </c>
      <c r="AJ1011" s="54">
        <f>IF(AND(AF1011=1,AE1011&gt;=set_FYStart,AE1011&lt;=set_AsAt),1,0)</f>
        <v/>
      </c>
      <c r="AK1011" s="54">
        <f>IF(AND(AJ1011=1,AH1011&lt;&gt;"",COUNTIFS($AH$2:AH1011,AH1011,$AJ$2:AJ1011,1)=1),N(AL1010)+1,"")</f>
        <v/>
      </c>
      <c r="AL1011" s="54">
        <f>IF(AK1011&lt;&gt;"",AK1011,N(AL1010))</f>
        <v/>
      </c>
    </row>
    <row r="1012">
      <c r="A1012" t="inlineStr">
        <is>
          <t>CON-0337</t>
        </is>
      </c>
      <c r="B1012" t="inlineStr">
        <is>
          <t>Consulting</t>
        </is>
      </c>
      <c r="AB1012" t="n">
        <v>337</v>
      </c>
      <c r="AD1012" s="52">
        <f>IFERROR(N(IFERROR(INDEX($A1012:$AB1012,MATCH("Xero Invoiced Ex GST",$A$1:$AB$1,0)),"")),0)</f>
        <v/>
      </c>
      <c r="AE1012" s="53">
        <f>IFERROR(INDEX($A1012:$AB1012,MATCH("Xero Invoice Date",$A$1:$AB$1,0)),"")</f>
        <v/>
      </c>
      <c r="AF1012" s="54">
        <f>IF(AND(IFERROR(INDEX($A1012:$AB1012,MATCH("Xero Invoice No",$A$1:$AB$1,0)),"")&amp;""&lt;&gt;"",ISNUMBER(AE1012),AD1012&lt;&gt;0),1,0)</f>
        <v/>
      </c>
      <c r="AG1012" s="55">
        <f>IF(AF1012=1,EOMONTH(AE1012,0),"")</f>
        <v/>
      </c>
      <c r="AH1012" s="9">
        <f>IF(AF1012=1,UPPER(TRIM(IFERROR(INDEX($A1012:$AB1012,MATCH("Client",$A$1:$AB$1,0)),"")&amp;"")),"")</f>
        <v/>
      </c>
      <c r="AI1012" s="9">
        <f>IF(AF1012=1,IFERROR(INDEX($A1012:$AB1012,MATCH("Cost Centre",$A$1:$AB$1,0)),"")&amp;"","")</f>
        <v/>
      </c>
      <c r="AJ1012" s="54">
        <f>IF(AND(AF1012=1,AE1012&gt;=set_FYStart,AE1012&lt;=set_AsAt),1,0)</f>
        <v/>
      </c>
      <c r="AK1012" s="54">
        <f>IF(AND(AJ1012=1,AH1012&lt;&gt;"",COUNTIFS($AH$2:AH1012,AH1012,$AJ$2:AJ1012,1)=1),N(AL1011)+1,"")</f>
        <v/>
      </c>
      <c r="AL1012" s="54">
        <f>IF(AK1012&lt;&gt;"",AK1012,N(AL1011))</f>
        <v/>
      </c>
    </row>
    <row r="1013">
      <c r="A1013" t="inlineStr">
        <is>
          <t>ONS-0338</t>
        </is>
      </c>
      <c r="B1013" t="inlineStr">
        <is>
          <t>Onsite</t>
        </is>
      </c>
      <c r="AB1013" t="n">
        <v>338</v>
      </c>
      <c r="AD1013" s="52">
        <f>IFERROR(N(IFERROR(INDEX($A1013:$AB1013,MATCH("Xero Invoiced Ex GST",$A$1:$AB$1,0)),"")),0)</f>
        <v/>
      </c>
      <c r="AE1013" s="53">
        <f>IFERROR(INDEX($A1013:$AB1013,MATCH("Xero Invoice Date",$A$1:$AB$1,0)),"")</f>
        <v/>
      </c>
      <c r="AF1013" s="54">
        <f>IF(AND(IFERROR(INDEX($A1013:$AB1013,MATCH("Xero Invoice No",$A$1:$AB$1,0)),"")&amp;""&lt;&gt;"",ISNUMBER(AE1013),AD1013&lt;&gt;0),1,0)</f>
        <v/>
      </c>
      <c r="AG1013" s="55">
        <f>IF(AF1013=1,EOMONTH(AE1013,0),"")</f>
        <v/>
      </c>
      <c r="AH1013" s="9">
        <f>IF(AF1013=1,UPPER(TRIM(IFERROR(INDEX($A1013:$AB1013,MATCH("Client",$A$1:$AB$1,0)),"")&amp;"")),"")</f>
        <v/>
      </c>
      <c r="AI1013" s="9">
        <f>IF(AF1013=1,IFERROR(INDEX($A1013:$AB1013,MATCH("Cost Centre",$A$1:$AB$1,0)),"")&amp;"","")</f>
        <v/>
      </c>
      <c r="AJ1013" s="54">
        <f>IF(AND(AF1013=1,AE1013&gt;=set_FYStart,AE1013&lt;=set_AsAt),1,0)</f>
        <v/>
      </c>
      <c r="AK1013" s="54">
        <f>IF(AND(AJ1013=1,AH1013&lt;&gt;"",COUNTIFS($AH$2:AH1013,AH1013,$AJ$2:AJ1013,1)=1),N(AL1012)+1,"")</f>
        <v/>
      </c>
      <c r="AL1013" s="54">
        <f>IF(AK1013&lt;&gt;"",AK1013,N(AL1012))</f>
        <v/>
      </c>
    </row>
    <row r="1014">
      <c r="A1014" t="inlineStr">
        <is>
          <t>PRD-0338</t>
        </is>
      </c>
      <c r="B1014" t="inlineStr">
        <is>
          <t>Production</t>
        </is>
      </c>
      <c r="AB1014" t="n">
        <v>338</v>
      </c>
      <c r="AD1014" s="52">
        <f>IFERROR(N(IFERROR(INDEX($A1014:$AB1014,MATCH("Xero Invoiced Ex GST",$A$1:$AB$1,0)),"")),0)</f>
        <v/>
      </c>
      <c r="AE1014" s="53">
        <f>IFERROR(INDEX($A1014:$AB1014,MATCH("Xero Invoice Date",$A$1:$AB$1,0)),"")</f>
        <v/>
      </c>
      <c r="AF1014" s="54">
        <f>IF(AND(IFERROR(INDEX($A1014:$AB1014,MATCH("Xero Invoice No",$A$1:$AB$1,0)),"")&amp;""&lt;&gt;"",ISNUMBER(AE1014),AD1014&lt;&gt;0),1,0)</f>
        <v/>
      </c>
      <c r="AG1014" s="55">
        <f>IF(AF1014=1,EOMONTH(AE1014,0),"")</f>
        <v/>
      </c>
      <c r="AH1014" s="9">
        <f>IF(AF1014=1,UPPER(TRIM(IFERROR(INDEX($A1014:$AB1014,MATCH("Client",$A$1:$AB$1,0)),"")&amp;"")),"")</f>
        <v/>
      </c>
      <c r="AI1014" s="9">
        <f>IF(AF1014=1,IFERROR(INDEX($A1014:$AB1014,MATCH("Cost Centre",$A$1:$AB$1,0)),"")&amp;"","")</f>
        <v/>
      </c>
      <c r="AJ1014" s="54">
        <f>IF(AND(AF1014=1,AE1014&gt;=set_FYStart,AE1014&lt;=set_AsAt),1,0)</f>
        <v/>
      </c>
      <c r="AK1014" s="54">
        <f>IF(AND(AJ1014=1,AH1014&lt;&gt;"",COUNTIFS($AH$2:AH1014,AH1014,$AJ$2:AJ1014,1)=1),N(AL1013)+1,"")</f>
        <v/>
      </c>
      <c r="AL1014" s="54">
        <f>IF(AK1014&lt;&gt;"",AK1014,N(AL1013))</f>
        <v/>
      </c>
    </row>
    <row r="1015">
      <c r="A1015" t="inlineStr">
        <is>
          <t>CON-0338</t>
        </is>
      </c>
      <c r="B1015" t="inlineStr">
        <is>
          <t>Consulting</t>
        </is>
      </c>
      <c r="AB1015" t="n">
        <v>338</v>
      </c>
      <c r="AD1015" s="52">
        <f>IFERROR(N(IFERROR(INDEX($A1015:$AB1015,MATCH("Xero Invoiced Ex GST",$A$1:$AB$1,0)),"")),0)</f>
        <v/>
      </c>
      <c r="AE1015" s="53">
        <f>IFERROR(INDEX($A1015:$AB1015,MATCH("Xero Invoice Date",$A$1:$AB$1,0)),"")</f>
        <v/>
      </c>
      <c r="AF1015" s="54">
        <f>IF(AND(IFERROR(INDEX($A1015:$AB1015,MATCH("Xero Invoice No",$A$1:$AB$1,0)),"")&amp;""&lt;&gt;"",ISNUMBER(AE1015),AD1015&lt;&gt;0),1,0)</f>
        <v/>
      </c>
      <c r="AG1015" s="55">
        <f>IF(AF1015=1,EOMONTH(AE1015,0),"")</f>
        <v/>
      </c>
      <c r="AH1015" s="9">
        <f>IF(AF1015=1,UPPER(TRIM(IFERROR(INDEX($A1015:$AB1015,MATCH("Client",$A$1:$AB$1,0)),"")&amp;"")),"")</f>
        <v/>
      </c>
      <c r="AI1015" s="9">
        <f>IF(AF1015=1,IFERROR(INDEX($A1015:$AB1015,MATCH("Cost Centre",$A$1:$AB$1,0)),"")&amp;"","")</f>
        <v/>
      </c>
      <c r="AJ1015" s="54">
        <f>IF(AND(AF1015=1,AE1015&gt;=set_FYStart,AE1015&lt;=set_AsAt),1,0)</f>
        <v/>
      </c>
      <c r="AK1015" s="54">
        <f>IF(AND(AJ1015=1,AH1015&lt;&gt;"",COUNTIFS($AH$2:AH1015,AH1015,$AJ$2:AJ1015,1)=1),N(AL1014)+1,"")</f>
        <v/>
      </c>
      <c r="AL1015" s="54">
        <f>IF(AK1015&lt;&gt;"",AK1015,N(AL1014))</f>
        <v/>
      </c>
    </row>
    <row r="1016">
      <c r="A1016" t="inlineStr">
        <is>
          <t>ONS-0339</t>
        </is>
      </c>
      <c r="B1016" t="inlineStr">
        <is>
          <t>Onsite</t>
        </is>
      </c>
      <c r="AB1016" t="n">
        <v>339</v>
      </c>
      <c r="AD1016" s="52">
        <f>IFERROR(N(IFERROR(INDEX($A1016:$AB1016,MATCH("Xero Invoiced Ex GST",$A$1:$AB$1,0)),"")),0)</f>
        <v/>
      </c>
      <c r="AE1016" s="53">
        <f>IFERROR(INDEX($A1016:$AB1016,MATCH("Xero Invoice Date",$A$1:$AB$1,0)),"")</f>
        <v/>
      </c>
      <c r="AF1016" s="54">
        <f>IF(AND(IFERROR(INDEX($A1016:$AB1016,MATCH("Xero Invoice No",$A$1:$AB$1,0)),"")&amp;""&lt;&gt;"",ISNUMBER(AE1016),AD1016&lt;&gt;0),1,0)</f>
        <v/>
      </c>
      <c r="AG1016" s="55">
        <f>IF(AF1016=1,EOMONTH(AE1016,0),"")</f>
        <v/>
      </c>
      <c r="AH1016" s="9">
        <f>IF(AF1016=1,UPPER(TRIM(IFERROR(INDEX($A1016:$AB1016,MATCH("Client",$A$1:$AB$1,0)),"")&amp;"")),"")</f>
        <v/>
      </c>
      <c r="AI1016" s="9">
        <f>IF(AF1016=1,IFERROR(INDEX($A1016:$AB1016,MATCH("Cost Centre",$A$1:$AB$1,0)),"")&amp;"","")</f>
        <v/>
      </c>
      <c r="AJ1016" s="54">
        <f>IF(AND(AF1016=1,AE1016&gt;=set_FYStart,AE1016&lt;=set_AsAt),1,0)</f>
        <v/>
      </c>
      <c r="AK1016" s="54">
        <f>IF(AND(AJ1016=1,AH1016&lt;&gt;"",COUNTIFS($AH$2:AH1016,AH1016,$AJ$2:AJ1016,1)=1),N(AL1015)+1,"")</f>
        <v/>
      </c>
      <c r="AL1016" s="54">
        <f>IF(AK1016&lt;&gt;"",AK1016,N(AL1015))</f>
        <v/>
      </c>
    </row>
    <row r="1017">
      <c r="A1017" t="inlineStr">
        <is>
          <t>PRD-0339</t>
        </is>
      </c>
      <c r="B1017" t="inlineStr">
        <is>
          <t>Production</t>
        </is>
      </c>
      <c r="AB1017" t="n">
        <v>339</v>
      </c>
      <c r="AD1017" s="52">
        <f>IFERROR(N(IFERROR(INDEX($A1017:$AB1017,MATCH("Xero Invoiced Ex GST",$A$1:$AB$1,0)),"")),0)</f>
        <v/>
      </c>
      <c r="AE1017" s="53">
        <f>IFERROR(INDEX($A1017:$AB1017,MATCH("Xero Invoice Date",$A$1:$AB$1,0)),"")</f>
        <v/>
      </c>
      <c r="AF1017" s="54">
        <f>IF(AND(IFERROR(INDEX($A1017:$AB1017,MATCH("Xero Invoice No",$A$1:$AB$1,0)),"")&amp;""&lt;&gt;"",ISNUMBER(AE1017),AD1017&lt;&gt;0),1,0)</f>
        <v/>
      </c>
      <c r="AG1017" s="55">
        <f>IF(AF1017=1,EOMONTH(AE1017,0),"")</f>
        <v/>
      </c>
      <c r="AH1017" s="9">
        <f>IF(AF1017=1,UPPER(TRIM(IFERROR(INDEX($A1017:$AB1017,MATCH("Client",$A$1:$AB$1,0)),"")&amp;"")),"")</f>
        <v/>
      </c>
      <c r="AI1017" s="9">
        <f>IF(AF1017=1,IFERROR(INDEX($A1017:$AB1017,MATCH("Cost Centre",$A$1:$AB$1,0)),"")&amp;"","")</f>
        <v/>
      </c>
      <c r="AJ1017" s="54">
        <f>IF(AND(AF1017=1,AE1017&gt;=set_FYStart,AE1017&lt;=set_AsAt),1,0)</f>
        <v/>
      </c>
      <c r="AK1017" s="54">
        <f>IF(AND(AJ1017=1,AH1017&lt;&gt;"",COUNTIFS($AH$2:AH1017,AH1017,$AJ$2:AJ1017,1)=1),N(AL1016)+1,"")</f>
        <v/>
      </c>
      <c r="AL1017" s="54">
        <f>IF(AK1017&lt;&gt;"",AK1017,N(AL1016))</f>
        <v/>
      </c>
    </row>
    <row r="1018">
      <c r="A1018" t="inlineStr">
        <is>
          <t>CON-0339</t>
        </is>
      </c>
      <c r="B1018" t="inlineStr">
        <is>
          <t>Consulting</t>
        </is>
      </c>
      <c r="AB1018" t="n">
        <v>339</v>
      </c>
      <c r="AD1018" s="52">
        <f>IFERROR(N(IFERROR(INDEX($A1018:$AB1018,MATCH("Xero Invoiced Ex GST",$A$1:$AB$1,0)),"")),0)</f>
        <v/>
      </c>
      <c r="AE1018" s="53">
        <f>IFERROR(INDEX($A1018:$AB1018,MATCH("Xero Invoice Date",$A$1:$AB$1,0)),"")</f>
        <v/>
      </c>
      <c r="AF1018" s="54">
        <f>IF(AND(IFERROR(INDEX($A1018:$AB1018,MATCH("Xero Invoice No",$A$1:$AB$1,0)),"")&amp;""&lt;&gt;"",ISNUMBER(AE1018),AD1018&lt;&gt;0),1,0)</f>
        <v/>
      </c>
      <c r="AG1018" s="55">
        <f>IF(AF1018=1,EOMONTH(AE1018,0),"")</f>
        <v/>
      </c>
      <c r="AH1018" s="9">
        <f>IF(AF1018=1,UPPER(TRIM(IFERROR(INDEX($A1018:$AB1018,MATCH("Client",$A$1:$AB$1,0)),"")&amp;"")),"")</f>
        <v/>
      </c>
      <c r="AI1018" s="9">
        <f>IF(AF1018=1,IFERROR(INDEX($A1018:$AB1018,MATCH("Cost Centre",$A$1:$AB$1,0)),"")&amp;"","")</f>
        <v/>
      </c>
      <c r="AJ1018" s="54">
        <f>IF(AND(AF1018=1,AE1018&gt;=set_FYStart,AE1018&lt;=set_AsAt),1,0)</f>
        <v/>
      </c>
      <c r="AK1018" s="54">
        <f>IF(AND(AJ1018=1,AH1018&lt;&gt;"",COUNTIFS($AH$2:AH1018,AH1018,$AJ$2:AJ1018,1)=1),N(AL1017)+1,"")</f>
        <v/>
      </c>
      <c r="AL1018" s="54">
        <f>IF(AK1018&lt;&gt;"",AK1018,N(AL1017))</f>
        <v/>
      </c>
    </row>
    <row r="1019">
      <c r="A1019" t="inlineStr">
        <is>
          <t>ONS-0340</t>
        </is>
      </c>
      <c r="B1019" t="inlineStr">
        <is>
          <t>Onsite</t>
        </is>
      </c>
      <c r="AB1019" t="n">
        <v>340</v>
      </c>
      <c r="AD1019" s="52">
        <f>IFERROR(N(IFERROR(INDEX($A1019:$AB1019,MATCH("Xero Invoiced Ex GST",$A$1:$AB$1,0)),"")),0)</f>
        <v/>
      </c>
      <c r="AE1019" s="53">
        <f>IFERROR(INDEX($A1019:$AB1019,MATCH("Xero Invoice Date",$A$1:$AB$1,0)),"")</f>
        <v/>
      </c>
      <c r="AF1019" s="54">
        <f>IF(AND(IFERROR(INDEX($A1019:$AB1019,MATCH("Xero Invoice No",$A$1:$AB$1,0)),"")&amp;""&lt;&gt;"",ISNUMBER(AE1019),AD1019&lt;&gt;0),1,0)</f>
        <v/>
      </c>
      <c r="AG1019" s="55">
        <f>IF(AF1019=1,EOMONTH(AE1019,0),"")</f>
        <v/>
      </c>
      <c r="AH1019" s="9">
        <f>IF(AF1019=1,UPPER(TRIM(IFERROR(INDEX($A1019:$AB1019,MATCH("Client",$A$1:$AB$1,0)),"")&amp;"")),"")</f>
        <v/>
      </c>
      <c r="AI1019" s="9">
        <f>IF(AF1019=1,IFERROR(INDEX($A1019:$AB1019,MATCH("Cost Centre",$A$1:$AB$1,0)),"")&amp;"","")</f>
        <v/>
      </c>
      <c r="AJ1019" s="54">
        <f>IF(AND(AF1019=1,AE1019&gt;=set_FYStart,AE1019&lt;=set_AsAt),1,0)</f>
        <v/>
      </c>
      <c r="AK1019" s="54">
        <f>IF(AND(AJ1019=1,AH1019&lt;&gt;"",COUNTIFS($AH$2:AH1019,AH1019,$AJ$2:AJ1019,1)=1),N(AL1018)+1,"")</f>
        <v/>
      </c>
      <c r="AL1019" s="54">
        <f>IF(AK1019&lt;&gt;"",AK1019,N(AL1018))</f>
        <v/>
      </c>
    </row>
    <row r="1020">
      <c r="A1020" t="inlineStr">
        <is>
          <t>PRD-0340</t>
        </is>
      </c>
      <c r="B1020" t="inlineStr">
        <is>
          <t>Production</t>
        </is>
      </c>
      <c r="AB1020" t="n">
        <v>340</v>
      </c>
      <c r="AD1020" s="52">
        <f>IFERROR(N(IFERROR(INDEX($A1020:$AB1020,MATCH("Xero Invoiced Ex GST",$A$1:$AB$1,0)),"")),0)</f>
        <v/>
      </c>
      <c r="AE1020" s="53">
        <f>IFERROR(INDEX($A1020:$AB1020,MATCH("Xero Invoice Date",$A$1:$AB$1,0)),"")</f>
        <v/>
      </c>
      <c r="AF1020" s="54">
        <f>IF(AND(IFERROR(INDEX($A1020:$AB1020,MATCH("Xero Invoice No",$A$1:$AB$1,0)),"")&amp;""&lt;&gt;"",ISNUMBER(AE1020),AD1020&lt;&gt;0),1,0)</f>
        <v/>
      </c>
      <c r="AG1020" s="55">
        <f>IF(AF1020=1,EOMONTH(AE1020,0),"")</f>
        <v/>
      </c>
      <c r="AH1020" s="9">
        <f>IF(AF1020=1,UPPER(TRIM(IFERROR(INDEX($A1020:$AB1020,MATCH("Client",$A$1:$AB$1,0)),"")&amp;"")),"")</f>
        <v/>
      </c>
      <c r="AI1020" s="9">
        <f>IF(AF1020=1,IFERROR(INDEX($A1020:$AB1020,MATCH("Cost Centre",$A$1:$AB$1,0)),"")&amp;"","")</f>
        <v/>
      </c>
      <c r="AJ1020" s="54">
        <f>IF(AND(AF1020=1,AE1020&gt;=set_FYStart,AE1020&lt;=set_AsAt),1,0)</f>
        <v/>
      </c>
      <c r="AK1020" s="54">
        <f>IF(AND(AJ1020=1,AH1020&lt;&gt;"",COUNTIFS($AH$2:AH1020,AH1020,$AJ$2:AJ1020,1)=1),N(AL1019)+1,"")</f>
        <v/>
      </c>
      <c r="AL1020" s="54">
        <f>IF(AK1020&lt;&gt;"",AK1020,N(AL1019))</f>
        <v/>
      </c>
    </row>
    <row r="1021">
      <c r="A1021" t="inlineStr">
        <is>
          <t>CON-0340</t>
        </is>
      </c>
      <c r="B1021" t="inlineStr">
        <is>
          <t>Consulting</t>
        </is>
      </c>
      <c r="AB1021" t="n">
        <v>340</v>
      </c>
      <c r="AD1021" s="52">
        <f>IFERROR(N(IFERROR(INDEX($A1021:$AB1021,MATCH("Xero Invoiced Ex GST",$A$1:$AB$1,0)),"")),0)</f>
        <v/>
      </c>
      <c r="AE1021" s="53">
        <f>IFERROR(INDEX($A1021:$AB1021,MATCH("Xero Invoice Date",$A$1:$AB$1,0)),"")</f>
        <v/>
      </c>
      <c r="AF1021" s="54">
        <f>IF(AND(IFERROR(INDEX($A1021:$AB1021,MATCH("Xero Invoice No",$A$1:$AB$1,0)),"")&amp;""&lt;&gt;"",ISNUMBER(AE1021),AD1021&lt;&gt;0),1,0)</f>
        <v/>
      </c>
      <c r="AG1021" s="55">
        <f>IF(AF1021=1,EOMONTH(AE1021,0),"")</f>
        <v/>
      </c>
      <c r="AH1021" s="9">
        <f>IF(AF1021=1,UPPER(TRIM(IFERROR(INDEX($A1021:$AB1021,MATCH("Client",$A$1:$AB$1,0)),"")&amp;"")),"")</f>
        <v/>
      </c>
      <c r="AI1021" s="9">
        <f>IF(AF1021=1,IFERROR(INDEX($A1021:$AB1021,MATCH("Cost Centre",$A$1:$AB$1,0)),"")&amp;"","")</f>
        <v/>
      </c>
      <c r="AJ1021" s="54">
        <f>IF(AND(AF1021=1,AE1021&gt;=set_FYStart,AE1021&lt;=set_AsAt),1,0)</f>
        <v/>
      </c>
      <c r="AK1021" s="54">
        <f>IF(AND(AJ1021=1,AH1021&lt;&gt;"",COUNTIFS($AH$2:AH1021,AH1021,$AJ$2:AJ1021,1)=1),N(AL1020)+1,"")</f>
        <v/>
      </c>
      <c r="AL1021" s="54">
        <f>IF(AK1021&lt;&gt;"",AK1021,N(AL1020))</f>
        <v/>
      </c>
    </row>
    <row r="1022">
      <c r="A1022" t="inlineStr">
        <is>
          <t>ONS-0341</t>
        </is>
      </c>
      <c r="B1022" t="inlineStr">
        <is>
          <t>Onsite</t>
        </is>
      </c>
      <c r="AB1022" t="n">
        <v>341</v>
      </c>
      <c r="AD1022" s="52">
        <f>IFERROR(N(IFERROR(INDEX($A1022:$AB1022,MATCH("Xero Invoiced Ex GST",$A$1:$AB$1,0)),"")),0)</f>
        <v/>
      </c>
      <c r="AE1022" s="53">
        <f>IFERROR(INDEX($A1022:$AB1022,MATCH("Xero Invoice Date",$A$1:$AB$1,0)),"")</f>
        <v/>
      </c>
      <c r="AF1022" s="54">
        <f>IF(AND(IFERROR(INDEX($A1022:$AB1022,MATCH("Xero Invoice No",$A$1:$AB$1,0)),"")&amp;""&lt;&gt;"",ISNUMBER(AE1022),AD1022&lt;&gt;0),1,0)</f>
        <v/>
      </c>
      <c r="AG1022" s="55">
        <f>IF(AF1022=1,EOMONTH(AE1022,0),"")</f>
        <v/>
      </c>
      <c r="AH1022" s="9">
        <f>IF(AF1022=1,UPPER(TRIM(IFERROR(INDEX($A1022:$AB1022,MATCH("Client",$A$1:$AB$1,0)),"")&amp;"")),"")</f>
        <v/>
      </c>
      <c r="AI1022" s="9">
        <f>IF(AF1022=1,IFERROR(INDEX($A1022:$AB1022,MATCH("Cost Centre",$A$1:$AB$1,0)),"")&amp;"","")</f>
        <v/>
      </c>
      <c r="AJ1022" s="54">
        <f>IF(AND(AF1022=1,AE1022&gt;=set_FYStart,AE1022&lt;=set_AsAt),1,0)</f>
        <v/>
      </c>
      <c r="AK1022" s="54">
        <f>IF(AND(AJ1022=1,AH1022&lt;&gt;"",COUNTIFS($AH$2:AH1022,AH1022,$AJ$2:AJ1022,1)=1),N(AL1021)+1,"")</f>
        <v/>
      </c>
      <c r="AL1022" s="54">
        <f>IF(AK1022&lt;&gt;"",AK1022,N(AL1021))</f>
        <v/>
      </c>
    </row>
    <row r="1023">
      <c r="A1023" t="inlineStr">
        <is>
          <t>PRD-0341</t>
        </is>
      </c>
      <c r="B1023" t="inlineStr">
        <is>
          <t>Production</t>
        </is>
      </c>
      <c r="AB1023" t="n">
        <v>341</v>
      </c>
      <c r="AD1023" s="52">
        <f>IFERROR(N(IFERROR(INDEX($A1023:$AB1023,MATCH("Xero Invoiced Ex GST",$A$1:$AB$1,0)),"")),0)</f>
        <v/>
      </c>
      <c r="AE1023" s="53">
        <f>IFERROR(INDEX($A1023:$AB1023,MATCH("Xero Invoice Date",$A$1:$AB$1,0)),"")</f>
        <v/>
      </c>
      <c r="AF1023" s="54">
        <f>IF(AND(IFERROR(INDEX($A1023:$AB1023,MATCH("Xero Invoice No",$A$1:$AB$1,0)),"")&amp;""&lt;&gt;"",ISNUMBER(AE1023),AD1023&lt;&gt;0),1,0)</f>
        <v/>
      </c>
      <c r="AG1023" s="55">
        <f>IF(AF1023=1,EOMONTH(AE1023,0),"")</f>
        <v/>
      </c>
      <c r="AH1023" s="9">
        <f>IF(AF1023=1,UPPER(TRIM(IFERROR(INDEX($A1023:$AB1023,MATCH("Client",$A$1:$AB$1,0)),"")&amp;"")),"")</f>
        <v/>
      </c>
      <c r="AI1023" s="9">
        <f>IF(AF1023=1,IFERROR(INDEX($A1023:$AB1023,MATCH("Cost Centre",$A$1:$AB$1,0)),"")&amp;"","")</f>
        <v/>
      </c>
      <c r="AJ1023" s="54">
        <f>IF(AND(AF1023=1,AE1023&gt;=set_FYStart,AE1023&lt;=set_AsAt),1,0)</f>
        <v/>
      </c>
      <c r="AK1023" s="54">
        <f>IF(AND(AJ1023=1,AH1023&lt;&gt;"",COUNTIFS($AH$2:AH1023,AH1023,$AJ$2:AJ1023,1)=1),N(AL1022)+1,"")</f>
        <v/>
      </c>
      <c r="AL1023" s="54">
        <f>IF(AK1023&lt;&gt;"",AK1023,N(AL1022))</f>
        <v/>
      </c>
    </row>
    <row r="1024">
      <c r="A1024" t="inlineStr">
        <is>
          <t>CON-0341</t>
        </is>
      </c>
      <c r="B1024" t="inlineStr">
        <is>
          <t>Consulting</t>
        </is>
      </c>
      <c r="AB1024" t="n">
        <v>341</v>
      </c>
      <c r="AD1024" s="52">
        <f>IFERROR(N(IFERROR(INDEX($A1024:$AB1024,MATCH("Xero Invoiced Ex GST",$A$1:$AB$1,0)),"")),0)</f>
        <v/>
      </c>
      <c r="AE1024" s="53">
        <f>IFERROR(INDEX($A1024:$AB1024,MATCH("Xero Invoice Date",$A$1:$AB$1,0)),"")</f>
        <v/>
      </c>
      <c r="AF1024" s="54">
        <f>IF(AND(IFERROR(INDEX($A1024:$AB1024,MATCH("Xero Invoice No",$A$1:$AB$1,0)),"")&amp;""&lt;&gt;"",ISNUMBER(AE1024),AD1024&lt;&gt;0),1,0)</f>
        <v/>
      </c>
      <c r="AG1024" s="55">
        <f>IF(AF1024=1,EOMONTH(AE1024,0),"")</f>
        <v/>
      </c>
      <c r="AH1024" s="9">
        <f>IF(AF1024=1,UPPER(TRIM(IFERROR(INDEX($A1024:$AB1024,MATCH("Client",$A$1:$AB$1,0)),"")&amp;"")),"")</f>
        <v/>
      </c>
      <c r="AI1024" s="9">
        <f>IF(AF1024=1,IFERROR(INDEX($A1024:$AB1024,MATCH("Cost Centre",$A$1:$AB$1,0)),"")&amp;"","")</f>
        <v/>
      </c>
      <c r="AJ1024" s="54">
        <f>IF(AND(AF1024=1,AE1024&gt;=set_FYStart,AE1024&lt;=set_AsAt),1,0)</f>
        <v/>
      </c>
      <c r="AK1024" s="54">
        <f>IF(AND(AJ1024=1,AH1024&lt;&gt;"",COUNTIFS($AH$2:AH1024,AH1024,$AJ$2:AJ1024,1)=1),N(AL1023)+1,"")</f>
        <v/>
      </c>
      <c r="AL1024" s="54">
        <f>IF(AK1024&lt;&gt;"",AK1024,N(AL1023))</f>
        <v/>
      </c>
    </row>
    <row r="1025">
      <c r="A1025" t="inlineStr">
        <is>
          <t>ONS-0342</t>
        </is>
      </c>
      <c r="B1025" t="inlineStr">
        <is>
          <t>Onsite</t>
        </is>
      </c>
      <c r="AB1025" t="n">
        <v>342</v>
      </c>
      <c r="AD1025" s="52">
        <f>IFERROR(N(IFERROR(INDEX($A1025:$AB1025,MATCH("Xero Invoiced Ex GST",$A$1:$AB$1,0)),"")),0)</f>
        <v/>
      </c>
      <c r="AE1025" s="53">
        <f>IFERROR(INDEX($A1025:$AB1025,MATCH("Xero Invoice Date",$A$1:$AB$1,0)),"")</f>
        <v/>
      </c>
      <c r="AF1025" s="54">
        <f>IF(AND(IFERROR(INDEX($A1025:$AB1025,MATCH("Xero Invoice No",$A$1:$AB$1,0)),"")&amp;""&lt;&gt;"",ISNUMBER(AE1025),AD1025&lt;&gt;0),1,0)</f>
        <v/>
      </c>
      <c r="AG1025" s="55">
        <f>IF(AF1025=1,EOMONTH(AE1025,0),"")</f>
        <v/>
      </c>
      <c r="AH1025" s="9">
        <f>IF(AF1025=1,UPPER(TRIM(IFERROR(INDEX($A1025:$AB1025,MATCH("Client",$A$1:$AB$1,0)),"")&amp;"")),"")</f>
        <v/>
      </c>
      <c r="AI1025" s="9">
        <f>IF(AF1025=1,IFERROR(INDEX($A1025:$AB1025,MATCH("Cost Centre",$A$1:$AB$1,0)),"")&amp;"","")</f>
        <v/>
      </c>
      <c r="AJ1025" s="54">
        <f>IF(AND(AF1025=1,AE1025&gt;=set_FYStart,AE1025&lt;=set_AsAt),1,0)</f>
        <v/>
      </c>
      <c r="AK1025" s="54">
        <f>IF(AND(AJ1025=1,AH1025&lt;&gt;"",COUNTIFS($AH$2:AH1025,AH1025,$AJ$2:AJ1025,1)=1),N(AL1024)+1,"")</f>
        <v/>
      </c>
      <c r="AL1025" s="54">
        <f>IF(AK1025&lt;&gt;"",AK1025,N(AL1024))</f>
        <v/>
      </c>
    </row>
    <row r="1026">
      <c r="A1026" t="inlineStr">
        <is>
          <t>PRD-0342</t>
        </is>
      </c>
      <c r="B1026" t="inlineStr">
        <is>
          <t>Production</t>
        </is>
      </c>
      <c r="AB1026" t="n">
        <v>342</v>
      </c>
      <c r="AD1026" s="52">
        <f>IFERROR(N(IFERROR(INDEX($A1026:$AB1026,MATCH("Xero Invoiced Ex GST",$A$1:$AB$1,0)),"")),0)</f>
        <v/>
      </c>
      <c r="AE1026" s="53">
        <f>IFERROR(INDEX($A1026:$AB1026,MATCH("Xero Invoice Date",$A$1:$AB$1,0)),"")</f>
        <v/>
      </c>
      <c r="AF1026" s="54">
        <f>IF(AND(IFERROR(INDEX($A1026:$AB1026,MATCH("Xero Invoice No",$A$1:$AB$1,0)),"")&amp;""&lt;&gt;"",ISNUMBER(AE1026),AD1026&lt;&gt;0),1,0)</f>
        <v/>
      </c>
      <c r="AG1026" s="55">
        <f>IF(AF1026=1,EOMONTH(AE1026,0),"")</f>
        <v/>
      </c>
      <c r="AH1026" s="9">
        <f>IF(AF1026=1,UPPER(TRIM(IFERROR(INDEX($A1026:$AB1026,MATCH("Client",$A$1:$AB$1,0)),"")&amp;"")),"")</f>
        <v/>
      </c>
      <c r="AI1026" s="9">
        <f>IF(AF1026=1,IFERROR(INDEX($A1026:$AB1026,MATCH("Cost Centre",$A$1:$AB$1,0)),"")&amp;"","")</f>
        <v/>
      </c>
      <c r="AJ1026" s="54">
        <f>IF(AND(AF1026=1,AE1026&gt;=set_FYStart,AE1026&lt;=set_AsAt),1,0)</f>
        <v/>
      </c>
      <c r="AK1026" s="54">
        <f>IF(AND(AJ1026=1,AH1026&lt;&gt;"",COUNTIFS($AH$2:AH1026,AH1026,$AJ$2:AJ1026,1)=1),N(AL1025)+1,"")</f>
        <v/>
      </c>
      <c r="AL1026" s="54">
        <f>IF(AK1026&lt;&gt;"",AK1026,N(AL1025))</f>
        <v/>
      </c>
    </row>
    <row r="1027">
      <c r="A1027" t="inlineStr">
        <is>
          <t>CON-0342</t>
        </is>
      </c>
      <c r="B1027" t="inlineStr">
        <is>
          <t>Consulting</t>
        </is>
      </c>
      <c r="AB1027" t="n">
        <v>342</v>
      </c>
      <c r="AD1027" s="52">
        <f>IFERROR(N(IFERROR(INDEX($A1027:$AB1027,MATCH("Xero Invoiced Ex GST",$A$1:$AB$1,0)),"")),0)</f>
        <v/>
      </c>
      <c r="AE1027" s="53">
        <f>IFERROR(INDEX($A1027:$AB1027,MATCH("Xero Invoice Date",$A$1:$AB$1,0)),"")</f>
        <v/>
      </c>
      <c r="AF1027" s="54">
        <f>IF(AND(IFERROR(INDEX($A1027:$AB1027,MATCH("Xero Invoice No",$A$1:$AB$1,0)),"")&amp;""&lt;&gt;"",ISNUMBER(AE1027),AD1027&lt;&gt;0),1,0)</f>
        <v/>
      </c>
      <c r="AG1027" s="55">
        <f>IF(AF1027=1,EOMONTH(AE1027,0),"")</f>
        <v/>
      </c>
      <c r="AH1027" s="9">
        <f>IF(AF1027=1,UPPER(TRIM(IFERROR(INDEX($A1027:$AB1027,MATCH("Client",$A$1:$AB$1,0)),"")&amp;"")),"")</f>
        <v/>
      </c>
      <c r="AI1027" s="9">
        <f>IF(AF1027=1,IFERROR(INDEX($A1027:$AB1027,MATCH("Cost Centre",$A$1:$AB$1,0)),"")&amp;"","")</f>
        <v/>
      </c>
      <c r="AJ1027" s="54">
        <f>IF(AND(AF1027=1,AE1027&gt;=set_FYStart,AE1027&lt;=set_AsAt),1,0)</f>
        <v/>
      </c>
      <c r="AK1027" s="54">
        <f>IF(AND(AJ1027=1,AH1027&lt;&gt;"",COUNTIFS($AH$2:AH1027,AH1027,$AJ$2:AJ1027,1)=1),N(AL1026)+1,"")</f>
        <v/>
      </c>
      <c r="AL1027" s="54">
        <f>IF(AK1027&lt;&gt;"",AK1027,N(AL1026))</f>
        <v/>
      </c>
    </row>
    <row r="1028">
      <c r="A1028" t="inlineStr">
        <is>
          <t>ONS-0343</t>
        </is>
      </c>
      <c r="B1028" t="inlineStr">
        <is>
          <t>Onsite</t>
        </is>
      </c>
      <c r="AB1028" t="n">
        <v>343</v>
      </c>
      <c r="AD1028" s="52">
        <f>IFERROR(N(IFERROR(INDEX($A1028:$AB1028,MATCH("Xero Invoiced Ex GST",$A$1:$AB$1,0)),"")),0)</f>
        <v/>
      </c>
      <c r="AE1028" s="53">
        <f>IFERROR(INDEX($A1028:$AB1028,MATCH("Xero Invoice Date",$A$1:$AB$1,0)),"")</f>
        <v/>
      </c>
      <c r="AF1028" s="54">
        <f>IF(AND(IFERROR(INDEX($A1028:$AB1028,MATCH("Xero Invoice No",$A$1:$AB$1,0)),"")&amp;""&lt;&gt;"",ISNUMBER(AE1028),AD1028&lt;&gt;0),1,0)</f>
        <v/>
      </c>
      <c r="AG1028" s="55">
        <f>IF(AF1028=1,EOMONTH(AE1028,0),"")</f>
        <v/>
      </c>
      <c r="AH1028" s="9">
        <f>IF(AF1028=1,UPPER(TRIM(IFERROR(INDEX($A1028:$AB1028,MATCH("Client",$A$1:$AB$1,0)),"")&amp;"")),"")</f>
        <v/>
      </c>
      <c r="AI1028" s="9">
        <f>IF(AF1028=1,IFERROR(INDEX($A1028:$AB1028,MATCH("Cost Centre",$A$1:$AB$1,0)),"")&amp;"","")</f>
        <v/>
      </c>
      <c r="AJ1028" s="54">
        <f>IF(AND(AF1028=1,AE1028&gt;=set_FYStart,AE1028&lt;=set_AsAt),1,0)</f>
        <v/>
      </c>
      <c r="AK1028" s="54">
        <f>IF(AND(AJ1028=1,AH1028&lt;&gt;"",COUNTIFS($AH$2:AH1028,AH1028,$AJ$2:AJ1028,1)=1),N(AL1027)+1,"")</f>
        <v/>
      </c>
      <c r="AL1028" s="54">
        <f>IF(AK1028&lt;&gt;"",AK1028,N(AL1027))</f>
        <v/>
      </c>
    </row>
    <row r="1029">
      <c r="A1029" t="inlineStr">
        <is>
          <t>PRD-0343</t>
        </is>
      </c>
      <c r="B1029" t="inlineStr">
        <is>
          <t>Production</t>
        </is>
      </c>
      <c r="AB1029" t="n">
        <v>343</v>
      </c>
      <c r="AD1029" s="52">
        <f>IFERROR(N(IFERROR(INDEX($A1029:$AB1029,MATCH("Xero Invoiced Ex GST",$A$1:$AB$1,0)),"")),0)</f>
        <v/>
      </c>
      <c r="AE1029" s="53">
        <f>IFERROR(INDEX($A1029:$AB1029,MATCH("Xero Invoice Date",$A$1:$AB$1,0)),"")</f>
        <v/>
      </c>
      <c r="AF1029" s="54">
        <f>IF(AND(IFERROR(INDEX($A1029:$AB1029,MATCH("Xero Invoice No",$A$1:$AB$1,0)),"")&amp;""&lt;&gt;"",ISNUMBER(AE1029),AD1029&lt;&gt;0),1,0)</f>
        <v/>
      </c>
      <c r="AG1029" s="55">
        <f>IF(AF1029=1,EOMONTH(AE1029,0),"")</f>
        <v/>
      </c>
      <c r="AH1029" s="9">
        <f>IF(AF1029=1,UPPER(TRIM(IFERROR(INDEX($A1029:$AB1029,MATCH("Client",$A$1:$AB$1,0)),"")&amp;"")),"")</f>
        <v/>
      </c>
      <c r="AI1029" s="9">
        <f>IF(AF1029=1,IFERROR(INDEX($A1029:$AB1029,MATCH("Cost Centre",$A$1:$AB$1,0)),"")&amp;"","")</f>
        <v/>
      </c>
      <c r="AJ1029" s="54">
        <f>IF(AND(AF1029=1,AE1029&gt;=set_FYStart,AE1029&lt;=set_AsAt),1,0)</f>
        <v/>
      </c>
      <c r="AK1029" s="54">
        <f>IF(AND(AJ1029=1,AH1029&lt;&gt;"",COUNTIFS($AH$2:AH1029,AH1029,$AJ$2:AJ1029,1)=1),N(AL1028)+1,"")</f>
        <v/>
      </c>
      <c r="AL1029" s="54">
        <f>IF(AK1029&lt;&gt;"",AK1029,N(AL1028))</f>
        <v/>
      </c>
    </row>
    <row r="1030">
      <c r="A1030" t="inlineStr">
        <is>
          <t>CON-0343</t>
        </is>
      </c>
      <c r="B1030" t="inlineStr">
        <is>
          <t>Consulting</t>
        </is>
      </c>
      <c r="AB1030" t="n">
        <v>343</v>
      </c>
      <c r="AD1030" s="52">
        <f>IFERROR(N(IFERROR(INDEX($A1030:$AB1030,MATCH("Xero Invoiced Ex GST",$A$1:$AB$1,0)),"")),0)</f>
        <v/>
      </c>
      <c r="AE1030" s="53">
        <f>IFERROR(INDEX($A1030:$AB1030,MATCH("Xero Invoice Date",$A$1:$AB$1,0)),"")</f>
        <v/>
      </c>
      <c r="AF1030" s="54">
        <f>IF(AND(IFERROR(INDEX($A1030:$AB1030,MATCH("Xero Invoice No",$A$1:$AB$1,0)),"")&amp;""&lt;&gt;"",ISNUMBER(AE1030),AD1030&lt;&gt;0),1,0)</f>
        <v/>
      </c>
      <c r="AG1030" s="55">
        <f>IF(AF1030=1,EOMONTH(AE1030,0),"")</f>
        <v/>
      </c>
      <c r="AH1030" s="9">
        <f>IF(AF1030=1,UPPER(TRIM(IFERROR(INDEX($A1030:$AB1030,MATCH("Client",$A$1:$AB$1,0)),"")&amp;"")),"")</f>
        <v/>
      </c>
      <c r="AI1030" s="9">
        <f>IF(AF1030=1,IFERROR(INDEX($A1030:$AB1030,MATCH("Cost Centre",$A$1:$AB$1,0)),"")&amp;"","")</f>
        <v/>
      </c>
      <c r="AJ1030" s="54">
        <f>IF(AND(AF1030=1,AE1030&gt;=set_FYStart,AE1030&lt;=set_AsAt),1,0)</f>
        <v/>
      </c>
      <c r="AK1030" s="54">
        <f>IF(AND(AJ1030=1,AH1030&lt;&gt;"",COUNTIFS($AH$2:AH1030,AH1030,$AJ$2:AJ1030,1)=1),N(AL1029)+1,"")</f>
        <v/>
      </c>
      <c r="AL1030" s="54">
        <f>IF(AK1030&lt;&gt;"",AK1030,N(AL1029))</f>
        <v/>
      </c>
    </row>
    <row r="1031">
      <c r="A1031" t="inlineStr">
        <is>
          <t>ONS-0344</t>
        </is>
      </c>
      <c r="B1031" t="inlineStr">
        <is>
          <t>Onsite</t>
        </is>
      </c>
      <c r="AB1031" t="n">
        <v>344</v>
      </c>
      <c r="AD1031" s="52">
        <f>IFERROR(N(IFERROR(INDEX($A1031:$AB1031,MATCH("Xero Invoiced Ex GST",$A$1:$AB$1,0)),"")),0)</f>
        <v/>
      </c>
      <c r="AE1031" s="53">
        <f>IFERROR(INDEX($A1031:$AB1031,MATCH("Xero Invoice Date",$A$1:$AB$1,0)),"")</f>
        <v/>
      </c>
      <c r="AF1031" s="54">
        <f>IF(AND(IFERROR(INDEX($A1031:$AB1031,MATCH("Xero Invoice No",$A$1:$AB$1,0)),"")&amp;""&lt;&gt;"",ISNUMBER(AE1031),AD1031&lt;&gt;0),1,0)</f>
        <v/>
      </c>
      <c r="AG1031" s="55">
        <f>IF(AF1031=1,EOMONTH(AE1031,0),"")</f>
        <v/>
      </c>
      <c r="AH1031" s="9">
        <f>IF(AF1031=1,UPPER(TRIM(IFERROR(INDEX($A1031:$AB1031,MATCH("Client",$A$1:$AB$1,0)),"")&amp;"")),"")</f>
        <v/>
      </c>
      <c r="AI1031" s="9">
        <f>IF(AF1031=1,IFERROR(INDEX($A1031:$AB1031,MATCH("Cost Centre",$A$1:$AB$1,0)),"")&amp;"","")</f>
        <v/>
      </c>
      <c r="AJ1031" s="54">
        <f>IF(AND(AF1031=1,AE1031&gt;=set_FYStart,AE1031&lt;=set_AsAt),1,0)</f>
        <v/>
      </c>
      <c r="AK1031" s="54">
        <f>IF(AND(AJ1031=1,AH1031&lt;&gt;"",COUNTIFS($AH$2:AH1031,AH1031,$AJ$2:AJ1031,1)=1),N(AL1030)+1,"")</f>
        <v/>
      </c>
      <c r="AL1031" s="54">
        <f>IF(AK1031&lt;&gt;"",AK1031,N(AL1030))</f>
        <v/>
      </c>
    </row>
    <row r="1032">
      <c r="A1032" t="inlineStr">
        <is>
          <t>PRD-0344</t>
        </is>
      </c>
      <c r="B1032" t="inlineStr">
        <is>
          <t>Production</t>
        </is>
      </c>
      <c r="AB1032" t="n">
        <v>344</v>
      </c>
      <c r="AD1032" s="52">
        <f>IFERROR(N(IFERROR(INDEX($A1032:$AB1032,MATCH("Xero Invoiced Ex GST",$A$1:$AB$1,0)),"")),0)</f>
        <v/>
      </c>
      <c r="AE1032" s="53">
        <f>IFERROR(INDEX($A1032:$AB1032,MATCH("Xero Invoice Date",$A$1:$AB$1,0)),"")</f>
        <v/>
      </c>
      <c r="AF1032" s="54">
        <f>IF(AND(IFERROR(INDEX($A1032:$AB1032,MATCH("Xero Invoice No",$A$1:$AB$1,0)),"")&amp;""&lt;&gt;"",ISNUMBER(AE1032),AD1032&lt;&gt;0),1,0)</f>
        <v/>
      </c>
      <c r="AG1032" s="55">
        <f>IF(AF1032=1,EOMONTH(AE1032,0),"")</f>
        <v/>
      </c>
      <c r="AH1032" s="9">
        <f>IF(AF1032=1,UPPER(TRIM(IFERROR(INDEX($A1032:$AB1032,MATCH("Client",$A$1:$AB$1,0)),"")&amp;"")),"")</f>
        <v/>
      </c>
      <c r="AI1032" s="9">
        <f>IF(AF1032=1,IFERROR(INDEX($A1032:$AB1032,MATCH("Cost Centre",$A$1:$AB$1,0)),"")&amp;"","")</f>
        <v/>
      </c>
      <c r="AJ1032" s="54">
        <f>IF(AND(AF1032=1,AE1032&gt;=set_FYStart,AE1032&lt;=set_AsAt),1,0)</f>
        <v/>
      </c>
      <c r="AK1032" s="54">
        <f>IF(AND(AJ1032=1,AH1032&lt;&gt;"",COUNTIFS($AH$2:AH1032,AH1032,$AJ$2:AJ1032,1)=1),N(AL1031)+1,"")</f>
        <v/>
      </c>
      <c r="AL1032" s="54">
        <f>IF(AK1032&lt;&gt;"",AK1032,N(AL1031))</f>
        <v/>
      </c>
    </row>
    <row r="1033">
      <c r="A1033" t="inlineStr">
        <is>
          <t>CON-0344</t>
        </is>
      </c>
      <c r="B1033" t="inlineStr">
        <is>
          <t>Consulting</t>
        </is>
      </c>
      <c r="AB1033" t="n">
        <v>344</v>
      </c>
      <c r="AD1033" s="52">
        <f>IFERROR(N(IFERROR(INDEX($A1033:$AB1033,MATCH("Xero Invoiced Ex GST",$A$1:$AB$1,0)),"")),0)</f>
        <v/>
      </c>
      <c r="AE1033" s="53">
        <f>IFERROR(INDEX($A1033:$AB1033,MATCH("Xero Invoice Date",$A$1:$AB$1,0)),"")</f>
        <v/>
      </c>
      <c r="AF1033" s="54">
        <f>IF(AND(IFERROR(INDEX($A1033:$AB1033,MATCH("Xero Invoice No",$A$1:$AB$1,0)),"")&amp;""&lt;&gt;"",ISNUMBER(AE1033),AD1033&lt;&gt;0),1,0)</f>
        <v/>
      </c>
      <c r="AG1033" s="55">
        <f>IF(AF1033=1,EOMONTH(AE1033,0),"")</f>
        <v/>
      </c>
      <c r="AH1033" s="9">
        <f>IF(AF1033=1,UPPER(TRIM(IFERROR(INDEX($A1033:$AB1033,MATCH("Client",$A$1:$AB$1,0)),"")&amp;"")),"")</f>
        <v/>
      </c>
      <c r="AI1033" s="9">
        <f>IF(AF1033=1,IFERROR(INDEX($A1033:$AB1033,MATCH("Cost Centre",$A$1:$AB$1,0)),"")&amp;"","")</f>
        <v/>
      </c>
      <c r="AJ1033" s="54">
        <f>IF(AND(AF1033=1,AE1033&gt;=set_FYStart,AE1033&lt;=set_AsAt),1,0)</f>
        <v/>
      </c>
      <c r="AK1033" s="54">
        <f>IF(AND(AJ1033=1,AH1033&lt;&gt;"",COUNTIFS($AH$2:AH1033,AH1033,$AJ$2:AJ1033,1)=1),N(AL1032)+1,"")</f>
        <v/>
      </c>
      <c r="AL1033" s="54">
        <f>IF(AK1033&lt;&gt;"",AK1033,N(AL1032))</f>
        <v/>
      </c>
    </row>
    <row r="1034">
      <c r="A1034" t="inlineStr">
        <is>
          <t>ONS-0345</t>
        </is>
      </c>
      <c r="B1034" t="inlineStr">
        <is>
          <t>Onsite</t>
        </is>
      </c>
      <c r="AB1034" t="n">
        <v>345</v>
      </c>
      <c r="AD1034" s="52">
        <f>IFERROR(N(IFERROR(INDEX($A1034:$AB1034,MATCH("Xero Invoiced Ex GST",$A$1:$AB$1,0)),"")),0)</f>
        <v/>
      </c>
      <c r="AE1034" s="53">
        <f>IFERROR(INDEX($A1034:$AB1034,MATCH("Xero Invoice Date",$A$1:$AB$1,0)),"")</f>
        <v/>
      </c>
      <c r="AF1034" s="54">
        <f>IF(AND(IFERROR(INDEX($A1034:$AB1034,MATCH("Xero Invoice No",$A$1:$AB$1,0)),"")&amp;""&lt;&gt;"",ISNUMBER(AE1034),AD1034&lt;&gt;0),1,0)</f>
        <v/>
      </c>
      <c r="AG1034" s="55">
        <f>IF(AF1034=1,EOMONTH(AE1034,0),"")</f>
        <v/>
      </c>
      <c r="AH1034" s="9">
        <f>IF(AF1034=1,UPPER(TRIM(IFERROR(INDEX($A1034:$AB1034,MATCH("Client",$A$1:$AB$1,0)),"")&amp;"")),"")</f>
        <v/>
      </c>
      <c r="AI1034" s="9">
        <f>IF(AF1034=1,IFERROR(INDEX($A1034:$AB1034,MATCH("Cost Centre",$A$1:$AB$1,0)),"")&amp;"","")</f>
        <v/>
      </c>
      <c r="AJ1034" s="54">
        <f>IF(AND(AF1034=1,AE1034&gt;=set_FYStart,AE1034&lt;=set_AsAt),1,0)</f>
        <v/>
      </c>
      <c r="AK1034" s="54">
        <f>IF(AND(AJ1034=1,AH1034&lt;&gt;"",COUNTIFS($AH$2:AH1034,AH1034,$AJ$2:AJ1034,1)=1),N(AL1033)+1,"")</f>
        <v/>
      </c>
      <c r="AL1034" s="54">
        <f>IF(AK1034&lt;&gt;"",AK1034,N(AL1033))</f>
        <v/>
      </c>
    </row>
    <row r="1035">
      <c r="A1035" t="inlineStr">
        <is>
          <t>PRD-0345</t>
        </is>
      </c>
      <c r="B1035" t="inlineStr">
        <is>
          <t>Production</t>
        </is>
      </c>
      <c r="AB1035" t="n">
        <v>345</v>
      </c>
      <c r="AD1035" s="52">
        <f>IFERROR(N(IFERROR(INDEX($A1035:$AB1035,MATCH("Xero Invoiced Ex GST",$A$1:$AB$1,0)),"")),0)</f>
        <v/>
      </c>
      <c r="AE1035" s="53">
        <f>IFERROR(INDEX($A1035:$AB1035,MATCH("Xero Invoice Date",$A$1:$AB$1,0)),"")</f>
        <v/>
      </c>
      <c r="AF1035" s="54">
        <f>IF(AND(IFERROR(INDEX($A1035:$AB1035,MATCH("Xero Invoice No",$A$1:$AB$1,0)),"")&amp;""&lt;&gt;"",ISNUMBER(AE1035),AD1035&lt;&gt;0),1,0)</f>
        <v/>
      </c>
      <c r="AG1035" s="55">
        <f>IF(AF1035=1,EOMONTH(AE1035,0),"")</f>
        <v/>
      </c>
      <c r="AH1035" s="9">
        <f>IF(AF1035=1,UPPER(TRIM(IFERROR(INDEX($A1035:$AB1035,MATCH("Client",$A$1:$AB$1,0)),"")&amp;"")),"")</f>
        <v/>
      </c>
      <c r="AI1035" s="9">
        <f>IF(AF1035=1,IFERROR(INDEX($A1035:$AB1035,MATCH("Cost Centre",$A$1:$AB$1,0)),"")&amp;"","")</f>
        <v/>
      </c>
      <c r="AJ1035" s="54">
        <f>IF(AND(AF1035=1,AE1035&gt;=set_FYStart,AE1035&lt;=set_AsAt),1,0)</f>
        <v/>
      </c>
      <c r="AK1035" s="54">
        <f>IF(AND(AJ1035=1,AH1035&lt;&gt;"",COUNTIFS($AH$2:AH1035,AH1035,$AJ$2:AJ1035,1)=1),N(AL1034)+1,"")</f>
        <v/>
      </c>
      <c r="AL1035" s="54">
        <f>IF(AK1035&lt;&gt;"",AK1035,N(AL1034))</f>
        <v/>
      </c>
    </row>
    <row r="1036">
      <c r="A1036" t="inlineStr">
        <is>
          <t>CON-0345</t>
        </is>
      </c>
      <c r="B1036" t="inlineStr">
        <is>
          <t>Consulting</t>
        </is>
      </c>
      <c r="AB1036" t="n">
        <v>345</v>
      </c>
      <c r="AD1036" s="52">
        <f>IFERROR(N(IFERROR(INDEX($A1036:$AB1036,MATCH("Xero Invoiced Ex GST",$A$1:$AB$1,0)),"")),0)</f>
        <v/>
      </c>
      <c r="AE1036" s="53">
        <f>IFERROR(INDEX($A1036:$AB1036,MATCH("Xero Invoice Date",$A$1:$AB$1,0)),"")</f>
        <v/>
      </c>
      <c r="AF1036" s="54">
        <f>IF(AND(IFERROR(INDEX($A1036:$AB1036,MATCH("Xero Invoice No",$A$1:$AB$1,0)),"")&amp;""&lt;&gt;"",ISNUMBER(AE1036),AD1036&lt;&gt;0),1,0)</f>
        <v/>
      </c>
      <c r="AG1036" s="55">
        <f>IF(AF1036=1,EOMONTH(AE1036,0),"")</f>
        <v/>
      </c>
      <c r="AH1036" s="9">
        <f>IF(AF1036=1,UPPER(TRIM(IFERROR(INDEX($A1036:$AB1036,MATCH("Client",$A$1:$AB$1,0)),"")&amp;"")),"")</f>
        <v/>
      </c>
      <c r="AI1036" s="9">
        <f>IF(AF1036=1,IFERROR(INDEX($A1036:$AB1036,MATCH("Cost Centre",$A$1:$AB$1,0)),"")&amp;"","")</f>
        <v/>
      </c>
      <c r="AJ1036" s="54">
        <f>IF(AND(AF1036=1,AE1036&gt;=set_FYStart,AE1036&lt;=set_AsAt),1,0)</f>
        <v/>
      </c>
      <c r="AK1036" s="54">
        <f>IF(AND(AJ1036=1,AH1036&lt;&gt;"",COUNTIFS($AH$2:AH1036,AH1036,$AJ$2:AJ1036,1)=1),N(AL1035)+1,"")</f>
        <v/>
      </c>
      <c r="AL1036" s="54">
        <f>IF(AK1036&lt;&gt;"",AK1036,N(AL1035))</f>
        <v/>
      </c>
    </row>
    <row r="1037">
      <c r="A1037" t="inlineStr">
        <is>
          <t>ONS-0346</t>
        </is>
      </c>
      <c r="B1037" t="inlineStr">
        <is>
          <t>Onsite</t>
        </is>
      </c>
      <c r="AB1037" t="n">
        <v>346</v>
      </c>
      <c r="AD1037" s="52">
        <f>IFERROR(N(IFERROR(INDEX($A1037:$AB1037,MATCH("Xero Invoiced Ex GST",$A$1:$AB$1,0)),"")),0)</f>
        <v/>
      </c>
      <c r="AE1037" s="53">
        <f>IFERROR(INDEX($A1037:$AB1037,MATCH("Xero Invoice Date",$A$1:$AB$1,0)),"")</f>
        <v/>
      </c>
      <c r="AF1037" s="54">
        <f>IF(AND(IFERROR(INDEX($A1037:$AB1037,MATCH("Xero Invoice No",$A$1:$AB$1,0)),"")&amp;""&lt;&gt;"",ISNUMBER(AE1037),AD1037&lt;&gt;0),1,0)</f>
        <v/>
      </c>
      <c r="AG1037" s="55">
        <f>IF(AF1037=1,EOMONTH(AE1037,0),"")</f>
        <v/>
      </c>
      <c r="AH1037" s="9">
        <f>IF(AF1037=1,UPPER(TRIM(IFERROR(INDEX($A1037:$AB1037,MATCH("Client",$A$1:$AB$1,0)),"")&amp;"")),"")</f>
        <v/>
      </c>
      <c r="AI1037" s="9">
        <f>IF(AF1037=1,IFERROR(INDEX($A1037:$AB1037,MATCH("Cost Centre",$A$1:$AB$1,0)),"")&amp;"","")</f>
        <v/>
      </c>
      <c r="AJ1037" s="54">
        <f>IF(AND(AF1037=1,AE1037&gt;=set_FYStart,AE1037&lt;=set_AsAt),1,0)</f>
        <v/>
      </c>
      <c r="AK1037" s="54">
        <f>IF(AND(AJ1037=1,AH1037&lt;&gt;"",COUNTIFS($AH$2:AH1037,AH1037,$AJ$2:AJ1037,1)=1),N(AL1036)+1,"")</f>
        <v/>
      </c>
      <c r="AL1037" s="54">
        <f>IF(AK1037&lt;&gt;"",AK1037,N(AL1036))</f>
        <v/>
      </c>
    </row>
    <row r="1038">
      <c r="A1038" t="inlineStr">
        <is>
          <t>PRD-0346</t>
        </is>
      </c>
      <c r="B1038" t="inlineStr">
        <is>
          <t>Production</t>
        </is>
      </c>
      <c r="AB1038" t="n">
        <v>346</v>
      </c>
      <c r="AD1038" s="52">
        <f>IFERROR(N(IFERROR(INDEX($A1038:$AB1038,MATCH("Xero Invoiced Ex GST",$A$1:$AB$1,0)),"")),0)</f>
        <v/>
      </c>
      <c r="AE1038" s="53">
        <f>IFERROR(INDEX($A1038:$AB1038,MATCH("Xero Invoice Date",$A$1:$AB$1,0)),"")</f>
        <v/>
      </c>
      <c r="AF1038" s="54">
        <f>IF(AND(IFERROR(INDEX($A1038:$AB1038,MATCH("Xero Invoice No",$A$1:$AB$1,0)),"")&amp;""&lt;&gt;"",ISNUMBER(AE1038),AD1038&lt;&gt;0),1,0)</f>
        <v/>
      </c>
      <c r="AG1038" s="55">
        <f>IF(AF1038=1,EOMONTH(AE1038,0),"")</f>
        <v/>
      </c>
      <c r="AH1038" s="9">
        <f>IF(AF1038=1,UPPER(TRIM(IFERROR(INDEX($A1038:$AB1038,MATCH("Client",$A$1:$AB$1,0)),"")&amp;"")),"")</f>
        <v/>
      </c>
      <c r="AI1038" s="9">
        <f>IF(AF1038=1,IFERROR(INDEX($A1038:$AB1038,MATCH("Cost Centre",$A$1:$AB$1,0)),"")&amp;"","")</f>
        <v/>
      </c>
      <c r="AJ1038" s="54">
        <f>IF(AND(AF1038=1,AE1038&gt;=set_FYStart,AE1038&lt;=set_AsAt),1,0)</f>
        <v/>
      </c>
      <c r="AK1038" s="54">
        <f>IF(AND(AJ1038=1,AH1038&lt;&gt;"",COUNTIFS($AH$2:AH1038,AH1038,$AJ$2:AJ1038,1)=1),N(AL1037)+1,"")</f>
        <v/>
      </c>
      <c r="AL1038" s="54">
        <f>IF(AK1038&lt;&gt;"",AK1038,N(AL1037))</f>
        <v/>
      </c>
    </row>
    <row r="1039">
      <c r="A1039" t="inlineStr">
        <is>
          <t>CON-0346</t>
        </is>
      </c>
      <c r="B1039" t="inlineStr">
        <is>
          <t>Consulting</t>
        </is>
      </c>
      <c r="AB1039" t="n">
        <v>346</v>
      </c>
      <c r="AD1039" s="52">
        <f>IFERROR(N(IFERROR(INDEX($A1039:$AB1039,MATCH("Xero Invoiced Ex GST",$A$1:$AB$1,0)),"")),0)</f>
        <v/>
      </c>
      <c r="AE1039" s="53">
        <f>IFERROR(INDEX($A1039:$AB1039,MATCH("Xero Invoice Date",$A$1:$AB$1,0)),"")</f>
        <v/>
      </c>
      <c r="AF1039" s="54">
        <f>IF(AND(IFERROR(INDEX($A1039:$AB1039,MATCH("Xero Invoice No",$A$1:$AB$1,0)),"")&amp;""&lt;&gt;"",ISNUMBER(AE1039),AD1039&lt;&gt;0),1,0)</f>
        <v/>
      </c>
      <c r="AG1039" s="55">
        <f>IF(AF1039=1,EOMONTH(AE1039,0),"")</f>
        <v/>
      </c>
      <c r="AH1039" s="9">
        <f>IF(AF1039=1,UPPER(TRIM(IFERROR(INDEX($A1039:$AB1039,MATCH("Client",$A$1:$AB$1,0)),"")&amp;"")),"")</f>
        <v/>
      </c>
      <c r="AI1039" s="9">
        <f>IF(AF1039=1,IFERROR(INDEX($A1039:$AB1039,MATCH("Cost Centre",$A$1:$AB$1,0)),"")&amp;"","")</f>
        <v/>
      </c>
      <c r="AJ1039" s="54">
        <f>IF(AND(AF1039=1,AE1039&gt;=set_FYStart,AE1039&lt;=set_AsAt),1,0)</f>
        <v/>
      </c>
      <c r="AK1039" s="54">
        <f>IF(AND(AJ1039=1,AH1039&lt;&gt;"",COUNTIFS($AH$2:AH1039,AH1039,$AJ$2:AJ1039,1)=1),N(AL1038)+1,"")</f>
        <v/>
      </c>
      <c r="AL1039" s="54">
        <f>IF(AK1039&lt;&gt;"",AK1039,N(AL1038))</f>
        <v/>
      </c>
    </row>
    <row r="1040">
      <c r="A1040" t="inlineStr">
        <is>
          <t>ONS-0347</t>
        </is>
      </c>
      <c r="B1040" t="inlineStr">
        <is>
          <t>Onsite</t>
        </is>
      </c>
      <c r="AB1040" t="n">
        <v>347</v>
      </c>
      <c r="AD1040" s="52">
        <f>IFERROR(N(IFERROR(INDEX($A1040:$AB1040,MATCH("Xero Invoiced Ex GST",$A$1:$AB$1,0)),"")),0)</f>
        <v/>
      </c>
      <c r="AE1040" s="53">
        <f>IFERROR(INDEX($A1040:$AB1040,MATCH("Xero Invoice Date",$A$1:$AB$1,0)),"")</f>
        <v/>
      </c>
      <c r="AF1040" s="54">
        <f>IF(AND(IFERROR(INDEX($A1040:$AB1040,MATCH("Xero Invoice No",$A$1:$AB$1,0)),"")&amp;""&lt;&gt;"",ISNUMBER(AE1040),AD1040&lt;&gt;0),1,0)</f>
        <v/>
      </c>
      <c r="AG1040" s="55">
        <f>IF(AF1040=1,EOMONTH(AE1040,0),"")</f>
        <v/>
      </c>
      <c r="AH1040" s="9">
        <f>IF(AF1040=1,UPPER(TRIM(IFERROR(INDEX($A1040:$AB1040,MATCH("Client",$A$1:$AB$1,0)),"")&amp;"")),"")</f>
        <v/>
      </c>
      <c r="AI1040" s="9">
        <f>IF(AF1040=1,IFERROR(INDEX($A1040:$AB1040,MATCH("Cost Centre",$A$1:$AB$1,0)),"")&amp;"","")</f>
        <v/>
      </c>
      <c r="AJ1040" s="54">
        <f>IF(AND(AF1040=1,AE1040&gt;=set_FYStart,AE1040&lt;=set_AsAt),1,0)</f>
        <v/>
      </c>
      <c r="AK1040" s="54">
        <f>IF(AND(AJ1040=1,AH1040&lt;&gt;"",COUNTIFS($AH$2:AH1040,AH1040,$AJ$2:AJ1040,1)=1),N(AL1039)+1,"")</f>
        <v/>
      </c>
      <c r="AL1040" s="54">
        <f>IF(AK1040&lt;&gt;"",AK1040,N(AL1039))</f>
        <v/>
      </c>
    </row>
    <row r="1041">
      <c r="A1041" t="inlineStr">
        <is>
          <t>PRD-0347</t>
        </is>
      </c>
      <c r="B1041" t="inlineStr">
        <is>
          <t>Production</t>
        </is>
      </c>
      <c r="AB1041" t="n">
        <v>347</v>
      </c>
      <c r="AD1041" s="52">
        <f>IFERROR(N(IFERROR(INDEX($A1041:$AB1041,MATCH("Xero Invoiced Ex GST",$A$1:$AB$1,0)),"")),0)</f>
        <v/>
      </c>
      <c r="AE1041" s="53">
        <f>IFERROR(INDEX($A1041:$AB1041,MATCH("Xero Invoice Date",$A$1:$AB$1,0)),"")</f>
        <v/>
      </c>
      <c r="AF1041" s="54">
        <f>IF(AND(IFERROR(INDEX($A1041:$AB1041,MATCH("Xero Invoice No",$A$1:$AB$1,0)),"")&amp;""&lt;&gt;"",ISNUMBER(AE1041),AD1041&lt;&gt;0),1,0)</f>
        <v/>
      </c>
      <c r="AG1041" s="55">
        <f>IF(AF1041=1,EOMONTH(AE1041,0),"")</f>
        <v/>
      </c>
      <c r="AH1041" s="9">
        <f>IF(AF1041=1,UPPER(TRIM(IFERROR(INDEX($A1041:$AB1041,MATCH("Client",$A$1:$AB$1,0)),"")&amp;"")),"")</f>
        <v/>
      </c>
      <c r="AI1041" s="9">
        <f>IF(AF1041=1,IFERROR(INDEX($A1041:$AB1041,MATCH("Cost Centre",$A$1:$AB$1,0)),"")&amp;"","")</f>
        <v/>
      </c>
      <c r="AJ1041" s="54">
        <f>IF(AND(AF1041=1,AE1041&gt;=set_FYStart,AE1041&lt;=set_AsAt),1,0)</f>
        <v/>
      </c>
      <c r="AK1041" s="54">
        <f>IF(AND(AJ1041=1,AH1041&lt;&gt;"",COUNTIFS($AH$2:AH1041,AH1041,$AJ$2:AJ1041,1)=1),N(AL1040)+1,"")</f>
        <v/>
      </c>
      <c r="AL1041" s="54">
        <f>IF(AK1041&lt;&gt;"",AK1041,N(AL1040))</f>
        <v/>
      </c>
    </row>
    <row r="1042">
      <c r="A1042" t="inlineStr">
        <is>
          <t>CON-0347</t>
        </is>
      </c>
      <c r="B1042" t="inlineStr">
        <is>
          <t>Consulting</t>
        </is>
      </c>
      <c r="AB1042" t="n">
        <v>347</v>
      </c>
      <c r="AD1042" s="52">
        <f>IFERROR(N(IFERROR(INDEX($A1042:$AB1042,MATCH("Xero Invoiced Ex GST",$A$1:$AB$1,0)),"")),0)</f>
        <v/>
      </c>
      <c r="AE1042" s="53">
        <f>IFERROR(INDEX($A1042:$AB1042,MATCH("Xero Invoice Date",$A$1:$AB$1,0)),"")</f>
        <v/>
      </c>
      <c r="AF1042" s="54">
        <f>IF(AND(IFERROR(INDEX($A1042:$AB1042,MATCH("Xero Invoice No",$A$1:$AB$1,0)),"")&amp;""&lt;&gt;"",ISNUMBER(AE1042),AD1042&lt;&gt;0),1,0)</f>
        <v/>
      </c>
      <c r="AG1042" s="55">
        <f>IF(AF1042=1,EOMONTH(AE1042,0),"")</f>
        <v/>
      </c>
      <c r="AH1042" s="9">
        <f>IF(AF1042=1,UPPER(TRIM(IFERROR(INDEX($A1042:$AB1042,MATCH("Client",$A$1:$AB$1,0)),"")&amp;"")),"")</f>
        <v/>
      </c>
      <c r="AI1042" s="9">
        <f>IF(AF1042=1,IFERROR(INDEX($A1042:$AB1042,MATCH("Cost Centre",$A$1:$AB$1,0)),"")&amp;"","")</f>
        <v/>
      </c>
      <c r="AJ1042" s="54">
        <f>IF(AND(AF1042=1,AE1042&gt;=set_FYStart,AE1042&lt;=set_AsAt),1,0)</f>
        <v/>
      </c>
      <c r="AK1042" s="54">
        <f>IF(AND(AJ1042=1,AH1042&lt;&gt;"",COUNTIFS($AH$2:AH1042,AH1042,$AJ$2:AJ1042,1)=1),N(AL1041)+1,"")</f>
        <v/>
      </c>
      <c r="AL1042" s="54">
        <f>IF(AK1042&lt;&gt;"",AK1042,N(AL1041))</f>
        <v/>
      </c>
    </row>
    <row r="1043">
      <c r="A1043" t="inlineStr">
        <is>
          <t>ONS-0348</t>
        </is>
      </c>
      <c r="B1043" t="inlineStr">
        <is>
          <t>Onsite</t>
        </is>
      </c>
      <c r="AB1043" t="n">
        <v>348</v>
      </c>
      <c r="AD1043" s="52">
        <f>IFERROR(N(IFERROR(INDEX($A1043:$AB1043,MATCH("Xero Invoiced Ex GST",$A$1:$AB$1,0)),"")),0)</f>
        <v/>
      </c>
      <c r="AE1043" s="53">
        <f>IFERROR(INDEX($A1043:$AB1043,MATCH("Xero Invoice Date",$A$1:$AB$1,0)),"")</f>
        <v/>
      </c>
      <c r="AF1043" s="54">
        <f>IF(AND(IFERROR(INDEX($A1043:$AB1043,MATCH("Xero Invoice No",$A$1:$AB$1,0)),"")&amp;""&lt;&gt;"",ISNUMBER(AE1043),AD1043&lt;&gt;0),1,0)</f>
        <v/>
      </c>
      <c r="AG1043" s="55">
        <f>IF(AF1043=1,EOMONTH(AE1043,0),"")</f>
        <v/>
      </c>
      <c r="AH1043" s="9">
        <f>IF(AF1043=1,UPPER(TRIM(IFERROR(INDEX($A1043:$AB1043,MATCH("Client",$A$1:$AB$1,0)),"")&amp;"")),"")</f>
        <v/>
      </c>
      <c r="AI1043" s="9">
        <f>IF(AF1043=1,IFERROR(INDEX($A1043:$AB1043,MATCH("Cost Centre",$A$1:$AB$1,0)),"")&amp;"","")</f>
        <v/>
      </c>
      <c r="AJ1043" s="54">
        <f>IF(AND(AF1043=1,AE1043&gt;=set_FYStart,AE1043&lt;=set_AsAt),1,0)</f>
        <v/>
      </c>
      <c r="AK1043" s="54">
        <f>IF(AND(AJ1043=1,AH1043&lt;&gt;"",COUNTIFS($AH$2:AH1043,AH1043,$AJ$2:AJ1043,1)=1),N(AL1042)+1,"")</f>
        <v/>
      </c>
      <c r="AL1043" s="54">
        <f>IF(AK1043&lt;&gt;"",AK1043,N(AL1042))</f>
        <v/>
      </c>
    </row>
    <row r="1044">
      <c r="A1044" t="inlineStr">
        <is>
          <t>PRD-0348</t>
        </is>
      </c>
      <c r="B1044" t="inlineStr">
        <is>
          <t>Production</t>
        </is>
      </c>
      <c r="AB1044" t="n">
        <v>348</v>
      </c>
      <c r="AD1044" s="52">
        <f>IFERROR(N(IFERROR(INDEX($A1044:$AB1044,MATCH("Xero Invoiced Ex GST",$A$1:$AB$1,0)),"")),0)</f>
        <v/>
      </c>
      <c r="AE1044" s="53">
        <f>IFERROR(INDEX($A1044:$AB1044,MATCH("Xero Invoice Date",$A$1:$AB$1,0)),"")</f>
        <v/>
      </c>
      <c r="AF1044" s="54">
        <f>IF(AND(IFERROR(INDEX($A1044:$AB1044,MATCH("Xero Invoice No",$A$1:$AB$1,0)),"")&amp;""&lt;&gt;"",ISNUMBER(AE1044),AD1044&lt;&gt;0),1,0)</f>
        <v/>
      </c>
      <c r="AG1044" s="55">
        <f>IF(AF1044=1,EOMONTH(AE1044,0),"")</f>
        <v/>
      </c>
      <c r="AH1044" s="9">
        <f>IF(AF1044=1,UPPER(TRIM(IFERROR(INDEX($A1044:$AB1044,MATCH("Client",$A$1:$AB$1,0)),"")&amp;"")),"")</f>
        <v/>
      </c>
      <c r="AI1044" s="9">
        <f>IF(AF1044=1,IFERROR(INDEX($A1044:$AB1044,MATCH("Cost Centre",$A$1:$AB$1,0)),"")&amp;"","")</f>
        <v/>
      </c>
      <c r="AJ1044" s="54">
        <f>IF(AND(AF1044=1,AE1044&gt;=set_FYStart,AE1044&lt;=set_AsAt),1,0)</f>
        <v/>
      </c>
      <c r="AK1044" s="54">
        <f>IF(AND(AJ1044=1,AH1044&lt;&gt;"",COUNTIFS($AH$2:AH1044,AH1044,$AJ$2:AJ1044,1)=1),N(AL1043)+1,"")</f>
        <v/>
      </c>
      <c r="AL1044" s="54">
        <f>IF(AK1044&lt;&gt;"",AK1044,N(AL1043))</f>
        <v/>
      </c>
    </row>
    <row r="1045">
      <c r="A1045" t="inlineStr">
        <is>
          <t>CON-0348</t>
        </is>
      </c>
      <c r="B1045" t="inlineStr">
        <is>
          <t>Consulting</t>
        </is>
      </c>
      <c r="AB1045" t="n">
        <v>348</v>
      </c>
      <c r="AD1045" s="52">
        <f>IFERROR(N(IFERROR(INDEX($A1045:$AB1045,MATCH("Xero Invoiced Ex GST",$A$1:$AB$1,0)),"")),0)</f>
        <v/>
      </c>
      <c r="AE1045" s="53">
        <f>IFERROR(INDEX($A1045:$AB1045,MATCH("Xero Invoice Date",$A$1:$AB$1,0)),"")</f>
        <v/>
      </c>
      <c r="AF1045" s="54">
        <f>IF(AND(IFERROR(INDEX($A1045:$AB1045,MATCH("Xero Invoice No",$A$1:$AB$1,0)),"")&amp;""&lt;&gt;"",ISNUMBER(AE1045),AD1045&lt;&gt;0),1,0)</f>
        <v/>
      </c>
      <c r="AG1045" s="55">
        <f>IF(AF1045=1,EOMONTH(AE1045,0),"")</f>
        <v/>
      </c>
      <c r="AH1045" s="9">
        <f>IF(AF1045=1,UPPER(TRIM(IFERROR(INDEX($A1045:$AB1045,MATCH("Client",$A$1:$AB$1,0)),"")&amp;"")),"")</f>
        <v/>
      </c>
      <c r="AI1045" s="9">
        <f>IF(AF1045=1,IFERROR(INDEX($A1045:$AB1045,MATCH("Cost Centre",$A$1:$AB$1,0)),"")&amp;"","")</f>
        <v/>
      </c>
      <c r="AJ1045" s="54">
        <f>IF(AND(AF1045=1,AE1045&gt;=set_FYStart,AE1045&lt;=set_AsAt),1,0)</f>
        <v/>
      </c>
      <c r="AK1045" s="54">
        <f>IF(AND(AJ1045=1,AH1045&lt;&gt;"",COUNTIFS($AH$2:AH1045,AH1045,$AJ$2:AJ1045,1)=1),N(AL1044)+1,"")</f>
        <v/>
      </c>
      <c r="AL1045" s="54">
        <f>IF(AK1045&lt;&gt;"",AK1045,N(AL1044))</f>
        <v/>
      </c>
    </row>
    <row r="1046">
      <c r="A1046" t="inlineStr">
        <is>
          <t>ONS-0349</t>
        </is>
      </c>
      <c r="B1046" t="inlineStr">
        <is>
          <t>Onsite</t>
        </is>
      </c>
      <c r="AB1046" t="n">
        <v>349</v>
      </c>
      <c r="AD1046" s="52">
        <f>IFERROR(N(IFERROR(INDEX($A1046:$AB1046,MATCH("Xero Invoiced Ex GST",$A$1:$AB$1,0)),"")),0)</f>
        <v/>
      </c>
      <c r="AE1046" s="53">
        <f>IFERROR(INDEX($A1046:$AB1046,MATCH("Xero Invoice Date",$A$1:$AB$1,0)),"")</f>
        <v/>
      </c>
      <c r="AF1046" s="54">
        <f>IF(AND(IFERROR(INDEX($A1046:$AB1046,MATCH("Xero Invoice No",$A$1:$AB$1,0)),"")&amp;""&lt;&gt;"",ISNUMBER(AE1046),AD1046&lt;&gt;0),1,0)</f>
        <v/>
      </c>
      <c r="AG1046" s="55">
        <f>IF(AF1046=1,EOMONTH(AE1046,0),"")</f>
        <v/>
      </c>
      <c r="AH1046" s="9">
        <f>IF(AF1046=1,UPPER(TRIM(IFERROR(INDEX($A1046:$AB1046,MATCH("Client",$A$1:$AB$1,0)),"")&amp;"")),"")</f>
        <v/>
      </c>
      <c r="AI1046" s="9">
        <f>IF(AF1046=1,IFERROR(INDEX($A1046:$AB1046,MATCH("Cost Centre",$A$1:$AB$1,0)),"")&amp;"","")</f>
        <v/>
      </c>
      <c r="AJ1046" s="54">
        <f>IF(AND(AF1046=1,AE1046&gt;=set_FYStart,AE1046&lt;=set_AsAt),1,0)</f>
        <v/>
      </c>
      <c r="AK1046" s="54">
        <f>IF(AND(AJ1046=1,AH1046&lt;&gt;"",COUNTIFS($AH$2:AH1046,AH1046,$AJ$2:AJ1046,1)=1),N(AL1045)+1,"")</f>
        <v/>
      </c>
      <c r="AL1046" s="54">
        <f>IF(AK1046&lt;&gt;"",AK1046,N(AL1045))</f>
        <v/>
      </c>
    </row>
    <row r="1047">
      <c r="A1047" t="inlineStr">
        <is>
          <t>PRD-0349</t>
        </is>
      </c>
      <c r="B1047" t="inlineStr">
        <is>
          <t>Production</t>
        </is>
      </c>
      <c r="AB1047" t="n">
        <v>349</v>
      </c>
      <c r="AD1047" s="52">
        <f>IFERROR(N(IFERROR(INDEX($A1047:$AB1047,MATCH("Xero Invoiced Ex GST",$A$1:$AB$1,0)),"")),0)</f>
        <v/>
      </c>
      <c r="AE1047" s="53">
        <f>IFERROR(INDEX($A1047:$AB1047,MATCH("Xero Invoice Date",$A$1:$AB$1,0)),"")</f>
        <v/>
      </c>
      <c r="AF1047" s="54">
        <f>IF(AND(IFERROR(INDEX($A1047:$AB1047,MATCH("Xero Invoice No",$A$1:$AB$1,0)),"")&amp;""&lt;&gt;"",ISNUMBER(AE1047),AD1047&lt;&gt;0),1,0)</f>
        <v/>
      </c>
      <c r="AG1047" s="55">
        <f>IF(AF1047=1,EOMONTH(AE1047,0),"")</f>
        <v/>
      </c>
      <c r="AH1047" s="9">
        <f>IF(AF1047=1,UPPER(TRIM(IFERROR(INDEX($A1047:$AB1047,MATCH("Client",$A$1:$AB$1,0)),"")&amp;"")),"")</f>
        <v/>
      </c>
      <c r="AI1047" s="9">
        <f>IF(AF1047=1,IFERROR(INDEX($A1047:$AB1047,MATCH("Cost Centre",$A$1:$AB$1,0)),"")&amp;"","")</f>
        <v/>
      </c>
      <c r="AJ1047" s="54">
        <f>IF(AND(AF1047=1,AE1047&gt;=set_FYStart,AE1047&lt;=set_AsAt),1,0)</f>
        <v/>
      </c>
      <c r="AK1047" s="54">
        <f>IF(AND(AJ1047=1,AH1047&lt;&gt;"",COUNTIFS($AH$2:AH1047,AH1047,$AJ$2:AJ1047,1)=1),N(AL1046)+1,"")</f>
        <v/>
      </c>
      <c r="AL1047" s="54">
        <f>IF(AK1047&lt;&gt;"",AK1047,N(AL1046))</f>
        <v/>
      </c>
    </row>
    <row r="1048">
      <c r="A1048" t="inlineStr">
        <is>
          <t>CON-0349</t>
        </is>
      </c>
      <c r="B1048" t="inlineStr">
        <is>
          <t>Consulting</t>
        </is>
      </c>
      <c r="AB1048" t="n">
        <v>349</v>
      </c>
      <c r="AD1048" s="52">
        <f>IFERROR(N(IFERROR(INDEX($A1048:$AB1048,MATCH("Xero Invoiced Ex GST",$A$1:$AB$1,0)),"")),0)</f>
        <v/>
      </c>
      <c r="AE1048" s="53">
        <f>IFERROR(INDEX($A1048:$AB1048,MATCH("Xero Invoice Date",$A$1:$AB$1,0)),"")</f>
        <v/>
      </c>
      <c r="AF1048" s="54">
        <f>IF(AND(IFERROR(INDEX($A1048:$AB1048,MATCH("Xero Invoice No",$A$1:$AB$1,0)),"")&amp;""&lt;&gt;"",ISNUMBER(AE1048),AD1048&lt;&gt;0),1,0)</f>
        <v/>
      </c>
      <c r="AG1048" s="55">
        <f>IF(AF1048=1,EOMONTH(AE1048,0),"")</f>
        <v/>
      </c>
      <c r="AH1048" s="9">
        <f>IF(AF1048=1,UPPER(TRIM(IFERROR(INDEX($A1048:$AB1048,MATCH("Client",$A$1:$AB$1,0)),"")&amp;"")),"")</f>
        <v/>
      </c>
      <c r="AI1048" s="9">
        <f>IF(AF1048=1,IFERROR(INDEX($A1048:$AB1048,MATCH("Cost Centre",$A$1:$AB$1,0)),"")&amp;"","")</f>
        <v/>
      </c>
      <c r="AJ1048" s="54">
        <f>IF(AND(AF1048=1,AE1048&gt;=set_FYStart,AE1048&lt;=set_AsAt),1,0)</f>
        <v/>
      </c>
      <c r="AK1048" s="54">
        <f>IF(AND(AJ1048=1,AH1048&lt;&gt;"",COUNTIFS($AH$2:AH1048,AH1048,$AJ$2:AJ1048,1)=1),N(AL1047)+1,"")</f>
        <v/>
      </c>
      <c r="AL1048" s="54">
        <f>IF(AK1048&lt;&gt;"",AK1048,N(AL1047))</f>
        <v/>
      </c>
    </row>
    <row r="1049">
      <c r="A1049" t="inlineStr">
        <is>
          <t>ONS-0350</t>
        </is>
      </c>
      <c r="B1049" t="inlineStr">
        <is>
          <t>Onsite</t>
        </is>
      </c>
      <c r="AB1049" t="n">
        <v>350</v>
      </c>
      <c r="AD1049" s="52">
        <f>IFERROR(N(IFERROR(INDEX($A1049:$AB1049,MATCH("Xero Invoiced Ex GST",$A$1:$AB$1,0)),"")),0)</f>
        <v/>
      </c>
      <c r="AE1049" s="53">
        <f>IFERROR(INDEX($A1049:$AB1049,MATCH("Xero Invoice Date",$A$1:$AB$1,0)),"")</f>
        <v/>
      </c>
      <c r="AF1049" s="54">
        <f>IF(AND(IFERROR(INDEX($A1049:$AB1049,MATCH("Xero Invoice No",$A$1:$AB$1,0)),"")&amp;""&lt;&gt;"",ISNUMBER(AE1049),AD1049&lt;&gt;0),1,0)</f>
        <v/>
      </c>
      <c r="AG1049" s="55">
        <f>IF(AF1049=1,EOMONTH(AE1049,0),"")</f>
        <v/>
      </c>
      <c r="AH1049" s="9">
        <f>IF(AF1049=1,UPPER(TRIM(IFERROR(INDEX($A1049:$AB1049,MATCH("Client",$A$1:$AB$1,0)),"")&amp;"")),"")</f>
        <v/>
      </c>
      <c r="AI1049" s="9">
        <f>IF(AF1049=1,IFERROR(INDEX($A1049:$AB1049,MATCH("Cost Centre",$A$1:$AB$1,0)),"")&amp;"","")</f>
        <v/>
      </c>
      <c r="AJ1049" s="54">
        <f>IF(AND(AF1049=1,AE1049&gt;=set_FYStart,AE1049&lt;=set_AsAt),1,0)</f>
        <v/>
      </c>
      <c r="AK1049" s="54">
        <f>IF(AND(AJ1049=1,AH1049&lt;&gt;"",COUNTIFS($AH$2:AH1049,AH1049,$AJ$2:AJ1049,1)=1),N(AL1048)+1,"")</f>
        <v/>
      </c>
      <c r="AL1049" s="54">
        <f>IF(AK1049&lt;&gt;"",AK1049,N(AL1048))</f>
        <v/>
      </c>
    </row>
    <row r="1050">
      <c r="A1050" t="inlineStr">
        <is>
          <t>PRD-0350</t>
        </is>
      </c>
      <c r="B1050" t="inlineStr">
        <is>
          <t>Production</t>
        </is>
      </c>
      <c r="AB1050" t="n">
        <v>350</v>
      </c>
      <c r="AD1050" s="52">
        <f>IFERROR(N(IFERROR(INDEX($A1050:$AB1050,MATCH("Xero Invoiced Ex GST",$A$1:$AB$1,0)),"")),0)</f>
        <v/>
      </c>
      <c r="AE1050" s="53">
        <f>IFERROR(INDEX($A1050:$AB1050,MATCH("Xero Invoice Date",$A$1:$AB$1,0)),"")</f>
        <v/>
      </c>
      <c r="AF1050" s="54">
        <f>IF(AND(IFERROR(INDEX($A1050:$AB1050,MATCH("Xero Invoice No",$A$1:$AB$1,0)),"")&amp;""&lt;&gt;"",ISNUMBER(AE1050),AD1050&lt;&gt;0),1,0)</f>
        <v/>
      </c>
      <c r="AG1050" s="55">
        <f>IF(AF1050=1,EOMONTH(AE1050,0),"")</f>
        <v/>
      </c>
      <c r="AH1050" s="9">
        <f>IF(AF1050=1,UPPER(TRIM(IFERROR(INDEX($A1050:$AB1050,MATCH("Client",$A$1:$AB$1,0)),"")&amp;"")),"")</f>
        <v/>
      </c>
      <c r="AI1050" s="9">
        <f>IF(AF1050=1,IFERROR(INDEX($A1050:$AB1050,MATCH("Cost Centre",$A$1:$AB$1,0)),"")&amp;"","")</f>
        <v/>
      </c>
      <c r="AJ1050" s="54">
        <f>IF(AND(AF1050=1,AE1050&gt;=set_FYStart,AE1050&lt;=set_AsAt),1,0)</f>
        <v/>
      </c>
      <c r="AK1050" s="54">
        <f>IF(AND(AJ1050=1,AH1050&lt;&gt;"",COUNTIFS($AH$2:AH1050,AH1050,$AJ$2:AJ1050,1)=1),N(AL1049)+1,"")</f>
        <v/>
      </c>
      <c r="AL1050" s="54">
        <f>IF(AK1050&lt;&gt;"",AK1050,N(AL1049))</f>
        <v/>
      </c>
    </row>
    <row r="1051">
      <c r="A1051" t="inlineStr">
        <is>
          <t>CON-0350</t>
        </is>
      </c>
      <c r="B1051" t="inlineStr">
        <is>
          <t>Consulting</t>
        </is>
      </c>
      <c r="AB1051" t="n">
        <v>350</v>
      </c>
      <c r="AD1051" s="52">
        <f>IFERROR(N(IFERROR(INDEX($A1051:$AB1051,MATCH("Xero Invoiced Ex GST",$A$1:$AB$1,0)),"")),0)</f>
        <v/>
      </c>
      <c r="AE1051" s="53">
        <f>IFERROR(INDEX($A1051:$AB1051,MATCH("Xero Invoice Date",$A$1:$AB$1,0)),"")</f>
        <v/>
      </c>
      <c r="AF1051" s="54">
        <f>IF(AND(IFERROR(INDEX($A1051:$AB1051,MATCH("Xero Invoice No",$A$1:$AB$1,0)),"")&amp;""&lt;&gt;"",ISNUMBER(AE1051),AD1051&lt;&gt;0),1,0)</f>
        <v/>
      </c>
      <c r="AG1051" s="55">
        <f>IF(AF1051=1,EOMONTH(AE1051,0),"")</f>
        <v/>
      </c>
      <c r="AH1051" s="9">
        <f>IF(AF1051=1,UPPER(TRIM(IFERROR(INDEX($A1051:$AB1051,MATCH("Client",$A$1:$AB$1,0)),"")&amp;"")),"")</f>
        <v/>
      </c>
      <c r="AI1051" s="9">
        <f>IF(AF1051=1,IFERROR(INDEX($A1051:$AB1051,MATCH("Cost Centre",$A$1:$AB$1,0)),"")&amp;"","")</f>
        <v/>
      </c>
      <c r="AJ1051" s="54">
        <f>IF(AND(AF1051=1,AE1051&gt;=set_FYStart,AE1051&lt;=set_AsAt),1,0)</f>
        <v/>
      </c>
      <c r="AK1051" s="54">
        <f>IF(AND(AJ1051=1,AH1051&lt;&gt;"",COUNTIFS($AH$2:AH1051,AH1051,$AJ$2:AJ1051,1)=1),N(AL1050)+1,"")</f>
        <v/>
      </c>
      <c r="AL1051" s="54">
        <f>IF(AK1051&lt;&gt;"",AK1051,N(AL1050))</f>
        <v/>
      </c>
    </row>
    <row r="1052">
      <c r="A1052" t="inlineStr">
        <is>
          <t>ONS-0351</t>
        </is>
      </c>
      <c r="B1052" t="inlineStr">
        <is>
          <t>Onsite</t>
        </is>
      </c>
      <c r="AB1052" t="n">
        <v>351</v>
      </c>
      <c r="AD1052" s="52">
        <f>IFERROR(N(IFERROR(INDEX($A1052:$AB1052,MATCH("Xero Invoiced Ex GST",$A$1:$AB$1,0)),"")),0)</f>
        <v/>
      </c>
      <c r="AE1052" s="53">
        <f>IFERROR(INDEX($A1052:$AB1052,MATCH("Xero Invoice Date",$A$1:$AB$1,0)),"")</f>
        <v/>
      </c>
      <c r="AF1052" s="54">
        <f>IF(AND(IFERROR(INDEX($A1052:$AB1052,MATCH("Xero Invoice No",$A$1:$AB$1,0)),"")&amp;""&lt;&gt;"",ISNUMBER(AE1052),AD1052&lt;&gt;0),1,0)</f>
        <v/>
      </c>
      <c r="AG1052" s="55">
        <f>IF(AF1052=1,EOMONTH(AE1052,0),"")</f>
        <v/>
      </c>
      <c r="AH1052" s="9">
        <f>IF(AF1052=1,UPPER(TRIM(IFERROR(INDEX($A1052:$AB1052,MATCH("Client",$A$1:$AB$1,0)),"")&amp;"")),"")</f>
        <v/>
      </c>
      <c r="AI1052" s="9">
        <f>IF(AF1052=1,IFERROR(INDEX($A1052:$AB1052,MATCH("Cost Centre",$A$1:$AB$1,0)),"")&amp;"","")</f>
        <v/>
      </c>
      <c r="AJ1052" s="54">
        <f>IF(AND(AF1052=1,AE1052&gt;=set_FYStart,AE1052&lt;=set_AsAt),1,0)</f>
        <v/>
      </c>
      <c r="AK1052" s="54">
        <f>IF(AND(AJ1052=1,AH1052&lt;&gt;"",COUNTIFS($AH$2:AH1052,AH1052,$AJ$2:AJ1052,1)=1),N(AL1051)+1,"")</f>
        <v/>
      </c>
      <c r="AL1052" s="54">
        <f>IF(AK1052&lt;&gt;"",AK1052,N(AL1051))</f>
        <v/>
      </c>
    </row>
    <row r="1053">
      <c r="A1053" t="inlineStr">
        <is>
          <t>PRD-0351</t>
        </is>
      </c>
      <c r="B1053" t="inlineStr">
        <is>
          <t>Production</t>
        </is>
      </c>
      <c r="AB1053" t="n">
        <v>351</v>
      </c>
      <c r="AD1053" s="52">
        <f>IFERROR(N(IFERROR(INDEX($A1053:$AB1053,MATCH("Xero Invoiced Ex GST",$A$1:$AB$1,0)),"")),0)</f>
        <v/>
      </c>
      <c r="AE1053" s="53">
        <f>IFERROR(INDEX($A1053:$AB1053,MATCH("Xero Invoice Date",$A$1:$AB$1,0)),"")</f>
        <v/>
      </c>
      <c r="AF1053" s="54">
        <f>IF(AND(IFERROR(INDEX($A1053:$AB1053,MATCH("Xero Invoice No",$A$1:$AB$1,0)),"")&amp;""&lt;&gt;"",ISNUMBER(AE1053),AD1053&lt;&gt;0),1,0)</f>
        <v/>
      </c>
      <c r="AG1053" s="55">
        <f>IF(AF1053=1,EOMONTH(AE1053,0),"")</f>
        <v/>
      </c>
      <c r="AH1053" s="9">
        <f>IF(AF1053=1,UPPER(TRIM(IFERROR(INDEX($A1053:$AB1053,MATCH("Client",$A$1:$AB$1,0)),"")&amp;"")),"")</f>
        <v/>
      </c>
      <c r="AI1053" s="9">
        <f>IF(AF1053=1,IFERROR(INDEX($A1053:$AB1053,MATCH("Cost Centre",$A$1:$AB$1,0)),"")&amp;"","")</f>
        <v/>
      </c>
      <c r="AJ1053" s="54">
        <f>IF(AND(AF1053=1,AE1053&gt;=set_FYStart,AE1053&lt;=set_AsAt),1,0)</f>
        <v/>
      </c>
      <c r="AK1053" s="54">
        <f>IF(AND(AJ1053=1,AH1053&lt;&gt;"",COUNTIFS($AH$2:AH1053,AH1053,$AJ$2:AJ1053,1)=1),N(AL1052)+1,"")</f>
        <v/>
      </c>
      <c r="AL1053" s="54">
        <f>IF(AK1053&lt;&gt;"",AK1053,N(AL1052))</f>
        <v/>
      </c>
    </row>
    <row r="1054">
      <c r="A1054" t="inlineStr">
        <is>
          <t>CON-0351</t>
        </is>
      </c>
      <c r="B1054" t="inlineStr">
        <is>
          <t>Consulting</t>
        </is>
      </c>
      <c r="AB1054" t="n">
        <v>351</v>
      </c>
      <c r="AD1054" s="52">
        <f>IFERROR(N(IFERROR(INDEX($A1054:$AB1054,MATCH("Xero Invoiced Ex GST",$A$1:$AB$1,0)),"")),0)</f>
        <v/>
      </c>
      <c r="AE1054" s="53">
        <f>IFERROR(INDEX($A1054:$AB1054,MATCH("Xero Invoice Date",$A$1:$AB$1,0)),"")</f>
        <v/>
      </c>
      <c r="AF1054" s="54">
        <f>IF(AND(IFERROR(INDEX($A1054:$AB1054,MATCH("Xero Invoice No",$A$1:$AB$1,0)),"")&amp;""&lt;&gt;"",ISNUMBER(AE1054),AD1054&lt;&gt;0),1,0)</f>
        <v/>
      </c>
      <c r="AG1054" s="55">
        <f>IF(AF1054=1,EOMONTH(AE1054,0),"")</f>
        <v/>
      </c>
      <c r="AH1054" s="9">
        <f>IF(AF1054=1,UPPER(TRIM(IFERROR(INDEX($A1054:$AB1054,MATCH("Client",$A$1:$AB$1,0)),"")&amp;"")),"")</f>
        <v/>
      </c>
      <c r="AI1054" s="9">
        <f>IF(AF1054=1,IFERROR(INDEX($A1054:$AB1054,MATCH("Cost Centre",$A$1:$AB$1,0)),"")&amp;"","")</f>
        <v/>
      </c>
      <c r="AJ1054" s="54">
        <f>IF(AND(AF1054=1,AE1054&gt;=set_FYStart,AE1054&lt;=set_AsAt),1,0)</f>
        <v/>
      </c>
      <c r="AK1054" s="54">
        <f>IF(AND(AJ1054=1,AH1054&lt;&gt;"",COUNTIFS($AH$2:AH1054,AH1054,$AJ$2:AJ1054,1)=1),N(AL1053)+1,"")</f>
        <v/>
      </c>
      <c r="AL1054" s="54">
        <f>IF(AK1054&lt;&gt;"",AK1054,N(AL1053))</f>
        <v/>
      </c>
    </row>
    <row r="1055">
      <c r="A1055" t="inlineStr">
        <is>
          <t>ONS-0352</t>
        </is>
      </c>
      <c r="B1055" t="inlineStr">
        <is>
          <t>Onsite</t>
        </is>
      </c>
      <c r="AB1055" t="n">
        <v>352</v>
      </c>
      <c r="AD1055" s="52">
        <f>IFERROR(N(IFERROR(INDEX($A1055:$AB1055,MATCH("Xero Invoiced Ex GST",$A$1:$AB$1,0)),"")),0)</f>
        <v/>
      </c>
      <c r="AE1055" s="53">
        <f>IFERROR(INDEX($A1055:$AB1055,MATCH("Xero Invoice Date",$A$1:$AB$1,0)),"")</f>
        <v/>
      </c>
      <c r="AF1055" s="54">
        <f>IF(AND(IFERROR(INDEX($A1055:$AB1055,MATCH("Xero Invoice No",$A$1:$AB$1,0)),"")&amp;""&lt;&gt;"",ISNUMBER(AE1055),AD1055&lt;&gt;0),1,0)</f>
        <v/>
      </c>
      <c r="AG1055" s="55">
        <f>IF(AF1055=1,EOMONTH(AE1055,0),"")</f>
        <v/>
      </c>
      <c r="AH1055" s="9">
        <f>IF(AF1055=1,UPPER(TRIM(IFERROR(INDEX($A1055:$AB1055,MATCH("Client",$A$1:$AB$1,0)),"")&amp;"")),"")</f>
        <v/>
      </c>
      <c r="AI1055" s="9">
        <f>IF(AF1055=1,IFERROR(INDEX($A1055:$AB1055,MATCH("Cost Centre",$A$1:$AB$1,0)),"")&amp;"","")</f>
        <v/>
      </c>
      <c r="AJ1055" s="54">
        <f>IF(AND(AF1055=1,AE1055&gt;=set_FYStart,AE1055&lt;=set_AsAt),1,0)</f>
        <v/>
      </c>
      <c r="AK1055" s="54">
        <f>IF(AND(AJ1055=1,AH1055&lt;&gt;"",COUNTIFS($AH$2:AH1055,AH1055,$AJ$2:AJ1055,1)=1),N(AL1054)+1,"")</f>
        <v/>
      </c>
      <c r="AL1055" s="54">
        <f>IF(AK1055&lt;&gt;"",AK1055,N(AL1054))</f>
        <v/>
      </c>
    </row>
    <row r="1056">
      <c r="A1056" t="inlineStr">
        <is>
          <t>PRD-0352</t>
        </is>
      </c>
      <c r="B1056" t="inlineStr">
        <is>
          <t>Production</t>
        </is>
      </c>
      <c r="AB1056" t="n">
        <v>352</v>
      </c>
      <c r="AD1056" s="52">
        <f>IFERROR(N(IFERROR(INDEX($A1056:$AB1056,MATCH("Xero Invoiced Ex GST",$A$1:$AB$1,0)),"")),0)</f>
        <v/>
      </c>
      <c r="AE1056" s="53">
        <f>IFERROR(INDEX($A1056:$AB1056,MATCH("Xero Invoice Date",$A$1:$AB$1,0)),"")</f>
        <v/>
      </c>
      <c r="AF1056" s="54">
        <f>IF(AND(IFERROR(INDEX($A1056:$AB1056,MATCH("Xero Invoice No",$A$1:$AB$1,0)),"")&amp;""&lt;&gt;"",ISNUMBER(AE1056),AD1056&lt;&gt;0),1,0)</f>
        <v/>
      </c>
      <c r="AG1056" s="55">
        <f>IF(AF1056=1,EOMONTH(AE1056,0),"")</f>
        <v/>
      </c>
      <c r="AH1056" s="9">
        <f>IF(AF1056=1,UPPER(TRIM(IFERROR(INDEX($A1056:$AB1056,MATCH("Client",$A$1:$AB$1,0)),"")&amp;"")),"")</f>
        <v/>
      </c>
      <c r="AI1056" s="9">
        <f>IF(AF1056=1,IFERROR(INDEX($A1056:$AB1056,MATCH("Cost Centre",$A$1:$AB$1,0)),"")&amp;"","")</f>
        <v/>
      </c>
      <c r="AJ1056" s="54">
        <f>IF(AND(AF1056=1,AE1056&gt;=set_FYStart,AE1056&lt;=set_AsAt),1,0)</f>
        <v/>
      </c>
      <c r="AK1056" s="54">
        <f>IF(AND(AJ1056=1,AH1056&lt;&gt;"",COUNTIFS($AH$2:AH1056,AH1056,$AJ$2:AJ1056,1)=1),N(AL1055)+1,"")</f>
        <v/>
      </c>
      <c r="AL1056" s="54">
        <f>IF(AK1056&lt;&gt;"",AK1056,N(AL1055))</f>
        <v/>
      </c>
    </row>
    <row r="1057">
      <c r="A1057" t="inlineStr">
        <is>
          <t>CON-0352</t>
        </is>
      </c>
      <c r="B1057" t="inlineStr">
        <is>
          <t>Consulting</t>
        </is>
      </c>
      <c r="AB1057" t="n">
        <v>352</v>
      </c>
      <c r="AD1057" s="52">
        <f>IFERROR(N(IFERROR(INDEX($A1057:$AB1057,MATCH("Xero Invoiced Ex GST",$A$1:$AB$1,0)),"")),0)</f>
        <v/>
      </c>
      <c r="AE1057" s="53">
        <f>IFERROR(INDEX($A1057:$AB1057,MATCH("Xero Invoice Date",$A$1:$AB$1,0)),"")</f>
        <v/>
      </c>
      <c r="AF1057" s="54">
        <f>IF(AND(IFERROR(INDEX($A1057:$AB1057,MATCH("Xero Invoice No",$A$1:$AB$1,0)),"")&amp;""&lt;&gt;"",ISNUMBER(AE1057),AD1057&lt;&gt;0),1,0)</f>
        <v/>
      </c>
      <c r="AG1057" s="55">
        <f>IF(AF1057=1,EOMONTH(AE1057,0),"")</f>
        <v/>
      </c>
      <c r="AH1057" s="9">
        <f>IF(AF1057=1,UPPER(TRIM(IFERROR(INDEX($A1057:$AB1057,MATCH("Client",$A$1:$AB$1,0)),"")&amp;"")),"")</f>
        <v/>
      </c>
      <c r="AI1057" s="9">
        <f>IF(AF1057=1,IFERROR(INDEX($A1057:$AB1057,MATCH("Cost Centre",$A$1:$AB$1,0)),"")&amp;"","")</f>
        <v/>
      </c>
      <c r="AJ1057" s="54">
        <f>IF(AND(AF1057=1,AE1057&gt;=set_FYStart,AE1057&lt;=set_AsAt),1,0)</f>
        <v/>
      </c>
      <c r="AK1057" s="54">
        <f>IF(AND(AJ1057=1,AH1057&lt;&gt;"",COUNTIFS($AH$2:AH1057,AH1057,$AJ$2:AJ1057,1)=1),N(AL1056)+1,"")</f>
        <v/>
      </c>
      <c r="AL1057" s="54">
        <f>IF(AK1057&lt;&gt;"",AK1057,N(AL1056))</f>
        <v/>
      </c>
    </row>
    <row r="1058">
      <c r="A1058" t="inlineStr">
        <is>
          <t>ONS-0353</t>
        </is>
      </c>
      <c r="B1058" t="inlineStr">
        <is>
          <t>Onsite</t>
        </is>
      </c>
      <c r="AB1058" t="n">
        <v>353</v>
      </c>
      <c r="AD1058" s="52">
        <f>IFERROR(N(IFERROR(INDEX($A1058:$AB1058,MATCH("Xero Invoiced Ex GST",$A$1:$AB$1,0)),"")),0)</f>
        <v/>
      </c>
      <c r="AE1058" s="53">
        <f>IFERROR(INDEX($A1058:$AB1058,MATCH("Xero Invoice Date",$A$1:$AB$1,0)),"")</f>
        <v/>
      </c>
      <c r="AF1058" s="54">
        <f>IF(AND(IFERROR(INDEX($A1058:$AB1058,MATCH("Xero Invoice No",$A$1:$AB$1,0)),"")&amp;""&lt;&gt;"",ISNUMBER(AE1058),AD1058&lt;&gt;0),1,0)</f>
        <v/>
      </c>
      <c r="AG1058" s="55">
        <f>IF(AF1058=1,EOMONTH(AE1058,0),"")</f>
        <v/>
      </c>
      <c r="AH1058" s="9">
        <f>IF(AF1058=1,UPPER(TRIM(IFERROR(INDEX($A1058:$AB1058,MATCH("Client",$A$1:$AB$1,0)),"")&amp;"")),"")</f>
        <v/>
      </c>
      <c r="AI1058" s="9">
        <f>IF(AF1058=1,IFERROR(INDEX($A1058:$AB1058,MATCH("Cost Centre",$A$1:$AB$1,0)),"")&amp;"","")</f>
        <v/>
      </c>
      <c r="AJ1058" s="54">
        <f>IF(AND(AF1058=1,AE1058&gt;=set_FYStart,AE1058&lt;=set_AsAt),1,0)</f>
        <v/>
      </c>
      <c r="AK1058" s="54">
        <f>IF(AND(AJ1058=1,AH1058&lt;&gt;"",COUNTIFS($AH$2:AH1058,AH1058,$AJ$2:AJ1058,1)=1),N(AL1057)+1,"")</f>
        <v/>
      </c>
      <c r="AL1058" s="54">
        <f>IF(AK1058&lt;&gt;"",AK1058,N(AL1057))</f>
        <v/>
      </c>
    </row>
    <row r="1059">
      <c r="A1059" t="inlineStr">
        <is>
          <t>PRD-0353</t>
        </is>
      </c>
      <c r="B1059" t="inlineStr">
        <is>
          <t>Production</t>
        </is>
      </c>
      <c r="AB1059" t="n">
        <v>353</v>
      </c>
      <c r="AD1059" s="52">
        <f>IFERROR(N(IFERROR(INDEX($A1059:$AB1059,MATCH("Xero Invoiced Ex GST",$A$1:$AB$1,0)),"")),0)</f>
        <v/>
      </c>
      <c r="AE1059" s="53">
        <f>IFERROR(INDEX($A1059:$AB1059,MATCH("Xero Invoice Date",$A$1:$AB$1,0)),"")</f>
        <v/>
      </c>
      <c r="AF1059" s="54">
        <f>IF(AND(IFERROR(INDEX($A1059:$AB1059,MATCH("Xero Invoice No",$A$1:$AB$1,0)),"")&amp;""&lt;&gt;"",ISNUMBER(AE1059),AD1059&lt;&gt;0),1,0)</f>
        <v/>
      </c>
      <c r="AG1059" s="55">
        <f>IF(AF1059=1,EOMONTH(AE1059,0),"")</f>
        <v/>
      </c>
      <c r="AH1059" s="9">
        <f>IF(AF1059=1,UPPER(TRIM(IFERROR(INDEX($A1059:$AB1059,MATCH("Client",$A$1:$AB$1,0)),"")&amp;"")),"")</f>
        <v/>
      </c>
      <c r="AI1059" s="9">
        <f>IF(AF1059=1,IFERROR(INDEX($A1059:$AB1059,MATCH("Cost Centre",$A$1:$AB$1,0)),"")&amp;"","")</f>
        <v/>
      </c>
      <c r="AJ1059" s="54">
        <f>IF(AND(AF1059=1,AE1059&gt;=set_FYStart,AE1059&lt;=set_AsAt),1,0)</f>
        <v/>
      </c>
      <c r="AK1059" s="54">
        <f>IF(AND(AJ1059=1,AH1059&lt;&gt;"",COUNTIFS($AH$2:AH1059,AH1059,$AJ$2:AJ1059,1)=1),N(AL1058)+1,"")</f>
        <v/>
      </c>
      <c r="AL1059" s="54">
        <f>IF(AK1059&lt;&gt;"",AK1059,N(AL1058))</f>
        <v/>
      </c>
    </row>
    <row r="1060">
      <c r="A1060" t="inlineStr">
        <is>
          <t>CON-0353</t>
        </is>
      </c>
      <c r="B1060" t="inlineStr">
        <is>
          <t>Consulting</t>
        </is>
      </c>
      <c r="AB1060" t="n">
        <v>353</v>
      </c>
      <c r="AD1060" s="52">
        <f>IFERROR(N(IFERROR(INDEX($A1060:$AB1060,MATCH("Xero Invoiced Ex GST",$A$1:$AB$1,0)),"")),0)</f>
        <v/>
      </c>
      <c r="AE1060" s="53">
        <f>IFERROR(INDEX($A1060:$AB1060,MATCH("Xero Invoice Date",$A$1:$AB$1,0)),"")</f>
        <v/>
      </c>
      <c r="AF1060" s="54">
        <f>IF(AND(IFERROR(INDEX($A1060:$AB1060,MATCH("Xero Invoice No",$A$1:$AB$1,0)),"")&amp;""&lt;&gt;"",ISNUMBER(AE1060),AD1060&lt;&gt;0),1,0)</f>
        <v/>
      </c>
      <c r="AG1060" s="55">
        <f>IF(AF1060=1,EOMONTH(AE1060,0),"")</f>
        <v/>
      </c>
      <c r="AH1060" s="9">
        <f>IF(AF1060=1,UPPER(TRIM(IFERROR(INDEX($A1060:$AB1060,MATCH("Client",$A$1:$AB$1,0)),"")&amp;"")),"")</f>
        <v/>
      </c>
      <c r="AI1060" s="9">
        <f>IF(AF1060=1,IFERROR(INDEX($A1060:$AB1060,MATCH("Cost Centre",$A$1:$AB$1,0)),"")&amp;"","")</f>
        <v/>
      </c>
      <c r="AJ1060" s="54">
        <f>IF(AND(AF1060=1,AE1060&gt;=set_FYStart,AE1060&lt;=set_AsAt),1,0)</f>
        <v/>
      </c>
      <c r="AK1060" s="54">
        <f>IF(AND(AJ1060=1,AH1060&lt;&gt;"",COUNTIFS($AH$2:AH1060,AH1060,$AJ$2:AJ1060,1)=1),N(AL1059)+1,"")</f>
        <v/>
      </c>
      <c r="AL1060" s="54">
        <f>IF(AK1060&lt;&gt;"",AK1060,N(AL1059))</f>
        <v/>
      </c>
    </row>
    <row r="1061">
      <c r="A1061" t="inlineStr">
        <is>
          <t>ONS-0354</t>
        </is>
      </c>
      <c r="B1061" t="inlineStr">
        <is>
          <t>Onsite</t>
        </is>
      </c>
      <c r="AB1061" t="n">
        <v>354</v>
      </c>
      <c r="AD1061" s="52">
        <f>IFERROR(N(IFERROR(INDEX($A1061:$AB1061,MATCH("Xero Invoiced Ex GST",$A$1:$AB$1,0)),"")),0)</f>
        <v/>
      </c>
      <c r="AE1061" s="53">
        <f>IFERROR(INDEX($A1061:$AB1061,MATCH("Xero Invoice Date",$A$1:$AB$1,0)),"")</f>
        <v/>
      </c>
      <c r="AF1061" s="54">
        <f>IF(AND(IFERROR(INDEX($A1061:$AB1061,MATCH("Xero Invoice No",$A$1:$AB$1,0)),"")&amp;""&lt;&gt;"",ISNUMBER(AE1061),AD1061&lt;&gt;0),1,0)</f>
        <v/>
      </c>
      <c r="AG1061" s="55">
        <f>IF(AF1061=1,EOMONTH(AE1061,0),"")</f>
        <v/>
      </c>
      <c r="AH1061" s="9">
        <f>IF(AF1061=1,UPPER(TRIM(IFERROR(INDEX($A1061:$AB1061,MATCH("Client",$A$1:$AB$1,0)),"")&amp;"")),"")</f>
        <v/>
      </c>
      <c r="AI1061" s="9">
        <f>IF(AF1061=1,IFERROR(INDEX($A1061:$AB1061,MATCH("Cost Centre",$A$1:$AB$1,0)),"")&amp;"","")</f>
        <v/>
      </c>
      <c r="AJ1061" s="54">
        <f>IF(AND(AF1061=1,AE1061&gt;=set_FYStart,AE1061&lt;=set_AsAt),1,0)</f>
        <v/>
      </c>
      <c r="AK1061" s="54">
        <f>IF(AND(AJ1061=1,AH1061&lt;&gt;"",COUNTIFS($AH$2:AH1061,AH1061,$AJ$2:AJ1061,1)=1),N(AL1060)+1,"")</f>
        <v/>
      </c>
      <c r="AL1061" s="54">
        <f>IF(AK1061&lt;&gt;"",AK1061,N(AL1060))</f>
        <v/>
      </c>
    </row>
    <row r="1062">
      <c r="A1062" t="inlineStr">
        <is>
          <t>PRD-0354</t>
        </is>
      </c>
      <c r="B1062" t="inlineStr">
        <is>
          <t>Production</t>
        </is>
      </c>
      <c r="AB1062" t="n">
        <v>354</v>
      </c>
      <c r="AD1062" s="52">
        <f>IFERROR(N(IFERROR(INDEX($A1062:$AB1062,MATCH("Xero Invoiced Ex GST",$A$1:$AB$1,0)),"")),0)</f>
        <v/>
      </c>
      <c r="AE1062" s="53">
        <f>IFERROR(INDEX($A1062:$AB1062,MATCH("Xero Invoice Date",$A$1:$AB$1,0)),"")</f>
        <v/>
      </c>
      <c r="AF1062" s="54">
        <f>IF(AND(IFERROR(INDEX($A1062:$AB1062,MATCH("Xero Invoice No",$A$1:$AB$1,0)),"")&amp;""&lt;&gt;"",ISNUMBER(AE1062),AD1062&lt;&gt;0),1,0)</f>
        <v/>
      </c>
      <c r="AG1062" s="55">
        <f>IF(AF1062=1,EOMONTH(AE1062,0),"")</f>
        <v/>
      </c>
      <c r="AH1062" s="9">
        <f>IF(AF1062=1,UPPER(TRIM(IFERROR(INDEX($A1062:$AB1062,MATCH("Client",$A$1:$AB$1,0)),"")&amp;"")),"")</f>
        <v/>
      </c>
      <c r="AI1062" s="9">
        <f>IF(AF1062=1,IFERROR(INDEX($A1062:$AB1062,MATCH("Cost Centre",$A$1:$AB$1,0)),"")&amp;"","")</f>
        <v/>
      </c>
      <c r="AJ1062" s="54">
        <f>IF(AND(AF1062=1,AE1062&gt;=set_FYStart,AE1062&lt;=set_AsAt),1,0)</f>
        <v/>
      </c>
      <c r="AK1062" s="54">
        <f>IF(AND(AJ1062=1,AH1062&lt;&gt;"",COUNTIFS($AH$2:AH1062,AH1062,$AJ$2:AJ1062,1)=1),N(AL1061)+1,"")</f>
        <v/>
      </c>
      <c r="AL1062" s="54">
        <f>IF(AK1062&lt;&gt;"",AK1062,N(AL1061))</f>
        <v/>
      </c>
    </row>
    <row r="1063">
      <c r="A1063" t="inlineStr">
        <is>
          <t>CON-0354</t>
        </is>
      </c>
      <c r="B1063" t="inlineStr">
        <is>
          <t>Consulting</t>
        </is>
      </c>
      <c r="AB1063" t="n">
        <v>354</v>
      </c>
      <c r="AD1063" s="52">
        <f>IFERROR(N(IFERROR(INDEX($A1063:$AB1063,MATCH("Xero Invoiced Ex GST",$A$1:$AB$1,0)),"")),0)</f>
        <v/>
      </c>
      <c r="AE1063" s="53">
        <f>IFERROR(INDEX($A1063:$AB1063,MATCH("Xero Invoice Date",$A$1:$AB$1,0)),"")</f>
        <v/>
      </c>
      <c r="AF1063" s="54">
        <f>IF(AND(IFERROR(INDEX($A1063:$AB1063,MATCH("Xero Invoice No",$A$1:$AB$1,0)),"")&amp;""&lt;&gt;"",ISNUMBER(AE1063),AD1063&lt;&gt;0),1,0)</f>
        <v/>
      </c>
      <c r="AG1063" s="55">
        <f>IF(AF1063=1,EOMONTH(AE1063,0),"")</f>
        <v/>
      </c>
      <c r="AH1063" s="9">
        <f>IF(AF1063=1,UPPER(TRIM(IFERROR(INDEX($A1063:$AB1063,MATCH("Client",$A$1:$AB$1,0)),"")&amp;"")),"")</f>
        <v/>
      </c>
      <c r="AI1063" s="9">
        <f>IF(AF1063=1,IFERROR(INDEX($A1063:$AB1063,MATCH("Cost Centre",$A$1:$AB$1,0)),"")&amp;"","")</f>
        <v/>
      </c>
      <c r="AJ1063" s="54">
        <f>IF(AND(AF1063=1,AE1063&gt;=set_FYStart,AE1063&lt;=set_AsAt),1,0)</f>
        <v/>
      </c>
      <c r="AK1063" s="54">
        <f>IF(AND(AJ1063=1,AH1063&lt;&gt;"",COUNTIFS($AH$2:AH1063,AH1063,$AJ$2:AJ1063,1)=1),N(AL1062)+1,"")</f>
        <v/>
      </c>
      <c r="AL1063" s="54">
        <f>IF(AK1063&lt;&gt;"",AK1063,N(AL1062))</f>
        <v/>
      </c>
    </row>
    <row r="1064">
      <c r="A1064" t="inlineStr">
        <is>
          <t>ONS-0355</t>
        </is>
      </c>
      <c r="B1064" t="inlineStr">
        <is>
          <t>Onsite</t>
        </is>
      </c>
      <c r="AB1064" t="n">
        <v>355</v>
      </c>
      <c r="AD1064" s="52">
        <f>IFERROR(N(IFERROR(INDEX($A1064:$AB1064,MATCH("Xero Invoiced Ex GST",$A$1:$AB$1,0)),"")),0)</f>
        <v/>
      </c>
      <c r="AE1064" s="53">
        <f>IFERROR(INDEX($A1064:$AB1064,MATCH("Xero Invoice Date",$A$1:$AB$1,0)),"")</f>
        <v/>
      </c>
      <c r="AF1064" s="54">
        <f>IF(AND(IFERROR(INDEX($A1064:$AB1064,MATCH("Xero Invoice No",$A$1:$AB$1,0)),"")&amp;""&lt;&gt;"",ISNUMBER(AE1064),AD1064&lt;&gt;0),1,0)</f>
        <v/>
      </c>
      <c r="AG1064" s="55">
        <f>IF(AF1064=1,EOMONTH(AE1064,0),"")</f>
        <v/>
      </c>
      <c r="AH1064" s="9">
        <f>IF(AF1064=1,UPPER(TRIM(IFERROR(INDEX($A1064:$AB1064,MATCH("Client",$A$1:$AB$1,0)),"")&amp;"")),"")</f>
        <v/>
      </c>
      <c r="AI1064" s="9">
        <f>IF(AF1064=1,IFERROR(INDEX($A1064:$AB1064,MATCH("Cost Centre",$A$1:$AB$1,0)),"")&amp;"","")</f>
        <v/>
      </c>
      <c r="AJ1064" s="54">
        <f>IF(AND(AF1064=1,AE1064&gt;=set_FYStart,AE1064&lt;=set_AsAt),1,0)</f>
        <v/>
      </c>
      <c r="AK1064" s="54">
        <f>IF(AND(AJ1064=1,AH1064&lt;&gt;"",COUNTIFS($AH$2:AH1064,AH1064,$AJ$2:AJ1064,1)=1),N(AL1063)+1,"")</f>
        <v/>
      </c>
      <c r="AL1064" s="54">
        <f>IF(AK1064&lt;&gt;"",AK1064,N(AL1063))</f>
        <v/>
      </c>
    </row>
    <row r="1065">
      <c r="A1065" t="inlineStr">
        <is>
          <t>PRD-0355</t>
        </is>
      </c>
      <c r="B1065" t="inlineStr">
        <is>
          <t>Production</t>
        </is>
      </c>
      <c r="AB1065" t="n">
        <v>355</v>
      </c>
      <c r="AD1065" s="52">
        <f>IFERROR(N(IFERROR(INDEX($A1065:$AB1065,MATCH("Xero Invoiced Ex GST",$A$1:$AB$1,0)),"")),0)</f>
        <v/>
      </c>
      <c r="AE1065" s="53">
        <f>IFERROR(INDEX($A1065:$AB1065,MATCH("Xero Invoice Date",$A$1:$AB$1,0)),"")</f>
        <v/>
      </c>
      <c r="AF1065" s="54">
        <f>IF(AND(IFERROR(INDEX($A1065:$AB1065,MATCH("Xero Invoice No",$A$1:$AB$1,0)),"")&amp;""&lt;&gt;"",ISNUMBER(AE1065),AD1065&lt;&gt;0),1,0)</f>
        <v/>
      </c>
      <c r="AG1065" s="55">
        <f>IF(AF1065=1,EOMONTH(AE1065,0),"")</f>
        <v/>
      </c>
      <c r="AH1065" s="9">
        <f>IF(AF1065=1,UPPER(TRIM(IFERROR(INDEX($A1065:$AB1065,MATCH("Client",$A$1:$AB$1,0)),"")&amp;"")),"")</f>
        <v/>
      </c>
      <c r="AI1065" s="9">
        <f>IF(AF1065=1,IFERROR(INDEX($A1065:$AB1065,MATCH("Cost Centre",$A$1:$AB$1,0)),"")&amp;"","")</f>
        <v/>
      </c>
      <c r="AJ1065" s="54">
        <f>IF(AND(AF1065=1,AE1065&gt;=set_FYStart,AE1065&lt;=set_AsAt),1,0)</f>
        <v/>
      </c>
      <c r="AK1065" s="54">
        <f>IF(AND(AJ1065=1,AH1065&lt;&gt;"",COUNTIFS($AH$2:AH1065,AH1065,$AJ$2:AJ1065,1)=1),N(AL1064)+1,"")</f>
        <v/>
      </c>
      <c r="AL1065" s="54">
        <f>IF(AK1065&lt;&gt;"",AK1065,N(AL1064))</f>
        <v/>
      </c>
    </row>
    <row r="1066">
      <c r="A1066" t="inlineStr">
        <is>
          <t>CON-0355</t>
        </is>
      </c>
      <c r="B1066" t="inlineStr">
        <is>
          <t>Consulting</t>
        </is>
      </c>
      <c r="AB1066" t="n">
        <v>355</v>
      </c>
      <c r="AD1066" s="52">
        <f>IFERROR(N(IFERROR(INDEX($A1066:$AB1066,MATCH("Xero Invoiced Ex GST",$A$1:$AB$1,0)),"")),0)</f>
        <v/>
      </c>
      <c r="AE1066" s="53">
        <f>IFERROR(INDEX($A1066:$AB1066,MATCH("Xero Invoice Date",$A$1:$AB$1,0)),"")</f>
        <v/>
      </c>
      <c r="AF1066" s="54">
        <f>IF(AND(IFERROR(INDEX($A1066:$AB1066,MATCH("Xero Invoice No",$A$1:$AB$1,0)),"")&amp;""&lt;&gt;"",ISNUMBER(AE1066),AD1066&lt;&gt;0),1,0)</f>
        <v/>
      </c>
      <c r="AG1066" s="55">
        <f>IF(AF1066=1,EOMONTH(AE1066,0),"")</f>
        <v/>
      </c>
      <c r="AH1066" s="9">
        <f>IF(AF1066=1,UPPER(TRIM(IFERROR(INDEX($A1066:$AB1066,MATCH("Client",$A$1:$AB$1,0)),"")&amp;"")),"")</f>
        <v/>
      </c>
      <c r="AI1066" s="9">
        <f>IF(AF1066=1,IFERROR(INDEX($A1066:$AB1066,MATCH("Cost Centre",$A$1:$AB$1,0)),"")&amp;"","")</f>
        <v/>
      </c>
      <c r="AJ1066" s="54">
        <f>IF(AND(AF1066=1,AE1066&gt;=set_FYStart,AE1066&lt;=set_AsAt),1,0)</f>
        <v/>
      </c>
      <c r="AK1066" s="54">
        <f>IF(AND(AJ1066=1,AH1066&lt;&gt;"",COUNTIFS($AH$2:AH1066,AH1066,$AJ$2:AJ1066,1)=1),N(AL1065)+1,"")</f>
        <v/>
      </c>
      <c r="AL1066" s="54">
        <f>IF(AK1066&lt;&gt;"",AK1066,N(AL1065))</f>
        <v/>
      </c>
    </row>
    <row r="1067">
      <c r="A1067" t="inlineStr">
        <is>
          <t>ONS-0356</t>
        </is>
      </c>
      <c r="B1067" t="inlineStr">
        <is>
          <t>Onsite</t>
        </is>
      </c>
      <c r="AB1067" t="n">
        <v>356</v>
      </c>
      <c r="AD1067" s="52">
        <f>IFERROR(N(IFERROR(INDEX($A1067:$AB1067,MATCH("Xero Invoiced Ex GST",$A$1:$AB$1,0)),"")),0)</f>
        <v/>
      </c>
      <c r="AE1067" s="53">
        <f>IFERROR(INDEX($A1067:$AB1067,MATCH("Xero Invoice Date",$A$1:$AB$1,0)),"")</f>
        <v/>
      </c>
      <c r="AF1067" s="54">
        <f>IF(AND(IFERROR(INDEX($A1067:$AB1067,MATCH("Xero Invoice No",$A$1:$AB$1,0)),"")&amp;""&lt;&gt;"",ISNUMBER(AE1067),AD1067&lt;&gt;0),1,0)</f>
        <v/>
      </c>
      <c r="AG1067" s="55">
        <f>IF(AF1067=1,EOMONTH(AE1067,0),"")</f>
        <v/>
      </c>
      <c r="AH1067" s="9">
        <f>IF(AF1067=1,UPPER(TRIM(IFERROR(INDEX($A1067:$AB1067,MATCH("Client",$A$1:$AB$1,0)),"")&amp;"")),"")</f>
        <v/>
      </c>
      <c r="AI1067" s="9">
        <f>IF(AF1067=1,IFERROR(INDEX($A1067:$AB1067,MATCH("Cost Centre",$A$1:$AB$1,0)),"")&amp;"","")</f>
        <v/>
      </c>
      <c r="AJ1067" s="54">
        <f>IF(AND(AF1067=1,AE1067&gt;=set_FYStart,AE1067&lt;=set_AsAt),1,0)</f>
        <v/>
      </c>
      <c r="AK1067" s="54">
        <f>IF(AND(AJ1067=1,AH1067&lt;&gt;"",COUNTIFS($AH$2:AH1067,AH1067,$AJ$2:AJ1067,1)=1),N(AL1066)+1,"")</f>
        <v/>
      </c>
      <c r="AL1067" s="54">
        <f>IF(AK1067&lt;&gt;"",AK1067,N(AL1066))</f>
        <v/>
      </c>
    </row>
    <row r="1068">
      <c r="A1068" t="inlineStr">
        <is>
          <t>PRD-0356</t>
        </is>
      </c>
      <c r="B1068" t="inlineStr">
        <is>
          <t>Production</t>
        </is>
      </c>
      <c r="AB1068" t="n">
        <v>356</v>
      </c>
      <c r="AD1068" s="52">
        <f>IFERROR(N(IFERROR(INDEX($A1068:$AB1068,MATCH("Xero Invoiced Ex GST",$A$1:$AB$1,0)),"")),0)</f>
        <v/>
      </c>
      <c r="AE1068" s="53">
        <f>IFERROR(INDEX($A1068:$AB1068,MATCH("Xero Invoice Date",$A$1:$AB$1,0)),"")</f>
        <v/>
      </c>
      <c r="AF1068" s="54">
        <f>IF(AND(IFERROR(INDEX($A1068:$AB1068,MATCH("Xero Invoice No",$A$1:$AB$1,0)),"")&amp;""&lt;&gt;"",ISNUMBER(AE1068),AD1068&lt;&gt;0),1,0)</f>
        <v/>
      </c>
      <c r="AG1068" s="55">
        <f>IF(AF1068=1,EOMONTH(AE1068,0),"")</f>
        <v/>
      </c>
      <c r="AH1068" s="9">
        <f>IF(AF1068=1,UPPER(TRIM(IFERROR(INDEX($A1068:$AB1068,MATCH("Client",$A$1:$AB$1,0)),"")&amp;"")),"")</f>
        <v/>
      </c>
      <c r="AI1068" s="9">
        <f>IF(AF1068=1,IFERROR(INDEX($A1068:$AB1068,MATCH("Cost Centre",$A$1:$AB$1,0)),"")&amp;"","")</f>
        <v/>
      </c>
      <c r="AJ1068" s="54">
        <f>IF(AND(AF1068=1,AE1068&gt;=set_FYStart,AE1068&lt;=set_AsAt),1,0)</f>
        <v/>
      </c>
      <c r="AK1068" s="54">
        <f>IF(AND(AJ1068=1,AH1068&lt;&gt;"",COUNTIFS($AH$2:AH1068,AH1068,$AJ$2:AJ1068,1)=1),N(AL1067)+1,"")</f>
        <v/>
      </c>
      <c r="AL1068" s="54">
        <f>IF(AK1068&lt;&gt;"",AK1068,N(AL1067))</f>
        <v/>
      </c>
    </row>
    <row r="1069">
      <c r="A1069" t="inlineStr">
        <is>
          <t>CON-0356</t>
        </is>
      </c>
      <c r="B1069" t="inlineStr">
        <is>
          <t>Consulting</t>
        </is>
      </c>
      <c r="AB1069" t="n">
        <v>356</v>
      </c>
      <c r="AD1069" s="52">
        <f>IFERROR(N(IFERROR(INDEX($A1069:$AB1069,MATCH("Xero Invoiced Ex GST",$A$1:$AB$1,0)),"")),0)</f>
        <v/>
      </c>
      <c r="AE1069" s="53">
        <f>IFERROR(INDEX($A1069:$AB1069,MATCH("Xero Invoice Date",$A$1:$AB$1,0)),"")</f>
        <v/>
      </c>
      <c r="AF1069" s="54">
        <f>IF(AND(IFERROR(INDEX($A1069:$AB1069,MATCH("Xero Invoice No",$A$1:$AB$1,0)),"")&amp;""&lt;&gt;"",ISNUMBER(AE1069),AD1069&lt;&gt;0),1,0)</f>
        <v/>
      </c>
      <c r="AG1069" s="55">
        <f>IF(AF1069=1,EOMONTH(AE1069,0),"")</f>
        <v/>
      </c>
      <c r="AH1069" s="9">
        <f>IF(AF1069=1,UPPER(TRIM(IFERROR(INDEX($A1069:$AB1069,MATCH("Client",$A$1:$AB$1,0)),"")&amp;"")),"")</f>
        <v/>
      </c>
      <c r="AI1069" s="9">
        <f>IF(AF1069=1,IFERROR(INDEX($A1069:$AB1069,MATCH("Cost Centre",$A$1:$AB$1,0)),"")&amp;"","")</f>
        <v/>
      </c>
      <c r="AJ1069" s="54">
        <f>IF(AND(AF1069=1,AE1069&gt;=set_FYStart,AE1069&lt;=set_AsAt),1,0)</f>
        <v/>
      </c>
      <c r="AK1069" s="54">
        <f>IF(AND(AJ1069=1,AH1069&lt;&gt;"",COUNTIFS($AH$2:AH1069,AH1069,$AJ$2:AJ1069,1)=1),N(AL1068)+1,"")</f>
        <v/>
      </c>
      <c r="AL1069" s="54">
        <f>IF(AK1069&lt;&gt;"",AK1069,N(AL1068))</f>
        <v/>
      </c>
    </row>
    <row r="1070">
      <c r="A1070" t="inlineStr">
        <is>
          <t>ONS-0357</t>
        </is>
      </c>
      <c r="B1070" t="inlineStr">
        <is>
          <t>Onsite</t>
        </is>
      </c>
      <c r="AB1070" t="n">
        <v>357</v>
      </c>
      <c r="AD1070" s="52">
        <f>IFERROR(N(IFERROR(INDEX($A1070:$AB1070,MATCH("Xero Invoiced Ex GST",$A$1:$AB$1,0)),"")),0)</f>
        <v/>
      </c>
      <c r="AE1070" s="53">
        <f>IFERROR(INDEX($A1070:$AB1070,MATCH("Xero Invoice Date",$A$1:$AB$1,0)),"")</f>
        <v/>
      </c>
      <c r="AF1070" s="54">
        <f>IF(AND(IFERROR(INDEX($A1070:$AB1070,MATCH("Xero Invoice No",$A$1:$AB$1,0)),"")&amp;""&lt;&gt;"",ISNUMBER(AE1070),AD1070&lt;&gt;0),1,0)</f>
        <v/>
      </c>
      <c r="AG1070" s="55">
        <f>IF(AF1070=1,EOMONTH(AE1070,0),"")</f>
        <v/>
      </c>
      <c r="AH1070" s="9">
        <f>IF(AF1070=1,UPPER(TRIM(IFERROR(INDEX($A1070:$AB1070,MATCH("Client",$A$1:$AB$1,0)),"")&amp;"")),"")</f>
        <v/>
      </c>
      <c r="AI1070" s="9">
        <f>IF(AF1070=1,IFERROR(INDEX($A1070:$AB1070,MATCH("Cost Centre",$A$1:$AB$1,0)),"")&amp;"","")</f>
        <v/>
      </c>
      <c r="AJ1070" s="54">
        <f>IF(AND(AF1070=1,AE1070&gt;=set_FYStart,AE1070&lt;=set_AsAt),1,0)</f>
        <v/>
      </c>
      <c r="AK1070" s="54">
        <f>IF(AND(AJ1070=1,AH1070&lt;&gt;"",COUNTIFS($AH$2:AH1070,AH1070,$AJ$2:AJ1070,1)=1),N(AL1069)+1,"")</f>
        <v/>
      </c>
      <c r="AL1070" s="54">
        <f>IF(AK1070&lt;&gt;"",AK1070,N(AL1069))</f>
        <v/>
      </c>
    </row>
    <row r="1071">
      <c r="A1071" t="inlineStr">
        <is>
          <t>PRD-0357</t>
        </is>
      </c>
      <c r="B1071" t="inlineStr">
        <is>
          <t>Production</t>
        </is>
      </c>
      <c r="AB1071" t="n">
        <v>357</v>
      </c>
      <c r="AD1071" s="52">
        <f>IFERROR(N(IFERROR(INDEX($A1071:$AB1071,MATCH("Xero Invoiced Ex GST",$A$1:$AB$1,0)),"")),0)</f>
        <v/>
      </c>
      <c r="AE1071" s="53">
        <f>IFERROR(INDEX($A1071:$AB1071,MATCH("Xero Invoice Date",$A$1:$AB$1,0)),"")</f>
        <v/>
      </c>
      <c r="AF1071" s="54">
        <f>IF(AND(IFERROR(INDEX($A1071:$AB1071,MATCH("Xero Invoice No",$A$1:$AB$1,0)),"")&amp;""&lt;&gt;"",ISNUMBER(AE1071),AD1071&lt;&gt;0),1,0)</f>
        <v/>
      </c>
      <c r="AG1071" s="55">
        <f>IF(AF1071=1,EOMONTH(AE1071,0),"")</f>
        <v/>
      </c>
      <c r="AH1071" s="9">
        <f>IF(AF1071=1,UPPER(TRIM(IFERROR(INDEX($A1071:$AB1071,MATCH("Client",$A$1:$AB$1,0)),"")&amp;"")),"")</f>
        <v/>
      </c>
      <c r="AI1071" s="9">
        <f>IF(AF1071=1,IFERROR(INDEX($A1071:$AB1071,MATCH("Cost Centre",$A$1:$AB$1,0)),"")&amp;"","")</f>
        <v/>
      </c>
      <c r="AJ1071" s="54">
        <f>IF(AND(AF1071=1,AE1071&gt;=set_FYStart,AE1071&lt;=set_AsAt),1,0)</f>
        <v/>
      </c>
      <c r="AK1071" s="54">
        <f>IF(AND(AJ1071=1,AH1071&lt;&gt;"",COUNTIFS($AH$2:AH1071,AH1071,$AJ$2:AJ1071,1)=1),N(AL1070)+1,"")</f>
        <v/>
      </c>
      <c r="AL1071" s="54">
        <f>IF(AK1071&lt;&gt;"",AK1071,N(AL1070))</f>
        <v/>
      </c>
    </row>
    <row r="1072">
      <c r="A1072" t="inlineStr">
        <is>
          <t>CON-0357</t>
        </is>
      </c>
      <c r="B1072" t="inlineStr">
        <is>
          <t>Consulting</t>
        </is>
      </c>
      <c r="AB1072" t="n">
        <v>357</v>
      </c>
      <c r="AD1072" s="52">
        <f>IFERROR(N(IFERROR(INDEX($A1072:$AB1072,MATCH("Xero Invoiced Ex GST",$A$1:$AB$1,0)),"")),0)</f>
        <v/>
      </c>
      <c r="AE1072" s="53">
        <f>IFERROR(INDEX($A1072:$AB1072,MATCH("Xero Invoice Date",$A$1:$AB$1,0)),"")</f>
        <v/>
      </c>
      <c r="AF1072" s="54">
        <f>IF(AND(IFERROR(INDEX($A1072:$AB1072,MATCH("Xero Invoice No",$A$1:$AB$1,0)),"")&amp;""&lt;&gt;"",ISNUMBER(AE1072),AD1072&lt;&gt;0),1,0)</f>
        <v/>
      </c>
      <c r="AG1072" s="55">
        <f>IF(AF1072=1,EOMONTH(AE1072,0),"")</f>
        <v/>
      </c>
      <c r="AH1072" s="9">
        <f>IF(AF1072=1,UPPER(TRIM(IFERROR(INDEX($A1072:$AB1072,MATCH("Client",$A$1:$AB$1,0)),"")&amp;"")),"")</f>
        <v/>
      </c>
      <c r="AI1072" s="9">
        <f>IF(AF1072=1,IFERROR(INDEX($A1072:$AB1072,MATCH("Cost Centre",$A$1:$AB$1,0)),"")&amp;"","")</f>
        <v/>
      </c>
      <c r="AJ1072" s="54">
        <f>IF(AND(AF1072=1,AE1072&gt;=set_FYStart,AE1072&lt;=set_AsAt),1,0)</f>
        <v/>
      </c>
      <c r="AK1072" s="54">
        <f>IF(AND(AJ1072=1,AH1072&lt;&gt;"",COUNTIFS($AH$2:AH1072,AH1072,$AJ$2:AJ1072,1)=1),N(AL1071)+1,"")</f>
        <v/>
      </c>
      <c r="AL1072" s="54">
        <f>IF(AK1072&lt;&gt;"",AK1072,N(AL1071))</f>
        <v/>
      </c>
    </row>
    <row r="1073">
      <c r="A1073" t="inlineStr">
        <is>
          <t>ONS-0358</t>
        </is>
      </c>
      <c r="B1073" t="inlineStr">
        <is>
          <t>Onsite</t>
        </is>
      </c>
      <c r="AB1073" t="n">
        <v>358</v>
      </c>
      <c r="AD1073" s="52">
        <f>IFERROR(N(IFERROR(INDEX($A1073:$AB1073,MATCH("Xero Invoiced Ex GST",$A$1:$AB$1,0)),"")),0)</f>
        <v/>
      </c>
      <c r="AE1073" s="53">
        <f>IFERROR(INDEX($A1073:$AB1073,MATCH("Xero Invoice Date",$A$1:$AB$1,0)),"")</f>
        <v/>
      </c>
      <c r="AF1073" s="54">
        <f>IF(AND(IFERROR(INDEX($A1073:$AB1073,MATCH("Xero Invoice No",$A$1:$AB$1,0)),"")&amp;""&lt;&gt;"",ISNUMBER(AE1073),AD1073&lt;&gt;0),1,0)</f>
        <v/>
      </c>
      <c r="AG1073" s="55">
        <f>IF(AF1073=1,EOMONTH(AE1073,0),"")</f>
        <v/>
      </c>
      <c r="AH1073" s="9">
        <f>IF(AF1073=1,UPPER(TRIM(IFERROR(INDEX($A1073:$AB1073,MATCH("Client",$A$1:$AB$1,0)),"")&amp;"")),"")</f>
        <v/>
      </c>
      <c r="AI1073" s="9">
        <f>IF(AF1073=1,IFERROR(INDEX($A1073:$AB1073,MATCH("Cost Centre",$A$1:$AB$1,0)),"")&amp;"","")</f>
        <v/>
      </c>
      <c r="AJ1073" s="54">
        <f>IF(AND(AF1073=1,AE1073&gt;=set_FYStart,AE1073&lt;=set_AsAt),1,0)</f>
        <v/>
      </c>
      <c r="AK1073" s="54">
        <f>IF(AND(AJ1073=1,AH1073&lt;&gt;"",COUNTIFS($AH$2:AH1073,AH1073,$AJ$2:AJ1073,1)=1),N(AL1072)+1,"")</f>
        <v/>
      </c>
      <c r="AL1073" s="54">
        <f>IF(AK1073&lt;&gt;"",AK1073,N(AL1072))</f>
        <v/>
      </c>
    </row>
    <row r="1074">
      <c r="A1074" t="inlineStr">
        <is>
          <t>PRD-0358</t>
        </is>
      </c>
      <c r="B1074" t="inlineStr">
        <is>
          <t>Production</t>
        </is>
      </c>
      <c r="AB1074" t="n">
        <v>358</v>
      </c>
      <c r="AD1074" s="52">
        <f>IFERROR(N(IFERROR(INDEX($A1074:$AB1074,MATCH("Xero Invoiced Ex GST",$A$1:$AB$1,0)),"")),0)</f>
        <v/>
      </c>
      <c r="AE1074" s="53">
        <f>IFERROR(INDEX($A1074:$AB1074,MATCH("Xero Invoice Date",$A$1:$AB$1,0)),"")</f>
        <v/>
      </c>
      <c r="AF1074" s="54">
        <f>IF(AND(IFERROR(INDEX($A1074:$AB1074,MATCH("Xero Invoice No",$A$1:$AB$1,0)),"")&amp;""&lt;&gt;"",ISNUMBER(AE1074),AD1074&lt;&gt;0),1,0)</f>
        <v/>
      </c>
      <c r="AG1074" s="55">
        <f>IF(AF1074=1,EOMONTH(AE1074,0),"")</f>
        <v/>
      </c>
      <c r="AH1074" s="9">
        <f>IF(AF1074=1,UPPER(TRIM(IFERROR(INDEX($A1074:$AB1074,MATCH("Client",$A$1:$AB$1,0)),"")&amp;"")),"")</f>
        <v/>
      </c>
      <c r="AI1074" s="9">
        <f>IF(AF1074=1,IFERROR(INDEX($A1074:$AB1074,MATCH("Cost Centre",$A$1:$AB$1,0)),"")&amp;"","")</f>
        <v/>
      </c>
      <c r="AJ1074" s="54">
        <f>IF(AND(AF1074=1,AE1074&gt;=set_FYStart,AE1074&lt;=set_AsAt),1,0)</f>
        <v/>
      </c>
      <c r="AK1074" s="54">
        <f>IF(AND(AJ1074=1,AH1074&lt;&gt;"",COUNTIFS($AH$2:AH1074,AH1074,$AJ$2:AJ1074,1)=1),N(AL1073)+1,"")</f>
        <v/>
      </c>
      <c r="AL1074" s="54">
        <f>IF(AK1074&lt;&gt;"",AK1074,N(AL1073))</f>
        <v/>
      </c>
    </row>
    <row r="1075">
      <c r="A1075" t="inlineStr">
        <is>
          <t>CON-0358</t>
        </is>
      </c>
      <c r="B1075" t="inlineStr">
        <is>
          <t>Consulting</t>
        </is>
      </c>
      <c r="AB1075" t="n">
        <v>358</v>
      </c>
      <c r="AD1075" s="52">
        <f>IFERROR(N(IFERROR(INDEX($A1075:$AB1075,MATCH("Xero Invoiced Ex GST",$A$1:$AB$1,0)),"")),0)</f>
        <v/>
      </c>
      <c r="AE1075" s="53">
        <f>IFERROR(INDEX($A1075:$AB1075,MATCH("Xero Invoice Date",$A$1:$AB$1,0)),"")</f>
        <v/>
      </c>
      <c r="AF1075" s="54">
        <f>IF(AND(IFERROR(INDEX($A1075:$AB1075,MATCH("Xero Invoice No",$A$1:$AB$1,0)),"")&amp;""&lt;&gt;"",ISNUMBER(AE1075),AD1075&lt;&gt;0),1,0)</f>
        <v/>
      </c>
      <c r="AG1075" s="55">
        <f>IF(AF1075=1,EOMONTH(AE1075,0),"")</f>
        <v/>
      </c>
      <c r="AH1075" s="9">
        <f>IF(AF1075=1,UPPER(TRIM(IFERROR(INDEX($A1075:$AB1075,MATCH("Client",$A$1:$AB$1,0)),"")&amp;"")),"")</f>
        <v/>
      </c>
      <c r="AI1075" s="9">
        <f>IF(AF1075=1,IFERROR(INDEX($A1075:$AB1075,MATCH("Cost Centre",$A$1:$AB$1,0)),"")&amp;"","")</f>
        <v/>
      </c>
      <c r="AJ1075" s="54">
        <f>IF(AND(AF1075=1,AE1075&gt;=set_FYStart,AE1075&lt;=set_AsAt),1,0)</f>
        <v/>
      </c>
      <c r="AK1075" s="54">
        <f>IF(AND(AJ1075=1,AH1075&lt;&gt;"",COUNTIFS($AH$2:AH1075,AH1075,$AJ$2:AJ1075,1)=1),N(AL1074)+1,"")</f>
        <v/>
      </c>
      <c r="AL1075" s="54">
        <f>IF(AK1075&lt;&gt;"",AK1075,N(AL1074))</f>
        <v/>
      </c>
    </row>
    <row r="1076">
      <c r="A1076" t="inlineStr">
        <is>
          <t>ONS-0359</t>
        </is>
      </c>
      <c r="B1076" t="inlineStr">
        <is>
          <t>Onsite</t>
        </is>
      </c>
      <c r="AB1076" t="n">
        <v>359</v>
      </c>
      <c r="AD1076" s="52">
        <f>IFERROR(N(IFERROR(INDEX($A1076:$AB1076,MATCH("Xero Invoiced Ex GST",$A$1:$AB$1,0)),"")),0)</f>
        <v/>
      </c>
      <c r="AE1076" s="53">
        <f>IFERROR(INDEX($A1076:$AB1076,MATCH("Xero Invoice Date",$A$1:$AB$1,0)),"")</f>
        <v/>
      </c>
      <c r="AF1076" s="54">
        <f>IF(AND(IFERROR(INDEX($A1076:$AB1076,MATCH("Xero Invoice No",$A$1:$AB$1,0)),"")&amp;""&lt;&gt;"",ISNUMBER(AE1076),AD1076&lt;&gt;0),1,0)</f>
        <v/>
      </c>
      <c r="AG1076" s="55">
        <f>IF(AF1076=1,EOMONTH(AE1076,0),"")</f>
        <v/>
      </c>
      <c r="AH1076" s="9">
        <f>IF(AF1076=1,UPPER(TRIM(IFERROR(INDEX($A1076:$AB1076,MATCH("Client",$A$1:$AB$1,0)),"")&amp;"")),"")</f>
        <v/>
      </c>
      <c r="AI1076" s="9">
        <f>IF(AF1076=1,IFERROR(INDEX($A1076:$AB1076,MATCH("Cost Centre",$A$1:$AB$1,0)),"")&amp;"","")</f>
        <v/>
      </c>
      <c r="AJ1076" s="54">
        <f>IF(AND(AF1076=1,AE1076&gt;=set_FYStart,AE1076&lt;=set_AsAt),1,0)</f>
        <v/>
      </c>
      <c r="AK1076" s="54">
        <f>IF(AND(AJ1076=1,AH1076&lt;&gt;"",COUNTIFS($AH$2:AH1076,AH1076,$AJ$2:AJ1076,1)=1),N(AL1075)+1,"")</f>
        <v/>
      </c>
      <c r="AL1076" s="54">
        <f>IF(AK1076&lt;&gt;"",AK1076,N(AL1075))</f>
        <v/>
      </c>
    </row>
    <row r="1077">
      <c r="A1077" t="inlineStr">
        <is>
          <t>PRD-0359</t>
        </is>
      </c>
      <c r="B1077" t="inlineStr">
        <is>
          <t>Production</t>
        </is>
      </c>
      <c r="AB1077" t="n">
        <v>359</v>
      </c>
      <c r="AD1077" s="52">
        <f>IFERROR(N(IFERROR(INDEX($A1077:$AB1077,MATCH("Xero Invoiced Ex GST",$A$1:$AB$1,0)),"")),0)</f>
        <v/>
      </c>
      <c r="AE1077" s="53">
        <f>IFERROR(INDEX($A1077:$AB1077,MATCH("Xero Invoice Date",$A$1:$AB$1,0)),"")</f>
        <v/>
      </c>
      <c r="AF1077" s="54">
        <f>IF(AND(IFERROR(INDEX($A1077:$AB1077,MATCH("Xero Invoice No",$A$1:$AB$1,0)),"")&amp;""&lt;&gt;"",ISNUMBER(AE1077),AD1077&lt;&gt;0),1,0)</f>
        <v/>
      </c>
      <c r="AG1077" s="55">
        <f>IF(AF1077=1,EOMONTH(AE1077,0),"")</f>
        <v/>
      </c>
      <c r="AH1077" s="9">
        <f>IF(AF1077=1,UPPER(TRIM(IFERROR(INDEX($A1077:$AB1077,MATCH("Client",$A$1:$AB$1,0)),"")&amp;"")),"")</f>
        <v/>
      </c>
      <c r="AI1077" s="9">
        <f>IF(AF1077=1,IFERROR(INDEX($A1077:$AB1077,MATCH("Cost Centre",$A$1:$AB$1,0)),"")&amp;"","")</f>
        <v/>
      </c>
      <c r="AJ1077" s="54">
        <f>IF(AND(AF1077=1,AE1077&gt;=set_FYStart,AE1077&lt;=set_AsAt),1,0)</f>
        <v/>
      </c>
      <c r="AK1077" s="54">
        <f>IF(AND(AJ1077=1,AH1077&lt;&gt;"",COUNTIFS($AH$2:AH1077,AH1077,$AJ$2:AJ1077,1)=1),N(AL1076)+1,"")</f>
        <v/>
      </c>
      <c r="AL1077" s="54">
        <f>IF(AK1077&lt;&gt;"",AK1077,N(AL1076))</f>
        <v/>
      </c>
    </row>
    <row r="1078">
      <c r="A1078" t="inlineStr">
        <is>
          <t>CON-0359</t>
        </is>
      </c>
      <c r="B1078" t="inlineStr">
        <is>
          <t>Consulting</t>
        </is>
      </c>
      <c r="AB1078" t="n">
        <v>359</v>
      </c>
      <c r="AD1078" s="52">
        <f>IFERROR(N(IFERROR(INDEX($A1078:$AB1078,MATCH("Xero Invoiced Ex GST",$A$1:$AB$1,0)),"")),0)</f>
        <v/>
      </c>
      <c r="AE1078" s="53">
        <f>IFERROR(INDEX($A1078:$AB1078,MATCH("Xero Invoice Date",$A$1:$AB$1,0)),"")</f>
        <v/>
      </c>
      <c r="AF1078" s="54">
        <f>IF(AND(IFERROR(INDEX($A1078:$AB1078,MATCH("Xero Invoice No",$A$1:$AB$1,0)),"")&amp;""&lt;&gt;"",ISNUMBER(AE1078),AD1078&lt;&gt;0),1,0)</f>
        <v/>
      </c>
      <c r="AG1078" s="55">
        <f>IF(AF1078=1,EOMONTH(AE1078,0),"")</f>
        <v/>
      </c>
      <c r="AH1078" s="9">
        <f>IF(AF1078=1,UPPER(TRIM(IFERROR(INDEX($A1078:$AB1078,MATCH("Client",$A$1:$AB$1,0)),"")&amp;"")),"")</f>
        <v/>
      </c>
      <c r="AI1078" s="9">
        <f>IF(AF1078=1,IFERROR(INDEX($A1078:$AB1078,MATCH("Cost Centre",$A$1:$AB$1,0)),"")&amp;"","")</f>
        <v/>
      </c>
      <c r="AJ1078" s="54">
        <f>IF(AND(AF1078=1,AE1078&gt;=set_FYStart,AE1078&lt;=set_AsAt),1,0)</f>
        <v/>
      </c>
      <c r="AK1078" s="54">
        <f>IF(AND(AJ1078=1,AH1078&lt;&gt;"",COUNTIFS($AH$2:AH1078,AH1078,$AJ$2:AJ1078,1)=1),N(AL1077)+1,"")</f>
        <v/>
      </c>
      <c r="AL1078" s="54">
        <f>IF(AK1078&lt;&gt;"",AK1078,N(AL1077))</f>
        <v/>
      </c>
    </row>
    <row r="1079">
      <c r="A1079" t="inlineStr">
        <is>
          <t>ONS-0360</t>
        </is>
      </c>
      <c r="B1079" t="inlineStr">
        <is>
          <t>Onsite</t>
        </is>
      </c>
      <c r="AB1079" t="n">
        <v>360</v>
      </c>
      <c r="AD1079" s="52">
        <f>IFERROR(N(IFERROR(INDEX($A1079:$AB1079,MATCH("Xero Invoiced Ex GST",$A$1:$AB$1,0)),"")),0)</f>
        <v/>
      </c>
      <c r="AE1079" s="53">
        <f>IFERROR(INDEX($A1079:$AB1079,MATCH("Xero Invoice Date",$A$1:$AB$1,0)),"")</f>
        <v/>
      </c>
      <c r="AF1079" s="54">
        <f>IF(AND(IFERROR(INDEX($A1079:$AB1079,MATCH("Xero Invoice No",$A$1:$AB$1,0)),"")&amp;""&lt;&gt;"",ISNUMBER(AE1079),AD1079&lt;&gt;0),1,0)</f>
        <v/>
      </c>
      <c r="AG1079" s="55">
        <f>IF(AF1079=1,EOMONTH(AE1079,0),"")</f>
        <v/>
      </c>
      <c r="AH1079" s="9">
        <f>IF(AF1079=1,UPPER(TRIM(IFERROR(INDEX($A1079:$AB1079,MATCH("Client",$A$1:$AB$1,0)),"")&amp;"")),"")</f>
        <v/>
      </c>
      <c r="AI1079" s="9">
        <f>IF(AF1079=1,IFERROR(INDEX($A1079:$AB1079,MATCH("Cost Centre",$A$1:$AB$1,0)),"")&amp;"","")</f>
        <v/>
      </c>
      <c r="AJ1079" s="54">
        <f>IF(AND(AF1079=1,AE1079&gt;=set_FYStart,AE1079&lt;=set_AsAt),1,0)</f>
        <v/>
      </c>
      <c r="AK1079" s="54">
        <f>IF(AND(AJ1079=1,AH1079&lt;&gt;"",COUNTIFS($AH$2:AH1079,AH1079,$AJ$2:AJ1079,1)=1),N(AL1078)+1,"")</f>
        <v/>
      </c>
      <c r="AL1079" s="54">
        <f>IF(AK1079&lt;&gt;"",AK1079,N(AL1078))</f>
        <v/>
      </c>
    </row>
    <row r="1080">
      <c r="A1080" t="inlineStr">
        <is>
          <t>PRD-0360</t>
        </is>
      </c>
      <c r="B1080" t="inlineStr">
        <is>
          <t>Production</t>
        </is>
      </c>
      <c r="AB1080" t="n">
        <v>360</v>
      </c>
      <c r="AD1080" s="52">
        <f>IFERROR(N(IFERROR(INDEX($A1080:$AB1080,MATCH("Xero Invoiced Ex GST",$A$1:$AB$1,0)),"")),0)</f>
        <v/>
      </c>
      <c r="AE1080" s="53">
        <f>IFERROR(INDEX($A1080:$AB1080,MATCH("Xero Invoice Date",$A$1:$AB$1,0)),"")</f>
        <v/>
      </c>
      <c r="AF1080" s="54">
        <f>IF(AND(IFERROR(INDEX($A1080:$AB1080,MATCH("Xero Invoice No",$A$1:$AB$1,0)),"")&amp;""&lt;&gt;"",ISNUMBER(AE1080),AD1080&lt;&gt;0),1,0)</f>
        <v/>
      </c>
      <c r="AG1080" s="55">
        <f>IF(AF1080=1,EOMONTH(AE1080,0),"")</f>
        <v/>
      </c>
      <c r="AH1080" s="9">
        <f>IF(AF1080=1,UPPER(TRIM(IFERROR(INDEX($A1080:$AB1080,MATCH("Client",$A$1:$AB$1,0)),"")&amp;"")),"")</f>
        <v/>
      </c>
      <c r="AI1080" s="9">
        <f>IF(AF1080=1,IFERROR(INDEX($A1080:$AB1080,MATCH("Cost Centre",$A$1:$AB$1,0)),"")&amp;"","")</f>
        <v/>
      </c>
      <c r="AJ1080" s="54">
        <f>IF(AND(AF1080=1,AE1080&gt;=set_FYStart,AE1080&lt;=set_AsAt),1,0)</f>
        <v/>
      </c>
      <c r="AK1080" s="54">
        <f>IF(AND(AJ1080=1,AH1080&lt;&gt;"",COUNTIFS($AH$2:AH1080,AH1080,$AJ$2:AJ1080,1)=1),N(AL1079)+1,"")</f>
        <v/>
      </c>
      <c r="AL1080" s="54">
        <f>IF(AK1080&lt;&gt;"",AK1080,N(AL1079))</f>
        <v/>
      </c>
    </row>
    <row r="1081">
      <c r="A1081" t="inlineStr">
        <is>
          <t>CON-0360</t>
        </is>
      </c>
      <c r="B1081" t="inlineStr">
        <is>
          <t>Consulting</t>
        </is>
      </c>
      <c r="AB1081" t="n">
        <v>360</v>
      </c>
      <c r="AD1081" s="52">
        <f>IFERROR(N(IFERROR(INDEX($A1081:$AB1081,MATCH("Xero Invoiced Ex GST",$A$1:$AB$1,0)),"")),0)</f>
        <v/>
      </c>
      <c r="AE1081" s="53">
        <f>IFERROR(INDEX($A1081:$AB1081,MATCH("Xero Invoice Date",$A$1:$AB$1,0)),"")</f>
        <v/>
      </c>
      <c r="AF1081" s="54">
        <f>IF(AND(IFERROR(INDEX($A1081:$AB1081,MATCH("Xero Invoice No",$A$1:$AB$1,0)),"")&amp;""&lt;&gt;"",ISNUMBER(AE1081),AD1081&lt;&gt;0),1,0)</f>
        <v/>
      </c>
      <c r="AG1081" s="55">
        <f>IF(AF1081=1,EOMONTH(AE1081,0),"")</f>
        <v/>
      </c>
      <c r="AH1081" s="9">
        <f>IF(AF1081=1,UPPER(TRIM(IFERROR(INDEX($A1081:$AB1081,MATCH("Client",$A$1:$AB$1,0)),"")&amp;"")),"")</f>
        <v/>
      </c>
      <c r="AI1081" s="9">
        <f>IF(AF1081=1,IFERROR(INDEX($A1081:$AB1081,MATCH("Cost Centre",$A$1:$AB$1,0)),"")&amp;"","")</f>
        <v/>
      </c>
      <c r="AJ1081" s="54">
        <f>IF(AND(AF1081=1,AE1081&gt;=set_FYStart,AE1081&lt;=set_AsAt),1,0)</f>
        <v/>
      </c>
      <c r="AK1081" s="54">
        <f>IF(AND(AJ1081=1,AH1081&lt;&gt;"",COUNTIFS($AH$2:AH1081,AH1081,$AJ$2:AJ1081,1)=1),N(AL1080)+1,"")</f>
        <v/>
      </c>
      <c r="AL1081" s="54">
        <f>IF(AK1081&lt;&gt;"",AK1081,N(AL1080))</f>
        <v/>
      </c>
    </row>
    <row r="1082">
      <c r="A1082" t="inlineStr">
        <is>
          <t>ONS-0361</t>
        </is>
      </c>
      <c r="B1082" t="inlineStr">
        <is>
          <t>Onsite</t>
        </is>
      </c>
      <c r="AB1082" t="n">
        <v>361</v>
      </c>
      <c r="AD1082" s="52">
        <f>IFERROR(N(IFERROR(INDEX($A1082:$AB1082,MATCH("Xero Invoiced Ex GST",$A$1:$AB$1,0)),"")),0)</f>
        <v/>
      </c>
      <c r="AE1082" s="53">
        <f>IFERROR(INDEX($A1082:$AB1082,MATCH("Xero Invoice Date",$A$1:$AB$1,0)),"")</f>
        <v/>
      </c>
      <c r="AF1082" s="54">
        <f>IF(AND(IFERROR(INDEX($A1082:$AB1082,MATCH("Xero Invoice No",$A$1:$AB$1,0)),"")&amp;""&lt;&gt;"",ISNUMBER(AE1082),AD1082&lt;&gt;0),1,0)</f>
        <v/>
      </c>
      <c r="AG1082" s="55">
        <f>IF(AF1082=1,EOMONTH(AE1082,0),"")</f>
        <v/>
      </c>
      <c r="AH1082" s="9">
        <f>IF(AF1082=1,UPPER(TRIM(IFERROR(INDEX($A1082:$AB1082,MATCH("Client",$A$1:$AB$1,0)),"")&amp;"")),"")</f>
        <v/>
      </c>
      <c r="AI1082" s="9">
        <f>IF(AF1082=1,IFERROR(INDEX($A1082:$AB1082,MATCH("Cost Centre",$A$1:$AB$1,0)),"")&amp;"","")</f>
        <v/>
      </c>
      <c r="AJ1082" s="54">
        <f>IF(AND(AF1082=1,AE1082&gt;=set_FYStart,AE1082&lt;=set_AsAt),1,0)</f>
        <v/>
      </c>
      <c r="AK1082" s="54">
        <f>IF(AND(AJ1082=1,AH1082&lt;&gt;"",COUNTIFS($AH$2:AH1082,AH1082,$AJ$2:AJ1082,1)=1),N(AL1081)+1,"")</f>
        <v/>
      </c>
      <c r="AL1082" s="54">
        <f>IF(AK1082&lt;&gt;"",AK1082,N(AL1081))</f>
        <v/>
      </c>
    </row>
    <row r="1083">
      <c r="A1083" t="inlineStr">
        <is>
          <t>PRD-0361</t>
        </is>
      </c>
      <c r="B1083" t="inlineStr">
        <is>
          <t>Production</t>
        </is>
      </c>
      <c r="AB1083" t="n">
        <v>361</v>
      </c>
      <c r="AD1083" s="52">
        <f>IFERROR(N(IFERROR(INDEX($A1083:$AB1083,MATCH("Xero Invoiced Ex GST",$A$1:$AB$1,0)),"")),0)</f>
        <v/>
      </c>
      <c r="AE1083" s="53">
        <f>IFERROR(INDEX($A1083:$AB1083,MATCH("Xero Invoice Date",$A$1:$AB$1,0)),"")</f>
        <v/>
      </c>
      <c r="AF1083" s="54">
        <f>IF(AND(IFERROR(INDEX($A1083:$AB1083,MATCH("Xero Invoice No",$A$1:$AB$1,0)),"")&amp;""&lt;&gt;"",ISNUMBER(AE1083),AD1083&lt;&gt;0),1,0)</f>
        <v/>
      </c>
      <c r="AG1083" s="55">
        <f>IF(AF1083=1,EOMONTH(AE1083,0),"")</f>
        <v/>
      </c>
      <c r="AH1083" s="9">
        <f>IF(AF1083=1,UPPER(TRIM(IFERROR(INDEX($A1083:$AB1083,MATCH("Client",$A$1:$AB$1,0)),"")&amp;"")),"")</f>
        <v/>
      </c>
      <c r="AI1083" s="9">
        <f>IF(AF1083=1,IFERROR(INDEX($A1083:$AB1083,MATCH("Cost Centre",$A$1:$AB$1,0)),"")&amp;"","")</f>
        <v/>
      </c>
      <c r="AJ1083" s="54">
        <f>IF(AND(AF1083=1,AE1083&gt;=set_FYStart,AE1083&lt;=set_AsAt),1,0)</f>
        <v/>
      </c>
      <c r="AK1083" s="54">
        <f>IF(AND(AJ1083=1,AH1083&lt;&gt;"",COUNTIFS($AH$2:AH1083,AH1083,$AJ$2:AJ1083,1)=1),N(AL1082)+1,"")</f>
        <v/>
      </c>
      <c r="AL1083" s="54">
        <f>IF(AK1083&lt;&gt;"",AK1083,N(AL1082))</f>
        <v/>
      </c>
    </row>
    <row r="1084">
      <c r="A1084" t="inlineStr">
        <is>
          <t>CON-0361</t>
        </is>
      </c>
      <c r="B1084" t="inlineStr">
        <is>
          <t>Consulting</t>
        </is>
      </c>
      <c r="AB1084" t="n">
        <v>361</v>
      </c>
      <c r="AD1084" s="52">
        <f>IFERROR(N(IFERROR(INDEX($A1084:$AB1084,MATCH("Xero Invoiced Ex GST",$A$1:$AB$1,0)),"")),0)</f>
        <v/>
      </c>
      <c r="AE1084" s="53">
        <f>IFERROR(INDEX($A1084:$AB1084,MATCH("Xero Invoice Date",$A$1:$AB$1,0)),"")</f>
        <v/>
      </c>
      <c r="AF1084" s="54">
        <f>IF(AND(IFERROR(INDEX($A1084:$AB1084,MATCH("Xero Invoice No",$A$1:$AB$1,0)),"")&amp;""&lt;&gt;"",ISNUMBER(AE1084),AD1084&lt;&gt;0),1,0)</f>
        <v/>
      </c>
      <c r="AG1084" s="55">
        <f>IF(AF1084=1,EOMONTH(AE1084,0),"")</f>
        <v/>
      </c>
      <c r="AH1084" s="9">
        <f>IF(AF1084=1,UPPER(TRIM(IFERROR(INDEX($A1084:$AB1084,MATCH("Client",$A$1:$AB$1,0)),"")&amp;"")),"")</f>
        <v/>
      </c>
      <c r="AI1084" s="9">
        <f>IF(AF1084=1,IFERROR(INDEX($A1084:$AB1084,MATCH("Cost Centre",$A$1:$AB$1,0)),"")&amp;"","")</f>
        <v/>
      </c>
      <c r="AJ1084" s="54">
        <f>IF(AND(AF1084=1,AE1084&gt;=set_FYStart,AE1084&lt;=set_AsAt),1,0)</f>
        <v/>
      </c>
      <c r="AK1084" s="54">
        <f>IF(AND(AJ1084=1,AH1084&lt;&gt;"",COUNTIFS($AH$2:AH1084,AH1084,$AJ$2:AJ1084,1)=1),N(AL1083)+1,"")</f>
        <v/>
      </c>
      <c r="AL1084" s="54">
        <f>IF(AK1084&lt;&gt;"",AK1084,N(AL1083))</f>
        <v/>
      </c>
    </row>
    <row r="1085">
      <c r="A1085" t="inlineStr">
        <is>
          <t>ONS-0362</t>
        </is>
      </c>
      <c r="B1085" t="inlineStr">
        <is>
          <t>Onsite</t>
        </is>
      </c>
      <c r="AB1085" t="n">
        <v>362</v>
      </c>
      <c r="AD1085" s="52">
        <f>IFERROR(N(IFERROR(INDEX($A1085:$AB1085,MATCH("Xero Invoiced Ex GST",$A$1:$AB$1,0)),"")),0)</f>
        <v/>
      </c>
      <c r="AE1085" s="53">
        <f>IFERROR(INDEX($A1085:$AB1085,MATCH("Xero Invoice Date",$A$1:$AB$1,0)),"")</f>
        <v/>
      </c>
      <c r="AF1085" s="54">
        <f>IF(AND(IFERROR(INDEX($A1085:$AB1085,MATCH("Xero Invoice No",$A$1:$AB$1,0)),"")&amp;""&lt;&gt;"",ISNUMBER(AE1085),AD1085&lt;&gt;0),1,0)</f>
        <v/>
      </c>
      <c r="AG1085" s="55">
        <f>IF(AF1085=1,EOMONTH(AE1085,0),"")</f>
        <v/>
      </c>
      <c r="AH1085" s="9">
        <f>IF(AF1085=1,UPPER(TRIM(IFERROR(INDEX($A1085:$AB1085,MATCH("Client",$A$1:$AB$1,0)),"")&amp;"")),"")</f>
        <v/>
      </c>
      <c r="AI1085" s="9">
        <f>IF(AF1085=1,IFERROR(INDEX($A1085:$AB1085,MATCH("Cost Centre",$A$1:$AB$1,0)),"")&amp;"","")</f>
        <v/>
      </c>
      <c r="AJ1085" s="54">
        <f>IF(AND(AF1085=1,AE1085&gt;=set_FYStart,AE1085&lt;=set_AsAt),1,0)</f>
        <v/>
      </c>
      <c r="AK1085" s="54">
        <f>IF(AND(AJ1085=1,AH1085&lt;&gt;"",COUNTIFS($AH$2:AH1085,AH1085,$AJ$2:AJ1085,1)=1),N(AL1084)+1,"")</f>
        <v/>
      </c>
      <c r="AL1085" s="54">
        <f>IF(AK1085&lt;&gt;"",AK1085,N(AL1084))</f>
        <v/>
      </c>
    </row>
    <row r="1086">
      <c r="A1086" t="inlineStr">
        <is>
          <t>PRD-0362</t>
        </is>
      </c>
      <c r="B1086" t="inlineStr">
        <is>
          <t>Production</t>
        </is>
      </c>
      <c r="AB1086" t="n">
        <v>362</v>
      </c>
      <c r="AD1086" s="52">
        <f>IFERROR(N(IFERROR(INDEX($A1086:$AB1086,MATCH("Xero Invoiced Ex GST",$A$1:$AB$1,0)),"")),0)</f>
        <v/>
      </c>
      <c r="AE1086" s="53">
        <f>IFERROR(INDEX($A1086:$AB1086,MATCH("Xero Invoice Date",$A$1:$AB$1,0)),"")</f>
        <v/>
      </c>
      <c r="AF1086" s="54">
        <f>IF(AND(IFERROR(INDEX($A1086:$AB1086,MATCH("Xero Invoice No",$A$1:$AB$1,0)),"")&amp;""&lt;&gt;"",ISNUMBER(AE1086),AD1086&lt;&gt;0),1,0)</f>
        <v/>
      </c>
      <c r="AG1086" s="55">
        <f>IF(AF1086=1,EOMONTH(AE1086,0),"")</f>
        <v/>
      </c>
      <c r="AH1086" s="9">
        <f>IF(AF1086=1,UPPER(TRIM(IFERROR(INDEX($A1086:$AB1086,MATCH("Client",$A$1:$AB$1,0)),"")&amp;"")),"")</f>
        <v/>
      </c>
      <c r="AI1086" s="9">
        <f>IF(AF1086=1,IFERROR(INDEX($A1086:$AB1086,MATCH("Cost Centre",$A$1:$AB$1,0)),"")&amp;"","")</f>
        <v/>
      </c>
      <c r="AJ1086" s="54">
        <f>IF(AND(AF1086=1,AE1086&gt;=set_FYStart,AE1086&lt;=set_AsAt),1,0)</f>
        <v/>
      </c>
      <c r="AK1086" s="54">
        <f>IF(AND(AJ1086=1,AH1086&lt;&gt;"",COUNTIFS($AH$2:AH1086,AH1086,$AJ$2:AJ1086,1)=1),N(AL1085)+1,"")</f>
        <v/>
      </c>
      <c r="AL1086" s="54">
        <f>IF(AK1086&lt;&gt;"",AK1086,N(AL1085))</f>
        <v/>
      </c>
    </row>
    <row r="1087">
      <c r="A1087" t="inlineStr">
        <is>
          <t>CON-0362</t>
        </is>
      </c>
      <c r="B1087" t="inlineStr">
        <is>
          <t>Consulting</t>
        </is>
      </c>
      <c r="AB1087" t="n">
        <v>362</v>
      </c>
      <c r="AD1087" s="52">
        <f>IFERROR(N(IFERROR(INDEX($A1087:$AB1087,MATCH("Xero Invoiced Ex GST",$A$1:$AB$1,0)),"")),0)</f>
        <v/>
      </c>
      <c r="AE1087" s="53">
        <f>IFERROR(INDEX($A1087:$AB1087,MATCH("Xero Invoice Date",$A$1:$AB$1,0)),"")</f>
        <v/>
      </c>
      <c r="AF1087" s="54">
        <f>IF(AND(IFERROR(INDEX($A1087:$AB1087,MATCH("Xero Invoice No",$A$1:$AB$1,0)),"")&amp;""&lt;&gt;"",ISNUMBER(AE1087),AD1087&lt;&gt;0),1,0)</f>
        <v/>
      </c>
      <c r="AG1087" s="55">
        <f>IF(AF1087=1,EOMONTH(AE1087,0),"")</f>
        <v/>
      </c>
      <c r="AH1087" s="9">
        <f>IF(AF1087=1,UPPER(TRIM(IFERROR(INDEX($A1087:$AB1087,MATCH("Client",$A$1:$AB$1,0)),"")&amp;"")),"")</f>
        <v/>
      </c>
      <c r="AI1087" s="9">
        <f>IF(AF1087=1,IFERROR(INDEX($A1087:$AB1087,MATCH("Cost Centre",$A$1:$AB$1,0)),"")&amp;"","")</f>
        <v/>
      </c>
      <c r="AJ1087" s="54">
        <f>IF(AND(AF1087=1,AE1087&gt;=set_FYStart,AE1087&lt;=set_AsAt),1,0)</f>
        <v/>
      </c>
      <c r="AK1087" s="54">
        <f>IF(AND(AJ1087=1,AH1087&lt;&gt;"",COUNTIFS($AH$2:AH1087,AH1087,$AJ$2:AJ1087,1)=1),N(AL1086)+1,"")</f>
        <v/>
      </c>
      <c r="AL1087" s="54">
        <f>IF(AK1087&lt;&gt;"",AK1087,N(AL1086))</f>
        <v/>
      </c>
    </row>
    <row r="1088">
      <c r="A1088" t="inlineStr">
        <is>
          <t>ONS-0363</t>
        </is>
      </c>
      <c r="B1088" t="inlineStr">
        <is>
          <t>Onsite</t>
        </is>
      </c>
      <c r="AB1088" t="n">
        <v>363</v>
      </c>
      <c r="AD1088" s="52">
        <f>IFERROR(N(IFERROR(INDEX($A1088:$AB1088,MATCH("Xero Invoiced Ex GST",$A$1:$AB$1,0)),"")),0)</f>
        <v/>
      </c>
      <c r="AE1088" s="53">
        <f>IFERROR(INDEX($A1088:$AB1088,MATCH("Xero Invoice Date",$A$1:$AB$1,0)),"")</f>
        <v/>
      </c>
      <c r="AF1088" s="54">
        <f>IF(AND(IFERROR(INDEX($A1088:$AB1088,MATCH("Xero Invoice No",$A$1:$AB$1,0)),"")&amp;""&lt;&gt;"",ISNUMBER(AE1088),AD1088&lt;&gt;0),1,0)</f>
        <v/>
      </c>
      <c r="AG1088" s="55">
        <f>IF(AF1088=1,EOMONTH(AE1088,0),"")</f>
        <v/>
      </c>
      <c r="AH1088" s="9">
        <f>IF(AF1088=1,UPPER(TRIM(IFERROR(INDEX($A1088:$AB1088,MATCH("Client",$A$1:$AB$1,0)),"")&amp;"")),"")</f>
        <v/>
      </c>
      <c r="AI1088" s="9">
        <f>IF(AF1088=1,IFERROR(INDEX($A1088:$AB1088,MATCH("Cost Centre",$A$1:$AB$1,0)),"")&amp;"","")</f>
        <v/>
      </c>
      <c r="AJ1088" s="54">
        <f>IF(AND(AF1088=1,AE1088&gt;=set_FYStart,AE1088&lt;=set_AsAt),1,0)</f>
        <v/>
      </c>
      <c r="AK1088" s="54">
        <f>IF(AND(AJ1088=1,AH1088&lt;&gt;"",COUNTIFS($AH$2:AH1088,AH1088,$AJ$2:AJ1088,1)=1),N(AL1087)+1,"")</f>
        <v/>
      </c>
      <c r="AL1088" s="54">
        <f>IF(AK1088&lt;&gt;"",AK1088,N(AL1087))</f>
        <v/>
      </c>
    </row>
    <row r="1089">
      <c r="A1089" t="inlineStr">
        <is>
          <t>PRD-0363</t>
        </is>
      </c>
      <c r="B1089" t="inlineStr">
        <is>
          <t>Production</t>
        </is>
      </c>
      <c r="AB1089" t="n">
        <v>363</v>
      </c>
      <c r="AD1089" s="52">
        <f>IFERROR(N(IFERROR(INDEX($A1089:$AB1089,MATCH("Xero Invoiced Ex GST",$A$1:$AB$1,0)),"")),0)</f>
        <v/>
      </c>
      <c r="AE1089" s="53">
        <f>IFERROR(INDEX($A1089:$AB1089,MATCH("Xero Invoice Date",$A$1:$AB$1,0)),"")</f>
        <v/>
      </c>
      <c r="AF1089" s="54">
        <f>IF(AND(IFERROR(INDEX($A1089:$AB1089,MATCH("Xero Invoice No",$A$1:$AB$1,0)),"")&amp;""&lt;&gt;"",ISNUMBER(AE1089),AD1089&lt;&gt;0),1,0)</f>
        <v/>
      </c>
      <c r="AG1089" s="55">
        <f>IF(AF1089=1,EOMONTH(AE1089,0),"")</f>
        <v/>
      </c>
      <c r="AH1089" s="9">
        <f>IF(AF1089=1,UPPER(TRIM(IFERROR(INDEX($A1089:$AB1089,MATCH("Client",$A$1:$AB$1,0)),"")&amp;"")),"")</f>
        <v/>
      </c>
      <c r="AI1089" s="9">
        <f>IF(AF1089=1,IFERROR(INDEX($A1089:$AB1089,MATCH("Cost Centre",$A$1:$AB$1,0)),"")&amp;"","")</f>
        <v/>
      </c>
      <c r="AJ1089" s="54">
        <f>IF(AND(AF1089=1,AE1089&gt;=set_FYStart,AE1089&lt;=set_AsAt),1,0)</f>
        <v/>
      </c>
      <c r="AK1089" s="54">
        <f>IF(AND(AJ1089=1,AH1089&lt;&gt;"",COUNTIFS($AH$2:AH1089,AH1089,$AJ$2:AJ1089,1)=1),N(AL1088)+1,"")</f>
        <v/>
      </c>
      <c r="AL1089" s="54">
        <f>IF(AK1089&lt;&gt;"",AK1089,N(AL1088))</f>
        <v/>
      </c>
    </row>
    <row r="1090">
      <c r="A1090" t="inlineStr">
        <is>
          <t>CON-0363</t>
        </is>
      </c>
      <c r="B1090" t="inlineStr">
        <is>
          <t>Consulting</t>
        </is>
      </c>
      <c r="AB1090" t="n">
        <v>363</v>
      </c>
      <c r="AD1090" s="52">
        <f>IFERROR(N(IFERROR(INDEX($A1090:$AB1090,MATCH("Xero Invoiced Ex GST",$A$1:$AB$1,0)),"")),0)</f>
        <v/>
      </c>
      <c r="AE1090" s="53">
        <f>IFERROR(INDEX($A1090:$AB1090,MATCH("Xero Invoice Date",$A$1:$AB$1,0)),"")</f>
        <v/>
      </c>
      <c r="AF1090" s="54">
        <f>IF(AND(IFERROR(INDEX($A1090:$AB1090,MATCH("Xero Invoice No",$A$1:$AB$1,0)),"")&amp;""&lt;&gt;"",ISNUMBER(AE1090),AD1090&lt;&gt;0),1,0)</f>
        <v/>
      </c>
      <c r="AG1090" s="55">
        <f>IF(AF1090=1,EOMONTH(AE1090,0),"")</f>
        <v/>
      </c>
      <c r="AH1090" s="9">
        <f>IF(AF1090=1,UPPER(TRIM(IFERROR(INDEX($A1090:$AB1090,MATCH("Client",$A$1:$AB$1,0)),"")&amp;"")),"")</f>
        <v/>
      </c>
      <c r="AI1090" s="9">
        <f>IF(AF1090=1,IFERROR(INDEX($A1090:$AB1090,MATCH("Cost Centre",$A$1:$AB$1,0)),"")&amp;"","")</f>
        <v/>
      </c>
      <c r="AJ1090" s="54">
        <f>IF(AND(AF1090=1,AE1090&gt;=set_FYStart,AE1090&lt;=set_AsAt),1,0)</f>
        <v/>
      </c>
      <c r="AK1090" s="54">
        <f>IF(AND(AJ1090=1,AH1090&lt;&gt;"",COUNTIFS($AH$2:AH1090,AH1090,$AJ$2:AJ1090,1)=1),N(AL1089)+1,"")</f>
        <v/>
      </c>
      <c r="AL1090" s="54">
        <f>IF(AK1090&lt;&gt;"",AK1090,N(AL1089))</f>
        <v/>
      </c>
    </row>
    <row r="1091">
      <c r="A1091" t="inlineStr">
        <is>
          <t>ONS-0364</t>
        </is>
      </c>
      <c r="B1091" t="inlineStr">
        <is>
          <t>Onsite</t>
        </is>
      </c>
      <c r="AB1091" t="n">
        <v>364</v>
      </c>
      <c r="AD1091" s="52">
        <f>IFERROR(N(IFERROR(INDEX($A1091:$AB1091,MATCH("Xero Invoiced Ex GST",$A$1:$AB$1,0)),"")),0)</f>
        <v/>
      </c>
      <c r="AE1091" s="53">
        <f>IFERROR(INDEX($A1091:$AB1091,MATCH("Xero Invoice Date",$A$1:$AB$1,0)),"")</f>
        <v/>
      </c>
      <c r="AF1091" s="54">
        <f>IF(AND(IFERROR(INDEX($A1091:$AB1091,MATCH("Xero Invoice No",$A$1:$AB$1,0)),"")&amp;""&lt;&gt;"",ISNUMBER(AE1091),AD1091&lt;&gt;0),1,0)</f>
        <v/>
      </c>
      <c r="AG1091" s="55">
        <f>IF(AF1091=1,EOMONTH(AE1091,0),"")</f>
        <v/>
      </c>
      <c r="AH1091" s="9">
        <f>IF(AF1091=1,UPPER(TRIM(IFERROR(INDEX($A1091:$AB1091,MATCH("Client",$A$1:$AB$1,0)),"")&amp;"")),"")</f>
        <v/>
      </c>
      <c r="AI1091" s="9">
        <f>IF(AF1091=1,IFERROR(INDEX($A1091:$AB1091,MATCH("Cost Centre",$A$1:$AB$1,0)),"")&amp;"","")</f>
        <v/>
      </c>
      <c r="AJ1091" s="54">
        <f>IF(AND(AF1091=1,AE1091&gt;=set_FYStart,AE1091&lt;=set_AsAt),1,0)</f>
        <v/>
      </c>
      <c r="AK1091" s="54">
        <f>IF(AND(AJ1091=1,AH1091&lt;&gt;"",COUNTIFS($AH$2:AH1091,AH1091,$AJ$2:AJ1091,1)=1),N(AL1090)+1,"")</f>
        <v/>
      </c>
      <c r="AL1091" s="54">
        <f>IF(AK1091&lt;&gt;"",AK1091,N(AL1090))</f>
        <v/>
      </c>
    </row>
    <row r="1092">
      <c r="A1092" t="inlineStr">
        <is>
          <t>PRD-0364</t>
        </is>
      </c>
      <c r="B1092" t="inlineStr">
        <is>
          <t>Production</t>
        </is>
      </c>
      <c r="AB1092" t="n">
        <v>364</v>
      </c>
      <c r="AD1092" s="52">
        <f>IFERROR(N(IFERROR(INDEX($A1092:$AB1092,MATCH("Xero Invoiced Ex GST",$A$1:$AB$1,0)),"")),0)</f>
        <v/>
      </c>
      <c r="AE1092" s="53">
        <f>IFERROR(INDEX($A1092:$AB1092,MATCH("Xero Invoice Date",$A$1:$AB$1,0)),"")</f>
        <v/>
      </c>
      <c r="AF1092" s="54">
        <f>IF(AND(IFERROR(INDEX($A1092:$AB1092,MATCH("Xero Invoice No",$A$1:$AB$1,0)),"")&amp;""&lt;&gt;"",ISNUMBER(AE1092),AD1092&lt;&gt;0),1,0)</f>
        <v/>
      </c>
      <c r="AG1092" s="55">
        <f>IF(AF1092=1,EOMONTH(AE1092,0),"")</f>
        <v/>
      </c>
      <c r="AH1092" s="9">
        <f>IF(AF1092=1,UPPER(TRIM(IFERROR(INDEX($A1092:$AB1092,MATCH("Client",$A$1:$AB$1,0)),"")&amp;"")),"")</f>
        <v/>
      </c>
      <c r="AI1092" s="9">
        <f>IF(AF1092=1,IFERROR(INDEX($A1092:$AB1092,MATCH("Cost Centre",$A$1:$AB$1,0)),"")&amp;"","")</f>
        <v/>
      </c>
      <c r="AJ1092" s="54">
        <f>IF(AND(AF1092=1,AE1092&gt;=set_FYStart,AE1092&lt;=set_AsAt),1,0)</f>
        <v/>
      </c>
      <c r="AK1092" s="54">
        <f>IF(AND(AJ1092=1,AH1092&lt;&gt;"",COUNTIFS($AH$2:AH1092,AH1092,$AJ$2:AJ1092,1)=1),N(AL1091)+1,"")</f>
        <v/>
      </c>
      <c r="AL1092" s="54">
        <f>IF(AK1092&lt;&gt;"",AK1092,N(AL1091))</f>
        <v/>
      </c>
    </row>
    <row r="1093">
      <c r="A1093" t="inlineStr">
        <is>
          <t>CON-0364</t>
        </is>
      </c>
      <c r="B1093" t="inlineStr">
        <is>
          <t>Consulting</t>
        </is>
      </c>
      <c r="AB1093" t="n">
        <v>364</v>
      </c>
      <c r="AD1093" s="52">
        <f>IFERROR(N(IFERROR(INDEX($A1093:$AB1093,MATCH("Xero Invoiced Ex GST",$A$1:$AB$1,0)),"")),0)</f>
        <v/>
      </c>
      <c r="AE1093" s="53">
        <f>IFERROR(INDEX($A1093:$AB1093,MATCH("Xero Invoice Date",$A$1:$AB$1,0)),"")</f>
        <v/>
      </c>
      <c r="AF1093" s="54">
        <f>IF(AND(IFERROR(INDEX($A1093:$AB1093,MATCH("Xero Invoice No",$A$1:$AB$1,0)),"")&amp;""&lt;&gt;"",ISNUMBER(AE1093),AD1093&lt;&gt;0),1,0)</f>
        <v/>
      </c>
      <c r="AG1093" s="55">
        <f>IF(AF1093=1,EOMONTH(AE1093,0),"")</f>
        <v/>
      </c>
      <c r="AH1093" s="9">
        <f>IF(AF1093=1,UPPER(TRIM(IFERROR(INDEX($A1093:$AB1093,MATCH("Client",$A$1:$AB$1,0)),"")&amp;"")),"")</f>
        <v/>
      </c>
      <c r="AI1093" s="9">
        <f>IF(AF1093=1,IFERROR(INDEX($A1093:$AB1093,MATCH("Cost Centre",$A$1:$AB$1,0)),"")&amp;"","")</f>
        <v/>
      </c>
      <c r="AJ1093" s="54">
        <f>IF(AND(AF1093=1,AE1093&gt;=set_FYStart,AE1093&lt;=set_AsAt),1,0)</f>
        <v/>
      </c>
      <c r="AK1093" s="54">
        <f>IF(AND(AJ1093=1,AH1093&lt;&gt;"",COUNTIFS($AH$2:AH1093,AH1093,$AJ$2:AJ1093,1)=1),N(AL1092)+1,"")</f>
        <v/>
      </c>
      <c r="AL1093" s="54">
        <f>IF(AK1093&lt;&gt;"",AK1093,N(AL1092))</f>
        <v/>
      </c>
    </row>
    <row r="1094">
      <c r="A1094" t="inlineStr">
        <is>
          <t>ONS-0365</t>
        </is>
      </c>
      <c r="B1094" t="inlineStr">
        <is>
          <t>Onsite</t>
        </is>
      </c>
      <c r="AB1094" t="n">
        <v>365</v>
      </c>
      <c r="AD1094" s="52">
        <f>IFERROR(N(IFERROR(INDEX($A1094:$AB1094,MATCH("Xero Invoiced Ex GST",$A$1:$AB$1,0)),"")),0)</f>
        <v/>
      </c>
      <c r="AE1094" s="53">
        <f>IFERROR(INDEX($A1094:$AB1094,MATCH("Xero Invoice Date",$A$1:$AB$1,0)),"")</f>
        <v/>
      </c>
      <c r="AF1094" s="54">
        <f>IF(AND(IFERROR(INDEX($A1094:$AB1094,MATCH("Xero Invoice No",$A$1:$AB$1,0)),"")&amp;""&lt;&gt;"",ISNUMBER(AE1094),AD1094&lt;&gt;0),1,0)</f>
        <v/>
      </c>
      <c r="AG1094" s="55">
        <f>IF(AF1094=1,EOMONTH(AE1094,0),"")</f>
        <v/>
      </c>
      <c r="AH1094" s="9">
        <f>IF(AF1094=1,UPPER(TRIM(IFERROR(INDEX($A1094:$AB1094,MATCH("Client",$A$1:$AB$1,0)),"")&amp;"")),"")</f>
        <v/>
      </c>
      <c r="AI1094" s="9">
        <f>IF(AF1094=1,IFERROR(INDEX($A1094:$AB1094,MATCH("Cost Centre",$A$1:$AB$1,0)),"")&amp;"","")</f>
        <v/>
      </c>
      <c r="AJ1094" s="54">
        <f>IF(AND(AF1094=1,AE1094&gt;=set_FYStart,AE1094&lt;=set_AsAt),1,0)</f>
        <v/>
      </c>
      <c r="AK1094" s="54">
        <f>IF(AND(AJ1094=1,AH1094&lt;&gt;"",COUNTIFS($AH$2:AH1094,AH1094,$AJ$2:AJ1094,1)=1),N(AL1093)+1,"")</f>
        <v/>
      </c>
      <c r="AL1094" s="54">
        <f>IF(AK1094&lt;&gt;"",AK1094,N(AL1093))</f>
        <v/>
      </c>
    </row>
    <row r="1095">
      <c r="A1095" t="inlineStr">
        <is>
          <t>PRD-0365</t>
        </is>
      </c>
      <c r="B1095" t="inlineStr">
        <is>
          <t>Production</t>
        </is>
      </c>
      <c r="AB1095" t="n">
        <v>365</v>
      </c>
      <c r="AD1095" s="52">
        <f>IFERROR(N(IFERROR(INDEX($A1095:$AB1095,MATCH("Xero Invoiced Ex GST",$A$1:$AB$1,0)),"")),0)</f>
        <v/>
      </c>
      <c r="AE1095" s="53">
        <f>IFERROR(INDEX($A1095:$AB1095,MATCH("Xero Invoice Date",$A$1:$AB$1,0)),"")</f>
        <v/>
      </c>
      <c r="AF1095" s="54">
        <f>IF(AND(IFERROR(INDEX($A1095:$AB1095,MATCH("Xero Invoice No",$A$1:$AB$1,0)),"")&amp;""&lt;&gt;"",ISNUMBER(AE1095),AD1095&lt;&gt;0),1,0)</f>
        <v/>
      </c>
      <c r="AG1095" s="55">
        <f>IF(AF1095=1,EOMONTH(AE1095,0),"")</f>
        <v/>
      </c>
      <c r="AH1095" s="9">
        <f>IF(AF1095=1,UPPER(TRIM(IFERROR(INDEX($A1095:$AB1095,MATCH("Client",$A$1:$AB$1,0)),"")&amp;"")),"")</f>
        <v/>
      </c>
      <c r="AI1095" s="9">
        <f>IF(AF1095=1,IFERROR(INDEX($A1095:$AB1095,MATCH("Cost Centre",$A$1:$AB$1,0)),"")&amp;"","")</f>
        <v/>
      </c>
      <c r="AJ1095" s="54">
        <f>IF(AND(AF1095=1,AE1095&gt;=set_FYStart,AE1095&lt;=set_AsAt),1,0)</f>
        <v/>
      </c>
      <c r="AK1095" s="54">
        <f>IF(AND(AJ1095=1,AH1095&lt;&gt;"",COUNTIFS($AH$2:AH1095,AH1095,$AJ$2:AJ1095,1)=1),N(AL1094)+1,"")</f>
        <v/>
      </c>
      <c r="AL1095" s="54">
        <f>IF(AK1095&lt;&gt;"",AK1095,N(AL1094))</f>
        <v/>
      </c>
    </row>
    <row r="1096">
      <c r="A1096" t="inlineStr">
        <is>
          <t>CON-0365</t>
        </is>
      </c>
      <c r="B1096" t="inlineStr">
        <is>
          <t>Consulting</t>
        </is>
      </c>
      <c r="AB1096" t="n">
        <v>365</v>
      </c>
      <c r="AD1096" s="52">
        <f>IFERROR(N(IFERROR(INDEX($A1096:$AB1096,MATCH("Xero Invoiced Ex GST",$A$1:$AB$1,0)),"")),0)</f>
        <v/>
      </c>
      <c r="AE1096" s="53">
        <f>IFERROR(INDEX($A1096:$AB1096,MATCH("Xero Invoice Date",$A$1:$AB$1,0)),"")</f>
        <v/>
      </c>
      <c r="AF1096" s="54">
        <f>IF(AND(IFERROR(INDEX($A1096:$AB1096,MATCH("Xero Invoice No",$A$1:$AB$1,0)),"")&amp;""&lt;&gt;"",ISNUMBER(AE1096),AD1096&lt;&gt;0),1,0)</f>
        <v/>
      </c>
      <c r="AG1096" s="55">
        <f>IF(AF1096=1,EOMONTH(AE1096,0),"")</f>
        <v/>
      </c>
      <c r="AH1096" s="9">
        <f>IF(AF1096=1,UPPER(TRIM(IFERROR(INDEX($A1096:$AB1096,MATCH("Client",$A$1:$AB$1,0)),"")&amp;"")),"")</f>
        <v/>
      </c>
      <c r="AI1096" s="9">
        <f>IF(AF1096=1,IFERROR(INDEX($A1096:$AB1096,MATCH("Cost Centre",$A$1:$AB$1,0)),"")&amp;"","")</f>
        <v/>
      </c>
      <c r="AJ1096" s="54">
        <f>IF(AND(AF1096=1,AE1096&gt;=set_FYStart,AE1096&lt;=set_AsAt),1,0)</f>
        <v/>
      </c>
      <c r="AK1096" s="54">
        <f>IF(AND(AJ1096=1,AH1096&lt;&gt;"",COUNTIFS($AH$2:AH1096,AH1096,$AJ$2:AJ1096,1)=1),N(AL1095)+1,"")</f>
        <v/>
      </c>
      <c r="AL1096" s="54">
        <f>IF(AK1096&lt;&gt;"",AK1096,N(AL1095))</f>
        <v/>
      </c>
    </row>
    <row r="1097">
      <c r="A1097" t="inlineStr">
        <is>
          <t>ONS-0366</t>
        </is>
      </c>
      <c r="B1097" t="inlineStr">
        <is>
          <t>Onsite</t>
        </is>
      </c>
      <c r="AB1097" t="n">
        <v>366</v>
      </c>
      <c r="AD1097" s="52">
        <f>IFERROR(N(IFERROR(INDEX($A1097:$AB1097,MATCH("Xero Invoiced Ex GST",$A$1:$AB$1,0)),"")),0)</f>
        <v/>
      </c>
      <c r="AE1097" s="53">
        <f>IFERROR(INDEX($A1097:$AB1097,MATCH("Xero Invoice Date",$A$1:$AB$1,0)),"")</f>
        <v/>
      </c>
      <c r="AF1097" s="54">
        <f>IF(AND(IFERROR(INDEX($A1097:$AB1097,MATCH("Xero Invoice No",$A$1:$AB$1,0)),"")&amp;""&lt;&gt;"",ISNUMBER(AE1097),AD1097&lt;&gt;0),1,0)</f>
        <v/>
      </c>
      <c r="AG1097" s="55">
        <f>IF(AF1097=1,EOMONTH(AE1097,0),"")</f>
        <v/>
      </c>
      <c r="AH1097" s="9">
        <f>IF(AF1097=1,UPPER(TRIM(IFERROR(INDEX($A1097:$AB1097,MATCH("Client",$A$1:$AB$1,0)),"")&amp;"")),"")</f>
        <v/>
      </c>
      <c r="AI1097" s="9">
        <f>IF(AF1097=1,IFERROR(INDEX($A1097:$AB1097,MATCH("Cost Centre",$A$1:$AB$1,0)),"")&amp;"","")</f>
        <v/>
      </c>
      <c r="AJ1097" s="54">
        <f>IF(AND(AF1097=1,AE1097&gt;=set_FYStart,AE1097&lt;=set_AsAt),1,0)</f>
        <v/>
      </c>
      <c r="AK1097" s="54">
        <f>IF(AND(AJ1097=1,AH1097&lt;&gt;"",COUNTIFS($AH$2:AH1097,AH1097,$AJ$2:AJ1097,1)=1),N(AL1096)+1,"")</f>
        <v/>
      </c>
      <c r="AL1097" s="54">
        <f>IF(AK1097&lt;&gt;"",AK1097,N(AL1096))</f>
        <v/>
      </c>
    </row>
    <row r="1098">
      <c r="A1098" t="inlineStr">
        <is>
          <t>PRD-0366</t>
        </is>
      </c>
      <c r="B1098" t="inlineStr">
        <is>
          <t>Production</t>
        </is>
      </c>
      <c r="AB1098" t="n">
        <v>366</v>
      </c>
      <c r="AD1098" s="52">
        <f>IFERROR(N(IFERROR(INDEX($A1098:$AB1098,MATCH("Xero Invoiced Ex GST",$A$1:$AB$1,0)),"")),0)</f>
        <v/>
      </c>
      <c r="AE1098" s="53">
        <f>IFERROR(INDEX($A1098:$AB1098,MATCH("Xero Invoice Date",$A$1:$AB$1,0)),"")</f>
        <v/>
      </c>
      <c r="AF1098" s="54">
        <f>IF(AND(IFERROR(INDEX($A1098:$AB1098,MATCH("Xero Invoice No",$A$1:$AB$1,0)),"")&amp;""&lt;&gt;"",ISNUMBER(AE1098),AD1098&lt;&gt;0),1,0)</f>
        <v/>
      </c>
      <c r="AG1098" s="55">
        <f>IF(AF1098=1,EOMONTH(AE1098,0),"")</f>
        <v/>
      </c>
      <c r="AH1098" s="9">
        <f>IF(AF1098=1,UPPER(TRIM(IFERROR(INDEX($A1098:$AB1098,MATCH("Client",$A$1:$AB$1,0)),"")&amp;"")),"")</f>
        <v/>
      </c>
      <c r="AI1098" s="9">
        <f>IF(AF1098=1,IFERROR(INDEX($A1098:$AB1098,MATCH("Cost Centre",$A$1:$AB$1,0)),"")&amp;"","")</f>
        <v/>
      </c>
      <c r="AJ1098" s="54">
        <f>IF(AND(AF1098=1,AE1098&gt;=set_FYStart,AE1098&lt;=set_AsAt),1,0)</f>
        <v/>
      </c>
      <c r="AK1098" s="54">
        <f>IF(AND(AJ1098=1,AH1098&lt;&gt;"",COUNTIFS($AH$2:AH1098,AH1098,$AJ$2:AJ1098,1)=1),N(AL1097)+1,"")</f>
        <v/>
      </c>
      <c r="AL1098" s="54">
        <f>IF(AK1098&lt;&gt;"",AK1098,N(AL1097))</f>
        <v/>
      </c>
    </row>
    <row r="1099">
      <c r="A1099" t="inlineStr">
        <is>
          <t>CON-0366</t>
        </is>
      </c>
      <c r="B1099" t="inlineStr">
        <is>
          <t>Consulting</t>
        </is>
      </c>
      <c r="AB1099" t="n">
        <v>366</v>
      </c>
      <c r="AD1099" s="52">
        <f>IFERROR(N(IFERROR(INDEX($A1099:$AB1099,MATCH("Xero Invoiced Ex GST",$A$1:$AB$1,0)),"")),0)</f>
        <v/>
      </c>
      <c r="AE1099" s="53">
        <f>IFERROR(INDEX($A1099:$AB1099,MATCH("Xero Invoice Date",$A$1:$AB$1,0)),"")</f>
        <v/>
      </c>
      <c r="AF1099" s="54">
        <f>IF(AND(IFERROR(INDEX($A1099:$AB1099,MATCH("Xero Invoice No",$A$1:$AB$1,0)),"")&amp;""&lt;&gt;"",ISNUMBER(AE1099),AD1099&lt;&gt;0),1,0)</f>
        <v/>
      </c>
      <c r="AG1099" s="55">
        <f>IF(AF1099=1,EOMONTH(AE1099,0),"")</f>
        <v/>
      </c>
      <c r="AH1099" s="9">
        <f>IF(AF1099=1,UPPER(TRIM(IFERROR(INDEX($A1099:$AB1099,MATCH("Client",$A$1:$AB$1,0)),"")&amp;"")),"")</f>
        <v/>
      </c>
      <c r="AI1099" s="9">
        <f>IF(AF1099=1,IFERROR(INDEX($A1099:$AB1099,MATCH("Cost Centre",$A$1:$AB$1,0)),"")&amp;"","")</f>
        <v/>
      </c>
      <c r="AJ1099" s="54">
        <f>IF(AND(AF1099=1,AE1099&gt;=set_FYStart,AE1099&lt;=set_AsAt),1,0)</f>
        <v/>
      </c>
      <c r="AK1099" s="54">
        <f>IF(AND(AJ1099=1,AH1099&lt;&gt;"",COUNTIFS($AH$2:AH1099,AH1099,$AJ$2:AJ1099,1)=1),N(AL1098)+1,"")</f>
        <v/>
      </c>
      <c r="AL1099" s="54">
        <f>IF(AK1099&lt;&gt;"",AK1099,N(AL1098))</f>
        <v/>
      </c>
    </row>
    <row r="1100">
      <c r="A1100" t="inlineStr">
        <is>
          <t>ONS-0367</t>
        </is>
      </c>
      <c r="B1100" t="inlineStr">
        <is>
          <t>Onsite</t>
        </is>
      </c>
      <c r="AB1100" t="n">
        <v>367</v>
      </c>
      <c r="AD1100" s="52">
        <f>IFERROR(N(IFERROR(INDEX($A1100:$AB1100,MATCH("Xero Invoiced Ex GST",$A$1:$AB$1,0)),"")),0)</f>
        <v/>
      </c>
      <c r="AE1100" s="53">
        <f>IFERROR(INDEX($A1100:$AB1100,MATCH("Xero Invoice Date",$A$1:$AB$1,0)),"")</f>
        <v/>
      </c>
      <c r="AF1100" s="54">
        <f>IF(AND(IFERROR(INDEX($A1100:$AB1100,MATCH("Xero Invoice No",$A$1:$AB$1,0)),"")&amp;""&lt;&gt;"",ISNUMBER(AE1100),AD1100&lt;&gt;0),1,0)</f>
        <v/>
      </c>
      <c r="AG1100" s="55">
        <f>IF(AF1100=1,EOMONTH(AE1100,0),"")</f>
        <v/>
      </c>
      <c r="AH1100" s="9">
        <f>IF(AF1100=1,UPPER(TRIM(IFERROR(INDEX($A1100:$AB1100,MATCH("Client",$A$1:$AB$1,0)),"")&amp;"")),"")</f>
        <v/>
      </c>
      <c r="AI1100" s="9">
        <f>IF(AF1100=1,IFERROR(INDEX($A1100:$AB1100,MATCH("Cost Centre",$A$1:$AB$1,0)),"")&amp;"","")</f>
        <v/>
      </c>
      <c r="AJ1100" s="54">
        <f>IF(AND(AF1100=1,AE1100&gt;=set_FYStart,AE1100&lt;=set_AsAt),1,0)</f>
        <v/>
      </c>
      <c r="AK1100" s="54">
        <f>IF(AND(AJ1100=1,AH1100&lt;&gt;"",COUNTIFS($AH$2:AH1100,AH1100,$AJ$2:AJ1100,1)=1),N(AL1099)+1,"")</f>
        <v/>
      </c>
      <c r="AL1100" s="54">
        <f>IF(AK1100&lt;&gt;"",AK1100,N(AL1099))</f>
        <v/>
      </c>
    </row>
    <row r="1101">
      <c r="A1101" t="inlineStr">
        <is>
          <t>PRD-0367</t>
        </is>
      </c>
      <c r="B1101" t="inlineStr">
        <is>
          <t>Production</t>
        </is>
      </c>
      <c r="AB1101" t="n">
        <v>367</v>
      </c>
      <c r="AD1101" s="52">
        <f>IFERROR(N(IFERROR(INDEX($A1101:$AB1101,MATCH("Xero Invoiced Ex GST",$A$1:$AB$1,0)),"")),0)</f>
        <v/>
      </c>
      <c r="AE1101" s="53">
        <f>IFERROR(INDEX($A1101:$AB1101,MATCH("Xero Invoice Date",$A$1:$AB$1,0)),"")</f>
        <v/>
      </c>
      <c r="AF1101" s="54">
        <f>IF(AND(IFERROR(INDEX($A1101:$AB1101,MATCH("Xero Invoice No",$A$1:$AB$1,0)),"")&amp;""&lt;&gt;"",ISNUMBER(AE1101),AD1101&lt;&gt;0),1,0)</f>
        <v/>
      </c>
      <c r="AG1101" s="55">
        <f>IF(AF1101=1,EOMONTH(AE1101,0),"")</f>
        <v/>
      </c>
      <c r="AH1101" s="9">
        <f>IF(AF1101=1,UPPER(TRIM(IFERROR(INDEX($A1101:$AB1101,MATCH("Client",$A$1:$AB$1,0)),"")&amp;"")),"")</f>
        <v/>
      </c>
      <c r="AI1101" s="9">
        <f>IF(AF1101=1,IFERROR(INDEX($A1101:$AB1101,MATCH("Cost Centre",$A$1:$AB$1,0)),"")&amp;"","")</f>
        <v/>
      </c>
      <c r="AJ1101" s="54">
        <f>IF(AND(AF1101=1,AE1101&gt;=set_FYStart,AE1101&lt;=set_AsAt),1,0)</f>
        <v/>
      </c>
      <c r="AK1101" s="54">
        <f>IF(AND(AJ1101=1,AH1101&lt;&gt;"",COUNTIFS($AH$2:AH1101,AH1101,$AJ$2:AJ1101,1)=1),N(AL1100)+1,"")</f>
        <v/>
      </c>
      <c r="AL1101" s="54">
        <f>IF(AK1101&lt;&gt;"",AK1101,N(AL1100))</f>
        <v/>
      </c>
    </row>
    <row r="1102">
      <c r="A1102" t="inlineStr">
        <is>
          <t>CON-0367</t>
        </is>
      </c>
      <c r="B1102" t="inlineStr">
        <is>
          <t>Consulting</t>
        </is>
      </c>
      <c r="AB1102" t="n">
        <v>367</v>
      </c>
      <c r="AD1102" s="52">
        <f>IFERROR(N(IFERROR(INDEX($A1102:$AB1102,MATCH("Xero Invoiced Ex GST",$A$1:$AB$1,0)),"")),0)</f>
        <v/>
      </c>
      <c r="AE1102" s="53">
        <f>IFERROR(INDEX($A1102:$AB1102,MATCH("Xero Invoice Date",$A$1:$AB$1,0)),"")</f>
        <v/>
      </c>
      <c r="AF1102" s="54">
        <f>IF(AND(IFERROR(INDEX($A1102:$AB1102,MATCH("Xero Invoice No",$A$1:$AB$1,0)),"")&amp;""&lt;&gt;"",ISNUMBER(AE1102),AD1102&lt;&gt;0),1,0)</f>
        <v/>
      </c>
      <c r="AG1102" s="55">
        <f>IF(AF1102=1,EOMONTH(AE1102,0),"")</f>
        <v/>
      </c>
      <c r="AH1102" s="9">
        <f>IF(AF1102=1,UPPER(TRIM(IFERROR(INDEX($A1102:$AB1102,MATCH("Client",$A$1:$AB$1,0)),"")&amp;"")),"")</f>
        <v/>
      </c>
      <c r="AI1102" s="9">
        <f>IF(AF1102=1,IFERROR(INDEX($A1102:$AB1102,MATCH("Cost Centre",$A$1:$AB$1,0)),"")&amp;"","")</f>
        <v/>
      </c>
      <c r="AJ1102" s="54">
        <f>IF(AND(AF1102=1,AE1102&gt;=set_FYStart,AE1102&lt;=set_AsAt),1,0)</f>
        <v/>
      </c>
      <c r="AK1102" s="54">
        <f>IF(AND(AJ1102=1,AH1102&lt;&gt;"",COUNTIFS($AH$2:AH1102,AH1102,$AJ$2:AJ1102,1)=1),N(AL1101)+1,"")</f>
        <v/>
      </c>
      <c r="AL1102" s="54">
        <f>IF(AK1102&lt;&gt;"",AK1102,N(AL1101))</f>
        <v/>
      </c>
    </row>
    <row r="1103">
      <c r="A1103" t="inlineStr">
        <is>
          <t>ONS-0368</t>
        </is>
      </c>
      <c r="B1103" t="inlineStr">
        <is>
          <t>Onsite</t>
        </is>
      </c>
      <c r="AB1103" t="n">
        <v>368</v>
      </c>
      <c r="AD1103" s="52">
        <f>IFERROR(N(IFERROR(INDEX($A1103:$AB1103,MATCH("Xero Invoiced Ex GST",$A$1:$AB$1,0)),"")),0)</f>
        <v/>
      </c>
      <c r="AE1103" s="53">
        <f>IFERROR(INDEX($A1103:$AB1103,MATCH("Xero Invoice Date",$A$1:$AB$1,0)),"")</f>
        <v/>
      </c>
      <c r="AF1103" s="54">
        <f>IF(AND(IFERROR(INDEX($A1103:$AB1103,MATCH("Xero Invoice No",$A$1:$AB$1,0)),"")&amp;""&lt;&gt;"",ISNUMBER(AE1103),AD1103&lt;&gt;0),1,0)</f>
        <v/>
      </c>
      <c r="AG1103" s="55">
        <f>IF(AF1103=1,EOMONTH(AE1103,0),"")</f>
        <v/>
      </c>
      <c r="AH1103" s="9">
        <f>IF(AF1103=1,UPPER(TRIM(IFERROR(INDEX($A1103:$AB1103,MATCH("Client",$A$1:$AB$1,0)),"")&amp;"")),"")</f>
        <v/>
      </c>
      <c r="AI1103" s="9">
        <f>IF(AF1103=1,IFERROR(INDEX($A1103:$AB1103,MATCH("Cost Centre",$A$1:$AB$1,0)),"")&amp;"","")</f>
        <v/>
      </c>
      <c r="AJ1103" s="54">
        <f>IF(AND(AF1103=1,AE1103&gt;=set_FYStart,AE1103&lt;=set_AsAt),1,0)</f>
        <v/>
      </c>
      <c r="AK1103" s="54">
        <f>IF(AND(AJ1103=1,AH1103&lt;&gt;"",COUNTIFS($AH$2:AH1103,AH1103,$AJ$2:AJ1103,1)=1),N(AL1102)+1,"")</f>
        <v/>
      </c>
      <c r="AL1103" s="54">
        <f>IF(AK1103&lt;&gt;"",AK1103,N(AL1102))</f>
        <v/>
      </c>
    </row>
    <row r="1104">
      <c r="A1104" t="inlineStr">
        <is>
          <t>PRD-0368</t>
        </is>
      </c>
      <c r="B1104" t="inlineStr">
        <is>
          <t>Production</t>
        </is>
      </c>
      <c r="AB1104" t="n">
        <v>368</v>
      </c>
      <c r="AD1104" s="52">
        <f>IFERROR(N(IFERROR(INDEX($A1104:$AB1104,MATCH("Xero Invoiced Ex GST",$A$1:$AB$1,0)),"")),0)</f>
        <v/>
      </c>
      <c r="AE1104" s="53">
        <f>IFERROR(INDEX($A1104:$AB1104,MATCH("Xero Invoice Date",$A$1:$AB$1,0)),"")</f>
        <v/>
      </c>
      <c r="AF1104" s="54">
        <f>IF(AND(IFERROR(INDEX($A1104:$AB1104,MATCH("Xero Invoice No",$A$1:$AB$1,0)),"")&amp;""&lt;&gt;"",ISNUMBER(AE1104),AD1104&lt;&gt;0),1,0)</f>
        <v/>
      </c>
      <c r="AG1104" s="55">
        <f>IF(AF1104=1,EOMONTH(AE1104,0),"")</f>
        <v/>
      </c>
      <c r="AH1104" s="9">
        <f>IF(AF1104=1,UPPER(TRIM(IFERROR(INDEX($A1104:$AB1104,MATCH("Client",$A$1:$AB$1,0)),"")&amp;"")),"")</f>
        <v/>
      </c>
      <c r="AI1104" s="9">
        <f>IF(AF1104=1,IFERROR(INDEX($A1104:$AB1104,MATCH("Cost Centre",$A$1:$AB$1,0)),"")&amp;"","")</f>
        <v/>
      </c>
      <c r="AJ1104" s="54">
        <f>IF(AND(AF1104=1,AE1104&gt;=set_FYStart,AE1104&lt;=set_AsAt),1,0)</f>
        <v/>
      </c>
      <c r="AK1104" s="54">
        <f>IF(AND(AJ1104=1,AH1104&lt;&gt;"",COUNTIFS($AH$2:AH1104,AH1104,$AJ$2:AJ1104,1)=1),N(AL1103)+1,"")</f>
        <v/>
      </c>
      <c r="AL1104" s="54">
        <f>IF(AK1104&lt;&gt;"",AK1104,N(AL1103))</f>
        <v/>
      </c>
    </row>
    <row r="1105">
      <c r="A1105" t="inlineStr">
        <is>
          <t>CON-0368</t>
        </is>
      </c>
      <c r="B1105" t="inlineStr">
        <is>
          <t>Consulting</t>
        </is>
      </c>
      <c r="AB1105" t="n">
        <v>368</v>
      </c>
      <c r="AD1105" s="52">
        <f>IFERROR(N(IFERROR(INDEX($A1105:$AB1105,MATCH("Xero Invoiced Ex GST",$A$1:$AB$1,0)),"")),0)</f>
        <v/>
      </c>
      <c r="AE1105" s="53">
        <f>IFERROR(INDEX($A1105:$AB1105,MATCH("Xero Invoice Date",$A$1:$AB$1,0)),"")</f>
        <v/>
      </c>
      <c r="AF1105" s="54">
        <f>IF(AND(IFERROR(INDEX($A1105:$AB1105,MATCH("Xero Invoice No",$A$1:$AB$1,0)),"")&amp;""&lt;&gt;"",ISNUMBER(AE1105),AD1105&lt;&gt;0),1,0)</f>
        <v/>
      </c>
      <c r="AG1105" s="55">
        <f>IF(AF1105=1,EOMONTH(AE1105,0),"")</f>
        <v/>
      </c>
      <c r="AH1105" s="9">
        <f>IF(AF1105=1,UPPER(TRIM(IFERROR(INDEX($A1105:$AB1105,MATCH("Client",$A$1:$AB$1,0)),"")&amp;"")),"")</f>
        <v/>
      </c>
      <c r="AI1105" s="9">
        <f>IF(AF1105=1,IFERROR(INDEX($A1105:$AB1105,MATCH("Cost Centre",$A$1:$AB$1,0)),"")&amp;"","")</f>
        <v/>
      </c>
      <c r="AJ1105" s="54">
        <f>IF(AND(AF1105=1,AE1105&gt;=set_FYStart,AE1105&lt;=set_AsAt),1,0)</f>
        <v/>
      </c>
      <c r="AK1105" s="54">
        <f>IF(AND(AJ1105=1,AH1105&lt;&gt;"",COUNTIFS($AH$2:AH1105,AH1105,$AJ$2:AJ1105,1)=1),N(AL1104)+1,"")</f>
        <v/>
      </c>
      <c r="AL1105" s="54">
        <f>IF(AK1105&lt;&gt;"",AK1105,N(AL1104))</f>
        <v/>
      </c>
    </row>
    <row r="1106">
      <c r="A1106" t="inlineStr">
        <is>
          <t>ONS-0369</t>
        </is>
      </c>
      <c r="B1106" t="inlineStr">
        <is>
          <t>Onsite</t>
        </is>
      </c>
      <c r="AB1106" t="n">
        <v>369</v>
      </c>
      <c r="AD1106" s="52">
        <f>IFERROR(N(IFERROR(INDEX($A1106:$AB1106,MATCH("Xero Invoiced Ex GST",$A$1:$AB$1,0)),"")),0)</f>
        <v/>
      </c>
      <c r="AE1106" s="53">
        <f>IFERROR(INDEX($A1106:$AB1106,MATCH("Xero Invoice Date",$A$1:$AB$1,0)),"")</f>
        <v/>
      </c>
      <c r="AF1106" s="54">
        <f>IF(AND(IFERROR(INDEX($A1106:$AB1106,MATCH("Xero Invoice No",$A$1:$AB$1,0)),"")&amp;""&lt;&gt;"",ISNUMBER(AE1106),AD1106&lt;&gt;0),1,0)</f>
        <v/>
      </c>
      <c r="AG1106" s="55">
        <f>IF(AF1106=1,EOMONTH(AE1106,0),"")</f>
        <v/>
      </c>
      <c r="AH1106" s="9">
        <f>IF(AF1106=1,UPPER(TRIM(IFERROR(INDEX($A1106:$AB1106,MATCH("Client",$A$1:$AB$1,0)),"")&amp;"")),"")</f>
        <v/>
      </c>
      <c r="AI1106" s="9">
        <f>IF(AF1106=1,IFERROR(INDEX($A1106:$AB1106,MATCH("Cost Centre",$A$1:$AB$1,0)),"")&amp;"","")</f>
        <v/>
      </c>
      <c r="AJ1106" s="54">
        <f>IF(AND(AF1106=1,AE1106&gt;=set_FYStart,AE1106&lt;=set_AsAt),1,0)</f>
        <v/>
      </c>
      <c r="AK1106" s="54">
        <f>IF(AND(AJ1106=1,AH1106&lt;&gt;"",COUNTIFS($AH$2:AH1106,AH1106,$AJ$2:AJ1106,1)=1),N(AL1105)+1,"")</f>
        <v/>
      </c>
      <c r="AL1106" s="54">
        <f>IF(AK1106&lt;&gt;"",AK1106,N(AL1105))</f>
        <v/>
      </c>
    </row>
    <row r="1107">
      <c r="A1107" t="inlineStr">
        <is>
          <t>PRD-0369</t>
        </is>
      </c>
      <c r="B1107" t="inlineStr">
        <is>
          <t>Production</t>
        </is>
      </c>
      <c r="AB1107" t="n">
        <v>369</v>
      </c>
      <c r="AD1107" s="52">
        <f>IFERROR(N(IFERROR(INDEX($A1107:$AB1107,MATCH("Xero Invoiced Ex GST",$A$1:$AB$1,0)),"")),0)</f>
        <v/>
      </c>
      <c r="AE1107" s="53">
        <f>IFERROR(INDEX($A1107:$AB1107,MATCH("Xero Invoice Date",$A$1:$AB$1,0)),"")</f>
        <v/>
      </c>
      <c r="AF1107" s="54">
        <f>IF(AND(IFERROR(INDEX($A1107:$AB1107,MATCH("Xero Invoice No",$A$1:$AB$1,0)),"")&amp;""&lt;&gt;"",ISNUMBER(AE1107),AD1107&lt;&gt;0),1,0)</f>
        <v/>
      </c>
      <c r="AG1107" s="55">
        <f>IF(AF1107=1,EOMONTH(AE1107,0),"")</f>
        <v/>
      </c>
      <c r="AH1107" s="9">
        <f>IF(AF1107=1,UPPER(TRIM(IFERROR(INDEX($A1107:$AB1107,MATCH("Client",$A$1:$AB$1,0)),"")&amp;"")),"")</f>
        <v/>
      </c>
      <c r="AI1107" s="9">
        <f>IF(AF1107=1,IFERROR(INDEX($A1107:$AB1107,MATCH("Cost Centre",$A$1:$AB$1,0)),"")&amp;"","")</f>
        <v/>
      </c>
      <c r="AJ1107" s="54">
        <f>IF(AND(AF1107=1,AE1107&gt;=set_FYStart,AE1107&lt;=set_AsAt),1,0)</f>
        <v/>
      </c>
      <c r="AK1107" s="54">
        <f>IF(AND(AJ1107=1,AH1107&lt;&gt;"",COUNTIFS($AH$2:AH1107,AH1107,$AJ$2:AJ1107,1)=1),N(AL1106)+1,"")</f>
        <v/>
      </c>
      <c r="AL1107" s="54">
        <f>IF(AK1107&lt;&gt;"",AK1107,N(AL1106))</f>
        <v/>
      </c>
    </row>
    <row r="1108">
      <c r="A1108" t="inlineStr">
        <is>
          <t>CON-0369</t>
        </is>
      </c>
      <c r="B1108" t="inlineStr">
        <is>
          <t>Consulting</t>
        </is>
      </c>
      <c r="AB1108" t="n">
        <v>369</v>
      </c>
      <c r="AD1108" s="52">
        <f>IFERROR(N(IFERROR(INDEX($A1108:$AB1108,MATCH("Xero Invoiced Ex GST",$A$1:$AB$1,0)),"")),0)</f>
        <v/>
      </c>
      <c r="AE1108" s="53">
        <f>IFERROR(INDEX($A1108:$AB1108,MATCH("Xero Invoice Date",$A$1:$AB$1,0)),"")</f>
        <v/>
      </c>
      <c r="AF1108" s="54">
        <f>IF(AND(IFERROR(INDEX($A1108:$AB1108,MATCH("Xero Invoice No",$A$1:$AB$1,0)),"")&amp;""&lt;&gt;"",ISNUMBER(AE1108),AD1108&lt;&gt;0),1,0)</f>
        <v/>
      </c>
      <c r="AG1108" s="55">
        <f>IF(AF1108=1,EOMONTH(AE1108,0),"")</f>
        <v/>
      </c>
      <c r="AH1108" s="9">
        <f>IF(AF1108=1,UPPER(TRIM(IFERROR(INDEX($A1108:$AB1108,MATCH("Client",$A$1:$AB$1,0)),"")&amp;"")),"")</f>
        <v/>
      </c>
      <c r="AI1108" s="9">
        <f>IF(AF1108=1,IFERROR(INDEX($A1108:$AB1108,MATCH("Cost Centre",$A$1:$AB$1,0)),"")&amp;"","")</f>
        <v/>
      </c>
      <c r="AJ1108" s="54">
        <f>IF(AND(AF1108=1,AE1108&gt;=set_FYStart,AE1108&lt;=set_AsAt),1,0)</f>
        <v/>
      </c>
      <c r="AK1108" s="54">
        <f>IF(AND(AJ1108=1,AH1108&lt;&gt;"",COUNTIFS($AH$2:AH1108,AH1108,$AJ$2:AJ1108,1)=1),N(AL1107)+1,"")</f>
        <v/>
      </c>
      <c r="AL1108" s="54">
        <f>IF(AK1108&lt;&gt;"",AK1108,N(AL1107))</f>
        <v/>
      </c>
    </row>
    <row r="1109">
      <c r="A1109" t="inlineStr">
        <is>
          <t>ONS-0370</t>
        </is>
      </c>
      <c r="B1109" t="inlineStr">
        <is>
          <t>Onsite</t>
        </is>
      </c>
      <c r="AB1109" t="n">
        <v>370</v>
      </c>
      <c r="AD1109" s="52">
        <f>IFERROR(N(IFERROR(INDEX($A1109:$AB1109,MATCH("Xero Invoiced Ex GST",$A$1:$AB$1,0)),"")),0)</f>
        <v/>
      </c>
      <c r="AE1109" s="53">
        <f>IFERROR(INDEX($A1109:$AB1109,MATCH("Xero Invoice Date",$A$1:$AB$1,0)),"")</f>
        <v/>
      </c>
      <c r="AF1109" s="54">
        <f>IF(AND(IFERROR(INDEX($A1109:$AB1109,MATCH("Xero Invoice No",$A$1:$AB$1,0)),"")&amp;""&lt;&gt;"",ISNUMBER(AE1109),AD1109&lt;&gt;0),1,0)</f>
        <v/>
      </c>
      <c r="AG1109" s="55">
        <f>IF(AF1109=1,EOMONTH(AE1109,0),"")</f>
        <v/>
      </c>
      <c r="AH1109" s="9">
        <f>IF(AF1109=1,UPPER(TRIM(IFERROR(INDEX($A1109:$AB1109,MATCH("Client",$A$1:$AB$1,0)),"")&amp;"")),"")</f>
        <v/>
      </c>
      <c r="AI1109" s="9">
        <f>IF(AF1109=1,IFERROR(INDEX($A1109:$AB1109,MATCH("Cost Centre",$A$1:$AB$1,0)),"")&amp;"","")</f>
        <v/>
      </c>
      <c r="AJ1109" s="54">
        <f>IF(AND(AF1109=1,AE1109&gt;=set_FYStart,AE1109&lt;=set_AsAt),1,0)</f>
        <v/>
      </c>
      <c r="AK1109" s="54">
        <f>IF(AND(AJ1109=1,AH1109&lt;&gt;"",COUNTIFS($AH$2:AH1109,AH1109,$AJ$2:AJ1109,1)=1),N(AL1108)+1,"")</f>
        <v/>
      </c>
      <c r="AL1109" s="54">
        <f>IF(AK1109&lt;&gt;"",AK1109,N(AL1108))</f>
        <v/>
      </c>
    </row>
    <row r="1110">
      <c r="A1110" t="inlineStr">
        <is>
          <t>PRD-0370</t>
        </is>
      </c>
      <c r="B1110" t="inlineStr">
        <is>
          <t>Production</t>
        </is>
      </c>
      <c r="AB1110" t="n">
        <v>370</v>
      </c>
      <c r="AD1110" s="52">
        <f>IFERROR(N(IFERROR(INDEX($A1110:$AB1110,MATCH("Xero Invoiced Ex GST",$A$1:$AB$1,0)),"")),0)</f>
        <v/>
      </c>
      <c r="AE1110" s="53">
        <f>IFERROR(INDEX($A1110:$AB1110,MATCH("Xero Invoice Date",$A$1:$AB$1,0)),"")</f>
        <v/>
      </c>
      <c r="AF1110" s="54">
        <f>IF(AND(IFERROR(INDEX($A1110:$AB1110,MATCH("Xero Invoice No",$A$1:$AB$1,0)),"")&amp;""&lt;&gt;"",ISNUMBER(AE1110),AD1110&lt;&gt;0),1,0)</f>
        <v/>
      </c>
      <c r="AG1110" s="55">
        <f>IF(AF1110=1,EOMONTH(AE1110,0),"")</f>
        <v/>
      </c>
      <c r="AH1110" s="9">
        <f>IF(AF1110=1,UPPER(TRIM(IFERROR(INDEX($A1110:$AB1110,MATCH("Client",$A$1:$AB$1,0)),"")&amp;"")),"")</f>
        <v/>
      </c>
      <c r="AI1110" s="9">
        <f>IF(AF1110=1,IFERROR(INDEX($A1110:$AB1110,MATCH("Cost Centre",$A$1:$AB$1,0)),"")&amp;"","")</f>
        <v/>
      </c>
      <c r="AJ1110" s="54">
        <f>IF(AND(AF1110=1,AE1110&gt;=set_FYStart,AE1110&lt;=set_AsAt),1,0)</f>
        <v/>
      </c>
      <c r="AK1110" s="54">
        <f>IF(AND(AJ1110=1,AH1110&lt;&gt;"",COUNTIFS($AH$2:AH1110,AH1110,$AJ$2:AJ1110,1)=1),N(AL1109)+1,"")</f>
        <v/>
      </c>
      <c r="AL1110" s="54">
        <f>IF(AK1110&lt;&gt;"",AK1110,N(AL1109))</f>
        <v/>
      </c>
    </row>
    <row r="1111">
      <c r="A1111" t="inlineStr">
        <is>
          <t>CON-0370</t>
        </is>
      </c>
      <c r="B1111" t="inlineStr">
        <is>
          <t>Consulting</t>
        </is>
      </c>
      <c r="AB1111" t="n">
        <v>370</v>
      </c>
      <c r="AD1111" s="52">
        <f>IFERROR(N(IFERROR(INDEX($A1111:$AB1111,MATCH("Xero Invoiced Ex GST",$A$1:$AB$1,0)),"")),0)</f>
        <v/>
      </c>
      <c r="AE1111" s="53">
        <f>IFERROR(INDEX($A1111:$AB1111,MATCH("Xero Invoice Date",$A$1:$AB$1,0)),"")</f>
        <v/>
      </c>
      <c r="AF1111" s="54">
        <f>IF(AND(IFERROR(INDEX($A1111:$AB1111,MATCH("Xero Invoice No",$A$1:$AB$1,0)),"")&amp;""&lt;&gt;"",ISNUMBER(AE1111),AD1111&lt;&gt;0),1,0)</f>
        <v/>
      </c>
      <c r="AG1111" s="55">
        <f>IF(AF1111=1,EOMONTH(AE1111,0),"")</f>
        <v/>
      </c>
      <c r="AH1111" s="9">
        <f>IF(AF1111=1,UPPER(TRIM(IFERROR(INDEX($A1111:$AB1111,MATCH("Client",$A$1:$AB$1,0)),"")&amp;"")),"")</f>
        <v/>
      </c>
      <c r="AI1111" s="9">
        <f>IF(AF1111=1,IFERROR(INDEX($A1111:$AB1111,MATCH("Cost Centre",$A$1:$AB$1,0)),"")&amp;"","")</f>
        <v/>
      </c>
      <c r="AJ1111" s="54">
        <f>IF(AND(AF1111=1,AE1111&gt;=set_FYStart,AE1111&lt;=set_AsAt),1,0)</f>
        <v/>
      </c>
      <c r="AK1111" s="54">
        <f>IF(AND(AJ1111=1,AH1111&lt;&gt;"",COUNTIFS($AH$2:AH1111,AH1111,$AJ$2:AJ1111,1)=1),N(AL1110)+1,"")</f>
        <v/>
      </c>
      <c r="AL1111" s="54">
        <f>IF(AK1111&lt;&gt;"",AK1111,N(AL1110))</f>
        <v/>
      </c>
    </row>
    <row r="1112">
      <c r="A1112" t="inlineStr">
        <is>
          <t>ONS-0371</t>
        </is>
      </c>
      <c r="B1112" t="inlineStr">
        <is>
          <t>Onsite</t>
        </is>
      </c>
      <c r="AB1112" t="n">
        <v>371</v>
      </c>
      <c r="AD1112" s="52">
        <f>IFERROR(N(IFERROR(INDEX($A1112:$AB1112,MATCH("Xero Invoiced Ex GST",$A$1:$AB$1,0)),"")),0)</f>
        <v/>
      </c>
      <c r="AE1112" s="53">
        <f>IFERROR(INDEX($A1112:$AB1112,MATCH("Xero Invoice Date",$A$1:$AB$1,0)),"")</f>
        <v/>
      </c>
      <c r="AF1112" s="54">
        <f>IF(AND(IFERROR(INDEX($A1112:$AB1112,MATCH("Xero Invoice No",$A$1:$AB$1,0)),"")&amp;""&lt;&gt;"",ISNUMBER(AE1112),AD1112&lt;&gt;0),1,0)</f>
        <v/>
      </c>
      <c r="AG1112" s="55">
        <f>IF(AF1112=1,EOMONTH(AE1112,0),"")</f>
        <v/>
      </c>
      <c r="AH1112" s="9">
        <f>IF(AF1112=1,UPPER(TRIM(IFERROR(INDEX($A1112:$AB1112,MATCH("Client",$A$1:$AB$1,0)),"")&amp;"")),"")</f>
        <v/>
      </c>
      <c r="AI1112" s="9">
        <f>IF(AF1112=1,IFERROR(INDEX($A1112:$AB1112,MATCH("Cost Centre",$A$1:$AB$1,0)),"")&amp;"","")</f>
        <v/>
      </c>
      <c r="AJ1112" s="54">
        <f>IF(AND(AF1112=1,AE1112&gt;=set_FYStart,AE1112&lt;=set_AsAt),1,0)</f>
        <v/>
      </c>
      <c r="AK1112" s="54">
        <f>IF(AND(AJ1112=1,AH1112&lt;&gt;"",COUNTIFS($AH$2:AH1112,AH1112,$AJ$2:AJ1112,1)=1),N(AL1111)+1,"")</f>
        <v/>
      </c>
      <c r="AL1112" s="54">
        <f>IF(AK1112&lt;&gt;"",AK1112,N(AL1111))</f>
        <v/>
      </c>
    </row>
    <row r="1113">
      <c r="A1113" t="inlineStr">
        <is>
          <t>PRD-0371</t>
        </is>
      </c>
      <c r="B1113" t="inlineStr">
        <is>
          <t>Production</t>
        </is>
      </c>
      <c r="AB1113" t="n">
        <v>371</v>
      </c>
      <c r="AD1113" s="52">
        <f>IFERROR(N(IFERROR(INDEX($A1113:$AB1113,MATCH("Xero Invoiced Ex GST",$A$1:$AB$1,0)),"")),0)</f>
        <v/>
      </c>
      <c r="AE1113" s="53">
        <f>IFERROR(INDEX($A1113:$AB1113,MATCH("Xero Invoice Date",$A$1:$AB$1,0)),"")</f>
        <v/>
      </c>
      <c r="AF1113" s="54">
        <f>IF(AND(IFERROR(INDEX($A1113:$AB1113,MATCH("Xero Invoice No",$A$1:$AB$1,0)),"")&amp;""&lt;&gt;"",ISNUMBER(AE1113),AD1113&lt;&gt;0),1,0)</f>
        <v/>
      </c>
      <c r="AG1113" s="55">
        <f>IF(AF1113=1,EOMONTH(AE1113,0),"")</f>
        <v/>
      </c>
      <c r="AH1113" s="9">
        <f>IF(AF1113=1,UPPER(TRIM(IFERROR(INDEX($A1113:$AB1113,MATCH("Client",$A$1:$AB$1,0)),"")&amp;"")),"")</f>
        <v/>
      </c>
      <c r="AI1113" s="9">
        <f>IF(AF1113=1,IFERROR(INDEX($A1113:$AB1113,MATCH("Cost Centre",$A$1:$AB$1,0)),"")&amp;"","")</f>
        <v/>
      </c>
      <c r="AJ1113" s="54">
        <f>IF(AND(AF1113=1,AE1113&gt;=set_FYStart,AE1113&lt;=set_AsAt),1,0)</f>
        <v/>
      </c>
      <c r="AK1113" s="54">
        <f>IF(AND(AJ1113=1,AH1113&lt;&gt;"",COUNTIFS($AH$2:AH1113,AH1113,$AJ$2:AJ1113,1)=1),N(AL1112)+1,"")</f>
        <v/>
      </c>
      <c r="AL1113" s="54">
        <f>IF(AK1113&lt;&gt;"",AK1113,N(AL1112))</f>
        <v/>
      </c>
    </row>
    <row r="1114">
      <c r="A1114" t="inlineStr">
        <is>
          <t>CON-0371</t>
        </is>
      </c>
      <c r="B1114" t="inlineStr">
        <is>
          <t>Consulting</t>
        </is>
      </c>
      <c r="AB1114" t="n">
        <v>371</v>
      </c>
      <c r="AD1114" s="52">
        <f>IFERROR(N(IFERROR(INDEX($A1114:$AB1114,MATCH("Xero Invoiced Ex GST",$A$1:$AB$1,0)),"")),0)</f>
        <v/>
      </c>
      <c r="AE1114" s="53">
        <f>IFERROR(INDEX($A1114:$AB1114,MATCH("Xero Invoice Date",$A$1:$AB$1,0)),"")</f>
        <v/>
      </c>
      <c r="AF1114" s="54">
        <f>IF(AND(IFERROR(INDEX($A1114:$AB1114,MATCH("Xero Invoice No",$A$1:$AB$1,0)),"")&amp;""&lt;&gt;"",ISNUMBER(AE1114),AD1114&lt;&gt;0),1,0)</f>
        <v/>
      </c>
      <c r="AG1114" s="55">
        <f>IF(AF1114=1,EOMONTH(AE1114,0),"")</f>
        <v/>
      </c>
      <c r="AH1114" s="9">
        <f>IF(AF1114=1,UPPER(TRIM(IFERROR(INDEX($A1114:$AB1114,MATCH("Client",$A$1:$AB$1,0)),"")&amp;"")),"")</f>
        <v/>
      </c>
      <c r="AI1114" s="9">
        <f>IF(AF1114=1,IFERROR(INDEX($A1114:$AB1114,MATCH("Cost Centre",$A$1:$AB$1,0)),"")&amp;"","")</f>
        <v/>
      </c>
      <c r="AJ1114" s="54">
        <f>IF(AND(AF1114=1,AE1114&gt;=set_FYStart,AE1114&lt;=set_AsAt),1,0)</f>
        <v/>
      </c>
      <c r="AK1114" s="54">
        <f>IF(AND(AJ1114=1,AH1114&lt;&gt;"",COUNTIFS($AH$2:AH1114,AH1114,$AJ$2:AJ1114,1)=1),N(AL1113)+1,"")</f>
        <v/>
      </c>
      <c r="AL1114" s="54">
        <f>IF(AK1114&lt;&gt;"",AK1114,N(AL1113))</f>
        <v/>
      </c>
    </row>
    <row r="1115">
      <c r="A1115" t="inlineStr">
        <is>
          <t>ONS-0372</t>
        </is>
      </c>
      <c r="B1115" t="inlineStr">
        <is>
          <t>Onsite</t>
        </is>
      </c>
      <c r="AB1115" t="n">
        <v>372</v>
      </c>
      <c r="AD1115" s="52">
        <f>IFERROR(N(IFERROR(INDEX($A1115:$AB1115,MATCH("Xero Invoiced Ex GST",$A$1:$AB$1,0)),"")),0)</f>
        <v/>
      </c>
      <c r="AE1115" s="53">
        <f>IFERROR(INDEX($A1115:$AB1115,MATCH("Xero Invoice Date",$A$1:$AB$1,0)),"")</f>
        <v/>
      </c>
      <c r="AF1115" s="54">
        <f>IF(AND(IFERROR(INDEX($A1115:$AB1115,MATCH("Xero Invoice No",$A$1:$AB$1,0)),"")&amp;""&lt;&gt;"",ISNUMBER(AE1115),AD1115&lt;&gt;0),1,0)</f>
        <v/>
      </c>
      <c r="AG1115" s="55">
        <f>IF(AF1115=1,EOMONTH(AE1115,0),"")</f>
        <v/>
      </c>
      <c r="AH1115" s="9">
        <f>IF(AF1115=1,UPPER(TRIM(IFERROR(INDEX($A1115:$AB1115,MATCH("Client",$A$1:$AB$1,0)),"")&amp;"")),"")</f>
        <v/>
      </c>
      <c r="AI1115" s="9">
        <f>IF(AF1115=1,IFERROR(INDEX($A1115:$AB1115,MATCH("Cost Centre",$A$1:$AB$1,0)),"")&amp;"","")</f>
        <v/>
      </c>
      <c r="AJ1115" s="54">
        <f>IF(AND(AF1115=1,AE1115&gt;=set_FYStart,AE1115&lt;=set_AsAt),1,0)</f>
        <v/>
      </c>
      <c r="AK1115" s="54">
        <f>IF(AND(AJ1115=1,AH1115&lt;&gt;"",COUNTIFS($AH$2:AH1115,AH1115,$AJ$2:AJ1115,1)=1),N(AL1114)+1,"")</f>
        <v/>
      </c>
      <c r="AL1115" s="54">
        <f>IF(AK1115&lt;&gt;"",AK1115,N(AL1114))</f>
        <v/>
      </c>
    </row>
    <row r="1116">
      <c r="A1116" t="inlineStr">
        <is>
          <t>PRD-0372</t>
        </is>
      </c>
      <c r="B1116" t="inlineStr">
        <is>
          <t>Production</t>
        </is>
      </c>
      <c r="AB1116" t="n">
        <v>372</v>
      </c>
      <c r="AD1116" s="52">
        <f>IFERROR(N(IFERROR(INDEX($A1116:$AB1116,MATCH("Xero Invoiced Ex GST",$A$1:$AB$1,0)),"")),0)</f>
        <v/>
      </c>
      <c r="AE1116" s="53">
        <f>IFERROR(INDEX($A1116:$AB1116,MATCH("Xero Invoice Date",$A$1:$AB$1,0)),"")</f>
        <v/>
      </c>
      <c r="AF1116" s="54">
        <f>IF(AND(IFERROR(INDEX($A1116:$AB1116,MATCH("Xero Invoice No",$A$1:$AB$1,0)),"")&amp;""&lt;&gt;"",ISNUMBER(AE1116),AD1116&lt;&gt;0),1,0)</f>
        <v/>
      </c>
      <c r="AG1116" s="55">
        <f>IF(AF1116=1,EOMONTH(AE1116,0),"")</f>
        <v/>
      </c>
      <c r="AH1116" s="9">
        <f>IF(AF1116=1,UPPER(TRIM(IFERROR(INDEX($A1116:$AB1116,MATCH("Client",$A$1:$AB$1,0)),"")&amp;"")),"")</f>
        <v/>
      </c>
      <c r="AI1116" s="9">
        <f>IF(AF1116=1,IFERROR(INDEX($A1116:$AB1116,MATCH("Cost Centre",$A$1:$AB$1,0)),"")&amp;"","")</f>
        <v/>
      </c>
      <c r="AJ1116" s="54">
        <f>IF(AND(AF1116=1,AE1116&gt;=set_FYStart,AE1116&lt;=set_AsAt),1,0)</f>
        <v/>
      </c>
      <c r="AK1116" s="54">
        <f>IF(AND(AJ1116=1,AH1116&lt;&gt;"",COUNTIFS($AH$2:AH1116,AH1116,$AJ$2:AJ1116,1)=1),N(AL1115)+1,"")</f>
        <v/>
      </c>
      <c r="AL1116" s="54">
        <f>IF(AK1116&lt;&gt;"",AK1116,N(AL1115))</f>
        <v/>
      </c>
    </row>
    <row r="1117">
      <c r="A1117" t="inlineStr">
        <is>
          <t>CON-0372</t>
        </is>
      </c>
      <c r="B1117" t="inlineStr">
        <is>
          <t>Consulting</t>
        </is>
      </c>
      <c r="AB1117" t="n">
        <v>372</v>
      </c>
      <c r="AD1117" s="52">
        <f>IFERROR(N(IFERROR(INDEX($A1117:$AB1117,MATCH("Xero Invoiced Ex GST",$A$1:$AB$1,0)),"")),0)</f>
        <v/>
      </c>
      <c r="AE1117" s="53">
        <f>IFERROR(INDEX($A1117:$AB1117,MATCH("Xero Invoice Date",$A$1:$AB$1,0)),"")</f>
        <v/>
      </c>
      <c r="AF1117" s="54">
        <f>IF(AND(IFERROR(INDEX($A1117:$AB1117,MATCH("Xero Invoice No",$A$1:$AB$1,0)),"")&amp;""&lt;&gt;"",ISNUMBER(AE1117),AD1117&lt;&gt;0),1,0)</f>
        <v/>
      </c>
      <c r="AG1117" s="55">
        <f>IF(AF1117=1,EOMONTH(AE1117,0),"")</f>
        <v/>
      </c>
      <c r="AH1117" s="9">
        <f>IF(AF1117=1,UPPER(TRIM(IFERROR(INDEX($A1117:$AB1117,MATCH("Client",$A$1:$AB$1,0)),"")&amp;"")),"")</f>
        <v/>
      </c>
      <c r="AI1117" s="9">
        <f>IF(AF1117=1,IFERROR(INDEX($A1117:$AB1117,MATCH("Cost Centre",$A$1:$AB$1,0)),"")&amp;"","")</f>
        <v/>
      </c>
      <c r="AJ1117" s="54">
        <f>IF(AND(AF1117=1,AE1117&gt;=set_FYStart,AE1117&lt;=set_AsAt),1,0)</f>
        <v/>
      </c>
      <c r="AK1117" s="54">
        <f>IF(AND(AJ1117=1,AH1117&lt;&gt;"",COUNTIFS($AH$2:AH1117,AH1117,$AJ$2:AJ1117,1)=1),N(AL1116)+1,"")</f>
        <v/>
      </c>
      <c r="AL1117" s="54">
        <f>IF(AK1117&lt;&gt;"",AK1117,N(AL1116))</f>
        <v/>
      </c>
    </row>
    <row r="1118">
      <c r="A1118" t="inlineStr">
        <is>
          <t>ONS-0373</t>
        </is>
      </c>
      <c r="B1118" t="inlineStr">
        <is>
          <t>Onsite</t>
        </is>
      </c>
      <c r="AB1118" t="n">
        <v>373</v>
      </c>
      <c r="AD1118" s="52">
        <f>IFERROR(N(IFERROR(INDEX($A1118:$AB1118,MATCH("Xero Invoiced Ex GST",$A$1:$AB$1,0)),"")),0)</f>
        <v/>
      </c>
      <c r="AE1118" s="53">
        <f>IFERROR(INDEX($A1118:$AB1118,MATCH("Xero Invoice Date",$A$1:$AB$1,0)),"")</f>
        <v/>
      </c>
      <c r="AF1118" s="54">
        <f>IF(AND(IFERROR(INDEX($A1118:$AB1118,MATCH("Xero Invoice No",$A$1:$AB$1,0)),"")&amp;""&lt;&gt;"",ISNUMBER(AE1118),AD1118&lt;&gt;0),1,0)</f>
        <v/>
      </c>
      <c r="AG1118" s="55">
        <f>IF(AF1118=1,EOMONTH(AE1118,0),"")</f>
        <v/>
      </c>
      <c r="AH1118" s="9">
        <f>IF(AF1118=1,UPPER(TRIM(IFERROR(INDEX($A1118:$AB1118,MATCH("Client",$A$1:$AB$1,0)),"")&amp;"")),"")</f>
        <v/>
      </c>
      <c r="AI1118" s="9">
        <f>IF(AF1118=1,IFERROR(INDEX($A1118:$AB1118,MATCH("Cost Centre",$A$1:$AB$1,0)),"")&amp;"","")</f>
        <v/>
      </c>
      <c r="AJ1118" s="54">
        <f>IF(AND(AF1118=1,AE1118&gt;=set_FYStart,AE1118&lt;=set_AsAt),1,0)</f>
        <v/>
      </c>
      <c r="AK1118" s="54">
        <f>IF(AND(AJ1118=1,AH1118&lt;&gt;"",COUNTIFS($AH$2:AH1118,AH1118,$AJ$2:AJ1118,1)=1),N(AL1117)+1,"")</f>
        <v/>
      </c>
      <c r="AL1118" s="54">
        <f>IF(AK1118&lt;&gt;"",AK1118,N(AL1117))</f>
        <v/>
      </c>
    </row>
    <row r="1119">
      <c r="A1119" t="inlineStr">
        <is>
          <t>PRD-0373</t>
        </is>
      </c>
      <c r="B1119" t="inlineStr">
        <is>
          <t>Production</t>
        </is>
      </c>
      <c r="AB1119" t="n">
        <v>373</v>
      </c>
      <c r="AD1119" s="52">
        <f>IFERROR(N(IFERROR(INDEX($A1119:$AB1119,MATCH("Xero Invoiced Ex GST",$A$1:$AB$1,0)),"")),0)</f>
        <v/>
      </c>
      <c r="AE1119" s="53">
        <f>IFERROR(INDEX($A1119:$AB1119,MATCH("Xero Invoice Date",$A$1:$AB$1,0)),"")</f>
        <v/>
      </c>
      <c r="AF1119" s="54">
        <f>IF(AND(IFERROR(INDEX($A1119:$AB1119,MATCH("Xero Invoice No",$A$1:$AB$1,0)),"")&amp;""&lt;&gt;"",ISNUMBER(AE1119),AD1119&lt;&gt;0),1,0)</f>
        <v/>
      </c>
      <c r="AG1119" s="55">
        <f>IF(AF1119=1,EOMONTH(AE1119,0),"")</f>
        <v/>
      </c>
      <c r="AH1119" s="9">
        <f>IF(AF1119=1,UPPER(TRIM(IFERROR(INDEX($A1119:$AB1119,MATCH("Client",$A$1:$AB$1,0)),"")&amp;"")),"")</f>
        <v/>
      </c>
      <c r="AI1119" s="9">
        <f>IF(AF1119=1,IFERROR(INDEX($A1119:$AB1119,MATCH("Cost Centre",$A$1:$AB$1,0)),"")&amp;"","")</f>
        <v/>
      </c>
      <c r="AJ1119" s="54">
        <f>IF(AND(AF1119=1,AE1119&gt;=set_FYStart,AE1119&lt;=set_AsAt),1,0)</f>
        <v/>
      </c>
      <c r="AK1119" s="54">
        <f>IF(AND(AJ1119=1,AH1119&lt;&gt;"",COUNTIFS($AH$2:AH1119,AH1119,$AJ$2:AJ1119,1)=1),N(AL1118)+1,"")</f>
        <v/>
      </c>
      <c r="AL1119" s="54">
        <f>IF(AK1119&lt;&gt;"",AK1119,N(AL1118))</f>
        <v/>
      </c>
    </row>
    <row r="1120">
      <c r="A1120" t="inlineStr">
        <is>
          <t>CON-0373</t>
        </is>
      </c>
      <c r="B1120" t="inlineStr">
        <is>
          <t>Consulting</t>
        </is>
      </c>
      <c r="AB1120" t="n">
        <v>373</v>
      </c>
      <c r="AD1120" s="52">
        <f>IFERROR(N(IFERROR(INDEX($A1120:$AB1120,MATCH("Xero Invoiced Ex GST",$A$1:$AB$1,0)),"")),0)</f>
        <v/>
      </c>
      <c r="AE1120" s="53">
        <f>IFERROR(INDEX($A1120:$AB1120,MATCH("Xero Invoice Date",$A$1:$AB$1,0)),"")</f>
        <v/>
      </c>
      <c r="AF1120" s="54">
        <f>IF(AND(IFERROR(INDEX($A1120:$AB1120,MATCH("Xero Invoice No",$A$1:$AB$1,0)),"")&amp;""&lt;&gt;"",ISNUMBER(AE1120),AD1120&lt;&gt;0),1,0)</f>
        <v/>
      </c>
      <c r="AG1120" s="55">
        <f>IF(AF1120=1,EOMONTH(AE1120,0),"")</f>
        <v/>
      </c>
      <c r="AH1120" s="9">
        <f>IF(AF1120=1,UPPER(TRIM(IFERROR(INDEX($A1120:$AB1120,MATCH("Client",$A$1:$AB$1,0)),"")&amp;"")),"")</f>
        <v/>
      </c>
      <c r="AI1120" s="9">
        <f>IF(AF1120=1,IFERROR(INDEX($A1120:$AB1120,MATCH("Cost Centre",$A$1:$AB$1,0)),"")&amp;"","")</f>
        <v/>
      </c>
      <c r="AJ1120" s="54">
        <f>IF(AND(AF1120=1,AE1120&gt;=set_FYStart,AE1120&lt;=set_AsAt),1,0)</f>
        <v/>
      </c>
      <c r="AK1120" s="54">
        <f>IF(AND(AJ1120=1,AH1120&lt;&gt;"",COUNTIFS($AH$2:AH1120,AH1120,$AJ$2:AJ1120,1)=1),N(AL1119)+1,"")</f>
        <v/>
      </c>
      <c r="AL1120" s="54">
        <f>IF(AK1120&lt;&gt;"",AK1120,N(AL1119))</f>
        <v/>
      </c>
    </row>
    <row r="1121">
      <c r="A1121" t="inlineStr">
        <is>
          <t>ONS-0374</t>
        </is>
      </c>
      <c r="B1121" t="inlineStr">
        <is>
          <t>Onsite</t>
        </is>
      </c>
      <c r="AB1121" t="n">
        <v>374</v>
      </c>
      <c r="AD1121" s="52">
        <f>IFERROR(N(IFERROR(INDEX($A1121:$AB1121,MATCH("Xero Invoiced Ex GST",$A$1:$AB$1,0)),"")),0)</f>
        <v/>
      </c>
      <c r="AE1121" s="53">
        <f>IFERROR(INDEX($A1121:$AB1121,MATCH("Xero Invoice Date",$A$1:$AB$1,0)),"")</f>
        <v/>
      </c>
      <c r="AF1121" s="54">
        <f>IF(AND(IFERROR(INDEX($A1121:$AB1121,MATCH("Xero Invoice No",$A$1:$AB$1,0)),"")&amp;""&lt;&gt;"",ISNUMBER(AE1121),AD1121&lt;&gt;0),1,0)</f>
        <v/>
      </c>
      <c r="AG1121" s="55">
        <f>IF(AF1121=1,EOMONTH(AE1121,0),"")</f>
        <v/>
      </c>
      <c r="AH1121" s="9">
        <f>IF(AF1121=1,UPPER(TRIM(IFERROR(INDEX($A1121:$AB1121,MATCH("Client",$A$1:$AB$1,0)),"")&amp;"")),"")</f>
        <v/>
      </c>
      <c r="AI1121" s="9">
        <f>IF(AF1121=1,IFERROR(INDEX($A1121:$AB1121,MATCH("Cost Centre",$A$1:$AB$1,0)),"")&amp;"","")</f>
        <v/>
      </c>
      <c r="AJ1121" s="54">
        <f>IF(AND(AF1121=1,AE1121&gt;=set_FYStart,AE1121&lt;=set_AsAt),1,0)</f>
        <v/>
      </c>
      <c r="AK1121" s="54">
        <f>IF(AND(AJ1121=1,AH1121&lt;&gt;"",COUNTIFS($AH$2:AH1121,AH1121,$AJ$2:AJ1121,1)=1),N(AL1120)+1,"")</f>
        <v/>
      </c>
      <c r="AL1121" s="54">
        <f>IF(AK1121&lt;&gt;"",AK1121,N(AL1120))</f>
        <v/>
      </c>
    </row>
    <row r="1122">
      <c r="A1122" t="inlineStr">
        <is>
          <t>PRD-0374</t>
        </is>
      </c>
      <c r="B1122" t="inlineStr">
        <is>
          <t>Production</t>
        </is>
      </c>
      <c r="AB1122" t="n">
        <v>374</v>
      </c>
      <c r="AD1122" s="52">
        <f>IFERROR(N(IFERROR(INDEX($A1122:$AB1122,MATCH("Xero Invoiced Ex GST",$A$1:$AB$1,0)),"")),0)</f>
        <v/>
      </c>
      <c r="AE1122" s="53">
        <f>IFERROR(INDEX($A1122:$AB1122,MATCH("Xero Invoice Date",$A$1:$AB$1,0)),"")</f>
        <v/>
      </c>
      <c r="AF1122" s="54">
        <f>IF(AND(IFERROR(INDEX($A1122:$AB1122,MATCH("Xero Invoice No",$A$1:$AB$1,0)),"")&amp;""&lt;&gt;"",ISNUMBER(AE1122),AD1122&lt;&gt;0),1,0)</f>
        <v/>
      </c>
      <c r="AG1122" s="55">
        <f>IF(AF1122=1,EOMONTH(AE1122,0),"")</f>
        <v/>
      </c>
      <c r="AH1122" s="9">
        <f>IF(AF1122=1,UPPER(TRIM(IFERROR(INDEX($A1122:$AB1122,MATCH("Client",$A$1:$AB$1,0)),"")&amp;"")),"")</f>
        <v/>
      </c>
      <c r="AI1122" s="9">
        <f>IF(AF1122=1,IFERROR(INDEX($A1122:$AB1122,MATCH("Cost Centre",$A$1:$AB$1,0)),"")&amp;"","")</f>
        <v/>
      </c>
      <c r="AJ1122" s="54">
        <f>IF(AND(AF1122=1,AE1122&gt;=set_FYStart,AE1122&lt;=set_AsAt),1,0)</f>
        <v/>
      </c>
      <c r="AK1122" s="54">
        <f>IF(AND(AJ1122=1,AH1122&lt;&gt;"",COUNTIFS($AH$2:AH1122,AH1122,$AJ$2:AJ1122,1)=1),N(AL1121)+1,"")</f>
        <v/>
      </c>
      <c r="AL1122" s="54">
        <f>IF(AK1122&lt;&gt;"",AK1122,N(AL1121))</f>
        <v/>
      </c>
    </row>
    <row r="1123">
      <c r="A1123" t="inlineStr">
        <is>
          <t>CON-0374</t>
        </is>
      </c>
      <c r="B1123" t="inlineStr">
        <is>
          <t>Consulting</t>
        </is>
      </c>
      <c r="AB1123" t="n">
        <v>374</v>
      </c>
      <c r="AD1123" s="52">
        <f>IFERROR(N(IFERROR(INDEX($A1123:$AB1123,MATCH("Xero Invoiced Ex GST",$A$1:$AB$1,0)),"")),0)</f>
        <v/>
      </c>
      <c r="AE1123" s="53">
        <f>IFERROR(INDEX($A1123:$AB1123,MATCH("Xero Invoice Date",$A$1:$AB$1,0)),"")</f>
        <v/>
      </c>
      <c r="AF1123" s="54">
        <f>IF(AND(IFERROR(INDEX($A1123:$AB1123,MATCH("Xero Invoice No",$A$1:$AB$1,0)),"")&amp;""&lt;&gt;"",ISNUMBER(AE1123),AD1123&lt;&gt;0),1,0)</f>
        <v/>
      </c>
      <c r="AG1123" s="55">
        <f>IF(AF1123=1,EOMONTH(AE1123,0),"")</f>
        <v/>
      </c>
      <c r="AH1123" s="9">
        <f>IF(AF1123=1,UPPER(TRIM(IFERROR(INDEX($A1123:$AB1123,MATCH("Client",$A$1:$AB$1,0)),"")&amp;"")),"")</f>
        <v/>
      </c>
      <c r="AI1123" s="9">
        <f>IF(AF1123=1,IFERROR(INDEX($A1123:$AB1123,MATCH("Cost Centre",$A$1:$AB$1,0)),"")&amp;"","")</f>
        <v/>
      </c>
      <c r="AJ1123" s="54">
        <f>IF(AND(AF1123=1,AE1123&gt;=set_FYStart,AE1123&lt;=set_AsAt),1,0)</f>
        <v/>
      </c>
      <c r="AK1123" s="54">
        <f>IF(AND(AJ1123=1,AH1123&lt;&gt;"",COUNTIFS($AH$2:AH1123,AH1123,$AJ$2:AJ1123,1)=1),N(AL1122)+1,"")</f>
        <v/>
      </c>
      <c r="AL1123" s="54">
        <f>IF(AK1123&lt;&gt;"",AK1123,N(AL1122))</f>
        <v/>
      </c>
    </row>
    <row r="1124">
      <c r="A1124" t="inlineStr">
        <is>
          <t>ONS-0375</t>
        </is>
      </c>
      <c r="B1124" t="inlineStr">
        <is>
          <t>Onsite</t>
        </is>
      </c>
      <c r="AB1124" t="n">
        <v>375</v>
      </c>
      <c r="AD1124" s="52">
        <f>IFERROR(N(IFERROR(INDEX($A1124:$AB1124,MATCH("Xero Invoiced Ex GST",$A$1:$AB$1,0)),"")),0)</f>
        <v/>
      </c>
      <c r="AE1124" s="53">
        <f>IFERROR(INDEX($A1124:$AB1124,MATCH("Xero Invoice Date",$A$1:$AB$1,0)),"")</f>
        <v/>
      </c>
      <c r="AF1124" s="54">
        <f>IF(AND(IFERROR(INDEX($A1124:$AB1124,MATCH("Xero Invoice No",$A$1:$AB$1,0)),"")&amp;""&lt;&gt;"",ISNUMBER(AE1124),AD1124&lt;&gt;0),1,0)</f>
        <v/>
      </c>
      <c r="AG1124" s="55">
        <f>IF(AF1124=1,EOMONTH(AE1124,0),"")</f>
        <v/>
      </c>
      <c r="AH1124" s="9">
        <f>IF(AF1124=1,UPPER(TRIM(IFERROR(INDEX($A1124:$AB1124,MATCH("Client",$A$1:$AB$1,0)),"")&amp;"")),"")</f>
        <v/>
      </c>
      <c r="AI1124" s="9">
        <f>IF(AF1124=1,IFERROR(INDEX($A1124:$AB1124,MATCH("Cost Centre",$A$1:$AB$1,0)),"")&amp;"","")</f>
        <v/>
      </c>
      <c r="AJ1124" s="54">
        <f>IF(AND(AF1124=1,AE1124&gt;=set_FYStart,AE1124&lt;=set_AsAt),1,0)</f>
        <v/>
      </c>
      <c r="AK1124" s="54">
        <f>IF(AND(AJ1124=1,AH1124&lt;&gt;"",COUNTIFS($AH$2:AH1124,AH1124,$AJ$2:AJ1124,1)=1),N(AL1123)+1,"")</f>
        <v/>
      </c>
      <c r="AL1124" s="54">
        <f>IF(AK1124&lt;&gt;"",AK1124,N(AL1123))</f>
        <v/>
      </c>
    </row>
    <row r="1125">
      <c r="A1125" t="inlineStr">
        <is>
          <t>PRD-0375</t>
        </is>
      </c>
      <c r="B1125" t="inlineStr">
        <is>
          <t>Production</t>
        </is>
      </c>
      <c r="AB1125" t="n">
        <v>375</v>
      </c>
      <c r="AD1125" s="52">
        <f>IFERROR(N(IFERROR(INDEX($A1125:$AB1125,MATCH("Xero Invoiced Ex GST",$A$1:$AB$1,0)),"")),0)</f>
        <v/>
      </c>
      <c r="AE1125" s="53">
        <f>IFERROR(INDEX($A1125:$AB1125,MATCH("Xero Invoice Date",$A$1:$AB$1,0)),"")</f>
        <v/>
      </c>
      <c r="AF1125" s="54">
        <f>IF(AND(IFERROR(INDEX($A1125:$AB1125,MATCH("Xero Invoice No",$A$1:$AB$1,0)),"")&amp;""&lt;&gt;"",ISNUMBER(AE1125),AD1125&lt;&gt;0),1,0)</f>
        <v/>
      </c>
      <c r="AG1125" s="55">
        <f>IF(AF1125=1,EOMONTH(AE1125,0),"")</f>
        <v/>
      </c>
      <c r="AH1125" s="9">
        <f>IF(AF1125=1,UPPER(TRIM(IFERROR(INDEX($A1125:$AB1125,MATCH("Client",$A$1:$AB$1,0)),"")&amp;"")),"")</f>
        <v/>
      </c>
      <c r="AI1125" s="9">
        <f>IF(AF1125=1,IFERROR(INDEX($A1125:$AB1125,MATCH("Cost Centre",$A$1:$AB$1,0)),"")&amp;"","")</f>
        <v/>
      </c>
      <c r="AJ1125" s="54">
        <f>IF(AND(AF1125=1,AE1125&gt;=set_FYStart,AE1125&lt;=set_AsAt),1,0)</f>
        <v/>
      </c>
      <c r="AK1125" s="54">
        <f>IF(AND(AJ1125=1,AH1125&lt;&gt;"",COUNTIFS($AH$2:AH1125,AH1125,$AJ$2:AJ1125,1)=1),N(AL1124)+1,"")</f>
        <v/>
      </c>
      <c r="AL1125" s="54">
        <f>IF(AK1125&lt;&gt;"",AK1125,N(AL1124))</f>
        <v/>
      </c>
    </row>
    <row r="1126">
      <c r="A1126" t="inlineStr">
        <is>
          <t>CON-0375</t>
        </is>
      </c>
      <c r="B1126" t="inlineStr">
        <is>
          <t>Consulting</t>
        </is>
      </c>
      <c r="AB1126" t="n">
        <v>375</v>
      </c>
      <c r="AD1126" s="52">
        <f>IFERROR(N(IFERROR(INDEX($A1126:$AB1126,MATCH("Xero Invoiced Ex GST",$A$1:$AB$1,0)),"")),0)</f>
        <v/>
      </c>
      <c r="AE1126" s="53">
        <f>IFERROR(INDEX($A1126:$AB1126,MATCH("Xero Invoice Date",$A$1:$AB$1,0)),"")</f>
        <v/>
      </c>
      <c r="AF1126" s="54">
        <f>IF(AND(IFERROR(INDEX($A1126:$AB1126,MATCH("Xero Invoice No",$A$1:$AB$1,0)),"")&amp;""&lt;&gt;"",ISNUMBER(AE1126),AD1126&lt;&gt;0),1,0)</f>
        <v/>
      </c>
      <c r="AG1126" s="55">
        <f>IF(AF1126=1,EOMONTH(AE1126,0),"")</f>
        <v/>
      </c>
      <c r="AH1126" s="9">
        <f>IF(AF1126=1,UPPER(TRIM(IFERROR(INDEX($A1126:$AB1126,MATCH("Client",$A$1:$AB$1,0)),"")&amp;"")),"")</f>
        <v/>
      </c>
      <c r="AI1126" s="9">
        <f>IF(AF1126=1,IFERROR(INDEX($A1126:$AB1126,MATCH("Cost Centre",$A$1:$AB$1,0)),"")&amp;"","")</f>
        <v/>
      </c>
      <c r="AJ1126" s="54">
        <f>IF(AND(AF1126=1,AE1126&gt;=set_FYStart,AE1126&lt;=set_AsAt),1,0)</f>
        <v/>
      </c>
      <c r="AK1126" s="54">
        <f>IF(AND(AJ1126=1,AH1126&lt;&gt;"",COUNTIFS($AH$2:AH1126,AH1126,$AJ$2:AJ1126,1)=1),N(AL1125)+1,"")</f>
        <v/>
      </c>
      <c r="AL1126" s="54">
        <f>IF(AK1126&lt;&gt;"",AK1126,N(AL1125))</f>
        <v/>
      </c>
    </row>
    <row r="1127">
      <c r="A1127" t="inlineStr">
        <is>
          <t>ONS-0376</t>
        </is>
      </c>
      <c r="B1127" t="inlineStr">
        <is>
          <t>Onsite</t>
        </is>
      </c>
      <c r="AB1127" t="n">
        <v>376</v>
      </c>
      <c r="AD1127" s="52">
        <f>IFERROR(N(IFERROR(INDEX($A1127:$AB1127,MATCH("Xero Invoiced Ex GST",$A$1:$AB$1,0)),"")),0)</f>
        <v/>
      </c>
      <c r="AE1127" s="53">
        <f>IFERROR(INDEX($A1127:$AB1127,MATCH("Xero Invoice Date",$A$1:$AB$1,0)),"")</f>
        <v/>
      </c>
      <c r="AF1127" s="54">
        <f>IF(AND(IFERROR(INDEX($A1127:$AB1127,MATCH("Xero Invoice No",$A$1:$AB$1,0)),"")&amp;""&lt;&gt;"",ISNUMBER(AE1127),AD1127&lt;&gt;0),1,0)</f>
        <v/>
      </c>
      <c r="AG1127" s="55">
        <f>IF(AF1127=1,EOMONTH(AE1127,0),"")</f>
        <v/>
      </c>
      <c r="AH1127" s="9">
        <f>IF(AF1127=1,UPPER(TRIM(IFERROR(INDEX($A1127:$AB1127,MATCH("Client",$A$1:$AB$1,0)),"")&amp;"")),"")</f>
        <v/>
      </c>
      <c r="AI1127" s="9">
        <f>IF(AF1127=1,IFERROR(INDEX($A1127:$AB1127,MATCH("Cost Centre",$A$1:$AB$1,0)),"")&amp;"","")</f>
        <v/>
      </c>
      <c r="AJ1127" s="54">
        <f>IF(AND(AF1127=1,AE1127&gt;=set_FYStart,AE1127&lt;=set_AsAt),1,0)</f>
        <v/>
      </c>
      <c r="AK1127" s="54">
        <f>IF(AND(AJ1127=1,AH1127&lt;&gt;"",COUNTIFS($AH$2:AH1127,AH1127,$AJ$2:AJ1127,1)=1),N(AL1126)+1,"")</f>
        <v/>
      </c>
      <c r="AL1127" s="54">
        <f>IF(AK1127&lt;&gt;"",AK1127,N(AL1126))</f>
        <v/>
      </c>
    </row>
    <row r="1128">
      <c r="A1128" t="inlineStr">
        <is>
          <t>PRD-0376</t>
        </is>
      </c>
      <c r="B1128" t="inlineStr">
        <is>
          <t>Production</t>
        </is>
      </c>
      <c r="AB1128" t="n">
        <v>376</v>
      </c>
      <c r="AD1128" s="52">
        <f>IFERROR(N(IFERROR(INDEX($A1128:$AB1128,MATCH("Xero Invoiced Ex GST",$A$1:$AB$1,0)),"")),0)</f>
        <v/>
      </c>
      <c r="AE1128" s="53">
        <f>IFERROR(INDEX($A1128:$AB1128,MATCH("Xero Invoice Date",$A$1:$AB$1,0)),"")</f>
        <v/>
      </c>
      <c r="AF1128" s="54">
        <f>IF(AND(IFERROR(INDEX($A1128:$AB1128,MATCH("Xero Invoice No",$A$1:$AB$1,0)),"")&amp;""&lt;&gt;"",ISNUMBER(AE1128),AD1128&lt;&gt;0),1,0)</f>
        <v/>
      </c>
      <c r="AG1128" s="55">
        <f>IF(AF1128=1,EOMONTH(AE1128,0),"")</f>
        <v/>
      </c>
      <c r="AH1128" s="9">
        <f>IF(AF1128=1,UPPER(TRIM(IFERROR(INDEX($A1128:$AB1128,MATCH("Client",$A$1:$AB$1,0)),"")&amp;"")),"")</f>
        <v/>
      </c>
      <c r="AI1128" s="9">
        <f>IF(AF1128=1,IFERROR(INDEX($A1128:$AB1128,MATCH("Cost Centre",$A$1:$AB$1,0)),"")&amp;"","")</f>
        <v/>
      </c>
      <c r="AJ1128" s="54">
        <f>IF(AND(AF1128=1,AE1128&gt;=set_FYStart,AE1128&lt;=set_AsAt),1,0)</f>
        <v/>
      </c>
      <c r="AK1128" s="54">
        <f>IF(AND(AJ1128=1,AH1128&lt;&gt;"",COUNTIFS($AH$2:AH1128,AH1128,$AJ$2:AJ1128,1)=1),N(AL1127)+1,"")</f>
        <v/>
      </c>
      <c r="AL1128" s="54">
        <f>IF(AK1128&lt;&gt;"",AK1128,N(AL1127))</f>
        <v/>
      </c>
    </row>
    <row r="1129">
      <c r="A1129" t="inlineStr">
        <is>
          <t>CON-0376</t>
        </is>
      </c>
      <c r="B1129" t="inlineStr">
        <is>
          <t>Consulting</t>
        </is>
      </c>
      <c r="AB1129" t="n">
        <v>376</v>
      </c>
      <c r="AD1129" s="52">
        <f>IFERROR(N(IFERROR(INDEX($A1129:$AB1129,MATCH("Xero Invoiced Ex GST",$A$1:$AB$1,0)),"")),0)</f>
        <v/>
      </c>
      <c r="AE1129" s="53">
        <f>IFERROR(INDEX($A1129:$AB1129,MATCH("Xero Invoice Date",$A$1:$AB$1,0)),"")</f>
        <v/>
      </c>
      <c r="AF1129" s="54">
        <f>IF(AND(IFERROR(INDEX($A1129:$AB1129,MATCH("Xero Invoice No",$A$1:$AB$1,0)),"")&amp;""&lt;&gt;"",ISNUMBER(AE1129),AD1129&lt;&gt;0),1,0)</f>
        <v/>
      </c>
      <c r="AG1129" s="55">
        <f>IF(AF1129=1,EOMONTH(AE1129,0),"")</f>
        <v/>
      </c>
      <c r="AH1129" s="9">
        <f>IF(AF1129=1,UPPER(TRIM(IFERROR(INDEX($A1129:$AB1129,MATCH("Client",$A$1:$AB$1,0)),"")&amp;"")),"")</f>
        <v/>
      </c>
      <c r="AI1129" s="9">
        <f>IF(AF1129=1,IFERROR(INDEX($A1129:$AB1129,MATCH("Cost Centre",$A$1:$AB$1,0)),"")&amp;"","")</f>
        <v/>
      </c>
      <c r="AJ1129" s="54">
        <f>IF(AND(AF1129=1,AE1129&gt;=set_FYStart,AE1129&lt;=set_AsAt),1,0)</f>
        <v/>
      </c>
      <c r="AK1129" s="54">
        <f>IF(AND(AJ1129=1,AH1129&lt;&gt;"",COUNTIFS($AH$2:AH1129,AH1129,$AJ$2:AJ1129,1)=1),N(AL1128)+1,"")</f>
        <v/>
      </c>
      <c r="AL1129" s="54">
        <f>IF(AK1129&lt;&gt;"",AK1129,N(AL1128))</f>
        <v/>
      </c>
    </row>
    <row r="1130">
      <c r="A1130" t="inlineStr">
        <is>
          <t>ONS-0377</t>
        </is>
      </c>
      <c r="B1130" t="inlineStr">
        <is>
          <t>Onsite</t>
        </is>
      </c>
      <c r="AB1130" t="n">
        <v>377</v>
      </c>
      <c r="AD1130" s="52">
        <f>IFERROR(N(IFERROR(INDEX($A1130:$AB1130,MATCH("Xero Invoiced Ex GST",$A$1:$AB$1,0)),"")),0)</f>
        <v/>
      </c>
      <c r="AE1130" s="53">
        <f>IFERROR(INDEX($A1130:$AB1130,MATCH("Xero Invoice Date",$A$1:$AB$1,0)),"")</f>
        <v/>
      </c>
      <c r="AF1130" s="54">
        <f>IF(AND(IFERROR(INDEX($A1130:$AB1130,MATCH("Xero Invoice No",$A$1:$AB$1,0)),"")&amp;""&lt;&gt;"",ISNUMBER(AE1130),AD1130&lt;&gt;0),1,0)</f>
        <v/>
      </c>
      <c r="AG1130" s="55">
        <f>IF(AF1130=1,EOMONTH(AE1130,0),"")</f>
        <v/>
      </c>
      <c r="AH1130" s="9">
        <f>IF(AF1130=1,UPPER(TRIM(IFERROR(INDEX($A1130:$AB1130,MATCH("Client",$A$1:$AB$1,0)),"")&amp;"")),"")</f>
        <v/>
      </c>
      <c r="AI1130" s="9">
        <f>IF(AF1130=1,IFERROR(INDEX($A1130:$AB1130,MATCH("Cost Centre",$A$1:$AB$1,0)),"")&amp;"","")</f>
        <v/>
      </c>
      <c r="AJ1130" s="54">
        <f>IF(AND(AF1130=1,AE1130&gt;=set_FYStart,AE1130&lt;=set_AsAt),1,0)</f>
        <v/>
      </c>
      <c r="AK1130" s="54">
        <f>IF(AND(AJ1130=1,AH1130&lt;&gt;"",COUNTIFS($AH$2:AH1130,AH1130,$AJ$2:AJ1130,1)=1),N(AL1129)+1,"")</f>
        <v/>
      </c>
      <c r="AL1130" s="54">
        <f>IF(AK1130&lt;&gt;"",AK1130,N(AL1129))</f>
        <v/>
      </c>
    </row>
    <row r="1131">
      <c r="A1131" t="inlineStr">
        <is>
          <t>PRD-0377</t>
        </is>
      </c>
      <c r="B1131" t="inlineStr">
        <is>
          <t>Production</t>
        </is>
      </c>
      <c r="AB1131" t="n">
        <v>377</v>
      </c>
      <c r="AD1131" s="52">
        <f>IFERROR(N(IFERROR(INDEX($A1131:$AB1131,MATCH("Xero Invoiced Ex GST",$A$1:$AB$1,0)),"")),0)</f>
        <v/>
      </c>
      <c r="AE1131" s="53">
        <f>IFERROR(INDEX($A1131:$AB1131,MATCH("Xero Invoice Date",$A$1:$AB$1,0)),"")</f>
        <v/>
      </c>
      <c r="AF1131" s="54">
        <f>IF(AND(IFERROR(INDEX($A1131:$AB1131,MATCH("Xero Invoice No",$A$1:$AB$1,0)),"")&amp;""&lt;&gt;"",ISNUMBER(AE1131),AD1131&lt;&gt;0),1,0)</f>
        <v/>
      </c>
      <c r="AG1131" s="55">
        <f>IF(AF1131=1,EOMONTH(AE1131,0),"")</f>
        <v/>
      </c>
      <c r="AH1131" s="9">
        <f>IF(AF1131=1,UPPER(TRIM(IFERROR(INDEX($A1131:$AB1131,MATCH("Client",$A$1:$AB$1,0)),"")&amp;"")),"")</f>
        <v/>
      </c>
      <c r="AI1131" s="9">
        <f>IF(AF1131=1,IFERROR(INDEX($A1131:$AB1131,MATCH("Cost Centre",$A$1:$AB$1,0)),"")&amp;"","")</f>
        <v/>
      </c>
      <c r="AJ1131" s="54">
        <f>IF(AND(AF1131=1,AE1131&gt;=set_FYStart,AE1131&lt;=set_AsAt),1,0)</f>
        <v/>
      </c>
      <c r="AK1131" s="54">
        <f>IF(AND(AJ1131=1,AH1131&lt;&gt;"",COUNTIFS($AH$2:AH1131,AH1131,$AJ$2:AJ1131,1)=1),N(AL1130)+1,"")</f>
        <v/>
      </c>
      <c r="AL1131" s="54">
        <f>IF(AK1131&lt;&gt;"",AK1131,N(AL1130))</f>
        <v/>
      </c>
    </row>
    <row r="1132">
      <c r="A1132" t="inlineStr">
        <is>
          <t>CON-0377</t>
        </is>
      </c>
      <c r="B1132" t="inlineStr">
        <is>
          <t>Consulting</t>
        </is>
      </c>
      <c r="AB1132" t="n">
        <v>377</v>
      </c>
      <c r="AD1132" s="52">
        <f>IFERROR(N(IFERROR(INDEX($A1132:$AB1132,MATCH("Xero Invoiced Ex GST",$A$1:$AB$1,0)),"")),0)</f>
        <v/>
      </c>
      <c r="AE1132" s="53">
        <f>IFERROR(INDEX($A1132:$AB1132,MATCH("Xero Invoice Date",$A$1:$AB$1,0)),"")</f>
        <v/>
      </c>
      <c r="AF1132" s="54">
        <f>IF(AND(IFERROR(INDEX($A1132:$AB1132,MATCH("Xero Invoice No",$A$1:$AB$1,0)),"")&amp;""&lt;&gt;"",ISNUMBER(AE1132),AD1132&lt;&gt;0),1,0)</f>
        <v/>
      </c>
      <c r="AG1132" s="55">
        <f>IF(AF1132=1,EOMONTH(AE1132,0),"")</f>
        <v/>
      </c>
      <c r="AH1132" s="9">
        <f>IF(AF1132=1,UPPER(TRIM(IFERROR(INDEX($A1132:$AB1132,MATCH("Client",$A$1:$AB$1,0)),"")&amp;"")),"")</f>
        <v/>
      </c>
      <c r="AI1132" s="9">
        <f>IF(AF1132=1,IFERROR(INDEX($A1132:$AB1132,MATCH("Cost Centre",$A$1:$AB$1,0)),"")&amp;"","")</f>
        <v/>
      </c>
      <c r="AJ1132" s="54">
        <f>IF(AND(AF1132=1,AE1132&gt;=set_FYStart,AE1132&lt;=set_AsAt),1,0)</f>
        <v/>
      </c>
      <c r="AK1132" s="54">
        <f>IF(AND(AJ1132=1,AH1132&lt;&gt;"",COUNTIFS($AH$2:AH1132,AH1132,$AJ$2:AJ1132,1)=1),N(AL1131)+1,"")</f>
        <v/>
      </c>
      <c r="AL1132" s="54">
        <f>IF(AK1132&lt;&gt;"",AK1132,N(AL1131))</f>
        <v/>
      </c>
    </row>
    <row r="1133">
      <c r="A1133" t="inlineStr">
        <is>
          <t>ONS-0378</t>
        </is>
      </c>
      <c r="B1133" t="inlineStr">
        <is>
          <t>Onsite</t>
        </is>
      </c>
      <c r="AB1133" t="n">
        <v>378</v>
      </c>
      <c r="AD1133" s="52">
        <f>IFERROR(N(IFERROR(INDEX($A1133:$AB1133,MATCH("Xero Invoiced Ex GST",$A$1:$AB$1,0)),"")),0)</f>
        <v/>
      </c>
      <c r="AE1133" s="53">
        <f>IFERROR(INDEX($A1133:$AB1133,MATCH("Xero Invoice Date",$A$1:$AB$1,0)),"")</f>
        <v/>
      </c>
      <c r="AF1133" s="54">
        <f>IF(AND(IFERROR(INDEX($A1133:$AB1133,MATCH("Xero Invoice No",$A$1:$AB$1,0)),"")&amp;""&lt;&gt;"",ISNUMBER(AE1133),AD1133&lt;&gt;0),1,0)</f>
        <v/>
      </c>
      <c r="AG1133" s="55">
        <f>IF(AF1133=1,EOMONTH(AE1133,0),"")</f>
        <v/>
      </c>
      <c r="AH1133" s="9">
        <f>IF(AF1133=1,UPPER(TRIM(IFERROR(INDEX($A1133:$AB1133,MATCH("Client",$A$1:$AB$1,0)),"")&amp;"")),"")</f>
        <v/>
      </c>
      <c r="AI1133" s="9">
        <f>IF(AF1133=1,IFERROR(INDEX($A1133:$AB1133,MATCH("Cost Centre",$A$1:$AB$1,0)),"")&amp;"","")</f>
        <v/>
      </c>
      <c r="AJ1133" s="54">
        <f>IF(AND(AF1133=1,AE1133&gt;=set_FYStart,AE1133&lt;=set_AsAt),1,0)</f>
        <v/>
      </c>
      <c r="AK1133" s="54">
        <f>IF(AND(AJ1133=1,AH1133&lt;&gt;"",COUNTIFS($AH$2:AH1133,AH1133,$AJ$2:AJ1133,1)=1),N(AL1132)+1,"")</f>
        <v/>
      </c>
      <c r="AL1133" s="54">
        <f>IF(AK1133&lt;&gt;"",AK1133,N(AL1132))</f>
        <v/>
      </c>
    </row>
    <row r="1134">
      <c r="A1134" t="inlineStr">
        <is>
          <t>PRD-0378</t>
        </is>
      </c>
      <c r="B1134" t="inlineStr">
        <is>
          <t>Production</t>
        </is>
      </c>
      <c r="AB1134" t="n">
        <v>378</v>
      </c>
      <c r="AD1134" s="52">
        <f>IFERROR(N(IFERROR(INDEX($A1134:$AB1134,MATCH("Xero Invoiced Ex GST",$A$1:$AB$1,0)),"")),0)</f>
        <v/>
      </c>
      <c r="AE1134" s="53">
        <f>IFERROR(INDEX($A1134:$AB1134,MATCH("Xero Invoice Date",$A$1:$AB$1,0)),"")</f>
        <v/>
      </c>
      <c r="AF1134" s="54">
        <f>IF(AND(IFERROR(INDEX($A1134:$AB1134,MATCH("Xero Invoice No",$A$1:$AB$1,0)),"")&amp;""&lt;&gt;"",ISNUMBER(AE1134),AD1134&lt;&gt;0),1,0)</f>
        <v/>
      </c>
      <c r="AG1134" s="55">
        <f>IF(AF1134=1,EOMONTH(AE1134,0),"")</f>
        <v/>
      </c>
      <c r="AH1134" s="9">
        <f>IF(AF1134=1,UPPER(TRIM(IFERROR(INDEX($A1134:$AB1134,MATCH("Client",$A$1:$AB$1,0)),"")&amp;"")),"")</f>
        <v/>
      </c>
      <c r="AI1134" s="9">
        <f>IF(AF1134=1,IFERROR(INDEX($A1134:$AB1134,MATCH("Cost Centre",$A$1:$AB$1,0)),"")&amp;"","")</f>
        <v/>
      </c>
      <c r="AJ1134" s="54">
        <f>IF(AND(AF1134=1,AE1134&gt;=set_FYStart,AE1134&lt;=set_AsAt),1,0)</f>
        <v/>
      </c>
      <c r="AK1134" s="54">
        <f>IF(AND(AJ1134=1,AH1134&lt;&gt;"",COUNTIFS($AH$2:AH1134,AH1134,$AJ$2:AJ1134,1)=1),N(AL1133)+1,"")</f>
        <v/>
      </c>
      <c r="AL1134" s="54">
        <f>IF(AK1134&lt;&gt;"",AK1134,N(AL1133))</f>
        <v/>
      </c>
    </row>
    <row r="1135">
      <c r="A1135" t="inlineStr">
        <is>
          <t>CON-0378</t>
        </is>
      </c>
      <c r="B1135" t="inlineStr">
        <is>
          <t>Consulting</t>
        </is>
      </c>
      <c r="AB1135" t="n">
        <v>378</v>
      </c>
      <c r="AD1135" s="52">
        <f>IFERROR(N(IFERROR(INDEX($A1135:$AB1135,MATCH("Xero Invoiced Ex GST",$A$1:$AB$1,0)),"")),0)</f>
        <v/>
      </c>
      <c r="AE1135" s="53">
        <f>IFERROR(INDEX($A1135:$AB1135,MATCH("Xero Invoice Date",$A$1:$AB$1,0)),"")</f>
        <v/>
      </c>
      <c r="AF1135" s="54">
        <f>IF(AND(IFERROR(INDEX($A1135:$AB1135,MATCH("Xero Invoice No",$A$1:$AB$1,0)),"")&amp;""&lt;&gt;"",ISNUMBER(AE1135),AD1135&lt;&gt;0),1,0)</f>
        <v/>
      </c>
      <c r="AG1135" s="55">
        <f>IF(AF1135=1,EOMONTH(AE1135,0),"")</f>
        <v/>
      </c>
      <c r="AH1135" s="9">
        <f>IF(AF1135=1,UPPER(TRIM(IFERROR(INDEX($A1135:$AB1135,MATCH("Client",$A$1:$AB$1,0)),"")&amp;"")),"")</f>
        <v/>
      </c>
      <c r="AI1135" s="9">
        <f>IF(AF1135=1,IFERROR(INDEX($A1135:$AB1135,MATCH("Cost Centre",$A$1:$AB$1,0)),"")&amp;"","")</f>
        <v/>
      </c>
      <c r="AJ1135" s="54">
        <f>IF(AND(AF1135=1,AE1135&gt;=set_FYStart,AE1135&lt;=set_AsAt),1,0)</f>
        <v/>
      </c>
      <c r="AK1135" s="54">
        <f>IF(AND(AJ1135=1,AH1135&lt;&gt;"",COUNTIFS($AH$2:AH1135,AH1135,$AJ$2:AJ1135,1)=1),N(AL1134)+1,"")</f>
        <v/>
      </c>
      <c r="AL1135" s="54">
        <f>IF(AK1135&lt;&gt;"",AK1135,N(AL1134))</f>
        <v/>
      </c>
    </row>
    <row r="1136">
      <c r="A1136" t="inlineStr">
        <is>
          <t>ONS-0379</t>
        </is>
      </c>
      <c r="B1136" t="inlineStr">
        <is>
          <t>Onsite</t>
        </is>
      </c>
      <c r="AB1136" t="n">
        <v>379</v>
      </c>
      <c r="AD1136" s="52">
        <f>IFERROR(N(IFERROR(INDEX($A1136:$AB1136,MATCH("Xero Invoiced Ex GST",$A$1:$AB$1,0)),"")),0)</f>
        <v/>
      </c>
      <c r="AE1136" s="53">
        <f>IFERROR(INDEX($A1136:$AB1136,MATCH("Xero Invoice Date",$A$1:$AB$1,0)),"")</f>
        <v/>
      </c>
      <c r="AF1136" s="54">
        <f>IF(AND(IFERROR(INDEX($A1136:$AB1136,MATCH("Xero Invoice No",$A$1:$AB$1,0)),"")&amp;""&lt;&gt;"",ISNUMBER(AE1136),AD1136&lt;&gt;0),1,0)</f>
        <v/>
      </c>
      <c r="AG1136" s="55">
        <f>IF(AF1136=1,EOMONTH(AE1136,0),"")</f>
        <v/>
      </c>
      <c r="AH1136" s="9">
        <f>IF(AF1136=1,UPPER(TRIM(IFERROR(INDEX($A1136:$AB1136,MATCH("Client",$A$1:$AB$1,0)),"")&amp;"")),"")</f>
        <v/>
      </c>
      <c r="AI1136" s="9">
        <f>IF(AF1136=1,IFERROR(INDEX($A1136:$AB1136,MATCH("Cost Centre",$A$1:$AB$1,0)),"")&amp;"","")</f>
        <v/>
      </c>
      <c r="AJ1136" s="54">
        <f>IF(AND(AF1136=1,AE1136&gt;=set_FYStart,AE1136&lt;=set_AsAt),1,0)</f>
        <v/>
      </c>
      <c r="AK1136" s="54">
        <f>IF(AND(AJ1136=1,AH1136&lt;&gt;"",COUNTIFS($AH$2:AH1136,AH1136,$AJ$2:AJ1136,1)=1),N(AL1135)+1,"")</f>
        <v/>
      </c>
      <c r="AL1136" s="54">
        <f>IF(AK1136&lt;&gt;"",AK1136,N(AL1135))</f>
        <v/>
      </c>
    </row>
    <row r="1137">
      <c r="A1137" t="inlineStr">
        <is>
          <t>PRD-0379</t>
        </is>
      </c>
      <c r="B1137" t="inlineStr">
        <is>
          <t>Production</t>
        </is>
      </c>
      <c r="AB1137" t="n">
        <v>379</v>
      </c>
      <c r="AD1137" s="52">
        <f>IFERROR(N(IFERROR(INDEX($A1137:$AB1137,MATCH("Xero Invoiced Ex GST",$A$1:$AB$1,0)),"")),0)</f>
        <v/>
      </c>
      <c r="AE1137" s="53">
        <f>IFERROR(INDEX($A1137:$AB1137,MATCH("Xero Invoice Date",$A$1:$AB$1,0)),"")</f>
        <v/>
      </c>
      <c r="AF1137" s="54">
        <f>IF(AND(IFERROR(INDEX($A1137:$AB1137,MATCH("Xero Invoice No",$A$1:$AB$1,0)),"")&amp;""&lt;&gt;"",ISNUMBER(AE1137),AD1137&lt;&gt;0),1,0)</f>
        <v/>
      </c>
      <c r="AG1137" s="55">
        <f>IF(AF1137=1,EOMONTH(AE1137,0),"")</f>
        <v/>
      </c>
      <c r="AH1137" s="9">
        <f>IF(AF1137=1,UPPER(TRIM(IFERROR(INDEX($A1137:$AB1137,MATCH("Client",$A$1:$AB$1,0)),"")&amp;"")),"")</f>
        <v/>
      </c>
      <c r="AI1137" s="9">
        <f>IF(AF1137=1,IFERROR(INDEX($A1137:$AB1137,MATCH("Cost Centre",$A$1:$AB$1,0)),"")&amp;"","")</f>
        <v/>
      </c>
      <c r="AJ1137" s="54">
        <f>IF(AND(AF1137=1,AE1137&gt;=set_FYStart,AE1137&lt;=set_AsAt),1,0)</f>
        <v/>
      </c>
      <c r="AK1137" s="54">
        <f>IF(AND(AJ1137=1,AH1137&lt;&gt;"",COUNTIFS($AH$2:AH1137,AH1137,$AJ$2:AJ1137,1)=1),N(AL1136)+1,"")</f>
        <v/>
      </c>
      <c r="AL1137" s="54">
        <f>IF(AK1137&lt;&gt;"",AK1137,N(AL1136))</f>
        <v/>
      </c>
    </row>
    <row r="1138">
      <c r="A1138" t="inlineStr">
        <is>
          <t>CON-0379</t>
        </is>
      </c>
      <c r="B1138" t="inlineStr">
        <is>
          <t>Consulting</t>
        </is>
      </c>
      <c r="AB1138" t="n">
        <v>379</v>
      </c>
      <c r="AD1138" s="52">
        <f>IFERROR(N(IFERROR(INDEX($A1138:$AB1138,MATCH("Xero Invoiced Ex GST",$A$1:$AB$1,0)),"")),0)</f>
        <v/>
      </c>
      <c r="AE1138" s="53">
        <f>IFERROR(INDEX($A1138:$AB1138,MATCH("Xero Invoice Date",$A$1:$AB$1,0)),"")</f>
        <v/>
      </c>
      <c r="AF1138" s="54">
        <f>IF(AND(IFERROR(INDEX($A1138:$AB1138,MATCH("Xero Invoice No",$A$1:$AB$1,0)),"")&amp;""&lt;&gt;"",ISNUMBER(AE1138),AD1138&lt;&gt;0),1,0)</f>
        <v/>
      </c>
      <c r="AG1138" s="55">
        <f>IF(AF1138=1,EOMONTH(AE1138,0),"")</f>
        <v/>
      </c>
      <c r="AH1138" s="9">
        <f>IF(AF1138=1,UPPER(TRIM(IFERROR(INDEX($A1138:$AB1138,MATCH("Client",$A$1:$AB$1,0)),"")&amp;"")),"")</f>
        <v/>
      </c>
      <c r="AI1138" s="9">
        <f>IF(AF1138=1,IFERROR(INDEX($A1138:$AB1138,MATCH("Cost Centre",$A$1:$AB$1,0)),"")&amp;"","")</f>
        <v/>
      </c>
      <c r="AJ1138" s="54">
        <f>IF(AND(AF1138=1,AE1138&gt;=set_FYStart,AE1138&lt;=set_AsAt),1,0)</f>
        <v/>
      </c>
      <c r="AK1138" s="54">
        <f>IF(AND(AJ1138=1,AH1138&lt;&gt;"",COUNTIFS($AH$2:AH1138,AH1138,$AJ$2:AJ1138,1)=1),N(AL1137)+1,"")</f>
        <v/>
      </c>
      <c r="AL1138" s="54">
        <f>IF(AK1138&lt;&gt;"",AK1138,N(AL1137))</f>
        <v/>
      </c>
    </row>
    <row r="1139">
      <c r="A1139" t="inlineStr">
        <is>
          <t>ONS-0380</t>
        </is>
      </c>
      <c r="B1139" t="inlineStr">
        <is>
          <t>Onsite</t>
        </is>
      </c>
      <c r="AB1139" t="n">
        <v>380</v>
      </c>
      <c r="AD1139" s="52">
        <f>IFERROR(N(IFERROR(INDEX($A1139:$AB1139,MATCH("Xero Invoiced Ex GST",$A$1:$AB$1,0)),"")),0)</f>
        <v/>
      </c>
      <c r="AE1139" s="53">
        <f>IFERROR(INDEX($A1139:$AB1139,MATCH("Xero Invoice Date",$A$1:$AB$1,0)),"")</f>
        <v/>
      </c>
      <c r="AF1139" s="54">
        <f>IF(AND(IFERROR(INDEX($A1139:$AB1139,MATCH("Xero Invoice No",$A$1:$AB$1,0)),"")&amp;""&lt;&gt;"",ISNUMBER(AE1139),AD1139&lt;&gt;0),1,0)</f>
        <v/>
      </c>
      <c r="AG1139" s="55">
        <f>IF(AF1139=1,EOMONTH(AE1139,0),"")</f>
        <v/>
      </c>
      <c r="AH1139" s="9">
        <f>IF(AF1139=1,UPPER(TRIM(IFERROR(INDEX($A1139:$AB1139,MATCH("Client",$A$1:$AB$1,0)),"")&amp;"")),"")</f>
        <v/>
      </c>
      <c r="AI1139" s="9">
        <f>IF(AF1139=1,IFERROR(INDEX($A1139:$AB1139,MATCH("Cost Centre",$A$1:$AB$1,0)),"")&amp;"","")</f>
        <v/>
      </c>
      <c r="AJ1139" s="54">
        <f>IF(AND(AF1139=1,AE1139&gt;=set_FYStart,AE1139&lt;=set_AsAt),1,0)</f>
        <v/>
      </c>
      <c r="AK1139" s="54">
        <f>IF(AND(AJ1139=1,AH1139&lt;&gt;"",COUNTIFS($AH$2:AH1139,AH1139,$AJ$2:AJ1139,1)=1),N(AL1138)+1,"")</f>
        <v/>
      </c>
      <c r="AL1139" s="54">
        <f>IF(AK1139&lt;&gt;"",AK1139,N(AL1138))</f>
        <v/>
      </c>
    </row>
    <row r="1140">
      <c r="A1140" t="inlineStr">
        <is>
          <t>PRD-0380</t>
        </is>
      </c>
      <c r="B1140" t="inlineStr">
        <is>
          <t>Production</t>
        </is>
      </c>
      <c r="AB1140" t="n">
        <v>380</v>
      </c>
      <c r="AD1140" s="52">
        <f>IFERROR(N(IFERROR(INDEX($A1140:$AB1140,MATCH("Xero Invoiced Ex GST",$A$1:$AB$1,0)),"")),0)</f>
        <v/>
      </c>
      <c r="AE1140" s="53">
        <f>IFERROR(INDEX($A1140:$AB1140,MATCH("Xero Invoice Date",$A$1:$AB$1,0)),"")</f>
        <v/>
      </c>
      <c r="AF1140" s="54">
        <f>IF(AND(IFERROR(INDEX($A1140:$AB1140,MATCH("Xero Invoice No",$A$1:$AB$1,0)),"")&amp;""&lt;&gt;"",ISNUMBER(AE1140),AD1140&lt;&gt;0),1,0)</f>
        <v/>
      </c>
      <c r="AG1140" s="55">
        <f>IF(AF1140=1,EOMONTH(AE1140,0),"")</f>
        <v/>
      </c>
      <c r="AH1140" s="9">
        <f>IF(AF1140=1,UPPER(TRIM(IFERROR(INDEX($A1140:$AB1140,MATCH("Client",$A$1:$AB$1,0)),"")&amp;"")),"")</f>
        <v/>
      </c>
      <c r="AI1140" s="9">
        <f>IF(AF1140=1,IFERROR(INDEX($A1140:$AB1140,MATCH("Cost Centre",$A$1:$AB$1,0)),"")&amp;"","")</f>
        <v/>
      </c>
      <c r="AJ1140" s="54">
        <f>IF(AND(AF1140=1,AE1140&gt;=set_FYStart,AE1140&lt;=set_AsAt),1,0)</f>
        <v/>
      </c>
      <c r="AK1140" s="54">
        <f>IF(AND(AJ1140=1,AH1140&lt;&gt;"",COUNTIFS($AH$2:AH1140,AH1140,$AJ$2:AJ1140,1)=1),N(AL1139)+1,"")</f>
        <v/>
      </c>
      <c r="AL1140" s="54">
        <f>IF(AK1140&lt;&gt;"",AK1140,N(AL1139))</f>
        <v/>
      </c>
    </row>
    <row r="1141">
      <c r="A1141" t="inlineStr">
        <is>
          <t>CON-0380</t>
        </is>
      </c>
      <c r="B1141" t="inlineStr">
        <is>
          <t>Consulting</t>
        </is>
      </c>
      <c r="AB1141" t="n">
        <v>380</v>
      </c>
      <c r="AD1141" s="52">
        <f>IFERROR(N(IFERROR(INDEX($A1141:$AB1141,MATCH("Xero Invoiced Ex GST",$A$1:$AB$1,0)),"")),0)</f>
        <v/>
      </c>
      <c r="AE1141" s="53">
        <f>IFERROR(INDEX($A1141:$AB1141,MATCH("Xero Invoice Date",$A$1:$AB$1,0)),"")</f>
        <v/>
      </c>
      <c r="AF1141" s="54">
        <f>IF(AND(IFERROR(INDEX($A1141:$AB1141,MATCH("Xero Invoice No",$A$1:$AB$1,0)),"")&amp;""&lt;&gt;"",ISNUMBER(AE1141),AD1141&lt;&gt;0),1,0)</f>
        <v/>
      </c>
      <c r="AG1141" s="55">
        <f>IF(AF1141=1,EOMONTH(AE1141,0),"")</f>
        <v/>
      </c>
      <c r="AH1141" s="9">
        <f>IF(AF1141=1,UPPER(TRIM(IFERROR(INDEX($A1141:$AB1141,MATCH("Client",$A$1:$AB$1,0)),"")&amp;"")),"")</f>
        <v/>
      </c>
      <c r="AI1141" s="9">
        <f>IF(AF1141=1,IFERROR(INDEX($A1141:$AB1141,MATCH("Cost Centre",$A$1:$AB$1,0)),"")&amp;"","")</f>
        <v/>
      </c>
      <c r="AJ1141" s="54">
        <f>IF(AND(AF1141=1,AE1141&gt;=set_FYStart,AE1141&lt;=set_AsAt),1,0)</f>
        <v/>
      </c>
      <c r="AK1141" s="54">
        <f>IF(AND(AJ1141=1,AH1141&lt;&gt;"",COUNTIFS($AH$2:AH1141,AH1141,$AJ$2:AJ1141,1)=1),N(AL1140)+1,"")</f>
        <v/>
      </c>
      <c r="AL1141" s="54">
        <f>IF(AK1141&lt;&gt;"",AK1141,N(AL1140))</f>
        <v/>
      </c>
    </row>
    <row r="1142">
      <c r="A1142" t="inlineStr">
        <is>
          <t>ONS-0381</t>
        </is>
      </c>
      <c r="B1142" t="inlineStr">
        <is>
          <t>Onsite</t>
        </is>
      </c>
      <c r="AB1142" t="n">
        <v>381</v>
      </c>
      <c r="AD1142" s="52">
        <f>IFERROR(N(IFERROR(INDEX($A1142:$AB1142,MATCH("Xero Invoiced Ex GST",$A$1:$AB$1,0)),"")),0)</f>
        <v/>
      </c>
      <c r="AE1142" s="53">
        <f>IFERROR(INDEX($A1142:$AB1142,MATCH("Xero Invoice Date",$A$1:$AB$1,0)),"")</f>
        <v/>
      </c>
      <c r="AF1142" s="54">
        <f>IF(AND(IFERROR(INDEX($A1142:$AB1142,MATCH("Xero Invoice No",$A$1:$AB$1,0)),"")&amp;""&lt;&gt;"",ISNUMBER(AE1142),AD1142&lt;&gt;0),1,0)</f>
        <v/>
      </c>
      <c r="AG1142" s="55">
        <f>IF(AF1142=1,EOMONTH(AE1142,0),"")</f>
        <v/>
      </c>
      <c r="AH1142" s="9">
        <f>IF(AF1142=1,UPPER(TRIM(IFERROR(INDEX($A1142:$AB1142,MATCH("Client",$A$1:$AB$1,0)),"")&amp;"")),"")</f>
        <v/>
      </c>
      <c r="AI1142" s="9">
        <f>IF(AF1142=1,IFERROR(INDEX($A1142:$AB1142,MATCH("Cost Centre",$A$1:$AB$1,0)),"")&amp;"","")</f>
        <v/>
      </c>
      <c r="AJ1142" s="54">
        <f>IF(AND(AF1142=1,AE1142&gt;=set_FYStart,AE1142&lt;=set_AsAt),1,0)</f>
        <v/>
      </c>
      <c r="AK1142" s="54">
        <f>IF(AND(AJ1142=1,AH1142&lt;&gt;"",COUNTIFS($AH$2:AH1142,AH1142,$AJ$2:AJ1142,1)=1),N(AL1141)+1,"")</f>
        <v/>
      </c>
      <c r="AL1142" s="54">
        <f>IF(AK1142&lt;&gt;"",AK1142,N(AL1141))</f>
        <v/>
      </c>
    </row>
    <row r="1143">
      <c r="A1143" t="inlineStr">
        <is>
          <t>PRD-0381</t>
        </is>
      </c>
      <c r="B1143" t="inlineStr">
        <is>
          <t>Production</t>
        </is>
      </c>
      <c r="AB1143" t="n">
        <v>381</v>
      </c>
      <c r="AD1143" s="52">
        <f>IFERROR(N(IFERROR(INDEX($A1143:$AB1143,MATCH("Xero Invoiced Ex GST",$A$1:$AB$1,0)),"")),0)</f>
        <v/>
      </c>
      <c r="AE1143" s="53">
        <f>IFERROR(INDEX($A1143:$AB1143,MATCH("Xero Invoice Date",$A$1:$AB$1,0)),"")</f>
        <v/>
      </c>
      <c r="AF1143" s="54">
        <f>IF(AND(IFERROR(INDEX($A1143:$AB1143,MATCH("Xero Invoice No",$A$1:$AB$1,0)),"")&amp;""&lt;&gt;"",ISNUMBER(AE1143),AD1143&lt;&gt;0),1,0)</f>
        <v/>
      </c>
      <c r="AG1143" s="55">
        <f>IF(AF1143=1,EOMONTH(AE1143,0),"")</f>
        <v/>
      </c>
      <c r="AH1143" s="9">
        <f>IF(AF1143=1,UPPER(TRIM(IFERROR(INDEX($A1143:$AB1143,MATCH("Client",$A$1:$AB$1,0)),"")&amp;"")),"")</f>
        <v/>
      </c>
      <c r="AI1143" s="9">
        <f>IF(AF1143=1,IFERROR(INDEX($A1143:$AB1143,MATCH("Cost Centre",$A$1:$AB$1,0)),"")&amp;"","")</f>
        <v/>
      </c>
      <c r="AJ1143" s="54">
        <f>IF(AND(AF1143=1,AE1143&gt;=set_FYStart,AE1143&lt;=set_AsAt),1,0)</f>
        <v/>
      </c>
      <c r="AK1143" s="54">
        <f>IF(AND(AJ1143=1,AH1143&lt;&gt;"",COUNTIFS($AH$2:AH1143,AH1143,$AJ$2:AJ1143,1)=1),N(AL1142)+1,"")</f>
        <v/>
      </c>
      <c r="AL1143" s="54">
        <f>IF(AK1143&lt;&gt;"",AK1143,N(AL1142))</f>
        <v/>
      </c>
    </row>
    <row r="1144">
      <c r="A1144" t="inlineStr">
        <is>
          <t>CON-0381</t>
        </is>
      </c>
      <c r="B1144" t="inlineStr">
        <is>
          <t>Consulting</t>
        </is>
      </c>
      <c r="AB1144" t="n">
        <v>381</v>
      </c>
      <c r="AD1144" s="52">
        <f>IFERROR(N(IFERROR(INDEX($A1144:$AB1144,MATCH("Xero Invoiced Ex GST",$A$1:$AB$1,0)),"")),0)</f>
        <v/>
      </c>
      <c r="AE1144" s="53">
        <f>IFERROR(INDEX($A1144:$AB1144,MATCH("Xero Invoice Date",$A$1:$AB$1,0)),"")</f>
        <v/>
      </c>
      <c r="AF1144" s="54">
        <f>IF(AND(IFERROR(INDEX($A1144:$AB1144,MATCH("Xero Invoice No",$A$1:$AB$1,0)),"")&amp;""&lt;&gt;"",ISNUMBER(AE1144),AD1144&lt;&gt;0),1,0)</f>
        <v/>
      </c>
      <c r="AG1144" s="55">
        <f>IF(AF1144=1,EOMONTH(AE1144,0),"")</f>
        <v/>
      </c>
      <c r="AH1144" s="9">
        <f>IF(AF1144=1,UPPER(TRIM(IFERROR(INDEX($A1144:$AB1144,MATCH("Client",$A$1:$AB$1,0)),"")&amp;"")),"")</f>
        <v/>
      </c>
      <c r="AI1144" s="9">
        <f>IF(AF1144=1,IFERROR(INDEX($A1144:$AB1144,MATCH("Cost Centre",$A$1:$AB$1,0)),"")&amp;"","")</f>
        <v/>
      </c>
      <c r="AJ1144" s="54">
        <f>IF(AND(AF1144=1,AE1144&gt;=set_FYStart,AE1144&lt;=set_AsAt),1,0)</f>
        <v/>
      </c>
      <c r="AK1144" s="54">
        <f>IF(AND(AJ1144=1,AH1144&lt;&gt;"",COUNTIFS($AH$2:AH1144,AH1144,$AJ$2:AJ1144,1)=1),N(AL1143)+1,"")</f>
        <v/>
      </c>
      <c r="AL1144" s="54">
        <f>IF(AK1144&lt;&gt;"",AK1144,N(AL1143))</f>
        <v/>
      </c>
    </row>
    <row r="1145">
      <c r="A1145" t="inlineStr">
        <is>
          <t>ONS-0382</t>
        </is>
      </c>
      <c r="B1145" t="inlineStr">
        <is>
          <t>Onsite</t>
        </is>
      </c>
      <c r="AB1145" t="n">
        <v>382</v>
      </c>
      <c r="AD1145" s="52">
        <f>IFERROR(N(IFERROR(INDEX($A1145:$AB1145,MATCH("Xero Invoiced Ex GST",$A$1:$AB$1,0)),"")),0)</f>
        <v/>
      </c>
      <c r="AE1145" s="53">
        <f>IFERROR(INDEX($A1145:$AB1145,MATCH("Xero Invoice Date",$A$1:$AB$1,0)),"")</f>
        <v/>
      </c>
      <c r="AF1145" s="54">
        <f>IF(AND(IFERROR(INDEX($A1145:$AB1145,MATCH("Xero Invoice No",$A$1:$AB$1,0)),"")&amp;""&lt;&gt;"",ISNUMBER(AE1145),AD1145&lt;&gt;0),1,0)</f>
        <v/>
      </c>
      <c r="AG1145" s="55">
        <f>IF(AF1145=1,EOMONTH(AE1145,0),"")</f>
        <v/>
      </c>
      <c r="AH1145" s="9">
        <f>IF(AF1145=1,UPPER(TRIM(IFERROR(INDEX($A1145:$AB1145,MATCH("Client",$A$1:$AB$1,0)),"")&amp;"")),"")</f>
        <v/>
      </c>
      <c r="AI1145" s="9">
        <f>IF(AF1145=1,IFERROR(INDEX($A1145:$AB1145,MATCH("Cost Centre",$A$1:$AB$1,0)),"")&amp;"","")</f>
        <v/>
      </c>
      <c r="AJ1145" s="54">
        <f>IF(AND(AF1145=1,AE1145&gt;=set_FYStart,AE1145&lt;=set_AsAt),1,0)</f>
        <v/>
      </c>
      <c r="AK1145" s="54">
        <f>IF(AND(AJ1145=1,AH1145&lt;&gt;"",COUNTIFS($AH$2:AH1145,AH1145,$AJ$2:AJ1145,1)=1),N(AL1144)+1,"")</f>
        <v/>
      </c>
      <c r="AL1145" s="54">
        <f>IF(AK1145&lt;&gt;"",AK1145,N(AL1144))</f>
        <v/>
      </c>
    </row>
    <row r="1146">
      <c r="A1146" t="inlineStr">
        <is>
          <t>PRD-0382</t>
        </is>
      </c>
      <c r="B1146" t="inlineStr">
        <is>
          <t>Production</t>
        </is>
      </c>
      <c r="AB1146" t="n">
        <v>382</v>
      </c>
      <c r="AD1146" s="52">
        <f>IFERROR(N(IFERROR(INDEX($A1146:$AB1146,MATCH("Xero Invoiced Ex GST",$A$1:$AB$1,0)),"")),0)</f>
        <v/>
      </c>
      <c r="AE1146" s="53">
        <f>IFERROR(INDEX($A1146:$AB1146,MATCH("Xero Invoice Date",$A$1:$AB$1,0)),"")</f>
        <v/>
      </c>
      <c r="AF1146" s="54">
        <f>IF(AND(IFERROR(INDEX($A1146:$AB1146,MATCH("Xero Invoice No",$A$1:$AB$1,0)),"")&amp;""&lt;&gt;"",ISNUMBER(AE1146),AD1146&lt;&gt;0),1,0)</f>
        <v/>
      </c>
      <c r="AG1146" s="55">
        <f>IF(AF1146=1,EOMONTH(AE1146,0),"")</f>
        <v/>
      </c>
      <c r="AH1146" s="9">
        <f>IF(AF1146=1,UPPER(TRIM(IFERROR(INDEX($A1146:$AB1146,MATCH("Client",$A$1:$AB$1,0)),"")&amp;"")),"")</f>
        <v/>
      </c>
      <c r="AI1146" s="9">
        <f>IF(AF1146=1,IFERROR(INDEX($A1146:$AB1146,MATCH("Cost Centre",$A$1:$AB$1,0)),"")&amp;"","")</f>
        <v/>
      </c>
      <c r="AJ1146" s="54">
        <f>IF(AND(AF1146=1,AE1146&gt;=set_FYStart,AE1146&lt;=set_AsAt),1,0)</f>
        <v/>
      </c>
      <c r="AK1146" s="54">
        <f>IF(AND(AJ1146=1,AH1146&lt;&gt;"",COUNTIFS($AH$2:AH1146,AH1146,$AJ$2:AJ1146,1)=1),N(AL1145)+1,"")</f>
        <v/>
      </c>
      <c r="AL1146" s="54">
        <f>IF(AK1146&lt;&gt;"",AK1146,N(AL1145))</f>
        <v/>
      </c>
    </row>
    <row r="1147">
      <c r="A1147" t="inlineStr">
        <is>
          <t>CON-0382</t>
        </is>
      </c>
      <c r="B1147" t="inlineStr">
        <is>
          <t>Consulting</t>
        </is>
      </c>
      <c r="AB1147" t="n">
        <v>382</v>
      </c>
      <c r="AD1147" s="52">
        <f>IFERROR(N(IFERROR(INDEX($A1147:$AB1147,MATCH("Xero Invoiced Ex GST",$A$1:$AB$1,0)),"")),0)</f>
        <v/>
      </c>
      <c r="AE1147" s="53">
        <f>IFERROR(INDEX($A1147:$AB1147,MATCH("Xero Invoice Date",$A$1:$AB$1,0)),"")</f>
        <v/>
      </c>
      <c r="AF1147" s="54">
        <f>IF(AND(IFERROR(INDEX($A1147:$AB1147,MATCH("Xero Invoice No",$A$1:$AB$1,0)),"")&amp;""&lt;&gt;"",ISNUMBER(AE1147),AD1147&lt;&gt;0),1,0)</f>
        <v/>
      </c>
      <c r="AG1147" s="55">
        <f>IF(AF1147=1,EOMONTH(AE1147,0),"")</f>
        <v/>
      </c>
      <c r="AH1147" s="9">
        <f>IF(AF1147=1,UPPER(TRIM(IFERROR(INDEX($A1147:$AB1147,MATCH("Client",$A$1:$AB$1,0)),"")&amp;"")),"")</f>
        <v/>
      </c>
      <c r="AI1147" s="9">
        <f>IF(AF1147=1,IFERROR(INDEX($A1147:$AB1147,MATCH("Cost Centre",$A$1:$AB$1,0)),"")&amp;"","")</f>
        <v/>
      </c>
      <c r="AJ1147" s="54">
        <f>IF(AND(AF1147=1,AE1147&gt;=set_FYStart,AE1147&lt;=set_AsAt),1,0)</f>
        <v/>
      </c>
      <c r="AK1147" s="54">
        <f>IF(AND(AJ1147=1,AH1147&lt;&gt;"",COUNTIFS($AH$2:AH1147,AH1147,$AJ$2:AJ1147,1)=1),N(AL1146)+1,"")</f>
        <v/>
      </c>
      <c r="AL1147" s="54">
        <f>IF(AK1147&lt;&gt;"",AK1147,N(AL1146))</f>
        <v/>
      </c>
    </row>
    <row r="1148">
      <c r="A1148" t="inlineStr">
        <is>
          <t>ONS-0383</t>
        </is>
      </c>
      <c r="B1148" t="inlineStr">
        <is>
          <t>Onsite</t>
        </is>
      </c>
      <c r="AB1148" t="n">
        <v>383</v>
      </c>
      <c r="AD1148" s="52">
        <f>IFERROR(N(IFERROR(INDEX($A1148:$AB1148,MATCH("Xero Invoiced Ex GST",$A$1:$AB$1,0)),"")),0)</f>
        <v/>
      </c>
      <c r="AE1148" s="53">
        <f>IFERROR(INDEX($A1148:$AB1148,MATCH("Xero Invoice Date",$A$1:$AB$1,0)),"")</f>
        <v/>
      </c>
      <c r="AF1148" s="54">
        <f>IF(AND(IFERROR(INDEX($A1148:$AB1148,MATCH("Xero Invoice No",$A$1:$AB$1,0)),"")&amp;""&lt;&gt;"",ISNUMBER(AE1148),AD1148&lt;&gt;0),1,0)</f>
        <v/>
      </c>
      <c r="AG1148" s="55">
        <f>IF(AF1148=1,EOMONTH(AE1148,0),"")</f>
        <v/>
      </c>
      <c r="AH1148" s="9">
        <f>IF(AF1148=1,UPPER(TRIM(IFERROR(INDEX($A1148:$AB1148,MATCH("Client",$A$1:$AB$1,0)),"")&amp;"")),"")</f>
        <v/>
      </c>
      <c r="AI1148" s="9">
        <f>IF(AF1148=1,IFERROR(INDEX($A1148:$AB1148,MATCH("Cost Centre",$A$1:$AB$1,0)),"")&amp;"","")</f>
        <v/>
      </c>
      <c r="AJ1148" s="54">
        <f>IF(AND(AF1148=1,AE1148&gt;=set_FYStart,AE1148&lt;=set_AsAt),1,0)</f>
        <v/>
      </c>
      <c r="AK1148" s="54">
        <f>IF(AND(AJ1148=1,AH1148&lt;&gt;"",COUNTIFS($AH$2:AH1148,AH1148,$AJ$2:AJ1148,1)=1),N(AL1147)+1,"")</f>
        <v/>
      </c>
      <c r="AL1148" s="54">
        <f>IF(AK1148&lt;&gt;"",AK1148,N(AL1147))</f>
        <v/>
      </c>
    </row>
    <row r="1149">
      <c r="A1149" t="inlineStr">
        <is>
          <t>PRD-0383</t>
        </is>
      </c>
      <c r="B1149" t="inlineStr">
        <is>
          <t>Production</t>
        </is>
      </c>
      <c r="AB1149" t="n">
        <v>383</v>
      </c>
      <c r="AD1149" s="52">
        <f>IFERROR(N(IFERROR(INDEX($A1149:$AB1149,MATCH("Xero Invoiced Ex GST",$A$1:$AB$1,0)),"")),0)</f>
        <v/>
      </c>
      <c r="AE1149" s="53">
        <f>IFERROR(INDEX($A1149:$AB1149,MATCH("Xero Invoice Date",$A$1:$AB$1,0)),"")</f>
        <v/>
      </c>
      <c r="AF1149" s="54">
        <f>IF(AND(IFERROR(INDEX($A1149:$AB1149,MATCH("Xero Invoice No",$A$1:$AB$1,0)),"")&amp;""&lt;&gt;"",ISNUMBER(AE1149),AD1149&lt;&gt;0),1,0)</f>
        <v/>
      </c>
      <c r="AG1149" s="55">
        <f>IF(AF1149=1,EOMONTH(AE1149,0),"")</f>
        <v/>
      </c>
      <c r="AH1149" s="9">
        <f>IF(AF1149=1,UPPER(TRIM(IFERROR(INDEX($A1149:$AB1149,MATCH("Client",$A$1:$AB$1,0)),"")&amp;"")),"")</f>
        <v/>
      </c>
      <c r="AI1149" s="9">
        <f>IF(AF1149=1,IFERROR(INDEX($A1149:$AB1149,MATCH("Cost Centre",$A$1:$AB$1,0)),"")&amp;"","")</f>
        <v/>
      </c>
      <c r="AJ1149" s="54">
        <f>IF(AND(AF1149=1,AE1149&gt;=set_FYStart,AE1149&lt;=set_AsAt),1,0)</f>
        <v/>
      </c>
      <c r="AK1149" s="54">
        <f>IF(AND(AJ1149=1,AH1149&lt;&gt;"",COUNTIFS($AH$2:AH1149,AH1149,$AJ$2:AJ1149,1)=1),N(AL1148)+1,"")</f>
        <v/>
      </c>
      <c r="AL1149" s="54">
        <f>IF(AK1149&lt;&gt;"",AK1149,N(AL1148))</f>
        <v/>
      </c>
    </row>
    <row r="1150">
      <c r="A1150" t="inlineStr">
        <is>
          <t>CON-0383</t>
        </is>
      </c>
      <c r="B1150" t="inlineStr">
        <is>
          <t>Consulting</t>
        </is>
      </c>
      <c r="AB1150" t="n">
        <v>383</v>
      </c>
      <c r="AD1150" s="52">
        <f>IFERROR(N(IFERROR(INDEX($A1150:$AB1150,MATCH("Xero Invoiced Ex GST",$A$1:$AB$1,0)),"")),0)</f>
        <v/>
      </c>
      <c r="AE1150" s="53">
        <f>IFERROR(INDEX($A1150:$AB1150,MATCH("Xero Invoice Date",$A$1:$AB$1,0)),"")</f>
        <v/>
      </c>
      <c r="AF1150" s="54">
        <f>IF(AND(IFERROR(INDEX($A1150:$AB1150,MATCH("Xero Invoice No",$A$1:$AB$1,0)),"")&amp;""&lt;&gt;"",ISNUMBER(AE1150),AD1150&lt;&gt;0),1,0)</f>
        <v/>
      </c>
      <c r="AG1150" s="55">
        <f>IF(AF1150=1,EOMONTH(AE1150,0),"")</f>
        <v/>
      </c>
      <c r="AH1150" s="9">
        <f>IF(AF1150=1,UPPER(TRIM(IFERROR(INDEX($A1150:$AB1150,MATCH("Client",$A$1:$AB$1,0)),"")&amp;"")),"")</f>
        <v/>
      </c>
      <c r="AI1150" s="9">
        <f>IF(AF1150=1,IFERROR(INDEX($A1150:$AB1150,MATCH("Cost Centre",$A$1:$AB$1,0)),"")&amp;"","")</f>
        <v/>
      </c>
      <c r="AJ1150" s="54">
        <f>IF(AND(AF1150=1,AE1150&gt;=set_FYStart,AE1150&lt;=set_AsAt),1,0)</f>
        <v/>
      </c>
      <c r="AK1150" s="54">
        <f>IF(AND(AJ1150=1,AH1150&lt;&gt;"",COUNTIFS($AH$2:AH1150,AH1150,$AJ$2:AJ1150,1)=1),N(AL1149)+1,"")</f>
        <v/>
      </c>
      <c r="AL1150" s="54">
        <f>IF(AK1150&lt;&gt;"",AK1150,N(AL1149))</f>
        <v/>
      </c>
    </row>
    <row r="1151">
      <c r="A1151" t="inlineStr">
        <is>
          <t>ONS-0384</t>
        </is>
      </c>
      <c r="B1151" t="inlineStr">
        <is>
          <t>Onsite</t>
        </is>
      </c>
      <c r="AB1151" t="n">
        <v>384</v>
      </c>
      <c r="AD1151" s="52">
        <f>IFERROR(N(IFERROR(INDEX($A1151:$AB1151,MATCH("Xero Invoiced Ex GST",$A$1:$AB$1,0)),"")),0)</f>
        <v/>
      </c>
      <c r="AE1151" s="53">
        <f>IFERROR(INDEX($A1151:$AB1151,MATCH("Xero Invoice Date",$A$1:$AB$1,0)),"")</f>
        <v/>
      </c>
      <c r="AF1151" s="54">
        <f>IF(AND(IFERROR(INDEX($A1151:$AB1151,MATCH("Xero Invoice No",$A$1:$AB$1,0)),"")&amp;""&lt;&gt;"",ISNUMBER(AE1151),AD1151&lt;&gt;0),1,0)</f>
        <v/>
      </c>
      <c r="AG1151" s="55">
        <f>IF(AF1151=1,EOMONTH(AE1151,0),"")</f>
        <v/>
      </c>
      <c r="AH1151" s="9">
        <f>IF(AF1151=1,UPPER(TRIM(IFERROR(INDEX($A1151:$AB1151,MATCH("Client",$A$1:$AB$1,0)),"")&amp;"")),"")</f>
        <v/>
      </c>
      <c r="AI1151" s="9">
        <f>IF(AF1151=1,IFERROR(INDEX($A1151:$AB1151,MATCH("Cost Centre",$A$1:$AB$1,0)),"")&amp;"","")</f>
        <v/>
      </c>
      <c r="AJ1151" s="54">
        <f>IF(AND(AF1151=1,AE1151&gt;=set_FYStart,AE1151&lt;=set_AsAt),1,0)</f>
        <v/>
      </c>
      <c r="AK1151" s="54">
        <f>IF(AND(AJ1151=1,AH1151&lt;&gt;"",COUNTIFS($AH$2:AH1151,AH1151,$AJ$2:AJ1151,1)=1),N(AL1150)+1,"")</f>
        <v/>
      </c>
      <c r="AL1151" s="54">
        <f>IF(AK1151&lt;&gt;"",AK1151,N(AL1150))</f>
        <v/>
      </c>
    </row>
    <row r="1152">
      <c r="A1152" t="inlineStr">
        <is>
          <t>PRD-0384</t>
        </is>
      </c>
      <c r="B1152" t="inlineStr">
        <is>
          <t>Production</t>
        </is>
      </c>
      <c r="AB1152" t="n">
        <v>384</v>
      </c>
      <c r="AD1152" s="52">
        <f>IFERROR(N(IFERROR(INDEX($A1152:$AB1152,MATCH("Xero Invoiced Ex GST",$A$1:$AB$1,0)),"")),0)</f>
        <v/>
      </c>
      <c r="AE1152" s="53">
        <f>IFERROR(INDEX($A1152:$AB1152,MATCH("Xero Invoice Date",$A$1:$AB$1,0)),"")</f>
        <v/>
      </c>
      <c r="AF1152" s="54">
        <f>IF(AND(IFERROR(INDEX($A1152:$AB1152,MATCH("Xero Invoice No",$A$1:$AB$1,0)),"")&amp;""&lt;&gt;"",ISNUMBER(AE1152),AD1152&lt;&gt;0),1,0)</f>
        <v/>
      </c>
      <c r="AG1152" s="55">
        <f>IF(AF1152=1,EOMONTH(AE1152,0),"")</f>
        <v/>
      </c>
      <c r="AH1152" s="9">
        <f>IF(AF1152=1,UPPER(TRIM(IFERROR(INDEX($A1152:$AB1152,MATCH("Client",$A$1:$AB$1,0)),"")&amp;"")),"")</f>
        <v/>
      </c>
      <c r="AI1152" s="9">
        <f>IF(AF1152=1,IFERROR(INDEX($A1152:$AB1152,MATCH("Cost Centre",$A$1:$AB$1,0)),"")&amp;"","")</f>
        <v/>
      </c>
      <c r="AJ1152" s="54">
        <f>IF(AND(AF1152=1,AE1152&gt;=set_FYStart,AE1152&lt;=set_AsAt),1,0)</f>
        <v/>
      </c>
      <c r="AK1152" s="54">
        <f>IF(AND(AJ1152=1,AH1152&lt;&gt;"",COUNTIFS($AH$2:AH1152,AH1152,$AJ$2:AJ1152,1)=1),N(AL1151)+1,"")</f>
        <v/>
      </c>
      <c r="AL1152" s="54">
        <f>IF(AK1152&lt;&gt;"",AK1152,N(AL1151))</f>
        <v/>
      </c>
    </row>
    <row r="1153">
      <c r="A1153" t="inlineStr">
        <is>
          <t>CON-0384</t>
        </is>
      </c>
      <c r="B1153" t="inlineStr">
        <is>
          <t>Consulting</t>
        </is>
      </c>
      <c r="AB1153" t="n">
        <v>384</v>
      </c>
      <c r="AD1153" s="52">
        <f>IFERROR(N(IFERROR(INDEX($A1153:$AB1153,MATCH("Xero Invoiced Ex GST",$A$1:$AB$1,0)),"")),0)</f>
        <v/>
      </c>
      <c r="AE1153" s="53">
        <f>IFERROR(INDEX($A1153:$AB1153,MATCH("Xero Invoice Date",$A$1:$AB$1,0)),"")</f>
        <v/>
      </c>
      <c r="AF1153" s="54">
        <f>IF(AND(IFERROR(INDEX($A1153:$AB1153,MATCH("Xero Invoice No",$A$1:$AB$1,0)),"")&amp;""&lt;&gt;"",ISNUMBER(AE1153),AD1153&lt;&gt;0),1,0)</f>
        <v/>
      </c>
      <c r="AG1153" s="55">
        <f>IF(AF1153=1,EOMONTH(AE1153,0),"")</f>
        <v/>
      </c>
      <c r="AH1153" s="9">
        <f>IF(AF1153=1,UPPER(TRIM(IFERROR(INDEX($A1153:$AB1153,MATCH("Client",$A$1:$AB$1,0)),"")&amp;"")),"")</f>
        <v/>
      </c>
      <c r="AI1153" s="9">
        <f>IF(AF1153=1,IFERROR(INDEX($A1153:$AB1153,MATCH("Cost Centre",$A$1:$AB$1,0)),"")&amp;"","")</f>
        <v/>
      </c>
      <c r="AJ1153" s="54">
        <f>IF(AND(AF1153=1,AE1153&gt;=set_FYStart,AE1153&lt;=set_AsAt),1,0)</f>
        <v/>
      </c>
      <c r="AK1153" s="54">
        <f>IF(AND(AJ1153=1,AH1153&lt;&gt;"",COUNTIFS($AH$2:AH1153,AH1153,$AJ$2:AJ1153,1)=1),N(AL1152)+1,"")</f>
        <v/>
      </c>
      <c r="AL1153" s="54">
        <f>IF(AK1153&lt;&gt;"",AK1153,N(AL1152))</f>
        <v/>
      </c>
    </row>
    <row r="1154">
      <c r="A1154" t="inlineStr">
        <is>
          <t>ONS-0385</t>
        </is>
      </c>
      <c r="B1154" t="inlineStr">
        <is>
          <t>Onsite</t>
        </is>
      </c>
      <c r="AB1154" t="n">
        <v>385</v>
      </c>
      <c r="AD1154" s="52">
        <f>IFERROR(N(IFERROR(INDEX($A1154:$AB1154,MATCH("Xero Invoiced Ex GST",$A$1:$AB$1,0)),"")),0)</f>
        <v/>
      </c>
      <c r="AE1154" s="53">
        <f>IFERROR(INDEX($A1154:$AB1154,MATCH("Xero Invoice Date",$A$1:$AB$1,0)),"")</f>
        <v/>
      </c>
      <c r="AF1154" s="54">
        <f>IF(AND(IFERROR(INDEX($A1154:$AB1154,MATCH("Xero Invoice No",$A$1:$AB$1,0)),"")&amp;""&lt;&gt;"",ISNUMBER(AE1154),AD1154&lt;&gt;0),1,0)</f>
        <v/>
      </c>
      <c r="AG1154" s="55">
        <f>IF(AF1154=1,EOMONTH(AE1154,0),"")</f>
        <v/>
      </c>
      <c r="AH1154" s="9">
        <f>IF(AF1154=1,UPPER(TRIM(IFERROR(INDEX($A1154:$AB1154,MATCH("Client",$A$1:$AB$1,0)),"")&amp;"")),"")</f>
        <v/>
      </c>
      <c r="AI1154" s="9">
        <f>IF(AF1154=1,IFERROR(INDEX($A1154:$AB1154,MATCH("Cost Centre",$A$1:$AB$1,0)),"")&amp;"","")</f>
        <v/>
      </c>
      <c r="AJ1154" s="54">
        <f>IF(AND(AF1154=1,AE1154&gt;=set_FYStart,AE1154&lt;=set_AsAt),1,0)</f>
        <v/>
      </c>
      <c r="AK1154" s="54">
        <f>IF(AND(AJ1154=1,AH1154&lt;&gt;"",COUNTIFS($AH$2:AH1154,AH1154,$AJ$2:AJ1154,1)=1),N(AL1153)+1,"")</f>
        <v/>
      </c>
      <c r="AL1154" s="54">
        <f>IF(AK1154&lt;&gt;"",AK1154,N(AL1153))</f>
        <v/>
      </c>
    </row>
    <row r="1155">
      <c r="A1155" t="inlineStr">
        <is>
          <t>PRD-0385</t>
        </is>
      </c>
      <c r="B1155" t="inlineStr">
        <is>
          <t>Production</t>
        </is>
      </c>
      <c r="AB1155" t="n">
        <v>385</v>
      </c>
      <c r="AD1155" s="52">
        <f>IFERROR(N(IFERROR(INDEX($A1155:$AB1155,MATCH("Xero Invoiced Ex GST",$A$1:$AB$1,0)),"")),0)</f>
        <v/>
      </c>
      <c r="AE1155" s="53">
        <f>IFERROR(INDEX($A1155:$AB1155,MATCH("Xero Invoice Date",$A$1:$AB$1,0)),"")</f>
        <v/>
      </c>
      <c r="AF1155" s="54">
        <f>IF(AND(IFERROR(INDEX($A1155:$AB1155,MATCH("Xero Invoice No",$A$1:$AB$1,0)),"")&amp;""&lt;&gt;"",ISNUMBER(AE1155),AD1155&lt;&gt;0),1,0)</f>
        <v/>
      </c>
      <c r="AG1155" s="55">
        <f>IF(AF1155=1,EOMONTH(AE1155,0),"")</f>
        <v/>
      </c>
      <c r="AH1155" s="9">
        <f>IF(AF1155=1,UPPER(TRIM(IFERROR(INDEX($A1155:$AB1155,MATCH("Client",$A$1:$AB$1,0)),"")&amp;"")),"")</f>
        <v/>
      </c>
      <c r="AI1155" s="9">
        <f>IF(AF1155=1,IFERROR(INDEX($A1155:$AB1155,MATCH("Cost Centre",$A$1:$AB$1,0)),"")&amp;"","")</f>
        <v/>
      </c>
      <c r="AJ1155" s="54">
        <f>IF(AND(AF1155=1,AE1155&gt;=set_FYStart,AE1155&lt;=set_AsAt),1,0)</f>
        <v/>
      </c>
      <c r="AK1155" s="54">
        <f>IF(AND(AJ1155=1,AH1155&lt;&gt;"",COUNTIFS($AH$2:AH1155,AH1155,$AJ$2:AJ1155,1)=1),N(AL1154)+1,"")</f>
        <v/>
      </c>
      <c r="AL1155" s="54">
        <f>IF(AK1155&lt;&gt;"",AK1155,N(AL1154))</f>
        <v/>
      </c>
    </row>
    <row r="1156">
      <c r="A1156" t="inlineStr">
        <is>
          <t>CON-0385</t>
        </is>
      </c>
      <c r="B1156" t="inlineStr">
        <is>
          <t>Consulting</t>
        </is>
      </c>
      <c r="AB1156" t="n">
        <v>385</v>
      </c>
      <c r="AD1156" s="52">
        <f>IFERROR(N(IFERROR(INDEX($A1156:$AB1156,MATCH("Xero Invoiced Ex GST",$A$1:$AB$1,0)),"")),0)</f>
        <v/>
      </c>
      <c r="AE1156" s="53">
        <f>IFERROR(INDEX($A1156:$AB1156,MATCH("Xero Invoice Date",$A$1:$AB$1,0)),"")</f>
        <v/>
      </c>
      <c r="AF1156" s="54">
        <f>IF(AND(IFERROR(INDEX($A1156:$AB1156,MATCH("Xero Invoice No",$A$1:$AB$1,0)),"")&amp;""&lt;&gt;"",ISNUMBER(AE1156),AD1156&lt;&gt;0),1,0)</f>
        <v/>
      </c>
      <c r="AG1156" s="55">
        <f>IF(AF1156=1,EOMONTH(AE1156,0),"")</f>
        <v/>
      </c>
      <c r="AH1156" s="9">
        <f>IF(AF1156=1,UPPER(TRIM(IFERROR(INDEX($A1156:$AB1156,MATCH("Client",$A$1:$AB$1,0)),"")&amp;"")),"")</f>
        <v/>
      </c>
      <c r="AI1156" s="9">
        <f>IF(AF1156=1,IFERROR(INDEX($A1156:$AB1156,MATCH("Cost Centre",$A$1:$AB$1,0)),"")&amp;"","")</f>
        <v/>
      </c>
      <c r="AJ1156" s="54">
        <f>IF(AND(AF1156=1,AE1156&gt;=set_FYStart,AE1156&lt;=set_AsAt),1,0)</f>
        <v/>
      </c>
      <c r="AK1156" s="54">
        <f>IF(AND(AJ1156=1,AH1156&lt;&gt;"",COUNTIFS($AH$2:AH1156,AH1156,$AJ$2:AJ1156,1)=1),N(AL1155)+1,"")</f>
        <v/>
      </c>
      <c r="AL1156" s="54">
        <f>IF(AK1156&lt;&gt;"",AK1156,N(AL1155))</f>
        <v/>
      </c>
    </row>
    <row r="1157">
      <c r="A1157" t="inlineStr">
        <is>
          <t>ONS-0386</t>
        </is>
      </c>
      <c r="B1157" t="inlineStr">
        <is>
          <t>Onsite</t>
        </is>
      </c>
      <c r="AB1157" t="n">
        <v>386</v>
      </c>
      <c r="AD1157" s="52">
        <f>IFERROR(N(IFERROR(INDEX($A1157:$AB1157,MATCH("Xero Invoiced Ex GST",$A$1:$AB$1,0)),"")),0)</f>
        <v/>
      </c>
      <c r="AE1157" s="53">
        <f>IFERROR(INDEX($A1157:$AB1157,MATCH("Xero Invoice Date",$A$1:$AB$1,0)),"")</f>
        <v/>
      </c>
      <c r="AF1157" s="54">
        <f>IF(AND(IFERROR(INDEX($A1157:$AB1157,MATCH("Xero Invoice No",$A$1:$AB$1,0)),"")&amp;""&lt;&gt;"",ISNUMBER(AE1157),AD1157&lt;&gt;0),1,0)</f>
        <v/>
      </c>
      <c r="AG1157" s="55">
        <f>IF(AF1157=1,EOMONTH(AE1157,0),"")</f>
        <v/>
      </c>
      <c r="AH1157" s="9">
        <f>IF(AF1157=1,UPPER(TRIM(IFERROR(INDEX($A1157:$AB1157,MATCH("Client",$A$1:$AB$1,0)),"")&amp;"")),"")</f>
        <v/>
      </c>
      <c r="AI1157" s="9">
        <f>IF(AF1157=1,IFERROR(INDEX($A1157:$AB1157,MATCH("Cost Centre",$A$1:$AB$1,0)),"")&amp;"","")</f>
        <v/>
      </c>
      <c r="AJ1157" s="54">
        <f>IF(AND(AF1157=1,AE1157&gt;=set_FYStart,AE1157&lt;=set_AsAt),1,0)</f>
        <v/>
      </c>
      <c r="AK1157" s="54">
        <f>IF(AND(AJ1157=1,AH1157&lt;&gt;"",COUNTIFS($AH$2:AH1157,AH1157,$AJ$2:AJ1157,1)=1),N(AL1156)+1,"")</f>
        <v/>
      </c>
      <c r="AL1157" s="54">
        <f>IF(AK1157&lt;&gt;"",AK1157,N(AL1156))</f>
        <v/>
      </c>
    </row>
    <row r="1158">
      <c r="A1158" t="inlineStr">
        <is>
          <t>PRD-0386</t>
        </is>
      </c>
      <c r="B1158" t="inlineStr">
        <is>
          <t>Production</t>
        </is>
      </c>
      <c r="AB1158" t="n">
        <v>386</v>
      </c>
      <c r="AD1158" s="52">
        <f>IFERROR(N(IFERROR(INDEX($A1158:$AB1158,MATCH("Xero Invoiced Ex GST",$A$1:$AB$1,0)),"")),0)</f>
        <v/>
      </c>
      <c r="AE1158" s="53">
        <f>IFERROR(INDEX($A1158:$AB1158,MATCH("Xero Invoice Date",$A$1:$AB$1,0)),"")</f>
        <v/>
      </c>
      <c r="AF1158" s="54">
        <f>IF(AND(IFERROR(INDEX($A1158:$AB1158,MATCH("Xero Invoice No",$A$1:$AB$1,0)),"")&amp;""&lt;&gt;"",ISNUMBER(AE1158),AD1158&lt;&gt;0),1,0)</f>
        <v/>
      </c>
      <c r="AG1158" s="55">
        <f>IF(AF1158=1,EOMONTH(AE1158,0),"")</f>
        <v/>
      </c>
      <c r="AH1158" s="9">
        <f>IF(AF1158=1,UPPER(TRIM(IFERROR(INDEX($A1158:$AB1158,MATCH("Client",$A$1:$AB$1,0)),"")&amp;"")),"")</f>
        <v/>
      </c>
      <c r="AI1158" s="9">
        <f>IF(AF1158=1,IFERROR(INDEX($A1158:$AB1158,MATCH("Cost Centre",$A$1:$AB$1,0)),"")&amp;"","")</f>
        <v/>
      </c>
      <c r="AJ1158" s="54">
        <f>IF(AND(AF1158=1,AE1158&gt;=set_FYStart,AE1158&lt;=set_AsAt),1,0)</f>
        <v/>
      </c>
      <c r="AK1158" s="54">
        <f>IF(AND(AJ1158=1,AH1158&lt;&gt;"",COUNTIFS($AH$2:AH1158,AH1158,$AJ$2:AJ1158,1)=1),N(AL1157)+1,"")</f>
        <v/>
      </c>
      <c r="AL1158" s="54">
        <f>IF(AK1158&lt;&gt;"",AK1158,N(AL1157))</f>
        <v/>
      </c>
    </row>
    <row r="1159">
      <c r="A1159" t="inlineStr">
        <is>
          <t>CON-0386</t>
        </is>
      </c>
      <c r="B1159" t="inlineStr">
        <is>
          <t>Consulting</t>
        </is>
      </c>
      <c r="AB1159" t="n">
        <v>386</v>
      </c>
      <c r="AD1159" s="52">
        <f>IFERROR(N(IFERROR(INDEX($A1159:$AB1159,MATCH("Xero Invoiced Ex GST",$A$1:$AB$1,0)),"")),0)</f>
        <v/>
      </c>
      <c r="AE1159" s="53">
        <f>IFERROR(INDEX($A1159:$AB1159,MATCH("Xero Invoice Date",$A$1:$AB$1,0)),"")</f>
        <v/>
      </c>
      <c r="AF1159" s="54">
        <f>IF(AND(IFERROR(INDEX($A1159:$AB1159,MATCH("Xero Invoice No",$A$1:$AB$1,0)),"")&amp;""&lt;&gt;"",ISNUMBER(AE1159),AD1159&lt;&gt;0),1,0)</f>
        <v/>
      </c>
      <c r="AG1159" s="55">
        <f>IF(AF1159=1,EOMONTH(AE1159,0),"")</f>
        <v/>
      </c>
      <c r="AH1159" s="9">
        <f>IF(AF1159=1,UPPER(TRIM(IFERROR(INDEX($A1159:$AB1159,MATCH("Client",$A$1:$AB$1,0)),"")&amp;"")),"")</f>
        <v/>
      </c>
      <c r="AI1159" s="9">
        <f>IF(AF1159=1,IFERROR(INDEX($A1159:$AB1159,MATCH("Cost Centre",$A$1:$AB$1,0)),"")&amp;"","")</f>
        <v/>
      </c>
      <c r="AJ1159" s="54">
        <f>IF(AND(AF1159=1,AE1159&gt;=set_FYStart,AE1159&lt;=set_AsAt),1,0)</f>
        <v/>
      </c>
      <c r="AK1159" s="54">
        <f>IF(AND(AJ1159=1,AH1159&lt;&gt;"",COUNTIFS($AH$2:AH1159,AH1159,$AJ$2:AJ1159,1)=1),N(AL1158)+1,"")</f>
        <v/>
      </c>
      <c r="AL1159" s="54">
        <f>IF(AK1159&lt;&gt;"",AK1159,N(AL1158))</f>
        <v/>
      </c>
    </row>
    <row r="1160">
      <c r="A1160" t="inlineStr">
        <is>
          <t>ONS-0387</t>
        </is>
      </c>
      <c r="B1160" t="inlineStr">
        <is>
          <t>Onsite</t>
        </is>
      </c>
      <c r="AB1160" t="n">
        <v>387</v>
      </c>
      <c r="AD1160" s="52">
        <f>IFERROR(N(IFERROR(INDEX($A1160:$AB1160,MATCH("Xero Invoiced Ex GST",$A$1:$AB$1,0)),"")),0)</f>
        <v/>
      </c>
      <c r="AE1160" s="53">
        <f>IFERROR(INDEX($A1160:$AB1160,MATCH("Xero Invoice Date",$A$1:$AB$1,0)),"")</f>
        <v/>
      </c>
      <c r="AF1160" s="54">
        <f>IF(AND(IFERROR(INDEX($A1160:$AB1160,MATCH("Xero Invoice No",$A$1:$AB$1,0)),"")&amp;""&lt;&gt;"",ISNUMBER(AE1160),AD1160&lt;&gt;0),1,0)</f>
        <v/>
      </c>
      <c r="AG1160" s="55">
        <f>IF(AF1160=1,EOMONTH(AE1160,0),"")</f>
        <v/>
      </c>
      <c r="AH1160" s="9">
        <f>IF(AF1160=1,UPPER(TRIM(IFERROR(INDEX($A1160:$AB1160,MATCH("Client",$A$1:$AB$1,0)),"")&amp;"")),"")</f>
        <v/>
      </c>
      <c r="AI1160" s="9">
        <f>IF(AF1160=1,IFERROR(INDEX($A1160:$AB1160,MATCH("Cost Centre",$A$1:$AB$1,0)),"")&amp;"","")</f>
        <v/>
      </c>
      <c r="AJ1160" s="54">
        <f>IF(AND(AF1160=1,AE1160&gt;=set_FYStart,AE1160&lt;=set_AsAt),1,0)</f>
        <v/>
      </c>
      <c r="AK1160" s="54">
        <f>IF(AND(AJ1160=1,AH1160&lt;&gt;"",COUNTIFS($AH$2:AH1160,AH1160,$AJ$2:AJ1160,1)=1),N(AL1159)+1,"")</f>
        <v/>
      </c>
      <c r="AL1160" s="54">
        <f>IF(AK1160&lt;&gt;"",AK1160,N(AL1159))</f>
        <v/>
      </c>
    </row>
    <row r="1161">
      <c r="A1161" t="inlineStr">
        <is>
          <t>PRD-0387</t>
        </is>
      </c>
      <c r="B1161" t="inlineStr">
        <is>
          <t>Production</t>
        </is>
      </c>
      <c r="AB1161" t="n">
        <v>387</v>
      </c>
      <c r="AD1161" s="52">
        <f>IFERROR(N(IFERROR(INDEX($A1161:$AB1161,MATCH("Xero Invoiced Ex GST",$A$1:$AB$1,0)),"")),0)</f>
        <v/>
      </c>
      <c r="AE1161" s="53">
        <f>IFERROR(INDEX($A1161:$AB1161,MATCH("Xero Invoice Date",$A$1:$AB$1,0)),"")</f>
        <v/>
      </c>
      <c r="AF1161" s="54">
        <f>IF(AND(IFERROR(INDEX($A1161:$AB1161,MATCH("Xero Invoice No",$A$1:$AB$1,0)),"")&amp;""&lt;&gt;"",ISNUMBER(AE1161),AD1161&lt;&gt;0),1,0)</f>
        <v/>
      </c>
      <c r="AG1161" s="55">
        <f>IF(AF1161=1,EOMONTH(AE1161,0),"")</f>
        <v/>
      </c>
      <c r="AH1161" s="9">
        <f>IF(AF1161=1,UPPER(TRIM(IFERROR(INDEX($A1161:$AB1161,MATCH("Client",$A$1:$AB$1,0)),"")&amp;"")),"")</f>
        <v/>
      </c>
      <c r="AI1161" s="9">
        <f>IF(AF1161=1,IFERROR(INDEX($A1161:$AB1161,MATCH("Cost Centre",$A$1:$AB$1,0)),"")&amp;"","")</f>
        <v/>
      </c>
      <c r="AJ1161" s="54">
        <f>IF(AND(AF1161=1,AE1161&gt;=set_FYStart,AE1161&lt;=set_AsAt),1,0)</f>
        <v/>
      </c>
      <c r="AK1161" s="54">
        <f>IF(AND(AJ1161=1,AH1161&lt;&gt;"",COUNTIFS($AH$2:AH1161,AH1161,$AJ$2:AJ1161,1)=1),N(AL1160)+1,"")</f>
        <v/>
      </c>
      <c r="AL1161" s="54">
        <f>IF(AK1161&lt;&gt;"",AK1161,N(AL1160))</f>
        <v/>
      </c>
    </row>
    <row r="1162">
      <c r="A1162" t="inlineStr">
        <is>
          <t>CON-0387</t>
        </is>
      </c>
      <c r="B1162" t="inlineStr">
        <is>
          <t>Consulting</t>
        </is>
      </c>
      <c r="AB1162" t="n">
        <v>387</v>
      </c>
      <c r="AD1162" s="52">
        <f>IFERROR(N(IFERROR(INDEX($A1162:$AB1162,MATCH("Xero Invoiced Ex GST",$A$1:$AB$1,0)),"")),0)</f>
        <v/>
      </c>
      <c r="AE1162" s="53">
        <f>IFERROR(INDEX($A1162:$AB1162,MATCH("Xero Invoice Date",$A$1:$AB$1,0)),"")</f>
        <v/>
      </c>
      <c r="AF1162" s="54">
        <f>IF(AND(IFERROR(INDEX($A1162:$AB1162,MATCH("Xero Invoice No",$A$1:$AB$1,0)),"")&amp;""&lt;&gt;"",ISNUMBER(AE1162),AD1162&lt;&gt;0),1,0)</f>
        <v/>
      </c>
      <c r="AG1162" s="55">
        <f>IF(AF1162=1,EOMONTH(AE1162,0),"")</f>
        <v/>
      </c>
      <c r="AH1162" s="9">
        <f>IF(AF1162=1,UPPER(TRIM(IFERROR(INDEX($A1162:$AB1162,MATCH("Client",$A$1:$AB$1,0)),"")&amp;"")),"")</f>
        <v/>
      </c>
      <c r="AI1162" s="9">
        <f>IF(AF1162=1,IFERROR(INDEX($A1162:$AB1162,MATCH("Cost Centre",$A$1:$AB$1,0)),"")&amp;"","")</f>
        <v/>
      </c>
      <c r="AJ1162" s="54">
        <f>IF(AND(AF1162=1,AE1162&gt;=set_FYStart,AE1162&lt;=set_AsAt),1,0)</f>
        <v/>
      </c>
      <c r="AK1162" s="54">
        <f>IF(AND(AJ1162=1,AH1162&lt;&gt;"",COUNTIFS($AH$2:AH1162,AH1162,$AJ$2:AJ1162,1)=1),N(AL1161)+1,"")</f>
        <v/>
      </c>
      <c r="AL1162" s="54">
        <f>IF(AK1162&lt;&gt;"",AK1162,N(AL1161))</f>
        <v/>
      </c>
    </row>
    <row r="1163">
      <c r="A1163" t="inlineStr">
        <is>
          <t>ONS-0388</t>
        </is>
      </c>
      <c r="B1163" t="inlineStr">
        <is>
          <t>Onsite</t>
        </is>
      </c>
      <c r="AB1163" t="n">
        <v>388</v>
      </c>
      <c r="AD1163" s="52">
        <f>IFERROR(N(IFERROR(INDEX($A1163:$AB1163,MATCH("Xero Invoiced Ex GST",$A$1:$AB$1,0)),"")),0)</f>
        <v/>
      </c>
      <c r="AE1163" s="53">
        <f>IFERROR(INDEX($A1163:$AB1163,MATCH("Xero Invoice Date",$A$1:$AB$1,0)),"")</f>
        <v/>
      </c>
      <c r="AF1163" s="54">
        <f>IF(AND(IFERROR(INDEX($A1163:$AB1163,MATCH("Xero Invoice No",$A$1:$AB$1,0)),"")&amp;""&lt;&gt;"",ISNUMBER(AE1163),AD1163&lt;&gt;0),1,0)</f>
        <v/>
      </c>
      <c r="AG1163" s="55">
        <f>IF(AF1163=1,EOMONTH(AE1163,0),"")</f>
        <v/>
      </c>
      <c r="AH1163" s="9">
        <f>IF(AF1163=1,UPPER(TRIM(IFERROR(INDEX($A1163:$AB1163,MATCH("Client",$A$1:$AB$1,0)),"")&amp;"")),"")</f>
        <v/>
      </c>
      <c r="AI1163" s="9">
        <f>IF(AF1163=1,IFERROR(INDEX($A1163:$AB1163,MATCH("Cost Centre",$A$1:$AB$1,0)),"")&amp;"","")</f>
        <v/>
      </c>
      <c r="AJ1163" s="54">
        <f>IF(AND(AF1163=1,AE1163&gt;=set_FYStart,AE1163&lt;=set_AsAt),1,0)</f>
        <v/>
      </c>
      <c r="AK1163" s="54">
        <f>IF(AND(AJ1163=1,AH1163&lt;&gt;"",COUNTIFS($AH$2:AH1163,AH1163,$AJ$2:AJ1163,1)=1),N(AL1162)+1,"")</f>
        <v/>
      </c>
      <c r="AL1163" s="54">
        <f>IF(AK1163&lt;&gt;"",AK1163,N(AL1162))</f>
        <v/>
      </c>
    </row>
    <row r="1164">
      <c r="A1164" t="inlineStr">
        <is>
          <t>PRD-0388</t>
        </is>
      </c>
      <c r="B1164" t="inlineStr">
        <is>
          <t>Production</t>
        </is>
      </c>
      <c r="AB1164" t="n">
        <v>388</v>
      </c>
      <c r="AD1164" s="52">
        <f>IFERROR(N(IFERROR(INDEX($A1164:$AB1164,MATCH("Xero Invoiced Ex GST",$A$1:$AB$1,0)),"")),0)</f>
        <v/>
      </c>
      <c r="AE1164" s="53">
        <f>IFERROR(INDEX($A1164:$AB1164,MATCH("Xero Invoice Date",$A$1:$AB$1,0)),"")</f>
        <v/>
      </c>
      <c r="AF1164" s="54">
        <f>IF(AND(IFERROR(INDEX($A1164:$AB1164,MATCH("Xero Invoice No",$A$1:$AB$1,0)),"")&amp;""&lt;&gt;"",ISNUMBER(AE1164),AD1164&lt;&gt;0),1,0)</f>
        <v/>
      </c>
      <c r="AG1164" s="55">
        <f>IF(AF1164=1,EOMONTH(AE1164,0),"")</f>
        <v/>
      </c>
      <c r="AH1164" s="9">
        <f>IF(AF1164=1,UPPER(TRIM(IFERROR(INDEX($A1164:$AB1164,MATCH("Client",$A$1:$AB$1,0)),"")&amp;"")),"")</f>
        <v/>
      </c>
      <c r="AI1164" s="9">
        <f>IF(AF1164=1,IFERROR(INDEX($A1164:$AB1164,MATCH("Cost Centre",$A$1:$AB$1,0)),"")&amp;"","")</f>
        <v/>
      </c>
      <c r="AJ1164" s="54">
        <f>IF(AND(AF1164=1,AE1164&gt;=set_FYStart,AE1164&lt;=set_AsAt),1,0)</f>
        <v/>
      </c>
      <c r="AK1164" s="54">
        <f>IF(AND(AJ1164=1,AH1164&lt;&gt;"",COUNTIFS($AH$2:AH1164,AH1164,$AJ$2:AJ1164,1)=1),N(AL1163)+1,"")</f>
        <v/>
      </c>
      <c r="AL1164" s="54">
        <f>IF(AK1164&lt;&gt;"",AK1164,N(AL1163))</f>
        <v/>
      </c>
    </row>
    <row r="1165">
      <c r="A1165" t="inlineStr">
        <is>
          <t>CON-0388</t>
        </is>
      </c>
      <c r="B1165" t="inlineStr">
        <is>
          <t>Consulting</t>
        </is>
      </c>
      <c r="AB1165" t="n">
        <v>388</v>
      </c>
      <c r="AD1165" s="52">
        <f>IFERROR(N(IFERROR(INDEX($A1165:$AB1165,MATCH("Xero Invoiced Ex GST",$A$1:$AB$1,0)),"")),0)</f>
        <v/>
      </c>
      <c r="AE1165" s="53">
        <f>IFERROR(INDEX($A1165:$AB1165,MATCH("Xero Invoice Date",$A$1:$AB$1,0)),"")</f>
        <v/>
      </c>
      <c r="AF1165" s="54">
        <f>IF(AND(IFERROR(INDEX($A1165:$AB1165,MATCH("Xero Invoice No",$A$1:$AB$1,0)),"")&amp;""&lt;&gt;"",ISNUMBER(AE1165),AD1165&lt;&gt;0),1,0)</f>
        <v/>
      </c>
      <c r="AG1165" s="55">
        <f>IF(AF1165=1,EOMONTH(AE1165,0),"")</f>
        <v/>
      </c>
      <c r="AH1165" s="9">
        <f>IF(AF1165=1,UPPER(TRIM(IFERROR(INDEX($A1165:$AB1165,MATCH("Client",$A$1:$AB$1,0)),"")&amp;"")),"")</f>
        <v/>
      </c>
      <c r="AI1165" s="9">
        <f>IF(AF1165=1,IFERROR(INDEX($A1165:$AB1165,MATCH("Cost Centre",$A$1:$AB$1,0)),"")&amp;"","")</f>
        <v/>
      </c>
      <c r="AJ1165" s="54">
        <f>IF(AND(AF1165=1,AE1165&gt;=set_FYStart,AE1165&lt;=set_AsAt),1,0)</f>
        <v/>
      </c>
      <c r="AK1165" s="54">
        <f>IF(AND(AJ1165=1,AH1165&lt;&gt;"",COUNTIFS($AH$2:AH1165,AH1165,$AJ$2:AJ1165,1)=1),N(AL1164)+1,"")</f>
        <v/>
      </c>
      <c r="AL1165" s="54">
        <f>IF(AK1165&lt;&gt;"",AK1165,N(AL1164))</f>
        <v/>
      </c>
    </row>
    <row r="1166">
      <c r="A1166" t="inlineStr">
        <is>
          <t>ONS-0389</t>
        </is>
      </c>
      <c r="B1166" t="inlineStr">
        <is>
          <t>Onsite</t>
        </is>
      </c>
      <c r="AB1166" t="n">
        <v>389</v>
      </c>
      <c r="AD1166" s="52">
        <f>IFERROR(N(IFERROR(INDEX($A1166:$AB1166,MATCH("Xero Invoiced Ex GST",$A$1:$AB$1,0)),"")),0)</f>
        <v/>
      </c>
      <c r="AE1166" s="53">
        <f>IFERROR(INDEX($A1166:$AB1166,MATCH("Xero Invoice Date",$A$1:$AB$1,0)),"")</f>
        <v/>
      </c>
      <c r="AF1166" s="54">
        <f>IF(AND(IFERROR(INDEX($A1166:$AB1166,MATCH("Xero Invoice No",$A$1:$AB$1,0)),"")&amp;""&lt;&gt;"",ISNUMBER(AE1166),AD1166&lt;&gt;0),1,0)</f>
        <v/>
      </c>
      <c r="AG1166" s="55">
        <f>IF(AF1166=1,EOMONTH(AE1166,0),"")</f>
        <v/>
      </c>
      <c r="AH1166" s="9">
        <f>IF(AF1166=1,UPPER(TRIM(IFERROR(INDEX($A1166:$AB1166,MATCH("Client",$A$1:$AB$1,0)),"")&amp;"")),"")</f>
        <v/>
      </c>
      <c r="AI1166" s="9">
        <f>IF(AF1166=1,IFERROR(INDEX($A1166:$AB1166,MATCH("Cost Centre",$A$1:$AB$1,0)),"")&amp;"","")</f>
        <v/>
      </c>
      <c r="AJ1166" s="54">
        <f>IF(AND(AF1166=1,AE1166&gt;=set_FYStart,AE1166&lt;=set_AsAt),1,0)</f>
        <v/>
      </c>
      <c r="AK1166" s="54">
        <f>IF(AND(AJ1166=1,AH1166&lt;&gt;"",COUNTIFS($AH$2:AH1166,AH1166,$AJ$2:AJ1166,1)=1),N(AL1165)+1,"")</f>
        <v/>
      </c>
      <c r="AL1166" s="54">
        <f>IF(AK1166&lt;&gt;"",AK1166,N(AL1165))</f>
        <v/>
      </c>
    </row>
    <row r="1167">
      <c r="A1167" t="inlineStr">
        <is>
          <t>PRD-0389</t>
        </is>
      </c>
      <c r="B1167" t="inlineStr">
        <is>
          <t>Production</t>
        </is>
      </c>
      <c r="AB1167" t="n">
        <v>389</v>
      </c>
      <c r="AD1167" s="52">
        <f>IFERROR(N(IFERROR(INDEX($A1167:$AB1167,MATCH("Xero Invoiced Ex GST",$A$1:$AB$1,0)),"")),0)</f>
        <v/>
      </c>
      <c r="AE1167" s="53">
        <f>IFERROR(INDEX($A1167:$AB1167,MATCH("Xero Invoice Date",$A$1:$AB$1,0)),"")</f>
        <v/>
      </c>
      <c r="AF1167" s="54">
        <f>IF(AND(IFERROR(INDEX($A1167:$AB1167,MATCH("Xero Invoice No",$A$1:$AB$1,0)),"")&amp;""&lt;&gt;"",ISNUMBER(AE1167),AD1167&lt;&gt;0),1,0)</f>
        <v/>
      </c>
      <c r="AG1167" s="55">
        <f>IF(AF1167=1,EOMONTH(AE1167,0),"")</f>
        <v/>
      </c>
      <c r="AH1167" s="9">
        <f>IF(AF1167=1,UPPER(TRIM(IFERROR(INDEX($A1167:$AB1167,MATCH("Client",$A$1:$AB$1,0)),"")&amp;"")),"")</f>
        <v/>
      </c>
      <c r="AI1167" s="9">
        <f>IF(AF1167=1,IFERROR(INDEX($A1167:$AB1167,MATCH("Cost Centre",$A$1:$AB$1,0)),"")&amp;"","")</f>
        <v/>
      </c>
      <c r="AJ1167" s="54">
        <f>IF(AND(AF1167=1,AE1167&gt;=set_FYStart,AE1167&lt;=set_AsAt),1,0)</f>
        <v/>
      </c>
      <c r="AK1167" s="54">
        <f>IF(AND(AJ1167=1,AH1167&lt;&gt;"",COUNTIFS($AH$2:AH1167,AH1167,$AJ$2:AJ1167,1)=1),N(AL1166)+1,"")</f>
        <v/>
      </c>
      <c r="AL1167" s="54">
        <f>IF(AK1167&lt;&gt;"",AK1167,N(AL1166))</f>
        <v/>
      </c>
    </row>
    <row r="1168">
      <c r="A1168" t="inlineStr">
        <is>
          <t>CON-0389</t>
        </is>
      </c>
      <c r="B1168" t="inlineStr">
        <is>
          <t>Consulting</t>
        </is>
      </c>
      <c r="AB1168" t="n">
        <v>389</v>
      </c>
      <c r="AD1168" s="52">
        <f>IFERROR(N(IFERROR(INDEX($A1168:$AB1168,MATCH("Xero Invoiced Ex GST",$A$1:$AB$1,0)),"")),0)</f>
        <v/>
      </c>
      <c r="AE1168" s="53">
        <f>IFERROR(INDEX($A1168:$AB1168,MATCH("Xero Invoice Date",$A$1:$AB$1,0)),"")</f>
        <v/>
      </c>
      <c r="AF1168" s="54">
        <f>IF(AND(IFERROR(INDEX($A1168:$AB1168,MATCH("Xero Invoice No",$A$1:$AB$1,0)),"")&amp;""&lt;&gt;"",ISNUMBER(AE1168),AD1168&lt;&gt;0),1,0)</f>
        <v/>
      </c>
      <c r="AG1168" s="55">
        <f>IF(AF1168=1,EOMONTH(AE1168,0),"")</f>
        <v/>
      </c>
      <c r="AH1168" s="9">
        <f>IF(AF1168=1,UPPER(TRIM(IFERROR(INDEX($A1168:$AB1168,MATCH("Client",$A$1:$AB$1,0)),"")&amp;"")),"")</f>
        <v/>
      </c>
      <c r="AI1168" s="9">
        <f>IF(AF1168=1,IFERROR(INDEX($A1168:$AB1168,MATCH("Cost Centre",$A$1:$AB$1,0)),"")&amp;"","")</f>
        <v/>
      </c>
      <c r="AJ1168" s="54">
        <f>IF(AND(AF1168=1,AE1168&gt;=set_FYStart,AE1168&lt;=set_AsAt),1,0)</f>
        <v/>
      </c>
      <c r="AK1168" s="54">
        <f>IF(AND(AJ1168=1,AH1168&lt;&gt;"",COUNTIFS($AH$2:AH1168,AH1168,$AJ$2:AJ1168,1)=1),N(AL1167)+1,"")</f>
        <v/>
      </c>
      <c r="AL1168" s="54">
        <f>IF(AK1168&lt;&gt;"",AK1168,N(AL1167))</f>
        <v/>
      </c>
    </row>
    <row r="1169">
      <c r="A1169" t="inlineStr">
        <is>
          <t>ONS-0390</t>
        </is>
      </c>
      <c r="B1169" t="inlineStr">
        <is>
          <t>Onsite</t>
        </is>
      </c>
      <c r="AB1169" t="n">
        <v>390</v>
      </c>
      <c r="AD1169" s="52">
        <f>IFERROR(N(IFERROR(INDEX($A1169:$AB1169,MATCH("Xero Invoiced Ex GST",$A$1:$AB$1,0)),"")),0)</f>
        <v/>
      </c>
      <c r="AE1169" s="53">
        <f>IFERROR(INDEX($A1169:$AB1169,MATCH("Xero Invoice Date",$A$1:$AB$1,0)),"")</f>
        <v/>
      </c>
      <c r="AF1169" s="54">
        <f>IF(AND(IFERROR(INDEX($A1169:$AB1169,MATCH("Xero Invoice No",$A$1:$AB$1,0)),"")&amp;""&lt;&gt;"",ISNUMBER(AE1169),AD1169&lt;&gt;0),1,0)</f>
        <v/>
      </c>
      <c r="AG1169" s="55">
        <f>IF(AF1169=1,EOMONTH(AE1169,0),"")</f>
        <v/>
      </c>
      <c r="AH1169" s="9">
        <f>IF(AF1169=1,UPPER(TRIM(IFERROR(INDEX($A1169:$AB1169,MATCH("Client",$A$1:$AB$1,0)),"")&amp;"")),"")</f>
        <v/>
      </c>
      <c r="AI1169" s="9">
        <f>IF(AF1169=1,IFERROR(INDEX($A1169:$AB1169,MATCH("Cost Centre",$A$1:$AB$1,0)),"")&amp;"","")</f>
        <v/>
      </c>
      <c r="AJ1169" s="54">
        <f>IF(AND(AF1169=1,AE1169&gt;=set_FYStart,AE1169&lt;=set_AsAt),1,0)</f>
        <v/>
      </c>
      <c r="AK1169" s="54">
        <f>IF(AND(AJ1169=1,AH1169&lt;&gt;"",COUNTIFS($AH$2:AH1169,AH1169,$AJ$2:AJ1169,1)=1),N(AL1168)+1,"")</f>
        <v/>
      </c>
      <c r="AL1169" s="54">
        <f>IF(AK1169&lt;&gt;"",AK1169,N(AL1168))</f>
        <v/>
      </c>
    </row>
    <row r="1170">
      <c r="A1170" t="inlineStr">
        <is>
          <t>PRD-0390</t>
        </is>
      </c>
      <c r="B1170" t="inlineStr">
        <is>
          <t>Production</t>
        </is>
      </c>
      <c r="AB1170" t="n">
        <v>390</v>
      </c>
      <c r="AD1170" s="52">
        <f>IFERROR(N(IFERROR(INDEX($A1170:$AB1170,MATCH("Xero Invoiced Ex GST",$A$1:$AB$1,0)),"")),0)</f>
        <v/>
      </c>
      <c r="AE1170" s="53">
        <f>IFERROR(INDEX($A1170:$AB1170,MATCH("Xero Invoice Date",$A$1:$AB$1,0)),"")</f>
        <v/>
      </c>
      <c r="AF1170" s="54">
        <f>IF(AND(IFERROR(INDEX($A1170:$AB1170,MATCH("Xero Invoice No",$A$1:$AB$1,0)),"")&amp;""&lt;&gt;"",ISNUMBER(AE1170),AD1170&lt;&gt;0),1,0)</f>
        <v/>
      </c>
      <c r="AG1170" s="55">
        <f>IF(AF1170=1,EOMONTH(AE1170,0),"")</f>
        <v/>
      </c>
      <c r="AH1170" s="9">
        <f>IF(AF1170=1,UPPER(TRIM(IFERROR(INDEX($A1170:$AB1170,MATCH("Client",$A$1:$AB$1,0)),"")&amp;"")),"")</f>
        <v/>
      </c>
      <c r="AI1170" s="9">
        <f>IF(AF1170=1,IFERROR(INDEX($A1170:$AB1170,MATCH("Cost Centre",$A$1:$AB$1,0)),"")&amp;"","")</f>
        <v/>
      </c>
      <c r="AJ1170" s="54">
        <f>IF(AND(AF1170=1,AE1170&gt;=set_FYStart,AE1170&lt;=set_AsAt),1,0)</f>
        <v/>
      </c>
      <c r="AK1170" s="54">
        <f>IF(AND(AJ1170=1,AH1170&lt;&gt;"",COUNTIFS($AH$2:AH1170,AH1170,$AJ$2:AJ1170,1)=1),N(AL1169)+1,"")</f>
        <v/>
      </c>
      <c r="AL1170" s="54">
        <f>IF(AK1170&lt;&gt;"",AK1170,N(AL1169))</f>
        <v/>
      </c>
    </row>
    <row r="1171">
      <c r="A1171" t="inlineStr">
        <is>
          <t>CON-0390</t>
        </is>
      </c>
      <c r="B1171" t="inlineStr">
        <is>
          <t>Consulting</t>
        </is>
      </c>
      <c r="AB1171" t="n">
        <v>390</v>
      </c>
      <c r="AD1171" s="52">
        <f>IFERROR(N(IFERROR(INDEX($A1171:$AB1171,MATCH("Xero Invoiced Ex GST",$A$1:$AB$1,0)),"")),0)</f>
        <v/>
      </c>
      <c r="AE1171" s="53">
        <f>IFERROR(INDEX($A1171:$AB1171,MATCH("Xero Invoice Date",$A$1:$AB$1,0)),"")</f>
        <v/>
      </c>
      <c r="AF1171" s="54">
        <f>IF(AND(IFERROR(INDEX($A1171:$AB1171,MATCH("Xero Invoice No",$A$1:$AB$1,0)),"")&amp;""&lt;&gt;"",ISNUMBER(AE1171),AD1171&lt;&gt;0),1,0)</f>
        <v/>
      </c>
      <c r="AG1171" s="55">
        <f>IF(AF1171=1,EOMONTH(AE1171,0),"")</f>
        <v/>
      </c>
      <c r="AH1171" s="9">
        <f>IF(AF1171=1,UPPER(TRIM(IFERROR(INDEX($A1171:$AB1171,MATCH("Client",$A$1:$AB$1,0)),"")&amp;"")),"")</f>
        <v/>
      </c>
      <c r="AI1171" s="9">
        <f>IF(AF1171=1,IFERROR(INDEX($A1171:$AB1171,MATCH("Cost Centre",$A$1:$AB$1,0)),"")&amp;"","")</f>
        <v/>
      </c>
      <c r="AJ1171" s="54">
        <f>IF(AND(AF1171=1,AE1171&gt;=set_FYStart,AE1171&lt;=set_AsAt),1,0)</f>
        <v/>
      </c>
      <c r="AK1171" s="54">
        <f>IF(AND(AJ1171=1,AH1171&lt;&gt;"",COUNTIFS($AH$2:AH1171,AH1171,$AJ$2:AJ1171,1)=1),N(AL1170)+1,"")</f>
        <v/>
      </c>
      <c r="AL1171" s="54">
        <f>IF(AK1171&lt;&gt;"",AK1171,N(AL1170))</f>
        <v/>
      </c>
    </row>
    <row r="1172">
      <c r="A1172" t="inlineStr">
        <is>
          <t>ONS-0391</t>
        </is>
      </c>
      <c r="B1172" t="inlineStr">
        <is>
          <t>Onsite</t>
        </is>
      </c>
      <c r="AB1172" t="n">
        <v>391</v>
      </c>
      <c r="AD1172" s="52">
        <f>IFERROR(N(IFERROR(INDEX($A1172:$AB1172,MATCH("Xero Invoiced Ex GST",$A$1:$AB$1,0)),"")),0)</f>
        <v/>
      </c>
      <c r="AE1172" s="53">
        <f>IFERROR(INDEX($A1172:$AB1172,MATCH("Xero Invoice Date",$A$1:$AB$1,0)),"")</f>
        <v/>
      </c>
      <c r="AF1172" s="54">
        <f>IF(AND(IFERROR(INDEX($A1172:$AB1172,MATCH("Xero Invoice No",$A$1:$AB$1,0)),"")&amp;""&lt;&gt;"",ISNUMBER(AE1172),AD1172&lt;&gt;0),1,0)</f>
        <v/>
      </c>
      <c r="AG1172" s="55">
        <f>IF(AF1172=1,EOMONTH(AE1172,0),"")</f>
        <v/>
      </c>
      <c r="AH1172" s="9">
        <f>IF(AF1172=1,UPPER(TRIM(IFERROR(INDEX($A1172:$AB1172,MATCH("Client",$A$1:$AB$1,0)),"")&amp;"")),"")</f>
        <v/>
      </c>
      <c r="AI1172" s="9">
        <f>IF(AF1172=1,IFERROR(INDEX($A1172:$AB1172,MATCH("Cost Centre",$A$1:$AB$1,0)),"")&amp;"","")</f>
        <v/>
      </c>
      <c r="AJ1172" s="54">
        <f>IF(AND(AF1172=1,AE1172&gt;=set_FYStart,AE1172&lt;=set_AsAt),1,0)</f>
        <v/>
      </c>
      <c r="AK1172" s="54">
        <f>IF(AND(AJ1172=1,AH1172&lt;&gt;"",COUNTIFS($AH$2:AH1172,AH1172,$AJ$2:AJ1172,1)=1),N(AL1171)+1,"")</f>
        <v/>
      </c>
      <c r="AL1172" s="54">
        <f>IF(AK1172&lt;&gt;"",AK1172,N(AL1171))</f>
        <v/>
      </c>
    </row>
    <row r="1173">
      <c r="A1173" t="inlineStr">
        <is>
          <t>PRD-0391</t>
        </is>
      </c>
      <c r="B1173" t="inlineStr">
        <is>
          <t>Production</t>
        </is>
      </c>
      <c r="AB1173" t="n">
        <v>391</v>
      </c>
      <c r="AD1173" s="52">
        <f>IFERROR(N(IFERROR(INDEX($A1173:$AB1173,MATCH("Xero Invoiced Ex GST",$A$1:$AB$1,0)),"")),0)</f>
        <v/>
      </c>
      <c r="AE1173" s="53">
        <f>IFERROR(INDEX($A1173:$AB1173,MATCH("Xero Invoice Date",$A$1:$AB$1,0)),"")</f>
        <v/>
      </c>
      <c r="AF1173" s="54">
        <f>IF(AND(IFERROR(INDEX($A1173:$AB1173,MATCH("Xero Invoice No",$A$1:$AB$1,0)),"")&amp;""&lt;&gt;"",ISNUMBER(AE1173),AD1173&lt;&gt;0),1,0)</f>
        <v/>
      </c>
      <c r="AG1173" s="55">
        <f>IF(AF1173=1,EOMONTH(AE1173,0),"")</f>
        <v/>
      </c>
      <c r="AH1173" s="9">
        <f>IF(AF1173=1,UPPER(TRIM(IFERROR(INDEX($A1173:$AB1173,MATCH("Client",$A$1:$AB$1,0)),"")&amp;"")),"")</f>
        <v/>
      </c>
      <c r="AI1173" s="9">
        <f>IF(AF1173=1,IFERROR(INDEX($A1173:$AB1173,MATCH("Cost Centre",$A$1:$AB$1,0)),"")&amp;"","")</f>
        <v/>
      </c>
      <c r="AJ1173" s="54">
        <f>IF(AND(AF1173=1,AE1173&gt;=set_FYStart,AE1173&lt;=set_AsAt),1,0)</f>
        <v/>
      </c>
      <c r="AK1173" s="54">
        <f>IF(AND(AJ1173=1,AH1173&lt;&gt;"",COUNTIFS($AH$2:AH1173,AH1173,$AJ$2:AJ1173,1)=1),N(AL1172)+1,"")</f>
        <v/>
      </c>
      <c r="AL1173" s="54">
        <f>IF(AK1173&lt;&gt;"",AK1173,N(AL1172))</f>
        <v/>
      </c>
    </row>
    <row r="1174">
      <c r="A1174" t="inlineStr">
        <is>
          <t>CON-0391</t>
        </is>
      </c>
      <c r="B1174" t="inlineStr">
        <is>
          <t>Consulting</t>
        </is>
      </c>
      <c r="AB1174" t="n">
        <v>391</v>
      </c>
      <c r="AD1174" s="52">
        <f>IFERROR(N(IFERROR(INDEX($A1174:$AB1174,MATCH("Xero Invoiced Ex GST",$A$1:$AB$1,0)),"")),0)</f>
        <v/>
      </c>
      <c r="AE1174" s="53">
        <f>IFERROR(INDEX($A1174:$AB1174,MATCH("Xero Invoice Date",$A$1:$AB$1,0)),"")</f>
        <v/>
      </c>
      <c r="AF1174" s="54">
        <f>IF(AND(IFERROR(INDEX($A1174:$AB1174,MATCH("Xero Invoice No",$A$1:$AB$1,0)),"")&amp;""&lt;&gt;"",ISNUMBER(AE1174),AD1174&lt;&gt;0),1,0)</f>
        <v/>
      </c>
      <c r="AG1174" s="55">
        <f>IF(AF1174=1,EOMONTH(AE1174,0),"")</f>
        <v/>
      </c>
      <c r="AH1174" s="9">
        <f>IF(AF1174=1,UPPER(TRIM(IFERROR(INDEX($A1174:$AB1174,MATCH("Client",$A$1:$AB$1,0)),"")&amp;"")),"")</f>
        <v/>
      </c>
      <c r="AI1174" s="9">
        <f>IF(AF1174=1,IFERROR(INDEX($A1174:$AB1174,MATCH("Cost Centre",$A$1:$AB$1,0)),"")&amp;"","")</f>
        <v/>
      </c>
      <c r="AJ1174" s="54">
        <f>IF(AND(AF1174=1,AE1174&gt;=set_FYStart,AE1174&lt;=set_AsAt),1,0)</f>
        <v/>
      </c>
      <c r="AK1174" s="54">
        <f>IF(AND(AJ1174=1,AH1174&lt;&gt;"",COUNTIFS($AH$2:AH1174,AH1174,$AJ$2:AJ1174,1)=1),N(AL1173)+1,"")</f>
        <v/>
      </c>
      <c r="AL1174" s="54">
        <f>IF(AK1174&lt;&gt;"",AK1174,N(AL1173))</f>
        <v/>
      </c>
    </row>
    <row r="1175">
      <c r="A1175" t="inlineStr">
        <is>
          <t>ONS-0392</t>
        </is>
      </c>
      <c r="B1175" t="inlineStr">
        <is>
          <t>Onsite</t>
        </is>
      </c>
      <c r="AB1175" t="n">
        <v>392</v>
      </c>
      <c r="AD1175" s="52">
        <f>IFERROR(N(IFERROR(INDEX($A1175:$AB1175,MATCH("Xero Invoiced Ex GST",$A$1:$AB$1,0)),"")),0)</f>
        <v/>
      </c>
      <c r="AE1175" s="53">
        <f>IFERROR(INDEX($A1175:$AB1175,MATCH("Xero Invoice Date",$A$1:$AB$1,0)),"")</f>
        <v/>
      </c>
      <c r="AF1175" s="54">
        <f>IF(AND(IFERROR(INDEX($A1175:$AB1175,MATCH("Xero Invoice No",$A$1:$AB$1,0)),"")&amp;""&lt;&gt;"",ISNUMBER(AE1175),AD1175&lt;&gt;0),1,0)</f>
        <v/>
      </c>
      <c r="AG1175" s="55">
        <f>IF(AF1175=1,EOMONTH(AE1175,0),"")</f>
        <v/>
      </c>
      <c r="AH1175" s="9">
        <f>IF(AF1175=1,UPPER(TRIM(IFERROR(INDEX($A1175:$AB1175,MATCH("Client",$A$1:$AB$1,0)),"")&amp;"")),"")</f>
        <v/>
      </c>
      <c r="AI1175" s="9">
        <f>IF(AF1175=1,IFERROR(INDEX($A1175:$AB1175,MATCH("Cost Centre",$A$1:$AB$1,0)),"")&amp;"","")</f>
        <v/>
      </c>
      <c r="AJ1175" s="54">
        <f>IF(AND(AF1175=1,AE1175&gt;=set_FYStart,AE1175&lt;=set_AsAt),1,0)</f>
        <v/>
      </c>
      <c r="AK1175" s="54">
        <f>IF(AND(AJ1175=1,AH1175&lt;&gt;"",COUNTIFS($AH$2:AH1175,AH1175,$AJ$2:AJ1175,1)=1),N(AL1174)+1,"")</f>
        <v/>
      </c>
      <c r="AL1175" s="54">
        <f>IF(AK1175&lt;&gt;"",AK1175,N(AL1174))</f>
        <v/>
      </c>
    </row>
    <row r="1176">
      <c r="A1176" t="inlineStr">
        <is>
          <t>PRD-0392</t>
        </is>
      </c>
      <c r="B1176" t="inlineStr">
        <is>
          <t>Production</t>
        </is>
      </c>
      <c r="AB1176" t="n">
        <v>392</v>
      </c>
      <c r="AD1176" s="52">
        <f>IFERROR(N(IFERROR(INDEX($A1176:$AB1176,MATCH("Xero Invoiced Ex GST",$A$1:$AB$1,0)),"")),0)</f>
        <v/>
      </c>
      <c r="AE1176" s="53">
        <f>IFERROR(INDEX($A1176:$AB1176,MATCH("Xero Invoice Date",$A$1:$AB$1,0)),"")</f>
        <v/>
      </c>
      <c r="AF1176" s="54">
        <f>IF(AND(IFERROR(INDEX($A1176:$AB1176,MATCH("Xero Invoice No",$A$1:$AB$1,0)),"")&amp;""&lt;&gt;"",ISNUMBER(AE1176),AD1176&lt;&gt;0),1,0)</f>
        <v/>
      </c>
      <c r="AG1176" s="55">
        <f>IF(AF1176=1,EOMONTH(AE1176,0),"")</f>
        <v/>
      </c>
      <c r="AH1176" s="9">
        <f>IF(AF1176=1,UPPER(TRIM(IFERROR(INDEX($A1176:$AB1176,MATCH("Client",$A$1:$AB$1,0)),"")&amp;"")),"")</f>
        <v/>
      </c>
      <c r="AI1176" s="9">
        <f>IF(AF1176=1,IFERROR(INDEX($A1176:$AB1176,MATCH("Cost Centre",$A$1:$AB$1,0)),"")&amp;"","")</f>
        <v/>
      </c>
      <c r="AJ1176" s="54">
        <f>IF(AND(AF1176=1,AE1176&gt;=set_FYStart,AE1176&lt;=set_AsAt),1,0)</f>
        <v/>
      </c>
      <c r="AK1176" s="54">
        <f>IF(AND(AJ1176=1,AH1176&lt;&gt;"",COUNTIFS($AH$2:AH1176,AH1176,$AJ$2:AJ1176,1)=1),N(AL1175)+1,"")</f>
        <v/>
      </c>
      <c r="AL1176" s="54">
        <f>IF(AK1176&lt;&gt;"",AK1176,N(AL1175))</f>
        <v/>
      </c>
    </row>
    <row r="1177">
      <c r="A1177" t="inlineStr">
        <is>
          <t>CON-0392</t>
        </is>
      </c>
      <c r="B1177" t="inlineStr">
        <is>
          <t>Consulting</t>
        </is>
      </c>
      <c r="AB1177" t="n">
        <v>392</v>
      </c>
      <c r="AD1177" s="52">
        <f>IFERROR(N(IFERROR(INDEX($A1177:$AB1177,MATCH("Xero Invoiced Ex GST",$A$1:$AB$1,0)),"")),0)</f>
        <v/>
      </c>
      <c r="AE1177" s="53">
        <f>IFERROR(INDEX($A1177:$AB1177,MATCH("Xero Invoice Date",$A$1:$AB$1,0)),"")</f>
        <v/>
      </c>
      <c r="AF1177" s="54">
        <f>IF(AND(IFERROR(INDEX($A1177:$AB1177,MATCH("Xero Invoice No",$A$1:$AB$1,0)),"")&amp;""&lt;&gt;"",ISNUMBER(AE1177),AD1177&lt;&gt;0),1,0)</f>
        <v/>
      </c>
      <c r="AG1177" s="55">
        <f>IF(AF1177=1,EOMONTH(AE1177,0),"")</f>
        <v/>
      </c>
      <c r="AH1177" s="9">
        <f>IF(AF1177=1,UPPER(TRIM(IFERROR(INDEX($A1177:$AB1177,MATCH("Client",$A$1:$AB$1,0)),"")&amp;"")),"")</f>
        <v/>
      </c>
      <c r="AI1177" s="9">
        <f>IF(AF1177=1,IFERROR(INDEX($A1177:$AB1177,MATCH("Cost Centre",$A$1:$AB$1,0)),"")&amp;"","")</f>
        <v/>
      </c>
      <c r="AJ1177" s="54">
        <f>IF(AND(AF1177=1,AE1177&gt;=set_FYStart,AE1177&lt;=set_AsAt),1,0)</f>
        <v/>
      </c>
      <c r="AK1177" s="54">
        <f>IF(AND(AJ1177=1,AH1177&lt;&gt;"",COUNTIFS($AH$2:AH1177,AH1177,$AJ$2:AJ1177,1)=1),N(AL1176)+1,"")</f>
        <v/>
      </c>
      <c r="AL1177" s="54">
        <f>IF(AK1177&lt;&gt;"",AK1177,N(AL1176))</f>
        <v/>
      </c>
    </row>
    <row r="1178">
      <c r="A1178" t="inlineStr">
        <is>
          <t>ONS-0393</t>
        </is>
      </c>
      <c r="B1178" t="inlineStr">
        <is>
          <t>Onsite</t>
        </is>
      </c>
      <c r="AB1178" t="n">
        <v>393</v>
      </c>
      <c r="AD1178" s="52">
        <f>IFERROR(N(IFERROR(INDEX($A1178:$AB1178,MATCH("Xero Invoiced Ex GST",$A$1:$AB$1,0)),"")),0)</f>
        <v/>
      </c>
      <c r="AE1178" s="53">
        <f>IFERROR(INDEX($A1178:$AB1178,MATCH("Xero Invoice Date",$A$1:$AB$1,0)),"")</f>
        <v/>
      </c>
      <c r="AF1178" s="54">
        <f>IF(AND(IFERROR(INDEX($A1178:$AB1178,MATCH("Xero Invoice No",$A$1:$AB$1,0)),"")&amp;""&lt;&gt;"",ISNUMBER(AE1178),AD1178&lt;&gt;0),1,0)</f>
        <v/>
      </c>
      <c r="AG1178" s="55">
        <f>IF(AF1178=1,EOMONTH(AE1178,0),"")</f>
        <v/>
      </c>
      <c r="AH1178" s="9">
        <f>IF(AF1178=1,UPPER(TRIM(IFERROR(INDEX($A1178:$AB1178,MATCH("Client",$A$1:$AB$1,0)),"")&amp;"")),"")</f>
        <v/>
      </c>
      <c r="AI1178" s="9">
        <f>IF(AF1178=1,IFERROR(INDEX($A1178:$AB1178,MATCH("Cost Centre",$A$1:$AB$1,0)),"")&amp;"","")</f>
        <v/>
      </c>
      <c r="AJ1178" s="54">
        <f>IF(AND(AF1178=1,AE1178&gt;=set_FYStart,AE1178&lt;=set_AsAt),1,0)</f>
        <v/>
      </c>
      <c r="AK1178" s="54">
        <f>IF(AND(AJ1178=1,AH1178&lt;&gt;"",COUNTIFS($AH$2:AH1178,AH1178,$AJ$2:AJ1178,1)=1),N(AL1177)+1,"")</f>
        <v/>
      </c>
      <c r="AL1178" s="54">
        <f>IF(AK1178&lt;&gt;"",AK1178,N(AL1177))</f>
        <v/>
      </c>
    </row>
    <row r="1179">
      <c r="A1179" t="inlineStr">
        <is>
          <t>PRD-0393</t>
        </is>
      </c>
      <c r="B1179" t="inlineStr">
        <is>
          <t>Production</t>
        </is>
      </c>
      <c r="AB1179" t="n">
        <v>393</v>
      </c>
      <c r="AD1179" s="52">
        <f>IFERROR(N(IFERROR(INDEX($A1179:$AB1179,MATCH("Xero Invoiced Ex GST",$A$1:$AB$1,0)),"")),0)</f>
        <v/>
      </c>
      <c r="AE1179" s="53">
        <f>IFERROR(INDEX($A1179:$AB1179,MATCH("Xero Invoice Date",$A$1:$AB$1,0)),"")</f>
        <v/>
      </c>
      <c r="AF1179" s="54">
        <f>IF(AND(IFERROR(INDEX($A1179:$AB1179,MATCH("Xero Invoice No",$A$1:$AB$1,0)),"")&amp;""&lt;&gt;"",ISNUMBER(AE1179),AD1179&lt;&gt;0),1,0)</f>
        <v/>
      </c>
      <c r="AG1179" s="55">
        <f>IF(AF1179=1,EOMONTH(AE1179,0),"")</f>
        <v/>
      </c>
      <c r="AH1179" s="9">
        <f>IF(AF1179=1,UPPER(TRIM(IFERROR(INDEX($A1179:$AB1179,MATCH("Client",$A$1:$AB$1,0)),"")&amp;"")),"")</f>
        <v/>
      </c>
      <c r="AI1179" s="9">
        <f>IF(AF1179=1,IFERROR(INDEX($A1179:$AB1179,MATCH("Cost Centre",$A$1:$AB$1,0)),"")&amp;"","")</f>
        <v/>
      </c>
      <c r="AJ1179" s="54">
        <f>IF(AND(AF1179=1,AE1179&gt;=set_FYStart,AE1179&lt;=set_AsAt),1,0)</f>
        <v/>
      </c>
      <c r="AK1179" s="54">
        <f>IF(AND(AJ1179=1,AH1179&lt;&gt;"",COUNTIFS($AH$2:AH1179,AH1179,$AJ$2:AJ1179,1)=1),N(AL1178)+1,"")</f>
        <v/>
      </c>
      <c r="AL1179" s="54">
        <f>IF(AK1179&lt;&gt;"",AK1179,N(AL1178))</f>
        <v/>
      </c>
    </row>
    <row r="1180">
      <c r="A1180" t="inlineStr">
        <is>
          <t>CON-0393</t>
        </is>
      </c>
      <c r="B1180" t="inlineStr">
        <is>
          <t>Consulting</t>
        </is>
      </c>
      <c r="AB1180" t="n">
        <v>393</v>
      </c>
      <c r="AD1180" s="52">
        <f>IFERROR(N(IFERROR(INDEX($A1180:$AB1180,MATCH("Xero Invoiced Ex GST",$A$1:$AB$1,0)),"")),0)</f>
        <v/>
      </c>
      <c r="AE1180" s="53">
        <f>IFERROR(INDEX($A1180:$AB1180,MATCH("Xero Invoice Date",$A$1:$AB$1,0)),"")</f>
        <v/>
      </c>
      <c r="AF1180" s="54">
        <f>IF(AND(IFERROR(INDEX($A1180:$AB1180,MATCH("Xero Invoice No",$A$1:$AB$1,0)),"")&amp;""&lt;&gt;"",ISNUMBER(AE1180),AD1180&lt;&gt;0),1,0)</f>
        <v/>
      </c>
      <c r="AG1180" s="55">
        <f>IF(AF1180=1,EOMONTH(AE1180,0),"")</f>
        <v/>
      </c>
      <c r="AH1180" s="9">
        <f>IF(AF1180=1,UPPER(TRIM(IFERROR(INDEX($A1180:$AB1180,MATCH("Client",$A$1:$AB$1,0)),"")&amp;"")),"")</f>
        <v/>
      </c>
      <c r="AI1180" s="9">
        <f>IF(AF1180=1,IFERROR(INDEX($A1180:$AB1180,MATCH("Cost Centre",$A$1:$AB$1,0)),"")&amp;"","")</f>
        <v/>
      </c>
      <c r="AJ1180" s="54">
        <f>IF(AND(AF1180=1,AE1180&gt;=set_FYStart,AE1180&lt;=set_AsAt),1,0)</f>
        <v/>
      </c>
      <c r="AK1180" s="54">
        <f>IF(AND(AJ1180=1,AH1180&lt;&gt;"",COUNTIFS($AH$2:AH1180,AH1180,$AJ$2:AJ1180,1)=1),N(AL1179)+1,"")</f>
        <v/>
      </c>
      <c r="AL1180" s="54">
        <f>IF(AK1180&lt;&gt;"",AK1180,N(AL1179))</f>
        <v/>
      </c>
    </row>
    <row r="1181">
      <c r="A1181" t="inlineStr">
        <is>
          <t>ONS-0394</t>
        </is>
      </c>
      <c r="B1181" t="inlineStr">
        <is>
          <t>Onsite</t>
        </is>
      </c>
      <c r="AB1181" t="n">
        <v>394</v>
      </c>
      <c r="AD1181" s="52">
        <f>IFERROR(N(IFERROR(INDEX($A1181:$AB1181,MATCH("Xero Invoiced Ex GST",$A$1:$AB$1,0)),"")),0)</f>
        <v/>
      </c>
      <c r="AE1181" s="53">
        <f>IFERROR(INDEX($A1181:$AB1181,MATCH("Xero Invoice Date",$A$1:$AB$1,0)),"")</f>
        <v/>
      </c>
      <c r="AF1181" s="54">
        <f>IF(AND(IFERROR(INDEX($A1181:$AB1181,MATCH("Xero Invoice No",$A$1:$AB$1,0)),"")&amp;""&lt;&gt;"",ISNUMBER(AE1181),AD1181&lt;&gt;0),1,0)</f>
        <v/>
      </c>
      <c r="AG1181" s="55">
        <f>IF(AF1181=1,EOMONTH(AE1181,0),"")</f>
        <v/>
      </c>
      <c r="AH1181" s="9">
        <f>IF(AF1181=1,UPPER(TRIM(IFERROR(INDEX($A1181:$AB1181,MATCH("Client",$A$1:$AB$1,0)),"")&amp;"")),"")</f>
        <v/>
      </c>
      <c r="AI1181" s="9">
        <f>IF(AF1181=1,IFERROR(INDEX($A1181:$AB1181,MATCH("Cost Centre",$A$1:$AB$1,0)),"")&amp;"","")</f>
        <v/>
      </c>
      <c r="AJ1181" s="54">
        <f>IF(AND(AF1181=1,AE1181&gt;=set_FYStart,AE1181&lt;=set_AsAt),1,0)</f>
        <v/>
      </c>
      <c r="AK1181" s="54">
        <f>IF(AND(AJ1181=1,AH1181&lt;&gt;"",COUNTIFS($AH$2:AH1181,AH1181,$AJ$2:AJ1181,1)=1),N(AL1180)+1,"")</f>
        <v/>
      </c>
      <c r="AL1181" s="54">
        <f>IF(AK1181&lt;&gt;"",AK1181,N(AL1180))</f>
        <v/>
      </c>
    </row>
    <row r="1182">
      <c r="A1182" t="inlineStr">
        <is>
          <t>PRD-0394</t>
        </is>
      </c>
      <c r="B1182" t="inlineStr">
        <is>
          <t>Production</t>
        </is>
      </c>
      <c r="AB1182" t="n">
        <v>394</v>
      </c>
      <c r="AD1182" s="52">
        <f>IFERROR(N(IFERROR(INDEX($A1182:$AB1182,MATCH("Xero Invoiced Ex GST",$A$1:$AB$1,0)),"")),0)</f>
        <v/>
      </c>
      <c r="AE1182" s="53">
        <f>IFERROR(INDEX($A1182:$AB1182,MATCH("Xero Invoice Date",$A$1:$AB$1,0)),"")</f>
        <v/>
      </c>
      <c r="AF1182" s="54">
        <f>IF(AND(IFERROR(INDEX($A1182:$AB1182,MATCH("Xero Invoice No",$A$1:$AB$1,0)),"")&amp;""&lt;&gt;"",ISNUMBER(AE1182),AD1182&lt;&gt;0),1,0)</f>
        <v/>
      </c>
      <c r="AG1182" s="55">
        <f>IF(AF1182=1,EOMONTH(AE1182,0),"")</f>
        <v/>
      </c>
      <c r="AH1182" s="9">
        <f>IF(AF1182=1,UPPER(TRIM(IFERROR(INDEX($A1182:$AB1182,MATCH("Client",$A$1:$AB$1,0)),"")&amp;"")),"")</f>
        <v/>
      </c>
      <c r="AI1182" s="9">
        <f>IF(AF1182=1,IFERROR(INDEX($A1182:$AB1182,MATCH("Cost Centre",$A$1:$AB$1,0)),"")&amp;"","")</f>
        <v/>
      </c>
      <c r="AJ1182" s="54">
        <f>IF(AND(AF1182=1,AE1182&gt;=set_FYStart,AE1182&lt;=set_AsAt),1,0)</f>
        <v/>
      </c>
      <c r="AK1182" s="54">
        <f>IF(AND(AJ1182=1,AH1182&lt;&gt;"",COUNTIFS($AH$2:AH1182,AH1182,$AJ$2:AJ1182,1)=1),N(AL1181)+1,"")</f>
        <v/>
      </c>
      <c r="AL1182" s="54">
        <f>IF(AK1182&lt;&gt;"",AK1182,N(AL1181))</f>
        <v/>
      </c>
    </row>
    <row r="1183">
      <c r="A1183" t="inlineStr">
        <is>
          <t>CON-0394</t>
        </is>
      </c>
      <c r="B1183" t="inlineStr">
        <is>
          <t>Consulting</t>
        </is>
      </c>
      <c r="AB1183" t="n">
        <v>394</v>
      </c>
      <c r="AD1183" s="52">
        <f>IFERROR(N(IFERROR(INDEX($A1183:$AB1183,MATCH("Xero Invoiced Ex GST",$A$1:$AB$1,0)),"")),0)</f>
        <v/>
      </c>
      <c r="AE1183" s="53">
        <f>IFERROR(INDEX($A1183:$AB1183,MATCH("Xero Invoice Date",$A$1:$AB$1,0)),"")</f>
        <v/>
      </c>
      <c r="AF1183" s="54">
        <f>IF(AND(IFERROR(INDEX($A1183:$AB1183,MATCH("Xero Invoice No",$A$1:$AB$1,0)),"")&amp;""&lt;&gt;"",ISNUMBER(AE1183),AD1183&lt;&gt;0),1,0)</f>
        <v/>
      </c>
      <c r="AG1183" s="55">
        <f>IF(AF1183=1,EOMONTH(AE1183,0),"")</f>
        <v/>
      </c>
      <c r="AH1183" s="9">
        <f>IF(AF1183=1,UPPER(TRIM(IFERROR(INDEX($A1183:$AB1183,MATCH("Client",$A$1:$AB$1,0)),"")&amp;"")),"")</f>
        <v/>
      </c>
      <c r="AI1183" s="9">
        <f>IF(AF1183=1,IFERROR(INDEX($A1183:$AB1183,MATCH("Cost Centre",$A$1:$AB$1,0)),"")&amp;"","")</f>
        <v/>
      </c>
      <c r="AJ1183" s="54">
        <f>IF(AND(AF1183=1,AE1183&gt;=set_FYStart,AE1183&lt;=set_AsAt),1,0)</f>
        <v/>
      </c>
      <c r="AK1183" s="54">
        <f>IF(AND(AJ1183=1,AH1183&lt;&gt;"",COUNTIFS($AH$2:AH1183,AH1183,$AJ$2:AJ1183,1)=1),N(AL1182)+1,"")</f>
        <v/>
      </c>
      <c r="AL1183" s="54">
        <f>IF(AK1183&lt;&gt;"",AK1183,N(AL1182))</f>
        <v/>
      </c>
    </row>
    <row r="1184">
      <c r="A1184" t="inlineStr">
        <is>
          <t>ONS-0395</t>
        </is>
      </c>
      <c r="B1184" t="inlineStr">
        <is>
          <t>Onsite</t>
        </is>
      </c>
      <c r="AB1184" t="n">
        <v>395</v>
      </c>
      <c r="AD1184" s="52">
        <f>IFERROR(N(IFERROR(INDEX($A1184:$AB1184,MATCH("Xero Invoiced Ex GST",$A$1:$AB$1,0)),"")),0)</f>
        <v/>
      </c>
      <c r="AE1184" s="53">
        <f>IFERROR(INDEX($A1184:$AB1184,MATCH("Xero Invoice Date",$A$1:$AB$1,0)),"")</f>
        <v/>
      </c>
      <c r="AF1184" s="54">
        <f>IF(AND(IFERROR(INDEX($A1184:$AB1184,MATCH("Xero Invoice No",$A$1:$AB$1,0)),"")&amp;""&lt;&gt;"",ISNUMBER(AE1184),AD1184&lt;&gt;0),1,0)</f>
        <v/>
      </c>
      <c r="AG1184" s="55">
        <f>IF(AF1184=1,EOMONTH(AE1184,0),"")</f>
        <v/>
      </c>
      <c r="AH1184" s="9">
        <f>IF(AF1184=1,UPPER(TRIM(IFERROR(INDEX($A1184:$AB1184,MATCH("Client",$A$1:$AB$1,0)),"")&amp;"")),"")</f>
        <v/>
      </c>
      <c r="AI1184" s="9">
        <f>IF(AF1184=1,IFERROR(INDEX($A1184:$AB1184,MATCH("Cost Centre",$A$1:$AB$1,0)),"")&amp;"","")</f>
        <v/>
      </c>
      <c r="AJ1184" s="54">
        <f>IF(AND(AF1184=1,AE1184&gt;=set_FYStart,AE1184&lt;=set_AsAt),1,0)</f>
        <v/>
      </c>
      <c r="AK1184" s="54">
        <f>IF(AND(AJ1184=1,AH1184&lt;&gt;"",COUNTIFS($AH$2:AH1184,AH1184,$AJ$2:AJ1184,1)=1),N(AL1183)+1,"")</f>
        <v/>
      </c>
      <c r="AL1184" s="54">
        <f>IF(AK1184&lt;&gt;"",AK1184,N(AL1183))</f>
        <v/>
      </c>
    </row>
    <row r="1185">
      <c r="A1185" t="inlineStr">
        <is>
          <t>PRD-0395</t>
        </is>
      </c>
      <c r="B1185" t="inlineStr">
        <is>
          <t>Production</t>
        </is>
      </c>
      <c r="AB1185" t="n">
        <v>395</v>
      </c>
      <c r="AD1185" s="52">
        <f>IFERROR(N(IFERROR(INDEX($A1185:$AB1185,MATCH("Xero Invoiced Ex GST",$A$1:$AB$1,0)),"")),0)</f>
        <v/>
      </c>
      <c r="AE1185" s="53">
        <f>IFERROR(INDEX($A1185:$AB1185,MATCH("Xero Invoice Date",$A$1:$AB$1,0)),"")</f>
        <v/>
      </c>
      <c r="AF1185" s="54">
        <f>IF(AND(IFERROR(INDEX($A1185:$AB1185,MATCH("Xero Invoice No",$A$1:$AB$1,0)),"")&amp;""&lt;&gt;"",ISNUMBER(AE1185),AD1185&lt;&gt;0),1,0)</f>
        <v/>
      </c>
      <c r="AG1185" s="55">
        <f>IF(AF1185=1,EOMONTH(AE1185,0),"")</f>
        <v/>
      </c>
      <c r="AH1185" s="9">
        <f>IF(AF1185=1,UPPER(TRIM(IFERROR(INDEX($A1185:$AB1185,MATCH("Client",$A$1:$AB$1,0)),"")&amp;"")),"")</f>
        <v/>
      </c>
      <c r="AI1185" s="9">
        <f>IF(AF1185=1,IFERROR(INDEX($A1185:$AB1185,MATCH("Cost Centre",$A$1:$AB$1,0)),"")&amp;"","")</f>
        <v/>
      </c>
      <c r="AJ1185" s="54">
        <f>IF(AND(AF1185=1,AE1185&gt;=set_FYStart,AE1185&lt;=set_AsAt),1,0)</f>
        <v/>
      </c>
      <c r="AK1185" s="54">
        <f>IF(AND(AJ1185=1,AH1185&lt;&gt;"",COUNTIFS($AH$2:AH1185,AH1185,$AJ$2:AJ1185,1)=1),N(AL1184)+1,"")</f>
        <v/>
      </c>
      <c r="AL1185" s="54">
        <f>IF(AK1185&lt;&gt;"",AK1185,N(AL1184))</f>
        <v/>
      </c>
    </row>
    <row r="1186">
      <c r="A1186" t="inlineStr">
        <is>
          <t>CON-0395</t>
        </is>
      </c>
      <c r="B1186" t="inlineStr">
        <is>
          <t>Consulting</t>
        </is>
      </c>
      <c r="AB1186" t="n">
        <v>395</v>
      </c>
      <c r="AD1186" s="52">
        <f>IFERROR(N(IFERROR(INDEX($A1186:$AB1186,MATCH("Xero Invoiced Ex GST",$A$1:$AB$1,0)),"")),0)</f>
        <v/>
      </c>
      <c r="AE1186" s="53">
        <f>IFERROR(INDEX($A1186:$AB1186,MATCH("Xero Invoice Date",$A$1:$AB$1,0)),"")</f>
        <v/>
      </c>
      <c r="AF1186" s="54">
        <f>IF(AND(IFERROR(INDEX($A1186:$AB1186,MATCH("Xero Invoice No",$A$1:$AB$1,0)),"")&amp;""&lt;&gt;"",ISNUMBER(AE1186),AD1186&lt;&gt;0),1,0)</f>
        <v/>
      </c>
      <c r="AG1186" s="55">
        <f>IF(AF1186=1,EOMONTH(AE1186,0),"")</f>
        <v/>
      </c>
      <c r="AH1186" s="9">
        <f>IF(AF1186=1,UPPER(TRIM(IFERROR(INDEX($A1186:$AB1186,MATCH("Client",$A$1:$AB$1,0)),"")&amp;"")),"")</f>
        <v/>
      </c>
      <c r="AI1186" s="9">
        <f>IF(AF1186=1,IFERROR(INDEX($A1186:$AB1186,MATCH("Cost Centre",$A$1:$AB$1,0)),"")&amp;"","")</f>
        <v/>
      </c>
      <c r="AJ1186" s="54">
        <f>IF(AND(AF1186=1,AE1186&gt;=set_FYStart,AE1186&lt;=set_AsAt),1,0)</f>
        <v/>
      </c>
      <c r="AK1186" s="54">
        <f>IF(AND(AJ1186=1,AH1186&lt;&gt;"",COUNTIFS($AH$2:AH1186,AH1186,$AJ$2:AJ1186,1)=1),N(AL1185)+1,"")</f>
        <v/>
      </c>
      <c r="AL1186" s="54">
        <f>IF(AK1186&lt;&gt;"",AK1186,N(AL1185))</f>
        <v/>
      </c>
    </row>
    <row r="1187">
      <c r="A1187" t="inlineStr">
        <is>
          <t>ONS-0396</t>
        </is>
      </c>
      <c r="B1187" t="inlineStr">
        <is>
          <t>Onsite</t>
        </is>
      </c>
      <c r="AB1187" t="n">
        <v>396</v>
      </c>
      <c r="AD1187" s="52">
        <f>IFERROR(N(IFERROR(INDEX($A1187:$AB1187,MATCH("Xero Invoiced Ex GST",$A$1:$AB$1,0)),"")),0)</f>
        <v/>
      </c>
      <c r="AE1187" s="53">
        <f>IFERROR(INDEX($A1187:$AB1187,MATCH("Xero Invoice Date",$A$1:$AB$1,0)),"")</f>
        <v/>
      </c>
      <c r="AF1187" s="54">
        <f>IF(AND(IFERROR(INDEX($A1187:$AB1187,MATCH("Xero Invoice No",$A$1:$AB$1,0)),"")&amp;""&lt;&gt;"",ISNUMBER(AE1187),AD1187&lt;&gt;0),1,0)</f>
        <v/>
      </c>
      <c r="AG1187" s="55">
        <f>IF(AF1187=1,EOMONTH(AE1187,0),"")</f>
        <v/>
      </c>
      <c r="AH1187" s="9">
        <f>IF(AF1187=1,UPPER(TRIM(IFERROR(INDEX($A1187:$AB1187,MATCH("Client",$A$1:$AB$1,0)),"")&amp;"")),"")</f>
        <v/>
      </c>
      <c r="AI1187" s="9">
        <f>IF(AF1187=1,IFERROR(INDEX($A1187:$AB1187,MATCH("Cost Centre",$A$1:$AB$1,0)),"")&amp;"","")</f>
        <v/>
      </c>
      <c r="AJ1187" s="54">
        <f>IF(AND(AF1187=1,AE1187&gt;=set_FYStart,AE1187&lt;=set_AsAt),1,0)</f>
        <v/>
      </c>
      <c r="AK1187" s="54">
        <f>IF(AND(AJ1187=1,AH1187&lt;&gt;"",COUNTIFS($AH$2:AH1187,AH1187,$AJ$2:AJ1187,1)=1),N(AL1186)+1,"")</f>
        <v/>
      </c>
      <c r="AL1187" s="54">
        <f>IF(AK1187&lt;&gt;"",AK1187,N(AL1186))</f>
        <v/>
      </c>
    </row>
    <row r="1188">
      <c r="A1188" t="inlineStr">
        <is>
          <t>PRD-0396</t>
        </is>
      </c>
      <c r="B1188" t="inlineStr">
        <is>
          <t>Production</t>
        </is>
      </c>
      <c r="AB1188" t="n">
        <v>396</v>
      </c>
      <c r="AD1188" s="52">
        <f>IFERROR(N(IFERROR(INDEX($A1188:$AB1188,MATCH("Xero Invoiced Ex GST",$A$1:$AB$1,0)),"")),0)</f>
        <v/>
      </c>
      <c r="AE1188" s="53">
        <f>IFERROR(INDEX($A1188:$AB1188,MATCH("Xero Invoice Date",$A$1:$AB$1,0)),"")</f>
        <v/>
      </c>
      <c r="AF1188" s="54">
        <f>IF(AND(IFERROR(INDEX($A1188:$AB1188,MATCH("Xero Invoice No",$A$1:$AB$1,0)),"")&amp;""&lt;&gt;"",ISNUMBER(AE1188),AD1188&lt;&gt;0),1,0)</f>
        <v/>
      </c>
      <c r="AG1188" s="55">
        <f>IF(AF1188=1,EOMONTH(AE1188,0),"")</f>
        <v/>
      </c>
      <c r="AH1188" s="9">
        <f>IF(AF1188=1,UPPER(TRIM(IFERROR(INDEX($A1188:$AB1188,MATCH("Client",$A$1:$AB$1,0)),"")&amp;"")),"")</f>
        <v/>
      </c>
      <c r="AI1188" s="9">
        <f>IF(AF1188=1,IFERROR(INDEX($A1188:$AB1188,MATCH("Cost Centre",$A$1:$AB$1,0)),"")&amp;"","")</f>
        <v/>
      </c>
      <c r="AJ1188" s="54">
        <f>IF(AND(AF1188=1,AE1188&gt;=set_FYStart,AE1188&lt;=set_AsAt),1,0)</f>
        <v/>
      </c>
      <c r="AK1188" s="54">
        <f>IF(AND(AJ1188=1,AH1188&lt;&gt;"",COUNTIFS($AH$2:AH1188,AH1188,$AJ$2:AJ1188,1)=1),N(AL1187)+1,"")</f>
        <v/>
      </c>
      <c r="AL1188" s="54">
        <f>IF(AK1188&lt;&gt;"",AK1188,N(AL1187))</f>
        <v/>
      </c>
    </row>
    <row r="1189">
      <c r="A1189" t="inlineStr">
        <is>
          <t>CON-0396</t>
        </is>
      </c>
      <c r="B1189" t="inlineStr">
        <is>
          <t>Consulting</t>
        </is>
      </c>
      <c r="AB1189" t="n">
        <v>396</v>
      </c>
      <c r="AD1189" s="52">
        <f>IFERROR(N(IFERROR(INDEX($A1189:$AB1189,MATCH("Xero Invoiced Ex GST",$A$1:$AB$1,0)),"")),0)</f>
        <v/>
      </c>
      <c r="AE1189" s="53">
        <f>IFERROR(INDEX($A1189:$AB1189,MATCH("Xero Invoice Date",$A$1:$AB$1,0)),"")</f>
        <v/>
      </c>
      <c r="AF1189" s="54">
        <f>IF(AND(IFERROR(INDEX($A1189:$AB1189,MATCH("Xero Invoice No",$A$1:$AB$1,0)),"")&amp;""&lt;&gt;"",ISNUMBER(AE1189),AD1189&lt;&gt;0),1,0)</f>
        <v/>
      </c>
      <c r="AG1189" s="55">
        <f>IF(AF1189=1,EOMONTH(AE1189,0),"")</f>
        <v/>
      </c>
      <c r="AH1189" s="9">
        <f>IF(AF1189=1,UPPER(TRIM(IFERROR(INDEX($A1189:$AB1189,MATCH("Client",$A$1:$AB$1,0)),"")&amp;"")),"")</f>
        <v/>
      </c>
      <c r="AI1189" s="9">
        <f>IF(AF1189=1,IFERROR(INDEX($A1189:$AB1189,MATCH("Cost Centre",$A$1:$AB$1,0)),"")&amp;"","")</f>
        <v/>
      </c>
      <c r="AJ1189" s="54">
        <f>IF(AND(AF1189=1,AE1189&gt;=set_FYStart,AE1189&lt;=set_AsAt),1,0)</f>
        <v/>
      </c>
      <c r="AK1189" s="54">
        <f>IF(AND(AJ1189=1,AH1189&lt;&gt;"",COUNTIFS($AH$2:AH1189,AH1189,$AJ$2:AJ1189,1)=1),N(AL1188)+1,"")</f>
        <v/>
      </c>
      <c r="AL1189" s="54">
        <f>IF(AK1189&lt;&gt;"",AK1189,N(AL1188))</f>
        <v/>
      </c>
    </row>
    <row r="1190">
      <c r="A1190" t="inlineStr">
        <is>
          <t>ONS-0397</t>
        </is>
      </c>
      <c r="B1190" t="inlineStr">
        <is>
          <t>Onsite</t>
        </is>
      </c>
      <c r="AB1190" t="n">
        <v>397</v>
      </c>
      <c r="AD1190" s="52">
        <f>IFERROR(N(IFERROR(INDEX($A1190:$AB1190,MATCH("Xero Invoiced Ex GST",$A$1:$AB$1,0)),"")),0)</f>
        <v/>
      </c>
      <c r="AE1190" s="53">
        <f>IFERROR(INDEX($A1190:$AB1190,MATCH("Xero Invoice Date",$A$1:$AB$1,0)),"")</f>
        <v/>
      </c>
      <c r="AF1190" s="54">
        <f>IF(AND(IFERROR(INDEX($A1190:$AB1190,MATCH("Xero Invoice No",$A$1:$AB$1,0)),"")&amp;""&lt;&gt;"",ISNUMBER(AE1190),AD1190&lt;&gt;0),1,0)</f>
        <v/>
      </c>
      <c r="AG1190" s="55">
        <f>IF(AF1190=1,EOMONTH(AE1190,0),"")</f>
        <v/>
      </c>
      <c r="AH1190" s="9">
        <f>IF(AF1190=1,UPPER(TRIM(IFERROR(INDEX($A1190:$AB1190,MATCH("Client",$A$1:$AB$1,0)),"")&amp;"")),"")</f>
        <v/>
      </c>
      <c r="AI1190" s="9">
        <f>IF(AF1190=1,IFERROR(INDEX($A1190:$AB1190,MATCH("Cost Centre",$A$1:$AB$1,0)),"")&amp;"","")</f>
        <v/>
      </c>
      <c r="AJ1190" s="54">
        <f>IF(AND(AF1190=1,AE1190&gt;=set_FYStart,AE1190&lt;=set_AsAt),1,0)</f>
        <v/>
      </c>
      <c r="AK1190" s="54">
        <f>IF(AND(AJ1190=1,AH1190&lt;&gt;"",COUNTIFS($AH$2:AH1190,AH1190,$AJ$2:AJ1190,1)=1),N(AL1189)+1,"")</f>
        <v/>
      </c>
      <c r="AL1190" s="54">
        <f>IF(AK1190&lt;&gt;"",AK1190,N(AL1189))</f>
        <v/>
      </c>
    </row>
    <row r="1191">
      <c r="A1191" t="inlineStr">
        <is>
          <t>PRD-0397</t>
        </is>
      </c>
      <c r="B1191" t="inlineStr">
        <is>
          <t>Production</t>
        </is>
      </c>
      <c r="AB1191" t="n">
        <v>397</v>
      </c>
      <c r="AD1191" s="52">
        <f>IFERROR(N(IFERROR(INDEX($A1191:$AB1191,MATCH("Xero Invoiced Ex GST",$A$1:$AB$1,0)),"")),0)</f>
        <v/>
      </c>
      <c r="AE1191" s="53">
        <f>IFERROR(INDEX($A1191:$AB1191,MATCH("Xero Invoice Date",$A$1:$AB$1,0)),"")</f>
        <v/>
      </c>
      <c r="AF1191" s="54">
        <f>IF(AND(IFERROR(INDEX($A1191:$AB1191,MATCH("Xero Invoice No",$A$1:$AB$1,0)),"")&amp;""&lt;&gt;"",ISNUMBER(AE1191),AD1191&lt;&gt;0),1,0)</f>
        <v/>
      </c>
      <c r="AG1191" s="55">
        <f>IF(AF1191=1,EOMONTH(AE1191,0),"")</f>
        <v/>
      </c>
      <c r="AH1191" s="9">
        <f>IF(AF1191=1,UPPER(TRIM(IFERROR(INDEX($A1191:$AB1191,MATCH("Client",$A$1:$AB$1,0)),"")&amp;"")),"")</f>
        <v/>
      </c>
      <c r="AI1191" s="9">
        <f>IF(AF1191=1,IFERROR(INDEX($A1191:$AB1191,MATCH("Cost Centre",$A$1:$AB$1,0)),"")&amp;"","")</f>
        <v/>
      </c>
      <c r="AJ1191" s="54">
        <f>IF(AND(AF1191=1,AE1191&gt;=set_FYStart,AE1191&lt;=set_AsAt),1,0)</f>
        <v/>
      </c>
      <c r="AK1191" s="54">
        <f>IF(AND(AJ1191=1,AH1191&lt;&gt;"",COUNTIFS($AH$2:AH1191,AH1191,$AJ$2:AJ1191,1)=1),N(AL1190)+1,"")</f>
        <v/>
      </c>
      <c r="AL1191" s="54">
        <f>IF(AK1191&lt;&gt;"",AK1191,N(AL1190))</f>
        <v/>
      </c>
    </row>
    <row r="1192">
      <c r="A1192" t="inlineStr">
        <is>
          <t>CON-0397</t>
        </is>
      </c>
      <c r="B1192" t="inlineStr">
        <is>
          <t>Consulting</t>
        </is>
      </c>
      <c r="AB1192" t="n">
        <v>397</v>
      </c>
      <c r="AD1192" s="52">
        <f>IFERROR(N(IFERROR(INDEX($A1192:$AB1192,MATCH("Xero Invoiced Ex GST",$A$1:$AB$1,0)),"")),0)</f>
        <v/>
      </c>
      <c r="AE1192" s="53">
        <f>IFERROR(INDEX($A1192:$AB1192,MATCH("Xero Invoice Date",$A$1:$AB$1,0)),"")</f>
        <v/>
      </c>
      <c r="AF1192" s="54">
        <f>IF(AND(IFERROR(INDEX($A1192:$AB1192,MATCH("Xero Invoice No",$A$1:$AB$1,0)),"")&amp;""&lt;&gt;"",ISNUMBER(AE1192),AD1192&lt;&gt;0),1,0)</f>
        <v/>
      </c>
      <c r="AG1192" s="55">
        <f>IF(AF1192=1,EOMONTH(AE1192,0),"")</f>
        <v/>
      </c>
      <c r="AH1192" s="9">
        <f>IF(AF1192=1,UPPER(TRIM(IFERROR(INDEX($A1192:$AB1192,MATCH("Client",$A$1:$AB$1,0)),"")&amp;"")),"")</f>
        <v/>
      </c>
      <c r="AI1192" s="9">
        <f>IF(AF1192=1,IFERROR(INDEX($A1192:$AB1192,MATCH("Cost Centre",$A$1:$AB$1,0)),"")&amp;"","")</f>
        <v/>
      </c>
      <c r="AJ1192" s="54">
        <f>IF(AND(AF1192=1,AE1192&gt;=set_FYStart,AE1192&lt;=set_AsAt),1,0)</f>
        <v/>
      </c>
      <c r="AK1192" s="54">
        <f>IF(AND(AJ1192=1,AH1192&lt;&gt;"",COUNTIFS($AH$2:AH1192,AH1192,$AJ$2:AJ1192,1)=1),N(AL1191)+1,"")</f>
        <v/>
      </c>
      <c r="AL1192" s="54">
        <f>IF(AK1192&lt;&gt;"",AK1192,N(AL1191))</f>
        <v/>
      </c>
    </row>
    <row r="1193">
      <c r="A1193" t="inlineStr">
        <is>
          <t>ONS-0398</t>
        </is>
      </c>
      <c r="B1193" t="inlineStr">
        <is>
          <t>Onsite</t>
        </is>
      </c>
      <c r="AB1193" t="n">
        <v>398</v>
      </c>
      <c r="AD1193" s="52">
        <f>IFERROR(N(IFERROR(INDEX($A1193:$AB1193,MATCH("Xero Invoiced Ex GST",$A$1:$AB$1,0)),"")),0)</f>
        <v/>
      </c>
      <c r="AE1193" s="53">
        <f>IFERROR(INDEX($A1193:$AB1193,MATCH("Xero Invoice Date",$A$1:$AB$1,0)),"")</f>
        <v/>
      </c>
      <c r="AF1193" s="54">
        <f>IF(AND(IFERROR(INDEX($A1193:$AB1193,MATCH("Xero Invoice No",$A$1:$AB$1,0)),"")&amp;""&lt;&gt;"",ISNUMBER(AE1193),AD1193&lt;&gt;0),1,0)</f>
        <v/>
      </c>
      <c r="AG1193" s="55">
        <f>IF(AF1193=1,EOMONTH(AE1193,0),"")</f>
        <v/>
      </c>
      <c r="AH1193" s="9">
        <f>IF(AF1193=1,UPPER(TRIM(IFERROR(INDEX($A1193:$AB1193,MATCH("Client",$A$1:$AB$1,0)),"")&amp;"")),"")</f>
        <v/>
      </c>
      <c r="AI1193" s="9">
        <f>IF(AF1193=1,IFERROR(INDEX($A1193:$AB1193,MATCH("Cost Centre",$A$1:$AB$1,0)),"")&amp;"","")</f>
        <v/>
      </c>
      <c r="AJ1193" s="54">
        <f>IF(AND(AF1193=1,AE1193&gt;=set_FYStart,AE1193&lt;=set_AsAt),1,0)</f>
        <v/>
      </c>
      <c r="AK1193" s="54">
        <f>IF(AND(AJ1193=1,AH1193&lt;&gt;"",COUNTIFS($AH$2:AH1193,AH1193,$AJ$2:AJ1193,1)=1),N(AL1192)+1,"")</f>
        <v/>
      </c>
      <c r="AL1193" s="54">
        <f>IF(AK1193&lt;&gt;"",AK1193,N(AL1192))</f>
        <v/>
      </c>
    </row>
    <row r="1194">
      <c r="A1194" t="inlineStr">
        <is>
          <t>PRD-0398</t>
        </is>
      </c>
      <c r="B1194" t="inlineStr">
        <is>
          <t>Production</t>
        </is>
      </c>
      <c r="AB1194" t="n">
        <v>398</v>
      </c>
      <c r="AD1194" s="52">
        <f>IFERROR(N(IFERROR(INDEX($A1194:$AB1194,MATCH("Xero Invoiced Ex GST",$A$1:$AB$1,0)),"")),0)</f>
        <v/>
      </c>
      <c r="AE1194" s="53">
        <f>IFERROR(INDEX($A1194:$AB1194,MATCH("Xero Invoice Date",$A$1:$AB$1,0)),"")</f>
        <v/>
      </c>
      <c r="AF1194" s="54">
        <f>IF(AND(IFERROR(INDEX($A1194:$AB1194,MATCH("Xero Invoice No",$A$1:$AB$1,0)),"")&amp;""&lt;&gt;"",ISNUMBER(AE1194),AD1194&lt;&gt;0),1,0)</f>
        <v/>
      </c>
      <c r="AG1194" s="55">
        <f>IF(AF1194=1,EOMONTH(AE1194,0),"")</f>
        <v/>
      </c>
      <c r="AH1194" s="9">
        <f>IF(AF1194=1,UPPER(TRIM(IFERROR(INDEX($A1194:$AB1194,MATCH("Client",$A$1:$AB$1,0)),"")&amp;"")),"")</f>
        <v/>
      </c>
      <c r="AI1194" s="9">
        <f>IF(AF1194=1,IFERROR(INDEX($A1194:$AB1194,MATCH("Cost Centre",$A$1:$AB$1,0)),"")&amp;"","")</f>
        <v/>
      </c>
      <c r="AJ1194" s="54">
        <f>IF(AND(AF1194=1,AE1194&gt;=set_FYStart,AE1194&lt;=set_AsAt),1,0)</f>
        <v/>
      </c>
      <c r="AK1194" s="54">
        <f>IF(AND(AJ1194=1,AH1194&lt;&gt;"",COUNTIFS($AH$2:AH1194,AH1194,$AJ$2:AJ1194,1)=1),N(AL1193)+1,"")</f>
        <v/>
      </c>
      <c r="AL1194" s="54">
        <f>IF(AK1194&lt;&gt;"",AK1194,N(AL1193))</f>
        <v/>
      </c>
    </row>
    <row r="1195">
      <c r="A1195" t="inlineStr">
        <is>
          <t>CON-0398</t>
        </is>
      </c>
      <c r="B1195" t="inlineStr">
        <is>
          <t>Consulting</t>
        </is>
      </c>
      <c r="AB1195" t="n">
        <v>398</v>
      </c>
      <c r="AD1195" s="52">
        <f>IFERROR(N(IFERROR(INDEX($A1195:$AB1195,MATCH("Xero Invoiced Ex GST",$A$1:$AB$1,0)),"")),0)</f>
        <v/>
      </c>
      <c r="AE1195" s="53">
        <f>IFERROR(INDEX($A1195:$AB1195,MATCH("Xero Invoice Date",$A$1:$AB$1,0)),"")</f>
        <v/>
      </c>
      <c r="AF1195" s="54">
        <f>IF(AND(IFERROR(INDEX($A1195:$AB1195,MATCH("Xero Invoice No",$A$1:$AB$1,0)),"")&amp;""&lt;&gt;"",ISNUMBER(AE1195),AD1195&lt;&gt;0),1,0)</f>
        <v/>
      </c>
      <c r="AG1195" s="55">
        <f>IF(AF1195=1,EOMONTH(AE1195,0),"")</f>
        <v/>
      </c>
      <c r="AH1195" s="9">
        <f>IF(AF1195=1,UPPER(TRIM(IFERROR(INDEX($A1195:$AB1195,MATCH("Client",$A$1:$AB$1,0)),"")&amp;"")),"")</f>
        <v/>
      </c>
      <c r="AI1195" s="9">
        <f>IF(AF1195=1,IFERROR(INDEX($A1195:$AB1195,MATCH("Cost Centre",$A$1:$AB$1,0)),"")&amp;"","")</f>
        <v/>
      </c>
      <c r="AJ1195" s="54">
        <f>IF(AND(AF1195=1,AE1195&gt;=set_FYStart,AE1195&lt;=set_AsAt),1,0)</f>
        <v/>
      </c>
      <c r="AK1195" s="54">
        <f>IF(AND(AJ1195=1,AH1195&lt;&gt;"",COUNTIFS($AH$2:AH1195,AH1195,$AJ$2:AJ1195,1)=1),N(AL1194)+1,"")</f>
        <v/>
      </c>
      <c r="AL1195" s="54">
        <f>IF(AK1195&lt;&gt;"",AK1195,N(AL1194))</f>
        <v/>
      </c>
    </row>
    <row r="1196">
      <c r="A1196" t="inlineStr">
        <is>
          <t>ONS-0399</t>
        </is>
      </c>
      <c r="B1196" t="inlineStr">
        <is>
          <t>Onsite</t>
        </is>
      </c>
      <c r="AB1196" t="n">
        <v>399</v>
      </c>
      <c r="AD1196" s="52">
        <f>IFERROR(N(IFERROR(INDEX($A1196:$AB1196,MATCH("Xero Invoiced Ex GST",$A$1:$AB$1,0)),"")),0)</f>
        <v/>
      </c>
      <c r="AE1196" s="53">
        <f>IFERROR(INDEX($A1196:$AB1196,MATCH("Xero Invoice Date",$A$1:$AB$1,0)),"")</f>
        <v/>
      </c>
      <c r="AF1196" s="54">
        <f>IF(AND(IFERROR(INDEX($A1196:$AB1196,MATCH("Xero Invoice No",$A$1:$AB$1,0)),"")&amp;""&lt;&gt;"",ISNUMBER(AE1196),AD1196&lt;&gt;0),1,0)</f>
        <v/>
      </c>
      <c r="AG1196" s="55">
        <f>IF(AF1196=1,EOMONTH(AE1196,0),"")</f>
        <v/>
      </c>
      <c r="AH1196" s="9">
        <f>IF(AF1196=1,UPPER(TRIM(IFERROR(INDEX($A1196:$AB1196,MATCH("Client",$A$1:$AB$1,0)),"")&amp;"")),"")</f>
        <v/>
      </c>
      <c r="AI1196" s="9">
        <f>IF(AF1196=1,IFERROR(INDEX($A1196:$AB1196,MATCH("Cost Centre",$A$1:$AB$1,0)),"")&amp;"","")</f>
        <v/>
      </c>
      <c r="AJ1196" s="54">
        <f>IF(AND(AF1196=1,AE1196&gt;=set_FYStart,AE1196&lt;=set_AsAt),1,0)</f>
        <v/>
      </c>
      <c r="AK1196" s="54">
        <f>IF(AND(AJ1196=1,AH1196&lt;&gt;"",COUNTIFS($AH$2:AH1196,AH1196,$AJ$2:AJ1196,1)=1),N(AL1195)+1,"")</f>
        <v/>
      </c>
      <c r="AL1196" s="54">
        <f>IF(AK1196&lt;&gt;"",AK1196,N(AL1195))</f>
        <v/>
      </c>
    </row>
    <row r="1197">
      <c r="A1197" t="inlineStr">
        <is>
          <t>PRD-0399</t>
        </is>
      </c>
      <c r="B1197" t="inlineStr">
        <is>
          <t>Production</t>
        </is>
      </c>
      <c r="AB1197" t="n">
        <v>399</v>
      </c>
      <c r="AD1197" s="52">
        <f>IFERROR(N(IFERROR(INDEX($A1197:$AB1197,MATCH("Xero Invoiced Ex GST",$A$1:$AB$1,0)),"")),0)</f>
        <v/>
      </c>
      <c r="AE1197" s="53">
        <f>IFERROR(INDEX($A1197:$AB1197,MATCH("Xero Invoice Date",$A$1:$AB$1,0)),"")</f>
        <v/>
      </c>
      <c r="AF1197" s="54">
        <f>IF(AND(IFERROR(INDEX($A1197:$AB1197,MATCH("Xero Invoice No",$A$1:$AB$1,0)),"")&amp;""&lt;&gt;"",ISNUMBER(AE1197),AD1197&lt;&gt;0),1,0)</f>
        <v/>
      </c>
      <c r="AG1197" s="55">
        <f>IF(AF1197=1,EOMONTH(AE1197,0),"")</f>
        <v/>
      </c>
      <c r="AH1197" s="9">
        <f>IF(AF1197=1,UPPER(TRIM(IFERROR(INDEX($A1197:$AB1197,MATCH("Client",$A$1:$AB$1,0)),"")&amp;"")),"")</f>
        <v/>
      </c>
      <c r="AI1197" s="9">
        <f>IF(AF1197=1,IFERROR(INDEX($A1197:$AB1197,MATCH("Cost Centre",$A$1:$AB$1,0)),"")&amp;"","")</f>
        <v/>
      </c>
      <c r="AJ1197" s="54">
        <f>IF(AND(AF1197=1,AE1197&gt;=set_FYStart,AE1197&lt;=set_AsAt),1,0)</f>
        <v/>
      </c>
      <c r="AK1197" s="54">
        <f>IF(AND(AJ1197=1,AH1197&lt;&gt;"",COUNTIFS($AH$2:AH1197,AH1197,$AJ$2:AJ1197,1)=1),N(AL1196)+1,"")</f>
        <v/>
      </c>
      <c r="AL1197" s="54">
        <f>IF(AK1197&lt;&gt;"",AK1197,N(AL1196))</f>
        <v/>
      </c>
    </row>
    <row r="1198">
      <c r="A1198" t="inlineStr">
        <is>
          <t>CON-0399</t>
        </is>
      </c>
      <c r="B1198" t="inlineStr">
        <is>
          <t>Consulting</t>
        </is>
      </c>
      <c r="AB1198" t="n">
        <v>399</v>
      </c>
      <c r="AD1198" s="52">
        <f>IFERROR(N(IFERROR(INDEX($A1198:$AB1198,MATCH("Xero Invoiced Ex GST",$A$1:$AB$1,0)),"")),0)</f>
        <v/>
      </c>
      <c r="AE1198" s="53">
        <f>IFERROR(INDEX($A1198:$AB1198,MATCH("Xero Invoice Date",$A$1:$AB$1,0)),"")</f>
        <v/>
      </c>
      <c r="AF1198" s="54">
        <f>IF(AND(IFERROR(INDEX($A1198:$AB1198,MATCH("Xero Invoice No",$A$1:$AB$1,0)),"")&amp;""&lt;&gt;"",ISNUMBER(AE1198),AD1198&lt;&gt;0),1,0)</f>
        <v/>
      </c>
      <c r="AG1198" s="55">
        <f>IF(AF1198=1,EOMONTH(AE1198,0),"")</f>
        <v/>
      </c>
      <c r="AH1198" s="9">
        <f>IF(AF1198=1,UPPER(TRIM(IFERROR(INDEX($A1198:$AB1198,MATCH("Client",$A$1:$AB$1,0)),"")&amp;"")),"")</f>
        <v/>
      </c>
      <c r="AI1198" s="9">
        <f>IF(AF1198=1,IFERROR(INDEX($A1198:$AB1198,MATCH("Cost Centre",$A$1:$AB$1,0)),"")&amp;"","")</f>
        <v/>
      </c>
      <c r="AJ1198" s="54">
        <f>IF(AND(AF1198=1,AE1198&gt;=set_FYStart,AE1198&lt;=set_AsAt),1,0)</f>
        <v/>
      </c>
      <c r="AK1198" s="54">
        <f>IF(AND(AJ1198=1,AH1198&lt;&gt;"",COUNTIFS($AH$2:AH1198,AH1198,$AJ$2:AJ1198,1)=1),N(AL1197)+1,"")</f>
        <v/>
      </c>
      <c r="AL1198" s="54">
        <f>IF(AK1198&lt;&gt;"",AK1198,N(AL1197))</f>
        <v/>
      </c>
    </row>
    <row r="1199">
      <c r="A1199" t="inlineStr">
        <is>
          <t>ONS-0400</t>
        </is>
      </c>
      <c r="B1199" t="inlineStr">
        <is>
          <t>Onsite</t>
        </is>
      </c>
      <c r="AB1199" t="n">
        <v>400</v>
      </c>
      <c r="AD1199" s="52">
        <f>IFERROR(N(IFERROR(INDEX($A1199:$AB1199,MATCH("Xero Invoiced Ex GST",$A$1:$AB$1,0)),"")),0)</f>
        <v/>
      </c>
      <c r="AE1199" s="53">
        <f>IFERROR(INDEX($A1199:$AB1199,MATCH("Xero Invoice Date",$A$1:$AB$1,0)),"")</f>
        <v/>
      </c>
      <c r="AF1199" s="54">
        <f>IF(AND(IFERROR(INDEX($A1199:$AB1199,MATCH("Xero Invoice No",$A$1:$AB$1,0)),"")&amp;""&lt;&gt;"",ISNUMBER(AE1199),AD1199&lt;&gt;0),1,0)</f>
        <v/>
      </c>
      <c r="AG1199" s="55">
        <f>IF(AF1199=1,EOMONTH(AE1199,0),"")</f>
        <v/>
      </c>
      <c r="AH1199" s="9">
        <f>IF(AF1199=1,UPPER(TRIM(IFERROR(INDEX($A1199:$AB1199,MATCH("Client",$A$1:$AB$1,0)),"")&amp;"")),"")</f>
        <v/>
      </c>
      <c r="AI1199" s="9">
        <f>IF(AF1199=1,IFERROR(INDEX($A1199:$AB1199,MATCH("Cost Centre",$A$1:$AB$1,0)),"")&amp;"","")</f>
        <v/>
      </c>
      <c r="AJ1199" s="54">
        <f>IF(AND(AF1199=1,AE1199&gt;=set_FYStart,AE1199&lt;=set_AsAt),1,0)</f>
        <v/>
      </c>
      <c r="AK1199" s="54">
        <f>IF(AND(AJ1199=1,AH1199&lt;&gt;"",COUNTIFS($AH$2:AH1199,AH1199,$AJ$2:AJ1199,1)=1),N(AL1198)+1,"")</f>
        <v/>
      </c>
      <c r="AL1199" s="54">
        <f>IF(AK1199&lt;&gt;"",AK1199,N(AL1198))</f>
        <v/>
      </c>
    </row>
    <row r="1200">
      <c r="A1200" t="inlineStr">
        <is>
          <t>PRD-0400</t>
        </is>
      </c>
      <c r="B1200" t="inlineStr">
        <is>
          <t>Production</t>
        </is>
      </c>
      <c r="AB1200" t="n">
        <v>400</v>
      </c>
      <c r="AD1200" s="52">
        <f>IFERROR(N(IFERROR(INDEX($A1200:$AB1200,MATCH("Xero Invoiced Ex GST",$A$1:$AB$1,0)),"")),0)</f>
        <v/>
      </c>
      <c r="AE1200" s="53">
        <f>IFERROR(INDEX($A1200:$AB1200,MATCH("Xero Invoice Date",$A$1:$AB$1,0)),"")</f>
        <v/>
      </c>
      <c r="AF1200" s="54">
        <f>IF(AND(IFERROR(INDEX($A1200:$AB1200,MATCH("Xero Invoice No",$A$1:$AB$1,0)),"")&amp;""&lt;&gt;"",ISNUMBER(AE1200),AD1200&lt;&gt;0),1,0)</f>
        <v/>
      </c>
      <c r="AG1200" s="55">
        <f>IF(AF1200=1,EOMONTH(AE1200,0),"")</f>
        <v/>
      </c>
      <c r="AH1200" s="9">
        <f>IF(AF1200=1,UPPER(TRIM(IFERROR(INDEX($A1200:$AB1200,MATCH("Client",$A$1:$AB$1,0)),"")&amp;"")),"")</f>
        <v/>
      </c>
      <c r="AI1200" s="9">
        <f>IF(AF1200=1,IFERROR(INDEX($A1200:$AB1200,MATCH("Cost Centre",$A$1:$AB$1,0)),"")&amp;"","")</f>
        <v/>
      </c>
      <c r="AJ1200" s="54">
        <f>IF(AND(AF1200=1,AE1200&gt;=set_FYStart,AE1200&lt;=set_AsAt),1,0)</f>
        <v/>
      </c>
      <c r="AK1200" s="54">
        <f>IF(AND(AJ1200=1,AH1200&lt;&gt;"",COUNTIFS($AH$2:AH1200,AH1200,$AJ$2:AJ1200,1)=1),N(AL1199)+1,"")</f>
        <v/>
      </c>
      <c r="AL1200" s="54">
        <f>IF(AK1200&lt;&gt;"",AK1200,N(AL1199))</f>
        <v/>
      </c>
    </row>
    <row r="1201">
      <c r="A1201" t="inlineStr">
        <is>
          <t>CON-0400</t>
        </is>
      </c>
      <c r="B1201" t="inlineStr">
        <is>
          <t>Consulting</t>
        </is>
      </c>
      <c r="AB1201" t="n">
        <v>400</v>
      </c>
      <c r="AD1201" s="52">
        <f>IFERROR(N(IFERROR(INDEX($A1201:$AB1201,MATCH("Xero Invoiced Ex GST",$A$1:$AB$1,0)),"")),0)</f>
        <v/>
      </c>
      <c r="AE1201" s="53">
        <f>IFERROR(INDEX($A1201:$AB1201,MATCH("Xero Invoice Date",$A$1:$AB$1,0)),"")</f>
        <v/>
      </c>
      <c r="AF1201" s="54">
        <f>IF(AND(IFERROR(INDEX($A1201:$AB1201,MATCH("Xero Invoice No",$A$1:$AB$1,0)),"")&amp;""&lt;&gt;"",ISNUMBER(AE1201),AD1201&lt;&gt;0),1,0)</f>
        <v/>
      </c>
      <c r="AG1201" s="55">
        <f>IF(AF1201=1,EOMONTH(AE1201,0),"")</f>
        <v/>
      </c>
      <c r="AH1201" s="9">
        <f>IF(AF1201=1,UPPER(TRIM(IFERROR(INDEX($A1201:$AB1201,MATCH("Client",$A$1:$AB$1,0)),"")&amp;"")),"")</f>
        <v/>
      </c>
      <c r="AI1201" s="9">
        <f>IF(AF1201=1,IFERROR(INDEX($A1201:$AB1201,MATCH("Cost Centre",$A$1:$AB$1,0)),"")&amp;"","")</f>
        <v/>
      </c>
      <c r="AJ1201" s="54">
        <f>IF(AND(AF1201=1,AE1201&gt;=set_FYStart,AE1201&lt;=set_AsAt),1,0)</f>
        <v/>
      </c>
      <c r="AK1201" s="54">
        <f>IF(AND(AJ1201=1,AH1201&lt;&gt;"",COUNTIFS($AH$2:AH1201,AH1201,$AJ$2:AJ1201,1)=1),N(AL1200)+1,"")</f>
        <v/>
      </c>
      <c r="AL1201" s="54">
        <f>IF(AK1201&lt;&gt;"",AK1201,N(AL1200))</f>
        <v/>
      </c>
    </row>
    <row r="1202">
      <c r="A1202" t="inlineStr">
        <is>
          <t>ONS-0401</t>
        </is>
      </c>
      <c r="B1202" t="inlineStr">
        <is>
          <t>Onsite</t>
        </is>
      </c>
      <c r="AB1202" t="n">
        <v>401</v>
      </c>
      <c r="AD1202" s="52">
        <f>IFERROR(N(IFERROR(INDEX($A1202:$AB1202,MATCH("Xero Invoiced Ex GST",$A$1:$AB$1,0)),"")),0)</f>
        <v/>
      </c>
      <c r="AE1202" s="53">
        <f>IFERROR(INDEX($A1202:$AB1202,MATCH("Xero Invoice Date",$A$1:$AB$1,0)),"")</f>
        <v/>
      </c>
      <c r="AF1202" s="54">
        <f>IF(AND(IFERROR(INDEX($A1202:$AB1202,MATCH("Xero Invoice No",$A$1:$AB$1,0)),"")&amp;""&lt;&gt;"",ISNUMBER(AE1202),AD1202&lt;&gt;0),1,0)</f>
        <v/>
      </c>
      <c r="AG1202" s="55">
        <f>IF(AF1202=1,EOMONTH(AE1202,0),"")</f>
        <v/>
      </c>
      <c r="AH1202" s="9">
        <f>IF(AF1202=1,UPPER(TRIM(IFERROR(INDEX($A1202:$AB1202,MATCH("Client",$A$1:$AB$1,0)),"")&amp;"")),"")</f>
        <v/>
      </c>
      <c r="AI1202" s="9">
        <f>IF(AF1202=1,IFERROR(INDEX($A1202:$AB1202,MATCH("Cost Centre",$A$1:$AB$1,0)),"")&amp;"","")</f>
        <v/>
      </c>
      <c r="AJ1202" s="54">
        <f>IF(AND(AF1202=1,AE1202&gt;=set_FYStart,AE1202&lt;=set_AsAt),1,0)</f>
        <v/>
      </c>
      <c r="AK1202" s="54">
        <f>IF(AND(AJ1202=1,AH1202&lt;&gt;"",COUNTIFS($AH$2:AH1202,AH1202,$AJ$2:AJ1202,1)=1),N(AL1201)+1,"")</f>
        <v/>
      </c>
      <c r="AL1202" s="54">
        <f>IF(AK1202&lt;&gt;"",AK1202,N(AL1201))</f>
        <v/>
      </c>
    </row>
    <row r="1203">
      <c r="A1203" t="inlineStr">
        <is>
          <t>PRD-0401</t>
        </is>
      </c>
      <c r="B1203" t="inlineStr">
        <is>
          <t>Production</t>
        </is>
      </c>
      <c r="AB1203" t="n">
        <v>401</v>
      </c>
      <c r="AD1203" s="52">
        <f>IFERROR(N(IFERROR(INDEX($A1203:$AB1203,MATCH("Xero Invoiced Ex GST",$A$1:$AB$1,0)),"")),0)</f>
        <v/>
      </c>
      <c r="AE1203" s="53">
        <f>IFERROR(INDEX($A1203:$AB1203,MATCH("Xero Invoice Date",$A$1:$AB$1,0)),"")</f>
        <v/>
      </c>
      <c r="AF1203" s="54">
        <f>IF(AND(IFERROR(INDEX($A1203:$AB1203,MATCH("Xero Invoice No",$A$1:$AB$1,0)),"")&amp;""&lt;&gt;"",ISNUMBER(AE1203),AD1203&lt;&gt;0),1,0)</f>
        <v/>
      </c>
      <c r="AG1203" s="55">
        <f>IF(AF1203=1,EOMONTH(AE1203,0),"")</f>
        <v/>
      </c>
      <c r="AH1203" s="9">
        <f>IF(AF1203=1,UPPER(TRIM(IFERROR(INDEX($A1203:$AB1203,MATCH("Client",$A$1:$AB$1,0)),"")&amp;"")),"")</f>
        <v/>
      </c>
      <c r="AI1203" s="9">
        <f>IF(AF1203=1,IFERROR(INDEX($A1203:$AB1203,MATCH("Cost Centre",$A$1:$AB$1,0)),"")&amp;"","")</f>
        <v/>
      </c>
      <c r="AJ1203" s="54">
        <f>IF(AND(AF1203=1,AE1203&gt;=set_FYStart,AE1203&lt;=set_AsAt),1,0)</f>
        <v/>
      </c>
      <c r="AK1203" s="54">
        <f>IF(AND(AJ1203=1,AH1203&lt;&gt;"",COUNTIFS($AH$2:AH1203,AH1203,$AJ$2:AJ1203,1)=1),N(AL1202)+1,"")</f>
        <v/>
      </c>
      <c r="AL1203" s="54">
        <f>IF(AK1203&lt;&gt;"",AK1203,N(AL1202))</f>
        <v/>
      </c>
    </row>
    <row r="1204">
      <c r="A1204" t="inlineStr">
        <is>
          <t>CON-0401</t>
        </is>
      </c>
      <c r="B1204" t="inlineStr">
        <is>
          <t>Consulting</t>
        </is>
      </c>
      <c r="AB1204" t="n">
        <v>401</v>
      </c>
      <c r="AD1204" s="52">
        <f>IFERROR(N(IFERROR(INDEX($A1204:$AB1204,MATCH("Xero Invoiced Ex GST",$A$1:$AB$1,0)),"")),0)</f>
        <v/>
      </c>
      <c r="AE1204" s="53">
        <f>IFERROR(INDEX($A1204:$AB1204,MATCH("Xero Invoice Date",$A$1:$AB$1,0)),"")</f>
        <v/>
      </c>
      <c r="AF1204" s="54">
        <f>IF(AND(IFERROR(INDEX($A1204:$AB1204,MATCH("Xero Invoice No",$A$1:$AB$1,0)),"")&amp;""&lt;&gt;"",ISNUMBER(AE1204),AD1204&lt;&gt;0),1,0)</f>
        <v/>
      </c>
      <c r="AG1204" s="55">
        <f>IF(AF1204=1,EOMONTH(AE1204,0),"")</f>
        <v/>
      </c>
      <c r="AH1204" s="9">
        <f>IF(AF1204=1,UPPER(TRIM(IFERROR(INDEX($A1204:$AB1204,MATCH("Client",$A$1:$AB$1,0)),"")&amp;"")),"")</f>
        <v/>
      </c>
      <c r="AI1204" s="9">
        <f>IF(AF1204=1,IFERROR(INDEX($A1204:$AB1204,MATCH("Cost Centre",$A$1:$AB$1,0)),"")&amp;"","")</f>
        <v/>
      </c>
      <c r="AJ1204" s="54">
        <f>IF(AND(AF1204=1,AE1204&gt;=set_FYStart,AE1204&lt;=set_AsAt),1,0)</f>
        <v/>
      </c>
      <c r="AK1204" s="54">
        <f>IF(AND(AJ1204=1,AH1204&lt;&gt;"",COUNTIFS($AH$2:AH1204,AH1204,$AJ$2:AJ1204,1)=1),N(AL1203)+1,"")</f>
        <v/>
      </c>
      <c r="AL1204" s="54">
        <f>IF(AK1204&lt;&gt;"",AK1204,N(AL1203))</f>
        <v/>
      </c>
    </row>
    <row r="1205">
      <c r="A1205" t="inlineStr">
        <is>
          <t>ONS-0402</t>
        </is>
      </c>
      <c r="B1205" t="inlineStr">
        <is>
          <t>Onsite</t>
        </is>
      </c>
      <c r="AB1205" t="n">
        <v>402</v>
      </c>
      <c r="AD1205" s="52">
        <f>IFERROR(N(IFERROR(INDEX($A1205:$AB1205,MATCH("Xero Invoiced Ex GST",$A$1:$AB$1,0)),"")),0)</f>
        <v/>
      </c>
      <c r="AE1205" s="53">
        <f>IFERROR(INDEX($A1205:$AB1205,MATCH("Xero Invoice Date",$A$1:$AB$1,0)),"")</f>
        <v/>
      </c>
      <c r="AF1205" s="54">
        <f>IF(AND(IFERROR(INDEX($A1205:$AB1205,MATCH("Xero Invoice No",$A$1:$AB$1,0)),"")&amp;""&lt;&gt;"",ISNUMBER(AE1205),AD1205&lt;&gt;0),1,0)</f>
        <v/>
      </c>
      <c r="AG1205" s="55">
        <f>IF(AF1205=1,EOMONTH(AE1205,0),"")</f>
        <v/>
      </c>
      <c r="AH1205" s="9">
        <f>IF(AF1205=1,UPPER(TRIM(IFERROR(INDEX($A1205:$AB1205,MATCH("Client",$A$1:$AB$1,0)),"")&amp;"")),"")</f>
        <v/>
      </c>
      <c r="AI1205" s="9">
        <f>IF(AF1205=1,IFERROR(INDEX($A1205:$AB1205,MATCH("Cost Centre",$A$1:$AB$1,0)),"")&amp;"","")</f>
        <v/>
      </c>
      <c r="AJ1205" s="54">
        <f>IF(AND(AF1205=1,AE1205&gt;=set_FYStart,AE1205&lt;=set_AsAt),1,0)</f>
        <v/>
      </c>
      <c r="AK1205" s="54">
        <f>IF(AND(AJ1205=1,AH1205&lt;&gt;"",COUNTIFS($AH$2:AH1205,AH1205,$AJ$2:AJ1205,1)=1),N(AL1204)+1,"")</f>
        <v/>
      </c>
      <c r="AL1205" s="54">
        <f>IF(AK1205&lt;&gt;"",AK1205,N(AL1204))</f>
        <v/>
      </c>
    </row>
    <row r="1206">
      <c r="A1206" t="inlineStr">
        <is>
          <t>PRD-0402</t>
        </is>
      </c>
      <c r="B1206" t="inlineStr">
        <is>
          <t>Production</t>
        </is>
      </c>
      <c r="AB1206" t="n">
        <v>402</v>
      </c>
      <c r="AD1206" s="52">
        <f>IFERROR(N(IFERROR(INDEX($A1206:$AB1206,MATCH("Xero Invoiced Ex GST",$A$1:$AB$1,0)),"")),0)</f>
        <v/>
      </c>
      <c r="AE1206" s="53">
        <f>IFERROR(INDEX($A1206:$AB1206,MATCH("Xero Invoice Date",$A$1:$AB$1,0)),"")</f>
        <v/>
      </c>
      <c r="AF1206" s="54">
        <f>IF(AND(IFERROR(INDEX($A1206:$AB1206,MATCH("Xero Invoice No",$A$1:$AB$1,0)),"")&amp;""&lt;&gt;"",ISNUMBER(AE1206),AD1206&lt;&gt;0),1,0)</f>
        <v/>
      </c>
      <c r="AG1206" s="55">
        <f>IF(AF1206=1,EOMONTH(AE1206,0),"")</f>
        <v/>
      </c>
      <c r="AH1206" s="9">
        <f>IF(AF1206=1,UPPER(TRIM(IFERROR(INDEX($A1206:$AB1206,MATCH("Client",$A$1:$AB$1,0)),"")&amp;"")),"")</f>
        <v/>
      </c>
      <c r="AI1206" s="9">
        <f>IF(AF1206=1,IFERROR(INDEX($A1206:$AB1206,MATCH("Cost Centre",$A$1:$AB$1,0)),"")&amp;"","")</f>
        <v/>
      </c>
      <c r="AJ1206" s="54">
        <f>IF(AND(AF1206=1,AE1206&gt;=set_FYStart,AE1206&lt;=set_AsAt),1,0)</f>
        <v/>
      </c>
      <c r="AK1206" s="54">
        <f>IF(AND(AJ1206=1,AH1206&lt;&gt;"",COUNTIFS($AH$2:AH1206,AH1206,$AJ$2:AJ1206,1)=1),N(AL1205)+1,"")</f>
        <v/>
      </c>
      <c r="AL1206" s="54">
        <f>IF(AK1206&lt;&gt;"",AK1206,N(AL1205))</f>
        <v/>
      </c>
    </row>
    <row r="1207">
      <c r="A1207" t="inlineStr">
        <is>
          <t>CON-0402</t>
        </is>
      </c>
      <c r="B1207" t="inlineStr">
        <is>
          <t>Consulting</t>
        </is>
      </c>
      <c r="AB1207" t="n">
        <v>402</v>
      </c>
      <c r="AD1207" s="52">
        <f>IFERROR(N(IFERROR(INDEX($A1207:$AB1207,MATCH("Xero Invoiced Ex GST",$A$1:$AB$1,0)),"")),0)</f>
        <v/>
      </c>
      <c r="AE1207" s="53">
        <f>IFERROR(INDEX($A1207:$AB1207,MATCH("Xero Invoice Date",$A$1:$AB$1,0)),"")</f>
        <v/>
      </c>
      <c r="AF1207" s="54">
        <f>IF(AND(IFERROR(INDEX($A1207:$AB1207,MATCH("Xero Invoice No",$A$1:$AB$1,0)),"")&amp;""&lt;&gt;"",ISNUMBER(AE1207),AD1207&lt;&gt;0),1,0)</f>
        <v/>
      </c>
      <c r="AG1207" s="55">
        <f>IF(AF1207=1,EOMONTH(AE1207,0),"")</f>
        <v/>
      </c>
      <c r="AH1207" s="9">
        <f>IF(AF1207=1,UPPER(TRIM(IFERROR(INDEX($A1207:$AB1207,MATCH("Client",$A$1:$AB$1,0)),"")&amp;"")),"")</f>
        <v/>
      </c>
      <c r="AI1207" s="9">
        <f>IF(AF1207=1,IFERROR(INDEX($A1207:$AB1207,MATCH("Cost Centre",$A$1:$AB$1,0)),"")&amp;"","")</f>
        <v/>
      </c>
      <c r="AJ1207" s="54">
        <f>IF(AND(AF1207=1,AE1207&gt;=set_FYStart,AE1207&lt;=set_AsAt),1,0)</f>
        <v/>
      </c>
      <c r="AK1207" s="54">
        <f>IF(AND(AJ1207=1,AH1207&lt;&gt;"",COUNTIFS($AH$2:AH1207,AH1207,$AJ$2:AJ1207,1)=1),N(AL1206)+1,"")</f>
        <v/>
      </c>
      <c r="AL1207" s="54">
        <f>IF(AK1207&lt;&gt;"",AK1207,N(AL1206))</f>
        <v/>
      </c>
    </row>
    <row r="1208">
      <c r="A1208" t="inlineStr">
        <is>
          <t>ONS-0403</t>
        </is>
      </c>
      <c r="B1208" t="inlineStr">
        <is>
          <t>Onsite</t>
        </is>
      </c>
      <c r="AB1208" t="n">
        <v>403</v>
      </c>
      <c r="AD1208" s="52">
        <f>IFERROR(N(IFERROR(INDEX($A1208:$AB1208,MATCH("Xero Invoiced Ex GST",$A$1:$AB$1,0)),"")),0)</f>
        <v/>
      </c>
      <c r="AE1208" s="53">
        <f>IFERROR(INDEX($A1208:$AB1208,MATCH("Xero Invoice Date",$A$1:$AB$1,0)),"")</f>
        <v/>
      </c>
      <c r="AF1208" s="54">
        <f>IF(AND(IFERROR(INDEX($A1208:$AB1208,MATCH("Xero Invoice No",$A$1:$AB$1,0)),"")&amp;""&lt;&gt;"",ISNUMBER(AE1208),AD1208&lt;&gt;0),1,0)</f>
        <v/>
      </c>
      <c r="AG1208" s="55">
        <f>IF(AF1208=1,EOMONTH(AE1208,0),"")</f>
        <v/>
      </c>
      <c r="AH1208" s="9">
        <f>IF(AF1208=1,UPPER(TRIM(IFERROR(INDEX($A1208:$AB1208,MATCH("Client",$A$1:$AB$1,0)),"")&amp;"")),"")</f>
        <v/>
      </c>
      <c r="AI1208" s="9">
        <f>IF(AF1208=1,IFERROR(INDEX($A1208:$AB1208,MATCH("Cost Centre",$A$1:$AB$1,0)),"")&amp;"","")</f>
        <v/>
      </c>
      <c r="AJ1208" s="54">
        <f>IF(AND(AF1208=1,AE1208&gt;=set_FYStart,AE1208&lt;=set_AsAt),1,0)</f>
        <v/>
      </c>
      <c r="AK1208" s="54">
        <f>IF(AND(AJ1208=1,AH1208&lt;&gt;"",COUNTIFS($AH$2:AH1208,AH1208,$AJ$2:AJ1208,1)=1),N(AL1207)+1,"")</f>
        <v/>
      </c>
      <c r="AL1208" s="54">
        <f>IF(AK1208&lt;&gt;"",AK1208,N(AL1207))</f>
        <v/>
      </c>
    </row>
    <row r="1209">
      <c r="A1209" t="inlineStr">
        <is>
          <t>PRD-0403</t>
        </is>
      </c>
      <c r="B1209" t="inlineStr">
        <is>
          <t>Production</t>
        </is>
      </c>
      <c r="AB1209" t="n">
        <v>403</v>
      </c>
      <c r="AD1209" s="52">
        <f>IFERROR(N(IFERROR(INDEX($A1209:$AB1209,MATCH("Xero Invoiced Ex GST",$A$1:$AB$1,0)),"")),0)</f>
        <v/>
      </c>
      <c r="AE1209" s="53">
        <f>IFERROR(INDEX($A1209:$AB1209,MATCH("Xero Invoice Date",$A$1:$AB$1,0)),"")</f>
        <v/>
      </c>
      <c r="AF1209" s="54">
        <f>IF(AND(IFERROR(INDEX($A1209:$AB1209,MATCH("Xero Invoice No",$A$1:$AB$1,0)),"")&amp;""&lt;&gt;"",ISNUMBER(AE1209),AD1209&lt;&gt;0),1,0)</f>
        <v/>
      </c>
      <c r="AG1209" s="55">
        <f>IF(AF1209=1,EOMONTH(AE1209,0),"")</f>
        <v/>
      </c>
      <c r="AH1209" s="9">
        <f>IF(AF1209=1,UPPER(TRIM(IFERROR(INDEX($A1209:$AB1209,MATCH("Client",$A$1:$AB$1,0)),"")&amp;"")),"")</f>
        <v/>
      </c>
      <c r="AI1209" s="9">
        <f>IF(AF1209=1,IFERROR(INDEX($A1209:$AB1209,MATCH("Cost Centre",$A$1:$AB$1,0)),"")&amp;"","")</f>
        <v/>
      </c>
      <c r="AJ1209" s="54">
        <f>IF(AND(AF1209=1,AE1209&gt;=set_FYStart,AE1209&lt;=set_AsAt),1,0)</f>
        <v/>
      </c>
      <c r="AK1209" s="54">
        <f>IF(AND(AJ1209=1,AH1209&lt;&gt;"",COUNTIFS($AH$2:AH1209,AH1209,$AJ$2:AJ1209,1)=1),N(AL1208)+1,"")</f>
        <v/>
      </c>
      <c r="AL1209" s="54">
        <f>IF(AK1209&lt;&gt;"",AK1209,N(AL1208))</f>
        <v/>
      </c>
    </row>
    <row r="1210">
      <c r="A1210" t="inlineStr">
        <is>
          <t>CON-0403</t>
        </is>
      </c>
      <c r="B1210" t="inlineStr">
        <is>
          <t>Consulting</t>
        </is>
      </c>
      <c r="AB1210" t="n">
        <v>403</v>
      </c>
      <c r="AD1210" s="52">
        <f>IFERROR(N(IFERROR(INDEX($A1210:$AB1210,MATCH("Xero Invoiced Ex GST",$A$1:$AB$1,0)),"")),0)</f>
        <v/>
      </c>
      <c r="AE1210" s="53">
        <f>IFERROR(INDEX($A1210:$AB1210,MATCH("Xero Invoice Date",$A$1:$AB$1,0)),"")</f>
        <v/>
      </c>
      <c r="AF1210" s="54">
        <f>IF(AND(IFERROR(INDEX($A1210:$AB1210,MATCH("Xero Invoice No",$A$1:$AB$1,0)),"")&amp;""&lt;&gt;"",ISNUMBER(AE1210),AD1210&lt;&gt;0),1,0)</f>
        <v/>
      </c>
      <c r="AG1210" s="55">
        <f>IF(AF1210=1,EOMONTH(AE1210,0),"")</f>
        <v/>
      </c>
      <c r="AH1210" s="9">
        <f>IF(AF1210=1,UPPER(TRIM(IFERROR(INDEX($A1210:$AB1210,MATCH("Client",$A$1:$AB$1,0)),"")&amp;"")),"")</f>
        <v/>
      </c>
      <c r="AI1210" s="9">
        <f>IF(AF1210=1,IFERROR(INDEX($A1210:$AB1210,MATCH("Cost Centre",$A$1:$AB$1,0)),"")&amp;"","")</f>
        <v/>
      </c>
      <c r="AJ1210" s="54">
        <f>IF(AND(AF1210=1,AE1210&gt;=set_FYStart,AE1210&lt;=set_AsAt),1,0)</f>
        <v/>
      </c>
      <c r="AK1210" s="54">
        <f>IF(AND(AJ1210=1,AH1210&lt;&gt;"",COUNTIFS($AH$2:AH1210,AH1210,$AJ$2:AJ1210,1)=1),N(AL1209)+1,"")</f>
        <v/>
      </c>
      <c r="AL1210" s="54">
        <f>IF(AK1210&lt;&gt;"",AK1210,N(AL1209))</f>
        <v/>
      </c>
    </row>
    <row r="1211">
      <c r="A1211" t="inlineStr">
        <is>
          <t>ONS-0404</t>
        </is>
      </c>
      <c r="B1211" t="inlineStr">
        <is>
          <t>Onsite</t>
        </is>
      </c>
      <c r="AB1211" t="n">
        <v>404</v>
      </c>
      <c r="AD1211" s="52">
        <f>IFERROR(N(IFERROR(INDEX($A1211:$AB1211,MATCH("Xero Invoiced Ex GST",$A$1:$AB$1,0)),"")),0)</f>
        <v/>
      </c>
      <c r="AE1211" s="53">
        <f>IFERROR(INDEX($A1211:$AB1211,MATCH("Xero Invoice Date",$A$1:$AB$1,0)),"")</f>
        <v/>
      </c>
      <c r="AF1211" s="54">
        <f>IF(AND(IFERROR(INDEX($A1211:$AB1211,MATCH("Xero Invoice No",$A$1:$AB$1,0)),"")&amp;""&lt;&gt;"",ISNUMBER(AE1211),AD1211&lt;&gt;0),1,0)</f>
        <v/>
      </c>
      <c r="AG1211" s="55">
        <f>IF(AF1211=1,EOMONTH(AE1211,0),"")</f>
        <v/>
      </c>
      <c r="AH1211" s="9">
        <f>IF(AF1211=1,UPPER(TRIM(IFERROR(INDEX($A1211:$AB1211,MATCH("Client",$A$1:$AB$1,0)),"")&amp;"")),"")</f>
        <v/>
      </c>
      <c r="AI1211" s="9">
        <f>IF(AF1211=1,IFERROR(INDEX($A1211:$AB1211,MATCH("Cost Centre",$A$1:$AB$1,0)),"")&amp;"","")</f>
        <v/>
      </c>
      <c r="AJ1211" s="54">
        <f>IF(AND(AF1211=1,AE1211&gt;=set_FYStart,AE1211&lt;=set_AsAt),1,0)</f>
        <v/>
      </c>
      <c r="AK1211" s="54">
        <f>IF(AND(AJ1211=1,AH1211&lt;&gt;"",COUNTIFS($AH$2:AH1211,AH1211,$AJ$2:AJ1211,1)=1),N(AL1210)+1,"")</f>
        <v/>
      </c>
      <c r="AL1211" s="54">
        <f>IF(AK1211&lt;&gt;"",AK1211,N(AL1210))</f>
        <v/>
      </c>
    </row>
    <row r="1212">
      <c r="A1212" t="inlineStr">
        <is>
          <t>PRD-0404</t>
        </is>
      </c>
      <c r="B1212" t="inlineStr">
        <is>
          <t>Production</t>
        </is>
      </c>
      <c r="AB1212" t="n">
        <v>404</v>
      </c>
      <c r="AD1212" s="52">
        <f>IFERROR(N(IFERROR(INDEX($A1212:$AB1212,MATCH("Xero Invoiced Ex GST",$A$1:$AB$1,0)),"")),0)</f>
        <v/>
      </c>
      <c r="AE1212" s="53">
        <f>IFERROR(INDEX($A1212:$AB1212,MATCH("Xero Invoice Date",$A$1:$AB$1,0)),"")</f>
        <v/>
      </c>
      <c r="AF1212" s="54">
        <f>IF(AND(IFERROR(INDEX($A1212:$AB1212,MATCH("Xero Invoice No",$A$1:$AB$1,0)),"")&amp;""&lt;&gt;"",ISNUMBER(AE1212),AD1212&lt;&gt;0),1,0)</f>
        <v/>
      </c>
      <c r="AG1212" s="55">
        <f>IF(AF1212=1,EOMONTH(AE1212,0),"")</f>
        <v/>
      </c>
      <c r="AH1212" s="9">
        <f>IF(AF1212=1,UPPER(TRIM(IFERROR(INDEX($A1212:$AB1212,MATCH("Client",$A$1:$AB$1,0)),"")&amp;"")),"")</f>
        <v/>
      </c>
      <c r="AI1212" s="9">
        <f>IF(AF1212=1,IFERROR(INDEX($A1212:$AB1212,MATCH("Cost Centre",$A$1:$AB$1,0)),"")&amp;"","")</f>
        <v/>
      </c>
      <c r="AJ1212" s="54">
        <f>IF(AND(AF1212=1,AE1212&gt;=set_FYStart,AE1212&lt;=set_AsAt),1,0)</f>
        <v/>
      </c>
      <c r="AK1212" s="54">
        <f>IF(AND(AJ1212=1,AH1212&lt;&gt;"",COUNTIFS($AH$2:AH1212,AH1212,$AJ$2:AJ1212,1)=1),N(AL1211)+1,"")</f>
        <v/>
      </c>
      <c r="AL1212" s="54">
        <f>IF(AK1212&lt;&gt;"",AK1212,N(AL1211))</f>
        <v/>
      </c>
    </row>
    <row r="1213">
      <c r="A1213" t="inlineStr">
        <is>
          <t>CON-0404</t>
        </is>
      </c>
      <c r="B1213" t="inlineStr">
        <is>
          <t>Consulting</t>
        </is>
      </c>
      <c r="AB1213" t="n">
        <v>404</v>
      </c>
      <c r="AD1213" s="52">
        <f>IFERROR(N(IFERROR(INDEX($A1213:$AB1213,MATCH("Xero Invoiced Ex GST",$A$1:$AB$1,0)),"")),0)</f>
        <v/>
      </c>
      <c r="AE1213" s="53">
        <f>IFERROR(INDEX($A1213:$AB1213,MATCH("Xero Invoice Date",$A$1:$AB$1,0)),"")</f>
        <v/>
      </c>
      <c r="AF1213" s="54">
        <f>IF(AND(IFERROR(INDEX($A1213:$AB1213,MATCH("Xero Invoice No",$A$1:$AB$1,0)),"")&amp;""&lt;&gt;"",ISNUMBER(AE1213),AD1213&lt;&gt;0),1,0)</f>
        <v/>
      </c>
      <c r="AG1213" s="55">
        <f>IF(AF1213=1,EOMONTH(AE1213,0),"")</f>
        <v/>
      </c>
      <c r="AH1213" s="9">
        <f>IF(AF1213=1,UPPER(TRIM(IFERROR(INDEX($A1213:$AB1213,MATCH("Client",$A$1:$AB$1,0)),"")&amp;"")),"")</f>
        <v/>
      </c>
      <c r="AI1213" s="9">
        <f>IF(AF1213=1,IFERROR(INDEX($A1213:$AB1213,MATCH("Cost Centre",$A$1:$AB$1,0)),"")&amp;"","")</f>
        <v/>
      </c>
      <c r="AJ1213" s="54">
        <f>IF(AND(AF1213=1,AE1213&gt;=set_FYStart,AE1213&lt;=set_AsAt),1,0)</f>
        <v/>
      </c>
      <c r="AK1213" s="54">
        <f>IF(AND(AJ1213=1,AH1213&lt;&gt;"",COUNTIFS($AH$2:AH1213,AH1213,$AJ$2:AJ1213,1)=1),N(AL1212)+1,"")</f>
        <v/>
      </c>
      <c r="AL1213" s="54">
        <f>IF(AK1213&lt;&gt;"",AK1213,N(AL1212))</f>
        <v/>
      </c>
    </row>
    <row r="1214">
      <c r="A1214" t="inlineStr">
        <is>
          <t>ONS-0405</t>
        </is>
      </c>
      <c r="B1214" t="inlineStr">
        <is>
          <t>Onsite</t>
        </is>
      </c>
      <c r="AB1214" t="n">
        <v>405</v>
      </c>
      <c r="AD1214" s="52">
        <f>IFERROR(N(IFERROR(INDEX($A1214:$AB1214,MATCH("Xero Invoiced Ex GST",$A$1:$AB$1,0)),"")),0)</f>
        <v/>
      </c>
      <c r="AE1214" s="53">
        <f>IFERROR(INDEX($A1214:$AB1214,MATCH("Xero Invoice Date",$A$1:$AB$1,0)),"")</f>
        <v/>
      </c>
      <c r="AF1214" s="54">
        <f>IF(AND(IFERROR(INDEX($A1214:$AB1214,MATCH("Xero Invoice No",$A$1:$AB$1,0)),"")&amp;""&lt;&gt;"",ISNUMBER(AE1214),AD1214&lt;&gt;0),1,0)</f>
        <v/>
      </c>
      <c r="AG1214" s="55">
        <f>IF(AF1214=1,EOMONTH(AE1214,0),"")</f>
        <v/>
      </c>
      <c r="AH1214" s="9">
        <f>IF(AF1214=1,UPPER(TRIM(IFERROR(INDEX($A1214:$AB1214,MATCH("Client",$A$1:$AB$1,0)),"")&amp;"")),"")</f>
        <v/>
      </c>
      <c r="AI1214" s="9">
        <f>IF(AF1214=1,IFERROR(INDEX($A1214:$AB1214,MATCH("Cost Centre",$A$1:$AB$1,0)),"")&amp;"","")</f>
        <v/>
      </c>
      <c r="AJ1214" s="54">
        <f>IF(AND(AF1214=1,AE1214&gt;=set_FYStart,AE1214&lt;=set_AsAt),1,0)</f>
        <v/>
      </c>
      <c r="AK1214" s="54">
        <f>IF(AND(AJ1214=1,AH1214&lt;&gt;"",COUNTIFS($AH$2:AH1214,AH1214,$AJ$2:AJ1214,1)=1),N(AL1213)+1,"")</f>
        <v/>
      </c>
      <c r="AL1214" s="54">
        <f>IF(AK1214&lt;&gt;"",AK1214,N(AL1213))</f>
        <v/>
      </c>
    </row>
    <row r="1215">
      <c r="A1215" t="inlineStr">
        <is>
          <t>PRD-0405</t>
        </is>
      </c>
      <c r="B1215" t="inlineStr">
        <is>
          <t>Production</t>
        </is>
      </c>
      <c r="AB1215" t="n">
        <v>405</v>
      </c>
      <c r="AD1215" s="52">
        <f>IFERROR(N(IFERROR(INDEX($A1215:$AB1215,MATCH("Xero Invoiced Ex GST",$A$1:$AB$1,0)),"")),0)</f>
        <v/>
      </c>
      <c r="AE1215" s="53">
        <f>IFERROR(INDEX($A1215:$AB1215,MATCH("Xero Invoice Date",$A$1:$AB$1,0)),"")</f>
        <v/>
      </c>
      <c r="AF1215" s="54">
        <f>IF(AND(IFERROR(INDEX($A1215:$AB1215,MATCH("Xero Invoice No",$A$1:$AB$1,0)),"")&amp;""&lt;&gt;"",ISNUMBER(AE1215),AD1215&lt;&gt;0),1,0)</f>
        <v/>
      </c>
      <c r="AG1215" s="55">
        <f>IF(AF1215=1,EOMONTH(AE1215,0),"")</f>
        <v/>
      </c>
      <c r="AH1215" s="9">
        <f>IF(AF1215=1,UPPER(TRIM(IFERROR(INDEX($A1215:$AB1215,MATCH("Client",$A$1:$AB$1,0)),"")&amp;"")),"")</f>
        <v/>
      </c>
      <c r="AI1215" s="9">
        <f>IF(AF1215=1,IFERROR(INDEX($A1215:$AB1215,MATCH("Cost Centre",$A$1:$AB$1,0)),"")&amp;"","")</f>
        <v/>
      </c>
      <c r="AJ1215" s="54">
        <f>IF(AND(AF1215=1,AE1215&gt;=set_FYStart,AE1215&lt;=set_AsAt),1,0)</f>
        <v/>
      </c>
      <c r="AK1215" s="54">
        <f>IF(AND(AJ1215=1,AH1215&lt;&gt;"",COUNTIFS($AH$2:AH1215,AH1215,$AJ$2:AJ1215,1)=1),N(AL1214)+1,"")</f>
        <v/>
      </c>
      <c r="AL1215" s="54">
        <f>IF(AK1215&lt;&gt;"",AK1215,N(AL1214))</f>
        <v/>
      </c>
    </row>
    <row r="1216">
      <c r="A1216" t="inlineStr">
        <is>
          <t>CON-0405</t>
        </is>
      </c>
      <c r="B1216" t="inlineStr">
        <is>
          <t>Consulting</t>
        </is>
      </c>
      <c r="AB1216" t="n">
        <v>405</v>
      </c>
      <c r="AD1216" s="52">
        <f>IFERROR(N(IFERROR(INDEX($A1216:$AB1216,MATCH("Xero Invoiced Ex GST",$A$1:$AB$1,0)),"")),0)</f>
        <v/>
      </c>
      <c r="AE1216" s="53">
        <f>IFERROR(INDEX($A1216:$AB1216,MATCH("Xero Invoice Date",$A$1:$AB$1,0)),"")</f>
        <v/>
      </c>
      <c r="AF1216" s="54">
        <f>IF(AND(IFERROR(INDEX($A1216:$AB1216,MATCH("Xero Invoice No",$A$1:$AB$1,0)),"")&amp;""&lt;&gt;"",ISNUMBER(AE1216),AD1216&lt;&gt;0),1,0)</f>
        <v/>
      </c>
      <c r="AG1216" s="55">
        <f>IF(AF1216=1,EOMONTH(AE1216,0),"")</f>
        <v/>
      </c>
      <c r="AH1216" s="9">
        <f>IF(AF1216=1,UPPER(TRIM(IFERROR(INDEX($A1216:$AB1216,MATCH("Client",$A$1:$AB$1,0)),"")&amp;"")),"")</f>
        <v/>
      </c>
      <c r="AI1216" s="9">
        <f>IF(AF1216=1,IFERROR(INDEX($A1216:$AB1216,MATCH("Cost Centre",$A$1:$AB$1,0)),"")&amp;"","")</f>
        <v/>
      </c>
      <c r="AJ1216" s="54">
        <f>IF(AND(AF1216=1,AE1216&gt;=set_FYStart,AE1216&lt;=set_AsAt),1,0)</f>
        <v/>
      </c>
      <c r="AK1216" s="54">
        <f>IF(AND(AJ1216=1,AH1216&lt;&gt;"",COUNTIFS($AH$2:AH1216,AH1216,$AJ$2:AJ1216,1)=1),N(AL1215)+1,"")</f>
        <v/>
      </c>
      <c r="AL1216" s="54">
        <f>IF(AK1216&lt;&gt;"",AK1216,N(AL1215))</f>
        <v/>
      </c>
    </row>
    <row r="1217">
      <c r="A1217" t="inlineStr">
        <is>
          <t>ONS-0406</t>
        </is>
      </c>
      <c r="B1217" t="inlineStr">
        <is>
          <t>Onsite</t>
        </is>
      </c>
      <c r="AB1217" t="n">
        <v>406</v>
      </c>
      <c r="AD1217" s="52">
        <f>IFERROR(N(IFERROR(INDEX($A1217:$AB1217,MATCH("Xero Invoiced Ex GST",$A$1:$AB$1,0)),"")),0)</f>
        <v/>
      </c>
      <c r="AE1217" s="53">
        <f>IFERROR(INDEX($A1217:$AB1217,MATCH("Xero Invoice Date",$A$1:$AB$1,0)),"")</f>
        <v/>
      </c>
      <c r="AF1217" s="54">
        <f>IF(AND(IFERROR(INDEX($A1217:$AB1217,MATCH("Xero Invoice No",$A$1:$AB$1,0)),"")&amp;""&lt;&gt;"",ISNUMBER(AE1217),AD1217&lt;&gt;0),1,0)</f>
        <v/>
      </c>
      <c r="AG1217" s="55">
        <f>IF(AF1217=1,EOMONTH(AE1217,0),"")</f>
        <v/>
      </c>
      <c r="AH1217" s="9">
        <f>IF(AF1217=1,UPPER(TRIM(IFERROR(INDEX($A1217:$AB1217,MATCH("Client",$A$1:$AB$1,0)),"")&amp;"")),"")</f>
        <v/>
      </c>
      <c r="AI1217" s="9">
        <f>IF(AF1217=1,IFERROR(INDEX($A1217:$AB1217,MATCH("Cost Centre",$A$1:$AB$1,0)),"")&amp;"","")</f>
        <v/>
      </c>
      <c r="AJ1217" s="54">
        <f>IF(AND(AF1217=1,AE1217&gt;=set_FYStart,AE1217&lt;=set_AsAt),1,0)</f>
        <v/>
      </c>
      <c r="AK1217" s="54">
        <f>IF(AND(AJ1217=1,AH1217&lt;&gt;"",COUNTIFS($AH$2:AH1217,AH1217,$AJ$2:AJ1217,1)=1),N(AL1216)+1,"")</f>
        <v/>
      </c>
      <c r="AL1217" s="54">
        <f>IF(AK1217&lt;&gt;"",AK1217,N(AL1216))</f>
        <v/>
      </c>
    </row>
    <row r="1218">
      <c r="A1218" t="inlineStr">
        <is>
          <t>PRD-0406</t>
        </is>
      </c>
      <c r="B1218" t="inlineStr">
        <is>
          <t>Production</t>
        </is>
      </c>
      <c r="AB1218" t="n">
        <v>406</v>
      </c>
      <c r="AD1218" s="52">
        <f>IFERROR(N(IFERROR(INDEX($A1218:$AB1218,MATCH("Xero Invoiced Ex GST",$A$1:$AB$1,0)),"")),0)</f>
        <v/>
      </c>
      <c r="AE1218" s="53">
        <f>IFERROR(INDEX($A1218:$AB1218,MATCH("Xero Invoice Date",$A$1:$AB$1,0)),"")</f>
        <v/>
      </c>
      <c r="AF1218" s="54">
        <f>IF(AND(IFERROR(INDEX($A1218:$AB1218,MATCH("Xero Invoice No",$A$1:$AB$1,0)),"")&amp;""&lt;&gt;"",ISNUMBER(AE1218),AD1218&lt;&gt;0),1,0)</f>
        <v/>
      </c>
      <c r="AG1218" s="55">
        <f>IF(AF1218=1,EOMONTH(AE1218,0),"")</f>
        <v/>
      </c>
      <c r="AH1218" s="9">
        <f>IF(AF1218=1,UPPER(TRIM(IFERROR(INDEX($A1218:$AB1218,MATCH("Client",$A$1:$AB$1,0)),"")&amp;"")),"")</f>
        <v/>
      </c>
      <c r="AI1218" s="9">
        <f>IF(AF1218=1,IFERROR(INDEX($A1218:$AB1218,MATCH("Cost Centre",$A$1:$AB$1,0)),"")&amp;"","")</f>
        <v/>
      </c>
      <c r="AJ1218" s="54">
        <f>IF(AND(AF1218=1,AE1218&gt;=set_FYStart,AE1218&lt;=set_AsAt),1,0)</f>
        <v/>
      </c>
      <c r="AK1218" s="54">
        <f>IF(AND(AJ1218=1,AH1218&lt;&gt;"",COUNTIFS($AH$2:AH1218,AH1218,$AJ$2:AJ1218,1)=1),N(AL1217)+1,"")</f>
        <v/>
      </c>
      <c r="AL1218" s="54">
        <f>IF(AK1218&lt;&gt;"",AK1218,N(AL1217))</f>
        <v/>
      </c>
    </row>
    <row r="1219">
      <c r="A1219" t="inlineStr">
        <is>
          <t>CON-0406</t>
        </is>
      </c>
      <c r="B1219" t="inlineStr">
        <is>
          <t>Consulting</t>
        </is>
      </c>
      <c r="AB1219" t="n">
        <v>406</v>
      </c>
      <c r="AD1219" s="52">
        <f>IFERROR(N(IFERROR(INDEX($A1219:$AB1219,MATCH("Xero Invoiced Ex GST",$A$1:$AB$1,0)),"")),0)</f>
        <v/>
      </c>
      <c r="AE1219" s="53">
        <f>IFERROR(INDEX($A1219:$AB1219,MATCH("Xero Invoice Date",$A$1:$AB$1,0)),"")</f>
        <v/>
      </c>
      <c r="AF1219" s="54">
        <f>IF(AND(IFERROR(INDEX($A1219:$AB1219,MATCH("Xero Invoice No",$A$1:$AB$1,0)),"")&amp;""&lt;&gt;"",ISNUMBER(AE1219),AD1219&lt;&gt;0),1,0)</f>
        <v/>
      </c>
      <c r="AG1219" s="55">
        <f>IF(AF1219=1,EOMONTH(AE1219,0),"")</f>
        <v/>
      </c>
      <c r="AH1219" s="9">
        <f>IF(AF1219=1,UPPER(TRIM(IFERROR(INDEX($A1219:$AB1219,MATCH("Client",$A$1:$AB$1,0)),"")&amp;"")),"")</f>
        <v/>
      </c>
      <c r="AI1219" s="9">
        <f>IF(AF1219=1,IFERROR(INDEX($A1219:$AB1219,MATCH("Cost Centre",$A$1:$AB$1,0)),"")&amp;"","")</f>
        <v/>
      </c>
      <c r="AJ1219" s="54">
        <f>IF(AND(AF1219=1,AE1219&gt;=set_FYStart,AE1219&lt;=set_AsAt),1,0)</f>
        <v/>
      </c>
      <c r="AK1219" s="54">
        <f>IF(AND(AJ1219=1,AH1219&lt;&gt;"",COUNTIFS($AH$2:AH1219,AH1219,$AJ$2:AJ1219,1)=1),N(AL1218)+1,"")</f>
        <v/>
      </c>
      <c r="AL1219" s="54">
        <f>IF(AK1219&lt;&gt;"",AK1219,N(AL1218))</f>
        <v/>
      </c>
    </row>
    <row r="1220">
      <c r="A1220" t="inlineStr">
        <is>
          <t>ONS-0407</t>
        </is>
      </c>
      <c r="B1220" t="inlineStr">
        <is>
          <t>Onsite</t>
        </is>
      </c>
      <c r="AB1220" t="n">
        <v>407</v>
      </c>
      <c r="AD1220" s="52">
        <f>IFERROR(N(IFERROR(INDEX($A1220:$AB1220,MATCH("Xero Invoiced Ex GST",$A$1:$AB$1,0)),"")),0)</f>
        <v/>
      </c>
      <c r="AE1220" s="53">
        <f>IFERROR(INDEX($A1220:$AB1220,MATCH("Xero Invoice Date",$A$1:$AB$1,0)),"")</f>
        <v/>
      </c>
      <c r="AF1220" s="54">
        <f>IF(AND(IFERROR(INDEX($A1220:$AB1220,MATCH("Xero Invoice No",$A$1:$AB$1,0)),"")&amp;""&lt;&gt;"",ISNUMBER(AE1220),AD1220&lt;&gt;0),1,0)</f>
        <v/>
      </c>
      <c r="AG1220" s="55">
        <f>IF(AF1220=1,EOMONTH(AE1220,0),"")</f>
        <v/>
      </c>
      <c r="AH1220" s="9">
        <f>IF(AF1220=1,UPPER(TRIM(IFERROR(INDEX($A1220:$AB1220,MATCH("Client",$A$1:$AB$1,0)),"")&amp;"")),"")</f>
        <v/>
      </c>
      <c r="AI1220" s="9">
        <f>IF(AF1220=1,IFERROR(INDEX($A1220:$AB1220,MATCH("Cost Centre",$A$1:$AB$1,0)),"")&amp;"","")</f>
        <v/>
      </c>
      <c r="AJ1220" s="54">
        <f>IF(AND(AF1220=1,AE1220&gt;=set_FYStart,AE1220&lt;=set_AsAt),1,0)</f>
        <v/>
      </c>
      <c r="AK1220" s="54">
        <f>IF(AND(AJ1220=1,AH1220&lt;&gt;"",COUNTIFS($AH$2:AH1220,AH1220,$AJ$2:AJ1220,1)=1),N(AL1219)+1,"")</f>
        <v/>
      </c>
      <c r="AL1220" s="54">
        <f>IF(AK1220&lt;&gt;"",AK1220,N(AL1219))</f>
        <v/>
      </c>
    </row>
    <row r="1221">
      <c r="A1221" t="inlineStr">
        <is>
          <t>PRD-0407</t>
        </is>
      </c>
      <c r="B1221" t="inlineStr">
        <is>
          <t>Production</t>
        </is>
      </c>
      <c r="AB1221" t="n">
        <v>407</v>
      </c>
      <c r="AD1221" s="52">
        <f>IFERROR(N(IFERROR(INDEX($A1221:$AB1221,MATCH("Xero Invoiced Ex GST",$A$1:$AB$1,0)),"")),0)</f>
        <v/>
      </c>
      <c r="AE1221" s="53">
        <f>IFERROR(INDEX($A1221:$AB1221,MATCH("Xero Invoice Date",$A$1:$AB$1,0)),"")</f>
        <v/>
      </c>
      <c r="AF1221" s="54">
        <f>IF(AND(IFERROR(INDEX($A1221:$AB1221,MATCH("Xero Invoice No",$A$1:$AB$1,0)),"")&amp;""&lt;&gt;"",ISNUMBER(AE1221),AD1221&lt;&gt;0),1,0)</f>
        <v/>
      </c>
      <c r="AG1221" s="55">
        <f>IF(AF1221=1,EOMONTH(AE1221,0),"")</f>
        <v/>
      </c>
      <c r="AH1221" s="9">
        <f>IF(AF1221=1,UPPER(TRIM(IFERROR(INDEX($A1221:$AB1221,MATCH("Client",$A$1:$AB$1,0)),"")&amp;"")),"")</f>
        <v/>
      </c>
      <c r="AI1221" s="9">
        <f>IF(AF1221=1,IFERROR(INDEX($A1221:$AB1221,MATCH("Cost Centre",$A$1:$AB$1,0)),"")&amp;"","")</f>
        <v/>
      </c>
      <c r="AJ1221" s="54">
        <f>IF(AND(AF1221=1,AE1221&gt;=set_FYStart,AE1221&lt;=set_AsAt),1,0)</f>
        <v/>
      </c>
      <c r="AK1221" s="54">
        <f>IF(AND(AJ1221=1,AH1221&lt;&gt;"",COUNTIFS($AH$2:AH1221,AH1221,$AJ$2:AJ1221,1)=1),N(AL1220)+1,"")</f>
        <v/>
      </c>
      <c r="AL1221" s="54">
        <f>IF(AK1221&lt;&gt;"",AK1221,N(AL1220))</f>
        <v/>
      </c>
    </row>
    <row r="1222">
      <c r="A1222" t="inlineStr">
        <is>
          <t>CON-0407</t>
        </is>
      </c>
      <c r="B1222" t="inlineStr">
        <is>
          <t>Consulting</t>
        </is>
      </c>
      <c r="AB1222" t="n">
        <v>407</v>
      </c>
      <c r="AD1222" s="52">
        <f>IFERROR(N(IFERROR(INDEX($A1222:$AB1222,MATCH("Xero Invoiced Ex GST",$A$1:$AB$1,0)),"")),0)</f>
        <v/>
      </c>
      <c r="AE1222" s="53">
        <f>IFERROR(INDEX($A1222:$AB1222,MATCH("Xero Invoice Date",$A$1:$AB$1,0)),"")</f>
        <v/>
      </c>
      <c r="AF1222" s="54">
        <f>IF(AND(IFERROR(INDEX($A1222:$AB1222,MATCH("Xero Invoice No",$A$1:$AB$1,0)),"")&amp;""&lt;&gt;"",ISNUMBER(AE1222),AD1222&lt;&gt;0),1,0)</f>
        <v/>
      </c>
      <c r="AG1222" s="55">
        <f>IF(AF1222=1,EOMONTH(AE1222,0),"")</f>
        <v/>
      </c>
      <c r="AH1222" s="9">
        <f>IF(AF1222=1,UPPER(TRIM(IFERROR(INDEX($A1222:$AB1222,MATCH("Client",$A$1:$AB$1,0)),"")&amp;"")),"")</f>
        <v/>
      </c>
      <c r="AI1222" s="9">
        <f>IF(AF1222=1,IFERROR(INDEX($A1222:$AB1222,MATCH("Cost Centre",$A$1:$AB$1,0)),"")&amp;"","")</f>
        <v/>
      </c>
      <c r="AJ1222" s="54">
        <f>IF(AND(AF1222=1,AE1222&gt;=set_FYStart,AE1222&lt;=set_AsAt),1,0)</f>
        <v/>
      </c>
      <c r="AK1222" s="54">
        <f>IF(AND(AJ1222=1,AH1222&lt;&gt;"",COUNTIFS($AH$2:AH1222,AH1222,$AJ$2:AJ1222,1)=1),N(AL1221)+1,"")</f>
        <v/>
      </c>
      <c r="AL1222" s="54">
        <f>IF(AK1222&lt;&gt;"",AK1222,N(AL1221))</f>
        <v/>
      </c>
    </row>
    <row r="1223">
      <c r="A1223" t="inlineStr">
        <is>
          <t>ONS-0408</t>
        </is>
      </c>
      <c r="B1223" t="inlineStr">
        <is>
          <t>Onsite</t>
        </is>
      </c>
      <c r="AB1223" t="n">
        <v>408</v>
      </c>
      <c r="AD1223" s="52">
        <f>IFERROR(N(IFERROR(INDEX($A1223:$AB1223,MATCH("Xero Invoiced Ex GST",$A$1:$AB$1,0)),"")),0)</f>
        <v/>
      </c>
      <c r="AE1223" s="53">
        <f>IFERROR(INDEX($A1223:$AB1223,MATCH("Xero Invoice Date",$A$1:$AB$1,0)),"")</f>
        <v/>
      </c>
      <c r="AF1223" s="54">
        <f>IF(AND(IFERROR(INDEX($A1223:$AB1223,MATCH("Xero Invoice No",$A$1:$AB$1,0)),"")&amp;""&lt;&gt;"",ISNUMBER(AE1223),AD1223&lt;&gt;0),1,0)</f>
        <v/>
      </c>
      <c r="AG1223" s="55">
        <f>IF(AF1223=1,EOMONTH(AE1223,0),"")</f>
        <v/>
      </c>
      <c r="AH1223" s="9">
        <f>IF(AF1223=1,UPPER(TRIM(IFERROR(INDEX($A1223:$AB1223,MATCH("Client",$A$1:$AB$1,0)),"")&amp;"")),"")</f>
        <v/>
      </c>
      <c r="AI1223" s="9">
        <f>IF(AF1223=1,IFERROR(INDEX($A1223:$AB1223,MATCH("Cost Centre",$A$1:$AB$1,0)),"")&amp;"","")</f>
        <v/>
      </c>
      <c r="AJ1223" s="54">
        <f>IF(AND(AF1223=1,AE1223&gt;=set_FYStart,AE1223&lt;=set_AsAt),1,0)</f>
        <v/>
      </c>
      <c r="AK1223" s="54">
        <f>IF(AND(AJ1223=1,AH1223&lt;&gt;"",COUNTIFS($AH$2:AH1223,AH1223,$AJ$2:AJ1223,1)=1),N(AL1222)+1,"")</f>
        <v/>
      </c>
      <c r="AL1223" s="54">
        <f>IF(AK1223&lt;&gt;"",AK1223,N(AL1222))</f>
        <v/>
      </c>
    </row>
    <row r="1224">
      <c r="A1224" t="inlineStr">
        <is>
          <t>PRD-0408</t>
        </is>
      </c>
      <c r="B1224" t="inlineStr">
        <is>
          <t>Production</t>
        </is>
      </c>
      <c r="AB1224" t="n">
        <v>408</v>
      </c>
      <c r="AD1224" s="52">
        <f>IFERROR(N(IFERROR(INDEX($A1224:$AB1224,MATCH("Xero Invoiced Ex GST",$A$1:$AB$1,0)),"")),0)</f>
        <v/>
      </c>
      <c r="AE1224" s="53">
        <f>IFERROR(INDEX($A1224:$AB1224,MATCH("Xero Invoice Date",$A$1:$AB$1,0)),"")</f>
        <v/>
      </c>
      <c r="AF1224" s="54">
        <f>IF(AND(IFERROR(INDEX($A1224:$AB1224,MATCH("Xero Invoice No",$A$1:$AB$1,0)),"")&amp;""&lt;&gt;"",ISNUMBER(AE1224),AD1224&lt;&gt;0),1,0)</f>
        <v/>
      </c>
      <c r="AG1224" s="55">
        <f>IF(AF1224=1,EOMONTH(AE1224,0),"")</f>
        <v/>
      </c>
      <c r="AH1224" s="9">
        <f>IF(AF1224=1,UPPER(TRIM(IFERROR(INDEX($A1224:$AB1224,MATCH("Client",$A$1:$AB$1,0)),"")&amp;"")),"")</f>
        <v/>
      </c>
      <c r="AI1224" s="9">
        <f>IF(AF1224=1,IFERROR(INDEX($A1224:$AB1224,MATCH("Cost Centre",$A$1:$AB$1,0)),"")&amp;"","")</f>
        <v/>
      </c>
      <c r="AJ1224" s="54">
        <f>IF(AND(AF1224=1,AE1224&gt;=set_FYStart,AE1224&lt;=set_AsAt),1,0)</f>
        <v/>
      </c>
      <c r="AK1224" s="54">
        <f>IF(AND(AJ1224=1,AH1224&lt;&gt;"",COUNTIFS($AH$2:AH1224,AH1224,$AJ$2:AJ1224,1)=1),N(AL1223)+1,"")</f>
        <v/>
      </c>
      <c r="AL1224" s="54">
        <f>IF(AK1224&lt;&gt;"",AK1224,N(AL1223))</f>
        <v/>
      </c>
    </row>
    <row r="1225">
      <c r="A1225" t="inlineStr">
        <is>
          <t>CON-0408</t>
        </is>
      </c>
      <c r="B1225" t="inlineStr">
        <is>
          <t>Consulting</t>
        </is>
      </c>
      <c r="AB1225" t="n">
        <v>408</v>
      </c>
      <c r="AD1225" s="52">
        <f>IFERROR(N(IFERROR(INDEX($A1225:$AB1225,MATCH("Xero Invoiced Ex GST",$A$1:$AB$1,0)),"")),0)</f>
        <v/>
      </c>
      <c r="AE1225" s="53">
        <f>IFERROR(INDEX($A1225:$AB1225,MATCH("Xero Invoice Date",$A$1:$AB$1,0)),"")</f>
        <v/>
      </c>
      <c r="AF1225" s="54">
        <f>IF(AND(IFERROR(INDEX($A1225:$AB1225,MATCH("Xero Invoice No",$A$1:$AB$1,0)),"")&amp;""&lt;&gt;"",ISNUMBER(AE1225),AD1225&lt;&gt;0),1,0)</f>
        <v/>
      </c>
      <c r="AG1225" s="55">
        <f>IF(AF1225=1,EOMONTH(AE1225,0),"")</f>
        <v/>
      </c>
      <c r="AH1225" s="9">
        <f>IF(AF1225=1,UPPER(TRIM(IFERROR(INDEX($A1225:$AB1225,MATCH("Client",$A$1:$AB$1,0)),"")&amp;"")),"")</f>
        <v/>
      </c>
      <c r="AI1225" s="9">
        <f>IF(AF1225=1,IFERROR(INDEX($A1225:$AB1225,MATCH("Cost Centre",$A$1:$AB$1,0)),"")&amp;"","")</f>
        <v/>
      </c>
      <c r="AJ1225" s="54">
        <f>IF(AND(AF1225=1,AE1225&gt;=set_FYStart,AE1225&lt;=set_AsAt),1,0)</f>
        <v/>
      </c>
      <c r="AK1225" s="54">
        <f>IF(AND(AJ1225=1,AH1225&lt;&gt;"",COUNTIFS($AH$2:AH1225,AH1225,$AJ$2:AJ1225,1)=1),N(AL1224)+1,"")</f>
        <v/>
      </c>
      <c r="AL1225" s="54">
        <f>IF(AK1225&lt;&gt;"",AK1225,N(AL1224))</f>
        <v/>
      </c>
    </row>
    <row r="1226">
      <c r="A1226" t="inlineStr">
        <is>
          <t>ONS-0409</t>
        </is>
      </c>
      <c r="B1226" t="inlineStr">
        <is>
          <t>Onsite</t>
        </is>
      </c>
      <c r="AB1226" t="n">
        <v>409</v>
      </c>
      <c r="AD1226" s="52">
        <f>IFERROR(N(IFERROR(INDEX($A1226:$AB1226,MATCH("Xero Invoiced Ex GST",$A$1:$AB$1,0)),"")),0)</f>
        <v/>
      </c>
      <c r="AE1226" s="53">
        <f>IFERROR(INDEX($A1226:$AB1226,MATCH("Xero Invoice Date",$A$1:$AB$1,0)),"")</f>
        <v/>
      </c>
      <c r="AF1226" s="54">
        <f>IF(AND(IFERROR(INDEX($A1226:$AB1226,MATCH("Xero Invoice No",$A$1:$AB$1,0)),"")&amp;""&lt;&gt;"",ISNUMBER(AE1226),AD1226&lt;&gt;0),1,0)</f>
        <v/>
      </c>
      <c r="AG1226" s="55">
        <f>IF(AF1226=1,EOMONTH(AE1226,0),"")</f>
        <v/>
      </c>
      <c r="AH1226" s="9">
        <f>IF(AF1226=1,UPPER(TRIM(IFERROR(INDEX($A1226:$AB1226,MATCH("Client",$A$1:$AB$1,0)),"")&amp;"")),"")</f>
        <v/>
      </c>
      <c r="AI1226" s="9">
        <f>IF(AF1226=1,IFERROR(INDEX($A1226:$AB1226,MATCH("Cost Centre",$A$1:$AB$1,0)),"")&amp;"","")</f>
        <v/>
      </c>
      <c r="AJ1226" s="54">
        <f>IF(AND(AF1226=1,AE1226&gt;=set_FYStart,AE1226&lt;=set_AsAt),1,0)</f>
        <v/>
      </c>
      <c r="AK1226" s="54">
        <f>IF(AND(AJ1226=1,AH1226&lt;&gt;"",COUNTIFS($AH$2:AH1226,AH1226,$AJ$2:AJ1226,1)=1),N(AL1225)+1,"")</f>
        <v/>
      </c>
      <c r="AL1226" s="54">
        <f>IF(AK1226&lt;&gt;"",AK1226,N(AL1225))</f>
        <v/>
      </c>
    </row>
    <row r="1227">
      <c r="A1227" t="inlineStr">
        <is>
          <t>PRD-0409</t>
        </is>
      </c>
      <c r="B1227" t="inlineStr">
        <is>
          <t>Production</t>
        </is>
      </c>
      <c r="AB1227" t="n">
        <v>409</v>
      </c>
      <c r="AD1227" s="52">
        <f>IFERROR(N(IFERROR(INDEX($A1227:$AB1227,MATCH("Xero Invoiced Ex GST",$A$1:$AB$1,0)),"")),0)</f>
        <v/>
      </c>
      <c r="AE1227" s="53">
        <f>IFERROR(INDEX($A1227:$AB1227,MATCH("Xero Invoice Date",$A$1:$AB$1,0)),"")</f>
        <v/>
      </c>
      <c r="AF1227" s="54">
        <f>IF(AND(IFERROR(INDEX($A1227:$AB1227,MATCH("Xero Invoice No",$A$1:$AB$1,0)),"")&amp;""&lt;&gt;"",ISNUMBER(AE1227),AD1227&lt;&gt;0),1,0)</f>
        <v/>
      </c>
      <c r="AG1227" s="55">
        <f>IF(AF1227=1,EOMONTH(AE1227,0),"")</f>
        <v/>
      </c>
      <c r="AH1227" s="9">
        <f>IF(AF1227=1,UPPER(TRIM(IFERROR(INDEX($A1227:$AB1227,MATCH("Client",$A$1:$AB$1,0)),"")&amp;"")),"")</f>
        <v/>
      </c>
      <c r="AI1227" s="9">
        <f>IF(AF1227=1,IFERROR(INDEX($A1227:$AB1227,MATCH("Cost Centre",$A$1:$AB$1,0)),"")&amp;"","")</f>
        <v/>
      </c>
      <c r="AJ1227" s="54">
        <f>IF(AND(AF1227=1,AE1227&gt;=set_FYStart,AE1227&lt;=set_AsAt),1,0)</f>
        <v/>
      </c>
      <c r="AK1227" s="54">
        <f>IF(AND(AJ1227=1,AH1227&lt;&gt;"",COUNTIFS($AH$2:AH1227,AH1227,$AJ$2:AJ1227,1)=1),N(AL1226)+1,"")</f>
        <v/>
      </c>
      <c r="AL1227" s="54">
        <f>IF(AK1227&lt;&gt;"",AK1227,N(AL1226))</f>
        <v/>
      </c>
    </row>
    <row r="1228">
      <c r="A1228" t="inlineStr">
        <is>
          <t>CON-0409</t>
        </is>
      </c>
      <c r="B1228" t="inlineStr">
        <is>
          <t>Consulting</t>
        </is>
      </c>
      <c r="AB1228" t="n">
        <v>409</v>
      </c>
      <c r="AD1228" s="52">
        <f>IFERROR(N(IFERROR(INDEX($A1228:$AB1228,MATCH("Xero Invoiced Ex GST",$A$1:$AB$1,0)),"")),0)</f>
        <v/>
      </c>
      <c r="AE1228" s="53">
        <f>IFERROR(INDEX($A1228:$AB1228,MATCH("Xero Invoice Date",$A$1:$AB$1,0)),"")</f>
        <v/>
      </c>
      <c r="AF1228" s="54">
        <f>IF(AND(IFERROR(INDEX($A1228:$AB1228,MATCH("Xero Invoice No",$A$1:$AB$1,0)),"")&amp;""&lt;&gt;"",ISNUMBER(AE1228),AD1228&lt;&gt;0),1,0)</f>
        <v/>
      </c>
      <c r="AG1228" s="55">
        <f>IF(AF1228=1,EOMONTH(AE1228,0),"")</f>
        <v/>
      </c>
      <c r="AH1228" s="9">
        <f>IF(AF1228=1,UPPER(TRIM(IFERROR(INDEX($A1228:$AB1228,MATCH("Client",$A$1:$AB$1,0)),"")&amp;"")),"")</f>
        <v/>
      </c>
      <c r="AI1228" s="9">
        <f>IF(AF1228=1,IFERROR(INDEX($A1228:$AB1228,MATCH("Cost Centre",$A$1:$AB$1,0)),"")&amp;"","")</f>
        <v/>
      </c>
      <c r="AJ1228" s="54">
        <f>IF(AND(AF1228=1,AE1228&gt;=set_FYStart,AE1228&lt;=set_AsAt),1,0)</f>
        <v/>
      </c>
      <c r="AK1228" s="54">
        <f>IF(AND(AJ1228=1,AH1228&lt;&gt;"",COUNTIFS($AH$2:AH1228,AH1228,$AJ$2:AJ1228,1)=1),N(AL1227)+1,"")</f>
        <v/>
      </c>
      <c r="AL1228" s="54">
        <f>IF(AK1228&lt;&gt;"",AK1228,N(AL1227))</f>
        <v/>
      </c>
    </row>
    <row r="1229">
      <c r="A1229" t="inlineStr">
        <is>
          <t>ONS-0410</t>
        </is>
      </c>
      <c r="B1229" t="inlineStr">
        <is>
          <t>Onsite</t>
        </is>
      </c>
      <c r="AB1229" t="n">
        <v>410</v>
      </c>
      <c r="AD1229" s="52">
        <f>IFERROR(N(IFERROR(INDEX($A1229:$AB1229,MATCH("Xero Invoiced Ex GST",$A$1:$AB$1,0)),"")),0)</f>
        <v/>
      </c>
      <c r="AE1229" s="53">
        <f>IFERROR(INDEX($A1229:$AB1229,MATCH("Xero Invoice Date",$A$1:$AB$1,0)),"")</f>
        <v/>
      </c>
      <c r="AF1229" s="54">
        <f>IF(AND(IFERROR(INDEX($A1229:$AB1229,MATCH("Xero Invoice No",$A$1:$AB$1,0)),"")&amp;""&lt;&gt;"",ISNUMBER(AE1229),AD1229&lt;&gt;0),1,0)</f>
        <v/>
      </c>
      <c r="AG1229" s="55">
        <f>IF(AF1229=1,EOMONTH(AE1229,0),"")</f>
        <v/>
      </c>
      <c r="AH1229" s="9">
        <f>IF(AF1229=1,UPPER(TRIM(IFERROR(INDEX($A1229:$AB1229,MATCH("Client",$A$1:$AB$1,0)),"")&amp;"")),"")</f>
        <v/>
      </c>
      <c r="AI1229" s="9">
        <f>IF(AF1229=1,IFERROR(INDEX($A1229:$AB1229,MATCH("Cost Centre",$A$1:$AB$1,0)),"")&amp;"","")</f>
        <v/>
      </c>
      <c r="AJ1229" s="54">
        <f>IF(AND(AF1229=1,AE1229&gt;=set_FYStart,AE1229&lt;=set_AsAt),1,0)</f>
        <v/>
      </c>
      <c r="AK1229" s="54">
        <f>IF(AND(AJ1229=1,AH1229&lt;&gt;"",COUNTIFS($AH$2:AH1229,AH1229,$AJ$2:AJ1229,1)=1),N(AL1228)+1,"")</f>
        <v/>
      </c>
      <c r="AL1229" s="54">
        <f>IF(AK1229&lt;&gt;"",AK1229,N(AL1228))</f>
        <v/>
      </c>
    </row>
    <row r="1230">
      <c r="A1230" t="inlineStr">
        <is>
          <t>PRD-0410</t>
        </is>
      </c>
      <c r="B1230" t="inlineStr">
        <is>
          <t>Production</t>
        </is>
      </c>
      <c r="AB1230" t="n">
        <v>410</v>
      </c>
      <c r="AD1230" s="52">
        <f>IFERROR(N(IFERROR(INDEX($A1230:$AB1230,MATCH("Xero Invoiced Ex GST",$A$1:$AB$1,0)),"")),0)</f>
        <v/>
      </c>
      <c r="AE1230" s="53">
        <f>IFERROR(INDEX($A1230:$AB1230,MATCH("Xero Invoice Date",$A$1:$AB$1,0)),"")</f>
        <v/>
      </c>
      <c r="AF1230" s="54">
        <f>IF(AND(IFERROR(INDEX($A1230:$AB1230,MATCH("Xero Invoice No",$A$1:$AB$1,0)),"")&amp;""&lt;&gt;"",ISNUMBER(AE1230),AD1230&lt;&gt;0),1,0)</f>
        <v/>
      </c>
      <c r="AG1230" s="55">
        <f>IF(AF1230=1,EOMONTH(AE1230,0),"")</f>
        <v/>
      </c>
      <c r="AH1230" s="9">
        <f>IF(AF1230=1,UPPER(TRIM(IFERROR(INDEX($A1230:$AB1230,MATCH("Client",$A$1:$AB$1,0)),"")&amp;"")),"")</f>
        <v/>
      </c>
      <c r="AI1230" s="9">
        <f>IF(AF1230=1,IFERROR(INDEX($A1230:$AB1230,MATCH("Cost Centre",$A$1:$AB$1,0)),"")&amp;"","")</f>
        <v/>
      </c>
      <c r="AJ1230" s="54">
        <f>IF(AND(AF1230=1,AE1230&gt;=set_FYStart,AE1230&lt;=set_AsAt),1,0)</f>
        <v/>
      </c>
      <c r="AK1230" s="54">
        <f>IF(AND(AJ1230=1,AH1230&lt;&gt;"",COUNTIFS($AH$2:AH1230,AH1230,$AJ$2:AJ1230,1)=1),N(AL1229)+1,"")</f>
        <v/>
      </c>
      <c r="AL1230" s="54">
        <f>IF(AK1230&lt;&gt;"",AK1230,N(AL1229))</f>
        <v/>
      </c>
    </row>
    <row r="1231">
      <c r="A1231" t="inlineStr">
        <is>
          <t>CON-0410</t>
        </is>
      </c>
      <c r="B1231" t="inlineStr">
        <is>
          <t>Consulting</t>
        </is>
      </c>
      <c r="AB1231" t="n">
        <v>410</v>
      </c>
      <c r="AD1231" s="52">
        <f>IFERROR(N(IFERROR(INDEX($A1231:$AB1231,MATCH("Xero Invoiced Ex GST",$A$1:$AB$1,0)),"")),0)</f>
        <v/>
      </c>
      <c r="AE1231" s="53">
        <f>IFERROR(INDEX($A1231:$AB1231,MATCH("Xero Invoice Date",$A$1:$AB$1,0)),"")</f>
        <v/>
      </c>
      <c r="AF1231" s="54">
        <f>IF(AND(IFERROR(INDEX($A1231:$AB1231,MATCH("Xero Invoice No",$A$1:$AB$1,0)),"")&amp;""&lt;&gt;"",ISNUMBER(AE1231),AD1231&lt;&gt;0),1,0)</f>
        <v/>
      </c>
      <c r="AG1231" s="55">
        <f>IF(AF1231=1,EOMONTH(AE1231,0),"")</f>
        <v/>
      </c>
      <c r="AH1231" s="9">
        <f>IF(AF1231=1,UPPER(TRIM(IFERROR(INDEX($A1231:$AB1231,MATCH("Client",$A$1:$AB$1,0)),"")&amp;"")),"")</f>
        <v/>
      </c>
      <c r="AI1231" s="9">
        <f>IF(AF1231=1,IFERROR(INDEX($A1231:$AB1231,MATCH("Cost Centre",$A$1:$AB$1,0)),"")&amp;"","")</f>
        <v/>
      </c>
      <c r="AJ1231" s="54">
        <f>IF(AND(AF1231=1,AE1231&gt;=set_FYStart,AE1231&lt;=set_AsAt),1,0)</f>
        <v/>
      </c>
      <c r="AK1231" s="54">
        <f>IF(AND(AJ1231=1,AH1231&lt;&gt;"",COUNTIFS($AH$2:AH1231,AH1231,$AJ$2:AJ1231,1)=1),N(AL1230)+1,"")</f>
        <v/>
      </c>
      <c r="AL1231" s="54">
        <f>IF(AK1231&lt;&gt;"",AK1231,N(AL1230))</f>
        <v/>
      </c>
    </row>
    <row r="1232">
      <c r="A1232" t="inlineStr">
        <is>
          <t>ONS-0411</t>
        </is>
      </c>
      <c r="B1232" t="inlineStr">
        <is>
          <t>Onsite</t>
        </is>
      </c>
      <c r="AB1232" t="n">
        <v>411</v>
      </c>
      <c r="AD1232" s="52">
        <f>IFERROR(N(IFERROR(INDEX($A1232:$AB1232,MATCH("Xero Invoiced Ex GST",$A$1:$AB$1,0)),"")),0)</f>
        <v/>
      </c>
      <c r="AE1232" s="53">
        <f>IFERROR(INDEX($A1232:$AB1232,MATCH("Xero Invoice Date",$A$1:$AB$1,0)),"")</f>
        <v/>
      </c>
      <c r="AF1232" s="54">
        <f>IF(AND(IFERROR(INDEX($A1232:$AB1232,MATCH("Xero Invoice No",$A$1:$AB$1,0)),"")&amp;""&lt;&gt;"",ISNUMBER(AE1232),AD1232&lt;&gt;0),1,0)</f>
        <v/>
      </c>
      <c r="AG1232" s="55">
        <f>IF(AF1232=1,EOMONTH(AE1232,0),"")</f>
        <v/>
      </c>
      <c r="AH1232" s="9">
        <f>IF(AF1232=1,UPPER(TRIM(IFERROR(INDEX($A1232:$AB1232,MATCH("Client",$A$1:$AB$1,0)),"")&amp;"")),"")</f>
        <v/>
      </c>
      <c r="AI1232" s="9">
        <f>IF(AF1232=1,IFERROR(INDEX($A1232:$AB1232,MATCH("Cost Centre",$A$1:$AB$1,0)),"")&amp;"","")</f>
        <v/>
      </c>
      <c r="AJ1232" s="54">
        <f>IF(AND(AF1232=1,AE1232&gt;=set_FYStart,AE1232&lt;=set_AsAt),1,0)</f>
        <v/>
      </c>
      <c r="AK1232" s="54">
        <f>IF(AND(AJ1232=1,AH1232&lt;&gt;"",COUNTIFS($AH$2:AH1232,AH1232,$AJ$2:AJ1232,1)=1),N(AL1231)+1,"")</f>
        <v/>
      </c>
      <c r="AL1232" s="54">
        <f>IF(AK1232&lt;&gt;"",AK1232,N(AL1231))</f>
        <v/>
      </c>
    </row>
    <row r="1233">
      <c r="A1233" t="inlineStr">
        <is>
          <t>PRD-0411</t>
        </is>
      </c>
      <c r="B1233" t="inlineStr">
        <is>
          <t>Production</t>
        </is>
      </c>
      <c r="AB1233" t="n">
        <v>411</v>
      </c>
      <c r="AD1233" s="52">
        <f>IFERROR(N(IFERROR(INDEX($A1233:$AB1233,MATCH("Xero Invoiced Ex GST",$A$1:$AB$1,0)),"")),0)</f>
        <v/>
      </c>
      <c r="AE1233" s="53">
        <f>IFERROR(INDEX($A1233:$AB1233,MATCH("Xero Invoice Date",$A$1:$AB$1,0)),"")</f>
        <v/>
      </c>
      <c r="AF1233" s="54">
        <f>IF(AND(IFERROR(INDEX($A1233:$AB1233,MATCH("Xero Invoice No",$A$1:$AB$1,0)),"")&amp;""&lt;&gt;"",ISNUMBER(AE1233),AD1233&lt;&gt;0),1,0)</f>
        <v/>
      </c>
      <c r="AG1233" s="55">
        <f>IF(AF1233=1,EOMONTH(AE1233,0),"")</f>
        <v/>
      </c>
      <c r="AH1233" s="9">
        <f>IF(AF1233=1,UPPER(TRIM(IFERROR(INDEX($A1233:$AB1233,MATCH("Client",$A$1:$AB$1,0)),"")&amp;"")),"")</f>
        <v/>
      </c>
      <c r="AI1233" s="9">
        <f>IF(AF1233=1,IFERROR(INDEX($A1233:$AB1233,MATCH("Cost Centre",$A$1:$AB$1,0)),"")&amp;"","")</f>
        <v/>
      </c>
      <c r="AJ1233" s="54">
        <f>IF(AND(AF1233=1,AE1233&gt;=set_FYStart,AE1233&lt;=set_AsAt),1,0)</f>
        <v/>
      </c>
      <c r="AK1233" s="54">
        <f>IF(AND(AJ1233=1,AH1233&lt;&gt;"",COUNTIFS($AH$2:AH1233,AH1233,$AJ$2:AJ1233,1)=1),N(AL1232)+1,"")</f>
        <v/>
      </c>
      <c r="AL1233" s="54">
        <f>IF(AK1233&lt;&gt;"",AK1233,N(AL1232))</f>
        <v/>
      </c>
    </row>
    <row r="1234">
      <c r="A1234" t="inlineStr">
        <is>
          <t>CON-0411</t>
        </is>
      </c>
      <c r="B1234" t="inlineStr">
        <is>
          <t>Consulting</t>
        </is>
      </c>
      <c r="AB1234" t="n">
        <v>411</v>
      </c>
      <c r="AD1234" s="52">
        <f>IFERROR(N(IFERROR(INDEX($A1234:$AB1234,MATCH("Xero Invoiced Ex GST",$A$1:$AB$1,0)),"")),0)</f>
        <v/>
      </c>
      <c r="AE1234" s="53">
        <f>IFERROR(INDEX($A1234:$AB1234,MATCH("Xero Invoice Date",$A$1:$AB$1,0)),"")</f>
        <v/>
      </c>
      <c r="AF1234" s="54">
        <f>IF(AND(IFERROR(INDEX($A1234:$AB1234,MATCH("Xero Invoice No",$A$1:$AB$1,0)),"")&amp;""&lt;&gt;"",ISNUMBER(AE1234),AD1234&lt;&gt;0),1,0)</f>
        <v/>
      </c>
      <c r="AG1234" s="55">
        <f>IF(AF1234=1,EOMONTH(AE1234,0),"")</f>
        <v/>
      </c>
      <c r="AH1234" s="9">
        <f>IF(AF1234=1,UPPER(TRIM(IFERROR(INDEX($A1234:$AB1234,MATCH("Client",$A$1:$AB$1,0)),"")&amp;"")),"")</f>
        <v/>
      </c>
      <c r="AI1234" s="9">
        <f>IF(AF1234=1,IFERROR(INDEX($A1234:$AB1234,MATCH("Cost Centre",$A$1:$AB$1,0)),"")&amp;"","")</f>
        <v/>
      </c>
      <c r="AJ1234" s="54">
        <f>IF(AND(AF1234=1,AE1234&gt;=set_FYStart,AE1234&lt;=set_AsAt),1,0)</f>
        <v/>
      </c>
      <c r="AK1234" s="54">
        <f>IF(AND(AJ1234=1,AH1234&lt;&gt;"",COUNTIFS($AH$2:AH1234,AH1234,$AJ$2:AJ1234,1)=1),N(AL1233)+1,"")</f>
        <v/>
      </c>
      <c r="AL1234" s="54">
        <f>IF(AK1234&lt;&gt;"",AK1234,N(AL1233))</f>
        <v/>
      </c>
    </row>
    <row r="1235">
      <c r="A1235" t="inlineStr">
        <is>
          <t>ONS-0412</t>
        </is>
      </c>
      <c r="B1235" t="inlineStr">
        <is>
          <t>Onsite</t>
        </is>
      </c>
      <c r="AB1235" t="n">
        <v>412</v>
      </c>
      <c r="AD1235" s="52">
        <f>IFERROR(N(IFERROR(INDEX($A1235:$AB1235,MATCH("Xero Invoiced Ex GST",$A$1:$AB$1,0)),"")),0)</f>
        <v/>
      </c>
      <c r="AE1235" s="53">
        <f>IFERROR(INDEX($A1235:$AB1235,MATCH("Xero Invoice Date",$A$1:$AB$1,0)),"")</f>
        <v/>
      </c>
      <c r="AF1235" s="54">
        <f>IF(AND(IFERROR(INDEX($A1235:$AB1235,MATCH("Xero Invoice No",$A$1:$AB$1,0)),"")&amp;""&lt;&gt;"",ISNUMBER(AE1235),AD1235&lt;&gt;0),1,0)</f>
        <v/>
      </c>
      <c r="AG1235" s="55">
        <f>IF(AF1235=1,EOMONTH(AE1235,0),"")</f>
        <v/>
      </c>
      <c r="AH1235" s="9">
        <f>IF(AF1235=1,UPPER(TRIM(IFERROR(INDEX($A1235:$AB1235,MATCH("Client",$A$1:$AB$1,0)),"")&amp;"")),"")</f>
        <v/>
      </c>
      <c r="AI1235" s="9">
        <f>IF(AF1235=1,IFERROR(INDEX($A1235:$AB1235,MATCH("Cost Centre",$A$1:$AB$1,0)),"")&amp;"","")</f>
        <v/>
      </c>
      <c r="AJ1235" s="54">
        <f>IF(AND(AF1235=1,AE1235&gt;=set_FYStart,AE1235&lt;=set_AsAt),1,0)</f>
        <v/>
      </c>
      <c r="AK1235" s="54">
        <f>IF(AND(AJ1235=1,AH1235&lt;&gt;"",COUNTIFS($AH$2:AH1235,AH1235,$AJ$2:AJ1235,1)=1),N(AL1234)+1,"")</f>
        <v/>
      </c>
      <c r="AL1235" s="54">
        <f>IF(AK1235&lt;&gt;"",AK1235,N(AL1234))</f>
        <v/>
      </c>
    </row>
    <row r="1236">
      <c r="A1236" t="inlineStr">
        <is>
          <t>PRD-0412</t>
        </is>
      </c>
      <c r="B1236" t="inlineStr">
        <is>
          <t>Production</t>
        </is>
      </c>
      <c r="AB1236" t="n">
        <v>412</v>
      </c>
      <c r="AD1236" s="52">
        <f>IFERROR(N(IFERROR(INDEX($A1236:$AB1236,MATCH("Xero Invoiced Ex GST",$A$1:$AB$1,0)),"")),0)</f>
        <v/>
      </c>
      <c r="AE1236" s="53">
        <f>IFERROR(INDEX($A1236:$AB1236,MATCH("Xero Invoice Date",$A$1:$AB$1,0)),"")</f>
        <v/>
      </c>
      <c r="AF1236" s="54">
        <f>IF(AND(IFERROR(INDEX($A1236:$AB1236,MATCH("Xero Invoice No",$A$1:$AB$1,0)),"")&amp;""&lt;&gt;"",ISNUMBER(AE1236),AD1236&lt;&gt;0),1,0)</f>
        <v/>
      </c>
      <c r="AG1236" s="55">
        <f>IF(AF1236=1,EOMONTH(AE1236,0),"")</f>
        <v/>
      </c>
      <c r="AH1236" s="9">
        <f>IF(AF1236=1,UPPER(TRIM(IFERROR(INDEX($A1236:$AB1236,MATCH("Client",$A$1:$AB$1,0)),"")&amp;"")),"")</f>
        <v/>
      </c>
      <c r="AI1236" s="9">
        <f>IF(AF1236=1,IFERROR(INDEX($A1236:$AB1236,MATCH("Cost Centre",$A$1:$AB$1,0)),"")&amp;"","")</f>
        <v/>
      </c>
      <c r="AJ1236" s="54">
        <f>IF(AND(AF1236=1,AE1236&gt;=set_FYStart,AE1236&lt;=set_AsAt),1,0)</f>
        <v/>
      </c>
      <c r="AK1236" s="54">
        <f>IF(AND(AJ1236=1,AH1236&lt;&gt;"",COUNTIFS($AH$2:AH1236,AH1236,$AJ$2:AJ1236,1)=1),N(AL1235)+1,"")</f>
        <v/>
      </c>
      <c r="AL1236" s="54">
        <f>IF(AK1236&lt;&gt;"",AK1236,N(AL1235))</f>
        <v/>
      </c>
    </row>
    <row r="1237">
      <c r="A1237" t="inlineStr">
        <is>
          <t>CON-0412</t>
        </is>
      </c>
      <c r="B1237" t="inlineStr">
        <is>
          <t>Consulting</t>
        </is>
      </c>
      <c r="AB1237" t="n">
        <v>412</v>
      </c>
      <c r="AD1237" s="52">
        <f>IFERROR(N(IFERROR(INDEX($A1237:$AB1237,MATCH("Xero Invoiced Ex GST",$A$1:$AB$1,0)),"")),0)</f>
        <v/>
      </c>
      <c r="AE1237" s="53">
        <f>IFERROR(INDEX($A1237:$AB1237,MATCH("Xero Invoice Date",$A$1:$AB$1,0)),"")</f>
        <v/>
      </c>
      <c r="AF1237" s="54">
        <f>IF(AND(IFERROR(INDEX($A1237:$AB1237,MATCH("Xero Invoice No",$A$1:$AB$1,0)),"")&amp;""&lt;&gt;"",ISNUMBER(AE1237),AD1237&lt;&gt;0),1,0)</f>
        <v/>
      </c>
      <c r="AG1237" s="55">
        <f>IF(AF1237=1,EOMONTH(AE1237,0),"")</f>
        <v/>
      </c>
      <c r="AH1237" s="9">
        <f>IF(AF1237=1,UPPER(TRIM(IFERROR(INDEX($A1237:$AB1237,MATCH("Client",$A$1:$AB$1,0)),"")&amp;"")),"")</f>
        <v/>
      </c>
      <c r="AI1237" s="9">
        <f>IF(AF1237=1,IFERROR(INDEX($A1237:$AB1237,MATCH("Cost Centre",$A$1:$AB$1,0)),"")&amp;"","")</f>
        <v/>
      </c>
      <c r="AJ1237" s="54">
        <f>IF(AND(AF1237=1,AE1237&gt;=set_FYStart,AE1237&lt;=set_AsAt),1,0)</f>
        <v/>
      </c>
      <c r="AK1237" s="54">
        <f>IF(AND(AJ1237=1,AH1237&lt;&gt;"",COUNTIFS($AH$2:AH1237,AH1237,$AJ$2:AJ1237,1)=1),N(AL1236)+1,"")</f>
        <v/>
      </c>
      <c r="AL1237" s="54">
        <f>IF(AK1237&lt;&gt;"",AK1237,N(AL1236))</f>
        <v/>
      </c>
    </row>
    <row r="1238">
      <c r="A1238" t="inlineStr">
        <is>
          <t>ONS-0413</t>
        </is>
      </c>
      <c r="B1238" t="inlineStr">
        <is>
          <t>Onsite</t>
        </is>
      </c>
      <c r="AB1238" t="n">
        <v>413</v>
      </c>
      <c r="AD1238" s="52">
        <f>IFERROR(N(IFERROR(INDEX($A1238:$AB1238,MATCH("Xero Invoiced Ex GST",$A$1:$AB$1,0)),"")),0)</f>
        <v/>
      </c>
      <c r="AE1238" s="53">
        <f>IFERROR(INDEX($A1238:$AB1238,MATCH("Xero Invoice Date",$A$1:$AB$1,0)),"")</f>
        <v/>
      </c>
      <c r="AF1238" s="54">
        <f>IF(AND(IFERROR(INDEX($A1238:$AB1238,MATCH("Xero Invoice No",$A$1:$AB$1,0)),"")&amp;""&lt;&gt;"",ISNUMBER(AE1238),AD1238&lt;&gt;0),1,0)</f>
        <v/>
      </c>
      <c r="AG1238" s="55">
        <f>IF(AF1238=1,EOMONTH(AE1238,0),"")</f>
        <v/>
      </c>
      <c r="AH1238" s="9">
        <f>IF(AF1238=1,UPPER(TRIM(IFERROR(INDEX($A1238:$AB1238,MATCH("Client",$A$1:$AB$1,0)),"")&amp;"")),"")</f>
        <v/>
      </c>
      <c r="AI1238" s="9">
        <f>IF(AF1238=1,IFERROR(INDEX($A1238:$AB1238,MATCH("Cost Centre",$A$1:$AB$1,0)),"")&amp;"","")</f>
        <v/>
      </c>
      <c r="AJ1238" s="54">
        <f>IF(AND(AF1238=1,AE1238&gt;=set_FYStart,AE1238&lt;=set_AsAt),1,0)</f>
        <v/>
      </c>
      <c r="AK1238" s="54">
        <f>IF(AND(AJ1238=1,AH1238&lt;&gt;"",COUNTIFS($AH$2:AH1238,AH1238,$AJ$2:AJ1238,1)=1),N(AL1237)+1,"")</f>
        <v/>
      </c>
      <c r="AL1238" s="54">
        <f>IF(AK1238&lt;&gt;"",AK1238,N(AL1237))</f>
        <v/>
      </c>
    </row>
    <row r="1239">
      <c r="A1239" t="inlineStr">
        <is>
          <t>PRD-0413</t>
        </is>
      </c>
      <c r="B1239" t="inlineStr">
        <is>
          <t>Production</t>
        </is>
      </c>
      <c r="AB1239" t="n">
        <v>413</v>
      </c>
      <c r="AD1239" s="52">
        <f>IFERROR(N(IFERROR(INDEX($A1239:$AB1239,MATCH("Xero Invoiced Ex GST",$A$1:$AB$1,0)),"")),0)</f>
        <v/>
      </c>
      <c r="AE1239" s="53">
        <f>IFERROR(INDEX($A1239:$AB1239,MATCH("Xero Invoice Date",$A$1:$AB$1,0)),"")</f>
        <v/>
      </c>
      <c r="AF1239" s="54">
        <f>IF(AND(IFERROR(INDEX($A1239:$AB1239,MATCH("Xero Invoice No",$A$1:$AB$1,0)),"")&amp;""&lt;&gt;"",ISNUMBER(AE1239),AD1239&lt;&gt;0),1,0)</f>
        <v/>
      </c>
      <c r="AG1239" s="55">
        <f>IF(AF1239=1,EOMONTH(AE1239,0),"")</f>
        <v/>
      </c>
      <c r="AH1239" s="9">
        <f>IF(AF1239=1,UPPER(TRIM(IFERROR(INDEX($A1239:$AB1239,MATCH("Client",$A$1:$AB$1,0)),"")&amp;"")),"")</f>
        <v/>
      </c>
      <c r="AI1239" s="9">
        <f>IF(AF1239=1,IFERROR(INDEX($A1239:$AB1239,MATCH("Cost Centre",$A$1:$AB$1,0)),"")&amp;"","")</f>
        <v/>
      </c>
      <c r="AJ1239" s="54">
        <f>IF(AND(AF1239=1,AE1239&gt;=set_FYStart,AE1239&lt;=set_AsAt),1,0)</f>
        <v/>
      </c>
      <c r="AK1239" s="54">
        <f>IF(AND(AJ1239=1,AH1239&lt;&gt;"",COUNTIFS($AH$2:AH1239,AH1239,$AJ$2:AJ1239,1)=1),N(AL1238)+1,"")</f>
        <v/>
      </c>
      <c r="AL1239" s="54">
        <f>IF(AK1239&lt;&gt;"",AK1239,N(AL1238))</f>
        <v/>
      </c>
    </row>
    <row r="1240">
      <c r="A1240" t="inlineStr">
        <is>
          <t>CON-0413</t>
        </is>
      </c>
      <c r="B1240" t="inlineStr">
        <is>
          <t>Consulting</t>
        </is>
      </c>
      <c r="AB1240" t="n">
        <v>413</v>
      </c>
      <c r="AD1240" s="52">
        <f>IFERROR(N(IFERROR(INDEX($A1240:$AB1240,MATCH("Xero Invoiced Ex GST",$A$1:$AB$1,0)),"")),0)</f>
        <v/>
      </c>
      <c r="AE1240" s="53">
        <f>IFERROR(INDEX($A1240:$AB1240,MATCH("Xero Invoice Date",$A$1:$AB$1,0)),"")</f>
        <v/>
      </c>
      <c r="AF1240" s="54">
        <f>IF(AND(IFERROR(INDEX($A1240:$AB1240,MATCH("Xero Invoice No",$A$1:$AB$1,0)),"")&amp;""&lt;&gt;"",ISNUMBER(AE1240),AD1240&lt;&gt;0),1,0)</f>
        <v/>
      </c>
      <c r="AG1240" s="55">
        <f>IF(AF1240=1,EOMONTH(AE1240,0),"")</f>
        <v/>
      </c>
      <c r="AH1240" s="9">
        <f>IF(AF1240=1,UPPER(TRIM(IFERROR(INDEX($A1240:$AB1240,MATCH("Client",$A$1:$AB$1,0)),"")&amp;"")),"")</f>
        <v/>
      </c>
      <c r="AI1240" s="9">
        <f>IF(AF1240=1,IFERROR(INDEX($A1240:$AB1240,MATCH("Cost Centre",$A$1:$AB$1,0)),"")&amp;"","")</f>
        <v/>
      </c>
      <c r="AJ1240" s="54">
        <f>IF(AND(AF1240=1,AE1240&gt;=set_FYStart,AE1240&lt;=set_AsAt),1,0)</f>
        <v/>
      </c>
      <c r="AK1240" s="54">
        <f>IF(AND(AJ1240=1,AH1240&lt;&gt;"",COUNTIFS($AH$2:AH1240,AH1240,$AJ$2:AJ1240,1)=1),N(AL1239)+1,"")</f>
        <v/>
      </c>
      <c r="AL1240" s="54">
        <f>IF(AK1240&lt;&gt;"",AK1240,N(AL1239))</f>
        <v/>
      </c>
    </row>
    <row r="1241">
      <c r="A1241" t="inlineStr">
        <is>
          <t>ONS-0414</t>
        </is>
      </c>
      <c r="B1241" t="inlineStr">
        <is>
          <t>Onsite</t>
        </is>
      </c>
      <c r="AB1241" t="n">
        <v>414</v>
      </c>
      <c r="AD1241" s="52">
        <f>IFERROR(N(IFERROR(INDEX($A1241:$AB1241,MATCH("Xero Invoiced Ex GST",$A$1:$AB$1,0)),"")),0)</f>
        <v/>
      </c>
      <c r="AE1241" s="53">
        <f>IFERROR(INDEX($A1241:$AB1241,MATCH("Xero Invoice Date",$A$1:$AB$1,0)),"")</f>
        <v/>
      </c>
      <c r="AF1241" s="54">
        <f>IF(AND(IFERROR(INDEX($A1241:$AB1241,MATCH("Xero Invoice No",$A$1:$AB$1,0)),"")&amp;""&lt;&gt;"",ISNUMBER(AE1241),AD1241&lt;&gt;0),1,0)</f>
        <v/>
      </c>
      <c r="AG1241" s="55">
        <f>IF(AF1241=1,EOMONTH(AE1241,0),"")</f>
        <v/>
      </c>
      <c r="AH1241" s="9">
        <f>IF(AF1241=1,UPPER(TRIM(IFERROR(INDEX($A1241:$AB1241,MATCH("Client",$A$1:$AB$1,0)),"")&amp;"")),"")</f>
        <v/>
      </c>
      <c r="AI1241" s="9">
        <f>IF(AF1241=1,IFERROR(INDEX($A1241:$AB1241,MATCH("Cost Centre",$A$1:$AB$1,0)),"")&amp;"","")</f>
        <v/>
      </c>
      <c r="AJ1241" s="54">
        <f>IF(AND(AF1241=1,AE1241&gt;=set_FYStart,AE1241&lt;=set_AsAt),1,0)</f>
        <v/>
      </c>
      <c r="AK1241" s="54">
        <f>IF(AND(AJ1241=1,AH1241&lt;&gt;"",COUNTIFS($AH$2:AH1241,AH1241,$AJ$2:AJ1241,1)=1),N(AL1240)+1,"")</f>
        <v/>
      </c>
      <c r="AL1241" s="54">
        <f>IF(AK1241&lt;&gt;"",AK1241,N(AL1240))</f>
        <v/>
      </c>
    </row>
    <row r="1242">
      <c r="A1242" t="inlineStr">
        <is>
          <t>PRD-0414</t>
        </is>
      </c>
      <c r="B1242" t="inlineStr">
        <is>
          <t>Production</t>
        </is>
      </c>
      <c r="AB1242" t="n">
        <v>414</v>
      </c>
      <c r="AD1242" s="52">
        <f>IFERROR(N(IFERROR(INDEX($A1242:$AB1242,MATCH("Xero Invoiced Ex GST",$A$1:$AB$1,0)),"")),0)</f>
        <v/>
      </c>
      <c r="AE1242" s="53">
        <f>IFERROR(INDEX($A1242:$AB1242,MATCH("Xero Invoice Date",$A$1:$AB$1,0)),"")</f>
        <v/>
      </c>
      <c r="AF1242" s="54">
        <f>IF(AND(IFERROR(INDEX($A1242:$AB1242,MATCH("Xero Invoice No",$A$1:$AB$1,0)),"")&amp;""&lt;&gt;"",ISNUMBER(AE1242),AD1242&lt;&gt;0),1,0)</f>
        <v/>
      </c>
      <c r="AG1242" s="55">
        <f>IF(AF1242=1,EOMONTH(AE1242,0),"")</f>
        <v/>
      </c>
      <c r="AH1242" s="9">
        <f>IF(AF1242=1,UPPER(TRIM(IFERROR(INDEX($A1242:$AB1242,MATCH("Client",$A$1:$AB$1,0)),"")&amp;"")),"")</f>
        <v/>
      </c>
      <c r="AI1242" s="9">
        <f>IF(AF1242=1,IFERROR(INDEX($A1242:$AB1242,MATCH("Cost Centre",$A$1:$AB$1,0)),"")&amp;"","")</f>
        <v/>
      </c>
      <c r="AJ1242" s="54">
        <f>IF(AND(AF1242=1,AE1242&gt;=set_FYStart,AE1242&lt;=set_AsAt),1,0)</f>
        <v/>
      </c>
      <c r="AK1242" s="54">
        <f>IF(AND(AJ1242=1,AH1242&lt;&gt;"",COUNTIFS($AH$2:AH1242,AH1242,$AJ$2:AJ1242,1)=1),N(AL1241)+1,"")</f>
        <v/>
      </c>
      <c r="AL1242" s="54">
        <f>IF(AK1242&lt;&gt;"",AK1242,N(AL1241))</f>
        <v/>
      </c>
    </row>
    <row r="1243">
      <c r="A1243" t="inlineStr">
        <is>
          <t>CON-0414</t>
        </is>
      </c>
      <c r="B1243" t="inlineStr">
        <is>
          <t>Consulting</t>
        </is>
      </c>
      <c r="AB1243" t="n">
        <v>414</v>
      </c>
      <c r="AD1243" s="52">
        <f>IFERROR(N(IFERROR(INDEX($A1243:$AB1243,MATCH("Xero Invoiced Ex GST",$A$1:$AB$1,0)),"")),0)</f>
        <v/>
      </c>
      <c r="AE1243" s="53">
        <f>IFERROR(INDEX($A1243:$AB1243,MATCH("Xero Invoice Date",$A$1:$AB$1,0)),"")</f>
        <v/>
      </c>
      <c r="AF1243" s="54">
        <f>IF(AND(IFERROR(INDEX($A1243:$AB1243,MATCH("Xero Invoice No",$A$1:$AB$1,0)),"")&amp;""&lt;&gt;"",ISNUMBER(AE1243),AD1243&lt;&gt;0),1,0)</f>
        <v/>
      </c>
      <c r="AG1243" s="55">
        <f>IF(AF1243=1,EOMONTH(AE1243,0),"")</f>
        <v/>
      </c>
      <c r="AH1243" s="9">
        <f>IF(AF1243=1,UPPER(TRIM(IFERROR(INDEX($A1243:$AB1243,MATCH("Client",$A$1:$AB$1,0)),"")&amp;"")),"")</f>
        <v/>
      </c>
      <c r="AI1243" s="9">
        <f>IF(AF1243=1,IFERROR(INDEX($A1243:$AB1243,MATCH("Cost Centre",$A$1:$AB$1,0)),"")&amp;"","")</f>
        <v/>
      </c>
      <c r="AJ1243" s="54">
        <f>IF(AND(AF1243=1,AE1243&gt;=set_FYStart,AE1243&lt;=set_AsAt),1,0)</f>
        <v/>
      </c>
      <c r="AK1243" s="54">
        <f>IF(AND(AJ1243=1,AH1243&lt;&gt;"",COUNTIFS($AH$2:AH1243,AH1243,$AJ$2:AJ1243,1)=1),N(AL1242)+1,"")</f>
        <v/>
      </c>
      <c r="AL1243" s="54">
        <f>IF(AK1243&lt;&gt;"",AK1243,N(AL1242))</f>
        <v/>
      </c>
    </row>
    <row r="1244">
      <c r="A1244" t="inlineStr">
        <is>
          <t>ONS-0415</t>
        </is>
      </c>
      <c r="B1244" t="inlineStr">
        <is>
          <t>Onsite</t>
        </is>
      </c>
      <c r="AB1244" t="n">
        <v>415</v>
      </c>
      <c r="AD1244" s="52">
        <f>IFERROR(N(IFERROR(INDEX($A1244:$AB1244,MATCH("Xero Invoiced Ex GST",$A$1:$AB$1,0)),"")),0)</f>
        <v/>
      </c>
      <c r="AE1244" s="53">
        <f>IFERROR(INDEX($A1244:$AB1244,MATCH("Xero Invoice Date",$A$1:$AB$1,0)),"")</f>
        <v/>
      </c>
      <c r="AF1244" s="54">
        <f>IF(AND(IFERROR(INDEX($A1244:$AB1244,MATCH("Xero Invoice No",$A$1:$AB$1,0)),"")&amp;""&lt;&gt;"",ISNUMBER(AE1244),AD1244&lt;&gt;0),1,0)</f>
        <v/>
      </c>
      <c r="AG1244" s="55">
        <f>IF(AF1244=1,EOMONTH(AE1244,0),"")</f>
        <v/>
      </c>
      <c r="AH1244" s="9">
        <f>IF(AF1244=1,UPPER(TRIM(IFERROR(INDEX($A1244:$AB1244,MATCH("Client",$A$1:$AB$1,0)),"")&amp;"")),"")</f>
        <v/>
      </c>
      <c r="AI1244" s="9">
        <f>IF(AF1244=1,IFERROR(INDEX($A1244:$AB1244,MATCH("Cost Centre",$A$1:$AB$1,0)),"")&amp;"","")</f>
        <v/>
      </c>
      <c r="AJ1244" s="54">
        <f>IF(AND(AF1244=1,AE1244&gt;=set_FYStart,AE1244&lt;=set_AsAt),1,0)</f>
        <v/>
      </c>
      <c r="AK1244" s="54">
        <f>IF(AND(AJ1244=1,AH1244&lt;&gt;"",COUNTIFS($AH$2:AH1244,AH1244,$AJ$2:AJ1244,1)=1),N(AL1243)+1,"")</f>
        <v/>
      </c>
      <c r="AL1244" s="54">
        <f>IF(AK1244&lt;&gt;"",AK1244,N(AL1243))</f>
        <v/>
      </c>
    </row>
    <row r="1245">
      <c r="A1245" t="inlineStr">
        <is>
          <t>PRD-0415</t>
        </is>
      </c>
      <c r="B1245" t="inlineStr">
        <is>
          <t>Production</t>
        </is>
      </c>
      <c r="AB1245" t="n">
        <v>415</v>
      </c>
      <c r="AD1245" s="52">
        <f>IFERROR(N(IFERROR(INDEX($A1245:$AB1245,MATCH("Xero Invoiced Ex GST",$A$1:$AB$1,0)),"")),0)</f>
        <v/>
      </c>
      <c r="AE1245" s="53">
        <f>IFERROR(INDEX($A1245:$AB1245,MATCH("Xero Invoice Date",$A$1:$AB$1,0)),"")</f>
        <v/>
      </c>
      <c r="AF1245" s="54">
        <f>IF(AND(IFERROR(INDEX($A1245:$AB1245,MATCH("Xero Invoice No",$A$1:$AB$1,0)),"")&amp;""&lt;&gt;"",ISNUMBER(AE1245),AD1245&lt;&gt;0),1,0)</f>
        <v/>
      </c>
      <c r="AG1245" s="55">
        <f>IF(AF1245=1,EOMONTH(AE1245,0),"")</f>
        <v/>
      </c>
      <c r="AH1245" s="9">
        <f>IF(AF1245=1,UPPER(TRIM(IFERROR(INDEX($A1245:$AB1245,MATCH("Client",$A$1:$AB$1,0)),"")&amp;"")),"")</f>
        <v/>
      </c>
      <c r="AI1245" s="9">
        <f>IF(AF1245=1,IFERROR(INDEX($A1245:$AB1245,MATCH("Cost Centre",$A$1:$AB$1,0)),"")&amp;"","")</f>
        <v/>
      </c>
      <c r="AJ1245" s="54">
        <f>IF(AND(AF1245=1,AE1245&gt;=set_FYStart,AE1245&lt;=set_AsAt),1,0)</f>
        <v/>
      </c>
      <c r="AK1245" s="54">
        <f>IF(AND(AJ1245=1,AH1245&lt;&gt;"",COUNTIFS($AH$2:AH1245,AH1245,$AJ$2:AJ1245,1)=1),N(AL1244)+1,"")</f>
        <v/>
      </c>
      <c r="AL1245" s="54">
        <f>IF(AK1245&lt;&gt;"",AK1245,N(AL1244))</f>
        <v/>
      </c>
    </row>
    <row r="1246">
      <c r="A1246" t="inlineStr">
        <is>
          <t>CON-0415</t>
        </is>
      </c>
      <c r="B1246" t="inlineStr">
        <is>
          <t>Consulting</t>
        </is>
      </c>
      <c r="AB1246" t="n">
        <v>415</v>
      </c>
      <c r="AD1246" s="52">
        <f>IFERROR(N(IFERROR(INDEX($A1246:$AB1246,MATCH("Xero Invoiced Ex GST",$A$1:$AB$1,0)),"")),0)</f>
        <v/>
      </c>
      <c r="AE1246" s="53">
        <f>IFERROR(INDEX($A1246:$AB1246,MATCH("Xero Invoice Date",$A$1:$AB$1,0)),"")</f>
        <v/>
      </c>
      <c r="AF1246" s="54">
        <f>IF(AND(IFERROR(INDEX($A1246:$AB1246,MATCH("Xero Invoice No",$A$1:$AB$1,0)),"")&amp;""&lt;&gt;"",ISNUMBER(AE1246),AD1246&lt;&gt;0),1,0)</f>
        <v/>
      </c>
      <c r="AG1246" s="55">
        <f>IF(AF1246=1,EOMONTH(AE1246,0),"")</f>
        <v/>
      </c>
      <c r="AH1246" s="9">
        <f>IF(AF1246=1,UPPER(TRIM(IFERROR(INDEX($A1246:$AB1246,MATCH("Client",$A$1:$AB$1,0)),"")&amp;"")),"")</f>
        <v/>
      </c>
      <c r="AI1246" s="9">
        <f>IF(AF1246=1,IFERROR(INDEX($A1246:$AB1246,MATCH("Cost Centre",$A$1:$AB$1,0)),"")&amp;"","")</f>
        <v/>
      </c>
      <c r="AJ1246" s="54">
        <f>IF(AND(AF1246=1,AE1246&gt;=set_FYStart,AE1246&lt;=set_AsAt),1,0)</f>
        <v/>
      </c>
      <c r="AK1246" s="54">
        <f>IF(AND(AJ1246=1,AH1246&lt;&gt;"",COUNTIFS($AH$2:AH1246,AH1246,$AJ$2:AJ1246,1)=1),N(AL1245)+1,"")</f>
        <v/>
      </c>
      <c r="AL1246" s="54">
        <f>IF(AK1246&lt;&gt;"",AK1246,N(AL1245))</f>
        <v/>
      </c>
    </row>
    <row r="1247">
      <c r="A1247" t="inlineStr">
        <is>
          <t>ONS-0416</t>
        </is>
      </c>
      <c r="B1247" t="inlineStr">
        <is>
          <t>Onsite</t>
        </is>
      </c>
      <c r="AB1247" t="n">
        <v>416</v>
      </c>
      <c r="AD1247" s="52">
        <f>IFERROR(N(IFERROR(INDEX($A1247:$AB1247,MATCH("Xero Invoiced Ex GST",$A$1:$AB$1,0)),"")),0)</f>
        <v/>
      </c>
      <c r="AE1247" s="53">
        <f>IFERROR(INDEX($A1247:$AB1247,MATCH("Xero Invoice Date",$A$1:$AB$1,0)),"")</f>
        <v/>
      </c>
      <c r="AF1247" s="54">
        <f>IF(AND(IFERROR(INDEX($A1247:$AB1247,MATCH("Xero Invoice No",$A$1:$AB$1,0)),"")&amp;""&lt;&gt;"",ISNUMBER(AE1247),AD1247&lt;&gt;0),1,0)</f>
        <v/>
      </c>
      <c r="AG1247" s="55">
        <f>IF(AF1247=1,EOMONTH(AE1247,0),"")</f>
        <v/>
      </c>
      <c r="AH1247" s="9">
        <f>IF(AF1247=1,UPPER(TRIM(IFERROR(INDEX($A1247:$AB1247,MATCH("Client",$A$1:$AB$1,0)),"")&amp;"")),"")</f>
        <v/>
      </c>
      <c r="AI1247" s="9">
        <f>IF(AF1247=1,IFERROR(INDEX($A1247:$AB1247,MATCH("Cost Centre",$A$1:$AB$1,0)),"")&amp;"","")</f>
        <v/>
      </c>
      <c r="AJ1247" s="54">
        <f>IF(AND(AF1247=1,AE1247&gt;=set_FYStart,AE1247&lt;=set_AsAt),1,0)</f>
        <v/>
      </c>
      <c r="AK1247" s="54">
        <f>IF(AND(AJ1247=1,AH1247&lt;&gt;"",COUNTIFS($AH$2:AH1247,AH1247,$AJ$2:AJ1247,1)=1),N(AL1246)+1,"")</f>
        <v/>
      </c>
      <c r="AL1247" s="54">
        <f>IF(AK1247&lt;&gt;"",AK1247,N(AL1246))</f>
        <v/>
      </c>
    </row>
    <row r="1248">
      <c r="A1248" t="inlineStr">
        <is>
          <t>PRD-0416</t>
        </is>
      </c>
      <c r="B1248" t="inlineStr">
        <is>
          <t>Production</t>
        </is>
      </c>
      <c r="AB1248" t="n">
        <v>416</v>
      </c>
      <c r="AD1248" s="52">
        <f>IFERROR(N(IFERROR(INDEX($A1248:$AB1248,MATCH("Xero Invoiced Ex GST",$A$1:$AB$1,0)),"")),0)</f>
        <v/>
      </c>
      <c r="AE1248" s="53">
        <f>IFERROR(INDEX($A1248:$AB1248,MATCH("Xero Invoice Date",$A$1:$AB$1,0)),"")</f>
        <v/>
      </c>
      <c r="AF1248" s="54">
        <f>IF(AND(IFERROR(INDEX($A1248:$AB1248,MATCH("Xero Invoice No",$A$1:$AB$1,0)),"")&amp;""&lt;&gt;"",ISNUMBER(AE1248),AD1248&lt;&gt;0),1,0)</f>
        <v/>
      </c>
      <c r="AG1248" s="55">
        <f>IF(AF1248=1,EOMONTH(AE1248,0),"")</f>
        <v/>
      </c>
      <c r="AH1248" s="9">
        <f>IF(AF1248=1,UPPER(TRIM(IFERROR(INDEX($A1248:$AB1248,MATCH("Client",$A$1:$AB$1,0)),"")&amp;"")),"")</f>
        <v/>
      </c>
      <c r="AI1248" s="9">
        <f>IF(AF1248=1,IFERROR(INDEX($A1248:$AB1248,MATCH("Cost Centre",$A$1:$AB$1,0)),"")&amp;"","")</f>
        <v/>
      </c>
      <c r="AJ1248" s="54">
        <f>IF(AND(AF1248=1,AE1248&gt;=set_FYStart,AE1248&lt;=set_AsAt),1,0)</f>
        <v/>
      </c>
      <c r="AK1248" s="54">
        <f>IF(AND(AJ1248=1,AH1248&lt;&gt;"",COUNTIFS($AH$2:AH1248,AH1248,$AJ$2:AJ1248,1)=1),N(AL1247)+1,"")</f>
        <v/>
      </c>
      <c r="AL1248" s="54">
        <f>IF(AK1248&lt;&gt;"",AK1248,N(AL1247))</f>
        <v/>
      </c>
    </row>
    <row r="1249">
      <c r="A1249" t="inlineStr">
        <is>
          <t>CON-0416</t>
        </is>
      </c>
      <c r="B1249" t="inlineStr">
        <is>
          <t>Consulting</t>
        </is>
      </c>
      <c r="AB1249" t="n">
        <v>416</v>
      </c>
      <c r="AD1249" s="52">
        <f>IFERROR(N(IFERROR(INDEX($A1249:$AB1249,MATCH("Xero Invoiced Ex GST",$A$1:$AB$1,0)),"")),0)</f>
        <v/>
      </c>
      <c r="AE1249" s="53">
        <f>IFERROR(INDEX($A1249:$AB1249,MATCH("Xero Invoice Date",$A$1:$AB$1,0)),"")</f>
        <v/>
      </c>
      <c r="AF1249" s="54">
        <f>IF(AND(IFERROR(INDEX($A1249:$AB1249,MATCH("Xero Invoice No",$A$1:$AB$1,0)),"")&amp;""&lt;&gt;"",ISNUMBER(AE1249),AD1249&lt;&gt;0),1,0)</f>
        <v/>
      </c>
      <c r="AG1249" s="55">
        <f>IF(AF1249=1,EOMONTH(AE1249,0),"")</f>
        <v/>
      </c>
      <c r="AH1249" s="9">
        <f>IF(AF1249=1,UPPER(TRIM(IFERROR(INDEX($A1249:$AB1249,MATCH("Client",$A$1:$AB$1,0)),"")&amp;"")),"")</f>
        <v/>
      </c>
      <c r="AI1249" s="9">
        <f>IF(AF1249=1,IFERROR(INDEX($A1249:$AB1249,MATCH("Cost Centre",$A$1:$AB$1,0)),"")&amp;"","")</f>
        <v/>
      </c>
      <c r="AJ1249" s="54">
        <f>IF(AND(AF1249=1,AE1249&gt;=set_FYStart,AE1249&lt;=set_AsAt),1,0)</f>
        <v/>
      </c>
      <c r="AK1249" s="54">
        <f>IF(AND(AJ1249=1,AH1249&lt;&gt;"",COUNTIFS($AH$2:AH1249,AH1249,$AJ$2:AJ1249,1)=1),N(AL1248)+1,"")</f>
        <v/>
      </c>
      <c r="AL1249" s="54">
        <f>IF(AK1249&lt;&gt;"",AK1249,N(AL1248))</f>
        <v/>
      </c>
    </row>
    <row r="1250">
      <c r="A1250" t="inlineStr">
        <is>
          <t>ONS-0417</t>
        </is>
      </c>
      <c r="B1250" t="inlineStr">
        <is>
          <t>Onsite</t>
        </is>
      </c>
      <c r="AB1250" t="n">
        <v>417</v>
      </c>
      <c r="AD1250" s="52">
        <f>IFERROR(N(IFERROR(INDEX($A1250:$AB1250,MATCH("Xero Invoiced Ex GST",$A$1:$AB$1,0)),"")),0)</f>
        <v/>
      </c>
      <c r="AE1250" s="53">
        <f>IFERROR(INDEX($A1250:$AB1250,MATCH("Xero Invoice Date",$A$1:$AB$1,0)),"")</f>
        <v/>
      </c>
      <c r="AF1250" s="54">
        <f>IF(AND(IFERROR(INDEX($A1250:$AB1250,MATCH("Xero Invoice No",$A$1:$AB$1,0)),"")&amp;""&lt;&gt;"",ISNUMBER(AE1250),AD1250&lt;&gt;0),1,0)</f>
        <v/>
      </c>
      <c r="AG1250" s="55">
        <f>IF(AF1250=1,EOMONTH(AE1250,0),"")</f>
        <v/>
      </c>
      <c r="AH1250" s="9">
        <f>IF(AF1250=1,UPPER(TRIM(IFERROR(INDEX($A1250:$AB1250,MATCH("Client",$A$1:$AB$1,0)),"")&amp;"")),"")</f>
        <v/>
      </c>
      <c r="AI1250" s="9">
        <f>IF(AF1250=1,IFERROR(INDEX($A1250:$AB1250,MATCH("Cost Centre",$A$1:$AB$1,0)),"")&amp;"","")</f>
        <v/>
      </c>
      <c r="AJ1250" s="54">
        <f>IF(AND(AF1250=1,AE1250&gt;=set_FYStart,AE1250&lt;=set_AsAt),1,0)</f>
        <v/>
      </c>
      <c r="AK1250" s="54">
        <f>IF(AND(AJ1250=1,AH1250&lt;&gt;"",COUNTIFS($AH$2:AH1250,AH1250,$AJ$2:AJ1250,1)=1),N(AL1249)+1,"")</f>
        <v/>
      </c>
      <c r="AL1250" s="54">
        <f>IF(AK1250&lt;&gt;"",AK1250,N(AL1249))</f>
        <v/>
      </c>
    </row>
    <row r="1251">
      <c r="A1251" t="inlineStr">
        <is>
          <t>PRD-0417</t>
        </is>
      </c>
      <c r="B1251" t="inlineStr">
        <is>
          <t>Production</t>
        </is>
      </c>
      <c r="AB1251" t="n">
        <v>417</v>
      </c>
      <c r="AD1251" s="52">
        <f>IFERROR(N(IFERROR(INDEX($A1251:$AB1251,MATCH("Xero Invoiced Ex GST",$A$1:$AB$1,0)),"")),0)</f>
        <v/>
      </c>
      <c r="AE1251" s="53">
        <f>IFERROR(INDEX($A1251:$AB1251,MATCH("Xero Invoice Date",$A$1:$AB$1,0)),"")</f>
        <v/>
      </c>
      <c r="AF1251" s="54">
        <f>IF(AND(IFERROR(INDEX($A1251:$AB1251,MATCH("Xero Invoice No",$A$1:$AB$1,0)),"")&amp;""&lt;&gt;"",ISNUMBER(AE1251),AD1251&lt;&gt;0),1,0)</f>
        <v/>
      </c>
      <c r="AG1251" s="55">
        <f>IF(AF1251=1,EOMONTH(AE1251,0),"")</f>
        <v/>
      </c>
      <c r="AH1251" s="9">
        <f>IF(AF1251=1,UPPER(TRIM(IFERROR(INDEX($A1251:$AB1251,MATCH("Client",$A$1:$AB$1,0)),"")&amp;"")),"")</f>
        <v/>
      </c>
      <c r="AI1251" s="9">
        <f>IF(AF1251=1,IFERROR(INDEX($A1251:$AB1251,MATCH("Cost Centre",$A$1:$AB$1,0)),"")&amp;"","")</f>
        <v/>
      </c>
      <c r="AJ1251" s="54">
        <f>IF(AND(AF1251=1,AE1251&gt;=set_FYStart,AE1251&lt;=set_AsAt),1,0)</f>
        <v/>
      </c>
      <c r="AK1251" s="54">
        <f>IF(AND(AJ1251=1,AH1251&lt;&gt;"",COUNTIFS($AH$2:AH1251,AH1251,$AJ$2:AJ1251,1)=1),N(AL1250)+1,"")</f>
        <v/>
      </c>
      <c r="AL1251" s="54">
        <f>IF(AK1251&lt;&gt;"",AK1251,N(AL1250))</f>
        <v/>
      </c>
    </row>
    <row r="1252">
      <c r="A1252" t="inlineStr">
        <is>
          <t>CON-0417</t>
        </is>
      </c>
      <c r="B1252" t="inlineStr">
        <is>
          <t>Consulting</t>
        </is>
      </c>
      <c r="AB1252" t="n">
        <v>417</v>
      </c>
      <c r="AD1252" s="52">
        <f>IFERROR(N(IFERROR(INDEX($A1252:$AB1252,MATCH("Xero Invoiced Ex GST",$A$1:$AB$1,0)),"")),0)</f>
        <v/>
      </c>
      <c r="AE1252" s="53">
        <f>IFERROR(INDEX($A1252:$AB1252,MATCH("Xero Invoice Date",$A$1:$AB$1,0)),"")</f>
        <v/>
      </c>
      <c r="AF1252" s="54">
        <f>IF(AND(IFERROR(INDEX($A1252:$AB1252,MATCH("Xero Invoice No",$A$1:$AB$1,0)),"")&amp;""&lt;&gt;"",ISNUMBER(AE1252),AD1252&lt;&gt;0),1,0)</f>
        <v/>
      </c>
      <c r="AG1252" s="55">
        <f>IF(AF1252=1,EOMONTH(AE1252,0),"")</f>
        <v/>
      </c>
      <c r="AH1252" s="9">
        <f>IF(AF1252=1,UPPER(TRIM(IFERROR(INDEX($A1252:$AB1252,MATCH("Client",$A$1:$AB$1,0)),"")&amp;"")),"")</f>
        <v/>
      </c>
      <c r="AI1252" s="9">
        <f>IF(AF1252=1,IFERROR(INDEX($A1252:$AB1252,MATCH("Cost Centre",$A$1:$AB$1,0)),"")&amp;"","")</f>
        <v/>
      </c>
      <c r="AJ1252" s="54">
        <f>IF(AND(AF1252=1,AE1252&gt;=set_FYStart,AE1252&lt;=set_AsAt),1,0)</f>
        <v/>
      </c>
      <c r="AK1252" s="54">
        <f>IF(AND(AJ1252=1,AH1252&lt;&gt;"",COUNTIFS($AH$2:AH1252,AH1252,$AJ$2:AJ1252,1)=1),N(AL1251)+1,"")</f>
        <v/>
      </c>
      <c r="AL1252" s="54">
        <f>IF(AK1252&lt;&gt;"",AK1252,N(AL1251))</f>
        <v/>
      </c>
    </row>
    <row r="1253">
      <c r="A1253" t="inlineStr">
        <is>
          <t>ONS-0418</t>
        </is>
      </c>
      <c r="B1253" t="inlineStr">
        <is>
          <t>Onsite</t>
        </is>
      </c>
      <c r="AB1253" t="n">
        <v>418</v>
      </c>
      <c r="AD1253" s="52">
        <f>IFERROR(N(IFERROR(INDEX($A1253:$AB1253,MATCH("Xero Invoiced Ex GST",$A$1:$AB$1,0)),"")),0)</f>
        <v/>
      </c>
      <c r="AE1253" s="53">
        <f>IFERROR(INDEX($A1253:$AB1253,MATCH("Xero Invoice Date",$A$1:$AB$1,0)),"")</f>
        <v/>
      </c>
      <c r="AF1253" s="54">
        <f>IF(AND(IFERROR(INDEX($A1253:$AB1253,MATCH("Xero Invoice No",$A$1:$AB$1,0)),"")&amp;""&lt;&gt;"",ISNUMBER(AE1253),AD1253&lt;&gt;0),1,0)</f>
        <v/>
      </c>
      <c r="AG1253" s="55">
        <f>IF(AF1253=1,EOMONTH(AE1253,0),"")</f>
        <v/>
      </c>
      <c r="AH1253" s="9">
        <f>IF(AF1253=1,UPPER(TRIM(IFERROR(INDEX($A1253:$AB1253,MATCH("Client",$A$1:$AB$1,0)),"")&amp;"")),"")</f>
        <v/>
      </c>
      <c r="AI1253" s="9">
        <f>IF(AF1253=1,IFERROR(INDEX($A1253:$AB1253,MATCH("Cost Centre",$A$1:$AB$1,0)),"")&amp;"","")</f>
        <v/>
      </c>
      <c r="AJ1253" s="54">
        <f>IF(AND(AF1253=1,AE1253&gt;=set_FYStart,AE1253&lt;=set_AsAt),1,0)</f>
        <v/>
      </c>
      <c r="AK1253" s="54">
        <f>IF(AND(AJ1253=1,AH1253&lt;&gt;"",COUNTIFS($AH$2:AH1253,AH1253,$AJ$2:AJ1253,1)=1),N(AL1252)+1,"")</f>
        <v/>
      </c>
      <c r="AL1253" s="54">
        <f>IF(AK1253&lt;&gt;"",AK1253,N(AL1252))</f>
        <v/>
      </c>
    </row>
    <row r="1254">
      <c r="A1254" t="inlineStr">
        <is>
          <t>PRD-0418</t>
        </is>
      </c>
      <c r="B1254" t="inlineStr">
        <is>
          <t>Production</t>
        </is>
      </c>
      <c r="AB1254" t="n">
        <v>418</v>
      </c>
      <c r="AD1254" s="52">
        <f>IFERROR(N(IFERROR(INDEX($A1254:$AB1254,MATCH("Xero Invoiced Ex GST",$A$1:$AB$1,0)),"")),0)</f>
        <v/>
      </c>
      <c r="AE1254" s="53">
        <f>IFERROR(INDEX($A1254:$AB1254,MATCH("Xero Invoice Date",$A$1:$AB$1,0)),"")</f>
        <v/>
      </c>
      <c r="AF1254" s="54">
        <f>IF(AND(IFERROR(INDEX($A1254:$AB1254,MATCH("Xero Invoice No",$A$1:$AB$1,0)),"")&amp;""&lt;&gt;"",ISNUMBER(AE1254),AD1254&lt;&gt;0),1,0)</f>
        <v/>
      </c>
      <c r="AG1254" s="55">
        <f>IF(AF1254=1,EOMONTH(AE1254,0),"")</f>
        <v/>
      </c>
      <c r="AH1254" s="9">
        <f>IF(AF1254=1,UPPER(TRIM(IFERROR(INDEX($A1254:$AB1254,MATCH("Client",$A$1:$AB$1,0)),"")&amp;"")),"")</f>
        <v/>
      </c>
      <c r="AI1254" s="9">
        <f>IF(AF1254=1,IFERROR(INDEX($A1254:$AB1254,MATCH("Cost Centre",$A$1:$AB$1,0)),"")&amp;"","")</f>
        <v/>
      </c>
      <c r="AJ1254" s="54">
        <f>IF(AND(AF1254=1,AE1254&gt;=set_FYStart,AE1254&lt;=set_AsAt),1,0)</f>
        <v/>
      </c>
      <c r="AK1254" s="54">
        <f>IF(AND(AJ1254=1,AH1254&lt;&gt;"",COUNTIFS($AH$2:AH1254,AH1254,$AJ$2:AJ1254,1)=1),N(AL1253)+1,"")</f>
        <v/>
      </c>
      <c r="AL1254" s="54">
        <f>IF(AK1254&lt;&gt;"",AK1254,N(AL1253))</f>
        <v/>
      </c>
    </row>
    <row r="1255">
      <c r="A1255" t="inlineStr">
        <is>
          <t>CON-0418</t>
        </is>
      </c>
      <c r="B1255" t="inlineStr">
        <is>
          <t>Consulting</t>
        </is>
      </c>
      <c r="AB1255" t="n">
        <v>418</v>
      </c>
      <c r="AD1255" s="52">
        <f>IFERROR(N(IFERROR(INDEX($A1255:$AB1255,MATCH("Xero Invoiced Ex GST",$A$1:$AB$1,0)),"")),0)</f>
        <v/>
      </c>
      <c r="AE1255" s="53">
        <f>IFERROR(INDEX($A1255:$AB1255,MATCH("Xero Invoice Date",$A$1:$AB$1,0)),"")</f>
        <v/>
      </c>
      <c r="AF1255" s="54">
        <f>IF(AND(IFERROR(INDEX($A1255:$AB1255,MATCH("Xero Invoice No",$A$1:$AB$1,0)),"")&amp;""&lt;&gt;"",ISNUMBER(AE1255),AD1255&lt;&gt;0),1,0)</f>
        <v/>
      </c>
      <c r="AG1255" s="55">
        <f>IF(AF1255=1,EOMONTH(AE1255,0),"")</f>
        <v/>
      </c>
      <c r="AH1255" s="9">
        <f>IF(AF1255=1,UPPER(TRIM(IFERROR(INDEX($A1255:$AB1255,MATCH("Client",$A$1:$AB$1,0)),"")&amp;"")),"")</f>
        <v/>
      </c>
      <c r="AI1255" s="9">
        <f>IF(AF1255=1,IFERROR(INDEX($A1255:$AB1255,MATCH("Cost Centre",$A$1:$AB$1,0)),"")&amp;"","")</f>
        <v/>
      </c>
      <c r="AJ1255" s="54">
        <f>IF(AND(AF1255=1,AE1255&gt;=set_FYStart,AE1255&lt;=set_AsAt),1,0)</f>
        <v/>
      </c>
      <c r="AK1255" s="54">
        <f>IF(AND(AJ1255=1,AH1255&lt;&gt;"",COUNTIFS($AH$2:AH1255,AH1255,$AJ$2:AJ1255,1)=1),N(AL1254)+1,"")</f>
        <v/>
      </c>
      <c r="AL1255" s="54">
        <f>IF(AK1255&lt;&gt;"",AK1255,N(AL1254))</f>
        <v/>
      </c>
    </row>
    <row r="1256">
      <c r="A1256" t="inlineStr">
        <is>
          <t>ONS-0419</t>
        </is>
      </c>
      <c r="B1256" t="inlineStr">
        <is>
          <t>Onsite</t>
        </is>
      </c>
      <c r="AB1256" t="n">
        <v>419</v>
      </c>
      <c r="AD1256" s="52">
        <f>IFERROR(N(IFERROR(INDEX($A1256:$AB1256,MATCH("Xero Invoiced Ex GST",$A$1:$AB$1,0)),"")),0)</f>
        <v/>
      </c>
      <c r="AE1256" s="53">
        <f>IFERROR(INDEX($A1256:$AB1256,MATCH("Xero Invoice Date",$A$1:$AB$1,0)),"")</f>
        <v/>
      </c>
      <c r="AF1256" s="54">
        <f>IF(AND(IFERROR(INDEX($A1256:$AB1256,MATCH("Xero Invoice No",$A$1:$AB$1,0)),"")&amp;""&lt;&gt;"",ISNUMBER(AE1256),AD1256&lt;&gt;0),1,0)</f>
        <v/>
      </c>
      <c r="AG1256" s="55">
        <f>IF(AF1256=1,EOMONTH(AE1256,0),"")</f>
        <v/>
      </c>
      <c r="AH1256" s="9">
        <f>IF(AF1256=1,UPPER(TRIM(IFERROR(INDEX($A1256:$AB1256,MATCH("Client",$A$1:$AB$1,0)),"")&amp;"")),"")</f>
        <v/>
      </c>
      <c r="AI1256" s="9">
        <f>IF(AF1256=1,IFERROR(INDEX($A1256:$AB1256,MATCH("Cost Centre",$A$1:$AB$1,0)),"")&amp;"","")</f>
        <v/>
      </c>
      <c r="AJ1256" s="54">
        <f>IF(AND(AF1256=1,AE1256&gt;=set_FYStart,AE1256&lt;=set_AsAt),1,0)</f>
        <v/>
      </c>
      <c r="AK1256" s="54">
        <f>IF(AND(AJ1256=1,AH1256&lt;&gt;"",COUNTIFS($AH$2:AH1256,AH1256,$AJ$2:AJ1256,1)=1),N(AL1255)+1,"")</f>
        <v/>
      </c>
      <c r="AL1256" s="54">
        <f>IF(AK1256&lt;&gt;"",AK1256,N(AL1255))</f>
        <v/>
      </c>
    </row>
    <row r="1257">
      <c r="A1257" t="inlineStr">
        <is>
          <t>PRD-0419</t>
        </is>
      </c>
      <c r="B1257" t="inlineStr">
        <is>
          <t>Production</t>
        </is>
      </c>
      <c r="AB1257" t="n">
        <v>419</v>
      </c>
      <c r="AD1257" s="52">
        <f>IFERROR(N(IFERROR(INDEX($A1257:$AB1257,MATCH("Xero Invoiced Ex GST",$A$1:$AB$1,0)),"")),0)</f>
        <v/>
      </c>
      <c r="AE1257" s="53">
        <f>IFERROR(INDEX($A1257:$AB1257,MATCH("Xero Invoice Date",$A$1:$AB$1,0)),"")</f>
        <v/>
      </c>
      <c r="AF1257" s="54">
        <f>IF(AND(IFERROR(INDEX($A1257:$AB1257,MATCH("Xero Invoice No",$A$1:$AB$1,0)),"")&amp;""&lt;&gt;"",ISNUMBER(AE1257),AD1257&lt;&gt;0),1,0)</f>
        <v/>
      </c>
      <c r="AG1257" s="55">
        <f>IF(AF1257=1,EOMONTH(AE1257,0),"")</f>
        <v/>
      </c>
      <c r="AH1257" s="9">
        <f>IF(AF1257=1,UPPER(TRIM(IFERROR(INDEX($A1257:$AB1257,MATCH("Client",$A$1:$AB$1,0)),"")&amp;"")),"")</f>
        <v/>
      </c>
      <c r="AI1257" s="9">
        <f>IF(AF1257=1,IFERROR(INDEX($A1257:$AB1257,MATCH("Cost Centre",$A$1:$AB$1,0)),"")&amp;"","")</f>
        <v/>
      </c>
      <c r="AJ1257" s="54">
        <f>IF(AND(AF1257=1,AE1257&gt;=set_FYStart,AE1257&lt;=set_AsAt),1,0)</f>
        <v/>
      </c>
      <c r="AK1257" s="54">
        <f>IF(AND(AJ1257=1,AH1257&lt;&gt;"",COUNTIFS($AH$2:AH1257,AH1257,$AJ$2:AJ1257,1)=1),N(AL1256)+1,"")</f>
        <v/>
      </c>
      <c r="AL1257" s="54">
        <f>IF(AK1257&lt;&gt;"",AK1257,N(AL1256))</f>
        <v/>
      </c>
    </row>
    <row r="1258">
      <c r="A1258" t="inlineStr">
        <is>
          <t>CON-0419</t>
        </is>
      </c>
      <c r="B1258" t="inlineStr">
        <is>
          <t>Consulting</t>
        </is>
      </c>
      <c r="AB1258" t="n">
        <v>419</v>
      </c>
      <c r="AD1258" s="52">
        <f>IFERROR(N(IFERROR(INDEX($A1258:$AB1258,MATCH("Xero Invoiced Ex GST",$A$1:$AB$1,0)),"")),0)</f>
        <v/>
      </c>
      <c r="AE1258" s="53">
        <f>IFERROR(INDEX($A1258:$AB1258,MATCH("Xero Invoice Date",$A$1:$AB$1,0)),"")</f>
        <v/>
      </c>
      <c r="AF1258" s="54">
        <f>IF(AND(IFERROR(INDEX($A1258:$AB1258,MATCH("Xero Invoice No",$A$1:$AB$1,0)),"")&amp;""&lt;&gt;"",ISNUMBER(AE1258),AD1258&lt;&gt;0),1,0)</f>
        <v/>
      </c>
      <c r="AG1258" s="55">
        <f>IF(AF1258=1,EOMONTH(AE1258,0),"")</f>
        <v/>
      </c>
      <c r="AH1258" s="9">
        <f>IF(AF1258=1,UPPER(TRIM(IFERROR(INDEX($A1258:$AB1258,MATCH("Client",$A$1:$AB$1,0)),"")&amp;"")),"")</f>
        <v/>
      </c>
      <c r="AI1258" s="9">
        <f>IF(AF1258=1,IFERROR(INDEX($A1258:$AB1258,MATCH("Cost Centre",$A$1:$AB$1,0)),"")&amp;"","")</f>
        <v/>
      </c>
      <c r="AJ1258" s="54">
        <f>IF(AND(AF1258=1,AE1258&gt;=set_FYStart,AE1258&lt;=set_AsAt),1,0)</f>
        <v/>
      </c>
      <c r="AK1258" s="54">
        <f>IF(AND(AJ1258=1,AH1258&lt;&gt;"",COUNTIFS($AH$2:AH1258,AH1258,$AJ$2:AJ1258,1)=1),N(AL1257)+1,"")</f>
        <v/>
      </c>
      <c r="AL1258" s="54">
        <f>IF(AK1258&lt;&gt;"",AK1258,N(AL1257))</f>
        <v/>
      </c>
    </row>
    <row r="1259">
      <c r="A1259" t="inlineStr">
        <is>
          <t>ONS-0420</t>
        </is>
      </c>
      <c r="B1259" t="inlineStr">
        <is>
          <t>Onsite</t>
        </is>
      </c>
      <c r="AB1259" t="n">
        <v>420</v>
      </c>
      <c r="AD1259" s="52">
        <f>IFERROR(N(IFERROR(INDEX($A1259:$AB1259,MATCH("Xero Invoiced Ex GST",$A$1:$AB$1,0)),"")),0)</f>
        <v/>
      </c>
      <c r="AE1259" s="53">
        <f>IFERROR(INDEX($A1259:$AB1259,MATCH("Xero Invoice Date",$A$1:$AB$1,0)),"")</f>
        <v/>
      </c>
      <c r="AF1259" s="54">
        <f>IF(AND(IFERROR(INDEX($A1259:$AB1259,MATCH("Xero Invoice No",$A$1:$AB$1,0)),"")&amp;""&lt;&gt;"",ISNUMBER(AE1259),AD1259&lt;&gt;0),1,0)</f>
        <v/>
      </c>
      <c r="AG1259" s="55">
        <f>IF(AF1259=1,EOMONTH(AE1259,0),"")</f>
        <v/>
      </c>
      <c r="AH1259" s="9">
        <f>IF(AF1259=1,UPPER(TRIM(IFERROR(INDEX($A1259:$AB1259,MATCH("Client",$A$1:$AB$1,0)),"")&amp;"")),"")</f>
        <v/>
      </c>
      <c r="AI1259" s="9">
        <f>IF(AF1259=1,IFERROR(INDEX($A1259:$AB1259,MATCH("Cost Centre",$A$1:$AB$1,0)),"")&amp;"","")</f>
        <v/>
      </c>
      <c r="AJ1259" s="54">
        <f>IF(AND(AF1259=1,AE1259&gt;=set_FYStart,AE1259&lt;=set_AsAt),1,0)</f>
        <v/>
      </c>
      <c r="AK1259" s="54">
        <f>IF(AND(AJ1259=1,AH1259&lt;&gt;"",COUNTIFS($AH$2:AH1259,AH1259,$AJ$2:AJ1259,1)=1),N(AL1258)+1,"")</f>
        <v/>
      </c>
      <c r="AL1259" s="54">
        <f>IF(AK1259&lt;&gt;"",AK1259,N(AL1258))</f>
        <v/>
      </c>
    </row>
    <row r="1260">
      <c r="A1260" t="inlineStr">
        <is>
          <t>PRD-0420</t>
        </is>
      </c>
      <c r="B1260" t="inlineStr">
        <is>
          <t>Production</t>
        </is>
      </c>
      <c r="AB1260" t="n">
        <v>420</v>
      </c>
      <c r="AD1260" s="52">
        <f>IFERROR(N(IFERROR(INDEX($A1260:$AB1260,MATCH("Xero Invoiced Ex GST",$A$1:$AB$1,0)),"")),0)</f>
        <v/>
      </c>
      <c r="AE1260" s="53">
        <f>IFERROR(INDEX($A1260:$AB1260,MATCH("Xero Invoice Date",$A$1:$AB$1,0)),"")</f>
        <v/>
      </c>
      <c r="AF1260" s="54">
        <f>IF(AND(IFERROR(INDEX($A1260:$AB1260,MATCH("Xero Invoice No",$A$1:$AB$1,0)),"")&amp;""&lt;&gt;"",ISNUMBER(AE1260),AD1260&lt;&gt;0),1,0)</f>
        <v/>
      </c>
      <c r="AG1260" s="55">
        <f>IF(AF1260=1,EOMONTH(AE1260,0),"")</f>
        <v/>
      </c>
      <c r="AH1260" s="9">
        <f>IF(AF1260=1,UPPER(TRIM(IFERROR(INDEX($A1260:$AB1260,MATCH("Client",$A$1:$AB$1,0)),"")&amp;"")),"")</f>
        <v/>
      </c>
      <c r="AI1260" s="9">
        <f>IF(AF1260=1,IFERROR(INDEX($A1260:$AB1260,MATCH("Cost Centre",$A$1:$AB$1,0)),"")&amp;"","")</f>
        <v/>
      </c>
      <c r="AJ1260" s="54">
        <f>IF(AND(AF1260=1,AE1260&gt;=set_FYStart,AE1260&lt;=set_AsAt),1,0)</f>
        <v/>
      </c>
      <c r="AK1260" s="54">
        <f>IF(AND(AJ1260=1,AH1260&lt;&gt;"",COUNTIFS($AH$2:AH1260,AH1260,$AJ$2:AJ1260,1)=1),N(AL1259)+1,"")</f>
        <v/>
      </c>
      <c r="AL1260" s="54">
        <f>IF(AK1260&lt;&gt;"",AK1260,N(AL1259))</f>
        <v/>
      </c>
    </row>
    <row r="1261">
      <c r="A1261" t="inlineStr">
        <is>
          <t>CON-0420</t>
        </is>
      </c>
      <c r="B1261" t="inlineStr">
        <is>
          <t>Consulting</t>
        </is>
      </c>
      <c r="AB1261" t="n">
        <v>420</v>
      </c>
      <c r="AD1261" s="52">
        <f>IFERROR(N(IFERROR(INDEX($A1261:$AB1261,MATCH("Xero Invoiced Ex GST",$A$1:$AB$1,0)),"")),0)</f>
        <v/>
      </c>
      <c r="AE1261" s="53">
        <f>IFERROR(INDEX($A1261:$AB1261,MATCH("Xero Invoice Date",$A$1:$AB$1,0)),"")</f>
        <v/>
      </c>
      <c r="AF1261" s="54">
        <f>IF(AND(IFERROR(INDEX($A1261:$AB1261,MATCH("Xero Invoice No",$A$1:$AB$1,0)),"")&amp;""&lt;&gt;"",ISNUMBER(AE1261),AD1261&lt;&gt;0),1,0)</f>
        <v/>
      </c>
      <c r="AG1261" s="55">
        <f>IF(AF1261=1,EOMONTH(AE1261,0),"")</f>
        <v/>
      </c>
      <c r="AH1261" s="9">
        <f>IF(AF1261=1,UPPER(TRIM(IFERROR(INDEX($A1261:$AB1261,MATCH("Client",$A$1:$AB$1,0)),"")&amp;"")),"")</f>
        <v/>
      </c>
      <c r="AI1261" s="9">
        <f>IF(AF1261=1,IFERROR(INDEX($A1261:$AB1261,MATCH("Cost Centre",$A$1:$AB$1,0)),"")&amp;"","")</f>
        <v/>
      </c>
      <c r="AJ1261" s="54">
        <f>IF(AND(AF1261=1,AE1261&gt;=set_FYStart,AE1261&lt;=set_AsAt),1,0)</f>
        <v/>
      </c>
      <c r="AK1261" s="54">
        <f>IF(AND(AJ1261=1,AH1261&lt;&gt;"",COUNTIFS($AH$2:AH1261,AH1261,$AJ$2:AJ1261,1)=1),N(AL1260)+1,"")</f>
        <v/>
      </c>
      <c r="AL1261" s="54">
        <f>IF(AK1261&lt;&gt;"",AK1261,N(AL1260))</f>
        <v/>
      </c>
    </row>
    <row r="1262">
      <c r="A1262" t="inlineStr">
        <is>
          <t>ONS-0421</t>
        </is>
      </c>
      <c r="B1262" t="inlineStr">
        <is>
          <t>Onsite</t>
        </is>
      </c>
      <c r="AB1262" t="n">
        <v>421</v>
      </c>
      <c r="AD1262" s="52">
        <f>IFERROR(N(IFERROR(INDEX($A1262:$AB1262,MATCH("Xero Invoiced Ex GST",$A$1:$AB$1,0)),"")),0)</f>
        <v/>
      </c>
      <c r="AE1262" s="53">
        <f>IFERROR(INDEX($A1262:$AB1262,MATCH("Xero Invoice Date",$A$1:$AB$1,0)),"")</f>
        <v/>
      </c>
      <c r="AF1262" s="54">
        <f>IF(AND(IFERROR(INDEX($A1262:$AB1262,MATCH("Xero Invoice No",$A$1:$AB$1,0)),"")&amp;""&lt;&gt;"",ISNUMBER(AE1262),AD1262&lt;&gt;0),1,0)</f>
        <v/>
      </c>
      <c r="AG1262" s="55">
        <f>IF(AF1262=1,EOMONTH(AE1262,0),"")</f>
        <v/>
      </c>
      <c r="AH1262" s="9">
        <f>IF(AF1262=1,UPPER(TRIM(IFERROR(INDEX($A1262:$AB1262,MATCH("Client",$A$1:$AB$1,0)),"")&amp;"")),"")</f>
        <v/>
      </c>
      <c r="AI1262" s="9">
        <f>IF(AF1262=1,IFERROR(INDEX($A1262:$AB1262,MATCH("Cost Centre",$A$1:$AB$1,0)),"")&amp;"","")</f>
        <v/>
      </c>
      <c r="AJ1262" s="54">
        <f>IF(AND(AF1262=1,AE1262&gt;=set_FYStart,AE1262&lt;=set_AsAt),1,0)</f>
        <v/>
      </c>
      <c r="AK1262" s="54">
        <f>IF(AND(AJ1262=1,AH1262&lt;&gt;"",COUNTIFS($AH$2:AH1262,AH1262,$AJ$2:AJ1262,1)=1),N(AL1261)+1,"")</f>
        <v/>
      </c>
      <c r="AL1262" s="54">
        <f>IF(AK1262&lt;&gt;"",AK1262,N(AL1261))</f>
        <v/>
      </c>
    </row>
    <row r="1263">
      <c r="A1263" t="inlineStr">
        <is>
          <t>PRD-0421</t>
        </is>
      </c>
      <c r="B1263" t="inlineStr">
        <is>
          <t>Production</t>
        </is>
      </c>
      <c r="AB1263" t="n">
        <v>421</v>
      </c>
      <c r="AD1263" s="52">
        <f>IFERROR(N(IFERROR(INDEX($A1263:$AB1263,MATCH("Xero Invoiced Ex GST",$A$1:$AB$1,0)),"")),0)</f>
        <v/>
      </c>
      <c r="AE1263" s="53">
        <f>IFERROR(INDEX($A1263:$AB1263,MATCH("Xero Invoice Date",$A$1:$AB$1,0)),"")</f>
        <v/>
      </c>
      <c r="AF1263" s="54">
        <f>IF(AND(IFERROR(INDEX($A1263:$AB1263,MATCH("Xero Invoice No",$A$1:$AB$1,0)),"")&amp;""&lt;&gt;"",ISNUMBER(AE1263),AD1263&lt;&gt;0),1,0)</f>
        <v/>
      </c>
      <c r="AG1263" s="55">
        <f>IF(AF1263=1,EOMONTH(AE1263,0),"")</f>
        <v/>
      </c>
      <c r="AH1263" s="9">
        <f>IF(AF1263=1,UPPER(TRIM(IFERROR(INDEX($A1263:$AB1263,MATCH("Client",$A$1:$AB$1,0)),"")&amp;"")),"")</f>
        <v/>
      </c>
      <c r="AI1263" s="9">
        <f>IF(AF1263=1,IFERROR(INDEX($A1263:$AB1263,MATCH("Cost Centre",$A$1:$AB$1,0)),"")&amp;"","")</f>
        <v/>
      </c>
      <c r="AJ1263" s="54">
        <f>IF(AND(AF1263=1,AE1263&gt;=set_FYStart,AE1263&lt;=set_AsAt),1,0)</f>
        <v/>
      </c>
      <c r="AK1263" s="54">
        <f>IF(AND(AJ1263=1,AH1263&lt;&gt;"",COUNTIFS($AH$2:AH1263,AH1263,$AJ$2:AJ1263,1)=1),N(AL1262)+1,"")</f>
        <v/>
      </c>
      <c r="AL1263" s="54">
        <f>IF(AK1263&lt;&gt;"",AK1263,N(AL1262))</f>
        <v/>
      </c>
    </row>
    <row r="1264">
      <c r="A1264" t="inlineStr">
        <is>
          <t>CON-0421</t>
        </is>
      </c>
      <c r="B1264" t="inlineStr">
        <is>
          <t>Consulting</t>
        </is>
      </c>
      <c r="AB1264" t="n">
        <v>421</v>
      </c>
      <c r="AD1264" s="52">
        <f>IFERROR(N(IFERROR(INDEX($A1264:$AB1264,MATCH("Xero Invoiced Ex GST",$A$1:$AB$1,0)),"")),0)</f>
        <v/>
      </c>
      <c r="AE1264" s="53">
        <f>IFERROR(INDEX($A1264:$AB1264,MATCH("Xero Invoice Date",$A$1:$AB$1,0)),"")</f>
        <v/>
      </c>
      <c r="AF1264" s="54">
        <f>IF(AND(IFERROR(INDEX($A1264:$AB1264,MATCH("Xero Invoice No",$A$1:$AB$1,0)),"")&amp;""&lt;&gt;"",ISNUMBER(AE1264),AD1264&lt;&gt;0),1,0)</f>
        <v/>
      </c>
      <c r="AG1264" s="55">
        <f>IF(AF1264=1,EOMONTH(AE1264,0),"")</f>
        <v/>
      </c>
      <c r="AH1264" s="9">
        <f>IF(AF1264=1,UPPER(TRIM(IFERROR(INDEX($A1264:$AB1264,MATCH("Client",$A$1:$AB$1,0)),"")&amp;"")),"")</f>
        <v/>
      </c>
      <c r="AI1264" s="9">
        <f>IF(AF1264=1,IFERROR(INDEX($A1264:$AB1264,MATCH("Cost Centre",$A$1:$AB$1,0)),"")&amp;"","")</f>
        <v/>
      </c>
      <c r="AJ1264" s="54">
        <f>IF(AND(AF1264=1,AE1264&gt;=set_FYStart,AE1264&lt;=set_AsAt),1,0)</f>
        <v/>
      </c>
      <c r="AK1264" s="54">
        <f>IF(AND(AJ1264=1,AH1264&lt;&gt;"",COUNTIFS($AH$2:AH1264,AH1264,$AJ$2:AJ1264,1)=1),N(AL1263)+1,"")</f>
        <v/>
      </c>
      <c r="AL1264" s="54">
        <f>IF(AK1264&lt;&gt;"",AK1264,N(AL1263))</f>
        <v/>
      </c>
    </row>
    <row r="1265">
      <c r="A1265" t="inlineStr">
        <is>
          <t>ONS-0422</t>
        </is>
      </c>
      <c r="B1265" t="inlineStr">
        <is>
          <t>Onsite</t>
        </is>
      </c>
      <c r="AB1265" t="n">
        <v>422</v>
      </c>
      <c r="AD1265" s="52">
        <f>IFERROR(N(IFERROR(INDEX($A1265:$AB1265,MATCH("Xero Invoiced Ex GST",$A$1:$AB$1,0)),"")),0)</f>
        <v/>
      </c>
      <c r="AE1265" s="53">
        <f>IFERROR(INDEX($A1265:$AB1265,MATCH("Xero Invoice Date",$A$1:$AB$1,0)),"")</f>
        <v/>
      </c>
      <c r="AF1265" s="54">
        <f>IF(AND(IFERROR(INDEX($A1265:$AB1265,MATCH("Xero Invoice No",$A$1:$AB$1,0)),"")&amp;""&lt;&gt;"",ISNUMBER(AE1265),AD1265&lt;&gt;0),1,0)</f>
        <v/>
      </c>
      <c r="AG1265" s="55">
        <f>IF(AF1265=1,EOMONTH(AE1265,0),"")</f>
        <v/>
      </c>
      <c r="AH1265" s="9">
        <f>IF(AF1265=1,UPPER(TRIM(IFERROR(INDEX($A1265:$AB1265,MATCH("Client",$A$1:$AB$1,0)),"")&amp;"")),"")</f>
        <v/>
      </c>
      <c r="AI1265" s="9">
        <f>IF(AF1265=1,IFERROR(INDEX($A1265:$AB1265,MATCH("Cost Centre",$A$1:$AB$1,0)),"")&amp;"","")</f>
        <v/>
      </c>
      <c r="AJ1265" s="54">
        <f>IF(AND(AF1265=1,AE1265&gt;=set_FYStart,AE1265&lt;=set_AsAt),1,0)</f>
        <v/>
      </c>
      <c r="AK1265" s="54">
        <f>IF(AND(AJ1265=1,AH1265&lt;&gt;"",COUNTIFS($AH$2:AH1265,AH1265,$AJ$2:AJ1265,1)=1),N(AL1264)+1,"")</f>
        <v/>
      </c>
      <c r="AL1265" s="54">
        <f>IF(AK1265&lt;&gt;"",AK1265,N(AL1264))</f>
        <v/>
      </c>
    </row>
    <row r="1266">
      <c r="A1266" t="inlineStr">
        <is>
          <t>PRD-0422</t>
        </is>
      </c>
      <c r="B1266" t="inlineStr">
        <is>
          <t>Production</t>
        </is>
      </c>
      <c r="AB1266" t="n">
        <v>422</v>
      </c>
      <c r="AD1266" s="52">
        <f>IFERROR(N(IFERROR(INDEX($A1266:$AB1266,MATCH("Xero Invoiced Ex GST",$A$1:$AB$1,0)),"")),0)</f>
        <v/>
      </c>
      <c r="AE1266" s="53">
        <f>IFERROR(INDEX($A1266:$AB1266,MATCH("Xero Invoice Date",$A$1:$AB$1,0)),"")</f>
        <v/>
      </c>
      <c r="AF1266" s="54">
        <f>IF(AND(IFERROR(INDEX($A1266:$AB1266,MATCH("Xero Invoice No",$A$1:$AB$1,0)),"")&amp;""&lt;&gt;"",ISNUMBER(AE1266),AD1266&lt;&gt;0),1,0)</f>
        <v/>
      </c>
      <c r="AG1266" s="55">
        <f>IF(AF1266=1,EOMONTH(AE1266,0),"")</f>
        <v/>
      </c>
      <c r="AH1266" s="9">
        <f>IF(AF1266=1,UPPER(TRIM(IFERROR(INDEX($A1266:$AB1266,MATCH("Client",$A$1:$AB$1,0)),"")&amp;"")),"")</f>
        <v/>
      </c>
      <c r="AI1266" s="9">
        <f>IF(AF1266=1,IFERROR(INDEX($A1266:$AB1266,MATCH("Cost Centre",$A$1:$AB$1,0)),"")&amp;"","")</f>
        <v/>
      </c>
      <c r="AJ1266" s="54">
        <f>IF(AND(AF1266=1,AE1266&gt;=set_FYStart,AE1266&lt;=set_AsAt),1,0)</f>
        <v/>
      </c>
      <c r="AK1266" s="54">
        <f>IF(AND(AJ1266=1,AH1266&lt;&gt;"",COUNTIFS($AH$2:AH1266,AH1266,$AJ$2:AJ1266,1)=1),N(AL1265)+1,"")</f>
        <v/>
      </c>
      <c r="AL1266" s="54">
        <f>IF(AK1266&lt;&gt;"",AK1266,N(AL1265))</f>
        <v/>
      </c>
    </row>
    <row r="1267">
      <c r="A1267" t="inlineStr">
        <is>
          <t>CON-0422</t>
        </is>
      </c>
      <c r="B1267" t="inlineStr">
        <is>
          <t>Consulting</t>
        </is>
      </c>
      <c r="AB1267" t="n">
        <v>422</v>
      </c>
      <c r="AD1267" s="52">
        <f>IFERROR(N(IFERROR(INDEX($A1267:$AB1267,MATCH("Xero Invoiced Ex GST",$A$1:$AB$1,0)),"")),0)</f>
        <v/>
      </c>
      <c r="AE1267" s="53">
        <f>IFERROR(INDEX($A1267:$AB1267,MATCH("Xero Invoice Date",$A$1:$AB$1,0)),"")</f>
        <v/>
      </c>
      <c r="AF1267" s="54">
        <f>IF(AND(IFERROR(INDEX($A1267:$AB1267,MATCH("Xero Invoice No",$A$1:$AB$1,0)),"")&amp;""&lt;&gt;"",ISNUMBER(AE1267),AD1267&lt;&gt;0),1,0)</f>
        <v/>
      </c>
      <c r="AG1267" s="55">
        <f>IF(AF1267=1,EOMONTH(AE1267,0),"")</f>
        <v/>
      </c>
      <c r="AH1267" s="9">
        <f>IF(AF1267=1,UPPER(TRIM(IFERROR(INDEX($A1267:$AB1267,MATCH("Client",$A$1:$AB$1,0)),"")&amp;"")),"")</f>
        <v/>
      </c>
      <c r="AI1267" s="9">
        <f>IF(AF1267=1,IFERROR(INDEX($A1267:$AB1267,MATCH("Cost Centre",$A$1:$AB$1,0)),"")&amp;"","")</f>
        <v/>
      </c>
      <c r="AJ1267" s="54">
        <f>IF(AND(AF1267=1,AE1267&gt;=set_FYStart,AE1267&lt;=set_AsAt),1,0)</f>
        <v/>
      </c>
      <c r="AK1267" s="54">
        <f>IF(AND(AJ1267=1,AH1267&lt;&gt;"",COUNTIFS($AH$2:AH1267,AH1267,$AJ$2:AJ1267,1)=1),N(AL1266)+1,"")</f>
        <v/>
      </c>
      <c r="AL1267" s="54">
        <f>IF(AK1267&lt;&gt;"",AK1267,N(AL1266))</f>
        <v/>
      </c>
    </row>
    <row r="1268">
      <c r="A1268" t="inlineStr">
        <is>
          <t>ONS-0423</t>
        </is>
      </c>
      <c r="B1268" t="inlineStr">
        <is>
          <t>Onsite</t>
        </is>
      </c>
      <c r="AB1268" t="n">
        <v>423</v>
      </c>
      <c r="AD1268" s="52">
        <f>IFERROR(N(IFERROR(INDEX($A1268:$AB1268,MATCH("Xero Invoiced Ex GST",$A$1:$AB$1,0)),"")),0)</f>
        <v/>
      </c>
      <c r="AE1268" s="53">
        <f>IFERROR(INDEX($A1268:$AB1268,MATCH("Xero Invoice Date",$A$1:$AB$1,0)),"")</f>
        <v/>
      </c>
      <c r="AF1268" s="54">
        <f>IF(AND(IFERROR(INDEX($A1268:$AB1268,MATCH("Xero Invoice No",$A$1:$AB$1,0)),"")&amp;""&lt;&gt;"",ISNUMBER(AE1268),AD1268&lt;&gt;0),1,0)</f>
        <v/>
      </c>
      <c r="AG1268" s="55">
        <f>IF(AF1268=1,EOMONTH(AE1268,0),"")</f>
        <v/>
      </c>
      <c r="AH1268" s="9">
        <f>IF(AF1268=1,UPPER(TRIM(IFERROR(INDEX($A1268:$AB1268,MATCH("Client",$A$1:$AB$1,0)),"")&amp;"")),"")</f>
        <v/>
      </c>
      <c r="AI1268" s="9">
        <f>IF(AF1268=1,IFERROR(INDEX($A1268:$AB1268,MATCH("Cost Centre",$A$1:$AB$1,0)),"")&amp;"","")</f>
        <v/>
      </c>
      <c r="AJ1268" s="54">
        <f>IF(AND(AF1268=1,AE1268&gt;=set_FYStart,AE1268&lt;=set_AsAt),1,0)</f>
        <v/>
      </c>
      <c r="AK1268" s="54">
        <f>IF(AND(AJ1268=1,AH1268&lt;&gt;"",COUNTIFS($AH$2:AH1268,AH1268,$AJ$2:AJ1268,1)=1),N(AL1267)+1,"")</f>
        <v/>
      </c>
      <c r="AL1268" s="54">
        <f>IF(AK1268&lt;&gt;"",AK1268,N(AL1267))</f>
        <v/>
      </c>
    </row>
    <row r="1269">
      <c r="A1269" t="inlineStr">
        <is>
          <t>PRD-0423</t>
        </is>
      </c>
      <c r="B1269" t="inlineStr">
        <is>
          <t>Production</t>
        </is>
      </c>
      <c r="AB1269" t="n">
        <v>423</v>
      </c>
      <c r="AD1269" s="52">
        <f>IFERROR(N(IFERROR(INDEX($A1269:$AB1269,MATCH("Xero Invoiced Ex GST",$A$1:$AB$1,0)),"")),0)</f>
        <v/>
      </c>
      <c r="AE1269" s="53">
        <f>IFERROR(INDEX($A1269:$AB1269,MATCH("Xero Invoice Date",$A$1:$AB$1,0)),"")</f>
        <v/>
      </c>
      <c r="AF1269" s="54">
        <f>IF(AND(IFERROR(INDEX($A1269:$AB1269,MATCH("Xero Invoice No",$A$1:$AB$1,0)),"")&amp;""&lt;&gt;"",ISNUMBER(AE1269),AD1269&lt;&gt;0),1,0)</f>
        <v/>
      </c>
      <c r="AG1269" s="55">
        <f>IF(AF1269=1,EOMONTH(AE1269,0),"")</f>
        <v/>
      </c>
      <c r="AH1269" s="9">
        <f>IF(AF1269=1,UPPER(TRIM(IFERROR(INDEX($A1269:$AB1269,MATCH("Client",$A$1:$AB$1,0)),"")&amp;"")),"")</f>
        <v/>
      </c>
      <c r="AI1269" s="9">
        <f>IF(AF1269=1,IFERROR(INDEX($A1269:$AB1269,MATCH("Cost Centre",$A$1:$AB$1,0)),"")&amp;"","")</f>
        <v/>
      </c>
      <c r="AJ1269" s="54">
        <f>IF(AND(AF1269=1,AE1269&gt;=set_FYStart,AE1269&lt;=set_AsAt),1,0)</f>
        <v/>
      </c>
      <c r="AK1269" s="54">
        <f>IF(AND(AJ1269=1,AH1269&lt;&gt;"",COUNTIFS($AH$2:AH1269,AH1269,$AJ$2:AJ1269,1)=1),N(AL1268)+1,"")</f>
        <v/>
      </c>
      <c r="AL1269" s="54">
        <f>IF(AK1269&lt;&gt;"",AK1269,N(AL1268))</f>
        <v/>
      </c>
    </row>
    <row r="1270">
      <c r="A1270" t="inlineStr">
        <is>
          <t>CON-0423</t>
        </is>
      </c>
      <c r="B1270" t="inlineStr">
        <is>
          <t>Consulting</t>
        </is>
      </c>
      <c r="AB1270" t="n">
        <v>423</v>
      </c>
      <c r="AD1270" s="52">
        <f>IFERROR(N(IFERROR(INDEX($A1270:$AB1270,MATCH("Xero Invoiced Ex GST",$A$1:$AB$1,0)),"")),0)</f>
        <v/>
      </c>
      <c r="AE1270" s="53">
        <f>IFERROR(INDEX($A1270:$AB1270,MATCH("Xero Invoice Date",$A$1:$AB$1,0)),"")</f>
        <v/>
      </c>
      <c r="AF1270" s="54">
        <f>IF(AND(IFERROR(INDEX($A1270:$AB1270,MATCH("Xero Invoice No",$A$1:$AB$1,0)),"")&amp;""&lt;&gt;"",ISNUMBER(AE1270),AD1270&lt;&gt;0),1,0)</f>
        <v/>
      </c>
      <c r="AG1270" s="55">
        <f>IF(AF1270=1,EOMONTH(AE1270,0),"")</f>
        <v/>
      </c>
      <c r="AH1270" s="9">
        <f>IF(AF1270=1,UPPER(TRIM(IFERROR(INDEX($A1270:$AB1270,MATCH("Client",$A$1:$AB$1,0)),"")&amp;"")),"")</f>
        <v/>
      </c>
      <c r="AI1270" s="9">
        <f>IF(AF1270=1,IFERROR(INDEX($A1270:$AB1270,MATCH("Cost Centre",$A$1:$AB$1,0)),"")&amp;"","")</f>
        <v/>
      </c>
      <c r="AJ1270" s="54">
        <f>IF(AND(AF1270=1,AE1270&gt;=set_FYStart,AE1270&lt;=set_AsAt),1,0)</f>
        <v/>
      </c>
      <c r="AK1270" s="54">
        <f>IF(AND(AJ1270=1,AH1270&lt;&gt;"",COUNTIFS($AH$2:AH1270,AH1270,$AJ$2:AJ1270,1)=1),N(AL1269)+1,"")</f>
        <v/>
      </c>
      <c r="AL1270" s="54">
        <f>IF(AK1270&lt;&gt;"",AK1270,N(AL1269))</f>
        <v/>
      </c>
    </row>
    <row r="1271">
      <c r="A1271" t="inlineStr">
        <is>
          <t>ONS-0424</t>
        </is>
      </c>
      <c r="B1271" t="inlineStr">
        <is>
          <t>Onsite</t>
        </is>
      </c>
      <c r="AB1271" t="n">
        <v>424</v>
      </c>
      <c r="AD1271" s="52">
        <f>IFERROR(N(IFERROR(INDEX($A1271:$AB1271,MATCH("Xero Invoiced Ex GST",$A$1:$AB$1,0)),"")),0)</f>
        <v/>
      </c>
      <c r="AE1271" s="53">
        <f>IFERROR(INDEX($A1271:$AB1271,MATCH("Xero Invoice Date",$A$1:$AB$1,0)),"")</f>
        <v/>
      </c>
      <c r="AF1271" s="54">
        <f>IF(AND(IFERROR(INDEX($A1271:$AB1271,MATCH("Xero Invoice No",$A$1:$AB$1,0)),"")&amp;""&lt;&gt;"",ISNUMBER(AE1271),AD1271&lt;&gt;0),1,0)</f>
        <v/>
      </c>
      <c r="AG1271" s="55">
        <f>IF(AF1271=1,EOMONTH(AE1271,0),"")</f>
        <v/>
      </c>
      <c r="AH1271" s="9">
        <f>IF(AF1271=1,UPPER(TRIM(IFERROR(INDEX($A1271:$AB1271,MATCH("Client",$A$1:$AB$1,0)),"")&amp;"")),"")</f>
        <v/>
      </c>
      <c r="AI1271" s="9">
        <f>IF(AF1271=1,IFERROR(INDEX($A1271:$AB1271,MATCH("Cost Centre",$A$1:$AB$1,0)),"")&amp;"","")</f>
        <v/>
      </c>
      <c r="AJ1271" s="54">
        <f>IF(AND(AF1271=1,AE1271&gt;=set_FYStart,AE1271&lt;=set_AsAt),1,0)</f>
        <v/>
      </c>
      <c r="AK1271" s="54">
        <f>IF(AND(AJ1271=1,AH1271&lt;&gt;"",COUNTIFS($AH$2:AH1271,AH1271,$AJ$2:AJ1271,1)=1),N(AL1270)+1,"")</f>
        <v/>
      </c>
      <c r="AL1271" s="54">
        <f>IF(AK1271&lt;&gt;"",AK1271,N(AL1270))</f>
        <v/>
      </c>
    </row>
    <row r="1272">
      <c r="A1272" t="inlineStr">
        <is>
          <t>PRD-0424</t>
        </is>
      </c>
      <c r="B1272" t="inlineStr">
        <is>
          <t>Production</t>
        </is>
      </c>
      <c r="AB1272" t="n">
        <v>424</v>
      </c>
      <c r="AD1272" s="52">
        <f>IFERROR(N(IFERROR(INDEX($A1272:$AB1272,MATCH("Xero Invoiced Ex GST",$A$1:$AB$1,0)),"")),0)</f>
        <v/>
      </c>
      <c r="AE1272" s="53">
        <f>IFERROR(INDEX($A1272:$AB1272,MATCH("Xero Invoice Date",$A$1:$AB$1,0)),"")</f>
        <v/>
      </c>
      <c r="AF1272" s="54">
        <f>IF(AND(IFERROR(INDEX($A1272:$AB1272,MATCH("Xero Invoice No",$A$1:$AB$1,0)),"")&amp;""&lt;&gt;"",ISNUMBER(AE1272),AD1272&lt;&gt;0),1,0)</f>
        <v/>
      </c>
      <c r="AG1272" s="55">
        <f>IF(AF1272=1,EOMONTH(AE1272,0),"")</f>
        <v/>
      </c>
      <c r="AH1272" s="9">
        <f>IF(AF1272=1,UPPER(TRIM(IFERROR(INDEX($A1272:$AB1272,MATCH("Client",$A$1:$AB$1,0)),"")&amp;"")),"")</f>
        <v/>
      </c>
      <c r="AI1272" s="9">
        <f>IF(AF1272=1,IFERROR(INDEX($A1272:$AB1272,MATCH("Cost Centre",$A$1:$AB$1,0)),"")&amp;"","")</f>
        <v/>
      </c>
      <c r="AJ1272" s="54">
        <f>IF(AND(AF1272=1,AE1272&gt;=set_FYStart,AE1272&lt;=set_AsAt),1,0)</f>
        <v/>
      </c>
      <c r="AK1272" s="54">
        <f>IF(AND(AJ1272=1,AH1272&lt;&gt;"",COUNTIFS($AH$2:AH1272,AH1272,$AJ$2:AJ1272,1)=1),N(AL1271)+1,"")</f>
        <v/>
      </c>
      <c r="AL1272" s="54">
        <f>IF(AK1272&lt;&gt;"",AK1272,N(AL1271))</f>
        <v/>
      </c>
    </row>
    <row r="1273">
      <c r="A1273" t="inlineStr">
        <is>
          <t>CON-0424</t>
        </is>
      </c>
      <c r="B1273" t="inlineStr">
        <is>
          <t>Consulting</t>
        </is>
      </c>
      <c r="AB1273" t="n">
        <v>424</v>
      </c>
      <c r="AD1273" s="52">
        <f>IFERROR(N(IFERROR(INDEX($A1273:$AB1273,MATCH("Xero Invoiced Ex GST",$A$1:$AB$1,0)),"")),0)</f>
        <v/>
      </c>
      <c r="AE1273" s="53">
        <f>IFERROR(INDEX($A1273:$AB1273,MATCH("Xero Invoice Date",$A$1:$AB$1,0)),"")</f>
        <v/>
      </c>
      <c r="AF1273" s="54">
        <f>IF(AND(IFERROR(INDEX($A1273:$AB1273,MATCH("Xero Invoice No",$A$1:$AB$1,0)),"")&amp;""&lt;&gt;"",ISNUMBER(AE1273),AD1273&lt;&gt;0),1,0)</f>
        <v/>
      </c>
      <c r="AG1273" s="55">
        <f>IF(AF1273=1,EOMONTH(AE1273,0),"")</f>
        <v/>
      </c>
      <c r="AH1273" s="9">
        <f>IF(AF1273=1,UPPER(TRIM(IFERROR(INDEX($A1273:$AB1273,MATCH("Client",$A$1:$AB$1,0)),"")&amp;"")),"")</f>
        <v/>
      </c>
      <c r="AI1273" s="9">
        <f>IF(AF1273=1,IFERROR(INDEX($A1273:$AB1273,MATCH("Cost Centre",$A$1:$AB$1,0)),"")&amp;"","")</f>
        <v/>
      </c>
      <c r="AJ1273" s="54">
        <f>IF(AND(AF1273=1,AE1273&gt;=set_FYStart,AE1273&lt;=set_AsAt),1,0)</f>
        <v/>
      </c>
      <c r="AK1273" s="54">
        <f>IF(AND(AJ1273=1,AH1273&lt;&gt;"",COUNTIFS($AH$2:AH1273,AH1273,$AJ$2:AJ1273,1)=1),N(AL1272)+1,"")</f>
        <v/>
      </c>
      <c r="AL1273" s="54">
        <f>IF(AK1273&lt;&gt;"",AK1273,N(AL1272))</f>
        <v/>
      </c>
    </row>
    <row r="1274">
      <c r="A1274" t="inlineStr">
        <is>
          <t>ONS-0425</t>
        </is>
      </c>
      <c r="B1274" t="inlineStr">
        <is>
          <t>Onsite</t>
        </is>
      </c>
      <c r="AB1274" t="n">
        <v>425</v>
      </c>
      <c r="AD1274" s="52">
        <f>IFERROR(N(IFERROR(INDEX($A1274:$AB1274,MATCH("Xero Invoiced Ex GST",$A$1:$AB$1,0)),"")),0)</f>
        <v/>
      </c>
      <c r="AE1274" s="53">
        <f>IFERROR(INDEX($A1274:$AB1274,MATCH("Xero Invoice Date",$A$1:$AB$1,0)),"")</f>
        <v/>
      </c>
      <c r="AF1274" s="54">
        <f>IF(AND(IFERROR(INDEX($A1274:$AB1274,MATCH("Xero Invoice No",$A$1:$AB$1,0)),"")&amp;""&lt;&gt;"",ISNUMBER(AE1274),AD1274&lt;&gt;0),1,0)</f>
        <v/>
      </c>
      <c r="AG1274" s="55">
        <f>IF(AF1274=1,EOMONTH(AE1274,0),"")</f>
        <v/>
      </c>
      <c r="AH1274" s="9">
        <f>IF(AF1274=1,UPPER(TRIM(IFERROR(INDEX($A1274:$AB1274,MATCH("Client",$A$1:$AB$1,0)),"")&amp;"")),"")</f>
        <v/>
      </c>
      <c r="AI1274" s="9">
        <f>IF(AF1274=1,IFERROR(INDEX($A1274:$AB1274,MATCH("Cost Centre",$A$1:$AB$1,0)),"")&amp;"","")</f>
        <v/>
      </c>
      <c r="AJ1274" s="54">
        <f>IF(AND(AF1274=1,AE1274&gt;=set_FYStart,AE1274&lt;=set_AsAt),1,0)</f>
        <v/>
      </c>
      <c r="AK1274" s="54">
        <f>IF(AND(AJ1274=1,AH1274&lt;&gt;"",COUNTIFS($AH$2:AH1274,AH1274,$AJ$2:AJ1274,1)=1),N(AL1273)+1,"")</f>
        <v/>
      </c>
      <c r="AL1274" s="54">
        <f>IF(AK1274&lt;&gt;"",AK1274,N(AL1273))</f>
        <v/>
      </c>
    </row>
    <row r="1275">
      <c r="A1275" t="inlineStr">
        <is>
          <t>PRD-0425</t>
        </is>
      </c>
      <c r="B1275" t="inlineStr">
        <is>
          <t>Production</t>
        </is>
      </c>
      <c r="AB1275" t="n">
        <v>425</v>
      </c>
      <c r="AD1275" s="52">
        <f>IFERROR(N(IFERROR(INDEX($A1275:$AB1275,MATCH("Xero Invoiced Ex GST",$A$1:$AB$1,0)),"")),0)</f>
        <v/>
      </c>
      <c r="AE1275" s="53">
        <f>IFERROR(INDEX($A1275:$AB1275,MATCH("Xero Invoice Date",$A$1:$AB$1,0)),"")</f>
        <v/>
      </c>
      <c r="AF1275" s="54">
        <f>IF(AND(IFERROR(INDEX($A1275:$AB1275,MATCH("Xero Invoice No",$A$1:$AB$1,0)),"")&amp;""&lt;&gt;"",ISNUMBER(AE1275),AD1275&lt;&gt;0),1,0)</f>
        <v/>
      </c>
      <c r="AG1275" s="55">
        <f>IF(AF1275=1,EOMONTH(AE1275,0),"")</f>
        <v/>
      </c>
      <c r="AH1275" s="9">
        <f>IF(AF1275=1,UPPER(TRIM(IFERROR(INDEX($A1275:$AB1275,MATCH("Client",$A$1:$AB$1,0)),"")&amp;"")),"")</f>
        <v/>
      </c>
      <c r="AI1275" s="9">
        <f>IF(AF1275=1,IFERROR(INDEX($A1275:$AB1275,MATCH("Cost Centre",$A$1:$AB$1,0)),"")&amp;"","")</f>
        <v/>
      </c>
      <c r="AJ1275" s="54">
        <f>IF(AND(AF1275=1,AE1275&gt;=set_FYStart,AE1275&lt;=set_AsAt),1,0)</f>
        <v/>
      </c>
      <c r="AK1275" s="54">
        <f>IF(AND(AJ1275=1,AH1275&lt;&gt;"",COUNTIFS($AH$2:AH1275,AH1275,$AJ$2:AJ1275,1)=1),N(AL1274)+1,"")</f>
        <v/>
      </c>
      <c r="AL1275" s="54">
        <f>IF(AK1275&lt;&gt;"",AK1275,N(AL1274))</f>
        <v/>
      </c>
    </row>
    <row r="1276">
      <c r="A1276" t="inlineStr">
        <is>
          <t>CON-0425</t>
        </is>
      </c>
      <c r="B1276" t="inlineStr">
        <is>
          <t>Consulting</t>
        </is>
      </c>
      <c r="AB1276" t="n">
        <v>425</v>
      </c>
      <c r="AD1276" s="52">
        <f>IFERROR(N(IFERROR(INDEX($A1276:$AB1276,MATCH("Xero Invoiced Ex GST",$A$1:$AB$1,0)),"")),0)</f>
        <v/>
      </c>
      <c r="AE1276" s="53">
        <f>IFERROR(INDEX($A1276:$AB1276,MATCH("Xero Invoice Date",$A$1:$AB$1,0)),"")</f>
        <v/>
      </c>
      <c r="AF1276" s="54">
        <f>IF(AND(IFERROR(INDEX($A1276:$AB1276,MATCH("Xero Invoice No",$A$1:$AB$1,0)),"")&amp;""&lt;&gt;"",ISNUMBER(AE1276),AD1276&lt;&gt;0),1,0)</f>
        <v/>
      </c>
      <c r="AG1276" s="55">
        <f>IF(AF1276=1,EOMONTH(AE1276,0),"")</f>
        <v/>
      </c>
      <c r="AH1276" s="9">
        <f>IF(AF1276=1,UPPER(TRIM(IFERROR(INDEX($A1276:$AB1276,MATCH("Client",$A$1:$AB$1,0)),"")&amp;"")),"")</f>
        <v/>
      </c>
      <c r="AI1276" s="9">
        <f>IF(AF1276=1,IFERROR(INDEX($A1276:$AB1276,MATCH("Cost Centre",$A$1:$AB$1,0)),"")&amp;"","")</f>
        <v/>
      </c>
      <c r="AJ1276" s="54">
        <f>IF(AND(AF1276=1,AE1276&gt;=set_FYStart,AE1276&lt;=set_AsAt),1,0)</f>
        <v/>
      </c>
      <c r="AK1276" s="54">
        <f>IF(AND(AJ1276=1,AH1276&lt;&gt;"",COUNTIFS($AH$2:AH1276,AH1276,$AJ$2:AJ1276,1)=1),N(AL1275)+1,"")</f>
        <v/>
      </c>
      <c r="AL1276" s="54">
        <f>IF(AK1276&lt;&gt;"",AK1276,N(AL1275))</f>
        <v/>
      </c>
    </row>
    <row r="1277">
      <c r="A1277" t="inlineStr">
        <is>
          <t>ONS-0426</t>
        </is>
      </c>
      <c r="B1277" t="inlineStr">
        <is>
          <t>Onsite</t>
        </is>
      </c>
      <c r="AB1277" t="n">
        <v>426</v>
      </c>
      <c r="AD1277" s="52">
        <f>IFERROR(N(IFERROR(INDEX($A1277:$AB1277,MATCH("Xero Invoiced Ex GST",$A$1:$AB$1,0)),"")),0)</f>
        <v/>
      </c>
      <c r="AE1277" s="53">
        <f>IFERROR(INDEX($A1277:$AB1277,MATCH("Xero Invoice Date",$A$1:$AB$1,0)),"")</f>
        <v/>
      </c>
      <c r="AF1277" s="54">
        <f>IF(AND(IFERROR(INDEX($A1277:$AB1277,MATCH("Xero Invoice No",$A$1:$AB$1,0)),"")&amp;""&lt;&gt;"",ISNUMBER(AE1277),AD1277&lt;&gt;0),1,0)</f>
        <v/>
      </c>
      <c r="AG1277" s="55">
        <f>IF(AF1277=1,EOMONTH(AE1277,0),"")</f>
        <v/>
      </c>
      <c r="AH1277" s="9">
        <f>IF(AF1277=1,UPPER(TRIM(IFERROR(INDEX($A1277:$AB1277,MATCH("Client",$A$1:$AB$1,0)),"")&amp;"")),"")</f>
        <v/>
      </c>
      <c r="AI1277" s="9">
        <f>IF(AF1277=1,IFERROR(INDEX($A1277:$AB1277,MATCH("Cost Centre",$A$1:$AB$1,0)),"")&amp;"","")</f>
        <v/>
      </c>
      <c r="AJ1277" s="54">
        <f>IF(AND(AF1277=1,AE1277&gt;=set_FYStart,AE1277&lt;=set_AsAt),1,0)</f>
        <v/>
      </c>
      <c r="AK1277" s="54">
        <f>IF(AND(AJ1277=1,AH1277&lt;&gt;"",COUNTIFS($AH$2:AH1277,AH1277,$AJ$2:AJ1277,1)=1),N(AL1276)+1,"")</f>
        <v/>
      </c>
      <c r="AL1277" s="54">
        <f>IF(AK1277&lt;&gt;"",AK1277,N(AL1276))</f>
        <v/>
      </c>
    </row>
    <row r="1278">
      <c r="A1278" t="inlineStr">
        <is>
          <t>PRD-0426</t>
        </is>
      </c>
      <c r="B1278" t="inlineStr">
        <is>
          <t>Production</t>
        </is>
      </c>
      <c r="AB1278" t="n">
        <v>426</v>
      </c>
      <c r="AD1278" s="52">
        <f>IFERROR(N(IFERROR(INDEX($A1278:$AB1278,MATCH("Xero Invoiced Ex GST",$A$1:$AB$1,0)),"")),0)</f>
        <v/>
      </c>
      <c r="AE1278" s="53">
        <f>IFERROR(INDEX($A1278:$AB1278,MATCH("Xero Invoice Date",$A$1:$AB$1,0)),"")</f>
        <v/>
      </c>
      <c r="AF1278" s="54">
        <f>IF(AND(IFERROR(INDEX($A1278:$AB1278,MATCH("Xero Invoice No",$A$1:$AB$1,0)),"")&amp;""&lt;&gt;"",ISNUMBER(AE1278),AD1278&lt;&gt;0),1,0)</f>
        <v/>
      </c>
      <c r="AG1278" s="55">
        <f>IF(AF1278=1,EOMONTH(AE1278,0),"")</f>
        <v/>
      </c>
      <c r="AH1278" s="9">
        <f>IF(AF1278=1,UPPER(TRIM(IFERROR(INDEX($A1278:$AB1278,MATCH("Client",$A$1:$AB$1,0)),"")&amp;"")),"")</f>
        <v/>
      </c>
      <c r="AI1278" s="9">
        <f>IF(AF1278=1,IFERROR(INDEX($A1278:$AB1278,MATCH("Cost Centre",$A$1:$AB$1,0)),"")&amp;"","")</f>
        <v/>
      </c>
      <c r="AJ1278" s="54">
        <f>IF(AND(AF1278=1,AE1278&gt;=set_FYStart,AE1278&lt;=set_AsAt),1,0)</f>
        <v/>
      </c>
      <c r="AK1278" s="54">
        <f>IF(AND(AJ1278=1,AH1278&lt;&gt;"",COUNTIFS($AH$2:AH1278,AH1278,$AJ$2:AJ1278,1)=1),N(AL1277)+1,"")</f>
        <v/>
      </c>
      <c r="AL1278" s="54">
        <f>IF(AK1278&lt;&gt;"",AK1278,N(AL1277))</f>
        <v/>
      </c>
    </row>
    <row r="1279">
      <c r="A1279" t="inlineStr">
        <is>
          <t>CON-0426</t>
        </is>
      </c>
      <c r="B1279" t="inlineStr">
        <is>
          <t>Consulting</t>
        </is>
      </c>
      <c r="AB1279" t="n">
        <v>426</v>
      </c>
      <c r="AD1279" s="52">
        <f>IFERROR(N(IFERROR(INDEX($A1279:$AB1279,MATCH("Xero Invoiced Ex GST",$A$1:$AB$1,0)),"")),0)</f>
        <v/>
      </c>
      <c r="AE1279" s="53">
        <f>IFERROR(INDEX($A1279:$AB1279,MATCH("Xero Invoice Date",$A$1:$AB$1,0)),"")</f>
        <v/>
      </c>
      <c r="AF1279" s="54">
        <f>IF(AND(IFERROR(INDEX($A1279:$AB1279,MATCH("Xero Invoice No",$A$1:$AB$1,0)),"")&amp;""&lt;&gt;"",ISNUMBER(AE1279),AD1279&lt;&gt;0),1,0)</f>
        <v/>
      </c>
      <c r="AG1279" s="55">
        <f>IF(AF1279=1,EOMONTH(AE1279,0),"")</f>
        <v/>
      </c>
      <c r="AH1279" s="9">
        <f>IF(AF1279=1,UPPER(TRIM(IFERROR(INDEX($A1279:$AB1279,MATCH("Client",$A$1:$AB$1,0)),"")&amp;"")),"")</f>
        <v/>
      </c>
      <c r="AI1279" s="9">
        <f>IF(AF1279=1,IFERROR(INDEX($A1279:$AB1279,MATCH("Cost Centre",$A$1:$AB$1,0)),"")&amp;"","")</f>
        <v/>
      </c>
      <c r="AJ1279" s="54">
        <f>IF(AND(AF1279=1,AE1279&gt;=set_FYStart,AE1279&lt;=set_AsAt),1,0)</f>
        <v/>
      </c>
      <c r="AK1279" s="54">
        <f>IF(AND(AJ1279=1,AH1279&lt;&gt;"",COUNTIFS($AH$2:AH1279,AH1279,$AJ$2:AJ1279,1)=1),N(AL1278)+1,"")</f>
        <v/>
      </c>
      <c r="AL1279" s="54">
        <f>IF(AK1279&lt;&gt;"",AK1279,N(AL1278))</f>
        <v/>
      </c>
    </row>
    <row r="1280">
      <c r="A1280" t="inlineStr">
        <is>
          <t>ONS-0427</t>
        </is>
      </c>
      <c r="B1280" t="inlineStr">
        <is>
          <t>Onsite</t>
        </is>
      </c>
      <c r="AB1280" t="n">
        <v>427</v>
      </c>
      <c r="AD1280" s="52">
        <f>IFERROR(N(IFERROR(INDEX($A1280:$AB1280,MATCH("Xero Invoiced Ex GST",$A$1:$AB$1,0)),"")),0)</f>
        <v/>
      </c>
      <c r="AE1280" s="53">
        <f>IFERROR(INDEX($A1280:$AB1280,MATCH("Xero Invoice Date",$A$1:$AB$1,0)),"")</f>
        <v/>
      </c>
      <c r="AF1280" s="54">
        <f>IF(AND(IFERROR(INDEX($A1280:$AB1280,MATCH("Xero Invoice No",$A$1:$AB$1,0)),"")&amp;""&lt;&gt;"",ISNUMBER(AE1280),AD1280&lt;&gt;0),1,0)</f>
        <v/>
      </c>
      <c r="AG1280" s="55">
        <f>IF(AF1280=1,EOMONTH(AE1280,0),"")</f>
        <v/>
      </c>
      <c r="AH1280" s="9">
        <f>IF(AF1280=1,UPPER(TRIM(IFERROR(INDEX($A1280:$AB1280,MATCH("Client",$A$1:$AB$1,0)),"")&amp;"")),"")</f>
        <v/>
      </c>
      <c r="AI1280" s="9">
        <f>IF(AF1280=1,IFERROR(INDEX($A1280:$AB1280,MATCH("Cost Centre",$A$1:$AB$1,0)),"")&amp;"","")</f>
        <v/>
      </c>
      <c r="AJ1280" s="54">
        <f>IF(AND(AF1280=1,AE1280&gt;=set_FYStart,AE1280&lt;=set_AsAt),1,0)</f>
        <v/>
      </c>
      <c r="AK1280" s="54">
        <f>IF(AND(AJ1280=1,AH1280&lt;&gt;"",COUNTIFS($AH$2:AH1280,AH1280,$AJ$2:AJ1280,1)=1),N(AL1279)+1,"")</f>
        <v/>
      </c>
      <c r="AL1280" s="54">
        <f>IF(AK1280&lt;&gt;"",AK1280,N(AL1279))</f>
        <v/>
      </c>
    </row>
    <row r="1281">
      <c r="A1281" t="inlineStr">
        <is>
          <t>PRD-0427</t>
        </is>
      </c>
      <c r="B1281" t="inlineStr">
        <is>
          <t>Production</t>
        </is>
      </c>
      <c r="AB1281" t="n">
        <v>427</v>
      </c>
      <c r="AD1281" s="52">
        <f>IFERROR(N(IFERROR(INDEX($A1281:$AB1281,MATCH("Xero Invoiced Ex GST",$A$1:$AB$1,0)),"")),0)</f>
        <v/>
      </c>
      <c r="AE1281" s="53">
        <f>IFERROR(INDEX($A1281:$AB1281,MATCH("Xero Invoice Date",$A$1:$AB$1,0)),"")</f>
        <v/>
      </c>
      <c r="AF1281" s="54">
        <f>IF(AND(IFERROR(INDEX($A1281:$AB1281,MATCH("Xero Invoice No",$A$1:$AB$1,0)),"")&amp;""&lt;&gt;"",ISNUMBER(AE1281),AD1281&lt;&gt;0),1,0)</f>
        <v/>
      </c>
      <c r="AG1281" s="55">
        <f>IF(AF1281=1,EOMONTH(AE1281,0),"")</f>
        <v/>
      </c>
      <c r="AH1281" s="9">
        <f>IF(AF1281=1,UPPER(TRIM(IFERROR(INDEX($A1281:$AB1281,MATCH("Client",$A$1:$AB$1,0)),"")&amp;"")),"")</f>
        <v/>
      </c>
      <c r="AI1281" s="9">
        <f>IF(AF1281=1,IFERROR(INDEX($A1281:$AB1281,MATCH("Cost Centre",$A$1:$AB$1,0)),"")&amp;"","")</f>
        <v/>
      </c>
      <c r="AJ1281" s="54">
        <f>IF(AND(AF1281=1,AE1281&gt;=set_FYStart,AE1281&lt;=set_AsAt),1,0)</f>
        <v/>
      </c>
      <c r="AK1281" s="54">
        <f>IF(AND(AJ1281=1,AH1281&lt;&gt;"",COUNTIFS($AH$2:AH1281,AH1281,$AJ$2:AJ1281,1)=1),N(AL1280)+1,"")</f>
        <v/>
      </c>
      <c r="AL1281" s="54">
        <f>IF(AK1281&lt;&gt;"",AK1281,N(AL1280))</f>
        <v/>
      </c>
    </row>
    <row r="1282">
      <c r="A1282" t="inlineStr">
        <is>
          <t>CON-0427</t>
        </is>
      </c>
      <c r="B1282" t="inlineStr">
        <is>
          <t>Consulting</t>
        </is>
      </c>
      <c r="AB1282" t="n">
        <v>427</v>
      </c>
      <c r="AD1282" s="52">
        <f>IFERROR(N(IFERROR(INDEX($A1282:$AB1282,MATCH("Xero Invoiced Ex GST",$A$1:$AB$1,0)),"")),0)</f>
        <v/>
      </c>
      <c r="AE1282" s="53">
        <f>IFERROR(INDEX($A1282:$AB1282,MATCH("Xero Invoice Date",$A$1:$AB$1,0)),"")</f>
        <v/>
      </c>
      <c r="AF1282" s="54">
        <f>IF(AND(IFERROR(INDEX($A1282:$AB1282,MATCH("Xero Invoice No",$A$1:$AB$1,0)),"")&amp;""&lt;&gt;"",ISNUMBER(AE1282),AD1282&lt;&gt;0),1,0)</f>
        <v/>
      </c>
      <c r="AG1282" s="55">
        <f>IF(AF1282=1,EOMONTH(AE1282,0),"")</f>
        <v/>
      </c>
      <c r="AH1282" s="9">
        <f>IF(AF1282=1,UPPER(TRIM(IFERROR(INDEX($A1282:$AB1282,MATCH("Client",$A$1:$AB$1,0)),"")&amp;"")),"")</f>
        <v/>
      </c>
      <c r="AI1282" s="9">
        <f>IF(AF1282=1,IFERROR(INDEX($A1282:$AB1282,MATCH("Cost Centre",$A$1:$AB$1,0)),"")&amp;"","")</f>
        <v/>
      </c>
      <c r="AJ1282" s="54">
        <f>IF(AND(AF1282=1,AE1282&gt;=set_FYStart,AE1282&lt;=set_AsAt),1,0)</f>
        <v/>
      </c>
      <c r="AK1282" s="54">
        <f>IF(AND(AJ1282=1,AH1282&lt;&gt;"",COUNTIFS($AH$2:AH1282,AH1282,$AJ$2:AJ1282,1)=1),N(AL1281)+1,"")</f>
        <v/>
      </c>
      <c r="AL1282" s="54">
        <f>IF(AK1282&lt;&gt;"",AK1282,N(AL1281))</f>
        <v/>
      </c>
    </row>
    <row r="1283">
      <c r="A1283" t="inlineStr">
        <is>
          <t>ONS-0428</t>
        </is>
      </c>
      <c r="B1283" t="inlineStr">
        <is>
          <t>Onsite</t>
        </is>
      </c>
      <c r="AB1283" t="n">
        <v>428</v>
      </c>
      <c r="AD1283" s="52">
        <f>IFERROR(N(IFERROR(INDEX($A1283:$AB1283,MATCH("Xero Invoiced Ex GST",$A$1:$AB$1,0)),"")),0)</f>
        <v/>
      </c>
      <c r="AE1283" s="53">
        <f>IFERROR(INDEX($A1283:$AB1283,MATCH("Xero Invoice Date",$A$1:$AB$1,0)),"")</f>
        <v/>
      </c>
      <c r="AF1283" s="54">
        <f>IF(AND(IFERROR(INDEX($A1283:$AB1283,MATCH("Xero Invoice No",$A$1:$AB$1,0)),"")&amp;""&lt;&gt;"",ISNUMBER(AE1283),AD1283&lt;&gt;0),1,0)</f>
        <v/>
      </c>
      <c r="AG1283" s="55">
        <f>IF(AF1283=1,EOMONTH(AE1283,0),"")</f>
        <v/>
      </c>
      <c r="AH1283" s="9">
        <f>IF(AF1283=1,UPPER(TRIM(IFERROR(INDEX($A1283:$AB1283,MATCH("Client",$A$1:$AB$1,0)),"")&amp;"")),"")</f>
        <v/>
      </c>
      <c r="AI1283" s="9">
        <f>IF(AF1283=1,IFERROR(INDEX($A1283:$AB1283,MATCH("Cost Centre",$A$1:$AB$1,0)),"")&amp;"","")</f>
        <v/>
      </c>
      <c r="AJ1283" s="54">
        <f>IF(AND(AF1283=1,AE1283&gt;=set_FYStart,AE1283&lt;=set_AsAt),1,0)</f>
        <v/>
      </c>
      <c r="AK1283" s="54">
        <f>IF(AND(AJ1283=1,AH1283&lt;&gt;"",COUNTIFS($AH$2:AH1283,AH1283,$AJ$2:AJ1283,1)=1),N(AL1282)+1,"")</f>
        <v/>
      </c>
      <c r="AL1283" s="54">
        <f>IF(AK1283&lt;&gt;"",AK1283,N(AL1282))</f>
        <v/>
      </c>
    </row>
    <row r="1284">
      <c r="A1284" t="inlineStr">
        <is>
          <t>PRD-0428</t>
        </is>
      </c>
      <c r="B1284" t="inlineStr">
        <is>
          <t>Production</t>
        </is>
      </c>
      <c r="AB1284" t="n">
        <v>428</v>
      </c>
      <c r="AD1284" s="52">
        <f>IFERROR(N(IFERROR(INDEX($A1284:$AB1284,MATCH("Xero Invoiced Ex GST",$A$1:$AB$1,0)),"")),0)</f>
        <v/>
      </c>
      <c r="AE1284" s="53">
        <f>IFERROR(INDEX($A1284:$AB1284,MATCH("Xero Invoice Date",$A$1:$AB$1,0)),"")</f>
        <v/>
      </c>
      <c r="AF1284" s="54">
        <f>IF(AND(IFERROR(INDEX($A1284:$AB1284,MATCH("Xero Invoice No",$A$1:$AB$1,0)),"")&amp;""&lt;&gt;"",ISNUMBER(AE1284),AD1284&lt;&gt;0),1,0)</f>
        <v/>
      </c>
      <c r="AG1284" s="55">
        <f>IF(AF1284=1,EOMONTH(AE1284,0),"")</f>
        <v/>
      </c>
      <c r="AH1284" s="9">
        <f>IF(AF1284=1,UPPER(TRIM(IFERROR(INDEX($A1284:$AB1284,MATCH("Client",$A$1:$AB$1,0)),"")&amp;"")),"")</f>
        <v/>
      </c>
      <c r="AI1284" s="9">
        <f>IF(AF1284=1,IFERROR(INDEX($A1284:$AB1284,MATCH("Cost Centre",$A$1:$AB$1,0)),"")&amp;"","")</f>
        <v/>
      </c>
      <c r="AJ1284" s="54">
        <f>IF(AND(AF1284=1,AE1284&gt;=set_FYStart,AE1284&lt;=set_AsAt),1,0)</f>
        <v/>
      </c>
      <c r="AK1284" s="54">
        <f>IF(AND(AJ1284=1,AH1284&lt;&gt;"",COUNTIFS($AH$2:AH1284,AH1284,$AJ$2:AJ1284,1)=1),N(AL1283)+1,"")</f>
        <v/>
      </c>
      <c r="AL1284" s="54">
        <f>IF(AK1284&lt;&gt;"",AK1284,N(AL1283))</f>
        <v/>
      </c>
    </row>
    <row r="1285">
      <c r="A1285" t="inlineStr">
        <is>
          <t>CON-0428</t>
        </is>
      </c>
      <c r="B1285" t="inlineStr">
        <is>
          <t>Consulting</t>
        </is>
      </c>
      <c r="AB1285" t="n">
        <v>428</v>
      </c>
      <c r="AD1285" s="52">
        <f>IFERROR(N(IFERROR(INDEX($A1285:$AB1285,MATCH("Xero Invoiced Ex GST",$A$1:$AB$1,0)),"")),0)</f>
        <v/>
      </c>
      <c r="AE1285" s="53">
        <f>IFERROR(INDEX($A1285:$AB1285,MATCH("Xero Invoice Date",$A$1:$AB$1,0)),"")</f>
        <v/>
      </c>
      <c r="AF1285" s="54">
        <f>IF(AND(IFERROR(INDEX($A1285:$AB1285,MATCH("Xero Invoice No",$A$1:$AB$1,0)),"")&amp;""&lt;&gt;"",ISNUMBER(AE1285),AD1285&lt;&gt;0),1,0)</f>
        <v/>
      </c>
      <c r="AG1285" s="55">
        <f>IF(AF1285=1,EOMONTH(AE1285,0),"")</f>
        <v/>
      </c>
      <c r="AH1285" s="9">
        <f>IF(AF1285=1,UPPER(TRIM(IFERROR(INDEX($A1285:$AB1285,MATCH("Client",$A$1:$AB$1,0)),"")&amp;"")),"")</f>
        <v/>
      </c>
      <c r="AI1285" s="9">
        <f>IF(AF1285=1,IFERROR(INDEX($A1285:$AB1285,MATCH("Cost Centre",$A$1:$AB$1,0)),"")&amp;"","")</f>
        <v/>
      </c>
      <c r="AJ1285" s="54">
        <f>IF(AND(AF1285=1,AE1285&gt;=set_FYStart,AE1285&lt;=set_AsAt),1,0)</f>
        <v/>
      </c>
      <c r="AK1285" s="54">
        <f>IF(AND(AJ1285=1,AH1285&lt;&gt;"",COUNTIFS($AH$2:AH1285,AH1285,$AJ$2:AJ1285,1)=1),N(AL1284)+1,"")</f>
        <v/>
      </c>
      <c r="AL1285" s="54">
        <f>IF(AK1285&lt;&gt;"",AK1285,N(AL1284))</f>
        <v/>
      </c>
    </row>
    <row r="1286">
      <c r="A1286" t="inlineStr">
        <is>
          <t>ONS-0429</t>
        </is>
      </c>
      <c r="B1286" t="inlineStr">
        <is>
          <t>Onsite</t>
        </is>
      </c>
      <c r="AB1286" t="n">
        <v>429</v>
      </c>
      <c r="AD1286" s="52">
        <f>IFERROR(N(IFERROR(INDEX($A1286:$AB1286,MATCH("Xero Invoiced Ex GST",$A$1:$AB$1,0)),"")),0)</f>
        <v/>
      </c>
      <c r="AE1286" s="53">
        <f>IFERROR(INDEX($A1286:$AB1286,MATCH("Xero Invoice Date",$A$1:$AB$1,0)),"")</f>
        <v/>
      </c>
      <c r="AF1286" s="54">
        <f>IF(AND(IFERROR(INDEX($A1286:$AB1286,MATCH("Xero Invoice No",$A$1:$AB$1,0)),"")&amp;""&lt;&gt;"",ISNUMBER(AE1286),AD1286&lt;&gt;0),1,0)</f>
        <v/>
      </c>
      <c r="AG1286" s="55">
        <f>IF(AF1286=1,EOMONTH(AE1286,0),"")</f>
        <v/>
      </c>
      <c r="AH1286" s="9">
        <f>IF(AF1286=1,UPPER(TRIM(IFERROR(INDEX($A1286:$AB1286,MATCH("Client",$A$1:$AB$1,0)),"")&amp;"")),"")</f>
        <v/>
      </c>
      <c r="AI1286" s="9">
        <f>IF(AF1286=1,IFERROR(INDEX($A1286:$AB1286,MATCH("Cost Centre",$A$1:$AB$1,0)),"")&amp;"","")</f>
        <v/>
      </c>
      <c r="AJ1286" s="54">
        <f>IF(AND(AF1286=1,AE1286&gt;=set_FYStart,AE1286&lt;=set_AsAt),1,0)</f>
        <v/>
      </c>
      <c r="AK1286" s="54">
        <f>IF(AND(AJ1286=1,AH1286&lt;&gt;"",COUNTIFS($AH$2:AH1286,AH1286,$AJ$2:AJ1286,1)=1),N(AL1285)+1,"")</f>
        <v/>
      </c>
      <c r="AL1286" s="54">
        <f>IF(AK1286&lt;&gt;"",AK1286,N(AL1285))</f>
        <v/>
      </c>
    </row>
    <row r="1287">
      <c r="A1287" t="inlineStr">
        <is>
          <t>PRD-0429</t>
        </is>
      </c>
      <c r="B1287" t="inlineStr">
        <is>
          <t>Production</t>
        </is>
      </c>
      <c r="AB1287" t="n">
        <v>429</v>
      </c>
      <c r="AD1287" s="52">
        <f>IFERROR(N(IFERROR(INDEX($A1287:$AB1287,MATCH("Xero Invoiced Ex GST",$A$1:$AB$1,0)),"")),0)</f>
        <v/>
      </c>
      <c r="AE1287" s="53">
        <f>IFERROR(INDEX($A1287:$AB1287,MATCH("Xero Invoice Date",$A$1:$AB$1,0)),"")</f>
        <v/>
      </c>
      <c r="AF1287" s="54">
        <f>IF(AND(IFERROR(INDEX($A1287:$AB1287,MATCH("Xero Invoice No",$A$1:$AB$1,0)),"")&amp;""&lt;&gt;"",ISNUMBER(AE1287),AD1287&lt;&gt;0),1,0)</f>
        <v/>
      </c>
      <c r="AG1287" s="55">
        <f>IF(AF1287=1,EOMONTH(AE1287,0),"")</f>
        <v/>
      </c>
      <c r="AH1287" s="9">
        <f>IF(AF1287=1,UPPER(TRIM(IFERROR(INDEX($A1287:$AB1287,MATCH("Client",$A$1:$AB$1,0)),"")&amp;"")),"")</f>
        <v/>
      </c>
      <c r="AI1287" s="9">
        <f>IF(AF1287=1,IFERROR(INDEX($A1287:$AB1287,MATCH("Cost Centre",$A$1:$AB$1,0)),"")&amp;"","")</f>
        <v/>
      </c>
      <c r="AJ1287" s="54">
        <f>IF(AND(AF1287=1,AE1287&gt;=set_FYStart,AE1287&lt;=set_AsAt),1,0)</f>
        <v/>
      </c>
      <c r="AK1287" s="54">
        <f>IF(AND(AJ1287=1,AH1287&lt;&gt;"",COUNTIFS($AH$2:AH1287,AH1287,$AJ$2:AJ1287,1)=1),N(AL1286)+1,"")</f>
        <v/>
      </c>
      <c r="AL1287" s="54">
        <f>IF(AK1287&lt;&gt;"",AK1287,N(AL1286))</f>
        <v/>
      </c>
    </row>
    <row r="1288">
      <c r="A1288" t="inlineStr">
        <is>
          <t>CON-0429</t>
        </is>
      </c>
      <c r="B1288" t="inlineStr">
        <is>
          <t>Consulting</t>
        </is>
      </c>
      <c r="AB1288" t="n">
        <v>429</v>
      </c>
      <c r="AD1288" s="52">
        <f>IFERROR(N(IFERROR(INDEX($A1288:$AB1288,MATCH("Xero Invoiced Ex GST",$A$1:$AB$1,0)),"")),0)</f>
        <v/>
      </c>
      <c r="AE1288" s="53">
        <f>IFERROR(INDEX($A1288:$AB1288,MATCH("Xero Invoice Date",$A$1:$AB$1,0)),"")</f>
        <v/>
      </c>
      <c r="AF1288" s="54">
        <f>IF(AND(IFERROR(INDEX($A1288:$AB1288,MATCH("Xero Invoice No",$A$1:$AB$1,0)),"")&amp;""&lt;&gt;"",ISNUMBER(AE1288),AD1288&lt;&gt;0),1,0)</f>
        <v/>
      </c>
      <c r="AG1288" s="55">
        <f>IF(AF1288=1,EOMONTH(AE1288,0),"")</f>
        <v/>
      </c>
      <c r="AH1288" s="9">
        <f>IF(AF1288=1,UPPER(TRIM(IFERROR(INDEX($A1288:$AB1288,MATCH("Client",$A$1:$AB$1,0)),"")&amp;"")),"")</f>
        <v/>
      </c>
      <c r="AI1288" s="9">
        <f>IF(AF1288=1,IFERROR(INDEX($A1288:$AB1288,MATCH("Cost Centre",$A$1:$AB$1,0)),"")&amp;"","")</f>
        <v/>
      </c>
      <c r="AJ1288" s="54">
        <f>IF(AND(AF1288=1,AE1288&gt;=set_FYStart,AE1288&lt;=set_AsAt),1,0)</f>
        <v/>
      </c>
      <c r="AK1288" s="54">
        <f>IF(AND(AJ1288=1,AH1288&lt;&gt;"",COUNTIFS($AH$2:AH1288,AH1288,$AJ$2:AJ1288,1)=1),N(AL1287)+1,"")</f>
        <v/>
      </c>
      <c r="AL1288" s="54">
        <f>IF(AK1288&lt;&gt;"",AK1288,N(AL1287))</f>
        <v/>
      </c>
    </row>
    <row r="1289">
      <c r="A1289" t="inlineStr">
        <is>
          <t>ONS-0430</t>
        </is>
      </c>
      <c r="B1289" t="inlineStr">
        <is>
          <t>Onsite</t>
        </is>
      </c>
      <c r="AB1289" t="n">
        <v>430</v>
      </c>
      <c r="AD1289" s="52">
        <f>IFERROR(N(IFERROR(INDEX($A1289:$AB1289,MATCH("Xero Invoiced Ex GST",$A$1:$AB$1,0)),"")),0)</f>
        <v/>
      </c>
      <c r="AE1289" s="53">
        <f>IFERROR(INDEX($A1289:$AB1289,MATCH("Xero Invoice Date",$A$1:$AB$1,0)),"")</f>
        <v/>
      </c>
      <c r="AF1289" s="54">
        <f>IF(AND(IFERROR(INDEX($A1289:$AB1289,MATCH("Xero Invoice No",$A$1:$AB$1,0)),"")&amp;""&lt;&gt;"",ISNUMBER(AE1289),AD1289&lt;&gt;0),1,0)</f>
        <v/>
      </c>
      <c r="AG1289" s="55">
        <f>IF(AF1289=1,EOMONTH(AE1289,0),"")</f>
        <v/>
      </c>
      <c r="AH1289" s="9">
        <f>IF(AF1289=1,UPPER(TRIM(IFERROR(INDEX($A1289:$AB1289,MATCH("Client",$A$1:$AB$1,0)),"")&amp;"")),"")</f>
        <v/>
      </c>
      <c r="AI1289" s="9">
        <f>IF(AF1289=1,IFERROR(INDEX($A1289:$AB1289,MATCH("Cost Centre",$A$1:$AB$1,0)),"")&amp;"","")</f>
        <v/>
      </c>
      <c r="AJ1289" s="54">
        <f>IF(AND(AF1289=1,AE1289&gt;=set_FYStart,AE1289&lt;=set_AsAt),1,0)</f>
        <v/>
      </c>
      <c r="AK1289" s="54">
        <f>IF(AND(AJ1289=1,AH1289&lt;&gt;"",COUNTIFS($AH$2:AH1289,AH1289,$AJ$2:AJ1289,1)=1),N(AL1288)+1,"")</f>
        <v/>
      </c>
      <c r="AL1289" s="54">
        <f>IF(AK1289&lt;&gt;"",AK1289,N(AL1288))</f>
        <v/>
      </c>
    </row>
    <row r="1290">
      <c r="A1290" t="inlineStr">
        <is>
          <t>PRD-0430</t>
        </is>
      </c>
      <c r="B1290" t="inlineStr">
        <is>
          <t>Production</t>
        </is>
      </c>
      <c r="AB1290" t="n">
        <v>430</v>
      </c>
      <c r="AD1290" s="52">
        <f>IFERROR(N(IFERROR(INDEX($A1290:$AB1290,MATCH("Xero Invoiced Ex GST",$A$1:$AB$1,0)),"")),0)</f>
        <v/>
      </c>
      <c r="AE1290" s="53">
        <f>IFERROR(INDEX($A1290:$AB1290,MATCH("Xero Invoice Date",$A$1:$AB$1,0)),"")</f>
        <v/>
      </c>
      <c r="AF1290" s="54">
        <f>IF(AND(IFERROR(INDEX($A1290:$AB1290,MATCH("Xero Invoice No",$A$1:$AB$1,0)),"")&amp;""&lt;&gt;"",ISNUMBER(AE1290),AD1290&lt;&gt;0),1,0)</f>
        <v/>
      </c>
      <c r="AG1290" s="55">
        <f>IF(AF1290=1,EOMONTH(AE1290,0),"")</f>
        <v/>
      </c>
      <c r="AH1290" s="9">
        <f>IF(AF1290=1,UPPER(TRIM(IFERROR(INDEX($A1290:$AB1290,MATCH("Client",$A$1:$AB$1,0)),"")&amp;"")),"")</f>
        <v/>
      </c>
      <c r="AI1290" s="9">
        <f>IF(AF1290=1,IFERROR(INDEX($A1290:$AB1290,MATCH("Cost Centre",$A$1:$AB$1,0)),"")&amp;"","")</f>
        <v/>
      </c>
      <c r="AJ1290" s="54">
        <f>IF(AND(AF1290=1,AE1290&gt;=set_FYStart,AE1290&lt;=set_AsAt),1,0)</f>
        <v/>
      </c>
      <c r="AK1290" s="54">
        <f>IF(AND(AJ1290=1,AH1290&lt;&gt;"",COUNTIFS($AH$2:AH1290,AH1290,$AJ$2:AJ1290,1)=1),N(AL1289)+1,"")</f>
        <v/>
      </c>
      <c r="AL1290" s="54">
        <f>IF(AK1290&lt;&gt;"",AK1290,N(AL1289))</f>
        <v/>
      </c>
    </row>
    <row r="1291">
      <c r="A1291" t="inlineStr">
        <is>
          <t>CON-0430</t>
        </is>
      </c>
      <c r="B1291" t="inlineStr">
        <is>
          <t>Consulting</t>
        </is>
      </c>
      <c r="AB1291" t="n">
        <v>430</v>
      </c>
      <c r="AD1291" s="52">
        <f>IFERROR(N(IFERROR(INDEX($A1291:$AB1291,MATCH("Xero Invoiced Ex GST",$A$1:$AB$1,0)),"")),0)</f>
        <v/>
      </c>
      <c r="AE1291" s="53">
        <f>IFERROR(INDEX($A1291:$AB1291,MATCH("Xero Invoice Date",$A$1:$AB$1,0)),"")</f>
        <v/>
      </c>
      <c r="AF1291" s="54">
        <f>IF(AND(IFERROR(INDEX($A1291:$AB1291,MATCH("Xero Invoice No",$A$1:$AB$1,0)),"")&amp;""&lt;&gt;"",ISNUMBER(AE1291),AD1291&lt;&gt;0),1,0)</f>
        <v/>
      </c>
      <c r="AG1291" s="55">
        <f>IF(AF1291=1,EOMONTH(AE1291,0),"")</f>
        <v/>
      </c>
      <c r="AH1291" s="9">
        <f>IF(AF1291=1,UPPER(TRIM(IFERROR(INDEX($A1291:$AB1291,MATCH("Client",$A$1:$AB$1,0)),"")&amp;"")),"")</f>
        <v/>
      </c>
      <c r="AI1291" s="9">
        <f>IF(AF1291=1,IFERROR(INDEX($A1291:$AB1291,MATCH("Cost Centre",$A$1:$AB$1,0)),"")&amp;"","")</f>
        <v/>
      </c>
      <c r="AJ1291" s="54">
        <f>IF(AND(AF1291=1,AE1291&gt;=set_FYStart,AE1291&lt;=set_AsAt),1,0)</f>
        <v/>
      </c>
      <c r="AK1291" s="54">
        <f>IF(AND(AJ1291=1,AH1291&lt;&gt;"",COUNTIFS($AH$2:AH1291,AH1291,$AJ$2:AJ1291,1)=1),N(AL1290)+1,"")</f>
        <v/>
      </c>
      <c r="AL1291" s="54">
        <f>IF(AK1291&lt;&gt;"",AK1291,N(AL1290))</f>
        <v/>
      </c>
    </row>
    <row r="1292">
      <c r="A1292" t="inlineStr">
        <is>
          <t>ONS-0431</t>
        </is>
      </c>
      <c r="B1292" t="inlineStr">
        <is>
          <t>Onsite</t>
        </is>
      </c>
      <c r="AB1292" t="n">
        <v>431</v>
      </c>
      <c r="AD1292" s="52">
        <f>IFERROR(N(IFERROR(INDEX($A1292:$AB1292,MATCH("Xero Invoiced Ex GST",$A$1:$AB$1,0)),"")),0)</f>
        <v/>
      </c>
      <c r="AE1292" s="53">
        <f>IFERROR(INDEX($A1292:$AB1292,MATCH("Xero Invoice Date",$A$1:$AB$1,0)),"")</f>
        <v/>
      </c>
      <c r="AF1292" s="54">
        <f>IF(AND(IFERROR(INDEX($A1292:$AB1292,MATCH("Xero Invoice No",$A$1:$AB$1,0)),"")&amp;""&lt;&gt;"",ISNUMBER(AE1292),AD1292&lt;&gt;0),1,0)</f>
        <v/>
      </c>
      <c r="AG1292" s="55">
        <f>IF(AF1292=1,EOMONTH(AE1292,0),"")</f>
        <v/>
      </c>
      <c r="AH1292" s="9">
        <f>IF(AF1292=1,UPPER(TRIM(IFERROR(INDEX($A1292:$AB1292,MATCH("Client",$A$1:$AB$1,0)),"")&amp;"")),"")</f>
        <v/>
      </c>
      <c r="AI1292" s="9">
        <f>IF(AF1292=1,IFERROR(INDEX($A1292:$AB1292,MATCH("Cost Centre",$A$1:$AB$1,0)),"")&amp;"","")</f>
        <v/>
      </c>
      <c r="AJ1292" s="54">
        <f>IF(AND(AF1292=1,AE1292&gt;=set_FYStart,AE1292&lt;=set_AsAt),1,0)</f>
        <v/>
      </c>
      <c r="AK1292" s="54">
        <f>IF(AND(AJ1292=1,AH1292&lt;&gt;"",COUNTIFS($AH$2:AH1292,AH1292,$AJ$2:AJ1292,1)=1),N(AL1291)+1,"")</f>
        <v/>
      </c>
      <c r="AL1292" s="54">
        <f>IF(AK1292&lt;&gt;"",AK1292,N(AL1291))</f>
        <v/>
      </c>
    </row>
    <row r="1293">
      <c r="A1293" t="inlineStr">
        <is>
          <t>PRD-0431</t>
        </is>
      </c>
      <c r="B1293" t="inlineStr">
        <is>
          <t>Production</t>
        </is>
      </c>
      <c r="AB1293" t="n">
        <v>431</v>
      </c>
      <c r="AD1293" s="52">
        <f>IFERROR(N(IFERROR(INDEX($A1293:$AB1293,MATCH("Xero Invoiced Ex GST",$A$1:$AB$1,0)),"")),0)</f>
        <v/>
      </c>
      <c r="AE1293" s="53">
        <f>IFERROR(INDEX($A1293:$AB1293,MATCH("Xero Invoice Date",$A$1:$AB$1,0)),"")</f>
        <v/>
      </c>
      <c r="AF1293" s="54">
        <f>IF(AND(IFERROR(INDEX($A1293:$AB1293,MATCH("Xero Invoice No",$A$1:$AB$1,0)),"")&amp;""&lt;&gt;"",ISNUMBER(AE1293),AD1293&lt;&gt;0),1,0)</f>
        <v/>
      </c>
      <c r="AG1293" s="55">
        <f>IF(AF1293=1,EOMONTH(AE1293,0),"")</f>
        <v/>
      </c>
      <c r="AH1293" s="9">
        <f>IF(AF1293=1,UPPER(TRIM(IFERROR(INDEX($A1293:$AB1293,MATCH("Client",$A$1:$AB$1,0)),"")&amp;"")),"")</f>
        <v/>
      </c>
      <c r="AI1293" s="9">
        <f>IF(AF1293=1,IFERROR(INDEX($A1293:$AB1293,MATCH("Cost Centre",$A$1:$AB$1,0)),"")&amp;"","")</f>
        <v/>
      </c>
      <c r="AJ1293" s="54">
        <f>IF(AND(AF1293=1,AE1293&gt;=set_FYStart,AE1293&lt;=set_AsAt),1,0)</f>
        <v/>
      </c>
      <c r="AK1293" s="54">
        <f>IF(AND(AJ1293=1,AH1293&lt;&gt;"",COUNTIFS($AH$2:AH1293,AH1293,$AJ$2:AJ1293,1)=1),N(AL1292)+1,"")</f>
        <v/>
      </c>
      <c r="AL1293" s="54">
        <f>IF(AK1293&lt;&gt;"",AK1293,N(AL1292))</f>
        <v/>
      </c>
    </row>
    <row r="1294">
      <c r="A1294" t="inlineStr">
        <is>
          <t>CON-0431</t>
        </is>
      </c>
      <c r="B1294" t="inlineStr">
        <is>
          <t>Consulting</t>
        </is>
      </c>
      <c r="AB1294" t="n">
        <v>431</v>
      </c>
      <c r="AD1294" s="52">
        <f>IFERROR(N(IFERROR(INDEX($A1294:$AB1294,MATCH("Xero Invoiced Ex GST",$A$1:$AB$1,0)),"")),0)</f>
        <v/>
      </c>
      <c r="AE1294" s="53">
        <f>IFERROR(INDEX($A1294:$AB1294,MATCH("Xero Invoice Date",$A$1:$AB$1,0)),"")</f>
        <v/>
      </c>
      <c r="AF1294" s="54">
        <f>IF(AND(IFERROR(INDEX($A1294:$AB1294,MATCH("Xero Invoice No",$A$1:$AB$1,0)),"")&amp;""&lt;&gt;"",ISNUMBER(AE1294),AD1294&lt;&gt;0),1,0)</f>
        <v/>
      </c>
      <c r="AG1294" s="55">
        <f>IF(AF1294=1,EOMONTH(AE1294,0),"")</f>
        <v/>
      </c>
      <c r="AH1294" s="9">
        <f>IF(AF1294=1,UPPER(TRIM(IFERROR(INDEX($A1294:$AB1294,MATCH("Client",$A$1:$AB$1,0)),"")&amp;"")),"")</f>
        <v/>
      </c>
      <c r="AI1294" s="9">
        <f>IF(AF1294=1,IFERROR(INDEX($A1294:$AB1294,MATCH("Cost Centre",$A$1:$AB$1,0)),"")&amp;"","")</f>
        <v/>
      </c>
      <c r="AJ1294" s="54">
        <f>IF(AND(AF1294=1,AE1294&gt;=set_FYStart,AE1294&lt;=set_AsAt),1,0)</f>
        <v/>
      </c>
      <c r="AK1294" s="54">
        <f>IF(AND(AJ1294=1,AH1294&lt;&gt;"",COUNTIFS($AH$2:AH1294,AH1294,$AJ$2:AJ1294,1)=1),N(AL1293)+1,"")</f>
        <v/>
      </c>
      <c r="AL1294" s="54">
        <f>IF(AK1294&lt;&gt;"",AK1294,N(AL1293))</f>
        <v/>
      </c>
    </row>
    <row r="1295">
      <c r="A1295" t="inlineStr">
        <is>
          <t>ONS-0432</t>
        </is>
      </c>
      <c r="B1295" t="inlineStr">
        <is>
          <t>Onsite</t>
        </is>
      </c>
      <c r="AB1295" t="n">
        <v>432</v>
      </c>
      <c r="AD1295" s="52">
        <f>IFERROR(N(IFERROR(INDEX($A1295:$AB1295,MATCH("Xero Invoiced Ex GST",$A$1:$AB$1,0)),"")),0)</f>
        <v/>
      </c>
      <c r="AE1295" s="53">
        <f>IFERROR(INDEX($A1295:$AB1295,MATCH("Xero Invoice Date",$A$1:$AB$1,0)),"")</f>
        <v/>
      </c>
      <c r="AF1295" s="54">
        <f>IF(AND(IFERROR(INDEX($A1295:$AB1295,MATCH("Xero Invoice No",$A$1:$AB$1,0)),"")&amp;""&lt;&gt;"",ISNUMBER(AE1295),AD1295&lt;&gt;0),1,0)</f>
        <v/>
      </c>
      <c r="AG1295" s="55">
        <f>IF(AF1295=1,EOMONTH(AE1295,0),"")</f>
        <v/>
      </c>
      <c r="AH1295" s="9">
        <f>IF(AF1295=1,UPPER(TRIM(IFERROR(INDEX($A1295:$AB1295,MATCH("Client",$A$1:$AB$1,0)),"")&amp;"")),"")</f>
        <v/>
      </c>
      <c r="AI1295" s="9">
        <f>IF(AF1295=1,IFERROR(INDEX($A1295:$AB1295,MATCH("Cost Centre",$A$1:$AB$1,0)),"")&amp;"","")</f>
        <v/>
      </c>
      <c r="AJ1295" s="54">
        <f>IF(AND(AF1295=1,AE1295&gt;=set_FYStart,AE1295&lt;=set_AsAt),1,0)</f>
        <v/>
      </c>
      <c r="AK1295" s="54">
        <f>IF(AND(AJ1295=1,AH1295&lt;&gt;"",COUNTIFS($AH$2:AH1295,AH1295,$AJ$2:AJ1295,1)=1),N(AL1294)+1,"")</f>
        <v/>
      </c>
      <c r="AL1295" s="54">
        <f>IF(AK1295&lt;&gt;"",AK1295,N(AL1294))</f>
        <v/>
      </c>
    </row>
    <row r="1296">
      <c r="A1296" t="inlineStr">
        <is>
          <t>PRD-0432</t>
        </is>
      </c>
      <c r="B1296" t="inlineStr">
        <is>
          <t>Production</t>
        </is>
      </c>
      <c r="AB1296" t="n">
        <v>432</v>
      </c>
      <c r="AD1296" s="52">
        <f>IFERROR(N(IFERROR(INDEX($A1296:$AB1296,MATCH("Xero Invoiced Ex GST",$A$1:$AB$1,0)),"")),0)</f>
        <v/>
      </c>
      <c r="AE1296" s="53">
        <f>IFERROR(INDEX($A1296:$AB1296,MATCH("Xero Invoice Date",$A$1:$AB$1,0)),"")</f>
        <v/>
      </c>
      <c r="AF1296" s="54">
        <f>IF(AND(IFERROR(INDEX($A1296:$AB1296,MATCH("Xero Invoice No",$A$1:$AB$1,0)),"")&amp;""&lt;&gt;"",ISNUMBER(AE1296),AD1296&lt;&gt;0),1,0)</f>
        <v/>
      </c>
      <c r="AG1296" s="55">
        <f>IF(AF1296=1,EOMONTH(AE1296,0),"")</f>
        <v/>
      </c>
      <c r="AH1296" s="9">
        <f>IF(AF1296=1,UPPER(TRIM(IFERROR(INDEX($A1296:$AB1296,MATCH("Client",$A$1:$AB$1,0)),"")&amp;"")),"")</f>
        <v/>
      </c>
      <c r="AI1296" s="9">
        <f>IF(AF1296=1,IFERROR(INDEX($A1296:$AB1296,MATCH("Cost Centre",$A$1:$AB$1,0)),"")&amp;"","")</f>
        <v/>
      </c>
      <c r="AJ1296" s="54">
        <f>IF(AND(AF1296=1,AE1296&gt;=set_FYStart,AE1296&lt;=set_AsAt),1,0)</f>
        <v/>
      </c>
      <c r="AK1296" s="54">
        <f>IF(AND(AJ1296=1,AH1296&lt;&gt;"",COUNTIFS($AH$2:AH1296,AH1296,$AJ$2:AJ1296,1)=1),N(AL1295)+1,"")</f>
        <v/>
      </c>
      <c r="AL1296" s="54">
        <f>IF(AK1296&lt;&gt;"",AK1296,N(AL1295))</f>
        <v/>
      </c>
    </row>
    <row r="1297">
      <c r="A1297" t="inlineStr">
        <is>
          <t>CON-0432</t>
        </is>
      </c>
      <c r="B1297" t="inlineStr">
        <is>
          <t>Consulting</t>
        </is>
      </c>
      <c r="AB1297" t="n">
        <v>432</v>
      </c>
      <c r="AD1297" s="52">
        <f>IFERROR(N(IFERROR(INDEX($A1297:$AB1297,MATCH("Xero Invoiced Ex GST",$A$1:$AB$1,0)),"")),0)</f>
        <v/>
      </c>
      <c r="AE1297" s="53">
        <f>IFERROR(INDEX($A1297:$AB1297,MATCH("Xero Invoice Date",$A$1:$AB$1,0)),"")</f>
        <v/>
      </c>
      <c r="AF1297" s="54">
        <f>IF(AND(IFERROR(INDEX($A1297:$AB1297,MATCH("Xero Invoice No",$A$1:$AB$1,0)),"")&amp;""&lt;&gt;"",ISNUMBER(AE1297),AD1297&lt;&gt;0),1,0)</f>
        <v/>
      </c>
      <c r="AG1297" s="55">
        <f>IF(AF1297=1,EOMONTH(AE1297,0),"")</f>
        <v/>
      </c>
      <c r="AH1297" s="9">
        <f>IF(AF1297=1,UPPER(TRIM(IFERROR(INDEX($A1297:$AB1297,MATCH("Client",$A$1:$AB$1,0)),"")&amp;"")),"")</f>
        <v/>
      </c>
      <c r="AI1297" s="9">
        <f>IF(AF1297=1,IFERROR(INDEX($A1297:$AB1297,MATCH("Cost Centre",$A$1:$AB$1,0)),"")&amp;"","")</f>
        <v/>
      </c>
      <c r="AJ1297" s="54">
        <f>IF(AND(AF1297=1,AE1297&gt;=set_FYStart,AE1297&lt;=set_AsAt),1,0)</f>
        <v/>
      </c>
      <c r="AK1297" s="54">
        <f>IF(AND(AJ1297=1,AH1297&lt;&gt;"",COUNTIFS($AH$2:AH1297,AH1297,$AJ$2:AJ1297,1)=1),N(AL1296)+1,"")</f>
        <v/>
      </c>
      <c r="AL1297" s="54">
        <f>IF(AK1297&lt;&gt;"",AK1297,N(AL1296))</f>
        <v/>
      </c>
    </row>
    <row r="1298">
      <c r="A1298" t="inlineStr">
        <is>
          <t>ONS-0433</t>
        </is>
      </c>
      <c r="B1298" t="inlineStr">
        <is>
          <t>Onsite</t>
        </is>
      </c>
      <c r="AB1298" t="n">
        <v>433</v>
      </c>
      <c r="AD1298" s="52">
        <f>IFERROR(N(IFERROR(INDEX($A1298:$AB1298,MATCH("Xero Invoiced Ex GST",$A$1:$AB$1,0)),"")),0)</f>
        <v/>
      </c>
      <c r="AE1298" s="53">
        <f>IFERROR(INDEX($A1298:$AB1298,MATCH("Xero Invoice Date",$A$1:$AB$1,0)),"")</f>
        <v/>
      </c>
      <c r="AF1298" s="54">
        <f>IF(AND(IFERROR(INDEX($A1298:$AB1298,MATCH("Xero Invoice No",$A$1:$AB$1,0)),"")&amp;""&lt;&gt;"",ISNUMBER(AE1298),AD1298&lt;&gt;0),1,0)</f>
        <v/>
      </c>
      <c r="AG1298" s="55">
        <f>IF(AF1298=1,EOMONTH(AE1298,0),"")</f>
        <v/>
      </c>
      <c r="AH1298" s="9">
        <f>IF(AF1298=1,UPPER(TRIM(IFERROR(INDEX($A1298:$AB1298,MATCH("Client",$A$1:$AB$1,0)),"")&amp;"")),"")</f>
        <v/>
      </c>
      <c r="AI1298" s="9">
        <f>IF(AF1298=1,IFERROR(INDEX($A1298:$AB1298,MATCH("Cost Centre",$A$1:$AB$1,0)),"")&amp;"","")</f>
        <v/>
      </c>
      <c r="AJ1298" s="54">
        <f>IF(AND(AF1298=1,AE1298&gt;=set_FYStart,AE1298&lt;=set_AsAt),1,0)</f>
        <v/>
      </c>
      <c r="AK1298" s="54">
        <f>IF(AND(AJ1298=1,AH1298&lt;&gt;"",COUNTIFS($AH$2:AH1298,AH1298,$AJ$2:AJ1298,1)=1),N(AL1297)+1,"")</f>
        <v/>
      </c>
      <c r="AL1298" s="54">
        <f>IF(AK1298&lt;&gt;"",AK1298,N(AL1297))</f>
        <v/>
      </c>
    </row>
    <row r="1299">
      <c r="A1299" t="inlineStr">
        <is>
          <t>PRD-0433</t>
        </is>
      </c>
      <c r="B1299" t="inlineStr">
        <is>
          <t>Production</t>
        </is>
      </c>
      <c r="AB1299" t="n">
        <v>433</v>
      </c>
      <c r="AD1299" s="52">
        <f>IFERROR(N(IFERROR(INDEX($A1299:$AB1299,MATCH("Xero Invoiced Ex GST",$A$1:$AB$1,0)),"")),0)</f>
        <v/>
      </c>
      <c r="AE1299" s="53">
        <f>IFERROR(INDEX($A1299:$AB1299,MATCH("Xero Invoice Date",$A$1:$AB$1,0)),"")</f>
        <v/>
      </c>
      <c r="AF1299" s="54">
        <f>IF(AND(IFERROR(INDEX($A1299:$AB1299,MATCH("Xero Invoice No",$A$1:$AB$1,0)),"")&amp;""&lt;&gt;"",ISNUMBER(AE1299),AD1299&lt;&gt;0),1,0)</f>
        <v/>
      </c>
      <c r="AG1299" s="55">
        <f>IF(AF1299=1,EOMONTH(AE1299,0),"")</f>
        <v/>
      </c>
      <c r="AH1299" s="9">
        <f>IF(AF1299=1,UPPER(TRIM(IFERROR(INDEX($A1299:$AB1299,MATCH("Client",$A$1:$AB$1,0)),"")&amp;"")),"")</f>
        <v/>
      </c>
      <c r="AI1299" s="9">
        <f>IF(AF1299=1,IFERROR(INDEX($A1299:$AB1299,MATCH("Cost Centre",$A$1:$AB$1,0)),"")&amp;"","")</f>
        <v/>
      </c>
      <c r="AJ1299" s="54">
        <f>IF(AND(AF1299=1,AE1299&gt;=set_FYStart,AE1299&lt;=set_AsAt),1,0)</f>
        <v/>
      </c>
      <c r="AK1299" s="54">
        <f>IF(AND(AJ1299=1,AH1299&lt;&gt;"",COUNTIFS($AH$2:AH1299,AH1299,$AJ$2:AJ1299,1)=1),N(AL1298)+1,"")</f>
        <v/>
      </c>
      <c r="AL1299" s="54">
        <f>IF(AK1299&lt;&gt;"",AK1299,N(AL1298))</f>
        <v/>
      </c>
    </row>
    <row r="1300">
      <c r="A1300" t="inlineStr">
        <is>
          <t>CON-0433</t>
        </is>
      </c>
      <c r="B1300" t="inlineStr">
        <is>
          <t>Consulting</t>
        </is>
      </c>
      <c r="AB1300" t="n">
        <v>433</v>
      </c>
      <c r="AD1300" s="52">
        <f>IFERROR(N(IFERROR(INDEX($A1300:$AB1300,MATCH("Xero Invoiced Ex GST",$A$1:$AB$1,0)),"")),0)</f>
        <v/>
      </c>
      <c r="AE1300" s="53">
        <f>IFERROR(INDEX($A1300:$AB1300,MATCH("Xero Invoice Date",$A$1:$AB$1,0)),"")</f>
        <v/>
      </c>
      <c r="AF1300" s="54">
        <f>IF(AND(IFERROR(INDEX($A1300:$AB1300,MATCH("Xero Invoice No",$A$1:$AB$1,0)),"")&amp;""&lt;&gt;"",ISNUMBER(AE1300),AD1300&lt;&gt;0),1,0)</f>
        <v/>
      </c>
      <c r="AG1300" s="55">
        <f>IF(AF1300=1,EOMONTH(AE1300,0),"")</f>
        <v/>
      </c>
      <c r="AH1300" s="9">
        <f>IF(AF1300=1,UPPER(TRIM(IFERROR(INDEX($A1300:$AB1300,MATCH("Client",$A$1:$AB$1,0)),"")&amp;"")),"")</f>
        <v/>
      </c>
      <c r="AI1300" s="9">
        <f>IF(AF1300=1,IFERROR(INDEX($A1300:$AB1300,MATCH("Cost Centre",$A$1:$AB$1,0)),"")&amp;"","")</f>
        <v/>
      </c>
      <c r="AJ1300" s="54">
        <f>IF(AND(AF1300=1,AE1300&gt;=set_FYStart,AE1300&lt;=set_AsAt),1,0)</f>
        <v/>
      </c>
      <c r="AK1300" s="54">
        <f>IF(AND(AJ1300=1,AH1300&lt;&gt;"",COUNTIFS($AH$2:AH1300,AH1300,$AJ$2:AJ1300,1)=1),N(AL1299)+1,"")</f>
        <v/>
      </c>
      <c r="AL1300" s="54">
        <f>IF(AK1300&lt;&gt;"",AK1300,N(AL1299))</f>
        <v/>
      </c>
    </row>
    <row r="1301">
      <c r="A1301" t="inlineStr">
        <is>
          <t>ONS-0434</t>
        </is>
      </c>
      <c r="B1301" t="inlineStr">
        <is>
          <t>Onsite</t>
        </is>
      </c>
      <c r="AB1301" t="n">
        <v>434</v>
      </c>
      <c r="AD1301" s="52">
        <f>IFERROR(N(IFERROR(INDEX($A1301:$AB1301,MATCH("Xero Invoiced Ex GST",$A$1:$AB$1,0)),"")),0)</f>
        <v/>
      </c>
      <c r="AE1301" s="53">
        <f>IFERROR(INDEX($A1301:$AB1301,MATCH("Xero Invoice Date",$A$1:$AB$1,0)),"")</f>
        <v/>
      </c>
      <c r="AF1301" s="54">
        <f>IF(AND(IFERROR(INDEX($A1301:$AB1301,MATCH("Xero Invoice No",$A$1:$AB$1,0)),"")&amp;""&lt;&gt;"",ISNUMBER(AE1301),AD1301&lt;&gt;0),1,0)</f>
        <v/>
      </c>
      <c r="AG1301" s="55">
        <f>IF(AF1301=1,EOMONTH(AE1301,0),"")</f>
        <v/>
      </c>
      <c r="AH1301" s="9">
        <f>IF(AF1301=1,UPPER(TRIM(IFERROR(INDEX($A1301:$AB1301,MATCH("Client",$A$1:$AB$1,0)),"")&amp;"")),"")</f>
        <v/>
      </c>
      <c r="AI1301" s="9">
        <f>IF(AF1301=1,IFERROR(INDEX($A1301:$AB1301,MATCH("Cost Centre",$A$1:$AB$1,0)),"")&amp;"","")</f>
        <v/>
      </c>
      <c r="AJ1301" s="54">
        <f>IF(AND(AF1301=1,AE1301&gt;=set_FYStart,AE1301&lt;=set_AsAt),1,0)</f>
        <v/>
      </c>
      <c r="AK1301" s="54">
        <f>IF(AND(AJ1301=1,AH1301&lt;&gt;"",COUNTIFS($AH$2:AH1301,AH1301,$AJ$2:AJ1301,1)=1),N(AL1300)+1,"")</f>
        <v/>
      </c>
      <c r="AL1301" s="54">
        <f>IF(AK1301&lt;&gt;"",AK1301,N(AL1300))</f>
        <v/>
      </c>
    </row>
    <row r="1302">
      <c r="A1302" t="inlineStr">
        <is>
          <t>PRD-0434</t>
        </is>
      </c>
      <c r="B1302" t="inlineStr">
        <is>
          <t>Production</t>
        </is>
      </c>
      <c r="AB1302" t="n">
        <v>434</v>
      </c>
      <c r="AD1302" s="52">
        <f>IFERROR(N(IFERROR(INDEX($A1302:$AB1302,MATCH("Xero Invoiced Ex GST",$A$1:$AB$1,0)),"")),0)</f>
        <v/>
      </c>
      <c r="AE1302" s="53">
        <f>IFERROR(INDEX($A1302:$AB1302,MATCH("Xero Invoice Date",$A$1:$AB$1,0)),"")</f>
        <v/>
      </c>
      <c r="AF1302" s="54">
        <f>IF(AND(IFERROR(INDEX($A1302:$AB1302,MATCH("Xero Invoice No",$A$1:$AB$1,0)),"")&amp;""&lt;&gt;"",ISNUMBER(AE1302),AD1302&lt;&gt;0),1,0)</f>
        <v/>
      </c>
      <c r="AG1302" s="55">
        <f>IF(AF1302=1,EOMONTH(AE1302,0),"")</f>
        <v/>
      </c>
      <c r="AH1302" s="9">
        <f>IF(AF1302=1,UPPER(TRIM(IFERROR(INDEX($A1302:$AB1302,MATCH("Client",$A$1:$AB$1,0)),"")&amp;"")),"")</f>
        <v/>
      </c>
      <c r="AI1302" s="9">
        <f>IF(AF1302=1,IFERROR(INDEX($A1302:$AB1302,MATCH("Cost Centre",$A$1:$AB$1,0)),"")&amp;"","")</f>
        <v/>
      </c>
      <c r="AJ1302" s="54">
        <f>IF(AND(AF1302=1,AE1302&gt;=set_FYStart,AE1302&lt;=set_AsAt),1,0)</f>
        <v/>
      </c>
      <c r="AK1302" s="54">
        <f>IF(AND(AJ1302=1,AH1302&lt;&gt;"",COUNTIFS($AH$2:AH1302,AH1302,$AJ$2:AJ1302,1)=1),N(AL1301)+1,"")</f>
        <v/>
      </c>
      <c r="AL1302" s="54">
        <f>IF(AK1302&lt;&gt;"",AK1302,N(AL1301))</f>
        <v/>
      </c>
    </row>
    <row r="1303">
      <c r="A1303" t="inlineStr">
        <is>
          <t>CON-0434</t>
        </is>
      </c>
      <c r="B1303" t="inlineStr">
        <is>
          <t>Consulting</t>
        </is>
      </c>
      <c r="AB1303" t="n">
        <v>434</v>
      </c>
      <c r="AD1303" s="52">
        <f>IFERROR(N(IFERROR(INDEX($A1303:$AB1303,MATCH("Xero Invoiced Ex GST",$A$1:$AB$1,0)),"")),0)</f>
        <v/>
      </c>
      <c r="AE1303" s="53">
        <f>IFERROR(INDEX($A1303:$AB1303,MATCH("Xero Invoice Date",$A$1:$AB$1,0)),"")</f>
        <v/>
      </c>
      <c r="AF1303" s="54">
        <f>IF(AND(IFERROR(INDEX($A1303:$AB1303,MATCH("Xero Invoice No",$A$1:$AB$1,0)),"")&amp;""&lt;&gt;"",ISNUMBER(AE1303),AD1303&lt;&gt;0),1,0)</f>
        <v/>
      </c>
      <c r="AG1303" s="55">
        <f>IF(AF1303=1,EOMONTH(AE1303,0),"")</f>
        <v/>
      </c>
      <c r="AH1303" s="9">
        <f>IF(AF1303=1,UPPER(TRIM(IFERROR(INDEX($A1303:$AB1303,MATCH("Client",$A$1:$AB$1,0)),"")&amp;"")),"")</f>
        <v/>
      </c>
      <c r="AI1303" s="9">
        <f>IF(AF1303=1,IFERROR(INDEX($A1303:$AB1303,MATCH("Cost Centre",$A$1:$AB$1,0)),"")&amp;"","")</f>
        <v/>
      </c>
      <c r="AJ1303" s="54">
        <f>IF(AND(AF1303=1,AE1303&gt;=set_FYStart,AE1303&lt;=set_AsAt),1,0)</f>
        <v/>
      </c>
      <c r="AK1303" s="54">
        <f>IF(AND(AJ1303=1,AH1303&lt;&gt;"",COUNTIFS($AH$2:AH1303,AH1303,$AJ$2:AJ1303,1)=1),N(AL1302)+1,"")</f>
        <v/>
      </c>
      <c r="AL1303" s="54">
        <f>IF(AK1303&lt;&gt;"",AK1303,N(AL1302))</f>
        <v/>
      </c>
    </row>
    <row r="1304">
      <c r="A1304" t="inlineStr">
        <is>
          <t>ONS-0435</t>
        </is>
      </c>
      <c r="B1304" t="inlineStr">
        <is>
          <t>Onsite</t>
        </is>
      </c>
      <c r="AB1304" t="n">
        <v>435</v>
      </c>
      <c r="AD1304" s="52">
        <f>IFERROR(N(IFERROR(INDEX($A1304:$AB1304,MATCH("Xero Invoiced Ex GST",$A$1:$AB$1,0)),"")),0)</f>
        <v/>
      </c>
      <c r="AE1304" s="53">
        <f>IFERROR(INDEX($A1304:$AB1304,MATCH("Xero Invoice Date",$A$1:$AB$1,0)),"")</f>
        <v/>
      </c>
      <c r="AF1304" s="54">
        <f>IF(AND(IFERROR(INDEX($A1304:$AB1304,MATCH("Xero Invoice No",$A$1:$AB$1,0)),"")&amp;""&lt;&gt;"",ISNUMBER(AE1304),AD1304&lt;&gt;0),1,0)</f>
        <v/>
      </c>
      <c r="AG1304" s="55">
        <f>IF(AF1304=1,EOMONTH(AE1304,0),"")</f>
        <v/>
      </c>
      <c r="AH1304" s="9">
        <f>IF(AF1304=1,UPPER(TRIM(IFERROR(INDEX($A1304:$AB1304,MATCH("Client",$A$1:$AB$1,0)),"")&amp;"")),"")</f>
        <v/>
      </c>
      <c r="AI1304" s="9">
        <f>IF(AF1304=1,IFERROR(INDEX($A1304:$AB1304,MATCH("Cost Centre",$A$1:$AB$1,0)),"")&amp;"","")</f>
        <v/>
      </c>
      <c r="AJ1304" s="54">
        <f>IF(AND(AF1304=1,AE1304&gt;=set_FYStart,AE1304&lt;=set_AsAt),1,0)</f>
        <v/>
      </c>
      <c r="AK1304" s="54">
        <f>IF(AND(AJ1304=1,AH1304&lt;&gt;"",COUNTIFS($AH$2:AH1304,AH1304,$AJ$2:AJ1304,1)=1),N(AL1303)+1,"")</f>
        <v/>
      </c>
      <c r="AL1304" s="54">
        <f>IF(AK1304&lt;&gt;"",AK1304,N(AL1303))</f>
        <v/>
      </c>
    </row>
    <row r="1305">
      <c r="A1305" t="inlineStr">
        <is>
          <t>PRD-0435</t>
        </is>
      </c>
      <c r="B1305" t="inlineStr">
        <is>
          <t>Production</t>
        </is>
      </c>
      <c r="AB1305" t="n">
        <v>435</v>
      </c>
      <c r="AD1305" s="52">
        <f>IFERROR(N(IFERROR(INDEX($A1305:$AB1305,MATCH("Xero Invoiced Ex GST",$A$1:$AB$1,0)),"")),0)</f>
        <v/>
      </c>
      <c r="AE1305" s="53">
        <f>IFERROR(INDEX($A1305:$AB1305,MATCH("Xero Invoice Date",$A$1:$AB$1,0)),"")</f>
        <v/>
      </c>
      <c r="AF1305" s="54">
        <f>IF(AND(IFERROR(INDEX($A1305:$AB1305,MATCH("Xero Invoice No",$A$1:$AB$1,0)),"")&amp;""&lt;&gt;"",ISNUMBER(AE1305),AD1305&lt;&gt;0),1,0)</f>
        <v/>
      </c>
      <c r="AG1305" s="55">
        <f>IF(AF1305=1,EOMONTH(AE1305,0),"")</f>
        <v/>
      </c>
      <c r="AH1305" s="9">
        <f>IF(AF1305=1,UPPER(TRIM(IFERROR(INDEX($A1305:$AB1305,MATCH("Client",$A$1:$AB$1,0)),"")&amp;"")),"")</f>
        <v/>
      </c>
      <c r="AI1305" s="9">
        <f>IF(AF1305=1,IFERROR(INDEX($A1305:$AB1305,MATCH("Cost Centre",$A$1:$AB$1,0)),"")&amp;"","")</f>
        <v/>
      </c>
      <c r="AJ1305" s="54">
        <f>IF(AND(AF1305=1,AE1305&gt;=set_FYStart,AE1305&lt;=set_AsAt),1,0)</f>
        <v/>
      </c>
      <c r="AK1305" s="54">
        <f>IF(AND(AJ1305=1,AH1305&lt;&gt;"",COUNTIFS($AH$2:AH1305,AH1305,$AJ$2:AJ1305,1)=1),N(AL1304)+1,"")</f>
        <v/>
      </c>
      <c r="AL1305" s="54">
        <f>IF(AK1305&lt;&gt;"",AK1305,N(AL1304))</f>
        <v/>
      </c>
    </row>
    <row r="1306">
      <c r="A1306" t="inlineStr">
        <is>
          <t>CON-0435</t>
        </is>
      </c>
      <c r="B1306" t="inlineStr">
        <is>
          <t>Consulting</t>
        </is>
      </c>
      <c r="AB1306" t="n">
        <v>435</v>
      </c>
      <c r="AD1306" s="52">
        <f>IFERROR(N(IFERROR(INDEX($A1306:$AB1306,MATCH("Xero Invoiced Ex GST",$A$1:$AB$1,0)),"")),0)</f>
        <v/>
      </c>
      <c r="AE1306" s="53">
        <f>IFERROR(INDEX($A1306:$AB1306,MATCH("Xero Invoice Date",$A$1:$AB$1,0)),"")</f>
        <v/>
      </c>
      <c r="AF1306" s="54">
        <f>IF(AND(IFERROR(INDEX($A1306:$AB1306,MATCH("Xero Invoice No",$A$1:$AB$1,0)),"")&amp;""&lt;&gt;"",ISNUMBER(AE1306),AD1306&lt;&gt;0),1,0)</f>
        <v/>
      </c>
      <c r="AG1306" s="55">
        <f>IF(AF1306=1,EOMONTH(AE1306,0),"")</f>
        <v/>
      </c>
      <c r="AH1306" s="9">
        <f>IF(AF1306=1,UPPER(TRIM(IFERROR(INDEX($A1306:$AB1306,MATCH("Client",$A$1:$AB$1,0)),"")&amp;"")),"")</f>
        <v/>
      </c>
      <c r="AI1306" s="9">
        <f>IF(AF1306=1,IFERROR(INDEX($A1306:$AB1306,MATCH("Cost Centre",$A$1:$AB$1,0)),"")&amp;"","")</f>
        <v/>
      </c>
      <c r="AJ1306" s="54">
        <f>IF(AND(AF1306=1,AE1306&gt;=set_FYStart,AE1306&lt;=set_AsAt),1,0)</f>
        <v/>
      </c>
      <c r="AK1306" s="54">
        <f>IF(AND(AJ1306=1,AH1306&lt;&gt;"",COUNTIFS($AH$2:AH1306,AH1306,$AJ$2:AJ1306,1)=1),N(AL1305)+1,"")</f>
        <v/>
      </c>
      <c r="AL1306" s="54">
        <f>IF(AK1306&lt;&gt;"",AK1306,N(AL1305))</f>
        <v/>
      </c>
    </row>
    <row r="1307">
      <c r="A1307" t="inlineStr">
        <is>
          <t>ONS-0436</t>
        </is>
      </c>
      <c r="B1307" t="inlineStr">
        <is>
          <t>Onsite</t>
        </is>
      </c>
      <c r="AB1307" t="n">
        <v>436</v>
      </c>
      <c r="AD1307" s="52">
        <f>IFERROR(N(IFERROR(INDEX($A1307:$AB1307,MATCH("Xero Invoiced Ex GST",$A$1:$AB$1,0)),"")),0)</f>
        <v/>
      </c>
      <c r="AE1307" s="53">
        <f>IFERROR(INDEX($A1307:$AB1307,MATCH("Xero Invoice Date",$A$1:$AB$1,0)),"")</f>
        <v/>
      </c>
      <c r="AF1307" s="54">
        <f>IF(AND(IFERROR(INDEX($A1307:$AB1307,MATCH("Xero Invoice No",$A$1:$AB$1,0)),"")&amp;""&lt;&gt;"",ISNUMBER(AE1307),AD1307&lt;&gt;0),1,0)</f>
        <v/>
      </c>
      <c r="AG1307" s="55">
        <f>IF(AF1307=1,EOMONTH(AE1307,0),"")</f>
        <v/>
      </c>
      <c r="AH1307" s="9">
        <f>IF(AF1307=1,UPPER(TRIM(IFERROR(INDEX($A1307:$AB1307,MATCH("Client",$A$1:$AB$1,0)),"")&amp;"")),"")</f>
        <v/>
      </c>
      <c r="AI1307" s="9">
        <f>IF(AF1307=1,IFERROR(INDEX($A1307:$AB1307,MATCH("Cost Centre",$A$1:$AB$1,0)),"")&amp;"","")</f>
        <v/>
      </c>
      <c r="AJ1307" s="54">
        <f>IF(AND(AF1307=1,AE1307&gt;=set_FYStart,AE1307&lt;=set_AsAt),1,0)</f>
        <v/>
      </c>
      <c r="AK1307" s="54">
        <f>IF(AND(AJ1307=1,AH1307&lt;&gt;"",COUNTIFS($AH$2:AH1307,AH1307,$AJ$2:AJ1307,1)=1),N(AL1306)+1,"")</f>
        <v/>
      </c>
      <c r="AL1307" s="54">
        <f>IF(AK1307&lt;&gt;"",AK1307,N(AL1306))</f>
        <v/>
      </c>
    </row>
    <row r="1308">
      <c r="A1308" t="inlineStr">
        <is>
          <t>PRD-0436</t>
        </is>
      </c>
      <c r="B1308" t="inlineStr">
        <is>
          <t>Production</t>
        </is>
      </c>
      <c r="AB1308" t="n">
        <v>436</v>
      </c>
      <c r="AD1308" s="52">
        <f>IFERROR(N(IFERROR(INDEX($A1308:$AB1308,MATCH("Xero Invoiced Ex GST",$A$1:$AB$1,0)),"")),0)</f>
        <v/>
      </c>
      <c r="AE1308" s="53">
        <f>IFERROR(INDEX($A1308:$AB1308,MATCH("Xero Invoice Date",$A$1:$AB$1,0)),"")</f>
        <v/>
      </c>
      <c r="AF1308" s="54">
        <f>IF(AND(IFERROR(INDEX($A1308:$AB1308,MATCH("Xero Invoice No",$A$1:$AB$1,0)),"")&amp;""&lt;&gt;"",ISNUMBER(AE1308),AD1308&lt;&gt;0),1,0)</f>
        <v/>
      </c>
      <c r="AG1308" s="55">
        <f>IF(AF1308=1,EOMONTH(AE1308,0),"")</f>
        <v/>
      </c>
      <c r="AH1308" s="9">
        <f>IF(AF1308=1,UPPER(TRIM(IFERROR(INDEX($A1308:$AB1308,MATCH("Client",$A$1:$AB$1,0)),"")&amp;"")),"")</f>
        <v/>
      </c>
      <c r="AI1308" s="9">
        <f>IF(AF1308=1,IFERROR(INDEX($A1308:$AB1308,MATCH("Cost Centre",$A$1:$AB$1,0)),"")&amp;"","")</f>
        <v/>
      </c>
      <c r="AJ1308" s="54">
        <f>IF(AND(AF1308=1,AE1308&gt;=set_FYStart,AE1308&lt;=set_AsAt),1,0)</f>
        <v/>
      </c>
      <c r="AK1308" s="54">
        <f>IF(AND(AJ1308=1,AH1308&lt;&gt;"",COUNTIFS($AH$2:AH1308,AH1308,$AJ$2:AJ1308,1)=1),N(AL1307)+1,"")</f>
        <v/>
      </c>
      <c r="AL1308" s="54">
        <f>IF(AK1308&lt;&gt;"",AK1308,N(AL1307))</f>
        <v/>
      </c>
    </row>
    <row r="1309">
      <c r="A1309" t="inlineStr">
        <is>
          <t>CON-0436</t>
        </is>
      </c>
      <c r="B1309" t="inlineStr">
        <is>
          <t>Consulting</t>
        </is>
      </c>
      <c r="AB1309" t="n">
        <v>436</v>
      </c>
      <c r="AD1309" s="52">
        <f>IFERROR(N(IFERROR(INDEX($A1309:$AB1309,MATCH("Xero Invoiced Ex GST",$A$1:$AB$1,0)),"")),0)</f>
        <v/>
      </c>
      <c r="AE1309" s="53">
        <f>IFERROR(INDEX($A1309:$AB1309,MATCH("Xero Invoice Date",$A$1:$AB$1,0)),"")</f>
        <v/>
      </c>
      <c r="AF1309" s="54">
        <f>IF(AND(IFERROR(INDEX($A1309:$AB1309,MATCH("Xero Invoice No",$A$1:$AB$1,0)),"")&amp;""&lt;&gt;"",ISNUMBER(AE1309),AD1309&lt;&gt;0),1,0)</f>
        <v/>
      </c>
      <c r="AG1309" s="55">
        <f>IF(AF1309=1,EOMONTH(AE1309,0),"")</f>
        <v/>
      </c>
      <c r="AH1309" s="9">
        <f>IF(AF1309=1,UPPER(TRIM(IFERROR(INDEX($A1309:$AB1309,MATCH("Client",$A$1:$AB$1,0)),"")&amp;"")),"")</f>
        <v/>
      </c>
      <c r="AI1309" s="9">
        <f>IF(AF1309=1,IFERROR(INDEX($A1309:$AB1309,MATCH("Cost Centre",$A$1:$AB$1,0)),"")&amp;"","")</f>
        <v/>
      </c>
      <c r="AJ1309" s="54">
        <f>IF(AND(AF1309=1,AE1309&gt;=set_FYStart,AE1309&lt;=set_AsAt),1,0)</f>
        <v/>
      </c>
      <c r="AK1309" s="54">
        <f>IF(AND(AJ1309=1,AH1309&lt;&gt;"",COUNTIFS($AH$2:AH1309,AH1309,$AJ$2:AJ1309,1)=1),N(AL1308)+1,"")</f>
        <v/>
      </c>
      <c r="AL1309" s="54">
        <f>IF(AK1309&lt;&gt;"",AK1309,N(AL1308))</f>
        <v/>
      </c>
    </row>
    <row r="1310">
      <c r="A1310" t="inlineStr">
        <is>
          <t>ONS-0437</t>
        </is>
      </c>
      <c r="B1310" t="inlineStr">
        <is>
          <t>Onsite</t>
        </is>
      </c>
      <c r="AB1310" t="n">
        <v>437</v>
      </c>
      <c r="AD1310" s="52">
        <f>IFERROR(N(IFERROR(INDEX($A1310:$AB1310,MATCH("Xero Invoiced Ex GST",$A$1:$AB$1,0)),"")),0)</f>
        <v/>
      </c>
      <c r="AE1310" s="53">
        <f>IFERROR(INDEX($A1310:$AB1310,MATCH("Xero Invoice Date",$A$1:$AB$1,0)),"")</f>
        <v/>
      </c>
      <c r="AF1310" s="54">
        <f>IF(AND(IFERROR(INDEX($A1310:$AB1310,MATCH("Xero Invoice No",$A$1:$AB$1,0)),"")&amp;""&lt;&gt;"",ISNUMBER(AE1310),AD1310&lt;&gt;0),1,0)</f>
        <v/>
      </c>
      <c r="AG1310" s="55">
        <f>IF(AF1310=1,EOMONTH(AE1310,0),"")</f>
        <v/>
      </c>
      <c r="AH1310" s="9">
        <f>IF(AF1310=1,UPPER(TRIM(IFERROR(INDEX($A1310:$AB1310,MATCH("Client",$A$1:$AB$1,0)),"")&amp;"")),"")</f>
        <v/>
      </c>
      <c r="AI1310" s="9">
        <f>IF(AF1310=1,IFERROR(INDEX($A1310:$AB1310,MATCH("Cost Centre",$A$1:$AB$1,0)),"")&amp;"","")</f>
        <v/>
      </c>
      <c r="AJ1310" s="54">
        <f>IF(AND(AF1310=1,AE1310&gt;=set_FYStart,AE1310&lt;=set_AsAt),1,0)</f>
        <v/>
      </c>
      <c r="AK1310" s="54">
        <f>IF(AND(AJ1310=1,AH1310&lt;&gt;"",COUNTIFS($AH$2:AH1310,AH1310,$AJ$2:AJ1310,1)=1),N(AL1309)+1,"")</f>
        <v/>
      </c>
      <c r="AL1310" s="54">
        <f>IF(AK1310&lt;&gt;"",AK1310,N(AL1309))</f>
        <v/>
      </c>
    </row>
    <row r="1311">
      <c r="A1311" t="inlineStr">
        <is>
          <t>PRD-0437</t>
        </is>
      </c>
      <c r="B1311" t="inlineStr">
        <is>
          <t>Production</t>
        </is>
      </c>
      <c r="AB1311" t="n">
        <v>437</v>
      </c>
      <c r="AD1311" s="52">
        <f>IFERROR(N(IFERROR(INDEX($A1311:$AB1311,MATCH("Xero Invoiced Ex GST",$A$1:$AB$1,0)),"")),0)</f>
        <v/>
      </c>
      <c r="AE1311" s="53">
        <f>IFERROR(INDEX($A1311:$AB1311,MATCH("Xero Invoice Date",$A$1:$AB$1,0)),"")</f>
        <v/>
      </c>
      <c r="AF1311" s="54">
        <f>IF(AND(IFERROR(INDEX($A1311:$AB1311,MATCH("Xero Invoice No",$A$1:$AB$1,0)),"")&amp;""&lt;&gt;"",ISNUMBER(AE1311),AD1311&lt;&gt;0),1,0)</f>
        <v/>
      </c>
      <c r="AG1311" s="55">
        <f>IF(AF1311=1,EOMONTH(AE1311,0),"")</f>
        <v/>
      </c>
      <c r="AH1311" s="9">
        <f>IF(AF1311=1,UPPER(TRIM(IFERROR(INDEX($A1311:$AB1311,MATCH("Client",$A$1:$AB$1,0)),"")&amp;"")),"")</f>
        <v/>
      </c>
      <c r="AI1311" s="9">
        <f>IF(AF1311=1,IFERROR(INDEX($A1311:$AB1311,MATCH("Cost Centre",$A$1:$AB$1,0)),"")&amp;"","")</f>
        <v/>
      </c>
      <c r="AJ1311" s="54">
        <f>IF(AND(AF1311=1,AE1311&gt;=set_FYStart,AE1311&lt;=set_AsAt),1,0)</f>
        <v/>
      </c>
      <c r="AK1311" s="54">
        <f>IF(AND(AJ1311=1,AH1311&lt;&gt;"",COUNTIFS($AH$2:AH1311,AH1311,$AJ$2:AJ1311,1)=1),N(AL1310)+1,"")</f>
        <v/>
      </c>
      <c r="AL1311" s="54">
        <f>IF(AK1311&lt;&gt;"",AK1311,N(AL1310))</f>
        <v/>
      </c>
    </row>
    <row r="1312">
      <c r="A1312" t="inlineStr">
        <is>
          <t>CON-0437</t>
        </is>
      </c>
      <c r="B1312" t="inlineStr">
        <is>
          <t>Consulting</t>
        </is>
      </c>
      <c r="AB1312" t="n">
        <v>437</v>
      </c>
      <c r="AD1312" s="52">
        <f>IFERROR(N(IFERROR(INDEX($A1312:$AB1312,MATCH("Xero Invoiced Ex GST",$A$1:$AB$1,0)),"")),0)</f>
        <v/>
      </c>
      <c r="AE1312" s="53">
        <f>IFERROR(INDEX($A1312:$AB1312,MATCH("Xero Invoice Date",$A$1:$AB$1,0)),"")</f>
        <v/>
      </c>
      <c r="AF1312" s="54">
        <f>IF(AND(IFERROR(INDEX($A1312:$AB1312,MATCH("Xero Invoice No",$A$1:$AB$1,0)),"")&amp;""&lt;&gt;"",ISNUMBER(AE1312),AD1312&lt;&gt;0),1,0)</f>
        <v/>
      </c>
      <c r="AG1312" s="55">
        <f>IF(AF1312=1,EOMONTH(AE1312,0),"")</f>
        <v/>
      </c>
      <c r="AH1312" s="9">
        <f>IF(AF1312=1,UPPER(TRIM(IFERROR(INDEX($A1312:$AB1312,MATCH("Client",$A$1:$AB$1,0)),"")&amp;"")),"")</f>
        <v/>
      </c>
      <c r="AI1312" s="9">
        <f>IF(AF1312=1,IFERROR(INDEX($A1312:$AB1312,MATCH("Cost Centre",$A$1:$AB$1,0)),"")&amp;"","")</f>
        <v/>
      </c>
      <c r="AJ1312" s="54">
        <f>IF(AND(AF1312=1,AE1312&gt;=set_FYStart,AE1312&lt;=set_AsAt),1,0)</f>
        <v/>
      </c>
      <c r="AK1312" s="54">
        <f>IF(AND(AJ1312=1,AH1312&lt;&gt;"",COUNTIFS($AH$2:AH1312,AH1312,$AJ$2:AJ1312,1)=1),N(AL1311)+1,"")</f>
        <v/>
      </c>
      <c r="AL1312" s="54">
        <f>IF(AK1312&lt;&gt;"",AK1312,N(AL1311))</f>
        <v/>
      </c>
    </row>
    <row r="1313">
      <c r="A1313" t="inlineStr">
        <is>
          <t>ONS-0438</t>
        </is>
      </c>
      <c r="B1313" t="inlineStr">
        <is>
          <t>Onsite</t>
        </is>
      </c>
      <c r="AB1313" t="n">
        <v>438</v>
      </c>
      <c r="AD1313" s="52">
        <f>IFERROR(N(IFERROR(INDEX($A1313:$AB1313,MATCH("Xero Invoiced Ex GST",$A$1:$AB$1,0)),"")),0)</f>
        <v/>
      </c>
      <c r="AE1313" s="53">
        <f>IFERROR(INDEX($A1313:$AB1313,MATCH("Xero Invoice Date",$A$1:$AB$1,0)),"")</f>
        <v/>
      </c>
      <c r="AF1313" s="54">
        <f>IF(AND(IFERROR(INDEX($A1313:$AB1313,MATCH("Xero Invoice No",$A$1:$AB$1,0)),"")&amp;""&lt;&gt;"",ISNUMBER(AE1313),AD1313&lt;&gt;0),1,0)</f>
        <v/>
      </c>
      <c r="AG1313" s="55">
        <f>IF(AF1313=1,EOMONTH(AE1313,0),"")</f>
        <v/>
      </c>
      <c r="AH1313" s="9">
        <f>IF(AF1313=1,UPPER(TRIM(IFERROR(INDEX($A1313:$AB1313,MATCH("Client",$A$1:$AB$1,0)),"")&amp;"")),"")</f>
        <v/>
      </c>
      <c r="AI1313" s="9">
        <f>IF(AF1313=1,IFERROR(INDEX($A1313:$AB1313,MATCH("Cost Centre",$A$1:$AB$1,0)),"")&amp;"","")</f>
        <v/>
      </c>
      <c r="AJ1313" s="54">
        <f>IF(AND(AF1313=1,AE1313&gt;=set_FYStart,AE1313&lt;=set_AsAt),1,0)</f>
        <v/>
      </c>
      <c r="AK1313" s="54">
        <f>IF(AND(AJ1313=1,AH1313&lt;&gt;"",COUNTIFS($AH$2:AH1313,AH1313,$AJ$2:AJ1313,1)=1),N(AL1312)+1,"")</f>
        <v/>
      </c>
      <c r="AL1313" s="54">
        <f>IF(AK1313&lt;&gt;"",AK1313,N(AL1312))</f>
        <v/>
      </c>
    </row>
    <row r="1314">
      <c r="A1314" t="inlineStr">
        <is>
          <t>PRD-0438</t>
        </is>
      </c>
      <c r="B1314" t="inlineStr">
        <is>
          <t>Production</t>
        </is>
      </c>
      <c r="AB1314" t="n">
        <v>438</v>
      </c>
      <c r="AD1314" s="52">
        <f>IFERROR(N(IFERROR(INDEX($A1314:$AB1314,MATCH("Xero Invoiced Ex GST",$A$1:$AB$1,0)),"")),0)</f>
        <v/>
      </c>
      <c r="AE1314" s="53">
        <f>IFERROR(INDEX($A1314:$AB1314,MATCH("Xero Invoice Date",$A$1:$AB$1,0)),"")</f>
        <v/>
      </c>
      <c r="AF1314" s="54">
        <f>IF(AND(IFERROR(INDEX($A1314:$AB1314,MATCH("Xero Invoice No",$A$1:$AB$1,0)),"")&amp;""&lt;&gt;"",ISNUMBER(AE1314),AD1314&lt;&gt;0),1,0)</f>
        <v/>
      </c>
      <c r="AG1314" s="55">
        <f>IF(AF1314=1,EOMONTH(AE1314,0),"")</f>
        <v/>
      </c>
      <c r="AH1314" s="9">
        <f>IF(AF1314=1,UPPER(TRIM(IFERROR(INDEX($A1314:$AB1314,MATCH("Client",$A$1:$AB$1,0)),"")&amp;"")),"")</f>
        <v/>
      </c>
      <c r="AI1314" s="9">
        <f>IF(AF1314=1,IFERROR(INDEX($A1314:$AB1314,MATCH("Cost Centre",$A$1:$AB$1,0)),"")&amp;"","")</f>
        <v/>
      </c>
      <c r="AJ1314" s="54">
        <f>IF(AND(AF1314=1,AE1314&gt;=set_FYStart,AE1314&lt;=set_AsAt),1,0)</f>
        <v/>
      </c>
      <c r="AK1314" s="54">
        <f>IF(AND(AJ1314=1,AH1314&lt;&gt;"",COUNTIFS($AH$2:AH1314,AH1314,$AJ$2:AJ1314,1)=1),N(AL1313)+1,"")</f>
        <v/>
      </c>
      <c r="AL1314" s="54">
        <f>IF(AK1314&lt;&gt;"",AK1314,N(AL1313))</f>
        <v/>
      </c>
    </row>
    <row r="1315">
      <c r="A1315" t="inlineStr">
        <is>
          <t>CON-0438</t>
        </is>
      </c>
      <c r="B1315" t="inlineStr">
        <is>
          <t>Consulting</t>
        </is>
      </c>
      <c r="AB1315" t="n">
        <v>438</v>
      </c>
      <c r="AD1315" s="52">
        <f>IFERROR(N(IFERROR(INDEX($A1315:$AB1315,MATCH("Xero Invoiced Ex GST",$A$1:$AB$1,0)),"")),0)</f>
        <v/>
      </c>
      <c r="AE1315" s="53">
        <f>IFERROR(INDEX($A1315:$AB1315,MATCH("Xero Invoice Date",$A$1:$AB$1,0)),"")</f>
        <v/>
      </c>
      <c r="AF1315" s="54">
        <f>IF(AND(IFERROR(INDEX($A1315:$AB1315,MATCH("Xero Invoice No",$A$1:$AB$1,0)),"")&amp;""&lt;&gt;"",ISNUMBER(AE1315),AD1315&lt;&gt;0),1,0)</f>
        <v/>
      </c>
      <c r="AG1315" s="55">
        <f>IF(AF1315=1,EOMONTH(AE1315,0),"")</f>
        <v/>
      </c>
      <c r="AH1315" s="9">
        <f>IF(AF1315=1,UPPER(TRIM(IFERROR(INDEX($A1315:$AB1315,MATCH("Client",$A$1:$AB$1,0)),"")&amp;"")),"")</f>
        <v/>
      </c>
      <c r="AI1315" s="9">
        <f>IF(AF1315=1,IFERROR(INDEX($A1315:$AB1315,MATCH("Cost Centre",$A$1:$AB$1,0)),"")&amp;"","")</f>
        <v/>
      </c>
      <c r="AJ1315" s="54">
        <f>IF(AND(AF1315=1,AE1315&gt;=set_FYStart,AE1315&lt;=set_AsAt),1,0)</f>
        <v/>
      </c>
      <c r="AK1315" s="54">
        <f>IF(AND(AJ1315=1,AH1315&lt;&gt;"",COUNTIFS($AH$2:AH1315,AH1315,$AJ$2:AJ1315,1)=1),N(AL1314)+1,"")</f>
        <v/>
      </c>
      <c r="AL1315" s="54">
        <f>IF(AK1315&lt;&gt;"",AK1315,N(AL1314))</f>
        <v/>
      </c>
    </row>
    <row r="1316">
      <c r="A1316" t="inlineStr">
        <is>
          <t>ONS-0439</t>
        </is>
      </c>
      <c r="B1316" t="inlineStr">
        <is>
          <t>Onsite</t>
        </is>
      </c>
      <c r="AB1316" t="n">
        <v>439</v>
      </c>
      <c r="AD1316" s="52">
        <f>IFERROR(N(IFERROR(INDEX($A1316:$AB1316,MATCH("Xero Invoiced Ex GST",$A$1:$AB$1,0)),"")),0)</f>
        <v/>
      </c>
      <c r="AE1316" s="53">
        <f>IFERROR(INDEX($A1316:$AB1316,MATCH("Xero Invoice Date",$A$1:$AB$1,0)),"")</f>
        <v/>
      </c>
      <c r="AF1316" s="54">
        <f>IF(AND(IFERROR(INDEX($A1316:$AB1316,MATCH("Xero Invoice No",$A$1:$AB$1,0)),"")&amp;""&lt;&gt;"",ISNUMBER(AE1316),AD1316&lt;&gt;0),1,0)</f>
        <v/>
      </c>
      <c r="AG1316" s="55">
        <f>IF(AF1316=1,EOMONTH(AE1316,0),"")</f>
        <v/>
      </c>
      <c r="AH1316" s="9">
        <f>IF(AF1316=1,UPPER(TRIM(IFERROR(INDEX($A1316:$AB1316,MATCH("Client",$A$1:$AB$1,0)),"")&amp;"")),"")</f>
        <v/>
      </c>
      <c r="AI1316" s="9">
        <f>IF(AF1316=1,IFERROR(INDEX($A1316:$AB1316,MATCH("Cost Centre",$A$1:$AB$1,0)),"")&amp;"","")</f>
        <v/>
      </c>
      <c r="AJ1316" s="54">
        <f>IF(AND(AF1316=1,AE1316&gt;=set_FYStart,AE1316&lt;=set_AsAt),1,0)</f>
        <v/>
      </c>
      <c r="AK1316" s="54">
        <f>IF(AND(AJ1316=1,AH1316&lt;&gt;"",COUNTIFS($AH$2:AH1316,AH1316,$AJ$2:AJ1316,1)=1),N(AL1315)+1,"")</f>
        <v/>
      </c>
      <c r="AL1316" s="54">
        <f>IF(AK1316&lt;&gt;"",AK1316,N(AL1315))</f>
        <v/>
      </c>
    </row>
    <row r="1317">
      <c r="A1317" t="inlineStr">
        <is>
          <t>PRD-0439</t>
        </is>
      </c>
      <c r="B1317" t="inlineStr">
        <is>
          <t>Production</t>
        </is>
      </c>
      <c r="AB1317" t="n">
        <v>439</v>
      </c>
      <c r="AD1317" s="52">
        <f>IFERROR(N(IFERROR(INDEX($A1317:$AB1317,MATCH("Xero Invoiced Ex GST",$A$1:$AB$1,0)),"")),0)</f>
        <v/>
      </c>
      <c r="AE1317" s="53">
        <f>IFERROR(INDEX($A1317:$AB1317,MATCH("Xero Invoice Date",$A$1:$AB$1,0)),"")</f>
        <v/>
      </c>
      <c r="AF1317" s="54">
        <f>IF(AND(IFERROR(INDEX($A1317:$AB1317,MATCH("Xero Invoice No",$A$1:$AB$1,0)),"")&amp;""&lt;&gt;"",ISNUMBER(AE1317),AD1317&lt;&gt;0),1,0)</f>
        <v/>
      </c>
      <c r="AG1317" s="55">
        <f>IF(AF1317=1,EOMONTH(AE1317,0),"")</f>
        <v/>
      </c>
      <c r="AH1317" s="9">
        <f>IF(AF1317=1,UPPER(TRIM(IFERROR(INDEX($A1317:$AB1317,MATCH("Client",$A$1:$AB$1,0)),"")&amp;"")),"")</f>
        <v/>
      </c>
      <c r="AI1317" s="9">
        <f>IF(AF1317=1,IFERROR(INDEX($A1317:$AB1317,MATCH("Cost Centre",$A$1:$AB$1,0)),"")&amp;"","")</f>
        <v/>
      </c>
      <c r="AJ1317" s="54">
        <f>IF(AND(AF1317=1,AE1317&gt;=set_FYStart,AE1317&lt;=set_AsAt),1,0)</f>
        <v/>
      </c>
      <c r="AK1317" s="54">
        <f>IF(AND(AJ1317=1,AH1317&lt;&gt;"",COUNTIFS($AH$2:AH1317,AH1317,$AJ$2:AJ1317,1)=1),N(AL1316)+1,"")</f>
        <v/>
      </c>
      <c r="AL1317" s="54">
        <f>IF(AK1317&lt;&gt;"",AK1317,N(AL1316))</f>
        <v/>
      </c>
    </row>
    <row r="1318">
      <c r="A1318" t="inlineStr">
        <is>
          <t>CON-0439</t>
        </is>
      </c>
      <c r="B1318" t="inlineStr">
        <is>
          <t>Consulting</t>
        </is>
      </c>
      <c r="AB1318" t="n">
        <v>439</v>
      </c>
      <c r="AD1318" s="52">
        <f>IFERROR(N(IFERROR(INDEX($A1318:$AB1318,MATCH("Xero Invoiced Ex GST",$A$1:$AB$1,0)),"")),0)</f>
        <v/>
      </c>
      <c r="AE1318" s="53">
        <f>IFERROR(INDEX($A1318:$AB1318,MATCH("Xero Invoice Date",$A$1:$AB$1,0)),"")</f>
        <v/>
      </c>
      <c r="AF1318" s="54">
        <f>IF(AND(IFERROR(INDEX($A1318:$AB1318,MATCH("Xero Invoice No",$A$1:$AB$1,0)),"")&amp;""&lt;&gt;"",ISNUMBER(AE1318),AD1318&lt;&gt;0),1,0)</f>
        <v/>
      </c>
      <c r="AG1318" s="55">
        <f>IF(AF1318=1,EOMONTH(AE1318,0),"")</f>
        <v/>
      </c>
      <c r="AH1318" s="9">
        <f>IF(AF1318=1,UPPER(TRIM(IFERROR(INDEX($A1318:$AB1318,MATCH("Client",$A$1:$AB$1,0)),"")&amp;"")),"")</f>
        <v/>
      </c>
      <c r="AI1318" s="9">
        <f>IF(AF1318=1,IFERROR(INDEX($A1318:$AB1318,MATCH("Cost Centre",$A$1:$AB$1,0)),"")&amp;"","")</f>
        <v/>
      </c>
      <c r="AJ1318" s="54">
        <f>IF(AND(AF1318=1,AE1318&gt;=set_FYStart,AE1318&lt;=set_AsAt),1,0)</f>
        <v/>
      </c>
      <c r="AK1318" s="54">
        <f>IF(AND(AJ1318=1,AH1318&lt;&gt;"",COUNTIFS($AH$2:AH1318,AH1318,$AJ$2:AJ1318,1)=1),N(AL1317)+1,"")</f>
        <v/>
      </c>
      <c r="AL1318" s="54">
        <f>IF(AK1318&lt;&gt;"",AK1318,N(AL1317))</f>
        <v/>
      </c>
    </row>
    <row r="1319">
      <c r="A1319" t="inlineStr">
        <is>
          <t>ONS-0440</t>
        </is>
      </c>
      <c r="B1319" t="inlineStr">
        <is>
          <t>Onsite</t>
        </is>
      </c>
      <c r="AB1319" t="n">
        <v>440</v>
      </c>
      <c r="AD1319" s="52">
        <f>IFERROR(N(IFERROR(INDEX($A1319:$AB1319,MATCH("Xero Invoiced Ex GST",$A$1:$AB$1,0)),"")),0)</f>
        <v/>
      </c>
      <c r="AE1319" s="53">
        <f>IFERROR(INDEX($A1319:$AB1319,MATCH("Xero Invoice Date",$A$1:$AB$1,0)),"")</f>
        <v/>
      </c>
      <c r="AF1319" s="54">
        <f>IF(AND(IFERROR(INDEX($A1319:$AB1319,MATCH("Xero Invoice No",$A$1:$AB$1,0)),"")&amp;""&lt;&gt;"",ISNUMBER(AE1319),AD1319&lt;&gt;0),1,0)</f>
        <v/>
      </c>
      <c r="AG1319" s="55">
        <f>IF(AF1319=1,EOMONTH(AE1319,0),"")</f>
        <v/>
      </c>
      <c r="AH1319" s="9">
        <f>IF(AF1319=1,UPPER(TRIM(IFERROR(INDEX($A1319:$AB1319,MATCH("Client",$A$1:$AB$1,0)),"")&amp;"")),"")</f>
        <v/>
      </c>
      <c r="AI1319" s="9">
        <f>IF(AF1319=1,IFERROR(INDEX($A1319:$AB1319,MATCH("Cost Centre",$A$1:$AB$1,0)),"")&amp;"","")</f>
        <v/>
      </c>
      <c r="AJ1319" s="54">
        <f>IF(AND(AF1319=1,AE1319&gt;=set_FYStart,AE1319&lt;=set_AsAt),1,0)</f>
        <v/>
      </c>
      <c r="AK1319" s="54">
        <f>IF(AND(AJ1319=1,AH1319&lt;&gt;"",COUNTIFS($AH$2:AH1319,AH1319,$AJ$2:AJ1319,1)=1),N(AL1318)+1,"")</f>
        <v/>
      </c>
      <c r="AL1319" s="54">
        <f>IF(AK1319&lt;&gt;"",AK1319,N(AL1318))</f>
        <v/>
      </c>
    </row>
    <row r="1320">
      <c r="A1320" t="inlineStr">
        <is>
          <t>PRD-0440</t>
        </is>
      </c>
      <c r="B1320" t="inlineStr">
        <is>
          <t>Production</t>
        </is>
      </c>
      <c r="AB1320" t="n">
        <v>440</v>
      </c>
      <c r="AD1320" s="52">
        <f>IFERROR(N(IFERROR(INDEX($A1320:$AB1320,MATCH("Xero Invoiced Ex GST",$A$1:$AB$1,0)),"")),0)</f>
        <v/>
      </c>
      <c r="AE1320" s="53">
        <f>IFERROR(INDEX($A1320:$AB1320,MATCH("Xero Invoice Date",$A$1:$AB$1,0)),"")</f>
        <v/>
      </c>
      <c r="AF1320" s="54">
        <f>IF(AND(IFERROR(INDEX($A1320:$AB1320,MATCH("Xero Invoice No",$A$1:$AB$1,0)),"")&amp;""&lt;&gt;"",ISNUMBER(AE1320),AD1320&lt;&gt;0),1,0)</f>
        <v/>
      </c>
      <c r="AG1320" s="55">
        <f>IF(AF1320=1,EOMONTH(AE1320,0),"")</f>
        <v/>
      </c>
      <c r="AH1320" s="9">
        <f>IF(AF1320=1,UPPER(TRIM(IFERROR(INDEX($A1320:$AB1320,MATCH("Client",$A$1:$AB$1,0)),"")&amp;"")),"")</f>
        <v/>
      </c>
      <c r="AI1320" s="9">
        <f>IF(AF1320=1,IFERROR(INDEX($A1320:$AB1320,MATCH("Cost Centre",$A$1:$AB$1,0)),"")&amp;"","")</f>
        <v/>
      </c>
      <c r="AJ1320" s="54">
        <f>IF(AND(AF1320=1,AE1320&gt;=set_FYStart,AE1320&lt;=set_AsAt),1,0)</f>
        <v/>
      </c>
      <c r="AK1320" s="54">
        <f>IF(AND(AJ1320=1,AH1320&lt;&gt;"",COUNTIFS($AH$2:AH1320,AH1320,$AJ$2:AJ1320,1)=1),N(AL1319)+1,"")</f>
        <v/>
      </c>
      <c r="AL1320" s="54">
        <f>IF(AK1320&lt;&gt;"",AK1320,N(AL1319))</f>
        <v/>
      </c>
    </row>
    <row r="1321">
      <c r="A1321" t="inlineStr">
        <is>
          <t>CON-0440</t>
        </is>
      </c>
      <c r="B1321" t="inlineStr">
        <is>
          <t>Consulting</t>
        </is>
      </c>
      <c r="AB1321" t="n">
        <v>440</v>
      </c>
      <c r="AD1321" s="52">
        <f>IFERROR(N(IFERROR(INDEX($A1321:$AB1321,MATCH("Xero Invoiced Ex GST",$A$1:$AB$1,0)),"")),0)</f>
        <v/>
      </c>
      <c r="AE1321" s="53">
        <f>IFERROR(INDEX($A1321:$AB1321,MATCH("Xero Invoice Date",$A$1:$AB$1,0)),"")</f>
        <v/>
      </c>
      <c r="AF1321" s="54">
        <f>IF(AND(IFERROR(INDEX($A1321:$AB1321,MATCH("Xero Invoice No",$A$1:$AB$1,0)),"")&amp;""&lt;&gt;"",ISNUMBER(AE1321),AD1321&lt;&gt;0),1,0)</f>
        <v/>
      </c>
      <c r="AG1321" s="55">
        <f>IF(AF1321=1,EOMONTH(AE1321,0),"")</f>
        <v/>
      </c>
      <c r="AH1321" s="9">
        <f>IF(AF1321=1,UPPER(TRIM(IFERROR(INDEX($A1321:$AB1321,MATCH("Client",$A$1:$AB$1,0)),"")&amp;"")),"")</f>
        <v/>
      </c>
      <c r="AI1321" s="9">
        <f>IF(AF1321=1,IFERROR(INDEX($A1321:$AB1321,MATCH("Cost Centre",$A$1:$AB$1,0)),"")&amp;"","")</f>
        <v/>
      </c>
      <c r="AJ1321" s="54">
        <f>IF(AND(AF1321=1,AE1321&gt;=set_FYStart,AE1321&lt;=set_AsAt),1,0)</f>
        <v/>
      </c>
      <c r="AK1321" s="54">
        <f>IF(AND(AJ1321=1,AH1321&lt;&gt;"",COUNTIFS($AH$2:AH1321,AH1321,$AJ$2:AJ1321,1)=1),N(AL1320)+1,"")</f>
        <v/>
      </c>
      <c r="AL1321" s="54">
        <f>IF(AK1321&lt;&gt;"",AK1321,N(AL1320))</f>
        <v/>
      </c>
    </row>
    <row r="1322">
      <c r="A1322" t="inlineStr">
        <is>
          <t>ONS-0441</t>
        </is>
      </c>
      <c r="B1322" t="inlineStr">
        <is>
          <t>Onsite</t>
        </is>
      </c>
      <c r="AB1322" t="n">
        <v>441</v>
      </c>
      <c r="AD1322" s="52">
        <f>IFERROR(N(IFERROR(INDEX($A1322:$AB1322,MATCH("Xero Invoiced Ex GST",$A$1:$AB$1,0)),"")),0)</f>
        <v/>
      </c>
      <c r="AE1322" s="53">
        <f>IFERROR(INDEX($A1322:$AB1322,MATCH("Xero Invoice Date",$A$1:$AB$1,0)),"")</f>
        <v/>
      </c>
      <c r="AF1322" s="54">
        <f>IF(AND(IFERROR(INDEX($A1322:$AB1322,MATCH("Xero Invoice No",$A$1:$AB$1,0)),"")&amp;""&lt;&gt;"",ISNUMBER(AE1322),AD1322&lt;&gt;0),1,0)</f>
        <v/>
      </c>
      <c r="AG1322" s="55">
        <f>IF(AF1322=1,EOMONTH(AE1322,0),"")</f>
        <v/>
      </c>
      <c r="AH1322" s="9">
        <f>IF(AF1322=1,UPPER(TRIM(IFERROR(INDEX($A1322:$AB1322,MATCH("Client",$A$1:$AB$1,0)),"")&amp;"")),"")</f>
        <v/>
      </c>
      <c r="AI1322" s="9">
        <f>IF(AF1322=1,IFERROR(INDEX($A1322:$AB1322,MATCH("Cost Centre",$A$1:$AB$1,0)),"")&amp;"","")</f>
        <v/>
      </c>
      <c r="AJ1322" s="54">
        <f>IF(AND(AF1322=1,AE1322&gt;=set_FYStart,AE1322&lt;=set_AsAt),1,0)</f>
        <v/>
      </c>
      <c r="AK1322" s="54">
        <f>IF(AND(AJ1322=1,AH1322&lt;&gt;"",COUNTIFS($AH$2:AH1322,AH1322,$AJ$2:AJ1322,1)=1),N(AL1321)+1,"")</f>
        <v/>
      </c>
      <c r="AL1322" s="54">
        <f>IF(AK1322&lt;&gt;"",AK1322,N(AL1321))</f>
        <v/>
      </c>
    </row>
    <row r="1323">
      <c r="A1323" t="inlineStr">
        <is>
          <t>PRD-0441</t>
        </is>
      </c>
      <c r="B1323" t="inlineStr">
        <is>
          <t>Production</t>
        </is>
      </c>
      <c r="AB1323" t="n">
        <v>441</v>
      </c>
      <c r="AD1323" s="52">
        <f>IFERROR(N(IFERROR(INDEX($A1323:$AB1323,MATCH("Xero Invoiced Ex GST",$A$1:$AB$1,0)),"")),0)</f>
        <v/>
      </c>
      <c r="AE1323" s="53">
        <f>IFERROR(INDEX($A1323:$AB1323,MATCH("Xero Invoice Date",$A$1:$AB$1,0)),"")</f>
        <v/>
      </c>
      <c r="AF1323" s="54">
        <f>IF(AND(IFERROR(INDEX($A1323:$AB1323,MATCH("Xero Invoice No",$A$1:$AB$1,0)),"")&amp;""&lt;&gt;"",ISNUMBER(AE1323),AD1323&lt;&gt;0),1,0)</f>
        <v/>
      </c>
      <c r="AG1323" s="55">
        <f>IF(AF1323=1,EOMONTH(AE1323,0),"")</f>
        <v/>
      </c>
      <c r="AH1323" s="9">
        <f>IF(AF1323=1,UPPER(TRIM(IFERROR(INDEX($A1323:$AB1323,MATCH("Client",$A$1:$AB$1,0)),"")&amp;"")),"")</f>
        <v/>
      </c>
      <c r="AI1323" s="9">
        <f>IF(AF1323=1,IFERROR(INDEX($A1323:$AB1323,MATCH("Cost Centre",$A$1:$AB$1,0)),"")&amp;"","")</f>
        <v/>
      </c>
      <c r="AJ1323" s="54">
        <f>IF(AND(AF1323=1,AE1323&gt;=set_FYStart,AE1323&lt;=set_AsAt),1,0)</f>
        <v/>
      </c>
      <c r="AK1323" s="54">
        <f>IF(AND(AJ1323=1,AH1323&lt;&gt;"",COUNTIFS($AH$2:AH1323,AH1323,$AJ$2:AJ1323,1)=1),N(AL1322)+1,"")</f>
        <v/>
      </c>
      <c r="AL1323" s="54">
        <f>IF(AK1323&lt;&gt;"",AK1323,N(AL1322))</f>
        <v/>
      </c>
    </row>
    <row r="1324">
      <c r="A1324" t="inlineStr">
        <is>
          <t>CON-0441</t>
        </is>
      </c>
      <c r="B1324" t="inlineStr">
        <is>
          <t>Consulting</t>
        </is>
      </c>
      <c r="AB1324" t="n">
        <v>441</v>
      </c>
      <c r="AD1324" s="52">
        <f>IFERROR(N(IFERROR(INDEX($A1324:$AB1324,MATCH("Xero Invoiced Ex GST",$A$1:$AB$1,0)),"")),0)</f>
        <v/>
      </c>
      <c r="AE1324" s="53">
        <f>IFERROR(INDEX($A1324:$AB1324,MATCH("Xero Invoice Date",$A$1:$AB$1,0)),"")</f>
        <v/>
      </c>
      <c r="AF1324" s="54">
        <f>IF(AND(IFERROR(INDEX($A1324:$AB1324,MATCH("Xero Invoice No",$A$1:$AB$1,0)),"")&amp;""&lt;&gt;"",ISNUMBER(AE1324),AD1324&lt;&gt;0),1,0)</f>
        <v/>
      </c>
      <c r="AG1324" s="55">
        <f>IF(AF1324=1,EOMONTH(AE1324,0),"")</f>
        <v/>
      </c>
      <c r="AH1324" s="9">
        <f>IF(AF1324=1,UPPER(TRIM(IFERROR(INDEX($A1324:$AB1324,MATCH("Client",$A$1:$AB$1,0)),"")&amp;"")),"")</f>
        <v/>
      </c>
      <c r="AI1324" s="9">
        <f>IF(AF1324=1,IFERROR(INDEX($A1324:$AB1324,MATCH("Cost Centre",$A$1:$AB$1,0)),"")&amp;"","")</f>
        <v/>
      </c>
      <c r="AJ1324" s="54">
        <f>IF(AND(AF1324=1,AE1324&gt;=set_FYStart,AE1324&lt;=set_AsAt),1,0)</f>
        <v/>
      </c>
      <c r="AK1324" s="54">
        <f>IF(AND(AJ1324=1,AH1324&lt;&gt;"",COUNTIFS($AH$2:AH1324,AH1324,$AJ$2:AJ1324,1)=1),N(AL1323)+1,"")</f>
        <v/>
      </c>
      <c r="AL1324" s="54">
        <f>IF(AK1324&lt;&gt;"",AK1324,N(AL1323))</f>
        <v/>
      </c>
    </row>
    <row r="1325">
      <c r="A1325" t="inlineStr">
        <is>
          <t>ONS-0442</t>
        </is>
      </c>
      <c r="B1325" t="inlineStr">
        <is>
          <t>Onsite</t>
        </is>
      </c>
      <c r="AB1325" t="n">
        <v>442</v>
      </c>
      <c r="AD1325" s="52">
        <f>IFERROR(N(IFERROR(INDEX($A1325:$AB1325,MATCH("Xero Invoiced Ex GST",$A$1:$AB$1,0)),"")),0)</f>
        <v/>
      </c>
      <c r="AE1325" s="53">
        <f>IFERROR(INDEX($A1325:$AB1325,MATCH("Xero Invoice Date",$A$1:$AB$1,0)),"")</f>
        <v/>
      </c>
      <c r="AF1325" s="54">
        <f>IF(AND(IFERROR(INDEX($A1325:$AB1325,MATCH("Xero Invoice No",$A$1:$AB$1,0)),"")&amp;""&lt;&gt;"",ISNUMBER(AE1325),AD1325&lt;&gt;0),1,0)</f>
        <v/>
      </c>
      <c r="AG1325" s="55">
        <f>IF(AF1325=1,EOMONTH(AE1325,0),"")</f>
        <v/>
      </c>
      <c r="AH1325" s="9">
        <f>IF(AF1325=1,UPPER(TRIM(IFERROR(INDEX($A1325:$AB1325,MATCH("Client",$A$1:$AB$1,0)),"")&amp;"")),"")</f>
        <v/>
      </c>
      <c r="AI1325" s="9">
        <f>IF(AF1325=1,IFERROR(INDEX($A1325:$AB1325,MATCH("Cost Centre",$A$1:$AB$1,0)),"")&amp;"","")</f>
        <v/>
      </c>
      <c r="AJ1325" s="54">
        <f>IF(AND(AF1325=1,AE1325&gt;=set_FYStart,AE1325&lt;=set_AsAt),1,0)</f>
        <v/>
      </c>
      <c r="AK1325" s="54">
        <f>IF(AND(AJ1325=1,AH1325&lt;&gt;"",COUNTIFS($AH$2:AH1325,AH1325,$AJ$2:AJ1325,1)=1),N(AL1324)+1,"")</f>
        <v/>
      </c>
      <c r="AL1325" s="54">
        <f>IF(AK1325&lt;&gt;"",AK1325,N(AL1324))</f>
        <v/>
      </c>
    </row>
    <row r="1326">
      <c r="A1326" t="inlineStr">
        <is>
          <t>PRD-0442</t>
        </is>
      </c>
      <c r="B1326" t="inlineStr">
        <is>
          <t>Production</t>
        </is>
      </c>
      <c r="AB1326" t="n">
        <v>442</v>
      </c>
      <c r="AD1326" s="52">
        <f>IFERROR(N(IFERROR(INDEX($A1326:$AB1326,MATCH("Xero Invoiced Ex GST",$A$1:$AB$1,0)),"")),0)</f>
        <v/>
      </c>
      <c r="AE1326" s="53">
        <f>IFERROR(INDEX($A1326:$AB1326,MATCH("Xero Invoice Date",$A$1:$AB$1,0)),"")</f>
        <v/>
      </c>
      <c r="AF1326" s="54">
        <f>IF(AND(IFERROR(INDEX($A1326:$AB1326,MATCH("Xero Invoice No",$A$1:$AB$1,0)),"")&amp;""&lt;&gt;"",ISNUMBER(AE1326),AD1326&lt;&gt;0),1,0)</f>
        <v/>
      </c>
      <c r="AG1326" s="55">
        <f>IF(AF1326=1,EOMONTH(AE1326,0),"")</f>
        <v/>
      </c>
      <c r="AH1326" s="9">
        <f>IF(AF1326=1,UPPER(TRIM(IFERROR(INDEX($A1326:$AB1326,MATCH("Client",$A$1:$AB$1,0)),"")&amp;"")),"")</f>
        <v/>
      </c>
      <c r="AI1326" s="9">
        <f>IF(AF1326=1,IFERROR(INDEX($A1326:$AB1326,MATCH("Cost Centre",$A$1:$AB$1,0)),"")&amp;"","")</f>
        <v/>
      </c>
      <c r="AJ1326" s="54">
        <f>IF(AND(AF1326=1,AE1326&gt;=set_FYStart,AE1326&lt;=set_AsAt),1,0)</f>
        <v/>
      </c>
      <c r="AK1326" s="54">
        <f>IF(AND(AJ1326=1,AH1326&lt;&gt;"",COUNTIFS($AH$2:AH1326,AH1326,$AJ$2:AJ1326,1)=1),N(AL1325)+1,"")</f>
        <v/>
      </c>
      <c r="AL1326" s="54">
        <f>IF(AK1326&lt;&gt;"",AK1326,N(AL1325))</f>
        <v/>
      </c>
    </row>
    <row r="1327">
      <c r="A1327" t="inlineStr">
        <is>
          <t>CON-0442</t>
        </is>
      </c>
      <c r="B1327" t="inlineStr">
        <is>
          <t>Consulting</t>
        </is>
      </c>
      <c r="AB1327" t="n">
        <v>442</v>
      </c>
      <c r="AD1327" s="52">
        <f>IFERROR(N(IFERROR(INDEX($A1327:$AB1327,MATCH("Xero Invoiced Ex GST",$A$1:$AB$1,0)),"")),0)</f>
        <v/>
      </c>
      <c r="AE1327" s="53">
        <f>IFERROR(INDEX($A1327:$AB1327,MATCH("Xero Invoice Date",$A$1:$AB$1,0)),"")</f>
        <v/>
      </c>
      <c r="AF1327" s="54">
        <f>IF(AND(IFERROR(INDEX($A1327:$AB1327,MATCH("Xero Invoice No",$A$1:$AB$1,0)),"")&amp;""&lt;&gt;"",ISNUMBER(AE1327),AD1327&lt;&gt;0),1,0)</f>
        <v/>
      </c>
      <c r="AG1327" s="55">
        <f>IF(AF1327=1,EOMONTH(AE1327,0),"")</f>
        <v/>
      </c>
      <c r="AH1327" s="9">
        <f>IF(AF1327=1,UPPER(TRIM(IFERROR(INDEX($A1327:$AB1327,MATCH("Client",$A$1:$AB$1,0)),"")&amp;"")),"")</f>
        <v/>
      </c>
      <c r="AI1327" s="9">
        <f>IF(AF1327=1,IFERROR(INDEX($A1327:$AB1327,MATCH("Cost Centre",$A$1:$AB$1,0)),"")&amp;"","")</f>
        <v/>
      </c>
      <c r="AJ1327" s="54">
        <f>IF(AND(AF1327=1,AE1327&gt;=set_FYStart,AE1327&lt;=set_AsAt),1,0)</f>
        <v/>
      </c>
      <c r="AK1327" s="54">
        <f>IF(AND(AJ1327=1,AH1327&lt;&gt;"",COUNTIFS($AH$2:AH1327,AH1327,$AJ$2:AJ1327,1)=1),N(AL1326)+1,"")</f>
        <v/>
      </c>
      <c r="AL1327" s="54">
        <f>IF(AK1327&lt;&gt;"",AK1327,N(AL1326))</f>
        <v/>
      </c>
    </row>
    <row r="1328">
      <c r="A1328" t="inlineStr">
        <is>
          <t>ONS-0443</t>
        </is>
      </c>
      <c r="B1328" t="inlineStr">
        <is>
          <t>Onsite</t>
        </is>
      </c>
      <c r="AB1328" t="n">
        <v>443</v>
      </c>
      <c r="AD1328" s="52">
        <f>IFERROR(N(IFERROR(INDEX($A1328:$AB1328,MATCH("Xero Invoiced Ex GST",$A$1:$AB$1,0)),"")),0)</f>
        <v/>
      </c>
      <c r="AE1328" s="53">
        <f>IFERROR(INDEX($A1328:$AB1328,MATCH("Xero Invoice Date",$A$1:$AB$1,0)),"")</f>
        <v/>
      </c>
      <c r="AF1328" s="54">
        <f>IF(AND(IFERROR(INDEX($A1328:$AB1328,MATCH("Xero Invoice No",$A$1:$AB$1,0)),"")&amp;""&lt;&gt;"",ISNUMBER(AE1328),AD1328&lt;&gt;0),1,0)</f>
        <v/>
      </c>
      <c r="AG1328" s="55">
        <f>IF(AF1328=1,EOMONTH(AE1328,0),"")</f>
        <v/>
      </c>
      <c r="AH1328" s="9">
        <f>IF(AF1328=1,UPPER(TRIM(IFERROR(INDEX($A1328:$AB1328,MATCH("Client",$A$1:$AB$1,0)),"")&amp;"")),"")</f>
        <v/>
      </c>
      <c r="AI1328" s="9">
        <f>IF(AF1328=1,IFERROR(INDEX($A1328:$AB1328,MATCH("Cost Centre",$A$1:$AB$1,0)),"")&amp;"","")</f>
        <v/>
      </c>
      <c r="AJ1328" s="54">
        <f>IF(AND(AF1328=1,AE1328&gt;=set_FYStart,AE1328&lt;=set_AsAt),1,0)</f>
        <v/>
      </c>
      <c r="AK1328" s="54">
        <f>IF(AND(AJ1328=1,AH1328&lt;&gt;"",COUNTIFS($AH$2:AH1328,AH1328,$AJ$2:AJ1328,1)=1),N(AL1327)+1,"")</f>
        <v/>
      </c>
      <c r="AL1328" s="54">
        <f>IF(AK1328&lt;&gt;"",AK1328,N(AL1327))</f>
        <v/>
      </c>
    </row>
    <row r="1329">
      <c r="A1329" t="inlineStr">
        <is>
          <t>PRD-0443</t>
        </is>
      </c>
      <c r="B1329" t="inlineStr">
        <is>
          <t>Production</t>
        </is>
      </c>
      <c r="AB1329" t="n">
        <v>443</v>
      </c>
      <c r="AD1329" s="52">
        <f>IFERROR(N(IFERROR(INDEX($A1329:$AB1329,MATCH("Xero Invoiced Ex GST",$A$1:$AB$1,0)),"")),0)</f>
        <v/>
      </c>
      <c r="AE1329" s="53">
        <f>IFERROR(INDEX($A1329:$AB1329,MATCH("Xero Invoice Date",$A$1:$AB$1,0)),"")</f>
        <v/>
      </c>
      <c r="AF1329" s="54">
        <f>IF(AND(IFERROR(INDEX($A1329:$AB1329,MATCH("Xero Invoice No",$A$1:$AB$1,0)),"")&amp;""&lt;&gt;"",ISNUMBER(AE1329),AD1329&lt;&gt;0),1,0)</f>
        <v/>
      </c>
      <c r="AG1329" s="55">
        <f>IF(AF1329=1,EOMONTH(AE1329,0),"")</f>
        <v/>
      </c>
      <c r="AH1329" s="9">
        <f>IF(AF1329=1,UPPER(TRIM(IFERROR(INDEX($A1329:$AB1329,MATCH("Client",$A$1:$AB$1,0)),"")&amp;"")),"")</f>
        <v/>
      </c>
      <c r="AI1329" s="9">
        <f>IF(AF1329=1,IFERROR(INDEX($A1329:$AB1329,MATCH("Cost Centre",$A$1:$AB$1,0)),"")&amp;"","")</f>
        <v/>
      </c>
      <c r="AJ1329" s="54">
        <f>IF(AND(AF1329=1,AE1329&gt;=set_FYStart,AE1329&lt;=set_AsAt),1,0)</f>
        <v/>
      </c>
      <c r="AK1329" s="54">
        <f>IF(AND(AJ1329=1,AH1329&lt;&gt;"",COUNTIFS($AH$2:AH1329,AH1329,$AJ$2:AJ1329,1)=1),N(AL1328)+1,"")</f>
        <v/>
      </c>
      <c r="AL1329" s="54">
        <f>IF(AK1329&lt;&gt;"",AK1329,N(AL1328))</f>
        <v/>
      </c>
    </row>
    <row r="1330">
      <c r="A1330" t="inlineStr">
        <is>
          <t>CON-0443</t>
        </is>
      </c>
      <c r="B1330" t="inlineStr">
        <is>
          <t>Consulting</t>
        </is>
      </c>
      <c r="AB1330" t="n">
        <v>443</v>
      </c>
      <c r="AD1330" s="52">
        <f>IFERROR(N(IFERROR(INDEX($A1330:$AB1330,MATCH("Xero Invoiced Ex GST",$A$1:$AB$1,0)),"")),0)</f>
        <v/>
      </c>
      <c r="AE1330" s="53">
        <f>IFERROR(INDEX($A1330:$AB1330,MATCH("Xero Invoice Date",$A$1:$AB$1,0)),"")</f>
        <v/>
      </c>
      <c r="AF1330" s="54">
        <f>IF(AND(IFERROR(INDEX($A1330:$AB1330,MATCH("Xero Invoice No",$A$1:$AB$1,0)),"")&amp;""&lt;&gt;"",ISNUMBER(AE1330),AD1330&lt;&gt;0),1,0)</f>
        <v/>
      </c>
      <c r="AG1330" s="55">
        <f>IF(AF1330=1,EOMONTH(AE1330,0),"")</f>
        <v/>
      </c>
      <c r="AH1330" s="9">
        <f>IF(AF1330=1,UPPER(TRIM(IFERROR(INDEX($A1330:$AB1330,MATCH("Client",$A$1:$AB$1,0)),"")&amp;"")),"")</f>
        <v/>
      </c>
      <c r="AI1330" s="9">
        <f>IF(AF1330=1,IFERROR(INDEX($A1330:$AB1330,MATCH("Cost Centre",$A$1:$AB$1,0)),"")&amp;"","")</f>
        <v/>
      </c>
      <c r="AJ1330" s="54">
        <f>IF(AND(AF1330=1,AE1330&gt;=set_FYStart,AE1330&lt;=set_AsAt),1,0)</f>
        <v/>
      </c>
      <c r="AK1330" s="54">
        <f>IF(AND(AJ1330=1,AH1330&lt;&gt;"",COUNTIFS($AH$2:AH1330,AH1330,$AJ$2:AJ1330,1)=1),N(AL1329)+1,"")</f>
        <v/>
      </c>
      <c r="AL1330" s="54">
        <f>IF(AK1330&lt;&gt;"",AK1330,N(AL1329))</f>
        <v/>
      </c>
    </row>
    <row r="1331">
      <c r="A1331" t="inlineStr">
        <is>
          <t>ONS-0444</t>
        </is>
      </c>
      <c r="B1331" t="inlineStr">
        <is>
          <t>Onsite</t>
        </is>
      </c>
      <c r="AB1331" t="n">
        <v>444</v>
      </c>
      <c r="AD1331" s="52">
        <f>IFERROR(N(IFERROR(INDEX($A1331:$AB1331,MATCH("Xero Invoiced Ex GST",$A$1:$AB$1,0)),"")),0)</f>
        <v/>
      </c>
      <c r="AE1331" s="53">
        <f>IFERROR(INDEX($A1331:$AB1331,MATCH("Xero Invoice Date",$A$1:$AB$1,0)),"")</f>
        <v/>
      </c>
      <c r="AF1331" s="54">
        <f>IF(AND(IFERROR(INDEX($A1331:$AB1331,MATCH("Xero Invoice No",$A$1:$AB$1,0)),"")&amp;""&lt;&gt;"",ISNUMBER(AE1331),AD1331&lt;&gt;0),1,0)</f>
        <v/>
      </c>
      <c r="AG1331" s="55">
        <f>IF(AF1331=1,EOMONTH(AE1331,0),"")</f>
        <v/>
      </c>
      <c r="AH1331" s="9">
        <f>IF(AF1331=1,UPPER(TRIM(IFERROR(INDEX($A1331:$AB1331,MATCH("Client",$A$1:$AB$1,0)),"")&amp;"")),"")</f>
        <v/>
      </c>
      <c r="AI1331" s="9">
        <f>IF(AF1331=1,IFERROR(INDEX($A1331:$AB1331,MATCH("Cost Centre",$A$1:$AB$1,0)),"")&amp;"","")</f>
        <v/>
      </c>
      <c r="AJ1331" s="54">
        <f>IF(AND(AF1331=1,AE1331&gt;=set_FYStart,AE1331&lt;=set_AsAt),1,0)</f>
        <v/>
      </c>
      <c r="AK1331" s="54">
        <f>IF(AND(AJ1331=1,AH1331&lt;&gt;"",COUNTIFS($AH$2:AH1331,AH1331,$AJ$2:AJ1331,1)=1),N(AL1330)+1,"")</f>
        <v/>
      </c>
      <c r="AL1331" s="54">
        <f>IF(AK1331&lt;&gt;"",AK1331,N(AL1330))</f>
        <v/>
      </c>
    </row>
    <row r="1332">
      <c r="A1332" t="inlineStr">
        <is>
          <t>PRD-0444</t>
        </is>
      </c>
      <c r="B1332" t="inlineStr">
        <is>
          <t>Production</t>
        </is>
      </c>
      <c r="AB1332" t="n">
        <v>444</v>
      </c>
      <c r="AD1332" s="52">
        <f>IFERROR(N(IFERROR(INDEX($A1332:$AB1332,MATCH("Xero Invoiced Ex GST",$A$1:$AB$1,0)),"")),0)</f>
        <v/>
      </c>
      <c r="AE1332" s="53">
        <f>IFERROR(INDEX($A1332:$AB1332,MATCH("Xero Invoice Date",$A$1:$AB$1,0)),"")</f>
        <v/>
      </c>
      <c r="AF1332" s="54">
        <f>IF(AND(IFERROR(INDEX($A1332:$AB1332,MATCH("Xero Invoice No",$A$1:$AB$1,0)),"")&amp;""&lt;&gt;"",ISNUMBER(AE1332),AD1332&lt;&gt;0),1,0)</f>
        <v/>
      </c>
      <c r="AG1332" s="55">
        <f>IF(AF1332=1,EOMONTH(AE1332,0),"")</f>
        <v/>
      </c>
      <c r="AH1332" s="9">
        <f>IF(AF1332=1,UPPER(TRIM(IFERROR(INDEX($A1332:$AB1332,MATCH("Client",$A$1:$AB$1,0)),"")&amp;"")),"")</f>
        <v/>
      </c>
      <c r="AI1332" s="9">
        <f>IF(AF1332=1,IFERROR(INDEX($A1332:$AB1332,MATCH("Cost Centre",$A$1:$AB$1,0)),"")&amp;"","")</f>
        <v/>
      </c>
      <c r="AJ1332" s="54">
        <f>IF(AND(AF1332=1,AE1332&gt;=set_FYStart,AE1332&lt;=set_AsAt),1,0)</f>
        <v/>
      </c>
      <c r="AK1332" s="54">
        <f>IF(AND(AJ1332=1,AH1332&lt;&gt;"",COUNTIFS($AH$2:AH1332,AH1332,$AJ$2:AJ1332,1)=1),N(AL1331)+1,"")</f>
        <v/>
      </c>
      <c r="AL1332" s="54">
        <f>IF(AK1332&lt;&gt;"",AK1332,N(AL1331))</f>
        <v/>
      </c>
    </row>
    <row r="1333">
      <c r="A1333" t="inlineStr">
        <is>
          <t>CON-0444</t>
        </is>
      </c>
      <c r="B1333" t="inlineStr">
        <is>
          <t>Consulting</t>
        </is>
      </c>
      <c r="AB1333" t="n">
        <v>444</v>
      </c>
      <c r="AD1333" s="52">
        <f>IFERROR(N(IFERROR(INDEX($A1333:$AB1333,MATCH("Xero Invoiced Ex GST",$A$1:$AB$1,0)),"")),0)</f>
        <v/>
      </c>
      <c r="AE1333" s="53">
        <f>IFERROR(INDEX($A1333:$AB1333,MATCH("Xero Invoice Date",$A$1:$AB$1,0)),"")</f>
        <v/>
      </c>
      <c r="AF1333" s="54">
        <f>IF(AND(IFERROR(INDEX($A1333:$AB1333,MATCH("Xero Invoice No",$A$1:$AB$1,0)),"")&amp;""&lt;&gt;"",ISNUMBER(AE1333),AD1333&lt;&gt;0),1,0)</f>
        <v/>
      </c>
      <c r="AG1333" s="55">
        <f>IF(AF1333=1,EOMONTH(AE1333,0),"")</f>
        <v/>
      </c>
      <c r="AH1333" s="9">
        <f>IF(AF1333=1,UPPER(TRIM(IFERROR(INDEX($A1333:$AB1333,MATCH("Client",$A$1:$AB$1,0)),"")&amp;"")),"")</f>
        <v/>
      </c>
      <c r="AI1333" s="9">
        <f>IF(AF1333=1,IFERROR(INDEX($A1333:$AB1333,MATCH("Cost Centre",$A$1:$AB$1,0)),"")&amp;"","")</f>
        <v/>
      </c>
      <c r="AJ1333" s="54">
        <f>IF(AND(AF1333=1,AE1333&gt;=set_FYStart,AE1333&lt;=set_AsAt),1,0)</f>
        <v/>
      </c>
      <c r="AK1333" s="54">
        <f>IF(AND(AJ1333=1,AH1333&lt;&gt;"",COUNTIFS($AH$2:AH1333,AH1333,$AJ$2:AJ1333,1)=1),N(AL1332)+1,"")</f>
        <v/>
      </c>
      <c r="AL1333" s="54">
        <f>IF(AK1333&lt;&gt;"",AK1333,N(AL1332))</f>
        <v/>
      </c>
    </row>
    <row r="1334">
      <c r="A1334" t="inlineStr">
        <is>
          <t>ONS-0445</t>
        </is>
      </c>
      <c r="B1334" t="inlineStr">
        <is>
          <t>Onsite</t>
        </is>
      </c>
      <c r="AB1334" t="n">
        <v>445</v>
      </c>
      <c r="AD1334" s="52">
        <f>IFERROR(N(IFERROR(INDEX($A1334:$AB1334,MATCH("Xero Invoiced Ex GST",$A$1:$AB$1,0)),"")),0)</f>
        <v/>
      </c>
      <c r="AE1334" s="53">
        <f>IFERROR(INDEX($A1334:$AB1334,MATCH("Xero Invoice Date",$A$1:$AB$1,0)),"")</f>
        <v/>
      </c>
      <c r="AF1334" s="54">
        <f>IF(AND(IFERROR(INDEX($A1334:$AB1334,MATCH("Xero Invoice No",$A$1:$AB$1,0)),"")&amp;""&lt;&gt;"",ISNUMBER(AE1334),AD1334&lt;&gt;0),1,0)</f>
        <v/>
      </c>
      <c r="AG1334" s="55">
        <f>IF(AF1334=1,EOMONTH(AE1334,0),"")</f>
        <v/>
      </c>
      <c r="AH1334" s="9">
        <f>IF(AF1334=1,UPPER(TRIM(IFERROR(INDEX($A1334:$AB1334,MATCH("Client",$A$1:$AB$1,0)),"")&amp;"")),"")</f>
        <v/>
      </c>
      <c r="AI1334" s="9">
        <f>IF(AF1334=1,IFERROR(INDEX($A1334:$AB1334,MATCH("Cost Centre",$A$1:$AB$1,0)),"")&amp;"","")</f>
        <v/>
      </c>
      <c r="AJ1334" s="54">
        <f>IF(AND(AF1334=1,AE1334&gt;=set_FYStart,AE1334&lt;=set_AsAt),1,0)</f>
        <v/>
      </c>
      <c r="AK1334" s="54">
        <f>IF(AND(AJ1334=1,AH1334&lt;&gt;"",COUNTIFS($AH$2:AH1334,AH1334,$AJ$2:AJ1334,1)=1),N(AL1333)+1,"")</f>
        <v/>
      </c>
      <c r="AL1334" s="54">
        <f>IF(AK1334&lt;&gt;"",AK1334,N(AL1333))</f>
        <v/>
      </c>
    </row>
    <row r="1335">
      <c r="A1335" t="inlineStr">
        <is>
          <t>PRD-0445</t>
        </is>
      </c>
      <c r="B1335" t="inlineStr">
        <is>
          <t>Production</t>
        </is>
      </c>
      <c r="AB1335" t="n">
        <v>445</v>
      </c>
      <c r="AD1335" s="52">
        <f>IFERROR(N(IFERROR(INDEX($A1335:$AB1335,MATCH("Xero Invoiced Ex GST",$A$1:$AB$1,0)),"")),0)</f>
        <v/>
      </c>
      <c r="AE1335" s="53">
        <f>IFERROR(INDEX($A1335:$AB1335,MATCH("Xero Invoice Date",$A$1:$AB$1,0)),"")</f>
        <v/>
      </c>
      <c r="AF1335" s="54">
        <f>IF(AND(IFERROR(INDEX($A1335:$AB1335,MATCH("Xero Invoice No",$A$1:$AB$1,0)),"")&amp;""&lt;&gt;"",ISNUMBER(AE1335),AD1335&lt;&gt;0),1,0)</f>
        <v/>
      </c>
      <c r="AG1335" s="55">
        <f>IF(AF1335=1,EOMONTH(AE1335,0),"")</f>
        <v/>
      </c>
      <c r="AH1335" s="9">
        <f>IF(AF1335=1,UPPER(TRIM(IFERROR(INDEX($A1335:$AB1335,MATCH("Client",$A$1:$AB$1,0)),"")&amp;"")),"")</f>
        <v/>
      </c>
      <c r="AI1335" s="9">
        <f>IF(AF1335=1,IFERROR(INDEX($A1335:$AB1335,MATCH("Cost Centre",$A$1:$AB$1,0)),"")&amp;"","")</f>
        <v/>
      </c>
      <c r="AJ1335" s="54">
        <f>IF(AND(AF1335=1,AE1335&gt;=set_FYStart,AE1335&lt;=set_AsAt),1,0)</f>
        <v/>
      </c>
      <c r="AK1335" s="54">
        <f>IF(AND(AJ1335=1,AH1335&lt;&gt;"",COUNTIFS($AH$2:AH1335,AH1335,$AJ$2:AJ1335,1)=1),N(AL1334)+1,"")</f>
        <v/>
      </c>
      <c r="AL1335" s="54">
        <f>IF(AK1335&lt;&gt;"",AK1335,N(AL1334))</f>
        <v/>
      </c>
    </row>
    <row r="1336">
      <c r="A1336" t="inlineStr">
        <is>
          <t>CON-0445</t>
        </is>
      </c>
      <c r="B1336" t="inlineStr">
        <is>
          <t>Consulting</t>
        </is>
      </c>
      <c r="AB1336" t="n">
        <v>445</v>
      </c>
      <c r="AD1336" s="52">
        <f>IFERROR(N(IFERROR(INDEX($A1336:$AB1336,MATCH("Xero Invoiced Ex GST",$A$1:$AB$1,0)),"")),0)</f>
        <v/>
      </c>
      <c r="AE1336" s="53">
        <f>IFERROR(INDEX($A1336:$AB1336,MATCH("Xero Invoice Date",$A$1:$AB$1,0)),"")</f>
        <v/>
      </c>
      <c r="AF1336" s="54">
        <f>IF(AND(IFERROR(INDEX($A1336:$AB1336,MATCH("Xero Invoice No",$A$1:$AB$1,0)),"")&amp;""&lt;&gt;"",ISNUMBER(AE1336),AD1336&lt;&gt;0),1,0)</f>
        <v/>
      </c>
      <c r="AG1336" s="55">
        <f>IF(AF1336=1,EOMONTH(AE1336,0),"")</f>
        <v/>
      </c>
      <c r="AH1336" s="9">
        <f>IF(AF1336=1,UPPER(TRIM(IFERROR(INDEX($A1336:$AB1336,MATCH("Client",$A$1:$AB$1,0)),"")&amp;"")),"")</f>
        <v/>
      </c>
      <c r="AI1336" s="9">
        <f>IF(AF1336=1,IFERROR(INDEX($A1336:$AB1336,MATCH("Cost Centre",$A$1:$AB$1,0)),"")&amp;"","")</f>
        <v/>
      </c>
      <c r="AJ1336" s="54">
        <f>IF(AND(AF1336=1,AE1336&gt;=set_FYStart,AE1336&lt;=set_AsAt),1,0)</f>
        <v/>
      </c>
      <c r="AK1336" s="54">
        <f>IF(AND(AJ1336=1,AH1336&lt;&gt;"",COUNTIFS($AH$2:AH1336,AH1336,$AJ$2:AJ1336,1)=1),N(AL1335)+1,"")</f>
        <v/>
      </c>
      <c r="AL1336" s="54">
        <f>IF(AK1336&lt;&gt;"",AK1336,N(AL1335))</f>
        <v/>
      </c>
    </row>
    <row r="1337">
      <c r="A1337" t="inlineStr">
        <is>
          <t>ONS-0446</t>
        </is>
      </c>
      <c r="B1337" t="inlineStr">
        <is>
          <t>Onsite</t>
        </is>
      </c>
      <c r="AB1337" t="n">
        <v>446</v>
      </c>
      <c r="AD1337" s="52">
        <f>IFERROR(N(IFERROR(INDEX($A1337:$AB1337,MATCH("Xero Invoiced Ex GST",$A$1:$AB$1,0)),"")),0)</f>
        <v/>
      </c>
      <c r="AE1337" s="53">
        <f>IFERROR(INDEX($A1337:$AB1337,MATCH("Xero Invoice Date",$A$1:$AB$1,0)),"")</f>
        <v/>
      </c>
      <c r="AF1337" s="54">
        <f>IF(AND(IFERROR(INDEX($A1337:$AB1337,MATCH("Xero Invoice No",$A$1:$AB$1,0)),"")&amp;""&lt;&gt;"",ISNUMBER(AE1337),AD1337&lt;&gt;0),1,0)</f>
        <v/>
      </c>
      <c r="AG1337" s="55">
        <f>IF(AF1337=1,EOMONTH(AE1337,0),"")</f>
        <v/>
      </c>
      <c r="AH1337" s="9">
        <f>IF(AF1337=1,UPPER(TRIM(IFERROR(INDEX($A1337:$AB1337,MATCH("Client",$A$1:$AB$1,0)),"")&amp;"")),"")</f>
        <v/>
      </c>
      <c r="AI1337" s="9">
        <f>IF(AF1337=1,IFERROR(INDEX($A1337:$AB1337,MATCH("Cost Centre",$A$1:$AB$1,0)),"")&amp;"","")</f>
        <v/>
      </c>
      <c r="AJ1337" s="54">
        <f>IF(AND(AF1337=1,AE1337&gt;=set_FYStart,AE1337&lt;=set_AsAt),1,0)</f>
        <v/>
      </c>
      <c r="AK1337" s="54">
        <f>IF(AND(AJ1337=1,AH1337&lt;&gt;"",COUNTIFS($AH$2:AH1337,AH1337,$AJ$2:AJ1337,1)=1),N(AL1336)+1,"")</f>
        <v/>
      </c>
      <c r="AL1337" s="54">
        <f>IF(AK1337&lt;&gt;"",AK1337,N(AL1336))</f>
        <v/>
      </c>
    </row>
    <row r="1338">
      <c r="A1338" t="inlineStr">
        <is>
          <t>PRD-0446</t>
        </is>
      </c>
      <c r="B1338" t="inlineStr">
        <is>
          <t>Production</t>
        </is>
      </c>
      <c r="AB1338" t="n">
        <v>446</v>
      </c>
      <c r="AD1338" s="52">
        <f>IFERROR(N(IFERROR(INDEX($A1338:$AB1338,MATCH("Xero Invoiced Ex GST",$A$1:$AB$1,0)),"")),0)</f>
        <v/>
      </c>
      <c r="AE1338" s="53">
        <f>IFERROR(INDEX($A1338:$AB1338,MATCH("Xero Invoice Date",$A$1:$AB$1,0)),"")</f>
        <v/>
      </c>
      <c r="AF1338" s="54">
        <f>IF(AND(IFERROR(INDEX($A1338:$AB1338,MATCH("Xero Invoice No",$A$1:$AB$1,0)),"")&amp;""&lt;&gt;"",ISNUMBER(AE1338),AD1338&lt;&gt;0),1,0)</f>
        <v/>
      </c>
      <c r="AG1338" s="55">
        <f>IF(AF1338=1,EOMONTH(AE1338,0),"")</f>
        <v/>
      </c>
      <c r="AH1338" s="9">
        <f>IF(AF1338=1,UPPER(TRIM(IFERROR(INDEX($A1338:$AB1338,MATCH("Client",$A$1:$AB$1,0)),"")&amp;"")),"")</f>
        <v/>
      </c>
      <c r="AI1338" s="9">
        <f>IF(AF1338=1,IFERROR(INDEX($A1338:$AB1338,MATCH("Cost Centre",$A$1:$AB$1,0)),"")&amp;"","")</f>
        <v/>
      </c>
      <c r="AJ1338" s="54">
        <f>IF(AND(AF1338=1,AE1338&gt;=set_FYStart,AE1338&lt;=set_AsAt),1,0)</f>
        <v/>
      </c>
      <c r="AK1338" s="54">
        <f>IF(AND(AJ1338=1,AH1338&lt;&gt;"",COUNTIFS($AH$2:AH1338,AH1338,$AJ$2:AJ1338,1)=1),N(AL1337)+1,"")</f>
        <v/>
      </c>
      <c r="AL1338" s="54">
        <f>IF(AK1338&lt;&gt;"",AK1338,N(AL1337))</f>
        <v/>
      </c>
    </row>
    <row r="1339">
      <c r="A1339" t="inlineStr">
        <is>
          <t>CON-0446</t>
        </is>
      </c>
      <c r="B1339" t="inlineStr">
        <is>
          <t>Consulting</t>
        </is>
      </c>
      <c r="AB1339" t="n">
        <v>446</v>
      </c>
      <c r="AD1339" s="52">
        <f>IFERROR(N(IFERROR(INDEX($A1339:$AB1339,MATCH("Xero Invoiced Ex GST",$A$1:$AB$1,0)),"")),0)</f>
        <v/>
      </c>
      <c r="AE1339" s="53">
        <f>IFERROR(INDEX($A1339:$AB1339,MATCH("Xero Invoice Date",$A$1:$AB$1,0)),"")</f>
        <v/>
      </c>
      <c r="AF1339" s="54">
        <f>IF(AND(IFERROR(INDEX($A1339:$AB1339,MATCH("Xero Invoice No",$A$1:$AB$1,0)),"")&amp;""&lt;&gt;"",ISNUMBER(AE1339),AD1339&lt;&gt;0),1,0)</f>
        <v/>
      </c>
      <c r="AG1339" s="55">
        <f>IF(AF1339=1,EOMONTH(AE1339,0),"")</f>
        <v/>
      </c>
      <c r="AH1339" s="9">
        <f>IF(AF1339=1,UPPER(TRIM(IFERROR(INDEX($A1339:$AB1339,MATCH("Client",$A$1:$AB$1,0)),"")&amp;"")),"")</f>
        <v/>
      </c>
      <c r="AI1339" s="9">
        <f>IF(AF1339=1,IFERROR(INDEX($A1339:$AB1339,MATCH("Cost Centre",$A$1:$AB$1,0)),"")&amp;"","")</f>
        <v/>
      </c>
      <c r="AJ1339" s="54">
        <f>IF(AND(AF1339=1,AE1339&gt;=set_FYStart,AE1339&lt;=set_AsAt),1,0)</f>
        <v/>
      </c>
      <c r="AK1339" s="54">
        <f>IF(AND(AJ1339=1,AH1339&lt;&gt;"",COUNTIFS($AH$2:AH1339,AH1339,$AJ$2:AJ1339,1)=1),N(AL1338)+1,"")</f>
        <v/>
      </c>
      <c r="AL1339" s="54">
        <f>IF(AK1339&lt;&gt;"",AK1339,N(AL1338))</f>
        <v/>
      </c>
    </row>
    <row r="1340">
      <c r="A1340" t="inlineStr">
        <is>
          <t>ONS-0447</t>
        </is>
      </c>
      <c r="B1340" t="inlineStr">
        <is>
          <t>Onsite</t>
        </is>
      </c>
      <c r="AB1340" t="n">
        <v>447</v>
      </c>
      <c r="AD1340" s="52">
        <f>IFERROR(N(IFERROR(INDEX($A1340:$AB1340,MATCH("Xero Invoiced Ex GST",$A$1:$AB$1,0)),"")),0)</f>
        <v/>
      </c>
      <c r="AE1340" s="53">
        <f>IFERROR(INDEX($A1340:$AB1340,MATCH("Xero Invoice Date",$A$1:$AB$1,0)),"")</f>
        <v/>
      </c>
      <c r="AF1340" s="54">
        <f>IF(AND(IFERROR(INDEX($A1340:$AB1340,MATCH("Xero Invoice No",$A$1:$AB$1,0)),"")&amp;""&lt;&gt;"",ISNUMBER(AE1340),AD1340&lt;&gt;0),1,0)</f>
        <v/>
      </c>
      <c r="AG1340" s="55">
        <f>IF(AF1340=1,EOMONTH(AE1340,0),"")</f>
        <v/>
      </c>
      <c r="AH1340" s="9">
        <f>IF(AF1340=1,UPPER(TRIM(IFERROR(INDEX($A1340:$AB1340,MATCH("Client",$A$1:$AB$1,0)),"")&amp;"")),"")</f>
        <v/>
      </c>
      <c r="AI1340" s="9">
        <f>IF(AF1340=1,IFERROR(INDEX($A1340:$AB1340,MATCH("Cost Centre",$A$1:$AB$1,0)),"")&amp;"","")</f>
        <v/>
      </c>
      <c r="AJ1340" s="54">
        <f>IF(AND(AF1340=1,AE1340&gt;=set_FYStart,AE1340&lt;=set_AsAt),1,0)</f>
        <v/>
      </c>
      <c r="AK1340" s="54">
        <f>IF(AND(AJ1340=1,AH1340&lt;&gt;"",COUNTIFS($AH$2:AH1340,AH1340,$AJ$2:AJ1340,1)=1),N(AL1339)+1,"")</f>
        <v/>
      </c>
      <c r="AL1340" s="54">
        <f>IF(AK1340&lt;&gt;"",AK1340,N(AL1339))</f>
        <v/>
      </c>
    </row>
    <row r="1341">
      <c r="A1341" t="inlineStr">
        <is>
          <t>PRD-0447</t>
        </is>
      </c>
      <c r="B1341" t="inlineStr">
        <is>
          <t>Production</t>
        </is>
      </c>
      <c r="AB1341" t="n">
        <v>447</v>
      </c>
      <c r="AD1341" s="52">
        <f>IFERROR(N(IFERROR(INDEX($A1341:$AB1341,MATCH("Xero Invoiced Ex GST",$A$1:$AB$1,0)),"")),0)</f>
        <v/>
      </c>
      <c r="AE1341" s="53">
        <f>IFERROR(INDEX($A1341:$AB1341,MATCH("Xero Invoice Date",$A$1:$AB$1,0)),"")</f>
        <v/>
      </c>
      <c r="AF1341" s="54">
        <f>IF(AND(IFERROR(INDEX($A1341:$AB1341,MATCH("Xero Invoice No",$A$1:$AB$1,0)),"")&amp;""&lt;&gt;"",ISNUMBER(AE1341),AD1341&lt;&gt;0),1,0)</f>
        <v/>
      </c>
      <c r="AG1341" s="55">
        <f>IF(AF1341=1,EOMONTH(AE1341,0),"")</f>
        <v/>
      </c>
      <c r="AH1341" s="9">
        <f>IF(AF1341=1,UPPER(TRIM(IFERROR(INDEX($A1341:$AB1341,MATCH("Client",$A$1:$AB$1,0)),"")&amp;"")),"")</f>
        <v/>
      </c>
      <c r="AI1341" s="9">
        <f>IF(AF1341=1,IFERROR(INDEX($A1341:$AB1341,MATCH("Cost Centre",$A$1:$AB$1,0)),"")&amp;"","")</f>
        <v/>
      </c>
      <c r="AJ1341" s="54">
        <f>IF(AND(AF1341=1,AE1341&gt;=set_FYStart,AE1341&lt;=set_AsAt),1,0)</f>
        <v/>
      </c>
      <c r="AK1341" s="54">
        <f>IF(AND(AJ1341=1,AH1341&lt;&gt;"",COUNTIFS($AH$2:AH1341,AH1341,$AJ$2:AJ1341,1)=1),N(AL1340)+1,"")</f>
        <v/>
      </c>
      <c r="AL1341" s="54">
        <f>IF(AK1341&lt;&gt;"",AK1341,N(AL1340))</f>
        <v/>
      </c>
    </row>
    <row r="1342">
      <c r="A1342" t="inlineStr">
        <is>
          <t>CON-0447</t>
        </is>
      </c>
      <c r="B1342" t="inlineStr">
        <is>
          <t>Consulting</t>
        </is>
      </c>
      <c r="AB1342" t="n">
        <v>447</v>
      </c>
      <c r="AD1342" s="52">
        <f>IFERROR(N(IFERROR(INDEX($A1342:$AB1342,MATCH("Xero Invoiced Ex GST",$A$1:$AB$1,0)),"")),0)</f>
        <v/>
      </c>
      <c r="AE1342" s="53">
        <f>IFERROR(INDEX($A1342:$AB1342,MATCH("Xero Invoice Date",$A$1:$AB$1,0)),"")</f>
        <v/>
      </c>
      <c r="AF1342" s="54">
        <f>IF(AND(IFERROR(INDEX($A1342:$AB1342,MATCH("Xero Invoice No",$A$1:$AB$1,0)),"")&amp;""&lt;&gt;"",ISNUMBER(AE1342),AD1342&lt;&gt;0),1,0)</f>
        <v/>
      </c>
      <c r="AG1342" s="55">
        <f>IF(AF1342=1,EOMONTH(AE1342,0),"")</f>
        <v/>
      </c>
      <c r="AH1342" s="9">
        <f>IF(AF1342=1,UPPER(TRIM(IFERROR(INDEX($A1342:$AB1342,MATCH("Client",$A$1:$AB$1,0)),"")&amp;"")),"")</f>
        <v/>
      </c>
      <c r="AI1342" s="9">
        <f>IF(AF1342=1,IFERROR(INDEX($A1342:$AB1342,MATCH("Cost Centre",$A$1:$AB$1,0)),"")&amp;"","")</f>
        <v/>
      </c>
      <c r="AJ1342" s="54">
        <f>IF(AND(AF1342=1,AE1342&gt;=set_FYStart,AE1342&lt;=set_AsAt),1,0)</f>
        <v/>
      </c>
      <c r="AK1342" s="54">
        <f>IF(AND(AJ1342=1,AH1342&lt;&gt;"",COUNTIFS($AH$2:AH1342,AH1342,$AJ$2:AJ1342,1)=1),N(AL1341)+1,"")</f>
        <v/>
      </c>
      <c r="AL1342" s="54">
        <f>IF(AK1342&lt;&gt;"",AK1342,N(AL1341))</f>
        <v/>
      </c>
    </row>
    <row r="1343">
      <c r="A1343" t="inlineStr">
        <is>
          <t>ONS-0448</t>
        </is>
      </c>
      <c r="B1343" t="inlineStr">
        <is>
          <t>Onsite</t>
        </is>
      </c>
      <c r="AB1343" t="n">
        <v>448</v>
      </c>
      <c r="AD1343" s="52">
        <f>IFERROR(N(IFERROR(INDEX($A1343:$AB1343,MATCH("Xero Invoiced Ex GST",$A$1:$AB$1,0)),"")),0)</f>
        <v/>
      </c>
      <c r="AE1343" s="53">
        <f>IFERROR(INDEX($A1343:$AB1343,MATCH("Xero Invoice Date",$A$1:$AB$1,0)),"")</f>
        <v/>
      </c>
      <c r="AF1343" s="54">
        <f>IF(AND(IFERROR(INDEX($A1343:$AB1343,MATCH("Xero Invoice No",$A$1:$AB$1,0)),"")&amp;""&lt;&gt;"",ISNUMBER(AE1343),AD1343&lt;&gt;0),1,0)</f>
        <v/>
      </c>
      <c r="AG1343" s="55">
        <f>IF(AF1343=1,EOMONTH(AE1343,0),"")</f>
        <v/>
      </c>
      <c r="AH1343" s="9">
        <f>IF(AF1343=1,UPPER(TRIM(IFERROR(INDEX($A1343:$AB1343,MATCH("Client",$A$1:$AB$1,0)),"")&amp;"")),"")</f>
        <v/>
      </c>
      <c r="AI1343" s="9">
        <f>IF(AF1343=1,IFERROR(INDEX($A1343:$AB1343,MATCH("Cost Centre",$A$1:$AB$1,0)),"")&amp;"","")</f>
        <v/>
      </c>
      <c r="AJ1343" s="54">
        <f>IF(AND(AF1343=1,AE1343&gt;=set_FYStart,AE1343&lt;=set_AsAt),1,0)</f>
        <v/>
      </c>
      <c r="AK1343" s="54">
        <f>IF(AND(AJ1343=1,AH1343&lt;&gt;"",COUNTIFS($AH$2:AH1343,AH1343,$AJ$2:AJ1343,1)=1),N(AL1342)+1,"")</f>
        <v/>
      </c>
      <c r="AL1343" s="54">
        <f>IF(AK1343&lt;&gt;"",AK1343,N(AL1342))</f>
        <v/>
      </c>
    </row>
    <row r="1344">
      <c r="A1344" t="inlineStr">
        <is>
          <t>PRD-0448</t>
        </is>
      </c>
      <c r="B1344" t="inlineStr">
        <is>
          <t>Production</t>
        </is>
      </c>
      <c r="AB1344" t="n">
        <v>448</v>
      </c>
      <c r="AD1344" s="52">
        <f>IFERROR(N(IFERROR(INDEX($A1344:$AB1344,MATCH("Xero Invoiced Ex GST",$A$1:$AB$1,0)),"")),0)</f>
        <v/>
      </c>
      <c r="AE1344" s="53">
        <f>IFERROR(INDEX($A1344:$AB1344,MATCH("Xero Invoice Date",$A$1:$AB$1,0)),"")</f>
        <v/>
      </c>
      <c r="AF1344" s="54">
        <f>IF(AND(IFERROR(INDEX($A1344:$AB1344,MATCH("Xero Invoice No",$A$1:$AB$1,0)),"")&amp;""&lt;&gt;"",ISNUMBER(AE1344),AD1344&lt;&gt;0),1,0)</f>
        <v/>
      </c>
      <c r="AG1344" s="55">
        <f>IF(AF1344=1,EOMONTH(AE1344,0),"")</f>
        <v/>
      </c>
      <c r="AH1344" s="9">
        <f>IF(AF1344=1,UPPER(TRIM(IFERROR(INDEX($A1344:$AB1344,MATCH("Client",$A$1:$AB$1,0)),"")&amp;"")),"")</f>
        <v/>
      </c>
      <c r="AI1344" s="9">
        <f>IF(AF1344=1,IFERROR(INDEX($A1344:$AB1344,MATCH("Cost Centre",$A$1:$AB$1,0)),"")&amp;"","")</f>
        <v/>
      </c>
      <c r="AJ1344" s="54">
        <f>IF(AND(AF1344=1,AE1344&gt;=set_FYStart,AE1344&lt;=set_AsAt),1,0)</f>
        <v/>
      </c>
      <c r="AK1344" s="54">
        <f>IF(AND(AJ1344=1,AH1344&lt;&gt;"",COUNTIFS($AH$2:AH1344,AH1344,$AJ$2:AJ1344,1)=1),N(AL1343)+1,"")</f>
        <v/>
      </c>
      <c r="AL1344" s="54">
        <f>IF(AK1344&lt;&gt;"",AK1344,N(AL1343))</f>
        <v/>
      </c>
    </row>
    <row r="1345">
      <c r="A1345" t="inlineStr">
        <is>
          <t>CON-0448</t>
        </is>
      </c>
      <c r="B1345" t="inlineStr">
        <is>
          <t>Consulting</t>
        </is>
      </c>
      <c r="AB1345" t="n">
        <v>448</v>
      </c>
      <c r="AD1345" s="52">
        <f>IFERROR(N(IFERROR(INDEX($A1345:$AB1345,MATCH("Xero Invoiced Ex GST",$A$1:$AB$1,0)),"")),0)</f>
        <v/>
      </c>
      <c r="AE1345" s="53">
        <f>IFERROR(INDEX($A1345:$AB1345,MATCH("Xero Invoice Date",$A$1:$AB$1,0)),"")</f>
        <v/>
      </c>
      <c r="AF1345" s="54">
        <f>IF(AND(IFERROR(INDEX($A1345:$AB1345,MATCH("Xero Invoice No",$A$1:$AB$1,0)),"")&amp;""&lt;&gt;"",ISNUMBER(AE1345),AD1345&lt;&gt;0),1,0)</f>
        <v/>
      </c>
      <c r="AG1345" s="55">
        <f>IF(AF1345=1,EOMONTH(AE1345,0),"")</f>
        <v/>
      </c>
      <c r="AH1345" s="9">
        <f>IF(AF1345=1,UPPER(TRIM(IFERROR(INDEX($A1345:$AB1345,MATCH("Client",$A$1:$AB$1,0)),"")&amp;"")),"")</f>
        <v/>
      </c>
      <c r="AI1345" s="9">
        <f>IF(AF1345=1,IFERROR(INDEX($A1345:$AB1345,MATCH("Cost Centre",$A$1:$AB$1,0)),"")&amp;"","")</f>
        <v/>
      </c>
      <c r="AJ1345" s="54">
        <f>IF(AND(AF1345=1,AE1345&gt;=set_FYStart,AE1345&lt;=set_AsAt),1,0)</f>
        <v/>
      </c>
      <c r="AK1345" s="54">
        <f>IF(AND(AJ1345=1,AH1345&lt;&gt;"",COUNTIFS($AH$2:AH1345,AH1345,$AJ$2:AJ1345,1)=1),N(AL1344)+1,"")</f>
        <v/>
      </c>
      <c r="AL1345" s="54">
        <f>IF(AK1345&lt;&gt;"",AK1345,N(AL1344))</f>
        <v/>
      </c>
    </row>
    <row r="1346">
      <c r="A1346" t="inlineStr">
        <is>
          <t>ONS-0449</t>
        </is>
      </c>
      <c r="B1346" t="inlineStr">
        <is>
          <t>Onsite</t>
        </is>
      </c>
      <c r="AB1346" t="n">
        <v>449</v>
      </c>
      <c r="AD1346" s="52">
        <f>IFERROR(N(IFERROR(INDEX($A1346:$AB1346,MATCH("Xero Invoiced Ex GST",$A$1:$AB$1,0)),"")),0)</f>
        <v/>
      </c>
      <c r="AE1346" s="53">
        <f>IFERROR(INDEX($A1346:$AB1346,MATCH("Xero Invoice Date",$A$1:$AB$1,0)),"")</f>
        <v/>
      </c>
      <c r="AF1346" s="54">
        <f>IF(AND(IFERROR(INDEX($A1346:$AB1346,MATCH("Xero Invoice No",$A$1:$AB$1,0)),"")&amp;""&lt;&gt;"",ISNUMBER(AE1346),AD1346&lt;&gt;0),1,0)</f>
        <v/>
      </c>
      <c r="AG1346" s="55">
        <f>IF(AF1346=1,EOMONTH(AE1346,0),"")</f>
        <v/>
      </c>
      <c r="AH1346" s="9">
        <f>IF(AF1346=1,UPPER(TRIM(IFERROR(INDEX($A1346:$AB1346,MATCH("Client",$A$1:$AB$1,0)),"")&amp;"")),"")</f>
        <v/>
      </c>
      <c r="AI1346" s="9">
        <f>IF(AF1346=1,IFERROR(INDEX($A1346:$AB1346,MATCH("Cost Centre",$A$1:$AB$1,0)),"")&amp;"","")</f>
        <v/>
      </c>
      <c r="AJ1346" s="54">
        <f>IF(AND(AF1346=1,AE1346&gt;=set_FYStart,AE1346&lt;=set_AsAt),1,0)</f>
        <v/>
      </c>
      <c r="AK1346" s="54">
        <f>IF(AND(AJ1346=1,AH1346&lt;&gt;"",COUNTIFS($AH$2:AH1346,AH1346,$AJ$2:AJ1346,1)=1),N(AL1345)+1,"")</f>
        <v/>
      </c>
      <c r="AL1346" s="54">
        <f>IF(AK1346&lt;&gt;"",AK1346,N(AL1345))</f>
        <v/>
      </c>
    </row>
    <row r="1347">
      <c r="A1347" t="inlineStr">
        <is>
          <t>PRD-0449</t>
        </is>
      </c>
      <c r="B1347" t="inlineStr">
        <is>
          <t>Production</t>
        </is>
      </c>
      <c r="AB1347" t="n">
        <v>449</v>
      </c>
      <c r="AD1347" s="52">
        <f>IFERROR(N(IFERROR(INDEX($A1347:$AB1347,MATCH("Xero Invoiced Ex GST",$A$1:$AB$1,0)),"")),0)</f>
        <v/>
      </c>
      <c r="AE1347" s="53">
        <f>IFERROR(INDEX($A1347:$AB1347,MATCH("Xero Invoice Date",$A$1:$AB$1,0)),"")</f>
        <v/>
      </c>
      <c r="AF1347" s="54">
        <f>IF(AND(IFERROR(INDEX($A1347:$AB1347,MATCH("Xero Invoice No",$A$1:$AB$1,0)),"")&amp;""&lt;&gt;"",ISNUMBER(AE1347),AD1347&lt;&gt;0),1,0)</f>
        <v/>
      </c>
      <c r="AG1347" s="55">
        <f>IF(AF1347=1,EOMONTH(AE1347,0),"")</f>
        <v/>
      </c>
      <c r="AH1347" s="9">
        <f>IF(AF1347=1,UPPER(TRIM(IFERROR(INDEX($A1347:$AB1347,MATCH("Client",$A$1:$AB$1,0)),"")&amp;"")),"")</f>
        <v/>
      </c>
      <c r="AI1347" s="9">
        <f>IF(AF1347=1,IFERROR(INDEX($A1347:$AB1347,MATCH("Cost Centre",$A$1:$AB$1,0)),"")&amp;"","")</f>
        <v/>
      </c>
      <c r="AJ1347" s="54">
        <f>IF(AND(AF1347=1,AE1347&gt;=set_FYStart,AE1347&lt;=set_AsAt),1,0)</f>
        <v/>
      </c>
      <c r="AK1347" s="54">
        <f>IF(AND(AJ1347=1,AH1347&lt;&gt;"",COUNTIFS($AH$2:AH1347,AH1347,$AJ$2:AJ1347,1)=1),N(AL1346)+1,"")</f>
        <v/>
      </c>
      <c r="AL1347" s="54">
        <f>IF(AK1347&lt;&gt;"",AK1347,N(AL1346))</f>
        <v/>
      </c>
    </row>
    <row r="1348">
      <c r="A1348" t="inlineStr">
        <is>
          <t>CON-0449</t>
        </is>
      </c>
      <c r="B1348" t="inlineStr">
        <is>
          <t>Consulting</t>
        </is>
      </c>
      <c r="AB1348" t="n">
        <v>449</v>
      </c>
      <c r="AD1348" s="52">
        <f>IFERROR(N(IFERROR(INDEX($A1348:$AB1348,MATCH("Xero Invoiced Ex GST",$A$1:$AB$1,0)),"")),0)</f>
        <v/>
      </c>
      <c r="AE1348" s="53">
        <f>IFERROR(INDEX($A1348:$AB1348,MATCH("Xero Invoice Date",$A$1:$AB$1,0)),"")</f>
        <v/>
      </c>
      <c r="AF1348" s="54">
        <f>IF(AND(IFERROR(INDEX($A1348:$AB1348,MATCH("Xero Invoice No",$A$1:$AB$1,0)),"")&amp;""&lt;&gt;"",ISNUMBER(AE1348),AD1348&lt;&gt;0),1,0)</f>
        <v/>
      </c>
      <c r="AG1348" s="55">
        <f>IF(AF1348=1,EOMONTH(AE1348,0),"")</f>
        <v/>
      </c>
      <c r="AH1348" s="9">
        <f>IF(AF1348=1,UPPER(TRIM(IFERROR(INDEX($A1348:$AB1348,MATCH("Client",$A$1:$AB$1,0)),"")&amp;"")),"")</f>
        <v/>
      </c>
      <c r="AI1348" s="9">
        <f>IF(AF1348=1,IFERROR(INDEX($A1348:$AB1348,MATCH("Cost Centre",$A$1:$AB$1,0)),"")&amp;"","")</f>
        <v/>
      </c>
      <c r="AJ1348" s="54">
        <f>IF(AND(AF1348=1,AE1348&gt;=set_FYStart,AE1348&lt;=set_AsAt),1,0)</f>
        <v/>
      </c>
      <c r="AK1348" s="54">
        <f>IF(AND(AJ1348=1,AH1348&lt;&gt;"",COUNTIFS($AH$2:AH1348,AH1348,$AJ$2:AJ1348,1)=1),N(AL1347)+1,"")</f>
        <v/>
      </c>
      <c r="AL1348" s="54">
        <f>IF(AK1348&lt;&gt;"",AK1348,N(AL1347))</f>
        <v/>
      </c>
    </row>
    <row r="1349">
      <c r="A1349" t="inlineStr">
        <is>
          <t>ONS-0450</t>
        </is>
      </c>
      <c r="B1349" t="inlineStr">
        <is>
          <t>Onsite</t>
        </is>
      </c>
      <c r="AB1349" t="n">
        <v>450</v>
      </c>
      <c r="AD1349" s="52">
        <f>IFERROR(N(IFERROR(INDEX($A1349:$AB1349,MATCH("Xero Invoiced Ex GST",$A$1:$AB$1,0)),"")),0)</f>
        <v/>
      </c>
      <c r="AE1349" s="53">
        <f>IFERROR(INDEX($A1349:$AB1349,MATCH("Xero Invoice Date",$A$1:$AB$1,0)),"")</f>
        <v/>
      </c>
      <c r="AF1349" s="54">
        <f>IF(AND(IFERROR(INDEX($A1349:$AB1349,MATCH("Xero Invoice No",$A$1:$AB$1,0)),"")&amp;""&lt;&gt;"",ISNUMBER(AE1349),AD1349&lt;&gt;0),1,0)</f>
        <v/>
      </c>
      <c r="AG1349" s="55">
        <f>IF(AF1349=1,EOMONTH(AE1349,0),"")</f>
        <v/>
      </c>
      <c r="AH1349" s="9">
        <f>IF(AF1349=1,UPPER(TRIM(IFERROR(INDEX($A1349:$AB1349,MATCH("Client",$A$1:$AB$1,0)),"")&amp;"")),"")</f>
        <v/>
      </c>
      <c r="AI1349" s="9">
        <f>IF(AF1349=1,IFERROR(INDEX($A1349:$AB1349,MATCH("Cost Centre",$A$1:$AB$1,0)),"")&amp;"","")</f>
        <v/>
      </c>
      <c r="AJ1349" s="54">
        <f>IF(AND(AF1349=1,AE1349&gt;=set_FYStart,AE1349&lt;=set_AsAt),1,0)</f>
        <v/>
      </c>
      <c r="AK1349" s="54">
        <f>IF(AND(AJ1349=1,AH1349&lt;&gt;"",COUNTIFS($AH$2:AH1349,AH1349,$AJ$2:AJ1349,1)=1),N(AL1348)+1,"")</f>
        <v/>
      </c>
      <c r="AL1349" s="54">
        <f>IF(AK1349&lt;&gt;"",AK1349,N(AL1348))</f>
        <v/>
      </c>
    </row>
    <row r="1350">
      <c r="A1350" t="inlineStr">
        <is>
          <t>PRD-0450</t>
        </is>
      </c>
      <c r="B1350" t="inlineStr">
        <is>
          <t>Production</t>
        </is>
      </c>
      <c r="AB1350" t="n">
        <v>450</v>
      </c>
      <c r="AD1350" s="52">
        <f>IFERROR(N(IFERROR(INDEX($A1350:$AB1350,MATCH("Xero Invoiced Ex GST",$A$1:$AB$1,0)),"")),0)</f>
        <v/>
      </c>
      <c r="AE1350" s="53">
        <f>IFERROR(INDEX($A1350:$AB1350,MATCH("Xero Invoice Date",$A$1:$AB$1,0)),"")</f>
        <v/>
      </c>
      <c r="AF1350" s="54">
        <f>IF(AND(IFERROR(INDEX($A1350:$AB1350,MATCH("Xero Invoice No",$A$1:$AB$1,0)),"")&amp;""&lt;&gt;"",ISNUMBER(AE1350),AD1350&lt;&gt;0),1,0)</f>
        <v/>
      </c>
      <c r="AG1350" s="55">
        <f>IF(AF1350=1,EOMONTH(AE1350,0),"")</f>
        <v/>
      </c>
      <c r="AH1350" s="9">
        <f>IF(AF1350=1,UPPER(TRIM(IFERROR(INDEX($A1350:$AB1350,MATCH("Client",$A$1:$AB$1,0)),"")&amp;"")),"")</f>
        <v/>
      </c>
      <c r="AI1350" s="9">
        <f>IF(AF1350=1,IFERROR(INDEX($A1350:$AB1350,MATCH("Cost Centre",$A$1:$AB$1,0)),"")&amp;"","")</f>
        <v/>
      </c>
      <c r="AJ1350" s="54">
        <f>IF(AND(AF1350=1,AE1350&gt;=set_FYStart,AE1350&lt;=set_AsAt),1,0)</f>
        <v/>
      </c>
      <c r="AK1350" s="54">
        <f>IF(AND(AJ1350=1,AH1350&lt;&gt;"",COUNTIFS($AH$2:AH1350,AH1350,$AJ$2:AJ1350,1)=1),N(AL1349)+1,"")</f>
        <v/>
      </c>
      <c r="AL1350" s="54">
        <f>IF(AK1350&lt;&gt;"",AK1350,N(AL1349))</f>
        <v/>
      </c>
    </row>
    <row r="1351">
      <c r="A1351" t="inlineStr">
        <is>
          <t>CON-0450</t>
        </is>
      </c>
      <c r="B1351" t="inlineStr">
        <is>
          <t>Consulting</t>
        </is>
      </c>
      <c r="AB1351" t="n">
        <v>450</v>
      </c>
      <c r="AD1351" s="52">
        <f>IFERROR(N(IFERROR(INDEX($A1351:$AB1351,MATCH("Xero Invoiced Ex GST",$A$1:$AB$1,0)),"")),0)</f>
        <v/>
      </c>
      <c r="AE1351" s="53">
        <f>IFERROR(INDEX($A1351:$AB1351,MATCH("Xero Invoice Date",$A$1:$AB$1,0)),"")</f>
        <v/>
      </c>
      <c r="AF1351" s="54">
        <f>IF(AND(IFERROR(INDEX($A1351:$AB1351,MATCH("Xero Invoice No",$A$1:$AB$1,0)),"")&amp;""&lt;&gt;"",ISNUMBER(AE1351),AD1351&lt;&gt;0),1,0)</f>
        <v/>
      </c>
      <c r="AG1351" s="55">
        <f>IF(AF1351=1,EOMONTH(AE1351,0),"")</f>
        <v/>
      </c>
      <c r="AH1351" s="9">
        <f>IF(AF1351=1,UPPER(TRIM(IFERROR(INDEX($A1351:$AB1351,MATCH("Client",$A$1:$AB$1,0)),"")&amp;"")),"")</f>
        <v/>
      </c>
      <c r="AI1351" s="9">
        <f>IF(AF1351=1,IFERROR(INDEX($A1351:$AB1351,MATCH("Cost Centre",$A$1:$AB$1,0)),"")&amp;"","")</f>
        <v/>
      </c>
      <c r="AJ1351" s="54">
        <f>IF(AND(AF1351=1,AE1351&gt;=set_FYStart,AE1351&lt;=set_AsAt),1,0)</f>
        <v/>
      </c>
      <c r="AK1351" s="54">
        <f>IF(AND(AJ1351=1,AH1351&lt;&gt;"",COUNTIFS($AH$2:AH1351,AH1351,$AJ$2:AJ1351,1)=1),N(AL1350)+1,"")</f>
        <v/>
      </c>
      <c r="AL1351" s="54">
        <f>IF(AK1351&lt;&gt;"",AK1351,N(AL1350))</f>
        <v/>
      </c>
    </row>
    <row r="1352">
      <c r="A1352" t="inlineStr">
        <is>
          <t>ONS-0451</t>
        </is>
      </c>
      <c r="B1352" t="inlineStr">
        <is>
          <t>Onsite</t>
        </is>
      </c>
      <c r="AB1352" t="n">
        <v>451</v>
      </c>
      <c r="AD1352" s="52">
        <f>IFERROR(N(IFERROR(INDEX($A1352:$AB1352,MATCH("Xero Invoiced Ex GST",$A$1:$AB$1,0)),"")),0)</f>
        <v/>
      </c>
      <c r="AE1352" s="53">
        <f>IFERROR(INDEX($A1352:$AB1352,MATCH("Xero Invoice Date",$A$1:$AB$1,0)),"")</f>
        <v/>
      </c>
      <c r="AF1352" s="54">
        <f>IF(AND(IFERROR(INDEX($A1352:$AB1352,MATCH("Xero Invoice No",$A$1:$AB$1,0)),"")&amp;""&lt;&gt;"",ISNUMBER(AE1352),AD1352&lt;&gt;0),1,0)</f>
        <v/>
      </c>
      <c r="AG1352" s="55">
        <f>IF(AF1352=1,EOMONTH(AE1352,0),"")</f>
        <v/>
      </c>
      <c r="AH1352" s="9">
        <f>IF(AF1352=1,UPPER(TRIM(IFERROR(INDEX($A1352:$AB1352,MATCH("Client",$A$1:$AB$1,0)),"")&amp;"")),"")</f>
        <v/>
      </c>
      <c r="AI1352" s="9">
        <f>IF(AF1352=1,IFERROR(INDEX($A1352:$AB1352,MATCH("Cost Centre",$A$1:$AB$1,0)),"")&amp;"","")</f>
        <v/>
      </c>
      <c r="AJ1352" s="54">
        <f>IF(AND(AF1352=1,AE1352&gt;=set_FYStart,AE1352&lt;=set_AsAt),1,0)</f>
        <v/>
      </c>
      <c r="AK1352" s="54">
        <f>IF(AND(AJ1352=1,AH1352&lt;&gt;"",COUNTIFS($AH$2:AH1352,AH1352,$AJ$2:AJ1352,1)=1),N(AL1351)+1,"")</f>
        <v/>
      </c>
      <c r="AL1352" s="54">
        <f>IF(AK1352&lt;&gt;"",AK1352,N(AL1351))</f>
        <v/>
      </c>
    </row>
    <row r="1353">
      <c r="A1353" t="inlineStr">
        <is>
          <t>PRD-0451</t>
        </is>
      </c>
      <c r="B1353" t="inlineStr">
        <is>
          <t>Production</t>
        </is>
      </c>
      <c r="AB1353" t="n">
        <v>451</v>
      </c>
      <c r="AD1353" s="52">
        <f>IFERROR(N(IFERROR(INDEX($A1353:$AB1353,MATCH("Xero Invoiced Ex GST",$A$1:$AB$1,0)),"")),0)</f>
        <v/>
      </c>
      <c r="AE1353" s="53">
        <f>IFERROR(INDEX($A1353:$AB1353,MATCH("Xero Invoice Date",$A$1:$AB$1,0)),"")</f>
        <v/>
      </c>
      <c r="AF1353" s="54">
        <f>IF(AND(IFERROR(INDEX($A1353:$AB1353,MATCH("Xero Invoice No",$A$1:$AB$1,0)),"")&amp;""&lt;&gt;"",ISNUMBER(AE1353),AD1353&lt;&gt;0),1,0)</f>
        <v/>
      </c>
      <c r="AG1353" s="55">
        <f>IF(AF1353=1,EOMONTH(AE1353,0),"")</f>
        <v/>
      </c>
      <c r="AH1353" s="9">
        <f>IF(AF1353=1,UPPER(TRIM(IFERROR(INDEX($A1353:$AB1353,MATCH("Client",$A$1:$AB$1,0)),"")&amp;"")),"")</f>
        <v/>
      </c>
      <c r="AI1353" s="9">
        <f>IF(AF1353=1,IFERROR(INDEX($A1353:$AB1353,MATCH("Cost Centre",$A$1:$AB$1,0)),"")&amp;"","")</f>
        <v/>
      </c>
      <c r="AJ1353" s="54">
        <f>IF(AND(AF1353=1,AE1353&gt;=set_FYStart,AE1353&lt;=set_AsAt),1,0)</f>
        <v/>
      </c>
      <c r="AK1353" s="54">
        <f>IF(AND(AJ1353=1,AH1353&lt;&gt;"",COUNTIFS($AH$2:AH1353,AH1353,$AJ$2:AJ1353,1)=1),N(AL1352)+1,"")</f>
        <v/>
      </c>
      <c r="AL1353" s="54">
        <f>IF(AK1353&lt;&gt;"",AK1353,N(AL1352))</f>
        <v/>
      </c>
    </row>
    <row r="1354">
      <c r="A1354" t="inlineStr">
        <is>
          <t>CON-0451</t>
        </is>
      </c>
      <c r="B1354" t="inlineStr">
        <is>
          <t>Consulting</t>
        </is>
      </c>
      <c r="AB1354" t="n">
        <v>451</v>
      </c>
      <c r="AD1354" s="52">
        <f>IFERROR(N(IFERROR(INDEX($A1354:$AB1354,MATCH("Xero Invoiced Ex GST",$A$1:$AB$1,0)),"")),0)</f>
        <v/>
      </c>
      <c r="AE1354" s="53">
        <f>IFERROR(INDEX($A1354:$AB1354,MATCH("Xero Invoice Date",$A$1:$AB$1,0)),"")</f>
        <v/>
      </c>
      <c r="AF1354" s="54">
        <f>IF(AND(IFERROR(INDEX($A1354:$AB1354,MATCH("Xero Invoice No",$A$1:$AB$1,0)),"")&amp;""&lt;&gt;"",ISNUMBER(AE1354),AD1354&lt;&gt;0),1,0)</f>
        <v/>
      </c>
      <c r="AG1354" s="55">
        <f>IF(AF1354=1,EOMONTH(AE1354,0),"")</f>
        <v/>
      </c>
      <c r="AH1354" s="9">
        <f>IF(AF1354=1,UPPER(TRIM(IFERROR(INDEX($A1354:$AB1354,MATCH("Client",$A$1:$AB$1,0)),"")&amp;"")),"")</f>
        <v/>
      </c>
      <c r="AI1354" s="9">
        <f>IF(AF1354=1,IFERROR(INDEX($A1354:$AB1354,MATCH("Cost Centre",$A$1:$AB$1,0)),"")&amp;"","")</f>
        <v/>
      </c>
      <c r="AJ1354" s="54">
        <f>IF(AND(AF1354=1,AE1354&gt;=set_FYStart,AE1354&lt;=set_AsAt),1,0)</f>
        <v/>
      </c>
      <c r="AK1354" s="54">
        <f>IF(AND(AJ1354=1,AH1354&lt;&gt;"",COUNTIFS($AH$2:AH1354,AH1354,$AJ$2:AJ1354,1)=1),N(AL1353)+1,"")</f>
        <v/>
      </c>
      <c r="AL1354" s="54">
        <f>IF(AK1354&lt;&gt;"",AK1354,N(AL1353))</f>
        <v/>
      </c>
    </row>
    <row r="1355">
      <c r="A1355" t="inlineStr">
        <is>
          <t>ONS-0452</t>
        </is>
      </c>
      <c r="B1355" t="inlineStr">
        <is>
          <t>Onsite</t>
        </is>
      </c>
      <c r="AB1355" t="n">
        <v>452</v>
      </c>
      <c r="AD1355" s="52">
        <f>IFERROR(N(IFERROR(INDEX($A1355:$AB1355,MATCH("Xero Invoiced Ex GST",$A$1:$AB$1,0)),"")),0)</f>
        <v/>
      </c>
      <c r="AE1355" s="53">
        <f>IFERROR(INDEX($A1355:$AB1355,MATCH("Xero Invoice Date",$A$1:$AB$1,0)),"")</f>
        <v/>
      </c>
      <c r="AF1355" s="54">
        <f>IF(AND(IFERROR(INDEX($A1355:$AB1355,MATCH("Xero Invoice No",$A$1:$AB$1,0)),"")&amp;""&lt;&gt;"",ISNUMBER(AE1355),AD1355&lt;&gt;0),1,0)</f>
        <v/>
      </c>
      <c r="AG1355" s="55">
        <f>IF(AF1355=1,EOMONTH(AE1355,0),"")</f>
        <v/>
      </c>
      <c r="AH1355" s="9">
        <f>IF(AF1355=1,UPPER(TRIM(IFERROR(INDEX($A1355:$AB1355,MATCH("Client",$A$1:$AB$1,0)),"")&amp;"")),"")</f>
        <v/>
      </c>
      <c r="AI1355" s="9">
        <f>IF(AF1355=1,IFERROR(INDEX($A1355:$AB1355,MATCH("Cost Centre",$A$1:$AB$1,0)),"")&amp;"","")</f>
        <v/>
      </c>
      <c r="AJ1355" s="54">
        <f>IF(AND(AF1355=1,AE1355&gt;=set_FYStart,AE1355&lt;=set_AsAt),1,0)</f>
        <v/>
      </c>
      <c r="AK1355" s="54">
        <f>IF(AND(AJ1355=1,AH1355&lt;&gt;"",COUNTIFS($AH$2:AH1355,AH1355,$AJ$2:AJ1355,1)=1),N(AL1354)+1,"")</f>
        <v/>
      </c>
      <c r="AL1355" s="54">
        <f>IF(AK1355&lt;&gt;"",AK1355,N(AL1354))</f>
        <v/>
      </c>
    </row>
    <row r="1356">
      <c r="A1356" t="inlineStr">
        <is>
          <t>PRD-0452</t>
        </is>
      </c>
      <c r="B1356" t="inlineStr">
        <is>
          <t>Production</t>
        </is>
      </c>
      <c r="AB1356" t="n">
        <v>452</v>
      </c>
      <c r="AD1356" s="52">
        <f>IFERROR(N(IFERROR(INDEX($A1356:$AB1356,MATCH("Xero Invoiced Ex GST",$A$1:$AB$1,0)),"")),0)</f>
        <v/>
      </c>
      <c r="AE1356" s="53">
        <f>IFERROR(INDEX($A1356:$AB1356,MATCH("Xero Invoice Date",$A$1:$AB$1,0)),"")</f>
        <v/>
      </c>
      <c r="AF1356" s="54">
        <f>IF(AND(IFERROR(INDEX($A1356:$AB1356,MATCH("Xero Invoice No",$A$1:$AB$1,0)),"")&amp;""&lt;&gt;"",ISNUMBER(AE1356),AD1356&lt;&gt;0),1,0)</f>
        <v/>
      </c>
      <c r="AG1356" s="55">
        <f>IF(AF1356=1,EOMONTH(AE1356,0),"")</f>
        <v/>
      </c>
      <c r="AH1356" s="9">
        <f>IF(AF1356=1,UPPER(TRIM(IFERROR(INDEX($A1356:$AB1356,MATCH("Client",$A$1:$AB$1,0)),"")&amp;"")),"")</f>
        <v/>
      </c>
      <c r="AI1356" s="9">
        <f>IF(AF1356=1,IFERROR(INDEX($A1356:$AB1356,MATCH("Cost Centre",$A$1:$AB$1,0)),"")&amp;"","")</f>
        <v/>
      </c>
      <c r="AJ1356" s="54">
        <f>IF(AND(AF1356=1,AE1356&gt;=set_FYStart,AE1356&lt;=set_AsAt),1,0)</f>
        <v/>
      </c>
      <c r="AK1356" s="54">
        <f>IF(AND(AJ1356=1,AH1356&lt;&gt;"",COUNTIFS($AH$2:AH1356,AH1356,$AJ$2:AJ1356,1)=1),N(AL1355)+1,"")</f>
        <v/>
      </c>
      <c r="AL1356" s="54">
        <f>IF(AK1356&lt;&gt;"",AK1356,N(AL1355))</f>
        <v/>
      </c>
    </row>
    <row r="1357">
      <c r="A1357" t="inlineStr">
        <is>
          <t>CON-0452</t>
        </is>
      </c>
      <c r="B1357" t="inlineStr">
        <is>
          <t>Consulting</t>
        </is>
      </c>
      <c r="AB1357" t="n">
        <v>452</v>
      </c>
      <c r="AD1357" s="52">
        <f>IFERROR(N(IFERROR(INDEX($A1357:$AB1357,MATCH("Xero Invoiced Ex GST",$A$1:$AB$1,0)),"")),0)</f>
        <v/>
      </c>
      <c r="AE1357" s="53">
        <f>IFERROR(INDEX($A1357:$AB1357,MATCH("Xero Invoice Date",$A$1:$AB$1,0)),"")</f>
        <v/>
      </c>
      <c r="AF1357" s="54">
        <f>IF(AND(IFERROR(INDEX($A1357:$AB1357,MATCH("Xero Invoice No",$A$1:$AB$1,0)),"")&amp;""&lt;&gt;"",ISNUMBER(AE1357),AD1357&lt;&gt;0),1,0)</f>
        <v/>
      </c>
      <c r="AG1357" s="55">
        <f>IF(AF1357=1,EOMONTH(AE1357,0),"")</f>
        <v/>
      </c>
      <c r="AH1357" s="9">
        <f>IF(AF1357=1,UPPER(TRIM(IFERROR(INDEX($A1357:$AB1357,MATCH("Client",$A$1:$AB$1,0)),"")&amp;"")),"")</f>
        <v/>
      </c>
      <c r="AI1357" s="9">
        <f>IF(AF1357=1,IFERROR(INDEX($A1357:$AB1357,MATCH("Cost Centre",$A$1:$AB$1,0)),"")&amp;"","")</f>
        <v/>
      </c>
      <c r="AJ1357" s="54">
        <f>IF(AND(AF1357=1,AE1357&gt;=set_FYStart,AE1357&lt;=set_AsAt),1,0)</f>
        <v/>
      </c>
      <c r="AK1357" s="54">
        <f>IF(AND(AJ1357=1,AH1357&lt;&gt;"",COUNTIFS($AH$2:AH1357,AH1357,$AJ$2:AJ1357,1)=1),N(AL1356)+1,"")</f>
        <v/>
      </c>
      <c r="AL1357" s="54">
        <f>IF(AK1357&lt;&gt;"",AK1357,N(AL1356))</f>
        <v/>
      </c>
    </row>
    <row r="1358">
      <c r="A1358" t="inlineStr">
        <is>
          <t>ONS-0453</t>
        </is>
      </c>
      <c r="B1358" t="inlineStr">
        <is>
          <t>Onsite</t>
        </is>
      </c>
      <c r="AB1358" t="n">
        <v>453</v>
      </c>
      <c r="AD1358" s="52">
        <f>IFERROR(N(IFERROR(INDEX($A1358:$AB1358,MATCH("Xero Invoiced Ex GST",$A$1:$AB$1,0)),"")),0)</f>
        <v/>
      </c>
      <c r="AE1358" s="53">
        <f>IFERROR(INDEX($A1358:$AB1358,MATCH("Xero Invoice Date",$A$1:$AB$1,0)),"")</f>
        <v/>
      </c>
      <c r="AF1358" s="54">
        <f>IF(AND(IFERROR(INDEX($A1358:$AB1358,MATCH("Xero Invoice No",$A$1:$AB$1,0)),"")&amp;""&lt;&gt;"",ISNUMBER(AE1358),AD1358&lt;&gt;0),1,0)</f>
        <v/>
      </c>
      <c r="AG1358" s="55">
        <f>IF(AF1358=1,EOMONTH(AE1358,0),"")</f>
        <v/>
      </c>
      <c r="AH1358" s="9">
        <f>IF(AF1358=1,UPPER(TRIM(IFERROR(INDEX($A1358:$AB1358,MATCH("Client",$A$1:$AB$1,0)),"")&amp;"")),"")</f>
        <v/>
      </c>
      <c r="AI1358" s="9">
        <f>IF(AF1358=1,IFERROR(INDEX($A1358:$AB1358,MATCH("Cost Centre",$A$1:$AB$1,0)),"")&amp;"","")</f>
        <v/>
      </c>
      <c r="AJ1358" s="54">
        <f>IF(AND(AF1358=1,AE1358&gt;=set_FYStart,AE1358&lt;=set_AsAt),1,0)</f>
        <v/>
      </c>
      <c r="AK1358" s="54">
        <f>IF(AND(AJ1358=1,AH1358&lt;&gt;"",COUNTIFS($AH$2:AH1358,AH1358,$AJ$2:AJ1358,1)=1),N(AL1357)+1,"")</f>
        <v/>
      </c>
      <c r="AL1358" s="54">
        <f>IF(AK1358&lt;&gt;"",AK1358,N(AL1357))</f>
        <v/>
      </c>
    </row>
    <row r="1359">
      <c r="A1359" t="inlineStr">
        <is>
          <t>PRD-0453</t>
        </is>
      </c>
      <c r="B1359" t="inlineStr">
        <is>
          <t>Production</t>
        </is>
      </c>
      <c r="AB1359" t="n">
        <v>453</v>
      </c>
      <c r="AD1359" s="52">
        <f>IFERROR(N(IFERROR(INDEX($A1359:$AB1359,MATCH("Xero Invoiced Ex GST",$A$1:$AB$1,0)),"")),0)</f>
        <v/>
      </c>
      <c r="AE1359" s="53">
        <f>IFERROR(INDEX($A1359:$AB1359,MATCH("Xero Invoice Date",$A$1:$AB$1,0)),"")</f>
        <v/>
      </c>
      <c r="AF1359" s="54">
        <f>IF(AND(IFERROR(INDEX($A1359:$AB1359,MATCH("Xero Invoice No",$A$1:$AB$1,0)),"")&amp;""&lt;&gt;"",ISNUMBER(AE1359),AD1359&lt;&gt;0),1,0)</f>
        <v/>
      </c>
      <c r="AG1359" s="55">
        <f>IF(AF1359=1,EOMONTH(AE1359,0),"")</f>
        <v/>
      </c>
      <c r="AH1359" s="9">
        <f>IF(AF1359=1,UPPER(TRIM(IFERROR(INDEX($A1359:$AB1359,MATCH("Client",$A$1:$AB$1,0)),"")&amp;"")),"")</f>
        <v/>
      </c>
      <c r="AI1359" s="9">
        <f>IF(AF1359=1,IFERROR(INDEX($A1359:$AB1359,MATCH("Cost Centre",$A$1:$AB$1,0)),"")&amp;"","")</f>
        <v/>
      </c>
      <c r="AJ1359" s="54">
        <f>IF(AND(AF1359=1,AE1359&gt;=set_FYStart,AE1359&lt;=set_AsAt),1,0)</f>
        <v/>
      </c>
      <c r="AK1359" s="54">
        <f>IF(AND(AJ1359=1,AH1359&lt;&gt;"",COUNTIFS($AH$2:AH1359,AH1359,$AJ$2:AJ1359,1)=1),N(AL1358)+1,"")</f>
        <v/>
      </c>
      <c r="AL1359" s="54">
        <f>IF(AK1359&lt;&gt;"",AK1359,N(AL1358))</f>
        <v/>
      </c>
    </row>
    <row r="1360">
      <c r="A1360" t="inlineStr">
        <is>
          <t>CON-0453</t>
        </is>
      </c>
      <c r="B1360" t="inlineStr">
        <is>
          <t>Consulting</t>
        </is>
      </c>
      <c r="AB1360" t="n">
        <v>453</v>
      </c>
      <c r="AD1360" s="52">
        <f>IFERROR(N(IFERROR(INDEX($A1360:$AB1360,MATCH("Xero Invoiced Ex GST",$A$1:$AB$1,0)),"")),0)</f>
        <v/>
      </c>
      <c r="AE1360" s="53">
        <f>IFERROR(INDEX($A1360:$AB1360,MATCH("Xero Invoice Date",$A$1:$AB$1,0)),"")</f>
        <v/>
      </c>
      <c r="AF1360" s="54">
        <f>IF(AND(IFERROR(INDEX($A1360:$AB1360,MATCH("Xero Invoice No",$A$1:$AB$1,0)),"")&amp;""&lt;&gt;"",ISNUMBER(AE1360),AD1360&lt;&gt;0),1,0)</f>
        <v/>
      </c>
      <c r="AG1360" s="55">
        <f>IF(AF1360=1,EOMONTH(AE1360,0),"")</f>
        <v/>
      </c>
      <c r="AH1360" s="9">
        <f>IF(AF1360=1,UPPER(TRIM(IFERROR(INDEX($A1360:$AB1360,MATCH("Client",$A$1:$AB$1,0)),"")&amp;"")),"")</f>
        <v/>
      </c>
      <c r="AI1360" s="9">
        <f>IF(AF1360=1,IFERROR(INDEX($A1360:$AB1360,MATCH("Cost Centre",$A$1:$AB$1,0)),"")&amp;"","")</f>
        <v/>
      </c>
      <c r="AJ1360" s="54">
        <f>IF(AND(AF1360=1,AE1360&gt;=set_FYStart,AE1360&lt;=set_AsAt),1,0)</f>
        <v/>
      </c>
      <c r="AK1360" s="54">
        <f>IF(AND(AJ1360=1,AH1360&lt;&gt;"",COUNTIFS($AH$2:AH1360,AH1360,$AJ$2:AJ1360,1)=1),N(AL1359)+1,"")</f>
        <v/>
      </c>
      <c r="AL1360" s="54">
        <f>IF(AK1360&lt;&gt;"",AK1360,N(AL1359))</f>
        <v/>
      </c>
    </row>
    <row r="1361">
      <c r="A1361" t="inlineStr">
        <is>
          <t>ONS-0454</t>
        </is>
      </c>
      <c r="B1361" t="inlineStr">
        <is>
          <t>Onsite</t>
        </is>
      </c>
      <c r="AB1361" t="n">
        <v>454</v>
      </c>
      <c r="AD1361" s="52">
        <f>IFERROR(N(IFERROR(INDEX($A1361:$AB1361,MATCH("Xero Invoiced Ex GST",$A$1:$AB$1,0)),"")),0)</f>
        <v/>
      </c>
      <c r="AE1361" s="53">
        <f>IFERROR(INDEX($A1361:$AB1361,MATCH("Xero Invoice Date",$A$1:$AB$1,0)),"")</f>
        <v/>
      </c>
      <c r="AF1361" s="54">
        <f>IF(AND(IFERROR(INDEX($A1361:$AB1361,MATCH("Xero Invoice No",$A$1:$AB$1,0)),"")&amp;""&lt;&gt;"",ISNUMBER(AE1361),AD1361&lt;&gt;0),1,0)</f>
        <v/>
      </c>
      <c r="AG1361" s="55">
        <f>IF(AF1361=1,EOMONTH(AE1361,0),"")</f>
        <v/>
      </c>
      <c r="AH1361" s="9">
        <f>IF(AF1361=1,UPPER(TRIM(IFERROR(INDEX($A1361:$AB1361,MATCH("Client",$A$1:$AB$1,0)),"")&amp;"")),"")</f>
        <v/>
      </c>
      <c r="AI1361" s="9">
        <f>IF(AF1361=1,IFERROR(INDEX($A1361:$AB1361,MATCH("Cost Centre",$A$1:$AB$1,0)),"")&amp;"","")</f>
        <v/>
      </c>
      <c r="AJ1361" s="54">
        <f>IF(AND(AF1361=1,AE1361&gt;=set_FYStart,AE1361&lt;=set_AsAt),1,0)</f>
        <v/>
      </c>
      <c r="AK1361" s="54">
        <f>IF(AND(AJ1361=1,AH1361&lt;&gt;"",COUNTIFS($AH$2:AH1361,AH1361,$AJ$2:AJ1361,1)=1),N(AL1360)+1,"")</f>
        <v/>
      </c>
      <c r="AL1361" s="54">
        <f>IF(AK1361&lt;&gt;"",AK1361,N(AL1360))</f>
        <v/>
      </c>
    </row>
    <row r="1362">
      <c r="A1362" t="inlineStr">
        <is>
          <t>PRD-0454</t>
        </is>
      </c>
      <c r="B1362" t="inlineStr">
        <is>
          <t>Production</t>
        </is>
      </c>
      <c r="AB1362" t="n">
        <v>454</v>
      </c>
      <c r="AD1362" s="52">
        <f>IFERROR(N(IFERROR(INDEX($A1362:$AB1362,MATCH("Xero Invoiced Ex GST",$A$1:$AB$1,0)),"")),0)</f>
        <v/>
      </c>
      <c r="AE1362" s="53">
        <f>IFERROR(INDEX($A1362:$AB1362,MATCH("Xero Invoice Date",$A$1:$AB$1,0)),"")</f>
        <v/>
      </c>
      <c r="AF1362" s="54">
        <f>IF(AND(IFERROR(INDEX($A1362:$AB1362,MATCH("Xero Invoice No",$A$1:$AB$1,0)),"")&amp;""&lt;&gt;"",ISNUMBER(AE1362),AD1362&lt;&gt;0),1,0)</f>
        <v/>
      </c>
      <c r="AG1362" s="55">
        <f>IF(AF1362=1,EOMONTH(AE1362,0),"")</f>
        <v/>
      </c>
      <c r="AH1362" s="9">
        <f>IF(AF1362=1,UPPER(TRIM(IFERROR(INDEX($A1362:$AB1362,MATCH("Client",$A$1:$AB$1,0)),"")&amp;"")),"")</f>
        <v/>
      </c>
      <c r="AI1362" s="9">
        <f>IF(AF1362=1,IFERROR(INDEX($A1362:$AB1362,MATCH("Cost Centre",$A$1:$AB$1,0)),"")&amp;"","")</f>
        <v/>
      </c>
      <c r="AJ1362" s="54">
        <f>IF(AND(AF1362=1,AE1362&gt;=set_FYStart,AE1362&lt;=set_AsAt),1,0)</f>
        <v/>
      </c>
      <c r="AK1362" s="54">
        <f>IF(AND(AJ1362=1,AH1362&lt;&gt;"",COUNTIFS($AH$2:AH1362,AH1362,$AJ$2:AJ1362,1)=1),N(AL1361)+1,"")</f>
        <v/>
      </c>
      <c r="AL1362" s="54">
        <f>IF(AK1362&lt;&gt;"",AK1362,N(AL1361))</f>
        <v/>
      </c>
    </row>
    <row r="1363">
      <c r="A1363" t="inlineStr">
        <is>
          <t>CON-0454</t>
        </is>
      </c>
      <c r="B1363" t="inlineStr">
        <is>
          <t>Consulting</t>
        </is>
      </c>
      <c r="AB1363" t="n">
        <v>454</v>
      </c>
      <c r="AD1363" s="52">
        <f>IFERROR(N(IFERROR(INDEX($A1363:$AB1363,MATCH("Xero Invoiced Ex GST",$A$1:$AB$1,0)),"")),0)</f>
        <v/>
      </c>
      <c r="AE1363" s="53">
        <f>IFERROR(INDEX($A1363:$AB1363,MATCH("Xero Invoice Date",$A$1:$AB$1,0)),"")</f>
        <v/>
      </c>
      <c r="AF1363" s="54">
        <f>IF(AND(IFERROR(INDEX($A1363:$AB1363,MATCH("Xero Invoice No",$A$1:$AB$1,0)),"")&amp;""&lt;&gt;"",ISNUMBER(AE1363),AD1363&lt;&gt;0),1,0)</f>
        <v/>
      </c>
      <c r="AG1363" s="55">
        <f>IF(AF1363=1,EOMONTH(AE1363,0),"")</f>
        <v/>
      </c>
      <c r="AH1363" s="9">
        <f>IF(AF1363=1,UPPER(TRIM(IFERROR(INDEX($A1363:$AB1363,MATCH("Client",$A$1:$AB$1,0)),"")&amp;"")),"")</f>
        <v/>
      </c>
      <c r="AI1363" s="9">
        <f>IF(AF1363=1,IFERROR(INDEX($A1363:$AB1363,MATCH("Cost Centre",$A$1:$AB$1,0)),"")&amp;"","")</f>
        <v/>
      </c>
      <c r="AJ1363" s="54">
        <f>IF(AND(AF1363=1,AE1363&gt;=set_FYStart,AE1363&lt;=set_AsAt),1,0)</f>
        <v/>
      </c>
      <c r="AK1363" s="54">
        <f>IF(AND(AJ1363=1,AH1363&lt;&gt;"",COUNTIFS($AH$2:AH1363,AH1363,$AJ$2:AJ1363,1)=1),N(AL1362)+1,"")</f>
        <v/>
      </c>
      <c r="AL1363" s="54">
        <f>IF(AK1363&lt;&gt;"",AK1363,N(AL1362))</f>
        <v/>
      </c>
    </row>
    <row r="1364">
      <c r="A1364" t="inlineStr">
        <is>
          <t>ONS-0455</t>
        </is>
      </c>
      <c r="B1364" t="inlineStr">
        <is>
          <t>Onsite</t>
        </is>
      </c>
      <c r="AB1364" t="n">
        <v>455</v>
      </c>
      <c r="AD1364" s="52">
        <f>IFERROR(N(IFERROR(INDEX($A1364:$AB1364,MATCH("Xero Invoiced Ex GST",$A$1:$AB$1,0)),"")),0)</f>
        <v/>
      </c>
      <c r="AE1364" s="53">
        <f>IFERROR(INDEX($A1364:$AB1364,MATCH("Xero Invoice Date",$A$1:$AB$1,0)),"")</f>
        <v/>
      </c>
      <c r="AF1364" s="54">
        <f>IF(AND(IFERROR(INDEX($A1364:$AB1364,MATCH("Xero Invoice No",$A$1:$AB$1,0)),"")&amp;""&lt;&gt;"",ISNUMBER(AE1364),AD1364&lt;&gt;0),1,0)</f>
        <v/>
      </c>
      <c r="AG1364" s="55">
        <f>IF(AF1364=1,EOMONTH(AE1364,0),"")</f>
        <v/>
      </c>
      <c r="AH1364" s="9">
        <f>IF(AF1364=1,UPPER(TRIM(IFERROR(INDEX($A1364:$AB1364,MATCH("Client",$A$1:$AB$1,0)),"")&amp;"")),"")</f>
        <v/>
      </c>
      <c r="AI1364" s="9">
        <f>IF(AF1364=1,IFERROR(INDEX($A1364:$AB1364,MATCH("Cost Centre",$A$1:$AB$1,0)),"")&amp;"","")</f>
        <v/>
      </c>
      <c r="AJ1364" s="54">
        <f>IF(AND(AF1364=1,AE1364&gt;=set_FYStart,AE1364&lt;=set_AsAt),1,0)</f>
        <v/>
      </c>
      <c r="AK1364" s="54">
        <f>IF(AND(AJ1364=1,AH1364&lt;&gt;"",COUNTIFS($AH$2:AH1364,AH1364,$AJ$2:AJ1364,1)=1),N(AL1363)+1,"")</f>
        <v/>
      </c>
      <c r="AL1364" s="54">
        <f>IF(AK1364&lt;&gt;"",AK1364,N(AL1363))</f>
        <v/>
      </c>
    </row>
    <row r="1365">
      <c r="A1365" t="inlineStr">
        <is>
          <t>PRD-0455</t>
        </is>
      </c>
      <c r="B1365" t="inlineStr">
        <is>
          <t>Production</t>
        </is>
      </c>
      <c r="AB1365" t="n">
        <v>455</v>
      </c>
      <c r="AD1365" s="52">
        <f>IFERROR(N(IFERROR(INDEX($A1365:$AB1365,MATCH("Xero Invoiced Ex GST",$A$1:$AB$1,0)),"")),0)</f>
        <v/>
      </c>
      <c r="AE1365" s="53">
        <f>IFERROR(INDEX($A1365:$AB1365,MATCH("Xero Invoice Date",$A$1:$AB$1,0)),"")</f>
        <v/>
      </c>
      <c r="AF1365" s="54">
        <f>IF(AND(IFERROR(INDEX($A1365:$AB1365,MATCH("Xero Invoice No",$A$1:$AB$1,0)),"")&amp;""&lt;&gt;"",ISNUMBER(AE1365),AD1365&lt;&gt;0),1,0)</f>
        <v/>
      </c>
      <c r="AG1365" s="55">
        <f>IF(AF1365=1,EOMONTH(AE1365,0),"")</f>
        <v/>
      </c>
      <c r="AH1365" s="9">
        <f>IF(AF1365=1,UPPER(TRIM(IFERROR(INDEX($A1365:$AB1365,MATCH("Client",$A$1:$AB$1,0)),"")&amp;"")),"")</f>
        <v/>
      </c>
      <c r="AI1365" s="9">
        <f>IF(AF1365=1,IFERROR(INDEX($A1365:$AB1365,MATCH("Cost Centre",$A$1:$AB$1,0)),"")&amp;"","")</f>
        <v/>
      </c>
      <c r="AJ1365" s="54">
        <f>IF(AND(AF1365=1,AE1365&gt;=set_FYStart,AE1365&lt;=set_AsAt),1,0)</f>
        <v/>
      </c>
      <c r="AK1365" s="54">
        <f>IF(AND(AJ1365=1,AH1365&lt;&gt;"",COUNTIFS($AH$2:AH1365,AH1365,$AJ$2:AJ1365,1)=1),N(AL1364)+1,"")</f>
        <v/>
      </c>
      <c r="AL1365" s="54">
        <f>IF(AK1365&lt;&gt;"",AK1365,N(AL1364))</f>
        <v/>
      </c>
    </row>
    <row r="1366">
      <c r="A1366" t="inlineStr">
        <is>
          <t>CON-0455</t>
        </is>
      </c>
      <c r="B1366" t="inlineStr">
        <is>
          <t>Consulting</t>
        </is>
      </c>
      <c r="AB1366" t="n">
        <v>455</v>
      </c>
      <c r="AD1366" s="52">
        <f>IFERROR(N(IFERROR(INDEX($A1366:$AB1366,MATCH("Xero Invoiced Ex GST",$A$1:$AB$1,0)),"")),0)</f>
        <v/>
      </c>
      <c r="AE1366" s="53">
        <f>IFERROR(INDEX($A1366:$AB1366,MATCH("Xero Invoice Date",$A$1:$AB$1,0)),"")</f>
        <v/>
      </c>
      <c r="AF1366" s="54">
        <f>IF(AND(IFERROR(INDEX($A1366:$AB1366,MATCH("Xero Invoice No",$A$1:$AB$1,0)),"")&amp;""&lt;&gt;"",ISNUMBER(AE1366),AD1366&lt;&gt;0),1,0)</f>
        <v/>
      </c>
      <c r="AG1366" s="55">
        <f>IF(AF1366=1,EOMONTH(AE1366,0),"")</f>
        <v/>
      </c>
      <c r="AH1366" s="9">
        <f>IF(AF1366=1,UPPER(TRIM(IFERROR(INDEX($A1366:$AB1366,MATCH("Client",$A$1:$AB$1,0)),"")&amp;"")),"")</f>
        <v/>
      </c>
      <c r="AI1366" s="9">
        <f>IF(AF1366=1,IFERROR(INDEX($A1366:$AB1366,MATCH("Cost Centre",$A$1:$AB$1,0)),"")&amp;"","")</f>
        <v/>
      </c>
      <c r="AJ1366" s="54">
        <f>IF(AND(AF1366=1,AE1366&gt;=set_FYStart,AE1366&lt;=set_AsAt),1,0)</f>
        <v/>
      </c>
      <c r="AK1366" s="54">
        <f>IF(AND(AJ1366=1,AH1366&lt;&gt;"",COUNTIFS($AH$2:AH1366,AH1366,$AJ$2:AJ1366,1)=1),N(AL1365)+1,"")</f>
        <v/>
      </c>
      <c r="AL1366" s="54">
        <f>IF(AK1366&lt;&gt;"",AK1366,N(AL1365))</f>
        <v/>
      </c>
    </row>
    <row r="1367">
      <c r="A1367" t="inlineStr">
        <is>
          <t>ONS-0456</t>
        </is>
      </c>
      <c r="B1367" t="inlineStr">
        <is>
          <t>Onsite</t>
        </is>
      </c>
      <c r="AB1367" t="n">
        <v>456</v>
      </c>
      <c r="AD1367" s="52">
        <f>IFERROR(N(IFERROR(INDEX($A1367:$AB1367,MATCH("Xero Invoiced Ex GST",$A$1:$AB$1,0)),"")),0)</f>
        <v/>
      </c>
      <c r="AE1367" s="53">
        <f>IFERROR(INDEX($A1367:$AB1367,MATCH("Xero Invoice Date",$A$1:$AB$1,0)),"")</f>
        <v/>
      </c>
      <c r="AF1367" s="54">
        <f>IF(AND(IFERROR(INDEX($A1367:$AB1367,MATCH("Xero Invoice No",$A$1:$AB$1,0)),"")&amp;""&lt;&gt;"",ISNUMBER(AE1367),AD1367&lt;&gt;0),1,0)</f>
        <v/>
      </c>
      <c r="AG1367" s="55">
        <f>IF(AF1367=1,EOMONTH(AE1367,0),"")</f>
        <v/>
      </c>
      <c r="AH1367" s="9">
        <f>IF(AF1367=1,UPPER(TRIM(IFERROR(INDEX($A1367:$AB1367,MATCH("Client",$A$1:$AB$1,0)),"")&amp;"")),"")</f>
        <v/>
      </c>
      <c r="AI1367" s="9">
        <f>IF(AF1367=1,IFERROR(INDEX($A1367:$AB1367,MATCH("Cost Centre",$A$1:$AB$1,0)),"")&amp;"","")</f>
        <v/>
      </c>
      <c r="AJ1367" s="54">
        <f>IF(AND(AF1367=1,AE1367&gt;=set_FYStart,AE1367&lt;=set_AsAt),1,0)</f>
        <v/>
      </c>
      <c r="AK1367" s="54">
        <f>IF(AND(AJ1367=1,AH1367&lt;&gt;"",COUNTIFS($AH$2:AH1367,AH1367,$AJ$2:AJ1367,1)=1),N(AL1366)+1,"")</f>
        <v/>
      </c>
      <c r="AL1367" s="54">
        <f>IF(AK1367&lt;&gt;"",AK1367,N(AL1366))</f>
        <v/>
      </c>
    </row>
    <row r="1368">
      <c r="A1368" t="inlineStr">
        <is>
          <t>PRD-0456</t>
        </is>
      </c>
      <c r="B1368" t="inlineStr">
        <is>
          <t>Production</t>
        </is>
      </c>
      <c r="AB1368" t="n">
        <v>456</v>
      </c>
      <c r="AD1368" s="52">
        <f>IFERROR(N(IFERROR(INDEX($A1368:$AB1368,MATCH("Xero Invoiced Ex GST",$A$1:$AB$1,0)),"")),0)</f>
        <v/>
      </c>
      <c r="AE1368" s="53">
        <f>IFERROR(INDEX($A1368:$AB1368,MATCH("Xero Invoice Date",$A$1:$AB$1,0)),"")</f>
        <v/>
      </c>
      <c r="AF1368" s="54">
        <f>IF(AND(IFERROR(INDEX($A1368:$AB1368,MATCH("Xero Invoice No",$A$1:$AB$1,0)),"")&amp;""&lt;&gt;"",ISNUMBER(AE1368),AD1368&lt;&gt;0),1,0)</f>
        <v/>
      </c>
      <c r="AG1368" s="55">
        <f>IF(AF1368=1,EOMONTH(AE1368,0),"")</f>
        <v/>
      </c>
      <c r="AH1368" s="9">
        <f>IF(AF1368=1,UPPER(TRIM(IFERROR(INDEX($A1368:$AB1368,MATCH("Client",$A$1:$AB$1,0)),"")&amp;"")),"")</f>
        <v/>
      </c>
      <c r="AI1368" s="9">
        <f>IF(AF1368=1,IFERROR(INDEX($A1368:$AB1368,MATCH("Cost Centre",$A$1:$AB$1,0)),"")&amp;"","")</f>
        <v/>
      </c>
      <c r="AJ1368" s="54">
        <f>IF(AND(AF1368=1,AE1368&gt;=set_FYStart,AE1368&lt;=set_AsAt),1,0)</f>
        <v/>
      </c>
      <c r="AK1368" s="54">
        <f>IF(AND(AJ1368=1,AH1368&lt;&gt;"",COUNTIFS($AH$2:AH1368,AH1368,$AJ$2:AJ1368,1)=1),N(AL1367)+1,"")</f>
        <v/>
      </c>
      <c r="AL1368" s="54">
        <f>IF(AK1368&lt;&gt;"",AK1368,N(AL1367))</f>
        <v/>
      </c>
    </row>
    <row r="1369">
      <c r="A1369" t="inlineStr">
        <is>
          <t>CON-0456</t>
        </is>
      </c>
      <c r="B1369" t="inlineStr">
        <is>
          <t>Consulting</t>
        </is>
      </c>
      <c r="AB1369" t="n">
        <v>456</v>
      </c>
      <c r="AD1369" s="52">
        <f>IFERROR(N(IFERROR(INDEX($A1369:$AB1369,MATCH("Xero Invoiced Ex GST",$A$1:$AB$1,0)),"")),0)</f>
        <v/>
      </c>
      <c r="AE1369" s="53">
        <f>IFERROR(INDEX($A1369:$AB1369,MATCH("Xero Invoice Date",$A$1:$AB$1,0)),"")</f>
        <v/>
      </c>
      <c r="AF1369" s="54">
        <f>IF(AND(IFERROR(INDEX($A1369:$AB1369,MATCH("Xero Invoice No",$A$1:$AB$1,0)),"")&amp;""&lt;&gt;"",ISNUMBER(AE1369),AD1369&lt;&gt;0),1,0)</f>
        <v/>
      </c>
      <c r="AG1369" s="55">
        <f>IF(AF1369=1,EOMONTH(AE1369,0),"")</f>
        <v/>
      </c>
      <c r="AH1369" s="9">
        <f>IF(AF1369=1,UPPER(TRIM(IFERROR(INDEX($A1369:$AB1369,MATCH("Client",$A$1:$AB$1,0)),"")&amp;"")),"")</f>
        <v/>
      </c>
      <c r="AI1369" s="9">
        <f>IF(AF1369=1,IFERROR(INDEX($A1369:$AB1369,MATCH("Cost Centre",$A$1:$AB$1,0)),"")&amp;"","")</f>
        <v/>
      </c>
      <c r="AJ1369" s="54">
        <f>IF(AND(AF1369=1,AE1369&gt;=set_FYStart,AE1369&lt;=set_AsAt),1,0)</f>
        <v/>
      </c>
      <c r="AK1369" s="54">
        <f>IF(AND(AJ1369=1,AH1369&lt;&gt;"",COUNTIFS($AH$2:AH1369,AH1369,$AJ$2:AJ1369,1)=1),N(AL1368)+1,"")</f>
        <v/>
      </c>
      <c r="AL1369" s="54">
        <f>IF(AK1369&lt;&gt;"",AK1369,N(AL1368))</f>
        <v/>
      </c>
    </row>
    <row r="1370">
      <c r="A1370" t="inlineStr">
        <is>
          <t>ONS-0457</t>
        </is>
      </c>
      <c r="B1370" t="inlineStr">
        <is>
          <t>Onsite</t>
        </is>
      </c>
      <c r="AB1370" t="n">
        <v>457</v>
      </c>
      <c r="AD1370" s="52">
        <f>IFERROR(N(IFERROR(INDEX($A1370:$AB1370,MATCH("Xero Invoiced Ex GST",$A$1:$AB$1,0)),"")),0)</f>
        <v/>
      </c>
      <c r="AE1370" s="53">
        <f>IFERROR(INDEX($A1370:$AB1370,MATCH("Xero Invoice Date",$A$1:$AB$1,0)),"")</f>
        <v/>
      </c>
      <c r="AF1370" s="54">
        <f>IF(AND(IFERROR(INDEX($A1370:$AB1370,MATCH("Xero Invoice No",$A$1:$AB$1,0)),"")&amp;""&lt;&gt;"",ISNUMBER(AE1370),AD1370&lt;&gt;0),1,0)</f>
        <v/>
      </c>
      <c r="AG1370" s="55">
        <f>IF(AF1370=1,EOMONTH(AE1370,0),"")</f>
        <v/>
      </c>
      <c r="AH1370" s="9">
        <f>IF(AF1370=1,UPPER(TRIM(IFERROR(INDEX($A1370:$AB1370,MATCH("Client",$A$1:$AB$1,0)),"")&amp;"")),"")</f>
        <v/>
      </c>
      <c r="AI1370" s="9">
        <f>IF(AF1370=1,IFERROR(INDEX($A1370:$AB1370,MATCH("Cost Centre",$A$1:$AB$1,0)),"")&amp;"","")</f>
        <v/>
      </c>
      <c r="AJ1370" s="54">
        <f>IF(AND(AF1370=1,AE1370&gt;=set_FYStart,AE1370&lt;=set_AsAt),1,0)</f>
        <v/>
      </c>
      <c r="AK1370" s="54">
        <f>IF(AND(AJ1370=1,AH1370&lt;&gt;"",COUNTIFS($AH$2:AH1370,AH1370,$AJ$2:AJ1370,1)=1),N(AL1369)+1,"")</f>
        <v/>
      </c>
      <c r="AL1370" s="54">
        <f>IF(AK1370&lt;&gt;"",AK1370,N(AL1369))</f>
        <v/>
      </c>
    </row>
    <row r="1371">
      <c r="A1371" t="inlineStr">
        <is>
          <t>PRD-0457</t>
        </is>
      </c>
      <c r="B1371" t="inlineStr">
        <is>
          <t>Production</t>
        </is>
      </c>
      <c r="AB1371" t="n">
        <v>457</v>
      </c>
      <c r="AD1371" s="52">
        <f>IFERROR(N(IFERROR(INDEX($A1371:$AB1371,MATCH("Xero Invoiced Ex GST",$A$1:$AB$1,0)),"")),0)</f>
        <v/>
      </c>
      <c r="AE1371" s="53">
        <f>IFERROR(INDEX($A1371:$AB1371,MATCH("Xero Invoice Date",$A$1:$AB$1,0)),"")</f>
        <v/>
      </c>
      <c r="AF1371" s="54">
        <f>IF(AND(IFERROR(INDEX($A1371:$AB1371,MATCH("Xero Invoice No",$A$1:$AB$1,0)),"")&amp;""&lt;&gt;"",ISNUMBER(AE1371),AD1371&lt;&gt;0),1,0)</f>
        <v/>
      </c>
      <c r="AG1371" s="55">
        <f>IF(AF1371=1,EOMONTH(AE1371,0),"")</f>
        <v/>
      </c>
      <c r="AH1371" s="9">
        <f>IF(AF1371=1,UPPER(TRIM(IFERROR(INDEX($A1371:$AB1371,MATCH("Client",$A$1:$AB$1,0)),"")&amp;"")),"")</f>
        <v/>
      </c>
      <c r="AI1371" s="9">
        <f>IF(AF1371=1,IFERROR(INDEX($A1371:$AB1371,MATCH("Cost Centre",$A$1:$AB$1,0)),"")&amp;"","")</f>
        <v/>
      </c>
      <c r="AJ1371" s="54">
        <f>IF(AND(AF1371=1,AE1371&gt;=set_FYStart,AE1371&lt;=set_AsAt),1,0)</f>
        <v/>
      </c>
      <c r="AK1371" s="54">
        <f>IF(AND(AJ1371=1,AH1371&lt;&gt;"",COUNTIFS($AH$2:AH1371,AH1371,$AJ$2:AJ1371,1)=1),N(AL1370)+1,"")</f>
        <v/>
      </c>
      <c r="AL1371" s="54">
        <f>IF(AK1371&lt;&gt;"",AK1371,N(AL1370))</f>
        <v/>
      </c>
    </row>
    <row r="1372">
      <c r="A1372" t="inlineStr">
        <is>
          <t>CON-0457</t>
        </is>
      </c>
      <c r="B1372" t="inlineStr">
        <is>
          <t>Consulting</t>
        </is>
      </c>
      <c r="AB1372" t="n">
        <v>457</v>
      </c>
      <c r="AD1372" s="52">
        <f>IFERROR(N(IFERROR(INDEX($A1372:$AB1372,MATCH("Xero Invoiced Ex GST",$A$1:$AB$1,0)),"")),0)</f>
        <v/>
      </c>
      <c r="AE1372" s="53">
        <f>IFERROR(INDEX($A1372:$AB1372,MATCH("Xero Invoice Date",$A$1:$AB$1,0)),"")</f>
        <v/>
      </c>
      <c r="AF1372" s="54">
        <f>IF(AND(IFERROR(INDEX($A1372:$AB1372,MATCH("Xero Invoice No",$A$1:$AB$1,0)),"")&amp;""&lt;&gt;"",ISNUMBER(AE1372),AD1372&lt;&gt;0),1,0)</f>
        <v/>
      </c>
      <c r="AG1372" s="55">
        <f>IF(AF1372=1,EOMONTH(AE1372,0),"")</f>
        <v/>
      </c>
      <c r="AH1372" s="9">
        <f>IF(AF1372=1,UPPER(TRIM(IFERROR(INDEX($A1372:$AB1372,MATCH("Client",$A$1:$AB$1,0)),"")&amp;"")),"")</f>
        <v/>
      </c>
      <c r="AI1372" s="9">
        <f>IF(AF1372=1,IFERROR(INDEX($A1372:$AB1372,MATCH("Cost Centre",$A$1:$AB$1,0)),"")&amp;"","")</f>
        <v/>
      </c>
      <c r="AJ1372" s="54">
        <f>IF(AND(AF1372=1,AE1372&gt;=set_FYStart,AE1372&lt;=set_AsAt),1,0)</f>
        <v/>
      </c>
      <c r="AK1372" s="54">
        <f>IF(AND(AJ1372=1,AH1372&lt;&gt;"",COUNTIFS($AH$2:AH1372,AH1372,$AJ$2:AJ1372,1)=1),N(AL1371)+1,"")</f>
        <v/>
      </c>
      <c r="AL1372" s="54">
        <f>IF(AK1372&lt;&gt;"",AK1372,N(AL1371))</f>
        <v/>
      </c>
    </row>
    <row r="1373">
      <c r="A1373" t="inlineStr">
        <is>
          <t>ONS-0458</t>
        </is>
      </c>
      <c r="B1373" t="inlineStr">
        <is>
          <t>Onsite</t>
        </is>
      </c>
      <c r="AB1373" t="n">
        <v>458</v>
      </c>
      <c r="AD1373" s="52">
        <f>IFERROR(N(IFERROR(INDEX($A1373:$AB1373,MATCH("Xero Invoiced Ex GST",$A$1:$AB$1,0)),"")),0)</f>
        <v/>
      </c>
      <c r="AE1373" s="53">
        <f>IFERROR(INDEX($A1373:$AB1373,MATCH("Xero Invoice Date",$A$1:$AB$1,0)),"")</f>
        <v/>
      </c>
      <c r="AF1373" s="54">
        <f>IF(AND(IFERROR(INDEX($A1373:$AB1373,MATCH("Xero Invoice No",$A$1:$AB$1,0)),"")&amp;""&lt;&gt;"",ISNUMBER(AE1373),AD1373&lt;&gt;0),1,0)</f>
        <v/>
      </c>
      <c r="AG1373" s="55">
        <f>IF(AF1373=1,EOMONTH(AE1373,0),"")</f>
        <v/>
      </c>
      <c r="AH1373" s="9">
        <f>IF(AF1373=1,UPPER(TRIM(IFERROR(INDEX($A1373:$AB1373,MATCH("Client",$A$1:$AB$1,0)),"")&amp;"")),"")</f>
        <v/>
      </c>
      <c r="AI1373" s="9">
        <f>IF(AF1373=1,IFERROR(INDEX($A1373:$AB1373,MATCH("Cost Centre",$A$1:$AB$1,0)),"")&amp;"","")</f>
        <v/>
      </c>
      <c r="AJ1373" s="54">
        <f>IF(AND(AF1373=1,AE1373&gt;=set_FYStart,AE1373&lt;=set_AsAt),1,0)</f>
        <v/>
      </c>
      <c r="AK1373" s="54">
        <f>IF(AND(AJ1373=1,AH1373&lt;&gt;"",COUNTIFS($AH$2:AH1373,AH1373,$AJ$2:AJ1373,1)=1),N(AL1372)+1,"")</f>
        <v/>
      </c>
      <c r="AL1373" s="54">
        <f>IF(AK1373&lt;&gt;"",AK1373,N(AL1372))</f>
        <v/>
      </c>
    </row>
    <row r="1374">
      <c r="A1374" t="inlineStr">
        <is>
          <t>PRD-0458</t>
        </is>
      </c>
      <c r="B1374" t="inlineStr">
        <is>
          <t>Production</t>
        </is>
      </c>
      <c r="AB1374" t="n">
        <v>458</v>
      </c>
      <c r="AD1374" s="52">
        <f>IFERROR(N(IFERROR(INDEX($A1374:$AB1374,MATCH("Xero Invoiced Ex GST",$A$1:$AB$1,0)),"")),0)</f>
        <v/>
      </c>
      <c r="AE1374" s="53">
        <f>IFERROR(INDEX($A1374:$AB1374,MATCH("Xero Invoice Date",$A$1:$AB$1,0)),"")</f>
        <v/>
      </c>
      <c r="AF1374" s="54">
        <f>IF(AND(IFERROR(INDEX($A1374:$AB1374,MATCH("Xero Invoice No",$A$1:$AB$1,0)),"")&amp;""&lt;&gt;"",ISNUMBER(AE1374),AD1374&lt;&gt;0),1,0)</f>
        <v/>
      </c>
      <c r="AG1374" s="55">
        <f>IF(AF1374=1,EOMONTH(AE1374,0),"")</f>
        <v/>
      </c>
      <c r="AH1374" s="9">
        <f>IF(AF1374=1,UPPER(TRIM(IFERROR(INDEX($A1374:$AB1374,MATCH("Client",$A$1:$AB$1,0)),"")&amp;"")),"")</f>
        <v/>
      </c>
      <c r="AI1374" s="9">
        <f>IF(AF1374=1,IFERROR(INDEX($A1374:$AB1374,MATCH("Cost Centre",$A$1:$AB$1,0)),"")&amp;"","")</f>
        <v/>
      </c>
      <c r="AJ1374" s="54">
        <f>IF(AND(AF1374=1,AE1374&gt;=set_FYStart,AE1374&lt;=set_AsAt),1,0)</f>
        <v/>
      </c>
      <c r="AK1374" s="54">
        <f>IF(AND(AJ1374=1,AH1374&lt;&gt;"",COUNTIFS($AH$2:AH1374,AH1374,$AJ$2:AJ1374,1)=1),N(AL1373)+1,"")</f>
        <v/>
      </c>
      <c r="AL1374" s="54">
        <f>IF(AK1374&lt;&gt;"",AK1374,N(AL1373))</f>
        <v/>
      </c>
    </row>
    <row r="1375">
      <c r="A1375" t="inlineStr">
        <is>
          <t>CON-0458</t>
        </is>
      </c>
      <c r="B1375" t="inlineStr">
        <is>
          <t>Consulting</t>
        </is>
      </c>
      <c r="AB1375" t="n">
        <v>458</v>
      </c>
      <c r="AD1375" s="52">
        <f>IFERROR(N(IFERROR(INDEX($A1375:$AB1375,MATCH("Xero Invoiced Ex GST",$A$1:$AB$1,0)),"")),0)</f>
        <v/>
      </c>
      <c r="AE1375" s="53">
        <f>IFERROR(INDEX($A1375:$AB1375,MATCH("Xero Invoice Date",$A$1:$AB$1,0)),"")</f>
        <v/>
      </c>
      <c r="AF1375" s="54">
        <f>IF(AND(IFERROR(INDEX($A1375:$AB1375,MATCH("Xero Invoice No",$A$1:$AB$1,0)),"")&amp;""&lt;&gt;"",ISNUMBER(AE1375),AD1375&lt;&gt;0),1,0)</f>
        <v/>
      </c>
      <c r="AG1375" s="55">
        <f>IF(AF1375=1,EOMONTH(AE1375,0),"")</f>
        <v/>
      </c>
      <c r="AH1375" s="9">
        <f>IF(AF1375=1,UPPER(TRIM(IFERROR(INDEX($A1375:$AB1375,MATCH("Client",$A$1:$AB$1,0)),"")&amp;"")),"")</f>
        <v/>
      </c>
      <c r="AI1375" s="9">
        <f>IF(AF1375=1,IFERROR(INDEX($A1375:$AB1375,MATCH("Cost Centre",$A$1:$AB$1,0)),"")&amp;"","")</f>
        <v/>
      </c>
      <c r="AJ1375" s="54">
        <f>IF(AND(AF1375=1,AE1375&gt;=set_FYStart,AE1375&lt;=set_AsAt),1,0)</f>
        <v/>
      </c>
      <c r="AK1375" s="54">
        <f>IF(AND(AJ1375=1,AH1375&lt;&gt;"",COUNTIFS($AH$2:AH1375,AH1375,$AJ$2:AJ1375,1)=1),N(AL1374)+1,"")</f>
        <v/>
      </c>
      <c r="AL1375" s="54">
        <f>IF(AK1375&lt;&gt;"",AK1375,N(AL1374))</f>
        <v/>
      </c>
    </row>
    <row r="1376">
      <c r="A1376" t="inlineStr">
        <is>
          <t>ONS-0459</t>
        </is>
      </c>
      <c r="B1376" t="inlineStr">
        <is>
          <t>Onsite</t>
        </is>
      </c>
      <c r="AB1376" t="n">
        <v>459</v>
      </c>
      <c r="AD1376" s="52">
        <f>IFERROR(N(IFERROR(INDEX($A1376:$AB1376,MATCH("Xero Invoiced Ex GST",$A$1:$AB$1,0)),"")),0)</f>
        <v/>
      </c>
      <c r="AE1376" s="53">
        <f>IFERROR(INDEX($A1376:$AB1376,MATCH("Xero Invoice Date",$A$1:$AB$1,0)),"")</f>
        <v/>
      </c>
      <c r="AF1376" s="54">
        <f>IF(AND(IFERROR(INDEX($A1376:$AB1376,MATCH("Xero Invoice No",$A$1:$AB$1,0)),"")&amp;""&lt;&gt;"",ISNUMBER(AE1376),AD1376&lt;&gt;0),1,0)</f>
        <v/>
      </c>
      <c r="AG1376" s="55">
        <f>IF(AF1376=1,EOMONTH(AE1376,0),"")</f>
        <v/>
      </c>
      <c r="AH1376" s="9">
        <f>IF(AF1376=1,UPPER(TRIM(IFERROR(INDEX($A1376:$AB1376,MATCH("Client",$A$1:$AB$1,0)),"")&amp;"")),"")</f>
        <v/>
      </c>
      <c r="AI1376" s="9">
        <f>IF(AF1376=1,IFERROR(INDEX($A1376:$AB1376,MATCH("Cost Centre",$A$1:$AB$1,0)),"")&amp;"","")</f>
        <v/>
      </c>
      <c r="AJ1376" s="54">
        <f>IF(AND(AF1376=1,AE1376&gt;=set_FYStart,AE1376&lt;=set_AsAt),1,0)</f>
        <v/>
      </c>
      <c r="AK1376" s="54">
        <f>IF(AND(AJ1376=1,AH1376&lt;&gt;"",COUNTIFS($AH$2:AH1376,AH1376,$AJ$2:AJ1376,1)=1),N(AL1375)+1,"")</f>
        <v/>
      </c>
      <c r="AL1376" s="54">
        <f>IF(AK1376&lt;&gt;"",AK1376,N(AL1375))</f>
        <v/>
      </c>
    </row>
    <row r="1377">
      <c r="A1377" t="inlineStr">
        <is>
          <t>PRD-0459</t>
        </is>
      </c>
      <c r="B1377" t="inlineStr">
        <is>
          <t>Production</t>
        </is>
      </c>
      <c r="AB1377" t="n">
        <v>459</v>
      </c>
      <c r="AD1377" s="52">
        <f>IFERROR(N(IFERROR(INDEX($A1377:$AB1377,MATCH("Xero Invoiced Ex GST",$A$1:$AB$1,0)),"")),0)</f>
        <v/>
      </c>
      <c r="AE1377" s="53">
        <f>IFERROR(INDEX($A1377:$AB1377,MATCH("Xero Invoice Date",$A$1:$AB$1,0)),"")</f>
        <v/>
      </c>
      <c r="AF1377" s="54">
        <f>IF(AND(IFERROR(INDEX($A1377:$AB1377,MATCH("Xero Invoice No",$A$1:$AB$1,0)),"")&amp;""&lt;&gt;"",ISNUMBER(AE1377),AD1377&lt;&gt;0),1,0)</f>
        <v/>
      </c>
      <c r="AG1377" s="55">
        <f>IF(AF1377=1,EOMONTH(AE1377,0),"")</f>
        <v/>
      </c>
      <c r="AH1377" s="9">
        <f>IF(AF1377=1,UPPER(TRIM(IFERROR(INDEX($A1377:$AB1377,MATCH("Client",$A$1:$AB$1,0)),"")&amp;"")),"")</f>
        <v/>
      </c>
      <c r="AI1377" s="9">
        <f>IF(AF1377=1,IFERROR(INDEX($A1377:$AB1377,MATCH("Cost Centre",$A$1:$AB$1,0)),"")&amp;"","")</f>
        <v/>
      </c>
      <c r="AJ1377" s="54">
        <f>IF(AND(AF1377=1,AE1377&gt;=set_FYStart,AE1377&lt;=set_AsAt),1,0)</f>
        <v/>
      </c>
      <c r="AK1377" s="54">
        <f>IF(AND(AJ1377=1,AH1377&lt;&gt;"",COUNTIFS($AH$2:AH1377,AH1377,$AJ$2:AJ1377,1)=1),N(AL1376)+1,"")</f>
        <v/>
      </c>
      <c r="AL1377" s="54">
        <f>IF(AK1377&lt;&gt;"",AK1377,N(AL1376))</f>
        <v/>
      </c>
    </row>
    <row r="1378">
      <c r="A1378" t="inlineStr">
        <is>
          <t>CON-0459</t>
        </is>
      </c>
      <c r="B1378" t="inlineStr">
        <is>
          <t>Consulting</t>
        </is>
      </c>
      <c r="AB1378" t="n">
        <v>459</v>
      </c>
      <c r="AD1378" s="52">
        <f>IFERROR(N(IFERROR(INDEX($A1378:$AB1378,MATCH("Xero Invoiced Ex GST",$A$1:$AB$1,0)),"")),0)</f>
        <v/>
      </c>
      <c r="AE1378" s="53">
        <f>IFERROR(INDEX($A1378:$AB1378,MATCH("Xero Invoice Date",$A$1:$AB$1,0)),"")</f>
        <v/>
      </c>
      <c r="AF1378" s="54">
        <f>IF(AND(IFERROR(INDEX($A1378:$AB1378,MATCH("Xero Invoice No",$A$1:$AB$1,0)),"")&amp;""&lt;&gt;"",ISNUMBER(AE1378),AD1378&lt;&gt;0),1,0)</f>
        <v/>
      </c>
      <c r="AG1378" s="55">
        <f>IF(AF1378=1,EOMONTH(AE1378,0),"")</f>
        <v/>
      </c>
      <c r="AH1378" s="9">
        <f>IF(AF1378=1,UPPER(TRIM(IFERROR(INDEX($A1378:$AB1378,MATCH("Client",$A$1:$AB$1,0)),"")&amp;"")),"")</f>
        <v/>
      </c>
      <c r="AI1378" s="9">
        <f>IF(AF1378=1,IFERROR(INDEX($A1378:$AB1378,MATCH("Cost Centre",$A$1:$AB$1,0)),"")&amp;"","")</f>
        <v/>
      </c>
      <c r="AJ1378" s="54">
        <f>IF(AND(AF1378=1,AE1378&gt;=set_FYStart,AE1378&lt;=set_AsAt),1,0)</f>
        <v/>
      </c>
      <c r="AK1378" s="54">
        <f>IF(AND(AJ1378=1,AH1378&lt;&gt;"",COUNTIFS($AH$2:AH1378,AH1378,$AJ$2:AJ1378,1)=1),N(AL1377)+1,"")</f>
        <v/>
      </c>
      <c r="AL1378" s="54">
        <f>IF(AK1378&lt;&gt;"",AK1378,N(AL1377))</f>
        <v/>
      </c>
    </row>
    <row r="1379">
      <c r="A1379" t="inlineStr">
        <is>
          <t>ONS-0460</t>
        </is>
      </c>
      <c r="B1379" t="inlineStr">
        <is>
          <t>Onsite</t>
        </is>
      </c>
      <c r="AB1379" t="n">
        <v>460</v>
      </c>
      <c r="AD1379" s="52">
        <f>IFERROR(N(IFERROR(INDEX($A1379:$AB1379,MATCH("Xero Invoiced Ex GST",$A$1:$AB$1,0)),"")),0)</f>
        <v/>
      </c>
      <c r="AE1379" s="53">
        <f>IFERROR(INDEX($A1379:$AB1379,MATCH("Xero Invoice Date",$A$1:$AB$1,0)),"")</f>
        <v/>
      </c>
      <c r="AF1379" s="54">
        <f>IF(AND(IFERROR(INDEX($A1379:$AB1379,MATCH("Xero Invoice No",$A$1:$AB$1,0)),"")&amp;""&lt;&gt;"",ISNUMBER(AE1379),AD1379&lt;&gt;0),1,0)</f>
        <v/>
      </c>
      <c r="AG1379" s="55">
        <f>IF(AF1379=1,EOMONTH(AE1379,0),"")</f>
        <v/>
      </c>
      <c r="AH1379" s="9">
        <f>IF(AF1379=1,UPPER(TRIM(IFERROR(INDEX($A1379:$AB1379,MATCH("Client",$A$1:$AB$1,0)),"")&amp;"")),"")</f>
        <v/>
      </c>
      <c r="AI1379" s="9">
        <f>IF(AF1379=1,IFERROR(INDEX($A1379:$AB1379,MATCH("Cost Centre",$A$1:$AB$1,0)),"")&amp;"","")</f>
        <v/>
      </c>
      <c r="AJ1379" s="54">
        <f>IF(AND(AF1379=1,AE1379&gt;=set_FYStart,AE1379&lt;=set_AsAt),1,0)</f>
        <v/>
      </c>
      <c r="AK1379" s="54">
        <f>IF(AND(AJ1379=1,AH1379&lt;&gt;"",COUNTIFS($AH$2:AH1379,AH1379,$AJ$2:AJ1379,1)=1),N(AL1378)+1,"")</f>
        <v/>
      </c>
      <c r="AL1379" s="54">
        <f>IF(AK1379&lt;&gt;"",AK1379,N(AL1378))</f>
        <v/>
      </c>
    </row>
    <row r="1380">
      <c r="A1380" t="inlineStr">
        <is>
          <t>PRD-0460</t>
        </is>
      </c>
      <c r="B1380" t="inlineStr">
        <is>
          <t>Production</t>
        </is>
      </c>
      <c r="AB1380" t="n">
        <v>460</v>
      </c>
      <c r="AD1380" s="52">
        <f>IFERROR(N(IFERROR(INDEX($A1380:$AB1380,MATCH("Xero Invoiced Ex GST",$A$1:$AB$1,0)),"")),0)</f>
        <v/>
      </c>
      <c r="AE1380" s="53">
        <f>IFERROR(INDEX($A1380:$AB1380,MATCH("Xero Invoice Date",$A$1:$AB$1,0)),"")</f>
        <v/>
      </c>
      <c r="AF1380" s="54">
        <f>IF(AND(IFERROR(INDEX($A1380:$AB1380,MATCH("Xero Invoice No",$A$1:$AB$1,0)),"")&amp;""&lt;&gt;"",ISNUMBER(AE1380),AD1380&lt;&gt;0),1,0)</f>
        <v/>
      </c>
      <c r="AG1380" s="55">
        <f>IF(AF1380=1,EOMONTH(AE1380,0),"")</f>
        <v/>
      </c>
      <c r="AH1380" s="9">
        <f>IF(AF1380=1,UPPER(TRIM(IFERROR(INDEX($A1380:$AB1380,MATCH("Client",$A$1:$AB$1,0)),"")&amp;"")),"")</f>
        <v/>
      </c>
      <c r="AI1380" s="9">
        <f>IF(AF1380=1,IFERROR(INDEX($A1380:$AB1380,MATCH("Cost Centre",$A$1:$AB$1,0)),"")&amp;"","")</f>
        <v/>
      </c>
      <c r="AJ1380" s="54">
        <f>IF(AND(AF1380=1,AE1380&gt;=set_FYStart,AE1380&lt;=set_AsAt),1,0)</f>
        <v/>
      </c>
      <c r="AK1380" s="54">
        <f>IF(AND(AJ1380=1,AH1380&lt;&gt;"",COUNTIFS($AH$2:AH1380,AH1380,$AJ$2:AJ1380,1)=1),N(AL1379)+1,"")</f>
        <v/>
      </c>
      <c r="AL1380" s="54">
        <f>IF(AK1380&lt;&gt;"",AK1380,N(AL1379))</f>
        <v/>
      </c>
    </row>
    <row r="1381">
      <c r="A1381" t="inlineStr">
        <is>
          <t>CON-0460</t>
        </is>
      </c>
      <c r="B1381" t="inlineStr">
        <is>
          <t>Consulting</t>
        </is>
      </c>
      <c r="AB1381" t="n">
        <v>460</v>
      </c>
      <c r="AD1381" s="52">
        <f>IFERROR(N(IFERROR(INDEX($A1381:$AB1381,MATCH("Xero Invoiced Ex GST",$A$1:$AB$1,0)),"")),0)</f>
        <v/>
      </c>
      <c r="AE1381" s="53">
        <f>IFERROR(INDEX($A1381:$AB1381,MATCH("Xero Invoice Date",$A$1:$AB$1,0)),"")</f>
        <v/>
      </c>
      <c r="AF1381" s="54">
        <f>IF(AND(IFERROR(INDEX($A1381:$AB1381,MATCH("Xero Invoice No",$A$1:$AB$1,0)),"")&amp;""&lt;&gt;"",ISNUMBER(AE1381),AD1381&lt;&gt;0),1,0)</f>
        <v/>
      </c>
      <c r="AG1381" s="55">
        <f>IF(AF1381=1,EOMONTH(AE1381,0),"")</f>
        <v/>
      </c>
      <c r="AH1381" s="9">
        <f>IF(AF1381=1,UPPER(TRIM(IFERROR(INDEX($A1381:$AB1381,MATCH("Client",$A$1:$AB$1,0)),"")&amp;"")),"")</f>
        <v/>
      </c>
      <c r="AI1381" s="9">
        <f>IF(AF1381=1,IFERROR(INDEX($A1381:$AB1381,MATCH("Cost Centre",$A$1:$AB$1,0)),"")&amp;"","")</f>
        <v/>
      </c>
      <c r="AJ1381" s="54">
        <f>IF(AND(AF1381=1,AE1381&gt;=set_FYStart,AE1381&lt;=set_AsAt),1,0)</f>
        <v/>
      </c>
      <c r="AK1381" s="54">
        <f>IF(AND(AJ1381=1,AH1381&lt;&gt;"",COUNTIFS($AH$2:AH1381,AH1381,$AJ$2:AJ1381,1)=1),N(AL1380)+1,"")</f>
        <v/>
      </c>
      <c r="AL1381" s="54">
        <f>IF(AK1381&lt;&gt;"",AK1381,N(AL1380))</f>
        <v/>
      </c>
    </row>
    <row r="1382">
      <c r="A1382" t="inlineStr">
        <is>
          <t>ONS-0461</t>
        </is>
      </c>
      <c r="B1382" t="inlineStr">
        <is>
          <t>Onsite</t>
        </is>
      </c>
      <c r="AB1382" t="n">
        <v>461</v>
      </c>
      <c r="AD1382" s="52">
        <f>IFERROR(N(IFERROR(INDEX($A1382:$AB1382,MATCH("Xero Invoiced Ex GST",$A$1:$AB$1,0)),"")),0)</f>
        <v/>
      </c>
      <c r="AE1382" s="53">
        <f>IFERROR(INDEX($A1382:$AB1382,MATCH("Xero Invoice Date",$A$1:$AB$1,0)),"")</f>
        <v/>
      </c>
      <c r="AF1382" s="54">
        <f>IF(AND(IFERROR(INDEX($A1382:$AB1382,MATCH("Xero Invoice No",$A$1:$AB$1,0)),"")&amp;""&lt;&gt;"",ISNUMBER(AE1382),AD1382&lt;&gt;0),1,0)</f>
        <v/>
      </c>
      <c r="AG1382" s="55">
        <f>IF(AF1382=1,EOMONTH(AE1382,0),"")</f>
        <v/>
      </c>
      <c r="AH1382" s="9">
        <f>IF(AF1382=1,UPPER(TRIM(IFERROR(INDEX($A1382:$AB1382,MATCH("Client",$A$1:$AB$1,0)),"")&amp;"")),"")</f>
        <v/>
      </c>
      <c r="AI1382" s="9">
        <f>IF(AF1382=1,IFERROR(INDEX($A1382:$AB1382,MATCH("Cost Centre",$A$1:$AB$1,0)),"")&amp;"","")</f>
        <v/>
      </c>
      <c r="AJ1382" s="54">
        <f>IF(AND(AF1382=1,AE1382&gt;=set_FYStart,AE1382&lt;=set_AsAt),1,0)</f>
        <v/>
      </c>
      <c r="AK1382" s="54">
        <f>IF(AND(AJ1382=1,AH1382&lt;&gt;"",COUNTIFS($AH$2:AH1382,AH1382,$AJ$2:AJ1382,1)=1),N(AL1381)+1,"")</f>
        <v/>
      </c>
      <c r="AL1382" s="54">
        <f>IF(AK1382&lt;&gt;"",AK1382,N(AL1381))</f>
        <v/>
      </c>
    </row>
    <row r="1383">
      <c r="A1383" t="inlineStr">
        <is>
          <t>PRD-0461</t>
        </is>
      </c>
      <c r="B1383" t="inlineStr">
        <is>
          <t>Production</t>
        </is>
      </c>
      <c r="AB1383" t="n">
        <v>461</v>
      </c>
      <c r="AD1383" s="52">
        <f>IFERROR(N(IFERROR(INDEX($A1383:$AB1383,MATCH("Xero Invoiced Ex GST",$A$1:$AB$1,0)),"")),0)</f>
        <v/>
      </c>
      <c r="AE1383" s="53">
        <f>IFERROR(INDEX($A1383:$AB1383,MATCH("Xero Invoice Date",$A$1:$AB$1,0)),"")</f>
        <v/>
      </c>
      <c r="AF1383" s="54">
        <f>IF(AND(IFERROR(INDEX($A1383:$AB1383,MATCH("Xero Invoice No",$A$1:$AB$1,0)),"")&amp;""&lt;&gt;"",ISNUMBER(AE1383),AD1383&lt;&gt;0),1,0)</f>
        <v/>
      </c>
      <c r="AG1383" s="55">
        <f>IF(AF1383=1,EOMONTH(AE1383,0),"")</f>
        <v/>
      </c>
      <c r="AH1383" s="9">
        <f>IF(AF1383=1,UPPER(TRIM(IFERROR(INDEX($A1383:$AB1383,MATCH("Client",$A$1:$AB$1,0)),"")&amp;"")),"")</f>
        <v/>
      </c>
      <c r="AI1383" s="9">
        <f>IF(AF1383=1,IFERROR(INDEX($A1383:$AB1383,MATCH("Cost Centre",$A$1:$AB$1,0)),"")&amp;"","")</f>
        <v/>
      </c>
      <c r="AJ1383" s="54">
        <f>IF(AND(AF1383=1,AE1383&gt;=set_FYStart,AE1383&lt;=set_AsAt),1,0)</f>
        <v/>
      </c>
      <c r="AK1383" s="54">
        <f>IF(AND(AJ1383=1,AH1383&lt;&gt;"",COUNTIFS($AH$2:AH1383,AH1383,$AJ$2:AJ1383,1)=1),N(AL1382)+1,"")</f>
        <v/>
      </c>
      <c r="AL1383" s="54">
        <f>IF(AK1383&lt;&gt;"",AK1383,N(AL1382))</f>
        <v/>
      </c>
    </row>
    <row r="1384">
      <c r="A1384" t="inlineStr">
        <is>
          <t>CON-0461</t>
        </is>
      </c>
      <c r="B1384" t="inlineStr">
        <is>
          <t>Consulting</t>
        </is>
      </c>
      <c r="AB1384" t="n">
        <v>461</v>
      </c>
      <c r="AD1384" s="52">
        <f>IFERROR(N(IFERROR(INDEX($A1384:$AB1384,MATCH("Xero Invoiced Ex GST",$A$1:$AB$1,0)),"")),0)</f>
        <v/>
      </c>
      <c r="AE1384" s="53">
        <f>IFERROR(INDEX($A1384:$AB1384,MATCH("Xero Invoice Date",$A$1:$AB$1,0)),"")</f>
        <v/>
      </c>
      <c r="AF1384" s="54">
        <f>IF(AND(IFERROR(INDEX($A1384:$AB1384,MATCH("Xero Invoice No",$A$1:$AB$1,0)),"")&amp;""&lt;&gt;"",ISNUMBER(AE1384),AD1384&lt;&gt;0),1,0)</f>
        <v/>
      </c>
      <c r="AG1384" s="55">
        <f>IF(AF1384=1,EOMONTH(AE1384,0),"")</f>
        <v/>
      </c>
      <c r="AH1384" s="9">
        <f>IF(AF1384=1,UPPER(TRIM(IFERROR(INDEX($A1384:$AB1384,MATCH("Client",$A$1:$AB$1,0)),"")&amp;"")),"")</f>
        <v/>
      </c>
      <c r="AI1384" s="9">
        <f>IF(AF1384=1,IFERROR(INDEX($A1384:$AB1384,MATCH("Cost Centre",$A$1:$AB$1,0)),"")&amp;"","")</f>
        <v/>
      </c>
      <c r="AJ1384" s="54">
        <f>IF(AND(AF1384=1,AE1384&gt;=set_FYStart,AE1384&lt;=set_AsAt),1,0)</f>
        <v/>
      </c>
      <c r="AK1384" s="54">
        <f>IF(AND(AJ1384=1,AH1384&lt;&gt;"",COUNTIFS($AH$2:AH1384,AH1384,$AJ$2:AJ1384,1)=1),N(AL1383)+1,"")</f>
        <v/>
      </c>
      <c r="AL1384" s="54">
        <f>IF(AK1384&lt;&gt;"",AK1384,N(AL1383))</f>
        <v/>
      </c>
    </row>
    <row r="1385">
      <c r="A1385" t="inlineStr">
        <is>
          <t>ONS-0462</t>
        </is>
      </c>
      <c r="B1385" t="inlineStr">
        <is>
          <t>Onsite</t>
        </is>
      </c>
      <c r="AB1385" t="n">
        <v>462</v>
      </c>
      <c r="AD1385" s="52">
        <f>IFERROR(N(IFERROR(INDEX($A1385:$AB1385,MATCH("Xero Invoiced Ex GST",$A$1:$AB$1,0)),"")),0)</f>
        <v/>
      </c>
      <c r="AE1385" s="53">
        <f>IFERROR(INDEX($A1385:$AB1385,MATCH("Xero Invoice Date",$A$1:$AB$1,0)),"")</f>
        <v/>
      </c>
      <c r="AF1385" s="54">
        <f>IF(AND(IFERROR(INDEX($A1385:$AB1385,MATCH("Xero Invoice No",$A$1:$AB$1,0)),"")&amp;""&lt;&gt;"",ISNUMBER(AE1385),AD1385&lt;&gt;0),1,0)</f>
        <v/>
      </c>
      <c r="AG1385" s="55">
        <f>IF(AF1385=1,EOMONTH(AE1385,0),"")</f>
        <v/>
      </c>
      <c r="AH1385" s="9">
        <f>IF(AF1385=1,UPPER(TRIM(IFERROR(INDEX($A1385:$AB1385,MATCH("Client",$A$1:$AB$1,0)),"")&amp;"")),"")</f>
        <v/>
      </c>
      <c r="AI1385" s="9">
        <f>IF(AF1385=1,IFERROR(INDEX($A1385:$AB1385,MATCH("Cost Centre",$A$1:$AB$1,0)),"")&amp;"","")</f>
        <v/>
      </c>
      <c r="AJ1385" s="54">
        <f>IF(AND(AF1385=1,AE1385&gt;=set_FYStart,AE1385&lt;=set_AsAt),1,0)</f>
        <v/>
      </c>
      <c r="AK1385" s="54">
        <f>IF(AND(AJ1385=1,AH1385&lt;&gt;"",COUNTIFS($AH$2:AH1385,AH1385,$AJ$2:AJ1385,1)=1),N(AL1384)+1,"")</f>
        <v/>
      </c>
      <c r="AL1385" s="54">
        <f>IF(AK1385&lt;&gt;"",AK1385,N(AL1384))</f>
        <v/>
      </c>
    </row>
    <row r="1386">
      <c r="A1386" t="inlineStr">
        <is>
          <t>PRD-0462</t>
        </is>
      </c>
      <c r="B1386" t="inlineStr">
        <is>
          <t>Production</t>
        </is>
      </c>
      <c r="AB1386" t="n">
        <v>462</v>
      </c>
      <c r="AD1386" s="52">
        <f>IFERROR(N(IFERROR(INDEX($A1386:$AB1386,MATCH("Xero Invoiced Ex GST",$A$1:$AB$1,0)),"")),0)</f>
        <v/>
      </c>
      <c r="AE1386" s="53">
        <f>IFERROR(INDEX($A1386:$AB1386,MATCH("Xero Invoice Date",$A$1:$AB$1,0)),"")</f>
        <v/>
      </c>
      <c r="AF1386" s="54">
        <f>IF(AND(IFERROR(INDEX($A1386:$AB1386,MATCH("Xero Invoice No",$A$1:$AB$1,0)),"")&amp;""&lt;&gt;"",ISNUMBER(AE1386),AD1386&lt;&gt;0),1,0)</f>
        <v/>
      </c>
      <c r="AG1386" s="55">
        <f>IF(AF1386=1,EOMONTH(AE1386,0),"")</f>
        <v/>
      </c>
      <c r="AH1386" s="9">
        <f>IF(AF1386=1,UPPER(TRIM(IFERROR(INDEX($A1386:$AB1386,MATCH("Client",$A$1:$AB$1,0)),"")&amp;"")),"")</f>
        <v/>
      </c>
      <c r="AI1386" s="9">
        <f>IF(AF1386=1,IFERROR(INDEX($A1386:$AB1386,MATCH("Cost Centre",$A$1:$AB$1,0)),"")&amp;"","")</f>
        <v/>
      </c>
      <c r="AJ1386" s="54">
        <f>IF(AND(AF1386=1,AE1386&gt;=set_FYStart,AE1386&lt;=set_AsAt),1,0)</f>
        <v/>
      </c>
      <c r="AK1386" s="54">
        <f>IF(AND(AJ1386=1,AH1386&lt;&gt;"",COUNTIFS($AH$2:AH1386,AH1386,$AJ$2:AJ1386,1)=1),N(AL1385)+1,"")</f>
        <v/>
      </c>
      <c r="AL1386" s="54">
        <f>IF(AK1386&lt;&gt;"",AK1386,N(AL1385))</f>
        <v/>
      </c>
    </row>
    <row r="1387">
      <c r="A1387" t="inlineStr">
        <is>
          <t>CON-0462</t>
        </is>
      </c>
      <c r="B1387" t="inlineStr">
        <is>
          <t>Consulting</t>
        </is>
      </c>
      <c r="AB1387" t="n">
        <v>462</v>
      </c>
      <c r="AD1387" s="52">
        <f>IFERROR(N(IFERROR(INDEX($A1387:$AB1387,MATCH("Xero Invoiced Ex GST",$A$1:$AB$1,0)),"")),0)</f>
        <v/>
      </c>
      <c r="AE1387" s="53">
        <f>IFERROR(INDEX($A1387:$AB1387,MATCH("Xero Invoice Date",$A$1:$AB$1,0)),"")</f>
        <v/>
      </c>
      <c r="AF1387" s="54">
        <f>IF(AND(IFERROR(INDEX($A1387:$AB1387,MATCH("Xero Invoice No",$A$1:$AB$1,0)),"")&amp;""&lt;&gt;"",ISNUMBER(AE1387),AD1387&lt;&gt;0),1,0)</f>
        <v/>
      </c>
      <c r="AG1387" s="55">
        <f>IF(AF1387=1,EOMONTH(AE1387,0),"")</f>
        <v/>
      </c>
      <c r="AH1387" s="9">
        <f>IF(AF1387=1,UPPER(TRIM(IFERROR(INDEX($A1387:$AB1387,MATCH("Client",$A$1:$AB$1,0)),"")&amp;"")),"")</f>
        <v/>
      </c>
      <c r="AI1387" s="9">
        <f>IF(AF1387=1,IFERROR(INDEX($A1387:$AB1387,MATCH("Cost Centre",$A$1:$AB$1,0)),"")&amp;"","")</f>
        <v/>
      </c>
      <c r="AJ1387" s="54">
        <f>IF(AND(AF1387=1,AE1387&gt;=set_FYStart,AE1387&lt;=set_AsAt),1,0)</f>
        <v/>
      </c>
      <c r="AK1387" s="54">
        <f>IF(AND(AJ1387=1,AH1387&lt;&gt;"",COUNTIFS($AH$2:AH1387,AH1387,$AJ$2:AJ1387,1)=1),N(AL1386)+1,"")</f>
        <v/>
      </c>
      <c r="AL1387" s="54">
        <f>IF(AK1387&lt;&gt;"",AK1387,N(AL1386))</f>
        <v/>
      </c>
    </row>
    <row r="1388">
      <c r="A1388" t="inlineStr">
        <is>
          <t>ONS-0463</t>
        </is>
      </c>
      <c r="B1388" t="inlineStr">
        <is>
          <t>Onsite</t>
        </is>
      </c>
      <c r="AB1388" t="n">
        <v>463</v>
      </c>
      <c r="AD1388" s="52">
        <f>IFERROR(N(IFERROR(INDEX($A1388:$AB1388,MATCH("Xero Invoiced Ex GST",$A$1:$AB$1,0)),"")),0)</f>
        <v/>
      </c>
      <c r="AE1388" s="53">
        <f>IFERROR(INDEX($A1388:$AB1388,MATCH("Xero Invoice Date",$A$1:$AB$1,0)),"")</f>
        <v/>
      </c>
      <c r="AF1388" s="54">
        <f>IF(AND(IFERROR(INDEX($A1388:$AB1388,MATCH("Xero Invoice No",$A$1:$AB$1,0)),"")&amp;""&lt;&gt;"",ISNUMBER(AE1388),AD1388&lt;&gt;0),1,0)</f>
        <v/>
      </c>
      <c r="AG1388" s="55">
        <f>IF(AF1388=1,EOMONTH(AE1388,0),"")</f>
        <v/>
      </c>
      <c r="AH1388" s="9">
        <f>IF(AF1388=1,UPPER(TRIM(IFERROR(INDEX($A1388:$AB1388,MATCH("Client",$A$1:$AB$1,0)),"")&amp;"")),"")</f>
        <v/>
      </c>
      <c r="AI1388" s="9">
        <f>IF(AF1388=1,IFERROR(INDEX($A1388:$AB1388,MATCH("Cost Centre",$A$1:$AB$1,0)),"")&amp;"","")</f>
        <v/>
      </c>
      <c r="AJ1388" s="54">
        <f>IF(AND(AF1388=1,AE1388&gt;=set_FYStart,AE1388&lt;=set_AsAt),1,0)</f>
        <v/>
      </c>
      <c r="AK1388" s="54">
        <f>IF(AND(AJ1388=1,AH1388&lt;&gt;"",COUNTIFS($AH$2:AH1388,AH1388,$AJ$2:AJ1388,1)=1),N(AL1387)+1,"")</f>
        <v/>
      </c>
      <c r="AL1388" s="54">
        <f>IF(AK1388&lt;&gt;"",AK1388,N(AL1387))</f>
        <v/>
      </c>
    </row>
    <row r="1389">
      <c r="A1389" t="inlineStr">
        <is>
          <t>PRD-0463</t>
        </is>
      </c>
      <c r="B1389" t="inlineStr">
        <is>
          <t>Production</t>
        </is>
      </c>
      <c r="AB1389" t="n">
        <v>463</v>
      </c>
      <c r="AD1389" s="52">
        <f>IFERROR(N(IFERROR(INDEX($A1389:$AB1389,MATCH("Xero Invoiced Ex GST",$A$1:$AB$1,0)),"")),0)</f>
        <v/>
      </c>
      <c r="AE1389" s="53">
        <f>IFERROR(INDEX($A1389:$AB1389,MATCH("Xero Invoice Date",$A$1:$AB$1,0)),"")</f>
        <v/>
      </c>
      <c r="AF1389" s="54">
        <f>IF(AND(IFERROR(INDEX($A1389:$AB1389,MATCH("Xero Invoice No",$A$1:$AB$1,0)),"")&amp;""&lt;&gt;"",ISNUMBER(AE1389),AD1389&lt;&gt;0),1,0)</f>
        <v/>
      </c>
      <c r="AG1389" s="55">
        <f>IF(AF1389=1,EOMONTH(AE1389,0),"")</f>
        <v/>
      </c>
      <c r="AH1389" s="9">
        <f>IF(AF1389=1,UPPER(TRIM(IFERROR(INDEX($A1389:$AB1389,MATCH("Client",$A$1:$AB$1,0)),"")&amp;"")),"")</f>
        <v/>
      </c>
      <c r="AI1389" s="9">
        <f>IF(AF1389=1,IFERROR(INDEX($A1389:$AB1389,MATCH("Cost Centre",$A$1:$AB$1,0)),"")&amp;"","")</f>
        <v/>
      </c>
      <c r="AJ1389" s="54">
        <f>IF(AND(AF1389=1,AE1389&gt;=set_FYStart,AE1389&lt;=set_AsAt),1,0)</f>
        <v/>
      </c>
      <c r="AK1389" s="54">
        <f>IF(AND(AJ1389=1,AH1389&lt;&gt;"",COUNTIFS($AH$2:AH1389,AH1389,$AJ$2:AJ1389,1)=1),N(AL1388)+1,"")</f>
        <v/>
      </c>
      <c r="AL1389" s="54">
        <f>IF(AK1389&lt;&gt;"",AK1389,N(AL1388))</f>
        <v/>
      </c>
    </row>
    <row r="1390">
      <c r="A1390" t="inlineStr">
        <is>
          <t>CON-0463</t>
        </is>
      </c>
      <c r="B1390" t="inlineStr">
        <is>
          <t>Consulting</t>
        </is>
      </c>
      <c r="AB1390" t="n">
        <v>463</v>
      </c>
      <c r="AD1390" s="52">
        <f>IFERROR(N(IFERROR(INDEX($A1390:$AB1390,MATCH("Xero Invoiced Ex GST",$A$1:$AB$1,0)),"")),0)</f>
        <v/>
      </c>
      <c r="AE1390" s="53">
        <f>IFERROR(INDEX($A1390:$AB1390,MATCH("Xero Invoice Date",$A$1:$AB$1,0)),"")</f>
        <v/>
      </c>
      <c r="AF1390" s="54">
        <f>IF(AND(IFERROR(INDEX($A1390:$AB1390,MATCH("Xero Invoice No",$A$1:$AB$1,0)),"")&amp;""&lt;&gt;"",ISNUMBER(AE1390),AD1390&lt;&gt;0),1,0)</f>
        <v/>
      </c>
      <c r="AG1390" s="55">
        <f>IF(AF1390=1,EOMONTH(AE1390,0),"")</f>
        <v/>
      </c>
      <c r="AH1390" s="9">
        <f>IF(AF1390=1,UPPER(TRIM(IFERROR(INDEX($A1390:$AB1390,MATCH("Client",$A$1:$AB$1,0)),"")&amp;"")),"")</f>
        <v/>
      </c>
      <c r="AI1390" s="9">
        <f>IF(AF1390=1,IFERROR(INDEX($A1390:$AB1390,MATCH("Cost Centre",$A$1:$AB$1,0)),"")&amp;"","")</f>
        <v/>
      </c>
      <c r="AJ1390" s="54">
        <f>IF(AND(AF1390=1,AE1390&gt;=set_FYStart,AE1390&lt;=set_AsAt),1,0)</f>
        <v/>
      </c>
      <c r="AK1390" s="54">
        <f>IF(AND(AJ1390=1,AH1390&lt;&gt;"",COUNTIFS($AH$2:AH1390,AH1390,$AJ$2:AJ1390,1)=1),N(AL1389)+1,"")</f>
        <v/>
      </c>
      <c r="AL1390" s="54">
        <f>IF(AK1390&lt;&gt;"",AK1390,N(AL1389))</f>
        <v/>
      </c>
    </row>
    <row r="1391">
      <c r="A1391" t="inlineStr">
        <is>
          <t>ONS-0464</t>
        </is>
      </c>
      <c r="B1391" t="inlineStr">
        <is>
          <t>Onsite</t>
        </is>
      </c>
      <c r="AB1391" t="n">
        <v>464</v>
      </c>
      <c r="AD1391" s="52">
        <f>IFERROR(N(IFERROR(INDEX($A1391:$AB1391,MATCH("Xero Invoiced Ex GST",$A$1:$AB$1,0)),"")),0)</f>
        <v/>
      </c>
      <c r="AE1391" s="53">
        <f>IFERROR(INDEX($A1391:$AB1391,MATCH("Xero Invoice Date",$A$1:$AB$1,0)),"")</f>
        <v/>
      </c>
      <c r="AF1391" s="54">
        <f>IF(AND(IFERROR(INDEX($A1391:$AB1391,MATCH("Xero Invoice No",$A$1:$AB$1,0)),"")&amp;""&lt;&gt;"",ISNUMBER(AE1391),AD1391&lt;&gt;0),1,0)</f>
        <v/>
      </c>
      <c r="AG1391" s="55">
        <f>IF(AF1391=1,EOMONTH(AE1391,0),"")</f>
        <v/>
      </c>
      <c r="AH1391" s="9">
        <f>IF(AF1391=1,UPPER(TRIM(IFERROR(INDEX($A1391:$AB1391,MATCH("Client",$A$1:$AB$1,0)),"")&amp;"")),"")</f>
        <v/>
      </c>
      <c r="AI1391" s="9">
        <f>IF(AF1391=1,IFERROR(INDEX($A1391:$AB1391,MATCH("Cost Centre",$A$1:$AB$1,0)),"")&amp;"","")</f>
        <v/>
      </c>
      <c r="AJ1391" s="54">
        <f>IF(AND(AF1391=1,AE1391&gt;=set_FYStart,AE1391&lt;=set_AsAt),1,0)</f>
        <v/>
      </c>
      <c r="AK1391" s="54">
        <f>IF(AND(AJ1391=1,AH1391&lt;&gt;"",COUNTIFS($AH$2:AH1391,AH1391,$AJ$2:AJ1391,1)=1),N(AL1390)+1,"")</f>
        <v/>
      </c>
      <c r="AL1391" s="54">
        <f>IF(AK1391&lt;&gt;"",AK1391,N(AL1390))</f>
        <v/>
      </c>
    </row>
    <row r="1392">
      <c r="A1392" t="inlineStr">
        <is>
          <t>PRD-0464</t>
        </is>
      </c>
      <c r="B1392" t="inlineStr">
        <is>
          <t>Production</t>
        </is>
      </c>
      <c r="AB1392" t="n">
        <v>464</v>
      </c>
      <c r="AD1392" s="52">
        <f>IFERROR(N(IFERROR(INDEX($A1392:$AB1392,MATCH("Xero Invoiced Ex GST",$A$1:$AB$1,0)),"")),0)</f>
        <v/>
      </c>
      <c r="AE1392" s="53">
        <f>IFERROR(INDEX($A1392:$AB1392,MATCH("Xero Invoice Date",$A$1:$AB$1,0)),"")</f>
        <v/>
      </c>
      <c r="AF1392" s="54">
        <f>IF(AND(IFERROR(INDEX($A1392:$AB1392,MATCH("Xero Invoice No",$A$1:$AB$1,0)),"")&amp;""&lt;&gt;"",ISNUMBER(AE1392),AD1392&lt;&gt;0),1,0)</f>
        <v/>
      </c>
      <c r="AG1392" s="55">
        <f>IF(AF1392=1,EOMONTH(AE1392,0),"")</f>
        <v/>
      </c>
      <c r="AH1392" s="9">
        <f>IF(AF1392=1,UPPER(TRIM(IFERROR(INDEX($A1392:$AB1392,MATCH("Client",$A$1:$AB$1,0)),"")&amp;"")),"")</f>
        <v/>
      </c>
      <c r="AI1392" s="9">
        <f>IF(AF1392=1,IFERROR(INDEX($A1392:$AB1392,MATCH("Cost Centre",$A$1:$AB$1,0)),"")&amp;"","")</f>
        <v/>
      </c>
      <c r="AJ1392" s="54">
        <f>IF(AND(AF1392=1,AE1392&gt;=set_FYStart,AE1392&lt;=set_AsAt),1,0)</f>
        <v/>
      </c>
      <c r="AK1392" s="54">
        <f>IF(AND(AJ1392=1,AH1392&lt;&gt;"",COUNTIFS($AH$2:AH1392,AH1392,$AJ$2:AJ1392,1)=1),N(AL1391)+1,"")</f>
        <v/>
      </c>
      <c r="AL1392" s="54">
        <f>IF(AK1392&lt;&gt;"",AK1392,N(AL1391))</f>
        <v/>
      </c>
    </row>
    <row r="1393">
      <c r="A1393" t="inlineStr">
        <is>
          <t>CON-0464</t>
        </is>
      </c>
      <c r="B1393" t="inlineStr">
        <is>
          <t>Consulting</t>
        </is>
      </c>
      <c r="AB1393" t="n">
        <v>464</v>
      </c>
      <c r="AD1393" s="52">
        <f>IFERROR(N(IFERROR(INDEX($A1393:$AB1393,MATCH("Xero Invoiced Ex GST",$A$1:$AB$1,0)),"")),0)</f>
        <v/>
      </c>
      <c r="AE1393" s="53">
        <f>IFERROR(INDEX($A1393:$AB1393,MATCH("Xero Invoice Date",$A$1:$AB$1,0)),"")</f>
        <v/>
      </c>
      <c r="AF1393" s="54">
        <f>IF(AND(IFERROR(INDEX($A1393:$AB1393,MATCH("Xero Invoice No",$A$1:$AB$1,0)),"")&amp;""&lt;&gt;"",ISNUMBER(AE1393),AD1393&lt;&gt;0),1,0)</f>
        <v/>
      </c>
      <c r="AG1393" s="55">
        <f>IF(AF1393=1,EOMONTH(AE1393,0),"")</f>
        <v/>
      </c>
      <c r="AH1393" s="9">
        <f>IF(AF1393=1,UPPER(TRIM(IFERROR(INDEX($A1393:$AB1393,MATCH("Client",$A$1:$AB$1,0)),"")&amp;"")),"")</f>
        <v/>
      </c>
      <c r="AI1393" s="9">
        <f>IF(AF1393=1,IFERROR(INDEX($A1393:$AB1393,MATCH("Cost Centre",$A$1:$AB$1,0)),"")&amp;"","")</f>
        <v/>
      </c>
      <c r="AJ1393" s="54">
        <f>IF(AND(AF1393=1,AE1393&gt;=set_FYStart,AE1393&lt;=set_AsAt),1,0)</f>
        <v/>
      </c>
      <c r="AK1393" s="54">
        <f>IF(AND(AJ1393=1,AH1393&lt;&gt;"",COUNTIFS($AH$2:AH1393,AH1393,$AJ$2:AJ1393,1)=1),N(AL1392)+1,"")</f>
        <v/>
      </c>
      <c r="AL1393" s="54">
        <f>IF(AK1393&lt;&gt;"",AK1393,N(AL1392))</f>
        <v/>
      </c>
    </row>
    <row r="1394">
      <c r="A1394" t="inlineStr">
        <is>
          <t>ONS-0465</t>
        </is>
      </c>
      <c r="B1394" t="inlineStr">
        <is>
          <t>Onsite</t>
        </is>
      </c>
      <c r="AB1394" t="n">
        <v>465</v>
      </c>
      <c r="AD1394" s="52">
        <f>IFERROR(N(IFERROR(INDEX($A1394:$AB1394,MATCH("Xero Invoiced Ex GST",$A$1:$AB$1,0)),"")),0)</f>
        <v/>
      </c>
      <c r="AE1394" s="53">
        <f>IFERROR(INDEX($A1394:$AB1394,MATCH("Xero Invoice Date",$A$1:$AB$1,0)),"")</f>
        <v/>
      </c>
      <c r="AF1394" s="54">
        <f>IF(AND(IFERROR(INDEX($A1394:$AB1394,MATCH("Xero Invoice No",$A$1:$AB$1,0)),"")&amp;""&lt;&gt;"",ISNUMBER(AE1394),AD1394&lt;&gt;0),1,0)</f>
        <v/>
      </c>
      <c r="AG1394" s="55">
        <f>IF(AF1394=1,EOMONTH(AE1394,0),"")</f>
        <v/>
      </c>
      <c r="AH1394" s="9">
        <f>IF(AF1394=1,UPPER(TRIM(IFERROR(INDEX($A1394:$AB1394,MATCH("Client",$A$1:$AB$1,0)),"")&amp;"")),"")</f>
        <v/>
      </c>
      <c r="AI1394" s="9">
        <f>IF(AF1394=1,IFERROR(INDEX($A1394:$AB1394,MATCH("Cost Centre",$A$1:$AB$1,0)),"")&amp;"","")</f>
        <v/>
      </c>
      <c r="AJ1394" s="54">
        <f>IF(AND(AF1394=1,AE1394&gt;=set_FYStart,AE1394&lt;=set_AsAt),1,0)</f>
        <v/>
      </c>
      <c r="AK1394" s="54">
        <f>IF(AND(AJ1394=1,AH1394&lt;&gt;"",COUNTIFS($AH$2:AH1394,AH1394,$AJ$2:AJ1394,1)=1),N(AL1393)+1,"")</f>
        <v/>
      </c>
      <c r="AL1394" s="54">
        <f>IF(AK1394&lt;&gt;"",AK1394,N(AL1393))</f>
        <v/>
      </c>
    </row>
    <row r="1395">
      <c r="A1395" t="inlineStr">
        <is>
          <t>PRD-0465</t>
        </is>
      </c>
      <c r="B1395" t="inlineStr">
        <is>
          <t>Production</t>
        </is>
      </c>
      <c r="AB1395" t="n">
        <v>465</v>
      </c>
      <c r="AD1395" s="52">
        <f>IFERROR(N(IFERROR(INDEX($A1395:$AB1395,MATCH("Xero Invoiced Ex GST",$A$1:$AB$1,0)),"")),0)</f>
        <v/>
      </c>
      <c r="AE1395" s="53">
        <f>IFERROR(INDEX($A1395:$AB1395,MATCH("Xero Invoice Date",$A$1:$AB$1,0)),"")</f>
        <v/>
      </c>
      <c r="AF1395" s="54">
        <f>IF(AND(IFERROR(INDEX($A1395:$AB1395,MATCH("Xero Invoice No",$A$1:$AB$1,0)),"")&amp;""&lt;&gt;"",ISNUMBER(AE1395),AD1395&lt;&gt;0),1,0)</f>
        <v/>
      </c>
      <c r="AG1395" s="55">
        <f>IF(AF1395=1,EOMONTH(AE1395,0),"")</f>
        <v/>
      </c>
      <c r="AH1395" s="9">
        <f>IF(AF1395=1,UPPER(TRIM(IFERROR(INDEX($A1395:$AB1395,MATCH("Client",$A$1:$AB$1,0)),"")&amp;"")),"")</f>
        <v/>
      </c>
      <c r="AI1395" s="9">
        <f>IF(AF1395=1,IFERROR(INDEX($A1395:$AB1395,MATCH("Cost Centre",$A$1:$AB$1,0)),"")&amp;"","")</f>
        <v/>
      </c>
      <c r="AJ1395" s="54">
        <f>IF(AND(AF1395=1,AE1395&gt;=set_FYStart,AE1395&lt;=set_AsAt),1,0)</f>
        <v/>
      </c>
      <c r="AK1395" s="54">
        <f>IF(AND(AJ1395=1,AH1395&lt;&gt;"",COUNTIFS($AH$2:AH1395,AH1395,$AJ$2:AJ1395,1)=1),N(AL1394)+1,"")</f>
        <v/>
      </c>
      <c r="AL1395" s="54">
        <f>IF(AK1395&lt;&gt;"",AK1395,N(AL1394))</f>
        <v/>
      </c>
    </row>
    <row r="1396">
      <c r="A1396" t="inlineStr">
        <is>
          <t>CON-0465</t>
        </is>
      </c>
      <c r="B1396" t="inlineStr">
        <is>
          <t>Consulting</t>
        </is>
      </c>
      <c r="AB1396" t="n">
        <v>465</v>
      </c>
      <c r="AD1396" s="52">
        <f>IFERROR(N(IFERROR(INDEX($A1396:$AB1396,MATCH("Xero Invoiced Ex GST",$A$1:$AB$1,0)),"")),0)</f>
        <v/>
      </c>
      <c r="AE1396" s="53">
        <f>IFERROR(INDEX($A1396:$AB1396,MATCH("Xero Invoice Date",$A$1:$AB$1,0)),"")</f>
        <v/>
      </c>
      <c r="AF1396" s="54">
        <f>IF(AND(IFERROR(INDEX($A1396:$AB1396,MATCH("Xero Invoice No",$A$1:$AB$1,0)),"")&amp;""&lt;&gt;"",ISNUMBER(AE1396),AD1396&lt;&gt;0),1,0)</f>
        <v/>
      </c>
      <c r="AG1396" s="55">
        <f>IF(AF1396=1,EOMONTH(AE1396,0),"")</f>
        <v/>
      </c>
      <c r="AH1396" s="9">
        <f>IF(AF1396=1,UPPER(TRIM(IFERROR(INDEX($A1396:$AB1396,MATCH("Client",$A$1:$AB$1,0)),"")&amp;"")),"")</f>
        <v/>
      </c>
      <c r="AI1396" s="9">
        <f>IF(AF1396=1,IFERROR(INDEX($A1396:$AB1396,MATCH("Cost Centre",$A$1:$AB$1,0)),"")&amp;"","")</f>
        <v/>
      </c>
      <c r="AJ1396" s="54">
        <f>IF(AND(AF1396=1,AE1396&gt;=set_FYStart,AE1396&lt;=set_AsAt),1,0)</f>
        <v/>
      </c>
      <c r="AK1396" s="54">
        <f>IF(AND(AJ1396=1,AH1396&lt;&gt;"",COUNTIFS($AH$2:AH1396,AH1396,$AJ$2:AJ1396,1)=1),N(AL1395)+1,"")</f>
        <v/>
      </c>
      <c r="AL1396" s="54">
        <f>IF(AK1396&lt;&gt;"",AK1396,N(AL1395))</f>
        <v/>
      </c>
    </row>
    <row r="1397">
      <c r="A1397" t="inlineStr">
        <is>
          <t>ONS-0466</t>
        </is>
      </c>
      <c r="B1397" t="inlineStr">
        <is>
          <t>Onsite</t>
        </is>
      </c>
      <c r="AB1397" t="n">
        <v>466</v>
      </c>
      <c r="AD1397" s="52">
        <f>IFERROR(N(IFERROR(INDEX($A1397:$AB1397,MATCH("Xero Invoiced Ex GST",$A$1:$AB$1,0)),"")),0)</f>
        <v/>
      </c>
      <c r="AE1397" s="53">
        <f>IFERROR(INDEX($A1397:$AB1397,MATCH("Xero Invoice Date",$A$1:$AB$1,0)),"")</f>
        <v/>
      </c>
      <c r="AF1397" s="54">
        <f>IF(AND(IFERROR(INDEX($A1397:$AB1397,MATCH("Xero Invoice No",$A$1:$AB$1,0)),"")&amp;""&lt;&gt;"",ISNUMBER(AE1397),AD1397&lt;&gt;0),1,0)</f>
        <v/>
      </c>
      <c r="AG1397" s="55">
        <f>IF(AF1397=1,EOMONTH(AE1397,0),"")</f>
        <v/>
      </c>
      <c r="AH1397" s="9">
        <f>IF(AF1397=1,UPPER(TRIM(IFERROR(INDEX($A1397:$AB1397,MATCH("Client",$A$1:$AB$1,0)),"")&amp;"")),"")</f>
        <v/>
      </c>
      <c r="AI1397" s="9">
        <f>IF(AF1397=1,IFERROR(INDEX($A1397:$AB1397,MATCH("Cost Centre",$A$1:$AB$1,0)),"")&amp;"","")</f>
        <v/>
      </c>
      <c r="AJ1397" s="54">
        <f>IF(AND(AF1397=1,AE1397&gt;=set_FYStart,AE1397&lt;=set_AsAt),1,0)</f>
        <v/>
      </c>
      <c r="AK1397" s="54">
        <f>IF(AND(AJ1397=1,AH1397&lt;&gt;"",COUNTIFS($AH$2:AH1397,AH1397,$AJ$2:AJ1397,1)=1),N(AL1396)+1,"")</f>
        <v/>
      </c>
      <c r="AL1397" s="54">
        <f>IF(AK1397&lt;&gt;"",AK1397,N(AL1396))</f>
        <v/>
      </c>
    </row>
    <row r="1398">
      <c r="A1398" t="inlineStr">
        <is>
          <t>PRD-0466</t>
        </is>
      </c>
      <c r="B1398" t="inlineStr">
        <is>
          <t>Production</t>
        </is>
      </c>
      <c r="AB1398" t="n">
        <v>466</v>
      </c>
      <c r="AD1398" s="52">
        <f>IFERROR(N(IFERROR(INDEX($A1398:$AB1398,MATCH("Xero Invoiced Ex GST",$A$1:$AB$1,0)),"")),0)</f>
        <v/>
      </c>
      <c r="AE1398" s="53">
        <f>IFERROR(INDEX($A1398:$AB1398,MATCH("Xero Invoice Date",$A$1:$AB$1,0)),"")</f>
        <v/>
      </c>
      <c r="AF1398" s="54">
        <f>IF(AND(IFERROR(INDEX($A1398:$AB1398,MATCH("Xero Invoice No",$A$1:$AB$1,0)),"")&amp;""&lt;&gt;"",ISNUMBER(AE1398),AD1398&lt;&gt;0),1,0)</f>
        <v/>
      </c>
      <c r="AG1398" s="55">
        <f>IF(AF1398=1,EOMONTH(AE1398,0),"")</f>
        <v/>
      </c>
      <c r="AH1398" s="9">
        <f>IF(AF1398=1,UPPER(TRIM(IFERROR(INDEX($A1398:$AB1398,MATCH("Client",$A$1:$AB$1,0)),"")&amp;"")),"")</f>
        <v/>
      </c>
      <c r="AI1398" s="9">
        <f>IF(AF1398=1,IFERROR(INDEX($A1398:$AB1398,MATCH("Cost Centre",$A$1:$AB$1,0)),"")&amp;"","")</f>
        <v/>
      </c>
      <c r="AJ1398" s="54">
        <f>IF(AND(AF1398=1,AE1398&gt;=set_FYStart,AE1398&lt;=set_AsAt),1,0)</f>
        <v/>
      </c>
      <c r="AK1398" s="54">
        <f>IF(AND(AJ1398=1,AH1398&lt;&gt;"",COUNTIFS($AH$2:AH1398,AH1398,$AJ$2:AJ1398,1)=1),N(AL1397)+1,"")</f>
        <v/>
      </c>
      <c r="AL1398" s="54">
        <f>IF(AK1398&lt;&gt;"",AK1398,N(AL1397))</f>
        <v/>
      </c>
    </row>
    <row r="1399">
      <c r="A1399" t="inlineStr">
        <is>
          <t>CON-0466</t>
        </is>
      </c>
      <c r="B1399" t="inlineStr">
        <is>
          <t>Consulting</t>
        </is>
      </c>
      <c r="AB1399" t="n">
        <v>466</v>
      </c>
      <c r="AD1399" s="52">
        <f>IFERROR(N(IFERROR(INDEX($A1399:$AB1399,MATCH("Xero Invoiced Ex GST",$A$1:$AB$1,0)),"")),0)</f>
        <v/>
      </c>
      <c r="AE1399" s="53">
        <f>IFERROR(INDEX($A1399:$AB1399,MATCH("Xero Invoice Date",$A$1:$AB$1,0)),"")</f>
        <v/>
      </c>
      <c r="AF1399" s="54">
        <f>IF(AND(IFERROR(INDEX($A1399:$AB1399,MATCH("Xero Invoice No",$A$1:$AB$1,0)),"")&amp;""&lt;&gt;"",ISNUMBER(AE1399),AD1399&lt;&gt;0),1,0)</f>
        <v/>
      </c>
      <c r="AG1399" s="55">
        <f>IF(AF1399=1,EOMONTH(AE1399,0),"")</f>
        <v/>
      </c>
      <c r="AH1399" s="9">
        <f>IF(AF1399=1,UPPER(TRIM(IFERROR(INDEX($A1399:$AB1399,MATCH("Client",$A$1:$AB$1,0)),"")&amp;"")),"")</f>
        <v/>
      </c>
      <c r="AI1399" s="9">
        <f>IF(AF1399=1,IFERROR(INDEX($A1399:$AB1399,MATCH("Cost Centre",$A$1:$AB$1,0)),"")&amp;"","")</f>
        <v/>
      </c>
      <c r="AJ1399" s="54">
        <f>IF(AND(AF1399=1,AE1399&gt;=set_FYStart,AE1399&lt;=set_AsAt),1,0)</f>
        <v/>
      </c>
      <c r="AK1399" s="54">
        <f>IF(AND(AJ1399=1,AH1399&lt;&gt;"",COUNTIFS($AH$2:AH1399,AH1399,$AJ$2:AJ1399,1)=1),N(AL1398)+1,"")</f>
        <v/>
      </c>
      <c r="AL1399" s="54">
        <f>IF(AK1399&lt;&gt;"",AK1399,N(AL1398))</f>
        <v/>
      </c>
    </row>
    <row r="1400">
      <c r="A1400" t="inlineStr">
        <is>
          <t>ONS-0467</t>
        </is>
      </c>
      <c r="B1400" t="inlineStr">
        <is>
          <t>Onsite</t>
        </is>
      </c>
      <c r="AB1400" t="n">
        <v>467</v>
      </c>
      <c r="AD1400" s="52">
        <f>IFERROR(N(IFERROR(INDEX($A1400:$AB1400,MATCH("Xero Invoiced Ex GST",$A$1:$AB$1,0)),"")),0)</f>
        <v/>
      </c>
      <c r="AE1400" s="53">
        <f>IFERROR(INDEX($A1400:$AB1400,MATCH("Xero Invoice Date",$A$1:$AB$1,0)),"")</f>
        <v/>
      </c>
      <c r="AF1400" s="54">
        <f>IF(AND(IFERROR(INDEX($A1400:$AB1400,MATCH("Xero Invoice No",$A$1:$AB$1,0)),"")&amp;""&lt;&gt;"",ISNUMBER(AE1400),AD1400&lt;&gt;0),1,0)</f>
        <v/>
      </c>
      <c r="AG1400" s="55">
        <f>IF(AF1400=1,EOMONTH(AE1400,0),"")</f>
        <v/>
      </c>
      <c r="AH1400" s="9">
        <f>IF(AF1400=1,UPPER(TRIM(IFERROR(INDEX($A1400:$AB1400,MATCH("Client",$A$1:$AB$1,0)),"")&amp;"")),"")</f>
        <v/>
      </c>
      <c r="AI1400" s="9">
        <f>IF(AF1400=1,IFERROR(INDEX($A1400:$AB1400,MATCH("Cost Centre",$A$1:$AB$1,0)),"")&amp;"","")</f>
        <v/>
      </c>
      <c r="AJ1400" s="54">
        <f>IF(AND(AF1400=1,AE1400&gt;=set_FYStart,AE1400&lt;=set_AsAt),1,0)</f>
        <v/>
      </c>
      <c r="AK1400" s="54">
        <f>IF(AND(AJ1400=1,AH1400&lt;&gt;"",COUNTIFS($AH$2:AH1400,AH1400,$AJ$2:AJ1400,1)=1),N(AL1399)+1,"")</f>
        <v/>
      </c>
      <c r="AL1400" s="54">
        <f>IF(AK1400&lt;&gt;"",AK1400,N(AL1399))</f>
        <v/>
      </c>
    </row>
    <row r="1401">
      <c r="A1401" t="inlineStr">
        <is>
          <t>PRD-0467</t>
        </is>
      </c>
      <c r="B1401" t="inlineStr">
        <is>
          <t>Production</t>
        </is>
      </c>
      <c r="AB1401" t="n">
        <v>467</v>
      </c>
      <c r="AD1401" s="52">
        <f>IFERROR(N(IFERROR(INDEX($A1401:$AB1401,MATCH("Xero Invoiced Ex GST",$A$1:$AB$1,0)),"")),0)</f>
        <v/>
      </c>
      <c r="AE1401" s="53">
        <f>IFERROR(INDEX($A1401:$AB1401,MATCH("Xero Invoice Date",$A$1:$AB$1,0)),"")</f>
        <v/>
      </c>
      <c r="AF1401" s="54">
        <f>IF(AND(IFERROR(INDEX($A1401:$AB1401,MATCH("Xero Invoice No",$A$1:$AB$1,0)),"")&amp;""&lt;&gt;"",ISNUMBER(AE1401),AD1401&lt;&gt;0),1,0)</f>
        <v/>
      </c>
      <c r="AG1401" s="55">
        <f>IF(AF1401=1,EOMONTH(AE1401,0),"")</f>
        <v/>
      </c>
      <c r="AH1401" s="9">
        <f>IF(AF1401=1,UPPER(TRIM(IFERROR(INDEX($A1401:$AB1401,MATCH("Client",$A$1:$AB$1,0)),"")&amp;"")),"")</f>
        <v/>
      </c>
      <c r="AI1401" s="9">
        <f>IF(AF1401=1,IFERROR(INDEX($A1401:$AB1401,MATCH("Cost Centre",$A$1:$AB$1,0)),"")&amp;"","")</f>
        <v/>
      </c>
      <c r="AJ1401" s="54">
        <f>IF(AND(AF1401=1,AE1401&gt;=set_FYStart,AE1401&lt;=set_AsAt),1,0)</f>
        <v/>
      </c>
      <c r="AK1401" s="54">
        <f>IF(AND(AJ1401=1,AH1401&lt;&gt;"",COUNTIFS($AH$2:AH1401,AH1401,$AJ$2:AJ1401,1)=1),N(AL1400)+1,"")</f>
        <v/>
      </c>
      <c r="AL1401" s="54">
        <f>IF(AK1401&lt;&gt;"",AK1401,N(AL1400))</f>
        <v/>
      </c>
    </row>
    <row r="1402">
      <c r="A1402" t="inlineStr">
        <is>
          <t>CON-0467</t>
        </is>
      </c>
      <c r="B1402" t="inlineStr">
        <is>
          <t>Consulting</t>
        </is>
      </c>
      <c r="AB1402" t="n">
        <v>467</v>
      </c>
      <c r="AD1402" s="52">
        <f>IFERROR(N(IFERROR(INDEX($A1402:$AB1402,MATCH("Xero Invoiced Ex GST",$A$1:$AB$1,0)),"")),0)</f>
        <v/>
      </c>
      <c r="AE1402" s="53">
        <f>IFERROR(INDEX($A1402:$AB1402,MATCH("Xero Invoice Date",$A$1:$AB$1,0)),"")</f>
        <v/>
      </c>
      <c r="AF1402" s="54">
        <f>IF(AND(IFERROR(INDEX($A1402:$AB1402,MATCH("Xero Invoice No",$A$1:$AB$1,0)),"")&amp;""&lt;&gt;"",ISNUMBER(AE1402),AD1402&lt;&gt;0),1,0)</f>
        <v/>
      </c>
      <c r="AG1402" s="55">
        <f>IF(AF1402=1,EOMONTH(AE1402,0),"")</f>
        <v/>
      </c>
      <c r="AH1402" s="9">
        <f>IF(AF1402=1,UPPER(TRIM(IFERROR(INDEX($A1402:$AB1402,MATCH("Client",$A$1:$AB$1,0)),"")&amp;"")),"")</f>
        <v/>
      </c>
      <c r="AI1402" s="9">
        <f>IF(AF1402=1,IFERROR(INDEX($A1402:$AB1402,MATCH("Cost Centre",$A$1:$AB$1,0)),"")&amp;"","")</f>
        <v/>
      </c>
      <c r="AJ1402" s="54">
        <f>IF(AND(AF1402=1,AE1402&gt;=set_FYStart,AE1402&lt;=set_AsAt),1,0)</f>
        <v/>
      </c>
      <c r="AK1402" s="54">
        <f>IF(AND(AJ1402=1,AH1402&lt;&gt;"",COUNTIFS($AH$2:AH1402,AH1402,$AJ$2:AJ1402,1)=1),N(AL1401)+1,"")</f>
        <v/>
      </c>
      <c r="AL1402" s="54">
        <f>IF(AK1402&lt;&gt;"",AK1402,N(AL1401))</f>
        <v/>
      </c>
    </row>
    <row r="1403">
      <c r="A1403" t="inlineStr">
        <is>
          <t>ONS-0468</t>
        </is>
      </c>
      <c r="B1403" t="inlineStr">
        <is>
          <t>Onsite</t>
        </is>
      </c>
      <c r="AB1403" t="n">
        <v>468</v>
      </c>
      <c r="AD1403" s="52">
        <f>IFERROR(N(IFERROR(INDEX($A1403:$AB1403,MATCH("Xero Invoiced Ex GST",$A$1:$AB$1,0)),"")),0)</f>
        <v/>
      </c>
      <c r="AE1403" s="53">
        <f>IFERROR(INDEX($A1403:$AB1403,MATCH("Xero Invoice Date",$A$1:$AB$1,0)),"")</f>
        <v/>
      </c>
      <c r="AF1403" s="54">
        <f>IF(AND(IFERROR(INDEX($A1403:$AB1403,MATCH("Xero Invoice No",$A$1:$AB$1,0)),"")&amp;""&lt;&gt;"",ISNUMBER(AE1403),AD1403&lt;&gt;0),1,0)</f>
        <v/>
      </c>
      <c r="AG1403" s="55">
        <f>IF(AF1403=1,EOMONTH(AE1403,0),"")</f>
        <v/>
      </c>
      <c r="AH1403" s="9">
        <f>IF(AF1403=1,UPPER(TRIM(IFERROR(INDEX($A1403:$AB1403,MATCH("Client",$A$1:$AB$1,0)),"")&amp;"")),"")</f>
        <v/>
      </c>
      <c r="AI1403" s="9">
        <f>IF(AF1403=1,IFERROR(INDEX($A1403:$AB1403,MATCH("Cost Centre",$A$1:$AB$1,0)),"")&amp;"","")</f>
        <v/>
      </c>
      <c r="AJ1403" s="54">
        <f>IF(AND(AF1403=1,AE1403&gt;=set_FYStart,AE1403&lt;=set_AsAt),1,0)</f>
        <v/>
      </c>
      <c r="AK1403" s="54">
        <f>IF(AND(AJ1403=1,AH1403&lt;&gt;"",COUNTIFS($AH$2:AH1403,AH1403,$AJ$2:AJ1403,1)=1),N(AL1402)+1,"")</f>
        <v/>
      </c>
      <c r="AL1403" s="54">
        <f>IF(AK1403&lt;&gt;"",AK1403,N(AL1402))</f>
        <v/>
      </c>
    </row>
    <row r="1404">
      <c r="A1404" t="inlineStr">
        <is>
          <t>PRD-0468</t>
        </is>
      </c>
      <c r="B1404" t="inlineStr">
        <is>
          <t>Production</t>
        </is>
      </c>
      <c r="AB1404" t="n">
        <v>468</v>
      </c>
      <c r="AD1404" s="52">
        <f>IFERROR(N(IFERROR(INDEX($A1404:$AB1404,MATCH("Xero Invoiced Ex GST",$A$1:$AB$1,0)),"")),0)</f>
        <v/>
      </c>
      <c r="AE1404" s="53">
        <f>IFERROR(INDEX($A1404:$AB1404,MATCH("Xero Invoice Date",$A$1:$AB$1,0)),"")</f>
        <v/>
      </c>
      <c r="AF1404" s="54">
        <f>IF(AND(IFERROR(INDEX($A1404:$AB1404,MATCH("Xero Invoice No",$A$1:$AB$1,0)),"")&amp;""&lt;&gt;"",ISNUMBER(AE1404),AD1404&lt;&gt;0),1,0)</f>
        <v/>
      </c>
      <c r="AG1404" s="55">
        <f>IF(AF1404=1,EOMONTH(AE1404,0),"")</f>
        <v/>
      </c>
      <c r="AH1404" s="9">
        <f>IF(AF1404=1,UPPER(TRIM(IFERROR(INDEX($A1404:$AB1404,MATCH("Client",$A$1:$AB$1,0)),"")&amp;"")),"")</f>
        <v/>
      </c>
      <c r="AI1404" s="9">
        <f>IF(AF1404=1,IFERROR(INDEX($A1404:$AB1404,MATCH("Cost Centre",$A$1:$AB$1,0)),"")&amp;"","")</f>
        <v/>
      </c>
      <c r="AJ1404" s="54">
        <f>IF(AND(AF1404=1,AE1404&gt;=set_FYStart,AE1404&lt;=set_AsAt),1,0)</f>
        <v/>
      </c>
      <c r="AK1404" s="54">
        <f>IF(AND(AJ1404=1,AH1404&lt;&gt;"",COUNTIFS($AH$2:AH1404,AH1404,$AJ$2:AJ1404,1)=1),N(AL1403)+1,"")</f>
        <v/>
      </c>
      <c r="AL1404" s="54">
        <f>IF(AK1404&lt;&gt;"",AK1404,N(AL1403))</f>
        <v/>
      </c>
    </row>
    <row r="1405">
      <c r="A1405" t="inlineStr">
        <is>
          <t>CON-0468</t>
        </is>
      </c>
      <c r="B1405" t="inlineStr">
        <is>
          <t>Consulting</t>
        </is>
      </c>
      <c r="AB1405" t="n">
        <v>468</v>
      </c>
      <c r="AD1405" s="52">
        <f>IFERROR(N(IFERROR(INDEX($A1405:$AB1405,MATCH("Xero Invoiced Ex GST",$A$1:$AB$1,0)),"")),0)</f>
        <v/>
      </c>
      <c r="AE1405" s="53">
        <f>IFERROR(INDEX($A1405:$AB1405,MATCH("Xero Invoice Date",$A$1:$AB$1,0)),"")</f>
        <v/>
      </c>
      <c r="AF1405" s="54">
        <f>IF(AND(IFERROR(INDEX($A1405:$AB1405,MATCH("Xero Invoice No",$A$1:$AB$1,0)),"")&amp;""&lt;&gt;"",ISNUMBER(AE1405),AD1405&lt;&gt;0),1,0)</f>
        <v/>
      </c>
      <c r="AG1405" s="55">
        <f>IF(AF1405=1,EOMONTH(AE1405,0),"")</f>
        <v/>
      </c>
      <c r="AH1405" s="9">
        <f>IF(AF1405=1,UPPER(TRIM(IFERROR(INDEX($A1405:$AB1405,MATCH("Client",$A$1:$AB$1,0)),"")&amp;"")),"")</f>
        <v/>
      </c>
      <c r="AI1405" s="9">
        <f>IF(AF1405=1,IFERROR(INDEX($A1405:$AB1405,MATCH("Cost Centre",$A$1:$AB$1,0)),"")&amp;"","")</f>
        <v/>
      </c>
      <c r="AJ1405" s="54">
        <f>IF(AND(AF1405=1,AE1405&gt;=set_FYStart,AE1405&lt;=set_AsAt),1,0)</f>
        <v/>
      </c>
      <c r="AK1405" s="54">
        <f>IF(AND(AJ1405=1,AH1405&lt;&gt;"",COUNTIFS($AH$2:AH1405,AH1405,$AJ$2:AJ1405,1)=1),N(AL1404)+1,"")</f>
        <v/>
      </c>
      <c r="AL1405" s="54">
        <f>IF(AK1405&lt;&gt;"",AK1405,N(AL1404))</f>
        <v/>
      </c>
    </row>
    <row r="1406">
      <c r="A1406" t="inlineStr">
        <is>
          <t>ONS-0469</t>
        </is>
      </c>
      <c r="B1406" t="inlineStr">
        <is>
          <t>Onsite</t>
        </is>
      </c>
      <c r="AB1406" t="n">
        <v>469</v>
      </c>
      <c r="AD1406" s="52">
        <f>IFERROR(N(IFERROR(INDEX($A1406:$AB1406,MATCH("Xero Invoiced Ex GST",$A$1:$AB$1,0)),"")),0)</f>
        <v/>
      </c>
      <c r="AE1406" s="53">
        <f>IFERROR(INDEX($A1406:$AB1406,MATCH("Xero Invoice Date",$A$1:$AB$1,0)),"")</f>
        <v/>
      </c>
      <c r="AF1406" s="54">
        <f>IF(AND(IFERROR(INDEX($A1406:$AB1406,MATCH("Xero Invoice No",$A$1:$AB$1,0)),"")&amp;""&lt;&gt;"",ISNUMBER(AE1406),AD1406&lt;&gt;0),1,0)</f>
        <v/>
      </c>
      <c r="AG1406" s="55">
        <f>IF(AF1406=1,EOMONTH(AE1406,0),"")</f>
        <v/>
      </c>
      <c r="AH1406" s="9">
        <f>IF(AF1406=1,UPPER(TRIM(IFERROR(INDEX($A1406:$AB1406,MATCH("Client",$A$1:$AB$1,0)),"")&amp;"")),"")</f>
        <v/>
      </c>
      <c r="AI1406" s="9">
        <f>IF(AF1406=1,IFERROR(INDEX($A1406:$AB1406,MATCH("Cost Centre",$A$1:$AB$1,0)),"")&amp;"","")</f>
        <v/>
      </c>
      <c r="AJ1406" s="54">
        <f>IF(AND(AF1406=1,AE1406&gt;=set_FYStart,AE1406&lt;=set_AsAt),1,0)</f>
        <v/>
      </c>
      <c r="AK1406" s="54">
        <f>IF(AND(AJ1406=1,AH1406&lt;&gt;"",COUNTIFS($AH$2:AH1406,AH1406,$AJ$2:AJ1406,1)=1),N(AL1405)+1,"")</f>
        <v/>
      </c>
      <c r="AL1406" s="54">
        <f>IF(AK1406&lt;&gt;"",AK1406,N(AL1405))</f>
        <v/>
      </c>
    </row>
    <row r="1407">
      <c r="A1407" t="inlineStr">
        <is>
          <t>PRD-0469</t>
        </is>
      </c>
      <c r="B1407" t="inlineStr">
        <is>
          <t>Production</t>
        </is>
      </c>
      <c r="AB1407" t="n">
        <v>469</v>
      </c>
      <c r="AD1407" s="52">
        <f>IFERROR(N(IFERROR(INDEX($A1407:$AB1407,MATCH("Xero Invoiced Ex GST",$A$1:$AB$1,0)),"")),0)</f>
        <v/>
      </c>
      <c r="AE1407" s="53">
        <f>IFERROR(INDEX($A1407:$AB1407,MATCH("Xero Invoice Date",$A$1:$AB$1,0)),"")</f>
        <v/>
      </c>
      <c r="AF1407" s="54">
        <f>IF(AND(IFERROR(INDEX($A1407:$AB1407,MATCH("Xero Invoice No",$A$1:$AB$1,0)),"")&amp;""&lt;&gt;"",ISNUMBER(AE1407),AD1407&lt;&gt;0),1,0)</f>
        <v/>
      </c>
      <c r="AG1407" s="55">
        <f>IF(AF1407=1,EOMONTH(AE1407,0),"")</f>
        <v/>
      </c>
      <c r="AH1407" s="9">
        <f>IF(AF1407=1,UPPER(TRIM(IFERROR(INDEX($A1407:$AB1407,MATCH("Client",$A$1:$AB$1,0)),"")&amp;"")),"")</f>
        <v/>
      </c>
      <c r="AI1407" s="9">
        <f>IF(AF1407=1,IFERROR(INDEX($A1407:$AB1407,MATCH("Cost Centre",$A$1:$AB$1,0)),"")&amp;"","")</f>
        <v/>
      </c>
      <c r="AJ1407" s="54">
        <f>IF(AND(AF1407=1,AE1407&gt;=set_FYStart,AE1407&lt;=set_AsAt),1,0)</f>
        <v/>
      </c>
      <c r="AK1407" s="54">
        <f>IF(AND(AJ1407=1,AH1407&lt;&gt;"",COUNTIFS($AH$2:AH1407,AH1407,$AJ$2:AJ1407,1)=1),N(AL1406)+1,"")</f>
        <v/>
      </c>
      <c r="AL1407" s="54">
        <f>IF(AK1407&lt;&gt;"",AK1407,N(AL1406))</f>
        <v/>
      </c>
    </row>
    <row r="1408">
      <c r="A1408" t="inlineStr">
        <is>
          <t>CON-0469</t>
        </is>
      </c>
      <c r="B1408" t="inlineStr">
        <is>
          <t>Consulting</t>
        </is>
      </c>
      <c r="AB1408" t="n">
        <v>469</v>
      </c>
      <c r="AD1408" s="52">
        <f>IFERROR(N(IFERROR(INDEX($A1408:$AB1408,MATCH("Xero Invoiced Ex GST",$A$1:$AB$1,0)),"")),0)</f>
        <v/>
      </c>
      <c r="AE1408" s="53">
        <f>IFERROR(INDEX($A1408:$AB1408,MATCH("Xero Invoice Date",$A$1:$AB$1,0)),"")</f>
        <v/>
      </c>
      <c r="AF1408" s="54">
        <f>IF(AND(IFERROR(INDEX($A1408:$AB1408,MATCH("Xero Invoice No",$A$1:$AB$1,0)),"")&amp;""&lt;&gt;"",ISNUMBER(AE1408),AD1408&lt;&gt;0),1,0)</f>
        <v/>
      </c>
      <c r="AG1408" s="55">
        <f>IF(AF1408=1,EOMONTH(AE1408,0),"")</f>
        <v/>
      </c>
      <c r="AH1408" s="9">
        <f>IF(AF1408=1,UPPER(TRIM(IFERROR(INDEX($A1408:$AB1408,MATCH("Client",$A$1:$AB$1,0)),"")&amp;"")),"")</f>
        <v/>
      </c>
      <c r="AI1408" s="9">
        <f>IF(AF1408=1,IFERROR(INDEX($A1408:$AB1408,MATCH("Cost Centre",$A$1:$AB$1,0)),"")&amp;"","")</f>
        <v/>
      </c>
      <c r="AJ1408" s="54">
        <f>IF(AND(AF1408=1,AE1408&gt;=set_FYStart,AE1408&lt;=set_AsAt),1,0)</f>
        <v/>
      </c>
      <c r="AK1408" s="54">
        <f>IF(AND(AJ1408=1,AH1408&lt;&gt;"",COUNTIFS($AH$2:AH1408,AH1408,$AJ$2:AJ1408,1)=1),N(AL1407)+1,"")</f>
        <v/>
      </c>
      <c r="AL1408" s="54">
        <f>IF(AK1408&lt;&gt;"",AK1408,N(AL1407))</f>
        <v/>
      </c>
    </row>
    <row r="1409">
      <c r="A1409" t="inlineStr">
        <is>
          <t>ONS-0470</t>
        </is>
      </c>
      <c r="B1409" t="inlineStr">
        <is>
          <t>Onsite</t>
        </is>
      </c>
      <c r="AB1409" t="n">
        <v>470</v>
      </c>
      <c r="AD1409" s="52">
        <f>IFERROR(N(IFERROR(INDEX($A1409:$AB1409,MATCH("Xero Invoiced Ex GST",$A$1:$AB$1,0)),"")),0)</f>
        <v/>
      </c>
      <c r="AE1409" s="53">
        <f>IFERROR(INDEX($A1409:$AB1409,MATCH("Xero Invoice Date",$A$1:$AB$1,0)),"")</f>
        <v/>
      </c>
      <c r="AF1409" s="54">
        <f>IF(AND(IFERROR(INDEX($A1409:$AB1409,MATCH("Xero Invoice No",$A$1:$AB$1,0)),"")&amp;""&lt;&gt;"",ISNUMBER(AE1409),AD1409&lt;&gt;0),1,0)</f>
        <v/>
      </c>
      <c r="AG1409" s="55">
        <f>IF(AF1409=1,EOMONTH(AE1409,0),"")</f>
        <v/>
      </c>
      <c r="AH1409" s="9">
        <f>IF(AF1409=1,UPPER(TRIM(IFERROR(INDEX($A1409:$AB1409,MATCH("Client",$A$1:$AB$1,0)),"")&amp;"")),"")</f>
        <v/>
      </c>
      <c r="AI1409" s="9">
        <f>IF(AF1409=1,IFERROR(INDEX($A1409:$AB1409,MATCH("Cost Centre",$A$1:$AB$1,0)),"")&amp;"","")</f>
        <v/>
      </c>
      <c r="AJ1409" s="54">
        <f>IF(AND(AF1409=1,AE1409&gt;=set_FYStart,AE1409&lt;=set_AsAt),1,0)</f>
        <v/>
      </c>
      <c r="AK1409" s="54">
        <f>IF(AND(AJ1409=1,AH1409&lt;&gt;"",COUNTIFS($AH$2:AH1409,AH1409,$AJ$2:AJ1409,1)=1),N(AL1408)+1,"")</f>
        <v/>
      </c>
      <c r="AL1409" s="54">
        <f>IF(AK1409&lt;&gt;"",AK1409,N(AL1408))</f>
        <v/>
      </c>
    </row>
    <row r="1410">
      <c r="A1410" t="inlineStr">
        <is>
          <t>PRD-0470</t>
        </is>
      </c>
      <c r="B1410" t="inlineStr">
        <is>
          <t>Production</t>
        </is>
      </c>
      <c r="AB1410" t="n">
        <v>470</v>
      </c>
      <c r="AD1410" s="52">
        <f>IFERROR(N(IFERROR(INDEX($A1410:$AB1410,MATCH("Xero Invoiced Ex GST",$A$1:$AB$1,0)),"")),0)</f>
        <v/>
      </c>
      <c r="AE1410" s="53">
        <f>IFERROR(INDEX($A1410:$AB1410,MATCH("Xero Invoice Date",$A$1:$AB$1,0)),"")</f>
        <v/>
      </c>
      <c r="AF1410" s="54">
        <f>IF(AND(IFERROR(INDEX($A1410:$AB1410,MATCH("Xero Invoice No",$A$1:$AB$1,0)),"")&amp;""&lt;&gt;"",ISNUMBER(AE1410),AD1410&lt;&gt;0),1,0)</f>
        <v/>
      </c>
      <c r="AG1410" s="55">
        <f>IF(AF1410=1,EOMONTH(AE1410,0),"")</f>
        <v/>
      </c>
      <c r="AH1410" s="9">
        <f>IF(AF1410=1,UPPER(TRIM(IFERROR(INDEX($A1410:$AB1410,MATCH("Client",$A$1:$AB$1,0)),"")&amp;"")),"")</f>
        <v/>
      </c>
      <c r="AI1410" s="9">
        <f>IF(AF1410=1,IFERROR(INDEX($A1410:$AB1410,MATCH("Cost Centre",$A$1:$AB$1,0)),"")&amp;"","")</f>
        <v/>
      </c>
      <c r="AJ1410" s="54">
        <f>IF(AND(AF1410=1,AE1410&gt;=set_FYStart,AE1410&lt;=set_AsAt),1,0)</f>
        <v/>
      </c>
      <c r="AK1410" s="54">
        <f>IF(AND(AJ1410=1,AH1410&lt;&gt;"",COUNTIFS($AH$2:AH1410,AH1410,$AJ$2:AJ1410,1)=1),N(AL1409)+1,"")</f>
        <v/>
      </c>
      <c r="AL1410" s="54">
        <f>IF(AK1410&lt;&gt;"",AK1410,N(AL1409))</f>
        <v/>
      </c>
    </row>
    <row r="1411">
      <c r="A1411" t="inlineStr">
        <is>
          <t>CON-0470</t>
        </is>
      </c>
      <c r="B1411" t="inlineStr">
        <is>
          <t>Consulting</t>
        </is>
      </c>
      <c r="AB1411" t="n">
        <v>470</v>
      </c>
      <c r="AD1411" s="52">
        <f>IFERROR(N(IFERROR(INDEX($A1411:$AB1411,MATCH("Xero Invoiced Ex GST",$A$1:$AB$1,0)),"")),0)</f>
        <v/>
      </c>
      <c r="AE1411" s="53">
        <f>IFERROR(INDEX($A1411:$AB1411,MATCH("Xero Invoice Date",$A$1:$AB$1,0)),"")</f>
        <v/>
      </c>
      <c r="AF1411" s="54">
        <f>IF(AND(IFERROR(INDEX($A1411:$AB1411,MATCH("Xero Invoice No",$A$1:$AB$1,0)),"")&amp;""&lt;&gt;"",ISNUMBER(AE1411),AD1411&lt;&gt;0),1,0)</f>
        <v/>
      </c>
      <c r="AG1411" s="55">
        <f>IF(AF1411=1,EOMONTH(AE1411,0),"")</f>
        <v/>
      </c>
      <c r="AH1411" s="9">
        <f>IF(AF1411=1,UPPER(TRIM(IFERROR(INDEX($A1411:$AB1411,MATCH("Client",$A$1:$AB$1,0)),"")&amp;"")),"")</f>
        <v/>
      </c>
      <c r="AI1411" s="9">
        <f>IF(AF1411=1,IFERROR(INDEX($A1411:$AB1411,MATCH("Cost Centre",$A$1:$AB$1,0)),"")&amp;"","")</f>
        <v/>
      </c>
      <c r="AJ1411" s="54">
        <f>IF(AND(AF1411=1,AE1411&gt;=set_FYStart,AE1411&lt;=set_AsAt),1,0)</f>
        <v/>
      </c>
      <c r="AK1411" s="54">
        <f>IF(AND(AJ1411=1,AH1411&lt;&gt;"",COUNTIFS($AH$2:AH1411,AH1411,$AJ$2:AJ1411,1)=1),N(AL1410)+1,"")</f>
        <v/>
      </c>
      <c r="AL1411" s="54">
        <f>IF(AK1411&lt;&gt;"",AK1411,N(AL1410))</f>
        <v/>
      </c>
    </row>
    <row r="1412">
      <c r="A1412" t="inlineStr">
        <is>
          <t>ONS-0471</t>
        </is>
      </c>
      <c r="B1412" t="inlineStr">
        <is>
          <t>Onsite</t>
        </is>
      </c>
      <c r="AB1412" t="n">
        <v>471</v>
      </c>
      <c r="AD1412" s="52">
        <f>IFERROR(N(IFERROR(INDEX($A1412:$AB1412,MATCH("Xero Invoiced Ex GST",$A$1:$AB$1,0)),"")),0)</f>
        <v/>
      </c>
      <c r="AE1412" s="53">
        <f>IFERROR(INDEX($A1412:$AB1412,MATCH("Xero Invoice Date",$A$1:$AB$1,0)),"")</f>
        <v/>
      </c>
      <c r="AF1412" s="54">
        <f>IF(AND(IFERROR(INDEX($A1412:$AB1412,MATCH("Xero Invoice No",$A$1:$AB$1,0)),"")&amp;""&lt;&gt;"",ISNUMBER(AE1412),AD1412&lt;&gt;0),1,0)</f>
        <v/>
      </c>
      <c r="AG1412" s="55">
        <f>IF(AF1412=1,EOMONTH(AE1412,0),"")</f>
        <v/>
      </c>
      <c r="AH1412" s="9">
        <f>IF(AF1412=1,UPPER(TRIM(IFERROR(INDEX($A1412:$AB1412,MATCH("Client",$A$1:$AB$1,0)),"")&amp;"")),"")</f>
        <v/>
      </c>
      <c r="AI1412" s="9">
        <f>IF(AF1412=1,IFERROR(INDEX($A1412:$AB1412,MATCH("Cost Centre",$A$1:$AB$1,0)),"")&amp;"","")</f>
        <v/>
      </c>
      <c r="AJ1412" s="54">
        <f>IF(AND(AF1412=1,AE1412&gt;=set_FYStart,AE1412&lt;=set_AsAt),1,0)</f>
        <v/>
      </c>
      <c r="AK1412" s="54">
        <f>IF(AND(AJ1412=1,AH1412&lt;&gt;"",COUNTIFS($AH$2:AH1412,AH1412,$AJ$2:AJ1412,1)=1),N(AL1411)+1,"")</f>
        <v/>
      </c>
      <c r="AL1412" s="54">
        <f>IF(AK1412&lt;&gt;"",AK1412,N(AL1411))</f>
        <v/>
      </c>
    </row>
    <row r="1413">
      <c r="A1413" t="inlineStr">
        <is>
          <t>PRD-0471</t>
        </is>
      </c>
      <c r="B1413" t="inlineStr">
        <is>
          <t>Production</t>
        </is>
      </c>
      <c r="AB1413" t="n">
        <v>471</v>
      </c>
      <c r="AD1413" s="52">
        <f>IFERROR(N(IFERROR(INDEX($A1413:$AB1413,MATCH("Xero Invoiced Ex GST",$A$1:$AB$1,0)),"")),0)</f>
        <v/>
      </c>
      <c r="AE1413" s="53">
        <f>IFERROR(INDEX($A1413:$AB1413,MATCH("Xero Invoice Date",$A$1:$AB$1,0)),"")</f>
        <v/>
      </c>
      <c r="AF1413" s="54">
        <f>IF(AND(IFERROR(INDEX($A1413:$AB1413,MATCH("Xero Invoice No",$A$1:$AB$1,0)),"")&amp;""&lt;&gt;"",ISNUMBER(AE1413),AD1413&lt;&gt;0),1,0)</f>
        <v/>
      </c>
      <c r="AG1413" s="55">
        <f>IF(AF1413=1,EOMONTH(AE1413,0),"")</f>
        <v/>
      </c>
      <c r="AH1413" s="9">
        <f>IF(AF1413=1,UPPER(TRIM(IFERROR(INDEX($A1413:$AB1413,MATCH("Client",$A$1:$AB$1,0)),"")&amp;"")),"")</f>
        <v/>
      </c>
      <c r="AI1413" s="9">
        <f>IF(AF1413=1,IFERROR(INDEX($A1413:$AB1413,MATCH("Cost Centre",$A$1:$AB$1,0)),"")&amp;"","")</f>
        <v/>
      </c>
      <c r="AJ1413" s="54">
        <f>IF(AND(AF1413=1,AE1413&gt;=set_FYStart,AE1413&lt;=set_AsAt),1,0)</f>
        <v/>
      </c>
      <c r="AK1413" s="54">
        <f>IF(AND(AJ1413=1,AH1413&lt;&gt;"",COUNTIFS($AH$2:AH1413,AH1413,$AJ$2:AJ1413,1)=1),N(AL1412)+1,"")</f>
        <v/>
      </c>
      <c r="AL1413" s="54">
        <f>IF(AK1413&lt;&gt;"",AK1413,N(AL1412))</f>
        <v/>
      </c>
    </row>
    <row r="1414">
      <c r="A1414" t="inlineStr">
        <is>
          <t>CON-0471</t>
        </is>
      </c>
      <c r="B1414" t="inlineStr">
        <is>
          <t>Consulting</t>
        </is>
      </c>
      <c r="AB1414" t="n">
        <v>471</v>
      </c>
      <c r="AD1414" s="52">
        <f>IFERROR(N(IFERROR(INDEX($A1414:$AB1414,MATCH("Xero Invoiced Ex GST",$A$1:$AB$1,0)),"")),0)</f>
        <v/>
      </c>
      <c r="AE1414" s="53">
        <f>IFERROR(INDEX($A1414:$AB1414,MATCH("Xero Invoice Date",$A$1:$AB$1,0)),"")</f>
        <v/>
      </c>
      <c r="AF1414" s="54">
        <f>IF(AND(IFERROR(INDEX($A1414:$AB1414,MATCH("Xero Invoice No",$A$1:$AB$1,0)),"")&amp;""&lt;&gt;"",ISNUMBER(AE1414),AD1414&lt;&gt;0),1,0)</f>
        <v/>
      </c>
      <c r="AG1414" s="55">
        <f>IF(AF1414=1,EOMONTH(AE1414,0),"")</f>
        <v/>
      </c>
      <c r="AH1414" s="9">
        <f>IF(AF1414=1,UPPER(TRIM(IFERROR(INDEX($A1414:$AB1414,MATCH("Client",$A$1:$AB$1,0)),"")&amp;"")),"")</f>
        <v/>
      </c>
      <c r="AI1414" s="9">
        <f>IF(AF1414=1,IFERROR(INDEX($A1414:$AB1414,MATCH("Cost Centre",$A$1:$AB$1,0)),"")&amp;"","")</f>
        <v/>
      </c>
      <c r="AJ1414" s="54">
        <f>IF(AND(AF1414=1,AE1414&gt;=set_FYStart,AE1414&lt;=set_AsAt),1,0)</f>
        <v/>
      </c>
      <c r="AK1414" s="54">
        <f>IF(AND(AJ1414=1,AH1414&lt;&gt;"",COUNTIFS($AH$2:AH1414,AH1414,$AJ$2:AJ1414,1)=1),N(AL1413)+1,"")</f>
        <v/>
      </c>
      <c r="AL1414" s="54">
        <f>IF(AK1414&lt;&gt;"",AK1414,N(AL1413))</f>
        <v/>
      </c>
    </row>
    <row r="1415">
      <c r="A1415" t="inlineStr">
        <is>
          <t>ONS-0472</t>
        </is>
      </c>
      <c r="B1415" t="inlineStr">
        <is>
          <t>Onsite</t>
        </is>
      </c>
      <c r="AB1415" t="n">
        <v>472</v>
      </c>
      <c r="AD1415" s="52">
        <f>IFERROR(N(IFERROR(INDEX($A1415:$AB1415,MATCH("Xero Invoiced Ex GST",$A$1:$AB$1,0)),"")),0)</f>
        <v/>
      </c>
      <c r="AE1415" s="53">
        <f>IFERROR(INDEX($A1415:$AB1415,MATCH("Xero Invoice Date",$A$1:$AB$1,0)),"")</f>
        <v/>
      </c>
      <c r="AF1415" s="54">
        <f>IF(AND(IFERROR(INDEX($A1415:$AB1415,MATCH("Xero Invoice No",$A$1:$AB$1,0)),"")&amp;""&lt;&gt;"",ISNUMBER(AE1415),AD1415&lt;&gt;0),1,0)</f>
        <v/>
      </c>
      <c r="AG1415" s="55">
        <f>IF(AF1415=1,EOMONTH(AE1415,0),"")</f>
        <v/>
      </c>
      <c r="AH1415" s="9">
        <f>IF(AF1415=1,UPPER(TRIM(IFERROR(INDEX($A1415:$AB1415,MATCH("Client",$A$1:$AB$1,0)),"")&amp;"")),"")</f>
        <v/>
      </c>
      <c r="AI1415" s="9">
        <f>IF(AF1415=1,IFERROR(INDEX($A1415:$AB1415,MATCH("Cost Centre",$A$1:$AB$1,0)),"")&amp;"","")</f>
        <v/>
      </c>
      <c r="AJ1415" s="54">
        <f>IF(AND(AF1415=1,AE1415&gt;=set_FYStart,AE1415&lt;=set_AsAt),1,0)</f>
        <v/>
      </c>
      <c r="AK1415" s="54">
        <f>IF(AND(AJ1415=1,AH1415&lt;&gt;"",COUNTIFS($AH$2:AH1415,AH1415,$AJ$2:AJ1415,1)=1),N(AL1414)+1,"")</f>
        <v/>
      </c>
      <c r="AL1415" s="54">
        <f>IF(AK1415&lt;&gt;"",AK1415,N(AL1414))</f>
        <v/>
      </c>
    </row>
    <row r="1416">
      <c r="A1416" t="inlineStr">
        <is>
          <t>PRD-0472</t>
        </is>
      </c>
      <c r="B1416" t="inlineStr">
        <is>
          <t>Production</t>
        </is>
      </c>
      <c r="AB1416" t="n">
        <v>472</v>
      </c>
      <c r="AD1416" s="52">
        <f>IFERROR(N(IFERROR(INDEX($A1416:$AB1416,MATCH("Xero Invoiced Ex GST",$A$1:$AB$1,0)),"")),0)</f>
        <v/>
      </c>
      <c r="AE1416" s="53">
        <f>IFERROR(INDEX($A1416:$AB1416,MATCH("Xero Invoice Date",$A$1:$AB$1,0)),"")</f>
        <v/>
      </c>
      <c r="AF1416" s="54">
        <f>IF(AND(IFERROR(INDEX($A1416:$AB1416,MATCH("Xero Invoice No",$A$1:$AB$1,0)),"")&amp;""&lt;&gt;"",ISNUMBER(AE1416),AD1416&lt;&gt;0),1,0)</f>
        <v/>
      </c>
      <c r="AG1416" s="55">
        <f>IF(AF1416=1,EOMONTH(AE1416,0),"")</f>
        <v/>
      </c>
      <c r="AH1416" s="9">
        <f>IF(AF1416=1,UPPER(TRIM(IFERROR(INDEX($A1416:$AB1416,MATCH("Client",$A$1:$AB$1,0)),"")&amp;"")),"")</f>
        <v/>
      </c>
      <c r="AI1416" s="9">
        <f>IF(AF1416=1,IFERROR(INDEX($A1416:$AB1416,MATCH("Cost Centre",$A$1:$AB$1,0)),"")&amp;"","")</f>
        <v/>
      </c>
      <c r="AJ1416" s="54">
        <f>IF(AND(AF1416=1,AE1416&gt;=set_FYStart,AE1416&lt;=set_AsAt),1,0)</f>
        <v/>
      </c>
      <c r="AK1416" s="54">
        <f>IF(AND(AJ1416=1,AH1416&lt;&gt;"",COUNTIFS($AH$2:AH1416,AH1416,$AJ$2:AJ1416,1)=1),N(AL1415)+1,"")</f>
        <v/>
      </c>
      <c r="AL1416" s="54">
        <f>IF(AK1416&lt;&gt;"",AK1416,N(AL1415))</f>
        <v/>
      </c>
    </row>
    <row r="1417">
      <c r="A1417" t="inlineStr">
        <is>
          <t>CON-0472</t>
        </is>
      </c>
      <c r="B1417" t="inlineStr">
        <is>
          <t>Consulting</t>
        </is>
      </c>
      <c r="AB1417" t="n">
        <v>472</v>
      </c>
      <c r="AD1417" s="52">
        <f>IFERROR(N(IFERROR(INDEX($A1417:$AB1417,MATCH("Xero Invoiced Ex GST",$A$1:$AB$1,0)),"")),0)</f>
        <v/>
      </c>
      <c r="AE1417" s="53">
        <f>IFERROR(INDEX($A1417:$AB1417,MATCH("Xero Invoice Date",$A$1:$AB$1,0)),"")</f>
        <v/>
      </c>
      <c r="AF1417" s="54">
        <f>IF(AND(IFERROR(INDEX($A1417:$AB1417,MATCH("Xero Invoice No",$A$1:$AB$1,0)),"")&amp;""&lt;&gt;"",ISNUMBER(AE1417),AD1417&lt;&gt;0),1,0)</f>
        <v/>
      </c>
      <c r="AG1417" s="55">
        <f>IF(AF1417=1,EOMONTH(AE1417,0),"")</f>
        <v/>
      </c>
      <c r="AH1417" s="9">
        <f>IF(AF1417=1,UPPER(TRIM(IFERROR(INDEX($A1417:$AB1417,MATCH("Client",$A$1:$AB$1,0)),"")&amp;"")),"")</f>
        <v/>
      </c>
      <c r="AI1417" s="9">
        <f>IF(AF1417=1,IFERROR(INDEX($A1417:$AB1417,MATCH("Cost Centre",$A$1:$AB$1,0)),"")&amp;"","")</f>
        <v/>
      </c>
      <c r="AJ1417" s="54">
        <f>IF(AND(AF1417=1,AE1417&gt;=set_FYStart,AE1417&lt;=set_AsAt),1,0)</f>
        <v/>
      </c>
      <c r="AK1417" s="54">
        <f>IF(AND(AJ1417=1,AH1417&lt;&gt;"",COUNTIFS($AH$2:AH1417,AH1417,$AJ$2:AJ1417,1)=1),N(AL1416)+1,"")</f>
        <v/>
      </c>
      <c r="AL1417" s="54">
        <f>IF(AK1417&lt;&gt;"",AK1417,N(AL1416))</f>
        <v/>
      </c>
    </row>
    <row r="1418">
      <c r="A1418" t="inlineStr">
        <is>
          <t>ONS-0473</t>
        </is>
      </c>
      <c r="B1418" t="inlineStr">
        <is>
          <t>Onsite</t>
        </is>
      </c>
      <c r="AB1418" t="n">
        <v>473</v>
      </c>
      <c r="AD1418" s="52">
        <f>IFERROR(N(IFERROR(INDEX($A1418:$AB1418,MATCH("Xero Invoiced Ex GST",$A$1:$AB$1,0)),"")),0)</f>
        <v/>
      </c>
      <c r="AE1418" s="53">
        <f>IFERROR(INDEX($A1418:$AB1418,MATCH("Xero Invoice Date",$A$1:$AB$1,0)),"")</f>
        <v/>
      </c>
      <c r="AF1418" s="54">
        <f>IF(AND(IFERROR(INDEX($A1418:$AB1418,MATCH("Xero Invoice No",$A$1:$AB$1,0)),"")&amp;""&lt;&gt;"",ISNUMBER(AE1418),AD1418&lt;&gt;0),1,0)</f>
        <v/>
      </c>
      <c r="AG1418" s="55">
        <f>IF(AF1418=1,EOMONTH(AE1418,0),"")</f>
        <v/>
      </c>
      <c r="AH1418" s="9">
        <f>IF(AF1418=1,UPPER(TRIM(IFERROR(INDEX($A1418:$AB1418,MATCH("Client",$A$1:$AB$1,0)),"")&amp;"")),"")</f>
        <v/>
      </c>
      <c r="AI1418" s="9">
        <f>IF(AF1418=1,IFERROR(INDEX($A1418:$AB1418,MATCH("Cost Centre",$A$1:$AB$1,0)),"")&amp;"","")</f>
        <v/>
      </c>
      <c r="AJ1418" s="54">
        <f>IF(AND(AF1418=1,AE1418&gt;=set_FYStart,AE1418&lt;=set_AsAt),1,0)</f>
        <v/>
      </c>
      <c r="AK1418" s="54">
        <f>IF(AND(AJ1418=1,AH1418&lt;&gt;"",COUNTIFS($AH$2:AH1418,AH1418,$AJ$2:AJ1418,1)=1),N(AL1417)+1,"")</f>
        <v/>
      </c>
      <c r="AL1418" s="54">
        <f>IF(AK1418&lt;&gt;"",AK1418,N(AL1417))</f>
        <v/>
      </c>
    </row>
    <row r="1419">
      <c r="A1419" t="inlineStr">
        <is>
          <t>PRD-0473</t>
        </is>
      </c>
      <c r="B1419" t="inlineStr">
        <is>
          <t>Production</t>
        </is>
      </c>
      <c r="AB1419" t="n">
        <v>473</v>
      </c>
      <c r="AD1419" s="52">
        <f>IFERROR(N(IFERROR(INDEX($A1419:$AB1419,MATCH("Xero Invoiced Ex GST",$A$1:$AB$1,0)),"")),0)</f>
        <v/>
      </c>
      <c r="AE1419" s="53">
        <f>IFERROR(INDEX($A1419:$AB1419,MATCH("Xero Invoice Date",$A$1:$AB$1,0)),"")</f>
        <v/>
      </c>
      <c r="AF1419" s="54">
        <f>IF(AND(IFERROR(INDEX($A1419:$AB1419,MATCH("Xero Invoice No",$A$1:$AB$1,0)),"")&amp;""&lt;&gt;"",ISNUMBER(AE1419),AD1419&lt;&gt;0),1,0)</f>
        <v/>
      </c>
      <c r="AG1419" s="55">
        <f>IF(AF1419=1,EOMONTH(AE1419,0),"")</f>
        <v/>
      </c>
      <c r="AH1419" s="9">
        <f>IF(AF1419=1,UPPER(TRIM(IFERROR(INDEX($A1419:$AB1419,MATCH("Client",$A$1:$AB$1,0)),"")&amp;"")),"")</f>
        <v/>
      </c>
      <c r="AI1419" s="9">
        <f>IF(AF1419=1,IFERROR(INDEX($A1419:$AB1419,MATCH("Cost Centre",$A$1:$AB$1,0)),"")&amp;"","")</f>
        <v/>
      </c>
      <c r="AJ1419" s="54">
        <f>IF(AND(AF1419=1,AE1419&gt;=set_FYStart,AE1419&lt;=set_AsAt),1,0)</f>
        <v/>
      </c>
      <c r="AK1419" s="54">
        <f>IF(AND(AJ1419=1,AH1419&lt;&gt;"",COUNTIFS($AH$2:AH1419,AH1419,$AJ$2:AJ1419,1)=1),N(AL1418)+1,"")</f>
        <v/>
      </c>
      <c r="AL1419" s="54">
        <f>IF(AK1419&lt;&gt;"",AK1419,N(AL1418))</f>
        <v/>
      </c>
    </row>
    <row r="1420">
      <c r="A1420" t="inlineStr">
        <is>
          <t>CON-0473</t>
        </is>
      </c>
      <c r="B1420" t="inlineStr">
        <is>
          <t>Consulting</t>
        </is>
      </c>
      <c r="AB1420" t="n">
        <v>473</v>
      </c>
      <c r="AD1420" s="52">
        <f>IFERROR(N(IFERROR(INDEX($A1420:$AB1420,MATCH("Xero Invoiced Ex GST",$A$1:$AB$1,0)),"")),0)</f>
        <v/>
      </c>
      <c r="AE1420" s="53">
        <f>IFERROR(INDEX($A1420:$AB1420,MATCH("Xero Invoice Date",$A$1:$AB$1,0)),"")</f>
        <v/>
      </c>
      <c r="AF1420" s="54">
        <f>IF(AND(IFERROR(INDEX($A1420:$AB1420,MATCH("Xero Invoice No",$A$1:$AB$1,0)),"")&amp;""&lt;&gt;"",ISNUMBER(AE1420),AD1420&lt;&gt;0),1,0)</f>
        <v/>
      </c>
      <c r="AG1420" s="55">
        <f>IF(AF1420=1,EOMONTH(AE1420,0),"")</f>
        <v/>
      </c>
      <c r="AH1420" s="9">
        <f>IF(AF1420=1,UPPER(TRIM(IFERROR(INDEX($A1420:$AB1420,MATCH("Client",$A$1:$AB$1,0)),"")&amp;"")),"")</f>
        <v/>
      </c>
      <c r="AI1420" s="9">
        <f>IF(AF1420=1,IFERROR(INDEX($A1420:$AB1420,MATCH("Cost Centre",$A$1:$AB$1,0)),"")&amp;"","")</f>
        <v/>
      </c>
      <c r="AJ1420" s="54">
        <f>IF(AND(AF1420=1,AE1420&gt;=set_FYStart,AE1420&lt;=set_AsAt),1,0)</f>
        <v/>
      </c>
      <c r="AK1420" s="54">
        <f>IF(AND(AJ1420=1,AH1420&lt;&gt;"",COUNTIFS($AH$2:AH1420,AH1420,$AJ$2:AJ1420,1)=1),N(AL1419)+1,"")</f>
        <v/>
      </c>
      <c r="AL1420" s="54">
        <f>IF(AK1420&lt;&gt;"",AK1420,N(AL1419))</f>
        <v/>
      </c>
    </row>
    <row r="1421">
      <c r="A1421" t="inlineStr">
        <is>
          <t>ONS-0474</t>
        </is>
      </c>
      <c r="B1421" t="inlineStr">
        <is>
          <t>Onsite</t>
        </is>
      </c>
      <c r="AB1421" t="n">
        <v>474</v>
      </c>
      <c r="AD1421" s="52">
        <f>IFERROR(N(IFERROR(INDEX($A1421:$AB1421,MATCH("Xero Invoiced Ex GST",$A$1:$AB$1,0)),"")),0)</f>
        <v/>
      </c>
      <c r="AE1421" s="53">
        <f>IFERROR(INDEX($A1421:$AB1421,MATCH("Xero Invoice Date",$A$1:$AB$1,0)),"")</f>
        <v/>
      </c>
      <c r="AF1421" s="54">
        <f>IF(AND(IFERROR(INDEX($A1421:$AB1421,MATCH("Xero Invoice No",$A$1:$AB$1,0)),"")&amp;""&lt;&gt;"",ISNUMBER(AE1421),AD1421&lt;&gt;0),1,0)</f>
        <v/>
      </c>
      <c r="AG1421" s="55">
        <f>IF(AF1421=1,EOMONTH(AE1421,0),"")</f>
        <v/>
      </c>
      <c r="AH1421" s="9">
        <f>IF(AF1421=1,UPPER(TRIM(IFERROR(INDEX($A1421:$AB1421,MATCH("Client",$A$1:$AB$1,0)),"")&amp;"")),"")</f>
        <v/>
      </c>
      <c r="AI1421" s="9">
        <f>IF(AF1421=1,IFERROR(INDEX($A1421:$AB1421,MATCH("Cost Centre",$A$1:$AB$1,0)),"")&amp;"","")</f>
        <v/>
      </c>
      <c r="AJ1421" s="54">
        <f>IF(AND(AF1421=1,AE1421&gt;=set_FYStart,AE1421&lt;=set_AsAt),1,0)</f>
        <v/>
      </c>
      <c r="AK1421" s="54">
        <f>IF(AND(AJ1421=1,AH1421&lt;&gt;"",COUNTIFS($AH$2:AH1421,AH1421,$AJ$2:AJ1421,1)=1),N(AL1420)+1,"")</f>
        <v/>
      </c>
      <c r="AL1421" s="54">
        <f>IF(AK1421&lt;&gt;"",AK1421,N(AL1420))</f>
        <v/>
      </c>
    </row>
    <row r="1422">
      <c r="A1422" t="inlineStr">
        <is>
          <t>PRD-0474</t>
        </is>
      </c>
      <c r="B1422" t="inlineStr">
        <is>
          <t>Production</t>
        </is>
      </c>
      <c r="AB1422" t="n">
        <v>474</v>
      </c>
      <c r="AD1422" s="52">
        <f>IFERROR(N(IFERROR(INDEX($A1422:$AB1422,MATCH("Xero Invoiced Ex GST",$A$1:$AB$1,0)),"")),0)</f>
        <v/>
      </c>
      <c r="AE1422" s="53">
        <f>IFERROR(INDEX($A1422:$AB1422,MATCH("Xero Invoice Date",$A$1:$AB$1,0)),"")</f>
        <v/>
      </c>
      <c r="AF1422" s="54">
        <f>IF(AND(IFERROR(INDEX($A1422:$AB1422,MATCH("Xero Invoice No",$A$1:$AB$1,0)),"")&amp;""&lt;&gt;"",ISNUMBER(AE1422),AD1422&lt;&gt;0),1,0)</f>
        <v/>
      </c>
      <c r="AG1422" s="55">
        <f>IF(AF1422=1,EOMONTH(AE1422,0),"")</f>
        <v/>
      </c>
      <c r="AH1422" s="9">
        <f>IF(AF1422=1,UPPER(TRIM(IFERROR(INDEX($A1422:$AB1422,MATCH("Client",$A$1:$AB$1,0)),"")&amp;"")),"")</f>
        <v/>
      </c>
      <c r="AI1422" s="9">
        <f>IF(AF1422=1,IFERROR(INDEX($A1422:$AB1422,MATCH("Cost Centre",$A$1:$AB$1,0)),"")&amp;"","")</f>
        <v/>
      </c>
      <c r="AJ1422" s="54">
        <f>IF(AND(AF1422=1,AE1422&gt;=set_FYStart,AE1422&lt;=set_AsAt),1,0)</f>
        <v/>
      </c>
      <c r="AK1422" s="54">
        <f>IF(AND(AJ1422=1,AH1422&lt;&gt;"",COUNTIFS($AH$2:AH1422,AH1422,$AJ$2:AJ1422,1)=1),N(AL1421)+1,"")</f>
        <v/>
      </c>
      <c r="AL1422" s="54">
        <f>IF(AK1422&lt;&gt;"",AK1422,N(AL1421))</f>
        <v/>
      </c>
    </row>
    <row r="1423">
      <c r="A1423" t="inlineStr">
        <is>
          <t>CON-0474</t>
        </is>
      </c>
      <c r="B1423" t="inlineStr">
        <is>
          <t>Consulting</t>
        </is>
      </c>
      <c r="AB1423" t="n">
        <v>474</v>
      </c>
      <c r="AD1423" s="52">
        <f>IFERROR(N(IFERROR(INDEX($A1423:$AB1423,MATCH("Xero Invoiced Ex GST",$A$1:$AB$1,0)),"")),0)</f>
        <v/>
      </c>
      <c r="AE1423" s="53">
        <f>IFERROR(INDEX($A1423:$AB1423,MATCH("Xero Invoice Date",$A$1:$AB$1,0)),"")</f>
        <v/>
      </c>
      <c r="AF1423" s="54">
        <f>IF(AND(IFERROR(INDEX($A1423:$AB1423,MATCH("Xero Invoice No",$A$1:$AB$1,0)),"")&amp;""&lt;&gt;"",ISNUMBER(AE1423),AD1423&lt;&gt;0),1,0)</f>
        <v/>
      </c>
      <c r="AG1423" s="55">
        <f>IF(AF1423=1,EOMONTH(AE1423,0),"")</f>
        <v/>
      </c>
      <c r="AH1423" s="9">
        <f>IF(AF1423=1,UPPER(TRIM(IFERROR(INDEX($A1423:$AB1423,MATCH("Client",$A$1:$AB$1,0)),"")&amp;"")),"")</f>
        <v/>
      </c>
      <c r="AI1423" s="9">
        <f>IF(AF1423=1,IFERROR(INDEX($A1423:$AB1423,MATCH("Cost Centre",$A$1:$AB$1,0)),"")&amp;"","")</f>
        <v/>
      </c>
      <c r="AJ1423" s="54">
        <f>IF(AND(AF1423=1,AE1423&gt;=set_FYStart,AE1423&lt;=set_AsAt),1,0)</f>
        <v/>
      </c>
      <c r="AK1423" s="54">
        <f>IF(AND(AJ1423=1,AH1423&lt;&gt;"",COUNTIFS($AH$2:AH1423,AH1423,$AJ$2:AJ1423,1)=1),N(AL1422)+1,"")</f>
        <v/>
      </c>
      <c r="AL1423" s="54">
        <f>IF(AK1423&lt;&gt;"",AK1423,N(AL1422))</f>
        <v/>
      </c>
    </row>
    <row r="1424">
      <c r="A1424" t="inlineStr">
        <is>
          <t>ONS-0475</t>
        </is>
      </c>
      <c r="B1424" t="inlineStr">
        <is>
          <t>Onsite</t>
        </is>
      </c>
      <c r="AB1424" t="n">
        <v>475</v>
      </c>
      <c r="AD1424" s="52">
        <f>IFERROR(N(IFERROR(INDEX($A1424:$AB1424,MATCH("Xero Invoiced Ex GST",$A$1:$AB$1,0)),"")),0)</f>
        <v/>
      </c>
      <c r="AE1424" s="53">
        <f>IFERROR(INDEX($A1424:$AB1424,MATCH("Xero Invoice Date",$A$1:$AB$1,0)),"")</f>
        <v/>
      </c>
      <c r="AF1424" s="54">
        <f>IF(AND(IFERROR(INDEX($A1424:$AB1424,MATCH("Xero Invoice No",$A$1:$AB$1,0)),"")&amp;""&lt;&gt;"",ISNUMBER(AE1424),AD1424&lt;&gt;0),1,0)</f>
        <v/>
      </c>
      <c r="AG1424" s="55">
        <f>IF(AF1424=1,EOMONTH(AE1424,0),"")</f>
        <v/>
      </c>
      <c r="AH1424" s="9">
        <f>IF(AF1424=1,UPPER(TRIM(IFERROR(INDEX($A1424:$AB1424,MATCH("Client",$A$1:$AB$1,0)),"")&amp;"")),"")</f>
        <v/>
      </c>
      <c r="AI1424" s="9">
        <f>IF(AF1424=1,IFERROR(INDEX($A1424:$AB1424,MATCH("Cost Centre",$A$1:$AB$1,0)),"")&amp;"","")</f>
        <v/>
      </c>
      <c r="AJ1424" s="54">
        <f>IF(AND(AF1424=1,AE1424&gt;=set_FYStart,AE1424&lt;=set_AsAt),1,0)</f>
        <v/>
      </c>
      <c r="AK1424" s="54">
        <f>IF(AND(AJ1424=1,AH1424&lt;&gt;"",COUNTIFS($AH$2:AH1424,AH1424,$AJ$2:AJ1424,1)=1),N(AL1423)+1,"")</f>
        <v/>
      </c>
      <c r="AL1424" s="54">
        <f>IF(AK1424&lt;&gt;"",AK1424,N(AL1423))</f>
        <v/>
      </c>
    </row>
    <row r="1425">
      <c r="A1425" t="inlineStr">
        <is>
          <t>PRD-0475</t>
        </is>
      </c>
      <c r="B1425" t="inlineStr">
        <is>
          <t>Production</t>
        </is>
      </c>
      <c r="AB1425" t="n">
        <v>475</v>
      </c>
      <c r="AD1425" s="52">
        <f>IFERROR(N(IFERROR(INDEX($A1425:$AB1425,MATCH("Xero Invoiced Ex GST",$A$1:$AB$1,0)),"")),0)</f>
        <v/>
      </c>
      <c r="AE1425" s="53">
        <f>IFERROR(INDEX($A1425:$AB1425,MATCH("Xero Invoice Date",$A$1:$AB$1,0)),"")</f>
        <v/>
      </c>
      <c r="AF1425" s="54">
        <f>IF(AND(IFERROR(INDEX($A1425:$AB1425,MATCH("Xero Invoice No",$A$1:$AB$1,0)),"")&amp;""&lt;&gt;"",ISNUMBER(AE1425),AD1425&lt;&gt;0),1,0)</f>
        <v/>
      </c>
      <c r="AG1425" s="55">
        <f>IF(AF1425=1,EOMONTH(AE1425,0),"")</f>
        <v/>
      </c>
      <c r="AH1425" s="9">
        <f>IF(AF1425=1,UPPER(TRIM(IFERROR(INDEX($A1425:$AB1425,MATCH("Client",$A$1:$AB$1,0)),"")&amp;"")),"")</f>
        <v/>
      </c>
      <c r="AI1425" s="9">
        <f>IF(AF1425=1,IFERROR(INDEX($A1425:$AB1425,MATCH("Cost Centre",$A$1:$AB$1,0)),"")&amp;"","")</f>
        <v/>
      </c>
      <c r="AJ1425" s="54">
        <f>IF(AND(AF1425=1,AE1425&gt;=set_FYStart,AE1425&lt;=set_AsAt),1,0)</f>
        <v/>
      </c>
      <c r="AK1425" s="54">
        <f>IF(AND(AJ1425=1,AH1425&lt;&gt;"",COUNTIFS($AH$2:AH1425,AH1425,$AJ$2:AJ1425,1)=1),N(AL1424)+1,"")</f>
        <v/>
      </c>
      <c r="AL1425" s="54">
        <f>IF(AK1425&lt;&gt;"",AK1425,N(AL1424))</f>
        <v/>
      </c>
    </row>
    <row r="1426">
      <c r="A1426" t="inlineStr">
        <is>
          <t>CON-0475</t>
        </is>
      </c>
      <c r="B1426" t="inlineStr">
        <is>
          <t>Consulting</t>
        </is>
      </c>
      <c r="AB1426" t="n">
        <v>475</v>
      </c>
      <c r="AD1426" s="52">
        <f>IFERROR(N(IFERROR(INDEX($A1426:$AB1426,MATCH("Xero Invoiced Ex GST",$A$1:$AB$1,0)),"")),0)</f>
        <v/>
      </c>
      <c r="AE1426" s="53">
        <f>IFERROR(INDEX($A1426:$AB1426,MATCH("Xero Invoice Date",$A$1:$AB$1,0)),"")</f>
        <v/>
      </c>
      <c r="AF1426" s="54">
        <f>IF(AND(IFERROR(INDEX($A1426:$AB1426,MATCH("Xero Invoice No",$A$1:$AB$1,0)),"")&amp;""&lt;&gt;"",ISNUMBER(AE1426),AD1426&lt;&gt;0),1,0)</f>
        <v/>
      </c>
      <c r="AG1426" s="55">
        <f>IF(AF1426=1,EOMONTH(AE1426,0),"")</f>
        <v/>
      </c>
      <c r="AH1426" s="9">
        <f>IF(AF1426=1,UPPER(TRIM(IFERROR(INDEX($A1426:$AB1426,MATCH("Client",$A$1:$AB$1,0)),"")&amp;"")),"")</f>
        <v/>
      </c>
      <c r="AI1426" s="9">
        <f>IF(AF1426=1,IFERROR(INDEX($A1426:$AB1426,MATCH("Cost Centre",$A$1:$AB$1,0)),"")&amp;"","")</f>
        <v/>
      </c>
      <c r="AJ1426" s="54">
        <f>IF(AND(AF1426=1,AE1426&gt;=set_FYStart,AE1426&lt;=set_AsAt),1,0)</f>
        <v/>
      </c>
      <c r="AK1426" s="54">
        <f>IF(AND(AJ1426=1,AH1426&lt;&gt;"",COUNTIFS($AH$2:AH1426,AH1426,$AJ$2:AJ1426,1)=1),N(AL1425)+1,"")</f>
        <v/>
      </c>
      <c r="AL1426" s="54">
        <f>IF(AK1426&lt;&gt;"",AK1426,N(AL1425))</f>
        <v/>
      </c>
    </row>
    <row r="1427">
      <c r="A1427" t="inlineStr">
        <is>
          <t>ONS-0476</t>
        </is>
      </c>
      <c r="B1427" t="inlineStr">
        <is>
          <t>Onsite</t>
        </is>
      </c>
      <c r="AB1427" t="n">
        <v>476</v>
      </c>
      <c r="AD1427" s="52">
        <f>IFERROR(N(IFERROR(INDEX($A1427:$AB1427,MATCH("Xero Invoiced Ex GST",$A$1:$AB$1,0)),"")),0)</f>
        <v/>
      </c>
      <c r="AE1427" s="53">
        <f>IFERROR(INDEX($A1427:$AB1427,MATCH("Xero Invoice Date",$A$1:$AB$1,0)),"")</f>
        <v/>
      </c>
      <c r="AF1427" s="54">
        <f>IF(AND(IFERROR(INDEX($A1427:$AB1427,MATCH("Xero Invoice No",$A$1:$AB$1,0)),"")&amp;""&lt;&gt;"",ISNUMBER(AE1427),AD1427&lt;&gt;0),1,0)</f>
        <v/>
      </c>
      <c r="AG1427" s="55">
        <f>IF(AF1427=1,EOMONTH(AE1427,0),"")</f>
        <v/>
      </c>
      <c r="AH1427" s="9">
        <f>IF(AF1427=1,UPPER(TRIM(IFERROR(INDEX($A1427:$AB1427,MATCH("Client",$A$1:$AB$1,0)),"")&amp;"")),"")</f>
        <v/>
      </c>
      <c r="AI1427" s="9">
        <f>IF(AF1427=1,IFERROR(INDEX($A1427:$AB1427,MATCH("Cost Centre",$A$1:$AB$1,0)),"")&amp;"","")</f>
        <v/>
      </c>
      <c r="AJ1427" s="54">
        <f>IF(AND(AF1427=1,AE1427&gt;=set_FYStart,AE1427&lt;=set_AsAt),1,0)</f>
        <v/>
      </c>
      <c r="AK1427" s="54">
        <f>IF(AND(AJ1427=1,AH1427&lt;&gt;"",COUNTIFS($AH$2:AH1427,AH1427,$AJ$2:AJ1427,1)=1),N(AL1426)+1,"")</f>
        <v/>
      </c>
      <c r="AL1427" s="54">
        <f>IF(AK1427&lt;&gt;"",AK1427,N(AL1426))</f>
        <v/>
      </c>
    </row>
    <row r="1428">
      <c r="A1428" t="inlineStr">
        <is>
          <t>PRD-0476</t>
        </is>
      </c>
      <c r="B1428" t="inlineStr">
        <is>
          <t>Production</t>
        </is>
      </c>
      <c r="AB1428" t="n">
        <v>476</v>
      </c>
      <c r="AD1428" s="52">
        <f>IFERROR(N(IFERROR(INDEX($A1428:$AB1428,MATCH("Xero Invoiced Ex GST",$A$1:$AB$1,0)),"")),0)</f>
        <v/>
      </c>
      <c r="AE1428" s="53">
        <f>IFERROR(INDEX($A1428:$AB1428,MATCH("Xero Invoice Date",$A$1:$AB$1,0)),"")</f>
        <v/>
      </c>
      <c r="AF1428" s="54">
        <f>IF(AND(IFERROR(INDEX($A1428:$AB1428,MATCH("Xero Invoice No",$A$1:$AB$1,0)),"")&amp;""&lt;&gt;"",ISNUMBER(AE1428),AD1428&lt;&gt;0),1,0)</f>
        <v/>
      </c>
      <c r="AG1428" s="55">
        <f>IF(AF1428=1,EOMONTH(AE1428,0),"")</f>
        <v/>
      </c>
      <c r="AH1428" s="9">
        <f>IF(AF1428=1,UPPER(TRIM(IFERROR(INDEX($A1428:$AB1428,MATCH("Client",$A$1:$AB$1,0)),"")&amp;"")),"")</f>
        <v/>
      </c>
      <c r="AI1428" s="9">
        <f>IF(AF1428=1,IFERROR(INDEX($A1428:$AB1428,MATCH("Cost Centre",$A$1:$AB$1,0)),"")&amp;"","")</f>
        <v/>
      </c>
      <c r="AJ1428" s="54">
        <f>IF(AND(AF1428=1,AE1428&gt;=set_FYStart,AE1428&lt;=set_AsAt),1,0)</f>
        <v/>
      </c>
      <c r="AK1428" s="54">
        <f>IF(AND(AJ1428=1,AH1428&lt;&gt;"",COUNTIFS($AH$2:AH1428,AH1428,$AJ$2:AJ1428,1)=1),N(AL1427)+1,"")</f>
        <v/>
      </c>
      <c r="AL1428" s="54">
        <f>IF(AK1428&lt;&gt;"",AK1428,N(AL1427))</f>
        <v/>
      </c>
    </row>
    <row r="1429">
      <c r="A1429" t="inlineStr">
        <is>
          <t>CON-0476</t>
        </is>
      </c>
      <c r="B1429" t="inlineStr">
        <is>
          <t>Consulting</t>
        </is>
      </c>
      <c r="AB1429" t="n">
        <v>476</v>
      </c>
      <c r="AD1429" s="52">
        <f>IFERROR(N(IFERROR(INDEX($A1429:$AB1429,MATCH("Xero Invoiced Ex GST",$A$1:$AB$1,0)),"")),0)</f>
        <v/>
      </c>
      <c r="AE1429" s="53">
        <f>IFERROR(INDEX($A1429:$AB1429,MATCH("Xero Invoice Date",$A$1:$AB$1,0)),"")</f>
        <v/>
      </c>
      <c r="AF1429" s="54">
        <f>IF(AND(IFERROR(INDEX($A1429:$AB1429,MATCH("Xero Invoice No",$A$1:$AB$1,0)),"")&amp;""&lt;&gt;"",ISNUMBER(AE1429),AD1429&lt;&gt;0),1,0)</f>
        <v/>
      </c>
      <c r="AG1429" s="55">
        <f>IF(AF1429=1,EOMONTH(AE1429,0),"")</f>
        <v/>
      </c>
      <c r="AH1429" s="9">
        <f>IF(AF1429=1,UPPER(TRIM(IFERROR(INDEX($A1429:$AB1429,MATCH("Client",$A$1:$AB$1,0)),"")&amp;"")),"")</f>
        <v/>
      </c>
      <c r="AI1429" s="9">
        <f>IF(AF1429=1,IFERROR(INDEX($A1429:$AB1429,MATCH("Cost Centre",$A$1:$AB$1,0)),"")&amp;"","")</f>
        <v/>
      </c>
      <c r="AJ1429" s="54">
        <f>IF(AND(AF1429=1,AE1429&gt;=set_FYStart,AE1429&lt;=set_AsAt),1,0)</f>
        <v/>
      </c>
      <c r="AK1429" s="54">
        <f>IF(AND(AJ1429=1,AH1429&lt;&gt;"",COUNTIFS($AH$2:AH1429,AH1429,$AJ$2:AJ1429,1)=1),N(AL1428)+1,"")</f>
        <v/>
      </c>
      <c r="AL1429" s="54">
        <f>IF(AK1429&lt;&gt;"",AK1429,N(AL1428))</f>
        <v/>
      </c>
    </row>
    <row r="1430">
      <c r="A1430" t="inlineStr">
        <is>
          <t>ONS-0477</t>
        </is>
      </c>
      <c r="B1430" t="inlineStr">
        <is>
          <t>Onsite</t>
        </is>
      </c>
      <c r="AB1430" t="n">
        <v>477</v>
      </c>
      <c r="AD1430" s="52">
        <f>IFERROR(N(IFERROR(INDEX($A1430:$AB1430,MATCH("Xero Invoiced Ex GST",$A$1:$AB$1,0)),"")),0)</f>
        <v/>
      </c>
      <c r="AE1430" s="53">
        <f>IFERROR(INDEX($A1430:$AB1430,MATCH("Xero Invoice Date",$A$1:$AB$1,0)),"")</f>
        <v/>
      </c>
      <c r="AF1430" s="54">
        <f>IF(AND(IFERROR(INDEX($A1430:$AB1430,MATCH("Xero Invoice No",$A$1:$AB$1,0)),"")&amp;""&lt;&gt;"",ISNUMBER(AE1430),AD1430&lt;&gt;0),1,0)</f>
        <v/>
      </c>
      <c r="AG1430" s="55">
        <f>IF(AF1430=1,EOMONTH(AE1430,0),"")</f>
        <v/>
      </c>
      <c r="AH1430" s="9">
        <f>IF(AF1430=1,UPPER(TRIM(IFERROR(INDEX($A1430:$AB1430,MATCH("Client",$A$1:$AB$1,0)),"")&amp;"")),"")</f>
        <v/>
      </c>
      <c r="AI1430" s="9">
        <f>IF(AF1430=1,IFERROR(INDEX($A1430:$AB1430,MATCH("Cost Centre",$A$1:$AB$1,0)),"")&amp;"","")</f>
        <v/>
      </c>
      <c r="AJ1430" s="54">
        <f>IF(AND(AF1430=1,AE1430&gt;=set_FYStart,AE1430&lt;=set_AsAt),1,0)</f>
        <v/>
      </c>
      <c r="AK1430" s="54">
        <f>IF(AND(AJ1430=1,AH1430&lt;&gt;"",COUNTIFS($AH$2:AH1430,AH1430,$AJ$2:AJ1430,1)=1),N(AL1429)+1,"")</f>
        <v/>
      </c>
      <c r="AL1430" s="54">
        <f>IF(AK1430&lt;&gt;"",AK1430,N(AL1429))</f>
        <v/>
      </c>
    </row>
    <row r="1431">
      <c r="A1431" t="inlineStr">
        <is>
          <t>PRD-0477</t>
        </is>
      </c>
      <c r="B1431" t="inlineStr">
        <is>
          <t>Production</t>
        </is>
      </c>
      <c r="AB1431" t="n">
        <v>477</v>
      </c>
      <c r="AD1431" s="52">
        <f>IFERROR(N(IFERROR(INDEX($A1431:$AB1431,MATCH("Xero Invoiced Ex GST",$A$1:$AB$1,0)),"")),0)</f>
        <v/>
      </c>
      <c r="AE1431" s="53">
        <f>IFERROR(INDEX($A1431:$AB1431,MATCH("Xero Invoice Date",$A$1:$AB$1,0)),"")</f>
        <v/>
      </c>
      <c r="AF1431" s="54">
        <f>IF(AND(IFERROR(INDEX($A1431:$AB1431,MATCH("Xero Invoice No",$A$1:$AB$1,0)),"")&amp;""&lt;&gt;"",ISNUMBER(AE1431),AD1431&lt;&gt;0),1,0)</f>
        <v/>
      </c>
      <c r="AG1431" s="55">
        <f>IF(AF1431=1,EOMONTH(AE1431,0),"")</f>
        <v/>
      </c>
      <c r="AH1431" s="9">
        <f>IF(AF1431=1,UPPER(TRIM(IFERROR(INDEX($A1431:$AB1431,MATCH("Client",$A$1:$AB$1,0)),"")&amp;"")),"")</f>
        <v/>
      </c>
      <c r="AI1431" s="9">
        <f>IF(AF1431=1,IFERROR(INDEX($A1431:$AB1431,MATCH("Cost Centre",$A$1:$AB$1,0)),"")&amp;"","")</f>
        <v/>
      </c>
      <c r="AJ1431" s="54">
        <f>IF(AND(AF1431=1,AE1431&gt;=set_FYStart,AE1431&lt;=set_AsAt),1,0)</f>
        <v/>
      </c>
      <c r="AK1431" s="54">
        <f>IF(AND(AJ1431=1,AH1431&lt;&gt;"",COUNTIFS($AH$2:AH1431,AH1431,$AJ$2:AJ1431,1)=1),N(AL1430)+1,"")</f>
        <v/>
      </c>
      <c r="AL1431" s="54">
        <f>IF(AK1431&lt;&gt;"",AK1431,N(AL1430))</f>
        <v/>
      </c>
    </row>
    <row r="1432">
      <c r="A1432" t="inlineStr">
        <is>
          <t>CON-0477</t>
        </is>
      </c>
      <c r="B1432" t="inlineStr">
        <is>
          <t>Consulting</t>
        </is>
      </c>
      <c r="AB1432" t="n">
        <v>477</v>
      </c>
      <c r="AD1432" s="52">
        <f>IFERROR(N(IFERROR(INDEX($A1432:$AB1432,MATCH("Xero Invoiced Ex GST",$A$1:$AB$1,0)),"")),0)</f>
        <v/>
      </c>
      <c r="AE1432" s="53">
        <f>IFERROR(INDEX($A1432:$AB1432,MATCH("Xero Invoice Date",$A$1:$AB$1,0)),"")</f>
        <v/>
      </c>
      <c r="AF1432" s="54">
        <f>IF(AND(IFERROR(INDEX($A1432:$AB1432,MATCH("Xero Invoice No",$A$1:$AB$1,0)),"")&amp;""&lt;&gt;"",ISNUMBER(AE1432),AD1432&lt;&gt;0),1,0)</f>
        <v/>
      </c>
      <c r="AG1432" s="55">
        <f>IF(AF1432=1,EOMONTH(AE1432,0),"")</f>
        <v/>
      </c>
      <c r="AH1432" s="9">
        <f>IF(AF1432=1,UPPER(TRIM(IFERROR(INDEX($A1432:$AB1432,MATCH("Client",$A$1:$AB$1,0)),"")&amp;"")),"")</f>
        <v/>
      </c>
      <c r="AI1432" s="9">
        <f>IF(AF1432=1,IFERROR(INDEX($A1432:$AB1432,MATCH("Cost Centre",$A$1:$AB$1,0)),"")&amp;"","")</f>
        <v/>
      </c>
      <c r="AJ1432" s="54">
        <f>IF(AND(AF1432=1,AE1432&gt;=set_FYStart,AE1432&lt;=set_AsAt),1,0)</f>
        <v/>
      </c>
      <c r="AK1432" s="54">
        <f>IF(AND(AJ1432=1,AH1432&lt;&gt;"",COUNTIFS($AH$2:AH1432,AH1432,$AJ$2:AJ1432,1)=1),N(AL1431)+1,"")</f>
        <v/>
      </c>
      <c r="AL1432" s="54">
        <f>IF(AK1432&lt;&gt;"",AK1432,N(AL1431))</f>
        <v/>
      </c>
    </row>
    <row r="1433">
      <c r="A1433" t="inlineStr">
        <is>
          <t>ONS-0478</t>
        </is>
      </c>
      <c r="B1433" t="inlineStr">
        <is>
          <t>Onsite</t>
        </is>
      </c>
      <c r="AB1433" t="n">
        <v>478</v>
      </c>
      <c r="AD1433" s="52">
        <f>IFERROR(N(IFERROR(INDEX($A1433:$AB1433,MATCH("Xero Invoiced Ex GST",$A$1:$AB$1,0)),"")),0)</f>
        <v/>
      </c>
      <c r="AE1433" s="53">
        <f>IFERROR(INDEX($A1433:$AB1433,MATCH("Xero Invoice Date",$A$1:$AB$1,0)),"")</f>
        <v/>
      </c>
      <c r="AF1433" s="54">
        <f>IF(AND(IFERROR(INDEX($A1433:$AB1433,MATCH("Xero Invoice No",$A$1:$AB$1,0)),"")&amp;""&lt;&gt;"",ISNUMBER(AE1433),AD1433&lt;&gt;0),1,0)</f>
        <v/>
      </c>
      <c r="AG1433" s="55">
        <f>IF(AF1433=1,EOMONTH(AE1433,0),"")</f>
        <v/>
      </c>
      <c r="AH1433" s="9">
        <f>IF(AF1433=1,UPPER(TRIM(IFERROR(INDEX($A1433:$AB1433,MATCH("Client",$A$1:$AB$1,0)),"")&amp;"")),"")</f>
        <v/>
      </c>
      <c r="AI1433" s="9">
        <f>IF(AF1433=1,IFERROR(INDEX($A1433:$AB1433,MATCH("Cost Centre",$A$1:$AB$1,0)),"")&amp;"","")</f>
        <v/>
      </c>
      <c r="AJ1433" s="54">
        <f>IF(AND(AF1433=1,AE1433&gt;=set_FYStart,AE1433&lt;=set_AsAt),1,0)</f>
        <v/>
      </c>
      <c r="AK1433" s="54">
        <f>IF(AND(AJ1433=1,AH1433&lt;&gt;"",COUNTIFS($AH$2:AH1433,AH1433,$AJ$2:AJ1433,1)=1),N(AL1432)+1,"")</f>
        <v/>
      </c>
      <c r="AL1433" s="54">
        <f>IF(AK1433&lt;&gt;"",AK1433,N(AL1432))</f>
        <v/>
      </c>
    </row>
    <row r="1434">
      <c r="A1434" t="inlineStr">
        <is>
          <t>PRD-0478</t>
        </is>
      </c>
      <c r="B1434" t="inlineStr">
        <is>
          <t>Production</t>
        </is>
      </c>
      <c r="AB1434" t="n">
        <v>478</v>
      </c>
      <c r="AD1434" s="52">
        <f>IFERROR(N(IFERROR(INDEX($A1434:$AB1434,MATCH("Xero Invoiced Ex GST",$A$1:$AB$1,0)),"")),0)</f>
        <v/>
      </c>
      <c r="AE1434" s="53">
        <f>IFERROR(INDEX($A1434:$AB1434,MATCH("Xero Invoice Date",$A$1:$AB$1,0)),"")</f>
        <v/>
      </c>
      <c r="AF1434" s="54">
        <f>IF(AND(IFERROR(INDEX($A1434:$AB1434,MATCH("Xero Invoice No",$A$1:$AB$1,0)),"")&amp;""&lt;&gt;"",ISNUMBER(AE1434),AD1434&lt;&gt;0),1,0)</f>
        <v/>
      </c>
      <c r="AG1434" s="55">
        <f>IF(AF1434=1,EOMONTH(AE1434,0),"")</f>
        <v/>
      </c>
      <c r="AH1434" s="9">
        <f>IF(AF1434=1,UPPER(TRIM(IFERROR(INDEX($A1434:$AB1434,MATCH("Client",$A$1:$AB$1,0)),"")&amp;"")),"")</f>
        <v/>
      </c>
      <c r="AI1434" s="9">
        <f>IF(AF1434=1,IFERROR(INDEX($A1434:$AB1434,MATCH("Cost Centre",$A$1:$AB$1,0)),"")&amp;"","")</f>
        <v/>
      </c>
      <c r="AJ1434" s="54">
        <f>IF(AND(AF1434=1,AE1434&gt;=set_FYStart,AE1434&lt;=set_AsAt),1,0)</f>
        <v/>
      </c>
      <c r="AK1434" s="54">
        <f>IF(AND(AJ1434=1,AH1434&lt;&gt;"",COUNTIFS($AH$2:AH1434,AH1434,$AJ$2:AJ1434,1)=1),N(AL1433)+1,"")</f>
        <v/>
      </c>
      <c r="AL1434" s="54">
        <f>IF(AK1434&lt;&gt;"",AK1434,N(AL1433))</f>
        <v/>
      </c>
    </row>
    <row r="1435">
      <c r="A1435" t="inlineStr">
        <is>
          <t>CON-0478</t>
        </is>
      </c>
      <c r="B1435" t="inlineStr">
        <is>
          <t>Consulting</t>
        </is>
      </c>
      <c r="AB1435" t="n">
        <v>478</v>
      </c>
      <c r="AD1435" s="52">
        <f>IFERROR(N(IFERROR(INDEX($A1435:$AB1435,MATCH("Xero Invoiced Ex GST",$A$1:$AB$1,0)),"")),0)</f>
        <v/>
      </c>
      <c r="AE1435" s="53">
        <f>IFERROR(INDEX($A1435:$AB1435,MATCH("Xero Invoice Date",$A$1:$AB$1,0)),"")</f>
        <v/>
      </c>
      <c r="AF1435" s="54">
        <f>IF(AND(IFERROR(INDEX($A1435:$AB1435,MATCH("Xero Invoice No",$A$1:$AB$1,0)),"")&amp;""&lt;&gt;"",ISNUMBER(AE1435),AD1435&lt;&gt;0),1,0)</f>
        <v/>
      </c>
      <c r="AG1435" s="55">
        <f>IF(AF1435=1,EOMONTH(AE1435,0),"")</f>
        <v/>
      </c>
      <c r="AH1435" s="9">
        <f>IF(AF1435=1,UPPER(TRIM(IFERROR(INDEX($A1435:$AB1435,MATCH("Client",$A$1:$AB$1,0)),"")&amp;"")),"")</f>
        <v/>
      </c>
      <c r="AI1435" s="9">
        <f>IF(AF1435=1,IFERROR(INDEX($A1435:$AB1435,MATCH("Cost Centre",$A$1:$AB$1,0)),"")&amp;"","")</f>
        <v/>
      </c>
      <c r="AJ1435" s="54">
        <f>IF(AND(AF1435=1,AE1435&gt;=set_FYStart,AE1435&lt;=set_AsAt),1,0)</f>
        <v/>
      </c>
      <c r="AK1435" s="54">
        <f>IF(AND(AJ1435=1,AH1435&lt;&gt;"",COUNTIFS($AH$2:AH1435,AH1435,$AJ$2:AJ1435,1)=1),N(AL1434)+1,"")</f>
        <v/>
      </c>
      <c r="AL1435" s="54">
        <f>IF(AK1435&lt;&gt;"",AK1435,N(AL1434))</f>
        <v/>
      </c>
    </row>
    <row r="1436">
      <c r="A1436" t="inlineStr">
        <is>
          <t>ONS-0479</t>
        </is>
      </c>
      <c r="B1436" t="inlineStr">
        <is>
          <t>Onsite</t>
        </is>
      </c>
      <c r="AB1436" t="n">
        <v>479</v>
      </c>
      <c r="AD1436" s="52">
        <f>IFERROR(N(IFERROR(INDEX($A1436:$AB1436,MATCH("Xero Invoiced Ex GST",$A$1:$AB$1,0)),"")),0)</f>
        <v/>
      </c>
      <c r="AE1436" s="53">
        <f>IFERROR(INDEX($A1436:$AB1436,MATCH("Xero Invoice Date",$A$1:$AB$1,0)),"")</f>
        <v/>
      </c>
      <c r="AF1436" s="54">
        <f>IF(AND(IFERROR(INDEX($A1436:$AB1436,MATCH("Xero Invoice No",$A$1:$AB$1,0)),"")&amp;""&lt;&gt;"",ISNUMBER(AE1436),AD1436&lt;&gt;0),1,0)</f>
        <v/>
      </c>
      <c r="AG1436" s="55">
        <f>IF(AF1436=1,EOMONTH(AE1436,0),"")</f>
        <v/>
      </c>
      <c r="AH1436" s="9">
        <f>IF(AF1436=1,UPPER(TRIM(IFERROR(INDEX($A1436:$AB1436,MATCH("Client",$A$1:$AB$1,0)),"")&amp;"")),"")</f>
        <v/>
      </c>
      <c r="AI1436" s="9">
        <f>IF(AF1436=1,IFERROR(INDEX($A1436:$AB1436,MATCH("Cost Centre",$A$1:$AB$1,0)),"")&amp;"","")</f>
        <v/>
      </c>
      <c r="AJ1436" s="54">
        <f>IF(AND(AF1436=1,AE1436&gt;=set_FYStart,AE1436&lt;=set_AsAt),1,0)</f>
        <v/>
      </c>
      <c r="AK1436" s="54">
        <f>IF(AND(AJ1436=1,AH1436&lt;&gt;"",COUNTIFS($AH$2:AH1436,AH1436,$AJ$2:AJ1436,1)=1),N(AL1435)+1,"")</f>
        <v/>
      </c>
      <c r="AL1436" s="54">
        <f>IF(AK1436&lt;&gt;"",AK1436,N(AL1435))</f>
        <v/>
      </c>
    </row>
    <row r="1437">
      <c r="A1437" t="inlineStr">
        <is>
          <t>PRD-0479</t>
        </is>
      </c>
      <c r="B1437" t="inlineStr">
        <is>
          <t>Production</t>
        </is>
      </c>
      <c r="AB1437" t="n">
        <v>479</v>
      </c>
      <c r="AD1437" s="52">
        <f>IFERROR(N(IFERROR(INDEX($A1437:$AB1437,MATCH("Xero Invoiced Ex GST",$A$1:$AB$1,0)),"")),0)</f>
        <v/>
      </c>
      <c r="AE1437" s="53">
        <f>IFERROR(INDEX($A1437:$AB1437,MATCH("Xero Invoice Date",$A$1:$AB$1,0)),"")</f>
        <v/>
      </c>
      <c r="AF1437" s="54">
        <f>IF(AND(IFERROR(INDEX($A1437:$AB1437,MATCH("Xero Invoice No",$A$1:$AB$1,0)),"")&amp;""&lt;&gt;"",ISNUMBER(AE1437),AD1437&lt;&gt;0),1,0)</f>
        <v/>
      </c>
      <c r="AG1437" s="55">
        <f>IF(AF1437=1,EOMONTH(AE1437,0),"")</f>
        <v/>
      </c>
      <c r="AH1437" s="9">
        <f>IF(AF1437=1,UPPER(TRIM(IFERROR(INDEX($A1437:$AB1437,MATCH("Client",$A$1:$AB$1,0)),"")&amp;"")),"")</f>
        <v/>
      </c>
      <c r="AI1437" s="9">
        <f>IF(AF1437=1,IFERROR(INDEX($A1437:$AB1437,MATCH("Cost Centre",$A$1:$AB$1,0)),"")&amp;"","")</f>
        <v/>
      </c>
      <c r="AJ1437" s="54">
        <f>IF(AND(AF1437=1,AE1437&gt;=set_FYStart,AE1437&lt;=set_AsAt),1,0)</f>
        <v/>
      </c>
      <c r="AK1437" s="54">
        <f>IF(AND(AJ1437=1,AH1437&lt;&gt;"",COUNTIFS($AH$2:AH1437,AH1437,$AJ$2:AJ1437,1)=1),N(AL1436)+1,"")</f>
        <v/>
      </c>
      <c r="AL1437" s="54">
        <f>IF(AK1437&lt;&gt;"",AK1437,N(AL1436))</f>
        <v/>
      </c>
    </row>
    <row r="1438">
      <c r="A1438" t="inlineStr">
        <is>
          <t>CON-0479</t>
        </is>
      </c>
      <c r="B1438" t="inlineStr">
        <is>
          <t>Consulting</t>
        </is>
      </c>
      <c r="AB1438" t="n">
        <v>479</v>
      </c>
      <c r="AD1438" s="52">
        <f>IFERROR(N(IFERROR(INDEX($A1438:$AB1438,MATCH("Xero Invoiced Ex GST",$A$1:$AB$1,0)),"")),0)</f>
        <v/>
      </c>
      <c r="AE1438" s="53">
        <f>IFERROR(INDEX($A1438:$AB1438,MATCH("Xero Invoice Date",$A$1:$AB$1,0)),"")</f>
        <v/>
      </c>
      <c r="AF1438" s="54">
        <f>IF(AND(IFERROR(INDEX($A1438:$AB1438,MATCH("Xero Invoice No",$A$1:$AB$1,0)),"")&amp;""&lt;&gt;"",ISNUMBER(AE1438),AD1438&lt;&gt;0),1,0)</f>
        <v/>
      </c>
      <c r="AG1438" s="55">
        <f>IF(AF1438=1,EOMONTH(AE1438,0),"")</f>
        <v/>
      </c>
      <c r="AH1438" s="9">
        <f>IF(AF1438=1,UPPER(TRIM(IFERROR(INDEX($A1438:$AB1438,MATCH("Client",$A$1:$AB$1,0)),"")&amp;"")),"")</f>
        <v/>
      </c>
      <c r="AI1438" s="9">
        <f>IF(AF1438=1,IFERROR(INDEX($A1438:$AB1438,MATCH("Cost Centre",$A$1:$AB$1,0)),"")&amp;"","")</f>
        <v/>
      </c>
      <c r="AJ1438" s="54">
        <f>IF(AND(AF1438=1,AE1438&gt;=set_FYStart,AE1438&lt;=set_AsAt),1,0)</f>
        <v/>
      </c>
      <c r="AK1438" s="54">
        <f>IF(AND(AJ1438=1,AH1438&lt;&gt;"",COUNTIFS($AH$2:AH1438,AH1438,$AJ$2:AJ1438,1)=1),N(AL1437)+1,"")</f>
        <v/>
      </c>
      <c r="AL1438" s="54">
        <f>IF(AK1438&lt;&gt;"",AK1438,N(AL1437))</f>
        <v/>
      </c>
    </row>
    <row r="1439">
      <c r="A1439" t="inlineStr">
        <is>
          <t>ONS-0480</t>
        </is>
      </c>
      <c r="B1439" t="inlineStr">
        <is>
          <t>Onsite</t>
        </is>
      </c>
      <c r="AB1439" t="n">
        <v>480</v>
      </c>
      <c r="AD1439" s="52">
        <f>IFERROR(N(IFERROR(INDEX($A1439:$AB1439,MATCH("Xero Invoiced Ex GST",$A$1:$AB$1,0)),"")),0)</f>
        <v/>
      </c>
      <c r="AE1439" s="53">
        <f>IFERROR(INDEX($A1439:$AB1439,MATCH("Xero Invoice Date",$A$1:$AB$1,0)),"")</f>
        <v/>
      </c>
      <c r="AF1439" s="54">
        <f>IF(AND(IFERROR(INDEX($A1439:$AB1439,MATCH("Xero Invoice No",$A$1:$AB$1,0)),"")&amp;""&lt;&gt;"",ISNUMBER(AE1439),AD1439&lt;&gt;0),1,0)</f>
        <v/>
      </c>
      <c r="AG1439" s="55">
        <f>IF(AF1439=1,EOMONTH(AE1439,0),"")</f>
        <v/>
      </c>
      <c r="AH1439" s="9">
        <f>IF(AF1439=1,UPPER(TRIM(IFERROR(INDEX($A1439:$AB1439,MATCH("Client",$A$1:$AB$1,0)),"")&amp;"")),"")</f>
        <v/>
      </c>
      <c r="AI1439" s="9">
        <f>IF(AF1439=1,IFERROR(INDEX($A1439:$AB1439,MATCH("Cost Centre",$A$1:$AB$1,0)),"")&amp;"","")</f>
        <v/>
      </c>
      <c r="AJ1439" s="54">
        <f>IF(AND(AF1439=1,AE1439&gt;=set_FYStart,AE1439&lt;=set_AsAt),1,0)</f>
        <v/>
      </c>
      <c r="AK1439" s="54">
        <f>IF(AND(AJ1439=1,AH1439&lt;&gt;"",COUNTIFS($AH$2:AH1439,AH1439,$AJ$2:AJ1439,1)=1),N(AL1438)+1,"")</f>
        <v/>
      </c>
      <c r="AL1439" s="54">
        <f>IF(AK1439&lt;&gt;"",AK1439,N(AL1438))</f>
        <v/>
      </c>
    </row>
    <row r="1440">
      <c r="A1440" t="inlineStr">
        <is>
          <t>PRD-0480</t>
        </is>
      </c>
      <c r="B1440" t="inlineStr">
        <is>
          <t>Production</t>
        </is>
      </c>
      <c r="AB1440" t="n">
        <v>480</v>
      </c>
      <c r="AD1440" s="52">
        <f>IFERROR(N(IFERROR(INDEX($A1440:$AB1440,MATCH("Xero Invoiced Ex GST",$A$1:$AB$1,0)),"")),0)</f>
        <v/>
      </c>
      <c r="AE1440" s="53">
        <f>IFERROR(INDEX($A1440:$AB1440,MATCH("Xero Invoice Date",$A$1:$AB$1,0)),"")</f>
        <v/>
      </c>
      <c r="AF1440" s="54">
        <f>IF(AND(IFERROR(INDEX($A1440:$AB1440,MATCH("Xero Invoice No",$A$1:$AB$1,0)),"")&amp;""&lt;&gt;"",ISNUMBER(AE1440),AD1440&lt;&gt;0),1,0)</f>
        <v/>
      </c>
      <c r="AG1440" s="55">
        <f>IF(AF1440=1,EOMONTH(AE1440,0),"")</f>
        <v/>
      </c>
      <c r="AH1440" s="9">
        <f>IF(AF1440=1,UPPER(TRIM(IFERROR(INDEX($A1440:$AB1440,MATCH("Client",$A$1:$AB$1,0)),"")&amp;"")),"")</f>
        <v/>
      </c>
      <c r="AI1440" s="9">
        <f>IF(AF1440=1,IFERROR(INDEX($A1440:$AB1440,MATCH("Cost Centre",$A$1:$AB$1,0)),"")&amp;"","")</f>
        <v/>
      </c>
      <c r="AJ1440" s="54">
        <f>IF(AND(AF1440=1,AE1440&gt;=set_FYStart,AE1440&lt;=set_AsAt),1,0)</f>
        <v/>
      </c>
      <c r="AK1440" s="54">
        <f>IF(AND(AJ1440=1,AH1440&lt;&gt;"",COUNTIFS($AH$2:AH1440,AH1440,$AJ$2:AJ1440,1)=1),N(AL1439)+1,"")</f>
        <v/>
      </c>
      <c r="AL1440" s="54">
        <f>IF(AK1440&lt;&gt;"",AK1440,N(AL1439))</f>
        <v/>
      </c>
    </row>
    <row r="1441">
      <c r="A1441" t="inlineStr">
        <is>
          <t>CON-0480</t>
        </is>
      </c>
      <c r="B1441" t="inlineStr">
        <is>
          <t>Consulting</t>
        </is>
      </c>
      <c r="AB1441" t="n">
        <v>480</v>
      </c>
      <c r="AD1441" s="52">
        <f>IFERROR(N(IFERROR(INDEX($A1441:$AB1441,MATCH("Xero Invoiced Ex GST",$A$1:$AB$1,0)),"")),0)</f>
        <v/>
      </c>
      <c r="AE1441" s="53">
        <f>IFERROR(INDEX($A1441:$AB1441,MATCH("Xero Invoice Date",$A$1:$AB$1,0)),"")</f>
        <v/>
      </c>
      <c r="AF1441" s="54">
        <f>IF(AND(IFERROR(INDEX($A1441:$AB1441,MATCH("Xero Invoice No",$A$1:$AB$1,0)),"")&amp;""&lt;&gt;"",ISNUMBER(AE1441),AD1441&lt;&gt;0),1,0)</f>
        <v/>
      </c>
      <c r="AG1441" s="55">
        <f>IF(AF1441=1,EOMONTH(AE1441,0),"")</f>
        <v/>
      </c>
      <c r="AH1441" s="9">
        <f>IF(AF1441=1,UPPER(TRIM(IFERROR(INDEX($A1441:$AB1441,MATCH("Client",$A$1:$AB$1,0)),"")&amp;"")),"")</f>
        <v/>
      </c>
      <c r="AI1441" s="9">
        <f>IF(AF1441=1,IFERROR(INDEX($A1441:$AB1441,MATCH("Cost Centre",$A$1:$AB$1,0)),"")&amp;"","")</f>
        <v/>
      </c>
      <c r="AJ1441" s="54">
        <f>IF(AND(AF1441=1,AE1441&gt;=set_FYStart,AE1441&lt;=set_AsAt),1,0)</f>
        <v/>
      </c>
      <c r="AK1441" s="54">
        <f>IF(AND(AJ1441=1,AH1441&lt;&gt;"",COUNTIFS($AH$2:AH1441,AH1441,$AJ$2:AJ1441,1)=1),N(AL1440)+1,"")</f>
        <v/>
      </c>
      <c r="AL1441" s="54">
        <f>IF(AK1441&lt;&gt;"",AK1441,N(AL1440))</f>
        <v/>
      </c>
    </row>
    <row r="1442">
      <c r="A1442" t="inlineStr">
        <is>
          <t>ONS-0481</t>
        </is>
      </c>
      <c r="B1442" t="inlineStr">
        <is>
          <t>Onsite</t>
        </is>
      </c>
      <c r="AB1442" t="n">
        <v>481</v>
      </c>
      <c r="AD1442" s="52">
        <f>IFERROR(N(IFERROR(INDEX($A1442:$AB1442,MATCH("Xero Invoiced Ex GST",$A$1:$AB$1,0)),"")),0)</f>
        <v/>
      </c>
      <c r="AE1442" s="53">
        <f>IFERROR(INDEX($A1442:$AB1442,MATCH("Xero Invoice Date",$A$1:$AB$1,0)),"")</f>
        <v/>
      </c>
      <c r="AF1442" s="54">
        <f>IF(AND(IFERROR(INDEX($A1442:$AB1442,MATCH("Xero Invoice No",$A$1:$AB$1,0)),"")&amp;""&lt;&gt;"",ISNUMBER(AE1442),AD1442&lt;&gt;0),1,0)</f>
        <v/>
      </c>
      <c r="AG1442" s="55">
        <f>IF(AF1442=1,EOMONTH(AE1442,0),"")</f>
        <v/>
      </c>
      <c r="AH1442" s="9">
        <f>IF(AF1442=1,UPPER(TRIM(IFERROR(INDEX($A1442:$AB1442,MATCH("Client",$A$1:$AB$1,0)),"")&amp;"")),"")</f>
        <v/>
      </c>
      <c r="AI1442" s="9">
        <f>IF(AF1442=1,IFERROR(INDEX($A1442:$AB1442,MATCH("Cost Centre",$A$1:$AB$1,0)),"")&amp;"","")</f>
        <v/>
      </c>
      <c r="AJ1442" s="54">
        <f>IF(AND(AF1442=1,AE1442&gt;=set_FYStart,AE1442&lt;=set_AsAt),1,0)</f>
        <v/>
      </c>
      <c r="AK1442" s="54">
        <f>IF(AND(AJ1442=1,AH1442&lt;&gt;"",COUNTIFS($AH$2:AH1442,AH1442,$AJ$2:AJ1442,1)=1),N(AL1441)+1,"")</f>
        <v/>
      </c>
      <c r="AL1442" s="54">
        <f>IF(AK1442&lt;&gt;"",AK1442,N(AL1441))</f>
        <v/>
      </c>
    </row>
    <row r="1443">
      <c r="A1443" t="inlineStr">
        <is>
          <t>PRD-0481</t>
        </is>
      </c>
      <c r="B1443" t="inlineStr">
        <is>
          <t>Production</t>
        </is>
      </c>
      <c r="AB1443" t="n">
        <v>481</v>
      </c>
      <c r="AD1443" s="52">
        <f>IFERROR(N(IFERROR(INDEX($A1443:$AB1443,MATCH("Xero Invoiced Ex GST",$A$1:$AB$1,0)),"")),0)</f>
        <v/>
      </c>
      <c r="AE1443" s="53">
        <f>IFERROR(INDEX($A1443:$AB1443,MATCH("Xero Invoice Date",$A$1:$AB$1,0)),"")</f>
        <v/>
      </c>
      <c r="AF1443" s="54">
        <f>IF(AND(IFERROR(INDEX($A1443:$AB1443,MATCH("Xero Invoice No",$A$1:$AB$1,0)),"")&amp;""&lt;&gt;"",ISNUMBER(AE1443),AD1443&lt;&gt;0),1,0)</f>
        <v/>
      </c>
      <c r="AG1443" s="55">
        <f>IF(AF1443=1,EOMONTH(AE1443,0),"")</f>
        <v/>
      </c>
      <c r="AH1443" s="9">
        <f>IF(AF1443=1,UPPER(TRIM(IFERROR(INDEX($A1443:$AB1443,MATCH("Client",$A$1:$AB$1,0)),"")&amp;"")),"")</f>
        <v/>
      </c>
      <c r="AI1443" s="9">
        <f>IF(AF1443=1,IFERROR(INDEX($A1443:$AB1443,MATCH("Cost Centre",$A$1:$AB$1,0)),"")&amp;"","")</f>
        <v/>
      </c>
      <c r="AJ1443" s="54">
        <f>IF(AND(AF1443=1,AE1443&gt;=set_FYStart,AE1443&lt;=set_AsAt),1,0)</f>
        <v/>
      </c>
      <c r="AK1443" s="54">
        <f>IF(AND(AJ1443=1,AH1443&lt;&gt;"",COUNTIFS($AH$2:AH1443,AH1443,$AJ$2:AJ1443,1)=1),N(AL1442)+1,"")</f>
        <v/>
      </c>
      <c r="AL1443" s="54">
        <f>IF(AK1443&lt;&gt;"",AK1443,N(AL1442))</f>
        <v/>
      </c>
    </row>
    <row r="1444">
      <c r="A1444" t="inlineStr">
        <is>
          <t>CON-0481</t>
        </is>
      </c>
      <c r="B1444" t="inlineStr">
        <is>
          <t>Consulting</t>
        </is>
      </c>
      <c r="AB1444" t="n">
        <v>481</v>
      </c>
      <c r="AD1444" s="52">
        <f>IFERROR(N(IFERROR(INDEX($A1444:$AB1444,MATCH("Xero Invoiced Ex GST",$A$1:$AB$1,0)),"")),0)</f>
        <v/>
      </c>
      <c r="AE1444" s="53">
        <f>IFERROR(INDEX($A1444:$AB1444,MATCH("Xero Invoice Date",$A$1:$AB$1,0)),"")</f>
        <v/>
      </c>
      <c r="AF1444" s="54">
        <f>IF(AND(IFERROR(INDEX($A1444:$AB1444,MATCH("Xero Invoice No",$A$1:$AB$1,0)),"")&amp;""&lt;&gt;"",ISNUMBER(AE1444),AD1444&lt;&gt;0),1,0)</f>
        <v/>
      </c>
      <c r="AG1444" s="55">
        <f>IF(AF1444=1,EOMONTH(AE1444,0),"")</f>
        <v/>
      </c>
      <c r="AH1444" s="9">
        <f>IF(AF1444=1,UPPER(TRIM(IFERROR(INDEX($A1444:$AB1444,MATCH("Client",$A$1:$AB$1,0)),"")&amp;"")),"")</f>
        <v/>
      </c>
      <c r="AI1444" s="9">
        <f>IF(AF1444=1,IFERROR(INDEX($A1444:$AB1444,MATCH("Cost Centre",$A$1:$AB$1,0)),"")&amp;"","")</f>
        <v/>
      </c>
      <c r="AJ1444" s="54">
        <f>IF(AND(AF1444=1,AE1444&gt;=set_FYStart,AE1444&lt;=set_AsAt),1,0)</f>
        <v/>
      </c>
      <c r="AK1444" s="54">
        <f>IF(AND(AJ1444=1,AH1444&lt;&gt;"",COUNTIFS($AH$2:AH1444,AH1444,$AJ$2:AJ1444,1)=1),N(AL1443)+1,"")</f>
        <v/>
      </c>
      <c r="AL1444" s="54">
        <f>IF(AK1444&lt;&gt;"",AK1444,N(AL1443))</f>
        <v/>
      </c>
    </row>
    <row r="1445">
      <c r="A1445" t="inlineStr">
        <is>
          <t>ONS-0482</t>
        </is>
      </c>
      <c r="B1445" t="inlineStr">
        <is>
          <t>Onsite</t>
        </is>
      </c>
      <c r="AB1445" t="n">
        <v>482</v>
      </c>
      <c r="AD1445" s="52">
        <f>IFERROR(N(IFERROR(INDEX($A1445:$AB1445,MATCH("Xero Invoiced Ex GST",$A$1:$AB$1,0)),"")),0)</f>
        <v/>
      </c>
      <c r="AE1445" s="53">
        <f>IFERROR(INDEX($A1445:$AB1445,MATCH("Xero Invoice Date",$A$1:$AB$1,0)),"")</f>
        <v/>
      </c>
      <c r="AF1445" s="54">
        <f>IF(AND(IFERROR(INDEX($A1445:$AB1445,MATCH("Xero Invoice No",$A$1:$AB$1,0)),"")&amp;""&lt;&gt;"",ISNUMBER(AE1445),AD1445&lt;&gt;0),1,0)</f>
        <v/>
      </c>
      <c r="AG1445" s="55">
        <f>IF(AF1445=1,EOMONTH(AE1445,0),"")</f>
        <v/>
      </c>
      <c r="AH1445" s="9">
        <f>IF(AF1445=1,UPPER(TRIM(IFERROR(INDEX($A1445:$AB1445,MATCH("Client",$A$1:$AB$1,0)),"")&amp;"")),"")</f>
        <v/>
      </c>
      <c r="AI1445" s="9">
        <f>IF(AF1445=1,IFERROR(INDEX($A1445:$AB1445,MATCH("Cost Centre",$A$1:$AB$1,0)),"")&amp;"","")</f>
        <v/>
      </c>
      <c r="AJ1445" s="54">
        <f>IF(AND(AF1445=1,AE1445&gt;=set_FYStart,AE1445&lt;=set_AsAt),1,0)</f>
        <v/>
      </c>
      <c r="AK1445" s="54">
        <f>IF(AND(AJ1445=1,AH1445&lt;&gt;"",COUNTIFS($AH$2:AH1445,AH1445,$AJ$2:AJ1445,1)=1),N(AL1444)+1,"")</f>
        <v/>
      </c>
      <c r="AL1445" s="54">
        <f>IF(AK1445&lt;&gt;"",AK1445,N(AL1444))</f>
        <v/>
      </c>
    </row>
    <row r="1446">
      <c r="A1446" t="inlineStr">
        <is>
          <t>PRD-0482</t>
        </is>
      </c>
      <c r="B1446" t="inlineStr">
        <is>
          <t>Production</t>
        </is>
      </c>
      <c r="AB1446" t="n">
        <v>482</v>
      </c>
      <c r="AD1446" s="52">
        <f>IFERROR(N(IFERROR(INDEX($A1446:$AB1446,MATCH("Xero Invoiced Ex GST",$A$1:$AB$1,0)),"")),0)</f>
        <v/>
      </c>
      <c r="AE1446" s="53">
        <f>IFERROR(INDEX($A1446:$AB1446,MATCH("Xero Invoice Date",$A$1:$AB$1,0)),"")</f>
        <v/>
      </c>
      <c r="AF1446" s="54">
        <f>IF(AND(IFERROR(INDEX($A1446:$AB1446,MATCH("Xero Invoice No",$A$1:$AB$1,0)),"")&amp;""&lt;&gt;"",ISNUMBER(AE1446),AD1446&lt;&gt;0),1,0)</f>
        <v/>
      </c>
      <c r="AG1446" s="55">
        <f>IF(AF1446=1,EOMONTH(AE1446,0),"")</f>
        <v/>
      </c>
      <c r="AH1446" s="9">
        <f>IF(AF1446=1,UPPER(TRIM(IFERROR(INDEX($A1446:$AB1446,MATCH("Client",$A$1:$AB$1,0)),"")&amp;"")),"")</f>
        <v/>
      </c>
      <c r="AI1446" s="9">
        <f>IF(AF1446=1,IFERROR(INDEX($A1446:$AB1446,MATCH("Cost Centre",$A$1:$AB$1,0)),"")&amp;"","")</f>
        <v/>
      </c>
      <c r="AJ1446" s="54">
        <f>IF(AND(AF1446=1,AE1446&gt;=set_FYStart,AE1446&lt;=set_AsAt),1,0)</f>
        <v/>
      </c>
      <c r="AK1446" s="54">
        <f>IF(AND(AJ1446=1,AH1446&lt;&gt;"",COUNTIFS($AH$2:AH1446,AH1446,$AJ$2:AJ1446,1)=1),N(AL1445)+1,"")</f>
        <v/>
      </c>
      <c r="AL1446" s="54">
        <f>IF(AK1446&lt;&gt;"",AK1446,N(AL1445))</f>
        <v/>
      </c>
    </row>
    <row r="1447">
      <c r="A1447" t="inlineStr">
        <is>
          <t>CON-0482</t>
        </is>
      </c>
      <c r="B1447" t="inlineStr">
        <is>
          <t>Consulting</t>
        </is>
      </c>
      <c r="AB1447" t="n">
        <v>482</v>
      </c>
      <c r="AD1447" s="52">
        <f>IFERROR(N(IFERROR(INDEX($A1447:$AB1447,MATCH("Xero Invoiced Ex GST",$A$1:$AB$1,0)),"")),0)</f>
        <v/>
      </c>
      <c r="AE1447" s="53">
        <f>IFERROR(INDEX($A1447:$AB1447,MATCH("Xero Invoice Date",$A$1:$AB$1,0)),"")</f>
        <v/>
      </c>
      <c r="AF1447" s="54">
        <f>IF(AND(IFERROR(INDEX($A1447:$AB1447,MATCH("Xero Invoice No",$A$1:$AB$1,0)),"")&amp;""&lt;&gt;"",ISNUMBER(AE1447),AD1447&lt;&gt;0),1,0)</f>
        <v/>
      </c>
      <c r="AG1447" s="55">
        <f>IF(AF1447=1,EOMONTH(AE1447,0),"")</f>
        <v/>
      </c>
      <c r="AH1447" s="9">
        <f>IF(AF1447=1,UPPER(TRIM(IFERROR(INDEX($A1447:$AB1447,MATCH("Client",$A$1:$AB$1,0)),"")&amp;"")),"")</f>
        <v/>
      </c>
      <c r="AI1447" s="9">
        <f>IF(AF1447=1,IFERROR(INDEX($A1447:$AB1447,MATCH("Cost Centre",$A$1:$AB$1,0)),"")&amp;"","")</f>
        <v/>
      </c>
      <c r="AJ1447" s="54">
        <f>IF(AND(AF1447=1,AE1447&gt;=set_FYStart,AE1447&lt;=set_AsAt),1,0)</f>
        <v/>
      </c>
      <c r="AK1447" s="54">
        <f>IF(AND(AJ1447=1,AH1447&lt;&gt;"",COUNTIFS($AH$2:AH1447,AH1447,$AJ$2:AJ1447,1)=1),N(AL1446)+1,"")</f>
        <v/>
      </c>
      <c r="AL1447" s="54">
        <f>IF(AK1447&lt;&gt;"",AK1447,N(AL1446))</f>
        <v/>
      </c>
    </row>
    <row r="1448">
      <c r="A1448" t="inlineStr">
        <is>
          <t>ONS-0483</t>
        </is>
      </c>
      <c r="B1448" t="inlineStr">
        <is>
          <t>Onsite</t>
        </is>
      </c>
      <c r="AB1448" t="n">
        <v>483</v>
      </c>
      <c r="AD1448" s="52">
        <f>IFERROR(N(IFERROR(INDEX($A1448:$AB1448,MATCH("Xero Invoiced Ex GST",$A$1:$AB$1,0)),"")),0)</f>
        <v/>
      </c>
      <c r="AE1448" s="53">
        <f>IFERROR(INDEX($A1448:$AB1448,MATCH("Xero Invoice Date",$A$1:$AB$1,0)),"")</f>
        <v/>
      </c>
      <c r="AF1448" s="54">
        <f>IF(AND(IFERROR(INDEX($A1448:$AB1448,MATCH("Xero Invoice No",$A$1:$AB$1,0)),"")&amp;""&lt;&gt;"",ISNUMBER(AE1448),AD1448&lt;&gt;0),1,0)</f>
        <v/>
      </c>
      <c r="AG1448" s="55">
        <f>IF(AF1448=1,EOMONTH(AE1448,0),"")</f>
        <v/>
      </c>
      <c r="AH1448" s="9">
        <f>IF(AF1448=1,UPPER(TRIM(IFERROR(INDEX($A1448:$AB1448,MATCH("Client",$A$1:$AB$1,0)),"")&amp;"")),"")</f>
        <v/>
      </c>
      <c r="AI1448" s="9">
        <f>IF(AF1448=1,IFERROR(INDEX($A1448:$AB1448,MATCH("Cost Centre",$A$1:$AB$1,0)),"")&amp;"","")</f>
        <v/>
      </c>
      <c r="AJ1448" s="54">
        <f>IF(AND(AF1448=1,AE1448&gt;=set_FYStart,AE1448&lt;=set_AsAt),1,0)</f>
        <v/>
      </c>
      <c r="AK1448" s="54">
        <f>IF(AND(AJ1448=1,AH1448&lt;&gt;"",COUNTIFS($AH$2:AH1448,AH1448,$AJ$2:AJ1448,1)=1),N(AL1447)+1,"")</f>
        <v/>
      </c>
      <c r="AL1448" s="54">
        <f>IF(AK1448&lt;&gt;"",AK1448,N(AL1447))</f>
        <v/>
      </c>
    </row>
    <row r="1449">
      <c r="A1449" t="inlineStr">
        <is>
          <t>PRD-0483</t>
        </is>
      </c>
      <c r="B1449" t="inlineStr">
        <is>
          <t>Production</t>
        </is>
      </c>
      <c r="AB1449" t="n">
        <v>483</v>
      </c>
      <c r="AD1449" s="52">
        <f>IFERROR(N(IFERROR(INDEX($A1449:$AB1449,MATCH("Xero Invoiced Ex GST",$A$1:$AB$1,0)),"")),0)</f>
        <v/>
      </c>
      <c r="AE1449" s="53">
        <f>IFERROR(INDEX($A1449:$AB1449,MATCH("Xero Invoice Date",$A$1:$AB$1,0)),"")</f>
        <v/>
      </c>
      <c r="AF1449" s="54">
        <f>IF(AND(IFERROR(INDEX($A1449:$AB1449,MATCH("Xero Invoice No",$A$1:$AB$1,0)),"")&amp;""&lt;&gt;"",ISNUMBER(AE1449),AD1449&lt;&gt;0),1,0)</f>
        <v/>
      </c>
      <c r="AG1449" s="55">
        <f>IF(AF1449=1,EOMONTH(AE1449,0),"")</f>
        <v/>
      </c>
      <c r="AH1449" s="9">
        <f>IF(AF1449=1,UPPER(TRIM(IFERROR(INDEX($A1449:$AB1449,MATCH("Client",$A$1:$AB$1,0)),"")&amp;"")),"")</f>
        <v/>
      </c>
      <c r="AI1449" s="9">
        <f>IF(AF1449=1,IFERROR(INDEX($A1449:$AB1449,MATCH("Cost Centre",$A$1:$AB$1,0)),"")&amp;"","")</f>
        <v/>
      </c>
      <c r="AJ1449" s="54">
        <f>IF(AND(AF1449=1,AE1449&gt;=set_FYStart,AE1449&lt;=set_AsAt),1,0)</f>
        <v/>
      </c>
      <c r="AK1449" s="54">
        <f>IF(AND(AJ1449=1,AH1449&lt;&gt;"",COUNTIFS($AH$2:AH1449,AH1449,$AJ$2:AJ1449,1)=1),N(AL1448)+1,"")</f>
        <v/>
      </c>
      <c r="AL1449" s="54">
        <f>IF(AK1449&lt;&gt;"",AK1449,N(AL1448))</f>
        <v/>
      </c>
    </row>
    <row r="1450">
      <c r="A1450" t="inlineStr">
        <is>
          <t>CON-0483</t>
        </is>
      </c>
      <c r="B1450" t="inlineStr">
        <is>
          <t>Consulting</t>
        </is>
      </c>
      <c r="AB1450" t="n">
        <v>483</v>
      </c>
      <c r="AD1450" s="52">
        <f>IFERROR(N(IFERROR(INDEX($A1450:$AB1450,MATCH("Xero Invoiced Ex GST",$A$1:$AB$1,0)),"")),0)</f>
        <v/>
      </c>
      <c r="AE1450" s="53">
        <f>IFERROR(INDEX($A1450:$AB1450,MATCH("Xero Invoice Date",$A$1:$AB$1,0)),"")</f>
        <v/>
      </c>
      <c r="AF1450" s="54">
        <f>IF(AND(IFERROR(INDEX($A1450:$AB1450,MATCH("Xero Invoice No",$A$1:$AB$1,0)),"")&amp;""&lt;&gt;"",ISNUMBER(AE1450),AD1450&lt;&gt;0),1,0)</f>
        <v/>
      </c>
      <c r="AG1450" s="55">
        <f>IF(AF1450=1,EOMONTH(AE1450,0),"")</f>
        <v/>
      </c>
      <c r="AH1450" s="9">
        <f>IF(AF1450=1,UPPER(TRIM(IFERROR(INDEX($A1450:$AB1450,MATCH("Client",$A$1:$AB$1,0)),"")&amp;"")),"")</f>
        <v/>
      </c>
      <c r="AI1450" s="9">
        <f>IF(AF1450=1,IFERROR(INDEX($A1450:$AB1450,MATCH("Cost Centre",$A$1:$AB$1,0)),"")&amp;"","")</f>
        <v/>
      </c>
      <c r="AJ1450" s="54">
        <f>IF(AND(AF1450=1,AE1450&gt;=set_FYStart,AE1450&lt;=set_AsAt),1,0)</f>
        <v/>
      </c>
      <c r="AK1450" s="54">
        <f>IF(AND(AJ1450=1,AH1450&lt;&gt;"",COUNTIFS($AH$2:AH1450,AH1450,$AJ$2:AJ1450,1)=1),N(AL1449)+1,"")</f>
        <v/>
      </c>
      <c r="AL1450" s="54">
        <f>IF(AK1450&lt;&gt;"",AK1450,N(AL1449))</f>
        <v/>
      </c>
    </row>
    <row r="1451">
      <c r="A1451" t="inlineStr">
        <is>
          <t>ONS-0484</t>
        </is>
      </c>
      <c r="B1451" t="inlineStr">
        <is>
          <t>Onsite</t>
        </is>
      </c>
      <c r="AB1451" t="n">
        <v>484</v>
      </c>
      <c r="AD1451" s="52">
        <f>IFERROR(N(IFERROR(INDEX($A1451:$AB1451,MATCH("Xero Invoiced Ex GST",$A$1:$AB$1,0)),"")),0)</f>
        <v/>
      </c>
      <c r="AE1451" s="53">
        <f>IFERROR(INDEX($A1451:$AB1451,MATCH("Xero Invoice Date",$A$1:$AB$1,0)),"")</f>
        <v/>
      </c>
      <c r="AF1451" s="54">
        <f>IF(AND(IFERROR(INDEX($A1451:$AB1451,MATCH("Xero Invoice No",$A$1:$AB$1,0)),"")&amp;""&lt;&gt;"",ISNUMBER(AE1451),AD1451&lt;&gt;0),1,0)</f>
        <v/>
      </c>
      <c r="AG1451" s="55">
        <f>IF(AF1451=1,EOMONTH(AE1451,0),"")</f>
        <v/>
      </c>
      <c r="AH1451" s="9">
        <f>IF(AF1451=1,UPPER(TRIM(IFERROR(INDEX($A1451:$AB1451,MATCH("Client",$A$1:$AB$1,0)),"")&amp;"")),"")</f>
        <v/>
      </c>
      <c r="AI1451" s="9">
        <f>IF(AF1451=1,IFERROR(INDEX($A1451:$AB1451,MATCH("Cost Centre",$A$1:$AB$1,0)),"")&amp;"","")</f>
        <v/>
      </c>
      <c r="AJ1451" s="54">
        <f>IF(AND(AF1451=1,AE1451&gt;=set_FYStart,AE1451&lt;=set_AsAt),1,0)</f>
        <v/>
      </c>
      <c r="AK1451" s="54">
        <f>IF(AND(AJ1451=1,AH1451&lt;&gt;"",COUNTIFS($AH$2:AH1451,AH1451,$AJ$2:AJ1451,1)=1),N(AL1450)+1,"")</f>
        <v/>
      </c>
      <c r="AL1451" s="54">
        <f>IF(AK1451&lt;&gt;"",AK1451,N(AL1450))</f>
        <v/>
      </c>
    </row>
    <row r="1452">
      <c r="A1452" t="inlineStr">
        <is>
          <t>PRD-0484</t>
        </is>
      </c>
      <c r="B1452" t="inlineStr">
        <is>
          <t>Production</t>
        </is>
      </c>
      <c r="AB1452" t="n">
        <v>484</v>
      </c>
      <c r="AD1452" s="52">
        <f>IFERROR(N(IFERROR(INDEX($A1452:$AB1452,MATCH("Xero Invoiced Ex GST",$A$1:$AB$1,0)),"")),0)</f>
        <v/>
      </c>
      <c r="AE1452" s="53">
        <f>IFERROR(INDEX($A1452:$AB1452,MATCH("Xero Invoice Date",$A$1:$AB$1,0)),"")</f>
        <v/>
      </c>
      <c r="AF1452" s="54">
        <f>IF(AND(IFERROR(INDEX($A1452:$AB1452,MATCH("Xero Invoice No",$A$1:$AB$1,0)),"")&amp;""&lt;&gt;"",ISNUMBER(AE1452),AD1452&lt;&gt;0),1,0)</f>
        <v/>
      </c>
      <c r="AG1452" s="55">
        <f>IF(AF1452=1,EOMONTH(AE1452,0),"")</f>
        <v/>
      </c>
      <c r="AH1452" s="9">
        <f>IF(AF1452=1,UPPER(TRIM(IFERROR(INDEX($A1452:$AB1452,MATCH("Client",$A$1:$AB$1,0)),"")&amp;"")),"")</f>
        <v/>
      </c>
      <c r="AI1452" s="9">
        <f>IF(AF1452=1,IFERROR(INDEX($A1452:$AB1452,MATCH("Cost Centre",$A$1:$AB$1,0)),"")&amp;"","")</f>
        <v/>
      </c>
      <c r="AJ1452" s="54">
        <f>IF(AND(AF1452=1,AE1452&gt;=set_FYStart,AE1452&lt;=set_AsAt),1,0)</f>
        <v/>
      </c>
      <c r="AK1452" s="54">
        <f>IF(AND(AJ1452=1,AH1452&lt;&gt;"",COUNTIFS($AH$2:AH1452,AH1452,$AJ$2:AJ1452,1)=1),N(AL1451)+1,"")</f>
        <v/>
      </c>
      <c r="AL1452" s="54">
        <f>IF(AK1452&lt;&gt;"",AK1452,N(AL1451))</f>
        <v/>
      </c>
    </row>
    <row r="1453">
      <c r="A1453" t="inlineStr">
        <is>
          <t>CON-0484</t>
        </is>
      </c>
      <c r="B1453" t="inlineStr">
        <is>
          <t>Consulting</t>
        </is>
      </c>
      <c r="AB1453" t="n">
        <v>484</v>
      </c>
      <c r="AD1453" s="52">
        <f>IFERROR(N(IFERROR(INDEX($A1453:$AB1453,MATCH("Xero Invoiced Ex GST",$A$1:$AB$1,0)),"")),0)</f>
        <v/>
      </c>
      <c r="AE1453" s="53">
        <f>IFERROR(INDEX($A1453:$AB1453,MATCH("Xero Invoice Date",$A$1:$AB$1,0)),"")</f>
        <v/>
      </c>
      <c r="AF1453" s="54">
        <f>IF(AND(IFERROR(INDEX($A1453:$AB1453,MATCH("Xero Invoice No",$A$1:$AB$1,0)),"")&amp;""&lt;&gt;"",ISNUMBER(AE1453),AD1453&lt;&gt;0),1,0)</f>
        <v/>
      </c>
      <c r="AG1453" s="55">
        <f>IF(AF1453=1,EOMONTH(AE1453,0),"")</f>
        <v/>
      </c>
      <c r="AH1453" s="9">
        <f>IF(AF1453=1,UPPER(TRIM(IFERROR(INDEX($A1453:$AB1453,MATCH("Client",$A$1:$AB$1,0)),"")&amp;"")),"")</f>
        <v/>
      </c>
      <c r="AI1453" s="9">
        <f>IF(AF1453=1,IFERROR(INDEX($A1453:$AB1453,MATCH("Cost Centre",$A$1:$AB$1,0)),"")&amp;"","")</f>
        <v/>
      </c>
      <c r="AJ1453" s="54">
        <f>IF(AND(AF1453=1,AE1453&gt;=set_FYStart,AE1453&lt;=set_AsAt),1,0)</f>
        <v/>
      </c>
      <c r="AK1453" s="54">
        <f>IF(AND(AJ1453=1,AH1453&lt;&gt;"",COUNTIFS($AH$2:AH1453,AH1453,$AJ$2:AJ1453,1)=1),N(AL1452)+1,"")</f>
        <v/>
      </c>
      <c r="AL1453" s="54">
        <f>IF(AK1453&lt;&gt;"",AK1453,N(AL1452))</f>
        <v/>
      </c>
    </row>
    <row r="1454">
      <c r="A1454" t="inlineStr">
        <is>
          <t>ONS-0485</t>
        </is>
      </c>
      <c r="B1454" t="inlineStr">
        <is>
          <t>Onsite</t>
        </is>
      </c>
      <c r="AB1454" t="n">
        <v>485</v>
      </c>
      <c r="AD1454" s="52">
        <f>IFERROR(N(IFERROR(INDEX($A1454:$AB1454,MATCH("Xero Invoiced Ex GST",$A$1:$AB$1,0)),"")),0)</f>
        <v/>
      </c>
      <c r="AE1454" s="53">
        <f>IFERROR(INDEX($A1454:$AB1454,MATCH("Xero Invoice Date",$A$1:$AB$1,0)),"")</f>
        <v/>
      </c>
      <c r="AF1454" s="54">
        <f>IF(AND(IFERROR(INDEX($A1454:$AB1454,MATCH("Xero Invoice No",$A$1:$AB$1,0)),"")&amp;""&lt;&gt;"",ISNUMBER(AE1454),AD1454&lt;&gt;0),1,0)</f>
        <v/>
      </c>
      <c r="AG1454" s="55">
        <f>IF(AF1454=1,EOMONTH(AE1454,0),"")</f>
        <v/>
      </c>
      <c r="AH1454" s="9">
        <f>IF(AF1454=1,UPPER(TRIM(IFERROR(INDEX($A1454:$AB1454,MATCH("Client",$A$1:$AB$1,0)),"")&amp;"")),"")</f>
        <v/>
      </c>
      <c r="AI1454" s="9">
        <f>IF(AF1454=1,IFERROR(INDEX($A1454:$AB1454,MATCH("Cost Centre",$A$1:$AB$1,0)),"")&amp;"","")</f>
        <v/>
      </c>
      <c r="AJ1454" s="54">
        <f>IF(AND(AF1454=1,AE1454&gt;=set_FYStart,AE1454&lt;=set_AsAt),1,0)</f>
        <v/>
      </c>
      <c r="AK1454" s="54">
        <f>IF(AND(AJ1454=1,AH1454&lt;&gt;"",COUNTIFS($AH$2:AH1454,AH1454,$AJ$2:AJ1454,1)=1),N(AL1453)+1,"")</f>
        <v/>
      </c>
      <c r="AL1454" s="54">
        <f>IF(AK1454&lt;&gt;"",AK1454,N(AL1453))</f>
        <v/>
      </c>
    </row>
    <row r="1455">
      <c r="A1455" t="inlineStr">
        <is>
          <t>PRD-0485</t>
        </is>
      </c>
      <c r="B1455" t="inlineStr">
        <is>
          <t>Production</t>
        </is>
      </c>
      <c r="AB1455" t="n">
        <v>485</v>
      </c>
      <c r="AD1455" s="52">
        <f>IFERROR(N(IFERROR(INDEX($A1455:$AB1455,MATCH("Xero Invoiced Ex GST",$A$1:$AB$1,0)),"")),0)</f>
        <v/>
      </c>
      <c r="AE1455" s="53">
        <f>IFERROR(INDEX($A1455:$AB1455,MATCH("Xero Invoice Date",$A$1:$AB$1,0)),"")</f>
        <v/>
      </c>
      <c r="AF1455" s="54">
        <f>IF(AND(IFERROR(INDEX($A1455:$AB1455,MATCH("Xero Invoice No",$A$1:$AB$1,0)),"")&amp;""&lt;&gt;"",ISNUMBER(AE1455),AD1455&lt;&gt;0),1,0)</f>
        <v/>
      </c>
      <c r="AG1455" s="55">
        <f>IF(AF1455=1,EOMONTH(AE1455,0),"")</f>
        <v/>
      </c>
      <c r="AH1455" s="9">
        <f>IF(AF1455=1,UPPER(TRIM(IFERROR(INDEX($A1455:$AB1455,MATCH("Client",$A$1:$AB$1,0)),"")&amp;"")),"")</f>
        <v/>
      </c>
      <c r="AI1455" s="9">
        <f>IF(AF1455=1,IFERROR(INDEX($A1455:$AB1455,MATCH("Cost Centre",$A$1:$AB$1,0)),"")&amp;"","")</f>
        <v/>
      </c>
      <c r="AJ1455" s="54">
        <f>IF(AND(AF1455=1,AE1455&gt;=set_FYStart,AE1455&lt;=set_AsAt),1,0)</f>
        <v/>
      </c>
      <c r="AK1455" s="54">
        <f>IF(AND(AJ1455=1,AH1455&lt;&gt;"",COUNTIFS($AH$2:AH1455,AH1455,$AJ$2:AJ1455,1)=1),N(AL1454)+1,"")</f>
        <v/>
      </c>
      <c r="AL1455" s="54">
        <f>IF(AK1455&lt;&gt;"",AK1455,N(AL1454))</f>
        <v/>
      </c>
    </row>
    <row r="1456">
      <c r="A1456" t="inlineStr">
        <is>
          <t>CON-0485</t>
        </is>
      </c>
      <c r="B1456" t="inlineStr">
        <is>
          <t>Consulting</t>
        </is>
      </c>
      <c r="AB1456" t="n">
        <v>485</v>
      </c>
      <c r="AD1456" s="52">
        <f>IFERROR(N(IFERROR(INDEX($A1456:$AB1456,MATCH("Xero Invoiced Ex GST",$A$1:$AB$1,0)),"")),0)</f>
        <v/>
      </c>
      <c r="AE1456" s="53">
        <f>IFERROR(INDEX($A1456:$AB1456,MATCH("Xero Invoice Date",$A$1:$AB$1,0)),"")</f>
        <v/>
      </c>
      <c r="AF1456" s="54">
        <f>IF(AND(IFERROR(INDEX($A1456:$AB1456,MATCH("Xero Invoice No",$A$1:$AB$1,0)),"")&amp;""&lt;&gt;"",ISNUMBER(AE1456),AD1456&lt;&gt;0),1,0)</f>
        <v/>
      </c>
      <c r="AG1456" s="55">
        <f>IF(AF1456=1,EOMONTH(AE1456,0),"")</f>
        <v/>
      </c>
      <c r="AH1456" s="9">
        <f>IF(AF1456=1,UPPER(TRIM(IFERROR(INDEX($A1456:$AB1456,MATCH("Client",$A$1:$AB$1,0)),"")&amp;"")),"")</f>
        <v/>
      </c>
      <c r="AI1456" s="9">
        <f>IF(AF1456=1,IFERROR(INDEX($A1456:$AB1456,MATCH("Cost Centre",$A$1:$AB$1,0)),"")&amp;"","")</f>
        <v/>
      </c>
      <c r="AJ1456" s="54">
        <f>IF(AND(AF1456=1,AE1456&gt;=set_FYStart,AE1456&lt;=set_AsAt),1,0)</f>
        <v/>
      </c>
      <c r="AK1456" s="54">
        <f>IF(AND(AJ1456=1,AH1456&lt;&gt;"",COUNTIFS($AH$2:AH1456,AH1456,$AJ$2:AJ1456,1)=1),N(AL1455)+1,"")</f>
        <v/>
      </c>
      <c r="AL1456" s="54">
        <f>IF(AK1456&lt;&gt;"",AK1456,N(AL1455))</f>
        <v/>
      </c>
    </row>
    <row r="1457">
      <c r="A1457" t="inlineStr">
        <is>
          <t>ONS-0486</t>
        </is>
      </c>
      <c r="B1457" t="inlineStr">
        <is>
          <t>Onsite</t>
        </is>
      </c>
      <c r="AB1457" t="n">
        <v>486</v>
      </c>
      <c r="AD1457" s="52">
        <f>IFERROR(N(IFERROR(INDEX($A1457:$AB1457,MATCH("Xero Invoiced Ex GST",$A$1:$AB$1,0)),"")),0)</f>
        <v/>
      </c>
      <c r="AE1457" s="53">
        <f>IFERROR(INDEX($A1457:$AB1457,MATCH("Xero Invoice Date",$A$1:$AB$1,0)),"")</f>
        <v/>
      </c>
      <c r="AF1457" s="54">
        <f>IF(AND(IFERROR(INDEX($A1457:$AB1457,MATCH("Xero Invoice No",$A$1:$AB$1,0)),"")&amp;""&lt;&gt;"",ISNUMBER(AE1457),AD1457&lt;&gt;0),1,0)</f>
        <v/>
      </c>
      <c r="AG1457" s="55">
        <f>IF(AF1457=1,EOMONTH(AE1457,0),"")</f>
        <v/>
      </c>
      <c r="AH1457" s="9">
        <f>IF(AF1457=1,UPPER(TRIM(IFERROR(INDEX($A1457:$AB1457,MATCH("Client",$A$1:$AB$1,0)),"")&amp;"")),"")</f>
        <v/>
      </c>
      <c r="AI1457" s="9">
        <f>IF(AF1457=1,IFERROR(INDEX($A1457:$AB1457,MATCH("Cost Centre",$A$1:$AB$1,0)),"")&amp;"","")</f>
        <v/>
      </c>
      <c r="AJ1457" s="54">
        <f>IF(AND(AF1457=1,AE1457&gt;=set_FYStart,AE1457&lt;=set_AsAt),1,0)</f>
        <v/>
      </c>
      <c r="AK1457" s="54">
        <f>IF(AND(AJ1457=1,AH1457&lt;&gt;"",COUNTIFS($AH$2:AH1457,AH1457,$AJ$2:AJ1457,1)=1),N(AL1456)+1,"")</f>
        <v/>
      </c>
      <c r="AL1457" s="54">
        <f>IF(AK1457&lt;&gt;"",AK1457,N(AL1456))</f>
        <v/>
      </c>
    </row>
    <row r="1458">
      <c r="A1458" t="inlineStr">
        <is>
          <t>PRD-0486</t>
        </is>
      </c>
      <c r="B1458" t="inlineStr">
        <is>
          <t>Production</t>
        </is>
      </c>
      <c r="AB1458" t="n">
        <v>486</v>
      </c>
      <c r="AD1458" s="52">
        <f>IFERROR(N(IFERROR(INDEX($A1458:$AB1458,MATCH("Xero Invoiced Ex GST",$A$1:$AB$1,0)),"")),0)</f>
        <v/>
      </c>
      <c r="AE1458" s="53">
        <f>IFERROR(INDEX($A1458:$AB1458,MATCH("Xero Invoice Date",$A$1:$AB$1,0)),"")</f>
        <v/>
      </c>
      <c r="AF1458" s="54">
        <f>IF(AND(IFERROR(INDEX($A1458:$AB1458,MATCH("Xero Invoice No",$A$1:$AB$1,0)),"")&amp;""&lt;&gt;"",ISNUMBER(AE1458),AD1458&lt;&gt;0),1,0)</f>
        <v/>
      </c>
      <c r="AG1458" s="55">
        <f>IF(AF1458=1,EOMONTH(AE1458,0),"")</f>
        <v/>
      </c>
      <c r="AH1458" s="9">
        <f>IF(AF1458=1,UPPER(TRIM(IFERROR(INDEX($A1458:$AB1458,MATCH("Client",$A$1:$AB$1,0)),"")&amp;"")),"")</f>
        <v/>
      </c>
      <c r="AI1458" s="9">
        <f>IF(AF1458=1,IFERROR(INDEX($A1458:$AB1458,MATCH("Cost Centre",$A$1:$AB$1,0)),"")&amp;"","")</f>
        <v/>
      </c>
      <c r="AJ1458" s="54">
        <f>IF(AND(AF1458=1,AE1458&gt;=set_FYStart,AE1458&lt;=set_AsAt),1,0)</f>
        <v/>
      </c>
      <c r="AK1458" s="54">
        <f>IF(AND(AJ1458=1,AH1458&lt;&gt;"",COUNTIFS($AH$2:AH1458,AH1458,$AJ$2:AJ1458,1)=1),N(AL1457)+1,"")</f>
        <v/>
      </c>
      <c r="AL1458" s="54">
        <f>IF(AK1458&lt;&gt;"",AK1458,N(AL1457))</f>
        <v/>
      </c>
    </row>
    <row r="1459">
      <c r="A1459" t="inlineStr">
        <is>
          <t>CON-0486</t>
        </is>
      </c>
      <c r="B1459" t="inlineStr">
        <is>
          <t>Consulting</t>
        </is>
      </c>
      <c r="AB1459" t="n">
        <v>486</v>
      </c>
      <c r="AD1459" s="52">
        <f>IFERROR(N(IFERROR(INDEX($A1459:$AB1459,MATCH("Xero Invoiced Ex GST",$A$1:$AB$1,0)),"")),0)</f>
        <v/>
      </c>
      <c r="AE1459" s="53">
        <f>IFERROR(INDEX($A1459:$AB1459,MATCH("Xero Invoice Date",$A$1:$AB$1,0)),"")</f>
        <v/>
      </c>
      <c r="AF1459" s="54">
        <f>IF(AND(IFERROR(INDEX($A1459:$AB1459,MATCH("Xero Invoice No",$A$1:$AB$1,0)),"")&amp;""&lt;&gt;"",ISNUMBER(AE1459),AD1459&lt;&gt;0),1,0)</f>
        <v/>
      </c>
      <c r="AG1459" s="55">
        <f>IF(AF1459=1,EOMONTH(AE1459,0),"")</f>
        <v/>
      </c>
      <c r="AH1459" s="9">
        <f>IF(AF1459=1,UPPER(TRIM(IFERROR(INDEX($A1459:$AB1459,MATCH("Client",$A$1:$AB$1,0)),"")&amp;"")),"")</f>
        <v/>
      </c>
      <c r="AI1459" s="9">
        <f>IF(AF1459=1,IFERROR(INDEX($A1459:$AB1459,MATCH("Cost Centre",$A$1:$AB$1,0)),"")&amp;"","")</f>
        <v/>
      </c>
      <c r="AJ1459" s="54">
        <f>IF(AND(AF1459=1,AE1459&gt;=set_FYStart,AE1459&lt;=set_AsAt),1,0)</f>
        <v/>
      </c>
      <c r="AK1459" s="54">
        <f>IF(AND(AJ1459=1,AH1459&lt;&gt;"",COUNTIFS($AH$2:AH1459,AH1459,$AJ$2:AJ1459,1)=1),N(AL1458)+1,"")</f>
        <v/>
      </c>
      <c r="AL1459" s="54">
        <f>IF(AK1459&lt;&gt;"",AK1459,N(AL1458))</f>
        <v/>
      </c>
    </row>
    <row r="1460">
      <c r="A1460" t="inlineStr">
        <is>
          <t>ONS-0487</t>
        </is>
      </c>
      <c r="B1460" t="inlineStr">
        <is>
          <t>Onsite</t>
        </is>
      </c>
      <c r="AB1460" t="n">
        <v>487</v>
      </c>
      <c r="AD1460" s="52">
        <f>IFERROR(N(IFERROR(INDEX($A1460:$AB1460,MATCH("Xero Invoiced Ex GST",$A$1:$AB$1,0)),"")),0)</f>
        <v/>
      </c>
      <c r="AE1460" s="53">
        <f>IFERROR(INDEX($A1460:$AB1460,MATCH("Xero Invoice Date",$A$1:$AB$1,0)),"")</f>
        <v/>
      </c>
      <c r="AF1460" s="54">
        <f>IF(AND(IFERROR(INDEX($A1460:$AB1460,MATCH("Xero Invoice No",$A$1:$AB$1,0)),"")&amp;""&lt;&gt;"",ISNUMBER(AE1460),AD1460&lt;&gt;0),1,0)</f>
        <v/>
      </c>
      <c r="AG1460" s="55">
        <f>IF(AF1460=1,EOMONTH(AE1460,0),"")</f>
        <v/>
      </c>
      <c r="AH1460" s="9">
        <f>IF(AF1460=1,UPPER(TRIM(IFERROR(INDEX($A1460:$AB1460,MATCH("Client",$A$1:$AB$1,0)),"")&amp;"")),"")</f>
        <v/>
      </c>
      <c r="AI1460" s="9">
        <f>IF(AF1460=1,IFERROR(INDEX($A1460:$AB1460,MATCH("Cost Centre",$A$1:$AB$1,0)),"")&amp;"","")</f>
        <v/>
      </c>
      <c r="AJ1460" s="54">
        <f>IF(AND(AF1460=1,AE1460&gt;=set_FYStart,AE1460&lt;=set_AsAt),1,0)</f>
        <v/>
      </c>
      <c r="AK1460" s="54">
        <f>IF(AND(AJ1460=1,AH1460&lt;&gt;"",COUNTIFS($AH$2:AH1460,AH1460,$AJ$2:AJ1460,1)=1),N(AL1459)+1,"")</f>
        <v/>
      </c>
      <c r="AL1460" s="54">
        <f>IF(AK1460&lt;&gt;"",AK1460,N(AL1459))</f>
        <v/>
      </c>
    </row>
    <row r="1461">
      <c r="A1461" t="inlineStr">
        <is>
          <t>PRD-0487</t>
        </is>
      </c>
      <c r="B1461" t="inlineStr">
        <is>
          <t>Production</t>
        </is>
      </c>
      <c r="AB1461" t="n">
        <v>487</v>
      </c>
      <c r="AD1461" s="52">
        <f>IFERROR(N(IFERROR(INDEX($A1461:$AB1461,MATCH("Xero Invoiced Ex GST",$A$1:$AB$1,0)),"")),0)</f>
        <v/>
      </c>
      <c r="AE1461" s="53">
        <f>IFERROR(INDEX($A1461:$AB1461,MATCH("Xero Invoice Date",$A$1:$AB$1,0)),"")</f>
        <v/>
      </c>
      <c r="AF1461" s="54">
        <f>IF(AND(IFERROR(INDEX($A1461:$AB1461,MATCH("Xero Invoice No",$A$1:$AB$1,0)),"")&amp;""&lt;&gt;"",ISNUMBER(AE1461),AD1461&lt;&gt;0),1,0)</f>
        <v/>
      </c>
      <c r="AG1461" s="55">
        <f>IF(AF1461=1,EOMONTH(AE1461,0),"")</f>
        <v/>
      </c>
      <c r="AH1461" s="9">
        <f>IF(AF1461=1,UPPER(TRIM(IFERROR(INDEX($A1461:$AB1461,MATCH("Client",$A$1:$AB$1,0)),"")&amp;"")),"")</f>
        <v/>
      </c>
      <c r="AI1461" s="9">
        <f>IF(AF1461=1,IFERROR(INDEX($A1461:$AB1461,MATCH("Cost Centre",$A$1:$AB$1,0)),"")&amp;"","")</f>
        <v/>
      </c>
      <c r="AJ1461" s="54">
        <f>IF(AND(AF1461=1,AE1461&gt;=set_FYStart,AE1461&lt;=set_AsAt),1,0)</f>
        <v/>
      </c>
      <c r="AK1461" s="54">
        <f>IF(AND(AJ1461=1,AH1461&lt;&gt;"",COUNTIFS($AH$2:AH1461,AH1461,$AJ$2:AJ1461,1)=1),N(AL1460)+1,"")</f>
        <v/>
      </c>
      <c r="AL1461" s="54">
        <f>IF(AK1461&lt;&gt;"",AK1461,N(AL1460))</f>
        <v/>
      </c>
    </row>
    <row r="1462">
      <c r="A1462" t="inlineStr">
        <is>
          <t>CON-0487</t>
        </is>
      </c>
      <c r="B1462" t="inlineStr">
        <is>
          <t>Consulting</t>
        </is>
      </c>
      <c r="AB1462" t="n">
        <v>487</v>
      </c>
      <c r="AD1462" s="52">
        <f>IFERROR(N(IFERROR(INDEX($A1462:$AB1462,MATCH("Xero Invoiced Ex GST",$A$1:$AB$1,0)),"")),0)</f>
        <v/>
      </c>
      <c r="AE1462" s="53">
        <f>IFERROR(INDEX($A1462:$AB1462,MATCH("Xero Invoice Date",$A$1:$AB$1,0)),"")</f>
        <v/>
      </c>
      <c r="AF1462" s="54">
        <f>IF(AND(IFERROR(INDEX($A1462:$AB1462,MATCH("Xero Invoice No",$A$1:$AB$1,0)),"")&amp;""&lt;&gt;"",ISNUMBER(AE1462),AD1462&lt;&gt;0),1,0)</f>
        <v/>
      </c>
      <c r="AG1462" s="55">
        <f>IF(AF1462=1,EOMONTH(AE1462,0),"")</f>
        <v/>
      </c>
      <c r="AH1462" s="9">
        <f>IF(AF1462=1,UPPER(TRIM(IFERROR(INDEX($A1462:$AB1462,MATCH("Client",$A$1:$AB$1,0)),"")&amp;"")),"")</f>
        <v/>
      </c>
      <c r="AI1462" s="9">
        <f>IF(AF1462=1,IFERROR(INDEX($A1462:$AB1462,MATCH("Cost Centre",$A$1:$AB$1,0)),"")&amp;"","")</f>
        <v/>
      </c>
      <c r="AJ1462" s="54">
        <f>IF(AND(AF1462=1,AE1462&gt;=set_FYStart,AE1462&lt;=set_AsAt),1,0)</f>
        <v/>
      </c>
      <c r="AK1462" s="54">
        <f>IF(AND(AJ1462=1,AH1462&lt;&gt;"",COUNTIFS($AH$2:AH1462,AH1462,$AJ$2:AJ1462,1)=1),N(AL1461)+1,"")</f>
        <v/>
      </c>
      <c r="AL1462" s="54">
        <f>IF(AK1462&lt;&gt;"",AK1462,N(AL1461))</f>
        <v/>
      </c>
    </row>
    <row r="1463">
      <c r="A1463" t="inlineStr">
        <is>
          <t>ONS-0488</t>
        </is>
      </c>
      <c r="B1463" t="inlineStr">
        <is>
          <t>Onsite</t>
        </is>
      </c>
      <c r="AB1463" t="n">
        <v>488</v>
      </c>
      <c r="AD1463" s="52">
        <f>IFERROR(N(IFERROR(INDEX($A1463:$AB1463,MATCH("Xero Invoiced Ex GST",$A$1:$AB$1,0)),"")),0)</f>
        <v/>
      </c>
      <c r="AE1463" s="53">
        <f>IFERROR(INDEX($A1463:$AB1463,MATCH("Xero Invoice Date",$A$1:$AB$1,0)),"")</f>
        <v/>
      </c>
      <c r="AF1463" s="54">
        <f>IF(AND(IFERROR(INDEX($A1463:$AB1463,MATCH("Xero Invoice No",$A$1:$AB$1,0)),"")&amp;""&lt;&gt;"",ISNUMBER(AE1463),AD1463&lt;&gt;0),1,0)</f>
        <v/>
      </c>
      <c r="AG1463" s="55">
        <f>IF(AF1463=1,EOMONTH(AE1463,0),"")</f>
        <v/>
      </c>
      <c r="AH1463" s="9">
        <f>IF(AF1463=1,UPPER(TRIM(IFERROR(INDEX($A1463:$AB1463,MATCH("Client",$A$1:$AB$1,0)),"")&amp;"")),"")</f>
        <v/>
      </c>
      <c r="AI1463" s="9">
        <f>IF(AF1463=1,IFERROR(INDEX($A1463:$AB1463,MATCH("Cost Centre",$A$1:$AB$1,0)),"")&amp;"","")</f>
        <v/>
      </c>
      <c r="AJ1463" s="54">
        <f>IF(AND(AF1463=1,AE1463&gt;=set_FYStart,AE1463&lt;=set_AsAt),1,0)</f>
        <v/>
      </c>
      <c r="AK1463" s="54">
        <f>IF(AND(AJ1463=1,AH1463&lt;&gt;"",COUNTIFS($AH$2:AH1463,AH1463,$AJ$2:AJ1463,1)=1),N(AL1462)+1,"")</f>
        <v/>
      </c>
      <c r="AL1463" s="54">
        <f>IF(AK1463&lt;&gt;"",AK1463,N(AL1462))</f>
        <v/>
      </c>
    </row>
    <row r="1464">
      <c r="A1464" t="inlineStr">
        <is>
          <t>PRD-0488</t>
        </is>
      </c>
      <c r="B1464" t="inlineStr">
        <is>
          <t>Production</t>
        </is>
      </c>
      <c r="AB1464" t="n">
        <v>488</v>
      </c>
      <c r="AD1464" s="52">
        <f>IFERROR(N(IFERROR(INDEX($A1464:$AB1464,MATCH("Xero Invoiced Ex GST",$A$1:$AB$1,0)),"")),0)</f>
        <v/>
      </c>
      <c r="AE1464" s="53">
        <f>IFERROR(INDEX($A1464:$AB1464,MATCH("Xero Invoice Date",$A$1:$AB$1,0)),"")</f>
        <v/>
      </c>
      <c r="AF1464" s="54">
        <f>IF(AND(IFERROR(INDEX($A1464:$AB1464,MATCH("Xero Invoice No",$A$1:$AB$1,0)),"")&amp;""&lt;&gt;"",ISNUMBER(AE1464),AD1464&lt;&gt;0),1,0)</f>
        <v/>
      </c>
      <c r="AG1464" s="55">
        <f>IF(AF1464=1,EOMONTH(AE1464,0),"")</f>
        <v/>
      </c>
      <c r="AH1464" s="9">
        <f>IF(AF1464=1,UPPER(TRIM(IFERROR(INDEX($A1464:$AB1464,MATCH("Client",$A$1:$AB$1,0)),"")&amp;"")),"")</f>
        <v/>
      </c>
      <c r="AI1464" s="9">
        <f>IF(AF1464=1,IFERROR(INDEX($A1464:$AB1464,MATCH("Cost Centre",$A$1:$AB$1,0)),"")&amp;"","")</f>
        <v/>
      </c>
      <c r="AJ1464" s="54">
        <f>IF(AND(AF1464=1,AE1464&gt;=set_FYStart,AE1464&lt;=set_AsAt),1,0)</f>
        <v/>
      </c>
      <c r="AK1464" s="54">
        <f>IF(AND(AJ1464=1,AH1464&lt;&gt;"",COUNTIFS($AH$2:AH1464,AH1464,$AJ$2:AJ1464,1)=1),N(AL1463)+1,"")</f>
        <v/>
      </c>
      <c r="AL1464" s="54">
        <f>IF(AK1464&lt;&gt;"",AK1464,N(AL1463))</f>
        <v/>
      </c>
    </row>
    <row r="1465">
      <c r="A1465" t="inlineStr">
        <is>
          <t>CON-0488</t>
        </is>
      </c>
      <c r="B1465" t="inlineStr">
        <is>
          <t>Consulting</t>
        </is>
      </c>
      <c r="AB1465" t="n">
        <v>488</v>
      </c>
      <c r="AD1465" s="52">
        <f>IFERROR(N(IFERROR(INDEX($A1465:$AB1465,MATCH("Xero Invoiced Ex GST",$A$1:$AB$1,0)),"")),0)</f>
        <v/>
      </c>
      <c r="AE1465" s="53">
        <f>IFERROR(INDEX($A1465:$AB1465,MATCH("Xero Invoice Date",$A$1:$AB$1,0)),"")</f>
        <v/>
      </c>
      <c r="AF1465" s="54">
        <f>IF(AND(IFERROR(INDEX($A1465:$AB1465,MATCH("Xero Invoice No",$A$1:$AB$1,0)),"")&amp;""&lt;&gt;"",ISNUMBER(AE1465),AD1465&lt;&gt;0),1,0)</f>
        <v/>
      </c>
      <c r="AG1465" s="55">
        <f>IF(AF1465=1,EOMONTH(AE1465,0),"")</f>
        <v/>
      </c>
      <c r="AH1465" s="9">
        <f>IF(AF1465=1,UPPER(TRIM(IFERROR(INDEX($A1465:$AB1465,MATCH("Client",$A$1:$AB$1,0)),"")&amp;"")),"")</f>
        <v/>
      </c>
      <c r="AI1465" s="9">
        <f>IF(AF1465=1,IFERROR(INDEX($A1465:$AB1465,MATCH("Cost Centre",$A$1:$AB$1,0)),"")&amp;"","")</f>
        <v/>
      </c>
      <c r="AJ1465" s="54">
        <f>IF(AND(AF1465=1,AE1465&gt;=set_FYStart,AE1465&lt;=set_AsAt),1,0)</f>
        <v/>
      </c>
      <c r="AK1465" s="54">
        <f>IF(AND(AJ1465=1,AH1465&lt;&gt;"",COUNTIFS($AH$2:AH1465,AH1465,$AJ$2:AJ1465,1)=1),N(AL1464)+1,"")</f>
        <v/>
      </c>
      <c r="AL1465" s="54">
        <f>IF(AK1465&lt;&gt;"",AK1465,N(AL1464))</f>
        <v/>
      </c>
    </row>
    <row r="1466">
      <c r="A1466" t="inlineStr">
        <is>
          <t>ONS-0489</t>
        </is>
      </c>
      <c r="B1466" t="inlineStr">
        <is>
          <t>Onsite</t>
        </is>
      </c>
      <c r="AB1466" t="n">
        <v>489</v>
      </c>
      <c r="AD1466" s="52">
        <f>IFERROR(N(IFERROR(INDEX($A1466:$AB1466,MATCH("Xero Invoiced Ex GST",$A$1:$AB$1,0)),"")),0)</f>
        <v/>
      </c>
      <c r="AE1466" s="53">
        <f>IFERROR(INDEX($A1466:$AB1466,MATCH("Xero Invoice Date",$A$1:$AB$1,0)),"")</f>
        <v/>
      </c>
      <c r="AF1466" s="54">
        <f>IF(AND(IFERROR(INDEX($A1466:$AB1466,MATCH("Xero Invoice No",$A$1:$AB$1,0)),"")&amp;""&lt;&gt;"",ISNUMBER(AE1466),AD1466&lt;&gt;0),1,0)</f>
        <v/>
      </c>
      <c r="AG1466" s="55">
        <f>IF(AF1466=1,EOMONTH(AE1466,0),"")</f>
        <v/>
      </c>
      <c r="AH1466" s="9">
        <f>IF(AF1466=1,UPPER(TRIM(IFERROR(INDEX($A1466:$AB1466,MATCH("Client",$A$1:$AB$1,0)),"")&amp;"")),"")</f>
        <v/>
      </c>
      <c r="AI1466" s="9">
        <f>IF(AF1466=1,IFERROR(INDEX($A1466:$AB1466,MATCH("Cost Centre",$A$1:$AB$1,0)),"")&amp;"","")</f>
        <v/>
      </c>
      <c r="AJ1466" s="54">
        <f>IF(AND(AF1466=1,AE1466&gt;=set_FYStart,AE1466&lt;=set_AsAt),1,0)</f>
        <v/>
      </c>
      <c r="AK1466" s="54">
        <f>IF(AND(AJ1466=1,AH1466&lt;&gt;"",COUNTIFS($AH$2:AH1466,AH1466,$AJ$2:AJ1466,1)=1),N(AL1465)+1,"")</f>
        <v/>
      </c>
      <c r="AL1466" s="54">
        <f>IF(AK1466&lt;&gt;"",AK1466,N(AL1465))</f>
        <v/>
      </c>
    </row>
    <row r="1467">
      <c r="A1467" t="inlineStr">
        <is>
          <t>PRD-0489</t>
        </is>
      </c>
      <c r="B1467" t="inlineStr">
        <is>
          <t>Production</t>
        </is>
      </c>
      <c r="AB1467" t="n">
        <v>489</v>
      </c>
      <c r="AD1467" s="52">
        <f>IFERROR(N(IFERROR(INDEX($A1467:$AB1467,MATCH("Xero Invoiced Ex GST",$A$1:$AB$1,0)),"")),0)</f>
        <v/>
      </c>
      <c r="AE1467" s="53">
        <f>IFERROR(INDEX($A1467:$AB1467,MATCH("Xero Invoice Date",$A$1:$AB$1,0)),"")</f>
        <v/>
      </c>
      <c r="AF1467" s="54">
        <f>IF(AND(IFERROR(INDEX($A1467:$AB1467,MATCH("Xero Invoice No",$A$1:$AB$1,0)),"")&amp;""&lt;&gt;"",ISNUMBER(AE1467),AD1467&lt;&gt;0),1,0)</f>
        <v/>
      </c>
      <c r="AG1467" s="55">
        <f>IF(AF1467=1,EOMONTH(AE1467,0),"")</f>
        <v/>
      </c>
      <c r="AH1467" s="9">
        <f>IF(AF1467=1,UPPER(TRIM(IFERROR(INDEX($A1467:$AB1467,MATCH("Client",$A$1:$AB$1,0)),"")&amp;"")),"")</f>
        <v/>
      </c>
      <c r="AI1467" s="9">
        <f>IF(AF1467=1,IFERROR(INDEX($A1467:$AB1467,MATCH("Cost Centre",$A$1:$AB$1,0)),"")&amp;"","")</f>
        <v/>
      </c>
      <c r="AJ1467" s="54">
        <f>IF(AND(AF1467=1,AE1467&gt;=set_FYStart,AE1467&lt;=set_AsAt),1,0)</f>
        <v/>
      </c>
      <c r="AK1467" s="54">
        <f>IF(AND(AJ1467=1,AH1467&lt;&gt;"",COUNTIFS($AH$2:AH1467,AH1467,$AJ$2:AJ1467,1)=1),N(AL1466)+1,"")</f>
        <v/>
      </c>
      <c r="AL1467" s="54">
        <f>IF(AK1467&lt;&gt;"",AK1467,N(AL1466))</f>
        <v/>
      </c>
    </row>
    <row r="1468">
      <c r="A1468" t="inlineStr">
        <is>
          <t>CON-0489</t>
        </is>
      </c>
      <c r="B1468" t="inlineStr">
        <is>
          <t>Consulting</t>
        </is>
      </c>
      <c r="AB1468" t="n">
        <v>489</v>
      </c>
      <c r="AD1468" s="52">
        <f>IFERROR(N(IFERROR(INDEX($A1468:$AB1468,MATCH("Xero Invoiced Ex GST",$A$1:$AB$1,0)),"")),0)</f>
        <v/>
      </c>
      <c r="AE1468" s="53">
        <f>IFERROR(INDEX($A1468:$AB1468,MATCH("Xero Invoice Date",$A$1:$AB$1,0)),"")</f>
        <v/>
      </c>
      <c r="AF1468" s="54">
        <f>IF(AND(IFERROR(INDEX($A1468:$AB1468,MATCH("Xero Invoice No",$A$1:$AB$1,0)),"")&amp;""&lt;&gt;"",ISNUMBER(AE1468),AD1468&lt;&gt;0),1,0)</f>
        <v/>
      </c>
      <c r="AG1468" s="55">
        <f>IF(AF1468=1,EOMONTH(AE1468,0),"")</f>
        <v/>
      </c>
      <c r="AH1468" s="9">
        <f>IF(AF1468=1,UPPER(TRIM(IFERROR(INDEX($A1468:$AB1468,MATCH("Client",$A$1:$AB$1,0)),"")&amp;"")),"")</f>
        <v/>
      </c>
      <c r="AI1468" s="9">
        <f>IF(AF1468=1,IFERROR(INDEX($A1468:$AB1468,MATCH("Cost Centre",$A$1:$AB$1,0)),"")&amp;"","")</f>
        <v/>
      </c>
      <c r="AJ1468" s="54">
        <f>IF(AND(AF1468=1,AE1468&gt;=set_FYStart,AE1468&lt;=set_AsAt),1,0)</f>
        <v/>
      </c>
      <c r="AK1468" s="54">
        <f>IF(AND(AJ1468=1,AH1468&lt;&gt;"",COUNTIFS($AH$2:AH1468,AH1468,$AJ$2:AJ1468,1)=1),N(AL1467)+1,"")</f>
        <v/>
      </c>
      <c r="AL1468" s="54">
        <f>IF(AK1468&lt;&gt;"",AK1468,N(AL1467))</f>
        <v/>
      </c>
    </row>
    <row r="1469">
      <c r="A1469" t="inlineStr">
        <is>
          <t>ONS-0490</t>
        </is>
      </c>
      <c r="B1469" t="inlineStr">
        <is>
          <t>Onsite</t>
        </is>
      </c>
      <c r="AB1469" t="n">
        <v>490</v>
      </c>
      <c r="AD1469" s="52">
        <f>IFERROR(N(IFERROR(INDEX($A1469:$AB1469,MATCH("Xero Invoiced Ex GST",$A$1:$AB$1,0)),"")),0)</f>
        <v/>
      </c>
      <c r="AE1469" s="53">
        <f>IFERROR(INDEX($A1469:$AB1469,MATCH("Xero Invoice Date",$A$1:$AB$1,0)),"")</f>
        <v/>
      </c>
      <c r="AF1469" s="54">
        <f>IF(AND(IFERROR(INDEX($A1469:$AB1469,MATCH("Xero Invoice No",$A$1:$AB$1,0)),"")&amp;""&lt;&gt;"",ISNUMBER(AE1469),AD1469&lt;&gt;0),1,0)</f>
        <v/>
      </c>
      <c r="AG1469" s="55">
        <f>IF(AF1469=1,EOMONTH(AE1469,0),"")</f>
        <v/>
      </c>
      <c r="AH1469" s="9">
        <f>IF(AF1469=1,UPPER(TRIM(IFERROR(INDEX($A1469:$AB1469,MATCH("Client",$A$1:$AB$1,0)),"")&amp;"")),"")</f>
        <v/>
      </c>
      <c r="AI1469" s="9">
        <f>IF(AF1469=1,IFERROR(INDEX($A1469:$AB1469,MATCH("Cost Centre",$A$1:$AB$1,0)),"")&amp;"","")</f>
        <v/>
      </c>
      <c r="AJ1469" s="54">
        <f>IF(AND(AF1469=1,AE1469&gt;=set_FYStart,AE1469&lt;=set_AsAt),1,0)</f>
        <v/>
      </c>
      <c r="AK1469" s="54">
        <f>IF(AND(AJ1469=1,AH1469&lt;&gt;"",COUNTIFS($AH$2:AH1469,AH1469,$AJ$2:AJ1469,1)=1),N(AL1468)+1,"")</f>
        <v/>
      </c>
      <c r="AL1469" s="54">
        <f>IF(AK1469&lt;&gt;"",AK1469,N(AL1468))</f>
        <v/>
      </c>
    </row>
    <row r="1470">
      <c r="A1470" t="inlineStr">
        <is>
          <t>PRD-0490</t>
        </is>
      </c>
      <c r="B1470" t="inlineStr">
        <is>
          <t>Production</t>
        </is>
      </c>
      <c r="AB1470" t="n">
        <v>490</v>
      </c>
      <c r="AD1470" s="52">
        <f>IFERROR(N(IFERROR(INDEX($A1470:$AB1470,MATCH("Xero Invoiced Ex GST",$A$1:$AB$1,0)),"")),0)</f>
        <v/>
      </c>
      <c r="AE1470" s="53">
        <f>IFERROR(INDEX($A1470:$AB1470,MATCH("Xero Invoice Date",$A$1:$AB$1,0)),"")</f>
        <v/>
      </c>
      <c r="AF1470" s="54">
        <f>IF(AND(IFERROR(INDEX($A1470:$AB1470,MATCH("Xero Invoice No",$A$1:$AB$1,0)),"")&amp;""&lt;&gt;"",ISNUMBER(AE1470),AD1470&lt;&gt;0),1,0)</f>
        <v/>
      </c>
      <c r="AG1470" s="55">
        <f>IF(AF1470=1,EOMONTH(AE1470,0),"")</f>
        <v/>
      </c>
      <c r="AH1470" s="9">
        <f>IF(AF1470=1,UPPER(TRIM(IFERROR(INDEX($A1470:$AB1470,MATCH("Client",$A$1:$AB$1,0)),"")&amp;"")),"")</f>
        <v/>
      </c>
      <c r="AI1470" s="9">
        <f>IF(AF1470=1,IFERROR(INDEX($A1470:$AB1470,MATCH("Cost Centre",$A$1:$AB$1,0)),"")&amp;"","")</f>
        <v/>
      </c>
      <c r="AJ1470" s="54">
        <f>IF(AND(AF1470=1,AE1470&gt;=set_FYStart,AE1470&lt;=set_AsAt),1,0)</f>
        <v/>
      </c>
      <c r="AK1470" s="54">
        <f>IF(AND(AJ1470=1,AH1470&lt;&gt;"",COUNTIFS($AH$2:AH1470,AH1470,$AJ$2:AJ1470,1)=1),N(AL1469)+1,"")</f>
        <v/>
      </c>
      <c r="AL1470" s="54">
        <f>IF(AK1470&lt;&gt;"",AK1470,N(AL1469))</f>
        <v/>
      </c>
    </row>
    <row r="1471">
      <c r="A1471" t="inlineStr">
        <is>
          <t>CON-0490</t>
        </is>
      </c>
      <c r="B1471" t="inlineStr">
        <is>
          <t>Consulting</t>
        </is>
      </c>
      <c r="AB1471" t="n">
        <v>490</v>
      </c>
      <c r="AD1471" s="52">
        <f>IFERROR(N(IFERROR(INDEX($A1471:$AB1471,MATCH("Xero Invoiced Ex GST",$A$1:$AB$1,0)),"")),0)</f>
        <v/>
      </c>
      <c r="AE1471" s="53">
        <f>IFERROR(INDEX($A1471:$AB1471,MATCH("Xero Invoice Date",$A$1:$AB$1,0)),"")</f>
        <v/>
      </c>
      <c r="AF1471" s="54">
        <f>IF(AND(IFERROR(INDEX($A1471:$AB1471,MATCH("Xero Invoice No",$A$1:$AB$1,0)),"")&amp;""&lt;&gt;"",ISNUMBER(AE1471),AD1471&lt;&gt;0),1,0)</f>
        <v/>
      </c>
      <c r="AG1471" s="55">
        <f>IF(AF1471=1,EOMONTH(AE1471,0),"")</f>
        <v/>
      </c>
      <c r="AH1471" s="9">
        <f>IF(AF1471=1,UPPER(TRIM(IFERROR(INDEX($A1471:$AB1471,MATCH("Client",$A$1:$AB$1,0)),"")&amp;"")),"")</f>
        <v/>
      </c>
      <c r="AI1471" s="9">
        <f>IF(AF1471=1,IFERROR(INDEX($A1471:$AB1471,MATCH("Cost Centre",$A$1:$AB$1,0)),"")&amp;"","")</f>
        <v/>
      </c>
      <c r="AJ1471" s="54">
        <f>IF(AND(AF1471=1,AE1471&gt;=set_FYStart,AE1471&lt;=set_AsAt),1,0)</f>
        <v/>
      </c>
      <c r="AK1471" s="54">
        <f>IF(AND(AJ1471=1,AH1471&lt;&gt;"",COUNTIFS($AH$2:AH1471,AH1471,$AJ$2:AJ1471,1)=1),N(AL1470)+1,"")</f>
        <v/>
      </c>
      <c r="AL1471" s="54">
        <f>IF(AK1471&lt;&gt;"",AK1471,N(AL1470))</f>
        <v/>
      </c>
    </row>
    <row r="1472">
      <c r="A1472" t="inlineStr">
        <is>
          <t>ONS-0491</t>
        </is>
      </c>
      <c r="B1472" t="inlineStr">
        <is>
          <t>Onsite</t>
        </is>
      </c>
      <c r="AB1472" t="n">
        <v>491</v>
      </c>
      <c r="AD1472" s="52">
        <f>IFERROR(N(IFERROR(INDEX($A1472:$AB1472,MATCH("Xero Invoiced Ex GST",$A$1:$AB$1,0)),"")),0)</f>
        <v/>
      </c>
      <c r="AE1472" s="53">
        <f>IFERROR(INDEX($A1472:$AB1472,MATCH("Xero Invoice Date",$A$1:$AB$1,0)),"")</f>
        <v/>
      </c>
      <c r="AF1472" s="54">
        <f>IF(AND(IFERROR(INDEX($A1472:$AB1472,MATCH("Xero Invoice No",$A$1:$AB$1,0)),"")&amp;""&lt;&gt;"",ISNUMBER(AE1472),AD1472&lt;&gt;0),1,0)</f>
        <v/>
      </c>
      <c r="AG1472" s="55">
        <f>IF(AF1472=1,EOMONTH(AE1472,0),"")</f>
        <v/>
      </c>
      <c r="AH1472" s="9">
        <f>IF(AF1472=1,UPPER(TRIM(IFERROR(INDEX($A1472:$AB1472,MATCH("Client",$A$1:$AB$1,0)),"")&amp;"")),"")</f>
        <v/>
      </c>
      <c r="AI1472" s="9">
        <f>IF(AF1472=1,IFERROR(INDEX($A1472:$AB1472,MATCH("Cost Centre",$A$1:$AB$1,0)),"")&amp;"","")</f>
        <v/>
      </c>
      <c r="AJ1472" s="54">
        <f>IF(AND(AF1472=1,AE1472&gt;=set_FYStart,AE1472&lt;=set_AsAt),1,0)</f>
        <v/>
      </c>
      <c r="AK1472" s="54">
        <f>IF(AND(AJ1472=1,AH1472&lt;&gt;"",COUNTIFS($AH$2:AH1472,AH1472,$AJ$2:AJ1472,1)=1),N(AL1471)+1,"")</f>
        <v/>
      </c>
      <c r="AL1472" s="54">
        <f>IF(AK1472&lt;&gt;"",AK1472,N(AL1471))</f>
        <v/>
      </c>
    </row>
    <row r="1473">
      <c r="A1473" t="inlineStr">
        <is>
          <t>PRD-0491</t>
        </is>
      </c>
      <c r="B1473" t="inlineStr">
        <is>
          <t>Production</t>
        </is>
      </c>
      <c r="AB1473" t="n">
        <v>491</v>
      </c>
      <c r="AD1473" s="52">
        <f>IFERROR(N(IFERROR(INDEX($A1473:$AB1473,MATCH("Xero Invoiced Ex GST",$A$1:$AB$1,0)),"")),0)</f>
        <v/>
      </c>
      <c r="AE1473" s="53">
        <f>IFERROR(INDEX($A1473:$AB1473,MATCH("Xero Invoice Date",$A$1:$AB$1,0)),"")</f>
        <v/>
      </c>
      <c r="AF1473" s="54">
        <f>IF(AND(IFERROR(INDEX($A1473:$AB1473,MATCH("Xero Invoice No",$A$1:$AB$1,0)),"")&amp;""&lt;&gt;"",ISNUMBER(AE1473),AD1473&lt;&gt;0),1,0)</f>
        <v/>
      </c>
      <c r="AG1473" s="55">
        <f>IF(AF1473=1,EOMONTH(AE1473,0),"")</f>
        <v/>
      </c>
      <c r="AH1473" s="9">
        <f>IF(AF1473=1,UPPER(TRIM(IFERROR(INDEX($A1473:$AB1473,MATCH("Client",$A$1:$AB$1,0)),"")&amp;"")),"")</f>
        <v/>
      </c>
      <c r="AI1473" s="9">
        <f>IF(AF1473=1,IFERROR(INDEX($A1473:$AB1473,MATCH("Cost Centre",$A$1:$AB$1,0)),"")&amp;"","")</f>
        <v/>
      </c>
      <c r="AJ1473" s="54">
        <f>IF(AND(AF1473=1,AE1473&gt;=set_FYStart,AE1473&lt;=set_AsAt),1,0)</f>
        <v/>
      </c>
      <c r="AK1473" s="54">
        <f>IF(AND(AJ1473=1,AH1473&lt;&gt;"",COUNTIFS($AH$2:AH1473,AH1473,$AJ$2:AJ1473,1)=1),N(AL1472)+1,"")</f>
        <v/>
      </c>
      <c r="AL1473" s="54">
        <f>IF(AK1473&lt;&gt;"",AK1473,N(AL1472))</f>
        <v/>
      </c>
    </row>
    <row r="1474">
      <c r="A1474" t="inlineStr">
        <is>
          <t>CON-0491</t>
        </is>
      </c>
      <c r="B1474" t="inlineStr">
        <is>
          <t>Consulting</t>
        </is>
      </c>
      <c r="AB1474" t="n">
        <v>491</v>
      </c>
      <c r="AD1474" s="52">
        <f>IFERROR(N(IFERROR(INDEX($A1474:$AB1474,MATCH("Xero Invoiced Ex GST",$A$1:$AB$1,0)),"")),0)</f>
        <v/>
      </c>
      <c r="AE1474" s="53">
        <f>IFERROR(INDEX($A1474:$AB1474,MATCH("Xero Invoice Date",$A$1:$AB$1,0)),"")</f>
        <v/>
      </c>
      <c r="AF1474" s="54">
        <f>IF(AND(IFERROR(INDEX($A1474:$AB1474,MATCH("Xero Invoice No",$A$1:$AB$1,0)),"")&amp;""&lt;&gt;"",ISNUMBER(AE1474),AD1474&lt;&gt;0),1,0)</f>
        <v/>
      </c>
      <c r="AG1474" s="55">
        <f>IF(AF1474=1,EOMONTH(AE1474,0),"")</f>
        <v/>
      </c>
      <c r="AH1474" s="9">
        <f>IF(AF1474=1,UPPER(TRIM(IFERROR(INDEX($A1474:$AB1474,MATCH("Client",$A$1:$AB$1,0)),"")&amp;"")),"")</f>
        <v/>
      </c>
      <c r="AI1474" s="9">
        <f>IF(AF1474=1,IFERROR(INDEX($A1474:$AB1474,MATCH("Cost Centre",$A$1:$AB$1,0)),"")&amp;"","")</f>
        <v/>
      </c>
      <c r="AJ1474" s="54">
        <f>IF(AND(AF1474=1,AE1474&gt;=set_FYStart,AE1474&lt;=set_AsAt),1,0)</f>
        <v/>
      </c>
      <c r="AK1474" s="54">
        <f>IF(AND(AJ1474=1,AH1474&lt;&gt;"",COUNTIFS($AH$2:AH1474,AH1474,$AJ$2:AJ1474,1)=1),N(AL1473)+1,"")</f>
        <v/>
      </c>
      <c r="AL1474" s="54">
        <f>IF(AK1474&lt;&gt;"",AK1474,N(AL1473))</f>
        <v/>
      </c>
    </row>
    <row r="1475">
      <c r="A1475" t="inlineStr">
        <is>
          <t>ONS-0492</t>
        </is>
      </c>
      <c r="B1475" t="inlineStr">
        <is>
          <t>Onsite</t>
        </is>
      </c>
      <c r="AB1475" t="n">
        <v>492</v>
      </c>
      <c r="AD1475" s="52">
        <f>IFERROR(N(IFERROR(INDEX($A1475:$AB1475,MATCH("Xero Invoiced Ex GST",$A$1:$AB$1,0)),"")),0)</f>
        <v/>
      </c>
      <c r="AE1475" s="53">
        <f>IFERROR(INDEX($A1475:$AB1475,MATCH("Xero Invoice Date",$A$1:$AB$1,0)),"")</f>
        <v/>
      </c>
      <c r="AF1475" s="54">
        <f>IF(AND(IFERROR(INDEX($A1475:$AB1475,MATCH("Xero Invoice No",$A$1:$AB$1,0)),"")&amp;""&lt;&gt;"",ISNUMBER(AE1475),AD1475&lt;&gt;0),1,0)</f>
        <v/>
      </c>
      <c r="AG1475" s="55">
        <f>IF(AF1475=1,EOMONTH(AE1475,0),"")</f>
        <v/>
      </c>
      <c r="AH1475" s="9">
        <f>IF(AF1475=1,UPPER(TRIM(IFERROR(INDEX($A1475:$AB1475,MATCH("Client",$A$1:$AB$1,0)),"")&amp;"")),"")</f>
        <v/>
      </c>
      <c r="AI1475" s="9">
        <f>IF(AF1475=1,IFERROR(INDEX($A1475:$AB1475,MATCH("Cost Centre",$A$1:$AB$1,0)),"")&amp;"","")</f>
        <v/>
      </c>
      <c r="AJ1475" s="54">
        <f>IF(AND(AF1475=1,AE1475&gt;=set_FYStart,AE1475&lt;=set_AsAt),1,0)</f>
        <v/>
      </c>
      <c r="AK1475" s="54">
        <f>IF(AND(AJ1475=1,AH1475&lt;&gt;"",COUNTIFS($AH$2:AH1475,AH1475,$AJ$2:AJ1475,1)=1),N(AL1474)+1,"")</f>
        <v/>
      </c>
      <c r="AL1475" s="54">
        <f>IF(AK1475&lt;&gt;"",AK1475,N(AL1474))</f>
        <v/>
      </c>
    </row>
    <row r="1476">
      <c r="A1476" t="inlineStr">
        <is>
          <t>PRD-0492</t>
        </is>
      </c>
      <c r="B1476" t="inlineStr">
        <is>
          <t>Production</t>
        </is>
      </c>
      <c r="AB1476" t="n">
        <v>492</v>
      </c>
      <c r="AD1476" s="52">
        <f>IFERROR(N(IFERROR(INDEX($A1476:$AB1476,MATCH("Xero Invoiced Ex GST",$A$1:$AB$1,0)),"")),0)</f>
        <v/>
      </c>
      <c r="AE1476" s="53">
        <f>IFERROR(INDEX($A1476:$AB1476,MATCH("Xero Invoice Date",$A$1:$AB$1,0)),"")</f>
        <v/>
      </c>
      <c r="AF1476" s="54">
        <f>IF(AND(IFERROR(INDEX($A1476:$AB1476,MATCH("Xero Invoice No",$A$1:$AB$1,0)),"")&amp;""&lt;&gt;"",ISNUMBER(AE1476),AD1476&lt;&gt;0),1,0)</f>
        <v/>
      </c>
      <c r="AG1476" s="55">
        <f>IF(AF1476=1,EOMONTH(AE1476,0),"")</f>
        <v/>
      </c>
      <c r="AH1476" s="9">
        <f>IF(AF1476=1,UPPER(TRIM(IFERROR(INDEX($A1476:$AB1476,MATCH("Client",$A$1:$AB$1,0)),"")&amp;"")),"")</f>
        <v/>
      </c>
      <c r="AI1476" s="9">
        <f>IF(AF1476=1,IFERROR(INDEX($A1476:$AB1476,MATCH("Cost Centre",$A$1:$AB$1,0)),"")&amp;"","")</f>
        <v/>
      </c>
      <c r="AJ1476" s="54">
        <f>IF(AND(AF1476=1,AE1476&gt;=set_FYStart,AE1476&lt;=set_AsAt),1,0)</f>
        <v/>
      </c>
      <c r="AK1476" s="54">
        <f>IF(AND(AJ1476=1,AH1476&lt;&gt;"",COUNTIFS($AH$2:AH1476,AH1476,$AJ$2:AJ1476,1)=1),N(AL1475)+1,"")</f>
        <v/>
      </c>
      <c r="AL1476" s="54">
        <f>IF(AK1476&lt;&gt;"",AK1476,N(AL1475))</f>
        <v/>
      </c>
    </row>
    <row r="1477">
      <c r="A1477" t="inlineStr">
        <is>
          <t>CON-0492</t>
        </is>
      </c>
      <c r="B1477" t="inlineStr">
        <is>
          <t>Consulting</t>
        </is>
      </c>
      <c r="AB1477" t="n">
        <v>492</v>
      </c>
      <c r="AD1477" s="52">
        <f>IFERROR(N(IFERROR(INDEX($A1477:$AB1477,MATCH("Xero Invoiced Ex GST",$A$1:$AB$1,0)),"")),0)</f>
        <v/>
      </c>
      <c r="AE1477" s="53">
        <f>IFERROR(INDEX($A1477:$AB1477,MATCH("Xero Invoice Date",$A$1:$AB$1,0)),"")</f>
        <v/>
      </c>
      <c r="AF1477" s="54">
        <f>IF(AND(IFERROR(INDEX($A1477:$AB1477,MATCH("Xero Invoice No",$A$1:$AB$1,0)),"")&amp;""&lt;&gt;"",ISNUMBER(AE1477),AD1477&lt;&gt;0),1,0)</f>
        <v/>
      </c>
      <c r="AG1477" s="55">
        <f>IF(AF1477=1,EOMONTH(AE1477,0),"")</f>
        <v/>
      </c>
      <c r="AH1477" s="9">
        <f>IF(AF1477=1,UPPER(TRIM(IFERROR(INDEX($A1477:$AB1477,MATCH("Client",$A$1:$AB$1,0)),"")&amp;"")),"")</f>
        <v/>
      </c>
      <c r="AI1477" s="9">
        <f>IF(AF1477=1,IFERROR(INDEX($A1477:$AB1477,MATCH("Cost Centre",$A$1:$AB$1,0)),"")&amp;"","")</f>
        <v/>
      </c>
      <c r="AJ1477" s="54">
        <f>IF(AND(AF1477=1,AE1477&gt;=set_FYStart,AE1477&lt;=set_AsAt),1,0)</f>
        <v/>
      </c>
      <c r="AK1477" s="54">
        <f>IF(AND(AJ1477=1,AH1477&lt;&gt;"",COUNTIFS($AH$2:AH1477,AH1477,$AJ$2:AJ1477,1)=1),N(AL1476)+1,"")</f>
        <v/>
      </c>
      <c r="AL1477" s="54">
        <f>IF(AK1477&lt;&gt;"",AK1477,N(AL1476))</f>
        <v/>
      </c>
    </row>
    <row r="1478">
      <c r="A1478" t="inlineStr">
        <is>
          <t>ONS-0493</t>
        </is>
      </c>
      <c r="B1478" t="inlineStr">
        <is>
          <t>Onsite</t>
        </is>
      </c>
      <c r="AB1478" t="n">
        <v>493</v>
      </c>
      <c r="AD1478" s="52">
        <f>IFERROR(N(IFERROR(INDEX($A1478:$AB1478,MATCH("Xero Invoiced Ex GST",$A$1:$AB$1,0)),"")),0)</f>
        <v/>
      </c>
      <c r="AE1478" s="53">
        <f>IFERROR(INDEX($A1478:$AB1478,MATCH("Xero Invoice Date",$A$1:$AB$1,0)),"")</f>
        <v/>
      </c>
      <c r="AF1478" s="54">
        <f>IF(AND(IFERROR(INDEX($A1478:$AB1478,MATCH("Xero Invoice No",$A$1:$AB$1,0)),"")&amp;""&lt;&gt;"",ISNUMBER(AE1478),AD1478&lt;&gt;0),1,0)</f>
        <v/>
      </c>
      <c r="AG1478" s="55">
        <f>IF(AF1478=1,EOMONTH(AE1478,0),"")</f>
        <v/>
      </c>
      <c r="AH1478" s="9">
        <f>IF(AF1478=1,UPPER(TRIM(IFERROR(INDEX($A1478:$AB1478,MATCH("Client",$A$1:$AB$1,0)),"")&amp;"")),"")</f>
        <v/>
      </c>
      <c r="AI1478" s="9">
        <f>IF(AF1478=1,IFERROR(INDEX($A1478:$AB1478,MATCH("Cost Centre",$A$1:$AB$1,0)),"")&amp;"","")</f>
        <v/>
      </c>
      <c r="AJ1478" s="54">
        <f>IF(AND(AF1478=1,AE1478&gt;=set_FYStart,AE1478&lt;=set_AsAt),1,0)</f>
        <v/>
      </c>
      <c r="AK1478" s="54">
        <f>IF(AND(AJ1478=1,AH1478&lt;&gt;"",COUNTIFS($AH$2:AH1478,AH1478,$AJ$2:AJ1478,1)=1),N(AL1477)+1,"")</f>
        <v/>
      </c>
      <c r="AL1478" s="54">
        <f>IF(AK1478&lt;&gt;"",AK1478,N(AL1477))</f>
        <v/>
      </c>
    </row>
    <row r="1479">
      <c r="A1479" t="inlineStr">
        <is>
          <t>PRD-0493</t>
        </is>
      </c>
      <c r="B1479" t="inlineStr">
        <is>
          <t>Production</t>
        </is>
      </c>
      <c r="AB1479" t="n">
        <v>493</v>
      </c>
      <c r="AD1479" s="52">
        <f>IFERROR(N(IFERROR(INDEX($A1479:$AB1479,MATCH("Xero Invoiced Ex GST",$A$1:$AB$1,0)),"")),0)</f>
        <v/>
      </c>
      <c r="AE1479" s="53">
        <f>IFERROR(INDEX($A1479:$AB1479,MATCH("Xero Invoice Date",$A$1:$AB$1,0)),"")</f>
        <v/>
      </c>
      <c r="AF1479" s="54">
        <f>IF(AND(IFERROR(INDEX($A1479:$AB1479,MATCH("Xero Invoice No",$A$1:$AB$1,0)),"")&amp;""&lt;&gt;"",ISNUMBER(AE1479),AD1479&lt;&gt;0),1,0)</f>
        <v/>
      </c>
      <c r="AG1479" s="55">
        <f>IF(AF1479=1,EOMONTH(AE1479,0),"")</f>
        <v/>
      </c>
      <c r="AH1479" s="9">
        <f>IF(AF1479=1,UPPER(TRIM(IFERROR(INDEX($A1479:$AB1479,MATCH("Client",$A$1:$AB$1,0)),"")&amp;"")),"")</f>
        <v/>
      </c>
      <c r="AI1479" s="9">
        <f>IF(AF1479=1,IFERROR(INDEX($A1479:$AB1479,MATCH("Cost Centre",$A$1:$AB$1,0)),"")&amp;"","")</f>
        <v/>
      </c>
      <c r="AJ1479" s="54">
        <f>IF(AND(AF1479=1,AE1479&gt;=set_FYStart,AE1479&lt;=set_AsAt),1,0)</f>
        <v/>
      </c>
      <c r="AK1479" s="54">
        <f>IF(AND(AJ1479=1,AH1479&lt;&gt;"",COUNTIFS($AH$2:AH1479,AH1479,$AJ$2:AJ1479,1)=1),N(AL1478)+1,"")</f>
        <v/>
      </c>
      <c r="AL1479" s="54">
        <f>IF(AK1479&lt;&gt;"",AK1479,N(AL1478))</f>
        <v/>
      </c>
    </row>
    <row r="1480">
      <c r="A1480" t="inlineStr">
        <is>
          <t>CON-0493</t>
        </is>
      </c>
      <c r="B1480" t="inlineStr">
        <is>
          <t>Consulting</t>
        </is>
      </c>
      <c r="AB1480" t="n">
        <v>493</v>
      </c>
      <c r="AD1480" s="52">
        <f>IFERROR(N(IFERROR(INDEX($A1480:$AB1480,MATCH("Xero Invoiced Ex GST",$A$1:$AB$1,0)),"")),0)</f>
        <v/>
      </c>
      <c r="AE1480" s="53">
        <f>IFERROR(INDEX($A1480:$AB1480,MATCH("Xero Invoice Date",$A$1:$AB$1,0)),"")</f>
        <v/>
      </c>
      <c r="AF1480" s="54">
        <f>IF(AND(IFERROR(INDEX($A1480:$AB1480,MATCH("Xero Invoice No",$A$1:$AB$1,0)),"")&amp;""&lt;&gt;"",ISNUMBER(AE1480),AD1480&lt;&gt;0),1,0)</f>
        <v/>
      </c>
      <c r="AG1480" s="55">
        <f>IF(AF1480=1,EOMONTH(AE1480,0),"")</f>
        <v/>
      </c>
      <c r="AH1480" s="9">
        <f>IF(AF1480=1,UPPER(TRIM(IFERROR(INDEX($A1480:$AB1480,MATCH("Client",$A$1:$AB$1,0)),"")&amp;"")),"")</f>
        <v/>
      </c>
      <c r="AI1480" s="9">
        <f>IF(AF1480=1,IFERROR(INDEX($A1480:$AB1480,MATCH("Cost Centre",$A$1:$AB$1,0)),"")&amp;"","")</f>
        <v/>
      </c>
      <c r="AJ1480" s="54">
        <f>IF(AND(AF1480=1,AE1480&gt;=set_FYStart,AE1480&lt;=set_AsAt),1,0)</f>
        <v/>
      </c>
      <c r="AK1480" s="54">
        <f>IF(AND(AJ1480=1,AH1480&lt;&gt;"",COUNTIFS($AH$2:AH1480,AH1480,$AJ$2:AJ1480,1)=1),N(AL1479)+1,"")</f>
        <v/>
      </c>
      <c r="AL1480" s="54">
        <f>IF(AK1480&lt;&gt;"",AK1480,N(AL1479))</f>
        <v/>
      </c>
    </row>
    <row r="1481">
      <c r="A1481" t="inlineStr">
        <is>
          <t>ONS-0494</t>
        </is>
      </c>
      <c r="B1481" t="inlineStr">
        <is>
          <t>Onsite</t>
        </is>
      </c>
      <c r="AB1481" t="n">
        <v>494</v>
      </c>
      <c r="AD1481" s="52">
        <f>IFERROR(N(IFERROR(INDEX($A1481:$AB1481,MATCH("Xero Invoiced Ex GST",$A$1:$AB$1,0)),"")),0)</f>
        <v/>
      </c>
      <c r="AE1481" s="53">
        <f>IFERROR(INDEX($A1481:$AB1481,MATCH("Xero Invoice Date",$A$1:$AB$1,0)),"")</f>
        <v/>
      </c>
      <c r="AF1481" s="54">
        <f>IF(AND(IFERROR(INDEX($A1481:$AB1481,MATCH("Xero Invoice No",$A$1:$AB$1,0)),"")&amp;""&lt;&gt;"",ISNUMBER(AE1481),AD1481&lt;&gt;0),1,0)</f>
        <v/>
      </c>
      <c r="AG1481" s="55">
        <f>IF(AF1481=1,EOMONTH(AE1481,0),"")</f>
        <v/>
      </c>
      <c r="AH1481" s="9">
        <f>IF(AF1481=1,UPPER(TRIM(IFERROR(INDEX($A1481:$AB1481,MATCH("Client",$A$1:$AB$1,0)),"")&amp;"")),"")</f>
        <v/>
      </c>
      <c r="AI1481" s="9">
        <f>IF(AF1481=1,IFERROR(INDEX($A1481:$AB1481,MATCH("Cost Centre",$A$1:$AB$1,0)),"")&amp;"","")</f>
        <v/>
      </c>
      <c r="AJ1481" s="54">
        <f>IF(AND(AF1481=1,AE1481&gt;=set_FYStart,AE1481&lt;=set_AsAt),1,0)</f>
        <v/>
      </c>
      <c r="AK1481" s="54">
        <f>IF(AND(AJ1481=1,AH1481&lt;&gt;"",COUNTIFS($AH$2:AH1481,AH1481,$AJ$2:AJ1481,1)=1),N(AL1480)+1,"")</f>
        <v/>
      </c>
      <c r="AL1481" s="54">
        <f>IF(AK1481&lt;&gt;"",AK1481,N(AL1480))</f>
        <v/>
      </c>
    </row>
    <row r="1482">
      <c r="A1482" t="inlineStr">
        <is>
          <t>PRD-0494</t>
        </is>
      </c>
      <c r="B1482" t="inlineStr">
        <is>
          <t>Production</t>
        </is>
      </c>
      <c r="AB1482" t="n">
        <v>494</v>
      </c>
      <c r="AD1482" s="52">
        <f>IFERROR(N(IFERROR(INDEX($A1482:$AB1482,MATCH("Xero Invoiced Ex GST",$A$1:$AB$1,0)),"")),0)</f>
        <v/>
      </c>
      <c r="AE1482" s="53">
        <f>IFERROR(INDEX($A1482:$AB1482,MATCH("Xero Invoice Date",$A$1:$AB$1,0)),"")</f>
        <v/>
      </c>
      <c r="AF1482" s="54">
        <f>IF(AND(IFERROR(INDEX($A1482:$AB1482,MATCH("Xero Invoice No",$A$1:$AB$1,0)),"")&amp;""&lt;&gt;"",ISNUMBER(AE1482),AD1482&lt;&gt;0),1,0)</f>
        <v/>
      </c>
      <c r="AG1482" s="55">
        <f>IF(AF1482=1,EOMONTH(AE1482,0),"")</f>
        <v/>
      </c>
      <c r="AH1482" s="9">
        <f>IF(AF1482=1,UPPER(TRIM(IFERROR(INDEX($A1482:$AB1482,MATCH("Client",$A$1:$AB$1,0)),"")&amp;"")),"")</f>
        <v/>
      </c>
      <c r="AI1482" s="9">
        <f>IF(AF1482=1,IFERROR(INDEX($A1482:$AB1482,MATCH("Cost Centre",$A$1:$AB$1,0)),"")&amp;"","")</f>
        <v/>
      </c>
      <c r="AJ1482" s="54">
        <f>IF(AND(AF1482=1,AE1482&gt;=set_FYStart,AE1482&lt;=set_AsAt),1,0)</f>
        <v/>
      </c>
      <c r="AK1482" s="54">
        <f>IF(AND(AJ1482=1,AH1482&lt;&gt;"",COUNTIFS($AH$2:AH1482,AH1482,$AJ$2:AJ1482,1)=1),N(AL1481)+1,"")</f>
        <v/>
      </c>
      <c r="AL1482" s="54">
        <f>IF(AK1482&lt;&gt;"",AK1482,N(AL1481))</f>
        <v/>
      </c>
    </row>
    <row r="1483">
      <c r="A1483" t="inlineStr">
        <is>
          <t>CON-0494</t>
        </is>
      </c>
      <c r="B1483" t="inlineStr">
        <is>
          <t>Consulting</t>
        </is>
      </c>
      <c r="AB1483" t="n">
        <v>494</v>
      </c>
      <c r="AD1483" s="52">
        <f>IFERROR(N(IFERROR(INDEX($A1483:$AB1483,MATCH("Xero Invoiced Ex GST",$A$1:$AB$1,0)),"")),0)</f>
        <v/>
      </c>
      <c r="AE1483" s="53">
        <f>IFERROR(INDEX($A1483:$AB1483,MATCH("Xero Invoice Date",$A$1:$AB$1,0)),"")</f>
        <v/>
      </c>
      <c r="AF1483" s="54">
        <f>IF(AND(IFERROR(INDEX($A1483:$AB1483,MATCH("Xero Invoice No",$A$1:$AB$1,0)),"")&amp;""&lt;&gt;"",ISNUMBER(AE1483),AD1483&lt;&gt;0),1,0)</f>
        <v/>
      </c>
      <c r="AG1483" s="55">
        <f>IF(AF1483=1,EOMONTH(AE1483,0),"")</f>
        <v/>
      </c>
      <c r="AH1483" s="9">
        <f>IF(AF1483=1,UPPER(TRIM(IFERROR(INDEX($A1483:$AB1483,MATCH("Client",$A$1:$AB$1,0)),"")&amp;"")),"")</f>
        <v/>
      </c>
      <c r="AI1483" s="9">
        <f>IF(AF1483=1,IFERROR(INDEX($A1483:$AB1483,MATCH("Cost Centre",$A$1:$AB$1,0)),"")&amp;"","")</f>
        <v/>
      </c>
      <c r="AJ1483" s="54">
        <f>IF(AND(AF1483=1,AE1483&gt;=set_FYStart,AE1483&lt;=set_AsAt),1,0)</f>
        <v/>
      </c>
      <c r="AK1483" s="54">
        <f>IF(AND(AJ1483=1,AH1483&lt;&gt;"",COUNTIFS($AH$2:AH1483,AH1483,$AJ$2:AJ1483,1)=1),N(AL1482)+1,"")</f>
        <v/>
      </c>
      <c r="AL1483" s="54">
        <f>IF(AK1483&lt;&gt;"",AK1483,N(AL1482))</f>
        <v/>
      </c>
    </row>
    <row r="1484">
      <c r="A1484" t="inlineStr">
        <is>
          <t>ONS-0495</t>
        </is>
      </c>
      <c r="B1484" t="inlineStr">
        <is>
          <t>Onsite</t>
        </is>
      </c>
      <c r="AB1484" t="n">
        <v>495</v>
      </c>
      <c r="AD1484" s="52">
        <f>IFERROR(N(IFERROR(INDEX($A1484:$AB1484,MATCH("Xero Invoiced Ex GST",$A$1:$AB$1,0)),"")),0)</f>
        <v/>
      </c>
      <c r="AE1484" s="53">
        <f>IFERROR(INDEX($A1484:$AB1484,MATCH("Xero Invoice Date",$A$1:$AB$1,0)),"")</f>
        <v/>
      </c>
      <c r="AF1484" s="54">
        <f>IF(AND(IFERROR(INDEX($A1484:$AB1484,MATCH("Xero Invoice No",$A$1:$AB$1,0)),"")&amp;""&lt;&gt;"",ISNUMBER(AE1484),AD1484&lt;&gt;0),1,0)</f>
        <v/>
      </c>
      <c r="AG1484" s="55">
        <f>IF(AF1484=1,EOMONTH(AE1484,0),"")</f>
        <v/>
      </c>
      <c r="AH1484" s="9">
        <f>IF(AF1484=1,UPPER(TRIM(IFERROR(INDEX($A1484:$AB1484,MATCH("Client",$A$1:$AB$1,0)),"")&amp;"")),"")</f>
        <v/>
      </c>
      <c r="AI1484" s="9">
        <f>IF(AF1484=1,IFERROR(INDEX($A1484:$AB1484,MATCH("Cost Centre",$A$1:$AB$1,0)),"")&amp;"","")</f>
        <v/>
      </c>
      <c r="AJ1484" s="54">
        <f>IF(AND(AF1484=1,AE1484&gt;=set_FYStart,AE1484&lt;=set_AsAt),1,0)</f>
        <v/>
      </c>
      <c r="AK1484" s="54">
        <f>IF(AND(AJ1484=1,AH1484&lt;&gt;"",COUNTIFS($AH$2:AH1484,AH1484,$AJ$2:AJ1484,1)=1),N(AL1483)+1,"")</f>
        <v/>
      </c>
      <c r="AL1484" s="54">
        <f>IF(AK1484&lt;&gt;"",AK1484,N(AL1483))</f>
        <v/>
      </c>
    </row>
    <row r="1485">
      <c r="A1485" t="inlineStr">
        <is>
          <t>PRD-0495</t>
        </is>
      </c>
      <c r="B1485" t="inlineStr">
        <is>
          <t>Production</t>
        </is>
      </c>
      <c r="AB1485" t="n">
        <v>495</v>
      </c>
      <c r="AD1485" s="52">
        <f>IFERROR(N(IFERROR(INDEX($A1485:$AB1485,MATCH("Xero Invoiced Ex GST",$A$1:$AB$1,0)),"")),0)</f>
        <v/>
      </c>
      <c r="AE1485" s="53">
        <f>IFERROR(INDEX($A1485:$AB1485,MATCH("Xero Invoice Date",$A$1:$AB$1,0)),"")</f>
        <v/>
      </c>
      <c r="AF1485" s="54">
        <f>IF(AND(IFERROR(INDEX($A1485:$AB1485,MATCH("Xero Invoice No",$A$1:$AB$1,0)),"")&amp;""&lt;&gt;"",ISNUMBER(AE1485),AD1485&lt;&gt;0),1,0)</f>
        <v/>
      </c>
      <c r="AG1485" s="55">
        <f>IF(AF1485=1,EOMONTH(AE1485,0),"")</f>
        <v/>
      </c>
      <c r="AH1485" s="9">
        <f>IF(AF1485=1,UPPER(TRIM(IFERROR(INDEX($A1485:$AB1485,MATCH("Client",$A$1:$AB$1,0)),"")&amp;"")),"")</f>
        <v/>
      </c>
      <c r="AI1485" s="9">
        <f>IF(AF1485=1,IFERROR(INDEX($A1485:$AB1485,MATCH("Cost Centre",$A$1:$AB$1,0)),"")&amp;"","")</f>
        <v/>
      </c>
      <c r="AJ1485" s="54">
        <f>IF(AND(AF1485=1,AE1485&gt;=set_FYStart,AE1485&lt;=set_AsAt),1,0)</f>
        <v/>
      </c>
      <c r="AK1485" s="54">
        <f>IF(AND(AJ1485=1,AH1485&lt;&gt;"",COUNTIFS($AH$2:AH1485,AH1485,$AJ$2:AJ1485,1)=1),N(AL1484)+1,"")</f>
        <v/>
      </c>
      <c r="AL1485" s="54">
        <f>IF(AK1485&lt;&gt;"",AK1485,N(AL1484))</f>
        <v/>
      </c>
    </row>
    <row r="1486">
      <c r="A1486" t="inlineStr">
        <is>
          <t>CON-0495</t>
        </is>
      </c>
      <c r="B1486" t="inlineStr">
        <is>
          <t>Consulting</t>
        </is>
      </c>
      <c r="AB1486" t="n">
        <v>495</v>
      </c>
      <c r="AD1486" s="52">
        <f>IFERROR(N(IFERROR(INDEX($A1486:$AB1486,MATCH("Xero Invoiced Ex GST",$A$1:$AB$1,0)),"")),0)</f>
        <v/>
      </c>
      <c r="AE1486" s="53">
        <f>IFERROR(INDEX($A1486:$AB1486,MATCH("Xero Invoice Date",$A$1:$AB$1,0)),"")</f>
        <v/>
      </c>
      <c r="AF1486" s="54">
        <f>IF(AND(IFERROR(INDEX($A1486:$AB1486,MATCH("Xero Invoice No",$A$1:$AB$1,0)),"")&amp;""&lt;&gt;"",ISNUMBER(AE1486),AD1486&lt;&gt;0),1,0)</f>
        <v/>
      </c>
      <c r="AG1486" s="55">
        <f>IF(AF1486=1,EOMONTH(AE1486,0),"")</f>
        <v/>
      </c>
      <c r="AH1486" s="9">
        <f>IF(AF1486=1,UPPER(TRIM(IFERROR(INDEX($A1486:$AB1486,MATCH("Client",$A$1:$AB$1,0)),"")&amp;"")),"")</f>
        <v/>
      </c>
      <c r="AI1486" s="9">
        <f>IF(AF1486=1,IFERROR(INDEX($A1486:$AB1486,MATCH("Cost Centre",$A$1:$AB$1,0)),"")&amp;"","")</f>
        <v/>
      </c>
      <c r="AJ1486" s="54">
        <f>IF(AND(AF1486=1,AE1486&gt;=set_FYStart,AE1486&lt;=set_AsAt),1,0)</f>
        <v/>
      </c>
      <c r="AK1486" s="54">
        <f>IF(AND(AJ1486=1,AH1486&lt;&gt;"",COUNTIFS($AH$2:AH1486,AH1486,$AJ$2:AJ1486,1)=1),N(AL1485)+1,"")</f>
        <v/>
      </c>
      <c r="AL1486" s="54">
        <f>IF(AK1486&lt;&gt;"",AK1486,N(AL1485))</f>
        <v/>
      </c>
    </row>
    <row r="1487">
      <c r="A1487" t="inlineStr">
        <is>
          <t>ONS-0496</t>
        </is>
      </c>
      <c r="B1487" t="inlineStr">
        <is>
          <t>Onsite</t>
        </is>
      </c>
      <c r="AB1487" t="n">
        <v>496</v>
      </c>
      <c r="AD1487" s="52">
        <f>IFERROR(N(IFERROR(INDEX($A1487:$AB1487,MATCH("Xero Invoiced Ex GST",$A$1:$AB$1,0)),"")),0)</f>
        <v/>
      </c>
      <c r="AE1487" s="53">
        <f>IFERROR(INDEX($A1487:$AB1487,MATCH("Xero Invoice Date",$A$1:$AB$1,0)),"")</f>
        <v/>
      </c>
      <c r="AF1487" s="54">
        <f>IF(AND(IFERROR(INDEX($A1487:$AB1487,MATCH("Xero Invoice No",$A$1:$AB$1,0)),"")&amp;""&lt;&gt;"",ISNUMBER(AE1487),AD1487&lt;&gt;0),1,0)</f>
        <v/>
      </c>
      <c r="AG1487" s="55">
        <f>IF(AF1487=1,EOMONTH(AE1487,0),"")</f>
        <v/>
      </c>
      <c r="AH1487" s="9">
        <f>IF(AF1487=1,UPPER(TRIM(IFERROR(INDEX($A1487:$AB1487,MATCH("Client",$A$1:$AB$1,0)),"")&amp;"")),"")</f>
        <v/>
      </c>
      <c r="AI1487" s="9">
        <f>IF(AF1487=1,IFERROR(INDEX($A1487:$AB1487,MATCH("Cost Centre",$A$1:$AB$1,0)),"")&amp;"","")</f>
        <v/>
      </c>
      <c r="AJ1487" s="54">
        <f>IF(AND(AF1487=1,AE1487&gt;=set_FYStart,AE1487&lt;=set_AsAt),1,0)</f>
        <v/>
      </c>
      <c r="AK1487" s="54">
        <f>IF(AND(AJ1487=1,AH1487&lt;&gt;"",COUNTIFS($AH$2:AH1487,AH1487,$AJ$2:AJ1487,1)=1),N(AL1486)+1,"")</f>
        <v/>
      </c>
      <c r="AL1487" s="54">
        <f>IF(AK1487&lt;&gt;"",AK1487,N(AL1486))</f>
        <v/>
      </c>
    </row>
    <row r="1488">
      <c r="A1488" t="inlineStr">
        <is>
          <t>PRD-0496</t>
        </is>
      </c>
      <c r="B1488" t="inlineStr">
        <is>
          <t>Production</t>
        </is>
      </c>
      <c r="AB1488" t="n">
        <v>496</v>
      </c>
      <c r="AD1488" s="52">
        <f>IFERROR(N(IFERROR(INDEX($A1488:$AB1488,MATCH("Xero Invoiced Ex GST",$A$1:$AB$1,0)),"")),0)</f>
        <v/>
      </c>
      <c r="AE1488" s="53">
        <f>IFERROR(INDEX($A1488:$AB1488,MATCH("Xero Invoice Date",$A$1:$AB$1,0)),"")</f>
        <v/>
      </c>
      <c r="AF1488" s="54">
        <f>IF(AND(IFERROR(INDEX($A1488:$AB1488,MATCH("Xero Invoice No",$A$1:$AB$1,0)),"")&amp;""&lt;&gt;"",ISNUMBER(AE1488),AD1488&lt;&gt;0),1,0)</f>
        <v/>
      </c>
      <c r="AG1488" s="55">
        <f>IF(AF1488=1,EOMONTH(AE1488,0),"")</f>
        <v/>
      </c>
      <c r="AH1488" s="9">
        <f>IF(AF1488=1,UPPER(TRIM(IFERROR(INDEX($A1488:$AB1488,MATCH("Client",$A$1:$AB$1,0)),"")&amp;"")),"")</f>
        <v/>
      </c>
      <c r="AI1488" s="9">
        <f>IF(AF1488=1,IFERROR(INDEX($A1488:$AB1488,MATCH("Cost Centre",$A$1:$AB$1,0)),"")&amp;"","")</f>
        <v/>
      </c>
      <c r="AJ1488" s="54">
        <f>IF(AND(AF1488=1,AE1488&gt;=set_FYStart,AE1488&lt;=set_AsAt),1,0)</f>
        <v/>
      </c>
      <c r="AK1488" s="54">
        <f>IF(AND(AJ1488=1,AH1488&lt;&gt;"",COUNTIFS($AH$2:AH1488,AH1488,$AJ$2:AJ1488,1)=1),N(AL1487)+1,"")</f>
        <v/>
      </c>
      <c r="AL1488" s="54">
        <f>IF(AK1488&lt;&gt;"",AK1488,N(AL1487))</f>
        <v/>
      </c>
    </row>
    <row r="1489">
      <c r="A1489" t="inlineStr">
        <is>
          <t>CON-0496</t>
        </is>
      </c>
      <c r="B1489" t="inlineStr">
        <is>
          <t>Consulting</t>
        </is>
      </c>
      <c r="AB1489" t="n">
        <v>496</v>
      </c>
      <c r="AD1489" s="52">
        <f>IFERROR(N(IFERROR(INDEX($A1489:$AB1489,MATCH("Xero Invoiced Ex GST",$A$1:$AB$1,0)),"")),0)</f>
        <v/>
      </c>
      <c r="AE1489" s="53">
        <f>IFERROR(INDEX($A1489:$AB1489,MATCH("Xero Invoice Date",$A$1:$AB$1,0)),"")</f>
        <v/>
      </c>
      <c r="AF1489" s="54">
        <f>IF(AND(IFERROR(INDEX($A1489:$AB1489,MATCH("Xero Invoice No",$A$1:$AB$1,0)),"")&amp;""&lt;&gt;"",ISNUMBER(AE1489),AD1489&lt;&gt;0),1,0)</f>
        <v/>
      </c>
      <c r="AG1489" s="55">
        <f>IF(AF1489=1,EOMONTH(AE1489,0),"")</f>
        <v/>
      </c>
      <c r="AH1489" s="9">
        <f>IF(AF1489=1,UPPER(TRIM(IFERROR(INDEX($A1489:$AB1489,MATCH("Client",$A$1:$AB$1,0)),"")&amp;"")),"")</f>
        <v/>
      </c>
      <c r="AI1489" s="9">
        <f>IF(AF1489=1,IFERROR(INDEX($A1489:$AB1489,MATCH("Cost Centre",$A$1:$AB$1,0)),"")&amp;"","")</f>
        <v/>
      </c>
      <c r="AJ1489" s="54">
        <f>IF(AND(AF1489=1,AE1489&gt;=set_FYStart,AE1489&lt;=set_AsAt),1,0)</f>
        <v/>
      </c>
      <c r="AK1489" s="54">
        <f>IF(AND(AJ1489=1,AH1489&lt;&gt;"",COUNTIFS($AH$2:AH1489,AH1489,$AJ$2:AJ1489,1)=1),N(AL1488)+1,"")</f>
        <v/>
      </c>
      <c r="AL1489" s="54">
        <f>IF(AK1489&lt;&gt;"",AK1489,N(AL1488))</f>
        <v/>
      </c>
    </row>
    <row r="1490">
      <c r="A1490" t="inlineStr">
        <is>
          <t>ONS-0497</t>
        </is>
      </c>
      <c r="B1490" t="inlineStr">
        <is>
          <t>Onsite</t>
        </is>
      </c>
      <c r="AB1490" t="n">
        <v>497</v>
      </c>
      <c r="AD1490" s="52">
        <f>IFERROR(N(IFERROR(INDEX($A1490:$AB1490,MATCH("Xero Invoiced Ex GST",$A$1:$AB$1,0)),"")),0)</f>
        <v/>
      </c>
      <c r="AE1490" s="53">
        <f>IFERROR(INDEX($A1490:$AB1490,MATCH("Xero Invoice Date",$A$1:$AB$1,0)),"")</f>
        <v/>
      </c>
      <c r="AF1490" s="54">
        <f>IF(AND(IFERROR(INDEX($A1490:$AB1490,MATCH("Xero Invoice No",$A$1:$AB$1,0)),"")&amp;""&lt;&gt;"",ISNUMBER(AE1490),AD1490&lt;&gt;0),1,0)</f>
        <v/>
      </c>
      <c r="AG1490" s="55">
        <f>IF(AF1490=1,EOMONTH(AE1490,0),"")</f>
        <v/>
      </c>
      <c r="AH1490" s="9">
        <f>IF(AF1490=1,UPPER(TRIM(IFERROR(INDEX($A1490:$AB1490,MATCH("Client",$A$1:$AB$1,0)),"")&amp;"")),"")</f>
        <v/>
      </c>
      <c r="AI1490" s="9">
        <f>IF(AF1490=1,IFERROR(INDEX($A1490:$AB1490,MATCH("Cost Centre",$A$1:$AB$1,0)),"")&amp;"","")</f>
        <v/>
      </c>
      <c r="AJ1490" s="54">
        <f>IF(AND(AF1490=1,AE1490&gt;=set_FYStart,AE1490&lt;=set_AsAt),1,0)</f>
        <v/>
      </c>
      <c r="AK1490" s="54">
        <f>IF(AND(AJ1490=1,AH1490&lt;&gt;"",COUNTIFS($AH$2:AH1490,AH1490,$AJ$2:AJ1490,1)=1),N(AL1489)+1,"")</f>
        <v/>
      </c>
      <c r="AL1490" s="54">
        <f>IF(AK1490&lt;&gt;"",AK1490,N(AL1489))</f>
        <v/>
      </c>
    </row>
    <row r="1491">
      <c r="A1491" t="inlineStr">
        <is>
          <t>PRD-0497</t>
        </is>
      </c>
      <c r="B1491" t="inlineStr">
        <is>
          <t>Production</t>
        </is>
      </c>
      <c r="AB1491" t="n">
        <v>497</v>
      </c>
      <c r="AD1491" s="52">
        <f>IFERROR(N(IFERROR(INDEX($A1491:$AB1491,MATCH("Xero Invoiced Ex GST",$A$1:$AB$1,0)),"")),0)</f>
        <v/>
      </c>
      <c r="AE1491" s="53">
        <f>IFERROR(INDEX($A1491:$AB1491,MATCH("Xero Invoice Date",$A$1:$AB$1,0)),"")</f>
        <v/>
      </c>
      <c r="AF1491" s="54">
        <f>IF(AND(IFERROR(INDEX($A1491:$AB1491,MATCH("Xero Invoice No",$A$1:$AB$1,0)),"")&amp;""&lt;&gt;"",ISNUMBER(AE1491),AD1491&lt;&gt;0),1,0)</f>
        <v/>
      </c>
      <c r="AG1491" s="55">
        <f>IF(AF1491=1,EOMONTH(AE1491,0),"")</f>
        <v/>
      </c>
      <c r="AH1491" s="9">
        <f>IF(AF1491=1,UPPER(TRIM(IFERROR(INDEX($A1491:$AB1491,MATCH("Client",$A$1:$AB$1,0)),"")&amp;"")),"")</f>
        <v/>
      </c>
      <c r="AI1491" s="9">
        <f>IF(AF1491=1,IFERROR(INDEX($A1491:$AB1491,MATCH("Cost Centre",$A$1:$AB$1,0)),"")&amp;"","")</f>
        <v/>
      </c>
      <c r="AJ1491" s="54">
        <f>IF(AND(AF1491=1,AE1491&gt;=set_FYStart,AE1491&lt;=set_AsAt),1,0)</f>
        <v/>
      </c>
      <c r="AK1491" s="54">
        <f>IF(AND(AJ1491=1,AH1491&lt;&gt;"",COUNTIFS($AH$2:AH1491,AH1491,$AJ$2:AJ1491,1)=1),N(AL1490)+1,"")</f>
        <v/>
      </c>
      <c r="AL1491" s="54">
        <f>IF(AK1491&lt;&gt;"",AK1491,N(AL1490))</f>
        <v/>
      </c>
    </row>
    <row r="1492">
      <c r="A1492" t="inlineStr">
        <is>
          <t>CON-0497</t>
        </is>
      </c>
      <c r="B1492" t="inlineStr">
        <is>
          <t>Consulting</t>
        </is>
      </c>
      <c r="AB1492" t="n">
        <v>497</v>
      </c>
      <c r="AD1492" s="52">
        <f>IFERROR(N(IFERROR(INDEX($A1492:$AB1492,MATCH("Xero Invoiced Ex GST",$A$1:$AB$1,0)),"")),0)</f>
        <v/>
      </c>
      <c r="AE1492" s="53">
        <f>IFERROR(INDEX($A1492:$AB1492,MATCH("Xero Invoice Date",$A$1:$AB$1,0)),"")</f>
        <v/>
      </c>
      <c r="AF1492" s="54">
        <f>IF(AND(IFERROR(INDEX($A1492:$AB1492,MATCH("Xero Invoice No",$A$1:$AB$1,0)),"")&amp;""&lt;&gt;"",ISNUMBER(AE1492),AD1492&lt;&gt;0),1,0)</f>
        <v/>
      </c>
      <c r="AG1492" s="55">
        <f>IF(AF1492=1,EOMONTH(AE1492,0),"")</f>
        <v/>
      </c>
      <c r="AH1492" s="9">
        <f>IF(AF1492=1,UPPER(TRIM(IFERROR(INDEX($A1492:$AB1492,MATCH("Client",$A$1:$AB$1,0)),"")&amp;"")),"")</f>
        <v/>
      </c>
      <c r="AI1492" s="9">
        <f>IF(AF1492=1,IFERROR(INDEX($A1492:$AB1492,MATCH("Cost Centre",$A$1:$AB$1,0)),"")&amp;"","")</f>
        <v/>
      </c>
      <c r="AJ1492" s="54">
        <f>IF(AND(AF1492=1,AE1492&gt;=set_FYStart,AE1492&lt;=set_AsAt),1,0)</f>
        <v/>
      </c>
      <c r="AK1492" s="54">
        <f>IF(AND(AJ1492=1,AH1492&lt;&gt;"",COUNTIFS($AH$2:AH1492,AH1492,$AJ$2:AJ1492,1)=1),N(AL1491)+1,"")</f>
        <v/>
      </c>
      <c r="AL1492" s="54">
        <f>IF(AK1492&lt;&gt;"",AK1492,N(AL1491))</f>
        <v/>
      </c>
    </row>
    <row r="1493">
      <c r="A1493" t="inlineStr">
        <is>
          <t>ONS-0498</t>
        </is>
      </c>
      <c r="B1493" t="inlineStr">
        <is>
          <t>Onsite</t>
        </is>
      </c>
      <c r="AB1493" t="n">
        <v>498</v>
      </c>
      <c r="AD1493" s="52">
        <f>IFERROR(N(IFERROR(INDEX($A1493:$AB1493,MATCH("Xero Invoiced Ex GST",$A$1:$AB$1,0)),"")),0)</f>
        <v/>
      </c>
      <c r="AE1493" s="53">
        <f>IFERROR(INDEX($A1493:$AB1493,MATCH("Xero Invoice Date",$A$1:$AB$1,0)),"")</f>
        <v/>
      </c>
      <c r="AF1493" s="54">
        <f>IF(AND(IFERROR(INDEX($A1493:$AB1493,MATCH("Xero Invoice No",$A$1:$AB$1,0)),"")&amp;""&lt;&gt;"",ISNUMBER(AE1493),AD1493&lt;&gt;0),1,0)</f>
        <v/>
      </c>
      <c r="AG1493" s="55">
        <f>IF(AF1493=1,EOMONTH(AE1493,0),"")</f>
        <v/>
      </c>
      <c r="AH1493" s="9">
        <f>IF(AF1493=1,UPPER(TRIM(IFERROR(INDEX($A1493:$AB1493,MATCH("Client",$A$1:$AB$1,0)),"")&amp;"")),"")</f>
        <v/>
      </c>
      <c r="AI1493" s="9">
        <f>IF(AF1493=1,IFERROR(INDEX($A1493:$AB1493,MATCH("Cost Centre",$A$1:$AB$1,0)),"")&amp;"","")</f>
        <v/>
      </c>
      <c r="AJ1493" s="54">
        <f>IF(AND(AF1493=1,AE1493&gt;=set_FYStart,AE1493&lt;=set_AsAt),1,0)</f>
        <v/>
      </c>
      <c r="AK1493" s="54">
        <f>IF(AND(AJ1493=1,AH1493&lt;&gt;"",COUNTIFS($AH$2:AH1493,AH1493,$AJ$2:AJ1493,1)=1),N(AL1492)+1,"")</f>
        <v/>
      </c>
      <c r="AL1493" s="54">
        <f>IF(AK1493&lt;&gt;"",AK1493,N(AL1492))</f>
        <v/>
      </c>
    </row>
    <row r="1494">
      <c r="A1494" t="inlineStr">
        <is>
          <t>PRD-0498</t>
        </is>
      </c>
      <c r="B1494" t="inlineStr">
        <is>
          <t>Production</t>
        </is>
      </c>
      <c r="AB1494" t="n">
        <v>498</v>
      </c>
      <c r="AD1494" s="52">
        <f>IFERROR(N(IFERROR(INDEX($A1494:$AB1494,MATCH("Xero Invoiced Ex GST",$A$1:$AB$1,0)),"")),0)</f>
        <v/>
      </c>
      <c r="AE1494" s="53">
        <f>IFERROR(INDEX($A1494:$AB1494,MATCH("Xero Invoice Date",$A$1:$AB$1,0)),"")</f>
        <v/>
      </c>
      <c r="AF1494" s="54">
        <f>IF(AND(IFERROR(INDEX($A1494:$AB1494,MATCH("Xero Invoice No",$A$1:$AB$1,0)),"")&amp;""&lt;&gt;"",ISNUMBER(AE1494),AD1494&lt;&gt;0),1,0)</f>
        <v/>
      </c>
      <c r="AG1494" s="55">
        <f>IF(AF1494=1,EOMONTH(AE1494,0),"")</f>
        <v/>
      </c>
      <c r="AH1494" s="9">
        <f>IF(AF1494=1,UPPER(TRIM(IFERROR(INDEX($A1494:$AB1494,MATCH("Client",$A$1:$AB$1,0)),"")&amp;"")),"")</f>
        <v/>
      </c>
      <c r="AI1494" s="9">
        <f>IF(AF1494=1,IFERROR(INDEX($A1494:$AB1494,MATCH("Cost Centre",$A$1:$AB$1,0)),"")&amp;"","")</f>
        <v/>
      </c>
      <c r="AJ1494" s="54">
        <f>IF(AND(AF1494=1,AE1494&gt;=set_FYStart,AE1494&lt;=set_AsAt),1,0)</f>
        <v/>
      </c>
      <c r="AK1494" s="54">
        <f>IF(AND(AJ1494=1,AH1494&lt;&gt;"",COUNTIFS($AH$2:AH1494,AH1494,$AJ$2:AJ1494,1)=1),N(AL1493)+1,"")</f>
        <v/>
      </c>
      <c r="AL1494" s="54">
        <f>IF(AK1494&lt;&gt;"",AK1494,N(AL1493))</f>
        <v/>
      </c>
    </row>
    <row r="1495">
      <c r="A1495" t="inlineStr">
        <is>
          <t>CON-0498</t>
        </is>
      </c>
      <c r="B1495" t="inlineStr">
        <is>
          <t>Consulting</t>
        </is>
      </c>
      <c r="AB1495" t="n">
        <v>498</v>
      </c>
      <c r="AD1495" s="52">
        <f>IFERROR(N(IFERROR(INDEX($A1495:$AB1495,MATCH("Xero Invoiced Ex GST",$A$1:$AB$1,0)),"")),0)</f>
        <v/>
      </c>
      <c r="AE1495" s="53">
        <f>IFERROR(INDEX($A1495:$AB1495,MATCH("Xero Invoice Date",$A$1:$AB$1,0)),"")</f>
        <v/>
      </c>
      <c r="AF1495" s="54">
        <f>IF(AND(IFERROR(INDEX($A1495:$AB1495,MATCH("Xero Invoice No",$A$1:$AB$1,0)),"")&amp;""&lt;&gt;"",ISNUMBER(AE1495),AD1495&lt;&gt;0),1,0)</f>
        <v/>
      </c>
      <c r="AG1495" s="55">
        <f>IF(AF1495=1,EOMONTH(AE1495,0),"")</f>
        <v/>
      </c>
      <c r="AH1495" s="9">
        <f>IF(AF1495=1,UPPER(TRIM(IFERROR(INDEX($A1495:$AB1495,MATCH("Client",$A$1:$AB$1,0)),"")&amp;"")),"")</f>
        <v/>
      </c>
      <c r="AI1495" s="9">
        <f>IF(AF1495=1,IFERROR(INDEX($A1495:$AB1495,MATCH("Cost Centre",$A$1:$AB$1,0)),"")&amp;"","")</f>
        <v/>
      </c>
      <c r="AJ1495" s="54">
        <f>IF(AND(AF1495=1,AE1495&gt;=set_FYStart,AE1495&lt;=set_AsAt),1,0)</f>
        <v/>
      </c>
      <c r="AK1495" s="54">
        <f>IF(AND(AJ1495=1,AH1495&lt;&gt;"",COUNTIFS($AH$2:AH1495,AH1495,$AJ$2:AJ1495,1)=1),N(AL1494)+1,"")</f>
        <v/>
      </c>
      <c r="AL1495" s="54">
        <f>IF(AK1495&lt;&gt;"",AK1495,N(AL1494))</f>
        <v/>
      </c>
    </row>
    <row r="1496">
      <c r="A1496" t="inlineStr">
        <is>
          <t>ONS-0499</t>
        </is>
      </c>
      <c r="B1496" t="inlineStr">
        <is>
          <t>Onsite</t>
        </is>
      </c>
      <c r="AB1496" t="n">
        <v>499</v>
      </c>
      <c r="AD1496" s="52">
        <f>IFERROR(N(IFERROR(INDEX($A1496:$AB1496,MATCH("Xero Invoiced Ex GST",$A$1:$AB$1,0)),"")),0)</f>
        <v/>
      </c>
      <c r="AE1496" s="53">
        <f>IFERROR(INDEX($A1496:$AB1496,MATCH("Xero Invoice Date",$A$1:$AB$1,0)),"")</f>
        <v/>
      </c>
      <c r="AF1496" s="54">
        <f>IF(AND(IFERROR(INDEX($A1496:$AB1496,MATCH("Xero Invoice No",$A$1:$AB$1,0)),"")&amp;""&lt;&gt;"",ISNUMBER(AE1496),AD1496&lt;&gt;0),1,0)</f>
        <v/>
      </c>
      <c r="AG1496" s="55">
        <f>IF(AF1496=1,EOMONTH(AE1496,0),"")</f>
        <v/>
      </c>
      <c r="AH1496" s="9">
        <f>IF(AF1496=1,UPPER(TRIM(IFERROR(INDEX($A1496:$AB1496,MATCH("Client",$A$1:$AB$1,0)),"")&amp;"")),"")</f>
        <v/>
      </c>
      <c r="AI1496" s="9">
        <f>IF(AF1496=1,IFERROR(INDEX($A1496:$AB1496,MATCH("Cost Centre",$A$1:$AB$1,0)),"")&amp;"","")</f>
        <v/>
      </c>
      <c r="AJ1496" s="54">
        <f>IF(AND(AF1496=1,AE1496&gt;=set_FYStart,AE1496&lt;=set_AsAt),1,0)</f>
        <v/>
      </c>
      <c r="AK1496" s="54">
        <f>IF(AND(AJ1496=1,AH1496&lt;&gt;"",COUNTIFS($AH$2:AH1496,AH1496,$AJ$2:AJ1496,1)=1),N(AL1495)+1,"")</f>
        <v/>
      </c>
      <c r="AL1496" s="54">
        <f>IF(AK1496&lt;&gt;"",AK1496,N(AL1495))</f>
        <v/>
      </c>
    </row>
    <row r="1497">
      <c r="A1497" t="inlineStr">
        <is>
          <t>PRD-0499</t>
        </is>
      </c>
      <c r="B1497" t="inlineStr">
        <is>
          <t>Production</t>
        </is>
      </c>
      <c r="AB1497" t="n">
        <v>499</v>
      </c>
      <c r="AD1497" s="52">
        <f>IFERROR(N(IFERROR(INDEX($A1497:$AB1497,MATCH("Xero Invoiced Ex GST",$A$1:$AB$1,0)),"")),0)</f>
        <v/>
      </c>
      <c r="AE1497" s="53">
        <f>IFERROR(INDEX($A1497:$AB1497,MATCH("Xero Invoice Date",$A$1:$AB$1,0)),"")</f>
        <v/>
      </c>
      <c r="AF1497" s="54">
        <f>IF(AND(IFERROR(INDEX($A1497:$AB1497,MATCH("Xero Invoice No",$A$1:$AB$1,0)),"")&amp;""&lt;&gt;"",ISNUMBER(AE1497),AD1497&lt;&gt;0),1,0)</f>
        <v/>
      </c>
      <c r="AG1497" s="55">
        <f>IF(AF1497=1,EOMONTH(AE1497,0),"")</f>
        <v/>
      </c>
      <c r="AH1497" s="9">
        <f>IF(AF1497=1,UPPER(TRIM(IFERROR(INDEX($A1497:$AB1497,MATCH("Client",$A$1:$AB$1,0)),"")&amp;"")),"")</f>
        <v/>
      </c>
      <c r="AI1497" s="9">
        <f>IF(AF1497=1,IFERROR(INDEX($A1497:$AB1497,MATCH("Cost Centre",$A$1:$AB$1,0)),"")&amp;"","")</f>
        <v/>
      </c>
      <c r="AJ1497" s="54">
        <f>IF(AND(AF1497=1,AE1497&gt;=set_FYStart,AE1497&lt;=set_AsAt),1,0)</f>
        <v/>
      </c>
      <c r="AK1497" s="54">
        <f>IF(AND(AJ1497=1,AH1497&lt;&gt;"",COUNTIFS($AH$2:AH1497,AH1497,$AJ$2:AJ1497,1)=1),N(AL1496)+1,"")</f>
        <v/>
      </c>
      <c r="AL1497" s="54">
        <f>IF(AK1497&lt;&gt;"",AK1497,N(AL1496))</f>
        <v/>
      </c>
    </row>
    <row r="1498">
      <c r="A1498" t="inlineStr">
        <is>
          <t>CON-0499</t>
        </is>
      </c>
      <c r="B1498" t="inlineStr">
        <is>
          <t>Consulting</t>
        </is>
      </c>
      <c r="AB1498" t="n">
        <v>499</v>
      </c>
      <c r="AD1498" s="52">
        <f>IFERROR(N(IFERROR(INDEX($A1498:$AB1498,MATCH("Xero Invoiced Ex GST",$A$1:$AB$1,0)),"")),0)</f>
        <v/>
      </c>
      <c r="AE1498" s="53">
        <f>IFERROR(INDEX($A1498:$AB1498,MATCH("Xero Invoice Date",$A$1:$AB$1,0)),"")</f>
        <v/>
      </c>
      <c r="AF1498" s="54">
        <f>IF(AND(IFERROR(INDEX($A1498:$AB1498,MATCH("Xero Invoice No",$A$1:$AB$1,0)),"")&amp;""&lt;&gt;"",ISNUMBER(AE1498),AD1498&lt;&gt;0),1,0)</f>
        <v/>
      </c>
      <c r="AG1498" s="55">
        <f>IF(AF1498=1,EOMONTH(AE1498,0),"")</f>
        <v/>
      </c>
      <c r="AH1498" s="9">
        <f>IF(AF1498=1,UPPER(TRIM(IFERROR(INDEX($A1498:$AB1498,MATCH("Client",$A$1:$AB$1,0)),"")&amp;"")),"")</f>
        <v/>
      </c>
      <c r="AI1498" s="9">
        <f>IF(AF1498=1,IFERROR(INDEX($A1498:$AB1498,MATCH("Cost Centre",$A$1:$AB$1,0)),"")&amp;"","")</f>
        <v/>
      </c>
      <c r="AJ1498" s="54">
        <f>IF(AND(AF1498=1,AE1498&gt;=set_FYStart,AE1498&lt;=set_AsAt),1,0)</f>
        <v/>
      </c>
      <c r="AK1498" s="54">
        <f>IF(AND(AJ1498=1,AH1498&lt;&gt;"",COUNTIFS($AH$2:AH1498,AH1498,$AJ$2:AJ1498,1)=1),N(AL1497)+1,"")</f>
        <v/>
      </c>
      <c r="AL1498" s="54">
        <f>IF(AK1498&lt;&gt;"",AK1498,N(AL1497))</f>
        <v/>
      </c>
    </row>
    <row r="1499">
      <c r="A1499" t="inlineStr">
        <is>
          <t>ONS-0500</t>
        </is>
      </c>
      <c r="B1499" t="inlineStr">
        <is>
          <t>Onsite</t>
        </is>
      </c>
      <c r="AB1499" t="n">
        <v>500</v>
      </c>
      <c r="AD1499" s="52">
        <f>IFERROR(N(IFERROR(INDEX($A1499:$AB1499,MATCH("Xero Invoiced Ex GST",$A$1:$AB$1,0)),"")),0)</f>
        <v/>
      </c>
      <c r="AE1499" s="53">
        <f>IFERROR(INDEX($A1499:$AB1499,MATCH("Xero Invoice Date",$A$1:$AB$1,0)),"")</f>
        <v/>
      </c>
      <c r="AF1499" s="54">
        <f>IF(AND(IFERROR(INDEX($A1499:$AB1499,MATCH("Xero Invoice No",$A$1:$AB$1,0)),"")&amp;""&lt;&gt;"",ISNUMBER(AE1499),AD1499&lt;&gt;0),1,0)</f>
        <v/>
      </c>
      <c r="AG1499" s="55">
        <f>IF(AF1499=1,EOMONTH(AE1499,0),"")</f>
        <v/>
      </c>
      <c r="AH1499" s="9">
        <f>IF(AF1499=1,UPPER(TRIM(IFERROR(INDEX($A1499:$AB1499,MATCH("Client",$A$1:$AB$1,0)),"")&amp;"")),"")</f>
        <v/>
      </c>
      <c r="AI1499" s="9">
        <f>IF(AF1499=1,IFERROR(INDEX($A1499:$AB1499,MATCH("Cost Centre",$A$1:$AB$1,0)),"")&amp;"","")</f>
        <v/>
      </c>
      <c r="AJ1499" s="54">
        <f>IF(AND(AF1499=1,AE1499&gt;=set_FYStart,AE1499&lt;=set_AsAt),1,0)</f>
        <v/>
      </c>
      <c r="AK1499" s="54">
        <f>IF(AND(AJ1499=1,AH1499&lt;&gt;"",COUNTIFS($AH$2:AH1499,AH1499,$AJ$2:AJ1499,1)=1),N(AL1498)+1,"")</f>
        <v/>
      </c>
      <c r="AL1499" s="54">
        <f>IF(AK1499&lt;&gt;"",AK1499,N(AL1498))</f>
        <v/>
      </c>
    </row>
    <row r="1500">
      <c r="A1500" t="inlineStr">
        <is>
          <t>PRD-0500</t>
        </is>
      </c>
      <c r="B1500" t="inlineStr">
        <is>
          <t>Production</t>
        </is>
      </c>
      <c r="AB1500" t="n">
        <v>500</v>
      </c>
      <c r="AD1500" s="52">
        <f>IFERROR(N(IFERROR(INDEX($A1500:$AB1500,MATCH("Xero Invoiced Ex GST",$A$1:$AB$1,0)),"")),0)</f>
        <v/>
      </c>
      <c r="AE1500" s="53">
        <f>IFERROR(INDEX($A1500:$AB1500,MATCH("Xero Invoice Date",$A$1:$AB$1,0)),"")</f>
        <v/>
      </c>
      <c r="AF1500" s="54">
        <f>IF(AND(IFERROR(INDEX($A1500:$AB1500,MATCH("Xero Invoice No",$A$1:$AB$1,0)),"")&amp;""&lt;&gt;"",ISNUMBER(AE1500),AD1500&lt;&gt;0),1,0)</f>
        <v/>
      </c>
      <c r="AG1500" s="55">
        <f>IF(AF1500=1,EOMONTH(AE1500,0),"")</f>
        <v/>
      </c>
      <c r="AH1500" s="9">
        <f>IF(AF1500=1,UPPER(TRIM(IFERROR(INDEX($A1500:$AB1500,MATCH("Client",$A$1:$AB$1,0)),"")&amp;"")),"")</f>
        <v/>
      </c>
      <c r="AI1500" s="9">
        <f>IF(AF1500=1,IFERROR(INDEX($A1500:$AB1500,MATCH("Cost Centre",$A$1:$AB$1,0)),"")&amp;"","")</f>
        <v/>
      </c>
      <c r="AJ1500" s="54">
        <f>IF(AND(AF1500=1,AE1500&gt;=set_FYStart,AE1500&lt;=set_AsAt),1,0)</f>
        <v/>
      </c>
      <c r="AK1500" s="54">
        <f>IF(AND(AJ1500=1,AH1500&lt;&gt;"",COUNTIFS($AH$2:AH1500,AH1500,$AJ$2:AJ1500,1)=1),N(AL1499)+1,"")</f>
        <v/>
      </c>
      <c r="AL1500" s="54">
        <f>IF(AK1500&lt;&gt;"",AK1500,N(AL1499))</f>
        <v/>
      </c>
    </row>
    <row r="1501">
      <c r="A1501" t="inlineStr">
        <is>
          <t>CON-0500</t>
        </is>
      </c>
      <c r="B1501" t="inlineStr">
        <is>
          <t>Consulting</t>
        </is>
      </c>
      <c r="AB1501" t="n">
        <v>500</v>
      </c>
      <c r="AD1501" s="52">
        <f>IFERROR(N(IFERROR(INDEX($A1501:$AB1501,MATCH("Xero Invoiced Ex GST",$A$1:$AB$1,0)),"")),0)</f>
        <v/>
      </c>
      <c r="AE1501" s="53">
        <f>IFERROR(INDEX($A1501:$AB1501,MATCH("Xero Invoice Date",$A$1:$AB$1,0)),"")</f>
        <v/>
      </c>
      <c r="AF1501" s="54">
        <f>IF(AND(IFERROR(INDEX($A1501:$AB1501,MATCH("Xero Invoice No",$A$1:$AB$1,0)),"")&amp;""&lt;&gt;"",ISNUMBER(AE1501),AD1501&lt;&gt;0),1,0)</f>
        <v/>
      </c>
      <c r="AG1501" s="55">
        <f>IF(AF1501=1,EOMONTH(AE1501,0),"")</f>
        <v/>
      </c>
      <c r="AH1501" s="9">
        <f>IF(AF1501=1,UPPER(TRIM(IFERROR(INDEX($A1501:$AB1501,MATCH("Client",$A$1:$AB$1,0)),"")&amp;"")),"")</f>
        <v/>
      </c>
      <c r="AI1501" s="9">
        <f>IF(AF1501=1,IFERROR(INDEX($A1501:$AB1501,MATCH("Cost Centre",$A$1:$AB$1,0)),"")&amp;"","")</f>
        <v/>
      </c>
      <c r="AJ1501" s="54">
        <f>IF(AND(AF1501=1,AE1501&gt;=set_FYStart,AE1501&lt;=set_AsAt),1,0)</f>
        <v/>
      </c>
      <c r="AK1501" s="54">
        <f>IF(AND(AJ1501=1,AH1501&lt;&gt;"",COUNTIFS($AH$2:AH1501,AH1501,$AJ$2:AJ1501,1)=1),N(AL1500)+1,"")</f>
        <v/>
      </c>
      <c r="AL1501" s="54">
        <f>IF(AK1501&lt;&gt;"",AK1501,N(AL1500))</f>
        <v/>
      </c>
    </row>
    <row r="1502">
      <c r="A1502" t="inlineStr">
        <is>
          <t>ONS-0501</t>
        </is>
      </c>
      <c r="B1502" t="inlineStr">
        <is>
          <t>Onsite</t>
        </is>
      </c>
      <c r="AB1502" t="n">
        <v>501</v>
      </c>
      <c r="AD1502" s="52">
        <f>IFERROR(N(IFERROR(INDEX($A1502:$AB1502,MATCH("Xero Invoiced Ex GST",$A$1:$AB$1,0)),"")),0)</f>
        <v/>
      </c>
      <c r="AE1502" s="53">
        <f>IFERROR(INDEX($A1502:$AB1502,MATCH("Xero Invoice Date",$A$1:$AB$1,0)),"")</f>
        <v/>
      </c>
      <c r="AF1502" s="54">
        <f>IF(AND(IFERROR(INDEX($A1502:$AB1502,MATCH("Xero Invoice No",$A$1:$AB$1,0)),"")&amp;""&lt;&gt;"",ISNUMBER(AE1502),AD1502&lt;&gt;0),1,0)</f>
        <v/>
      </c>
      <c r="AG1502" s="55">
        <f>IF(AF1502=1,EOMONTH(AE1502,0),"")</f>
        <v/>
      </c>
      <c r="AH1502" s="9">
        <f>IF(AF1502=1,UPPER(TRIM(IFERROR(INDEX($A1502:$AB1502,MATCH("Client",$A$1:$AB$1,0)),"")&amp;"")),"")</f>
        <v/>
      </c>
      <c r="AI1502" s="9">
        <f>IF(AF1502=1,IFERROR(INDEX($A1502:$AB1502,MATCH("Cost Centre",$A$1:$AB$1,0)),"")&amp;"","")</f>
        <v/>
      </c>
      <c r="AJ1502" s="54">
        <f>IF(AND(AF1502=1,AE1502&gt;=set_FYStart,AE1502&lt;=set_AsAt),1,0)</f>
        <v/>
      </c>
      <c r="AK1502" s="54">
        <f>IF(AND(AJ1502=1,AH1502&lt;&gt;"",COUNTIFS($AH$2:AH1502,AH1502,$AJ$2:AJ1502,1)=1),N(AL1501)+1,"")</f>
        <v/>
      </c>
      <c r="AL1502" s="54">
        <f>IF(AK1502&lt;&gt;"",AK1502,N(AL1501))</f>
        <v/>
      </c>
    </row>
    <row r="1503">
      <c r="A1503" t="inlineStr">
        <is>
          <t>PRD-0501</t>
        </is>
      </c>
      <c r="B1503" t="inlineStr">
        <is>
          <t>Production</t>
        </is>
      </c>
      <c r="AB1503" t="n">
        <v>501</v>
      </c>
      <c r="AD1503" s="52">
        <f>IFERROR(N(IFERROR(INDEX($A1503:$AB1503,MATCH("Xero Invoiced Ex GST",$A$1:$AB$1,0)),"")),0)</f>
        <v/>
      </c>
      <c r="AE1503" s="53">
        <f>IFERROR(INDEX($A1503:$AB1503,MATCH("Xero Invoice Date",$A$1:$AB$1,0)),"")</f>
        <v/>
      </c>
      <c r="AF1503" s="54">
        <f>IF(AND(IFERROR(INDEX($A1503:$AB1503,MATCH("Xero Invoice No",$A$1:$AB$1,0)),"")&amp;""&lt;&gt;"",ISNUMBER(AE1503),AD1503&lt;&gt;0),1,0)</f>
        <v/>
      </c>
      <c r="AG1503" s="55">
        <f>IF(AF1503=1,EOMONTH(AE1503,0),"")</f>
        <v/>
      </c>
      <c r="AH1503" s="9">
        <f>IF(AF1503=1,UPPER(TRIM(IFERROR(INDEX($A1503:$AB1503,MATCH("Client",$A$1:$AB$1,0)),"")&amp;"")),"")</f>
        <v/>
      </c>
      <c r="AI1503" s="9">
        <f>IF(AF1503=1,IFERROR(INDEX($A1503:$AB1503,MATCH("Cost Centre",$A$1:$AB$1,0)),"")&amp;"","")</f>
        <v/>
      </c>
      <c r="AJ1503" s="54">
        <f>IF(AND(AF1503=1,AE1503&gt;=set_FYStart,AE1503&lt;=set_AsAt),1,0)</f>
        <v/>
      </c>
      <c r="AK1503" s="54">
        <f>IF(AND(AJ1503=1,AH1503&lt;&gt;"",COUNTIFS($AH$2:AH1503,AH1503,$AJ$2:AJ1503,1)=1),N(AL1502)+1,"")</f>
        <v/>
      </c>
      <c r="AL1503" s="54">
        <f>IF(AK1503&lt;&gt;"",AK1503,N(AL1502))</f>
        <v/>
      </c>
    </row>
    <row r="1504">
      <c r="A1504" t="inlineStr">
        <is>
          <t>CON-0501</t>
        </is>
      </c>
      <c r="B1504" t="inlineStr">
        <is>
          <t>Consulting</t>
        </is>
      </c>
      <c r="AB1504" t="n">
        <v>501</v>
      </c>
      <c r="AD1504" s="52">
        <f>IFERROR(N(IFERROR(INDEX($A1504:$AB1504,MATCH("Xero Invoiced Ex GST",$A$1:$AB$1,0)),"")),0)</f>
        <v/>
      </c>
      <c r="AE1504" s="53">
        <f>IFERROR(INDEX($A1504:$AB1504,MATCH("Xero Invoice Date",$A$1:$AB$1,0)),"")</f>
        <v/>
      </c>
      <c r="AF1504" s="54">
        <f>IF(AND(IFERROR(INDEX($A1504:$AB1504,MATCH("Xero Invoice No",$A$1:$AB$1,0)),"")&amp;""&lt;&gt;"",ISNUMBER(AE1504),AD1504&lt;&gt;0),1,0)</f>
        <v/>
      </c>
      <c r="AG1504" s="55">
        <f>IF(AF1504=1,EOMONTH(AE1504,0),"")</f>
        <v/>
      </c>
      <c r="AH1504" s="9">
        <f>IF(AF1504=1,UPPER(TRIM(IFERROR(INDEX($A1504:$AB1504,MATCH("Client",$A$1:$AB$1,0)),"")&amp;"")),"")</f>
        <v/>
      </c>
      <c r="AI1504" s="9">
        <f>IF(AF1504=1,IFERROR(INDEX($A1504:$AB1504,MATCH("Cost Centre",$A$1:$AB$1,0)),"")&amp;"","")</f>
        <v/>
      </c>
      <c r="AJ1504" s="54">
        <f>IF(AND(AF1504=1,AE1504&gt;=set_FYStart,AE1504&lt;=set_AsAt),1,0)</f>
        <v/>
      </c>
      <c r="AK1504" s="54">
        <f>IF(AND(AJ1504=1,AH1504&lt;&gt;"",COUNTIFS($AH$2:AH1504,AH1504,$AJ$2:AJ1504,1)=1),N(AL1503)+1,"")</f>
        <v/>
      </c>
      <c r="AL1504" s="54">
        <f>IF(AK1504&lt;&gt;"",AK1504,N(AL1503))</f>
        <v/>
      </c>
    </row>
    <row r="1505">
      <c r="A1505" t="inlineStr">
        <is>
          <t>ONS-0502</t>
        </is>
      </c>
      <c r="B1505" t="inlineStr">
        <is>
          <t>Onsite</t>
        </is>
      </c>
      <c r="AB1505" t="n">
        <v>502</v>
      </c>
      <c r="AD1505" s="52">
        <f>IFERROR(N(IFERROR(INDEX($A1505:$AB1505,MATCH("Xero Invoiced Ex GST",$A$1:$AB$1,0)),"")),0)</f>
        <v/>
      </c>
      <c r="AE1505" s="53">
        <f>IFERROR(INDEX($A1505:$AB1505,MATCH("Xero Invoice Date",$A$1:$AB$1,0)),"")</f>
        <v/>
      </c>
      <c r="AF1505" s="54">
        <f>IF(AND(IFERROR(INDEX($A1505:$AB1505,MATCH("Xero Invoice No",$A$1:$AB$1,0)),"")&amp;""&lt;&gt;"",ISNUMBER(AE1505),AD1505&lt;&gt;0),1,0)</f>
        <v/>
      </c>
      <c r="AG1505" s="55">
        <f>IF(AF1505=1,EOMONTH(AE1505,0),"")</f>
        <v/>
      </c>
      <c r="AH1505" s="9">
        <f>IF(AF1505=1,UPPER(TRIM(IFERROR(INDEX($A1505:$AB1505,MATCH("Client",$A$1:$AB$1,0)),"")&amp;"")),"")</f>
        <v/>
      </c>
      <c r="AI1505" s="9">
        <f>IF(AF1505=1,IFERROR(INDEX($A1505:$AB1505,MATCH("Cost Centre",$A$1:$AB$1,0)),"")&amp;"","")</f>
        <v/>
      </c>
      <c r="AJ1505" s="54">
        <f>IF(AND(AF1505=1,AE1505&gt;=set_FYStart,AE1505&lt;=set_AsAt),1,0)</f>
        <v/>
      </c>
      <c r="AK1505" s="54">
        <f>IF(AND(AJ1505=1,AH1505&lt;&gt;"",COUNTIFS($AH$2:AH1505,AH1505,$AJ$2:AJ1505,1)=1),N(AL1504)+1,"")</f>
        <v/>
      </c>
      <c r="AL1505" s="54">
        <f>IF(AK1505&lt;&gt;"",AK1505,N(AL1504))</f>
        <v/>
      </c>
    </row>
    <row r="1506">
      <c r="A1506" t="inlineStr">
        <is>
          <t>PRD-0502</t>
        </is>
      </c>
      <c r="B1506" t="inlineStr">
        <is>
          <t>Production</t>
        </is>
      </c>
      <c r="AB1506" t="n">
        <v>502</v>
      </c>
      <c r="AD1506" s="52">
        <f>IFERROR(N(IFERROR(INDEX($A1506:$AB1506,MATCH("Xero Invoiced Ex GST",$A$1:$AB$1,0)),"")),0)</f>
        <v/>
      </c>
      <c r="AE1506" s="53">
        <f>IFERROR(INDEX($A1506:$AB1506,MATCH("Xero Invoice Date",$A$1:$AB$1,0)),"")</f>
        <v/>
      </c>
      <c r="AF1506" s="54">
        <f>IF(AND(IFERROR(INDEX($A1506:$AB1506,MATCH("Xero Invoice No",$A$1:$AB$1,0)),"")&amp;""&lt;&gt;"",ISNUMBER(AE1506),AD1506&lt;&gt;0),1,0)</f>
        <v/>
      </c>
      <c r="AG1506" s="55">
        <f>IF(AF1506=1,EOMONTH(AE1506,0),"")</f>
        <v/>
      </c>
      <c r="AH1506" s="9">
        <f>IF(AF1506=1,UPPER(TRIM(IFERROR(INDEX($A1506:$AB1506,MATCH("Client",$A$1:$AB$1,0)),"")&amp;"")),"")</f>
        <v/>
      </c>
      <c r="AI1506" s="9">
        <f>IF(AF1506=1,IFERROR(INDEX($A1506:$AB1506,MATCH("Cost Centre",$A$1:$AB$1,0)),"")&amp;"","")</f>
        <v/>
      </c>
      <c r="AJ1506" s="54">
        <f>IF(AND(AF1506=1,AE1506&gt;=set_FYStart,AE1506&lt;=set_AsAt),1,0)</f>
        <v/>
      </c>
      <c r="AK1506" s="54">
        <f>IF(AND(AJ1506=1,AH1506&lt;&gt;"",COUNTIFS($AH$2:AH1506,AH1506,$AJ$2:AJ1506,1)=1),N(AL1505)+1,"")</f>
        <v/>
      </c>
      <c r="AL1506" s="54">
        <f>IF(AK1506&lt;&gt;"",AK1506,N(AL1505))</f>
        <v/>
      </c>
    </row>
    <row r="1507">
      <c r="A1507" t="inlineStr">
        <is>
          <t>CON-0502</t>
        </is>
      </c>
      <c r="B1507" t="inlineStr">
        <is>
          <t>Consulting</t>
        </is>
      </c>
      <c r="AB1507" t="n">
        <v>502</v>
      </c>
      <c r="AD1507" s="52">
        <f>IFERROR(N(IFERROR(INDEX($A1507:$AB1507,MATCH("Xero Invoiced Ex GST",$A$1:$AB$1,0)),"")),0)</f>
        <v/>
      </c>
      <c r="AE1507" s="53">
        <f>IFERROR(INDEX($A1507:$AB1507,MATCH("Xero Invoice Date",$A$1:$AB$1,0)),"")</f>
        <v/>
      </c>
      <c r="AF1507" s="54">
        <f>IF(AND(IFERROR(INDEX($A1507:$AB1507,MATCH("Xero Invoice No",$A$1:$AB$1,0)),"")&amp;""&lt;&gt;"",ISNUMBER(AE1507),AD1507&lt;&gt;0),1,0)</f>
        <v/>
      </c>
      <c r="AG1507" s="55">
        <f>IF(AF1507=1,EOMONTH(AE1507,0),"")</f>
        <v/>
      </c>
      <c r="AH1507" s="9">
        <f>IF(AF1507=1,UPPER(TRIM(IFERROR(INDEX($A1507:$AB1507,MATCH("Client",$A$1:$AB$1,0)),"")&amp;"")),"")</f>
        <v/>
      </c>
      <c r="AI1507" s="9">
        <f>IF(AF1507=1,IFERROR(INDEX($A1507:$AB1507,MATCH("Cost Centre",$A$1:$AB$1,0)),"")&amp;"","")</f>
        <v/>
      </c>
      <c r="AJ1507" s="54">
        <f>IF(AND(AF1507=1,AE1507&gt;=set_FYStart,AE1507&lt;=set_AsAt),1,0)</f>
        <v/>
      </c>
      <c r="AK1507" s="54">
        <f>IF(AND(AJ1507=1,AH1507&lt;&gt;"",COUNTIFS($AH$2:AH1507,AH1507,$AJ$2:AJ1507,1)=1),N(AL1506)+1,"")</f>
        <v/>
      </c>
      <c r="AL1507" s="54">
        <f>IF(AK1507&lt;&gt;"",AK1507,N(AL1506))</f>
        <v/>
      </c>
    </row>
    <row r="1508">
      <c r="A1508" t="inlineStr">
        <is>
          <t>ONS-0503</t>
        </is>
      </c>
      <c r="B1508" t="inlineStr">
        <is>
          <t>Onsite</t>
        </is>
      </c>
      <c r="AB1508" t="n">
        <v>503</v>
      </c>
      <c r="AD1508" s="52">
        <f>IFERROR(N(IFERROR(INDEX($A1508:$AB1508,MATCH("Xero Invoiced Ex GST",$A$1:$AB$1,0)),"")),0)</f>
        <v/>
      </c>
      <c r="AE1508" s="53">
        <f>IFERROR(INDEX($A1508:$AB1508,MATCH("Xero Invoice Date",$A$1:$AB$1,0)),"")</f>
        <v/>
      </c>
      <c r="AF1508" s="54">
        <f>IF(AND(IFERROR(INDEX($A1508:$AB1508,MATCH("Xero Invoice No",$A$1:$AB$1,0)),"")&amp;""&lt;&gt;"",ISNUMBER(AE1508),AD1508&lt;&gt;0),1,0)</f>
        <v/>
      </c>
      <c r="AG1508" s="55">
        <f>IF(AF1508=1,EOMONTH(AE1508,0),"")</f>
        <v/>
      </c>
      <c r="AH1508" s="9">
        <f>IF(AF1508=1,UPPER(TRIM(IFERROR(INDEX($A1508:$AB1508,MATCH("Client",$A$1:$AB$1,0)),"")&amp;"")),"")</f>
        <v/>
      </c>
      <c r="AI1508" s="9">
        <f>IF(AF1508=1,IFERROR(INDEX($A1508:$AB1508,MATCH("Cost Centre",$A$1:$AB$1,0)),"")&amp;"","")</f>
        <v/>
      </c>
      <c r="AJ1508" s="54">
        <f>IF(AND(AF1508=1,AE1508&gt;=set_FYStart,AE1508&lt;=set_AsAt),1,0)</f>
        <v/>
      </c>
      <c r="AK1508" s="54">
        <f>IF(AND(AJ1508=1,AH1508&lt;&gt;"",COUNTIFS($AH$2:AH1508,AH1508,$AJ$2:AJ1508,1)=1),N(AL1507)+1,"")</f>
        <v/>
      </c>
      <c r="AL1508" s="54">
        <f>IF(AK1508&lt;&gt;"",AK1508,N(AL1507))</f>
        <v/>
      </c>
    </row>
    <row r="1509">
      <c r="A1509" t="inlineStr">
        <is>
          <t>PRD-0503</t>
        </is>
      </c>
      <c r="B1509" t="inlineStr">
        <is>
          <t>Production</t>
        </is>
      </c>
      <c r="AB1509" t="n">
        <v>503</v>
      </c>
      <c r="AD1509" s="52">
        <f>IFERROR(N(IFERROR(INDEX($A1509:$AB1509,MATCH("Xero Invoiced Ex GST",$A$1:$AB$1,0)),"")),0)</f>
        <v/>
      </c>
      <c r="AE1509" s="53">
        <f>IFERROR(INDEX($A1509:$AB1509,MATCH("Xero Invoice Date",$A$1:$AB$1,0)),"")</f>
        <v/>
      </c>
      <c r="AF1509" s="54">
        <f>IF(AND(IFERROR(INDEX($A1509:$AB1509,MATCH("Xero Invoice No",$A$1:$AB$1,0)),"")&amp;""&lt;&gt;"",ISNUMBER(AE1509),AD1509&lt;&gt;0),1,0)</f>
        <v/>
      </c>
      <c r="AG1509" s="55">
        <f>IF(AF1509=1,EOMONTH(AE1509,0),"")</f>
        <v/>
      </c>
      <c r="AH1509" s="9">
        <f>IF(AF1509=1,UPPER(TRIM(IFERROR(INDEX($A1509:$AB1509,MATCH("Client",$A$1:$AB$1,0)),"")&amp;"")),"")</f>
        <v/>
      </c>
      <c r="AI1509" s="9">
        <f>IF(AF1509=1,IFERROR(INDEX($A1509:$AB1509,MATCH("Cost Centre",$A$1:$AB$1,0)),"")&amp;"","")</f>
        <v/>
      </c>
      <c r="AJ1509" s="54">
        <f>IF(AND(AF1509=1,AE1509&gt;=set_FYStart,AE1509&lt;=set_AsAt),1,0)</f>
        <v/>
      </c>
      <c r="AK1509" s="54">
        <f>IF(AND(AJ1509=1,AH1509&lt;&gt;"",COUNTIFS($AH$2:AH1509,AH1509,$AJ$2:AJ1509,1)=1),N(AL1508)+1,"")</f>
        <v/>
      </c>
      <c r="AL1509" s="54">
        <f>IF(AK1509&lt;&gt;"",AK1509,N(AL1508))</f>
        <v/>
      </c>
    </row>
    <row r="1510">
      <c r="A1510" t="inlineStr">
        <is>
          <t>CON-0503</t>
        </is>
      </c>
      <c r="B1510" t="inlineStr">
        <is>
          <t>Consulting</t>
        </is>
      </c>
      <c r="AB1510" t="n">
        <v>503</v>
      </c>
      <c r="AD1510" s="52">
        <f>IFERROR(N(IFERROR(INDEX($A1510:$AB1510,MATCH("Xero Invoiced Ex GST",$A$1:$AB$1,0)),"")),0)</f>
        <v/>
      </c>
      <c r="AE1510" s="53">
        <f>IFERROR(INDEX($A1510:$AB1510,MATCH("Xero Invoice Date",$A$1:$AB$1,0)),"")</f>
        <v/>
      </c>
      <c r="AF1510" s="54">
        <f>IF(AND(IFERROR(INDEX($A1510:$AB1510,MATCH("Xero Invoice No",$A$1:$AB$1,0)),"")&amp;""&lt;&gt;"",ISNUMBER(AE1510),AD1510&lt;&gt;0),1,0)</f>
        <v/>
      </c>
      <c r="AG1510" s="55">
        <f>IF(AF1510=1,EOMONTH(AE1510,0),"")</f>
        <v/>
      </c>
      <c r="AH1510" s="9">
        <f>IF(AF1510=1,UPPER(TRIM(IFERROR(INDEX($A1510:$AB1510,MATCH("Client",$A$1:$AB$1,0)),"")&amp;"")),"")</f>
        <v/>
      </c>
      <c r="AI1510" s="9">
        <f>IF(AF1510=1,IFERROR(INDEX($A1510:$AB1510,MATCH("Cost Centre",$A$1:$AB$1,0)),"")&amp;"","")</f>
        <v/>
      </c>
      <c r="AJ1510" s="54">
        <f>IF(AND(AF1510=1,AE1510&gt;=set_FYStart,AE1510&lt;=set_AsAt),1,0)</f>
        <v/>
      </c>
      <c r="AK1510" s="54">
        <f>IF(AND(AJ1510=1,AH1510&lt;&gt;"",COUNTIFS($AH$2:AH1510,AH1510,$AJ$2:AJ1510,1)=1),N(AL1509)+1,"")</f>
        <v/>
      </c>
      <c r="AL1510" s="54">
        <f>IF(AK1510&lt;&gt;"",AK1510,N(AL1509))</f>
        <v/>
      </c>
    </row>
    <row r="1511">
      <c r="A1511" t="inlineStr">
        <is>
          <t>ONS-0504</t>
        </is>
      </c>
      <c r="B1511" t="inlineStr">
        <is>
          <t>Onsite</t>
        </is>
      </c>
      <c r="AB1511" t="n">
        <v>504</v>
      </c>
      <c r="AD1511" s="52">
        <f>IFERROR(N(IFERROR(INDEX($A1511:$AB1511,MATCH("Xero Invoiced Ex GST",$A$1:$AB$1,0)),"")),0)</f>
        <v/>
      </c>
      <c r="AE1511" s="53">
        <f>IFERROR(INDEX($A1511:$AB1511,MATCH("Xero Invoice Date",$A$1:$AB$1,0)),"")</f>
        <v/>
      </c>
      <c r="AF1511" s="54">
        <f>IF(AND(IFERROR(INDEX($A1511:$AB1511,MATCH("Xero Invoice No",$A$1:$AB$1,0)),"")&amp;""&lt;&gt;"",ISNUMBER(AE1511),AD1511&lt;&gt;0),1,0)</f>
        <v/>
      </c>
      <c r="AG1511" s="55">
        <f>IF(AF1511=1,EOMONTH(AE1511,0),"")</f>
        <v/>
      </c>
      <c r="AH1511" s="9">
        <f>IF(AF1511=1,UPPER(TRIM(IFERROR(INDEX($A1511:$AB1511,MATCH("Client",$A$1:$AB$1,0)),"")&amp;"")),"")</f>
        <v/>
      </c>
      <c r="AI1511" s="9">
        <f>IF(AF1511=1,IFERROR(INDEX($A1511:$AB1511,MATCH("Cost Centre",$A$1:$AB$1,0)),"")&amp;"","")</f>
        <v/>
      </c>
      <c r="AJ1511" s="54">
        <f>IF(AND(AF1511=1,AE1511&gt;=set_FYStart,AE1511&lt;=set_AsAt),1,0)</f>
        <v/>
      </c>
      <c r="AK1511" s="54">
        <f>IF(AND(AJ1511=1,AH1511&lt;&gt;"",COUNTIFS($AH$2:AH1511,AH1511,$AJ$2:AJ1511,1)=1),N(AL1510)+1,"")</f>
        <v/>
      </c>
      <c r="AL1511" s="54">
        <f>IF(AK1511&lt;&gt;"",AK1511,N(AL1510))</f>
        <v/>
      </c>
    </row>
    <row r="1512">
      <c r="A1512" t="inlineStr">
        <is>
          <t>PRD-0504</t>
        </is>
      </c>
      <c r="B1512" t="inlineStr">
        <is>
          <t>Production</t>
        </is>
      </c>
      <c r="AB1512" t="n">
        <v>504</v>
      </c>
      <c r="AD1512" s="52">
        <f>IFERROR(N(IFERROR(INDEX($A1512:$AB1512,MATCH("Xero Invoiced Ex GST",$A$1:$AB$1,0)),"")),0)</f>
        <v/>
      </c>
      <c r="AE1512" s="53">
        <f>IFERROR(INDEX($A1512:$AB1512,MATCH("Xero Invoice Date",$A$1:$AB$1,0)),"")</f>
        <v/>
      </c>
      <c r="AF1512" s="54">
        <f>IF(AND(IFERROR(INDEX($A1512:$AB1512,MATCH("Xero Invoice No",$A$1:$AB$1,0)),"")&amp;""&lt;&gt;"",ISNUMBER(AE1512),AD1512&lt;&gt;0),1,0)</f>
        <v/>
      </c>
      <c r="AG1512" s="55">
        <f>IF(AF1512=1,EOMONTH(AE1512,0),"")</f>
        <v/>
      </c>
      <c r="AH1512" s="9">
        <f>IF(AF1512=1,UPPER(TRIM(IFERROR(INDEX($A1512:$AB1512,MATCH("Client",$A$1:$AB$1,0)),"")&amp;"")),"")</f>
        <v/>
      </c>
      <c r="AI1512" s="9">
        <f>IF(AF1512=1,IFERROR(INDEX($A1512:$AB1512,MATCH("Cost Centre",$A$1:$AB$1,0)),"")&amp;"","")</f>
        <v/>
      </c>
      <c r="AJ1512" s="54">
        <f>IF(AND(AF1512=1,AE1512&gt;=set_FYStart,AE1512&lt;=set_AsAt),1,0)</f>
        <v/>
      </c>
      <c r="AK1512" s="54">
        <f>IF(AND(AJ1512=1,AH1512&lt;&gt;"",COUNTIFS($AH$2:AH1512,AH1512,$AJ$2:AJ1512,1)=1),N(AL1511)+1,"")</f>
        <v/>
      </c>
      <c r="AL1512" s="54">
        <f>IF(AK1512&lt;&gt;"",AK1512,N(AL1511))</f>
        <v/>
      </c>
    </row>
    <row r="1513">
      <c r="A1513" t="inlineStr">
        <is>
          <t>CON-0504</t>
        </is>
      </c>
      <c r="B1513" t="inlineStr">
        <is>
          <t>Consulting</t>
        </is>
      </c>
      <c r="AB1513" t="n">
        <v>504</v>
      </c>
      <c r="AD1513" s="52">
        <f>IFERROR(N(IFERROR(INDEX($A1513:$AB1513,MATCH("Xero Invoiced Ex GST",$A$1:$AB$1,0)),"")),0)</f>
        <v/>
      </c>
      <c r="AE1513" s="53">
        <f>IFERROR(INDEX($A1513:$AB1513,MATCH("Xero Invoice Date",$A$1:$AB$1,0)),"")</f>
        <v/>
      </c>
      <c r="AF1513" s="54">
        <f>IF(AND(IFERROR(INDEX($A1513:$AB1513,MATCH("Xero Invoice No",$A$1:$AB$1,0)),"")&amp;""&lt;&gt;"",ISNUMBER(AE1513),AD1513&lt;&gt;0),1,0)</f>
        <v/>
      </c>
      <c r="AG1513" s="55">
        <f>IF(AF1513=1,EOMONTH(AE1513,0),"")</f>
        <v/>
      </c>
      <c r="AH1513" s="9">
        <f>IF(AF1513=1,UPPER(TRIM(IFERROR(INDEX($A1513:$AB1513,MATCH("Client",$A$1:$AB$1,0)),"")&amp;"")),"")</f>
        <v/>
      </c>
      <c r="AI1513" s="9">
        <f>IF(AF1513=1,IFERROR(INDEX($A1513:$AB1513,MATCH("Cost Centre",$A$1:$AB$1,0)),"")&amp;"","")</f>
        <v/>
      </c>
      <c r="AJ1513" s="54">
        <f>IF(AND(AF1513=1,AE1513&gt;=set_FYStart,AE1513&lt;=set_AsAt),1,0)</f>
        <v/>
      </c>
      <c r="AK1513" s="54">
        <f>IF(AND(AJ1513=1,AH1513&lt;&gt;"",COUNTIFS($AH$2:AH1513,AH1513,$AJ$2:AJ1513,1)=1),N(AL1512)+1,"")</f>
        <v/>
      </c>
      <c r="AL1513" s="54">
        <f>IF(AK1513&lt;&gt;"",AK1513,N(AL1512))</f>
        <v/>
      </c>
    </row>
    <row r="1514">
      <c r="A1514" t="inlineStr">
        <is>
          <t>ONS-0505</t>
        </is>
      </c>
      <c r="B1514" t="inlineStr">
        <is>
          <t>Onsite</t>
        </is>
      </c>
      <c r="AB1514" t="n">
        <v>505</v>
      </c>
      <c r="AD1514" s="52">
        <f>IFERROR(N(IFERROR(INDEX($A1514:$AB1514,MATCH("Xero Invoiced Ex GST",$A$1:$AB$1,0)),"")),0)</f>
        <v/>
      </c>
      <c r="AE1514" s="53">
        <f>IFERROR(INDEX($A1514:$AB1514,MATCH("Xero Invoice Date",$A$1:$AB$1,0)),"")</f>
        <v/>
      </c>
      <c r="AF1514" s="54">
        <f>IF(AND(IFERROR(INDEX($A1514:$AB1514,MATCH("Xero Invoice No",$A$1:$AB$1,0)),"")&amp;""&lt;&gt;"",ISNUMBER(AE1514),AD1514&lt;&gt;0),1,0)</f>
        <v/>
      </c>
      <c r="AG1514" s="55">
        <f>IF(AF1514=1,EOMONTH(AE1514,0),"")</f>
        <v/>
      </c>
      <c r="AH1514" s="9">
        <f>IF(AF1514=1,UPPER(TRIM(IFERROR(INDEX($A1514:$AB1514,MATCH("Client",$A$1:$AB$1,0)),"")&amp;"")),"")</f>
        <v/>
      </c>
      <c r="AI1514" s="9">
        <f>IF(AF1514=1,IFERROR(INDEX($A1514:$AB1514,MATCH("Cost Centre",$A$1:$AB$1,0)),"")&amp;"","")</f>
        <v/>
      </c>
      <c r="AJ1514" s="54">
        <f>IF(AND(AF1514=1,AE1514&gt;=set_FYStart,AE1514&lt;=set_AsAt),1,0)</f>
        <v/>
      </c>
      <c r="AK1514" s="54">
        <f>IF(AND(AJ1514=1,AH1514&lt;&gt;"",COUNTIFS($AH$2:AH1514,AH1514,$AJ$2:AJ1514,1)=1),N(AL1513)+1,"")</f>
        <v/>
      </c>
      <c r="AL1514" s="54">
        <f>IF(AK1514&lt;&gt;"",AK1514,N(AL1513))</f>
        <v/>
      </c>
    </row>
    <row r="1515">
      <c r="A1515" t="inlineStr">
        <is>
          <t>PRD-0505</t>
        </is>
      </c>
      <c r="B1515" t="inlineStr">
        <is>
          <t>Production</t>
        </is>
      </c>
      <c r="AB1515" t="n">
        <v>505</v>
      </c>
      <c r="AD1515" s="52">
        <f>IFERROR(N(IFERROR(INDEX($A1515:$AB1515,MATCH("Xero Invoiced Ex GST",$A$1:$AB$1,0)),"")),0)</f>
        <v/>
      </c>
      <c r="AE1515" s="53">
        <f>IFERROR(INDEX($A1515:$AB1515,MATCH("Xero Invoice Date",$A$1:$AB$1,0)),"")</f>
        <v/>
      </c>
      <c r="AF1515" s="54">
        <f>IF(AND(IFERROR(INDEX($A1515:$AB1515,MATCH("Xero Invoice No",$A$1:$AB$1,0)),"")&amp;""&lt;&gt;"",ISNUMBER(AE1515),AD1515&lt;&gt;0),1,0)</f>
        <v/>
      </c>
      <c r="AG1515" s="55">
        <f>IF(AF1515=1,EOMONTH(AE1515,0),"")</f>
        <v/>
      </c>
      <c r="AH1515" s="9">
        <f>IF(AF1515=1,UPPER(TRIM(IFERROR(INDEX($A1515:$AB1515,MATCH("Client",$A$1:$AB$1,0)),"")&amp;"")),"")</f>
        <v/>
      </c>
      <c r="AI1515" s="9">
        <f>IF(AF1515=1,IFERROR(INDEX($A1515:$AB1515,MATCH("Cost Centre",$A$1:$AB$1,0)),"")&amp;"","")</f>
        <v/>
      </c>
      <c r="AJ1515" s="54">
        <f>IF(AND(AF1515=1,AE1515&gt;=set_FYStart,AE1515&lt;=set_AsAt),1,0)</f>
        <v/>
      </c>
      <c r="AK1515" s="54">
        <f>IF(AND(AJ1515=1,AH1515&lt;&gt;"",COUNTIFS($AH$2:AH1515,AH1515,$AJ$2:AJ1515,1)=1),N(AL1514)+1,"")</f>
        <v/>
      </c>
      <c r="AL1515" s="54">
        <f>IF(AK1515&lt;&gt;"",AK1515,N(AL1514))</f>
        <v/>
      </c>
    </row>
    <row r="1516">
      <c r="A1516" t="inlineStr">
        <is>
          <t>CON-0505</t>
        </is>
      </c>
      <c r="B1516" t="inlineStr">
        <is>
          <t>Consulting</t>
        </is>
      </c>
      <c r="AB1516" t="n">
        <v>505</v>
      </c>
      <c r="AD1516" s="52">
        <f>IFERROR(N(IFERROR(INDEX($A1516:$AB1516,MATCH("Xero Invoiced Ex GST",$A$1:$AB$1,0)),"")),0)</f>
        <v/>
      </c>
      <c r="AE1516" s="53">
        <f>IFERROR(INDEX($A1516:$AB1516,MATCH("Xero Invoice Date",$A$1:$AB$1,0)),"")</f>
        <v/>
      </c>
      <c r="AF1516" s="54">
        <f>IF(AND(IFERROR(INDEX($A1516:$AB1516,MATCH("Xero Invoice No",$A$1:$AB$1,0)),"")&amp;""&lt;&gt;"",ISNUMBER(AE1516),AD1516&lt;&gt;0),1,0)</f>
        <v/>
      </c>
      <c r="AG1516" s="55">
        <f>IF(AF1516=1,EOMONTH(AE1516,0),"")</f>
        <v/>
      </c>
      <c r="AH1516" s="9">
        <f>IF(AF1516=1,UPPER(TRIM(IFERROR(INDEX($A1516:$AB1516,MATCH("Client",$A$1:$AB$1,0)),"")&amp;"")),"")</f>
        <v/>
      </c>
      <c r="AI1516" s="9">
        <f>IF(AF1516=1,IFERROR(INDEX($A1516:$AB1516,MATCH("Cost Centre",$A$1:$AB$1,0)),"")&amp;"","")</f>
        <v/>
      </c>
      <c r="AJ1516" s="54">
        <f>IF(AND(AF1516=1,AE1516&gt;=set_FYStart,AE1516&lt;=set_AsAt),1,0)</f>
        <v/>
      </c>
      <c r="AK1516" s="54">
        <f>IF(AND(AJ1516=1,AH1516&lt;&gt;"",COUNTIFS($AH$2:AH1516,AH1516,$AJ$2:AJ1516,1)=1),N(AL1515)+1,"")</f>
        <v/>
      </c>
      <c r="AL1516" s="54">
        <f>IF(AK1516&lt;&gt;"",AK1516,N(AL1515))</f>
        <v/>
      </c>
    </row>
    <row r="1517">
      <c r="A1517" t="inlineStr">
        <is>
          <t>ONS-0506</t>
        </is>
      </c>
      <c r="B1517" t="inlineStr">
        <is>
          <t>Onsite</t>
        </is>
      </c>
      <c r="AB1517" t="n">
        <v>506</v>
      </c>
      <c r="AD1517" s="52">
        <f>IFERROR(N(IFERROR(INDEX($A1517:$AB1517,MATCH("Xero Invoiced Ex GST",$A$1:$AB$1,0)),"")),0)</f>
        <v/>
      </c>
      <c r="AE1517" s="53">
        <f>IFERROR(INDEX($A1517:$AB1517,MATCH("Xero Invoice Date",$A$1:$AB$1,0)),"")</f>
        <v/>
      </c>
      <c r="AF1517" s="54">
        <f>IF(AND(IFERROR(INDEX($A1517:$AB1517,MATCH("Xero Invoice No",$A$1:$AB$1,0)),"")&amp;""&lt;&gt;"",ISNUMBER(AE1517),AD1517&lt;&gt;0),1,0)</f>
        <v/>
      </c>
      <c r="AG1517" s="55">
        <f>IF(AF1517=1,EOMONTH(AE1517,0),"")</f>
        <v/>
      </c>
      <c r="AH1517" s="9">
        <f>IF(AF1517=1,UPPER(TRIM(IFERROR(INDEX($A1517:$AB1517,MATCH("Client",$A$1:$AB$1,0)),"")&amp;"")),"")</f>
        <v/>
      </c>
      <c r="AI1517" s="9">
        <f>IF(AF1517=1,IFERROR(INDEX($A1517:$AB1517,MATCH("Cost Centre",$A$1:$AB$1,0)),"")&amp;"","")</f>
        <v/>
      </c>
      <c r="AJ1517" s="54">
        <f>IF(AND(AF1517=1,AE1517&gt;=set_FYStart,AE1517&lt;=set_AsAt),1,0)</f>
        <v/>
      </c>
      <c r="AK1517" s="54">
        <f>IF(AND(AJ1517=1,AH1517&lt;&gt;"",COUNTIFS($AH$2:AH1517,AH1517,$AJ$2:AJ1517,1)=1),N(AL1516)+1,"")</f>
        <v/>
      </c>
      <c r="AL1517" s="54">
        <f>IF(AK1517&lt;&gt;"",AK1517,N(AL1516))</f>
        <v/>
      </c>
    </row>
    <row r="1518">
      <c r="A1518" t="inlineStr">
        <is>
          <t>PRD-0506</t>
        </is>
      </c>
      <c r="B1518" t="inlineStr">
        <is>
          <t>Production</t>
        </is>
      </c>
      <c r="AB1518" t="n">
        <v>506</v>
      </c>
      <c r="AD1518" s="52">
        <f>IFERROR(N(IFERROR(INDEX($A1518:$AB1518,MATCH("Xero Invoiced Ex GST",$A$1:$AB$1,0)),"")),0)</f>
        <v/>
      </c>
      <c r="AE1518" s="53">
        <f>IFERROR(INDEX($A1518:$AB1518,MATCH("Xero Invoice Date",$A$1:$AB$1,0)),"")</f>
        <v/>
      </c>
      <c r="AF1518" s="54">
        <f>IF(AND(IFERROR(INDEX($A1518:$AB1518,MATCH("Xero Invoice No",$A$1:$AB$1,0)),"")&amp;""&lt;&gt;"",ISNUMBER(AE1518),AD1518&lt;&gt;0),1,0)</f>
        <v/>
      </c>
      <c r="AG1518" s="55">
        <f>IF(AF1518=1,EOMONTH(AE1518,0),"")</f>
        <v/>
      </c>
      <c r="AH1518" s="9">
        <f>IF(AF1518=1,UPPER(TRIM(IFERROR(INDEX($A1518:$AB1518,MATCH("Client",$A$1:$AB$1,0)),"")&amp;"")),"")</f>
        <v/>
      </c>
      <c r="AI1518" s="9">
        <f>IF(AF1518=1,IFERROR(INDEX($A1518:$AB1518,MATCH("Cost Centre",$A$1:$AB$1,0)),"")&amp;"","")</f>
        <v/>
      </c>
      <c r="AJ1518" s="54">
        <f>IF(AND(AF1518=1,AE1518&gt;=set_FYStart,AE1518&lt;=set_AsAt),1,0)</f>
        <v/>
      </c>
      <c r="AK1518" s="54">
        <f>IF(AND(AJ1518=1,AH1518&lt;&gt;"",COUNTIFS($AH$2:AH1518,AH1518,$AJ$2:AJ1518,1)=1),N(AL1517)+1,"")</f>
        <v/>
      </c>
      <c r="AL1518" s="54">
        <f>IF(AK1518&lt;&gt;"",AK1518,N(AL1517))</f>
        <v/>
      </c>
    </row>
    <row r="1519">
      <c r="A1519" t="inlineStr">
        <is>
          <t>CON-0506</t>
        </is>
      </c>
      <c r="B1519" t="inlineStr">
        <is>
          <t>Consulting</t>
        </is>
      </c>
      <c r="AB1519" t="n">
        <v>506</v>
      </c>
      <c r="AD1519" s="52">
        <f>IFERROR(N(IFERROR(INDEX($A1519:$AB1519,MATCH("Xero Invoiced Ex GST",$A$1:$AB$1,0)),"")),0)</f>
        <v/>
      </c>
      <c r="AE1519" s="53">
        <f>IFERROR(INDEX($A1519:$AB1519,MATCH("Xero Invoice Date",$A$1:$AB$1,0)),"")</f>
        <v/>
      </c>
      <c r="AF1519" s="54">
        <f>IF(AND(IFERROR(INDEX($A1519:$AB1519,MATCH("Xero Invoice No",$A$1:$AB$1,0)),"")&amp;""&lt;&gt;"",ISNUMBER(AE1519),AD1519&lt;&gt;0),1,0)</f>
        <v/>
      </c>
      <c r="AG1519" s="55">
        <f>IF(AF1519=1,EOMONTH(AE1519,0),"")</f>
        <v/>
      </c>
      <c r="AH1519" s="9">
        <f>IF(AF1519=1,UPPER(TRIM(IFERROR(INDEX($A1519:$AB1519,MATCH("Client",$A$1:$AB$1,0)),"")&amp;"")),"")</f>
        <v/>
      </c>
      <c r="AI1519" s="9">
        <f>IF(AF1519=1,IFERROR(INDEX($A1519:$AB1519,MATCH("Cost Centre",$A$1:$AB$1,0)),"")&amp;"","")</f>
        <v/>
      </c>
      <c r="AJ1519" s="54">
        <f>IF(AND(AF1519=1,AE1519&gt;=set_FYStart,AE1519&lt;=set_AsAt),1,0)</f>
        <v/>
      </c>
      <c r="AK1519" s="54">
        <f>IF(AND(AJ1519=1,AH1519&lt;&gt;"",COUNTIFS($AH$2:AH1519,AH1519,$AJ$2:AJ1519,1)=1),N(AL1518)+1,"")</f>
        <v/>
      </c>
      <c r="AL1519" s="54">
        <f>IF(AK1519&lt;&gt;"",AK1519,N(AL1518))</f>
        <v/>
      </c>
    </row>
    <row r="1520">
      <c r="A1520" t="inlineStr">
        <is>
          <t>ONS-0507</t>
        </is>
      </c>
      <c r="B1520" t="inlineStr">
        <is>
          <t>Onsite</t>
        </is>
      </c>
      <c r="AB1520" t="n">
        <v>507</v>
      </c>
      <c r="AD1520" s="52">
        <f>IFERROR(N(IFERROR(INDEX($A1520:$AB1520,MATCH("Xero Invoiced Ex GST",$A$1:$AB$1,0)),"")),0)</f>
        <v/>
      </c>
      <c r="AE1520" s="53">
        <f>IFERROR(INDEX($A1520:$AB1520,MATCH("Xero Invoice Date",$A$1:$AB$1,0)),"")</f>
        <v/>
      </c>
      <c r="AF1520" s="54">
        <f>IF(AND(IFERROR(INDEX($A1520:$AB1520,MATCH("Xero Invoice No",$A$1:$AB$1,0)),"")&amp;""&lt;&gt;"",ISNUMBER(AE1520),AD1520&lt;&gt;0),1,0)</f>
        <v/>
      </c>
      <c r="AG1520" s="55">
        <f>IF(AF1520=1,EOMONTH(AE1520,0),"")</f>
        <v/>
      </c>
      <c r="AH1520" s="9">
        <f>IF(AF1520=1,UPPER(TRIM(IFERROR(INDEX($A1520:$AB1520,MATCH("Client",$A$1:$AB$1,0)),"")&amp;"")),"")</f>
        <v/>
      </c>
      <c r="AI1520" s="9">
        <f>IF(AF1520=1,IFERROR(INDEX($A1520:$AB1520,MATCH("Cost Centre",$A$1:$AB$1,0)),"")&amp;"","")</f>
        <v/>
      </c>
      <c r="AJ1520" s="54">
        <f>IF(AND(AF1520=1,AE1520&gt;=set_FYStart,AE1520&lt;=set_AsAt),1,0)</f>
        <v/>
      </c>
      <c r="AK1520" s="54">
        <f>IF(AND(AJ1520=1,AH1520&lt;&gt;"",COUNTIFS($AH$2:AH1520,AH1520,$AJ$2:AJ1520,1)=1),N(AL1519)+1,"")</f>
        <v/>
      </c>
      <c r="AL1520" s="54">
        <f>IF(AK1520&lt;&gt;"",AK1520,N(AL1519))</f>
        <v/>
      </c>
    </row>
    <row r="1521">
      <c r="A1521" t="inlineStr">
        <is>
          <t>PRD-0507</t>
        </is>
      </c>
      <c r="B1521" t="inlineStr">
        <is>
          <t>Production</t>
        </is>
      </c>
      <c r="AB1521" t="n">
        <v>507</v>
      </c>
      <c r="AD1521" s="52">
        <f>IFERROR(N(IFERROR(INDEX($A1521:$AB1521,MATCH("Xero Invoiced Ex GST",$A$1:$AB$1,0)),"")),0)</f>
        <v/>
      </c>
      <c r="AE1521" s="53">
        <f>IFERROR(INDEX($A1521:$AB1521,MATCH("Xero Invoice Date",$A$1:$AB$1,0)),"")</f>
        <v/>
      </c>
      <c r="AF1521" s="54">
        <f>IF(AND(IFERROR(INDEX($A1521:$AB1521,MATCH("Xero Invoice No",$A$1:$AB$1,0)),"")&amp;""&lt;&gt;"",ISNUMBER(AE1521),AD1521&lt;&gt;0),1,0)</f>
        <v/>
      </c>
      <c r="AG1521" s="55">
        <f>IF(AF1521=1,EOMONTH(AE1521,0),"")</f>
        <v/>
      </c>
      <c r="AH1521" s="9">
        <f>IF(AF1521=1,UPPER(TRIM(IFERROR(INDEX($A1521:$AB1521,MATCH("Client",$A$1:$AB$1,0)),"")&amp;"")),"")</f>
        <v/>
      </c>
      <c r="AI1521" s="9">
        <f>IF(AF1521=1,IFERROR(INDEX($A1521:$AB1521,MATCH("Cost Centre",$A$1:$AB$1,0)),"")&amp;"","")</f>
        <v/>
      </c>
      <c r="AJ1521" s="54">
        <f>IF(AND(AF1521=1,AE1521&gt;=set_FYStart,AE1521&lt;=set_AsAt),1,0)</f>
        <v/>
      </c>
      <c r="AK1521" s="54">
        <f>IF(AND(AJ1521=1,AH1521&lt;&gt;"",COUNTIFS($AH$2:AH1521,AH1521,$AJ$2:AJ1521,1)=1),N(AL1520)+1,"")</f>
        <v/>
      </c>
      <c r="AL1521" s="54">
        <f>IF(AK1521&lt;&gt;"",AK1521,N(AL1520))</f>
        <v/>
      </c>
    </row>
    <row r="1522">
      <c r="A1522" t="inlineStr">
        <is>
          <t>CON-0507</t>
        </is>
      </c>
      <c r="B1522" t="inlineStr">
        <is>
          <t>Consulting</t>
        </is>
      </c>
      <c r="AB1522" t="n">
        <v>507</v>
      </c>
      <c r="AD1522" s="52">
        <f>IFERROR(N(IFERROR(INDEX($A1522:$AB1522,MATCH("Xero Invoiced Ex GST",$A$1:$AB$1,0)),"")),0)</f>
        <v/>
      </c>
      <c r="AE1522" s="53">
        <f>IFERROR(INDEX($A1522:$AB1522,MATCH("Xero Invoice Date",$A$1:$AB$1,0)),"")</f>
        <v/>
      </c>
      <c r="AF1522" s="54">
        <f>IF(AND(IFERROR(INDEX($A1522:$AB1522,MATCH("Xero Invoice No",$A$1:$AB$1,0)),"")&amp;""&lt;&gt;"",ISNUMBER(AE1522),AD1522&lt;&gt;0),1,0)</f>
        <v/>
      </c>
      <c r="AG1522" s="55">
        <f>IF(AF1522=1,EOMONTH(AE1522,0),"")</f>
        <v/>
      </c>
      <c r="AH1522" s="9">
        <f>IF(AF1522=1,UPPER(TRIM(IFERROR(INDEX($A1522:$AB1522,MATCH("Client",$A$1:$AB$1,0)),"")&amp;"")),"")</f>
        <v/>
      </c>
      <c r="AI1522" s="9">
        <f>IF(AF1522=1,IFERROR(INDEX($A1522:$AB1522,MATCH("Cost Centre",$A$1:$AB$1,0)),"")&amp;"","")</f>
        <v/>
      </c>
      <c r="AJ1522" s="54">
        <f>IF(AND(AF1522=1,AE1522&gt;=set_FYStart,AE1522&lt;=set_AsAt),1,0)</f>
        <v/>
      </c>
      <c r="AK1522" s="54">
        <f>IF(AND(AJ1522=1,AH1522&lt;&gt;"",COUNTIFS($AH$2:AH1522,AH1522,$AJ$2:AJ1522,1)=1),N(AL1521)+1,"")</f>
        <v/>
      </c>
      <c r="AL1522" s="54">
        <f>IF(AK1522&lt;&gt;"",AK1522,N(AL1521))</f>
        <v/>
      </c>
    </row>
    <row r="1523">
      <c r="A1523" t="inlineStr">
        <is>
          <t>ONS-0508</t>
        </is>
      </c>
      <c r="B1523" t="inlineStr">
        <is>
          <t>Onsite</t>
        </is>
      </c>
      <c r="AB1523" t="n">
        <v>508</v>
      </c>
      <c r="AD1523" s="52">
        <f>IFERROR(N(IFERROR(INDEX($A1523:$AB1523,MATCH("Xero Invoiced Ex GST",$A$1:$AB$1,0)),"")),0)</f>
        <v/>
      </c>
      <c r="AE1523" s="53">
        <f>IFERROR(INDEX($A1523:$AB1523,MATCH("Xero Invoice Date",$A$1:$AB$1,0)),"")</f>
        <v/>
      </c>
      <c r="AF1523" s="54">
        <f>IF(AND(IFERROR(INDEX($A1523:$AB1523,MATCH("Xero Invoice No",$A$1:$AB$1,0)),"")&amp;""&lt;&gt;"",ISNUMBER(AE1523),AD1523&lt;&gt;0),1,0)</f>
        <v/>
      </c>
      <c r="AG1523" s="55">
        <f>IF(AF1523=1,EOMONTH(AE1523,0),"")</f>
        <v/>
      </c>
      <c r="AH1523" s="9">
        <f>IF(AF1523=1,UPPER(TRIM(IFERROR(INDEX($A1523:$AB1523,MATCH("Client",$A$1:$AB$1,0)),"")&amp;"")),"")</f>
        <v/>
      </c>
      <c r="AI1523" s="9">
        <f>IF(AF1523=1,IFERROR(INDEX($A1523:$AB1523,MATCH("Cost Centre",$A$1:$AB$1,0)),"")&amp;"","")</f>
        <v/>
      </c>
      <c r="AJ1523" s="54">
        <f>IF(AND(AF1523=1,AE1523&gt;=set_FYStart,AE1523&lt;=set_AsAt),1,0)</f>
        <v/>
      </c>
      <c r="AK1523" s="54">
        <f>IF(AND(AJ1523=1,AH1523&lt;&gt;"",COUNTIFS($AH$2:AH1523,AH1523,$AJ$2:AJ1523,1)=1),N(AL1522)+1,"")</f>
        <v/>
      </c>
      <c r="AL1523" s="54">
        <f>IF(AK1523&lt;&gt;"",AK1523,N(AL1522))</f>
        <v/>
      </c>
    </row>
    <row r="1524">
      <c r="A1524" t="inlineStr">
        <is>
          <t>PRD-0508</t>
        </is>
      </c>
      <c r="B1524" t="inlineStr">
        <is>
          <t>Production</t>
        </is>
      </c>
      <c r="AB1524" t="n">
        <v>508</v>
      </c>
      <c r="AD1524" s="52">
        <f>IFERROR(N(IFERROR(INDEX($A1524:$AB1524,MATCH("Xero Invoiced Ex GST",$A$1:$AB$1,0)),"")),0)</f>
        <v/>
      </c>
      <c r="AE1524" s="53">
        <f>IFERROR(INDEX($A1524:$AB1524,MATCH("Xero Invoice Date",$A$1:$AB$1,0)),"")</f>
        <v/>
      </c>
      <c r="AF1524" s="54">
        <f>IF(AND(IFERROR(INDEX($A1524:$AB1524,MATCH("Xero Invoice No",$A$1:$AB$1,0)),"")&amp;""&lt;&gt;"",ISNUMBER(AE1524),AD1524&lt;&gt;0),1,0)</f>
        <v/>
      </c>
      <c r="AG1524" s="55">
        <f>IF(AF1524=1,EOMONTH(AE1524,0),"")</f>
        <v/>
      </c>
      <c r="AH1524" s="9">
        <f>IF(AF1524=1,UPPER(TRIM(IFERROR(INDEX($A1524:$AB1524,MATCH("Client",$A$1:$AB$1,0)),"")&amp;"")),"")</f>
        <v/>
      </c>
      <c r="AI1524" s="9">
        <f>IF(AF1524=1,IFERROR(INDEX($A1524:$AB1524,MATCH("Cost Centre",$A$1:$AB$1,0)),"")&amp;"","")</f>
        <v/>
      </c>
      <c r="AJ1524" s="54">
        <f>IF(AND(AF1524=1,AE1524&gt;=set_FYStart,AE1524&lt;=set_AsAt),1,0)</f>
        <v/>
      </c>
      <c r="AK1524" s="54">
        <f>IF(AND(AJ1524=1,AH1524&lt;&gt;"",COUNTIFS($AH$2:AH1524,AH1524,$AJ$2:AJ1524,1)=1),N(AL1523)+1,"")</f>
        <v/>
      </c>
      <c r="AL1524" s="54">
        <f>IF(AK1524&lt;&gt;"",AK1524,N(AL1523))</f>
        <v/>
      </c>
    </row>
    <row r="1525">
      <c r="A1525" t="inlineStr">
        <is>
          <t>CON-0508</t>
        </is>
      </c>
      <c r="B1525" t="inlineStr">
        <is>
          <t>Consulting</t>
        </is>
      </c>
      <c r="AB1525" t="n">
        <v>508</v>
      </c>
      <c r="AD1525" s="52">
        <f>IFERROR(N(IFERROR(INDEX($A1525:$AB1525,MATCH("Xero Invoiced Ex GST",$A$1:$AB$1,0)),"")),0)</f>
        <v/>
      </c>
      <c r="AE1525" s="53">
        <f>IFERROR(INDEX($A1525:$AB1525,MATCH("Xero Invoice Date",$A$1:$AB$1,0)),"")</f>
        <v/>
      </c>
      <c r="AF1525" s="54">
        <f>IF(AND(IFERROR(INDEX($A1525:$AB1525,MATCH("Xero Invoice No",$A$1:$AB$1,0)),"")&amp;""&lt;&gt;"",ISNUMBER(AE1525),AD1525&lt;&gt;0),1,0)</f>
        <v/>
      </c>
      <c r="AG1525" s="55">
        <f>IF(AF1525=1,EOMONTH(AE1525,0),"")</f>
        <v/>
      </c>
      <c r="AH1525" s="9">
        <f>IF(AF1525=1,UPPER(TRIM(IFERROR(INDEX($A1525:$AB1525,MATCH("Client",$A$1:$AB$1,0)),"")&amp;"")),"")</f>
        <v/>
      </c>
      <c r="AI1525" s="9">
        <f>IF(AF1525=1,IFERROR(INDEX($A1525:$AB1525,MATCH("Cost Centre",$A$1:$AB$1,0)),"")&amp;"","")</f>
        <v/>
      </c>
      <c r="AJ1525" s="54">
        <f>IF(AND(AF1525=1,AE1525&gt;=set_FYStart,AE1525&lt;=set_AsAt),1,0)</f>
        <v/>
      </c>
      <c r="AK1525" s="54">
        <f>IF(AND(AJ1525=1,AH1525&lt;&gt;"",COUNTIFS($AH$2:AH1525,AH1525,$AJ$2:AJ1525,1)=1),N(AL1524)+1,"")</f>
        <v/>
      </c>
      <c r="AL1525" s="54">
        <f>IF(AK1525&lt;&gt;"",AK1525,N(AL1524))</f>
        <v/>
      </c>
    </row>
    <row r="1526">
      <c r="A1526" t="inlineStr">
        <is>
          <t>ONS-0509</t>
        </is>
      </c>
      <c r="B1526" t="inlineStr">
        <is>
          <t>Onsite</t>
        </is>
      </c>
      <c r="AB1526" t="n">
        <v>509</v>
      </c>
      <c r="AD1526" s="52">
        <f>IFERROR(N(IFERROR(INDEX($A1526:$AB1526,MATCH("Xero Invoiced Ex GST",$A$1:$AB$1,0)),"")),0)</f>
        <v/>
      </c>
      <c r="AE1526" s="53">
        <f>IFERROR(INDEX($A1526:$AB1526,MATCH("Xero Invoice Date",$A$1:$AB$1,0)),"")</f>
        <v/>
      </c>
      <c r="AF1526" s="54">
        <f>IF(AND(IFERROR(INDEX($A1526:$AB1526,MATCH("Xero Invoice No",$A$1:$AB$1,0)),"")&amp;""&lt;&gt;"",ISNUMBER(AE1526),AD1526&lt;&gt;0),1,0)</f>
        <v/>
      </c>
      <c r="AG1526" s="55">
        <f>IF(AF1526=1,EOMONTH(AE1526,0),"")</f>
        <v/>
      </c>
      <c r="AH1526" s="9">
        <f>IF(AF1526=1,UPPER(TRIM(IFERROR(INDEX($A1526:$AB1526,MATCH("Client",$A$1:$AB$1,0)),"")&amp;"")),"")</f>
        <v/>
      </c>
      <c r="AI1526" s="9">
        <f>IF(AF1526=1,IFERROR(INDEX($A1526:$AB1526,MATCH("Cost Centre",$A$1:$AB$1,0)),"")&amp;"","")</f>
        <v/>
      </c>
      <c r="AJ1526" s="54">
        <f>IF(AND(AF1526=1,AE1526&gt;=set_FYStart,AE1526&lt;=set_AsAt),1,0)</f>
        <v/>
      </c>
      <c r="AK1526" s="54">
        <f>IF(AND(AJ1526=1,AH1526&lt;&gt;"",COUNTIFS($AH$2:AH1526,AH1526,$AJ$2:AJ1526,1)=1),N(AL1525)+1,"")</f>
        <v/>
      </c>
      <c r="AL1526" s="54">
        <f>IF(AK1526&lt;&gt;"",AK1526,N(AL1525))</f>
        <v/>
      </c>
    </row>
    <row r="1527">
      <c r="A1527" t="inlineStr">
        <is>
          <t>PRD-0509</t>
        </is>
      </c>
      <c r="B1527" t="inlineStr">
        <is>
          <t>Production</t>
        </is>
      </c>
      <c r="AB1527" t="n">
        <v>509</v>
      </c>
      <c r="AD1527" s="52">
        <f>IFERROR(N(IFERROR(INDEX($A1527:$AB1527,MATCH("Xero Invoiced Ex GST",$A$1:$AB$1,0)),"")),0)</f>
        <v/>
      </c>
      <c r="AE1527" s="53">
        <f>IFERROR(INDEX($A1527:$AB1527,MATCH("Xero Invoice Date",$A$1:$AB$1,0)),"")</f>
        <v/>
      </c>
      <c r="AF1527" s="54">
        <f>IF(AND(IFERROR(INDEX($A1527:$AB1527,MATCH("Xero Invoice No",$A$1:$AB$1,0)),"")&amp;""&lt;&gt;"",ISNUMBER(AE1527),AD1527&lt;&gt;0),1,0)</f>
        <v/>
      </c>
      <c r="AG1527" s="55">
        <f>IF(AF1527=1,EOMONTH(AE1527,0),"")</f>
        <v/>
      </c>
      <c r="AH1527" s="9">
        <f>IF(AF1527=1,UPPER(TRIM(IFERROR(INDEX($A1527:$AB1527,MATCH("Client",$A$1:$AB$1,0)),"")&amp;"")),"")</f>
        <v/>
      </c>
      <c r="AI1527" s="9">
        <f>IF(AF1527=1,IFERROR(INDEX($A1527:$AB1527,MATCH("Cost Centre",$A$1:$AB$1,0)),"")&amp;"","")</f>
        <v/>
      </c>
      <c r="AJ1527" s="54">
        <f>IF(AND(AF1527=1,AE1527&gt;=set_FYStart,AE1527&lt;=set_AsAt),1,0)</f>
        <v/>
      </c>
      <c r="AK1527" s="54">
        <f>IF(AND(AJ1527=1,AH1527&lt;&gt;"",COUNTIFS($AH$2:AH1527,AH1527,$AJ$2:AJ1527,1)=1),N(AL1526)+1,"")</f>
        <v/>
      </c>
      <c r="AL1527" s="54">
        <f>IF(AK1527&lt;&gt;"",AK1527,N(AL1526))</f>
        <v/>
      </c>
    </row>
    <row r="1528">
      <c r="A1528" t="inlineStr">
        <is>
          <t>CON-0509</t>
        </is>
      </c>
      <c r="B1528" t="inlineStr">
        <is>
          <t>Consulting</t>
        </is>
      </c>
      <c r="AB1528" t="n">
        <v>509</v>
      </c>
      <c r="AD1528" s="52">
        <f>IFERROR(N(IFERROR(INDEX($A1528:$AB1528,MATCH("Xero Invoiced Ex GST",$A$1:$AB$1,0)),"")),0)</f>
        <v/>
      </c>
      <c r="AE1528" s="53">
        <f>IFERROR(INDEX($A1528:$AB1528,MATCH("Xero Invoice Date",$A$1:$AB$1,0)),"")</f>
        <v/>
      </c>
      <c r="AF1528" s="54">
        <f>IF(AND(IFERROR(INDEX($A1528:$AB1528,MATCH("Xero Invoice No",$A$1:$AB$1,0)),"")&amp;""&lt;&gt;"",ISNUMBER(AE1528),AD1528&lt;&gt;0),1,0)</f>
        <v/>
      </c>
      <c r="AG1528" s="55">
        <f>IF(AF1528=1,EOMONTH(AE1528,0),"")</f>
        <v/>
      </c>
      <c r="AH1528" s="9">
        <f>IF(AF1528=1,UPPER(TRIM(IFERROR(INDEX($A1528:$AB1528,MATCH("Client",$A$1:$AB$1,0)),"")&amp;"")),"")</f>
        <v/>
      </c>
      <c r="AI1528" s="9">
        <f>IF(AF1528=1,IFERROR(INDEX($A1528:$AB1528,MATCH("Cost Centre",$A$1:$AB$1,0)),"")&amp;"","")</f>
        <v/>
      </c>
      <c r="AJ1528" s="54">
        <f>IF(AND(AF1528=1,AE1528&gt;=set_FYStart,AE1528&lt;=set_AsAt),1,0)</f>
        <v/>
      </c>
      <c r="AK1528" s="54">
        <f>IF(AND(AJ1528=1,AH1528&lt;&gt;"",COUNTIFS($AH$2:AH1528,AH1528,$AJ$2:AJ1528,1)=1),N(AL1527)+1,"")</f>
        <v/>
      </c>
      <c r="AL1528" s="54">
        <f>IF(AK1528&lt;&gt;"",AK1528,N(AL1527))</f>
        <v/>
      </c>
    </row>
    <row r="1529">
      <c r="A1529" t="inlineStr">
        <is>
          <t>ONS-0510</t>
        </is>
      </c>
      <c r="B1529" t="inlineStr">
        <is>
          <t>Onsite</t>
        </is>
      </c>
      <c r="AB1529" t="n">
        <v>510</v>
      </c>
      <c r="AD1529" s="52">
        <f>IFERROR(N(IFERROR(INDEX($A1529:$AB1529,MATCH("Xero Invoiced Ex GST",$A$1:$AB$1,0)),"")),0)</f>
        <v/>
      </c>
      <c r="AE1529" s="53">
        <f>IFERROR(INDEX($A1529:$AB1529,MATCH("Xero Invoice Date",$A$1:$AB$1,0)),"")</f>
        <v/>
      </c>
      <c r="AF1529" s="54">
        <f>IF(AND(IFERROR(INDEX($A1529:$AB1529,MATCH("Xero Invoice No",$A$1:$AB$1,0)),"")&amp;""&lt;&gt;"",ISNUMBER(AE1529),AD1529&lt;&gt;0),1,0)</f>
        <v/>
      </c>
      <c r="AG1529" s="55">
        <f>IF(AF1529=1,EOMONTH(AE1529,0),"")</f>
        <v/>
      </c>
      <c r="AH1529" s="9">
        <f>IF(AF1529=1,UPPER(TRIM(IFERROR(INDEX($A1529:$AB1529,MATCH("Client",$A$1:$AB$1,0)),"")&amp;"")),"")</f>
        <v/>
      </c>
      <c r="AI1529" s="9">
        <f>IF(AF1529=1,IFERROR(INDEX($A1529:$AB1529,MATCH("Cost Centre",$A$1:$AB$1,0)),"")&amp;"","")</f>
        <v/>
      </c>
      <c r="AJ1529" s="54">
        <f>IF(AND(AF1529=1,AE1529&gt;=set_FYStart,AE1529&lt;=set_AsAt),1,0)</f>
        <v/>
      </c>
      <c r="AK1529" s="54">
        <f>IF(AND(AJ1529=1,AH1529&lt;&gt;"",COUNTIFS($AH$2:AH1529,AH1529,$AJ$2:AJ1529,1)=1),N(AL1528)+1,"")</f>
        <v/>
      </c>
      <c r="AL1529" s="54">
        <f>IF(AK1529&lt;&gt;"",AK1529,N(AL1528))</f>
        <v/>
      </c>
    </row>
    <row r="1530">
      <c r="A1530" t="inlineStr">
        <is>
          <t>PRD-0510</t>
        </is>
      </c>
      <c r="B1530" t="inlineStr">
        <is>
          <t>Production</t>
        </is>
      </c>
      <c r="AB1530" t="n">
        <v>510</v>
      </c>
      <c r="AD1530" s="52">
        <f>IFERROR(N(IFERROR(INDEX($A1530:$AB1530,MATCH("Xero Invoiced Ex GST",$A$1:$AB$1,0)),"")),0)</f>
        <v/>
      </c>
      <c r="AE1530" s="53">
        <f>IFERROR(INDEX($A1530:$AB1530,MATCH("Xero Invoice Date",$A$1:$AB$1,0)),"")</f>
        <v/>
      </c>
      <c r="AF1530" s="54">
        <f>IF(AND(IFERROR(INDEX($A1530:$AB1530,MATCH("Xero Invoice No",$A$1:$AB$1,0)),"")&amp;""&lt;&gt;"",ISNUMBER(AE1530),AD1530&lt;&gt;0),1,0)</f>
        <v/>
      </c>
      <c r="AG1530" s="55">
        <f>IF(AF1530=1,EOMONTH(AE1530,0),"")</f>
        <v/>
      </c>
      <c r="AH1530" s="9">
        <f>IF(AF1530=1,UPPER(TRIM(IFERROR(INDEX($A1530:$AB1530,MATCH("Client",$A$1:$AB$1,0)),"")&amp;"")),"")</f>
        <v/>
      </c>
      <c r="AI1530" s="9">
        <f>IF(AF1530=1,IFERROR(INDEX($A1530:$AB1530,MATCH("Cost Centre",$A$1:$AB$1,0)),"")&amp;"","")</f>
        <v/>
      </c>
      <c r="AJ1530" s="54">
        <f>IF(AND(AF1530=1,AE1530&gt;=set_FYStart,AE1530&lt;=set_AsAt),1,0)</f>
        <v/>
      </c>
      <c r="AK1530" s="54">
        <f>IF(AND(AJ1530=1,AH1530&lt;&gt;"",COUNTIFS($AH$2:AH1530,AH1530,$AJ$2:AJ1530,1)=1),N(AL1529)+1,"")</f>
        <v/>
      </c>
      <c r="AL1530" s="54">
        <f>IF(AK1530&lt;&gt;"",AK1530,N(AL1529))</f>
        <v/>
      </c>
    </row>
    <row r="1531">
      <c r="A1531" t="inlineStr">
        <is>
          <t>CON-0510</t>
        </is>
      </c>
      <c r="B1531" t="inlineStr">
        <is>
          <t>Consulting</t>
        </is>
      </c>
      <c r="AB1531" t="n">
        <v>510</v>
      </c>
      <c r="AD1531" s="52">
        <f>IFERROR(N(IFERROR(INDEX($A1531:$AB1531,MATCH("Xero Invoiced Ex GST",$A$1:$AB$1,0)),"")),0)</f>
        <v/>
      </c>
      <c r="AE1531" s="53">
        <f>IFERROR(INDEX($A1531:$AB1531,MATCH("Xero Invoice Date",$A$1:$AB$1,0)),"")</f>
        <v/>
      </c>
      <c r="AF1531" s="54">
        <f>IF(AND(IFERROR(INDEX($A1531:$AB1531,MATCH("Xero Invoice No",$A$1:$AB$1,0)),"")&amp;""&lt;&gt;"",ISNUMBER(AE1531),AD1531&lt;&gt;0),1,0)</f>
        <v/>
      </c>
      <c r="AG1531" s="55">
        <f>IF(AF1531=1,EOMONTH(AE1531,0),"")</f>
        <v/>
      </c>
      <c r="AH1531" s="9">
        <f>IF(AF1531=1,UPPER(TRIM(IFERROR(INDEX($A1531:$AB1531,MATCH("Client",$A$1:$AB$1,0)),"")&amp;"")),"")</f>
        <v/>
      </c>
      <c r="AI1531" s="9">
        <f>IF(AF1531=1,IFERROR(INDEX($A1531:$AB1531,MATCH("Cost Centre",$A$1:$AB$1,0)),"")&amp;"","")</f>
        <v/>
      </c>
      <c r="AJ1531" s="54">
        <f>IF(AND(AF1531=1,AE1531&gt;=set_FYStart,AE1531&lt;=set_AsAt),1,0)</f>
        <v/>
      </c>
      <c r="AK1531" s="54">
        <f>IF(AND(AJ1531=1,AH1531&lt;&gt;"",COUNTIFS($AH$2:AH1531,AH1531,$AJ$2:AJ1531,1)=1),N(AL1530)+1,"")</f>
        <v/>
      </c>
      <c r="AL1531" s="54">
        <f>IF(AK1531&lt;&gt;"",AK1531,N(AL1530))</f>
        <v/>
      </c>
    </row>
    <row r="1532">
      <c r="A1532" t="inlineStr">
        <is>
          <t>ONS-0511</t>
        </is>
      </c>
      <c r="B1532" t="inlineStr">
        <is>
          <t>Onsite</t>
        </is>
      </c>
      <c r="AB1532" t="n">
        <v>511</v>
      </c>
      <c r="AD1532" s="52">
        <f>IFERROR(N(IFERROR(INDEX($A1532:$AB1532,MATCH("Xero Invoiced Ex GST",$A$1:$AB$1,0)),"")),0)</f>
        <v/>
      </c>
      <c r="AE1532" s="53">
        <f>IFERROR(INDEX($A1532:$AB1532,MATCH("Xero Invoice Date",$A$1:$AB$1,0)),"")</f>
        <v/>
      </c>
      <c r="AF1532" s="54">
        <f>IF(AND(IFERROR(INDEX($A1532:$AB1532,MATCH("Xero Invoice No",$A$1:$AB$1,0)),"")&amp;""&lt;&gt;"",ISNUMBER(AE1532),AD1532&lt;&gt;0),1,0)</f>
        <v/>
      </c>
      <c r="AG1532" s="55">
        <f>IF(AF1532=1,EOMONTH(AE1532,0),"")</f>
        <v/>
      </c>
      <c r="AH1532" s="9">
        <f>IF(AF1532=1,UPPER(TRIM(IFERROR(INDEX($A1532:$AB1532,MATCH("Client",$A$1:$AB$1,0)),"")&amp;"")),"")</f>
        <v/>
      </c>
      <c r="AI1532" s="9">
        <f>IF(AF1532=1,IFERROR(INDEX($A1532:$AB1532,MATCH("Cost Centre",$A$1:$AB$1,0)),"")&amp;"","")</f>
        <v/>
      </c>
      <c r="AJ1532" s="54">
        <f>IF(AND(AF1532=1,AE1532&gt;=set_FYStart,AE1532&lt;=set_AsAt),1,0)</f>
        <v/>
      </c>
      <c r="AK1532" s="54">
        <f>IF(AND(AJ1532=1,AH1532&lt;&gt;"",COUNTIFS($AH$2:AH1532,AH1532,$AJ$2:AJ1532,1)=1),N(AL1531)+1,"")</f>
        <v/>
      </c>
      <c r="AL1532" s="54">
        <f>IF(AK1532&lt;&gt;"",AK1532,N(AL1531))</f>
        <v/>
      </c>
    </row>
    <row r="1533">
      <c r="A1533" t="inlineStr">
        <is>
          <t>PRD-0511</t>
        </is>
      </c>
      <c r="B1533" t="inlineStr">
        <is>
          <t>Production</t>
        </is>
      </c>
      <c r="AB1533" t="n">
        <v>511</v>
      </c>
      <c r="AD1533" s="52">
        <f>IFERROR(N(IFERROR(INDEX($A1533:$AB1533,MATCH("Xero Invoiced Ex GST",$A$1:$AB$1,0)),"")),0)</f>
        <v/>
      </c>
      <c r="AE1533" s="53">
        <f>IFERROR(INDEX($A1533:$AB1533,MATCH("Xero Invoice Date",$A$1:$AB$1,0)),"")</f>
        <v/>
      </c>
      <c r="AF1533" s="54">
        <f>IF(AND(IFERROR(INDEX($A1533:$AB1533,MATCH("Xero Invoice No",$A$1:$AB$1,0)),"")&amp;""&lt;&gt;"",ISNUMBER(AE1533),AD1533&lt;&gt;0),1,0)</f>
        <v/>
      </c>
      <c r="AG1533" s="55">
        <f>IF(AF1533=1,EOMONTH(AE1533,0),"")</f>
        <v/>
      </c>
      <c r="AH1533" s="9">
        <f>IF(AF1533=1,UPPER(TRIM(IFERROR(INDEX($A1533:$AB1533,MATCH("Client",$A$1:$AB$1,0)),"")&amp;"")),"")</f>
        <v/>
      </c>
      <c r="AI1533" s="9">
        <f>IF(AF1533=1,IFERROR(INDEX($A1533:$AB1533,MATCH("Cost Centre",$A$1:$AB$1,0)),"")&amp;"","")</f>
        <v/>
      </c>
      <c r="AJ1533" s="54">
        <f>IF(AND(AF1533=1,AE1533&gt;=set_FYStart,AE1533&lt;=set_AsAt),1,0)</f>
        <v/>
      </c>
      <c r="AK1533" s="54">
        <f>IF(AND(AJ1533=1,AH1533&lt;&gt;"",COUNTIFS($AH$2:AH1533,AH1533,$AJ$2:AJ1533,1)=1),N(AL1532)+1,"")</f>
        <v/>
      </c>
      <c r="AL1533" s="54">
        <f>IF(AK1533&lt;&gt;"",AK1533,N(AL1532))</f>
        <v/>
      </c>
    </row>
    <row r="1534">
      <c r="A1534" t="inlineStr">
        <is>
          <t>CON-0511</t>
        </is>
      </c>
      <c r="B1534" t="inlineStr">
        <is>
          <t>Consulting</t>
        </is>
      </c>
      <c r="AB1534" t="n">
        <v>511</v>
      </c>
      <c r="AD1534" s="52">
        <f>IFERROR(N(IFERROR(INDEX($A1534:$AB1534,MATCH("Xero Invoiced Ex GST",$A$1:$AB$1,0)),"")),0)</f>
        <v/>
      </c>
      <c r="AE1534" s="53">
        <f>IFERROR(INDEX($A1534:$AB1534,MATCH("Xero Invoice Date",$A$1:$AB$1,0)),"")</f>
        <v/>
      </c>
      <c r="AF1534" s="54">
        <f>IF(AND(IFERROR(INDEX($A1534:$AB1534,MATCH("Xero Invoice No",$A$1:$AB$1,0)),"")&amp;""&lt;&gt;"",ISNUMBER(AE1534),AD1534&lt;&gt;0),1,0)</f>
        <v/>
      </c>
      <c r="AG1534" s="55">
        <f>IF(AF1534=1,EOMONTH(AE1534,0),"")</f>
        <v/>
      </c>
      <c r="AH1534" s="9">
        <f>IF(AF1534=1,UPPER(TRIM(IFERROR(INDEX($A1534:$AB1534,MATCH("Client",$A$1:$AB$1,0)),"")&amp;"")),"")</f>
        <v/>
      </c>
      <c r="AI1534" s="9">
        <f>IF(AF1534=1,IFERROR(INDEX($A1534:$AB1534,MATCH("Cost Centre",$A$1:$AB$1,0)),"")&amp;"","")</f>
        <v/>
      </c>
      <c r="AJ1534" s="54">
        <f>IF(AND(AF1534=1,AE1534&gt;=set_FYStart,AE1534&lt;=set_AsAt),1,0)</f>
        <v/>
      </c>
      <c r="AK1534" s="54">
        <f>IF(AND(AJ1534=1,AH1534&lt;&gt;"",COUNTIFS($AH$2:AH1534,AH1534,$AJ$2:AJ1534,1)=1),N(AL1533)+1,"")</f>
        <v/>
      </c>
      <c r="AL1534" s="54">
        <f>IF(AK1534&lt;&gt;"",AK1534,N(AL1533))</f>
        <v/>
      </c>
    </row>
    <row r="1535">
      <c r="A1535" t="inlineStr">
        <is>
          <t>ONS-0512</t>
        </is>
      </c>
      <c r="B1535" t="inlineStr">
        <is>
          <t>Onsite</t>
        </is>
      </c>
      <c r="AB1535" t="n">
        <v>512</v>
      </c>
      <c r="AD1535" s="52">
        <f>IFERROR(N(IFERROR(INDEX($A1535:$AB1535,MATCH("Xero Invoiced Ex GST",$A$1:$AB$1,0)),"")),0)</f>
        <v/>
      </c>
      <c r="AE1535" s="53">
        <f>IFERROR(INDEX($A1535:$AB1535,MATCH("Xero Invoice Date",$A$1:$AB$1,0)),"")</f>
        <v/>
      </c>
      <c r="AF1535" s="54">
        <f>IF(AND(IFERROR(INDEX($A1535:$AB1535,MATCH("Xero Invoice No",$A$1:$AB$1,0)),"")&amp;""&lt;&gt;"",ISNUMBER(AE1535),AD1535&lt;&gt;0),1,0)</f>
        <v/>
      </c>
      <c r="AG1535" s="55">
        <f>IF(AF1535=1,EOMONTH(AE1535,0),"")</f>
        <v/>
      </c>
      <c r="AH1535" s="9">
        <f>IF(AF1535=1,UPPER(TRIM(IFERROR(INDEX($A1535:$AB1535,MATCH("Client",$A$1:$AB$1,0)),"")&amp;"")),"")</f>
        <v/>
      </c>
      <c r="AI1535" s="9">
        <f>IF(AF1535=1,IFERROR(INDEX($A1535:$AB1535,MATCH("Cost Centre",$A$1:$AB$1,0)),"")&amp;"","")</f>
        <v/>
      </c>
      <c r="AJ1535" s="54">
        <f>IF(AND(AF1535=1,AE1535&gt;=set_FYStart,AE1535&lt;=set_AsAt),1,0)</f>
        <v/>
      </c>
      <c r="AK1535" s="54">
        <f>IF(AND(AJ1535=1,AH1535&lt;&gt;"",COUNTIFS($AH$2:AH1535,AH1535,$AJ$2:AJ1535,1)=1),N(AL1534)+1,"")</f>
        <v/>
      </c>
      <c r="AL1535" s="54">
        <f>IF(AK1535&lt;&gt;"",AK1535,N(AL1534))</f>
        <v/>
      </c>
    </row>
    <row r="1536">
      <c r="A1536" t="inlineStr">
        <is>
          <t>PRD-0512</t>
        </is>
      </c>
      <c r="B1536" t="inlineStr">
        <is>
          <t>Production</t>
        </is>
      </c>
      <c r="AB1536" t="n">
        <v>512</v>
      </c>
      <c r="AD1536" s="52">
        <f>IFERROR(N(IFERROR(INDEX($A1536:$AB1536,MATCH("Xero Invoiced Ex GST",$A$1:$AB$1,0)),"")),0)</f>
        <v/>
      </c>
      <c r="AE1536" s="53">
        <f>IFERROR(INDEX($A1536:$AB1536,MATCH("Xero Invoice Date",$A$1:$AB$1,0)),"")</f>
        <v/>
      </c>
      <c r="AF1536" s="54">
        <f>IF(AND(IFERROR(INDEX($A1536:$AB1536,MATCH("Xero Invoice No",$A$1:$AB$1,0)),"")&amp;""&lt;&gt;"",ISNUMBER(AE1536),AD1536&lt;&gt;0),1,0)</f>
        <v/>
      </c>
      <c r="AG1536" s="55">
        <f>IF(AF1536=1,EOMONTH(AE1536,0),"")</f>
        <v/>
      </c>
      <c r="AH1536" s="9">
        <f>IF(AF1536=1,UPPER(TRIM(IFERROR(INDEX($A1536:$AB1536,MATCH("Client",$A$1:$AB$1,0)),"")&amp;"")),"")</f>
        <v/>
      </c>
      <c r="AI1536" s="9">
        <f>IF(AF1536=1,IFERROR(INDEX($A1536:$AB1536,MATCH("Cost Centre",$A$1:$AB$1,0)),"")&amp;"","")</f>
        <v/>
      </c>
      <c r="AJ1536" s="54">
        <f>IF(AND(AF1536=1,AE1536&gt;=set_FYStart,AE1536&lt;=set_AsAt),1,0)</f>
        <v/>
      </c>
      <c r="AK1536" s="54">
        <f>IF(AND(AJ1536=1,AH1536&lt;&gt;"",COUNTIFS($AH$2:AH1536,AH1536,$AJ$2:AJ1536,1)=1),N(AL1535)+1,"")</f>
        <v/>
      </c>
      <c r="AL1536" s="54">
        <f>IF(AK1536&lt;&gt;"",AK1536,N(AL1535))</f>
        <v/>
      </c>
    </row>
    <row r="1537">
      <c r="A1537" t="inlineStr">
        <is>
          <t>CON-0512</t>
        </is>
      </c>
      <c r="B1537" t="inlineStr">
        <is>
          <t>Consulting</t>
        </is>
      </c>
      <c r="AB1537" t="n">
        <v>512</v>
      </c>
      <c r="AD1537" s="52">
        <f>IFERROR(N(IFERROR(INDEX($A1537:$AB1537,MATCH("Xero Invoiced Ex GST",$A$1:$AB$1,0)),"")),0)</f>
        <v/>
      </c>
      <c r="AE1537" s="53">
        <f>IFERROR(INDEX($A1537:$AB1537,MATCH("Xero Invoice Date",$A$1:$AB$1,0)),"")</f>
        <v/>
      </c>
      <c r="AF1537" s="54">
        <f>IF(AND(IFERROR(INDEX($A1537:$AB1537,MATCH("Xero Invoice No",$A$1:$AB$1,0)),"")&amp;""&lt;&gt;"",ISNUMBER(AE1537),AD1537&lt;&gt;0),1,0)</f>
        <v/>
      </c>
      <c r="AG1537" s="55">
        <f>IF(AF1537=1,EOMONTH(AE1537,0),"")</f>
        <v/>
      </c>
      <c r="AH1537" s="9">
        <f>IF(AF1537=1,UPPER(TRIM(IFERROR(INDEX($A1537:$AB1537,MATCH("Client",$A$1:$AB$1,0)),"")&amp;"")),"")</f>
        <v/>
      </c>
      <c r="AI1537" s="9">
        <f>IF(AF1537=1,IFERROR(INDEX($A1537:$AB1537,MATCH("Cost Centre",$A$1:$AB$1,0)),"")&amp;"","")</f>
        <v/>
      </c>
      <c r="AJ1537" s="54">
        <f>IF(AND(AF1537=1,AE1537&gt;=set_FYStart,AE1537&lt;=set_AsAt),1,0)</f>
        <v/>
      </c>
      <c r="AK1537" s="54">
        <f>IF(AND(AJ1537=1,AH1537&lt;&gt;"",COUNTIFS($AH$2:AH1537,AH1537,$AJ$2:AJ1537,1)=1),N(AL1536)+1,"")</f>
        <v/>
      </c>
      <c r="AL1537" s="54">
        <f>IF(AK1537&lt;&gt;"",AK1537,N(AL1536))</f>
        <v/>
      </c>
    </row>
    <row r="1538">
      <c r="A1538" t="inlineStr">
        <is>
          <t>ONS-0513</t>
        </is>
      </c>
      <c r="B1538" t="inlineStr">
        <is>
          <t>Onsite</t>
        </is>
      </c>
      <c r="AB1538" t="n">
        <v>513</v>
      </c>
      <c r="AD1538" s="52">
        <f>IFERROR(N(IFERROR(INDEX($A1538:$AB1538,MATCH("Xero Invoiced Ex GST",$A$1:$AB$1,0)),"")),0)</f>
        <v/>
      </c>
      <c r="AE1538" s="53">
        <f>IFERROR(INDEX($A1538:$AB1538,MATCH("Xero Invoice Date",$A$1:$AB$1,0)),"")</f>
        <v/>
      </c>
      <c r="AF1538" s="54">
        <f>IF(AND(IFERROR(INDEX($A1538:$AB1538,MATCH("Xero Invoice No",$A$1:$AB$1,0)),"")&amp;""&lt;&gt;"",ISNUMBER(AE1538),AD1538&lt;&gt;0),1,0)</f>
        <v/>
      </c>
      <c r="AG1538" s="55">
        <f>IF(AF1538=1,EOMONTH(AE1538,0),"")</f>
        <v/>
      </c>
      <c r="AH1538" s="9">
        <f>IF(AF1538=1,UPPER(TRIM(IFERROR(INDEX($A1538:$AB1538,MATCH("Client",$A$1:$AB$1,0)),"")&amp;"")),"")</f>
        <v/>
      </c>
      <c r="AI1538" s="9">
        <f>IF(AF1538=1,IFERROR(INDEX($A1538:$AB1538,MATCH("Cost Centre",$A$1:$AB$1,0)),"")&amp;"","")</f>
        <v/>
      </c>
      <c r="AJ1538" s="54">
        <f>IF(AND(AF1538=1,AE1538&gt;=set_FYStart,AE1538&lt;=set_AsAt),1,0)</f>
        <v/>
      </c>
      <c r="AK1538" s="54">
        <f>IF(AND(AJ1538=1,AH1538&lt;&gt;"",COUNTIFS($AH$2:AH1538,AH1538,$AJ$2:AJ1538,1)=1),N(AL1537)+1,"")</f>
        <v/>
      </c>
      <c r="AL1538" s="54">
        <f>IF(AK1538&lt;&gt;"",AK1538,N(AL1537))</f>
        <v/>
      </c>
    </row>
    <row r="1539">
      <c r="A1539" t="inlineStr">
        <is>
          <t>PRD-0513</t>
        </is>
      </c>
      <c r="B1539" t="inlineStr">
        <is>
          <t>Production</t>
        </is>
      </c>
      <c r="AB1539" t="n">
        <v>513</v>
      </c>
      <c r="AD1539" s="52">
        <f>IFERROR(N(IFERROR(INDEX($A1539:$AB1539,MATCH("Xero Invoiced Ex GST",$A$1:$AB$1,0)),"")),0)</f>
        <v/>
      </c>
      <c r="AE1539" s="53">
        <f>IFERROR(INDEX($A1539:$AB1539,MATCH("Xero Invoice Date",$A$1:$AB$1,0)),"")</f>
        <v/>
      </c>
      <c r="AF1539" s="54">
        <f>IF(AND(IFERROR(INDEX($A1539:$AB1539,MATCH("Xero Invoice No",$A$1:$AB$1,0)),"")&amp;""&lt;&gt;"",ISNUMBER(AE1539),AD1539&lt;&gt;0),1,0)</f>
        <v/>
      </c>
      <c r="AG1539" s="55">
        <f>IF(AF1539=1,EOMONTH(AE1539,0),"")</f>
        <v/>
      </c>
      <c r="AH1539" s="9">
        <f>IF(AF1539=1,UPPER(TRIM(IFERROR(INDEX($A1539:$AB1539,MATCH("Client",$A$1:$AB$1,0)),"")&amp;"")),"")</f>
        <v/>
      </c>
      <c r="AI1539" s="9">
        <f>IF(AF1539=1,IFERROR(INDEX($A1539:$AB1539,MATCH("Cost Centre",$A$1:$AB$1,0)),"")&amp;"","")</f>
        <v/>
      </c>
      <c r="AJ1539" s="54">
        <f>IF(AND(AF1539=1,AE1539&gt;=set_FYStart,AE1539&lt;=set_AsAt),1,0)</f>
        <v/>
      </c>
      <c r="AK1539" s="54">
        <f>IF(AND(AJ1539=1,AH1539&lt;&gt;"",COUNTIFS($AH$2:AH1539,AH1539,$AJ$2:AJ1539,1)=1),N(AL1538)+1,"")</f>
        <v/>
      </c>
      <c r="AL1539" s="54">
        <f>IF(AK1539&lt;&gt;"",AK1539,N(AL1538))</f>
        <v/>
      </c>
    </row>
    <row r="1540">
      <c r="A1540" t="inlineStr">
        <is>
          <t>CON-0513</t>
        </is>
      </c>
      <c r="B1540" t="inlineStr">
        <is>
          <t>Consulting</t>
        </is>
      </c>
      <c r="AB1540" t="n">
        <v>513</v>
      </c>
      <c r="AD1540" s="52">
        <f>IFERROR(N(IFERROR(INDEX($A1540:$AB1540,MATCH("Xero Invoiced Ex GST",$A$1:$AB$1,0)),"")),0)</f>
        <v/>
      </c>
      <c r="AE1540" s="53">
        <f>IFERROR(INDEX($A1540:$AB1540,MATCH("Xero Invoice Date",$A$1:$AB$1,0)),"")</f>
        <v/>
      </c>
      <c r="AF1540" s="54">
        <f>IF(AND(IFERROR(INDEX($A1540:$AB1540,MATCH("Xero Invoice No",$A$1:$AB$1,0)),"")&amp;""&lt;&gt;"",ISNUMBER(AE1540),AD1540&lt;&gt;0),1,0)</f>
        <v/>
      </c>
      <c r="AG1540" s="55">
        <f>IF(AF1540=1,EOMONTH(AE1540,0),"")</f>
        <v/>
      </c>
      <c r="AH1540" s="9">
        <f>IF(AF1540=1,UPPER(TRIM(IFERROR(INDEX($A1540:$AB1540,MATCH("Client",$A$1:$AB$1,0)),"")&amp;"")),"")</f>
        <v/>
      </c>
      <c r="AI1540" s="9">
        <f>IF(AF1540=1,IFERROR(INDEX($A1540:$AB1540,MATCH("Cost Centre",$A$1:$AB$1,0)),"")&amp;"","")</f>
        <v/>
      </c>
      <c r="AJ1540" s="54">
        <f>IF(AND(AF1540=1,AE1540&gt;=set_FYStart,AE1540&lt;=set_AsAt),1,0)</f>
        <v/>
      </c>
      <c r="AK1540" s="54">
        <f>IF(AND(AJ1540=1,AH1540&lt;&gt;"",COUNTIFS($AH$2:AH1540,AH1540,$AJ$2:AJ1540,1)=1),N(AL1539)+1,"")</f>
        <v/>
      </c>
      <c r="AL1540" s="54">
        <f>IF(AK1540&lt;&gt;"",AK1540,N(AL1539))</f>
        <v/>
      </c>
    </row>
    <row r="1541">
      <c r="A1541" t="inlineStr">
        <is>
          <t>ONS-0514</t>
        </is>
      </c>
      <c r="B1541" t="inlineStr">
        <is>
          <t>Onsite</t>
        </is>
      </c>
      <c r="AB1541" t="n">
        <v>514</v>
      </c>
      <c r="AD1541" s="52">
        <f>IFERROR(N(IFERROR(INDEX($A1541:$AB1541,MATCH("Xero Invoiced Ex GST",$A$1:$AB$1,0)),"")),0)</f>
        <v/>
      </c>
      <c r="AE1541" s="53">
        <f>IFERROR(INDEX($A1541:$AB1541,MATCH("Xero Invoice Date",$A$1:$AB$1,0)),"")</f>
        <v/>
      </c>
      <c r="AF1541" s="54">
        <f>IF(AND(IFERROR(INDEX($A1541:$AB1541,MATCH("Xero Invoice No",$A$1:$AB$1,0)),"")&amp;""&lt;&gt;"",ISNUMBER(AE1541),AD1541&lt;&gt;0),1,0)</f>
        <v/>
      </c>
      <c r="AG1541" s="55">
        <f>IF(AF1541=1,EOMONTH(AE1541,0),"")</f>
        <v/>
      </c>
      <c r="AH1541" s="9">
        <f>IF(AF1541=1,UPPER(TRIM(IFERROR(INDEX($A1541:$AB1541,MATCH("Client",$A$1:$AB$1,0)),"")&amp;"")),"")</f>
        <v/>
      </c>
      <c r="AI1541" s="9">
        <f>IF(AF1541=1,IFERROR(INDEX($A1541:$AB1541,MATCH("Cost Centre",$A$1:$AB$1,0)),"")&amp;"","")</f>
        <v/>
      </c>
      <c r="AJ1541" s="54">
        <f>IF(AND(AF1541=1,AE1541&gt;=set_FYStart,AE1541&lt;=set_AsAt),1,0)</f>
        <v/>
      </c>
      <c r="AK1541" s="54">
        <f>IF(AND(AJ1541=1,AH1541&lt;&gt;"",COUNTIFS($AH$2:AH1541,AH1541,$AJ$2:AJ1541,1)=1),N(AL1540)+1,"")</f>
        <v/>
      </c>
      <c r="AL1541" s="54">
        <f>IF(AK1541&lt;&gt;"",AK1541,N(AL1540))</f>
        <v/>
      </c>
    </row>
    <row r="1542">
      <c r="A1542" t="inlineStr">
        <is>
          <t>PRD-0514</t>
        </is>
      </c>
      <c r="B1542" t="inlineStr">
        <is>
          <t>Production</t>
        </is>
      </c>
      <c r="AB1542" t="n">
        <v>514</v>
      </c>
      <c r="AD1542" s="52">
        <f>IFERROR(N(IFERROR(INDEX($A1542:$AB1542,MATCH("Xero Invoiced Ex GST",$A$1:$AB$1,0)),"")),0)</f>
        <v/>
      </c>
      <c r="AE1542" s="53">
        <f>IFERROR(INDEX($A1542:$AB1542,MATCH("Xero Invoice Date",$A$1:$AB$1,0)),"")</f>
        <v/>
      </c>
      <c r="AF1542" s="54">
        <f>IF(AND(IFERROR(INDEX($A1542:$AB1542,MATCH("Xero Invoice No",$A$1:$AB$1,0)),"")&amp;""&lt;&gt;"",ISNUMBER(AE1542),AD1542&lt;&gt;0),1,0)</f>
        <v/>
      </c>
      <c r="AG1542" s="55">
        <f>IF(AF1542=1,EOMONTH(AE1542,0),"")</f>
        <v/>
      </c>
      <c r="AH1542" s="9">
        <f>IF(AF1542=1,UPPER(TRIM(IFERROR(INDEX($A1542:$AB1542,MATCH("Client",$A$1:$AB$1,0)),"")&amp;"")),"")</f>
        <v/>
      </c>
      <c r="AI1542" s="9">
        <f>IF(AF1542=1,IFERROR(INDEX($A1542:$AB1542,MATCH("Cost Centre",$A$1:$AB$1,0)),"")&amp;"","")</f>
        <v/>
      </c>
      <c r="AJ1542" s="54">
        <f>IF(AND(AF1542=1,AE1542&gt;=set_FYStart,AE1542&lt;=set_AsAt),1,0)</f>
        <v/>
      </c>
      <c r="AK1542" s="54">
        <f>IF(AND(AJ1542=1,AH1542&lt;&gt;"",COUNTIFS($AH$2:AH1542,AH1542,$AJ$2:AJ1542,1)=1),N(AL1541)+1,"")</f>
        <v/>
      </c>
      <c r="AL1542" s="54">
        <f>IF(AK1542&lt;&gt;"",AK1542,N(AL1541))</f>
        <v/>
      </c>
    </row>
    <row r="1543">
      <c r="A1543" t="inlineStr">
        <is>
          <t>CON-0514</t>
        </is>
      </c>
      <c r="B1543" t="inlineStr">
        <is>
          <t>Consulting</t>
        </is>
      </c>
      <c r="AB1543" t="n">
        <v>514</v>
      </c>
      <c r="AD1543" s="52">
        <f>IFERROR(N(IFERROR(INDEX($A1543:$AB1543,MATCH("Xero Invoiced Ex GST",$A$1:$AB$1,0)),"")),0)</f>
        <v/>
      </c>
      <c r="AE1543" s="53">
        <f>IFERROR(INDEX($A1543:$AB1543,MATCH("Xero Invoice Date",$A$1:$AB$1,0)),"")</f>
        <v/>
      </c>
      <c r="AF1543" s="54">
        <f>IF(AND(IFERROR(INDEX($A1543:$AB1543,MATCH("Xero Invoice No",$A$1:$AB$1,0)),"")&amp;""&lt;&gt;"",ISNUMBER(AE1543),AD1543&lt;&gt;0),1,0)</f>
        <v/>
      </c>
      <c r="AG1543" s="55">
        <f>IF(AF1543=1,EOMONTH(AE1543,0),"")</f>
        <v/>
      </c>
      <c r="AH1543" s="9">
        <f>IF(AF1543=1,UPPER(TRIM(IFERROR(INDEX($A1543:$AB1543,MATCH("Client",$A$1:$AB$1,0)),"")&amp;"")),"")</f>
        <v/>
      </c>
      <c r="AI1543" s="9">
        <f>IF(AF1543=1,IFERROR(INDEX($A1543:$AB1543,MATCH("Cost Centre",$A$1:$AB$1,0)),"")&amp;"","")</f>
        <v/>
      </c>
      <c r="AJ1543" s="54">
        <f>IF(AND(AF1543=1,AE1543&gt;=set_FYStart,AE1543&lt;=set_AsAt),1,0)</f>
        <v/>
      </c>
      <c r="AK1543" s="54">
        <f>IF(AND(AJ1543=1,AH1543&lt;&gt;"",COUNTIFS($AH$2:AH1543,AH1543,$AJ$2:AJ1543,1)=1),N(AL1542)+1,"")</f>
        <v/>
      </c>
      <c r="AL1543" s="54">
        <f>IF(AK1543&lt;&gt;"",AK1543,N(AL1542))</f>
        <v/>
      </c>
    </row>
    <row r="1544">
      <c r="A1544" t="inlineStr">
        <is>
          <t>ONS-0515</t>
        </is>
      </c>
      <c r="B1544" t="inlineStr">
        <is>
          <t>Onsite</t>
        </is>
      </c>
      <c r="AB1544" t="n">
        <v>515</v>
      </c>
      <c r="AD1544" s="52">
        <f>IFERROR(N(IFERROR(INDEX($A1544:$AB1544,MATCH("Xero Invoiced Ex GST",$A$1:$AB$1,0)),"")),0)</f>
        <v/>
      </c>
      <c r="AE1544" s="53">
        <f>IFERROR(INDEX($A1544:$AB1544,MATCH("Xero Invoice Date",$A$1:$AB$1,0)),"")</f>
        <v/>
      </c>
      <c r="AF1544" s="54">
        <f>IF(AND(IFERROR(INDEX($A1544:$AB1544,MATCH("Xero Invoice No",$A$1:$AB$1,0)),"")&amp;""&lt;&gt;"",ISNUMBER(AE1544),AD1544&lt;&gt;0),1,0)</f>
        <v/>
      </c>
      <c r="AG1544" s="55">
        <f>IF(AF1544=1,EOMONTH(AE1544,0),"")</f>
        <v/>
      </c>
      <c r="AH1544" s="9">
        <f>IF(AF1544=1,UPPER(TRIM(IFERROR(INDEX($A1544:$AB1544,MATCH("Client",$A$1:$AB$1,0)),"")&amp;"")),"")</f>
        <v/>
      </c>
      <c r="AI1544" s="9">
        <f>IF(AF1544=1,IFERROR(INDEX($A1544:$AB1544,MATCH("Cost Centre",$A$1:$AB$1,0)),"")&amp;"","")</f>
        <v/>
      </c>
      <c r="AJ1544" s="54">
        <f>IF(AND(AF1544=1,AE1544&gt;=set_FYStart,AE1544&lt;=set_AsAt),1,0)</f>
        <v/>
      </c>
      <c r="AK1544" s="54">
        <f>IF(AND(AJ1544=1,AH1544&lt;&gt;"",COUNTIFS($AH$2:AH1544,AH1544,$AJ$2:AJ1544,1)=1),N(AL1543)+1,"")</f>
        <v/>
      </c>
      <c r="AL1544" s="54">
        <f>IF(AK1544&lt;&gt;"",AK1544,N(AL1543))</f>
        <v/>
      </c>
    </row>
    <row r="1545">
      <c r="A1545" t="inlineStr">
        <is>
          <t>PRD-0515</t>
        </is>
      </c>
      <c r="B1545" t="inlineStr">
        <is>
          <t>Production</t>
        </is>
      </c>
      <c r="AB1545" t="n">
        <v>515</v>
      </c>
      <c r="AD1545" s="52">
        <f>IFERROR(N(IFERROR(INDEX($A1545:$AB1545,MATCH("Xero Invoiced Ex GST",$A$1:$AB$1,0)),"")),0)</f>
        <v/>
      </c>
      <c r="AE1545" s="53">
        <f>IFERROR(INDEX($A1545:$AB1545,MATCH("Xero Invoice Date",$A$1:$AB$1,0)),"")</f>
        <v/>
      </c>
      <c r="AF1545" s="54">
        <f>IF(AND(IFERROR(INDEX($A1545:$AB1545,MATCH("Xero Invoice No",$A$1:$AB$1,0)),"")&amp;""&lt;&gt;"",ISNUMBER(AE1545),AD1545&lt;&gt;0),1,0)</f>
        <v/>
      </c>
      <c r="AG1545" s="55">
        <f>IF(AF1545=1,EOMONTH(AE1545,0),"")</f>
        <v/>
      </c>
      <c r="AH1545" s="9">
        <f>IF(AF1545=1,UPPER(TRIM(IFERROR(INDEX($A1545:$AB1545,MATCH("Client",$A$1:$AB$1,0)),"")&amp;"")),"")</f>
        <v/>
      </c>
      <c r="AI1545" s="9">
        <f>IF(AF1545=1,IFERROR(INDEX($A1545:$AB1545,MATCH("Cost Centre",$A$1:$AB$1,0)),"")&amp;"","")</f>
        <v/>
      </c>
      <c r="AJ1545" s="54">
        <f>IF(AND(AF1545=1,AE1545&gt;=set_FYStart,AE1545&lt;=set_AsAt),1,0)</f>
        <v/>
      </c>
      <c r="AK1545" s="54">
        <f>IF(AND(AJ1545=1,AH1545&lt;&gt;"",COUNTIFS($AH$2:AH1545,AH1545,$AJ$2:AJ1545,1)=1),N(AL1544)+1,"")</f>
        <v/>
      </c>
      <c r="AL1545" s="54">
        <f>IF(AK1545&lt;&gt;"",AK1545,N(AL1544))</f>
        <v/>
      </c>
    </row>
    <row r="1546">
      <c r="A1546" t="inlineStr">
        <is>
          <t>CON-0515</t>
        </is>
      </c>
      <c r="B1546" t="inlineStr">
        <is>
          <t>Consulting</t>
        </is>
      </c>
      <c r="AB1546" t="n">
        <v>515</v>
      </c>
      <c r="AD1546" s="52">
        <f>IFERROR(N(IFERROR(INDEX($A1546:$AB1546,MATCH("Xero Invoiced Ex GST",$A$1:$AB$1,0)),"")),0)</f>
        <v/>
      </c>
      <c r="AE1546" s="53">
        <f>IFERROR(INDEX($A1546:$AB1546,MATCH("Xero Invoice Date",$A$1:$AB$1,0)),"")</f>
        <v/>
      </c>
      <c r="AF1546" s="54">
        <f>IF(AND(IFERROR(INDEX($A1546:$AB1546,MATCH("Xero Invoice No",$A$1:$AB$1,0)),"")&amp;""&lt;&gt;"",ISNUMBER(AE1546),AD1546&lt;&gt;0),1,0)</f>
        <v/>
      </c>
      <c r="AG1546" s="55">
        <f>IF(AF1546=1,EOMONTH(AE1546,0),"")</f>
        <v/>
      </c>
      <c r="AH1546" s="9">
        <f>IF(AF1546=1,UPPER(TRIM(IFERROR(INDEX($A1546:$AB1546,MATCH("Client",$A$1:$AB$1,0)),"")&amp;"")),"")</f>
        <v/>
      </c>
      <c r="AI1546" s="9">
        <f>IF(AF1546=1,IFERROR(INDEX($A1546:$AB1546,MATCH("Cost Centre",$A$1:$AB$1,0)),"")&amp;"","")</f>
        <v/>
      </c>
      <c r="AJ1546" s="54">
        <f>IF(AND(AF1546=1,AE1546&gt;=set_FYStart,AE1546&lt;=set_AsAt),1,0)</f>
        <v/>
      </c>
      <c r="AK1546" s="54">
        <f>IF(AND(AJ1546=1,AH1546&lt;&gt;"",COUNTIFS($AH$2:AH1546,AH1546,$AJ$2:AJ1546,1)=1),N(AL1545)+1,"")</f>
        <v/>
      </c>
      <c r="AL1546" s="54">
        <f>IF(AK1546&lt;&gt;"",AK1546,N(AL1545))</f>
        <v/>
      </c>
    </row>
    <row r="1547">
      <c r="A1547" t="inlineStr">
        <is>
          <t>ONS-0516</t>
        </is>
      </c>
      <c r="B1547" t="inlineStr">
        <is>
          <t>Onsite</t>
        </is>
      </c>
      <c r="AB1547" t="n">
        <v>516</v>
      </c>
      <c r="AD1547" s="52">
        <f>IFERROR(N(IFERROR(INDEX($A1547:$AB1547,MATCH("Xero Invoiced Ex GST",$A$1:$AB$1,0)),"")),0)</f>
        <v/>
      </c>
      <c r="AE1547" s="53">
        <f>IFERROR(INDEX($A1547:$AB1547,MATCH("Xero Invoice Date",$A$1:$AB$1,0)),"")</f>
        <v/>
      </c>
      <c r="AF1547" s="54">
        <f>IF(AND(IFERROR(INDEX($A1547:$AB1547,MATCH("Xero Invoice No",$A$1:$AB$1,0)),"")&amp;""&lt;&gt;"",ISNUMBER(AE1547),AD1547&lt;&gt;0),1,0)</f>
        <v/>
      </c>
      <c r="AG1547" s="55">
        <f>IF(AF1547=1,EOMONTH(AE1547,0),"")</f>
        <v/>
      </c>
      <c r="AH1547" s="9">
        <f>IF(AF1547=1,UPPER(TRIM(IFERROR(INDEX($A1547:$AB1547,MATCH("Client",$A$1:$AB$1,0)),"")&amp;"")),"")</f>
        <v/>
      </c>
      <c r="AI1547" s="9">
        <f>IF(AF1547=1,IFERROR(INDEX($A1547:$AB1547,MATCH("Cost Centre",$A$1:$AB$1,0)),"")&amp;"","")</f>
        <v/>
      </c>
      <c r="AJ1547" s="54">
        <f>IF(AND(AF1547=1,AE1547&gt;=set_FYStart,AE1547&lt;=set_AsAt),1,0)</f>
        <v/>
      </c>
      <c r="AK1547" s="54">
        <f>IF(AND(AJ1547=1,AH1547&lt;&gt;"",COUNTIFS($AH$2:AH1547,AH1547,$AJ$2:AJ1547,1)=1),N(AL1546)+1,"")</f>
        <v/>
      </c>
      <c r="AL1547" s="54">
        <f>IF(AK1547&lt;&gt;"",AK1547,N(AL1546))</f>
        <v/>
      </c>
    </row>
    <row r="1548">
      <c r="A1548" t="inlineStr">
        <is>
          <t>PRD-0516</t>
        </is>
      </c>
      <c r="B1548" t="inlineStr">
        <is>
          <t>Production</t>
        </is>
      </c>
      <c r="AB1548" t="n">
        <v>516</v>
      </c>
      <c r="AD1548" s="52">
        <f>IFERROR(N(IFERROR(INDEX($A1548:$AB1548,MATCH("Xero Invoiced Ex GST",$A$1:$AB$1,0)),"")),0)</f>
        <v/>
      </c>
      <c r="AE1548" s="53">
        <f>IFERROR(INDEX($A1548:$AB1548,MATCH("Xero Invoice Date",$A$1:$AB$1,0)),"")</f>
        <v/>
      </c>
      <c r="AF1548" s="54">
        <f>IF(AND(IFERROR(INDEX($A1548:$AB1548,MATCH("Xero Invoice No",$A$1:$AB$1,0)),"")&amp;""&lt;&gt;"",ISNUMBER(AE1548),AD1548&lt;&gt;0),1,0)</f>
        <v/>
      </c>
      <c r="AG1548" s="55">
        <f>IF(AF1548=1,EOMONTH(AE1548,0),"")</f>
        <v/>
      </c>
      <c r="AH1548" s="9">
        <f>IF(AF1548=1,UPPER(TRIM(IFERROR(INDEX($A1548:$AB1548,MATCH("Client",$A$1:$AB$1,0)),"")&amp;"")),"")</f>
        <v/>
      </c>
      <c r="AI1548" s="9">
        <f>IF(AF1548=1,IFERROR(INDEX($A1548:$AB1548,MATCH("Cost Centre",$A$1:$AB$1,0)),"")&amp;"","")</f>
        <v/>
      </c>
      <c r="AJ1548" s="54">
        <f>IF(AND(AF1548=1,AE1548&gt;=set_FYStart,AE1548&lt;=set_AsAt),1,0)</f>
        <v/>
      </c>
      <c r="AK1548" s="54">
        <f>IF(AND(AJ1548=1,AH1548&lt;&gt;"",COUNTIFS($AH$2:AH1548,AH1548,$AJ$2:AJ1548,1)=1),N(AL1547)+1,"")</f>
        <v/>
      </c>
      <c r="AL1548" s="54">
        <f>IF(AK1548&lt;&gt;"",AK1548,N(AL1547))</f>
        <v/>
      </c>
    </row>
    <row r="1549">
      <c r="A1549" t="inlineStr">
        <is>
          <t>CON-0516</t>
        </is>
      </c>
      <c r="B1549" t="inlineStr">
        <is>
          <t>Consulting</t>
        </is>
      </c>
      <c r="AB1549" t="n">
        <v>516</v>
      </c>
      <c r="AD1549" s="52">
        <f>IFERROR(N(IFERROR(INDEX($A1549:$AB1549,MATCH("Xero Invoiced Ex GST",$A$1:$AB$1,0)),"")),0)</f>
        <v/>
      </c>
      <c r="AE1549" s="53">
        <f>IFERROR(INDEX($A1549:$AB1549,MATCH("Xero Invoice Date",$A$1:$AB$1,0)),"")</f>
        <v/>
      </c>
      <c r="AF1549" s="54">
        <f>IF(AND(IFERROR(INDEX($A1549:$AB1549,MATCH("Xero Invoice No",$A$1:$AB$1,0)),"")&amp;""&lt;&gt;"",ISNUMBER(AE1549),AD1549&lt;&gt;0),1,0)</f>
        <v/>
      </c>
      <c r="AG1549" s="55">
        <f>IF(AF1549=1,EOMONTH(AE1549,0),"")</f>
        <v/>
      </c>
      <c r="AH1549" s="9">
        <f>IF(AF1549=1,UPPER(TRIM(IFERROR(INDEX($A1549:$AB1549,MATCH("Client",$A$1:$AB$1,0)),"")&amp;"")),"")</f>
        <v/>
      </c>
      <c r="AI1549" s="9">
        <f>IF(AF1549=1,IFERROR(INDEX($A1549:$AB1549,MATCH("Cost Centre",$A$1:$AB$1,0)),"")&amp;"","")</f>
        <v/>
      </c>
      <c r="AJ1549" s="54">
        <f>IF(AND(AF1549=1,AE1549&gt;=set_FYStart,AE1549&lt;=set_AsAt),1,0)</f>
        <v/>
      </c>
      <c r="AK1549" s="54">
        <f>IF(AND(AJ1549=1,AH1549&lt;&gt;"",COUNTIFS($AH$2:AH1549,AH1549,$AJ$2:AJ1549,1)=1),N(AL1548)+1,"")</f>
        <v/>
      </c>
      <c r="AL1549" s="54">
        <f>IF(AK1549&lt;&gt;"",AK1549,N(AL1548))</f>
        <v/>
      </c>
    </row>
    <row r="1550">
      <c r="A1550" t="inlineStr">
        <is>
          <t>ONS-0517</t>
        </is>
      </c>
      <c r="B1550" t="inlineStr">
        <is>
          <t>Onsite</t>
        </is>
      </c>
      <c r="AB1550" t="n">
        <v>517</v>
      </c>
      <c r="AD1550" s="52">
        <f>IFERROR(N(IFERROR(INDEX($A1550:$AB1550,MATCH("Xero Invoiced Ex GST",$A$1:$AB$1,0)),"")),0)</f>
        <v/>
      </c>
      <c r="AE1550" s="53">
        <f>IFERROR(INDEX($A1550:$AB1550,MATCH("Xero Invoice Date",$A$1:$AB$1,0)),"")</f>
        <v/>
      </c>
      <c r="AF1550" s="54">
        <f>IF(AND(IFERROR(INDEX($A1550:$AB1550,MATCH("Xero Invoice No",$A$1:$AB$1,0)),"")&amp;""&lt;&gt;"",ISNUMBER(AE1550),AD1550&lt;&gt;0),1,0)</f>
        <v/>
      </c>
      <c r="AG1550" s="55">
        <f>IF(AF1550=1,EOMONTH(AE1550,0),"")</f>
        <v/>
      </c>
      <c r="AH1550" s="9">
        <f>IF(AF1550=1,UPPER(TRIM(IFERROR(INDEX($A1550:$AB1550,MATCH("Client",$A$1:$AB$1,0)),"")&amp;"")),"")</f>
        <v/>
      </c>
      <c r="AI1550" s="9">
        <f>IF(AF1550=1,IFERROR(INDEX($A1550:$AB1550,MATCH("Cost Centre",$A$1:$AB$1,0)),"")&amp;"","")</f>
        <v/>
      </c>
      <c r="AJ1550" s="54">
        <f>IF(AND(AF1550=1,AE1550&gt;=set_FYStart,AE1550&lt;=set_AsAt),1,0)</f>
        <v/>
      </c>
      <c r="AK1550" s="54">
        <f>IF(AND(AJ1550=1,AH1550&lt;&gt;"",COUNTIFS($AH$2:AH1550,AH1550,$AJ$2:AJ1550,1)=1),N(AL1549)+1,"")</f>
        <v/>
      </c>
      <c r="AL1550" s="54">
        <f>IF(AK1550&lt;&gt;"",AK1550,N(AL1549))</f>
        <v/>
      </c>
    </row>
    <row r="1551">
      <c r="A1551" t="inlineStr">
        <is>
          <t>PRD-0517</t>
        </is>
      </c>
      <c r="B1551" t="inlineStr">
        <is>
          <t>Production</t>
        </is>
      </c>
      <c r="AB1551" t="n">
        <v>517</v>
      </c>
      <c r="AD1551" s="52">
        <f>IFERROR(N(IFERROR(INDEX($A1551:$AB1551,MATCH("Xero Invoiced Ex GST",$A$1:$AB$1,0)),"")),0)</f>
        <v/>
      </c>
      <c r="AE1551" s="53">
        <f>IFERROR(INDEX($A1551:$AB1551,MATCH("Xero Invoice Date",$A$1:$AB$1,0)),"")</f>
        <v/>
      </c>
      <c r="AF1551" s="54">
        <f>IF(AND(IFERROR(INDEX($A1551:$AB1551,MATCH("Xero Invoice No",$A$1:$AB$1,0)),"")&amp;""&lt;&gt;"",ISNUMBER(AE1551),AD1551&lt;&gt;0),1,0)</f>
        <v/>
      </c>
      <c r="AG1551" s="55">
        <f>IF(AF1551=1,EOMONTH(AE1551,0),"")</f>
        <v/>
      </c>
      <c r="AH1551" s="9">
        <f>IF(AF1551=1,UPPER(TRIM(IFERROR(INDEX($A1551:$AB1551,MATCH("Client",$A$1:$AB$1,0)),"")&amp;"")),"")</f>
        <v/>
      </c>
      <c r="AI1551" s="9">
        <f>IF(AF1551=1,IFERROR(INDEX($A1551:$AB1551,MATCH("Cost Centre",$A$1:$AB$1,0)),"")&amp;"","")</f>
        <v/>
      </c>
      <c r="AJ1551" s="54">
        <f>IF(AND(AF1551=1,AE1551&gt;=set_FYStart,AE1551&lt;=set_AsAt),1,0)</f>
        <v/>
      </c>
      <c r="AK1551" s="54">
        <f>IF(AND(AJ1551=1,AH1551&lt;&gt;"",COUNTIFS($AH$2:AH1551,AH1551,$AJ$2:AJ1551,1)=1),N(AL1550)+1,"")</f>
        <v/>
      </c>
      <c r="AL1551" s="54">
        <f>IF(AK1551&lt;&gt;"",AK1551,N(AL1550))</f>
        <v/>
      </c>
    </row>
    <row r="1552">
      <c r="A1552" t="inlineStr">
        <is>
          <t>CON-0517</t>
        </is>
      </c>
      <c r="B1552" t="inlineStr">
        <is>
          <t>Consulting</t>
        </is>
      </c>
      <c r="AB1552" t="n">
        <v>517</v>
      </c>
      <c r="AD1552" s="52">
        <f>IFERROR(N(IFERROR(INDEX($A1552:$AB1552,MATCH("Xero Invoiced Ex GST",$A$1:$AB$1,0)),"")),0)</f>
        <v/>
      </c>
      <c r="AE1552" s="53">
        <f>IFERROR(INDEX($A1552:$AB1552,MATCH("Xero Invoice Date",$A$1:$AB$1,0)),"")</f>
        <v/>
      </c>
      <c r="AF1552" s="54">
        <f>IF(AND(IFERROR(INDEX($A1552:$AB1552,MATCH("Xero Invoice No",$A$1:$AB$1,0)),"")&amp;""&lt;&gt;"",ISNUMBER(AE1552),AD1552&lt;&gt;0),1,0)</f>
        <v/>
      </c>
      <c r="AG1552" s="55">
        <f>IF(AF1552=1,EOMONTH(AE1552,0),"")</f>
        <v/>
      </c>
      <c r="AH1552" s="9">
        <f>IF(AF1552=1,UPPER(TRIM(IFERROR(INDEX($A1552:$AB1552,MATCH("Client",$A$1:$AB$1,0)),"")&amp;"")),"")</f>
        <v/>
      </c>
      <c r="AI1552" s="9">
        <f>IF(AF1552=1,IFERROR(INDEX($A1552:$AB1552,MATCH("Cost Centre",$A$1:$AB$1,0)),"")&amp;"","")</f>
        <v/>
      </c>
      <c r="AJ1552" s="54">
        <f>IF(AND(AF1552=1,AE1552&gt;=set_FYStart,AE1552&lt;=set_AsAt),1,0)</f>
        <v/>
      </c>
      <c r="AK1552" s="54">
        <f>IF(AND(AJ1552=1,AH1552&lt;&gt;"",COUNTIFS($AH$2:AH1552,AH1552,$AJ$2:AJ1552,1)=1),N(AL1551)+1,"")</f>
        <v/>
      </c>
      <c r="AL1552" s="54">
        <f>IF(AK1552&lt;&gt;"",AK1552,N(AL1551))</f>
        <v/>
      </c>
    </row>
    <row r="1553">
      <c r="A1553" t="inlineStr">
        <is>
          <t>ONS-0518</t>
        </is>
      </c>
      <c r="B1553" t="inlineStr">
        <is>
          <t>Onsite</t>
        </is>
      </c>
      <c r="AB1553" t="n">
        <v>518</v>
      </c>
      <c r="AD1553" s="52">
        <f>IFERROR(N(IFERROR(INDEX($A1553:$AB1553,MATCH("Xero Invoiced Ex GST",$A$1:$AB$1,0)),"")),0)</f>
        <v/>
      </c>
      <c r="AE1553" s="53">
        <f>IFERROR(INDEX($A1553:$AB1553,MATCH("Xero Invoice Date",$A$1:$AB$1,0)),"")</f>
        <v/>
      </c>
      <c r="AF1553" s="54">
        <f>IF(AND(IFERROR(INDEX($A1553:$AB1553,MATCH("Xero Invoice No",$A$1:$AB$1,0)),"")&amp;""&lt;&gt;"",ISNUMBER(AE1553),AD1553&lt;&gt;0),1,0)</f>
        <v/>
      </c>
      <c r="AG1553" s="55">
        <f>IF(AF1553=1,EOMONTH(AE1553,0),"")</f>
        <v/>
      </c>
      <c r="AH1553" s="9">
        <f>IF(AF1553=1,UPPER(TRIM(IFERROR(INDEX($A1553:$AB1553,MATCH("Client",$A$1:$AB$1,0)),"")&amp;"")),"")</f>
        <v/>
      </c>
      <c r="AI1553" s="9">
        <f>IF(AF1553=1,IFERROR(INDEX($A1553:$AB1553,MATCH("Cost Centre",$A$1:$AB$1,0)),"")&amp;"","")</f>
        <v/>
      </c>
      <c r="AJ1553" s="54">
        <f>IF(AND(AF1553=1,AE1553&gt;=set_FYStart,AE1553&lt;=set_AsAt),1,0)</f>
        <v/>
      </c>
      <c r="AK1553" s="54">
        <f>IF(AND(AJ1553=1,AH1553&lt;&gt;"",COUNTIFS($AH$2:AH1553,AH1553,$AJ$2:AJ1553,1)=1),N(AL1552)+1,"")</f>
        <v/>
      </c>
      <c r="AL1553" s="54">
        <f>IF(AK1553&lt;&gt;"",AK1553,N(AL1552))</f>
        <v/>
      </c>
    </row>
    <row r="1554">
      <c r="A1554" t="inlineStr">
        <is>
          <t>PRD-0518</t>
        </is>
      </c>
      <c r="B1554" t="inlineStr">
        <is>
          <t>Production</t>
        </is>
      </c>
      <c r="AB1554" t="n">
        <v>518</v>
      </c>
      <c r="AD1554" s="52">
        <f>IFERROR(N(IFERROR(INDEX($A1554:$AB1554,MATCH("Xero Invoiced Ex GST",$A$1:$AB$1,0)),"")),0)</f>
        <v/>
      </c>
      <c r="AE1554" s="53">
        <f>IFERROR(INDEX($A1554:$AB1554,MATCH("Xero Invoice Date",$A$1:$AB$1,0)),"")</f>
        <v/>
      </c>
      <c r="AF1554" s="54">
        <f>IF(AND(IFERROR(INDEX($A1554:$AB1554,MATCH("Xero Invoice No",$A$1:$AB$1,0)),"")&amp;""&lt;&gt;"",ISNUMBER(AE1554),AD1554&lt;&gt;0),1,0)</f>
        <v/>
      </c>
      <c r="AG1554" s="55">
        <f>IF(AF1554=1,EOMONTH(AE1554,0),"")</f>
        <v/>
      </c>
      <c r="AH1554" s="9">
        <f>IF(AF1554=1,UPPER(TRIM(IFERROR(INDEX($A1554:$AB1554,MATCH("Client",$A$1:$AB$1,0)),"")&amp;"")),"")</f>
        <v/>
      </c>
      <c r="AI1554" s="9">
        <f>IF(AF1554=1,IFERROR(INDEX($A1554:$AB1554,MATCH("Cost Centre",$A$1:$AB$1,0)),"")&amp;"","")</f>
        <v/>
      </c>
      <c r="AJ1554" s="54">
        <f>IF(AND(AF1554=1,AE1554&gt;=set_FYStart,AE1554&lt;=set_AsAt),1,0)</f>
        <v/>
      </c>
      <c r="AK1554" s="54">
        <f>IF(AND(AJ1554=1,AH1554&lt;&gt;"",COUNTIFS($AH$2:AH1554,AH1554,$AJ$2:AJ1554,1)=1),N(AL1553)+1,"")</f>
        <v/>
      </c>
      <c r="AL1554" s="54">
        <f>IF(AK1554&lt;&gt;"",AK1554,N(AL1553))</f>
        <v/>
      </c>
    </row>
    <row r="1555">
      <c r="A1555" t="inlineStr">
        <is>
          <t>CON-0518</t>
        </is>
      </c>
      <c r="B1555" t="inlineStr">
        <is>
          <t>Consulting</t>
        </is>
      </c>
      <c r="AB1555" t="n">
        <v>518</v>
      </c>
      <c r="AD1555" s="52">
        <f>IFERROR(N(IFERROR(INDEX($A1555:$AB1555,MATCH("Xero Invoiced Ex GST",$A$1:$AB$1,0)),"")),0)</f>
        <v/>
      </c>
      <c r="AE1555" s="53">
        <f>IFERROR(INDEX($A1555:$AB1555,MATCH("Xero Invoice Date",$A$1:$AB$1,0)),"")</f>
        <v/>
      </c>
      <c r="AF1555" s="54">
        <f>IF(AND(IFERROR(INDEX($A1555:$AB1555,MATCH("Xero Invoice No",$A$1:$AB$1,0)),"")&amp;""&lt;&gt;"",ISNUMBER(AE1555),AD1555&lt;&gt;0),1,0)</f>
        <v/>
      </c>
      <c r="AG1555" s="55">
        <f>IF(AF1555=1,EOMONTH(AE1555,0),"")</f>
        <v/>
      </c>
      <c r="AH1555" s="9">
        <f>IF(AF1555=1,UPPER(TRIM(IFERROR(INDEX($A1555:$AB1555,MATCH("Client",$A$1:$AB$1,0)),"")&amp;"")),"")</f>
        <v/>
      </c>
      <c r="AI1555" s="9">
        <f>IF(AF1555=1,IFERROR(INDEX($A1555:$AB1555,MATCH("Cost Centre",$A$1:$AB$1,0)),"")&amp;"","")</f>
        <v/>
      </c>
      <c r="AJ1555" s="54">
        <f>IF(AND(AF1555=1,AE1555&gt;=set_FYStart,AE1555&lt;=set_AsAt),1,0)</f>
        <v/>
      </c>
      <c r="AK1555" s="54">
        <f>IF(AND(AJ1555=1,AH1555&lt;&gt;"",COUNTIFS($AH$2:AH1555,AH1555,$AJ$2:AJ1555,1)=1),N(AL1554)+1,"")</f>
        <v/>
      </c>
      <c r="AL1555" s="54">
        <f>IF(AK1555&lt;&gt;"",AK1555,N(AL1554))</f>
        <v/>
      </c>
    </row>
    <row r="1556">
      <c r="A1556" t="inlineStr">
        <is>
          <t>ONS-0519</t>
        </is>
      </c>
      <c r="B1556" t="inlineStr">
        <is>
          <t>Onsite</t>
        </is>
      </c>
      <c r="AB1556" t="n">
        <v>519</v>
      </c>
      <c r="AD1556" s="52">
        <f>IFERROR(N(IFERROR(INDEX($A1556:$AB1556,MATCH("Xero Invoiced Ex GST",$A$1:$AB$1,0)),"")),0)</f>
        <v/>
      </c>
      <c r="AE1556" s="53">
        <f>IFERROR(INDEX($A1556:$AB1556,MATCH("Xero Invoice Date",$A$1:$AB$1,0)),"")</f>
        <v/>
      </c>
      <c r="AF1556" s="54">
        <f>IF(AND(IFERROR(INDEX($A1556:$AB1556,MATCH("Xero Invoice No",$A$1:$AB$1,0)),"")&amp;""&lt;&gt;"",ISNUMBER(AE1556),AD1556&lt;&gt;0),1,0)</f>
        <v/>
      </c>
      <c r="AG1556" s="55">
        <f>IF(AF1556=1,EOMONTH(AE1556,0),"")</f>
        <v/>
      </c>
      <c r="AH1556" s="9">
        <f>IF(AF1556=1,UPPER(TRIM(IFERROR(INDEX($A1556:$AB1556,MATCH("Client",$A$1:$AB$1,0)),"")&amp;"")),"")</f>
        <v/>
      </c>
      <c r="AI1556" s="9">
        <f>IF(AF1556=1,IFERROR(INDEX($A1556:$AB1556,MATCH("Cost Centre",$A$1:$AB$1,0)),"")&amp;"","")</f>
        <v/>
      </c>
      <c r="AJ1556" s="54">
        <f>IF(AND(AF1556=1,AE1556&gt;=set_FYStart,AE1556&lt;=set_AsAt),1,0)</f>
        <v/>
      </c>
      <c r="AK1556" s="54">
        <f>IF(AND(AJ1556=1,AH1556&lt;&gt;"",COUNTIFS($AH$2:AH1556,AH1556,$AJ$2:AJ1556,1)=1),N(AL1555)+1,"")</f>
        <v/>
      </c>
      <c r="AL1556" s="54">
        <f>IF(AK1556&lt;&gt;"",AK1556,N(AL1555))</f>
        <v/>
      </c>
    </row>
    <row r="1557">
      <c r="A1557" t="inlineStr">
        <is>
          <t>PRD-0519</t>
        </is>
      </c>
      <c r="B1557" t="inlineStr">
        <is>
          <t>Production</t>
        </is>
      </c>
      <c r="AB1557" t="n">
        <v>519</v>
      </c>
      <c r="AD1557" s="52">
        <f>IFERROR(N(IFERROR(INDEX($A1557:$AB1557,MATCH("Xero Invoiced Ex GST",$A$1:$AB$1,0)),"")),0)</f>
        <v/>
      </c>
      <c r="AE1557" s="53">
        <f>IFERROR(INDEX($A1557:$AB1557,MATCH("Xero Invoice Date",$A$1:$AB$1,0)),"")</f>
        <v/>
      </c>
      <c r="AF1557" s="54">
        <f>IF(AND(IFERROR(INDEX($A1557:$AB1557,MATCH("Xero Invoice No",$A$1:$AB$1,0)),"")&amp;""&lt;&gt;"",ISNUMBER(AE1557),AD1557&lt;&gt;0),1,0)</f>
        <v/>
      </c>
      <c r="AG1557" s="55">
        <f>IF(AF1557=1,EOMONTH(AE1557,0),"")</f>
        <v/>
      </c>
      <c r="AH1557" s="9">
        <f>IF(AF1557=1,UPPER(TRIM(IFERROR(INDEX($A1557:$AB1557,MATCH("Client",$A$1:$AB$1,0)),"")&amp;"")),"")</f>
        <v/>
      </c>
      <c r="AI1557" s="9">
        <f>IF(AF1557=1,IFERROR(INDEX($A1557:$AB1557,MATCH("Cost Centre",$A$1:$AB$1,0)),"")&amp;"","")</f>
        <v/>
      </c>
      <c r="AJ1557" s="54">
        <f>IF(AND(AF1557=1,AE1557&gt;=set_FYStart,AE1557&lt;=set_AsAt),1,0)</f>
        <v/>
      </c>
      <c r="AK1557" s="54">
        <f>IF(AND(AJ1557=1,AH1557&lt;&gt;"",COUNTIFS($AH$2:AH1557,AH1557,$AJ$2:AJ1557,1)=1),N(AL1556)+1,"")</f>
        <v/>
      </c>
      <c r="AL1557" s="54">
        <f>IF(AK1557&lt;&gt;"",AK1557,N(AL1556))</f>
        <v/>
      </c>
    </row>
    <row r="1558">
      <c r="A1558" t="inlineStr">
        <is>
          <t>CON-0519</t>
        </is>
      </c>
      <c r="B1558" t="inlineStr">
        <is>
          <t>Consulting</t>
        </is>
      </c>
      <c r="AB1558" t="n">
        <v>519</v>
      </c>
      <c r="AD1558" s="52">
        <f>IFERROR(N(IFERROR(INDEX($A1558:$AB1558,MATCH("Xero Invoiced Ex GST",$A$1:$AB$1,0)),"")),0)</f>
        <v/>
      </c>
      <c r="AE1558" s="53">
        <f>IFERROR(INDEX($A1558:$AB1558,MATCH("Xero Invoice Date",$A$1:$AB$1,0)),"")</f>
        <v/>
      </c>
      <c r="AF1558" s="54">
        <f>IF(AND(IFERROR(INDEX($A1558:$AB1558,MATCH("Xero Invoice No",$A$1:$AB$1,0)),"")&amp;""&lt;&gt;"",ISNUMBER(AE1558),AD1558&lt;&gt;0),1,0)</f>
        <v/>
      </c>
      <c r="AG1558" s="55">
        <f>IF(AF1558=1,EOMONTH(AE1558,0),"")</f>
        <v/>
      </c>
      <c r="AH1558" s="9">
        <f>IF(AF1558=1,UPPER(TRIM(IFERROR(INDEX($A1558:$AB1558,MATCH("Client",$A$1:$AB$1,0)),"")&amp;"")),"")</f>
        <v/>
      </c>
      <c r="AI1558" s="9">
        <f>IF(AF1558=1,IFERROR(INDEX($A1558:$AB1558,MATCH("Cost Centre",$A$1:$AB$1,0)),"")&amp;"","")</f>
        <v/>
      </c>
      <c r="AJ1558" s="54">
        <f>IF(AND(AF1558=1,AE1558&gt;=set_FYStart,AE1558&lt;=set_AsAt),1,0)</f>
        <v/>
      </c>
      <c r="AK1558" s="54">
        <f>IF(AND(AJ1558=1,AH1558&lt;&gt;"",COUNTIFS($AH$2:AH1558,AH1558,$AJ$2:AJ1558,1)=1),N(AL1557)+1,"")</f>
        <v/>
      </c>
      <c r="AL1558" s="54">
        <f>IF(AK1558&lt;&gt;"",AK1558,N(AL1557))</f>
        <v/>
      </c>
    </row>
    <row r="1559">
      <c r="A1559" t="inlineStr">
        <is>
          <t>ONS-0520</t>
        </is>
      </c>
      <c r="B1559" t="inlineStr">
        <is>
          <t>Onsite</t>
        </is>
      </c>
      <c r="AB1559" t="n">
        <v>520</v>
      </c>
      <c r="AD1559" s="52">
        <f>IFERROR(N(IFERROR(INDEX($A1559:$AB1559,MATCH("Xero Invoiced Ex GST",$A$1:$AB$1,0)),"")),0)</f>
        <v/>
      </c>
      <c r="AE1559" s="53">
        <f>IFERROR(INDEX($A1559:$AB1559,MATCH("Xero Invoice Date",$A$1:$AB$1,0)),"")</f>
        <v/>
      </c>
      <c r="AF1559" s="54">
        <f>IF(AND(IFERROR(INDEX($A1559:$AB1559,MATCH("Xero Invoice No",$A$1:$AB$1,0)),"")&amp;""&lt;&gt;"",ISNUMBER(AE1559),AD1559&lt;&gt;0),1,0)</f>
        <v/>
      </c>
      <c r="AG1559" s="55">
        <f>IF(AF1559=1,EOMONTH(AE1559,0),"")</f>
        <v/>
      </c>
      <c r="AH1559" s="9">
        <f>IF(AF1559=1,UPPER(TRIM(IFERROR(INDEX($A1559:$AB1559,MATCH("Client",$A$1:$AB$1,0)),"")&amp;"")),"")</f>
        <v/>
      </c>
      <c r="AI1559" s="9">
        <f>IF(AF1559=1,IFERROR(INDEX($A1559:$AB1559,MATCH("Cost Centre",$A$1:$AB$1,0)),"")&amp;"","")</f>
        <v/>
      </c>
      <c r="AJ1559" s="54">
        <f>IF(AND(AF1559=1,AE1559&gt;=set_FYStart,AE1559&lt;=set_AsAt),1,0)</f>
        <v/>
      </c>
      <c r="AK1559" s="54">
        <f>IF(AND(AJ1559=1,AH1559&lt;&gt;"",COUNTIFS($AH$2:AH1559,AH1559,$AJ$2:AJ1559,1)=1),N(AL1558)+1,"")</f>
        <v/>
      </c>
      <c r="AL1559" s="54">
        <f>IF(AK1559&lt;&gt;"",AK1559,N(AL1558))</f>
        <v/>
      </c>
    </row>
    <row r="1560">
      <c r="A1560" t="inlineStr">
        <is>
          <t>PRD-0520</t>
        </is>
      </c>
      <c r="B1560" t="inlineStr">
        <is>
          <t>Production</t>
        </is>
      </c>
      <c r="AB1560" t="n">
        <v>520</v>
      </c>
      <c r="AD1560" s="52">
        <f>IFERROR(N(IFERROR(INDEX($A1560:$AB1560,MATCH("Xero Invoiced Ex GST",$A$1:$AB$1,0)),"")),0)</f>
        <v/>
      </c>
      <c r="AE1560" s="53">
        <f>IFERROR(INDEX($A1560:$AB1560,MATCH("Xero Invoice Date",$A$1:$AB$1,0)),"")</f>
        <v/>
      </c>
      <c r="AF1560" s="54">
        <f>IF(AND(IFERROR(INDEX($A1560:$AB1560,MATCH("Xero Invoice No",$A$1:$AB$1,0)),"")&amp;""&lt;&gt;"",ISNUMBER(AE1560),AD1560&lt;&gt;0),1,0)</f>
        <v/>
      </c>
      <c r="AG1560" s="55">
        <f>IF(AF1560=1,EOMONTH(AE1560,0),"")</f>
        <v/>
      </c>
      <c r="AH1560" s="9">
        <f>IF(AF1560=1,UPPER(TRIM(IFERROR(INDEX($A1560:$AB1560,MATCH("Client",$A$1:$AB$1,0)),"")&amp;"")),"")</f>
        <v/>
      </c>
      <c r="AI1560" s="9">
        <f>IF(AF1560=1,IFERROR(INDEX($A1560:$AB1560,MATCH("Cost Centre",$A$1:$AB$1,0)),"")&amp;"","")</f>
        <v/>
      </c>
      <c r="AJ1560" s="54">
        <f>IF(AND(AF1560=1,AE1560&gt;=set_FYStart,AE1560&lt;=set_AsAt),1,0)</f>
        <v/>
      </c>
      <c r="AK1560" s="54">
        <f>IF(AND(AJ1560=1,AH1560&lt;&gt;"",COUNTIFS($AH$2:AH1560,AH1560,$AJ$2:AJ1560,1)=1),N(AL1559)+1,"")</f>
        <v/>
      </c>
      <c r="AL1560" s="54">
        <f>IF(AK1560&lt;&gt;"",AK1560,N(AL1559))</f>
        <v/>
      </c>
    </row>
    <row r="1561">
      <c r="A1561" t="inlineStr">
        <is>
          <t>CON-0520</t>
        </is>
      </c>
      <c r="B1561" t="inlineStr">
        <is>
          <t>Consulting</t>
        </is>
      </c>
      <c r="AB1561" t="n">
        <v>520</v>
      </c>
      <c r="AD1561" s="52">
        <f>IFERROR(N(IFERROR(INDEX($A1561:$AB1561,MATCH("Xero Invoiced Ex GST",$A$1:$AB$1,0)),"")),0)</f>
        <v/>
      </c>
      <c r="AE1561" s="53">
        <f>IFERROR(INDEX($A1561:$AB1561,MATCH("Xero Invoice Date",$A$1:$AB$1,0)),"")</f>
        <v/>
      </c>
      <c r="AF1561" s="54">
        <f>IF(AND(IFERROR(INDEX($A1561:$AB1561,MATCH("Xero Invoice No",$A$1:$AB$1,0)),"")&amp;""&lt;&gt;"",ISNUMBER(AE1561),AD1561&lt;&gt;0),1,0)</f>
        <v/>
      </c>
      <c r="AG1561" s="55">
        <f>IF(AF1561=1,EOMONTH(AE1561,0),"")</f>
        <v/>
      </c>
      <c r="AH1561" s="9">
        <f>IF(AF1561=1,UPPER(TRIM(IFERROR(INDEX($A1561:$AB1561,MATCH("Client",$A$1:$AB$1,0)),"")&amp;"")),"")</f>
        <v/>
      </c>
      <c r="AI1561" s="9">
        <f>IF(AF1561=1,IFERROR(INDEX($A1561:$AB1561,MATCH("Cost Centre",$A$1:$AB$1,0)),"")&amp;"","")</f>
        <v/>
      </c>
      <c r="AJ1561" s="54">
        <f>IF(AND(AF1561=1,AE1561&gt;=set_FYStart,AE1561&lt;=set_AsAt),1,0)</f>
        <v/>
      </c>
      <c r="AK1561" s="54">
        <f>IF(AND(AJ1561=1,AH1561&lt;&gt;"",COUNTIFS($AH$2:AH1561,AH1561,$AJ$2:AJ1561,1)=1),N(AL1560)+1,"")</f>
        <v/>
      </c>
      <c r="AL1561" s="54">
        <f>IF(AK1561&lt;&gt;"",AK1561,N(AL1560))</f>
        <v/>
      </c>
    </row>
    <row r="1562">
      <c r="A1562" t="inlineStr">
        <is>
          <t>ONS-0521</t>
        </is>
      </c>
      <c r="B1562" t="inlineStr">
        <is>
          <t>Onsite</t>
        </is>
      </c>
      <c r="AB1562" t="n">
        <v>521</v>
      </c>
      <c r="AD1562" s="52">
        <f>IFERROR(N(IFERROR(INDEX($A1562:$AB1562,MATCH("Xero Invoiced Ex GST",$A$1:$AB$1,0)),"")),0)</f>
        <v/>
      </c>
      <c r="AE1562" s="53">
        <f>IFERROR(INDEX($A1562:$AB1562,MATCH("Xero Invoice Date",$A$1:$AB$1,0)),"")</f>
        <v/>
      </c>
      <c r="AF1562" s="54">
        <f>IF(AND(IFERROR(INDEX($A1562:$AB1562,MATCH("Xero Invoice No",$A$1:$AB$1,0)),"")&amp;""&lt;&gt;"",ISNUMBER(AE1562),AD1562&lt;&gt;0),1,0)</f>
        <v/>
      </c>
      <c r="AG1562" s="55">
        <f>IF(AF1562=1,EOMONTH(AE1562,0),"")</f>
        <v/>
      </c>
      <c r="AH1562" s="9">
        <f>IF(AF1562=1,UPPER(TRIM(IFERROR(INDEX($A1562:$AB1562,MATCH("Client",$A$1:$AB$1,0)),"")&amp;"")),"")</f>
        <v/>
      </c>
      <c r="AI1562" s="9">
        <f>IF(AF1562=1,IFERROR(INDEX($A1562:$AB1562,MATCH("Cost Centre",$A$1:$AB$1,0)),"")&amp;"","")</f>
        <v/>
      </c>
      <c r="AJ1562" s="54">
        <f>IF(AND(AF1562=1,AE1562&gt;=set_FYStart,AE1562&lt;=set_AsAt),1,0)</f>
        <v/>
      </c>
      <c r="AK1562" s="54">
        <f>IF(AND(AJ1562=1,AH1562&lt;&gt;"",COUNTIFS($AH$2:AH1562,AH1562,$AJ$2:AJ1562,1)=1),N(AL1561)+1,"")</f>
        <v/>
      </c>
      <c r="AL1562" s="54">
        <f>IF(AK1562&lt;&gt;"",AK1562,N(AL1561))</f>
        <v/>
      </c>
    </row>
    <row r="1563">
      <c r="A1563" t="inlineStr">
        <is>
          <t>PRD-0521</t>
        </is>
      </c>
      <c r="B1563" t="inlineStr">
        <is>
          <t>Production</t>
        </is>
      </c>
      <c r="AB1563" t="n">
        <v>521</v>
      </c>
      <c r="AD1563" s="52">
        <f>IFERROR(N(IFERROR(INDEX($A1563:$AB1563,MATCH("Xero Invoiced Ex GST",$A$1:$AB$1,0)),"")),0)</f>
        <v/>
      </c>
      <c r="AE1563" s="53">
        <f>IFERROR(INDEX($A1563:$AB1563,MATCH("Xero Invoice Date",$A$1:$AB$1,0)),"")</f>
        <v/>
      </c>
      <c r="AF1563" s="54">
        <f>IF(AND(IFERROR(INDEX($A1563:$AB1563,MATCH("Xero Invoice No",$A$1:$AB$1,0)),"")&amp;""&lt;&gt;"",ISNUMBER(AE1563),AD1563&lt;&gt;0),1,0)</f>
        <v/>
      </c>
      <c r="AG1563" s="55">
        <f>IF(AF1563=1,EOMONTH(AE1563,0),"")</f>
        <v/>
      </c>
      <c r="AH1563" s="9">
        <f>IF(AF1563=1,UPPER(TRIM(IFERROR(INDEX($A1563:$AB1563,MATCH("Client",$A$1:$AB$1,0)),"")&amp;"")),"")</f>
        <v/>
      </c>
      <c r="AI1563" s="9">
        <f>IF(AF1563=1,IFERROR(INDEX($A1563:$AB1563,MATCH("Cost Centre",$A$1:$AB$1,0)),"")&amp;"","")</f>
        <v/>
      </c>
      <c r="AJ1563" s="54">
        <f>IF(AND(AF1563=1,AE1563&gt;=set_FYStart,AE1563&lt;=set_AsAt),1,0)</f>
        <v/>
      </c>
      <c r="AK1563" s="54">
        <f>IF(AND(AJ1563=1,AH1563&lt;&gt;"",COUNTIFS($AH$2:AH1563,AH1563,$AJ$2:AJ1563,1)=1),N(AL1562)+1,"")</f>
        <v/>
      </c>
      <c r="AL1563" s="54">
        <f>IF(AK1563&lt;&gt;"",AK1563,N(AL1562))</f>
        <v/>
      </c>
    </row>
    <row r="1564">
      <c r="A1564" t="inlineStr">
        <is>
          <t>CON-0521</t>
        </is>
      </c>
      <c r="B1564" t="inlineStr">
        <is>
          <t>Consulting</t>
        </is>
      </c>
      <c r="AB1564" t="n">
        <v>521</v>
      </c>
      <c r="AD1564" s="52">
        <f>IFERROR(N(IFERROR(INDEX($A1564:$AB1564,MATCH("Xero Invoiced Ex GST",$A$1:$AB$1,0)),"")),0)</f>
        <v/>
      </c>
      <c r="AE1564" s="53">
        <f>IFERROR(INDEX($A1564:$AB1564,MATCH("Xero Invoice Date",$A$1:$AB$1,0)),"")</f>
        <v/>
      </c>
      <c r="AF1564" s="54">
        <f>IF(AND(IFERROR(INDEX($A1564:$AB1564,MATCH("Xero Invoice No",$A$1:$AB$1,0)),"")&amp;""&lt;&gt;"",ISNUMBER(AE1564),AD1564&lt;&gt;0),1,0)</f>
        <v/>
      </c>
      <c r="AG1564" s="55">
        <f>IF(AF1564=1,EOMONTH(AE1564,0),"")</f>
        <v/>
      </c>
      <c r="AH1564" s="9">
        <f>IF(AF1564=1,UPPER(TRIM(IFERROR(INDEX($A1564:$AB1564,MATCH("Client",$A$1:$AB$1,0)),"")&amp;"")),"")</f>
        <v/>
      </c>
      <c r="AI1564" s="9">
        <f>IF(AF1564=1,IFERROR(INDEX($A1564:$AB1564,MATCH("Cost Centre",$A$1:$AB$1,0)),"")&amp;"","")</f>
        <v/>
      </c>
      <c r="AJ1564" s="54">
        <f>IF(AND(AF1564=1,AE1564&gt;=set_FYStart,AE1564&lt;=set_AsAt),1,0)</f>
        <v/>
      </c>
      <c r="AK1564" s="54">
        <f>IF(AND(AJ1564=1,AH1564&lt;&gt;"",COUNTIFS($AH$2:AH1564,AH1564,$AJ$2:AJ1564,1)=1),N(AL1563)+1,"")</f>
        <v/>
      </c>
      <c r="AL1564" s="54">
        <f>IF(AK1564&lt;&gt;"",AK1564,N(AL1563))</f>
        <v/>
      </c>
    </row>
    <row r="1565">
      <c r="A1565" t="inlineStr">
        <is>
          <t>ONS-0522</t>
        </is>
      </c>
      <c r="B1565" t="inlineStr">
        <is>
          <t>Onsite</t>
        </is>
      </c>
      <c r="AB1565" t="n">
        <v>522</v>
      </c>
      <c r="AD1565" s="52">
        <f>IFERROR(N(IFERROR(INDEX($A1565:$AB1565,MATCH("Xero Invoiced Ex GST",$A$1:$AB$1,0)),"")),0)</f>
        <v/>
      </c>
      <c r="AE1565" s="53">
        <f>IFERROR(INDEX($A1565:$AB1565,MATCH("Xero Invoice Date",$A$1:$AB$1,0)),"")</f>
        <v/>
      </c>
      <c r="AF1565" s="54">
        <f>IF(AND(IFERROR(INDEX($A1565:$AB1565,MATCH("Xero Invoice No",$A$1:$AB$1,0)),"")&amp;""&lt;&gt;"",ISNUMBER(AE1565),AD1565&lt;&gt;0),1,0)</f>
        <v/>
      </c>
      <c r="AG1565" s="55">
        <f>IF(AF1565=1,EOMONTH(AE1565,0),"")</f>
        <v/>
      </c>
      <c r="AH1565" s="9">
        <f>IF(AF1565=1,UPPER(TRIM(IFERROR(INDEX($A1565:$AB1565,MATCH("Client",$A$1:$AB$1,0)),"")&amp;"")),"")</f>
        <v/>
      </c>
      <c r="AI1565" s="9">
        <f>IF(AF1565=1,IFERROR(INDEX($A1565:$AB1565,MATCH("Cost Centre",$A$1:$AB$1,0)),"")&amp;"","")</f>
        <v/>
      </c>
      <c r="AJ1565" s="54">
        <f>IF(AND(AF1565=1,AE1565&gt;=set_FYStart,AE1565&lt;=set_AsAt),1,0)</f>
        <v/>
      </c>
      <c r="AK1565" s="54">
        <f>IF(AND(AJ1565=1,AH1565&lt;&gt;"",COUNTIFS($AH$2:AH1565,AH1565,$AJ$2:AJ1565,1)=1),N(AL1564)+1,"")</f>
        <v/>
      </c>
      <c r="AL1565" s="54">
        <f>IF(AK1565&lt;&gt;"",AK1565,N(AL1564))</f>
        <v/>
      </c>
    </row>
    <row r="1566">
      <c r="A1566" t="inlineStr">
        <is>
          <t>PRD-0522</t>
        </is>
      </c>
      <c r="B1566" t="inlineStr">
        <is>
          <t>Production</t>
        </is>
      </c>
      <c r="AB1566" t="n">
        <v>522</v>
      </c>
      <c r="AD1566" s="52">
        <f>IFERROR(N(IFERROR(INDEX($A1566:$AB1566,MATCH("Xero Invoiced Ex GST",$A$1:$AB$1,0)),"")),0)</f>
        <v/>
      </c>
      <c r="AE1566" s="53">
        <f>IFERROR(INDEX($A1566:$AB1566,MATCH("Xero Invoice Date",$A$1:$AB$1,0)),"")</f>
        <v/>
      </c>
      <c r="AF1566" s="54">
        <f>IF(AND(IFERROR(INDEX($A1566:$AB1566,MATCH("Xero Invoice No",$A$1:$AB$1,0)),"")&amp;""&lt;&gt;"",ISNUMBER(AE1566),AD1566&lt;&gt;0),1,0)</f>
        <v/>
      </c>
      <c r="AG1566" s="55">
        <f>IF(AF1566=1,EOMONTH(AE1566,0),"")</f>
        <v/>
      </c>
      <c r="AH1566" s="9">
        <f>IF(AF1566=1,UPPER(TRIM(IFERROR(INDEX($A1566:$AB1566,MATCH("Client",$A$1:$AB$1,0)),"")&amp;"")),"")</f>
        <v/>
      </c>
      <c r="AI1566" s="9">
        <f>IF(AF1566=1,IFERROR(INDEX($A1566:$AB1566,MATCH("Cost Centre",$A$1:$AB$1,0)),"")&amp;"","")</f>
        <v/>
      </c>
      <c r="AJ1566" s="54">
        <f>IF(AND(AF1566=1,AE1566&gt;=set_FYStart,AE1566&lt;=set_AsAt),1,0)</f>
        <v/>
      </c>
      <c r="AK1566" s="54">
        <f>IF(AND(AJ1566=1,AH1566&lt;&gt;"",COUNTIFS($AH$2:AH1566,AH1566,$AJ$2:AJ1566,1)=1),N(AL1565)+1,"")</f>
        <v/>
      </c>
      <c r="AL1566" s="54">
        <f>IF(AK1566&lt;&gt;"",AK1566,N(AL1565))</f>
        <v/>
      </c>
    </row>
    <row r="1567">
      <c r="A1567" t="inlineStr">
        <is>
          <t>CON-0522</t>
        </is>
      </c>
      <c r="B1567" t="inlineStr">
        <is>
          <t>Consulting</t>
        </is>
      </c>
      <c r="AB1567" t="n">
        <v>522</v>
      </c>
      <c r="AD1567" s="52">
        <f>IFERROR(N(IFERROR(INDEX($A1567:$AB1567,MATCH("Xero Invoiced Ex GST",$A$1:$AB$1,0)),"")),0)</f>
        <v/>
      </c>
      <c r="AE1567" s="53">
        <f>IFERROR(INDEX($A1567:$AB1567,MATCH("Xero Invoice Date",$A$1:$AB$1,0)),"")</f>
        <v/>
      </c>
      <c r="AF1567" s="54">
        <f>IF(AND(IFERROR(INDEX($A1567:$AB1567,MATCH("Xero Invoice No",$A$1:$AB$1,0)),"")&amp;""&lt;&gt;"",ISNUMBER(AE1567),AD1567&lt;&gt;0),1,0)</f>
        <v/>
      </c>
      <c r="AG1567" s="55">
        <f>IF(AF1567=1,EOMONTH(AE1567,0),"")</f>
        <v/>
      </c>
      <c r="AH1567" s="9">
        <f>IF(AF1567=1,UPPER(TRIM(IFERROR(INDEX($A1567:$AB1567,MATCH("Client",$A$1:$AB$1,0)),"")&amp;"")),"")</f>
        <v/>
      </c>
      <c r="AI1567" s="9">
        <f>IF(AF1567=1,IFERROR(INDEX($A1567:$AB1567,MATCH("Cost Centre",$A$1:$AB$1,0)),"")&amp;"","")</f>
        <v/>
      </c>
      <c r="AJ1567" s="54">
        <f>IF(AND(AF1567=1,AE1567&gt;=set_FYStart,AE1567&lt;=set_AsAt),1,0)</f>
        <v/>
      </c>
      <c r="AK1567" s="54">
        <f>IF(AND(AJ1567=1,AH1567&lt;&gt;"",COUNTIFS($AH$2:AH1567,AH1567,$AJ$2:AJ1567,1)=1),N(AL1566)+1,"")</f>
        <v/>
      </c>
      <c r="AL1567" s="54">
        <f>IF(AK1567&lt;&gt;"",AK1567,N(AL1566))</f>
        <v/>
      </c>
    </row>
    <row r="1568">
      <c r="A1568" t="inlineStr">
        <is>
          <t>ONS-0523</t>
        </is>
      </c>
      <c r="B1568" t="inlineStr">
        <is>
          <t>Onsite</t>
        </is>
      </c>
      <c r="AB1568" t="n">
        <v>523</v>
      </c>
      <c r="AD1568" s="52">
        <f>IFERROR(N(IFERROR(INDEX($A1568:$AB1568,MATCH("Xero Invoiced Ex GST",$A$1:$AB$1,0)),"")),0)</f>
        <v/>
      </c>
      <c r="AE1568" s="53">
        <f>IFERROR(INDEX($A1568:$AB1568,MATCH("Xero Invoice Date",$A$1:$AB$1,0)),"")</f>
        <v/>
      </c>
      <c r="AF1568" s="54">
        <f>IF(AND(IFERROR(INDEX($A1568:$AB1568,MATCH("Xero Invoice No",$A$1:$AB$1,0)),"")&amp;""&lt;&gt;"",ISNUMBER(AE1568),AD1568&lt;&gt;0),1,0)</f>
        <v/>
      </c>
      <c r="AG1568" s="55">
        <f>IF(AF1568=1,EOMONTH(AE1568,0),"")</f>
        <v/>
      </c>
      <c r="AH1568" s="9">
        <f>IF(AF1568=1,UPPER(TRIM(IFERROR(INDEX($A1568:$AB1568,MATCH("Client",$A$1:$AB$1,0)),"")&amp;"")),"")</f>
        <v/>
      </c>
      <c r="AI1568" s="9">
        <f>IF(AF1568=1,IFERROR(INDEX($A1568:$AB1568,MATCH("Cost Centre",$A$1:$AB$1,0)),"")&amp;"","")</f>
        <v/>
      </c>
      <c r="AJ1568" s="54">
        <f>IF(AND(AF1568=1,AE1568&gt;=set_FYStart,AE1568&lt;=set_AsAt),1,0)</f>
        <v/>
      </c>
      <c r="AK1568" s="54">
        <f>IF(AND(AJ1568=1,AH1568&lt;&gt;"",COUNTIFS($AH$2:AH1568,AH1568,$AJ$2:AJ1568,1)=1),N(AL1567)+1,"")</f>
        <v/>
      </c>
      <c r="AL1568" s="54">
        <f>IF(AK1568&lt;&gt;"",AK1568,N(AL1567))</f>
        <v/>
      </c>
    </row>
    <row r="1569">
      <c r="A1569" t="inlineStr">
        <is>
          <t>PRD-0523</t>
        </is>
      </c>
      <c r="B1569" t="inlineStr">
        <is>
          <t>Production</t>
        </is>
      </c>
      <c r="AB1569" t="n">
        <v>523</v>
      </c>
      <c r="AD1569" s="52">
        <f>IFERROR(N(IFERROR(INDEX($A1569:$AB1569,MATCH("Xero Invoiced Ex GST",$A$1:$AB$1,0)),"")),0)</f>
        <v/>
      </c>
      <c r="AE1569" s="53">
        <f>IFERROR(INDEX($A1569:$AB1569,MATCH("Xero Invoice Date",$A$1:$AB$1,0)),"")</f>
        <v/>
      </c>
      <c r="AF1569" s="54">
        <f>IF(AND(IFERROR(INDEX($A1569:$AB1569,MATCH("Xero Invoice No",$A$1:$AB$1,0)),"")&amp;""&lt;&gt;"",ISNUMBER(AE1569),AD1569&lt;&gt;0),1,0)</f>
        <v/>
      </c>
      <c r="AG1569" s="55">
        <f>IF(AF1569=1,EOMONTH(AE1569,0),"")</f>
        <v/>
      </c>
      <c r="AH1569" s="9">
        <f>IF(AF1569=1,UPPER(TRIM(IFERROR(INDEX($A1569:$AB1569,MATCH("Client",$A$1:$AB$1,0)),"")&amp;"")),"")</f>
        <v/>
      </c>
      <c r="AI1569" s="9">
        <f>IF(AF1569=1,IFERROR(INDEX($A1569:$AB1569,MATCH("Cost Centre",$A$1:$AB$1,0)),"")&amp;"","")</f>
        <v/>
      </c>
      <c r="AJ1569" s="54">
        <f>IF(AND(AF1569=1,AE1569&gt;=set_FYStart,AE1569&lt;=set_AsAt),1,0)</f>
        <v/>
      </c>
      <c r="AK1569" s="54">
        <f>IF(AND(AJ1569=1,AH1569&lt;&gt;"",COUNTIFS($AH$2:AH1569,AH1569,$AJ$2:AJ1569,1)=1),N(AL1568)+1,"")</f>
        <v/>
      </c>
      <c r="AL1569" s="54">
        <f>IF(AK1569&lt;&gt;"",AK1569,N(AL1568))</f>
        <v/>
      </c>
    </row>
    <row r="1570">
      <c r="A1570" t="inlineStr">
        <is>
          <t>CON-0523</t>
        </is>
      </c>
      <c r="B1570" t="inlineStr">
        <is>
          <t>Consulting</t>
        </is>
      </c>
      <c r="AB1570" t="n">
        <v>523</v>
      </c>
      <c r="AD1570" s="52">
        <f>IFERROR(N(IFERROR(INDEX($A1570:$AB1570,MATCH("Xero Invoiced Ex GST",$A$1:$AB$1,0)),"")),0)</f>
        <v/>
      </c>
      <c r="AE1570" s="53">
        <f>IFERROR(INDEX($A1570:$AB1570,MATCH("Xero Invoice Date",$A$1:$AB$1,0)),"")</f>
        <v/>
      </c>
      <c r="AF1570" s="54">
        <f>IF(AND(IFERROR(INDEX($A1570:$AB1570,MATCH("Xero Invoice No",$A$1:$AB$1,0)),"")&amp;""&lt;&gt;"",ISNUMBER(AE1570),AD1570&lt;&gt;0),1,0)</f>
        <v/>
      </c>
      <c r="AG1570" s="55">
        <f>IF(AF1570=1,EOMONTH(AE1570,0),"")</f>
        <v/>
      </c>
      <c r="AH1570" s="9">
        <f>IF(AF1570=1,UPPER(TRIM(IFERROR(INDEX($A1570:$AB1570,MATCH("Client",$A$1:$AB$1,0)),"")&amp;"")),"")</f>
        <v/>
      </c>
      <c r="AI1570" s="9">
        <f>IF(AF1570=1,IFERROR(INDEX($A1570:$AB1570,MATCH("Cost Centre",$A$1:$AB$1,0)),"")&amp;"","")</f>
        <v/>
      </c>
      <c r="AJ1570" s="54">
        <f>IF(AND(AF1570=1,AE1570&gt;=set_FYStart,AE1570&lt;=set_AsAt),1,0)</f>
        <v/>
      </c>
      <c r="AK1570" s="54">
        <f>IF(AND(AJ1570=1,AH1570&lt;&gt;"",COUNTIFS($AH$2:AH1570,AH1570,$AJ$2:AJ1570,1)=1),N(AL1569)+1,"")</f>
        <v/>
      </c>
      <c r="AL1570" s="54">
        <f>IF(AK1570&lt;&gt;"",AK1570,N(AL1569))</f>
        <v/>
      </c>
    </row>
    <row r="1571">
      <c r="A1571" t="inlineStr">
        <is>
          <t>ONS-0524</t>
        </is>
      </c>
      <c r="B1571" t="inlineStr">
        <is>
          <t>Onsite</t>
        </is>
      </c>
      <c r="AB1571" t="n">
        <v>524</v>
      </c>
      <c r="AD1571" s="52">
        <f>IFERROR(N(IFERROR(INDEX($A1571:$AB1571,MATCH("Xero Invoiced Ex GST",$A$1:$AB$1,0)),"")),0)</f>
        <v/>
      </c>
      <c r="AE1571" s="53">
        <f>IFERROR(INDEX($A1571:$AB1571,MATCH("Xero Invoice Date",$A$1:$AB$1,0)),"")</f>
        <v/>
      </c>
      <c r="AF1571" s="54">
        <f>IF(AND(IFERROR(INDEX($A1571:$AB1571,MATCH("Xero Invoice No",$A$1:$AB$1,0)),"")&amp;""&lt;&gt;"",ISNUMBER(AE1571),AD1571&lt;&gt;0),1,0)</f>
        <v/>
      </c>
      <c r="AG1571" s="55">
        <f>IF(AF1571=1,EOMONTH(AE1571,0),"")</f>
        <v/>
      </c>
      <c r="AH1571" s="9">
        <f>IF(AF1571=1,UPPER(TRIM(IFERROR(INDEX($A1571:$AB1571,MATCH("Client",$A$1:$AB$1,0)),"")&amp;"")),"")</f>
        <v/>
      </c>
      <c r="AI1571" s="9">
        <f>IF(AF1571=1,IFERROR(INDEX($A1571:$AB1571,MATCH("Cost Centre",$A$1:$AB$1,0)),"")&amp;"","")</f>
        <v/>
      </c>
      <c r="AJ1571" s="54">
        <f>IF(AND(AF1571=1,AE1571&gt;=set_FYStart,AE1571&lt;=set_AsAt),1,0)</f>
        <v/>
      </c>
      <c r="AK1571" s="54">
        <f>IF(AND(AJ1571=1,AH1571&lt;&gt;"",COUNTIFS($AH$2:AH1571,AH1571,$AJ$2:AJ1571,1)=1),N(AL1570)+1,"")</f>
        <v/>
      </c>
      <c r="AL1571" s="54">
        <f>IF(AK1571&lt;&gt;"",AK1571,N(AL1570))</f>
        <v/>
      </c>
    </row>
    <row r="1572">
      <c r="A1572" t="inlineStr">
        <is>
          <t>PRD-0524</t>
        </is>
      </c>
      <c r="B1572" t="inlineStr">
        <is>
          <t>Production</t>
        </is>
      </c>
      <c r="AB1572" t="n">
        <v>524</v>
      </c>
      <c r="AD1572" s="52">
        <f>IFERROR(N(IFERROR(INDEX($A1572:$AB1572,MATCH("Xero Invoiced Ex GST",$A$1:$AB$1,0)),"")),0)</f>
        <v/>
      </c>
      <c r="AE1572" s="53">
        <f>IFERROR(INDEX($A1572:$AB1572,MATCH("Xero Invoice Date",$A$1:$AB$1,0)),"")</f>
        <v/>
      </c>
      <c r="AF1572" s="54">
        <f>IF(AND(IFERROR(INDEX($A1572:$AB1572,MATCH("Xero Invoice No",$A$1:$AB$1,0)),"")&amp;""&lt;&gt;"",ISNUMBER(AE1572),AD1572&lt;&gt;0),1,0)</f>
        <v/>
      </c>
      <c r="AG1572" s="55">
        <f>IF(AF1572=1,EOMONTH(AE1572,0),"")</f>
        <v/>
      </c>
      <c r="AH1572" s="9">
        <f>IF(AF1572=1,UPPER(TRIM(IFERROR(INDEX($A1572:$AB1572,MATCH("Client",$A$1:$AB$1,0)),"")&amp;"")),"")</f>
        <v/>
      </c>
      <c r="AI1572" s="9">
        <f>IF(AF1572=1,IFERROR(INDEX($A1572:$AB1572,MATCH("Cost Centre",$A$1:$AB$1,0)),"")&amp;"","")</f>
        <v/>
      </c>
      <c r="AJ1572" s="54">
        <f>IF(AND(AF1572=1,AE1572&gt;=set_FYStart,AE1572&lt;=set_AsAt),1,0)</f>
        <v/>
      </c>
      <c r="AK1572" s="54">
        <f>IF(AND(AJ1572=1,AH1572&lt;&gt;"",COUNTIFS($AH$2:AH1572,AH1572,$AJ$2:AJ1572,1)=1),N(AL1571)+1,"")</f>
        <v/>
      </c>
      <c r="AL1572" s="54">
        <f>IF(AK1572&lt;&gt;"",AK1572,N(AL1571))</f>
        <v/>
      </c>
    </row>
    <row r="1573">
      <c r="A1573" t="inlineStr">
        <is>
          <t>CON-0524</t>
        </is>
      </c>
      <c r="B1573" t="inlineStr">
        <is>
          <t>Consulting</t>
        </is>
      </c>
      <c r="AB1573" t="n">
        <v>524</v>
      </c>
      <c r="AD1573" s="52">
        <f>IFERROR(N(IFERROR(INDEX($A1573:$AB1573,MATCH("Xero Invoiced Ex GST",$A$1:$AB$1,0)),"")),0)</f>
        <v/>
      </c>
      <c r="AE1573" s="53">
        <f>IFERROR(INDEX($A1573:$AB1573,MATCH("Xero Invoice Date",$A$1:$AB$1,0)),"")</f>
        <v/>
      </c>
      <c r="AF1573" s="54">
        <f>IF(AND(IFERROR(INDEX($A1573:$AB1573,MATCH("Xero Invoice No",$A$1:$AB$1,0)),"")&amp;""&lt;&gt;"",ISNUMBER(AE1573),AD1573&lt;&gt;0),1,0)</f>
        <v/>
      </c>
      <c r="AG1573" s="55">
        <f>IF(AF1573=1,EOMONTH(AE1573,0),"")</f>
        <v/>
      </c>
      <c r="AH1573" s="9">
        <f>IF(AF1573=1,UPPER(TRIM(IFERROR(INDEX($A1573:$AB1573,MATCH("Client",$A$1:$AB$1,0)),"")&amp;"")),"")</f>
        <v/>
      </c>
      <c r="AI1573" s="9">
        <f>IF(AF1573=1,IFERROR(INDEX($A1573:$AB1573,MATCH("Cost Centre",$A$1:$AB$1,0)),"")&amp;"","")</f>
        <v/>
      </c>
      <c r="AJ1573" s="54">
        <f>IF(AND(AF1573=1,AE1573&gt;=set_FYStart,AE1573&lt;=set_AsAt),1,0)</f>
        <v/>
      </c>
      <c r="AK1573" s="54">
        <f>IF(AND(AJ1573=1,AH1573&lt;&gt;"",COUNTIFS($AH$2:AH1573,AH1573,$AJ$2:AJ1573,1)=1),N(AL1572)+1,"")</f>
        <v/>
      </c>
      <c r="AL1573" s="54">
        <f>IF(AK1573&lt;&gt;"",AK1573,N(AL1572))</f>
        <v/>
      </c>
    </row>
    <row r="1574">
      <c r="A1574" t="inlineStr">
        <is>
          <t>ONS-0525</t>
        </is>
      </c>
      <c r="B1574" t="inlineStr">
        <is>
          <t>Onsite</t>
        </is>
      </c>
      <c r="AB1574" t="n">
        <v>525</v>
      </c>
      <c r="AD1574" s="52">
        <f>IFERROR(N(IFERROR(INDEX($A1574:$AB1574,MATCH("Xero Invoiced Ex GST",$A$1:$AB$1,0)),"")),0)</f>
        <v/>
      </c>
      <c r="AE1574" s="53">
        <f>IFERROR(INDEX($A1574:$AB1574,MATCH("Xero Invoice Date",$A$1:$AB$1,0)),"")</f>
        <v/>
      </c>
      <c r="AF1574" s="54">
        <f>IF(AND(IFERROR(INDEX($A1574:$AB1574,MATCH("Xero Invoice No",$A$1:$AB$1,0)),"")&amp;""&lt;&gt;"",ISNUMBER(AE1574),AD1574&lt;&gt;0),1,0)</f>
        <v/>
      </c>
      <c r="AG1574" s="55">
        <f>IF(AF1574=1,EOMONTH(AE1574,0),"")</f>
        <v/>
      </c>
      <c r="AH1574" s="9">
        <f>IF(AF1574=1,UPPER(TRIM(IFERROR(INDEX($A1574:$AB1574,MATCH("Client",$A$1:$AB$1,0)),"")&amp;"")),"")</f>
        <v/>
      </c>
      <c r="AI1574" s="9">
        <f>IF(AF1574=1,IFERROR(INDEX($A1574:$AB1574,MATCH("Cost Centre",$A$1:$AB$1,0)),"")&amp;"","")</f>
        <v/>
      </c>
      <c r="AJ1574" s="54">
        <f>IF(AND(AF1574=1,AE1574&gt;=set_FYStart,AE1574&lt;=set_AsAt),1,0)</f>
        <v/>
      </c>
      <c r="AK1574" s="54">
        <f>IF(AND(AJ1574=1,AH1574&lt;&gt;"",COUNTIFS($AH$2:AH1574,AH1574,$AJ$2:AJ1574,1)=1),N(AL1573)+1,"")</f>
        <v/>
      </c>
      <c r="AL1574" s="54">
        <f>IF(AK1574&lt;&gt;"",AK1574,N(AL1573))</f>
        <v/>
      </c>
    </row>
    <row r="1575">
      <c r="A1575" t="inlineStr">
        <is>
          <t>PRD-0525</t>
        </is>
      </c>
      <c r="B1575" t="inlineStr">
        <is>
          <t>Production</t>
        </is>
      </c>
      <c r="AB1575" t="n">
        <v>525</v>
      </c>
      <c r="AD1575" s="52">
        <f>IFERROR(N(IFERROR(INDEX($A1575:$AB1575,MATCH("Xero Invoiced Ex GST",$A$1:$AB$1,0)),"")),0)</f>
        <v/>
      </c>
      <c r="AE1575" s="53">
        <f>IFERROR(INDEX($A1575:$AB1575,MATCH("Xero Invoice Date",$A$1:$AB$1,0)),"")</f>
        <v/>
      </c>
      <c r="AF1575" s="54">
        <f>IF(AND(IFERROR(INDEX($A1575:$AB1575,MATCH("Xero Invoice No",$A$1:$AB$1,0)),"")&amp;""&lt;&gt;"",ISNUMBER(AE1575),AD1575&lt;&gt;0),1,0)</f>
        <v/>
      </c>
      <c r="AG1575" s="55">
        <f>IF(AF1575=1,EOMONTH(AE1575,0),"")</f>
        <v/>
      </c>
      <c r="AH1575" s="9">
        <f>IF(AF1575=1,UPPER(TRIM(IFERROR(INDEX($A1575:$AB1575,MATCH("Client",$A$1:$AB$1,0)),"")&amp;"")),"")</f>
        <v/>
      </c>
      <c r="AI1575" s="9">
        <f>IF(AF1575=1,IFERROR(INDEX($A1575:$AB1575,MATCH("Cost Centre",$A$1:$AB$1,0)),"")&amp;"","")</f>
        <v/>
      </c>
      <c r="AJ1575" s="54">
        <f>IF(AND(AF1575=1,AE1575&gt;=set_FYStart,AE1575&lt;=set_AsAt),1,0)</f>
        <v/>
      </c>
      <c r="AK1575" s="54">
        <f>IF(AND(AJ1575=1,AH1575&lt;&gt;"",COUNTIFS($AH$2:AH1575,AH1575,$AJ$2:AJ1575,1)=1),N(AL1574)+1,"")</f>
        <v/>
      </c>
      <c r="AL1575" s="54">
        <f>IF(AK1575&lt;&gt;"",AK1575,N(AL1574))</f>
        <v/>
      </c>
    </row>
    <row r="1576">
      <c r="A1576" t="inlineStr">
        <is>
          <t>CON-0525</t>
        </is>
      </c>
      <c r="B1576" t="inlineStr">
        <is>
          <t>Consulting</t>
        </is>
      </c>
      <c r="AB1576" t="n">
        <v>525</v>
      </c>
      <c r="AD1576" s="52">
        <f>IFERROR(N(IFERROR(INDEX($A1576:$AB1576,MATCH("Xero Invoiced Ex GST",$A$1:$AB$1,0)),"")),0)</f>
        <v/>
      </c>
      <c r="AE1576" s="53">
        <f>IFERROR(INDEX($A1576:$AB1576,MATCH("Xero Invoice Date",$A$1:$AB$1,0)),"")</f>
        <v/>
      </c>
      <c r="AF1576" s="54">
        <f>IF(AND(IFERROR(INDEX($A1576:$AB1576,MATCH("Xero Invoice No",$A$1:$AB$1,0)),"")&amp;""&lt;&gt;"",ISNUMBER(AE1576),AD1576&lt;&gt;0),1,0)</f>
        <v/>
      </c>
      <c r="AG1576" s="55">
        <f>IF(AF1576=1,EOMONTH(AE1576,0),"")</f>
        <v/>
      </c>
      <c r="AH1576" s="9">
        <f>IF(AF1576=1,UPPER(TRIM(IFERROR(INDEX($A1576:$AB1576,MATCH("Client",$A$1:$AB$1,0)),"")&amp;"")),"")</f>
        <v/>
      </c>
      <c r="AI1576" s="9">
        <f>IF(AF1576=1,IFERROR(INDEX($A1576:$AB1576,MATCH("Cost Centre",$A$1:$AB$1,0)),"")&amp;"","")</f>
        <v/>
      </c>
      <c r="AJ1576" s="54">
        <f>IF(AND(AF1576=1,AE1576&gt;=set_FYStart,AE1576&lt;=set_AsAt),1,0)</f>
        <v/>
      </c>
      <c r="AK1576" s="54">
        <f>IF(AND(AJ1576=1,AH1576&lt;&gt;"",COUNTIFS($AH$2:AH1576,AH1576,$AJ$2:AJ1576,1)=1),N(AL1575)+1,"")</f>
        <v/>
      </c>
      <c r="AL1576" s="54">
        <f>IF(AK1576&lt;&gt;"",AK1576,N(AL1575))</f>
        <v/>
      </c>
    </row>
    <row r="1577">
      <c r="A1577" t="inlineStr">
        <is>
          <t>ONS-0526</t>
        </is>
      </c>
      <c r="B1577" t="inlineStr">
        <is>
          <t>Onsite</t>
        </is>
      </c>
      <c r="AB1577" t="n">
        <v>526</v>
      </c>
      <c r="AD1577" s="52">
        <f>IFERROR(N(IFERROR(INDEX($A1577:$AB1577,MATCH("Xero Invoiced Ex GST",$A$1:$AB$1,0)),"")),0)</f>
        <v/>
      </c>
      <c r="AE1577" s="53">
        <f>IFERROR(INDEX($A1577:$AB1577,MATCH("Xero Invoice Date",$A$1:$AB$1,0)),"")</f>
        <v/>
      </c>
      <c r="AF1577" s="54">
        <f>IF(AND(IFERROR(INDEX($A1577:$AB1577,MATCH("Xero Invoice No",$A$1:$AB$1,0)),"")&amp;""&lt;&gt;"",ISNUMBER(AE1577),AD1577&lt;&gt;0),1,0)</f>
        <v/>
      </c>
      <c r="AG1577" s="55">
        <f>IF(AF1577=1,EOMONTH(AE1577,0),"")</f>
        <v/>
      </c>
      <c r="AH1577" s="9">
        <f>IF(AF1577=1,UPPER(TRIM(IFERROR(INDEX($A1577:$AB1577,MATCH("Client",$A$1:$AB$1,0)),"")&amp;"")),"")</f>
        <v/>
      </c>
      <c r="AI1577" s="9">
        <f>IF(AF1577=1,IFERROR(INDEX($A1577:$AB1577,MATCH("Cost Centre",$A$1:$AB$1,0)),"")&amp;"","")</f>
        <v/>
      </c>
      <c r="AJ1577" s="54">
        <f>IF(AND(AF1577=1,AE1577&gt;=set_FYStart,AE1577&lt;=set_AsAt),1,0)</f>
        <v/>
      </c>
      <c r="AK1577" s="54">
        <f>IF(AND(AJ1577=1,AH1577&lt;&gt;"",COUNTIFS($AH$2:AH1577,AH1577,$AJ$2:AJ1577,1)=1),N(AL1576)+1,"")</f>
        <v/>
      </c>
      <c r="AL1577" s="54">
        <f>IF(AK1577&lt;&gt;"",AK1577,N(AL1576))</f>
        <v/>
      </c>
    </row>
    <row r="1578">
      <c r="A1578" t="inlineStr">
        <is>
          <t>PRD-0526</t>
        </is>
      </c>
      <c r="B1578" t="inlineStr">
        <is>
          <t>Production</t>
        </is>
      </c>
      <c r="AB1578" t="n">
        <v>526</v>
      </c>
      <c r="AD1578" s="52">
        <f>IFERROR(N(IFERROR(INDEX($A1578:$AB1578,MATCH("Xero Invoiced Ex GST",$A$1:$AB$1,0)),"")),0)</f>
        <v/>
      </c>
      <c r="AE1578" s="53">
        <f>IFERROR(INDEX($A1578:$AB1578,MATCH("Xero Invoice Date",$A$1:$AB$1,0)),"")</f>
        <v/>
      </c>
      <c r="AF1578" s="54">
        <f>IF(AND(IFERROR(INDEX($A1578:$AB1578,MATCH("Xero Invoice No",$A$1:$AB$1,0)),"")&amp;""&lt;&gt;"",ISNUMBER(AE1578),AD1578&lt;&gt;0),1,0)</f>
        <v/>
      </c>
      <c r="AG1578" s="55">
        <f>IF(AF1578=1,EOMONTH(AE1578,0),"")</f>
        <v/>
      </c>
      <c r="AH1578" s="9">
        <f>IF(AF1578=1,UPPER(TRIM(IFERROR(INDEX($A1578:$AB1578,MATCH("Client",$A$1:$AB$1,0)),"")&amp;"")),"")</f>
        <v/>
      </c>
      <c r="AI1578" s="9">
        <f>IF(AF1578=1,IFERROR(INDEX($A1578:$AB1578,MATCH("Cost Centre",$A$1:$AB$1,0)),"")&amp;"","")</f>
        <v/>
      </c>
      <c r="AJ1578" s="54">
        <f>IF(AND(AF1578=1,AE1578&gt;=set_FYStart,AE1578&lt;=set_AsAt),1,0)</f>
        <v/>
      </c>
      <c r="AK1578" s="54">
        <f>IF(AND(AJ1578=1,AH1578&lt;&gt;"",COUNTIFS($AH$2:AH1578,AH1578,$AJ$2:AJ1578,1)=1),N(AL1577)+1,"")</f>
        <v/>
      </c>
      <c r="AL1578" s="54">
        <f>IF(AK1578&lt;&gt;"",AK1578,N(AL1577))</f>
        <v/>
      </c>
    </row>
    <row r="1579">
      <c r="A1579" t="inlineStr">
        <is>
          <t>CON-0526</t>
        </is>
      </c>
      <c r="B1579" t="inlineStr">
        <is>
          <t>Consulting</t>
        </is>
      </c>
      <c r="AB1579" t="n">
        <v>526</v>
      </c>
      <c r="AD1579" s="52">
        <f>IFERROR(N(IFERROR(INDEX($A1579:$AB1579,MATCH("Xero Invoiced Ex GST",$A$1:$AB$1,0)),"")),0)</f>
        <v/>
      </c>
      <c r="AE1579" s="53">
        <f>IFERROR(INDEX($A1579:$AB1579,MATCH("Xero Invoice Date",$A$1:$AB$1,0)),"")</f>
        <v/>
      </c>
      <c r="AF1579" s="54">
        <f>IF(AND(IFERROR(INDEX($A1579:$AB1579,MATCH("Xero Invoice No",$A$1:$AB$1,0)),"")&amp;""&lt;&gt;"",ISNUMBER(AE1579),AD1579&lt;&gt;0),1,0)</f>
        <v/>
      </c>
      <c r="AG1579" s="55">
        <f>IF(AF1579=1,EOMONTH(AE1579,0),"")</f>
        <v/>
      </c>
      <c r="AH1579" s="9">
        <f>IF(AF1579=1,UPPER(TRIM(IFERROR(INDEX($A1579:$AB1579,MATCH("Client",$A$1:$AB$1,0)),"")&amp;"")),"")</f>
        <v/>
      </c>
      <c r="AI1579" s="9">
        <f>IF(AF1579=1,IFERROR(INDEX($A1579:$AB1579,MATCH("Cost Centre",$A$1:$AB$1,0)),"")&amp;"","")</f>
        <v/>
      </c>
      <c r="AJ1579" s="54">
        <f>IF(AND(AF1579=1,AE1579&gt;=set_FYStart,AE1579&lt;=set_AsAt),1,0)</f>
        <v/>
      </c>
      <c r="AK1579" s="54">
        <f>IF(AND(AJ1579=1,AH1579&lt;&gt;"",COUNTIFS($AH$2:AH1579,AH1579,$AJ$2:AJ1579,1)=1),N(AL1578)+1,"")</f>
        <v/>
      </c>
      <c r="AL1579" s="54">
        <f>IF(AK1579&lt;&gt;"",AK1579,N(AL1578))</f>
        <v/>
      </c>
    </row>
    <row r="1580">
      <c r="A1580" t="inlineStr">
        <is>
          <t>ONS-0527</t>
        </is>
      </c>
      <c r="B1580" t="inlineStr">
        <is>
          <t>Onsite</t>
        </is>
      </c>
      <c r="AB1580" t="n">
        <v>527</v>
      </c>
      <c r="AD1580" s="52">
        <f>IFERROR(N(IFERROR(INDEX($A1580:$AB1580,MATCH("Xero Invoiced Ex GST",$A$1:$AB$1,0)),"")),0)</f>
        <v/>
      </c>
      <c r="AE1580" s="53">
        <f>IFERROR(INDEX($A1580:$AB1580,MATCH("Xero Invoice Date",$A$1:$AB$1,0)),"")</f>
        <v/>
      </c>
      <c r="AF1580" s="54">
        <f>IF(AND(IFERROR(INDEX($A1580:$AB1580,MATCH("Xero Invoice No",$A$1:$AB$1,0)),"")&amp;""&lt;&gt;"",ISNUMBER(AE1580),AD1580&lt;&gt;0),1,0)</f>
        <v/>
      </c>
      <c r="AG1580" s="55">
        <f>IF(AF1580=1,EOMONTH(AE1580,0),"")</f>
        <v/>
      </c>
      <c r="AH1580" s="9">
        <f>IF(AF1580=1,UPPER(TRIM(IFERROR(INDEX($A1580:$AB1580,MATCH("Client",$A$1:$AB$1,0)),"")&amp;"")),"")</f>
        <v/>
      </c>
      <c r="AI1580" s="9">
        <f>IF(AF1580=1,IFERROR(INDEX($A1580:$AB1580,MATCH("Cost Centre",$A$1:$AB$1,0)),"")&amp;"","")</f>
        <v/>
      </c>
      <c r="AJ1580" s="54">
        <f>IF(AND(AF1580=1,AE1580&gt;=set_FYStart,AE1580&lt;=set_AsAt),1,0)</f>
        <v/>
      </c>
      <c r="AK1580" s="54">
        <f>IF(AND(AJ1580=1,AH1580&lt;&gt;"",COUNTIFS($AH$2:AH1580,AH1580,$AJ$2:AJ1580,1)=1),N(AL1579)+1,"")</f>
        <v/>
      </c>
      <c r="AL1580" s="54">
        <f>IF(AK1580&lt;&gt;"",AK1580,N(AL1579))</f>
        <v/>
      </c>
    </row>
    <row r="1581">
      <c r="A1581" t="inlineStr">
        <is>
          <t>PRD-0527</t>
        </is>
      </c>
      <c r="B1581" t="inlineStr">
        <is>
          <t>Production</t>
        </is>
      </c>
      <c r="AB1581" t="n">
        <v>527</v>
      </c>
      <c r="AD1581" s="52">
        <f>IFERROR(N(IFERROR(INDEX($A1581:$AB1581,MATCH("Xero Invoiced Ex GST",$A$1:$AB$1,0)),"")),0)</f>
        <v/>
      </c>
      <c r="AE1581" s="53">
        <f>IFERROR(INDEX($A1581:$AB1581,MATCH("Xero Invoice Date",$A$1:$AB$1,0)),"")</f>
        <v/>
      </c>
      <c r="AF1581" s="54">
        <f>IF(AND(IFERROR(INDEX($A1581:$AB1581,MATCH("Xero Invoice No",$A$1:$AB$1,0)),"")&amp;""&lt;&gt;"",ISNUMBER(AE1581),AD1581&lt;&gt;0),1,0)</f>
        <v/>
      </c>
      <c r="AG1581" s="55">
        <f>IF(AF1581=1,EOMONTH(AE1581,0),"")</f>
        <v/>
      </c>
      <c r="AH1581" s="9">
        <f>IF(AF1581=1,UPPER(TRIM(IFERROR(INDEX($A1581:$AB1581,MATCH("Client",$A$1:$AB$1,0)),"")&amp;"")),"")</f>
        <v/>
      </c>
      <c r="AI1581" s="9">
        <f>IF(AF1581=1,IFERROR(INDEX($A1581:$AB1581,MATCH("Cost Centre",$A$1:$AB$1,0)),"")&amp;"","")</f>
        <v/>
      </c>
      <c r="AJ1581" s="54">
        <f>IF(AND(AF1581=1,AE1581&gt;=set_FYStart,AE1581&lt;=set_AsAt),1,0)</f>
        <v/>
      </c>
      <c r="AK1581" s="54">
        <f>IF(AND(AJ1581=1,AH1581&lt;&gt;"",COUNTIFS($AH$2:AH1581,AH1581,$AJ$2:AJ1581,1)=1),N(AL1580)+1,"")</f>
        <v/>
      </c>
      <c r="AL1581" s="54">
        <f>IF(AK1581&lt;&gt;"",AK1581,N(AL1580))</f>
        <v/>
      </c>
    </row>
    <row r="1582">
      <c r="A1582" t="inlineStr">
        <is>
          <t>CON-0527</t>
        </is>
      </c>
      <c r="B1582" t="inlineStr">
        <is>
          <t>Consulting</t>
        </is>
      </c>
      <c r="AB1582" t="n">
        <v>527</v>
      </c>
      <c r="AD1582" s="52">
        <f>IFERROR(N(IFERROR(INDEX($A1582:$AB1582,MATCH("Xero Invoiced Ex GST",$A$1:$AB$1,0)),"")),0)</f>
        <v/>
      </c>
      <c r="AE1582" s="53">
        <f>IFERROR(INDEX($A1582:$AB1582,MATCH("Xero Invoice Date",$A$1:$AB$1,0)),"")</f>
        <v/>
      </c>
      <c r="AF1582" s="54">
        <f>IF(AND(IFERROR(INDEX($A1582:$AB1582,MATCH("Xero Invoice No",$A$1:$AB$1,0)),"")&amp;""&lt;&gt;"",ISNUMBER(AE1582),AD1582&lt;&gt;0),1,0)</f>
        <v/>
      </c>
      <c r="AG1582" s="55">
        <f>IF(AF1582=1,EOMONTH(AE1582,0),"")</f>
        <v/>
      </c>
      <c r="AH1582" s="9">
        <f>IF(AF1582=1,UPPER(TRIM(IFERROR(INDEX($A1582:$AB1582,MATCH("Client",$A$1:$AB$1,0)),"")&amp;"")),"")</f>
        <v/>
      </c>
      <c r="AI1582" s="9">
        <f>IF(AF1582=1,IFERROR(INDEX($A1582:$AB1582,MATCH("Cost Centre",$A$1:$AB$1,0)),"")&amp;"","")</f>
        <v/>
      </c>
      <c r="AJ1582" s="54">
        <f>IF(AND(AF1582=1,AE1582&gt;=set_FYStart,AE1582&lt;=set_AsAt),1,0)</f>
        <v/>
      </c>
      <c r="AK1582" s="54">
        <f>IF(AND(AJ1582=1,AH1582&lt;&gt;"",COUNTIFS($AH$2:AH1582,AH1582,$AJ$2:AJ1582,1)=1),N(AL1581)+1,"")</f>
        <v/>
      </c>
      <c r="AL1582" s="54">
        <f>IF(AK1582&lt;&gt;"",AK1582,N(AL1581))</f>
        <v/>
      </c>
    </row>
    <row r="1583">
      <c r="A1583" t="inlineStr">
        <is>
          <t>ONS-0528</t>
        </is>
      </c>
      <c r="B1583" t="inlineStr">
        <is>
          <t>Onsite</t>
        </is>
      </c>
      <c r="AB1583" t="n">
        <v>528</v>
      </c>
      <c r="AD1583" s="52">
        <f>IFERROR(N(IFERROR(INDEX($A1583:$AB1583,MATCH("Xero Invoiced Ex GST",$A$1:$AB$1,0)),"")),0)</f>
        <v/>
      </c>
      <c r="AE1583" s="53">
        <f>IFERROR(INDEX($A1583:$AB1583,MATCH("Xero Invoice Date",$A$1:$AB$1,0)),"")</f>
        <v/>
      </c>
      <c r="AF1583" s="54">
        <f>IF(AND(IFERROR(INDEX($A1583:$AB1583,MATCH("Xero Invoice No",$A$1:$AB$1,0)),"")&amp;""&lt;&gt;"",ISNUMBER(AE1583),AD1583&lt;&gt;0),1,0)</f>
        <v/>
      </c>
      <c r="AG1583" s="55">
        <f>IF(AF1583=1,EOMONTH(AE1583,0),"")</f>
        <v/>
      </c>
      <c r="AH1583" s="9">
        <f>IF(AF1583=1,UPPER(TRIM(IFERROR(INDEX($A1583:$AB1583,MATCH("Client",$A$1:$AB$1,0)),"")&amp;"")),"")</f>
        <v/>
      </c>
      <c r="AI1583" s="9">
        <f>IF(AF1583=1,IFERROR(INDEX($A1583:$AB1583,MATCH("Cost Centre",$A$1:$AB$1,0)),"")&amp;"","")</f>
        <v/>
      </c>
      <c r="AJ1583" s="54">
        <f>IF(AND(AF1583=1,AE1583&gt;=set_FYStart,AE1583&lt;=set_AsAt),1,0)</f>
        <v/>
      </c>
      <c r="AK1583" s="54">
        <f>IF(AND(AJ1583=1,AH1583&lt;&gt;"",COUNTIFS($AH$2:AH1583,AH1583,$AJ$2:AJ1583,1)=1),N(AL1582)+1,"")</f>
        <v/>
      </c>
      <c r="AL1583" s="54">
        <f>IF(AK1583&lt;&gt;"",AK1583,N(AL1582))</f>
        <v/>
      </c>
    </row>
    <row r="1584">
      <c r="A1584" t="inlineStr">
        <is>
          <t>PRD-0528</t>
        </is>
      </c>
      <c r="B1584" t="inlineStr">
        <is>
          <t>Production</t>
        </is>
      </c>
      <c r="AB1584" t="n">
        <v>528</v>
      </c>
      <c r="AD1584" s="52">
        <f>IFERROR(N(IFERROR(INDEX($A1584:$AB1584,MATCH("Xero Invoiced Ex GST",$A$1:$AB$1,0)),"")),0)</f>
        <v/>
      </c>
      <c r="AE1584" s="53">
        <f>IFERROR(INDEX($A1584:$AB1584,MATCH("Xero Invoice Date",$A$1:$AB$1,0)),"")</f>
        <v/>
      </c>
      <c r="AF1584" s="54">
        <f>IF(AND(IFERROR(INDEX($A1584:$AB1584,MATCH("Xero Invoice No",$A$1:$AB$1,0)),"")&amp;""&lt;&gt;"",ISNUMBER(AE1584),AD1584&lt;&gt;0),1,0)</f>
        <v/>
      </c>
      <c r="AG1584" s="55">
        <f>IF(AF1584=1,EOMONTH(AE1584,0),"")</f>
        <v/>
      </c>
      <c r="AH1584" s="9">
        <f>IF(AF1584=1,UPPER(TRIM(IFERROR(INDEX($A1584:$AB1584,MATCH("Client",$A$1:$AB$1,0)),"")&amp;"")),"")</f>
        <v/>
      </c>
      <c r="AI1584" s="9">
        <f>IF(AF1584=1,IFERROR(INDEX($A1584:$AB1584,MATCH("Cost Centre",$A$1:$AB$1,0)),"")&amp;"","")</f>
        <v/>
      </c>
      <c r="AJ1584" s="54">
        <f>IF(AND(AF1584=1,AE1584&gt;=set_FYStart,AE1584&lt;=set_AsAt),1,0)</f>
        <v/>
      </c>
      <c r="AK1584" s="54">
        <f>IF(AND(AJ1584=1,AH1584&lt;&gt;"",COUNTIFS($AH$2:AH1584,AH1584,$AJ$2:AJ1584,1)=1),N(AL1583)+1,"")</f>
        <v/>
      </c>
      <c r="AL1584" s="54">
        <f>IF(AK1584&lt;&gt;"",AK1584,N(AL1583))</f>
        <v/>
      </c>
    </row>
    <row r="1585">
      <c r="A1585" t="inlineStr">
        <is>
          <t>CON-0528</t>
        </is>
      </c>
      <c r="B1585" t="inlineStr">
        <is>
          <t>Consulting</t>
        </is>
      </c>
      <c r="AB1585" t="n">
        <v>528</v>
      </c>
      <c r="AD1585" s="52">
        <f>IFERROR(N(IFERROR(INDEX($A1585:$AB1585,MATCH("Xero Invoiced Ex GST",$A$1:$AB$1,0)),"")),0)</f>
        <v/>
      </c>
      <c r="AE1585" s="53">
        <f>IFERROR(INDEX($A1585:$AB1585,MATCH("Xero Invoice Date",$A$1:$AB$1,0)),"")</f>
        <v/>
      </c>
      <c r="AF1585" s="54">
        <f>IF(AND(IFERROR(INDEX($A1585:$AB1585,MATCH("Xero Invoice No",$A$1:$AB$1,0)),"")&amp;""&lt;&gt;"",ISNUMBER(AE1585),AD1585&lt;&gt;0),1,0)</f>
        <v/>
      </c>
      <c r="AG1585" s="55">
        <f>IF(AF1585=1,EOMONTH(AE1585,0),"")</f>
        <v/>
      </c>
      <c r="AH1585" s="9">
        <f>IF(AF1585=1,UPPER(TRIM(IFERROR(INDEX($A1585:$AB1585,MATCH("Client",$A$1:$AB$1,0)),"")&amp;"")),"")</f>
        <v/>
      </c>
      <c r="AI1585" s="9">
        <f>IF(AF1585=1,IFERROR(INDEX($A1585:$AB1585,MATCH("Cost Centre",$A$1:$AB$1,0)),"")&amp;"","")</f>
        <v/>
      </c>
      <c r="AJ1585" s="54">
        <f>IF(AND(AF1585=1,AE1585&gt;=set_FYStart,AE1585&lt;=set_AsAt),1,0)</f>
        <v/>
      </c>
      <c r="AK1585" s="54">
        <f>IF(AND(AJ1585=1,AH1585&lt;&gt;"",COUNTIFS($AH$2:AH1585,AH1585,$AJ$2:AJ1585,1)=1),N(AL1584)+1,"")</f>
        <v/>
      </c>
      <c r="AL1585" s="54">
        <f>IF(AK1585&lt;&gt;"",AK1585,N(AL1584))</f>
        <v/>
      </c>
    </row>
    <row r="1586">
      <c r="A1586" t="inlineStr">
        <is>
          <t>ONS-0529</t>
        </is>
      </c>
      <c r="B1586" t="inlineStr">
        <is>
          <t>Onsite</t>
        </is>
      </c>
      <c r="AB1586" t="n">
        <v>529</v>
      </c>
      <c r="AD1586" s="52">
        <f>IFERROR(N(IFERROR(INDEX($A1586:$AB1586,MATCH("Xero Invoiced Ex GST",$A$1:$AB$1,0)),"")),0)</f>
        <v/>
      </c>
      <c r="AE1586" s="53">
        <f>IFERROR(INDEX($A1586:$AB1586,MATCH("Xero Invoice Date",$A$1:$AB$1,0)),"")</f>
        <v/>
      </c>
      <c r="AF1586" s="54">
        <f>IF(AND(IFERROR(INDEX($A1586:$AB1586,MATCH("Xero Invoice No",$A$1:$AB$1,0)),"")&amp;""&lt;&gt;"",ISNUMBER(AE1586),AD1586&lt;&gt;0),1,0)</f>
        <v/>
      </c>
      <c r="AG1586" s="55">
        <f>IF(AF1586=1,EOMONTH(AE1586,0),"")</f>
        <v/>
      </c>
      <c r="AH1586" s="9">
        <f>IF(AF1586=1,UPPER(TRIM(IFERROR(INDEX($A1586:$AB1586,MATCH("Client",$A$1:$AB$1,0)),"")&amp;"")),"")</f>
        <v/>
      </c>
      <c r="AI1586" s="9">
        <f>IF(AF1586=1,IFERROR(INDEX($A1586:$AB1586,MATCH("Cost Centre",$A$1:$AB$1,0)),"")&amp;"","")</f>
        <v/>
      </c>
      <c r="AJ1586" s="54">
        <f>IF(AND(AF1586=1,AE1586&gt;=set_FYStart,AE1586&lt;=set_AsAt),1,0)</f>
        <v/>
      </c>
      <c r="AK1586" s="54">
        <f>IF(AND(AJ1586=1,AH1586&lt;&gt;"",COUNTIFS($AH$2:AH1586,AH1586,$AJ$2:AJ1586,1)=1),N(AL1585)+1,"")</f>
        <v/>
      </c>
      <c r="AL1586" s="54">
        <f>IF(AK1586&lt;&gt;"",AK1586,N(AL1585))</f>
        <v/>
      </c>
    </row>
    <row r="1587">
      <c r="A1587" t="inlineStr">
        <is>
          <t>PRD-0529</t>
        </is>
      </c>
      <c r="B1587" t="inlineStr">
        <is>
          <t>Production</t>
        </is>
      </c>
      <c r="AB1587" t="n">
        <v>529</v>
      </c>
      <c r="AD1587" s="52">
        <f>IFERROR(N(IFERROR(INDEX($A1587:$AB1587,MATCH("Xero Invoiced Ex GST",$A$1:$AB$1,0)),"")),0)</f>
        <v/>
      </c>
      <c r="AE1587" s="53">
        <f>IFERROR(INDEX($A1587:$AB1587,MATCH("Xero Invoice Date",$A$1:$AB$1,0)),"")</f>
        <v/>
      </c>
      <c r="AF1587" s="54">
        <f>IF(AND(IFERROR(INDEX($A1587:$AB1587,MATCH("Xero Invoice No",$A$1:$AB$1,0)),"")&amp;""&lt;&gt;"",ISNUMBER(AE1587),AD1587&lt;&gt;0),1,0)</f>
        <v/>
      </c>
      <c r="AG1587" s="55">
        <f>IF(AF1587=1,EOMONTH(AE1587,0),"")</f>
        <v/>
      </c>
      <c r="AH1587" s="9">
        <f>IF(AF1587=1,UPPER(TRIM(IFERROR(INDEX($A1587:$AB1587,MATCH("Client",$A$1:$AB$1,0)),"")&amp;"")),"")</f>
        <v/>
      </c>
      <c r="AI1587" s="9">
        <f>IF(AF1587=1,IFERROR(INDEX($A1587:$AB1587,MATCH("Cost Centre",$A$1:$AB$1,0)),"")&amp;"","")</f>
        <v/>
      </c>
      <c r="AJ1587" s="54">
        <f>IF(AND(AF1587=1,AE1587&gt;=set_FYStart,AE1587&lt;=set_AsAt),1,0)</f>
        <v/>
      </c>
      <c r="AK1587" s="54">
        <f>IF(AND(AJ1587=1,AH1587&lt;&gt;"",COUNTIFS($AH$2:AH1587,AH1587,$AJ$2:AJ1587,1)=1),N(AL1586)+1,"")</f>
        <v/>
      </c>
      <c r="AL1587" s="54">
        <f>IF(AK1587&lt;&gt;"",AK1587,N(AL1586))</f>
        <v/>
      </c>
    </row>
    <row r="1588">
      <c r="A1588" t="inlineStr">
        <is>
          <t>CON-0529</t>
        </is>
      </c>
      <c r="B1588" t="inlineStr">
        <is>
          <t>Consulting</t>
        </is>
      </c>
      <c r="AB1588" t="n">
        <v>529</v>
      </c>
      <c r="AD1588" s="52">
        <f>IFERROR(N(IFERROR(INDEX($A1588:$AB1588,MATCH("Xero Invoiced Ex GST",$A$1:$AB$1,0)),"")),0)</f>
        <v/>
      </c>
      <c r="AE1588" s="53">
        <f>IFERROR(INDEX($A1588:$AB1588,MATCH("Xero Invoice Date",$A$1:$AB$1,0)),"")</f>
        <v/>
      </c>
      <c r="AF1588" s="54">
        <f>IF(AND(IFERROR(INDEX($A1588:$AB1588,MATCH("Xero Invoice No",$A$1:$AB$1,0)),"")&amp;""&lt;&gt;"",ISNUMBER(AE1588),AD1588&lt;&gt;0),1,0)</f>
        <v/>
      </c>
      <c r="AG1588" s="55">
        <f>IF(AF1588=1,EOMONTH(AE1588,0),"")</f>
        <v/>
      </c>
      <c r="AH1588" s="9">
        <f>IF(AF1588=1,UPPER(TRIM(IFERROR(INDEX($A1588:$AB1588,MATCH("Client",$A$1:$AB$1,0)),"")&amp;"")),"")</f>
        <v/>
      </c>
      <c r="AI1588" s="9">
        <f>IF(AF1588=1,IFERROR(INDEX($A1588:$AB1588,MATCH("Cost Centre",$A$1:$AB$1,0)),"")&amp;"","")</f>
        <v/>
      </c>
      <c r="AJ1588" s="54">
        <f>IF(AND(AF1588=1,AE1588&gt;=set_FYStart,AE1588&lt;=set_AsAt),1,0)</f>
        <v/>
      </c>
      <c r="AK1588" s="54">
        <f>IF(AND(AJ1588=1,AH1588&lt;&gt;"",COUNTIFS($AH$2:AH1588,AH1588,$AJ$2:AJ1588,1)=1),N(AL1587)+1,"")</f>
        <v/>
      </c>
      <c r="AL1588" s="54">
        <f>IF(AK1588&lt;&gt;"",AK1588,N(AL1587))</f>
        <v/>
      </c>
    </row>
    <row r="1589">
      <c r="A1589" t="inlineStr">
        <is>
          <t>ONS-0530</t>
        </is>
      </c>
      <c r="B1589" t="inlineStr">
        <is>
          <t>Onsite</t>
        </is>
      </c>
      <c r="AB1589" t="n">
        <v>530</v>
      </c>
      <c r="AD1589" s="52">
        <f>IFERROR(N(IFERROR(INDEX($A1589:$AB1589,MATCH("Xero Invoiced Ex GST",$A$1:$AB$1,0)),"")),0)</f>
        <v/>
      </c>
      <c r="AE1589" s="53">
        <f>IFERROR(INDEX($A1589:$AB1589,MATCH("Xero Invoice Date",$A$1:$AB$1,0)),"")</f>
        <v/>
      </c>
      <c r="AF1589" s="54">
        <f>IF(AND(IFERROR(INDEX($A1589:$AB1589,MATCH("Xero Invoice No",$A$1:$AB$1,0)),"")&amp;""&lt;&gt;"",ISNUMBER(AE1589),AD1589&lt;&gt;0),1,0)</f>
        <v/>
      </c>
      <c r="AG1589" s="55">
        <f>IF(AF1589=1,EOMONTH(AE1589,0),"")</f>
        <v/>
      </c>
      <c r="AH1589" s="9">
        <f>IF(AF1589=1,UPPER(TRIM(IFERROR(INDEX($A1589:$AB1589,MATCH("Client",$A$1:$AB$1,0)),"")&amp;"")),"")</f>
        <v/>
      </c>
      <c r="AI1589" s="9">
        <f>IF(AF1589=1,IFERROR(INDEX($A1589:$AB1589,MATCH("Cost Centre",$A$1:$AB$1,0)),"")&amp;"","")</f>
        <v/>
      </c>
      <c r="AJ1589" s="54">
        <f>IF(AND(AF1589=1,AE1589&gt;=set_FYStart,AE1589&lt;=set_AsAt),1,0)</f>
        <v/>
      </c>
      <c r="AK1589" s="54">
        <f>IF(AND(AJ1589=1,AH1589&lt;&gt;"",COUNTIFS($AH$2:AH1589,AH1589,$AJ$2:AJ1589,1)=1),N(AL1588)+1,"")</f>
        <v/>
      </c>
      <c r="AL1589" s="54">
        <f>IF(AK1589&lt;&gt;"",AK1589,N(AL1588))</f>
        <v/>
      </c>
    </row>
    <row r="1590">
      <c r="A1590" t="inlineStr">
        <is>
          <t>PRD-0530</t>
        </is>
      </c>
      <c r="B1590" t="inlineStr">
        <is>
          <t>Production</t>
        </is>
      </c>
      <c r="AB1590" t="n">
        <v>530</v>
      </c>
      <c r="AD1590" s="52">
        <f>IFERROR(N(IFERROR(INDEX($A1590:$AB1590,MATCH("Xero Invoiced Ex GST",$A$1:$AB$1,0)),"")),0)</f>
        <v/>
      </c>
      <c r="AE1590" s="53">
        <f>IFERROR(INDEX($A1590:$AB1590,MATCH("Xero Invoice Date",$A$1:$AB$1,0)),"")</f>
        <v/>
      </c>
      <c r="AF1590" s="54">
        <f>IF(AND(IFERROR(INDEX($A1590:$AB1590,MATCH("Xero Invoice No",$A$1:$AB$1,0)),"")&amp;""&lt;&gt;"",ISNUMBER(AE1590),AD1590&lt;&gt;0),1,0)</f>
        <v/>
      </c>
      <c r="AG1590" s="55">
        <f>IF(AF1590=1,EOMONTH(AE1590,0),"")</f>
        <v/>
      </c>
      <c r="AH1590" s="9">
        <f>IF(AF1590=1,UPPER(TRIM(IFERROR(INDEX($A1590:$AB1590,MATCH("Client",$A$1:$AB$1,0)),"")&amp;"")),"")</f>
        <v/>
      </c>
      <c r="AI1590" s="9">
        <f>IF(AF1590=1,IFERROR(INDEX($A1590:$AB1590,MATCH("Cost Centre",$A$1:$AB$1,0)),"")&amp;"","")</f>
        <v/>
      </c>
      <c r="AJ1590" s="54">
        <f>IF(AND(AF1590=1,AE1590&gt;=set_FYStart,AE1590&lt;=set_AsAt),1,0)</f>
        <v/>
      </c>
      <c r="AK1590" s="54">
        <f>IF(AND(AJ1590=1,AH1590&lt;&gt;"",COUNTIFS($AH$2:AH1590,AH1590,$AJ$2:AJ1590,1)=1),N(AL1589)+1,"")</f>
        <v/>
      </c>
      <c r="AL1590" s="54">
        <f>IF(AK1590&lt;&gt;"",AK1590,N(AL1589))</f>
        <v/>
      </c>
    </row>
    <row r="1591">
      <c r="A1591" t="inlineStr">
        <is>
          <t>CON-0530</t>
        </is>
      </c>
      <c r="B1591" t="inlineStr">
        <is>
          <t>Consulting</t>
        </is>
      </c>
      <c r="AB1591" t="n">
        <v>530</v>
      </c>
      <c r="AD1591" s="52">
        <f>IFERROR(N(IFERROR(INDEX($A1591:$AB1591,MATCH("Xero Invoiced Ex GST",$A$1:$AB$1,0)),"")),0)</f>
        <v/>
      </c>
      <c r="AE1591" s="53">
        <f>IFERROR(INDEX($A1591:$AB1591,MATCH("Xero Invoice Date",$A$1:$AB$1,0)),"")</f>
        <v/>
      </c>
      <c r="AF1591" s="54">
        <f>IF(AND(IFERROR(INDEX($A1591:$AB1591,MATCH("Xero Invoice No",$A$1:$AB$1,0)),"")&amp;""&lt;&gt;"",ISNUMBER(AE1591),AD1591&lt;&gt;0),1,0)</f>
        <v/>
      </c>
      <c r="AG1591" s="55">
        <f>IF(AF1591=1,EOMONTH(AE1591,0),"")</f>
        <v/>
      </c>
      <c r="AH1591" s="9">
        <f>IF(AF1591=1,UPPER(TRIM(IFERROR(INDEX($A1591:$AB1591,MATCH("Client",$A$1:$AB$1,0)),"")&amp;"")),"")</f>
        <v/>
      </c>
      <c r="AI1591" s="9">
        <f>IF(AF1591=1,IFERROR(INDEX($A1591:$AB1591,MATCH("Cost Centre",$A$1:$AB$1,0)),"")&amp;"","")</f>
        <v/>
      </c>
      <c r="AJ1591" s="54">
        <f>IF(AND(AF1591=1,AE1591&gt;=set_FYStart,AE1591&lt;=set_AsAt),1,0)</f>
        <v/>
      </c>
      <c r="AK1591" s="54">
        <f>IF(AND(AJ1591=1,AH1591&lt;&gt;"",COUNTIFS($AH$2:AH1591,AH1591,$AJ$2:AJ1591,1)=1),N(AL1590)+1,"")</f>
        <v/>
      </c>
      <c r="AL1591" s="54">
        <f>IF(AK1591&lt;&gt;"",AK1591,N(AL1590))</f>
        <v/>
      </c>
    </row>
    <row r="1592">
      <c r="A1592" t="inlineStr">
        <is>
          <t>ONS-0531</t>
        </is>
      </c>
      <c r="B1592" t="inlineStr">
        <is>
          <t>Onsite</t>
        </is>
      </c>
      <c r="AB1592" t="n">
        <v>531</v>
      </c>
      <c r="AD1592" s="52">
        <f>IFERROR(N(IFERROR(INDEX($A1592:$AB1592,MATCH("Xero Invoiced Ex GST",$A$1:$AB$1,0)),"")),0)</f>
        <v/>
      </c>
      <c r="AE1592" s="53">
        <f>IFERROR(INDEX($A1592:$AB1592,MATCH("Xero Invoice Date",$A$1:$AB$1,0)),"")</f>
        <v/>
      </c>
      <c r="AF1592" s="54">
        <f>IF(AND(IFERROR(INDEX($A1592:$AB1592,MATCH("Xero Invoice No",$A$1:$AB$1,0)),"")&amp;""&lt;&gt;"",ISNUMBER(AE1592),AD1592&lt;&gt;0),1,0)</f>
        <v/>
      </c>
      <c r="AG1592" s="55">
        <f>IF(AF1592=1,EOMONTH(AE1592,0),"")</f>
        <v/>
      </c>
      <c r="AH1592" s="9">
        <f>IF(AF1592=1,UPPER(TRIM(IFERROR(INDEX($A1592:$AB1592,MATCH("Client",$A$1:$AB$1,0)),"")&amp;"")),"")</f>
        <v/>
      </c>
      <c r="AI1592" s="9">
        <f>IF(AF1592=1,IFERROR(INDEX($A1592:$AB1592,MATCH("Cost Centre",$A$1:$AB$1,0)),"")&amp;"","")</f>
        <v/>
      </c>
      <c r="AJ1592" s="54">
        <f>IF(AND(AF1592=1,AE1592&gt;=set_FYStart,AE1592&lt;=set_AsAt),1,0)</f>
        <v/>
      </c>
      <c r="AK1592" s="54">
        <f>IF(AND(AJ1592=1,AH1592&lt;&gt;"",COUNTIFS($AH$2:AH1592,AH1592,$AJ$2:AJ1592,1)=1),N(AL1591)+1,"")</f>
        <v/>
      </c>
      <c r="AL1592" s="54">
        <f>IF(AK1592&lt;&gt;"",AK1592,N(AL1591))</f>
        <v/>
      </c>
    </row>
    <row r="1593">
      <c r="A1593" t="inlineStr">
        <is>
          <t>PRD-0531</t>
        </is>
      </c>
      <c r="B1593" t="inlineStr">
        <is>
          <t>Production</t>
        </is>
      </c>
      <c r="AB1593" t="n">
        <v>531</v>
      </c>
      <c r="AD1593" s="52">
        <f>IFERROR(N(IFERROR(INDEX($A1593:$AB1593,MATCH("Xero Invoiced Ex GST",$A$1:$AB$1,0)),"")),0)</f>
        <v/>
      </c>
      <c r="AE1593" s="53">
        <f>IFERROR(INDEX($A1593:$AB1593,MATCH("Xero Invoice Date",$A$1:$AB$1,0)),"")</f>
        <v/>
      </c>
      <c r="AF1593" s="54">
        <f>IF(AND(IFERROR(INDEX($A1593:$AB1593,MATCH("Xero Invoice No",$A$1:$AB$1,0)),"")&amp;""&lt;&gt;"",ISNUMBER(AE1593),AD1593&lt;&gt;0),1,0)</f>
        <v/>
      </c>
      <c r="AG1593" s="55">
        <f>IF(AF1593=1,EOMONTH(AE1593,0),"")</f>
        <v/>
      </c>
      <c r="AH1593" s="9">
        <f>IF(AF1593=1,UPPER(TRIM(IFERROR(INDEX($A1593:$AB1593,MATCH("Client",$A$1:$AB$1,0)),"")&amp;"")),"")</f>
        <v/>
      </c>
      <c r="AI1593" s="9">
        <f>IF(AF1593=1,IFERROR(INDEX($A1593:$AB1593,MATCH("Cost Centre",$A$1:$AB$1,0)),"")&amp;"","")</f>
        <v/>
      </c>
      <c r="AJ1593" s="54">
        <f>IF(AND(AF1593=1,AE1593&gt;=set_FYStart,AE1593&lt;=set_AsAt),1,0)</f>
        <v/>
      </c>
      <c r="AK1593" s="54">
        <f>IF(AND(AJ1593=1,AH1593&lt;&gt;"",COUNTIFS($AH$2:AH1593,AH1593,$AJ$2:AJ1593,1)=1),N(AL1592)+1,"")</f>
        <v/>
      </c>
      <c r="AL1593" s="54">
        <f>IF(AK1593&lt;&gt;"",AK1593,N(AL1592))</f>
        <v/>
      </c>
    </row>
    <row r="1594">
      <c r="A1594" t="inlineStr">
        <is>
          <t>CON-0531</t>
        </is>
      </c>
      <c r="B1594" t="inlineStr">
        <is>
          <t>Consulting</t>
        </is>
      </c>
      <c r="AB1594" t="n">
        <v>531</v>
      </c>
      <c r="AD1594" s="52">
        <f>IFERROR(N(IFERROR(INDEX($A1594:$AB1594,MATCH("Xero Invoiced Ex GST",$A$1:$AB$1,0)),"")),0)</f>
        <v/>
      </c>
      <c r="AE1594" s="53">
        <f>IFERROR(INDEX($A1594:$AB1594,MATCH("Xero Invoice Date",$A$1:$AB$1,0)),"")</f>
        <v/>
      </c>
      <c r="AF1594" s="54">
        <f>IF(AND(IFERROR(INDEX($A1594:$AB1594,MATCH("Xero Invoice No",$A$1:$AB$1,0)),"")&amp;""&lt;&gt;"",ISNUMBER(AE1594),AD1594&lt;&gt;0),1,0)</f>
        <v/>
      </c>
      <c r="AG1594" s="55">
        <f>IF(AF1594=1,EOMONTH(AE1594,0),"")</f>
        <v/>
      </c>
      <c r="AH1594" s="9">
        <f>IF(AF1594=1,UPPER(TRIM(IFERROR(INDEX($A1594:$AB1594,MATCH("Client",$A$1:$AB$1,0)),"")&amp;"")),"")</f>
        <v/>
      </c>
      <c r="AI1594" s="9">
        <f>IF(AF1594=1,IFERROR(INDEX($A1594:$AB1594,MATCH("Cost Centre",$A$1:$AB$1,0)),"")&amp;"","")</f>
        <v/>
      </c>
      <c r="AJ1594" s="54">
        <f>IF(AND(AF1594=1,AE1594&gt;=set_FYStart,AE1594&lt;=set_AsAt),1,0)</f>
        <v/>
      </c>
      <c r="AK1594" s="54">
        <f>IF(AND(AJ1594=1,AH1594&lt;&gt;"",COUNTIFS($AH$2:AH1594,AH1594,$AJ$2:AJ1594,1)=1),N(AL1593)+1,"")</f>
        <v/>
      </c>
      <c r="AL1594" s="54">
        <f>IF(AK1594&lt;&gt;"",AK1594,N(AL1593))</f>
        <v/>
      </c>
    </row>
    <row r="1595">
      <c r="A1595" t="inlineStr">
        <is>
          <t>ONS-0532</t>
        </is>
      </c>
      <c r="B1595" t="inlineStr">
        <is>
          <t>Onsite</t>
        </is>
      </c>
      <c r="AB1595" t="n">
        <v>532</v>
      </c>
      <c r="AD1595" s="52">
        <f>IFERROR(N(IFERROR(INDEX($A1595:$AB1595,MATCH("Xero Invoiced Ex GST",$A$1:$AB$1,0)),"")),0)</f>
        <v/>
      </c>
      <c r="AE1595" s="53">
        <f>IFERROR(INDEX($A1595:$AB1595,MATCH("Xero Invoice Date",$A$1:$AB$1,0)),"")</f>
        <v/>
      </c>
      <c r="AF1595" s="54">
        <f>IF(AND(IFERROR(INDEX($A1595:$AB1595,MATCH("Xero Invoice No",$A$1:$AB$1,0)),"")&amp;""&lt;&gt;"",ISNUMBER(AE1595),AD1595&lt;&gt;0),1,0)</f>
        <v/>
      </c>
      <c r="AG1595" s="55">
        <f>IF(AF1595=1,EOMONTH(AE1595,0),"")</f>
        <v/>
      </c>
      <c r="AH1595" s="9">
        <f>IF(AF1595=1,UPPER(TRIM(IFERROR(INDEX($A1595:$AB1595,MATCH("Client",$A$1:$AB$1,0)),"")&amp;"")),"")</f>
        <v/>
      </c>
      <c r="AI1595" s="9">
        <f>IF(AF1595=1,IFERROR(INDEX($A1595:$AB1595,MATCH("Cost Centre",$A$1:$AB$1,0)),"")&amp;"","")</f>
        <v/>
      </c>
      <c r="AJ1595" s="54">
        <f>IF(AND(AF1595=1,AE1595&gt;=set_FYStart,AE1595&lt;=set_AsAt),1,0)</f>
        <v/>
      </c>
      <c r="AK1595" s="54">
        <f>IF(AND(AJ1595=1,AH1595&lt;&gt;"",COUNTIFS($AH$2:AH1595,AH1595,$AJ$2:AJ1595,1)=1),N(AL1594)+1,"")</f>
        <v/>
      </c>
      <c r="AL1595" s="54">
        <f>IF(AK1595&lt;&gt;"",AK1595,N(AL1594))</f>
        <v/>
      </c>
    </row>
    <row r="1596">
      <c r="A1596" t="inlineStr">
        <is>
          <t>PRD-0532</t>
        </is>
      </c>
      <c r="B1596" t="inlineStr">
        <is>
          <t>Production</t>
        </is>
      </c>
      <c r="AB1596" t="n">
        <v>532</v>
      </c>
      <c r="AD1596" s="52">
        <f>IFERROR(N(IFERROR(INDEX($A1596:$AB1596,MATCH("Xero Invoiced Ex GST",$A$1:$AB$1,0)),"")),0)</f>
        <v/>
      </c>
      <c r="AE1596" s="53">
        <f>IFERROR(INDEX($A1596:$AB1596,MATCH("Xero Invoice Date",$A$1:$AB$1,0)),"")</f>
        <v/>
      </c>
      <c r="AF1596" s="54">
        <f>IF(AND(IFERROR(INDEX($A1596:$AB1596,MATCH("Xero Invoice No",$A$1:$AB$1,0)),"")&amp;""&lt;&gt;"",ISNUMBER(AE1596),AD1596&lt;&gt;0),1,0)</f>
        <v/>
      </c>
      <c r="AG1596" s="55">
        <f>IF(AF1596=1,EOMONTH(AE1596,0),"")</f>
        <v/>
      </c>
      <c r="AH1596" s="9">
        <f>IF(AF1596=1,UPPER(TRIM(IFERROR(INDEX($A1596:$AB1596,MATCH("Client",$A$1:$AB$1,0)),"")&amp;"")),"")</f>
        <v/>
      </c>
      <c r="AI1596" s="9">
        <f>IF(AF1596=1,IFERROR(INDEX($A1596:$AB1596,MATCH("Cost Centre",$A$1:$AB$1,0)),"")&amp;"","")</f>
        <v/>
      </c>
      <c r="AJ1596" s="54">
        <f>IF(AND(AF1596=1,AE1596&gt;=set_FYStart,AE1596&lt;=set_AsAt),1,0)</f>
        <v/>
      </c>
      <c r="AK1596" s="54">
        <f>IF(AND(AJ1596=1,AH1596&lt;&gt;"",COUNTIFS($AH$2:AH1596,AH1596,$AJ$2:AJ1596,1)=1),N(AL1595)+1,"")</f>
        <v/>
      </c>
      <c r="AL1596" s="54">
        <f>IF(AK1596&lt;&gt;"",AK1596,N(AL1595))</f>
        <v/>
      </c>
    </row>
    <row r="1597">
      <c r="A1597" t="inlineStr">
        <is>
          <t>CON-0532</t>
        </is>
      </c>
      <c r="B1597" t="inlineStr">
        <is>
          <t>Consulting</t>
        </is>
      </c>
      <c r="AB1597" t="n">
        <v>532</v>
      </c>
      <c r="AD1597" s="52">
        <f>IFERROR(N(IFERROR(INDEX($A1597:$AB1597,MATCH("Xero Invoiced Ex GST",$A$1:$AB$1,0)),"")),0)</f>
        <v/>
      </c>
      <c r="AE1597" s="53">
        <f>IFERROR(INDEX($A1597:$AB1597,MATCH("Xero Invoice Date",$A$1:$AB$1,0)),"")</f>
        <v/>
      </c>
      <c r="AF1597" s="54">
        <f>IF(AND(IFERROR(INDEX($A1597:$AB1597,MATCH("Xero Invoice No",$A$1:$AB$1,0)),"")&amp;""&lt;&gt;"",ISNUMBER(AE1597),AD1597&lt;&gt;0),1,0)</f>
        <v/>
      </c>
      <c r="AG1597" s="55">
        <f>IF(AF1597=1,EOMONTH(AE1597,0),"")</f>
        <v/>
      </c>
      <c r="AH1597" s="9">
        <f>IF(AF1597=1,UPPER(TRIM(IFERROR(INDEX($A1597:$AB1597,MATCH("Client",$A$1:$AB$1,0)),"")&amp;"")),"")</f>
        <v/>
      </c>
      <c r="AI1597" s="9">
        <f>IF(AF1597=1,IFERROR(INDEX($A1597:$AB1597,MATCH("Cost Centre",$A$1:$AB$1,0)),"")&amp;"","")</f>
        <v/>
      </c>
      <c r="AJ1597" s="54">
        <f>IF(AND(AF1597=1,AE1597&gt;=set_FYStart,AE1597&lt;=set_AsAt),1,0)</f>
        <v/>
      </c>
      <c r="AK1597" s="54">
        <f>IF(AND(AJ1597=1,AH1597&lt;&gt;"",COUNTIFS($AH$2:AH1597,AH1597,$AJ$2:AJ1597,1)=1),N(AL1596)+1,"")</f>
        <v/>
      </c>
      <c r="AL1597" s="54">
        <f>IF(AK1597&lt;&gt;"",AK1597,N(AL1596))</f>
        <v/>
      </c>
    </row>
    <row r="1598">
      <c r="A1598" t="inlineStr">
        <is>
          <t>ONS-0533</t>
        </is>
      </c>
      <c r="B1598" t="inlineStr">
        <is>
          <t>Onsite</t>
        </is>
      </c>
      <c r="AB1598" t="n">
        <v>533</v>
      </c>
      <c r="AD1598" s="52">
        <f>IFERROR(N(IFERROR(INDEX($A1598:$AB1598,MATCH("Xero Invoiced Ex GST",$A$1:$AB$1,0)),"")),0)</f>
        <v/>
      </c>
      <c r="AE1598" s="53">
        <f>IFERROR(INDEX($A1598:$AB1598,MATCH("Xero Invoice Date",$A$1:$AB$1,0)),"")</f>
        <v/>
      </c>
      <c r="AF1598" s="54">
        <f>IF(AND(IFERROR(INDEX($A1598:$AB1598,MATCH("Xero Invoice No",$A$1:$AB$1,0)),"")&amp;""&lt;&gt;"",ISNUMBER(AE1598),AD1598&lt;&gt;0),1,0)</f>
        <v/>
      </c>
      <c r="AG1598" s="55">
        <f>IF(AF1598=1,EOMONTH(AE1598,0),"")</f>
        <v/>
      </c>
      <c r="AH1598" s="9">
        <f>IF(AF1598=1,UPPER(TRIM(IFERROR(INDEX($A1598:$AB1598,MATCH("Client",$A$1:$AB$1,0)),"")&amp;"")),"")</f>
        <v/>
      </c>
      <c r="AI1598" s="9">
        <f>IF(AF1598=1,IFERROR(INDEX($A1598:$AB1598,MATCH("Cost Centre",$A$1:$AB$1,0)),"")&amp;"","")</f>
        <v/>
      </c>
      <c r="AJ1598" s="54">
        <f>IF(AND(AF1598=1,AE1598&gt;=set_FYStart,AE1598&lt;=set_AsAt),1,0)</f>
        <v/>
      </c>
      <c r="AK1598" s="54">
        <f>IF(AND(AJ1598=1,AH1598&lt;&gt;"",COUNTIFS($AH$2:AH1598,AH1598,$AJ$2:AJ1598,1)=1),N(AL1597)+1,"")</f>
        <v/>
      </c>
      <c r="AL1598" s="54">
        <f>IF(AK1598&lt;&gt;"",AK1598,N(AL1597))</f>
        <v/>
      </c>
    </row>
    <row r="1599">
      <c r="A1599" t="inlineStr">
        <is>
          <t>PRD-0533</t>
        </is>
      </c>
      <c r="B1599" t="inlineStr">
        <is>
          <t>Production</t>
        </is>
      </c>
      <c r="AB1599" t="n">
        <v>533</v>
      </c>
      <c r="AD1599" s="52">
        <f>IFERROR(N(IFERROR(INDEX($A1599:$AB1599,MATCH("Xero Invoiced Ex GST",$A$1:$AB$1,0)),"")),0)</f>
        <v/>
      </c>
      <c r="AE1599" s="53">
        <f>IFERROR(INDEX($A1599:$AB1599,MATCH("Xero Invoice Date",$A$1:$AB$1,0)),"")</f>
        <v/>
      </c>
      <c r="AF1599" s="54">
        <f>IF(AND(IFERROR(INDEX($A1599:$AB1599,MATCH("Xero Invoice No",$A$1:$AB$1,0)),"")&amp;""&lt;&gt;"",ISNUMBER(AE1599),AD1599&lt;&gt;0),1,0)</f>
        <v/>
      </c>
      <c r="AG1599" s="55">
        <f>IF(AF1599=1,EOMONTH(AE1599,0),"")</f>
        <v/>
      </c>
      <c r="AH1599" s="9">
        <f>IF(AF1599=1,UPPER(TRIM(IFERROR(INDEX($A1599:$AB1599,MATCH("Client",$A$1:$AB$1,0)),"")&amp;"")),"")</f>
        <v/>
      </c>
      <c r="AI1599" s="9">
        <f>IF(AF1599=1,IFERROR(INDEX($A1599:$AB1599,MATCH("Cost Centre",$A$1:$AB$1,0)),"")&amp;"","")</f>
        <v/>
      </c>
      <c r="AJ1599" s="54">
        <f>IF(AND(AF1599=1,AE1599&gt;=set_FYStart,AE1599&lt;=set_AsAt),1,0)</f>
        <v/>
      </c>
      <c r="AK1599" s="54">
        <f>IF(AND(AJ1599=1,AH1599&lt;&gt;"",COUNTIFS($AH$2:AH1599,AH1599,$AJ$2:AJ1599,1)=1),N(AL1598)+1,"")</f>
        <v/>
      </c>
      <c r="AL1599" s="54">
        <f>IF(AK1599&lt;&gt;"",AK1599,N(AL1598))</f>
        <v/>
      </c>
    </row>
    <row r="1600">
      <c r="A1600" t="inlineStr">
        <is>
          <t>CON-0533</t>
        </is>
      </c>
      <c r="B1600" t="inlineStr">
        <is>
          <t>Consulting</t>
        </is>
      </c>
      <c r="AB1600" t="n">
        <v>533</v>
      </c>
      <c r="AD1600" s="52">
        <f>IFERROR(N(IFERROR(INDEX($A1600:$AB1600,MATCH("Xero Invoiced Ex GST",$A$1:$AB$1,0)),"")),0)</f>
        <v/>
      </c>
      <c r="AE1600" s="53">
        <f>IFERROR(INDEX($A1600:$AB1600,MATCH("Xero Invoice Date",$A$1:$AB$1,0)),"")</f>
        <v/>
      </c>
      <c r="AF1600" s="54">
        <f>IF(AND(IFERROR(INDEX($A1600:$AB1600,MATCH("Xero Invoice No",$A$1:$AB$1,0)),"")&amp;""&lt;&gt;"",ISNUMBER(AE1600),AD1600&lt;&gt;0),1,0)</f>
        <v/>
      </c>
      <c r="AG1600" s="55">
        <f>IF(AF1600=1,EOMONTH(AE1600,0),"")</f>
        <v/>
      </c>
      <c r="AH1600" s="9">
        <f>IF(AF1600=1,UPPER(TRIM(IFERROR(INDEX($A1600:$AB1600,MATCH("Client",$A$1:$AB$1,0)),"")&amp;"")),"")</f>
        <v/>
      </c>
      <c r="AI1600" s="9">
        <f>IF(AF1600=1,IFERROR(INDEX($A1600:$AB1600,MATCH("Cost Centre",$A$1:$AB$1,0)),"")&amp;"","")</f>
        <v/>
      </c>
      <c r="AJ1600" s="54">
        <f>IF(AND(AF1600=1,AE1600&gt;=set_FYStart,AE1600&lt;=set_AsAt),1,0)</f>
        <v/>
      </c>
      <c r="AK1600" s="54">
        <f>IF(AND(AJ1600=1,AH1600&lt;&gt;"",COUNTIFS($AH$2:AH1600,AH1600,$AJ$2:AJ1600,1)=1),N(AL1599)+1,"")</f>
        <v/>
      </c>
      <c r="AL1600" s="54">
        <f>IF(AK1600&lt;&gt;"",AK1600,N(AL1599))</f>
        <v/>
      </c>
    </row>
    <row r="1601">
      <c r="A1601" t="inlineStr">
        <is>
          <t>ONS-0534</t>
        </is>
      </c>
      <c r="B1601" t="inlineStr">
        <is>
          <t>Onsite</t>
        </is>
      </c>
      <c r="AB1601" t="n">
        <v>534</v>
      </c>
      <c r="AD1601" s="52">
        <f>IFERROR(N(IFERROR(INDEX($A1601:$AB1601,MATCH("Xero Invoiced Ex GST",$A$1:$AB$1,0)),"")),0)</f>
        <v/>
      </c>
      <c r="AE1601" s="53">
        <f>IFERROR(INDEX($A1601:$AB1601,MATCH("Xero Invoice Date",$A$1:$AB$1,0)),"")</f>
        <v/>
      </c>
      <c r="AF1601" s="54">
        <f>IF(AND(IFERROR(INDEX($A1601:$AB1601,MATCH("Xero Invoice No",$A$1:$AB$1,0)),"")&amp;""&lt;&gt;"",ISNUMBER(AE1601),AD1601&lt;&gt;0),1,0)</f>
        <v/>
      </c>
      <c r="AG1601" s="55">
        <f>IF(AF1601=1,EOMONTH(AE1601,0),"")</f>
        <v/>
      </c>
      <c r="AH1601" s="9">
        <f>IF(AF1601=1,UPPER(TRIM(IFERROR(INDEX($A1601:$AB1601,MATCH("Client",$A$1:$AB$1,0)),"")&amp;"")),"")</f>
        <v/>
      </c>
      <c r="AI1601" s="9">
        <f>IF(AF1601=1,IFERROR(INDEX($A1601:$AB1601,MATCH("Cost Centre",$A$1:$AB$1,0)),"")&amp;"","")</f>
        <v/>
      </c>
      <c r="AJ1601" s="54">
        <f>IF(AND(AF1601=1,AE1601&gt;=set_FYStart,AE1601&lt;=set_AsAt),1,0)</f>
        <v/>
      </c>
      <c r="AK1601" s="54">
        <f>IF(AND(AJ1601=1,AH1601&lt;&gt;"",COUNTIFS($AH$2:AH1601,AH1601,$AJ$2:AJ1601,1)=1),N(AL1600)+1,"")</f>
        <v/>
      </c>
      <c r="AL1601" s="54">
        <f>IF(AK1601&lt;&gt;"",AK1601,N(AL1600))</f>
        <v/>
      </c>
    </row>
    <row r="1602">
      <c r="A1602" t="inlineStr">
        <is>
          <t>PRD-0534</t>
        </is>
      </c>
      <c r="B1602" t="inlineStr">
        <is>
          <t>Production</t>
        </is>
      </c>
      <c r="AB1602" t="n">
        <v>534</v>
      </c>
      <c r="AD1602" s="52">
        <f>IFERROR(N(IFERROR(INDEX($A1602:$AB1602,MATCH("Xero Invoiced Ex GST",$A$1:$AB$1,0)),"")),0)</f>
        <v/>
      </c>
      <c r="AE1602" s="53">
        <f>IFERROR(INDEX($A1602:$AB1602,MATCH("Xero Invoice Date",$A$1:$AB$1,0)),"")</f>
        <v/>
      </c>
      <c r="AF1602" s="54">
        <f>IF(AND(IFERROR(INDEX($A1602:$AB1602,MATCH("Xero Invoice No",$A$1:$AB$1,0)),"")&amp;""&lt;&gt;"",ISNUMBER(AE1602),AD1602&lt;&gt;0),1,0)</f>
        <v/>
      </c>
      <c r="AG1602" s="55">
        <f>IF(AF1602=1,EOMONTH(AE1602,0),"")</f>
        <v/>
      </c>
      <c r="AH1602" s="9">
        <f>IF(AF1602=1,UPPER(TRIM(IFERROR(INDEX($A1602:$AB1602,MATCH("Client",$A$1:$AB$1,0)),"")&amp;"")),"")</f>
        <v/>
      </c>
      <c r="AI1602" s="9">
        <f>IF(AF1602=1,IFERROR(INDEX($A1602:$AB1602,MATCH("Cost Centre",$A$1:$AB$1,0)),"")&amp;"","")</f>
        <v/>
      </c>
      <c r="AJ1602" s="54">
        <f>IF(AND(AF1602=1,AE1602&gt;=set_FYStart,AE1602&lt;=set_AsAt),1,0)</f>
        <v/>
      </c>
      <c r="AK1602" s="54">
        <f>IF(AND(AJ1602=1,AH1602&lt;&gt;"",COUNTIFS($AH$2:AH1602,AH1602,$AJ$2:AJ1602,1)=1),N(AL1601)+1,"")</f>
        <v/>
      </c>
      <c r="AL1602" s="54">
        <f>IF(AK1602&lt;&gt;"",AK1602,N(AL1601))</f>
        <v/>
      </c>
    </row>
    <row r="1603">
      <c r="A1603" t="inlineStr">
        <is>
          <t>CON-0534</t>
        </is>
      </c>
      <c r="B1603" t="inlineStr">
        <is>
          <t>Consulting</t>
        </is>
      </c>
      <c r="AB1603" t="n">
        <v>534</v>
      </c>
      <c r="AD1603" s="52">
        <f>IFERROR(N(IFERROR(INDEX($A1603:$AB1603,MATCH("Xero Invoiced Ex GST",$A$1:$AB$1,0)),"")),0)</f>
        <v/>
      </c>
      <c r="AE1603" s="53">
        <f>IFERROR(INDEX($A1603:$AB1603,MATCH("Xero Invoice Date",$A$1:$AB$1,0)),"")</f>
        <v/>
      </c>
      <c r="AF1603" s="54">
        <f>IF(AND(IFERROR(INDEX($A1603:$AB1603,MATCH("Xero Invoice No",$A$1:$AB$1,0)),"")&amp;""&lt;&gt;"",ISNUMBER(AE1603),AD1603&lt;&gt;0),1,0)</f>
        <v/>
      </c>
      <c r="AG1603" s="55">
        <f>IF(AF1603=1,EOMONTH(AE1603,0),"")</f>
        <v/>
      </c>
      <c r="AH1603" s="9">
        <f>IF(AF1603=1,UPPER(TRIM(IFERROR(INDEX($A1603:$AB1603,MATCH("Client",$A$1:$AB$1,0)),"")&amp;"")),"")</f>
        <v/>
      </c>
      <c r="AI1603" s="9">
        <f>IF(AF1603=1,IFERROR(INDEX($A1603:$AB1603,MATCH("Cost Centre",$A$1:$AB$1,0)),"")&amp;"","")</f>
        <v/>
      </c>
      <c r="AJ1603" s="54">
        <f>IF(AND(AF1603=1,AE1603&gt;=set_FYStart,AE1603&lt;=set_AsAt),1,0)</f>
        <v/>
      </c>
      <c r="AK1603" s="54">
        <f>IF(AND(AJ1603=1,AH1603&lt;&gt;"",COUNTIFS($AH$2:AH1603,AH1603,$AJ$2:AJ1603,1)=1),N(AL1602)+1,"")</f>
        <v/>
      </c>
      <c r="AL1603" s="54">
        <f>IF(AK1603&lt;&gt;"",AK1603,N(AL1602))</f>
        <v/>
      </c>
    </row>
    <row r="1604">
      <c r="A1604" t="inlineStr">
        <is>
          <t>ONS-0535</t>
        </is>
      </c>
      <c r="B1604" t="inlineStr">
        <is>
          <t>Onsite</t>
        </is>
      </c>
      <c r="AB1604" t="n">
        <v>535</v>
      </c>
      <c r="AD1604" s="52">
        <f>IFERROR(N(IFERROR(INDEX($A1604:$AB1604,MATCH("Xero Invoiced Ex GST",$A$1:$AB$1,0)),"")),0)</f>
        <v/>
      </c>
      <c r="AE1604" s="53">
        <f>IFERROR(INDEX($A1604:$AB1604,MATCH("Xero Invoice Date",$A$1:$AB$1,0)),"")</f>
        <v/>
      </c>
      <c r="AF1604" s="54">
        <f>IF(AND(IFERROR(INDEX($A1604:$AB1604,MATCH("Xero Invoice No",$A$1:$AB$1,0)),"")&amp;""&lt;&gt;"",ISNUMBER(AE1604),AD1604&lt;&gt;0),1,0)</f>
        <v/>
      </c>
      <c r="AG1604" s="55">
        <f>IF(AF1604=1,EOMONTH(AE1604,0),"")</f>
        <v/>
      </c>
      <c r="AH1604" s="9">
        <f>IF(AF1604=1,UPPER(TRIM(IFERROR(INDEX($A1604:$AB1604,MATCH("Client",$A$1:$AB$1,0)),"")&amp;"")),"")</f>
        <v/>
      </c>
      <c r="AI1604" s="9">
        <f>IF(AF1604=1,IFERROR(INDEX($A1604:$AB1604,MATCH("Cost Centre",$A$1:$AB$1,0)),"")&amp;"","")</f>
        <v/>
      </c>
      <c r="AJ1604" s="54">
        <f>IF(AND(AF1604=1,AE1604&gt;=set_FYStart,AE1604&lt;=set_AsAt),1,0)</f>
        <v/>
      </c>
      <c r="AK1604" s="54">
        <f>IF(AND(AJ1604=1,AH1604&lt;&gt;"",COUNTIFS($AH$2:AH1604,AH1604,$AJ$2:AJ1604,1)=1),N(AL1603)+1,"")</f>
        <v/>
      </c>
      <c r="AL1604" s="54">
        <f>IF(AK1604&lt;&gt;"",AK1604,N(AL1603))</f>
        <v/>
      </c>
    </row>
    <row r="1605">
      <c r="A1605" t="inlineStr">
        <is>
          <t>PRD-0535</t>
        </is>
      </c>
      <c r="B1605" t="inlineStr">
        <is>
          <t>Production</t>
        </is>
      </c>
      <c r="AB1605" t="n">
        <v>535</v>
      </c>
      <c r="AD1605" s="52">
        <f>IFERROR(N(IFERROR(INDEX($A1605:$AB1605,MATCH("Xero Invoiced Ex GST",$A$1:$AB$1,0)),"")),0)</f>
        <v/>
      </c>
      <c r="AE1605" s="53">
        <f>IFERROR(INDEX($A1605:$AB1605,MATCH("Xero Invoice Date",$A$1:$AB$1,0)),"")</f>
        <v/>
      </c>
      <c r="AF1605" s="54">
        <f>IF(AND(IFERROR(INDEX($A1605:$AB1605,MATCH("Xero Invoice No",$A$1:$AB$1,0)),"")&amp;""&lt;&gt;"",ISNUMBER(AE1605),AD1605&lt;&gt;0),1,0)</f>
        <v/>
      </c>
      <c r="AG1605" s="55">
        <f>IF(AF1605=1,EOMONTH(AE1605,0),"")</f>
        <v/>
      </c>
      <c r="AH1605" s="9">
        <f>IF(AF1605=1,UPPER(TRIM(IFERROR(INDEX($A1605:$AB1605,MATCH("Client",$A$1:$AB$1,0)),"")&amp;"")),"")</f>
        <v/>
      </c>
      <c r="AI1605" s="9">
        <f>IF(AF1605=1,IFERROR(INDEX($A1605:$AB1605,MATCH("Cost Centre",$A$1:$AB$1,0)),"")&amp;"","")</f>
        <v/>
      </c>
      <c r="AJ1605" s="54">
        <f>IF(AND(AF1605=1,AE1605&gt;=set_FYStart,AE1605&lt;=set_AsAt),1,0)</f>
        <v/>
      </c>
      <c r="AK1605" s="54">
        <f>IF(AND(AJ1605=1,AH1605&lt;&gt;"",COUNTIFS($AH$2:AH1605,AH1605,$AJ$2:AJ1605,1)=1),N(AL1604)+1,"")</f>
        <v/>
      </c>
      <c r="AL1605" s="54">
        <f>IF(AK1605&lt;&gt;"",AK1605,N(AL1604))</f>
        <v/>
      </c>
    </row>
    <row r="1606">
      <c r="A1606" t="inlineStr">
        <is>
          <t>CON-0535</t>
        </is>
      </c>
      <c r="B1606" t="inlineStr">
        <is>
          <t>Consulting</t>
        </is>
      </c>
      <c r="AB1606" t="n">
        <v>535</v>
      </c>
      <c r="AD1606" s="52">
        <f>IFERROR(N(IFERROR(INDEX($A1606:$AB1606,MATCH("Xero Invoiced Ex GST",$A$1:$AB$1,0)),"")),0)</f>
        <v/>
      </c>
      <c r="AE1606" s="53">
        <f>IFERROR(INDEX($A1606:$AB1606,MATCH("Xero Invoice Date",$A$1:$AB$1,0)),"")</f>
        <v/>
      </c>
      <c r="AF1606" s="54">
        <f>IF(AND(IFERROR(INDEX($A1606:$AB1606,MATCH("Xero Invoice No",$A$1:$AB$1,0)),"")&amp;""&lt;&gt;"",ISNUMBER(AE1606),AD1606&lt;&gt;0),1,0)</f>
        <v/>
      </c>
      <c r="AG1606" s="55">
        <f>IF(AF1606=1,EOMONTH(AE1606,0),"")</f>
        <v/>
      </c>
      <c r="AH1606" s="9">
        <f>IF(AF1606=1,UPPER(TRIM(IFERROR(INDEX($A1606:$AB1606,MATCH("Client",$A$1:$AB$1,0)),"")&amp;"")),"")</f>
        <v/>
      </c>
      <c r="AI1606" s="9">
        <f>IF(AF1606=1,IFERROR(INDEX($A1606:$AB1606,MATCH("Cost Centre",$A$1:$AB$1,0)),"")&amp;"","")</f>
        <v/>
      </c>
      <c r="AJ1606" s="54">
        <f>IF(AND(AF1606=1,AE1606&gt;=set_FYStart,AE1606&lt;=set_AsAt),1,0)</f>
        <v/>
      </c>
      <c r="AK1606" s="54">
        <f>IF(AND(AJ1606=1,AH1606&lt;&gt;"",COUNTIFS($AH$2:AH1606,AH1606,$AJ$2:AJ1606,1)=1),N(AL1605)+1,"")</f>
        <v/>
      </c>
      <c r="AL1606" s="54">
        <f>IF(AK1606&lt;&gt;"",AK1606,N(AL1605))</f>
        <v/>
      </c>
    </row>
    <row r="1607">
      <c r="A1607" t="inlineStr">
        <is>
          <t>ONS-0536</t>
        </is>
      </c>
      <c r="B1607" t="inlineStr">
        <is>
          <t>Onsite</t>
        </is>
      </c>
      <c r="AB1607" t="n">
        <v>536</v>
      </c>
      <c r="AD1607" s="52">
        <f>IFERROR(N(IFERROR(INDEX($A1607:$AB1607,MATCH("Xero Invoiced Ex GST",$A$1:$AB$1,0)),"")),0)</f>
        <v/>
      </c>
      <c r="AE1607" s="53">
        <f>IFERROR(INDEX($A1607:$AB1607,MATCH("Xero Invoice Date",$A$1:$AB$1,0)),"")</f>
        <v/>
      </c>
      <c r="AF1607" s="54">
        <f>IF(AND(IFERROR(INDEX($A1607:$AB1607,MATCH("Xero Invoice No",$A$1:$AB$1,0)),"")&amp;""&lt;&gt;"",ISNUMBER(AE1607),AD1607&lt;&gt;0),1,0)</f>
        <v/>
      </c>
      <c r="AG1607" s="55">
        <f>IF(AF1607=1,EOMONTH(AE1607,0),"")</f>
        <v/>
      </c>
      <c r="AH1607" s="9">
        <f>IF(AF1607=1,UPPER(TRIM(IFERROR(INDEX($A1607:$AB1607,MATCH("Client",$A$1:$AB$1,0)),"")&amp;"")),"")</f>
        <v/>
      </c>
      <c r="AI1607" s="9">
        <f>IF(AF1607=1,IFERROR(INDEX($A1607:$AB1607,MATCH("Cost Centre",$A$1:$AB$1,0)),"")&amp;"","")</f>
        <v/>
      </c>
      <c r="AJ1607" s="54">
        <f>IF(AND(AF1607=1,AE1607&gt;=set_FYStart,AE1607&lt;=set_AsAt),1,0)</f>
        <v/>
      </c>
      <c r="AK1607" s="54">
        <f>IF(AND(AJ1607=1,AH1607&lt;&gt;"",COUNTIFS($AH$2:AH1607,AH1607,$AJ$2:AJ1607,1)=1),N(AL1606)+1,"")</f>
        <v/>
      </c>
      <c r="AL1607" s="54">
        <f>IF(AK1607&lt;&gt;"",AK1607,N(AL1606))</f>
        <v/>
      </c>
    </row>
    <row r="1608">
      <c r="A1608" t="inlineStr">
        <is>
          <t>PRD-0536</t>
        </is>
      </c>
      <c r="B1608" t="inlineStr">
        <is>
          <t>Production</t>
        </is>
      </c>
      <c r="AB1608" t="n">
        <v>536</v>
      </c>
      <c r="AD1608" s="52">
        <f>IFERROR(N(IFERROR(INDEX($A1608:$AB1608,MATCH("Xero Invoiced Ex GST",$A$1:$AB$1,0)),"")),0)</f>
        <v/>
      </c>
      <c r="AE1608" s="53">
        <f>IFERROR(INDEX($A1608:$AB1608,MATCH("Xero Invoice Date",$A$1:$AB$1,0)),"")</f>
        <v/>
      </c>
      <c r="AF1608" s="54">
        <f>IF(AND(IFERROR(INDEX($A1608:$AB1608,MATCH("Xero Invoice No",$A$1:$AB$1,0)),"")&amp;""&lt;&gt;"",ISNUMBER(AE1608),AD1608&lt;&gt;0),1,0)</f>
        <v/>
      </c>
      <c r="AG1608" s="55">
        <f>IF(AF1608=1,EOMONTH(AE1608,0),"")</f>
        <v/>
      </c>
      <c r="AH1608" s="9">
        <f>IF(AF1608=1,UPPER(TRIM(IFERROR(INDEX($A1608:$AB1608,MATCH("Client",$A$1:$AB$1,0)),"")&amp;"")),"")</f>
        <v/>
      </c>
      <c r="AI1608" s="9">
        <f>IF(AF1608=1,IFERROR(INDEX($A1608:$AB1608,MATCH("Cost Centre",$A$1:$AB$1,0)),"")&amp;"","")</f>
        <v/>
      </c>
      <c r="AJ1608" s="54">
        <f>IF(AND(AF1608=1,AE1608&gt;=set_FYStart,AE1608&lt;=set_AsAt),1,0)</f>
        <v/>
      </c>
      <c r="AK1608" s="54">
        <f>IF(AND(AJ1608=1,AH1608&lt;&gt;"",COUNTIFS($AH$2:AH1608,AH1608,$AJ$2:AJ1608,1)=1),N(AL1607)+1,"")</f>
        <v/>
      </c>
      <c r="AL1608" s="54">
        <f>IF(AK1608&lt;&gt;"",AK1608,N(AL1607))</f>
        <v/>
      </c>
    </row>
    <row r="1609">
      <c r="A1609" t="inlineStr">
        <is>
          <t>CON-0536</t>
        </is>
      </c>
      <c r="B1609" t="inlineStr">
        <is>
          <t>Consulting</t>
        </is>
      </c>
      <c r="AB1609" t="n">
        <v>536</v>
      </c>
      <c r="AD1609" s="52">
        <f>IFERROR(N(IFERROR(INDEX($A1609:$AB1609,MATCH("Xero Invoiced Ex GST",$A$1:$AB$1,0)),"")),0)</f>
        <v/>
      </c>
      <c r="AE1609" s="53">
        <f>IFERROR(INDEX($A1609:$AB1609,MATCH("Xero Invoice Date",$A$1:$AB$1,0)),"")</f>
        <v/>
      </c>
      <c r="AF1609" s="54">
        <f>IF(AND(IFERROR(INDEX($A1609:$AB1609,MATCH("Xero Invoice No",$A$1:$AB$1,0)),"")&amp;""&lt;&gt;"",ISNUMBER(AE1609),AD1609&lt;&gt;0),1,0)</f>
        <v/>
      </c>
      <c r="AG1609" s="55">
        <f>IF(AF1609=1,EOMONTH(AE1609,0),"")</f>
        <v/>
      </c>
      <c r="AH1609" s="9">
        <f>IF(AF1609=1,UPPER(TRIM(IFERROR(INDEX($A1609:$AB1609,MATCH("Client",$A$1:$AB$1,0)),"")&amp;"")),"")</f>
        <v/>
      </c>
      <c r="AI1609" s="9">
        <f>IF(AF1609=1,IFERROR(INDEX($A1609:$AB1609,MATCH("Cost Centre",$A$1:$AB$1,0)),"")&amp;"","")</f>
        <v/>
      </c>
      <c r="AJ1609" s="54">
        <f>IF(AND(AF1609=1,AE1609&gt;=set_FYStart,AE1609&lt;=set_AsAt),1,0)</f>
        <v/>
      </c>
      <c r="AK1609" s="54">
        <f>IF(AND(AJ1609=1,AH1609&lt;&gt;"",COUNTIFS($AH$2:AH1609,AH1609,$AJ$2:AJ1609,1)=1),N(AL1608)+1,"")</f>
        <v/>
      </c>
      <c r="AL1609" s="54">
        <f>IF(AK1609&lt;&gt;"",AK1609,N(AL1608))</f>
        <v/>
      </c>
    </row>
    <row r="1610">
      <c r="A1610" t="inlineStr">
        <is>
          <t>ONS-0537</t>
        </is>
      </c>
      <c r="B1610" t="inlineStr">
        <is>
          <t>Onsite</t>
        </is>
      </c>
      <c r="AB1610" t="n">
        <v>537</v>
      </c>
      <c r="AD1610" s="52">
        <f>IFERROR(N(IFERROR(INDEX($A1610:$AB1610,MATCH("Xero Invoiced Ex GST",$A$1:$AB$1,0)),"")),0)</f>
        <v/>
      </c>
      <c r="AE1610" s="53">
        <f>IFERROR(INDEX($A1610:$AB1610,MATCH("Xero Invoice Date",$A$1:$AB$1,0)),"")</f>
        <v/>
      </c>
      <c r="AF1610" s="54">
        <f>IF(AND(IFERROR(INDEX($A1610:$AB1610,MATCH("Xero Invoice No",$A$1:$AB$1,0)),"")&amp;""&lt;&gt;"",ISNUMBER(AE1610),AD1610&lt;&gt;0),1,0)</f>
        <v/>
      </c>
      <c r="AG1610" s="55">
        <f>IF(AF1610=1,EOMONTH(AE1610,0),"")</f>
        <v/>
      </c>
      <c r="AH1610" s="9">
        <f>IF(AF1610=1,UPPER(TRIM(IFERROR(INDEX($A1610:$AB1610,MATCH("Client",$A$1:$AB$1,0)),"")&amp;"")),"")</f>
        <v/>
      </c>
      <c r="AI1610" s="9">
        <f>IF(AF1610=1,IFERROR(INDEX($A1610:$AB1610,MATCH("Cost Centre",$A$1:$AB$1,0)),"")&amp;"","")</f>
        <v/>
      </c>
      <c r="AJ1610" s="54">
        <f>IF(AND(AF1610=1,AE1610&gt;=set_FYStart,AE1610&lt;=set_AsAt),1,0)</f>
        <v/>
      </c>
      <c r="AK1610" s="54">
        <f>IF(AND(AJ1610=1,AH1610&lt;&gt;"",COUNTIFS($AH$2:AH1610,AH1610,$AJ$2:AJ1610,1)=1),N(AL1609)+1,"")</f>
        <v/>
      </c>
      <c r="AL1610" s="54">
        <f>IF(AK1610&lt;&gt;"",AK1610,N(AL1609))</f>
        <v/>
      </c>
    </row>
    <row r="1611">
      <c r="A1611" t="inlineStr">
        <is>
          <t>PRD-0537</t>
        </is>
      </c>
      <c r="B1611" t="inlineStr">
        <is>
          <t>Production</t>
        </is>
      </c>
      <c r="AB1611" t="n">
        <v>537</v>
      </c>
      <c r="AD1611" s="52">
        <f>IFERROR(N(IFERROR(INDEX($A1611:$AB1611,MATCH("Xero Invoiced Ex GST",$A$1:$AB$1,0)),"")),0)</f>
        <v/>
      </c>
      <c r="AE1611" s="53">
        <f>IFERROR(INDEX($A1611:$AB1611,MATCH("Xero Invoice Date",$A$1:$AB$1,0)),"")</f>
        <v/>
      </c>
      <c r="AF1611" s="54">
        <f>IF(AND(IFERROR(INDEX($A1611:$AB1611,MATCH("Xero Invoice No",$A$1:$AB$1,0)),"")&amp;""&lt;&gt;"",ISNUMBER(AE1611),AD1611&lt;&gt;0),1,0)</f>
        <v/>
      </c>
      <c r="AG1611" s="55">
        <f>IF(AF1611=1,EOMONTH(AE1611,0),"")</f>
        <v/>
      </c>
      <c r="AH1611" s="9">
        <f>IF(AF1611=1,UPPER(TRIM(IFERROR(INDEX($A1611:$AB1611,MATCH("Client",$A$1:$AB$1,0)),"")&amp;"")),"")</f>
        <v/>
      </c>
      <c r="AI1611" s="9">
        <f>IF(AF1611=1,IFERROR(INDEX($A1611:$AB1611,MATCH("Cost Centre",$A$1:$AB$1,0)),"")&amp;"","")</f>
        <v/>
      </c>
      <c r="AJ1611" s="54">
        <f>IF(AND(AF1611=1,AE1611&gt;=set_FYStart,AE1611&lt;=set_AsAt),1,0)</f>
        <v/>
      </c>
      <c r="AK1611" s="54">
        <f>IF(AND(AJ1611=1,AH1611&lt;&gt;"",COUNTIFS($AH$2:AH1611,AH1611,$AJ$2:AJ1611,1)=1),N(AL1610)+1,"")</f>
        <v/>
      </c>
      <c r="AL1611" s="54">
        <f>IF(AK1611&lt;&gt;"",AK1611,N(AL1610))</f>
        <v/>
      </c>
    </row>
    <row r="1612">
      <c r="A1612" t="inlineStr">
        <is>
          <t>CON-0537</t>
        </is>
      </c>
      <c r="B1612" t="inlineStr">
        <is>
          <t>Consulting</t>
        </is>
      </c>
      <c r="AB1612" t="n">
        <v>537</v>
      </c>
      <c r="AD1612" s="52">
        <f>IFERROR(N(IFERROR(INDEX($A1612:$AB1612,MATCH("Xero Invoiced Ex GST",$A$1:$AB$1,0)),"")),0)</f>
        <v/>
      </c>
      <c r="AE1612" s="53">
        <f>IFERROR(INDEX($A1612:$AB1612,MATCH("Xero Invoice Date",$A$1:$AB$1,0)),"")</f>
        <v/>
      </c>
      <c r="AF1612" s="54">
        <f>IF(AND(IFERROR(INDEX($A1612:$AB1612,MATCH("Xero Invoice No",$A$1:$AB$1,0)),"")&amp;""&lt;&gt;"",ISNUMBER(AE1612),AD1612&lt;&gt;0),1,0)</f>
        <v/>
      </c>
      <c r="AG1612" s="55">
        <f>IF(AF1612=1,EOMONTH(AE1612,0),"")</f>
        <v/>
      </c>
      <c r="AH1612" s="9">
        <f>IF(AF1612=1,UPPER(TRIM(IFERROR(INDEX($A1612:$AB1612,MATCH("Client",$A$1:$AB$1,0)),"")&amp;"")),"")</f>
        <v/>
      </c>
      <c r="AI1612" s="9">
        <f>IF(AF1612=1,IFERROR(INDEX($A1612:$AB1612,MATCH("Cost Centre",$A$1:$AB$1,0)),"")&amp;"","")</f>
        <v/>
      </c>
      <c r="AJ1612" s="54">
        <f>IF(AND(AF1612=1,AE1612&gt;=set_FYStart,AE1612&lt;=set_AsAt),1,0)</f>
        <v/>
      </c>
      <c r="AK1612" s="54">
        <f>IF(AND(AJ1612=1,AH1612&lt;&gt;"",COUNTIFS($AH$2:AH1612,AH1612,$AJ$2:AJ1612,1)=1),N(AL1611)+1,"")</f>
        <v/>
      </c>
      <c r="AL1612" s="54">
        <f>IF(AK1612&lt;&gt;"",AK1612,N(AL1611))</f>
        <v/>
      </c>
    </row>
    <row r="1613">
      <c r="A1613" t="inlineStr">
        <is>
          <t>ONS-0538</t>
        </is>
      </c>
      <c r="B1613" t="inlineStr">
        <is>
          <t>Onsite</t>
        </is>
      </c>
      <c r="AB1613" t="n">
        <v>538</v>
      </c>
      <c r="AD1613" s="52">
        <f>IFERROR(N(IFERROR(INDEX($A1613:$AB1613,MATCH("Xero Invoiced Ex GST",$A$1:$AB$1,0)),"")),0)</f>
        <v/>
      </c>
      <c r="AE1613" s="53">
        <f>IFERROR(INDEX($A1613:$AB1613,MATCH("Xero Invoice Date",$A$1:$AB$1,0)),"")</f>
        <v/>
      </c>
      <c r="AF1613" s="54">
        <f>IF(AND(IFERROR(INDEX($A1613:$AB1613,MATCH("Xero Invoice No",$A$1:$AB$1,0)),"")&amp;""&lt;&gt;"",ISNUMBER(AE1613),AD1613&lt;&gt;0),1,0)</f>
        <v/>
      </c>
      <c r="AG1613" s="55">
        <f>IF(AF1613=1,EOMONTH(AE1613,0),"")</f>
        <v/>
      </c>
      <c r="AH1613" s="9">
        <f>IF(AF1613=1,UPPER(TRIM(IFERROR(INDEX($A1613:$AB1613,MATCH("Client",$A$1:$AB$1,0)),"")&amp;"")),"")</f>
        <v/>
      </c>
      <c r="AI1613" s="9">
        <f>IF(AF1613=1,IFERROR(INDEX($A1613:$AB1613,MATCH("Cost Centre",$A$1:$AB$1,0)),"")&amp;"","")</f>
        <v/>
      </c>
      <c r="AJ1613" s="54">
        <f>IF(AND(AF1613=1,AE1613&gt;=set_FYStart,AE1613&lt;=set_AsAt),1,0)</f>
        <v/>
      </c>
      <c r="AK1613" s="54">
        <f>IF(AND(AJ1613=1,AH1613&lt;&gt;"",COUNTIFS($AH$2:AH1613,AH1613,$AJ$2:AJ1613,1)=1),N(AL1612)+1,"")</f>
        <v/>
      </c>
      <c r="AL1613" s="54">
        <f>IF(AK1613&lt;&gt;"",AK1613,N(AL1612))</f>
        <v/>
      </c>
    </row>
    <row r="1614">
      <c r="A1614" t="inlineStr">
        <is>
          <t>PRD-0538</t>
        </is>
      </c>
      <c r="B1614" t="inlineStr">
        <is>
          <t>Production</t>
        </is>
      </c>
      <c r="AB1614" t="n">
        <v>538</v>
      </c>
      <c r="AD1614" s="52">
        <f>IFERROR(N(IFERROR(INDEX($A1614:$AB1614,MATCH("Xero Invoiced Ex GST",$A$1:$AB$1,0)),"")),0)</f>
        <v/>
      </c>
      <c r="AE1614" s="53">
        <f>IFERROR(INDEX($A1614:$AB1614,MATCH("Xero Invoice Date",$A$1:$AB$1,0)),"")</f>
        <v/>
      </c>
      <c r="AF1614" s="54">
        <f>IF(AND(IFERROR(INDEX($A1614:$AB1614,MATCH("Xero Invoice No",$A$1:$AB$1,0)),"")&amp;""&lt;&gt;"",ISNUMBER(AE1614),AD1614&lt;&gt;0),1,0)</f>
        <v/>
      </c>
      <c r="AG1614" s="55">
        <f>IF(AF1614=1,EOMONTH(AE1614,0),"")</f>
        <v/>
      </c>
      <c r="AH1614" s="9">
        <f>IF(AF1614=1,UPPER(TRIM(IFERROR(INDEX($A1614:$AB1614,MATCH("Client",$A$1:$AB$1,0)),"")&amp;"")),"")</f>
        <v/>
      </c>
      <c r="AI1614" s="9">
        <f>IF(AF1614=1,IFERROR(INDEX($A1614:$AB1614,MATCH("Cost Centre",$A$1:$AB$1,0)),"")&amp;"","")</f>
        <v/>
      </c>
      <c r="AJ1614" s="54">
        <f>IF(AND(AF1614=1,AE1614&gt;=set_FYStart,AE1614&lt;=set_AsAt),1,0)</f>
        <v/>
      </c>
      <c r="AK1614" s="54">
        <f>IF(AND(AJ1614=1,AH1614&lt;&gt;"",COUNTIFS($AH$2:AH1614,AH1614,$AJ$2:AJ1614,1)=1),N(AL1613)+1,"")</f>
        <v/>
      </c>
      <c r="AL1614" s="54">
        <f>IF(AK1614&lt;&gt;"",AK1614,N(AL1613))</f>
        <v/>
      </c>
    </row>
    <row r="1615">
      <c r="A1615" t="inlineStr">
        <is>
          <t>CON-0538</t>
        </is>
      </c>
      <c r="B1615" t="inlineStr">
        <is>
          <t>Consulting</t>
        </is>
      </c>
      <c r="AB1615" t="n">
        <v>538</v>
      </c>
      <c r="AD1615" s="52">
        <f>IFERROR(N(IFERROR(INDEX($A1615:$AB1615,MATCH("Xero Invoiced Ex GST",$A$1:$AB$1,0)),"")),0)</f>
        <v/>
      </c>
      <c r="AE1615" s="53">
        <f>IFERROR(INDEX($A1615:$AB1615,MATCH("Xero Invoice Date",$A$1:$AB$1,0)),"")</f>
        <v/>
      </c>
      <c r="AF1615" s="54">
        <f>IF(AND(IFERROR(INDEX($A1615:$AB1615,MATCH("Xero Invoice No",$A$1:$AB$1,0)),"")&amp;""&lt;&gt;"",ISNUMBER(AE1615),AD1615&lt;&gt;0),1,0)</f>
        <v/>
      </c>
      <c r="AG1615" s="55">
        <f>IF(AF1615=1,EOMONTH(AE1615,0),"")</f>
        <v/>
      </c>
      <c r="AH1615" s="9">
        <f>IF(AF1615=1,UPPER(TRIM(IFERROR(INDEX($A1615:$AB1615,MATCH("Client",$A$1:$AB$1,0)),"")&amp;"")),"")</f>
        <v/>
      </c>
      <c r="AI1615" s="9">
        <f>IF(AF1615=1,IFERROR(INDEX($A1615:$AB1615,MATCH("Cost Centre",$A$1:$AB$1,0)),"")&amp;"","")</f>
        <v/>
      </c>
      <c r="AJ1615" s="54">
        <f>IF(AND(AF1615=1,AE1615&gt;=set_FYStart,AE1615&lt;=set_AsAt),1,0)</f>
        <v/>
      </c>
      <c r="AK1615" s="54">
        <f>IF(AND(AJ1615=1,AH1615&lt;&gt;"",COUNTIFS($AH$2:AH1615,AH1615,$AJ$2:AJ1615,1)=1),N(AL1614)+1,"")</f>
        <v/>
      </c>
      <c r="AL1615" s="54">
        <f>IF(AK1615&lt;&gt;"",AK1615,N(AL1614))</f>
        <v/>
      </c>
    </row>
    <row r="1616">
      <c r="A1616" t="inlineStr">
        <is>
          <t>ONS-0539</t>
        </is>
      </c>
      <c r="B1616" t="inlineStr">
        <is>
          <t>Onsite</t>
        </is>
      </c>
      <c r="AB1616" t="n">
        <v>539</v>
      </c>
      <c r="AD1616" s="52">
        <f>IFERROR(N(IFERROR(INDEX($A1616:$AB1616,MATCH("Xero Invoiced Ex GST",$A$1:$AB$1,0)),"")),0)</f>
        <v/>
      </c>
      <c r="AE1616" s="53">
        <f>IFERROR(INDEX($A1616:$AB1616,MATCH("Xero Invoice Date",$A$1:$AB$1,0)),"")</f>
        <v/>
      </c>
      <c r="AF1616" s="54">
        <f>IF(AND(IFERROR(INDEX($A1616:$AB1616,MATCH("Xero Invoice No",$A$1:$AB$1,0)),"")&amp;""&lt;&gt;"",ISNUMBER(AE1616),AD1616&lt;&gt;0),1,0)</f>
        <v/>
      </c>
      <c r="AG1616" s="55">
        <f>IF(AF1616=1,EOMONTH(AE1616,0),"")</f>
        <v/>
      </c>
      <c r="AH1616" s="9">
        <f>IF(AF1616=1,UPPER(TRIM(IFERROR(INDEX($A1616:$AB1616,MATCH("Client",$A$1:$AB$1,0)),"")&amp;"")),"")</f>
        <v/>
      </c>
      <c r="AI1616" s="9">
        <f>IF(AF1616=1,IFERROR(INDEX($A1616:$AB1616,MATCH("Cost Centre",$A$1:$AB$1,0)),"")&amp;"","")</f>
        <v/>
      </c>
      <c r="AJ1616" s="54">
        <f>IF(AND(AF1616=1,AE1616&gt;=set_FYStart,AE1616&lt;=set_AsAt),1,0)</f>
        <v/>
      </c>
      <c r="AK1616" s="54">
        <f>IF(AND(AJ1616=1,AH1616&lt;&gt;"",COUNTIFS($AH$2:AH1616,AH1616,$AJ$2:AJ1616,1)=1),N(AL1615)+1,"")</f>
        <v/>
      </c>
      <c r="AL1616" s="54">
        <f>IF(AK1616&lt;&gt;"",AK1616,N(AL1615))</f>
        <v/>
      </c>
    </row>
    <row r="1617">
      <c r="A1617" t="inlineStr">
        <is>
          <t>PRD-0539</t>
        </is>
      </c>
      <c r="B1617" t="inlineStr">
        <is>
          <t>Production</t>
        </is>
      </c>
      <c r="AB1617" t="n">
        <v>539</v>
      </c>
      <c r="AD1617" s="52">
        <f>IFERROR(N(IFERROR(INDEX($A1617:$AB1617,MATCH("Xero Invoiced Ex GST",$A$1:$AB$1,0)),"")),0)</f>
        <v/>
      </c>
      <c r="AE1617" s="53">
        <f>IFERROR(INDEX($A1617:$AB1617,MATCH("Xero Invoice Date",$A$1:$AB$1,0)),"")</f>
        <v/>
      </c>
      <c r="AF1617" s="54">
        <f>IF(AND(IFERROR(INDEX($A1617:$AB1617,MATCH("Xero Invoice No",$A$1:$AB$1,0)),"")&amp;""&lt;&gt;"",ISNUMBER(AE1617),AD1617&lt;&gt;0),1,0)</f>
        <v/>
      </c>
      <c r="AG1617" s="55">
        <f>IF(AF1617=1,EOMONTH(AE1617,0),"")</f>
        <v/>
      </c>
      <c r="AH1617" s="9">
        <f>IF(AF1617=1,UPPER(TRIM(IFERROR(INDEX($A1617:$AB1617,MATCH("Client",$A$1:$AB$1,0)),"")&amp;"")),"")</f>
        <v/>
      </c>
      <c r="AI1617" s="9">
        <f>IF(AF1617=1,IFERROR(INDEX($A1617:$AB1617,MATCH("Cost Centre",$A$1:$AB$1,0)),"")&amp;"","")</f>
        <v/>
      </c>
      <c r="AJ1617" s="54">
        <f>IF(AND(AF1617=1,AE1617&gt;=set_FYStart,AE1617&lt;=set_AsAt),1,0)</f>
        <v/>
      </c>
      <c r="AK1617" s="54">
        <f>IF(AND(AJ1617=1,AH1617&lt;&gt;"",COUNTIFS($AH$2:AH1617,AH1617,$AJ$2:AJ1617,1)=1),N(AL1616)+1,"")</f>
        <v/>
      </c>
      <c r="AL1617" s="54">
        <f>IF(AK1617&lt;&gt;"",AK1617,N(AL1616))</f>
        <v/>
      </c>
    </row>
    <row r="1618">
      <c r="A1618" t="inlineStr">
        <is>
          <t>CON-0539</t>
        </is>
      </c>
      <c r="B1618" t="inlineStr">
        <is>
          <t>Consulting</t>
        </is>
      </c>
      <c r="AB1618" t="n">
        <v>539</v>
      </c>
      <c r="AD1618" s="52">
        <f>IFERROR(N(IFERROR(INDEX($A1618:$AB1618,MATCH("Xero Invoiced Ex GST",$A$1:$AB$1,0)),"")),0)</f>
        <v/>
      </c>
      <c r="AE1618" s="53">
        <f>IFERROR(INDEX($A1618:$AB1618,MATCH("Xero Invoice Date",$A$1:$AB$1,0)),"")</f>
        <v/>
      </c>
      <c r="AF1618" s="54">
        <f>IF(AND(IFERROR(INDEX($A1618:$AB1618,MATCH("Xero Invoice No",$A$1:$AB$1,0)),"")&amp;""&lt;&gt;"",ISNUMBER(AE1618),AD1618&lt;&gt;0),1,0)</f>
        <v/>
      </c>
      <c r="AG1618" s="55">
        <f>IF(AF1618=1,EOMONTH(AE1618,0),"")</f>
        <v/>
      </c>
      <c r="AH1618" s="9">
        <f>IF(AF1618=1,UPPER(TRIM(IFERROR(INDEX($A1618:$AB1618,MATCH("Client",$A$1:$AB$1,0)),"")&amp;"")),"")</f>
        <v/>
      </c>
      <c r="AI1618" s="9">
        <f>IF(AF1618=1,IFERROR(INDEX($A1618:$AB1618,MATCH("Cost Centre",$A$1:$AB$1,0)),"")&amp;"","")</f>
        <v/>
      </c>
      <c r="AJ1618" s="54">
        <f>IF(AND(AF1618=1,AE1618&gt;=set_FYStart,AE1618&lt;=set_AsAt),1,0)</f>
        <v/>
      </c>
      <c r="AK1618" s="54">
        <f>IF(AND(AJ1618=1,AH1618&lt;&gt;"",COUNTIFS($AH$2:AH1618,AH1618,$AJ$2:AJ1618,1)=1),N(AL1617)+1,"")</f>
        <v/>
      </c>
      <c r="AL1618" s="54">
        <f>IF(AK1618&lt;&gt;"",AK1618,N(AL1617))</f>
        <v/>
      </c>
    </row>
    <row r="1619">
      <c r="A1619" t="inlineStr">
        <is>
          <t>ONS-0540</t>
        </is>
      </c>
      <c r="B1619" t="inlineStr">
        <is>
          <t>Onsite</t>
        </is>
      </c>
      <c r="AB1619" t="n">
        <v>540</v>
      </c>
      <c r="AD1619" s="52">
        <f>IFERROR(N(IFERROR(INDEX($A1619:$AB1619,MATCH("Xero Invoiced Ex GST",$A$1:$AB$1,0)),"")),0)</f>
        <v/>
      </c>
      <c r="AE1619" s="53">
        <f>IFERROR(INDEX($A1619:$AB1619,MATCH("Xero Invoice Date",$A$1:$AB$1,0)),"")</f>
        <v/>
      </c>
      <c r="AF1619" s="54">
        <f>IF(AND(IFERROR(INDEX($A1619:$AB1619,MATCH("Xero Invoice No",$A$1:$AB$1,0)),"")&amp;""&lt;&gt;"",ISNUMBER(AE1619),AD1619&lt;&gt;0),1,0)</f>
        <v/>
      </c>
      <c r="AG1619" s="55">
        <f>IF(AF1619=1,EOMONTH(AE1619,0),"")</f>
        <v/>
      </c>
      <c r="AH1619" s="9">
        <f>IF(AF1619=1,UPPER(TRIM(IFERROR(INDEX($A1619:$AB1619,MATCH("Client",$A$1:$AB$1,0)),"")&amp;"")),"")</f>
        <v/>
      </c>
      <c r="AI1619" s="9">
        <f>IF(AF1619=1,IFERROR(INDEX($A1619:$AB1619,MATCH("Cost Centre",$A$1:$AB$1,0)),"")&amp;"","")</f>
        <v/>
      </c>
      <c r="AJ1619" s="54">
        <f>IF(AND(AF1619=1,AE1619&gt;=set_FYStart,AE1619&lt;=set_AsAt),1,0)</f>
        <v/>
      </c>
      <c r="AK1619" s="54">
        <f>IF(AND(AJ1619=1,AH1619&lt;&gt;"",COUNTIFS($AH$2:AH1619,AH1619,$AJ$2:AJ1619,1)=1),N(AL1618)+1,"")</f>
        <v/>
      </c>
      <c r="AL1619" s="54">
        <f>IF(AK1619&lt;&gt;"",AK1619,N(AL1618))</f>
        <v/>
      </c>
    </row>
    <row r="1620">
      <c r="A1620" t="inlineStr">
        <is>
          <t>PRD-0540</t>
        </is>
      </c>
      <c r="B1620" t="inlineStr">
        <is>
          <t>Production</t>
        </is>
      </c>
      <c r="AB1620" t="n">
        <v>540</v>
      </c>
      <c r="AD1620" s="52">
        <f>IFERROR(N(IFERROR(INDEX($A1620:$AB1620,MATCH("Xero Invoiced Ex GST",$A$1:$AB$1,0)),"")),0)</f>
        <v/>
      </c>
      <c r="AE1620" s="53">
        <f>IFERROR(INDEX($A1620:$AB1620,MATCH("Xero Invoice Date",$A$1:$AB$1,0)),"")</f>
        <v/>
      </c>
      <c r="AF1620" s="54">
        <f>IF(AND(IFERROR(INDEX($A1620:$AB1620,MATCH("Xero Invoice No",$A$1:$AB$1,0)),"")&amp;""&lt;&gt;"",ISNUMBER(AE1620),AD1620&lt;&gt;0),1,0)</f>
        <v/>
      </c>
      <c r="AG1620" s="55">
        <f>IF(AF1620=1,EOMONTH(AE1620,0),"")</f>
        <v/>
      </c>
      <c r="AH1620" s="9">
        <f>IF(AF1620=1,UPPER(TRIM(IFERROR(INDEX($A1620:$AB1620,MATCH("Client",$A$1:$AB$1,0)),"")&amp;"")),"")</f>
        <v/>
      </c>
      <c r="AI1620" s="9">
        <f>IF(AF1620=1,IFERROR(INDEX($A1620:$AB1620,MATCH("Cost Centre",$A$1:$AB$1,0)),"")&amp;"","")</f>
        <v/>
      </c>
      <c r="AJ1620" s="54">
        <f>IF(AND(AF1620=1,AE1620&gt;=set_FYStart,AE1620&lt;=set_AsAt),1,0)</f>
        <v/>
      </c>
      <c r="AK1620" s="54">
        <f>IF(AND(AJ1620=1,AH1620&lt;&gt;"",COUNTIFS($AH$2:AH1620,AH1620,$AJ$2:AJ1620,1)=1),N(AL1619)+1,"")</f>
        <v/>
      </c>
      <c r="AL1620" s="54">
        <f>IF(AK1620&lt;&gt;"",AK1620,N(AL1619))</f>
        <v/>
      </c>
    </row>
    <row r="1621">
      <c r="A1621" t="inlineStr">
        <is>
          <t>CON-0540</t>
        </is>
      </c>
      <c r="B1621" t="inlineStr">
        <is>
          <t>Consulting</t>
        </is>
      </c>
      <c r="AB1621" t="n">
        <v>540</v>
      </c>
      <c r="AD1621" s="52">
        <f>IFERROR(N(IFERROR(INDEX($A1621:$AB1621,MATCH("Xero Invoiced Ex GST",$A$1:$AB$1,0)),"")),0)</f>
        <v/>
      </c>
      <c r="AE1621" s="53">
        <f>IFERROR(INDEX($A1621:$AB1621,MATCH("Xero Invoice Date",$A$1:$AB$1,0)),"")</f>
        <v/>
      </c>
      <c r="AF1621" s="54">
        <f>IF(AND(IFERROR(INDEX($A1621:$AB1621,MATCH("Xero Invoice No",$A$1:$AB$1,0)),"")&amp;""&lt;&gt;"",ISNUMBER(AE1621),AD1621&lt;&gt;0),1,0)</f>
        <v/>
      </c>
      <c r="AG1621" s="55">
        <f>IF(AF1621=1,EOMONTH(AE1621,0),"")</f>
        <v/>
      </c>
      <c r="AH1621" s="9">
        <f>IF(AF1621=1,UPPER(TRIM(IFERROR(INDEX($A1621:$AB1621,MATCH("Client",$A$1:$AB$1,0)),"")&amp;"")),"")</f>
        <v/>
      </c>
      <c r="AI1621" s="9">
        <f>IF(AF1621=1,IFERROR(INDEX($A1621:$AB1621,MATCH("Cost Centre",$A$1:$AB$1,0)),"")&amp;"","")</f>
        <v/>
      </c>
      <c r="AJ1621" s="54">
        <f>IF(AND(AF1621=1,AE1621&gt;=set_FYStart,AE1621&lt;=set_AsAt),1,0)</f>
        <v/>
      </c>
      <c r="AK1621" s="54">
        <f>IF(AND(AJ1621=1,AH1621&lt;&gt;"",COUNTIFS($AH$2:AH1621,AH1621,$AJ$2:AJ1621,1)=1),N(AL1620)+1,"")</f>
        <v/>
      </c>
      <c r="AL1621" s="54">
        <f>IF(AK1621&lt;&gt;"",AK1621,N(AL1620))</f>
        <v/>
      </c>
    </row>
    <row r="1622">
      <c r="A1622" t="inlineStr">
        <is>
          <t>ONS-0541</t>
        </is>
      </c>
      <c r="B1622" t="inlineStr">
        <is>
          <t>Onsite</t>
        </is>
      </c>
      <c r="AB1622" t="n">
        <v>541</v>
      </c>
      <c r="AD1622" s="52">
        <f>IFERROR(N(IFERROR(INDEX($A1622:$AB1622,MATCH("Xero Invoiced Ex GST",$A$1:$AB$1,0)),"")),0)</f>
        <v/>
      </c>
      <c r="AE1622" s="53">
        <f>IFERROR(INDEX($A1622:$AB1622,MATCH("Xero Invoice Date",$A$1:$AB$1,0)),"")</f>
        <v/>
      </c>
      <c r="AF1622" s="54">
        <f>IF(AND(IFERROR(INDEX($A1622:$AB1622,MATCH("Xero Invoice No",$A$1:$AB$1,0)),"")&amp;""&lt;&gt;"",ISNUMBER(AE1622),AD1622&lt;&gt;0),1,0)</f>
        <v/>
      </c>
      <c r="AG1622" s="55">
        <f>IF(AF1622=1,EOMONTH(AE1622,0),"")</f>
        <v/>
      </c>
      <c r="AH1622" s="9">
        <f>IF(AF1622=1,UPPER(TRIM(IFERROR(INDEX($A1622:$AB1622,MATCH("Client",$A$1:$AB$1,0)),"")&amp;"")),"")</f>
        <v/>
      </c>
      <c r="AI1622" s="9">
        <f>IF(AF1622=1,IFERROR(INDEX($A1622:$AB1622,MATCH("Cost Centre",$A$1:$AB$1,0)),"")&amp;"","")</f>
        <v/>
      </c>
      <c r="AJ1622" s="54">
        <f>IF(AND(AF1622=1,AE1622&gt;=set_FYStart,AE1622&lt;=set_AsAt),1,0)</f>
        <v/>
      </c>
      <c r="AK1622" s="54">
        <f>IF(AND(AJ1622=1,AH1622&lt;&gt;"",COUNTIFS($AH$2:AH1622,AH1622,$AJ$2:AJ1622,1)=1),N(AL1621)+1,"")</f>
        <v/>
      </c>
      <c r="AL1622" s="54">
        <f>IF(AK1622&lt;&gt;"",AK1622,N(AL1621))</f>
        <v/>
      </c>
    </row>
    <row r="1623">
      <c r="A1623" t="inlineStr">
        <is>
          <t>PRD-0541</t>
        </is>
      </c>
      <c r="B1623" t="inlineStr">
        <is>
          <t>Production</t>
        </is>
      </c>
      <c r="AB1623" t="n">
        <v>541</v>
      </c>
      <c r="AD1623" s="52">
        <f>IFERROR(N(IFERROR(INDEX($A1623:$AB1623,MATCH("Xero Invoiced Ex GST",$A$1:$AB$1,0)),"")),0)</f>
        <v/>
      </c>
      <c r="AE1623" s="53">
        <f>IFERROR(INDEX($A1623:$AB1623,MATCH("Xero Invoice Date",$A$1:$AB$1,0)),"")</f>
        <v/>
      </c>
      <c r="AF1623" s="54">
        <f>IF(AND(IFERROR(INDEX($A1623:$AB1623,MATCH("Xero Invoice No",$A$1:$AB$1,0)),"")&amp;""&lt;&gt;"",ISNUMBER(AE1623),AD1623&lt;&gt;0),1,0)</f>
        <v/>
      </c>
      <c r="AG1623" s="55">
        <f>IF(AF1623=1,EOMONTH(AE1623,0),"")</f>
        <v/>
      </c>
      <c r="AH1623" s="9">
        <f>IF(AF1623=1,UPPER(TRIM(IFERROR(INDEX($A1623:$AB1623,MATCH("Client",$A$1:$AB$1,0)),"")&amp;"")),"")</f>
        <v/>
      </c>
      <c r="AI1623" s="9">
        <f>IF(AF1623=1,IFERROR(INDEX($A1623:$AB1623,MATCH("Cost Centre",$A$1:$AB$1,0)),"")&amp;"","")</f>
        <v/>
      </c>
      <c r="AJ1623" s="54">
        <f>IF(AND(AF1623=1,AE1623&gt;=set_FYStart,AE1623&lt;=set_AsAt),1,0)</f>
        <v/>
      </c>
      <c r="AK1623" s="54">
        <f>IF(AND(AJ1623=1,AH1623&lt;&gt;"",COUNTIFS($AH$2:AH1623,AH1623,$AJ$2:AJ1623,1)=1),N(AL1622)+1,"")</f>
        <v/>
      </c>
      <c r="AL1623" s="54">
        <f>IF(AK1623&lt;&gt;"",AK1623,N(AL1622))</f>
        <v/>
      </c>
    </row>
    <row r="1624">
      <c r="A1624" t="inlineStr">
        <is>
          <t>CON-0541</t>
        </is>
      </c>
      <c r="B1624" t="inlineStr">
        <is>
          <t>Consulting</t>
        </is>
      </c>
      <c r="AB1624" t="n">
        <v>541</v>
      </c>
      <c r="AD1624" s="52">
        <f>IFERROR(N(IFERROR(INDEX($A1624:$AB1624,MATCH("Xero Invoiced Ex GST",$A$1:$AB$1,0)),"")),0)</f>
        <v/>
      </c>
      <c r="AE1624" s="53">
        <f>IFERROR(INDEX($A1624:$AB1624,MATCH("Xero Invoice Date",$A$1:$AB$1,0)),"")</f>
        <v/>
      </c>
      <c r="AF1624" s="54">
        <f>IF(AND(IFERROR(INDEX($A1624:$AB1624,MATCH("Xero Invoice No",$A$1:$AB$1,0)),"")&amp;""&lt;&gt;"",ISNUMBER(AE1624),AD1624&lt;&gt;0),1,0)</f>
        <v/>
      </c>
      <c r="AG1624" s="55">
        <f>IF(AF1624=1,EOMONTH(AE1624,0),"")</f>
        <v/>
      </c>
      <c r="AH1624" s="9">
        <f>IF(AF1624=1,UPPER(TRIM(IFERROR(INDEX($A1624:$AB1624,MATCH("Client",$A$1:$AB$1,0)),"")&amp;"")),"")</f>
        <v/>
      </c>
      <c r="AI1624" s="9">
        <f>IF(AF1624=1,IFERROR(INDEX($A1624:$AB1624,MATCH("Cost Centre",$A$1:$AB$1,0)),"")&amp;"","")</f>
        <v/>
      </c>
      <c r="AJ1624" s="54">
        <f>IF(AND(AF1624=1,AE1624&gt;=set_FYStart,AE1624&lt;=set_AsAt),1,0)</f>
        <v/>
      </c>
      <c r="AK1624" s="54">
        <f>IF(AND(AJ1624=1,AH1624&lt;&gt;"",COUNTIFS($AH$2:AH1624,AH1624,$AJ$2:AJ1624,1)=1),N(AL1623)+1,"")</f>
        <v/>
      </c>
      <c r="AL1624" s="54">
        <f>IF(AK1624&lt;&gt;"",AK1624,N(AL1623))</f>
        <v/>
      </c>
    </row>
    <row r="1625">
      <c r="A1625" t="inlineStr">
        <is>
          <t>ONS-0542</t>
        </is>
      </c>
      <c r="B1625" t="inlineStr">
        <is>
          <t>Onsite</t>
        </is>
      </c>
      <c r="AB1625" t="n">
        <v>542</v>
      </c>
      <c r="AD1625" s="52">
        <f>IFERROR(N(IFERROR(INDEX($A1625:$AB1625,MATCH("Xero Invoiced Ex GST",$A$1:$AB$1,0)),"")),0)</f>
        <v/>
      </c>
      <c r="AE1625" s="53">
        <f>IFERROR(INDEX($A1625:$AB1625,MATCH("Xero Invoice Date",$A$1:$AB$1,0)),"")</f>
        <v/>
      </c>
      <c r="AF1625" s="54">
        <f>IF(AND(IFERROR(INDEX($A1625:$AB1625,MATCH("Xero Invoice No",$A$1:$AB$1,0)),"")&amp;""&lt;&gt;"",ISNUMBER(AE1625),AD1625&lt;&gt;0),1,0)</f>
        <v/>
      </c>
      <c r="AG1625" s="55">
        <f>IF(AF1625=1,EOMONTH(AE1625,0),"")</f>
        <v/>
      </c>
      <c r="AH1625" s="9">
        <f>IF(AF1625=1,UPPER(TRIM(IFERROR(INDEX($A1625:$AB1625,MATCH("Client",$A$1:$AB$1,0)),"")&amp;"")),"")</f>
        <v/>
      </c>
      <c r="AI1625" s="9">
        <f>IF(AF1625=1,IFERROR(INDEX($A1625:$AB1625,MATCH("Cost Centre",$A$1:$AB$1,0)),"")&amp;"","")</f>
        <v/>
      </c>
      <c r="AJ1625" s="54">
        <f>IF(AND(AF1625=1,AE1625&gt;=set_FYStart,AE1625&lt;=set_AsAt),1,0)</f>
        <v/>
      </c>
      <c r="AK1625" s="54">
        <f>IF(AND(AJ1625=1,AH1625&lt;&gt;"",COUNTIFS($AH$2:AH1625,AH1625,$AJ$2:AJ1625,1)=1),N(AL1624)+1,"")</f>
        <v/>
      </c>
      <c r="AL1625" s="54">
        <f>IF(AK1625&lt;&gt;"",AK1625,N(AL1624))</f>
        <v/>
      </c>
    </row>
    <row r="1626">
      <c r="A1626" t="inlineStr">
        <is>
          <t>PRD-0542</t>
        </is>
      </c>
      <c r="B1626" t="inlineStr">
        <is>
          <t>Production</t>
        </is>
      </c>
      <c r="AB1626" t="n">
        <v>542</v>
      </c>
      <c r="AD1626" s="52">
        <f>IFERROR(N(IFERROR(INDEX($A1626:$AB1626,MATCH("Xero Invoiced Ex GST",$A$1:$AB$1,0)),"")),0)</f>
        <v/>
      </c>
      <c r="AE1626" s="53">
        <f>IFERROR(INDEX($A1626:$AB1626,MATCH("Xero Invoice Date",$A$1:$AB$1,0)),"")</f>
        <v/>
      </c>
      <c r="AF1626" s="54">
        <f>IF(AND(IFERROR(INDEX($A1626:$AB1626,MATCH("Xero Invoice No",$A$1:$AB$1,0)),"")&amp;""&lt;&gt;"",ISNUMBER(AE1626),AD1626&lt;&gt;0),1,0)</f>
        <v/>
      </c>
      <c r="AG1626" s="55">
        <f>IF(AF1626=1,EOMONTH(AE1626,0),"")</f>
        <v/>
      </c>
      <c r="AH1626" s="9">
        <f>IF(AF1626=1,UPPER(TRIM(IFERROR(INDEX($A1626:$AB1626,MATCH("Client",$A$1:$AB$1,0)),"")&amp;"")),"")</f>
        <v/>
      </c>
      <c r="AI1626" s="9">
        <f>IF(AF1626=1,IFERROR(INDEX($A1626:$AB1626,MATCH("Cost Centre",$A$1:$AB$1,0)),"")&amp;"","")</f>
        <v/>
      </c>
      <c r="AJ1626" s="54">
        <f>IF(AND(AF1626=1,AE1626&gt;=set_FYStart,AE1626&lt;=set_AsAt),1,0)</f>
        <v/>
      </c>
      <c r="AK1626" s="54">
        <f>IF(AND(AJ1626=1,AH1626&lt;&gt;"",COUNTIFS($AH$2:AH1626,AH1626,$AJ$2:AJ1626,1)=1),N(AL1625)+1,"")</f>
        <v/>
      </c>
      <c r="AL1626" s="54">
        <f>IF(AK1626&lt;&gt;"",AK1626,N(AL1625))</f>
        <v/>
      </c>
    </row>
    <row r="1627">
      <c r="A1627" t="inlineStr">
        <is>
          <t>CON-0542</t>
        </is>
      </c>
      <c r="B1627" t="inlineStr">
        <is>
          <t>Consulting</t>
        </is>
      </c>
      <c r="AB1627" t="n">
        <v>542</v>
      </c>
      <c r="AD1627" s="52">
        <f>IFERROR(N(IFERROR(INDEX($A1627:$AB1627,MATCH("Xero Invoiced Ex GST",$A$1:$AB$1,0)),"")),0)</f>
        <v/>
      </c>
      <c r="AE1627" s="53">
        <f>IFERROR(INDEX($A1627:$AB1627,MATCH("Xero Invoice Date",$A$1:$AB$1,0)),"")</f>
        <v/>
      </c>
      <c r="AF1627" s="54">
        <f>IF(AND(IFERROR(INDEX($A1627:$AB1627,MATCH("Xero Invoice No",$A$1:$AB$1,0)),"")&amp;""&lt;&gt;"",ISNUMBER(AE1627),AD1627&lt;&gt;0),1,0)</f>
        <v/>
      </c>
      <c r="AG1627" s="55">
        <f>IF(AF1627=1,EOMONTH(AE1627,0),"")</f>
        <v/>
      </c>
      <c r="AH1627" s="9">
        <f>IF(AF1627=1,UPPER(TRIM(IFERROR(INDEX($A1627:$AB1627,MATCH("Client",$A$1:$AB$1,0)),"")&amp;"")),"")</f>
        <v/>
      </c>
      <c r="AI1627" s="9">
        <f>IF(AF1627=1,IFERROR(INDEX($A1627:$AB1627,MATCH("Cost Centre",$A$1:$AB$1,0)),"")&amp;"","")</f>
        <v/>
      </c>
      <c r="AJ1627" s="54">
        <f>IF(AND(AF1627=1,AE1627&gt;=set_FYStart,AE1627&lt;=set_AsAt),1,0)</f>
        <v/>
      </c>
      <c r="AK1627" s="54">
        <f>IF(AND(AJ1627=1,AH1627&lt;&gt;"",COUNTIFS($AH$2:AH1627,AH1627,$AJ$2:AJ1627,1)=1),N(AL1626)+1,"")</f>
        <v/>
      </c>
      <c r="AL1627" s="54">
        <f>IF(AK1627&lt;&gt;"",AK1627,N(AL1626))</f>
        <v/>
      </c>
    </row>
    <row r="1628">
      <c r="A1628" t="inlineStr">
        <is>
          <t>ONS-0543</t>
        </is>
      </c>
      <c r="B1628" t="inlineStr">
        <is>
          <t>Onsite</t>
        </is>
      </c>
      <c r="AB1628" t="n">
        <v>543</v>
      </c>
      <c r="AD1628" s="52">
        <f>IFERROR(N(IFERROR(INDEX($A1628:$AB1628,MATCH("Xero Invoiced Ex GST",$A$1:$AB$1,0)),"")),0)</f>
        <v/>
      </c>
      <c r="AE1628" s="53">
        <f>IFERROR(INDEX($A1628:$AB1628,MATCH("Xero Invoice Date",$A$1:$AB$1,0)),"")</f>
        <v/>
      </c>
      <c r="AF1628" s="54">
        <f>IF(AND(IFERROR(INDEX($A1628:$AB1628,MATCH("Xero Invoice No",$A$1:$AB$1,0)),"")&amp;""&lt;&gt;"",ISNUMBER(AE1628),AD1628&lt;&gt;0),1,0)</f>
        <v/>
      </c>
      <c r="AG1628" s="55">
        <f>IF(AF1628=1,EOMONTH(AE1628,0),"")</f>
        <v/>
      </c>
      <c r="AH1628" s="9">
        <f>IF(AF1628=1,UPPER(TRIM(IFERROR(INDEX($A1628:$AB1628,MATCH("Client",$A$1:$AB$1,0)),"")&amp;"")),"")</f>
        <v/>
      </c>
      <c r="AI1628" s="9">
        <f>IF(AF1628=1,IFERROR(INDEX($A1628:$AB1628,MATCH("Cost Centre",$A$1:$AB$1,0)),"")&amp;"","")</f>
        <v/>
      </c>
      <c r="AJ1628" s="54">
        <f>IF(AND(AF1628=1,AE1628&gt;=set_FYStart,AE1628&lt;=set_AsAt),1,0)</f>
        <v/>
      </c>
      <c r="AK1628" s="54">
        <f>IF(AND(AJ1628=1,AH1628&lt;&gt;"",COUNTIFS($AH$2:AH1628,AH1628,$AJ$2:AJ1628,1)=1),N(AL1627)+1,"")</f>
        <v/>
      </c>
      <c r="AL1628" s="54">
        <f>IF(AK1628&lt;&gt;"",AK1628,N(AL1627))</f>
        <v/>
      </c>
    </row>
    <row r="1629">
      <c r="A1629" t="inlineStr">
        <is>
          <t>PRD-0543</t>
        </is>
      </c>
      <c r="B1629" t="inlineStr">
        <is>
          <t>Production</t>
        </is>
      </c>
      <c r="AB1629" t="n">
        <v>543</v>
      </c>
      <c r="AD1629" s="52">
        <f>IFERROR(N(IFERROR(INDEX($A1629:$AB1629,MATCH("Xero Invoiced Ex GST",$A$1:$AB$1,0)),"")),0)</f>
        <v/>
      </c>
      <c r="AE1629" s="53">
        <f>IFERROR(INDEX($A1629:$AB1629,MATCH("Xero Invoice Date",$A$1:$AB$1,0)),"")</f>
        <v/>
      </c>
      <c r="AF1629" s="54">
        <f>IF(AND(IFERROR(INDEX($A1629:$AB1629,MATCH("Xero Invoice No",$A$1:$AB$1,0)),"")&amp;""&lt;&gt;"",ISNUMBER(AE1629),AD1629&lt;&gt;0),1,0)</f>
        <v/>
      </c>
      <c r="AG1629" s="55">
        <f>IF(AF1629=1,EOMONTH(AE1629,0),"")</f>
        <v/>
      </c>
      <c r="AH1629" s="9">
        <f>IF(AF1629=1,UPPER(TRIM(IFERROR(INDEX($A1629:$AB1629,MATCH("Client",$A$1:$AB$1,0)),"")&amp;"")),"")</f>
        <v/>
      </c>
      <c r="AI1629" s="9">
        <f>IF(AF1629=1,IFERROR(INDEX($A1629:$AB1629,MATCH("Cost Centre",$A$1:$AB$1,0)),"")&amp;"","")</f>
        <v/>
      </c>
      <c r="AJ1629" s="54">
        <f>IF(AND(AF1629=1,AE1629&gt;=set_FYStart,AE1629&lt;=set_AsAt),1,0)</f>
        <v/>
      </c>
      <c r="AK1629" s="54">
        <f>IF(AND(AJ1629=1,AH1629&lt;&gt;"",COUNTIFS($AH$2:AH1629,AH1629,$AJ$2:AJ1629,1)=1),N(AL1628)+1,"")</f>
        <v/>
      </c>
      <c r="AL1629" s="54">
        <f>IF(AK1629&lt;&gt;"",AK1629,N(AL1628))</f>
        <v/>
      </c>
    </row>
    <row r="1630">
      <c r="A1630" t="inlineStr">
        <is>
          <t>CON-0543</t>
        </is>
      </c>
      <c r="B1630" t="inlineStr">
        <is>
          <t>Consulting</t>
        </is>
      </c>
      <c r="AB1630" t="n">
        <v>543</v>
      </c>
      <c r="AD1630" s="52">
        <f>IFERROR(N(IFERROR(INDEX($A1630:$AB1630,MATCH("Xero Invoiced Ex GST",$A$1:$AB$1,0)),"")),0)</f>
        <v/>
      </c>
      <c r="AE1630" s="53">
        <f>IFERROR(INDEX($A1630:$AB1630,MATCH("Xero Invoice Date",$A$1:$AB$1,0)),"")</f>
        <v/>
      </c>
      <c r="AF1630" s="54">
        <f>IF(AND(IFERROR(INDEX($A1630:$AB1630,MATCH("Xero Invoice No",$A$1:$AB$1,0)),"")&amp;""&lt;&gt;"",ISNUMBER(AE1630),AD1630&lt;&gt;0),1,0)</f>
        <v/>
      </c>
      <c r="AG1630" s="55">
        <f>IF(AF1630=1,EOMONTH(AE1630,0),"")</f>
        <v/>
      </c>
      <c r="AH1630" s="9">
        <f>IF(AF1630=1,UPPER(TRIM(IFERROR(INDEX($A1630:$AB1630,MATCH("Client",$A$1:$AB$1,0)),"")&amp;"")),"")</f>
        <v/>
      </c>
      <c r="AI1630" s="9">
        <f>IF(AF1630=1,IFERROR(INDEX($A1630:$AB1630,MATCH("Cost Centre",$A$1:$AB$1,0)),"")&amp;"","")</f>
        <v/>
      </c>
      <c r="AJ1630" s="54">
        <f>IF(AND(AF1630=1,AE1630&gt;=set_FYStart,AE1630&lt;=set_AsAt),1,0)</f>
        <v/>
      </c>
      <c r="AK1630" s="54">
        <f>IF(AND(AJ1630=1,AH1630&lt;&gt;"",COUNTIFS($AH$2:AH1630,AH1630,$AJ$2:AJ1630,1)=1),N(AL1629)+1,"")</f>
        <v/>
      </c>
      <c r="AL1630" s="54">
        <f>IF(AK1630&lt;&gt;"",AK1630,N(AL1629))</f>
        <v/>
      </c>
    </row>
    <row r="1631">
      <c r="A1631" t="inlineStr">
        <is>
          <t>ONS-0544</t>
        </is>
      </c>
      <c r="B1631" t="inlineStr">
        <is>
          <t>Onsite</t>
        </is>
      </c>
      <c r="AB1631" t="n">
        <v>544</v>
      </c>
      <c r="AD1631" s="52">
        <f>IFERROR(N(IFERROR(INDEX($A1631:$AB1631,MATCH("Xero Invoiced Ex GST",$A$1:$AB$1,0)),"")),0)</f>
        <v/>
      </c>
      <c r="AE1631" s="53">
        <f>IFERROR(INDEX($A1631:$AB1631,MATCH("Xero Invoice Date",$A$1:$AB$1,0)),"")</f>
        <v/>
      </c>
      <c r="AF1631" s="54">
        <f>IF(AND(IFERROR(INDEX($A1631:$AB1631,MATCH("Xero Invoice No",$A$1:$AB$1,0)),"")&amp;""&lt;&gt;"",ISNUMBER(AE1631),AD1631&lt;&gt;0),1,0)</f>
        <v/>
      </c>
      <c r="AG1631" s="55">
        <f>IF(AF1631=1,EOMONTH(AE1631,0),"")</f>
        <v/>
      </c>
      <c r="AH1631" s="9">
        <f>IF(AF1631=1,UPPER(TRIM(IFERROR(INDEX($A1631:$AB1631,MATCH("Client",$A$1:$AB$1,0)),"")&amp;"")),"")</f>
        <v/>
      </c>
      <c r="AI1631" s="9">
        <f>IF(AF1631=1,IFERROR(INDEX($A1631:$AB1631,MATCH("Cost Centre",$A$1:$AB$1,0)),"")&amp;"","")</f>
        <v/>
      </c>
      <c r="AJ1631" s="54">
        <f>IF(AND(AF1631=1,AE1631&gt;=set_FYStart,AE1631&lt;=set_AsAt),1,0)</f>
        <v/>
      </c>
      <c r="AK1631" s="54">
        <f>IF(AND(AJ1631=1,AH1631&lt;&gt;"",COUNTIFS($AH$2:AH1631,AH1631,$AJ$2:AJ1631,1)=1),N(AL1630)+1,"")</f>
        <v/>
      </c>
      <c r="AL1631" s="54">
        <f>IF(AK1631&lt;&gt;"",AK1631,N(AL1630))</f>
        <v/>
      </c>
    </row>
    <row r="1632">
      <c r="A1632" t="inlineStr">
        <is>
          <t>PRD-0544</t>
        </is>
      </c>
      <c r="B1632" t="inlineStr">
        <is>
          <t>Production</t>
        </is>
      </c>
      <c r="AB1632" t="n">
        <v>544</v>
      </c>
      <c r="AD1632" s="52">
        <f>IFERROR(N(IFERROR(INDEX($A1632:$AB1632,MATCH("Xero Invoiced Ex GST",$A$1:$AB$1,0)),"")),0)</f>
        <v/>
      </c>
      <c r="AE1632" s="53">
        <f>IFERROR(INDEX($A1632:$AB1632,MATCH("Xero Invoice Date",$A$1:$AB$1,0)),"")</f>
        <v/>
      </c>
      <c r="AF1632" s="54">
        <f>IF(AND(IFERROR(INDEX($A1632:$AB1632,MATCH("Xero Invoice No",$A$1:$AB$1,0)),"")&amp;""&lt;&gt;"",ISNUMBER(AE1632),AD1632&lt;&gt;0),1,0)</f>
        <v/>
      </c>
      <c r="AG1632" s="55">
        <f>IF(AF1632=1,EOMONTH(AE1632,0),"")</f>
        <v/>
      </c>
      <c r="AH1632" s="9">
        <f>IF(AF1632=1,UPPER(TRIM(IFERROR(INDEX($A1632:$AB1632,MATCH("Client",$A$1:$AB$1,0)),"")&amp;"")),"")</f>
        <v/>
      </c>
      <c r="AI1632" s="9">
        <f>IF(AF1632=1,IFERROR(INDEX($A1632:$AB1632,MATCH("Cost Centre",$A$1:$AB$1,0)),"")&amp;"","")</f>
        <v/>
      </c>
      <c r="AJ1632" s="54">
        <f>IF(AND(AF1632=1,AE1632&gt;=set_FYStart,AE1632&lt;=set_AsAt),1,0)</f>
        <v/>
      </c>
      <c r="AK1632" s="54">
        <f>IF(AND(AJ1632=1,AH1632&lt;&gt;"",COUNTIFS($AH$2:AH1632,AH1632,$AJ$2:AJ1632,1)=1),N(AL1631)+1,"")</f>
        <v/>
      </c>
      <c r="AL1632" s="54">
        <f>IF(AK1632&lt;&gt;"",AK1632,N(AL1631))</f>
        <v/>
      </c>
    </row>
    <row r="1633">
      <c r="A1633" t="inlineStr">
        <is>
          <t>CON-0544</t>
        </is>
      </c>
      <c r="B1633" t="inlineStr">
        <is>
          <t>Consulting</t>
        </is>
      </c>
      <c r="AB1633" t="n">
        <v>544</v>
      </c>
      <c r="AD1633" s="52">
        <f>IFERROR(N(IFERROR(INDEX($A1633:$AB1633,MATCH("Xero Invoiced Ex GST",$A$1:$AB$1,0)),"")),0)</f>
        <v/>
      </c>
      <c r="AE1633" s="53">
        <f>IFERROR(INDEX($A1633:$AB1633,MATCH("Xero Invoice Date",$A$1:$AB$1,0)),"")</f>
        <v/>
      </c>
      <c r="AF1633" s="54">
        <f>IF(AND(IFERROR(INDEX($A1633:$AB1633,MATCH("Xero Invoice No",$A$1:$AB$1,0)),"")&amp;""&lt;&gt;"",ISNUMBER(AE1633),AD1633&lt;&gt;0),1,0)</f>
        <v/>
      </c>
      <c r="AG1633" s="55">
        <f>IF(AF1633=1,EOMONTH(AE1633,0),"")</f>
        <v/>
      </c>
      <c r="AH1633" s="9">
        <f>IF(AF1633=1,UPPER(TRIM(IFERROR(INDEX($A1633:$AB1633,MATCH("Client",$A$1:$AB$1,0)),"")&amp;"")),"")</f>
        <v/>
      </c>
      <c r="AI1633" s="9">
        <f>IF(AF1633=1,IFERROR(INDEX($A1633:$AB1633,MATCH("Cost Centre",$A$1:$AB$1,0)),"")&amp;"","")</f>
        <v/>
      </c>
      <c r="AJ1633" s="54">
        <f>IF(AND(AF1633=1,AE1633&gt;=set_FYStart,AE1633&lt;=set_AsAt),1,0)</f>
        <v/>
      </c>
      <c r="AK1633" s="54">
        <f>IF(AND(AJ1633=1,AH1633&lt;&gt;"",COUNTIFS($AH$2:AH1633,AH1633,$AJ$2:AJ1633,1)=1),N(AL1632)+1,"")</f>
        <v/>
      </c>
      <c r="AL1633" s="54">
        <f>IF(AK1633&lt;&gt;"",AK1633,N(AL1632))</f>
        <v/>
      </c>
    </row>
    <row r="1634">
      <c r="A1634" t="inlineStr">
        <is>
          <t>ONS-0545</t>
        </is>
      </c>
      <c r="B1634" t="inlineStr">
        <is>
          <t>Onsite</t>
        </is>
      </c>
      <c r="AB1634" t="n">
        <v>545</v>
      </c>
      <c r="AD1634" s="52">
        <f>IFERROR(N(IFERROR(INDEX($A1634:$AB1634,MATCH("Xero Invoiced Ex GST",$A$1:$AB$1,0)),"")),0)</f>
        <v/>
      </c>
      <c r="AE1634" s="53">
        <f>IFERROR(INDEX($A1634:$AB1634,MATCH("Xero Invoice Date",$A$1:$AB$1,0)),"")</f>
        <v/>
      </c>
      <c r="AF1634" s="54">
        <f>IF(AND(IFERROR(INDEX($A1634:$AB1634,MATCH("Xero Invoice No",$A$1:$AB$1,0)),"")&amp;""&lt;&gt;"",ISNUMBER(AE1634),AD1634&lt;&gt;0),1,0)</f>
        <v/>
      </c>
      <c r="AG1634" s="55">
        <f>IF(AF1634=1,EOMONTH(AE1634,0),"")</f>
        <v/>
      </c>
      <c r="AH1634" s="9">
        <f>IF(AF1634=1,UPPER(TRIM(IFERROR(INDEX($A1634:$AB1634,MATCH("Client",$A$1:$AB$1,0)),"")&amp;"")),"")</f>
        <v/>
      </c>
      <c r="AI1634" s="9">
        <f>IF(AF1634=1,IFERROR(INDEX($A1634:$AB1634,MATCH("Cost Centre",$A$1:$AB$1,0)),"")&amp;"","")</f>
        <v/>
      </c>
      <c r="AJ1634" s="54">
        <f>IF(AND(AF1634=1,AE1634&gt;=set_FYStart,AE1634&lt;=set_AsAt),1,0)</f>
        <v/>
      </c>
      <c r="AK1634" s="54">
        <f>IF(AND(AJ1634=1,AH1634&lt;&gt;"",COUNTIFS($AH$2:AH1634,AH1634,$AJ$2:AJ1634,1)=1),N(AL1633)+1,"")</f>
        <v/>
      </c>
      <c r="AL1634" s="54">
        <f>IF(AK1634&lt;&gt;"",AK1634,N(AL1633))</f>
        <v/>
      </c>
    </row>
    <row r="1635">
      <c r="A1635" t="inlineStr">
        <is>
          <t>PRD-0545</t>
        </is>
      </c>
      <c r="B1635" t="inlineStr">
        <is>
          <t>Production</t>
        </is>
      </c>
      <c r="AB1635" t="n">
        <v>545</v>
      </c>
      <c r="AD1635" s="52">
        <f>IFERROR(N(IFERROR(INDEX($A1635:$AB1635,MATCH("Xero Invoiced Ex GST",$A$1:$AB$1,0)),"")),0)</f>
        <v/>
      </c>
      <c r="AE1635" s="53">
        <f>IFERROR(INDEX($A1635:$AB1635,MATCH("Xero Invoice Date",$A$1:$AB$1,0)),"")</f>
        <v/>
      </c>
      <c r="AF1635" s="54">
        <f>IF(AND(IFERROR(INDEX($A1635:$AB1635,MATCH("Xero Invoice No",$A$1:$AB$1,0)),"")&amp;""&lt;&gt;"",ISNUMBER(AE1635),AD1635&lt;&gt;0),1,0)</f>
        <v/>
      </c>
      <c r="AG1635" s="55">
        <f>IF(AF1635=1,EOMONTH(AE1635,0),"")</f>
        <v/>
      </c>
      <c r="AH1635" s="9">
        <f>IF(AF1635=1,UPPER(TRIM(IFERROR(INDEX($A1635:$AB1635,MATCH("Client",$A$1:$AB$1,0)),"")&amp;"")),"")</f>
        <v/>
      </c>
      <c r="AI1635" s="9">
        <f>IF(AF1635=1,IFERROR(INDEX($A1635:$AB1635,MATCH("Cost Centre",$A$1:$AB$1,0)),"")&amp;"","")</f>
        <v/>
      </c>
      <c r="AJ1635" s="54">
        <f>IF(AND(AF1635=1,AE1635&gt;=set_FYStart,AE1635&lt;=set_AsAt),1,0)</f>
        <v/>
      </c>
      <c r="AK1635" s="54">
        <f>IF(AND(AJ1635=1,AH1635&lt;&gt;"",COUNTIFS($AH$2:AH1635,AH1635,$AJ$2:AJ1635,1)=1),N(AL1634)+1,"")</f>
        <v/>
      </c>
      <c r="AL1635" s="54">
        <f>IF(AK1635&lt;&gt;"",AK1635,N(AL1634))</f>
        <v/>
      </c>
    </row>
    <row r="1636">
      <c r="A1636" t="inlineStr">
        <is>
          <t>CON-0545</t>
        </is>
      </c>
      <c r="B1636" t="inlineStr">
        <is>
          <t>Consulting</t>
        </is>
      </c>
      <c r="AB1636" t="n">
        <v>545</v>
      </c>
      <c r="AD1636" s="52">
        <f>IFERROR(N(IFERROR(INDEX($A1636:$AB1636,MATCH("Xero Invoiced Ex GST",$A$1:$AB$1,0)),"")),0)</f>
        <v/>
      </c>
      <c r="AE1636" s="53">
        <f>IFERROR(INDEX($A1636:$AB1636,MATCH("Xero Invoice Date",$A$1:$AB$1,0)),"")</f>
        <v/>
      </c>
      <c r="AF1636" s="54">
        <f>IF(AND(IFERROR(INDEX($A1636:$AB1636,MATCH("Xero Invoice No",$A$1:$AB$1,0)),"")&amp;""&lt;&gt;"",ISNUMBER(AE1636),AD1636&lt;&gt;0),1,0)</f>
        <v/>
      </c>
      <c r="AG1636" s="55">
        <f>IF(AF1636=1,EOMONTH(AE1636,0),"")</f>
        <v/>
      </c>
      <c r="AH1636" s="9">
        <f>IF(AF1636=1,UPPER(TRIM(IFERROR(INDEX($A1636:$AB1636,MATCH("Client",$A$1:$AB$1,0)),"")&amp;"")),"")</f>
        <v/>
      </c>
      <c r="AI1636" s="9">
        <f>IF(AF1636=1,IFERROR(INDEX($A1636:$AB1636,MATCH("Cost Centre",$A$1:$AB$1,0)),"")&amp;"","")</f>
        <v/>
      </c>
      <c r="AJ1636" s="54">
        <f>IF(AND(AF1636=1,AE1636&gt;=set_FYStart,AE1636&lt;=set_AsAt),1,0)</f>
        <v/>
      </c>
      <c r="AK1636" s="54">
        <f>IF(AND(AJ1636=1,AH1636&lt;&gt;"",COUNTIFS($AH$2:AH1636,AH1636,$AJ$2:AJ1636,1)=1),N(AL1635)+1,"")</f>
        <v/>
      </c>
      <c r="AL1636" s="54">
        <f>IF(AK1636&lt;&gt;"",AK1636,N(AL1635))</f>
        <v/>
      </c>
    </row>
    <row r="1637">
      <c r="A1637" t="inlineStr">
        <is>
          <t>ONS-0546</t>
        </is>
      </c>
      <c r="B1637" t="inlineStr">
        <is>
          <t>Onsite</t>
        </is>
      </c>
      <c r="AB1637" t="n">
        <v>546</v>
      </c>
      <c r="AD1637" s="52">
        <f>IFERROR(N(IFERROR(INDEX($A1637:$AB1637,MATCH("Xero Invoiced Ex GST",$A$1:$AB$1,0)),"")),0)</f>
        <v/>
      </c>
      <c r="AE1637" s="53">
        <f>IFERROR(INDEX($A1637:$AB1637,MATCH("Xero Invoice Date",$A$1:$AB$1,0)),"")</f>
        <v/>
      </c>
      <c r="AF1637" s="54">
        <f>IF(AND(IFERROR(INDEX($A1637:$AB1637,MATCH("Xero Invoice No",$A$1:$AB$1,0)),"")&amp;""&lt;&gt;"",ISNUMBER(AE1637),AD1637&lt;&gt;0),1,0)</f>
        <v/>
      </c>
      <c r="AG1637" s="55">
        <f>IF(AF1637=1,EOMONTH(AE1637,0),"")</f>
        <v/>
      </c>
      <c r="AH1637" s="9">
        <f>IF(AF1637=1,UPPER(TRIM(IFERROR(INDEX($A1637:$AB1637,MATCH("Client",$A$1:$AB$1,0)),"")&amp;"")),"")</f>
        <v/>
      </c>
      <c r="AI1637" s="9">
        <f>IF(AF1637=1,IFERROR(INDEX($A1637:$AB1637,MATCH("Cost Centre",$A$1:$AB$1,0)),"")&amp;"","")</f>
        <v/>
      </c>
      <c r="AJ1637" s="54">
        <f>IF(AND(AF1637=1,AE1637&gt;=set_FYStart,AE1637&lt;=set_AsAt),1,0)</f>
        <v/>
      </c>
      <c r="AK1637" s="54">
        <f>IF(AND(AJ1637=1,AH1637&lt;&gt;"",COUNTIFS($AH$2:AH1637,AH1637,$AJ$2:AJ1637,1)=1),N(AL1636)+1,"")</f>
        <v/>
      </c>
      <c r="AL1637" s="54">
        <f>IF(AK1637&lt;&gt;"",AK1637,N(AL1636))</f>
        <v/>
      </c>
    </row>
    <row r="1638">
      <c r="A1638" t="inlineStr">
        <is>
          <t>PRD-0546</t>
        </is>
      </c>
      <c r="B1638" t="inlineStr">
        <is>
          <t>Production</t>
        </is>
      </c>
      <c r="AB1638" t="n">
        <v>546</v>
      </c>
      <c r="AD1638" s="52">
        <f>IFERROR(N(IFERROR(INDEX($A1638:$AB1638,MATCH("Xero Invoiced Ex GST",$A$1:$AB$1,0)),"")),0)</f>
        <v/>
      </c>
      <c r="AE1638" s="53">
        <f>IFERROR(INDEX($A1638:$AB1638,MATCH("Xero Invoice Date",$A$1:$AB$1,0)),"")</f>
        <v/>
      </c>
      <c r="AF1638" s="54">
        <f>IF(AND(IFERROR(INDEX($A1638:$AB1638,MATCH("Xero Invoice No",$A$1:$AB$1,0)),"")&amp;""&lt;&gt;"",ISNUMBER(AE1638),AD1638&lt;&gt;0),1,0)</f>
        <v/>
      </c>
      <c r="AG1638" s="55">
        <f>IF(AF1638=1,EOMONTH(AE1638,0),"")</f>
        <v/>
      </c>
      <c r="AH1638" s="9">
        <f>IF(AF1638=1,UPPER(TRIM(IFERROR(INDEX($A1638:$AB1638,MATCH("Client",$A$1:$AB$1,0)),"")&amp;"")),"")</f>
        <v/>
      </c>
      <c r="AI1638" s="9">
        <f>IF(AF1638=1,IFERROR(INDEX($A1638:$AB1638,MATCH("Cost Centre",$A$1:$AB$1,0)),"")&amp;"","")</f>
        <v/>
      </c>
      <c r="AJ1638" s="54">
        <f>IF(AND(AF1638=1,AE1638&gt;=set_FYStart,AE1638&lt;=set_AsAt),1,0)</f>
        <v/>
      </c>
      <c r="AK1638" s="54">
        <f>IF(AND(AJ1638=1,AH1638&lt;&gt;"",COUNTIFS($AH$2:AH1638,AH1638,$AJ$2:AJ1638,1)=1),N(AL1637)+1,"")</f>
        <v/>
      </c>
      <c r="AL1638" s="54">
        <f>IF(AK1638&lt;&gt;"",AK1638,N(AL1637))</f>
        <v/>
      </c>
    </row>
    <row r="1639">
      <c r="A1639" t="inlineStr">
        <is>
          <t>CON-0546</t>
        </is>
      </c>
      <c r="B1639" t="inlineStr">
        <is>
          <t>Consulting</t>
        </is>
      </c>
      <c r="AB1639" t="n">
        <v>546</v>
      </c>
      <c r="AD1639" s="52">
        <f>IFERROR(N(IFERROR(INDEX($A1639:$AB1639,MATCH("Xero Invoiced Ex GST",$A$1:$AB$1,0)),"")),0)</f>
        <v/>
      </c>
      <c r="AE1639" s="53">
        <f>IFERROR(INDEX($A1639:$AB1639,MATCH("Xero Invoice Date",$A$1:$AB$1,0)),"")</f>
        <v/>
      </c>
      <c r="AF1639" s="54">
        <f>IF(AND(IFERROR(INDEX($A1639:$AB1639,MATCH("Xero Invoice No",$A$1:$AB$1,0)),"")&amp;""&lt;&gt;"",ISNUMBER(AE1639),AD1639&lt;&gt;0),1,0)</f>
        <v/>
      </c>
      <c r="AG1639" s="55">
        <f>IF(AF1639=1,EOMONTH(AE1639,0),"")</f>
        <v/>
      </c>
      <c r="AH1639" s="9">
        <f>IF(AF1639=1,UPPER(TRIM(IFERROR(INDEX($A1639:$AB1639,MATCH("Client",$A$1:$AB$1,0)),"")&amp;"")),"")</f>
        <v/>
      </c>
      <c r="AI1639" s="9">
        <f>IF(AF1639=1,IFERROR(INDEX($A1639:$AB1639,MATCH("Cost Centre",$A$1:$AB$1,0)),"")&amp;"","")</f>
        <v/>
      </c>
      <c r="AJ1639" s="54">
        <f>IF(AND(AF1639=1,AE1639&gt;=set_FYStart,AE1639&lt;=set_AsAt),1,0)</f>
        <v/>
      </c>
      <c r="AK1639" s="54">
        <f>IF(AND(AJ1639=1,AH1639&lt;&gt;"",COUNTIFS($AH$2:AH1639,AH1639,$AJ$2:AJ1639,1)=1),N(AL1638)+1,"")</f>
        <v/>
      </c>
      <c r="AL1639" s="54">
        <f>IF(AK1639&lt;&gt;"",AK1639,N(AL1638))</f>
        <v/>
      </c>
    </row>
    <row r="1640">
      <c r="A1640" t="inlineStr">
        <is>
          <t>ONS-0547</t>
        </is>
      </c>
      <c r="B1640" t="inlineStr">
        <is>
          <t>Onsite</t>
        </is>
      </c>
      <c r="AB1640" t="n">
        <v>547</v>
      </c>
      <c r="AD1640" s="52">
        <f>IFERROR(N(IFERROR(INDEX($A1640:$AB1640,MATCH("Xero Invoiced Ex GST",$A$1:$AB$1,0)),"")),0)</f>
        <v/>
      </c>
      <c r="AE1640" s="53">
        <f>IFERROR(INDEX($A1640:$AB1640,MATCH("Xero Invoice Date",$A$1:$AB$1,0)),"")</f>
        <v/>
      </c>
      <c r="AF1640" s="54">
        <f>IF(AND(IFERROR(INDEX($A1640:$AB1640,MATCH("Xero Invoice No",$A$1:$AB$1,0)),"")&amp;""&lt;&gt;"",ISNUMBER(AE1640),AD1640&lt;&gt;0),1,0)</f>
        <v/>
      </c>
      <c r="AG1640" s="55">
        <f>IF(AF1640=1,EOMONTH(AE1640,0),"")</f>
        <v/>
      </c>
      <c r="AH1640" s="9">
        <f>IF(AF1640=1,UPPER(TRIM(IFERROR(INDEX($A1640:$AB1640,MATCH("Client",$A$1:$AB$1,0)),"")&amp;"")),"")</f>
        <v/>
      </c>
      <c r="AI1640" s="9">
        <f>IF(AF1640=1,IFERROR(INDEX($A1640:$AB1640,MATCH("Cost Centre",$A$1:$AB$1,0)),"")&amp;"","")</f>
        <v/>
      </c>
      <c r="AJ1640" s="54">
        <f>IF(AND(AF1640=1,AE1640&gt;=set_FYStart,AE1640&lt;=set_AsAt),1,0)</f>
        <v/>
      </c>
      <c r="AK1640" s="54">
        <f>IF(AND(AJ1640=1,AH1640&lt;&gt;"",COUNTIFS($AH$2:AH1640,AH1640,$AJ$2:AJ1640,1)=1),N(AL1639)+1,"")</f>
        <v/>
      </c>
      <c r="AL1640" s="54">
        <f>IF(AK1640&lt;&gt;"",AK1640,N(AL1639))</f>
        <v/>
      </c>
    </row>
    <row r="1641">
      <c r="A1641" t="inlineStr">
        <is>
          <t>PRD-0547</t>
        </is>
      </c>
      <c r="B1641" t="inlineStr">
        <is>
          <t>Production</t>
        </is>
      </c>
      <c r="AB1641" t="n">
        <v>547</v>
      </c>
      <c r="AD1641" s="52">
        <f>IFERROR(N(IFERROR(INDEX($A1641:$AB1641,MATCH("Xero Invoiced Ex GST",$A$1:$AB$1,0)),"")),0)</f>
        <v/>
      </c>
      <c r="AE1641" s="53">
        <f>IFERROR(INDEX($A1641:$AB1641,MATCH("Xero Invoice Date",$A$1:$AB$1,0)),"")</f>
        <v/>
      </c>
      <c r="AF1641" s="54">
        <f>IF(AND(IFERROR(INDEX($A1641:$AB1641,MATCH("Xero Invoice No",$A$1:$AB$1,0)),"")&amp;""&lt;&gt;"",ISNUMBER(AE1641),AD1641&lt;&gt;0),1,0)</f>
        <v/>
      </c>
      <c r="AG1641" s="55">
        <f>IF(AF1641=1,EOMONTH(AE1641,0),"")</f>
        <v/>
      </c>
      <c r="AH1641" s="9">
        <f>IF(AF1641=1,UPPER(TRIM(IFERROR(INDEX($A1641:$AB1641,MATCH("Client",$A$1:$AB$1,0)),"")&amp;"")),"")</f>
        <v/>
      </c>
      <c r="AI1641" s="9">
        <f>IF(AF1641=1,IFERROR(INDEX($A1641:$AB1641,MATCH("Cost Centre",$A$1:$AB$1,0)),"")&amp;"","")</f>
        <v/>
      </c>
      <c r="AJ1641" s="54">
        <f>IF(AND(AF1641=1,AE1641&gt;=set_FYStart,AE1641&lt;=set_AsAt),1,0)</f>
        <v/>
      </c>
      <c r="AK1641" s="54">
        <f>IF(AND(AJ1641=1,AH1641&lt;&gt;"",COUNTIFS($AH$2:AH1641,AH1641,$AJ$2:AJ1641,1)=1),N(AL1640)+1,"")</f>
        <v/>
      </c>
      <c r="AL1641" s="54">
        <f>IF(AK1641&lt;&gt;"",AK1641,N(AL1640))</f>
        <v/>
      </c>
    </row>
    <row r="1642">
      <c r="A1642" t="inlineStr">
        <is>
          <t>CON-0547</t>
        </is>
      </c>
      <c r="B1642" t="inlineStr">
        <is>
          <t>Consulting</t>
        </is>
      </c>
      <c r="AB1642" t="n">
        <v>547</v>
      </c>
      <c r="AD1642" s="52">
        <f>IFERROR(N(IFERROR(INDEX($A1642:$AB1642,MATCH("Xero Invoiced Ex GST",$A$1:$AB$1,0)),"")),0)</f>
        <v/>
      </c>
      <c r="AE1642" s="53">
        <f>IFERROR(INDEX($A1642:$AB1642,MATCH("Xero Invoice Date",$A$1:$AB$1,0)),"")</f>
        <v/>
      </c>
      <c r="AF1642" s="54">
        <f>IF(AND(IFERROR(INDEX($A1642:$AB1642,MATCH("Xero Invoice No",$A$1:$AB$1,0)),"")&amp;""&lt;&gt;"",ISNUMBER(AE1642),AD1642&lt;&gt;0),1,0)</f>
        <v/>
      </c>
      <c r="AG1642" s="55">
        <f>IF(AF1642=1,EOMONTH(AE1642,0),"")</f>
        <v/>
      </c>
      <c r="AH1642" s="9">
        <f>IF(AF1642=1,UPPER(TRIM(IFERROR(INDEX($A1642:$AB1642,MATCH("Client",$A$1:$AB$1,0)),"")&amp;"")),"")</f>
        <v/>
      </c>
      <c r="AI1642" s="9">
        <f>IF(AF1642=1,IFERROR(INDEX($A1642:$AB1642,MATCH("Cost Centre",$A$1:$AB$1,0)),"")&amp;"","")</f>
        <v/>
      </c>
      <c r="AJ1642" s="54">
        <f>IF(AND(AF1642=1,AE1642&gt;=set_FYStart,AE1642&lt;=set_AsAt),1,0)</f>
        <v/>
      </c>
      <c r="AK1642" s="54">
        <f>IF(AND(AJ1642=1,AH1642&lt;&gt;"",COUNTIFS($AH$2:AH1642,AH1642,$AJ$2:AJ1642,1)=1),N(AL1641)+1,"")</f>
        <v/>
      </c>
      <c r="AL1642" s="54">
        <f>IF(AK1642&lt;&gt;"",AK1642,N(AL1641))</f>
        <v/>
      </c>
    </row>
    <row r="1643">
      <c r="A1643" t="inlineStr">
        <is>
          <t>ONS-0548</t>
        </is>
      </c>
      <c r="B1643" t="inlineStr">
        <is>
          <t>Onsite</t>
        </is>
      </c>
      <c r="AB1643" t="n">
        <v>548</v>
      </c>
      <c r="AD1643" s="52">
        <f>IFERROR(N(IFERROR(INDEX($A1643:$AB1643,MATCH("Xero Invoiced Ex GST",$A$1:$AB$1,0)),"")),0)</f>
        <v/>
      </c>
      <c r="AE1643" s="53">
        <f>IFERROR(INDEX($A1643:$AB1643,MATCH("Xero Invoice Date",$A$1:$AB$1,0)),"")</f>
        <v/>
      </c>
      <c r="AF1643" s="54">
        <f>IF(AND(IFERROR(INDEX($A1643:$AB1643,MATCH("Xero Invoice No",$A$1:$AB$1,0)),"")&amp;""&lt;&gt;"",ISNUMBER(AE1643),AD1643&lt;&gt;0),1,0)</f>
        <v/>
      </c>
      <c r="AG1643" s="55">
        <f>IF(AF1643=1,EOMONTH(AE1643,0),"")</f>
        <v/>
      </c>
      <c r="AH1643" s="9">
        <f>IF(AF1643=1,UPPER(TRIM(IFERROR(INDEX($A1643:$AB1643,MATCH("Client",$A$1:$AB$1,0)),"")&amp;"")),"")</f>
        <v/>
      </c>
      <c r="AI1643" s="9">
        <f>IF(AF1643=1,IFERROR(INDEX($A1643:$AB1643,MATCH("Cost Centre",$A$1:$AB$1,0)),"")&amp;"","")</f>
        <v/>
      </c>
      <c r="AJ1643" s="54">
        <f>IF(AND(AF1643=1,AE1643&gt;=set_FYStart,AE1643&lt;=set_AsAt),1,0)</f>
        <v/>
      </c>
      <c r="AK1643" s="54">
        <f>IF(AND(AJ1643=1,AH1643&lt;&gt;"",COUNTIFS($AH$2:AH1643,AH1643,$AJ$2:AJ1643,1)=1),N(AL1642)+1,"")</f>
        <v/>
      </c>
      <c r="AL1643" s="54">
        <f>IF(AK1643&lt;&gt;"",AK1643,N(AL1642))</f>
        <v/>
      </c>
    </row>
    <row r="1644">
      <c r="A1644" t="inlineStr">
        <is>
          <t>PRD-0548</t>
        </is>
      </c>
      <c r="B1644" t="inlineStr">
        <is>
          <t>Production</t>
        </is>
      </c>
      <c r="AB1644" t="n">
        <v>548</v>
      </c>
      <c r="AD1644" s="52">
        <f>IFERROR(N(IFERROR(INDEX($A1644:$AB1644,MATCH("Xero Invoiced Ex GST",$A$1:$AB$1,0)),"")),0)</f>
        <v/>
      </c>
      <c r="AE1644" s="53">
        <f>IFERROR(INDEX($A1644:$AB1644,MATCH("Xero Invoice Date",$A$1:$AB$1,0)),"")</f>
        <v/>
      </c>
      <c r="AF1644" s="54">
        <f>IF(AND(IFERROR(INDEX($A1644:$AB1644,MATCH("Xero Invoice No",$A$1:$AB$1,0)),"")&amp;""&lt;&gt;"",ISNUMBER(AE1644),AD1644&lt;&gt;0),1,0)</f>
        <v/>
      </c>
      <c r="AG1644" s="55">
        <f>IF(AF1644=1,EOMONTH(AE1644,0),"")</f>
        <v/>
      </c>
      <c r="AH1644" s="9">
        <f>IF(AF1644=1,UPPER(TRIM(IFERROR(INDEX($A1644:$AB1644,MATCH("Client",$A$1:$AB$1,0)),"")&amp;"")),"")</f>
        <v/>
      </c>
      <c r="AI1644" s="9">
        <f>IF(AF1644=1,IFERROR(INDEX($A1644:$AB1644,MATCH("Cost Centre",$A$1:$AB$1,0)),"")&amp;"","")</f>
        <v/>
      </c>
      <c r="AJ1644" s="54">
        <f>IF(AND(AF1644=1,AE1644&gt;=set_FYStart,AE1644&lt;=set_AsAt),1,0)</f>
        <v/>
      </c>
      <c r="AK1644" s="54">
        <f>IF(AND(AJ1644=1,AH1644&lt;&gt;"",COUNTIFS($AH$2:AH1644,AH1644,$AJ$2:AJ1644,1)=1),N(AL1643)+1,"")</f>
        <v/>
      </c>
      <c r="AL1644" s="54">
        <f>IF(AK1644&lt;&gt;"",AK1644,N(AL1643))</f>
        <v/>
      </c>
    </row>
    <row r="1645">
      <c r="A1645" t="inlineStr">
        <is>
          <t>CON-0548</t>
        </is>
      </c>
      <c r="B1645" t="inlineStr">
        <is>
          <t>Consulting</t>
        </is>
      </c>
      <c r="AB1645" t="n">
        <v>548</v>
      </c>
      <c r="AD1645" s="52">
        <f>IFERROR(N(IFERROR(INDEX($A1645:$AB1645,MATCH("Xero Invoiced Ex GST",$A$1:$AB$1,0)),"")),0)</f>
        <v/>
      </c>
      <c r="AE1645" s="53">
        <f>IFERROR(INDEX($A1645:$AB1645,MATCH("Xero Invoice Date",$A$1:$AB$1,0)),"")</f>
        <v/>
      </c>
      <c r="AF1645" s="54">
        <f>IF(AND(IFERROR(INDEX($A1645:$AB1645,MATCH("Xero Invoice No",$A$1:$AB$1,0)),"")&amp;""&lt;&gt;"",ISNUMBER(AE1645),AD1645&lt;&gt;0),1,0)</f>
        <v/>
      </c>
      <c r="AG1645" s="55">
        <f>IF(AF1645=1,EOMONTH(AE1645,0),"")</f>
        <v/>
      </c>
      <c r="AH1645" s="9">
        <f>IF(AF1645=1,UPPER(TRIM(IFERROR(INDEX($A1645:$AB1645,MATCH("Client",$A$1:$AB$1,0)),"")&amp;"")),"")</f>
        <v/>
      </c>
      <c r="AI1645" s="9">
        <f>IF(AF1645=1,IFERROR(INDEX($A1645:$AB1645,MATCH("Cost Centre",$A$1:$AB$1,0)),"")&amp;"","")</f>
        <v/>
      </c>
      <c r="AJ1645" s="54">
        <f>IF(AND(AF1645=1,AE1645&gt;=set_FYStart,AE1645&lt;=set_AsAt),1,0)</f>
        <v/>
      </c>
      <c r="AK1645" s="54">
        <f>IF(AND(AJ1645=1,AH1645&lt;&gt;"",COUNTIFS($AH$2:AH1645,AH1645,$AJ$2:AJ1645,1)=1),N(AL1644)+1,"")</f>
        <v/>
      </c>
      <c r="AL1645" s="54">
        <f>IF(AK1645&lt;&gt;"",AK1645,N(AL1644))</f>
        <v/>
      </c>
    </row>
    <row r="1646">
      <c r="A1646" t="inlineStr">
        <is>
          <t>ONS-0549</t>
        </is>
      </c>
      <c r="B1646" t="inlineStr">
        <is>
          <t>Onsite</t>
        </is>
      </c>
      <c r="AB1646" t="n">
        <v>549</v>
      </c>
      <c r="AD1646" s="52">
        <f>IFERROR(N(IFERROR(INDEX($A1646:$AB1646,MATCH("Xero Invoiced Ex GST",$A$1:$AB$1,0)),"")),0)</f>
        <v/>
      </c>
      <c r="AE1646" s="53">
        <f>IFERROR(INDEX($A1646:$AB1646,MATCH("Xero Invoice Date",$A$1:$AB$1,0)),"")</f>
        <v/>
      </c>
      <c r="AF1646" s="54">
        <f>IF(AND(IFERROR(INDEX($A1646:$AB1646,MATCH("Xero Invoice No",$A$1:$AB$1,0)),"")&amp;""&lt;&gt;"",ISNUMBER(AE1646),AD1646&lt;&gt;0),1,0)</f>
        <v/>
      </c>
      <c r="AG1646" s="55">
        <f>IF(AF1646=1,EOMONTH(AE1646,0),"")</f>
        <v/>
      </c>
      <c r="AH1646" s="9">
        <f>IF(AF1646=1,UPPER(TRIM(IFERROR(INDEX($A1646:$AB1646,MATCH("Client",$A$1:$AB$1,0)),"")&amp;"")),"")</f>
        <v/>
      </c>
      <c r="AI1646" s="9">
        <f>IF(AF1646=1,IFERROR(INDEX($A1646:$AB1646,MATCH("Cost Centre",$A$1:$AB$1,0)),"")&amp;"","")</f>
        <v/>
      </c>
      <c r="AJ1646" s="54">
        <f>IF(AND(AF1646=1,AE1646&gt;=set_FYStart,AE1646&lt;=set_AsAt),1,0)</f>
        <v/>
      </c>
      <c r="AK1646" s="54">
        <f>IF(AND(AJ1646=1,AH1646&lt;&gt;"",COUNTIFS($AH$2:AH1646,AH1646,$AJ$2:AJ1646,1)=1),N(AL1645)+1,"")</f>
        <v/>
      </c>
      <c r="AL1646" s="54">
        <f>IF(AK1646&lt;&gt;"",AK1646,N(AL1645))</f>
        <v/>
      </c>
    </row>
    <row r="1647">
      <c r="A1647" t="inlineStr">
        <is>
          <t>PRD-0549</t>
        </is>
      </c>
      <c r="B1647" t="inlineStr">
        <is>
          <t>Production</t>
        </is>
      </c>
      <c r="AB1647" t="n">
        <v>549</v>
      </c>
      <c r="AD1647" s="52">
        <f>IFERROR(N(IFERROR(INDEX($A1647:$AB1647,MATCH("Xero Invoiced Ex GST",$A$1:$AB$1,0)),"")),0)</f>
        <v/>
      </c>
      <c r="AE1647" s="53">
        <f>IFERROR(INDEX($A1647:$AB1647,MATCH("Xero Invoice Date",$A$1:$AB$1,0)),"")</f>
        <v/>
      </c>
      <c r="AF1647" s="54">
        <f>IF(AND(IFERROR(INDEX($A1647:$AB1647,MATCH("Xero Invoice No",$A$1:$AB$1,0)),"")&amp;""&lt;&gt;"",ISNUMBER(AE1647),AD1647&lt;&gt;0),1,0)</f>
        <v/>
      </c>
      <c r="AG1647" s="55">
        <f>IF(AF1647=1,EOMONTH(AE1647,0),"")</f>
        <v/>
      </c>
      <c r="AH1647" s="9">
        <f>IF(AF1647=1,UPPER(TRIM(IFERROR(INDEX($A1647:$AB1647,MATCH("Client",$A$1:$AB$1,0)),"")&amp;"")),"")</f>
        <v/>
      </c>
      <c r="AI1647" s="9">
        <f>IF(AF1647=1,IFERROR(INDEX($A1647:$AB1647,MATCH("Cost Centre",$A$1:$AB$1,0)),"")&amp;"","")</f>
        <v/>
      </c>
      <c r="AJ1647" s="54">
        <f>IF(AND(AF1647=1,AE1647&gt;=set_FYStart,AE1647&lt;=set_AsAt),1,0)</f>
        <v/>
      </c>
      <c r="AK1647" s="54">
        <f>IF(AND(AJ1647=1,AH1647&lt;&gt;"",COUNTIFS($AH$2:AH1647,AH1647,$AJ$2:AJ1647,1)=1),N(AL1646)+1,"")</f>
        <v/>
      </c>
      <c r="AL1647" s="54">
        <f>IF(AK1647&lt;&gt;"",AK1647,N(AL1646))</f>
        <v/>
      </c>
    </row>
    <row r="1648">
      <c r="A1648" t="inlineStr">
        <is>
          <t>CON-0549</t>
        </is>
      </c>
      <c r="B1648" t="inlineStr">
        <is>
          <t>Consulting</t>
        </is>
      </c>
      <c r="AB1648" t="n">
        <v>549</v>
      </c>
      <c r="AD1648" s="52">
        <f>IFERROR(N(IFERROR(INDEX($A1648:$AB1648,MATCH("Xero Invoiced Ex GST",$A$1:$AB$1,0)),"")),0)</f>
        <v/>
      </c>
      <c r="AE1648" s="53">
        <f>IFERROR(INDEX($A1648:$AB1648,MATCH("Xero Invoice Date",$A$1:$AB$1,0)),"")</f>
        <v/>
      </c>
      <c r="AF1648" s="54">
        <f>IF(AND(IFERROR(INDEX($A1648:$AB1648,MATCH("Xero Invoice No",$A$1:$AB$1,0)),"")&amp;""&lt;&gt;"",ISNUMBER(AE1648),AD1648&lt;&gt;0),1,0)</f>
        <v/>
      </c>
      <c r="AG1648" s="55">
        <f>IF(AF1648=1,EOMONTH(AE1648,0),"")</f>
        <v/>
      </c>
      <c r="AH1648" s="9">
        <f>IF(AF1648=1,UPPER(TRIM(IFERROR(INDEX($A1648:$AB1648,MATCH("Client",$A$1:$AB$1,0)),"")&amp;"")),"")</f>
        <v/>
      </c>
      <c r="AI1648" s="9">
        <f>IF(AF1648=1,IFERROR(INDEX($A1648:$AB1648,MATCH("Cost Centre",$A$1:$AB$1,0)),"")&amp;"","")</f>
        <v/>
      </c>
      <c r="AJ1648" s="54">
        <f>IF(AND(AF1648=1,AE1648&gt;=set_FYStart,AE1648&lt;=set_AsAt),1,0)</f>
        <v/>
      </c>
      <c r="AK1648" s="54">
        <f>IF(AND(AJ1648=1,AH1648&lt;&gt;"",COUNTIFS($AH$2:AH1648,AH1648,$AJ$2:AJ1648,1)=1),N(AL1647)+1,"")</f>
        <v/>
      </c>
      <c r="AL1648" s="54">
        <f>IF(AK1648&lt;&gt;"",AK1648,N(AL1647))</f>
        <v/>
      </c>
    </row>
    <row r="1649">
      <c r="A1649" t="inlineStr">
        <is>
          <t>ONS-0550</t>
        </is>
      </c>
      <c r="B1649" t="inlineStr">
        <is>
          <t>Onsite</t>
        </is>
      </c>
      <c r="AB1649" t="n">
        <v>550</v>
      </c>
      <c r="AD1649" s="52">
        <f>IFERROR(N(IFERROR(INDEX($A1649:$AB1649,MATCH("Xero Invoiced Ex GST",$A$1:$AB$1,0)),"")),0)</f>
        <v/>
      </c>
      <c r="AE1649" s="53">
        <f>IFERROR(INDEX($A1649:$AB1649,MATCH("Xero Invoice Date",$A$1:$AB$1,0)),"")</f>
        <v/>
      </c>
      <c r="AF1649" s="54">
        <f>IF(AND(IFERROR(INDEX($A1649:$AB1649,MATCH("Xero Invoice No",$A$1:$AB$1,0)),"")&amp;""&lt;&gt;"",ISNUMBER(AE1649),AD1649&lt;&gt;0),1,0)</f>
        <v/>
      </c>
      <c r="AG1649" s="55">
        <f>IF(AF1649=1,EOMONTH(AE1649,0),"")</f>
        <v/>
      </c>
      <c r="AH1649" s="9">
        <f>IF(AF1649=1,UPPER(TRIM(IFERROR(INDEX($A1649:$AB1649,MATCH("Client",$A$1:$AB$1,0)),"")&amp;"")),"")</f>
        <v/>
      </c>
      <c r="AI1649" s="9">
        <f>IF(AF1649=1,IFERROR(INDEX($A1649:$AB1649,MATCH("Cost Centre",$A$1:$AB$1,0)),"")&amp;"","")</f>
        <v/>
      </c>
      <c r="AJ1649" s="54">
        <f>IF(AND(AF1649=1,AE1649&gt;=set_FYStart,AE1649&lt;=set_AsAt),1,0)</f>
        <v/>
      </c>
      <c r="AK1649" s="54">
        <f>IF(AND(AJ1649=1,AH1649&lt;&gt;"",COUNTIFS($AH$2:AH1649,AH1649,$AJ$2:AJ1649,1)=1),N(AL1648)+1,"")</f>
        <v/>
      </c>
      <c r="AL1649" s="54">
        <f>IF(AK1649&lt;&gt;"",AK1649,N(AL1648))</f>
        <v/>
      </c>
    </row>
    <row r="1650">
      <c r="A1650" t="inlineStr">
        <is>
          <t>PRD-0550</t>
        </is>
      </c>
      <c r="B1650" t="inlineStr">
        <is>
          <t>Production</t>
        </is>
      </c>
      <c r="AB1650" t="n">
        <v>550</v>
      </c>
      <c r="AD1650" s="52">
        <f>IFERROR(N(IFERROR(INDEX($A1650:$AB1650,MATCH("Xero Invoiced Ex GST",$A$1:$AB$1,0)),"")),0)</f>
        <v/>
      </c>
      <c r="AE1650" s="53">
        <f>IFERROR(INDEX($A1650:$AB1650,MATCH("Xero Invoice Date",$A$1:$AB$1,0)),"")</f>
        <v/>
      </c>
      <c r="AF1650" s="54">
        <f>IF(AND(IFERROR(INDEX($A1650:$AB1650,MATCH("Xero Invoice No",$A$1:$AB$1,0)),"")&amp;""&lt;&gt;"",ISNUMBER(AE1650),AD1650&lt;&gt;0),1,0)</f>
        <v/>
      </c>
      <c r="AG1650" s="55">
        <f>IF(AF1650=1,EOMONTH(AE1650,0),"")</f>
        <v/>
      </c>
      <c r="AH1650" s="9">
        <f>IF(AF1650=1,UPPER(TRIM(IFERROR(INDEX($A1650:$AB1650,MATCH("Client",$A$1:$AB$1,0)),"")&amp;"")),"")</f>
        <v/>
      </c>
      <c r="AI1650" s="9">
        <f>IF(AF1650=1,IFERROR(INDEX($A1650:$AB1650,MATCH("Cost Centre",$A$1:$AB$1,0)),"")&amp;"","")</f>
        <v/>
      </c>
      <c r="AJ1650" s="54">
        <f>IF(AND(AF1650=1,AE1650&gt;=set_FYStart,AE1650&lt;=set_AsAt),1,0)</f>
        <v/>
      </c>
      <c r="AK1650" s="54">
        <f>IF(AND(AJ1650=1,AH1650&lt;&gt;"",COUNTIFS($AH$2:AH1650,AH1650,$AJ$2:AJ1650,1)=1),N(AL1649)+1,"")</f>
        <v/>
      </c>
      <c r="AL1650" s="54">
        <f>IF(AK1650&lt;&gt;"",AK1650,N(AL1649))</f>
        <v/>
      </c>
    </row>
    <row r="1651">
      <c r="A1651" t="inlineStr">
        <is>
          <t>CON-0550</t>
        </is>
      </c>
      <c r="B1651" t="inlineStr">
        <is>
          <t>Consulting</t>
        </is>
      </c>
      <c r="AB1651" t="n">
        <v>550</v>
      </c>
      <c r="AD1651" s="52">
        <f>IFERROR(N(IFERROR(INDEX($A1651:$AB1651,MATCH("Xero Invoiced Ex GST",$A$1:$AB$1,0)),"")),0)</f>
        <v/>
      </c>
      <c r="AE1651" s="53">
        <f>IFERROR(INDEX($A1651:$AB1651,MATCH("Xero Invoice Date",$A$1:$AB$1,0)),"")</f>
        <v/>
      </c>
      <c r="AF1651" s="54">
        <f>IF(AND(IFERROR(INDEX($A1651:$AB1651,MATCH("Xero Invoice No",$A$1:$AB$1,0)),"")&amp;""&lt;&gt;"",ISNUMBER(AE1651),AD1651&lt;&gt;0),1,0)</f>
        <v/>
      </c>
      <c r="AG1651" s="55">
        <f>IF(AF1651=1,EOMONTH(AE1651,0),"")</f>
        <v/>
      </c>
      <c r="AH1651" s="9">
        <f>IF(AF1651=1,UPPER(TRIM(IFERROR(INDEX($A1651:$AB1651,MATCH("Client",$A$1:$AB$1,0)),"")&amp;"")),"")</f>
        <v/>
      </c>
      <c r="AI1651" s="9">
        <f>IF(AF1651=1,IFERROR(INDEX($A1651:$AB1651,MATCH("Cost Centre",$A$1:$AB$1,0)),"")&amp;"","")</f>
        <v/>
      </c>
      <c r="AJ1651" s="54">
        <f>IF(AND(AF1651=1,AE1651&gt;=set_FYStart,AE1651&lt;=set_AsAt),1,0)</f>
        <v/>
      </c>
      <c r="AK1651" s="54">
        <f>IF(AND(AJ1651=1,AH1651&lt;&gt;"",COUNTIFS($AH$2:AH1651,AH1651,$AJ$2:AJ1651,1)=1),N(AL1650)+1,"")</f>
        <v/>
      </c>
      <c r="AL1651" s="54">
        <f>IF(AK1651&lt;&gt;"",AK1651,N(AL1650))</f>
        <v/>
      </c>
    </row>
    <row r="1652">
      <c r="A1652" t="inlineStr">
        <is>
          <t>ONS-0551</t>
        </is>
      </c>
      <c r="B1652" t="inlineStr">
        <is>
          <t>Onsite</t>
        </is>
      </c>
      <c r="AB1652" t="n">
        <v>551</v>
      </c>
      <c r="AD1652" s="52">
        <f>IFERROR(N(IFERROR(INDEX($A1652:$AB1652,MATCH("Xero Invoiced Ex GST",$A$1:$AB$1,0)),"")),0)</f>
        <v/>
      </c>
      <c r="AE1652" s="53">
        <f>IFERROR(INDEX($A1652:$AB1652,MATCH("Xero Invoice Date",$A$1:$AB$1,0)),"")</f>
        <v/>
      </c>
      <c r="AF1652" s="54">
        <f>IF(AND(IFERROR(INDEX($A1652:$AB1652,MATCH("Xero Invoice No",$A$1:$AB$1,0)),"")&amp;""&lt;&gt;"",ISNUMBER(AE1652),AD1652&lt;&gt;0),1,0)</f>
        <v/>
      </c>
      <c r="AG1652" s="55">
        <f>IF(AF1652=1,EOMONTH(AE1652,0),"")</f>
        <v/>
      </c>
      <c r="AH1652" s="9">
        <f>IF(AF1652=1,UPPER(TRIM(IFERROR(INDEX($A1652:$AB1652,MATCH("Client",$A$1:$AB$1,0)),"")&amp;"")),"")</f>
        <v/>
      </c>
      <c r="AI1652" s="9">
        <f>IF(AF1652=1,IFERROR(INDEX($A1652:$AB1652,MATCH("Cost Centre",$A$1:$AB$1,0)),"")&amp;"","")</f>
        <v/>
      </c>
      <c r="AJ1652" s="54">
        <f>IF(AND(AF1652=1,AE1652&gt;=set_FYStart,AE1652&lt;=set_AsAt),1,0)</f>
        <v/>
      </c>
      <c r="AK1652" s="54">
        <f>IF(AND(AJ1652=1,AH1652&lt;&gt;"",COUNTIFS($AH$2:AH1652,AH1652,$AJ$2:AJ1652,1)=1),N(AL1651)+1,"")</f>
        <v/>
      </c>
      <c r="AL1652" s="54">
        <f>IF(AK1652&lt;&gt;"",AK1652,N(AL1651))</f>
        <v/>
      </c>
    </row>
    <row r="1653">
      <c r="A1653" t="inlineStr">
        <is>
          <t>PRD-0551</t>
        </is>
      </c>
      <c r="B1653" t="inlineStr">
        <is>
          <t>Production</t>
        </is>
      </c>
      <c r="AB1653" t="n">
        <v>551</v>
      </c>
      <c r="AD1653" s="52">
        <f>IFERROR(N(IFERROR(INDEX($A1653:$AB1653,MATCH("Xero Invoiced Ex GST",$A$1:$AB$1,0)),"")),0)</f>
        <v/>
      </c>
      <c r="AE1653" s="53">
        <f>IFERROR(INDEX($A1653:$AB1653,MATCH("Xero Invoice Date",$A$1:$AB$1,0)),"")</f>
        <v/>
      </c>
      <c r="AF1653" s="54">
        <f>IF(AND(IFERROR(INDEX($A1653:$AB1653,MATCH("Xero Invoice No",$A$1:$AB$1,0)),"")&amp;""&lt;&gt;"",ISNUMBER(AE1653),AD1653&lt;&gt;0),1,0)</f>
        <v/>
      </c>
      <c r="AG1653" s="55">
        <f>IF(AF1653=1,EOMONTH(AE1653,0),"")</f>
        <v/>
      </c>
      <c r="AH1653" s="9">
        <f>IF(AF1653=1,UPPER(TRIM(IFERROR(INDEX($A1653:$AB1653,MATCH("Client",$A$1:$AB$1,0)),"")&amp;"")),"")</f>
        <v/>
      </c>
      <c r="AI1653" s="9">
        <f>IF(AF1653=1,IFERROR(INDEX($A1653:$AB1653,MATCH("Cost Centre",$A$1:$AB$1,0)),"")&amp;"","")</f>
        <v/>
      </c>
      <c r="AJ1653" s="54">
        <f>IF(AND(AF1653=1,AE1653&gt;=set_FYStart,AE1653&lt;=set_AsAt),1,0)</f>
        <v/>
      </c>
      <c r="AK1653" s="54">
        <f>IF(AND(AJ1653=1,AH1653&lt;&gt;"",COUNTIFS($AH$2:AH1653,AH1653,$AJ$2:AJ1653,1)=1),N(AL1652)+1,"")</f>
        <v/>
      </c>
      <c r="AL1653" s="54">
        <f>IF(AK1653&lt;&gt;"",AK1653,N(AL1652))</f>
        <v/>
      </c>
    </row>
    <row r="1654">
      <c r="A1654" t="inlineStr">
        <is>
          <t>CON-0551</t>
        </is>
      </c>
      <c r="B1654" t="inlineStr">
        <is>
          <t>Consulting</t>
        </is>
      </c>
      <c r="AB1654" t="n">
        <v>551</v>
      </c>
      <c r="AD1654" s="52">
        <f>IFERROR(N(IFERROR(INDEX($A1654:$AB1654,MATCH("Xero Invoiced Ex GST",$A$1:$AB$1,0)),"")),0)</f>
        <v/>
      </c>
      <c r="AE1654" s="53">
        <f>IFERROR(INDEX($A1654:$AB1654,MATCH("Xero Invoice Date",$A$1:$AB$1,0)),"")</f>
        <v/>
      </c>
      <c r="AF1654" s="54">
        <f>IF(AND(IFERROR(INDEX($A1654:$AB1654,MATCH("Xero Invoice No",$A$1:$AB$1,0)),"")&amp;""&lt;&gt;"",ISNUMBER(AE1654),AD1654&lt;&gt;0),1,0)</f>
        <v/>
      </c>
      <c r="AG1654" s="55">
        <f>IF(AF1654=1,EOMONTH(AE1654,0),"")</f>
        <v/>
      </c>
      <c r="AH1654" s="9">
        <f>IF(AF1654=1,UPPER(TRIM(IFERROR(INDEX($A1654:$AB1654,MATCH("Client",$A$1:$AB$1,0)),"")&amp;"")),"")</f>
        <v/>
      </c>
      <c r="AI1654" s="9">
        <f>IF(AF1654=1,IFERROR(INDEX($A1654:$AB1654,MATCH("Cost Centre",$A$1:$AB$1,0)),"")&amp;"","")</f>
        <v/>
      </c>
      <c r="AJ1654" s="54">
        <f>IF(AND(AF1654=1,AE1654&gt;=set_FYStart,AE1654&lt;=set_AsAt),1,0)</f>
        <v/>
      </c>
      <c r="AK1654" s="54">
        <f>IF(AND(AJ1654=1,AH1654&lt;&gt;"",COUNTIFS($AH$2:AH1654,AH1654,$AJ$2:AJ1654,1)=1),N(AL1653)+1,"")</f>
        <v/>
      </c>
      <c r="AL1654" s="54">
        <f>IF(AK1654&lt;&gt;"",AK1654,N(AL1653))</f>
        <v/>
      </c>
    </row>
    <row r="1655">
      <c r="A1655" t="inlineStr">
        <is>
          <t>ONS-0552</t>
        </is>
      </c>
      <c r="B1655" t="inlineStr">
        <is>
          <t>Onsite</t>
        </is>
      </c>
      <c r="AB1655" t="n">
        <v>552</v>
      </c>
      <c r="AD1655" s="52">
        <f>IFERROR(N(IFERROR(INDEX($A1655:$AB1655,MATCH("Xero Invoiced Ex GST",$A$1:$AB$1,0)),"")),0)</f>
        <v/>
      </c>
      <c r="AE1655" s="53">
        <f>IFERROR(INDEX($A1655:$AB1655,MATCH("Xero Invoice Date",$A$1:$AB$1,0)),"")</f>
        <v/>
      </c>
      <c r="AF1655" s="54">
        <f>IF(AND(IFERROR(INDEX($A1655:$AB1655,MATCH("Xero Invoice No",$A$1:$AB$1,0)),"")&amp;""&lt;&gt;"",ISNUMBER(AE1655),AD1655&lt;&gt;0),1,0)</f>
        <v/>
      </c>
      <c r="AG1655" s="55">
        <f>IF(AF1655=1,EOMONTH(AE1655,0),"")</f>
        <v/>
      </c>
      <c r="AH1655" s="9">
        <f>IF(AF1655=1,UPPER(TRIM(IFERROR(INDEX($A1655:$AB1655,MATCH("Client",$A$1:$AB$1,0)),"")&amp;"")),"")</f>
        <v/>
      </c>
      <c r="AI1655" s="9">
        <f>IF(AF1655=1,IFERROR(INDEX($A1655:$AB1655,MATCH("Cost Centre",$A$1:$AB$1,0)),"")&amp;"","")</f>
        <v/>
      </c>
      <c r="AJ1655" s="54">
        <f>IF(AND(AF1655=1,AE1655&gt;=set_FYStart,AE1655&lt;=set_AsAt),1,0)</f>
        <v/>
      </c>
      <c r="AK1655" s="54">
        <f>IF(AND(AJ1655=1,AH1655&lt;&gt;"",COUNTIFS($AH$2:AH1655,AH1655,$AJ$2:AJ1655,1)=1),N(AL1654)+1,"")</f>
        <v/>
      </c>
      <c r="AL1655" s="54">
        <f>IF(AK1655&lt;&gt;"",AK1655,N(AL1654))</f>
        <v/>
      </c>
    </row>
    <row r="1656">
      <c r="A1656" t="inlineStr">
        <is>
          <t>PRD-0552</t>
        </is>
      </c>
      <c r="B1656" t="inlineStr">
        <is>
          <t>Production</t>
        </is>
      </c>
      <c r="AB1656" t="n">
        <v>552</v>
      </c>
      <c r="AD1656" s="52">
        <f>IFERROR(N(IFERROR(INDEX($A1656:$AB1656,MATCH("Xero Invoiced Ex GST",$A$1:$AB$1,0)),"")),0)</f>
        <v/>
      </c>
      <c r="AE1656" s="53">
        <f>IFERROR(INDEX($A1656:$AB1656,MATCH("Xero Invoice Date",$A$1:$AB$1,0)),"")</f>
        <v/>
      </c>
      <c r="AF1656" s="54">
        <f>IF(AND(IFERROR(INDEX($A1656:$AB1656,MATCH("Xero Invoice No",$A$1:$AB$1,0)),"")&amp;""&lt;&gt;"",ISNUMBER(AE1656),AD1656&lt;&gt;0),1,0)</f>
        <v/>
      </c>
      <c r="AG1656" s="55">
        <f>IF(AF1656=1,EOMONTH(AE1656,0),"")</f>
        <v/>
      </c>
      <c r="AH1656" s="9">
        <f>IF(AF1656=1,UPPER(TRIM(IFERROR(INDEX($A1656:$AB1656,MATCH("Client",$A$1:$AB$1,0)),"")&amp;"")),"")</f>
        <v/>
      </c>
      <c r="AI1656" s="9">
        <f>IF(AF1656=1,IFERROR(INDEX($A1656:$AB1656,MATCH("Cost Centre",$A$1:$AB$1,0)),"")&amp;"","")</f>
        <v/>
      </c>
      <c r="AJ1656" s="54">
        <f>IF(AND(AF1656=1,AE1656&gt;=set_FYStart,AE1656&lt;=set_AsAt),1,0)</f>
        <v/>
      </c>
      <c r="AK1656" s="54">
        <f>IF(AND(AJ1656=1,AH1656&lt;&gt;"",COUNTIFS($AH$2:AH1656,AH1656,$AJ$2:AJ1656,1)=1),N(AL1655)+1,"")</f>
        <v/>
      </c>
      <c r="AL1656" s="54">
        <f>IF(AK1656&lt;&gt;"",AK1656,N(AL1655))</f>
        <v/>
      </c>
    </row>
    <row r="1657">
      <c r="A1657" t="inlineStr">
        <is>
          <t>CON-0552</t>
        </is>
      </c>
      <c r="B1657" t="inlineStr">
        <is>
          <t>Consulting</t>
        </is>
      </c>
      <c r="AB1657" t="n">
        <v>552</v>
      </c>
      <c r="AD1657" s="52">
        <f>IFERROR(N(IFERROR(INDEX($A1657:$AB1657,MATCH("Xero Invoiced Ex GST",$A$1:$AB$1,0)),"")),0)</f>
        <v/>
      </c>
      <c r="AE1657" s="53">
        <f>IFERROR(INDEX($A1657:$AB1657,MATCH("Xero Invoice Date",$A$1:$AB$1,0)),"")</f>
        <v/>
      </c>
      <c r="AF1657" s="54">
        <f>IF(AND(IFERROR(INDEX($A1657:$AB1657,MATCH("Xero Invoice No",$A$1:$AB$1,0)),"")&amp;""&lt;&gt;"",ISNUMBER(AE1657),AD1657&lt;&gt;0),1,0)</f>
        <v/>
      </c>
      <c r="AG1657" s="55">
        <f>IF(AF1657=1,EOMONTH(AE1657,0),"")</f>
        <v/>
      </c>
      <c r="AH1657" s="9">
        <f>IF(AF1657=1,UPPER(TRIM(IFERROR(INDEX($A1657:$AB1657,MATCH("Client",$A$1:$AB$1,0)),"")&amp;"")),"")</f>
        <v/>
      </c>
      <c r="AI1657" s="9">
        <f>IF(AF1657=1,IFERROR(INDEX($A1657:$AB1657,MATCH("Cost Centre",$A$1:$AB$1,0)),"")&amp;"","")</f>
        <v/>
      </c>
      <c r="AJ1657" s="54">
        <f>IF(AND(AF1657=1,AE1657&gt;=set_FYStart,AE1657&lt;=set_AsAt),1,0)</f>
        <v/>
      </c>
      <c r="AK1657" s="54">
        <f>IF(AND(AJ1657=1,AH1657&lt;&gt;"",COUNTIFS($AH$2:AH1657,AH1657,$AJ$2:AJ1657,1)=1),N(AL1656)+1,"")</f>
        <v/>
      </c>
      <c r="AL1657" s="54">
        <f>IF(AK1657&lt;&gt;"",AK1657,N(AL1656))</f>
        <v/>
      </c>
    </row>
    <row r="1658">
      <c r="A1658" t="inlineStr">
        <is>
          <t>ONS-0553</t>
        </is>
      </c>
      <c r="B1658" t="inlineStr">
        <is>
          <t>Onsite</t>
        </is>
      </c>
      <c r="AB1658" t="n">
        <v>553</v>
      </c>
      <c r="AD1658" s="52">
        <f>IFERROR(N(IFERROR(INDEX($A1658:$AB1658,MATCH("Xero Invoiced Ex GST",$A$1:$AB$1,0)),"")),0)</f>
        <v/>
      </c>
      <c r="AE1658" s="53">
        <f>IFERROR(INDEX($A1658:$AB1658,MATCH("Xero Invoice Date",$A$1:$AB$1,0)),"")</f>
        <v/>
      </c>
      <c r="AF1658" s="54">
        <f>IF(AND(IFERROR(INDEX($A1658:$AB1658,MATCH("Xero Invoice No",$A$1:$AB$1,0)),"")&amp;""&lt;&gt;"",ISNUMBER(AE1658),AD1658&lt;&gt;0),1,0)</f>
        <v/>
      </c>
      <c r="AG1658" s="55">
        <f>IF(AF1658=1,EOMONTH(AE1658,0),"")</f>
        <v/>
      </c>
      <c r="AH1658" s="9">
        <f>IF(AF1658=1,UPPER(TRIM(IFERROR(INDEX($A1658:$AB1658,MATCH("Client",$A$1:$AB$1,0)),"")&amp;"")),"")</f>
        <v/>
      </c>
      <c r="AI1658" s="9">
        <f>IF(AF1658=1,IFERROR(INDEX($A1658:$AB1658,MATCH("Cost Centre",$A$1:$AB$1,0)),"")&amp;"","")</f>
        <v/>
      </c>
      <c r="AJ1658" s="54">
        <f>IF(AND(AF1658=1,AE1658&gt;=set_FYStart,AE1658&lt;=set_AsAt),1,0)</f>
        <v/>
      </c>
      <c r="AK1658" s="54">
        <f>IF(AND(AJ1658=1,AH1658&lt;&gt;"",COUNTIFS($AH$2:AH1658,AH1658,$AJ$2:AJ1658,1)=1),N(AL1657)+1,"")</f>
        <v/>
      </c>
      <c r="AL1658" s="54">
        <f>IF(AK1658&lt;&gt;"",AK1658,N(AL1657))</f>
        <v/>
      </c>
    </row>
    <row r="1659">
      <c r="A1659" t="inlineStr">
        <is>
          <t>PRD-0553</t>
        </is>
      </c>
      <c r="B1659" t="inlineStr">
        <is>
          <t>Production</t>
        </is>
      </c>
      <c r="AB1659" t="n">
        <v>553</v>
      </c>
      <c r="AD1659" s="52">
        <f>IFERROR(N(IFERROR(INDEX($A1659:$AB1659,MATCH("Xero Invoiced Ex GST",$A$1:$AB$1,0)),"")),0)</f>
        <v/>
      </c>
      <c r="AE1659" s="53">
        <f>IFERROR(INDEX($A1659:$AB1659,MATCH("Xero Invoice Date",$A$1:$AB$1,0)),"")</f>
        <v/>
      </c>
      <c r="AF1659" s="54">
        <f>IF(AND(IFERROR(INDEX($A1659:$AB1659,MATCH("Xero Invoice No",$A$1:$AB$1,0)),"")&amp;""&lt;&gt;"",ISNUMBER(AE1659),AD1659&lt;&gt;0),1,0)</f>
        <v/>
      </c>
      <c r="AG1659" s="55">
        <f>IF(AF1659=1,EOMONTH(AE1659,0),"")</f>
        <v/>
      </c>
      <c r="AH1659" s="9">
        <f>IF(AF1659=1,UPPER(TRIM(IFERROR(INDEX($A1659:$AB1659,MATCH("Client",$A$1:$AB$1,0)),"")&amp;"")),"")</f>
        <v/>
      </c>
      <c r="AI1659" s="9">
        <f>IF(AF1659=1,IFERROR(INDEX($A1659:$AB1659,MATCH("Cost Centre",$A$1:$AB$1,0)),"")&amp;"","")</f>
        <v/>
      </c>
      <c r="AJ1659" s="54">
        <f>IF(AND(AF1659=1,AE1659&gt;=set_FYStart,AE1659&lt;=set_AsAt),1,0)</f>
        <v/>
      </c>
      <c r="AK1659" s="54">
        <f>IF(AND(AJ1659=1,AH1659&lt;&gt;"",COUNTIFS($AH$2:AH1659,AH1659,$AJ$2:AJ1659,1)=1),N(AL1658)+1,"")</f>
        <v/>
      </c>
      <c r="AL1659" s="54">
        <f>IF(AK1659&lt;&gt;"",AK1659,N(AL1658))</f>
        <v/>
      </c>
    </row>
    <row r="1660">
      <c r="A1660" t="inlineStr">
        <is>
          <t>CON-0553</t>
        </is>
      </c>
      <c r="B1660" t="inlineStr">
        <is>
          <t>Consulting</t>
        </is>
      </c>
      <c r="AB1660" t="n">
        <v>553</v>
      </c>
      <c r="AD1660" s="52">
        <f>IFERROR(N(IFERROR(INDEX($A1660:$AB1660,MATCH("Xero Invoiced Ex GST",$A$1:$AB$1,0)),"")),0)</f>
        <v/>
      </c>
      <c r="AE1660" s="53">
        <f>IFERROR(INDEX($A1660:$AB1660,MATCH("Xero Invoice Date",$A$1:$AB$1,0)),"")</f>
        <v/>
      </c>
      <c r="AF1660" s="54">
        <f>IF(AND(IFERROR(INDEX($A1660:$AB1660,MATCH("Xero Invoice No",$A$1:$AB$1,0)),"")&amp;""&lt;&gt;"",ISNUMBER(AE1660),AD1660&lt;&gt;0),1,0)</f>
        <v/>
      </c>
      <c r="AG1660" s="55">
        <f>IF(AF1660=1,EOMONTH(AE1660,0),"")</f>
        <v/>
      </c>
      <c r="AH1660" s="9">
        <f>IF(AF1660=1,UPPER(TRIM(IFERROR(INDEX($A1660:$AB1660,MATCH("Client",$A$1:$AB$1,0)),"")&amp;"")),"")</f>
        <v/>
      </c>
      <c r="AI1660" s="9">
        <f>IF(AF1660=1,IFERROR(INDEX($A1660:$AB1660,MATCH("Cost Centre",$A$1:$AB$1,0)),"")&amp;"","")</f>
        <v/>
      </c>
      <c r="AJ1660" s="54">
        <f>IF(AND(AF1660=1,AE1660&gt;=set_FYStart,AE1660&lt;=set_AsAt),1,0)</f>
        <v/>
      </c>
      <c r="AK1660" s="54">
        <f>IF(AND(AJ1660=1,AH1660&lt;&gt;"",COUNTIFS($AH$2:AH1660,AH1660,$AJ$2:AJ1660,1)=1),N(AL1659)+1,"")</f>
        <v/>
      </c>
      <c r="AL1660" s="54">
        <f>IF(AK1660&lt;&gt;"",AK1660,N(AL1659))</f>
        <v/>
      </c>
    </row>
    <row r="1661">
      <c r="A1661" t="inlineStr">
        <is>
          <t>ONS-0554</t>
        </is>
      </c>
      <c r="B1661" t="inlineStr">
        <is>
          <t>Onsite</t>
        </is>
      </c>
      <c r="AB1661" t="n">
        <v>554</v>
      </c>
      <c r="AD1661" s="52">
        <f>IFERROR(N(IFERROR(INDEX($A1661:$AB1661,MATCH("Xero Invoiced Ex GST",$A$1:$AB$1,0)),"")),0)</f>
        <v/>
      </c>
      <c r="AE1661" s="53">
        <f>IFERROR(INDEX($A1661:$AB1661,MATCH("Xero Invoice Date",$A$1:$AB$1,0)),"")</f>
        <v/>
      </c>
      <c r="AF1661" s="54">
        <f>IF(AND(IFERROR(INDEX($A1661:$AB1661,MATCH("Xero Invoice No",$A$1:$AB$1,0)),"")&amp;""&lt;&gt;"",ISNUMBER(AE1661),AD1661&lt;&gt;0),1,0)</f>
        <v/>
      </c>
      <c r="AG1661" s="55">
        <f>IF(AF1661=1,EOMONTH(AE1661,0),"")</f>
        <v/>
      </c>
      <c r="AH1661" s="9">
        <f>IF(AF1661=1,UPPER(TRIM(IFERROR(INDEX($A1661:$AB1661,MATCH("Client",$A$1:$AB$1,0)),"")&amp;"")),"")</f>
        <v/>
      </c>
      <c r="AI1661" s="9">
        <f>IF(AF1661=1,IFERROR(INDEX($A1661:$AB1661,MATCH("Cost Centre",$A$1:$AB$1,0)),"")&amp;"","")</f>
        <v/>
      </c>
      <c r="AJ1661" s="54">
        <f>IF(AND(AF1661=1,AE1661&gt;=set_FYStart,AE1661&lt;=set_AsAt),1,0)</f>
        <v/>
      </c>
      <c r="AK1661" s="54">
        <f>IF(AND(AJ1661=1,AH1661&lt;&gt;"",COUNTIFS($AH$2:AH1661,AH1661,$AJ$2:AJ1661,1)=1),N(AL1660)+1,"")</f>
        <v/>
      </c>
      <c r="AL1661" s="54">
        <f>IF(AK1661&lt;&gt;"",AK1661,N(AL1660))</f>
        <v/>
      </c>
    </row>
    <row r="1662">
      <c r="A1662" t="inlineStr">
        <is>
          <t>PRD-0554</t>
        </is>
      </c>
      <c r="B1662" t="inlineStr">
        <is>
          <t>Production</t>
        </is>
      </c>
      <c r="AB1662" t="n">
        <v>554</v>
      </c>
      <c r="AD1662" s="52">
        <f>IFERROR(N(IFERROR(INDEX($A1662:$AB1662,MATCH("Xero Invoiced Ex GST",$A$1:$AB$1,0)),"")),0)</f>
        <v/>
      </c>
      <c r="AE1662" s="53">
        <f>IFERROR(INDEX($A1662:$AB1662,MATCH("Xero Invoice Date",$A$1:$AB$1,0)),"")</f>
        <v/>
      </c>
      <c r="AF1662" s="54">
        <f>IF(AND(IFERROR(INDEX($A1662:$AB1662,MATCH("Xero Invoice No",$A$1:$AB$1,0)),"")&amp;""&lt;&gt;"",ISNUMBER(AE1662),AD1662&lt;&gt;0),1,0)</f>
        <v/>
      </c>
      <c r="AG1662" s="55">
        <f>IF(AF1662=1,EOMONTH(AE1662,0),"")</f>
        <v/>
      </c>
      <c r="AH1662" s="9">
        <f>IF(AF1662=1,UPPER(TRIM(IFERROR(INDEX($A1662:$AB1662,MATCH("Client",$A$1:$AB$1,0)),"")&amp;"")),"")</f>
        <v/>
      </c>
      <c r="AI1662" s="9">
        <f>IF(AF1662=1,IFERROR(INDEX($A1662:$AB1662,MATCH("Cost Centre",$A$1:$AB$1,0)),"")&amp;"","")</f>
        <v/>
      </c>
      <c r="AJ1662" s="54">
        <f>IF(AND(AF1662=1,AE1662&gt;=set_FYStart,AE1662&lt;=set_AsAt),1,0)</f>
        <v/>
      </c>
      <c r="AK1662" s="54">
        <f>IF(AND(AJ1662=1,AH1662&lt;&gt;"",COUNTIFS($AH$2:AH1662,AH1662,$AJ$2:AJ1662,1)=1),N(AL1661)+1,"")</f>
        <v/>
      </c>
      <c r="AL1662" s="54">
        <f>IF(AK1662&lt;&gt;"",AK1662,N(AL1661))</f>
        <v/>
      </c>
    </row>
    <row r="1663">
      <c r="A1663" t="inlineStr">
        <is>
          <t>CON-0554</t>
        </is>
      </c>
      <c r="B1663" t="inlineStr">
        <is>
          <t>Consulting</t>
        </is>
      </c>
      <c r="AB1663" t="n">
        <v>554</v>
      </c>
      <c r="AD1663" s="52">
        <f>IFERROR(N(IFERROR(INDEX($A1663:$AB1663,MATCH("Xero Invoiced Ex GST",$A$1:$AB$1,0)),"")),0)</f>
        <v/>
      </c>
      <c r="AE1663" s="53">
        <f>IFERROR(INDEX($A1663:$AB1663,MATCH("Xero Invoice Date",$A$1:$AB$1,0)),"")</f>
        <v/>
      </c>
      <c r="AF1663" s="54">
        <f>IF(AND(IFERROR(INDEX($A1663:$AB1663,MATCH("Xero Invoice No",$A$1:$AB$1,0)),"")&amp;""&lt;&gt;"",ISNUMBER(AE1663),AD1663&lt;&gt;0),1,0)</f>
        <v/>
      </c>
      <c r="AG1663" s="55">
        <f>IF(AF1663=1,EOMONTH(AE1663,0),"")</f>
        <v/>
      </c>
      <c r="AH1663" s="9">
        <f>IF(AF1663=1,UPPER(TRIM(IFERROR(INDEX($A1663:$AB1663,MATCH("Client",$A$1:$AB$1,0)),"")&amp;"")),"")</f>
        <v/>
      </c>
      <c r="AI1663" s="9">
        <f>IF(AF1663=1,IFERROR(INDEX($A1663:$AB1663,MATCH("Cost Centre",$A$1:$AB$1,0)),"")&amp;"","")</f>
        <v/>
      </c>
      <c r="AJ1663" s="54">
        <f>IF(AND(AF1663=1,AE1663&gt;=set_FYStart,AE1663&lt;=set_AsAt),1,0)</f>
        <v/>
      </c>
      <c r="AK1663" s="54">
        <f>IF(AND(AJ1663=1,AH1663&lt;&gt;"",COUNTIFS($AH$2:AH1663,AH1663,$AJ$2:AJ1663,1)=1),N(AL1662)+1,"")</f>
        <v/>
      </c>
      <c r="AL1663" s="54">
        <f>IF(AK1663&lt;&gt;"",AK1663,N(AL1662))</f>
        <v/>
      </c>
    </row>
    <row r="1664">
      <c r="A1664" t="inlineStr">
        <is>
          <t>ONS-0555</t>
        </is>
      </c>
      <c r="B1664" t="inlineStr">
        <is>
          <t>Onsite</t>
        </is>
      </c>
      <c r="AB1664" t="n">
        <v>555</v>
      </c>
      <c r="AD1664" s="52">
        <f>IFERROR(N(IFERROR(INDEX($A1664:$AB1664,MATCH("Xero Invoiced Ex GST",$A$1:$AB$1,0)),"")),0)</f>
        <v/>
      </c>
      <c r="AE1664" s="53">
        <f>IFERROR(INDEX($A1664:$AB1664,MATCH("Xero Invoice Date",$A$1:$AB$1,0)),"")</f>
        <v/>
      </c>
      <c r="AF1664" s="54">
        <f>IF(AND(IFERROR(INDEX($A1664:$AB1664,MATCH("Xero Invoice No",$A$1:$AB$1,0)),"")&amp;""&lt;&gt;"",ISNUMBER(AE1664),AD1664&lt;&gt;0),1,0)</f>
        <v/>
      </c>
      <c r="AG1664" s="55">
        <f>IF(AF1664=1,EOMONTH(AE1664,0),"")</f>
        <v/>
      </c>
      <c r="AH1664" s="9">
        <f>IF(AF1664=1,UPPER(TRIM(IFERROR(INDEX($A1664:$AB1664,MATCH("Client",$A$1:$AB$1,0)),"")&amp;"")),"")</f>
        <v/>
      </c>
      <c r="AI1664" s="9">
        <f>IF(AF1664=1,IFERROR(INDEX($A1664:$AB1664,MATCH("Cost Centre",$A$1:$AB$1,0)),"")&amp;"","")</f>
        <v/>
      </c>
      <c r="AJ1664" s="54">
        <f>IF(AND(AF1664=1,AE1664&gt;=set_FYStart,AE1664&lt;=set_AsAt),1,0)</f>
        <v/>
      </c>
      <c r="AK1664" s="54">
        <f>IF(AND(AJ1664=1,AH1664&lt;&gt;"",COUNTIFS($AH$2:AH1664,AH1664,$AJ$2:AJ1664,1)=1),N(AL1663)+1,"")</f>
        <v/>
      </c>
      <c r="AL1664" s="54">
        <f>IF(AK1664&lt;&gt;"",AK1664,N(AL1663))</f>
        <v/>
      </c>
    </row>
    <row r="1665">
      <c r="A1665" t="inlineStr">
        <is>
          <t>PRD-0555</t>
        </is>
      </c>
      <c r="B1665" t="inlineStr">
        <is>
          <t>Production</t>
        </is>
      </c>
      <c r="AB1665" t="n">
        <v>555</v>
      </c>
      <c r="AD1665" s="52">
        <f>IFERROR(N(IFERROR(INDEX($A1665:$AB1665,MATCH("Xero Invoiced Ex GST",$A$1:$AB$1,0)),"")),0)</f>
        <v/>
      </c>
      <c r="AE1665" s="53">
        <f>IFERROR(INDEX($A1665:$AB1665,MATCH("Xero Invoice Date",$A$1:$AB$1,0)),"")</f>
        <v/>
      </c>
      <c r="AF1665" s="54">
        <f>IF(AND(IFERROR(INDEX($A1665:$AB1665,MATCH("Xero Invoice No",$A$1:$AB$1,0)),"")&amp;""&lt;&gt;"",ISNUMBER(AE1665),AD1665&lt;&gt;0),1,0)</f>
        <v/>
      </c>
      <c r="AG1665" s="55">
        <f>IF(AF1665=1,EOMONTH(AE1665,0),"")</f>
        <v/>
      </c>
      <c r="AH1665" s="9">
        <f>IF(AF1665=1,UPPER(TRIM(IFERROR(INDEX($A1665:$AB1665,MATCH("Client",$A$1:$AB$1,0)),"")&amp;"")),"")</f>
        <v/>
      </c>
      <c r="AI1665" s="9">
        <f>IF(AF1665=1,IFERROR(INDEX($A1665:$AB1665,MATCH("Cost Centre",$A$1:$AB$1,0)),"")&amp;"","")</f>
        <v/>
      </c>
      <c r="AJ1665" s="54">
        <f>IF(AND(AF1665=1,AE1665&gt;=set_FYStart,AE1665&lt;=set_AsAt),1,0)</f>
        <v/>
      </c>
      <c r="AK1665" s="54">
        <f>IF(AND(AJ1665=1,AH1665&lt;&gt;"",COUNTIFS($AH$2:AH1665,AH1665,$AJ$2:AJ1665,1)=1),N(AL1664)+1,"")</f>
        <v/>
      </c>
      <c r="AL1665" s="54">
        <f>IF(AK1665&lt;&gt;"",AK1665,N(AL1664))</f>
        <v/>
      </c>
    </row>
    <row r="1666">
      <c r="A1666" t="inlineStr">
        <is>
          <t>CON-0555</t>
        </is>
      </c>
      <c r="B1666" t="inlineStr">
        <is>
          <t>Consulting</t>
        </is>
      </c>
      <c r="AB1666" t="n">
        <v>555</v>
      </c>
      <c r="AD1666" s="52">
        <f>IFERROR(N(IFERROR(INDEX($A1666:$AB1666,MATCH("Xero Invoiced Ex GST",$A$1:$AB$1,0)),"")),0)</f>
        <v/>
      </c>
      <c r="AE1666" s="53">
        <f>IFERROR(INDEX($A1666:$AB1666,MATCH("Xero Invoice Date",$A$1:$AB$1,0)),"")</f>
        <v/>
      </c>
      <c r="AF1666" s="54">
        <f>IF(AND(IFERROR(INDEX($A1666:$AB1666,MATCH("Xero Invoice No",$A$1:$AB$1,0)),"")&amp;""&lt;&gt;"",ISNUMBER(AE1666),AD1666&lt;&gt;0),1,0)</f>
        <v/>
      </c>
      <c r="AG1666" s="55">
        <f>IF(AF1666=1,EOMONTH(AE1666,0),"")</f>
        <v/>
      </c>
      <c r="AH1666" s="9">
        <f>IF(AF1666=1,UPPER(TRIM(IFERROR(INDEX($A1666:$AB1666,MATCH("Client",$A$1:$AB$1,0)),"")&amp;"")),"")</f>
        <v/>
      </c>
      <c r="AI1666" s="9">
        <f>IF(AF1666=1,IFERROR(INDEX($A1666:$AB1666,MATCH("Cost Centre",$A$1:$AB$1,0)),"")&amp;"","")</f>
        <v/>
      </c>
      <c r="AJ1666" s="54">
        <f>IF(AND(AF1666=1,AE1666&gt;=set_FYStart,AE1666&lt;=set_AsAt),1,0)</f>
        <v/>
      </c>
      <c r="AK1666" s="54">
        <f>IF(AND(AJ1666=1,AH1666&lt;&gt;"",COUNTIFS($AH$2:AH1666,AH1666,$AJ$2:AJ1666,1)=1),N(AL1665)+1,"")</f>
        <v/>
      </c>
      <c r="AL1666" s="54">
        <f>IF(AK1666&lt;&gt;"",AK1666,N(AL1665))</f>
        <v/>
      </c>
    </row>
    <row r="1667">
      <c r="A1667" t="inlineStr">
        <is>
          <t>ONS-0556</t>
        </is>
      </c>
      <c r="B1667" t="inlineStr">
        <is>
          <t>Onsite</t>
        </is>
      </c>
      <c r="AB1667" t="n">
        <v>556</v>
      </c>
      <c r="AD1667" s="52">
        <f>IFERROR(N(IFERROR(INDEX($A1667:$AB1667,MATCH("Xero Invoiced Ex GST",$A$1:$AB$1,0)),"")),0)</f>
        <v/>
      </c>
      <c r="AE1667" s="53">
        <f>IFERROR(INDEX($A1667:$AB1667,MATCH("Xero Invoice Date",$A$1:$AB$1,0)),"")</f>
        <v/>
      </c>
      <c r="AF1667" s="54">
        <f>IF(AND(IFERROR(INDEX($A1667:$AB1667,MATCH("Xero Invoice No",$A$1:$AB$1,0)),"")&amp;""&lt;&gt;"",ISNUMBER(AE1667),AD1667&lt;&gt;0),1,0)</f>
        <v/>
      </c>
      <c r="AG1667" s="55">
        <f>IF(AF1667=1,EOMONTH(AE1667,0),"")</f>
        <v/>
      </c>
      <c r="AH1667" s="9">
        <f>IF(AF1667=1,UPPER(TRIM(IFERROR(INDEX($A1667:$AB1667,MATCH("Client",$A$1:$AB$1,0)),"")&amp;"")),"")</f>
        <v/>
      </c>
      <c r="AI1667" s="9">
        <f>IF(AF1667=1,IFERROR(INDEX($A1667:$AB1667,MATCH("Cost Centre",$A$1:$AB$1,0)),"")&amp;"","")</f>
        <v/>
      </c>
      <c r="AJ1667" s="54">
        <f>IF(AND(AF1667=1,AE1667&gt;=set_FYStart,AE1667&lt;=set_AsAt),1,0)</f>
        <v/>
      </c>
      <c r="AK1667" s="54">
        <f>IF(AND(AJ1667=1,AH1667&lt;&gt;"",COUNTIFS($AH$2:AH1667,AH1667,$AJ$2:AJ1667,1)=1),N(AL1666)+1,"")</f>
        <v/>
      </c>
      <c r="AL1667" s="54">
        <f>IF(AK1667&lt;&gt;"",AK1667,N(AL1666))</f>
        <v/>
      </c>
    </row>
    <row r="1668">
      <c r="A1668" t="inlineStr">
        <is>
          <t>PRD-0556</t>
        </is>
      </c>
      <c r="B1668" t="inlineStr">
        <is>
          <t>Production</t>
        </is>
      </c>
      <c r="AB1668" t="n">
        <v>556</v>
      </c>
      <c r="AD1668" s="52">
        <f>IFERROR(N(IFERROR(INDEX($A1668:$AB1668,MATCH("Xero Invoiced Ex GST",$A$1:$AB$1,0)),"")),0)</f>
        <v/>
      </c>
      <c r="AE1668" s="53">
        <f>IFERROR(INDEX($A1668:$AB1668,MATCH("Xero Invoice Date",$A$1:$AB$1,0)),"")</f>
        <v/>
      </c>
      <c r="AF1668" s="54">
        <f>IF(AND(IFERROR(INDEX($A1668:$AB1668,MATCH("Xero Invoice No",$A$1:$AB$1,0)),"")&amp;""&lt;&gt;"",ISNUMBER(AE1668),AD1668&lt;&gt;0),1,0)</f>
        <v/>
      </c>
      <c r="AG1668" s="55">
        <f>IF(AF1668=1,EOMONTH(AE1668,0),"")</f>
        <v/>
      </c>
      <c r="AH1668" s="9">
        <f>IF(AF1668=1,UPPER(TRIM(IFERROR(INDEX($A1668:$AB1668,MATCH("Client",$A$1:$AB$1,0)),"")&amp;"")),"")</f>
        <v/>
      </c>
      <c r="AI1668" s="9">
        <f>IF(AF1668=1,IFERROR(INDEX($A1668:$AB1668,MATCH("Cost Centre",$A$1:$AB$1,0)),"")&amp;"","")</f>
        <v/>
      </c>
      <c r="AJ1668" s="54">
        <f>IF(AND(AF1668=1,AE1668&gt;=set_FYStart,AE1668&lt;=set_AsAt),1,0)</f>
        <v/>
      </c>
      <c r="AK1668" s="54">
        <f>IF(AND(AJ1668=1,AH1668&lt;&gt;"",COUNTIFS($AH$2:AH1668,AH1668,$AJ$2:AJ1668,1)=1),N(AL1667)+1,"")</f>
        <v/>
      </c>
      <c r="AL1668" s="54">
        <f>IF(AK1668&lt;&gt;"",AK1668,N(AL1667))</f>
        <v/>
      </c>
    </row>
    <row r="1669">
      <c r="A1669" t="inlineStr">
        <is>
          <t>CON-0556</t>
        </is>
      </c>
      <c r="B1669" t="inlineStr">
        <is>
          <t>Consulting</t>
        </is>
      </c>
      <c r="AB1669" t="n">
        <v>556</v>
      </c>
      <c r="AD1669" s="52">
        <f>IFERROR(N(IFERROR(INDEX($A1669:$AB1669,MATCH("Xero Invoiced Ex GST",$A$1:$AB$1,0)),"")),0)</f>
        <v/>
      </c>
      <c r="AE1669" s="53">
        <f>IFERROR(INDEX($A1669:$AB1669,MATCH("Xero Invoice Date",$A$1:$AB$1,0)),"")</f>
        <v/>
      </c>
      <c r="AF1669" s="54">
        <f>IF(AND(IFERROR(INDEX($A1669:$AB1669,MATCH("Xero Invoice No",$A$1:$AB$1,0)),"")&amp;""&lt;&gt;"",ISNUMBER(AE1669),AD1669&lt;&gt;0),1,0)</f>
        <v/>
      </c>
      <c r="AG1669" s="55">
        <f>IF(AF1669=1,EOMONTH(AE1669,0),"")</f>
        <v/>
      </c>
      <c r="AH1669" s="9">
        <f>IF(AF1669=1,UPPER(TRIM(IFERROR(INDEX($A1669:$AB1669,MATCH("Client",$A$1:$AB$1,0)),"")&amp;"")),"")</f>
        <v/>
      </c>
      <c r="AI1669" s="9">
        <f>IF(AF1669=1,IFERROR(INDEX($A1669:$AB1669,MATCH("Cost Centre",$A$1:$AB$1,0)),"")&amp;"","")</f>
        <v/>
      </c>
      <c r="AJ1669" s="54">
        <f>IF(AND(AF1669=1,AE1669&gt;=set_FYStart,AE1669&lt;=set_AsAt),1,0)</f>
        <v/>
      </c>
      <c r="AK1669" s="54">
        <f>IF(AND(AJ1669=1,AH1669&lt;&gt;"",COUNTIFS($AH$2:AH1669,AH1669,$AJ$2:AJ1669,1)=1),N(AL1668)+1,"")</f>
        <v/>
      </c>
      <c r="AL1669" s="54">
        <f>IF(AK1669&lt;&gt;"",AK1669,N(AL1668))</f>
        <v/>
      </c>
    </row>
    <row r="1670">
      <c r="A1670" t="inlineStr">
        <is>
          <t>ONS-0557</t>
        </is>
      </c>
      <c r="B1670" t="inlineStr">
        <is>
          <t>Onsite</t>
        </is>
      </c>
      <c r="AB1670" t="n">
        <v>557</v>
      </c>
      <c r="AD1670" s="52">
        <f>IFERROR(N(IFERROR(INDEX($A1670:$AB1670,MATCH("Xero Invoiced Ex GST",$A$1:$AB$1,0)),"")),0)</f>
        <v/>
      </c>
      <c r="AE1670" s="53">
        <f>IFERROR(INDEX($A1670:$AB1670,MATCH("Xero Invoice Date",$A$1:$AB$1,0)),"")</f>
        <v/>
      </c>
      <c r="AF1670" s="54">
        <f>IF(AND(IFERROR(INDEX($A1670:$AB1670,MATCH("Xero Invoice No",$A$1:$AB$1,0)),"")&amp;""&lt;&gt;"",ISNUMBER(AE1670),AD1670&lt;&gt;0),1,0)</f>
        <v/>
      </c>
      <c r="AG1670" s="55">
        <f>IF(AF1670=1,EOMONTH(AE1670,0),"")</f>
        <v/>
      </c>
      <c r="AH1670" s="9">
        <f>IF(AF1670=1,UPPER(TRIM(IFERROR(INDEX($A1670:$AB1670,MATCH("Client",$A$1:$AB$1,0)),"")&amp;"")),"")</f>
        <v/>
      </c>
      <c r="AI1670" s="9">
        <f>IF(AF1670=1,IFERROR(INDEX($A1670:$AB1670,MATCH("Cost Centre",$A$1:$AB$1,0)),"")&amp;"","")</f>
        <v/>
      </c>
      <c r="AJ1670" s="54">
        <f>IF(AND(AF1670=1,AE1670&gt;=set_FYStart,AE1670&lt;=set_AsAt),1,0)</f>
        <v/>
      </c>
      <c r="AK1670" s="54">
        <f>IF(AND(AJ1670=1,AH1670&lt;&gt;"",COUNTIFS($AH$2:AH1670,AH1670,$AJ$2:AJ1670,1)=1),N(AL1669)+1,"")</f>
        <v/>
      </c>
      <c r="AL1670" s="54">
        <f>IF(AK1670&lt;&gt;"",AK1670,N(AL1669))</f>
        <v/>
      </c>
    </row>
    <row r="1671">
      <c r="A1671" t="inlineStr">
        <is>
          <t>PRD-0557</t>
        </is>
      </c>
      <c r="B1671" t="inlineStr">
        <is>
          <t>Production</t>
        </is>
      </c>
      <c r="AB1671" t="n">
        <v>557</v>
      </c>
      <c r="AD1671" s="52">
        <f>IFERROR(N(IFERROR(INDEX($A1671:$AB1671,MATCH("Xero Invoiced Ex GST",$A$1:$AB$1,0)),"")),0)</f>
        <v/>
      </c>
      <c r="AE1671" s="53">
        <f>IFERROR(INDEX($A1671:$AB1671,MATCH("Xero Invoice Date",$A$1:$AB$1,0)),"")</f>
        <v/>
      </c>
      <c r="AF1671" s="54">
        <f>IF(AND(IFERROR(INDEX($A1671:$AB1671,MATCH("Xero Invoice No",$A$1:$AB$1,0)),"")&amp;""&lt;&gt;"",ISNUMBER(AE1671),AD1671&lt;&gt;0),1,0)</f>
        <v/>
      </c>
      <c r="AG1671" s="55">
        <f>IF(AF1671=1,EOMONTH(AE1671,0),"")</f>
        <v/>
      </c>
      <c r="AH1671" s="9">
        <f>IF(AF1671=1,UPPER(TRIM(IFERROR(INDEX($A1671:$AB1671,MATCH("Client",$A$1:$AB$1,0)),"")&amp;"")),"")</f>
        <v/>
      </c>
      <c r="AI1671" s="9">
        <f>IF(AF1671=1,IFERROR(INDEX($A1671:$AB1671,MATCH("Cost Centre",$A$1:$AB$1,0)),"")&amp;"","")</f>
        <v/>
      </c>
      <c r="AJ1671" s="54">
        <f>IF(AND(AF1671=1,AE1671&gt;=set_FYStart,AE1671&lt;=set_AsAt),1,0)</f>
        <v/>
      </c>
      <c r="AK1671" s="54">
        <f>IF(AND(AJ1671=1,AH1671&lt;&gt;"",COUNTIFS($AH$2:AH1671,AH1671,$AJ$2:AJ1671,1)=1),N(AL1670)+1,"")</f>
        <v/>
      </c>
      <c r="AL1671" s="54">
        <f>IF(AK1671&lt;&gt;"",AK1671,N(AL1670))</f>
        <v/>
      </c>
    </row>
    <row r="1672">
      <c r="A1672" t="inlineStr">
        <is>
          <t>CON-0557</t>
        </is>
      </c>
      <c r="B1672" t="inlineStr">
        <is>
          <t>Consulting</t>
        </is>
      </c>
      <c r="AB1672" t="n">
        <v>557</v>
      </c>
      <c r="AD1672" s="52">
        <f>IFERROR(N(IFERROR(INDEX($A1672:$AB1672,MATCH("Xero Invoiced Ex GST",$A$1:$AB$1,0)),"")),0)</f>
        <v/>
      </c>
      <c r="AE1672" s="53">
        <f>IFERROR(INDEX($A1672:$AB1672,MATCH("Xero Invoice Date",$A$1:$AB$1,0)),"")</f>
        <v/>
      </c>
      <c r="AF1672" s="54">
        <f>IF(AND(IFERROR(INDEX($A1672:$AB1672,MATCH("Xero Invoice No",$A$1:$AB$1,0)),"")&amp;""&lt;&gt;"",ISNUMBER(AE1672),AD1672&lt;&gt;0),1,0)</f>
        <v/>
      </c>
      <c r="AG1672" s="55">
        <f>IF(AF1672=1,EOMONTH(AE1672,0),"")</f>
        <v/>
      </c>
      <c r="AH1672" s="9">
        <f>IF(AF1672=1,UPPER(TRIM(IFERROR(INDEX($A1672:$AB1672,MATCH("Client",$A$1:$AB$1,0)),"")&amp;"")),"")</f>
        <v/>
      </c>
      <c r="AI1672" s="9">
        <f>IF(AF1672=1,IFERROR(INDEX($A1672:$AB1672,MATCH("Cost Centre",$A$1:$AB$1,0)),"")&amp;"","")</f>
        <v/>
      </c>
      <c r="AJ1672" s="54">
        <f>IF(AND(AF1672=1,AE1672&gt;=set_FYStart,AE1672&lt;=set_AsAt),1,0)</f>
        <v/>
      </c>
      <c r="AK1672" s="54">
        <f>IF(AND(AJ1672=1,AH1672&lt;&gt;"",COUNTIFS($AH$2:AH1672,AH1672,$AJ$2:AJ1672,1)=1),N(AL1671)+1,"")</f>
        <v/>
      </c>
      <c r="AL1672" s="54">
        <f>IF(AK1672&lt;&gt;"",AK1672,N(AL1671))</f>
        <v/>
      </c>
    </row>
    <row r="1673">
      <c r="A1673" t="inlineStr">
        <is>
          <t>ONS-0558</t>
        </is>
      </c>
      <c r="B1673" t="inlineStr">
        <is>
          <t>Onsite</t>
        </is>
      </c>
      <c r="AB1673" t="n">
        <v>558</v>
      </c>
      <c r="AD1673" s="52">
        <f>IFERROR(N(IFERROR(INDEX($A1673:$AB1673,MATCH("Xero Invoiced Ex GST",$A$1:$AB$1,0)),"")),0)</f>
        <v/>
      </c>
      <c r="AE1673" s="53">
        <f>IFERROR(INDEX($A1673:$AB1673,MATCH("Xero Invoice Date",$A$1:$AB$1,0)),"")</f>
        <v/>
      </c>
      <c r="AF1673" s="54">
        <f>IF(AND(IFERROR(INDEX($A1673:$AB1673,MATCH("Xero Invoice No",$A$1:$AB$1,0)),"")&amp;""&lt;&gt;"",ISNUMBER(AE1673),AD1673&lt;&gt;0),1,0)</f>
        <v/>
      </c>
      <c r="AG1673" s="55">
        <f>IF(AF1673=1,EOMONTH(AE1673,0),"")</f>
        <v/>
      </c>
      <c r="AH1673" s="9">
        <f>IF(AF1673=1,UPPER(TRIM(IFERROR(INDEX($A1673:$AB1673,MATCH("Client",$A$1:$AB$1,0)),"")&amp;"")),"")</f>
        <v/>
      </c>
      <c r="AI1673" s="9">
        <f>IF(AF1673=1,IFERROR(INDEX($A1673:$AB1673,MATCH("Cost Centre",$A$1:$AB$1,0)),"")&amp;"","")</f>
        <v/>
      </c>
      <c r="AJ1673" s="54">
        <f>IF(AND(AF1673=1,AE1673&gt;=set_FYStart,AE1673&lt;=set_AsAt),1,0)</f>
        <v/>
      </c>
      <c r="AK1673" s="54">
        <f>IF(AND(AJ1673=1,AH1673&lt;&gt;"",COUNTIFS($AH$2:AH1673,AH1673,$AJ$2:AJ1673,1)=1),N(AL1672)+1,"")</f>
        <v/>
      </c>
      <c r="AL1673" s="54">
        <f>IF(AK1673&lt;&gt;"",AK1673,N(AL1672))</f>
        <v/>
      </c>
    </row>
    <row r="1674">
      <c r="A1674" t="inlineStr">
        <is>
          <t>PRD-0558</t>
        </is>
      </c>
      <c r="B1674" t="inlineStr">
        <is>
          <t>Production</t>
        </is>
      </c>
      <c r="AB1674" t="n">
        <v>558</v>
      </c>
      <c r="AD1674" s="52">
        <f>IFERROR(N(IFERROR(INDEX($A1674:$AB1674,MATCH("Xero Invoiced Ex GST",$A$1:$AB$1,0)),"")),0)</f>
        <v/>
      </c>
      <c r="AE1674" s="53">
        <f>IFERROR(INDEX($A1674:$AB1674,MATCH("Xero Invoice Date",$A$1:$AB$1,0)),"")</f>
        <v/>
      </c>
      <c r="AF1674" s="54">
        <f>IF(AND(IFERROR(INDEX($A1674:$AB1674,MATCH("Xero Invoice No",$A$1:$AB$1,0)),"")&amp;""&lt;&gt;"",ISNUMBER(AE1674),AD1674&lt;&gt;0),1,0)</f>
        <v/>
      </c>
      <c r="AG1674" s="55">
        <f>IF(AF1674=1,EOMONTH(AE1674,0),"")</f>
        <v/>
      </c>
      <c r="AH1674" s="9">
        <f>IF(AF1674=1,UPPER(TRIM(IFERROR(INDEX($A1674:$AB1674,MATCH("Client",$A$1:$AB$1,0)),"")&amp;"")),"")</f>
        <v/>
      </c>
      <c r="AI1674" s="9">
        <f>IF(AF1674=1,IFERROR(INDEX($A1674:$AB1674,MATCH("Cost Centre",$A$1:$AB$1,0)),"")&amp;"","")</f>
        <v/>
      </c>
      <c r="AJ1674" s="54">
        <f>IF(AND(AF1674=1,AE1674&gt;=set_FYStart,AE1674&lt;=set_AsAt),1,0)</f>
        <v/>
      </c>
      <c r="AK1674" s="54">
        <f>IF(AND(AJ1674=1,AH1674&lt;&gt;"",COUNTIFS($AH$2:AH1674,AH1674,$AJ$2:AJ1674,1)=1),N(AL1673)+1,"")</f>
        <v/>
      </c>
      <c r="AL1674" s="54">
        <f>IF(AK1674&lt;&gt;"",AK1674,N(AL1673))</f>
        <v/>
      </c>
    </row>
    <row r="1675">
      <c r="A1675" t="inlineStr">
        <is>
          <t>CON-0558</t>
        </is>
      </c>
      <c r="B1675" t="inlineStr">
        <is>
          <t>Consulting</t>
        </is>
      </c>
      <c r="AB1675" t="n">
        <v>558</v>
      </c>
      <c r="AD1675" s="52">
        <f>IFERROR(N(IFERROR(INDEX($A1675:$AB1675,MATCH("Xero Invoiced Ex GST",$A$1:$AB$1,0)),"")),0)</f>
        <v/>
      </c>
      <c r="AE1675" s="53">
        <f>IFERROR(INDEX($A1675:$AB1675,MATCH("Xero Invoice Date",$A$1:$AB$1,0)),"")</f>
        <v/>
      </c>
      <c r="AF1675" s="54">
        <f>IF(AND(IFERROR(INDEX($A1675:$AB1675,MATCH("Xero Invoice No",$A$1:$AB$1,0)),"")&amp;""&lt;&gt;"",ISNUMBER(AE1675),AD1675&lt;&gt;0),1,0)</f>
        <v/>
      </c>
      <c r="AG1675" s="55">
        <f>IF(AF1675=1,EOMONTH(AE1675,0),"")</f>
        <v/>
      </c>
      <c r="AH1675" s="9">
        <f>IF(AF1675=1,UPPER(TRIM(IFERROR(INDEX($A1675:$AB1675,MATCH("Client",$A$1:$AB$1,0)),"")&amp;"")),"")</f>
        <v/>
      </c>
      <c r="AI1675" s="9">
        <f>IF(AF1675=1,IFERROR(INDEX($A1675:$AB1675,MATCH("Cost Centre",$A$1:$AB$1,0)),"")&amp;"","")</f>
        <v/>
      </c>
      <c r="AJ1675" s="54">
        <f>IF(AND(AF1675=1,AE1675&gt;=set_FYStart,AE1675&lt;=set_AsAt),1,0)</f>
        <v/>
      </c>
      <c r="AK1675" s="54">
        <f>IF(AND(AJ1675=1,AH1675&lt;&gt;"",COUNTIFS($AH$2:AH1675,AH1675,$AJ$2:AJ1675,1)=1),N(AL1674)+1,"")</f>
        <v/>
      </c>
      <c r="AL1675" s="54">
        <f>IF(AK1675&lt;&gt;"",AK1675,N(AL1674))</f>
        <v/>
      </c>
    </row>
    <row r="1676">
      <c r="A1676" t="inlineStr">
        <is>
          <t>ONS-0559</t>
        </is>
      </c>
      <c r="B1676" t="inlineStr">
        <is>
          <t>Onsite</t>
        </is>
      </c>
      <c r="AB1676" t="n">
        <v>559</v>
      </c>
      <c r="AD1676" s="52">
        <f>IFERROR(N(IFERROR(INDEX($A1676:$AB1676,MATCH("Xero Invoiced Ex GST",$A$1:$AB$1,0)),"")),0)</f>
        <v/>
      </c>
      <c r="AE1676" s="53">
        <f>IFERROR(INDEX($A1676:$AB1676,MATCH("Xero Invoice Date",$A$1:$AB$1,0)),"")</f>
        <v/>
      </c>
      <c r="AF1676" s="54">
        <f>IF(AND(IFERROR(INDEX($A1676:$AB1676,MATCH("Xero Invoice No",$A$1:$AB$1,0)),"")&amp;""&lt;&gt;"",ISNUMBER(AE1676),AD1676&lt;&gt;0),1,0)</f>
        <v/>
      </c>
      <c r="AG1676" s="55">
        <f>IF(AF1676=1,EOMONTH(AE1676,0),"")</f>
        <v/>
      </c>
      <c r="AH1676" s="9">
        <f>IF(AF1676=1,UPPER(TRIM(IFERROR(INDEX($A1676:$AB1676,MATCH("Client",$A$1:$AB$1,0)),"")&amp;"")),"")</f>
        <v/>
      </c>
      <c r="AI1676" s="9">
        <f>IF(AF1676=1,IFERROR(INDEX($A1676:$AB1676,MATCH("Cost Centre",$A$1:$AB$1,0)),"")&amp;"","")</f>
        <v/>
      </c>
      <c r="AJ1676" s="54">
        <f>IF(AND(AF1676=1,AE1676&gt;=set_FYStart,AE1676&lt;=set_AsAt),1,0)</f>
        <v/>
      </c>
      <c r="AK1676" s="54">
        <f>IF(AND(AJ1676=1,AH1676&lt;&gt;"",COUNTIFS($AH$2:AH1676,AH1676,$AJ$2:AJ1676,1)=1),N(AL1675)+1,"")</f>
        <v/>
      </c>
      <c r="AL1676" s="54">
        <f>IF(AK1676&lt;&gt;"",AK1676,N(AL1675))</f>
        <v/>
      </c>
    </row>
    <row r="1677">
      <c r="A1677" t="inlineStr">
        <is>
          <t>PRD-0559</t>
        </is>
      </c>
      <c r="B1677" t="inlineStr">
        <is>
          <t>Production</t>
        </is>
      </c>
      <c r="AB1677" t="n">
        <v>559</v>
      </c>
      <c r="AD1677" s="52">
        <f>IFERROR(N(IFERROR(INDEX($A1677:$AB1677,MATCH("Xero Invoiced Ex GST",$A$1:$AB$1,0)),"")),0)</f>
        <v/>
      </c>
      <c r="AE1677" s="53">
        <f>IFERROR(INDEX($A1677:$AB1677,MATCH("Xero Invoice Date",$A$1:$AB$1,0)),"")</f>
        <v/>
      </c>
      <c r="AF1677" s="54">
        <f>IF(AND(IFERROR(INDEX($A1677:$AB1677,MATCH("Xero Invoice No",$A$1:$AB$1,0)),"")&amp;""&lt;&gt;"",ISNUMBER(AE1677),AD1677&lt;&gt;0),1,0)</f>
        <v/>
      </c>
      <c r="AG1677" s="55">
        <f>IF(AF1677=1,EOMONTH(AE1677,0),"")</f>
        <v/>
      </c>
      <c r="AH1677" s="9">
        <f>IF(AF1677=1,UPPER(TRIM(IFERROR(INDEX($A1677:$AB1677,MATCH("Client",$A$1:$AB$1,0)),"")&amp;"")),"")</f>
        <v/>
      </c>
      <c r="AI1677" s="9">
        <f>IF(AF1677=1,IFERROR(INDEX($A1677:$AB1677,MATCH("Cost Centre",$A$1:$AB$1,0)),"")&amp;"","")</f>
        <v/>
      </c>
      <c r="AJ1677" s="54">
        <f>IF(AND(AF1677=1,AE1677&gt;=set_FYStart,AE1677&lt;=set_AsAt),1,0)</f>
        <v/>
      </c>
      <c r="AK1677" s="54">
        <f>IF(AND(AJ1677=1,AH1677&lt;&gt;"",COUNTIFS($AH$2:AH1677,AH1677,$AJ$2:AJ1677,1)=1),N(AL1676)+1,"")</f>
        <v/>
      </c>
      <c r="AL1677" s="54">
        <f>IF(AK1677&lt;&gt;"",AK1677,N(AL1676))</f>
        <v/>
      </c>
    </row>
    <row r="1678">
      <c r="A1678" t="inlineStr">
        <is>
          <t>CON-0559</t>
        </is>
      </c>
      <c r="B1678" t="inlineStr">
        <is>
          <t>Consulting</t>
        </is>
      </c>
      <c r="AB1678" t="n">
        <v>559</v>
      </c>
      <c r="AD1678" s="52">
        <f>IFERROR(N(IFERROR(INDEX($A1678:$AB1678,MATCH("Xero Invoiced Ex GST",$A$1:$AB$1,0)),"")),0)</f>
        <v/>
      </c>
      <c r="AE1678" s="53">
        <f>IFERROR(INDEX($A1678:$AB1678,MATCH("Xero Invoice Date",$A$1:$AB$1,0)),"")</f>
        <v/>
      </c>
      <c r="AF1678" s="54">
        <f>IF(AND(IFERROR(INDEX($A1678:$AB1678,MATCH("Xero Invoice No",$A$1:$AB$1,0)),"")&amp;""&lt;&gt;"",ISNUMBER(AE1678),AD1678&lt;&gt;0),1,0)</f>
        <v/>
      </c>
      <c r="AG1678" s="55">
        <f>IF(AF1678=1,EOMONTH(AE1678,0),"")</f>
        <v/>
      </c>
      <c r="AH1678" s="9">
        <f>IF(AF1678=1,UPPER(TRIM(IFERROR(INDEX($A1678:$AB1678,MATCH("Client",$A$1:$AB$1,0)),"")&amp;"")),"")</f>
        <v/>
      </c>
      <c r="AI1678" s="9">
        <f>IF(AF1678=1,IFERROR(INDEX($A1678:$AB1678,MATCH("Cost Centre",$A$1:$AB$1,0)),"")&amp;"","")</f>
        <v/>
      </c>
      <c r="AJ1678" s="54">
        <f>IF(AND(AF1678=1,AE1678&gt;=set_FYStart,AE1678&lt;=set_AsAt),1,0)</f>
        <v/>
      </c>
      <c r="AK1678" s="54">
        <f>IF(AND(AJ1678=1,AH1678&lt;&gt;"",COUNTIFS($AH$2:AH1678,AH1678,$AJ$2:AJ1678,1)=1),N(AL1677)+1,"")</f>
        <v/>
      </c>
      <c r="AL1678" s="54">
        <f>IF(AK1678&lt;&gt;"",AK1678,N(AL1677))</f>
        <v/>
      </c>
    </row>
    <row r="1679">
      <c r="A1679" t="inlineStr">
        <is>
          <t>ONS-0560</t>
        </is>
      </c>
      <c r="B1679" t="inlineStr">
        <is>
          <t>Onsite</t>
        </is>
      </c>
      <c r="AB1679" t="n">
        <v>560</v>
      </c>
      <c r="AD1679" s="52">
        <f>IFERROR(N(IFERROR(INDEX($A1679:$AB1679,MATCH("Xero Invoiced Ex GST",$A$1:$AB$1,0)),"")),0)</f>
        <v/>
      </c>
      <c r="AE1679" s="53">
        <f>IFERROR(INDEX($A1679:$AB1679,MATCH("Xero Invoice Date",$A$1:$AB$1,0)),"")</f>
        <v/>
      </c>
      <c r="AF1679" s="54">
        <f>IF(AND(IFERROR(INDEX($A1679:$AB1679,MATCH("Xero Invoice No",$A$1:$AB$1,0)),"")&amp;""&lt;&gt;"",ISNUMBER(AE1679),AD1679&lt;&gt;0),1,0)</f>
        <v/>
      </c>
      <c r="AG1679" s="55">
        <f>IF(AF1679=1,EOMONTH(AE1679,0),"")</f>
        <v/>
      </c>
      <c r="AH1679" s="9">
        <f>IF(AF1679=1,UPPER(TRIM(IFERROR(INDEX($A1679:$AB1679,MATCH("Client",$A$1:$AB$1,0)),"")&amp;"")),"")</f>
        <v/>
      </c>
      <c r="AI1679" s="9">
        <f>IF(AF1679=1,IFERROR(INDEX($A1679:$AB1679,MATCH("Cost Centre",$A$1:$AB$1,0)),"")&amp;"","")</f>
        <v/>
      </c>
      <c r="AJ1679" s="54">
        <f>IF(AND(AF1679=1,AE1679&gt;=set_FYStart,AE1679&lt;=set_AsAt),1,0)</f>
        <v/>
      </c>
      <c r="AK1679" s="54">
        <f>IF(AND(AJ1679=1,AH1679&lt;&gt;"",COUNTIFS($AH$2:AH1679,AH1679,$AJ$2:AJ1679,1)=1),N(AL1678)+1,"")</f>
        <v/>
      </c>
      <c r="AL1679" s="54">
        <f>IF(AK1679&lt;&gt;"",AK1679,N(AL1678))</f>
        <v/>
      </c>
    </row>
    <row r="1680">
      <c r="A1680" t="inlineStr">
        <is>
          <t>PRD-0560</t>
        </is>
      </c>
      <c r="B1680" t="inlineStr">
        <is>
          <t>Production</t>
        </is>
      </c>
      <c r="AB1680" t="n">
        <v>560</v>
      </c>
      <c r="AD1680" s="52">
        <f>IFERROR(N(IFERROR(INDEX($A1680:$AB1680,MATCH("Xero Invoiced Ex GST",$A$1:$AB$1,0)),"")),0)</f>
        <v/>
      </c>
      <c r="AE1680" s="53">
        <f>IFERROR(INDEX($A1680:$AB1680,MATCH("Xero Invoice Date",$A$1:$AB$1,0)),"")</f>
        <v/>
      </c>
      <c r="AF1680" s="54">
        <f>IF(AND(IFERROR(INDEX($A1680:$AB1680,MATCH("Xero Invoice No",$A$1:$AB$1,0)),"")&amp;""&lt;&gt;"",ISNUMBER(AE1680),AD1680&lt;&gt;0),1,0)</f>
        <v/>
      </c>
      <c r="AG1680" s="55">
        <f>IF(AF1680=1,EOMONTH(AE1680,0),"")</f>
        <v/>
      </c>
      <c r="AH1680" s="9">
        <f>IF(AF1680=1,UPPER(TRIM(IFERROR(INDEX($A1680:$AB1680,MATCH("Client",$A$1:$AB$1,0)),"")&amp;"")),"")</f>
        <v/>
      </c>
      <c r="AI1680" s="9">
        <f>IF(AF1680=1,IFERROR(INDEX($A1680:$AB1680,MATCH("Cost Centre",$A$1:$AB$1,0)),"")&amp;"","")</f>
        <v/>
      </c>
      <c r="AJ1680" s="54">
        <f>IF(AND(AF1680=1,AE1680&gt;=set_FYStart,AE1680&lt;=set_AsAt),1,0)</f>
        <v/>
      </c>
      <c r="AK1680" s="54">
        <f>IF(AND(AJ1680=1,AH1680&lt;&gt;"",COUNTIFS($AH$2:AH1680,AH1680,$AJ$2:AJ1680,1)=1),N(AL1679)+1,"")</f>
        <v/>
      </c>
      <c r="AL1680" s="54">
        <f>IF(AK1680&lt;&gt;"",AK1680,N(AL1679))</f>
        <v/>
      </c>
    </row>
    <row r="1681">
      <c r="A1681" t="inlineStr">
        <is>
          <t>CON-0560</t>
        </is>
      </c>
      <c r="B1681" t="inlineStr">
        <is>
          <t>Consulting</t>
        </is>
      </c>
      <c r="AB1681" t="n">
        <v>560</v>
      </c>
      <c r="AD1681" s="52">
        <f>IFERROR(N(IFERROR(INDEX($A1681:$AB1681,MATCH("Xero Invoiced Ex GST",$A$1:$AB$1,0)),"")),0)</f>
        <v/>
      </c>
      <c r="AE1681" s="53">
        <f>IFERROR(INDEX($A1681:$AB1681,MATCH("Xero Invoice Date",$A$1:$AB$1,0)),"")</f>
        <v/>
      </c>
      <c r="AF1681" s="54">
        <f>IF(AND(IFERROR(INDEX($A1681:$AB1681,MATCH("Xero Invoice No",$A$1:$AB$1,0)),"")&amp;""&lt;&gt;"",ISNUMBER(AE1681),AD1681&lt;&gt;0),1,0)</f>
        <v/>
      </c>
      <c r="AG1681" s="55">
        <f>IF(AF1681=1,EOMONTH(AE1681,0),"")</f>
        <v/>
      </c>
      <c r="AH1681" s="9">
        <f>IF(AF1681=1,UPPER(TRIM(IFERROR(INDEX($A1681:$AB1681,MATCH("Client",$A$1:$AB$1,0)),"")&amp;"")),"")</f>
        <v/>
      </c>
      <c r="AI1681" s="9">
        <f>IF(AF1681=1,IFERROR(INDEX($A1681:$AB1681,MATCH("Cost Centre",$A$1:$AB$1,0)),"")&amp;"","")</f>
        <v/>
      </c>
      <c r="AJ1681" s="54">
        <f>IF(AND(AF1681=1,AE1681&gt;=set_FYStart,AE1681&lt;=set_AsAt),1,0)</f>
        <v/>
      </c>
      <c r="AK1681" s="54">
        <f>IF(AND(AJ1681=1,AH1681&lt;&gt;"",COUNTIFS($AH$2:AH1681,AH1681,$AJ$2:AJ1681,1)=1),N(AL1680)+1,"")</f>
        <v/>
      </c>
      <c r="AL1681" s="54">
        <f>IF(AK1681&lt;&gt;"",AK1681,N(AL1680))</f>
        <v/>
      </c>
    </row>
    <row r="1682">
      <c r="A1682" t="inlineStr">
        <is>
          <t>ONS-0561</t>
        </is>
      </c>
      <c r="B1682" t="inlineStr">
        <is>
          <t>Onsite</t>
        </is>
      </c>
      <c r="AB1682" t="n">
        <v>561</v>
      </c>
      <c r="AD1682" s="52">
        <f>IFERROR(N(IFERROR(INDEX($A1682:$AB1682,MATCH("Xero Invoiced Ex GST",$A$1:$AB$1,0)),"")),0)</f>
        <v/>
      </c>
      <c r="AE1682" s="53">
        <f>IFERROR(INDEX($A1682:$AB1682,MATCH("Xero Invoice Date",$A$1:$AB$1,0)),"")</f>
        <v/>
      </c>
      <c r="AF1682" s="54">
        <f>IF(AND(IFERROR(INDEX($A1682:$AB1682,MATCH("Xero Invoice No",$A$1:$AB$1,0)),"")&amp;""&lt;&gt;"",ISNUMBER(AE1682),AD1682&lt;&gt;0),1,0)</f>
        <v/>
      </c>
      <c r="AG1682" s="55">
        <f>IF(AF1682=1,EOMONTH(AE1682,0),"")</f>
        <v/>
      </c>
      <c r="AH1682" s="9">
        <f>IF(AF1682=1,UPPER(TRIM(IFERROR(INDEX($A1682:$AB1682,MATCH("Client",$A$1:$AB$1,0)),"")&amp;"")),"")</f>
        <v/>
      </c>
      <c r="AI1682" s="9">
        <f>IF(AF1682=1,IFERROR(INDEX($A1682:$AB1682,MATCH("Cost Centre",$A$1:$AB$1,0)),"")&amp;"","")</f>
        <v/>
      </c>
      <c r="AJ1682" s="54">
        <f>IF(AND(AF1682=1,AE1682&gt;=set_FYStart,AE1682&lt;=set_AsAt),1,0)</f>
        <v/>
      </c>
      <c r="AK1682" s="54">
        <f>IF(AND(AJ1682=1,AH1682&lt;&gt;"",COUNTIFS($AH$2:AH1682,AH1682,$AJ$2:AJ1682,1)=1),N(AL1681)+1,"")</f>
        <v/>
      </c>
      <c r="AL1682" s="54">
        <f>IF(AK1682&lt;&gt;"",AK1682,N(AL1681))</f>
        <v/>
      </c>
    </row>
    <row r="1683">
      <c r="A1683" t="inlineStr">
        <is>
          <t>PRD-0561</t>
        </is>
      </c>
      <c r="B1683" t="inlineStr">
        <is>
          <t>Production</t>
        </is>
      </c>
      <c r="AB1683" t="n">
        <v>561</v>
      </c>
      <c r="AD1683" s="52">
        <f>IFERROR(N(IFERROR(INDEX($A1683:$AB1683,MATCH("Xero Invoiced Ex GST",$A$1:$AB$1,0)),"")),0)</f>
        <v/>
      </c>
      <c r="AE1683" s="53">
        <f>IFERROR(INDEX($A1683:$AB1683,MATCH("Xero Invoice Date",$A$1:$AB$1,0)),"")</f>
        <v/>
      </c>
      <c r="AF1683" s="54">
        <f>IF(AND(IFERROR(INDEX($A1683:$AB1683,MATCH("Xero Invoice No",$A$1:$AB$1,0)),"")&amp;""&lt;&gt;"",ISNUMBER(AE1683),AD1683&lt;&gt;0),1,0)</f>
        <v/>
      </c>
      <c r="AG1683" s="55">
        <f>IF(AF1683=1,EOMONTH(AE1683,0),"")</f>
        <v/>
      </c>
      <c r="AH1683" s="9">
        <f>IF(AF1683=1,UPPER(TRIM(IFERROR(INDEX($A1683:$AB1683,MATCH("Client",$A$1:$AB$1,0)),"")&amp;"")),"")</f>
        <v/>
      </c>
      <c r="AI1683" s="9">
        <f>IF(AF1683=1,IFERROR(INDEX($A1683:$AB1683,MATCH("Cost Centre",$A$1:$AB$1,0)),"")&amp;"","")</f>
        <v/>
      </c>
      <c r="AJ1683" s="54">
        <f>IF(AND(AF1683=1,AE1683&gt;=set_FYStart,AE1683&lt;=set_AsAt),1,0)</f>
        <v/>
      </c>
      <c r="AK1683" s="54">
        <f>IF(AND(AJ1683=1,AH1683&lt;&gt;"",COUNTIFS($AH$2:AH1683,AH1683,$AJ$2:AJ1683,1)=1),N(AL1682)+1,"")</f>
        <v/>
      </c>
      <c r="AL1683" s="54">
        <f>IF(AK1683&lt;&gt;"",AK1683,N(AL1682))</f>
        <v/>
      </c>
    </row>
    <row r="1684">
      <c r="A1684" t="inlineStr">
        <is>
          <t>CON-0561</t>
        </is>
      </c>
      <c r="B1684" t="inlineStr">
        <is>
          <t>Consulting</t>
        </is>
      </c>
      <c r="AB1684" t="n">
        <v>561</v>
      </c>
      <c r="AD1684" s="52">
        <f>IFERROR(N(IFERROR(INDEX($A1684:$AB1684,MATCH("Xero Invoiced Ex GST",$A$1:$AB$1,0)),"")),0)</f>
        <v/>
      </c>
      <c r="AE1684" s="53">
        <f>IFERROR(INDEX($A1684:$AB1684,MATCH("Xero Invoice Date",$A$1:$AB$1,0)),"")</f>
        <v/>
      </c>
      <c r="AF1684" s="54">
        <f>IF(AND(IFERROR(INDEX($A1684:$AB1684,MATCH("Xero Invoice No",$A$1:$AB$1,0)),"")&amp;""&lt;&gt;"",ISNUMBER(AE1684),AD1684&lt;&gt;0),1,0)</f>
        <v/>
      </c>
      <c r="AG1684" s="55">
        <f>IF(AF1684=1,EOMONTH(AE1684,0),"")</f>
        <v/>
      </c>
      <c r="AH1684" s="9">
        <f>IF(AF1684=1,UPPER(TRIM(IFERROR(INDEX($A1684:$AB1684,MATCH("Client",$A$1:$AB$1,0)),"")&amp;"")),"")</f>
        <v/>
      </c>
      <c r="AI1684" s="9">
        <f>IF(AF1684=1,IFERROR(INDEX($A1684:$AB1684,MATCH("Cost Centre",$A$1:$AB$1,0)),"")&amp;"","")</f>
        <v/>
      </c>
      <c r="AJ1684" s="54">
        <f>IF(AND(AF1684=1,AE1684&gt;=set_FYStart,AE1684&lt;=set_AsAt),1,0)</f>
        <v/>
      </c>
      <c r="AK1684" s="54">
        <f>IF(AND(AJ1684=1,AH1684&lt;&gt;"",COUNTIFS($AH$2:AH1684,AH1684,$AJ$2:AJ1684,1)=1),N(AL1683)+1,"")</f>
        <v/>
      </c>
      <c r="AL1684" s="54">
        <f>IF(AK1684&lt;&gt;"",AK1684,N(AL1683))</f>
        <v/>
      </c>
    </row>
    <row r="1685">
      <c r="A1685" t="inlineStr">
        <is>
          <t>ONS-0562</t>
        </is>
      </c>
      <c r="B1685" t="inlineStr">
        <is>
          <t>Onsite</t>
        </is>
      </c>
      <c r="AB1685" t="n">
        <v>562</v>
      </c>
      <c r="AD1685" s="52">
        <f>IFERROR(N(IFERROR(INDEX($A1685:$AB1685,MATCH("Xero Invoiced Ex GST",$A$1:$AB$1,0)),"")),0)</f>
        <v/>
      </c>
      <c r="AE1685" s="53">
        <f>IFERROR(INDEX($A1685:$AB1685,MATCH("Xero Invoice Date",$A$1:$AB$1,0)),"")</f>
        <v/>
      </c>
      <c r="AF1685" s="54">
        <f>IF(AND(IFERROR(INDEX($A1685:$AB1685,MATCH("Xero Invoice No",$A$1:$AB$1,0)),"")&amp;""&lt;&gt;"",ISNUMBER(AE1685),AD1685&lt;&gt;0),1,0)</f>
        <v/>
      </c>
      <c r="AG1685" s="55">
        <f>IF(AF1685=1,EOMONTH(AE1685,0),"")</f>
        <v/>
      </c>
      <c r="AH1685" s="9">
        <f>IF(AF1685=1,UPPER(TRIM(IFERROR(INDEX($A1685:$AB1685,MATCH("Client",$A$1:$AB$1,0)),"")&amp;"")),"")</f>
        <v/>
      </c>
      <c r="AI1685" s="9">
        <f>IF(AF1685=1,IFERROR(INDEX($A1685:$AB1685,MATCH("Cost Centre",$A$1:$AB$1,0)),"")&amp;"","")</f>
        <v/>
      </c>
      <c r="AJ1685" s="54">
        <f>IF(AND(AF1685=1,AE1685&gt;=set_FYStart,AE1685&lt;=set_AsAt),1,0)</f>
        <v/>
      </c>
      <c r="AK1685" s="54">
        <f>IF(AND(AJ1685=1,AH1685&lt;&gt;"",COUNTIFS($AH$2:AH1685,AH1685,$AJ$2:AJ1685,1)=1),N(AL1684)+1,"")</f>
        <v/>
      </c>
      <c r="AL1685" s="54">
        <f>IF(AK1685&lt;&gt;"",AK1685,N(AL1684))</f>
        <v/>
      </c>
    </row>
    <row r="1686">
      <c r="A1686" t="inlineStr">
        <is>
          <t>PRD-0562</t>
        </is>
      </c>
      <c r="B1686" t="inlineStr">
        <is>
          <t>Production</t>
        </is>
      </c>
      <c r="AB1686" t="n">
        <v>562</v>
      </c>
      <c r="AD1686" s="52">
        <f>IFERROR(N(IFERROR(INDEX($A1686:$AB1686,MATCH("Xero Invoiced Ex GST",$A$1:$AB$1,0)),"")),0)</f>
        <v/>
      </c>
      <c r="AE1686" s="53">
        <f>IFERROR(INDEX($A1686:$AB1686,MATCH("Xero Invoice Date",$A$1:$AB$1,0)),"")</f>
        <v/>
      </c>
      <c r="AF1686" s="54">
        <f>IF(AND(IFERROR(INDEX($A1686:$AB1686,MATCH("Xero Invoice No",$A$1:$AB$1,0)),"")&amp;""&lt;&gt;"",ISNUMBER(AE1686),AD1686&lt;&gt;0),1,0)</f>
        <v/>
      </c>
      <c r="AG1686" s="55">
        <f>IF(AF1686=1,EOMONTH(AE1686,0),"")</f>
        <v/>
      </c>
      <c r="AH1686" s="9">
        <f>IF(AF1686=1,UPPER(TRIM(IFERROR(INDEX($A1686:$AB1686,MATCH("Client",$A$1:$AB$1,0)),"")&amp;"")),"")</f>
        <v/>
      </c>
      <c r="AI1686" s="9">
        <f>IF(AF1686=1,IFERROR(INDEX($A1686:$AB1686,MATCH("Cost Centre",$A$1:$AB$1,0)),"")&amp;"","")</f>
        <v/>
      </c>
      <c r="AJ1686" s="54">
        <f>IF(AND(AF1686=1,AE1686&gt;=set_FYStart,AE1686&lt;=set_AsAt),1,0)</f>
        <v/>
      </c>
      <c r="AK1686" s="54">
        <f>IF(AND(AJ1686=1,AH1686&lt;&gt;"",COUNTIFS($AH$2:AH1686,AH1686,$AJ$2:AJ1686,1)=1),N(AL1685)+1,"")</f>
        <v/>
      </c>
      <c r="AL1686" s="54">
        <f>IF(AK1686&lt;&gt;"",AK1686,N(AL1685))</f>
        <v/>
      </c>
    </row>
    <row r="1687">
      <c r="A1687" t="inlineStr">
        <is>
          <t>CON-0562</t>
        </is>
      </c>
      <c r="B1687" t="inlineStr">
        <is>
          <t>Consulting</t>
        </is>
      </c>
      <c r="AB1687" t="n">
        <v>562</v>
      </c>
      <c r="AD1687" s="52">
        <f>IFERROR(N(IFERROR(INDEX($A1687:$AB1687,MATCH("Xero Invoiced Ex GST",$A$1:$AB$1,0)),"")),0)</f>
        <v/>
      </c>
      <c r="AE1687" s="53">
        <f>IFERROR(INDEX($A1687:$AB1687,MATCH("Xero Invoice Date",$A$1:$AB$1,0)),"")</f>
        <v/>
      </c>
      <c r="AF1687" s="54">
        <f>IF(AND(IFERROR(INDEX($A1687:$AB1687,MATCH("Xero Invoice No",$A$1:$AB$1,0)),"")&amp;""&lt;&gt;"",ISNUMBER(AE1687),AD1687&lt;&gt;0),1,0)</f>
        <v/>
      </c>
      <c r="AG1687" s="55">
        <f>IF(AF1687=1,EOMONTH(AE1687,0),"")</f>
        <v/>
      </c>
      <c r="AH1687" s="9">
        <f>IF(AF1687=1,UPPER(TRIM(IFERROR(INDEX($A1687:$AB1687,MATCH("Client",$A$1:$AB$1,0)),"")&amp;"")),"")</f>
        <v/>
      </c>
      <c r="AI1687" s="9">
        <f>IF(AF1687=1,IFERROR(INDEX($A1687:$AB1687,MATCH("Cost Centre",$A$1:$AB$1,0)),"")&amp;"","")</f>
        <v/>
      </c>
      <c r="AJ1687" s="54">
        <f>IF(AND(AF1687=1,AE1687&gt;=set_FYStart,AE1687&lt;=set_AsAt),1,0)</f>
        <v/>
      </c>
      <c r="AK1687" s="54">
        <f>IF(AND(AJ1687=1,AH1687&lt;&gt;"",COUNTIFS($AH$2:AH1687,AH1687,$AJ$2:AJ1687,1)=1),N(AL1686)+1,"")</f>
        <v/>
      </c>
      <c r="AL1687" s="54">
        <f>IF(AK1687&lt;&gt;"",AK1687,N(AL1686))</f>
        <v/>
      </c>
    </row>
    <row r="1688">
      <c r="A1688" t="inlineStr">
        <is>
          <t>ONS-0563</t>
        </is>
      </c>
      <c r="B1688" t="inlineStr">
        <is>
          <t>Onsite</t>
        </is>
      </c>
      <c r="AB1688" t="n">
        <v>563</v>
      </c>
      <c r="AD1688" s="52">
        <f>IFERROR(N(IFERROR(INDEX($A1688:$AB1688,MATCH("Xero Invoiced Ex GST",$A$1:$AB$1,0)),"")),0)</f>
        <v/>
      </c>
      <c r="AE1688" s="53">
        <f>IFERROR(INDEX($A1688:$AB1688,MATCH("Xero Invoice Date",$A$1:$AB$1,0)),"")</f>
        <v/>
      </c>
      <c r="AF1688" s="54">
        <f>IF(AND(IFERROR(INDEX($A1688:$AB1688,MATCH("Xero Invoice No",$A$1:$AB$1,0)),"")&amp;""&lt;&gt;"",ISNUMBER(AE1688),AD1688&lt;&gt;0),1,0)</f>
        <v/>
      </c>
      <c r="AG1688" s="55">
        <f>IF(AF1688=1,EOMONTH(AE1688,0),"")</f>
        <v/>
      </c>
      <c r="AH1688" s="9">
        <f>IF(AF1688=1,UPPER(TRIM(IFERROR(INDEX($A1688:$AB1688,MATCH("Client",$A$1:$AB$1,0)),"")&amp;"")),"")</f>
        <v/>
      </c>
      <c r="AI1688" s="9">
        <f>IF(AF1688=1,IFERROR(INDEX($A1688:$AB1688,MATCH("Cost Centre",$A$1:$AB$1,0)),"")&amp;"","")</f>
        <v/>
      </c>
      <c r="AJ1688" s="54">
        <f>IF(AND(AF1688=1,AE1688&gt;=set_FYStart,AE1688&lt;=set_AsAt),1,0)</f>
        <v/>
      </c>
      <c r="AK1688" s="54">
        <f>IF(AND(AJ1688=1,AH1688&lt;&gt;"",COUNTIFS($AH$2:AH1688,AH1688,$AJ$2:AJ1688,1)=1),N(AL1687)+1,"")</f>
        <v/>
      </c>
      <c r="AL1688" s="54">
        <f>IF(AK1688&lt;&gt;"",AK1688,N(AL1687))</f>
        <v/>
      </c>
    </row>
    <row r="1689">
      <c r="A1689" t="inlineStr">
        <is>
          <t>PRD-0563</t>
        </is>
      </c>
      <c r="B1689" t="inlineStr">
        <is>
          <t>Production</t>
        </is>
      </c>
      <c r="AB1689" t="n">
        <v>563</v>
      </c>
      <c r="AD1689" s="52">
        <f>IFERROR(N(IFERROR(INDEX($A1689:$AB1689,MATCH("Xero Invoiced Ex GST",$A$1:$AB$1,0)),"")),0)</f>
        <v/>
      </c>
      <c r="AE1689" s="53">
        <f>IFERROR(INDEX($A1689:$AB1689,MATCH("Xero Invoice Date",$A$1:$AB$1,0)),"")</f>
        <v/>
      </c>
      <c r="AF1689" s="54">
        <f>IF(AND(IFERROR(INDEX($A1689:$AB1689,MATCH("Xero Invoice No",$A$1:$AB$1,0)),"")&amp;""&lt;&gt;"",ISNUMBER(AE1689),AD1689&lt;&gt;0),1,0)</f>
        <v/>
      </c>
      <c r="AG1689" s="55">
        <f>IF(AF1689=1,EOMONTH(AE1689,0),"")</f>
        <v/>
      </c>
      <c r="AH1689" s="9">
        <f>IF(AF1689=1,UPPER(TRIM(IFERROR(INDEX($A1689:$AB1689,MATCH("Client",$A$1:$AB$1,0)),"")&amp;"")),"")</f>
        <v/>
      </c>
      <c r="AI1689" s="9">
        <f>IF(AF1689=1,IFERROR(INDEX($A1689:$AB1689,MATCH("Cost Centre",$A$1:$AB$1,0)),"")&amp;"","")</f>
        <v/>
      </c>
      <c r="AJ1689" s="54">
        <f>IF(AND(AF1689=1,AE1689&gt;=set_FYStart,AE1689&lt;=set_AsAt),1,0)</f>
        <v/>
      </c>
      <c r="AK1689" s="54">
        <f>IF(AND(AJ1689=1,AH1689&lt;&gt;"",COUNTIFS($AH$2:AH1689,AH1689,$AJ$2:AJ1689,1)=1),N(AL1688)+1,"")</f>
        <v/>
      </c>
      <c r="AL1689" s="54">
        <f>IF(AK1689&lt;&gt;"",AK1689,N(AL1688))</f>
        <v/>
      </c>
    </row>
    <row r="1690">
      <c r="A1690" t="inlineStr">
        <is>
          <t>CON-0563</t>
        </is>
      </c>
      <c r="B1690" t="inlineStr">
        <is>
          <t>Consulting</t>
        </is>
      </c>
      <c r="AB1690" t="n">
        <v>563</v>
      </c>
      <c r="AD1690" s="52">
        <f>IFERROR(N(IFERROR(INDEX($A1690:$AB1690,MATCH("Xero Invoiced Ex GST",$A$1:$AB$1,0)),"")),0)</f>
        <v/>
      </c>
      <c r="AE1690" s="53">
        <f>IFERROR(INDEX($A1690:$AB1690,MATCH("Xero Invoice Date",$A$1:$AB$1,0)),"")</f>
        <v/>
      </c>
      <c r="AF1690" s="54">
        <f>IF(AND(IFERROR(INDEX($A1690:$AB1690,MATCH("Xero Invoice No",$A$1:$AB$1,0)),"")&amp;""&lt;&gt;"",ISNUMBER(AE1690),AD1690&lt;&gt;0),1,0)</f>
        <v/>
      </c>
      <c r="AG1690" s="55">
        <f>IF(AF1690=1,EOMONTH(AE1690,0),"")</f>
        <v/>
      </c>
      <c r="AH1690" s="9">
        <f>IF(AF1690=1,UPPER(TRIM(IFERROR(INDEX($A1690:$AB1690,MATCH("Client",$A$1:$AB$1,0)),"")&amp;"")),"")</f>
        <v/>
      </c>
      <c r="AI1690" s="9">
        <f>IF(AF1690=1,IFERROR(INDEX($A1690:$AB1690,MATCH("Cost Centre",$A$1:$AB$1,0)),"")&amp;"","")</f>
        <v/>
      </c>
      <c r="AJ1690" s="54">
        <f>IF(AND(AF1690=1,AE1690&gt;=set_FYStart,AE1690&lt;=set_AsAt),1,0)</f>
        <v/>
      </c>
      <c r="AK1690" s="54">
        <f>IF(AND(AJ1690=1,AH1690&lt;&gt;"",COUNTIFS($AH$2:AH1690,AH1690,$AJ$2:AJ1690,1)=1),N(AL1689)+1,"")</f>
        <v/>
      </c>
      <c r="AL1690" s="54">
        <f>IF(AK1690&lt;&gt;"",AK1690,N(AL1689))</f>
        <v/>
      </c>
    </row>
    <row r="1691">
      <c r="A1691" t="inlineStr">
        <is>
          <t>ONS-0564</t>
        </is>
      </c>
      <c r="B1691" t="inlineStr">
        <is>
          <t>Onsite</t>
        </is>
      </c>
      <c r="AB1691" t="n">
        <v>564</v>
      </c>
      <c r="AD1691" s="52">
        <f>IFERROR(N(IFERROR(INDEX($A1691:$AB1691,MATCH("Xero Invoiced Ex GST",$A$1:$AB$1,0)),"")),0)</f>
        <v/>
      </c>
      <c r="AE1691" s="53">
        <f>IFERROR(INDEX($A1691:$AB1691,MATCH("Xero Invoice Date",$A$1:$AB$1,0)),"")</f>
        <v/>
      </c>
      <c r="AF1691" s="54">
        <f>IF(AND(IFERROR(INDEX($A1691:$AB1691,MATCH("Xero Invoice No",$A$1:$AB$1,0)),"")&amp;""&lt;&gt;"",ISNUMBER(AE1691),AD1691&lt;&gt;0),1,0)</f>
        <v/>
      </c>
      <c r="AG1691" s="55">
        <f>IF(AF1691=1,EOMONTH(AE1691,0),"")</f>
        <v/>
      </c>
      <c r="AH1691" s="9">
        <f>IF(AF1691=1,UPPER(TRIM(IFERROR(INDEX($A1691:$AB1691,MATCH("Client",$A$1:$AB$1,0)),"")&amp;"")),"")</f>
        <v/>
      </c>
      <c r="AI1691" s="9">
        <f>IF(AF1691=1,IFERROR(INDEX($A1691:$AB1691,MATCH("Cost Centre",$A$1:$AB$1,0)),"")&amp;"","")</f>
        <v/>
      </c>
      <c r="AJ1691" s="54">
        <f>IF(AND(AF1691=1,AE1691&gt;=set_FYStart,AE1691&lt;=set_AsAt),1,0)</f>
        <v/>
      </c>
      <c r="AK1691" s="54">
        <f>IF(AND(AJ1691=1,AH1691&lt;&gt;"",COUNTIFS($AH$2:AH1691,AH1691,$AJ$2:AJ1691,1)=1),N(AL1690)+1,"")</f>
        <v/>
      </c>
      <c r="AL1691" s="54">
        <f>IF(AK1691&lt;&gt;"",AK1691,N(AL1690))</f>
        <v/>
      </c>
    </row>
    <row r="1692">
      <c r="A1692" t="inlineStr">
        <is>
          <t>PRD-0564</t>
        </is>
      </c>
      <c r="B1692" t="inlineStr">
        <is>
          <t>Production</t>
        </is>
      </c>
      <c r="AB1692" t="n">
        <v>564</v>
      </c>
      <c r="AD1692" s="52">
        <f>IFERROR(N(IFERROR(INDEX($A1692:$AB1692,MATCH("Xero Invoiced Ex GST",$A$1:$AB$1,0)),"")),0)</f>
        <v/>
      </c>
      <c r="AE1692" s="53">
        <f>IFERROR(INDEX($A1692:$AB1692,MATCH("Xero Invoice Date",$A$1:$AB$1,0)),"")</f>
        <v/>
      </c>
      <c r="AF1692" s="54">
        <f>IF(AND(IFERROR(INDEX($A1692:$AB1692,MATCH("Xero Invoice No",$A$1:$AB$1,0)),"")&amp;""&lt;&gt;"",ISNUMBER(AE1692),AD1692&lt;&gt;0),1,0)</f>
        <v/>
      </c>
      <c r="AG1692" s="55">
        <f>IF(AF1692=1,EOMONTH(AE1692,0),"")</f>
        <v/>
      </c>
      <c r="AH1692" s="9">
        <f>IF(AF1692=1,UPPER(TRIM(IFERROR(INDEX($A1692:$AB1692,MATCH("Client",$A$1:$AB$1,0)),"")&amp;"")),"")</f>
        <v/>
      </c>
      <c r="AI1692" s="9">
        <f>IF(AF1692=1,IFERROR(INDEX($A1692:$AB1692,MATCH("Cost Centre",$A$1:$AB$1,0)),"")&amp;"","")</f>
        <v/>
      </c>
      <c r="AJ1692" s="54">
        <f>IF(AND(AF1692=1,AE1692&gt;=set_FYStart,AE1692&lt;=set_AsAt),1,0)</f>
        <v/>
      </c>
      <c r="AK1692" s="54">
        <f>IF(AND(AJ1692=1,AH1692&lt;&gt;"",COUNTIFS($AH$2:AH1692,AH1692,$AJ$2:AJ1692,1)=1),N(AL1691)+1,"")</f>
        <v/>
      </c>
      <c r="AL1692" s="54">
        <f>IF(AK1692&lt;&gt;"",AK1692,N(AL1691))</f>
        <v/>
      </c>
    </row>
    <row r="1693">
      <c r="A1693" t="inlineStr">
        <is>
          <t>CON-0564</t>
        </is>
      </c>
      <c r="B1693" t="inlineStr">
        <is>
          <t>Consulting</t>
        </is>
      </c>
      <c r="AB1693" t="n">
        <v>564</v>
      </c>
      <c r="AD1693" s="52">
        <f>IFERROR(N(IFERROR(INDEX($A1693:$AB1693,MATCH("Xero Invoiced Ex GST",$A$1:$AB$1,0)),"")),0)</f>
        <v/>
      </c>
      <c r="AE1693" s="53">
        <f>IFERROR(INDEX($A1693:$AB1693,MATCH("Xero Invoice Date",$A$1:$AB$1,0)),"")</f>
        <v/>
      </c>
      <c r="AF1693" s="54">
        <f>IF(AND(IFERROR(INDEX($A1693:$AB1693,MATCH("Xero Invoice No",$A$1:$AB$1,0)),"")&amp;""&lt;&gt;"",ISNUMBER(AE1693),AD1693&lt;&gt;0),1,0)</f>
        <v/>
      </c>
      <c r="AG1693" s="55">
        <f>IF(AF1693=1,EOMONTH(AE1693,0),"")</f>
        <v/>
      </c>
      <c r="AH1693" s="9">
        <f>IF(AF1693=1,UPPER(TRIM(IFERROR(INDEX($A1693:$AB1693,MATCH("Client",$A$1:$AB$1,0)),"")&amp;"")),"")</f>
        <v/>
      </c>
      <c r="AI1693" s="9">
        <f>IF(AF1693=1,IFERROR(INDEX($A1693:$AB1693,MATCH("Cost Centre",$A$1:$AB$1,0)),"")&amp;"","")</f>
        <v/>
      </c>
      <c r="AJ1693" s="54">
        <f>IF(AND(AF1693=1,AE1693&gt;=set_FYStart,AE1693&lt;=set_AsAt),1,0)</f>
        <v/>
      </c>
      <c r="AK1693" s="54">
        <f>IF(AND(AJ1693=1,AH1693&lt;&gt;"",COUNTIFS($AH$2:AH1693,AH1693,$AJ$2:AJ1693,1)=1),N(AL1692)+1,"")</f>
        <v/>
      </c>
      <c r="AL1693" s="54">
        <f>IF(AK1693&lt;&gt;"",AK1693,N(AL1692))</f>
        <v/>
      </c>
    </row>
    <row r="1694">
      <c r="A1694" t="inlineStr">
        <is>
          <t>ONS-0565</t>
        </is>
      </c>
      <c r="B1694" t="inlineStr">
        <is>
          <t>Onsite</t>
        </is>
      </c>
      <c r="AB1694" t="n">
        <v>565</v>
      </c>
      <c r="AD1694" s="52">
        <f>IFERROR(N(IFERROR(INDEX($A1694:$AB1694,MATCH("Xero Invoiced Ex GST",$A$1:$AB$1,0)),"")),0)</f>
        <v/>
      </c>
      <c r="AE1694" s="53">
        <f>IFERROR(INDEX($A1694:$AB1694,MATCH("Xero Invoice Date",$A$1:$AB$1,0)),"")</f>
        <v/>
      </c>
      <c r="AF1694" s="54">
        <f>IF(AND(IFERROR(INDEX($A1694:$AB1694,MATCH("Xero Invoice No",$A$1:$AB$1,0)),"")&amp;""&lt;&gt;"",ISNUMBER(AE1694),AD1694&lt;&gt;0),1,0)</f>
        <v/>
      </c>
      <c r="AG1694" s="55">
        <f>IF(AF1694=1,EOMONTH(AE1694,0),"")</f>
        <v/>
      </c>
      <c r="AH1694" s="9">
        <f>IF(AF1694=1,UPPER(TRIM(IFERROR(INDEX($A1694:$AB1694,MATCH("Client",$A$1:$AB$1,0)),"")&amp;"")),"")</f>
        <v/>
      </c>
      <c r="AI1694" s="9">
        <f>IF(AF1694=1,IFERROR(INDEX($A1694:$AB1694,MATCH("Cost Centre",$A$1:$AB$1,0)),"")&amp;"","")</f>
        <v/>
      </c>
      <c r="AJ1694" s="54">
        <f>IF(AND(AF1694=1,AE1694&gt;=set_FYStart,AE1694&lt;=set_AsAt),1,0)</f>
        <v/>
      </c>
      <c r="AK1694" s="54">
        <f>IF(AND(AJ1694=1,AH1694&lt;&gt;"",COUNTIFS($AH$2:AH1694,AH1694,$AJ$2:AJ1694,1)=1),N(AL1693)+1,"")</f>
        <v/>
      </c>
      <c r="AL1694" s="54">
        <f>IF(AK1694&lt;&gt;"",AK1694,N(AL1693))</f>
        <v/>
      </c>
    </row>
    <row r="1695">
      <c r="A1695" t="inlineStr">
        <is>
          <t>PRD-0565</t>
        </is>
      </c>
      <c r="B1695" t="inlineStr">
        <is>
          <t>Production</t>
        </is>
      </c>
      <c r="AB1695" t="n">
        <v>565</v>
      </c>
      <c r="AD1695" s="52">
        <f>IFERROR(N(IFERROR(INDEX($A1695:$AB1695,MATCH("Xero Invoiced Ex GST",$A$1:$AB$1,0)),"")),0)</f>
        <v/>
      </c>
      <c r="AE1695" s="53">
        <f>IFERROR(INDEX($A1695:$AB1695,MATCH("Xero Invoice Date",$A$1:$AB$1,0)),"")</f>
        <v/>
      </c>
      <c r="AF1695" s="54">
        <f>IF(AND(IFERROR(INDEX($A1695:$AB1695,MATCH("Xero Invoice No",$A$1:$AB$1,0)),"")&amp;""&lt;&gt;"",ISNUMBER(AE1695),AD1695&lt;&gt;0),1,0)</f>
        <v/>
      </c>
      <c r="AG1695" s="55">
        <f>IF(AF1695=1,EOMONTH(AE1695,0),"")</f>
        <v/>
      </c>
      <c r="AH1695" s="9">
        <f>IF(AF1695=1,UPPER(TRIM(IFERROR(INDEX($A1695:$AB1695,MATCH("Client",$A$1:$AB$1,0)),"")&amp;"")),"")</f>
        <v/>
      </c>
      <c r="AI1695" s="9">
        <f>IF(AF1695=1,IFERROR(INDEX($A1695:$AB1695,MATCH("Cost Centre",$A$1:$AB$1,0)),"")&amp;"","")</f>
        <v/>
      </c>
      <c r="AJ1695" s="54">
        <f>IF(AND(AF1695=1,AE1695&gt;=set_FYStart,AE1695&lt;=set_AsAt),1,0)</f>
        <v/>
      </c>
      <c r="AK1695" s="54">
        <f>IF(AND(AJ1695=1,AH1695&lt;&gt;"",COUNTIFS($AH$2:AH1695,AH1695,$AJ$2:AJ1695,1)=1),N(AL1694)+1,"")</f>
        <v/>
      </c>
      <c r="AL1695" s="54">
        <f>IF(AK1695&lt;&gt;"",AK1695,N(AL1694))</f>
        <v/>
      </c>
    </row>
    <row r="1696">
      <c r="A1696" t="inlineStr">
        <is>
          <t>CON-0565</t>
        </is>
      </c>
      <c r="B1696" t="inlineStr">
        <is>
          <t>Consulting</t>
        </is>
      </c>
      <c r="AB1696" t="n">
        <v>565</v>
      </c>
      <c r="AD1696" s="52">
        <f>IFERROR(N(IFERROR(INDEX($A1696:$AB1696,MATCH("Xero Invoiced Ex GST",$A$1:$AB$1,0)),"")),0)</f>
        <v/>
      </c>
      <c r="AE1696" s="53">
        <f>IFERROR(INDEX($A1696:$AB1696,MATCH("Xero Invoice Date",$A$1:$AB$1,0)),"")</f>
        <v/>
      </c>
      <c r="AF1696" s="54">
        <f>IF(AND(IFERROR(INDEX($A1696:$AB1696,MATCH("Xero Invoice No",$A$1:$AB$1,0)),"")&amp;""&lt;&gt;"",ISNUMBER(AE1696),AD1696&lt;&gt;0),1,0)</f>
        <v/>
      </c>
      <c r="AG1696" s="55">
        <f>IF(AF1696=1,EOMONTH(AE1696,0),"")</f>
        <v/>
      </c>
      <c r="AH1696" s="9">
        <f>IF(AF1696=1,UPPER(TRIM(IFERROR(INDEX($A1696:$AB1696,MATCH("Client",$A$1:$AB$1,0)),"")&amp;"")),"")</f>
        <v/>
      </c>
      <c r="AI1696" s="9">
        <f>IF(AF1696=1,IFERROR(INDEX($A1696:$AB1696,MATCH("Cost Centre",$A$1:$AB$1,0)),"")&amp;"","")</f>
        <v/>
      </c>
      <c r="AJ1696" s="54">
        <f>IF(AND(AF1696=1,AE1696&gt;=set_FYStart,AE1696&lt;=set_AsAt),1,0)</f>
        <v/>
      </c>
      <c r="AK1696" s="54">
        <f>IF(AND(AJ1696=1,AH1696&lt;&gt;"",COUNTIFS($AH$2:AH1696,AH1696,$AJ$2:AJ1696,1)=1),N(AL1695)+1,"")</f>
        <v/>
      </c>
      <c r="AL1696" s="54">
        <f>IF(AK1696&lt;&gt;"",AK1696,N(AL1695))</f>
        <v/>
      </c>
    </row>
    <row r="1697">
      <c r="A1697" t="inlineStr">
        <is>
          <t>ONS-0566</t>
        </is>
      </c>
      <c r="B1697" t="inlineStr">
        <is>
          <t>Onsite</t>
        </is>
      </c>
      <c r="AB1697" t="n">
        <v>566</v>
      </c>
      <c r="AD1697" s="52">
        <f>IFERROR(N(IFERROR(INDEX($A1697:$AB1697,MATCH("Xero Invoiced Ex GST",$A$1:$AB$1,0)),"")),0)</f>
        <v/>
      </c>
      <c r="AE1697" s="53">
        <f>IFERROR(INDEX($A1697:$AB1697,MATCH("Xero Invoice Date",$A$1:$AB$1,0)),"")</f>
        <v/>
      </c>
      <c r="AF1697" s="54">
        <f>IF(AND(IFERROR(INDEX($A1697:$AB1697,MATCH("Xero Invoice No",$A$1:$AB$1,0)),"")&amp;""&lt;&gt;"",ISNUMBER(AE1697),AD1697&lt;&gt;0),1,0)</f>
        <v/>
      </c>
      <c r="AG1697" s="55">
        <f>IF(AF1697=1,EOMONTH(AE1697,0),"")</f>
        <v/>
      </c>
      <c r="AH1697" s="9">
        <f>IF(AF1697=1,UPPER(TRIM(IFERROR(INDEX($A1697:$AB1697,MATCH("Client",$A$1:$AB$1,0)),"")&amp;"")),"")</f>
        <v/>
      </c>
      <c r="AI1697" s="9">
        <f>IF(AF1697=1,IFERROR(INDEX($A1697:$AB1697,MATCH("Cost Centre",$A$1:$AB$1,0)),"")&amp;"","")</f>
        <v/>
      </c>
      <c r="AJ1697" s="54">
        <f>IF(AND(AF1697=1,AE1697&gt;=set_FYStart,AE1697&lt;=set_AsAt),1,0)</f>
        <v/>
      </c>
      <c r="AK1697" s="54">
        <f>IF(AND(AJ1697=1,AH1697&lt;&gt;"",COUNTIFS($AH$2:AH1697,AH1697,$AJ$2:AJ1697,1)=1),N(AL1696)+1,"")</f>
        <v/>
      </c>
      <c r="AL1697" s="54">
        <f>IF(AK1697&lt;&gt;"",AK1697,N(AL1696))</f>
        <v/>
      </c>
    </row>
    <row r="1698">
      <c r="A1698" t="inlineStr">
        <is>
          <t>PRD-0566</t>
        </is>
      </c>
      <c r="B1698" t="inlineStr">
        <is>
          <t>Production</t>
        </is>
      </c>
      <c r="AB1698" t="n">
        <v>566</v>
      </c>
      <c r="AD1698" s="52">
        <f>IFERROR(N(IFERROR(INDEX($A1698:$AB1698,MATCH("Xero Invoiced Ex GST",$A$1:$AB$1,0)),"")),0)</f>
        <v/>
      </c>
      <c r="AE1698" s="53">
        <f>IFERROR(INDEX($A1698:$AB1698,MATCH("Xero Invoice Date",$A$1:$AB$1,0)),"")</f>
        <v/>
      </c>
      <c r="AF1698" s="54">
        <f>IF(AND(IFERROR(INDEX($A1698:$AB1698,MATCH("Xero Invoice No",$A$1:$AB$1,0)),"")&amp;""&lt;&gt;"",ISNUMBER(AE1698),AD1698&lt;&gt;0),1,0)</f>
        <v/>
      </c>
      <c r="AG1698" s="55">
        <f>IF(AF1698=1,EOMONTH(AE1698,0),"")</f>
        <v/>
      </c>
      <c r="AH1698" s="9">
        <f>IF(AF1698=1,UPPER(TRIM(IFERROR(INDEX($A1698:$AB1698,MATCH("Client",$A$1:$AB$1,0)),"")&amp;"")),"")</f>
        <v/>
      </c>
      <c r="AI1698" s="9">
        <f>IF(AF1698=1,IFERROR(INDEX($A1698:$AB1698,MATCH("Cost Centre",$A$1:$AB$1,0)),"")&amp;"","")</f>
        <v/>
      </c>
      <c r="AJ1698" s="54">
        <f>IF(AND(AF1698=1,AE1698&gt;=set_FYStart,AE1698&lt;=set_AsAt),1,0)</f>
        <v/>
      </c>
      <c r="AK1698" s="54">
        <f>IF(AND(AJ1698=1,AH1698&lt;&gt;"",COUNTIFS($AH$2:AH1698,AH1698,$AJ$2:AJ1698,1)=1),N(AL1697)+1,"")</f>
        <v/>
      </c>
      <c r="AL1698" s="54">
        <f>IF(AK1698&lt;&gt;"",AK1698,N(AL1697))</f>
        <v/>
      </c>
    </row>
    <row r="1699">
      <c r="A1699" t="inlineStr">
        <is>
          <t>CON-0566</t>
        </is>
      </c>
      <c r="B1699" t="inlineStr">
        <is>
          <t>Consulting</t>
        </is>
      </c>
      <c r="AB1699" t="n">
        <v>566</v>
      </c>
      <c r="AD1699" s="52">
        <f>IFERROR(N(IFERROR(INDEX($A1699:$AB1699,MATCH("Xero Invoiced Ex GST",$A$1:$AB$1,0)),"")),0)</f>
        <v/>
      </c>
      <c r="AE1699" s="53">
        <f>IFERROR(INDEX($A1699:$AB1699,MATCH("Xero Invoice Date",$A$1:$AB$1,0)),"")</f>
        <v/>
      </c>
      <c r="AF1699" s="54">
        <f>IF(AND(IFERROR(INDEX($A1699:$AB1699,MATCH("Xero Invoice No",$A$1:$AB$1,0)),"")&amp;""&lt;&gt;"",ISNUMBER(AE1699),AD1699&lt;&gt;0),1,0)</f>
        <v/>
      </c>
      <c r="AG1699" s="55">
        <f>IF(AF1699=1,EOMONTH(AE1699,0),"")</f>
        <v/>
      </c>
      <c r="AH1699" s="9">
        <f>IF(AF1699=1,UPPER(TRIM(IFERROR(INDEX($A1699:$AB1699,MATCH("Client",$A$1:$AB$1,0)),"")&amp;"")),"")</f>
        <v/>
      </c>
      <c r="AI1699" s="9">
        <f>IF(AF1699=1,IFERROR(INDEX($A1699:$AB1699,MATCH("Cost Centre",$A$1:$AB$1,0)),"")&amp;"","")</f>
        <v/>
      </c>
      <c r="AJ1699" s="54">
        <f>IF(AND(AF1699=1,AE1699&gt;=set_FYStart,AE1699&lt;=set_AsAt),1,0)</f>
        <v/>
      </c>
      <c r="AK1699" s="54">
        <f>IF(AND(AJ1699=1,AH1699&lt;&gt;"",COUNTIFS($AH$2:AH1699,AH1699,$AJ$2:AJ1699,1)=1),N(AL1698)+1,"")</f>
        <v/>
      </c>
      <c r="AL1699" s="54">
        <f>IF(AK1699&lt;&gt;"",AK1699,N(AL1698))</f>
        <v/>
      </c>
    </row>
    <row r="1700">
      <c r="A1700" t="inlineStr">
        <is>
          <t>ONS-0567</t>
        </is>
      </c>
      <c r="B1700" t="inlineStr">
        <is>
          <t>Onsite</t>
        </is>
      </c>
      <c r="AB1700" t="n">
        <v>567</v>
      </c>
      <c r="AD1700" s="52">
        <f>IFERROR(N(IFERROR(INDEX($A1700:$AB1700,MATCH("Xero Invoiced Ex GST",$A$1:$AB$1,0)),"")),0)</f>
        <v/>
      </c>
      <c r="AE1700" s="53">
        <f>IFERROR(INDEX($A1700:$AB1700,MATCH("Xero Invoice Date",$A$1:$AB$1,0)),"")</f>
        <v/>
      </c>
      <c r="AF1700" s="54">
        <f>IF(AND(IFERROR(INDEX($A1700:$AB1700,MATCH("Xero Invoice No",$A$1:$AB$1,0)),"")&amp;""&lt;&gt;"",ISNUMBER(AE1700),AD1700&lt;&gt;0),1,0)</f>
        <v/>
      </c>
      <c r="AG1700" s="55">
        <f>IF(AF1700=1,EOMONTH(AE1700,0),"")</f>
        <v/>
      </c>
      <c r="AH1700" s="9">
        <f>IF(AF1700=1,UPPER(TRIM(IFERROR(INDEX($A1700:$AB1700,MATCH("Client",$A$1:$AB$1,0)),"")&amp;"")),"")</f>
        <v/>
      </c>
      <c r="AI1700" s="9">
        <f>IF(AF1700=1,IFERROR(INDEX($A1700:$AB1700,MATCH("Cost Centre",$A$1:$AB$1,0)),"")&amp;"","")</f>
        <v/>
      </c>
      <c r="AJ1700" s="54">
        <f>IF(AND(AF1700=1,AE1700&gt;=set_FYStart,AE1700&lt;=set_AsAt),1,0)</f>
        <v/>
      </c>
      <c r="AK1700" s="54">
        <f>IF(AND(AJ1700=1,AH1700&lt;&gt;"",COUNTIFS($AH$2:AH1700,AH1700,$AJ$2:AJ1700,1)=1),N(AL1699)+1,"")</f>
        <v/>
      </c>
      <c r="AL1700" s="54">
        <f>IF(AK1700&lt;&gt;"",AK1700,N(AL1699))</f>
        <v/>
      </c>
    </row>
    <row r="1701">
      <c r="A1701" t="inlineStr">
        <is>
          <t>PRD-0567</t>
        </is>
      </c>
      <c r="B1701" t="inlineStr">
        <is>
          <t>Production</t>
        </is>
      </c>
      <c r="AB1701" t="n">
        <v>567</v>
      </c>
      <c r="AD1701" s="52">
        <f>IFERROR(N(IFERROR(INDEX($A1701:$AB1701,MATCH("Xero Invoiced Ex GST",$A$1:$AB$1,0)),"")),0)</f>
        <v/>
      </c>
      <c r="AE1701" s="53">
        <f>IFERROR(INDEX($A1701:$AB1701,MATCH("Xero Invoice Date",$A$1:$AB$1,0)),"")</f>
        <v/>
      </c>
      <c r="AF1701" s="54">
        <f>IF(AND(IFERROR(INDEX($A1701:$AB1701,MATCH("Xero Invoice No",$A$1:$AB$1,0)),"")&amp;""&lt;&gt;"",ISNUMBER(AE1701),AD1701&lt;&gt;0),1,0)</f>
        <v/>
      </c>
      <c r="AG1701" s="55">
        <f>IF(AF1701=1,EOMONTH(AE1701,0),"")</f>
        <v/>
      </c>
      <c r="AH1701" s="9">
        <f>IF(AF1701=1,UPPER(TRIM(IFERROR(INDEX($A1701:$AB1701,MATCH("Client",$A$1:$AB$1,0)),"")&amp;"")),"")</f>
        <v/>
      </c>
      <c r="AI1701" s="9">
        <f>IF(AF1701=1,IFERROR(INDEX($A1701:$AB1701,MATCH("Cost Centre",$A$1:$AB$1,0)),"")&amp;"","")</f>
        <v/>
      </c>
      <c r="AJ1701" s="54">
        <f>IF(AND(AF1701=1,AE1701&gt;=set_FYStart,AE1701&lt;=set_AsAt),1,0)</f>
        <v/>
      </c>
      <c r="AK1701" s="54">
        <f>IF(AND(AJ1701=1,AH1701&lt;&gt;"",COUNTIFS($AH$2:AH1701,AH1701,$AJ$2:AJ1701,1)=1),N(AL1700)+1,"")</f>
        <v/>
      </c>
      <c r="AL1701" s="54">
        <f>IF(AK1701&lt;&gt;"",AK1701,N(AL1700))</f>
        <v/>
      </c>
    </row>
    <row r="1702">
      <c r="A1702" t="inlineStr">
        <is>
          <t>CON-0567</t>
        </is>
      </c>
      <c r="B1702" t="inlineStr">
        <is>
          <t>Consulting</t>
        </is>
      </c>
      <c r="AB1702" t="n">
        <v>567</v>
      </c>
      <c r="AD1702" s="52">
        <f>IFERROR(N(IFERROR(INDEX($A1702:$AB1702,MATCH("Xero Invoiced Ex GST",$A$1:$AB$1,0)),"")),0)</f>
        <v/>
      </c>
      <c r="AE1702" s="53">
        <f>IFERROR(INDEX($A1702:$AB1702,MATCH("Xero Invoice Date",$A$1:$AB$1,0)),"")</f>
        <v/>
      </c>
      <c r="AF1702" s="54">
        <f>IF(AND(IFERROR(INDEX($A1702:$AB1702,MATCH("Xero Invoice No",$A$1:$AB$1,0)),"")&amp;""&lt;&gt;"",ISNUMBER(AE1702),AD1702&lt;&gt;0),1,0)</f>
        <v/>
      </c>
      <c r="AG1702" s="55">
        <f>IF(AF1702=1,EOMONTH(AE1702,0),"")</f>
        <v/>
      </c>
      <c r="AH1702" s="9">
        <f>IF(AF1702=1,UPPER(TRIM(IFERROR(INDEX($A1702:$AB1702,MATCH("Client",$A$1:$AB$1,0)),"")&amp;"")),"")</f>
        <v/>
      </c>
      <c r="AI1702" s="9">
        <f>IF(AF1702=1,IFERROR(INDEX($A1702:$AB1702,MATCH("Cost Centre",$A$1:$AB$1,0)),"")&amp;"","")</f>
        <v/>
      </c>
      <c r="AJ1702" s="54">
        <f>IF(AND(AF1702=1,AE1702&gt;=set_FYStart,AE1702&lt;=set_AsAt),1,0)</f>
        <v/>
      </c>
      <c r="AK1702" s="54">
        <f>IF(AND(AJ1702=1,AH1702&lt;&gt;"",COUNTIFS($AH$2:AH1702,AH1702,$AJ$2:AJ1702,1)=1),N(AL1701)+1,"")</f>
        <v/>
      </c>
      <c r="AL1702" s="54">
        <f>IF(AK1702&lt;&gt;"",AK1702,N(AL1701))</f>
        <v/>
      </c>
    </row>
    <row r="1703">
      <c r="A1703" t="inlineStr">
        <is>
          <t>ONS-0568</t>
        </is>
      </c>
      <c r="B1703" t="inlineStr">
        <is>
          <t>Onsite</t>
        </is>
      </c>
      <c r="AB1703" t="n">
        <v>568</v>
      </c>
      <c r="AD1703" s="52">
        <f>IFERROR(N(IFERROR(INDEX($A1703:$AB1703,MATCH("Xero Invoiced Ex GST",$A$1:$AB$1,0)),"")),0)</f>
        <v/>
      </c>
      <c r="AE1703" s="53">
        <f>IFERROR(INDEX($A1703:$AB1703,MATCH("Xero Invoice Date",$A$1:$AB$1,0)),"")</f>
        <v/>
      </c>
      <c r="AF1703" s="54">
        <f>IF(AND(IFERROR(INDEX($A1703:$AB1703,MATCH("Xero Invoice No",$A$1:$AB$1,0)),"")&amp;""&lt;&gt;"",ISNUMBER(AE1703),AD1703&lt;&gt;0),1,0)</f>
        <v/>
      </c>
      <c r="AG1703" s="55">
        <f>IF(AF1703=1,EOMONTH(AE1703,0),"")</f>
        <v/>
      </c>
      <c r="AH1703" s="9">
        <f>IF(AF1703=1,UPPER(TRIM(IFERROR(INDEX($A1703:$AB1703,MATCH("Client",$A$1:$AB$1,0)),"")&amp;"")),"")</f>
        <v/>
      </c>
      <c r="AI1703" s="9">
        <f>IF(AF1703=1,IFERROR(INDEX($A1703:$AB1703,MATCH("Cost Centre",$A$1:$AB$1,0)),"")&amp;"","")</f>
        <v/>
      </c>
      <c r="AJ1703" s="54">
        <f>IF(AND(AF1703=1,AE1703&gt;=set_FYStart,AE1703&lt;=set_AsAt),1,0)</f>
        <v/>
      </c>
      <c r="AK1703" s="54">
        <f>IF(AND(AJ1703=1,AH1703&lt;&gt;"",COUNTIFS($AH$2:AH1703,AH1703,$AJ$2:AJ1703,1)=1),N(AL1702)+1,"")</f>
        <v/>
      </c>
      <c r="AL1703" s="54">
        <f>IF(AK1703&lt;&gt;"",AK1703,N(AL1702))</f>
        <v/>
      </c>
    </row>
    <row r="1704">
      <c r="A1704" t="inlineStr">
        <is>
          <t>PRD-0568</t>
        </is>
      </c>
      <c r="B1704" t="inlineStr">
        <is>
          <t>Production</t>
        </is>
      </c>
      <c r="AB1704" t="n">
        <v>568</v>
      </c>
      <c r="AD1704" s="52">
        <f>IFERROR(N(IFERROR(INDEX($A1704:$AB1704,MATCH("Xero Invoiced Ex GST",$A$1:$AB$1,0)),"")),0)</f>
        <v/>
      </c>
      <c r="AE1704" s="53">
        <f>IFERROR(INDEX($A1704:$AB1704,MATCH("Xero Invoice Date",$A$1:$AB$1,0)),"")</f>
        <v/>
      </c>
      <c r="AF1704" s="54">
        <f>IF(AND(IFERROR(INDEX($A1704:$AB1704,MATCH("Xero Invoice No",$A$1:$AB$1,0)),"")&amp;""&lt;&gt;"",ISNUMBER(AE1704),AD1704&lt;&gt;0),1,0)</f>
        <v/>
      </c>
      <c r="AG1704" s="55">
        <f>IF(AF1704=1,EOMONTH(AE1704,0),"")</f>
        <v/>
      </c>
      <c r="AH1704" s="9">
        <f>IF(AF1704=1,UPPER(TRIM(IFERROR(INDEX($A1704:$AB1704,MATCH("Client",$A$1:$AB$1,0)),"")&amp;"")),"")</f>
        <v/>
      </c>
      <c r="AI1704" s="9">
        <f>IF(AF1704=1,IFERROR(INDEX($A1704:$AB1704,MATCH("Cost Centre",$A$1:$AB$1,0)),"")&amp;"","")</f>
        <v/>
      </c>
      <c r="AJ1704" s="54">
        <f>IF(AND(AF1704=1,AE1704&gt;=set_FYStart,AE1704&lt;=set_AsAt),1,0)</f>
        <v/>
      </c>
      <c r="AK1704" s="54">
        <f>IF(AND(AJ1704=1,AH1704&lt;&gt;"",COUNTIFS($AH$2:AH1704,AH1704,$AJ$2:AJ1704,1)=1),N(AL1703)+1,"")</f>
        <v/>
      </c>
      <c r="AL1704" s="54">
        <f>IF(AK1704&lt;&gt;"",AK1704,N(AL1703))</f>
        <v/>
      </c>
    </row>
    <row r="1705">
      <c r="A1705" t="inlineStr">
        <is>
          <t>CON-0568</t>
        </is>
      </c>
      <c r="B1705" t="inlineStr">
        <is>
          <t>Consulting</t>
        </is>
      </c>
      <c r="AB1705" t="n">
        <v>568</v>
      </c>
      <c r="AD1705" s="52">
        <f>IFERROR(N(IFERROR(INDEX($A1705:$AB1705,MATCH("Xero Invoiced Ex GST",$A$1:$AB$1,0)),"")),0)</f>
        <v/>
      </c>
      <c r="AE1705" s="53">
        <f>IFERROR(INDEX($A1705:$AB1705,MATCH("Xero Invoice Date",$A$1:$AB$1,0)),"")</f>
        <v/>
      </c>
      <c r="AF1705" s="54">
        <f>IF(AND(IFERROR(INDEX($A1705:$AB1705,MATCH("Xero Invoice No",$A$1:$AB$1,0)),"")&amp;""&lt;&gt;"",ISNUMBER(AE1705),AD1705&lt;&gt;0),1,0)</f>
        <v/>
      </c>
      <c r="AG1705" s="55">
        <f>IF(AF1705=1,EOMONTH(AE1705,0),"")</f>
        <v/>
      </c>
      <c r="AH1705" s="9">
        <f>IF(AF1705=1,UPPER(TRIM(IFERROR(INDEX($A1705:$AB1705,MATCH("Client",$A$1:$AB$1,0)),"")&amp;"")),"")</f>
        <v/>
      </c>
      <c r="AI1705" s="9">
        <f>IF(AF1705=1,IFERROR(INDEX($A1705:$AB1705,MATCH("Cost Centre",$A$1:$AB$1,0)),"")&amp;"","")</f>
        <v/>
      </c>
      <c r="AJ1705" s="54">
        <f>IF(AND(AF1705=1,AE1705&gt;=set_FYStart,AE1705&lt;=set_AsAt),1,0)</f>
        <v/>
      </c>
      <c r="AK1705" s="54">
        <f>IF(AND(AJ1705=1,AH1705&lt;&gt;"",COUNTIFS($AH$2:AH1705,AH1705,$AJ$2:AJ1705,1)=1),N(AL1704)+1,"")</f>
        <v/>
      </c>
      <c r="AL1705" s="54">
        <f>IF(AK1705&lt;&gt;"",AK1705,N(AL1704))</f>
        <v/>
      </c>
    </row>
    <row r="1706">
      <c r="A1706" t="inlineStr">
        <is>
          <t>ONS-0569</t>
        </is>
      </c>
      <c r="B1706" t="inlineStr">
        <is>
          <t>Onsite</t>
        </is>
      </c>
      <c r="AB1706" t="n">
        <v>569</v>
      </c>
      <c r="AD1706" s="52">
        <f>IFERROR(N(IFERROR(INDEX($A1706:$AB1706,MATCH("Xero Invoiced Ex GST",$A$1:$AB$1,0)),"")),0)</f>
        <v/>
      </c>
      <c r="AE1706" s="53">
        <f>IFERROR(INDEX($A1706:$AB1706,MATCH("Xero Invoice Date",$A$1:$AB$1,0)),"")</f>
        <v/>
      </c>
      <c r="AF1706" s="54">
        <f>IF(AND(IFERROR(INDEX($A1706:$AB1706,MATCH("Xero Invoice No",$A$1:$AB$1,0)),"")&amp;""&lt;&gt;"",ISNUMBER(AE1706),AD1706&lt;&gt;0),1,0)</f>
        <v/>
      </c>
      <c r="AG1706" s="55">
        <f>IF(AF1706=1,EOMONTH(AE1706,0),"")</f>
        <v/>
      </c>
      <c r="AH1706" s="9">
        <f>IF(AF1706=1,UPPER(TRIM(IFERROR(INDEX($A1706:$AB1706,MATCH("Client",$A$1:$AB$1,0)),"")&amp;"")),"")</f>
        <v/>
      </c>
      <c r="AI1706" s="9">
        <f>IF(AF1706=1,IFERROR(INDEX($A1706:$AB1706,MATCH("Cost Centre",$A$1:$AB$1,0)),"")&amp;"","")</f>
        <v/>
      </c>
      <c r="AJ1706" s="54">
        <f>IF(AND(AF1706=1,AE1706&gt;=set_FYStart,AE1706&lt;=set_AsAt),1,0)</f>
        <v/>
      </c>
      <c r="AK1706" s="54">
        <f>IF(AND(AJ1706=1,AH1706&lt;&gt;"",COUNTIFS($AH$2:AH1706,AH1706,$AJ$2:AJ1706,1)=1),N(AL1705)+1,"")</f>
        <v/>
      </c>
      <c r="AL1706" s="54">
        <f>IF(AK1706&lt;&gt;"",AK1706,N(AL1705))</f>
        <v/>
      </c>
    </row>
    <row r="1707">
      <c r="A1707" t="inlineStr">
        <is>
          <t>PRD-0569</t>
        </is>
      </c>
      <c r="B1707" t="inlineStr">
        <is>
          <t>Production</t>
        </is>
      </c>
      <c r="AB1707" t="n">
        <v>569</v>
      </c>
      <c r="AD1707" s="52">
        <f>IFERROR(N(IFERROR(INDEX($A1707:$AB1707,MATCH("Xero Invoiced Ex GST",$A$1:$AB$1,0)),"")),0)</f>
        <v/>
      </c>
      <c r="AE1707" s="53">
        <f>IFERROR(INDEX($A1707:$AB1707,MATCH("Xero Invoice Date",$A$1:$AB$1,0)),"")</f>
        <v/>
      </c>
      <c r="AF1707" s="54">
        <f>IF(AND(IFERROR(INDEX($A1707:$AB1707,MATCH("Xero Invoice No",$A$1:$AB$1,0)),"")&amp;""&lt;&gt;"",ISNUMBER(AE1707),AD1707&lt;&gt;0),1,0)</f>
        <v/>
      </c>
      <c r="AG1707" s="55">
        <f>IF(AF1707=1,EOMONTH(AE1707,0),"")</f>
        <v/>
      </c>
      <c r="AH1707" s="9">
        <f>IF(AF1707=1,UPPER(TRIM(IFERROR(INDEX($A1707:$AB1707,MATCH("Client",$A$1:$AB$1,0)),"")&amp;"")),"")</f>
        <v/>
      </c>
      <c r="AI1707" s="9">
        <f>IF(AF1707=1,IFERROR(INDEX($A1707:$AB1707,MATCH("Cost Centre",$A$1:$AB$1,0)),"")&amp;"","")</f>
        <v/>
      </c>
      <c r="AJ1707" s="54">
        <f>IF(AND(AF1707=1,AE1707&gt;=set_FYStart,AE1707&lt;=set_AsAt),1,0)</f>
        <v/>
      </c>
      <c r="AK1707" s="54">
        <f>IF(AND(AJ1707=1,AH1707&lt;&gt;"",COUNTIFS($AH$2:AH1707,AH1707,$AJ$2:AJ1707,1)=1),N(AL1706)+1,"")</f>
        <v/>
      </c>
      <c r="AL1707" s="54">
        <f>IF(AK1707&lt;&gt;"",AK1707,N(AL1706))</f>
        <v/>
      </c>
    </row>
    <row r="1708">
      <c r="A1708" t="inlineStr">
        <is>
          <t>CON-0569</t>
        </is>
      </c>
      <c r="B1708" t="inlineStr">
        <is>
          <t>Consulting</t>
        </is>
      </c>
      <c r="AB1708" t="n">
        <v>569</v>
      </c>
      <c r="AD1708" s="52">
        <f>IFERROR(N(IFERROR(INDEX($A1708:$AB1708,MATCH("Xero Invoiced Ex GST",$A$1:$AB$1,0)),"")),0)</f>
        <v/>
      </c>
      <c r="AE1708" s="53">
        <f>IFERROR(INDEX($A1708:$AB1708,MATCH("Xero Invoice Date",$A$1:$AB$1,0)),"")</f>
        <v/>
      </c>
      <c r="AF1708" s="54">
        <f>IF(AND(IFERROR(INDEX($A1708:$AB1708,MATCH("Xero Invoice No",$A$1:$AB$1,0)),"")&amp;""&lt;&gt;"",ISNUMBER(AE1708),AD1708&lt;&gt;0),1,0)</f>
        <v/>
      </c>
      <c r="AG1708" s="55">
        <f>IF(AF1708=1,EOMONTH(AE1708,0),"")</f>
        <v/>
      </c>
      <c r="AH1708" s="9">
        <f>IF(AF1708=1,UPPER(TRIM(IFERROR(INDEX($A1708:$AB1708,MATCH("Client",$A$1:$AB$1,0)),"")&amp;"")),"")</f>
        <v/>
      </c>
      <c r="AI1708" s="9">
        <f>IF(AF1708=1,IFERROR(INDEX($A1708:$AB1708,MATCH("Cost Centre",$A$1:$AB$1,0)),"")&amp;"","")</f>
        <v/>
      </c>
      <c r="AJ1708" s="54">
        <f>IF(AND(AF1708=1,AE1708&gt;=set_FYStart,AE1708&lt;=set_AsAt),1,0)</f>
        <v/>
      </c>
      <c r="AK1708" s="54">
        <f>IF(AND(AJ1708=1,AH1708&lt;&gt;"",COUNTIFS($AH$2:AH1708,AH1708,$AJ$2:AJ1708,1)=1),N(AL1707)+1,"")</f>
        <v/>
      </c>
      <c r="AL1708" s="54">
        <f>IF(AK1708&lt;&gt;"",AK1708,N(AL1707))</f>
        <v/>
      </c>
    </row>
    <row r="1709">
      <c r="A1709" t="inlineStr">
        <is>
          <t>ONS-0570</t>
        </is>
      </c>
      <c r="B1709" t="inlineStr">
        <is>
          <t>Onsite</t>
        </is>
      </c>
      <c r="AB1709" t="n">
        <v>570</v>
      </c>
      <c r="AD1709" s="52">
        <f>IFERROR(N(IFERROR(INDEX($A1709:$AB1709,MATCH("Xero Invoiced Ex GST",$A$1:$AB$1,0)),"")),0)</f>
        <v/>
      </c>
      <c r="AE1709" s="53">
        <f>IFERROR(INDEX($A1709:$AB1709,MATCH("Xero Invoice Date",$A$1:$AB$1,0)),"")</f>
        <v/>
      </c>
      <c r="AF1709" s="54">
        <f>IF(AND(IFERROR(INDEX($A1709:$AB1709,MATCH("Xero Invoice No",$A$1:$AB$1,0)),"")&amp;""&lt;&gt;"",ISNUMBER(AE1709),AD1709&lt;&gt;0),1,0)</f>
        <v/>
      </c>
      <c r="AG1709" s="55">
        <f>IF(AF1709=1,EOMONTH(AE1709,0),"")</f>
        <v/>
      </c>
      <c r="AH1709" s="9">
        <f>IF(AF1709=1,UPPER(TRIM(IFERROR(INDEX($A1709:$AB1709,MATCH("Client",$A$1:$AB$1,0)),"")&amp;"")),"")</f>
        <v/>
      </c>
      <c r="AI1709" s="9">
        <f>IF(AF1709=1,IFERROR(INDEX($A1709:$AB1709,MATCH("Cost Centre",$A$1:$AB$1,0)),"")&amp;"","")</f>
        <v/>
      </c>
      <c r="AJ1709" s="54">
        <f>IF(AND(AF1709=1,AE1709&gt;=set_FYStart,AE1709&lt;=set_AsAt),1,0)</f>
        <v/>
      </c>
      <c r="AK1709" s="54">
        <f>IF(AND(AJ1709=1,AH1709&lt;&gt;"",COUNTIFS($AH$2:AH1709,AH1709,$AJ$2:AJ1709,1)=1),N(AL1708)+1,"")</f>
        <v/>
      </c>
      <c r="AL1709" s="54">
        <f>IF(AK1709&lt;&gt;"",AK1709,N(AL1708))</f>
        <v/>
      </c>
    </row>
    <row r="1710">
      <c r="A1710" t="inlineStr">
        <is>
          <t>PRD-0570</t>
        </is>
      </c>
      <c r="B1710" t="inlineStr">
        <is>
          <t>Production</t>
        </is>
      </c>
      <c r="AB1710" t="n">
        <v>570</v>
      </c>
      <c r="AD1710" s="52">
        <f>IFERROR(N(IFERROR(INDEX($A1710:$AB1710,MATCH("Xero Invoiced Ex GST",$A$1:$AB$1,0)),"")),0)</f>
        <v/>
      </c>
      <c r="AE1710" s="53">
        <f>IFERROR(INDEX($A1710:$AB1710,MATCH("Xero Invoice Date",$A$1:$AB$1,0)),"")</f>
        <v/>
      </c>
      <c r="AF1710" s="54">
        <f>IF(AND(IFERROR(INDEX($A1710:$AB1710,MATCH("Xero Invoice No",$A$1:$AB$1,0)),"")&amp;""&lt;&gt;"",ISNUMBER(AE1710),AD1710&lt;&gt;0),1,0)</f>
        <v/>
      </c>
      <c r="AG1710" s="55">
        <f>IF(AF1710=1,EOMONTH(AE1710,0),"")</f>
        <v/>
      </c>
      <c r="AH1710" s="9">
        <f>IF(AF1710=1,UPPER(TRIM(IFERROR(INDEX($A1710:$AB1710,MATCH("Client",$A$1:$AB$1,0)),"")&amp;"")),"")</f>
        <v/>
      </c>
      <c r="AI1710" s="9">
        <f>IF(AF1710=1,IFERROR(INDEX($A1710:$AB1710,MATCH("Cost Centre",$A$1:$AB$1,0)),"")&amp;"","")</f>
        <v/>
      </c>
      <c r="AJ1710" s="54">
        <f>IF(AND(AF1710=1,AE1710&gt;=set_FYStart,AE1710&lt;=set_AsAt),1,0)</f>
        <v/>
      </c>
      <c r="AK1710" s="54">
        <f>IF(AND(AJ1710=1,AH1710&lt;&gt;"",COUNTIFS($AH$2:AH1710,AH1710,$AJ$2:AJ1710,1)=1),N(AL1709)+1,"")</f>
        <v/>
      </c>
      <c r="AL1710" s="54">
        <f>IF(AK1710&lt;&gt;"",AK1710,N(AL1709))</f>
        <v/>
      </c>
    </row>
    <row r="1711">
      <c r="A1711" t="inlineStr">
        <is>
          <t>CON-0570</t>
        </is>
      </c>
      <c r="B1711" t="inlineStr">
        <is>
          <t>Consulting</t>
        </is>
      </c>
      <c r="AB1711" t="n">
        <v>570</v>
      </c>
      <c r="AD1711" s="52">
        <f>IFERROR(N(IFERROR(INDEX($A1711:$AB1711,MATCH("Xero Invoiced Ex GST",$A$1:$AB$1,0)),"")),0)</f>
        <v/>
      </c>
      <c r="AE1711" s="53">
        <f>IFERROR(INDEX($A1711:$AB1711,MATCH("Xero Invoice Date",$A$1:$AB$1,0)),"")</f>
        <v/>
      </c>
      <c r="AF1711" s="54">
        <f>IF(AND(IFERROR(INDEX($A1711:$AB1711,MATCH("Xero Invoice No",$A$1:$AB$1,0)),"")&amp;""&lt;&gt;"",ISNUMBER(AE1711),AD1711&lt;&gt;0),1,0)</f>
        <v/>
      </c>
      <c r="AG1711" s="55">
        <f>IF(AF1711=1,EOMONTH(AE1711,0),"")</f>
        <v/>
      </c>
      <c r="AH1711" s="9">
        <f>IF(AF1711=1,UPPER(TRIM(IFERROR(INDEX($A1711:$AB1711,MATCH("Client",$A$1:$AB$1,0)),"")&amp;"")),"")</f>
        <v/>
      </c>
      <c r="AI1711" s="9">
        <f>IF(AF1711=1,IFERROR(INDEX($A1711:$AB1711,MATCH("Cost Centre",$A$1:$AB$1,0)),"")&amp;"","")</f>
        <v/>
      </c>
      <c r="AJ1711" s="54">
        <f>IF(AND(AF1711=1,AE1711&gt;=set_FYStart,AE1711&lt;=set_AsAt),1,0)</f>
        <v/>
      </c>
      <c r="AK1711" s="54">
        <f>IF(AND(AJ1711=1,AH1711&lt;&gt;"",COUNTIFS($AH$2:AH1711,AH1711,$AJ$2:AJ1711,1)=1),N(AL1710)+1,"")</f>
        <v/>
      </c>
      <c r="AL1711" s="54">
        <f>IF(AK1711&lt;&gt;"",AK1711,N(AL1710))</f>
        <v/>
      </c>
    </row>
    <row r="1712">
      <c r="A1712" t="inlineStr">
        <is>
          <t>ONS-0571</t>
        </is>
      </c>
      <c r="B1712" t="inlineStr">
        <is>
          <t>Onsite</t>
        </is>
      </c>
      <c r="AB1712" t="n">
        <v>571</v>
      </c>
      <c r="AD1712" s="52">
        <f>IFERROR(N(IFERROR(INDEX($A1712:$AB1712,MATCH("Xero Invoiced Ex GST",$A$1:$AB$1,0)),"")),0)</f>
        <v/>
      </c>
      <c r="AE1712" s="53">
        <f>IFERROR(INDEX($A1712:$AB1712,MATCH("Xero Invoice Date",$A$1:$AB$1,0)),"")</f>
        <v/>
      </c>
      <c r="AF1712" s="54">
        <f>IF(AND(IFERROR(INDEX($A1712:$AB1712,MATCH("Xero Invoice No",$A$1:$AB$1,0)),"")&amp;""&lt;&gt;"",ISNUMBER(AE1712),AD1712&lt;&gt;0),1,0)</f>
        <v/>
      </c>
      <c r="AG1712" s="55">
        <f>IF(AF1712=1,EOMONTH(AE1712,0),"")</f>
        <v/>
      </c>
      <c r="AH1712" s="9">
        <f>IF(AF1712=1,UPPER(TRIM(IFERROR(INDEX($A1712:$AB1712,MATCH("Client",$A$1:$AB$1,0)),"")&amp;"")),"")</f>
        <v/>
      </c>
      <c r="AI1712" s="9">
        <f>IF(AF1712=1,IFERROR(INDEX($A1712:$AB1712,MATCH("Cost Centre",$A$1:$AB$1,0)),"")&amp;"","")</f>
        <v/>
      </c>
      <c r="AJ1712" s="54">
        <f>IF(AND(AF1712=1,AE1712&gt;=set_FYStart,AE1712&lt;=set_AsAt),1,0)</f>
        <v/>
      </c>
      <c r="AK1712" s="54">
        <f>IF(AND(AJ1712=1,AH1712&lt;&gt;"",COUNTIFS($AH$2:AH1712,AH1712,$AJ$2:AJ1712,1)=1),N(AL1711)+1,"")</f>
        <v/>
      </c>
      <c r="AL1712" s="54">
        <f>IF(AK1712&lt;&gt;"",AK1712,N(AL1711))</f>
        <v/>
      </c>
    </row>
    <row r="1713">
      <c r="A1713" t="inlineStr">
        <is>
          <t>PRD-0571</t>
        </is>
      </c>
      <c r="B1713" t="inlineStr">
        <is>
          <t>Production</t>
        </is>
      </c>
      <c r="AB1713" t="n">
        <v>571</v>
      </c>
      <c r="AD1713" s="52">
        <f>IFERROR(N(IFERROR(INDEX($A1713:$AB1713,MATCH("Xero Invoiced Ex GST",$A$1:$AB$1,0)),"")),0)</f>
        <v/>
      </c>
      <c r="AE1713" s="53">
        <f>IFERROR(INDEX($A1713:$AB1713,MATCH("Xero Invoice Date",$A$1:$AB$1,0)),"")</f>
        <v/>
      </c>
      <c r="AF1713" s="54">
        <f>IF(AND(IFERROR(INDEX($A1713:$AB1713,MATCH("Xero Invoice No",$A$1:$AB$1,0)),"")&amp;""&lt;&gt;"",ISNUMBER(AE1713),AD1713&lt;&gt;0),1,0)</f>
        <v/>
      </c>
      <c r="AG1713" s="55">
        <f>IF(AF1713=1,EOMONTH(AE1713,0),"")</f>
        <v/>
      </c>
      <c r="AH1713" s="9">
        <f>IF(AF1713=1,UPPER(TRIM(IFERROR(INDEX($A1713:$AB1713,MATCH("Client",$A$1:$AB$1,0)),"")&amp;"")),"")</f>
        <v/>
      </c>
      <c r="AI1713" s="9">
        <f>IF(AF1713=1,IFERROR(INDEX($A1713:$AB1713,MATCH("Cost Centre",$A$1:$AB$1,0)),"")&amp;"","")</f>
        <v/>
      </c>
      <c r="AJ1713" s="54">
        <f>IF(AND(AF1713=1,AE1713&gt;=set_FYStart,AE1713&lt;=set_AsAt),1,0)</f>
        <v/>
      </c>
      <c r="AK1713" s="54">
        <f>IF(AND(AJ1713=1,AH1713&lt;&gt;"",COUNTIFS($AH$2:AH1713,AH1713,$AJ$2:AJ1713,1)=1),N(AL1712)+1,"")</f>
        <v/>
      </c>
      <c r="AL1713" s="54">
        <f>IF(AK1713&lt;&gt;"",AK1713,N(AL1712))</f>
        <v/>
      </c>
    </row>
    <row r="1714">
      <c r="A1714" t="inlineStr">
        <is>
          <t>CON-0571</t>
        </is>
      </c>
      <c r="B1714" t="inlineStr">
        <is>
          <t>Consulting</t>
        </is>
      </c>
      <c r="AB1714" t="n">
        <v>571</v>
      </c>
      <c r="AD1714" s="52">
        <f>IFERROR(N(IFERROR(INDEX($A1714:$AB1714,MATCH("Xero Invoiced Ex GST",$A$1:$AB$1,0)),"")),0)</f>
        <v/>
      </c>
      <c r="AE1714" s="53">
        <f>IFERROR(INDEX($A1714:$AB1714,MATCH("Xero Invoice Date",$A$1:$AB$1,0)),"")</f>
        <v/>
      </c>
      <c r="AF1714" s="54">
        <f>IF(AND(IFERROR(INDEX($A1714:$AB1714,MATCH("Xero Invoice No",$A$1:$AB$1,0)),"")&amp;""&lt;&gt;"",ISNUMBER(AE1714),AD1714&lt;&gt;0),1,0)</f>
        <v/>
      </c>
      <c r="AG1714" s="55">
        <f>IF(AF1714=1,EOMONTH(AE1714,0),"")</f>
        <v/>
      </c>
      <c r="AH1714" s="9">
        <f>IF(AF1714=1,UPPER(TRIM(IFERROR(INDEX($A1714:$AB1714,MATCH("Client",$A$1:$AB$1,0)),"")&amp;"")),"")</f>
        <v/>
      </c>
      <c r="AI1714" s="9">
        <f>IF(AF1714=1,IFERROR(INDEX($A1714:$AB1714,MATCH("Cost Centre",$A$1:$AB$1,0)),"")&amp;"","")</f>
        <v/>
      </c>
      <c r="AJ1714" s="54">
        <f>IF(AND(AF1714=1,AE1714&gt;=set_FYStart,AE1714&lt;=set_AsAt),1,0)</f>
        <v/>
      </c>
      <c r="AK1714" s="54">
        <f>IF(AND(AJ1714=1,AH1714&lt;&gt;"",COUNTIFS($AH$2:AH1714,AH1714,$AJ$2:AJ1714,1)=1),N(AL1713)+1,"")</f>
        <v/>
      </c>
      <c r="AL1714" s="54">
        <f>IF(AK1714&lt;&gt;"",AK1714,N(AL1713))</f>
        <v/>
      </c>
    </row>
    <row r="1715">
      <c r="A1715" t="inlineStr">
        <is>
          <t>ONS-0572</t>
        </is>
      </c>
      <c r="B1715" t="inlineStr">
        <is>
          <t>Onsite</t>
        </is>
      </c>
      <c r="AB1715" t="n">
        <v>572</v>
      </c>
      <c r="AD1715" s="52">
        <f>IFERROR(N(IFERROR(INDEX($A1715:$AB1715,MATCH("Xero Invoiced Ex GST",$A$1:$AB$1,0)),"")),0)</f>
        <v/>
      </c>
      <c r="AE1715" s="53">
        <f>IFERROR(INDEX($A1715:$AB1715,MATCH("Xero Invoice Date",$A$1:$AB$1,0)),"")</f>
        <v/>
      </c>
      <c r="AF1715" s="54">
        <f>IF(AND(IFERROR(INDEX($A1715:$AB1715,MATCH("Xero Invoice No",$A$1:$AB$1,0)),"")&amp;""&lt;&gt;"",ISNUMBER(AE1715),AD1715&lt;&gt;0),1,0)</f>
        <v/>
      </c>
      <c r="AG1715" s="55">
        <f>IF(AF1715=1,EOMONTH(AE1715,0),"")</f>
        <v/>
      </c>
      <c r="AH1715" s="9">
        <f>IF(AF1715=1,UPPER(TRIM(IFERROR(INDEX($A1715:$AB1715,MATCH("Client",$A$1:$AB$1,0)),"")&amp;"")),"")</f>
        <v/>
      </c>
      <c r="AI1715" s="9">
        <f>IF(AF1715=1,IFERROR(INDEX($A1715:$AB1715,MATCH("Cost Centre",$A$1:$AB$1,0)),"")&amp;"","")</f>
        <v/>
      </c>
      <c r="AJ1715" s="54">
        <f>IF(AND(AF1715=1,AE1715&gt;=set_FYStart,AE1715&lt;=set_AsAt),1,0)</f>
        <v/>
      </c>
      <c r="AK1715" s="54">
        <f>IF(AND(AJ1715=1,AH1715&lt;&gt;"",COUNTIFS($AH$2:AH1715,AH1715,$AJ$2:AJ1715,1)=1),N(AL1714)+1,"")</f>
        <v/>
      </c>
      <c r="AL1715" s="54">
        <f>IF(AK1715&lt;&gt;"",AK1715,N(AL1714))</f>
        <v/>
      </c>
    </row>
    <row r="1716">
      <c r="A1716" t="inlineStr">
        <is>
          <t>PRD-0572</t>
        </is>
      </c>
      <c r="B1716" t="inlineStr">
        <is>
          <t>Production</t>
        </is>
      </c>
      <c r="AB1716" t="n">
        <v>572</v>
      </c>
      <c r="AD1716" s="52">
        <f>IFERROR(N(IFERROR(INDEX($A1716:$AB1716,MATCH("Xero Invoiced Ex GST",$A$1:$AB$1,0)),"")),0)</f>
        <v/>
      </c>
      <c r="AE1716" s="53">
        <f>IFERROR(INDEX($A1716:$AB1716,MATCH("Xero Invoice Date",$A$1:$AB$1,0)),"")</f>
        <v/>
      </c>
      <c r="AF1716" s="54">
        <f>IF(AND(IFERROR(INDEX($A1716:$AB1716,MATCH("Xero Invoice No",$A$1:$AB$1,0)),"")&amp;""&lt;&gt;"",ISNUMBER(AE1716),AD1716&lt;&gt;0),1,0)</f>
        <v/>
      </c>
      <c r="AG1716" s="55">
        <f>IF(AF1716=1,EOMONTH(AE1716,0),"")</f>
        <v/>
      </c>
      <c r="AH1716" s="9">
        <f>IF(AF1716=1,UPPER(TRIM(IFERROR(INDEX($A1716:$AB1716,MATCH("Client",$A$1:$AB$1,0)),"")&amp;"")),"")</f>
        <v/>
      </c>
      <c r="AI1716" s="9">
        <f>IF(AF1716=1,IFERROR(INDEX($A1716:$AB1716,MATCH("Cost Centre",$A$1:$AB$1,0)),"")&amp;"","")</f>
        <v/>
      </c>
      <c r="AJ1716" s="54">
        <f>IF(AND(AF1716=1,AE1716&gt;=set_FYStart,AE1716&lt;=set_AsAt),1,0)</f>
        <v/>
      </c>
      <c r="AK1716" s="54">
        <f>IF(AND(AJ1716=1,AH1716&lt;&gt;"",COUNTIFS($AH$2:AH1716,AH1716,$AJ$2:AJ1716,1)=1),N(AL1715)+1,"")</f>
        <v/>
      </c>
      <c r="AL1716" s="54">
        <f>IF(AK1716&lt;&gt;"",AK1716,N(AL1715))</f>
        <v/>
      </c>
    </row>
    <row r="1717">
      <c r="A1717" t="inlineStr">
        <is>
          <t>CON-0572</t>
        </is>
      </c>
      <c r="B1717" t="inlineStr">
        <is>
          <t>Consulting</t>
        </is>
      </c>
      <c r="AB1717" t="n">
        <v>572</v>
      </c>
      <c r="AD1717" s="52">
        <f>IFERROR(N(IFERROR(INDEX($A1717:$AB1717,MATCH("Xero Invoiced Ex GST",$A$1:$AB$1,0)),"")),0)</f>
        <v/>
      </c>
      <c r="AE1717" s="53">
        <f>IFERROR(INDEX($A1717:$AB1717,MATCH("Xero Invoice Date",$A$1:$AB$1,0)),"")</f>
        <v/>
      </c>
      <c r="AF1717" s="54">
        <f>IF(AND(IFERROR(INDEX($A1717:$AB1717,MATCH("Xero Invoice No",$A$1:$AB$1,0)),"")&amp;""&lt;&gt;"",ISNUMBER(AE1717),AD1717&lt;&gt;0),1,0)</f>
        <v/>
      </c>
      <c r="AG1717" s="55">
        <f>IF(AF1717=1,EOMONTH(AE1717,0),"")</f>
        <v/>
      </c>
      <c r="AH1717" s="9">
        <f>IF(AF1717=1,UPPER(TRIM(IFERROR(INDEX($A1717:$AB1717,MATCH("Client",$A$1:$AB$1,0)),"")&amp;"")),"")</f>
        <v/>
      </c>
      <c r="AI1717" s="9">
        <f>IF(AF1717=1,IFERROR(INDEX($A1717:$AB1717,MATCH("Cost Centre",$A$1:$AB$1,0)),"")&amp;"","")</f>
        <v/>
      </c>
      <c r="AJ1717" s="54">
        <f>IF(AND(AF1717=1,AE1717&gt;=set_FYStart,AE1717&lt;=set_AsAt),1,0)</f>
        <v/>
      </c>
      <c r="AK1717" s="54">
        <f>IF(AND(AJ1717=1,AH1717&lt;&gt;"",COUNTIFS($AH$2:AH1717,AH1717,$AJ$2:AJ1717,1)=1),N(AL1716)+1,"")</f>
        <v/>
      </c>
      <c r="AL1717" s="54">
        <f>IF(AK1717&lt;&gt;"",AK1717,N(AL1716))</f>
        <v/>
      </c>
    </row>
    <row r="1718">
      <c r="A1718" t="inlineStr">
        <is>
          <t>ONS-0573</t>
        </is>
      </c>
      <c r="B1718" t="inlineStr">
        <is>
          <t>Onsite</t>
        </is>
      </c>
      <c r="AB1718" t="n">
        <v>573</v>
      </c>
      <c r="AD1718" s="52">
        <f>IFERROR(N(IFERROR(INDEX($A1718:$AB1718,MATCH("Xero Invoiced Ex GST",$A$1:$AB$1,0)),"")),0)</f>
        <v/>
      </c>
      <c r="AE1718" s="53">
        <f>IFERROR(INDEX($A1718:$AB1718,MATCH("Xero Invoice Date",$A$1:$AB$1,0)),"")</f>
        <v/>
      </c>
      <c r="AF1718" s="54">
        <f>IF(AND(IFERROR(INDEX($A1718:$AB1718,MATCH("Xero Invoice No",$A$1:$AB$1,0)),"")&amp;""&lt;&gt;"",ISNUMBER(AE1718),AD1718&lt;&gt;0),1,0)</f>
        <v/>
      </c>
      <c r="AG1718" s="55">
        <f>IF(AF1718=1,EOMONTH(AE1718,0),"")</f>
        <v/>
      </c>
      <c r="AH1718" s="9">
        <f>IF(AF1718=1,UPPER(TRIM(IFERROR(INDEX($A1718:$AB1718,MATCH("Client",$A$1:$AB$1,0)),"")&amp;"")),"")</f>
        <v/>
      </c>
      <c r="AI1718" s="9">
        <f>IF(AF1718=1,IFERROR(INDEX($A1718:$AB1718,MATCH("Cost Centre",$A$1:$AB$1,0)),"")&amp;"","")</f>
        <v/>
      </c>
      <c r="AJ1718" s="54">
        <f>IF(AND(AF1718=1,AE1718&gt;=set_FYStart,AE1718&lt;=set_AsAt),1,0)</f>
        <v/>
      </c>
      <c r="AK1718" s="54">
        <f>IF(AND(AJ1718=1,AH1718&lt;&gt;"",COUNTIFS($AH$2:AH1718,AH1718,$AJ$2:AJ1718,1)=1),N(AL1717)+1,"")</f>
        <v/>
      </c>
      <c r="AL1718" s="54">
        <f>IF(AK1718&lt;&gt;"",AK1718,N(AL1717))</f>
        <v/>
      </c>
    </row>
    <row r="1719">
      <c r="A1719" t="inlineStr">
        <is>
          <t>PRD-0573</t>
        </is>
      </c>
      <c r="B1719" t="inlineStr">
        <is>
          <t>Production</t>
        </is>
      </c>
      <c r="AB1719" t="n">
        <v>573</v>
      </c>
      <c r="AD1719" s="52">
        <f>IFERROR(N(IFERROR(INDEX($A1719:$AB1719,MATCH("Xero Invoiced Ex GST",$A$1:$AB$1,0)),"")),0)</f>
        <v/>
      </c>
      <c r="AE1719" s="53">
        <f>IFERROR(INDEX($A1719:$AB1719,MATCH("Xero Invoice Date",$A$1:$AB$1,0)),"")</f>
        <v/>
      </c>
      <c r="AF1719" s="54">
        <f>IF(AND(IFERROR(INDEX($A1719:$AB1719,MATCH("Xero Invoice No",$A$1:$AB$1,0)),"")&amp;""&lt;&gt;"",ISNUMBER(AE1719),AD1719&lt;&gt;0),1,0)</f>
        <v/>
      </c>
      <c r="AG1719" s="55">
        <f>IF(AF1719=1,EOMONTH(AE1719,0),"")</f>
        <v/>
      </c>
      <c r="AH1719" s="9">
        <f>IF(AF1719=1,UPPER(TRIM(IFERROR(INDEX($A1719:$AB1719,MATCH("Client",$A$1:$AB$1,0)),"")&amp;"")),"")</f>
        <v/>
      </c>
      <c r="AI1719" s="9">
        <f>IF(AF1719=1,IFERROR(INDEX($A1719:$AB1719,MATCH("Cost Centre",$A$1:$AB$1,0)),"")&amp;"","")</f>
        <v/>
      </c>
      <c r="AJ1719" s="54">
        <f>IF(AND(AF1719=1,AE1719&gt;=set_FYStart,AE1719&lt;=set_AsAt),1,0)</f>
        <v/>
      </c>
      <c r="AK1719" s="54">
        <f>IF(AND(AJ1719=1,AH1719&lt;&gt;"",COUNTIFS($AH$2:AH1719,AH1719,$AJ$2:AJ1719,1)=1),N(AL1718)+1,"")</f>
        <v/>
      </c>
      <c r="AL1719" s="54">
        <f>IF(AK1719&lt;&gt;"",AK1719,N(AL1718))</f>
        <v/>
      </c>
    </row>
    <row r="1720">
      <c r="A1720" t="inlineStr">
        <is>
          <t>CON-0573</t>
        </is>
      </c>
      <c r="B1720" t="inlineStr">
        <is>
          <t>Consulting</t>
        </is>
      </c>
      <c r="AB1720" t="n">
        <v>573</v>
      </c>
      <c r="AD1720" s="52">
        <f>IFERROR(N(IFERROR(INDEX($A1720:$AB1720,MATCH("Xero Invoiced Ex GST",$A$1:$AB$1,0)),"")),0)</f>
        <v/>
      </c>
      <c r="AE1720" s="53">
        <f>IFERROR(INDEX($A1720:$AB1720,MATCH("Xero Invoice Date",$A$1:$AB$1,0)),"")</f>
        <v/>
      </c>
      <c r="AF1720" s="54">
        <f>IF(AND(IFERROR(INDEX($A1720:$AB1720,MATCH("Xero Invoice No",$A$1:$AB$1,0)),"")&amp;""&lt;&gt;"",ISNUMBER(AE1720),AD1720&lt;&gt;0),1,0)</f>
        <v/>
      </c>
      <c r="AG1720" s="55">
        <f>IF(AF1720=1,EOMONTH(AE1720,0),"")</f>
        <v/>
      </c>
      <c r="AH1720" s="9">
        <f>IF(AF1720=1,UPPER(TRIM(IFERROR(INDEX($A1720:$AB1720,MATCH("Client",$A$1:$AB$1,0)),"")&amp;"")),"")</f>
        <v/>
      </c>
      <c r="AI1720" s="9">
        <f>IF(AF1720=1,IFERROR(INDEX($A1720:$AB1720,MATCH("Cost Centre",$A$1:$AB$1,0)),"")&amp;"","")</f>
        <v/>
      </c>
      <c r="AJ1720" s="54">
        <f>IF(AND(AF1720=1,AE1720&gt;=set_FYStart,AE1720&lt;=set_AsAt),1,0)</f>
        <v/>
      </c>
      <c r="AK1720" s="54">
        <f>IF(AND(AJ1720=1,AH1720&lt;&gt;"",COUNTIFS($AH$2:AH1720,AH1720,$AJ$2:AJ1720,1)=1),N(AL1719)+1,"")</f>
        <v/>
      </c>
      <c r="AL1720" s="54">
        <f>IF(AK1720&lt;&gt;"",AK1720,N(AL1719))</f>
        <v/>
      </c>
    </row>
    <row r="1721">
      <c r="A1721" t="inlineStr">
        <is>
          <t>ONS-0574</t>
        </is>
      </c>
      <c r="B1721" t="inlineStr">
        <is>
          <t>Onsite</t>
        </is>
      </c>
      <c r="AB1721" t="n">
        <v>574</v>
      </c>
      <c r="AD1721" s="52">
        <f>IFERROR(N(IFERROR(INDEX($A1721:$AB1721,MATCH("Xero Invoiced Ex GST",$A$1:$AB$1,0)),"")),0)</f>
        <v/>
      </c>
      <c r="AE1721" s="53">
        <f>IFERROR(INDEX($A1721:$AB1721,MATCH("Xero Invoice Date",$A$1:$AB$1,0)),"")</f>
        <v/>
      </c>
      <c r="AF1721" s="54">
        <f>IF(AND(IFERROR(INDEX($A1721:$AB1721,MATCH("Xero Invoice No",$A$1:$AB$1,0)),"")&amp;""&lt;&gt;"",ISNUMBER(AE1721),AD1721&lt;&gt;0),1,0)</f>
        <v/>
      </c>
      <c r="AG1721" s="55">
        <f>IF(AF1721=1,EOMONTH(AE1721,0),"")</f>
        <v/>
      </c>
      <c r="AH1721" s="9">
        <f>IF(AF1721=1,UPPER(TRIM(IFERROR(INDEX($A1721:$AB1721,MATCH("Client",$A$1:$AB$1,0)),"")&amp;"")),"")</f>
        <v/>
      </c>
      <c r="AI1721" s="9">
        <f>IF(AF1721=1,IFERROR(INDEX($A1721:$AB1721,MATCH("Cost Centre",$A$1:$AB$1,0)),"")&amp;"","")</f>
        <v/>
      </c>
      <c r="AJ1721" s="54">
        <f>IF(AND(AF1721=1,AE1721&gt;=set_FYStart,AE1721&lt;=set_AsAt),1,0)</f>
        <v/>
      </c>
      <c r="AK1721" s="54">
        <f>IF(AND(AJ1721=1,AH1721&lt;&gt;"",COUNTIFS($AH$2:AH1721,AH1721,$AJ$2:AJ1721,1)=1),N(AL1720)+1,"")</f>
        <v/>
      </c>
      <c r="AL1721" s="54">
        <f>IF(AK1721&lt;&gt;"",AK1721,N(AL1720))</f>
        <v/>
      </c>
    </row>
    <row r="1722">
      <c r="A1722" t="inlineStr">
        <is>
          <t>PRD-0574</t>
        </is>
      </c>
      <c r="B1722" t="inlineStr">
        <is>
          <t>Production</t>
        </is>
      </c>
      <c r="AB1722" t="n">
        <v>574</v>
      </c>
      <c r="AD1722" s="52">
        <f>IFERROR(N(IFERROR(INDEX($A1722:$AB1722,MATCH("Xero Invoiced Ex GST",$A$1:$AB$1,0)),"")),0)</f>
        <v/>
      </c>
      <c r="AE1722" s="53">
        <f>IFERROR(INDEX($A1722:$AB1722,MATCH("Xero Invoice Date",$A$1:$AB$1,0)),"")</f>
        <v/>
      </c>
      <c r="AF1722" s="54">
        <f>IF(AND(IFERROR(INDEX($A1722:$AB1722,MATCH("Xero Invoice No",$A$1:$AB$1,0)),"")&amp;""&lt;&gt;"",ISNUMBER(AE1722),AD1722&lt;&gt;0),1,0)</f>
        <v/>
      </c>
      <c r="AG1722" s="55">
        <f>IF(AF1722=1,EOMONTH(AE1722,0),"")</f>
        <v/>
      </c>
      <c r="AH1722" s="9">
        <f>IF(AF1722=1,UPPER(TRIM(IFERROR(INDEX($A1722:$AB1722,MATCH("Client",$A$1:$AB$1,0)),"")&amp;"")),"")</f>
        <v/>
      </c>
      <c r="AI1722" s="9">
        <f>IF(AF1722=1,IFERROR(INDEX($A1722:$AB1722,MATCH("Cost Centre",$A$1:$AB$1,0)),"")&amp;"","")</f>
        <v/>
      </c>
      <c r="AJ1722" s="54">
        <f>IF(AND(AF1722=1,AE1722&gt;=set_FYStart,AE1722&lt;=set_AsAt),1,0)</f>
        <v/>
      </c>
      <c r="AK1722" s="54">
        <f>IF(AND(AJ1722=1,AH1722&lt;&gt;"",COUNTIFS($AH$2:AH1722,AH1722,$AJ$2:AJ1722,1)=1),N(AL1721)+1,"")</f>
        <v/>
      </c>
      <c r="AL1722" s="54">
        <f>IF(AK1722&lt;&gt;"",AK1722,N(AL1721))</f>
        <v/>
      </c>
    </row>
    <row r="1723">
      <c r="A1723" t="inlineStr">
        <is>
          <t>CON-0574</t>
        </is>
      </c>
      <c r="B1723" t="inlineStr">
        <is>
          <t>Consulting</t>
        </is>
      </c>
      <c r="AB1723" t="n">
        <v>574</v>
      </c>
      <c r="AD1723" s="52">
        <f>IFERROR(N(IFERROR(INDEX($A1723:$AB1723,MATCH("Xero Invoiced Ex GST",$A$1:$AB$1,0)),"")),0)</f>
        <v/>
      </c>
      <c r="AE1723" s="53">
        <f>IFERROR(INDEX($A1723:$AB1723,MATCH("Xero Invoice Date",$A$1:$AB$1,0)),"")</f>
        <v/>
      </c>
      <c r="AF1723" s="54">
        <f>IF(AND(IFERROR(INDEX($A1723:$AB1723,MATCH("Xero Invoice No",$A$1:$AB$1,0)),"")&amp;""&lt;&gt;"",ISNUMBER(AE1723),AD1723&lt;&gt;0),1,0)</f>
        <v/>
      </c>
      <c r="AG1723" s="55">
        <f>IF(AF1723=1,EOMONTH(AE1723,0),"")</f>
        <v/>
      </c>
      <c r="AH1723" s="9">
        <f>IF(AF1723=1,UPPER(TRIM(IFERROR(INDEX($A1723:$AB1723,MATCH("Client",$A$1:$AB$1,0)),"")&amp;"")),"")</f>
        <v/>
      </c>
      <c r="AI1723" s="9">
        <f>IF(AF1723=1,IFERROR(INDEX($A1723:$AB1723,MATCH("Cost Centre",$A$1:$AB$1,0)),"")&amp;"","")</f>
        <v/>
      </c>
      <c r="AJ1723" s="54">
        <f>IF(AND(AF1723=1,AE1723&gt;=set_FYStart,AE1723&lt;=set_AsAt),1,0)</f>
        <v/>
      </c>
      <c r="AK1723" s="54">
        <f>IF(AND(AJ1723=1,AH1723&lt;&gt;"",COUNTIFS($AH$2:AH1723,AH1723,$AJ$2:AJ1723,1)=1),N(AL1722)+1,"")</f>
        <v/>
      </c>
      <c r="AL1723" s="54">
        <f>IF(AK1723&lt;&gt;"",AK1723,N(AL1722))</f>
        <v/>
      </c>
    </row>
    <row r="1724">
      <c r="A1724" t="inlineStr">
        <is>
          <t>ONS-0575</t>
        </is>
      </c>
      <c r="B1724" t="inlineStr">
        <is>
          <t>Onsite</t>
        </is>
      </c>
      <c r="AB1724" t="n">
        <v>575</v>
      </c>
      <c r="AD1724" s="52">
        <f>IFERROR(N(IFERROR(INDEX($A1724:$AB1724,MATCH("Xero Invoiced Ex GST",$A$1:$AB$1,0)),"")),0)</f>
        <v/>
      </c>
      <c r="AE1724" s="53">
        <f>IFERROR(INDEX($A1724:$AB1724,MATCH("Xero Invoice Date",$A$1:$AB$1,0)),"")</f>
        <v/>
      </c>
      <c r="AF1724" s="54">
        <f>IF(AND(IFERROR(INDEX($A1724:$AB1724,MATCH("Xero Invoice No",$A$1:$AB$1,0)),"")&amp;""&lt;&gt;"",ISNUMBER(AE1724),AD1724&lt;&gt;0),1,0)</f>
        <v/>
      </c>
      <c r="AG1724" s="55">
        <f>IF(AF1724=1,EOMONTH(AE1724,0),"")</f>
        <v/>
      </c>
      <c r="AH1724" s="9">
        <f>IF(AF1724=1,UPPER(TRIM(IFERROR(INDEX($A1724:$AB1724,MATCH("Client",$A$1:$AB$1,0)),"")&amp;"")),"")</f>
        <v/>
      </c>
      <c r="AI1724" s="9">
        <f>IF(AF1724=1,IFERROR(INDEX($A1724:$AB1724,MATCH("Cost Centre",$A$1:$AB$1,0)),"")&amp;"","")</f>
        <v/>
      </c>
      <c r="AJ1724" s="54">
        <f>IF(AND(AF1724=1,AE1724&gt;=set_FYStart,AE1724&lt;=set_AsAt),1,0)</f>
        <v/>
      </c>
      <c r="AK1724" s="54">
        <f>IF(AND(AJ1724=1,AH1724&lt;&gt;"",COUNTIFS($AH$2:AH1724,AH1724,$AJ$2:AJ1724,1)=1),N(AL1723)+1,"")</f>
        <v/>
      </c>
      <c r="AL1724" s="54">
        <f>IF(AK1724&lt;&gt;"",AK1724,N(AL1723))</f>
        <v/>
      </c>
    </row>
    <row r="1725">
      <c r="A1725" t="inlineStr">
        <is>
          <t>PRD-0575</t>
        </is>
      </c>
      <c r="B1725" t="inlineStr">
        <is>
          <t>Production</t>
        </is>
      </c>
      <c r="AB1725" t="n">
        <v>575</v>
      </c>
      <c r="AD1725" s="52">
        <f>IFERROR(N(IFERROR(INDEX($A1725:$AB1725,MATCH("Xero Invoiced Ex GST",$A$1:$AB$1,0)),"")),0)</f>
        <v/>
      </c>
      <c r="AE1725" s="53">
        <f>IFERROR(INDEX($A1725:$AB1725,MATCH("Xero Invoice Date",$A$1:$AB$1,0)),"")</f>
        <v/>
      </c>
      <c r="AF1725" s="54">
        <f>IF(AND(IFERROR(INDEX($A1725:$AB1725,MATCH("Xero Invoice No",$A$1:$AB$1,0)),"")&amp;""&lt;&gt;"",ISNUMBER(AE1725),AD1725&lt;&gt;0),1,0)</f>
        <v/>
      </c>
      <c r="AG1725" s="55">
        <f>IF(AF1725=1,EOMONTH(AE1725,0),"")</f>
        <v/>
      </c>
      <c r="AH1725" s="9">
        <f>IF(AF1725=1,UPPER(TRIM(IFERROR(INDEX($A1725:$AB1725,MATCH("Client",$A$1:$AB$1,0)),"")&amp;"")),"")</f>
        <v/>
      </c>
      <c r="AI1725" s="9">
        <f>IF(AF1725=1,IFERROR(INDEX($A1725:$AB1725,MATCH("Cost Centre",$A$1:$AB$1,0)),"")&amp;"","")</f>
        <v/>
      </c>
      <c r="AJ1725" s="54">
        <f>IF(AND(AF1725=1,AE1725&gt;=set_FYStart,AE1725&lt;=set_AsAt),1,0)</f>
        <v/>
      </c>
      <c r="AK1725" s="54">
        <f>IF(AND(AJ1725=1,AH1725&lt;&gt;"",COUNTIFS($AH$2:AH1725,AH1725,$AJ$2:AJ1725,1)=1),N(AL1724)+1,"")</f>
        <v/>
      </c>
      <c r="AL1725" s="54">
        <f>IF(AK1725&lt;&gt;"",AK1725,N(AL1724))</f>
        <v/>
      </c>
    </row>
    <row r="1726">
      <c r="A1726" t="inlineStr">
        <is>
          <t>CON-0575</t>
        </is>
      </c>
      <c r="B1726" t="inlineStr">
        <is>
          <t>Consulting</t>
        </is>
      </c>
      <c r="AB1726" t="n">
        <v>575</v>
      </c>
      <c r="AD1726" s="52">
        <f>IFERROR(N(IFERROR(INDEX($A1726:$AB1726,MATCH("Xero Invoiced Ex GST",$A$1:$AB$1,0)),"")),0)</f>
        <v/>
      </c>
      <c r="AE1726" s="53">
        <f>IFERROR(INDEX($A1726:$AB1726,MATCH("Xero Invoice Date",$A$1:$AB$1,0)),"")</f>
        <v/>
      </c>
      <c r="AF1726" s="54">
        <f>IF(AND(IFERROR(INDEX($A1726:$AB1726,MATCH("Xero Invoice No",$A$1:$AB$1,0)),"")&amp;""&lt;&gt;"",ISNUMBER(AE1726),AD1726&lt;&gt;0),1,0)</f>
        <v/>
      </c>
      <c r="AG1726" s="55">
        <f>IF(AF1726=1,EOMONTH(AE1726,0),"")</f>
        <v/>
      </c>
      <c r="AH1726" s="9">
        <f>IF(AF1726=1,UPPER(TRIM(IFERROR(INDEX($A1726:$AB1726,MATCH("Client",$A$1:$AB$1,0)),"")&amp;"")),"")</f>
        <v/>
      </c>
      <c r="AI1726" s="9">
        <f>IF(AF1726=1,IFERROR(INDEX($A1726:$AB1726,MATCH("Cost Centre",$A$1:$AB$1,0)),"")&amp;"","")</f>
        <v/>
      </c>
      <c r="AJ1726" s="54">
        <f>IF(AND(AF1726=1,AE1726&gt;=set_FYStart,AE1726&lt;=set_AsAt),1,0)</f>
        <v/>
      </c>
      <c r="AK1726" s="54">
        <f>IF(AND(AJ1726=1,AH1726&lt;&gt;"",COUNTIFS($AH$2:AH1726,AH1726,$AJ$2:AJ1726,1)=1),N(AL1725)+1,"")</f>
        <v/>
      </c>
      <c r="AL1726" s="54">
        <f>IF(AK1726&lt;&gt;"",AK1726,N(AL1725))</f>
        <v/>
      </c>
    </row>
    <row r="1727">
      <c r="A1727" t="inlineStr">
        <is>
          <t>ONS-0576</t>
        </is>
      </c>
      <c r="B1727" t="inlineStr">
        <is>
          <t>Onsite</t>
        </is>
      </c>
      <c r="AB1727" t="n">
        <v>576</v>
      </c>
      <c r="AD1727" s="52">
        <f>IFERROR(N(IFERROR(INDEX($A1727:$AB1727,MATCH("Xero Invoiced Ex GST",$A$1:$AB$1,0)),"")),0)</f>
        <v/>
      </c>
      <c r="AE1727" s="53">
        <f>IFERROR(INDEX($A1727:$AB1727,MATCH("Xero Invoice Date",$A$1:$AB$1,0)),"")</f>
        <v/>
      </c>
      <c r="AF1727" s="54">
        <f>IF(AND(IFERROR(INDEX($A1727:$AB1727,MATCH("Xero Invoice No",$A$1:$AB$1,0)),"")&amp;""&lt;&gt;"",ISNUMBER(AE1727),AD1727&lt;&gt;0),1,0)</f>
        <v/>
      </c>
      <c r="AG1727" s="55">
        <f>IF(AF1727=1,EOMONTH(AE1727,0),"")</f>
        <v/>
      </c>
      <c r="AH1727" s="9">
        <f>IF(AF1727=1,UPPER(TRIM(IFERROR(INDEX($A1727:$AB1727,MATCH("Client",$A$1:$AB$1,0)),"")&amp;"")),"")</f>
        <v/>
      </c>
      <c r="AI1727" s="9">
        <f>IF(AF1727=1,IFERROR(INDEX($A1727:$AB1727,MATCH("Cost Centre",$A$1:$AB$1,0)),"")&amp;"","")</f>
        <v/>
      </c>
      <c r="AJ1727" s="54">
        <f>IF(AND(AF1727=1,AE1727&gt;=set_FYStart,AE1727&lt;=set_AsAt),1,0)</f>
        <v/>
      </c>
      <c r="AK1727" s="54">
        <f>IF(AND(AJ1727=1,AH1727&lt;&gt;"",COUNTIFS($AH$2:AH1727,AH1727,$AJ$2:AJ1727,1)=1),N(AL1726)+1,"")</f>
        <v/>
      </c>
      <c r="AL1727" s="54">
        <f>IF(AK1727&lt;&gt;"",AK1727,N(AL1726))</f>
        <v/>
      </c>
    </row>
    <row r="1728">
      <c r="A1728" t="inlineStr">
        <is>
          <t>PRD-0576</t>
        </is>
      </c>
      <c r="B1728" t="inlineStr">
        <is>
          <t>Production</t>
        </is>
      </c>
      <c r="AB1728" t="n">
        <v>576</v>
      </c>
      <c r="AD1728" s="52">
        <f>IFERROR(N(IFERROR(INDEX($A1728:$AB1728,MATCH("Xero Invoiced Ex GST",$A$1:$AB$1,0)),"")),0)</f>
        <v/>
      </c>
      <c r="AE1728" s="53">
        <f>IFERROR(INDEX($A1728:$AB1728,MATCH("Xero Invoice Date",$A$1:$AB$1,0)),"")</f>
        <v/>
      </c>
      <c r="AF1728" s="54">
        <f>IF(AND(IFERROR(INDEX($A1728:$AB1728,MATCH("Xero Invoice No",$A$1:$AB$1,0)),"")&amp;""&lt;&gt;"",ISNUMBER(AE1728),AD1728&lt;&gt;0),1,0)</f>
        <v/>
      </c>
      <c r="AG1728" s="55">
        <f>IF(AF1728=1,EOMONTH(AE1728,0),"")</f>
        <v/>
      </c>
      <c r="AH1728" s="9">
        <f>IF(AF1728=1,UPPER(TRIM(IFERROR(INDEX($A1728:$AB1728,MATCH("Client",$A$1:$AB$1,0)),"")&amp;"")),"")</f>
        <v/>
      </c>
      <c r="AI1728" s="9">
        <f>IF(AF1728=1,IFERROR(INDEX($A1728:$AB1728,MATCH("Cost Centre",$A$1:$AB$1,0)),"")&amp;"","")</f>
        <v/>
      </c>
      <c r="AJ1728" s="54">
        <f>IF(AND(AF1728=1,AE1728&gt;=set_FYStart,AE1728&lt;=set_AsAt),1,0)</f>
        <v/>
      </c>
      <c r="AK1728" s="54">
        <f>IF(AND(AJ1728=1,AH1728&lt;&gt;"",COUNTIFS($AH$2:AH1728,AH1728,$AJ$2:AJ1728,1)=1),N(AL1727)+1,"")</f>
        <v/>
      </c>
      <c r="AL1728" s="54">
        <f>IF(AK1728&lt;&gt;"",AK1728,N(AL1727))</f>
        <v/>
      </c>
    </row>
    <row r="1729">
      <c r="A1729" t="inlineStr">
        <is>
          <t>CON-0576</t>
        </is>
      </c>
      <c r="B1729" t="inlineStr">
        <is>
          <t>Consulting</t>
        </is>
      </c>
      <c r="AB1729" t="n">
        <v>576</v>
      </c>
      <c r="AD1729" s="52">
        <f>IFERROR(N(IFERROR(INDEX($A1729:$AB1729,MATCH("Xero Invoiced Ex GST",$A$1:$AB$1,0)),"")),0)</f>
        <v/>
      </c>
      <c r="AE1729" s="53">
        <f>IFERROR(INDEX($A1729:$AB1729,MATCH("Xero Invoice Date",$A$1:$AB$1,0)),"")</f>
        <v/>
      </c>
      <c r="AF1729" s="54">
        <f>IF(AND(IFERROR(INDEX($A1729:$AB1729,MATCH("Xero Invoice No",$A$1:$AB$1,0)),"")&amp;""&lt;&gt;"",ISNUMBER(AE1729),AD1729&lt;&gt;0),1,0)</f>
        <v/>
      </c>
      <c r="AG1729" s="55">
        <f>IF(AF1729=1,EOMONTH(AE1729,0),"")</f>
        <v/>
      </c>
      <c r="AH1729" s="9">
        <f>IF(AF1729=1,UPPER(TRIM(IFERROR(INDEX($A1729:$AB1729,MATCH("Client",$A$1:$AB$1,0)),"")&amp;"")),"")</f>
        <v/>
      </c>
      <c r="AI1729" s="9">
        <f>IF(AF1729=1,IFERROR(INDEX($A1729:$AB1729,MATCH("Cost Centre",$A$1:$AB$1,0)),"")&amp;"","")</f>
        <v/>
      </c>
      <c r="AJ1729" s="54">
        <f>IF(AND(AF1729=1,AE1729&gt;=set_FYStart,AE1729&lt;=set_AsAt),1,0)</f>
        <v/>
      </c>
      <c r="AK1729" s="54">
        <f>IF(AND(AJ1729=1,AH1729&lt;&gt;"",COUNTIFS($AH$2:AH1729,AH1729,$AJ$2:AJ1729,1)=1),N(AL1728)+1,"")</f>
        <v/>
      </c>
      <c r="AL1729" s="54">
        <f>IF(AK1729&lt;&gt;"",AK1729,N(AL1728))</f>
        <v/>
      </c>
    </row>
    <row r="1730">
      <c r="A1730" t="inlineStr">
        <is>
          <t>ONS-0577</t>
        </is>
      </c>
      <c r="B1730" t="inlineStr">
        <is>
          <t>Onsite</t>
        </is>
      </c>
      <c r="AB1730" t="n">
        <v>577</v>
      </c>
      <c r="AD1730" s="52">
        <f>IFERROR(N(IFERROR(INDEX($A1730:$AB1730,MATCH("Xero Invoiced Ex GST",$A$1:$AB$1,0)),"")),0)</f>
        <v/>
      </c>
      <c r="AE1730" s="53">
        <f>IFERROR(INDEX($A1730:$AB1730,MATCH("Xero Invoice Date",$A$1:$AB$1,0)),"")</f>
        <v/>
      </c>
      <c r="AF1730" s="54">
        <f>IF(AND(IFERROR(INDEX($A1730:$AB1730,MATCH("Xero Invoice No",$A$1:$AB$1,0)),"")&amp;""&lt;&gt;"",ISNUMBER(AE1730),AD1730&lt;&gt;0),1,0)</f>
        <v/>
      </c>
      <c r="AG1730" s="55">
        <f>IF(AF1730=1,EOMONTH(AE1730,0),"")</f>
        <v/>
      </c>
      <c r="AH1730" s="9">
        <f>IF(AF1730=1,UPPER(TRIM(IFERROR(INDEX($A1730:$AB1730,MATCH("Client",$A$1:$AB$1,0)),"")&amp;"")),"")</f>
        <v/>
      </c>
      <c r="AI1730" s="9">
        <f>IF(AF1730=1,IFERROR(INDEX($A1730:$AB1730,MATCH("Cost Centre",$A$1:$AB$1,0)),"")&amp;"","")</f>
        <v/>
      </c>
      <c r="AJ1730" s="54">
        <f>IF(AND(AF1730=1,AE1730&gt;=set_FYStart,AE1730&lt;=set_AsAt),1,0)</f>
        <v/>
      </c>
      <c r="AK1730" s="54">
        <f>IF(AND(AJ1730=1,AH1730&lt;&gt;"",COUNTIFS($AH$2:AH1730,AH1730,$AJ$2:AJ1730,1)=1),N(AL1729)+1,"")</f>
        <v/>
      </c>
      <c r="AL1730" s="54">
        <f>IF(AK1730&lt;&gt;"",AK1730,N(AL1729))</f>
        <v/>
      </c>
    </row>
    <row r="1731">
      <c r="A1731" t="inlineStr">
        <is>
          <t>PRD-0577</t>
        </is>
      </c>
      <c r="B1731" t="inlineStr">
        <is>
          <t>Production</t>
        </is>
      </c>
      <c r="AB1731" t="n">
        <v>577</v>
      </c>
      <c r="AD1731" s="52">
        <f>IFERROR(N(IFERROR(INDEX($A1731:$AB1731,MATCH("Xero Invoiced Ex GST",$A$1:$AB$1,0)),"")),0)</f>
        <v/>
      </c>
      <c r="AE1731" s="53">
        <f>IFERROR(INDEX($A1731:$AB1731,MATCH("Xero Invoice Date",$A$1:$AB$1,0)),"")</f>
        <v/>
      </c>
      <c r="AF1731" s="54">
        <f>IF(AND(IFERROR(INDEX($A1731:$AB1731,MATCH("Xero Invoice No",$A$1:$AB$1,0)),"")&amp;""&lt;&gt;"",ISNUMBER(AE1731),AD1731&lt;&gt;0),1,0)</f>
        <v/>
      </c>
      <c r="AG1731" s="55">
        <f>IF(AF1731=1,EOMONTH(AE1731,0),"")</f>
        <v/>
      </c>
      <c r="AH1731" s="9">
        <f>IF(AF1731=1,UPPER(TRIM(IFERROR(INDEX($A1731:$AB1731,MATCH("Client",$A$1:$AB$1,0)),"")&amp;"")),"")</f>
        <v/>
      </c>
      <c r="AI1731" s="9">
        <f>IF(AF1731=1,IFERROR(INDEX($A1731:$AB1731,MATCH("Cost Centre",$A$1:$AB$1,0)),"")&amp;"","")</f>
        <v/>
      </c>
      <c r="AJ1731" s="54">
        <f>IF(AND(AF1731=1,AE1731&gt;=set_FYStart,AE1731&lt;=set_AsAt),1,0)</f>
        <v/>
      </c>
      <c r="AK1731" s="54">
        <f>IF(AND(AJ1731=1,AH1731&lt;&gt;"",COUNTIFS($AH$2:AH1731,AH1731,$AJ$2:AJ1731,1)=1),N(AL1730)+1,"")</f>
        <v/>
      </c>
      <c r="AL1731" s="54">
        <f>IF(AK1731&lt;&gt;"",AK1731,N(AL1730))</f>
        <v/>
      </c>
    </row>
    <row r="1732">
      <c r="A1732" t="inlineStr">
        <is>
          <t>CON-0577</t>
        </is>
      </c>
      <c r="B1732" t="inlineStr">
        <is>
          <t>Consulting</t>
        </is>
      </c>
      <c r="AB1732" t="n">
        <v>577</v>
      </c>
      <c r="AD1732" s="52">
        <f>IFERROR(N(IFERROR(INDEX($A1732:$AB1732,MATCH("Xero Invoiced Ex GST",$A$1:$AB$1,0)),"")),0)</f>
        <v/>
      </c>
      <c r="AE1732" s="53">
        <f>IFERROR(INDEX($A1732:$AB1732,MATCH("Xero Invoice Date",$A$1:$AB$1,0)),"")</f>
        <v/>
      </c>
      <c r="AF1732" s="54">
        <f>IF(AND(IFERROR(INDEX($A1732:$AB1732,MATCH("Xero Invoice No",$A$1:$AB$1,0)),"")&amp;""&lt;&gt;"",ISNUMBER(AE1732),AD1732&lt;&gt;0),1,0)</f>
        <v/>
      </c>
      <c r="AG1732" s="55">
        <f>IF(AF1732=1,EOMONTH(AE1732,0),"")</f>
        <v/>
      </c>
      <c r="AH1732" s="9">
        <f>IF(AF1732=1,UPPER(TRIM(IFERROR(INDEX($A1732:$AB1732,MATCH("Client",$A$1:$AB$1,0)),"")&amp;"")),"")</f>
        <v/>
      </c>
      <c r="AI1732" s="9">
        <f>IF(AF1732=1,IFERROR(INDEX($A1732:$AB1732,MATCH("Cost Centre",$A$1:$AB$1,0)),"")&amp;"","")</f>
        <v/>
      </c>
      <c r="AJ1732" s="54">
        <f>IF(AND(AF1732=1,AE1732&gt;=set_FYStart,AE1732&lt;=set_AsAt),1,0)</f>
        <v/>
      </c>
      <c r="AK1732" s="54">
        <f>IF(AND(AJ1732=1,AH1732&lt;&gt;"",COUNTIFS($AH$2:AH1732,AH1732,$AJ$2:AJ1732,1)=1),N(AL1731)+1,"")</f>
        <v/>
      </c>
      <c r="AL1732" s="54">
        <f>IF(AK1732&lt;&gt;"",AK1732,N(AL1731))</f>
        <v/>
      </c>
    </row>
    <row r="1733">
      <c r="A1733" t="inlineStr">
        <is>
          <t>ONS-0578</t>
        </is>
      </c>
      <c r="B1733" t="inlineStr">
        <is>
          <t>Onsite</t>
        </is>
      </c>
      <c r="AB1733" t="n">
        <v>578</v>
      </c>
      <c r="AD1733" s="52">
        <f>IFERROR(N(IFERROR(INDEX($A1733:$AB1733,MATCH("Xero Invoiced Ex GST",$A$1:$AB$1,0)),"")),0)</f>
        <v/>
      </c>
      <c r="AE1733" s="53">
        <f>IFERROR(INDEX($A1733:$AB1733,MATCH("Xero Invoice Date",$A$1:$AB$1,0)),"")</f>
        <v/>
      </c>
      <c r="AF1733" s="54">
        <f>IF(AND(IFERROR(INDEX($A1733:$AB1733,MATCH("Xero Invoice No",$A$1:$AB$1,0)),"")&amp;""&lt;&gt;"",ISNUMBER(AE1733),AD1733&lt;&gt;0),1,0)</f>
        <v/>
      </c>
      <c r="AG1733" s="55">
        <f>IF(AF1733=1,EOMONTH(AE1733,0),"")</f>
        <v/>
      </c>
      <c r="AH1733" s="9">
        <f>IF(AF1733=1,UPPER(TRIM(IFERROR(INDEX($A1733:$AB1733,MATCH("Client",$A$1:$AB$1,0)),"")&amp;"")),"")</f>
        <v/>
      </c>
      <c r="AI1733" s="9">
        <f>IF(AF1733=1,IFERROR(INDEX($A1733:$AB1733,MATCH("Cost Centre",$A$1:$AB$1,0)),"")&amp;"","")</f>
        <v/>
      </c>
      <c r="AJ1733" s="54">
        <f>IF(AND(AF1733=1,AE1733&gt;=set_FYStart,AE1733&lt;=set_AsAt),1,0)</f>
        <v/>
      </c>
      <c r="AK1733" s="54">
        <f>IF(AND(AJ1733=1,AH1733&lt;&gt;"",COUNTIFS($AH$2:AH1733,AH1733,$AJ$2:AJ1733,1)=1),N(AL1732)+1,"")</f>
        <v/>
      </c>
      <c r="AL1733" s="54">
        <f>IF(AK1733&lt;&gt;"",AK1733,N(AL1732))</f>
        <v/>
      </c>
    </row>
    <row r="1734">
      <c r="A1734" t="inlineStr">
        <is>
          <t>PRD-0578</t>
        </is>
      </c>
      <c r="B1734" t="inlineStr">
        <is>
          <t>Production</t>
        </is>
      </c>
      <c r="AB1734" t="n">
        <v>578</v>
      </c>
      <c r="AD1734" s="52">
        <f>IFERROR(N(IFERROR(INDEX($A1734:$AB1734,MATCH("Xero Invoiced Ex GST",$A$1:$AB$1,0)),"")),0)</f>
        <v/>
      </c>
      <c r="AE1734" s="53">
        <f>IFERROR(INDEX($A1734:$AB1734,MATCH("Xero Invoice Date",$A$1:$AB$1,0)),"")</f>
        <v/>
      </c>
      <c r="AF1734" s="54">
        <f>IF(AND(IFERROR(INDEX($A1734:$AB1734,MATCH("Xero Invoice No",$A$1:$AB$1,0)),"")&amp;""&lt;&gt;"",ISNUMBER(AE1734),AD1734&lt;&gt;0),1,0)</f>
        <v/>
      </c>
      <c r="AG1734" s="55">
        <f>IF(AF1734=1,EOMONTH(AE1734,0),"")</f>
        <v/>
      </c>
      <c r="AH1734" s="9">
        <f>IF(AF1734=1,UPPER(TRIM(IFERROR(INDEX($A1734:$AB1734,MATCH("Client",$A$1:$AB$1,0)),"")&amp;"")),"")</f>
        <v/>
      </c>
      <c r="AI1734" s="9">
        <f>IF(AF1734=1,IFERROR(INDEX($A1734:$AB1734,MATCH("Cost Centre",$A$1:$AB$1,0)),"")&amp;"","")</f>
        <v/>
      </c>
      <c r="AJ1734" s="54">
        <f>IF(AND(AF1734=1,AE1734&gt;=set_FYStart,AE1734&lt;=set_AsAt),1,0)</f>
        <v/>
      </c>
      <c r="AK1734" s="54">
        <f>IF(AND(AJ1734=1,AH1734&lt;&gt;"",COUNTIFS($AH$2:AH1734,AH1734,$AJ$2:AJ1734,1)=1),N(AL1733)+1,"")</f>
        <v/>
      </c>
      <c r="AL1734" s="54">
        <f>IF(AK1734&lt;&gt;"",AK1734,N(AL1733))</f>
        <v/>
      </c>
    </row>
    <row r="1735">
      <c r="A1735" t="inlineStr">
        <is>
          <t>CON-0578</t>
        </is>
      </c>
      <c r="B1735" t="inlineStr">
        <is>
          <t>Consulting</t>
        </is>
      </c>
      <c r="AB1735" t="n">
        <v>578</v>
      </c>
      <c r="AD1735" s="52">
        <f>IFERROR(N(IFERROR(INDEX($A1735:$AB1735,MATCH("Xero Invoiced Ex GST",$A$1:$AB$1,0)),"")),0)</f>
        <v/>
      </c>
      <c r="AE1735" s="53">
        <f>IFERROR(INDEX($A1735:$AB1735,MATCH("Xero Invoice Date",$A$1:$AB$1,0)),"")</f>
        <v/>
      </c>
      <c r="AF1735" s="54">
        <f>IF(AND(IFERROR(INDEX($A1735:$AB1735,MATCH("Xero Invoice No",$A$1:$AB$1,0)),"")&amp;""&lt;&gt;"",ISNUMBER(AE1735),AD1735&lt;&gt;0),1,0)</f>
        <v/>
      </c>
      <c r="AG1735" s="55">
        <f>IF(AF1735=1,EOMONTH(AE1735,0),"")</f>
        <v/>
      </c>
      <c r="AH1735" s="9">
        <f>IF(AF1735=1,UPPER(TRIM(IFERROR(INDEX($A1735:$AB1735,MATCH("Client",$A$1:$AB$1,0)),"")&amp;"")),"")</f>
        <v/>
      </c>
      <c r="AI1735" s="9">
        <f>IF(AF1735=1,IFERROR(INDEX($A1735:$AB1735,MATCH("Cost Centre",$A$1:$AB$1,0)),"")&amp;"","")</f>
        <v/>
      </c>
      <c r="AJ1735" s="54">
        <f>IF(AND(AF1735=1,AE1735&gt;=set_FYStart,AE1735&lt;=set_AsAt),1,0)</f>
        <v/>
      </c>
      <c r="AK1735" s="54">
        <f>IF(AND(AJ1735=1,AH1735&lt;&gt;"",COUNTIFS($AH$2:AH1735,AH1735,$AJ$2:AJ1735,1)=1),N(AL1734)+1,"")</f>
        <v/>
      </c>
      <c r="AL1735" s="54">
        <f>IF(AK1735&lt;&gt;"",AK1735,N(AL1734))</f>
        <v/>
      </c>
    </row>
    <row r="1736">
      <c r="A1736" t="inlineStr">
        <is>
          <t>ONS-0579</t>
        </is>
      </c>
      <c r="B1736" t="inlineStr">
        <is>
          <t>Onsite</t>
        </is>
      </c>
      <c r="AB1736" t="n">
        <v>579</v>
      </c>
      <c r="AD1736" s="52">
        <f>IFERROR(N(IFERROR(INDEX($A1736:$AB1736,MATCH("Xero Invoiced Ex GST",$A$1:$AB$1,0)),"")),0)</f>
        <v/>
      </c>
      <c r="AE1736" s="53">
        <f>IFERROR(INDEX($A1736:$AB1736,MATCH("Xero Invoice Date",$A$1:$AB$1,0)),"")</f>
        <v/>
      </c>
      <c r="AF1736" s="54">
        <f>IF(AND(IFERROR(INDEX($A1736:$AB1736,MATCH("Xero Invoice No",$A$1:$AB$1,0)),"")&amp;""&lt;&gt;"",ISNUMBER(AE1736),AD1736&lt;&gt;0),1,0)</f>
        <v/>
      </c>
      <c r="AG1736" s="55">
        <f>IF(AF1736=1,EOMONTH(AE1736,0),"")</f>
        <v/>
      </c>
      <c r="AH1736" s="9">
        <f>IF(AF1736=1,UPPER(TRIM(IFERROR(INDEX($A1736:$AB1736,MATCH("Client",$A$1:$AB$1,0)),"")&amp;"")),"")</f>
        <v/>
      </c>
      <c r="AI1736" s="9">
        <f>IF(AF1736=1,IFERROR(INDEX($A1736:$AB1736,MATCH("Cost Centre",$A$1:$AB$1,0)),"")&amp;"","")</f>
        <v/>
      </c>
      <c r="AJ1736" s="54">
        <f>IF(AND(AF1736=1,AE1736&gt;=set_FYStart,AE1736&lt;=set_AsAt),1,0)</f>
        <v/>
      </c>
      <c r="AK1736" s="54">
        <f>IF(AND(AJ1736=1,AH1736&lt;&gt;"",COUNTIFS($AH$2:AH1736,AH1736,$AJ$2:AJ1736,1)=1),N(AL1735)+1,"")</f>
        <v/>
      </c>
      <c r="AL1736" s="54">
        <f>IF(AK1736&lt;&gt;"",AK1736,N(AL1735))</f>
        <v/>
      </c>
    </row>
    <row r="1737">
      <c r="A1737" t="inlineStr">
        <is>
          <t>PRD-0579</t>
        </is>
      </c>
      <c r="B1737" t="inlineStr">
        <is>
          <t>Production</t>
        </is>
      </c>
      <c r="AB1737" t="n">
        <v>579</v>
      </c>
      <c r="AD1737" s="52">
        <f>IFERROR(N(IFERROR(INDEX($A1737:$AB1737,MATCH("Xero Invoiced Ex GST",$A$1:$AB$1,0)),"")),0)</f>
        <v/>
      </c>
      <c r="AE1737" s="53">
        <f>IFERROR(INDEX($A1737:$AB1737,MATCH("Xero Invoice Date",$A$1:$AB$1,0)),"")</f>
        <v/>
      </c>
      <c r="AF1737" s="54">
        <f>IF(AND(IFERROR(INDEX($A1737:$AB1737,MATCH("Xero Invoice No",$A$1:$AB$1,0)),"")&amp;""&lt;&gt;"",ISNUMBER(AE1737),AD1737&lt;&gt;0),1,0)</f>
        <v/>
      </c>
      <c r="AG1737" s="55">
        <f>IF(AF1737=1,EOMONTH(AE1737,0),"")</f>
        <v/>
      </c>
      <c r="AH1737" s="9">
        <f>IF(AF1737=1,UPPER(TRIM(IFERROR(INDEX($A1737:$AB1737,MATCH("Client",$A$1:$AB$1,0)),"")&amp;"")),"")</f>
        <v/>
      </c>
      <c r="AI1737" s="9">
        <f>IF(AF1737=1,IFERROR(INDEX($A1737:$AB1737,MATCH("Cost Centre",$A$1:$AB$1,0)),"")&amp;"","")</f>
        <v/>
      </c>
      <c r="AJ1737" s="54">
        <f>IF(AND(AF1737=1,AE1737&gt;=set_FYStart,AE1737&lt;=set_AsAt),1,0)</f>
        <v/>
      </c>
      <c r="AK1737" s="54">
        <f>IF(AND(AJ1737=1,AH1737&lt;&gt;"",COUNTIFS($AH$2:AH1737,AH1737,$AJ$2:AJ1737,1)=1),N(AL1736)+1,"")</f>
        <v/>
      </c>
      <c r="AL1737" s="54">
        <f>IF(AK1737&lt;&gt;"",AK1737,N(AL1736))</f>
        <v/>
      </c>
    </row>
    <row r="1738">
      <c r="A1738" t="inlineStr">
        <is>
          <t>CON-0579</t>
        </is>
      </c>
      <c r="B1738" t="inlineStr">
        <is>
          <t>Consulting</t>
        </is>
      </c>
      <c r="AB1738" t="n">
        <v>579</v>
      </c>
      <c r="AD1738" s="52">
        <f>IFERROR(N(IFERROR(INDEX($A1738:$AB1738,MATCH("Xero Invoiced Ex GST",$A$1:$AB$1,0)),"")),0)</f>
        <v/>
      </c>
      <c r="AE1738" s="53">
        <f>IFERROR(INDEX($A1738:$AB1738,MATCH("Xero Invoice Date",$A$1:$AB$1,0)),"")</f>
        <v/>
      </c>
      <c r="AF1738" s="54">
        <f>IF(AND(IFERROR(INDEX($A1738:$AB1738,MATCH("Xero Invoice No",$A$1:$AB$1,0)),"")&amp;""&lt;&gt;"",ISNUMBER(AE1738),AD1738&lt;&gt;0),1,0)</f>
        <v/>
      </c>
      <c r="AG1738" s="55">
        <f>IF(AF1738=1,EOMONTH(AE1738,0),"")</f>
        <v/>
      </c>
      <c r="AH1738" s="9">
        <f>IF(AF1738=1,UPPER(TRIM(IFERROR(INDEX($A1738:$AB1738,MATCH("Client",$A$1:$AB$1,0)),"")&amp;"")),"")</f>
        <v/>
      </c>
      <c r="AI1738" s="9">
        <f>IF(AF1738=1,IFERROR(INDEX($A1738:$AB1738,MATCH("Cost Centre",$A$1:$AB$1,0)),"")&amp;"","")</f>
        <v/>
      </c>
      <c r="AJ1738" s="54">
        <f>IF(AND(AF1738=1,AE1738&gt;=set_FYStart,AE1738&lt;=set_AsAt),1,0)</f>
        <v/>
      </c>
      <c r="AK1738" s="54">
        <f>IF(AND(AJ1738=1,AH1738&lt;&gt;"",COUNTIFS($AH$2:AH1738,AH1738,$AJ$2:AJ1738,1)=1),N(AL1737)+1,"")</f>
        <v/>
      </c>
      <c r="AL1738" s="54">
        <f>IF(AK1738&lt;&gt;"",AK1738,N(AL1737))</f>
        <v/>
      </c>
    </row>
    <row r="1739">
      <c r="A1739" t="inlineStr">
        <is>
          <t>ONS-0580</t>
        </is>
      </c>
      <c r="B1739" t="inlineStr">
        <is>
          <t>Onsite</t>
        </is>
      </c>
      <c r="AB1739" t="n">
        <v>580</v>
      </c>
      <c r="AD1739" s="52">
        <f>IFERROR(N(IFERROR(INDEX($A1739:$AB1739,MATCH("Xero Invoiced Ex GST",$A$1:$AB$1,0)),"")),0)</f>
        <v/>
      </c>
      <c r="AE1739" s="53">
        <f>IFERROR(INDEX($A1739:$AB1739,MATCH("Xero Invoice Date",$A$1:$AB$1,0)),"")</f>
        <v/>
      </c>
      <c r="AF1739" s="54">
        <f>IF(AND(IFERROR(INDEX($A1739:$AB1739,MATCH("Xero Invoice No",$A$1:$AB$1,0)),"")&amp;""&lt;&gt;"",ISNUMBER(AE1739),AD1739&lt;&gt;0),1,0)</f>
        <v/>
      </c>
      <c r="AG1739" s="55">
        <f>IF(AF1739=1,EOMONTH(AE1739,0),"")</f>
        <v/>
      </c>
      <c r="AH1739" s="9">
        <f>IF(AF1739=1,UPPER(TRIM(IFERROR(INDEX($A1739:$AB1739,MATCH("Client",$A$1:$AB$1,0)),"")&amp;"")),"")</f>
        <v/>
      </c>
      <c r="AI1739" s="9">
        <f>IF(AF1739=1,IFERROR(INDEX($A1739:$AB1739,MATCH("Cost Centre",$A$1:$AB$1,0)),"")&amp;"","")</f>
        <v/>
      </c>
      <c r="AJ1739" s="54">
        <f>IF(AND(AF1739=1,AE1739&gt;=set_FYStart,AE1739&lt;=set_AsAt),1,0)</f>
        <v/>
      </c>
      <c r="AK1739" s="54">
        <f>IF(AND(AJ1739=1,AH1739&lt;&gt;"",COUNTIFS($AH$2:AH1739,AH1739,$AJ$2:AJ1739,1)=1),N(AL1738)+1,"")</f>
        <v/>
      </c>
      <c r="AL1739" s="54">
        <f>IF(AK1739&lt;&gt;"",AK1739,N(AL1738))</f>
        <v/>
      </c>
    </row>
    <row r="1740">
      <c r="A1740" t="inlineStr">
        <is>
          <t>PRD-0580</t>
        </is>
      </c>
      <c r="B1740" t="inlineStr">
        <is>
          <t>Production</t>
        </is>
      </c>
      <c r="AB1740" t="n">
        <v>580</v>
      </c>
      <c r="AD1740" s="52">
        <f>IFERROR(N(IFERROR(INDEX($A1740:$AB1740,MATCH("Xero Invoiced Ex GST",$A$1:$AB$1,0)),"")),0)</f>
        <v/>
      </c>
      <c r="AE1740" s="53">
        <f>IFERROR(INDEX($A1740:$AB1740,MATCH("Xero Invoice Date",$A$1:$AB$1,0)),"")</f>
        <v/>
      </c>
      <c r="AF1740" s="54">
        <f>IF(AND(IFERROR(INDEX($A1740:$AB1740,MATCH("Xero Invoice No",$A$1:$AB$1,0)),"")&amp;""&lt;&gt;"",ISNUMBER(AE1740),AD1740&lt;&gt;0),1,0)</f>
        <v/>
      </c>
      <c r="AG1740" s="55">
        <f>IF(AF1740=1,EOMONTH(AE1740,0),"")</f>
        <v/>
      </c>
      <c r="AH1740" s="9">
        <f>IF(AF1740=1,UPPER(TRIM(IFERROR(INDEX($A1740:$AB1740,MATCH("Client",$A$1:$AB$1,0)),"")&amp;"")),"")</f>
        <v/>
      </c>
      <c r="AI1740" s="9">
        <f>IF(AF1740=1,IFERROR(INDEX($A1740:$AB1740,MATCH("Cost Centre",$A$1:$AB$1,0)),"")&amp;"","")</f>
        <v/>
      </c>
      <c r="AJ1740" s="54">
        <f>IF(AND(AF1740=1,AE1740&gt;=set_FYStart,AE1740&lt;=set_AsAt),1,0)</f>
        <v/>
      </c>
      <c r="AK1740" s="54">
        <f>IF(AND(AJ1740=1,AH1740&lt;&gt;"",COUNTIFS($AH$2:AH1740,AH1740,$AJ$2:AJ1740,1)=1),N(AL1739)+1,"")</f>
        <v/>
      </c>
      <c r="AL1740" s="54">
        <f>IF(AK1740&lt;&gt;"",AK1740,N(AL1739))</f>
        <v/>
      </c>
    </row>
    <row r="1741">
      <c r="A1741" t="inlineStr">
        <is>
          <t>CON-0580</t>
        </is>
      </c>
      <c r="B1741" t="inlineStr">
        <is>
          <t>Consulting</t>
        </is>
      </c>
      <c r="AB1741" t="n">
        <v>580</v>
      </c>
      <c r="AD1741" s="52">
        <f>IFERROR(N(IFERROR(INDEX($A1741:$AB1741,MATCH("Xero Invoiced Ex GST",$A$1:$AB$1,0)),"")),0)</f>
        <v/>
      </c>
      <c r="AE1741" s="53">
        <f>IFERROR(INDEX($A1741:$AB1741,MATCH("Xero Invoice Date",$A$1:$AB$1,0)),"")</f>
        <v/>
      </c>
      <c r="AF1741" s="54">
        <f>IF(AND(IFERROR(INDEX($A1741:$AB1741,MATCH("Xero Invoice No",$A$1:$AB$1,0)),"")&amp;""&lt;&gt;"",ISNUMBER(AE1741),AD1741&lt;&gt;0),1,0)</f>
        <v/>
      </c>
      <c r="AG1741" s="55">
        <f>IF(AF1741=1,EOMONTH(AE1741,0),"")</f>
        <v/>
      </c>
      <c r="AH1741" s="9">
        <f>IF(AF1741=1,UPPER(TRIM(IFERROR(INDEX($A1741:$AB1741,MATCH("Client",$A$1:$AB$1,0)),"")&amp;"")),"")</f>
        <v/>
      </c>
      <c r="AI1741" s="9">
        <f>IF(AF1741=1,IFERROR(INDEX($A1741:$AB1741,MATCH("Cost Centre",$A$1:$AB$1,0)),"")&amp;"","")</f>
        <v/>
      </c>
      <c r="AJ1741" s="54">
        <f>IF(AND(AF1741=1,AE1741&gt;=set_FYStart,AE1741&lt;=set_AsAt),1,0)</f>
        <v/>
      </c>
      <c r="AK1741" s="54">
        <f>IF(AND(AJ1741=1,AH1741&lt;&gt;"",COUNTIFS($AH$2:AH1741,AH1741,$AJ$2:AJ1741,1)=1),N(AL1740)+1,"")</f>
        <v/>
      </c>
      <c r="AL1741" s="54">
        <f>IF(AK1741&lt;&gt;"",AK1741,N(AL1740))</f>
        <v/>
      </c>
    </row>
    <row r="1742">
      <c r="A1742" t="inlineStr">
        <is>
          <t>ONS-0581</t>
        </is>
      </c>
      <c r="B1742" t="inlineStr">
        <is>
          <t>Onsite</t>
        </is>
      </c>
      <c r="AB1742" t="n">
        <v>581</v>
      </c>
      <c r="AD1742" s="52">
        <f>IFERROR(N(IFERROR(INDEX($A1742:$AB1742,MATCH("Xero Invoiced Ex GST",$A$1:$AB$1,0)),"")),0)</f>
        <v/>
      </c>
      <c r="AE1742" s="53">
        <f>IFERROR(INDEX($A1742:$AB1742,MATCH("Xero Invoice Date",$A$1:$AB$1,0)),"")</f>
        <v/>
      </c>
      <c r="AF1742" s="54">
        <f>IF(AND(IFERROR(INDEX($A1742:$AB1742,MATCH("Xero Invoice No",$A$1:$AB$1,0)),"")&amp;""&lt;&gt;"",ISNUMBER(AE1742),AD1742&lt;&gt;0),1,0)</f>
        <v/>
      </c>
      <c r="AG1742" s="55">
        <f>IF(AF1742=1,EOMONTH(AE1742,0),"")</f>
        <v/>
      </c>
      <c r="AH1742" s="9">
        <f>IF(AF1742=1,UPPER(TRIM(IFERROR(INDEX($A1742:$AB1742,MATCH("Client",$A$1:$AB$1,0)),"")&amp;"")),"")</f>
        <v/>
      </c>
      <c r="AI1742" s="9">
        <f>IF(AF1742=1,IFERROR(INDEX($A1742:$AB1742,MATCH("Cost Centre",$A$1:$AB$1,0)),"")&amp;"","")</f>
        <v/>
      </c>
      <c r="AJ1742" s="54">
        <f>IF(AND(AF1742=1,AE1742&gt;=set_FYStart,AE1742&lt;=set_AsAt),1,0)</f>
        <v/>
      </c>
      <c r="AK1742" s="54">
        <f>IF(AND(AJ1742=1,AH1742&lt;&gt;"",COUNTIFS($AH$2:AH1742,AH1742,$AJ$2:AJ1742,1)=1),N(AL1741)+1,"")</f>
        <v/>
      </c>
      <c r="AL1742" s="54">
        <f>IF(AK1742&lt;&gt;"",AK1742,N(AL1741))</f>
        <v/>
      </c>
    </row>
    <row r="1743">
      <c r="A1743" t="inlineStr">
        <is>
          <t>PRD-0581</t>
        </is>
      </c>
      <c r="B1743" t="inlineStr">
        <is>
          <t>Production</t>
        </is>
      </c>
      <c r="AB1743" t="n">
        <v>581</v>
      </c>
      <c r="AD1743" s="52">
        <f>IFERROR(N(IFERROR(INDEX($A1743:$AB1743,MATCH("Xero Invoiced Ex GST",$A$1:$AB$1,0)),"")),0)</f>
        <v/>
      </c>
      <c r="AE1743" s="53">
        <f>IFERROR(INDEX($A1743:$AB1743,MATCH("Xero Invoice Date",$A$1:$AB$1,0)),"")</f>
        <v/>
      </c>
      <c r="AF1743" s="54">
        <f>IF(AND(IFERROR(INDEX($A1743:$AB1743,MATCH("Xero Invoice No",$A$1:$AB$1,0)),"")&amp;""&lt;&gt;"",ISNUMBER(AE1743),AD1743&lt;&gt;0),1,0)</f>
        <v/>
      </c>
      <c r="AG1743" s="55">
        <f>IF(AF1743=1,EOMONTH(AE1743,0),"")</f>
        <v/>
      </c>
      <c r="AH1743" s="9">
        <f>IF(AF1743=1,UPPER(TRIM(IFERROR(INDEX($A1743:$AB1743,MATCH("Client",$A$1:$AB$1,0)),"")&amp;"")),"")</f>
        <v/>
      </c>
      <c r="AI1743" s="9">
        <f>IF(AF1743=1,IFERROR(INDEX($A1743:$AB1743,MATCH("Cost Centre",$A$1:$AB$1,0)),"")&amp;"","")</f>
        <v/>
      </c>
      <c r="AJ1743" s="54">
        <f>IF(AND(AF1743=1,AE1743&gt;=set_FYStart,AE1743&lt;=set_AsAt),1,0)</f>
        <v/>
      </c>
      <c r="AK1743" s="54">
        <f>IF(AND(AJ1743=1,AH1743&lt;&gt;"",COUNTIFS($AH$2:AH1743,AH1743,$AJ$2:AJ1743,1)=1),N(AL1742)+1,"")</f>
        <v/>
      </c>
      <c r="AL1743" s="54">
        <f>IF(AK1743&lt;&gt;"",AK1743,N(AL1742))</f>
        <v/>
      </c>
    </row>
    <row r="1744">
      <c r="A1744" t="inlineStr">
        <is>
          <t>CON-0581</t>
        </is>
      </c>
      <c r="B1744" t="inlineStr">
        <is>
          <t>Consulting</t>
        </is>
      </c>
      <c r="AB1744" t="n">
        <v>581</v>
      </c>
      <c r="AD1744" s="52">
        <f>IFERROR(N(IFERROR(INDEX($A1744:$AB1744,MATCH("Xero Invoiced Ex GST",$A$1:$AB$1,0)),"")),0)</f>
        <v/>
      </c>
      <c r="AE1744" s="53">
        <f>IFERROR(INDEX($A1744:$AB1744,MATCH("Xero Invoice Date",$A$1:$AB$1,0)),"")</f>
        <v/>
      </c>
      <c r="AF1744" s="54">
        <f>IF(AND(IFERROR(INDEX($A1744:$AB1744,MATCH("Xero Invoice No",$A$1:$AB$1,0)),"")&amp;""&lt;&gt;"",ISNUMBER(AE1744),AD1744&lt;&gt;0),1,0)</f>
        <v/>
      </c>
      <c r="AG1744" s="55">
        <f>IF(AF1744=1,EOMONTH(AE1744,0),"")</f>
        <v/>
      </c>
      <c r="AH1744" s="9">
        <f>IF(AF1744=1,UPPER(TRIM(IFERROR(INDEX($A1744:$AB1744,MATCH("Client",$A$1:$AB$1,0)),"")&amp;"")),"")</f>
        <v/>
      </c>
      <c r="AI1744" s="9">
        <f>IF(AF1744=1,IFERROR(INDEX($A1744:$AB1744,MATCH("Cost Centre",$A$1:$AB$1,0)),"")&amp;"","")</f>
        <v/>
      </c>
      <c r="AJ1744" s="54">
        <f>IF(AND(AF1744=1,AE1744&gt;=set_FYStart,AE1744&lt;=set_AsAt),1,0)</f>
        <v/>
      </c>
      <c r="AK1744" s="54">
        <f>IF(AND(AJ1744=1,AH1744&lt;&gt;"",COUNTIFS($AH$2:AH1744,AH1744,$AJ$2:AJ1744,1)=1),N(AL1743)+1,"")</f>
        <v/>
      </c>
      <c r="AL1744" s="54">
        <f>IF(AK1744&lt;&gt;"",AK1744,N(AL1743))</f>
        <v/>
      </c>
    </row>
    <row r="1745">
      <c r="A1745" t="inlineStr">
        <is>
          <t>ONS-0582</t>
        </is>
      </c>
      <c r="B1745" t="inlineStr">
        <is>
          <t>Onsite</t>
        </is>
      </c>
      <c r="AB1745" t="n">
        <v>582</v>
      </c>
      <c r="AD1745" s="52">
        <f>IFERROR(N(IFERROR(INDEX($A1745:$AB1745,MATCH("Xero Invoiced Ex GST",$A$1:$AB$1,0)),"")),0)</f>
        <v/>
      </c>
      <c r="AE1745" s="53">
        <f>IFERROR(INDEX($A1745:$AB1745,MATCH("Xero Invoice Date",$A$1:$AB$1,0)),"")</f>
        <v/>
      </c>
      <c r="AF1745" s="54">
        <f>IF(AND(IFERROR(INDEX($A1745:$AB1745,MATCH("Xero Invoice No",$A$1:$AB$1,0)),"")&amp;""&lt;&gt;"",ISNUMBER(AE1745),AD1745&lt;&gt;0),1,0)</f>
        <v/>
      </c>
      <c r="AG1745" s="55">
        <f>IF(AF1745=1,EOMONTH(AE1745,0),"")</f>
        <v/>
      </c>
      <c r="AH1745" s="9">
        <f>IF(AF1745=1,UPPER(TRIM(IFERROR(INDEX($A1745:$AB1745,MATCH("Client",$A$1:$AB$1,0)),"")&amp;"")),"")</f>
        <v/>
      </c>
      <c r="AI1745" s="9">
        <f>IF(AF1745=1,IFERROR(INDEX($A1745:$AB1745,MATCH("Cost Centre",$A$1:$AB$1,0)),"")&amp;"","")</f>
        <v/>
      </c>
      <c r="AJ1745" s="54">
        <f>IF(AND(AF1745=1,AE1745&gt;=set_FYStart,AE1745&lt;=set_AsAt),1,0)</f>
        <v/>
      </c>
      <c r="AK1745" s="54">
        <f>IF(AND(AJ1745=1,AH1745&lt;&gt;"",COUNTIFS($AH$2:AH1745,AH1745,$AJ$2:AJ1745,1)=1),N(AL1744)+1,"")</f>
        <v/>
      </c>
      <c r="AL1745" s="54">
        <f>IF(AK1745&lt;&gt;"",AK1745,N(AL1744))</f>
        <v/>
      </c>
    </row>
    <row r="1746">
      <c r="A1746" t="inlineStr">
        <is>
          <t>PRD-0582</t>
        </is>
      </c>
      <c r="B1746" t="inlineStr">
        <is>
          <t>Production</t>
        </is>
      </c>
      <c r="AB1746" t="n">
        <v>582</v>
      </c>
      <c r="AD1746" s="52">
        <f>IFERROR(N(IFERROR(INDEX($A1746:$AB1746,MATCH("Xero Invoiced Ex GST",$A$1:$AB$1,0)),"")),0)</f>
        <v/>
      </c>
      <c r="AE1746" s="53">
        <f>IFERROR(INDEX($A1746:$AB1746,MATCH("Xero Invoice Date",$A$1:$AB$1,0)),"")</f>
        <v/>
      </c>
      <c r="AF1746" s="54">
        <f>IF(AND(IFERROR(INDEX($A1746:$AB1746,MATCH("Xero Invoice No",$A$1:$AB$1,0)),"")&amp;""&lt;&gt;"",ISNUMBER(AE1746),AD1746&lt;&gt;0),1,0)</f>
        <v/>
      </c>
      <c r="AG1746" s="55">
        <f>IF(AF1746=1,EOMONTH(AE1746,0),"")</f>
        <v/>
      </c>
      <c r="AH1746" s="9">
        <f>IF(AF1746=1,UPPER(TRIM(IFERROR(INDEX($A1746:$AB1746,MATCH("Client",$A$1:$AB$1,0)),"")&amp;"")),"")</f>
        <v/>
      </c>
      <c r="AI1746" s="9">
        <f>IF(AF1746=1,IFERROR(INDEX($A1746:$AB1746,MATCH("Cost Centre",$A$1:$AB$1,0)),"")&amp;"","")</f>
        <v/>
      </c>
      <c r="AJ1746" s="54">
        <f>IF(AND(AF1746=1,AE1746&gt;=set_FYStart,AE1746&lt;=set_AsAt),1,0)</f>
        <v/>
      </c>
      <c r="AK1746" s="54">
        <f>IF(AND(AJ1746=1,AH1746&lt;&gt;"",COUNTIFS($AH$2:AH1746,AH1746,$AJ$2:AJ1746,1)=1),N(AL1745)+1,"")</f>
        <v/>
      </c>
      <c r="AL1746" s="54">
        <f>IF(AK1746&lt;&gt;"",AK1746,N(AL1745))</f>
        <v/>
      </c>
    </row>
    <row r="1747">
      <c r="A1747" t="inlineStr">
        <is>
          <t>CON-0582</t>
        </is>
      </c>
      <c r="B1747" t="inlineStr">
        <is>
          <t>Consulting</t>
        </is>
      </c>
      <c r="AB1747" t="n">
        <v>582</v>
      </c>
      <c r="AD1747" s="52">
        <f>IFERROR(N(IFERROR(INDEX($A1747:$AB1747,MATCH("Xero Invoiced Ex GST",$A$1:$AB$1,0)),"")),0)</f>
        <v/>
      </c>
      <c r="AE1747" s="53">
        <f>IFERROR(INDEX($A1747:$AB1747,MATCH("Xero Invoice Date",$A$1:$AB$1,0)),"")</f>
        <v/>
      </c>
      <c r="AF1747" s="54">
        <f>IF(AND(IFERROR(INDEX($A1747:$AB1747,MATCH("Xero Invoice No",$A$1:$AB$1,0)),"")&amp;""&lt;&gt;"",ISNUMBER(AE1747),AD1747&lt;&gt;0),1,0)</f>
        <v/>
      </c>
      <c r="AG1747" s="55">
        <f>IF(AF1747=1,EOMONTH(AE1747,0),"")</f>
        <v/>
      </c>
      <c r="AH1747" s="9">
        <f>IF(AF1747=1,UPPER(TRIM(IFERROR(INDEX($A1747:$AB1747,MATCH("Client",$A$1:$AB$1,0)),"")&amp;"")),"")</f>
        <v/>
      </c>
      <c r="AI1747" s="9">
        <f>IF(AF1747=1,IFERROR(INDEX($A1747:$AB1747,MATCH("Cost Centre",$A$1:$AB$1,0)),"")&amp;"","")</f>
        <v/>
      </c>
      <c r="AJ1747" s="54">
        <f>IF(AND(AF1747=1,AE1747&gt;=set_FYStart,AE1747&lt;=set_AsAt),1,0)</f>
        <v/>
      </c>
      <c r="AK1747" s="54">
        <f>IF(AND(AJ1747=1,AH1747&lt;&gt;"",COUNTIFS($AH$2:AH1747,AH1747,$AJ$2:AJ1747,1)=1),N(AL1746)+1,"")</f>
        <v/>
      </c>
      <c r="AL1747" s="54">
        <f>IF(AK1747&lt;&gt;"",AK1747,N(AL1746))</f>
        <v/>
      </c>
    </row>
    <row r="1748">
      <c r="A1748" t="inlineStr">
        <is>
          <t>ONS-0583</t>
        </is>
      </c>
      <c r="B1748" t="inlineStr">
        <is>
          <t>Onsite</t>
        </is>
      </c>
      <c r="AB1748" t="n">
        <v>583</v>
      </c>
      <c r="AD1748" s="52">
        <f>IFERROR(N(IFERROR(INDEX($A1748:$AB1748,MATCH("Xero Invoiced Ex GST",$A$1:$AB$1,0)),"")),0)</f>
        <v/>
      </c>
      <c r="AE1748" s="53">
        <f>IFERROR(INDEX($A1748:$AB1748,MATCH("Xero Invoice Date",$A$1:$AB$1,0)),"")</f>
        <v/>
      </c>
      <c r="AF1748" s="54">
        <f>IF(AND(IFERROR(INDEX($A1748:$AB1748,MATCH("Xero Invoice No",$A$1:$AB$1,0)),"")&amp;""&lt;&gt;"",ISNUMBER(AE1748),AD1748&lt;&gt;0),1,0)</f>
        <v/>
      </c>
      <c r="AG1748" s="55">
        <f>IF(AF1748=1,EOMONTH(AE1748,0),"")</f>
        <v/>
      </c>
      <c r="AH1748" s="9">
        <f>IF(AF1748=1,UPPER(TRIM(IFERROR(INDEX($A1748:$AB1748,MATCH("Client",$A$1:$AB$1,0)),"")&amp;"")),"")</f>
        <v/>
      </c>
      <c r="AI1748" s="9">
        <f>IF(AF1748=1,IFERROR(INDEX($A1748:$AB1748,MATCH("Cost Centre",$A$1:$AB$1,0)),"")&amp;"","")</f>
        <v/>
      </c>
      <c r="AJ1748" s="54">
        <f>IF(AND(AF1748=1,AE1748&gt;=set_FYStart,AE1748&lt;=set_AsAt),1,0)</f>
        <v/>
      </c>
      <c r="AK1748" s="54">
        <f>IF(AND(AJ1748=1,AH1748&lt;&gt;"",COUNTIFS($AH$2:AH1748,AH1748,$AJ$2:AJ1748,1)=1),N(AL1747)+1,"")</f>
        <v/>
      </c>
      <c r="AL1748" s="54">
        <f>IF(AK1748&lt;&gt;"",AK1748,N(AL1747))</f>
        <v/>
      </c>
    </row>
    <row r="1749">
      <c r="A1749" t="inlineStr">
        <is>
          <t>PRD-0583</t>
        </is>
      </c>
      <c r="B1749" t="inlineStr">
        <is>
          <t>Production</t>
        </is>
      </c>
      <c r="AB1749" t="n">
        <v>583</v>
      </c>
      <c r="AD1749" s="52">
        <f>IFERROR(N(IFERROR(INDEX($A1749:$AB1749,MATCH("Xero Invoiced Ex GST",$A$1:$AB$1,0)),"")),0)</f>
        <v/>
      </c>
      <c r="AE1749" s="53">
        <f>IFERROR(INDEX($A1749:$AB1749,MATCH("Xero Invoice Date",$A$1:$AB$1,0)),"")</f>
        <v/>
      </c>
      <c r="AF1749" s="54">
        <f>IF(AND(IFERROR(INDEX($A1749:$AB1749,MATCH("Xero Invoice No",$A$1:$AB$1,0)),"")&amp;""&lt;&gt;"",ISNUMBER(AE1749),AD1749&lt;&gt;0),1,0)</f>
        <v/>
      </c>
      <c r="AG1749" s="55">
        <f>IF(AF1749=1,EOMONTH(AE1749,0),"")</f>
        <v/>
      </c>
      <c r="AH1749" s="9">
        <f>IF(AF1749=1,UPPER(TRIM(IFERROR(INDEX($A1749:$AB1749,MATCH("Client",$A$1:$AB$1,0)),"")&amp;"")),"")</f>
        <v/>
      </c>
      <c r="AI1749" s="9">
        <f>IF(AF1749=1,IFERROR(INDEX($A1749:$AB1749,MATCH("Cost Centre",$A$1:$AB$1,0)),"")&amp;"","")</f>
        <v/>
      </c>
      <c r="AJ1749" s="54">
        <f>IF(AND(AF1749=1,AE1749&gt;=set_FYStart,AE1749&lt;=set_AsAt),1,0)</f>
        <v/>
      </c>
      <c r="AK1749" s="54">
        <f>IF(AND(AJ1749=1,AH1749&lt;&gt;"",COUNTIFS($AH$2:AH1749,AH1749,$AJ$2:AJ1749,1)=1),N(AL1748)+1,"")</f>
        <v/>
      </c>
      <c r="AL1749" s="54">
        <f>IF(AK1749&lt;&gt;"",AK1749,N(AL1748))</f>
        <v/>
      </c>
    </row>
    <row r="1750">
      <c r="A1750" t="inlineStr">
        <is>
          <t>CON-0583</t>
        </is>
      </c>
      <c r="B1750" t="inlineStr">
        <is>
          <t>Consulting</t>
        </is>
      </c>
      <c r="AB1750" t="n">
        <v>583</v>
      </c>
      <c r="AD1750" s="52">
        <f>IFERROR(N(IFERROR(INDEX($A1750:$AB1750,MATCH("Xero Invoiced Ex GST",$A$1:$AB$1,0)),"")),0)</f>
        <v/>
      </c>
      <c r="AE1750" s="53">
        <f>IFERROR(INDEX($A1750:$AB1750,MATCH("Xero Invoice Date",$A$1:$AB$1,0)),"")</f>
        <v/>
      </c>
      <c r="AF1750" s="54">
        <f>IF(AND(IFERROR(INDEX($A1750:$AB1750,MATCH("Xero Invoice No",$A$1:$AB$1,0)),"")&amp;""&lt;&gt;"",ISNUMBER(AE1750),AD1750&lt;&gt;0),1,0)</f>
        <v/>
      </c>
      <c r="AG1750" s="55">
        <f>IF(AF1750=1,EOMONTH(AE1750,0),"")</f>
        <v/>
      </c>
      <c r="AH1750" s="9">
        <f>IF(AF1750=1,UPPER(TRIM(IFERROR(INDEX($A1750:$AB1750,MATCH("Client",$A$1:$AB$1,0)),"")&amp;"")),"")</f>
        <v/>
      </c>
      <c r="AI1750" s="9">
        <f>IF(AF1750=1,IFERROR(INDEX($A1750:$AB1750,MATCH("Cost Centre",$A$1:$AB$1,0)),"")&amp;"","")</f>
        <v/>
      </c>
      <c r="AJ1750" s="54">
        <f>IF(AND(AF1750=1,AE1750&gt;=set_FYStart,AE1750&lt;=set_AsAt),1,0)</f>
        <v/>
      </c>
      <c r="AK1750" s="54">
        <f>IF(AND(AJ1750=1,AH1750&lt;&gt;"",COUNTIFS($AH$2:AH1750,AH1750,$AJ$2:AJ1750,1)=1),N(AL1749)+1,"")</f>
        <v/>
      </c>
      <c r="AL1750" s="54">
        <f>IF(AK1750&lt;&gt;"",AK1750,N(AL1749))</f>
        <v/>
      </c>
    </row>
    <row r="1751">
      <c r="A1751" t="inlineStr">
        <is>
          <t>ONS-0584</t>
        </is>
      </c>
      <c r="B1751" t="inlineStr">
        <is>
          <t>Onsite</t>
        </is>
      </c>
      <c r="AB1751" t="n">
        <v>584</v>
      </c>
      <c r="AD1751" s="52">
        <f>IFERROR(N(IFERROR(INDEX($A1751:$AB1751,MATCH("Xero Invoiced Ex GST",$A$1:$AB$1,0)),"")),0)</f>
        <v/>
      </c>
      <c r="AE1751" s="53">
        <f>IFERROR(INDEX($A1751:$AB1751,MATCH("Xero Invoice Date",$A$1:$AB$1,0)),"")</f>
        <v/>
      </c>
      <c r="AF1751" s="54">
        <f>IF(AND(IFERROR(INDEX($A1751:$AB1751,MATCH("Xero Invoice No",$A$1:$AB$1,0)),"")&amp;""&lt;&gt;"",ISNUMBER(AE1751),AD1751&lt;&gt;0),1,0)</f>
        <v/>
      </c>
      <c r="AG1751" s="55">
        <f>IF(AF1751=1,EOMONTH(AE1751,0),"")</f>
        <v/>
      </c>
      <c r="AH1751" s="9">
        <f>IF(AF1751=1,UPPER(TRIM(IFERROR(INDEX($A1751:$AB1751,MATCH("Client",$A$1:$AB$1,0)),"")&amp;"")),"")</f>
        <v/>
      </c>
      <c r="AI1751" s="9">
        <f>IF(AF1751=1,IFERROR(INDEX($A1751:$AB1751,MATCH("Cost Centre",$A$1:$AB$1,0)),"")&amp;"","")</f>
        <v/>
      </c>
      <c r="AJ1751" s="54">
        <f>IF(AND(AF1751=1,AE1751&gt;=set_FYStart,AE1751&lt;=set_AsAt),1,0)</f>
        <v/>
      </c>
      <c r="AK1751" s="54">
        <f>IF(AND(AJ1751=1,AH1751&lt;&gt;"",COUNTIFS($AH$2:AH1751,AH1751,$AJ$2:AJ1751,1)=1),N(AL1750)+1,"")</f>
        <v/>
      </c>
      <c r="AL1751" s="54">
        <f>IF(AK1751&lt;&gt;"",AK1751,N(AL1750))</f>
        <v/>
      </c>
    </row>
    <row r="1752">
      <c r="A1752" t="inlineStr">
        <is>
          <t>PRD-0584</t>
        </is>
      </c>
      <c r="B1752" t="inlineStr">
        <is>
          <t>Production</t>
        </is>
      </c>
      <c r="AB1752" t="n">
        <v>584</v>
      </c>
      <c r="AD1752" s="52">
        <f>IFERROR(N(IFERROR(INDEX($A1752:$AB1752,MATCH("Xero Invoiced Ex GST",$A$1:$AB$1,0)),"")),0)</f>
        <v/>
      </c>
      <c r="AE1752" s="53">
        <f>IFERROR(INDEX($A1752:$AB1752,MATCH("Xero Invoice Date",$A$1:$AB$1,0)),"")</f>
        <v/>
      </c>
      <c r="AF1752" s="54">
        <f>IF(AND(IFERROR(INDEX($A1752:$AB1752,MATCH("Xero Invoice No",$A$1:$AB$1,0)),"")&amp;""&lt;&gt;"",ISNUMBER(AE1752),AD1752&lt;&gt;0),1,0)</f>
        <v/>
      </c>
      <c r="AG1752" s="55">
        <f>IF(AF1752=1,EOMONTH(AE1752,0),"")</f>
        <v/>
      </c>
      <c r="AH1752" s="9">
        <f>IF(AF1752=1,UPPER(TRIM(IFERROR(INDEX($A1752:$AB1752,MATCH("Client",$A$1:$AB$1,0)),"")&amp;"")),"")</f>
        <v/>
      </c>
      <c r="AI1752" s="9">
        <f>IF(AF1752=1,IFERROR(INDEX($A1752:$AB1752,MATCH("Cost Centre",$A$1:$AB$1,0)),"")&amp;"","")</f>
        <v/>
      </c>
      <c r="AJ1752" s="54">
        <f>IF(AND(AF1752=1,AE1752&gt;=set_FYStart,AE1752&lt;=set_AsAt),1,0)</f>
        <v/>
      </c>
      <c r="AK1752" s="54">
        <f>IF(AND(AJ1752=1,AH1752&lt;&gt;"",COUNTIFS($AH$2:AH1752,AH1752,$AJ$2:AJ1752,1)=1),N(AL1751)+1,"")</f>
        <v/>
      </c>
      <c r="AL1752" s="54">
        <f>IF(AK1752&lt;&gt;"",AK1752,N(AL1751))</f>
        <v/>
      </c>
    </row>
    <row r="1753">
      <c r="A1753" t="inlineStr">
        <is>
          <t>CON-0584</t>
        </is>
      </c>
      <c r="B1753" t="inlineStr">
        <is>
          <t>Consulting</t>
        </is>
      </c>
      <c r="AB1753" t="n">
        <v>584</v>
      </c>
      <c r="AD1753" s="52">
        <f>IFERROR(N(IFERROR(INDEX($A1753:$AB1753,MATCH("Xero Invoiced Ex GST",$A$1:$AB$1,0)),"")),0)</f>
        <v/>
      </c>
      <c r="AE1753" s="53">
        <f>IFERROR(INDEX($A1753:$AB1753,MATCH("Xero Invoice Date",$A$1:$AB$1,0)),"")</f>
        <v/>
      </c>
      <c r="AF1753" s="54">
        <f>IF(AND(IFERROR(INDEX($A1753:$AB1753,MATCH("Xero Invoice No",$A$1:$AB$1,0)),"")&amp;""&lt;&gt;"",ISNUMBER(AE1753),AD1753&lt;&gt;0),1,0)</f>
        <v/>
      </c>
      <c r="AG1753" s="55">
        <f>IF(AF1753=1,EOMONTH(AE1753,0),"")</f>
        <v/>
      </c>
      <c r="AH1753" s="9">
        <f>IF(AF1753=1,UPPER(TRIM(IFERROR(INDEX($A1753:$AB1753,MATCH("Client",$A$1:$AB$1,0)),"")&amp;"")),"")</f>
        <v/>
      </c>
      <c r="AI1753" s="9">
        <f>IF(AF1753=1,IFERROR(INDEX($A1753:$AB1753,MATCH("Cost Centre",$A$1:$AB$1,0)),"")&amp;"","")</f>
        <v/>
      </c>
      <c r="AJ1753" s="54">
        <f>IF(AND(AF1753=1,AE1753&gt;=set_FYStart,AE1753&lt;=set_AsAt),1,0)</f>
        <v/>
      </c>
      <c r="AK1753" s="54">
        <f>IF(AND(AJ1753=1,AH1753&lt;&gt;"",COUNTIFS($AH$2:AH1753,AH1753,$AJ$2:AJ1753,1)=1),N(AL1752)+1,"")</f>
        <v/>
      </c>
      <c r="AL1753" s="54">
        <f>IF(AK1753&lt;&gt;"",AK1753,N(AL1752))</f>
        <v/>
      </c>
    </row>
    <row r="1754">
      <c r="A1754" t="inlineStr">
        <is>
          <t>ONS-0585</t>
        </is>
      </c>
      <c r="B1754" t="inlineStr">
        <is>
          <t>Onsite</t>
        </is>
      </c>
      <c r="AB1754" t="n">
        <v>585</v>
      </c>
      <c r="AD1754" s="52">
        <f>IFERROR(N(IFERROR(INDEX($A1754:$AB1754,MATCH("Xero Invoiced Ex GST",$A$1:$AB$1,0)),"")),0)</f>
        <v/>
      </c>
      <c r="AE1754" s="53">
        <f>IFERROR(INDEX($A1754:$AB1754,MATCH("Xero Invoice Date",$A$1:$AB$1,0)),"")</f>
        <v/>
      </c>
      <c r="AF1754" s="54">
        <f>IF(AND(IFERROR(INDEX($A1754:$AB1754,MATCH("Xero Invoice No",$A$1:$AB$1,0)),"")&amp;""&lt;&gt;"",ISNUMBER(AE1754),AD1754&lt;&gt;0),1,0)</f>
        <v/>
      </c>
      <c r="AG1754" s="55">
        <f>IF(AF1754=1,EOMONTH(AE1754,0),"")</f>
        <v/>
      </c>
      <c r="AH1754" s="9">
        <f>IF(AF1754=1,UPPER(TRIM(IFERROR(INDEX($A1754:$AB1754,MATCH("Client",$A$1:$AB$1,0)),"")&amp;"")),"")</f>
        <v/>
      </c>
      <c r="AI1754" s="9">
        <f>IF(AF1754=1,IFERROR(INDEX($A1754:$AB1754,MATCH("Cost Centre",$A$1:$AB$1,0)),"")&amp;"","")</f>
        <v/>
      </c>
      <c r="AJ1754" s="54">
        <f>IF(AND(AF1754=1,AE1754&gt;=set_FYStart,AE1754&lt;=set_AsAt),1,0)</f>
        <v/>
      </c>
      <c r="AK1754" s="54">
        <f>IF(AND(AJ1754=1,AH1754&lt;&gt;"",COUNTIFS($AH$2:AH1754,AH1754,$AJ$2:AJ1754,1)=1),N(AL1753)+1,"")</f>
        <v/>
      </c>
      <c r="AL1754" s="54">
        <f>IF(AK1754&lt;&gt;"",AK1754,N(AL1753))</f>
        <v/>
      </c>
    </row>
    <row r="1755">
      <c r="A1755" t="inlineStr">
        <is>
          <t>PRD-0585</t>
        </is>
      </c>
      <c r="B1755" t="inlineStr">
        <is>
          <t>Production</t>
        </is>
      </c>
      <c r="AB1755" t="n">
        <v>585</v>
      </c>
      <c r="AD1755" s="52">
        <f>IFERROR(N(IFERROR(INDEX($A1755:$AB1755,MATCH("Xero Invoiced Ex GST",$A$1:$AB$1,0)),"")),0)</f>
        <v/>
      </c>
      <c r="AE1755" s="53">
        <f>IFERROR(INDEX($A1755:$AB1755,MATCH("Xero Invoice Date",$A$1:$AB$1,0)),"")</f>
        <v/>
      </c>
      <c r="AF1755" s="54">
        <f>IF(AND(IFERROR(INDEX($A1755:$AB1755,MATCH("Xero Invoice No",$A$1:$AB$1,0)),"")&amp;""&lt;&gt;"",ISNUMBER(AE1755),AD1755&lt;&gt;0),1,0)</f>
        <v/>
      </c>
      <c r="AG1755" s="55">
        <f>IF(AF1755=1,EOMONTH(AE1755,0),"")</f>
        <v/>
      </c>
      <c r="AH1755" s="9">
        <f>IF(AF1755=1,UPPER(TRIM(IFERROR(INDEX($A1755:$AB1755,MATCH("Client",$A$1:$AB$1,0)),"")&amp;"")),"")</f>
        <v/>
      </c>
      <c r="AI1755" s="9">
        <f>IF(AF1755=1,IFERROR(INDEX($A1755:$AB1755,MATCH("Cost Centre",$A$1:$AB$1,0)),"")&amp;"","")</f>
        <v/>
      </c>
      <c r="AJ1755" s="54">
        <f>IF(AND(AF1755=1,AE1755&gt;=set_FYStart,AE1755&lt;=set_AsAt),1,0)</f>
        <v/>
      </c>
      <c r="AK1755" s="54">
        <f>IF(AND(AJ1755=1,AH1755&lt;&gt;"",COUNTIFS($AH$2:AH1755,AH1755,$AJ$2:AJ1755,1)=1),N(AL1754)+1,"")</f>
        <v/>
      </c>
      <c r="AL1755" s="54">
        <f>IF(AK1755&lt;&gt;"",AK1755,N(AL1754))</f>
        <v/>
      </c>
    </row>
    <row r="1756">
      <c r="A1756" t="inlineStr">
        <is>
          <t>CON-0585</t>
        </is>
      </c>
      <c r="B1756" t="inlineStr">
        <is>
          <t>Consulting</t>
        </is>
      </c>
      <c r="AB1756" t="n">
        <v>585</v>
      </c>
      <c r="AD1756" s="52">
        <f>IFERROR(N(IFERROR(INDEX($A1756:$AB1756,MATCH("Xero Invoiced Ex GST",$A$1:$AB$1,0)),"")),0)</f>
        <v/>
      </c>
      <c r="AE1756" s="53">
        <f>IFERROR(INDEX($A1756:$AB1756,MATCH("Xero Invoice Date",$A$1:$AB$1,0)),"")</f>
        <v/>
      </c>
      <c r="AF1756" s="54">
        <f>IF(AND(IFERROR(INDEX($A1756:$AB1756,MATCH("Xero Invoice No",$A$1:$AB$1,0)),"")&amp;""&lt;&gt;"",ISNUMBER(AE1756),AD1756&lt;&gt;0),1,0)</f>
        <v/>
      </c>
      <c r="AG1756" s="55">
        <f>IF(AF1756=1,EOMONTH(AE1756,0),"")</f>
        <v/>
      </c>
      <c r="AH1756" s="9">
        <f>IF(AF1756=1,UPPER(TRIM(IFERROR(INDEX($A1756:$AB1756,MATCH("Client",$A$1:$AB$1,0)),"")&amp;"")),"")</f>
        <v/>
      </c>
      <c r="AI1756" s="9">
        <f>IF(AF1756=1,IFERROR(INDEX($A1756:$AB1756,MATCH("Cost Centre",$A$1:$AB$1,0)),"")&amp;"","")</f>
        <v/>
      </c>
      <c r="AJ1756" s="54">
        <f>IF(AND(AF1756=1,AE1756&gt;=set_FYStart,AE1756&lt;=set_AsAt),1,0)</f>
        <v/>
      </c>
      <c r="AK1756" s="54">
        <f>IF(AND(AJ1756=1,AH1756&lt;&gt;"",COUNTIFS($AH$2:AH1756,AH1756,$AJ$2:AJ1756,1)=1),N(AL1755)+1,"")</f>
        <v/>
      </c>
      <c r="AL1756" s="54">
        <f>IF(AK1756&lt;&gt;"",AK1756,N(AL1755))</f>
        <v/>
      </c>
    </row>
    <row r="1757">
      <c r="A1757" t="inlineStr">
        <is>
          <t>ONS-0586</t>
        </is>
      </c>
      <c r="B1757" t="inlineStr">
        <is>
          <t>Onsite</t>
        </is>
      </c>
      <c r="AB1757" t="n">
        <v>586</v>
      </c>
      <c r="AD1757" s="52">
        <f>IFERROR(N(IFERROR(INDEX($A1757:$AB1757,MATCH("Xero Invoiced Ex GST",$A$1:$AB$1,0)),"")),0)</f>
        <v/>
      </c>
      <c r="AE1757" s="53">
        <f>IFERROR(INDEX($A1757:$AB1757,MATCH("Xero Invoice Date",$A$1:$AB$1,0)),"")</f>
        <v/>
      </c>
      <c r="AF1757" s="54">
        <f>IF(AND(IFERROR(INDEX($A1757:$AB1757,MATCH("Xero Invoice No",$A$1:$AB$1,0)),"")&amp;""&lt;&gt;"",ISNUMBER(AE1757),AD1757&lt;&gt;0),1,0)</f>
        <v/>
      </c>
      <c r="AG1757" s="55">
        <f>IF(AF1757=1,EOMONTH(AE1757,0),"")</f>
        <v/>
      </c>
      <c r="AH1757" s="9">
        <f>IF(AF1757=1,UPPER(TRIM(IFERROR(INDEX($A1757:$AB1757,MATCH("Client",$A$1:$AB$1,0)),"")&amp;"")),"")</f>
        <v/>
      </c>
      <c r="AI1757" s="9">
        <f>IF(AF1757=1,IFERROR(INDEX($A1757:$AB1757,MATCH("Cost Centre",$A$1:$AB$1,0)),"")&amp;"","")</f>
        <v/>
      </c>
      <c r="AJ1757" s="54">
        <f>IF(AND(AF1757=1,AE1757&gt;=set_FYStart,AE1757&lt;=set_AsAt),1,0)</f>
        <v/>
      </c>
      <c r="AK1757" s="54">
        <f>IF(AND(AJ1757=1,AH1757&lt;&gt;"",COUNTIFS($AH$2:AH1757,AH1757,$AJ$2:AJ1757,1)=1),N(AL1756)+1,"")</f>
        <v/>
      </c>
      <c r="AL1757" s="54">
        <f>IF(AK1757&lt;&gt;"",AK1757,N(AL1756))</f>
        <v/>
      </c>
    </row>
    <row r="1758">
      <c r="A1758" t="inlineStr">
        <is>
          <t>PRD-0586</t>
        </is>
      </c>
      <c r="B1758" t="inlineStr">
        <is>
          <t>Production</t>
        </is>
      </c>
      <c r="AB1758" t="n">
        <v>586</v>
      </c>
      <c r="AD1758" s="52">
        <f>IFERROR(N(IFERROR(INDEX($A1758:$AB1758,MATCH("Xero Invoiced Ex GST",$A$1:$AB$1,0)),"")),0)</f>
        <v/>
      </c>
      <c r="AE1758" s="53">
        <f>IFERROR(INDEX($A1758:$AB1758,MATCH("Xero Invoice Date",$A$1:$AB$1,0)),"")</f>
        <v/>
      </c>
      <c r="AF1758" s="54">
        <f>IF(AND(IFERROR(INDEX($A1758:$AB1758,MATCH("Xero Invoice No",$A$1:$AB$1,0)),"")&amp;""&lt;&gt;"",ISNUMBER(AE1758),AD1758&lt;&gt;0),1,0)</f>
        <v/>
      </c>
      <c r="AG1758" s="55">
        <f>IF(AF1758=1,EOMONTH(AE1758,0),"")</f>
        <v/>
      </c>
      <c r="AH1758" s="9">
        <f>IF(AF1758=1,UPPER(TRIM(IFERROR(INDEX($A1758:$AB1758,MATCH("Client",$A$1:$AB$1,0)),"")&amp;"")),"")</f>
        <v/>
      </c>
      <c r="AI1758" s="9">
        <f>IF(AF1758=1,IFERROR(INDEX($A1758:$AB1758,MATCH("Cost Centre",$A$1:$AB$1,0)),"")&amp;"","")</f>
        <v/>
      </c>
      <c r="AJ1758" s="54">
        <f>IF(AND(AF1758=1,AE1758&gt;=set_FYStart,AE1758&lt;=set_AsAt),1,0)</f>
        <v/>
      </c>
      <c r="AK1758" s="54">
        <f>IF(AND(AJ1758=1,AH1758&lt;&gt;"",COUNTIFS($AH$2:AH1758,AH1758,$AJ$2:AJ1758,1)=1),N(AL1757)+1,"")</f>
        <v/>
      </c>
      <c r="AL1758" s="54">
        <f>IF(AK1758&lt;&gt;"",AK1758,N(AL1757))</f>
        <v/>
      </c>
    </row>
    <row r="1759">
      <c r="A1759" t="inlineStr">
        <is>
          <t>CON-0586</t>
        </is>
      </c>
      <c r="B1759" t="inlineStr">
        <is>
          <t>Consulting</t>
        </is>
      </c>
      <c r="AB1759" t="n">
        <v>586</v>
      </c>
      <c r="AD1759" s="52">
        <f>IFERROR(N(IFERROR(INDEX($A1759:$AB1759,MATCH("Xero Invoiced Ex GST",$A$1:$AB$1,0)),"")),0)</f>
        <v/>
      </c>
      <c r="AE1759" s="53">
        <f>IFERROR(INDEX($A1759:$AB1759,MATCH("Xero Invoice Date",$A$1:$AB$1,0)),"")</f>
        <v/>
      </c>
      <c r="AF1759" s="54">
        <f>IF(AND(IFERROR(INDEX($A1759:$AB1759,MATCH("Xero Invoice No",$A$1:$AB$1,0)),"")&amp;""&lt;&gt;"",ISNUMBER(AE1759),AD1759&lt;&gt;0),1,0)</f>
        <v/>
      </c>
      <c r="AG1759" s="55">
        <f>IF(AF1759=1,EOMONTH(AE1759,0),"")</f>
        <v/>
      </c>
      <c r="AH1759" s="9">
        <f>IF(AF1759=1,UPPER(TRIM(IFERROR(INDEX($A1759:$AB1759,MATCH("Client",$A$1:$AB$1,0)),"")&amp;"")),"")</f>
        <v/>
      </c>
      <c r="AI1759" s="9">
        <f>IF(AF1759=1,IFERROR(INDEX($A1759:$AB1759,MATCH("Cost Centre",$A$1:$AB$1,0)),"")&amp;"","")</f>
        <v/>
      </c>
      <c r="AJ1759" s="54">
        <f>IF(AND(AF1759=1,AE1759&gt;=set_FYStart,AE1759&lt;=set_AsAt),1,0)</f>
        <v/>
      </c>
      <c r="AK1759" s="54">
        <f>IF(AND(AJ1759=1,AH1759&lt;&gt;"",COUNTIFS($AH$2:AH1759,AH1759,$AJ$2:AJ1759,1)=1),N(AL1758)+1,"")</f>
        <v/>
      </c>
      <c r="AL1759" s="54">
        <f>IF(AK1759&lt;&gt;"",AK1759,N(AL1758))</f>
        <v/>
      </c>
    </row>
    <row r="1760">
      <c r="A1760" t="inlineStr">
        <is>
          <t>ONS-0587</t>
        </is>
      </c>
      <c r="B1760" t="inlineStr">
        <is>
          <t>Onsite</t>
        </is>
      </c>
      <c r="AB1760" t="n">
        <v>587</v>
      </c>
      <c r="AD1760" s="52">
        <f>IFERROR(N(IFERROR(INDEX($A1760:$AB1760,MATCH("Xero Invoiced Ex GST",$A$1:$AB$1,0)),"")),0)</f>
        <v/>
      </c>
      <c r="AE1760" s="53">
        <f>IFERROR(INDEX($A1760:$AB1760,MATCH("Xero Invoice Date",$A$1:$AB$1,0)),"")</f>
        <v/>
      </c>
      <c r="AF1760" s="54">
        <f>IF(AND(IFERROR(INDEX($A1760:$AB1760,MATCH("Xero Invoice No",$A$1:$AB$1,0)),"")&amp;""&lt;&gt;"",ISNUMBER(AE1760),AD1760&lt;&gt;0),1,0)</f>
        <v/>
      </c>
      <c r="AG1760" s="55">
        <f>IF(AF1760=1,EOMONTH(AE1760,0),"")</f>
        <v/>
      </c>
      <c r="AH1760" s="9">
        <f>IF(AF1760=1,UPPER(TRIM(IFERROR(INDEX($A1760:$AB1760,MATCH("Client",$A$1:$AB$1,0)),"")&amp;"")),"")</f>
        <v/>
      </c>
      <c r="AI1760" s="9">
        <f>IF(AF1760=1,IFERROR(INDEX($A1760:$AB1760,MATCH("Cost Centre",$A$1:$AB$1,0)),"")&amp;"","")</f>
        <v/>
      </c>
      <c r="AJ1760" s="54">
        <f>IF(AND(AF1760=1,AE1760&gt;=set_FYStart,AE1760&lt;=set_AsAt),1,0)</f>
        <v/>
      </c>
      <c r="AK1760" s="54">
        <f>IF(AND(AJ1760=1,AH1760&lt;&gt;"",COUNTIFS($AH$2:AH1760,AH1760,$AJ$2:AJ1760,1)=1),N(AL1759)+1,"")</f>
        <v/>
      </c>
      <c r="AL1760" s="54">
        <f>IF(AK1760&lt;&gt;"",AK1760,N(AL1759))</f>
        <v/>
      </c>
    </row>
    <row r="1761">
      <c r="A1761" t="inlineStr">
        <is>
          <t>PRD-0587</t>
        </is>
      </c>
      <c r="B1761" t="inlineStr">
        <is>
          <t>Production</t>
        </is>
      </c>
      <c r="AB1761" t="n">
        <v>587</v>
      </c>
      <c r="AD1761" s="52">
        <f>IFERROR(N(IFERROR(INDEX($A1761:$AB1761,MATCH("Xero Invoiced Ex GST",$A$1:$AB$1,0)),"")),0)</f>
        <v/>
      </c>
      <c r="AE1761" s="53">
        <f>IFERROR(INDEX($A1761:$AB1761,MATCH("Xero Invoice Date",$A$1:$AB$1,0)),"")</f>
        <v/>
      </c>
      <c r="AF1761" s="54">
        <f>IF(AND(IFERROR(INDEX($A1761:$AB1761,MATCH("Xero Invoice No",$A$1:$AB$1,0)),"")&amp;""&lt;&gt;"",ISNUMBER(AE1761),AD1761&lt;&gt;0),1,0)</f>
        <v/>
      </c>
      <c r="AG1761" s="55">
        <f>IF(AF1761=1,EOMONTH(AE1761,0),"")</f>
        <v/>
      </c>
      <c r="AH1761" s="9">
        <f>IF(AF1761=1,UPPER(TRIM(IFERROR(INDEX($A1761:$AB1761,MATCH("Client",$A$1:$AB$1,0)),"")&amp;"")),"")</f>
        <v/>
      </c>
      <c r="AI1761" s="9">
        <f>IF(AF1761=1,IFERROR(INDEX($A1761:$AB1761,MATCH("Cost Centre",$A$1:$AB$1,0)),"")&amp;"","")</f>
        <v/>
      </c>
      <c r="AJ1761" s="54">
        <f>IF(AND(AF1761=1,AE1761&gt;=set_FYStart,AE1761&lt;=set_AsAt),1,0)</f>
        <v/>
      </c>
      <c r="AK1761" s="54">
        <f>IF(AND(AJ1761=1,AH1761&lt;&gt;"",COUNTIFS($AH$2:AH1761,AH1761,$AJ$2:AJ1761,1)=1),N(AL1760)+1,"")</f>
        <v/>
      </c>
      <c r="AL1761" s="54">
        <f>IF(AK1761&lt;&gt;"",AK1761,N(AL1760))</f>
        <v/>
      </c>
    </row>
    <row r="1762">
      <c r="A1762" t="inlineStr">
        <is>
          <t>CON-0587</t>
        </is>
      </c>
      <c r="B1762" t="inlineStr">
        <is>
          <t>Consulting</t>
        </is>
      </c>
      <c r="AB1762" t="n">
        <v>587</v>
      </c>
      <c r="AD1762" s="52">
        <f>IFERROR(N(IFERROR(INDEX($A1762:$AB1762,MATCH("Xero Invoiced Ex GST",$A$1:$AB$1,0)),"")),0)</f>
        <v/>
      </c>
      <c r="AE1762" s="53">
        <f>IFERROR(INDEX($A1762:$AB1762,MATCH("Xero Invoice Date",$A$1:$AB$1,0)),"")</f>
        <v/>
      </c>
      <c r="AF1762" s="54">
        <f>IF(AND(IFERROR(INDEX($A1762:$AB1762,MATCH("Xero Invoice No",$A$1:$AB$1,0)),"")&amp;""&lt;&gt;"",ISNUMBER(AE1762),AD1762&lt;&gt;0),1,0)</f>
        <v/>
      </c>
      <c r="AG1762" s="55">
        <f>IF(AF1762=1,EOMONTH(AE1762,0),"")</f>
        <v/>
      </c>
      <c r="AH1762" s="9">
        <f>IF(AF1762=1,UPPER(TRIM(IFERROR(INDEX($A1762:$AB1762,MATCH("Client",$A$1:$AB$1,0)),"")&amp;"")),"")</f>
        <v/>
      </c>
      <c r="AI1762" s="9">
        <f>IF(AF1762=1,IFERROR(INDEX($A1762:$AB1762,MATCH("Cost Centre",$A$1:$AB$1,0)),"")&amp;"","")</f>
        <v/>
      </c>
      <c r="AJ1762" s="54">
        <f>IF(AND(AF1762=1,AE1762&gt;=set_FYStart,AE1762&lt;=set_AsAt),1,0)</f>
        <v/>
      </c>
      <c r="AK1762" s="54">
        <f>IF(AND(AJ1762=1,AH1762&lt;&gt;"",COUNTIFS($AH$2:AH1762,AH1762,$AJ$2:AJ1762,1)=1),N(AL1761)+1,"")</f>
        <v/>
      </c>
      <c r="AL1762" s="54">
        <f>IF(AK1762&lt;&gt;"",AK1762,N(AL1761))</f>
        <v/>
      </c>
    </row>
    <row r="1763">
      <c r="A1763" t="inlineStr">
        <is>
          <t>ONS-0588</t>
        </is>
      </c>
      <c r="B1763" t="inlineStr">
        <is>
          <t>Onsite</t>
        </is>
      </c>
      <c r="AB1763" t="n">
        <v>588</v>
      </c>
      <c r="AD1763" s="52">
        <f>IFERROR(N(IFERROR(INDEX($A1763:$AB1763,MATCH("Xero Invoiced Ex GST",$A$1:$AB$1,0)),"")),0)</f>
        <v/>
      </c>
      <c r="AE1763" s="53">
        <f>IFERROR(INDEX($A1763:$AB1763,MATCH("Xero Invoice Date",$A$1:$AB$1,0)),"")</f>
        <v/>
      </c>
      <c r="AF1763" s="54">
        <f>IF(AND(IFERROR(INDEX($A1763:$AB1763,MATCH("Xero Invoice No",$A$1:$AB$1,0)),"")&amp;""&lt;&gt;"",ISNUMBER(AE1763),AD1763&lt;&gt;0),1,0)</f>
        <v/>
      </c>
      <c r="AG1763" s="55">
        <f>IF(AF1763=1,EOMONTH(AE1763,0),"")</f>
        <v/>
      </c>
      <c r="AH1763" s="9">
        <f>IF(AF1763=1,UPPER(TRIM(IFERROR(INDEX($A1763:$AB1763,MATCH("Client",$A$1:$AB$1,0)),"")&amp;"")),"")</f>
        <v/>
      </c>
      <c r="AI1763" s="9">
        <f>IF(AF1763=1,IFERROR(INDEX($A1763:$AB1763,MATCH("Cost Centre",$A$1:$AB$1,0)),"")&amp;"","")</f>
        <v/>
      </c>
      <c r="AJ1763" s="54">
        <f>IF(AND(AF1763=1,AE1763&gt;=set_FYStart,AE1763&lt;=set_AsAt),1,0)</f>
        <v/>
      </c>
      <c r="AK1763" s="54">
        <f>IF(AND(AJ1763=1,AH1763&lt;&gt;"",COUNTIFS($AH$2:AH1763,AH1763,$AJ$2:AJ1763,1)=1),N(AL1762)+1,"")</f>
        <v/>
      </c>
      <c r="AL1763" s="54">
        <f>IF(AK1763&lt;&gt;"",AK1763,N(AL1762))</f>
        <v/>
      </c>
    </row>
    <row r="1764">
      <c r="A1764" t="inlineStr">
        <is>
          <t>PRD-0588</t>
        </is>
      </c>
      <c r="B1764" t="inlineStr">
        <is>
          <t>Production</t>
        </is>
      </c>
      <c r="AB1764" t="n">
        <v>588</v>
      </c>
      <c r="AD1764" s="52">
        <f>IFERROR(N(IFERROR(INDEX($A1764:$AB1764,MATCH("Xero Invoiced Ex GST",$A$1:$AB$1,0)),"")),0)</f>
        <v/>
      </c>
      <c r="AE1764" s="53">
        <f>IFERROR(INDEX($A1764:$AB1764,MATCH("Xero Invoice Date",$A$1:$AB$1,0)),"")</f>
        <v/>
      </c>
      <c r="AF1764" s="54">
        <f>IF(AND(IFERROR(INDEX($A1764:$AB1764,MATCH("Xero Invoice No",$A$1:$AB$1,0)),"")&amp;""&lt;&gt;"",ISNUMBER(AE1764),AD1764&lt;&gt;0),1,0)</f>
        <v/>
      </c>
      <c r="AG1764" s="55">
        <f>IF(AF1764=1,EOMONTH(AE1764,0),"")</f>
        <v/>
      </c>
      <c r="AH1764" s="9">
        <f>IF(AF1764=1,UPPER(TRIM(IFERROR(INDEX($A1764:$AB1764,MATCH("Client",$A$1:$AB$1,0)),"")&amp;"")),"")</f>
        <v/>
      </c>
      <c r="AI1764" s="9">
        <f>IF(AF1764=1,IFERROR(INDEX($A1764:$AB1764,MATCH("Cost Centre",$A$1:$AB$1,0)),"")&amp;"","")</f>
        <v/>
      </c>
      <c r="AJ1764" s="54">
        <f>IF(AND(AF1764=1,AE1764&gt;=set_FYStart,AE1764&lt;=set_AsAt),1,0)</f>
        <v/>
      </c>
      <c r="AK1764" s="54">
        <f>IF(AND(AJ1764=1,AH1764&lt;&gt;"",COUNTIFS($AH$2:AH1764,AH1764,$AJ$2:AJ1764,1)=1),N(AL1763)+1,"")</f>
        <v/>
      </c>
      <c r="AL1764" s="54">
        <f>IF(AK1764&lt;&gt;"",AK1764,N(AL1763))</f>
        <v/>
      </c>
    </row>
    <row r="1765">
      <c r="A1765" t="inlineStr">
        <is>
          <t>CON-0588</t>
        </is>
      </c>
      <c r="B1765" t="inlineStr">
        <is>
          <t>Consulting</t>
        </is>
      </c>
      <c r="AB1765" t="n">
        <v>588</v>
      </c>
      <c r="AD1765" s="52">
        <f>IFERROR(N(IFERROR(INDEX($A1765:$AB1765,MATCH("Xero Invoiced Ex GST",$A$1:$AB$1,0)),"")),0)</f>
        <v/>
      </c>
      <c r="AE1765" s="53">
        <f>IFERROR(INDEX($A1765:$AB1765,MATCH("Xero Invoice Date",$A$1:$AB$1,0)),"")</f>
        <v/>
      </c>
      <c r="AF1765" s="54">
        <f>IF(AND(IFERROR(INDEX($A1765:$AB1765,MATCH("Xero Invoice No",$A$1:$AB$1,0)),"")&amp;""&lt;&gt;"",ISNUMBER(AE1765),AD1765&lt;&gt;0),1,0)</f>
        <v/>
      </c>
      <c r="AG1765" s="55">
        <f>IF(AF1765=1,EOMONTH(AE1765,0),"")</f>
        <v/>
      </c>
      <c r="AH1765" s="9">
        <f>IF(AF1765=1,UPPER(TRIM(IFERROR(INDEX($A1765:$AB1765,MATCH("Client",$A$1:$AB$1,0)),"")&amp;"")),"")</f>
        <v/>
      </c>
      <c r="AI1765" s="9">
        <f>IF(AF1765=1,IFERROR(INDEX($A1765:$AB1765,MATCH("Cost Centre",$A$1:$AB$1,0)),"")&amp;"","")</f>
        <v/>
      </c>
      <c r="AJ1765" s="54">
        <f>IF(AND(AF1765=1,AE1765&gt;=set_FYStart,AE1765&lt;=set_AsAt),1,0)</f>
        <v/>
      </c>
      <c r="AK1765" s="54">
        <f>IF(AND(AJ1765=1,AH1765&lt;&gt;"",COUNTIFS($AH$2:AH1765,AH1765,$AJ$2:AJ1765,1)=1),N(AL1764)+1,"")</f>
        <v/>
      </c>
      <c r="AL1765" s="54">
        <f>IF(AK1765&lt;&gt;"",AK1765,N(AL1764))</f>
        <v/>
      </c>
    </row>
    <row r="1766">
      <c r="A1766" t="inlineStr">
        <is>
          <t>ONS-0589</t>
        </is>
      </c>
      <c r="B1766" t="inlineStr">
        <is>
          <t>Onsite</t>
        </is>
      </c>
      <c r="AB1766" t="n">
        <v>589</v>
      </c>
      <c r="AD1766" s="52">
        <f>IFERROR(N(IFERROR(INDEX($A1766:$AB1766,MATCH("Xero Invoiced Ex GST",$A$1:$AB$1,0)),"")),0)</f>
        <v/>
      </c>
      <c r="AE1766" s="53">
        <f>IFERROR(INDEX($A1766:$AB1766,MATCH("Xero Invoice Date",$A$1:$AB$1,0)),"")</f>
        <v/>
      </c>
      <c r="AF1766" s="54">
        <f>IF(AND(IFERROR(INDEX($A1766:$AB1766,MATCH("Xero Invoice No",$A$1:$AB$1,0)),"")&amp;""&lt;&gt;"",ISNUMBER(AE1766),AD1766&lt;&gt;0),1,0)</f>
        <v/>
      </c>
      <c r="AG1766" s="55">
        <f>IF(AF1766=1,EOMONTH(AE1766,0),"")</f>
        <v/>
      </c>
      <c r="AH1766" s="9">
        <f>IF(AF1766=1,UPPER(TRIM(IFERROR(INDEX($A1766:$AB1766,MATCH("Client",$A$1:$AB$1,0)),"")&amp;"")),"")</f>
        <v/>
      </c>
      <c r="AI1766" s="9">
        <f>IF(AF1766=1,IFERROR(INDEX($A1766:$AB1766,MATCH("Cost Centre",$A$1:$AB$1,0)),"")&amp;"","")</f>
        <v/>
      </c>
      <c r="AJ1766" s="54">
        <f>IF(AND(AF1766=1,AE1766&gt;=set_FYStart,AE1766&lt;=set_AsAt),1,0)</f>
        <v/>
      </c>
      <c r="AK1766" s="54">
        <f>IF(AND(AJ1766=1,AH1766&lt;&gt;"",COUNTIFS($AH$2:AH1766,AH1766,$AJ$2:AJ1766,1)=1),N(AL1765)+1,"")</f>
        <v/>
      </c>
      <c r="AL1766" s="54">
        <f>IF(AK1766&lt;&gt;"",AK1766,N(AL1765))</f>
        <v/>
      </c>
    </row>
    <row r="1767">
      <c r="A1767" t="inlineStr">
        <is>
          <t>PRD-0589</t>
        </is>
      </c>
      <c r="B1767" t="inlineStr">
        <is>
          <t>Production</t>
        </is>
      </c>
      <c r="AB1767" t="n">
        <v>589</v>
      </c>
      <c r="AD1767" s="52">
        <f>IFERROR(N(IFERROR(INDEX($A1767:$AB1767,MATCH("Xero Invoiced Ex GST",$A$1:$AB$1,0)),"")),0)</f>
        <v/>
      </c>
      <c r="AE1767" s="53">
        <f>IFERROR(INDEX($A1767:$AB1767,MATCH("Xero Invoice Date",$A$1:$AB$1,0)),"")</f>
        <v/>
      </c>
      <c r="AF1767" s="54">
        <f>IF(AND(IFERROR(INDEX($A1767:$AB1767,MATCH("Xero Invoice No",$A$1:$AB$1,0)),"")&amp;""&lt;&gt;"",ISNUMBER(AE1767),AD1767&lt;&gt;0),1,0)</f>
        <v/>
      </c>
      <c r="AG1767" s="55">
        <f>IF(AF1767=1,EOMONTH(AE1767,0),"")</f>
        <v/>
      </c>
      <c r="AH1767" s="9">
        <f>IF(AF1767=1,UPPER(TRIM(IFERROR(INDEX($A1767:$AB1767,MATCH("Client",$A$1:$AB$1,0)),"")&amp;"")),"")</f>
        <v/>
      </c>
      <c r="AI1767" s="9">
        <f>IF(AF1767=1,IFERROR(INDEX($A1767:$AB1767,MATCH("Cost Centre",$A$1:$AB$1,0)),"")&amp;"","")</f>
        <v/>
      </c>
      <c r="AJ1767" s="54">
        <f>IF(AND(AF1767=1,AE1767&gt;=set_FYStart,AE1767&lt;=set_AsAt),1,0)</f>
        <v/>
      </c>
      <c r="AK1767" s="54">
        <f>IF(AND(AJ1767=1,AH1767&lt;&gt;"",COUNTIFS($AH$2:AH1767,AH1767,$AJ$2:AJ1767,1)=1),N(AL1766)+1,"")</f>
        <v/>
      </c>
      <c r="AL1767" s="54">
        <f>IF(AK1767&lt;&gt;"",AK1767,N(AL1766))</f>
        <v/>
      </c>
    </row>
    <row r="1768">
      <c r="A1768" t="inlineStr">
        <is>
          <t>CON-0589</t>
        </is>
      </c>
      <c r="B1768" t="inlineStr">
        <is>
          <t>Consulting</t>
        </is>
      </c>
      <c r="AB1768" t="n">
        <v>589</v>
      </c>
      <c r="AD1768" s="52">
        <f>IFERROR(N(IFERROR(INDEX($A1768:$AB1768,MATCH("Xero Invoiced Ex GST",$A$1:$AB$1,0)),"")),0)</f>
        <v/>
      </c>
      <c r="AE1768" s="53">
        <f>IFERROR(INDEX($A1768:$AB1768,MATCH("Xero Invoice Date",$A$1:$AB$1,0)),"")</f>
        <v/>
      </c>
      <c r="AF1768" s="54">
        <f>IF(AND(IFERROR(INDEX($A1768:$AB1768,MATCH("Xero Invoice No",$A$1:$AB$1,0)),"")&amp;""&lt;&gt;"",ISNUMBER(AE1768),AD1768&lt;&gt;0),1,0)</f>
        <v/>
      </c>
      <c r="AG1768" s="55">
        <f>IF(AF1768=1,EOMONTH(AE1768,0),"")</f>
        <v/>
      </c>
      <c r="AH1768" s="9">
        <f>IF(AF1768=1,UPPER(TRIM(IFERROR(INDEX($A1768:$AB1768,MATCH("Client",$A$1:$AB$1,0)),"")&amp;"")),"")</f>
        <v/>
      </c>
      <c r="AI1768" s="9">
        <f>IF(AF1768=1,IFERROR(INDEX($A1768:$AB1768,MATCH("Cost Centre",$A$1:$AB$1,0)),"")&amp;"","")</f>
        <v/>
      </c>
      <c r="AJ1768" s="54">
        <f>IF(AND(AF1768=1,AE1768&gt;=set_FYStart,AE1768&lt;=set_AsAt),1,0)</f>
        <v/>
      </c>
      <c r="AK1768" s="54">
        <f>IF(AND(AJ1768=1,AH1768&lt;&gt;"",COUNTIFS($AH$2:AH1768,AH1768,$AJ$2:AJ1768,1)=1),N(AL1767)+1,"")</f>
        <v/>
      </c>
      <c r="AL1768" s="54">
        <f>IF(AK1768&lt;&gt;"",AK1768,N(AL1767))</f>
        <v/>
      </c>
    </row>
    <row r="1769">
      <c r="A1769" t="inlineStr">
        <is>
          <t>ONS-0590</t>
        </is>
      </c>
      <c r="B1769" t="inlineStr">
        <is>
          <t>Onsite</t>
        </is>
      </c>
      <c r="AB1769" t="n">
        <v>590</v>
      </c>
      <c r="AD1769" s="52">
        <f>IFERROR(N(IFERROR(INDEX($A1769:$AB1769,MATCH("Xero Invoiced Ex GST",$A$1:$AB$1,0)),"")),0)</f>
        <v/>
      </c>
      <c r="AE1769" s="53">
        <f>IFERROR(INDEX($A1769:$AB1769,MATCH("Xero Invoice Date",$A$1:$AB$1,0)),"")</f>
        <v/>
      </c>
      <c r="AF1769" s="54">
        <f>IF(AND(IFERROR(INDEX($A1769:$AB1769,MATCH("Xero Invoice No",$A$1:$AB$1,0)),"")&amp;""&lt;&gt;"",ISNUMBER(AE1769),AD1769&lt;&gt;0),1,0)</f>
        <v/>
      </c>
      <c r="AG1769" s="55">
        <f>IF(AF1769=1,EOMONTH(AE1769,0),"")</f>
        <v/>
      </c>
      <c r="AH1769" s="9">
        <f>IF(AF1769=1,UPPER(TRIM(IFERROR(INDEX($A1769:$AB1769,MATCH("Client",$A$1:$AB$1,0)),"")&amp;"")),"")</f>
        <v/>
      </c>
      <c r="AI1769" s="9">
        <f>IF(AF1769=1,IFERROR(INDEX($A1769:$AB1769,MATCH("Cost Centre",$A$1:$AB$1,0)),"")&amp;"","")</f>
        <v/>
      </c>
      <c r="AJ1769" s="54">
        <f>IF(AND(AF1769=1,AE1769&gt;=set_FYStart,AE1769&lt;=set_AsAt),1,0)</f>
        <v/>
      </c>
      <c r="AK1769" s="54">
        <f>IF(AND(AJ1769=1,AH1769&lt;&gt;"",COUNTIFS($AH$2:AH1769,AH1769,$AJ$2:AJ1769,1)=1),N(AL1768)+1,"")</f>
        <v/>
      </c>
      <c r="AL1769" s="54">
        <f>IF(AK1769&lt;&gt;"",AK1769,N(AL1768))</f>
        <v/>
      </c>
    </row>
    <row r="1770">
      <c r="A1770" t="inlineStr">
        <is>
          <t>PRD-0590</t>
        </is>
      </c>
      <c r="B1770" t="inlineStr">
        <is>
          <t>Production</t>
        </is>
      </c>
      <c r="AB1770" t="n">
        <v>590</v>
      </c>
      <c r="AD1770" s="52">
        <f>IFERROR(N(IFERROR(INDEX($A1770:$AB1770,MATCH("Xero Invoiced Ex GST",$A$1:$AB$1,0)),"")),0)</f>
        <v/>
      </c>
      <c r="AE1770" s="53">
        <f>IFERROR(INDEX($A1770:$AB1770,MATCH("Xero Invoice Date",$A$1:$AB$1,0)),"")</f>
        <v/>
      </c>
      <c r="AF1770" s="54">
        <f>IF(AND(IFERROR(INDEX($A1770:$AB1770,MATCH("Xero Invoice No",$A$1:$AB$1,0)),"")&amp;""&lt;&gt;"",ISNUMBER(AE1770),AD1770&lt;&gt;0),1,0)</f>
        <v/>
      </c>
      <c r="AG1770" s="55">
        <f>IF(AF1770=1,EOMONTH(AE1770,0),"")</f>
        <v/>
      </c>
      <c r="AH1770" s="9">
        <f>IF(AF1770=1,UPPER(TRIM(IFERROR(INDEX($A1770:$AB1770,MATCH("Client",$A$1:$AB$1,0)),"")&amp;"")),"")</f>
        <v/>
      </c>
      <c r="AI1770" s="9">
        <f>IF(AF1770=1,IFERROR(INDEX($A1770:$AB1770,MATCH("Cost Centre",$A$1:$AB$1,0)),"")&amp;"","")</f>
        <v/>
      </c>
      <c r="AJ1770" s="54">
        <f>IF(AND(AF1770=1,AE1770&gt;=set_FYStart,AE1770&lt;=set_AsAt),1,0)</f>
        <v/>
      </c>
      <c r="AK1770" s="54">
        <f>IF(AND(AJ1770=1,AH1770&lt;&gt;"",COUNTIFS($AH$2:AH1770,AH1770,$AJ$2:AJ1770,1)=1),N(AL1769)+1,"")</f>
        <v/>
      </c>
      <c r="AL1770" s="54">
        <f>IF(AK1770&lt;&gt;"",AK1770,N(AL1769))</f>
        <v/>
      </c>
    </row>
    <row r="1771">
      <c r="A1771" t="inlineStr">
        <is>
          <t>CON-0590</t>
        </is>
      </c>
      <c r="B1771" t="inlineStr">
        <is>
          <t>Consulting</t>
        </is>
      </c>
      <c r="AB1771" t="n">
        <v>590</v>
      </c>
      <c r="AD1771" s="52">
        <f>IFERROR(N(IFERROR(INDEX($A1771:$AB1771,MATCH("Xero Invoiced Ex GST",$A$1:$AB$1,0)),"")),0)</f>
        <v/>
      </c>
      <c r="AE1771" s="53">
        <f>IFERROR(INDEX($A1771:$AB1771,MATCH("Xero Invoice Date",$A$1:$AB$1,0)),"")</f>
        <v/>
      </c>
      <c r="AF1771" s="54">
        <f>IF(AND(IFERROR(INDEX($A1771:$AB1771,MATCH("Xero Invoice No",$A$1:$AB$1,0)),"")&amp;""&lt;&gt;"",ISNUMBER(AE1771),AD1771&lt;&gt;0),1,0)</f>
        <v/>
      </c>
      <c r="AG1771" s="55">
        <f>IF(AF1771=1,EOMONTH(AE1771,0),"")</f>
        <v/>
      </c>
      <c r="AH1771" s="9">
        <f>IF(AF1771=1,UPPER(TRIM(IFERROR(INDEX($A1771:$AB1771,MATCH("Client",$A$1:$AB$1,0)),"")&amp;"")),"")</f>
        <v/>
      </c>
      <c r="AI1771" s="9">
        <f>IF(AF1771=1,IFERROR(INDEX($A1771:$AB1771,MATCH("Cost Centre",$A$1:$AB$1,0)),"")&amp;"","")</f>
        <v/>
      </c>
      <c r="AJ1771" s="54">
        <f>IF(AND(AF1771=1,AE1771&gt;=set_FYStart,AE1771&lt;=set_AsAt),1,0)</f>
        <v/>
      </c>
      <c r="AK1771" s="54">
        <f>IF(AND(AJ1771=1,AH1771&lt;&gt;"",COUNTIFS($AH$2:AH1771,AH1771,$AJ$2:AJ1771,1)=1),N(AL1770)+1,"")</f>
        <v/>
      </c>
      <c r="AL1771" s="54">
        <f>IF(AK1771&lt;&gt;"",AK1771,N(AL1770))</f>
        <v/>
      </c>
    </row>
    <row r="1772">
      <c r="A1772" t="inlineStr">
        <is>
          <t>ONS-0591</t>
        </is>
      </c>
      <c r="B1772" t="inlineStr">
        <is>
          <t>Onsite</t>
        </is>
      </c>
      <c r="AB1772" t="n">
        <v>591</v>
      </c>
      <c r="AD1772" s="52">
        <f>IFERROR(N(IFERROR(INDEX($A1772:$AB1772,MATCH("Xero Invoiced Ex GST",$A$1:$AB$1,0)),"")),0)</f>
        <v/>
      </c>
      <c r="AE1772" s="53">
        <f>IFERROR(INDEX($A1772:$AB1772,MATCH("Xero Invoice Date",$A$1:$AB$1,0)),"")</f>
        <v/>
      </c>
      <c r="AF1772" s="54">
        <f>IF(AND(IFERROR(INDEX($A1772:$AB1772,MATCH("Xero Invoice No",$A$1:$AB$1,0)),"")&amp;""&lt;&gt;"",ISNUMBER(AE1772),AD1772&lt;&gt;0),1,0)</f>
        <v/>
      </c>
      <c r="AG1772" s="55">
        <f>IF(AF1772=1,EOMONTH(AE1772,0),"")</f>
        <v/>
      </c>
      <c r="AH1772" s="9">
        <f>IF(AF1772=1,UPPER(TRIM(IFERROR(INDEX($A1772:$AB1772,MATCH("Client",$A$1:$AB$1,0)),"")&amp;"")),"")</f>
        <v/>
      </c>
      <c r="AI1772" s="9">
        <f>IF(AF1772=1,IFERROR(INDEX($A1772:$AB1772,MATCH("Cost Centre",$A$1:$AB$1,0)),"")&amp;"","")</f>
        <v/>
      </c>
      <c r="AJ1772" s="54">
        <f>IF(AND(AF1772=1,AE1772&gt;=set_FYStart,AE1772&lt;=set_AsAt),1,0)</f>
        <v/>
      </c>
      <c r="AK1772" s="54">
        <f>IF(AND(AJ1772=1,AH1772&lt;&gt;"",COUNTIFS($AH$2:AH1772,AH1772,$AJ$2:AJ1772,1)=1),N(AL1771)+1,"")</f>
        <v/>
      </c>
      <c r="AL1772" s="54">
        <f>IF(AK1772&lt;&gt;"",AK1772,N(AL1771))</f>
        <v/>
      </c>
    </row>
    <row r="1773">
      <c r="A1773" t="inlineStr">
        <is>
          <t>PRD-0591</t>
        </is>
      </c>
      <c r="B1773" t="inlineStr">
        <is>
          <t>Production</t>
        </is>
      </c>
      <c r="AB1773" t="n">
        <v>591</v>
      </c>
      <c r="AD1773" s="52">
        <f>IFERROR(N(IFERROR(INDEX($A1773:$AB1773,MATCH("Xero Invoiced Ex GST",$A$1:$AB$1,0)),"")),0)</f>
        <v/>
      </c>
      <c r="AE1773" s="53">
        <f>IFERROR(INDEX($A1773:$AB1773,MATCH("Xero Invoice Date",$A$1:$AB$1,0)),"")</f>
        <v/>
      </c>
      <c r="AF1773" s="54">
        <f>IF(AND(IFERROR(INDEX($A1773:$AB1773,MATCH("Xero Invoice No",$A$1:$AB$1,0)),"")&amp;""&lt;&gt;"",ISNUMBER(AE1773),AD1773&lt;&gt;0),1,0)</f>
        <v/>
      </c>
      <c r="AG1773" s="55">
        <f>IF(AF1773=1,EOMONTH(AE1773,0),"")</f>
        <v/>
      </c>
      <c r="AH1773" s="9">
        <f>IF(AF1773=1,UPPER(TRIM(IFERROR(INDEX($A1773:$AB1773,MATCH("Client",$A$1:$AB$1,0)),"")&amp;"")),"")</f>
        <v/>
      </c>
      <c r="AI1773" s="9">
        <f>IF(AF1773=1,IFERROR(INDEX($A1773:$AB1773,MATCH("Cost Centre",$A$1:$AB$1,0)),"")&amp;"","")</f>
        <v/>
      </c>
      <c r="AJ1773" s="54">
        <f>IF(AND(AF1773=1,AE1773&gt;=set_FYStart,AE1773&lt;=set_AsAt),1,0)</f>
        <v/>
      </c>
      <c r="AK1773" s="54">
        <f>IF(AND(AJ1773=1,AH1773&lt;&gt;"",COUNTIFS($AH$2:AH1773,AH1773,$AJ$2:AJ1773,1)=1),N(AL1772)+1,"")</f>
        <v/>
      </c>
      <c r="AL1773" s="54">
        <f>IF(AK1773&lt;&gt;"",AK1773,N(AL1772))</f>
        <v/>
      </c>
    </row>
    <row r="1774">
      <c r="A1774" t="inlineStr">
        <is>
          <t>CON-0591</t>
        </is>
      </c>
      <c r="B1774" t="inlineStr">
        <is>
          <t>Consulting</t>
        </is>
      </c>
      <c r="AB1774" t="n">
        <v>591</v>
      </c>
      <c r="AD1774" s="52">
        <f>IFERROR(N(IFERROR(INDEX($A1774:$AB1774,MATCH("Xero Invoiced Ex GST",$A$1:$AB$1,0)),"")),0)</f>
        <v/>
      </c>
      <c r="AE1774" s="53">
        <f>IFERROR(INDEX($A1774:$AB1774,MATCH("Xero Invoice Date",$A$1:$AB$1,0)),"")</f>
        <v/>
      </c>
      <c r="AF1774" s="54">
        <f>IF(AND(IFERROR(INDEX($A1774:$AB1774,MATCH("Xero Invoice No",$A$1:$AB$1,0)),"")&amp;""&lt;&gt;"",ISNUMBER(AE1774),AD1774&lt;&gt;0),1,0)</f>
        <v/>
      </c>
      <c r="AG1774" s="55">
        <f>IF(AF1774=1,EOMONTH(AE1774,0),"")</f>
        <v/>
      </c>
      <c r="AH1774" s="9">
        <f>IF(AF1774=1,UPPER(TRIM(IFERROR(INDEX($A1774:$AB1774,MATCH("Client",$A$1:$AB$1,0)),"")&amp;"")),"")</f>
        <v/>
      </c>
      <c r="AI1774" s="9">
        <f>IF(AF1774=1,IFERROR(INDEX($A1774:$AB1774,MATCH("Cost Centre",$A$1:$AB$1,0)),"")&amp;"","")</f>
        <v/>
      </c>
      <c r="AJ1774" s="54">
        <f>IF(AND(AF1774=1,AE1774&gt;=set_FYStart,AE1774&lt;=set_AsAt),1,0)</f>
        <v/>
      </c>
      <c r="AK1774" s="54">
        <f>IF(AND(AJ1774=1,AH1774&lt;&gt;"",COUNTIFS($AH$2:AH1774,AH1774,$AJ$2:AJ1774,1)=1),N(AL1773)+1,"")</f>
        <v/>
      </c>
      <c r="AL1774" s="54">
        <f>IF(AK1774&lt;&gt;"",AK1774,N(AL1773))</f>
        <v/>
      </c>
    </row>
    <row r="1775">
      <c r="A1775" t="inlineStr">
        <is>
          <t>ONS-0592</t>
        </is>
      </c>
      <c r="B1775" t="inlineStr">
        <is>
          <t>Onsite</t>
        </is>
      </c>
      <c r="AB1775" t="n">
        <v>592</v>
      </c>
      <c r="AD1775" s="52">
        <f>IFERROR(N(IFERROR(INDEX($A1775:$AB1775,MATCH("Xero Invoiced Ex GST",$A$1:$AB$1,0)),"")),0)</f>
        <v/>
      </c>
      <c r="AE1775" s="53">
        <f>IFERROR(INDEX($A1775:$AB1775,MATCH("Xero Invoice Date",$A$1:$AB$1,0)),"")</f>
        <v/>
      </c>
      <c r="AF1775" s="54">
        <f>IF(AND(IFERROR(INDEX($A1775:$AB1775,MATCH("Xero Invoice No",$A$1:$AB$1,0)),"")&amp;""&lt;&gt;"",ISNUMBER(AE1775),AD1775&lt;&gt;0),1,0)</f>
        <v/>
      </c>
      <c r="AG1775" s="55">
        <f>IF(AF1775=1,EOMONTH(AE1775,0),"")</f>
        <v/>
      </c>
      <c r="AH1775" s="9">
        <f>IF(AF1775=1,UPPER(TRIM(IFERROR(INDEX($A1775:$AB1775,MATCH("Client",$A$1:$AB$1,0)),"")&amp;"")),"")</f>
        <v/>
      </c>
      <c r="AI1775" s="9">
        <f>IF(AF1775=1,IFERROR(INDEX($A1775:$AB1775,MATCH("Cost Centre",$A$1:$AB$1,0)),"")&amp;"","")</f>
        <v/>
      </c>
      <c r="AJ1775" s="54">
        <f>IF(AND(AF1775=1,AE1775&gt;=set_FYStart,AE1775&lt;=set_AsAt),1,0)</f>
        <v/>
      </c>
      <c r="AK1775" s="54">
        <f>IF(AND(AJ1775=1,AH1775&lt;&gt;"",COUNTIFS($AH$2:AH1775,AH1775,$AJ$2:AJ1775,1)=1),N(AL1774)+1,"")</f>
        <v/>
      </c>
      <c r="AL1775" s="54">
        <f>IF(AK1775&lt;&gt;"",AK1775,N(AL1774))</f>
        <v/>
      </c>
    </row>
    <row r="1776">
      <c r="A1776" t="inlineStr">
        <is>
          <t>PRD-0592</t>
        </is>
      </c>
      <c r="B1776" t="inlineStr">
        <is>
          <t>Production</t>
        </is>
      </c>
      <c r="AB1776" t="n">
        <v>592</v>
      </c>
      <c r="AD1776" s="52">
        <f>IFERROR(N(IFERROR(INDEX($A1776:$AB1776,MATCH("Xero Invoiced Ex GST",$A$1:$AB$1,0)),"")),0)</f>
        <v/>
      </c>
      <c r="AE1776" s="53">
        <f>IFERROR(INDEX($A1776:$AB1776,MATCH("Xero Invoice Date",$A$1:$AB$1,0)),"")</f>
        <v/>
      </c>
      <c r="AF1776" s="54">
        <f>IF(AND(IFERROR(INDEX($A1776:$AB1776,MATCH("Xero Invoice No",$A$1:$AB$1,0)),"")&amp;""&lt;&gt;"",ISNUMBER(AE1776),AD1776&lt;&gt;0),1,0)</f>
        <v/>
      </c>
      <c r="AG1776" s="55">
        <f>IF(AF1776=1,EOMONTH(AE1776,0),"")</f>
        <v/>
      </c>
      <c r="AH1776" s="9">
        <f>IF(AF1776=1,UPPER(TRIM(IFERROR(INDEX($A1776:$AB1776,MATCH("Client",$A$1:$AB$1,0)),"")&amp;"")),"")</f>
        <v/>
      </c>
      <c r="AI1776" s="9">
        <f>IF(AF1776=1,IFERROR(INDEX($A1776:$AB1776,MATCH("Cost Centre",$A$1:$AB$1,0)),"")&amp;"","")</f>
        <v/>
      </c>
      <c r="AJ1776" s="54">
        <f>IF(AND(AF1776=1,AE1776&gt;=set_FYStart,AE1776&lt;=set_AsAt),1,0)</f>
        <v/>
      </c>
      <c r="AK1776" s="54">
        <f>IF(AND(AJ1776=1,AH1776&lt;&gt;"",COUNTIFS($AH$2:AH1776,AH1776,$AJ$2:AJ1776,1)=1),N(AL1775)+1,"")</f>
        <v/>
      </c>
      <c r="AL1776" s="54">
        <f>IF(AK1776&lt;&gt;"",AK1776,N(AL1775))</f>
        <v/>
      </c>
    </row>
    <row r="1777">
      <c r="A1777" t="inlineStr">
        <is>
          <t>CON-0592</t>
        </is>
      </c>
      <c r="B1777" t="inlineStr">
        <is>
          <t>Consulting</t>
        </is>
      </c>
      <c r="AB1777" t="n">
        <v>592</v>
      </c>
      <c r="AD1777" s="52">
        <f>IFERROR(N(IFERROR(INDEX($A1777:$AB1777,MATCH("Xero Invoiced Ex GST",$A$1:$AB$1,0)),"")),0)</f>
        <v/>
      </c>
      <c r="AE1777" s="53">
        <f>IFERROR(INDEX($A1777:$AB1777,MATCH("Xero Invoice Date",$A$1:$AB$1,0)),"")</f>
        <v/>
      </c>
      <c r="AF1777" s="54">
        <f>IF(AND(IFERROR(INDEX($A1777:$AB1777,MATCH("Xero Invoice No",$A$1:$AB$1,0)),"")&amp;""&lt;&gt;"",ISNUMBER(AE1777),AD1777&lt;&gt;0),1,0)</f>
        <v/>
      </c>
      <c r="AG1777" s="55">
        <f>IF(AF1777=1,EOMONTH(AE1777,0),"")</f>
        <v/>
      </c>
      <c r="AH1777" s="9">
        <f>IF(AF1777=1,UPPER(TRIM(IFERROR(INDEX($A1777:$AB1777,MATCH("Client",$A$1:$AB$1,0)),"")&amp;"")),"")</f>
        <v/>
      </c>
      <c r="AI1777" s="9">
        <f>IF(AF1777=1,IFERROR(INDEX($A1777:$AB1777,MATCH("Cost Centre",$A$1:$AB$1,0)),"")&amp;"","")</f>
        <v/>
      </c>
      <c r="AJ1777" s="54">
        <f>IF(AND(AF1777=1,AE1777&gt;=set_FYStart,AE1777&lt;=set_AsAt),1,0)</f>
        <v/>
      </c>
      <c r="AK1777" s="54">
        <f>IF(AND(AJ1777=1,AH1777&lt;&gt;"",COUNTIFS($AH$2:AH1777,AH1777,$AJ$2:AJ1777,1)=1),N(AL1776)+1,"")</f>
        <v/>
      </c>
      <c r="AL1777" s="54">
        <f>IF(AK1777&lt;&gt;"",AK1777,N(AL1776))</f>
        <v/>
      </c>
    </row>
    <row r="1778">
      <c r="A1778" t="inlineStr">
        <is>
          <t>ONS-0593</t>
        </is>
      </c>
      <c r="B1778" t="inlineStr">
        <is>
          <t>Onsite</t>
        </is>
      </c>
      <c r="AB1778" t="n">
        <v>593</v>
      </c>
      <c r="AD1778" s="52">
        <f>IFERROR(N(IFERROR(INDEX($A1778:$AB1778,MATCH("Xero Invoiced Ex GST",$A$1:$AB$1,0)),"")),0)</f>
        <v/>
      </c>
      <c r="AE1778" s="53">
        <f>IFERROR(INDEX($A1778:$AB1778,MATCH("Xero Invoice Date",$A$1:$AB$1,0)),"")</f>
        <v/>
      </c>
      <c r="AF1778" s="54">
        <f>IF(AND(IFERROR(INDEX($A1778:$AB1778,MATCH("Xero Invoice No",$A$1:$AB$1,0)),"")&amp;""&lt;&gt;"",ISNUMBER(AE1778),AD1778&lt;&gt;0),1,0)</f>
        <v/>
      </c>
      <c r="AG1778" s="55">
        <f>IF(AF1778=1,EOMONTH(AE1778,0),"")</f>
        <v/>
      </c>
      <c r="AH1778" s="9">
        <f>IF(AF1778=1,UPPER(TRIM(IFERROR(INDEX($A1778:$AB1778,MATCH("Client",$A$1:$AB$1,0)),"")&amp;"")),"")</f>
        <v/>
      </c>
      <c r="AI1778" s="9">
        <f>IF(AF1778=1,IFERROR(INDEX($A1778:$AB1778,MATCH("Cost Centre",$A$1:$AB$1,0)),"")&amp;"","")</f>
        <v/>
      </c>
      <c r="AJ1778" s="54">
        <f>IF(AND(AF1778=1,AE1778&gt;=set_FYStart,AE1778&lt;=set_AsAt),1,0)</f>
        <v/>
      </c>
      <c r="AK1778" s="54">
        <f>IF(AND(AJ1778=1,AH1778&lt;&gt;"",COUNTIFS($AH$2:AH1778,AH1778,$AJ$2:AJ1778,1)=1),N(AL1777)+1,"")</f>
        <v/>
      </c>
      <c r="AL1778" s="54">
        <f>IF(AK1778&lt;&gt;"",AK1778,N(AL1777))</f>
        <v/>
      </c>
    </row>
    <row r="1779">
      <c r="A1779" t="inlineStr">
        <is>
          <t>PRD-0593</t>
        </is>
      </c>
      <c r="B1779" t="inlineStr">
        <is>
          <t>Production</t>
        </is>
      </c>
      <c r="AB1779" t="n">
        <v>593</v>
      </c>
      <c r="AD1779" s="52">
        <f>IFERROR(N(IFERROR(INDEX($A1779:$AB1779,MATCH("Xero Invoiced Ex GST",$A$1:$AB$1,0)),"")),0)</f>
        <v/>
      </c>
      <c r="AE1779" s="53">
        <f>IFERROR(INDEX($A1779:$AB1779,MATCH("Xero Invoice Date",$A$1:$AB$1,0)),"")</f>
        <v/>
      </c>
      <c r="AF1779" s="54">
        <f>IF(AND(IFERROR(INDEX($A1779:$AB1779,MATCH("Xero Invoice No",$A$1:$AB$1,0)),"")&amp;""&lt;&gt;"",ISNUMBER(AE1779),AD1779&lt;&gt;0),1,0)</f>
        <v/>
      </c>
      <c r="AG1779" s="55">
        <f>IF(AF1779=1,EOMONTH(AE1779,0),"")</f>
        <v/>
      </c>
      <c r="AH1779" s="9">
        <f>IF(AF1779=1,UPPER(TRIM(IFERROR(INDEX($A1779:$AB1779,MATCH("Client",$A$1:$AB$1,0)),"")&amp;"")),"")</f>
        <v/>
      </c>
      <c r="AI1779" s="9">
        <f>IF(AF1779=1,IFERROR(INDEX($A1779:$AB1779,MATCH("Cost Centre",$A$1:$AB$1,0)),"")&amp;"","")</f>
        <v/>
      </c>
      <c r="AJ1779" s="54">
        <f>IF(AND(AF1779=1,AE1779&gt;=set_FYStart,AE1779&lt;=set_AsAt),1,0)</f>
        <v/>
      </c>
      <c r="AK1779" s="54">
        <f>IF(AND(AJ1779=1,AH1779&lt;&gt;"",COUNTIFS($AH$2:AH1779,AH1779,$AJ$2:AJ1779,1)=1),N(AL1778)+1,"")</f>
        <v/>
      </c>
      <c r="AL1779" s="54">
        <f>IF(AK1779&lt;&gt;"",AK1779,N(AL1778))</f>
        <v/>
      </c>
    </row>
    <row r="1780">
      <c r="A1780" t="inlineStr">
        <is>
          <t>CON-0593</t>
        </is>
      </c>
      <c r="B1780" t="inlineStr">
        <is>
          <t>Consulting</t>
        </is>
      </c>
      <c r="AB1780" t="n">
        <v>593</v>
      </c>
      <c r="AD1780" s="52">
        <f>IFERROR(N(IFERROR(INDEX($A1780:$AB1780,MATCH("Xero Invoiced Ex GST",$A$1:$AB$1,0)),"")),0)</f>
        <v/>
      </c>
      <c r="AE1780" s="53">
        <f>IFERROR(INDEX($A1780:$AB1780,MATCH("Xero Invoice Date",$A$1:$AB$1,0)),"")</f>
        <v/>
      </c>
      <c r="AF1780" s="54">
        <f>IF(AND(IFERROR(INDEX($A1780:$AB1780,MATCH("Xero Invoice No",$A$1:$AB$1,0)),"")&amp;""&lt;&gt;"",ISNUMBER(AE1780),AD1780&lt;&gt;0),1,0)</f>
        <v/>
      </c>
      <c r="AG1780" s="55">
        <f>IF(AF1780=1,EOMONTH(AE1780,0),"")</f>
        <v/>
      </c>
      <c r="AH1780" s="9">
        <f>IF(AF1780=1,UPPER(TRIM(IFERROR(INDEX($A1780:$AB1780,MATCH("Client",$A$1:$AB$1,0)),"")&amp;"")),"")</f>
        <v/>
      </c>
      <c r="AI1780" s="9">
        <f>IF(AF1780=1,IFERROR(INDEX($A1780:$AB1780,MATCH("Cost Centre",$A$1:$AB$1,0)),"")&amp;"","")</f>
        <v/>
      </c>
      <c r="AJ1780" s="54">
        <f>IF(AND(AF1780=1,AE1780&gt;=set_FYStart,AE1780&lt;=set_AsAt),1,0)</f>
        <v/>
      </c>
      <c r="AK1780" s="54">
        <f>IF(AND(AJ1780=1,AH1780&lt;&gt;"",COUNTIFS($AH$2:AH1780,AH1780,$AJ$2:AJ1780,1)=1),N(AL1779)+1,"")</f>
        <v/>
      </c>
      <c r="AL1780" s="54">
        <f>IF(AK1780&lt;&gt;"",AK1780,N(AL1779))</f>
        <v/>
      </c>
    </row>
    <row r="1781">
      <c r="A1781" t="inlineStr">
        <is>
          <t>ONS-0594</t>
        </is>
      </c>
      <c r="B1781" t="inlineStr">
        <is>
          <t>Onsite</t>
        </is>
      </c>
      <c r="AB1781" t="n">
        <v>594</v>
      </c>
      <c r="AD1781" s="52">
        <f>IFERROR(N(IFERROR(INDEX($A1781:$AB1781,MATCH("Xero Invoiced Ex GST",$A$1:$AB$1,0)),"")),0)</f>
        <v/>
      </c>
      <c r="AE1781" s="53">
        <f>IFERROR(INDEX($A1781:$AB1781,MATCH("Xero Invoice Date",$A$1:$AB$1,0)),"")</f>
        <v/>
      </c>
      <c r="AF1781" s="54">
        <f>IF(AND(IFERROR(INDEX($A1781:$AB1781,MATCH("Xero Invoice No",$A$1:$AB$1,0)),"")&amp;""&lt;&gt;"",ISNUMBER(AE1781),AD1781&lt;&gt;0),1,0)</f>
        <v/>
      </c>
      <c r="AG1781" s="55">
        <f>IF(AF1781=1,EOMONTH(AE1781,0),"")</f>
        <v/>
      </c>
      <c r="AH1781" s="9">
        <f>IF(AF1781=1,UPPER(TRIM(IFERROR(INDEX($A1781:$AB1781,MATCH("Client",$A$1:$AB$1,0)),"")&amp;"")),"")</f>
        <v/>
      </c>
      <c r="AI1781" s="9">
        <f>IF(AF1781=1,IFERROR(INDEX($A1781:$AB1781,MATCH("Cost Centre",$A$1:$AB$1,0)),"")&amp;"","")</f>
        <v/>
      </c>
      <c r="AJ1781" s="54">
        <f>IF(AND(AF1781=1,AE1781&gt;=set_FYStart,AE1781&lt;=set_AsAt),1,0)</f>
        <v/>
      </c>
      <c r="AK1781" s="54">
        <f>IF(AND(AJ1781=1,AH1781&lt;&gt;"",COUNTIFS($AH$2:AH1781,AH1781,$AJ$2:AJ1781,1)=1),N(AL1780)+1,"")</f>
        <v/>
      </c>
      <c r="AL1781" s="54">
        <f>IF(AK1781&lt;&gt;"",AK1781,N(AL1780))</f>
        <v/>
      </c>
    </row>
    <row r="1782">
      <c r="A1782" t="inlineStr">
        <is>
          <t>PRD-0594</t>
        </is>
      </c>
      <c r="B1782" t="inlineStr">
        <is>
          <t>Production</t>
        </is>
      </c>
      <c r="AB1782" t="n">
        <v>594</v>
      </c>
      <c r="AD1782" s="52">
        <f>IFERROR(N(IFERROR(INDEX($A1782:$AB1782,MATCH("Xero Invoiced Ex GST",$A$1:$AB$1,0)),"")),0)</f>
        <v/>
      </c>
      <c r="AE1782" s="53">
        <f>IFERROR(INDEX($A1782:$AB1782,MATCH("Xero Invoice Date",$A$1:$AB$1,0)),"")</f>
        <v/>
      </c>
      <c r="AF1782" s="54">
        <f>IF(AND(IFERROR(INDEX($A1782:$AB1782,MATCH("Xero Invoice No",$A$1:$AB$1,0)),"")&amp;""&lt;&gt;"",ISNUMBER(AE1782),AD1782&lt;&gt;0),1,0)</f>
        <v/>
      </c>
      <c r="AG1782" s="55">
        <f>IF(AF1782=1,EOMONTH(AE1782,0),"")</f>
        <v/>
      </c>
      <c r="AH1782" s="9">
        <f>IF(AF1782=1,UPPER(TRIM(IFERROR(INDEX($A1782:$AB1782,MATCH("Client",$A$1:$AB$1,0)),"")&amp;"")),"")</f>
        <v/>
      </c>
      <c r="AI1782" s="9">
        <f>IF(AF1782=1,IFERROR(INDEX($A1782:$AB1782,MATCH("Cost Centre",$A$1:$AB$1,0)),"")&amp;"","")</f>
        <v/>
      </c>
      <c r="AJ1782" s="54">
        <f>IF(AND(AF1782=1,AE1782&gt;=set_FYStart,AE1782&lt;=set_AsAt),1,0)</f>
        <v/>
      </c>
      <c r="AK1782" s="54">
        <f>IF(AND(AJ1782=1,AH1782&lt;&gt;"",COUNTIFS($AH$2:AH1782,AH1782,$AJ$2:AJ1782,1)=1),N(AL1781)+1,"")</f>
        <v/>
      </c>
      <c r="AL1782" s="54">
        <f>IF(AK1782&lt;&gt;"",AK1782,N(AL1781))</f>
        <v/>
      </c>
    </row>
    <row r="1783">
      <c r="A1783" t="inlineStr">
        <is>
          <t>CON-0594</t>
        </is>
      </c>
      <c r="B1783" t="inlineStr">
        <is>
          <t>Consulting</t>
        </is>
      </c>
      <c r="AB1783" t="n">
        <v>594</v>
      </c>
      <c r="AD1783" s="52">
        <f>IFERROR(N(IFERROR(INDEX($A1783:$AB1783,MATCH("Xero Invoiced Ex GST",$A$1:$AB$1,0)),"")),0)</f>
        <v/>
      </c>
      <c r="AE1783" s="53">
        <f>IFERROR(INDEX($A1783:$AB1783,MATCH("Xero Invoice Date",$A$1:$AB$1,0)),"")</f>
        <v/>
      </c>
      <c r="AF1783" s="54">
        <f>IF(AND(IFERROR(INDEX($A1783:$AB1783,MATCH("Xero Invoice No",$A$1:$AB$1,0)),"")&amp;""&lt;&gt;"",ISNUMBER(AE1783),AD1783&lt;&gt;0),1,0)</f>
        <v/>
      </c>
      <c r="AG1783" s="55">
        <f>IF(AF1783=1,EOMONTH(AE1783,0),"")</f>
        <v/>
      </c>
      <c r="AH1783" s="9">
        <f>IF(AF1783=1,UPPER(TRIM(IFERROR(INDEX($A1783:$AB1783,MATCH("Client",$A$1:$AB$1,0)),"")&amp;"")),"")</f>
        <v/>
      </c>
      <c r="AI1783" s="9">
        <f>IF(AF1783=1,IFERROR(INDEX($A1783:$AB1783,MATCH("Cost Centre",$A$1:$AB$1,0)),"")&amp;"","")</f>
        <v/>
      </c>
      <c r="AJ1783" s="54">
        <f>IF(AND(AF1783=1,AE1783&gt;=set_FYStart,AE1783&lt;=set_AsAt),1,0)</f>
        <v/>
      </c>
      <c r="AK1783" s="54">
        <f>IF(AND(AJ1783=1,AH1783&lt;&gt;"",COUNTIFS($AH$2:AH1783,AH1783,$AJ$2:AJ1783,1)=1),N(AL1782)+1,"")</f>
        <v/>
      </c>
      <c r="AL1783" s="54">
        <f>IF(AK1783&lt;&gt;"",AK1783,N(AL1782))</f>
        <v/>
      </c>
    </row>
    <row r="1784">
      <c r="A1784" t="inlineStr">
        <is>
          <t>ONS-0595</t>
        </is>
      </c>
      <c r="B1784" t="inlineStr">
        <is>
          <t>Onsite</t>
        </is>
      </c>
      <c r="AB1784" t="n">
        <v>595</v>
      </c>
      <c r="AD1784" s="52">
        <f>IFERROR(N(IFERROR(INDEX($A1784:$AB1784,MATCH("Xero Invoiced Ex GST",$A$1:$AB$1,0)),"")),0)</f>
        <v/>
      </c>
      <c r="AE1784" s="53">
        <f>IFERROR(INDEX($A1784:$AB1784,MATCH("Xero Invoice Date",$A$1:$AB$1,0)),"")</f>
        <v/>
      </c>
      <c r="AF1784" s="54">
        <f>IF(AND(IFERROR(INDEX($A1784:$AB1784,MATCH("Xero Invoice No",$A$1:$AB$1,0)),"")&amp;""&lt;&gt;"",ISNUMBER(AE1784),AD1784&lt;&gt;0),1,0)</f>
        <v/>
      </c>
      <c r="AG1784" s="55">
        <f>IF(AF1784=1,EOMONTH(AE1784,0),"")</f>
        <v/>
      </c>
      <c r="AH1784" s="9">
        <f>IF(AF1784=1,UPPER(TRIM(IFERROR(INDEX($A1784:$AB1784,MATCH("Client",$A$1:$AB$1,0)),"")&amp;"")),"")</f>
        <v/>
      </c>
      <c r="AI1784" s="9">
        <f>IF(AF1784=1,IFERROR(INDEX($A1784:$AB1784,MATCH("Cost Centre",$A$1:$AB$1,0)),"")&amp;"","")</f>
        <v/>
      </c>
      <c r="AJ1784" s="54">
        <f>IF(AND(AF1784=1,AE1784&gt;=set_FYStart,AE1784&lt;=set_AsAt),1,0)</f>
        <v/>
      </c>
      <c r="AK1784" s="54">
        <f>IF(AND(AJ1784=1,AH1784&lt;&gt;"",COUNTIFS($AH$2:AH1784,AH1784,$AJ$2:AJ1784,1)=1),N(AL1783)+1,"")</f>
        <v/>
      </c>
      <c r="AL1784" s="54">
        <f>IF(AK1784&lt;&gt;"",AK1784,N(AL1783))</f>
        <v/>
      </c>
    </row>
    <row r="1785">
      <c r="A1785" t="inlineStr">
        <is>
          <t>PRD-0595</t>
        </is>
      </c>
      <c r="B1785" t="inlineStr">
        <is>
          <t>Production</t>
        </is>
      </c>
      <c r="AB1785" t="n">
        <v>595</v>
      </c>
      <c r="AD1785" s="52">
        <f>IFERROR(N(IFERROR(INDEX($A1785:$AB1785,MATCH("Xero Invoiced Ex GST",$A$1:$AB$1,0)),"")),0)</f>
        <v/>
      </c>
      <c r="AE1785" s="53">
        <f>IFERROR(INDEX($A1785:$AB1785,MATCH("Xero Invoice Date",$A$1:$AB$1,0)),"")</f>
        <v/>
      </c>
      <c r="AF1785" s="54">
        <f>IF(AND(IFERROR(INDEX($A1785:$AB1785,MATCH("Xero Invoice No",$A$1:$AB$1,0)),"")&amp;""&lt;&gt;"",ISNUMBER(AE1785),AD1785&lt;&gt;0),1,0)</f>
        <v/>
      </c>
      <c r="AG1785" s="55">
        <f>IF(AF1785=1,EOMONTH(AE1785,0),"")</f>
        <v/>
      </c>
      <c r="AH1785" s="9">
        <f>IF(AF1785=1,UPPER(TRIM(IFERROR(INDEX($A1785:$AB1785,MATCH("Client",$A$1:$AB$1,0)),"")&amp;"")),"")</f>
        <v/>
      </c>
      <c r="AI1785" s="9">
        <f>IF(AF1785=1,IFERROR(INDEX($A1785:$AB1785,MATCH("Cost Centre",$A$1:$AB$1,0)),"")&amp;"","")</f>
        <v/>
      </c>
      <c r="AJ1785" s="54">
        <f>IF(AND(AF1785=1,AE1785&gt;=set_FYStart,AE1785&lt;=set_AsAt),1,0)</f>
        <v/>
      </c>
      <c r="AK1785" s="54">
        <f>IF(AND(AJ1785=1,AH1785&lt;&gt;"",COUNTIFS($AH$2:AH1785,AH1785,$AJ$2:AJ1785,1)=1),N(AL1784)+1,"")</f>
        <v/>
      </c>
      <c r="AL1785" s="54">
        <f>IF(AK1785&lt;&gt;"",AK1785,N(AL1784))</f>
        <v/>
      </c>
    </row>
    <row r="1786">
      <c r="A1786" t="inlineStr">
        <is>
          <t>CON-0595</t>
        </is>
      </c>
      <c r="B1786" t="inlineStr">
        <is>
          <t>Consulting</t>
        </is>
      </c>
      <c r="AB1786" t="n">
        <v>595</v>
      </c>
      <c r="AD1786" s="52">
        <f>IFERROR(N(IFERROR(INDEX($A1786:$AB1786,MATCH("Xero Invoiced Ex GST",$A$1:$AB$1,0)),"")),0)</f>
        <v/>
      </c>
      <c r="AE1786" s="53">
        <f>IFERROR(INDEX($A1786:$AB1786,MATCH("Xero Invoice Date",$A$1:$AB$1,0)),"")</f>
        <v/>
      </c>
      <c r="AF1786" s="54">
        <f>IF(AND(IFERROR(INDEX($A1786:$AB1786,MATCH("Xero Invoice No",$A$1:$AB$1,0)),"")&amp;""&lt;&gt;"",ISNUMBER(AE1786),AD1786&lt;&gt;0),1,0)</f>
        <v/>
      </c>
      <c r="AG1786" s="55">
        <f>IF(AF1786=1,EOMONTH(AE1786,0),"")</f>
        <v/>
      </c>
      <c r="AH1786" s="9">
        <f>IF(AF1786=1,UPPER(TRIM(IFERROR(INDEX($A1786:$AB1786,MATCH("Client",$A$1:$AB$1,0)),"")&amp;"")),"")</f>
        <v/>
      </c>
      <c r="AI1786" s="9">
        <f>IF(AF1786=1,IFERROR(INDEX($A1786:$AB1786,MATCH("Cost Centre",$A$1:$AB$1,0)),"")&amp;"","")</f>
        <v/>
      </c>
      <c r="AJ1786" s="54">
        <f>IF(AND(AF1786=1,AE1786&gt;=set_FYStart,AE1786&lt;=set_AsAt),1,0)</f>
        <v/>
      </c>
      <c r="AK1786" s="54">
        <f>IF(AND(AJ1786=1,AH1786&lt;&gt;"",COUNTIFS($AH$2:AH1786,AH1786,$AJ$2:AJ1786,1)=1),N(AL1785)+1,"")</f>
        <v/>
      </c>
      <c r="AL1786" s="54">
        <f>IF(AK1786&lt;&gt;"",AK1786,N(AL1785))</f>
        <v/>
      </c>
    </row>
    <row r="1787">
      <c r="A1787" t="inlineStr">
        <is>
          <t>ONS-0596</t>
        </is>
      </c>
      <c r="B1787" t="inlineStr">
        <is>
          <t>Onsite</t>
        </is>
      </c>
      <c r="AB1787" t="n">
        <v>596</v>
      </c>
      <c r="AD1787" s="52">
        <f>IFERROR(N(IFERROR(INDEX($A1787:$AB1787,MATCH("Xero Invoiced Ex GST",$A$1:$AB$1,0)),"")),0)</f>
        <v/>
      </c>
      <c r="AE1787" s="53">
        <f>IFERROR(INDEX($A1787:$AB1787,MATCH("Xero Invoice Date",$A$1:$AB$1,0)),"")</f>
        <v/>
      </c>
      <c r="AF1787" s="54">
        <f>IF(AND(IFERROR(INDEX($A1787:$AB1787,MATCH("Xero Invoice No",$A$1:$AB$1,0)),"")&amp;""&lt;&gt;"",ISNUMBER(AE1787),AD1787&lt;&gt;0),1,0)</f>
        <v/>
      </c>
      <c r="AG1787" s="55">
        <f>IF(AF1787=1,EOMONTH(AE1787,0),"")</f>
        <v/>
      </c>
      <c r="AH1787" s="9">
        <f>IF(AF1787=1,UPPER(TRIM(IFERROR(INDEX($A1787:$AB1787,MATCH("Client",$A$1:$AB$1,0)),"")&amp;"")),"")</f>
        <v/>
      </c>
      <c r="AI1787" s="9">
        <f>IF(AF1787=1,IFERROR(INDEX($A1787:$AB1787,MATCH("Cost Centre",$A$1:$AB$1,0)),"")&amp;"","")</f>
        <v/>
      </c>
      <c r="AJ1787" s="54">
        <f>IF(AND(AF1787=1,AE1787&gt;=set_FYStart,AE1787&lt;=set_AsAt),1,0)</f>
        <v/>
      </c>
      <c r="AK1787" s="54">
        <f>IF(AND(AJ1787=1,AH1787&lt;&gt;"",COUNTIFS($AH$2:AH1787,AH1787,$AJ$2:AJ1787,1)=1),N(AL1786)+1,"")</f>
        <v/>
      </c>
      <c r="AL1787" s="54">
        <f>IF(AK1787&lt;&gt;"",AK1787,N(AL1786))</f>
        <v/>
      </c>
    </row>
    <row r="1788">
      <c r="A1788" t="inlineStr">
        <is>
          <t>PRD-0596</t>
        </is>
      </c>
      <c r="B1788" t="inlineStr">
        <is>
          <t>Production</t>
        </is>
      </c>
      <c r="AB1788" t="n">
        <v>596</v>
      </c>
      <c r="AD1788" s="52">
        <f>IFERROR(N(IFERROR(INDEX($A1788:$AB1788,MATCH("Xero Invoiced Ex GST",$A$1:$AB$1,0)),"")),0)</f>
        <v/>
      </c>
      <c r="AE1788" s="53">
        <f>IFERROR(INDEX($A1788:$AB1788,MATCH("Xero Invoice Date",$A$1:$AB$1,0)),"")</f>
        <v/>
      </c>
      <c r="AF1788" s="54">
        <f>IF(AND(IFERROR(INDEX($A1788:$AB1788,MATCH("Xero Invoice No",$A$1:$AB$1,0)),"")&amp;""&lt;&gt;"",ISNUMBER(AE1788),AD1788&lt;&gt;0),1,0)</f>
        <v/>
      </c>
      <c r="AG1788" s="55">
        <f>IF(AF1788=1,EOMONTH(AE1788,0),"")</f>
        <v/>
      </c>
      <c r="AH1788" s="9">
        <f>IF(AF1788=1,UPPER(TRIM(IFERROR(INDEX($A1788:$AB1788,MATCH("Client",$A$1:$AB$1,0)),"")&amp;"")),"")</f>
        <v/>
      </c>
      <c r="AI1788" s="9">
        <f>IF(AF1788=1,IFERROR(INDEX($A1788:$AB1788,MATCH("Cost Centre",$A$1:$AB$1,0)),"")&amp;"","")</f>
        <v/>
      </c>
      <c r="AJ1788" s="54">
        <f>IF(AND(AF1788=1,AE1788&gt;=set_FYStart,AE1788&lt;=set_AsAt),1,0)</f>
        <v/>
      </c>
      <c r="AK1788" s="54">
        <f>IF(AND(AJ1788=1,AH1788&lt;&gt;"",COUNTIFS($AH$2:AH1788,AH1788,$AJ$2:AJ1788,1)=1),N(AL1787)+1,"")</f>
        <v/>
      </c>
      <c r="AL1788" s="54">
        <f>IF(AK1788&lt;&gt;"",AK1788,N(AL1787))</f>
        <v/>
      </c>
    </row>
    <row r="1789">
      <c r="A1789" t="inlineStr">
        <is>
          <t>CON-0596</t>
        </is>
      </c>
      <c r="B1789" t="inlineStr">
        <is>
          <t>Consulting</t>
        </is>
      </c>
      <c r="AB1789" t="n">
        <v>596</v>
      </c>
      <c r="AD1789" s="52">
        <f>IFERROR(N(IFERROR(INDEX($A1789:$AB1789,MATCH("Xero Invoiced Ex GST",$A$1:$AB$1,0)),"")),0)</f>
        <v/>
      </c>
      <c r="AE1789" s="53">
        <f>IFERROR(INDEX($A1789:$AB1789,MATCH("Xero Invoice Date",$A$1:$AB$1,0)),"")</f>
        <v/>
      </c>
      <c r="AF1789" s="54">
        <f>IF(AND(IFERROR(INDEX($A1789:$AB1789,MATCH("Xero Invoice No",$A$1:$AB$1,0)),"")&amp;""&lt;&gt;"",ISNUMBER(AE1789),AD1789&lt;&gt;0),1,0)</f>
        <v/>
      </c>
      <c r="AG1789" s="55">
        <f>IF(AF1789=1,EOMONTH(AE1789,0),"")</f>
        <v/>
      </c>
      <c r="AH1789" s="9">
        <f>IF(AF1789=1,UPPER(TRIM(IFERROR(INDEX($A1789:$AB1789,MATCH("Client",$A$1:$AB$1,0)),"")&amp;"")),"")</f>
        <v/>
      </c>
      <c r="AI1789" s="9">
        <f>IF(AF1789=1,IFERROR(INDEX($A1789:$AB1789,MATCH("Cost Centre",$A$1:$AB$1,0)),"")&amp;"","")</f>
        <v/>
      </c>
      <c r="AJ1789" s="54">
        <f>IF(AND(AF1789=1,AE1789&gt;=set_FYStart,AE1789&lt;=set_AsAt),1,0)</f>
        <v/>
      </c>
      <c r="AK1789" s="54">
        <f>IF(AND(AJ1789=1,AH1789&lt;&gt;"",COUNTIFS($AH$2:AH1789,AH1789,$AJ$2:AJ1789,1)=1),N(AL1788)+1,"")</f>
        <v/>
      </c>
      <c r="AL1789" s="54">
        <f>IF(AK1789&lt;&gt;"",AK1789,N(AL1788))</f>
        <v/>
      </c>
    </row>
    <row r="1790">
      <c r="A1790" t="inlineStr">
        <is>
          <t>ONS-0597</t>
        </is>
      </c>
      <c r="B1790" t="inlineStr">
        <is>
          <t>Onsite</t>
        </is>
      </c>
      <c r="AB1790" t="n">
        <v>597</v>
      </c>
      <c r="AD1790" s="52">
        <f>IFERROR(N(IFERROR(INDEX($A1790:$AB1790,MATCH("Xero Invoiced Ex GST",$A$1:$AB$1,0)),"")),0)</f>
        <v/>
      </c>
      <c r="AE1790" s="53">
        <f>IFERROR(INDEX($A1790:$AB1790,MATCH("Xero Invoice Date",$A$1:$AB$1,0)),"")</f>
        <v/>
      </c>
      <c r="AF1790" s="54">
        <f>IF(AND(IFERROR(INDEX($A1790:$AB1790,MATCH("Xero Invoice No",$A$1:$AB$1,0)),"")&amp;""&lt;&gt;"",ISNUMBER(AE1790),AD1790&lt;&gt;0),1,0)</f>
        <v/>
      </c>
      <c r="AG1790" s="55">
        <f>IF(AF1790=1,EOMONTH(AE1790,0),"")</f>
        <v/>
      </c>
      <c r="AH1790" s="9">
        <f>IF(AF1790=1,UPPER(TRIM(IFERROR(INDEX($A1790:$AB1790,MATCH("Client",$A$1:$AB$1,0)),"")&amp;"")),"")</f>
        <v/>
      </c>
      <c r="AI1790" s="9">
        <f>IF(AF1790=1,IFERROR(INDEX($A1790:$AB1790,MATCH("Cost Centre",$A$1:$AB$1,0)),"")&amp;"","")</f>
        <v/>
      </c>
      <c r="AJ1790" s="54">
        <f>IF(AND(AF1790=1,AE1790&gt;=set_FYStart,AE1790&lt;=set_AsAt),1,0)</f>
        <v/>
      </c>
      <c r="AK1790" s="54">
        <f>IF(AND(AJ1790=1,AH1790&lt;&gt;"",COUNTIFS($AH$2:AH1790,AH1790,$AJ$2:AJ1790,1)=1),N(AL1789)+1,"")</f>
        <v/>
      </c>
      <c r="AL1790" s="54">
        <f>IF(AK1790&lt;&gt;"",AK1790,N(AL1789))</f>
        <v/>
      </c>
    </row>
    <row r="1791">
      <c r="A1791" t="inlineStr">
        <is>
          <t>PRD-0597</t>
        </is>
      </c>
      <c r="B1791" t="inlineStr">
        <is>
          <t>Production</t>
        </is>
      </c>
      <c r="AB1791" t="n">
        <v>597</v>
      </c>
      <c r="AD1791" s="52">
        <f>IFERROR(N(IFERROR(INDEX($A1791:$AB1791,MATCH("Xero Invoiced Ex GST",$A$1:$AB$1,0)),"")),0)</f>
        <v/>
      </c>
      <c r="AE1791" s="53">
        <f>IFERROR(INDEX($A1791:$AB1791,MATCH("Xero Invoice Date",$A$1:$AB$1,0)),"")</f>
        <v/>
      </c>
      <c r="AF1791" s="54">
        <f>IF(AND(IFERROR(INDEX($A1791:$AB1791,MATCH("Xero Invoice No",$A$1:$AB$1,0)),"")&amp;""&lt;&gt;"",ISNUMBER(AE1791),AD1791&lt;&gt;0),1,0)</f>
        <v/>
      </c>
      <c r="AG1791" s="55">
        <f>IF(AF1791=1,EOMONTH(AE1791,0),"")</f>
        <v/>
      </c>
      <c r="AH1791" s="9">
        <f>IF(AF1791=1,UPPER(TRIM(IFERROR(INDEX($A1791:$AB1791,MATCH("Client",$A$1:$AB$1,0)),"")&amp;"")),"")</f>
        <v/>
      </c>
      <c r="AI1791" s="9">
        <f>IF(AF1791=1,IFERROR(INDEX($A1791:$AB1791,MATCH("Cost Centre",$A$1:$AB$1,0)),"")&amp;"","")</f>
        <v/>
      </c>
      <c r="AJ1791" s="54">
        <f>IF(AND(AF1791=1,AE1791&gt;=set_FYStart,AE1791&lt;=set_AsAt),1,0)</f>
        <v/>
      </c>
      <c r="AK1791" s="54">
        <f>IF(AND(AJ1791=1,AH1791&lt;&gt;"",COUNTIFS($AH$2:AH1791,AH1791,$AJ$2:AJ1791,1)=1),N(AL1790)+1,"")</f>
        <v/>
      </c>
      <c r="AL1791" s="54">
        <f>IF(AK1791&lt;&gt;"",AK1791,N(AL1790))</f>
        <v/>
      </c>
    </row>
    <row r="1792">
      <c r="A1792" t="inlineStr">
        <is>
          <t>CON-0597</t>
        </is>
      </c>
      <c r="B1792" t="inlineStr">
        <is>
          <t>Consulting</t>
        </is>
      </c>
      <c r="AB1792" t="n">
        <v>597</v>
      </c>
      <c r="AD1792" s="52">
        <f>IFERROR(N(IFERROR(INDEX($A1792:$AB1792,MATCH("Xero Invoiced Ex GST",$A$1:$AB$1,0)),"")),0)</f>
        <v/>
      </c>
      <c r="AE1792" s="53">
        <f>IFERROR(INDEX($A1792:$AB1792,MATCH("Xero Invoice Date",$A$1:$AB$1,0)),"")</f>
        <v/>
      </c>
      <c r="AF1792" s="54">
        <f>IF(AND(IFERROR(INDEX($A1792:$AB1792,MATCH("Xero Invoice No",$A$1:$AB$1,0)),"")&amp;""&lt;&gt;"",ISNUMBER(AE1792),AD1792&lt;&gt;0),1,0)</f>
        <v/>
      </c>
      <c r="AG1792" s="55">
        <f>IF(AF1792=1,EOMONTH(AE1792,0),"")</f>
        <v/>
      </c>
      <c r="AH1792" s="9">
        <f>IF(AF1792=1,UPPER(TRIM(IFERROR(INDEX($A1792:$AB1792,MATCH("Client",$A$1:$AB$1,0)),"")&amp;"")),"")</f>
        <v/>
      </c>
      <c r="AI1792" s="9">
        <f>IF(AF1792=1,IFERROR(INDEX($A1792:$AB1792,MATCH("Cost Centre",$A$1:$AB$1,0)),"")&amp;"","")</f>
        <v/>
      </c>
      <c r="AJ1792" s="54">
        <f>IF(AND(AF1792=1,AE1792&gt;=set_FYStart,AE1792&lt;=set_AsAt),1,0)</f>
        <v/>
      </c>
      <c r="AK1792" s="54">
        <f>IF(AND(AJ1792=1,AH1792&lt;&gt;"",COUNTIFS($AH$2:AH1792,AH1792,$AJ$2:AJ1792,1)=1),N(AL1791)+1,"")</f>
        <v/>
      </c>
      <c r="AL1792" s="54">
        <f>IF(AK1792&lt;&gt;"",AK1792,N(AL1791))</f>
        <v/>
      </c>
    </row>
    <row r="1793">
      <c r="A1793" t="inlineStr">
        <is>
          <t>ONS-0598</t>
        </is>
      </c>
      <c r="B1793" t="inlineStr">
        <is>
          <t>Onsite</t>
        </is>
      </c>
      <c r="AB1793" t="n">
        <v>598</v>
      </c>
      <c r="AD1793" s="52">
        <f>IFERROR(N(IFERROR(INDEX($A1793:$AB1793,MATCH("Xero Invoiced Ex GST",$A$1:$AB$1,0)),"")),0)</f>
        <v/>
      </c>
      <c r="AE1793" s="53">
        <f>IFERROR(INDEX($A1793:$AB1793,MATCH("Xero Invoice Date",$A$1:$AB$1,0)),"")</f>
        <v/>
      </c>
      <c r="AF1793" s="54">
        <f>IF(AND(IFERROR(INDEX($A1793:$AB1793,MATCH("Xero Invoice No",$A$1:$AB$1,0)),"")&amp;""&lt;&gt;"",ISNUMBER(AE1793),AD1793&lt;&gt;0),1,0)</f>
        <v/>
      </c>
      <c r="AG1793" s="55">
        <f>IF(AF1793=1,EOMONTH(AE1793,0),"")</f>
        <v/>
      </c>
      <c r="AH1793" s="9">
        <f>IF(AF1793=1,UPPER(TRIM(IFERROR(INDEX($A1793:$AB1793,MATCH("Client",$A$1:$AB$1,0)),"")&amp;"")),"")</f>
        <v/>
      </c>
      <c r="AI1793" s="9">
        <f>IF(AF1793=1,IFERROR(INDEX($A1793:$AB1793,MATCH("Cost Centre",$A$1:$AB$1,0)),"")&amp;"","")</f>
        <v/>
      </c>
      <c r="AJ1793" s="54">
        <f>IF(AND(AF1793=1,AE1793&gt;=set_FYStart,AE1793&lt;=set_AsAt),1,0)</f>
        <v/>
      </c>
      <c r="AK1793" s="54">
        <f>IF(AND(AJ1793=1,AH1793&lt;&gt;"",COUNTIFS($AH$2:AH1793,AH1793,$AJ$2:AJ1793,1)=1),N(AL1792)+1,"")</f>
        <v/>
      </c>
      <c r="AL1793" s="54">
        <f>IF(AK1793&lt;&gt;"",AK1793,N(AL1792))</f>
        <v/>
      </c>
    </row>
    <row r="1794">
      <c r="A1794" t="inlineStr">
        <is>
          <t>PRD-0598</t>
        </is>
      </c>
      <c r="B1794" t="inlineStr">
        <is>
          <t>Production</t>
        </is>
      </c>
      <c r="AB1794" t="n">
        <v>598</v>
      </c>
      <c r="AD1794" s="52">
        <f>IFERROR(N(IFERROR(INDEX($A1794:$AB1794,MATCH("Xero Invoiced Ex GST",$A$1:$AB$1,0)),"")),0)</f>
        <v/>
      </c>
      <c r="AE1794" s="53">
        <f>IFERROR(INDEX($A1794:$AB1794,MATCH("Xero Invoice Date",$A$1:$AB$1,0)),"")</f>
        <v/>
      </c>
      <c r="AF1794" s="54">
        <f>IF(AND(IFERROR(INDEX($A1794:$AB1794,MATCH("Xero Invoice No",$A$1:$AB$1,0)),"")&amp;""&lt;&gt;"",ISNUMBER(AE1794),AD1794&lt;&gt;0),1,0)</f>
        <v/>
      </c>
      <c r="AG1794" s="55">
        <f>IF(AF1794=1,EOMONTH(AE1794,0),"")</f>
        <v/>
      </c>
      <c r="AH1794" s="9">
        <f>IF(AF1794=1,UPPER(TRIM(IFERROR(INDEX($A1794:$AB1794,MATCH("Client",$A$1:$AB$1,0)),"")&amp;"")),"")</f>
        <v/>
      </c>
      <c r="AI1794" s="9">
        <f>IF(AF1794=1,IFERROR(INDEX($A1794:$AB1794,MATCH("Cost Centre",$A$1:$AB$1,0)),"")&amp;"","")</f>
        <v/>
      </c>
      <c r="AJ1794" s="54">
        <f>IF(AND(AF1794=1,AE1794&gt;=set_FYStart,AE1794&lt;=set_AsAt),1,0)</f>
        <v/>
      </c>
      <c r="AK1794" s="54">
        <f>IF(AND(AJ1794=1,AH1794&lt;&gt;"",COUNTIFS($AH$2:AH1794,AH1794,$AJ$2:AJ1794,1)=1),N(AL1793)+1,"")</f>
        <v/>
      </c>
      <c r="AL1794" s="54">
        <f>IF(AK1794&lt;&gt;"",AK1794,N(AL1793))</f>
        <v/>
      </c>
    </row>
    <row r="1795">
      <c r="A1795" t="inlineStr">
        <is>
          <t>CON-0598</t>
        </is>
      </c>
      <c r="B1795" t="inlineStr">
        <is>
          <t>Consulting</t>
        </is>
      </c>
      <c r="AB1795" t="n">
        <v>598</v>
      </c>
      <c r="AD1795" s="52">
        <f>IFERROR(N(IFERROR(INDEX($A1795:$AB1795,MATCH("Xero Invoiced Ex GST",$A$1:$AB$1,0)),"")),0)</f>
        <v/>
      </c>
      <c r="AE1795" s="53">
        <f>IFERROR(INDEX($A1795:$AB1795,MATCH("Xero Invoice Date",$A$1:$AB$1,0)),"")</f>
        <v/>
      </c>
      <c r="AF1795" s="54">
        <f>IF(AND(IFERROR(INDEX($A1795:$AB1795,MATCH("Xero Invoice No",$A$1:$AB$1,0)),"")&amp;""&lt;&gt;"",ISNUMBER(AE1795),AD1795&lt;&gt;0),1,0)</f>
        <v/>
      </c>
      <c r="AG1795" s="55">
        <f>IF(AF1795=1,EOMONTH(AE1795,0),"")</f>
        <v/>
      </c>
      <c r="AH1795" s="9">
        <f>IF(AF1795=1,UPPER(TRIM(IFERROR(INDEX($A1795:$AB1795,MATCH("Client",$A$1:$AB$1,0)),"")&amp;"")),"")</f>
        <v/>
      </c>
      <c r="AI1795" s="9">
        <f>IF(AF1795=1,IFERROR(INDEX($A1795:$AB1795,MATCH("Cost Centre",$A$1:$AB$1,0)),"")&amp;"","")</f>
        <v/>
      </c>
      <c r="AJ1795" s="54">
        <f>IF(AND(AF1795=1,AE1795&gt;=set_FYStart,AE1795&lt;=set_AsAt),1,0)</f>
        <v/>
      </c>
      <c r="AK1795" s="54">
        <f>IF(AND(AJ1795=1,AH1795&lt;&gt;"",COUNTIFS($AH$2:AH1795,AH1795,$AJ$2:AJ1795,1)=1),N(AL1794)+1,"")</f>
        <v/>
      </c>
      <c r="AL1795" s="54">
        <f>IF(AK1795&lt;&gt;"",AK1795,N(AL1794))</f>
        <v/>
      </c>
    </row>
    <row r="1796">
      <c r="A1796" t="inlineStr">
        <is>
          <t>ONS-0599</t>
        </is>
      </c>
      <c r="B1796" t="inlineStr">
        <is>
          <t>Onsite</t>
        </is>
      </c>
      <c r="AB1796" t="n">
        <v>599</v>
      </c>
      <c r="AD1796" s="52">
        <f>IFERROR(N(IFERROR(INDEX($A1796:$AB1796,MATCH("Xero Invoiced Ex GST",$A$1:$AB$1,0)),"")),0)</f>
        <v/>
      </c>
      <c r="AE1796" s="53">
        <f>IFERROR(INDEX($A1796:$AB1796,MATCH("Xero Invoice Date",$A$1:$AB$1,0)),"")</f>
        <v/>
      </c>
      <c r="AF1796" s="54">
        <f>IF(AND(IFERROR(INDEX($A1796:$AB1796,MATCH("Xero Invoice No",$A$1:$AB$1,0)),"")&amp;""&lt;&gt;"",ISNUMBER(AE1796),AD1796&lt;&gt;0),1,0)</f>
        <v/>
      </c>
      <c r="AG1796" s="55">
        <f>IF(AF1796=1,EOMONTH(AE1796,0),"")</f>
        <v/>
      </c>
      <c r="AH1796" s="9">
        <f>IF(AF1796=1,UPPER(TRIM(IFERROR(INDEX($A1796:$AB1796,MATCH("Client",$A$1:$AB$1,0)),"")&amp;"")),"")</f>
        <v/>
      </c>
      <c r="AI1796" s="9">
        <f>IF(AF1796=1,IFERROR(INDEX($A1796:$AB1796,MATCH("Cost Centre",$A$1:$AB$1,0)),"")&amp;"","")</f>
        <v/>
      </c>
      <c r="AJ1796" s="54">
        <f>IF(AND(AF1796=1,AE1796&gt;=set_FYStart,AE1796&lt;=set_AsAt),1,0)</f>
        <v/>
      </c>
      <c r="AK1796" s="54">
        <f>IF(AND(AJ1796=1,AH1796&lt;&gt;"",COUNTIFS($AH$2:AH1796,AH1796,$AJ$2:AJ1796,1)=1),N(AL1795)+1,"")</f>
        <v/>
      </c>
      <c r="AL1796" s="54">
        <f>IF(AK1796&lt;&gt;"",AK1796,N(AL1795))</f>
        <v/>
      </c>
    </row>
    <row r="1797">
      <c r="A1797" t="inlineStr">
        <is>
          <t>PRD-0599</t>
        </is>
      </c>
      <c r="B1797" t="inlineStr">
        <is>
          <t>Production</t>
        </is>
      </c>
      <c r="AB1797" t="n">
        <v>599</v>
      </c>
      <c r="AD1797" s="52">
        <f>IFERROR(N(IFERROR(INDEX($A1797:$AB1797,MATCH("Xero Invoiced Ex GST",$A$1:$AB$1,0)),"")),0)</f>
        <v/>
      </c>
      <c r="AE1797" s="53">
        <f>IFERROR(INDEX($A1797:$AB1797,MATCH("Xero Invoice Date",$A$1:$AB$1,0)),"")</f>
        <v/>
      </c>
      <c r="AF1797" s="54">
        <f>IF(AND(IFERROR(INDEX($A1797:$AB1797,MATCH("Xero Invoice No",$A$1:$AB$1,0)),"")&amp;""&lt;&gt;"",ISNUMBER(AE1797),AD1797&lt;&gt;0),1,0)</f>
        <v/>
      </c>
      <c r="AG1797" s="55">
        <f>IF(AF1797=1,EOMONTH(AE1797,0),"")</f>
        <v/>
      </c>
      <c r="AH1797" s="9">
        <f>IF(AF1797=1,UPPER(TRIM(IFERROR(INDEX($A1797:$AB1797,MATCH("Client",$A$1:$AB$1,0)),"")&amp;"")),"")</f>
        <v/>
      </c>
      <c r="AI1797" s="9">
        <f>IF(AF1797=1,IFERROR(INDEX($A1797:$AB1797,MATCH("Cost Centre",$A$1:$AB$1,0)),"")&amp;"","")</f>
        <v/>
      </c>
      <c r="AJ1797" s="54">
        <f>IF(AND(AF1797=1,AE1797&gt;=set_FYStart,AE1797&lt;=set_AsAt),1,0)</f>
        <v/>
      </c>
      <c r="AK1797" s="54">
        <f>IF(AND(AJ1797=1,AH1797&lt;&gt;"",COUNTIFS($AH$2:AH1797,AH1797,$AJ$2:AJ1797,1)=1),N(AL1796)+1,"")</f>
        <v/>
      </c>
      <c r="AL1797" s="54">
        <f>IF(AK1797&lt;&gt;"",AK1797,N(AL1796))</f>
        <v/>
      </c>
    </row>
    <row r="1798">
      <c r="A1798" t="inlineStr">
        <is>
          <t>CON-0599</t>
        </is>
      </c>
      <c r="B1798" t="inlineStr">
        <is>
          <t>Consulting</t>
        </is>
      </c>
      <c r="AB1798" t="n">
        <v>599</v>
      </c>
      <c r="AD1798" s="52">
        <f>IFERROR(N(IFERROR(INDEX($A1798:$AB1798,MATCH("Xero Invoiced Ex GST",$A$1:$AB$1,0)),"")),0)</f>
        <v/>
      </c>
      <c r="AE1798" s="53">
        <f>IFERROR(INDEX($A1798:$AB1798,MATCH("Xero Invoice Date",$A$1:$AB$1,0)),"")</f>
        <v/>
      </c>
      <c r="AF1798" s="54">
        <f>IF(AND(IFERROR(INDEX($A1798:$AB1798,MATCH("Xero Invoice No",$A$1:$AB$1,0)),"")&amp;""&lt;&gt;"",ISNUMBER(AE1798),AD1798&lt;&gt;0),1,0)</f>
        <v/>
      </c>
      <c r="AG1798" s="55">
        <f>IF(AF1798=1,EOMONTH(AE1798,0),"")</f>
        <v/>
      </c>
      <c r="AH1798" s="9">
        <f>IF(AF1798=1,UPPER(TRIM(IFERROR(INDEX($A1798:$AB1798,MATCH("Client",$A$1:$AB$1,0)),"")&amp;"")),"")</f>
        <v/>
      </c>
      <c r="AI1798" s="9">
        <f>IF(AF1798=1,IFERROR(INDEX($A1798:$AB1798,MATCH("Cost Centre",$A$1:$AB$1,0)),"")&amp;"","")</f>
        <v/>
      </c>
      <c r="AJ1798" s="54">
        <f>IF(AND(AF1798=1,AE1798&gt;=set_FYStart,AE1798&lt;=set_AsAt),1,0)</f>
        <v/>
      </c>
      <c r="AK1798" s="54">
        <f>IF(AND(AJ1798=1,AH1798&lt;&gt;"",COUNTIFS($AH$2:AH1798,AH1798,$AJ$2:AJ1798,1)=1),N(AL1797)+1,"")</f>
        <v/>
      </c>
      <c r="AL1798" s="54">
        <f>IF(AK1798&lt;&gt;"",AK1798,N(AL1797))</f>
        <v/>
      </c>
    </row>
    <row r="1799">
      <c r="A1799" t="inlineStr">
        <is>
          <t>ONS-0600</t>
        </is>
      </c>
      <c r="B1799" t="inlineStr">
        <is>
          <t>Onsite</t>
        </is>
      </c>
      <c r="AB1799" t="n">
        <v>600</v>
      </c>
      <c r="AD1799" s="52">
        <f>IFERROR(N(IFERROR(INDEX($A1799:$AB1799,MATCH("Xero Invoiced Ex GST",$A$1:$AB$1,0)),"")),0)</f>
        <v/>
      </c>
      <c r="AE1799" s="53">
        <f>IFERROR(INDEX($A1799:$AB1799,MATCH("Xero Invoice Date",$A$1:$AB$1,0)),"")</f>
        <v/>
      </c>
      <c r="AF1799" s="54">
        <f>IF(AND(IFERROR(INDEX($A1799:$AB1799,MATCH("Xero Invoice No",$A$1:$AB$1,0)),"")&amp;""&lt;&gt;"",ISNUMBER(AE1799),AD1799&lt;&gt;0),1,0)</f>
        <v/>
      </c>
      <c r="AG1799" s="55">
        <f>IF(AF1799=1,EOMONTH(AE1799,0),"")</f>
        <v/>
      </c>
      <c r="AH1799" s="9">
        <f>IF(AF1799=1,UPPER(TRIM(IFERROR(INDEX($A1799:$AB1799,MATCH("Client",$A$1:$AB$1,0)),"")&amp;"")),"")</f>
        <v/>
      </c>
      <c r="AI1799" s="9">
        <f>IF(AF1799=1,IFERROR(INDEX($A1799:$AB1799,MATCH("Cost Centre",$A$1:$AB$1,0)),"")&amp;"","")</f>
        <v/>
      </c>
      <c r="AJ1799" s="54">
        <f>IF(AND(AF1799=1,AE1799&gt;=set_FYStart,AE1799&lt;=set_AsAt),1,0)</f>
        <v/>
      </c>
      <c r="AK1799" s="54">
        <f>IF(AND(AJ1799=1,AH1799&lt;&gt;"",COUNTIFS($AH$2:AH1799,AH1799,$AJ$2:AJ1799,1)=1),N(AL1798)+1,"")</f>
        <v/>
      </c>
      <c r="AL1799" s="54">
        <f>IF(AK1799&lt;&gt;"",AK1799,N(AL1798))</f>
        <v/>
      </c>
    </row>
    <row r="1800">
      <c r="A1800" t="inlineStr">
        <is>
          <t>PRD-0600</t>
        </is>
      </c>
      <c r="B1800" t="inlineStr">
        <is>
          <t>Production</t>
        </is>
      </c>
      <c r="AB1800" t="n">
        <v>600</v>
      </c>
      <c r="AD1800" s="52">
        <f>IFERROR(N(IFERROR(INDEX($A1800:$AB1800,MATCH("Xero Invoiced Ex GST",$A$1:$AB$1,0)),"")),0)</f>
        <v/>
      </c>
      <c r="AE1800" s="53">
        <f>IFERROR(INDEX($A1800:$AB1800,MATCH("Xero Invoice Date",$A$1:$AB$1,0)),"")</f>
        <v/>
      </c>
      <c r="AF1800" s="54">
        <f>IF(AND(IFERROR(INDEX($A1800:$AB1800,MATCH("Xero Invoice No",$A$1:$AB$1,0)),"")&amp;""&lt;&gt;"",ISNUMBER(AE1800),AD1800&lt;&gt;0),1,0)</f>
        <v/>
      </c>
      <c r="AG1800" s="55">
        <f>IF(AF1800=1,EOMONTH(AE1800,0),"")</f>
        <v/>
      </c>
      <c r="AH1800" s="9">
        <f>IF(AF1800=1,UPPER(TRIM(IFERROR(INDEX($A1800:$AB1800,MATCH("Client",$A$1:$AB$1,0)),"")&amp;"")),"")</f>
        <v/>
      </c>
      <c r="AI1800" s="9">
        <f>IF(AF1800=1,IFERROR(INDEX($A1800:$AB1800,MATCH("Cost Centre",$A$1:$AB$1,0)),"")&amp;"","")</f>
        <v/>
      </c>
      <c r="AJ1800" s="54">
        <f>IF(AND(AF1800=1,AE1800&gt;=set_FYStart,AE1800&lt;=set_AsAt),1,0)</f>
        <v/>
      </c>
      <c r="AK1800" s="54">
        <f>IF(AND(AJ1800=1,AH1800&lt;&gt;"",COUNTIFS($AH$2:AH1800,AH1800,$AJ$2:AJ1800,1)=1),N(AL1799)+1,"")</f>
        <v/>
      </c>
      <c r="AL1800" s="54">
        <f>IF(AK1800&lt;&gt;"",AK1800,N(AL1799))</f>
        <v/>
      </c>
    </row>
    <row r="1801">
      <c r="A1801" t="inlineStr">
        <is>
          <t>CON-0600</t>
        </is>
      </c>
      <c r="B1801" t="inlineStr">
        <is>
          <t>Consulting</t>
        </is>
      </c>
      <c r="AB1801" t="n">
        <v>600</v>
      </c>
      <c r="AD1801" s="52">
        <f>IFERROR(N(IFERROR(INDEX($A1801:$AB1801,MATCH("Xero Invoiced Ex GST",$A$1:$AB$1,0)),"")),0)</f>
        <v/>
      </c>
      <c r="AE1801" s="53">
        <f>IFERROR(INDEX($A1801:$AB1801,MATCH("Xero Invoice Date",$A$1:$AB$1,0)),"")</f>
        <v/>
      </c>
      <c r="AF1801" s="54">
        <f>IF(AND(IFERROR(INDEX($A1801:$AB1801,MATCH("Xero Invoice No",$A$1:$AB$1,0)),"")&amp;""&lt;&gt;"",ISNUMBER(AE1801),AD1801&lt;&gt;0),1,0)</f>
        <v/>
      </c>
      <c r="AG1801" s="55">
        <f>IF(AF1801=1,EOMONTH(AE1801,0),"")</f>
        <v/>
      </c>
      <c r="AH1801" s="9">
        <f>IF(AF1801=1,UPPER(TRIM(IFERROR(INDEX($A1801:$AB1801,MATCH("Client",$A$1:$AB$1,0)),"")&amp;"")),"")</f>
        <v/>
      </c>
      <c r="AI1801" s="9">
        <f>IF(AF1801=1,IFERROR(INDEX($A1801:$AB1801,MATCH("Cost Centre",$A$1:$AB$1,0)),"")&amp;"","")</f>
        <v/>
      </c>
      <c r="AJ1801" s="54">
        <f>IF(AND(AF1801=1,AE1801&gt;=set_FYStart,AE1801&lt;=set_AsAt),1,0)</f>
        <v/>
      </c>
      <c r="AK1801" s="54">
        <f>IF(AND(AJ1801=1,AH1801&lt;&gt;"",COUNTIFS($AH$2:AH1801,AH1801,$AJ$2:AJ1801,1)=1),N(AL1800)+1,"")</f>
        <v/>
      </c>
      <c r="AL1801" s="54">
        <f>IF(AK1801&lt;&gt;"",AK1801,N(AL1800))</f>
        <v/>
      </c>
    </row>
    <row r="1802">
      <c r="A1802" t="inlineStr">
        <is>
          <t>ONS-0601</t>
        </is>
      </c>
      <c r="B1802" t="inlineStr">
        <is>
          <t>Onsite</t>
        </is>
      </c>
      <c r="AB1802" t="n">
        <v>601</v>
      </c>
      <c r="AD1802" s="52">
        <f>IFERROR(N(IFERROR(INDEX($A1802:$AB1802,MATCH("Xero Invoiced Ex GST",$A$1:$AB$1,0)),"")),0)</f>
        <v/>
      </c>
      <c r="AE1802" s="53">
        <f>IFERROR(INDEX($A1802:$AB1802,MATCH("Xero Invoice Date",$A$1:$AB$1,0)),"")</f>
        <v/>
      </c>
      <c r="AF1802" s="54">
        <f>IF(AND(IFERROR(INDEX($A1802:$AB1802,MATCH("Xero Invoice No",$A$1:$AB$1,0)),"")&amp;""&lt;&gt;"",ISNUMBER(AE1802),AD1802&lt;&gt;0),1,0)</f>
        <v/>
      </c>
      <c r="AG1802" s="55">
        <f>IF(AF1802=1,EOMONTH(AE1802,0),"")</f>
        <v/>
      </c>
      <c r="AH1802" s="9">
        <f>IF(AF1802=1,UPPER(TRIM(IFERROR(INDEX($A1802:$AB1802,MATCH("Client",$A$1:$AB$1,0)),"")&amp;"")),"")</f>
        <v/>
      </c>
      <c r="AI1802" s="9">
        <f>IF(AF1802=1,IFERROR(INDEX($A1802:$AB1802,MATCH("Cost Centre",$A$1:$AB$1,0)),"")&amp;"","")</f>
        <v/>
      </c>
      <c r="AJ1802" s="54">
        <f>IF(AND(AF1802=1,AE1802&gt;=set_FYStart,AE1802&lt;=set_AsAt),1,0)</f>
        <v/>
      </c>
      <c r="AK1802" s="54">
        <f>IF(AND(AJ1802=1,AH1802&lt;&gt;"",COUNTIFS($AH$2:AH1802,AH1802,$AJ$2:AJ1802,1)=1),N(AL1801)+1,"")</f>
        <v/>
      </c>
      <c r="AL1802" s="54">
        <f>IF(AK1802&lt;&gt;"",AK1802,N(AL1801))</f>
        <v/>
      </c>
    </row>
    <row r="1803">
      <c r="A1803" t="inlineStr">
        <is>
          <t>PRD-0601</t>
        </is>
      </c>
      <c r="B1803" t="inlineStr">
        <is>
          <t>Production</t>
        </is>
      </c>
      <c r="AB1803" t="n">
        <v>601</v>
      </c>
      <c r="AD1803" s="52">
        <f>IFERROR(N(IFERROR(INDEX($A1803:$AB1803,MATCH("Xero Invoiced Ex GST",$A$1:$AB$1,0)),"")),0)</f>
        <v/>
      </c>
      <c r="AE1803" s="53">
        <f>IFERROR(INDEX($A1803:$AB1803,MATCH("Xero Invoice Date",$A$1:$AB$1,0)),"")</f>
        <v/>
      </c>
      <c r="AF1803" s="54">
        <f>IF(AND(IFERROR(INDEX($A1803:$AB1803,MATCH("Xero Invoice No",$A$1:$AB$1,0)),"")&amp;""&lt;&gt;"",ISNUMBER(AE1803),AD1803&lt;&gt;0),1,0)</f>
        <v/>
      </c>
      <c r="AG1803" s="55">
        <f>IF(AF1803=1,EOMONTH(AE1803,0),"")</f>
        <v/>
      </c>
      <c r="AH1803" s="9">
        <f>IF(AF1803=1,UPPER(TRIM(IFERROR(INDEX($A1803:$AB1803,MATCH("Client",$A$1:$AB$1,0)),"")&amp;"")),"")</f>
        <v/>
      </c>
      <c r="AI1803" s="9">
        <f>IF(AF1803=1,IFERROR(INDEX($A1803:$AB1803,MATCH("Cost Centre",$A$1:$AB$1,0)),"")&amp;"","")</f>
        <v/>
      </c>
      <c r="AJ1803" s="54">
        <f>IF(AND(AF1803=1,AE1803&gt;=set_FYStart,AE1803&lt;=set_AsAt),1,0)</f>
        <v/>
      </c>
      <c r="AK1803" s="54">
        <f>IF(AND(AJ1803=1,AH1803&lt;&gt;"",COUNTIFS($AH$2:AH1803,AH1803,$AJ$2:AJ1803,1)=1),N(AL1802)+1,"")</f>
        <v/>
      </c>
      <c r="AL1803" s="54">
        <f>IF(AK1803&lt;&gt;"",AK1803,N(AL1802))</f>
        <v/>
      </c>
    </row>
    <row r="1804">
      <c r="A1804" t="inlineStr">
        <is>
          <t>CON-0601</t>
        </is>
      </c>
      <c r="B1804" t="inlineStr">
        <is>
          <t>Consulting</t>
        </is>
      </c>
      <c r="AB1804" t="n">
        <v>601</v>
      </c>
      <c r="AD1804" s="52">
        <f>IFERROR(N(IFERROR(INDEX($A1804:$AB1804,MATCH("Xero Invoiced Ex GST",$A$1:$AB$1,0)),"")),0)</f>
        <v/>
      </c>
      <c r="AE1804" s="53">
        <f>IFERROR(INDEX($A1804:$AB1804,MATCH("Xero Invoice Date",$A$1:$AB$1,0)),"")</f>
        <v/>
      </c>
      <c r="AF1804" s="54">
        <f>IF(AND(IFERROR(INDEX($A1804:$AB1804,MATCH("Xero Invoice No",$A$1:$AB$1,0)),"")&amp;""&lt;&gt;"",ISNUMBER(AE1804),AD1804&lt;&gt;0),1,0)</f>
        <v/>
      </c>
      <c r="AG1804" s="55">
        <f>IF(AF1804=1,EOMONTH(AE1804,0),"")</f>
        <v/>
      </c>
      <c r="AH1804" s="9">
        <f>IF(AF1804=1,UPPER(TRIM(IFERROR(INDEX($A1804:$AB1804,MATCH("Client",$A$1:$AB$1,0)),"")&amp;"")),"")</f>
        <v/>
      </c>
      <c r="AI1804" s="9">
        <f>IF(AF1804=1,IFERROR(INDEX($A1804:$AB1804,MATCH("Cost Centre",$A$1:$AB$1,0)),"")&amp;"","")</f>
        <v/>
      </c>
      <c r="AJ1804" s="54">
        <f>IF(AND(AF1804=1,AE1804&gt;=set_FYStart,AE1804&lt;=set_AsAt),1,0)</f>
        <v/>
      </c>
      <c r="AK1804" s="54">
        <f>IF(AND(AJ1804=1,AH1804&lt;&gt;"",COUNTIFS($AH$2:AH1804,AH1804,$AJ$2:AJ1804,1)=1),N(AL1803)+1,"")</f>
        <v/>
      </c>
      <c r="AL1804" s="54">
        <f>IF(AK1804&lt;&gt;"",AK1804,N(AL1803))</f>
        <v/>
      </c>
    </row>
    <row r="1805">
      <c r="A1805" t="inlineStr">
        <is>
          <t>ONS-0602</t>
        </is>
      </c>
      <c r="B1805" t="inlineStr">
        <is>
          <t>Onsite</t>
        </is>
      </c>
      <c r="AB1805" t="n">
        <v>602</v>
      </c>
      <c r="AD1805" s="52">
        <f>IFERROR(N(IFERROR(INDEX($A1805:$AB1805,MATCH("Xero Invoiced Ex GST",$A$1:$AB$1,0)),"")),0)</f>
        <v/>
      </c>
      <c r="AE1805" s="53">
        <f>IFERROR(INDEX($A1805:$AB1805,MATCH("Xero Invoice Date",$A$1:$AB$1,0)),"")</f>
        <v/>
      </c>
      <c r="AF1805" s="54">
        <f>IF(AND(IFERROR(INDEX($A1805:$AB1805,MATCH("Xero Invoice No",$A$1:$AB$1,0)),"")&amp;""&lt;&gt;"",ISNUMBER(AE1805),AD1805&lt;&gt;0),1,0)</f>
        <v/>
      </c>
      <c r="AG1805" s="55">
        <f>IF(AF1805=1,EOMONTH(AE1805,0),"")</f>
        <v/>
      </c>
      <c r="AH1805" s="9">
        <f>IF(AF1805=1,UPPER(TRIM(IFERROR(INDEX($A1805:$AB1805,MATCH("Client",$A$1:$AB$1,0)),"")&amp;"")),"")</f>
        <v/>
      </c>
      <c r="AI1805" s="9">
        <f>IF(AF1805=1,IFERROR(INDEX($A1805:$AB1805,MATCH("Cost Centre",$A$1:$AB$1,0)),"")&amp;"","")</f>
        <v/>
      </c>
      <c r="AJ1805" s="54">
        <f>IF(AND(AF1805=1,AE1805&gt;=set_FYStart,AE1805&lt;=set_AsAt),1,0)</f>
        <v/>
      </c>
      <c r="AK1805" s="54">
        <f>IF(AND(AJ1805=1,AH1805&lt;&gt;"",COUNTIFS($AH$2:AH1805,AH1805,$AJ$2:AJ1805,1)=1),N(AL1804)+1,"")</f>
        <v/>
      </c>
      <c r="AL1805" s="54">
        <f>IF(AK1805&lt;&gt;"",AK1805,N(AL1804))</f>
        <v/>
      </c>
    </row>
    <row r="1806">
      <c r="A1806" t="inlineStr">
        <is>
          <t>PRD-0602</t>
        </is>
      </c>
      <c r="B1806" t="inlineStr">
        <is>
          <t>Production</t>
        </is>
      </c>
      <c r="AB1806" t="n">
        <v>602</v>
      </c>
      <c r="AD1806" s="52">
        <f>IFERROR(N(IFERROR(INDEX($A1806:$AB1806,MATCH("Xero Invoiced Ex GST",$A$1:$AB$1,0)),"")),0)</f>
        <v/>
      </c>
      <c r="AE1806" s="53">
        <f>IFERROR(INDEX($A1806:$AB1806,MATCH("Xero Invoice Date",$A$1:$AB$1,0)),"")</f>
        <v/>
      </c>
      <c r="AF1806" s="54">
        <f>IF(AND(IFERROR(INDEX($A1806:$AB1806,MATCH("Xero Invoice No",$A$1:$AB$1,0)),"")&amp;""&lt;&gt;"",ISNUMBER(AE1806),AD1806&lt;&gt;0),1,0)</f>
        <v/>
      </c>
      <c r="AG1806" s="55">
        <f>IF(AF1806=1,EOMONTH(AE1806,0),"")</f>
        <v/>
      </c>
      <c r="AH1806" s="9">
        <f>IF(AF1806=1,UPPER(TRIM(IFERROR(INDEX($A1806:$AB1806,MATCH("Client",$A$1:$AB$1,0)),"")&amp;"")),"")</f>
        <v/>
      </c>
      <c r="AI1806" s="9">
        <f>IF(AF1806=1,IFERROR(INDEX($A1806:$AB1806,MATCH("Cost Centre",$A$1:$AB$1,0)),"")&amp;"","")</f>
        <v/>
      </c>
      <c r="AJ1806" s="54">
        <f>IF(AND(AF1806=1,AE1806&gt;=set_FYStart,AE1806&lt;=set_AsAt),1,0)</f>
        <v/>
      </c>
      <c r="AK1806" s="54">
        <f>IF(AND(AJ1806=1,AH1806&lt;&gt;"",COUNTIFS($AH$2:AH1806,AH1806,$AJ$2:AJ1806,1)=1),N(AL1805)+1,"")</f>
        <v/>
      </c>
      <c r="AL1806" s="54">
        <f>IF(AK1806&lt;&gt;"",AK1806,N(AL1805))</f>
        <v/>
      </c>
    </row>
    <row r="1807">
      <c r="A1807" t="inlineStr">
        <is>
          <t>CON-0602</t>
        </is>
      </c>
      <c r="B1807" t="inlineStr">
        <is>
          <t>Consulting</t>
        </is>
      </c>
      <c r="AB1807" t="n">
        <v>602</v>
      </c>
      <c r="AD1807" s="52">
        <f>IFERROR(N(IFERROR(INDEX($A1807:$AB1807,MATCH("Xero Invoiced Ex GST",$A$1:$AB$1,0)),"")),0)</f>
        <v/>
      </c>
      <c r="AE1807" s="53">
        <f>IFERROR(INDEX($A1807:$AB1807,MATCH("Xero Invoice Date",$A$1:$AB$1,0)),"")</f>
        <v/>
      </c>
      <c r="AF1807" s="54">
        <f>IF(AND(IFERROR(INDEX($A1807:$AB1807,MATCH("Xero Invoice No",$A$1:$AB$1,0)),"")&amp;""&lt;&gt;"",ISNUMBER(AE1807),AD1807&lt;&gt;0),1,0)</f>
        <v/>
      </c>
      <c r="AG1807" s="55">
        <f>IF(AF1807=1,EOMONTH(AE1807,0),"")</f>
        <v/>
      </c>
      <c r="AH1807" s="9">
        <f>IF(AF1807=1,UPPER(TRIM(IFERROR(INDEX($A1807:$AB1807,MATCH("Client",$A$1:$AB$1,0)),"")&amp;"")),"")</f>
        <v/>
      </c>
      <c r="AI1807" s="9">
        <f>IF(AF1807=1,IFERROR(INDEX($A1807:$AB1807,MATCH("Cost Centre",$A$1:$AB$1,0)),"")&amp;"","")</f>
        <v/>
      </c>
      <c r="AJ1807" s="54">
        <f>IF(AND(AF1807=1,AE1807&gt;=set_FYStart,AE1807&lt;=set_AsAt),1,0)</f>
        <v/>
      </c>
      <c r="AK1807" s="54">
        <f>IF(AND(AJ1807=1,AH1807&lt;&gt;"",COUNTIFS($AH$2:AH1807,AH1807,$AJ$2:AJ1807,1)=1),N(AL1806)+1,"")</f>
        <v/>
      </c>
      <c r="AL1807" s="54">
        <f>IF(AK1807&lt;&gt;"",AK1807,N(AL1806))</f>
        <v/>
      </c>
    </row>
    <row r="1808">
      <c r="A1808" t="inlineStr">
        <is>
          <t>ONS-0603</t>
        </is>
      </c>
      <c r="B1808" t="inlineStr">
        <is>
          <t>Onsite</t>
        </is>
      </c>
      <c r="AB1808" t="n">
        <v>603</v>
      </c>
      <c r="AD1808" s="52">
        <f>IFERROR(N(IFERROR(INDEX($A1808:$AB1808,MATCH("Xero Invoiced Ex GST",$A$1:$AB$1,0)),"")),0)</f>
        <v/>
      </c>
      <c r="AE1808" s="53">
        <f>IFERROR(INDEX($A1808:$AB1808,MATCH("Xero Invoice Date",$A$1:$AB$1,0)),"")</f>
        <v/>
      </c>
      <c r="AF1808" s="54">
        <f>IF(AND(IFERROR(INDEX($A1808:$AB1808,MATCH("Xero Invoice No",$A$1:$AB$1,0)),"")&amp;""&lt;&gt;"",ISNUMBER(AE1808),AD1808&lt;&gt;0),1,0)</f>
        <v/>
      </c>
      <c r="AG1808" s="55">
        <f>IF(AF1808=1,EOMONTH(AE1808,0),"")</f>
        <v/>
      </c>
      <c r="AH1808" s="9">
        <f>IF(AF1808=1,UPPER(TRIM(IFERROR(INDEX($A1808:$AB1808,MATCH("Client",$A$1:$AB$1,0)),"")&amp;"")),"")</f>
        <v/>
      </c>
      <c r="AI1808" s="9">
        <f>IF(AF1808=1,IFERROR(INDEX($A1808:$AB1808,MATCH("Cost Centre",$A$1:$AB$1,0)),"")&amp;"","")</f>
        <v/>
      </c>
      <c r="AJ1808" s="54">
        <f>IF(AND(AF1808=1,AE1808&gt;=set_FYStart,AE1808&lt;=set_AsAt),1,0)</f>
        <v/>
      </c>
      <c r="AK1808" s="54">
        <f>IF(AND(AJ1808=1,AH1808&lt;&gt;"",COUNTIFS($AH$2:AH1808,AH1808,$AJ$2:AJ1808,1)=1),N(AL1807)+1,"")</f>
        <v/>
      </c>
      <c r="AL1808" s="54">
        <f>IF(AK1808&lt;&gt;"",AK1808,N(AL1807))</f>
        <v/>
      </c>
    </row>
    <row r="1809">
      <c r="A1809" t="inlineStr">
        <is>
          <t>PRD-0603</t>
        </is>
      </c>
      <c r="B1809" t="inlineStr">
        <is>
          <t>Production</t>
        </is>
      </c>
      <c r="AB1809" t="n">
        <v>603</v>
      </c>
      <c r="AD1809" s="52">
        <f>IFERROR(N(IFERROR(INDEX($A1809:$AB1809,MATCH("Xero Invoiced Ex GST",$A$1:$AB$1,0)),"")),0)</f>
        <v/>
      </c>
      <c r="AE1809" s="53">
        <f>IFERROR(INDEX($A1809:$AB1809,MATCH("Xero Invoice Date",$A$1:$AB$1,0)),"")</f>
        <v/>
      </c>
      <c r="AF1809" s="54">
        <f>IF(AND(IFERROR(INDEX($A1809:$AB1809,MATCH("Xero Invoice No",$A$1:$AB$1,0)),"")&amp;""&lt;&gt;"",ISNUMBER(AE1809),AD1809&lt;&gt;0),1,0)</f>
        <v/>
      </c>
      <c r="AG1809" s="55">
        <f>IF(AF1809=1,EOMONTH(AE1809,0),"")</f>
        <v/>
      </c>
      <c r="AH1809" s="9">
        <f>IF(AF1809=1,UPPER(TRIM(IFERROR(INDEX($A1809:$AB1809,MATCH("Client",$A$1:$AB$1,0)),"")&amp;"")),"")</f>
        <v/>
      </c>
      <c r="AI1809" s="9">
        <f>IF(AF1809=1,IFERROR(INDEX($A1809:$AB1809,MATCH("Cost Centre",$A$1:$AB$1,0)),"")&amp;"","")</f>
        <v/>
      </c>
      <c r="AJ1809" s="54">
        <f>IF(AND(AF1809=1,AE1809&gt;=set_FYStart,AE1809&lt;=set_AsAt),1,0)</f>
        <v/>
      </c>
      <c r="AK1809" s="54">
        <f>IF(AND(AJ1809=1,AH1809&lt;&gt;"",COUNTIFS($AH$2:AH1809,AH1809,$AJ$2:AJ1809,1)=1),N(AL1808)+1,"")</f>
        <v/>
      </c>
      <c r="AL1809" s="54">
        <f>IF(AK1809&lt;&gt;"",AK1809,N(AL1808))</f>
        <v/>
      </c>
    </row>
    <row r="1810">
      <c r="A1810" t="inlineStr">
        <is>
          <t>CON-0603</t>
        </is>
      </c>
      <c r="B1810" t="inlineStr">
        <is>
          <t>Consulting</t>
        </is>
      </c>
      <c r="AB1810" t="n">
        <v>603</v>
      </c>
      <c r="AD1810" s="52">
        <f>IFERROR(N(IFERROR(INDEX($A1810:$AB1810,MATCH("Xero Invoiced Ex GST",$A$1:$AB$1,0)),"")),0)</f>
        <v/>
      </c>
      <c r="AE1810" s="53">
        <f>IFERROR(INDEX($A1810:$AB1810,MATCH("Xero Invoice Date",$A$1:$AB$1,0)),"")</f>
        <v/>
      </c>
      <c r="AF1810" s="54">
        <f>IF(AND(IFERROR(INDEX($A1810:$AB1810,MATCH("Xero Invoice No",$A$1:$AB$1,0)),"")&amp;""&lt;&gt;"",ISNUMBER(AE1810),AD1810&lt;&gt;0),1,0)</f>
        <v/>
      </c>
      <c r="AG1810" s="55">
        <f>IF(AF1810=1,EOMONTH(AE1810,0),"")</f>
        <v/>
      </c>
      <c r="AH1810" s="9">
        <f>IF(AF1810=1,UPPER(TRIM(IFERROR(INDEX($A1810:$AB1810,MATCH("Client",$A$1:$AB$1,0)),"")&amp;"")),"")</f>
        <v/>
      </c>
      <c r="AI1810" s="9">
        <f>IF(AF1810=1,IFERROR(INDEX($A1810:$AB1810,MATCH("Cost Centre",$A$1:$AB$1,0)),"")&amp;"","")</f>
        <v/>
      </c>
      <c r="AJ1810" s="54">
        <f>IF(AND(AF1810=1,AE1810&gt;=set_FYStart,AE1810&lt;=set_AsAt),1,0)</f>
        <v/>
      </c>
      <c r="AK1810" s="54">
        <f>IF(AND(AJ1810=1,AH1810&lt;&gt;"",COUNTIFS($AH$2:AH1810,AH1810,$AJ$2:AJ1810,1)=1),N(AL1809)+1,"")</f>
        <v/>
      </c>
      <c r="AL1810" s="54">
        <f>IF(AK1810&lt;&gt;"",AK1810,N(AL1809))</f>
        <v/>
      </c>
    </row>
    <row r="1811">
      <c r="A1811" t="inlineStr">
        <is>
          <t>ONS-0604</t>
        </is>
      </c>
      <c r="B1811" t="inlineStr">
        <is>
          <t>Onsite</t>
        </is>
      </c>
      <c r="AB1811" t="n">
        <v>604</v>
      </c>
      <c r="AD1811" s="52">
        <f>IFERROR(N(IFERROR(INDEX($A1811:$AB1811,MATCH("Xero Invoiced Ex GST",$A$1:$AB$1,0)),"")),0)</f>
        <v/>
      </c>
      <c r="AE1811" s="53">
        <f>IFERROR(INDEX($A1811:$AB1811,MATCH("Xero Invoice Date",$A$1:$AB$1,0)),"")</f>
        <v/>
      </c>
      <c r="AF1811" s="54">
        <f>IF(AND(IFERROR(INDEX($A1811:$AB1811,MATCH("Xero Invoice No",$A$1:$AB$1,0)),"")&amp;""&lt;&gt;"",ISNUMBER(AE1811),AD1811&lt;&gt;0),1,0)</f>
        <v/>
      </c>
      <c r="AG1811" s="55">
        <f>IF(AF1811=1,EOMONTH(AE1811,0),"")</f>
        <v/>
      </c>
      <c r="AH1811" s="9">
        <f>IF(AF1811=1,UPPER(TRIM(IFERROR(INDEX($A1811:$AB1811,MATCH("Client",$A$1:$AB$1,0)),"")&amp;"")),"")</f>
        <v/>
      </c>
      <c r="AI1811" s="9">
        <f>IF(AF1811=1,IFERROR(INDEX($A1811:$AB1811,MATCH("Cost Centre",$A$1:$AB$1,0)),"")&amp;"","")</f>
        <v/>
      </c>
      <c r="AJ1811" s="54">
        <f>IF(AND(AF1811=1,AE1811&gt;=set_FYStart,AE1811&lt;=set_AsAt),1,0)</f>
        <v/>
      </c>
      <c r="AK1811" s="54">
        <f>IF(AND(AJ1811=1,AH1811&lt;&gt;"",COUNTIFS($AH$2:AH1811,AH1811,$AJ$2:AJ1811,1)=1),N(AL1810)+1,"")</f>
        <v/>
      </c>
      <c r="AL1811" s="54">
        <f>IF(AK1811&lt;&gt;"",AK1811,N(AL1810))</f>
        <v/>
      </c>
    </row>
    <row r="1812">
      <c r="A1812" t="inlineStr">
        <is>
          <t>PRD-0604</t>
        </is>
      </c>
      <c r="B1812" t="inlineStr">
        <is>
          <t>Production</t>
        </is>
      </c>
      <c r="AB1812" t="n">
        <v>604</v>
      </c>
      <c r="AD1812" s="52">
        <f>IFERROR(N(IFERROR(INDEX($A1812:$AB1812,MATCH("Xero Invoiced Ex GST",$A$1:$AB$1,0)),"")),0)</f>
        <v/>
      </c>
      <c r="AE1812" s="53">
        <f>IFERROR(INDEX($A1812:$AB1812,MATCH("Xero Invoice Date",$A$1:$AB$1,0)),"")</f>
        <v/>
      </c>
      <c r="AF1812" s="54">
        <f>IF(AND(IFERROR(INDEX($A1812:$AB1812,MATCH("Xero Invoice No",$A$1:$AB$1,0)),"")&amp;""&lt;&gt;"",ISNUMBER(AE1812),AD1812&lt;&gt;0),1,0)</f>
        <v/>
      </c>
      <c r="AG1812" s="55">
        <f>IF(AF1812=1,EOMONTH(AE1812,0),"")</f>
        <v/>
      </c>
      <c r="AH1812" s="9">
        <f>IF(AF1812=1,UPPER(TRIM(IFERROR(INDEX($A1812:$AB1812,MATCH("Client",$A$1:$AB$1,0)),"")&amp;"")),"")</f>
        <v/>
      </c>
      <c r="AI1812" s="9">
        <f>IF(AF1812=1,IFERROR(INDEX($A1812:$AB1812,MATCH("Cost Centre",$A$1:$AB$1,0)),"")&amp;"","")</f>
        <v/>
      </c>
      <c r="AJ1812" s="54">
        <f>IF(AND(AF1812=1,AE1812&gt;=set_FYStart,AE1812&lt;=set_AsAt),1,0)</f>
        <v/>
      </c>
      <c r="AK1812" s="54">
        <f>IF(AND(AJ1812=1,AH1812&lt;&gt;"",COUNTIFS($AH$2:AH1812,AH1812,$AJ$2:AJ1812,1)=1),N(AL1811)+1,"")</f>
        <v/>
      </c>
      <c r="AL1812" s="54">
        <f>IF(AK1812&lt;&gt;"",AK1812,N(AL1811))</f>
        <v/>
      </c>
    </row>
    <row r="1813">
      <c r="A1813" t="inlineStr">
        <is>
          <t>CON-0604</t>
        </is>
      </c>
      <c r="B1813" t="inlineStr">
        <is>
          <t>Consulting</t>
        </is>
      </c>
      <c r="AB1813" t="n">
        <v>604</v>
      </c>
      <c r="AD1813" s="52">
        <f>IFERROR(N(IFERROR(INDEX($A1813:$AB1813,MATCH("Xero Invoiced Ex GST",$A$1:$AB$1,0)),"")),0)</f>
        <v/>
      </c>
      <c r="AE1813" s="53">
        <f>IFERROR(INDEX($A1813:$AB1813,MATCH("Xero Invoice Date",$A$1:$AB$1,0)),"")</f>
        <v/>
      </c>
      <c r="AF1813" s="54">
        <f>IF(AND(IFERROR(INDEX($A1813:$AB1813,MATCH("Xero Invoice No",$A$1:$AB$1,0)),"")&amp;""&lt;&gt;"",ISNUMBER(AE1813),AD1813&lt;&gt;0),1,0)</f>
        <v/>
      </c>
      <c r="AG1813" s="55">
        <f>IF(AF1813=1,EOMONTH(AE1813,0),"")</f>
        <v/>
      </c>
      <c r="AH1813" s="9">
        <f>IF(AF1813=1,UPPER(TRIM(IFERROR(INDEX($A1813:$AB1813,MATCH("Client",$A$1:$AB$1,0)),"")&amp;"")),"")</f>
        <v/>
      </c>
      <c r="AI1813" s="9">
        <f>IF(AF1813=1,IFERROR(INDEX($A1813:$AB1813,MATCH("Cost Centre",$A$1:$AB$1,0)),"")&amp;"","")</f>
        <v/>
      </c>
      <c r="AJ1813" s="54">
        <f>IF(AND(AF1813=1,AE1813&gt;=set_FYStart,AE1813&lt;=set_AsAt),1,0)</f>
        <v/>
      </c>
      <c r="AK1813" s="54">
        <f>IF(AND(AJ1813=1,AH1813&lt;&gt;"",COUNTIFS($AH$2:AH1813,AH1813,$AJ$2:AJ1813,1)=1),N(AL1812)+1,"")</f>
        <v/>
      </c>
      <c r="AL1813" s="54">
        <f>IF(AK1813&lt;&gt;"",AK1813,N(AL1812))</f>
        <v/>
      </c>
    </row>
    <row r="1814">
      <c r="A1814" t="inlineStr">
        <is>
          <t>ONS-0605</t>
        </is>
      </c>
      <c r="B1814" t="inlineStr">
        <is>
          <t>Onsite</t>
        </is>
      </c>
      <c r="AB1814" t="n">
        <v>605</v>
      </c>
      <c r="AD1814" s="52">
        <f>IFERROR(N(IFERROR(INDEX($A1814:$AB1814,MATCH("Xero Invoiced Ex GST",$A$1:$AB$1,0)),"")),0)</f>
        <v/>
      </c>
      <c r="AE1814" s="53">
        <f>IFERROR(INDEX($A1814:$AB1814,MATCH("Xero Invoice Date",$A$1:$AB$1,0)),"")</f>
        <v/>
      </c>
      <c r="AF1814" s="54">
        <f>IF(AND(IFERROR(INDEX($A1814:$AB1814,MATCH("Xero Invoice No",$A$1:$AB$1,0)),"")&amp;""&lt;&gt;"",ISNUMBER(AE1814),AD1814&lt;&gt;0),1,0)</f>
        <v/>
      </c>
      <c r="AG1814" s="55">
        <f>IF(AF1814=1,EOMONTH(AE1814,0),"")</f>
        <v/>
      </c>
      <c r="AH1814" s="9">
        <f>IF(AF1814=1,UPPER(TRIM(IFERROR(INDEX($A1814:$AB1814,MATCH("Client",$A$1:$AB$1,0)),"")&amp;"")),"")</f>
        <v/>
      </c>
      <c r="AI1814" s="9">
        <f>IF(AF1814=1,IFERROR(INDEX($A1814:$AB1814,MATCH("Cost Centre",$A$1:$AB$1,0)),"")&amp;"","")</f>
        <v/>
      </c>
      <c r="AJ1814" s="54">
        <f>IF(AND(AF1814=1,AE1814&gt;=set_FYStart,AE1814&lt;=set_AsAt),1,0)</f>
        <v/>
      </c>
      <c r="AK1814" s="54">
        <f>IF(AND(AJ1814=1,AH1814&lt;&gt;"",COUNTIFS($AH$2:AH1814,AH1814,$AJ$2:AJ1814,1)=1),N(AL1813)+1,"")</f>
        <v/>
      </c>
      <c r="AL1814" s="54">
        <f>IF(AK1814&lt;&gt;"",AK1814,N(AL1813))</f>
        <v/>
      </c>
    </row>
    <row r="1815">
      <c r="A1815" t="inlineStr">
        <is>
          <t>PRD-0605</t>
        </is>
      </c>
      <c r="B1815" t="inlineStr">
        <is>
          <t>Production</t>
        </is>
      </c>
      <c r="AB1815" t="n">
        <v>605</v>
      </c>
      <c r="AD1815" s="52">
        <f>IFERROR(N(IFERROR(INDEX($A1815:$AB1815,MATCH("Xero Invoiced Ex GST",$A$1:$AB$1,0)),"")),0)</f>
        <v/>
      </c>
      <c r="AE1815" s="53">
        <f>IFERROR(INDEX($A1815:$AB1815,MATCH("Xero Invoice Date",$A$1:$AB$1,0)),"")</f>
        <v/>
      </c>
      <c r="AF1815" s="54">
        <f>IF(AND(IFERROR(INDEX($A1815:$AB1815,MATCH("Xero Invoice No",$A$1:$AB$1,0)),"")&amp;""&lt;&gt;"",ISNUMBER(AE1815),AD1815&lt;&gt;0),1,0)</f>
        <v/>
      </c>
      <c r="AG1815" s="55">
        <f>IF(AF1815=1,EOMONTH(AE1815,0),"")</f>
        <v/>
      </c>
      <c r="AH1815" s="9">
        <f>IF(AF1815=1,UPPER(TRIM(IFERROR(INDEX($A1815:$AB1815,MATCH("Client",$A$1:$AB$1,0)),"")&amp;"")),"")</f>
        <v/>
      </c>
      <c r="AI1815" s="9">
        <f>IF(AF1815=1,IFERROR(INDEX($A1815:$AB1815,MATCH("Cost Centre",$A$1:$AB$1,0)),"")&amp;"","")</f>
        <v/>
      </c>
      <c r="AJ1815" s="54">
        <f>IF(AND(AF1815=1,AE1815&gt;=set_FYStart,AE1815&lt;=set_AsAt),1,0)</f>
        <v/>
      </c>
      <c r="AK1815" s="54">
        <f>IF(AND(AJ1815=1,AH1815&lt;&gt;"",COUNTIFS($AH$2:AH1815,AH1815,$AJ$2:AJ1815,1)=1),N(AL1814)+1,"")</f>
        <v/>
      </c>
      <c r="AL1815" s="54">
        <f>IF(AK1815&lt;&gt;"",AK1815,N(AL1814))</f>
        <v/>
      </c>
    </row>
    <row r="1816">
      <c r="A1816" t="inlineStr">
        <is>
          <t>CON-0605</t>
        </is>
      </c>
      <c r="B1816" t="inlineStr">
        <is>
          <t>Consulting</t>
        </is>
      </c>
      <c r="AB1816" t="n">
        <v>605</v>
      </c>
      <c r="AD1816" s="52">
        <f>IFERROR(N(IFERROR(INDEX($A1816:$AB1816,MATCH("Xero Invoiced Ex GST",$A$1:$AB$1,0)),"")),0)</f>
        <v/>
      </c>
      <c r="AE1816" s="53">
        <f>IFERROR(INDEX($A1816:$AB1816,MATCH("Xero Invoice Date",$A$1:$AB$1,0)),"")</f>
        <v/>
      </c>
      <c r="AF1816" s="54">
        <f>IF(AND(IFERROR(INDEX($A1816:$AB1816,MATCH("Xero Invoice No",$A$1:$AB$1,0)),"")&amp;""&lt;&gt;"",ISNUMBER(AE1816),AD1816&lt;&gt;0),1,0)</f>
        <v/>
      </c>
      <c r="AG1816" s="55">
        <f>IF(AF1816=1,EOMONTH(AE1816,0),"")</f>
        <v/>
      </c>
      <c r="AH1816" s="9">
        <f>IF(AF1816=1,UPPER(TRIM(IFERROR(INDEX($A1816:$AB1816,MATCH("Client",$A$1:$AB$1,0)),"")&amp;"")),"")</f>
        <v/>
      </c>
      <c r="AI1816" s="9">
        <f>IF(AF1816=1,IFERROR(INDEX($A1816:$AB1816,MATCH("Cost Centre",$A$1:$AB$1,0)),"")&amp;"","")</f>
        <v/>
      </c>
      <c r="AJ1816" s="54">
        <f>IF(AND(AF1816=1,AE1816&gt;=set_FYStart,AE1816&lt;=set_AsAt),1,0)</f>
        <v/>
      </c>
      <c r="AK1816" s="54">
        <f>IF(AND(AJ1816=1,AH1816&lt;&gt;"",COUNTIFS($AH$2:AH1816,AH1816,$AJ$2:AJ1816,1)=1),N(AL1815)+1,"")</f>
        <v/>
      </c>
      <c r="AL1816" s="54">
        <f>IF(AK1816&lt;&gt;"",AK1816,N(AL1815))</f>
        <v/>
      </c>
    </row>
    <row r="1817">
      <c r="A1817" t="inlineStr">
        <is>
          <t>ONS-0606</t>
        </is>
      </c>
      <c r="B1817" t="inlineStr">
        <is>
          <t>Onsite</t>
        </is>
      </c>
      <c r="AB1817" t="n">
        <v>606</v>
      </c>
      <c r="AD1817" s="52">
        <f>IFERROR(N(IFERROR(INDEX($A1817:$AB1817,MATCH("Xero Invoiced Ex GST",$A$1:$AB$1,0)),"")),0)</f>
        <v/>
      </c>
      <c r="AE1817" s="53">
        <f>IFERROR(INDEX($A1817:$AB1817,MATCH("Xero Invoice Date",$A$1:$AB$1,0)),"")</f>
        <v/>
      </c>
      <c r="AF1817" s="54">
        <f>IF(AND(IFERROR(INDEX($A1817:$AB1817,MATCH("Xero Invoice No",$A$1:$AB$1,0)),"")&amp;""&lt;&gt;"",ISNUMBER(AE1817),AD1817&lt;&gt;0),1,0)</f>
        <v/>
      </c>
      <c r="AG1817" s="55">
        <f>IF(AF1817=1,EOMONTH(AE1817,0),"")</f>
        <v/>
      </c>
      <c r="AH1817" s="9">
        <f>IF(AF1817=1,UPPER(TRIM(IFERROR(INDEX($A1817:$AB1817,MATCH("Client",$A$1:$AB$1,0)),"")&amp;"")),"")</f>
        <v/>
      </c>
      <c r="AI1817" s="9">
        <f>IF(AF1817=1,IFERROR(INDEX($A1817:$AB1817,MATCH("Cost Centre",$A$1:$AB$1,0)),"")&amp;"","")</f>
        <v/>
      </c>
      <c r="AJ1817" s="54">
        <f>IF(AND(AF1817=1,AE1817&gt;=set_FYStart,AE1817&lt;=set_AsAt),1,0)</f>
        <v/>
      </c>
      <c r="AK1817" s="54">
        <f>IF(AND(AJ1817=1,AH1817&lt;&gt;"",COUNTIFS($AH$2:AH1817,AH1817,$AJ$2:AJ1817,1)=1),N(AL1816)+1,"")</f>
        <v/>
      </c>
      <c r="AL1817" s="54">
        <f>IF(AK1817&lt;&gt;"",AK1817,N(AL1816))</f>
        <v/>
      </c>
    </row>
    <row r="1818">
      <c r="A1818" t="inlineStr">
        <is>
          <t>PRD-0606</t>
        </is>
      </c>
      <c r="B1818" t="inlineStr">
        <is>
          <t>Production</t>
        </is>
      </c>
      <c r="AB1818" t="n">
        <v>606</v>
      </c>
      <c r="AD1818" s="52">
        <f>IFERROR(N(IFERROR(INDEX($A1818:$AB1818,MATCH("Xero Invoiced Ex GST",$A$1:$AB$1,0)),"")),0)</f>
        <v/>
      </c>
      <c r="AE1818" s="53">
        <f>IFERROR(INDEX($A1818:$AB1818,MATCH("Xero Invoice Date",$A$1:$AB$1,0)),"")</f>
        <v/>
      </c>
      <c r="AF1818" s="54">
        <f>IF(AND(IFERROR(INDEX($A1818:$AB1818,MATCH("Xero Invoice No",$A$1:$AB$1,0)),"")&amp;""&lt;&gt;"",ISNUMBER(AE1818),AD1818&lt;&gt;0),1,0)</f>
        <v/>
      </c>
      <c r="AG1818" s="55">
        <f>IF(AF1818=1,EOMONTH(AE1818,0),"")</f>
        <v/>
      </c>
      <c r="AH1818" s="9">
        <f>IF(AF1818=1,UPPER(TRIM(IFERROR(INDEX($A1818:$AB1818,MATCH("Client",$A$1:$AB$1,0)),"")&amp;"")),"")</f>
        <v/>
      </c>
      <c r="AI1818" s="9">
        <f>IF(AF1818=1,IFERROR(INDEX($A1818:$AB1818,MATCH("Cost Centre",$A$1:$AB$1,0)),"")&amp;"","")</f>
        <v/>
      </c>
      <c r="AJ1818" s="54">
        <f>IF(AND(AF1818=1,AE1818&gt;=set_FYStart,AE1818&lt;=set_AsAt),1,0)</f>
        <v/>
      </c>
      <c r="AK1818" s="54">
        <f>IF(AND(AJ1818=1,AH1818&lt;&gt;"",COUNTIFS($AH$2:AH1818,AH1818,$AJ$2:AJ1818,1)=1),N(AL1817)+1,"")</f>
        <v/>
      </c>
      <c r="AL1818" s="54">
        <f>IF(AK1818&lt;&gt;"",AK1818,N(AL1817))</f>
        <v/>
      </c>
    </row>
    <row r="1819">
      <c r="A1819" t="inlineStr">
        <is>
          <t>CON-0606</t>
        </is>
      </c>
      <c r="B1819" t="inlineStr">
        <is>
          <t>Consulting</t>
        </is>
      </c>
      <c r="AB1819" t="n">
        <v>606</v>
      </c>
      <c r="AD1819" s="52">
        <f>IFERROR(N(IFERROR(INDEX($A1819:$AB1819,MATCH("Xero Invoiced Ex GST",$A$1:$AB$1,0)),"")),0)</f>
        <v/>
      </c>
      <c r="AE1819" s="53">
        <f>IFERROR(INDEX($A1819:$AB1819,MATCH("Xero Invoice Date",$A$1:$AB$1,0)),"")</f>
        <v/>
      </c>
      <c r="AF1819" s="54">
        <f>IF(AND(IFERROR(INDEX($A1819:$AB1819,MATCH("Xero Invoice No",$A$1:$AB$1,0)),"")&amp;""&lt;&gt;"",ISNUMBER(AE1819),AD1819&lt;&gt;0),1,0)</f>
        <v/>
      </c>
      <c r="AG1819" s="55">
        <f>IF(AF1819=1,EOMONTH(AE1819,0),"")</f>
        <v/>
      </c>
      <c r="AH1819" s="9">
        <f>IF(AF1819=1,UPPER(TRIM(IFERROR(INDEX($A1819:$AB1819,MATCH("Client",$A$1:$AB$1,0)),"")&amp;"")),"")</f>
        <v/>
      </c>
      <c r="AI1819" s="9">
        <f>IF(AF1819=1,IFERROR(INDEX($A1819:$AB1819,MATCH("Cost Centre",$A$1:$AB$1,0)),"")&amp;"","")</f>
        <v/>
      </c>
      <c r="AJ1819" s="54">
        <f>IF(AND(AF1819=1,AE1819&gt;=set_FYStart,AE1819&lt;=set_AsAt),1,0)</f>
        <v/>
      </c>
      <c r="AK1819" s="54">
        <f>IF(AND(AJ1819=1,AH1819&lt;&gt;"",COUNTIFS($AH$2:AH1819,AH1819,$AJ$2:AJ1819,1)=1),N(AL1818)+1,"")</f>
        <v/>
      </c>
      <c r="AL1819" s="54">
        <f>IF(AK1819&lt;&gt;"",AK1819,N(AL1818))</f>
        <v/>
      </c>
    </row>
    <row r="1820">
      <c r="A1820" t="inlineStr">
        <is>
          <t>ONS-0607</t>
        </is>
      </c>
      <c r="B1820" t="inlineStr">
        <is>
          <t>Onsite</t>
        </is>
      </c>
      <c r="AB1820" t="n">
        <v>607</v>
      </c>
      <c r="AD1820" s="52">
        <f>IFERROR(N(IFERROR(INDEX($A1820:$AB1820,MATCH("Xero Invoiced Ex GST",$A$1:$AB$1,0)),"")),0)</f>
        <v/>
      </c>
      <c r="AE1820" s="53">
        <f>IFERROR(INDEX($A1820:$AB1820,MATCH("Xero Invoice Date",$A$1:$AB$1,0)),"")</f>
        <v/>
      </c>
      <c r="AF1820" s="54">
        <f>IF(AND(IFERROR(INDEX($A1820:$AB1820,MATCH("Xero Invoice No",$A$1:$AB$1,0)),"")&amp;""&lt;&gt;"",ISNUMBER(AE1820),AD1820&lt;&gt;0),1,0)</f>
        <v/>
      </c>
      <c r="AG1820" s="55">
        <f>IF(AF1820=1,EOMONTH(AE1820,0),"")</f>
        <v/>
      </c>
      <c r="AH1820" s="9">
        <f>IF(AF1820=1,UPPER(TRIM(IFERROR(INDEX($A1820:$AB1820,MATCH("Client",$A$1:$AB$1,0)),"")&amp;"")),"")</f>
        <v/>
      </c>
      <c r="AI1820" s="9">
        <f>IF(AF1820=1,IFERROR(INDEX($A1820:$AB1820,MATCH("Cost Centre",$A$1:$AB$1,0)),"")&amp;"","")</f>
        <v/>
      </c>
      <c r="AJ1820" s="54">
        <f>IF(AND(AF1820=1,AE1820&gt;=set_FYStart,AE1820&lt;=set_AsAt),1,0)</f>
        <v/>
      </c>
      <c r="AK1820" s="54">
        <f>IF(AND(AJ1820=1,AH1820&lt;&gt;"",COUNTIFS($AH$2:AH1820,AH1820,$AJ$2:AJ1820,1)=1),N(AL1819)+1,"")</f>
        <v/>
      </c>
      <c r="AL1820" s="54">
        <f>IF(AK1820&lt;&gt;"",AK1820,N(AL1819))</f>
        <v/>
      </c>
    </row>
    <row r="1821">
      <c r="A1821" t="inlineStr">
        <is>
          <t>PRD-0607</t>
        </is>
      </c>
      <c r="B1821" t="inlineStr">
        <is>
          <t>Production</t>
        </is>
      </c>
      <c r="AB1821" t="n">
        <v>607</v>
      </c>
      <c r="AD1821" s="52">
        <f>IFERROR(N(IFERROR(INDEX($A1821:$AB1821,MATCH("Xero Invoiced Ex GST",$A$1:$AB$1,0)),"")),0)</f>
        <v/>
      </c>
      <c r="AE1821" s="53">
        <f>IFERROR(INDEX($A1821:$AB1821,MATCH("Xero Invoice Date",$A$1:$AB$1,0)),"")</f>
        <v/>
      </c>
      <c r="AF1821" s="54">
        <f>IF(AND(IFERROR(INDEX($A1821:$AB1821,MATCH("Xero Invoice No",$A$1:$AB$1,0)),"")&amp;""&lt;&gt;"",ISNUMBER(AE1821),AD1821&lt;&gt;0),1,0)</f>
        <v/>
      </c>
      <c r="AG1821" s="55">
        <f>IF(AF1821=1,EOMONTH(AE1821,0),"")</f>
        <v/>
      </c>
      <c r="AH1821" s="9">
        <f>IF(AF1821=1,UPPER(TRIM(IFERROR(INDEX($A1821:$AB1821,MATCH("Client",$A$1:$AB$1,0)),"")&amp;"")),"")</f>
        <v/>
      </c>
      <c r="AI1821" s="9">
        <f>IF(AF1821=1,IFERROR(INDEX($A1821:$AB1821,MATCH("Cost Centre",$A$1:$AB$1,0)),"")&amp;"","")</f>
        <v/>
      </c>
      <c r="AJ1821" s="54">
        <f>IF(AND(AF1821=1,AE1821&gt;=set_FYStart,AE1821&lt;=set_AsAt),1,0)</f>
        <v/>
      </c>
      <c r="AK1821" s="54">
        <f>IF(AND(AJ1821=1,AH1821&lt;&gt;"",COUNTIFS($AH$2:AH1821,AH1821,$AJ$2:AJ1821,1)=1),N(AL1820)+1,"")</f>
        <v/>
      </c>
      <c r="AL1821" s="54">
        <f>IF(AK1821&lt;&gt;"",AK1821,N(AL1820))</f>
        <v/>
      </c>
    </row>
    <row r="1822">
      <c r="A1822" t="inlineStr">
        <is>
          <t>CON-0607</t>
        </is>
      </c>
      <c r="B1822" t="inlineStr">
        <is>
          <t>Consulting</t>
        </is>
      </c>
      <c r="AB1822" t="n">
        <v>607</v>
      </c>
      <c r="AD1822" s="52">
        <f>IFERROR(N(IFERROR(INDEX($A1822:$AB1822,MATCH("Xero Invoiced Ex GST",$A$1:$AB$1,0)),"")),0)</f>
        <v/>
      </c>
      <c r="AE1822" s="53">
        <f>IFERROR(INDEX($A1822:$AB1822,MATCH("Xero Invoice Date",$A$1:$AB$1,0)),"")</f>
        <v/>
      </c>
      <c r="AF1822" s="54">
        <f>IF(AND(IFERROR(INDEX($A1822:$AB1822,MATCH("Xero Invoice No",$A$1:$AB$1,0)),"")&amp;""&lt;&gt;"",ISNUMBER(AE1822),AD1822&lt;&gt;0),1,0)</f>
        <v/>
      </c>
      <c r="AG1822" s="55">
        <f>IF(AF1822=1,EOMONTH(AE1822,0),"")</f>
        <v/>
      </c>
      <c r="AH1822" s="9">
        <f>IF(AF1822=1,UPPER(TRIM(IFERROR(INDEX($A1822:$AB1822,MATCH("Client",$A$1:$AB$1,0)),"")&amp;"")),"")</f>
        <v/>
      </c>
      <c r="AI1822" s="9">
        <f>IF(AF1822=1,IFERROR(INDEX($A1822:$AB1822,MATCH("Cost Centre",$A$1:$AB$1,0)),"")&amp;"","")</f>
        <v/>
      </c>
      <c r="AJ1822" s="54">
        <f>IF(AND(AF1822=1,AE1822&gt;=set_FYStart,AE1822&lt;=set_AsAt),1,0)</f>
        <v/>
      </c>
      <c r="AK1822" s="54">
        <f>IF(AND(AJ1822=1,AH1822&lt;&gt;"",COUNTIFS($AH$2:AH1822,AH1822,$AJ$2:AJ1822,1)=1),N(AL1821)+1,"")</f>
        <v/>
      </c>
      <c r="AL1822" s="54">
        <f>IF(AK1822&lt;&gt;"",AK1822,N(AL1821))</f>
        <v/>
      </c>
    </row>
    <row r="1823">
      <c r="A1823" t="inlineStr">
        <is>
          <t>ONS-0608</t>
        </is>
      </c>
      <c r="B1823" t="inlineStr">
        <is>
          <t>Onsite</t>
        </is>
      </c>
      <c r="AB1823" t="n">
        <v>608</v>
      </c>
      <c r="AD1823" s="52">
        <f>IFERROR(N(IFERROR(INDEX($A1823:$AB1823,MATCH("Xero Invoiced Ex GST",$A$1:$AB$1,0)),"")),0)</f>
        <v/>
      </c>
      <c r="AE1823" s="53">
        <f>IFERROR(INDEX($A1823:$AB1823,MATCH("Xero Invoice Date",$A$1:$AB$1,0)),"")</f>
        <v/>
      </c>
      <c r="AF1823" s="54">
        <f>IF(AND(IFERROR(INDEX($A1823:$AB1823,MATCH("Xero Invoice No",$A$1:$AB$1,0)),"")&amp;""&lt;&gt;"",ISNUMBER(AE1823),AD1823&lt;&gt;0),1,0)</f>
        <v/>
      </c>
      <c r="AG1823" s="55">
        <f>IF(AF1823=1,EOMONTH(AE1823,0),"")</f>
        <v/>
      </c>
      <c r="AH1823" s="9">
        <f>IF(AF1823=1,UPPER(TRIM(IFERROR(INDEX($A1823:$AB1823,MATCH("Client",$A$1:$AB$1,0)),"")&amp;"")),"")</f>
        <v/>
      </c>
      <c r="AI1823" s="9">
        <f>IF(AF1823=1,IFERROR(INDEX($A1823:$AB1823,MATCH("Cost Centre",$A$1:$AB$1,0)),"")&amp;"","")</f>
        <v/>
      </c>
      <c r="AJ1823" s="54">
        <f>IF(AND(AF1823=1,AE1823&gt;=set_FYStart,AE1823&lt;=set_AsAt),1,0)</f>
        <v/>
      </c>
      <c r="AK1823" s="54">
        <f>IF(AND(AJ1823=1,AH1823&lt;&gt;"",COUNTIFS($AH$2:AH1823,AH1823,$AJ$2:AJ1823,1)=1),N(AL1822)+1,"")</f>
        <v/>
      </c>
      <c r="AL1823" s="54">
        <f>IF(AK1823&lt;&gt;"",AK1823,N(AL1822))</f>
        <v/>
      </c>
    </row>
    <row r="1824">
      <c r="A1824" t="inlineStr">
        <is>
          <t>PRD-0608</t>
        </is>
      </c>
      <c r="B1824" t="inlineStr">
        <is>
          <t>Production</t>
        </is>
      </c>
      <c r="AB1824" t="n">
        <v>608</v>
      </c>
      <c r="AD1824" s="52">
        <f>IFERROR(N(IFERROR(INDEX($A1824:$AB1824,MATCH("Xero Invoiced Ex GST",$A$1:$AB$1,0)),"")),0)</f>
        <v/>
      </c>
      <c r="AE1824" s="53">
        <f>IFERROR(INDEX($A1824:$AB1824,MATCH("Xero Invoice Date",$A$1:$AB$1,0)),"")</f>
        <v/>
      </c>
      <c r="AF1824" s="54">
        <f>IF(AND(IFERROR(INDEX($A1824:$AB1824,MATCH("Xero Invoice No",$A$1:$AB$1,0)),"")&amp;""&lt;&gt;"",ISNUMBER(AE1824),AD1824&lt;&gt;0),1,0)</f>
        <v/>
      </c>
      <c r="AG1824" s="55">
        <f>IF(AF1824=1,EOMONTH(AE1824,0),"")</f>
        <v/>
      </c>
      <c r="AH1824" s="9">
        <f>IF(AF1824=1,UPPER(TRIM(IFERROR(INDEX($A1824:$AB1824,MATCH("Client",$A$1:$AB$1,0)),"")&amp;"")),"")</f>
        <v/>
      </c>
      <c r="AI1824" s="9">
        <f>IF(AF1824=1,IFERROR(INDEX($A1824:$AB1824,MATCH("Cost Centre",$A$1:$AB$1,0)),"")&amp;"","")</f>
        <v/>
      </c>
      <c r="AJ1824" s="54">
        <f>IF(AND(AF1824=1,AE1824&gt;=set_FYStart,AE1824&lt;=set_AsAt),1,0)</f>
        <v/>
      </c>
      <c r="AK1824" s="54">
        <f>IF(AND(AJ1824=1,AH1824&lt;&gt;"",COUNTIFS($AH$2:AH1824,AH1824,$AJ$2:AJ1824,1)=1),N(AL1823)+1,"")</f>
        <v/>
      </c>
      <c r="AL1824" s="54">
        <f>IF(AK1824&lt;&gt;"",AK1824,N(AL1823))</f>
        <v/>
      </c>
    </row>
    <row r="1825">
      <c r="A1825" t="inlineStr">
        <is>
          <t>CON-0608</t>
        </is>
      </c>
      <c r="B1825" t="inlineStr">
        <is>
          <t>Consulting</t>
        </is>
      </c>
      <c r="AB1825" t="n">
        <v>608</v>
      </c>
      <c r="AD1825" s="52">
        <f>IFERROR(N(IFERROR(INDEX($A1825:$AB1825,MATCH("Xero Invoiced Ex GST",$A$1:$AB$1,0)),"")),0)</f>
        <v/>
      </c>
      <c r="AE1825" s="53">
        <f>IFERROR(INDEX($A1825:$AB1825,MATCH("Xero Invoice Date",$A$1:$AB$1,0)),"")</f>
        <v/>
      </c>
      <c r="AF1825" s="54">
        <f>IF(AND(IFERROR(INDEX($A1825:$AB1825,MATCH("Xero Invoice No",$A$1:$AB$1,0)),"")&amp;""&lt;&gt;"",ISNUMBER(AE1825),AD1825&lt;&gt;0),1,0)</f>
        <v/>
      </c>
      <c r="AG1825" s="55">
        <f>IF(AF1825=1,EOMONTH(AE1825,0),"")</f>
        <v/>
      </c>
      <c r="AH1825" s="9">
        <f>IF(AF1825=1,UPPER(TRIM(IFERROR(INDEX($A1825:$AB1825,MATCH("Client",$A$1:$AB$1,0)),"")&amp;"")),"")</f>
        <v/>
      </c>
      <c r="AI1825" s="9">
        <f>IF(AF1825=1,IFERROR(INDEX($A1825:$AB1825,MATCH("Cost Centre",$A$1:$AB$1,0)),"")&amp;"","")</f>
        <v/>
      </c>
      <c r="AJ1825" s="54">
        <f>IF(AND(AF1825=1,AE1825&gt;=set_FYStart,AE1825&lt;=set_AsAt),1,0)</f>
        <v/>
      </c>
      <c r="AK1825" s="54">
        <f>IF(AND(AJ1825=1,AH1825&lt;&gt;"",COUNTIFS($AH$2:AH1825,AH1825,$AJ$2:AJ1825,1)=1),N(AL1824)+1,"")</f>
        <v/>
      </c>
      <c r="AL1825" s="54">
        <f>IF(AK1825&lt;&gt;"",AK1825,N(AL1824))</f>
        <v/>
      </c>
    </row>
    <row r="1826">
      <c r="A1826" t="inlineStr">
        <is>
          <t>ONS-0609</t>
        </is>
      </c>
      <c r="B1826" t="inlineStr">
        <is>
          <t>Onsite</t>
        </is>
      </c>
      <c r="AB1826" t="n">
        <v>609</v>
      </c>
      <c r="AD1826" s="52">
        <f>IFERROR(N(IFERROR(INDEX($A1826:$AB1826,MATCH("Xero Invoiced Ex GST",$A$1:$AB$1,0)),"")),0)</f>
        <v/>
      </c>
      <c r="AE1826" s="53">
        <f>IFERROR(INDEX($A1826:$AB1826,MATCH("Xero Invoice Date",$A$1:$AB$1,0)),"")</f>
        <v/>
      </c>
      <c r="AF1826" s="54">
        <f>IF(AND(IFERROR(INDEX($A1826:$AB1826,MATCH("Xero Invoice No",$A$1:$AB$1,0)),"")&amp;""&lt;&gt;"",ISNUMBER(AE1826),AD1826&lt;&gt;0),1,0)</f>
        <v/>
      </c>
      <c r="AG1826" s="55">
        <f>IF(AF1826=1,EOMONTH(AE1826,0),"")</f>
        <v/>
      </c>
      <c r="AH1826" s="9">
        <f>IF(AF1826=1,UPPER(TRIM(IFERROR(INDEX($A1826:$AB1826,MATCH("Client",$A$1:$AB$1,0)),"")&amp;"")),"")</f>
        <v/>
      </c>
      <c r="AI1826" s="9">
        <f>IF(AF1826=1,IFERROR(INDEX($A1826:$AB1826,MATCH("Cost Centre",$A$1:$AB$1,0)),"")&amp;"","")</f>
        <v/>
      </c>
      <c r="AJ1826" s="54">
        <f>IF(AND(AF1826=1,AE1826&gt;=set_FYStart,AE1826&lt;=set_AsAt),1,0)</f>
        <v/>
      </c>
      <c r="AK1826" s="54">
        <f>IF(AND(AJ1826=1,AH1826&lt;&gt;"",COUNTIFS($AH$2:AH1826,AH1826,$AJ$2:AJ1826,1)=1),N(AL1825)+1,"")</f>
        <v/>
      </c>
      <c r="AL1826" s="54">
        <f>IF(AK1826&lt;&gt;"",AK1826,N(AL1825))</f>
        <v/>
      </c>
    </row>
    <row r="1827">
      <c r="A1827" t="inlineStr">
        <is>
          <t>PRD-0609</t>
        </is>
      </c>
      <c r="B1827" t="inlineStr">
        <is>
          <t>Production</t>
        </is>
      </c>
      <c r="AB1827" t="n">
        <v>609</v>
      </c>
      <c r="AD1827" s="52">
        <f>IFERROR(N(IFERROR(INDEX($A1827:$AB1827,MATCH("Xero Invoiced Ex GST",$A$1:$AB$1,0)),"")),0)</f>
        <v/>
      </c>
      <c r="AE1827" s="53">
        <f>IFERROR(INDEX($A1827:$AB1827,MATCH("Xero Invoice Date",$A$1:$AB$1,0)),"")</f>
        <v/>
      </c>
      <c r="AF1827" s="54">
        <f>IF(AND(IFERROR(INDEX($A1827:$AB1827,MATCH("Xero Invoice No",$A$1:$AB$1,0)),"")&amp;""&lt;&gt;"",ISNUMBER(AE1827),AD1827&lt;&gt;0),1,0)</f>
        <v/>
      </c>
      <c r="AG1827" s="55">
        <f>IF(AF1827=1,EOMONTH(AE1827,0),"")</f>
        <v/>
      </c>
      <c r="AH1827" s="9">
        <f>IF(AF1827=1,UPPER(TRIM(IFERROR(INDEX($A1827:$AB1827,MATCH("Client",$A$1:$AB$1,0)),"")&amp;"")),"")</f>
        <v/>
      </c>
      <c r="AI1827" s="9">
        <f>IF(AF1827=1,IFERROR(INDEX($A1827:$AB1827,MATCH("Cost Centre",$A$1:$AB$1,0)),"")&amp;"","")</f>
        <v/>
      </c>
      <c r="AJ1827" s="54">
        <f>IF(AND(AF1827=1,AE1827&gt;=set_FYStart,AE1827&lt;=set_AsAt),1,0)</f>
        <v/>
      </c>
      <c r="AK1827" s="54">
        <f>IF(AND(AJ1827=1,AH1827&lt;&gt;"",COUNTIFS($AH$2:AH1827,AH1827,$AJ$2:AJ1827,1)=1),N(AL1826)+1,"")</f>
        <v/>
      </c>
      <c r="AL1827" s="54">
        <f>IF(AK1827&lt;&gt;"",AK1827,N(AL1826))</f>
        <v/>
      </c>
    </row>
    <row r="1828">
      <c r="A1828" t="inlineStr">
        <is>
          <t>CON-0609</t>
        </is>
      </c>
      <c r="B1828" t="inlineStr">
        <is>
          <t>Consulting</t>
        </is>
      </c>
      <c r="AB1828" t="n">
        <v>609</v>
      </c>
      <c r="AD1828" s="52">
        <f>IFERROR(N(IFERROR(INDEX($A1828:$AB1828,MATCH("Xero Invoiced Ex GST",$A$1:$AB$1,0)),"")),0)</f>
        <v/>
      </c>
      <c r="AE1828" s="53">
        <f>IFERROR(INDEX($A1828:$AB1828,MATCH("Xero Invoice Date",$A$1:$AB$1,0)),"")</f>
        <v/>
      </c>
      <c r="AF1828" s="54">
        <f>IF(AND(IFERROR(INDEX($A1828:$AB1828,MATCH("Xero Invoice No",$A$1:$AB$1,0)),"")&amp;""&lt;&gt;"",ISNUMBER(AE1828),AD1828&lt;&gt;0),1,0)</f>
        <v/>
      </c>
      <c r="AG1828" s="55">
        <f>IF(AF1828=1,EOMONTH(AE1828,0),"")</f>
        <v/>
      </c>
      <c r="AH1828" s="9">
        <f>IF(AF1828=1,UPPER(TRIM(IFERROR(INDEX($A1828:$AB1828,MATCH("Client",$A$1:$AB$1,0)),"")&amp;"")),"")</f>
        <v/>
      </c>
      <c r="AI1828" s="9">
        <f>IF(AF1828=1,IFERROR(INDEX($A1828:$AB1828,MATCH("Cost Centre",$A$1:$AB$1,0)),"")&amp;"","")</f>
        <v/>
      </c>
      <c r="AJ1828" s="54">
        <f>IF(AND(AF1828=1,AE1828&gt;=set_FYStart,AE1828&lt;=set_AsAt),1,0)</f>
        <v/>
      </c>
      <c r="AK1828" s="54">
        <f>IF(AND(AJ1828=1,AH1828&lt;&gt;"",COUNTIFS($AH$2:AH1828,AH1828,$AJ$2:AJ1828,1)=1),N(AL1827)+1,"")</f>
        <v/>
      </c>
      <c r="AL1828" s="54">
        <f>IF(AK1828&lt;&gt;"",AK1828,N(AL1827))</f>
        <v/>
      </c>
    </row>
    <row r="1829">
      <c r="A1829" t="inlineStr">
        <is>
          <t>ONS-0610</t>
        </is>
      </c>
      <c r="B1829" t="inlineStr">
        <is>
          <t>Onsite</t>
        </is>
      </c>
      <c r="AB1829" t="n">
        <v>610</v>
      </c>
      <c r="AD1829" s="52">
        <f>IFERROR(N(IFERROR(INDEX($A1829:$AB1829,MATCH("Xero Invoiced Ex GST",$A$1:$AB$1,0)),"")),0)</f>
        <v/>
      </c>
      <c r="AE1829" s="53">
        <f>IFERROR(INDEX($A1829:$AB1829,MATCH("Xero Invoice Date",$A$1:$AB$1,0)),"")</f>
        <v/>
      </c>
      <c r="AF1829" s="54">
        <f>IF(AND(IFERROR(INDEX($A1829:$AB1829,MATCH("Xero Invoice No",$A$1:$AB$1,0)),"")&amp;""&lt;&gt;"",ISNUMBER(AE1829),AD1829&lt;&gt;0),1,0)</f>
        <v/>
      </c>
      <c r="AG1829" s="55">
        <f>IF(AF1829=1,EOMONTH(AE1829,0),"")</f>
        <v/>
      </c>
      <c r="AH1829" s="9">
        <f>IF(AF1829=1,UPPER(TRIM(IFERROR(INDEX($A1829:$AB1829,MATCH("Client",$A$1:$AB$1,0)),"")&amp;"")),"")</f>
        <v/>
      </c>
      <c r="AI1829" s="9">
        <f>IF(AF1829=1,IFERROR(INDEX($A1829:$AB1829,MATCH("Cost Centre",$A$1:$AB$1,0)),"")&amp;"","")</f>
        <v/>
      </c>
      <c r="AJ1829" s="54">
        <f>IF(AND(AF1829=1,AE1829&gt;=set_FYStart,AE1829&lt;=set_AsAt),1,0)</f>
        <v/>
      </c>
      <c r="AK1829" s="54">
        <f>IF(AND(AJ1829=1,AH1829&lt;&gt;"",COUNTIFS($AH$2:AH1829,AH1829,$AJ$2:AJ1829,1)=1),N(AL1828)+1,"")</f>
        <v/>
      </c>
      <c r="AL1829" s="54">
        <f>IF(AK1829&lt;&gt;"",AK1829,N(AL1828))</f>
        <v/>
      </c>
    </row>
    <row r="1830">
      <c r="A1830" t="inlineStr">
        <is>
          <t>PRD-0610</t>
        </is>
      </c>
      <c r="B1830" t="inlineStr">
        <is>
          <t>Production</t>
        </is>
      </c>
      <c r="AB1830" t="n">
        <v>610</v>
      </c>
      <c r="AD1830" s="52">
        <f>IFERROR(N(IFERROR(INDEX($A1830:$AB1830,MATCH("Xero Invoiced Ex GST",$A$1:$AB$1,0)),"")),0)</f>
        <v/>
      </c>
      <c r="AE1830" s="53">
        <f>IFERROR(INDEX($A1830:$AB1830,MATCH("Xero Invoice Date",$A$1:$AB$1,0)),"")</f>
        <v/>
      </c>
      <c r="AF1830" s="54">
        <f>IF(AND(IFERROR(INDEX($A1830:$AB1830,MATCH("Xero Invoice No",$A$1:$AB$1,0)),"")&amp;""&lt;&gt;"",ISNUMBER(AE1830),AD1830&lt;&gt;0),1,0)</f>
        <v/>
      </c>
      <c r="AG1830" s="55">
        <f>IF(AF1830=1,EOMONTH(AE1830,0),"")</f>
        <v/>
      </c>
      <c r="AH1830" s="9">
        <f>IF(AF1830=1,UPPER(TRIM(IFERROR(INDEX($A1830:$AB1830,MATCH("Client",$A$1:$AB$1,0)),"")&amp;"")),"")</f>
        <v/>
      </c>
      <c r="AI1830" s="9">
        <f>IF(AF1830=1,IFERROR(INDEX($A1830:$AB1830,MATCH("Cost Centre",$A$1:$AB$1,0)),"")&amp;"","")</f>
        <v/>
      </c>
      <c r="AJ1830" s="54">
        <f>IF(AND(AF1830=1,AE1830&gt;=set_FYStart,AE1830&lt;=set_AsAt),1,0)</f>
        <v/>
      </c>
      <c r="AK1830" s="54">
        <f>IF(AND(AJ1830=1,AH1830&lt;&gt;"",COUNTIFS($AH$2:AH1830,AH1830,$AJ$2:AJ1830,1)=1),N(AL1829)+1,"")</f>
        <v/>
      </c>
      <c r="AL1830" s="54">
        <f>IF(AK1830&lt;&gt;"",AK1830,N(AL1829))</f>
        <v/>
      </c>
    </row>
    <row r="1831">
      <c r="A1831" t="inlineStr">
        <is>
          <t>CON-0610</t>
        </is>
      </c>
      <c r="B1831" t="inlineStr">
        <is>
          <t>Consulting</t>
        </is>
      </c>
      <c r="AB1831" t="n">
        <v>610</v>
      </c>
      <c r="AD1831" s="52">
        <f>IFERROR(N(IFERROR(INDEX($A1831:$AB1831,MATCH("Xero Invoiced Ex GST",$A$1:$AB$1,0)),"")),0)</f>
        <v/>
      </c>
      <c r="AE1831" s="53">
        <f>IFERROR(INDEX($A1831:$AB1831,MATCH("Xero Invoice Date",$A$1:$AB$1,0)),"")</f>
        <v/>
      </c>
      <c r="AF1831" s="54">
        <f>IF(AND(IFERROR(INDEX($A1831:$AB1831,MATCH("Xero Invoice No",$A$1:$AB$1,0)),"")&amp;""&lt;&gt;"",ISNUMBER(AE1831),AD1831&lt;&gt;0),1,0)</f>
        <v/>
      </c>
      <c r="AG1831" s="55">
        <f>IF(AF1831=1,EOMONTH(AE1831,0),"")</f>
        <v/>
      </c>
      <c r="AH1831" s="9">
        <f>IF(AF1831=1,UPPER(TRIM(IFERROR(INDEX($A1831:$AB1831,MATCH("Client",$A$1:$AB$1,0)),"")&amp;"")),"")</f>
        <v/>
      </c>
      <c r="AI1831" s="9">
        <f>IF(AF1831=1,IFERROR(INDEX($A1831:$AB1831,MATCH("Cost Centre",$A$1:$AB$1,0)),"")&amp;"","")</f>
        <v/>
      </c>
      <c r="AJ1831" s="54">
        <f>IF(AND(AF1831=1,AE1831&gt;=set_FYStart,AE1831&lt;=set_AsAt),1,0)</f>
        <v/>
      </c>
      <c r="AK1831" s="54">
        <f>IF(AND(AJ1831=1,AH1831&lt;&gt;"",COUNTIFS($AH$2:AH1831,AH1831,$AJ$2:AJ1831,1)=1),N(AL1830)+1,"")</f>
        <v/>
      </c>
      <c r="AL1831" s="54">
        <f>IF(AK1831&lt;&gt;"",AK1831,N(AL1830))</f>
        <v/>
      </c>
    </row>
    <row r="1832">
      <c r="A1832" t="inlineStr">
        <is>
          <t>ONS-0611</t>
        </is>
      </c>
      <c r="B1832" t="inlineStr">
        <is>
          <t>Onsite</t>
        </is>
      </c>
      <c r="AB1832" t="n">
        <v>611</v>
      </c>
      <c r="AD1832" s="52">
        <f>IFERROR(N(IFERROR(INDEX($A1832:$AB1832,MATCH("Xero Invoiced Ex GST",$A$1:$AB$1,0)),"")),0)</f>
        <v/>
      </c>
      <c r="AE1832" s="53">
        <f>IFERROR(INDEX($A1832:$AB1832,MATCH("Xero Invoice Date",$A$1:$AB$1,0)),"")</f>
        <v/>
      </c>
      <c r="AF1832" s="54">
        <f>IF(AND(IFERROR(INDEX($A1832:$AB1832,MATCH("Xero Invoice No",$A$1:$AB$1,0)),"")&amp;""&lt;&gt;"",ISNUMBER(AE1832),AD1832&lt;&gt;0),1,0)</f>
        <v/>
      </c>
      <c r="AG1832" s="55">
        <f>IF(AF1832=1,EOMONTH(AE1832,0),"")</f>
        <v/>
      </c>
      <c r="AH1832" s="9">
        <f>IF(AF1832=1,UPPER(TRIM(IFERROR(INDEX($A1832:$AB1832,MATCH("Client",$A$1:$AB$1,0)),"")&amp;"")),"")</f>
        <v/>
      </c>
      <c r="AI1832" s="9">
        <f>IF(AF1832=1,IFERROR(INDEX($A1832:$AB1832,MATCH("Cost Centre",$A$1:$AB$1,0)),"")&amp;"","")</f>
        <v/>
      </c>
      <c r="AJ1832" s="54">
        <f>IF(AND(AF1832=1,AE1832&gt;=set_FYStart,AE1832&lt;=set_AsAt),1,0)</f>
        <v/>
      </c>
      <c r="AK1832" s="54">
        <f>IF(AND(AJ1832=1,AH1832&lt;&gt;"",COUNTIFS($AH$2:AH1832,AH1832,$AJ$2:AJ1832,1)=1),N(AL1831)+1,"")</f>
        <v/>
      </c>
      <c r="AL1832" s="54">
        <f>IF(AK1832&lt;&gt;"",AK1832,N(AL1831))</f>
        <v/>
      </c>
    </row>
    <row r="1833">
      <c r="A1833" t="inlineStr">
        <is>
          <t>PRD-0611</t>
        </is>
      </c>
      <c r="B1833" t="inlineStr">
        <is>
          <t>Production</t>
        </is>
      </c>
      <c r="AB1833" t="n">
        <v>611</v>
      </c>
      <c r="AD1833" s="52">
        <f>IFERROR(N(IFERROR(INDEX($A1833:$AB1833,MATCH("Xero Invoiced Ex GST",$A$1:$AB$1,0)),"")),0)</f>
        <v/>
      </c>
      <c r="AE1833" s="53">
        <f>IFERROR(INDEX($A1833:$AB1833,MATCH("Xero Invoice Date",$A$1:$AB$1,0)),"")</f>
        <v/>
      </c>
      <c r="AF1833" s="54">
        <f>IF(AND(IFERROR(INDEX($A1833:$AB1833,MATCH("Xero Invoice No",$A$1:$AB$1,0)),"")&amp;""&lt;&gt;"",ISNUMBER(AE1833),AD1833&lt;&gt;0),1,0)</f>
        <v/>
      </c>
      <c r="AG1833" s="55">
        <f>IF(AF1833=1,EOMONTH(AE1833,0),"")</f>
        <v/>
      </c>
      <c r="AH1833" s="9">
        <f>IF(AF1833=1,UPPER(TRIM(IFERROR(INDEX($A1833:$AB1833,MATCH("Client",$A$1:$AB$1,0)),"")&amp;"")),"")</f>
        <v/>
      </c>
      <c r="AI1833" s="9">
        <f>IF(AF1833=1,IFERROR(INDEX($A1833:$AB1833,MATCH("Cost Centre",$A$1:$AB$1,0)),"")&amp;"","")</f>
        <v/>
      </c>
      <c r="AJ1833" s="54">
        <f>IF(AND(AF1833=1,AE1833&gt;=set_FYStart,AE1833&lt;=set_AsAt),1,0)</f>
        <v/>
      </c>
      <c r="AK1833" s="54">
        <f>IF(AND(AJ1833=1,AH1833&lt;&gt;"",COUNTIFS($AH$2:AH1833,AH1833,$AJ$2:AJ1833,1)=1),N(AL1832)+1,"")</f>
        <v/>
      </c>
      <c r="AL1833" s="54">
        <f>IF(AK1833&lt;&gt;"",AK1833,N(AL1832))</f>
        <v/>
      </c>
    </row>
    <row r="1834">
      <c r="A1834" t="inlineStr">
        <is>
          <t>CON-0611</t>
        </is>
      </c>
      <c r="B1834" t="inlineStr">
        <is>
          <t>Consulting</t>
        </is>
      </c>
      <c r="AB1834" t="n">
        <v>611</v>
      </c>
      <c r="AD1834" s="52">
        <f>IFERROR(N(IFERROR(INDEX($A1834:$AB1834,MATCH("Xero Invoiced Ex GST",$A$1:$AB$1,0)),"")),0)</f>
        <v/>
      </c>
      <c r="AE1834" s="53">
        <f>IFERROR(INDEX($A1834:$AB1834,MATCH("Xero Invoice Date",$A$1:$AB$1,0)),"")</f>
        <v/>
      </c>
      <c r="AF1834" s="54">
        <f>IF(AND(IFERROR(INDEX($A1834:$AB1834,MATCH("Xero Invoice No",$A$1:$AB$1,0)),"")&amp;""&lt;&gt;"",ISNUMBER(AE1834),AD1834&lt;&gt;0),1,0)</f>
        <v/>
      </c>
      <c r="AG1834" s="55">
        <f>IF(AF1834=1,EOMONTH(AE1834,0),"")</f>
        <v/>
      </c>
      <c r="AH1834" s="9">
        <f>IF(AF1834=1,UPPER(TRIM(IFERROR(INDEX($A1834:$AB1834,MATCH("Client",$A$1:$AB$1,0)),"")&amp;"")),"")</f>
        <v/>
      </c>
      <c r="AI1834" s="9">
        <f>IF(AF1834=1,IFERROR(INDEX($A1834:$AB1834,MATCH("Cost Centre",$A$1:$AB$1,0)),"")&amp;"","")</f>
        <v/>
      </c>
      <c r="AJ1834" s="54">
        <f>IF(AND(AF1834=1,AE1834&gt;=set_FYStart,AE1834&lt;=set_AsAt),1,0)</f>
        <v/>
      </c>
      <c r="AK1834" s="54">
        <f>IF(AND(AJ1834=1,AH1834&lt;&gt;"",COUNTIFS($AH$2:AH1834,AH1834,$AJ$2:AJ1834,1)=1),N(AL1833)+1,"")</f>
        <v/>
      </c>
      <c r="AL1834" s="54">
        <f>IF(AK1834&lt;&gt;"",AK1834,N(AL1833))</f>
        <v/>
      </c>
    </row>
    <row r="1835">
      <c r="A1835" t="inlineStr">
        <is>
          <t>ONS-0612</t>
        </is>
      </c>
      <c r="B1835" t="inlineStr">
        <is>
          <t>Onsite</t>
        </is>
      </c>
      <c r="AB1835" t="n">
        <v>612</v>
      </c>
      <c r="AD1835" s="52">
        <f>IFERROR(N(IFERROR(INDEX($A1835:$AB1835,MATCH("Xero Invoiced Ex GST",$A$1:$AB$1,0)),"")),0)</f>
        <v/>
      </c>
      <c r="AE1835" s="53">
        <f>IFERROR(INDEX($A1835:$AB1835,MATCH("Xero Invoice Date",$A$1:$AB$1,0)),"")</f>
        <v/>
      </c>
      <c r="AF1835" s="54">
        <f>IF(AND(IFERROR(INDEX($A1835:$AB1835,MATCH("Xero Invoice No",$A$1:$AB$1,0)),"")&amp;""&lt;&gt;"",ISNUMBER(AE1835),AD1835&lt;&gt;0),1,0)</f>
        <v/>
      </c>
      <c r="AG1835" s="55">
        <f>IF(AF1835=1,EOMONTH(AE1835,0),"")</f>
        <v/>
      </c>
      <c r="AH1835" s="9">
        <f>IF(AF1835=1,UPPER(TRIM(IFERROR(INDEX($A1835:$AB1835,MATCH("Client",$A$1:$AB$1,0)),"")&amp;"")),"")</f>
        <v/>
      </c>
      <c r="AI1835" s="9">
        <f>IF(AF1835=1,IFERROR(INDEX($A1835:$AB1835,MATCH("Cost Centre",$A$1:$AB$1,0)),"")&amp;"","")</f>
        <v/>
      </c>
      <c r="AJ1835" s="54">
        <f>IF(AND(AF1835=1,AE1835&gt;=set_FYStart,AE1835&lt;=set_AsAt),1,0)</f>
        <v/>
      </c>
      <c r="AK1835" s="54">
        <f>IF(AND(AJ1835=1,AH1835&lt;&gt;"",COUNTIFS($AH$2:AH1835,AH1835,$AJ$2:AJ1835,1)=1),N(AL1834)+1,"")</f>
        <v/>
      </c>
      <c r="AL1835" s="54">
        <f>IF(AK1835&lt;&gt;"",AK1835,N(AL1834))</f>
        <v/>
      </c>
    </row>
    <row r="1836">
      <c r="A1836" t="inlineStr">
        <is>
          <t>PRD-0612</t>
        </is>
      </c>
      <c r="B1836" t="inlineStr">
        <is>
          <t>Production</t>
        </is>
      </c>
      <c r="AB1836" t="n">
        <v>612</v>
      </c>
      <c r="AD1836" s="52">
        <f>IFERROR(N(IFERROR(INDEX($A1836:$AB1836,MATCH("Xero Invoiced Ex GST",$A$1:$AB$1,0)),"")),0)</f>
        <v/>
      </c>
      <c r="AE1836" s="53">
        <f>IFERROR(INDEX($A1836:$AB1836,MATCH("Xero Invoice Date",$A$1:$AB$1,0)),"")</f>
        <v/>
      </c>
      <c r="AF1836" s="54">
        <f>IF(AND(IFERROR(INDEX($A1836:$AB1836,MATCH("Xero Invoice No",$A$1:$AB$1,0)),"")&amp;""&lt;&gt;"",ISNUMBER(AE1836),AD1836&lt;&gt;0),1,0)</f>
        <v/>
      </c>
      <c r="AG1836" s="55">
        <f>IF(AF1836=1,EOMONTH(AE1836,0),"")</f>
        <v/>
      </c>
      <c r="AH1836" s="9">
        <f>IF(AF1836=1,UPPER(TRIM(IFERROR(INDEX($A1836:$AB1836,MATCH("Client",$A$1:$AB$1,0)),"")&amp;"")),"")</f>
        <v/>
      </c>
      <c r="AI1836" s="9">
        <f>IF(AF1836=1,IFERROR(INDEX($A1836:$AB1836,MATCH("Cost Centre",$A$1:$AB$1,0)),"")&amp;"","")</f>
        <v/>
      </c>
      <c r="AJ1836" s="54">
        <f>IF(AND(AF1836=1,AE1836&gt;=set_FYStart,AE1836&lt;=set_AsAt),1,0)</f>
        <v/>
      </c>
      <c r="AK1836" s="54">
        <f>IF(AND(AJ1836=1,AH1836&lt;&gt;"",COUNTIFS($AH$2:AH1836,AH1836,$AJ$2:AJ1836,1)=1),N(AL1835)+1,"")</f>
        <v/>
      </c>
      <c r="AL1836" s="54">
        <f>IF(AK1836&lt;&gt;"",AK1836,N(AL1835))</f>
        <v/>
      </c>
    </row>
    <row r="1837">
      <c r="A1837" t="inlineStr">
        <is>
          <t>CON-0612</t>
        </is>
      </c>
      <c r="B1837" t="inlineStr">
        <is>
          <t>Consulting</t>
        </is>
      </c>
      <c r="AB1837" t="n">
        <v>612</v>
      </c>
      <c r="AD1837" s="52">
        <f>IFERROR(N(IFERROR(INDEX($A1837:$AB1837,MATCH("Xero Invoiced Ex GST",$A$1:$AB$1,0)),"")),0)</f>
        <v/>
      </c>
      <c r="AE1837" s="53">
        <f>IFERROR(INDEX($A1837:$AB1837,MATCH("Xero Invoice Date",$A$1:$AB$1,0)),"")</f>
        <v/>
      </c>
      <c r="AF1837" s="54">
        <f>IF(AND(IFERROR(INDEX($A1837:$AB1837,MATCH("Xero Invoice No",$A$1:$AB$1,0)),"")&amp;""&lt;&gt;"",ISNUMBER(AE1837),AD1837&lt;&gt;0),1,0)</f>
        <v/>
      </c>
      <c r="AG1837" s="55">
        <f>IF(AF1837=1,EOMONTH(AE1837,0),"")</f>
        <v/>
      </c>
      <c r="AH1837" s="9">
        <f>IF(AF1837=1,UPPER(TRIM(IFERROR(INDEX($A1837:$AB1837,MATCH("Client",$A$1:$AB$1,0)),"")&amp;"")),"")</f>
        <v/>
      </c>
      <c r="AI1837" s="9">
        <f>IF(AF1837=1,IFERROR(INDEX($A1837:$AB1837,MATCH("Cost Centre",$A$1:$AB$1,0)),"")&amp;"","")</f>
        <v/>
      </c>
      <c r="AJ1837" s="54">
        <f>IF(AND(AF1837=1,AE1837&gt;=set_FYStart,AE1837&lt;=set_AsAt),1,0)</f>
        <v/>
      </c>
      <c r="AK1837" s="54">
        <f>IF(AND(AJ1837=1,AH1837&lt;&gt;"",COUNTIFS($AH$2:AH1837,AH1837,$AJ$2:AJ1837,1)=1),N(AL1836)+1,"")</f>
        <v/>
      </c>
      <c r="AL1837" s="54">
        <f>IF(AK1837&lt;&gt;"",AK1837,N(AL1836))</f>
        <v/>
      </c>
    </row>
    <row r="1838">
      <c r="A1838" t="inlineStr">
        <is>
          <t>ONS-0613</t>
        </is>
      </c>
      <c r="B1838" t="inlineStr">
        <is>
          <t>Onsite</t>
        </is>
      </c>
      <c r="AB1838" t="n">
        <v>613</v>
      </c>
      <c r="AD1838" s="52">
        <f>IFERROR(N(IFERROR(INDEX($A1838:$AB1838,MATCH("Xero Invoiced Ex GST",$A$1:$AB$1,0)),"")),0)</f>
        <v/>
      </c>
      <c r="AE1838" s="53">
        <f>IFERROR(INDEX($A1838:$AB1838,MATCH("Xero Invoice Date",$A$1:$AB$1,0)),"")</f>
        <v/>
      </c>
      <c r="AF1838" s="54">
        <f>IF(AND(IFERROR(INDEX($A1838:$AB1838,MATCH("Xero Invoice No",$A$1:$AB$1,0)),"")&amp;""&lt;&gt;"",ISNUMBER(AE1838),AD1838&lt;&gt;0),1,0)</f>
        <v/>
      </c>
      <c r="AG1838" s="55">
        <f>IF(AF1838=1,EOMONTH(AE1838,0),"")</f>
        <v/>
      </c>
      <c r="AH1838" s="9">
        <f>IF(AF1838=1,UPPER(TRIM(IFERROR(INDEX($A1838:$AB1838,MATCH("Client",$A$1:$AB$1,0)),"")&amp;"")),"")</f>
        <v/>
      </c>
      <c r="AI1838" s="9">
        <f>IF(AF1838=1,IFERROR(INDEX($A1838:$AB1838,MATCH("Cost Centre",$A$1:$AB$1,0)),"")&amp;"","")</f>
        <v/>
      </c>
      <c r="AJ1838" s="54">
        <f>IF(AND(AF1838=1,AE1838&gt;=set_FYStart,AE1838&lt;=set_AsAt),1,0)</f>
        <v/>
      </c>
      <c r="AK1838" s="54">
        <f>IF(AND(AJ1838=1,AH1838&lt;&gt;"",COUNTIFS($AH$2:AH1838,AH1838,$AJ$2:AJ1838,1)=1),N(AL1837)+1,"")</f>
        <v/>
      </c>
      <c r="AL1838" s="54">
        <f>IF(AK1838&lt;&gt;"",AK1838,N(AL1837))</f>
        <v/>
      </c>
    </row>
    <row r="1839">
      <c r="A1839" t="inlineStr">
        <is>
          <t>PRD-0613</t>
        </is>
      </c>
      <c r="B1839" t="inlineStr">
        <is>
          <t>Production</t>
        </is>
      </c>
      <c r="AB1839" t="n">
        <v>613</v>
      </c>
      <c r="AD1839" s="52">
        <f>IFERROR(N(IFERROR(INDEX($A1839:$AB1839,MATCH("Xero Invoiced Ex GST",$A$1:$AB$1,0)),"")),0)</f>
        <v/>
      </c>
      <c r="AE1839" s="53">
        <f>IFERROR(INDEX($A1839:$AB1839,MATCH("Xero Invoice Date",$A$1:$AB$1,0)),"")</f>
        <v/>
      </c>
      <c r="AF1839" s="54">
        <f>IF(AND(IFERROR(INDEX($A1839:$AB1839,MATCH("Xero Invoice No",$A$1:$AB$1,0)),"")&amp;""&lt;&gt;"",ISNUMBER(AE1839),AD1839&lt;&gt;0),1,0)</f>
        <v/>
      </c>
      <c r="AG1839" s="55">
        <f>IF(AF1839=1,EOMONTH(AE1839,0),"")</f>
        <v/>
      </c>
      <c r="AH1839" s="9">
        <f>IF(AF1839=1,UPPER(TRIM(IFERROR(INDEX($A1839:$AB1839,MATCH("Client",$A$1:$AB$1,0)),"")&amp;"")),"")</f>
        <v/>
      </c>
      <c r="AI1839" s="9">
        <f>IF(AF1839=1,IFERROR(INDEX($A1839:$AB1839,MATCH("Cost Centre",$A$1:$AB$1,0)),"")&amp;"","")</f>
        <v/>
      </c>
      <c r="AJ1839" s="54">
        <f>IF(AND(AF1839=1,AE1839&gt;=set_FYStart,AE1839&lt;=set_AsAt),1,0)</f>
        <v/>
      </c>
      <c r="AK1839" s="54">
        <f>IF(AND(AJ1839=1,AH1839&lt;&gt;"",COUNTIFS($AH$2:AH1839,AH1839,$AJ$2:AJ1839,1)=1),N(AL1838)+1,"")</f>
        <v/>
      </c>
      <c r="AL1839" s="54">
        <f>IF(AK1839&lt;&gt;"",AK1839,N(AL1838))</f>
        <v/>
      </c>
    </row>
    <row r="1840">
      <c r="A1840" t="inlineStr">
        <is>
          <t>CON-0613</t>
        </is>
      </c>
      <c r="B1840" t="inlineStr">
        <is>
          <t>Consulting</t>
        </is>
      </c>
      <c r="AB1840" t="n">
        <v>613</v>
      </c>
      <c r="AD1840" s="52">
        <f>IFERROR(N(IFERROR(INDEX($A1840:$AB1840,MATCH("Xero Invoiced Ex GST",$A$1:$AB$1,0)),"")),0)</f>
        <v/>
      </c>
      <c r="AE1840" s="53">
        <f>IFERROR(INDEX($A1840:$AB1840,MATCH("Xero Invoice Date",$A$1:$AB$1,0)),"")</f>
        <v/>
      </c>
      <c r="AF1840" s="54">
        <f>IF(AND(IFERROR(INDEX($A1840:$AB1840,MATCH("Xero Invoice No",$A$1:$AB$1,0)),"")&amp;""&lt;&gt;"",ISNUMBER(AE1840),AD1840&lt;&gt;0),1,0)</f>
        <v/>
      </c>
      <c r="AG1840" s="55">
        <f>IF(AF1840=1,EOMONTH(AE1840,0),"")</f>
        <v/>
      </c>
      <c r="AH1840" s="9">
        <f>IF(AF1840=1,UPPER(TRIM(IFERROR(INDEX($A1840:$AB1840,MATCH("Client",$A$1:$AB$1,0)),"")&amp;"")),"")</f>
        <v/>
      </c>
      <c r="AI1840" s="9">
        <f>IF(AF1840=1,IFERROR(INDEX($A1840:$AB1840,MATCH("Cost Centre",$A$1:$AB$1,0)),"")&amp;"","")</f>
        <v/>
      </c>
      <c r="AJ1840" s="54">
        <f>IF(AND(AF1840=1,AE1840&gt;=set_FYStart,AE1840&lt;=set_AsAt),1,0)</f>
        <v/>
      </c>
      <c r="AK1840" s="54">
        <f>IF(AND(AJ1840=1,AH1840&lt;&gt;"",COUNTIFS($AH$2:AH1840,AH1840,$AJ$2:AJ1840,1)=1),N(AL1839)+1,"")</f>
        <v/>
      </c>
      <c r="AL1840" s="54">
        <f>IF(AK1840&lt;&gt;"",AK1840,N(AL1839))</f>
        <v/>
      </c>
    </row>
    <row r="1841">
      <c r="A1841" t="inlineStr">
        <is>
          <t>ONS-0614</t>
        </is>
      </c>
      <c r="B1841" t="inlineStr">
        <is>
          <t>Onsite</t>
        </is>
      </c>
      <c r="AB1841" t="n">
        <v>614</v>
      </c>
      <c r="AD1841" s="52">
        <f>IFERROR(N(IFERROR(INDEX($A1841:$AB1841,MATCH("Xero Invoiced Ex GST",$A$1:$AB$1,0)),"")),0)</f>
        <v/>
      </c>
      <c r="AE1841" s="53">
        <f>IFERROR(INDEX($A1841:$AB1841,MATCH("Xero Invoice Date",$A$1:$AB$1,0)),"")</f>
        <v/>
      </c>
      <c r="AF1841" s="54">
        <f>IF(AND(IFERROR(INDEX($A1841:$AB1841,MATCH("Xero Invoice No",$A$1:$AB$1,0)),"")&amp;""&lt;&gt;"",ISNUMBER(AE1841),AD1841&lt;&gt;0),1,0)</f>
        <v/>
      </c>
      <c r="AG1841" s="55">
        <f>IF(AF1841=1,EOMONTH(AE1841,0),"")</f>
        <v/>
      </c>
      <c r="AH1841" s="9">
        <f>IF(AF1841=1,UPPER(TRIM(IFERROR(INDEX($A1841:$AB1841,MATCH("Client",$A$1:$AB$1,0)),"")&amp;"")),"")</f>
        <v/>
      </c>
      <c r="AI1841" s="9">
        <f>IF(AF1841=1,IFERROR(INDEX($A1841:$AB1841,MATCH("Cost Centre",$A$1:$AB$1,0)),"")&amp;"","")</f>
        <v/>
      </c>
      <c r="AJ1841" s="54">
        <f>IF(AND(AF1841=1,AE1841&gt;=set_FYStart,AE1841&lt;=set_AsAt),1,0)</f>
        <v/>
      </c>
      <c r="AK1841" s="54">
        <f>IF(AND(AJ1841=1,AH1841&lt;&gt;"",COUNTIFS($AH$2:AH1841,AH1841,$AJ$2:AJ1841,1)=1),N(AL1840)+1,"")</f>
        <v/>
      </c>
      <c r="AL1841" s="54">
        <f>IF(AK1841&lt;&gt;"",AK1841,N(AL1840))</f>
        <v/>
      </c>
    </row>
    <row r="1842">
      <c r="A1842" t="inlineStr">
        <is>
          <t>PRD-0614</t>
        </is>
      </c>
      <c r="B1842" t="inlineStr">
        <is>
          <t>Production</t>
        </is>
      </c>
      <c r="AB1842" t="n">
        <v>614</v>
      </c>
      <c r="AD1842" s="52">
        <f>IFERROR(N(IFERROR(INDEX($A1842:$AB1842,MATCH("Xero Invoiced Ex GST",$A$1:$AB$1,0)),"")),0)</f>
        <v/>
      </c>
      <c r="AE1842" s="53">
        <f>IFERROR(INDEX($A1842:$AB1842,MATCH("Xero Invoice Date",$A$1:$AB$1,0)),"")</f>
        <v/>
      </c>
      <c r="AF1842" s="54">
        <f>IF(AND(IFERROR(INDEX($A1842:$AB1842,MATCH("Xero Invoice No",$A$1:$AB$1,0)),"")&amp;""&lt;&gt;"",ISNUMBER(AE1842),AD1842&lt;&gt;0),1,0)</f>
        <v/>
      </c>
      <c r="AG1842" s="55">
        <f>IF(AF1842=1,EOMONTH(AE1842,0),"")</f>
        <v/>
      </c>
      <c r="AH1842" s="9">
        <f>IF(AF1842=1,UPPER(TRIM(IFERROR(INDEX($A1842:$AB1842,MATCH("Client",$A$1:$AB$1,0)),"")&amp;"")),"")</f>
        <v/>
      </c>
      <c r="AI1842" s="9">
        <f>IF(AF1842=1,IFERROR(INDEX($A1842:$AB1842,MATCH("Cost Centre",$A$1:$AB$1,0)),"")&amp;"","")</f>
        <v/>
      </c>
      <c r="AJ1842" s="54">
        <f>IF(AND(AF1842=1,AE1842&gt;=set_FYStart,AE1842&lt;=set_AsAt),1,0)</f>
        <v/>
      </c>
      <c r="AK1842" s="54">
        <f>IF(AND(AJ1842=1,AH1842&lt;&gt;"",COUNTIFS($AH$2:AH1842,AH1842,$AJ$2:AJ1842,1)=1),N(AL1841)+1,"")</f>
        <v/>
      </c>
      <c r="AL1842" s="54">
        <f>IF(AK1842&lt;&gt;"",AK1842,N(AL1841))</f>
        <v/>
      </c>
    </row>
    <row r="1843">
      <c r="A1843" t="inlineStr">
        <is>
          <t>CON-0614</t>
        </is>
      </c>
      <c r="B1843" t="inlineStr">
        <is>
          <t>Consulting</t>
        </is>
      </c>
      <c r="AB1843" t="n">
        <v>614</v>
      </c>
      <c r="AD1843" s="52">
        <f>IFERROR(N(IFERROR(INDEX($A1843:$AB1843,MATCH("Xero Invoiced Ex GST",$A$1:$AB$1,0)),"")),0)</f>
        <v/>
      </c>
      <c r="AE1843" s="53">
        <f>IFERROR(INDEX($A1843:$AB1843,MATCH("Xero Invoice Date",$A$1:$AB$1,0)),"")</f>
        <v/>
      </c>
      <c r="AF1843" s="54">
        <f>IF(AND(IFERROR(INDEX($A1843:$AB1843,MATCH("Xero Invoice No",$A$1:$AB$1,0)),"")&amp;""&lt;&gt;"",ISNUMBER(AE1843),AD1843&lt;&gt;0),1,0)</f>
        <v/>
      </c>
      <c r="AG1843" s="55">
        <f>IF(AF1843=1,EOMONTH(AE1843,0),"")</f>
        <v/>
      </c>
      <c r="AH1843" s="9">
        <f>IF(AF1843=1,UPPER(TRIM(IFERROR(INDEX($A1843:$AB1843,MATCH("Client",$A$1:$AB$1,0)),"")&amp;"")),"")</f>
        <v/>
      </c>
      <c r="AI1843" s="9">
        <f>IF(AF1843=1,IFERROR(INDEX($A1843:$AB1843,MATCH("Cost Centre",$A$1:$AB$1,0)),"")&amp;"","")</f>
        <v/>
      </c>
      <c r="AJ1843" s="54">
        <f>IF(AND(AF1843=1,AE1843&gt;=set_FYStart,AE1843&lt;=set_AsAt),1,0)</f>
        <v/>
      </c>
      <c r="AK1843" s="54">
        <f>IF(AND(AJ1843=1,AH1843&lt;&gt;"",COUNTIFS($AH$2:AH1843,AH1843,$AJ$2:AJ1843,1)=1),N(AL1842)+1,"")</f>
        <v/>
      </c>
      <c r="AL1843" s="54">
        <f>IF(AK1843&lt;&gt;"",AK1843,N(AL1842))</f>
        <v/>
      </c>
    </row>
    <row r="1844">
      <c r="A1844" t="inlineStr">
        <is>
          <t>ONS-0615</t>
        </is>
      </c>
      <c r="B1844" t="inlineStr">
        <is>
          <t>Onsite</t>
        </is>
      </c>
      <c r="AB1844" t="n">
        <v>615</v>
      </c>
      <c r="AD1844" s="52">
        <f>IFERROR(N(IFERROR(INDEX($A1844:$AB1844,MATCH("Xero Invoiced Ex GST",$A$1:$AB$1,0)),"")),0)</f>
        <v/>
      </c>
      <c r="AE1844" s="53">
        <f>IFERROR(INDEX($A1844:$AB1844,MATCH("Xero Invoice Date",$A$1:$AB$1,0)),"")</f>
        <v/>
      </c>
      <c r="AF1844" s="54">
        <f>IF(AND(IFERROR(INDEX($A1844:$AB1844,MATCH("Xero Invoice No",$A$1:$AB$1,0)),"")&amp;""&lt;&gt;"",ISNUMBER(AE1844),AD1844&lt;&gt;0),1,0)</f>
        <v/>
      </c>
      <c r="AG1844" s="55">
        <f>IF(AF1844=1,EOMONTH(AE1844,0),"")</f>
        <v/>
      </c>
      <c r="AH1844" s="9">
        <f>IF(AF1844=1,UPPER(TRIM(IFERROR(INDEX($A1844:$AB1844,MATCH("Client",$A$1:$AB$1,0)),"")&amp;"")),"")</f>
        <v/>
      </c>
      <c r="AI1844" s="9">
        <f>IF(AF1844=1,IFERROR(INDEX($A1844:$AB1844,MATCH("Cost Centre",$A$1:$AB$1,0)),"")&amp;"","")</f>
        <v/>
      </c>
      <c r="AJ1844" s="54">
        <f>IF(AND(AF1844=1,AE1844&gt;=set_FYStart,AE1844&lt;=set_AsAt),1,0)</f>
        <v/>
      </c>
      <c r="AK1844" s="54">
        <f>IF(AND(AJ1844=1,AH1844&lt;&gt;"",COUNTIFS($AH$2:AH1844,AH1844,$AJ$2:AJ1844,1)=1),N(AL1843)+1,"")</f>
        <v/>
      </c>
      <c r="AL1844" s="54">
        <f>IF(AK1844&lt;&gt;"",AK1844,N(AL1843))</f>
        <v/>
      </c>
    </row>
    <row r="1845">
      <c r="A1845" t="inlineStr">
        <is>
          <t>PRD-0615</t>
        </is>
      </c>
      <c r="B1845" t="inlineStr">
        <is>
          <t>Production</t>
        </is>
      </c>
      <c r="AB1845" t="n">
        <v>615</v>
      </c>
      <c r="AD1845" s="52">
        <f>IFERROR(N(IFERROR(INDEX($A1845:$AB1845,MATCH("Xero Invoiced Ex GST",$A$1:$AB$1,0)),"")),0)</f>
        <v/>
      </c>
      <c r="AE1845" s="53">
        <f>IFERROR(INDEX($A1845:$AB1845,MATCH("Xero Invoice Date",$A$1:$AB$1,0)),"")</f>
        <v/>
      </c>
      <c r="AF1845" s="54">
        <f>IF(AND(IFERROR(INDEX($A1845:$AB1845,MATCH("Xero Invoice No",$A$1:$AB$1,0)),"")&amp;""&lt;&gt;"",ISNUMBER(AE1845),AD1845&lt;&gt;0),1,0)</f>
        <v/>
      </c>
      <c r="AG1845" s="55">
        <f>IF(AF1845=1,EOMONTH(AE1845,0),"")</f>
        <v/>
      </c>
      <c r="AH1845" s="9">
        <f>IF(AF1845=1,UPPER(TRIM(IFERROR(INDEX($A1845:$AB1845,MATCH("Client",$A$1:$AB$1,0)),"")&amp;"")),"")</f>
        <v/>
      </c>
      <c r="AI1845" s="9">
        <f>IF(AF1845=1,IFERROR(INDEX($A1845:$AB1845,MATCH("Cost Centre",$A$1:$AB$1,0)),"")&amp;"","")</f>
        <v/>
      </c>
      <c r="AJ1845" s="54">
        <f>IF(AND(AF1845=1,AE1845&gt;=set_FYStart,AE1845&lt;=set_AsAt),1,0)</f>
        <v/>
      </c>
      <c r="AK1845" s="54">
        <f>IF(AND(AJ1845=1,AH1845&lt;&gt;"",COUNTIFS($AH$2:AH1845,AH1845,$AJ$2:AJ1845,1)=1),N(AL1844)+1,"")</f>
        <v/>
      </c>
      <c r="AL1845" s="54">
        <f>IF(AK1845&lt;&gt;"",AK1845,N(AL1844))</f>
        <v/>
      </c>
    </row>
    <row r="1846">
      <c r="A1846" t="inlineStr">
        <is>
          <t>CON-0615</t>
        </is>
      </c>
      <c r="B1846" t="inlineStr">
        <is>
          <t>Consulting</t>
        </is>
      </c>
      <c r="AB1846" t="n">
        <v>615</v>
      </c>
      <c r="AD1846" s="52">
        <f>IFERROR(N(IFERROR(INDEX($A1846:$AB1846,MATCH("Xero Invoiced Ex GST",$A$1:$AB$1,0)),"")),0)</f>
        <v/>
      </c>
      <c r="AE1846" s="53">
        <f>IFERROR(INDEX($A1846:$AB1846,MATCH("Xero Invoice Date",$A$1:$AB$1,0)),"")</f>
        <v/>
      </c>
      <c r="AF1846" s="54">
        <f>IF(AND(IFERROR(INDEX($A1846:$AB1846,MATCH("Xero Invoice No",$A$1:$AB$1,0)),"")&amp;""&lt;&gt;"",ISNUMBER(AE1846),AD1846&lt;&gt;0),1,0)</f>
        <v/>
      </c>
      <c r="AG1846" s="55">
        <f>IF(AF1846=1,EOMONTH(AE1846,0),"")</f>
        <v/>
      </c>
      <c r="AH1846" s="9">
        <f>IF(AF1846=1,UPPER(TRIM(IFERROR(INDEX($A1846:$AB1846,MATCH("Client",$A$1:$AB$1,0)),"")&amp;"")),"")</f>
        <v/>
      </c>
      <c r="AI1846" s="9">
        <f>IF(AF1846=1,IFERROR(INDEX($A1846:$AB1846,MATCH("Cost Centre",$A$1:$AB$1,0)),"")&amp;"","")</f>
        <v/>
      </c>
      <c r="AJ1846" s="54">
        <f>IF(AND(AF1846=1,AE1846&gt;=set_FYStart,AE1846&lt;=set_AsAt),1,0)</f>
        <v/>
      </c>
      <c r="AK1846" s="54">
        <f>IF(AND(AJ1846=1,AH1846&lt;&gt;"",COUNTIFS($AH$2:AH1846,AH1846,$AJ$2:AJ1846,1)=1),N(AL1845)+1,"")</f>
        <v/>
      </c>
      <c r="AL1846" s="54">
        <f>IF(AK1846&lt;&gt;"",AK1846,N(AL1845))</f>
        <v/>
      </c>
    </row>
    <row r="1847">
      <c r="A1847" t="inlineStr">
        <is>
          <t>ONS-0616</t>
        </is>
      </c>
      <c r="B1847" t="inlineStr">
        <is>
          <t>Onsite</t>
        </is>
      </c>
      <c r="AB1847" t="n">
        <v>616</v>
      </c>
      <c r="AD1847" s="52">
        <f>IFERROR(N(IFERROR(INDEX($A1847:$AB1847,MATCH("Xero Invoiced Ex GST",$A$1:$AB$1,0)),"")),0)</f>
        <v/>
      </c>
      <c r="AE1847" s="53">
        <f>IFERROR(INDEX($A1847:$AB1847,MATCH("Xero Invoice Date",$A$1:$AB$1,0)),"")</f>
        <v/>
      </c>
      <c r="AF1847" s="54">
        <f>IF(AND(IFERROR(INDEX($A1847:$AB1847,MATCH("Xero Invoice No",$A$1:$AB$1,0)),"")&amp;""&lt;&gt;"",ISNUMBER(AE1847),AD1847&lt;&gt;0),1,0)</f>
        <v/>
      </c>
      <c r="AG1847" s="55">
        <f>IF(AF1847=1,EOMONTH(AE1847,0),"")</f>
        <v/>
      </c>
      <c r="AH1847" s="9">
        <f>IF(AF1847=1,UPPER(TRIM(IFERROR(INDEX($A1847:$AB1847,MATCH("Client",$A$1:$AB$1,0)),"")&amp;"")),"")</f>
        <v/>
      </c>
      <c r="AI1847" s="9">
        <f>IF(AF1847=1,IFERROR(INDEX($A1847:$AB1847,MATCH("Cost Centre",$A$1:$AB$1,0)),"")&amp;"","")</f>
        <v/>
      </c>
      <c r="AJ1847" s="54">
        <f>IF(AND(AF1847=1,AE1847&gt;=set_FYStart,AE1847&lt;=set_AsAt),1,0)</f>
        <v/>
      </c>
      <c r="AK1847" s="54">
        <f>IF(AND(AJ1847=1,AH1847&lt;&gt;"",COUNTIFS($AH$2:AH1847,AH1847,$AJ$2:AJ1847,1)=1),N(AL1846)+1,"")</f>
        <v/>
      </c>
      <c r="AL1847" s="54">
        <f>IF(AK1847&lt;&gt;"",AK1847,N(AL1846))</f>
        <v/>
      </c>
    </row>
    <row r="1848">
      <c r="A1848" t="inlineStr">
        <is>
          <t>PRD-0616</t>
        </is>
      </c>
      <c r="B1848" t="inlineStr">
        <is>
          <t>Production</t>
        </is>
      </c>
      <c r="AB1848" t="n">
        <v>616</v>
      </c>
      <c r="AD1848" s="52">
        <f>IFERROR(N(IFERROR(INDEX($A1848:$AB1848,MATCH("Xero Invoiced Ex GST",$A$1:$AB$1,0)),"")),0)</f>
        <v/>
      </c>
      <c r="AE1848" s="53">
        <f>IFERROR(INDEX($A1848:$AB1848,MATCH("Xero Invoice Date",$A$1:$AB$1,0)),"")</f>
        <v/>
      </c>
      <c r="AF1848" s="54">
        <f>IF(AND(IFERROR(INDEX($A1848:$AB1848,MATCH("Xero Invoice No",$A$1:$AB$1,0)),"")&amp;""&lt;&gt;"",ISNUMBER(AE1848),AD1848&lt;&gt;0),1,0)</f>
        <v/>
      </c>
      <c r="AG1848" s="55">
        <f>IF(AF1848=1,EOMONTH(AE1848,0),"")</f>
        <v/>
      </c>
      <c r="AH1848" s="9">
        <f>IF(AF1848=1,UPPER(TRIM(IFERROR(INDEX($A1848:$AB1848,MATCH("Client",$A$1:$AB$1,0)),"")&amp;"")),"")</f>
        <v/>
      </c>
      <c r="AI1848" s="9">
        <f>IF(AF1848=1,IFERROR(INDEX($A1848:$AB1848,MATCH("Cost Centre",$A$1:$AB$1,0)),"")&amp;"","")</f>
        <v/>
      </c>
      <c r="AJ1848" s="54">
        <f>IF(AND(AF1848=1,AE1848&gt;=set_FYStart,AE1848&lt;=set_AsAt),1,0)</f>
        <v/>
      </c>
      <c r="AK1848" s="54">
        <f>IF(AND(AJ1848=1,AH1848&lt;&gt;"",COUNTIFS($AH$2:AH1848,AH1848,$AJ$2:AJ1848,1)=1),N(AL1847)+1,"")</f>
        <v/>
      </c>
      <c r="AL1848" s="54">
        <f>IF(AK1848&lt;&gt;"",AK1848,N(AL1847))</f>
        <v/>
      </c>
    </row>
    <row r="1849">
      <c r="A1849" t="inlineStr">
        <is>
          <t>CON-0616</t>
        </is>
      </c>
      <c r="B1849" t="inlineStr">
        <is>
          <t>Consulting</t>
        </is>
      </c>
      <c r="AB1849" t="n">
        <v>616</v>
      </c>
      <c r="AD1849" s="52">
        <f>IFERROR(N(IFERROR(INDEX($A1849:$AB1849,MATCH("Xero Invoiced Ex GST",$A$1:$AB$1,0)),"")),0)</f>
        <v/>
      </c>
      <c r="AE1849" s="53">
        <f>IFERROR(INDEX($A1849:$AB1849,MATCH("Xero Invoice Date",$A$1:$AB$1,0)),"")</f>
        <v/>
      </c>
      <c r="AF1849" s="54">
        <f>IF(AND(IFERROR(INDEX($A1849:$AB1849,MATCH("Xero Invoice No",$A$1:$AB$1,0)),"")&amp;""&lt;&gt;"",ISNUMBER(AE1849),AD1849&lt;&gt;0),1,0)</f>
        <v/>
      </c>
      <c r="AG1849" s="55">
        <f>IF(AF1849=1,EOMONTH(AE1849,0),"")</f>
        <v/>
      </c>
      <c r="AH1849" s="9">
        <f>IF(AF1849=1,UPPER(TRIM(IFERROR(INDEX($A1849:$AB1849,MATCH("Client",$A$1:$AB$1,0)),"")&amp;"")),"")</f>
        <v/>
      </c>
      <c r="AI1849" s="9">
        <f>IF(AF1849=1,IFERROR(INDEX($A1849:$AB1849,MATCH("Cost Centre",$A$1:$AB$1,0)),"")&amp;"","")</f>
        <v/>
      </c>
      <c r="AJ1849" s="54">
        <f>IF(AND(AF1849=1,AE1849&gt;=set_FYStart,AE1849&lt;=set_AsAt),1,0)</f>
        <v/>
      </c>
      <c r="AK1849" s="54">
        <f>IF(AND(AJ1849=1,AH1849&lt;&gt;"",COUNTIFS($AH$2:AH1849,AH1849,$AJ$2:AJ1849,1)=1),N(AL1848)+1,"")</f>
        <v/>
      </c>
      <c r="AL1849" s="54">
        <f>IF(AK1849&lt;&gt;"",AK1849,N(AL1848))</f>
        <v/>
      </c>
    </row>
    <row r="1850">
      <c r="A1850" t="inlineStr">
        <is>
          <t>ONS-0617</t>
        </is>
      </c>
      <c r="B1850" t="inlineStr">
        <is>
          <t>Onsite</t>
        </is>
      </c>
      <c r="AB1850" t="n">
        <v>617</v>
      </c>
      <c r="AD1850" s="52">
        <f>IFERROR(N(IFERROR(INDEX($A1850:$AB1850,MATCH("Xero Invoiced Ex GST",$A$1:$AB$1,0)),"")),0)</f>
        <v/>
      </c>
      <c r="AE1850" s="53">
        <f>IFERROR(INDEX($A1850:$AB1850,MATCH("Xero Invoice Date",$A$1:$AB$1,0)),"")</f>
        <v/>
      </c>
      <c r="AF1850" s="54">
        <f>IF(AND(IFERROR(INDEX($A1850:$AB1850,MATCH("Xero Invoice No",$A$1:$AB$1,0)),"")&amp;""&lt;&gt;"",ISNUMBER(AE1850),AD1850&lt;&gt;0),1,0)</f>
        <v/>
      </c>
      <c r="AG1850" s="55">
        <f>IF(AF1850=1,EOMONTH(AE1850,0),"")</f>
        <v/>
      </c>
      <c r="AH1850" s="9">
        <f>IF(AF1850=1,UPPER(TRIM(IFERROR(INDEX($A1850:$AB1850,MATCH("Client",$A$1:$AB$1,0)),"")&amp;"")),"")</f>
        <v/>
      </c>
      <c r="AI1850" s="9">
        <f>IF(AF1850=1,IFERROR(INDEX($A1850:$AB1850,MATCH("Cost Centre",$A$1:$AB$1,0)),"")&amp;"","")</f>
        <v/>
      </c>
      <c r="AJ1850" s="54">
        <f>IF(AND(AF1850=1,AE1850&gt;=set_FYStart,AE1850&lt;=set_AsAt),1,0)</f>
        <v/>
      </c>
      <c r="AK1850" s="54">
        <f>IF(AND(AJ1850=1,AH1850&lt;&gt;"",COUNTIFS($AH$2:AH1850,AH1850,$AJ$2:AJ1850,1)=1),N(AL1849)+1,"")</f>
        <v/>
      </c>
      <c r="AL1850" s="54">
        <f>IF(AK1850&lt;&gt;"",AK1850,N(AL1849))</f>
        <v/>
      </c>
    </row>
    <row r="1851">
      <c r="A1851" t="inlineStr">
        <is>
          <t>PRD-0617</t>
        </is>
      </c>
      <c r="B1851" t="inlineStr">
        <is>
          <t>Production</t>
        </is>
      </c>
      <c r="AB1851" t="n">
        <v>617</v>
      </c>
      <c r="AD1851" s="52">
        <f>IFERROR(N(IFERROR(INDEX($A1851:$AB1851,MATCH("Xero Invoiced Ex GST",$A$1:$AB$1,0)),"")),0)</f>
        <v/>
      </c>
      <c r="AE1851" s="53">
        <f>IFERROR(INDEX($A1851:$AB1851,MATCH("Xero Invoice Date",$A$1:$AB$1,0)),"")</f>
        <v/>
      </c>
      <c r="AF1851" s="54">
        <f>IF(AND(IFERROR(INDEX($A1851:$AB1851,MATCH("Xero Invoice No",$A$1:$AB$1,0)),"")&amp;""&lt;&gt;"",ISNUMBER(AE1851),AD1851&lt;&gt;0),1,0)</f>
        <v/>
      </c>
      <c r="AG1851" s="55">
        <f>IF(AF1851=1,EOMONTH(AE1851,0),"")</f>
        <v/>
      </c>
      <c r="AH1851" s="9">
        <f>IF(AF1851=1,UPPER(TRIM(IFERROR(INDEX($A1851:$AB1851,MATCH("Client",$A$1:$AB$1,0)),"")&amp;"")),"")</f>
        <v/>
      </c>
      <c r="AI1851" s="9">
        <f>IF(AF1851=1,IFERROR(INDEX($A1851:$AB1851,MATCH("Cost Centre",$A$1:$AB$1,0)),"")&amp;"","")</f>
        <v/>
      </c>
      <c r="AJ1851" s="54">
        <f>IF(AND(AF1851=1,AE1851&gt;=set_FYStart,AE1851&lt;=set_AsAt),1,0)</f>
        <v/>
      </c>
      <c r="AK1851" s="54">
        <f>IF(AND(AJ1851=1,AH1851&lt;&gt;"",COUNTIFS($AH$2:AH1851,AH1851,$AJ$2:AJ1851,1)=1),N(AL1850)+1,"")</f>
        <v/>
      </c>
      <c r="AL1851" s="54">
        <f>IF(AK1851&lt;&gt;"",AK1851,N(AL1850))</f>
        <v/>
      </c>
    </row>
    <row r="1852">
      <c r="A1852" t="inlineStr">
        <is>
          <t>CON-0617</t>
        </is>
      </c>
      <c r="B1852" t="inlineStr">
        <is>
          <t>Consulting</t>
        </is>
      </c>
      <c r="AB1852" t="n">
        <v>617</v>
      </c>
      <c r="AD1852" s="52">
        <f>IFERROR(N(IFERROR(INDEX($A1852:$AB1852,MATCH("Xero Invoiced Ex GST",$A$1:$AB$1,0)),"")),0)</f>
        <v/>
      </c>
      <c r="AE1852" s="53">
        <f>IFERROR(INDEX($A1852:$AB1852,MATCH("Xero Invoice Date",$A$1:$AB$1,0)),"")</f>
        <v/>
      </c>
      <c r="AF1852" s="54">
        <f>IF(AND(IFERROR(INDEX($A1852:$AB1852,MATCH("Xero Invoice No",$A$1:$AB$1,0)),"")&amp;""&lt;&gt;"",ISNUMBER(AE1852),AD1852&lt;&gt;0),1,0)</f>
        <v/>
      </c>
      <c r="AG1852" s="55">
        <f>IF(AF1852=1,EOMONTH(AE1852,0),"")</f>
        <v/>
      </c>
      <c r="AH1852" s="9">
        <f>IF(AF1852=1,UPPER(TRIM(IFERROR(INDEX($A1852:$AB1852,MATCH("Client",$A$1:$AB$1,0)),"")&amp;"")),"")</f>
        <v/>
      </c>
      <c r="AI1852" s="9">
        <f>IF(AF1852=1,IFERROR(INDEX($A1852:$AB1852,MATCH("Cost Centre",$A$1:$AB$1,0)),"")&amp;"","")</f>
        <v/>
      </c>
      <c r="AJ1852" s="54">
        <f>IF(AND(AF1852=1,AE1852&gt;=set_FYStart,AE1852&lt;=set_AsAt),1,0)</f>
        <v/>
      </c>
      <c r="AK1852" s="54">
        <f>IF(AND(AJ1852=1,AH1852&lt;&gt;"",COUNTIFS($AH$2:AH1852,AH1852,$AJ$2:AJ1852,1)=1),N(AL1851)+1,"")</f>
        <v/>
      </c>
      <c r="AL1852" s="54">
        <f>IF(AK1852&lt;&gt;"",AK1852,N(AL1851))</f>
        <v/>
      </c>
    </row>
    <row r="1853">
      <c r="A1853" t="inlineStr">
        <is>
          <t>ONS-0618</t>
        </is>
      </c>
      <c r="B1853" t="inlineStr">
        <is>
          <t>Onsite</t>
        </is>
      </c>
      <c r="AB1853" t="n">
        <v>618</v>
      </c>
      <c r="AD1853" s="52">
        <f>IFERROR(N(IFERROR(INDEX($A1853:$AB1853,MATCH("Xero Invoiced Ex GST",$A$1:$AB$1,0)),"")),0)</f>
        <v/>
      </c>
      <c r="AE1853" s="53">
        <f>IFERROR(INDEX($A1853:$AB1853,MATCH("Xero Invoice Date",$A$1:$AB$1,0)),"")</f>
        <v/>
      </c>
      <c r="AF1853" s="54">
        <f>IF(AND(IFERROR(INDEX($A1853:$AB1853,MATCH("Xero Invoice No",$A$1:$AB$1,0)),"")&amp;""&lt;&gt;"",ISNUMBER(AE1853),AD1853&lt;&gt;0),1,0)</f>
        <v/>
      </c>
      <c r="AG1853" s="55">
        <f>IF(AF1853=1,EOMONTH(AE1853,0),"")</f>
        <v/>
      </c>
      <c r="AH1853" s="9">
        <f>IF(AF1853=1,UPPER(TRIM(IFERROR(INDEX($A1853:$AB1853,MATCH("Client",$A$1:$AB$1,0)),"")&amp;"")),"")</f>
        <v/>
      </c>
      <c r="AI1853" s="9">
        <f>IF(AF1853=1,IFERROR(INDEX($A1853:$AB1853,MATCH("Cost Centre",$A$1:$AB$1,0)),"")&amp;"","")</f>
        <v/>
      </c>
      <c r="AJ1853" s="54">
        <f>IF(AND(AF1853=1,AE1853&gt;=set_FYStart,AE1853&lt;=set_AsAt),1,0)</f>
        <v/>
      </c>
      <c r="AK1853" s="54">
        <f>IF(AND(AJ1853=1,AH1853&lt;&gt;"",COUNTIFS($AH$2:AH1853,AH1853,$AJ$2:AJ1853,1)=1),N(AL1852)+1,"")</f>
        <v/>
      </c>
      <c r="AL1853" s="54">
        <f>IF(AK1853&lt;&gt;"",AK1853,N(AL1852))</f>
        <v/>
      </c>
    </row>
    <row r="1854">
      <c r="A1854" t="inlineStr">
        <is>
          <t>PRD-0618</t>
        </is>
      </c>
      <c r="B1854" t="inlineStr">
        <is>
          <t>Production</t>
        </is>
      </c>
      <c r="AB1854" t="n">
        <v>618</v>
      </c>
      <c r="AD1854" s="52">
        <f>IFERROR(N(IFERROR(INDEX($A1854:$AB1854,MATCH("Xero Invoiced Ex GST",$A$1:$AB$1,0)),"")),0)</f>
        <v/>
      </c>
      <c r="AE1854" s="53">
        <f>IFERROR(INDEX($A1854:$AB1854,MATCH("Xero Invoice Date",$A$1:$AB$1,0)),"")</f>
        <v/>
      </c>
      <c r="AF1854" s="54">
        <f>IF(AND(IFERROR(INDEX($A1854:$AB1854,MATCH("Xero Invoice No",$A$1:$AB$1,0)),"")&amp;""&lt;&gt;"",ISNUMBER(AE1854),AD1854&lt;&gt;0),1,0)</f>
        <v/>
      </c>
      <c r="AG1854" s="55">
        <f>IF(AF1854=1,EOMONTH(AE1854,0),"")</f>
        <v/>
      </c>
      <c r="AH1854" s="9">
        <f>IF(AF1854=1,UPPER(TRIM(IFERROR(INDEX($A1854:$AB1854,MATCH("Client",$A$1:$AB$1,0)),"")&amp;"")),"")</f>
        <v/>
      </c>
      <c r="AI1854" s="9">
        <f>IF(AF1854=1,IFERROR(INDEX($A1854:$AB1854,MATCH("Cost Centre",$A$1:$AB$1,0)),"")&amp;"","")</f>
        <v/>
      </c>
      <c r="AJ1854" s="54">
        <f>IF(AND(AF1854=1,AE1854&gt;=set_FYStart,AE1854&lt;=set_AsAt),1,0)</f>
        <v/>
      </c>
      <c r="AK1854" s="54">
        <f>IF(AND(AJ1854=1,AH1854&lt;&gt;"",COUNTIFS($AH$2:AH1854,AH1854,$AJ$2:AJ1854,1)=1),N(AL1853)+1,"")</f>
        <v/>
      </c>
      <c r="AL1854" s="54">
        <f>IF(AK1854&lt;&gt;"",AK1854,N(AL1853))</f>
        <v/>
      </c>
    </row>
    <row r="1855">
      <c r="A1855" t="inlineStr">
        <is>
          <t>CON-0618</t>
        </is>
      </c>
      <c r="B1855" t="inlineStr">
        <is>
          <t>Consulting</t>
        </is>
      </c>
      <c r="AB1855" t="n">
        <v>618</v>
      </c>
      <c r="AD1855" s="52">
        <f>IFERROR(N(IFERROR(INDEX($A1855:$AB1855,MATCH("Xero Invoiced Ex GST",$A$1:$AB$1,0)),"")),0)</f>
        <v/>
      </c>
      <c r="AE1855" s="53">
        <f>IFERROR(INDEX($A1855:$AB1855,MATCH("Xero Invoice Date",$A$1:$AB$1,0)),"")</f>
        <v/>
      </c>
      <c r="AF1855" s="54">
        <f>IF(AND(IFERROR(INDEX($A1855:$AB1855,MATCH("Xero Invoice No",$A$1:$AB$1,0)),"")&amp;""&lt;&gt;"",ISNUMBER(AE1855),AD1855&lt;&gt;0),1,0)</f>
        <v/>
      </c>
      <c r="AG1855" s="55">
        <f>IF(AF1855=1,EOMONTH(AE1855,0),"")</f>
        <v/>
      </c>
      <c r="AH1855" s="9">
        <f>IF(AF1855=1,UPPER(TRIM(IFERROR(INDEX($A1855:$AB1855,MATCH("Client",$A$1:$AB$1,0)),"")&amp;"")),"")</f>
        <v/>
      </c>
      <c r="AI1855" s="9">
        <f>IF(AF1855=1,IFERROR(INDEX($A1855:$AB1855,MATCH("Cost Centre",$A$1:$AB$1,0)),"")&amp;"","")</f>
        <v/>
      </c>
      <c r="AJ1855" s="54">
        <f>IF(AND(AF1855=1,AE1855&gt;=set_FYStart,AE1855&lt;=set_AsAt),1,0)</f>
        <v/>
      </c>
      <c r="AK1855" s="54">
        <f>IF(AND(AJ1855=1,AH1855&lt;&gt;"",COUNTIFS($AH$2:AH1855,AH1855,$AJ$2:AJ1855,1)=1),N(AL1854)+1,"")</f>
        <v/>
      </c>
      <c r="AL1855" s="54">
        <f>IF(AK1855&lt;&gt;"",AK1855,N(AL1854))</f>
        <v/>
      </c>
    </row>
    <row r="1856">
      <c r="A1856" t="inlineStr">
        <is>
          <t>ONS-0619</t>
        </is>
      </c>
      <c r="B1856" t="inlineStr">
        <is>
          <t>Onsite</t>
        </is>
      </c>
      <c r="AB1856" t="n">
        <v>619</v>
      </c>
      <c r="AD1856" s="52">
        <f>IFERROR(N(IFERROR(INDEX($A1856:$AB1856,MATCH("Xero Invoiced Ex GST",$A$1:$AB$1,0)),"")),0)</f>
        <v/>
      </c>
      <c r="AE1856" s="53">
        <f>IFERROR(INDEX($A1856:$AB1856,MATCH("Xero Invoice Date",$A$1:$AB$1,0)),"")</f>
        <v/>
      </c>
      <c r="AF1856" s="54">
        <f>IF(AND(IFERROR(INDEX($A1856:$AB1856,MATCH("Xero Invoice No",$A$1:$AB$1,0)),"")&amp;""&lt;&gt;"",ISNUMBER(AE1856),AD1856&lt;&gt;0),1,0)</f>
        <v/>
      </c>
      <c r="AG1856" s="55">
        <f>IF(AF1856=1,EOMONTH(AE1856,0),"")</f>
        <v/>
      </c>
      <c r="AH1856" s="9">
        <f>IF(AF1856=1,UPPER(TRIM(IFERROR(INDEX($A1856:$AB1856,MATCH("Client",$A$1:$AB$1,0)),"")&amp;"")),"")</f>
        <v/>
      </c>
      <c r="AI1856" s="9">
        <f>IF(AF1856=1,IFERROR(INDEX($A1856:$AB1856,MATCH("Cost Centre",$A$1:$AB$1,0)),"")&amp;"","")</f>
        <v/>
      </c>
      <c r="AJ1856" s="54">
        <f>IF(AND(AF1856=1,AE1856&gt;=set_FYStart,AE1856&lt;=set_AsAt),1,0)</f>
        <v/>
      </c>
      <c r="AK1856" s="54">
        <f>IF(AND(AJ1856=1,AH1856&lt;&gt;"",COUNTIFS($AH$2:AH1856,AH1856,$AJ$2:AJ1856,1)=1),N(AL1855)+1,"")</f>
        <v/>
      </c>
      <c r="AL1856" s="54">
        <f>IF(AK1856&lt;&gt;"",AK1856,N(AL1855))</f>
        <v/>
      </c>
    </row>
    <row r="1857">
      <c r="A1857" t="inlineStr">
        <is>
          <t>PRD-0619</t>
        </is>
      </c>
      <c r="B1857" t="inlineStr">
        <is>
          <t>Production</t>
        </is>
      </c>
      <c r="AB1857" t="n">
        <v>619</v>
      </c>
      <c r="AD1857" s="52">
        <f>IFERROR(N(IFERROR(INDEX($A1857:$AB1857,MATCH("Xero Invoiced Ex GST",$A$1:$AB$1,0)),"")),0)</f>
        <v/>
      </c>
      <c r="AE1857" s="53">
        <f>IFERROR(INDEX($A1857:$AB1857,MATCH("Xero Invoice Date",$A$1:$AB$1,0)),"")</f>
        <v/>
      </c>
      <c r="AF1857" s="54">
        <f>IF(AND(IFERROR(INDEX($A1857:$AB1857,MATCH("Xero Invoice No",$A$1:$AB$1,0)),"")&amp;""&lt;&gt;"",ISNUMBER(AE1857),AD1857&lt;&gt;0),1,0)</f>
        <v/>
      </c>
      <c r="AG1857" s="55">
        <f>IF(AF1857=1,EOMONTH(AE1857,0),"")</f>
        <v/>
      </c>
      <c r="AH1857" s="9">
        <f>IF(AF1857=1,UPPER(TRIM(IFERROR(INDEX($A1857:$AB1857,MATCH("Client",$A$1:$AB$1,0)),"")&amp;"")),"")</f>
        <v/>
      </c>
      <c r="AI1857" s="9">
        <f>IF(AF1857=1,IFERROR(INDEX($A1857:$AB1857,MATCH("Cost Centre",$A$1:$AB$1,0)),"")&amp;"","")</f>
        <v/>
      </c>
      <c r="AJ1857" s="54">
        <f>IF(AND(AF1857=1,AE1857&gt;=set_FYStart,AE1857&lt;=set_AsAt),1,0)</f>
        <v/>
      </c>
      <c r="AK1857" s="54">
        <f>IF(AND(AJ1857=1,AH1857&lt;&gt;"",COUNTIFS($AH$2:AH1857,AH1857,$AJ$2:AJ1857,1)=1),N(AL1856)+1,"")</f>
        <v/>
      </c>
      <c r="AL1857" s="54">
        <f>IF(AK1857&lt;&gt;"",AK1857,N(AL1856))</f>
        <v/>
      </c>
    </row>
    <row r="1858">
      <c r="A1858" t="inlineStr">
        <is>
          <t>CON-0619</t>
        </is>
      </c>
      <c r="B1858" t="inlineStr">
        <is>
          <t>Consulting</t>
        </is>
      </c>
      <c r="AB1858" t="n">
        <v>619</v>
      </c>
      <c r="AD1858" s="52">
        <f>IFERROR(N(IFERROR(INDEX($A1858:$AB1858,MATCH("Xero Invoiced Ex GST",$A$1:$AB$1,0)),"")),0)</f>
        <v/>
      </c>
      <c r="AE1858" s="53">
        <f>IFERROR(INDEX($A1858:$AB1858,MATCH("Xero Invoice Date",$A$1:$AB$1,0)),"")</f>
        <v/>
      </c>
      <c r="AF1858" s="54">
        <f>IF(AND(IFERROR(INDEX($A1858:$AB1858,MATCH("Xero Invoice No",$A$1:$AB$1,0)),"")&amp;""&lt;&gt;"",ISNUMBER(AE1858),AD1858&lt;&gt;0),1,0)</f>
        <v/>
      </c>
      <c r="AG1858" s="55">
        <f>IF(AF1858=1,EOMONTH(AE1858,0),"")</f>
        <v/>
      </c>
      <c r="AH1858" s="9">
        <f>IF(AF1858=1,UPPER(TRIM(IFERROR(INDEX($A1858:$AB1858,MATCH("Client",$A$1:$AB$1,0)),"")&amp;"")),"")</f>
        <v/>
      </c>
      <c r="AI1858" s="9">
        <f>IF(AF1858=1,IFERROR(INDEX($A1858:$AB1858,MATCH("Cost Centre",$A$1:$AB$1,0)),"")&amp;"","")</f>
        <v/>
      </c>
      <c r="AJ1858" s="54">
        <f>IF(AND(AF1858=1,AE1858&gt;=set_FYStart,AE1858&lt;=set_AsAt),1,0)</f>
        <v/>
      </c>
      <c r="AK1858" s="54">
        <f>IF(AND(AJ1858=1,AH1858&lt;&gt;"",COUNTIFS($AH$2:AH1858,AH1858,$AJ$2:AJ1858,1)=1),N(AL1857)+1,"")</f>
        <v/>
      </c>
      <c r="AL1858" s="54">
        <f>IF(AK1858&lt;&gt;"",AK1858,N(AL1857))</f>
        <v/>
      </c>
    </row>
    <row r="1859">
      <c r="A1859" t="inlineStr">
        <is>
          <t>ONS-0620</t>
        </is>
      </c>
      <c r="B1859" t="inlineStr">
        <is>
          <t>Onsite</t>
        </is>
      </c>
      <c r="AB1859" t="n">
        <v>620</v>
      </c>
      <c r="AD1859" s="52">
        <f>IFERROR(N(IFERROR(INDEX($A1859:$AB1859,MATCH("Xero Invoiced Ex GST",$A$1:$AB$1,0)),"")),0)</f>
        <v/>
      </c>
      <c r="AE1859" s="53">
        <f>IFERROR(INDEX($A1859:$AB1859,MATCH("Xero Invoice Date",$A$1:$AB$1,0)),"")</f>
        <v/>
      </c>
      <c r="AF1859" s="54">
        <f>IF(AND(IFERROR(INDEX($A1859:$AB1859,MATCH("Xero Invoice No",$A$1:$AB$1,0)),"")&amp;""&lt;&gt;"",ISNUMBER(AE1859),AD1859&lt;&gt;0),1,0)</f>
        <v/>
      </c>
      <c r="AG1859" s="55">
        <f>IF(AF1859=1,EOMONTH(AE1859,0),"")</f>
        <v/>
      </c>
      <c r="AH1859" s="9">
        <f>IF(AF1859=1,UPPER(TRIM(IFERROR(INDEX($A1859:$AB1859,MATCH("Client",$A$1:$AB$1,0)),"")&amp;"")),"")</f>
        <v/>
      </c>
      <c r="AI1859" s="9">
        <f>IF(AF1859=1,IFERROR(INDEX($A1859:$AB1859,MATCH("Cost Centre",$A$1:$AB$1,0)),"")&amp;"","")</f>
        <v/>
      </c>
      <c r="AJ1859" s="54">
        <f>IF(AND(AF1859=1,AE1859&gt;=set_FYStart,AE1859&lt;=set_AsAt),1,0)</f>
        <v/>
      </c>
      <c r="AK1859" s="54">
        <f>IF(AND(AJ1859=1,AH1859&lt;&gt;"",COUNTIFS($AH$2:AH1859,AH1859,$AJ$2:AJ1859,1)=1),N(AL1858)+1,"")</f>
        <v/>
      </c>
      <c r="AL1859" s="54">
        <f>IF(AK1859&lt;&gt;"",AK1859,N(AL1858))</f>
        <v/>
      </c>
    </row>
    <row r="1860">
      <c r="A1860" t="inlineStr">
        <is>
          <t>PRD-0620</t>
        </is>
      </c>
      <c r="B1860" t="inlineStr">
        <is>
          <t>Production</t>
        </is>
      </c>
      <c r="AB1860" t="n">
        <v>620</v>
      </c>
      <c r="AD1860" s="52">
        <f>IFERROR(N(IFERROR(INDEX($A1860:$AB1860,MATCH("Xero Invoiced Ex GST",$A$1:$AB$1,0)),"")),0)</f>
        <v/>
      </c>
      <c r="AE1860" s="53">
        <f>IFERROR(INDEX($A1860:$AB1860,MATCH("Xero Invoice Date",$A$1:$AB$1,0)),"")</f>
        <v/>
      </c>
      <c r="AF1860" s="54">
        <f>IF(AND(IFERROR(INDEX($A1860:$AB1860,MATCH("Xero Invoice No",$A$1:$AB$1,0)),"")&amp;""&lt;&gt;"",ISNUMBER(AE1860),AD1860&lt;&gt;0),1,0)</f>
        <v/>
      </c>
      <c r="AG1860" s="55">
        <f>IF(AF1860=1,EOMONTH(AE1860,0),"")</f>
        <v/>
      </c>
      <c r="AH1860" s="9">
        <f>IF(AF1860=1,UPPER(TRIM(IFERROR(INDEX($A1860:$AB1860,MATCH("Client",$A$1:$AB$1,0)),"")&amp;"")),"")</f>
        <v/>
      </c>
      <c r="AI1860" s="9">
        <f>IF(AF1860=1,IFERROR(INDEX($A1860:$AB1860,MATCH("Cost Centre",$A$1:$AB$1,0)),"")&amp;"","")</f>
        <v/>
      </c>
      <c r="AJ1860" s="54">
        <f>IF(AND(AF1860=1,AE1860&gt;=set_FYStart,AE1860&lt;=set_AsAt),1,0)</f>
        <v/>
      </c>
      <c r="AK1860" s="54">
        <f>IF(AND(AJ1860=1,AH1860&lt;&gt;"",COUNTIFS($AH$2:AH1860,AH1860,$AJ$2:AJ1860,1)=1),N(AL1859)+1,"")</f>
        <v/>
      </c>
      <c r="AL1860" s="54">
        <f>IF(AK1860&lt;&gt;"",AK1860,N(AL1859))</f>
        <v/>
      </c>
    </row>
    <row r="1861">
      <c r="A1861" t="inlineStr">
        <is>
          <t>CON-0620</t>
        </is>
      </c>
      <c r="B1861" t="inlineStr">
        <is>
          <t>Consulting</t>
        </is>
      </c>
      <c r="AB1861" t="n">
        <v>620</v>
      </c>
      <c r="AD1861" s="52">
        <f>IFERROR(N(IFERROR(INDEX($A1861:$AB1861,MATCH("Xero Invoiced Ex GST",$A$1:$AB$1,0)),"")),0)</f>
        <v/>
      </c>
      <c r="AE1861" s="53">
        <f>IFERROR(INDEX($A1861:$AB1861,MATCH("Xero Invoice Date",$A$1:$AB$1,0)),"")</f>
        <v/>
      </c>
      <c r="AF1861" s="54">
        <f>IF(AND(IFERROR(INDEX($A1861:$AB1861,MATCH("Xero Invoice No",$A$1:$AB$1,0)),"")&amp;""&lt;&gt;"",ISNUMBER(AE1861),AD1861&lt;&gt;0),1,0)</f>
        <v/>
      </c>
      <c r="AG1861" s="55">
        <f>IF(AF1861=1,EOMONTH(AE1861,0),"")</f>
        <v/>
      </c>
      <c r="AH1861" s="9">
        <f>IF(AF1861=1,UPPER(TRIM(IFERROR(INDEX($A1861:$AB1861,MATCH("Client",$A$1:$AB$1,0)),"")&amp;"")),"")</f>
        <v/>
      </c>
      <c r="AI1861" s="9">
        <f>IF(AF1861=1,IFERROR(INDEX($A1861:$AB1861,MATCH("Cost Centre",$A$1:$AB$1,0)),"")&amp;"","")</f>
        <v/>
      </c>
      <c r="AJ1861" s="54">
        <f>IF(AND(AF1861=1,AE1861&gt;=set_FYStart,AE1861&lt;=set_AsAt),1,0)</f>
        <v/>
      </c>
      <c r="AK1861" s="54">
        <f>IF(AND(AJ1861=1,AH1861&lt;&gt;"",COUNTIFS($AH$2:AH1861,AH1861,$AJ$2:AJ1861,1)=1),N(AL1860)+1,"")</f>
        <v/>
      </c>
      <c r="AL1861" s="54">
        <f>IF(AK1861&lt;&gt;"",AK1861,N(AL1860))</f>
        <v/>
      </c>
    </row>
    <row r="1862">
      <c r="A1862" t="inlineStr">
        <is>
          <t>ONS-0621</t>
        </is>
      </c>
      <c r="B1862" t="inlineStr">
        <is>
          <t>Onsite</t>
        </is>
      </c>
      <c r="AB1862" t="n">
        <v>621</v>
      </c>
      <c r="AD1862" s="52">
        <f>IFERROR(N(IFERROR(INDEX($A1862:$AB1862,MATCH("Xero Invoiced Ex GST",$A$1:$AB$1,0)),"")),0)</f>
        <v/>
      </c>
      <c r="AE1862" s="53">
        <f>IFERROR(INDEX($A1862:$AB1862,MATCH("Xero Invoice Date",$A$1:$AB$1,0)),"")</f>
        <v/>
      </c>
      <c r="AF1862" s="54">
        <f>IF(AND(IFERROR(INDEX($A1862:$AB1862,MATCH("Xero Invoice No",$A$1:$AB$1,0)),"")&amp;""&lt;&gt;"",ISNUMBER(AE1862),AD1862&lt;&gt;0),1,0)</f>
        <v/>
      </c>
      <c r="AG1862" s="55">
        <f>IF(AF1862=1,EOMONTH(AE1862,0),"")</f>
        <v/>
      </c>
      <c r="AH1862" s="9">
        <f>IF(AF1862=1,UPPER(TRIM(IFERROR(INDEX($A1862:$AB1862,MATCH("Client",$A$1:$AB$1,0)),"")&amp;"")),"")</f>
        <v/>
      </c>
      <c r="AI1862" s="9">
        <f>IF(AF1862=1,IFERROR(INDEX($A1862:$AB1862,MATCH("Cost Centre",$A$1:$AB$1,0)),"")&amp;"","")</f>
        <v/>
      </c>
      <c r="AJ1862" s="54">
        <f>IF(AND(AF1862=1,AE1862&gt;=set_FYStart,AE1862&lt;=set_AsAt),1,0)</f>
        <v/>
      </c>
      <c r="AK1862" s="54">
        <f>IF(AND(AJ1862=1,AH1862&lt;&gt;"",COUNTIFS($AH$2:AH1862,AH1862,$AJ$2:AJ1862,1)=1),N(AL1861)+1,"")</f>
        <v/>
      </c>
      <c r="AL1862" s="54">
        <f>IF(AK1862&lt;&gt;"",AK1862,N(AL1861))</f>
        <v/>
      </c>
    </row>
    <row r="1863">
      <c r="A1863" t="inlineStr">
        <is>
          <t>PRD-0621</t>
        </is>
      </c>
      <c r="B1863" t="inlineStr">
        <is>
          <t>Production</t>
        </is>
      </c>
      <c r="AB1863" t="n">
        <v>621</v>
      </c>
      <c r="AD1863" s="52">
        <f>IFERROR(N(IFERROR(INDEX($A1863:$AB1863,MATCH("Xero Invoiced Ex GST",$A$1:$AB$1,0)),"")),0)</f>
        <v/>
      </c>
      <c r="AE1863" s="53">
        <f>IFERROR(INDEX($A1863:$AB1863,MATCH("Xero Invoice Date",$A$1:$AB$1,0)),"")</f>
        <v/>
      </c>
      <c r="AF1863" s="54">
        <f>IF(AND(IFERROR(INDEX($A1863:$AB1863,MATCH("Xero Invoice No",$A$1:$AB$1,0)),"")&amp;""&lt;&gt;"",ISNUMBER(AE1863),AD1863&lt;&gt;0),1,0)</f>
        <v/>
      </c>
      <c r="AG1863" s="55">
        <f>IF(AF1863=1,EOMONTH(AE1863,0),"")</f>
        <v/>
      </c>
      <c r="AH1863" s="9">
        <f>IF(AF1863=1,UPPER(TRIM(IFERROR(INDEX($A1863:$AB1863,MATCH("Client",$A$1:$AB$1,0)),"")&amp;"")),"")</f>
        <v/>
      </c>
      <c r="AI1863" s="9">
        <f>IF(AF1863=1,IFERROR(INDEX($A1863:$AB1863,MATCH("Cost Centre",$A$1:$AB$1,0)),"")&amp;"","")</f>
        <v/>
      </c>
      <c r="AJ1863" s="54">
        <f>IF(AND(AF1863=1,AE1863&gt;=set_FYStart,AE1863&lt;=set_AsAt),1,0)</f>
        <v/>
      </c>
      <c r="AK1863" s="54">
        <f>IF(AND(AJ1863=1,AH1863&lt;&gt;"",COUNTIFS($AH$2:AH1863,AH1863,$AJ$2:AJ1863,1)=1),N(AL1862)+1,"")</f>
        <v/>
      </c>
      <c r="AL1863" s="54">
        <f>IF(AK1863&lt;&gt;"",AK1863,N(AL1862))</f>
        <v/>
      </c>
    </row>
    <row r="1864">
      <c r="A1864" t="inlineStr">
        <is>
          <t>CON-0621</t>
        </is>
      </c>
      <c r="B1864" t="inlineStr">
        <is>
          <t>Consulting</t>
        </is>
      </c>
      <c r="AB1864" t="n">
        <v>621</v>
      </c>
      <c r="AD1864" s="52">
        <f>IFERROR(N(IFERROR(INDEX($A1864:$AB1864,MATCH("Xero Invoiced Ex GST",$A$1:$AB$1,0)),"")),0)</f>
        <v/>
      </c>
      <c r="AE1864" s="53">
        <f>IFERROR(INDEX($A1864:$AB1864,MATCH("Xero Invoice Date",$A$1:$AB$1,0)),"")</f>
        <v/>
      </c>
      <c r="AF1864" s="54">
        <f>IF(AND(IFERROR(INDEX($A1864:$AB1864,MATCH("Xero Invoice No",$A$1:$AB$1,0)),"")&amp;""&lt;&gt;"",ISNUMBER(AE1864),AD1864&lt;&gt;0),1,0)</f>
        <v/>
      </c>
      <c r="AG1864" s="55">
        <f>IF(AF1864=1,EOMONTH(AE1864,0),"")</f>
        <v/>
      </c>
      <c r="AH1864" s="9">
        <f>IF(AF1864=1,UPPER(TRIM(IFERROR(INDEX($A1864:$AB1864,MATCH("Client",$A$1:$AB$1,0)),"")&amp;"")),"")</f>
        <v/>
      </c>
      <c r="AI1864" s="9">
        <f>IF(AF1864=1,IFERROR(INDEX($A1864:$AB1864,MATCH("Cost Centre",$A$1:$AB$1,0)),"")&amp;"","")</f>
        <v/>
      </c>
      <c r="AJ1864" s="54">
        <f>IF(AND(AF1864=1,AE1864&gt;=set_FYStart,AE1864&lt;=set_AsAt),1,0)</f>
        <v/>
      </c>
      <c r="AK1864" s="54">
        <f>IF(AND(AJ1864=1,AH1864&lt;&gt;"",COUNTIFS($AH$2:AH1864,AH1864,$AJ$2:AJ1864,1)=1),N(AL1863)+1,"")</f>
        <v/>
      </c>
      <c r="AL1864" s="54">
        <f>IF(AK1864&lt;&gt;"",AK1864,N(AL1863))</f>
        <v/>
      </c>
    </row>
    <row r="1865">
      <c r="A1865" t="inlineStr">
        <is>
          <t>ONS-0622</t>
        </is>
      </c>
      <c r="B1865" t="inlineStr">
        <is>
          <t>Onsite</t>
        </is>
      </c>
      <c r="AB1865" t="n">
        <v>622</v>
      </c>
      <c r="AD1865" s="52">
        <f>IFERROR(N(IFERROR(INDEX($A1865:$AB1865,MATCH("Xero Invoiced Ex GST",$A$1:$AB$1,0)),"")),0)</f>
        <v/>
      </c>
      <c r="AE1865" s="53">
        <f>IFERROR(INDEX($A1865:$AB1865,MATCH("Xero Invoice Date",$A$1:$AB$1,0)),"")</f>
        <v/>
      </c>
      <c r="AF1865" s="54">
        <f>IF(AND(IFERROR(INDEX($A1865:$AB1865,MATCH("Xero Invoice No",$A$1:$AB$1,0)),"")&amp;""&lt;&gt;"",ISNUMBER(AE1865),AD1865&lt;&gt;0),1,0)</f>
        <v/>
      </c>
      <c r="AG1865" s="55">
        <f>IF(AF1865=1,EOMONTH(AE1865,0),"")</f>
        <v/>
      </c>
      <c r="AH1865" s="9">
        <f>IF(AF1865=1,UPPER(TRIM(IFERROR(INDEX($A1865:$AB1865,MATCH("Client",$A$1:$AB$1,0)),"")&amp;"")),"")</f>
        <v/>
      </c>
      <c r="AI1865" s="9">
        <f>IF(AF1865=1,IFERROR(INDEX($A1865:$AB1865,MATCH("Cost Centre",$A$1:$AB$1,0)),"")&amp;"","")</f>
        <v/>
      </c>
      <c r="AJ1865" s="54">
        <f>IF(AND(AF1865=1,AE1865&gt;=set_FYStart,AE1865&lt;=set_AsAt),1,0)</f>
        <v/>
      </c>
      <c r="AK1865" s="54">
        <f>IF(AND(AJ1865=1,AH1865&lt;&gt;"",COUNTIFS($AH$2:AH1865,AH1865,$AJ$2:AJ1865,1)=1),N(AL1864)+1,"")</f>
        <v/>
      </c>
      <c r="AL1865" s="54">
        <f>IF(AK1865&lt;&gt;"",AK1865,N(AL1864))</f>
        <v/>
      </c>
    </row>
    <row r="1866">
      <c r="A1866" t="inlineStr">
        <is>
          <t>PRD-0622</t>
        </is>
      </c>
      <c r="B1866" t="inlineStr">
        <is>
          <t>Production</t>
        </is>
      </c>
      <c r="AB1866" t="n">
        <v>622</v>
      </c>
      <c r="AD1866" s="52">
        <f>IFERROR(N(IFERROR(INDEX($A1866:$AB1866,MATCH("Xero Invoiced Ex GST",$A$1:$AB$1,0)),"")),0)</f>
        <v/>
      </c>
      <c r="AE1866" s="53">
        <f>IFERROR(INDEX($A1866:$AB1866,MATCH("Xero Invoice Date",$A$1:$AB$1,0)),"")</f>
        <v/>
      </c>
      <c r="AF1866" s="54">
        <f>IF(AND(IFERROR(INDEX($A1866:$AB1866,MATCH("Xero Invoice No",$A$1:$AB$1,0)),"")&amp;""&lt;&gt;"",ISNUMBER(AE1866),AD1866&lt;&gt;0),1,0)</f>
        <v/>
      </c>
      <c r="AG1866" s="55">
        <f>IF(AF1866=1,EOMONTH(AE1866,0),"")</f>
        <v/>
      </c>
      <c r="AH1866" s="9">
        <f>IF(AF1866=1,UPPER(TRIM(IFERROR(INDEX($A1866:$AB1866,MATCH("Client",$A$1:$AB$1,0)),"")&amp;"")),"")</f>
        <v/>
      </c>
      <c r="AI1866" s="9">
        <f>IF(AF1866=1,IFERROR(INDEX($A1866:$AB1866,MATCH("Cost Centre",$A$1:$AB$1,0)),"")&amp;"","")</f>
        <v/>
      </c>
      <c r="AJ1866" s="54">
        <f>IF(AND(AF1866=1,AE1866&gt;=set_FYStart,AE1866&lt;=set_AsAt),1,0)</f>
        <v/>
      </c>
      <c r="AK1866" s="54">
        <f>IF(AND(AJ1866=1,AH1866&lt;&gt;"",COUNTIFS($AH$2:AH1866,AH1866,$AJ$2:AJ1866,1)=1),N(AL1865)+1,"")</f>
        <v/>
      </c>
      <c r="AL1866" s="54">
        <f>IF(AK1866&lt;&gt;"",AK1866,N(AL1865))</f>
        <v/>
      </c>
    </row>
    <row r="1867">
      <c r="A1867" t="inlineStr">
        <is>
          <t>CON-0622</t>
        </is>
      </c>
      <c r="B1867" t="inlineStr">
        <is>
          <t>Consulting</t>
        </is>
      </c>
      <c r="AB1867" t="n">
        <v>622</v>
      </c>
      <c r="AD1867" s="52">
        <f>IFERROR(N(IFERROR(INDEX($A1867:$AB1867,MATCH("Xero Invoiced Ex GST",$A$1:$AB$1,0)),"")),0)</f>
        <v/>
      </c>
      <c r="AE1867" s="53">
        <f>IFERROR(INDEX($A1867:$AB1867,MATCH("Xero Invoice Date",$A$1:$AB$1,0)),"")</f>
        <v/>
      </c>
      <c r="AF1867" s="54">
        <f>IF(AND(IFERROR(INDEX($A1867:$AB1867,MATCH("Xero Invoice No",$A$1:$AB$1,0)),"")&amp;""&lt;&gt;"",ISNUMBER(AE1867),AD1867&lt;&gt;0),1,0)</f>
        <v/>
      </c>
      <c r="AG1867" s="55">
        <f>IF(AF1867=1,EOMONTH(AE1867,0),"")</f>
        <v/>
      </c>
      <c r="AH1867" s="9">
        <f>IF(AF1867=1,UPPER(TRIM(IFERROR(INDEX($A1867:$AB1867,MATCH("Client",$A$1:$AB$1,0)),"")&amp;"")),"")</f>
        <v/>
      </c>
      <c r="AI1867" s="9">
        <f>IF(AF1867=1,IFERROR(INDEX($A1867:$AB1867,MATCH("Cost Centre",$A$1:$AB$1,0)),"")&amp;"","")</f>
        <v/>
      </c>
      <c r="AJ1867" s="54">
        <f>IF(AND(AF1867=1,AE1867&gt;=set_FYStart,AE1867&lt;=set_AsAt),1,0)</f>
        <v/>
      </c>
      <c r="AK1867" s="54">
        <f>IF(AND(AJ1867=1,AH1867&lt;&gt;"",COUNTIFS($AH$2:AH1867,AH1867,$AJ$2:AJ1867,1)=1),N(AL1866)+1,"")</f>
        <v/>
      </c>
      <c r="AL1867" s="54">
        <f>IF(AK1867&lt;&gt;"",AK1867,N(AL1866))</f>
        <v/>
      </c>
    </row>
    <row r="1868">
      <c r="A1868" t="inlineStr">
        <is>
          <t>ONS-0623</t>
        </is>
      </c>
      <c r="B1868" t="inlineStr">
        <is>
          <t>Onsite</t>
        </is>
      </c>
      <c r="AB1868" t="n">
        <v>623</v>
      </c>
      <c r="AD1868" s="52">
        <f>IFERROR(N(IFERROR(INDEX($A1868:$AB1868,MATCH("Xero Invoiced Ex GST",$A$1:$AB$1,0)),"")),0)</f>
        <v/>
      </c>
      <c r="AE1868" s="53">
        <f>IFERROR(INDEX($A1868:$AB1868,MATCH("Xero Invoice Date",$A$1:$AB$1,0)),"")</f>
        <v/>
      </c>
      <c r="AF1868" s="54">
        <f>IF(AND(IFERROR(INDEX($A1868:$AB1868,MATCH("Xero Invoice No",$A$1:$AB$1,0)),"")&amp;""&lt;&gt;"",ISNUMBER(AE1868),AD1868&lt;&gt;0),1,0)</f>
        <v/>
      </c>
      <c r="AG1868" s="55">
        <f>IF(AF1868=1,EOMONTH(AE1868,0),"")</f>
        <v/>
      </c>
      <c r="AH1868" s="9">
        <f>IF(AF1868=1,UPPER(TRIM(IFERROR(INDEX($A1868:$AB1868,MATCH("Client",$A$1:$AB$1,0)),"")&amp;"")),"")</f>
        <v/>
      </c>
      <c r="AI1868" s="9">
        <f>IF(AF1868=1,IFERROR(INDEX($A1868:$AB1868,MATCH("Cost Centre",$A$1:$AB$1,0)),"")&amp;"","")</f>
        <v/>
      </c>
      <c r="AJ1868" s="54">
        <f>IF(AND(AF1868=1,AE1868&gt;=set_FYStart,AE1868&lt;=set_AsAt),1,0)</f>
        <v/>
      </c>
      <c r="AK1868" s="54">
        <f>IF(AND(AJ1868=1,AH1868&lt;&gt;"",COUNTIFS($AH$2:AH1868,AH1868,$AJ$2:AJ1868,1)=1),N(AL1867)+1,"")</f>
        <v/>
      </c>
      <c r="AL1868" s="54">
        <f>IF(AK1868&lt;&gt;"",AK1868,N(AL1867))</f>
        <v/>
      </c>
    </row>
    <row r="1869">
      <c r="A1869" t="inlineStr">
        <is>
          <t>PRD-0623</t>
        </is>
      </c>
      <c r="B1869" t="inlineStr">
        <is>
          <t>Production</t>
        </is>
      </c>
      <c r="AB1869" t="n">
        <v>623</v>
      </c>
      <c r="AD1869" s="52">
        <f>IFERROR(N(IFERROR(INDEX($A1869:$AB1869,MATCH("Xero Invoiced Ex GST",$A$1:$AB$1,0)),"")),0)</f>
        <v/>
      </c>
      <c r="AE1869" s="53">
        <f>IFERROR(INDEX($A1869:$AB1869,MATCH("Xero Invoice Date",$A$1:$AB$1,0)),"")</f>
        <v/>
      </c>
      <c r="AF1869" s="54">
        <f>IF(AND(IFERROR(INDEX($A1869:$AB1869,MATCH("Xero Invoice No",$A$1:$AB$1,0)),"")&amp;""&lt;&gt;"",ISNUMBER(AE1869),AD1869&lt;&gt;0),1,0)</f>
        <v/>
      </c>
      <c r="AG1869" s="55">
        <f>IF(AF1869=1,EOMONTH(AE1869,0),"")</f>
        <v/>
      </c>
      <c r="AH1869" s="9">
        <f>IF(AF1869=1,UPPER(TRIM(IFERROR(INDEX($A1869:$AB1869,MATCH("Client",$A$1:$AB$1,0)),"")&amp;"")),"")</f>
        <v/>
      </c>
      <c r="AI1869" s="9">
        <f>IF(AF1869=1,IFERROR(INDEX($A1869:$AB1869,MATCH("Cost Centre",$A$1:$AB$1,0)),"")&amp;"","")</f>
        <v/>
      </c>
      <c r="AJ1869" s="54">
        <f>IF(AND(AF1869=1,AE1869&gt;=set_FYStart,AE1869&lt;=set_AsAt),1,0)</f>
        <v/>
      </c>
      <c r="AK1869" s="54">
        <f>IF(AND(AJ1869=1,AH1869&lt;&gt;"",COUNTIFS($AH$2:AH1869,AH1869,$AJ$2:AJ1869,1)=1),N(AL1868)+1,"")</f>
        <v/>
      </c>
      <c r="AL1869" s="54">
        <f>IF(AK1869&lt;&gt;"",AK1869,N(AL1868))</f>
        <v/>
      </c>
    </row>
    <row r="1870">
      <c r="A1870" t="inlineStr">
        <is>
          <t>CON-0623</t>
        </is>
      </c>
      <c r="B1870" t="inlineStr">
        <is>
          <t>Consulting</t>
        </is>
      </c>
      <c r="AB1870" t="n">
        <v>623</v>
      </c>
      <c r="AD1870" s="52">
        <f>IFERROR(N(IFERROR(INDEX($A1870:$AB1870,MATCH("Xero Invoiced Ex GST",$A$1:$AB$1,0)),"")),0)</f>
        <v/>
      </c>
      <c r="AE1870" s="53">
        <f>IFERROR(INDEX($A1870:$AB1870,MATCH("Xero Invoice Date",$A$1:$AB$1,0)),"")</f>
        <v/>
      </c>
      <c r="AF1870" s="54">
        <f>IF(AND(IFERROR(INDEX($A1870:$AB1870,MATCH("Xero Invoice No",$A$1:$AB$1,0)),"")&amp;""&lt;&gt;"",ISNUMBER(AE1870),AD1870&lt;&gt;0),1,0)</f>
        <v/>
      </c>
      <c r="AG1870" s="55">
        <f>IF(AF1870=1,EOMONTH(AE1870,0),"")</f>
        <v/>
      </c>
      <c r="AH1870" s="9">
        <f>IF(AF1870=1,UPPER(TRIM(IFERROR(INDEX($A1870:$AB1870,MATCH("Client",$A$1:$AB$1,0)),"")&amp;"")),"")</f>
        <v/>
      </c>
      <c r="AI1870" s="9">
        <f>IF(AF1870=1,IFERROR(INDEX($A1870:$AB1870,MATCH("Cost Centre",$A$1:$AB$1,0)),"")&amp;"","")</f>
        <v/>
      </c>
      <c r="AJ1870" s="54">
        <f>IF(AND(AF1870=1,AE1870&gt;=set_FYStart,AE1870&lt;=set_AsAt),1,0)</f>
        <v/>
      </c>
      <c r="AK1870" s="54">
        <f>IF(AND(AJ1870=1,AH1870&lt;&gt;"",COUNTIFS($AH$2:AH1870,AH1870,$AJ$2:AJ1870,1)=1),N(AL1869)+1,"")</f>
        <v/>
      </c>
      <c r="AL1870" s="54">
        <f>IF(AK1870&lt;&gt;"",AK1870,N(AL1869))</f>
        <v/>
      </c>
    </row>
    <row r="1871">
      <c r="A1871" t="inlineStr">
        <is>
          <t>ONS-0624</t>
        </is>
      </c>
      <c r="B1871" t="inlineStr">
        <is>
          <t>Onsite</t>
        </is>
      </c>
      <c r="AB1871" t="n">
        <v>624</v>
      </c>
      <c r="AD1871" s="52">
        <f>IFERROR(N(IFERROR(INDEX($A1871:$AB1871,MATCH("Xero Invoiced Ex GST",$A$1:$AB$1,0)),"")),0)</f>
        <v/>
      </c>
      <c r="AE1871" s="53">
        <f>IFERROR(INDEX($A1871:$AB1871,MATCH("Xero Invoice Date",$A$1:$AB$1,0)),"")</f>
        <v/>
      </c>
      <c r="AF1871" s="54">
        <f>IF(AND(IFERROR(INDEX($A1871:$AB1871,MATCH("Xero Invoice No",$A$1:$AB$1,0)),"")&amp;""&lt;&gt;"",ISNUMBER(AE1871),AD1871&lt;&gt;0),1,0)</f>
        <v/>
      </c>
      <c r="AG1871" s="55">
        <f>IF(AF1871=1,EOMONTH(AE1871,0),"")</f>
        <v/>
      </c>
      <c r="AH1871" s="9">
        <f>IF(AF1871=1,UPPER(TRIM(IFERROR(INDEX($A1871:$AB1871,MATCH("Client",$A$1:$AB$1,0)),"")&amp;"")),"")</f>
        <v/>
      </c>
      <c r="AI1871" s="9">
        <f>IF(AF1871=1,IFERROR(INDEX($A1871:$AB1871,MATCH("Cost Centre",$A$1:$AB$1,0)),"")&amp;"","")</f>
        <v/>
      </c>
      <c r="AJ1871" s="54">
        <f>IF(AND(AF1871=1,AE1871&gt;=set_FYStart,AE1871&lt;=set_AsAt),1,0)</f>
        <v/>
      </c>
      <c r="AK1871" s="54">
        <f>IF(AND(AJ1871=1,AH1871&lt;&gt;"",COUNTIFS($AH$2:AH1871,AH1871,$AJ$2:AJ1871,1)=1),N(AL1870)+1,"")</f>
        <v/>
      </c>
      <c r="AL1871" s="54">
        <f>IF(AK1871&lt;&gt;"",AK1871,N(AL1870))</f>
        <v/>
      </c>
    </row>
    <row r="1872">
      <c r="A1872" t="inlineStr">
        <is>
          <t>PRD-0624</t>
        </is>
      </c>
      <c r="B1872" t="inlineStr">
        <is>
          <t>Production</t>
        </is>
      </c>
      <c r="AB1872" t="n">
        <v>624</v>
      </c>
      <c r="AD1872" s="52">
        <f>IFERROR(N(IFERROR(INDEX($A1872:$AB1872,MATCH("Xero Invoiced Ex GST",$A$1:$AB$1,0)),"")),0)</f>
        <v/>
      </c>
      <c r="AE1872" s="53">
        <f>IFERROR(INDEX($A1872:$AB1872,MATCH("Xero Invoice Date",$A$1:$AB$1,0)),"")</f>
        <v/>
      </c>
      <c r="AF1872" s="54">
        <f>IF(AND(IFERROR(INDEX($A1872:$AB1872,MATCH("Xero Invoice No",$A$1:$AB$1,0)),"")&amp;""&lt;&gt;"",ISNUMBER(AE1872),AD1872&lt;&gt;0),1,0)</f>
        <v/>
      </c>
      <c r="AG1872" s="55">
        <f>IF(AF1872=1,EOMONTH(AE1872,0),"")</f>
        <v/>
      </c>
      <c r="AH1872" s="9">
        <f>IF(AF1872=1,UPPER(TRIM(IFERROR(INDEX($A1872:$AB1872,MATCH("Client",$A$1:$AB$1,0)),"")&amp;"")),"")</f>
        <v/>
      </c>
      <c r="AI1872" s="9">
        <f>IF(AF1872=1,IFERROR(INDEX($A1872:$AB1872,MATCH("Cost Centre",$A$1:$AB$1,0)),"")&amp;"","")</f>
        <v/>
      </c>
      <c r="AJ1872" s="54">
        <f>IF(AND(AF1872=1,AE1872&gt;=set_FYStart,AE1872&lt;=set_AsAt),1,0)</f>
        <v/>
      </c>
      <c r="AK1872" s="54">
        <f>IF(AND(AJ1872=1,AH1872&lt;&gt;"",COUNTIFS($AH$2:AH1872,AH1872,$AJ$2:AJ1872,1)=1),N(AL1871)+1,"")</f>
        <v/>
      </c>
      <c r="AL1872" s="54">
        <f>IF(AK1872&lt;&gt;"",AK1872,N(AL1871))</f>
        <v/>
      </c>
    </row>
    <row r="1873">
      <c r="A1873" t="inlineStr">
        <is>
          <t>CON-0624</t>
        </is>
      </c>
      <c r="B1873" t="inlineStr">
        <is>
          <t>Consulting</t>
        </is>
      </c>
      <c r="AB1873" t="n">
        <v>624</v>
      </c>
      <c r="AD1873" s="52">
        <f>IFERROR(N(IFERROR(INDEX($A1873:$AB1873,MATCH("Xero Invoiced Ex GST",$A$1:$AB$1,0)),"")),0)</f>
        <v/>
      </c>
      <c r="AE1873" s="53">
        <f>IFERROR(INDEX($A1873:$AB1873,MATCH("Xero Invoice Date",$A$1:$AB$1,0)),"")</f>
        <v/>
      </c>
      <c r="AF1873" s="54">
        <f>IF(AND(IFERROR(INDEX($A1873:$AB1873,MATCH("Xero Invoice No",$A$1:$AB$1,0)),"")&amp;""&lt;&gt;"",ISNUMBER(AE1873),AD1873&lt;&gt;0),1,0)</f>
        <v/>
      </c>
      <c r="AG1873" s="55">
        <f>IF(AF1873=1,EOMONTH(AE1873,0),"")</f>
        <v/>
      </c>
      <c r="AH1873" s="9">
        <f>IF(AF1873=1,UPPER(TRIM(IFERROR(INDEX($A1873:$AB1873,MATCH("Client",$A$1:$AB$1,0)),"")&amp;"")),"")</f>
        <v/>
      </c>
      <c r="AI1873" s="9">
        <f>IF(AF1873=1,IFERROR(INDEX($A1873:$AB1873,MATCH("Cost Centre",$A$1:$AB$1,0)),"")&amp;"","")</f>
        <v/>
      </c>
      <c r="AJ1873" s="54">
        <f>IF(AND(AF1873=1,AE1873&gt;=set_FYStart,AE1873&lt;=set_AsAt),1,0)</f>
        <v/>
      </c>
      <c r="AK1873" s="54">
        <f>IF(AND(AJ1873=1,AH1873&lt;&gt;"",COUNTIFS($AH$2:AH1873,AH1873,$AJ$2:AJ1873,1)=1),N(AL1872)+1,"")</f>
        <v/>
      </c>
      <c r="AL1873" s="54">
        <f>IF(AK1873&lt;&gt;"",AK1873,N(AL1872))</f>
        <v/>
      </c>
    </row>
    <row r="1874">
      <c r="A1874" t="inlineStr">
        <is>
          <t>ONS-0625</t>
        </is>
      </c>
      <c r="B1874" t="inlineStr">
        <is>
          <t>Onsite</t>
        </is>
      </c>
      <c r="AB1874" t="n">
        <v>625</v>
      </c>
      <c r="AD1874" s="52">
        <f>IFERROR(N(IFERROR(INDEX($A1874:$AB1874,MATCH("Xero Invoiced Ex GST",$A$1:$AB$1,0)),"")),0)</f>
        <v/>
      </c>
      <c r="AE1874" s="53">
        <f>IFERROR(INDEX($A1874:$AB1874,MATCH("Xero Invoice Date",$A$1:$AB$1,0)),"")</f>
        <v/>
      </c>
      <c r="AF1874" s="54">
        <f>IF(AND(IFERROR(INDEX($A1874:$AB1874,MATCH("Xero Invoice No",$A$1:$AB$1,0)),"")&amp;""&lt;&gt;"",ISNUMBER(AE1874),AD1874&lt;&gt;0),1,0)</f>
        <v/>
      </c>
      <c r="AG1874" s="55">
        <f>IF(AF1874=1,EOMONTH(AE1874,0),"")</f>
        <v/>
      </c>
      <c r="AH1874" s="9">
        <f>IF(AF1874=1,UPPER(TRIM(IFERROR(INDEX($A1874:$AB1874,MATCH("Client",$A$1:$AB$1,0)),"")&amp;"")),"")</f>
        <v/>
      </c>
      <c r="AI1874" s="9">
        <f>IF(AF1874=1,IFERROR(INDEX($A1874:$AB1874,MATCH("Cost Centre",$A$1:$AB$1,0)),"")&amp;"","")</f>
        <v/>
      </c>
      <c r="AJ1874" s="54">
        <f>IF(AND(AF1874=1,AE1874&gt;=set_FYStart,AE1874&lt;=set_AsAt),1,0)</f>
        <v/>
      </c>
      <c r="AK1874" s="54">
        <f>IF(AND(AJ1874=1,AH1874&lt;&gt;"",COUNTIFS($AH$2:AH1874,AH1874,$AJ$2:AJ1874,1)=1),N(AL1873)+1,"")</f>
        <v/>
      </c>
      <c r="AL1874" s="54">
        <f>IF(AK1874&lt;&gt;"",AK1874,N(AL1873))</f>
        <v/>
      </c>
    </row>
    <row r="1875">
      <c r="A1875" t="inlineStr">
        <is>
          <t>PRD-0625</t>
        </is>
      </c>
      <c r="B1875" t="inlineStr">
        <is>
          <t>Production</t>
        </is>
      </c>
      <c r="AB1875" t="n">
        <v>625</v>
      </c>
      <c r="AD1875" s="52">
        <f>IFERROR(N(IFERROR(INDEX($A1875:$AB1875,MATCH("Xero Invoiced Ex GST",$A$1:$AB$1,0)),"")),0)</f>
        <v/>
      </c>
      <c r="AE1875" s="53">
        <f>IFERROR(INDEX($A1875:$AB1875,MATCH("Xero Invoice Date",$A$1:$AB$1,0)),"")</f>
        <v/>
      </c>
      <c r="AF1875" s="54">
        <f>IF(AND(IFERROR(INDEX($A1875:$AB1875,MATCH("Xero Invoice No",$A$1:$AB$1,0)),"")&amp;""&lt;&gt;"",ISNUMBER(AE1875),AD1875&lt;&gt;0),1,0)</f>
        <v/>
      </c>
      <c r="AG1875" s="55">
        <f>IF(AF1875=1,EOMONTH(AE1875,0),"")</f>
        <v/>
      </c>
      <c r="AH1875" s="9">
        <f>IF(AF1875=1,UPPER(TRIM(IFERROR(INDEX($A1875:$AB1875,MATCH("Client",$A$1:$AB$1,0)),"")&amp;"")),"")</f>
        <v/>
      </c>
      <c r="AI1875" s="9">
        <f>IF(AF1875=1,IFERROR(INDEX($A1875:$AB1875,MATCH("Cost Centre",$A$1:$AB$1,0)),"")&amp;"","")</f>
        <v/>
      </c>
      <c r="AJ1875" s="54">
        <f>IF(AND(AF1875=1,AE1875&gt;=set_FYStart,AE1875&lt;=set_AsAt),1,0)</f>
        <v/>
      </c>
      <c r="AK1875" s="54">
        <f>IF(AND(AJ1875=1,AH1875&lt;&gt;"",COUNTIFS($AH$2:AH1875,AH1875,$AJ$2:AJ1875,1)=1),N(AL1874)+1,"")</f>
        <v/>
      </c>
      <c r="AL1875" s="54">
        <f>IF(AK1875&lt;&gt;"",AK1875,N(AL1874))</f>
        <v/>
      </c>
    </row>
    <row r="1876">
      <c r="A1876" t="inlineStr">
        <is>
          <t>CON-0625</t>
        </is>
      </c>
      <c r="B1876" t="inlineStr">
        <is>
          <t>Consulting</t>
        </is>
      </c>
      <c r="AB1876" t="n">
        <v>625</v>
      </c>
      <c r="AD1876" s="52">
        <f>IFERROR(N(IFERROR(INDEX($A1876:$AB1876,MATCH("Xero Invoiced Ex GST",$A$1:$AB$1,0)),"")),0)</f>
        <v/>
      </c>
      <c r="AE1876" s="53">
        <f>IFERROR(INDEX($A1876:$AB1876,MATCH("Xero Invoice Date",$A$1:$AB$1,0)),"")</f>
        <v/>
      </c>
      <c r="AF1876" s="54">
        <f>IF(AND(IFERROR(INDEX($A1876:$AB1876,MATCH("Xero Invoice No",$A$1:$AB$1,0)),"")&amp;""&lt;&gt;"",ISNUMBER(AE1876),AD1876&lt;&gt;0),1,0)</f>
        <v/>
      </c>
      <c r="AG1876" s="55">
        <f>IF(AF1876=1,EOMONTH(AE1876,0),"")</f>
        <v/>
      </c>
      <c r="AH1876" s="9">
        <f>IF(AF1876=1,UPPER(TRIM(IFERROR(INDEX($A1876:$AB1876,MATCH("Client",$A$1:$AB$1,0)),"")&amp;"")),"")</f>
        <v/>
      </c>
      <c r="AI1876" s="9">
        <f>IF(AF1876=1,IFERROR(INDEX($A1876:$AB1876,MATCH("Cost Centre",$A$1:$AB$1,0)),"")&amp;"","")</f>
        <v/>
      </c>
      <c r="AJ1876" s="54">
        <f>IF(AND(AF1876=1,AE1876&gt;=set_FYStart,AE1876&lt;=set_AsAt),1,0)</f>
        <v/>
      </c>
      <c r="AK1876" s="54">
        <f>IF(AND(AJ1876=1,AH1876&lt;&gt;"",COUNTIFS($AH$2:AH1876,AH1876,$AJ$2:AJ1876,1)=1),N(AL1875)+1,"")</f>
        <v/>
      </c>
      <c r="AL1876" s="54">
        <f>IF(AK1876&lt;&gt;"",AK1876,N(AL1875))</f>
        <v/>
      </c>
    </row>
    <row r="1877">
      <c r="A1877" t="inlineStr">
        <is>
          <t>ONS-0626</t>
        </is>
      </c>
      <c r="B1877" t="inlineStr">
        <is>
          <t>Onsite</t>
        </is>
      </c>
      <c r="AB1877" t="n">
        <v>626</v>
      </c>
      <c r="AD1877" s="52">
        <f>IFERROR(N(IFERROR(INDEX($A1877:$AB1877,MATCH("Xero Invoiced Ex GST",$A$1:$AB$1,0)),"")),0)</f>
        <v/>
      </c>
      <c r="AE1877" s="53">
        <f>IFERROR(INDEX($A1877:$AB1877,MATCH("Xero Invoice Date",$A$1:$AB$1,0)),"")</f>
        <v/>
      </c>
      <c r="AF1877" s="54">
        <f>IF(AND(IFERROR(INDEX($A1877:$AB1877,MATCH("Xero Invoice No",$A$1:$AB$1,0)),"")&amp;""&lt;&gt;"",ISNUMBER(AE1877),AD1877&lt;&gt;0),1,0)</f>
        <v/>
      </c>
      <c r="AG1877" s="55">
        <f>IF(AF1877=1,EOMONTH(AE1877,0),"")</f>
        <v/>
      </c>
      <c r="AH1877" s="9">
        <f>IF(AF1877=1,UPPER(TRIM(IFERROR(INDEX($A1877:$AB1877,MATCH("Client",$A$1:$AB$1,0)),"")&amp;"")),"")</f>
        <v/>
      </c>
      <c r="AI1877" s="9">
        <f>IF(AF1877=1,IFERROR(INDEX($A1877:$AB1877,MATCH("Cost Centre",$A$1:$AB$1,0)),"")&amp;"","")</f>
        <v/>
      </c>
      <c r="AJ1877" s="54">
        <f>IF(AND(AF1877=1,AE1877&gt;=set_FYStart,AE1877&lt;=set_AsAt),1,0)</f>
        <v/>
      </c>
      <c r="AK1877" s="54">
        <f>IF(AND(AJ1877=1,AH1877&lt;&gt;"",COUNTIFS($AH$2:AH1877,AH1877,$AJ$2:AJ1877,1)=1),N(AL1876)+1,"")</f>
        <v/>
      </c>
      <c r="AL1877" s="54">
        <f>IF(AK1877&lt;&gt;"",AK1877,N(AL1876))</f>
        <v/>
      </c>
    </row>
    <row r="1878">
      <c r="A1878" t="inlineStr">
        <is>
          <t>PRD-0626</t>
        </is>
      </c>
      <c r="B1878" t="inlineStr">
        <is>
          <t>Production</t>
        </is>
      </c>
      <c r="AB1878" t="n">
        <v>626</v>
      </c>
      <c r="AD1878" s="52">
        <f>IFERROR(N(IFERROR(INDEX($A1878:$AB1878,MATCH("Xero Invoiced Ex GST",$A$1:$AB$1,0)),"")),0)</f>
        <v/>
      </c>
      <c r="AE1878" s="53">
        <f>IFERROR(INDEX($A1878:$AB1878,MATCH("Xero Invoice Date",$A$1:$AB$1,0)),"")</f>
        <v/>
      </c>
      <c r="AF1878" s="54">
        <f>IF(AND(IFERROR(INDEX($A1878:$AB1878,MATCH("Xero Invoice No",$A$1:$AB$1,0)),"")&amp;""&lt;&gt;"",ISNUMBER(AE1878),AD1878&lt;&gt;0),1,0)</f>
        <v/>
      </c>
      <c r="AG1878" s="55">
        <f>IF(AF1878=1,EOMONTH(AE1878,0),"")</f>
        <v/>
      </c>
      <c r="AH1878" s="9">
        <f>IF(AF1878=1,UPPER(TRIM(IFERROR(INDEX($A1878:$AB1878,MATCH("Client",$A$1:$AB$1,0)),"")&amp;"")),"")</f>
        <v/>
      </c>
      <c r="AI1878" s="9">
        <f>IF(AF1878=1,IFERROR(INDEX($A1878:$AB1878,MATCH("Cost Centre",$A$1:$AB$1,0)),"")&amp;"","")</f>
        <v/>
      </c>
      <c r="AJ1878" s="54">
        <f>IF(AND(AF1878=1,AE1878&gt;=set_FYStart,AE1878&lt;=set_AsAt),1,0)</f>
        <v/>
      </c>
      <c r="AK1878" s="54">
        <f>IF(AND(AJ1878=1,AH1878&lt;&gt;"",COUNTIFS($AH$2:AH1878,AH1878,$AJ$2:AJ1878,1)=1),N(AL1877)+1,"")</f>
        <v/>
      </c>
      <c r="AL1878" s="54">
        <f>IF(AK1878&lt;&gt;"",AK1878,N(AL1877))</f>
        <v/>
      </c>
    </row>
    <row r="1879">
      <c r="A1879" t="inlineStr">
        <is>
          <t>CON-0626</t>
        </is>
      </c>
      <c r="B1879" t="inlineStr">
        <is>
          <t>Consulting</t>
        </is>
      </c>
      <c r="AB1879" t="n">
        <v>626</v>
      </c>
      <c r="AD1879" s="52">
        <f>IFERROR(N(IFERROR(INDEX($A1879:$AB1879,MATCH("Xero Invoiced Ex GST",$A$1:$AB$1,0)),"")),0)</f>
        <v/>
      </c>
      <c r="AE1879" s="53">
        <f>IFERROR(INDEX($A1879:$AB1879,MATCH("Xero Invoice Date",$A$1:$AB$1,0)),"")</f>
        <v/>
      </c>
      <c r="AF1879" s="54">
        <f>IF(AND(IFERROR(INDEX($A1879:$AB1879,MATCH("Xero Invoice No",$A$1:$AB$1,0)),"")&amp;""&lt;&gt;"",ISNUMBER(AE1879),AD1879&lt;&gt;0),1,0)</f>
        <v/>
      </c>
      <c r="AG1879" s="55">
        <f>IF(AF1879=1,EOMONTH(AE1879,0),"")</f>
        <v/>
      </c>
      <c r="AH1879" s="9">
        <f>IF(AF1879=1,UPPER(TRIM(IFERROR(INDEX($A1879:$AB1879,MATCH("Client",$A$1:$AB$1,0)),"")&amp;"")),"")</f>
        <v/>
      </c>
      <c r="AI1879" s="9">
        <f>IF(AF1879=1,IFERROR(INDEX($A1879:$AB1879,MATCH("Cost Centre",$A$1:$AB$1,0)),"")&amp;"","")</f>
        <v/>
      </c>
      <c r="AJ1879" s="54">
        <f>IF(AND(AF1879=1,AE1879&gt;=set_FYStart,AE1879&lt;=set_AsAt),1,0)</f>
        <v/>
      </c>
      <c r="AK1879" s="54">
        <f>IF(AND(AJ1879=1,AH1879&lt;&gt;"",COUNTIFS($AH$2:AH1879,AH1879,$AJ$2:AJ1879,1)=1),N(AL1878)+1,"")</f>
        <v/>
      </c>
      <c r="AL1879" s="54">
        <f>IF(AK1879&lt;&gt;"",AK1879,N(AL1878))</f>
        <v/>
      </c>
    </row>
    <row r="1880">
      <c r="A1880" t="inlineStr">
        <is>
          <t>ONS-0627</t>
        </is>
      </c>
      <c r="B1880" t="inlineStr">
        <is>
          <t>Onsite</t>
        </is>
      </c>
      <c r="AB1880" t="n">
        <v>627</v>
      </c>
      <c r="AD1880" s="52">
        <f>IFERROR(N(IFERROR(INDEX($A1880:$AB1880,MATCH("Xero Invoiced Ex GST",$A$1:$AB$1,0)),"")),0)</f>
        <v/>
      </c>
      <c r="AE1880" s="53">
        <f>IFERROR(INDEX($A1880:$AB1880,MATCH("Xero Invoice Date",$A$1:$AB$1,0)),"")</f>
        <v/>
      </c>
      <c r="AF1880" s="54">
        <f>IF(AND(IFERROR(INDEX($A1880:$AB1880,MATCH("Xero Invoice No",$A$1:$AB$1,0)),"")&amp;""&lt;&gt;"",ISNUMBER(AE1880),AD1880&lt;&gt;0),1,0)</f>
        <v/>
      </c>
      <c r="AG1880" s="55">
        <f>IF(AF1880=1,EOMONTH(AE1880,0),"")</f>
        <v/>
      </c>
      <c r="AH1880" s="9">
        <f>IF(AF1880=1,UPPER(TRIM(IFERROR(INDEX($A1880:$AB1880,MATCH("Client",$A$1:$AB$1,0)),"")&amp;"")),"")</f>
        <v/>
      </c>
      <c r="AI1880" s="9">
        <f>IF(AF1880=1,IFERROR(INDEX($A1880:$AB1880,MATCH("Cost Centre",$A$1:$AB$1,0)),"")&amp;"","")</f>
        <v/>
      </c>
      <c r="AJ1880" s="54">
        <f>IF(AND(AF1880=1,AE1880&gt;=set_FYStart,AE1880&lt;=set_AsAt),1,0)</f>
        <v/>
      </c>
      <c r="AK1880" s="54">
        <f>IF(AND(AJ1880=1,AH1880&lt;&gt;"",COUNTIFS($AH$2:AH1880,AH1880,$AJ$2:AJ1880,1)=1),N(AL1879)+1,"")</f>
        <v/>
      </c>
      <c r="AL1880" s="54">
        <f>IF(AK1880&lt;&gt;"",AK1880,N(AL1879))</f>
        <v/>
      </c>
    </row>
    <row r="1881">
      <c r="A1881" t="inlineStr">
        <is>
          <t>PRD-0627</t>
        </is>
      </c>
      <c r="B1881" t="inlineStr">
        <is>
          <t>Production</t>
        </is>
      </c>
      <c r="AB1881" t="n">
        <v>627</v>
      </c>
      <c r="AD1881" s="52">
        <f>IFERROR(N(IFERROR(INDEX($A1881:$AB1881,MATCH("Xero Invoiced Ex GST",$A$1:$AB$1,0)),"")),0)</f>
        <v/>
      </c>
      <c r="AE1881" s="53">
        <f>IFERROR(INDEX($A1881:$AB1881,MATCH("Xero Invoice Date",$A$1:$AB$1,0)),"")</f>
        <v/>
      </c>
      <c r="AF1881" s="54">
        <f>IF(AND(IFERROR(INDEX($A1881:$AB1881,MATCH("Xero Invoice No",$A$1:$AB$1,0)),"")&amp;""&lt;&gt;"",ISNUMBER(AE1881),AD1881&lt;&gt;0),1,0)</f>
        <v/>
      </c>
      <c r="AG1881" s="55">
        <f>IF(AF1881=1,EOMONTH(AE1881,0),"")</f>
        <v/>
      </c>
      <c r="AH1881" s="9">
        <f>IF(AF1881=1,UPPER(TRIM(IFERROR(INDEX($A1881:$AB1881,MATCH("Client",$A$1:$AB$1,0)),"")&amp;"")),"")</f>
        <v/>
      </c>
      <c r="AI1881" s="9">
        <f>IF(AF1881=1,IFERROR(INDEX($A1881:$AB1881,MATCH("Cost Centre",$A$1:$AB$1,0)),"")&amp;"","")</f>
        <v/>
      </c>
      <c r="AJ1881" s="54">
        <f>IF(AND(AF1881=1,AE1881&gt;=set_FYStart,AE1881&lt;=set_AsAt),1,0)</f>
        <v/>
      </c>
      <c r="AK1881" s="54">
        <f>IF(AND(AJ1881=1,AH1881&lt;&gt;"",COUNTIFS($AH$2:AH1881,AH1881,$AJ$2:AJ1881,1)=1),N(AL1880)+1,"")</f>
        <v/>
      </c>
      <c r="AL1881" s="54">
        <f>IF(AK1881&lt;&gt;"",AK1881,N(AL1880))</f>
        <v/>
      </c>
    </row>
    <row r="1882">
      <c r="A1882" t="inlineStr">
        <is>
          <t>CON-0627</t>
        </is>
      </c>
      <c r="B1882" t="inlineStr">
        <is>
          <t>Consulting</t>
        </is>
      </c>
      <c r="AB1882" t="n">
        <v>627</v>
      </c>
      <c r="AD1882" s="52">
        <f>IFERROR(N(IFERROR(INDEX($A1882:$AB1882,MATCH("Xero Invoiced Ex GST",$A$1:$AB$1,0)),"")),0)</f>
        <v/>
      </c>
      <c r="AE1882" s="53">
        <f>IFERROR(INDEX($A1882:$AB1882,MATCH("Xero Invoice Date",$A$1:$AB$1,0)),"")</f>
        <v/>
      </c>
      <c r="AF1882" s="54">
        <f>IF(AND(IFERROR(INDEX($A1882:$AB1882,MATCH("Xero Invoice No",$A$1:$AB$1,0)),"")&amp;""&lt;&gt;"",ISNUMBER(AE1882),AD1882&lt;&gt;0),1,0)</f>
        <v/>
      </c>
      <c r="AG1882" s="55">
        <f>IF(AF1882=1,EOMONTH(AE1882,0),"")</f>
        <v/>
      </c>
      <c r="AH1882" s="9">
        <f>IF(AF1882=1,UPPER(TRIM(IFERROR(INDEX($A1882:$AB1882,MATCH("Client",$A$1:$AB$1,0)),"")&amp;"")),"")</f>
        <v/>
      </c>
      <c r="AI1882" s="9">
        <f>IF(AF1882=1,IFERROR(INDEX($A1882:$AB1882,MATCH("Cost Centre",$A$1:$AB$1,0)),"")&amp;"","")</f>
        <v/>
      </c>
      <c r="AJ1882" s="54">
        <f>IF(AND(AF1882=1,AE1882&gt;=set_FYStart,AE1882&lt;=set_AsAt),1,0)</f>
        <v/>
      </c>
      <c r="AK1882" s="54">
        <f>IF(AND(AJ1882=1,AH1882&lt;&gt;"",COUNTIFS($AH$2:AH1882,AH1882,$AJ$2:AJ1882,1)=1),N(AL1881)+1,"")</f>
        <v/>
      </c>
      <c r="AL1882" s="54">
        <f>IF(AK1882&lt;&gt;"",AK1882,N(AL1881))</f>
        <v/>
      </c>
    </row>
    <row r="1883">
      <c r="A1883" t="inlineStr">
        <is>
          <t>ONS-0628</t>
        </is>
      </c>
      <c r="B1883" t="inlineStr">
        <is>
          <t>Onsite</t>
        </is>
      </c>
      <c r="AB1883" t="n">
        <v>628</v>
      </c>
      <c r="AD1883" s="52">
        <f>IFERROR(N(IFERROR(INDEX($A1883:$AB1883,MATCH("Xero Invoiced Ex GST",$A$1:$AB$1,0)),"")),0)</f>
        <v/>
      </c>
      <c r="AE1883" s="53">
        <f>IFERROR(INDEX($A1883:$AB1883,MATCH("Xero Invoice Date",$A$1:$AB$1,0)),"")</f>
        <v/>
      </c>
      <c r="AF1883" s="54">
        <f>IF(AND(IFERROR(INDEX($A1883:$AB1883,MATCH("Xero Invoice No",$A$1:$AB$1,0)),"")&amp;""&lt;&gt;"",ISNUMBER(AE1883),AD1883&lt;&gt;0),1,0)</f>
        <v/>
      </c>
      <c r="AG1883" s="55">
        <f>IF(AF1883=1,EOMONTH(AE1883,0),"")</f>
        <v/>
      </c>
      <c r="AH1883" s="9">
        <f>IF(AF1883=1,UPPER(TRIM(IFERROR(INDEX($A1883:$AB1883,MATCH("Client",$A$1:$AB$1,0)),"")&amp;"")),"")</f>
        <v/>
      </c>
      <c r="AI1883" s="9">
        <f>IF(AF1883=1,IFERROR(INDEX($A1883:$AB1883,MATCH("Cost Centre",$A$1:$AB$1,0)),"")&amp;"","")</f>
        <v/>
      </c>
      <c r="AJ1883" s="54">
        <f>IF(AND(AF1883=1,AE1883&gt;=set_FYStart,AE1883&lt;=set_AsAt),1,0)</f>
        <v/>
      </c>
      <c r="AK1883" s="54">
        <f>IF(AND(AJ1883=1,AH1883&lt;&gt;"",COUNTIFS($AH$2:AH1883,AH1883,$AJ$2:AJ1883,1)=1),N(AL1882)+1,"")</f>
        <v/>
      </c>
      <c r="AL1883" s="54">
        <f>IF(AK1883&lt;&gt;"",AK1883,N(AL1882))</f>
        <v/>
      </c>
    </row>
    <row r="1884">
      <c r="A1884" t="inlineStr">
        <is>
          <t>PRD-0628</t>
        </is>
      </c>
      <c r="B1884" t="inlineStr">
        <is>
          <t>Production</t>
        </is>
      </c>
      <c r="AB1884" t="n">
        <v>628</v>
      </c>
      <c r="AD1884" s="52">
        <f>IFERROR(N(IFERROR(INDEX($A1884:$AB1884,MATCH("Xero Invoiced Ex GST",$A$1:$AB$1,0)),"")),0)</f>
        <v/>
      </c>
      <c r="AE1884" s="53">
        <f>IFERROR(INDEX($A1884:$AB1884,MATCH("Xero Invoice Date",$A$1:$AB$1,0)),"")</f>
        <v/>
      </c>
      <c r="AF1884" s="54">
        <f>IF(AND(IFERROR(INDEX($A1884:$AB1884,MATCH("Xero Invoice No",$A$1:$AB$1,0)),"")&amp;""&lt;&gt;"",ISNUMBER(AE1884),AD1884&lt;&gt;0),1,0)</f>
        <v/>
      </c>
      <c r="AG1884" s="55">
        <f>IF(AF1884=1,EOMONTH(AE1884,0),"")</f>
        <v/>
      </c>
      <c r="AH1884" s="9">
        <f>IF(AF1884=1,UPPER(TRIM(IFERROR(INDEX($A1884:$AB1884,MATCH("Client",$A$1:$AB$1,0)),"")&amp;"")),"")</f>
        <v/>
      </c>
      <c r="AI1884" s="9">
        <f>IF(AF1884=1,IFERROR(INDEX($A1884:$AB1884,MATCH("Cost Centre",$A$1:$AB$1,0)),"")&amp;"","")</f>
        <v/>
      </c>
      <c r="AJ1884" s="54">
        <f>IF(AND(AF1884=1,AE1884&gt;=set_FYStart,AE1884&lt;=set_AsAt),1,0)</f>
        <v/>
      </c>
      <c r="AK1884" s="54">
        <f>IF(AND(AJ1884=1,AH1884&lt;&gt;"",COUNTIFS($AH$2:AH1884,AH1884,$AJ$2:AJ1884,1)=1),N(AL1883)+1,"")</f>
        <v/>
      </c>
      <c r="AL1884" s="54">
        <f>IF(AK1884&lt;&gt;"",AK1884,N(AL1883))</f>
        <v/>
      </c>
    </row>
    <row r="1885">
      <c r="A1885" t="inlineStr">
        <is>
          <t>CON-0628</t>
        </is>
      </c>
      <c r="B1885" t="inlineStr">
        <is>
          <t>Consulting</t>
        </is>
      </c>
      <c r="AB1885" t="n">
        <v>628</v>
      </c>
      <c r="AD1885" s="52">
        <f>IFERROR(N(IFERROR(INDEX($A1885:$AB1885,MATCH("Xero Invoiced Ex GST",$A$1:$AB$1,0)),"")),0)</f>
        <v/>
      </c>
      <c r="AE1885" s="53">
        <f>IFERROR(INDEX($A1885:$AB1885,MATCH("Xero Invoice Date",$A$1:$AB$1,0)),"")</f>
        <v/>
      </c>
      <c r="AF1885" s="54">
        <f>IF(AND(IFERROR(INDEX($A1885:$AB1885,MATCH("Xero Invoice No",$A$1:$AB$1,0)),"")&amp;""&lt;&gt;"",ISNUMBER(AE1885),AD1885&lt;&gt;0),1,0)</f>
        <v/>
      </c>
      <c r="AG1885" s="55">
        <f>IF(AF1885=1,EOMONTH(AE1885,0),"")</f>
        <v/>
      </c>
      <c r="AH1885" s="9">
        <f>IF(AF1885=1,UPPER(TRIM(IFERROR(INDEX($A1885:$AB1885,MATCH("Client",$A$1:$AB$1,0)),"")&amp;"")),"")</f>
        <v/>
      </c>
      <c r="AI1885" s="9">
        <f>IF(AF1885=1,IFERROR(INDEX($A1885:$AB1885,MATCH("Cost Centre",$A$1:$AB$1,0)),"")&amp;"","")</f>
        <v/>
      </c>
      <c r="AJ1885" s="54">
        <f>IF(AND(AF1885=1,AE1885&gt;=set_FYStart,AE1885&lt;=set_AsAt),1,0)</f>
        <v/>
      </c>
      <c r="AK1885" s="54">
        <f>IF(AND(AJ1885=1,AH1885&lt;&gt;"",COUNTIFS($AH$2:AH1885,AH1885,$AJ$2:AJ1885,1)=1),N(AL1884)+1,"")</f>
        <v/>
      </c>
      <c r="AL1885" s="54">
        <f>IF(AK1885&lt;&gt;"",AK1885,N(AL1884))</f>
        <v/>
      </c>
    </row>
    <row r="1886">
      <c r="A1886" t="inlineStr">
        <is>
          <t>ONS-0629</t>
        </is>
      </c>
      <c r="B1886" t="inlineStr">
        <is>
          <t>Onsite</t>
        </is>
      </c>
      <c r="AB1886" t="n">
        <v>629</v>
      </c>
      <c r="AD1886" s="52">
        <f>IFERROR(N(IFERROR(INDEX($A1886:$AB1886,MATCH("Xero Invoiced Ex GST",$A$1:$AB$1,0)),"")),0)</f>
        <v/>
      </c>
      <c r="AE1886" s="53">
        <f>IFERROR(INDEX($A1886:$AB1886,MATCH("Xero Invoice Date",$A$1:$AB$1,0)),"")</f>
        <v/>
      </c>
      <c r="AF1886" s="54">
        <f>IF(AND(IFERROR(INDEX($A1886:$AB1886,MATCH("Xero Invoice No",$A$1:$AB$1,0)),"")&amp;""&lt;&gt;"",ISNUMBER(AE1886),AD1886&lt;&gt;0),1,0)</f>
        <v/>
      </c>
      <c r="AG1886" s="55">
        <f>IF(AF1886=1,EOMONTH(AE1886,0),"")</f>
        <v/>
      </c>
      <c r="AH1886" s="9">
        <f>IF(AF1886=1,UPPER(TRIM(IFERROR(INDEX($A1886:$AB1886,MATCH("Client",$A$1:$AB$1,0)),"")&amp;"")),"")</f>
        <v/>
      </c>
      <c r="AI1886" s="9">
        <f>IF(AF1886=1,IFERROR(INDEX($A1886:$AB1886,MATCH("Cost Centre",$A$1:$AB$1,0)),"")&amp;"","")</f>
        <v/>
      </c>
      <c r="AJ1886" s="54">
        <f>IF(AND(AF1886=1,AE1886&gt;=set_FYStart,AE1886&lt;=set_AsAt),1,0)</f>
        <v/>
      </c>
      <c r="AK1886" s="54">
        <f>IF(AND(AJ1886=1,AH1886&lt;&gt;"",COUNTIFS($AH$2:AH1886,AH1886,$AJ$2:AJ1886,1)=1),N(AL1885)+1,"")</f>
        <v/>
      </c>
      <c r="AL1886" s="54">
        <f>IF(AK1886&lt;&gt;"",AK1886,N(AL1885))</f>
        <v/>
      </c>
    </row>
    <row r="1887">
      <c r="A1887" t="inlineStr">
        <is>
          <t>PRD-0629</t>
        </is>
      </c>
      <c r="B1887" t="inlineStr">
        <is>
          <t>Production</t>
        </is>
      </c>
      <c r="AB1887" t="n">
        <v>629</v>
      </c>
      <c r="AD1887" s="52">
        <f>IFERROR(N(IFERROR(INDEX($A1887:$AB1887,MATCH("Xero Invoiced Ex GST",$A$1:$AB$1,0)),"")),0)</f>
        <v/>
      </c>
      <c r="AE1887" s="53">
        <f>IFERROR(INDEX($A1887:$AB1887,MATCH("Xero Invoice Date",$A$1:$AB$1,0)),"")</f>
        <v/>
      </c>
      <c r="AF1887" s="54">
        <f>IF(AND(IFERROR(INDEX($A1887:$AB1887,MATCH("Xero Invoice No",$A$1:$AB$1,0)),"")&amp;""&lt;&gt;"",ISNUMBER(AE1887),AD1887&lt;&gt;0),1,0)</f>
        <v/>
      </c>
      <c r="AG1887" s="55">
        <f>IF(AF1887=1,EOMONTH(AE1887,0),"")</f>
        <v/>
      </c>
      <c r="AH1887" s="9">
        <f>IF(AF1887=1,UPPER(TRIM(IFERROR(INDEX($A1887:$AB1887,MATCH("Client",$A$1:$AB$1,0)),"")&amp;"")),"")</f>
        <v/>
      </c>
      <c r="AI1887" s="9">
        <f>IF(AF1887=1,IFERROR(INDEX($A1887:$AB1887,MATCH("Cost Centre",$A$1:$AB$1,0)),"")&amp;"","")</f>
        <v/>
      </c>
      <c r="AJ1887" s="54">
        <f>IF(AND(AF1887=1,AE1887&gt;=set_FYStart,AE1887&lt;=set_AsAt),1,0)</f>
        <v/>
      </c>
      <c r="AK1887" s="54">
        <f>IF(AND(AJ1887=1,AH1887&lt;&gt;"",COUNTIFS($AH$2:AH1887,AH1887,$AJ$2:AJ1887,1)=1),N(AL1886)+1,"")</f>
        <v/>
      </c>
      <c r="AL1887" s="54">
        <f>IF(AK1887&lt;&gt;"",AK1887,N(AL1886))</f>
        <v/>
      </c>
    </row>
    <row r="1888">
      <c r="A1888" t="inlineStr">
        <is>
          <t>CON-0629</t>
        </is>
      </c>
      <c r="B1888" t="inlineStr">
        <is>
          <t>Consulting</t>
        </is>
      </c>
      <c r="AB1888" t="n">
        <v>629</v>
      </c>
      <c r="AD1888" s="52">
        <f>IFERROR(N(IFERROR(INDEX($A1888:$AB1888,MATCH("Xero Invoiced Ex GST",$A$1:$AB$1,0)),"")),0)</f>
        <v/>
      </c>
      <c r="AE1888" s="53">
        <f>IFERROR(INDEX($A1888:$AB1888,MATCH("Xero Invoice Date",$A$1:$AB$1,0)),"")</f>
        <v/>
      </c>
      <c r="AF1888" s="54">
        <f>IF(AND(IFERROR(INDEX($A1888:$AB1888,MATCH("Xero Invoice No",$A$1:$AB$1,0)),"")&amp;""&lt;&gt;"",ISNUMBER(AE1888),AD1888&lt;&gt;0),1,0)</f>
        <v/>
      </c>
      <c r="AG1888" s="55">
        <f>IF(AF1888=1,EOMONTH(AE1888,0),"")</f>
        <v/>
      </c>
      <c r="AH1888" s="9">
        <f>IF(AF1888=1,UPPER(TRIM(IFERROR(INDEX($A1888:$AB1888,MATCH("Client",$A$1:$AB$1,0)),"")&amp;"")),"")</f>
        <v/>
      </c>
      <c r="AI1888" s="9">
        <f>IF(AF1888=1,IFERROR(INDEX($A1888:$AB1888,MATCH("Cost Centre",$A$1:$AB$1,0)),"")&amp;"","")</f>
        <v/>
      </c>
      <c r="AJ1888" s="54">
        <f>IF(AND(AF1888=1,AE1888&gt;=set_FYStart,AE1888&lt;=set_AsAt),1,0)</f>
        <v/>
      </c>
      <c r="AK1888" s="54">
        <f>IF(AND(AJ1888=1,AH1888&lt;&gt;"",COUNTIFS($AH$2:AH1888,AH1888,$AJ$2:AJ1888,1)=1),N(AL1887)+1,"")</f>
        <v/>
      </c>
      <c r="AL1888" s="54">
        <f>IF(AK1888&lt;&gt;"",AK1888,N(AL1887))</f>
        <v/>
      </c>
    </row>
    <row r="1889">
      <c r="A1889" t="inlineStr">
        <is>
          <t>ONS-0630</t>
        </is>
      </c>
      <c r="B1889" t="inlineStr">
        <is>
          <t>Onsite</t>
        </is>
      </c>
      <c r="AB1889" t="n">
        <v>630</v>
      </c>
      <c r="AD1889" s="52">
        <f>IFERROR(N(IFERROR(INDEX($A1889:$AB1889,MATCH("Xero Invoiced Ex GST",$A$1:$AB$1,0)),"")),0)</f>
        <v/>
      </c>
      <c r="AE1889" s="53">
        <f>IFERROR(INDEX($A1889:$AB1889,MATCH("Xero Invoice Date",$A$1:$AB$1,0)),"")</f>
        <v/>
      </c>
      <c r="AF1889" s="54">
        <f>IF(AND(IFERROR(INDEX($A1889:$AB1889,MATCH("Xero Invoice No",$A$1:$AB$1,0)),"")&amp;""&lt;&gt;"",ISNUMBER(AE1889),AD1889&lt;&gt;0),1,0)</f>
        <v/>
      </c>
      <c r="AG1889" s="55">
        <f>IF(AF1889=1,EOMONTH(AE1889,0),"")</f>
        <v/>
      </c>
      <c r="AH1889" s="9">
        <f>IF(AF1889=1,UPPER(TRIM(IFERROR(INDEX($A1889:$AB1889,MATCH("Client",$A$1:$AB$1,0)),"")&amp;"")),"")</f>
        <v/>
      </c>
      <c r="AI1889" s="9">
        <f>IF(AF1889=1,IFERROR(INDEX($A1889:$AB1889,MATCH("Cost Centre",$A$1:$AB$1,0)),"")&amp;"","")</f>
        <v/>
      </c>
      <c r="AJ1889" s="54">
        <f>IF(AND(AF1889=1,AE1889&gt;=set_FYStart,AE1889&lt;=set_AsAt),1,0)</f>
        <v/>
      </c>
      <c r="AK1889" s="54">
        <f>IF(AND(AJ1889=1,AH1889&lt;&gt;"",COUNTIFS($AH$2:AH1889,AH1889,$AJ$2:AJ1889,1)=1),N(AL1888)+1,"")</f>
        <v/>
      </c>
      <c r="AL1889" s="54">
        <f>IF(AK1889&lt;&gt;"",AK1889,N(AL1888))</f>
        <v/>
      </c>
    </row>
    <row r="1890">
      <c r="A1890" t="inlineStr">
        <is>
          <t>PRD-0630</t>
        </is>
      </c>
      <c r="B1890" t="inlineStr">
        <is>
          <t>Production</t>
        </is>
      </c>
      <c r="AB1890" t="n">
        <v>630</v>
      </c>
      <c r="AD1890" s="52">
        <f>IFERROR(N(IFERROR(INDEX($A1890:$AB1890,MATCH("Xero Invoiced Ex GST",$A$1:$AB$1,0)),"")),0)</f>
        <v/>
      </c>
      <c r="AE1890" s="53">
        <f>IFERROR(INDEX($A1890:$AB1890,MATCH("Xero Invoice Date",$A$1:$AB$1,0)),"")</f>
        <v/>
      </c>
      <c r="AF1890" s="54">
        <f>IF(AND(IFERROR(INDEX($A1890:$AB1890,MATCH("Xero Invoice No",$A$1:$AB$1,0)),"")&amp;""&lt;&gt;"",ISNUMBER(AE1890),AD1890&lt;&gt;0),1,0)</f>
        <v/>
      </c>
      <c r="AG1890" s="55">
        <f>IF(AF1890=1,EOMONTH(AE1890,0),"")</f>
        <v/>
      </c>
      <c r="AH1890" s="9">
        <f>IF(AF1890=1,UPPER(TRIM(IFERROR(INDEX($A1890:$AB1890,MATCH("Client",$A$1:$AB$1,0)),"")&amp;"")),"")</f>
        <v/>
      </c>
      <c r="AI1890" s="9">
        <f>IF(AF1890=1,IFERROR(INDEX($A1890:$AB1890,MATCH("Cost Centre",$A$1:$AB$1,0)),"")&amp;"","")</f>
        <v/>
      </c>
      <c r="AJ1890" s="54">
        <f>IF(AND(AF1890=1,AE1890&gt;=set_FYStart,AE1890&lt;=set_AsAt),1,0)</f>
        <v/>
      </c>
      <c r="AK1890" s="54">
        <f>IF(AND(AJ1890=1,AH1890&lt;&gt;"",COUNTIFS($AH$2:AH1890,AH1890,$AJ$2:AJ1890,1)=1),N(AL1889)+1,"")</f>
        <v/>
      </c>
      <c r="AL1890" s="54">
        <f>IF(AK1890&lt;&gt;"",AK1890,N(AL1889))</f>
        <v/>
      </c>
    </row>
    <row r="1891">
      <c r="A1891" t="inlineStr">
        <is>
          <t>CON-0630</t>
        </is>
      </c>
      <c r="B1891" t="inlineStr">
        <is>
          <t>Consulting</t>
        </is>
      </c>
      <c r="AB1891" t="n">
        <v>630</v>
      </c>
      <c r="AD1891" s="52">
        <f>IFERROR(N(IFERROR(INDEX($A1891:$AB1891,MATCH("Xero Invoiced Ex GST",$A$1:$AB$1,0)),"")),0)</f>
        <v/>
      </c>
      <c r="AE1891" s="53">
        <f>IFERROR(INDEX($A1891:$AB1891,MATCH("Xero Invoice Date",$A$1:$AB$1,0)),"")</f>
        <v/>
      </c>
      <c r="AF1891" s="54">
        <f>IF(AND(IFERROR(INDEX($A1891:$AB1891,MATCH("Xero Invoice No",$A$1:$AB$1,0)),"")&amp;""&lt;&gt;"",ISNUMBER(AE1891),AD1891&lt;&gt;0),1,0)</f>
        <v/>
      </c>
      <c r="AG1891" s="55">
        <f>IF(AF1891=1,EOMONTH(AE1891,0),"")</f>
        <v/>
      </c>
      <c r="AH1891" s="9">
        <f>IF(AF1891=1,UPPER(TRIM(IFERROR(INDEX($A1891:$AB1891,MATCH("Client",$A$1:$AB$1,0)),"")&amp;"")),"")</f>
        <v/>
      </c>
      <c r="AI1891" s="9">
        <f>IF(AF1891=1,IFERROR(INDEX($A1891:$AB1891,MATCH("Cost Centre",$A$1:$AB$1,0)),"")&amp;"","")</f>
        <v/>
      </c>
      <c r="AJ1891" s="54">
        <f>IF(AND(AF1891=1,AE1891&gt;=set_FYStart,AE1891&lt;=set_AsAt),1,0)</f>
        <v/>
      </c>
      <c r="AK1891" s="54">
        <f>IF(AND(AJ1891=1,AH1891&lt;&gt;"",COUNTIFS($AH$2:AH1891,AH1891,$AJ$2:AJ1891,1)=1),N(AL1890)+1,"")</f>
        <v/>
      </c>
      <c r="AL1891" s="54">
        <f>IF(AK1891&lt;&gt;"",AK1891,N(AL1890))</f>
        <v/>
      </c>
    </row>
    <row r="1892">
      <c r="A1892" t="inlineStr">
        <is>
          <t>ONS-0631</t>
        </is>
      </c>
      <c r="B1892" t="inlineStr">
        <is>
          <t>Onsite</t>
        </is>
      </c>
      <c r="AB1892" t="n">
        <v>631</v>
      </c>
      <c r="AD1892" s="52">
        <f>IFERROR(N(IFERROR(INDEX($A1892:$AB1892,MATCH("Xero Invoiced Ex GST",$A$1:$AB$1,0)),"")),0)</f>
        <v/>
      </c>
      <c r="AE1892" s="53">
        <f>IFERROR(INDEX($A1892:$AB1892,MATCH("Xero Invoice Date",$A$1:$AB$1,0)),"")</f>
        <v/>
      </c>
      <c r="AF1892" s="54">
        <f>IF(AND(IFERROR(INDEX($A1892:$AB1892,MATCH("Xero Invoice No",$A$1:$AB$1,0)),"")&amp;""&lt;&gt;"",ISNUMBER(AE1892),AD1892&lt;&gt;0),1,0)</f>
        <v/>
      </c>
      <c r="AG1892" s="55">
        <f>IF(AF1892=1,EOMONTH(AE1892,0),"")</f>
        <v/>
      </c>
      <c r="AH1892" s="9">
        <f>IF(AF1892=1,UPPER(TRIM(IFERROR(INDEX($A1892:$AB1892,MATCH("Client",$A$1:$AB$1,0)),"")&amp;"")),"")</f>
        <v/>
      </c>
      <c r="AI1892" s="9">
        <f>IF(AF1892=1,IFERROR(INDEX($A1892:$AB1892,MATCH("Cost Centre",$A$1:$AB$1,0)),"")&amp;"","")</f>
        <v/>
      </c>
      <c r="AJ1892" s="54">
        <f>IF(AND(AF1892=1,AE1892&gt;=set_FYStart,AE1892&lt;=set_AsAt),1,0)</f>
        <v/>
      </c>
      <c r="AK1892" s="54">
        <f>IF(AND(AJ1892=1,AH1892&lt;&gt;"",COUNTIFS($AH$2:AH1892,AH1892,$AJ$2:AJ1892,1)=1),N(AL1891)+1,"")</f>
        <v/>
      </c>
      <c r="AL1892" s="54">
        <f>IF(AK1892&lt;&gt;"",AK1892,N(AL1891))</f>
        <v/>
      </c>
    </row>
    <row r="1893">
      <c r="A1893" t="inlineStr">
        <is>
          <t>PRD-0631</t>
        </is>
      </c>
      <c r="B1893" t="inlineStr">
        <is>
          <t>Production</t>
        </is>
      </c>
      <c r="AB1893" t="n">
        <v>631</v>
      </c>
      <c r="AD1893" s="52">
        <f>IFERROR(N(IFERROR(INDEX($A1893:$AB1893,MATCH("Xero Invoiced Ex GST",$A$1:$AB$1,0)),"")),0)</f>
        <v/>
      </c>
      <c r="AE1893" s="53">
        <f>IFERROR(INDEX($A1893:$AB1893,MATCH("Xero Invoice Date",$A$1:$AB$1,0)),"")</f>
        <v/>
      </c>
      <c r="AF1893" s="54">
        <f>IF(AND(IFERROR(INDEX($A1893:$AB1893,MATCH("Xero Invoice No",$A$1:$AB$1,0)),"")&amp;""&lt;&gt;"",ISNUMBER(AE1893),AD1893&lt;&gt;0),1,0)</f>
        <v/>
      </c>
      <c r="AG1893" s="55">
        <f>IF(AF1893=1,EOMONTH(AE1893,0),"")</f>
        <v/>
      </c>
      <c r="AH1893" s="9">
        <f>IF(AF1893=1,UPPER(TRIM(IFERROR(INDEX($A1893:$AB1893,MATCH("Client",$A$1:$AB$1,0)),"")&amp;"")),"")</f>
        <v/>
      </c>
      <c r="AI1893" s="9">
        <f>IF(AF1893=1,IFERROR(INDEX($A1893:$AB1893,MATCH("Cost Centre",$A$1:$AB$1,0)),"")&amp;"","")</f>
        <v/>
      </c>
      <c r="AJ1893" s="54">
        <f>IF(AND(AF1893=1,AE1893&gt;=set_FYStart,AE1893&lt;=set_AsAt),1,0)</f>
        <v/>
      </c>
      <c r="AK1893" s="54">
        <f>IF(AND(AJ1893=1,AH1893&lt;&gt;"",COUNTIFS($AH$2:AH1893,AH1893,$AJ$2:AJ1893,1)=1),N(AL1892)+1,"")</f>
        <v/>
      </c>
      <c r="AL1893" s="54">
        <f>IF(AK1893&lt;&gt;"",AK1893,N(AL1892))</f>
        <v/>
      </c>
    </row>
    <row r="1894">
      <c r="A1894" t="inlineStr">
        <is>
          <t>CON-0631</t>
        </is>
      </c>
      <c r="B1894" t="inlineStr">
        <is>
          <t>Consulting</t>
        </is>
      </c>
      <c r="AB1894" t="n">
        <v>631</v>
      </c>
      <c r="AD1894" s="52">
        <f>IFERROR(N(IFERROR(INDEX($A1894:$AB1894,MATCH("Xero Invoiced Ex GST",$A$1:$AB$1,0)),"")),0)</f>
        <v/>
      </c>
      <c r="AE1894" s="53">
        <f>IFERROR(INDEX($A1894:$AB1894,MATCH("Xero Invoice Date",$A$1:$AB$1,0)),"")</f>
        <v/>
      </c>
      <c r="AF1894" s="54">
        <f>IF(AND(IFERROR(INDEX($A1894:$AB1894,MATCH("Xero Invoice No",$A$1:$AB$1,0)),"")&amp;""&lt;&gt;"",ISNUMBER(AE1894),AD1894&lt;&gt;0),1,0)</f>
        <v/>
      </c>
      <c r="AG1894" s="55">
        <f>IF(AF1894=1,EOMONTH(AE1894,0),"")</f>
        <v/>
      </c>
      <c r="AH1894" s="9">
        <f>IF(AF1894=1,UPPER(TRIM(IFERROR(INDEX($A1894:$AB1894,MATCH("Client",$A$1:$AB$1,0)),"")&amp;"")),"")</f>
        <v/>
      </c>
      <c r="AI1894" s="9">
        <f>IF(AF1894=1,IFERROR(INDEX($A1894:$AB1894,MATCH("Cost Centre",$A$1:$AB$1,0)),"")&amp;"","")</f>
        <v/>
      </c>
      <c r="AJ1894" s="54">
        <f>IF(AND(AF1894=1,AE1894&gt;=set_FYStart,AE1894&lt;=set_AsAt),1,0)</f>
        <v/>
      </c>
      <c r="AK1894" s="54">
        <f>IF(AND(AJ1894=1,AH1894&lt;&gt;"",COUNTIFS($AH$2:AH1894,AH1894,$AJ$2:AJ1894,1)=1),N(AL1893)+1,"")</f>
        <v/>
      </c>
      <c r="AL1894" s="54">
        <f>IF(AK1894&lt;&gt;"",AK1894,N(AL1893))</f>
        <v/>
      </c>
    </row>
    <row r="1895">
      <c r="A1895" t="inlineStr">
        <is>
          <t>ONS-0632</t>
        </is>
      </c>
      <c r="B1895" t="inlineStr">
        <is>
          <t>Onsite</t>
        </is>
      </c>
      <c r="AB1895" t="n">
        <v>632</v>
      </c>
      <c r="AD1895" s="52">
        <f>IFERROR(N(IFERROR(INDEX($A1895:$AB1895,MATCH("Xero Invoiced Ex GST",$A$1:$AB$1,0)),"")),0)</f>
        <v/>
      </c>
      <c r="AE1895" s="53">
        <f>IFERROR(INDEX($A1895:$AB1895,MATCH("Xero Invoice Date",$A$1:$AB$1,0)),"")</f>
        <v/>
      </c>
      <c r="AF1895" s="54">
        <f>IF(AND(IFERROR(INDEX($A1895:$AB1895,MATCH("Xero Invoice No",$A$1:$AB$1,0)),"")&amp;""&lt;&gt;"",ISNUMBER(AE1895),AD1895&lt;&gt;0),1,0)</f>
        <v/>
      </c>
      <c r="AG1895" s="55">
        <f>IF(AF1895=1,EOMONTH(AE1895,0),"")</f>
        <v/>
      </c>
      <c r="AH1895" s="9">
        <f>IF(AF1895=1,UPPER(TRIM(IFERROR(INDEX($A1895:$AB1895,MATCH("Client",$A$1:$AB$1,0)),"")&amp;"")),"")</f>
        <v/>
      </c>
      <c r="AI1895" s="9">
        <f>IF(AF1895=1,IFERROR(INDEX($A1895:$AB1895,MATCH("Cost Centre",$A$1:$AB$1,0)),"")&amp;"","")</f>
        <v/>
      </c>
      <c r="AJ1895" s="54">
        <f>IF(AND(AF1895=1,AE1895&gt;=set_FYStart,AE1895&lt;=set_AsAt),1,0)</f>
        <v/>
      </c>
      <c r="AK1895" s="54">
        <f>IF(AND(AJ1895=1,AH1895&lt;&gt;"",COUNTIFS($AH$2:AH1895,AH1895,$AJ$2:AJ1895,1)=1),N(AL1894)+1,"")</f>
        <v/>
      </c>
      <c r="AL1895" s="54">
        <f>IF(AK1895&lt;&gt;"",AK1895,N(AL1894))</f>
        <v/>
      </c>
    </row>
    <row r="1896">
      <c r="A1896" t="inlineStr">
        <is>
          <t>PRD-0632</t>
        </is>
      </c>
      <c r="B1896" t="inlineStr">
        <is>
          <t>Production</t>
        </is>
      </c>
      <c r="AB1896" t="n">
        <v>632</v>
      </c>
      <c r="AD1896" s="52">
        <f>IFERROR(N(IFERROR(INDEX($A1896:$AB1896,MATCH("Xero Invoiced Ex GST",$A$1:$AB$1,0)),"")),0)</f>
        <v/>
      </c>
      <c r="AE1896" s="53">
        <f>IFERROR(INDEX($A1896:$AB1896,MATCH("Xero Invoice Date",$A$1:$AB$1,0)),"")</f>
        <v/>
      </c>
      <c r="AF1896" s="54">
        <f>IF(AND(IFERROR(INDEX($A1896:$AB1896,MATCH("Xero Invoice No",$A$1:$AB$1,0)),"")&amp;""&lt;&gt;"",ISNUMBER(AE1896),AD1896&lt;&gt;0),1,0)</f>
        <v/>
      </c>
      <c r="AG1896" s="55">
        <f>IF(AF1896=1,EOMONTH(AE1896,0),"")</f>
        <v/>
      </c>
      <c r="AH1896" s="9">
        <f>IF(AF1896=1,UPPER(TRIM(IFERROR(INDEX($A1896:$AB1896,MATCH("Client",$A$1:$AB$1,0)),"")&amp;"")),"")</f>
        <v/>
      </c>
      <c r="AI1896" s="9">
        <f>IF(AF1896=1,IFERROR(INDEX($A1896:$AB1896,MATCH("Cost Centre",$A$1:$AB$1,0)),"")&amp;"","")</f>
        <v/>
      </c>
      <c r="AJ1896" s="54">
        <f>IF(AND(AF1896=1,AE1896&gt;=set_FYStart,AE1896&lt;=set_AsAt),1,0)</f>
        <v/>
      </c>
      <c r="AK1896" s="54">
        <f>IF(AND(AJ1896=1,AH1896&lt;&gt;"",COUNTIFS($AH$2:AH1896,AH1896,$AJ$2:AJ1896,1)=1),N(AL1895)+1,"")</f>
        <v/>
      </c>
      <c r="AL1896" s="54">
        <f>IF(AK1896&lt;&gt;"",AK1896,N(AL1895))</f>
        <v/>
      </c>
    </row>
    <row r="1897">
      <c r="A1897" t="inlineStr">
        <is>
          <t>CON-0632</t>
        </is>
      </c>
      <c r="B1897" t="inlineStr">
        <is>
          <t>Consulting</t>
        </is>
      </c>
      <c r="AB1897" t="n">
        <v>632</v>
      </c>
      <c r="AD1897" s="52">
        <f>IFERROR(N(IFERROR(INDEX($A1897:$AB1897,MATCH("Xero Invoiced Ex GST",$A$1:$AB$1,0)),"")),0)</f>
        <v/>
      </c>
      <c r="AE1897" s="53">
        <f>IFERROR(INDEX($A1897:$AB1897,MATCH("Xero Invoice Date",$A$1:$AB$1,0)),"")</f>
        <v/>
      </c>
      <c r="AF1897" s="54">
        <f>IF(AND(IFERROR(INDEX($A1897:$AB1897,MATCH("Xero Invoice No",$A$1:$AB$1,0)),"")&amp;""&lt;&gt;"",ISNUMBER(AE1897),AD1897&lt;&gt;0),1,0)</f>
        <v/>
      </c>
      <c r="AG1897" s="55">
        <f>IF(AF1897=1,EOMONTH(AE1897,0),"")</f>
        <v/>
      </c>
      <c r="AH1897" s="9">
        <f>IF(AF1897=1,UPPER(TRIM(IFERROR(INDEX($A1897:$AB1897,MATCH("Client",$A$1:$AB$1,0)),"")&amp;"")),"")</f>
        <v/>
      </c>
      <c r="AI1897" s="9">
        <f>IF(AF1897=1,IFERROR(INDEX($A1897:$AB1897,MATCH("Cost Centre",$A$1:$AB$1,0)),"")&amp;"","")</f>
        <v/>
      </c>
      <c r="AJ1897" s="54">
        <f>IF(AND(AF1897=1,AE1897&gt;=set_FYStart,AE1897&lt;=set_AsAt),1,0)</f>
        <v/>
      </c>
      <c r="AK1897" s="54">
        <f>IF(AND(AJ1897=1,AH1897&lt;&gt;"",COUNTIFS($AH$2:AH1897,AH1897,$AJ$2:AJ1897,1)=1),N(AL1896)+1,"")</f>
        <v/>
      </c>
      <c r="AL1897" s="54">
        <f>IF(AK1897&lt;&gt;"",AK1897,N(AL1896))</f>
        <v/>
      </c>
    </row>
    <row r="1898">
      <c r="A1898" t="inlineStr">
        <is>
          <t>ONS-0633</t>
        </is>
      </c>
      <c r="B1898" t="inlineStr">
        <is>
          <t>Onsite</t>
        </is>
      </c>
      <c r="AB1898" t="n">
        <v>633</v>
      </c>
      <c r="AD1898" s="52">
        <f>IFERROR(N(IFERROR(INDEX($A1898:$AB1898,MATCH("Xero Invoiced Ex GST",$A$1:$AB$1,0)),"")),0)</f>
        <v/>
      </c>
      <c r="AE1898" s="53">
        <f>IFERROR(INDEX($A1898:$AB1898,MATCH("Xero Invoice Date",$A$1:$AB$1,0)),"")</f>
        <v/>
      </c>
      <c r="AF1898" s="54">
        <f>IF(AND(IFERROR(INDEX($A1898:$AB1898,MATCH("Xero Invoice No",$A$1:$AB$1,0)),"")&amp;""&lt;&gt;"",ISNUMBER(AE1898),AD1898&lt;&gt;0),1,0)</f>
        <v/>
      </c>
      <c r="AG1898" s="55">
        <f>IF(AF1898=1,EOMONTH(AE1898,0),"")</f>
        <v/>
      </c>
      <c r="AH1898" s="9">
        <f>IF(AF1898=1,UPPER(TRIM(IFERROR(INDEX($A1898:$AB1898,MATCH("Client",$A$1:$AB$1,0)),"")&amp;"")),"")</f>
        <v/>
      </c>
      <c r="AI1898" s="9">
        <f>IF(AF1898=1,IFERROR(INDEX($A1898:$AB1898,MATCH("Cost Centre",$A$1:$AB$1,0)),"")&amp;"","")</f>
        <v/>
      </c>
      <c r="AJ1898" s="54">
        <f>IF(AND(AF1898=1,AE1898&gt;=set_FYStart,AE1898&lt;=set_AsAt),1,0)</f>
        <v/>
      </c>
      <c r="AK1898" s="54">
        <f>IF(AND(AJ1898=1,AH1898&lt;&gt;"",COUNTIFS($AH$2:AH1898,AH1898,$AJ$2:AJ1898,1)=1),N(AL1897)+1,"")</f>
        <v/>
      </c>
      <c r="AL1898" s="54">
        <f>IF(AK1898&lt;&gt;"",AK1898,N(AL1897))</f>
        <v/>
      </c>
    </row>
    <row r="1899">
      <c r="A1899" t="inlineStr">
        <is>
          <t>PRD-0633</t>
        </is>
      </c>
      <c r="B1899" t="inlineStr">
        <is>
          <t>Production</t>
        </is>
      </c>
      <c r="AB1899" t="n">
        <v>633</v>
      </c>
      <c r="AD1899" s="52">
        <f>IFERROR(N(IFERROR(INDEX($A1899:$AB1899,MATCH("Xero Invoiced Ex GST",$A$1:$AB$1,0)),"")),0)</f>
        <v/>
      </c>
      <c r="AE1899" s="53">
        <f>IFERROR(INDEX($A1899:$AB1899,MATCH("Xero Invoice Date",$A$1:$AB$1,0)),"")</f>
        <v/>
      </c>
      <c r="AF1899" s="54">
        <f>IF(AND(IFERROR(INDEX($A1899:$AB1899,MATCH("Xero Invoice No",$A$1:$AB$1,0)),"")&amp;""&lt;&gt;"",ISNUMBER(AE1899),AD1899&lt;&gt;0),1,0)</f>
        <v/>
      </c>
      <c r="AG1899" s="55">
        <f>IF(AF1899=1,EOMONTH(AE1899,0),"")</f>
        <v/>
      </c>
      <c r="AH1899" s="9">
        <f>IF(AF1899=1,UPPER(TRIM(IFERROR(INDEX($A1899:$AB1899,MATCH("Client",$A$1:$AB$1,0)),"")&amp;"")),"")</f>
        <v/>
      </c>
      <c r="AI1899" s="9">
        <f>IF(AF1899=1,IFERROR(INDEX($A1899:$AB1899,MATCH("Cost Centre",$A$1:$AB$1,0)),"")&amp;"","")</f>
        <v/>
      </c>
      <c r="AJ1899" s="54">
        <f>IF(AND(AF1899=1,AE1899&gt;=set_FYStart,AE1899&lt;=set_AsAt),1,0)</f>
        <v/>
      </c>
      <c r="AK1899" s="54">
        <f>IF(AND(AJ1899=1,AH1899&lt;&gt;"",COUNTIFS($AH$2:AH1899,AH1899,$AJ$2:AJ1899,1)=1),N(AL1898)+1,"")</f>
        <v/>
      </c>
      <c r="AL1899" s="54">
        <f>IF(AK1899&lt;&gt;"",AK1899,N(AL1898))</f>
        <v/>
      </c>
    </row>
    <row r="1900">
      <c r="A1900" t="inlineStr">
        <is>
          <t>CON-0633</t>
        </is>
      </c>
      <c r="B1900" t="inlineStr">
        <is>
          <t>Consulting</t>
        </is>
      </c>
      <c r="AB1900" t="n">
        <v>633</v>
      </c>
      <c r="AD1900" s="52">
        <f>IFERROR(N(IFERROR(INDEX($A1900:$AB1900,MATCH("Xero Invoiced Ex GST",$A$1:$AB$1,0)),"")),0)</f>
        <v/>
      </c>
      <c r="AE1900" s="53">
        <f>IFERROR(INDEX($A1900:$AB1900,MATCH("Xero Invoice Date",$A$1:$AB$1,0)),"")</f>
        <v/>
      </c>
      <c r="AF1900" s="54">
        <f>IF(AND(IFERROR(INDEX($A1900:$AB1900,MATCH("Xero Invoice No",$A$1:$AB$1,0)),"")&amp;""&lt;&gt;"",ISNUMBER(AE1900),AD1900&lt;&gt;0),1,0)</f>
        <v/>
      </c>
      <c r="AG1900" s="55">
        <f>IF(AF1900=1,EOMONTH(AE1900,0),"")</f>
        <v/>
      </c>
      <c r="AH1900" s="9">
        <f>IF(AF1900=1,UPPER(TRIM(IFERROR(INDEX($A1900:$AB1900,MATCH("Client",$A$1:$AB$1,0)),"")&amp;"")),"")</f>
        <v/>
      </c>
      <c r="AI1900" s="9">
        <f>IF(AF1900=1,IFERROR(INDEX($A1900:$AB1900,MATCH("Cost Centre",$A$1:$AB$1,0)),"")&amp;"","")</f>
        <v/>
      </c>
      <c r="AJ1900" s="54">
        <f>IF(AND(AF1900=1,AE1900&gt;=set_FYStart,AE1900&lt;=set_AsAt),1,0)</f>
        <v/>
      </c>
      <c r="AK1900" s="54">
        <f>IF(AND(AJ1900=1,AH1900&lt;&gt;"",COUNTIFS($AH$2:AH1900,AH1900,$AJ$2:AJ1900,1)=1),N(AL1899)+1,"")</f>
        <v/>
      </c>
      <c r="AL1900" s="54">
        <f>IF(AK1900&lt;&gt;"",AK1900,N(AL1899))</f>
        <v/>
      </c>
    </row>
    <row r="1901">
      <c r="A1901" t="inlineStr">
        <is>
          <t>ONS-0634</t>
        </is>
      </c>
      <c r="B1901" t="inlineStr">
        <is>
          <t>Onsite</t>
        </is>
      </c>
      <c r="AB1901" t="n">
        <v>634</v>
      </c>
      <c r="AD1901" s="52">
        <f>IFERROR(N(IFERROR(INDEX($A1901:$AB1901,MATCH("Xero Invoiced Ex GST",$A$1:$AB$1,0)),"")),0)</f>
        <v/>
      </c>
      <c r="AE1901" s="53">
        <f>IFERROR(INDEX($A1901:$AB1901,MATCH("Xero Invoice Date",$A$1:$AB$1,0)),"")</f>
        <v/>
      </c>
      <c r="AF1901" s="54">
        <f>IF(AND(IFERROR(INDEX($A1901:$AB1901,MATCH("Xero Invoice No",$A$1:$AB$1,0)),"")&amp;""&lt;&gt;"",ISNUMBER(AE1901),AD1901&lt;&gt;0),1,0)</f>
        <v/>
      </c>
      <c r="AG1901" s="55">
        <f>IF(AF1901=1,EOMONTH(AE1901,0),"")</f>
        <v/>
      </c>
      <c r="AH1901" s="9">
        <f>IF(AF1901=1,UPPER(TRIM(IFERROR(INDEX($A1901:$AB1901,MATCH("Client",$A$1:$AB$1,0)),"")&amp;"")),"")</f>
        <v/>
      </c>
      <c r="AI1901" s="9">
        <f>IF(AF1901=1,IFERROR(INDEX($A1901:$AB1901,MATCH("Cost Centre",$A$1:$AB$1,0)),"")&amp;"","")</f>
        <v/>
      </c>
      <c r="AJ1901" s="54">
        <f>IF(AND(AF1901=1,AE1901&gt;=set_FYStart,AE1901&lt;=set_AsAt),1,0)</f>
        <v/>
      </c>
      <c r="AK1901" s="54">
        <f>IF(AND(AJ1901=1,AH1901&lt;&gt;"",COUNTIFS($AH$2:AH1901,AH1901,$AJ$2:AJ1901,1)=1),N(AL1900)+1,"")</f>
        <v/>
      </c>
      <c r="AL1901" s="54">
        <f>IF(AK1901&lt;&gt;"",AK1901,N(AL1900))</f>
        <v/>
      </c>
    </row>
    <row r="1902">
      <c r="A1902" t="inlineStr">
        <is>
          <t>PRD-0634</t>
        </is>
      </c>
      <c r="B1902" t="inlineStr">
        <is>
          <t>Production</t>
        </is>
      </c>
      <c r="AB1902" t="n">
        <v>634</v>
      </c>
      <c r="AD1902" s="52">
        <f>IFERROR(N(IFERROR(INDEX($A1902:$AB1902,MATCH("Xero Invoiced Ex GST",$A$1:$AB$1,0)),"")),0)</f>
        <v/>
      </c>
      <c r="AE1902" s="53">
        <f>IFERROR(INDEX($A1902:$AB1902,MATCH("Xero Invoice Date",$A$1:$AB$1,0)),"")</f>
        <v/>
      </c>
      <c r="AF1902" s="54">
        <f>IF(AND(IFERROR(INDEX($A1902:$AB1902,MATCH("Xero Invoice No",$A$1:$AB$1,0)),"")&amp;""&lt;&gt;"",ISNUMBER(AE1902),AD1902&lt;&gt;0),1,0)</f>
        <v/>
      </c>
      <c r="AG1902" s="55">
        <f>IF(AF1902=1,EOMONTH(AE1902,0),"")</f>
        <v/>
      </c>
      <c r="AH1902" s="9">
        <f>IF(AF1902=1,UPPER(TRIM(IFERROR(INDEX($A1902:$AB1902,MATCH("Client",$A$1:$AB$1,0)),"")&amp;"")),"")</f>
        <v/>
      </c>
      <c r="AI1902" s="9">
        <f>IF(AF1902=1,IFERROR(INDEX($A1902:$AB1902,MATCH("Cost Centre",$A$1:$AB$1,0)),"")&amp;"","")</f>
        <v/>
      </c>
      <c r="AJ1902" s="54">
        <f>IF(AND(AF1902=1,AE1902&gt;=set_FYStart,AE1902&lt;=set_AsAt),1,0)</f>
        <v/>
      </c>
      <c r="AK1902" s="54">
        <f>IF(AND(AJ1902=1,AH1902&lt;&gt;"",COUNTIFS($AH$2:AH1902,AH1902,$AJ$2:AJ1902,1)=1),N(AL1901)+1,"")</f>
        <v/>
      </c>
      <c r="AL1902" s="54">
        <f>IF(AK1902&lt;&gt;"",AK1902,N(AL1901))</f>
        <v/>
      </c>
    </row>
    <row r="1903">
      <c r="A1903" t="inlineStr">
        <is>
          <t>CON-0634</t>
        </is>
      </c>
      <c r="B1903" t="inlineStr">
        <is>
          <t>Consulting</t>
        </is>
      </c>
      <c r="AB1903" t="n">
        <v>634</v>
      </c>
      <c r="AD1903" s="52">
        <f>IFERROR(N(IFERROR(INDEX($A1903:$AB1903,MATCH("Xero Invoiced Ex GST",$A$1:$AB$1,0)),"")),0)</f>
        <v/>
      </c>
      <c r="AE1903" s="53">
        <f>IFERROR(INDEX($A1903:$AB1903,MATCH("Xero Invoice Date",$A$1:$AB$1,0)),"")</f>
        <v/>
      </c>
      <c r="AF1903" s="54">
        <f>IF(AND(IFERROR(INDEX($A1903:$AB1903,MATCH("Xero Invoice No",$A$1:$AB$1,0)),"")&amp;""&lt;&gt;"",ISNUMBER(AE1903),AD1903&lt;&gt;0),1,0)</f>
        <v/>
      </c>
      <c r="AG1903" s="55">
        <f>IF(AF1903=1,EOMONTH(AE1903,0),"")</f>
        <v/>
      </c>
      <c r="AH1903" s="9">
        <f>IF(AF1903=1,UPPER(TRIM(IFERROR(INDEX($A1903:$AB1903,MATCH("Client",$A$1:$AB$1,0)),"")&amp;"")),"")</f>
        <v/>
      </c>
      <c r="AI1903" s="9">
        <f>IF(AF1903=1,IFERROR(INDEX($A1903:$AB1903,MATCH("Cost Centre",$A$1:$AB$1,0)),"")&amp;"","")</f>
        <v/>
      </c>
      <c r="AJ1903" s="54">
        <f>IF(AND(AF1903=1,AE1903&gt;=set_FYStart,AE1903&lt;=set_AsAt),1,0)</f>
        <v/>
      </c>
      <c r="AK1903" s="54">
        <f>IF(AND(AJ1903=1,AH1903&lt;&gt;"",COUNTIFS($AH$2:AH1903,AH1903,$AJ$2:AJ1903,1)=1),N(AL1902)+1,"")</f>
        <v/>
      </c>
      <c r="AL1903" s="54">
        <f>IF(AK1903&lt;&gt;"",AK1903,N(AL1902))</f>
        <v/>
      </c>
    </row>
    <row r="1904">
      <c r="A1904" t="inlineStr">
        <is>
          <t>ONS-0635</t>
        </is>
      </c>
      <c r="B1904" t="inlineStr">
        <is>
          <t>Onsite</t>
        </is>
      </c>
      <c r="AB1904" t="n">
        <v>635</v>
      </c>
      <c r="AD1904" s="52">
        <f>IFERROR(N(IFERROR(INDEX($A1904:$AB1904,MATCH("Xero Invoiced Ex GST",$A$1:$AB$1,0)),"")),0)</f>
        <v/>
      </c>
      <c r="AE1904" s="53">
        <f>IFERROR(INDEX($A1904:$AB1904,MATCH("Xero Invoice Date",$A$1:$AB$1,0)),"")</f>
        <v/>
      </c>
      <c r="AF1904" s="54">
        <f>IF(AND(IFERROR(INDEX($A1904:$AB1904,MATCH("Xero Invoice No",$A$1:$AB$1,0)),"")&amp;""&lt;&gt;"",ISNUMBER(AE1904),AD1904&lt;&gt;0),1,0)</f>
        <v/>
      </c>
      <c r="AG1904" s="55">
        <f>IF(AF1904=1,EOMONTH(AE1904,0),"")</f>
        <v/>
      </c>
      <c r="AH1904" s="9">
        <f>IF(AF1904=1,UPPER(TRIM(IFERROR(INDEX($A1904:$AB1904,MATCH("Client",$A$1:$AB$1,0)),"")&amp;"")),"")</f>
        <v/>
      </c>
      <c r="AI1904" s="9">
        <f>IF(AF1904=1,IFERROR(INDEX($A1904:$AB1904,MATCH("Cost Centre",$A$1:$AB$1,0)),"")&amp;"","")</f>
        <v/>
      </c>
      <c r="AJ1904" s="54">
        <f>IF(AND(AF1904=1,AE1904&gt;=set_FYStart,AE1904&lt;=set_AsAt),1,0)</f>
        <v/>
      </c>
      <c r="AK1904" s="54">
        <f>IF(AND(AJ1904=1,AH1904&lt;&gt;"",COUNTIFS($AH$2:AH1904,AH1904,$AJ$2:AJ1904,1)=1),N(AL1903)+1,"")</f>
        <v/>
      </c>
      <c r="AL1904" s="54">
        <f>IF(AK1904&lt;&gt;"",AK1904,N(AL1903))</f>
        <v/>
      </c>
    </row>
    <row r="1905">
      <c r="A1905" t="inlineStr">
        <is>
          <t>PRD-0635</t>
        </is>
      </c>
      <c r="B1905" t="inlineStr">
        <is>
          <t>Production</t>
        </is>
      </c>
      <c r="AB1905" t="n">
        <v>635</v>
      </c>
      <c r="AD1905" s="52">
        <f>IFERROR(N(IFERROR(INDEX($A1905:$AB1905,MATCH("Xero Invoiced Ex GST",$A$1:$AB$1,0)),"")),0)</f>
        <v/>
      </c>
      <c r="AE1905" s="53">
        <f>IFERROR(INDEX($A1905:$AB1905,MATCH("Xero Invoice Date",$A$1:$AB$1,0)),"")</f>
        <v/>
      </c>
      <c r="AF1905" s="54">
        <f>IF(AND(IFERROR(INDEX($A1905:$AB1905,MATCH("Xero Invoice No",$A$1:$AB$1,0)),"")&amp;""&lt;&gt;"",ISNUMBER(AE1905),AD1905&lt;&gt;0),1,0)</f>
        <v/>
      </c>
      <c r="AG1905" s="55">
        <f>IF(AF1905=1,EOMONTH(AE1905,0),"")</f>
        <v/>
      </c>
      <c r="AH1905" s="9">
        <f>IF(AF1905=1,UPPER(TRIM(IFERROR(INDEX($A1905:$AB1905,MATCH("Client",$A$1:$AB$1,0)),"")&amp;"")),"")</f>
        <v/>
      </c>
      <c r="AI1905" s="9">
        <f>IF(AF1905=1,IFERROR(INDEX($A1905:$AB1905,MATCH("Cost Centre",$A$1:$AB$1,0)),"")&amp;"","")</f>
        <v/>
      </c>
      <c r="AJ1905" s="54">
        <f>IF(AND(AF1905=1,AE1905&gt;=set_FYStart,AE1905&lt;=set_AsAt),1,0)</f>
        <v/>
      </c>
      <c r="AK1905" s="54">
        <f>IF(AND(AJ1905=1,AH1905&lt;&gt;"",COUNTIFS($AH$2:AH1905,AH1905,$AJ$2:AJ1905,1)=1),N(AL1904)+1,"")</f>
        <v/>
      </c>
      <c r="AL1905" s="54">
        <f>IF(AK1905&lt;&gt;"",AK1905,N(AL1904))</f>
        <v/>
      </c>
    </row>
    <row r="1906">
      <c r="A1906" t="inlineStr">
        <is>
          <t>CON-0635</t>
        </is>
      </c>
      <c r="B1906" t="inlineStr">
        <is>
          <t>Consulting</t>
        </is>
      </c>
      <c r="AB1906" t="n">
        <v>635</v>
      </c>
      <c r="AD1906" s="52">
        <f>IFERROR(N(IFERROR(INDEX($A1906:$AB1906,MATCH("Xero Invoiced Ex GST",$A$1:$AB$1,0)),"")),0)</f>
        <v/>
      </c>
      <c r="AE1906" s="53">
        <f>IFERROR(INDEX($A1906:$AB1906,MATCH("Xero Invoice Date",$A$1:$AB$1,0)),"")</f>
        <v/>
      </c>
      <c r="AF1906" s="54">
        <f>IF(AND(IFERROR(INDEX($A1906:$AB1906,MATCH("Xero Invoice No",$A$1:$AB$1,0)),"")&amp;""&lt;&gt;"",ISNUMBER(AE1906),AD1906&lt;&gt;0),1,0)</f>
        <v/>
      </c>
      <c r="AG1906" s="55">
        <f>IF(AF1906=1,EOMONTH(AE1906,0),"")</f>
        <v/>
      </c>
      <c r="AH1906" s="9">
        <f>IF(AF1906=1,UPPER(TRIM(IFERROR(INDEX($A1906:$AB1906,MATCH("Client",$A$1:$AB$1,0)),"")&amp;"")),"")</f>
        <v/>
      </c>
      <c r="AI1906" s="9">
        <f>IF(AF1906=1,IFERROR(INDEX($A1906:$AB1906,MATCH("Cost Centre",$A$1:$AB$1,0)),"")&amp;"","")</f>
        <v/>
      </c>
      <c r="AJ1906" s="54">
        <f>IF(AND(AF1906=1,AE1906&gt;=set_FYStart,AE1906&lt;=set_AsAt),1,0)</f>
        <v/>
      </c>
      <c r="AK1906" s="54">
        <f>IF(AND(AJ1906=1,AH1906&lt;&gt;"",COUNTIFS($AH$2:AH1906,AH1906,$AJ$2:AJ1906,1)=1),N(AL1905)+1,"")</f>
        <v/>
      </c>
      <c r="AL1906" s="54">
        <f>IF(AK1906&lt;&gt;"",AK1906,N(AL1905))</f>
        <v/>
      </c>
    </row>
    <row r="1907">
      <c r="A1907" t="inlineStr">
        <is>
          <t>ONS-0636</t>
        </is>
      </c>
      <c r="B1907" t="inlineStr">
        <is>
          <t>Onsite</t>
        </is>
      </c>
      <c r="AB1907" t="n">
        <v>636</v>
      </c>
      <c r="AD1907" s="52">
        <f>IFERROR(N(IFERROR(INDEX($A1907:$AB1907,MATCH("Xero Invoiced Ex GST",$A$1:$AB$1,0)),"")),0)</f>
        <v/>
      </c>
      <c r="AE1907" s="53">
        <f>IFERROR(INDEX($A1907:$AB1907,MATCH("Xero Invoice Date",$A$1:$AB$1,0)),"")</f>
        <v/>
      </c>
      <c r="AF1907" s="54">
        <f>IF(AND(IFERROR(INDEX($A1907:$AB1907,MATCH("Xero Invoice No",$A$1:$AB$1,0)),"")&amp;""&lt;&gt;"",ISNUMBER(AE1907),AD1907&lt;&gt;0),1,0)</f>
        <v/>
      </c>
      <c r="AG1907" s="55">
        <f>IF(AF1907=1,EOMONTH(AE1907,0),"")</f>
        <v/>
      </c>
      <c r="AH1907" s="9">
        <f>IF(AF1907=1,UPPER(TRIM(IFERROR(INDEX($A1907:$AB1907,MATCH("Client",$A$1:$AB$1,0)),"")&amp;"")),"")</f>
        <v/>
      </c>
      <c r="AI1907" s="9">
        <f>IF(AF1907=1,IFERROR(INDEX($A1907:$AB1907,MATCH("Cost Centre",$A$1:$AB$1,0)),"")&amp;"","")</f>
        <v/>
      </c>
      <c r="AJ1907" s="54">
        <f>IF(AND(AF1907=1,AE1907&gt;=set_FYStart,AE1907&lt;=set_AsAt),1,0)</f>
        <v/>
      </c>
      <c r="AK1907" s="54">
        <f>IF(AND(AJ1907=1,AH1907&lt;&gt;"",COUNTIFS($AH$2:AH1907,AH1907,$AJ$2:AJ1907,1)=1),N(AL1906)+1,"")</f>
        <v/>
      </c>
      <c r="AL1907" s="54">
        <f>IF(AK1907&lt;&gt;"",AK1907,N(AL1906))</f>
        <v/>
      </c>
    </row>
    <row r="1908">
      <c r="A1908" t="inlineStr">
        <is>
          <t>PRD-0636</t>
        </is>
      </c>
      <c r="B1908" t="inlineStr">
        <is>
          <t>Production</t>
        </is>
      </c>
      <c r="AB1908" t="n">
        <v>636</v>
      </c>
      <c r="AD1908" s="52">
        <f>IFERROR(N(IFERROR(INDEX($A1908:$AB1908,MATCH("Xero Invoiced Ex GST",$A$1:$AB$1,0)),"")),0)</f>
        <v/>
      </c>
      <c r="AE1908" s="53">
        <f>IFERROR(INDEX($A1908:$AB1908,MATCH("Xero Invoice Date",$A$1:$AB$1,0)),"")</f>
        <v/>
      </c>
      <c r="AF1908" s="54">
        <f>IF(AND(IFERROR(INDEX($A1908:$AB1908,MATCH("Xero Invoice No",$A$1:$AB$1,0)),"")&amp;""&lt;&gt;"",ISNUMBER(AE1908),AD1908&lt;&gt;0),1,0)</f>
        <v/>
      </c>
      <c r="AG1908" s="55">
        <f>IF(AF1908=1,EOMONTH(AE1908,0),"")</f>
        <v/>
      </c>
      <c r="AH1908" s="9">
        <f>IF(AF1908=1,UPPER(TRIM(IFERROR(INDEX($A1908:$AB1908,MATCH("Client",$A$1:$AB$1,0)),"")&amp;"")),"")</f>
        <v/>
      </c>
      <c r="AI1908" s="9">
        <f>IF(AF1908=1,IFERROR(INDEX($A1908:$AB1908,MATCH("Cost Centre",$A$1:$AB$1,0)),"")&amp;"","")</f>
        <v/>
      </c>
      <c r="AJ1908" s="54">
        <f>IF(AND(AF1908=1,AE1908&gt;=set_FYStart,AE1908&lt;=set_AsAt),1,0)</f>
        <v/>
      </c>
      <c r="AK1908" s="54">
        <f>IF(AND(AJ1908=1,AH1908&lt;&gt;"",COUNTIFS($AH$2:AH1908,AH1908,$AJ$2:AJ1908,1)=1),N(AL1907)+1,"")</f>
        <v/>
      </c>
      <c r="AL1908" s="54">
        <f>IF(AK1908&lt;&gt;"",AK1908,N(AL1907))</f>
        <v/>
      </c>
    </row>
    <row r="1909">
      <c r="A1909" t="inlineStr">
        <is>
          <t>CON-0636</t>
        </is>
      </c>
      <c r="B1909" t="inlineStr">
        <is>
          <t>Consulting</t>
        </is>
      </c>
      <c r="AB1909" t="n">
        <v>636</v>
      </c>
      <c r="AD1909" s="52">
        <f>IFERROR(N(IFERROR(INDEX($A1909:$AB1909,MATCH("Xero Invoiced Ex GST",$A$1:$AB$1,0)),"")),0)</f>
        <v/>
      </c>
      <c r="AE1909" s="53">
        <f>IFERROR(INDEX($A1909:$AB1909,MATCH("Xero Invoice Date",$A$1:$AB$1,0)),"")</f>
        <v/>
      </c>
      <c r="AF1909" s="54">
        <f>IF(AND(IFERROR(INDEX($A1909:$AB1909,MATCH("Xero Invoice No",$A$1:$AB$1,0)),"")&amp;""&lt;&gt;"",ISNUMBER(AE1909),AD1909&lt;&gt;0),1,0)</f>
        <v/>
      </c>
      <c r="AG1909" s="55">
        <f>IF(AF1909=1,EOMONTH(AE1909,0),"")</f>
        <v/>
      </c>
      <c r="AH1909" s="9">
        <f>IF(AF1909=1,UPPER(TRIM(IFERROR(INDEX($A1909:$AB1909,MATCH("Client",$A$1:$AB$1,0)),"")&amp;"")),"")</f>
        <v/>
      </c>
      <c r="AI1909" s="9">
        <f>IF(AF1909=1,IFERROR(INDEX($A1909:$AB1909,MATCH("Cost Centre",$A$1:$AB$1,0)),"")&amp;"","")</f>
        <v/>
      </c>
      <c r="AJ1909" s="54">
        <f>IF(AND(AF1909=1,AE1909&gt;=set_FYStart,AE1909&lt;=set_AsAt),1,0)</f>
        <v/>
      </c>
      <c r="AK1909" s="54">
        <f>IF(AND(AJ1909=1,AH1909&lt;&gt;"",COUNTIFS($AH$2:AH1909,AH1909,$AJ$2:AJ1909,1)=1),N(AL1908)+1,"")</f>
        <v/>
      </c>
      <c r="AL1909" s="54">
        <f>IF(AK1909&lt;&gt;"",AK1909,N(AL1908))</f>
        <v/>
      </c>
    </row>
    <row r="1910">
      <c r="A1910" t="inlineStr">
        <is>
          <t>ONS-0637</t>
        </is>
      </c>
      <c r="B1910" t="inlineStr">
        <is>
          <t>Onsite</t>
        </is>
      </c>
      <c r="AB1910" t="n">
        <v>637</v>
      </c>
      <c r="AD1910" s="52">
        <f>IFERROR(N(IFERROR(INDEX($A1910:$AB1910,MATCH("Xero Invoiced Ex GST",$A$1:$AB$1,0)),"")),0)</f>
        <v/>
      </c>
      <c r="AE1910" s="53">
        <f>IFERROR(INDEX($A1910:$AB1910,MATCH("Xero Invoice Date",$A$1:$AB$1,0)),"")</f>
        <v/>
      </c>
      <c r="AF1910" s="54">
        <f>IF(AND(IFERROR(INDEX($A1910:$AB1910,MATCH("Xero Invoice No",$A$1:$AB$1,0)),"")&amp;""&lt;&gt;"",ISNUMBER(AE1910),AD1910&lt;&gt;0),1,0)</f>
        <v/>
      </c>
      <c r="AG1910" s="55">
        <f>IF(AF1910=1,EOMONTH(AE1910,0),"")</f>
        <v/>
      </c>
      <c r="AH1910" s="9">
        <f>IF(AF1910=1,UPPER(TRIM(IFERROR(INDEX($A1910:$AB1910,MATCH("Client",$A$1:$AB$1,0)),"")&amp;"")),"")</f>
        <v/>
      </c>
      <c r="AI1910" s="9">
        <f>IF(AF1910=1,IFERROR(INDEX($A1910:$AB1910,MATCH("Cost Centre",$A$1:$AB$1,0)),"")&amp;"","")</f>
        <v/>
      </c>
      <c r="AJ1910" s="54">
        <f>IF(AND(AF1910=1,AE1910&gt;=set_FYStart,AE1910&lt;=set_AsAt),1,0)</f>
        <v/>
      </c>
      <c r="AK1910" s="54">
        <f>IF(AND(AJ1910=1,AH1910&lt;&gt;"",COUNTIFS($AH$2:AH1910,AH1910,$AJ$2:AJ1910,1)=1),N(AL1909)+1,"")</f>
        <v/>
      </c>
      <c r="AL1910" s="54">
        <f>IF(AK1910&lt;&gt;"",AK1910,N(AL1909))</f>
        <v/>
      </c>
    </row>
    <row r="1911">
      <c r="A1911" t="inlineStr">
        <is>
          <t>PRD-0637</t>
        </is>
      </c>
      <c r="B1911" t="inlineStr">
        <is>
          <t>Production</t>
        </is>
      </c>
      <c r="AB1911" t="n">
        <v>637</v>
      </c>
      <c r="AD1911" s="52">
        <f>IFERROR(N(IFERROR(INDEX($A1911:$AB1911,MATCH("Xero Invoiced Ex GST",$A$1:$AB$1,0)),"")),0)</f>
        <v/>
      </c>
      <c r="AE1911" s="53">
        <f>IFERROR(INDEX($A1911:$AB1911,MATCH("Xero Invoice Date",$A$1:$AB$1,0)),"")</f>
        <v/>
      </c>
      <c r="AF1911" s="54">
        <f>IF(AND(IFERROR(INDEX($A1911:$AB1911,MATCH("Xero Invoice No",$A$1:$AB$1,0)),"")&amp;""&lt;&gt;"",ISNUMBER(AE1911),AD1911&lt;&gt;0),1,0)</f>
        <v/>
      </c>
      <c r="AG1911" s="55">
        <f>IF(AF1911=1,EOMONTH(AE1911,0),"")</f>
        <v/>
      </c>
      <c r="AH1911" s="9">
        <f>IF(AF1911=1,UPPER(TRIM(IFERROR(INDEX($A1911:$AB1911,MATCH("Client",$A$1:$AB$1,0)),"")&amp;"")),"")</f>
        <v/>
      </c>
      <c r="AI1911" s="9">
        <f>IF(AF1911=1,IFERROR(INDEX($A1911:$AB1911,MATCH("Cost Centre",$A$1:$AB$1,0)),"")&amp;"","")</f>
        <v/>
      </c>
      <c r="AJ1911" s="54">
        <f>IF(AND(AF1911=1,AE1911&gt;=set_FYStart,AE1911&lt;=set_AsAt),1,0)</f>
        <v/>
      </c>
      <c r="AK1911" s="54">
        <f>IF(AND(AJ1911=1,AH1911&lt;&gt;"",COUNTIFS($AH$2:AH1911,AH1911,$AJ$2:AJ1911,1)=1),N(AL1910)+1,"")</f>
        <v/>
      </c>
      <c r="AL1911" s="54">
        <f>IF(AK1911&lt;&gt;"",AK1911,N(AL1910))</f>
        <v/>
      </c>
    </row>
    <row r="1912">
      <c r="A1912" t="inlineStr">
        <is>
          <t>CON-0637</t>
        </is>
      </c>
      <c r="B1912" t="inlineStr">
        <is>
          <t>Consulting</t>
        </is>
      </c>
      <c r="AB1912" t="n">
        <v>637</v>
      </c>
      <c r="AD1912" s="52">
        <f>IFERROR(N(IFERROR(INDEX($A1912:$AB1912,MATCH("Xero Invoiced Ex GST",$A$1:$AB$1,0)),"")),0)</f>
        <v/>
      </c>
      <c r="AE1912" s="53">
        <f>IFERROR(INDEX($A1912:$AB1912,MATCH("Xero Invoice Date",$A$1:$AB$1,0)),"")</f>
        <v/>
      </c>
      <c r="AF1912" s="54">
        <f>IF(AND(IFERROR(INDEX($A1912:$AB1912,MATCH("Xero Invoice No",$A$1:$AB$1,0)),"")&amp;""&lt;&gt;"",ISNUMBER(AE1912),AD1912&lt;&gt;0),1,0)</f>
        <v/>
      </c>
      <c r="AG1912" s="55">
        <f>IF(AF1912=1,EOMONTH(AE1912,0),"")</f>
        <v/>
      </c>
      <c r="AH1912" s="9">
        <f>IF(AF1912=1,UPPER(TRIM(IFERROR(INDEX($A1912:$AB1912,MATCH("Client",$A$1:$AB$1,0)),"")&amp;"")),"")</f>
        <v/>
      </c>
      <c r="AI1912" s="9">
        <f>IF(AF1912=1,IFERROR(INDEX($A1912:$AB1912,MATCH("Cost Centre",$A$1:$AB$1,0)),"")&amp;"","")</f>
        <v/>
      </c>
      <c r="AJ1912" s="54">
        <f>IF(AND(AF1912=1,AE1912&gt;=set_FYStart,AE1912&lt;=set_AsAt),1,0)</f>
        <v/>
      </c>
      <c r="AK1912" s="54">
        <f>IF(AND(AJ1912=1,AH1912&lt;&gt;"",COUNTIFS($AH$2:AH1912,AH1912,$AJ$2:AJ1912,1)=1),N(AL1911)+1,"")</f>
        <v/>
      </c>
      <c r="AL1912" s="54">
        <f>IF(AK1912&lt;&gt;"",AK1912,N(AL1911))</f>
        <v/>
      </c>
    </row>
    <row r="1913">
      <c r="A1913" t="inlineStr">
        <is>
          <t>ONS-0638</t>
        </is>
      </c>
      <c r="B1913" t="inlineStr">
        <is>
          <t>Onsite</t>
        </is>
      </c>
      <c r="AB1913" t="n">
        <v>638</v>
      </c>
      <c r="AD1913" s="52">
        <f>IFERROR(N(IFERROR(INDEX($A1913:$AB1913,MATCH("Xero Invoiced Ex GST",$A$1:$AB$1,0)),"")),0)</f>
        <v/>
      </c>
      <c r="AE1913" s="53">
        <f>IFERROR(INDEX($A1913:$AB1913,MATCH("Xero Invoice Date",$A$1:$AB$1,0)),"")</f>
        <v/>
      </c>
      <c r="AF1913" s="54">
        <f>IF(AND(IFERROR(INDEX($A1913:$AB1913,MATCH("Xero Invoice No",$A$1:$AB$1,0)),"")&amp;""&lt;&gt;"",ISNUMBER(AE1913),AD1913&lt;&gt;0),1,0)</f>
        <v/>
      </c>
      <c r="AG1913" s="55">
        <f>IF(AF1913=1,EOMONTH(AE1913,0),"")</f>
        <v/>
      </c>
      <c r="AH1913" s="9">
        <f>IF(AF1913=1,UPPER(TRIM(IFERROR(INDEX($A1913:$AB1913,MATCH("Client",$A$1:$AB$1,0)),"")&amp;"")),"")</f>
        <v/>
      </c>
      <c r="AI1913" s="9">
        <f>IF(AF1913=1,IFERROR(INDEX($A1913:$AB1913,MATCH("Cost Centre",$A$1:$AB$1,0)),"")&amp;"","")</f>
        <v/>
      </c>
      <c r="AJ1913" s="54">
        <f>IF(AND(AF1913=1,AE1913&gt;=set_FYStart,AE1913&lt;=set_AsAt),1,0)</f>
        <v/>
      </c>
      <c r="AK1913" s="54">
        <f>IF(AND(AJ1913=1,AH1913&lt;&gt;"",COUNTIFS($AH$2:AH1913,AH1913,$AJ$2:AJ1913,1)=1),N(AL1912)+1,"")</f>
        <v/>
      </c>
      <c r="AL1913" s="54">
        <f>IF(AK1913&lt;&gt;"",AK1913,N(AL1912))</f>
        <v/>
      </c>
    </row>
    <row r="1914">
      <c r="A1914" t="inlineStr">
        <is>
          <t>PRD-0638</t>
        </is>
      </c>
      <c r="B1914" t="inlineStr">
        <is>
          <t>Production</t>
        </is>
      </c>
      <c r="AB1914" t="n">
        <v>638</v>
      </c>
      <c r="AD1914" s="52">
        <f>IFERROR(N(IFERROR(INDEX($A1914:$AB1914,MATCH("Xero Invoiced Ex GST",$A$1:$AB$1,0)),"")),0)</f>
        <v/>
      </c>
      <c r="AE1914" s="53">
        <f>IFERROR(INDEX($A1914:$AB1914,MATCH("Xero Invoice Date",$A$1:$AB$1,0)),"")</f>
        <v/>
      </c>
      <c r="AF1914" s="54">
        <f>IF(AND(IFERROR(INDEX($A1914:$AB1914,MATCH("Xero Invoice No",$A$1:$AB$1,0)),"")&amp;""&lt;&gt;"",ISNUMBER(AE1914),AD1914&lt;&gt;0),1,0)</f>
        <v/>
      </c>
      <c r="AG1914" s="55">
        <f>IF(AF1914=1,EOMONTH(AE1914,0),"")</f>
        <v/>
      </c>
      <c r="AH1914" s="9">
        <f>IF(AF1914=1,UPPER(TRIM(IFERROR(INDEX($A1914:$AB1914,MATCH("Client",$A$1:$AB$1,0)),"")&amp;"")),"")</f>
        <v/>
      </c>
      <c r="AI1914" s="9">
        <f>IF(AF1914=1,IFERROR(INDEX($A1914:$AB1914,MATCH("Cost Centre",$A$1:$AB$1,0)),"")&amp;"","")</f>
        <v/>
      </c>
      <c r="AJ1914" s="54">
        <f>IF(AND(AF1914=1,AE1914&gt;=set_FYStart,AE1914&lt;=set_AsAt),1,0)</f>
        <v/>
      </c>
      <c r="AK1914" s="54">
        <f>IF(AND(AJ1914=1,AH1914&lt;&gt;"",COUNTIFS($AH$2:AH1914,AH1914,$AJ$2:AJ1914,1)=1),N(AL1913)+1,"")</f>
        <v/>
      </c>
      <c r="AL1914" s="54">
        <f>IF(AK1914&lt;&gt;"",AK1914,N(AL1913))</f>
        <v/>
      </c>
    </row>
    <row r="1915">
      <c r="A1915" t="inlineStr">
        <is>
          <t>CON-0638</t>
        </is>
      </c>
      <c r="B1915" t="inlineStr">
        <is>
          <t>Consulting</t>
        </is>
      </c>
      <c r="AB1915" t="n">
        <v>638</v>
      </c>
      <c r="AD1915" s="52">
        <f>IFERROR(N(IFERROR(INDEX($A1915:$AB1915,MATCH("Xero Invoiced Ex GST",$A$1:$AB$1,0)),"")),0)</f>
        <v/>
      </c>
      <c r="AE1915" s="53">
        <f>IFERROR(INDEX($A1915:$AB1915,MATCH("Xero Invoice Date",$A$1:$AB$1,0)),"")</f>
        <v/>
      </c>
      <c r="AF1915" s="54">
        <f>IF(AND(IFERROR(INDEX($A1915:$AB1915,MATCH("Xero Invoice No",$A$1:$AB$1,0)),"")&amp;""&lt;&gt;"",ISNUMBER(AE1915),AD1915&lt;&gt;0),1,0)</f>
        <v/>
      </c>
      <c r="AG1915" s="55">
        <f>IF(AF1915=1,EOMONTH(AE1915,0),"")</f>
        <v/>
      </c>
      <c r="AH1915" s="9">
        <f>IF(AF1915=1,UPPER(TRIM(IFERROR(INDEX($A1915:$AB1915,MATCH("Client",$A$1:$AB$1,0)),"")&amp;"")),"")</f>
        <v/>
      </c>
      <c r="AI1915" s="9">
        <f>IF(AF1915=1,IFERROR(INDEX($A1915:$AB1915,MATCH("Cost Centre",$A$1:$AB$1,0)),"")&amp;"","")</f>
        <v/>
      </c>
      <c r="AJ1915" s="54">
        <f>IF(AND(AF1915=1,AE1915&gt;=set_FYStart,AE1915&lt;=set_AsAt),1,0)</f>
        <v/>
      </c>
      <c r="AK1915" s="54">
        <f>IF(AND(AJ1915=1,AH1915&lt;&gt;"",COUNTIFS($AH$2:AH1915,AH1915,$AJ$2:AJ1915,1)=1),N(AL1914)+1,"")</f>
        <v/>
      </c>
      <c r="AL1915" s="54">
        <f>IF(AK1915&lt;&gt;"",AK1915,N(AL1914))</f>
        <v/>
      </c>
    </row>
    <row r="1916">
      <c r="A1916" t="inlineStr">
        <is>
          <t>ONS-0639</t>
        </is>
      </c>
      <c r="B1916" t="inlineStr">
        <is>
          <t>Onsite</t>
        </is>
      </c>
      <c r="AB1916" t="n">
        <v>639</v>
      </c>
      <c r="AD1916" s="52">
        <f>IFERROR(N(IFERROR(INDEX($A1916:$AB1916,MATCH("Xero Invoiced Ex GST",$A$1:$AB$1,0)),"")),0)</f>
        <v/>
      </c>
      <c r="AE1916" s="53">
        <f>IFERROR(INDEX($A1916:$AB1916,MATCH("Xero Invoice Date",$A$1:$AB$1,0)),"")</f>
        <v/>
      </c>
      <c r="AF1916" s="54">
        <f>IF(AND(IFERROR(INDEX($A1916:$AB1916,MATCH("Xero Invoice No",$A$1:$AB$1,0)),"")&amp;""&lt;&gt;"",ISNUMBER(AE1916),AD1916&lt;&gt;0),1,0)</f>
        <v/>
      </c>
      <c r="AG1916" s="55">
        <f>IF(AF1916=1,EOMONTH(AE1916,0),"")</f>
        <v/>
      </c>
      <c r="AH1916" s="9">
        <f>IF(AF1916=1,UPPER(TRIM(IFERROR(INDEX($A1916:$AB1916,MATCH("Client",$A$1:$AB$1,0)),"")&amp;"")),"")</f>
        <v/>
      </c>
      <c r="AI1916" s="9">
        <f>IF(AF1916=1,IFERROR(INDEX($A1916:$AB1916,MATCH("Cost Centre",$A$1:$AB$1,0)),"")&amp;"","")</f>
        <v/>
      </c>
      <c r="AJ1916" s="54">
        <f>IF(AND(AF1916=1,AE1916&gt;=set_FYStart,AE1916&lt;=set_AsAt),1,0)</f>
        <v/>
      </c>
      <c r="AK1916" s="54">
        <f>IF(AND(AJ1916=1,AH1916&lt;&gt;"",COUNTIFS($AH$2:AH1916,AH1916,$AJ$2:AJ1916,1)=1),N(AL1915)+1,"")</f>
        <v/>
      </c>
      <c r="AL1916" s="54">
        <f>IF(AK1916&lt;&gt;"",AK1916,N(AL1915))</f>
        <v/>
      </c>
    </row>
    <row r="1917">
      <c r="A1917" t="inlineStr">
        <is>
          <t>PRD-0639</t>
        </is>
      </c>
      <c r="B1917" t="inlineStr">
        <is>
          <t>Production</t>
        </is>
      </c>
      <c r="AB1917" t="n">
        <v>639</v>
      </c>
      <c r="AD1917" s="52">
        <f>IFERROR(N(IFERROR(INDEX($A1917:$AB1917,MATCH("Xero Invoiced Ex GST",$A$1:$AB$1,0)),"")),0)</f>
        <v/>
      </c>
      <c r="AE1917" s="53">
        <f>IFERROR(INDEX($A1917:$AB1917,MATCH("Xero Invoice Date",$A$1:$AB$1,0)),"")</f>
        <v/>
      </c>
      <c r="AF1917" s="54">
        <f>IF(AND(IFERROR(INDEX($A1917:$AB1917,MATCH("Xero Invoice No",$A$1:$AB$1,0)),"")&amp;""&lt;&gt;"",ISNUMBER(AE1917),AD1917&lt;&gt;0),1,0)</f>
        <v/>
      </c>
      <c r="AG1917" s="55">
        <f>IF(AF1917=1,EOMONTH(AE1917,0),"")</f>
        <v/>
      </c>
      <c r="AH1917" s="9">
        <f>IF(AF1917=1,UPPER(TRIM(IFERROR(INDEX($A1917:$AB1917,MATCH("Client",$A$1:$AB$1,0)),"")&amp;"")),"")</f>
        <v/>
      </c>
      <c r="AI1917" s="9">
        <f>IF(AF1917=1,IFERROR(INDEX($A1917:$AB1917,MATCH("Cost Centre",$A$1:$AB$1,0)),"")&amp;"","")</f>
        <v/>
      </c>
      <c r="AJ1917" s="54">
        <f>IF(AND(AF1917=1,AE1917&gt;=set_FYStart,AE1917&lt;=set_AsAt),1,0)</f>
        <v/>
      </c>
      <c r="AK1917" s="54">
        <f>IF(AND(AJ1917=1,AH1917&lt;&gt;"",COUNTIFS($AH$2:AH1917,AH1917,$AJ$2:AJ1917,1)=1),N(AL1916)+1,"")</f>
        <v/>
      </c>
      <c r="AL1917" s="54">
        <f>IF(AK1917&lt;&gt;"",AK1917,N(AL1916))</f>
        <v/>
      </c>
    </row>
    <row r="1918">
      <c r="A1918" t="inlineStr">
        <is>
          <t>CON-0639</t>
        </is>
      </c>
      <c r="B1918" t="inlineStr">
        <is>
          <t>Consulting</t>
        </is>
      </c>
      <c r="AB1918" t="n">
        <v>639</v>
      </c>
      <c r="AD1918" s="52">
        <f>IFERROR(N(IFERROR(INDEX($A1918:$AB1918,MATCH("Xero Invoiced Ex GST",$A$1:$AB$1,0)),"")),0)</f>
        <v/>
      </c>
      <c r="AE1918" s="53">
        <f>IFERROR(INDEX($A1918:$AB1918,MATCH("Xero Invoice Date",$A$1:$AB$1,0)),"")</f>
        <v/>
      </c>
      <c r="AF1918" s="54">
        <f>IF(AND(IFERROR(INDEX($A1918:$AB1918,MATCH("Xero Invoice No",$A$1:$AB$1,0)),"")&amp;""&lt;&gt;"",ISNUMBER(AE1918),AD1918&lt;&gt;0),1,0)</f>
        <v/>
      </c>
      <c r="AG1918" s="55">
        <f>IF(AF1918=1,EOMONTH(AE1918,0),"")</f>
        <v/>
      </c>
      <c r="AH1918" s="9">
        <f>IF(AF1918=1,UPPER(TRIM(IFERROR(INDEX($A1918:$AB1918,MATCH("Client",$A$1:$AB$1,0)),"")&amp;"")),"")</f>
        <v/>
      </c>
      <c r="AI1918" s="9">
        <f>IF(AF1918=1,IFERROR(INDEX($A1918:$AB1918,MATCH("Cost Centre",$A$1:$AB$1,0)),"")&amp;"","")</f>
        <v/>
      </c>
      <c r="AJ1918" s="54">
        <f>IF(AND(AF1918=1,AE1918&gt;=set_FYStart,AE1918&lt;=set_AsAt),1,0)</f>
        <v/>
      </c>
      <c r="AK1918" s="54">
        <f>IF(AND(AJ1918=1,AH1918&lt;&gt;"",COUNTIFS($AH$2:AH1918,AH1918,$AJ$2:AJ1918,1)=1),N(AL1917)+1,"")</f>
        <v/>
      </c>
      <c r="AL1918" s="54">
        <f>IF(AK1918&lt;&gt;"",AK1918,N(AL1917))</f>
        <v/>
      </c>
    </row>
    <row r="1919">
      <c r="A1919" t="inlineStr">
        <is>
          <t>ONS-0640</t>
        </is>
      </c>
      <c r="B1919" t="inlineStr">
        <is>
          <t>Onsite</t>
        </is>
      </c>
      <c r="AB1919" t="n">
        <v>640</v>
      </c>
      <c r="AD1919" s="52">
        <f>IFERROR(N(IFERROR(INDEX($A1919:$AB1919,MATCH("Xero Invoiced Ex GST",$A$1:$AB$1,0)),"")),0)</f>
        <v/>
      </c>
      <c r="AE1919" s="53">
        <f>IFERROR(INDEX($A1919:$AB1919,MATCH("Xero Invoice Date",$A$1:$AB$1,0)),"")</f>
        <v/>
      </c>
      <c r="AF1919" s="54">
        <f>IF(AND(IFERROR(INDEX($A1919:$AB1919,MATCH("Xero Invoice No",$A$1:$AB$1,0)),"")&amp;""&lt;&gt;"",ISNUMBER(AE1919),AD1919&lt;&gt;0),1,0)</f>
        <v/>
      </c>
      <c r="AG1919" s="55">
        <f>IF(AF1919=1,EOMONTH(AE1919,0),"")</f>
        <v/>
      </c>
      <c r="AH1919" s="9">
        <f>IF(AF1919=1,UPPER(TRIM(IFERROR(INDEX($A1919:$AB1919,MATCH("Client",$A$1:$AB$1,0)),"")&amp;"")),"")</f>
        <v/>
      </c>
      <c r="AI1919" s="9">
        <f>IF(AF1919=1,IFERROR(INDEX($A1919:$AB1919,MATCH("Cost Centre",$A$1:$AB$1,0)),"")&amp;"","")</f>
        <v/>
      </c>
      <c r="AJ1919" s="54">
        <f>IF(AND(AF1919=1,AE1919&gt;=set_FYStart,AE1919&lt;=set_AsAt),1,0)</f>
        <v/>
      </c>
      <c r="AK1919" s="54">
        <f>IF(AND(AJ1919=1,AH1919&lt;&gt;"",COUNTIFS($AH$2:AH1919,AH1919,$AJ$2:AJ1919,1)=1),N(AL1918)+1,"")</f>
        <v/>
      </c>
      <c r="AL1919" s="54">
        <f>IF(AK1919&lt;&gt;"",AK1919,N(AL1918))</f>
        <v/>
      </c>
    </row>
    <row r="1920">
      <c r="A1920" t="inlineStr">
        <is>
          <t>PRD-0640</t>
        </is>
      </c>
      <c r="B1920" t="inlineStr">
        <is>
          <t>Production</t>
        </is>
      </c>
      <c r="AB1920" t="n">
        <v>640</v>
      </c>
      <c r="AD1920" s="52">
        <f>IFERROR(N(IFERROR(INDEX($A1920:$AB1920,MATCH("Xero Invoiced Ex GST",$A$1:$AB$1,0)),"")),0)</f>
        <v/>
      </c>
      <c r="AE1920" s="53">
        <f>IFERROR(INDEX($A1920:$AB1920,MATCH("Xero Invoice Date",$A$1:$AB$1,0)),"")</f>
        <v/>
      </c>
      <c r="AF1920" s="54">
        <f>IF(AND(IFERROR(INDEX($A1920:$AB1920,MATCH("Xero Invoice No",$A$1:$AB$1,0)),"")&amp;""&lt;&gt;"",ISNUMBER(AE1920),AD1920&lt;&gt;0),1,0)</f>
        <v/>
      </c>
      <c r="AG1920" s="55">
        <f>IF(AF1920=1,EOMONTH(AE1920,0),"")</f>
        <v/>
      </c>
      <c r="AH1920" s="9">
        <f>IF(AF1920=1,UPPER(TRIM(IFERROR(INDEX($A1920:$AB1920,MATCH("Client",$A$1:$AB$1,0)),"")&amp;"")),"")</f>
        <v/>
      </c>
      <c r="AI1920" s="9">
        <f>IF(AF1920=1,IFERROR(INDEX($A1920:$AB1920,MATCH("Cost Centre",$A$1:$AB$1,0)),"")&amp;"","")</f>
        <v/>
      </c>
      <c r="AJ1920" s="54">
        <f>IF(AND(AF1920=1,AE1920&gt;=set_FYStart,AE1920&lt;=set_AsAt),1,0)</f>
        <v/>
      </c>
      <c r="AK1920" s="54">
        <f>IF(AND(AJ1920=1,AH1920&lt;&gt;"",COUNTIFS($AH$2:AH1920,AH1920,$AJ$2:AJ1920,1)=1),N(AL1919)+1,"")</f>
        <v/>
      </c>
      <c r="AL1920" s="54">
        <f>IF(AK1920&lt;&gt;"",AK1920,N(AL1919))</f>
        <v/>
      </c>
    </row>
    <row r="1921">
      <c r="A1921" t="inlineStr">
        <is>
          <t>CON-0640</t>
        </is>
      </c>
      <c r="B1921" t="inlineStr">
        <is>
          <t>Consulting</t>
        </is>
      </c>
      <c r="AB1921" t="n">
        <v>640</v>
      </c>
      <c r="AD1921" s="52">
        <f>IFERROR(N(IFERROR(INDEX($A1921:$AB1921,MATCH("Xero Invoiced Ex GST",$A$1:$AB$1,0)),"")),0)</f>
        <v/>
      </c>
      <c r="AE1921" s="53">
        <f>IFERROR(INDEX($A1921:$AB1921,MATCH("Xero Invoice Date",$A$1:$AB$1,0)),"")</f>
        <v/>
      </c>
      <c r="AF1921" s="54">
        <f>IF(AND(IFERROR(INDEX($A1921:$AB1921,MATCH("Xero Invoice No",$A$1:$AB$1,0)),"")&amp;""&lt;&gt;"",ISNUMBER(AE1921),AD1921&lt;&gt;0),1,0)</f>
        <v/>
      </c>
      <c r="AG1921" s="55">
        <f>IF(AF1921=1,EOMONTH(AE1921,0),"")</f>
        <v/>
      </c>
      <c r="AH1921" s="9">
        <f>IF(AF1921=1,UPPER(TRIM(IFERROR(INDEX($A1921:$AB1921,MATCH("Client",$A$1:$AB$1,0)),"")&amp;"")),"")</f>
        <v/>
      </c>
      <c r="AI1921" s="9">
        <f>IF(AF1921=1,IFERROR(INDEX($A1921:$AB1921,MATCH("Cost Centre",$A$1:$AB$1,0)),"")&amp;"","")</f>
        <v/>
      </c>
      <c r="AJ1921" s="54">
        <f>IF(AND(AF1921=1,AE1921&gt;=set_FYStart,AE1921&lt;=set_AsAt),1,0)</f>
        <v/>
      </c>
      <c r="AK1921" s="54">
        <f>IF(AND(AJ1921=1,AH1921&lt;&gt;"",COUNTIFS($AH$2:AH1921,AH1921,$AJ$2:AJ1921,1)=1),N(AL1920)+1,"")</f>
        <v/>
      </c>
      <c r="AL1921" s="54">
        <f>IF(AK1921&lt;&gt;"",AK1921,N(AL1920))</f>
        <v/>
      </c>
    </row>
    <row r="1922">
      <c r="A1922" t="inlineStr">
        <is>
          <t>ONS-0641</t>
        </is>
      </c>
      <c r="B1922" t="inlineStr">
        <is>
          <t>Onsite</t>
        </is>
      </c>
      <c r="AB1922" t="n">
        <v>641</v>
      </c>
      <c r="AD1922" s="52">
        <f>IFERROR(N(IFERROR(INDEX($A1922:$AB1922,MATCH("Xero Invoiced Ex GST",$A$1:$AB$1,0)),"")),0)</f>
        <v/>
      </c>
      <c r="AE1922" s="53">
        <f>IFERROR(INDEX($A1922:$AB1922,MATCH("Xero Invoice Date",$A$1:$AB$1,0)),"")</f>
        <v/>
      </c>
      <c r="AF1922" s="54">
        <f>IF(AND(IFERROR(INDEX($A1922:$AB1922,MATCH("Xero Invoice No",$A$1:$AB$1,0)),"")&amp;""&lt;&gt;"",ISNUMBER(AE1922),AD1922&lt;&gt;0),1,0)</f>
        <v/>
      </c>
      <c r="AG1922" s="55">
        <f>IF(AF1922=1,EOMONTH(AE1922,0),"")</f>
        <v/>
      </c>
      <c r="AH1922" s="9">
        <f>IF(AF1922=1,UPPER(TRIM(IFERROR(INDEX($A1922:$AB1922,MATCH("Client",$A$1:$AB$1,0)),"")&amp;"")),"")</f>
        <v/>
      </c>
      <c r="AI1922" s="9">
        <f>IF(AF1922=1,IFERROR(INDEX($A1922:$AB1922,MATCH("Cost Centre",$A$1:$AB$1,0)),"")&amp;"","")</f>
        <v/>
      </c>
      <c r="AJ1922" s="54">
        <f>IF(AND(AF1922=1,AE1922&gt;=set_FYStart,AE1922&lt;=set_AsAt),1,0)</f>
        <v/>
      </c>
      <c r="AK1922" s="54">
        <f>IF(AND(AJ1922=1,AH1922&lt;&gt;"",COUNTIFS($AH$2:AH1922,AH1922,$AJ$2:AJ1922,1)=1),N(AL1921)+1,"")</f>
        <v/>
      </c>
      <c r="AL1922" s="54">
        <f>IF(AK1922&lt;&gt;"",AK1922,N(AL1921))</f>
        <v/>
      </c>
    </row>
    <row r="1923">
      <c r="A1923" t="inlineStr">
        <is>
          <t>PRD-0641</t>
        </is>
      </c>
      <c r="B1923" t="inlineStr">
        <is>
          <t>Production</t>
        </is>
      </c>
      <c r="AB1923" t="n">
        <v>641</v>
      </c>
      <c r="AD1923" s="52">
        <f>IFERROR(N(IFERROR(INDEX($A1923:$AB1923,MATCH("Xero Invoiced Ex GST",$A$1:$AB$1,0)),"")),0)</f>
        <v/>
      </c>
      <c r="AE1923" s="53">
        <f>IFERROR(INDEX($A1923:$AB1923,MATCH("Xero Invoice Date",$A$1:$AB$1,0)),"")</f>
        <v/>
      </c>
      <c r="AF1923" s="54">
        <f>IF(AND(IFERROR(INDEX($A1923:$AB1923,MATCH("Xero Invoice No",$A$1:$AB$1,0)),"")&amp;""&lt;&gt;"",ISNUMBER(AE1923),AD1923&lt;&gt;0),1,0)</f>
        <v/>
      </c>
      <c r="AG1923" s="55">
        <f>IF(AF1923=1,EOMONTH(AE1923,0),"")</f>
        <v/>
      </c>
      <c r="AH1923" s="9">
        <f>IF(AF1923=1,UPPER(TRIM(IFERROR(INDEX($A1923:$AB1923,MATCH("Client",$A$1:$AB$1,0)),"")&amp;"")),"")</f>
        <v/>
      </c>
      <c r="AI1923" s="9">
        <f>IF(AF1923=1,IFERROR(INDEX($A1923:$AB1923,MATCH("Cost Centre",$A$1:$AB$1,0)),"")&amp;"","")</f>
        <v/>
      </c>
      <c r="AJ1923" s="54">
        <f>IF(AND(AF1923=1,AE1923&gt;=set_FYStart,AE1923&lt;=set_AsAt),1,0)</f>
        <v/>
      </c>
      <c r="AK1923" s="54">
        <f>IF(AND(AJ1923=1,AH1923&lt;&gt;"",COUNTIFS($AH$2:AH1923,AH1923,$AJ$2:AJ1923,1)=1),N(AL1922)+1,"")</f>
        <v/>
      </c>
      <c r="AL1923" s="54">
        <f>IF(AK1923&lt;&gt;"",AK1923,N(AL1922))</f>
        <v/>
      </c>
    </row>
    <row r="1924">
      <c r="A1924" t="inlineStr">
        <is>
          <t>CON-0641</t>
        </is>
      </c>
      <c r="B1924" t="inlineStr">
        <is>
          <t>Consulting</t>
        </is>
      </c>
      <c r="AB1924" t="n">
        <v>641</v>
      </c>
      <c r="AD1924" s="52">
        <f>IFERROR(N(IFERROR(INDEX($A1924:$AB1924,MATCH("Xero Invoiced Ex GST",$A$1:$AB$1,0)),"")),0)</f>
        <v/>
      </c>
      <c r="AE1924" s="53">
        <f>IFERROR(INDEX($A1924:$AB1924,MATCH("Xero Invoice Date",$A$1:$AB$1,0)),"")</f>
        <v/>
      </c>
      <c r="AF1924" s="54">
        <f>IF(AND(IFERROR(INDEX($A1924:$AB1924,MATCH("Xero Invoice No",$A$1:$AB$1,0)),"")&amp;""&lt;&gt;"",ISNUMBER(AE1924),AD1924&lt;&gt;0),1,0)</f>
        <v/>
      </c>
      <c r="AG1924" s="55">
        <f>IF(AF1924=1,EOMONTH(AE1924,0),"")</f>
        <v/>
      </c>
      <c r="AH1924" s="9">
        <f>IF(AF1924=1,UPPER(TRIM(IFERROR(INDEX($A1924:$AB1924,MATCH("Client",$A$1:$AB$1,0)),"")&amp;"")),"")</f>
        <v/>
      </c>
      <c r="AI1924" s="9">
        <f>IF(AF1924=1,IFERROR(INDEX($A1924:$AB1924,MATCH("Cost Centre",$A$1:$AB$1,0)),"")&amp;"","")</f>
        <v/>
      </c>
      <c r="AJ1924" s="54">
        <f>IF(AND(AF1924=1,AE1924&gt;=set_FYStart,AE1924&lt;=set_AsAt),1,0)</f>
        <v/>
      </c>
      <c r="AK1924" s="54">
        <f>IF(AND(AJ1924=1,AH1924&lt;&gt;"",COUNTIFS($AH$2:AH1924,AH1924,$AJ$2:AJ1924,1)=1),N(AL1923)+1,"")</f>
        <v/>
      </c>
      <c r="AL1924" s="54">
        <f>IF(AK1924&lt;&gt;"",AK1924,N(AL1923))</f>
        <v/>
      </c>
    </row>
    <row r="1925">
      <c r="A1925" t="inlineStr">
        <is>
          <t>ONS-0642</t>
        </is>
      </c>
      <c r="B1925" t="inlineStr">
        <is>
          <t>Onsite</t>
        </is>
      </c>
      <c r="AB1925" t="n">
        <v>642</v>
      </c>
      <c r="AD1925" s="52">
        <f>IFERROR(N(IFERROR(INDEX($A1925:$AB1925,MATCH("Xero Invoiced Ex GST",$A$1:$AB$1,0)),"")),0)</f>
        <v/>
      </c>
      <c r="AE1925" s="53">
        <f>IFERROR(INDEX($A1925:$AB1925,MATCH("Xero Invoice Date",$A$1:$AB$1,0)),"")</f>
        <v/>
      </c>
      <c r="AF1925" s="54">
        <f>IF(AND(IFERROR(INDEX($A1925:$AB1925,MATCH("Xero Invoice No",$A$1:$AB$1,0)),"")&amp;""&lt;&gt;"",ISNUMBER(AE1925),AD1925&lt;&gt;0),1,0)</f>
        <v/>
      </c>
      <c r="AG1925" s="55">
        <f>IF(AF1925=1,EOMONTH(AE1925,0),"")</f>
        <v/>
      </c>
      <c r="AH1925" s="9">
        <f>IF(AF1925=1,UPPER(TRIM(IFERROR(INDEX($A1925:$AB1925,MATCH("Client",$A$1:$AB$1,0)),"")&amp;"")),"")</f>
        <v/>
      </c>
      <c r="AI1925" s="9">
        <f>IF(AF1925=1,IFERROR(INDEX($A1925:$AB1925,MATCH("Cost Centre",$A$1:$AB$1,0)),"")&amp;"","")</f>
        <v/>
      </c>
      <c r="AJ1925" s="54">
        <f>IF(AND(AF1925=1,AE1925&gt;=set_FYStart,AE1925&lt;=set_AsAt),1,0)</f>
        <v/>
      </c>
      <c r="AK1925" s="54">
        <f>IF(AND(AJ1925=1,AH1925&lt;&gt;"",COUNTIFS($AH$2:AH1925,AH1925,$AJ$2:AJ1925,1)=1),N(AL1924)+1,"")</f>
        <v/>
      </c>
      <c r="AL1925" s="54">
        <f>IF(AK1925&lt;&gt;"",AK1925,N(AL1924))</f>
        <v/>
      </c>
    </row>
    <row r="1926">
      <c r="A1926" t="inlineStr">
        <is>
          <t>PRD-0642</t>
        </is>
      </c>
      <c r="B1926" t="inlineStr">
        <is>
          <t>Production</t>
        </is>
      </c>
      <c r="AB1926" t="n">
        <v>642</v>
      </c>
      <c r="AD1926" s="52">
        <f>IFERROR(N(IFERROR(INDEX($A1926:$AB1926,MATCH("Xero Invoiced Ex GST",$A$1:$AB$1,0)),"")),0)</f>
        <v/>
      </c>
      <c r="AE1926" s="53">
        <f>IFERROR(INDEX($A1926:$AB1926,MATCH("Xero Invoice Date",$A$1:$AB$1,0)),"")</f>
        <v/>
      </c>
      <c r="AF1926" s="54">
        <f>IF(AND(IFERROR(INDEX($A1926:$AB1926,MATCH("Xero Invoice No",$A$1:$AB$1,0)),"")&amp;""&lt;&gt;"",ISNUMBER(AE1926),AD1926&lt;&gt;0),1,0)</f>
        <v/>
      </c>
      <c r="AG1926" s="55">
        <f>IF(AF1926=1,EOMONTH(AE1926,0),"")</f>
        <v/>
      </c>
      <c r="AH1926" s="9">
        <f>IF(AF1926=1,UPPER(TRIM(IFERROR(INDEX($A1926:$AB1926,MATCH("Client",$A$1:$AB$1,0)),"")&amp;"")),"")</f>
        <v/>
      </c>
      <c r="AI1926" s="9">
        <f>IF(AF1926=1,IFERROR(INDEX($A1926:$AB1926,MATCH("Cost Centre",$A$1:$AB$1,0)),"")&amp;"","")</f>
        <v/>
      </c>
      <c r="AJ1926" s="54">
        <f>IF(AND(AF1926=1,AE1926&gt;=set_FYStart,AE1926&lt;=set_AsAt),1,0)</f>
        <v/>
      </c>
      <c r="AK1926" s="54">
        <f>IF(AND(AJ1926=1,AH1926&lt;&gt;"",COUNTIFS($AH$2:AH1926,AH1926,$AJ$2:AJ1926,1)=1),N(AL1925)+1,"")</f>
        <v/>
      </c>
      <c r="AL1926" s="54">
        <f>IF(AK1926&lt;&gt;"",AK1926,N(AL1925))</f>
        <v/>
      </c>
    </row>
    <row r="1927">
      <c r="A1927" t="inlineStr">
        <is>
          <t>CON-0642</t>
        </is>
      </c>
      <c r="B1927" t="inlineStr">
        <is>
          <t>Consulting</t>
        </is>
      </c>
      <c r="AB1927" t="n">
        <v>642</v>
      </c>
      <c r="AD1927" s="52">
        <f>IFERROR(N(IFERROR(INDEX($A1927:$AB1927,MATCH("Xero Invoiced Ex GST",$A$1:$AB$1,0)),"")),0)</f>
        <v/>
      </c>
      <c r="AE1927" s="53">
        <f>IFERROR(INDEX($A1927:$AB1927,MATCH("Xero Invoice Date",$A$1:$AB$1,0)),"")</f>
        <v/>
      </c>
      <c r="AF1927" s="54">
        <f>IF(AND(IFERROR(INDEX($A1927:$AB1927,MATCH("Xero Invoice No",$A$1:$AB$1,0)),"")&amp;""&lt;&gt;"",ISNUMBER(AE1927),AD1927&lt;&gt;0),1,0)</f>
        <v/>
      </c>
      <c r="AG1927" s="55">
        <f>IF(AF1927=1,EOMONTH(AE1927,0),"")</f>
        <v/>
      </c>
      <c r="AH1927" s="9">
        <f>IF(AF1927=1,UPPER(TRIM(IFERROR(INDEX($A1927:$AB1927,MATCH("Client",$A$1:$AB$1,0)),"")&amp;"")),"")</f>
        <v/>
      </c>
      <c r="AI1927" s="9">
        <f>IF(AF1927=1,IFERROR(INDEX($A1927:$AB1927,MATCH("Cost Centre",$A$1:$AB$1,0)),"")&amp;"","")</f>
        <v/>
      </c>
      <c r="AJ1927" s="54">
        <f>IF(AND(AF1927=1,AE1927&gt;=set_FYStart,AE1927&lt;=set_AsAt),1,0)</f>
        <v/>
      </c>
      <c r="AK1927" s="54">
        <f>IF(AND(AJ1927=1,AH1927&lt;&gt;"",COUNTIFS($AH$2:AH1927,AH1927,$AJ$2:AJ1927,1)=1),N(AL1926)+1,"")</f>
        <v/>
      </c>
      <c r="AL1927" s="54">
        <f>IF(AK1927&lt;&gt;"",AK1927,N(AL1926))</f>
        <v/>
      </c>
    </row>
    <row r="1928">
      <c r="A1928" t="inlineStr">
        <is>
          <t>ONS-0643</t>
        </is>
      </c>
      <c r="B1928" t="inlineStr">
        <is>
          <t>Onsite</t>
        </is>
      </c>
      <c r="AB1928" t="n">
        <v>643</v>
      </c>
      <c r="AD1928" s="52">
        <f>IFERROR(N(IFERROR(INDEX($A1928:$AB1928,MATCH("Xero Invoiced Ex GST",$A$1:$AB$1,0)),"")),0)</f>
        <v/>
      </c>
      <c r="AE1928" s="53">
        <f>IFERROR(INDEX($A1928:$AB1928,MATCH("Xero Invoice Date",$A$1:$AB$1,0)),"")</f>
        <v/>
      </c>
      <c r="AF1928" s="54">
        <f>IF(AND(IFERROR(INDEX($A1928:$AB1928,MATCH("Xero Invoice No",$A$1:$AB$1,0)),"")&amp;""&lt;&gt;"",ISNUMBER(AE1928),AD1928&lt;&gt;0),1,0)</f>
        <v/>
      </c>
      <c r="AG1928" s="55">
        <f>IF(AF1928=1,EOMONTH(AE1928,0),"")</f>
        <v/>
      </c>
      <c r="AH1928" s="9">
        <f>IF(AF1928=1,UPPER(TRIM(IFERROR(INDEX($A1928:$AB1928,MATCH("Client",$A$1:$AB$1,0)),"")&amp;"")),"")</f>
        <v/>
      </c>
      <c r="AI1928" s="9">
        <f>IF(AF1928=1,IFERROR(INDEX($A1928:$AB1928,MATCH("Cost Centre",$A$1:$AB$1,0)),"")&amp;"","")</f>
        <v/>
      </c>
      <c r="AJ1928" s="54">
        <f>IF(AND(AF1928=1,AE1928&gt;=set_FYStart,AE1928&lt;=set_AsAt),1,0)</f>
        <v/>
      </c>
      <c r="AK1928" s="54">
        <f>IF(AND(AJ1928=1,AH1928&lt;&gt;"",COUNTIFS($AH$2:AH1928,AH1928,$AJ$2:AJ1928,1)=1),N(AL1927)+1,"")</f>
        <v/>
      </c>
      <c r="AL1928" s="54">
        <f>IF(AK1928&lt;&gt;"",AK1928,N(AL1927))</f>
        <v/>
      </c>
    </row>
    <row r="1929">
      <c r="A1929" t="inlineStr">
        <is>
          <t>PRD-0643</t>
        </is>
      </c>
      <c r="B1929" t="inlineStr">
        <is>
          <t>Production</t>
        </is>
      </c>
      <c r="AB1929" t="n">
        <v>643</v>
      </c>
      <c r="AD1929" s="52">
        <f>IFERROR(N(IFERROR(INDEX($A1929:$AB1929,MATCH("Xero Invoiced Ex GST",$A$1:$AB$1,0)),"")),0)</f>
        <v/>
      </c>
      <c r="AE1929" s="53">
        <f>IFERROR(INDEX($A1929:$AB1929,MATCH("Xero Invoice Date",$A$1:$AB$1,0)),"")</f>
        <v/>
      </c>
      <c r="AF1929" s="54">
        <f>IF(AND(IFERROR(INDEX($A1929:$AB1929,MATCH("Xero Invoice No",$A$1:$AB$1,0)),"")&amp;""&lt;&gt;"",ISNUMBER(AE1929),AD1929&lt;&gt;0),1,0)</f>
        <v/>
      </c>
      <c r="AG1929" s="55">
        <f>IF(AF1929=1,EOMONTH(AE1929,0),"")</f>
        <v/>
      </c>
      <c r="AH1929" s="9">
        <f>IF(AF1929=1,UPPER(TRIM(IFERROR(INDEX($A1929:$AB1929,MATCH("Client",$A$1:$AB$1,0)),"")&amp;"")),"")</f>
        <v/>
      </c>
      <c r="AI1929" s="9">
        <f>IF(AF1929=1,IFERROR(INDEX($A1929:$AB1929,MATCH("Cost Centre",$A$1:$AB$1,0)),"")&amp;"","")</f>
        <v/>
      </c>
      <c r="AJ1929" s="54">
        <f>IF(AND(AF1929=1,AE1929&gt;=set_FYStart,AE1929&lt;=set_AsAt),1,0)</f>
        <v/>
      </c>
      <c r="AK1929" s="54">
        <f>IF(AND(AJ1929=1,AH1929&lt;&gt;"",COUNTIFS($AH$2:AH1929,AH1929,$AJ$2:AJ1929,1)=1),N(AL1928)+1,"")</f>
        <v/>
      </c>
      <c r="AL1929" s="54">
        <f>IF(AK1929&lt;&gt;"",AK1929,N(AL1928))</f>
        <v/>
      </c>
    </row>
    <row r="1930">
      <c r="A1930" t="inlineStr">
        <is>
          <t>CON-0643</t>
        </is>
      </c>
      <c r="B1930" t="inlineStr">
        <is>
          <t>Consulting</t>
        </is>
      </c>
      <c r="AB1930" t="n">
        <v>643</v>
      </c>
      <c r="AD1930" s="52">
        <f>IFERROR(N(IFERROR(INDEX($A1930:$AB1930,MATCH("Xero Invoiced Ex GST",$A$1:$AB$1,0)),"")),0)</f>
        <v/>
      </c>
      <c r="AE1930" s="53">
        <f>IFERROR(INDEX($A1930:$AB1930,MATCH("Xero Invoice Date",$A$1:$AB$1,0)),"")</f>
        <v/>
      </c>
      <c r="AF1930" s="54">
        <f>IF(AND(IFERROR(INDEX($A1930:$AB1930,MATCH("Xero Invoice No",$A$1:$AB$1,0)),"")&amp;""&lt;&gt;"",ISNUMBER(AE1930),AD1930&lt;&gt;0),1,0)</f>
        <v/>
      </c>
      <c r="AG1930" s="55">
        <f>IF(AF1930=1,EOMONTH(AE1930,0),"")</f>
        <v/>
      </c>
      <c r="AH1930" s="9">
        <f>IF(AF1930=1,UPPER(TRIM(IFERROR(INDEX($A1930:$AB1930,MATCH("Client",$A$1:$AB$1,0)),"")&amp;"")),"")</f>
        <v/>
      </c>
      <c r="AI1930" s="9">
        <f>IF(AF1930=1,IFERROR(INDEX($A1930:$AB1930,MATCH("Cost Centre",$A$1:$AB$1,0)),"")&amp;"","")</f>
        <v/>
      </c>
      <c r="AJ1930" s="54">
        <f>IF(AND(AF1930=1,AE1930&gt;=set_FYStart,AE1930&lt;=set_AsAt),1,0)</f>
        <v/>
      </c>
      <c r="AK1930" s="54">
        <f>IF(AND(AJ1930=1,AH1930&lt;&gt;"",COUNTIFS($AH$2:AH1930,AH1930,$AJ$2:AJ1930,1)=1),N(AL1929)+1,"")</f>
        <v/>
      </c>
      <c r="AL1930" s="54">
        <f>IF(AK1930&lt;&gt;"",AK1930,N(AL1929))</f>
        <v/>
      </c>
    </row>
    <row r="1931">
      <c r="A1931" t="inlineStr">
        <is>
          <t>ONS-0644</t>
        </is>
      </c>
      <c r="B1931" t="inlineStr">
        <is>
          <t>Onsite</t>
        </is>
      </c>
      <c r="AB1931" t="n">
        <v>644</v>
      </c>
      <c r="AD1931" s="52">
        <f>IFERROR(N(IFERROR(INDEX($A1931:$AB1931,MATCH("Xero Invoiced Ex GST",$A$1:$AB$1,0)),"")),0)</f>
        <v/>
      </c>
      <c r="AE1931" s="53">
        <f>IFERROR(INDEX($A1931:$AB1931,MATCH("Xero Invoice Date",$A$1:$AB$1,0)),"")</f>
        <v/>
      </c>
      <c r="AF1931" s="54">
        <f>IF(AND(IFERROR(INDEX($A1931:$AB1931,MATCH("Xero Invoice No",$A$1:$AB$1,0)),"")&amp;""&lt;&gt;"",ISNUMBER(AE1931),AD1931&lt;&gt;0),1,0)</f>
        <v/>
      </c>
      <c r="AG1931" s="55">
        <f>IF(AF1931=1,EOMONTH(AE1931,0),"")</f>
        <v/>
      </c>
      <c r="AH1931" s="9">
        <f>IF(AF1931=1,UPPER(TRIM(IFERROR(INDEX($A1931:$AB1931,MATCH("Client",$A$1:$AB$1,0)),"")&amp;"")),"")</f>
        <v/>
      </c>
      <c r="AI1931" s="9">
        <f>IF(AF1931=1,IFERROR(INDEX($A1931:$AB1931,MATCH("Cost Centre",$A$1:$AB$1,0)),"")&amp;"","")</f>
        <v/>
      </c>
      <c r="AJ1931" s="54">
        <f>IF(AND(AF1931=1,AE1931&gt;=set_FYStart,AE1931&lt;=set_AsAt),1,0)</f>
        <v/>
      </c>
      <c r="AK1931" s="54">
        <f>IF(AND(AJ1931=1,AH1931&lt;&gt;"",COUNTIFS($AH$2:AH1931,AH1931,$AJ$2:AJ1931,1)=1),N(AL1930)+1,"")</f>
        <v/>
      </c>
      <c r="AL1931" s="54">
        <f>IF(AK1931&lt;&gt;"",AK1931,N(AL1930))</f>
        <v/>
      </c>
    </row>
    <row r="1932">
      <c r="A1932" t="inlineStr">
        <is>
          <t>PRD-0644</t>
        </is>
      </c>
      <c r="B1932" t="inlineStr">
        <is>
          <t>Production</t>
        </is>
      </c>
      <c r="AB1932" t="n">
        <v>644</v>
      </c>
      <c r="AD1932" s="52">
        <f>IFERROR(N(IFERROR(INDEX($A1932:$AB1932,MATCH("Xero Invoiced Ex GST",$A$1:$AB$1,0)),"")),0)</f>
        <v/>
      </c>
      <c r="AE1932" s="53">
        <f>IFERROR(INDEX($A1932:$AB1932,MATCH("Xero Invoice Date",$A$1:$AB$1,0)),"")</f>
        <v/>
      </c>
      <c r="AF1932" s="54">
        <f>IF(AND(IFERROR(INDEX($A1932:$AB1932,MATCH("Xero Invoice No",$A$1:$AB$1,0)),"")&amp;""&lt;&gt;"",ISNUMBER(AE1932),AD1932&lt;&gt;0),1,0)</f>
        <v/>
      </c>
      <c r="AG1932" s="55">
        <f>IF(AF1932=1,EOMONTH(AE1932,0),"")</f>
        <v/>
      </c>
      <c r="AH1932" s="9">
        <f>IF(AF1932=1,UPPER(TRIM(IFERROR(INDEX($A1932:$AB1932,MATCH("Client",$A$1:$AB$1,0)),"")&amp;"")),"")</f>
        <v/>
      </c>
      <c r="AI1932" s="9">
        <f>IF(AF1932=1,IFERROR(INDEX($A1932:$AB1932,MATCH("Cost Centre",$A$1:$AB$1,0)),"")&amp;"","")</f>
        <v/>
      </c>
      <c r="AJ1932" s="54">
        <f>IF(AND(AF1932=1,AE1932&gt;=set_FYStart,AE1932&lt;=set_AsAt),1,0)</f>
        <v/>
      </c>
      <c r="AK1932" s="54">
        <f>IF(AND(AJ1932=1,AH1932&lt;&gt;"",COUNTIFS($AH$2:AH1932,AH1932,$AJ$2:AJ1932,1)=1),N(AL1931)+1,"")</f>
        <v/>
      </c>
      <c r="AL1932" s="54">
        <f>IF(AK1932&lt;&gt;"",AK1932,N(AL1931))</f>
        <v/>
      </c>
    </row>
    <row r="1933">
      <c r="A1933" t="inlineStr">
        <is>
          <t>CON-0644</t>
        </is>
      </c>
      <c r="B1933" t="inlineStr">
        <is>
          <t>Consulting</t>
        </is>
      </c>
      <c r="AB1933" t="n">
        <v>644</v>
      </c>
      <c r="AD1933" s="52">
        <f>IFERROR(N(IFERROR(INDEX($A1933:$AB1933,MATCH("Xero Invoiced Ex GST",$A$1:$AB$1,0)),"")),0)</f>
        <v/>
      </c>
      <c r="AE1933" s="53">
        <f>IFERROR(INDEX($A1933:$AB1933,MATCH("Xero Invoice Date",$A$1:$AB$1,0)),"")</f>
        <v/>
      </c>
      <c r="AF1933" s="54">
        <f>IF(AND(IFERROR(INDEX($A1933:$AB1933,MATCH("Xero Invoice No",$A$1:$AB$1,0)),"")&amp;""&lt;&gt;"",ISNUMBER(AE1933),AD1933&lt;&gt;0),1,0)</f>
        <v/>
      </c>
      <c r="AG1933" s="55">
        <f>IF(AF1933=1,EOMONTH(AE1933,0),"")</f>
        <v/>
      </c>
      <c r="AH1933" s="9">
        <f>IF(AF1933=1,UPPER(TRIM(IFERROR(INDEX($A1933:$AB1933,MATCH("Client",$A$1:$AB$1,0)),"")&amp;"")),"")</f>
        <v/>
      </c>
      <c r="AI1933" s="9">
        <f>IF(AF1933=1,IFERROR(INDEX($A1933:$AB1933,MATCH("Cost Centre",$A$1:$AB$1,0)),"")&amp;"","")</f>
        <v/>
      </c>
      <c r="AJ1933" s="54">
        <f>IF(AND(AF1933=1,AE1933&gt;=set_FYStart,AE1933&lt;=set_AsAt),1,0)</f>
        <v/>
      </c>
      <c r="AK1933" s="54">
        <f>IF(AND(AJ1933=1,AH1933&lt;&gt;"",COUNTIFS($AH$2:AH1933,AH1933,$AJ$2:AJ1933,1)=1),N(AL1932)+1,"")</f>
        <v/>
      </c>
      <c r="AL1933" s="54">
        <f>IF(AK1933&lt;&gt;"",AK1933,N(AL1932))</f>
        <v/>
      </c>
    </row>
    <row r="1934">
      <c r="A1934" t="inlineStr">
        <is>
          <t>ONS-0645</t>
        </is>
      </c>
      <c r="B1934" t="inlineStr">
        <is>
          <t>Onsite</t>
        </is>
      </c>
      <c r="AB1934" t="n">
        <v>645</v>
      </c>
      <c r="AD1934" s="52">
        <f>IFERROR(N(IFERROR(INDEX($A1934:$AB1934,MATCH("Xero Invoiced Ex GST",$A$1:$AB$1,0)),"")),0)</f>
        <v/>
      </c>
      <c r="AE1934" s="53">
        <f>IFERROR(INDEX($A1934:$AB1934,MATCH("Xero Invoice Date",$A$1:$AB$1,0)),"")</f>
        <v/>
      </c>
      <c r="AF1934" s="54">
        <f>IF(AND(IFERROR(INDEX($A1934:$AB1934,MATCH("Xero Invoice No",$A$1:$AB$1,0)),"")&amp;""&lt;&gt;"",ISNUMBER(AE1934),AD1934&lt;&gt;0),1,0)</f>
        <v/>
      </c>
      <c r="AG1934" s="55">
        <f>IF(AF1934=1,EOMONTH(AE1934,0),"")</f>
        <v/>
      </c>
      <c r="AH1934" s="9">
        <f>IF(AF1934=1,UPPER(TRIM(IFERROR(INDEX($A1934:$AB1934,MATCH("Client",$A$1:$AB$1,0)),"")&amp;"")),"")</f>
        <v/>
      </c>
      <c r="AI1934" s="9">
        <f>IF(AF1934=1,IFERROR(INDEX($A1934:$AB1934,MATCH("Cost Centre",$A$1:$AB$1,0)),"")&amp;"","")</f>
        <v/>
      </c>
      <c r="AJ1934" s="54">
        <f>IF(AND(AF1934=1,AE1934&gt;=set_FYStart,AE1934&lt;=set_AsAt),1,0)</f>
        <v/>
      </c>
      <c r="AK1934" s="54">
        <f>IF(AND(AJ1934=1,AH1934&lt;&gt;"",COUNTIFS($AH$2:AH1934,AH1934,$AJ$2:AJ1934,1)=1),N(AL1933)+1,"")</f>
        <v/>
      </c>
      <c r="AL1934" s="54">
        <f>IF(AK1934&lt;&gt;"",AK1934,N(AL1933))</f>
        <v/>
      </c>
    </row>
    <row r="1935">
      <c r="A1935" t="inlineStr">
        <is>
          <t>PRD-0645</t>
        </is>
      </c>
      <c r="B1935" t="inlineStr">
        <is>
          <t>Production</t>
        </is>
      </c>
      <c r="AB1935" t="n">
        <v>645</v>
      </c>
      <c r="AD1935" s="52">
        <f>IFERROR(N(IFERROR(INDEX($A1935:$AB1935,MATCH("Xero Invoiced Ex GST",$A$1:$AB$1,0)),"")),0)</f>
        <v/>
      </c>
      <c r="AE1935" s="53">
        <f>IFERROR(INDEX($A1935:$AB1935,MATCH("Xero Invoice Date",$A$1:$AB$1,0)),"")</f>
        <v/>
      </c>
      <c r="AF1935" s="54">
        <f>IF(AND(IFERROR(INDEX($A1935:$AB1935,MATCH("Xero Invoice No",$A$1:$AB$1,0)),"")&amp;""&lt;&gt;"",ISNUMBER(AE1935),AD1935&lt;&gt;0),1,0)</f>
        <v/>
      </c>
      <c r="AG1935" s="55">
        <f>IF(AF1935=1,EOMONTH(AE1935,0),"")</f>
        <v/>
      </c>
      <c r="AH1935" s="9">
        <f>IF(AF1935=1,UPPER(TRIM(IFERROR(INDEX($A1935:$AB1935,MATCH("Client",$A$1:$AB$1,0)),"")&amp;"")),"")</f>
        <v/>
      </c>
      <c r="AI1935" s="9">
        <f>IF(AF1935=1,IFERROR(INDEX($A1935:$AB1935,MATCH("Cost Centre",$A$1:$AB$1,0)),"")&amp;"","")</f>
        <v/>
      </c>
      <c r="AJ1935" s="54">
        <f>IF(AND(AF1935=1,AE1935&gt;=set_FYStart,AE1935&lt;=set_AsAt),1,0)</f>
        <v/>
      </c>
      <c r="AK1935" s="54">
        <f>IF(AND(AJ1935=1,AH1935&lt;&gt;"",COUNTIFS($AH$2:AH1935,AH1935,$AJ$2:AJ1935,1)=1),N(AL1934)+1,"")</f>
        <v/>
      </c>
      <c r="AL1935" s="54">
        <f>IF(AK1935&lt;&gt;"",AK1935,N(AL1934))</f>
        <v/>
      </c>
    </row>
    <row r="1936">
      <c r="A1936" t="inlineStr">
        <is>
          <t>CON-0645</t>
        </is>
      </c>
      <c r="B1936" t="inlineStr">
        <is>
          <t>Consulting</t>
        </is>
      </c>
      <c r="AB1936" t="n">
        <v>645</v>
      </c>
      <c r="AD1936" s="52">
        <f>IFERROR(N(IFERROR(INDEX($A1936:$AB1936,MATCH("Xero Invoiced Ex GST",$A$1:$AB$1,0)),"")),0)</f>
        <v/>
      </c>
      <c r="AE1936" s="53">
        <f>IFERROR(INDEX($A1936:$AB1936,MATCH("Xero Invoice Date",$A$1:$AB$1,0)),"")</f>
        <v/>
      </c>
      <c r="AF1936" s="54">
        <f>IF(AND(IFERROR(INDEX($A1936:$AB1936,MATCH("Xero Invoice No",$A$1:$AB$1,0)),"")&amp;""&lt;&gt;"",ISNUMBER(AE1936),AD1936&lt;&gt;0),1,0)</f>
        <v/>
      </c>
      <c r="AG1936" s="55">
        <f>IF(AF1936=1,EOMONTH(AE1936,0),"")</f>
        <v/>
      </c>
      <c r="AH1936" s="9">
        <f>IF(AF1936=1,UPPER(TRIM(IFERROR(INDEX($A1936:$AB1936,MATCH("Client",$A$1:$AB$1,0)),"")&amp;"")),"")</f>
        <v/>
      </c>
      <c r="AI1936" s="9">
        <f>IF(AF1936=1,IFERROR(INDEX($A1936:$AB1936,MATCH("Cost Centre",$A$1:$AB$1,0)),"")&amp;"","")</f>
        <v/>
      </c>
      <c r="AJ1936" s="54">
        <f>IF(AND(AF1936=1,AE1936&gt;=set_FYStart,AE1936&lt;=set_AsAt),1,0)</f>
        <v/>
      </c>
      <c r="AK1936" s="54">
        <f>IF(AND(AJ1936=1,AH1936&lt;&gt;"",COUNTIFS($AH$2:AH1936,AH1936,$AJ$2:AJ1936,1)=1),N(AL1935)+1,"")</f>
        <v/>
      </c>
      <c r="AL1936" s="54">
        <f>IF(AK1936&lt;&gt;"",AK1936,N(AL1935))</f>
        <v/>
      </c>
    </row>
    <row r="1937">
      <c r="A1937" t="inlineStr">
        <is>
          <t>ONS-0646</t>
        </is>
      </c>
      <c r="B1937" t="inlineStr">
        <is>
          <t>Onsite</t>
        </is>
      </c>
      <c r="AB1937" t="n">
        <v>646</v>
      </c>
      <c r="AD1937" s="52">
        <f>IFERROR(N(IFERROR(INDEX($A1937:$AB1937,MATCH("Xero Invoiced Ex GST",$A$1:$AB$1,0)),"")),0)</f>
        <v/>
      </c>
      <c r="AE1937" s="53">
        <f>IFERROR(INDEX($A1937:$AB1937,MATCH("Xero Invoice Date",$A$1:$AB$1,0)),"")</f>
        <v/>
      </c>
      <c r="AF1937" s="54">
        <f>IF(AND(IFERROR(INDEX($A1937:$AB1937,MATCH("Xero Invoice No",$A$1:$AB$1,0)),"")&amp;""&lt;&gt;"",ISNUMBER(AE1937),AD1937&lt;&gt;0),1,0)</f>
        <v/>
      </c>
      <c r="AG1937" s="55">
        <f>IF(AF1937=1,EOMONTH(AE1937,0),"")</f>
        <v/>
      </c>
      <c r="AH1937" s="9">
        <f>IF(AF1937=1,UPPER(TRIM(IFERROR(INDEX($A1937:$AB1937,MATCH("Client",$A$1:$AB$1,0)),"")&amp;"")),"")</f>
        <v/>
      </c>
      <c r="AI1937" s="9">
        <f>IF(AF1937=1,IFERROR(INDEX($A1937:$AB1937,MATCH("Cost Centre",$A$1:$AB$1,0)),"")&amp;"","")</f>
        <v/>
      </c>
      <c r="AJ1937" s="54">
        <f>IF(AND(AF1937=1,AE1937&gt;=set_FYStart,AE1937&lt;=set_AsAt),1,0)</f>
        <v/>
      </c>
      <c r="AK1937" s="54">
        <f>IF(AND(AJ1937=1,AH1937&lt;&gt;"",COUNTIFS($AH$2:AH1937,AH1937,$AJ$2:AJ1937,1)=1),N(AL1936)+1,"")</f>
        <v/>
      </c>
      <c r="AL1937" s="54">
        <f>IF(AK1937&lt;&gt;"",AK1937,N(AL1936))</f>
        <v/>
      </c>
    </row>
    <row r="1938">
      <c r="A1938" t="inlineStr">
        <is>
          <t>PRD-0646</t>
        </is>
      </c>
      <c r="B1938" t="inlineStr">
        <is>
          <t>Production</t>
        </is>
      </c>
      <c r="AB1938" t="n">
        <v>646</v>
      </c>
      <c r="AD1938" s="52">
        <f>IFERROR(N(IFERROR(INDEX($A1938:$AB1938,MATCH("Xero Invoiced Ex GST",$A$1:$AB$1,0)),"")),0)</f>
        <v/>
      </c>
      <c r="AE1938" s="53">
        <f>IFERROR(INDEX($A1938:$AB1938,MATCH("Xero Invoice Date",$A$1:$AB$1,0)),"")</f>
        <v/>
      </c>
      <c r="AF1938" s="54">
        <f>IF(AND(IFERROR(INDEX($A1938:$AB1938,MATCH("Xero Invoice No",$A$1:$AB$1,0)),"")&amp;""&lt;&gt;"",ISNUMBER(AE1938),AD1938&lt;&gt;0),1,0)</f>
        <v/>
      </c>
      <c r="AG1938" s="55">
        <f>IF(AF1938=1,EOMONTH(AE1938,0),"")</f>
        <v/>
      </c>
      <c r="AH1938" s="9">
        <f>IF(AF1938=1,UPPER(TRIM(IFERROR(INDEX($A1938:$AB1938,MATCH("Client",$A$1:$AB$1,0)),"")&amp;"")),"")</f>
        <v/>
      </c>
      <c r="AI1938" s="9">
        <f>IF(AF1938=1,IFERROR(INDEX($A1938:$AB1938,MATCH("Cost Centre",$A$1:$AB$1,0)),"")&amp;"","")</f>
        <v/>
      </c>
      <c r="AJ1938" s="54">
        <f>IF(AND(AF1938=1,AE1938&gt;=set_FYStart,AE1938&lt;=set_AsAt),1,0)</f>
        <v/>
      </c>
      <c r="AK1938" s="54">
        <f>IF(AND(AJ1938=1,AH1938&lt;&gt;"",COUNTIFS($AH$2:AH1938,AH1938,$AJ$2:AJ1938,1)=1),N(AL1937)+1,"")</f>
        <v/>
      </c>
      <c r="AL1938" s="54">
        <f>IF(AK1938&lt;&gt;"",AK1938,N(AL1937))</f>
        <v/>
      </c>
    </row>
    <row r="1939">
      <c r="A1939" t="inlineStr">
        <is>
          <t>CON-0646</t>
        </is>
      </c>
      <c r="B1939" t="inlineStr">
        <is>
          <t>Consulting</t>
        </is>
      </c>
      <c r="AB1939" t="n">
        <v>646</v>
      </c>
      <c r="AD1939" s="52">
        <f>IFERROR(N(IFERROR(INDEX($A1939:$AB1939,MATCH("Xero Invoiced Ex GST",$A$1:$AB$1,0)),"")),0)</f>
        <v/>
      </c>
      <c r="AE1939" s="53">
        <f>IFERROR(INDEX($A1939:$AB1939,MATCH("Xero Invoice Date",$A$1:$AB$1,0)),"")</f>
        <v/>
      </c>
      <c r="AF1939" s="54">
        <f>IF(AND(IFERROR(INDEX($A1939:$AB1939,MATCH("Xero Invoice No",$A$1:$AB$1,0)),"")&amp;""&lt;&gt;"",ISNUMBER(AE1939),AD1939&lt;&gt;0),1,0)</f>
        <v/>
      </c>
      <c r="AG1939" s="55">
        <f>IF(AF1939=1,EOMONTH(AE1939,0),"")</f>
        <v/>
      </c>
      <c r="AH1939" s="9">
        <f>IF(AF1939=1,UPPER(TRIM(IFERROR(INDEX($A1939:$AB1939,MATCH("Client",$A$1:$AB$1,0)),"")&amp;"")),"")</f>
        <v/>
      </c>
      <c r="AI1939" s="9">
        <f>IF(AF1939=1,IFERROR(INDEX($A1939:$AB1939,MATCH("Cost Centre",$A$1:$AB$1,0)),"")&amp;"","")</f>
        <v/>
      </c>
      <c r="AJ1939" s="54">
        <f>IF(AND(AF1939=1,AE1939&gt;=set_FYStart,AE1939&lt;=set_AsAt),1,0)</f>
        <v/>
      </c>
      <c r="AK1939" s="54">
        <f>IF(AND(AJ1939=1,AH1939&lt;&gt;"",COUNTIFS($AH$2:AH1939,AH1939,$AJ$2:AJ1939,1)=1),N(AL1938)+1,"")</f>
        <v/>
      </c>
      <c r="AL1939" s="54">
        <f>IF(AK1939&lt;&gt;"",AK1939,N(AL1938))</f>
        <v/>
      </c>
    </row>
    <row r="1940">
      <c r="A1940" t="inlineStr">
        <is>
          <t>ONS-0647</t>
        </is>
      </c>
      <c r="B1940" t="inlineStr">
        <is>
          <t>Onsite</t>
        </is>
      </c>
      <c r="AB1940" t="n">
        <v>647</v>
      </c>
      <c r="AD1940" s="52">
        <f>IFERROR(N(IFERROR(INDEX($A1940:$AB1940,MATCH("Xero Invoiced Ex GST",$A$1:$AB$1,0)),"")),0)</f>
        <v/>
      </c>
      <c r="AE1940" s="53">
        <f>IFERROR(INDEX($A1940:$AB1940,MATCH("Xero Invoice Date",$A$1:$AB$1,0)),"")</f>
        <v/>
      </c>
      <c r="AF1940" s="54">
        <f>IF(AND(IFERROR(INDEX($A1940:$AB1940,MATCH("Xero Invoice No",$A$1:$AB$1,0)),"")&amp;""&lt;&gt;"",ISNUMBER(AE1940),AD1940&lt;&gt;0),1,0)</f>
        <v/>
      </c>
      <c r="AG1940" s="55">
        <f>IF(AF1940=1,EOMONTH(AE1940,0),"")</f>
        <v/>
      </c>
      <c r="AH1940" s="9">
        <f>IF(AF1940=1,UPPER(TRIM(IFERROR(INDEX($A1940:$AB1940,MATCH("Client",$A$1:$AB$1,0)),"")&amp;"")),"")</f>
        <v/>
      </c>
      <c r="AI1940" s="9">
        <f>IF(AF1940=1,IFERROR(INDEX($A1940:$AB1940,MATCH("Cost Centre",$A$1:$AB$1,0)),"")&amp;"","")</f>
        <v/>
      </c>
      <c r="AJ1940" s="54">
        <f>IF(AND(AF1940=1,AE1940&gt;=set_FYStart,AE1940&lt;=set_AsAt),1,0)</f>
        <v/>
      </c>
      <c r="AK1940" s="54">
        <f>IF(AND(AJ1940=1,AH1940&lt;&gt;"",COUNTIFS($AH$2:AH1940,AH1940,$AJ$2:AJ1940,1)=1),N(AL1939)+1,"")</f>
        <v/>
      </c>
      <c r="AL1940" s="54">
        <f>IF(AK1940&lt;&gt;"",AK1940,N(AL1939))</f>
        <v/>
      </c>
    </row>
    <row r="1941">
      <c r="A1941" t="inlineStr">
        <is>
          <t>PRD-0647</t>
        </is>
      </c>
      <c r="B1941" t="inlineStr">
        <is>
          <t>Production</t>
        </is>
      </c>
      <c r="AB1941" t="n">
        <v>647</v>
      </c>
      <c r="AD1941" s="52">
        <f>IFERROR(N(IFERROR(INDEX($A1941:$AB1941,MATCH("Xero Invoiced Ex GST",$A$1:$AB$1,0)),"")),0)</f>
        <v/>
      </c>
      <c r="AE1941" s="53">
        <f>IFERROR(INDEX($A1941:$AB1941,MATCH("Xero Invoice Date",$A$1:$AB$1,0)),"")</f>
        <v/>
      </c>
      <c r="AF1941" s="54">
        <f>IF(AND(IFERROR(INDEX($A1941:$AB1941,MATCH("Xero Invoice No",$A$1:$AB$1,0)),"")&amp;""&lt;&gt;"",ISNUMBER(AE1941),AD1941&lt;&gt;0),1,0)</f>
        <v/>
      </c>
      <c r="AG1941" s="55">
        <f>IF(AF1941=1,EOMONTH(AE1941,0),"")</f>
        <v/>
      </c>
      <c r="AH1941" s="9">
        <f>IF(AF1941=1,UPPER(TRIM(IFERROR(INDEX($A1941:$AB1941,MATCH("Client",$A$1:$AB$1,0)),"")&amp;"")),"")</f>
        <v/>
      </c>
      <c r="AI1941" s="9">
        <f>IF(AF1941=1,IFERROR(INDEX($A1941:$AB1941,MATCH("Cost Centre",$A$1:$AB$1,0)),"")&amp;"","")</f>
        <v/>
      </c>
      <c r="AJ1941" s="54">
        <f>IF(AND(AF1941=1,AE1941&gt;=set_FYStart,AE1941&lt;=set_AsAt),1,0)</f>
        <v/>
      </c>
      <c r="AK1941" s="54">
        <f>IF(AND(AJ1941=1,AH1941&lt;&gt;"",COUNTIFS($AH$2:AH1941,AH1941,$AJ$2:AJ1941,1)=1),N(AL1940)+1,"")</f>
        <v/>
      </c>
      <c r="AL1941" s="54">
        <f>IF(AK1941&lt;&gt;"",AK1941,N(AL1940))</f>
        <v/>
      </c>
    </row>
    <row r="1942">
      <c r="A1942" t="inlineStr">
        <is>
          <t>CON-0647</t>
        </is>
      </c>
      <c r="B1942" t="inlineStr">
        <is>
          <t>Consulting</t>
        </is>
      </c>
      <c r="AB1942" t="n">
        <v>647</v>
      </c>
      <c r="AD1942" s="52">
        <f>IFERROR(N(IFERROR(INDEX($A1942:$AB1942,MATCH("Xero Invoiced Ex GST",$A$1:$AB$1,0)),"")),0)</f>
        <v/>
      </c>
      <c r="AE1942" s="53">
        <f>IFERROR(INDEX($A1942:$AB1942,MATCH("Xero Invoice Date",$A$1:$AB$1,0)),"")</f>
        <v/>
      </c>
      <c r="AF1942" s="54">
        <f>IF(AND(IFERROR(INDEX($A1942:$AB1942,MATCH("Xero Invoice No",$A$1:$AB$1,0)),"")&amp;""&lt;&gt;"",ISNUMBER(AE1942),AD1942&lt;&gt;0),1,0)</f>
        <v/>
      </c>
      <c r="AG1942" s="55">
        <f>IF(AF1942=1,EOMONTH(AE1942,0),"")</f>
        <v/>
      </c>
      <c r="AH1942" s="9">
        <f>IF(AF1942=1,UPPER(TRIM(IFERROR(INDEX($A1942:$AB1942,MATCH("Client",$A$1:$AB$1,0)),"")&amp;"")),"")</f>
        <v/>
      </c>
      <c r="AI1942" s="9">
        <f>IF(AF1942=1,IFERROR(INDEX($A1942:$AB1942,MATCH("Cost Centre",$A$1:$AB$1,0)),"")&amp;"","")</f>
        <v/>
      </c>
      <c r="AJ1942" s="54">
        <f>IF(AND(AF1942=1,AE1942&gt;=set_FYStart,AE1942&lt;=set_AsAt),1,0)</f>
        <v/>
      </c>
      <c r="AK1942" s="54">
        <f>IF(AND(AJ1942=1,AH1942&lt;&gt;"",COUNTIFS($AH$2:AH1942,AH1942,$AJ$2:AJ1942,1)=1),N(AL1941)+1,"")</f>
        <v/>
      </c>
      <c r="AL1942" s="54">
        <f>IF(AK1942&lt;&gt;"",AK1942,N(AL1941))</f>
        <v/>
      </c>
    </row>
    <row r="1943">
      <c r="A1943" t="inlineStr">
        <is>
          <t>ONS-0648</t>
        </is>
      </c>
      <c r="B1943" t="inlineStr">
        <is>
          <t>Onsite</t>
        </is>
      </c>
      <c r="AB1943" t="n">
        <v>648</v>
      </c>
      <c r="AD1943" s="52">
        <f>IFERROR(N(IFERROR(INDEX($A1943:$AB1943,MATCH("Xero Invoiced Ex GST",$A$1:$AB$1,0)),"")),0)</f>
        <v/>
      </c>
      <c r="AE1943" s="53">
        <f>IFERROR(INDEX($A1943:$AB1943,MATCH("Xero Invoice Date",$A$1:$AB$1,0)),"")</f>
        <v/>
      </c>
      <c r="AF1943" s="54">
        <f>IF(AND(IFERROR(INDEX($A1943:$AB1943,MATCH("Xero Invoice No",$A$1:$AB$1,0)),"")&amp;""&lt;&gt;"",ISNUMBER(AE1943),AD1943&lt;&gt;0),1,0)</f>
        <v/>
      </c>
      <c r="AG1943" s="55">
        <f>IF(AF1943=1,EOMONTH(AE1943,0),"")</f>
        <v/>
      </c>
      <c r="AH1943" s="9">
        <f>IF(AF1943=1,UPPER(TRIM(IFERROR(INDEX($A1943:$AB1943,MATCH("Client",$A$1:$AB$1,0)),"")&amp;"")),"")</f>
        <v/>
      </c>
      <c r="AI1943" s="9">
        <f>IF(AF1943=1,IFERROR(INDEX($A1943:$AB1943,MATCH("Cost Centre",$A$1:$AB$1,0)),"")&amp;"","")</f>
        <v/>
      </c>
      <c r="AJ1943" s="54">
        <f>IF(AND(AF1943=1,AE1943&gt;=set_FYStart,AE1943&lt;=set_AsAt),1,0)</f>
        <v/>
      </c>
      <c r="AK1943" s="54">
        <f>IF(AND(AJ1943=1,AH1943&lt;&gt;"",COUNTIFS($AH$2:AH1943,AH1943,$AJ$2:AJ1943,1)=1),N(AL1942)+1,"")</f>
        <v/>
      </c>
      <c r="AL1943" s="54">
        <f>IF(AK1943&lt;&gt;"",AK1943,N(AL1942))</f>
        <v/>
      </c>
    </row>
    <row r="1944">
      <c r="A1944" t="inlineStr">
        <is>
          <t>PRD-0648</t>
        </is>
      </c>
      <c r="B1944" t="inlineStr">
        <is>
          <t>Production</t>
        </is>
      </c>
      <c r="AB1944" t="n">
        <v>648</v>
      </c>
      <c r="AD1944" s="52">
        <f>IFERROR(N(IFERROR(INDEX($A1944:$AB1944,MATCH("Xero Invoiced Ex GST",$A$1:$AB$1,0)),"")),0)</f>
        <v/>
      </c>
      <c r="AE1944" s="53">
        <f>IFERROR(INDEX($A1944:$AB1944,MATCH("Xero Invoice Date",$A$1:$AB$1,0)),"")</f>
        <v/>
      </c>
      <c r="AF1944" s="54">
        <f>IF(AND(IFERROR(INDEX($A1944:$AB1944,MATCH("Xero Invoice No",$A$1:$AB$1,0)),"")&amp;""&lt;&gt;"",ISNUMBER(AE1944),AD1944&lt;&gt;0),1,0)</f>
        <v/>
      </c>
      <c r="AG1944" s="55">
        <f>IF(AF1944=1,EOMONTH(AE1944,0),"")</f>
        <v/>
      </c>
      <c r="AH1944" s="9">
        <f>IF(AF1944=1,UPPER(TRIM(IFERROR(INDEX($A1944:$AB1944,MATCH("Client",$A$1:$AB$1,0)),"")&amp;"")),"")</f>
        <v/>
      </c>
      <c r="AI1944" s="9">
        <f>IF(AF1944=1,IFERROR(INDEX($A1944:$AB1944,MATCH("Cost Centre",$A$1:$AB$1,0)),"")&amp;"","")</f>
        <v/>
      </c>
      <c r="AJ1944" s="54">
        <f>IF(AND(AF1944=1,AE1944&gt;=set_FYStart,AE1944&lt;=set_AsAt),1,0)</f>
        <v/>
      </c>
      <c r="AK1944" s="54">
        <f>IF(AND(AJ1944=1,AH1944&lt;&gt;"",COUNTIFS($AH$2:AH1944,AH1944,$AJ$2:AJ1944,1)=1),N(AL1943)+1,"")</f>
        <v/>
      </c>
      <c r="AL1944" s="54">
        <f>IF(AK1944&lt;&gt;"",AK1944,N(AL1943))</f>
        <v/>
      </c>
    </row>
    <row r="1945">
      <c r="A1945" t="inlineStr">
        <is>
          <t>CON-0648</t>
        </is>
      </c>
      <c r="B1945" t="inlineStr">
        <is>
          <t>Consulting</t>
        </is>
      </c>
      <c r="AB1945" t="n">
        <v>648</v>
      </c>
      <c r="AD1945" s="52">
        <f>IFERROR(N(IFERROR(INDEX($A1945:$AB1945,MATCH("Xero Invoiced Ex GST",$A$1:$AB$1,0)),"")),0)</f>
        <v/>
      </c>
      <c r="AE1945" s="53">
        <f>IFERROR(INDEX($A1945:$AB1945,MATCH("Xero Invoice Date",$A$1:$AB$1,0)),"")</f>
        <v/>
      </c>
      <c r="AF1945" s="54">
        <f>IF(AND(IFERROR(INDEX($A1945:$AB1945,MATCH("Xero Invoice No",$A$1:$AB$1,0)),"")&amp;""&lt;&gt;"",ISNUMBER(AE1945),AD1945&lt;&gt;0),1,0)</f>
        <v/>
      </c>
      <c r="AG1945" s="55">
        <f>IF(AF1945=1,EOMONTH(AE1945,0),"")</f>
        <v/>
      </c>
      <c r="AH1945" s="9">
        <f>IF(AF1945=1,UPPER(TRIM(IFERROR(INDEX($A1945:$AB1945,MATCH("Client",$A$1:$AB$1,0)),"")&amp;"")),"")</f>
        <v/>
      </c>
      <c r="AI1945" s="9">
        <f>IF(AF1945=1,IFERROR(INDEX($A1945:$AB1945,MATCH("Cost Centre",$A$1:$AB$1,0)),"")&amp;"","")</f>
        <v/>
      </c>
      <c r="AJ1945" s="54">
        <f>IF(AND(AF1945=1,AE1945&gt;=set_FYStart,AE1945&lt;=set_AsAt),1,0)</f>
        <v/>
      </c>
      <c r="AK1945" s="54">
        <f>IF(AND(AJ1945=1,AH1945&lt;&gt;"",COUNTIFS($AH$2:AH1945,AH1945,$AJ$2:AJ1945,1)=1),N(AL1944)+1,"")</f>
        <v/>
      </c>
      <c r="AL1945" s="54">
        <f>IF(AK1945&lt;&gt;"",AK1945,N(AL1944))</f>
        <v/>
      </c>
    </row>
    <row r="1946">
      <c r="A1946" t="inlineStr">
        <is>
          <t>ONS-0649</t>
        </is>
      </c>
      <c r="B1946" t="inlineStr">
        <is>
          <t>Onsite</t>
        </is>
      </c>
      <c r="AB1946" t="n">
        <v>649</v>
      </c>
      <c r="AD1946" s="52">
        <f>IFERROR(N(IFERROR(INDEX($A1946:$AB1946,MATCH("Xero Invoiced Ex GST",$A$1:$AB$1,0)),"")),0)</f>
        <v/>
      </c>
      <c r="AE1946" s="53">
        <f>IFERROR(INDEX($A1946:$AB1946,MATCH("Xero Invoice Date",$A$1:$AB$1,0)),"")</f>
        <v/>
      </c>
      <c r="AF1946" s="54">
        <f>IF(AND(IFERROR(INDEX($A1946:$AB1946,MATCH("Xero Invoice No",$A$1:$AB$1,0)),"")&amp;""&lt;&gt;"",ISNUMBER(AE1946),AD1946&lt;&gt;0),1,0)</f>
        <v/>
      </c>
      <c r="AG1946" s="55">
        <f>IF(AF1946=1,EOMONTH(AE1946,0),"")</f>
        <v/>
      </c>
      <c r="AH1946" s="9">
        <f>IF(AF1946=1,UPPER(TRIM(IFERROR(INDEX($A1946:$AB1946,MATCH("Client",$A$1:$AB$1,0)),"")&amp;"")),"")</f>
        <v/>
      </c>
      <c r="AI1946" s="9">
        <f>IF(AF1946=1,IFERROR(INDEX($A1946:$AB1946,MATCH("Cost Centre",$A$1:$AB$1,0)),"")&amp;"","")</f>
        <v/>
      </c>
      <c r="AJ1946" s="54">
        <f>IF(AND(AF1946=1,AE1946&gt;=set_FYStart,AE1946&lt;=set_AsAt),1,0)</f>
        <v/>
      </c>
      <c r="AK1946" s="54">
        <f>IF(AND(AJ1946=1,AH1946&lt;&gt;"",COUNTIFS($AH$2:AH1946,AH1946,$AJ$2:AJ1946,1)=1),N(AL1945)+1,"")</f>
        <v/>
      </c>
      <c r="AL1946" s="54">
        <f>IF(AK1946&lt;&gt;"",AK1946,N(AL1945))</f>
        <v/>
      </c>
    </row>
    <row r="1947">
      <c r="A1947" t="inlineStr">
        <is>
          <t>PRD-0649</t>
        </is>
      </c>
      <c r="B1947" t="inlineStr">
        <is>
          <t>Production</t>
        </is>
      </c>
      <c r="AB1947" t="n">
        <v>649</v>
      </c>
      <c r="AD1947" s="52">
        <f>IFERROR(N(IFERROR(INDEX($A1947:$AB1947,MATCH("Xero Invoiced Ex GST",$A$1:$AB$1,0)),"")),0)</f>
        <v/>
      </c>
      <c r="AE1947" s="53">
        <f>IFERROR(INDEX($A1947:$AB1947,MATCH("Xero Invoice Date",$A$1:$AB$1,0)),"")</f>
        <v/>
      </c>
      <c r="AF1947" s="54">
        <f>IF(AND(IFERROR(INDEX($A1947:$AB1947,MATCH("Xero Invoice No",$A$1:$AB$1,0)),"")&amp;""&lt;&gt;"",ISNUMBER(AE1947),AD1947&lt;&gt;0),1,0)</f>
        <v/>
      </c>
      <c r="AG1947" s="55">
        <f>IF(AF1947=1,EOMONTH(AE1947,0),"")</f>
        <v/>
      </c>
      <c r="AH1947" s="9">
        <f>IF(AF1947=1,UPPER(TRIM(IFERROR(INDEX($A1947:$AB1947,MATCH("Client",$A$1:$AB$1,0)),"")&amp;"")),"")</f>
        <v/>
      </c>
      <c r="AI1947" s="9">
        <f>IF(AF1947=1,IFERROR(INDEX($A1947:$AB1947,MATCH("Cost Centre",$A$1:$AB$1,0)),"")&amp;"","")</f>
        <v/>
      </c>
      <c r="AJ1947" s="54">
        <f>IF(AND(AF1947=1,AE1947&gt;=set_FYStart,AE1947&lt;=set_AsAt),1,0)</f>
        <v/>
      </c>
      <c r="AK1947" s="54">
        <f>IF(AND(AJ1947=1,AH1947&lt;&gt;"",COUNTIFS($AH$2:AH1947,AH1947,$AJ$2:AJ1947,1)=1),N(AL1946)+1,"")</f>
        <v/>
      </c>
      <c r="AL1947" s="54">
        <f>IF(AK1947&lt;&gt;"",AK1947,N(AL1946))</f>
        <v/>
      </c>
    </row>
    <row r="1948">
      <c r="A1948" t="inlineStr">
        <is>
          <t>CON-0649</t>
        </is>
      </c>
      <c r="B1948" t="inlineStr">
        <is>
          <t>Consulting</t>
        </is>
      </c>
      <c r="AB1948" t="n">
        <v>649</v>
      </c>
      <c r="AD1948" s="52">
        <f>IFERROR(N(IFERROR(INDEX($A1948:$AB1948,MATCH("Xero Invoiced Ex GST",$A$1:$AB$1,0)),"")),0)</f>
        <v/>
      </c>
      <c r="AE1948" s="53">
        <f>IFERROR(INDEX($A1948:$AB1948,MATCH("Xero Invoice Date",$A$1:$AB$1,0)),"")</f>
        <v/>
      </c>
      <c r="AF1948" s="54">
        <f>IF(AND(IFERROR(INDEX($A1948:$AB1948,MATCH("Xero Invoice No",$A$1:$AB$1,0)),"")&amp;""&lt;&gt;"",ISNUMBER(AE1948),AD1948&lt;&gt;0),1,0)</f>
        <v/>
      </c>
      <c r="AG1948" s="55">
        <f>IF(AF1948=1,EOMONTH(AE1948,0),"")</f>
        <v/>
      </c>
      <c r="AH1948" s="9">
        <f>IF(AF1948=1,UPPER(TRIM(IFERROR(INDEX($A1948:$AB1948,MATCH("Client",$A$1:$AB$1,0)),"")&amp;"")),"")</f>
        <v/>
      </c>
      <c r="AI1948" s="9">
        <f>IF(AF1948=1,IFERROR(INDEX($A1948:$AB1948,MATCH("Cost Centre",$A$1:$AB$1,0)),"")&amp;"","")</f>
        <v/>
      </c>
      <c r="AJ1948" s="54">
        <f>IF(AND(AF1948=1,AE1948&gt;=set_FYStart,AE1948&lt;=set_AsAt),1,0)</f>
        <v/>
      </c>
      <c r="AK1948" s="54">
        <f>IF(AND(AJ1948=1,AH1948&lt;&gt;"",COUNTIFS($AH$2:AH1948,AH1948,$AJ$2:AJ1948,1)=1),N(AL1947)+1,"")</f>
        <v/>
      </c>
      <c r="AL1948" s="54">
        <f>IF(AK1948&lt;&gt;"",AK1948,N(AL1947))</f>
        <v/>
      </c>
    </row>
    <row r="1949">
      <c r="A1949" t="inlineStr">
        <is>
          <t>ONS-0650</t>
        </is>
      </c>
      <c r="B1949" t="inlineStr">
        <is>
          <t>Onsite</t>
        </is>
      </c>
      <c r="AB1949" t="n">
        <v>650</v>
      </c>
      <c r="AD1949" s="52">
        <f>IFERROR(N(IFERROR(INDEX($A1949:$AB1949,MATCH("Xero Invoiced Ex GST",$A$1:$AB$1,0)),"")),0)</f>
        <v/>
      </c>
      <c r="AE1949" s="53">
        <f>IFERROR(INDEX($A1949:$AB1949,MATCH("Xero Invoice Date",$A$1:$AB$1,0)),"")</f>
        <v/>
      </c>
      <c r="AF1949" s="54">
        <f>IF(AND(IFERROR(INDEX($A1949:$AB1949,MATCH("Xero Invoice No",$A$1:$AB$1,0)),"")&amp;""&lt;&gt;"",ISNUMBER(AE1949),AD1949&lt;&gt;0),1,0)</f>
        <v/>
      </c>
      <c r="AG1949" s="55">
        <f>IF(AF1949=1,EOMONTH(AE1949,0),"")</f>
        <v/>
      </c>
      <c r="AH1949" s="9">
        <f>IF(AF1949=1,UPPER(TRIM(IFERROR(INDEX($A1949:$AB1949,MATCH("Client",$A$1:$AB$1,0)),"")&amp;"")),"")</f>
        <v/>
      </c>
      <c r="AI1949" s="9">
        <f>IF(AF1949=1,IFERROR(INDEX($A1949:$AB1949,MATCH("Cost Centre",$A$1:$AB$1,0)),"")&amp;"","")</f>
        <v/>
      </c>
      <c r="AJ1949" s="54">
        <f>IF(AND(AF1949=1,AE1949&gt;=set_FYStart,AE1949&lt;=set_AsAt),1,0)</f>
        <v/>
      </c>
      <c r="AK1949" s="54">
        <f>IF(AND(AJ1949=1,AH1949&lt;&gt;"",COUNTIFS($AH$2:AH1949,AH1949,$AJ$2:AJ1949,1)=1),N(AL1948)+1,"")</f>
        <v/>
      </c>
      <c r="AL1949" s="54">
        <f>IF(AK1949&lt;&gt;"",AK1949,N(AL1948))</f>
        <v/>
      </c>
    </row>
    <row r="1950">
      <c r="A1950" t="inlineStr">
        <is>
          <t>PRD-0650</t>
        </is>
      </c>
      <c r="B1950" t="inlineStr">
        <is>
          <t>Production</t>
        </is>
      </c>
      <c r="AB1950" t="n">
        <v>650</v>
      </c>
      <c r="AD1950" s="52">
        <f>IFERROR(N(IFERROR(INDEX($A1950:$AB1950,MATCH("Xero Invoiced Ex GST",$A$1:$AB$1,0)),"")),0)</f>
        <v/>
      </c>
      <c r="AE1950" s="53">
        <f>IFERROR(INDEX($A1950:$AB1950,MATCH("Xero Invoice Date",$A$1:$AB$1,0)),"")</f>
        <v/>
      </c>
      <c r="AF1950" s="54">
        <f>IF(AND(IFERROR(INDEX($A1950:$AB1950,MATCH("Xero Invoice No",$A$1:$AB$1,0)),"")&amp;""&lt;&gt;"",ISNUMBER(AE1950),AD1950&lt;&gt;0),1,0)</f>
        <v/>
      </c>
      <c r="AG1950" s="55">
        <f>IF(AF1950=1,EOMONTH(AE1950,0),"")</f>
        <v/>
      </c>
      <c r="AH1950" s="9">
        <f>IF(AF1950=1,UPPER(TRIM(IFERROR(INDEX($A1950:$AB1950,MATCH("Client",$A$1:$AB$1,0)),"")&amp;"")),"")</f>
        <v/>
      </c>
      <c r="AI1950" s="9">
        <f>IF(AF1950=1,IFERROR(INDEX($A1950:$AB1950,MATCH("Cost Centre",$A$1:$AB$1,0)),"")&amp;"","")</f>
        <v/>
      </c>
      <c r="AJ1950" s="54">
        <f>IF(AND(AF1950=1,AE1950&gt;=set_FYStart,AE1950&lt;=set_AsAt),1,0)</f>
        <v/>
      </c>
      <c r="AK1950" s="54">
        <f>IF(AND(AJ1950=1,AH1950&lt;&gt;"",COUNTIFS($AH$2:AH1950,AH1950,$AJ$2:AJ1950,1)=1),N(AL1949)+1,"")</f>
        <v/>
      </c>
      <c r="AL1950" s="54">
        <f>IF(AK1950&lt;&gt;"",AK1950,N(AL1949))</f>
        <v/>
      </c>
    </row>
    <row r="1951">
      <c r="A1951" t="inlineStr">
        <is>
          <t>CON-0650</t>
        </is>
      </c>
      <c r="B1951" t="inlineStr">
        <is>
          <t>Consulting</t>
        </is>
      </c>
      <c r="AB1951" t="n">
        <v>650</v>
      </c>
      <c r="AD1951" s="52">
        <f>IFERROR(N(IFERROR(INDEX($A1951:$AB1951,MATCH("Xero Invoiced Ex GST",$A$1:$AB$1,0)),"")),0)</f>
        <v/>
      </c>
      <c r="AE1951" s="53">
        <f>IFERROR(INDEX($A1951:$AB1951,MATCH("Xero Invoice Date",$A$1:$AB$1,0)),"")</f>
        <v/>
      </c>
      <c r="AF1951" s="54">
        <f>IF(AND(IFERROR(INDEX($A1951:$AB1951,MATCH("Xero Invoice No",$A$1:$AB$1,0)),"")&amp;""&lt;&gt;"",ISNUMBER(AE1951),AD1951&lt;&gt;0),1,0)</f>
        <v/>
      </c>
      <c r="AG1951" s="55">
        <f>IF(AF1951=1,EOMONTH(AE1951,0),"")</f>
        <v/>
      </c>
      <c r="AH1951" s="9">
        <f>IF(AF1951=1,UPPER(TRIM(IFERROR(INDEX($A1951:$AB1951,MATCH("Client",$A$1:$AB$1,0)),"")&amp;"")),"")</f>
        <v/>
      </c>
      <c r="AI1951" s="9">
        <f>IF(AF1951=1,IFERROR(INDEX($A1951:$AB1951,MATCH("Cost Centre",$A$1:$AB$1,0)),"")&amp;"","")</f>
        <v/>
      </c>
      <c r="AJ1951" s="54">
        <f>IF(AND(AF1951=1,AE1951&gt;=set_FYStart,AE1951&lt;=set_AsAt),1,0)</f>
        <v/>
      </c>
      <c r="AK1951" s="54">
        <f>IF(AND(AJ1951=1,AH1951&lt;&gt;"",COUNTIFS($AH$2:AH1951,AH1951,$AJ$2:AJ1951,1)=1),N(AL1950)+1,"")</f>
        <v/>
      </c>
      <c r="AL1951" s="54">
        <f>IF(AK1951&lt;&gt;"",AK1951,N(AL1950))</f>
        <v/>
      </c>
    </row>
    <row r="1952">
      <c r="A1952" t="inlineStr">
        <is>
          <t>ONS-0651</t>
        </is>
      </c>
      <c r="B1952" t="inlineStr">
        <is>
          <t>Onsite</t>
        </is>
      </c>
      <c r="AB1952" t="n">
        <v>651</v>
      </c>
      <c r="AD1952" s="52">
        <f>IFERROR(N(IFERROR(INDEX($A1952:$AB1952,MATCH("Xero Invoiced Ex GST",$A$1:$AB$1,0)),"")),0)</f>
        <v/>
      </c>
      <c r="AE1952" s="53">
        <f>IFERROR(INDEX($A1952:$AB1952,MATCH("Xero Invoice Date",$A$1:$AB$1,0)),"")</f>
        <v/>
      </c>
      <c r="AF1952" s="54">
        <f>IF(AND(IFERROR(INDEX($A1952:$AB1952,MATCH("Xero Invoice No",$A$1:$AB$1,0)),"")&amp;""&lt;&gt;"",ISNUMBER(AE1952),AD1952&lt;&gt;0),1,0)</f>
        <v/>
      </c>
      <c r="AG1952" s="55">
        <f>IF(AF1952=1,EOMONTH(AE1952,0),"")</f>
        <v/>
      </c>
      <c r="AH1952" s="9">
        <f>IF(AF1952=1,UPPER(TRIM(IFERROR(INDEX($A1952:$AB1952,MATCH("Client",$A$1:$AB$1,0)),"")&amp;"")),"")</f>
        <v/>
      </c>
      <c r="AI1952" s="9">
        <f>IF(AF1952=1,IFERROR(INDEX($A1952:$AB1952,MATCH("Cost Centre",$A$1:$AB$1,0)),"")&amp;"","")</f>
        <v/>
      </c>
      <c r="AJ1952" s="54">
        <f>IF(AND(AF1952=1,AE1952&gt;=set_FYStart,AE1952&lt;=set_AsAt),1,0)</f>
        <v/>
      </c>
      <c r="AK1952" s="54">
        <f>IF(AND(AJ1952=1,AH1952&lt;&gt;"",COUNTIFS($AH$2:AH1952,AH1952,$AJ$2:AJ1952,1)=1),N(AL1951)+1,"")</f>
        <v/>
      </c>
      <c r="AL1952" s="54">
        <f>IF(AK1952&lt;&gt;"",AK1952,N(AL1951))</f>
        <v/>
      </c>
    </row>
    <row r="1953">
      <c r="A1953" t="inlineStr">
        <is>
          <t>PRD-0651</t>
        </is>
      </c>
      <c r="B1953" t="inlineStr">
        <is>
          <t>Production</t>
        </is>
      </c>
      <c r="AB1953" t="n">
        <v>651</v>
      </c>
      <c r="AD1953" s="52">
        <f>IFERROR(N(IFERROR(INDEX($A1953:$AB1953,MATCH("Xero Invoiced Ex GST",$A$1:$AB$1,0)),"")),0)</f>
        <v/>
      </c>
      <c r="AE1953" s="53">
        <f>IFERROR(INDEX($A1953:$AB1953,MATCH("Xero Invoice Date",$A$1:$AB$1,0)),"")</f>
        <v/>
      </c>
      <c r="AF1953" s="54">
        <f>IF(AND(IFERROR(INDEX($A1953:$AB1953,MATCH("Xero Invoice No",$A$1:$AB$1,0)),"")&amp;""&lt;&gt;"",ISNUMBER(AE1953),AD1953&lt;&gt;0),1,0)</f>
        <v/>
      </c>
      <c r="AG1953" s="55">
        <f>IF(AF1953=1,EOMONTH(AE1953,0),"")</f>
        <v/>
      </c>
      <c r="AH1953" s="9">
        <f>IF(AF1953=1,UPPER(TRIM(IFERROR(INDEX($A1953:$AB1953,MATCH("Client",$A$1:$AB$1,0)),"")&amp;"")),"")</f>
        <v/>
      </c>
      <c r="AI1953" s="9">
        <f>IF(AF1953=1,IFERROR(INDEX($A1953:$AB1953,MATCH("Cost Centre",$A$1:$AB$1,0)),"")&amp;"","")</f>
        <v/>
      </c>
      <c r="AJ1953" s="54">
        <f>IF(AND(AF1953=1,AE1953&gt;=set_FYStart,AE1953&lt;=set_AsAt),1,0)</f>
        <v/>
      </c>
      <c r="AK1953" s="54">
        <f>IF(AND(AJ1953=1,AH1953&lt;&gt;"",COUNTIFS($AH$2:AH1953,AH1953,$AJ$2:AJ1953,1)=1),N(AL1952)+1,"")</f>
        <v/>
      </c>
      <c r="AL1953" s="54">
        <f>IF(AK1953&lt;&gt;"",AK1953,N(AL1952))</f>
        <v/>
      </c>
    </row>
    <row r="1954">
      <c r="A1954" t="inlineStr">
        <is>
          <t>CON-0651</t>
        </is>
      </c>
      <c r="B1954" t="inlineStr">
        <is>
          <t>Consulting</t>
        </is>
      </c>
      <c r="AB1954" t="n">
        <v>651</v>
      </c>
      <c r="AD1954" s="52">
        <f>IFERROR(N(IFERROR(INDEX($A1954:$AB1954,MATCH("Xero Invoiced Ex GST",$A$1:$AB$1,0)),"")),0)</f>
        <v/>
      </c>
      <c r="AE1954" s="53">
        <f>IFERROR(INDEX($A1954:$AB1954,MATCH("Xero Invoice Date",$A$1:$AB$1,0)),"")</f>
        <v/>
      </c>
      <c r="AF1954" s="54">
        <f>IF(AND(IFERROR(INDEX($A1954:$AB1954,MATCH("Xero Invoice No",$A$1:$AB$1,0)),"")&amp;""&lt;&gt;"",ISNUMBER(AE1954),AD1954&lt;&gt;0),1,0)</f>
        <v/>
      </c>
      <c r="AG1954" s="55">
        <f>IF(AF1954=1,EOMONTH(AE1954,0),"")</f>
        <v/>
      </c>
      <c r="AH1954" s="9">
        <f>IF(AF1954=1,UPPER(TRIM(IFERROR(INDEX($A1954:$AB1954,MATCH("Client",$A$1:$AB$1,0)),"")&amp;"")),"")</f>
        <v/>
      </c>
      <c r="AI1954" s="9">
        <f>IF(AF1954=1,IFERROR(INDEX($A1954:$AB1954,MATCH("Cost Centre",$A$1:$AB$1,0)),"")&amp;"","")</f>
        <v/>
      </c>
      <c r="AJ1954" s="54">
        <f>IF(AND(AF1954=1,AE1954&gt;=set_FYStart,AE1954&lt;=set_AsAt),1,0)</f>
        <v/>
      </c>
      <c r="AK1954" s="54">
        <f>IF(AND(AJ1954=1,AH1954&lt;&gt;"",COUNTIFS($AH$2:AH1954,AH1954,$AJ$2:AJ1954,1)=1),N(AL1953)+1,"")</f>
        <v/>
      </c>
      <c r="AL1954" s="54">
        <f>IF(AK1954&lt;&gt;"",AK1954,N(AL1953))</f>
        <v/>
      </c>
    </row>
    <row r="1955">
      <c r="A1955" t="inlineStr">
        <is>
          <t>ONS-0652</t>
        </is>
      </c>
      <c r="B1955" t="inlineStr">
        <is>
          <t>Onsite</t>
        </is>
      </c>
      <c r="AB1955" t="n">
        <v>652</v>
      </c>
      <c r="AD1955" s="52">
        <f>IFERROR(N(IFERROR(INDEX($A1955:$AB1955,MATCH("Xero Invoiced Ex GST",$A$1:$AB$1,0)),"")),0)</f>
        <v/>
      </c>
      <c r="AE1955" s="53">
        <f>IFERROR(INDEX($A1955:$AB1955,MATCH("Xero Invoice Date",$A$1:$AB$1,0)),"")</f>
        <v/>
      </c>
      <c r="AF1955" s="54">
        <f>IF(AND(IFERROR(INDEX($A1955:$AB1955,MATCH("Xero Invoice No",$A$1:$AB$1,0)),"")&amp;""&lt;&gt;"",ISNUMBER(AE1955),AD1955&lt;&gt;0),1,0)</f>
        <v/>
      </c>
      <c r="AG1955" s="55">
        <f>IF(AF1955=1,EOMONTH(AE1955,0),"")</f>
        <v/>
      </c>
      <c r="AH1955" s="9">
        <f>IF(AF1955=1,UPPER(TRIM(IFERROR(INDEX($A1955:$AB1955,MATCH("Client",$A$1:$AB$1,0)),"")&amp;"")),"")</f>
        <v/>
      </c>
      <c r="AI1955" s="9">
        <f>IF(AF1955=1,IFERROR(INDEX($A1955:$AB1955,MATCH("Cost Centre",$A$1:$AB$1,0)),"")&amp;"","")</f>
        <v/>
      </c>
      <c r="AJ1955" s="54">
        <f>IF(AND(AF1955=1,AE1955&gt;=set_FYStart,AE1955&lt;=set_AsAt),1,0)</f>
        <v/>
      </c>
      <c r="AK1955" s="54">
        <f>IF(AND(AJ1955=1,AH1955&lt;&gt;"",COUNTIFS($AH$2:AH1955,AH1955,$AJ$2:AJ1955,1)=1),N(AL1954)+1,"")</f>
        <v/>
      </c>
      <c r="AL1955" s="54">
        <f>IF(AK1955&lt;&gt;"",AK1955,N(AL1954))</f>
        <v/>
      </c>
    </row>
    <row r="1956">
      <c r="A1956" t="inlineStr">
        <is>
          <t>PRD-0652</t>
        </is>
      </c>
      <c r="B1956" t="inlineStr">
        <is>
          <t>Production</t>
        </is>
      </c>
      <c r="AB1956" t="n">
        <v>652</v>
      </c>
      <c r="AD1956" s="52">
        <f>IFERROR(N(IFERROR(INDEX($A1956:$AB1956,MATCH("Xero Invoiced Ex GST",$A$1:$AB$1,0)),"")),0)</f>
        <v/>
      </c>
      <c r="AE1956" s="53">
        <f>IFERROR(INDEX($A1956:$AB1956,MATCH("Xero Invoice Date",$A$1:$AB$1,0)),"")</f>
        <v/>
      </c>
      <c r="AF1956" s="54">
        <f>IF(AND(IFERROR(INDEX($A1956:$AB1956,MATCH("Xero Invoice No",$A$1:$AB$1,0)),"")&amp;""&lt;&gt;"",ISNUMBER(AE1956),AD1956&lt;&gt;0),1,0)</f>
        <v/>
      </c>
      <c r="AG1956" s="55">
        <f>IF(AF1956=1,EOMONTH(AE1956,0),"")</f>
        <v/>
      </c>
      <c r="AH1956" s="9">
        <f>IF(AF1956=1,UPPER(TRIM(IFERROR(INDEX($A1956:$AB1956,MATCH("Client",$A$1:$AB$1,0)),"")&amp;"")),"")</f>
        <v/>
      </c>
      <c r="AI1956" s="9">
        <f>IF(AF1956=1,IFERROR(INDEX($A1956:$AB1956,MATCH("Cost Centre",$A$1:$AB$1,0)),"")&amp;"","")</f>
        <v/>
      </c>
      <c r="AJ1956" s="54">
        <f>IF(AND(AF1956=1,AE1956&gt;=set_FYStart,AE1956&lt;=set_AsAt),1,0)</f>
        <v/>
      </c>
      <c r="AK1956" s="54">
        <f>IF(AND(AJ1956=1,AH1956&lt;&gt;"",COUNTIFS($AH$2:AH1956,AH1956,$AJ$2:AJ1956,1)=1),N(AL1955)+1,"")</f>
        <v/>
      </c>
      <c r="AL1956" s="54">
        <f>IF(AK1956&lt;&gt;"",AK1956,N(AL1955))</f>
        <v/>
      </c>
    </row>
    <row r="1957">
      <c r="A1957" t="inlineStr">
        <is>
          <t>CON-0652</t>
        </is>
      </c>
      <c r="B1957" t="inlineStr">
        <is>
          <t>Consulting</t>
        </is>
      </c>
      <c r="AB1957" t="n">
        <v>652</v>
      </c>
      <c r="AD1957" s="52">
        <f>IFERROR(N(IFERROR(INDEX($A1957:$AB1957,MATCH("Xero Invoiced Ex GST",$A$1:$AB$1,0)),"")),0)</f>
        <v/>
      </c>
      <c r="AE1957" s="53">
        <f>IFERROR(INDEX($A1957:$AB1957,MATCH("Xero Invoice Date",$A$1:$AB$1,0)),"")</f>
        <v/>
      </c>
      <c r="AF1957" s="54">
        <f>IF(AND(IFERROR(INDEX($A1957:$AB1957,MATCH("Xero Invoice No",$A$1:$AB$1,0)),"")&amp;""&lt;&gt;"",ISNUMBER(AE1957),AD1957&lt;&gt;0),1,0)</f>
        <v/>
      </c>
      <c r="AG1957" s="55">
        <f>IF(AF1957=1,EOMONTH(AE1957,0),"")</f>
        <v/>
      </c>
      <c r="AH1957" s="9">
        <f>IF(AF1957=1,UPPER(TRIM(IFERROR(INDEX($A1957:$AB1957,MATCH("Client",$A$1:$AB$1,0)),"")&amp;"")),"")</f>
        <v/>
      </c>
      <c r="AI1957" s="9">
        <f>IF(AF1957=1,IFERROR(INDEX($A1957:$AB1957,MATCH("Cost Centre",$A$1:$AB$1,0)),"")&amp;"","")</f>
        <v/>
      </c>
      <c r="AJ1957" s="54">
        <f>IF(AND(AF1957=1,AE1957&gt;=set_FYStart,AE1957&lt;=set_AsAt),1,0)</f>
        <v/>
      </c>
      <c r="AK1957" s="54">
        <f>IF(AND(AJ1957=1,AH1957&lt;&gt;"",COUNTIFS($AH$2:AH1957,AH1957,$AJ$2:AJ1957,1)=1),N(AL1956)+1,"")</f>
        <v/>
      </c>
      <c r="AL1957" s="54">
        <f>IF(AK1957&lt;&gt;"",AK1957,N(AL1956))</f>
        <v/>
      </c>
    </row>
    <row r="1958">
      <c r="A1958" t="inlineStr">
        <is>
          <t>ONS-0653</t>
        </is>
      </c>
      <c r="B1958" t="inlineStr">
        <is>
          <t>Onsite</t>
        </is>
      </c>
      <c r="AB1958" t="n">
        <v>653</v>
      </c>
      <c r="AD1958" s="52">
        <f>IFERROR(N(IFERROR(INDEX($A1958:$AB1958,MATCH("Xero Invoiced Ex GST",$A$1:$AB$1,0)),"")),0)</f>
        <v/>
      </c>
      <c r="AE1958" s="53">
        <f>IFERROR(INDEX($A1958:$AB1958,MATCH("Xero Invoice Date",$A$1:$AB$1,0)),"")</f>
        <v/>
      </c>
      <c r="AF1958" s="54">
        <f>IF(AND(IFERROR(INDEX($A1958:$AB1958,MATCH("Xero Invoice No",$A$1:$AB$1,0)),"")&amp;""&lt;&gt;"",ISNUMBER(AE1958),AD1958&lt;&gt;0),1,0)</f>
        <v/>
      </c>
      <c r="AG1958" s="55">
        <f>IF(AF1958=1,EOMONTH(AE1958,0),"")</f>
        <v/>
      </c>
      <c r="AH1958" s="9">
        <f>IF(AF1958=1,UPPER(TRIM(IFERROR(INDEX($A1958:$AB1958,MATCH("Client",$A$1:$AB$1,0)),"")&amp;"")),"")</f>
        <v/>
      </c>
      <c r="AI1958" s="9">
        <f>IF(AF1958=1,IFERROR(INDEX($A1958:$AB1958,MATCH("Cost Centre",$A$1:$AB$1,0)),"")&amp;"","")</f>
        <v/>
      </c>
      <c r="AJ1958" s="54">
        <f>IF(AND(AF1958=1,AE1958&gt;=set_FYStart,AE1958&lt;=set_AsAt),1,0)</f>
        <v/>
      </c>
      <c r="AK1958" s="54">
        <f>IF(AND(AJ1958=1,AH1958&lt;&gt;"",COUNTIFS($AH$2:AH1958,AH1958,$AJ$2:AJ1958,1)=1),N(AL1957)+1,"")</f>
        <v/>
      </c>
      <c r="AL1958" s="54">
        <f>IF(AK1958&lt;&gt;"",AK1958,N(AL1957))</f>
        <v/>
      </c>
    </row>
    <row r="1959">
      <c r="A1959" t="inlineStr">
        <is>
          <t>PRD-0653</t>
        </is>
      </c>
      <c r="B1959" t="inlineStr">
        <is>
          <t>Production</t>
        </is>
      </c>
      <c r="AB1959" t="n">
        <v>653</v>
      </c>
      <c r="AD1959" s="52">
        <f>IFERROR(N(IFERROR(INDEX($A1959:$AB1959,MATCH("Xero Invoiced Ex GST",$A$1:$AB$1,0)),"")),0)</f>
        <v/>
      </c>
      <c r="AE1959" s="53">
        <f>IFERROR(INDEX($A1959:$AB1959,MATCH("Xero Invoice Date",$A$1:$AB$1,0)),"")</f>
        <v/>
      </c>
      <c r="AF1959" s="54">
        <f>IF(AND(IFERROR(INDEX($A1959:$AB1959,MATCH("Xero Invoice No",$A$1:$AB$1,0)),"")&amp;""&lt;&gt;"",ISNUMBER(AE1959),AD1959&lt;&gt;0),1,0)</f>
        <v/>
      </c>
      <c r="AG1959" s="55">
        <f>IF(AF1959=1,EOMONTH(AE1959,0),"")</f>
        <v/>
      </c>
      <c r="AH1959" s="9">
        <f>IF(AF1959=1,UPPER(TRIM(IFERROR(INDEX($A1959:$AB1959,MATCH("Client",$A$1:$AB$1,0)),"")&amp;"")),"")</f>
        <v/>
      </c>
      <c r="AI1959" s="9">
        <f>IF(AF1959=1,IFERROR(INDEX($A1959:$AB1959,MATCH("Cost Centre",$A$1:$AB$1,0)),"")&amp;"","")</f>
        <v/>
      </c>
      <c r="AJ1959" s="54">
        <f>IF(AND(AF1959=1,AE1959&gt;=set_FYStart,AE1959&lt;=set_AsAt),1,0)</f>
        <v/>
      </c>
      <c r="AK1959" s="54">
        <f>IF(AND(AJ1959=1,AH1959&lt;&gt;"",COUNTIFS($AH$2:AH1959,AH1959,$AJ$2:AJ1959,1)=1),N(AL1958)+1,"")</f>
        <v/>
      </c>
      <c r="AL1959" s="54">
        <f>IF(AK1959&lt;&gt;"",AK1959,N(AL1958))</f>
        <v/>
      </c>
    </row>
    <row r="1960">
      <c r="A1960" t="inlineStr">
        <is>
          <t>CON-0653</t>
        </is>
      </c>
      <c r="B1960" t="inlineStr">
        <is>
          <t>Consulting</t>
        </is>
      </c>
      <c r="AB1960" t="n">
        <v>653</v>
      </c>
      <c r="AD1960" s="52">
        <f>IFERROR(N(IFERROR(INDEX($A1960:$AB1960,MATCH("Xero Invoiced Ex GST",$A$1:$AB$1,0)),"")),0)</f>
        <v/>
      </c>
      <c r="AE1960" s="53">
        <f>IFERROR(INDEX($A1960:$AB1960,MATCH("Xero Invoice Date",$A$1:$AB$1,0)),"")</f>
        <v/>
      </c>
      <c r="AF1960" s="54">
        <f>IF(AND(IFERROR(INDEX($A1960:$AB1960,MATCH("Xero Invoice No",$A$1:$AB$1,0)),"")&amp;""&lt;&gt;"",ISNUMBER(AE1960),AD1960&lt;&gt;0),1,0)</f>
        <v/>
      </c>
      <c r="AG1960" s="55">
        <f>IF(AF1960=1,EOMONTH(AE1960,0),"")</f>
        <v/>
      </c>
      <c r="AH1960" s="9">
        <f>IF(AF1960=1,UPPER(TRIM(IFERROR(INDEX($A1960:$AB1960,MATCH("Client",$A$1:$AB$1,0)),"")&amp;"")),"")</f>
        <v/>
      </c>
      <c r="AI1960" s="9">
        <f>IF(AF1960=1,IFERROR(INDEX($A1960:$AB1960,MATCH("Cost Centre",$A$1:$AB$1,0)),"")&amp;"","")</f>
        <v/>
      </c>
      <c r="AJ1960" s="54">
        <f>IF(AND(AF1960=1,AE1960&gt;=set_FYStart,AE1960&lt;=set_AsAt),1,0)</f>
        <v/>
      </c>
      <c r="AK1960" s="54">
        <f>IF(AND(AJ1960=1,AH1960&lt;&gt;"",COUNTIFS($AH$2:AH1960,AH1960,$AJ$2:AJ1960,1)=1),N(AL1959)+1,"")</f>
        <v/>
      </c>
      <c r="AL1960" s="54">
        <f>IF(AK1960&lt;&gt;"",AK1960,N(AL1959))</f>
        <v/>
      </c>
    </row>
    <row r="1961">
      <c r="A1961" t="inlineStr">
        <is>
          <t>ONS-0654</t>
        </is>
      </c>
      <c r="B1961" t="inlineStr">
        <is>
          <t>Onsite</t>
        </is>
      </c>
      <c r="AB1961" t="n">
        <v>654</v>
      </c>
      <c r="AD1961" s="52">
        <f>IFERROR(N(IFERROR(INDEX($A1961:$AB1961,MATCH("Xero Invoiced Ex GST",$A$1:$AB$1,0)),"")),0)</f>
        <v/>
      </c>
      <c r="AE1961" s="53">
        <f>IFERROR(INDEX($A1961:$AB1961,MATCH("Xero Invoice Date",$A$1:$AB$1,0)),"")</f>
        <v/>
      </c>
      <c r="AF1961" s="54">
        <f>IF(AND(IFERROR(INDEX($A1961:$AB1961,MATCH("Xero Invoice No",$A$1:$AB$1,0)),"")&amp;""&lt;&gt;"",ISNUMBER(AE1961),AD1961&lt;&gt;0),1,0)</f>
        <v/>
      </c>
      <c r="AG1961" s="55">
        <f>IF(AF1961=1,EOMONTH(AE1961,0),"")</f>
        <v/>
      </c>
      <c r="AH1961" s="9">
        <f>IF(AF1961=1,UPPER(TRIM(IFERROR(INDEX($A1961:$AB1961,MATCH("Client",$A$1:$AB$1,0)),"")&amp;"")),"")</f>
        <v/>
      </c>
      <c r="AI1961" s="9">
        <f>IF(AF1961=1,IFERROR(INDEX($A1961:$AB1961,MATCH("Cost Centre",$A$1:$AB$1,0)),"")&amp;"","")</f>
        <v/>
      </c>
      <c r="AJ1961" s="54">
        <f>IF(AND(AF1961=1,AE1961&gt;=set_FYStart,AE1961&lt;=set_AsAt),1,0)</f>
        <v/>
      </c>
      <c r="AK1961" s="54">
        <f>IF(AND(AJ1961=1,AH1961&lt;&gt;"",COUNTIFS($AH$2:AH1961,AH1961,$AJ$2:AJ1961,1)=1),N(AL1960)+1,"")</f>
        <v/>
      </c>
      <c r="AL1961" s="54">
        <f>IF(AK1961&lt;&gt;"",AK1961,N(AL1960))</f>
        <v/>
      </c>
    </row>
    <row r="1962">
      <c r="A1962" t="inlineStr">
        <is>
          <t>PRD-0654</t>
        </is>
      </c>
      <c r="B1962" t="inlineStr">
        <is>
          <t>Production</t>
        </is>
      </c>
      <c r="AB1962" t="n">
        <v>654</v>
      </c>
      <c r="AD1962" s="52">
        <f>IFERROR(N(IFERROR(INDEX($A1962:$AB1962,MATCH("Xero Invoiced Ex GST",$A$1:$AB$1,0)),"")),0)</f>
        <v/>
      </c>
      <c r="AE1962" s="53">
        <f>IFERROR(INDEX($A1962:$AB1962,MATCH("Xero Invoice Date",$A$1:$AB$1,0)),"")</f>
        <v/>
      </c>
      <c r="AF1962" s="54">
        <f>IF(AND(IFERROR(INDEX($A1962:$AB1962,MATCH("Xero Invoice No",$A$1:$AB$1,0)),"")&amp;""&lt;&gt;"",ISNUMBER(AE1962),AD1962&lt;&gt;0),1,0)</f>
        <v/>
      </c>
      <c r="AG1962" s="55">
        <f>IF(AF1962=1,EOMONTH(AE1962,0),"")</f>
        <v/>
      </c>
      <c r="AH1962" s="9">
        <f>IF(AF1962=1,UPPER(TRIM(IFERROR(INDEX($A1962:$AB1962,MATCH("Client",$A$1:$AB$1,0)),"")&amp;"")),"")</f>
        <v/>
      </c>
      <c r="AI1962" s="9">
        <f>IF(AF1962=1,IFERROR(INDEX($A1962:$AB1962,MATCH("Cost Centre",$A$1:$AB$1,0)),"")&amp;"","")</f>
        <v/>
      </c>
      <c r="AJ1962" s="54">
        <f>IF(AND(AF1962=1,AE1962&gt;=set_FYStart,AE1962&lt;=set_AsAt),1,0)</f>
        <v/>
      </c>
      <c r="AK1962" s="54">
        <f>IF(AND(AJ1962=1,AH1962&lt;&gt;"",COUNTIFS($AH$2:AH1962,AH1962,$AJ$2:AJ1962,1)=1),N(AL1961)+1,"")</f>
        <v/>
      </c>
      <c r="AL1962" s="54">
        <f>IF(AK1962&lt;&gt;"",AK1962,N(AL1961))</f>
        <v/>
      </c>
    </row>
    <row r="1963">
      <c r="A1963" t="inlineStr">
        <is>
          <t>CON-0654</t>
        </is>
      </c>
      <c r="B1963" t="inlineStr">
        <is>
          <t>Consulting</t>
        </is>
      </c>
      <c r="AB1963" t="n">
        <v>654</v>
      </c>
      <c r="AD1963" s="52">
        <f>IFERROR(N(IFERROR(INDEX($A1963:$AB1963,MATCH("Xero Invoiced Ex GST",$A$1:$AB$1,0)),"")),0)</f>
        <v/>
      </c>
      <c r="AE1963" s="53">
        <f>IFERROR(INDEX($A1963:$AB1963,MATCH("Xero Invoice Date",$A$1:$AB$1,0)),"")</f>
        <v/>
      </c>
      <c r="AF1963" s="54">
        <f>IF(AND(IFERROR(INDEX($A1963:$AB1963,MATCH("Xero Invoice No",$A$1:$AB$1,0)),"")&amp;""&lt;&gt;"",ISNUMBER(AE1963),AD1963&lt;&gt;0),1,0)</f>
        <v/>
      </c>
      <c r="AG1963" s="55">
        <f>IF(AF1963=1,EOMONTH(AE1963,0),"")</f>
        <v/>
      </c>
      <c r="AH1963" s="9">
        <f>IF(AF1963=1,UPPER(TRIM(IFERROR(INDEX($A1963:$AB1963,MATCH("Client",$A$1:$AB$1,0)),"")&amp;"")),"")</f>
        <v/>
      </c>
      <c r="AI1963" s="9">
        <f>IF(AF1963=1,IFERROR(INDEX($A1963:$AB1963,MATCH("Cost Centre",$A$1:$AB$1,0)),"")&amp;"","")</f>
        <v/>
      </c>
      <c r="AJ1963" s="54">
        <f>IF(AND(AF1963=1,AE1963&gt;=set_FYStart,AE1963&lt;=set_AsAt),1,0)</f>
        <v/>
      </c>
      <c r="AK1963" s="54">
        <f>IF(AND(AJ1963=1,AH1963&lt;&gt;"",COUNTIFS($AH$2:AH1963,AH1963,$AJ$2:AJ1963,1)=1),N(AL1962)+1,"")</f>
        <v/>
      </c>
      <c r="AL1963" s="54">
        <f>IF(AK1963&lt;&gt;"",AK1963,N(AL1962))</f>
        <v/>
      </c>
    </row>
    <row r="1964">
      <c r="A1964" t="inlineStr">
        <is>
          <t>ONS-0655</t>
        </is>
      </c>
      <c r="B1964" t="inlineStr">
        <is>
          <t>Onsite</t>
        </is>
      </c>
      <c r="AB1964" t="n">
        <v>655</v>
      </c>
      <c r="AD1964" s="52">
        <f>IFERROR(N(IFERROR(INDEX($A1964:$AB1964,MATCH("Xero Invoiced Ex GST",$A$1:$AB$1,0)),"")),0)</f>
        <v/>
      </c>
      <c r="AE1964" s="53">
        <f>IFERROR(INDEX($A1964:$AB1964,MATCH("Xero Invoice Date",$A$1:$AB$1,0)),"")</f>
        <v/>
      </c>
      <c r="AF1964" s="54">
        <f>IF(AND(IFERROR(INDEX($A1964:$AB1964,MATCH("Xero Invoice No",$A$1:$AB$1,0)),"")&amp;""&lt;&gt;"",ISNUMBER(AE1964),AD1964&lt;&gt;0),1,0)</f>
        <v/>
      </c>
      <c r="AG1964" s="55">
        <f>IF(AF1964=1,EOMONTH(AE1964,0),"")</f>
        <v/>
      </c>
      <c r="AH1964" s="9">
        <f>IF(AF1964=1,UPPER(TRIM(IFERROR(INDEX($A1964:$AB1964,MATCH("Client",$A$1:$AB$1,0)),"")&amp;"")),"")</f>
        <v/>
      </c>
      <c r="AI1964" s="9">
        <f>IF(AF1964=1,IFERROR(INDEX($A1964:$AB1964,MATCH("Cost Centre",$A$1:$AB$1,0)),"")&amp;"","")</f>
        <v/>
      </c>
      <c r="AJ1964" s="54">
        <f>IF(AND(AF1964=1,AE1964&gt;=set_FYStart,AE1964&lt;=set_AsAt),1,0)</f>
        <v/>
      </c>
      <c r="AK1964" s="54">
        <f>IF(AND(AJ1964=1,AH1964&lt;&gt;"",COUNTIFS($AH$2:AH1964,AH1964,$AJ$2:AJ1964,1)=1),N(AL1963)+1,"")</f>
        <v/>
      </c>
      <c r="AL1964" s="54">
        <f>IF(AK1964&lt;&gt;"",AK1964,N(AL1963))</f>
        <v/>
      </c>
    </row>
    <row r="1965">
      <c r="A1965" t="inlineStr">
        <is>
          <t>PRD-0655</t>
        </is>
      </c>
      <c r="B1965" t="inlineStr">
        <is>
          <t>Production</t>
        </is>
      </c>
      <c r="AB1965" t="n">
        <v>655</v>
      </c>
      <c r="AD1965" s="52">
        <f>IFERROR(N(IFERROR(INDEX($A1965:$AB1965,MATCH("Xero Invoiced Ex GST",$A$1:$AB$1,0)),"")),0)</f>
        <v/>
      </c>
      <c r="AE1965" s="53">
        <f>IFERROR(INDEX($A1965:$AB1965,MATCH("Xero Invoice Date",$A$1:$AB$1,0)),"")</f>
        <v/>
      </c>
      <c r="AF1965" s="54">
        <f>IF(AND(IFERROR(INDEX($A1965:$AB1965,MATCH("Xero Invoice No",$A$1:$AB$1,0)),"")&amp;""&lt;&gt;"",ISNUMBER(AE1965),AD1965&lt;&gt;0),1,0)</f>
        <v/>
      </c>
      <c r="AG1965" s="55">
        <f>IF(AF1965=1,EOMONTH(AE1965,0),"")</f>
        <v/>
      </c>
      <c r="AH1965" s="9">
        <f>IF(AF1965=1,UPPER(TRIM(IFERROR(INDEX($A1965:$AB1965,MATCH("Client",$A$1:$AB$1,0)),"")&amp;"")),"")</f>
        <v/>
      </c>
      <c r="AI1965" s="9">
        <f>IF(AF1965=1,IFERROR(INDEX($A1965:$AB1965,MATCH("Cost Centre",$A$1:$AB$1,0)),"")&amp;"","")</f>
        <v/>
      </c>
      <c r="AJ1965" s="54">
        <f>IF(AND(AF1965=1,AE1965&gt;=set_FYStart,AE1965&lt;=set_AsAt),1,0)</f>
        <v/>
      </c>
      <c r="AK1965" s="54">
        <f>IF(AND(AJ1965=1,AH1965&lt;&gt;"",COUNTIFS($AH$2:AH1965,AH1965,$AJ$2:AJ1965,1)=1),N(AL1964)+1,"")</f>
        <v/>
      </c>
      <c r="AL1965" s="54">
        <f>IF(AK1965&lt;&gt;"",AK1965,N(AL1964))</f>
        <v/>
      </c>
    </row>
    <row r="1966">
      <c r="A1966" t="inlineStr">
        <is>
          <t>CON-0655</t>
        </is>
      </c>
      <c r="B1966" t="inlineStr">
        <is>
          <t>Consulting</t>
        </is>
      </c>
      <c r="AB1966" t="n">
        <v>655</v>
      </c>
      <c r="AD1966" s="52">
        <f>IFERROR(N(IFERROR(INDEX($A1966:$AB1966,MATCH("Xero Invoiced Ex GST",$A$1:$AB$1,0)),"")),0)</f>
        <v/>
      </c>
      <c r="AE1966" s="53">
        <f>IFERROR(INDEX($A1966:$AB1966,MATCH("Xero Invoice Date",$A$1:$AB$1,0)),"")</f>
        <v/>
      </c>
      <c r="AF1966" s="54">
        <f>IF(AND(IFERROR(INDEX($A1966:$AB1966,MATCH("Xero Invoice No",$A$1:$AB$1,0)),"")&amp;""&lt;&gt;"",ISNUMBER(AE1966),AD1966&lt;&gt;0),1,0)</f>
        <v/>
      </c>
      <c r="AG1966" s="55">
        <f>IF(AF1966=1,EOMONTH(AE1966,0),"")</f>
        <v/>
      </c>
      <c r="AH1966" s="9">
        <f>IF(AF1966=1,UPPER(TRIM(IFERROR(INDEX($A1966:$AB1966,MATCH("Client",$A$1:$AB$1,0)),"")&amp;"")),"")</f>
        <v/>
      </c>
      <c r="AI1966" s="9">
        <f>IF(AF1966=1,IFERROR(INDEX($A1966:$AB1966,MATCH("Cost Centre",$A$1:$AB$1,0)),"")&amp;"","")</f>
        <v/>
      </c>
      <c r="AJ1966" s="54">
        <f>IF(AND(AF1966=1,AE1966&gt;=set_FYStart,AE1966&lt;=set_AsAt),1,0)</f>
        <v/>
      </c>
      <c r="AK1966" s="54">
        <f>IF(AND(AJ1966=1,AH1966&lt;&gt;"",COUNTIFS($AH$2:AH1966,AH1966,$AJ$2:AJ1966,1)=1),N(AL1965)+1,"")</f>
        <v/>
      </c>
      <c r="AL1966" s="54">
        <f>IF(AK1966&lt;&gt;"",AK1966,N(AL1965))</f>
        <v/>
      </c>
    </row>
    <row r="1967">
      <c r="A1967" t="inlineStr">
        <is>
          <t>ONS-0656</t>
        </is>
      </c>
      <c r="B1967" t="inlineStr">
        <is>
          <t>Onsite</t>
        </is>
      </c>
      <c r="AB1967" t="n">
        <v>656</v>
      </c>
      <c r="AD1967" s="52">
        <f>IFERROR(N(IFERROR(INDEX($A1967:$AB1967,MATCH("Xero Invoiced Ex GST",$A$1:$AB$1,0)),"")),0)</f>
        <v/>
      </c>
      <c r="AE1967" s="53">
        <f>IFERROR(INDEX($A1967:$AB1967,MATCH("Xero Invoice Date",$A$1:$AB$1,0)),"")</f>
        <v/>
      </c>
      <c r="AF1967" s="54">
        <f>IF(AND(IFERROR(INDEX($A1967:$AB1967,MATCH("Xero Invoice No",$A$1:$AB$1,0)),"")&amp;""&lt;&gt;"",ISNUMBER(AE1967),AD1967&lt;&gt;0),1,0)</f>
        <v/>
      </c>
      <c r="AG1967" s="55">
        <f>IF(AF1967=1,EOMONTH(AE1967,0),"")</f>
        <v/>
      </c>
      <c r="AH1967" s="9">
        <f>IF(AF1967=1,UPPER(TRIM(IFERROR(INDEX($A1967:$AB1967,MATCH("Client",$A$1:$AB$1,0)),"")&amp;"")),"")</f>
        <v/>
      </c>
      <c r="AI1967" s="9">
        <f>IF(AF1967=1,IFERROR(INDEX($A1967:$AB1967,MATCH("Cost Centre",$A$1:$AB$1,0)),"")&amp;"","")</f>
        <v/>
      </c>
      <c r="AJ1967" s="54">
        <f>IF(AND(AF1967=1,AE1967&gt;=set_FYStart,AE1967&lt;=set_AsAt),1,0)</f>
        <v/>
      </c>
      <c r="AK1967" s="54">
        <f>IF(AND(AJ1967=1,AH1967&lt;&gt;"",COUNTIFS($AH$2:AH1967,AH1967,$AJ$2:AJ1967,1)=1),N(AL1966)+1,"")</f>
        <v/>
      </c>
      <c r="AL1967" s="54">
        <f>IF(AK1967&lt;&gt;"",AK1967,N(AL1966))</f>
        <v/>
      </c>
    </row>
    <row r="1968">
      <c r="A1968" t="inlineStr">
        <is>
          <t>PRD-0656</t>
        </is>
      </c>
      <c r="B1968" t="inlineStr">
        <is>
          <t>Production</t>
        </is>
      </c>
      <c r="AB1968" t="n">
        <v>656</v>
      </c>
      <c r="AD1968" s="52">
        <f>IFERROR(N(IFERROR(INDEX($A1968:$AB1968,MATCH("Xero Invoiced Ex GST",$A$1:$AB$1,0)),"")),0)</f>
        <v/>
      </c>
      <c r="AE1968" s="53">
        <f>IFERROR(INDEX($A1968:$AB1968,MATCH("Xero Invoice Date",$A$1:$AB$1,0)),"")</f>
        <v/>
      </c>
      <c r="AF1968" s="54">
        <f>IF(AND(IFERROR(INDEX($A1968:$AB1968,MATCH("Xero Invoice No",$A$1:$AB$1,0)),"")&amp;""&lt;&gt;"",ISNUMBER(AE1968),AD1968&lt;&gt;0),1,0)</f>
        <v/>
      </c>
      <c r="AG1968" s="55">
        <f>IF(AF1968=1,EOMONTH(AE1968,0),"")</f>
        <v/>
      </c>
      <c r="AH1968" s="9">
        <f>IF(AF1968=1,UPPER(TRIM(IFERROR(INDEX($A1968:$AB1968,MATCH("Client",$A$1:$AB$1,0)),"")&amp;"")),"")</f>
        <v/>
      </c>
      <c r="AI1968" s="9">
        <f>IF(AF1968=1,IFERROR(INDEX($A1968:$AB1968,MATCH("Cost Centre",$A$1:$AB$1,0)),"")&amp;"","")</f>
        <v/>
      </c>
      <c r="AJ1968" s="54">
        <f>IF(AND(AF1968=1,AE1968&gt;=set_FYStart,AE1968&lt;=set_AsAt),1,0)</f>
        <v/>
      </c>
      <c r="AK1968" s="54">
        <f>IF(AND(AJ1968=1,AH1968&lt;&gt;"",COUNTIFS($AH$2:AH1968,AH1968,$AJ$2:AJ1968,1)=1),N(AL1967)+1,"")</f>
        <v/>
      </c>
      <c r="AL1968" s="54">
        <f>IF(AK1968&lt;&gt;"",AK1968,N(AL1967))</f>
        <v/>
      </c>
    </row>
    <row r="1969">
      <c r="A1969" t="inlineStr">
        <is>
          <t>CON-0656</t>
        </is>
      </c>
      <c r="B1969" t="inlineStr">
        <is>
          <t>Consulting</t>
        </is>
      </c>
      <c r="AB1969" t="n">
        <v>656</v>
      </c>
      <c r="AD1969" s="52">
        <f>IFERROR(N(IFERROR(INDEX($A1969:$AB1969,MATCH("Xero Invoiced Ex GST",$A$1:$AB$1,0)),"")),0)</f>
        <v/>
      </c>
      <c r="AE1969" s="53">
        <f>IFERROR(INDEX($A1969:$AB1969,MATCH("Xero Invoice Date",$A$1:$AB$1,0)),"")</f>
        <v/>
      </c>
      <c r="AF1969" s="54">
        <f>IF(AND(IFERROR(INDEX($A1969:$AB1969,MATCH("Xero Invoice No",$A$1:$AB$1,0)),"")&amp;""&lt;&gt;"",ISNUMBER(AE1969),AD1969&lt;&gt;0),1,0)</f>
        <v/>
      </c>
      <c r="AG1969" s="55">
        <f>IF(AF1969=1,EOMONTH(AE1969,0),"")</f>
        <v/>
      </c>
      <c r="AH1969" s="9">
        <f>IF(AF1969=1,UPPER(TRIM(IFERROR(INDEX($A1969:$AB1969,MATCH("Client",$A$1:$AB$1,0)),"")&amp;"")),"")</f>
        <v/>
      </c>
      <c r="AI1969" s="9">
        <f>IF(AF1969=1,IFERROR(INDEX($A1969:$AB1969,MATCH("Cost Centre",$A$1:$AB$1,0)),"")&amp;"","")</f>
        <v/>
      </c>
      <c r="AJ1969" s="54">
        <f>IF(AND(AF1969=1,AE1969&gt;=set_FYStart,AE1969&lt;=set_AsAt),1,0)</f>
        <v/>
      </c>
      <c r="AK1969" s="54">
        <f>IF(AND(AJ1969=1,AH1969&lt;&gt;"",COUNTIFS($AH$2:AH1969,AH1969,$AJ$2:AJ1969,1)=1),N(AL1968)+1,"")</f>
        <v/>
      </c>
      <c r="AL1969" s="54">
        <f>IF(AK1969&lt;&gt;"",AK1969,N(AL1968))</f>
        <v/>
      </c>
    </row>
    <row r="1970">
      <c r="A1970" t="inlineStr">
        <is>
          <t>ONS-0657</t>
        </is>
      </c>
      <c r="B1970" t="inlineStr">
        <is>
          <t>Onsite</t>
        </is>
      </c>
      <c r="AB1970" t="n">
        <v>657</v>
      </c>
      <c r="AD1970" s="52">
        <f>IFERROR(N(IFERROR(INDEX($A1970:$AB1970,MATCH("Xero Invoiced Ex GST",$A$1:$AB$1,0)),"")),0)</f>
        <v/>
      </c>
      <c r="AE1970" s="53">
        <f>IFERROR(INDEX($A1970:$AB1970,MATCH("Xero Invoice Date",$A$1:$AB$1,0)),"")</f>
        <v/>
      </c>
      <c r="AF1970" s="54">
        <f>IF(AND(IFERROR(INDEX($A1970:$AB1970,MATCH("Xero Invoice No",$A$1:$AB$1,0)),"")&amp;""&lt;&gt;"",ISNUMBER(AE1970),AD1970&lt;&gt;0),1,0)</f>
        <v/>
      </c>
      <c r="AG1970" s="55">
        <f>IF(AF1970=1,EOMONTH(AE1970,0),"")</f>
        <v/>
      </c>
      <c r="AH1970" s="9">
        <f>IF(AF1970=1,UPPER(TRIM(IFERROR(INDEX($A1970:$AB1970,MATCH("Client",$A$1:$AB$1,0)),"")&amp;"")),"")</f>
        <v/>
      </c>
      <c r="AI1970" s="9">
        <f>IF(AF1970=1,IFERROR(INDEX($A1970:$AB1970,MATCH("Cost Centre",$A$1:$AB$1,0)),"")&amp;"","")</f>
        <v/>
      </c>
      <c r="AJ1970" s="54">
        <f>IF(AND(AF1970=1,AE1970&gt;=set_FYStart,AE1970&lt;=set_AsAt),1,0)</f>
        <v/>
      </c>
      <c r="AK1970" s="54">
        <f>IF(AND(AJ1970=1,AH1970&lt;&gt;"",COUNTIFS($AH$2:AH1970,AH1970,$AJ$2:AJ1970,1)=1),N(AL1969)+1,"")</f>
        <v/>
      </c>
      <c r="AL1970" s="54">
        <f>IF(AK1970&lt;&gt;"",AK1970,N(AL1969))</f>
        <v/>
      </c>
    </row>
    <row r="1971">
      <c r="A1971" t="inlineStr">
        <is>
          <t>PRD-0657</t>
        </is>
      </c>
      <c r="B1971" t="inlineStr">
        <is>
          <t>Production</t>
        </is>
      </c>
      <c r="AB1971" t="n">
        <v>657</v>
      </c>
      <c r="AD1971" s="52">
        <f>IFERROR(N(IFERROR(INDEX($A1971:$AB1971,MATCH("Xero Invoiced Ex GST",$A$1:$AB$1,0)),"")),0)</f>
        <v/>
      </c>
      <c r="AE1971" s="53">
        <f>IFERROR(INDEX($A1971:$AB1971,MATCH("Xero Invoice Date",$A$1:$AB$1,0)),"")</f>
        <v/>
      </c>
      <c r="AF1971" s="54">
        <f>IF(AND(IFERROR(INDEX($A1971:$AB1971,MATCH("Xero Invoice No",$A$1:$AB$1,0)),"")&amp;""&lt;&gt;"",ISNUMBER(AE1971),AD1971&lt;&gt;0),1,0)</f>
        <v/>
      </c>
      <c r="AG1971" s="55">
        <f>IF(AF1971=1,EOMONTH(AE1971,0),"")</f>
        <v/>
      </c>
      <c r="AH1971" s="9">
        <f>IF(AF1971=1,UPPER(TRIM(IFERROR(INDEX($A1971:$AB1971,MATCH("Client",$A$1:$AB$1,0)),"")&amp;"")),"")</f>
        <v/>
      </c>
      <c r="AI1971" s="9">
        <f>IF(AF1971=1,IFERROR(INDEX($A1971:$AB1971,MATCH("Cost Centre",$A$1:$AB$1,0)),"")&amp;"","")</f>
        <v/>
      </c>
      <c r="AJ1971" s="54">
        <f>IF(AND(AF1971=1,AE1971&gt;=set_FYStart,AE1971&lt;=set_AsAt),1,0)</f>
        <v/>
      </c>
      <c r="AK1971" s="54">
        <f>IF(AND(AJ1971=1,AH1971&lt;&gt;"",COUNTIFS($AH$2:AH1971,AH1971,$AJ$2:AJ1971,1)=1),N(AL1970)+1,"")</f>
        <v/>
      </c>
      <c r="AL1971" s="54">
        <f>IF(AK1971&lt;&gt;"",AK1971,N(AL1970))</f>
        <v/>
      </c>
    </row>
    <row r="1972">
      <c r="A1972" t="inlineStr">
        <is>
          <t>CON-0657</t>
        </is>
      </c>
      <c r="B1972" t="inlineStr">
        <is>
          <t>Consulting</t>
        </is>
      </c>
      <c r="AB1972" t="n">
        <v>657</v>
      </c>
      <c r="AD1972" s="52">
        <f>IFERROR(N(IFERROR(INDEX($A1972:$AB1972,MATCH("Xero Invoiced Ex GST",$A$1:$AB$1,0)),"")),0)</f>
        <v/>
      </c>
      <c r="AE1972" s="53">
        <f>IFERROR(INDEX($A1972:$AB1972,MATCH("Xero Invoice Date",$A$1:$AB$1,0)),"")</f>
        <v/>
      </c>
      <c r="AF1972" s="54">
        <f>IF(AND(IFERROR(INDEX($A1972:$AB1972,MATCH("Xero Invoice No",$A$1:$AB$1,0)),"")&amp;""&lt;&gt;"",ISNUMBER(AE1972),AD1972&lt;&gt;0),1,0)</f>
        <v/>
      </c>
      <c r="AG1972" s="55">
        <f>IF(AF1972=1,EOMONTH(AE1972,0),"")</f>
        <v/>
      </c>
      <c r="AH1972" s="9">
        <f>IF(AF1972=1,UPPER(TRIM(IFERROR(INDEX($A1972:$AB1972,MATCH("Client",$A$1:$AB$1,0)),"")&amp;"")),"")</f>
        <v/>
      </c>
      <c r="AI1972" s="9">
        <f>IF(AF1972=1,IFERROR(INDEX($A1972:$AB1972,MATCH("Cost Centre",$A$1:$AB$1,0)),"")&amp;"","")</f>
        <v/>
      </c>
      <c r="AJ1972" s="54">
        <f>IF(AND(AF1972=1,AE1972&gt;=set_FYStart,AE1972&lt;=set_AsAt),1,0)</f>
        <v/>
      </c>
      <c r="AK1972" s="54">
        <f>IF(AND(AJ1972=1,AH1972&lt;&gt;"",COUNTIFS($AH$2:AH1972,AH1972,$AJ$2:AJ1972,1)=1),N(AL1971)+1,"")</f>
        <v/>
      </c>
      <c r="AL1972" s="54">
        <f>IF(AK1972&lt;&gt;"",AK1972,N(AL1971))</f>
        <v/>
      </c>
    </row>
    <row r="1973">
      <c r="A1973" t="inlineStr">
        <is>
          <t>ONS-0658</t>
        </is>
      </c>
      <c r="B1973" t="inlineStr">
        <is>
          <t>Onsite</t>
        </is>
      </c>
      <c r="AB1973" t="n">
        <v>658</v>
      </c>
      <c r="AD1973" s="52">
        <f>IFERROR(N(IFERROR(INDEX($A1973:$AB1973,MATCH("Xero Invoiced Ex GST",$A$1:$AB$1,0)),"")),0)</f>
        <v/>
      </c>
      <c r="AE1973" s="53">
        <f>IFERROR(INDEX($A1973:$AB1973,MATCH("Xero Invoice Date",$A$1:$AB$1,0)),"")</f>
        <v/>
      </c>
      <c r="AF1973" s="54">
        <f>IF(AND(IFERROR(INDEX($A1973:$AB1973,MATCH("Xero Invoice No",$A$1:$AB$1,0)),"")&amp;""&lt;&gt;"",ISNUMBER(AE1973),AD1973&lt;&gt;0),1,0)</f>
        <v/>
      </c>
      <c r="AG1973" s="55">
        <f>IF(AF1973=1,EOMONTH(AE1973,0),"")</f>
        <v/>
      </c>
      <c r="AH1973" s="9">
        <f>IF(AF1973=1,UPPER(TRIM(IFERROR(INDEX($A1973:$AB1973,MATCH("Client",$A$1:$AB$1,0)),"")&amp;"")),"")</f>
        <v/>
      </c>
      <c r="AI1973" s="9">
        <f>IF(AF1973=1,IFERROR(INDEX($A1973:$AB1973,MATCH("Cost Centre",$A$1:$AB$1,0)),"")&amp;"","")</f>
        <v/>
      </c>
      <c r="AJ1973" s="54">
        <f>IF(AND(AF1973=1,AE1973&gt;=set_FYStart,AE1973&lt;=set_AsAt),1,0)</f>
        <v/>
      </c>
      <c r="AK1973" s="54">
        <f>IF(AND(AJ1973=1,AH1973&lt;&gt;"",COUNTIFS($AH$2:AH1973,AH1973,$AJ$2:AJ1973,1)=1),N(AL1972)+1,"")</f>
        <v/>
      </c>
      <c r="AL1973" s="54">
        <f>IF(AK1973&lt;&gt;"",AK1973,N(AL1972))</f>
        <v/>
      </c>
    </row>
    <row r="1974">
      <c r="A1974" t="inlineStr">
        <is>
          <t>PRD-0658</t>
        </is>
      </c>
      <c r="B1974" t="inlineStr">
        <is>
          <t>Production</t>
        </is>
      </c>
      <c r="AB1974" t="n">
        <v>658</v>
      </c>
      <c r="AD1974" s="52">
        <f>IFERROR(N(IFERROR(INDEX($A1974:$AB1974,MATCH("Xero Invoiced Ex GST",$A$1:$AB$1,0)),"")),0)</f>
        <v/>
      </c>
      <c r="AE1974" s="53">
        <f>IFERROR(INDEX($A1974:$AB1974,MATCH("Xero Invoice Date",$A$1:$AB$1,0)),"")</f>
        <v/>
      </c>
      <c r="AF1974" s="54">
        <f>IF(AND(IFERROR(INDEX($A1974:$AB1974,MATCH("Xero Invoice No",$A$1:$AB$1,0)),"")&amp;""&lt;&gt;"",ISNUMBER(AE1974),AD1974&lt;&gt;0),1,0)</f>
        <v/>
      </c>
      <c r="AG1974" s="55">
        <f>IF(AF1974=1,EOMONTH(AE1974,0),"")</f>
        <v/>
      </c>
      <c r="AH1974" s="9">
        <f>IF(AF1974=1,UPPER(TRIM(IFERROR(INDEX($A1974:$AB1974,MATCH("Client",$A$1:$AB$1,0)),"")&amp;"")),"")</f>
        <v/>
      </c>
      <c r="AI1974" s="9">
        <f>IF(AF1974=1,IFERROR(INDEX($A1974:$AB1974,MATCH("Cost Centre",$A$1:$AB$1,0)),"")&amp;"","")</f>
        <v/>
      </c>
      <c r="AJ1974" s="54">
        <f>IF(AND(AF1974=1,AE1974&gt;=set_FYStart,AE1974&lt;=set_AsAt),1,0)</f>
        <v/>
      </c>
      <c r="AK1974" s="54">
        <f>IF(AND(AJ1974=1,AH1974&lt;&gt;"",COUNTIFS($AH$2:AH1974,AH1974,$AJ$2:AJ1974,1)=1),N(AL1973)+1,"")</f>
        <v/>
      </c>
      <c r="AL1974" s="54">
        <f>IF(AK1974&lt;&gt;"",AK1974,N(AL1973))</f>
        <v/>
      </c>
    </row>
    <row r="1975">
      <c r="A1975" t="inlineStr">
        <is>
          <t>CON-0658</t>
        </is>
      </c>
      <c r="B1975" t="inlineStr">
        <is>
          <t>Consulting</t>
        </is>
      </c>
      <c r="AB1975" t="n">
        <v>658</v>
      </c>
      <c r="AD1975" s="52">
        <f>IFERROR(N(IFERROR(INDEX($A1975:$AB1975,MATCH("Xero Invoiced Ex GST",$A$1:$AB$1,0)),"")),0)</f>
        <v/>
      </c>
      <c r="AE1975" s="53">
        <f>IFERROR(INDEX($A1975:$AB1975,MATCH("Xero Invoice Date",$A$1:$AB$1,0)),"")</f>
        <v/>
      </c>
      <c r="AF1975" s="54">
        <f>IF(AND(IFERROR(INDEX($A1975:$AB1975,MATCH("Xero Invoice No",$A$1:$AB$1,0)),"")&amp;""&lt;&gt;"",ISNUMBER(AE1975),AD1975&lt;&gt;0),1,0)</f>
        <v/>
      </c>
      <c r="AG1975" s="55">
        <f>IF(AF1975=1,EOMONTH(AE1975,0),"")</f>
        <v/>
      </c>
      <c r="AH1975" s="9">
        <f>IF(AF1975=1,UPPER(TRIM(IFERROR(INDEX($A1975:$AB1975,MATCH("Client",$A$1:$AB$1,0)),"")&amp;"")),"")</f>
        <v/>
      </c>
      <c r="AI1975" s="9">
        <f>IF(AF1975=1,IFERROR(INDEX($A1975:$AB1975,MATCH("Cost Centre",$A$1:$AB$1,0)),"")&amp;"","")</f>
        <v/>
      </c>
      <c r="AJ1975" s="54">
        <f>IF(AND(AF1975=1,AE1975&gt;=set_FYStart,AE1975&lt;=set_AsAt),1,0)</f>
        <v/>
      </c>
      <c r="AK1975" s="54">
        <f>IF(AND(AJ1975=1,AH1975&lt;&gt;"",COUNTIFS($AH$2:AH1975,AH1975,$AJ$2:AJ1975,1)=1),N(AL1974)+1,"")</f>
        <v/>
      </c>
      <c r="AL1975" s="54">
        <f>IF(AK1975&lt;&gt;"",AK1975,N(AL1974))</f>
        <v/>
      </c>
    </row>
    <row r="1976">
      <c r="A1976" t="inlineStr">
        <is>
          <t>ONS-0659</t>
        </is>
      </c>
      <c r="B1976" t="inlineStr">
        <is>
          <t>Onsite</t>
        </is>
      </c>
      <c r="AB1976" t="n">
        <v>659</v>
      </c>
      <c r="AD1976" s="52">
        <f>IFERROR(N(IFERROR(INDEX($A1976:$AB1976,MATCH("Xero Invoiced Ex GST",$A$1:$AB$1,0)),"")),0)</f>
        <v/>
      </c>
      <c r="AE1976" s="53">
        <f>IFERROR(INDEX($A1976:$AB1976,MATCH("Xero Invoice Date",$A$1:$AB$1,0)),"")</f>
        <v/>
      </c>
      <c r="AF1976" s="54">
        <f>IF(AND(IFERROR(INDEX($A1976:$AB1976,MATCH("Xero Invoice No",$A$1:$AB$1,0)),"")&amp;""&lt;&gt;"",ISNUMBER(AE1976),AD1976&lt;&gt;0),1,0)</f>
        <v/>
      </c>
      <c r="AG1976" s="55">
        <f>IF(AF1976=1,EOMONTH(AE1976,0),"")</f>
        <v/>
      </c>
      <c r="AH1976" s="9">
        <f>IF(AF1976=1,UPPER(TRIM(IFERROR(INDEX($A1976:$AB1976,MATCH("Client",$A$1:$AB$1,0)),"")&amp;"")),"")</f>
        <v/>
      </c>
      <c r="AI1976" s="9">
        <f>IF(AF1976=1,IFERROR(INDEX($A1976:$AB1976,MATCH("Cost Centre",$A$1:$AB$1,0)),"")&amp;"","")</f>
        <v/>
      </c>
      <c r="AJ1976" s="54">
        <f>IF(AND(AF1976=1,AE1976&gt;=set_FYStart,AE1976&lt;=set_AsAt),1,0)</f>
        <v/>
      </c>
      <c r="AK1976" s="54">
        <f>IF(AND(AJ1976=1,AH1976&lt;&gt;"",COUNTIFS($AH$2:AH1976,AH1976,$AJ$2:AJ1976,1)=1),N(AL1975)+1,"")</f>
        <v/>
      </c>
      <c r="AL1976" s="54">
        <f>IF(AK1976&lt;&gt;"",AK1976,N(AL1975))</f>
        <v/>
      </c>
    </row>
    <row r="1977">
      <c r="A1977" t="inlineStr">
        <is>
          <t>PRD-0659</t>
        </is>
      </c>
      <c r="B1977" t="inlineStr">
        <is>
          <t>Production</t>
        </is>
      </c>
      <c r="AB1977" t="n">
        <v>659</v>
      </c>
      <c r="AD1977" s="52">
        <f>IFERROR(N(IFERROR(INDEX($A1977:$AB1977,MATCH("Xero Invoiced Ex GST",$A$1:$AB$1,0)),"")),0)</f>
        <v/>
      </c>
      <c r="AE1977" s="53">
        <f>IFERROR(INDEX($A1977:$AB1977,MATCH("Xero Invoice Date",$A$1:$AB$1,0)),"")</f>
        <v/>
      </c>
      <c r="AF1977" s="54">
        <f>IF(AND(IFERROR(INDEX($A1977:$AB1977,MATCH("Xero Invoice No",$A$1:$AB$1,0)),"")&amp;""&lt;&gt;"",ISNUMBER(AE1977),AD1977&lt;&gt;0),1,0)</f>
        <v/>
      </c>
      <c r="AG1977" s="55">
        <f>IF(AF1977=1,EOMONTH(AE1977,0),"")</f>
        <v/>
      </c>
      <c r="AH1977" s="9">
        <f>IF(AF1977=1,UPPER(TRIM(IFERROR(INDEX($A1977:$AB1977,MATCH("Client",$A$1:$AB$1,0)),"")&amp;"")),"")</f>
        <v/>
      </c>
      <c r="AI1977" s="9">
        <f>IF(AF1977=1,IFERROR(INDEX($A1977:$AB1977,MATCH("Cost Centre",$A$1:$AB$1,0)),"")&amp;"","")</f>
        <v/>
      </c>
      <c r="AJ1977" s="54">
        <f>IF(AND(AF1977=1,AE1977&gt;=set_FYStart,AE1977&lt;=set_AsAt),1,0)</f>
        <v/>
      </c>
      <c r="AK1977" s="54">
        <f>IF(AND(AJ1977=1,AH1977&lt;&gt;"",COUNTIFS($AH$2:AH1977,AH1977,$AJ$2:AJ1977,1)=1),N(AL1976)+1,"")</f>
        <v/>
      </c>
      <c r="AL1977" s="54">
        <f>IF(AK1977&lt;&gt;"",AK1977,N(AL1976))</f>
        <v/>
      </c>
    </row>
    <row r="1978">
      <c r="A1978" t="inlineStr">
        <is>
          <t>CON-0659</t>
        </is>
      </c>
      <c r="B1978" t="inlineStr">
        <is>
          <t>Consulting</t>
        </is>
      </c>
      <c r="AB1978" t="n">
        <v>659</v>
      </c>
      <c r="AD1978" s="52">
        <f>IFERROR(N(IFERROR(INDEX($A1978:$AB1978,MATCH("Xero Invoiced Ex GST",$A$1:$AB$1,0)),"")),0)</f>
        <v/>
      </c>
      <c r="AE1978" s="53">
        <f>IFERROR(INDEX($A1978:$AB1978,MATCH("Xero Invoice Date",$A$1:$AB$1,0)),"")</f>
        <v/>
      </c>
      <c r="AF1978" s="54">
        <f>IF(AND(IFERROR(INDEX($A1978:$AB1978,MATCH("Xero Invoice No",$A$1:$AB$1,0)),"")&amp;""&lt;&gt;"",ISNUMBER(AE1978),AD1978&lt;&gt;0),1,0)</f>
        <v/>
      </c>
      <c r="AG1978" s="55">
        <f>IF(AF1978=1,EOMONTH(AE1978,0),"")</f>
        <v/>
      </c>
      <c r="AH1978" s="9">
        <f>IF(AF1978=1,UPPER(TRIM(IFERROR(INDEX($A1978:$AB1978,MATCH("Client",$A$1:$AB$1,0)),"")&amp;"")),"")</f>
        <v/>
      </c>
      <c r="AI1978" s="9">
        <f>IF(AF1978=1,IFERROR(INDEX($A1978:$AB1978,MATCH("Cost Centre",$A$1:$AB$1,0)),"")&amp;"","")</f>
        <v/>
      </c>
      <c r="AJ1978" s="54">
        <f>IF(AND(AF1978=1,AE1978&gt;=set_FYStart,AE1978&lt;=set_AsAt),1,0)</f>
        <v/>
      </c>
      <c r="AK1978" s="54">
        <f>IF(AND(AJ1978=1,AH1978&lt;&gt;"",COUNTIFS($AH$2:AH1978,AH1978,$AJ$2:AJ1978,1)=1),N(AL1977)+1,"")</f>
        <v/>
      </c>
      <c r="AL1978" s="54">
        <f>IF(AK1978&lt;&gt;"",AK1978,N(AL1977))</f>
        <v/>
      </c>
    </row>
    <row r="1979">
      <c r="A1979" t="inlineStr">
        <is>
          <t>ONS-0660</t>
        </is>
      </c>
      <c r="B1979" t="inlineStr">
        <is>
          <t>Onsite</t>
        </is>
      </c>
      <c r="AB1979" t="n">
        <v>660</v>
      </c>
      <c r="AD1979" s="52">
        <f>IFERROR(N(IFERROR(INDEX($A1979:$AB1979,MATCH("Xero Invoiced Ex GST",$A$1:$AB$1,0)),"")),0)</f>
        <v/>
      </c>
      <c r="AE1979" s="53">
        <f>IFERROR(INDEX($A1979:$AB1979,MATCH("Xero Invoice Date",$A$1:$AB$1,0)),"")</f>
        <v/>
      </c>
      <c r="AF1979" s="54">
        <f>IF(AND(IFERROR(INDEX($A1979:$AB1979,MATCH("Xero Invoice No",$A$1:$AB$1,0)),"")&amp;""&lt;&gt;"",ISNUMBER(AE1979),AD1979&lt;&gt;0),1,0)</f>
        <v/>
      </c>
      <c r="AG1979" s="55">
        <f>IF(AF1979=1,EOMONTH(AE1979,0),"")</f>
        <v/>
      </c>
      <c r="AH1979" s="9">
        <f>IF(AF1979=1,UPPER(TRIM(IFERROR(INDEX($A1979:$AB1979,MATCH("Client",$A$1:$AB$1,0)),"")&amp;"")),"")</f>
        <v/>
      </c>
      <c r="AI1979" s="9">
        <f>IF(AF1979=1,IFERROR(INDEX($A1979:$AB1979,MATCH("Cost Centre",$A$1:$AB$1,0)),"")&amp;"","")</f>
        <v/>
      </c>
      <c r="AJ1979" s="54">
        <f>IF(AND(AF1979=1,AE1979&gt;=set_FYStart,AE1979&lt;=set_AsAt),1,0)</f>
        <v/>
      </c>
      <c r="AK1979" s="54">
        <f>IF(AND(AJ1979=1,AH1979&lt;&gt;"",COUNTIFS($AH$2:AH1979,AH1979,$AJ$2:AJ1979,1)=1),N(AL1978)+1,"")</f>
        <v/>
      </c>
      <c r="AL1979" s="54">
        <f>IF(AK1979&lt;&gt;"",AK1979,N(AL1978))</f>
        <v/>
      </c>
    </row>
    <row r="1980">
      <c r="A1980" t="inlineStr">
        <is>
          <t>PRD-0660</t>
        </is>
      </c>
      <c r="B1980" t="inlineStr">
        <is>
          <t>Production</t>
        </is>
      </c>
      <c r="AB1980" t="n">
        <v>660</v>
      </c>
      <c r="AD1980" s="52">
        <f>IFERROR(N(IFERROR(INDEX($A1980:$AB1980,MATCH("Xero Invoiced Ex GST",$A$1:$AB$1,0)),"")),0)</f>
        <v/>
      </c>
      <c r="AE1980" s="53">
        <f>IFERROR(INDEX($A1980:$AB1980,MATCH("Xero Invoice Date",$A$1:$AB$1,0)),"")</f>
        <v/>
      </c>
      <c r="AF1980" s="54">
        <f>IF(AND(IFERROR(INDEX($A1980:$AB1980,MATCH("Xero Invoice No",$A$1:$AB$1,0)),"")&amp;""&lt;&gt;"",ISNUMBER(AE1980),AD1980&lt;&gt;0),1,0)</f>
        <v/>
      </c>
      <c r="AG1980" s="55">
        <f>IF(AF1980=1,EOMONTH(AE1980,0),"")</f>
        <v/>
      </c>
      <c r="AH1980" s="9">
        <f>IF(AF1980=1,UPPER(TRIM(IFERROR(INDEX($A1980:$AB1980,MATCH("Client",$A$1:$AB$1,0)),"")&amp;"")),"")</f>
        <v/>
      </c>
      <c r="AI1980" s="9">
        <f>IF(AF1980=1,IFERROR(INDEX($A1980:$AB1980,MATCH("Cost Centre",$A$1:$AB$1,0)),"")&amp;"","")</f>
        <v/>
      </c>
      <c r="AJ1980" s="54">
        <f>IF(AND(AF1980=1,AE1980&gt;=set_FYStart,AE1980&lt;=set_AsAt),1,0)</f>
        <v/>
      </c>
      <c r="AK1980" s="54">
        <f>IF(AND(AJ1980=1,AH1980&lt;&gt;"",COUNTIFS($AH$2:AH1980,AH1980,$AJ$2:AJ1980,1)=1),N(AL1979)+1,"")</f>
        <v/>
      </c>
      <c r="AL1980" s="54">
        <f>IF(AK1980&lt;&gt;"",AK1980,N(AL1979))</f>
        <v/>
      </c>
    </row>
    <row r="1981">
      <c r="A1981" t="inlineStr">
        <is>
          <t>CON-0660</t>
        </is>
      </c>
      <c r="B1981" t="inlineStr">
        <is>
          <t>Consulting</t>
        </is>
      </c>
      <c r="AB1981" t="n">
        <v>660</v>
      </c>
      <c r="AD1981" s="52">
        <f>IFERROR(N(IFERROR(INDEX($A1981:$AB1981,MATCH("Xero Invoiced Ex GST",$A$1:$AB$1,0)),"")),0)</f>
        <v/>
      </c>
      <c r="AE1981" s="53">
        <f>IFERROR(INDEX($A1981:$AB1981,MATCH("Xero Invoice Date",$A$1:$AB$1,0)),"")</f>
        <v/>
      </c>
      <c r="AF1981" s="54">
        <f>IF(AND(IFERROR(INDEX($A1981:$AB1981,MATCH("Xero Invoice No",$A$1:$AB$1,0)),"")&amp;""&lt;&gt;"",ISNUMBER(AE1981),AD1981&lt;&gt;0),1,0)</f>
        <v/>
      </c>
      <c r="AG1981" s="55">
        <f>IF(AF1981=1,EOMONTH(AE1981,0),"")</f>
        <v/>
      </c>
      <c r="AH1981" s="9">
        <f>IF(AF1981=1,UPPER(TRIM(IFERROR(INDEX($A1981:$AB1981,MATCH("Client",$A$1:$AB$1,0)),"")&amp;"")),"")</f>
        <v/>
      </c>
      <c r="AI1981" s="9">
        <f>IF(AF1981=1,IFERROR(INDEX($A1981:$AB1981,MATCH("Cost Centre",$A$1:$AB$1,0)),"")&amp;"","")</f>
        <v/>
      </c>
      <c r="AJ1981" s="54">
        <f>IF(AND(AF1981=1,AE1981&gt;=set_FYStart,AE1981&lt;=set_AsAt),1,0)</f>
        <v/>
      </c>
      <c r="AK1981" s="54">
        <f>IF(AND(AJ1981=1,AH1981&lt;&gt;"",COUNTIFS($AH$2:AH1981,AH1981,$AJ$2:AJ1981,1)=1),N(AL1980)+1,"")</f>
        <v/>
      </c>
      <c r="AL1981" s="54">
        <f>IF(AK1981&lt;&gt;"",AK1981,N(AL1980))</f>
        <v/>
      </c>
    </row>
    <row r="1982">
      <c r="A1982" t="inlineStr">
        <is>
          <t>ONS-0661</t>
        </is>
      </c>
      <c r="B1982" t="inlineStr">
        <is>
          <t>Onsite</t>
        </is>
      </c>
      <c r="AB1982" t="n">
        <v>661</v>
      </c>
      <c r="AD1982" s="52">
        <f>IFERROR(N(IFERROR(INDEX($A1982:$AB1982,MATCH("Xero Invoiced Ex GST",$A$1:$AB$1,0)),"")),0)</f>
        <v/>
      </c>
      <c r="AE1982" s="53">
        <f>IFERROR(INDEX($A1982:$AB1982,MATCH("Xero Invoice Date",$A$1:$AB$1,0)),"")</f>
        <v/>
      </c>
      <c r="AF1982" s="54">
        <f>IF(AND(IFERROR(INDEX($A1982:$AB1982,MATCH("Xero Invoice No",$A$1:$AB$1,0)),"")&amp;""&lt;&gt;"",ISNUMBER(AE1982),AD1982&lt;&gt;0),1,0)</f>
        <v/>
      </c>
      <c r="AG1982" s="55">
        <f>IF(AF1982=1,EOMONTH(AE1982,0),"")</f>
        <v/>
      </c>
      <c r="AH1982" s="9">
        <f>IF(AF1982=1,UPPER(TRIM(IFERROR(INDEX($A1982:$AB1982,MATCH("Client",$A$1:$AB$1,0)),"")&amp;"")),"")</f>
        <v/>
      </c>
      <c r="AI1982" s="9">
        <f>IF(AF1982=1,IFERROR(INDEX($A1982:$AB1982,MATCH("Cost Centre",$A$1:$AB$1,0)),"")&amp;"","")</f>
        <v/>
      </c>
      <c r="AJ1982" s="54">
        <f>IF(AND(AF1982=1,AE1982&gt;=set_FYStart,AE1982&lt;=set_AsAt),1,0)</f>
        <v/>
      </c>
      <c r="AK1982" s="54">
        <f>IF(AND(AJ1982=1,AH1982&lt;&gt;"",COUNTIFS($AH$2:AH1982,AH1982,$AJ$2:AJ1982,1)=1),N(AL1981)+1,"")</f>
        <v/>
      </c>
      <c r="AL1982" s="54">
        <f>IF(AK1982&lt;&gt;"",AK1982,N(AL1981))</f>
        <v/>
      </c>
    </row>
    <row r="1983">
      <c r="A1983" t="inlineStr">
        <is>
          <t>PRD-0661</t>
        </is>
      </c>
      <c r="B1983" t="inlineStr">
        <is>
          <t>Production</t>
        </is>
      </c>
      <c r="AB1983" t="n">
        <v>661</v>
      </c>
      <c r="AD1983" s="52">
        <f>IFERROR(N(IFERROR(INDEX($A1983:$AB1983,MATCH("Xero Invoiced Ex GST",$A$1:$AB$1,0)),"")),0)</f>
        <v/>
      </c>
      <c r="AE1983" s="53">
        <f>IFERROR(INDEX($A1983:$AB1983,MATCH("Xero Invoice Date",$A$1:$AB$1,0)),"")</f>
        <v/>
      </c>
      <c r="AF1983" s="54">
        <f>IF(AND(IFERROR(INDEX($A1983:$AB1983,MATCH("Xero Invoice No",$A$1:$AB$1,0)),"")&amp;""&lt;&gt;"",ISNUMBER(AE1983),AD1983&lt;&gt;0),1,0)</f>
        <v/>
      </c>
      <c r="AG1983" s="55">
        <f>IF(AF1983=1,EOMONTH(AE1983,0),"")</f>
        <v/>
      </c>
      <c r="AH1983" s="9">
        <f>IF(AF1983=1,UPPER(TRIM(IFERROR(INDEX($A1983:$AB1983,MATCH("Client",$A$1:$AB$1,0)),"")&amp;"")),"")</f>
        <v/>
      </c>
      <c r="AI1983" s="9">
        <f>IF(AF1983=1,IFERROR(INDEX($A1983:$AB1983,MATCH("Cost Centre",$A$1:$AB$1,0)),"")&amp;"","")</f>
        <v/>
      </c>
      <c r="AJ1983" s="54">
        <f>IF(AND(AF1983=1,AE1983&gt;=set_FYStart,AE1983&lt;=set_AsAt),1,0)</f>
        <v/>
      </c>
      <c r="AK1983" s="54">
        <f>IF(AND(AJ1983=1,AH1983&lt;&gt;"",COUNTIFS($AH$2:AH1983,AH1983,$AJ$2:AJ1983,1)=1),N(AL1982)+1,"")</f>
        <v/>
      </c>
      <c r="AL1983" s="54">
        <f>IF(AK1983&lt;&gt;"",AK1983,N(AL1982))</f>
        <v/>
      </c>
    </row>
    <row r="1984">
      <c r="A1984" t="inlineStr">
        <is>
          <t>CON-0661</t>
        </is>
      </c>
      <c r="B1984" t="inlineStr">
        <is>
          <t>Consulting</t>
        </is>
      </c>
      <c r="AB1984" t="n">
        <v>661</v>
      </c>
      <c r="AD1984" s="52">
        <f>IFERROR(N(IFERROR(INDEX($A1984:$AB1984,MATCH("Xero Invoiced Ex GST",$A$1:$AB$1,0)),"")),0)</f>
        <v/>
      </c>
      <c r="AE1984" s="53">
        <f>IFERROR(INDEX($A1984:$AB1984,MATCH("Xero Invoice Date",$A$1:$AB$1,0)),"")</f>
        <v/>
      </c>
      <c r="AF1984" s="54">
        <f>IF(AND(IFERROR(INDEX($A1984:$AB1984,MATCH("Xero Invoice No",$A$1:$AB$1,0)),"")&amp;""&lt;&gt;"",ISNUMBER(AE1984),AD1984&lt;&gt;0),1,0)</f>
        <v/>
      </c>
      <c r="AG1984" s="55">
        <f>IF(AF1984=1,EOMONTH(AE1984,0),"")</f>
        <v/>
      </c>
      <c r="AH1984" s="9">
        <f>IF(AF1984=1,UPPER(TRIM(IFERROR(INDEX($A1984:$AB1984,MATCH("Client",$A$1:$AB$1,0)),"")&amp;"")),"")</f>
        <v/>
      </c>
      <c r="AI1984" s="9">
        <f>IF(AF1984=1,IFERROR(INDEX($A1984:$AB1984,MATCH("Cost Centre",$A$1:$AB$1,0)),"")&amp;"","")</f>
        <v/>
      </c>
      <c r="AJ1984" s="54">
        <f>IF(AND(AF1984=1,AE1984&gt;=set_FYStart,AE1984&lt;=set_AsAt),1,0)</f>
        <v/>
      </c>
      <c r="AK1984" s="54">
        <f>IF(AND(AJ1984=1,AH1984&lt;&gt;"",COUNTIFS($AH$2:AH1984,AH1984,$AJ$2:AJ1984,1)=1),N(AL1983)+1,"")</f>
        <v/>
      </c>
      <c r="AL1984" s="54">
        <f>IF(AK1984&lt;&gt;"",AK1984,N(AL1983))</f>
        <v/>
      </c>
    </row>
    <row r="1985">
      <c r="A1985" t="inlineStr">
        <is>
          <t>ONS-0662</t>
        </is>
      </c>
      <c r="B1985" t="inlineStr">
        <is>
          <t>Onsite</t>
        </is>
      </c>
      <c r="AB1985" t="n">
        <v>662</v>
      </c>
      <c r="AD1985" s="52">
        <f>IFERROR(N(IFERROR(INDEX($A1985:$AB1985,MATCH("Xero Invoiced Ex GST",$A$1:$AB$1,0)),"")),0)</f>
        <v/>
      </c>
      <c r="AE1985" s="53">
        <f>IFERROR(INDEX($A1985:$AB1985,MATCH("Xero Invoice Date",$A$1:$AB$1,0)),"")</f>
        <v/>
      </c>
      <c r="AF1985" s="54">
        <f>IF(AND(IFERROR(INDEX($A1985:$AB1985,MATCH("Xero Invoice No",$A$1:$AB$1,0)),"")&amp;""&lt;&gt;"",ISNUMBER(AE1985),AD1985&lt;&gt;0),1,0)</f>
        <v/>
      </c>
      <c r="AG1985" s="55">
        <f>IF(AF1985=1,EOMONTH(AE1985,0),"")</f>
        <v/>
      </c>
      <c r="AH1985" s="9">
        <f>IF(AF1985=1,UPPER(TRIM(IFERROR(INDEX($A1985:$AB1985,MATCH("Client",$A$1:$AB$1,0)),"")&amp;"")),"")</f>
        <v/>
      </c>
      <c r="AI1985" s="9">
        <f>IF(AF1985=1,IFERROR(INDEX($A1985:$AB1985,MATCH("Cost Centre",$A$1:$AB$1,0)),"")&amp;"","")</f>
        <v/>
      </c>
      <c r="AJ1985" s="54">
        <f>IF(AND(AF1985=1,AE1985&gt;=set_FYStart,AE1985&lt;=set_AsAt),1,0)</f>
        <v/>
      </c>
      <c r="AK1985" s="54">
        <f>IF(AND(AJ1985=1,AH1985&lt;&gt;"",COUNTIFS($AH$2:AH1985,AH1985,$AJ$2:AJ1985,1)=1),N(AL1984)+1,"")</f>
        <v/>
      </c>
      <c r="AL1985" s="54">
        <f>IF(AK1985&lt;&gt;"",AK1985,N(AL1984))</f>
        <v/>
      </c>
    </row>
    <row r="1986">
      <c r="A1986" t="inlineStr">
        <is>
          <t>PRD-0662</t>
        </is>
      </c>
      <c r="B1986" t="inlineStr">
        <is>
          <t>Production</t>
        </is>
      </c>
      <c r="AB1986" t="n">
        <v>662</v>
      </c>
      <c r="AD1986" s="52">
        <f>IFERROR(N(IFERROR(INDEX($A1986:$AB1986,MATCH("Xero Invoiced Ex GST",$A$1:$AB$1,0)),"")),0)</f>
        <v/>
      </c>
      <c r="AE1986" s="53">
        <f>IFERROR(INDEX($A1986:$AB1986,MATCH("Xero Invoice Date",$A$1:$AB$1,0)),"")</f>
        <v/>
      </c>
      <c r="AF1986" s="54">
        <f>IF(AND(IFERROR(INDEX($A1986:$AB1986,MATCH("Xero Invoice No",$A$1:$AB$1,0)),"")&amp;""&lt;&gt;"",ISNUMBER(AE1986),AD1986&lt;&gt;0),1,0)</f>
        <v/>
      </c>
      <c r="AG1986" s="55">
        <f>IF(AF1986=1,EOMONTH(AE1986,0),"")</f>
        <v/>
      </c>
      <c r="AH1986" s="9">
        <f>IF(AF1986=1,UPPER(TRIM(IFERROR(INDEX($A1986:$AB1986,MATCH("Client",$A$1:$AB$1,0)),"")&amp;"")),"")</f>
        <v/>
      </c>
      <c r="AI1986" s="9">
        <f>IF(AF1986=1,IFERROR(INDEX($A1986:$AB1986,MATCH("Cost Centre",$A$1:$AB$1,0)),"")&amp;"","")</f>
        <v/>
      </c>
      <c r="AJ1986" s="54">
        <f>IF(AND(AF1986=1,AE1986&gt;=set_FYStart,AE1986&lt;=set_AsAt),1,0)</f>
        <v/>
      </c>
      <c r="AK1986" s="54">
        <f>IF(AND(AJ1986=1,AH1986&lt;&gt;"",COUNTIFS($AH$2:AH1986,AH1986,$AJ$2:AJ1986,1)=1),N(AL1985)+1,"")</f>
        <v/>
      </c>
      <c r="AL1986" s="54">
        <f>IF(AK1986&lt;&gt;"",AK1986,N(AL1985))</f>
        <v/>
      </c>
    </row>
    <row r="1987">
      <c r="A1987" t="inlineStr">
        <is>
          <t>CON-0662</t>
        </is>
      </c>
      <c r="B1987" t="inlineStr">
        <is>
          <t>Consulting</t>
        </is>
      </c>
      <c r="AB1987" t="n">
        <v>662</v>
      </c>
      <c r="AD1987" s="52">
        <f>IFERROR(N(IFERROR(INDEX($A1987:$AB1987,MATCH("Xero Invoiced Ex GST",$A$1:$AB$1,0)),"")),0)</f>
        <v/>
      </c>
      <c r="AE1987" s="53">
        <f>IFERROR(INDEX($A1987:$AB1987,MATCH("Xero Invoice Date",$A$1:$AB$1,0)),"")</f>
        <v/>
      </c>
      <c r="AF1987" s="54">
        <f>IF(AND(IFERROR(INDEX($A1987:$AB1987,MATCH("Xero Invoice No",$A$1:$AB$1,0)),"")&amp;""&lt;&gt;"",ISNUMBER(AE1987),AD1987&lt;&gt;0),1,0)</f>
        <v/>
      </c>
      <c r="AG1987" s="55">
        <f>IF(AF1987=1,EOMONTH(AE1987,0),"")</f>
        <v/>
      </c>
      <c r="AH1987" s="9">
        <f>IF(AF1987=1,UPPER(TRIM(IFERROR(INDEX($A1987:$AB1987,MATCH("Client",$A$1:$AB$1,0)),"")&amp;"")),"")</f>
        <v/>
      </c>
      <c r="AI1987" s="9">
        <f>IF(AF1987=1,IFERROR(INDEX($A1987:$AB1987,MATCH("Cost Centre",$A$1:$AB$1,0)),"")&amp;"","")</f>
        <v/>
      </c>
      <c r="AJ1987" s="54">
        <f>IF(AND(AF1987=1,AE1987&gt;=set_FYStart,AE1987&lt;=set_AsAt),1,0)</f>
        <v/>
      </c>
      <c r="AK1987" s="54">
        <f>IF(AND(AJ1987=1,AH1987&lt;&gt;"",COUNTIFS($AH$2:AH1987,AH1987,$AJ$2:AJ1987,1)=1),N(AL1986)+1,"")</f>
        <v/>
      </c>
      <c r="AL1987" s="54">
        <f>IF(AK1987&lt;&gt;"",AK1987,N(AL1986))</f>
        <v/>
      </c>
    </row>
    <row r="1988">
      <c r="A1988" t="inlineStr">
        <is>
          <t>ONS-0663</t>
        </is>
      </c>
      <c r="B1988" t="inlineStr">
        <is>
          <t>Onsite</t>
        </is>
      </c>
      <c r="AB1988" t="n">
        <v>663</v>
      </c>
      <c r="AD1988" s="52">
        <f>IFERROR(N(IFERROR(INDEX($A1988:$AB1988,MATCH("Xero Invoiced Ex GST",$A$1:$AB$1,0)),"")),0)</f>
        <v/>
      </c>
      <c r="AE1988" s="53">
        <f>IFERROR(INDEX($A1988:$AB1988,MATCH("Xero Invoice Date",$A$1:$AB$1,0)),"")</f>
        <v/>
      </c>
      <c r="AF1988" s="54">
        <f>IF(AND(IFERROR(INDEX($A1988:$AB1988,MATCH("Xero Invoice No",$A$1:$AB$1,0)),"")&amp;""&lt;&gt;"",ISNUMBER(AE1988),AD1988&lt;&gt;0),1,0)</f>
        <v/>
      </c>
      <c r="AG1988" s="55">
        <f>IF(AF1988=1,EOMONTH(AE1988,0),"")</f>
        <v/>
      </c>
      <c r="AH1988" s="9">
        <f>IF(AF1988=1,UPPER(TRIM(IFERROR(INDEX($A1988:$AB1988,MATCH("Client",$A$1:$AB$1,0)),"")&amp;"")),"")</f>
        <v/>
      </c>
      <c r="AI1988" s="9">
        <f>IF(AF1988=1,IFERROR(INDEX($A1988:$AB1988,MATCH("Cost Centre",$A$1:$AB$1,0)),"")&amp;"","")</f>
        <v/>
      </c>
      <c r="AJ1988" s="54">
        <f>IF(AND(AF1988=1,AE1988&gt;=set_FYStart,AE1988&lt;=set_AsAt),1,0)</f>
        <v/>
      </c>
      <c r="AK1988" s="54">
        <f>IF(AND(AJ1988=1,AH1988&lt;&gt;"",COUNTIFS($AH$2:AH1988,AH1988,$AJ$2:AJ1988,1)=1),N(AL1987)+1,"")</f>
        <v/>
      </c>
      <c r="AL1988" s="54">
        <f>IF(AK1988&lt;&gt;"",AK1988,N(AL1987))</f>
        <v/>
      </c>
    </row>
    <row r="1989">
      <c r="A1989" t="inlineStr">
        <is>
          <t>PRD-0663</t>
        </is>
      </c>
      <c r="B1989" t="inlineStr">
        <is>
          <t>Production</t>
        </is>
      </c>
      <c r="AB1989" t="n">
        <v>663</v>
      </c>
      <c r="AD1989" s="52">
        <f>IFERROR(N(IFERROR(INDEX($A1989:$AB1989,MATCH("Xero Invoiced Ex GST",$A$1:$AB$1,0)),"")),0)</f>
        <v/>
      </c>
      <c r="AE1989" s="53">
        <f>IFERROR(INDEX($A1989:$AB1989,MATCH("Xero Invoice Date",$A$1:$AB$1,0)),"")</f>
        <v/>
      </c>
      <c r="AF1989" s="54">
        <f>IF(AND(IFERROR(INDEX($A1989:$AB1989,MATCH("Xero Invoice No",$A$1:$AB$1,0)),"")&amp;""&lt;&gt;"",ISNUMBER(AE1989),AD1989&lt;&gt;0),1,0)</f>
        <v/>
      </c>
      <c r="AG1989" s="55">
        <f>IF(AF1989=1,EOMONTH(AE1989,0),"")</f>
        <v/>
      </c>
      <c r="AH1989" s="9">
        <f>IF(AF1989=1,UPPER(TRIM(IFERROR(INDEX($A1989:$AB1989,MATCH("Client",$A$1:$AB$1,0)),"")&amp;"")),"")</f>
        <v/>
      </c>
      <c r="AI1989" s="9">
        <f>IF(AF1989=1,IFERROR(INDEX($A1989:$AB1989,MATCH("Cost Centre",$A$1:$AB$1,0)),"")&amp;"","")</f>
        <v/>
      </c>
      <c r="AJ1989" s="54">
        <f>IF(AND(AF1989=1,AE1989&gt;=set_FYStart,AE1989&lt;=set_AsAt),1,0)</f>
        <v/>
      </c>
      <c r="AK1989" s="54">
        <f>IF(AND(AJ1989=1,AH1989&lt;&gt;"",COUNTIFS($AH$2:AH1989,AH1989,$AJ$2:AJ1989,1)=1),N(AL1988)+1,"")</f>
        <v/>
      </c>
      <c r="AL1989" s="54">
        <f>IF(AK1989&lt;&gt;"",AK1989,N(AL1988))</f>
        <v/>
      </c>
    </row>
    <row r="1990">
      <c r="A1990" t="inlineStr">
        <is>
          <t>CON-0663</t>
        </is>
      </c>
      <c r="B1990" t="inlineStr">
        <is>
          <t>Consulting</t>
        </is>
      </c>
      <c r="AB1990" t="n">
        <v>663</v>
      </c>
      <c r="AD1990" s="52">
        <f>IFERROR(N(IFERROR(INDEX($A1990:$AB1990,MATCH("Xero Invoiced Ex GST",$A$1:$AB$1,0)),"")),0)</f>
        <v/>
      </c>
      <c r="AE1990" s="53">
        <f>IFERROR(INDEX($A1990:$AB1990,MATCH("Xero Invoice Date",$A$1:$AB$1,0)),"")</f>
        <v/>
      </c>
      <c r="AF1990" s="54">
        <f>IF(AND(IFERROR(INDEX($A1990:$AB1990,MATCH("Xero Invoice No",$A$1:$AB$1,0)),"")&amp;""&lt;&gt;"",ISNUMBER(AE1990),AD1990&lt;&gt;0),1,0)</f>
        <v/>
      </c>
      <c r="AG1990" s="55">
        <f>IF(AF1990=1,EOMONTH(AE1990,0),"")</f>
        <v/>
      </c>
      <c r="AH1990" s="9">
        <f>IF(AF1990=1,UPPER(TRIM(IFERROR(INDEX($A1990:$AB1990,MATCH("Client",$A$1:$AB$1,0)),"")&amp;"")),"")</f>
        <v/>
      </c>
      <c r="AI1990" s="9">
        <f>IF(AF1990=1,IFERROR(INDEX($A1990:$AB1990,MATCH("Cost Centre",$A$1:$AB$1,0)),"")&amp;"","")</f>
        <v/>
      </c>
      <c r="AJ1990" s="54">
        <f>IF(AND(AF1990=1,AE1990&gt;=set_FYStart,AE1990&lt;=set_AsAt),1,0)</f>
        <v/>
      </c>
      <c r="AK1990" s="54">
        <f>IF(AND(AJ1990=1,AH1990&lt;&gt;"",COUNTIFS($AH$2:AH1990,AH1990,$AJ$2:AJ1990,1)=1),N(AL1989)+1,"")</f>
        <v/>
      </c>
      <c r="AL1990" s="54">
        <f>IF(AK1990&lt;&gt;"",AK1990,N(AL1989))</f>
        <v/>
      </c>
    </row>
    <row r="1991">
      <c r="A1991" t="inlineStr">
        <is>
          <t>ONS-0664</t>
        </is>
      </c>
      <c r="B1991" t="inlineStr">
        <is>
          <t>Onsite</t>
        </is>
      </c>
      <c r="AB1991" t="n">
        <v>664</v>
      </c>
      <c r="AD1991" s="52">
        <f>IFERROR(N(IFERROR(INDEX($A1991:$AB1991,MATCH("Xero Invoiced Ex GST",$A$1:$AB$1,0)),"")),0)</f>
        <v/>
      </c>
      <c r="AE1991" s="53">
        <f>IFERROR(INDEX($A1991:$AB1991,MATCH("Xero Invoice Date",$A$1:$AB$1,0)),"")</f>
        <v/>
      </c>
      <c r="AF1991" s="54">
        <f>IF(AND(IFERROR(INDEX($A1991:$AB1991,MATCH("Xero Invoice No",$A$1:$AB$1,0)),"")&amp;""&lt;&gt;"",ISNUMBER(AE1991),AD1991&lt;&gt;0),1,0)</f>
        <v/>
      </c>
      <c r="AG1991" s="55">
        <f>IF(AF1991=1,EOMONTH(AE1991,0),"")</f>
        <v/>
      </c>
      <c r="AH1991" s="9">
        <f>IF(AF1991=1,UPPER(TRIM(IFERROR(INDEX($A1991:$AB1991,MATCH("Client",$A$1:$AB$1,0)),"")&amp;"")),"")</f>
        <v/>
      </c>
      <c r="AI1991" s="9">
        <f>IF(AF1991=1,IFERROR(INDEX($A1991:$AB1991,MATCH("Cost Centre",$A$1:$AB$1,0)),"")&amp;"","")</f>
        <v/>
      </c>
      <c r="AJ1991" s="54">
        <f>IF(AND(AF1991=1,AE1991&gt;=set_FYStart,AE1991&lt;=set_AsAt),1,0)</f>
        <v/>
      </c>
      <c r="AK1991" s="54">
        <f>IF(AND(AJ1991=1,AH1991&lt;&gt;"",COUNTIFS($AH$2:AH1991,AH1991,$AJ$2:AJ1991,1)=1),N(AL1990)+1,"")</f>
        <v/>
      </c>
      <c r="AL1991" s="54">
        <f>IF(AK1991&lt;&gt;"",AK1991,N(AL1990))</f>
        <v/>
      </c>
    </row>
    <row r="1992">
      <c r="A1992" t="inlineStr">
        <is>
          <t>PRD-0664</t>
        </is>
      </c>
      <c r="B1992" t="inlineStr">
        <is>
          <t>Production</t>
        </is>
      </c>
      <c r="AB1992" t="n">
        <v>664</v>
      </c>
      <c r="AD1992" s="52">
        <f>IFERROR(N(IFERROR(INDEX($A1992:$AB1992,MATCH("Xero Invoiced Ex GST",$A$1:$AB$1,0)),"")),0)</f>
        <v/>
      </c>
      <c r="AE1992" s="53">
        <f>IFERROR(INDEX($A1992:$AB1992,MATCH("Xero Invoice Date",$A$1:$AB$1,0)),"")</f>
        <v/>
      </c>
      <c r="AF1992" s="54">
        <f>IF(AND(IFERROR(INDEX($A1992:$AB1992,MATCH("Xero Invoice No",$A$1:$AB$1,0)),"")&amp;""&lt;&gt;"",ISNUMBER(AE1992),AD1992&lt;&gt;0),1,0)</f>
        <v/>
      </c>
      <c r="AG1992" s="55">
        <f>IF(AF1992=1,EOMONTH(AE1992,0),"")</f>
        <v/>
      </c>
      <c r="AH1992" s="9">
        <f>IF(AF1992=1,UPPER(TRIM(IFERROR(INDEX($A1992:$AB1992,MATCH("Client",$A$1:$AB$1,0)),"")&amp;"")),"")</f>
        <v/>
      </c>
      <c r="AI1992" s="9">
        <f>IF(AF1992=1,IFERROR(INDEX($A1992:$AB1992,MATCH("Cost Centre",$A$1:$AB$1,0)),"")&amp;"","")</f>
        <v/>
      </c>
      <c r="AJ1992" s="54">
        <f>IF(AND(AF1992=1,AE1992&gt;=set_FYStart,AE1992&lt;=set_AsAt),1,0)</f>
        <v/>
      </c>
      <c r="AK1992" s="54">
        <f>IF(AND(AJ1992=1,AH1992&lt;&gt;"",COUNTIFS($AH$2:AH1992,AH1992,$AJ$2:AJ1992,1)=1),N(AL1991)+1,"")</f>
        <v/>
      </c>
      <c r="AL1992" s="54">
        <f>IF(AK1992&lt;&gt;"",AK1992,N(AL1991))</f>
        <v/>
      </c>
    </row>
    <row r="1993">
      <c r="A1993" t="inlineStr">
        <is>
          <t>CON-0664</t>
        </is>
      </c>
      <c r="B1993" t="inlineStr">
        <is>
          <t>Consulting</t>
        </is>
      </c>
      <c r="AB1993" t="n">
        <v>664</v>
      </c>
      <c r="AD1993" s="52">
        <f>IFERROR(N(IFERROR(INDEX($A1993:$AB1993,MATCH("Xero Invoiced Ex GST",$A$1:$AB$1,0)),"")),0)</f>
        <v/>
      </c>
      <c r="AE1993" s="53">
        <f>IFERROR(INDEX($A1993:$AB1993,MATCH("Xero Invoice Date",$A$1:$AB$1,0)),"")</f>
        <v/>
      </c>
      <c r="AF1993" s="54">
        <f>IF(AND(IFERROR(INDEX($A1993:$AB1993,MATCH("Xero Invoice No",$A$1:$AB$1,0)),"")&amp;""&lt;&gt;"",ISNUMBER(AE1993),AD1993&lt;&gt;0),1,0)</f>
        <v/>
      </c>
      <c r="AG1993" s="55">
        <f>IF(AF1993=1,EOMONTH(AE1993,0),"")</f>
        <v/>
      </c>
      <c r="AH1993" s="9">
        <f>IF(AF1993=1,UPPER(TRIM(IFERROR(INDEX($A1993:$AB1993,MATCH("Client",$A$1:$AB$1,0)),"")&amp;"")),"")</f>
        <v/>
      </c>
      <c r="AI1993" s="9">
        <f>IF(AF1993=1,IFERROR(INDEX($A1993:$AB1993,MATCH("Cost Centre",$A$1:$AB$1,0)),"")&amp;"","")</f>
        <v/>
      </c>
      <c r="AJ1993" s="54">
        <f>IF(AND(AF1993=1,AE1993&gt;=set_FYStart,AE1993&lt;=set_AsAt),1,0)</f>
        <v/>
      </c>
      <c r="AK1993" s="54">
        <f>IF(AND(AJ1993=1,AH1993&lt;&gt;"",COUNTIFS($AH$2:AH1993,AH1993,$AJ$2:AJ1993,1)=1),N(AL1992)+1,"")</f>
        <v/>
      </c>
      <c r="AL1993" s="54">
        <f>IF(AK1993&lt;&gt;"",AK1993,N(AL1992))</f>
        <v/>
      </c>
    </row>
    <row r="1994">
      <c r="A1994" t="inlineStr">
        <is>
          <t>ONS-0665</t>
        </is>
      </c>
      <c r="B1994" t="inlineStr">
        <is>
          <t>Onsite</t>
        </is>
      </c>
      <c r="AB1994" t="n">
        <v>665</v>
      </c>
      <c r="AD1994" s="52">
        <f>IFERROR(N(IFERROR(INDEX($A1994:$AB1994,MATCH("Xero Invoiced Ex GST",$A$1:$AB$1,0)),"")),0)</f>
        <v/>
      </c>
      <c r="AE1994" s="53">
        <f>IFERROR(INDEX($A1994:$AB1994,MATCH("Xero Invoice Date",$A$1:$AB$1,0)),"")</f>
        <v/>
      </c>
      <c r="AF1994" s="54">
        <f>IF(AND(IFERROR(INDEX($A1994:$AB1994,MATCH("Xero Invoice No",$A$1:$AB$1,0)),"")&amp;""&lt;&gt;"",ISNUMBER(AE1994),AD1994&lt;&gt;0),1,0)</f>
        <v/>
      </c>
      <c r="AG1994" s="55">
        <f>IF(AF1994=1,EOMONTH(AE1994,0),"")</f>
        <v/>
      </c>
      <c r="AH1994" s="9">
        <f>IF(AF1994=1,UPPER(TRIM(IFERROR(INDEX($A1994:$AB1994,MATCH("Client",$A$1:$AB$1,0)),"")&amp;"")),"")</f>
        <v/>
      </c>
      <c r="AI1994" s="9">
        <f>IF(AF1994=1,IFERROR(INDEX($A1994:$AB1994,MATCH("Cost Centre",$A$1:$AB$1,0)),"")&amp;"","")</f>
        <v/>
      </c>
      <c r="AJ1994" s="54">
        <f>IF(AND(AF1994=1,AE1994&gt;=set_FYStart,AE1994&lt;=set_AsAt),1,0)</f>
        <v/>
      </c>
      <c r="AK1994" s="54">
        <f>IF(AND(AJ1994=1,AH1994&lt;&gt;"",COUNTIFS($AH$2:AH1994,AH1994,$AJ$2:AJ1994,1)=1),N(AL1993)+1,"")</f>
        <v/>
      </c>
      <c r="AL1994" s="54">
        <f>IF(AK1994&lt;&gt;"",AK1994,N(AL1993))</f>
        <v/>
      </c>
    </row>
    <row r="1995">
      <c r="A1995" t="inlineStr">
        <is>
          <t>PRD-0665</t>
        </is>
      </c>
      <c r="B1995" t="inlineStr">
        <is>
          <t>Production</t>
        </is>
      </c>
      <c r="AB1995" t="n">
        <v>665</v>
      </c>
      <c r="AD1995" s="52">
        <f>IFERROR(N(IFERROR(INDEX($A1995:$AB1995,MATCH("Xero Invoiced Ex GST",$A$1:$AB$1,0)),"")),0)</f>
        <v/>
      </c>
      <c r="AE1995" s="53">
        <f>IFERROR(INDEX($A1995:$AB1995,MATCH("Xero Invoice Date",$A$1:$AB$1,0)),"")</f>
        <v/>
      </c>
      <c r="AF1995" s="54">
        <f>IF(AND(IFERROR(INDEX($A1995:$AB1995,MATCH("Xero Invoice No",$A$1:$AB$1,0)),"")&amp;""&lt;&gt;"",ISNUMBER(AE1995),AD1995&lt;&gt;0),1,0)</f>
        <v/>
      </c>
      <c r="AG1995" s="55">
        <f>IF(AF1995=1,EOMONTH(AE1995,0),"")</f>
        <v/>
      </c>
      <c r="AH1995" s="9">
        <f>IF(AF1995=1,UPPER(TRIM(IFERROR(INDEX($A1995:$AB1995,MATCH("Client",$A$1:$AB$1,0)),"")&amp;"")),"")</f>
        <v/>
      </c>
      <c r="AI1995" s="9">
        <f>IF(AF1995=1,IFERROR(INDEX($A1995:$AB1995,MATCH("Cost Centre",$A$1:$AB$1,0)),"")&amp;"","")</f>
        <v/>
      </c>
      <c r="AJ1995" s="54">
        <f>IF(AND(AF1995=1,AE1995&gt;=set_FYStart,AE1995&lt;=set_AsAt),1,0)</f>
        <v/>
      </c>
      <c r="AK1995" s="54">
        <f>IF(AND(AJ1995=1,AH1995&lt;&gt;"",COUNTIFS($AH$2:AH1995,AH1995,$AJ$2:AJ1995,1)=1),N(AL1994)+1,"")</f>
        <v/>
      </c>
      <c r="AL1995" s="54">
        <f>IF(AK1995&lt;&gt;"",AK1995,N(AL1994))</f>
        <v/>
      </c>
    </row>
    <row r="1996">
      <c r="A1996" t="inlineStr">
        <is>
          <t>CON-0665</t>
        </is>
      </c>
      <c r="B1996" t="inlineStr">
        <is>
          <t>Consulting</t>
        </is>
      </c>
      <c r="AB1996" t="n">
        <v>665</v>
      </c>
      <c r="AD1996" s="52">
        <f>IFERROR(N(IFERROR(INDEX($A1996:$AB1996,MATCH("Xero Invoiced Ex GST",$A$1:$AB$1,0)),"")),0)</f>
        <v/>
      </c>
      <c r="AE1996" s="53">
        <f>IFERROR(INDEX($A1996:$AB1996,MATCH("Xero Invoice Date",$A$1:$AB$1,0)),"")</f>
        <v/>
      </c>
      <c r="AF1996" s="54">
        <f>IF(AND(IFERROR(INDEX($A1996:$AB1996,MATCH("Xero Invoice No",$A$1:$AB$1,0)),"")&amp;""&lt;&gt;"",ISNUMBER(AE1996),AD1996&lt;&gt;0),1,0)</f>
        <v/>
      </c>
      <c r="AG1996" s="55">
        <f>IF(AF1996=1,EOMONTH(AE1996,0),"")</f>
        <v/>
      </c>
      <c r="AH1996" s="9">
        <f>IF(AF1996=1,UPPER(TRIM(IFERROR(INDEX($A1996:$AB1996,MATCH("Client",$A$1:$AB$1,0)),"")&amp;"")),"")</f>
        <v/>
      </c>
      <c r="AI1996" s="9">
        <f>IF(AF1996=1,IFERROR(INDEX($A1996:$AB1996,MATCH("Cost Centre",$A$1:$AB$1,0)),"")&amp;"","")</f>
        <v/>
      </c>
      <c r="AJ1996" s="54">
        <f>IF(AND(AF1996=1,AE1996&gt;=set_FYStart,AE1996&lt;=set_AsAt),1,0)</f>
        <v/>
      </c>
      <c r="AK1996" s="54">
        <f>IF(AND(AJ1996=1,AH1996&lt;&gt;"",COUNTIFS($AH$2:AH1996,AH1996,$AJ$2:AJ1996,1)=1),N(AL1995)+1,"")</f>
        <v/>
      </c>
      <c r="AL1996" s="54">
        <f>IF(AK1996&lt;&gt;"",AK1996,N(AL1995))</f>
        <v/>
      </c>
    </row>
    <row r="1997">
      <c r="A1997" t="inlineStr">
        <is>
          <t>ONS-0666</t>
        </is>
      </c>
      <c r="B1997" t="inlineStr">
        <is>
          <t>Onsite</t>
        </is>
      </c>
      <c r="AB1997" t="n">
        <v>666</v>
      </c>
      <c r="AD1997" s="52">
        <f>IFERROR(N(IFERROR(INDEX($A1997:$AB1997,MATCH("Xero Invoiced Ex GST",$A$1:$AB$1,0)),"")),0)</f>
        <v/>
      </c>
      <c r="AE1997" s="53">
        <f>IFERROR(INDEX($A1997:$AB1997,MATCH("Xero Invoice Date",$A$1:$AB$1,0)),"")</f>
        <v/>
      </c>
      <c r="AF1997" s="54">
        <f>IF(AND(IFERROR(INDEX($A1997:$AB1997,MATCH("Xero Invoice No",$A$1:$AB$1,0)),"")&amp;""&lt;&gt;"",ISNUMBER(AE1997),AD1997&lt;&gt;0),1,0)</f>
        <v/>
      </c>
      <c r="AG1997" s="55">
        <f>IF(AF1997=1,EOMONTH(AE1997,0),"")</f>
        <v/>
      </c>
      <c r="AH1997" s="9">
        <f>IF(AF1997=1,UPPER(TRIM(IFERROR(INDEX($A1997:$AB1997,MATCH("Client",$A$1:$AB$1,0)),"")&amp;"")),"")</f>
        <v/>
      </c>
      <c r="AI1997" s="9">
        <f>IF(AF1997=1,IFERROR(INDEX($A1997:$AB1997,MATCH("Cost Centre",$A$1:$AB$1,0)),"")&amp;"","")</f>
        <v/>
      </c>
      <c r="AJ1997" s="54">
        <f>IF(AND(AF1997=1,AE1997&gt;=set_FYStart,AE1997&lt;=set_AsAt),1,0)</f>
        <v/>
      </c>
      <c r="AK1997" s="54">
        <f>IF(AND(AJ1997=1,AH1997&lt;&gt;"",COUNTIFS($AH$2:AH1997,AH1997,$AJ$2:AJ1997,1)=1),N(AL1996)+1,"")</f>
        <v/>
      </c>
      <c r="AL1997" s="54">
        <f>IF(AK1997&lt;&gt;"",AK1997,N(AL1996))</f>
        <v/>
      </c>
    </row>
    <row r="1998">
      <c r="A1998" t="inlineStr">
        <is>
          <t>PRD-0666</t>
        </is>
      </c>
      <c r="B1998" t="inlineStr">
        <is>
          <t>Production</t>
        </is>
      </c>
      <c r="AB1998" t="n">
        <v>666</v>
      </c>
      <c r="AD1998" s="52">
        <f>IFERROR(N(IFERROR(INDEX($A1998:$AB1998,MATCH("Xero Invoiced Ex GST",$A$1:$AB$1,0)),"")),0)</f>
        <v/>
      </c>
      <c r="AE1998" s="53">
        <f>IFERROR(INDEX($A1998:$AB1998,MATCH("Xero Invoice Date",$A$1:$AB$1,0)),"")</f>
        <v/>
      </c>
      <c r="AF1998" s="54">
        <f>IF(AND(IFERROR(INDEX($A1998:$AB1998,MATCH("Xero Invoice No",$A$1:$AB$1,0)),"")&amp;""&lt;&gt;"",ISNUMBER(AE1998),AD1998&lt;&gt;0),1,0)</f>
        <v/>
      </c>
      <c r="AG1998" s="55">
        <f>IF(AF1998=1,EOMONTH(AE1998,0),"")</f>
        <v/>
      </c>
      <c r="AH1998" s="9">
        <f>IF(AF1998=1,UPPER(TRIM(IFERROR(INDEX($A1998:$AB1998,MATCH("Client",$A$1:$AB$1,0)),"")&amp;"")),"")</f>
        <v/>
      </c>
      <c r="AI1998" s="9">
        <f>IF(AF1998=1,IFERROR(INDEX($A1998:$AB1998,MATCH("Cost Centre",$A$1:$AB$1,0)),"")&amp;"","")</f>
        <v/>
      </c>
      <c r="AJ1998" s="54">
        <f>IF(AND(AF1998=1,AE1998&gt;=set_FYStart,AE1998&lt;=set_AsAt),1,0)</f>
        <v/>
      </c>
      <c r="AK1998" s="54">
        <f>IF(AND(AJ1998=1,AH1998&lt;&gt;"",COUNTIFS($AH$2:AH1998,AH1998,$AJ$2:AJ1998,1)=1),N(AL1997)+1,"")</f>
        <v/>
      </c>
      <c r="AL1998" s="54">
        <f>IF(AK1998&lt;&gt;"",AK1998,N(AL1997))</f>
        <v/>
      </c>
    </row>
    <row r="1999">
      <c r="A1999" t="inlineStr">
        <is>
          <t>CON-0666</t>
        </is>
      </c>
      <c r="B1999" t="inlineStr">
        <is>
          <t>Consulting</t>
        </is>
      </c>
      <c r="AB1999" t="n">
        <v>666</v>
      </c>
      <c r="AD1999" s="52">
        <f>IFERROR(N(IFERROR(INDEX($A1999:$AB1999,MATCH("Xero Invoiced Ex GST",$A$1:$AB$1,0)),"")),0)</f>
        <v/>
      </c>
      <c r="AE1999" s="53">
        <f>IFERROR(INDEX($A1999:$AB1999,MATCH("Xero Invoice Date",$A$1:$AB$1,0)),"")</f>
        <v/>
      </c>
      <c r="AF1999" s="54">
        <f>IF(AND(IFERROR(INDEX($A1999:$AB1999,MATCH("Xero Invoice No",$A$1:$AB$1,0)),"")&amp;""&lt;&gt;"",ISNUMBER(AE1999),AD1999&lt;&gt;0),1,0)</f>
        <v/>
      </c>
      <c r="AG1999" s="55">
        <f>IF(AF1999=1,EOMONTH(AE1999,0),"")</f>
        <v/>
      </c>
      <c r="AH1999" s="9">
        <f>IF(AF1999=1,UPPER(TRIM(IFERROR(INDEX($A1999:$AB1999,MATCH("Client",$A$1:$AB$1,0)),"")&amp;"")),"")</f>
        <v/>
      </c>
      <c r="AI1999" s="9">
        <f>IF(AF1999=1,IFERROR(INDEX($A1999:$AB1999,MATCH("Cost Centre",$A$1:$AB$1,0)),"")&amp;"","")</f>
        <v/>
      </c>
      <c r="AJ1999" s="54">
        <f>IF(AND(AF1999=1,AE1999&gt;=set_FYStart,AE1999&lt;=set_AsAt),1,0)</f>
        <v/>
      </c>
      <c r="AK1999" s="54">
        <f>IF(AND(AJ1999=1,AH1999&lt;&gt;"",COUNTIFS($AH$2:AH1999,AH1999,$AJ$2:AJ1999,1)=1),N(AL1998)+1,"")</f>
        <v/>
      </c>
      <c r="AL1999" s="54">
        <f>IF(AK1999&lt;&gt;"",AK1999,N(AL1998))</f>
        <v/>
      </c>
    </row>
    <row r="2000">
      <c r="A2000" t="inlineStr">
        <is>
          <t>ONS-0667</t>
        </is>
      </c>
      <c r="B2000" t="inlineStr">
        <is>
          <t>Onsite</t>
        </is>
      </c>
      <c r="AB2000" t="n">
        <v>667</v>
      </c>
      <c r="AD2000" s="52">
        <f>IFERROR(N(IFERROR(INDEX($A2000:$AB2000,MATCH("Xero Invoiced Ex GST",$A$1:$AB$1,0)),"")),0)</f>
        <v/>
      </c>
      <c r="AE2000" s="53">
        <f>IFERROR(INDEX($A2000:$AB2000,MATCH("Xero Invoice Date",$A$1:$AB$1,0)),"")</f>
        <v/>
      </c>
      <c r="AF2000" s="54">
        <f>IF(AND(IFERROR(INDEX($A2000:$AB2000,MATCH("Xero Invoice No",$A$1:$AB$1,0)),"")&amp;""&lt;&gt;"",ISNUMBER(AE2000),AD2000&lt;&gt;0),1,0)</f>
        <v/>
      </c>
      <c r="AG2000" s="55">
        <f>IF(AF2000=1,EOMONTH(AE2000,0),"")</f>
        <v/>
      </c>
      <c r="AH2000" s="9">
        <f>IF(AF2000=1,UPPER(TRIM(IFERROR(INDEX($A2000:$AB2000,MATCH("Client",$A$1:$AB$1,0)),"")&amp;"")),"")</f>
        <v/>
      </c>
      <c r="AI2000" s="9">
        <f>IF(AF2000=1,IFERROR(INDEX($A2000:$AB2000,MATCH("Cost Centre",$A$1:$AB$1,0)),"")&amp;"","")</f>
        <v/>
      </c>
      <c r="AJ2000" s="54">
        <f>IF(AND(AF2000=1,AE2000&gt;=set_FYStart,AE2000&lt;=set_AsAt),1,0)</f>
        <v/>
      </c>
      <c r="AK2000" s="54">
        <f>IF(AND(AJ2000=1,AH2000&lt;&gt;"",COUNTIFS($AH$2:AH2000,AH2000,$AJ$2:AJ2000,1)=1),N(AL1999)+1,"")</f>
        <v/>
      </c>
      <c r="AL2000" s="54">
        <f>IF(AK2000&lt;&gt;"",AK2000,N(AL1999))</f>
        <v/>
      </c>
    </row>
    <row r="2001">
      <c r="A2001" t="inlineStr">
        <is>
          <t>PRD-0667</t>
        </is>
      </c>
      <c r="B2001" t="inlineStr">
        <is>
          <t>Production</t>
        </is>
      </c>
      <c r="AB2001" t="n">
        <v>667</v>
      </c>
      <c r="AD2001" s="52">
        <f>IFERROR(N(IFERROR(INDEX($A2001:$AB2001,MATCH("Xero Invoiced Ex GST",$A$1:$AB$1,0)),"")),0)</f>
        <v/>
      </c>
      <c r="AE2001" s="53">
        <f>IFERROR(INDEX($A2001:$AB2001,MATCH("Xero Invoice Date",$A$1:$AB$1,0)),"")</f>
        <v/>
      </c>
      <c r="AF2001" s="54">
        <f>IF(AND(IFERROR(INDEX($A2001:$AB2001,MATCH("Xero Invoice No",$A$1:$AB$1,0)),"")&amp;""&lt;&gt;"",ISNUMBER(AE2001),AD2001&lt;&gt;0),1,0)</f>
        <v/>
      </c>
      <c r="AG2001" s="55">
        <f>IF(AF2001=1,EOMONTH(AE2001,0),"")</f>
        <v/>
      </c>
      <c r="AH2001" s="9">
        <f>IF(AF2001=1,UPPER(TRIM(IFERROR(INDEX($A2001:$AB2001,MATCH("Client",$A$1:$AB$1,0)),"")&amp;"")),"")</f>
        <v/>
      </c>
      <c r="AI2001" s="9">
        <f>IF(AF2001=1,IFERROR(INDEX($A2001:$AB2001,MATCH("Cost Centre",$A$1:$AB$1,0)),"")&amp;"","")</f>
        <v/>
      </c>
      <c r="AJ2001" s="54">
        <f>IF(AND(AF2001=1,AE2001&gt;=set_FYStart,AE2001&lt;=set_AsAt),1,0)</f>
        <v/>
      </c>
      <c r="AK2001" s="54">
        <f>IF(AND(AJ2001=1,AH2001&lt;&gt;"",COUNTIFS($AH$2:AH2001,AH2001,$AJ$2:AJ2001,1)=1),N(AL2000)+1,"")</f>
        <v/>
      </c>
      <c r="AL2001" s="54">
        <f>IF(AK2001&lt;&gt;"",AK2001,N(AL2000))</f>
        <v/>
      </c>
    </row>
    <row r="2002">
      <c r="A2002" t="inlineStr">
        <is>
          <t>CON-0667</t>
        </is>
      </c>
      <c r="B2002" t="inlineStr">
        <is>
          <t>Consulting</t>
        </is>
      </c>
      <c r="AB2002" t="n">
        <v>667</v>
      </c>
      <c r="AD2002" s="52">
        <f>IFERROR(N(IFERROR(INDEX($A2002:$AB2002,MATCH("Xero Invoiced Ex GST",$A$1:$AB$1,0)),"")),0)</f>
        <v/>
      </c>
      <c r="AE2002" s="53">
        <f>IFERROR(INDEX($A2002:$AB2002,MATCH("Xero Invoice Date",$A$1:$AB$1,0)),"")</f>
        <v/>
      </c>
      <c r="AF2002" s="54">
        <f>IF(AND(IFERROR(INDEX($A2002:$AB2002,MATCH("Xero Invoice No",$A$1:$AB$1,0)),"")&amp;""&lt;&gt;"",ISNUMBER(AE2002),AD2002&lt;&gt;0),1,0)</f>
        <v/>
      </c>
      <c r="AG2002" s="55">
        <f>IF(AF2002=1,EOMONTH(AE2002,0),"")</f>
        <v/>
      </c>
      <c r="AH2002" s="9">
        <f>IF(AF2002=1,UPPER(TRIM(IFERROR(INDEX($A2002:$AB2002,MATCH("Client",$A$1:$AB$1,0)),"")&amp;"")),"")</f>
        <v/>
      </c>
      <c r="AI2002" s="9">
        <f>IF(AF2002=1,IFERROR(INDEX($A2002:$AB2002,MATCH("Cost Centre",$A$1:$AB$1,0)),"")&amp;"","")</f>
        <v/>
      </c>
      <c r="AJ2002" s="54">
        <f>IF(AND(AF2002=1,AE2002&gt;=set_FYStart,AE2002&lt;=set_AsAt),1,0)</f>
        <v/>
      </c>
      <c r="AK2002" s="54">
        <f>IF(AND(AJ2002=1,AH2002&lt;&gt;"",COUNTIFS($AH$2:AH2002,AH2002,$AJ$2:AJ2002,1)=1),N(AL2001)+1,"")</f>
        <v/>
      </c>
      <c r="AL2002" s="54">
        <f>IF(AK2002&lt;&gt;"",AK2002,N(AL2001))</f>
        <v/>
      </c>
    </row>
    <row r="2003">
      <c r="A2003" t="inlineStr">
        <is>
          <t>ONS-0668</t>
        </is>
      </c>
      <c r="B2003" t="inlineStr">
        <is>
          <t>Onsite</t>
        </is>
      </c>
      <c r="AB2003" t="n">
        <v>668</v>
      </c>
      <c r="AD2003" s="52">
        <f>IFERROR(N(IFERROR(INDEX($A2003:$AB2003,MATCH("Xero Invoiced Ex GST",$A$1:$AB$1,0)),"")),0)</f>
        <v/>
      </c>
      <c r="AE2003" s="53">
        <f>IFERROR(INDEX($A2003:$AB2003,MATCH("Xero Invoice Date",$A$1:$AB$1,0)),"")</f>
        <v/>
      </c>
      <c r="AF2003" s="54">
        <f>IF(AND(IFERROR(INDEX($A2003:$AB2003,MATCH("Xero Invoice No",$A$1:$AB$1,0)),"")&amp;""&lt;&gt;"",ISNUMBER(AE2003),AD2003&lt;&gt;0),1,0)</f>
        <v/>
      </c>
      <c r="AG2003" s="55">
        <f>IF(AF2003=1,EOMONTH(AE2003,0),"")</f>
        <v/>
      </c>
      <c r="AH2003" s="9">
        <f>IF(AF2003=1,UPPER(TRIM(IFERROR(INDEX($A2003:$AB2003,MATCH("Client",$A$1:$AB$1,0)),"")&amp;"")),"")</f>
        <v/>
      </c>
      <c r="AI2003" s="9">
        <f>IF(AF2003=1,IFERROR(INDEX($A2003:$AB2003,MATCH("Cost Centre",$A$1:$AB$1,0)),"")&amp;"","")</f>
        <v/>
      </c>
      <c r="AJ2003" s="54">
        <f>IF(AND(AF2003=1,AE2003&gt;=set_FYStart,AE2003&lt;=set_AsAt),1,0)</f>
        <v/>
      </c>
      <c r="AK2003" s="54">
        <f>IF(AND(AJ2003=1,AH2003&lt;&gt;"",COUNTIFS($AH$2:AH2003,AH2003,$AJ$2:AJ2003,1)=1),N(AL2002)+1,"")</f>
        <v/>
      </c>
      <c r="AL2003" s="54">
        <f>IF(AK2003&lt;&gt;"",AK2003,N(AL2002))</f>
        <v/>
      </c>
    </row>
    <row r="2004">
      <c r="A2004" t="inlineStr">
        <is>
          <t>PRD-0668</t>
        </is>
      </c>
      <c r="B2004" t="inlineStr">
        <is>
          <t>Production</t>
        </is>
      </c>
      <c r="AB2004" t="n">
        <v>668</v>
      </c>
      <c r="AD2004" s="52">
        <f>IFERROR(N(IFERROR(INDEX($A2004:$AB2004,MATCH("Xero Invoiced Ex GST",$A$1:$AB$1,0)),"")),0)</f>
        <v/>
      </c>
      <c r="AE2004" s="53">
        <f>IFERROR(INDEX($A2004:$AB2004,MATCH("Xero Invoice Date",$A$1:$AB$1,0)),"")</f>
        <v/>
      </c>
      <c r="AF2004" s="54">
        <f>IF(AND(IFERROR(INDEX($A2004:$AB2004,MATCH("Xero Invoice No",$A$1:$AB$1,0)),"")&amp;""&lt;&gt;"",ISNUMBER(AE2004),AD2004&lt;&gt;0),1,0)</f>
        <v/>
      </c>
      <c r="AG2004" s="55">
        <f>IF(AF2004=1,EOMONTH(AE2004,0),"")</f>
        <v/>
      </c>
      <c r="AH2004" s="9">
        <f>IF(AF2004=1,UPPER(TRIM(IFERROR(INDEX($A2004:$AB2004,MATCH("Client",$A$1:$AB$1,0)),"")&amp;"")),"")</f>
        <v/>
      </c>
      <c r="AI2004" s="9">
        <f>IF(AF2004=1,IFERROR(INDEX($A2004:$AB2004,MATCH("Cost Centre",$A$1:$AB$1,0)),"")&amp;"","")</f>
        <v/>
      </c>
      <c r="AJ2004" s="54">
        <f>IF(AND(AF2004=1,AE2004&gt;=set_FYStart,AE2004&lt;=set_AsAt),1,0)</f>
        <v/>
      </c>
      <c r="AK2004" s="54">
        <f>IF(AND(AJ2004=1,AH2004&lt;&gt;"",COUNTIFS($AH$2:AH2004,AH2004,$AJ$2:AJ2004,1)=1),N(AL2003)+1,"")</f>
        <v/>
      </c>
      <c r="AL2004" s="54">
        <f>IF(AK2004&lt;&gt;"",AK2004,N(AL2003))</f>
        <v/>
      </c>
    </row>
    <row r="2005">
      <c r="A2005" t="inlineStr">
        <is>
          <t>CON-0668</t>
        </is>
      </c>
      <c r="B2005" t="inlineStr">
        <is>
          <t>Consulting</t>
        </is>
      </c>
      <c r="AB2005" t="n">
        <v>668</v>
      </c>
      <c r="AD2005" s="52">
        <f>IFERROR(N(IFERROR(INDEX($A2005:$AB2005,MATCH("Xero Invoiced Ex GST",$A$1:$AB$1,0)),"")),0)</f>
        <v/>
      </c>
      <c r="AE2005" s="53">
        <f>IFERROR(INDEX($A2005:$AB2005,MATCH("Xero Invoice Date",$A$1:$AB$1,0)),"")</f>
        <v/>
      </c>
      <c r="AF2005" s="54">
        <f>IF(AND(IFERROR(INDEX($A2005:$AB2005,MATCH("Xero Invoice No",$A$1:$AB$1,0)),"")&amp;""&lt;&gt;"",ISNUMBER(AE2005),AD2005&lt;&gt;0),1,0)</f>
        <v/>
      </c>
      <c r="AG2005" s="55">
        <f>IF(AF2005=1,EOMONTH(AE2005,0),"")</f>
        <v/>
      </c>
      <c r="AH2005" s="9">
        <f>IF(AF2005=1,UPPER(TRIM(IFERROR(INDEX($A2005:$AB2005,MATCH("Client",$A$1:$AB$1,0)),"")&amp;"")),"")</f>
        <v/>
      </c>
      <c r="AI2005" s="9">
        <f>IF(AF2005=1,IFERROR(INDEX($A2005:$AB2005,MATCH("Cost Centre",$A$1:$AB$1,0)),"")&amp;"","")</f>
        <v/>
      </c>
      <c r="AJ2005" s="54">
        <f>IF(AND(AF2005=1,AE2005&gt;=set_FYStart,AE2005&lt;=set_AsAt),1,0)</f>
        <v/>
      </c>
      <c r="AK2005" s="54">
        <f>IF(AND(AJ2005=1,AH2005&lt;&gt;"",COUNTIFS($AH$2:AH2005,AH2005,$AJ$2:AJ2005,1)=1),N(AL2004)+1,"")</f>
        <v/>
      </c>
      <c r="AL2005" s="54">
        <f>IF(AK2005&lt;&gt;"",AK2005,N(AL2004))</f>
        <v/>
      </c>
    </row>
    <row r="2006">
      <c r="A2006" t="inlineStr">
        <is>
          <t>ONS-0669</t>
        </is>
      </c>
      <c r="B2006" t="inlineStr">
        <is>
          <t>Onsite</t>
        </is>
      </c>
      <c r="AB2006" t="n">
        <v>669</v>
      </c>
      <c r="AD2006" s="52">
        <f>IFERROR(N(IFERROR(INDEX($A2006:$AB2006,MATCH("Xero Invoiced Ex GST",$A$1:$AB$1,0)),"")),0)</f>
        <v/>
      </c>
      <c r="AE2006" s="53">
        <f>IFERROR(INDEX($A2006:$AB2006,MATCH("Xero Invoice Date",$A$1:$AB$1,0)),"")</f>
        <v/>
      </c>
      <c r="AF2006" s="54">
        <f>IF(AND(IFERROR(INDEX($A2006:$AB2006,MATCH("Xero Invoice No",$A$1:$AB$1,0)),"")&amp;""&lt;&gt;"",ISNUMBER(AE2006),AD2006&lt;&gt;0),1,0)</f>
        <v/>
      </c>
      <c r="AG2006" s="55">
        <f>IF(AF2006=1,EOMONTH(AE2006,0),"")</f>
        <v/>
      </c>
      <c r="AH2006" s="9">
        <f>IF(AF2006=1,UPPER(TRIM(IFERROR(INDEX($A2006:$AB2006,MATCH("Client",$A$1:$AB$1,0)),"")&amp;"")),"")</f>
        <v/>
      </c>
      <c r="AI2006" s="9">
        <f>IF(AF2006=1,IFERROR(INDEX($A2006:$AB2006,MATCH("Cost Centre",$A$1:$AB$1,0)),"")&amp;"","")</f>
        <v/>
      </c>
      <c r="AJ2006" s="54">
        <f>IF(AND(AF2006=1,AE2006&gt;=set_FYStart,AE2006&lt;=set_AsAt),1,0)</f>
        <v/>
      </c>
      <c r="AK2006" s="54">
        <f>IF(AND(AJ2006=1,AH2006&lt;&gt;"",COUNTIFS($AH$2:AH2006,AH2006,$AJ$2:AJ2006,1)=1),N(AL2005)+1,"")</f>
        <v/>
      </c>
      <c r="AL2006" s="54">
        <f>IF(AK2006&lt;&gt;"",AK2006,N(AL2005))</f>
        <v/>
      </c>
    </row>
    <row r="2007">
      <c r="A2007" t="inlineStr">
        <is>
          <t>PRD-0669</t>
        </is>
      </c>
      <c r="B2007" t="inlineStr">
        <is>
          <t>Production</t>
        </is>
      </c>
      <c r="AB2007" t="n">
        <v>669</v>
      </c>
      <c r="AD2007" s="52">
        <f>IFERROR(N(IFERROR(INDEX($A2007:$AB2007,MATCH("Xero Invoiced Ex GST",$A$1:$AB$1,0)),"")),0)</f>
        <v/>
      </c>
      <c r="AE2007" s="53">
        <f>IFERROR(INDEX($A2007:$AB2007,MATCH("Xero Invoice Date",$A$1:$AB$1,0)),"")</f>
        <v/>
      </c>
      <c r="AF2007" s="54">
        <f>IF(AND(IFERROR(INDEX($A2007:$AB2007,MATCH("Xero Invoice No",$A$1:$AB$1,0)),"")&amp;""&lt;&gt;"",ISNUMBER(AE2007),AD2007&lt;&gt;0),1,0)</f>
        <v/>
      </c>
      <c r="AG2007" s="55">
        <f>IF(AF2007=1,EOMONTH(AE2007,0),"")</f>
        <v/>
      </c>
      <c r="AH2007" s="9">
        <f>IF(AF2007=1,UPPER(TRIM(IFERROR(INDEX($A2007:$AB2007,MATCH("Client",$A$1:$AB$1,0)),"")&amp;"")),"")</f>
        <v/>
      </c>
      <c r="AI2007" s="9">
        <f>IF(AF2007=1,IFERROR(INDEX($A2007:$AB2007,MATCH("Cost Centre",$A$1:$AB$1,0)),"")&amp;"","")</f>
        <v/>
      </c>
      <c r="AJ2007" s="54">
        <f>IF(AND(AF2007=1,AE2007&gt;=set_FYStart,AE2007&lt;=set_AsAt),1,0)</f>
        <v/>
      </c>
      <c r="AK2007" s="54">
        <f>IF(AND(AJ2007=1,AH2007&lt;&gt;"",COUNTIFS($AH$2:AH2007,AH2007,$AJ$2:AJ2007,1)=1),N(AL2006)+1,"")</f>
        <v/>
      </c>
      <c r="AL2007" s="54">
        <f>IF(AK2007&lt;&gt;"",AK2007,N(AL2006))</f>
        <v/>
      </c>
    </row>
    <row r="2008">
      <c r="A2008" t="inlineStr">
        <is>
          <t>CON-0669</t>
        </is>
      </c>
      <c r="B2008" t="inlineStr">
        <is>
          <t>Consulting</t>
        </is>
      </c>
      <c r="AB2008" t="n">
        <v>669</v>
      </c>
      <c r="AD2008" s="52">
        <f>IFERROR(N(IFERROR(INDEX($A2008:$AB2008,MATCH("Xero Invoiced Ex GST",$A$1:$AB$1,0)),"")),0)</f>
        <v/>
      </c>
      <c r="AE2008" s="53">
        <f>IFERROR(INDEX($A2008:$AB2008,MATCH("Xero Invoice Date",$A$1:$AB$1,0)),"")</f>
        <v/>
      </c>
      <c r="AF2008" s="54">
        <f>IF(AND(IFERROR(INDEX($A2008:$AB2008,MATCH("Xero Invoice No",$A$1:$AB$1,0)),"")&amp;""&lt;&gt;"",ISNUMBER(AE2008),AD2008&lt;&gt;0),1,0)</f>
        <v/>
      </c>
      <c r="AG2008" s="55">
        <f>IF(AF2008=1,EOMONTH(AE2008,0),"")</f>
        <v/>
      </c>
      <c r="AH2008" s="9">
        <f>IF(AF2008=1,UPPER(TRIM(IFERROR(INDEX($A2008:$AB2008,MATCH("Client",$A$1:$AB$1,0)),"")&amp;"")),"")</f>
        <v/>
      </c>
      <c r="AI2008" s="9">
        <f>IF(AF2008=1,IFERROR(INDEX($A2008:$AB2008,MATCH("Cost Centre",$A$1:$AB$1,0)),"")&amp;"","")</f>
        <v/>
      </c>
      <c r="AJ2008" s="54">
        <f>IF(AND(AF2008=1,AE2008&gt;=set_FYStart,AE2008&lt;=set_AsAt),1,0)</f>
        <v/>
      </c>
      <c r="AK2008" s="54">
        <f>IF(AND(AJ2008=1,AH2008&lt;&gt;"",COUNTIFS($AH$2:AH2008,AH2008,$AJ$2:AJ2008,1)=1),N(AL2007)+1,"")</f>
        <v/>
      </c>
      <c r="AL2008" s="54">
        <f>IF(AK2008&lt;&gt;"",AK2008,N(AL2007))</f>
        <v/>
      </c>
    </row>
    <row r="2009">
      <c r="A2009" t="inlineStr">
        <is>
          <t>ONS-0670</t>
        </is>
      </c>
      <c r="B2009" t="inlineStr">
        <is>
          <t>Onsite</t>
        </is>
      </c>
      <c r="AB2009" t="n">
        <v>670</v>
      </c>
      <c r="AD2009" s="52">
        <f>IFERROR(N(IFERROR(INDEX($A2009:$AB2009,MATCH("Xero Invoiced Ex GST",$A$1:$AB$1,0)),"")),0)</f>
        <v/>
      </c>
      <c r="AE2009" s="53">
        <f>IFERROR(INDEX($A2009:$AB2009,MATCH("Xero Invoice Date",$A$1:$AB$1,0)),"")</f>
        <v/>
      </c>
      <c r="AF2009" s="54">
        <f>IF(AND(IFERROR(INDEX($A2009:$AB2009,MATCH("Xero Invoice No",$A$1:$AB$1,0)),"")&amp;""&lt;&gt;"",ISNUMBER(AE2009),AD2009&lt;&gt;0),1,0)</f>
        <v/>
      </c>
      <c r="AG2009" s="55">
        <f>IF(AF2009=1,EOMONTH(AE2009,0),"")</f>
        <v/>
      </c>
      <c r="AH2009" s="9">
        <f>IF(AF2009=1,UPPER(TRIM(IFERROR(INDEX($A2009:$AB2009,MATCH("Client",$A$1:$AB$1,0)),"")&amp;"")),"")</f>
        <v/>
      </c>
      <c r="AI2009" s="9">
        <f>IF(AF2009=1,IFERROR(INDEX($A2009:$AB2009,MATCH("Cost Centre",$A$1:$AB$1,0)),"")&amp;"","")</f>
        <v/>
      </c>
      <c r="AJ2009" s="54">
        <f>IF(AND(AF2009=1,AE2009&gt;=set_FYStart,AE2009&lt;=set_AsAt),1,0)</f>
        <v/>
      </c>
      <c r="AK2009" s="54">
        <f>IF(AND(AJ2009=1,AH2009&lt;&gt;"",COUNTIFS($AH$2:AH2009,AH2009,$AJ$2:AJ2009,1)=1),N(AL2008)+1,"")</f>
        <v/>
      </c>
      <c r="AL2009" s="54">
        <f>IF(AK2009&lt;&gt;"",AK2009,N(AL2008))</f>
        <v/>
      </c>
    </row>
    <row r="2010">
      <c r="A2010" t="inlineStr">
        <is>
          <t>PRD-0670</t>
        </is>
      </c>
      <c r="B2010" t="inlineStr">
        <is>
          <t>Production</t>
        </is>
      </c>
      <c r="AB2010" t="n">
        <v>670</v>
      </c>
      <c r="AD2010" s="52">
        <f>IFERROR(N(IFERROR(INDEX($A2010:$AB2010,MATCH("Xero Invoiced Ex GST",$A$1:$AB$1,0)),"")),0)</f>
        <v/>
      </c>
      <c r="AE2010" s="53">
        <f>IFERROR(INDEX($A2010:$AB2010,MATCH("Xero Invoice Date",$A$1:$AB$1,0)),"")</f>
        <v/>
      </c>
      <c r="AF2010" s="54">
        <f>IF(AND(IFERROR(INDEX($A2010:$AB2010,MATCH("Xero Invoice No",$A$1:$AB$1,0)),"")&amp;""&lt;&gt;"",ISNUMBER(AE2010),AD2010&lt;&gt;0),1,0)</f>
        <v/>
      </c>
      <c r="AG2010" s="55">
        <f>IF(AF2010=1,EOMONTH(AE2010,0),"")</f>
        <v/>
      </c>
      <c r="AH2010" s="9">
        <f>IF(AF2010=1,UPPER(TRIM(IFERROR(INDEX($A2010:$AB2010,MATCH("Client",$A$1:$AB$1,0)),"")&amp;"")),"")</f>
        <v/>
      </c>
      <c r="AI2010" s="9">
        <f>IF(AF2010=1,IFERROR(INDEX($A2010:$AB2010,MATCH("Cost Centre",$A$1:$AB$1,0)),"")&amp;"","")</f>
        <v/>
      </c>
      <c r="AJ2010" s="54">
        <f>IF(AND(AF2010=1,AE2010&gt;=set_FYStart,AE2010&lt;=set_AsAt),1,0)</f>
        <v/>
      </c>
      <c r="AK2010" s="54">
        <f>IF(AND(AJ2010=1,AH2010&lt;&gt;"",COUNTIFS($AH$2:AH2010,AH2010,$AJ$2:AJ2010,1)=1),N(AL2009)+1,"")</f>
        <v/>
      </c>
      <c r="AL2010" s="54">
        <f>IF(AK2010&lt;&gt;"",AK2010,N(AL2009))</f>
        <v/>
      </c>
    </row>
    <row r="2011">
      <c r="A2011" t="inlineStr">
        <is>
          <t>CON-0670</t>
        </is>
      </c>
      <c r="B2011" t="inlineStr">
        <is>
          <t>Consulting</t>
        </is>
      </c>
      <c r="AB2011" t="n">
        <v>670</v>
      </c>
      <c r="AD2011" s="52">
        <f>IFERROR(N(IFERROR(INDEX($A2011:$AB2011,MATCH("Xero Invoiced Ex GST",$A$1:$AB$1,0)),"")),0)</f>
        <v/>
      </c>
      <c r="AE2011" s="53">
        <f>IFERROR(INDEX($A2011:$AB2011,MATCH("Xero Invoice Date",$A$1:$AB$1,0)),"")</f>
        <v/>
      </c>
      <c r="AF2011" s="54">
        <f>IF(AND(IFERROR(INDEX($A2011:$AB2011,MATCH("Xero Invoice No",$A$1:$AB$1,0)),"")&amp;""&lt;&gt;"",ISNUMBER(AE2011),AD2011&lt;&gt;0),1,0)</f>
        <v/>
      </c>
      <c r="AG2011" s="55">
        <f>IF(AF2011=1,EOMONTH(AE2011,0),"")</f>
        <v/>
      </c>
      <c r="AH2011" s="9">
        <f>IF(AF2011=1,UPPER(TRIM(IFERROR(INDEX($A2011:$AB2011,MATCH("Client",$A$1:$AB$1,0)),"")&amp;"")),"")</f>
        <v/>
      </c>
      <c r="AI2011" s="9">
        <f>IF(AF2011=1,IFERROR(INDEX($A2011:$AB2011,MATCH("Cost Centre",$A$1:$AB$1,0)),"")&amp;"","")</f>
        <v/>
      </c>
      <c r="AJ2011" s="54">
        <f>IF(AND(AF2011=1,AE2011&gt;=set_FYStart,AE2011&lt;=set_AsAt),1,0)</f>
        <v/>
      </c>
      <c r="AK2011" s="54">
        <f>IF(AND(AJ2011=1,AH2011&lt;&gt;"",COUNTIFS($AH$2:AH2011,AH2011,$AJ$2:AJ2011,1)=1),N(AL2010)+1,"")</f>
        <v/>
      </c>
      <c r="AL2011" s="54">
        <f>IF(AK2011&lt;&gt;"",AK2011,N(AL2010))</f>
        <v/>
      </c>
    </row>
    <row r="2012">
      <c r="A2012" t="inlineStr">
        <is>
          <t>ONS-0671</t>
        </is>
      </c>
      <c r="B2012" t="inlineStr">
        <is>
          <t>Onsite</t>
        </is>
      </c>
      <c r="AB2012" t="n">
        <v>671</v>
      </c>
      <c r="AD2012" s="52">
        <f>IFERROR(N(IFERROR(INDEX($A2012:$AB2012,MATCH("Xero Invoiced Ex GST",$A$1:$AB$1,0)),"")),0)</f>
        <v/>
      </c>
      <c r="AE2012" s="53">
        <f>IFERROR(INDEX($A2012:$AB2012,MATCH("Xero Invoice Date",$A$1:$AB$1,0)),"")</f>
        <v/>
      </c>
      <c r="AF2012" s="54">
        <f>IF(AND(IFERROR(INDEX($A2012:$AB2012,MATCH("Xero Invoice No",$A$1:$AB$1,0)),"")&amp;""&lt;&gt;"",ISNUMBER(AE2012),AD2012&lt;&gt;0),1,0)</f>
        <v/>
      </c>
      <c r="AG2012" s="55">
        <f>IF(AF2012=1,EOMONTH(AE2012,0),"")</f>
        <v/>
      </c>
      <c r="AH2012" s="9">
        <f>IF(AF2012=1,UPPER(TRIM(IFERROR(INDEX($A2012:$AB2012,MATCH("Client",$A$1:$AB$1,0)),"")&amp;"")),"")</f>
        <v/>
      </c>
      <c r="AI2012" s="9">
        <f>IF(AF2012=1,IFERROR(INDEX($A2012:$AB2012,MATCH("Cost Centre",$A$1:$AB$1,0)),"")&amp;"","")</f>
        <v/>
      </c>
      <c r="AJ2012" s="54">
        <f>IF(AND(AF2012=1,AE2012&gt;=set_FYStart,AE2012&lt;=set_AsAt),1,0)</f>
        <v/>
      </c>
      <c r="AK2012" s="54">
        <f>IF(AND(AJ2012=1,AH2012&lt;&gt;"",COUNTIFS($AH$2:AH2012,AH2012,$AJ$2:AJ2012,1)=1),N(AL2011)+1,"")</f>
        <v/>
      </c>
      <c r="AL2012" s="54">
        <f>IF(AK2012&lt;&gt;"",AK2012,N(AL2011))</f>
        <v/>
      </c>
    </row>
    <row r="2013">
      <c r="A2013" t="inlineStr">
        <is>
          <t>PRD-0671</t>
        </is>
      </c>
      <c r="B2013" t="inlineStr">
        <is>
          <t>Production</t>
        </is>
      </c>
      <c r="AB2013" t="n">
        <v>671</v>
      </c>
      <c r="AD2013" s="52">
        <f>IFERROR(N(IFERROR(INDEX($A2013:$AB2013,MATCH("Xero Invoiced Ex GST",$A$1:$AB$1,0)),"")),0)</f>
        <v/>
      </c>
      <c r="AE2013" s="53">
        <f>IFERROR(INDEX($A2013:$AB2013,MATCH("Xero Invoice Date",$A$1:$AB$1,0)),"")</f>
        <v/>
      </c>
      <c r="AF2013" s="54">
        <f>IF(AND(IFERROR(INDEX($A2013:$AB2013,MATCH("Xero Invoice No",$A$1:$AB$1,0)),"")&amp;""&lt;&gt;"",ISNUMBER(AE2013),AD2013&lt;&gt;0),1,0)</f>
        <v/>
      </c>
      <c r="AG2013" s="55">
        <f>IF(AF2013=1,EOMONTH(AE2013,0),"")</f>
        <v/>
      </c>
      <c r="AH2013" s="9">
        <f>IF(AF2013=1,UPPER(TRIM(IFERROR(INDEX($A2013:$AB2013,MATCH("Client",$A$1:$AB$1,0)),"")&amp;"")),"")</f>
        <v/>
      </c>
      <c r="AI2013" s="9">
        <f>IF(AF2013=1,IFERROR(INDEX($A2013:$AB2013,MATCH("Cost Centre",$A$1:$AB$1,0)),"")&amp;"","")</f>
        <v/>
      </c>
      <c r="AJ2013" s="54">
        <f>IF(AND(AF2013=1,AE2013&gt;=set_FYStart,AE2013&lt;=set_AsAt),1,0)</f>
        <v/>
      </c>
      <c r="AK2013" s="54">
        <f>IF(AND(AJ2013=1,AH2013&lt;&gt;"",COUNTIFS($AH$2:AH2013,AH2013,$AJ$2:AJ2013,1)=1),N(AL2012)+1,"")</f>
        <v/>
      </c>
      <c r="AL2013" s="54">
        <f>IF(AK2013&lt;&gt;"",AK2013,N(AL2012))</f>
        <v/>
      </c>
    </row>
    <row r="2014">
      <c r="A2014" t="inlineStr">
        <is>
          <t>CON-0671</t>
        </is>
      </c>
      <c r="B2014" t="inlineStr">
        <is>
          <t>Consulting</t>
        </is>
      </c>
      <c r="AB2014" t="n">
        <v>671</v>
      </c>
      <c r="AD2014" s="52">
        <f>IFERROR(N(IFERROR(INDEX($A2014:$AB2014,MATCH("Xero Invoiced Ex GST",$A$1:$AB$1,0)),"")),0)</f>
        <v/>
      </c>
      <c r="AE2014" s="53">
        <f>IFERROR(INDEX($A2014:$AB2014,MATCH("Xero Invoice Date",$A$1:$AB$1,0)),"")</f>
        <v/>
      </c>
      <c r="AF2014" s="54">
        <f>IF(AND(IFERROR(INDEX($A2014:$AB2014,MATCH("Xero Invoice No",$A$1:$AB$1,0)),"")&amp;""&lt;&gt;"",ISNUMBER(AE2014),AD2014&lt;&gt;0),1,0)</f>
        <v/>
      </c>
      <c r="AG2014" s="55">
        <f>IF(AF2014=1,EOMONTH(AE2014,0),"")</f>
        <v/>
      </c>
      <c r="AH2014" s="9">
        <f>IF(AF2014=1,UPPER(TRIM(IFERROR(INDEX($A2014:$AB2014,MATCH("Client",$A$1:$AB$1,0)),"")&amp;"")),"")</f>
        <v/>
      </c>
      <c r="AI2014" s="9">
        <f>IF(AF2014=1,IFERROR(INDEX($A2014:$AB2014,MATCH("Cost Centre",$A$1:$AB$1,0)),"")&amp;"","")</f>
        <v/>
      </c>
      <c r="AJ2014" s="54">
        <f>IF(AND(AF2014=1,AE2014&gt;=set_FYStart,AE2014&lt;=set_AsAt),1,0)</f>
        <v/>
      </c>
      <c r="AK2014" s="54">
        <f>IF(AND(AJ2014=1,AH2014&lt;&gt;"",COUNTIFS($AH$2:AH2014,AH2014,$AJ$2:AJ2014,1)=1),N(AL2013)+1,"")</f>
        <v/>
      </c>
      <c r="AL2014" s="54">
        <f>IF(AK2014&lt;&gt;"",AK2014,N(AL2013))</f>
        <v/>
      </c>
    </row>
    <row r="2015">
      <c r="A2015" t="inlineStr">
        <is>
          <t>ONS-0672</t>
        </is>
      </c>
      <c r="B2015" t="inlineStr">
        <is>
          <t>Onsite</t>
        </is>
      </c>
      <c r="AB2015" t="n">
        <v>672</v>
      </c>
      <c r="AD2015" s="52">
        <f>IFERROR(N(IFERROR(INDEX($A2015:$AB2015,MATCH("Xero Invoiced Ex GST",$A$1:$AB$1,0)),"")),0)</f>
        <v/>
      </c>
      <c r="AE2015" s="53">
        <f>IFERROR(INDEX($A2015:$AB2015,MATCH("Xero Invoice Date",$A$1:$AB$1,0)),"")</f>
        <v/>
      </c>
      <c r="AF2015" s="54">
        <f>IF(AND(IFERROR(INDEX($A2015:$AB2015,MATCH("Xero Invoice No",$A$1:$AB$1,0)),"")&amp;""&lt;&gt;"",ISNUMBER(AE2015),AD2015&lt;&gt;0),1,0)</f>
        <v/>
      </c>
      <c r="AG2015" s="55">
        <f>IF(AF2015=1,EOMONTH(AE2015,0),"")</f>
        <v/>
      </c>
      <c r="AH2015" s="9">
        <f>IF(AF2015=1,UPPER(TRIM(IFERROR(INDEX($A2015:$AB2015,MATCH("Client",$A$1:$AB$1,0)),"")&amp;"")),"")</f>
        <v/>
      </c>
      <c r="AI2015" s="9">
        <f>IF(AF2015=1,IFERROR(INDEX($A2015:$AB2015,MATCH("Cost Centre",$A$1:$AB$1,0)),"")&amp;"","")</f>
        <v/>
      </c>
      <c r="AJ2015" s="54">
        <f>IF(AND(AF2015=1,AE2015&gt;=set_FYStart,AE2015&lt;=set_AsAt),1,0)</f>
        <v/>
      </c>
      <c r="AK2015" s="54">
        <f>IF(AND(AJ2015=1,AH2015&lt;&gt;"",COUNTIFS($AH$2:AH2015,AH2015,$AJ$2:AJ2015,1)=1),N(AL2014)+1,"")</f>
        <v/>
      </c>
      <c r="AL2015" s="54">
        <f>IF(AK2015&lt;&gt;"",AK2015,N(AL2014))</f>
        <v/>
      </c>
    </row>
    <row r="2016">
      <c r="A2016" t="inlineStr">
        <is>
          <t>PRD-0672</t>
        </is>
      </c>
      <c r="B2016" t="inlineStr">
        <is>
          <t>Production</t>
        </is>
      </c>
      <c r="AB2016" t="n">
        <v>672</v>
      </c>
      <c r="AD2016" s="52">
        <f>IFERROR(N(IFERROR(INDEX($A2016:$AB2016,MATCH("Xero Invoiced Ex GST",$A$1:$AB$1,0)),"")),0)</f>
        <v/>
      </c>
      <c r="AE2016" s="53">
        <f>IFERROR(INDEX($A2016:$AB2016,MATCH("Xero Invoice Date",$A$1:$AB$1,0)),"")</f>
        <v/>
      </c>
      <c r="AF2016" s="54">
        <f>IF(AND(IFERROR(INDEX($A2016:$AB2016,MATCH("Xero Invoice No",$A$1:$AB$1,0)),"")&amp;""&lt;&gt;"",ISNUMBER(AE2016),AD2016&lt;&gt;0),1,0)</f>
        <v/>
      </c>
      <c r="AG2016" s="55">
        <f>IF(AF2016=1,EOMONTH(AE2016,0),"")</f>
        <v/>
      </c>
      <c r="AH2016" s="9">
        <f>IF(AF2016=1,UPPER(TRIM(IFERROR(INDEX($A2016:$AB2016,MATCH("Client",$A$1:$AB$1,0)),"")&amp;"")),"")</f>
        <v/>
      </c>
      <c r="AI2016" s="9">
        <f>IF(AF2016=1,IFERROR(INDEX($A2016:$AB2016,MATCH("Cost Centre",$A$1:$AB$1,0)),"")&amp;"","")</f>
        <v/>
      </c>
      <c r="AJ2016" s="54">
        <f>IF(AND(AF2016=1,AE2016&gt;=set_FYStart,AE2016&lt;=set_AsAt),1,0)</f>
        <v/>
      </c>
      <c r="AK2016" s="54">
        <f>IF(AND(AJ2016=1,AH2016&lt;&gt;"",COUNTIFS($AH$2:AH2016,AH2016,$AJ$2:AJ2016,1)=1),N(AL2015)+1,"")</f>
        <v/>
      </c>
      <c r="AL2016" s="54">
        <f>IF(AK2016&lt;&gt;"",AK2016,N(AL2015))</f>
        <v/>
      </c>
    </row>
    <row r="2017">
      <c r="A2017" t="inlineStr">
        <is>
          <t>CON-0672</t>
        </is>
      </c>
      <c r="B2017" t="inlineStr">
        <is>
          <t>Consulting</t>
        </is>
      </c>
      <c r="AB2017" t="n">
        <v>672</v>
      </c>
      <c r="AD2017" s="52">
        <f>IFERROR(N(IFERROR(INDEX($A2017:$AB2017,MATCH("Xero Invoiced Ex GST",$A$1:$AB$1,0)),"")),0)</f>
        <v/>
      </c>
      <c r="AE2017" s="53">
        <f>IFERROR(INDEX($A2017:$AB2017,MATCH("Xero Invoice Date",$A$1:$AB$1,0)),"")</f>
        <v/>
      </c>
      <c r="AF2017" s="54">
        <f>IF(AND(IFERROR(INDEX($A2017:$AB2017,MATCH("Xero Invoice No",$A$1:$AB$1,0)),"")&amp;""&lt;&gt;"",ISNUMBER(AE2017),AD2017&lt;&gt;0),1,0)</f>
        <v/>
      </c>
      <c r="AG2017" s="55">
        <f>IF(AF2017=1,EOMONTH(AE2017,0),"")</f>
        <v/>
      </c>
      <c r="AH2017" s="9">
        <f>IF(AF2017=1,UPPER(TRIM(IFERROR(INDEX($A2017:$AB2017,MATCH("Client",$A$1:$AB$1,0)),"")&amp;"")),"")</f>
        <v/>
      </c>
      <c r="AI2017" s="9">
        <f>IF(AF2017=1,IFERROR(INDEX($A2017:$AB2017,MATCH("Cost Centre",$A$1:$AB$1,0)),"")&amp;"","")</f>
        <v/>
      </c>
      <c r="AJ2017" s="54">
        <f>IF(AND(AF2017=1,AE2017&gt;=set_FYStart,AE2017&lt;=set_AsAt),1,0)</f>
        <v/>
      </c>
      <c r="AK2017" s="54">
        <f>IF(AND(AJ2017=1,AH2017&lt;&gt;"",COUNTIFS($AH$2:AH2017,AH2017,$AJ$2:AJ2017,1)=1),N(AL2016)+1,"")</f>
        <v/>
      </c>
      <c r="AL2017" s="54">
        <f>IF(AK2017&lt;&gt;"",AK2017,N(AL2016))</f>
        <v/>
      </c>
    </row>
    <row r="2018">
      <c r="A2018" t="inlineStr">
        <is>
          <t>ONS-0673</t>
        </is>
      </c>
      <c r="B2018" t="inlineStr">
        <is>
          <t>Onsite</t>
        </is>
      </c>
      <c r="AB2018" t="n">
        <v>673</v>
      </c>
      <c r="AD2018" s="52">
        <f>IFERROR(N(IFERROR(INDEX($A2018:$AB2018,MATCH("Xero Invoiced Ex GST",$A$1:$AB$1,0)),"")),0)</f>
        <v/>
      </c>
      <c r="AE2018" s="53">
        <f>IFERROR(INDEX($A2018:$AB2018,MATCH("Xero Invoice Date",$A$1:$AB$1,0)),"")</f>
        <v/>
      </c>
      <c r="AF2018" s="54">
        <f>IF(AND(IFERROR(INDEX($A2018:$AB2018,MATCH("Xero Invoice No",$A$1:$AB$1,0)),"")&amp;""&lt;&gt;"",ISNUMBER(AE2018),AD2018&lt;&gt;0),1,0)</f>
        <v/>
      </c>
      <c r="AG2018" s="55">
        <f>IF(AF2018=1,EOMONTH(AE2018,0),"")</f>
        <v/>
      </c>
      <c r="AH2018" s="9">
        <f>IF(AF2018=1,UPPER(TRIM(IFERROR(INDEX($A2018:$AB2018,MATCH("Client",$A$1:$AB$1,0)),"")&amp;"")),"")</f>
        <v/>
      </c>
      <c r="AI2018" s="9">
        <f>IF(AF2018=1,IFERROR(INDEX($A2018:$AB2018,MATCH("Cost Centre",$A$1:$AB$1,0)),"")&amp;"","")</f>
        <v/>
      </c>
      <c r="AJ2018" s="54">
        <f>IF(AND(AF2018=1,AE2018&gt;=set_FYStart,AE2018&lt;=set_AsAt),1,0)</f>
        <v/>
      </c>
      <c r="AK2018" s="54">
        <f>IF(AND(AJ2018=1,AH2018&lt;&gt;"",COUNTIFS($AH$2:AH2018,AH2018,$AJ$2:AJ2018,1)=1),N(AL2017)+1,"")</f>
        <v/>
      </c>
      <c r="AL2018" s="54">
        <f>IF(AK2018&lt;&gt;"",AK2018,N(AL2017))</f>
        <v/>
      </c>
    </row>
    <row r="2019">
      <c r="A2019" t="inlineStr">
        <is>
          <t>PRD-0673</t>
        </is>
      </c>
      <c r="B2019" t="inlineStr">
        <is>
          <t>Production</t>
        </is>
      </c>
      <c r="AB2019" t="n">
        <v>673</v>
      </c>
      <c r="AD2019" s="52">
        <f>IFERROR(N(IFERROR(INDEX($A2019:$AB2019,MATCH("Xero Invoiced Ex GST",$A$1:$AB$1,0)),"")),0)</f>
        <v/>
      </c>
      <c r="AE2019" s="53">
        <f>IFERROR(INDEX($A2019:$AB2019,MATCH("Xero Invoice Date",$A$1:$AB$1,0)),"")</f>
        <v/>
      </c>
      <c r="AF2019" s="54">
        <f>IF(AND(IFERROR(INDEX($A2019:$AB2019,MATCH("Xero Invoice No",$A$1:$AB$1,0)),"")&amp;""&lt;&gt;"",ISNUMBER(AE2019),AD2019&lt;&gt;0),1,0)</f>
        <v/>
      </c>
      <c r="AG2019" s="55">
        <f>IF(AF2019=1,EOMONTH(AE2019,0),"")</f>
        <v/>
      </c>
      <c r="AH2019" s="9">
        <f>IF(AF2019=1,UPPER(TRIM(IFERROR(INDEX($A2019:$AB2019,MATCH("Client",$A$1:$AB$1,0)),"")&amp;"")),"")</f>
        <v/>
      </c>
      <c r="AI2019" s="9">
        <f>IF(AF2019=1,IFERROR(INDEX($A2019:$AB2019,MATCH("Cost Centre",$A$1:$AB$1,0)),"")&amp;"","")</f>
        <v/>
      </c>
      <c r="AJ2019" s="54">
        <f>IF(AND(AF2019=1,AE2019&gt;=set_FYStart,AE2019&lt;=set_AsAt),1,0)</f>
        <v/>
      </c>
      <c r="AK2019" s="54">
        <f>IF(AND(AJ2019=1,AH2019&lt;&gt;"",COUNTIFS($AH$2:AH2019,AH2019,$AJ$2:AJ2019,1)=1),N(AL2018)+1,"")</f>
        <v/>
      </c>
      <c r="AL2019" s="54">
        <f>IF(AK2019&lt;&gt;"",AK2019,N(AL2018))</f>
        <v/>
      </c>
    </row>
    <row r="2020">
      <c r="A2020" t="inlineStr">
        <is>
          <t>CON-0673</t>
        </is>
      </c>
      <c r="B2020" t="inlineStr">
        <is>
          <t>Consulting</t>
        </is>
      </c>
      <c r="AB2020" t="n">
        <v>673</v>
      </c>
      <c r="AD2020" s="52">
        <f>IFERROR(N(IFERROR(INDEX($A2020:$AB2020,MATCH("Xero Invoiced Ex GST",$A$1:$AB$1,0)),"")),0)</f>
        <v/>
      </c>
      <c r="AE2020" s="53">
        <f>IFERROR(INDEX($A2020:$AB2020,MATCH("Xero Invoice Date",$A$1:$AB$1,0)),"")</f>
        <v/>
      </c>
      <c r="AF2020" s="54">
        <f>IF(AND(IFERROR(INDEX($A2020:$AB2020,MATCH("Xero Invoice No",$A$1:$AB$1,0)),"")&amp;""&lt;&gt;"",ISNUMBER(AE2020),AD2020&lt;&gt;0),1,0)</f>
        <v/>
      </c>
      <c r="AG2020" s="55">
        <f>IF(AF2020=1,EOMONTH(AE2020,0),"")</f>
        <v/>
      </c>
      <c r="AH2020" s="9">
        <f>IF(AF2020=1,UPPER(TRIM(IFERROR(INDEX($A2020:$AB2020,MATCH("Client",$A$1:$AB$1,0)),"")&amp;"")),"")</f>
        <v/>
      </c>
      <c r="AI2020" s="9">
        <f>IF(AF2020=1,IFERROR(INDEX($A2020:$AB2020,MATCH("Cost Centre",$A$1:$AB$1,0)),"")&amp;"","")</f>
        <v/>
      </c>
      <c r="AJ2020" s="54">
        <f>IF(AND(AF2020=1,AE2020&gt;=set_FYStart,AE2020&lt;=set_AsAt),1,0)</f>
        <v/>
      </c>
      <c r="AK2020" s="54">
        <f>IF(AND(AJ2020=1,AH2020&lt;&gt;"",COUNTIFS($AH$2:AH2020,AH2020,$AJ$2:AJ2020,1)=1),N(AL2019)+1,"")</f>
        <v/>
      </c>
      <c r="AL2020" s="54">
        <f>IF(AK2020&lt;&gt;"",AK2020,N(AL2019))</f>
        <v/>
      </c>
    </row>
    <row r="2021">
      <c r="A2021" t="inlineStr">
        <is>
          <t>ONS-0674</t>
        </is>
      </c>
      <c r="B2021" t="inlineStr">
        <is>
          <t>Onsite</t>
        </is>
      </c>
      <c r="AB2021" t="n">
        <v>674</v>
      </c>
      <c r="AD2021" s="52">
        <f>IFERROR(N(IFERROR(INDEX($A2021:$AB2021,MATCH("Xero Invoiced Ex GST",$A$1:$AB$1,0)),"")),0)</f>
        <v/>
      </c>
      <c r="AE2021" s="53">
        <f>IFERROR(INDEX($A2021:$AB2021,MATCH("Xero Invoice Date",$A$1:$AB$1,0)),"")</f>
        <v/>
      </c>
      <c r="AF2021" s="54">
        <f>IF(AND(IFERROR(INDEX($A2021:$AB2021,MATCH("Xero Invoice No",$A$1:$AB$1,0)),"")&amp;""&lt;&gt;"",ISNUMBER(AE2021),AD2021&lt;&gt;0),1,0)</f>
        <v/>
      </c>
      <c r="AG2021" s="55">
        <f>IF(AF2021=1,EOMONTH(AE2021,0),"")</f>
        <v/>
      </c>
      <c r="AH2021" s="9">
        <f>IF(AF2021=1,UPPER(TRIM(IFERROR(INDEX($A2021:$AB2021,MATCH("Client",$A$1:$AB$1,0)),"")&amp;"")),"")</f>
        <v/>
      </c>
      <c r="AI2021" s="9">
        <f>IF(AF2021=1,IFERROR(INDEX($A2021:$AB2021,MATCH("Cost Centre",$A$1:$AB$1,0)),"")&amp;"","")</f>
        <v/>
      </c>
      <c r="AJ2021" s="54">
        <f>IF(AND(AF2021=1,AE2021&gt;=set_FYStart,AE2021&lt;=set_AsAt),1,0)</f>
        <v/>
      </c>
      <c r="AK2021" s="54">
        <f>IF(AND(AJ2021=1,AH2021&lt;&gt;"",COUNTIFS($AH$2:AH2021,AH2021,$AJ$2:AJ2021,1)=1),N(AL2020)+1,"")</f>
        <v/>
      </c>
      <c r="AL2021" s="54">
        <f>IF(AK2021&lt;&gt;"",AK2021,N(AL2020))</f>
        <v/>
      </c>
    </row>
    <row r="2022">
      <c r="A2022" t="inlineStr">
        <is>
          <t>PRD-0674</t>
        </is>
      </c>
      <c r="B2022" t="inlineStr">
        <is>
          <t>Production</t>
        </is>
      </c>
      <c r="AB2022" t="n">
        <v>674</v>
      </c>
      <c r="AD2022" s="52">
        <f>IFERROR(N(IFERROR(INDEX($A2022:$AB2022,MATCH("Xero Invoiced Ex GST",$A$1:$AB$1,0)),"")),0)</f>
        <v/>
      </c>
      <c r="AE2022" s="53">
        <f>IFERROR(INDEX($A2022:$AB2022,MATCH("Xero Invoice Date",$A$1:$AB$1,0)),"")</f>
        <v/>
      </c>
      <c r="AF2022" s="54">
        <f>IF(AND(IFERROR(INDEX($A2022:$AB2022,MATCH("Xero Invoice No",$A$1:$AB$1,0)),"")&amp;""&lt;&gt;"",ISNUMBER(AE2022),AD2022&lt;&gt;0),1,0)</f>
        <v/>
      </c>
      <c r="AG2022" s="55">
        <f>IF(AF2022=1,EOMONTH(AE2022,0),"")</f>
        <v/>
      </c>
      <c r="AH2022" s="9">
        <f>IF(AF2022=1,UPPER(TRIM(IFERROR(INDEX($A2022:$AB2022,MATCH("Client",$A$1:$AB$1,0)),"")&amp;"")),"")</f>
        <v/>
      </c>
      <c r="AI2022" s="9">
        <f>IF(AF2022=1,IFERROR(INDEX($A2022:$AB2022,MATCH("Cost Centre",$A$1:$AB$1,0)),"")&amp;"","")</f>
        <v/>
      </c>
      <c r="AJ2022" s="54">
        <f>IF(AND(AF2022=1,AE2022&gt;=set_FYStart,AE2022&lt;=set_AsAt),1,0)</f>
        <v/>
      </c>
      <c r="AK2022" s="54">
        <f>IF(AND(AJ2022=1,AH2022&lt;&gt;"",COUNTIFS($AH$2:AH2022,AH2022,$AJ$2:AJ2022,1)=1),N(AL2021)+1,"")</f>
        <v/>
      </c>
      <c r="AL2022" s="54">
        <f>IF(AK2022&lt;&gt;"",AK2022,N(AL2021))</f>
        <v/>
      </c>
    </row>
    <row r="2023">
      <c r="A2023" t="inlineStr">
        <is>
          <t>CON-0674</t>
        </is>
      </c>
      <c r="B2023" t="inlineStr">
        <is>
          <t>Consulting</t>
        </is>
      </c>
      <c r="AB2023" t="n">
        <v>674</v>
      </c>
      <c r="AD2023" s="52">
        <f>IFERROR(N(IFERROR(INDEX($A2023:$AB2023,MATCH("Xero Invoiced Ex GST",$A$1:$AB$1,0)),"")),0)</f>
        <v/>
      </c>
      <c r="AE2023" s="53">
        <f>IFERROR(INDEX($A2023:$AB2023,MATCH("Xero Invoice Date",$A$1:$AB$1,0)),"")</f>
        <v/>
      </c>
      <c r="AF2023" s="54">
        <f>IF(AND(IFERROR(INDEX($A2023:$AB2023,MATCH("Xero Invoice No",$A$1:$AB$1,0)),"")&amp;""&lt;&gt;"",ISNUMBER(AE2023),AD2023&lt;&gt;0),1,0)</f>
        <v/>
      </c>
      <c r="AG2023" s="55">
        <f>IF(AF2023=1,EOMONTH(AE2023,0),"")</f>
        <v/>
      </c>
      <c r="AH2023" s="9">
        <f>IF(AF2023=1,UPPER(TRIM(IFERROR(INDEX($A2023:$AB2023,MATCH("Client",$A$1:$AB$1,0)),"")&amp;"")),"")</f>
        <v/>
      </c>
      <c r="AI2023" s="9">
        <f>IF(AF2023=1,IFERROR(INDEX($A2023:$AB2023,MATCH("Cost Centre",$A$1:$AB$1,0)),"")&amp;"","")</f>
        <v/>
      </c>
      <c r="AJ2023" s="54">
        <f>IF(AND(AF2023=1,AE2023&gt;=set_FYStart,AE2023&lt;=set_AsAt),1,0)</f>
        <v/>
      </c>
      <c r="AK2023" s="54">
        <f>IF(AND(AJ2023=1,AH2023&lt;&gt;"",COUNTIFS($AH$2:AH2023,AH2023,$AJ$2:AJ2023,1)=1),N(AL2022)+1,"")</f>
        <v/>
      </c>
      <c r="AL2023" s="54">
        <f>IF(AK2023&lt;&gt;"",AK2023,N(AL2022))</f>
        <v/>
      </c>
    </row>
    <row r="2024">
      <c r="A2024" t="inlineStr">
        <is>
          <t>ONS-0675</t>
        </is>
      </c>
      <c r="B2024" t="inlineStr">
        <is>
          <t>Onsite</t>
        </is>
      </c>
      <c r="AB2024" t="n">
        <v>675</v>
      </c>
      <c r="AD2024" s="52">
        <f>IFERROR(N(IFERROR(INDEX($A2024:$AB2024,MATCH("Xero Invoiced Ex GST",$A$1:$AB$1,0)),"")),0)</f>
        <v/>
      </c>
      <c r="AE2024" s="53">
        <f>IFERROR(INDEX($A2024:$AB2024,MATCH("Xero Invoice Date",$A$1:$AB$1,0)),"")</f>
        <v/>
      </c>
      <c r="AF2024" s="54">
        <f>IF(AND(IFERROR(INDEX($A2024:$AB2024,MATCH("Xero Invoice No",$A$1:$AB$1,0)),"")&amp;""&lt;&gt;"",ISNUMBER(AE2024),AD2024&lt;&gt;0),1,0)</f>
        <v/>
      </c>
      <c r="AG2024" s="55">
        <f>IF(AF2024=1,EOMONTH(AE2024,0),"")</f>
        <v/>
      </c>
      <c r="AH2024" s="9">
        <f>IF(AF2024=1,UPPER(TRIM(IFERROR(INDEX($A2024:$AB2024,MATCH("Client",$A$1:$AB$1,0)),"")&amp;"")),"")</f>
        <v/>
      </c>
      <c r="AI2024" s="9">
        <f>IF(AF2024=1,IFERROR(INDEX($A2024:$AB2024,MATCH("Cost Centre",$A$1:$AB$1,0)),"")&amp;"","")</f>
        <v/>
      </c>
      <c r="AJ2024" s="54">
        <f>IF(AND(AF2024=1,AE2024&gt;=set_FYStart,AE2024&lt;=set_AsAt),1,0)</f>
        <v/>
      </c>
      <c r="AK2024" s="54">
        <f>IF(AND(AJ2024=1,AH2024&lt;&gt;"",COUNTIFS($AH$2:AH2024,AH2024,$AJ$2:AJ2024,1)=1),N(AL2023)+1,"")</f>
        <v/>
      </c>
      <c r="AL2024" s="54">
        <f>IF(AK2024&lt;&gt;"",AK2024,N(AL2023))</f>
        <v/>
      </c>
    </row>
    <row r="2025">
      <c r="A2025" t="inlineStr">
        <is>
          <t>PRD-0675</t>
        </is>
      </c>
      <c r="B2025" t="inlineStr">
        <is>
          <t>Production</t>
        </is>
      </c>
      <c r="AB2025" t="n">
        <v>675</v>
      </c>
      <c r="AD2025" s="52">
        <f>IFERROR(N(IFERROR(INDEX($A2025:$AB2025,MATCH("Xero Invoiced Ex GST",$A$1:$AB$1,0)),"")),0)</f>
        <v/>
      </c>
      <c r="AE2025" s="53">
        <f>IFERROR(INDEX($A2025:$AB2025,MATCH("Xero Invoice Date",$A$1:$AB$1,0)),"")</f>
        <v/>
      </c>
      <c r="AF2025" s="54">
        <f>IF(AND(IFERROR(INDEX($A2025:$AB2025,MATCH("Xero Invoice No",$A$1:$AB$1,0)),"")&amp;""&lt;&gt;"",ISNUMBER(AE2025),AD2025&lt;&gt;0),1,0)</f>
        <v/>
      </c>
      <c r="AG2025" s="55">
        <f>IF(AF2025=1,EOMONTH(AE2025,0),"")</f>
        <v/>
      </c>
      <c r="AH2025" s="9">
        <f>IF(AF2025=1,UPPER(TRIM(IFERROR(INDEX($A2025:$AB2025,MATCH("Client",$A$1:$AB$1,0)),"")&amp;"")),"")</f>
        <v/>
      </c>
      <c r="AI2025" s="9">
        <f>IF(AF2025=1,IFERROR(INDEX($A2025:$AB2025,MATCH("Cost Centre",$A$1:$AB$1,0)),"")&amp;"","")</f>
        <v/>
      </c>
      <c r="AJ2025" s="54">
        <f>IF(AND(AF2025=1,AE2025&gt;=set_FYStart,AE2025&lt;=set_AsAt),1,0)</f>
        <v/>
      </c>
      <c r="AK2025" s="54">
        <f>IF(AND(AJ2025=1,AH2025&lt;&gt;"",COUNTIFS($AH$2:AH2025,AH2025,$AJ$2:AJ2025,1)=1),N(AL2024)+1,"")</f>
        <v/>
      </c>
      <c r="AL2025" s="54">
        <f>IF(AK2025&lt;&gt;"",AK2025,N(AL2024))</f>
        <v/>
      </c>
    </row>
    <row r="2026">
      <c r="A2026" t="inlineStr">
        <is>
          <t>CON-0675</t>
        </is>
      </c>
      <c r="B2026" t="inlineStr">
        <is>
          <t>Consulting</t>
        </is>
      </c>
      <c r="AB2026" t="n">
        <v>675</v>
      </c>
      <c r="AD2026" s="52">
        <f>IFERROR(N(IFERROR(INDEX($A2026:$AB2026,MATCH("Xero Invoiced Ex GST",$A$1:$AB$1,0)),"")),0)</f>
        <v/>
      </c>
      <c r="AE2026" s="53">
        <f>IFERROR(INDEX($A2026:$AB2026,MATCH("Xero Invoice Date",$A$1:$AB$1,0)),"")</f>
        <v/>
      </c>
      <c r="AF2026" s="54">
        <f>IF(AND(IFERROR(INDEX($A2026:$AB2026,MATCH("Xero Invoice No",$A$1:$AB$1,0)),"")&amp;""&lt;&gt;"",ISNUMBER(AE2026),AD2026&lt;&gt;0),1,0)</f>
        <v/>
      </c>
      <c r="AG2026" s="55">
        <f>IF(AF2026=1,EOMONTH(AE2026,0),"")</f>
        <v/>
      </c>
      <c r="AH2026" s="9">
        <f>IF(AF2026=1,UPPER(TRIM(IFERROR(INDEX($A2026:$AB2026,MATCH("Client",$A$1:$AB$1,0)),"")&amp;"")),"")</f>
        <v/>
      </c>
      <c r="AI2026" s="9">
        <f>IF(AF2026=1,IFERROR(INDEX($A2026:$AB2026,MATCH("Cost Centre",$A$1:$AB$1,0)),"")&amp;"","")</f>
        <v/>
      </c>
      <c r="AJ2026" s="54">
        <f>IF(AND(AF2026=1,AE2026&gt;=set_FYStart,AE2026&lt;=set_AsAt),1,0)</f>
        <v/>
      </c>
      <c r="AK2026" s="54">
        <f>IF(AND(AJ2026=1,AH2026&lt;&gt;"",COUNTIFS($AH$2:AH2026,AH2026,$AJ$2:AJ2026,1)=1),N(AL2025)+1,"")</f>
        <v/>
      </c>
      <c r="AL2026" s="54">
        <f>IF(AK2026&lt;&gt;"",AK2026,N(AL2025))</f>
        <v/>
      </c>
    </row>
    <row r="2027">
      <c r="A2027" t="inlineStr">
        <is>
          <t>ONS-0676</t>
        </is>
      </c>
      <c r="B2027" t="inlineStr">
        <is>
          <t>Onsite</t>
        </is>
      </c>
      <c r="AB2027" t="n">
        <v>676</v>
      </c>
      <c r="AD2027" s="52">
        <f>IFERROR(N(IFERROR(INDEX($A2027:$AB2027,MATCH("Xero Invoiced Ex GST",$A$1:$AB$1,0)),"")),0)</f>
        <v/>
      </c>
      <c r="AE2027" s="53">
        <f>IFERROR(INDEX($A2027:$AB2027,MATCH("Xero Invoice Date",$A$1:$AB$1,0)),"")</f>
        <v/>
      </c>
      <c r="AF2027" s="54">
        <f>IF(AND(IFERROR(INDEX($A2027:$AB2027,MATCH("Xero Invoice No",$A$1:$AB$1,0)),"")&amp;""&lt;&gt;"",ISNUMBER(AE2027),AD2027&lt;&gt;0),1,0)</f>
        <v/>
      </c>
      <c r="AG2027" s="55">
        <f>IF(AF2027=1,EOMONTH(AE2027,0),"")</f>
        <v/>
      </c>
      <c r="AH2027" s="9">
        <f>IF(AF2027=1,UPPER(TRIM(IFERROR(INDEX($A2027:$AB2027,MATCH("Client",$A$1:$AB$1,0)),"")&amp;"")),"")</f>
        <v/>
      </c>
      <c r="AI2027" s="9">
        <f>IF(AF2027=1,IFERROR(INDEX($A2027:$AB2027,MATCH("Cost Centre",$A$1:$AB$1,0)),"")&amp;"","")</f>
        <v/>
      </c>
      <c r="AJ2027" s="54">
        <f>IF(AND(AF2027=1,AE2027&gt;=set_FYStart,AE2027&lt;=set_AsAt),1,0)</f>
        <v/>
      </c>
      <c r="AK2027" s="54">
        <f>IF(AND(AJ2027=1,AH2027&lt;&gt;"",COUNTIFS($AH$2:AH2027,AH2027,$AJ$2:AJ2027,1)=1),N(AL2026)+1,"")</f>
        <v/>
      </c>
      <c r="AL2027" s="54">
        <f>IF(AK2027&lt;&gt;"",AK2027,N(AL2026))</f>
        <v/>
      </c>
    </row>
    <row r="2028">
      <c r="A2028" t="inlineStr">
        <is>
          <t>PRD-0676</t>
        </is>
      </c>
      <c r="B2028" t="inlineStr">
        <is>
          <t>Production</t>
        </is>
      </c>
      <c r="AB2028" t="n">
        <v>676</v>
      </c>
      <c r="AD2028" s="52">
        <f>IFERROR(N(IFERROR(INDEX($A2028:$AB2028,MATCH("Xero Invoiced Ex GST",$A$1:$AB$1,0)),"")),0)</f>
        <v/>
      </c>
      <c r="AE2028" s="53">
        <f>IFERROR(INDEX($A2028:$AB2028,MATCH("Xero Invoice Date",$A$1:$AB$1,0)),"")</f>
        <v/>
      </c>
      <c r="AF2028" s="54">
        <f>IF(AND(IFERROR(INDEX($A2028:$AB2028,MATCH("Xero Invoice No",$A$1:$AB$1,0)),"")&amp;""&lt;&gt;"",ISNUMBER(AE2028),AD2028&lt;&gt;0),1,0)</f>
        <v/>
      </c>
      <c r="AG2028" s="55">
        <f>IF(AF2028=1,EOMONTH(AE2028,0),"")</f>
        <v/>
      </c>
      <c r="AH2028" s="9">
        <f>IF(AF2028=1,UPPER(TRIM(IFERROR(INDEX($A2028:$AB2028,MATCH("Client",$A$1:$AB$1,0)),"")&amp;"")),"")</f>
        <v/>
      </c>
      <c r="AI2028" s="9">
        <f>IF(AF2028=1,IFERROR(INDEX($A2028:$AB2028,MATCH("Cost Centre",$A$1:$AB$1,0)),"")&amp;"","")</f>
        <v/>
      </c>
      <c r="AJ2028" s="54">
        <f>IF(AND(AF2028=1,AE2028&gt;=set_FYStart,AE2028&lt;=set_AsAt),1,0)</f>
        <v/>
      </c>
      <c r="AK2028" s="54">
        <f>IF(AND(AJ2028=1,AH2028&lt;&gt;"",COUNTIFS($AH$2:AH2028,AH2028,$AJ$2:AJ2028,1)=1),N(AL2027)+1,"")</f>
        <v/>
      </c>
      <c r="AL2028" s="54">
        <f>IF(AK2028&lt;&gt;"",AK2028,N(AL2027))</f>
        <v/>
      </c>
    </row>
    <row r="2029">
      <c r="A2029" t="inlineStr">
        <is>
          <t>CON-0676</t>
        </is>
      </c>
      <c r="B2029" t="inlineStr">
        <is>
          <t>Consulting</t>
        </is>
      </c>
      <c r="AB2029" t="n">
        <v>676</v>
      </c>
      <c r="AD2029" s="52">
        <f>IFERROR(N(IFERROR(INDEX($A2029:$AB2029,MATCH("Xero Invoiced Ex GST",$A$1:$AB$1,0)),"")),0)</f>
        <v/>
      </c>
      <c r="AE2029" s="53">
        <f>IFERROR(INDEX($A2029:$AB2029,MATCH("Xero Invoice Date",$A$1:$AB$1,0)),"")</f>
        <v/>
      </c>
      <c r="AF2029" s="54">
        <f>IF(AND(IFERROR(INDEX($A2029:$AB2029,MATCH("Xero Invoice No",$A$1:$AB$1,0)),"")&amp;""&lt;&gt;"",ISNUMBER(AE2029),AD2029&lt;&gt;0),1,0)</f>
        <v/>
      </c>
      <c r="AG2029" s="55">
        <f>IF(AF2029=1,EOMONTH(AE2029,0),"")</f>
        <v/>
      </c>
      <c r="AH2029" s="9">
        <f>IF(AF2029=1,UPPER(TRIM(IFERROR(INDEX($A2029:$AB2029,MATCH("Client",$A$1:$AB$1,0)),"")&amp;"")),"")</f>
        <v/>
      </c>
      <c r="AI2029" s="9">
        <f>IF(AF2029=1,IFERROR(INDEX($A2029:$AB2029,MATCH("Cost Centre",$A$1:$AB$1,0)),"")&amp;"","")</f>
        <v/>
      </c>
      <c r="AJ2029" s="54">
        <f>IF(AND(AF2029=1,AE2029&gt;=set_FYStart,AE2029&lt;=set_AsAt),1,0)</f>
        <v/>
      </c>
      <c r="AK2029" s="54">
        <f>IF(AND(AJ2029=1,AH2029&lt;&gt;"",COUNTIFS($AH$2:AH2029,AH2029,$AJ$2:AJ2029,1)=1),N(AL2028)+1,"")</f>
        <v/>
      </c>
      <c r="AL2029" s="54">
        <f>IF(AK2029&lt;&gt;"",AK2029,N(AL2028))</f>
        <v/>
      </c>
    </row>
    <row r="2030">
      <c r="A2030" t="inlineStr">
        <is>
          <t>ONS-0677</t>
        </is>
      </c>
      <c r="B2030" t="inlineStr">
        <is>
          <t>Onsite</t>
        </is>
      </c>
      <c r="AB2030" t="n">
        <v>677</v>
      </c>
      <c r="AD2030" s="52">
        <f>IFERROR(N(IFERROR(INDEX($A2030:$AB2030,MATCH("Xero Invoiced Ex GST",$A$1:$AB$1,0)),"")),0)</f>
        <v/>
      </c>
      <c r="AE2030" s="53">
        <f>IFERROR(INDEX($A2030:$AB2030,MATCH("Xero Invoice Date",$A$1:$AB$1,0)),"")</f>
        <v/>
      </c>
      <c r="AF2030" s="54">
        <f>IF(AND(IFERROR(INDEX($A2030:$AB2030,MATCH("Xero Invoice No",$A$1:$AB$1,0)),"")&amp;""&lt;&gt;"",ISNUMBER(AE2030),AD2030&lt;&gt;0),1,0)</f>
        <v/>
      </c>
      <c r="AG2030" s="55">
        <f>IF(AF2030=1,EOMONTH(AE2030,0),"")</f>
        <v/>
      </c>
      <c r="AH2030" s="9">
        <f>IF(AF2030=1,UPPER(TRIM(IFERROR(INDEX($A2030:$AB2030,MATCH("Client",$A$1:$AB$1,0)),"")&amp;"")),"")</f>
        <v/>
      </c>
      <c r="AI2030" s="9">
        <f>IF(AF2030=1,IFERROR(INDEX($A2030:$AB2030,MATCH("Cost Centre",$A$1:$AB$1,0)),"")&amp;"","")</f>
        <v/>
      </c>
      <c r="AJ2030" s="54">
        <f>IF(AND(AF2030=1,AE2030&gt;=set_FYStart,AE2030&lt;=set_AsAt),1,0)</f>
        <v/>
      </c>
      <c r="AK2030" s="54">
        <f>IF(AND(AJ2030=1,AH2030&lt;&gt;"",COUNTIFS($AH$2:AH2030,AH2030,$AJ$2:AJ2030,1)=1),N(AL2029)+1,"")</f>
        <v/>
      </c>
      <c r="AL2030" s="54">
        <f>IF(AK2030&lt;&gt;"",AK2030,N(AL2029))</f>
        <v/>
      </c>
    </row>
    <row r="2031">
      <c r="A2031" t="inlineStr">
        <is>
          <t>PRD-0677</t>
        </is>
      </c>
      <c r="B2031" t="inlineStr">
        <is>
          <t>Production</t>
        </is>
      </c>
      <c r="AB2031" t="n">
        <v>677</v>
      </c>
      <c r="AD2031" s="52">
        <f>IFERROR(N(IFERROR(INDEX($A2031:$AB2031,MATCH("Xero Invoiced Ex GST",$A$1:$AB$1,0)),"")),0)</f>
        <v/>
      </c>
      <c r="AE2031" s="53">
        <f>IFERROR(INDEX($A2031:$AB2031,MATCH("Xero Invoice Date",$A$1:$AB$1,0)),"")</f>
        <v/>
      </c>
      <c r="AF2031" s="54">
        <f>IF(AND(IFERROR(INDEX($A2031:$AB2031,MATCH("Xero Invoice No",$A$1:$AB$1,0)),"")&amp;""&lt;&gt;"",ISNUMBER(AE2031),AD2031&lt;&gt;0),1,0)</f>
        <v/>
      </c>
      <c r="AG2031" s="55">
        <f>IF(AF2031=1,EOMONTH(AE2031,0),"")</f>
        <v/>
      </c>
      <c r="AH2031" s="9">
        <f>IF(AF2031=1,UPPER(TRIM(IFERROR(INDEX($A2031:$AB2031,MATCH("Client",$A$1:$AB$1,0)),"")&amp;"")),"")</f>
        <v/>
      </c>
      <c r="AI2031" s="9">
        <f>IF(AF2031=1,IFERROR(INDEX($A2031:$AB2031,MATCH("Cost Centre",$A$1:$AB$1,0)),"")&amp;"","")</f>
        <v/>
      </c>
      <c r="AJ2031" s="54">
        <f>IF(AND(AF2031=1,AE2031&gt;=set_FYStart,AE2031&lt;=set_AsAt),1,0)</f>
        <v/>
      </c>
      <c r="AK2031" s="54">
        <f>IF(AND(AJ2031=1,AH2031&lt;&gt;"",COUNTIFS($AH$2:AH2031,AH2031,$AJ$2:AJ2031,1)=1),N(AL2030)+1,"")</f>
        <v/>
      </c>
      <c r="AL2031" s="54">
        <f>IF(AK2031&lt;&gt;"",AK2031,N(AL2030))</f>
        <v/>
      </c>
    </row>
    <row r="2032">
      <c r="A2032" t="inlineStr">
        <is>
          <t>CON-0677</t>
        </is>
      </c>
      <c r="B2032" t="inlineStr">
        <is>
          <t>Consulting</t>
        </is>
      </c>
      <c r="AB2032" t="n">
        <v>677</v>
      </c>
      <c r="AD2032" s="52">
        <f>IFERROR(N(IFERROR(INDEX($A2032:$AB2032,MATCH("Xero Invoiced Ex GST",$A$1:$AB$1,0)),"")),0)</f>
        <v/>
      </c>
      <c r="AE2032" s="53">
        <f>IFERROR(INDEX($A2032:$AB2032,MATCH("Xero Invoice Date",$A$1:$AB$1,0)),"")</f>
        <v/>
      </c>
      <c r="AF2032" s="54">
        <f>IF(AND(IFERROR(INDEX($A2032:$AB2032,MATCH("Xero Invoice No",$A$1:$AB$1,0)),"")&amp;""&lt;&gt;"",ISNUMBER(AE2032),AD2032&lt;&gt;0),1,0)</f>
        <v/>
      </c>
      <c r="AG2032" s="55">
        <f>IF(AF2032=1,EOMONTH(AE2032,0),"")</f>
        <v/>
      </c>
      <c r="AH2032" s="9">
        <f>IF(AF2032=1,UPPER(TRIM(IFERROR(INDEX($A2032:$AB2032,MATCH("Client",$A$1:$AB$1,0)),"")&amp;"")),"")</f>
        <v/>
      </c>
      <c r="AI2032" s="9">
        <f>IF(AF2032=1,IFERROR(INDEX($A2032:$AB2032,MATCH("Cost Centre",$A$1:$AB$1,0)),"")&amp;"","")</f>
        <v/>
      </c>
      <c r="AJ2032" s="54">
        <f>IF(AND(AF2032=1,AE2032&gt;=set_FYStart,AE2032&lt;=set_AsAt),1,0)</f>
        <v/>
      </c>
      <c r="AK2032" s="54">
        <f>IF(AND(AJ2032=1,AH2032&lt;&gt;"",COUNTIFS($AH$2:AH2032,AH2032,$AJ$2:AJ2032,1)=1),N(AL2031)+1,"")</f>
        <v/>
      </c>
      <c r="AL2032" s="54">
        <f>IF(AK2032&lt;&gt;"",AK2032,N(AL2031))</f>
        <v/>
      </c>
    </row>
    <row r="2033">
      <c r="A2033" t="inlineStr">
        <is>
          <t>ONS-0678</t>
        </is>
      </c>
      <c r="B2033" t="inlineStr">
        <is>
          <t>Onsite</t>
        </is>
      </c>
      <c r="AB2033" t="n">
        <v>678</v>
      </c>
      <c r="AD2033" s="52">
        <f>IFERROR(N(IFERROR(INDEX($A2033:$AB2033,MATCH("Xero Invoiced Ex GST",$A$1:$AB$1,0)),"")),0)</f>
        <v/>
      </c>
      <c r="AE2033" s="53">
        <f>IFERROR(INDEX($A2033:$AB2033,MATCH("Xero Invoice Date",$A$1:$AB$1,0)),"")</f>
        <v/>
      </c>
      <c r="AF2033" s="54">
        <f>IF(AND(IFERROR(INDEX($A2033:$AB2033,MATCH("Xero Invoice No",$A$1:$AB$1,0)),"")&amp;""&lt;&gt;"",ISNUMBER(AE2033),AD2033&lt;&gt;0),1,0)</f>
        <v/>
      </c>
      <c r="AG2033" s="55">
        <f>IF(AF2033=1,EOMONTH(AE2033,0),"")</f>
        <v/>
      </c>
      <c r="AH2033" s="9">
        <f>IF(AF2033=1,UPPER(TRIM(IFERROR(INDEX($A2033:$AB2033,MATCH("Client",$A$1:$AB$1,0)),"")&amp;"")),"")</f>
        <v/>
      </c>
      <c r="AI2033" s="9">
        <f>IF(AF2033=1,IFERROR(INDEX($A2033:$AB2033,MATCH("Cost Centre",$A$1:$AB$1,0)),"")&amp;"","")</f>
        <v/>
      </c>
      <c r="AJ2033" s="54">
        <f>IF(AND(AF2033=1,AE2033&gt;=set_FYStart,AE2033&lt;=set_AsAt),1,0)</f>
        <v/>
      </c>
      <c r="AK2033" s="54">
        <f>IF(AND(AJ2033=1,AH2033&lt;&gt;"",COUNTIFS($AH$2:AH2033,AH2033,$AJ$2:AJ2033,1)=1),N(AL2032)+1,"")</f>
        <v/>
      </c>
      <c r="AL2033" s="54">
        <f>IF(AK2033&lt;&gt;"",AK2033,N(AL2032))</f>
        <v/>
      </c>
    </row>
    <row r="2034">
      <c r="A2034" t="inlineStr">
        <is>
          <t>PRD-0678</t>
        </is>
      </c>
      <c r="B2034" t="inlineStr">
        <is>
          <t>Production</t>
        </is>
      </c>
      <c r="AB2034" t="n">
        <v>678</v>
      </c>
      <c r="AD2034" s="52">
        <f>IFERROR(N(IFERROR(INDEX($A2034:$AB2034,MATCH("Xero Invoiced Ex GST",$A$1:$AB$1,0)),"")),0)</f>
        <v/>
      </c>
      <c r="AE2034" s="53">
        <f>IFERROR(INDEX($A2034:$AB2034,MATCH("Xero Invoice Date",$A$1:$AB$1,0)),"")</f>
        <v/>
      </c>
      <c r="AF2034" s="54">
        <f>IF(AND(IFERROR(INDEX($A2034:$AB2034,MATCH("Xero Invoice No",$A$1:$AB$1,0)),"")&amp;""&lt;&gt;"",ISNUMBER(AE2034),AD2034&lt;&gt;0),1,0)</f>
        <v/>
      </c>
      <c r="AG2034" s="55">
        <f>IF(AF2034=1,EOMONTH(AE2034,0),"")</f>
        <v/>
      </c>
      <c r="AH2034" s="9">
        <f>IF(AF2034=1,UPPER(TRIM(IFERROR(INDEX($A2034:$AB2034,MATCH("Client",$A$1:$AB$1,0)),"")&amp;"")),"")</f>
        <v/>
      </c>
      <c r="AI2034" s="9">
        <f>IF(AF2034=1,IFERROR(INDEX($A2034:$AB2034,MATCH("Cost Centre",$A$1:$AB$1,0)),"")&amp;"","")</f>
        <v/>
      </c>
      <c r="AJ2034" s="54">
        <f>IF(AND(AF2034=1,AE2034&gt;=set_FYStart,AE2034&lt;=set_AsAt),1,0)</f>
        <v/>
      </c>
      <c r="AK2034" s="54">
        <f>IF(AND(AJ2034=1,AH2034&lt;&gt;"",COUNTIFS($AH$2:AH2034,AH2034,$AJ$2:AJ2034,1)=1),N(AL2033)+1,"")</f>
        <v/>
      </c>
      <c r="AL2034" s="54">
        <f>IF(AK2034&lt;&gt;"",AK2034,N(AL2033))</f>
        <v/>
      </c>
    </row>
    <row r="2035">
      <c r="A2035" t="inlineStr">
        <is>
          <t>CON-0678</t>
        </is>
      </c>
      <c r="B2035" t="inlineStr">
        <is>
          <t>Consulting</t>
        </is>
      </c>
      <c r="AB2035" t="n">
        <v>678</v>
      </c>
      <c r="AD2035" s="52">
        <f>IFERROR(N(IFERROR(INDEX($A2035:$AB2035,MATCH("Xero Invoiced Ex GST",$A$1:$AB$1,0)),"")),0)</f>
        <v/>
      </c>
      <c r="AE2035" s="53">
        <f>IFERROR(INDEX($A2035:$AB2035,MATCH("Xero Invoice Date",$A$1:$AB$1,0)),"")</f>
        <v/>
      </c>
      <c r="AF2035" s="54">
        <f>IF(AND(IFERROR(INDEX($A2035:$AB2035,MATCH("Xero Invoice No",$A$1:$AB$1,0)),"")&amp;""&lt;&gt;"",ISNUMBER(AE2035),AD2035&lt;&gt;0),1,0)</f>
        <v/>
      </c>
      <c r="AG2035" s="55">
        <f>IF(AF2035=1,EOMONTH(AE2035,0),"")</f>
        <v/>
      </c>
      <c r="AH2035" s="9">
        <f>IF(AF2035=1,UPPER(TRIM(IFERROR(INDEX($A2035:$AB2035,MATCH("Client",$A$1:$AB$1,0)),"")&amp;"")),"")</f>
        <v/>
      </c>
      <c r="AI2035" s="9">
        <f>IF(AF2035=1,IFERROR(INDEX($A2035:$AB2035,MATCH("Cost Centre",$A$1:$AB$1,0)),"")&amp;"","")</f>
        <v/>
      </c>
      <c r="AJ2035" s="54">
        <f>IF(AND(AF2035=1,AE2035&gt;=set_FYStart,AE2035&lt;=set_AsAt),1,0)</f>
        <v/>
      </c>
      <c r="AK2035" s="54">
        <f>IF(AND(AJ2035=1,AH2035&lt;&gt;"",COUNTIFS($AH$2:AH2035,AH2035,$AJ$2:AJ2035,1)=1),N(AL2034)+1,"")</f>
        <v/>
      </c>
      <c r="AL2035" s="54">
        <f>IF(AK2035&lt;&gt;"",AK2035,N(AL2034))</f>
        <v/>
      </c>
    </row>
    <row r="2036">
      <c r="A2036" t="inlineStr">
        <is>
          <t>ONS-0679</t>
        </is>
      </c>
      <c r="B2036" t="inlineStr">
        <is>
          <t>Onsite</t>
        </is>
      </c>
      <c r="AB2036" t="n">
        <v>679</v>
      </c>
      <c r="AD2036" s="52">
        <f>IFERROR(N(IFERROR(INDEX($A2036:$AB2036,MATCH("Xero Invoiced Ex GST",$A$1:$AB$1,0)),"")),0)</f>
        <v/>
      </c>
      <c r="AE2036" s="53">
        <f>IFERROR(INDEX($A2036:$AB2036,MATCH("Xero Invoice Date",$A$1:$AB$1,0)),"")</f>
        <v/>
      </c>
      <c r="AF2036" s="54">
        <f>IF(AND(IFERROR(INDEX($A2036:$AB2036,MATCH("Xero Invoice No",$A$1:$AB$1,0)),"")&amp;""&lt;&gt;"",ISNUMBER(AE2036),AD2036&lt;&gt;0),1,0)</f>
        <v/>
      </c>
      <c r="AG2036" s="55">
        <f>IF(AF2036=1,EOMONTH(AE2036,0),"")</f>
        <v/>
      </c>
      <c r="AH2036" s="9">
        <f>IF(AF2036=1,UPPER(TRIM(IFERROR(INDEX($A2036:$AB2036,MATCH("Client",$A$1:$AB$1,0)),"")&amp;"")),"")</f>
        <v/>
      </c>
      <c r="AI2036" s="9">
        <f>IF(AF2036=1,IFERROR(INDEX($A2036:$AB2036,MATCH("Cost Centre",$A$1:$AB$1,0)),"")&amp;"","")</f>
        <v/>
      </c>
      <c r="AJ2036" s="54">
        <f>IF(AND(AF2036=1,AE2036&gt;=set_FYStart,AE2036&lt;=set_AsAt),1,0)</f>
        <v/>
      </c>
      <c r="AK2036" s="54">
        <f>IF(AND(AJ2036=1,AH2036&lt;&gt;"",COUNTIFS($AH$2:AH2036,AH2036,$AJ$2:AJ2036,1)=1),N(AL2035)+1,"")</f>
        <v/>
      </c>
      <c r="AL2036" s="54">
        <f>IF(AK2036&lt;&gt;"",AK2036,N(AL2035))</f>
        <v/>
      </c>
    </row>
    <row r="2037">
      <c r="A2037" t="inlineStr">
        <is>
          <t>PRD-0679</t>
        </is>
      </c>
      <c r="B2037" t="inlineStr">
        <is>
          <t>Production</t>
        </is>
      </c>
      <c r="AB2037" t="n">
        <v>679</v>
      </c>
      <c r="AD2037" s="52">
        <f>IFERROR(N(IFERROR(INDEX($A2037:$AB2037,MATCH("Xero Invoiced Ex GST",$A$1:$AB$1,0)),"")),0)</f>
        <v/>
      </c>
      <c r="AE2037" s="53">
        <f>IFERROR(INDEX($A2037:$AB2037,MATCH("Xero Invoice Date",$A$1:$AB$1,0)),"")</f>
        <v/>
      </c>
      <c r="AF2037" s="54">
        <f>IF(AND(IFERROR(INDEX($A2037:$AB2037,MATCH("Xero Invoice No",$A$1:$AB$1,0)),"")&amp;""&lt;&gt;"",ISNUMBER(AE2037),AD2037&lt;&gt;0),1,0)</f>
        <v/>
      </c>
      <c r="AG2037" s="55">
        <f>IF(AF2037=1,EOMONTH(AE2037,0),"")</f>
        <v/>
      </c>
      <c r="AH2037" s="9">
        <f>IF(AF2037=1,UPPER(TRIM(IFERROR(INDEX($A2037:$AB2037,MATCH("Client",$A$1:$AB$1,0)),"")&amp;"")),"")</f>
        <v/>
      </c>
      <c r="AI2037" s="9">
        <f>IF(AF2037=1,IFERROR(INDEX($A2037:$AB2037,MATCH("Cost Centre",$A$1:$AB$1,0)),"")&amp;"","")</f>
        <v/>
      </c>
      <c r="AJ2037" s="54">
        <f>IF(AND(AF2037=1,AE2037&gt;=set_FYStart,AE2037&lt;=set_AsAt),1,0)</f>
        <v/>
      </c>
      <c r="AK2037" s="54">
        <f>IF(AND(AJ2037=1,AH2037&lt;&gt;"",COUNTIFS($AH$2:AH2037,AH2037,$AJ$2:AJ2037,1)=1),N(AL2036)+1,"")</f>
        <v/>
      </c>
      <c r="AL2037" s="54">
        <f>IF(AK2037&lt;&gt;"",AK2037,N(AL2036))</f>
        <v/>
      </c>
    </row>
    <row r="2038">
      <c r="A2038" t="inlineStr">
        <is>
          <t>CON-0679</t>
        </is>
      </c>
      <c r="B2038" t="inlineStr">
        <is>
          <t>Consulting</t>
        </is>
      </c>
      <c r="AB2038" t="n">
        <v>679</v>
      </c>
      <c r="AD2038" s="52">
        <f>IFERROR(N(IFERROR(INDEX($A2038:$AB2038,MATCH("Xero Invoiced Ex GST",$A$1:$AB$1,0)),"")),0)</f>
        <v/>
      </c>
      <c r="AE2038" s="53">
        <f>IFERROR(INDEX($A2038:$AB2038,MATCH("Xero Invoice Date",$A$1:$AB$1,0)),"")</f>
        <v/>
      </c>
      <c r="AF2038" s="54">
        <f>IF(AND(IFERROR(INDEX($A2038:$AB2038,MATCH("Xero Invoice No",$A$1:$AB$1,0)),"")&amp;""&lt;&gt;"",ISNUMBER(AE2038),AD2038&lt;&gt;0),1,0)</f>
        <v/>
      </c>
      <c r="AG2038" s="55">
        <f>IF(AF2038=1,EOMONTH(AE2038,0),"")</f>
        <v/>
      </c>
      <c r="AH2038" s="9">
        <f>IF(AF2038=1,UPPER(TRIM(IFERROR(INDEX($A2038:$AB2038,MATCH("Client",$A$1:$AB$1,0)),"")&amp;"")),"")</f>
        <v/>
      </c>
      <c r="AI2038" s="9">
        <f>IF(AF2038=1,IFERROR(INDEX($A2038:$AB2038,MATCH("Cost Centre",$A$1:$AB$1,0)),"")&amp;"","")</f>
        <v/>
      </c>
      <c r="AJ2038" s="54">
        <f>IF(AND(AF2038=1,AE2038&gt;=set_FYStart,AE2038&lt;=set_AsAt),1,0)</f>
        <v/>
      </c>
      <c r="AK2038" s="54">
        <f>IF(AND(AJ2038=1,AH2038&lt;&gt;"",COUNTIFS($AH$2:AH2038,AH2038,$AJ$2:AJ2038,1)=1),N(AL2037)+1,"")</f>
        <v/>
      </c>
      <c r="AL2038" s="54">
        <f>IF(AK2038&lt;&gt;"",AK2038,N(AL2037))</f>
        <v/>
      </c>
    </row>
    <row r="2039">
      <c r="A2039" t="inlineStr">
        <is>
          <t>ONS-0680</t>
        </is>
      </c>
      <c r="B2039" t="inlineStr">
        <is>
          <t>Onsite</t>
        </is>
      </c>
      <c r="AB2039" t="n">
        <v>680</v>
      </c>
      <c r="AD2039" s="52">
        <f>IFERROR(N(IFERROR(INDEX($A2039:$AB2039,MATCH("Xero Invoiced Ex GST",$A$1:$AB$1,0)),"")),0)</f>
        <v/>
      </c>
      <c r="AE2039" s="53">
        <f>IFERROR(INDEX($A2039:$AB2039,MATCH("Xero Invoice Date",$A$1:$AB$1,0)),"")</f>
        <v/>
      </c>
      <c r="AF2039" s="54">
        <f>IF(AND(IFERROR(INDEX($A2039:$AB2039,MATCH("Xero Invoice No",$A$1:$AB$1,0)),"")&amp;""&lt;&gt;"",ISNUMBER(AE2039),AD2039&lt;&gt;0),1,0)</f>
        <v/>
      </c>
      <c r="AG2039" s="55">
        <f>IF(AF2039=1,EOMONTH(AE2039,0),"")</f>
        <v/>
      </c>
      <c r="AH2039" s="9">
        <f>IF(AF2039=1,UPPER(TRIM(IFERROR(INDEX($A2039:$AB2039,MATCH("Client",$A$1:$AB$1,0)),"")&amp;"")),"")</f>
        <v/>
      </c>
      <c r="AI2039" s="9">
        <f>IF(AF2039=1,IFERROR(INDEX($A2039:$AB2039,MATCH("Cost Centre",$A$1:$AB$1,0)),"")&amp;"","")</f>
        <v/>
      </c>
      <c r="AJ2039" s="54">
        <f>IF(AND(AF2039=1,AE2039&gt;=set_FYStart,AE2039&lt;=set_AsAt),1,0)</f>
        <v/>
      </c>
      <c r="AK2039" s="54">
        <f>IF(AND(AJ2039=1,AH2039&lt;&gt;"",COUNTIFS($AH$2:AH2039,AH2039,$AJ$2:AJ2039,1)=1),N(AL2038)+1,"")</f>
        <v/>
      </c>
      <c r="AL2039" s="54">
        <f>IF(AK2039&lt;&gt;"",AK2039,N(AL2038))</f>
        <v/>
      </c>
    </row>
    <row r="2040">
      <c r="A2040" t="inlineStr">
        <is>
          <t>PRD-0680</t>
        </is>
      </c>
      <c r="B2040" t="inlineStr">
        <is>
          <t>Production</t>
        </is>
      </c>
      <c r="AB2040" t="n">
        <v>680</v>
      </c>
      <c r="AD2040" s="52">
        <f>IFERROR(N(IFERROR(INDEX($A2040:$AB2040,MATCH("Xero Invoiced Ex GST",$A$1:$AB$1,0)),"")),0)</f>
        <v/>
      </c>
      <c r="AE2040" s="53">
        <f>IFERROR(INDEX($A2040:$AB2040,MATCH("Xero Invoice Date",$A$1:$AB$1,0)),"")</f>
        <v/>
      </c>
      <c r="AF2040" s="54">
        <f>IF(AND(IFERROR(INDEX($A2040:$AB2040,MATCH("Xero Invoice No",$A$1:$AB$1,0)),"")&amp;""&lt;&gt;"",ISNUMBER(AE2040),AD2040&lt;&gt;0),1,0)</f>
        <v/>
      </c>
      <c r="AG2040" s="55">
        <f>IF(AF2040=1,EOMONTH(AE2040,0),"")</f>
        <v/>
      </c>
      <c r="AH2040" s="9">
        <f>IF(AF2040=1,UPPER(TRIM(IFERROR(INDEX($A2040:$AB2040,MATCH("Client",$A$1:$AB$1,0)),"")&amp;"")),"")</f>
        <v/>
      </c>
      <c r="AI2040" s="9">
        <f>IF(AF2040=1,IFERROR(INDEX($A2040:$AB2040,MATCH("Cost Centre",$A$1:$AB$1,0)),"")&amp;"","")</f>
        <v/>
      </c>
      <c r="AJ2040" s="54">
        <f>IF(AND(AF2040=1,AE2040&gt;=set_FYStart,AE2040&lt;=set_AsAt),1,0)</f>
        <v/>
      </c>
      <c r="AK2040" s="54">
        <f>IF(AND(AJ2040=1,AH2040&lt;&gt;"",COUNTIFS($AH$2:AH2040,AH2040,$AJ$2:AJ2040,1)=1),N(AL2039)+1,"")</f>
        <v/>
      </c>
      <c r="AL2040" s="54">
        <f>IF(AK2040&lt;&gt;"",AK2040,N(AL2039))</f>
        <v/>
      </c>
    </row>
    <row r="2041">
      <c r="A2041" t="inlineStr">
        <is>
          <t>CON-0680</t>
        </is>
      </c>
      <c r="B2041" t="inlineStr">
        <is>
          <t>Consulting</t>
        </is>
      </c>
      <c r="AB2041" t="n">
        <v>680</v>
      </c>
      <c r="AD2041" s="52">
        <f>IFERROR(N(IFERROR(INDEX($A2041:$AB2041,MATCH("Xero Invoiced Ex GST",$A$1:$AB$1,0)),"")),0)</f>
        <v/>
      </c>
      <c r="AE2041" s="53">
        <f>IFERROR(INDEX($A2041:$AB2041,MATCH("Xero Invoice Date",$A$1:$AB$1,0)),"")</f>
        <v/>
      </c>
      <c r="AF2041" s="54">
        <f>IF(AND(IFERROR(INDEX($A2041:$AB2041,MATCH("Xero Invoice No",$A$1:$AB$1,0)),"")&amp;""&lt;&gt;"",ISNUMBER(AE2041),AD2041&lt;&gt;0),1,0)</f>
        <v/>
      </c>
      <c r="AG2041" s="55">
        <f>IF(AF2041=1,EOMONTH(AE2041,0),"")</f>
        <v/>
      </c>
      <c r="AH2041" s="9">
        <f>IF(AF2041=1,UPPER(TRIM(IFERROR(INDEX($A2041:$AB2041,MATCH("Client",$A$1:$AB$1,0)),"")&amp;"")),"")</f>
        <v/>
      </c>
      <c r="AI2041" s="9">
        <f>IF(AF2041=1,IFERROR(INDEX($A2041:$AB2041,MATCH("Cost Centre",$A$1:$AB$1,0)),"")&amp;"","")</f>
        <v/>
      </c>
      <c r="AJ2041" s="54">
        <f>IF(AND(AF2041=1,AE2041&gt;=set_FYStart,AE2041&lt;=set_AsAt),1,0)</f>
        <v/>
      </c>
      <c r="AK2041" s="54">
        <f>IF(AND(AJ2041=1,AH2041&lt;&gt;"",COUNTIFS($AH$2:AH2041,AH2041,$AJ$2:AJ2041,1)=1),N(AL2040)+1,"")</f>
        <v/>
      </c>
      <c r="AL2041" s="54">
        <f>IF(AK2041&lt;&gt;"",AK2041,N(AL2040))</f>
        <v/>
      </c>
    </row>
    <row r="2042">
      <c r="A2042" t="inlineStr">
        <is>
          <t>ONS-0681</t>
        </is>
      </c>
      <c r="B2042" t="inlineStr">
        <is>
          <t>Onsite</t>
        </is>
      </c>
      <c r="AB2042" t="n">
        <v>681</v>
      </c>
      <c r="AD2042" s="52">
        <f>IFERROR(N(IFERROR(INDEX($A2042:$AB2042,MATCH("Xero Invoiced Ex GST",$A$1:$AB$1,0)),"")),0)</f>
        <v/>
      </c>
      <c r="AE2042" s="53">
        <f>IFERROR(INDEX($A2042:$AB2042,MATCH("Xero Invoice Date",$A$1:$AB$1,0)),"")</f>
        <v/>
      </c>
      <c r="AF2042" s="54">
        <f>IF(AND(IFERROR(INDEX($A2042:$AB2042,MATCH("Xero Invoice No",$A$1:$AB$1,0)),"")&amp;""&lt;&gt;"",ISNUMBER(AE2042),AD2042&lt;&gt;0),1,0)</f>
        <v/>
      </c>
      <c r="AG2042" s="55">
        <f>IF(AF2042=1,EOMONTH(AE2042,0),"")</f>
        <v/>
      </c>
      <c r="AH2042" s="9">
        <f>IF(AF2042=1,UPPER(TRIM(IFERROR(INDEX($A2042:$AB2042,MATCH("Client",$A$1:$AB$1,0)),"")&amp;"")),"")</f>
        <v/>
      </c>
      <c r="AI2042" s="9">
        <f>IF(AF2042=1,IFERROR(INDEX($A2042:$AB2042,MATCH("Cost Centre",$A$1:$AB$1,0)),"")&amp;"","")</f>
        <v/>
      </c>
      <c r="AJ2042" s="54">
        <f>IF(AND(AF2042=1,AE2042&gt;=set_FYStart,AE2042&lt;=set_AsAt),1,0)</f>
        <v/>
      </c>
      <c r="AK2042" s="54">
        <f>IF(AND(AJ2042=1,AH2042&lt;&gt;"",COUNTIFS($AH$2:AH2042,AH2042,$AJ$2:AJ2042,1)=1),N(AL2041)+1,"")</f>
        <v/>
      </c>
      <c r="AL2042" s="54">
        <f>IF(AK2042&lt;&gt;"",AK2042,N(AL2041))</f>
        <v/>
      </c>
    </row>
    <row r="2043">
      <c r="A2043" t="inlineStr">
        <is>
          <t>PRD-0681</t>
        </is>
      </c>
      <c r="B2043" t="inlineStr">
        <is>
          <t>Production</t>
        </is>
      </c>
      <c r="AB2043" t="n">
        <v>681</v>
      </c>
      <c r="AD2043" s="52">
        <f>IFERROR(N(IFERROR(INDEX($A2043:$AB2043,MATCH("Xero Invoiced Ex GST",$A$1:$AB$1,0)),"")),0)</f>
        <v/>
      </c>
      <c r="AE2043" s="53">
        <f>IFERROR(INDEX($A2043:$AB2043,MATCH("Xero Invoice Date",$A$1:$AB$1,0)),"")</f>
        <v/>
      </c>
      <c r="AF2043" s="54">
        <f>IF(AND(IFERROR(INDEX($A2043:$AB2043,MATCH("Xero Invoice No",$A$1:$AB$1,0)),"")&amp;""&lt;&gt;"",ISNUMBER(AE2043),AD2043&lt;&gt;0),1,0)</f>
        <v/>
      </c>
      <c r="AG2043" s="55">
        <f>IF(AF2043=1,EOMONTH(AE2043,0),"")</f>
        <v/>
      </c>
      <c r="AH2043" s="9">
        <f>IF(AF2043=1,UPPER(TRIM(IFERROR(INDEX($A2043:$AB2043,MATCH("Client",$A$1:$AB$1,0)),"")&amp;"")),"")</f>
        <v/>
      </c>
      <c r="AI2043" s="9">
        <f>IF(AF2043=1,IFERROR(INDEX($A2043:$AB2043,MATCH("Cost Centre",$A$1:$AB$1,0)),"")&amp;"","")</f>
        <v/>
      </c>
      <c r="AJ2043" s="54">
        <f>IF(AND(AF2043=1,AE2043&gt;=set_FYStart,AE2043&lt;=set_AsAt),1,0)</f>
        <v/>
      </c>
      <c r="AK2043" s="54">
        <f>IF(AND(AJ2043=1,AH2043&lt;&gt;"",COUNTIFS($AH$2:AH2043,AH2043,$AJ$2:AJ2043,1)=1),N(AL2042)+1,"")</f>
        <v/>
      </c>
      <c r="AL2043" s="54">
        <f>IF(AK2043&lt;&gt;"",AK2043,N(AL2042))</f>
        <v/>
      </c>
    </row>
    <row r="2044">
      <c r="A2044" t="inlineStr">
        <is>
          <t>CON-0681</t>
        </is>
      </c>
      <c r="B2044" t="inlineStr">
        <is>
          <t>Consulting</t>
        </is>
      </c>
      <c r="AB2044" t="n">
        <v>681</v>
      </c>
      <c r="AD2044" s="52">
        <f>IFERROR(N(IFERROR(INDEX($A2044:$AB2044,MATCH("Xero Invoiced Ex GST",$A$1:$AB$1,0)),"")),0)</f>
        <v/>
      </c>
      <c r="AE2044" s="53">
        <f>IFERROR(INDEX($A2044:$AB2044,MATCH("Xero Invoice Date",$A$1:$AB$1,0)),"")</f>
        <v/>
      </c>
      <c r="AF2044" s="54">
        <f>IF(AND(IFERROR(INDEX($A2044:$AB2044,MATCH("Xero Invoice No",$A$1:$AB$1,0)),"")&amp;""&lt;&gt;"",ISNUMBER(AE2044),AD2044&lt;&gt;0),1,0)</f>
        <v/>
      </c>
      <c r="AG2044" s="55">
        <f>IF(AF2044=1,EOMONTH(AE2044,0),"")</f>
        <v/>
      </c>
      <c r="AH2044" s="9">
        <f>IF(AF2044=1,UPPER(TRIM(IFERROR(INDEX($A2044:$AB2044,MATCH("Client",$A$1:$AB$1,0)),"")&amp;"")),"")</f>
        <v/>
      </c>
      <c r="AI2044" s="9">
        <f>IF(AF2044=1,IFERROR(INDEX($A2044:$AB2044,MATCH("Cost Centre",$A$1:$AB$1,0)),"")&amp;"","")</f>
        <v/>
      </c>
      <c r="AJ2044" s="54">
        <f>IF(AND(AF2044=1,AE2044&gt;=set_FYStart,AE2044&lt;=set_AsAt),1,0)</f>
        <v/>
      </c>
      <c r="AK2044" s="54">
        <f>IF(AND(AJ2044=1,AH2044&lt;&gt;"",COUNTIFS($AH$2:AH2044,AH2044,$AJ$2:AJ2044,1)=1),N(AL2043)+1,"")</f>
        <v/>
      </c>
      <c r="AL2044" s="54">
        <f>IF(AK2044&lt;&gt;"",AK2044,N(AL2043))</f>
        <v/>
      </c>
    </row>
    <row r="2045">
      <c r="A2045" t="inlineStr">
        <is>
          <t>ONS-0682</t>
        </is>
      </c>
      <c r="B2045" t="inlineStr">
        <is>
          <t>Onsite</t>
        </is>
      </c>
      <c r="AB2045" t="n">
        <v>682</v>
      </c>
      <c r="AD2045" s="52">
        <f>IFERROR(N(IFERROR(INDEX($A2045:$AB2045,MATCH("Xero Invoiced Ex GST",$A$1:$AB$1,0)),"")),0)</f>
        <v/>
      </c>
      <c r="AE2045" s="53">
        <f>IFERROR(INDEX($A2045:$AB2045,MATCH("Xero Invoice Date",$A$1:$AB$1,0)),"")</f>
        <v/>
      </c>
      <c r="AF2045" s="54">
        <f>IF(AND(IFERROR(INDEX($A2045:$AB2045,MATCH("Xero Invoice No",$A$1:$AB$1,0)),"")&amp;""&lt;&gt;"",ISNUMBER(AE2045),AD2045&lt;&gt;0),1,0)</f>
        <v/>
      </c>
      <c r="AG2045" s="55">
        <f>IF(AF2045=1,EOMONTH(AE2045,0),"")</f>
        <v/>
      </c>
      <c r="AH2045" s="9">
        <f>IF(AF2045=1,UPPER(TRIM(IFERROR(INDEX($A2045:$AB2045,MATCH("Client",$A$1:$AB$1,0)),"")&amp;"")),"")</f>
        <v/>
      </c>
      <c r="AI2045" s="9">
        <f>IF(AF2045=1,IFERROR(INDEX($A2045:$AB2045,MATCH("Cost Centre",$A$1:$AB$1,0)),"")&amp;"","")</f>
        <v/>
      </c>
      <c r="AJ2045" s="54">
        <f>IF(AND(AF2045=1,AE2045&gt;=set_FYStart,AE2045&lt;=set_AsAt),1,0)</f>
        <v/>
      </c>
      <c r="AK2045" s="54">
        <f>IF(AND(AJ2045=1,AH2045&lt;&gt;"",COUNTIFS($AH$2:AH2045,AH2045,$AJ$2:AJ2045,1)=1),N(AL2044)+1,"")</f>
        <v/>
      </c>
      <c r="AL2045" s="54">
        <f>IF(AK2045&lt;&gt;"",AK2045,N(AL2044))</f>
        <v/>
      </c>
    </row>
    <row r="2046">
      <c r="A2046" t="inlineStr">
        <is>
          <t>PRD-0682</t>
        </is>
      </c>
      <c r="B2046" t="inlineStr">
        <is>
          <t>Production</t>
        </is>
      </c>
      <c r="AB2046" t="n">
        <v>682</v>
      </c>
      <c r="AD2046" s="52">
        <f>IFERROR(N(IFERROR(INDEX($A2046:$AB2046,MATCH("Xero Invoiced Ex GST",$A$1:$AB$1,0)),"")),0)</f>
        <v/>
      </c>
      <c r="AE2046" s="53">
        <f>IFERROR(INDEX($A2046:$AB2046,MATCH("Xero Invoice Date",$A$1:$AB$1,0)),"")</f>
        <v/>
      </c>
      <c r="AF2046" s="54">
        <f>IF(AND(IFERROR(INDEX($A2046:$AB2046,MATCH("Xero Invoice No",$A$1:$AB$1,0)),"")&amp;""&lt;&gt;"",ISNUMBER(AE2046),AD2046&lt;&gt;0),1,0)</f>
        <v/>
      </c>
      <c r="AG2046" s="55">
        <f>IF(AF2046=1,EOMONTH(AE2046,0),"")</f>
        <v/>
      </c>
      <c r="AH2046" s="9">
        <f>IF(AF2046=1,UPPER(TRIM(IFERROR(INDEX($A2046:$AB2046,MATCH("Client",$A$1:$AB$1,0)),"")&amp;"")),"")</f>
        <v/>
      </c>
      <c r="AI2046" s="9">
        <f>IF(AF2046=1,IFERROR(INDEX($A2046:$AB2046,MATCH("Cost Centre",$A$1:$AB$1,0)),"")&amp;"","")</f>
        <v/>
      </c>
      <c r="AJ2046" s="54">
        <f>IF(AND(AF2046=1,AE2046&gt;=set_FYStart,AE2046&lt;=set_AsAt),1,0)</f>
        <v/>
      </c>
      <c r="AK2046" s="54">
        <f>IF(AND(AJ2046=1,AH2046&lt;&gt;"",COUNTIFS($AH$2:AH2046,AH2046,$AJ$2:AJ2046,1)=1),N(AL2045)+1,"")</f>
        <v/>
      </c>
      <c r="AL2046" s="54">
        <f>IF(AK2046&lt;&gt;"",AK2046,N(AL2045))</f>
        <v/>
      </c>
    </row>
    <row r="2047">
      <c r="A2047" t="inlineStr">
        <is>
          <t>CON-0682</t>
        </is>
      </c>
      <c r="B2047" t="inlineStr">
        <is>
          <t>Consulting</t>
        </is>
      </c>
      <c r="AB2047" t="n">
        <v>682</v>
      </c>
      <c r="AD2047" s="52">
        <f>IFERROR(N(IFERROR(INDEX($A2047:$AB2047,MATCH("Xero Invoiced Ex GST",$A$1:$AB$1,0)),"")),0)</f>
        <v/>
      </c>
      <c r="AE2047" s="53">
        <f>IFERROR(INDEX($A2047:$AB2047,MATCH("Xero Invoice Date",$A$1:$AB$1,0)),"")</f>
        <v/>
      </c>
      <c r="AF2047" s="54">
        <f>IF(AND(IFERROR(INDEX($A2047:$AB2047,MATCH("Xero Invoice No",$A$1:$AB$1,0)),"")&amp;""&lt;&gt;"",ISNUMBER(AE2047),AD2047&lt;&gt;0),1,0)</f>
        <v/>
      </c>
      <c r="AG2047" s="55">
        <f>IF(AF2047=1,EOMONTH(AE2047,0),"")</f>
        <v/>
      </c>
      <c r="AH2047" s="9">
        <f>IF(AF2047=1,UPPER(TRIM(IFERROR(INDEX($A2047:$AB2047,MATCH("Client",$A$1:$AB$1,0)),"")&amp;"")),"")</f>
        <v/>
      </c>
      <c r="AI2047" s="9">
        <f>IF(AF2047=1,IFERROR(INDEX($A2047:$AB2047,MATCH("Cost Centre",$A$1:$AB$1,0)),"")&amp;"","")</f>
        <v/>
      </c>
      <c r="AJ2047" s="54">
        <f>IF(AND(AF2047=1,AE2047&gt;=set_FYStart,AE2047&lt;=set_AsAt),1,0)</f>
        <v/>
      </c>
      <c r="AK2047" s="54">
        <f>IF(AND(AJ2047=1,AH2047&lt;&gt;"",COUNTIFS($AH$2:AH2047,AH2047,$AJ$2:AJ2047,1)=1),N(AL2046)+1,"")</f>
        <v/>
      </c>
      <c r="AL2047" s="54">
        <f>IF(AK2047&lt;&gt;"",AK2047,N(AL2046))</f>
        <v/>
      </c>
    </row>
    <row r="2048">
      <c r="A2048" t="inlineStr">
        <is>
          <t>ONS-0683</t>
        </is>
      </c>
      <c r="B2048" t="inlineStr">
        <is>
          <t>Onsite</t>
        </is>
      </c>
      <c r="AB2048" t="n">
        <v>683</v>
      </c>
      <c r="AD2048" s="52">
        <f>IFERROR(N(IFERROR(INDEX($A2048:$AB2048,MATCH("Xero Invoiced Ex GST",$A$1:$AB$1,0)),"")),0)</f>
        <v/>
      </c>
      <c r="AE2048" s="53">
        <f>IFERROR(INDEX($A2048:$AB2048,MATCH("Xero Invoice Date",$A$1:$AB$1,0)),"")</f>
        <v/>
      </c>
      <c r="AF2048" s="54">
        <f>IF(AND(IFERROR(INDEX($A2048:$AB2048,MATCH("Xero Invoice No",$A$1:$AB$1,0)),"")&amp;""&lt;&gt;"",ISNUMBER(AE2048),AD2048&lt;&gt;0),1,0)</f>
        <v/>
      </c>
      <c r="AG2048" s="55">
        <f>IF(AF2048=1,EOMONTH(AE2048,0),"")</f>
        <v/>
      </c>
      <c r="AH2048" s="9">
        <f>IF(AF2048=1,UPPER(TRIM(IFERROR(INDEX($A2048:$AB2048,MATCH("Client",$A$1:$AB$1,0)),"")&amp;"")),"")</f>
        <v/>
      </c>
      <c r="AI2048" s="9">
        <f>IF(AF2048=1,IFERROR(INDEX($A2048:$AB2048,MATCH("Cost Centre",$A$1:$AB$1,0)),"")&amp;"","")</f>
        <v/>
      </c>
      <c r="AJ2048" s="54">
        <f>IF(AND(AF2048=1,AE2048&gt;=set_FYStart,AE2048&lt;=set_AsAt),1,0)</f>
        <v/>
      </c>
      <c r="AK2048" s="54">
        <f>IF(AND(AJ2048=1,AH2048&lt;&gt;"",COUNTIFS($AH$2:AH2048,AH2048,$AJ$2:AJ2048,1)=1),N(AL2047)+1,"")</f>
        <v/>
      </c>
      <c r="AL2048" s="54">
        <f>IF(AK2048&lt;&gt;"",AK2048,N(AL2047))</f>
        <v/>
      </c>
    </row>
    <row r="2049">
      <c r="A2049" t="inlineStr">
        <is>
          <t>PRD-0683</t>
        </is>
      </c>
      <c r="B2049" t="inlineStr">
        <is>
          <t>Production</t>
        </is>
      </c>
      <c r="AB2049" t="n">
        <v>683</v>
      </c>
      <c r="AD2049" s="52">
        <f>IFERROR(N(IFERROR(INDEX($A2049:$AB2049,MATCH("Xero Invoiced Ex GST",$A$1:$AB$1,0)),"")),0)</f>
        <v/>
      </c>
      <c r="AE2049" s="53">
        <f>IFERROR(INDEX($A2049:$AB2049,MATCH("Xero Invoice Date",$A$1:$AB$1,0)),"")</f>
        <v/>
      </c>
      <c r="AF2049" s="54">
        <f>IF(AND(IFERROR(INDEX($A2049:$AB2049,MATCH("Xero Invoice No",$A$1:$AB$1,0)),"")&amp;""&lt;&gt;"",ISNUMBER(AE2049),AD2049&lt;&gt;0),1,0)</f>
        <v/>
      </c>
      <c r="AG2049" s="55">
        <f>IF(AF2049=1,EOMONTH(AE2049,0),"")</f>
        <v/>
      </c>
      <c r="AH2049" s="9">
        <f>IF(AF2049=1,UPPER(TRIM(IFERROR(INDEX($A2049:$AB2049,MATCH("Client",$A$1:$AB$1,0)),"")&amp;"")),"")</f>
        <v/>
      </c>
      <c r="AI2049" s="9">
        <f>IF(AF2049=1,IFERROR(INDEX($A2049:$AB2049,MATCH("Cost Centre",$A$1:$AB$1,0)),"")&amp;"","")</f>
        <v/>
      </c>
      <c r="AJ2049" s="54">
        <f>IF(AND(AF2049=1,AE2049&gt;=set_FYStart,AE2049&lt;=set_AsAt),1,0)</f>
        <v/>
      </c>
      <c r="AK2049" s="54">
        <f>IF(AND(AJ2049=1,AH2049&lt;&gt;"",COUNTIFS($AH$2:AH2049,AH2049,$AJ$2:AJ2049,1)=1),N(AL2048)+1,"")</f>
        <v/>
      </c>
      <c r="AL2049" s="54">
        <f>IF(AK2049&lt;&gt;"",AK2049,N(AL2048))</f>
        <v/>
      </c>
    </row>
    <row r="2050">
      <c r="A2050" t="inlineStr">
        <is>
          <t>CON-0683</t>
        </is>
      </c>
      <c r="B2050" t="inlineStr">
        <is>
          <t>Consulting</t>
        </is>
      </c>
      <c r="AB2050" t="n">
        <v>683</v>
      </c>
      <c r="AD2050" s="52">
        <f>IFERROR(N(IFERROR(INDEX($A2050:$AB2050,MATCH("Xero Invoiced Ex GST",$A$1:$AB$1,0)),"")),0)</f>
        <v/>
      </c>
      <c r="AE2050" s="53">
        <f>IFERROR(INDEX($A2050:$AB2050,MATCH("Xero Invoice Date",$A$1:$AB$1,0)),"")</f>
        <v/>
      </c>
      <c r="AF2050" s="54">
        <f>IF(AND(IFERROR(INDEX($A2050:$AB2050,MATCH("Xero Invoice No",$A$1:$AB$1,0)),"")&amp;""&lt;&gt;"",ISNUMBER(AE2050),AD2050&lt;&gt;0),1,0)</f>
        <v/>
      </c>
      <c r="AG2050" s="55">
        <f>IF(AF2050=1,EOMONTH(AE2050,0),"")</f>
        <v/>
      </c>
      <c r="AH2050" s="9">
        <f>IF(AF2050=1,UPPER(TRIM(IFERROR(INDEX($A2050:$AB2050,MATCH("Client",$A$1:$AB$1,0)),"")&amp;"")),"")</f>
        <v/>
      </c>
      <c r="AI2050" s="9">
        <f>IF(AF2050=1,IFERROR(INDEX($A2050:$AB2050,MATCH("Cost Centre",$A$1:$AB$1,0)),"")&amp;"","")</f>
        <v/>
      </c>
      <c r="AJ2050" s="54">
        <f>IF(AND(AF2050=1,AE2050&gt;=set_FYStart,AE2050&lt;=set_AsAt),1,0)</f>
        <v/>
      </c>
      <c r="AK2050" s="54">
        <f>IF(AND(AJ2050=1,AH2050&lt;&gt;"",COUNTIFS($AH$2:AH2050,AH2050,$AJ$2:AJ2050,1)=1),N(AL2049)+1,"")</f>
        <v/>
      </c>
      <c r="AL2050" s="54">
        <f>IF(AK2050&lt;&gt;"",AK2050,N(AL2049))</f>
        <v/>
      </c>
    </row>
    <row r="2051">
      <c r="A2051" t="inlineStr">
        <is>
          <t>ONS-0684</t>
        </is>
      </c>
      <c r="B2051" t="inlineStr">
        <is>
          <t>Onsite</t>
        </is>
      </c>
      <c r="AB2051" t="n">
        <v>684</v>
      </c>
      <c r="AD2051" s="52">
        <f>IFERROR(N(IFERROR(INDEX($A2051:$AB2051,MATCH("Xero Invoiced Ex GST",$A$1:$AB$1,0)),"")),0)</f>
        <v/>
      </c>
      <c r="AE2051" s="53">
        <f>IFERROR(INDEX($A2051:$AB2051,MATCH("Xero Invoice Date",$A$1:$AB$1,0)),"")</f>
        <v/>
      </c>
      <c r="AF2051" s="54">
        <f>IF(AND(IFERROR(INDEX($A2051:$AB2051,MATCH("Xero Invoice No",$A$1:$AB$1,0)),"")&amp;""&lt;&gt;"",ISNUMBER(AE2051),AD2051&lt;&gt;0),1,0)</f>
        <v/>
      </c>
      <c r="AG2051" s="55">
        <f>IF(AF2051=1,EOMONTH(AE2051,0),"")</f>
        <v/>
      </c>
      <c r="AH2051" s="9">
        <f>IF(AF2051=1,UPPER(TRIM(IFERROR(INDEX($A2051:$AB2051,MATCH("Client",$A$1:$AB$1,0)),"")&amp;"")),"")</f>
        <v/>
      </c>
      <c r="AI2051" s="9">
        <f>IF(AF2051=1,IFERROR(INDEX($A2051:$AB2051,MATCH("Cost Centre",$A$1:$AB$1,0)),"")&amp;"","")</f>
        <v/>
      </c>
      <c r="AJ2051" s="54">
        <f>IF(AND(AF2051=1,AE2051&gt;=set_FYStart,AE2051&lt;=set_AsAt),1,0)</f>
        <v/>
      </c>
      <c r="AK2051" s="54">
        <f>IF(AND(AJ2051=1,AH2051&lt;&gt;"",COUNTIFS($AH$2:AH2051,AH2051,$AJ$2:AJ2051,1)=1),N(AL2050)+1,"")</f>
        <v/>
      </c>
      <c r="AL2051" s="54">
        <f>IF(AK2051&lt;&gt;"",AK2051,N(AL2050))</f>
        <v/>
      </c>
    </row>
    <row r="2052">
      <c r="A2052" t="inlineStr">
        <is>
          <t>PRD-0684</t>
        </is>
      </c>
      <c r="B2052" t="inlineStr">
        <is>
          <t>Production</t>
        </is>
      </c>
      <c r="AB2052" t="n">
        <v>684</v>
      </c>
      <c r="AD2052" s="52">
        <f>IFERROR(N(IFERROR(INDEX($A2052:$AB2052,MATCH("Xero Invoiced Ex GST",$A$1:$AB$1,0)),"")),0)</f>
        <v/>
      </c>
      <c r="AE2052" s="53">
        <f>IFERROR(INDEX($A2052:$AB2052,MATCH("Xero Invoice Date",$A$1:$AB$1,0)),"")</f>
        <v/>
      </c>
      <c r="AF2052" s="54">
        <f>IF(AND(IFERROR(INDEX($A2052:$AB2052,MATCH("Xero Invoice No",$A$1:$AB$1,0)),"")&amp;""&lt;&gt;"",ISNUMBER(AE2052),AD2052&lt;&gt;0),1,0)</f>
        <v/>
      </c>
      <c r="AG2052" s="55">
        <f>IF(AF2052=1,EOMONTH(AE2052,0),"")</f>
        <v/>
      </c>
      <c r="AH2052" s="9">
        <f>IF(AF2052=1,UPPER(TRIM(IFERROR(INDEX($A2052:$AB2052,MATCH("Client",$A$1:$AB$1,0)),"")&amp;"")),"")</f>
        <v/>
      </c>
      <c r="AI2052" s="9">
        <f>IF(AF2052=1,IFERROR(INDEX($A2052:$AB2052,MATCH("Cost Centre",$A$1:$AB$1,0)),"")&amp;"","")</f>
        <v/>
      </c>
      <c r="AJ2052" s="54">
        <f>IF(AND(AF2052=1,AE2052&gt;=set_FYStart,AE2052&lt;=set_AsAt),1,0)</f>
        <v/>
      </c>
      <c r="AK2052" s="54">
        <f>IF(AND(AJ2052=1,AH2052&lt;&gt;"",COUNTIFS($AH$2:AH2052,AH2052,$AJ$2:AJ2052,1)=1),N(AL2051)+1,"")</f>
        <v/>
      </c>
      <c r="AL2052" s="54">
        <f>IF(AK2052&lt;&gt;"",AK2052,N(AL2051))</f>
        <v/>
      </c>
    </row>
    <row r="2053">
      <c r="A2053" t="inlineStr">
        <is>
          <t>CON-0684</t>
        </is>
      </c>
      <c r="B2053" t="inlineStr">
        <is>
          <t>Consulting</t>
        </is>
      </c>
      <c r="AB2053" t="n">
        <v>684</v>
      </c>
      <c r="AD2053" s="52">
        <f>IFERROR(N(IFERROR(INDEX($A2053:$AB2053,MATCH("Xero Invoiced Ex GST",$A$1:$AB$1,0)),"")),0)</f>
        <v/>
      </c>
      <c r="AE2053" s="53">
        <f>IFERROR(INDEX($A2053:$AB2053,MATCH("Xero Invoice Date",$A$1:$AB$1,0)),"")</f>
        <v/>
      </c>
      <c r="AF2053" s="54">
        <f>IF(AND(IFERROR(INDEX($A2053:$AB2053,MATCH("Xero Invoice No",$A$1:$AB$1,0)),"")&amp;""&lt;&gt;"",ISNUMBER(AE2053),AD2053&lt;&gt;0),1,0)</f>
        <v/>
      </c>
      <c r="AG2053" s="55">
        <f>IF(AF2053=1,EOMONTH(AE2053,0),"")</f>
        <v/>
      </c>
      <c r="AH2053" s="9">
        <f>IF(AF2053=1,UPPER(TRIM(IFERROR(INDEX($A2053:$AB2053,MATCH("Client",$A$1:$AB$1,0)),"")&amp;"")),"")</f>
        <v/>
      </c>
      <c r="AI2053" s="9">
        <f>IF(AF2053=1,IFERROR(INDEX($A2053:$AB2053,MATCH("Cost Centre",$A$1:$AB$1,0)),"")&amp;"","")</f>
        <v/>
      </c>
      <c r="AJ2053" s="54">
        <f>IF(AND(AF2053=1,AE2053&gt;=set_FYStart,AE2053&lt;=set_AsAt),1,0)</f>
        <v/>
      </c>
      <c r="AK2053" s="54">
        <f>IF(AND(AJ2053=1,AH2053&lt;&gt;"",COUNTIFS($AH$2:AH2053,AH2053,$AJ$2:AJ2053,1)=1),N(AL2052)+1,"")</f>
        <v/>
      </c>
      <c r="AL2053" s="54">
        <f>IF(AK2053&lt;&gt;"",AK2053,N(AL2052))</f>
        <v/>
      </c>
    </row>
    <row r="2054">
      <c r="A2054" t="inlineStr">
        <is>
          <t>ONS-0685</t>
        </is>
      </c>
      <c r="B2054" t="inlineStr">
        <is>
          <t>Onsite</t>
        </is>
      </c>
      <c r="AB2054" t="n">
        <v>685</v>
      </c>
      <c r="AD2054" s="52">
        <f>IFERROR(N(IFERROR(INDEX($A2054:$AB2054,MATCH("Xero Invoiced Ex GST",$A$1:$AB$1,0)),"")),0)</f>
        <v/>
      </c>
      <c r="AE2054" s="53">
        <f>IFERROR(INDEX($A2054:$AB2054,MATCH("Xero Invoice Date",$A$1:$AB$1,0)),"")</f>
        <v/>
      </c>
      <c r="AF2054" s="54">
        <f>IF(AND(IFERROR(INDEX($A2054:$AB2054,MATCH("Xero Invoice No",$A$1:$AB$1,0)),"")&amp;""&lt;&gt;"",ISNUMBER(AE2054),AD2054&lt;&gt;0),1,0)</f>
        <v/>
      </c>
      <c r="AG2054" s="55">
        <f>IF(AF2054=1,EOMONTH(AE2054,0),"")</f>
        <v/>
      </c>
      <c r="AH2054" s="9">
        <f>IF(AF2054=1,UPPER(TRIM(IFERROR(INDEX($A2054:$AB2054,MATCH("Client",$A$1:$AB$1,0)),"")&amp;"")),"")</f>
        <v/>
      </c>
      <c r="AI2054" s="9">
        <f>IF(AF2054=1,IFERROR(INDEX($A2054:$AB2054,MATCH("Cost Centre",$A$1:$AB$1,0)),"")&amp;"","")</f>
        <v/>
      </c>
      <c r="AJ2054" s="54">
        <f>IF(AND(AF2054=1,AE2054&gt;=set_FYStart,AE2054&lt;=set_AsAt),1,0)</f>
        <v/>
      </c>
      <c r="AK2054" s="54">
        <f>IF(AND(AJ2054=1,AH2054&lt;&gt;"",COUNTIFS($AH$2:AH2054,AH2054,$AJ$2:AJ2054,1)=1),N(AL2053)+1,"")</f>
        <v/>
      </c>
      <c r="AL2054" s="54">
        <f>IF(AK2054&lt;&gt;"",AK2054,N(AL2053))</f>
        <v/>
      </c>
    </row>
    <row r="2055">
      <c r="A2055" t="inlineStr">
        <is>
          <t>PRD-0685</t>
        </is>
      </c>
      <c r="B2055" t="inlineStr">
        <is>
          <t>Production</t>
        </is>
      </c>
      <c r="AB2055" t="n">
        <v>685</v>
      </c>
      <c r="AD2055" s="52">
        <f>IFERROR(N(IFERROR(INDEX($A2055:$AB2055,MATCH("Xero Invoiced Ex GST",$A$1:$AB$1,0)),"")),0)</f>
        <v/>
      </c>
      <c r="AE2055" s="53">
        <f>IFERROR(INDEX($A2055:$AB2055,MATCH("Xero Invoice Date",$A$1:$AB$1,0)),"")</f>
        <v/>
      </c>
      <c r="AF2055" s="54">
        <f>IF(AND(IFERROR(INDEX($A2055:$AB2055,MATCH("Xero Invoice No",$A$1:$AB$1,0)),"")&amp;""&lt;&gt;"",ISNUMBER(AE2055),AD2055&lt;&gt;0),1,0)</f>
        <v/>
      </c>
      <c r="AG2055" s="55">
        <f>IF(AF2055=1,EOMONTH(AE2055,0),"")</f>
        <v/>
      </c>
      <c r="AH2055" s="9">
        <f>IF(AF2055=1,UPPER(TRIM(IFERROR(INDEX($A2055:$AB2055,MATCH("Client",$A$1:$AB$1,0)),"")&amp;"")),"")</f>
        <v/>
      </c>
      <c r="AI2055" s="9">
        <f>IF(AF2055=1,IFERROR(INDEX($A2055:$AB2055,MATCH("Cost Centre",$A$1:$AB$1,0)),"")&amp;"","")</f>
        <v/>
      </c>
      <c r="AJ2055" s="54">
        <f>IF(AND(AF2055=1,AE2055&gt;=set_FYStart,AE2055&lt;=set_AsAt),1,0)</f>
        <v/>
      </c>
      <c r="AK2055" s="54">
        <f>IF(AND(AJ2055=1,AH2055&lt;&gt;"",COUNTIFS($AH$2:AH2055,AH2055,$AJ$2:AJ2055,1)=1),N(AL2054)+1,"")</f>
        <v/>
      </c>
      <c r="AL2055" s="54">
        <f>IF(AK2055&lt;&gt;"",AK2055,N(AL2054))</f>
        <v/>
      </c>
    </row>
    <row r="2056">
      <c r="A2056" t="inlineStr">
        <is>
          <t>CON-0685</t>
        </is>
      </c>
      <c r="B2056" t="inlineStr">
        <is>
          <t>Consulting</t>
        </is>
      </c>
      <c r="AB2056" t="n">
        <v>685</v>
      </c>
      <c r="AD2056" s="52">
        <f>IFERROR(N(IFERROR(INDEX($A2056:$AB2056,MATCH("Xero Invoiced Ex GST",$A$1:$AB$1,0)),"")),0)</f>
        <v/>
      </c>
      <c r="AE2056" s="53">
        <f>IFERROR(INDEX($A2056:$AB2056,MATCH("Xero Invoice Date",$A$1:$AB$1,0)),"")</f>
        <v/>
      </c>
      <c r="AF2056" s="54">
        <f>IF(AND(IFERROR(INDEX($A2056:$AB2056,MATCH("Xero Invoice No",$A$1:$AB$1,0)),"")&amp;""&lt;&gt;"",ISNUMBER(AE2056),AD2056&lt;&gt;0),1,0)</f>
        <v/>
      </c>
      <c r="AG2056" s="55">
        <f>IF(AF2056=1,EOMONTH(AE2056,0),"")</f>
        <v/>
      </c>
      <c r="AH2056" s="9">
        <f>IF(AF2056=1,UPPER(TRIM(IFERROR(INDEX($A2056:$AB2056,MATCH("Client",$A$1:$AB$1,0)),"")&amp;"")),"")</f>
        <v/>
      </c>
      <c r="AI2056" s="9">
        <f>IF(AF2056=1,IFERROR(INDEX($A2056:$AB2056,MATCH("Cost Centre",$A$1:$AB$1,0)),"")&amp;"","")</f>
        <v/>
      </c>
      <c r="AJ2056" s="54">
        <f>IF(AND(AF2056=1,AE2056&gt;=set_FYStart,AE2056&lt;=set_AsAt),1,0)</f>
        <v/>
      </c>
      <c r="AK2056" s="54">
        <f>IF(AND(AJ2056=1,AH2056&lt;&gt;"",COUNTIFS($AH$2:AH2056,AH2056,$AJ$2:AJ2056,1)=1),N(AL2055)+1,"")</f>
        <v/>
      </c>
      <c r="AL2056" s="54">
        <f>IF(AK2056&lt;&gt;"",AK2056,N(AL2055))</f>
        <v/>
      </c>
    </row>
    <row r="2057">
      <c r="A2057" t="inlineStr">
        <is>
          <t>ONS-0686</t>
        </is>
      </c>
      <c r="B2057" t="inlineStr">
        <is>
          <t>Onsite</t>
        </is>
      </c>
      <c r="AB2057" t="n">
        <v>686</v>
      </c>
      <c r="AD2057" s="52">
        <f>IFERROR(N(IFERROR(INDEX($A2057:$AB2057,MATCH("Xero Invoiced Ex GST",$A$1:$AB$1,0)),"")),0)</f>
        <v/>
      </c>
      <c r="AE2057" s="53">
        <f>IFERROR(INDEX($A2057:$AB2057,MATCH("Xero Invoice Date",$A$1:$AB$1,0)),"")</f>
        <v/>
      </c>
      <c r="AF2057" s="54">
        <f>IF(AND(IFERROR(INDEX($A2057:$AB2057,MATCH("Xero Invoice No",$A$1:$AB$1,0)),"")&amp;""&lt;&gt;"",ISNUMBER(AE2057),AD2057&lt;&gt;0),1,0)</f>
        <v/>
      </c>
      <c r="AG2057" s="55">
        <f>IF(AF2057=1,EOMONTH(AE2057,0),"")</f>
        <v/>
      </c>
      <c r="AH2057" s="9">
        <f>IF(AF2057=1,UPPER(TRIM(IFERROR(INDEX($A2057:$AB2057,MATCH("Client",$A$1:$AB$1,0)),"")&amp;"")),"")</f>
        <v/>
      </c>
      <c r="AI2057" s="9">
        <f>IF(AF2057=1,IFERROR(INDEX($A2057:$AB2057,MATCH("Cost Centre",$A$1:$AB$1,0)),"")&amp;"","")</f>
        <v/>
      </c>
      <c r="AJ2057" s="54">
        <f>IF(AND(AF2057=1,AE2057&gt;=set_FYStart,AE2057&lt;=set_AsAt),1,0)</f>
        <v/>
      </c>
      <c r="AK2057" s="54">
        <f>IF(AND(AJ2057=1,AH2057&lt;&gt;"",COUNTIFS($AH$2:AH2057,AH2057,$AJ$2:AJ2057,1)=1),N(AL2056)+1,"")</f>
        <v/>
      </c>
      <c r="AL2057" s="54">
        <f>IF(AK2057&lt;&gt;"",AK2057,N(AL2056))</f>
        <v/>
      </c>
    </row>
    <row r="2058">
      <c r="A2058" t="inlineStr">
        <is>
          <t>PRD-0686</t>
        </is>
      </c>
      <c r="B2058" t="inlineStr">
        <is>
          <t>Production</t>
        </is>
      </c>
      <c r="AB2058" t="n">
        <v>686</v>
      </c>
      <c r="AD2058" s="52">
        <f>IFERROR(N(IFERROR(INDEX($A2058:$AB2058,MATCH("Xero Invoiced Ex GST",$A$1:$AB$1,0)),"")),0)</f>
        <v/>
      </c>
      <c r="AE2058" s="53">
        <f>IFERROR(INDEX($A2058:$AB2058,MATCH("Xero Invoice Date",$A$1:$AB$1,0)),"")</f>
        <v/>
      </c>
      <c r="AF2058" s="54">
        <f>IF(AND(IFERROR(INDEX($A2058:$AB2058,MATCH("Xero Invoice No",$A$1:$AB$1,0)),"")&amp;""&lt;&gt;"",ISNUMBER(AE2058),AD2058&lt;&gt;0),1,0)</f>
        <v/>
      </c>
      <c r="AG2058" s="55">
        <f>IF(AF2058=1,EOMONTH(AE2058,0),"")</f>
        <v/>
      </c>
      <c r="AH2058" s="9">
        <f>IF(AF2058=1,UPPER(TRIM(IFERROR(INDEX($A2058:$AB2058,MATCH("Client",$A$1:$AB$1,0)),"")&amp;"")),"")</f>
        <v/>
      </c>
      <c r="AI2058" s="9">
        <f>IF(AF2058=1,IFERROR(INDEX($A2058:$AB2058,MATCH("Cost Centre",$A$1:$AB$1,0)),"")&amp;"","")</f>
        <v/>
      </c>
      <c r="AJ2058" s="54">
        <f>IF(AND(AF2058=1,AE2058&gt;=set_FYStart,AE2058&lt;=set_AsAt),1,0)</f>
        <v/>
      </c>
      <c r="AK2058" s="54">
        <f>IF(AND(AJ2058=1,AH2058&lt;&gt;"",COUNTIFS($AH$2:AH2058,AH2058,$AJ$2:AJ2058,1)=1),N(AL2057)+1,"")</f>
        <v/>
      </c>
      <c r="AL2058" s="54">
        <f>IF(AK2058&lt;&gt;"",AK2058,N(AL2057))</f>
        <v/>
      </c>
    </row>
    <row r="2059">
      <c r="A2059" t="inlineStr">
        <is>
          <t>CON-0686</t>
        </is>
      </c>
      <c r="B2059" t="inlineStr">
        <is>
          <t>Consulting</t>
        </is>
      </c>
      <c r="AB2059" t="n">
        <v>686</v>
      </c>
      <c r="AD2059" s="52">
        <f>IFERROR(N(IFERROR(INDEX($A2059:$AB2059,MATCH("Xero Invoiced Ex GST",$A$1:$AB$1,0)),"")),0)</f>
        <v/>
      </c>
      <c r="AE2059" s="53">
        <f>IFERROR(INDEX($A2059:$AB2059,MATCH("Xero Invoice Date",$A$1:$AB$1,0)),"")</f>
        <v/>
      </c>
      <c r="AF2059" s="54">
        <f>IF(AND(IFERROR(INDEX($A2059:$AB2059,MATCH("Xero Invoice No",$A$1:$AB$1,0)),"")&amp;""&lt;&gt;"",ISNUMBER(AE2059),AD2059&lt;&gt;0),1,0)</f>
        <v/>
      </c>
      <c r="AG2059" s="55">
        <f>IF(AF2059=1,EOMONTH(AE2059,0),"")</f>
        <v/>
      </c>
      <c r="AH2059" s="9">
        <f>IF(AF2059=1,UPPER(TRIM(IFERROR(INDEX($A2059:$AB2059,MATCH("Client",$A$1:$AB$1,0)),"")&amp;"")),"")</f>
        <v/>
      </c>
      <c r="AI2059" s="9">
        <f>IF(AF2059=1,IFERROR(INDEX($A2059:$AB2059,MATCH("Cost Centre",$A$1:$AB$1,0)),"")&amp;"","")</f>
        <v/>
      </c>
      <c r="AJ2059" s="54">
        <f>IF(AND(AF2059=1,AE2059&gt;=set_FYStart,AE2059&lt;=set_AsAt),1,0)</f>
        <v/>
      </c>
      <c r="AK2059" s="54">
        <f>IF(AND(AJ2059=1,AH2059&lt;&gt;"",COUNTIFS($AH$2:AH2059,AH2059,$AJ$2:AJ2059,1)=1),N(AL2058)+1,"")</f>
        <v/>
      </c>
      <c r="AL2059" s="54">
        <f>IF(AK2059&lt;&gt;"",AK2059,N(AL2058))</f>
        <v/>
      </c>
    </row>
    <row r="2060">
      <c r="A2060" t="inlineStr">
        <is>
          <t>ONS-0687</t>
        </is>
      </c>
      <c r="B2060" t="inlineStr">
        <is>
          <t>Onsite</t>
        </is>
      </c>
      <c r="AB2060" t="n">
        <v>687</v>
      </c>
      <c r="AD2060" s="52">
        <f>IFERROR(N(IFERROR(INDEX($A2060:$AB2060,MATCH("Xero Invoiced Ex GST",$A$1:$AB$1,0)),"")),0)</f>
        <v/>
      </c>
      <c r="AE2060" s="53">
        <f>IFERROR(INDEX($A2060:$AB2060,MATCH("Xero Invoice Date",$A$1:$AB$1,0)),"")</f>
        <v/>
      </c>
      <c r="AF2060" s="54">
        <f>IF(AND(IFERROR(INDEX($A2060:$AB2060,MATCH("Xero Invoice No",$A$1:$AB$1,0)),"")&amp;""&lt;&gt;"",ISNUMBER(AE2060),AD2060&lt;&gt;0),1,0)</f>
        <v/>
      </c>
      <c r="AG2060" s="55">
        <f>IF(AF2060=1,EOMONTH(AE2060,0),"")</f>
        <v/>
      </c>
      <c r="AH2060" s="9">
        <f>IF(AF2060=1,UPPER(TRIM(IFERROR(INDEX($A2060:$AB2060,MATCH("Client",$A$1:$AB$1,0)),"")&amp;"")),"")</f>
        <v/>
      </c>
      <c r="AI2060" s="9">
        <f>IF(AF2060=1,IFERROR(INDEX($A2060:$AB2060,MATCH("Cost Centre",$A$1:$AB$1,0)),"")&amp;"","")</f>
        <v/>
      </c>
      <c r="AJ2060" s="54">
        <f>IF(AND(AF2060=1,AE2060&gt;=set_FYStart,AE2060&lt;=set_AsAt),1,0)</f>
        <v/>
      </c>
      <c r="AK2060" s="54">
        <f>IF(AND(AJ2060=1,AH2060&lt;&gt;"",COUNTIFS($AH$2:AH2060,AH2060,$AJ$2:AJ2060,1)=1),N(AL2059)+1,"")</f>
        <v/>
      </c>
      <c r="AL2060" s="54">
        <f>IF(AK2060&lt;&gt;"",AK2060,N(AL2059))</f>
        <v/>
      </c>
    </row>
    <row r="2061">
      <c r="A2061" t="inlineStr">
        <is>
          <t>PRD-0687</t>
        </is>
      </c>
      <c r="B2061" t="inlineStr">
        <is>
          <t>Production</t>
        </is>
      </c>
      <c r="AB2061" t="n">
        <v>687</v>
      </c>
      <c r="AD2061" s="52">
        <f>IFERROR(N(IFERROR(INDEX($A2061:$AB2061,MATCH("Xero Invoiced Ex GST",$A$1:$AB$1,0)),"")),0)</f>
        <v/>
      </c>
      <c r="AE2061" s="53">
        <f>IFERROR(INDEX($A2061:$AB2061,MATCH("Xero Invoice Date",$A$1:$AB$1,0)),"")</f>
        <v/>
      </c>
      <c r="AF2061" s="54">
        <f>IF(AND(IFERROR(INDEX($A2061:$AB2061,MATCH("Xero Invoice No",$A$1:$AB$1,0)),"")&amp;""&lt;&gt;"",ISNUMBER(AE2061),AD2061&lt;&gt;0),1,0)</f>
        <v/>
      </c>
      <c r="AG2061" s="55">
        <f>IF(AF2061=1,EOMONTH(AE2061,0),"")</f>
        <v/>
      </c>
      <c r="AH2061" s="9">
        <f>IF(AF2061=1,UPPER(TRIM(IFERROR(INDEX($A2061:$AB2061,MATCH("Client",$A$1:$AB$1,0)),"")&amp;"")),"")</f>
        <v/>
      </c>
      <c r="AI2061" s="9">
        <f>IF(AF2061=1,IFERROR(INDEX($A2061:$AB2061,MATCH("Cost Centre",$A$1:$AB$1,0)),"")&amp;"","")</f>
        <v/>
      </c>
      <c r="AJ2061" s="54">
        <f>IF(AND(AF2061=1,AE2061&gt;=set_FYStart,AE2061&lt;=set_AsAt),1,0)</f>
        <v/>
      </c>
      <c r="AK2061" s="54">
        <f>IF(AND(AJ2061=1,AH2061&lt;&gt;"",COUNTIFS($AH$2:AH2061,AH2061,$AJ$2:AJ2061,1)=1),N(AL2060)+1,"")</f>
        <v/>
      </c>
      <c r="AL2061" s="54">
        <f>IF(AK2061&lt;&gt;"",AK2061,N(AL2060))</f>
        <v/>
      </c>
    </row>
    <row r="2062">
      <c r="A2062" t="inlineStr">
        <is>
          <t>CON-0687</t>
        </is>
      </c>
      <c r="B2062" t="inlineStr">
        <is>
          <t>Consulting</t>
        </is>
      </c>
      <c r="AB2062" t="n">
        <v>687</v>
      </c>
      <c r="AD2062" s="52">
        <f>IFERROR(N(IFERROR(INDEX($A2062:$AB2062,MATCH("Xero Invoiced Ex GST",$A$1:$AB$1,0)),"")),0)</f>
        <v/>
      </c>
      <c r="AE2062" s="53">
        <f>IFERROR(INDEX($A2062:$AB2062,MATCH("Xero Invoice Date",$A$1:$AB$1,0)),"")</f>
        <v/>
      </c>
      <c r="AF2062" s="54">
        <f>IF(AND(IFERROR(INDEX($A2062:$AB2062,MATCH("Xero Invoice No",$A$1:$AB$1,0)),"")&amp;""&lt;&gt;"",ISNUMBER(AE2062),AD2062&lt;&gt;0),1,0)</f>
        <v/>
      </c>
      <c r="AG2062" s="55">
        <f>IF(AF2062=1,EOMONTH(AE2062,0),"")</f>
        <v/>
      </c>
      <c r="AH2062" s="9">
        <f>IF(AF2062=1,UPPER(TRIM(IFERROR(INDEX($A2062:$AB2062,MATCH("Client",$A$1:$AB$1,0)),"")&amp;"")),"")</f>
        <v/>
      </c>
      <c r="AI2062" s="9">
        <f>IF(AF2062=1,IFERROR(INDEX($A2062:$AB2062,MATCH("Cost Centre",$A$1:$AB$1,0)),"")&amp;"","")</f>
        <v/>
      </c>
      <c r="AJ2062" s="54">
        <f>IF(AND(AF2062=1,AE2062&gt;=set_FYStart,AE2062&lt;=set_AsAt),1,0)</f>
        <v/>
      </c>
      <c r="AK2062" s="54">
        <f>IF(AND(AJ2062=1,AH2062&lt;&gt;"",COUNTIFS($AH$2:AH2062,AH2062,$AJ$2:AJ2062,1)=1),N(AL2061)+1,"")</f>
        <v/>
      </c>
      <c r="AL2062" s="54">
        <f>IF(AK2062&lt;&gt;"",AK2062,N(AL2061))</f>
        <v/>
      </c>
    </row>
    <row r="2063">
      <c r="A2063" t="inlineStr">
        <is>
          <t>ONS-0688</t>
        </is>
      </c>
      <c r="B2063" t="inlineStr">
        <is>
          <t>Onsite</t>
        </is>
      </c>
      <c r="AB2063" t="n">
        <v>688</v>
      </c>
      <c r="AD2063" s="52">
        <f>IFERROR(N(IFERROR(INDEX($A2063:$AB2063,MATCH("Xero Invoiced Ex GST",$A$1:$AB$1,0)),"")),0)</f>
        <v/>
      </c>
      <c r="AE2063" s="53">
        <f>IFERROR(INDEX($A2063:$AB2063,MATCH("Xero Invoice Date",$A$1:$AB$1,0)),"")</f>
        <v/>
      </c>
      <c r="AF2063" s="54">
        <f>IF(AND(IFERROR(INDEX($A2063:$AB2063,MATCH("Xero Invoice No",$A$1:$AB$1,0)),"")&amp;""&lt;&gt;"",ISNUMBER(AE2063),AD2063&lt;&gt;0),1,0)</f>
        <v/>
      </c>
      <c r="AG2063" s="55">
        <f>IF(AF2063=1,EOMONTH(AE2063,0),"")</f>
        <v/>
      </c>
      <c r="AH2063" s="9">
        <f>IF(AF2063=1,UPPER(TRIM(IFERROR(INDEX($A2063:$AB2063,MATCH("Client",$A$1:$AB$1,0)),"")&amp;"")),"")</f>
        <v/>
      </c>
      <c r="AI2063" s="9">
        <f>IF(AF2063=1,IFERROR(INDEX($A2063:$AB2063,MATCH("Cost Centre",$A$1:$AB$1,0)),"")&amp;"","")</f>
        <v/>
      </c>
      <c r="AJ2063" s="54">
        <f>IF(AND(AF2063=1,AE2063&gt;=set_FYStart,AE2063&lt;=set_AsAt),1,0)</f>
        <v/>
      </c>
      <c r="AK2063" s="54">
        <f>IF(AND(AJ2063=1,AH2063&lt;&gt;"",COUNTIFS($AH$2:AH2063,AH2063,$AJ$2:AJ2063,1)=1),N(AL2062)+1,"")</f>
        <v/>
      </c>
      <c r="AL2063" s="54">
        <f>IF(AK2063&lt;&gt;"",AK2063,N(AL2062))</f>
        <v/>
      </c>
    </row>
    <row r="2064">
      <c r="A2064" t="inlineStr">
        <is>
          <t>PRD-0688</t>
        </is>
      </c>
      <c r="B2064" t="inlineStr">
        <is>
          <t>Production</t>
        </is>
      </c>
      <c r="AB2064" t="n">
        <v>688</v>
      </c>
      <c r="AD2064" s="52">
        <f>IFERROR(N(IFERROR(INDEX($A2064:$AB2064,MATCH("Xero Invoiced Ex GST",$A$1:$AB$1,0)),"")),0)</f>
        <v/>
      </c>
      <c r="AE2064" s="53">
        <f>IFERROR(INDEX($A2064:$AB2064,MATCH("Xero Invoice Date",$A$1:$AB$1,0)),"")</f>
        <v/>
      </c>
      <c r="AF2064" s="54">
        <f>IF(AND(IFERROR(INDEX($A2064:$AB2064,MATCH("Xero Invoice No",$A$1:$AB$1,0)),"")&amp;""&lt;&gt;"",ISNUMBER(AE2064),AD2064&lt;&gt;0),1,0)</f>
        <v/>
      </c>
      <c r="AG2064" s="55">
        <f>IF(AF2064=1,EOMONTH(AE2064,0),"")</f>
        <v/>
      </c>
      <c r="AH2064" s="9">
        <f>IF(AF2064=1,UPPER(TRIM(IFERROR(INDEX($A2064:$AB2064,MATCH("Client",$A$1:$AB$1,0)),"")&amp;"")),"")</f>
        <v/>
      </c>
      <c r="AI2064" s="9">
        <f>IF(AF2064=1,IFERROR(INDEX($A2064:$AB2064,MATCH("Cost Centre",$A$1:$AB$1,0)),"")&amp;"","")</f>
        <v/>
      </c>
      <c r="AJ2064" s="54">
        <f>IF(AND(AF2064=1,AE2064&gt;=set_FYStart,AE2064&lt;=set_AsAt),1,0)</f>
        <v/>
      </c>
      <c r="AK2064" s="54">
        <f>IF(AND(AJ2064=1,AH2064&lt;&gt;"",COUNTIFS($AH$2:AH2064,AH2064,$AJ$2:AJ2064,1)=1),N(AL2063)+1,"")</f>
        <v/>
      </c>
      <c r="AL2064" s="54">
        <f>IF(AK2064&lt;&gt;"",AK2064,N(AL2063))</f>
        <v/>
      </c>
    </row>
    <row r="2065">
      <c r="A2065" t="inlineStr">
        <is>
          <t>CON-0688</t>
        </is>
      </c>
      <c r="B2065" t="inlineStr">
        <is>
          <t>Consulting</t>
        </is>
      </c>
      <c r="AB2065" t="n">
        <v>688</v>
      </c>
      <c r="AD2065" s="52">
        <f>IFERROR(N(IFERROR(INDEX($A2065:$AB2065,MATCH("Xero Invoiced Ex GST",$A$1:$AB$1,0)),"")),0)</f>
        <v/>
      </c>
      <c r="AE2065" s="53">
        <f>IFERROR(INDEX($A2065:$AB2065,MATCH("Xero Invoice Date",$A$1:$AB$1,0)),"")</f>
        <v/>
      </c>
      <c r="AF2065" s="54">
        <f>IF(AND(IFERROR(INDEX($A2065:$AB2065,MATCH("Xero Invoice No",$A$1:$AB$1,0)),"")&amp;""&lt;&gt;"",ISNUMBER(AE2065),AD2065&lt;&gt;0),1,0)</f>
        <v/>
      </c>
      <c r="AG2065" s="55">
        <f>IF(AF2065=1,EOMONTH(AE2065,0),"")</f>
        <v/>
      </c>
      <c r="AH2065" s="9">
        <f>IF(AF2065=1,UPPER(TRIM(IFERROR(INDEX($A2065:$AB2065,MATCH("Client",$A$1:$AB$1,0)),"")&amp;"")),"")</f>
        <v/>
      </c>
      <c r="AI2065" s="9">
        <f>IF(AF2065=1,IFERROR(INDEX($A2065:$AB2065,MATCH("Cost Centre",$A$1:$AB$1,0)),"")&amp;"","")</f>
        <v/>
      </c>
      <c r="AJ2065" s="54">
        <f>IF(AND(AF2065=1,AE2065&gt;=set_FYStart,AE2065&lt;=set_AsAt),1,0)</f>
        <v/>
      </c>
      <c r="AK2065" s="54">
        <f>IF(AND(AJ2065=1,AH2065&lt;&gt;"",COUNTIFS($AH$2:AH2065,AH2065,$AJ$2:AJ2065,1)=1),N(AL2064)+1,"")</f>
        <v/>
      </c>
      <c r="AL2065" s="54">
        <f>IF(AK2065&lt;&gt;"",AK2065,N(AL2064))</f>
        <v/>
      </c>
    </row>
    <row r="2066">
      <c r="A2066" t="inlineStr">
        <is>
          <t>ONS-0689</t>
        </is>
      </c>
      <c r="B2066" t="inlineStr">
        <is>
          <t>Onsite</t>
        </is>
      </c>
      <c r="AB2066" t="n">
        <v>689</v>
      </c>
      <c r="AD2066" s="52">
        <f>IFERROR(N(IFERROR(INDEX($A2066:$AB2066,MATCH("Xero Invoiced Ex GST",$A$1:$AB$1,0)),"")),0)</f>
        <v/>
      </c>
      <c r="AE2066" s="53">
        <f>IFERROR(INDEX($A2066:$AB2066,MATCH("Xero Invoice Date",$A$1:$AB$1,0)),"")</f>
        <v/>
      </c>
      <c r="AF2066" s="54">
        <f>IF(AND(IFERROR(INDEX($A2066:$AB2066,MATCH("Xero Invoice No",$A$1:$AB$1,0)),"")&amp;""&lt;&gt;"",ISNUMBER(AE2066),AD2066&lt;&gt;0),1,0)</f>
        <v/>
      </c>
      <c r="AG2066" s="55">
        <f>IF(AF2066=1,EOMONTH(AE2066,0),"")</f>
        <v/>
      </c>
      <c r="AH2066" s="9">
        <f>IF(AF2066=1,UPPER(TRIM(IFERROR(INDEX($A2066:$AB2066,MATCH("Client",$A$1:$AB$1,0)),"")&amp;"")),"")</f>
        <v/>
      </c>
      <c r="AI2066" s="9">
        <f>IF(AF2066=1,IFERROR(INDEX($A2066:$AB2066,MATCH("Cost Centre",$A$1:$AB$1,0)),"")&amp;"","")</f>
        <v/>
      </c>
      <c r="AJ2066" s="54">
        <f>IF(AND(AF2066=1,AE2066&gt;=set_FYStart,AE2066&lt;=set_AsAt),1,0)</f>
        <v/>
      </c>
      <c r="AK2066" s="54">
        <f>IF(AND(AJ2066=1,AH2066&lt;&gt;"",COUNTIFS($AH$2:AH2066,AH2066,$AJ$2:AJ2066,1)=1),N(AL2065)+1,"")</f>
        <v/>
      </c>
      <c r="AL2066" s="54">
        <f>IF(AK2066&lt;&gt;"",AK2066,N(AL2065))</f>
        <v/>
      </c>
    </row>
    <row r="2067">
      <c r="A2067" t="inlineStr">
        <is>
          <t>PRD-0689</t>
        </is>
      </c>
      <c r="B2067" t="inlineStr">
        <is>
          <t>Production</t>
        </is>
      </c>
      <c r="AB2067" t="n">
        <v>689</v>
      </c>
      <c r="AD2067" s="52">
        <f>IFERROR(N(IFERROR(INDEX($A2067:$AB2067,MATCH("Xero Invoiced Ex GST",$A$1:$AB$1,0)),"")),0)</f>
        <v/>
      </c>
      <c r="AE2067" s="53">
        <f>IFERROR(INDEX($A2067:$AB2067,MATCH("Xero Invoice Date",$A$1:$AB$1,0)),"")</f>
        <v/>
      </c>
      <c r="AF2067" s="54">
        <f>IF(AND(IFERROR(INDEX($A2067:$AB2067,MATCH("Xero Invoice No",$A$1:$AB$1,0)),"")&amp;""&lt;&gt;"",ISNUMBER(AE2067),AD2067&lt;&gt;0),1,0)</f>
        <v/>
      </c>
      <c r="AG2067" s="55">
        <f>IF(AF2067=1,EOMONTH(AE2067,0),"")</f>
        <v/>
      </c>
      <c r="AH2067" s="9">
        <f>IF(AF2067=1,UPPER(TRIM(IFERROR(INDEX($A2067:$AB2067,MATCH("Client",$A$1:$AB$1,0)),"")&amp;"")),"")</f>
        <v/>
      </c>
      <c r="AI2067" s="9">
        <f>IF(AF2067=1,IFERROR(INDEX($A2067:$AB2067,MATCH("Cost Centre",$A$1:$AB$1,0)),"")&amp;"","")</f>
        <v/>
      </c>
      <c r="AJ2067" s="54">
        <f>IF(AND(AF2067=1,AE2067&gt;=set_FYStart,AE2067&lt;=set_AsAt),1,0)</f>
        <v/>
      </c>
      <c r="AK2067" s="54">
        <f>IF(AND(AJ2067=1,AH2067&lt;&gt;"",COUNTIFS($AH$2:AH2067,AH2067,$AJ$2:AJ2067,1)=1),N(AL2066)+1,"")</f>
        <v/>
      </c>
      <c r="AL2067" s="54">
        <f>IF(AK2067&lt;&gt;"",AK2067,N(AL2066))</f>
        <v/>
      </c>
    </row>
    <row r="2068">
      <c r="A2068" t="inlineStr">
        <is>
          <t>CON-0689</t>
        </is>
      </c>
      <c r="B2068" t="inlineStr">
        <is>
          <t>Consulting</t>
        </is>
      </c>
      <c r="AB2068" t="n">
        <v>689</v>
      </c>
      <c r="AD2068" s="52">
        <f>IFERROR(N(IFERROR(INDEX($A2068:$AB2068,MATCH("Xero Invoiced Ex GST",$A$1:$AB$1,0)),"")),0)</f>
        <v/>
      </c>
      <c r="AE2068" s="53">
        <f>IFERROR(INDEX($A2068:$AB2068,MATCH("Xero Invoice Date",$A$1:$AB$1,0)),"")</f>
        <v/>
      </c>
      <c r="AF2068" s="54">
        <f>IF(AND(IFERROR(INDEX($A2068:$AB2068,MATCH("Xero Invoice No",$A$1:$AB$1,0)),"")&amp;""&lt;&gt;"",ISNUMBER(AE2068),AD2068&lt;&gt;0),1,0)</f>
        <v/>
      </c>
      <c r="AG2068" s="55">
        <f>IF(AF2068=1,EOMONTH(AE2068,0),"")</f>
        <v/>
      </c>
      <c r="AH2068" s="9">
        <f>IF(AF2068=1,UPPER(TRIM(IFERROR(INDEX($A2068:$AB2068,MATCH("Client",$A$1:$AB$1,0)),"")&amp;"")),"")</f>
        <v/>
      </c>
      <c r="AI2068" s="9">
        <f>IF(AF2068=1,IFERROR(INDEX($A2068:$AB2068,MATCH("Cost Centre",$A$1:$AB$1,0)),"")&amp;"","")</f>
        <v/>
      </c>
      <c r="AJ2068" s="54">
        <f>IF(AND(AF2068=1,AE2068&gt;=set_FYStart,AE2068&lt;=set_AsAt),1,0)</f>
        <v/>
      </c>
      <c r="AK2068" s="54">
        <f>IF(AND(AJ2068=1,AH2068&lt;&gt;"",COUNTIFS($AH$2:AH2068,AH2068,$AJ$2:AJ2068,1)=1),N(AL2067)+1,"")</f>
        <v/>
      </c>
      <c r="AL2068" s="54">
        <f>IF(AK2068&lt;&gt;"",AK2068,N(AL2067))</f>
        <v/>
      </c>
    </row>
    <row r="2069">
      <c r="A2069" t="inlineStr">
        <is>
          <t>ONS-0690</t>
        </is>
      </c>
      <c r="B2069" t="inlineStr">
        <is>
          <t>Onsite</t>
        </is>
      </c>
      <c r="AB2069" t="n">
        <v>690</v>
      </c>
      <c r="AD2069" s="52">
        <f>IFERROR(N(IFERROR(INDEX($A2069:$AB2069,MATCH("Xero Invoiced Ex GST",$A$1:$AB$1,0)),"")),0)</f>
        <v/>
      </c>
      <c r="AE2069" s="53">
        <f>IFERROR(INDEX($A2069:$AB2069,MATCH("Xero Invoice Date",$A$1:$AB$1,0)),"")</f>
        <v/>
      </c>
      <c r="AF2069" s="54">
        <f>IF(AND(IFERROR(INDEX($A2069:$AB2069,MATCH("Xero Invoice No",$A$1:$AB$1,0)),"")&amp;""&lt;&gt;"",ISNUMBER(AE2069),AD2069&lt;&gt;0),1,0)</f>
        <v/>
      </c>
      <c r="AG2069" s="55">
        <f>IF(AF2069=1,EOMONTH(AE2069,0),"")</f>
        <v/>
      </c>
      <c r="AH2069" s="9">
        <f>IF(AF2069=1,UPPER(TRIM(IFERROR(INDEX($A2069:$AB2069,MATCH("Client",$A$1:$AB$1,0)),"")&amp;"")),"")</f>
        <v/>
      </c>
      <c r="AI2069" s="9">
        <f>IF(AF2069=1,IFERROR(INDEX($A2069:$AB2069,MATCH("Cost Centre",$A$1:$AB$1,0)),"")&amp;"","")</f>
        <v/>
      </c>
      <c r="AJ2069" s="54">
        <f>IF(AND(AF2069=1,AE2069&gt;=set_FYStart,AE2069&lt;=set_AsAt),1,0)</f>
        <v/>
      </c>
      <c r="AK2069" s="54">
        <f>IF(AND(AJ2069=1,AH2069&lt;&gt;"",COUNTIFS($AH$2:AH2069,AH2069,$AJ$2:AJ2069,1)=1),N(AL2068)+1,"")</f>
        <v/>
      </c>
      <c r="AL2069" s="54">
        <f>IF(AK2069&lt;&gt;"",AK2069,N(AL2068))</f>
        <v/>
      </c>
    </row>
    <row r="2070">
      <c r="A2070" t="inlineStr">
        <is>
          <t>PRD-0690</t>
        </is>
      </c>
      <c r="B2070" t="inlineStr">
        <is>
          <t>Production</t>
        </is>
      </c>
      <c r="AB2070" t="n">
        <v>690</v>
      </c>
      <c r="AD2070" s="52">
        <f>IFERROR(N(IFERROR(INDEX($A2070:$AB2070,MATCH("Xero Invoiced Ex GST",$A$1:$AB$1,0)),"")),0)</f>
        <v/>
      </c>
      <c r="AE2070" s="53">
        <f>IFERROR(INDEX($A2070:$AB2070,MATCH("Xero Invoice Date",$A$1:$AB$1,0)),"")</f>
        <v/>
      </c>
      <c r="AF2070" s="54">
        <f>IF(AND(IFERROR(INDEX($A2070:$AB2070,MATCH("Xero Invoice No",$A$1:$AB$1,0)),"")&amp;""&lt;&gt;"",ISNUMBER(AE2070),AD2070&lt;&gt;0),1,0)</f>
        <v/>
      </c>
      <c r="AG2070" s="55">
        <f>IF(AF2070=1,EOMONTH(AE2070,0),"")</f>
        <v/>
      </c>
      <c r="AH2070" s="9">
        <f>IF(AF2070=1,UPPER(TRIM(IFERROR(INDEX($A2070:$AB2070,MATCH("Client",$A$1:$AB$1,0)),"")&amp;"")),"")</f>
        <v/>
      </c>
      <c r="AI2070" s="9">
        <f>IF(AF2070=1,IFERROR(INDEX($A2070:$AB2070,MATCH("Cost Centre",$A$1:$AB$1,0)),"")&amp;"","")</f>
        <v/>
      </c>
      <c r="AJ2070" s="54">
        <f>IF(AND(AF2070=1,AE2070&gt;=set_FYStart,AE2070&lt;=set_AsAt),1,0)</f>
        <v/>
      </c>
      <c r="AK2070" s="54">
        <f>IF(AND(AJ2070=1,AH2070&lt;&gt;"",COUNTIFS($AH$2:AH2070,AH2070,$AJ$2:AJ2070,1)=1),N(AL2069)+1,"")</f>
        <v/>
      </c>
      <c r="AL2070" s="54">
        <f>IF(AK2070&lt;&gt;"",AK2070,N(AL2069))</f>
        <v/>
      </c>
    </row>
    <row r="2071">
      <c r="A2071" t="inlineStr">
        <is>
          <t>CON-0690</t>
        </is>
      </c>
      <c r="B2071" t="inlineStr">
        <is>
          <t>Consulting</t>
        </is>
      </c>
      <c r="AB2071" t="n">
        <v>690</v>
      </c>
      <c r="AD2071" s="52">
        <f>IFERROR(N(IFERROR(INDEX($A2071:$AB2071,MATCH("Xero Invoiced Ex GST",$A$1:$AB$1,0)),"")),0)</f>
        <v/>
      </c>
      <c r="AE2071" s="53">
        <f>IFERROR(INDEX($A2071:$AB2071,MATCH("Xero Invoice Date",$A$1:$AB$1,0)),"")</f>
        <v/>
      </c>
      <c r="AF2071" s="54">
        <f>IF(AND(IFERROR(INDEX($A2071:$AB2071,MATCH("Xero Invoice No",$A$1:$AB$1,0)),"")&amp;""&lt;&gt;"",ISNUMBER(AE2071),AD2071&lt;&gt;0),1,0)</f>
        <v/>
      </c>
      <c r="AG2071" s="55">
        <f>IF(AF2071=1,EOMONTH(AE2071,0),"")</f>
        <v/>
      </c>
      <c r="AH2071" s="9">
        <f>IF(AF2071=1,UPPER(TRIM(IFERROR(INDEX($A2071:$AB2071,MATCH("Client",$A$1:$AB$1,0)),"")&amp;"")),"")</f>
        <v/>
      </c>
      <c r="AI2071" s="9">
        <f>IF(AF2071=1,IFERROR(INDEX($A2071:$AB2071,MATCH("Cost Centre",$A$1:$AB$1,0)),"")&amp;"","")</f>
        <v/>
      </c>
      <c r="AJ2071" s="54">
        <f>IF(AND(AF2071=1,AE2071&gt;=set_FYStart,AE2071&lt;=set_AsAt),1,0)</f>
        <v/>
      </c>
      <c r="AK2071" s="54">
        <f>IF(AND(AJ2071=1,AH2071&lt;&gt;"",COUNTIFS($AH$2:AH2071,AH2071,$AJ$2:AJ2071,1)=1),N(AL2070)+1,"")</f>
        <v/>
      </c>
      <c r="AL2071" s="54">
        <f>IF(AK2071&lt;&gt;"",AK2071,N(AL2070))</f>
        <v/>
      </c>
    </row>
    <row r="2072">
      <c r="A2072" t="inlineStr">
        <is>
          <t>ONS-0691</t>
        </is>
      </c>
      <c r="B2072" t="inlineStr">
        <is>
          <t>Onsite</t>
        </is>
      </c>
      <c r="AB2072" t="n">
        <v>691</v>
      </c>
      <c r="AD2072" s="52">
        <f>IFERROR(N(IFERROR(INDEX($A2072:$AB2072,MATCH("Xero Invoiced Ex GST",$A$1:$AB$1,0)),"")),0)</f>
        <v/>
      </c>
      <c r="AE2072" s="53">
        <f>IFERROR(INDEX($A2072:$AB2072,MATCH("Xero Invoice Date",$A$1:$AB$1,0)),"")</f>
        <v/>
      </c>
      <c r="AF2072" s="54">
        <f>IF(AND(IFERROR(INDEX($A2072:$AB2072,MATCH("Xero Invoice No",$A$1:$AB$1,0)),"")&amp;""&lt;&gt;"",ISNUMBER(AE2072),AD2072&lt;&gt;0),1,0)</f>
        <v/>
      </c>
      <c r="AG2072" s="55">
        <f>IF(AF2072=1,EOMONTH(AE2072,0),"")</f>
        <v/>
      </c>
      <c r="AH2072" s="9">
        <f>IF(AF2072=1,UPPER(TRIM(IFERROR(INDEX($A2072:$AB2072,MATCH("Client",$A$1:$AB$1,0)),"")&amp;"")),"")</f>
        <v/>
      </c>
      <c r="AI2072" s="9">
        <f>IF(AF2072=1,IFERROR(INDEX($A2072:$AB2072,MATCH("Cost Centre",$A$1:$AB$1,0)),"")&amp;"","")</f>
        <v/>
      </c>
      <c r="AJ2072" s="54">
        <f>IF(AND(AF2072=1,AE2072&gt;=set_FYStart,AE2072&lt;=set_AsAt),1,0)</f>
        <v/>
      </c>
      <c r="AK2072" s="54">
        <f>IF(AND(AJ2072=1,AH2072&lt;&gt;"",COUNTIFS($AH$2:AH2072,AH2072,$AJ$2:AJ2072,1)=1),N(AL2071)+1,"")</f>
        <v/>
      </c>
      <c r="AL2072" s="54">
        <f>IF(AK2072&lt;&gt;"",AK2072,N(AL2071))</f>
        <v/>
      </c>
    </row>
    <row r="2073">
      <c r="A2073" t="inlineStr">
        <is>
          <t>PRD-0691</t>
        </is>
      </c>
      <c r="B2073" t="inlineStr">
        <is>
          <t>Production</t>
        </is>
      </c>
      <c r="AB2073" t="n">
        <v>691</v>
      </c>
      <c r="AD2073" s="52">
        <f>IFERROR(N(IFERROR(INDEX($A2073:$AB2073,MATCH("Xero Invoiced Ex GST",$A$1:$AB$1,0)),"")),0)</f>
        <v/>
      </c>
      <c r="AE2073" s="53">
        <f>IFERROR(INDEX($A2073:$AB2073,MATCH("Xero Invoice Date",$A$1:$AB$1,0)),"")</f>
        <v/>
      </c>
      <c r="AF2073" s="54">
        <f>IF(AND(IFERROR(INDEX($A2073:$AB2073,MATCH("Xero Invoice No",$A$1:$AB$1,0)),"")&amp;""&lt;&gt;"",ISNUMBER(AE2073),AD2073&lt;&gt;0),1,0)</f>
        <v/>
      </c>
      <c r="AG2073" s="55">
        <f>IF(AF2073=1,EOMONTH(AE2073,0),"")</f>
        <v/>
      </c>
      <c r="AH2073" s="9">
        <f>IF(AF2073=1,UPPER(TRIM(IFERROR(INDEX($A2073:$AB2073,MATCH("Client",$A$1:$AB$1,0)),"")&amp;"")),"")</f>
        <v/>
      </c>
      <c r="AI2073" s="9">
        <f>IF(AF2073=1,IFERROR(INDEX($A2073:$AB2073,MATCH("Cost Centre",$A$1:$AB$1,0)),"")&amp;"","")</f>
        <v/>
      </c>
      <c r="AJ2073" s="54">
        <f>IF(AND(AF2073=1,AE2073&gt;=set_FYStart,AE2073&lt;=set_AsAt),1,0)</f>
        <v/>
      </c>
      <c r="AK2073" s="54">
        <f>IF(AND(AJ2073=1,AH2073&lt;&gt;"",COUNTIFS($AH$2:AH2073,AH2073,$AJ$2:AJ2073,1)=1),N(AL2072)+1,"")</f>
        <v/>
      </c>
      <c r="AL2073" s="54">
        <f>IF(AK2073&lt;&gt;"",AK2073,N(AL2072))</f>
        <v/>
      </c>
    </row>
    <row r="2074">
      <c r="A2074" t="inlineStr">
        <is>
          <t>CON-0691</t>
        </is>
      </c>
      <c r="B2074" t="inlineStr">
        <is>
          <t>Consulting</t>
        </is>
      </c>
      <c r="AB2074" t="n">
        <v>691</v>
      </c>
      <c r="AD2074" s="52">
        <f>IFERROR(N(IFERROR(INDEX($A2074:$AB2074,MATCH("Xero Invoiced Ex GST",$A$1:$AB$1,0)),"")),0)</f>
        <v/>
      </c>
      <c r="AE2074" s="53">
        <f>IFERROR(INDEX($A2074:$AB2074,MATCH("Xero Invoice Date",$A$1:$AB$1,0)),"")</f>
        <v/>
      </c>
      <c r="AF2074" s="54">
        <f>IF(AND(IFERROR(INDEX($A2074:$AB2074,MATCH("Xero Invoice No",$A$1:$AB$1,0)),"")&amp;""&lt;&gt;"",ISNUMBER(AE2074),AD2074&lt;&gt;0),1,0)</f>
        <v/>
      </c>
      <c r="AG2074" s="55">
        <f>IF(AF2074=1,EOMONTH(AE2074,0),"")</f>
        <v/>
      </c>
      <c r="AH2074" s="9">
        <f>IF(AF2074=1,UPPER(TRIM(IFERROR(INDEX($A2074:$AB2074,MATCH("Client",$A$1:$AB$1,0)),"")&amp;"")),"")</f>
        <v/>
      </c>
      <c r="AI2074" s="9">
        <f>IF(AF2074=1,IFERROR(INDEX($A2074:$AB2074,MATCH("Cost Centre",$A$1:$AB$1,0)),"")&amp;"","")</f>
        <v/>
      </c>
      <c r="AJ2074" s="54">
        <f>IF(AND(AF2074=1,AE2074&gt;=set_FYStart,AE2074&lt;=set_AsAt),1,0)</f>
        <v/>
      </c>
      <c r="AK2074" s="54">
        <f>IF(AND(AJ2074=1,AH2074&lt;&gt;"",COUNTIFS($AH$2:AH2074,AH2074,$AJ$2:AJ2074,1)=1),N(AL2073)+1,"")</f>
        <v/>
      </c>
      <c r="AL2074" s="54">
        <f>IF(AK2074&lt;&gt;"",AK2074,N(AL2073))</f>
        <v/>
      </c>
    </row>
    <row r="2075">
      <c r="A2075" t="inlineStr">
        <is>
          <t>ONS-0692</t>
        </is>
      </c>
      <c r="B2075" t="inlineStr">
        <is>
          <t>Onsite</t>
        </is>
      </c>
      <c r="AB2075" t="n">
        <v>692</v>
      </c>
      <c r="AD2075" s="52">
        <f>IFERROR(N(IFERROR(INDEX($A2075:$AB2075,MATCH("Xero Invoiced Ex GST",$A$1:$AB$1,0)),"")),0)</f>
        <v/>
      </c>
      <c r="AE2075" s="53">
        <f>IFERROR(INDEX($A2075:$AB2075,MATCH("Xero Invoice Date",$A$1:$AB$1,0)),"")</f>
        <v/>
      </c>
      <c r="AF2075" s="54">
        <f>IF(AND(IFERROR(INDEX($A2075:$AB2075,MATCH("Xero Invoice No",$A$1:$AB$1,0)),"")&amp;""&lt;&gt;"",ISNUMBER(AE2075),AD2075&lt;&gt;0),1,0)</f>
        <v/>
      </c>
      <c r="AG2075" s="55">
        <f>IF(AF2075=1,EOMONTH(AE2075,0),"")</f>
        <v/>
      </c>
      <c r="AH2075" s="9">
        <f>IF(AF2075=1,UPPER(TRIM(IFERROR(INDEX($A2075:$AB2075,MATCH("Client",$A$1:$AB$1,0)),"")&amp;"")),"")</f>
        <v/>
      </c>
      <c r="AI2075" s="9">
        <f>IF(AF2075=1,IFERROR(INDEX($A2075:$AB2075,MATCH("Cost Centre",$A$1:$AB$1,0)),"")&amp;"","")</f>
        <v/>
      </c>
      <c r="AJ2075" s="54">
        <f>IF(AND(AF2075=1,AE2075&gt;=set_FYStart,AE2075&lt;=set_AsAt),1,0)</f>
        <v/>
      </c>
      <c r="AK2075" s="54">
        <f>IF(AND(AJ2075=1,AH2075&lt;&gt;"",COUNTIFS($AH$2:AH2075,AH2075,$AJ$2:AJ2075,1)=1),N(AL2074)+1,"")</f>
        <v/>
      </c>
      <c r="AL2075" s="54">
        <f>IF(AK2075&lt;&gt;"",AK2075,N(AL2074))</f>
        <v/>
      </c>
    </row>
    <row r="2076">
      <c r="A2076" t="inlineStr">
        <is>
          <t>PRD-0692</t>
        </is>
      </c>
      <c r="B2076" t="inlineStr">
        <is>
          <t>Production</t>
        </is>
      </c>
      <c r="AB2076" t="n">
        <v>692</v>
      </c>
      <c r="AD2076" s="52">
        <f>IFERROR(N(IFERROR(INDEX($A2076:$AB2076,MATCH("Xero Invoiced Ex GST",$A$1:$AB$1,0)),"")),0)</f>
        <v/>
      </c>
      <c r="AE2076" s="53">
        <f>IFERROR(INDEX($A2076:$AB2076,MATCH("Xero Invoice Date",$A$1:$AB$1,0)),"")</f>
        <v/>
      </c>
      <c r="AF2076" s="54">
        <f>IF(AND(IFERROR(INDEX($A2076:$AB2076,MATCH("Xero Invoice No",$A$1:$AB$1,0)),"")&amp;""&lt;&gt;"",ISNUMBER(AE2076),AD2076&lt;&gt;0),1,0)</f>
        <v/>
      </c>
      <c r="AG2076" s="55">
        <f>IF(AF2076=1,EOMONTH(AE2076,0),"")</f>
        <v/>
      </c>
      <c r="AH2076" s="9">
        <f>IF(AF2076=1,UPPER(TRIM(IFERROR(INDEX($A2076:$AB2076,MATCH("Client",$A$1:$AB$1,0)),"")&amp;"")),"")</f>
        <v/>
      </c>
      <c r="AI2076" s="9">
        <f>IF(AF2076=1,IFERROR(INDEX($A2076:$AB2076,MATCH("Cost Centre",$A$1:$AB$1,0)),"")&amp;"","")</f>
        <v/>
      </c>
      <c r="AJ2076" s="54">
        <f>IF(AND(AF2076=1,AE2076&gt;=set_FYStart,AE2076&lt;=set_AsAt),1,0)</f>
        <v/>
      </c>
      <c r="AK2076" s="54">
        <f>IF(AND(AJ2076=1,AH2076&lt;&gt;"",COUNTIFS($AH$2:AH2076,AH2076,$AJ$2:AJ2076,1)=1),N(AL2075)+1,"")</f>
        <v/>
      </c>
      <c r="AL2076" s="54">
        <f>IF(AK2076&lt;&gt;"",AK2076,N(AL2075))</f>
        <v/>
      </c>
    </row>
    <row r="2077">
      <c r="A2077" t="inlineStr">
        <is>
          <t>CON-0692</t>
        </is>
      </c>
      <c r="B2077" t="inlineStr">
        <is>
          <t>Consulting</t>
        </is>
      </c>
      <c r="AB2077" t="n">
        <v>692</v>
      </c>
      <c r="AD2077" s="52">
        <f>IFERROR(N(IFERROR(INDEX($A2077:$AB2077,MATCH("Xero Invoiced Ex GST",$A$1:$AB$1,0)),"")),0)</f>
        <v/>
      </c>
      <c r="AE2077" s="53">
        <f>IFERROR(INDEX($A2077:$AB2077,MATCH("Xero Invoice Date",$A$1:$AB$1,0)),"")</f>
        <v/>
      </c>
      <c r="AF2077" s="54">
        <f>IF(AND(IFERROR(INDEX($A2077:$AB2077,MATCH("Xero Invoice No",$A$1:$AB$1,0)),"")&amp;""&lt;&gt;"",ISNUMBER(AE2077),AD2077&lt;&gt;0),1,0)</f>
        <v/>
      </c>
      <c r="AG2077" s="55">
        <f>IF(AF2077=1,EOMONTH(AE2077,0),"")</f>
        <v/>
      </c>
      <c r="AH2077" s="9">
        <f>IF(AF2077=1,UPPER(TRIM(IFERROR(INDEX($A2077:$AB2077,MATCH("Client",$A$1:$AB$1,0)),"")&amp;"")),"")</f>
        <v/>
      </c>
      <c r="AI2077" s="9">
        <f>IF(AF2077=1,IFERROR(INDEX($A2077:$AB2077,MATCH("Cost Centre",$A$1:$AB$1,0)),"")&amp;"","")</f>
        <v/>
      </c>
      <c r="AJ2077" s="54">
        <f>IF(AND(AF2077=1,AE2077&gt;=set_FYStart,AE2077&lt;=set_AsAt),1,0)</f>
        <v/>
      </c>
      <c r="AK2077" s="54">
        <f>IF(AND(AJ2077=1,AH2077&lt;&gt;"",COUNTIFS($AH$2:AH2077,AH2077,$AJ$2:AJ2077,1)=1),N(AL2076)+1,"")</f>
        <v/>
      </c>
      <c r="AL2077" s="54">
        <f>IF(AK2077&lt;&gt;"",AK2077,N(AL2076))</f>
        <v/>
      </c>
    </row>
    <row r="2078">
      <c r="A2078" t="inlineStr">
        <is>
          <t>ONS-0693</t>
        </is>
      </c>
      <c r="B2078" t="inlineStr">
        <is>
          <t>Onsite</t>
        </is>
      </c>
      <c r="AB2078" t="n">
        <v>693</v>
      </c>
      <c r="AD2078" s="52">
        <f>IFERROR(N(IFERROR(INDEX($A2078:$AB2078,MATCH("Xero Invoiced Ex GST",$A$1:$AB$1,0)),"")),0)</f>
        <v/>
      </c>
      <c r="AE2078" s="53">
        <f>IFERROR(INDEX($A2078:$AB2078,MATCH("Xero Invoice Date",$A$1:$AB$1,0)),"")</f>
        <v/>
      </c>
      <c r="AF2078" s="54">
        <f>IF(AND(IFERROR(INDEX($A2078:$AB2078,MATCH("Xero Invoice No",$A$1:$AB$1,0)),"")&amp;""&lt;&gt;"",ISNUMBER(AE2078),AD2078&lt;&gt;0),1,0)</f>
        <v/>
      </c>
      <c r="AG2078" s="55">
        <f>IF(AF2078=1,EOMONTH(AE2078,0),"")</f>
        <v/>
      </c>
      <c r="AH2078" s="9">
        <f>IF(AF2078=1,UPPER(TRIM(IFERROR(INDEX($A2078:$AB2078,MATCH("Client",$A$1:$AB$1,0)),"")&amp;"")),"")</f>
        <v/>
      </c>
      <c r="AI2078" s="9">
        <f>IF(AF2078=1,IFERROR(INDEX($A2078:$AB2078,MATCH("Cost Centre",$A$1:$AB$1,0)),"")&amp;"","")</f>
        <v/>
      </c>
      <c r="AJ2078" s="54">
        <f>IF(AND(AF2078=1,AE2078&gt;=set_FYStart,AE2078&lt;=set_AsAt),1,0)</f>
        <v/>
      </c>
      <c r="AK2078" s="54">
        <f>IF(AND(AJ2078=1,AH2078&lt;&gt;"",COUNTIFS($AH$2:AH2078,AH2078,$AJ$2:AJ2078,1)=1),N(AL2077)+1,"")</f>
        <v/>
      </c>
      <c r="AL2078" s="54">
        <f>IF(AK2078&lt;&gt;"",AK2078,N(AL2077))</f>
        <v/>
      </c>
    </row>
    <row r="2079">
      <c r="A2079" t="inlineStr">
        <is>
          <t>PRD-0693</t>
        </is>
      </c>
      <c r="B2079" t="inlineStr">
        <is>
          <t>Production</t>
        </is>
      </c>
      <c r="AB2079" t="n">
        <v>693</v>
      </c>
      <c r="AD2079" s="52">
        <f>IFERROR(N(IFERROR(INDEX($A2079:$AB2079,MATCH("Xero Invoiced Ex GST",$A$1:$AB$1,0)),"")),0)</f>
        <v/>
      </c>
      <c r="AE2079" s="53">
        <f>IFERROR(INDEX($A2079:$AB2079,MATCH("Xero Invoice Date",$A$1:$AB$1,0)),"")</f>
        <v/>
      </c>
      <c r="AF2079" s="54">
        <f>IF(AND(IFERROR(INDEX($A2079:$AB2079,MATCH("Xero Invoice No",$A$1:$AB$1,0)),"")&amp;""&lt;&gt;"",ISNUMBER(AE2079),AD2079&lt;&gt;0),1,0)</f>
        <v/>
      </c>
      <c r="AG2079" s="55">
        <f>IF(AF2079=1,EOMONTH(AE2079,0),"")</f>
        <v/>
      </c>
      <c r="AH2079" s="9">
        <f>IF(AF2079=1,UPPER(TRIM(IFERROR(INDEX($A2079:$AB2079,MATCH("Client",$A$1:$AB$1,0)),"")&amp;"")),"")</f>
        <v/>
      </c>
      <c r="AI2079" s="9">
        <f>IF(AF2079=1,IFERROR(INDEX($A2079:$AB2079,MATCH("Cost Centre",$A$1:$AB$1,0)),"")&amp;"","")</f>
        <v/>
      </c>
      <c r="AJ2079" s="54">
        <f>IF(AND(AF2079=1,AE2079&gt;=set_FYStart,AE2079&lt;=set_AsAt),1,0)</f>
        <v/>
      </c>
      <c r="AK2079" s="54">
        <f>IF(AND(AJ2079=1,AH2079&lt;&gt;"",COUNTIFS($AH$2:AH2079,AH2079,$AJ$2:AJ2079,1)=1),N(AL2078)+1,"")</f>
        <v/>
      </c>
      <c r="AL2079" s="54">
        <f>IF(AK2079&lt;&gt;"",AK2079,N(AL2078))</f>
        <v/>
      </c>
    </row>
    <row r="2080">
      <c r="A2080" t="inlineStr">
        <is>
          <t>CON-0693</t>
        </is>
      </c>
      <c r="B2080" t="inlineStr">
        <is>
          <t>Consulting</t>
        </is>
      </c>
      <c r="AB2080" t="n">
        <v>693</v>
      </c>
      <c r="AD2080" s="52">
        <f>IFERROR(N(IFERROR(INDEX($A2080:$AB2080,MATCH("Xero Invoiced Ex GST",$A$1:$AB$1,0)),"")),0)</f>
        <v/>
      </c>
      <c r="AE2080" s="53">
        <f>IFERROR(INDEX($A2080:$AB2080,MATCH("Xero Invoice Date",$A$1:$AB$1,0)),"")</f>
        <v/>
      </c>
      <c r="AF2080" s="54">
        <f>IF(AND(IFERROR(INDEX($A2080:$AB2080,MATCH("Xero Invoice No",$A$1:$AB$1,0)),"")&amp;""&lt;&gt;"",ISNUMBER(AE2080),AD2080&lt;&gt;0),1,0)</f>
        <v/>
      </c>
      <c r="AG2080" s="55">
        <f>IF(AF2080=1,EOMONTH(AE2080,0),"")</f>
        <v/>
      </c>
      <c r="AH2080" s="9">
        <f>IF(AF2080=1,UPPER(TRIM(IFERROR(INDEX($A2080:$AB2080,MATCH("Client",$A$1:$AB$1,0)),"")&amp;"")),"")</f>
        <v/>
      </c>
      <c r="AI2080" s="9">
        <f>IF(AF2080=1,IFERROR(INDEX($A2080:$AB2080,MATCH("Cost Centre",$A$1:$AB$1,0)),"")&amp;"","")</f>
        <v/>
      </c>
      <c r="AJ2080" s="54">
        <f>IF(AND(AF2080=1,AE2080&gt;=set_FYStart,AE2080&lt;=set_AsAt),1,0)</f>
        <v/>
      </c>
      <c r="AK2080" s="54">
        <f>IF(AND(AJ2080=1,AH2080&lt;&gt;"",COUNTIFS($AH$2:AH2080,AH2080,$AJ$2:AJ2080,1)=1),N(AL2079)+1,"")</f>
        <v/>
      </c>
      <c r="AL2080" s="54">
        <f>IF(AK2080&lt;&gt;"",AK2080,N(AL2079))</f>
        <v/>
      </c>
    </row>
    <row r="2081">
      <c r="A2081" t="inlineStr">
        <is>
          <t>ONS-0694</t>
        </is>
      </c>
      <c r="B2081" t="inlineStr">
        <is>
          <t>Onsite</t>
        </is>
      </c>
      <c r="AB2081" t="n">
        <v>694</v>
      </c>
      <c r="AD2081" s="52">
        <f>IFERROR(N(IFERROR(INDEX($A2081:$AB2081,MATCH("Xero Invoiced Ex GST",$A$1:$AB$1,0)),"")),0)</f>
        <v/>
      </c>
      <c r="AE2081" s="53">
        <f>IFERROR(INDEX($A2081:$AB2081,MATCH("Xero Invoice Date",$A$1:$AB$1,0)),"")</f>
        <v/>
      </c>
      <c r="AF2081" s="54">
        <f>IF(AND(IFERROR(INDEX($A2081:$AB2081,MATCH("Xero Invoice No",$A$1:$AB$1,0)),"")&amp;""&lt;&gt;"",ISNUMBER(AE2081),AD2081&lt;&gt;0),1,0)</f>
        <v/>
      </c>
      <c r="AG2081" s="55">
        <f>IF(AF2081=1,EOMONTH(AE2081,0),"")</f>
        <v/>
      </c>
      <c r="AH2081" s="9">
        <f>IF(AF2081=1,UPPER(TRIM(IFERROR(INDEX($A2081:$AB2081,MATCH("Client",$A$1:$AB$1,0)),"")&amp;"")),"")</f>
        <v/>
      </c>
      <c r="AI2081" s="9">
        <f>IF(AF2081=1,IFERROR(INDEX($A2081:$AB2081,MATCH("Cost Centre",$A$1:$AB$1,0)),"")&amp;"","")</f>
        <v/>
      </c>
      <c r="AJ2081" s="54">
        <f>IF(AND(AF2081=1,AE2081&gt;=set_FYStart,AE2081&lt;=set_AsAt),1,0)</f>
        <v/>
      </c>
      <c r="AK2081" s="54">
        <f>IF(AND(AJ2081=1,AH2081&lt;&gt;"",COUNTIFS($AH$2:AH2081,AH2081,$AJ$2:AJ2081,1)=1),N(AL2080)+1,"")</f>
        <v/>
      </c>
      <c r="AL2081" s="54">
        <f>IF(AK2081&lt;&gt;"",AK2081,N(AL2080))</f>
        <v/>
      </c>
    </row>
    <row r="2082">
      <c r="A2082" t="inlineStr">
        <is>
          <t>PRD-0694</t>
        </is>
      </c>
      <c r="B2082" t="inlineStr">
        <is>
          <t>Production</t>
        </is>
      </c>
      <c r="AB2082" t="n">
        <v>694</v>
      </c>
      <c r="AD2082" s="52">
        <f>IFERROR(N(IFERROR(INDEX($A2082:$AB2082,MATCH("Xero Invoiced Ex GST",$A$1:$AB$1,0)),"")),0)</f>
        <v/>
      </c>
      <c r="AE2082" s="53">
        <f>IFERROR(INDEX($A2082:$AB2082,MATCH("Xero Invoice Date",$A$1:$AB$1,0)),"")</f>
        <v/>
      </c>
      <c r="AF2082" s="54">
        <f>IF(AND(IFERROR(INDEX($A2082:$AB2082,MATCH("Xero Invoice No",$A$1:$AB$1,0)),"")&amp;""&lt;&gt;"",ISNUMBER(AE2082),AD2082&lt;&gt;0),1,0)</f>
        <v/>
      </c>
      <c r="AG2082" s="55">
        <f>IF(AF2082=1,EOMONTH(AE2082,0),"")</f>
        <v/>
      </c>
      <c r="AH2082" s="9">
        <f>IF(AF2082=1,UPPER(TRIM(IFERROR(INDEX($A2082:$AB2082,MATCH("Client",$A$1:$AB$1,0)),"")&amp;"")),"")</f>
        <v/>
      </c>
      <c r="AI2082" s="9">
        <f>IF(AF2082=1,IFERROR(INDEX($A2082:$AB2082,MATCH("Cost Centre",$A$1:$AB$1,0)),"")&amp;"","")</f>
        <v/>
      </c>
      <c r="AJ2082" s="54">
        <f>IF(AND(AF2082=1,AE2082&gt;=set_FYStart,AE2082&lt;=set_AsAt),1,0)</f>
        <v/>
      </c>
      <c r="AK2082" s="54">
        <f>IF(AND(AJ2082=1,AH2082&lt;&gt;"",COUNTIFS($AH$2:AH2082,AH2082,$AJ$2:AJ2082,1)=1),N(AL2081)+1,"")</f>
        <v/>
      </c>
      <c r="AL2082" s="54">
        <f>IF(AK2082&lt;&gt;"",AK2082,N(AL2081))</f>
        <v/>
      </c>
    </row>
    <row r="2083">
      <c r="A2083" t="inlineStr">
        <is>
          <t>CON-0694</t>
        </is>
      </c>
      <c r="B2083" t="inlineStr">
        <is>
          <t>Consulting</t>
        </is>
      </c>
      <c r="AB2083" t="n">
        <v>694</v>
      </c>
      <c r="AD2083" s="52">
        <f>IFERROR(N(IFERROR(INDEX($A2083:$AB2083,MATCH("Xero Invoiced Ex GST",$A$1:$AB$1,0)),"")),0)</f>
        <v/>
      </c>
      <c r="AE2083" s="53">
        <f>IFERROR(INDEX($A2083:$AB2083,MATCH("Xero Invoice Date",$A$1:$AB$1,0)),"")</f>
        <v/>
      </c>
      <c r="AF2083" s="54">
        <f>IF(AND(IFERROR(INDEX($A2083:$AB2083,MATCH("Xero Invoice No",$A$1:$AB$1,0)),"")&amp;""&lt;&gt;"",ISNUMBER(AE2083),AD2083&lt;&gt;0),1,0)</f>
        <v/>
      </c>
      <c r="AG2083" s="55">
        <f>IF(AF2083=1,EOMONTH(AE2083,0),"")</f>
        <v/>
      </c>
      <c r="AH2083" s="9">
        <f>IF(AF2083=1,UPPER(TRIM(IFERROR(INDEX($A2083:$AB2083,MATCH("Client",$A$1:$AB$1,0)),"")&amp;"")),"")</f>
        <v/>
      </c>
      <c r="AI2083" s="9">
        <f>IF(AF2083=1,IFERROR(INDEX($A2083:$AB2083,MATCH("Cost Centre",$A$1:$AB$1,0)),"")&amp;"","")</f>
        <v/>
      </c>
      <c r="AJ2083" s="54">
        <f>IF(AND(AF2083=1,AE2083&gt;=set_FYStart,AE2083&lt;=set_AsAt),1,0)</f>
        <v/>
      </c>
      <c r="AK2083" s="54">
        <f>IF(AND(AJ2083=1,AH2083&lt;&gt;"",COUNTIFS($AH$2:AH2083,AH2083,$AJ$2:AJ2083,1)=1),N(AL2082)+1,"")</f>
        <v/>
      </c>
      <c r="AL2083" s="54">
        <f>IF(AK2083&lt;&gt;"",AK2083,N(AL2082))</f>
        <v/>
      </c>
    </row>
    <row r="2084">
      <c r="A2084" t="inlineStr">
        <is>
          <t>ONS-0695</t>
        </is>
      </c>
      <c r="B2084" t="inlineStr">
        <is>
          <t>Onsite</t>
        </is>
      </c>
      <c r="AB2084" t="n">
        <v>695</v>
      </c>
      <c r="AD2084" s="52">
        <f>IFERROR(N(IFERROR(INDEX($A2084:$AB2084,MATCH("Xero Invoiced Ex GST",$A$1:$AB$1,0)),"")),0)</f>
        <v/>
      </c>
      <c r="AE2084" s="53">
        <f>IFERROR(INDEX($A2084:$AB2084,MATCH("Xero Invoice Date",$A$1:$AB$1,0)),"")</f>
        <v/>
      </c>
      <c r="AF2084" s="54">
        <f>IF(AND(IFERROR(INDEX($A2084:$AB2084,MATCH("Xero Invoice No",$A$1:$AB$1,0)),"")&amp;""&lt;&gt;"",ISNUMBER(AE2084),AD2084&lt;&gt;0),1,0)</f>
        <v/>
      </c>
      <c r="AG2084" s="55">
        <f>IF(AF2084=1,EOMONTH(AE2084,0),"")</f>
        <v/>
      </c>
      <c r="AH2084" s="9">
        <f>IF(AF2084=1,UPPER(TRIM(IFERROR(INDEX($A2084:$AB2084,MATCH("Client",$A$1:$AB$1,0)),"")&amp;"")),"")</f>
        <v/>
      </c>
      <c r="AI2084" s="9">
        <f>IF(AF2084=1,IFERROR(INDEX($A2084:$AB2084,MATCH("Cost Centre",$A$1:$AB$1,0)),"")&amp;"","")</f>
        <v/>
      </c>
      <c r="AJ2084" s="54">
        <f>IF(AND(AF2084=1,AE2084&gt;=set_FYStart,AE2084&lt;=set_AsAt),1,0)</f>
        <v/>
      </c>
      <c r="AK2084" s="54">
        <f>IF(AND(AJ2084=1,AH2084&lt;&gt;"",COUNTIFS($AH$2:AH2084,AH2084,$AJ$2:AJ2084,1)=1),N(AL2083)+1,"")</f>
        <v/>
      </c>
      <c r="AL2084" s="54">
        <f>IF(AK2084&lt;&gt;"",AK2084,N(AL2083))</f>
        <v/>
      </c>
    </row>
    <row r="2085">
      <c r="A2085" t="inlineStr">
        <is>
          <t>PRD-0695</t>
        </is>
      </c>
      <c r="B2085" t="inlineStr">
        <is>
          <t>Production</t>
        </is>
      </c>
      <c r="AB2085" t="n">
        <v>695</v>
      </c>
      <c r="AD2085" s="52">
        <f>IFERROR(N(IFERROR(INDEX($A2085:$AB2085,MATCH("Xero Invoiced Ex GST",$A$1:$AB$1,0)),"")),0)</f>
        <v/>
      </c>
      <c r="AE2085" s="53">
        <f>IFERROR(INDEX($A2085:$AB2085,MATCH("Xero Invoice Date",$A$1:$AB$1,0)),"")</f>
        <v/>
      </c>
      <c r="AF2085" s="54">
        <f>IF(AND(IFERROR(INDEX($A2085:$AB2085,MATCH("Xero Invoice No",$A$1:$AB$1,0)),"")&amp;""&lt;&gt;"",ISNUMBER(AE2085),AD2085&lt;&gt;0),1,0)</f>
        <v/>
      </c>
      <c r="AG2085" s="55">
        <f>IF(AF2085=1,EOMONTH(AE2085,0),"")</f>
        <v/>
      </c>
      <c r="AH2085" s="9">
        <f>IF(AF2085=1,UPPER(TRIM(IFERROR(INDEX($A2085:$AB2085,MATCH("Client",$A$1:$AB$1,0)),"")&amp;"")),"")</f>
        <v/>
      </c>
      <c r="AI2085" s="9">
        <f>IF(AF2085=1,IFERROR(INDEX($A2085:$AB2085,MATCH("Cost Centre",$A$1:$AB$1,0)),"")&amp;"","")</f>
        <v/>
      </c>
      <c r="AJ2085" s="54">
        <f>IF(AND(AF2085=1,AE2085&gt;=set_FYStart,AE2085&lt;=set_AsAt),1,0)</f>
        <v/>
      </c>
      <c r="AK2085" s="54">
        <f>IF(AND(AJ2085=1,AH2085&lt;&gt;"",COUNTIFS($AH$2:AH2085,AH2085,$AJ$2:AJ2085,1)=1),N(AL2084)+1,"")</f>
        <v/>
      </c>
      <c r="AL2085" s="54">
        <f>IF(AK2085&lt;&gt;"",AK2085,N(AL2084))</f>
        <v/>
      </c>
    </row>
    <row r="2086">
      <c r="A2086" t="inlineStr">
        <is>
          <t>CON-0695</t>
        </is>
      </c>
      <c r="B2086" t="inlineStr">
        <is>
          <t>Consulting</t>
        </is>
      </c>
      <c r="AB2086" t="n">
        <v>695</v>
      </c>
      <c r="AD2086" s="52">
        <f>IFERROR(N(IFERROR(INDEX($A2086:$AB2086,MATCH("Xero Invoiced Ex GST",$A$1:$AB$1,0)),"")),0)</f>
        <v/>
      </c>
      <c r="AE2086" s="53">
        <f>IFERROR(INDEX($A2086:$AB2086,MATCH("Xero Invoice Date",$A$1:$AB$1,0)),"")</f>
        <v/>
      </c>
      <c r="AF2086" s="54">
        <f>IF(AND(IFERROR(INDEX($A2086:$AB2086,MATCH("Xero Invoice No",$A$1:$AB$1,0)),"")&amp;""&lt;&gt;"",ISNUMBER(AE2086),AD2086&lt;&gt;0),1,0)</f>
        <v/>
      </c>
      <c r="AG2086" s="55">
        <f>IF(AF2086=1,EOMONTH(AE2086,0),"")</f>
        <v/>
      </c>
      <c r="AH2086" s="9">
        <f>IF(AF2086=1,UPPER(TRIM(IFERROR(INDEX($A2086:$AB2086,MATCH("Client",$A$1:$AB$1,0)),"")&amp;"")),"")</f>
        <v/>
      </c>
      <c r="AI2086" s="9">
        <f>IF(AF2086=1,IFERROR(INDEX($A2086:$AB2086,MATCH("Cost Centre",$A$1:$AB$1,0)),"")&amp;"","")</f>
        <v/>
      </c>
      <c r="AJ2086" s="54">
        <f>IF(AND(AF2086=1,AE2086&gt;=set_FYStart,AE2086&lt;=set_AsAt),1,0)</f>
        <v/>
      </c>
      <c r="AK2086" s="54">
        <f>IF(AND(AJ2086=1,AH2086&lt;&gt;"",COUNTIFS($AH$2:AH2086,AH2086,$AJ$2:AJ2086,1)=1),N(AL2085)+1,"")</f>
        <v/>
      </c>
      <c r="AL2086" s="54">
        <f>IF(AK2086&lt;&gt;"",AK2086,N(AL2085))</f>
        <v/>
      </c>
    </row>
    <row r="2087">
      <c r="A2087" t="inlineStr">
        <is>
          <t>ONS-0696</t>
        </is>
      </c>
      <c r="B2087" t="inlineStr">
        <is>
          <t>Onsite</t>
        </is>
      </c>
      <c r="AB2087" t="n">
        <v>696</v>
      </c>
      <c r="AD2087" s="52">
        <f>IFERROR(N(IFERROR(INDEX($A2087:$AB2087,MATCH("Xero Invoiced Ex GST",$A$1:$AB$1,0)),"")),0)</f>
        <v/>
      </c>
      <c r="AE2087" s="53">
        <f>IFERROR(INDEX($A2087:$AB2087,MATCH("Xero Invoice Date",$A$1:$AB$1,0)),"")</f>
        <v/>
      </c>
      <c r="AF2087" s="54">
        <f>IF(AND(IFERROR(INDEX($A2087:$AB2087,MATCH("Xero Invoice No",$A$1:$AB$1,0)),"")&amp;""&lt;&gt;"",ISNUMBER(AE2087),AD2087&lt;&gt;0),1,0)</f>
        <v/>
      </c>
      <c r="AG2087" s="55">
        <f>IF(AF2087=1,EOMONTH(AE2087,0),"")</f>
        <v/>
      </c>
      <c r="AH2087" s="9">
        <f>IF(AF2087=1,UPPER(TRIM(IFERROR(INDEX($A2087:$AB2087,MATCH("Client",$A$1:$AB$1,0)),"")&amp;"")),"")</f>
        <v/>
      </c>
      <c r="AI2087" s="9">
        <f>IF(AF2087=1,IFERROR(INDEX($A2087:$AB2087,MATCH("Cost Centre",$A$1:$AB$1,0)),"")&amp;"","")</f>
        <v/>
      </c>
      <c r="AJ2087" s="54">
        <f>IF(AND(AF2087=1,AE2087&gt;=set_FYStart,AE2087&lt;=set_AsAt),1,0)</f>
        <v/>
      </c>
      <c r="AK2087" s="54">
        <f>IF(AND(AJ2087=1,AH2087&lt;&gt;"",COUNTIFS($AH$2:AH2087,AH2087,$AJ$2:AJ2087,1)=1),N(AL2086)+1,"")</f>
        <v/>
      </c>
      <c r="AL2087" s="54">
        <f>IF(AK2087&lt;&gt;"",AK2087,N(AL2086))</f>
        <v/>
      </c>
    </row>
    <row r="2088">
      <c r="A2088" t="inlineStr">
        <is>
          <t>PRD-0696</t>
        </is>
      </c>
      <c r="B2088" t="inlineStr">
        <is>
          <t>Production</t>
        </is>
      </c>
      <c r="AB2088" t="n">
        <v>696</v>
      </c>
      <c r="AD2088" s="52">
        <f>IFERROR(N(IFERROR(INDEX($A2088:$AB2088,MATCH("Xero Invoiced Ex GST",$A$1:$AB$1,0)),"")),0)</f>
        <v/>
      </c>
      <c r="AE2088" s="53">
        <f>IFERROR(INDEX($A2088:$AB2088,MATCH("Xero Invoice Date",$A$1:$AB$1,0)),"")</f>
        <v/>
      </c>
      <c r="AF2088" s="54">
        <f>IF(AND(IFERROR(INDEX($A2088:$AB2088,MATCH("Xero Invoice No",$A$1:$AB$1,0)),"")&amp;""&lt;&gt;"",ISNUMBER(AE2088),AD2088&lt;&gt;0),1,0)</f>
        <v/>
      </c>
      <c r="AG2088" s="55">
        <f>IF(AF2088=1,EOMONTH(AE2088,0),"")</f>
        <v/>
      </c>
      <c r="AH2088" s="9">
        <f>IF(AF2088=1,UPPER(TRIM(IFERROR(INDEX($A2088:$AB2088,MATCH("Client",$A$1:$AB$1,0)),"")&amp;"")),"")</f>
        <v/>
      </c>
      <c r="AI2088" s="9">
        <f>IF(AF2088=1,IFERROR(INDEX($A2088:$AB2088,MATCH("Cost Centre",$A$1:$AB$1,0)),"")&amp;"","")</f>
        <v/>
      </c>
      <c r="AJ2088" s="54">
        <f>IF(AND(AF2088=1,AE2088&gt;=set_FYStart,AE2088&lt;=set_AsAt),1,0)</f>
        <v/>
      </c>
      <c r="AK2088" s="54">
        <f>IF(AND(AJ2088=1,AH2088&lt;&gt;"",COUNTIFS($AH$2:AH2088,AH2088,$AJ$2:AJ2088,1)=1),N(AL2087)+1,"")</f>
        <v/>
      </c>
      <c r="AL2088" s="54">
        <f>IF(AK2088&lt;&gt;"",AK2088,N(AL2087))</f>
        <v/>
      </c>
    </row>
    <row r="2089">
      <c r="A2089" t="inlineStr">
        <is>
          <t>CON-0696</t>
        </is>
      </c>
      <c r="B2089" t="inlineStr">
        <is>
          <t>Consulting</t>
        </is>
      </c>
      <c r="AB2089" t="n">
        <v>696</v>
      </c>
      <c r="AD2089" s="52">
        <f>IFERROR(N(IFERROR(INDEX($A2089:$AB2089,MATCH("Xero Invoiced Ex GST",$A$1:$AB$1,0)),"")),0)</f>
        <v/>
      </c>
      <c r="AE2089" s="53">
        <f>IFERROR(INDEX($A2089:$AB2089,MATCH("Xero Invoice Date",$A$1:$AB$1,0)),"")</f>
        <v/>
      </c>
      <c r="AF2089" s="54">
        <f>IF(AND(IFERROR(INDEX($A2089:$AB2089,MATCH("Xero Invoice No",$A$1:$AB$1,0)),"")&amp;""&lt;&gt;"",ISNUMBER(AE2089),AD2089&lt;&gt;0),1,0)</f>
        <v/>
      </c>
      <c r="AG2089" s="55">
        <f>IF(AF2089=1,EOMONTH(AE2089,0),"")</f>
        <v/>
      </c>
      <c r="AH2089" s="9">
        <f>IF(AF2089=1,UPPER(TRIM(IFERROR(INDEX($A2089:$AB2089,MATCH("Client",$A$1:$AB$1,0)),"")&amp;"")),"")</f>
        <v/>
      </c>
      <c r="AI2089" s="9">
        <f>IF(AF2089=1,IFERROR(INDEX($A2089:$AB2089,MATCH("Cost Centre",$A$1:$AB$1,0)),"")&amp;"","")</f>
        <v/>
      </c>
      <c r="AJ2089" s="54">
        <f>IF(AND(AF2089=1,AE2089&gt;=set_FYStart,AE2089&lt;=set_AsAt),1,0)</f>
        <v/>
      </c>
      <c r="AK2089" s="54">
        <f>IF(AND(AJ2089=1,AH2089&lt;&gt;"",COUNTIFS($AH$2:AH2089,AH2089,$AJ$2:AJ2089,1)=1),N(AL2088)+1,"")</f>
        <v/>
      </c>
      <c r="AL2089" s="54">
        <f>IF(AK2089&lt;&gt;"",AK2089,N(AL2088))</f>
        <v/>
      </c>
    </row>
    <row r="2090">
      <c r="A2090" t="inlineStr">
        <is>
          <t>ONS-0697</t>
        </is>
      </c>
      <c r="B2090" t="inlineStr">
        <is>
          <t>Onsite</t>
        </is>
      </c>
      <c r="AB2090" t="n">
        <v>697</v>
      </c>
      <c r="AD2090" s="52">
        <f>IFERROR(N(IFERROR(INDEX($A2090:$AB2090,MATCH("Xero Invoiced Ex GST",$A$1:$AB$1,0)),"")),0)</f>
        <v/>
      </c>
      <c r="AE2090" s="53">
        <f>IFERROR(INDEX($A2090:$AB2090,MATCH("Xero Invoice Date",$A$1:$AB$1,0)),"")</f>
        <v/>
      </c>
      <c r="AF2090" s="54">
        <f>IF(AND(IFERROR(INDEX($A2090:$AB2090,MATCH("Xero Invoice No",$A$1:$AB$1,0)),"")&amp;""&lt;&gt;"",ISNUMBER(AE2090),AD2090&lt;&gt;0),1,0)</f>
        <v/>
      </c>
      <c r="AG2090" s="55">
        <f>IF(AF2090=1,EOMONTH(AE2090,0),"")</f>
        <v/>
      </c>
      <c r="AH2090" s="9">
        <f>IF(AF2090=1,UPPER(TRIM(IFERROR(INDEX($A2090:$AB2090,MATCH("Client",$A$1:$AB$1,0)),"")&amp;"")),"")</f>
        <v/>
      </c>
      <c r="AI2090" s="9">
        <f>IF(AF2090=1,IFERROR(INDEX($A2090:$AB2090,MATCH("Cost Centre",$A$1:$AB$1,0)),"")&amp;"","")</f>
        <v/>
      </c>
      <c r="AJ2090" s="54">
        <f>IF(AND(AF2090=1,AE2090&gt;=set_FYStart,AE2090&lt;=set_AsAt),1,0)</f>
        <v/>
      </c>
      <c r="AK2090" s="54">
        <f>IF(AND(AJ2090=1,AH2090&lt;&gt;"",COUNTIFS($AH$2:AH2090,AH2090,$AJ$2:AJ2090,1)=1),N(AL2089)+1,"")</f>
        <v/>
      </c>
      <c r="AL2090" s="54">
        <f>IF(AK2090&lt;&gt;"",AK2090,N(AL2089))</f>
        <v/>
      </c>
    </row>
    <row r="2091">
      <c r="A2091" t="inlineStr">
        <is>
          <t>PRD-0697</t>
        </is>
      </c>
      <c r="B2091" t="inlineStr">
        <is>
          <t>Production</t>
        </is>
      </c>
      <c r="AB2091" t="n">
        <v>697</v>
      </c>
      <c r="AD2091" s="52">
        <f>IFERROR(N(IFERROR(INDEX($A2091:$AB2091,MATCH("Xero Invoiced Ex GST",$A$1:$AB$1,0)),"")),0)</f>
        <v/>
      </c>
      <c r="AE2091" s="53">
        <f>IFERROR(INDEX($A2091:$AB2091,MATCH("Xero Invoice Date",$A$1:$AB$1,0)),"")</f>
        <v/>
      </c>
      <c r="AF2091" s="54">
        <f>IF(AND(IFERROR(INDEX($A2091:$AB2091,MATCH("Xero Invoice No",$A$1:$AB$1,0)),"")&amp;""&lt;&gt;"",ISNUMBER(AE2091),AD2091&lt;&gt;0),1,0)</f>
        <v/>
      </c>
      <c r="AG2091" s="55">
        <f>IF(AF2091=1,EOMONTH(AE2091,0),"")</f>
        <v/>
      </c>
      <c r="AH2091" s="9">
        <f>IF(AF2091=1,UPPER(TRIM(IFERROR(INDEX($A2091:$AB2091,MATCH("Client",$A$1:$AB$1,0)),"")&amp;"")),"")</f>
        <v/>
      </c>
      <c r="AI2091" s="9">
        <f>IF(AF2091=1,IFERROR(INDEX($A2091:$AB2091,MATCH("Cost Centre",$A$1:$AB$1,0)),"")&amp;"","")</f>
        <v/>
      </c>
      <c r="AJ2091" s="54">
        <f>IF(AND(AF2091=1,AE2091&gt;=set_FYStart,AE2091&lt;=set_AsAt),1,0)</f>
        <v/>
      </c>
      <c r="AK2091" s="54">
        <f>IF(AND(AJ2091=1,AH2091&lt;&gt;"",COUNTIFS($AH$2:AH2091,AH2091,$AJ$2:AJ2091,1)=1),N(AL2090)+1,"")</f>
        <v/>
      </c>
      <c r="AL2091" s="54">
        <f>IF(AK2091&lt;&gt;"",AK2091,N(AL2090))</f>
        <v/>
      </c>
    </row>
    <row r="2092">
      <c r="A2092" t="inlineStr">
        <is>
          <t>CON-0697</t>
        </is>
      </c>
      <c r="B2092" t="inlineStr">
        <is>
          <t>Consulting</t>
        </is>
      </c>
      <c r="AB2092" t="n">
        <v>697</v>
      </c>
      <c r="AD2092" s="52">
        <f>IFERROR(N(IFERROR(INDEX($A2092:$AB2092,MATCH("Xero Invoiced Ex GST",$A$1:$AB$1,0)),"")),0)</f>
        <v/>
      </c>
      <c r="AE2092" s="53">
        <f>IFERROR(INDEX($A2092:$AB2092,MATCH("Xero Invoice Date",$A$1:$AB$1,0)),"")</f>
        <v/>
      </c>
      <c r="AF2092" s="54">
        <f>IF(AND(IFERROR(INDEX($A2092:$AB2092,MATCH("Xero Invoice No",$A$1:$AB$1,0)),"")&amp;""&lt;&gt;"",ISNUMBER(AE2092),AD2092&lt;&gt;0),1,0)</f>
        <v/>
      </c>
      <c r="AG2092" s="55">
        <f>IF(AF2092=1,EOMONTH(AE2092,0),"")</f>
        <v/>
      </c>
      <c r="AH2092" s="9">
        <f>IF(AF2092=1,UPPER(TRIM(IFERROR(INDEX($A2092:$AB2092,MATCH("Client",$A$1:$AB$1,0)),"")&amp;"")),"")</f>
        <v/>
      </c>
      <c r="AI2092" s="9">
        <f>IF(AF2092=1,IFERROR(INDEX($A2092:$AB2092,MATCH("Cost Centre",$A$1:$AB$1,0)),"")&amp;"","")</f>
        <v/>
      </c>
      <c r="AJ2092" s="54">
        <f>IF(AND(AF2092=1,AE2092&gt;=set_FYStart,AE2092&lt;=set_AsAt),1,0)</f>
        <v/>
      </c>
      <c r="AK2092" s="54">
        <f>IF(AND(AJ2092=1,AH2092&lt;&gt;"",COUNTIFS($AH$2:AH2092,AH2092,$AJ$2:AJ2092,1)=1),N(AL2091)+1,"")</f>
        <v/>
      </c>
      <c r="AL2092" s="54">
        <f>IF(AK2092&lt;&gt;"",AK2092,N(AL2091))</f>
        <v/>
      </c>
    </row>
    <row r="2093">
      <c r="A2093" t="inlineStr">
        <is>
          <t>ONS-0698</t>
        </is>
      </c>
      <c r="B2093" t="inlineStr">
        <is>
          <t>Onsite</t>
        </is>
      </c>
      <c r="AB2093" t="n">
        <v>698</v>
      </c>
      <c r="AD2093" s="52">
        <f>IFERROR(N(IFERROR(INDEX($A2093:$AB2093,MATCH("Xero Invoiced Ex GST",$A$1:$AB$1,0)),"")),0)</f>
        <v/>
      </c>
      <c r="AE2093" s="53">
        <f>IFERROR(INDEX($A2093:$AB2093,MATCH("Xero Invoice Date",$A$1:$AB$1,0)),"")</f>
        <v/>
      </c>
      <c r="AF2093" s="54">
        <f>IF(AND(IFERROR(INDEX($A2093:$AB2093,MATCH("Xero Invoice No",$A$1:$AB$1,0)),"")&amp;""&lt;&gt;"",ISNUMBER(AE2093),AD2093&lt;&gt;0),1,0)</f>
        <v/>
      </c>
      <c r="AG2093" s="55">
        <f>IF(AF2093=1,EOMONTH(AE2093,0),"")</f>
        <v/>
      </c>
      <c r="AH2093" s="9">
        <f>IF(AF2093=1,UPPER(TRIM(IFERROR(INDEX($A2093:$AB2093,MATCH("Client",$A$1:$AB$1,0)),"")&amp;"")),"")</f>
        <v/>
      </c>
      <c r="AI2093" s="9">
        <f>IF(AF2093=1,IFERROR(INDEX($A2093:$AB2093,MATCH("Cost Centre",$A$1:$AB$1,0)),"")&amp;"","")</f>
        <v/>
      </c>
      <c r="AJ2093" s="54">
        <f>IF(AND(AF2093=1,AE2093&gt;=set_FYStart,AE2093&lt;=set_AsAt),1,0)</f>
        <v/>
      </c>
      <c r="AK2093" s="54">
        <f>IF(AND(AJ2093=1,AH2093&lt;&gt;"",COUNTIFS($AH$2:AH2093,AH2093,$AJ$2:AJ2093,1)=1),N(AL2092)+1,"")</f>
        <v/>
      </c>
      <c r="AL2093" s="54">
        <f>IF(AK2093&lt;&gt;"",AK2093,N(AL2092))</f>
        <v/>
      </c>
    </row>
    <row r="2094">
      <c r="A2094" t="inlineStr">
        <is>
          <t>PRD-0698</t>
        </is>
      </c>
      <c r="B2094" t="inlineStr">
        <is>
          <t>Production</t>
        </is>
      </c>
      <c r="AB2094" t="n">
        <v>698</v>
      </c>
      <c r="AD2094" s="52">
        <f>IFERROR(N(IFERROR(INDEX($A2094:$AB2094,MATCH("Xero Invoiced Ex GST",$A$1:$AB$1,0)),"")),0)</f>
        <v/>
      </c>
      <c r="AE2094" s="53">
        <f>IFERROR(INDEX($A2094:$AB2094,MATCH("Xero Invoice Date",$A$1:$AB$1,0)),"")</f>
        <v/>
      </c>
      <c r="AF2094" s="54">
        <f>IF(AND(IFERROR(INDEX($A2094:$AB2094,MATCH("Xero Invoice No",$A$1:$AB$1,0)),"")&amp;""&lt;&gt;"",ISNUMBER(AE2094),AD2094&lt;&gt;0),1,0)</f>
        <v/>
      </c>
      <c r="AG2094" s="55">
        <f>IF(AF2094=1,EOMONTH(AE2094,0),"")</f>
        <v/>
      </c>
      <c r="AH2094" s="9">
        <f>IF(AF2094=1,UPPER(TRIM(IFERROR(INDEX($A2094:$AB2094,MATCH("Client",$A$1:$AB$1,0)),"")&amp;"")),"")</f>
        <v/>
      </c>
      <c r="AI2094" s="9">
        <f>IF(AF2094=1,IFERROR(INDEX($A2094:$AB2094,MATCH("Cost Centre",$A$1:$AB$1,0)),"")&amp;"","")</f>
        <v/>
      </c>
      <c r="AJ2094" s="54">
        <f>IF(AND(AF2094=1,AE2094&gt;=set_FYStart,AE2094&lt;=set_AsAt),1,0)</f>
        <v/>
      </c>
      <c r="AK2094" s="54">
        <f>IF(AND(AJ2094=1,AH2094&lt;&gt;"",COUNTIFS($AH$2:AH2094,AH2094,$AJ$2:AJ2094,1)=1),N(AL2093)+1,"")</f>
        <v/>
      </c>
      <c r="AL2094" s="54">
        <f>IF(AK2094&lt;&gt;"",AK2094,N(AL2093))</f>
        <v/>
      </c>
    </row>
    <row r="2095">
      <c r="A2095" t="inlineStr">
        <is>
          <t>CON-0698</t>
        </is>
      </c>
      <c r="B2095" t="inlineStr">
        <is>
          <t>Consulting</t>
        </is>
      </c>
      <c r="AB2095" t="n">
        <v>698</v>
      </c>
      <c r="AD2095" s="52">
        <f>IFERROR(N(IFERROR(INDEX($A2095:$AB2095,MATCH("Xero Invoiced Ex GST",$A$1:$AB$1,0)),"")),0)</f>
        <v/>
      </c>
      <c r="AE2095" s="53">
        <f>IFERROR(INDEX($A2095:$AB2095,MATCH("Xero Invoice Date",$A$1:$AB$1,0)),"")</f>
        <v/>
      </c>
      <c r="AF2095" s="54">
        <f>IF(AND(IFERROR(INDEX($A2095:$AB2095,MATCH("Xero Invoice No",$A$1:$AB$1,0)),"")&amp;""&lt;&gt;"",ISNUMBER(AE2095),AD2095&lt;&gt;0),1,0)</f>
        <v/>
      </c>
      <c r="AG2095" s="55">
        <f>IF(AF2095=1,EOMONTH(AE2095,0),"")</f>
        <v/>
      </c>
      <c r="AH2095" s="9">
        <f>IF(AF2095=1,UPPER(TRIM(IFERROR(INDEX($A2095:$AB2095,MATCH("Client",$A$1:$AB$1,0)),"")&amp;"")),"")</f>
        <v/>
      </c>
      <c r="AI2095" s="9">
        <f>IF(AF2095=1,IFERROR(INDEX($A2095:$AB2095,MATCH("Cost Centre",$A$1:$AB$1,0)),"")&amp;"","")</f>
        <v/>
      </c>
      <c r="AJ2095" s="54">
        <f>IF(AND(AF2095=1,AE2095&gt;=set_FYStart,AE2095&lt;=set_AsAt),1,0)</f>
        <v/>
      </c>
      <c r="AK2095" s="54">
        <f>IF(AND(AJ2095=1,AH2095&lt;&gt;"",COUNTIFS($AH$2:AH2095,AH2095,$AJ$2:AJ2095,1)=1),N(AL2094)+1,"")</f>
        <v/>
      </c>
      <c r="AL2095" s="54">
        <f>IF(AK2095&lt;&gt;"",AK2095,N(AL2094))</f>
        <v/>
      </c>
    </row>
    <row r="2096">
      <c r="A2096" t="inlineStr">
        <is>
          <t>ONS-0699</t>
        </is>
      </c>
      <c r="B2096" t="inlineStr">
        <is>
          <t>Onsite</t>
        </is>
      </c>
      <c r="AB2096" t="n">
        <v>699</v>
      </c>
      <c r="AD2096" s="52">
        <f>IFERROR(N(IFERROR(INDEX($A2096:$AB2096,MATCH("Xero Invoiced Ex GST",$A$1:$AB$1,0)),"")),0)</f>
        <v/>
      </c>
      <c r="AE2096" s="53">
        <f>IFERROR(INDEX($A2096:$AB2096,MATCH("Xero Invoice Date",$A$1:$AB$1,0)),"")</f>
        <v/>
      </c>
      <c r="AF2096" s="54">
        <f>IF(AND(IFERROR(INDEX($A2096:$AB2096,MATCH("Xero Invoice No",$A$1:$AB$1,0)),"")&amp;""&lt;&gt;"",ISNUMBER(AE2096),AD2096&lt;&gt;0),1,0)</f>
        <v/>
      </c>
      <c r="AG2096" s="55">
        <f>IF(AF2096=1,EOMONTH(AE2096,0),"")</f>
        <v/>
      </c>
      <c r="AH2096" s="9">
        <f>IF(AF2096=1,UPPER(TRIM(IFERROR(INDEX($A2096:$AB2096,MATCH("Client",$A$1:$AB$1,0)),"")&amp;"")),"")</f>
        <v/>
      </c>
      <c r="AI2096" s="9">
        <f>IF(AF2096=1,IFERROR(INDEX($A2096:$AB2096,MATCH("Cost Centre",$A$1:$AB$1,0)),"")&amp;"","")</f>
        <v/>
      </c>
      <c r="AJ2096" s="54">
        <f>IF(AND(AF2096=1,AE2096&gt;=set_FYStart,AE2096&lt;=set_AsAt),1,0)</f>
        <v/>
      </c>
      <c r="AK2096" s="54">
        <f>IF(AND(AJ2096=1,AH2096&lt;&gt;"",COUNTIFS($AH$2:AH2096,AH2096,$AJ$2:AJ2096,1)=1),N(AL2095)+1,"")</f>
        <v/>
      </c>
      <c r="AL2096" s="54">
        <f>IF(AK2096&lt;&gt;"",AK2096,N(AL2095))</f>
        <v/>
      </c>
    </row>
    <row r="2097">
      <c r="A2097" t="inlineStr">
        <is>
          <t>PRD-0699</t>
        </is>
      </c>
      <c r="B2097" t="inlineStr">
        <is>
          <t>Production</t>
        </is>
      </c>
      <c r="AB2097" t="n">
        <v>699</v>
      </c>
      <c r="AD2097" s="52">
        <f>IFERROR(N(IFERROR(INDEX($A2097:$AB2097,MATCH("Xero Invoiced Ex GST",$A$1:$AB$1,0)),"")),0)</f>
        <v/>
      </c>
      <c r="AE2097" s="53">
        <f>IFERROR(INDEX($A2097:$AB2097,MATCH("Xero Invoice Date",$A$1:$AB$1,0)),"")</f>
        <v/>
      </c>
      <c r="AF2097" s="54">
        <f>IF(AND(IFERROR(INDEX($A2097:$AB2097,MATCH("Xero Invoice No",$A$1:$AB$1,0)),"")&amp;""&lt;&gt;"",ISNUMBER(AE2097),AD2097&lt;&gt;0),1,0)</f>
        <v/>
      </c>
      <c r="AG2097" s="55">
        <f>IF(AF2097=1,EOMONTH(AE2097,0),"")</f>
        <v/>
      </c>
      <c r="AH2097" s="9">
        <f>IF(AF2097=1,UPPER(TRIM(IFERROR(INDEX($A2097:$AB2097,MATCH("Client",$A$1:$AB$1,0)),"")&amp;"")),"")</f>
        <v/>
      </c>
      <c r="AI2097" s="9">
        <f>IF(AF2097=1,IFERROR(INDEX($A2097:$AB2097,MATCH("Cost Centre",$A$1:$AB$1,0)),"")&amp;"","")</f>
        <v/>
      </c>
      <c r="AJ2097" s="54">
        <f>IF(AND(AF2097=1,AE2097&gt;=set_FYStart,AE2097&lt;=set_AsAt),1,0)</f>
        <v/>
      </c>
      <c r="AK2097" s="54">
        <f>IF(AND(AJ2097=1,AH2097&lt;&gt;"",COUNTIFS($AH$2:AH2097,AH2097,$AJ$2:AJ2097,1)=1),N(AL2096)+1,"")</f>
        <v/>
      </c>
      <c r="AL2097" s="54">
        <f>IF(AK2097&lt;&gt;"",AK2097,N(AL2096))</f>
        <v/>
      </c>
    </row>
    <row r="2098">
      <c r="A2098" t="inlineStr">
        <is>
          <t>CON-0699</t>
        </is>
      </c>
      <c r="B2098" t="inlineStr">
        <is>
          <t>Consulting</t>
        </is>
      </c>
      <c r="AB2098" t="n">
        <v>699</v>
      </c>
      <c r="AD2098" s="52">
        <f>IFERROR(N(IFERROR(INDEX($A2098:$AB2098,MATCH("Xero Invoiced Ex GST",$A$1:$AB$1,0)),"")),0)</f>
        <v/>
      </c>
      <c r="AE2098" s="53">
        <f>IFERROR(INDEX($A2098:$AB2098,MATCH("Xero Invoice Date",$A$1:$AB$1,0)),"")</f>
        <v/>
      </c>
      <c r="AF2098" s="54">
        <f>IF(AND(IFERROR(INDEX($A2098:$AB2098,MATCH("Xero Invoice No",$A$1:$AB$1,0)),"")&amp;""&lt;&gt;"",ISNUMBER(AE2098),AD2098&lt;&gt;0),1,0)</f>
        <v/>
      </c>
      <c r="AG2098" s="55">
        <f>IF(AF2098=1,EOMONTH(AE2098,0),"")</f>
        <v/>
      </c>
      <c r="AH2098" s="9">
        <f>IF(AF2098=1,UPPER(TRIM(IFERROR(INDEX($A2098:$AB2098,MATCH("Client",$A$1:$AB$1,0)),"")&amp;"")),"")</f>
        <v/>
      </c>
      <c r="AI2098" s="9">
        <f>IF(AF2098=1,IFERROR(INDEX($A2098:$AB2098,MATCH("Cost Centre",$A$1:$AB$1,0)),"")&amp;"","")</f>
        <v/>
      </c>
      <c r="AJ2098" s="54">
        <f>IF(AND(AF2098=1,AE2098&gt;=set_FYStart,AE2098&lt;=set_AsAt),1,0)</f>
        <v/>
      </c>
      <c r="AK2098" s="54">
        <f>IF(AND(AJ2098=1,AH2098&lt;&gt;"",COUNTIFS($AH$2:AH2098,AH2098,$AJ$2:AJ2098,1)=1),N(AL2097)+1,"")</f>
        <v/>
      </c>
      <c r="AL2098" s="54">
        <f>IF(AK2098&lt;&gt;"",AK2098,N(AL2097))</f>
        <v/>
      </c>
    </row>
    <row r="2099">
      <c r="A2099" t="inlineStr">
        <is>
          <t>ONS-0700</t>
        </is>
      </c>
      <c r="B2099" t="inlineStr">
        <is>
          <t>Onsite</t>
        </is>
      </c>
      <c r="AB2099" t="n">
        <v>700</v>
      </c>
      <c r="AD2099" s="52">
        <f>IFERROR(N(IFERROR(INDEX($A2099:$AB2099,MATCH("Xero Invoiced Ex GST",$A$1:$AB$1,0)),"")),0)</f>
        <v/>
      </c>
      <c r="AE2099" s="53">
        <f>IFERROR(INDEX($A2099:$AB2099,MATCH("Xero Invoice Date",$A$1:$AB$1,0)),"")</f>
        <v/>
      </c>
      <c r="AF2099" s="54">
        <f>IF(AND(IFERROR(INDEX($A2099:$AB2099,MATCH("Xero Invoice No",$A$1:$AB$1,0)),"")&amp;""&lt;&gt;"",ISNUMBER(AE2099),AD2099&lt;&gt;0),1,0)</f>
        <v/>
      </c>
      <c r="AG2099" s="55">
        <f>IF(AF2099=1,EOMONTH(AE2099,0),"")</f>
        <v/>
      </c>
      <c r="AH2099" s="9">
        <f>IF(AF2099=1,UPPER(TRIM(IFERROR(INDEX($A2099:$AB2099,MATCH("Client",$A$1:$AB$1,0)),"")&amp;"")),"")</f>
        <v/>
      </c>
      <c r="AI2099" s="9">
        <f>IF(AF2099=1,IFERROR(INDEX($A2099:$AB2099,MATCH("Cost Centre",$A$1:$AB$1,0)),"")&amp;"","")</f>
        <v/>
      </c>
      <c r="AJ2099" s="54">
        <f>IF(AND(AF2099=1,AE2099&gt;=set_FYStart,AE2099&lt;=set_AsAt),1,0)</f>
        <v/>
      </c>
      <c r="AK2099" s="54">
        <f>IF(AND(AJ2099=1,AH2099&lt;&gt;"",COUNTIFS($AH$2:AH2099,AH2099,$AJ$2:AJ2099,1)=1),N(AL2098)+1,"")</f>
        <v/>
      </c>
      <c r="AL2099" s="54">
        <f>IF(AK2099&lt;&gt;"",AK2099,N(AL2098))</f>
        <v/>
      </c>
    </row>
    <row r="2100">
      <c r="A2100" t="inlineStr">
        <is>
          <t>PRD-0700</t>
        </is>
      </c>
      <c r="B2100" t="inlineStr">
        <is>
          <t>Production</t>
        </is>
      </c>
      <c r="AB2100" t="n">
        <v>700</v>
      </c>
      <c r="AD2100" s="52">
        <f>IFERROR(N(IFERROR(INDEX($A2100:$AB2100,MATCH("Xero Invoiced Ex GST",$A$1:$AB$1,0)),"")),0)</f>
        <v/>
      </c>
      <c r="AE2100" s="53">
        <f>IFERROR(INDEX($A2100:$AB2100,MATCH("Xero Invoice Date",$A$1:$AB$1,0)),"")</f>
        <v/>
      </c>
      <c r="AF2100" s="54">
        <f>IF(AND(IFERROR(INDEX($A2100:$AB2100,MATCH("Xero Invoice No",$A$1:$AB$1,0)),"")&amp;""&lt;&gt;"",ISNUMBER(AE2100),AD2100&lt;&gt;0),1,0)</f>
        <v/>
      </c>
      <c r="AG2100" s="55">
        <f>IF(AF2100=1,EOMONTH(AE2100,0),"")</f>
        <v/>
      </c>
      <c r="AH2100" s="9">
        <f>IF(AF2100=1,UPPER(TRIM(IFERROR(INDEX($A2100:$AB2100,MATCH("Client",$A$1:$AB$1,0)),"")&amp;"")),"")</f>
        <v/>
      </c>
      <c r="AI2100" s="9">
        <f>IF(AF2100=1,IFERROR(INDEX($A2100:$AB2100,MATCH("Cost Centre",$A$1:$AB$1,0)),"")&amp;"","")</f>
        <v/>
      </c>
      <c r="AJ2100" s="54">
        <f>IF(AND(AF2100=1,AE2100&gt;=set_FYStart,AE2100&lt;=set_AsAt),1,0)</f>
        <v/>
      </c>
      <c r="AK2100" s="54">
        <f>IF(AND(AJ2100=1,AH2100&lt;&gt;"",COUNTIFS($AH$2:AH2100,AH2100,$AJ$2:AJ2100,1)=1),N(AL2099)+1,"")</f>
        <v/>
      </c>
      <c r="AL2100" s="54">
        <f>IF(AK2100&lt;&gt;"",AK2100,N(AL2099))</f>
        <v/>
      </c>
    </row>
    <row r="2101">
      <c r="A2101" t="inlineStr">
        <is>
          <t>CON-0700</t>
        </is>
      </c>
      <c r="B2101" t="inlineStr">
        <is>
          <t>Consulting</t>
        </is>
      </c>
      <c r="AB2101" t="n">
        <v>700</v>
      </c>
      <c r="AD2101" s="52">
        <f>IFERROR(N(IFERROR(INDEX($A2101:$AB2101,MATCH("Xero Invoiced Ex GST",$A$1:$AB$1,0)),"")),0)</f>
        <v/>
      </c>
      <c r="AE2101" s="53">
        <f>IFERROR(INDEX($A2101:$AB2101,MATCH("Xero Invoice Date",$A$1:$AB$1,0)),"")</f>
        <v/>
      </c>
      <c r="AF2101" s="54">
        <f>IF(AND(IFERROR(INDEX($A2101:$AB2101,MATCH("Xero Invoice No",$A$1:$AB$1,0)),"")&amp;""&lt;&gt;"",ISNUMBER(AE2101),AD2101&lt;&gt;0),1,0)</f>
        <v/>
      </c>
      <c r="AG2101" s="55">
        <f>IF(AF2101=1,EOMONTH(AE2101,0),"")</f>
        <v/>
      </c>
      <c r="AH2101" s="9">
        <f>IF(AF2101=1,UPPER(TRIM(IFERROR(INDEX($A2101:$AB2101,MATCH("Client",$A$1:$AB$1,0)),"")&amp;"")),"")</f>
        <v/>
      </c>
      <c r="AI2101" s="9">
        <f>IF(AF2101=1,IFERROR(INDEX($A2101:$AB2101,MATCH("Cost Centre",$A$1:$AB$1,0)),"")&amp;"","")</f>
        <v/>
      </c>
      <c r="AJ2101" s="54">
        <f>IF(AND(AF2101=1,AE2101&gt;=set_FYStart,AE2101&lt;=set_AsAt),1,0)</f>
        <v/>
      </c>
      <c r="AK2101" s="54">
        <f>IF(AND(AJ2101=1,AH2101&lt;&gt;"",COUNTIFS($AH$2:AH2101,AH2101,$AJ$2:AJ2101,1)=1),N(AL2100)+1,"")</f>
        <v/>
      </c>
      <c r="AL2101" s="54">
        <f>IF(AK2101&lt;&gt;"",AK2101,N(AL2100))</f>
        <v/>
      </c>
    </row>
    <row r="2102">
      <c r="A2102" t="inlineStr">
        <is>
          <t>ONS-0701</t>
        </is>
      </c>
      <c r="B2102" t="inlineStr">
        <is>
          <t>Onsite</t>
        </is>
      </c>
      <c r="AB2102" t="n">
        <v>701</v>
      </c>
      <c r="AD2102" s="52">
        <f>IFERROR(N(IFERROR(INDEX($A2102:$AB2102,MATCH("Xero Invoiced Ex GST",$A$1:$AB$1,0)),"")),0)</f>
        <v/>
      </c>
      <c r="AE2102" s="53">
        <f>IFERROR(INDEX($A2102:$AB2102,MATCH("Xero Invoice Date",$A$1:$AB$1,0)),"")</f>
        <v/>
      </c>
      <c r="AF2102" s="54">
        <f>IF(AND(IFERROR(INDEX($A2102:$AB2102,MATCH("Xero Invoice No",$A$1:$AB$1,0)),"")&amp;""&lt;&gt;"",ISNUMBER(AE2102),AD2102&lt;&gt;0),1,0)</f>
        <v/>
      </c>
      <c r="AG2102" s="55">
        <f>IF(AF2102=1,EOMONTH(AE2102,0),"")</f>
        <v/>
      </c>
      <c r="AH2102" s="9">
        <f>IF(AF2102=1,UPPER(TRIM(IFERROR(INDEX($A2102:$AB2102,MATCH("Client",$A$1:$AB$1,0)),"")&amp;"")),"")</f>
        <v/>
      </c>
      <c r="AI2102" s="9">
        <f>IF(AF2102=1,IFERROR(INDEX($A2102:$AB2102,MATCH("Cost Centre",$A$1:$AB$1,0)),"")&amp;"","")</f>
        <v/>
      </c>
      <c r="AJ2102" s="54">
        <f>IF(AND(AF2102=1,AE2102&gt;=set_FYStart,AE2102&lt;=set_AsAt),1,0)</f>
        <v/>
      </c>
      <c r="AK2102" s="54">
        <f>IF(AND(AJ2102=1,AH2102&lt;&gt;"",COUNTIFS($AH$2:AH2102,AH2102,$AJ$2:AJ2102,1)=1),N(AL2101)+1,"")</f>
        <v/>
      </c>
      <c r="AL2102" s="54">
        <f>IF(AK2102&lt;&gt;"",AK2102,N(AL2101))</f>
        <v/>
      </c>
    </row>
    <row r="2103">
      <c r="A2103" t="inlineStr">
        <is>
          <t>PRD-0701</t>
        </is>
      </c>
      <c r="B2103" t="inlineStr">
        <is>
          <t>Production</t>
        </is>
      </c>
      <c r="AB2103" t="n">
        <v>701</v>
      </c>
      <c r="AD2103" s="52">
        <f>IFERROR(N(IFERROR(INDEX($A2103:$AB2103,MATCH("Xero Invoiced Ex GST",$A$1:$AB$1,0)),"")),0)</f>
        <v/>
      </c>
      <c r="AE2103" s="53">
        <f>IFERROR(INDEX($A2103:$AB2103,MATCH("Xero Invoice Date",$A$1:$AB$1,0)),"")</f>
        <v/>
      </c>
      <c r="AF2103" s="54">
        <f>IF(AND(IFERROR(INDEX($A2103:$AB2103,MATCH("Xero Invoice No",$A$1:$AB$1,0)),"")&amp;""&lt;&gt;"",ISNUMBER(AE2103),AD2103&lt;&gt;0),1,0)</f>
        <v/>
      </c>
      <c r="AG2103" s="55">
        <f>IF(AF2103=1,EOMONTH(AE2103,0),"")</f>
        <v/>
      </c>
      <c r="AH2103" s="9">
        <f>IF(AF2103=1,UPPER(TRIM(IFERROR(INDEX($A2103:$AB2103,MATCH("Client",$A$1:$AB$1,0)),"")&amp;"")),"")</f>
        <v/>
      </c>
      <c r="AI2103" s="9">
        <f>IF(AF2103=1,IFERROR(INDEX($A2103:$AB2103,MATCH("Cost Centre",$A$1:$AB$1,0)),"")&amp;"","")</f>
        <v/>
      </c>
      <c r="AJ2103" s="54">
        <f>IF(AND(AF2103=1,AE2103&gt;=set_FYStart,AE2103&lt;=set_AsAt),1,0)</f>
        <v/>
      </c>
      <c r="AK2103" s="54">
        <f>IF(AND(AJ2103=1,AH2103&lt;&gt;"",COUNTIFS($AH$2:AH2103,AH2103,$AJ$2:AJ2103,1)=1),N(AL2102)+1,"")</f>
        <v/>
      </c>
      <c r="AL2103" s="54">
        <f>IF(AK2103&lt;&gt;"",AK2103,N(AL2102))</f>
        <v/>
      </c>
    </row>
    <row r="2104">
      <c r="A2104" t="inlineStr">
        <is>
          <t>CON-0701</t>
        </is>
      </c>
      <c r="B2104" t="inlineStr">
        <is>
          <t>Consulting</t>
        </is>
      </c>
      <c r="AB2104" t="n">
        <v>701</v>
      </c>
      <c r="AD2104" s="52">
        <f>IFERROR(N(IFERROR(INDEX($A2104:$AB2104,MATCH("Xero Invoiced Ex GST",$A$1:$AB$1,0)),"")),0)</f>
        <v/>
      </c>
      <c r="AE2104" s="53">
        <f>IFERROR(INDEX($A2104:$AB2104,MATCH("Xero Invoice Date",$A$1:$AB$1,0)),"")</f>
        <v/>
      </c>
      <c r="AF2104" s="54">
        <f>IF(AND(IFERROR(INDEX($A2104:$AB2104,MATCH("Xero Invoice No",$A$1:$AB$1,0)),"")&amp;""&lt;&gt;"",ISNUMBER(AE2104),AD2104&lt;&gt;0),1,0)</f>
        <v/>
      </c>
      <c r="AG2104" s="55">
        <f>IF(AF2104=1,EOMONTH(AE2104,0),"")</f>
        <v/>
      </c>
      <c r="AH2104" s="9">
        <f>IF(AF2104=1,UPPER(TRIM(IFERROR(INDEX($A2104:$AB2104,MATCH("Client",$A$1:$AB$1,0)),"")&amp;"")),"")</f>
        <v/>
      </c>
      <c r="AI2104" s="9">
        <f>IF(AF2104=1,IFERROR(INDEX($A2104:$AB2104,MATCH("Cost Centre",$A$1:$AB$1,0)),"")&amp;"","")</f>
        <v/>
      </c>
      <c r="AJ2104" s="54">
        <f>IF(AND(AF2104=1,AE2104&gt;=set_FYStart,AE2104&lt;=set_AsAt),1,0)</f>
        <v/>
      </c>
      <c r="AK2104" s="54">
        <f>IF(AND(AJ2104=1,AH2104&lt;&gt;"",COUNTIFS($AH$2:AH2104,AH2104,$AJ$2:AJ2104,1)=1),N(AL2103)+1,"")</f>
        <v/>
      </c>
      <c r="AL2104" s="54">
        <f>IF(AK2104&lt;&gt;"",AK2104,N(AL2103))</f>
        <v/>
      </c>
    </row>
    <row r="2105">
      <c r="A2105" t="inlineStr">
        <is>
          <t>ONS-0702</t>
        </is>
      </c>
      <c r="B2105" t="inlineStr">
        <is>
          <t>Onsite</t>
        </is>
      </c>
      <c r="AB2105" t="n">
        <v>702</v>
      </c>
      <c r="AD2105" s="52">
        <f>IFERROR(N(IFERROR(INDEX($A2105:$AB2105,MATCH("Xero Invoiced Ex GST",$A$1:$AB$1,0)),"")),0)</f>
        <v/>
      </c>
      <c r="AE2105" s="53">
        <f>IFERROR(INDEX($A2105:$AB2105,MATCH("Xero Invoice Date",$A$1:$AB$1,0)),"")</f>
        <v/>
      </c>
      <c r="AF2105" s="54">
        <f>IF(AND(IFERROR(INDEX($A2105:$AB2105,MATCH("Xero Invoice No",$A$1:$AB$1,0)),"")&amp;""&lt;&gt;"",ISNUMBER(AE2105),AD2105&lt;&gt;0),1,0)</f>
        <v/>
      </c>
      <c r="AG2105" s="55">
        <f>IF(AF2105=1,EOMONTH(AE2105,0),"")</f>
        <v/>
      </c>
      <c r="AH2105" s="9">
        <f>IF(AF2105=1,UPPER(TRIM(IFERROR(INDEX($A2105:$AB2105,MATCH("Client",$A$1:$AB$1,0)),"")&amp;"")),"")</f>
        <v/>
      </c>
      <c r="AI2105" s="9">
        <f>IF(AF2105=1,IFERROR(INDEX($A2105:$AB2105,MATCH("Cost Centre",$A$1:$AB$1,0)),"")&amp;"","")</f>
        <v/>
      </c>
      <c r="AJ2105" s="54">
        <f>IF(AND(AF2105=1,AE2105&gt;=set_FYStart,AE2105&lt;=set_AsAt),1,0)</f>
        <v/>
      </c>
      <c r="AK2105" s="54">
        <f>IF(AND(AJ2105=1,AH2105&lt;&gt;"",COUNTIFS($AH$2:AH2105,AH2105,$AJ$2:AJ2105,1)=1),N(AL2104)+1,"")</f>
        <v/>
      </c>
      <c r="AL2105" s="54">
        <f>IF(AK2105&lt;&gt;"",AK2105,N(AL2104))</f>
        <v/>
      </c>
    </row>
    <row r="2106">
      <c r="A2106" t="inlineStr">
        <is>
          <t>PRD-0702</t>
        </is>
      </c>
      <c r="B2106" t="inlineStr">
        <is>
          <t>Production</t>
        </is>
      </c>
      <c r="AB2106" t="n">
        <v>702</v>
      </c>
      <c r="AD2106" s="52">
        <f>IFERROR(N(IFERROR(INDEX($A2106:$AB2106,MATCH("Xero Invoiced Ex GST",$A$1:$AB$1,0)),"")),0)</f>
        <v/>
      </c>
      <c r="AE2106" s="53">
        <f>IFERROR(INDEX($A2106:$AB2106,MATCH("Xero Invoice Date",$A$1:$AB$1,0)),"")</f>
        <v/>
      </c>
      <c r="AF2106" s="54">
        <f>IF(AND(IFERROR(INDEX($A2106:$AB2106,MATCH("Xero Invoice No",$A$1:$AB$1,0)),"")&amp;""&lt;&gt;"",ISNUMBER(AE2106),AD2106&lt;&gt;0),1,0)</f>
        <v/>
      </c>
      <c r="AG2106" s="55">
        <f>IF(AF2106=1,EOMONTH(AE2106,0),"")</f>
        <v/>
      </c>
      <c r="AH2106" s="9">
        <f>IF(AF2106=1,UPPER(TRIM(IFERROR(INDEX($A2106:$AB2106,MATCH("Client",$A$1:$AB$1,0)),"")&amp;"")),"")</f>
        <v/>
      </c>
      <c r="AI2106" s="9">
        <f>IF(AF2106=1,IFERROR(INDEX($A2106:$AB2106,MATCH("Cost Centre",$A$1:$AB$1,0)),"")&amp;"","")</f>
        <v/>
      </c>
      <c r="AJ2106" s="54">
        <f>IF(AND(AF2106=1,AE2106&gt;=set_FYStart,AE2106&lt;=set_AsAt),1,0)</f>
        <v/>
      </c>
      <c r="AK2106" s="54">
        <f>IF(AND(AJ2106=1,AH2106&lt;&gt;"",COUNTIFS($AH$2:AH2106,AH2106,$AJ$2:AJ2106,1)=1),N(AL2105)+1,"")</f>
        <v/>
      </c>
      <c r="AL2106" s="54">
        <f>IF(AK2106&lt;&gt;"",AK2106,N(AL2105))</f>
        <v/>
      </c>
    </row>
    <row r="2107">
      <c r="A2107" t="inlineStr">
        <is>
          <t>CON-0702</t>
        </is>
      </c>
      <c r="B2107" t="inlineStr">
        <is>
          <t>Consulting</t>
        </is>
      </c>
      <c r="AB2107" t="n">
        <v>702</v>
      </c>
      <c r="AD2107" s="52">
        <f>IFERROR(N(IFERROR(INDEX($A2107:$AB2107,MATCH("Xero Invoiced Ex GST",$A$1:$AB$1,0)),"")),0)</f>
        <v/>
      </c>
      <c r="AE2107" s="53">
        <f>IFERROR(INDEX($A2107:$AB2107,MATCH("Xero Invoice Date",$A$1:$AB$1,0)),"")</f>
        <v/>
      </c>
      <c r="AF2107" s="54">
        <f>IF(AND(IFERROR(INDEX($A2107:$AB2107,MATCH("Xero Invoice No",$A$1:$AB$1,0)),"")&amp;""&lt;&gt;"",ISNUMBER(AE2107),AD2107&lt;&gt;0),1,0)</f>
        <v/>
      </c>
      <c r="AG2107" s="55">
        <f>IF(AF2107=1,EOMONTH(AE2107,0),"")</f>
        <v/>
      </c>
      <c r="AH2107" s="9">
        <f>IF(AF2107=1,UPPER(TRIM(IFERROR(INDEX($A2107:$AB2107,MATCH("Client",$A$1:$AB$1,0)),"")&amp;"")),"")</f>
        <v/>
      </c>
      <c r="AI2107" s="9">
        <f>IF(AF2107=1,IFERROR(INDEX($A2107:$AB2107,MATCH("Cost Centre",$A$1:$AB$1,0)),"")&amp;"","")</f>
        <v/>
      </c>
      <c r="AJ2107" s="54">
        <f>IF(AND(AF2107=1,AE2107&gt;=set_FYStart,AE2107&lt;=set_AsAt),1,0)</f>
        <v/>
      </c>
      <c r="AK2107" s="54">
        <f>IF(AND(AJ2107=1,AH2107&lt;&gt;"",COUNTIFS($AH$2:AH2107,AH2107,$AJ$2:AJ2107,1)=1),N(AL2106)+1,"")</f>
        <v/>
      </c>
      <c r="AL2107" s="54">
        <f>IF(AK2107&lt;&gt;"",AK2107,N(AL2106))</f>
        <v/>
      </c>
    </row>
    <row r="2108">
      <c r="A2108" t="inlineStr">
        <is>
          <t>ONS-0703</t>
        </is>
      </c>
      <c r="B2108" t="inlineStr">
        <is>
          <t>Onsite</t>
        </is>
      </c>
      <c r="AB2108" t="n">
        <v>703</v>
      </c>
      <c r="AD2108" s="52">
        <f>IFERROR(N(IFERROR(INDEX($A2108:$AB2108,MATCH("Xero Invoiced Ex GST",$A$1:$AB$1,0)),"")),0)</f>
        <v/>
      </c>
      <c r="AE2108" s="53">
        <f>IFERROR(INDEX($A2108:$AB2108,MATCH("Xero Invoice Date",$A$1:$AB$1,0)),"")</f>
        <v/>
      </c>
      <c r="AF2108" s="54">
        <f>IF(AND(IFERROR(INDEX($A2108:$AB2108,MATCH("Xero Invoice No",$A$1:$AB$1,0)),"")&amp;""&lt;&gt;"",ISNUMBER(AE2108),AD2108&lt;&gt;0),1,0)</f>
        <v/>
      </c>
      <c r="AG2108" s="55">
        <f>IF(AF2108=1,EOMONTH(AE2108,0),"")</f>
        <v/>
      </c>
      <c r="AH2108" s="9">
        <f>IF(AF2108=1,UPPER(TRIM(IFERROR(INDEX($A2108:$AB2108,MATCH("Client",$A$1:$AB$1,0)),"")&amp;"")),"")</f>
        <v/>
      </c>
      <c r="AI2108" s="9">
        <f>IF(AF2108=1,IFERROR(INDEX($A2108:$AB2108,MATCH("Cost Centre",$A$1:$AB$1,0)),"")&amp;"","")</f>
        <v/>
      </c>
      <c r="AJ2108" s="54">
        <f>IF(AND(AF2108=1,AE2108&gt;=set_FYStart,AE2108&lt;=set_AsAt),1,0)</f>
        <v/>
      </c>
      <c r="AK2108" s="54">
        <f>IF(AND(AJ2108=1,AH2108&lt;&gt;"",COUNTIFS($AH$2:AH2108,AH2108,$AJ$2:AJ2108,1)=1),N(AL2107)+1,"")</f>
        <v/>
      </c>
      <c r="AL2108" s="54">
        <f>IF(AK2108&lt;&gt;"",AK2108,N(AL2107))</f>
        <v/>
      </c>
    </row>
    <row r="2109">
      <c r="A2109" t="inlineStr">
        <is>
          <t>PRD-0703</t>
        </is>
      </c>
      <c r="B2109" t="inlineStr">
        <is>
          <t>Production</t>
        </is>
      </c>
      <c r="AB2109" t="n">
        <v>703</v>
      </c>
      <c r="AD2109" s="52">
        <f>IFERROR(N(IFERROR(INDEX($A2109:$AB2109,MATCH("Xero Invoiced Ex GST",$A$1:$AB$1,0)),"")),0)</f>
        <v/>
      </c>
      <c r="AE2109" s="53">
        <f>IFERROR(INDEX($A2109:$AB2109,MATCH("Xero Invoice Date",$A$1:$AB$1,0)),"")</f>
        <v/>
      </c>
      <c r="AF2109" s="54">
        <f>IF(AND(IFERROR(INDEX($A2109:$AB2109,MATCH("Xero Invoice No",$A$1:$AB$1,0)),"")&amp;""&lt;&gt;"",ISNUMBER(AE2109),AD2109&lt;&gt;0),1,0)</f>
        <v/>
      </c>
      <c r="AG2109" s="55">
        <f>IF(AF2109=1,EOMONTH(AE2109,0),"")</f>
        <v/>
      </c>
      <c r="AH2109" s="9">
        <f>IF(AF2109=1,UPPER(TRIM(IFERROR(INDEX($A2109:$AB2109,MATCH("Client",$A$1:$AB$1,0)),"")&amp;"")),"")</f>
        <v/>
      </c>
      <c r="AI2109" s="9">
        <f>IF(AF2109=1,IFERROR(INDEX($A2109:$AB2109,MATCH("Cost Centre",$A$1:$AB$1,0)),"")&amp;"","")</f>
        <v/>
      </c>
      <c r="AJ2109" s="54">
        <f>IF(AND(AF2109=1,AE2109&gt;=set_FYStart,AE2109&lt;=set_AsAt),1,0)</f>
        <v/>
      </c>
      <c r="AK2109" s="54">
        <f>IF(AND(AJ2109=1,AH2109&lt;&gt;"",COUNTIFS($AH$2:AH2109,AH2109,$AJ$2:AJ2109,1)=1),N(AL2108)+1,"")</f>
        <v/>
      </c>
      <c r="AL2109" s="54">
        <f>IF(AK2109&lt;&gt;"",AK2109,N(AL2108))</f>
        <v/>
      </c>
    </row>
    <row r="2110">
      <c r="A2110" t="inlineStr">
        <is>
          <t>CON-0703</t>
        </is>
      </c>
      <c r="B2110" t="inlineStr">
        <is>
          <t>Consulting</t>
        </is>
      </c>
      <c r="AB2110" t="n">
        <v>703</v>
      </c>
      <c r="AD2110" s="52">
        <f>IFERROR(N(IFERROR(INDEX($A2110:$AB2110,MATCH("Xero Invoiced Ex GST",$A$1:$AB$1,0)),"")),0)</f>
        <v/>
      </c>
      <c r="AE2110" s="53">
        <f>IFERROR(INDEX($A2110:$AB2110,MATCH("Xero Invoice Date",$A$1:$AB$1,0)),"")</f>
        <v/>
      </c>
      <c r="AF2110" s="54">
        <f>IF(AND(IFERROR(INDEX($A2110:$AB2110,MATCH("Xero Invoice No",$A$1:$AB$1,0)),"")&amp;""&lt;&gt;"",ISNUMBER(AE2110),AD2110&lt;&gt;0),1,0)</f>
        <v/>
      </c>
      <c r="AG2110" s="55">
        <f>IF(AF2110=1,EOMONTH(AE2110,0),"")</f>
        <v/>
      </c>
      <c r="AH2110" s="9">
        <f>IF(AF2110=1,UPPER(TRIM(IFERROR(INDEX($A2110:$AB2110,MATCH("Client",$A$1:$AB$1,0)),"")&amp;"")),"")</f>
        <v/>
      </c>
      <c r="AI2110" s="9">
        <f>IF(AF2110=1,IFERROR(INDEX($A2110:$AB2110,MATCH("Cost Centre",$A$1:$AB$1,0)),"")&amp;"","")</f>
        <v/>
      </c>
      <c r="AJ2110" s="54">
        <f>IF(AND(AF2110=1,AE2110&gt;=set_FYStart,AE2110&lt;=set_AsAt),1,0)</f>
        <v/>
      </c>
      <c r="AK2110" s="54">
        <f>IF(AND(AJ2110=1,AH2110&lt;&gt;"",COUNTIFS($AH$2:AH2110,AH2110,$AJ$2:AJ2110,1)=1),N(AL2109)+1,"")</f>
        <v/>
      </c>
      <c r="AL2110" s="54">
        <f>IF(AK2110&lt;&gt;"",AK2110,N(AL2109))</f>
        <v/>
      </c>
    </row>
    <row r="2111">
      <c r="A2111" t="inlineStr">
        <is>
          <t>ONS-0704</t>
        </is>
      </c>
      <c r="B2111" t="inlineStr">
        <is>
          <t>Onsite</t>
        </is>
      </c>
      <c r="AB2111" t="n">
        <v>704</v>
      </c>
      <c r="AD2111" s="52">
        <f>IFERROR(N(IFERROR(INDEX($A2111:$AB2111,MATCH("Xero Invoiced Ex GST",$A$1:$AB$1,0)),"")),0)</f>
        <v/>
      </c>
      <c r="AE2111" s="53">
        <f>IFERROR(INDEX($A2111:$AB2111,MATCH("Xero Invoice Date",$A$1:$AB$1,0)),"")</f>
        <v/>
      </c>
      <c r="AF2111" s="54">
        <f>IF(AND(IFERROR(INDEX($A2111:$AB2111,MATCH("Xero Invoice No",$A$1:$AB$1,0)),"")&amp;""&lt;&gt;"",ISNUMBER(AE2111),AD2111&lt;&gt;0),1,0)</f>
        <v/>
      </c>
      <c r="AG2111" s="55">
        <f>IF(AF2111=1,EOMONTH(AE2111,0),"")</f>
        <v/>
      </c>
      <c r="AH2111" s="9">
        <f>IF(AF2111=1,UPPER(TRIM(IFERROR(INDEX($A2111:$AB2111,MATCH("Client",$A$1:$AB$1,0)),"")&amp;"")),"")</f>
        <v/>
      </c>
      <c r="AI2111" s="9">
        <f>IF(AF2111=1,IFERROR(INDEX($A2111:$AB2111,MATCH("Cost Centre",$A$1:$AB$1,0)),"")&amp;"","")</f>
        <v/>
      </c>
      <c r="AJ2111" s="54">
        <f>IF(AND(AF2111=1,AE2111&gt;=set_FYStart,AE2111&lt;=set_AsAt),1,0)</f>
        <v/>
      </c>
      <c r="AK2111" s="54">
        <f>IF(AND(AJ2111=1,AH2111&lt;&gt;"",COUNTIFS($AH$2:AH2111,AH2111,$AJ$2:AJ2111,1)=1),N(AL2110)+1,"")</f>
        <v/>
      </c>
      <c r="AL2111" s="54">
        <f>IF(AK2111&lt;&gt;"",AK2111,N(AL2110))</f>
        <v/>
      </c>
    </row>
    <row r="2112">
      <c r="A2112" t="inlineStr">
        <is>
          <t>PRD-0704</t>
        </is>
      </c>
      <c r="B2112" t="inlineStr">
        <is>
          <t>Production</t>
        </is>
      </c>
      <c r="AB2112" t="n">
        <v>704</v>
      </c>
      <c r="AD2112" s="52">
        <f>IFERROR(N(IFERROR(INDEX($A2112:$AB2112,MATCH("Xero Invoiced Ex GST",$A$1:$AB$1,0)),"")),0)</f>
        <v/>
      </c>
      <c r="AE2112" s="53">
        <f>IFERROR(INDEX($A2112:$AB2112,MATCH("Xero Invoice Date",$A$1:$AB$1,0)),"")</f>
        <v/>
      </c>
      <c r="AF2112" s="54">
        <f>IF(AND(IFERROR(INDEX($A2112:$AB2112,MATCH("Xero Invoice No",$A$1:$AB$1,0)),"")&amp;""&lt;&gt;"",ISNUMBER(AE2112),AD2112&lt;&gt;0),1,0)</f>
        <v/>
      </c>
      <c r="AG2112" s="55">
        <f>IF(AF2112=1,EOMONTH(AE2112,0),"")</f>
        <v/>
      </c>
      <c r="AH2112" s="9">
        <f>IF(AF2112=1,UPPER(TRIM(IFERROR(INDEX($A2112:$AB2112,MATCH("Client",$A$1:$AB$1,0)),"")&amp;"")),"")</f>
        <v/>
      </c>
      <c r="AI2112" s="9">
        <f>IF(AF2112=1,IFERROR(INDEX($A2112:$AB2112,MATCH("Cost Centre",$A$1:$AB$1,0)),"")&amp;"","")</f>
        <v/>
      </c>
      <c r="AJ2112" s="54">
        <f>IF(AND(AF2112=1,AE2112&gt;=set_FYStart,AE2112&lt;=set_AsAt),1,0)</f>
        <v/>
      </c>
      <c r="AK2112" s="54">
        <f>IF(AND(AJ2112=1,AH2112&lt;&gt;"",COUNTIFS($AH$2:AH2112,AH2112,$AJ$2:AJ2112,1)=1),N(AL2111)+1,"")</f>
        <v/>
      </c>
      <c r="AL2112" s="54">
        <f>IF(AK2112&lt;&gt;"",AK2112,N(AL2111))</f>
        <v/>
      </c>
    </row>
    <row r="2113">
      <c r="A2113" t="inlineStr">
        <is>
          <t>CON-0704</t>
        </is>
      </c>
      <c r="B2113" t="inlineStr">
        <is>
          <t>Consulting</t>
        </is>
      </c>
      <c r="AB2113" t="n">
        <v>704</v>
      </c>
      <c r="AD2113" s="52">
        <f>IFERROR(N(IFERROR(INDEX($A2113:$AB2113,MATCH("Xero Invoiced Ex GST",$A$1:$AB$1,0)),"")),0)</f>
        <v/>
      </c>
      <c r="AE2113" s="53">
        <f>IFERROR(INDEX($A2113:$AB2113,MATCH("Xero Invoice Date",$A$1:$AB$1,0)),"")</f>
        <v/>
      </c>
      <c r="AF2113" s="54">
        <f>IF(AND(IFERROR(INDEX($A2113:$AB2113,MATCH("Xero Invoice No",$A$1:$AB$1,0)),"")&amp;""&lt;&gt;"",ISNUMBER(AE2113),AD2113&lt;&gt;0),1,0)</f>
        <v/>
      </c>
      <c r="AG2113" s="55">
        <f>IF(AF2113=1,EOMONTH(AE2113,0),"")</f>
        <v/>
      </c>
      <c r="AH2113" s="9">
        <f>IF(AF2113=1,UPPER(TRIM(IFERROR(INDEX($A2113:$AB2113,MATCH("Client",$A$1:$AB$1,0)),"")&amp;"")),"")</f>
        <v/>
      </c>
      <c r="AI2113" s="9">
        <f>IF(AF2113=1,IFERROR(INDEX($A2113:$AB2113,MATCH("Cost Centre",$A$1:$AB$1,0)),"")&amp;"","")</f>
        <v/>
      </c>
      <c r="AJ2113" s="54">
        <f>IF(AND(AF2113=1,AE2113&gt;=set_FYStart,AE2113&lt;=set_AsAt),1,0)</f>
        <v/>
      </c>
      <c r="AK2113" s="54">
        <f>IF(AND(AJ2113=1,AH2113&lt;&gt;"",COUNTIFS($AH$2:AH2113,AH2113,$AJ$2:AJ2113,1)=1),N(AL2112)+1,"")</f>
        <v/>
      </c>
      <c r="AL2113" s="54">
        <f>IF(AK2113&lt;&gt;"",AK2113,N(AL2112))</f>
        <v/>
      </c>
    </row>
    <row r="2114">
      <c r="A2114" t="inlineStr">
        <is>
          <t>ONS-0705</t>
        </is>
      </c>
      <c r="B2114" t="inlineStr">
        <is>
          <t>Onsite</t>
        </is>
      </c>
      <c r="AB2114" t="n">
        <v>705</v>
      </c>
      <c r="AD2114" s="52">
        <f>IFERROR(N(IFERROR(INDEX($A2114:$AB2114,MATCH("Xero Invoiced Ex GST",$A$1:$AB$1,0)),"")),0)</f>
        <v/>
      </c>
      <c r="AE2114" s="53">
        <f>IFERROR(INDEX($A2114:$AB2114,MATCH("Xero Invoice Date",$A$1:$AB$1,0)),"")</f>
        <v/>
      </c>
      <c r="AF2114" s="54">
        <f>IF(AND(IFERROR(INDEX($A2114:$AB2114,MATCH("Xero Invoice No",$A$1:$AB$1,0)),"")&amp;""&lt;&gt;"",ISNUMBER(AE2114),AD2114&lt;&gt;0),1,0)</f>
        <v/>
      </c>
      <c r="AG2114" s="55">
        <f>IF(AF2114=1,EOMONTH(AE2114,0),"")</f>
        <v/>
      </c>
      <c r="AH2114" s="9">
        <f>IF(AF2114=1,UPPER(TRIM(IFERROR(INDEX($A2114:$AB2114,MATCH("Client",$A$1:$AB$1,0)),"")&amp;"")),"")</f>
        <v/>
      </c>
      <c r="AI2114" s="9">
        <f>IF(AF2114=1,IFERROR(INDEX($A2114:$AB2114,MATCH("Cost Centre",$A$1:$AB$1,0)),"")&amp;"","")</f>
        <v/>
      </c>
      <c r="AJ2114" s="54">
        <f>IF(AND(AF2114=1,AE2114&gt;=set_FYStart,AE2114&lt;=set_AsAt),1,0)</f>
        <v/>
      </c>
      <c r="AK2114" s="54">
        <f>IF(AND(AJ2114=1,AH2114&lt;&gt;"",COUNTIFS($AH$2:AH2114,AH2114,$AJ$2:AJ2114,1)=1),N(AL2113)+1,"")</f>
        <v/>
      </c>
      <c r="AL2114" s="54">
        <f>IF(AK2114&lt;&gt;"",AK2114,N(AL2113))</f>
        <v/>
      </c>
    </row>
    <row r="2115">
      <c r="A2115" t="inlineStr">
        <is>
          <t>PRD-0705</t>
        </is>
      </c>
      <c r="B2115" t="inlineStr">
        <is>
          <t>Production</t>
        </is>
      </c>
      <c r="AB2115" t="n">
        <v>705</v>
      </c>
      <c r="AD2115" s="52">
        <f>IFERROR(N(IFERROR(INDEX($A2115:$AB2115,MATCH("Xero Invoiced Ex GST",$A$1:$AB$1,0)),"")),0)</f>
        <v/>
      </c>
      <c r="AE2115" s="53">
        <f>IFERROR(INDEX($A2115:$AB2115,MATCH("Xero Invoice Date",$A$1:$AB$1,0)),"")</f>
        <v/>
      </c>
      <c r="AF2115" s="54">
        <f>IF(AND(IFERROR(INDEX($A2115:$AB2115,MATCH("Xero Invoice No",$A$1:$AB$1,0)),"")&amp;""&lt;&gt;"",ISNUMBER(AE2115),AD2115&lt;&gt;0),1,0)</f>
        <v/>
      </c>
      <c r="AG2115" s="55">
        <f>IF(AF2115=1,EOMONTH(AE2115,0),"")</f>
        <v/>
      </c>
      <c r="AH2115" s="9">
        <f>IF(AF2115=1,UPPER(TRIM(IFERROR(INDEX($A2115:$AB2115,MATCH("Client",$A$1:$AB$1,0)),"")&amp;"")),"")</f>
        <v/>
      </c>
      <c r="AI2115" s="9">
        <f>IF(AF2115=1,IFERROR(INDEX($A2115:$AB2115,MATCH("Cost Centre",$A$1:$AB$1,0)),"")&amp;"","")</f>
        <v/>
      </c>
      <c r="AJ2115" s="54">
        <f>IF(AND(AF2115=1,AE2115&gt;=set_FYStart,AE2115&lt;=set_AsAt),1,0)</f>
        <v/>
      </c>
      <c r="AK2115" s="54">
        <f>IF(AND(AJ2115=1,AH2115&lt;&gt;"",COUNTIFS($AH$2:AH2115,AH2115,$AJ$2:AJ2115,1)=1),N(AL2114)+1,"")</f>
        <v/>
      </c>
      <c r="AL2115" s="54">
        <f>IF(AK2115&lt;&gt;"",AK2115,N(AL2114))</f>
        <v/>
      </c>
    </row>
    <row r="2116">
      <c r="A2116" t="inlineStr">
        <is>
          <t>CON-0705</t>
        </is>
      </c>
      <c r="B2116" t="inlineStr">
        <is>
          <t>Consulting</t>
        </is>
      </c>
      <c r="AB2116" t="n">
        <v>705</v>
      </c>
      <c r="AD2116" s="52">
        <f>IFERROR(N(IFERROR(INDEX($A2116:$AB2116,MATCH("Xero Invoiced Ex GST",$A$1:$AB$1,0)),"")),0)</f>
        <v/>
      </c>
      <c r="AE2116" s="53">
        <f>IFERROR(INDEX($A2116:$AB2116,MATCH("Xero Invoice Date",$A$1:$AB$1,0)),"")</f>
        <v/>
      </c>
      <c r="AF2116" s="54">
        <f>IF(AND(IFERROR(INDEX($A2116:$AB2116,MATCH("Xero Invoice No",$A$1:$AB$1,0)),"")&amp;""&lt;&gt;"",ISNUMBER(AE2116),AD2116&lt;&gt;0),1,0)</f>
        <v/>
      </c>
      <c r="AG2116" s="55">
        <f>IF(AF2116=1,EOMONTH(AE2116,0),"")</f>
        <v/>
      </c>
      <c r="AH2116" s="9">
        <f>IF(AF2116=1,UPPER(TRIM(IFERROR(INDEX($A2116:$AB2116,MATCH("Client",$A$1:$AB$1,0)),"")&amp;"")),"")</f>
        <v/>
      </c>
      <c r="AI2116" s="9">
        <f>IF(AF2116=1,IFERROR(INDEX($A2116:$AB2116,MATCH("Cost Centre",$A$1:$AB$1,0)),"")&amp;"","")</f>
        <v/>
      </c>
      <c r="AJ2116" s="54">
        <f>IF(AND(AF2116=1,AE2116&gt;=set_FYStart,AE2116&lt;=set_AsAt),1,0)</f>
        <v/>
      </c>
      <c r="AK2116" s="54">
        <f>IF(AND(AJ2116=1,AH2116&lt;&gt;"",COUNTIFS($AH$2:AH2116,AH2116,$AJ$2:AJ2116,1)=1),N(AL2115)+1,"")</f>
        <v/>
      </c>
      <c r="AL2116" s="54">
        <f>IF(AK2116&lt;&gt;"",AK2116,N(AL2115))</f>
        <v/>
      </c>
    </row>
    <row r="2117">
      <c r="A2117" t="inlineStr">
        <is>
          <t>ONS-0706</t>
        </is>
      </c>
      <c r="B2117" t="inlineStr">
        <is>
          <t>Onsite</t>
        </is>
      </c>
      <c r="AB2117" t="n">
        <v>706</v>
      </c>
      <c r="AD2117" s="52">
        <f>IFERROR(N(IFERROR(INDEX($A2117:$AB2117,MATCH("Xero Invoiced Ex GST",$A$1:$AB$1,0)),"")),0)</f>
        <v/>
      </c>
      <c r="AE2117" s="53">
        <f>IFERROR(INDEX($A2117:$AB2117,MATCH("Xero Invoice Date",$A$1:$AB$1,0)),"")</f>
        <v/>
      </c>
      <c r="AF2117" s="54">
        <f>IF(AND(IFERROR(INDEX($A2117:$AB2117,MATCH("Xero Invoice No",$A$1:$AB$1,0)),"")&amp;""&lt;&gt;"",ISNUMBER(AE2117),AD2117&lt;&gt;0),1,0)</f>
        <v/>
      </c>
      <c r="AG2117" s="55">
        <f>IF(AF2117=1,EOMONTH(AE2117,0),"")</f>
        <v/>
      </c>
      <c r="AH2117" s="9">
        <f>IF(AF2117=1,UPPER(TRIM(IFERROR(INDEX($A2117:$AB2117,MATCH("Client",$A$1:$AB$1,0)),"")&amp;"")),"")</f>
        <v/>
      </c>
      <c r="AI2117" s="9">
        <f>IF(AF2117=1,IFERROR(INDEX($A2117:$AB2117,MATCH("Cost Centre",$A$1:$AB$1,0)),"")&amp;"","")</f>
        <v/>
      </c>
      <c r="AJ2117" s="54">
        <f>IF(AND(AF2117=1,AE2117&gt;=set_FYStart,AE2117&lt;=set_AsAt),1,0)</f>
        <v/>
      </c>
      <c r="AK2117" s="54">
        <f>IF(AND(AJ2117=1,AH2117&lt;&gt;"",COUNTIFS($AH$2:AH2117,AH2117,$AJ$2:AJ2117,1)=1),N(AL2116)+1,"")</f>
        <v/>
      </c>
      <c r="AL2117" s="54">
        <f>IF(AK2117&lt;&gt;"",AK2117,N(AL2116))</f>
        <v/>
      </c>
    </row>
    <row r="2118">
      <c r="A2118" t="inlineStr">
        <is>
          <t>PRD-0706</t>
        </is>
      </c>
      <c r="B2118" t="inlineStr">
        <is>
          <t>Production</t>
        </is>
      </c>
      <c r="AB2118" t="n">
        <v>706</v>
      </c>
      <c r="AD2118" s="52">
        <f>IFERROR(N(IFERROR(INDEX($A2118:$AB2118,MATCH("Xero Invoiced Ex GST",$A$1:$AB$1,0)),"")),0)</f>
        <v/>
      </c>
      <c r="AE2118" s="53">
        <f>IFERROR(INDEX($A2118:$AB2118,MATCH("Xero Invoice Date",$A$1:$AB$1,0)),"")</f>
        <v/>
      </c>
      <c r="AF2118" s="54">
        <f>IF(AND(IFERROR(INDEX($A2118:$AB2118,MATCH("Xero Invoice No",$A$1:$AB$1,0)),"")&amp;""&lt;&gt;"",ISNUMBER(AE2118),AD2118&lt;&gt;0),1,0)</f>
        <v/>
      </c>
      <c r="AG2118" s="55">
        <f>IF(AF2118=1,EOMONTH(AE2118,0),"")</f>
        <v/>
      </c>
      <c r="AH2118" s="9">
        <f>IF(AF2118=1,UPPER(TRIM(IFERROR(INDEX($A2118:$AB2118,MATCH("Client",$A$1:$AB$1,0)),"")&amp;"")),"")</f>
        <v/>
      </c>
      <c r="AI2118" s="9">
        <f>IF(AF2118=1,IFERROR(INDEX($A2118:$AB2118,MATCH("Cost Centre",$A$1:$AB$1,0)),"")&amp;"","")</f>
        <v/>
      </c>
      <c r="AJ2118" s="54">
        <f>IF(AND(AF2118=1,AE2118&gt;=set_FYStart,AE2118&lt;=set_AsAt),1,0)</f>
        <v/>
      </c>
      <c r="AK2118" s="54">
        <f>IF(AND(AJ2118=1,AH2118&lt;&gt;"",COUNTIFS($AH$2:AH2118,AH2118,$AJ$2:AJ2118,1)=1),N(AL2117)+1,"")</f>
        <v/>
      </c>
      <c r="AL2118" s="54">
        <f>IF(AK2118&lt;&gt;"",AK2118,N(AL2117))</f>
        <v/>
      </c>
    </row>
    <row r="2119">
      <c r="A2119" t="inlineStr">
        <is>
          <t>CON-0706</t>
        </is>
      </c>
      <c r="B2119" t="inlineStr">
        <is>
          <t>Consulting</t>
        </is>
      </c>
      <c r="AB2119" t="n">
        <v>706</v>
      </c>
      <c r="AD2119" s="52">
        <f>IFERROR(N(IFERROR(INDEX($A2119:$AB2119,MATCH("Xero Invoiced Ex GST",$A$1:$AB$1,0)),"")),0)</f>
        <v/>
      </c>
      <c r="AE2119" s="53">
        <f>IFERROR(INDEX($A2119:$AB2119,MATCH("Xero Invoice Date",$A$1:$AB$1,0)),"")</f>
        <v/>
      </c>
      <c r="AF2119" s="54">
        <f>IF(AND(IFERROR(INDEX($A2119:$AB2119,MATCH("Xero Invoice No",$A$1:$AB$1,0)),"")&amp;""&lt;&gt;"",ISNUMBER(AE2119),AD2119&lt;&gt;0),1,0)</f>
        <v/>
      </c>
      <c r="AG2119" s="55">
        <f>IF(AF2119=1,EOMONTH(AE2119,0),"")</f>
        <v/>
      </c>
      <c r="AH2119" s="9">
        <f>IF(AF2119=1,UPPER(TRIM(IFERROR(INDEX($A2119:$AB2119,MATCH("Client",$A$1:$AB$1,0)),"")&amp;"")),"")</f>
        <v/>
      </c>
      <c r="AI2119" s="9">
        <f>IF(AF2119=1,IFERROR(INDEX($A2119:$AB2119,MATCH("Cost Centre",$A$1:$AB$1,0)),"")&amp;"","")</f>
        <v/>
      </c>
      <c r="AJ2119" s="54">
        <f>IF(AND(AF2119=1,AE2119&gt;=set_FYStart,AE2119&lt;=set_AsAt),1,0)</f>
        <v/>
      </c>
      <c r="AK2119" s="54">
        <f>IF(AND(AJ2119=1,AH2119&lt;&gt;"",COUNTIFS($AH$2:AH2119,AH2119,$AJ$2:AJ2119,1)=1),N(AL2118)+1,"")</f>
        <v/>
      </c>
      <c r="AL2119" s="54">
        <f>IF(AK2119&lt;&gt;"",AK2119,N(AL2118))</f>
        <v/>
      </c>
    </row>
    <row r="2120">
      <c r="A2120" t="inlineStr">
        <is>
          <t>ONS-0707</t>
        </is>
      </c>
      <c r="B2120" t="inlineStr">
        <is>
          <t>Onsite</t>
        </is>
      </c>
      <c r="AB2120" t="n">
        <v>707</v>
      </c>
      <c r="AD2120" s="52">
        <f>IFERROR(N(IFERROR(INDEX($A2120:$AB2120,MATCH("Xero Invoiced Ex GST",$A$1:$AB$1,0)),"")),0)</f>
        <v/>
      </c>
      <c r="AE2120" s="53">
        <f>IFERROR(INDEX($A2120:$AB2120,MATCH("Xero Invoice Date",$A$1:$AB$1,0)),"")</f>
        <v/>
      </c>
      <c r="AF2120" s="54">
        <f>IF(AND(IFERROR(INDEX($A2120:$AB2120,MATCH("Xero Invoice No",$A$1:$AB$1,0)),"")&amp;""&lt;&gt;"",ISNUMBER(AE2120),AD2120&lt;&gt;0),1,0)</f>
        <v/>
      </c>
      <c r="AG2120" s="55">
        <f>IF(AF2120=1,EOMONTH(AE2120,0),"")</f>
        <v/>
      </c>
      <c r="AH2120" s="9">
        <f>IF(AF2120=1,UPPER(TRIM(IFERROR(INDEX($A2120:$AB2120,MATCH("Client",$A$1:$AB$1,0)),"")&amp;"")),"")</f>
        <v/>
      </c>
      <c r="AI2120" s="9">
        <f>IF(AF2120=1,IFERROR(INDEX($A2120:$AB2120,MATCH("Cost Centre",$A$1:$AB$1,0)),"")&amp;"","")</f>
        <v/>
      </c>
      <c r="AJ2120" s="54">
        <f>IF(AND(AF2120=1,AE2120&gt;=set_FYStart,AE2120&lt;=set_AsAt),1,0)</f>
        <v/>
      </c>
      <c r="AK2120" s="54">
        <f>IF(AND(AJ2120=1,AH2120&lt;&gt;"",COUNTIFS($AH$2:AH2120,AH2120,$AJ$2:AJ2120,1)=1),N(AL2119)+1,"")</f>
        <v/>
      </c>
      <c r="AL2120" s="54">
        <f>IF(AK2120&lt;&gt;"",AK2120,N(AL2119))</f>
        <v/>
      </c>
    </row>
    <row r="2121">
      <c r="A2121" t="inlineStr">
        <is>
          <t>PRD-0707</t>
        </is>
      </c>
      <c r="B2121" t="inlineStr">
        <is>
          <t>Production</t>
        </is>
      </c>
      <c r="AB2121" t="n">
        <v>707</v>
      </c>
      <c r="AD2121" s="52">
        <f>IFERROR(N(IFERROR(INDEX($A2121:$AB2121,MATCH("Xero Invoiced Ex GST",$A$1:$AB$1,0)),"")),0)</f>
        <v/>
      </c>
      <c r="AE2121" s="53">
        <f>IFERROR(INDEX($A2121:$AB2121,MATCH("Xero Invoice Date",$A$1:$AB$1,0)),"")</f>
        <v/>
      </c>
      <c r="AF2121" s="54">
        <f>IF(AND(IFERROR(INDEX($A2121:$AB2121,MATCH("Xero Invoice No",$A$1:$AB$1,0)),"")&amp;""&lt;&gt;"",ISNUMBER(AE2121),AD2121&lt;&gt;0),1,0)</f>
        <v/>
      </c>
      <c r="AG2121" s="55">
        <f>IF(AF2121=1,EOMONTH(AE2121,0),"")</f>
        <v/>
      </c>
      <c r="AH2121" s="9">
        <f>IF(AF2121=1,UPPER(TRIM(IFERROR(INDEX($A2121:$AB2121,MATCH("Client",$A$1:$AB$1,0)),"")&amp;"")),"")</f>
        <v/>
      </c>
      <c r="AI2121" s="9">
        <f>IF(AF2121=1,IFERROR(INDEX($A2121:$AB2121,MATCH("Cost Centre",$A$1:$AB$1,0)),"")&amp;"","")</f>
        <v/>
      </c>
      <c r="AJ2121" s="54">
        <f>IF(AND(AF2121=1,AE2121&gt;=set_FYStart,AE2121&lt;=set_AsAt),1,0)</f>
        <v/>
      </c>
      <c r="AK2121" s="54">
        <f>IF(AND(AJ2121=1,AH2121&lt;&gt;"",COUNTIFS($AH$2:AH2121,AH2121,$AJ$2:AJ2121,1)=1),N(AL2120)+1,"")</f>
        <v/>
      </c>
      <c r="AL2121" s="54">
        <f>IF(AK2121&lt;&gt;"",AK2121,N(AL2120))</f>
        <v/>
      </c>
    </row>
    <row r="2122">
      <c r="A2122" t="inlineStr">
        <is>
          <t>CON-0707</t>
        </is>
      </c>
      <c r="B2122" t="inlineStr">
        <is>
          <t>Consulting</t>
        </is>
      </c>
      <c r="AB2122" t="n">
        <v>707</v>
      </c>
      <c r="AD2122" s="52">
        <f>IFERROR(N(IFERROR(INDEX($A2122:$AB2122,MATCH("Xero Invoiced Ex GST",$A$1:$AB$1,0)),"")),0)</f>
        <v/>
      </c>
      <c r="AE2122" s="53">
        <f>IFERROR(INDEX($A2122:$AB2122,MATCH("Xero Invoice Date",$A$1:$AB$1,0)),"")</f>
        <v/>
      </c>
      <c r="AF2122" s="54">
        <f>IF(AND(IFERROR(INDEX($A2122:$AB2122,MATCH("Xero Invoice No",$A$1:$AB$1,0)),"")&amp;""&lt;&gt;"",ISNUMBER(AE2122),AD2122&lt;&gt;0),1,0)</f>
        <v/>
      </c>
      <c r="AG2122" s="55">
        <f>IF(AF2122=1,EOMONTH(AE2122,0),"")</f>
        <v/>
      </c>
      <c r="AH2122" s="9">
        <f>IF(AF2122=1,UPPER(TRIM(IFERROR(INDEX($A2122:$AB2122,MATCH("Client",$A$1:$AB$1,0)),"")&amp;"")),"")</f>
        <v/>
      </c>
      <c r="AI2122" s="9">
        <f>IF(AF2122=1,IFERROR(INDEX($A2122:$AB2122,MATCH("Cost Centre",$A$1:$AB$1,0)),"")&amp;"","")</f>
        <v/>
      </c>
      <c r="AJ2122" s="54">
        <f>IF(AND(AF2122=1,AE2122&gt;=set_FYStart,AE2122&lt;=set_AsAt),1,0)</f>
        <v/>
      </c>
      <c r="AK2122" s="54">
        <f>IF(AND(AJ2122=1,AH2122&lt;&gt;"",COUNTIFS($AH$2:AH2122,AH2122,$AJ$2:AJ2122,1)=1),N(AL2121)+1,"")</f>
        <v/>
      </c>
      <c r="AL2122" s="54">
        <f>IF(AK2122&lt;&gt;"",AK2122,N(AL2121))</f>
        <v/>
      </c>
    </row>
    <row r="2123">
      <c r="A2123" t="inlineStr">
        <is>
          <t>ONS-0708</t>
        </is>
      </c>
      <c r="B2123" t="inlineStr">
        <is>
          <t>Onsite</t>
        </is>
      </c>
      <c r="AB2123" t="n">
        <v>708</v>
      </c>
      <c r="AD2123" s="52">
        <f>IFERROR(N(IFERROR(INDEX($A2123:$AB2123,MATCH("Xero Invoiced Ex GST",$A$1:$AB$1,0)),"")),0)</f>
        <v/>
      </c>
      <c r="AE2123" s="53">
        <f>IFERROR(INDEX($A2123:$AB2123,MATCH("Xero Invoice Date",$A$1:$AB$1,0)),"")</f>
        <v/>
      </c>
      <c r="AF2123" s="54">
        <f>IF(AND(IFERROR(INDEX($A2123:$AB2123,MATCH("Xero Invoice No",$A$1:$AB$1,0)),"")&amp;""&lt;&gt;"",ISNUMBER(AE2123),AD2123&lt;&gt;0),1,0)</f>
        <v/>
      </c>
      <c r="AG2123" s="55">
        <f>IF(AF2123=1,EOMONTH(AE2123,0),"")</f>
        <v/>
      </c>
      <c r="AH2123" s="9">
        <f>IF(AF2123=1,UPPER(TRIM(IFERROR(INDEX($A2123:$AB2123,MATCH("Client",$A$1:$AB$1,0)),"")&amp;"")),"")</f>
        <v/>
      </c>
      <c r="AI2123" s="9">
        <f>IF(AF2123=1,IFERROR(INDEX($A2123:$AB2123,MATCH("Cost Centre",$A$1:$AB$1,0)),"")&amp;"","")</f>
        <v/>
      </c>
      <c r="AJ2123" s="54">
        <f>IF(AND(AF2123=1,AE2123&gt;=set_FYStart,AE2123&lt;=set_AsAt),1,0)</f>
        <v/>
      </c>
      <c r="AK2123" s="54">
        <f>IF(AND(AJ2123=1,AH2123&lt;&gt;"",COUNTIFS($AH$2:AH2123,AH2123,$AJ$2:AJ2123,1)=1),N(AL2122)+1,"")</f>
        <v/>
      </c>
      <c r="AL2123" s="54">
        <f>IF(AK2123&lt;&gt;"",AK2123,N(AL2122))</f>
        <v/>
      </c>
    </row>
    <row r="2124">
      <c r="A2124" t="inlineStr">
        <is>
          <t>PRD-0708</t>
        </is>
      </c>
      <c r="B2124" t="inlineStr">
        <is>
          <t>Production</t>
        </is>
      </c>
      <c r="AB2124" t="n">
        <v>708</v>
      </c>
      <c r="AD2124" s="52">
        <f>IFERROR(N(IFERROR(INDEX($A2124:$AB2124,MATCH("Xero Invoiced Ex GST",$A$1:$AB$1,0)),"")),0)</f>
        <v/>
      </c>
      <c r="AE2124" s="53">
        <f>IFERROR(INDEX($A2124:$AB2124,MATCH("Xero Invoice Date",$A$1:$AB$1,0)),"")</f>
        <v/>
      </c>
      <c r="AF2124" s="54">
        <f>IF(AND(IFERROR(INDEX($A2124:$AB2124,MATCH("Xero Invoice No",$A$1:$AB$1,0)),"")&amp;""&lt;&gt;"",ISNUMBER(AE2124),AD2124&lt;&gt;0),1,0)</f>
        <v/>
      </c>
      <c r="AG2124" s="55">
        <f>IF(AF2124=1,EOMONTH(AE2124,0),"")</f>
        <v/>
      </c>
      <c r="AH2124" s="9">
        <f>IF(AF2124=1,UPPER(TRIM(IFERROR(INDEX($A2124:$AB2124,MATCH("Client",$A$1:$AB$1,0)),"")&amp;"")),"")</f>
        <v/>
      </c>
      <c r="AI2124" s="9">
        <f>IF(AF2124=1,IFERROR(INDEX($A2124:$AB2124,MATCH("Cost Centre",$A$1:$AB$1,0)),"")&amp;"","")</f>
        <v/>
      </c>
      <c r="AJ2124" s="54">
        <f>IF(AND(AF2124=1,AE2124&gt;=set_FYStart,AE2124&lt;=set_AsAt),1,0)</f>
        <v/>
      </c>
      <c r="AK2124" s="54">
        <f>IF(AND(AJ2124=1,AH2124&lt;&gt;"",COUNTIFS($AH$2:AH2124,AH2124,$AJ$2:AJ2124,1)=1),N(AL2123)+1,"")</f>
        <v/>
      </c>
      <c r="AL2124" s="54">
        <f>IF(AK2124&lt;&gt;"",AK2124,N(AL2123))</f>
        <v/>
      </c>
    </row>
    <row r="2125">
      <c r="A2125" t="inlineStr">
        <is>
          <t>CON-0708</t>
        </is>
      </c>
      <c r="B2125" t="inlineStr">
        <is>
          <t>Consulting</t>
        </is>
      </c>
      <c r="AB2125" t="n">
        <v>708</v>
      </c>
      <c r="AD2125" s="52">
        <f>IFERROR(N(IFERROR(INDEX($A2125:$AB2125,MATCH("Xero Invoiced Ex GST",$A$1:$AB$1,0)),"")),0)</f>
        <v/>
      </c>
      <c r="AE2125" s="53">
        <f>IFERROR(INDEX($A2125:$AB2125,MATCH("Xero Invoice Date",$A$1:$AB$1,0)),"")</f>
        <v/>
      </c>
      <c r="AF2125" s="54">
        <f>IF(AND(IFERROR(INDEX($A2125:$AB2125,MATCH("Xero Invoice No",$A$1:$AB$1,0)),"")&amp;""&lt;&gt;"",ISNUMBER(AE2125),AD2125&lt;&gt;0),1,0)</f>
        <v/>
      </c>
      <c r="AG2125" s="55">
        <f>IF(AF2125=1,EOMONTH(AE2125,0),"")</f>
        <v/>
      </c>
      <c r="AH2125" s="9">
        <f>IF(AF2125=1,UPPER(TRIM(IFERROR(INDEX($A2125:$AB2125,MATCH("Client",$A$1:$AB$1,0)),"")&amp;"")),"")</f>
        <v/>
      </c>
      <c r="AI2125" s="9">
        <f>IF(AF2125=1,IFERROR(INDEX($A2125:$AB2125,MATCH("Cost Centre",$A$1:$AB$1,0)),"")&amp;"","")</f>
        <v/>
      </c>
      <c r="AJ2125" s="54">
        <f>IF(AND(AF2125=1,AE2125&gt;=set_FYStart,AE2125&lt;=set_AsAt),1,0)</f>
        <v/>
      </c>
      <c r="AK2125" s="54">
        <f>IF(AND(AJ2125=1,AH2125&lt;&gt;"",COUNTIFS($AH$2:AH2125,AH2125,$AJ$2:AJ2125,1)=1),N(AL2124)+1,"")</f>
        <v/>
      </c>
      <c r="AL2125" s="54">
        <f>IF(AK2125&lt;&gt;"",AK2125,N(AL2124))</f>
        <v/>
      </c>
    </row>
    <row r="2126">
      <c r="A2126" t="inlineStr">
        <is>
          <t>ONS-0709</t>
        </is>
      </c>
      <c r="B2126" t="inlineStr">
        <is>
          <t>Onsite</t>
        </is>
      </c>
      <c r="AB2126" t="n">
        <v>709</v>
      </c>
      <c r="AD2126" s="52">
        <f>IFERROR(N(IFERROR(INDEX($A2126:$AB2126,MATCH("Xero Invoiced Ex GST",$A$1:$AB$1,0)),"")),0)</f>
        <v/>
      </c>
      <c r="AE2126" s="53">
        <f>IFERROR(INDEX($A2126:$AB2126,MATCH("Xero Invoice Date",$A$1:$AB$1,0)),"")</f>
        <v/>
      </c>
      <c r="AF2126" s="54">
        <f>IF(AND(IFERROR(INDEX($A2126:$AB2126,MATCH("Xero Invoice No",$A$1:$AB$1,0)),"")&amp;""&lt;&gt;"",ISNUMBER(AE2126),AD2126&lt;&gt;0),1,0)</f>
        <v/>
      </c>
      <c r="AG2126" s="55">
        <f>IF(AF2126=1,EOMONTH(AE2126,0),"")</f>
        <v/>
      </c>
      <c r="AH2126" s="9">
        <f>IF(AF2126=1,UPPER(TRIM(IFERROR(INDEX($A2126:$AB2126,MATCH("Client",$A$1:$AB$1,0)),"")&amp;"")),"")</f>
        <v/>
      </c>
      <c r="AI2126" s="9">
        <f>IF(AF2126=1,IFERROR(INDEX($A2126:$AB2126,MATCH("Cost Centre",$A$1:$AB$1,0)),"")&amp;"","")</f>
        <v/>
      </c>
      <c r="AJ2126" s="54">
        <f>IF(AND(AF2126=1,AE2126&gt;=set_FYStart,AE2126&lt;=set_AsAt),1,0)</f>
        <v/>
      </c>
      <c r="AK2126" s="54">
        <f>IF(AND(AJ2126=1,AH2126&lt;&gt;"",COUNTIFS($AH$2:AH2126,AH2126,$AJ$2:AJ2126,1)=1),N(AL2125)+1,"")</f>
        <v/>
      </c>
      <c r="AL2126" s="54">
        <f>IF(AK2126&lt;&gt;"",AK2126,N(AL2125))</f>
        <v/>
      </c>
    </row>
    <row r="2127">
      <c r="A2127" t="inlineStr">
        <is>
          <t>PRD-0709</t>
        </is>
      </c>
      <c r="B2127" t="inlineStr">
        <is>
          <t>Production</t>
        </is>
      </c>
      <c r="AB2127" t="n">
        <v>709</v>
      </c>
      <c r="AD2127" s="52">
        <f>IFERROR(N(IFERROR(INDEX($A2127:$AB2127,MATCH("Xero Invoiced Ex GST",$A$1:$AB$1,0)),"")),0)</f>
        <v/>
      </c>
      <c r="AE2127" s="53">
        <f>IFERROR(INDEX($A2127:$AB2127,MATCH("Xero Invoice Date",$A$1:$AB$1,0)),"")</f>
        <v/>
      </c>
      <c r="AF2127" s="54">
        <f>IF(AND(IFERROR(INDEX($A2127:$AB2127,MATCH("Xero Invoice No",$A$1:$AB$1,0)),"")&amp;""&lt;&gt;"",ISNUMBER(AE2127),AD2127&lt;&gt;0),1,0)</f>
        <v/>
      </c>
      <c r="AG2127" s="55">
        <f>IF(AF2127=1,EOMONTH(AE2127,0),"")</f>
        <v/>
      </c>
      <c r="AH2127" s="9">
        <f>IF(AF2127=1,UPPER(TRIM(IFERROR(INDEX($A2127:$AB2127,MATCH("Client",$A$1:$AB$1,0)),"")&amp;"")),"")</f>
        <v/>
      </c>
      <c r="AI2127" s="9">
        <f>IF(AF2127=1,IFERROR(INDEX($A2127:$AB2127,MATCH("Cost Centre",$A$1:$AB$1,0)),"")&amp;"","")</f>
        <v/>
      </c>
      <c r="AJ2127" s="54">
        <f>IF(AND(AF2127=1,AE2127&gt;=set_FYStart,AE2127&lt;=set_AsAt),1,0)</f>
        <v/>
      </c>
      <c r="AK2127" s="54">
        <f>IF(AND(AJ2127=1,AH2127&lt;&gt;"",COUNTIFS($AH$2:AH2127,AH2127,$AJ$2:AJ2127,1)=1),N(AL2126)+1,"")</f>
        <v/>
      </c>
      <c r="AL2127" s="54">
        <f>IF(AK2127&lt;&gt;"",AK2127,N(AL2126))</f>
        <v/>
      </c>
    </row>
    <row r="2128">
      <c r="A2128" t="inlineStr">
        <is>
          <t>CON-0709</t>
        </is>
      </c>
      <c r="B2128" t="inlineStr">
        <is>
          <t>Consulting</t>
        </is>
      </c>
      <c r="AB2128" t="n">
        <v>709</v>
      </c>
      <c r="AD2128" s="52">
        <f>IFERROR(N(IFERROR(INDEX($A2128:$AB2128,MATCH("Xero Invoiced Ex GST",$A$1:$AB$1,0)),"")),0)</f>
        <v/>
      </c>
      <c r="AE2128" s="53">
        <f>IFERROR(INDEX($A2128:$AB2128,MATCH("Xero Invoice Date",$A$1:$AB$1,0)),"")</f>
        <v/>
      </c>
      <c r="AF2128" s="54">
        <f>IF(AND(IFERROR(INDEX($A2128:$AB2128,MATCH("Xero Invoice No",$A$1:$AB$1,0)),"")&amp;""&lt;&gt;"",ISNUMBER(AE2128),AD2128&lt;&gt;0),1,0)</f>
        <v/>
      </c>
      <c r="AG2128" s="55">
        <f>IF(AF2128=1,EOMONTH(AE2128,0),"")</f>
        <v/>
      </c>
      <c r="AH2128" s="9">
        <f>IF(AF2128=1,UPPER(TRIM(IFERROR(INDEX($A2128:$AB2128,MATCH("Client",$A$1:$AB$1,0)),"")&amp;"")),"")</f>
        <v/>
      </c>
      <c r="AI2128" s="9">
        <f>IF(AF2128=1,IFERROR(INDEX($A2128:$AB2128,MATCH("Cost Centre",$A$1:$AB$1,0)),"")&amp;"","")</f>
        <v/>
      </c>
      <c r="AJ2128" s="54">
        <f>IF(AND(AF2128=1,AE2128&gt;=set_FYStart,AE2128&lt;=set_AsAt),1,0)</f>
        <v/>
      </c>
      <c r="AK2128" s="54">
        <f>IF(AND(AJ2128=1,AH2128&lt;&gt;"",COUNTIFS($AH$2:AH2128,AH2128,$AJ$2:AJ2128,1)=1),N(AL2127)+1,"")</f>
        <v/>
      </c>
      <c r="AL2128" s="54">
        <f>IF(AK2128&lt;&gt;"",AK2128,N(AL2127))</f>
        <v/>
      </c>
    </row>
    <row r="2129">
      <c r="A2129" t="inlineStr">
        <is>
          <t>ONS-0710</t>
        </is>
      </c>
      <c r="B2129" t="inlineStr">
        <is>
          <t>Onsite</t>
        </is>
      </c>
      <c r="AB2129" t="n">
        <v>710</v>
      </c>
      <c r="AD2129" s="52">
        <f>IFERROR(N(IFERROR(INDEX($A2129:$AB2129,MATCH("Xero Invoiced Ex GST",$A$1:$AB$1,0)),"")),0)</f>
        <v/>
      </c>
      <c r="AE2129" s="53">
        <f>IFERROR(INDEX($A2129:$AB2129,MATCH("Xero Invoice Date",$A$1:$AB$1,0)),"")</f>
        <v/>
      </c>
      <c r="AF2129" s="54">
        <f>IF(AND(IFERROR(INDEX($A2129:$AB2129,MATCH("Xero Invoice No",$A$1:$AB$1,0)),"")&amp;""&lt;&gt;"",ISNUMBER(AE2129),AD2129&lt;&gt;0),1,0)</f>
        <v/>
      </c>
      <c r="AG2129" s="55">
        <f>IF(AF2129=1,EOMONTH(AE2129,0),"")</f>
        <v/>
      </c>
      <c r="AH2129" s="9">
        <f>IF(AF2129=1,UPPER(TRIM(IFERROR(INDEX($A2129:$AB2129,MATCH("Client",$A$1:$AB$1,0)),"")&amp;"")),"")</f>
        <v/>
      </c>
      <c r="AI2129" s="9">
        <f>IF(AF2129=1,IFERROR(INDEX($A2129:$AB2129,MATCH("Cost Centre",$A$1:$AB$1,0)),"")&amp;"","")</f>
        <v/>
      </c>
      <c r="AJ2129" s="54">
        <f>IF(AND(AF2129=1,AE2129&gt;=set_FYStart,AE2129&lt;=set_AsAt),1,0)</f>
        <v/>
      </c>
      <c r="AK2129" s="54">
        <f>IF(AND(AJ2129=1,AH2129&lt;&gt;"",COUNTIFS($AH$2:AH2129,AH2129,$AJ$2:AJ2129,1)=1),N(AL2128)+1,"")</f>
        <v/>
      </c>
      <c r="AL2129" s="54">
        <f>IF(AK2129&lt;&gt;"",AK2129,N(AL2128))</f>
        <v/>
      </c>
    </row>
    <row r="2130">
      <c r="A2130" t="inlineStr">
        <is>
          <t>PRD-0710</t>
        </is>
      </c>
      <c r="B2130" t="inlineStr">
        <is>
          <t>Production</t>
        </is>
      </c>
      <c r="AB2130" t="n">
        <v>710</v>
      </c>
      <c r="AD2130" s="52">
        <f>IFERROR(N(IFERROR(INDEX($A2130:$AB2130,MATCH("Xero Invoiced Ex GST",$A$1:$AB$1,0)),"")),0)</f>
        <v/>
      </c>
      <c r="AE2130" s="53">
        <f>IFERROR(INDEX($A2130:$AB2130,MATCH("Xero Invoice Date",$A$1:$AB$1,0)),"")</f>
        <v/>
      </c>
      <c r="AF2130" s="54">
        <f>IF(AND(IFERROR(INDEX($A2130:$AB2130,MATCH("Xero Invoice No",$A$1:$AB$1,0)),"")&amp;""&lt;&gt;"",ISNUMBER(AE2130),AD2130&lt;&gt;0),1,0)</f>
        <v/>
      </c>
      <c r="AG2130" s="55">
        <f>IF(AF2130=1,EOMONTH(AE2130,0),"")</f>
        <v/>
      </c>
      <c r="AH2130" s="9">
        <f>IF(AF2130=1,UPPER(TRIM(IFERROR(INDEX($A2130:$AB2130,MATCH("Client",$A$1:$AB$1,0)),"")&amp;"")),"")</f>
        <v/>
      </c>
      <c r="AI2130" s="9">
        <f>IF(AF2130=1,IFERROR(INDEX($A2130:$AB2130,MATCH("Cost Centre",$A$1:$AB$1,0)),"")&amp;"","")</f>
        <v/>
      </c>
      <c r="AJ2130" s="54">
        <f>IF(AND(AF2130=1,AE2130&gt;=set_FYStart,AE2130&lt;=set_AsAt),1,0)</f>
        <v/>
      </c>
      <c r="AK2130" s="54">
        <f>IF(AND(AJ2130=1,AH2130&lt;&gt;"",COUNTIFS($AH$2:AH2130,AH2130,$AJ$2:AJ2130,1)=1),N(AL2129)+1,"")</f>
        <v/>
      </c>
      <c r="AL2130" s="54">
        <f>IF(AK2130&lt;&gt;"",AK2130,N(AL2129))</f>
        <v/>
      </c>
    </row>
    <row r="2131">
      <c r="A2131" t="inlineStr">
        <is>
          <t>CON-0710</t>
        </is>
      </c>
      <c r="B2131" t="inlineStr">
        <is>
          <t>Consulting</t>
        </is>
      </c>
      <c r="AB2131" t="n">
        <v>710</v>
      </c>
      <c r="AD2131" s="52">
        <f>IFERROR(N(IFERROR(INDEX($A2131:$AB2131,MATCH("Xero Invoiced Ex GST",$A$1:$AB$1,0)),"")),0)</f>
        <v/>
      </c>
      <c r="AE2131" s="53">
        <f>IFERROR(INDEX($A2131:$AB2131,MATCH("Xero Invoice Date",$A$1:$AB$1,0)),"")</f>
        <v/>
      </c>
      <c r="AF2131" s="54">
        <f>IF(AND(IFERROR(INDEX($A2131:$AB2131,MATCH("Xero Invoice No",$A$1:$AB$1,0)),"")&amp;""&lt;&gt;"",ISNUMBER(AE2131),AD2131&lt;&gt;0),1,0)</f>
        <v/>
      </c>
      <c r="AG2131" s="55">
        <f>IF(AF2131=1,EOMONTH(AE2131,0),"")</f>
        <v/>
      </c>
      <c r="AH2131" s="9">
        <f>IF(AF2131=1,UPPER(TRIM(IFERROR(INDEX($A2131:$AB2131,MATCH("Client",$A$1:$AB$1,0)),"")&amp;"")),"")</f>
        <v/>
      </c>
      <c r="AI2131" s="9">
        <f>IF(AF2131=1,IFERROR(INDEX($A2131:$AB2131,MATCH("Cost Centre",$A$1:$AB$1,0)),"")&amp;"","")</f>
        <v/>
      </c>
      <c r="AJ2131" s="54">
        <f>IF(AND(AF2131=1,AE2131&gt;=set_FYStart,AE2131&lt;=set_AsAt),1,0)</f>
        <v/>
      </c>
      <c r="AK2131" s="54">
        <f>IF(AND(AJ2131=1,AH2131&lt;&gt;"",COUNTIFS($AH$2:AH2131,AH2131,$AJ$2:AJ2131,1)=1),N(AL2130)+1,"")</f>
        <v/>
      </c>
      <c r="AL2131" s="54">
        <f>IF(AK2131&lt;&gt;"",AK2131,N(AL2130))</f>
        <v/>
      </c>
    </row>
    <row r="2132">
      <c r="A2132" t="inlineStr">
        <is>
          <t>ONS-0711</t>
        </is>
      </c>
      <c r="B2132" t="inlineStr">
        <is>
          <t>Onsite</t>
        </is>
      </c>
      <c r="AB2132" t="n">
        <v>711</v>
      </c>
      <c r="AD2132" s="52">
        <f>IFERROR(N(IFERROR(INDEX($A2132:$AB2132,MATCH("Xero Invoiced Ex GST",$A$1:$AB$1,0)),"")),0)</f>
        <v/>
      </c>
      <c r="AE2132" s="53">
        <f>IFERROR(INDEX($A2132:$AB2132,MATCH("Xero Invoice Date",$A$1:$AB$1,0)),"")</f>
        <v/>
      </c>
      <c r="AF2132" s="54">
        <f>IF(AND(IFERROR(INDEX($A2132:$AB2132,MATCH("Xero Invoice No",$A$1:$AB$1,0)),"")&amp;""&lt;&gt;"",ISNUMBER(AE2132),AD2132&lt;&gt;0),1,0)</f>
        <v/>
      </c>
      <c r="AG2132" s="55">
        <f>IF(AF2132=1,EOMONTH(AE2132,0),"")</f>
        <v/>
      </c>
      <c r="AH2132" s="9">
        <f>IF(AF2132=1,UPPER(TRIM(IFERROR(INDEX($A2132:$AB2132,MATCH("Client",$A$1:$AB$1,0)),"")&amp;"")),"")</f>
        <v/>
      </c>
      <c r="AI2132" s="9">
        <f>IF(AF2132=1,IFERROR(INDEX($A2132:$AB2132,MATCH("Cost Centre",$A$1:$AB$1,0)),"")&amp;"","")</f>
        <v/>
      </c>
      <c r="AJ2132" s="54">
        <f>IF(AND(AF2132=1,AE2132&gt;=set_FYStart,AE2132&lt;=set_AsAt),1,0)</f>
        <v/>
      </c>
      <c r="AK2132" s="54">
        <f>IF(AND(AJ2132=1,AH2132&lt;&gt;"",COUNTIFS($AH$2:AH2132,AH2132,$AJ$2:AJ2132,1)=1),N(AL2131)+1,"")</f>
        <v/>
      </c>
      <c r="AL2132" s="54">
        <f>IF(AK2132&lt;&gt;"",AK2132,N(AL2131))</f>
        <v/>
      </c>
    </row>
    <row r="2133">
      <c r="A2133" t="inlineStr">
        <is>
          <t>PRD-0711</t>
        </is>
      </c>
      <c r="B2133" t="inlineStr">
        <is>
          <t>Production</t>
        </is>
      </c>
      <c r="AB2133" t="n">
        <v>711</v>
      </c>
      <c r="AD2133" s="52">
        <f>IFERROR(N(IFERROR(INDEX($A2133:$AB2133,MATCH("Xero Invoiced Ex GST",$A$1:$AB$1,0)),"")),0)</f>
        <v/>
      </c>
      <c r="AE2133" s="53">
        <f>IFERROR(INDEX($A2133:$AB2133,MATCH("Xero Invoice Date",$A$1:$AB$1,0)),"")</f>
        <v/>
      </c>
      <c r="AF2133" s="54">
        <f>IF(AND(IFERROR(INDEX($A2133:$AB2133,MATCH("Xero Invoice No",$A$1:$AB$1,0)),"")&amp;""&lt;&gt;"",ISNUMBER(AE2133),AD2133&lt;&gt;0),1,0)</f>
        <v/>
      </c>
      <c r="AG2133" s="55">
        <f>IF(AF2133=1,EOMONTH(AE2133,0),"")</f>
        <v/>
      </c>
      <c r="AH2133" s="9">
        <f>IF(AF2133=1,UPPER(TRIM(IFERROR(INDEX($A2133:$AB2133,MATCH("Client",$A$1:$AB$1,0)),"")&amp;"")),"")</f>
        <v/>
      </c>
      <c r="AI2133" s="9">
        <f>IF(AF2133=1,IFERROR(INDEX($A2133:$AB2133,MATCH("Cost Centre",$A$1:$AB$1,0)),"")&amp;"","")</f>
        <v/>
      </c>
      <c r="AJ2133" s="54">
        <f>IF(AND(AF2133=1,AE2133&gt;=set_FYStart,AE2133&lt;=set_AsAt),1,0)</f>
        <v/>
      </c>
      <c r="AK2133" s="54">
        <f>IF(AND(AJ2133=1,AH2133&lt;&gt;"",COUNTIFS($AH$2:AH2133,AH2133,$AJ$2:AJ2133,1)=1),N(AL2132)+1,"")</f>
        <v/>
      </c>
      <c r="AL2133" s="54">
        <f>IF(AK2133&lt;&gt;"",AK2133,N(AL2132))</f>
        <v/>
      </c>
    </row>
    <row r="2134">
      <c r="A2134" t="inlineStr">
        <is>
          <t>CON-0711</t>
        </is>
      </c>
      <c r="B2134" t="inlineStr">
        <is>
          <t>Consulting</t>
        </is>
      </c>
      <c r="AB2134" t="n">
        <v>711</v>
      </c>
      <c r="AD2134" s="52">
        <f>IFERROR(N(IFERROR(INDEX($A2134:$AB2134,MATCH("Xero Invoiced Ex GST",$A$1:$AB$1,0)),"")),0)</f>
        <v/>
      </c>
      <c r="AE2134" s="53">
        <f>IFERROR(INDEX($A2134:$AB2134,MATCH("Xero Invoice Date",$A$1:$AB$1,0)),"")</f>
        <v/>
      </c>
      <c r="AF2134" s="54">
        <f>IF(AND(IFERROR(INDEX($A2134:$AB2134,MATCH("Xero Invoice No",$A$1:$AB$1,0)),"")&amp;""&lt;&gt;"",ISNUMBER(AE2134),AD2134&lt;&gt;0),1,0)</f>
        <v/>
      </c>
      <c r="AG2134" s="55">
        <f>IF(AF2134=1,EOMONTH(AE2134,0),"")</f>
        <v/>
      </c>
      <c r="AH2134" s="9">
        <f>IF(AF2134=1,UPPER(TRIM(IFERROR(INDEX($A2134:$AB2134,MATCH("Client",$A$1:$AB$1,0)),"")&amp;"")),"")</f>
        <v/>
      </c>
      <c r="AI2134" s="9">
        <f>IF(AF2134=1,IFERROR(INDEX($A2134:$AB2134,MATCH("Cost Centre",$A$1:$AB$1,0)),"")&amp;"","")</f>
        <v/>
      </c>
      <c r="AJ2134" s="54">
        <f>IF(AND(AF2134=1,AE2134&gt;=set_FYStart,AE2134&lt;=set_AsAt),1,0)</f>
        <v/>
      </c>
      <c r="AK2134" s="54">
        <f>IF(AND(AJ2134=1,AH2134&lt;&gt;"",COUNTIFS($AH$2:AH2134,AH2134,$AJ$2:AJ2134,1)=1),N(AL2133)+1,"")</f>
        <v/>
      </c>
      <c r="AL2134" s="54">
        <f>IF(AK2134&lt;&gt;"",AK2134,N(AL2133))</f>
        <v/>
      </c>
    </row>
    <row r="2135">
      <c r="A2135" t="inlineStr">
        <is>
          <t>ONS-0712</t>
        </is>
      </c>
      <c r="B2135" t="inlineStr">
        <is>
          <t>Onsite</t>
        </is>
      </c>
      <c r="AB2135" t="n">
        <v>712</v>
      </c>
      <c r="AD2135" s="52">
        <f>IFERROR(N(IFERROR(INDEX($A2135:$AB2135,MATCH("Xero Invoiced Ex GST",$A$1:$AB$1,0)),"")),0)</f>
        <v/>
      </c>
      <c r="AE2135" s="53">
        <f>IFERROR(INDEX($A2135:$AB2135,MATCH("Xero Invoice Date",$A$1:$AB$1,0)),"")</f>
        <v/>
      </c>
      <c r="AF2135" s="54">
        <f>IF(AND(IFERROR(INDEX($A2135:$AB2135,MATCH("Xero Invoice No",$A$1:$AB$1,0)),"")&amp;""&lt;&gt;"",ISNUMBER(AE2135),AD2135&lt;&gt;0),1,0)</f>
        <v/>
      </c>
      <c r="AG2135" s="55">
        <f>IF(AF2135=1,EOMONTH(AE2135,0),"")</f>
        <v/>
      </c>
      <c r="AH2135" s="9">
        <f>IF(AF2135=1,UPPER(TRIM(IFERROR(INDEX($A2135:$AB2135,MATCH("Client",$A$1:$AB$1,0)),"")&amp;"")),"")</f>
        <v/>
      </c>
      <c r="AI2135" s="9">
        <f>IF(AF2135=1,IFERROR(INDEX($A2135:$AB2135,MATCH("Cost Centre",$A$1:$AB$1,0)),"")&amp;"","")</f>
        <v/>
      </c>
      <c r="AJ2135" s="54">
        <f>IF(AND(AF2135=1,AE2135&gt;=set_FYStart,AE2135&lt;=set_AsAt),1,0)</f>
        <v/>
      </c>
      <c r="AK2135" s="54">
        <f>IF(AND(AJ2135=1,AH2135&lt;&gt;"",COUNTIFS($AH$2:AH2135,AH2135,$AJ$2:AJ2135,1)=1),N(AL2134)+1,"")</f>
        <v/>
      </c>
      <c r="AL2135" s="54">
        <f>IF(AK2135&lt;&gt;"",AK2135,N(AL2134))</f>
        <v/>
      </c>
    </row>
    <row r="2136">
      <c r="A2136" t="inlineStr">
        <is>
          <t>PRD-0712</t>
        </is>
      </c>
      <c r="B2136" t="inlineStr">
        <is>
          <t>Production</t>
        </is>
      </c>
      <c r="AB2136" t="n">
        <v>712</v>
      </c>
      <c r="AD2136" s="52">
        <f>IFERROR(N(IFERROR(INDEX($A2136:$AB2136,MATCH("Xero Invoiced Ex GST",$A$1:$AB$1,0)),"")),0)</f>
        <v/>
      </c>
      <c r="AE2136" s="53">
        <f>IFERROR(INDEX($A2136:$AB2136,MATCH("Xero Invoice Date",$A$1:$AB$1,0)),"")</f>
        <v/>
      </c>
      <c r="AF2136" s="54">
        <f>IF(AND(IFERROR(INDEX($A2136:$AB2136,MATCH("Xero Invoice No",$A$1:$AB$1,0)),"")&amp;""&lt;&gt;"",ISNUMBER(AE2136),AD2136&lt;&gt;0),1,0)</f>
        <v/>
      </c>
      <c r="AG2136" s="55">
        <f>IF(AF2136=1,EOMONTH(AE2136,0),"")</f>
        <v/>
      </c>
      <c r="AH2136" s="9">
        <f>IF(AF2136=1,UPPER(TRIM(IFERROR(INDEX($A2136:$AB2136,MATCH("Client",$A$1:$AB$1,0)),"")&amp;"")),"")</f>
        <v/>
      </c>
      <c r="AI2136" s="9">
        <f>IF(AF2136=1,IFERROR(INDEX($A2136:$AB2136,MATCH("Cost Centre",$A$1:$AB$1,0)),"")&amp;"","")</f>
        <v/>
      </c>
      <c r="AJ2136" s="54">
        <f>IF(AND(AF2136=1,AE2136&gt;=set_FYStart,AE2136&lt;=set_AsAt),1,0)</f>
        <v/>
      </c>
      <c r="AK2136" s="54">
        <f>IF(AND(AJ2136=1,AH2136&lt;&gt;"",COUNTIFS($AH$2:AH2136,AH2136,$AJ$2:AJ2136,1)=1),N(AL2135)+1,"")</f>
        <v/>
      </c>
      <c r="AL2136" s="54">
        <f>IF(AK2136&lt;&gt;"",AK2136,N(AL2135))</f>
        <v/>
      </c>
    </row>
    <row r="2137">
      <c r="A2137" t="inlineStr">
        <is>
          <t>CON-0712</t>
        </is>
      </c>
      <c r="B2137" t="inlineStr">
        <is>
          <t>Consulting</t>
        </is>
      </c>
      <c r="AB2137" t="n">
        <v>712</v>
      </c>
      <c r="AD2137" s="52">
        <f>IFERROR(N(IFERROR(INDEX($A2137:$AB2137,MATCH("Xero Invoiced Ex GST",$A$1:$AB$1,0)),"")),0)</f>
        <v/>
      </c>
      <c r="AE2137" s="53">
        <f>IFERROR(INDEX($A2137:$AB2137,MATCH("Xero Invoice Date",$A$1:$AB$1,0)),"")</f>
        <v/>
      </c>
      <c r="AF2137" s="54">
        <f>IF(AND(IFERROR(INDEX($A2137:$AB2137,MATCH("Xero Invoice No",$A$1:$AB$1,0)),"")&amp;""&lt;&gt;"",ISNUMBER(AE2137),AD2137&lt;&gt;0),1,0)</f>
        <v/>
      </c>
      <c r="AG2137" s="55">
        <f>IF(AF2137=1,EOMONTH(AE2137,0),"")</f>
        <v/>
      </c>
      <c r="AH2137" s="9">
        <f>IF(AF2137=1,UPPER(TRIM(IFERROR(INDEX($A2137:$AB2137,MATCH("Client",$A$1:$AB$1,0)),"")&amp;"")),"")</f>
        <v/>
      </c>
      <c r="AI2137" s="9">
        <f>IF(AF2137=1,IFERROR(INDEX($A2137:$AB2137,MATCH("Cost Centre",$A$1:$AB$1,0)),"")&amp;"","")</f>
        <v/>
      </c>
      <c r="AJ2137" s="54">
        <f>IF(AND(AF2137=1,AE2137&gt;=set_FYStart,AE2137&lt;=set_AsAt),1,0)</f>
        <v/>
      </c>
      <c r="AK2137" s="54">
        <f>IF(AND(AJ2137=1,AH2137&lt;&gt;"",COUNTIFS($AH$2:AH2137,AH2137,$AJ$2:AJ2137,1)=1),N(AL2136)+1,"")</f>
        <v/>
      </c>
      <c r="AL2137" s="54">
        <f>IF(AK2137&lt;&gt;"",AK2137,N(AL2136))</f>
        <v/>
      </c>
    </row>
    <row r="2138">
      <c r="A2138" t="inlineStr">
        <is>
          <t>ONS-0713</t>
        </is>
      </c>
      <c r="B2138" t="inlineStr">
        <is>
          <t>Onsite</t>
        </is>
      </c>
      <c r="AB2138" t="n">
        <v>713</v>
      </c>
      <c r="AD2138" s="52">
        <f>IFERROR(N(IFERROR(INDEX($A2138:$AB2138,MATCH("Xero Invoiced Ex GST",$A$1:$AB$1,0)),"")),0)</f>
        <v/>
      </c>
      <c r="AE2138" s="53">
        <f>IFERROR(INDEX($A2138:$AB2138,MATCH("Xero Invoice Date",$A$1:$AB$1,0)),"")</f>
        <v/>
      </c>
      <c r="AF2138" s="54">
        <f>IF(AND(IFERROR(INDEX($A2138:$AB2138,MATCH("Xero Invoice No",$A$1:$AB$1,0)),"")&amp;""&lt;&gt;"",ISNUMBER(AE2138),AD2138&lt;&gt;0),1,0)</f>
        <v/>
      </c>
      <c r="AG2138" s="55">
        <f>IF(AF2138=1,EOMONTH(AE2138,0),"")</f>
        <v/>
      </c>
      <c r="AH2138" s="9">
        <f>IF(AF2138=1,UPPER(TRIM(IFERROR(INDEX($A2138:$AB2138,MATCH("Client",$A$1:$AB$1,0)),"")&amp;"")),"")</f>
        <v/>
      </c>
      <c r="AI2138" s="9">
        <f>IF(AF2138=1,IFERROR(INDEX($A2138:$AB2138,MATCH("Cost Centre",$A$1:$AB$1,0)),"")&amp;"","")</f>
        <v/>
      </c>
      <c r="AJ2138" s="54">
        <f>IF(AND(AF2138=1,AE2138&gt;=set_FYStart,AE2138&lt;=set_AsAt),1,0)</f>
        <v/>
      </c>
      <c r="AK2138" s="54">
        <f>IF(AND(AJ2138=1,AH2138&lt;&gt;"",COUNTIFS($AH$2:AH2138,AH2138,$AJ$2:AJ2138,1)=1),N(AL2137)+1,"")</f>
        <v/>
      </c>
      <c r="AL2138" s="54">
        <f>IF(AK2138&lt;&gt;"",AK2138,N(AL2137))</f>
        <v/>
      </c>
    </row>
    <row r="2139">
      <c r="A2139" t="inlineStr">
        <is>
          <t>PRD-0713</t>
        </is>
      </c>
      <c r="B2139" t="inlineStr">
        <is>
          <t>Production</t>
        </is>
      </c>
      <c r="AB2139" t="n">
        <v>713</v>
      </c>
      <c r="AD2139" s="52">
        <f>IFERROR(N(IFERROR(INDEX($A2139:$AB2139,MATCH("Xero Invoiced Ex GST",$A$1:$AB$1,0)),"")),0)</f>
        <v/>
      </c>
      <c r="AE2139" s="53">
        <f>IFERROR(INDEX($A2139:$AB2139,MATCH("Xero Invoice Date",$A$1:$AB$1,0)),"")</f>
        <v/>
      </c>
      <c r="AF2139" s="54">
        <f>IF(AND(IFERROR(INDEX($A2139:$AB2139,MATCH("Xero Invoice No",$A$1:$AB$1,0)),"")&amp;""&lt;&gt;"",ISNUMBER(AE2139),AD2139&lt;&gt;0),1,0)</f>
        <v/>
      </c>
      <c r="AG2139" s="55">
        <f>IF(AF2139=1,EOMONTH(AE2139,0),"")</f>
        <v/>
      </c>
      <c r="AH2139" s="9">
        <f>IF(AF2139=1,UPPER(TRIM(IFERROR(INDEX($A2139:$AB2139,MATCH("Client",$A$1:$AB$1,0)),"")&amp;"")),"")</f>
        <v/>
      </c>
      <c r="AI2139" s="9">
        <f>IF(AF2139=1,IFERROR(INDEX($A2139:$AB2139,MATCH("Cost Centre",$A$1:$AB$1,0)),"")&amp;"","")</f>
        <v/>
      </c>
      <c r="AJ2139" s="54">
        <f>IF(AND(AF2139=1,AE2139&gt;=set_FYStart,AE2139&lt;=set_AsAt),1,0)</f>
        <v/>
      </c>
      <c r="AK2139" s="54">
        <f>IF(AND(AJ2139=1,AH2139&lt;&gt;"",COUNTIFS($AH$2:AH2139,AH2139,$AJ$2:AJ2139,1)=1),N(AL2138)+1,"")</f>
        <v/>
      </c>
      <c r="AL2139" s="54">
        <f>IF(AK2139&lt;&gt;"",AK2139,N(AL2138))</f>
        <v/>
      </c>
    </row>
    <row r="2140">
      <c r="A2140" t="inlineStr">
        <is>
          <t>CON-0713</t>
        </is>
      </c>
      <c r="B2140" t="inlineStr">
        <is>
          <t>Consulting</t>
        </is>
      </c>
      <c r="AB2140" t="n">
        <v>713</v>
      </c>
      <c r="AD2140" s="52">
        <f>IFERROR(N(IFERROR(INDEX($A2140:$AB2140,MATCH("Xero Invoiced Ex GST",$A$1:$AB$1,0)),"")),0)</f>
        <v/>
      </c>
      <c r="AE2140" s="53">
        <f>IFERROR(INDEX($A2140:$AB2140,MATCH("Xero Invoice Date",$A$1:$AB$1,0)),"")</f>
        <v/>
      </c>
      <c r="AF2140" s="54">
        <f>IF(AND(IFERROR(INDEX($A2140:$AB2140,MATCH("Xero Invoice No",$A$1:$AB$1,0)),"")&amp;""&lt;&gt;"",ISNUMBER(AE2140),AD2140&lt;&gt;0),1,0)</f>
        <v/>
      </c>
      <c r="AG2140" s="55">
        <f>IF(AF2140=1,EOMONTH(AE2140,0),"")</f>
        <v/>
      </c>
      <c r="AH2140" s="9">
        <f>IF(AF2140=1,UPPER(TRIM(IFERROR(INDEX($A2140:$AB2140,MATCH("Client",$A$1:$AB$1,0)),"")&amp;"")),"")</f>
        <v/>
      </c>
      <c r="AI2140" s="9">
        <f>IF(AF2140=1,IFERROR(INDEX($A2140:$AB2140,MATCH("Cost Centre",$A$1:$AB$1,0)),"")&amp;"","")</f>
        <v/>
      </c>
      <c r="AJ2140" s="54">
        <f>IF(AND(AF2140=1,AE2140&gt;=set_FYStart,AE2140&lt;=set_AsAt),1,0)</f>
        <v/>
      </c>
      <c r="AK2140" s="54">
        <f>IF(AND(AJ2140=1,AH2140&lt;&gt;"",COUNTIFS($AH$2:AH2140,AH2140,$AJ$2:AJ2140,1)=1),N(AL2139)+1,"")</f>
        <v/>
      </c>
      <c r="AL2140" s="54">
        <f>IF(AK2140&lt;&gt;"",AK2140,N(AL2139))</f>
        <v/>
      </c>
    </row>
    <row r="2141">
      <c r="A2141" t="inlineStr">
        <is>
          <t>ONS-0714</t>
        </is>
      </c>
      <c r="B2141" t="inlineStr">
        <is>
          <t>Onsite</t>
        </is>
      </c>
      <c r="AB2141" t="n">
        <v>714</v>
      </c>
      <c r="AD2141" s="52">
        <f>IFERROR(N(IFERROR(INDEX($A2141:$AB2141,MATCH("Xero Invoiced Ex GST",$A$1:$AB$1,0)),"")),0)</f>
        <v/>
      </c>
      <c r="AE2141" s="53">
        <f>IFERROR(INDEX($A2141:$AB2141,MATCH("Xero Invoice Date",$A$1:$AB$1,0)),"")</f>
        <v/>
      </c>
      <c r="AF2141" s="54">
        <f>IF(AND(IFERROR(INDEX($A2141:$AB2141,MATCH("Xero Invoice No",$A$1:$AB$1,0)),"")&amp;""&lt;&gt;"",ISNUMBER(AE2141),AD2141&lt;&gt;0),1,0)</f>
        <v/>
      </c>
      <c r="AG2141" s="55">
        <f>IF(AF2141=1,EOMONTH(AE2141,0),"")</f>
        <v/>
      </c>
      <c r="AH2141" s="9">
        <f>IF(AF2141=1,UPPER(TRIM(IFERROR(INDEX($A2141:$AB2141,MATCH("Client",$A$1:$AB$1,0)),"")&amp;"")),"")</f>
        <v/>
      </c>
      <c r="AI2141" s="9">
        <f>IF(AF2141=1,IFERROR(INDEX($A2141:$AB2141,MATCH("Cost Centre",$A$1:$AB$1,0)),"")&amp;"","")</f>
        <v/>
      </c>
      <c r="AJ2141" s="54">
        <f>IF(AND(AF2141=1,AE2141&gt;=set_FYStart,AE2141&lt;=set_AsAt),1,0)</f>
        <v/>
      </c>
      <c r="AK2141" s="54">
        <f>IF(AND(AJ2141=1,AH2141&lt;&gt;"",COUNTIFS($AH$2:AH2141,AH2141,$AJ$2:AJ2141,1)=1),N(AL2140)+1,"")</f>
        <v/>
      </c>
      <c r="AL2141" s="54">
        <f>IF(AK2141&lt;&gt;"",AK2141,N(AL2140))</f>
        <v/>
      </c>
    </row>
    <row r="2142">
      <c r="A2142" t="inlineStr">
        <is>
          <t>PRD-0714</t>
        </is>
      </c>
      <c r="B2142" t="inlineStr">
        <is>
          <t>Production</t>
        </is>
      </c>
      <c r="AB2142" t="n">
        <v>714</v>
      </c>
      <c r="AD2142" s="52">
        <f>IFERROR(N(IFERROR(INDEX($A2142:$AB2142,MATCH("Xero Invoiced Ex GST",$A$1:$AB$1,0)),"")),0)</f>
        <v/>
      </c>
      <c r="AE2142" s="53">
        <f>IFERROR(INDEX($A2142:$AB2142,MATCH("Xero Invoice Date",$A$1:$AB$1,0)),"")</f>
        <v/>
      </c>
      <c r="AF2142" s="54">
        <f>IF(AND(IFERROR(INDEX($A2142:$AB2142,MATCH("Xero Invoice No",$A$1:$AB$1,0)),"")&amp;""&lt;&gt;"",ISNUMBER(AE2142),AD2142&lt;&gt;0),1,0)</f>
        <v/>
      </c>
      <c r="AG2142" s="55">
        <f>IF(AF2142=1,EOMONTH(AE2142,0),"")</f>
        <v/>
      </c>
      <c r="AH2142" s="9">
        <f>IF(AF2142=1,UPPER(TRIM(IFERROR(INDEX($A2142:$AB2142,MATCH("Client",$A$1:$AB$1,0)),"")&amp;"")),"")</f>
        <v/>
      </c>
      <c r="AI2142" s="9">
        <f>IF(AF2142=1,IFERROR(INDEX($A2142:$AB2142,MATCH("Cost Centre",$A$1:$AB$1,0)),"")&amp;"","")</f>
        <v/>
      </c>
      <c r="AJ2142" s="54">
        <f>IF(AND(AF2142=1,AE2142&gt;=set_FYStart,AE2142&lt;=set_AsAt),1,0)</f>
        <v/>
      </c>
      <c r="AK2142" s="54">
        <f>IF(AND(AJ2142=1,AH2142&lt;&gt;"",COUNTIFS($AH$2:AH2142,AH2142,$AJ$2:AJ2142,1)=1),N(AL2141)+1,"")</f>
        <v/>
      </c>
      <c r="AL2142" s="54">
        <f>IF(AK2142&lt;&gt;"",AK2142,N(AL2141))</f>
        <v/>
      </c>
    </row>
    <row r="2143">
      <c r="A2143" t="inlineStr">
        <is>
          <t>CON-0714</t>
        </is>
      </c>
      <c r="B2143" t="inlineStr">
        <is>
          <t>Consulting</t>
        </is>
      </c>
      <c r="AB2143" t="n">
        <v>714</v>
      </c>
      <c r="AD2143" s="52">
        <f>IFERROR(N(IFERROR(INDEX($A2143:$AB2143,MATCH("Xero Invoiced Ex GST",$A$1:$AB$1,0)),"")),0)</f>
        <v/>
      </c>
      <c r="AE2143" s="53">
        <f>IFERROR(INDEX($A2143:$AB2143,MATCH("Xero Invoice Date",$A$1:$AB$1,0)),"")</f>
        <v/>
      </c>
      <c r="AF2143" s="54">
        <f>IF(AND(IFERROR(INDEX($A2143:$AB2143,MATCH("Xero Invoice No",$A$1:$AB$1,0)),"")&amp;""&lt;&gt;"",ISNUMBER(AE2143),AD2143&lt;&gt;0),1,0)</f>
        <v/>
      </c>
      <c r="AG2143" s="55">
        <f>IF(AF2143=1,EOMONTH(AE2143,0),"")</f>
        <v/>
      </c>
      <c r="AH2143" s="9">
        <f>IF(AF2143=1,UPPER(TRIM(IFERROR(INDEX($A2143:$AB2143,MATCH("Client",$A$1:$AB$1,0)),"")&amp;"")),"")</f>
        <v/>
      </c>
      <c r="AI2143" s="9">
        <f>IF(AF2143=1,IFERROR(INDEX($A2143:$AB2143,MATCH("Cost Centre",$A$1:$AB$1,0)),"")&amp;"","")</f>
        <v/>
      </c>
      <c r="AJ2143" s="54">
        <f>IF(AND(AF2143=1,AE2143&gt;=set_FYStart,AE2143&lt;=set_AsAt),1,0)</f>
        <v/>
      </c>
      <c r="AK2143" s="54">
        <f>IF(AND(AJ2143=1,AH2143&lt;&gt;"",COUNTIFS($AH$2:AH2143,AH2143,$AJ$2:AJ2143,1)=1),N(AL2142)+1,"")</f>
        <v/>
      </c>
      <c r="AL2143" s="54">
        <f>IF(AK2143&lt;&gt;"",AK2143,N(AL2142))</f>
        <v/>
      </c>
    </row>
    <row r="2144">
      <c r="A2144" t="inlineStr">
        <is>
          <t>ONS-0715</t>
        </is>
      </c>
      <c r="B2144" t="inlineStr">
        <is>
          <t>Onsite</t>
        </is>
      </c>
      <c r="AB2144" t="n">
        <v>715</v>
      </c>
      <c r="AD2144" s="52">
        <f>IFERROR(N(IFERROR(INDEX($A2144:$AB2144,MATCH("Xero Invoiced Ex GST",$A$1:$AB$1,0)),"")),0)</f>
        <v/>
      </c>
      <c r="AE2144" s="53">
        <f>IFERROR(INDEX($A2144:$AB2144,MATCH("Xero Invoice Date",$A$1:$AB$1,0)),"")</f>
        <v/>
      </c>
      <c r="AF2144" s="54">
        <f>IF(AND(IFERROR(INDEX($A2144:$AB2144,MATCH("Xero Invoice No",$A$1:$AB$1,0)),"")&amp;""&lt;&gt;"",ISNUMBER(AE2144),AD2144&lt;&gt;0),1,0)</f>
        <v/>
      </c>
      <c r="AG2144" s="55">
        <f>IF(AF2144=1,EOMONTH(AE2144,0),"")</f>
        <v/>
      </c>
      <c r="AH2144" s="9">
        <f>IF(AF2144=1,UPPER(TRIM(IFERROR(INDEX($A2144:$AB2144,MATCH("Client",$A$1:$AB$1,0)),"")&amp;"")),"")</f>
        <v/>
      </c>
      <c r="AI2144" s="9">
        <f>IF(AF2144=1,IFERROR(INDEX($A2144:$AB2144,MATCH("Cost Centre",$A$1:$AB$1,0)),"")&amp;"","")</f>
        <v/>
      </c>
      <c r="AJ2144" s="54">
        <f>IF(AND(AF2144=1,AE2144&gt;=set_FYStart,AE2144&lt;=set_AsAt),1,0)</f>
        <v/>
      </c>
      <c r="AK2144" s="54">
        <f>IF(AND(AJ2144=1,AH2144&lt;&gt;"",COUNTIFS($AH$2:AH2144,AH2144,$AJ$2:AJ2144,1)=1),N(AL2143)+1,"")</f>
        <v/>
      </c>
      <c r="AL2144" s="54">
        <f>IF(AK2144&lt;&gt;"",AK2144,N(AL2143))</f>
        <v/>
      </c>
    </row>
    <row r="2145">
      <c r="A2145" t="inlineStr">
        <is>
          <t>PRD-0715</t>
        </is>
      </c>
      <c r="B2145" t="inlineStr">
        <is>
          <t>Production</t>
        </is>
      </c>
      <c r="AB2145" t="n">
        <v>715</v>
      </c>
      <c r="AD2145" s="52">
        <f>IFERROR(N(IFERROR(INDEX($A2145:$AB2145,MATCH("Xero Invoiced Ex GST",$A$1:$AB$1,0)),"")),0)</f>
        <v/>
      </c>
      <c r="AE2145" s="53">
        <f>IFERROR(INDEX($A2145:$AB2145,MATCH("Xero Invoice Date",$A$1:$AB$1,0)),"")</f>
        <v/>
      </c>
      <c r="AF2145" s="54">
        <f>IF(AND(IFERROR(INDEX($A2145:$AB2145,MATCH("Xero Invoice No",$A$1:$AB$1,0)),"")&amp;""&lt;&gt;"",ISNUMBER(AE2145),AD2145&lt;&gt;0),1,0)</f>
        <v/>
      </c>
      <c r="AG2145" s="55">
        <f>IF(AF2145=1,EOMONTH(AE2145,0),"")</f>
        <v/>
      </c>
      <c r="AH2145" s="9">
        <f>IF(AF2145=1,UPPER(TRIM(IFERROR(INDEX($A2145:$AB2145,MATCH("Client",$A$1:$AB$1,0)),"")&amp;"")),"")</f>
        <v/>
      </c>
      <c r="AI2145" s="9">
        <f>IF(AF2145=1,IFERROR(INDEX($A2145:$AB2145,MATCH("Cost Centre",$A$1:$AB$1,0)),"")&amp;"","")</f>
        <v/>
      </c>
      <c r="AJ2145" s="54">
        <f>IF(AND(AF2145=1,AE2145&gt;=set_FYStart,AE2145&lt;=set_AsAt),1,0)</f>
        <v/>
      </c>
      <c r="AK2145" s="54">
        <f>IF(AND(AJ2145=1,AH2145&lt;&gt;"",COUNTIFS($AH$2:AH2145,AH2145,$AJ$2:AJ2145,1)=1),N(AL2144)+1,"")</f>
        <v/>
      </c>
      <c r="AL2145" s="54">
        <f>IF(AK2145&lt;&gt;"",AK2145,N(AL2144))</f>
        <v/>
      </c>
    </row>
    <row r="2146">
      <c r="A2146" t="inlineStr">
        <is>
          <t>CON-0715</t>
        </is>
      </c>
      <c r="B2146" t="inlineStr">
        <is>
          <t>Consulting</t>
        </is>
      </c>
      <c r="AB2146" t="n">
        <v>715</v>
      </c>
      <c r="AD2146" s="52">
        <f>IFERROR(N(IFERROR(INDEX($A2146:$AB2146,MATCH("Xero Invoiced Ex GST",$A$1:$AB$1,0)),"")),0)</f>
        <v/>
      </c>
      <c r="AE2146" s="53">
        <f>IFERROR(INDEX($A2146:$AB2146,MATCH("Xero Invoice Date",$A$1:$AB$1,0)),"")</f>
        <v/>
      </c>
      <c r="AF2146" s="54">
        <f>IF(AND(IFERROR(INDEX($A2146:$AB2146,MATCH("Xero Invoice No",$A$1:$AB$1,0)),"")&amp;""&lt;&gt;"",ISNUMBER(AE2146),AD2146&lt;&gt;0),1,0)</f>
        <v/>
      </c>
      <c r="AG2146" s="55">
        <f>IF(AF2146=1,EOMONTH(AE2146,0),"")</f>
        <v/>
      </c>
      <c r="AH2146" s="9">
        <f>IF(AF2146=1,UPPER(TRIM(IFERROR(INDEX($A2146:$AB2146,MATCH("Client",$A$1:$AB$1,0)),"")&amp;"")),"")</f>
        <v/>
      </c>
      <c r="AI2146" s="9">
        <f>IF(AF2146=1,IFERROR(INDEX($A2146:$AB2146,MATCH("Cost Centre",$A$1:$AB$1,0)),"")&amp;"","")</f>
        <v/>
      </c>
      <c r="AJ2146" s="54">
        <f>IF(AND(AF2146=1,AE2146&gt;=set_FYStart,AE2146&lt;=set_AsAt),1,0)</f>
        <v/>
      </c>
      <c r="AK2146" s="54">
        <f>IF(AND(AJ2146=1,AH2146&lt;&gt;"",COUNTIFS($AH$2:AH2146,AH2146,$AJ$2:AJ2146,1)=1),N(AL2145)+1,"")</f>
        <v/>
      </c>
      <c r="AL2146" s="54">
        <f>IF(AK2146&lt;&gt;"",AK2146,N(AL2145))</f>
        <v/>
      </c>
    </row>
    <row r="2147">
      <c r="A2147" t="inlineStr">
        <is>
          <t>ONS-0716</t>
        </is>
      </c>
      <c r="B2147" t="inlineStr">
        <is>
          <t>Onsite</t>
        </is>
      </c>
      <c r="AB2147" t="n">
        <v>716</v>
      </c>
      <c r="AD2147" s="52">
        <f>IFERROR(N(IFERROR(INDEX($A2147:$AB2147,MATCH("Xero Invoiced Ex GST",$A$1:$AB$1,0)),"")),0)</f>
        <v/>
      </c>
      <c r="AE2147" s="53">
        <f>IFERROR(INDEX($A2147:$AB2147,MATCH("Xero Invoice Date",$A$1:$AB$1,0)),"")</f>
        <v/>
      </c>
      <c r="AF2147" s="54">
        <f>IF(AND(IFERROR(INDEX($A2147:$AB2147,MATCH("Xero Invoice No",$A$1:$AB$1,0)),"")&amp;""&lt;&gt;"",ISNUMBER(AE2147),AD2147&lt;&gt;0),1,0)</f>
        <v/>
      </c>
      <c r="AG2147" s="55">
        <f>IF(AF2147=1,EOMONTH(AE2147,0),"")</f>
        <v/>
      </c>
      <c r="AH2147" s="9">
        <f>IF(AF2147=1,UPPER(TRIM(IFERROR(INDEX($A2147:$AB2147,MATCH("Client",$A$1:$AB$1,0)),"")&amp;"")),"")</f>
        <v/>
      </c>
      <c r="AI2147" s="9">
        <f>IF(AF2147=1,IFERROR(INDEX($A2147:$AB2147,MATCH("Cost Centre",$A$1:$AB$1,0)),"")&amp;"","")</f>
        <v/>
      </c>
      <c r="AJ2147" s="54">
        <f>IF(AND(AF2147=1,AE2147&gt;=set_FYStart,AE2147&lt;=set_AsAt),1,0)</f>
        <v/>
      </c>
      <c r="AK2147" s="54">
        <f>IF(AND(AJ2147=1,AH2147&lt;&gt;"",COUNTIFS($AH$2:AH2147,AH2147,$AJ$2:AJ2147,1)=1),N(AL2146)+1,"")</f>
        <v/>
      </c>
      <c r="AL2147" s="54">
        <f>IF(AK2147&lt;&gt;"",AK2147,N(AL2146))</f>
        <v/>
      </c>
    </row>
    <row r="2148">
      <c r="A2148" t="inlineStr">
        <is>
          <t>PRD-0716</t>
        </is>
      </c>
      <c r="B2148" t="inlineStr">
        <is>
          <t>Production</t>
        </is>
      </c>
      <c r="AB2148" t="n">
        <v>716</v>
      </c>
      <c r="AD2148" s="52">
        <f>IFERROR(N(IFERROR(INDEX($A2148:$AB2148,MATCH("Xero Invoiced Ex GST",$A$1:$AB$1,0)),"")),0)</f>
        <v/>
      </c>
      <c r="AE2148" s="53">
        <f>IFERROR(INDEX($A2148:$AB2148,MATCH("Xero Invoice Date",$A$1:$AB$1,0)),"")</f>
        <v/>
      </c>
      <c r="AF2148" s="54">
        <f>IF(AND(IFERROR(INDEX($A2148:$AB2148,MATCH("Xero Invoice No",$A$1:$AB$1,0)),"")&amp;""&lt;&gt;"",ISNUMBER(AE2148),AD2148&lt;&gt;0),1,0)</f>
        <v/>
      </c>
      <c r="AG2148" s="55">
        <f>IF(AF2148=1,EOMONTH(AE2148,0),"")</f>
        <v/>
      </c>
      <c r="AH2148" s="9">
        <f>IF(AF2148=1,UPPER(TRIM(IFERROR(INDEX($A2148:$AB2148,MATCH("Client",$A$1:$AB$1,0)),"")&amp;"")),"")</f>
        <v/>
      </c>
      <c r="AI2148" s="9">
        <f>IF(AF2148=1,IFERROR(INDEX($A2148:$AB2148,MATCH("Cost Centre",$A$1:$AB$1,0)),"")&amp;"","")</f>
        <v/>
      </c>
      <c r="AJ2148" s="54">
        <f>IF(AND(AF2148=1,AE2148&gt;=set_FYStart,AE2148&lt;=set_AsAt),1,0)</f>
        <v/>
      </c>
      <c r="AK2148" s="54">
        <f>IF(AND(AJ2148=1,AH2148&lt;&gt;"",COUNTIFS($AH$2:AH2148,AH2148,$AJ$2:AJ2148,1)=1),N(AL2147)+1,"")</f>
        <v/>
      </c>
      <c r="AL2148" s="54">
        <f>IF(AK2148&lt;&gt;"",AK2148,N(AL2147))</f>
        <v/>
      </c>
    </row>
    <row r="2149">
      <c r="A2149" t="inlineStr">
        <is>
          <t>CON-0716</t>
        </is>
      </c>
      <c r="B2149" t="inlineStr">
        <is>
          <t>Consulting</t>
        </is>
      </c>
      <c r="AB2149" t="n">
        <v>716</v>
      </c>
      <c r="AD2149" s="52">
        <f>IFERROR(N(IFERROR(INDEX($A2149:$AB2149,MATCH("Xero Invoiced Ex GST",$A$1:$AB$1,0)),"")),0)</f>
        <v/>
      </c>
      <c r="AE2149" s="53">
        <f>IFERROR(INDEX($A2149:$AB2149,MATCH("Xero Invoice Date",$A$1:$AB$1,0)),"")</f>
        <v/>
      </c>
      <c r="AF2149" s="54">
        <f>IF(AND(IFERROR(INDEX($A2149:$AB2149,MATCH("Xero Invoice No",$A$1:$AB$1,0)),"")&amp;""&lt;&gt;"",ISNUMBER(AE2149),AD2149&lt;&gt;0),1,0)</f>
        <v/>
      </c>
      <c r="AG2149" s="55">
        <f>IF(AF2149=1,EOMONTH(AE2149,0),"")</f>
        <v/>
      </c>
      <c r="AH2149" s="9">
        <f>IF(AF2149=1,UPPER(TRIM(IFERROR(INDEX($A2149:$AB2149,MATCH("Client",$A$1:$AB$1,0)),"")&amp;"")),"")</f>
        <v/>
      </c>
      <c r="AI2149" s="9">
        <f>IF(AF2149=1,IFERROR(INDEX($A2149:$AB2149,MATCH("Cost Centre",$A$1:$AB$1,0)),"")&amp;"","")</f>
        <v/>
      </c>
      <c r="AJ2149" s="54">
        <f>IF(AND(AF2149=1,AE2149&gt;=set_FYStart,AE2149&lt;=set_AsAt),1,0)</f>
        <v/>
      </c>
      <c r="AK2149" s="54">
        <f>IF(AND(AJ2149=1,AH2149&lt;&gt;"",COUNTIFS($AH$2:AH2149,AH2149,$AJ$2:AJ2149,1)=1),N(AL2148)+1,"")</f>
        <v/>
      </c>
      <c r="AL2149" s="54">
        <f>IF(AK2149&lt;&gt;"",AK2149,N(AL2148))</f>
        <v/>
      </c>
    </row>
    <row r="2150">
      <c r="A2150" t="inlineStr">
        <is>
          <t>ONS-0717</t>
        </is>
      </c>
      <c r="B2150" t="inlineStr">
        <is>
          <t>Onsite</t>
        </is>
      </c>
      <c r="AB2150" t="n">
        <v>717</v>
      </c>
      <c r="AD2150" s="52">
        <f>IFERROR(N(IFERROR(INDEX($A2150:$AB2150,MATCH("Xero Invoiced Ex GST",$A$1:$AB$1,0)),"")),0)</f>
        <v/>
      </c>
      <c r="AE2150" s="53">
        <f>IFERROR(INDEX($A2150:$AB2150,MATCH("Xero Invoice Date",$A$1:$AB$1,0)),"")</f>
        <v/>
      </c>
      <c r="AF2150" s="54">
        <f>IF(AND(IFERROR(INDEX($A2150:$AB2150,MATCH("Xero Invoice No",$A$1:$AB$1,0)),"")&amp;""&lt;&gt;"",ISNUMBER(AE2150),AD2150&lt;&gt;0),1,0)</f>
        <v/>
      </c>
      <c r="AG2150" s="55">
        <f>IF(AF2150=1,EOMONTH(AE2150,0),"")</f>
        <v/>
      </c>
      <c r="AH2150" s="9">
        <f>IF(AF2150=1,UPPER(TRIM(IFERROR(INDEX($A2150:$AB2150,MATCH("Client",$A$1:$AB$1,0)),"")&amp;"")),"")</f>
        <v/>
      </c>
      <c r="AI2150" s="9">
        <f>IF(AF2150=1,IFERROR(INDEX($A2150:$AB2150,MATCH("Cost Centre",$A$1:$AB$1,0)),"")&amp;"","")</f>
        <v/>
      </c>
      <c r="AJ2150" s="54">
        <f>IF(AND(AF2150=1,AE2150&gt;=set_FYStart,AE2150&lt;=set_AsAt),1,0)</f>
        <v/>
      </c>
      <c r="AK2150" s="54">
        <f>IF(AND(AJ2150=1,AH2150&lt;&gt;"",COUNTIFS($AH$2:AH2150,AH2150,$AJ$2:AJ2150,1)=1),N(AL2149)+1,"")</f>
        <v/>
      </c>
      <c r="AL2150" s="54">
        <f>IF(AK2150&lt;&gt;"",AK2150,N(AL2149))</f>
        <v/>
      </c>
    </row>
    <row r="2151">
      <c r="A2151" t="inlineStr">
        <is>
          <t>PRD-0717</t>
        </is>
      </c>
      <c r="B2151" t="inlineStr">
        <is>
          <t>Production</t>
        </is>
      </c>
      <c r="AB2151" t="n">
        <v>717</v>
      </c>
      <c r="AD2151" s="52">
        <f>IFERROR(N(IFERROR(INDEX($A2151:$AB2151,MATCH("Xero Invoiced Ex GST",$A$1:$AB$1,0)),"")),0)</f>
        <v/>
      </c>
      <c r="AE2151" s="53">
        <f>IFERROR(INDEX($A2151:$AB2151,MATCH("Xero Invoice Date",$A$1:$AB$1,0)),"")</f>
        <v/>
      </c>
      <c r="AF2151" s="54">
        <f>IF(AND(IFERROR(INDEX($A2151:$AB2151,MATCH("Xero Invoice No",$A$1:$AB$1,0)),"")&amp;""&lt;&gt;"",ISNUMBER(AE2151),AD2151&lt;&gt;0),1,0)</f>
        <v/>
      </c>
      <c r="AG2151" s="55">
        <f>IF(AF2151=1,EOMONTH(AE2151,0),"")</f>
        <v/>
      </c>
      <c r="AH2151" s="9">
        <f>IF(AF2151=1,UPPER(TRIM(IFERROR(INDEX($A2151:$AB2151,MATCH("Client",$A$1:$AB$1,0)),"")&amp;"")),"")</f>
        <v/>
      </c>
      <c r="AI2151" s="9">
        <f>IF(AF2151=1,IFERROR(INDEX($A2151:$AB2151,MATCH("Cost Centre",$A$1:$AB$1,0)),"")&amp;"","")</f>
        <v/>
      </c>
      <c r="AJ2151" s="54">
        <f>IF(AND(AF2151=1,AE2151&gt;=set_FYStart,AE2151&lt;=set_AsAt),1,0)</f>
        <v/>
      </c>
      <c r="AK2151" s="54">
        <f>IF(AND(AJ2151=1,AH2151&lt;&gt;"",COUNTIFS($AH$2:AH2151,AH2151,$AJ$2:AJ2151,1)=1),N(AL2150)+1,"")</f>
        <v/>
      </c>
      <c r="AL2151" s="54">
        <f>IF(AK2151&lt;&gt;"",AK2151,N(AL2150))</f>
        <v/>
      </c>
    </row>
    <row r="2152">
      <c r="A2152" t="inlineStr">
        <is>
          <t>CON-0717</t>
        </is>
      </c>
      <c r="B2152" t="inlineStr">
        <is>
          <t>Consulting</t>
        </is>
      </c>
      <c r="AB2152" t="n">
        <v>717</v>
      </c>
      <c r="AD2152" s="52">
        <f>IFERROR(N(IFERROR(INDEX($A2152:$AB2152,MATCH("Xero Invoiced Ex GST",$A$1:$AB$1,0)),"")),0)</f>
        <v/>
      </c>
      <c r="AE2152" s="53">
        <f>IFERROR(INDEX($A2152:$AB2152,MATCH("Xero Invoice Date",$A$1:$AB$1,0)),"")</f>
        <v/>
      </c>
      <c r="AF2152" s="54">
        <f>IF(AND(IFERROR(INDEX($A2152:$AB2152,MATCH("Xero Invoice No",$A$1:$AB$1,0)),"")&amp;""&lt;&gt;"",ISNUMBER(AE2152),AD2152&lt;&gt;0),1,0)</f>
        <v/>
      </c>
      <c r="AG2152" s="55">
        <f>IF(AF2152=1,EOMONTH(AE2152,0),"")</f>
        <v/>
      </c>
      <c r="AH2152" s="9">
        <f>IF(AF2152=1,UPPER(TRIM(IFERROR(INDEX($A2152:$AB2152,MATCH("Client",$A$1:$AB$1,0)),"")&amp;"")),"")</f>
        <v/>
      </c>
      <c r="AI2152" s="9">
        <f>IF(AF2152=1,IFERROR(INDEX($A2152:$AB2152,MATCH("Cost Centre",$A$1:$AB$1,0)),"")&amp;"","")</f>
        <v/>
      </c>
      <c r="AJ2152" s="54">
        <f>IF(AND(AF2152=1,AE2152&gt;=set_FYStart,AE2152&lt;=set_AsAt),1,0)</f>
        <v/>
      </c>
      <c r="AK2152" s="54">
        <f>IF(AND(AJ2152=1,AH2152&lt;&gt;"",COUNTIFS($AH$2:AH2152,AH2152,$AJ$2:AJ2152,1)=1),N(AL2151)+1,"")</f>
        <v/>
      </c>
      <c r="AL2152" s="54">
        <f>IF(AK2152&lt;&gt;"",AK2152,N(AL2151))</f>
        <v/>
      </c>
    </row>
    <row r="2153">
      <c r="A2153" t="inlineStr">
        <is>
          <t>ONS-0718</t>
        </is>
      </c>
      <c r="B2153" t="inlineStr">
        <is>
          <t>Onsite</t>
        </is>
      </c>
      <c r="AB2153" t="n">
        <v>718</v>
      </c>
      <c r="AD2153" s="52">
        <f>IFERROR(N(IFERROR(INDEX($A2153:$AB2153,MATCH("Xero Invoiced Ex GST",$A$1:$AB$1,0)),"")),0)</f>
        <v/>
      </c>
      <c r="AE2153" s="53">
        <f>IFERROR(INDEX($A2153:$AB2153,MATCH("Xero Invoice Date",$A$1:$AB$1,0)),"")</f>
        <v/>
      </c>
      <c r="AF2153" s="54">
        <f>IF(AND(IFERROR(INDEX($A2153:$AB2153,MATCH("Xero Invoice No",$A$1:$AB$1,0)),"")&amp;""&lt;&gt;"",ISNUMBER(AE2153),AD2153&lt;&gt;0),1,0)</f>
        <v/>
      </c>
      <c r="AG2153" s="55">
        <f>IF(AF2153=1,EOMONTH(AE2153,0),"")</f>
        <v/>
      </c>
      <c r="AH2153" s="9">
        <f>IF(AF2153=1,UPPER(TRIM(IFERROR(INDEX($A2153:$AB2153,MATCH("Client",$A$1:$AB$1,0)),"")&amp;"")),"")</f>
        <v/>
      </c>
      <c r="AI2153" s="9">
        <f>IF(AF2153=1,IFERROR(INDEX($A2153:$AB2153,MATCH("Cost Centre",$A$1:$AB$1,0)),"")&amp;"","")</f>
        <v/>
      </c>
      <c r="AJ2153" s="54">
        <f>IF(AND(AF2153=1,AE2153&gt;=set_FYStart,AE2153&lt;=set_AsAt),1,0)</f>
        <v/>
      </c>
      <c r="AK2153" s="54">
        <f>IF(AND(AJ2153=1,AH2153&lt;&gt;"",COUNTIFS($AH$2:AH2153,AH2153,$AJ$2:AJ2153,1)=1),N(AL2152)+1,"")</f>
        <v/>
      </c>
      <c r="AL2153" s="54">
        <f>IF(AK2153&lt;&gt;"",AK2153,N(AL2152))</f>
        <v/>
      </c>
    </row>
    <row r="2154">
      <c r="A2154" t="inlineStr">
        <is>
          <t>PRD-0718</t>
        </is>
      </c>
      <c r="B2154" t="inlineStr">
        <is>
          <t>Production</t>
        </is>
      </c>
      <c r="AB2154" t="n">
        <v>718</v>
      </c>
      <c r="AD2154" s="52">
        <f>IFERROR(N(IFERROR(INDEX($A2154:$AB2154,MATCH("Xero Invoiced Ex GST",$A$1:$AB$1,0)),"")),0)</f>
        <v/>
      </c>
      <c r="AE2154" s="53">
        <f>IFERROR(INDEX($A2154:$AB2154,MATCH("Xero Invoice Date",$A$1:$AB$1,0)),"")</f>
        <v/>
      </c>
      <c r="AF2154" s="54">
        <f>IF(AND(IFERROR(INDEX($A2154:$AB2154,MATCH("Xero Invoice No",$A$1:$AB$1,0)),"")&amp;""&lt;&gt;"",ISNUMBER(AE2154),AD2154&lt;&gt;0),1,0)</f>
        <v/>
      </c>
      <c r="AG2154" s="55">
        <f>IF(AF2154=1,EOMONTH(AE2154,0),"")</f>
        <v/>
      </c>
      <c r="AH2154" s="9">
        <f>IF(AF2154=1,UPPER(TRIM(IFERROR(INDEX($A2154:$AB2154,MATCH("Client",$A$1:$AB$1,0)),"")&amp;"")),"")</f>
        <v/>
      </c>
      <c r="AI2154" s="9">
        <f>IF(AF2154=1,IFERROR(INDEX($A2154:$AB2154,MATCH("Cost Centre",$A$1:$AB$1,0)),"")&amp;"","")</f>
        <v/>
      </c>
      <c r="AJ2154" s="54">
        <f>IF(AND(AF2154=1,AE2154&gt;=set_FYStart,AE2154&lt;=set_AsAt),1,0)</f>
        <v/>
      </c>
      <c r="AK2154" s="54">
        <f>IF(AND(AJ2154=1,AH2154&lt;&gt;"",COUNTIFS($AH$2:AH2154,AH2154,$AJ$2:AJ2154,1)=1),N(AL2153)+1,"")</f>
        <v/>
      </c>
      <c r="AL2154" s="54">
        <f>IF(AK2154&lt;&gt;"",AK2154,N(AL2153))</f>
        <v/>
      </c>
    </row>
    <row r="2155">
      <c r="A2155" t="inlineStr">
        <is>
          <t>CON-0718</t>
        </is>
      </c>
      <c r="B2155" t="inlineStr">
        <is>
          <t>Consulting</t>
        </is>
      </c>
      <c r="AB2155" t="n">
        <v>718</v>
      </c>
      <c r="AD2155" s="52">
        <f>IFERROR(N(IFERROR(INDEX($A2155:$AB2155,MATCH("Xero Invoiced Ex GST",$A$1:$AB$1,0)),"")),0)</f>
        <v/>
      </c>
      <c r="AE2155" s="53">
        <f>IFERROR(INDEX($A2155:$AB2155,MATCH("Xero Invoice Date",$A$1:$AB$1,0)),"")</f>
        <v/>
      </c>
      <c r="AF2155" s="54">
        <f>IF(AND(IFERROR(INDEX($A2155:$AB2155,MATCH("Xero Invoice No",$A$1:$AB$1,0)),"")&amp;""&lt;&gt;"",ISNUMBER(AE2155),AD2155&lt;&gt;0),1,0)</f>
        <v/>
      </c>
      <c r="AG2155" s="55">
        <f>IF(AF2155=1,EOMONTH(AE2155,0),"")</f>
        <v/>
      </c>
      <c r="AH2155" s="9">
        <f>IF(AF2155=1,UPPER(TRIM(IFERROR(INDEX($A2155:$AB2155,MATCH("Client",$A$1:$AB$1,0)),"")&amp;"")),"")</f>
        <v/>
      </c>
      <c r="AI2155" s="9">
        <f>IF(AF2155=1,IFERROR(INDEX($A2155:$AB2155,MATCH("Cost Centre",$A$1:$AB$1,0)),"")&amp;"","")</f>
        <v/>
      </c>
      <c r="AJ2155" s="54">
        <f>IF(AND(AF2155=1,AE2155&gt;=set_FYStart,AE2155&lt;=set_AsAt),1,0)</f>
        <v/>
      </c>
      <c r="AK2155" s="54">
        <f>IF(AND(AJ2155=1,AH2155&lt;&gt;"",COUNTIFS($AH$2:AH2155,AH2155,$AJ$2:AJ2155,1)=1),N(AL2154)+1,"")</f>
        <v/>
      </c>
      <c r="AL2155" s="54">
        <f>IF(AK2155&lt;&gt;"",AK2155,N(AL2154))</f>
        <v/>
      </c>
    </row>
    <row r="2156">
      <c r="A2156" t="inlineStr">
        <is>
          <t>ONS-0719</t>
        </is>
      </c>
      <c r="B2156" t="inlineStr">
        <is>
          <t>Onsite</t>
        </is>
      </c>
      <c r="AB2156" t="n">
        <v>719</v>
      </c>
      <c r="AD2156" s="52">
        <f>IFERROR(N(IFERROR(INDEX($A2156:$AB2156,MATCH("Xero Invoiced Ex GST",$A$1:$AB$1,0)),"")),0)</f>
        <v/>
      </c>
      <c r="AE2156" s="53">
        <f>IFERROR(INDEX($A2156:$AB2156,MATCH("Xero Invoice Date",$A$1:$AB$1,0)),"")</f>
        <v/>
      </c>
      <c r="AF2156" s="54">
        <f>IF(AND(IFERROR(INDEX($A2156:$AB2156,MATCH("Xero Invoice No",$A$1:$AB$1,0)),"")&amp;""&lt;&gt;"",ISNUMBER(AE2156),AD2156&lt;&gt;0),1,0)</f>
        <v/>
      </c>
      <c r="AG2156" s="55">
        <f>IF(AF2156=1,EOMONTH(AE2156,0),"")</f>
        <v/>
      </c>
      <c r="AH2156" s="9">
        <f>IF(AF2156=1,UPPER(TRIM(IFERROR(INDEX($A2156:$AB2156,MATCH("Client",$A$1:$AB$1,0)),"")&amp;"")),"")</f>
        <v/>
      </c>
      <c r="AI2156" s="9">
        <f>IF(AF2156=1,IFERROR(INDEX($A2156:$AB2156,MATCH("Cost Centre",$A$1:$AB$1,0)),"")&amp;"","")</f>
        <v/>
      </c>
      <c r="AJ2156" s="54">
        <f>IF(AND(AF2156=1,AE2156&gt;=set_FYStart,AE2156&lt;=set_AsAt),1,0)</f>
        <v/>
      </c>
      <c r="AK2156" s="54">
        <f>IF(AND(AJ2156=1,AH2156&lt;&gt;"",COUNTIFS($AH$2:AH2156,AH2156,$AJ$2:AJ2156,1)=1),N(AL2155)+1,"")</f>
        <v/>
      </c>
      <c r="AL2156" s="54">
        <f>IF(AK2156&lt;&gt;"",AK2156,N(AL2155))</f>
        <v/>
      </c>
    </row>
    <row r="2157">
      <c r="A2157" t="inlineStr">
        <is>
          <t>PRD-0719</t>
        </is>
      </c>
      <c r="B2157" t="inlineStr">
        <is>
          <t>Production</t>
        </is>
      </c>
      <c r="AB2157" t="n">
        <v>719</v>
      </c>
      <c r="AD2157" s="52">
        <f>IFERROR(N(IFERROR(INDEX($A2157:$AB2157,MATCH("Xero Invoiced Ex GST",$A$1:$AB$1,0)),"")),0)</f>
        <v/>
      </c>
      <c r="AE2157" s="53">
        <f>IFERROR(INDEX($A2157:$AB2157,MATCH("Xero Invoice Date",$A$1:$AB$1,0)),"")</f>
        <v/>
      </c>
      <c r="AF2157" s="54">
        <f>IF(AND(IFERROR(INDEX($A2157:$AB2157,MATCH("Xero Invoice No",$A$1:$AB$1,0)),"")&amp;""&lt;&gt;"",ISNUMBER(AE2157),AD2157&lt;&gt;0),1,0)</f>
        <v/>
      </c>
      <c r="AG2157" s="55">
        <f>IF(AF2157=1,EOMONTH(AE2157,0),"")</f>
        <v/>
      </c>
      <c r="AH2157" s="9">
        <f>IF(AF2157=1,UPPER(TRIM(IFERROR(INDEX($A2157:$AB2157,MATCH("Client",$A$1:$AB$1,0)),"")&amp;"")),"")</f>
        <v/>
      </c>
      <c r="AI2157" s="9">
        <f>IF(AF2157=1,IFERROR(INDEX($A2157:$AB2157,MATCH("Cost Centre",$A$1:$AB$1,0)),"")&amp;"","")</f>
        <v/>
      </c>
      <c r="AJ2157" s="54">
        <f>IF(AND(AF2157=1,AE2157&gt;=set_FYStart,AE2157&lt;=set_AsAt),1,0)</f>
        <v/>
      </c>
      <c r="AK2157" s="54">
        <f>IF(AND(AJ2157=1,AH2157&lt;&gt;"",COUNTIFS($AH$2:AH2157,AH2157,$AJ$2:AJ2157,1)=1),N(AL2156)+1,"")</f>
        <v/>
      </c>
      <c r="AL2157" s="54">
        <f>IF(AK2157&lt;&gt;"",AK2157,N(AL2156))</f>
        <v/>
      </c>
    </row>
    <row r="2158">
      <c r="A2158" t="inlineStr">
        <is>
          <t>CON-0719</t>
        </is>
      </c>
      <c r="B2158" t="inlineStr">
        <is>
          <t>Consulting</t>
        </is>
      </c>
      <c r="AB2158" t="n">
        <v>719</v>
      </c>
      <c r="AD2158" s="52">
        <f>IFERROR(N(IFERROR(INDEX($A2158:$AB2158,MATCH("Xero Invoiced Ex GST",$A$1:$AB$1,0)),"")),0)</f>
        <v/>
      </c>
      <c r="AE2158" s="53">
        <f>IFERROR(INDEX($A2158:$AB2158,MATCH("Xero Invoice Date",$A$1:$AB$1,0)),"")</f>
        <v/>
      </c>
      <c r="AF2158" s="54">
        <f>IF(AND(IFERROR(INDEX($A2158:$AB2158,MATCH("Xero Invoice No",$A$1:$AB$1,0)),"")&amp;""&lt;&gt;"",ISNUMBER(AE2158),AD2158&lt;&gt;0),1,0)</f>
        <v/>
      </c>
      <c r="AG2158" s="55">
        <f>IF(AF2158=1,EOMONTH(AE2158,0),"")</f>
        <v/>
      </c>
      <c r="AH2158" s="9">
        <f>IF(AF2158=1,UPPER(TRIM(IFERROR(INDEX($A2158:$AB2158,MATCH("Client",$A$1:$AB$1,0)),"")&amp;"")),"")</f>
        <v/>
      </c>
      <c r="AI2158" s="9">
        <f>IF(AF2158=1,IFERROR(INDEX($A2158:$AB2158,MATCH("Cost Centre",$A$1:$AB$1,0)),"")&amp;"","")</f>
        <v/>
      </c>
      <c r="AJ2158" s="54">
        <f>IF(AND(AF2158=1,AE2158&gt;=set_FYStart,AE2158&lt;=set_AsAt),1,0)</f>
        <v/>
      </c>
      <c r="AK2158" s="54">
        <f>IF(AND(AJ2158=1,AH2158&lt;&gt;"",COUNTIFS($AH$2:AH2158,AH2158,$AJ$2:AJ2158,1)=1),N(AL2157)+1,"")</f>
        <v/>
      </c>
      <c r="AL2158" s="54">
        <f>IF(AK2158&lt;&gt;"",AK2158,N(AL2157))</f>
        <v/>
      </c>
    </row>
    <row r="2159">
      <c r="A2159" t="inlineStr">
        <is>
          <t>ONS-0720</t>
        </is>
      </c>
      <c r="B2159" t="inlineStr">
        <is>
          <t>Onsite</t>
        </is>
      </c>
      <c r="AB2159" t="n">
        <v>720</v>
      </c>
      <c r="AD2159" s="52">
        <f>IFERROR(N(IFERROR(INDEX($A2159:$AB2159,MATCH("Xero Invoiced Ex GST",$A$1:$AB$1,0)),"")),0)</f>
        <v/>
      </c>
      <c r="AE2159" s="53">
        <f>IFERROR(INDEX($A2159:$AB2159,MATCH("Xero Invoice Date",$A$1:$AB$1,0)),"")</f>
        <v/>
      </c>
      <c r="AF2159" s="54">
        <f>IF(AND(IFERROR(INDEX($A2159:$AB2159,MATCH("Xero Invoice No",$A$1:$AB$1,0)),"")&amp;""&lt;&gt;"",ISNUMBER(AE2159),AD2159&lt;&gt;0),1,0)</f>
        <v/>
      </c>
      <c r="AG2159" s="55">
        <f>IF(AF2159=1,EOMONTH(AE2159,0),"")</f>
        <v/>
      </c>
      <c r="AH2159" s="9">
        <f>IF(AF2159=1,UPPER(TRIM(IFERROR(INDEX($A2159:$AB2159,MATCH("Client",$A$1:$AB$1,0)),"")&amp;"")),"")</f>
        <v/>
      </c>
      <c r="AI2159" s="9">
        <f>IF(AF2159=1,IFERROR(INDEX($A2159:$AB2159,MATCH("Cost Centre",$A$1:$AB$1,0)),"")&amp;"","")</f>
        <v/>
      </c>
      <c r="AJ2159" s="54">
        <f>IF(AND(AF2159=1,AE2159&gt;=set_FYStart,AE2159&lt;=set_AsAt),1,0)</f>
        <v/>
      </c>
      <c r="AK2159" s="54">
        <f>IF(AND(AJ2159=1,AH2159&lt;&gt;"",COUNTIFS($AH$2:AH2159,AH2159,$AJ$2:AJ2159,1)=1),N(AL2158)+1,"")</f>
        <v/>
      </c>
      <c r="AL2159" s="54">
        <f>IF(AK2159&lt;&gt;"",AK2159,N(AL2158))</f>
        <v/>
      </c>
    </row>
    <row r="2160">
      <c r="A2160" t="inlineStr">
        <is>
          <t>PRD-0720</t>
        </is>
      </c>
      <c r="B2160" t="inlineStr">
        <is>
          <t>Production</t>
        </is>
      </c>
      <c r="AB2160" t="n">
        <v>720</v>
      </c>
      <c r="AD2160" s="52">
        <f>IFERROR(N(IFERROR(INDEX($A2160:$AB2160,MATCH("Xero Invoiced Ex GST",$A$1:$AB$1,0)),"")),0)</f>
        <v/>
      </c>
      <c r="AE2160" s="53">
        <f>IFERROR(INDEX($A2160:$AB2160,MATCH("Xero Invoice Date",$A$1:$AB$1,0)),"")</f>
        <v/>
      </c>
      <c r="AF2160" s="54">
        <f>IF(AND(IFERROR(INDEX($A2160:$AB2160,MATCH("Xero Invoice No",$A$1:$AB$1,0)),"")&amp;""&lt;&gt;"",ISNUMBER(AE2160),AD2160&lt;&gt;0),1,0)</f>
        <v/>
      </c>
      <c r="AG2160" s="55">
        <f>IF(AF2160=1,EOMONTH(AE2160,0),"")</f>
        <v/>
      </c>
      <c r="AH2160" s="9">
        <f>IF(AF2160=1,UPPER(TRIM(IFERROR(INDEX($A2160:$AB2160,MATCH("Client",$A$1:$AB$1,0)),"")&amp;"")),"")</f>
        <v/>
      </c>
      <c r="AI2160" s="9">
        <f>IF(AF2160=1,IFERROR(INDEX($A2160:$AB2160,MATCH("Cost Centre",$A$1:$AB$1,0)),"")&amp;"","")</f>
        <v/>
      </c>
      <c r="AJ2160" s="54">
        <f>IF(AND(AF2160=1,AE2160&gt;=set_FYStart,AE2160&lt;=set_AsAt),1,0)</f>
        <v/>
      </c>
      <c r="AK2160" s="54">
        <f>IF(AND(AJ2160=1,AH2160&lt;&gt;"",COUNTIFS($AH$2:AH2160,AH2160,$AJ$2:AJ2160,1)=1),N(AL2159)+1,"")</f>
        <v/>
      </c>
      <c r="AL2160" s="54">
        <f>IF(AK2160&lt;&gt;"",AK2160,N(AL2159))</f>
        <v/>
      </c>
    </row>
    <row r="2161">
      <c r="A2161" t="inlineStr">
        <is>
          <t>CON-0720</t>
        </is>
      </c>
      <c r="B2161" t="inlineStr">
        <is>
          <t>Consulting</t>
        </is>
      </c>
      <c r="AB2161" t="n">
        <v>720</v>
      </c>
      <c r="AD2161" s="52">
        <f>IFERROR(N(IFERROR(INDEX($A2161:$AB2161,MATCH("Xero Invoiced Ex GST",$A$1:$AB$1,0)),"")),0)</f>
        <v/>
      </c>
      <c r="AE2161" s="53">
        <f>IFERROR(INDEX($A2161:$AB2161,MATCH("Xero Invoice Date",$A$1:$AB$1,0)),"")</f>
        <v/>
      </c>
      <c r="AF2161" s="54">
        <f>IF(AND(IFERROR(INDEX($A2161:$AB2161,MATCH("Xero Invoice No",$A$1:$AB$1,0)),"")&amp;""&lt;&gt;"",ISNUMBER(AE2161),AD2161&lt;&gt;0),1,0)</f>
        <v/>
      </c>
      <c r="AG2161" s="55">
        <f>IF(AF2161=1,EOMONTH(AE2161,0),"")</f>
        <v/>
      </c>
      <c r="AH2161" s="9">
        <f>IF(AF2161=1,UPPER(TRIM(IFERROR(INDEX($A2161:$AB2161,MATCH("Client",$A$1:$AB$1,0)),"")&amp;"")),"")</f>
        <v/>
      </c>
      <c r="AI2161" s="9">
        <f>IF(AF2161=1,IFERROR(INDEX($A2161:$AB2161,MATCH("Cost Centre",$A$1:$AB$1,0)),"")&amp;"","")</f>
        <v/>
      </c>
      <c r="AJ2161" s="54">
        <f>IF(AND(AF2161=1,AE2161&gt;=set_FYStart,AE2161&lt;=set_AsAt),1,0)</f>
        <v/>
      </c>
      <c r="AK2161" s="54">
        <f>IF(AND(AJ2161=1,AH2161&lt;&gt;"",COUNTIFS($AH$2:AH2161,AH2161,$AJ$2:AJ2161,1)=1),N(AL2160)+1,"")</f>
        <v/>
      </c>
      <c r="AL2161" s="54">
        <f>IF(AK2161&lt;&gt;"",AK2161,N(AL2160))</f>
        <v/>
      </c>
    </row>
    <row r="2162">
      <c r="A2162" t="inlineStr">
        <is>
          <t>ONS-0721</t>
        </is>
      </c>
      <c r="B2162" t="inlineStr">
        <is>
          <t>Onsite</t>
        </is>
      </c>
      <c r="AB2162" t="n">
        <v>721</v>
      </c>
      <c r="AD2162" s="52">
        <f>IFERROR(N(IFERROR(INDEX($A2162:$AB2162,MATCH("Xero Invoiced Ex GST",$A$1:$AB$1,0)),"")),0)</f>
        <v/>
      </c>
      <c r="AE2162" s="53">
        <f>IFERROR(INDEX($A2162:$AB2162,MATCH("Xero Invoice Date",$A$1:$AB$1,0)),"")</f>
        <v/>
      </c>
      <c r="AF2162" s="54">
        <f>IF(AND(IFERROR(INDEX($A2162:$AB2162,MATCH("Xero Invoice No",$A$1:$AB$1,0)),"")&amp;""&lt;&gt;"",ISNUMBER(AE2162),AD2162&lt;&gt;0),1,0)</f>
        <v/>
      </c>
      <c r="AG2162" s="55">
        <f>IF(AF2162=1,EOMONTH(AE2162,0),"")</f>
        <v/>
      </c>
      <c r="AH2162" s="9">
        <f>IF(AF2162=1,UPPER(TRIM(IFERROR(INDEX($A2162:$AB2162,MATCH("Client",$A$1:$AB$1,0)),"")&amp;"")),"")</f>
        <v/>
      </c>
      <c r="AI2162" s="9">
        <f>IF(AF2162=1,IFERROR(INDEX($A2162:$AB2162,MATCH("Cost Centre",$A$1:$AB$1,0)),"")&amp;"","")</f>
        <v/>
      </c>
      <c r="AJ2162" s="54">
        <f>IF(AND(AF2162=1,AE2162&gt;=set_FYStart,AE2162&lt;=set_AsAt),1,0)</f>
        <v/>
      </c>
      <c r="AK2162" s="54">
        <f>IF(AND(AJ2162=1,AH2162&lt;&gt;"",COUNTIFS($AH$2:AH2162,AH2162,$AJ$2:AJ2162,1)=1),N(AL2161)+1,"")</f>
        <v/>
      </c>
      <c r="AL2162" s="54">
        <f>IF(AK2162&lt;&gt;"",AK2162,N(AL2161))</f>
        <v/>
      </c>
    </row>
    <row r="2163">
      <c r="A2163" t="inlineStr">
        <is>
          <t>PRD-0721</t>
        </is>
      </c>
      <c r="B2163" t="inlineStr">
        <is>
          <t>Production</t>
        </is>
      </c>
      <c r="AB2163" t="n">
        <v>721</v>
      </c>
      <c r="AD2163" s="52">
        <f>IFERROR(N(IFERROR(INDEX($A2163:$AB2163,MATCH("Xero Invoiced Ex GST",$A$1:$AB$1,0)),"")),0)</f>
        <v/>
      </c>
      <c r="AE2163" s="53">
        <f>IFERROR(INDEX($A2163:$AB2163,MATCH("Xero Invoice Date",$A$1:$AB$1,0)),"")</f>
        <v/>
      </c>
      <c r="AF2163" s="54">
        <f>IF(AND(IFERROR(INDEX($A2163:$AB2163,MATCH("Xero Invoice No",$A$1:$AB$1,0)),"")&amp;""&lt;&gt;"",ISNUMBER(AE2163),AD2163&lt;&gt;0),1,0)</f>
        <v/>
      </c>
      <c r="AG2163" s="55">
        <f>IF(AF2163=1,EOMONTH(AE2163,0),"")</f>
        <v/>
      </c>
      <c r="AH2163" s="9">
        <f>IF(AF2163=1,UPPER(TRIM(IFERROR(INDEX($A2163:$AB2163,MATCH("Client",$A$1:$AB$1,0)),"")&amp;"")),"")</f>
        <v/>
      </c>
      <c r="AI2163" s="9">
        <f>IF(AF2163=1,IFERROR(INDEX($A2163:$AB2163,MATCH("Cost Centre",$A$1:$AB$1,0)),"")&amp;"","")</f>
        <v/>
      </c>
      <c r="AJ2163" s="54">
        <f>IF(AND(AF2163=1,AE2163&gt;=set_FYStart,AE2163&lt;=set_AsAt),1,0)</f>
        <v/>
      </c>
      <c r="AK2163" s="54">
        <f>IF(AND(AJ2163=1,AH2163&lt;&gt;"",COUNTIFS($AH$2:AH2163,AH2163,$AJ$2:AJ2163,1)=1),N(AL2162)+1,"")</f>
        <v/>
      </c>
      <c r="AL2163" s="54">
        <f>IF(AK2163&lt;&gt;"",AK2163,N(AL2162))</f>
        <v/>
      </c>
    </row>
    <row r="2164">
      <c r="A2164" t="inlineStr">
        <is>
          <t>CON-0721</t>
        </is>
      </c>
      <c r="B2164" t="inlineStr">
        <is>
          <t>Consulting</t>
        </is>
      </c>
      <c r="AB2164" t="n">
        <v>721</v>
      </c>
      <c r="AD2164" s="52">
        <f>IFERROR(N(IFERROR(INDEX($A2164:$AB2164,MATCH("Xero Invoiced Ex GST",$A$1:$AB$1,0)),"")),0)</f>
        <v/>
      </c>
      <c r="AE2164" s="53">
        <f>IFERROR(INDEX($A2164:$AB2164,MATCH("Xero Invoice Date",$A$1:$AB$1,0)),"")</f>
        <v/>
      </c>
      <c r="AF2164" s="54">
        <f>IF(AND(IFERROR(INDEX($A2164:$AB2164,MATCH("Xero Invoice No",$A$1:$AB$1,0)),"")&amp;""&lt;&gt;"",ISNUMBER(AE2164),AD2164&lt;&gt;0),1,0)</f>
        <v/>
      </c>
      <c r="AG2164" s="55">
        <f>IF(AF2164=1,EOMONTH(AE2164,0),"")</f>
        <v/>
      </c>
      <c r="AH2164" s="9">
        <f>IF(AF2164=1,UPPER(TRIM(IFERROR(INDEX($A2164:$AB2164,MATCH("Client",$A$1:$AB$1,0)),"")&amp;"")),"")</f>
        <v/>
      </c>
      <c r="AI2164" s="9">
        <f>IF(AF2164=1,IFERROR(INDEX($A2164:$AB2164,MATCH("Cost Centre",$A$1:$AB$1,0)),"")&amp;"","")</f>
        <v/>
      </c>
      <c r="AJ2164" s="54">
        <f>IF(AND(AF2164=1,AE2164&gt;=set_FYStart,AE2164&lt;=set_AsAt),1,0)</f>
        <v/>
      </c>
      <c r="AK2164" s="54">
        <f>IF(AND(AJ2164=1,AH2164&lt;&gt;"",COUNTIFS($AH$2:AH2164,AH2164,$AJ$2:AJ2164,1)=1),N(AL2163)+1,"")</f>
        <v/>
      </c>
      <c r="AL2164" s="54">
        <f>IF(AK2164&lt;&gt;"",AK2164,N(AL2163))</f>
        <v/>
      </c>
    </row>
    <row r="2165">
      <c r="A2165" t="inlineStr">
        <is>
          <t>ONS-0722</t>
        </is>
      </c>
      <c r="B2165" t="inlineStr">
        <is>
          <t>Onsite</t>
        </is>
      </c>
      <c r="AB2165" t="n">
        <v>722</v>
      </c>
      <c r="AD2165" s="52">
        <f>IFERROR(N(IFERROR(INDEX($A2165:$AB2165,MATCH("Xero Invoiced Ex GST",$A$1:$AB$1,0)),"")),0)</f>
        <v/>
      </c>
      <c r="AE2165" s="53">
        <f>IFERROR(INDEX($A2165:$AB2165,MATCH("Xero Invoice Date",$A$1:$AB$1,0)),"")</f>
        <v/>
      </c>
      <c r="AF2165" s="54">
        <f>IF(AND(IFERROR(INDEX($A2165:$AB2165,MATCH("Xero Invoice No",$A$1:$AB$1,0)),"")&amp;""&lt;&gt;"",ISNUMBER(AE2165),AD2165&lt;&gt;0),1,0)</f>
        <v/>
      </c>
      <c r="AG2165" s="55">
        <f>IF(AF2165=1,EOMONTH(AE2165,0),"")</f>
        <v/>
      </c>
      <c r="AH2165" s="9">
        <f>IF(AF2165=1,UPPER(TRIM(IFERROR(INDEX($A2165:$AB2165,MATCH("Client",$A$1:$AB$1,0)),"")&amp;"")),"")</f>
        <v/>
      </c>
      <c r="AI2165" s="9">
        <f>IF(AF2165=1,IFERROR(INDEX($A2165:$AB2165,MATCH("Cost Centre",$A$1:$AB$1,0)),"")&amp;"","")</f>
        <v/>
      </c>
      <c r="AJ2165" s="54">
        <f>IF(AND(AF2165=1,AE2165&gt;=set_FYStart,AE2165&lt;=set_AsAt),1,0)</f>
        <v/>
      </c>
      <c r="AK2165" s="54">
        <f>IF(AND(AJ2165=1,AH2165&lt;&gt;"",COUNTIFS($AH$2:AH2165,AH2165,$AJ$2:AJ2165,1)=1),N(AL2164)+1,"")</f>
        <v/>
      </c>
      <c r="AL2165" s="54">
        <f>IF(AK2165&lt;&gt;"",AK2165,N(AL2164))</f>
        <v/>
      </c>
    </row>
    <row r="2166">
      <c r="A2166" t="inlineStr">
        <is>
          <t>PRD-0722</t>
        </is>
      </c>
      <c r="B2166" t="inlineStr">
        <is>
          <t>Production</t>
        </is>
      </c>
      <c r="AB2166" t="n">
        <v>722</v>
      </c>
      <c r="AD2166" s="52">
        <f>IFERROR(N(IFERROR(INDEX($A2166:$AB2166,MATCH("Xero Invoiced Ex GST",$A$1:$AB$1,0)),"")),0)</f>
        <v/>
      </c>
      <c r="AE2166" s="53">
        <f>IFERROR(INDEX($A2166:$AB2166,MATCH("Xero Invoice Date",$A$1:$AB$1,0)),"")</f>
        <v/>
      </c>
      <c r="AF2166" s="54">
        <f>IF(AND(IFERROR(INDEX($A2166:$AB2166,MATCH("Xero Invoice No",$A$1:$AB$1,0)),"")&amp;""&lt;&gt;"",ISNUMBER(AE2166),AD2166&lt;&gt;0),1,0)</f>
        <v/>
      </c>
      <c r="AG2166" s="55">
        <f>IF(AF2166=1,EOMONTH(AE2166,0),"")</f>
        <v/>
      </c>
      <c r="AH2166" s="9">
        <f>IF(AF2166=1,UPPER(TRIM(IFERROR(INDEX($A2166:$AB2166,MATCH("Client",$A$1:$AB$1,0)),"")&amp;"")),"")</f>
        <v/>
      </c>
      <c r="AI2166" s="9">
        <f>IF(AF2166=1,IFERROR(INDEX($A2166:$AB2166,MATCH("Cost Centre",$A$1:$AB$1,0)),"")&amp;"","")</f>
        <v/>
      </c>
      <c r="AJ2166" s="54">
        <f>IF(AND(AF2166=1,AE2166&gt;=set_FYStart,AE2166&lt;=set_AsAt),1,0)</f>
        <v/>
      </c>
      <c r="AK2166" s="54">
        <f>IF(AND(AJ2166=1,AH2166&lt;&gt;"",COUNTIFS($AH$2:AH2166,AH2166,$AJ$2:AJ2166,1)=1),N(AL2165)+1,"")</f>
        <v/>
      </c>
      <c r="AL2166" s="54">
        <f>IF(AK2166&lt;&gt;"",AK2166,N(AL2165))</f>
        <v/>
      </c>
    </row>
    <row r="2167">
      <c r="A2167" t="inlineStr">
        <is>
          <t>CON-0722</t>
        </is>
      </c>
      <c r="B2167" t="inlineStr">
        <is>
          <t>Consulting</t>
        </is>
      </c>
      <c r="AB2167" t="n">
        <v>722</v>
      </c>
      <c r="AD2167" s="52">
        <f>IFERROR(N(IFERROR(INDEX($A2167:$AB2167,MATCH("Xero Invoiced Ex GST",$A$1:$AB$1,0)),"")),0)</f>
        <v/>
      </c>
      <c r="AE2167" s="53">
        <f>IFERROR(INDEX($A2167:$AB2167,MATCH("Xero Invoice Date",$A$1:$AB$1,0)),"")</f>
        <v/>
      </c>
      <c r="AF2167" s="54">
        <f>IF(AND(IFERROR(INDEX($A2167:$AB2167,MATCH("Xero Invoice No",$A$1:$AB$1,0)),"")&amp;""&lt;&gt;"",ISNUMBER(AE2167),AD2167&lt;&gt;0),1,0)</f>
        <v/>
      </c>
      <c r="AG2167" s="55">
        <f>IF(AF2167=1,EOMONTH(AE2167,0),"")</f>
        <v/>
      </c>
      <c r="AH2167" s="9">
        <f>IF(AF2167=1,UPPER(TRIM(IFERROR(INDEX($A2167:$AB2167,MATCH("Client",$A$1:$AB$1,0)),"")&amp;"")),"")</f>
        <v/>
      </c>
      <c r="AI2167" s="9">
        <f>IF(AF2167=1,IFERROR(INDEX($A2167:$AB2167,MATCH("Cost Centre",$A$1:$AB$1,0)),"")&amp;"","")</f>
        <v/>
      </c>
      <c r="AJ2167" s="54">
        <f>IF(AND(AF2167=1,AE2167&gt;=set_FYStart,AE2167&lt;=set_AsAt),1,0)</f>
        <v/>
      </c>
      <c r="AK2167" s="54">
        <f>IF(AND(AJ2167=1,AH2167&lt;&gt;"",COUNTIFS($AH$2:AH2167,AH2167,$AJ$2:AJ2167,1)=1),N(AL2166)+1,"")</f>
        <v/>
      </c>
      <c r="AL2167" s="54">
        <f>IF(AK2167&lt;&gt;"",AK2167,N(AL2166))</f>
        <v/>
      </c>
    </row>
    <row r="2168">
      <c r="A2168" t="inlineStr">
        <is>
          <t>ONS-0723</t>
        </is>
      </c>
      <c r="B2168" t="inlineStr">
        <is>
          <t>Onsite</t>
        </is>
      </c>
      <c r="AB2168" t="n">
        <v>723</v>
      </c>
      <c r="AD2168" s="52">
        <f>IFERROR(N(IFERROR(INDEX($A2168:$AB2168,MATCH("Xero Invoiced Ex GST",$A$1:$AB$1,0)),"")),0)</f>
        <v/>
      </c>
      <c r="AE2168" s="53">
        <f>IFERROR(INDEX($A2168:$AB2168,MATCH("Xero Invoice Date",$A$1:$AB$1,0)),"")</f>
        <v/>
      </c>
      <c r="AF2168" s="54">
        <f>IF(AND(IFERROR(INDEX($A2168:$AB2168,MATCH("Xero Invoice No",$A$1:$AB$1,0)),"")&amp;""&lt;&gt;"",ISNUMBER(AE2168),AD2168&lt;&gt;0),1,0)</f>
        <v/>
      </c>
      <c r="AG2168" s="55">
        <f>IF(AF2168=1,EOMONTH(AE2168,0),"")</f>
        <v/>
      </c>
      <c r="AH2168" s="9">
        <f>IF(AF2168=1,UPPER(TRIM(IFERROR(INDEX($A2168:$AB2168,MATCH("Client",$A$1:$AB$1,0)),"")&amp;"")),"")</f>
        <v/>
      </c>
      <c r="AI2168" s="9">
        <f>IF(AF2168=1,IFERROR(INDEX($A2168:$AB2168,MATCH("Cost Centre",$A$1:$AB$1,0)),"")&amp;"","")</f>
        <v/>
      </c>
      <c r="AJ2168" s="54">
        <f>IF(AND(AF2168=1,AE2168&gt;=set_FYStart,AE2168&lt;=set_AsAt),1,0)</f>
        <v/>
      </c>
      <c r="AK2168" s="54">
        <f>IF(AND(AJ2168=1,AH2168&lt;&gt;"",COUNTIFS($AH$2:AH2168,AH2168,$AJ$2:AJ2168,1)=1),N(AL2167)+1,"")</f>
        <v/>
      </c>
      <c r="AL2168" s="54">
        <f>IF(AK2168&lt;&gt;"",AK2168,N(AL2167))</f>
        <v/>
      </c>
    </row>
    <row r="2169">
      <c r="A2169" t="inlineStr">
        <is>
          <t>PRD-0723</t>
        </is>
      </c>
      <c r="B2169" t="inlineStr">
        <is>
          <t>Production</t>
        </is>
      </c>
      <c r="AB2169" t="n">
        <v>723</v>
      </c>
      <c r="AD2169" s="52">
        <f>IFERROR(N(IFERROR(INDEX($A2169:$AB2169,MATCH("Xero Invoiced Ex GST",$A$1:$AB$1,0)),"")),0)</f>
        <v/>
      </c>
      <c r="AE2169" s="53">
        <f>IFERROR(INDEX($A2169:$AB2169,MATCH("Xero Invoice Date",$A$1:$AB$1,0)),"")</f>
        <v/>
      </c>
      <c r="AF2169" s="54">
        <f>IF(AND(IFERROR(INDEX($A2169:$AB2169,MATCH("Xero Invoice No",$A$1:$AB$1,0)),"")&amp;""&lt;&gt;"",ISNUMBER(AE2169),AD2169&lt;&gt;0),1,0)</f>
        <v/>
      </c>
      <c r="AG2169" s="55">
        <f>IF(AF2169=1,EOMONTH(AE2169,0),"")</f>
        <v/>
      </c>
      <c r="AH2169" s="9">
        <f>IF(AF2169=1,UPPER(TRIM(IFERROR(INDEX($A2169:$AB2169,MATCH("Client",$A$1:$AB$1,0)),"")&amp;"")),"")</f>
        <v/>
      </c>
      <c r="AI2169" s="9">
        <f>IF(AF2169=1,IFERROR(INDEX($A2169:$AB2169,MATCH("Cost Centre",$A$1:$AB$1,0)),"")&amp;"","")</f>
        <v/>
      </c>
      <c r="AJ2169" s="54">
        <f>IF(AND(AF2169=1,AE2169&gt;=set_FYStart,AE2169&lt;=set_AsAt),1,0)</f>
        <v/>
      </c>
      <c r="AK2169" s="54">
        <f>IF(AND(AJ2169=1,AH2169&lt;&gt;"",COUNTIFS($AH$2:AH2169,AH2169,$AJ$2:AJ2169,1)=1),N(AL2168)+1,"")</f>
        <v/>
      </c>
      <c r="AL2169" s="54">
        <f>IF(AK2169&lt;&gt;"",AK2169,N(AL2168))</f>
        <v/>
      </c>
    </row>
    <row r="2170">
      <c r="A2170" t="inlineStr">
        <is>
          <t>CON-0723</t>
        </is>
      </c>
      <c r="B2170" t="inlineStr">
        <is>
          <t>Consulting</t>
        </is>
      </c>
      <c r="AB2170" t="n">
        <v>723</v>
      </c>
      <c r="AD2170" s="52">
        <f>IFERROR(N(IFERROR(INDEX($A2170:$AB2170,MATCH("Xero Invoiced Ex GST",$A$1:$AB$1,0)),"")),0)</f>
        <v/>
      </c>
      <c r="AE2170" s="53">
        <f>IFERROR(INDEX($A2170:$AB2170,MATCH("Xero Invoice Date",$A$1:$AB$1,0)),"")</f>
        <v/>
      </c>
      <c r="AF2170" s="54">
        <f>IF(AND(IFERROR(INDEX($A2170:$AB2170,MATCH("Xero Invoice No",$A$1:$AB$1,0)),"")&amp;""&lt;&gt;"",ISNUMBER(AE2170),AD2170&lt;&gt;0),1,0)</f>
        <v/>
      </c>
      <c r="AG2170" s="55">
        <f>IF(AF2170=1,EOMONTH(AE2170,0),"")</f>
        <v/>
      </c>
      <c r="AH2170" s="9">
        <f>IF(AF2170=1,UPPER(TRIM(IFERROR(INDEX($A2170:$AB2170,MATCH("Client",$A$1:$AB$1,0)),"")&amp;"")),"")</f>
        <v/>
      </c>
      <c r="AI2170" s="9">
        <f>IF(AF2170=1,IFERROR(INDEX($A2170:$AB2170,MATCH("Cost Centre",$A$1:$AB$1,0)),"")&amp;"","")</f>
        <v/>
      </c>
      <c r="AJ2170" s="54">
        <f>IF(AND(AF2170=1,AE2170&gt;=set_FYStart,AE2170&lt;=set_AsAt),1,0)</f>
        <v/>
      </c>
      <c r="AK2170" s="54">
        <f>IF(AND(AJ2170=1,AH2170&lt;&gt;"",COUNTIFS($AH$2:AH2170,AH2170,$AJ$2:AJ2170,1)=1),N(AL2169)+1,"")</f>
        <v/>
      </c>
      <c r="AL2170" s="54">
        <f>IF(AK2170&lt;&gt;"",AK2170,N(AL2169))</f>
        <v/>
      </c>
    </row>
    <row r="2171">
      <c r="A2171" t="inlineStr">
        <is>
          <t>ONS-0724</t>
        </is>
      </c>
      <c r="B2171" t="inlineStr">
        <is>
          <t>Onsite</t>
        </is>
      </c>
      <c r="AB2171" t="n">
        <v>724</v>
      </c>
      <c r="AD2171" s="52">
        <f>IFERROR(N(IFERROR(INDEX($A2171:$AB2171,MATCH("Xero Invoiced Ex GST",$A$1:$AB$1,0)),"")),0)</f>
        <v/>
      </c>
      <c r="AE2171" s="53">
        <f>IFERROR(INDEX($A2171:$AB2171,MATCH("Xero Invoice Date",$A$1:$AB$1,0)),"")</f>
        <v/>
      </c>
      <c r="AF2171" s="54">
        <f>IF(AND(IFERROR(INDEX($A2171:$AB2171,MATCH("Xero Invoice No",$A$1:$AB$1,0)),"")&amp;""&lt;&gt;"",ISNUMBER(AE2171),AD2171&lt;&gt;0),1,0)</f>
        <v/>
      </c>
      <c r="AG2171" s="55">
        <f>IF(AF2171=1,EOMONTH(AE2171,0),"")</f>
        <v/>
      </c>
      <c r="AH2171" s="9">
        <f>IF(AF2171=1,UPPER(TRIM(IFERROR(INDEX($A2171:$AB2171,MATCH("Client",$A$1:$AB$1,0)),"")&amp;"")),"")</f>
        <v/>
      </c>
      <c r="AI2171" s="9">
        <f>IF(AF2171=1,IFERROR(INDEX($A2171:$AB2171,MATCH("Cost Centre",$A$1:$AB$1,0)),"")&amp;"","")</f>
        <v/>
      </c>
      <c r="AJ2171" s="54">
        <f>IF(AND(AF2171=1,AE2171&gt;=set_FYStart,AE2171&lt;=set_AsAt),1,0)</f>
        <v/>
      </c>
      <c r="AK2171" s="54">
        <f>IF(AND(AJ2171=1,AH2171&lt;&gt;"",COUNTIFS($AH$2:AH2171,AH2171,$AJ$2:AJ2171,1)=1),N(AL2170)+1,"")</f>
        <v/>
      </c>
      <c r="AL2171" s="54">
        <f>IF(AK2171&lt;&gt;"",AK2171,N(AL2170))</f>
        <v/>
      </c>
    </row>
    <row r="2172">
      <c r="A2172" t="inlineStr">
        <is>
          <t>PRD-0724</t>
        </is>
      </c>
      <c r="B2172" t="inlineStr">
        <is>
          <t>Production</t>
        </is>
      </c>
      <c r="AB2172" t="n">
        <v>724</v>
      </c>
      <c r="AD2172" s="52">
        <f>IFERROR(N(IFERROR(INDEX($A2172:$AB2172,MATCH("Xero Invoiced Ex GST",$A$1:$AB$1,0)),"")),0)</f>
        <v/>
      </c>
      <c r="AE2172" s="53">
        <f>IFERROR(INDEX($A2172:$AB2172,MATCH("Xero Invoice Date",$A$1:$AB$1,0)),"")</f>
        <v/>
      </c>
      <c r="AF2172" s="54">
        <f>IF(AND(IFERROR(INDEX($A2172:$AB2172,MATCH("Xero Invoice No",$A$1:$AB$1,0)),"")&amp;""&lt;&gt;"",ISNUMBER(AE2172),AD2172&lt;&gt;0),1,0)</f>
        <v/>
      </c>
      <c r="AG2172" s="55">
        <f>IF(AF2172=1,EOMONTH(AE2172,0),"")</f>
        <v/>
      </c>
      <c r="AH2172" s="9">
        <f>IF(AF2172=1,UPPER(TRIM(IFERROR(INDEX($A2172:$AB2172,MATCH("Client",$A$1:$AB$1,0)),"")&amp;"")),"")</f>
        <v/>
      </c>
      <c r="AI2172" s="9">
        <f>IF(AF2172=1,IFERROR(INDEX($A2172:$AB2172,MATCH("Cost Centre",$A$1:$AB$1,0)),"")&amp;"","")</f>
        <v/>
      </c>
      <c r="AJ2172" s="54">
        <f>IF(AND(AF2172=1,AE2172&gt;=set_FYStart,AE2172&lt;=set_AsAt),1,0)</f>
        <v/>
      </c>
      <c r="AK2172" s="54">
        <f>IF(AND(AJ2172=1,AH2172&lt;&gt;"",COUNTIFS($AH$2:AH2172,AH2172,$AJ$2:AJ2172,1)=1),N(AL2171)+1,"")</f>
        <v/>
      </c>
      <c r="AL2172" s="54">
        <f>IF(AK2172&lt;&gt;"",AK2172,N(AL2171))</f>
        <v/>
      </c>
    </row>
    <row r="2173">
      <c r="A2173" t="inlineStr">
        <is>
          <t>CON-0724</t>
        </is>
      </c>
      <c r="B2173" t="inlineStr">
        <is>
          <t>Consulting</t>
        </is>
      </c>
      <c r="AB2173" t="n">
        <v>724</v>
      </c>
      <c r="AD2173" s="52">
        <f>IFERROR(N(IFERROR(INDEX($A2173:$AB2173,MATCH("Xero Invoiced Ex GST",$A$1:$AB$1,0)),"")),0)</f>
        <v/>
      </c>
      <c r="AE2173" s="53">
        <f>IFERROR(INDEX($A2173:$AB2173,MATCH("Xero Invoice Date",$A$1:$AB$1,0)),"")</f>
        <v/>
      </c>
      <c r="AF2173" s="54">
        <f>IF(AND(IFERROR(INDEX($A2173:$AB2173,MATCH("Xero Invoice No",$A$1:$AB$1,0)),"")&amp;""&lt;&gt;"",ISNUMBER(AE2173),AD2173&lt;&gt;0),1,0)</f>
        <v/>
      </c>
      <c r="AG2173" s="55">
        <f>IF(AF2173=1,EOMONTH(AE2173,0),"")</f>
        <v/>
      </c>
      <c r="AH2173" s="9">
        <f>IF(AF2173=1,UPPER(TRIM(IFERROR(INDEX($A2173:$AB2173,MATCH("Client",$A$1:$AB$1,0)),"")&amp;"")),"")</f>
        <v/>
      </c>
      <c r="AI2173" s="9">
        <f>IF(AF2173=1,IFERROR(INDEX($A2173:$AB2173,MATCH("Cost Centre",$A$1:$AB$1,0)),"")&amp;"","")</f>
        <v/>
      </c>
      <c r="AJ2173" s="54">
        <f>IF(AND(AF2173=1,AE2173&gt;=set_FYStart,AE2173&lt;=set_AsAt),1,0)</f>
        <v/>
      </c>
      <c r="AK2173" s="54">
        <f>IF(AND(AJ2173=1,AH2173&lt;&gt;"",COUNTIFS($AH$2:AH2173,AH2173,$AJ$2:AJ2173,1)=1),N(AL2172)+1,"")</f>
        <v/>
      </c>
      <c r="AL2173" s="54">
        <f>IF(AK2173&lt;&gt;"",AK2173,N(AL2172))</f>
        <v/>
      </c>
    </row>
    <row r="2174">
      <c r="A2174" t="inlineStr">
        <is>
          <t>ONS-0725</t>
        </is>
      </c>
      <c r="B2174" t="inlineStr">
        <is>
          <t>Onsite</t>
        </is>
      </c>
      <c r="AB2174" t="n">
        <v>725</v>
      </c>
      <c r="AD2174" s="52">
        <f>IFERROR(N(IFERROR(INDEX($A2174:$AB2174,MATCH("Xero Invoiced Ex GST",$A$1:$AB$1,0)),"")),0)</f>
        <v/>
      </c>
      <c r="AE2174" s="53">
        <f>IFERROR(INDEX($A2174:$AB2174,MATCH("Xero Invoice Date",$A$1:$AB$1,0)),"")</f>
        <v/>
      </c>
      <c r="AF2174" s="54">
        <f>IF(AND(IFERROR(INDEX($A2174:$AB2174,MATCH("Xero Invoice No",$A$1:$AB$1,0)),"")&amp;""&lt;&gt;"",ISNUMBER(AE2174),AD2174&lt;&gt;0),1,0)</f>
        <v/>
      </c>
      <c r="AG2174" s="55">
        <f>IF(AF2174=1,EOMONTH(AE2174,0),"")</f>
        <v/>
      </c>
      <c r="AH2174" s="9">
        <f>IF(AF2174=1,UPPER(TRIM(IFERROR(INDEX($A2174:$AB2174,MATCH("Client",$A$1:$AB$1,0)),"")&amp;"")),"")</f>
        <v/>
      </c>
      <c r="AI2174" s="9">
        <f>IF(AF2174=1,IFERROR(INDEX($A2174:$AB2174,MATCH("Cost Centre",$A$1:$AB$1,0)),"")&amp;"","")</f>
        <v/>
      </c>
      <c r="AJ2174" s="54">
        <f>IF(AND(AF2174=1,AE2174&gt;=set_FYStart,AE2174&lt;=set_AsAt),1,0)</f>
        <v/>
      </c>
      <c r="AK2174" s="54">
        <f>IF(AND(AJ2174=1,AH2174&lt;&gt;"",COUNTIFS($AH$2:AH2174,AH2174,$AJ$2:AJ2174,1)=1),N(AL2173)+1,"")</f>
        <v/>
      </c>
      <c r="AL2174" s="54">
        <f>IF(AK2174&lt;&gt;"",AK2174,N(AL2173))</f>
        <v/>
      </c>
    </row>
    <row r="2175">
      <c r="A2175" t="inlineStr">
        <is>
          <t>PRD-0725</t>
        </is>
      </c>
      <c r="B2175" t="inlineStr">
        <is>
          <t>Production</t>
        </is>
      </c>
      <c r="AB2175" t="n">
        <v>725</v>
      </c>
      <c r="AD2175" s="52">
        <f>IFERROR(N(IFERROR(INDEX($A2175:$AB2175,MATCH("Xero Invoiced Ex GST",$A$1:$AB$1,0)),"")),0)</f>
        <v/>
      </c>
      <c r="AE2175" s="53">
        <f>IFERROR(INDEX($A2175:$AB2175,MATCH("Xero Invoice Date",$A$1:$AB$1,0)),"")</f>
        <v/>
      </c>
      <c r="AF2175" s="54">
        <f>IF(AND(IFERROR(INDEX($A2175:$AB2175,MATCH("Xero Invoice No",$A$1:$AB$1,0)),"")&amp;""&lt;&gt;"",ISNUMBER(AE2175),AD2175&lt;&gt;0),1,0)</f>
        <v/>
      </c>
      <c r="AG2175" s="55">
        <f>IF(AF2175=1,EOMONTH(AE2175,0),"")</f>
        <v/>
      </c>
      <c r="AH2175" s="9">
        <f>IF(AF2175=1,UPPER(TRIM(IFERROR(INDEX($A2175:$AB2175,MATCH("Client",$A$1:$AB$1,0)),"")&amp;"")),"")</f>
        <v/>
      </c>
      <c r="AI2175" s="9">
        <f>IF(AF2175=1,IFERROR(INDEX($A2175:$AB2175,MATCH("Cost Centre",$A$1:$AB$1,0)),"")&amp;"","")</f>
        <v/>
      </c>
      <c r="AJ2175" s="54">
        <f>IF(AND(AF2175=1,AE2175&gt;=set_FYStart,AE2175&lt;=set_AsAt),1,0)</f>
        <v/>
      </c>
      <c r="AK2175" s="54">
        <f>IF(AND(AJ2175=1,AH2175&lt;&gt;"",COUNTIFS($AH$2:AH2175,AH2175,$AJ$2:AJ2175,1)=1),N(AL2174)+1,"")</f>
        <v/>
      </c>
      <c r="AL2175" s="54">
        <f>IF(AK2175&lt;&gt;"",AK2175,N(AL2174))</f>
        <v/>
      </c>
    </row>
    <row r="2176">
      <c r="A2176" t="inlineStr">
        <is>
          <t>CON-0725</t>
        </is>
      </c>
      <c r="B2176" t="inlineStr">
        <is>
          <t>Consulting</t>
        </is>
      </c>
      <c r="AB2176" t="n">
        <v>725</v>
      </c>
      <c r="AD2176" s="52">
        <f>IFERROR(N(IFERROR(INDEX($A2176:$AB2176,MATCH("Xero Invoiced Ex GST",$A$1:$AB$1,0)),"")),0)</f>
        <v/>
      </c>
      <c r="AE2176" s="53">
        <f>IFERROR(INDEX($A2176:$AB2176,MATCH("Xero Invoice Date",$A$1:$AB$1,0)),"")</f>
        <v/>
      </c>
      <c r="AF2176" s="54">
        <f>IF(AND(IFERROR(INDEX($A2176:$AB2176,MATCH("Xero Invoice No",$A$1:$AB$1,0)),"")&amp;""&lt;&gt;"",ISNUMBER(AE2176),AD2176&lt;&gt;0),1,0)</f>
        <v/>
      </c>
      <c r="AG2176" s="55">
        <f>IF(AF2176=1,EOMONTH(AE2176,0),"")</f>
        <v/>
      </c>
      <c r="AH2176" s="9">
        <f>IF(AF2176=1,UPPER(TRIM(IFERROR(INDEX($A2176:$AB2176,MATCH("Client",$A$1:$AB$1,0)),"")&amp;"")),"")</f>
        <v/>
      </c>
      <c r="AI2176" s="9">
        <f>IF(AF2176=1,IFERROR(INDEX($A2176:$AB2176,MATCH("Cost Centre",$A$1:$AB$1,0)),"")&amp;"","")</f>
        <v/>
      </c>
      <c r="AJ2176" s="54">
        <f>IF(AND(AF2176=1,AE2176&gt;=set_FYStart,AE2176&lt;=set_AsAt),1,0)</f>
        <v/>
      </c>
      <c r="AK2176" s="54">
        <f>IF(AND(AJ2176=1,AH2176&lt;&gt;"",COUNTIFS($AH$2:AH2176,AH2176,$AJ$2:AJ2176,1)=1),N(AL2175)+1,"")</f>
        <v/>
      </c>
      <c r="AL2176" s="54">
        <f>IF(AK2176&lt;&gt;"",AK2176,N(AL2175))</f>
        <v/>
      </c>
    </row>
    <row r="2177">
      <c r="A2177" t="inlineStr">
        <is>
          <t>ONS-0726</t>
        </is>
      </c>
      <c r="B2177" t="inlineStr">
        <is>
          <t>Onsite</t>
        </is>
      </c>
      <c r="AB2177" t="n">
        <v>726</v>
      </c>
      <c r="AD2177" s="52">
        <f>IFERROR(N(IFERROR(INDEX($A2177:$AB2177,MATCH("Xero Invoiced Ex GST",$A$1:$AB$1,0)),"")),0)</f>
        <v/>
      </c>
      <c r="AE2177" s="53">
        <f>IFERROR(INDEX($A2177:$AB2177,MATCH("Xero Invoice Date",$A$1:$AB$1,0)),"")</f>
        <v/>
      </c>
      <c r="AF2177" s="54">
        <f>IF(AND(IFERROR(INDEX($A2177:$AB2177,MATCH("Xero Invoice No",$A$1:$AB$1,0)),"")&amp;""&lt;&gt;"",ISNUMBER(AE2177),AD2177&lt;&gt;0),1,0)</f>
        <v/>
      </c>
      <c r="AG2177" s="55">
        <f>IF(AF2177=1,EOMONTH(AE2177,0),"")</f>
        <v/>
      </c>
      <c r="AH2177" s="9">
        <f>IF(AF2177=1,UPPER(TRIM(IFERROR(INDEX($A2177:$AB2177,MATCH("Client",$A$1:$AB$1,0)),"")&amp;"")),"")</f>
        <v/>
      </c>
      <c r="AI2177" s="9">
        <f>IF(AF2177=1,IFERROR(INDEX($A2177:$AB2177,MATCH("Cost Centre",$A$1:$AB$1,0)),"")&amp;"","")</f>
        <v/>
      </c>
      <c r="AJ2177" s="54">
        <f>IF(AND(AF2177=1,AE2177&gt;=set_FYStart,AE2177&lt;=set_AsAt),1,0)</f>
        <v/>
      </c>
      <c r="AK2177" s="54">
        <f>IF(AND(AJ2177=1,AH2177&lt;&gt;"",COUNTIFS($AH$2:AH2177,AH2177,$AJ$2:AJ2177,1)=1),N(AL2176)+1,"")</f>
        <v/>
      </c>
      <c r="AL2177" s="54">
        <f>IF(AK2177&lt;&gt;"",AK2177,N(AL2176))</f>
        <v/>
      </c>
    </row>
    <row r="2178">
      <c r="A2178" t="inlineStr">
        <is>
          <t>PRD-0726</t>
        </is>
      </c>
      <c r="B2178" t="inlineStr">
        <is>
          <t>Production</t>
        </is>
      </c>
      <c r="AB2178" t="n">
        <v>726</v>
      </c>
      <c r="AD2178" s="52">
        <f>IFERROR(N(IFERROR(INDEX($A2178:$AB2178,MATCH("Xero Invoiced Ex GST",$A$1:$AB$1,0)),"")),0)</f>
        <v/>
      </c>
      <c r="AE2178" s="53">
        <f>IFERROR(INDEX($A2178:$AB2178,MATCH("Xero Invoice Date",$A$1:$AB$1,0)),"")</f>
        <v/>
      </c>
      <c r="AF2178" s="54">
        <f>IF(AND(IFERROR(INDEX($A2178:$AB2178,MATCH("Xero Invoice No",$A$1:$AB$1,0)),"")&amp;""&lt;&gt;"",ISNUMBER(AE2178),AD2178&lt;&gt;0),1,0)</f>
        <v/>
      </c>
      <c r="AG2178" s="55">
        <f>IF(AF2178=1,EOMONTH(AE2178,0),"")</f>
        <v/>
      </c>
      <c r="AH2178" s="9">
        <f>IF(AF2178=1,UPPER(TRIM(IFERROR(INDEX($A2178:$AB2178,MATCH("Client",$A$1:$AB$1,0)),"")&amp;"")),"")</f>
        <v/>
      </c>
      <c r="AI2178" s="9">
        <f>IF(AF2178=1,IFERROR(INDEX($A2178:$AB2178,MATCH("Cost Centre",$A$1:$AB$1,0)),"")&amp;"","")</f>
        <v/>
      </c>
      <c r="AJ2178" s="54">
        <f>IF(AND(AF2178=1,AE2178&gt;=set_FYStart,AE2178&lt;=set_AsAt),1,0)</f>
        <v/>
      </c>
      <c r="AK2178" s="54">
        <f>IF(AND(AJ2178=1,AH2178&lt;&gt;"",COUNTIFS($AH$2:AH2178,AH2178,$AJ$2:AJ2178,1)=1),N(AL2177)+1,"")</f>
        <v/>
      </c>
      <c r="AL2178" s="54">
        <f>IF(AK2178&lt;&gt;"",AK2178,N(AL2177))</f>
        <v/>
      </c>
    </row>
    <row r="2179">
      <c r="A2179" t="inlineStr">
        <is>
          <t>CON-0726</t>
        </is>
      </c>
      <c r="B2179" t="inlineStr">
        <is>
          <t>Consulting</t>
        </is>
      </c>
      <c r="AB2179" t="n">
        <v>726</v>
      </c>
      <c r="AD2179" s="52">
        <f>IFERROR(N(IFERROR(INDEX($A2179:$AB2179,MATCH("Xero Invoiced Ex GST",$A$1:$AB$1,0)),"")),0)</f>
        <v/>
      </c>
      <c r="AE2179" s="53">
        <f>IFERROR(INDEX($A2179:$AB2179,MATCH("Xero Invoice Date",$A$1:$AB$1,0)),"")</f>
        <v/>
      </c>
      <c r="AF2179" s="54">
        <f>IF(AND(IFERROR(INDEX($A2179:$AB2179,MATCH("Xero Invoice No",$A$1:$AB$1,0)),"")&amp;""&lt;&gt;"",ISNUMBER(AE2179),AD2179&lt;&gt;0),1,0)</f>
        <v/>
      </c>
      <c r="AG2179" s="55">
        <f>IF(AF2179=1,EOMONTH(AE2179,0),"")</f>
        <v/>
      </c>
      <c r="AH2179" s="9">
        <f>IF(AF2179=1,UPPER(TRIM(IFERROR(INDEX($A2179:$AB2179,MATCH("Client",$A$1:$AB$1,0)),"")&amp;"")),"")</f>
        <v/>
      </c>
      <c r="AI2179" s="9">
        <f>IF(AF2179=1,IFERROR(INDEX($A2179:$AB2179,MATCH("Cost Centre",$A$1:$AB$1,0)),"")&amp;"","")</f>
        <v/>
      </c>
      <c r="AJ2179" s="54">
        <f>IF(AND(AF2179=1,AE2179&gt;=set_FYStart,AE2179&lt;=set_AsAt),1,0)</f>
        <v/>
      </c>
      <c r="AK2179" s="54">
        <f>IF(AND(AJ2179=1,AH2179&lt;&gt;"",COUNTIFS($AH$2:AH2179,AH2179,$AJ$2:AJ2179,1)=1),N(AL2178)+1,"")</f>
        <v/>
      </c>
      <c r="AL2179" s="54">
        <f>IF(AK2179&lt;&gt;"",AK2179,N(AL2178))</f>
        <v/>
      </c>
    </row>
    <row r="2180">
      <c r="A2180" t="inlineStr">
        <is>
          <t>ONS-0727</t>
        </is>
      </c>
      <c r="B2180" t="inlineStr">
        <is>
          <t>Onsite</t>
        </is>
      </c>
      <c r="AB2180" t="n">
        <v>727</v>
      </c>
      <c r="AD2180" s="52">
        <f>IFERROR(N(IFERROR(INDEX($A2180:$AB2180,MATCH("Xero Invoiced Ex GST",$A$1:$AB$1,0)),"")),0)</f>
        <v/>
      </c>
      <c r="AE2180" s="53">
        <f>IFERROR(INDEX($A2180:$AB2180,MATCH("Xero Invoice Date",$A$1:$AB$1,0)),"")</f>
        <v/>
      </c>
      <c r="AF2180" s="54">
        <f>IF(AND(IFERROR(INDEX($A2180:$AB2180,MATCH("Xero Invoice No",$A$1:$AB$1,0)),"")&amp;""&lt;&gt;"",ISNUMBER(AE2180),AD2180&lt;&gt;0),1,0)</f>
        <v/>
      </c>
      <c r="AG2180" s="55">
        <f>IF(AF2180=1,EOMONTH(AE2180,0),"")</f>
        <v/>
      </c>
      <c r="AH2180" s="9">
        <f>IF(AF2180=1,UPPER(TRIM(IFERROR(INDEX($A2180:$AB2180,MATCH("Client",$A$1:$AB$1,0)),"")&amp;"")),"")</f>
        <v/>
      </c>
      <c r="AI2180" s="9">
        <f>IF(AF2180=1,IFERROR(INDEX($A2180:$AB2180,MATCH("Cost Centre",$A$1:$AB$1,0)),"")&amp;"","")</f>
        <v/>
      </c>
      <c r="AJ2180" s="54">
        <f>IF(AND(AF2180=1,AE2180&gt;=set_FYStart,AE2180&lt;=set_AsAt),1,0)</f>
        <v/>
      </c>
      <c r="AK2180" s="54">
        <f>IF(AND(AJ2180=1,AH2180&lt;&gt;"",COUNTIFS($AH$2:AH2180,AH2180,$AJ$2:AJ2180,1)=1),N(AL2179)+1,"")</f>
        <v/>
      </c>
      <c r="AL2180" s="54">
        <f>IF(AK2180&lt;&gt;"",AK2180,N(AL2179))</f>
        <v/>
      </c>
    </row>
    <row r="2181">
      <c r="A2181" t="inlineStr">
        <is>
          <t>PRD-0727</t>
        </is>
      </c>
      <c r="B2181" t="inlineStr">
        <is>
          <t>Production</t>
        </is>
      </c>
      <c r="AB2181" t="n">
        <v>727</v>
      </c>
      <c r="AD2181" s="52">
        <f>IFERROR(N(IFERROR(INDEX($A2181:$AB2181,MATCH("Xero Invoiced Ex GST",$A$1:$AB$1,0)),"")),0)</f>
        <v/>
      </c>
      <c r="AE2181" s="53">
        <f>IFERROR(INDEX($A2181:$AB2181,MATCH("Xero Invoice Date",$A$1:$AB$1,0)),"")</f>
        <v/>
      </c>
      <c r="AF2181" s="54">
        <f>IF(AND(IFERROR(INDEX($A2181:$AB2181,MATCH("Xero Invoice No",$A$1:$AB$1,0)),"")&amp;""&lt;&gt;"",ISNUMBER(AE2181),AD2181&lt;&gt;0),1,0)</f>
        <v/>
      </c>
      <c r="AG2181" s="55">
        <f>IF(AF2181=1,EOMONTH(AE2181,0),"")</f>
        <v/>
      </c>
      <c r="AH2181" s="9">
        <f>IF(AF2181=1,UPPER(TRIM(IFERROR(INDEX($A2181:$AB2181,MATCH("Client",$A$1:$AB$1,0)),"")&amp;"")),"")</f>
        <v/>
      </c>
      <c r="AI2181" s="9">
        <f>IF(AF2181=1,IFERROR(INDEX($A2181:$AB2181,MATCH("Cost Centre",$A$1:$AB$1,0)),"")&amp;"","")</f>
        <v/>
      </c>
      <c r="AJ2181" s="54">
        <f>IF(AND(AF2181=1,AE2181&gt;=set_FYStart,AE2181&lt;=set_AsAt),1,0)</f>
        <v/>
      </c>
      <c r="AK2181" s="54">
        <f>IF(AND(AJ2181=1,AH2181&lt;&gt;"",COUNTIFS($AH$2:AH2181,AH2181,$AJ$2:AJ2181,1)=1),N(AL2180)+1,"")</f>
        <v/>
      </c>
      <c r="AL2181" s="54">
        <f>IF(AK2181&lt;&gt;"",AK2181,N(AL2180))</f>
        <v/>
      </c>
    </row>
    <row r="2182">
      <c r="A2182" t="inlineStr">
        <is>
          <t>CON-0727</t>
        </is>
      </c>
      <c r="B2182" t="inlineStr">
        <is>
          <t>Consulting</t>
        </is>
      </c>
      <c r="AB2182" t="n">
        <v>727</v>
      </c>
      <c r="AD2182" s="52">
        <f>IFERROR(N(IFERROR(INDEX($A2182:$AB2182,MATCH("Xero Invoiced Ex GST",$A$1:$AB$1,0)),"")),0)</f>
        <v/>
      </c>
      <c r="AE2182" s="53">
        <f>IFERROR(INDEX($A2182:$AB2182,MATCH("Xero Invoice Date",$A$1:$AB$1,0)),"")</f>
        <v/>
      </c>
      <c r="AF2182" s="54">
        <f>IF(AND(IFERROR(INDEX($A2182:$AB2182,MATCH("Xero Invoice No",$A$1:$AB$1,0)),"")&amp;""&lt;&gt;"",ISNUMBER(AE2182),AD2182&lt;&gt;0),1,0)</f>
        <v/>
      </c>
      <c r="AG2182" s="55">
        <f>IF(AF2182=1,EOMONTH(AE2182,0),"")</f>
        <v/>
      </c>
      <c r="AH2182" s="9">
        <f>IF(AF2182=1,UPPER(TRIM(IFERROR(INDEX($A2182:$AB2182,MATCH("Client",$A$1:$AB$1,0)),"")&amp;"")),"")</f>
        <v/>
      </c>
      <c r="AI2182" s="9">
        <f>IF(AF2182=1,IFERROR(INDEX($A2182:$AB2182,MATCH("Cost Centre",$A$1:$AB$1,0)),"")&amp;"","")</f>
        <v/>
      </c>
      <c r="AJ2182" s="54">
        <f>IF(AND(AF2182=1,AE2182&gt;=set_FYStart,AE2182&lt;=set_AsAt),1,0)</f>
        <v/>
      </c>
      <c r="AK2182" s="54">
        <f>IF(AND(AJ2182=1,AH2182&lt;&gt;"",COUNTIFS($AH$2:AH2182,AH2182,$AJ$2:AJ2182,1)=1),N(AL2181)+1,"")</f>
        <v/>
      </c>
      <c r="AL2182" s="54">
        <f>IF(AK2182&lt;&gt;"",AK2182,N(AL2181))</f>
        <v/>
      </c>
    </row>
    <row r="2183">
      <c r="A2183" t="inlineStr">
        <is>
          <t>ONS-0728</t>
        </is>
      </c>
      <c r="B2183" t="inlineStr">
        <is>
          <t>Onsite</t>
        </is>
      </c>
      <c r="AB2183" t="n">
        <v>728</v>
      </c>
      <c r="AD2183" s="52">
        <f>IFERROR(N(IFERROR(INDEX($A2183:$AB2183,MATCH("Xero Invoiced Ex GST",$A$1:$AB$1,0)),"")),0)</f>
        <v/>
      </c>
      <c r="AE2183" s="53">
        <f>IFERROR(INDEX($A2183:$AB2183,MATCH("Xero Invoice Date",$A$1:$AB$1,0)),"")</f>
        <v/>
      </c>
      <c r="AF2183" s="54">
        <f>IF(AND(IFERROR(INDEX($A2183:$AB2183,MATCH("Xero Invoice No",$A$1:$AB$1,0)),"")&amp;""&lt;&gt;"",ISNUMBER(AE2183),AD2183&lt;&gt;0),1,0)</f>
        <v/>
      </c>
      <c r="AG2183" s="55">
        <f>IF(AF2183=1,EOMONTH(AE2183,0),"")</f>
        <v/>
      </c>
      <c r="AH2183" s="9">
        <f>IF(AF2183=1,UPPER(TRIM(IFERROR(INDEX($A2183:$AB2183,MATCH("Client",$A$1:$AB$1,0)),"")&amp;"")),"")</f>
        <v/>
      </c>
      <c r="AI2183" s="9">
        <f>IF(AF2183=1,IFERROR(INDEX($A2183:$AB2183,MATCH("Cost Centre",$A$1:$AB$1,0)),"")&amp;"","")</f>
        <v/>
      </c>
      <c r="AJ2183" s="54">
        <f>IF(AND(AF2183=1,AE2183&gt;=set_FYStart,AE2183&lt;=set_AsAt),1,0)</f>
        <v/>
      </c>
      <c r="AK2183" s="54">
        <f>IF(AND(AJ2183=1,AH2183&lt;&gt;"",COUNTIFS($AH$2:AH2183,AH2183,$AJ$2:AJ2183,1)=1),N(AL2182)+1,"")</f>
        <v/>
      </c>
      <c r="AL2183" s="54">
        <f>IF(AK2183&lt;&gt;"",AK2183,N(AL2182))</f>
        <v/>
      </c>
    </row>
    <row r="2184">
      <c r="A2184" t="inlineStr">
        <is>
          <t>PRD-0728</t>
        </is>
      </c>
      <c r="B2184" t="inlineStr">
        <is>
          <t>Production</t>
        </is>
      </c>
      <c r="AB2184" t="n">
        <v>728</v>
      </c>
      <c r="AD2184" s="52">
        <f>IFERROR(N(IFERROR(INDEX($A2184:$AB2184,MATCH("Xero Invoiced Ex GST",$A$1:$AB$1,0)),"")),0)</f>
        <v/>
      </c>
      <c r="AE2184" s="53">
        <f>IFERROR(INDEX($A2184:$AB2184,MATCH("Xero Invoice Date",$A$1:$AB$1,0)),"")</f>
        <v/>
      </c>
      <c r="AF2184" s="54">
        <f>IF(AND(IFERROR(INDEX($A2184:$AB2184,MATCH("Xero Invoice No",$A$1:$AB$1,0)),"")&amp;""&lt;&gt;"",ISNUMBER(AE2184),AD2184&lt;&gt;0),1,0)</f>
        <v/>
      </c>
      <c r="AG2184" s="55">
        <f>IF(AF2184=1,EOMONTH(AE2184,0),"")</f>
        <v/>
      </c>
      <c r="AH2184" s="9">
        <f>IF(AF2184=1,UPPER(TRIM(IFERROR(INDEX($A2184:$AB2184,MATCH("Client",$A$1:$AB$1,0)),"")&amp;"")),"")</f>
        <v/>
      </c>
      <c r="AI2184" s="9">
        <f>IF(AF2184=1,IFERROR(INDEX($A2184:$AB2184,MATCH("Cost Centre",$A$1:$AB$1,0)),"")&amp;"","")</f>
        <v/>
      </c>
      <c r="AJ2184" s="54">
        <f>IF(AND(AF2184=1,AE2184&gt;=set_FYStart,AE2184&lt;=set_AsAt),1,0)</f>
        <v/>
      </c>
      <c r="AK2184" s="54">
        <f>IF(AND(AJ2184=1,AH2184&lt;&gt;"",COUNTIFS($AH$2:AH2184,AH2184,$AJ$2:AJ2184,1)=1),N(AL2183)+1,"")</f>
        <v/>
      </c>
      <c r="AL2184" s="54">
        <f>IF(AK2184&lt;&gt;"",AK2184,N(AL2183))</f>
        <v/>
      </c>
    </row>
    <row r="2185">
      <c r="A2185" t="inlineStr">
        <is>
          <t>CON-0728</t>
        </is>
      </c>
      <c r="B2185" t="inlineStr">
        <is>
          <t>Consulting</t>
        </is>
      </c>
      <c r="AB2185" t="n">
        <v>728</v>
      </c>
      <c r="AD2185" s="52">
        <f>IFERROR(N(IFERROR(INDEX($A2185:$AB2185,MATCH("Xero Invoiced Ex GST",$A$1:$AB$1,0)),"")),0)</f>
        <v/>
      </c>
      <c r="AE2185" s="53">
        <f>IFERROR(INDEX($A2185:$AB2185,MATCH("Xero Invoice Date",$A$1:$AB$1,0)),"")</f>
        <v/>
      </c>
      <c r="AF2185" s="54">
        <f>IF(AND(IFERROR(INDEX($A2185:$AB2185,MATCH("Xero Invoice No",$A$1:$AB$1,0)),"")&amp;""&lt;&gt;"",ISNUMBER(AE2185),AD2185&lt;&gt;0),1,0)</f>
        <v/>
      </c>
      <c r="AG2185" s="55">
        <f>IF(AF2185=1,EOMONTH(AE2185,0),"")</f>
        <v/>
      </c>
      <c r="AH2185" s="9">
        <f>IF(AF2185=1,UPPER(TRIM(IFERROR(INDEX($A2185:$AB2185,MATCH("Client",$A$1:$AB$1,0)),"")&amp;"")),"")</f>
        <v/>
      </c>
      <c r="AI2185" s="9">
        <f>IF(AF2185=1,IFERROR(INDEX($A2185:$AB2185,MATCH("Cost Centre",$A$1:$AB$1,0)),"")&amp;"","")</f>
        <v/>
      </c>
      <c r="AJ2185" s="54">
        <f>IF(AND(AF2185=1,AE2185&gt;=set_FYStart,AE2185&lt;=set_AsAt),1,0)</f>
        <v/>
      </c>
      <c r="AK2185" s="54">
        <f>IF(AND(AJ2185=1,AH2185&lt;&gt;"",COUNTIFS($AH$2:AH2185,AH2185,$AJ$2:AJ2185,1)=1),N(AL2184)+1,"")</f>
        <v/>
      </c>
      <c r="AL2185" s="54">
        <f>IF(AK2185&lt;&gt;"",AK2185,N(AL2184))</f>
        <v/>
      </c>
    </row>
    <row r="2186">
      <c r="A2186" t="inlineStr">
        <is>
          <t>ONS-0729</t>
        </is>
      </c>
      <c r="B2186" t="inlineStr">
        <is>
          <t>Onsite</t>
        </is>
      </c>
      <c r="AB2186" t="n">
        <v>729</v>
      </c>
      <c r="AD2186" s="52">
        <f>IFERROR(N(IFERROR(INDEX($A2186:$AB2186,MATCH("Xero Invoiced Ex GST",$A$1:$AB$1,0)),"")),0)</f>
        <v/>
      </c>
      <c r="AE2186" s="53">
        <f>IFERROR(INDEX($A2186:$AB2186,MATCH("Xero Invoice Date",$A$1:$AB$1,0)),"")</f>
        <v/>
      </c>
      <c r="AF2186" s="54">
        <f>IF(AND(IFERROR(INDEX($A2186:$AB2186,MATCH("Xero Invoice No",$A$1:$AB$1,0)),"")&amp;""&lt;&gt;"",ISNUMBER(AE2186),AD2186&lt;&gt;0),1,0)</f>
        <v/>
      </c>
      <c r="AG2186" s="55">
        <f>IF(AF2186=1,EOMONTH(AE2186,0),"")</f>
        <v/>
      </c>
      <c r="AH2186" s="9">
        <f>IF(AF2186=1,UPPER(TRIM(IFERROR(INDEX($A2186:$AB2186,MATCH("Client",$A$1:$AB$1,0)),"")&amp;"")),"")</f>
        <v/>
      </c>
      <c r="AI2186" s="9">
        <f>IF(AF2186=1,IFERROR(INDEX($A2186:$AB2186,MATCH("Cost Centre",$A$1:$AB$1,0)),"")&amp;"","")</f>
        <v/>
      </c>
      <c r="AJ2186" s="54">
        <f>IF(AND(AF2186=1,AE2186&gt;=set_FYStart,AE2186&lt;=set_AsAt),1,0)</f>
        <v/>
      </c>
      <c r="AK2186" s="54">
        <f>IF(AND(AJ2186=1,AH2186&lt;&gt;"",COUNTIFS($AH$2:AH2186,AH2186,$AJ$2:AJ2186,1)=1),N(AL2185)+1,"")</f>
        <v/>
      </c>
      <c r="AL2186" s="54">
        <f>IF(AK2186&lt;&gt;"",AK2186,N(AL2185))</f>
        <v/>
      </c>
    </row>
    <row r="2187">
      <c r="A2187" t="inlineStr">
        <is>
          <t>PRD-0729</t>
        </is>
      </c>
      <c r="B2187" t="inlineStr">
        <is>
          <t>Production</t>
        </is>
      </c>
      <c r="AB2187" t="n">
        <v>729</v>
      </c>
      <c r="AD2187" s="52">
        <f>IFERROR(N(IFERROR(INDEX($A2187:$AB2187,MATCH("Xero Invoiced Ex GST",$A$1:$AB$1,0)),"")),0)</f>
        <v/>
      </c>
      <c r="AE2187" s="53">
        <f>IFERROR(INDEX($A2187:$AB2187,MATCH("Xero Invoice Date",$A$1:$AB$1,0)),"")</f>
        <v/>
      </c>
      <c r="AF2187" s="54">
        <f>IF(AND(IFERROR(INDEX($A2187:$AB2187,MATCH("Xero Invoice No",$A$1:$AB$1,0)),"")&amp;""&lt;&gt;"",ISNUMBER(AE2187),AD2187&lt;&gt;0),1,0)</f>
        <v/>
      </c>
      <c r="AG2187" s="55">
        <f>IF(AF2187=1,EOMONTH(AE2187,0),"")</f>
        <v/>
      </c>
      <c r="AH2187" s="9">
        <f>IF(AF2187=1,UPPER(TRIM(IFERROR(INDEX($A2187:$AB2187,MATCH("Client",$A$1:$AB$1,0)),"")&amp;"")),"")</f>
        <v/>
      </c>
      <c r="AI2187" s="9">
        <f>IF(AF2187=1,IFERROR(INDEX($A2187:$AB2187,MATCH("Cost Centre",$A$1:$AB$1,0)),"")&amp;"","")</f>
        <v/>
      </c>
      <c r="AJ2187" s="54">
        <f>IF(AND(AF2187=1,AE2187&gt;=set_FYStart,AE2187&lt;=set_AsAt),1,0)</f>
        <v/>
      </c>
      <c r="AK2187" s="54">
        <f>IF(AND(AJ2187=1,AH2187&lt;&gt;"",COUNTIFS($AH$2:AH2187,AH2187,$AJ$2:AJ2187,1)=1),N(AL2186)+1,"")</f>
        <v/>
      </c>
      <c r="AL2187" s="54">
        <f>IF(AK2187&lt;&gt;"",AK2187,N(AL2186))</f>
        <v/>
      </c>
    </row>
    <row r="2188">
      <c r="A2188" t="inlineStr">
        <is>
          <t>CON-0729</t>
        </is>
      </c>
      <c r="B2188" t="inlineStr">
        <is>
          <t>Consulting</t>
        </is>
      </c>
      <c r="AB2188" t="n">
        <v>729</v>
      </c>
      <c r="AD2188" s="52">
        <f>IFERROR(N(IFERROR(INDEX($A2188:$AB2188,MATCH("Xero Invoiced Ex GST",$A$1:$AB$1,0)),"")),0)</f>
        <v/>
      </c>
      <c r="AE2188" s="53">
        <f>IFERROR(INDEX($A2188:$AB2188,MATCH("Xero Invoice Date",$A$1:$AB$1,0)),"")</f>
        <v/>
      </c>
      <c r="AF2188" s="54">
        <f>IF(AND(IFERROR(INDEX($A2188:$AB2188,MATCH("Xero Invoice No",$A$1:$AB$1,0)),"")&amp;""&lt;&gt;"",ISNUMBER(AE2188),AD2188&lt;&gt;0),1,0)</f>
        <v/>
      </c>
      <c r="AG2188" s="55">
        <f>IF(AF2188=1,EOMONTH(AE2188,0),"")</f>
        <v/>
      </c>
      <c r="AH2188" s="9">
        <f>IF(AF2188=1,UPPER(TRIM(IFERROR(INDEX($A2188:$AB2188,MATCH("Client",$A$1:$AB$1,0)),"")&amp;"")),"")</f>
        <v/>
      </c>
      <c r="AI2188" s="9">
        <f>IF(AF2188=1,IFERROR(INDEX($A2188:$AB2188,MATCH("Cost Centre",$A$1:$AB$1,0)),"")&amp;"","")</f>
        <v/>
      </c>
      <c r="AJ2188" s="54">
        <f>IF(AND(AF2188=1,AE2188&gt;=set_FYStart,AE2188&lt;=set_AsAt),1,0)</f>
        <v/>
      </c>
      <c r="AK2188" s="54">
        <f>IF(AND(AJ2188=1,AH2188&lt;&gt;"",COUNTIFS($AH$2:AH2188,AH2188,$AJ$2:AJ2188,1)=1),N(AL2187)+1,"")</f>
        <v/>
      </c>
      <c r="AL2188" s="54">
        <f>IF(AK2188&lt;&gt;"",AK2188,N(AL2187))</f>
        <v/>
      </c>
    </row>
    <row r="2189">
      <c r="A2189" t="inlineStr">
        <is>
          <t>ONS-0730</t>
        </is>
      </c>
      <c r="B2189" t="inlineStr">
        <is>
          <t>Onsite</t>
        </is>
      </c>
      <c r="AB2189" t="n">
        <v>730</v>
      </c>
      <c r="AD2189" s="52">
        <f>IFERROR(N(IFERROR(INDEX($A2189:$AB2189,MATCH("Xero Invoiced Ex GST",$A$1:$AB$1,0)),"")),0)</f>
        <v/>
      </c>
      <c r="AE2189" s="53">
        <f>IFERROR(INDEX($A2189:$AB2189,MATCH("Xero Invoice Date",$A$1:$AB$1,0)),"")</f>
        <v/>
      </c>
      <c r="AF2189" s="54">
        <f>IF(AND(IFERROR(INDEX($A2189:$AB2189,MATCH("Xero Invoice No",$A$1:$AB$1,0)),"")&amp;""&lt;&gt;"",ISNUMBER(AE2189),AD2189&lt;&gt;0),1,0)</f>
        <v/>
      </c>
      <c r="AG2189" s="55">
        <f>IF(AF2189=1,EOMONTH(AE2189,0),"")</f>
        <v/>
      </c>
      <c r="AH2189" s="9">
        <f>IF(AF2189=1,UPPER(TRIM(IFERROR(INDEX($A2189:$AB2189,MATCH("Client",$A$1:$AB$1,0)),"")&amp;"")),"")</f>
        <v/>
      </c>
      <c r="AI2189" s="9">
        <f>IF(AF2189=1,IFERROR(INDEX($A2189:$AB2189,MATCH("Cost Centre",$A$1:$AB$1,0)),"")&amp;"","")</f>
        <v/>
      </c>
      <c r="AJ2189" s="54">
        <f>IF(AND(AF2189=1,AE2189&gt;=set_FYStart,AE2189&lt;=set_AsAt),1,0)</f>
        <v/>
      </c>
      <c r="AK2189" s="54">
        <f>IF(AND(AJ2189=1,AH2189&lt;&gt;"",COUNTIFS($AH$2:AH2189,AH2189,$AJ$2:AJ2189,1)=1),N(AL2188)+1,"")</f>
        <v/>
      </c>
      <c r="AL2189" s="54">
        <f>IF(AK2189&lt;&gt;"",AK2189,N(AL2188))</f>
        <v/>
      </c>
    </row>
    <row r="2190">
      <c r="A2190" t="inlineStr">
        <is>
          <t>PRD-0730</t>
        </is>
      </c>
      <c r="B2190" t="inlineStr">
        <is>
          <t>Production</t>
        </is>
      </c>
      <c r="AB2190" t="n">
        <v>730</v>
      </c>
      <c r="AD2190" s="52">
        <f>IFERROR(N(IFERROR(INDEX($A2190:$AB2190,MATCH("Xero Invoiced Ex GST",$A$1:$AB$1,0)),"")),0)</f>
        <v/>
      </c>
      <c r="AE2190" s="53">
        <f>IFERROR(INDEX($A2190:$AB2190,MATCH("Xero Invoice Date",$A$1:$AB$1,0)),"")</f>
        <v/>
      </c>
      <c r="AF2190" s="54">
        <f>IF(AND(IFERROR(INDEX($A2190:$AB2190,MATCH("Xero Invoice No",$A$1:$AB$1,0)),"")&amp;""&lt;&gt;"",ISNUMBER(AE2190),AD2190&lt;&gt;0),1,0)</f>
        <v/>
      </c>
      <c r="AG2190" s="55">
        <f>IF(AF2190=1,EOMONTH(AE2190,0),"")</f>
        <v/>
      </c>
      <c r="AH2190" s="9">
        <f>IF(AF2190=1,UPPER(TRIM(IFERROR(INDEX($A2190:$AB2190,MATCH("Client",$A$1:$AB$1,0)),"")&amp;"")),"")</f>
        <v/>
      </c>
      <c r="AI2190" s="9">
        <f>IF(AF2190=1,IFERROR(INDEX($A2190:$AB2190,MATCH("Cost Centre",$A$1:$AB$1,0)),"")&amp;"","")</f>
        <v/>
      </c>
      <c r="AJ2190" s="54">
        <f>IF(AND(AF2190=1,AE2190&gt;=set_FYStart,AE2190&lt;=set_AsAt),1,0)</f>
        <v/>
      </c>
      <c r="AK2190" s="54">
        <f>IF(AND(AJ2190=1,AH2190&lt;&gt;"",COUNTIFS($AH$2:AH2190,AH2190,$AJ$2:AJ2190,1)=1),N(AL2189)+1,"")</f>
        <v/>
      </c>
      <c r="AL2190" s="54">
        <f>IF(AK2190&lt;&gt;"",AK2190,N(AL2189))</f>
        <v/>
      </c>
    </row>
    <row r="2191">
      <c r="A2191" t="inlineStr">
        <is>
          <t>CON-0730</t>
        </is>
      </c>
      <c r="B2191" t="inlineStr">
        <is>
          <t>Consulting</t>
        </is>
      </c>
      <c r="AB2191" t="n">
        <v>730</v>
      </c>
      <c r="AD2191" s="52">
        <f>IFERROR(N(IFERROR(INDEX($A2191:$AB2191,MATCH("Xero Invoiced Ex GST",$A$1:$AB$1,0)),"")),0)</f>
        <v/>
      </c>
      <c r="AE2191" s="53">
        <f>IFERROR(INDEX($A2191:$AB2191,MATCH("Xero Invoice Date",$A$1:$AB$1,0)),"")</f>
        <v/>
      </c>
      <c r="AF2191" s="54">
        <f>IF(AND(IFERROR(INDEX($A2191:$AB2191,MATCH("Xero Invoice No",$A$1:$AB$1,0)),"")&amp;""&lt;&gt;"",ISNUMBER(AE2191),AD2191&lt;&gt;0),1,0)</f>
        <v/>
      </c>
      <c r="AG2191" s="55">
        <f>IF(AF2191=1,EOMONTH(AE2191,0),"")</f>
        <v/>
      </c>
      <c r="AH2191" s="9">
        <f>IF(AF2191=1,UPPER(TRIM(IFERROR(INDEX($A2191:$AB2191,MATCH("Client",$A$1:$AB$1,0)),"")&amp;"")),"")</f>
        <v/>
      </c>
      <c r="AI2191" s="9">
        <f>IF(AF2191=1,IFERROR(INDEX($A2191:$AB2191,MATCH("Cost Centre",$A$1:$AB$1,0)),"")&amp;"","")</f>
        <v/>
      </c>
      <c r="AJ2191" s="54">
        <f>IF(AND(AF2191=1,AE2191&gt;=set_FYStart,AE2191&lt;=set_AsAt),1,0)</f>
        <v/>
      </c>
      <c r="AK2191" s="54">
        <f>IF(AND(AJ2191=1,AH2191&lt;&gt;"",COUNTIFS($AH$2:AH2191,AH2191,$AJ$2:AJ2191,1)=1),N(AL2190)+1,"")</f>
        <v/>
      </c>
      <c r="AL2191" s="54">
        <f>IF(AK2191&lt;&gt;"",AK2191,N(AL2190))</f>
        <v/>
      </c>
    </row>
    <row r="2192">
      <c r="A2192" t="inlineStr">
        <is>
          <t>ONS-0731</t>
        </is>
      </c>
      <c r="B2192" t="inlineStr">
        <is>
          <t>Onsite</t>
        </is>
      </c>
      <c r="AB2192" t="n">
        <v>731</v>
      </c>
      <c r="AD2192" s="52">
        <f>IFERROR(N(IFERROR(INDEX($A2192:$AB2192,MATCH("Xero Invoiced Ex GST",$A$1:$AB$1,0)),"")),0)</f>
        <v/>
      </c>
      <c r="AE2192" s="53">
        <f>IFERROR(INDEX($A2192:$AB2192,MATCH("Xero Invoice Date",$A$1:$AB$1,0)),"")</f>
        <v/>
      </c>
      <c r="AF2192" s="54">
        <f>IF(AND(IFERROR(INDEX($A2192:$AB2192,MATCH("Xero Invoice No",$A$1:$AB$1,0)),"")&amp;""&lt;&gt;"",ISNUMBER(AE2192),AD2192&lt;&gt;0),1,0)</f>
        <v/>
      </c>
      <c r="AG2192" s="55">
        <f>IF(AF2192=1,EOMONTH(AE2192,0),"")</f>
        <v/>
      </c>
      <c r="AH2192" s="9">
        <f>IF(AF2192=1,UPPER(TRIM(IFERROR(INDEX($A2192:$AB2192,MATCH("Client",$A$1:$AB$1,0)),"")&amp;"")),"")</f>
        <v/>
      </c>
      <c r="AI2192" s="9">
        <f>IF(AF2192=1,IFERROR(INDEX($A2192:$AB2192,MATCH("Cost Centre",$A$1:$AB$1,0)),"")&amp;"","")</f>
        <v/>
      </c>
      <c r="AJ2192" s="54">
        <f>IF(AND(AF2192=1,AE2192&gt;=set_FYStart,AE2192&lt;=set_AsAt),1,0)</f>
        <v/>
      </c>
      <c r="AK2192" s="54">
        <f>IF(AND(AJ2192=1,AH2192&lt;&gt;"",COUNTIFS($AH$2:AH2192,AH2192,$AJ$2:AJ2192,1)=1),N(AL2191)+1,"")</f>
        <v/>
      </c>
      <c r="AL2192" s="54">
        <f>IF(AK2192&lt;&gt;"",AK2192,N(AL2191))</f>
        <v/>
      </c>
    </row>
    <row r="2193">
      <c r="A2193" t="inlineStr">
        <is>
          <t>PRD-0731</t>
        </is>
      </c>
      <c r="B2193" t="inlineStr">
        <is>
          <t>Production</t>
        </is>
      </c>
      <c r="AB2193" t="n">
        <v>731</v>
      </c>
      <c r="AD2193" s="52">
        <f>IFERROR(N(IFERROR(INDEX($A2193:$AB2193,MATCH("Xero Invoiced Ex GST",$A$1:$AB$1,0)),"")),0)</f>
        <v/>
      </c>
      <c r="AE2193" s="53">
        <f>IFERROR(INDEX($A2193:$AB2193,MATCH("Xero Invoice Date",$A$1:$AB$1,0)),"")</f>
        <v/>
      </c>
      <c r="AF2193" s="54">
        <f>IF(AND(IFERROR(INDEX($A2193:$AB2193,MATCH("Xero Invoice No",$A$1:$AB$1,0)),"")&amp;""&lt;&gt;"",ISNUMBER(AE2193),AD2193&lt;&gt;0),1,0)</f>
        <v/>
      </c>
      <c r="AG2193" s="55">
        <f>IF(AF2193=1,EOMONTH(AE2193,0),"")</f>
        <v/>
      </c>
      <c r="AH2193" s="9">
        <f>IF(AF2193=1,UPPER(TRIM(IFERROR(INDEX($A2193:$AB2193,MATCH("Client",$A$1:$AB$1,0)),"")&amp;"")),"")</f>
        <v/>
      </c>
      <c r="AI2193" s="9">
        <f>IF(AF2193=1,IFERROR(INDEX($A2193:$AB2193,MATCH("Cost Centre",$A$1:$AB$1,0)),"")&amp;"","")</f>
        <v/>
      </c>
      <c r="AJ2193" s="54">
        <f>IF(AND(AF2193=1,AE2193&gt;=set_FYStart,AE2193&lt;=set_AsAt),1,0)</f>
        <v/>
      </c>
      <c r="AK2193" s="54">
        <f>IF(AND(AJ2193=1,AH2193&lt;&gt;"",COUNTIFS($AH$2:AH2193,AH2193,$AJ$2:AJ2193,1)=1),N(AL2192)+1,"")</f>
        <v/>
      </c>
      <c r="AL2193" s="54">
        <f>IF(AK2193&lt;&gt;"",AK2193,N(AL2192))</f>
        <v/>
      </c>
    </row>
    <row r="2194">
      <c r="A2194" t="inlineStr">
        <is>
          <t>CON-0731</t>
        </is>
      </c>
      <c r="B2194" t="inlineStr">
        <is>
          <t>Consulting</t>
        </is>
      </c>
      <c r="AB2194" t="n">
        <v>731</v>
      </c>
      <c r="AD2194" s="52">
        <f>IFERROR(N(IFERROR(INDEX($A2194:$AB2194,MATCH("Xero Invoiced Ex GST",$A$1:$AB$1,0)),"")),0)</f>
        <v/>
      </c>
      <c r="AE2194" s="53">
        <f>IFERROR(INDEX($A2194:$AB2194,MATCH("Xero Invoice Date",$A$1:$AB$1,0)),"")</f>
        <v/>
      </c>
      <c r="AF2194" s="54">
        <f>IF(AND(IFERROR(INDEX($A2194:$AB2194,MATCH("Xero Invoice No",$A$1:$AB$1,0)),"")&amp;""&lt;&gt;"",ISNUMBER(AE2194),AD2194&lt;&gt;0),1,0)</f>
        <v/>
      </c>
      <c r="AG2194" s="55">
        <f>IF(AF2194=1,EOMONTH(AE2194,0),"")</f>
        <v/>
      </c>
      <c r="AH2194" s="9">
        <f>IF(AF2194=1,UPPER(TRIM(IFERROR(INDEX($A2194:$AB2194,MATCH("Client",$A$1:$AB$1,0)),"")&amp;"")),"")</f>
        <v/>
      </c>
      <c r="AI2194" s="9">
        <f>IF(AF2194=1,IFERROR(INDEX($A2194:$AB2194,MATCH("Cost Centre",$A$1:$AB$1,0)),"")&amp;"","")</f>
        <v/>
      </c>
      <c r="AJ2194" s="54">
        <f>IF(AND(AF2194=1,AE2194&gt;=set_FYStart,AE2194&lt;=set_AsAt),1,0)</f>
        <v/>
      </c>
      <c r="AK2194" s="54">
        <f>IF(AND(AJ2194=1,AH2194&lt;&gt;"",COUNTIFS($AH$2:AH2194,AH2194,$AJ$2:AJ2194,1)=1),N(AL2193)+1,"")</f>
        <v/>
      </c>
      <c r="AL2194" s="54">
        <f>IF(AK2194&lt;&gt;"",AK2194,N(AL2193))</f>
        <v/>
      </c>
    </row>
    <row r="2195">
      <c r="A2195" t="inlineStr">
        <is>
          <t>ONS-0732</t>
        </is>
      </c>
      <c r="B2195" t="inlineStr">
        <is>
          <t>Onsite</t>
        </is>
      </c>
      <c r="AB2195" t="n">
        <v>732</v>
      </c>
      <c r="AD2195" s="52">
        <f>IFERROR(N(IFERROR(INDEX($A2195:$AB2195,MATCH("Xero Invoiced Ex GST",$A$1:$AB$1,0)),"")),0)</f>
        <v/>
      </c>
      <c r="AE2195" s="53">
        <f>IFERROR(INDEX($A2195:$AB2195,MATCH("Xero Invoice Date",$A$1:$AB$1,0)),"")</f>
        <v/>
      </c>
      <c r="AF2195" s="54">
        <f>IF(AND(IFERROR(INDEX($A2195:$AB2195,MATCH("Xero Invoice No",$A$1:$AB$1,0)),"")&amp;""&lt;&gt;"",ISNUMBER(AE2195),AD2195&lt;&gt;0),1,0)</f>
        <v/>
      </c>
      <c r="AG2195" s="55">
        <f>IF(AF2195=1,EOMONTH(AE2195,0),"")</f>
        <v/>
      </c>
      <c r="AH2195" s="9">
        <f>IF(AF2195=1,UPPER(TRIM(IFERROR(INDEX($A2195:$AB2195,MATCH("Client",$A$1:$AB$1,0)),"")&amp;"")),"")</f>
        <v/>
      </c>
      <c r="AI2195" s="9">
        <f>IF(AF2195=1,IFERROR(INDEX($A2195:$AB2195,MATCH("Cost Centre",$A$1:$AB$1,0)),"")&amp;"","")</f>
        <v/>
      </c>
      <c r="AJ2195" s="54">
        <f>IF(AND(AF2195=1,AE2195&gt;=set_FYStart,AE2195&lt;=set_AsAt),1,0)</f>
        <v/>
      </c>
      <c r="AK2195" s="54">
        <f>IF(AND(AJ2195=1,AH2195&lt;&gt;"",COUNTIFS($AH$2:AH2195,AH2195,$AJ$2:AJ2195,1)=1),N(AL2194)+1,"")</f>
        <v/>
      </c>
      <c r="AL2195" s="54">
        <f>IF(AK2195&lt;&gt;"",AK2195,N(AL2194))</f>
        <v/>
      </c>
    </row>
    <row r="2196">
      <c r="A2196" t="inlineStr">
        <is>
          <t>PRD-0732</t>
        </is>
      </c>
      <c r="B2196" t="inlineStr">
        <is>
          <t>Production</t>
        </is>
      </c>
      <c r="AB2196" t="n">
        <v>732</v>
      </c>
      <c r="AD2196" s="52">
        <f>IFERROR(N(IFERROR(INDEX($A2196:$AB2196,MATCH("Xero Invoiced Ex GST",$A$1:$AB$1,0)),"")),0)</f>
        <v/>
      </c>
      <c r="AE2196" s="53">
        <f>IFERROR(INDEX($A2196:$AB2196,MATCH("Xero Invoice Date",$A$1:$AB$1,0)),"")</f>
        <v/>
      </c>
      <c r="AF2196" s="54">
        <f>IF(AND(IFERROR(INDEX($A2196:$AB2196,MATCH("Xero Invoice No",$A$1:$AB$1,0)),"")&amp;""&lt;&gt;"",ISNUMBER(AE2196),AD2196&lt;&gt;0),1,0)</f>
        <v/>
      </c>
      <c r="AG2196" s="55">
        <f>IF(AF2196=1,EOMONTH(AE2196,0),"")</f>
        <v/>
      </c>
      <c r="AH2196" s="9">
        <f>IF(AF2196=1,UPPER(TRIM(IFERROR(INDEX($A2196:$AB2196,MATCH("Client",$A$1:$AB$1,0)),"")&amp;"")),"")</f>
        <v/>
      </c>
      <c r="AI2196" s="9">
        <f>IF(AF2196=1,IFERROR(INDEX($A2196:$AB2196,MATCH("Cost Centre",$A$1:$AB$1,0)),"")&amp;"","")</f>
        <v/>
      </c>
      <c r="AJ2196" s="54">
        <f>IF(AND(AF2196=1,AE2196&gt;=set_FYStart,AE2196&lt;=set_AsAt),1,0)</f>
        <v/>
      </c>
      <c r="AK2196" s="54">
        <f>IF(AND(AJ2196=1,AH2196&lt;&gt;"",COUNTIFS($AH$2:AH2196,AH2196,$AJ$2:AJ2196,1)=1),N(AL2195)+1,"")</f>
        <v/>
      </c>
      <c r="AL2196" s="54">
        <f>IF(AK2196&lt;&gt;"",AK2196,N(AL2195))</f>
        <v/>
      </c>
    </row>
    <row r="2197">
      <c r="A2197" t="inlineStr">
        <is>
          <t>CON-0732</t>
        </is>
      </c>
      <c r="B2197" t="inlineStr">
        <is>
          <t>Consulting</t>
        </is>
      </c>
      <c r="AB2197" t="n">
        <v>732</v>
      </c>
      <c r="AD2197" s="52">
        <f>IFERROR(N(IFERROR(INDEX($A2197:$AB2197,MATCH("Xero Invoiced Ex GST",$A$1:$AB$1,0)),"")),0)</f>
        <v/>
      </c>
      <c r="AE2197" s="53">
        <f>IFERROR(INDEX($A2197:$AB2197,MATCH("Xero Invoice Date",$A$1:$AB$1,0)),"")</f>
        <v/>
      </c>
      <c r="AF2197" s="54">
        <f>IF(AND(IFERROR(INDEX($A2197:$AB2197,MATCH("Xero Invoice No",$A$1:$AB$1,0)),"")&amp;""&lt;&gt;"",ISNUMBER(AE2197),AD2197&lt;&gt;0),1,0)</f>
        <v/>
      </c>
      <c r="AG2197" s="55">
        <f>IF(AF2197=1,EOMONTH(AE2197,0),"")</f>
        <v/>
      </c>
      <c r="AH2197" s="9">
        <f>IF(AF2197=1,UPPER(TRIM(IFERROR(INDEX($A2197:$AB2197,MATCH("Client",$A$1:$AB$1,0)),"")&amp;"")),"")</f>
        <v/>
      </c>
      <c r="AI2197" s="9">
        <f>IF(AF2197=1,IFERROR(INDEX($A2197:$AB2197,MATCH("Cost Centre",$A$1:$AB$1,0)),"")&amp;"","")</f>
        <v/>
      </c>
      <c r="AJ2197" s="54">
        <f>IF(AND(AF2197=1,AE2197&gt;=set_FYStart,AE2197&lt;=set_AsAt),1,0)</f>
        <v/>
      </c>
      <c r="AK2197" s="54">
        <f>IF(AND(AJ2197=1,AH2197&lt;&gt;"",COUNTIFS($AH$2:AH2197,AH2197,$AJ$2:AJ2197,1)=1),N(AL2196)+1,"")</f>
        <v/>
      </c>
      <c r="AL2197" s="54">
        <f>IF(AK2197&lt;&gt;"",AK2197,N(AL2196))</f>
        <v/>
      </c>
    </row>
    <row r="2198">
      <c r="A2198" t="inlineStr">
        <is>
          <t>ONS-0733</t>
        </is>
      </c>
      <c r="B2198" t="inlineStr">
        <is>
          <t>Onsite</t>
        </is>
      </c>
      <c r="AB2198" t="n">
        <v>733</v>
      </c>
      <c r="AD2198" s="52">
        <f>IFERROR(N(IFERROR(INDEX($A2198:$AB2198,MATCH("Xero Invoiced Ex GST",$A$1:$AB$1,0)),"")),0)</f>
        <v/>
      </c>
      <c r="AE2198" s="53">
        <f>IFERROR(INDEX($A2198:$AB2198,MATCH("Xero Invoice Date",$A$1:$AB$1,0)),"")</f>
        <v/>
      </c>
      <c r="AF2198" s="54">
        <f>IF(AND(IFERROR(INDEX($A2198:$AB2198,MATCH("Xero Invoice No",$A$1:$AB$1,0)),"")&amp;""&lt;&gt;"",ISNUMBER(AE2198),AD2198&lt;&gt;0),1,0)</f>
        <v/>
      </c>
      <c r="AG2198" s="55">
        <f>IF(AF2198=1,EOMONTH(AE2198,0),"")</f>
        <v/>
      </c>
      <c r="AH2198" s="9">
        <f>IF(AF2198=1,UPPER(TRIM(IFERROR(INDEX($A2198:$AB2198,MATCH("Client",$A$1:$AB$1,0)),"")&amp;"")),"")</f>
        <v/>
      </c>
      <c r="AI2198" s="9">
        <f>IF(AF2198=1,IFERROR(INDEX($A2198:$AB2198,MATCH("Cost Centre",$A$1:$AB$1,0)),"")&amp;"","")</f>
        <v/>
      </c>
      <c r="AJ2198" s="54">
        <f>IF(AND(AF2198=1,AE2198&gt;=set_FYStart,AE2198&lt;=set_AsAt),1,0)</f>
        <v/>
      </c>
      <c r="AK2198" s="54">
        <f>IF(AND(AJ2198=1,AH2198&lt;&gt;"",COUNTIFS($AH$2:AH2198,AH2198,$AJ$2:AJ2198,1)=1),N(AL2197)+1,"")</f>
        <v/>
      </c>
      <c r="AL2198" s="54">
        <f>IF(AK2198&lt;&gt;"",AK2198,N(AL2197))</f>
        <v/>
      </c>
    </row>
    <row r="2199">
      <c r="A2199" t="inlineStr">
        <is>
          <t>PRD-0733</t>
        </is>
      </c>
      <c r="B2199" t="inlineStr">
        <is>
          <t>Production</t>
        </is>
      </c>
      <c r="AB2199" t="n">
        <v>733</v>
      </c>
      <c r="AD2199" s="52">
        <f>IFERROR(N(IFERROR(INDEX($A2199:$AB2199,MATCH("Xero Invoiced Ex GST",$A$1:$AB$1,0)),"")),0)</f>
        <v/>
      </c>
      <c r="AE2199" s="53">
        <f>IFERROR(INDEX($A2199:$AB2199,MATCH("Xero Invoice Date",$A$1:$AB$1,0)),"")</f>
        <v/>
      </c>
      <c r="AF2199" s="54">
        <f>IF(AND(IFERROR(INDEX($A2199:$AB2199,MATCH("Xero Invoice No",$A$1:$AB$1,0)),"")&amp;""&lt;&gt;"",ISNUMBER(AE2199),AD2199&lt;&gt;0),1,0)</f>
        <v/>
      </c>
      <c r="AG2199" s="55">
        <f>IF(AF2199=1,EOMONTH(AE2199,0),"")</f>
        <v/>
      </c>
      <c r="AH2199" s="9">
        <f>IF(AF2199=1,UPPER(TRIM(IFERROR(INDEX($A2199:$AB2199,MATCH("Client",$A$1:$AB$1,0)),"")&amp;"")),"")</f>
        <v/>
      </c>
      <c r="AI2199" s="9">
        <f>IF(AF2199=1,IFERROR(INDEX($A2199:$AB2199,MATCH("Cost Centre",$A$1:$AB$1,0)),"")&amp;"","")</f>
        <v/>
      </c>
      <c r="AJ2199" s="54">
        <f>IF(AND(AF2199=1,AE2199&gt;=set_FYStart,AE2199&lt;=set_AsAt),1,0)</f>
        <v/>
      </c>
      <c r="AK2199" s="54">
        <f>IF(AND(AJ2199=1,AH2199&lt;&gt;"",COUNTIFS($AH$2:AH2199,AH2199,$AJ$2:AJ2199,1)=1),N(AL2198)+1,"")</f>
        <v/>
      </c>
      <c r="AL2199" s="54">
        <f>IF(AK2199&lt;&gt;"",AK2199,N(AL2198))</f>
        <v/>
      </c>
    </row>
    <row r="2200">
      <c r="A2200" t="inlineStr">
        <is>
          <t>CON-0733</t>
        </is>
      </c>
      <c r="B2200" t="inlineStr">
        <is>
          <t>Consulting</t>
        </is>
      </c>
      <c r="AB2200" t="n">
        <v>733</v>
      </c>
      <c r="AD2200" s="52">
        <f>IFERROR(N(IFERROR(INDEX($A2200:$AB2200,MATCH("Xero Invoiced Ex GST",$A$1:$AB$1,0)),"")),0)</f>
        <v/>
      </c>
      <c r="AE2200" s="53">
        <f>IFERROR(INDEX($A2200:$AB2200,MATCH("Xero Invoice Date",$A$1:$AB$1,0)),"")</f>
        <v/>
      </c>
      <c r="AF2200" s="54">
        <f>IF(AND(IFERROR(INDEX($A2200:$AB2200,MATCH("Xero Invoice No",$A$1:$AB$1,0)),"")&amp;""&lt;&gt;"",ISNUMBER(AE2200),AD2200&lt;&gt;0),1,0)</f>
        <v/>
      </c>
      <c r="AG2200" s="55">
        <f>IF(AF2200=1,EOMONTH(AE2200,0),"")</f>
        <v/>
      </c>
      <c r="AH2200" s="9">
        <f>IF(AF2200=1,UPPER(TRIM(IFERROR(INDEX($A2200:$AB2200,MATCH("Client",$A$1:$AB$1,0)),"")&amp;"")),"")</f>
        <v/>
      </c>
      <c r="AI2200" s="9">
        <f>IF(AF2200=1,IFERROR(INDEX($A2200:$AB2200,MATCH("Cost Centre",$A$1:$AB$1,0)),"")&amp;"","")</f>
        <v/>
      </c>
      <c r="AJ2200" s="54">
        <f>IF(AND(AF2200=1,AE2200&gt;=set_FYStart,AE2200&lt;=set_AsAt),1,0)</f>
        <v/>
      </c>
      <c r="AK2200" s="54">
        <f>IF(AND(AJ2200=1,AH2200&lt;&gt;"",COUNTIFS($AH$2:AH2200,AH2200,$AJ$2:AJ2200,1)=1),N(AL2199)+1,"")</f>
        <v/>
      </c>
      <c r="AL2200" s="54">
        <f>IF(AK2200&lt;&gt;"",AK2200,N(AL2199))</f>
        <v/>
      </c>
    </row>
    <row r="2201">
      <c r="A2201" t="inlineStr">
        <is>
          <t>ONS-0734</t>
        </is>
      </c>
      <c r="B2201" t="inlineStr">
        <is>
          <t>Onsite</t>
        </is>
      </c>
      <c r="AB2201" t="n">
        <v>734</v>
      </c>
      <c r="AD2201" s="52">
        <f>IFERROR(N(IFERROR(INDEX($A2201:$AB2201,MATCH("Xero Invoiced Ex GST",$A$1:$AB$1,0)),"")),0)</f>
        <v/>
      </c>
      <c r="AE2201" s="53">
        <f>IFERROR(INDEX($A2201:$AB2201,MATCH("Xero Invoice Date",$A$1:$AB$1,0)),"")</f>
        <v/>
      </c>
      <c r="AF2201" s="54">
        <f>IF(AND(IFERROR(INDEX($A2201:$AB2201,MATCH("Xero Invoice No",$A$1:$AB$1,0)),"")&amp;""&lt;&gt;"",ISNUMBER(AE2201),AD2201&lt;&gt;0),1,0)</f>
        <v/>
      </c>
      <c r="AG2201" s="55">
        <f>IF(AF2201=1,EOMONTH(AE2201,0),"")</f>
        <v/>
      </c>
      <c r="AH2201" s="9">
        <f>IF(AF2201=1,UPPER(TRIM(IFERROR(INDEX($A2201:$AB2201,MATCH("Client",$A$1:$AB$1,0)),"")&amp;"")),"")</f>
        <v/>
      </c>
      <c r="AI2201" s="9">
        <f>IF(AF2201=1,IFERROR(INDEX($A2201:$AB2201,MATCH("Cost Centre",$A$1:$AB$1,0)),"")&amp;"","")</f>
        <v/>
      </c>
      <c r="AJ2201" s="54">
        <f>IF(AND(AF2201=1,AE2201&gt;=set_FYStart,AE2201&lt;=set_AsAt),1,0)</f>
        <v/>
      </c>
      <c r="AK2201" s="54">
        <f>IF(AND(AJ2201=1,AH2201&lt;&gt;"",COUNTIFS($AH$2:AH2201,AH2201,$AJ$2:AJ2201,1)=1),N(AL2200)+1,"")</f>
        <v/>
      </c>
      <c r="AL2201" s="54">
        <f>IF(AK2201&lt;&gt;"",AK2201,N(AL2200))</f>
        <v/>
      </c>
    </row>
    <row r="2202">
      <c r="A2202" t="inlineStr">
        <is>
          <t>PRD-0734</t>
        </is>
      </c>
      <c r="B2202" t="inlineStr">
        <is>
          <t>Production</t>
        </is>
      </c>
      <c r="AB2202" t="n">
        <v>734</v>
      </c>
      <c r="AD2202" s="52">
        <f>IFERROR(N(IFERROR(INDEX($A2202:$AB2202,MATCH("Xero Invoiced Ex GST",$A$1:$AB$1,0)),"")),0)</f>
        <v/>
      </c>
      <c r="AE2202" s="53">
        <f>IFERROR(INDEX($A2202:$AB2202,MATCH("Xero Invoice Date",$A$1:$AB$1,0)),"")</f>
        <v/>
      </c>
      <c r="AF2202" s="54">
        <f>IF(AND(IFERROR(INDEX($A2202:$AB2202,MATCH("Xero Invoice No",$A$1:$AB$1,0)),"")&amp;""&lt;&gt;"",ISNUMBER(AE2202),AD2202&lt;&gt;0),1,0)</f>
        <v/>
      </c>
      <c r="AG2202" s="55">
        <f>IF(AF2202=1,EOMONTH(AE2202,0),"")</f>
        <v/>
      </c>
      <c r="AH2202" s="9">
        <f>IF(AF2202=1,UPPER(TRIM(IFERROR(INDEX($A2202:$AB2202,MATCH("Client",$A$1:$AB$1,0)),"")&amp;"")),"")</f>
        <v/>
      </c>
      <c r="AI2202" s="9">
        <f>IF(AF2202=1,IFERROR(INDEX($A2202:$AB2202,MATCH("Cost Centre",$A$1:$AB$1,0)),"")&amp;"","")</f>
        <v/>
      </c>
      <c r="AJ2202" s="54">
        <f>IF(AND(AF2202=1,AE2202&gt;=set_FYStart,AE2202&lt;=set_AsAt),1,0)</f>
        <v/>
      </c>
      <c r="AK2202" s="54">
        <f>IF(AND(AJ2202=1,AH2202&lt;&gt;"",COUNTIFS($AH$2:AH2202,AH2202,$AJ$2:AJ2202,1)=1),N(AL2201)+1,"")</f>
        <v/>
      </c>
      <c r="AL2202" s="54">
        <f>IF(AK2202&lt;&gt;"",AK2202,N(AL2201))</f>
        <v/>
      </c>
    </row>
    <row r="2203">
      <c r="A2203" t="inlineStr">
        <is>
          <t>CON-0734</t>
        </is>
      </c>
      <c r="B2203" t="inlineStr">
        <is>
          <t>Consulting</t>
        </is>
      </c>
      <c r="AB2203" t="n">
        <v>734</v>
      </c>
      <c r="AD2203" s="52">
        <f>IFERROR(N(IFERROR(INDEX($A2203:$AB2203,MATCH("Xero Invoiced Ex GST",$A$1:$AB$1,0)),"")),0)</f>
        <v/>
      </c>
      <c r="AE2203" s="53">
        <f>IFERROR(INDEX($A2203:$AB2203,MATCH("Xero Invoice Date",$A$1:$AB$1,0)),"")</f>
        <v/>
      </c>
      <c r="AF2203" s="54">
        <f>IF(AND(IFERROR(INDEX($A2203:$AB2203,MATCH("Xero Invoice No",$A$1:$AB$1,0)),"")&amp;""&lt;&gt;"",ISNUMBER(AE2203),AD2203&lt;&gt;0),1,0)</f>
        <v/>
      </c>
      <c r="AG2203" s="55">
        <f>IF(AF2203=1,EOMONTH(AE2203,0),"")</f>
        <v/>
      </c>
      <c r="AH2203" s="9">
        <f>IF(AF2203=1,UPPER(TRIM(IFERROR(INDEX($A2203:$AB2203,MATCH("Client",$A$1:$AB$1,0)),"")&amp;"")),"")</f>
        <v/>
      </c>
      <c r="AI2203" s="9">
        <f>IF(AF2203=1,IFERROR(INDEX($A2203:$AB2203,MATCH("Cost Centre",$A$1:$AB$1,0)),"")&amp;"","")</f>
        <v/>
      </c>
      <c r="AJ2203" s="54">
        <f>IF(AND(AF2203=1,AE2203&gt;=set_FYStart,AE2203&lt;=set_AsAt),1,0)</f>
        <v/>
      </c>
      <c r="AK2203" s="54">
        <f>IF(AND(AJ2203=1,AH2203&lt;&gt;"",COUNTIFS($AH$2:AH2203,AH2203,$AJ$2:AJ2203,1)=1),N(AL2202)+1,"")</f>
        <v/>
      </c>
      <c r="AL2203" s="54">
        <f>IF(AK2203&lt;&gt;"",AK2203,N(AL2202))</f>
        <v/>
      </c>
    </row>
    <row r="2204">
      <c r="A2204" t="inlineStr">
        <is>
          <t>ONS-0735</t>
        </is>
      </c>
      <c r="B2204" t="inlineStr">
        <is>
          <t>Onsite</t>
        </is>
      </c>
      <c r="AB2204" t="n">
        <v>735</v>
      </c>
      <c r="AD2204" s="52">
        <f>IFERROR(N(IFERROR(INDEX($A2204:$AB2204,MATCH("Xero Invoiced Ex GST",$A$1:$AB$1,0)),"")),0)</f>
        <v/>
      </c>
      <c r="AE2204" s="53">
        <f>IFERROR(INDEX($A2204:$AB2204,MATCH("Xero Invoice Date",$A$1:$AB$1,0)),"")</f>
        <v/>
      </c>
      <c r="AF2204" s="54">
        <f>IF(AND(IFERROR(INDEX($A2204:$AB2204,MATCH("Xero Invoice No",$A$1:$AB$1,0)),"")&amp;""&lt;&gt;"",ISNUMBER(AE2204),AD2204&lt;&gt;0),1,0)</f>
        <v/>
      </c>
      <c r="AG2204" s="55">
        <f>IF(AF2204=1,EOMONTH(AE2204,0),"")</f>
        <v/>
      </c>
      <c r="AH2204" s="9">
        <f>IF(AF2204=1,UPPER(TRIM(IFERROR(INDEX($A2204:$AB2204,MATCH("Client",$A$1:$AB$1,0)),"")&amp;"")),"")</f>
        <v/>
      </c>
      <c r="AI2204" s="9">
        <f>IF(AF2204=1,IFERROR(INDEX($A2204:$AB2204,MATCH("Cost Centre",$A$1:$AB$1,0)),"")&amp;"","")</f>
        <v/>
      </c>
      <c r="AJ2204" s="54">
        <f>IF(AND(AF2204=1,AE2204&gt;=set_FYStart,AE2204&lt;=set_AsAt),1,0)</f>
        <v/>
      </c>
      <c r="AK2204" s="54">
        <f>IF(AND(AJ2204=1,AH2204&lt;&gt;"",COUNTIFS($AH$2:AH2204,AH2204,$AJ$2:AJ2204,1)=1),N(AL2203)+1,"")</f>
        <v/>
      </c>
      <c r="AL2204" s="54">
        <f>IF(AK2204&lt;&gt;"",AK2204,N(AL2203))</f>
        <v/>
      </c>
    </row>
    <row r="2205">
      <c r="A2205" t="inlineStr">
        <is>
          <t>PRD-0735</t>
        </is>
      </c>
      <c r="B2205" t="inlineStr">
        <is>
          <t>Production</t>
        </is>
      </c>
      <c r="AB2205" t="n">
        <v>735</v>
      </c>
      <c r="AD2205" s="52">
        <f>IFERROR(N(IFERROR(INDEX($A2205:$AB2205,MATCH("Xero Invoiced Ex GST",$A$1:$AB$1,0)),"")),0)</f>
        <v/>
      </c>
      <c r="AE2205" s="53">
        <f>IFERROR(INDEX($A2205:$AB2205,MATCH("Xero Invoice Date",$A$1:$AB$1,0)),"")</f>
        <v/>
      </c>
      <c r="AF2205" s="54">
        <f>IF(AND(IFERROR(INDEX($A2205:$AB2205,MATCH("Xero Invoice No",$A$1:$AB$1,0)),"")&amp;""&lt;&gt;"",ISNUMBER(AE2205),AD2205&lt;&gt;0),1,0)</f>
        <v/>
      </c>
      <c r="AG2205" s="55">
        <f>IF(AF2205=1,EOMONTH(AE2205,0),"")</f>
        <v/>
      </c>
      <c r="AH2205" s="9">
        <f>IF(AF2205=1,UPPER(TRIM(IFERROR(INDEX($A2205:$AB2205,MATCH("Client",$A$1:$AB$1,0)),"")&amp;"")),"")</f>
        <v/>
      </c>
      <c r="AI2205" s="9">
        <f>IF(AF2205=1,IFERROR(INDEX($A2205:$AB2205,MATCH("Cost Centre",$A$1:$AB$1,0)),"")&amp;"","")</f>
        <v/>
      </c>
      <c r="AJ2205" s="54">
        <f>IF(AND(AF2205=1,AE2205&gt;=set_FYStart,AE2205&lt;=set_AsAt),1,0)</f>
        <v/>
      </c>
      <c r="AK2205" s="54">
        <f>IF(AND(AJ2205=1,AH2205&lt;&gt;"",COUNTIFS($AH$2:AH2205,AH2205,$AJ$2:AJ2205,1)=1),N(AL2204)+1,"")</f>
        <v/>
      </c>
      <c r="AL2205" s="54">
        <f>IF(AK2205&lt;&gt;"",AK2205,N(AL2204))</f>
        <v/>
      </c>
    </row>
    <row r="2206">
      <c r="A2206" t="inlineStr">
        <is>
          <t>CON-0735</t>
        </is>
      </c>
      <c r="B2206" t="inlineStr">
        <is>
          <t>Consulting</t>
        </is>
      </c>
      <c r="AB2206" t="n">
        <v>735</v>
      </c>
      <c r="AD2206" s="52">
        <f>IFERROR(N(IFERROR(INDEX($A2206:$AB2206,MATCH("Xero Invoiced Ex GST",$A$1:$AB$1,0)),"")),0)</f>
        <v/>
      </c>
      <c r="AE2206" s="53">
        <f>IFERROR(INDEX($A2206:$AB2206,MATCH("Xero Invoice Date",$A$1:$AB$1,0)),"")</f>
        <v/>
      </c>
      <c r="AF2206" s="54">
        <f>IF(AND(IFERROR(INDEX($A2206:$AB2206,MATCH("Xero Invoice No",$A$1:$AB$1,0)),"")&amp;""&lt;&gt;"",ISNUMBER(AE2206),AD2206&lt;&gt;0),1,0)</f>
        <v/>
      </c>
      <c r="AG2206" s="55">
        <f>IF(AF2206=1,EOMONTH(AE2206,0),"")</f>
        <v/>
      </c>
      <c r="AH2206" s="9">
        <f>IF(AF2206=1,UPPER(TRIM(IFERROR(INDEX($A2206:$AB2206,MATCH("Client",$A$1:$AB$1,0)),"")&amp;"")),"")</f>
        <v/>
      </c>
      <c r="AI2206" s="9">
        <f>IF(AF2206=1,IFERROR(INDEX($A2206:$AB2206,MATCH("Cost Centre",$A$1:$AB$1,0)),"")&amp;"","")</f>
        <v/>
      </c>
      <c r="AJ2206" s="54">
        <f>IF(AND(AF2206=1,AE2206&gt;=set_FYStart,AE2206&lt;=set_AsAt),1,0)</f>
        <v/>
      </c>
      <c r="AK2206" s="54">
        <f>IF(AND(AJ2206=1,AH2206&lt;&gt;"",COUNTIFS($AH$2:AH2206,AH2206,$AJ$2:AJ2206,1)=1),N(AL2205)+1,"")</f>
        <v/>
      </c>
      <c r="AL2206" s="54">
        <f>IF(AK2206&lt;&gt;"",AK2206,N(AL2205))</f>
        <v/>
      </c>
    </row>
    <row r="2207">
      <c r="A2207" t="inlineStr">
        <is>
          <t>ONS-0736</t>
        </is>
      </c>
      <c r="B2207" t="inlineStr">
        <is>
          <t>Onsite</t>
        </is>
      </c>
      <c r="AB2207" t="n">
        <v>736</v>
      </c>
      <c r="AD2207" s="52">
        <f>IFERROR(N(IFERROR(INDEX($A2207:$AB2207,MATCH("Xero Invoiced Ex GST",$A$1:$AB$1,0)),"")),0)</f>
        <v/>
      </c>
      <c r="AE2207" s="53">
        <f>IFERROR(INDEX($A2207:$AB2207,MATCH("Xero Invoice Date",$A$1:$AB$1,0)),"")</f>
        <v/>
      </c>
      <c r="AF2207" s="54">
        <f>IF(AND(IFERROR(INDEX($A2207:$AB2207,MATCH("Xero Invoice No",$A$1:$AB$1,0)),"")&amp;""&lt;&gt;"",ISNUMBER(AE2207),AD2207&lt;&gt;0),1,0)</f>
        <v/>
      </c>
      <c r="AG2207" s="55">
        <f>IF(AF2207=1,EOMONTH(AE2207,0),"")</f>
        <v/>
      </c>
      <c r="AH2207" s="9">
        <f>IF(AF2207=1,UPPER(TRIM(IFERROR(INDEX($A2207:$AB2207,MATCH("Client",$A$1:$AB$1,0)),"")&amp;"")),"")</f>
        <v/>
      </c>
      <c r="AI2207" s="9">
        <f>IF(AF2207=1,IFERROR(INDEX($A2207:$AB2207,MATCH("Cost Centre",$A$1:$AB$1,0)),"")&amp;"","")</f>
        <v/>
      </c>
      <c r="AJ2207" s="54">
        <f>IF(AND(AF2207=1,AE2207&gt;=set_FYStart,AE2207&lt;=set_AsAt),1,0)</f>
        <v/>
      </c>
      <c r="AK2207" s="54">
        <f>IF(AND(AJ2207=1,AH2207&lt;&gt;"",COUNTIFS($AH$2:AH2207,AH2207,$AJ$2:AJ2207,1)=1),N(AL2206)+1,"")</f>
        <v/>
      </c>
      <c r="AL2207" s="54">
        <f>IF(AK2207&lt;&gt;"",AK2207,N(AL2206))</f>
        <v/>
      </c>
    </row>
    <row r="2208">
      <c r="A2208" t="inlineStr">
        <is>
          <t>PRD-0736</t>
        </is>
      </c>
      <c r="B2208" t="inlineStr">
        <is>
          <t>Production</t>
        </is>
      </c>
      <c r="AB2208" t="n">
        <v>736</v>
      </c>
      <c r="AD2208" s="52">
        <f>IFERROR(N(IFERROR(INDEX($A2208:$AB2208,MATCH("Xero Invoiced Ex GST",$A$1:$AB$1,0)),"")),0)</f>
        <v/>
      </c>
      <c r="AE2208" s="53">
        <f>IFERROR(INDEX($A2208:$AB2208,MATCH("Xero Invoice Date",$A$1:$AB$1,0)),"")</f>
        <v/>
      </c>
      <c r="AF2208" s="54">
        <f>IF(AND(IFERROR(INDEX($A2208:$AB2208,MATCH("Xero Invoice No",$A$1:$AB$1,0)),"")&amp;""&lt;&gt;"",ISNUMBER(AE2208),AD2208&lt;&gt;0),1,0)</f>
        <v/>
      </c>
      <c r="AG2208" s="55">
        <f>IF(AF2208=1,EOMONTH(AE2208,0),"")</f>
        <v/>
      </c>
      <c r="AH2208" s="9">
        <f>IF(AF2208=1,UPPER(TRIM(IFERROR(INDEX($A2208:$AB2208,MATCH("Client",$A$1:$AB$1,0)),"")&amp;"")),"")</f>
        <v/>
      </c>
      <c r="AI2208" s="9">
        <f>IF(AF2208=1,IFERROR(INDEX($A2208:$AB2208,MATCH("Cost Centre",$A$1:$AB$1,0)),"")&amp;"","")</f>
        <v/>
      </c>
      <c r="AJ2208" s="54">
        <f>IF(AND(AF2208=1,AE2208&gt;=set_FYStart,AE2208&lt;=set_AsAt),1,0)</f>
        <v/>
      </c>
      <c r="AK2208" s="54">
        <f>IF(AND(AJ2208=1,AH2208&lt;&gt;"",COUNTIFS($AH$2:AH2208,AH2208,$AJ$2:AJ2208,1)=1),N(AL2207)+1,"")</f>
        <v/>
      </c>
      <c r="AL2208" s="54">
        <f>IF(AK2208&lt;&gt;"",AK2208,N(AL2207))</f>
        <v/>
      </c>
    </row>
    <row r="2209">
      <c r="A2209" t="inlineStr">
        <is>
          <t>CON-0736</t>
        </is>
      </c>
      <c r="B2209" t="inlineStr">
        <is>
          <t>Consulting</t>
        </is>
      </c>
      <c r="AB2209" t="n">
        <v>736</v>
      </c>
      <c r="AD2209" s="52">
        <f>IFERROR(N(IFERROR(INDEX($A2209:$AB2209,MATCH("Xero Invoiced Ex GST",$A$1:$AB$1,0)),"")),0)</f>
        <v/>
      </c>
      <c r="AE2209" s="53">
        <f>IFERROR(INDEX($A2209:$AB2209,MATCH("Xero Invoice Date",$A$1:$AB$1,0)),"")</f>
        <v/>
      </c>
      <c r="AF2209" s="54">
        <f>IF(AND(IFERROR(INDEX($A2209:$AB2209,MATCH("Xero Invoice No",$A$1:$AB$1,0)),"")&amp;""&lt;&gt;"",ISNUMBER(AE2209),AD2209&lt;&gt;0),1,0)</f>
        <v/>
      </c>
      <c r="AG2209" s="55">
        <f>IF(AF2209=1,EOMONTH(AE2209,0),"")</f>
        <v/>
      </c>
      <c r="AH2209" s="9">
        <f>IF(AF2209=1,UPPER(TRIM(IFERROR(INDEX($A2209:$AB2209,MATCH("Client",$A$1:$AB$1,0)),"")&amp;"")),"")</f>
        <v/>
      </c>
      <c r="AI2209" s="9">
        <f>IF(AF2209=1,IFERROR(INDEX($A2209:$AB2209,MATCH("Cost Centre",$A$1:$AB$1,0)),"")&amp;"","")</f>
        <v/>
      </c>
      <c r="AJ2209" s="54">
        <f>IF(AND(AF2209=1,AE2209&gt;=set_FYStart,AE2209&lt;=set_AsAt),1,0)</f>
        <v/>
      </c>
      <c r="AK2209" s="54">
        <f>IF(AND(AJ2209=1,AH2209&lt;&gt;"",COUNTIFS($AH$2:AH2209,AH2209,$AJ$2:AJ2209,1)=1),N(AL2208)+1,"")</f>
        <v/>
      </c>
      <c r="AL2209" s="54">
        <f>IF(AK2209&lt;&gt;"",AK2209,N(AL2208))</f>
        <v/>
      </c>
    </row>
    <row r="2210">
      <c r="A2210" t="inlineStr">
        <is>
          <t>ONS-0737</t>
        </is>
      </c>
      <c r="B2210" t="inlineStr">
        <is>
          <t>Onsite</t>
        </is>
      </c>
      <c r="AB2210" t="n">
        <v>737</v>
      </c>
      <c r="AD2210" s="52">
        <f>IFERROR(N(IFERROR(INDEX($A2210:$AB2210,MATCH("Xero Invoiced Ex GST",$A$1:$AB$1,0)),"")),0)</f>
        <v/>
      </c>
      <c r="AE2210" s="53">
        <f>IFERROR(INDEX($A2210:$AB2210,MATCH("Xero Invoice Date",$A$1:$AB$1,0)),"")</f>
        <v/>
      </c>
      <c r="AF2210" s="54">
        <f>IF(AND(IFERROR(INDEX($A2210:$AB2210,MATCH("Xero Invoice No",$A$1:$AB$1,0)),"")&amp;""&lt;&gt;"",ISNUMBER(AE2210),AD2210&lt;&gt;0),1,0)</f>
        <v/>
      </c>
      <c r="AG2210" s="55">
        <f>IF(AF2210=1,EOMONTH(AE2210,0),"")</f>
        <v/>
      </c>
      <c r="AH2210" s="9">
        <f>IF(AF2210=1,UPPER(TRIM(IFERROR(INDEX($A2210:$AB2210,MATCH("Client",$A$1:$AB$1,0)),"")&amp;"")),"")</f>
        <v/>
      </c>
      <c r="AI2210" s="9">
        <f>IF(AF2210=1,IFERROR(INDEX($A2210:$AB2210,MATCH("Cost Centre",$A$1:$AB$1,0)),"")&amp;"","")</f>
        <v/>
      </c>
      <c r="AJ2210" s="54">
        <f>IF(AND(AF2210=1,AE2210&gt;=set_FYStart,AE2210&lt;=set_AsAt),1,0)</f>
        <v/>
      </c>
      <c r="AK2210" s="54">
        <f>IF(AND(AJ2210=1,AH2210&lt;&gt;"",COUNTIFS($AH$2:AH2210,AH2210,$AJ$2:AJ2210,1)=1),N(AL2209)+1,"")</f>
        <v/>
      </c>
      <c r="AL2210" s="54">
        <f>IF(AK2210&lt;&gt;"",AK2210,N(AL2209))</f>
        <v/>
      </c>
    </row>
    <row r="2211">
      <c r="A2211" t="inlineStr">
        <is>
          <t>PRD-0737</t>
        </is>
      </c>
      <c r="B2211" t="inlineStr">
        <is>
          <t>Production</t>
        </is>
      </c>
      <c r="AB2211" t="n">
        <v>737</v>
      </c>
      <c r="AD2211" s="52">
        <f>IFERROR(N(IFERROR(INDEX($A2211:$AB2211,MATCH("Xero Invoiced Ex GST",$A$1:$AB$1,0)),"")),0)</f>
        <v/>
      </c>
      <c r="AE2211" s="53">
        <f>IFERROR(INDEX($A2211:$AB2211,MATCH("Xero Invoice Date",$A$1:$AB$1,0)),"")</f>
        <v/>
      </c>
      <c r="AF2211" s="54">
        <f>IF(AND(IFERROR(INDEX($A2211:$AB2211,MATCH("Xero Invoice No",$A$1:$AB$1,0)),"")&amp;""&lt;&gt;"",ISNUMBER(AE2211),AD2211&lt;&gt;0),1,0)</f>
        <v/>
      </c>
      <c r="AG2211" s="55">
        <f>IF(AF2211=1,EOMONTH(AE2211,0),"")</f>
        <v/>
      </c>
      <c r="AH2211" s="9">
        <f>IF(AF2211=1,UPPER(TRIM(IFERROR(INDEX($A2211:$AB2211,MATCH("Client",$A$1:$AB$1,0)),"")&amp;"")),"")</f>
        <v/>
      </c>
      <c r="AI2211" s="9">
        <f>IF(AF2211=1,IFERROR(INDEX($A2211:$AB2211,MATCH("Cost Centre",$A$1:$AB$1,0)),"")&amp;"","")</f>
        <v/>
      </c>
      <c r="AJ2211" s="54">
        <f>IF(AND(AF2211=1,AE2211&gt;=set_FYStart,AE2211&lt;=set_AsAt),1,0)</f>
        <v/>
      </c>
      <c r="AK2211" s="54">
        <f>IF(AND(AJ2211=1,AH2211&lt;&gt;"",COUNTIFS($AH$2:AH2211,AH2211,$AJ$2:AJ2211,1)=1),N(AL2210)+1,"")</f>
        <v/>
      </c>
      <c r="AL2211" s="54">
        <f>IF(AK2211&lt;&gt;"",AK2211,N(AL2210))</f>
        <v/>
      </c>
    </row>
    <row r="2212">
      <c r="A2212" t="inlineStr">
        <is>
          <t>CON-0737</t>
        </is>
      </c>
      <c r="B2212" t="inlineStr">
        <is>
          <t>Consulting</t>
        </is>
      </c>
      <c r="AB2212" t="n">
        <v>737</v>
      </c>
      <c r="AD2212" s="52">
        <f>IFERROR(N(IFERROR(INDEX($A2212:$AB2212,MATCH("Xero Invoiced Ex GST",$A$1:$AB$1,0)),"")),0)</f>
        <v/>
      </c>
      <c r="AE2212" s="53">
        <f>IFERROR(INDEX($A2212:$AB2212,MATCH("Xero Invoice Date",$A$1:$AB$1,0)),"")</f>
        <v/>
      </c>
      <c r="AF2212" s="54">
        <f>IF(AND(IFERROR(INDEX($A2212:$AB2212,MATCH("Xero Invoice No",$A$1:$AB$1,0)),"")&amp;""&lt;&gt;"",ISNUMBER(AE2212),AD2212&lt;&gt;0),1,0)</f>
        <v/>
      </c>
      <c r="AG2212" s="55">
        <f>IF(AF2212=1,EOMONTH(AE2212,0),"")</f>
        <v/>
      </c>
      <c r="AH2212" s="9">
        <f>IF(AF2212=1,UPPER(TRIM(IFERROR(INDEX($A2212:$AB2212,MATCH("Client",$A$1:$AB$1,0)),"")&amp;"")),"")</f>
        <v/>
      </c>
      <c r="AI2212" s="9">
        <f>IF(AF2212=1,IFERROR(INDEX($A2212:$AB2212,MATCH("Cost Centre",$A$1:$AB$1,0)),"")&amp;"","")</f>
        <v/>
      </c>
      <c r="AJ2212" s="54">
        <f>IF(AND(AF2212=1,AE2212&gt;=set_FYStart,AE2212&lt;=set_AsAt),1,0)</f>
        <v/>
      </c>
      <c r="AK2212" s="54">
        <f>IF(AND(AJ2212=1,AH2212&lt;&gt;"",COUNTIFS($AH$2:AH2212,AH2212,$AJ$2:AJ2212,1)=1),N(AL2211)+1,"")</f>
        <v/>
      </c>
      <c r="AL2212" s="54">
        <f>IF(AK2212&lt;&gt;"",AK2212,N(AL2211))</f>
        <v/>
      </c>
    </row>
    <row r="2213">
      <c r="A2213" t="inlineStr">
        <is>
          <t>ONS-0738</t>
        </is>
      </c>
      <c r="B2213" t="inlineStr">
        <is>
          <t>Onsite</t>
        </is>
      </c>
      <c r="AB2213" t="n">
        <v>738</v>
      </c>
      <c r="AD2213" s="52">
        <f>IFERROR(N(IFERROR(INDEX($A2213:$AB2213,MATCH("Xero Invoiced Ex GST",$A$1:$AB$1,0)),"")),0)</f>
        <v/>
      </c>
      <c r="AE2213" s="53">
        <f>IFERROR(INDEX($A2213:$AB2213,MATCH("Xero Invoice Date",$A$1:$AB$1,0)),"")</f>
        <v/>
      </c>
      <c r="AF2213" s="54">
        <f>IF(AND(IFERROR(INDEX($A2213:$AB2213,MATCH("Xero Invoice No",$A$1:$AB$1,0)),"")&amp;""&lt;&gt;"",ISNUMBER(AE2213),AD2213&lt;&gt;0),1,0)</f>
        <v/>
      </c>
      <c r="AG2213" s="55">
        <f>IF(AF2213=1,EOMONTH(AE2213,0),"")</f>
        <v/>
      </c>
      <c r="AH2213" s="9">
        <f>IF(AF2213=1,UPPER(TRIM(IFERROR(INDEX($A2213:$AB2213,MATCH("Client",$A$1:$AB$1,0)),"")&amp;"")),"")</f>
        <v/>
      </c>
      <c r="AI2213" s="9">
        <f>IF(AF2213=1,IFERROR(INDEX($A2213:$AB2213,MATCH("Cost Centre",$A$1:$AB$1,0)),"")&amp;"","")</f>
        <v/>
      </c>
      <c r="AJ2213" s="54">
        <f>IF(AND(AF2213=1,AE2213&gt;=set_FYStart,AE2213&lt;=set_AsAt),1,0)</f>
        <v/>
      </c>
      <c r="AK2213" s="54">
        <f>IF(AND(AJ2213=1,AH2213&lt;&gt;"",COUNTIFS($AH$2:AH2213,AH2213,$AJ$2:AJ2213,1)=1),N(AL2212)+1,"")</f>
        <v/>
      </c>
      <c r="AL2213" s="54">
        <f>IF(AK2213&lt;&gt;"",AK2213,N(AL2212))</f>
        <v/>
      </c>
    </row>
    <row r="2214">
      <c r="A2214" t="inlineStr">
        <is>
          <t>PRD-0738</t>
        </is>
      </c>
      <c r="B2214" t="inlineStr">
        <is>
          <t>Production</t>
        </is>
      </c>
      <c r="AB2214" t="n">
        <v>738</v>
      </c>
      <c r="AD2214" s="52">
        <f>IFERROR(N(IFERROR(INDEX($A2214:$AB2214,MATCH("Xero Invoiced Ex GST",$A$1:$AB$1,0)),"")),0)</f>
        <v/>
      </c>
      <c r="AE2214" s="53">
        <f>IFERROR(INDEX($A2214:$AB2214,MATCH("Xero Invoice Date",$A$1:$AB$1,0)),"")</f>
        <v/>
      </c>
      <c r="AF2214" s="54">
        <f>IF(AND(IFERROR(INDEX($A2214:$AB2214,MATCH("Xero Invoice No",$A$1:$AB$1,0)),"")&amp;""&lt;&gt;"",ISNUMBER(AE2214),AD2214&lt;&gt;0),1,0)</f>
        <v/>
      </c>
      <c r="AG2214" s="55">
        <f>IF(AF2214=1,EOMONTH(AE2214,0),"")</f>
        <v/>
      </c>
      <c r="AH2214" s="9">
        <f>IF(AF2214=1,UPPER(TRIM(IFERROR(INDEX($A2214:$AB2214,MATCH("Client",$A$1:$AB$1,0)),"")&amp;"")),"")</f>
        <v/>
      </c>
      <c r="AI2214" s="9">
        <f>IF(AF2214=1,IFERROR(INDEX($A2214:$AB2214,MATCH("Cost Centre",$A$1:$AB$1,0)),"")&amp;"","")</f>
        <v/>
      </c>
      <c r="AJ2214" s="54">
        <f>IF(AND(AF2214=1,AE2214&gt;=set_FYStart,AE2214&lt;=set_AsAt),1,0)</f>
        <v/>
      </c>
      <c r="AK2214" s="54">
        <f>IF(AND(AJ2214=1,AH2214&lt;&gt;"",COUNTIFS($AH$2:AH2214,AH2214,$AJ$2:AJ2214,1)=1),N(AL2213)+1,"")</f>
        <v/>
      </c>
      <c r="AL2214" s="54">
        <f>IF(AK2214&lt;&gt;"",AK2214,N(AL2213))</f>
        <v/>
      </c>
    </row>
    <row r="2215">
      <c r="A2215" t="inlineStr">
        <is>
          <t>CON-0738</t>
        </is>
      </c>
      <c r="B2215" t="inlineStr">
        <is>
          <t>Consulting</t>
        </is>
      </c>
      <c r="AB2215" t="n">
        <v>738</v>
      </c>
      <c r="AD2215" s="52">
        <f>IFERROR(N(IFERROR(INDEX($A2215:$AB2215,MATCH("Xero Invoiced Ex GST",$A$1:$AB$1,0)),"")),0)</f>
        <v/>
      </c>
      <c r="AE2215" s="53">
        <f>IFERROR(INDEX($A2215:$AB2215,MATCH("Xero Invoice Date",$A$1:$AB$1,0)),"")</f>
        <v/>
      </c>
      <c r="AF2215" s="54">
        <f>IF(AND(IFERROR(INDEX($A2215:$AB2215,MATCH("Xero Invoice No",$A$1:$AB$1,0)),"")&amp;""&lt;&gt;"",ISNUMBER(AE2215),AD2215&lt;&gt;0),1,0)</f>
        <v/>
      </c>
      <c r="AG2215" s="55">
        <f>IF(AF2215=1,EOMONTH(AE2215,0),"")</f>
        <v/>
      </c>
      <c r="AH2215" s="9">
        <f>IF(AF2215=1,UPPER(TRIM(IFERROR(INDEX($A2215:$AB2215,MATCH("Client",$A$1:$AB$1,0)),"")&amp;"")),"")</f>
        <v/>
      </c>
      <c r="AI2215" s="9">
        <f>IF(AF2215=1,IFERROR(INDEX($A2215:$AB2215,MATCH("Cost Centre",$A$1:$AB$1,0)),"")&amp;"","")</f>
        <v/>
      </c>
      <c r="AJ2215" s="54">
        <f>IF(AND(AF2215=1,AE2215&gt;=set_FYStart,AE2215&lt;=set_AsAt),1,0)</f>
        <v/>
      </c>
      <c r="AK2215" s="54">
        <f>IF(AND(AJ2215=1,AH2215&lt;&gt;"",COUNTIFS($AH$2:AH2215,AH2215,$AJ$2:AJ2215,1)=1),N(AL2214)+1,"")</f>
        <v/>
      </c>
      <c r="AL2215" s="54">
        <f>IF(AK2215&lt;&gt;"",AK2215,N(AL2214))</f>
        <v/>
      </c>
    </row>
    <row r="2216">
      <c r="A2216" t="inlineStr">
        <is>
          <t>ONS-0739</t>
        </is>
      </c>
      <c r="B2216" t="inlineStr">
        <is>
          <t>Onsite</t>
        </is>
      </c>
      <c r="AB2216" t="n">
        <v>739</v>
      </c>
      <c r="AD2216" s="52">
        <f>IFERROR(N(IFERROR(INDEX($A2216:$AB2216,MATCH("Xero Invoiced Ex GST",$A$1:$AB$1,0)),"")),0)</f>
        <v/>
      </c>
      <c r="AE2216" s="53">
        <f>IFERROR(INDEX($A2216:$AB2216,MATCH("Xero Invoice Date",$A$1:$AB$1,0)),"")</f>
        <v/>
      </c>
      <c r="AF2216" s="54">
        <f>IF(AND(IFERROR(INDEX($A2216:$AB2216,MATCH("Xero Invoice No",$A$1:$AB$1,0)),"")&amp;""&lt;&gt;"",ISNUMBER(AE2216),AD2216&lt;&gt;0),1,0)</f>
        <v/>
      </c>
      <c r="AG2216" s="55">
        <f>IF(AF2216=1,EOMONTH(AE2216,0),"")</f>
        <v/>
      </c>
      <c r="AH2216" s="9">
        <f>IF(AF2216=1,UPPER(TRIM(IFERROR(INDEX($A2216:$AB2216,MATCH("Client",$A$1:$AB$1,0)),"")&amp;"")),"")</f>
        <v/>
      </c>
      <c r="AI2216" s="9">
        <f>IF(AF2216=1,IFERROR(INDEX($A2216:$AB2216,MATCH("Cost Centre",$A$1:$AB$1,0)),"")&amp;"","")</f>
        <v/>
      </c>
      <c r="AJ2216" s="54">
        <f>IF(AND(AF2216=1,AE2216&gt;=set_FYStart,AE2216&lt;=set_AsAt),1,0)</f>
        <v/>
      </c>
      <c r="AK2216" s="54">
        <f>IF(AND(AJ2216=1,AH2216&lt;&gt;"",COUNTIFS($AH$2:AH2216,AH2216,$AJ$2:AJ2216,1)=1),N(AL2215)+1,"")</f>
        <v/>
      </c>
      <c r="AL2216" s="54">
        <f>IF(AK2216&lt;&gt;"",AK2216,N(AL2215))</f>
        <v/>
      </c>
    </row>
    <row r="2217">
      <c r="A2217" t="inlineStr">
        <is>
          <t>PRD-0739</t>
        </is>
      </c>
      <c r="B2217" t="inlineStr">
        <is>
          <t>Production</t>
        </is>
      </c>
      <c r="AB2217" t="n">
        <v>739</v>
      </c>
      <c r="AD2217" s="52">
        <f>IFERROR(N(IFERROR(INDEX($A2217:$AB2217,MATCH("Xero Invoiced Ex GST",$A$1:$AB$1,0)),"")),0)</f>
        <v/>
      </c>
      <c r="AE2217" s="53">
        <f>IFERROR(INDEX($A2217:$AB2217,MATCH("Xero Invoice Date",$A$1:$AB$1,0)),"")</f>
        <v/>
      </c>
      <c r="AF2217" s="54">
        <f>IF(AND(IFERROR(INDEX($A2217:$AB2217,MATCH("Xero Invoice No",$A$1:$AB$1,0)),"")&amp;""&lt;&gt;"",ISNUMBER(AE2217),AD2217&lt;&gt;0),1,0)</f>
        <v/>
      </c>
      <c r="AG2217" s="55">
        <f>IF(AF2217=1,EOMONTH(AE2217,0),"")</f>
        <v/>
      </c>
      <c r="AH2217" s="9">
        <f>IF(AF2217=1,UPPER(TRIM(IFERROR(INDEX($A2217:$AB2217,MATCH("Client",$A$1:$AB$1,0)),"")&amp;"")),"")</f>
        <v/>
      </c>
      <c r="AI2217" s="9">
        <f>IF(AF2217=1,IFERROR(INDEX($A2217:$AB2217,MATCH("Cost Centre",$A$1:$AB$1,0)),"")&amp;"","")</f>
        <v/>
      </c>
      <c r="AJ2217" s="54">
        <f>IF(AND(AF2217=1,AE2217&gt;=set_FYStart,AE2217&lt;=set_AsAt),1,0)</f>
        <v/>
      </c>
      <c r="AK2217" s="54">
        <f>IF(AND(AJ2217=1,AH2217&lt;&gt;"",COUNTIFS($AH$2:AH2217,AH2217,$AJ$2:AJ2217,1)=1),N(AL2216)+1,"")</f>
        <v/>
      </c>
      <c r="AL2217" s="54">
        <f>IF(AK2217&lt;&gt;"",AK2217,N(AL2216))</f>
        <v/>
      </c>
    </row>
    <row r="2218">
      <c r="A2218" t="inlineStr">
        <is>
          <t>CON-0739</t>
        </is>
      </c>
      <c r="B2218" t="inlineStr">
        <is>
          <t>Consulting</t>
        </is>
      </c>
      <c r="AB2218" t="n">
        <v>739</v>
      </c>
      <c r="AD2218" s="52">
        <f>IFERROR(N(IFERROR(INDEX($A2218:$AB2218,MATCH("Xero Invoiced Ex GST",$A$1:$AB$1,0)),"")),0)</f>
        <v/>
      </c>
      <c r="AE2218" s="53">
        <f>IFERROR(INDEX($A2218:$AB2218,MATCH("Xero Invoice Date",$A$1:$AB$1,0)),"")</f>
        <v/>
      </c>
      <c r="AF2218" s="54">
        <f>IF(AND(IFERROR(INDEX($A2218:$AB2218,MATCH("Xero Invoice No",$A$1:$AB$1,0)),"")&amp;""&lt;&gt;"",ISNUMBER(AE2218),AD2218&lt;&gt;0),1,0)</f>
        <v/>
      </c>
      <c r="AG2218" s="55">
        <f>IF(AF2218=1,EOMONTH(AE2218,0),"")</f>
        <v/>
      </c>
      <c r="AH2218" s="9">
        <f>IF(AF2218=1,UPPER(TRIM(IFERROR(INDEX($A2218:$AB2218,MATCH("Client",$A$1:$AB$1,0)),"")&amp;"")),"")</f>
        <v/>
      </c>
      <c r="AI2218" s="9">
        <f>IF(AF2218=1,IFERROR(INDEX($A2218:$AB2218,MATCH("Cost Centre",$A$1:$AB$1,0)),"")&amp;"","")</f>
        <v/>
      </c>
      <c r="AJ2218" s="54">
        <f>IF(AND(AF2218=1,AE2218&gt;=set_FYStart,AE2218&lt;=set_AsAt),1,0)</f>
        <v/>
      </c>
      <c r="AK2218" s="54">
        <f>IF(AND(AJ2218=1,AH2218&lt;&gt;"",COUNTIFS($AH$2:AH2218,AH2218,$AJ$2:AJ2218,1)=1),N(AL2217)+1,"")</f>
        <v/>
      </c>
      <c r="AL2218" s="54">
        <f>IF(AK2218&lt;&gt;"",AK2218,N(AL2217))</f>
        <v/>
      </c>
    </row>
    <row r="2219">
      <c r="A2219" t="inlineStr">
        <is>
          <t>ONS-0740</t>
        </is>
      </c>
      <c r="B2219" t="inlineStr">
        <is>
          <t>Onsite</t>
        </is>
      </c>
      <c r="AB2219" t="n">
        <v>740</v>
      </c>
      <c r="AD2219" s="52">
        <f>IFERROR(N(IFERROR(INDEX($A2219:$AB2219,MATCH("Xero Invoiced Ex GST",$A$1:$AB$1,0)),"")),0)</f>
        <v/>
      </c>
      <c r="AE2219" s="53">
        <f>IFERROR(INDEX($A2219:$AB2219,MATCH("Xero Invoice Date",$A$1:$AB$1,0)),"")</f>
        <v/>
      </c>
      <c r="AF2219" s="54">
        <f>IF(AND(IFERROR(INDEX($A2219:$AB2219,MATCH("Xero Invoice No",$A$1:$AB$1,0)),"")&amp;""&lt;&gt;"",ISNUMBER(AE2219),AD2219&lt;&gt;0),1,0)</f>
        <v/>
      </c>
      <c r="AG2219" s="55">
        <f>IF(AF2219=1,EOMONTH(AE2219,0),"")</f>
        <v/>
      </c>
      <c r="AH2219" s="9">
        <f>IF(AF2219=1,UPPER(TRIM(IFERROR(INDEX($A2219:$AB2219,MATCH("Client",$A$1:$AB$1,0)),"")&amp;"")),"")</f>
        <v/>
      </c>
      <c r="AI2219" s="9">
        <f>IF(AF2219=1,IFERROR(INDEX($A2219:$AB2219,MATCH("Cost Centre",$A$1:$AB$1,0)),"")&amp;"","")</f>
        <v/>
      </c>
      <c r="AJ2219" s="54">
        <f>IF(AND(AF2219=1,AE2219&gt;=set_FYStart,AE2219&lt;=set_AsAt),1,0)</f>
        <v/>
      </c>
      <c r="AK2219" s="54">
        <f>IF(AND(AJ2219=1,AH2219&lt;&gt;"",COUNTIFS($AH$2:AH2219,AH2219,$AJ$2:AJ2219,1)=1),N(AL2218)+1,"")</f>
        <v/>
      </c>
      <c r="AL2219" s="54">
        <f>IF(AK2219&lt;&gt;"",AK2219,N(AL2218))</f>
        <v/>
      </c>
    </row>
    <row r="2220">
      <c r="A2220" t="inlineStr">
        <is>
          <t>PRD-0740</t>
        </is>
      </c>
      <c r="B2220" t="inlineStr">
        <is>
          <t>Production</t>
        </is>
      </c>
      <c r="AB2220" t="n">
        <v>740</v>
      </c>
      <c r="AD2220" s="52">
        <f>IFERROR(N(IFERROR(INDEX($A2220:$AB2220,MATCH("Xero Invoiced Ex GST",$A$1:$AB$1,0)),"")),0)</f>
        <v/>
      </c>
      <c r="AE2220" s="53">
        <f>IFERROR(INDEX($A2220:$AB2220,MATCH("Xero Invoice Date",$A$1:$AB$1,0)),"")</f>
        <v/>
      </c>
      <c r="AF2220" s="54">
        <f>IF(AND(IFERROR(INDEX($A2220:$AB2220,MATCH("Xero Invoice No",$A$1:$AB$1,0)),"")&amp;""&lt;&gt;"",ISNUMBER(AE2220),AD2220&lt;&gt;0),1,0)</f>
        <v/>
      </c>
      <c r="AG2220" s="55">
        <f>IF(AF2220=1,EOMONTH(AE2220,0),"")</f>
        <v/>
      </c>
      <c r="AH2220" s="9">
        <f>IF(AF2220=1,UPPER(TRIM(IFERROR(INDEX($A2220:$AB2220,MATCH("Client",$A$1:$AB$1,0)),"")&amp;"")),"")</f>
        <v/>
      </c>
      <c r="AI2220" s="9">
        <f>IF(AF2220=1,IFERROR(INDEX($A2220:$AB2220,MATCH("Cost Centre",$A$1:$AB$1,0)),"")&amp;"","")</f>
        <v/>
      </c>
      <c r="AJ2220" s="54">
        <f>IF(AND(AF2220=1,AE2220&gt;=set_FYStart,AE2220&lt;=set_AsAt),1,0)</f>
        <v/>
      </c>
      <c r="AK2220" s="54">
        <f>IF(AND(AJ2220=1,AH2220&lt;&gt;"",COUNTIFS($AH$2:AH2220,AH2220,$AJ$2:AJ2220,1)=1),N(AL2219)+1,"")</f>
        <v/>
      </c>
      <c r="AL2220" s="54">
        <f>IF(AK2220&lt;&gt;"",AK2220,N(AL2219))</f>
        <v/>
      </c>
    </row>
    <row r="2221">
      <c r="A2221" t="inlineStr">
        <is>
          <t>CON-0740</t>
        </is>
      </c>
      <c r="B2221" t="inlineStr">
        <is>
          <t>Consulting</t>
        </is>
      </c>
      <c r="AB2221" t="n">
        <v>740</v>
      </c>
      <c r="AD2221" s="52">
        <f>IFERROR(N(IFERROR(INDEX($A2221:$AB2221,MATCH("Xero Invoiced Ex GST",$A$1:$AB$1,0)),"")),0)</f>
        <v/>
      </c>
      <c r="AE2221" s="53">
        <f>IFERROR(INDEX($A2221:$AB2221,MATCH("Xero Invoice Date",$A$1:$AB$1,0)),"")</f>
        <v/>
      </c>
      <c r="AF2221" s="54">
        <f>IF(AND(IFERROR(INDEX($A2221:$AB2221,MATCH("Xero Invoice No",$A$1:$AB$1,0)),"")&amp;""&lt;&gt;"",ISNUMBER(AE2221),AD2221&lt;&gt;0),1,0)</f>
        <v/>
      </c>
      <c r="AG2221" s="55">
        <f>IF(AF2221=1,EOMONTH(AE2221,0),"")</f>
        <v/>
      </c>
      <c r="AH2221" s="9">
        <f>IF(AF2221=1,UPPER(TRIM(IFERROR(INDEX($A2221:$AB2221,MATCH("Client",$A$1:$AB$1,0)),"")&amp;"")),"")</f>
        <v/>
      </c>
      <c r="AI2221" s="9">
        <f>IF(AF2221=1,IFERROR(INDEX($A2221:$AB2221,MATCH("Cost Centre",$A$1:$AB$1,0)),"")&amp;"","")</f>
        <v/>
      </c>
      <c r="AJ2221" s="54">
        <f>IF(AND(AF2221=1,AE2221&gt;=set_FYStart,AE2221&lt;=set_AsAt),1,0)</f>
        <v/>
      </c>
      <c r="AK2221" s="54">
        <f>IF(AND(AJ2221=1,AH2221&lt;&gt;"",COUNTIFS($AH$2:AH2221,AH2221,$AJ$2:AJ2221,1)=1),N(AL2220)+1,"")</f>
        <v/>
      </c>
      <c r="AL2221" s="54">
        <f>IF(AK2221&lt;&gt;"",AK2221,N(AL2220))</f>
        <v/>
      </c>
    </row>
    <row r="2222">
      <c r="A2222" t="inlineStr">
        <is>
          <t>ONS-0741</t>
        </is>
      </c>
      <c r="B2222" t="inlineStr">
        <is>
          <t>Onsite</t>
        </is>
      </c>
      <c r="AB2222" t="n">
        <v>741</v>
      </c>
      <c r="AD2222" s="52">
        <f>IFERROR(N(IFERROR(INDEX($A2222:$AB2222,MATCH("Xero Invoiced Ex GST",$A$1:$AB$1,0)),"")),0)</f>
        <v/>
      </c>
      <c r="AE2222" s="53">
        <f>IFERROR(INDEX($A2222:$AB2222,MATCH("Xero Invoice Date",$A$1:$AB$1,0)),"")</f>
        <v/>
      </c>
      <c r="AF2222" s="54">
        <f>IF(AND(IFERROR(INDEX($A2222:$AB2222,MATCH("Xero Invoice No",$A$1:$AB$1,0)),"")&amp;""&lt;&gt;"",ISNUMBER(AE2222),AD2222&lt;&gt;0),1,0)</f>
        <v/>
      </c>
      <c r="AG2222" s="55">
        <f>IF(AF2222=1,EOMONTH(AE2222,0),"")</f>
        <v/>
      </c>
      <c r="AH2222" s="9">
        <f>IF(AF2222=1,UPPER(TRIM(IFERROR(INDEX($A2222:$AB2222,MATCH("Client",$A$1:$AB$1,0)),"")&amp;"")),"")</f>
        <v/>
      </c>
      <c r="AI2222" s="9">
        <f>IF(AF2222=1,IFERROR(INDEX($A2222:$AB2222,MATCH("Cost Centre",$A$1:$AB$1,0)),"")&amp;"","")</f>
        <v/>
      </c>
      <c r="AJ2222" s="54">
        <f>IF(AND(AF2222=1,AE2222&gt;=set_FYStart,AE2222&lt;=set_AsAt),1,0)</f>
        <v/>
      </c>
      <c r="AK2222" s="54">
        <f>IF(AND(AJ2222=1,AH2222&lt;&gt;"",COUNTIFS($AH$2:AH2222,AH2222,$AJ$2:AJ2222,1)=1),N(AL2221)+1,"")</f>
        <v/>
      </c>
      <c r="AL2222" s="54">
        <f>IF(AK2222&lt;&gt;"",AK2222,N(AL2221))</f>
        <v/>
      </c>
    </row>
    <row r="2223">
      <c r="A2223" t="inlineStr">
        <is>
          <t>PRD-0741</t>
        </is>
      </c>
      <c r="B2223" t="inlineStr">
        <is>
          <t>Production</t>
        </is>
      </c>
      <c r="AB2223" t="n">
        <v>741</v>
      </c>
      <c r="AD2223" s="52">
        <f>IFERROR(N(IFERROR(INDEX($A2223:$AB2223,MATCH("Xero Invoiced Ex GST",$A$1:$AB$1,0)),"")),0)</f>
        <v/>
      </c>
      <c r="AE2223" s="53">
        <f>IFERROR(INDEX($A2223:$AB2223,MATCH("Xero Invoice Date",$A$1:$AB$1,0)),"")</f>
        <v/>
      </c>
      <c r="AF2223" s="54">
        <f>IF(AND(IFERROR(INDEX($A2223:$AB2223,MATCH("Xero Invoice No",$A$1:$AB$1,0)),"")&amp;""&lt;&gt;"",ISNUMBER(AE2223),AD2223&lt;&gt;0),1,0)</f>
        <v/>
      </c>
      <c r="AG2223" s="55">
        <f>IF(AF2223=1,EOMONTH(AE2223,0),"")</f>
        <v/>
      </c>
      <c r="AH2223" s="9">
        <f>IF(AF2223=1,UPPER(TRIM(IFERROR(INDEX($A2223:$AB2223,MATCH("Client",$A$1:$AB$1,0)),"")&amp;"")),"")</f>
        <v/>
      </c>
      <c r="AI2223" s="9">
        <f>IF(AF2223=1,IFERROR(INDEX($A2223:$AB2223,MATCH("Cost Centre",$A$1:$AB$1,0)),"")&amp;"","")</f>
        <v/>
      </c>
      <c r="AJ2223" s="54">
        <f>IF(AND(AF2223=1,AE2223&gt;=set_FYStart,AE2223&lt;=set_AsAt),1,0)</f>
        <v/>
      </c>
      <c r="AK2223" s="54">
        <f>IF(AND(AJ2223=1,AH2223&lt;&gt;"",COUNTIFS($AH$2:AH2223,AH2223,$AJ$2:AJ2223,1)=1),N(AL2222)+1,"")</f>
        <v/>
      </c>
      <c r="AL2223" s="54">
        <f>IF(AK2223&lt;&gt;"",AK2223,N(AL2222))</f>
        <v/>
      </c>
    </row>
    <row r="2224">
      <c r="A2224" t="inlineStr">
        <is>
          <t>CON-0741</t>
        </is>
      </c>
      <c r="B2224" t="inlineStr">
        <is>
          <t>Consulting</t>
        </is>
      </c>
      <c r="AB2224" t="n">
        <v>741</v>
      </c>
      <c r="AD2224" s="52">
        <f>IFERROR(N(IFERROR(INDEX($A2224:$AB2224,MATCH("Xero Invoiced Ex GST",$A$1:$AB$1,0)),"")),0)</f>
        <v/>
      </c>
      <c r="AE2224" s="53">
        <f>IFERROR(INDEX($A2224:$AB2224,MATCH("Xero Invoice Date",$A$1:$AB$1,0)),"")</f>
        <v/>
      </c>
      <c r="AF2224" s="54">
        <f>IF(AND(IFERROR(INDEX($A2224:$AB2224,MATCH("Xero Invoice No",$A$1:$AB$1,0)),"")&amp;""&lt;&gt;"",ISNUMBER(AE2224),AD2224&lt;&gt;0),1,0)</f>
        <v/>
      </c>
      <c r="AG2224" s="55">
        <f>IF(AF2224=1,EOMONTH(AE2224,0),"")</f>
        <v/>
      </c>
      <c r="AH2224" s="9">
        <f>IF(AF2224=1,UPPER(TRIM(IFERROR(INDEX($A2224:$AB2224,MATCH("Client",$A$1:$AB$1,0)),"")&amp;"")),"")</f>
        <v/>
      </c>
      <c r="AI2224" s="9">
        <f>IF(AF2224=1,IFERROR(INDEX($A2224:$AB2224,MATCH("Cost Centre",$A$1:$AB$1,0)),"")&amp;"","")</f>
        <v/>
      </c>
      <c r="AJ2224" s="54">
        <f>IF(AND(AF2224=1,AE2224&gt;=set_FYStart,AE2224&lt;=set_AsAt),1,0)</f>
        <v/>
      </c>
      <c r="AK2224" s="54">
        <f>IF(AND(AJ2224=1,AH2224&lt;&gt;"",COUNTIFS($AH$2:AH2224,AH2224,$AJ$2:AJ2224,1)=1),N(AL2223)+1,"")</f>
        <v/>
      </c>
      <c r="AL2224" s="54">
        <f>IF(AK2224&lt;&gt;"",AK2224,N(AL2223))</f>
        <v/>
      </c>
    </row>
    <row r="2225">
      <c r="A2225" t="inlineStr">
        <is>
          <t>ONS-0742</t>
        </is>
      </c>
      <c r="B2225" t="inlineStr">
        <is>
          <t>Onsite</t>
        </is>
      </c>
      <c r="AB2225" t="n">
        <v>742</v>
      </c>
      <c r="AD2225" s="52">
        <f>IFERROR(N(IFERROR(INDEX($A2225:$AB2225,MATCH("Xero Invoiced Ex GST",$A$1:$AB$1,0)),"")),0)</f>
        <v/>
      </c>
      <c r="AE2225" s="53">
        <f>IFERROR(INDEX($A2225:$AB2225,MATCH("Xero Invoice Date",$A$1:$AB$1,0)),"")</f>
        <v/>
      </c>
      <c r="AF2225" s="54">
        <f>IF(AND(IFERROR(INDEX($A2225:$AB2225,MATCH("Xero Invoice No",$A$1:$AB$1,0)),"")&amp;""&lt;&gt;"",ISNUMBER(AE2225),AD2225&lt;&gt;0),1,0)</f>
        <v/>
      </c>
      <c r="AG2225" s="55">
        <f>IF(AF2225=1,EOMONTH(AE2225,0),"")</f>
        <v/>
      </c>
      <c r="AH2225" s="9">
        <f>IF(AF2225=1,UPPER(TRIM(IFERROR(INDEX($A2225:$AB2225,MATCH("Client",$A$1:$AB$1,0)),"")&amp;"")),"")</f>
        <v/>
      </c>
      <c r="AI2225" s="9">
        <f>IF(AF2225=1,IFERROR(INDEX($A2225:$AB2225,MATCH("Cost Centre",$A$1:$AB$1,0)),"")&amp;"","")</f>
        <v/>
      </c>
      <c r="AJ2225" s="54">
        <f>IF(AND(AF2225=1,AE2225&gt;=set_FYStart,AE2225&lt;=set_AsAt),1,0)</f>
        <v/>
      </c>
      <c r="AK2225" s="54">
        <f>IF(AND(AJ2225=1,AH2225&lt;&gt;"",COUNTIFS($AH$2:AH2225,AH2225,$AJ$2:AJ2225,1)=1),N(AL2224)+1,"")</f>
        <v/>
      </c>
      <c r="AL2225" s="54">
        <f>IF(AK2225&lt;&gt;"",AK2225,N(AL2224))</f>
        <v/>
      </c>
    </row>
    <row r="2226">
      <c r="A2226" t="inlineStr">
        <is>
          <t>PRD-0742</t>
        </is>
      </c>
      <c r="B2226" t="inlineStr">
        <is>
          <t>Production</t>
        </is>
      </c>
      <c r="AB2226" t="n">
        <v>742</v>
      </c>
      <c r="AD2226" s="52">
        <f>IFERROR(N(IFERROR(INDEX($A2226:$AB2226,MATCH("Xero Invoiced Ex GST",$A$1:$AB$1,0)),"")),0)</f>
        <v/>
      </c>
      <c r="AE2226" s="53">
        <f>IFERROR(INDEX($A2226:$AB2226,MATCH("Xero Invoice Date",$A$1:$AB$1,0)),"")</f>
        <v/>
      </c>
      <c r="AF2226" s="54">
        <f>IF(AND(IFERROR(INDEX($A2226:$AB2226,MATCH("Xero Invoice No",$A$1:$AB$1,0)),"")&amp;""&lt;&gt;"",ISNUMBER(AE2226),AD2226&lt;&gt;0),1,0)</f>
        <v/>
      </c>
      <c r="AG2226" s="55">
        <f>IF(AF2226=1,EOMONTH(AE2226,0),"")</f>
        <v/>
      </c>
      <c r="AH2226" s="9">
        <f>IF(AF2226=1,UPPER(TRIM(IFERROR(INDEX($A2226:$AB2226,MATCH("Client",$A$1:$AB$1,0)),"")&amp;"")),"")</f>
        <v/>
      </c>
      <c r="AI2226" s="9">
        <f>IF(AF2226=1,IFERROR(INDEX($A2226:$AB2226,MATCH("Cost Centre",$A$1:$AB$1,0)),"")&amp;"","")</f>
        <v/>
      </c>
      <c r="AJ2226" s="54">
        <f>IF(AND(AF2226=1,AE2226&gt;=set_FYStart,AE2226&lt;=set_AsAt),1,0)</f>
        <v/>
      </c>
      <c r="AK2226" s="54">
        <f>IF(AND(AJ2226=1,AH2226&lt;&gt;"",COUNTIFS($AH$2:AH2226,AH2226,$AJ$2:AJ2226,1)=1),N(AL2225)+1,"")</f>
        <v/>
      </c>
      <c r="AL2226" s="54">
        <f>IF(AK2226&lt;&gt;"",AK2226,N(AL2225))</f>
        <v/>
      </c>
    </row>
    <row r="2227">
      <c r="A2227" t="inlineStr">
        <is>
          <t>CON-0742</t>
        </is>
      </c>
      <c r="B2227" t="inlineStr">
        <is>
          <t>Consulting</t>
        </is>
      </c>
      <c r="AB2227" t="n">
        <v>742</v>
      </c>
      <c r="AD2227" s="52">
        <f>IFERROR(N(IFERROR(INDEX($A2227:$AB2227,MATCH("Xero Invoiced Ex GST",$A$1:$AB$1,0)),"")),0)</f>
        <v/>
      </c>
      <c r="AE2227" s="53">
        <f>IFERROR(INDEX($A2227:$AB2227,MATCH("Xero Invoice Date",$A$1:$AB$1,0)),"")</f>
        <v/>
      </c>
      <c r="AF2227" s="54">
        <f>IF(AND(IFERROR(INDEX($A2227:$AB2227,MATCH("Xero Invoice No",$A$1:$AB$1,0)),"")&amp;""&lt;&gt;"",ISNUMBER(AE2227),AD2227&lt;&gt;0),1,0)</f>
        <v/>
      </c>
      <c r="AG2227" s="55">
        <f>IF(AF2227=1,EOMONTH(AE2227,0),"")</f>
        <v/>
      </c>
      <c r="AH2227" s="9">
        <f>IF(AF2227=1,UPPER(TRIM(IFERROR(INDEX($A2227:$AB2227,MATCH("Client",$A$1:$AB$1,0)),"")&amp;"")),"")</f>
        <v/>
      </c>
      <c r="AI2227" s="9">
        <f>IF(AF2227=1,IFERROR(INDEX($A2227:$AB2227,MATCH("Cost Centre",$A$1:$AB$1,0)),"")&amp;"","")</f>
        <v/>
      </c>
      <c r="AJ2227" s="54">
        <f>IF(AND(AF2227=1,AE2227&gt;=set_FYStart,AE2227&lt;=set_AsAt),1,0)</f>
        <v/>
      </c>
      <c r="AK2227" s="54">
        <f>IF(AND(AJ2227=1,AH2227&lt;&gt;"",COUNTIFS($AH$2:AH2227,AH2227,$AJ$2:AJ2227,1)=1),N(AL2226)+1,"")</f>
        <v/>
      </c>
      <c r="AL2227" s="54">
        <f>IF(AK2227&lt;&gt;"",AK2227,N(AL2226))</f>
        <v/>
      </c>
    </row>
    <row r="2228">
      <c r="A2228" t="inlineStr">
        <is>
          <t>ONS-0743</t>
        </is>
      </c>
      <c r="B2228" t="inlineStr">
        <is>
          <t>Onsite</t>
        </is>
      </c>
      <c r="AB2228" t="n">
        <v>743</v>
      </c>
      <c r="AD2228" s="52">
        <f>IFERROR(N(IFERROR(INDEX($A2228:$AB2228,MATCH("Xero Invoiced Ex GST",$A$1:$AB$1,0)),"")),0)</f>
        <v/>
      </c>
      <c r="AE2228" s="53">
        <f>IFERROR(INDEX($A2228:$AB2228,MATCH("Xero Invoice Date",$A$1:$AB$1,0)),"")</f>
        <v/>
      </c>
      <c r="AF2228" s="54">
        <f>IF(AND(IFERROR(INDEX($A2228:$AB2228,MATCH("Xero Invoice No",$A$1:$AB$1,0)),"")&amp;""&lt;&gt;"",ISNUMBER(AE2228),AD2228&lt;&gt;0),1,0)</f>
        <v/>
      </c>
      <c r="AG2228" s="55">
        <f>IF(AF2228=1,EOMONTH(AE2228,0),"")</f>
        <v/>
      </c>
      <c r="AH2228" s="9">
        <f>IF(AF2228=1,UPPER(TRIM(IFERROR(INDEX($A2228:$AB2228,MATCH("Client",$A$1:$AB$1,0)),"")&amp;"")),"")</f>
        <v/>
      </c>
      <c r="AI2228" s="9">
        <f>IF(AF2228=1,IFERROR(INDEX($A2228:$AB2228,MATCH("Cost Centre",$A$1:$AB$1,0)),"")&amp;"","")</f>
        <v/>
      </c>
      <c r="AJ2228" s="54">
        <f>IF(AND(AF2228=1,AE2228&gt;=set_FYStart,AE2228&lt;=set_AsAt),1,0)</f>
        <v/>
      </c>
      <c r="AK2228" s="54">
        <f>IF(AND(AJ2228=1,AH2228&lt;&gt;"",COUNTIFS($AH$2:AH2228,AH2228,$AJ$2:AJ2228,1)=1),N(AL2227)+1,"")</f>
        <v/>
      </c>
      <c r="AL2228" s="54">
        <f>IF(AK2228&lt;&gt;"",AK2228,N(AL2227))</f>
        <v/>
      </c>
    </row>
    <row r="2229">
      <c r="A2229" t="inlineStr">
        <is>
          <t>PRD-0743</t>
        </is>
      </c>
      <c r="B2229" t="inlineStr">
        <is>
          <t>Production</t>
        </is>
      </c>
      <c r="AB2229" t="n">
        <v>743</v>
      </c>
      <c r="AD2229" s="52">
        <f>IFERROR(N(IFERROR(INDEX($A2229:$AB2229,MATCH("Xero Invoiced Ex GST",$A$1:$AB$1,0)),"")),0)</f>
        <v/>
      </c>
      <c r="AE2229" s="53">
        <f>IFERROR(INDEX($A2229:$AB2229,MATCH("Xero Invoice Date",$A$1:$AB$1,0)),"")</f>
        <v/>
      </c>
      <c r="AF2229" s="54">
        <f>IF(AND(IFERROR(INDEX($A2229:$AB2229,MATCH("Xero Invoice No",$A$1:$AB$1,0)),"")&amp;""&lt;&gt;"",ISNUMBER(AE2229),AD2229&lt;&gt;0),1,0)</f>
        <v/>
      </c>
      <c r="AG2229" s="55">
        <f>IF(AF2229=1,EOMONTH(AE2229,0),"")</f>
        <v/>
      </c>
      <c r="AH2229" s="9">
        <f>IF(AF2229=1,UPPER(TRIM(IFERROR(INDEX($A2229:$AB2229,MATCH("Client",$A$1:$AB$1,0)),"")&amp;"")),"")</f>
        <v/>
      </c>
      <c r="AI2229" s="9">
        <f>IF(AF2229=1,IFERROR(INDEX($A2229:$AB2229,MATCH("Cost Centre",$A$1:$AB$1,0)),"")&amp;"","")</f>
        <v/>
      </c>
      <c r="AJ2229" s="54">
        <f>IF(AND(AF2229=1,AE2229&gt;=set_FYStart,AE2229&lt;=set_AsAt),1,0)</f>
        <v/>
      </c>
      <c r="AK2229" s="54">
        <f>IF(AND(AJ2229=1,AH2229&lt;&gt;"",COUNTIFS($AH$2:AH2229,AH2229,$AJ$2:AJ2229,1)=1),N(AL2228)+1,"")</f>
        <v/>
      </c>
      <c r="AL2229" s="54">
        <f>IF(AK2229&lt;&gt;"",AK2229,N(AL2228))</f>
        <v/>
      </c>
    </row>
    <row r="2230">
      <c r="A2230" t="inlineStr">
        <is>
          <t>CON-0743</t>
        </is>
      </c>
      <c r="B2230" t="inlineStr">
        <is>
          <t>Consulting</t>
        </is>
      </c>
      <c r="AB2230" t="n">
        <v>743</v>
      </c>
      <c r="AD2230" s="52">
        <f>IFERROR(N(IFERROR(INDEX($A2230:$AB2230,MATCH("Xero Invoiced Ex GST",$A$1:$AB$1,0)),"")),0)</f>
        <v/>
      </c>
      <c r="AE2230" s="53">
        <f>IFERROR(INDEX($A2230:$AB2230,MATCH("Xero Invoice Date",$A$1:$AB$1,0)),"")</f>
        <v/>
      </c>
      <c r="AF2230" s="54">
        <f>IF(AND(IFERROR(INDEX($A2230:$AB2230,MATCH("Xero Invoice No",$A$1:$AB$1,0)),"")&amp;""&lt;&gt;"",ISNUMBER(AE2230),AD2230&lt;&gt;0),1,0)</f>
        <v/>
      </c>
      <c r="AG2230" s="55">
        <f>IF(AF2230=1,EOMONTH(AE2230,0),"")</f>
        <v/>
      </c>
      <c r="AH2230" s="9">
        <f>IF(AF2230=1,UPPER(TRIM(IFERROR(INDEX($A2230:$AB2230,MATCH("Client",$A$1:$AB$1,0)),"")&amp;"")),"")</f>
        <v/>
      </c>
      <c r="AI2230" s="9">
        <f>IF(AF2230=1,IFERROR(INDEX($A2230:$AB2230,MATCH("Cost Centre",$A$1:$AB$1,0)),"")&amp;"","")</f>
        <v/>
      </c>
      <c r="AJ2230" s="54">
        <f>IF(AND(AF2230=1,AE2230&gt;=set_FYStart,AE2230&lt;=set_AsAt),1,0)</f>
        <v/>
      </c>
      <c r="AK2230" s="54">
        <f>IF(AND(AJ2230=1,AH2230&lt;&gt;"",COUNTIFS($AH$2:AH2230,AH2230,$AJ$2:AJ2230,1)=1),N(AL2229)+1,"")</f>
        <v/>
      </c>
      <c r="AL2230" s="54">
        <f>IF(AK2230&lt;&gt;"",AK2230,N(AL2229))</f>
        <v/>
      </c>
    </row>
    <row r="2231">
      <c r="A2231" t="inlineStr">
        <is>
          <t>ONS-0744</t>
        </is>
      </c>
      <c r="B2231" t="inlineStr">
        <is>
          <t>Onsite</t>
        </is>
      </c>
      <c r="AB2231" t="n">
        <v>744</v>
      </c>
      <c r="AD2231" s="52">
        <f>IFERROR(N(IFERROR(INDEX($A2231:$AB2231,MATCH("Xero Invoiced Ex GST",$A$1:$AB$1,0)),"")),0)</f>
        <v/>
      </c>
      <c r="AE2231" s="53">
        <f>IFERROR(INDEX($A2231:$AB2231,MATCH("Xero Invoice Date",$A$1:$AB$1,0)),"")</f>
        <v/>
      </c>
      <c r="AF2231" s="54">
        <f>IF(AND(IFERROR(INDEX($A2231:$AB2231,MATCH("Xero Invoice No",$A$1:$AB$1,0)),"")&amp;""&lt;&gt;"",ISNUMBER(AE2231),AD2231&lt;&gt;0),1,0)</f>
        <v/>
      </c>
      <c r="AG2231" s="55">
        <f>IF(AF2231=1,EOMONTH(AE2231,0),"")</f>
        <v/>
      </c>
      <c r="AH2231" s="9">
        <f>IF(AF2231=1,UPPER(TRIM(IFERROR(INDEX($A2231:$AB2231,MATCH("Client",$A$1:$AB$1,0)),"")&amp;"")),"")</f>
        <v/>
      </c>
      <c r="AI2231" s="9">
        <f>IF(AF2231=1,IFERROR(INDEX($A2231:$AB2231,MATCH("Cost Centre",$A$1:$AB$1,0)),"")&amp;"","")</f>
        <v/>
      </c>
      <c r="AJ2231" s="54">
        <f>IF(AND(AF2231=1,AE2231&gt;=set_FYStart,AE2231&lt;=set_AsAt),1,0)</f>
        <v/>
      </c>
      <c r="AK2231" s="54">
        <f>IF(AND(AJ2231=1,AH2231&lt;&gt;"",COUNTIFS($AH$2:AH2231,AH2231,$AJ$2:AJ2231,1)=1),N(AL2230)+1,"")</f>
        <v/>
      </c>
      <c r="AL2231" s="54">
        <f>IF(AK2231&lt;&gt;"",AK2231,N(AL2230))</f>
        <v/>
      </c>
    </row>
    <row r="2232">
      <c r="A2232" t="inlineStr">
        <is>
          <t>PRD-0744</t>
        </is>
      </c>
      <c r="B2232" t="inlineStr">
        <is>
          <t>Production</t>
        </is>
      </c>
      <c r="AB2232" t="n">
        <v>744</v>
      </c>
      <c r="AD2232" s="52">
        <f>IFERROR(N(IFERROR(INDEX($A2232:$AB2232,MATCH("Xero Invoiced Ex GST",$A$1:$AB$1,0)),"")),0)</f>
        <v/>
      </c>
      <c r="AE2232" s="53">
        <f>IFERROR(INDEX($A2232:$AB2232,MATCH("Xero Invoice Date",$A$1:$AB$1,0)),"")</f>
        <v/>
      </c>
      <c r="AF2232" s="54">
        <f>IF(AND(IFERROR(INDEX($A2232:$AB2232,MATCH("Xero Invoice No",$A$1:$AB$1,0)),"")&amp;""&lt;&gt;"",ISNUMBER(AE2232),AD2232&lt;&gt;0),1,0)</f>
        <v/>
      </c>
      <c r="AG2232" s="55">
        <f>IF(AF2232=1,EOMONTH(AE2232,0),"")</f>
        <v/>
      </c>
      <c r="AH2232" s="9">
        <f>IF(AF2232=1,UPPER(TRIM(IFERROR(INDEX($A2232:$AB2232,MATCH("Client",$A$1:$AB$1,0)),"")&amp;"")),"")</f>
        <v/>
      </c>
      <c r="AI2232" s="9">
        <f>IF(AF2232=1,IFERROR(INDEX($A2232:$AB2232,MATCH("Cost Centre",$A$1:$AB$1,0)),"")&amp;"","")</f>
        <v/>
      </c>
      <c r="AJ2232" s="54">
        <f>IF(AND(AF2232=1,AE2232&gt;=set_FYStart,AE2232&lt;=set_AsAt),1,0)</f>
        <v/>
      </c>
      <c r="AK2232" s="54">
        <f>IF(AND(AJ2232=1,AH2232&lt;&gt;"",COUNTIFS($AH$2:AH2232,AH2232,$AJ$2:AJ2232,1)=1),N(AL2231)+1,"")</f>
        <v/>
      </c>
      <c r="AL2232" s="54">
        <f>IF(AK2232&lt;&gt;"",AK2232,N(AL2231))</f>
        <v/>
      </c>
    </row>
    <row r="2233">
      <c r="A2233" t="inlineStr">
        <is>
          <t>CON-0744</t>
        </is>
      </c>
      <c r="B2233" t="inlineStr">
        <is>
          <t>Consulting</t>
        </is>
      </c>
      <c r="AB2233" t="n">
        <v>744</v>
      </c>
      <c r="AD2233" s="52">
        <f>IFERROR(N(IFERROR(INDEX($A2233:$AB2233,MATCH("Xero Invoiced Ex GST",$A$1:$AB$1,0)),"")),0)</f>
        <v/>
      </c>
      <c r="AE2233" s="53">
        <f>IFERROR(INDEX($A2233:$AB2233,MATCH("Xero Invoice Date",$A$1:$AB$1,0)),"")</f>
        <v/>
      </c>
      <c r="AF2233" s="54">
        <f>IF(AND(IFERROR(INDEX($A2233:$AB2233,MATCH("Xero Invoice No",$A$1:$AB$1,0)),"")&amp;""&lt;&gt;"",ISNUMBER(AE2233),AD2233&lt;&gt;0),1,0)</f>
        <v/>
      </c>
      <c r="AG2233" s="55">
        <f>IF(AF2233=1,EOMONTH(AE2233,0),"")</f>
        <v/>
      </c>
      <c r="AH2233" s="9">
        <f>IF(AF2233=1,UPPER(TRIM(IFERROR(INDEX($A2233:$AB2233,MATCH("Client",$A$1:$AB$1,0)),"")&amp;"")),"")</f>
        <v/>
      </c>
      <c r="AI2233" s="9">
        <f>IF(AF2233=1,IFERROR(INDEX($A2233:$AB2233,MATCH("Cost Centre",$A$1:$AB$1,0)),"")&amp;"","")</f>
        <v/>
      </c>
      <c r="AJ2233" s="54">
        <f>IF(AND(AF2233=1,AE2233&gt;=set_FYStart,AE2233&lt;=set_AsAt),1,0)</f>
        <v/>
      </c>
      <c r="AK2233" s="54">
        <f>IF(AND(AJ2233=1,AH2233&lt;&gt;"",COUNTIFS($AH$2:AH2233,AH2233,$AJ$2:AJ2233,1)=1),N(AL2232)+1,"")</f>
        <v/>
      </c>
      <c r="AL2233" s="54">
        <f>IF(AK2233&lt;&gt;"",AK2233,N(AL2232))</f>
        <v/>
      </c>
    </row>
    <row r="2234">
      <c r="A2234" t="inlineStr">
        <is>
          <t>ONS-0745</t>
        </is>
      </c>
      <c r="B2234" t="inlineStr">
        <is>
          <t>Onsite</t>
        </is>
      </c>
      <c r="AB2234" t="n">
        <v>745</v>
      </c>
      <c r="AD2234" s="52">
        <f>IFERROR(N(IFERROR(INDEX($A2234:$AB2234,MATCH("Xero Invoiced Ex GST",$A$1:$AB$1,0)),"")),0)</f>
        <v/>
      </c>
      <c r="AE2234" s="53">
        <f>IFERROR(INDEX($A2234:$AB2234,MATCH("Xero Invoice Date",$A$1:$AB$1,0)),"")</f>
        <v/>
      </c>
      <c r="AF2234" s="54">
        <f>IF(AND(IFERROR(INDEX($A2234:$AB2234,MATCH("Xero Invoice No",$A$1:$AB$1,0)),"")&amp;""&lt;&gt;"",ISNUMBER(AE2234),AD2234&lt;&gt;0),1,0)</f>
        <v/>
      </c>
      <c r="AG2234" s="55">
        <f>IF(AF2234=1,EOMONTH(AE2234,0),"")</f>
        <v/>
      </c>
      <c r="AH2234" s="9">
        <f>IF(AF2234=1,UPPER(TRIM(IFERROR(INDEX($A2234:$AB2234,MATCH("Client",$A$1:$AB$1,0)),"")&amp;"")),"")</f>
        <v/>
      </c>
      <c r="AI2234" s="9">
        <f>IF(AF2234=1,IFERROR(INDEX($A2234:$AB2234,MATCH("Cost Centre",$A$1:$AB$1,0)),"")&amp;"","")</f>
        <v/>
      </c>
      <c r="AJ2234" s="54">
        <f>IF(AND(AF2234=1,AE2234&gt;=set_FYStart,AE2234&lt;=set_AsAt),1,0)</f>
        <v/>
      </c>
      <c r="AK2234" s="54">
        <f>IF(AND(AJ2234=1,AH2234&lt;&gt;"",COUNTIFS($AH$2:AH2234,AH2234,$AJ$2:AJ2234,1)=1),N(AL2233)+1,"")</f>
        <v/>
      </c>
      <c r="AL2234" s="54">
        <f>IF(AK2234&lt;&gt;"",AK2234,N(AL2233))</f>
        <v/>
      </c>
    </row>
    <row r="2235">
      <c r="A2235" t="inlineStr">
        <is>
          <t>PRD-0745</t>
        </is>
      </c>
      <c r="B2235" t="inlineStr">
        <is>
          <t>Production</t>
        </is>
      </c>
      <c r="AB2235" t="n">
        <v>745</v>
      </c>
      <c r="AD2235" s="52">
        <f>IFERROR(N(IFERROR(INDEX($A2235:$AB2235,MATCH("Xero Invoiced Ex GST",$A$1:$AB$1,0)),"")),0)</f>
        <v/>
      </c>
      <c r="AE2235" s="53">
        <f>IFERROR(INDEX($A2235:$AB2235,MATCH("Xero Invoice Date",$A$1:$AB$1,0)),"")</f>
        <v/>
      </c>
      <c r="AF2235" s="54">
        <f>IF(AND(IFERROR(INDEX($A2235:$AB2235,MATCH("Xero Invoice No",$A$1:$AB$1,0)),"")&amp;""&lt;&gt;"",ISNUMBER(AE2235),AD2235&lt;&gt;0),1,0)</f>
        <v/>
      </c>
      <c r="AG2235" s="55">
        <f>IF(AF2235=1,EOMONTH(AE2235,0),"")</f>
        <v/>
      </c>
      <c r="AH2235" s="9">
        <f>IF(AF2235=1,UPPER(TRIM(IFERROR(INDEX($A2235:$AB2235,MATCH("Client",$A$1:$AB$1,0)),"")&amp;"")),"")</f>
        <v/>
      </c>
      <c r="AI2235" s="9">
        <f>IF(AF2235=1,IFERROR(INDEX($A2235:$AB2235,MATCH("Cost Centre",$A$1:$AB$1,0)),"")&amp;"","")</f>
        <v/>
      </c>
      <c r="AJ2235" s="54">
        <f>IF(AND(AF2235=1,AE2235&gt;=set_FYStart,AE2235&lt;=set_AsAt),1,0)</f>
        <v/>
      </c>
      <c r="AK2235" s="54">
        <f>IF(AND(AJ2235=1,AH2235&lt;&gt;"",COUNTIFS($AH$2:AH2235,AH2235,$AJ$2:AJ2235,1)=1),N(AL2234)+1,"")</f>
        <v/>
      </c>
      <c r="AL2235" s="54">
        <f>IF(AK2235&lt;&gt;"",AK2235,N(AL2234))</f>
        <v/>
      </c>
    </row>
    <row r="2236">
      <c r="A2236" t="inlineStr">
        <is>
          <t>CON-0745</t>
        </is>
      </c>
      <c r="B2236" t="inlineStr">
        <is>
          <t>Consulting</t>
        </is>
      </c>
      <c r="AB2236" t="n">
        <v>745</v>
      </c>
      <c r="AD2236" s="52">
        <f>IFERROR(N(IFERROR(INDEX($A2236:$AB2236,MATCH("Xero Invoiced Ex GST",$A$1:$AB$1,0)),"")),0)</f>
        <v/>
      </c>
      <c r="AE2236" s="53">
        <f>IFERROR(INDEX($A2236:$AB2236,MATCH("Xero Invoice Date",$A$1:$AB$1,0)),"")</f>
        <v/>
      </c>
      <c r="AF2236" s="54">
        <f>IF(AND(IFERROR(INDEX($A2236:$AB2236,MATCH("Xero Invoice No",$A$1:$AB$1,0)),"")&amp;""&lt;&gt;"",ISNUMBER(AE2236),AD2236&lt;&gt;0),1,0)</f>
        <v/>
      </c>
      <c r="AG2236" s="55">
        <f>IF(AF2236=1,EOMONTH(AE2236,0),"")</f>
        <v/>
      </c>
      <c r="AH2236" s="9">
        <f>IF(AF2236=1,UPPER(TRIM(IFERROR(INDEX($A2236:$AB2236,MATCH("Client",$A$1:$AB$1,0)),"")&amp;"")),"")</f>
        <v/>
      </c>
      <c r="AI2236" s="9">
        <f>IF(AF2236=1,IFERROR(INDEX($A2236:$AB2236,MATCH("Cost Centre",$A$1:$AB$1,0)),"")&amp;"","")</f>
        <v/>
      </c>
      <c r="AJ2236" s="54">
        <f>IF(AND(AF2236=1,AE2236&gt;=set_FYStart,AE2236&lt;=set_AsAt),1,0)</f>
        <v/>
      </c>
      <c r="AK2236" s="54">
        <f>IF(AND(AJ2236=1,AH2236&lt;&gt;"",COUNTIFS($AH$2:AH2236,AH2236,$AJ$2:AJ2236,1)=1),N(AL2235)+1,"")</f>
        <v/>
      </c>
      <c r="AL2236" s="54">
        <f>IF(AK2236&lt;&gt;"",AK2236,N(AL2235))</f>
        <v/>
      </c>
    </row>
    <row r="2237">
      <c r="A2237" t="inlineStr">
        <is>
          <t>ONS-0746</t>
        </is>
      </c>
      <c r="B2237" t="inlineStr">
        <is>
          <t>Onsite</t>
        </is>
      </c>
      <c r="AB2237" t="n">
        <v>746</v>
      </c>
      <c r="AD2237" s="52">
        <f>IFERROR(N(IFERROR(INDEX($A2237:$AB2237,MATCH("Xero Invoiced Ex GST",$A$1:$AB$1,0)),"")),0)</f>
        <v/>
      </c>
      <c r="AE2237" s="53">
        <f>IFERROR(INDEX($A2237:$AB2237,MATCH("Xero Invoice Date",$A$1:$AB$1,0)),"")</f>
        <v/>
      </c>
      <c r="AF2237" s="54">
        <f>IF(AND(IFERROR(INDEX($A2237:$AB2237,MATCH("Xero Invoice No",$A$1:$AB$1,0)),"")&amp;""&lt;&gt;"",ISNUMBER(AE2237),AD2237&lt;&gt;0),1,0)</f>
        <v/>
      </c>
      <c r="AG2237" s="55">
        <f>IF(AF2237=1,EOMONTH(AE2237,0),"")</f>
        <v/>
      </c>
      <c r="AH2237" s="9">
        <f>IF(AF2237=1,UPPER(TRIM(IFERROR(INDEX($A2237:$AB2237,MATCH("Client",$A$1:$AB$1,0)),"")&amp;"")),"")</f>
        <v/>
      </c>
      <c r="AI2237" s="9">
        <f>IF(AF2237=1,IFERROR(INDEX($A2237:$AB2237,MATCH("Cost Centre",$A$1:$AB$1,0)),"")&amp;"","")</f>
        <v/>
      </c>
      <c r="AJ2237" s="54">
        <f>IF(AND(AF2237=1,AE2237&gt;=set_FYStart,AE2237&lt;=set_AsAt),1,0)</f>
        <v/>
      </c>
      <c r="AK2237" s="54">
        <f>IF(AND(AJ2237=1,AH2237&lt;&gt;"",COUNTIFS($AH$2:AH2237,AH2237,$AJ$2:AJ2237,1)=1),N(AL2236)+1,"")</f>
        <v/>
      </c>
      <c r="AL2237" s="54">
        <f>IF(AK2237&lt;&gt;"",AK2237,N(AL2236))</f>
        <v/>
      </c>
    </row>
    <row r="2238">
      <c r="A2238" t="inlineStr">
        <is>
          <t>PRD-0746</t>
        </is>
      </c>
      <c r="B2238" t="inlineStr">
        <is>
          <t>Production</t>
        </is>
      </c>
      <c r="AB2238" t="n">
        <v>746</v>
      </c>
      <c r="AD2238" s="52">
        <f>IFERROR(N(IFERROR(INDEX($A2238:$AB2238,MATCH("Xero Invoiced Ex GST",$A$1:$AB$1,0)),"")),0)</f>
        <v/>
      </c>
      <c r="AE2238" s="53">
        <f>IFERROR(INDEX($A2238:$AB2238,MATCH("Xero Invoice Date",$A$1:$AB$1,0)),"")</f>
        <v/>
      </c>
      <c r="AF2238" s="54">
        <f>IF(AND(IFERROR(INDEX($A2238:$AB2238,MATCH("Xero Invoice No",$A$1:$AB$1,0)),"")&amp;""&lt;&gt;"",ISNUMBER(AE2238),AD2238&lt;&gt;0),1,0)</f>
        <v/>
      </c>
      <c r="AG2238" s="55">
        <f>IF(AF2238=1,EOMONTH(AE2238,0),"")</f>
        <v/>
      </c>
      <c r="AH2238" s="9">
        <f>IF(AF2238=1,UPPER(TRIM(IFERROR(INDEX($A2238:$AB2238,MATCH("Client",$A$1:$AB$1,0)),"")&amp;"")),"")</f>
        <v/>
      </c>
      <c r="AI2238" s="9">
        <f>IF(AF2238=1,IFERROR(INDEX($A2238:$AB2238,MATCH("Cost Centre",$A$1:$AB$1,0)),"")&amp;"","")</f>
        <v/>
      </c>
      <c r="AJ2238" s="54">
        <f>IF(AND(AF2238=1,AE2238&gt;=set_FYStart,AE2238&lt;=set_AsAt),1,0)</f>
        <v/>
      </c>
      <c r="AK2238" s="54">
        <f>IF(AND(AJ2238=1,AH2238&lt;&gt;"",COUNTIFS($AH$2:AH2238,AH2238,$AJ$2:AJ2238,1)=1),N(AL2237)+1,"")</f>
        <v/>
      </c>
      <c r="AL2238" s="54">
        <f>IF(AK2238&lt;&gt;"",AK2238,N(AL2237))</f>
        <v/>
      </c>
    </row>
    <row r="2239">
      <c r="A2239" t="inlineStr">
        <is>
          <t>CON-0746</t>
        </is>
      </c>
      <c r="B2239" t="inlineStr">
        <is>
          <t>Consulting</t>
        </is>
      </c>
      <c r="AB2239" t="n">
        <v>746</v>
      </c>
      <c r="AD2239" s="52">
        <f>IFERROR(N(IFERROR(INDEX($A2239:$AB2239,MATCH("Xero Invoiced Ex GST",$A$1:$AB$1,0)),"")),0)</f>
        <v/>
      </c>
      <c r="AE2239" s="53">
        <f>IFERROR(INDEX($A2239:$AB2239,MATCH("Xero Invoice Date",$A$1:$AB$1,0)),"")</f>
        <v/>
      </c>
      <c r="AF2239" s="54">
        <f>IF(AND(IFERROR(INDEX($A2239:$AB2239,MATCH("Xero Invoice No",$A$1:$AB$1,0)),"")&amp;""&lt;&gt;"",ISNUMBER(AE2239),AD2239&lt;&gt;0),1,0)</f>
        <v/>
      </c>
      <c r="AG2239" s="55">
        <f>IF(AF2239=1,EOMONTH(AE2239,0),"")</f>
        <v/>
      </c>
      <c r="AH2239" s="9">
        <f>IF(AF2239=1,UPPER(TRIM(IFERROR(INDEX($A2239:$AB2239,MATCH("Client",$A$1:$AB$1,0)),"")&amp;"")),"")</f>
        <v/>
      </c>
      <c r="AI2239" s="9">
        <f>IF(AF2239=1,IFERROR(INDEX($A2239:$AB2239,MATCH("Cost Centre",$A$1:$AB$1,0)),"")&amp;"","")</f>
        <v/>
      </c>
      <c r="AJ2239" s="54">
        <f>IF(AND(AF2239=1,AE2239&gt;=set_FYStart,AE2239&lt;=set_AsAt),1,0)</f>
        <v/>
      </c>
      <c r="AK2239" s="54">
        <f>IF(AND(AJ2239=1,AH2239&lt;&gt;"",COUNTIFS($AH$2:AH2239,AH2239,$AJ$2:AJ2239,1)=1),N(AL2238)+1,"")</f>
        <v/>
      </c>
      <c r="AL2239" s="54">
        <f>IF(AK2239&lt;&gt;"",AK2239,N(AL2238))</f>
        <v/>
      </c>
    </row>
    <row r="2240">
      <c r="A2240" t="inlineStr">
        <is>
          <t>ONS-0747</t>
        </is>
      </c>
      <c r="B2240" t="inlineStr">
        <is>
          <t>Onsite</t>
        </is>
      </c>
      <c r="AB2240" t="n">
        <v>747</v>
      </c>
      <c r="AD2240" s="52">
        <f>IFERROR(N(IFERROR(INDEX($A2240:$AB2240,MATCH("Xero Invoiced Ex GST",$A$1:$AB$1,0)),"")),0)</f>
        <v/>
      </c>
      <c r="AE2240" s="53">
        <f>IFERROR(INDEX($A2240:$AB2240,MATCH("Xero Invoice Date",$A$1:$AB$1,0)),"")</f>
        <v/>
      </c>
      <c r="AF2240" s="54">
        <f>IF(AND(IFERROR(INDEX($A2240:$AB2240,MATCH("Xero Invoice No",$A$1:$AB$1,0)),"")&amp;""&lt;&gt;"",ISNUMBER(AE2240),AD2240&lt;&gt;0),1,0)</f>
        <v/>
      </c>
      <c r="AG2240" s="55">
        <f>IF(AF2240=1,EOMONTH(AE2240,0),"")</f>
        <v/>
      </c>
      <c r="AH2240" s="9">
        <f>IF(AF2240=1,UPPER(TRIM(IFERROR(INDEX($A2240:$AB2240,MATCH("Client",$A$1:$AB$1,0)),"")&amp;"")),"")</f>
        <v/>
      </c>
      <c r="AI2240" s="9">
        <f>IF(AF2240=1,IFERROR(INDEX($A2240:$AB2240,MATCH("Cost Centre",$A$1:$AB$1,0)),"")&amp;"","")</f>
        <v/>
      </c>
      <c r="AJ2240" s="54">
        <f>IF(AND(AF2240=1,AE2240&gt;=set_FYStart,AE2240&lt;=set_AsAt),1,0)</f>
        <v/>
      </c>
      <c r="AK2240" s="54">
        <f>IF(AND(AJ2240=1,AH2240&lt;&gt;"",COUNTIFS($AH$2:AH2240,AH2240,$AJ$2:AJ2240,1)=1),N(AL2239)+1,"")</f>
        <v/>
      </c>
      <c r="AL2240" s="54">
        <f>IF(AK2240&lt;&gt;"",AK2240,N(AL2239))</f>
        <v/>
      </c>
    </row>
    <row r="2241">
      <c r="A2241" t="inlineStr">
        <is>
          <t>PRD-0747</t>
        </is>
      </c>
      <c r="B2241" t="inlineStr">
        <is>
          <t>Production</t>
        </is>
      </c>
      <c r="AB2241" t="n">
        <v>747</v>
      </c>
      <c r="AD2241" s="52">
        <f>IFERROR(N(IFERROR(INDEX($A2241:$AB2241,MATCH("Xero Invoiced Ex GST",$A$1:$AB$1,0)),"")),0)</f>
        <v/>
      </c>
      <c r="AE2241" s="53">
        <f>IFERROR(INDEX($A2241:$AB2241,MATCH("Xero Invoice Date",$A$1:$AB$1,0)),"")</f>
        <v/>
      </c>
      <c r="AF2241" s="54">
        <f>IF(AND(IFERROR(INDEX($A2241:$AB2241,MATCH("Xero Invoice No",$A$1:$AB$1,0)),"")&amp;""&lt;&gt;"",ISNUMBER(AE2241),AD2241&lt;&gt;0),1,0)</f>
        <v/>
      </c>
      <c r="AG2241" s="55">
        <f>IF(AF2241=1,EOMONTH(AE2241,0),"")</f>
        <v/>
      </c>
      <c r="AH2241" s="9">
        <f>IF(AF2241=1,UPPER(TRIM(IFERROR(INDEX($A2241:$AB2241,MATCH("Client",$A$1:$AB$1,0)),"")&amp;"")),"")</f>
        <v/>
      </c>
      <c r="AI2241" s="9">
        <f>IF(AF2241=1,IFERROR(INDEX($A2241:$AB2241,MATCH("Cost Centre",$A$1:$AB$1,0)),"")&amp;"","")</f>
        <v/>
      </c>
      <c r="AJ2241" s="54">
        <f>IF(AND(AF2241=1,AE2241&gt;=set_FYStart,AE2241&lt;=set_AsAt),1,0)</f>
        <v/>
      </c>
      <c r="AK2241" s="54">
        <f>IF(AND(AJ2241=1,AH2241&lt;&gt;"",COUNTIFS($AH$2:AH2241,AH2241,$AJ$2:AJ2241,1)=1),N(AL2240)+1,"")</f>
        <v/>
      </c>
      <c r="AL2241" s="54">
        <f>IF(AK2241&lt;&gt;"",AK2241,N(AL2240))</f>
        <v/>
      </c>
    </row>
    <row r="2242">
      <c r="A2242" t="inlineStr">
        <is>
          <t>CON-0747</t>
        </is>
      </c>
      <c r="B2242" t="inlineStr">
        <is>
          <t>Consulting</t>
        </is>
      </c>
      <c r="AB2242" t="n">
        <v>747</v>
      </c>
      <c r="AD2242" s="52">
        <f>IFERROR(N(IFERROR(INDEX($A2242:$AB2242,MATCH("Xero Invoiced Ex GST",$A$1:$AB$1,0)),"")),0)</f>
        <v/>
      </c>
      <c r="AE2242" s="53">
        <f>IFERROR(INDEX($A2242:$AB2242,MATCH("Xero Invoice Date",$A$1:$AB$1,0)),"")</f>
        <v/>
      </c>
      <c r="AF2242" s="54">
        <f>IF(AND(IFERROR(INDEX($A2242:$AB2242,MATCH("Xero Invoice No",$A$1:$AB$1,0)),"")&amp;""&lt;&gt;"",ISNUMBER(AE2242),AD2242&lt;&gt;0),1,0)</f>
        <v/>
      </c>
      <c r="AG2242" s="55">
        <f>IF(AF2242=1,EOMONTH(AE2242,0),"")</f>
        <v/>
      </c>
      <c r="AH2242" s="9">
        <f>IF(AF2242=1,UPPER(TRIM(IFERROR(INDEX($A2242:$AB2242,MATCH("Client",$A$1:$AB$1,0)),"")&amp;"")),"")</f>
        <v/>
      </c>
      <c r="AI2242" s="9">
        <f>IF(AF2242=1,IFERROR(INDEX($A2242:$AB2242,MATCH("Cost Centre",$A$1:$AB$1,0)),"")&amp;"","")</f>
        <v/>
      </c>
      <c r="AJ2242" s="54">
        <f>IF(AND(AF2242=1,AE2242&gt;=set_FYStart,AE2242&lt;=set_AsAt),1,0)</f>
        <v/>
      </c>
      <c r="AK2242" s="54">
        <f>IF(AND(AJ2242=1,AH2242&lt;&gt;"",COUNTIFS($AH$2:AH2242,AH2242,$AJ$2:AJ2242,1)=1),N(AL2241)+1,"")</f>
        <v/>
      </c>
      <c r="AL2242" s="54">
        <f>IF(AK2242&lt;&gt;"",AK2242,N(AL2241))</f>
        <v/>
      </c>
    </row>
    <row r="2243">
      <c r="A2243" t="inlineStr">
        <is>
          <t>ONS-0748</t>
        </is>
      </c>
      <c r="B2243" t="inlineStr">
        <is>
          <t>Onsite</t>
        </is>
      </c>
      <c r="AB2243" t="n">
        <v>748</v>
      </c>
      <c r="AD2243" s="52">
        <f>IFERROR(N(IFERROR(INDEX($A2243:$AB2243,MATCH("Xero Invoiced Ex GST",$A$1:$AB$1,0)),"")),0)</f>
        <v/>
      </c>
      <c r="AE2243" s="53">
        <f>IFERROR(INDEX($A2243:$AB2243,MATCH("Xero Invoice Date",$A$1:$AB$1,0)),"")</f>
        <v/>
      </c>
      <c r="AF2243" s="54">
        <f>IF(AND(IFERROR(INDEX($A2243:$AB2243,MATCH("Xero Invoice No",$A$1:$AB$1,0)),"")&amp;""&lt;&gt;"",ISNUMBER(AE2243),AD2243&lt;&gt;0),1,0)</f>
        <v/>
      </c>
      <c r="AG2243" s="55">
        <f>IF(AF2243=1,EOMONTH(AE2243,0),"")</f>
        <v/>
      </c>
      <c r="AH2243" s="9">
        <f>IF(AF2243=1,UPPER(TRIM(IFERROR(INDEX($A2243:$AB2243,MATCH("Client",$A$1:$AB$1,0)),"")&amp;"")),"")</f>
        <v/>
      </c>
      <c r="AI2243" s="9">
        <f>IF(AF2243=1,IFERROR(INDEX($A2243:$AB2243,MATCH("Cost Centre",$A$1:$AB$1,0)),"")&amp;"","")</f>
        <v/>
      </c>
      <c r="AJ2243" s="54">
        <f>IF(AND(AF2243=1,AE2243&gt;=set_FYStart,AE2243&lt;=set_AsAt),1,0)</f>
        <v/>
      </c>
      <c r="AK2243" s="54">
        <f>IF(AND(AJ2243=1,AH2243&lt;&gt;"",COUNTIFS($AH$2:AH2243,AH2243,$AJ$2:AJ2243,1)=1),N(AL2242)+1,"")</f>
        <v/>
      </c>
      <c r="AL2243" s="54">
        <f>IF(AK2243&lt;&gt;"",AK2243,N(AL2242))</f>
        <v/>
      </c>
    </row>
    <row r="2244">
      <c r="A2244" t="inlineStr">
        <is>
          <t>PRD-0748</t>
        </is>
      </c>
      <c r="B2244" t="inlineStr">
        <is>
          <t>Production</t>
        </is>
      </c>
      <c r="AB2244" t="n">
        <v>748</v>
      </c>
      <c r="AD2244" s="52">
        <f>IFERROR(N(IFERROR(INDEX($A2244:$AB2244,MATCH("Xero Invoiced Ex GST",$A$1:$AB$1,0)),"")),0)</f>
        <v/>
      </c>
      <c r="AE2244" s="53">
        <f>IFERROR(INDEX($A2244:$AB2244,MATCH("Xero Invoice Date",$A$1:$AB$1,0)),"")</f>
        <v/>
      </c>
      <c r="AF2244" s="54">
        <f>IF(AND(IFERROR(INDEX($A2244:$AB2244,MATCH("Xero Invoice No",$A$1:$AB$1,0)),"")&amp;""&lt;&gt;"",ISNUMBER(AE2244),AD2244&lt;&gt;0),1,0)</f>
        <v/>
      </c>
      <c r="AG2244" s="55">
        <f>IF(AF2244=1,EOMONTH(AE2244,0),"")</f>
        <v/>
      </c>
      <c r="AH2244" s="9">
        <f>IF(AF2244=1,UPPER(TRIM(IFERROR(INDEX($A2244:$AB2244,MATCH("Client",$A$1:$AB$1,0)),"")&amp;"")),"")</f>
        <v/>
      </c>
      <c r="AI2244" s="9">
        <f>IF(AF2244=1,IFERROR(INDEX($A2244:$AB2244,MATCH("Cost Centre",$A$1:$AB$1,0)),"")&amp;"","")</f>
        <v/>
      </c>
      <c r="AJ2244" s="54">
        <f>IF(AND(AF2244=1,AE2244&gt;=set_FYStart,AE2244&lt;=set_AsAt),1,0)</f>
        <v/>
      </c>
      <c r="AK2244" s="54">
        <f>IF(AND(AJ2244=1,AH2244&lt;&gt;"",COUNTIFS($AH$2:AH2244,AH2244,$AJ$2:AJ2244,1)=1),N(AL2243)+1,"")</f>
        <v/>
      </c>
      <c r="AL2244" s="54">
        <f>IF(AK2244&lt;&gt;"",AK2244,N(AL2243))</f>
        <v/>
      </c>
    </row>
    <row r="2245">
      <c r="A2245" t="inlineStr">
        <is>
          <t>CON-0748</t>
        </is>
      </c>
      <c r="B2245" t="inlineStr">
        <is>
          <t>Consulting</t>
        </is>
      </c>
      <c r="AB2245" t="n">
        <v>748</v>
      </c>
      <c r="AD2245" s="52">
        <f>IFERROR(N(IFERROR(INDEX($A2245:$AB2245,MATCH("Xero Invoiced Ex GST",$A$1:$AB$1,0)),"")),0)</f>
        <v/>
      </c>
      <c r="AE2245" s="53">
        <f>IFERROR(INDEX($A2245:$AB2245,MATCH("Xero Invoice Date",$A$1:$AB$1,0)),"")</f>
        <v/>
      </c>
      <c r="AF2245" s="54">
        <f>IF(AND(IFERROR(INDEX($A2245:$AB2245,MATCH("Xero Invoice No",$A$1:$AB$1,0)),"")&amp;""&lt;&gt;"",ISNUMBER(AE2245),AD2245&lt;&gt;0),1,0)</f>
        <v/>
      </c>
      <c r="AG2245" s="55">
        <f>IF(AF2245=1,EOMONTH(AE2245,0),"")</f>
        <v/>
      </c>
      <c r="AH2245" s="9">
        <f>IF(AF2245=1,UPPER(TRIM(IFERROR(INDEX($A2245:$AB2245,MATCH("Client",$A$1:$AB$1,0)),"")&amp;"")),"")</f>
        <v/>
      </c>
      <c r="AI2245" s="9">
        <f>IF(AF2245=1,IFERROR(INDEX($A2245:$AB2245,MATCH("Cost Centre",$A$1:$AB$1,0)),"")&amp;"","")</f>
        <v/>
      </c>
      <c r="AJ2245" s="54">
        <f>IF(AND(AF2245=1,AE2245&gt;=set_FYStart,AE2245&lt;=set_AsAt),1,0)</f>
        <v/>
      </c>
      <c r="AK2245" s="54">
        <f>IF(AND(AJ2245=1,AH2245&lt;&gt;"",COUNTIFS($AH$2:AH2245,AH2245,$AJ$2:AJ2245,1)=1),N(AL2244)+1,"")</f>
        <v/>
      </c>
      <c r="AL2245" s="54">
        <f>IF(AK2245&lt;&gt;"",AK2245,N(AL2244))</f>
        <v/>
      </c>
    </row>
    <row r="2246">
      <c r="A2246" t="inlineStr">
        <is>
          <t>ONS-0749</t>
        </is>
      </c>
      <c r="B2246" t="inlineStr">
        <is>
          <t>Onsite</t>
        </is>
      </c>
      <c r="AB2246" t="n">
        <v>749</v>
      </c>
      <c r="AD2246" s="52">
        <f>IFERROR(N(IFERROR(INDEX($A2246:$AB2246,MATCH("Xero Invoiced Ex GST",$A$1:$AB$1,0)),"")),0)</f>
        <v/>
      </c>
      <c r="AE2246" s="53">
        <f>IFERROR(INDEX($A2246:$AB2246,MATCH("Xero Invoice Date",$A$1:$AB$1,0)),"")</f>
        <v/>
      </c>
      <c r="AF2246" s="54">
        <f>IF(AND(IFERROR(INDEX($A2246:$AB2246,MATCH("Xero Invoice No",$A$1:$AB$1,0)),"")&amp;""&lt;&gt;"",ISNUMBER(AE2246),AD2246&lt;&gt;0),1,0)</f>
        <v/>
      </c>
      <c r="AG2246" s="55">
        <f>IF(AF2246=1,EOMONTH(AE2246,0),"")</f>
        <v/>
      </c>
      <c r="AH2246" s="9">
        <f>IF(AF2246=1,UPPER(TRIM(IFERROR(INDEX($A2246:$AB2246,MATCH("Client",$A$1:$AB$1,0)),"")&amp;"")),"")</f>
        <v/>
      </c>
      <c r="AI2246" s="9">
        <f>IF(AF2246=1,IFERROR(INDEX($A2246:$AB2246,MATCH("Cost Centre",$A$1:$AB$1,0)),"")&amp;"","")</f>
        <v/>
      </c>
      <c r="AJ2246" s="54">
        <f>IF(AND(AF2246=1,AE2246&gt;=set_FYStart,AE2246&lt;=set_AsAt),1,0)</f>
        <v/>
      </c>
      <c r="AK2246" s="54">
        <f>IF(AND(AJ2246=1,AH2246&lt;&gt;"",COUNTIFS($AH$2:AH2246,AH2246,$AJ$2:AJ2246,1)=1),N(AL2245)+1,"")</f>
        <v/>
      </c>
      <c r="AL2246" s="54">
        <f>IF(AK2246&lt;&gt;"",AK2246,N(AL2245))</f>
        <v/>
      </c>
    </row>
    <row r="2247">
      <c r="A2247" t="inlineStr">
        <is>
          <t>PRD-0749</t>
        </is>
      </c>
      <c r="B2247" t="inlineStr">
        <is>
          <t>Production</t>
        </is>
      </c>
      <c r="AB2247" t="n">
        <v>749</v>
      </c>
      <c r="AD2247" s="52">
        <f>IFERROR(N(IFERROR(INDEX($A2247:$AB2247,MATCH("Xero Invoiced Ex GST",$A$1:$AB$1,0)),"")),0)</f>
        <v/>
      </c>
      <c r="AE2247" s="53">
        <f>IFERROR(INDEX($A2247:$AB2247,MATCH("Xero Invoice Date",$A$1:$AB$1,0)),"")</f>
        <v/>
      </c>
      <c r="AF2247" s="54">
        <f>IF(AND(IFERROR(INDEX($A2247:$AB2247,MATCH("Xero Invoice No",$A$1:$AB$1,0)),"")&amp;""&lt;&gt;"",ISNUMBER(AE2247),AD2247&lt;&gt;0),1,0)</f>
        <v/>
      </c>
      <c r="AG2247" s="55">
        <f>IF(AF2247=1,EOMONTH(AE2247,0),"")</f>
        <v/>
      </c>
      <c r="AH2247" s="9">
        <f>IF(AF2247=1,UPPER(TRIM(IFERROR(INDEX($A2247:$AB2247,MATCH("Client",$A$1:$AB$1,0)),"")&amp;"")),"")</f>
        <v/>
      </c>
      <c r="AI2247" s="9">
        <f>IF(AF2247=1,IFERROR(INDEX($A2247:$AB2247,MATCH("Cost Centre",$A$1:$AB$1,0)),"")&amp;"","")</f>
        <v/>
      </c>
      <c r="AJ2247" s="54">
        <f>IF(AND(AF2247=1,AE2247&gt;=set_FYStart,AE2247&lt;=set_AsAt),1,0)</f>
        <v/>
      </c>
      <c r="AK2247" s="54">
        <f>IF(AND(AJ2247=1,AH2247&lt;&gt;"",COUNTIFS($AH$2:AH2247,AH2247,$AJ$2:AJ2247,1)=1),N(AL2246)+1,"")</f>
        <v/>
      </c>
      <c r="AL2247" s="54">
        <f>IF(AK2247&lt;&gt;"",AK2247,N(AL2246))</f>
        <v/>
      </c>
    </row>
    <row r="2248">
      <c r="A2248" t="inlineStr">
        <is>
          <t>CON-0749</t>
        </is>
      </c>
      <c r="B2248" t="inlineStr">
        <is>
          <t>Consulting</t>
        </is>
      </c>
      <c r="AB2248" t="n">
        <v>749</v>
      </c>
      <c r="AD2248" s="52">
        <f>IFERROR(N(IFERROR(INDEX($A2248:$AB2248,MATCH("Xero Invoiced Ex GST",$A$1:$AB$1,0)),"")),0)</f>
        <v/>
      </c>
      <c r="AE2248" s="53">
        <f>IFERROR(INDEX($A2248:$AB2248,MATCH("Xero Invoice Date",$A$1:$AB$1,0)),"")</f>
        <v/>
      </c>
      <c r="AF2248" s="54">
        <f>IF(AND(IFERROR(INDEX($A2248:$AB2248,MATCH("Xero Invoice No",$A$1:$AB$1,0)),"")&amp;""&lt;&gt;"",ISNUMBER(AE2248),AD2248&lt;&gt;0),1,0)</f>
        <v/>
      </c>
      <c r="AG2248" s="55">
        <f>IF(AF2248=1,EOMONTH(AE2248,0),"")</f>
        <v/>
      </c>
      <c r="AH2248" s="9">
        <f>IF(AF2248=1,UPPER(TRIM(IFERROR(INDEX($A2248:$AB2248,MATCH("Client",$A$1:$AB$1,0)),"")&amp;"")),"")</f>
        <v/>
      </c>
      <c r="AI2248" s="9">
        <f>IF(AF2248=1,IFERROR(INDEX($A2248:$AB2248,MATCH("Cost Centre",$A$1:$AB$1,0)),"")&amp;"","")</f>
        <v/>
      </c>
      <c r="AJ2248" s="54">
        <f>IF(AND(AF2248=1,AE2248&gt;=set_FYStart,AE2248&lt;=set_AsAt),1,0)</f>
        <v/>
      </c>
      <c r="AK2248" s="54">
        <f>IF(AND(AJ2248=1,AH2248&lt;&gt;"",COUNTIFS($AH$2:AH2248,AH2248,$AJ$2:AJ2248,1)=1),N(AL2247)+1,"")</f>
        <v/>
      </c>
      <c r="AL2248" s="54">
        <f>IF(AK2248&lt;&gt;"",AK2248,N(AL2247))</f>
        <v/>
      </c>
    </row>
    <row r="2249">
      <c r="A2249" t="inlineStr">
        <is>
          <t>ONS-0750</t>
        </is>
      </c>
      <c r="B2249" t="inlineStr">
        <is>
          <t>Onsite</t>
        </is>
      </c>
      <c r="AB2249" t="n">
        <v>750</v>
      </c>
      <c r="AD2249" s="52">
        <f>IFERROR(N(IFERROR(INDEX($A2249:$AB2249,MATCH("Xero Invoiced Ex GST",$A$1:$AB$1,0)),"")),0)</f>
        <v/>
      </c>
      <c r="AE2249" s="53">
        <f>IFERROR(INDEX($A2249:$AB2249,MATCH("Xero Invoice Date",$A$1:$AB$1,0)),"")</f>
        <v/>
      </c>
      <c r="AF2249" s="54">
        <f>IF(AND(IFERROR(INDEX($A2249:$AB2249,MATCH("Xero Invoice No",$A$1:$AB$1,0)),"")&amp;""&lt;&gt;"",ISNUMBER(AE2249),AD2249&lt;&gt;0),1,0)</f>
        <v/>
      </c>
      <c r="AG2249" s="55">
        <f>IF(AF2249=1,EOMONTH(AE2249,0),"")</f>
        <v/>
      </c>
      <c r="AH2249" s="9">
        <f>IF(AF2249=1,UPPER(TRIM(IFERROR(INDEX($A2249:$AB2249,MATCH("Client",$A$1:$AB$1,0)),"")&amp;"")),"")</f>
        <v/>
      </c>
      <c r="AI2249" s="9">
        <f>IF(AF2249=1,IFERROR(INDEX($A2249:$AB2249,MATCH("Cost Centre",$A$1:$AB$1,0)),"")&amp;"","")</f>
        <v/>
      </c>
      <c r="AJ2249" s="54">
        <f>IF(AND(AF2249=1,AE2249&gt;=set_FYStart,AE2249&lt;=set_AsAt),1,0)</f>
        <v/>
      </c>
      <c r="AK2249" s="54">
        <f>IF(AND(AJ2249=1,AH2249&lt;&gt;"",COUNTIFS($AH$2:AH2249,AH2249,$AJ$2:AJ2249,1)=1),N(AL2248)+1,"")</f>
        <v/>
      </c>
      <c r="AL2249" s="54">
        <f>IF(AK2249&lt;&gt;"",AK2249,N(AL2248))</f>
        <v/>
      </c>
    </row>
    <row r="2250">
      <c r="A2250" t="inlineStr">
        <is>
          <t>PRD-0750</t>
        </is>
      </c>
      <c r="B2250" t="inlineStr">
        <is>
          <t>Production</t>
        </is>
      </c>
      <c r="AB2250" t="n">
        <v>750</v>
      </c>
      <c r="AD2250" s="52">
        <f>IFERROR(N(IFERROR(INDEX($A2250:$AB2250,MATCH("Xero Invoiced Ex GST",$A$1:$AB$1,0)),"")),0)</f>
        <v/>
      </c>
      <c r="AE2250" s="53">
        <f>IFERROR(INDEX($A2250:$AB2250,MATCH("Xero Invoice Date",$A$1:$AB$1,0)),"")</f>
        <v/>
      </c>
      <c r="AF2250" s="54">
        <f>IF(AND(IFERROR(INDEX($A2250:$AB2250,MATCH("Xero Invoice No",$A$1:$AB$1,0)),"")&amp;""&lt;&gt;"",ISNUMBER(AE2250),AD2250&lt;&gt;0),1,0)</f>
        <v/>
      </c>
      <c r="AG2250" s="55">
        <f>IF(AF2250=1,EOMONTH(AE2250,0),"")</f>
        <v/>
      </c>
      <c r="AH2250" s="9">
        <f>IF(AF2250=1,UPPER(TRIM(IFERROR(INDEX($A2250:$AB2250,MATCH("Client",$A$1:$AB$1,0)),"")&amp;"")),"")</f>
        <v/>
      </c>
      <c r="AI2250" s="9">
        <f>IF(AF2250=1,IFERROR(INDEX($A2250:$AB2250,MATCH("Cost Centre",$A$1:$AB$1,0)),"")&amp;"","")</f>
        <v/>
      </c>
      <c r="AJ2250" s="54">
        <f>IF(AND(AF2250=1,AE2250&gt;=set_FYStart,AE2250&lt;=set_AsAt),1,0)</f>
        <v/>
      </c>
      <c r="AK2250" s="54">
        <f>IF(AND(AJ2250=1,AH2250&lt;&gt;"",COUNTIFS($AH$2:AH2250,AH2250,$AJ$2:AJ2250,1)=1),N(AL2249)+1,"")</f>
        <v/>
      </c>
      <c r="AL2250" s="54">
        <f>IF(AK2250&lt;&gt;"",AK2250,N(AL2249))</f>
        <v/>
      </c>
    </row>
    <row r="2251">
      <c r="A2251" t="inlineStr">
        <is>
          <t>CON-0750</t>
        </is>
      </c>
      <c r="B2251" t="inlineStr">
        <is>
          <t>Consulting</t>
        </is>
      </c>
      <c r="AB2251" t="n">
        <v>750</v>
      </c>
      <c r="AD2251" s="52">
        <f>IFERROR(N(IFERROR(INDEX($A2251:$AB2251,MATCH("Xero Invoiced Ex GST",$A$1:$AB$1,0)),"")),0)</f>
        <v/>
      </c>
      <c r="AE2251" s="53">
        <f>IFERROR(INDEX($A2251:$AB2251,MATCH("Xero Invoice Date",$A$1:$AB$1,0)),"")</f>
        <v/>
      </c>
      <c r="AF2251" s="54">
        <f>IF(AND(IFERROR(INDEX($A2251:$AB2251,MATCH("Xero Invoice No",$A$1:$AB$1,0)),"")&amp;""&lt;&gt;"",ISNUMBER(AE2251),AD2251&lt;&gt;0),1,0)</f>
        <v/>
      </c>
      <c r="AG2251" s="55">
        <f>IF(AF2251=1,EOMONTH(AE2251,0),"")</f>
        <v/>
      </c>
      <c r="AH2251" s="9">
        <f>IF(AF2251=1,UPPER(TRIM(IFERROR(INDEX($A2251:$AB2251,MATCH("Client",$A$1:$AB$1,0)),"")&amp;"")),"")</f>
        <v/>
      </c>
      <c r="AI2251" s="9">
        <f>IF(AF2251=1,IFERROR(INDEX($A2251:$AB2251,MATCH("Cost Centre",$A$1:$AB$1,0)),"")&amp;"","")</f>
        <v/>
      </c>
      <c r="AJ2251" s="54">
        <f>IF(AND(AF2251=1,AE2251&gt;=set_FYStart,AE2251&lt;=set_AsAt),1,0)</f>
        <v/>
      </c>
      <c r="AK2251" s="54">
        <f>IF(AND(AJ2251=1,AH2251&lt;&gt;"",COUNTIFS($AH$2:AH2251,AH2251,$AJ$2:AJ2251,1)=1),N(AL2250)+1,"")</f>
        <v/>
      </c>
      <c r="AL2251" s="54">
        <f>IF(AK2251&lt;&gt;"",AK2251,N(AL2250))</f>
        <v/>
      </c>
    </row>
    <row r="2252">
      <c r="A2252" t="inlineStr">
        <is>
          <t>ONS-0751</t>
        </is>
      </c>
      <c r="B2252" t="inlineStr">
        <is>
          <t>Onsite</t>
        </is>
      </c>
      <c r="AB2252" t="n">
        <v>751</v>
      </c>
      <c r="AD2252" s="52">
        <f>IFERROR(N(IFERROR(INDEX($A2252:$AB2252,MATCH("Xero Invoiced Ex GST",$A$1:$AB$1,0)),"")),0)</f>
        <v/>
      </c>
      <c r="AE2252" s="53">
        <f>IFERROR(INDEX($A2252:$AB2252,MATCH("Xero Invoice Date",$A$1:$AB$1,0)),"")</f>
        <v/>
      </c>
      <c r="AF2252" s="54">
        <f>IF(AND(IFERROR(INDEX($A2252:$AB2252,MATCH("Xero Invoice No",$A$1:$AB$1,0)),"")&amp;""&lt;&gt;"",ISNUMBER(AE2252),AD2252&lt;&gt;0),1,0)</f>
        <v/>
      </c>
      <c r="AG2252" s="55">
        <f>IF(AF2252=1,EOMONTH(AE2252,0),"")</f>
        <v/>
      </c>
      <c r="AH2252" s="9">
        <f>IF(AF2252=1,UPPER(TRIM(IFERROR(INDEX($A2252:$AB2252,MATCH("Client",$A$1:$AB$1,0)),"")&amp;"")),"")</f>
        <v/>
      </c>
      <c r="AI2252" s="9">
        <f>IF(AF2252=1,IFERROR(INDEX($A2252:$AB2252,MATCH("Cost Centre",$A$1:$AB$1,0)),"")&amp;"","")</f>
        <v/>
      </c>
      <c r="AJ2252" s="54">
        <f>IF(AND(AF2252=1,AE2252&gt;=set_FYStart,AE2252&lt;=set_AsAt),1,0)</f>
        <v/>
      </c>
      <c r="AK2252" s="54">
        <f>IF(AND(AJ2252=1,AH2252&lt;&gt;"",COUNTIFS($AH$2:AH2252,AH2252,$AJ$2:AJ2252,1)=1),N(AL2251)+1,"")</f>
        <v/>
      </c>
      <c r="AL2252" s="54">
        <f>IF(AK2252&lt;&gt;"",AK2252,N(AL2251))</f>
        <v/>
      </c>
    </row>
    <row r="2253">
      <c r="A2253" t="inlineStr">
        <is>
          <t>PRD-0751</t>
        </is>
      </c>
      <c r="B2253" t="inlineStr">
        <is>
          <t>Production</t>
        </is>
      </c>
      <c r="AB2253" t="n">
        <v>751</v>
      </c>
      <c r="AD2253" s="52">
        <f>IFERROR(N(IFERROR(INDEX($A2253:$AB2253,MATCH("Xero Invoiced Ex GST",$A$1:$AB$1,0)),"")),0)</f>
        <v/>
      </c>
      <c r="AE2253" s="53">
        <f>IFERROR(INDEX($A2253:$AB2253,MATCH("Xero Invoice Date",$A$1:$AB$1,0)),"")</f>
        <v/>
      </c>
      <c r="AF2253" s="54">
        <f>IF(AND(IFERROR(INDEX($A2253:$AB2253,MATCH("Xero Invoice No",$A$1:$AB$1,0)),"")&amp;""&lt;&gt;"",ISNUMBER(AE2253),AD2253&lt;&gt;0),1,0)</f>
        <v/>
      </c>
      <c r="AG2253" s="55">
        <f>IF(AF2253=1,EOMONTH(AE2253,0),"")</f>
        <v/>
      </c>
      <c r="AH2253" s="9">
        <f>IF(AF2253=1,UPPER(TRIM(IFERROR(INDEX($A2253:$AB2253,MATCH("Client",$A$1:$AB$1,0)),"")&amp;"")),"")</f>
        <v/>
      </c>
      <c r="AI2253" s="9">
        <f>IF(AF2253=1,IFERROR(INDEX($A2253:$AB2253,MATCH("Cost Centre",$A$1:$AB$1,0)),"")&amp;"","")</f>
        <v/>
      </c>
      <c r="AJ2253" s="54">
        <f>IF(AND(AF2253=1,AE2253&gt;=set_FYStart,AE2253&lt;=set_AsAt),1,0)</f>
        <v/>
      </c>
      <c r="AK2253" s="54">
        <f>IF(AND(AJ2253=1,AH2253&lt;&gt;"",COUNTIFS($AH$2:AH2253,AH2253,$AJ$2:AJ2253,1)=1),N(AL2252)+1,"")</f>
        <v/>
      </c>
      <c r="AL2253" s="54">
        <f>IF(AK2253&lt;&gt;"",AK2253,N(AL2252))</f>
        <v/>
      </c>
    </row>
    <row r="2254">
      <c r="A2254" t="inlineStr">
        <is>
          <t>CON-0751</t>
        </is>
      </c>
      <c r="B2254" t="inlineStr">
        <is>
          <t>Consulting</t>
        </is>
      </c>
      <c r="AB2254" t="n">
        <v>751</v>
      </c>
      <c r="AD2254" s="52">
        <f>IFERROR(N(IFERROR(INDEX($A2254:$AB2254,MATCH("Xero Invoiced Ex GST",$A$1:$AB$1,0)),"")),0)</f>
        <v/>
      </c>
      <c r="AE2254" s="53">
        <f>IFERROR(INDEX($A2254:$AB2254,MATCH("Xero Invoice Date",$A$1:$AB$1,0)),"")</f>
        <v/>
      </c>
      <c r="AF2254" s="54">
        <f>IF(AND(IFERROR(INDEX($A2254:$AB2254,MATCH("Xero Invoice No",$A$1:$AB$1,0)),"")&amp;""&lt;&gt;"",ISNUMBER(AE2254),AD2254&lt;&gt;0),1,0)</f>
        <v/>
      </c>
      <c r="AG2254" s="55">
        <f>IF(AF2254=1,EOMONTH(AE2254,0),"")</f>
        <v/>
      </c>
      <c r="AH2254" s="9">
        <f>IF(AF2254=1,UPPER(TRIM(IFERROR(INDEX($A2254:$AB2254,MATCH("Client",$A$1:$AB$1,0)),"")&amp;"")),"")</f>
        <v/>
      </c>
      <c r="AI2254" s="9">
        <f>IF(AF2254=1,IFERROR(INDEX($A2254:$AB2254,MATCH("Cost Centre",$A$1:$AB$1,0)),"")&amp;"","")</f>
        <v/>
      </c>
      <c r="AJ2254" s="54">
        <f>IF(AND(AF2254=1,AE2254&gt;=set_FYStart,AE2254&lt;=set_AsAt),1,0)</f>
        <v/>
      </c>
      <c r="AK2254" s="54">
        <f>IF(AND(AJ2254=1,AH2254&lt;&gt;"",COUNTIFS($AH$2:AH2254,AH2254,$AJ$2:AJ2254,1)=1),N(AL2253)+1,"")</f>
        <v/>
      </c>
      <c r="AL2254" s="54">
        <f>IF(AK2254&lt;&gt;"",AK2254,N(AL2253))</f>
        <v/>
      </c>
    </row>
    <row r="2255">
      <c r="A2255" t="inlineStr">
        <is>
          <t>ONS-0752</t>
        </is>
      </c>
      <c r="B2255" t="inlineStr">
        <is>
          <t>Onsite</t>
        </is>
      </c>
      <c r="AB2255" t="n">
        <v>752</v>
      </c>
      <c r="AD2255" s="52">
        <f>IFERROR(N(IFERROR(INDEX($A2255:$AB2255,MATCH("Xero Invoiced Ex GST",$A$1:$AB$1,0)),"")),0)</f>
        <v/>
      </c>
      <c r="AE2255" s="53">
        <f>IFERROR(INDEX($A2255:$AB2255,MATCH("Xero Invoice Date",$A$1:$AB$1,0)),"")</f>
        <v/>
      </c>
      <c r="AF2255" s="54">
        <f>IF(AND(IFERROR(INDEX($A2255:$AB2255,MATCH("Xero Invoice No",$A$1:$AB$1,0)),"")&amp;""&lt;&gt;"",ISNUMBER(AE2255),AD2255&lt;&gt;0),1,0)</f>
        <v/>
      </c>
      <c r="AG2255" s="55">
        <f>IF(AF2255=1,EOMONTH(AE2255,0),"")</f>
        <v/>
      </c>
      <c r="AH2255" s="9">
        <f>IF(AF2255=1,UPPER(TRIM(IFERROR(INDEX($A2255:$AB2255,MATCH("Client",$A$1:$AB$1,0)),"")&amp;"")),"")</f>
        <v/>
      </c>
      <c r="AI2255" s="9">
        <f>IF(AF2255=1,IFERROR(INDEX($A2255:$AB2255,MATCH("Cost Centre",$A$1:$AB$1,0)),"")&amp;"","")</f>
        <v/>
      </c>
      <c r="AJ2255" s="54">
        <f>IF(AND(AF2255=1,AE2255&gt;=set_FYStart,AE2255&lt;=set_AsAt),1,0)</f>
        <v/>
      </c>
      <c r="AK2255" s="54">
        <f>IF(AND(AJ2255=1,AH2255&lt;&gt;"",COUNTIFS($AH$2:AH2255,AH2255,$AJ$2:AJ2255,1)=1),N(AL2254)+1,"")</f>
        <v/>
      </c>
      <c r="AL2255" s="54">
        <f>IF(AK2255&lt;&gt;"",AK2255,N(AL2254))</f>
        <v/>
      </c>
    </row>
    <row r="2256">
      <c r="A2256" t="inlineStr">
        <is>
          <t>PRD-0752</t>
        </is>
      </c>
      <c r="B2256" t="inlineStr">
        <is>
          <t>Production</t>
        </is>
      </c>
      <c r="AB2256" t="n">
        <v>752</v>
      </c>
      <c r="AD2256" s="52">
        <f>IFERROR(N(IFERROR(INDEX($A2256:$AB2256,MATCH("Xero Invoiced Ex GST",$A$1:$AB$1,0)),"")),0)</f>
        <v/>
      </c>
      <c r="AE2256" s="53">
        <f>IFERROR(INDEX($A2256:$AB2256,MATCH("Xero Invoice Date",$A$1:$AB$1,0)),"")</f>
        <v/>
      </c>
      <c r="AF2256" s="54">
        <f>IF(AND(IFERROR(INDEX($A2256:$AB2256,MATCH("Xero Invoice No",$A$1:$AB$1,0)),"")&amp;""&lt;&gt;"",ISNUMBER(AE2256),AD2256&lt;&gt;0),1,0)</f>
        <v/>
      </c>
      <c r="AG2256" s="55">
        <f>IF(AF2256=1,EOMONTH(AE2256,0),"")</f>
        <v/>
      </c>
      <c r="AH2256" s="9">
        <f>IF(AF2256=1,UPPER(TRIM(IFERROR(INDEX($A2256:$AB2256,MATCH("Client",$A$1:$AB$1,0)),"")&amp;"")),"")</f>
        <v/>
      </c>
      <c r="AI2256" s="9">
        <f>IF(AF2256=1,IFERROR(INDEX($A2256:$AB2256,MATCH("Cost Centre",$A$1:$AB$1,0)),"")&amp;"","")</f>
        <v/>
      </c>
      <c r="AJ2256" s="54">
        <f>IF(AND(AF2256=1,AE2256&gt;=set_FYStart,AE2256&lt;=set_AsAt),1,0)</f>
        <v/>
      </c>
      <c r="AK2256" s="54">
        <f>IF(AND(AJ2256=1,AH2256&lt;&gt;"",COUNTIFS($AH$2:AH2256,AH2256,$AJ$2:AJ2256,1)=1),N(AL2255)+1,"")</f>
        <v/>
      </c>
      <c r="AL2256" s="54">
        <f>IF(AK2256&lt;&gt;"",AK2256,N(AL2255))</f>
        <v/>
      </c>
    </row>
    <row r="2257">
      <c r="A2257" t="inlineStr">
        <is>
          <t>CON-0752</t>
        </is>
      </c>
      <c r="B2257" t="inlineStr">
        <is>
          <t>Consulting</t>
        </is>
      </c>
      <c r="AB2257" t="n">
        <v>752</v>
      </c>
      <c r="AD2257" s="52">
        <f>IFERROR(N(IFERROR(INDEX($A2257:$AB2257,MATCH("Xero Invoiced Ex GST",$A$1:$AB$1,0)),"")),0)</f>
        <v/>
      </c>
      <c r="AE2257" s="53">
        <f>IFERROR(INDEX($A2257:$AB2257,MATCH("Xero Invoice Date",$A$1:$AB$1,0)),"")</f>
        <v/>
      </c>
      <c r="AF2257" s="54">
        <f>IF(AND(IFERROR(INDEX($A2257:$AB2257,MATCH("Xero Invoice No",$A$1:$AB$1,0)),"")&amp;""&lt;&gt;"",ISNUMBER(AE2257),AD2257&lt;&gt;0),1,0)</f>
        <v/>
      </c>
      <c r="AG2257" s="55">
        <f>IF(AF2257=1,EOMONTH(AE2257,0),"")</f>
        <v/>
      </c>
      <c r="AH2257" s="9">
        <f>IF(AF2257=1,UPPER(TRIM(IFERROR(INDEX($A2257:$AB2257,MATCH("Client",$A$1:$AB$1,0)),"")&amp;"")),"")</f>
        <v/>
      </c>
      <c r="AI2257" s="9">
        <f>IF(AF2257=1,IFERROR(INDEX($A2257:$AB2257,MATCH("Cost Centre",$A$1:$AB$1,0)),"")&amp;"","")</f>
        <v/>
      </c>
      <c r="AJ2257" s="54">
        <f>IF(AND(AF2257=1,AE2257&gt;=set_FYStart,AE2257&lt;=set_AsAt),1,0)</f>
        <v/>
      </c>
      <c r="AK2257" s="54">
        <f>IF(AND(AJ2257=1,AH2257&lt;&gt;"",COUNTIFS($AH$2:AH2257,AH2257,$AJ$2:AJ2257,1)=1),N(AL2256)+1,"")</f>
        <v/>
      </c>
      <c r="AL2257" s="54">
        <f>IF(AK2257&lt;&gt;"",AK2257,N(AL2256))</f>
        <v/>
      </c>
    </row>
    <row r="2258">
      <c r="A2258" t="inlineStr">
        <is>
          <t>ONS-0753</t>
        </is>
      </c>
      <c r="B2258" t="inlineStr">
        <is>
          <t>Onsite</t>
        </is>
      </c>
      <c r="AB2258" t="n">
        <v>753</v>
      </c>
      <c r="AD2258" s="52">
        <f>IFERROR(N(IFERROR(INDEX($A2258:$AB2258,MATCH("Xero Invoiced Ex GST",$A$1:$AB$1,0)),"")),0)</f>
        <v/>
      </c>
      <c r="AE2258" s="53">
        <f>IFERROR(INDEX($A2258:$AB2258,MATCH("Xero Invoice Date",$A$1:$AB$1,0)),"")</f>
        <v/>
      </c>
      <c r="AF2258" s="54">
        <f>IF(AND(IFERROR(INDEX($A2258:$AB2258,MATCH("Xero Invoice No",$A$1:$AB$1,0)),"")&amp;""&lt;&gt;"",ISNUMBER(AE2258),AD2258&lt;&gt;0),1,0)</f>
        <v/>
      </c>
      <c r="AG2258" s="55">
        <f>IF(AF2258=1,EOMONTH(AE2258,0),"")</f>
        <v/>
      </c>
      <c r="AH2258" s="9">
        <f>IF(AF2258=1,UPPER(TRIM(IFERROR(INDEX($A2258:$AB2258,MATCH("Client",$A$1:$AB$1,0)),"")&amp;"")),"")</f>
        <v/>
      </c>
      <c r="AI2258" s="9">
        <f>IF(AF2258=1,IFERROR(INDEX($A2258:$AB2258,MATCH("Cost Centre",$A$1:$AB$1,0)),"")&amp;"","")</f>
        <v/>
      </c>
      <c r="AJ2258" s="54">
        <f>IF(AND(AF2258=1,AE2258&gt;=set_FYStart,AE2258&lt;=set_AsAt),1,0)</f>
        <v/>
      </c>
      <c r="AK2258" s="54">
        <f>IF(AND(AJ2258=1,AH2258&lt;&gt;"",COUNTIFS($AH$2:AH2258,AH2258,$AJ$2:AJ2258,1)=1),N(AL2257)+1,"")</f>
        <v/>
      </c>
      <c r="AL2258" s="54">
        <f>IF(AK2258&lt;&gt;"",AK2258,N(AL2257))</f>
        <v/>
      </c>
    </row>
    <row r="2259">
      <c r="A2259" t="inlineStr">
        <is>
          <t>PRD-0753</t>
        </is>
      </c>
      <c r="B2259" t="inlineStr">
        <is>
          <t>Production</t>
        </is>
      </c>
      <c r="AB2259" t="n">
        <v>753</v>
      </c>
      <c r="AD2259" s="52">
        <f>IFERROR(N(IFERROR(INDEX($A2259:$AB2259,MATCH("Xero Invoiced Ex GST",$A$1:$AB$1,0)),"")),0)</f>
        <v/>
      </c>
      <c r="AE2259" s="53">
        <f>IFERROR(INDEX($A2259:$AB2259,MATCH("Xero Invoice Date",$A$1:$AB$1,0)),"")</f>
        <v/>
      </c>
      <c r="AF2259" s="54">
        <f>IF(AND(IFERROR(INDEX($A2259:$AB2259,MATCH("Xero Invoice No",$A$1:$AB$1,0)),"")&amp;""&lt;&gt;"",ISNUMBER(AE2259),AD2259&lt;&gt;0),1,0)</f>
        <v/>
      </c>
      <c r="AG2259" s="55">
        <f>IF(AF2259=1,EOMONTH(AE2259,0),"")</f>
        <v/>
      </c>
      <c r="AH2259" s="9">
        <f>IF(AF2259=1,UPPER(TRIM(IFERROR(INDEX($A2259:$AB2259,MATCH("Client",$A$1:$AB$1,0)),"")&amp;"")),"")</f>
        <v/>
      </c>
      <c r="AI2259" s="9">
        <f>IF(AF2259=1,IFERROR(INDEX($A2259:$AB2259,MATCH("Cost Centre",$A$1:$AB$1,0)),"")&amp;"","")</f>
        <v/>
      </c>
      <c r="AJ2259" s="54">
        <f>IF(AND(AF2259=1,AE2259&gt;=set_FYStart,AE2259&lt;=set_AsAt),1,0)</f>
        <v/>
      </c>
      <c r="AK2259" s="54">
        <f>IF(AND(AJ2259=1,AH2259&lt;&gt;"",COUNTIFS($AH$2:AH2259,AH2259,$AJ$2:AJ2259,1)=1),N(AL2258)+1,"")</f>
        <v/>
      </c>
      <c r="AL2259" s="54">
        <f>IF(AK2259&lt;&gt;"",AK2259,N(AL2258))</f>
        <v/>
      </c>
    </row>
    <row r="2260">
      <c r="A2260" t="inlineStr">
        <is>
          <t>CON-0753</t>
        </is>
      </c>
      <c r="B2260" t="inlineStr">
        <is>
          <t>Consulting</t>
        </is>
      </c>
      <c r="AB2260" t="n">
        <v>753</v>
      </c>
      <c r="AD2260" s="52">
        <f>IFERROR(N(IFERROR(INDEX($A2260:$AB2260,MATCH("Xero Invoiced Ex GST",$A$1:$AB$1,0)),"")),0)</f>
        <v/>
      </c>
      <c r="AE2260" s="53">
        <f>IFERROR(INDEX($A2260:$AB2260,MATCH("Xero Invoice Date",$A$1:$AB$1,0)),"")</f>
        <v/>
      </c>
      <c r="AF2260" s="54">
        <f>IF(AND(IFERROR(INDEX($A2260:$AB2260,MATCH("Xero Invoice No",$A$1:$AB$1,0)),"")&amp;""&lt;&gt;"",ISNUMBER(AE2260),AD2260&lt;&gt;0),1,0)</f>
        <v/>
      </c>
      <c r="AG2260" s="55">
        <f>IF(AF2260=1,EOMONTH(AE2260,0),"")</f>
        <v/>
      </c>
      <c r="AH2260" s="9">
        <f>IF(AF2260=1,UPPER(TRIM(IFERROR(INDEX($A2260:$AB2260,MATCH("Client",$A$1:$AB$1,0)),"")&amp;"")),"")</f>
        <v/>
      </c>
      <c r="AI2260" s="9">
        <f>IF(AF2260=1,IFERROR(INDEX($A2260:$AB2260,MATCH("Cost Centre",$A$1:$AB$1,0)),"")&amp;"","")</f>
        <v/>
      </c>
      <c r="AJ2260" s="54">
        <f>IF(AND(AF2260=1,AE2260&gt;=set_FYStart,AE2260&lt;=set_AsAt),1,0)</f>
        <v/>
      </c>
      <c r="AK2260" s="54">
        <f>IF(AND(AJ2260=1,AH2260&lt;&gt;"",COUNTIFS($AH$2:AH2260,AH2260,$AJ$2:AJ2260,1)=1),N(AL2259)+1,"")</f>
        <v/>
      </c>
      <c r="AL2260" s="54">
        <f>IF(AK2260&lt;&gt;"",AK2260,N(AL2259))</f>
        <v/>
      </c>
    </row>
    <row r="2261">
      <c r="A2261" t="inlineStr">
        <is>
          <t>ONS-0754</t>
        </is>
      </c>
      <c r="B2261" t="inlineStr">
        <is>
          <t>Onsite</t>
        </is>
      </c>
      <c r="AB2261" t="n">
        <v>754</v>
      </c>
      <c r="AD2261" s="52">
        <f>IFERROR(N(IFERROR(INDEX($A2261:$AB2261,MATCH("Xero Invoiced Ex GST",$A$1:$AB$1,0)),"")),0)</f>
        <v/>
      </c>
      <c r="AE2261" s="53">
        <f>IFERROR(INDEX($A2261:$AB2261,MATCH("Xero Invoice Date",$A$1:$AB$1,0)),"")</f>
        <v/>
      </c>
      <c r="AF2261" s="54">
        <f>IF(AND(IFERROR(INDEX($A2261:$AB2261,MATCH("Xero Invoice No",$A$1:$AB$1,0)),"")&amp;""&lt;&gt;"",ISNUMBER(AE2261),AD2261&lt;&gt;0),1,0)</f>
        <v/>
      </c>
      <c r="AG2261" s="55">
        <f>IF(AF2261=1,EOMONTH(AE2261,0),"")</f>
        <v/>
      </c>
      <c r="AH2261" s="9">
        <f>IF(AF2261=1,UPPER(TRIM(IFERROR(INDEX($A2261:$AB2261,MATCH("Client",$A$1:$AB$1,0)),"")&amp;"")),"")</f>
        <v/>
      </c>
      <c r="AI2261" s="9">
        <f>IF(AF2261=1,IFERROR(INDEX($A2261:$AB2261,MATCH("Cost Centre",$A$1:$AB$1,0)),"")&amp;"","")</f>
        <v/>
      </c>
      <c r="AJ2261" s="54">
        <f>IF(AND(AF2261=1,AE2261&gt;=set_FYStart,AE2261&lt;=set_AsAt),1,0)</f>
        <v/>
      </c>
      <c r="AK2261" s="54">
        <f>IF(AND(AJ2261=1,AH2261&lt;&gt;"",COUNTIFS($AH$2:AH2261,AH2261,$AJ$2:AJ2261,1)=1),N(AL2260)+1,"")</f>
        <v/>
      </c>
      <c r="AL2261" s="54">
        <f>IF(AK2261&lt;&gt;"",AK2261,N(AL2260))</f>
        <v/>
      </c>
    </row>
    <row r="2262">
      <c r="A2262" t="inlineStr">
        <is>
          <t>PRD-0754</t>
        </is>
      </c>
      <c r="B2262" t="inlineStr">
        <is>
          <t>Production</t>
        </is>
      </c>
      <c r="AB2262" t="n">
        <v>754</v>
      </c>
      <c r="AD2262" s="52">
        <f>IFERROR(N(IFERROR(INDEX($A2262:$AB2262,MATCH("Xero Invoiced Ex GST",$A$1:$AB$1,0)),"")),0)</f>
        <v/>
      </c>
      <c r="AE2262" s="53">
        <f>IFERROR(INDEX($A2262:$AB2262,MATCH("Xero Invoice Date",$A$1:$AB$1,0)),"")</f>
        <v/>
      </c>
      <c r="AF2262" s="54">
        <f>IF(AND(IFERROR(INDEX($A2262:$AB2262,MATCH("Xero Invoice No",$A$1:$AB$1,0)),"")&amp;""&lt;&gt;"",ISNUMBER(AE2262),AD2262&lt;&gt;0),1,0)</f>
        <v/>
      </c>
      <c r="AG2262" s="55">
        <f>IF(AF2262=1,EOMONTH(AE2262,0),"")</f>
        <v/>
      </c>
      <c r="AH2262" s="9">
        <f>IF(AF2262=1,UPPER(TRIM(IFERROR(INDEX($A2262:$AB2262,MATCH("Client",$A$1:$AB$1,0)),"")&amp;"")),"")</f>
        <v/>
      </c>
      <c r="AI2262" s="9">
        <f>IF(AF2262=1,IFERROR(INDEX($A2262:$AB2262,MATCH("Cost Centre",$A$1:$AB$1,0)),"")&amp;"","")</f>
        <v/>
      </c>
      <c r="AJ2262" s="54">
        <f>IF(AND(AF2262=1,AE2262&gt;=set_FYStart,AE2262&lt;=set_AsAt),1,0)</f>
        <v/>
      </c>
      <c r="AK2262" s="54">
        <f>IF(AND(AJ2262=1,AH2262&lt;&gt;"",COUNTIFS($AH$2:AH2262,AH2262,$AJ$2:AJ2262,1)=1),N(AL2261)+1,"")</f>
        <v/>
      </c>
      <c r="AL2262" s="54">
        <f>IF(AK2262&lt;&gt;"",AK2262,N(AL2261))</f>
        <v/>
      </c>
    </row>
    <row r="2263">
      <c r="A2263" t="inlineStr">
        <is>
          <t>CON-0754</t>
        </is>
      </c>
      <c r="B2263" t="inlineStr">
        <is>
          <t>Consulting</t>
        </is>
      </c>
      <c r="AB2263" t="n">
        <v>754</v>
      </c>
      <c r="AD2263" s="52">
        <f>IFERROR(N(IFERROR(INDEX($A2263:$AB2263,MATCH("Xero Invoiced Ex GST",$A$1:$AB$1,0)),"")),0)</f>
        <v/>
      </c>
      <c r="AE2263" s="53">
        <f>IFERROR(INDEX($A2263:$AB2263,MATCH("Xero Invoice Date",$A$1:$AB$1,0)),"")</f>
        <v/>
      </c>
      <c r="AF2263" s="54">
        <f>IF(AND(IFERROR(INDEX($A2263:$AB2263,MATCH("Xero Invoice No",$A$1:$AB$1,0)),"")&amp;""&lt;&gt;"",ISNUMBER(AE2263),AD2263&lt;&gt;0),1,0)</f>
        <v/>
      </c>
      <c r="AG2263" s="55">
        <f>IF(AF2263=1,EOMONTH(AE2263,0),"")</f>
        <v/>
      </c>
      <c r="AH2263" s="9">
        <f>IF(AF2263=1,UPPER(TRIM(IFERROR(INDEX($A2263:$AB2263,MATCH("Client",$A$1:$AB$1,0)),"")&amp;"")),"")</f>
        <v/>
      </c>
      <c r="AI2263" s="9">
        <f>IF(AF2263=1,IFERROR(INDEX($A2263:$AB2263,MATCH("Cost Centre",$A$1:$AB$1,0)),"")&amp;"","")</f>
        <v/>
      </c>
      <c r="AJ2263" s="54">
        <f>IF(AND(AF2263=1,AE2263&gt;=set_FYStart,AE2263&lt;=set_AsAt),1,0)</f>
        <v/>
      </c>
      <c r="AK2263" s="54">
        <f>IF(AND(AJ2263=1,AH2263&lt;&gt;"",COUNTIFS($AH$2:AH2263,AH2263,$AJ$2:AJ2263,1)=1),N(AL2262)+1,"")</f>
        <v/>
      </c>
      <c r="AL2263" s="54">
        <f>IF(AK2263&lt;&gt;"",AK2263,N(AL2262))</f>
        <v/>
      </c>
    </row>
    <row r="2264">
      <c r="A2264" t="inlineStr">
        <is>
          <t>ONS-0755</t>
        </is>
      </c>
      <c r="B2264" t="inlineStr">
        <is>
          <t>Onsite</t>
        </is>
      </c>
      <c r="AB2264" t="n">
        <v>755</v>
      </c>
      <c r="AD2264" s="52">
        <f>IFERROR(N(IFERROR(INDEX($A2264:$AB2264,MATCH("Xero Invoiced Ex GST",$A$1:$AB$1,0)),"")),0)</f>
        <v/>
      </c>
      <c r="AE2264" s="53">
        <f>IFERROR(INDEX($A2264:$AB2264,MATCH("Xero Invoice Date",$A$1:$AB$1,0)),"")</f>
        <v/>
      </c>
      <c r="AF2264" s="54">
        <f>IF(AND(IFERROR(INDEX($A2264:$AB2264,MATCH("Xero Invoice No",$A$1:$AB$1,0)),"")&amp;""&lt;&gt;"",ISNUMBER(AE2264),AD2264&lt;&gt;0),1,0)</f>
        <v/>
      </c>
      <c r="AG2264" s="55">
        <f>IF(AF2264=1,EOMONTH(AE2264,0),"")</f>
        <v/>
      </c>
      <c r="AH2264" s="9">
        <f>IF(AF2264=1,UPPER(TRIM(IFERROR(INDEX($A2264:$AB2264,MATCH("Client",$A$1:$AB$1,0)),"")&amp;"")),"")</f>
        <v/>
      </c>
      <c r="AI2264" s="9">
        <f>IF(AF2264=1,IFERROR(INDEX($A2264:$AB2264,MATCH("Cost Centre",$A$1:$AB$1,0)),"")&amp;"","")</f>
        <v/>
      </c>
      <c r="AJ2264" s="54">
        <f>IF(AND(AF2264=1,AE2264&gt;=set_FYStart,AE2264&lt;=set_AsAt),1,0)</f>
        <v/>
      </c>
      <c r="AK2264" s="54">
        <f>IF(AND(AJ2264=1,AH2264&lt;&gt;"",COUNTIFS($AH$2:AH2264,AH2264,$AJ$2:AJ2264,1)=1),N(AL2263)+1,"")</f>
        <v/>
      </c>
      <c r="AL2264" s="54">
        <f>IF(AK2264&lt;&gt;"",AK2264,N(AL2263))</f>
        <v/>
      </c>
    </row>
    <row r="2265">
      <c r="A2265" t="inlineStr">
        <is>
          <t>PRD-0755</t>
        </is>
      </c>
      <c r="B2265" t="inlineStr">
        <is>
          <t>Production</t>
        </is>
      </c>
      <c r="AB2265" t="n">
        <v>755</v>
      </c>
      <c r="AD2265" s="52">
        <f>IFERROR(N(IFERROR(INDEX($A2265:$AB2265,MATCH("Xero Invoiced Ex GST",$A$1:$AB$1,0)),"")),0)</f>
        <v/>
      </c>
      <c r="AE2265" s="53">
        <f>IFERROR(INDEX($A2265:$AB2265,MATCH("Xero Invoice Date",$A$1:$AB$1,0)),"")</f>
        <v/>
      </c>
      <c r="AF2265" s="54">
        <f>IF(AND(IFERROR(INDEX($A2265:$AB2265,MATCH("Xero Invoice No",$A$1:$AB$1,0)),"")&amp;""&lt;&gt;"",ISNUMBER(AE2265),AD2265&lt;&gt;0),1,0)</f>
        <v/>
      </c>
      <c r="AG2265" s="55">
        <f>IF(AF2265=1,EOMONTH(AE2265,0),"")</f>
        <v/>
      </c>
      <c r="AH2265" s="9">
        <f>IF(AF2265=1,UPPER(TRIM(IFERROR(INDEX($A2265:$AB2265,MATCH("Client",$A$1:$AB$1,0)),"")&amp;"")),"")</f>
        <v/>
      </c>
      <c r="AI2265" s="9">
        <f>IF(AF2265=1,IFERROR(INDEX($A2265:$AB2265,MATCH("Cost Centre",$A$1:$AB$1,0)),"")&amp;"","")</f>
        <v/>
      </c>
      <c r="AJ2265" s="54">
        <f>IF(AND(AF2265=1,AE2265&gt;=set_FYStart,AE2265&lt;=set_AsAt),1,0)</f>
        <v/>
      </c>
      <c r="AK2265" s="54">
        <f>IF(AND(AJ2265=1,AH2265&lt;&gt;"",COUNTIFS($AH$2:AH2265,AH2265,$AJ$2:AJ2265,1)=1),N(AL2264)+1,"")</f>
        <v/>
      </c>
      <c r="AL2265" s="54">
        <f>IF(AK2265&lt;&gt;"",AK2265,N(AL2264))</f>
        <v/>
      </c>
    </row>
    <row r="2266">
      <c r="A2266" t="inlineStr">
        <is>
          <t>CON-0755</t>
        </is>
      </c>
      <c r="B2266" t="inlineStr">
        <is>
          <t>Consulting</t>
        </is>
      </c>
      <c r="AB2266" t="n">
        <v>755</v>
      </c>
      <c r="AD2266" s="52">
        <f>IFERROR(N(IFERROR(INDEX($A2266:$AB2266,MATCH("Xero Invoiced Ex GST",$A$1:$AB$1,0)),"")),0)</f>
        <v/>
      </c>
      <c r="AE2266" s="53">
        <f>IFERROR(INDEX($A2266:$AB2266,MATCH("Xero Invoice Date",$A$1:$AB$1,0)),"")</f>
        <v/>
      </c>
      <c r="AF2266" s="54">
        <f>IF(AND(IFERROR(INDEX($A2266:$AB2266,MATCH("Xero Invoice No",$A$1:$AB$1,0)),"")&amp;""&lt;&gt;"",ISNUMBER(AE2266),AD2266&lt;&gt;0),1,0)</f>
        <v/>
      </c>
      <c r="AG2266" s="55">
        <f>IF(AF2266=1,EOMONTH(AE2266,0),"")</f>
        <v/>
      </c>
      <c r="AH2266" s="9">
        <f>IF(AF2266=1,UPPER(TRIM(IFERROR(INDEX($A2266:$AB2266,MATCH("Client",$A$1:$AB$1,0)),"")&amp;"")),"")</f>
        <v/>
      </c>
      <c r="AI2266" s="9">
        <f>IF(AF2266=1,IFERROR(INDEX($A2266:$AB2266,MATCH("Cost Centre",$A$1:$AB$1,0)),"")&amp;"","")</f>
        <v/>
      </c>
      <c r="AJ2266" s="54">
        <f>IF(AND(AF2266=1,AE2266&gt;=set_FYStart,AE2266&lt;=set_AsAt),1,0)</f>
        <v/>
      </c>
      <c r="AK2266" s="54">
        <f>IF(AND(AJ2266=1,AH2266&lt;&gt;"",COUNTIFS($AH$2:AH2266,AH2266,$AJ$2:AJ2266,1)=1),N(AL2265)+1,"")</f>
        <v/>
      </c>
      <c r="AL2266" s="54">
        <f>IF(AK2266&lt;&gt;"",AK2266,N(AL2265))</f>
        <v/>
      </c>
    </row>
    <row r="2267">
      <c r="A2267" t="inlineStr">
        <is>
          <t>ONS-0756</t>
        </is>
      </c>
      <c r="B2267" t="inlineStr">
        <is>
          <t>Onsite</t>
        </is>
      </c>
      <c r="AB2267" t="n">
        <v>756</v>
      </c>
      <c r="AD2267" s="52">
        <f>IFERROR(N(IFERROR(INDEX($A2267:$AB2267,MATCH("Xero Invoiced Ex GST",$A$1:$AB$1,0)),"")),0)</f>
        <v/>
      </c>
      <c r="AE2267" s="53">
        <f>IFERROR(INDEX($A2267:$AB2267,MATCH("Xero Invoice Date",$A$1:$AB$1,0)),"")</f>
        <v/>
      </c>
      <c r="AF2267" s="54">
        <f>IF(AND(IFERROR(INDEX($A2267:$AB2267,MATCH("Xero Invoice No",$A$1:$AB$1,0)),"")&amp;""&lt;&gt;"",ISNUMBER(AE2267),AD2267&lt;&gt;0),1,0)</f>
        <v/>
      </c>
      <c r="AG2267" s="55">
        <f>IF(AF2267=1,EOMONTH(AE2267,0),"")</f>
        <v/>
      </c>
      <c r="AH2267" s="9">
        <f>IF(AF2267=1,UPPER(TRIM(IFERROR(INDEX($A2267:$AB2267,MATCH("Client",$A$1:$AB$1,0)),"")&amp;"")),"")</f>
        <v/>
      </c>
      <c r="AI2267" s="9">
        <f>IF(AF2267=1,IFERROR(INDEX($A2267:$AB2267,MATCH("Cost Centre",$A$1:$AB$1,0)),"")&amp;"","")</f>
        <v/>
      </c>
      <c r="AJ2267" s="54">
        <f>IF(AND(AF2267=1,AE2267&gt;=set_FYStart,AE2267&lt;=set_AsAt),1,0)</f>
        <v/>
      </c>
      <c r="AK2267" s="54">
        <f>IF(AND(AJ2267=1,AH2267&lt;&gt;"",COUNTIFS($AH$2:AH2267,AH2267,$AJ$2:AJ2267,1)=1),N(AL2266)+1,"")</f>
        <v/>
      </c>
      <c r="AL2267" s="54">
        <f>IF(AK2267&lt;&gt;"",AK2267,N(AL2266))</f>
        <v/>
      </c>
    </row>
    <row r="2268">
      <c r="A2268" t="inlineStr">
        <is>
          <t>PRD-0756</t>
        </is>
      </c>
      <c r="B2268" t="inlineStr">
        <is>
          <t>Production</t>
        </is>
      </c>
      <c r="AB2268" t="n">
        <v>756</v>
      </c>
      <c r="AD2268" s="52">
        <f>IFERROR(N(IFERROR(INDEX($A2268:$AB2268,MATCH("Xero Invoiced Ex GST",$A$1:$AB$1,0)),"")),0)</f>
        <v/>
      </c>
      <c r="AE2268" s="53">
        <f>IFERROR(INDEX($A2268:$AB2268,MATCH("Xero Invoice Date",$A$1:$AB$1,0)),"")</f>
        <v/>
      </c>
      <c r="AF2268" s="54">
        <f>IF(AND(IFERROR(INDEX($A2268:$AB2268,MATCH("Xero Invoice No",$A$1:$AB$1,0)),"")&amp;""&lt;&gt;"",ISNUMBER(AE2268),AD2268&lt;&gt;0),1,0)</f>
        <v/>
      </c>
      <c r="AG2268" s="55">
        <f>IF(AF2268=1,EOMONTH(AE2268,0),"")</f>
        <v/>
      </c>
      <c r="AH2268" s="9">
        <f>IF(AF2268=1,UPPER(TRIM(IFERROR(INDEX($A2268:$AB2268,MATCH("Client",$A$1:$AB$1,0)),"")&amp;"")),"")</f>
        <v/>
      </c>
      <c r="AI2268" s="9">
        <f>IF(AF2268=1,IFERROR(INDEX($A2268:$AB2268,MATCH("Cost Centre",$A$1:$AB$1,0)),"")&amp;"","")</f>
        <v/>
      </c>
      <c r="AJ2268" s="54">
        <f>IF(AND(AF2268=1,AE2268&gt;=set_FYStart,AE2268&lt;=set_AsAt),1,0)</f>
        <v/>
      </c>
      <c r="AK2268" s="54">
        <f>IF(AND(AJ2268=1,AH2268&lt;&gt;"",COUNTIFS($AH$2:AH2268,AH2268,$AJ$2:AJ2268,1)=1),N(AL2267)+1,"")</f>
        <v/>
      </c>
      <c r="AL2268" s="54">
        <f>IF(AK2268&lt;&gt;"",AK2268,N(AL2267))</f>
        <v/>
      </c>
    </row>
    <row r="2269">
      <c r="A2269" t="inlineStr">
        <is>
          <t>CON-0756</t>
        </is>
      </c>
      <c r="B2269" t="inlineStr">
        <is>
          <t>Consulting</t>
        </is>
      </c>
      <c r="AB2269" t="n">
        <v>756</v>
      </c>
      <c r="AD2269" s="52">
        <f>IFERROR(N(IFERROR(INDEX($A2269:$AB2269,MATCH("Xero Invoiced Ex GST",$A$1:$AB$1,0)),"")),0)</f>
        <v/>
      </c>
      <c r="AE2269" s="53">
        <f>IFERROR(INDEX($A2269:$AB2269,MATCH("Xero Invoice Date",$A$1:$AB$1,0)),"")</f>
        <v/>
      </c>
      <c r="AF2269" s="54">
        <f>IF(AND(IFERROR(INDEX($A2269:$AB2269,MATCH("Xero Invoice No",$A$1:$AB$1,0)),"")&amp;""&lt;&gt;"",ISNUMBER(AE2269),AD2269&lt;&gt;0),1,0)</f>
        <v/>
      </c>
      <c r="AG2269" s="55">
        <f>IF(AF2269=1,EOMONTH(AE2269,0),"")</f>
        <v/>
      </c>
      <c r="AH2269" s="9">
        <f>IF(AF2269=1,UPPER(TRIM(IFERROR(INDEX($A2269:$AB2269,MATCH("Client",$A$1:$AB$1,0)),"")&amp;"")),"")</f>
        <v/>
      </c>
      <c r="AI2269" s="9">
        <f>IF(AF2269=1,IFERROR(INDEX($A2269:$AB2269,MATCH("Cost Centre",$A$1:$AB$1,0)),"")&amp;"","")</f>
        <v/>
      </c>
      <c r="AJ2269" s="54">
        <f>IF(AND(AF2269=1,AE2269&gt;=set_FYStart,AE2269&lt;=set_AsAt),1,0)</f>
        <v/>
      </c>
      <c r="AK2269" s="54">
        <f>IF(AND(AJ2269=1,AH2269&lt;&gt;"",COUNTIFS($AH$2:AH2269,AH2269,$AJ$2:AJ2269,1)=1),N(AL2268)+1,"")</f>
        <v/>
      </c>
      <c r="AL2269" s="54">
        <f>IF(AK2269&lt;&gt;"",AK2269,N(AL2268))</f>
        <v/>
      </c>
    </row>
    <row r="2270">
      <c r="A2270" t="inlineStr">
        <is>
          <t>ONS-0757</t>
        </is>
      </c>
      <c r="B2270" t="inlineStr">
        <is>
          <t>Onsite</t>
        </is>
      </c>
      <c r="AB2270" t="n">
        <v>757</v>
      </c>
      <c r="AD2270" s="52">
        <f>IFERROR(N(IFERROR(INDEX($A2270:$AB2270,MATCH("Xero Invoiced Ex GST",$A$1:$AB$1,0)),"")),0)</f>
        <v/>
      </c>
      <c r="AE2270" s="53">
        <f>IFERROR(INDEX($A2270:$AB2270,MATCH("Xero Invoice Date",$A$1:$AB$1,0)),"")</f>
        <v/>
      </c>
      <c r="AF2270" s="54">
        <f>IF(AND(IFERROR(INDEX($A2270:$AB2270,MATCH("Xero Invoice No",$A$1:$AB$1,0)),"")&amp;""&lt;&gt;"",ISNUMBER(AE2270),AD2270&lt;&gt;0),1,0)</f>
        <v/>
      </c>
      <c r="AG2270" s="55">
        <f>IF(AF2270=1,EOMONTH(AE2270,0),"")</f>
        <v/>
      </c>
      <c r="AH2270" s="9">
        <f>IF(AF2270=1,UPPER(TRIM(IFERROR(INDEX($A2270:$AB2270,MATCH("Client",$A$1:$AB$1,0)),"")&amp;"")),"")</f>
        <v/>
      </c>
      <c r="AI2270" s="9">
        <f>IF(AF2270=1,IFERROR(INDEX($A2270:$AB2270,MATCH("Cost Centre",$A$1:$AB$1,0)),"")&amp;"","")</f>
        <v/>
      </c>
      <c r="AJ2270" s="54">
        <f>IF(AND(AF2270=1,AE2270&gt;=set_FYStart,AE2270&lt;=set_AsAt),1,0)</f>
        <v/>
      </c>
      <c r="AK2270" s="54">
        <f>IF(AND(AJ2270=1,AH2270&lt;&gt;"",COUNTIFS($AH$2:AH2270,AH2270,$AJ$2:AJ2270,1)=1),N(AL2269)+1,"")</f>
        <v/>
      </c>
      <c r="AL2270" s="54">
        <f>IF(AK2270&lt;&gt;"",AK2270,N(AL2269))</f>
        <v/>
      </c>
    </row>
    <row r="2271">
      <c r="A2271" t="inlineStr">
        <is>
          <t>PRD-0757</t>
        </is>
      </c>
      <c r="B2271" t="inlineStr">
        <is>
          <t>Production</t>
        </is>
      </c>
      <c r="AB2271" t="n">
        <v>757</v>
      </c>
      <c r="AD2271" s="52">
        <f>IFERROR(N(IFERROR(INDEX($A2271:$AB2271,MATCH("Xero Invoiced Ex GST",$A$1:$AB$1,0)),"")),0)</f>
        <v/>
      </c>
      <c r="AE2271" s="53">
        <f>IFERROR(INDEX($A2271:$AB2271,MATCH("Xero Invoice Date",$A$1:$AB$1,0)),"")</f>
        <v/>
      </c>
      <c r="AF2271" s="54">
        <f>IF(AND(IFERROR(INDEX($A2271:$AB2271,MATCH("Xero Invoice No",$A$1:$AB$1,0)),"")&amp;""&lt;&gt;"",ISNUMBER(AE2271),AD2271&lt;&gt;0),1,0)</f>
        <v/>
      </c>
      <c r="AG2271" s="55">
        <f>IF(AF2271=1,EOMONTH(AE2271,0),"")</f>
        <v/>
      </c>
      <c r="AH2271" s="9">
        <f>IF(AF2271=1,UPPER(TRIM(IFERROR(INDEX($A2271:$AB2271,MATCH("Client",$A$1:$AB$1,0)),"")&amp;"")),"")</f>
        <v/>
      </c>
      <c r="AI2271" s="9">
        <f>IF(AF2271=1,IFERROR(INDEX($A2271:$AB2271,MATCH("Cost Centre",$A$1:$AB$1,0)),"")&amp;"","")</f>
        <v/>
      </c>
      <c r="AJ2271" s="54">
        <f>IF(AND(AF2271=1,AE2271&gt;=set_FYStart,AE2271&lt;=set_AsAt),1,0)</f>
        <v/>
      </c>
      <c r="AK2271" s="54">
        <f>IF(AND(AJ2271=1,AH2271&lt;&gt;"",COUNTIFS($AH$2:AH2271,AH2271,$AJ$2:AJ2271,1)=1),N(AL2270)+1,"")</f>
        <v/>
      </c>
      <c r="AL2271" s="54">
        <f>IF(AK2271&lt;&gt;"",AK2271,N(AL2270))</f>
        <v/>
      </c>
    </row>
    <row r="2272">
      <c r="A2272" t="inlineStr">
        <is>
          <t>CON-0757</t>
        </is>
      </c>
      <c r="B2272" t="inlineStr">
        <is>
          <t>Consulting</t>
        </is>
      </c>
      <c r="AB2272" t="n">
        <v>757</v>
      </c>
      <c r="AD2272" s="52">
        <f>IFERROR(N(IFERROR(INDEX($A2272:$AB2272,MATCH("Xero Invoiced Ex GST",$A$1:$AB$1,0)),"")),0)</f>
        <v/>
      </c>
      <c r="AE2272" s="53">
        <f>IFERROR(INDEX($A2272:$AB2272,MATCH("Xero Invoice Date",$A$1:$AB$1,0)),"")</f>
        <v/>
      </c>
      <c r="AF2272" s="54">
        <f>IF(AND(IFERROR(INDEX($A2272:$AB2272,MATCH("Xero Invoice No",$A$1:$AB$1,0)),"")&amp;""&lt;&gt;"",ISNUMBER(AE2272),AD2272&lt;&gt;0),1,0)</f>
        <v/>
      </c>
      <c r="AG2272" s="55">
        <f>IF(AF2272=1,EOMONTH(AE2272,0),"")</f>
        <v/>
      </c>
      <c r="AH2272" s="9">
        <f>IF(AF2272=1,UPPER(TRIM(IFERROR(INDEX($A2272:$AB2272,MATCH("Client",$A$1:$AB$1,0)),"")&amp;"")),"")</f>
        <v/>
      </c>
      <c r="AI2272" s="9">
        <f>IF(AF2272=1,IFERROR(INDEX($A2272:$AB2272,MATCH("Cost Centre",$A$1:$AB$1,0)),"")&amp;"","")</f>
        <v/>
      </c>
      <c r="AJ2272" s="54">
        <f>IF(AND(AF2272=1,AE2272&gt;=set_FYStart,AE2272&lt;=set_AsAt),1,0)</f>
        <v/>
      </c>
      <c r="AK2272" s="54">
        <f>IF(AND(AJ2272=1,AH2272&lt;&gt;"",COUNTIFS($AH$2:AH2272,AH2272,$AJ$2:AJ2272,1)=1),N(AL2271)+1,"")</f>
        <v/>
      </c>
      <c r="AL2272" s="54">
        <f>IF(AK2272&lt;&gt;"",AK2272,N(AL2271))</f>
        <v/>
      </c>
    </row>
    <row r="2273">
      <c r="A2273" t="inlineStr">
        <is>
          <t>ONS-0758</t>
        </is>
      </c>
      <c r="B2273" t="inlineStr">
        <is>
          <t>Onsite</t>
        </is>
      </c>
      <c r="AB2273" t="n">
        <v>758</v>
      </c>
      <c r="AD2273" s="52">
        <f>IFERROR(N(IFERROR(INDEX($A2273:$AB2273,MATCH("Xero Invoiced Ex GST",$A$1:$AB$1,0)),"")),0)</f>
        <v/>
      </c>
      <c r="AE2273" s="53">
        <f>IFERROR(INDEX($A2273:$AB2273,MATCH("Xero Invoice Date",$A$1:$AB$1,0)),"")</f>
        <v/>
      </c>
      <c r="AF2273" s="54">
        <f>IF(AND(IFERROR(INDEX($A2273:$AB2273,MATCH("Xero Invoice No",$A$1:$AB$1,0)),"")&amp;""&lt;&gt;"",ISNUMBER(AE2273),AD2273&lt;&gt;0),1,0)</f>
        <v/>
      </c>
      <c r="AG2273" s="55">
        <f>IF(AF2273=1,EOMONTH(AE2273,0),"")</f>
        <v/>
      </c>
      <c r="AH2273" s="9">
        <f>IF(AF2273=1,UPPER(TRIM(IFERROR(INDEX($A2273:$AB2273,MATCH("Client",$A$1:$AB$1,0)),"")&amp;"")),"")</f>
        <v/>
      </c>
      <c r="AI2273" s="9">
        <f>IF(AF2273=1,IFERROR(INDEX($A2273:$AB2273,MATCH("Cost Centre",$A$1:$AB$1,0)),"")&amp;"","")</f>
        <v/>
      </c>
      <c r="AJ2273" s="54">
        <f>IF(AND(AF2273=1,AE2273&gt;=set_FYStart,AE2273&lt;=set_AsAt),1,0)</f>
        <v/>
      </c>
      <c r="AK2273" s="54">
        <f>IF(AND(AJ2273=1,AH2273&lt;&gt;"",COUNTIFS($AH$2:AH2273,AH2273,$AJ$2:AJ2273,1)=1),N(AL2272)+1,"")</f>
        <v/>
      </c>
      <c r="AL2273" s="54">
        <f>IF(AK2273&lt;&gt;"",AK2273,N(AL2272))</f>
        <v/>
      </c>
    </row>
    <row r="2274">
      <c r="A2274" t="inlineStr">
        <is>
          <t>PRD-0758</t>
        </is>
      </c>
      <c r="B2274" t="inlineStr">
        <is>
          <t>Production</t>
        </is>
      </c>
      <c r="AB2274" t="n">
        <v>758</v>
      </c>
      <c r="AD2274" s="52">
        <f>IFERROR(N(IFERROR(INDEX($A2274:$AB2274,MATCH("Xero Invoiced Ex GST",$A$1:$AB$1,0)),"")),0)</f>
        <v/>
      </c>
      <c r="AE2274" s="53">
        <f>IFERROR(INDEX($A2274:$AB2274,MATCH("Xero Invoice Date",$A$1:$AB$1,0)),"")</f>
        <v/>
      </c>
      <c r="AF2274" s="54">
        <f>IF(AND(IFERROR(INDEX($A2274:$AB2274,MATCH("Xero Invoice No",$A$1:$AB$1,0)),"")&amp;""&lt;&gt;"",ISNUMBER(AE2274),AD2274&lt;&gt;0),1,0)</f>
        <v/>
      </c>
      <c r="AG2274" s="55">
        <f>IF(AF2274=1,EOMONTH(AE2274,0),"")</f>
        <v/>
      </c>
      <c r="AH2274" s="9">
        <f>IF(AF2274=1,UPPER(TRIM(IFERROR(INDEX($A2274:$AB2274,MATCH("Client",$A$1:$AB$1,0)),"")&amp;"")),"")</f>
        <v/>
      </c>
      <c r="AI2274" s="9">
        <f>IF(AF2274=1,IFERROR(INDEX($A2274:$AB2274,MATCH("Cost Centre",$A$1:$AB$1,0)),"")&amp;"","")</f>
        <v/>
      </c>
      <c r="AJ2274" s="54">
        <f>IF(AND(AF2274=1,AE2274&gt;=set_FYStart,AE2274&lt;=set_AsAt),1,0)</f>
        <v/>
      </c>
      <c r="AK2274" s="54">
        <f>IF(AND(AJ2274=1,AH2274&lt;&gt;"",COUNTIFS($AH$2:AH2274,AH2274,$AJ$2:AJ2274,1)=1),N(AL2273)+1,"")</f>
        <v/>
      </c>
      <c r="AL2274" s="54">
        <f>IF(AK2274&lt;&gt;"",AK2274,N(AL2273))</f>
        <v/>
      </c>
    </row>
    <row r="2275">
      <c r="A2275" t="inlineStr">
        <is>
          <t>CON-0758</t>
        </is>
      </c>
      <c r="B2275" t="inlineStr">
        <is>
          <t>Consulting</t>
        </is>
      </c>
      <c r="AB2275" t="n">
        <v>758</v>
      </c>
      <c r="AD2275" s="52">
        <f>IFERROR(N(IFERROR(INDEX($A2275:$AB2275,MATCH("Xero Invoiced Ex GST",$A$1:$AB$1,0)),"")),0)</f>
        <v/>
      </c>
      <c r="AE2275" s="53">
        <f>IFERROR(INDEX($A2275:$AB2275,MATCH("Xero Invoice Date",$A$1:$AB$1,0)),"")</f>
        <v/>
      </c>
      <c r="AF2275" s="54">
        <f>IF(AND(IFERROR(INDEX($A2275:$AB2275,MATCH("Xero Invoice No",$A$1:$AB$1,0)),"")&amp;""&lt;&gt;"",ISNUMBER(AE2275),AD2275&lt;&gt;0),1,0)</f>
        <v/>
      </c>
      <c r="AG2275" s="55">
        <f>IF(AF2275=1,EOMONTH(AE2275,0),"")</f>
        <v/>
      </c>
      <c r="AH2275" s="9">
        <f>IF(AF2275=1,UPPER(TRIM(IFERROR(INDEX($A2275:$AB2275,MATCH("Client",$A$1:$AB$1,0)),"")&amp;"")),"")</f>
        <v/>
      </c>
      <c r="AI2275" s="9">
        <f>IF(AF2275=1,IFERROR(INDEX($A2275:$AB2275,MATCH("Cost Centre",$A$1:$AB$1,0)),"")&amp;"","")</f>
        <v/>
      </c>
      <c r="AJ2275" s="54">
        <f>IF(AND(AF2275=1,AE2275&gt;=set_FYStart,AE2275&lt;=set_AsAt),1,0)</f>
        <v/>
      </c>
      <c r="AK2275" s="54">
        <f>IF(AND(AJ2275=1,AH2275&lt;&gt;"",COUNTIFS($AH$2:AH2275,AH2275,$AJ$2:AJ2275,1)=1),N(AL2274)+1,"")</f>
        <v/>
      </c>
      <c r="AL2275" s="54">
        <f>IF(AK2275&lt;&gt;"",AK2275,N(AL2274))</f>
        <v/>
      </c>
    </row>
    <row r="2276">
      <c r="A2276" t="inlineStr">
        <is>
          <t>ONS-0759</t>
        </is>
      </c>
      <c r="B2276" t="inlineStr">
        <is>
          <t>Onsite</t>
        </is>
      </c>
      <c r="AB2276" t="n">
        <v>759</v>
      </c>
      <c r="AD2276" s="52">
        <f>IFERROR(N(IFERROR(INDEX($A2276:$AB2276,MATCH("Xero Invoiced Ex GST",$A$1:$AB$1,0)),"")),0)</f>
        <v/>
      </c>
      <c r="AE2276" s="53">
        <f>IFERROR(INDEX($A2276:$AB2276,MATCH("Xero Invoice Date",$A$1:$AB$1,0)),"")</f>
        <v/>
      </c>
      <c r="AF2276" s="54">
        <f>IF(AND(IFERROR(INDEX($A2276:$AB2276,MATCH("Xero Invoice No",$A$1:$AB$1,0)),"")&amp;""&lt;&gt;"",ISNUMBER(AE2276),AD2276&lt;&gt;0),1,0)</f>
        <v/>
      </c>
      <c r="AG2276" s="55">
        <f>IF(AF2276=1,EOMONTH(AE2276,0),"")</f>
        <v/>
      </c>
      <c r="AH2276" s="9">
        <f>IF(AF2276=1,UPPER(TRIM(IFERROR(INDEX($A2276:$AB2276,MATCH("Client",$A$1:$AB$1,0)),"")&amp;"")),"")</f>
        <v/>
      </c>
      <c r="AI2276" s="9">
        <f>IF(AF2276=1,IFERROR(INDEX($A2276:$AB2276,MATCH("Cost Centre",$A$1:$AB$1,0)),"")&amp;"","")</f>
        <v/>
      </c>
      <c r="AJ2276" s="54">
        <f>IF(AND(AF2276=1,AE2276&gt;=set_FYStart,AE2276&lt;=set_AsAt),1,0)</f>
        <v/>
      </c>
      <c r="AK2276" s="54">
        <f>IF(AND(AJ2276=1,AH2276&lt;&gt;"",COUNTIFS($AH$2:AH2276,AH2276,$AJ$2:AJ2276,1)=1),N(AL2275)+1,"")</f>
        <v/>
      </c>
      <c r="AL2276" s="54">
        <f>IF(AK2276&lt;&gt;"",AK2276,N(AL2275))</f>
        <v/>
      </c>
    </row>
    <row r="2277">
      <c r="A2277" t="inlineStr">
        <is>
          <t>PRD-0759</t>
        </is>
      </c>
      <c r="B2277" t="inlineStr">
        <is>
          <t>Production</t>
        </is>
      </c>
      <c r="AB2277" t="n">
        <v>759</v>
      </c>
      <c r="AD2277" s="52">
        <f>IFERROR(N(IFERROR(INDEX($A2277:$AB2277,MATCH("Xero Invoiced Ex GST",$A$1:$AB$1,0)),"")),0)</f>
        <v/>
      </c>
      <c r="AE2277" s="53">
        <f>IFERROR(INDEX($A2277:$AB2277,MATCH("Xero Invoice Date",$A$1:$AB$1,0)),"")</f>
        <v/>
      </c>
      <c r="AF2277" s="54">
        <f>IF(AND(IFERROR(INDEX($A2277:$AB2277,MATCH("Xero Invoice No",$A$1:$AB$1,0)),"")&amp;""&lt;&gt;"",ISNUMBER(AE2277),AD2277&lt;&gt;0),1,0)</f>
        <v/>
      </c>
      <c r="AG2277" s="55">
        <f>IF(AF2277=1,EOMONTH(AE2277,0),"")</f>
        <v/>
      </c>
      <c r="AH2277" s="9">
        <f>IF(AF2277=1,UPPER(TRIM(IFERROR(INDEX($A2277:$AB2277,MATCH("Client",$A$1:$AB$1,0)),"")&amp;"")),"")</f>
        <v/>
      </c>
      <c r="AI2277" s="9">
        <f>IF(AF2277=1,IFERROR(INDEX($A2277:$AB2277,MATCH("Cost Centre",$A$1:$AB$1,0)),"")&amp;"","")</f>
        <v/>
      </c>
      <c r="AJ2277" s="54">
        <f>IF(AND(AF2277=1,AE2277&gt;=set_FYStart,AE2277&lt;=set_AsAt),1,0)</f>
        <v/>
      </c>
      <c r="AK2277" s="54">
        <f>IF(AND(AJ2277=1,AH2277&lt;&gt;"",COUNTIFS($AH$2:AH2277,AH2277,$AJ$2:AJ2277,1)=1),N(AL2276)+1,"")</f>
        <v/>
      </c>
      <c r="AL2277" s="54">
        <f>IF(AK2277&lt;&gt;"",AK2277,N(AL2276))</f>
        <v/>
      </c>
    </row>
    <row r="2278">
      <c r="A2278" t="inlineStr">
        <is>
          <t>CON-0759</t>
        </is>
      </c>
      <c r="B2278" t="inlineStr">
        <is>
          <t>Consulting</t>
        </is>
      </c>
      <c r="AB2278" t="n">
        <v>759</v>
      </c>
      <c r="AD2278" s="52">
        <f>IFERROR(N(IFERROR(INDEX($A2278:$AB2278,MATCH("Xero Invoiced Ex GST",$A$1:$AB$1,0)),"")),0)</f>
        <v/>
      </c>
      <c r="AE2278" s="53">
        <f>IFERROR(INDEX($A2278:$AB2278,MATCH("Xero Invoice Date",$A$1:$AB$1,0)),"")</f>
        <v/>
      </c>
      <c r="AF2278" s="54">
        <f>IF(AND(IFERROR(INDEX($A2278:$AB2278,MATCH("Xero Invoice No",$A$1:$AB$1,0)),"")&amp;""&lt;&gt;"",ISNUMBER(AE2278),AD2278&lt;&gt;0),1,0)</f>
        <v/>
      </c>
      <c r="AG2278" s="55">
        <f>IF(AF2278=1,EOMONTH(AE2278,0),"")</f>
        <v/>
      </c>
      <c r="AH2278" s="9">
        <f>IF(AF2278=1,UPPER(TRIM(IFERROR(INDEX($A2278:$AB2278,MATCH("Client",$A$1:$AB$1,0)),"")&amp;"")),"")</f>
        <v/>
      </c>
      <c r="AI2278" s="9">
        <f>IF(AF2278=1,IFERROR(INDEX($A2278:$AB2278,MATCH("Cost Centre",$A$1:$AB$1,0)),"")&amp;"","")</f>
        <v/>
      </c>
      <c r="AJ2278" s="54">
        <f>IF(AND(AF2278=1,AE2278&gt;=set_FYStart,AE2278&lt;=set_AsAt),1,0)</f>
        <v/>
      </c>
      <c r="AK2278" s="54">
        <f>IF(AND(AJ2278=1,AH2278&lt;&gt;"",COUNTIFS($AH$2:AH2278,AH2278,$AJ$2:AJ2278,1)=1),N(AL2277)+1,"")</f>
        <v/>
      </c>
      <c r="AL2278" s="54">
        <f>IF(AK2278&lt;&gt;"",AK2278,N(AL2277))</f>
        <v/>
      </c>
    </row>
    <row r="2279">
      <c r="A2279" t="inlineStr">
        <is>
          <t>ONS-0760</t>
        </is>
      </c>
      <c r="B2279" t="inlineStr">
        <is>
          <t>Onsite</t>
        </is>
      </c>
      <c r="AB2279" t="n">
        <v>760</v>
      </c>
      <c r="AD2279" s="52">
        <f>IFERROR(N(IFERROR(INDEX($A2279:$AB2279,MATCH("Xero Invoiced Ex GST",$A$1:$AB$1,0)),"")),0)</f>
        <v/>
      </c>
      <c r="AE2279" s="53">
        <f>IFERROR(INDEX($A2279:$AB2279,MATCH("Xero Invoice Date",$A$1:$AB$1,0)),"")</f>
        <v/>
      </c>
      <c r="AF2279" s="54">
        <f>IF(AND(IFERROR(INDEX($A2279:$AB2279,MATCH("Xero Invoice No",$A$1:$AB$1,0)),"")&amp;""&lt;&gt;"",ISNUMBER(AE2279),AD2279&lt;&gt;0),1,0)</f>
        <v/>
      </c>
      <c r="AG2279" s="55">
        <f>IF(AF2279=1,EOMONTH(AE2279,0),"")</f>
        <v/>
      </c>
      <c r="AH2279" s="9">
        <f>IF(AF2279=1,UPPER(TRIM(IFERROR(INDEX($A2279:$AB2279,MATCH("Client",$A$1:$AB$1,0)),"")&amp;"")),"")</f>
        <v/>
      </c>
      <c r="AI2279" s="9">
        <f>IF(AF2279=1,IFERROR(INDEX($A2279:$AB2279,MATCH("Cost Centre",$A$1:$AB$1,0)),"")&amp;"","")</f>
        <v/>
      </c>
      <c r="AJ2279" s="54">
        <f>IF(AND(AF2279=1,AE2279&gt;=set_FYStart,AE2279&lt;=set_AsAt),1,0)</f>
        <v/>
      </c>
      <c r="AK2279" s="54">
        <f>IF(AND(AJ2279=1,AH2279&lt;&gt;"",COUNTIFS($AH$2:AH2279,AH2279,$AJ$2:AJ2279,1)=1),N(AL2278)+1,"")</f>
        <v/>
      </c>
      <c r="AL2279" s="54">
        <f>IF(AK2279&lt;&gt;"",AK2279,N(AL2278))</f>
        <v/>
      </c>
    </row>
    <row r="2280">
      <c r="A2280" t="inlineStr">
        <is>
          <t>PRD-0760</t>
        </is>
      </c>
      <c r="B2280" t="inlineStr">
        <is>
          <t>Production</t>
        </is>
      </c>
      <c r="AB2280" t="n">
        <v>760</v>
      </c>
      <c r="AD2280" s="52">
        <f>IFERROR(N(IFERROR(INDEX($A2280:$AB2280,MATCH("Xero Invoiced Ex GST",$A$1:$AB$1,0)),"")),0)</f>
        <v/>
      </c>
      <c r="AE2280" s="53">
        <f>IFERROR(INDEX($A2280:$AB2280,MATCH("Xero Invoice Date",$A$1:$AB$1,0)),"")</f>
        <v/>
      </c>
      <c r="AF2280" s="54">
        <f>IF(AND(IFERROR(INDEX($A2280:$AB2280,MATCH("Xero Invoice No",$A$1:$AB$1,0)),"")&amp;""&lt;&gt;"",ISNUMBER(AE2280),AD2280&lt;&gt;0),1,0)</f>
        <v/>
      </c>
      <c r="AG2280" s="55">
        <f>IF(AF2280=1,EOMONTH(AE2280,0),"")</f>
        <v/>
      </c>
      <c r="AH2280" s="9">
        <f>IF(AF2280=1,UPPER(TRIM(IFERROR(INDEX($A2280:$AB2280,MATCH("Client",$A$1:$AB$1,0)),"")&amp;"")),"")</f>
        <v/>
      </c>
      <c r="AI2280" s="9">
        <f>IF(AF2280=1,IFERROR(INDEX($A2280:$AB2280,MATCH("Cost Centre",$A$1:$AB$1,0)),"")&amp;"","")</f>
        <v/>
      </c>
      <c r="AJ2280" s="54">
        <f>IF(AND(AF2280=1,AE2280&gt;=set_FYStart,AE2280&lt;=set_AsAt),1,0)</f>
        <v/>
      </c>
      <c r="AK2280" s="54">
        <f>IF(AND(AJ2280=1,AH2280&lt;&gt;"",COUNTIFS($AH$2:AH2280,AH2280,$AJ$2:AJ2280,1)=1),N(AL2279)+1,"")</f>
        <v/>
      </c>
      <c r="AL2280" s="54">
        <f>IF(AK2280&lt;&gt;"",AK2280,N(AL2279))</f>
        <v/>
      </c>
    </row>
    <row r="2281">
      <c r="A2281" t="inlineStr">
        <is>
          <t>CON-0760</t>
        </is>
      </c>
      <c r="B2281" t="inlineStr">
        <is>
          <t>Consulting</t>
        </is>
      </c>
      <c r="AB2281" t="n">
        <v>760</v>
      </c>
      <c r="AD2281" s="52">
        <f>IFERROR(N(IFERROR(INDEX($A2281:$AB2281,MATCH("Xero Invoiced Ex GST",$A$1:$AB$1,0)),"")),0)</f>
        <v/>
      </c>
      <c r="AE2281" s="53">
        <f>IFERROR(INDEX($A2281:$AB2281,MATCH("Xero Invoice Date",$A$1:$AB$1,0)),"")</f>
        <v/>
      </c>
      <c r="AF2281" s="54">
        <f>IF(AND(IFERROR(INDEX($A2281:$AB2281,MATCH("Xero Invoice No",$A$1:$AB$1,0)),"")&amp;""&lt;&gt;"",ISNUMBER(AE2281),AD2281&lt;&gt;0),1,0)</f>
        <v/>
      </c>
      <c r="AG2281" s="55">
        <f>IF(AF2281=1,EOMONTH(AE2281,0),"")</f>
        <v/>
      </c>
      <c r="AH2281" s="9">
        <f>IF(AF2281=1,UPPER(TRIM(IFERROR(INDEX($A2281:$AB2281,MATCH("Client",$A$1:$AB$1,0)),"")&amp;"")),"")</f>
        <v/>
      </c>
      <c r="AI2281" s="9">
        <f>IF(AF2281=1,IFERROR(INDEX($A2281:$AB2281,MATCH("Cost Centre",$A$1:$AB$1,0)),"")&amp;"","")</f>
        <v/>
      </c>
      <c r="AJ2281" s="54">
        <f>IF(AND(AF2281=1,AE2281&gt;=set_FYStart,AE2281&lt;=set_AsAt),1,0)</f>
        <v/>
      </c>
      <c r="AK2281" s="54">
        <f>IF(AND(AJ2281=1,AH2281&lt;&gt;"",COUNTIFS($AH$2:AH2281,AH2281,$AJ$2:AJ2281,1)=1),N(AL2280)+1,"")</f>
        <v/>
      </c>
      <c r="AL2281" s="54">
        <f>IF(AK2281&lt;&gt;"",AK2281,N(AL2280))</f>
        <v/>
      </c>
    </row>
    <row r="2282">
      <c r="A2282" t="inlineStr">
        <is>
          <t>ONS-0761</t>
        </is>
      </c>
      <c r="B2282" t="inlineStr">
        <is>
          <t>Onsite</t>
        </is>
      </c>
      <c r="AB2282" t="n">
        <v>761</v>
      </c>
      <c r="AD2282" s="52">
        <f>IFERROR(N(IFERROR(INDEX($A2282:$AB2282,MATCH("Xero Invoiced Ex GST",$A$1:$AB$1,0)),"")),0)</f>
        <v/>
      </c>
      <c r="AE2282" s="53">
        <f>IFERROR(INDEX($A2282:$AB2282,MATCH("Xero Invoice Date",$A$1:$AB$1,0)),"")</f>
        <v/>
      </c>
      <c r="AF2282" s="54">
        <f>IF(AND(IFERROR(INDEX($A2282:$AB2282,MATCH("Xero Invoice No",$A$1:$AB$1,0)),"")&amp;""&lt;&gt;"",ISNUMBER(AE2282),AD2282&lt;&gt;0),1,0)</f>
        <v/>
      </c>
      <c r="AG2282" s="55">
        <f>IF(AF2282=1,EOMONTH(AE2282,0),"")</f>
        <v/>
      </c>
      <c r="AH2282" s="9">
        <f>IF(AF2282=1,UPPER(TRIM(IFERROR(INDEX($A2282:$AB2282,MATCH("Client",$A$1:$AB$1,0)),"")&amp;"")),"")</f>
        <v/>
      </c>
      <c r="AI2282" s="9">
        <f>IF(AF2282=1,IFERROR(INDEX($A2282:$AB2282,MATCH("Cost Centre",$A$1:$AB$1,0)),"")&amp;"","")</f>
        <v/>
      </c>
      <c r="AJ2282" s="54">
        <f>IF(AND(AF2282=1,AE2282&gt;=set_FYStart,AE2282&lt;=set_AsAt),1,0)</f>
        <v/>
      </c>
      <c r="AK2282" s="54">
        <f>IF(AND(AJ2282=1,AH2282&lt;&gt;"",COUNTIFS($AH$2:AH2282,AH2282,$AJ$2:AJ2282,1)=1),N(AL2281)+1,"")</f>
        <v/>
      </c>
      <c r="AL2282" s="54">
        <f>IF(AK2282&lt;&gt;"",AK2282,N(AL2281))</f>
        <v/>
      </c>
    </row>
    <row r="2283">
      <c r="A2283" t="inlineStr">
        <is>
          <t>PRD-0761</t>
        </is>
      </c>
      <c r="B2283" t="inlineStr">
        <is>
          <t>Production</t>
        </is>
      </c>
      <c r="AB2283" t="n">
        <v>761</v>
      </c>
      <c r="AD2283" s="52">
        <f>IFERROR(N(IFERROR(INDEX($A2283:$AB2283,MATCH("Xero Invoiced Ex GST",$A$1:$AB$1,0)),"")),0)</f>
        <v/>
      </c>
      <c r="AE2283" s="53">
        <f>IFERROR(INDEX($A2283:$AB2283,MATCH("Xero Invoice Date",$A$1:$AB$1,0)),"")</f>
        <v/>
      </c>
      <c r="AF2283" s="54">
        <f>IF(AND(IFERROR(INDEX($A2283:$AB2283,MATCH("Xero Invoice No",$A$1:$AB$1,0)),"")&amp;""&lt;&gt;"",ISNUMBER(AE2283),AD2283&lt;&gt;0),1,0)</f>
        <v/>
      </c>
      <c r="AG2283" s="55">
        <f>IF(AF2283=1,EOMONTH(AE2283,0),"")</f>
        <v/>
      </c>
      <c r="AH2283" s="9">
        <f>IF(AF2283=1,UPPER(TRIM(IFERROR(INDEX($A2283:$AB2283,MATCH("Client",$A$1:$AB$1,0)),"")&amp;"")),"")</f>
        <v/>
      </c>
      <c r="AI2283" s="9">
        <f>IF(AF2283=1,IFERROR(INDEX($A2283:$AB2283,MATCH("Cost Centre",$A$1:$AB$1,0)),"")&amp;"","")</f>
        <v/>
      </c>
      <c r="AJ2283" s="54">
        <f>IF(AND(AF2283=1,AE2283&gt;=set_FYStart,AE2283&lt;=set_AsAt),1,0)</f>
        <v/>
      </c>
      <c r="AK2283" s="54">
        <f>IF(AND(AJ2283=1,AH2283&lt;&gt;"",COUNTIFS($AH$2:AH2283,AH2283,$AJ$2:AJ2283,1)=1),N(AL2282)+1,"")</f>
        <v/>
      </c>
      <c r="AL2283" s="54">
        <f>IF(AK2283&lt;&gt;"",AK2283,N(AL2282))</f>
        <v/>
      </c>
    </row>
    <row r="2284">
      <c r="A2284" t="inlineStr">
        <is>
          <t>CON-0761</t>
        </is>
      </c>
      <c r="B2284" t="inlineStr">
        <is>
          <t>Consulting</t>
        </is>
      </c>
      <c r="AB2284" t="n">
        <v>761</v>
      </c>
      <c r="AD2284" s="52">
        <f>IFERROR(N(IFERROR(INDEX($A2284:$AB2284,MATCH("Xero Invoiced Ex GST",$A$1:$AB$1,0)),"")),0)</f>
        <v/>
      </c>
      <c r="AE2284" s="53">
        <f>IFERROR(INDEX($A2284:$AB2284,MATCH("Xero Invoice Date",$A$1:$AB$1,0)),"")</f>
        <v/>
      </c>
      <c r="AF2284" s="54">
        <f>IF(AND(IFERROR(INDEX($A2284:$AB2284,MATCH("Xero Invoice No",$A$1:$AB$1,0)),"")&amp;""&lt;&gt;"",ISNUMBER(AE2284),AD2284&lt;&gt;0),1,0)</f>
        <v/>
      </c>
      <c r="AG2284" s="55">
        <f>IF(AF2284=1,EOMONTH(AE2284,0),"")</f>
        <v/>
      </c>
      <c r="AH2284" s="9">
        <f>IF(AF2284=1,UPPER(TRIM(IFERROR(INDEX($A2284:$AB2284,MATCH("Client",$A$1:$AB$1,0)),"")&amp;"")),"")</f>
        <v/>
      </c>
      <c r="AI2284" s="9">
        <f>IF(AF2284=1,IFERROR(INDEX($A2284:$AB2284,MATCH("Cost Centre",$A$1:$AB$1,0)),"")&amp;"","")</f>
        <v/>
      </c>
      <c r="AJ2284" s="54">
        <f>IF(AND(AF2284=1,AE2284&gt;=set_FYStart,AE2284&lt;=set_AsAt),1,0)</f>
        <v/>
      </c>
      <c r="AK2284" s="54">
        <f>IF(AND(AJ2284=1,AH2284&lt;&gt;"",COUNTIFS($AH$2:AH2284,AH2284,$AJ$2:AJ2284,1)=1),N(AL2283)+1,"")</f>
        <v/>
      </c>
      <c r="AL2284" s="54">
        <f>IF(AK2284&lt;&gt;"",AK2284,N(AL2283))</f>
        <v/>
      </c>
    </row>
    <row r="2285">
      <c r="A2285" t="inlineStr">
        <is>
          <t>ONS-0762</t>
        </is>
      </c>
      <c r="B2285" t="inlineStr">
        <is>
          <t>Onsite</t>
        </is>
      </c>
      <c r="AB2285" t="n">
        <v>762</v>
      </c>
      <c r="AD2285" s="52">
        <f>IFERROR(N(IFERROR(INDEX($A2285:$AB2285,MATCH("Xero Invoiced Ex GST",$A$1:$AB$1,0)),"")),0)</f>
        <v/>
      </c>
      <c r="AE2285" s="53">
        <f>IFERROR(INDEX($A2285:$AB2285,MATCH("Xero Invoice Date",$A$1:$AB$1,0)),"")</f>
        <v/>
      </c>
      <c r="AF2285" s="54">
        <f>IF(AND(IFERROR(INDEX($A2285:$AB2285,MATCH("Xero Invoice No",$A$1:$AB$1,0)),"")&amp;""&lt;&gt;"",ISNUMBER(AE2285),AD2285&lt;&gt;0),1,0)</f>
        <v/>
      </c>
      <c r="AG2285" s="55">
        <f>IF(AF2285=1,EOMONTH(AE2285,0),"")</f>
        <v/>
      </c>
      <c r="AH2285" s="9">
        <f>IF(AF2285=1,UPPER(TRIM(IFERROR(INDEX($A2285:$AB2285,MATCH("Client",$A$1:$AB$1,0)),"")&amp;"")),"")</f>
        <v/>
      </c>
      <c r="AI2285" s="9">
        <f>IF(AF2285=1,IFERROR(INDEX($A2285:$AB2285,MATCH("Cost Centre",$A$1:$AB$1,0)),"")&amp;"","")</f>
        <v/>
      </c>
      <c r="AJ2285" s="54">
        <f>IF(AND(AF2285=1,AE2285&gt;=set_FYStart,AE2285&lt;=set_AsAt),1,0)</f>
        <v/>
      </c>
      <c r="AK2285" s="54">
        <f>IF(AND(AJ2285=1,AH2285&lt;&gt;"",COUNTIFS($AH$2:AH2285,AH2285,$AJ$2:AJ2285,1)=1),N(AL2284)+1,"")</f>
        <v/>
      </c>
      <c r="AL2285" s="54">
        <f>IF(AK2285&lt;&gt;"",AK2285,N(AL2284))</f>
        <v/>
      </c>
    </row>
    <row r="2286">
      <c r="A2286" t="inlineStr">
        <is>
          <t>PRD-0762</t>
        </is>
      </c>
      <c r="B2286" t="inlineStr">
        <is>
          <t>Production</t>
        </is>
      </c>
      <c r="AB2286" t="n">
        <v>762</v>
      </c>
      <c r="AD2286" s="52">
        <f>IFERROR(N(IFERROR(INDEX($A2286:$AB2286,MATCH("Xero Invoiced Ex GST",$A$1:$AB$1,0)),"")),0)</f>
        <v/>
      </c>
      <c r="AE2286" s="53">
        <f>IFERROR(INDEX($A2286:$AB2286,MATCH("Xero Invoice Date",$A$1:$AB$1,0)),"")</f>
        <v/>
      </c>
      <c r="AF2286" s="54">
        <f>IF(AND(IFERROR(INDEX($A2286:$AB2286,MATCH("Xero Invoice No",$A$1:$AB$1,0)),"")&amp;""&lt;&gt;"",ISNUMBER(AE2286),AD2286&lt;&gt;0),1,0)</f>
        <v/>
      </c>
      <c r="AG2286" s="55">
        <f>IF(AF2286=1,EOMONTH(AE2286,0),"")</f>
        <v/>
      </c>
      <c r="AH2286" s="9">
        <f>IF(AF2286=1,UPPER(TRIM(IFERROR(INDEX($A2286:$AB2286,MATCH("Client",$A$1:$AB$1,0)),"")&amp;"")),"")</f>
        <v/>
      </c>
      <c r="AI2286" s="9">
        <f>IF(AF2286=1,IFERROR(INDEX($A2286:$AB2286,MATCH("Cost Centre",$A$1:$AB$1,0)),"")&amp;"","")</f>
        <v/>
      </c>
      <c r="AJ2286" s="54">
        <f>IF(AND(AF2286=1,AE2286&gt;=set_FYStart,AE2286&lt;=set_AsAt),1,0)</f>
        <v/>
      </c>
      <c r="AK2286" s="54">
        <f>IF(AND(AJ2286=1,AH2286&lt;&gt;"",COUNTIFS($AH$2:AH2286,AH2286,$AJ$2:AJ2286,1)=1),N(AL2285)+1,"")</f>
        <v/>
      </c>
      <c r="AL2286" s="54">
        <f>IF(AK2286&lt;&gt;"",AK2286,N(AL2285))</f>
        <v/>
      </c>
    </row>
    <row r="2287">
      <c r="A2287" t="inlineStr">
        <is>
          <t>CON-0762</t>
        </is>
      </c>
      <c r="B2287" t="inlineStr">
        <is>
          <t>Consulting</t>
        </is>
      </c>
      <c r="AB2287" t="n">
        <v>762</v>
      </c>
      <c r="AD2287" s="52">
        <f>IFERROR(N(IFERROR(INDEX($A2287:$AB2287,MATCH("Xero Invoiced Ex GST",$A$1:$AB$1,0)),"")),0)</f>
        <v/>
      </c>
      <c r="AE2287" s="53">
        <f>IFERROR(INDEX($A2287:$AB2287,MATCH("Xero Invoice Date",$A$1:$AB$1,0)),"")</f>
        <v/>
      </c>
      <c r="AF2287" s="54">
        <f>IF(AND(IFERROR(INDEX($A2287:$AB2287,MATCH("Xero Invoice No",$A$1:$AB$1,0)),"")&amp;""&lt;&gt;"",ISNUMBER(AE2287),AD2287&lt;&gt;0),1,0)</f>
        <v/>
      </c>
      <c r="AG2287" s="55">
        <f>IF(AF2287=1,EOMONTH(AE2287,0),"")</f>
        <v/>
      </c>
      <c r="AH2287" s="9">
        <f>IF(AF2287=1,UPPER(TRIM(IFERROR(INDEX($A2287:$AB2287,MATCH("Client",$A$1:$AB$1,0)),"")&amp;"")),"")</f>
        <v/>
      </c>
      <c r="AI2287" s="9">
        <f>IF(AF2287=1,IFERROR(INDEX($A2287:$AB2287,MATCH("Cost Centre",$A$1:$AB$1,0)),"")&amp;"","")</f>
        <v/>
      </c>
      <c r="AJ2287" s="54">
        <f>IF(AND(AF2287=1,AE2287&gt;=set_FYStart,AE2287&lt;=set_AsAt),1,0)</f>
        <v/>
      </c>
      <c r="AK2287" s="54">
        <f>IF(AND(AJ2287=1,AH2287&lt;&gt;"",COUNTIFS($AH$2:AH2287,AH2287,$AJ$2:AJ2287,1)=1),N(AL2286)+1,"")</f>
        <v/>
      </c>
      <c r="AL2287" s="54">
        <f>IF(AK2287&lt;&gt;"",AK2287,N(AL2286))</f>
        <v/>
      </c>
    </row>
    <row r="2288">
      <c r="A2288" t="inlineStr">
        <is>
          <t>ONS-0763</t>
        </is>
      </c>
      <c r="B2288" t="inlineStr">
        <is>
          <t>Onsite</t>
        </is>
      </c>
      <c r="AB2288" t="n">
        <v>763</v>
      </c>
      <c r="AD2288" s="52">
        <f>IFERROR(N(IFERROR(INDEX($A2288:$AB2288,MATCH("Xero Invoiced Ex GST",$A$1:$AB$1,0)),"")),0)</f>
        <v/>
      </c>
      <c r="AE2288" s="53">
        <f>IFERROR(INDEX($A2288:$AB2288,MATCH("Xero Invoice Date",$A$1:$AB$1,0)),"")</f>
        <v/>
      </c>
      <c r="AF2288" s="54">
        <f>IF(AND(IFERROR(INDEX($A2288:$AB2288,MATCH("Xero Invoice No",$A$1:$AB$1,0)),"")&amp;""&lt;&gt;"",ISNUMBER(AE2288),AD2288&lt;&gt;0),1,0)</f>
        <v/>
      </c>
      <c r="AG2288" s="55">
        <f>IF(AF2288=1,EOMONTH(AE2288,0),"")</f>
        <v/>
      </c>
      <c r="AH2288" s="9">
        <f>IF(AF2288=1,UPPER(TRIM(IFERROR(INDEX($A2288:$AB2288,MATCH("Client",$A$1:$AB$1,0)),"")&amp;"")),"")</f>
        <v/>
      </c>
      <c r="AI2288" s="9">
        <f>IF(AF2288=1,IFERROR(INDEX($A2288:$AB2288,MATCH("Cost Centre",$A$1:$AB$1,0)),"")&amp;"","")</f>
        <v/>
      </c>
      <c r="AJ2288" s="54">
        <f>IF(AND(AF2288=1,AE2288&gt;=set_FYStart,AE2288&lt;=set_AsAt),1,0)</f>
        <v/>
      </c>
      <c r="AK2288" s="54">
        <f>IF(AND(AJ2288=1,AH2288&lt;&gt;"",COUNTIFS($AH$2:AH2288,AH2288,$AJ$2:AJ2288,1)=1),N(AL2287)+1,"")</f>
        <v/>
      </c>
      <c r="AL2288" s="54">
        <f>IF(AK2288&lt;&gt;"",AK2288,N(AL2287))</f>
        <v/>
      </c>
    </row>
    <row r="2289">
      <c r="A2289" t="inlineStr">
        <is>
          <t>PRD-0763</t>
        </is>
      </c>
      <c r="B2289" t="inlineStr">
        <is>
          <t>Production</t>
        </is>
      </c>
      <c r="AB2289" t="n">
        <v>763</v>
      </c>
      <c r="AD2289" s="52">
        <f>IFERROR(N(IFERROR(INDEX($A2289:$AB2289,MATCH("Xero Invoiced Ex GST",$A$1:$AB$1,0)),"")),0)</f>
        <v/>
      </c>
      <c r="AE2289" s="53">
        <f>IFERROR(INDEX($A2289:$AB2289,MATCH("Xero Invoice Date",$A$1:$AB$1,0)),"")</f>
        <v/>
      </c>
      <c r="AF2289" s="54">
        <f>IF(AND(IFERROR(INDEX($A2289:$AB2289,MATCH("Xero Invoice No",$A$1:$AB$1,0)),"")&amp;""&lt;&gt;"",ISNUMBER(AE2289),AD2289&lt;&gt;0),1,0)</f>
        <v/>
      </c>
      <c r="AG2289" s="55">
        <f>IF(AF2289=1,EOMONTH(AE2289,0),"")</f>
        <v/>
      </c>
      <c r="AH2289" s="9">
        <f>IF(AF2289=1,UPPER(TRIM(IFERROR(INDEX($A2289:$AB2289,MATCH("Client",$A$1:$AB$1,0)),"")&amp;"")),"")</f>
        <v/>
      </c>
      <c r="AI2289" s="9">
        <f>IF(AF2289=1,IFERROR(INDEX($A2289:$AB2289,MATCH("Cost Centre",$A$1:$AB$1,0)),"")&amp;"","")</f>
        <v/>
      </c>
      <c r="AJ2289" s="54">
        <f>IF(AND(AF2289=1,AE2289&gt;=set_FYStart,AE2289&lt;=set_AsAt),1,0)</f>
        <v/>
      </c>
      <c r="AK2289" s="54">
        <f>IF(AND(AJ2289=1,AH2289&lt;&gt;"",COUNTIFS($AH$2:AH2289,AH2289,$AJ$2:AJ2289,1)=1),N(AL2288)+1,"")</f>
        <v/>
      </c>
      <c r="AL2289" s="54">
        <f>IF(AK2289&lt;&gt;"",AK2289,N(AL2288))</f>
        <v/>
      </c>
    </row>
    <row r="2290">
      <c r="A2290" t="inlineStr">
        <is>
          <t>CON-0763</t>
        </is>
      </c>
      <c r="B2290" t="inlineStr">
        <is>
          <t>Consulting</t>
        </is>
      </c>
      <c r="AB2290" t="n">
        <v>763</v>
      </c>
      <c r="AD2290" s="52">
        <f>IFERROR(N(IFERROR(INDEX($A2290:$AB2290,MATCH("Xero Invoiced Ex GST",$A$1:$AB$1,0)),"")),0)</f>
        <v/>
      </c>
      <c r="AE2290" s="53">
        <f>IFERROR(INDEX($A2290:$AB2290,MATCH("Xero Invoice Date",$A$1:$AB$1,0)),"")</f>
        <v/>
      </c>
      <c r="AF2290" s="54">
        <f>IF(AND(IFERROR(INDEX($A2290:$AB2290,MATCH("Xero Invoice No",$A$1:$AB$1,0)),"")&amp;""&lt;&gt;"",ISNUMBER(AE2290),AD2290&lt;&gt;0),1,0)</f>
        <v/>
      </c>
      <c r="AG2290" s="55">
        <f>IF(AF2290=1,EOMONTH(AE2290,0),"")</f>
        <v/>
      </c>
      <c r="AH2290" s="9">
        <f>IF(AF2290=1,UPPER(TRIM(IFERROR(INDEX($A2290:$AB2290,MATCH("Client",$A$1:$AB$1,0)),"")&amp;"")),"")</f>
        <v/>
      </c>
      <c r="AI2290" s="9">
        <f>IF(AF2290=1,IFERROR(INDEX($A2290:$AB2290,MATCH("Cost Centre",$A$1:$AB$1,0)),"")&amp;"","")</f>
        <v/>
      </c>
      <c r="AJ2290" s="54">
        <f>IF(AND(AF2290=1,AE2290&gt;=set_FYStart,AE2290&lt;=set_AsAt),1,0)</f>
        <v/>
      </c>
      <c r="AK2290" s="54">
        <f>IF(AND(AJ2290=1,AH2290&lt;&gt;"",COUNTIFS($AH$2:AH2290,AH2290,$AJ$2:AJ2290,1)=1),N(AL2289)+1,"")</f>
        <v/>
      </c>
      <c r="AL2290" s="54">
        <f>IF(AK2290&lt;&gt;"",AK2290,N(AL2289))</f>
        <v/>
      </c>
    </row>
    <row r="2291">
      <c r="A2291" t="inlineStr">
        <is>
          <t>ONS-0764</t>
        </is>
      </c>
      <c r="B2291" t="inlineStr">
        <is>
          <t>Onsite</t>
        </is>
      </c>
      <c r="AB2291" t="n">
        <v>764</v>
      </c>
      <c r="AD2291" s="52">
        <f>IFERROR(N(IFERROR(INDEX($A2291:$AB2291,MATCH("Xero Invoiced Ex GST",$A$1:$AB$1,0)),"")),0)</f>
        <v/>
      </c>
      <c r="AE2291" s="53">
        <f>IFERROR(INDEX($A2291:$AB2291,MATCH("Xero Invoice Date",$A$1:$AB$1,0)),"")</f>
        <v/>
      </c>
      <c r="AF2291" s="54">
        <f>IF(AND(IFERROR(INDEX($A2291:$AB2291,MATCH("Xero Invoice No",$A$1:$AB$1,0)),"")&amp;""&lt;&gt;"",ISNUMBER(AE2291),AD2291&lt;&gt;0),1,0)</f>
        <v/>
      </c>
      <c r="AG2291" s="55">
        <f>IF(AF2291=1,EOMONTH(AE2291,0),"")</f>
        <v/>
      </c>
      <c r="AH2291" s="9">
        <f>IF(AF2291=1,UPPER(TRIM(IFERROR(INDEX($A2291:$AB2291,MATCH("Client",$A$1:$AB$1,0)),"")&amp;"")),"")</f>
        <v/>
      </c>
      <c r="AI2291" s="9">
        <f>IF(AF2291=1,IFERROR(INDEX($A2291:$AB2291,MATCH("Cost Centre",$A$1:$AB$1,0)),"")&amp;"","")</f>
        <v/>
      </c>
      <c r="AJ2291" s="54">
        <f>IF(AND(AF2291=1,AE2291&gt;=set_FYStart,AE2291&lt;=set_AsAt),1,0)</f>
        <v/>
      </c>
      <c r="AK2291" s="54">
        <f>IF(AND(AJ2291=1,AH2291&lt;&gt;"",COUNTIFS($AH$2:AH2291,AH2291,$AJ$2:AJ2291,1)=1),N(AL2290)+1,"")</f>
        <v/>
      </c>
      <c r="AL2291" s="54">
        <f>IF(AK2291&lt;&gt;"",AK2291,N(AL2290))</f>
        <v/>
      </c>
    </row>
    <row r="2292">
      <c r="A2292" t="inlineStr">
        <is>
          <t>PRD-0764</t>
        </is>
      </c>
      <c r="B2292" t="inlineStr">
        <is>
          <t>Production</t>
        </is>
      </c>
      <c r="AB2292" t="n">
        <v>764</v>
      </c>
      <c r="AD2292" s="52">
        <f>IFERROR(N(IFERROR(INDEX($A2292:$AB2292,MATCH("Xero Invoiced Ex GST",$A$1:$AB$1,0)),"")),0)</f>
        <v/>
      </c>
      <c r="AE2292" s="53">
        <f>IFERROR(INDEX($A2292:$AB2292,MATCH("Xero Invoice Date",$A$1:$AB$1,0)),"")</f>
        <v/>
      </c>
      <c r="AF2292" s="54">
        <f>IF(AND(IFERROR(INDEX($A2292:$AB2292,MATCH("Xero Invoice No",$A$1:$AB$1,0)),"")&amp;""&lt;&gt;"",ISNUMBER(AE2292),AD2292&lt;&gt;0),1,0)</f>
        <v/>
      </c>
      <c r="AG2292" s="55">
        <f>IF(AF2292=1,EOMONTH(AE2292,0),"")</f>
        <v/>
      </c>
      <c r="AH2292" s="9">
        <f>IF(AF2292=1,UPPER(TRIM(IFERROR(INDEX($A2292:$AB2292,MATCH("Client",$A$1:$AB$1,0)),"")&amp;"")),"")</f>
        <v/>
      </c>
      <c r="AI2292" s="9">
        <f>IF(AF2292=1,IFERROR(INDEX($A2292:$AB2292,MATCH("Cost Centre",$A$1:$AB$1,0)),"")&amp;"","")</f>
        <v/>
      </c>
      <c r="AJ2292" s="54">
        <f>IF(AND(AF2292=1,AE2292&gt;=set_FYStart,AE2292&lt;=set_AsAt),1,0)</f>
        <v/>
      </c>
      <c r="AK2292" s="54">
        <f>IF(AND(AJ2292=1,AH2292&lt;&gt;"",COUNTIFS($AH$2:AH2292,AH2292,$AJ$2:AJ2292,1)=1),N(AL2291)+1,"")</f>
        <v/>
      </c>
      <c r="AL2292" s="54">
        <f>IF(AK2292&lt;&gt;"",AK2292,N(AL2291))</f>
        <v/>
      </c>
    </row>
    <row r="2293">
      <c r="A2293" t="inlineStr">
        <is>
          <t>CON-0764</t>
        </is>
      </c>
      <c r="B2293" t="inlineStr">
        <is>
          <t>Consulting</t>
        </is>
      </c>
      <c r="AB2293" t="n">
        <v>764</v>
      </c>
      <c r="AD2293" s="52">
        <f>IFERROR(N(IFERROR(INDEX($A2293:$AB2293,MATCH("Xero Invoiced Ex GST",$A$1:$AB$1,0)),"")),0)</f>
        <v/>
      </c>
      <c r="AE2293" s="53">
        <f>IFERROR(INDEX($A2293:$AB2293,MATCH("Xero Invoice Date",$A$1:$AB$1,0)),"")</f>
        <v/>
      </c>
      <c r="AF2293" s="54">
        <f>IF(AND(IFERROR(INDEX($A2293:$AB2293,MATCH("Xero Invoice No",$A$1:$AB$1,0)),"")&amp;""&lt;&gt;"",ISNUMBER(AE2293),AD2293&lt;&gt;0),1,0)</f>
        <v/>
      </c>
      <c r="AG2293" s="55">
        <f>IF(AF2293=1,EOMONTH(AE2293,0),"")</f>
        <v/>
      </c>
      <c r="AH2293" s="9">
        <f>IF(AF2293=1,UPPER(TRIM(IFERROR(INDEX($A2293:$AB2293,MATCH("Client",$A$1:$AB$1,0)),"")&amp;"")),"")</f>
        <v/>
      </c>
      <c r="AI2293" s="9">
        <f>IF(AF2293=1,IFERROR(INDEX($A2293:$AB2293,MATCH("Cost Centre",$A$1:$AB$1,0)),"")&amp;"","")</f>
        <v/>
      </c>
      <c r="AJ2293" s="54">
        <f>IF(AND(AF2293=1,AE2293&gt;=set_FYStart,AE2293&lt;=set_AsAt),1,0)</f>
        <v/>
      </c>
      <c r="AK2293" s="54">
        <f>IF(AND(AJ2293=1,AH2293&lt;&gt;"",COUNTIFS($AH$2:AH2293,AH2293,$AJ$2:AJ2293,1)=1),N(AL2292)+1,"")</f>
        <v/>
      </c>
      <c r="AL2293" s="54">
        <f>IF(AK2293&lt;&gt;"",AK2293,N(AL2292))</f>
        <v/>
      </c>
    </row>
    <row r="2294">
      <c r="A2294" t="inlineStr">
        <is>
          <t>ONS-0765</t>
        </is>
      </c>
      <c r="B2294" t="inlineStr">
        <is>
          <t>Onsite</t>
        </is>
      </c>
      <c r="AB2294" t="n">
        <v>765</v>
      </c>
      <c r="AD2294" s="52">
        <f>IFERROR(N(IFERROR(INDEX($A2294:$AB2294,MATCH("Xero Invoiced Ex GST",$A$1:$AB$1,0)),"")),0)</f>
        <v/>
      </c>
      <c r="AE2294" s="53">
        <f>IFERROR(INDEX($A2294:$AB2294,MATCH("Xero Invoice Date",$A$1:$AB$1,0)),"")</f>
        <v/>
      </c>
      <c r="AF2294" s="54">
        <f>IF(AND(IFERROR(INDEX($A2294:$AB2294,MATCH("Xero Invoice No",$A$1:$AB$1,0)),"")&amp;""&lt;&gt;"",ISNUMBER(AE2294),AD2294&lt;&gt;0),1,0)</f>
        <v/>
      </c>
      <c r="AG2294" s="55">
        <f>IF(AF2294=1,EOMONTH(AE2294,0),"")</f>
        <v/>
      </c>
      <c r="AH2294" s="9">
        <f>IF(AF2294=1,UPPER(TRIM(IFERROR(INDEX($A2294:$AB2294,MATCH("Client",$A$1:$AB$1,0)),"")&amp;"")),"")</f>
        <v/>
      </c>
      <c r="AI2294" s="9">
        <f>IF(AF2294=1,IFERROR(INDEX($A2294:$AB2294,MATCH("Cost Centre",$A$1:$AB$1,0)),"")&amp;"","")</f>
        <v/>
      </c>
      <c r="AJ2294" s="54">
        <f>IF(AND(AF2294=1,AE2294&gt;=set_FYStart,AE2294&lt;=set_AsAt),1,0)</f>
        <v/>
      </c>
      <c r="AK2294" s="54">
        <f>IF(AND(AJ2294=1,AH2294&lt;&gt;"",COUNTIFS($AH$2:AH2294,AH2294,$AJ$2:AJ2294,1)=1),N(AL2293)+1,"")</f>
        <v/>
      </c>
      <c r="AL2294" s="54">
        <f>IF(AK2294&lt;&gt;"",AK2294,N(AL2293))</f>
        <v/>
      </c>
    </row>
    <row r="2295">
      <c r="A2295" t="inlineStr">
        <is>
          <t>PRD-0765</t>
        </is>
      </c>
      <c r="B2295" t="inlineStr">
        <is>
          <t>Production</t>
        </is>
      </c>
      <c r="AB2295" t="n">
        <v>765</v>
      </c>
      <c r="AD2295" s="52">
        <f>IFERROR(N(IFERROR(INDEX($A2295:$AB2295,MATCH("Xero Invoiced Ex GST",$A$1:$AB$1,0)),"")),0)</f>
        <v/>
      </c>
      <c r="AE2295" s="53">
        <f>IFERROR(INDEX($A2295:$AB2295,MATCH("Xero Invoice Date",$A$1:$AB$1,0)),"")</f>
        <v/>
      </c>
      <c r="AF2295" s="54">
        <f>IF(AND(IFERROR(INDEX($A2295:$AB2295,MATCH("Xero Invoice No",$A$1:$AB$1,0)),"")&amp;""&lt;&gt;"",ISNUMBER(AE2295),AD2295&lt;&gt;0),1,0)</f>
        <v/>
      </c>
      <c r="AG2295" s="55">
        <f>IF(AF2295=1,EOMONTH(AE2295,0),"")</f>
        <v/>
      </c>
      <c r="AH2295" s="9">
        <f>IF(AF2295=1,UPPER(TRIM(IFERROR(INDEX($A2295:$AB2295,MATCH("Client",$A$1:$AB$1,0)),"")&amp;"")),"")</f>
        <v/>
      </c>
      <c r="AI2295" s="9">
        <f>IF(AF2295=1,IFERROR(INDEX($A2295:$AB2295,MATCH("Cost Centre",$A$1:$AB$1,0)),"")&amp;"","")</f>
        <v/>
      </c>
      <c r="AJ2295" s="54">
        <f>IF(AND(AF2295=1,AE2295&gt;=set_FYStart,AE2295&lt;=set_AsAt),1,0)</f>
        <v/>
      </c>
      <c r="AK2295" s="54">
        <f>IF(AND(AJ2295=1,AH2295&lt;&gt;"",COUNTIFS($AH$2:AH2295,AH2295,$AJ$2:AJ2295,1)=1),N(AL2294)+1,"")</f>
        <v/>
      </c>
      <c r="AL2295" s="54">
        <f>IF(AK2295&lt;&gt;"",AK2295,N(AL2294))</f>
        <v/>
      </c>
    </row>
    <row r="2296">
      <c r="A2296" t="inlineStr">
        <is>
          <t>CON-0765</t>
        </is>
      </c>
      <c r="B2296" t="inlineStr">
        <is>
          <t>Consulting</t>
        </is>
      </c>
      <c r="AB2296" t="n">
        <v>765</v>
      </c>
      <c r="AD2296" s="52">
        <f>IFERROR(N(IFERROR(INDEX($A2296:$AB2296,MATCH("Xero Invoiced Ex GST",$A$1:$AB$1,0)),"")),0)</f>
        <v/>
      </c>
      <c r="AE2296" s="53">
        <f>IFERROR(INDEX($A2296:$AB2296,MATCH("Xero Invoice Date",$A$1:$AB$1,0)),"")</f>
        <v/>
      </c>
      <c r="AF2296" s="54">
        <f>IF(AND(IFERROR(INDEX($A2296:$AB2296,MATCH("Xero Invoice No",$A$1:$AB$1,0)),"")&amp;""&lt;&gt;"",ISNUMBER(AE2296),AD2296&lt;&gt;0),1,0)</f>
        <v/>
      </c>
      <c r="AG2296" s="55">
        <f>IF(AF2296=1,EOMONTH(AE2296,0),"")</f>
        <v/>
      </c>
      <c r="AH2296" s="9">
        <f>IF(AF2296=1,UPPER(TRIM(IFERROR(INDEX($A2296:$AB2296,MATCH("Client",$A$1:$AB$1,0)),"")&amp;"")),"")</f>
        <v/>
      </c>
      <c r="AI2296" s="9">
        <f>IF(AF2296=1,IFERROR(INDEX($A2296:$AB2296,MATCH("Cost Centre",$A$1:$AB$1,0)),"")&amp;"","")</f>
        <v/>
      </c>
      <c r="AJ2296" s="54">
        <f>IF(AND(AF2296=1,AE2296&gt;=set_FYStart,AE2296&lt;=set_AsAt),1,0)</f>
        <v/>
      </c>
      <c r="AK2296" s="54">
        <f>IF(AND(AJ2296=1,AH2296&lt;&gt;"",COUNTIFS($AH$2:AH2296,AH2296,$AJ$2:AJ2296,1)=1),N(AL2295)+1,"")</f>
        <v/>
      </c>
      <c r="AL2296" s="54">
        <f>IF(AK2296&lt;&gt;"",AK2296,N(AL2295))</f>
        <v/>
      </c>
    </row>
    <row r="2297">
      <c r="A2297" t="inlineStr">
        <is>
          <t>ONS-0766</t>
        </is>
      </c>
      <c r="B2297" t="inlineStr">
        <is>
          <t>Onsite</t>
        </is>
      </c>
      <c r="AB2297" t="n">
        <v>766</v>
      </c>
      <c r="AD2297" s="52">
        <f>IFERROR(N(IFERROR(INDEX($A2297:$AB2297,MATCH("Xero Invoiced Ex GST",$A$1:$AB$1,0)),"")),0)</f>
        <v/>
      </c>
      <c r="AE2297" s="53">
        <f>IFERROR(INDEX($A2297:$AB2297,MATCH("Xero Invoice Date",$A$1:$AB$1,0)),"")</f>
        <v/>
      </c>
      <c r="AF2297" s="54">
        <f>IF(AND(IFERROR(INDEX($A2297:$AB2297,MATCH("Xero Invoice No",$A$1:$AB$1,0)),"")&amp;""&lt;&gt;"",ISNUMBER(AE2297),AD2297&lt;&gt;0),1,0)</f>
        <v/>
      </c>
      <c r="AG2297" s="55">
        <f>IF(AF2297=1,EOMONTH(AE2297,0),"")</f>
        <v/>
      </c>
      <c r="AH2297" s="9">
        <f>IF(AF2297=1,UPPER(TRIM(IFERROR(INDEX($A2297:$AB2297,MATCH("Client",$A$1:$AB$1,0)),"")&amp;"")),"")</f>
        <v/>
      </c>
      <c r="AI2297" s="9">
        <f>IF(AF2297=1,IFERROR(INDEX($A2297:$AB2297,MATCH("Cost Centre",$A$1:$AB$1,0)),"")&amp;"","")</f>
        <v/>
      </c>
      <c r="AJ2297" s="54">
        <f>IF(AND(AF2297=1,AE2297&gt;=set_FYStart,AE2297&lt;=set_AsAt),1,0)</f>
        <v/>
      </c>
      <c r="AK2297" s="54">
        <f>IF(AND(AJ2297=1,AH2297&lt;&gt;"",COUNTIFS($AH$2:AH2297,AH2297,$AJ$2:AJ2297,1)=1),N(AL2296)+1,"")</f>
        <v/>
      </c>
      <c r="AL2297" s="54">
        <f>IF(AK2297&lt;&gt;"",AK2297,N(AL2296))</f>
        <v/>
      </c>
    </row>
    <row r="2298">
      <c r="A2298" t="inlineStr">
        <is>
          <t>PRD-0766</t>
        </is>
      </c>
      <c r="B2298" t="inlineStr">
        <is>
          <t>Production</t>
        </is>
      </c>
      <c r="AB2298" t="n">
        <v>766</v>
      </c>
      <c r="AD2298" s="52">
        <f>IFERROR(N(IFERROR(INDEX($A2298:$AB2298,MATCH("Xero Invoiced Ex GST",$A$1:$AB$1,0)),"")),0)</f>
        <v/>
      </c>
      <c r="AE2298" s="53">
        <f>IFERROR(INDEX($A2298:$AB2298,MATCH("Xero Invoice Date",$A$1:$AB$1,0)),"")</f>
        <v/>
      </c>
      <c r="AF2298" s="54">
        <f>IF(AND(IFERROR(INDEX($A2298:$AB2298,MATCH("Xero Invoice No",$A$1:$AB$1,0)),"")&amp;""&lt;&gt;"",ISNUMBER(AE2298),AD2298&lt;&gt;0),1,0)</f>
        <v/>
      </c>
      <c r="AG2298" s="55">
        <f>IF(AF2298=1,EOMONTH(AE2298,0),"")</f>
        <v/>
      </c>
      <c r="AH2298" s="9">
        <f>IF(AF2298=1,UPPER(TRIM(IFERROR(INDEX($A2298:$AB2298,MATCH("Client",$A$1:$AB$1,0)),"")&amp;"")),"")</f>
        <v/>
      </c>
      <c r="AI2298" s="9">
        <f>IF(AF2298=1,IFERROR(INDEX($A2298:$AB2298,MATCH("Cost Centre",$A$1:$AB$1,0)),"")&amp;"","")</f>
        <v/>
      </c>
      <c r="AJ2298" s="54">
        <f>IF(AND(AF2298=1,AE2298&gt;=set_FYStart,AE2298&lt;=set_AsAt),1,0)</f>
        <v/>
      </c>
      <c r="AK2298" s="54">
        <f>IF(AND(AJ2298=1,AH2298&lt;&gt;"",COUNTIFS($AH$2:AH2298,AH2298,$AJ$2:AJ2298,1)=1),N(AL2297)+1,"")</f>
        <v/>
      </c>
      <c r="AL2298" s="54">
        <f>IF(AK2298&lt;&gt;"",AK2298,N(AL2297))</f>
        <v/>
      </c>
    </row>
    <row r="2299">
      <c r="A2299" t="inlineStr">
        <is>
          <t>CON-0766</t>
        </is>
      </c>
      <c r="B2299" t="inlineStr">
        <is>
          <t>Consulting</t>
        </is>
      </c>
      <c r="AB2299" t="n">
        <v>766</v>
      </c>
      <c r="AD2299" s="52">
        <f>IFERROR(N(IFERROR(INDEX($A2299:$AB2299,MATCH("Xero Invoiced Ex GST",$A$1:$AB$1,0)),"")),0)</f>
        <v/>
      </c>
      <c r="AE2299" s="53">
        <f>IFERROR(INDEX($A2299:$AB2299,MATCH("Xero Invoice Date",$A$1:$AB$1,0)),"")</f>
        <v/>
      </c>
      <c r="AF2299" s="54">
        <f>IF(AND(IFERROR(INDEX($A2299:$AB2299,MATCH("Xero Invoice No",$A$1:$AB$1,0)),"")&amp;""&lt;&gt;"",ISNUMBER(AE2299),AD2299&lt;&gt;0),1,0)</f>
        <v/>
      </c>
      <c r="AG2299" s="55">
        <f>IF(AF2299=1,EOMONTH(AE2299,0),"")</f>
        <v/>
      </c>
      <c r="AH2299" s="9">
        <f>IF(AF2299=1,UPPER(TRIM(IFERROR(INDEX($A2299:$AB2299,MATCH("Client",$A$1:$AB$1,0)),"")&amp;"")),"")</f>
        <v/>
      </c>
      <c r="AI2299" s="9">
        <f>IF(AF2299=1,IFERROR(INDEX($A2299:$AB2299,MATCH("Cost Centre",$A$1:$AB$1,0)),"")&amp;"","")</f>
        <v/>
      </c>
      <c r="AJ2299" s="54">
        <f>IF(AND(AF2299=1,AE2299&gt;=set_FYStart,AE2299&lt;=set_AsAt),1,0)</f>
        <v/>
      </c>
      <c r="AK2299" s="54">
        <f>IF(AND(AJ2299=1,AH2299&lt;&gt;"",COUNTIFS($AH$2:AH2299,AH2299,$AJ$2:AJ2299,1)=1),N(AL2298)+1,"")</f>
        <v/>
      </c>
      <c r="AL2299" s="54">
        <f>IF(AK2299&lt;&gt;"",AK2299,N(AL2298))</f>
        <v/>
      </c>
    </row>
    <row r="2300">
      <c r="A2300" t="inlineStr">
        <is>
          <t>ONS-0767</t>
        </is>
      </c>
      <c r="B2300" t="inlineStr">
        <is>
          <t>Onsite</t>
        </is>
      </c>
      <c r="AB2300" t="n">
        <v>767</v>
      </c>
      <c r="AD2300" s="52">
        <f>IFERROR(N(IFERROR(INDEX($A2300:$AB2300,MATCH("Xero Invoiced Ex GST",$A$1:$AB$1,0)),"")),0)</f>
        <v/>
      </c>
      <c r="AE2300" s="53">
        <f>IFERROR(INDEX($A2300:$AB2300,MATCH("Xero Invoice Date",$A$1:$AB$1,0)),"")</f>
        <v/>
      </c>
      <c r="AF2300" s="54">
        <f>IF(AND(IFERROR(INDEX($A2300:$AB2300,MATCH("Xero Invoice No",$A$1:$AB$1,0)),"")&amp;""&lt;&gt;"",ISNUMBER(AE2300),AD2300&lt;&gt;0),1,0)</f>
        <v/>
      </c>
      <c r="AG2300" s="55">
        <f>IF(AF2300=1,EOMONTH(AE2300,0),"")</f>
        <v/>
      </c>
      <c r="AH2300" s="9">
        <f>IF(AF2300=1,UPPER(TRIM(IFERROR(INDEX($A2300:$AB2300,MATCH("Client",$A$1:$AB$1,0)),"")&amp;"")),"")</f>
        <v/>
      </c>
      <c r="AI2300" s="9">
        <f>IF(AF2300=1,IFERROR(INDEX($A2300:$AB2300,MATCH("Cost Centre",$A$1:$AB$1,0)),"")&amp;"","")</f>
        <v/>
      </c>
      <c r="AJ2300" s="54">
        <f>IF(AND(AF2300=1,AE2300&gt;=set_FYStart,AE2300&lt;=set_AsAt),1,0)</f>
        <v/>
      </c>
      <c r="AK2300" s="54">
        <f>IF(AND(AJ2300=1,AH2300&lt;&gt;"",COUNTIFS($AH$2:AH2300,AH2300,$AJ$2:AJ2300,1)=1),N(AL2299)+1,"")</f>
        <v/>
      </c>
      <c r="AL2300" s="54">
        <f>IF(AK2300&lt;&gt;"",AK2300,N(AL2299))</f>
        <v/>
      </c>
    </row>
    <row r="2301">
      <c r="A2301" t="inlineStr">
        <is>
          <t>PRD-0767</t>
        </is>
      </c>
      <c r="B2301" t="inlineStr">
        <is>
          <t>Production</t>
        </is>
      </c>
      <c r="AB2301" t="n">
        <v>767</v>
      </c>
      <c r="AD2301" s="52">
        <f>IFERROR(N(IFERROR(INDEX($A2301:$AB2301,MATCH("Xero Invoiced Ex GST",$A$1:$AB$1,0)),"")),0)</f>
        <v/>
      </c>
      <c r="AE2301" s="53">
        <f>IFERROR(INDEX($A2301:$AB2301,MATCH("Xero Invoice Date",$A$1:$AB$1,0)),"")</f>
        <v/>
      </c>
      <c r="AF2301" s="54">
        <f>IF(AND(IFERROR(INDEX($A2301:$AB2301,MATCH("Xero Invoice No",$A$1:$AB$1,0)),"")&amp;""&lt;&gt;"",ISNUMBER(AE2301),AD2301&lt;&gt;0),1,0)</f>
        <v/>
      </c>
      <c r="AG2301" s="55">
        <f>IF(AF2301=1,EOMONTH(AE2301,0),"")</f>
        <v/>
      </c>
      <c r="AH2301" s="9">
        <f>IF(AF2301=1,UPPER(TRIM(IFERROR(INDEX($A2301:$AB2301,MATCH("Client",$A$1:$AB$1,0)),"")&amp;"")),"")</f>
        <v/>
      </c>
      <c r="AI2301" s="9">
        <f>IF(AF2301=1,IFERROR(INDEX($A2301:$AB2301,MATCH("Cost Centre",$A$1:$AB$1,0)),"")&amp;"","")</f>
        <v/>
      </c>
      <c r="AJ2301" s="54">
        <f>IF(AND(AF2301=1,AE2301&gt;=set_FYStart,AE2301&lt;=set_AsAt),1,0)</f>
        <v/>
      </c>
      <c r="AK2301" s="54">
        <f>IF(AND(AJ2301=1,AH2301&lt;&gt;"",COUNTIFS($AH$2:AH2301,AH2301,$AJ$2:AJ2301,1)=1),N(AL2300)+1,"")</f>
        <v/>
      </c>
      <c r="AL2301" s="54">
        <f>IF(AK2301&lt;&gt;"",AK2301,N(AL2300))</f>
        <v/>
      </c>
    </row>
    <row r="2302">
      <c r="A2302" t="inlineStr">
        <is>
          <t>CON-0767</t>
        </is>
      </c>
      <c r="B2302" t="inlineStr">
        <is>
          <t>Consulting</t>
        </is>
      </c>
      <c r="AB2302" t="n">
        <v>767</v>
      </c>
      <c r="AD2302" s="52">
        <f>IFERROR(N(IFERROR(INDEX($A2302:$AB2302,MATCH("Xero Invoiced Ex GST",$A$1:$AB$1,0)),"")),0)</f>
        <v/>
      </c>
      <c r="AE2302" s="53">
        <f>IFERROR(INDEX($A2302:$AB2302,MATCH("Xero Invoice Date",$A$1:$AB$1,0)),"")</f>
        <v/>
      </c>
      <c r="AF2302" s="54">
        <f>IF(AND(IFERROR(INDEX($A2302:$AB2302,MATCH("Xero Invoice No",$A$1:$AB$1,0)),"")&amp;""&lt;&gt;"",ISNUMBER(AE2302),AD2302&lt;&gt;0),1,0)</f>
        <v/>
      </c>
      <c r="AG2302" s="55">
        <f>IF(AF2302=1,EOMONTH(AE2302,0),"")</f>
        <v/>
      </c>
      <c r="AH2302" s="9">
        <f>IF(AF2302=1,UPPER(TRIM(IFERROR(INDEX($A2302:$AB2302,MATCH("Client",$A$1:$AB$1,0)),"")&amp;"")),"")</f>
        <v/>
      </c>
      <c r="AI2302" s="9">
        <f>IF(AF2302=1,IFERROR(INDEX($A2302:$AB2302,MATCH("Cost Centre",$A$1:$AB$1,0)),"")&amp;"","")</f>
        <v/>
      </c>
      <c r="AJ2302" s="54">
        <f>IF(AND(AF2302=1,AE2302&gt;=set_FYStart,AE2302&lt;=set_AsAt),1,0)</f>
        <v/>
      </c>
      <c r="AK2302" s="54">
        <f>IF(AND(AJ2302=1,AH2302&lt;&gt;"",COUNTIFS($AH$2:AH2302,AH2302,$AJ$2:AJ2302,1)=1),N(AL2301)+1,"")</f>
        <v/>
      </c>
      <c r="AL2302" s="54">
        <f>IF(AK2302&lt;&gt;"",AK2302,N(AL2301))</f>
        <v/>
      </c>
    </row>
    <row r="2303">
      <c r="A2303" t="inlineStr">
        <is>
          <t>ONS-0768</t>
        </is>
      </c>
      <c r="B2303" t="inlineStr">
        <is>
          <t>Onsite</t>
        </is>
      </c>
      <c r="AB2303" t="n">
        <v>768</v>
      </c>
      <c r="AD2303" s="52">
        <f>IFERROR(N(IFERROR(INDEX($A2303:$AB2303,MATCH("Xero Invoiced Ex GST",$A$1:$AB$1,0)),"")),0)</f>
        <v/>
      </c>
      <c r="AE2303" s="53">
        <f>IFERROR(INDEX($A2303:$AB2303,MATCH("Xero Invoice Date",$A$1:$AB$1,0)),"")</f>
        <v/>
      </c>
      <c r="AF2303" s="54">
        <f>IF(AND(IFERROR(INDEX($A2303:$AB2303,MATCH("Xero Invoice No",$A$1:$AB$1,0)),"")&amp;""&lt;&gt;"",ISNUMBER(AE2303),AD2303&lt;&gt;0),1,0)</f>
        <v/>
      </c>
      <c r="AG2303" s="55">
        <f>IF(AF2303=1,EOMONTH(AE2303,0),"")</f>
        <v/>
      </c>
      <c r="AH2303" s="9">
        <f>IF(AF2303=1,UPPER(TRIM(IFERROR(INDEX($A2303:$AB2303,MATCH("Client",$A$1:$AB$1,0)),"")&amp;"")),"")</f>
        <v/>
      </c>
      <c r="AI2303" s="9">
        <f>IF(AF2303=1,IFERROR(INDEX($A2303:$AB2303,MATCH("Cost Centre",$A$1:$AB$1,0)),"")&amp;"","")</f>
        <v/>
      </c>
      <c r="AJ2303" s="54">
        <f>IF(AND(AF2303=1,AE2303&gt;=set_FYStart,AE2303&lt;=set_AsAt),1,0)</f>
        <v/>
      </c>
      <c r="AK2303" s="54">
        <f>IF(AND(AJ2303=1,AH2303&lt;&gt;"",COUNTIFS($AH$2:AH2303,AH2303,$AJ$2:AJ2303,1)=1),N(AL2302)+1,"")</f>
        <v/>
      </c>
      <c r="AL2303" s="54">
        <f>IF(AK2303&lt;&gt;"",AK2303,N(AL2302))</f>
        <v/>
      </c>
    </row>
    <row r="2304">
      <c r="A2304" t="inlineStr">
        <is>
          <t>PRD-0768</t>
        </is>
      </c>
      <c r="B2304" t="inlineStr">
        <is>
          <t>Production</t>
        </is>
      </c>
      <c r="AB2304" t="n">
        <v>768</v>
      </c>
      <c r="AD2304" s="52">
        <f>IFERROR(N(IFERROR(INDEX($A2304:$AB2304,MATCH("Xero Invoiced Ex GST",$A$1:$AB$1,0)),"")),0)</f>
        <v/>
      </c>
      <c r="AE2304" s="53">
        <f>IFERROR(INDEX($A2304:$AB2304,MATCH("Xero Invoice Date",$A$1:$AB$1,0)),"")</f>
        <v/>
      </c>
      <c r="AF2304" s="54">
        <f>IF(AND(IFERROR(INDEX($A2304:$AB2304,MATCH("Xero Invoice No",$A$1:$AB$1,0)),"")&amp;""&lt;&gt;"",ISNUMBER(AE2304),AD2304&lt;&gt;0),1,0)</f>
        <v/>
      </c>
      <c r="AG2304" s="55">
        <f>IF(AF2304=1,EOMONTH(AE2304,0),"")</f>
        <v/>
      </c>
      <c r="AH2304" s="9">
        <f>IF(AF2304=1,UPPER(TRIM(IFERROR(INDEX($A2304:$AB2304,MATCH("Client",$A$1:$AB$1,0)),"")&amp;"")),"")</f>
        <v/>
      </c>
      <c r="AI2304" s="9">
        <f>IF(AF2304=1,IFERROR(INDEX($A2304:$AB2304,MATCH("Cost Centre",$A$1:$AB$1,0)),"")&amp;"","")</f>
        <v/>
      </c>
      <c r="AJ2304" s="54">
        <f>IF(AND(AF2304=1,AE2304&gt;=set_FYStart,AE2304&lt;=set_AsAt),1,0)</f>
        <v/>
      </c>
      <c r="AK2304" s="54">
        <f>IF(AND(AJ2304=1,AH2304&lt;&gt;"",COUNTIFS($AH$2:AH2304,AH2304,$AJ$2:AJ2304,1)=1),N(AL2303)+1,"")</f>
        <v/>
      </c>
      <c r="AL2304" s="54">
        <f>IF(AK2304&lt;&gt;"",AK2304,N(AL2303))</f>
        <v/>
      </c>
    </row>
    <row r="2305">
      <c r="A2305" t="inlineStr">
        <is>
          <t>CON-0768</t>
        </is>
      </c>
      <c r="B2305" t="inlineStr">
        <is>
          <t>Consulting</t>
        </is>
      </c>
      <c r="AB2305" t="n">
        <v>768</v>
      </c>
      <c r="AD2305" s="52">
        <f>IFERROR(N(IFERROR(INDEX($A2305:$AB2305,MATCH("Xero Invoiced Ex GST",$A$1:$AB$1,0)),"")),0)</f>
        <v/>
      </c>
      <c r="AE2305" s="53">
        <f>IFERROR(INDEX($A2305:$AB2305,MATCH("Xero Invoice Date",$A$1:$AB$1,0)),"")</f>
        <v/>
      </c>
      <c r="AF2305" s="54">
        <f>IF(AND(IFERROR(INDEX($A2305:$AB2305,MATCH("Xero Invoice No",$A$1:$AB$1,0)),"")&amp;""&lt;&gt;"",ISNUMBER(AE2305),AD2305&lt;&gt;0),1,0)</f>
        <v/>
      </c>
      <c r="AG2305" s="55">
        <f>IF(AF2305=1,EOMONTH(AE2305,0),"")</f>
        <v/>
      </c>
      <c r="AH2305" s="9">
        <f>IF(AF2305=1,UPPER(TRIM(IFERROR(INDEX($A2305:$AB2305,MATCH("Client",$A$1:$AB$1,0)),"")&amp;"")),"")</f>
        <v/>
      </c>
      <c r="AI2305" s="9">
        <f>IF(AF2305=1,IFERROR(INDEX($A2305:$AB2305,MATCH("Cost Centre",$A$1:$AB$1,0)),"")&amp;"","")</f>
        <v/>
      </c>
      <c r="AJ2305" s="54">
        <f>IF(AND(AF2305=1,AE2305&gt;=set_FYStart,AE2305&lt;=set_AsAt),1,0)</f>
        <v/>
      </c>
      <c r="AK2305" s="54">
        <f>IF(AND(AJ2305=1,AH2305&lt;&gt;"",COUNTIFS($AH$2:AH2305,AH2305,$AJ$2:AJ2305,1)=1),N(AL2304)+1,"")</f>
        <v/>
      </c>
      <c r="AL2305" s="54">
        <f>IF(AK2305&lt;&gt;"",AK2305,N(AL2304))</f>
        <v/>
      </c>
    </row>
    <row r="2306">
      <c r="A2306" t="inlineStr">
        <is>
          <t>ONS-0769</t>
        </is>
      </c>
      <c r="B2306" t="inlineStr">
        <is>
          <t>Onsite</t>
        </is>
      </c>
      <c r="AB2306" t="n">
        <v>769</v>
      </c>
      <c r="AD2306" s="52">
        <f>IFERROR(N(IFERROR(INDEX($A2306:$AB2306,MATCH("Xero Invoiced Ex GST",$A$1:$AB$1,0)),"")),0)</f>
        <v/>
      </c>
      <c r="AE2306" s="53">
        <f>IFERROR(INDEX($A2306:$AB2306,MATCH("Xero Invoice Date",$A$1:$AB$1,0)),"")</f>
        <v/>
      </c>
      <c r="AF2306" s="54">
        <f>IF(AND(IFERROR(INDEX($A2306:$AB2306,MATCH("Xero Invoice No",$A$1:$AB$1,0)),"")&amp;""&lt;&gt;"",ISNUMBER(AE2306),AD2306&lt;&gt;0),1,0)</f>
        <v/>
      </c>
      <c r="AG2306" s="55">
        <f>IF(AF2306=1,EOMONTH(AE2306,0),"")</f>
        <v/>
      </c>
      <c r="AH2306" s="9">
        <f>IF(AF2306=1,UPPER(TRIM(IFERROR(INDEX($A2306:$AB2306,MATCH("Client",$A$1:$AB$1,0)),"")&amp;"")),"")</f>
        <v/>
      </c>
      <c r="AI2306" s="9">
        <f>IF(AF2306=1,IFERROR(INDEX($A2306:$AB2306,MATCH("Cost Centre",$A$1:$AB$1,0)),"")&amp;"","")</f>
        <v/>
      </c>
      <c r="AJ2306" s="54">
        <f>IF(AND(AF2306=1,AE2306&gt;=set_FYStart,AE2306&lt;=set_AsAt),1,0)</f>
        <v/>
      </c>
      <c r="AK2306" s="54">
        <f>IF(AND(AJ2306=1,AH2306&lt;&gt;"",COUNTIFS($AH$2:AH2306,AH2306,$AJ$2:AJ2306,1)=1),N(AL2305)+1,"")</f>
        <v/>
      </c>
      <c r="AL2306" s="54">
        <f>IF(AK2306&lt;&gt;"",AK2306,N(AL2305))</f>
        <v/>
      </c>
    </row>
    <row r="2307">
      <c r="A2307" t="inlineStr">
        <is>
          <t>PRD-0769</t>
        </is>
      </c>
      <c r="B2307" t="inlineStr">
        <is>
          <t>Production</t>
        </is>
      </c>
      <c r="AB2307" t="n">
        <v>769</v>
      </c>
      <c r="AD2307" s="52">
        <f>IFERROR(N(IFERROR(INDEX($A2307:$AB2307,MATCH("Xero Invoiced Ex GST",$A$1:$AB$1,0)),"")),0)</f>
        <v/>
      </c>
      <c r="AE2307" s="53">
        <f>IFERROR(INDEX($A2307:$AB2307,MATCH("Xero Invoice Date",$A$1:$AB$1,0)),"")</f>
        <v/>
      </c>
      <c r="AF2307" s="54">
        <f>IF(AND(IFERROR(INDEX($A2307:$AB2307,MATCH("Xero Invoice No",$A$1:$AB$1,0)),"")&amp;""&lt;&gt;"",ISNUMBER(AE2307),AD2307&lt;&gt;0),1,0)</f>
        <v/>
      </c>
      <c r="AG2307" s="55">
        <f>IF(AF2307=1,EOMONTH(AE2307,0),"")</f>
        <v/>
      </c>
      <c r="AH2307" s="9">
        <f>IF(AF2307=1,UPPER(TRIM(IFERROR(INDEX($A2307:$AB2307,MATCH("Client",$A$1:$AB$1,0)),"")&amp;"")),"")</f>
        <v/>
      </c>
      <c r="AI2307" s="9">
        <f>IF(AF2307=1,IFERROR(INDEX($A2307:$AB2307,MATCH("Cost Centre",$A$1:$AB$1,0)),"")&amp;"","")</f>
        <v/>
      </c>
      <c r="AJ2307" s="54">
        <f>IF(AND(AF2307=1,AE2307&gt;=set_FYStart,AE2307&lt;=set_AsAt),1,0)</f>
        <v/>
      </c>
      <c r="AK2307" s="54">
        <f>IF(AND(AJ2307=1,AH2307&lt;&gt;"",COUNTIFS($AH$2:AH2307,AH2307,$AJ$2:AJ2307,1)=1),N(AL2306)+1,"")</f>
        <v/>
      </c>
      <c r="AL2307" s="54">
        <f>IF(AK2307&lt;&gt;"",AK2307,N(AL2306))</f>
        <v/>
      </c>
    </row>
    <row r="2308">
      <c r="A2308" t="inlineStr">
        <is>
          <t>CON-0769</t>
        </is>
      </c>
      <c r="B2308" t="inlineStr">
        <is>
          <t>Consulting</t>
        </is>
      </c>
      <c r="AB2308" t="n">
        <v>769</v>
      </c>
      <c r="AD2308" s="52">
        <f>IFERROR(N(IFERROR(INDEX($A2308:$AB2308,MATCH("Xero Invoiced Ex GST",$A$1:$AB$1,0)),"")),0)</f>
        <v/>
      </c>
      <c r="AE2308" s="53">
        <f>IFERROR(INDEX($A2308:$AB2308,MATCH("Xero Invoice Date",$A$1:$AB$1,0)),"")</f>
        <v/>
      </c>
      <c r="AF2308" s="54">
        <f>IF(AND(IFERROR(INDEX($A2308:$AB2308,MATCH("Xero Invoice No",$A$1:$AB$1,0)),"")&amp;""&lt;&gt;"",ISNUMBER(AE2308),AD2308&lt;&gt;0),1,0)</f>
        <v/>
      </c>
      <c r="AG2308" s="55">
        <f>IF(AF2308=1,EOMONTH(AE2308,0),"")</f>
        <v/>
      </c>
      <c r="AH2308" s="9">
        <f>IF(AF2308=1,UPPER(TRIM(IFERROR(INDEX($A2308:$AB2308,MATCH("Client",$A$1:$AB$1,0)),"")&amp;"")),"")</f>
        <v/>
      </c>
      <c r="AI2308" s="9">
        <f>IF(AF2308=1,IFERROR(INDEX($A2308:$AB2308,MATCH("Cost Centre",$A$1:$AB$1,0)),"")&amp;"","")</f>
        <v/>
      </c>
      <c r="AJ2308" s="54">
        <f>IF(AND(AF2308=1,AE2308&gt;=set_FYStart,AE2308&lt;=set_AsAt),1,0)</f>
        <v/>
      </c>
      <c r="AK2308" s="54">
        <f>IF(AND(AJ2308=1,AH2308&lt;&gt;"",COUNTIFS($AH$2:AH2308,AH2308,$AJ$2:AJ2308,1)=1),N(AL2307)+1,"")</f>
        <v/>
      </c>
      <c r="AL2308" s="54">
        <f>IF(AK2308&lt;&gt;"",AK2308,N(AL2307))</f>
        <v/>
      </c>
    </row>
    <row r="2309">
      <c r="A2309" t="inlineStr">
        <is>
          <t>ONS-0770</t>
        </is>
      </c>
      <c r="B2309" t="inlineStr">
        <is>
          <t>Onsite</t>
        </is>
      </c>
      <c r="AB2309" t="n">
        <v>770</v>
      </c>
      <c r="AD2309" s="52">
        <f>IFERROR(N(IFERROR(INDEX($A2309:$AB2309,MATCH("Xero Invoiced Ex GST",$A$1:$AB$1,0)),"")),0)</f>
        <v/>
      </c>
      <c r="AE2309" s="53">
        <f>IFERROR(INDEX($A2309:$AB2309,MATCH("Xero Invoice Date",$A$1:$AB$1,0)),"")</f>
        <v/>
      </c>
      <c r="AF2309" s="54">
        <f>IF(AND(IFERROR(INDEX($A2309:$AB2309,MATCH("Xero Invoice No",$A$1:$AB$1,0)),"")&amp;""&lt;&gt;"",ISNUMBER(AE2309),AD2309&lt;&gt;0),1,0)</f>
        <v/>
      </c>
      <c r="AG2309" s="55">
        <f>IF(AF2309=1,EOMONTH(AE2309,0),"")</f>
        <v/>
      </c>
      <c r="AH2309" s="9">
        <f>IF(AF2309=1,UPPER(TRIM(IFERROR(INDEX($A2309:$AB2309,MATCH("Client",$A$1:$AB$1,0)),"")&amp;"")),"")</f>
        <v/>
      </c>
      <c r="AI2309" s="9">
        <f>IF(AF2309=1,IFERROR(INDEX($A2309:$AB2309,MATCH("Cost Centre",$A$1:$AB$1,0)),"")&amp;"","")</f>
        <v/>
      </c>
      <c r="AJ2309" s="54">
        <f>IF(AND(AF2309=1,AE2309&gt;=set_FYStart,AE2309&lt;=set_AsAt),1,0)</f>
        <v/>
      </c>
      <c r="AK2309" s="54">
        <f>IF(AND(AJ2309=1,AH2309&lt;&gt;"",COUNTIFS($AH$2:AH2309,AH2309,$AJ$2:AJ2309,1)=1),N(AL2308)+1,"")</f>
        <v/>
      </c>
      <c r="AL2309" s="54">
        <f>IF(AK2309&lt;&gt;"",AK2309,N(AL2308))</f>
        <v/>
      </c>
    </row>
    <row r="2310">
      <c r="A2310" t="inlineStr">
        <is>
          <t>PRD-0770</t>
        </is>
      </c>
      <c r="B2310" t="inlineStr">
        <is>
          <t>Production</t>
        </is>
      </c>
      <c r="AB2310" t="n">
        <v>770</v>
      </c>
      <c r="AD2310" s="52">
        <f>IFERROR(N(IFERROR(INDEX($A2310:$AB2310,MATCH("Xero Invoiced Ex GST",$A$1:$AB$1,0)),"")),0)</f>
        <v/>
      </c>
      <c r="AE2310" s="53">
        <f>IFERROR(INDEX($A2310:$AB2310,MATCH("Xero Invoice Date",$A$1:$AB$1,0)),"")</f>
        <v/>
      </c>
      <c r="AF2310" s="54">
        <f>IF(AND(IFERROR(INDEX($A2310:$AB2310,MATCH("Xero Invoice No",$A$1:$AB$1,0)),"")&amp;""&lt;&gt;"",ISNUMBER(AE2310),AD2310&lt;&gt;0),1,0)</f>
        <v/>
      </c>
      <c r="AG2310" s="55">
        <f>IF(AF2310=1,EOMONTH(AE2310,0),"")</f>
        <v/>
      </c>
      <c r="AH2310" s="9">
        <f>IF(AF2310=1,UPPER(TRIM(IFERROR(INDEX($A2310:$AB2310,MATCH("Client",$A$1:$AB$1,0)),"")&amp;"")),"")</f>
        <v/>
      </c>
      <c r="AI2310" s="9">
        <f>IF(AF2310=1,IFERROR(INDEX($A2310:$AB2310,MATCH("Cost Centre",$A$1:$AB$1,0)),"")&amp;"","")</f>
        <v/>
      </c>
      <c r="AJ2310" s="54">
        <f>IF(AND(AF2310=1,AE2310&gt;=set_FYStart,AE2310&lt;=set_AsAt),1,0)</f>
        <v/>
      </c>
      <c r="AK2310" s="54">
        <f>IF(AND(AJ2310=1,AH2310&lt;&gt;"",COUNTIFS($AH$2:AH2310,AH2310,$AJ$2:AJ2310,1)=1),N(AL2309)+1,"")</f>
        <v/>
      </c>
      <c r="AL2310" s="54">
        <f>IF(AK2310&lt;&gt;"",AK2310,N(AL2309))</f>
        <v/>
      </c>
    </row>
    <row r="2311">
      <c r="A2311" t="inlineStr">
        <is>
          <t>CON-0770</t>
        </is>
      </c>
      <c r="B2311" t="inlineStr">
        <is>
          <t>Consulting</t>
        </is>
      </c>
      <c r="AB2311" t="n">
        <v>770</v>
      </c>
      <c r="AD2311" s="52">
        <f>IFERROR(N(IFERROR(INDEX($A2311:$AB2311,MATCH("Xero Invoiced Ex GST",$A$1:$AB$1,0)),"")),0)</f>
        <v/>
      </c>
      <c r="AE2311" s="53">
        <f>IFERROR(INDEX($A2311:$AB2311,MATCH("Xero Invoice Date",$A$1:$AB$1,0)),"")</f>
        <v/>
      </c>
      <c r="AF2311" s="54">
        <f>IF(AND(IFERROR(INDEX($A2311:$AB2311,MATCH("Xero Invoice No",$A$1:$AB$1,0)),"")&amp;""&lt;&gt;"",ISNUMBER(AE2311),AD2311&lt;&gt;0),1,0)</f>
        <v/>
      </c>
      <c r="AG2311" s="55">
        <f>IF(AF2311=1,EOMONTH(AE2311,0),"")</f>
        <v/>
      </c>
      <c r="AH2311" s="9">
        <f>IF(AF2311=1,UPPER(TRIM(IFERROR(INDEX($A2311:$AB2311,MATCH("Client",$A$1:$AB$1,0)),"")&amp;"")),"")</f>
        <v/>
      </c>
      <c r="AI2311" s="9">
        <f>IF(AF2311=1,IFERROR(INDEX($A2311:$AB2311,MATCH("Cost Centre",$A$1:$AB$1,0)),"")&amp;"","")</f>
        <v/>
      </c>
      <c r="AJ2311" s="54">
        <f>IF(AND(AF2311=1,AE2311&gt;=set_FYStart,AE2311&lt;=set_AsAt),1,0)</f>
        <v/>
      </c>
      <c r="AK2311" s="54">
        <f>IF(AND(AJ2311=1,AH2311&lt;&gt;"",COUNTIFS($AH$2:AH2311,AH2311,$AJ$2:AJ2311,1)=1),N(AL2310)+1,"")</f>
        <v/>
      </c>
      <c r="AL2311" s="54">
        <f>IF(AK2311&lt;&gt;"",AK2311,N(AL2310))</f>
        <v/>
      </c>
    </row>
    <row r="2312">
      <c r="A2312" t="inlineStr">
        <is>
          <t>ONS-0771</t>
        </is>
      </c>
      <c r="B2312" t="inlineStr">
        <is>
          <t>Onsite</t>
        </is>
      </c>
      <c r="AB2312" t="n">
        <v>771</v>
      </c>
      <c r="AD2312" s="52">
        <f>IFERROR(N(IFERROR(INDEX($A2312:$AB2312,MATCH("Xero Invoiced Ex GST",$A$1:$AB$1,0)),"")),0)</f>
        <v/>
      </c>
      <c r="AE2312" s="53">
        <f>IFERROR(INDEX($A2312:$AB2312,MATCH("Xero Invoice Date",$A$1:$AB$1,0)),"")</f>
        <v/>
      </c>
      <c r="AF2312" s="54">
        <f>IF(AND(IFERROR(INDEX($A2312:$AB2312,MATCH("Xero Invoice No",$A$1:$AB$1,0)),"")&amp;""&lt;&gt;"",ISNUMBER(AE2312),AD2312&lt;&gt;0),1,0)</f>
        <v/>
      </c>
      <c r="AG2312" s="55">
        <f>IF(AF2312=1,EOMONTH(AE2312,0),"")</f>
        <v/>
      </c>
      <c r="AH2312" s="9">
        <f>IF(AF2312=1,UPPER(TRIM(IFERROR(INDEX($A2312:$AB2312,MATCH("Client",$A$1:$AB$1,0)),"")&amp;"")),"")</f>
        <v/>
      </c>
      <c r="AI2312" s="9">
        <f>IF(AF2312=1,IFERROR(INDEX($A2312:$AB2312,MATCH("Cost Centre",$A$1:$AB$1,0)),"")&amp;"","")</f>
        <v/>
      </c>
      <c r="AJ2312" s="54">
        <f>IF(AND(AF2312=1,AE2312&gt;=set_FYStart,AE2312&lt;=set_AsAt),1,0)</f>
        <v/>
      </c>
      <c r="AK2312" s="54">
        <f>IF(AND(AJ2312=1,AH2312&lt;&gt;"",COUNTIFS($AH$2:AH2312,AH2312,$AJ$2:AJ2312,1)=1),N(AL2311)+1,"")</f>
        <v/>
      </c>
      <c r="AL2312" s="54">
        <f>IF(AK2312&lt;&gt;"",AK2312,N(AL2311))</f>
        <v/>
      </c>
    </row>
    <row r="2313">
      <c r="A2313" t="inlineStr">
        <is>
          <t>PRD-0771</t>
        </is>
      </c>
      <c r="B2313" t="inlineStr">
        <is>
          <t>Production</t>
        </is>
      </c>
      <c r="AB2313" t="n">
        <v>771</v>
      </c>
      <c r="AD2313" s="52">
        <f>IFERROR(N(IFERROR(INDEX($A2313:$AB2313,MATCH("Xero Invoiced Ex GST",$A$1:$AB$1,0)),"")),0)</f>
        <v/>
      </c>
      <c r="AE2313" s="53">
        <f>IFERROR(INDEX($A2313:$AB2313,MATCH("Xero Invoice Date",$A$1:$AB$1,0)),"")</f>
        <v/>
      </c>
      <c r="AF2313" s="54">
        <f>IF(AND(IFERROR(INDEX($A2313:$AB2313,MATCH("Xero Invoice No",$A$1:$AB$1,0)),"")&amp;""&lt;&gt;"",ISNUMBER(AE2313),AD2313&lt;&gt;0),1,0)</f>
        <v/>
      </c>
      <c r="AG2313" s="55">
        <f>IF(AF2313=1,EOMONTH(AE2313,0),"")</f>
        <v/>
      </c>
      <c r="AH2313" s="9">
        <f>IF(AF2313=1,UPPER(TRIM(IFERROR(INDEX($A2313:$AB2313,MATCH("Client",$A$1:$AB$1,0)),"")&amp;"")),"")</f>
        <v/>
      </c>
      <c r="AI2313" s="9">
        <f>IF(AF2313=1,IFERROR(INDEX($A2313:$AB2313,MATCH("Cost Centre",$A$1:$AB$1,0)),"")&amp;"","")</f>
        <v/>
      </c>
      <c r="AJ2313" s="54">
        <f>IF(AND(AF2313=1,AE2313&gt;=set_FYStart,AE2313&lt;=set_AsAt),1,0)</f>
        <v/>
      </c>
      <c r="AK2313" s="54">
        <f>IF(AND(AJ2313=1,AH2313&lt;&gt;"",COUNTIFS($AH$2:AH2313,AH2313,$AJ$2:AJ2313,1)=1),N(AL2312)+1,"")</f>
        <v/>
      </c>
      <c r="AL2313" s="54">
        <f>IF(AK2313&lt;&gt;"",AK2313,N(AL2312))</f>
        <v/>
      </c>
    </row>
    <row r="2314">
      <c r="A2314" t="inlineStr">
        <is>
          <t>CON-0771</t>
        </is>
      </c>
      <c r="B2314" t="inlineStr">
        <is>
          <t>Consulting</t>
        </is>
      </c>
      <c r="AB2314" t="n">
        <v>771</v>
      </c>
      <c r="AD2314" s="52">
        <f>IFERROR(N(IFERROR(INDEX($A2314:$AB2314,MATCH("Xero Invoiced Ex GST",$A$1:$AB$1,0)),"")),0)</f>
        <v/>
      </c>
      <c r="AE2314" s="53">
        <f>IFERROR(INDEX($A2314:$AB2314,MATCH("Xero Invoice Date",$A$1:$AB$1,0)),"")</f>
        <v/>
      </c>
      <c r="AF2314" s="54">
        <f>IF(AND(IFERROR(INDEX($A2314:$AB2314,MATCH("Xero Invoice No",$A$1:$AB$1,0)),"")&amp;""&lt;&gt;"",ISNUMBER(AE2314),AD2314&lt;&gt;0),1,0)</f>
        <v/>
      </c>
      <c r="AG2314" s="55">
        <f>IF(AF2314=1,EOMONTH(AE2314,0),"")</f>
        <v/>
      </c>
      <c r="AH2314" s="9">
        <f>IF(AF2314=1,UPPER(TRIM(IFERROR(INDEX($A2314:$AB2314,MATCH("Client",$A$1:$AB$1,0)),"")&amp;"")),"")</f>
        <v/>
      </c>
      <c r="AI2314" s="9">
        <f>IF(AF2314=1,IFERROR(INDEX($A2314:$AB2314,MATCH("Cost Centre",$A$1:$AB$1,0)),"")&amp;"","")</f>
        <v/>
      </c>
      <c r="AJ2314" s="54">
        <f>IF(AND(AF2314=1,AE2314&gt;=set_FYStart,AE2314&lt;=set_AsAt),1,0)</f>
        <v/>
      </c>
      <c r="AK2314" s="54">
        <f>IF(AND(AJ2314=1,AH2314&lt;&gt;"",COUNTIFS($AH$2:AH2314,AH2314,$AJ$2:AJ2314,1)=1),N(AL2313)+1,"")</f>
        <v/>
      </c>
      <c r="AL2314" s="54">
        <f>IF(AK2314&lt;&gt;"",AK2314,N(AL2313))</f>
        <v/>
      </c>
    </row>
    <row r="2315">
      <c r="A2315" t="inlineStr">
        <is>
          <t>ONS-0772</t>
        </is>
      </c>
      <c r="B2315" t="inlineStr">
        <is>
          <t>Onsite</t>
        </is>
      </c>
      <c r="AB2315" t="n">
        <v>772</v>
      </c>
      <c r="AD2315" s="52">
        <f>IFERROR(N(IFERROR(INDEX($A2315:$AB2315,MATCH("Xero Invoiced Ex GST",$A$1:$AB$1,0)),"")),0)</f>
        <v/>
      </c>
      <c r="AE2315" s="53">
        <f>IFERROR(INDEX($A2315:$AB2315,MATCH("Xero Invoice Date",$A$1:$AB$1,0)),"")</f>
        <v/>
      </c>
      <c r="AF2315" s="54">
        <f>IF(AND(IFERROR(INDEX($A2315:$AB2315,MATCH("Xero Invoice No",$A$1:$AB$1,0)),"")&amp;""&lt;&gt;"",ISNUMBER(AE2315),AD2315&lt;&gt;0),1,0)</f>
        <v/>
      </c>
      <c r="AG2315" s="55">
        <f>IF(AF2315=1,EOMONTH(AE2315,0),"")</f>
        <v/>
      </c>
      <c r="AH2315" s="9">
        <f>IF(AF2315=1,UPPER(TRIM(IFERROR(INDEX($A2315:$AB2315,MATCH("Client",$A$1:$AB$1,0)),"")&amp;"")),"")</f>
        <v/>
      </c>
      <c r="AI2315" s="9">
        <f>IF(AF2315=1,IFERROR(INDEX($A2315:$AB2315,MATCH("Cost Centre",$A$1:$AB$1,0)),"")&amp;"","")</f>
        <v/>
      </c>
      <c r="AJ2315" s="54">
        <f>IF(AND(AF2315=1,AE2315&gt;=set_FYStart,AE2315&lt;=set_AsAt),1,0)</f>
        <v/>
      </c>
      <c r="AK2315" s="54">
        <f>IF(AND(AJ2315=1,AH2315&lt;&gt;"",COUNTIFS($AH$2:AH2315,AH2315,$AJ$2:AJ2315,1)=1),N(AL2314)+1,"")</f>
        <v/>
      </c>
      <c r="AL2315" s="54">
        <f>IF(AK2315&lt;&gt;"",AK2315,N(AL2314))</f>
        <v/>
      </c>
    </row>
    <row r="2316">
      <c r="A2316" t="inlineStr">
        <is>
          <t>PRD-0772</t>
        </is>
      </c>
      <c r="B2316" t="inlineStr">
        <is>
          <t>Production</t>
        </is>
      </c>
      <c r="AB2316" t="n">
        <v>772</v>
      </c>
      <c r="AD2316" s="52">
        <f>IFERROR(N(IFERROR(INDEX($A2316:$AB2316,MATCH("Xero Invoiced Ex GST",$A$1:$AB$1,0)),"")),0)</f>
        <v/>
      </c>
      <c r="AE2316" s="53">
        <f>IFERROR(INDEX($A2316:$AB2316,MATCH("Xero Invoice Date",$A$1:$AB$1,0)),"")</f>
        <v/>
      </c>
      <c r="AF2316" s="54">
        <f>IF(AND(IFERROR(INDEX($A2316:$AB2316,MATCH("Xero Invoice No",$A$1:$AB$1,0)),"")&amp;""&lt;&gt;"",ISNUMBER(AE2316),AD2316&lt;&gt;0),1,0)</f>
        <v/>
      </c>
      <c r="AG2316" s="55">
        <f>IF(AF2316=1,EOMONTH(AE2316,0),"")</f>
        <v/>
      </c>
      <c r="AH2316" s="9">
        <f>IF(AF2316=1,UPPER(TRIM(IFERROR(INDEX($A2316:$AB2316,MATCH("Client",$A$1:$AB$1,0)),"")&amp;"")),"")</f>
        <v/>
      </c>
      <c r="AI2316" s="9">
        <f>IF(AF2316=1,IFERROR(INDEX($A2316:$AB2316,MATCH("Cost Centre",$A$1:$AB$1,0)),"")&amp;"","")</f>
        <v/>
      </c>
      <c r="AJ2316" s="54">
        <f>IF(AND(AF2316=1,AE2316&gt;=set_FYStart,AE2316&lt;=set_AsAt),1,0)</f>
        <v/>
      </c>
      <c r="AK2316" s="54">
        <f>IF(AND(AJ2316=1,AH2316&lt;&gt;"",COUNTIFS($AH$2:AH2316,AH2316,$AJ$2:AJ2316,1)=1),N(AL2315)+1,"")</f>
        <v/>
      </c>
      <c r="AL2316" s="54">
        <f>IF(AK2316&lt;&gt;"",AK2316,N(AL2315))</f>
        <v/>
      </c>
    </row>
    <row r="2317">
      <c r="A2317" t="inlineStr">
        <is>
          <t>CON-0772</t>
        </is>
      </c>
      <c r="B2317" t="inlineStr">
        <is>
          <t>Consulting</t>
        </is>
      </c>
      <c r="AB2317" t="n">
        <v>772</v>
      </c>
      <c r="AD2317" s="52">
        <f>IFERROR(N(IFERROR(INDEX($A2317:$AB2317,MATCH("Xero Invoiced Ex GST",$A$1:$AB$1,0)),"")),0)</f>
        <v/>
      </c>
      <c r="AE2317" s="53">
        <f>IFERROR(INDEX($A2317:$AB2317,MATCH("Xero Invoice Date",$A$1:$AB$1,0)),"")</f>
        <v/>
      </c>
      <c r="AF2317" s="54">
        <f>IF(AND(IFERROR(INDEX($A2317:$AB2317,MATCH("Xero Invoice No",$A$1:$AB$1,0)),"")&amp;""&lt;&gt;"",ISNUMBER(AE2317),AD2317&lt;&gt;0),1,0)</f>
        <v/>
      </c>
      <c r="AG2317" s="55">
        <f>IF(AF2317=1,EOMONTH(AE2317,0),"")</f>
        <v/>
      </c>
      <c r="AH2317" s="9">
        <f>IF(AF2317=1,UPPER(TRIM(IFERROR(INDEX($A2317:$AB2317,MATCH("Client",$A$1:$AB$1,0)),"")&amp;"")),"")</f>
        <v/>
      </c>
      <c r="AI2317" s="9">
        <f>IF(AF2317=1,IFERROR(INDEX($A2317:$AB2317,MATCH("Cost Centre",$A$1:$AB$1,0)),"")&amp;"","")</f>
        <v/>
      </c>
      <c r="AJ2317" s="54">
        <f>IF(AND(AF2317=1,AE2317&gt;=set_FYStart,AE2317&lt;=set_AsAt),1,0)</f>
        <v/>
      </c>
      <c r="AK2317" s="54">
        <f>IF(AND(AJ2317=1,AH2317&lt;&gt;"",COUNTIFS($AH$2:AH2317,AH2317,$AJ$2:AJ2317,1)=1),N(AL2316)+1,"")</f>
        <v/>
      </c>
      <c r="AL2317" s="54">
        <f>IF(AK2317&lt;&gt;"",AK2317,N(AL2316))</f>
        <v/>
      </c>
    </row>
    <row r="2318">
      <c r="A2318" t="inlineStr">
        <is>
          <t>ONS-0773</t>
        </is>
      </c>
      <c r="B2318" t="inlineStr">
        <is>
          <t>Onsite</t>
        </is>
      </c>
      <c r="AB2318" t="n">
        <v>773</v>
      </c>
      <c r="AD2318" s="52">
        <f>IFERROR(N(IFERROR(INDEX($A2318:$AB2318,MATCH("Xero Invoiced Ex GST",$A$1:$AB$1,0)),"")),0)</f>
        <v/>
      </c>
      <c r="AE2318" s="53">
        <f>IFERROR(INDEX($A2318:$AB2318,MATCH("Xero Invoice Date",$A$1:$AB$1,0)),"")</f>
        <v/>
      </c>
      <c r="AF2318" s="54">
        <f>IF(AND(IFERROR(INDEX($A2318:$AB2318,MATCH("Xero Invoice No",$A$1:$AB$1,0)),"")&amp;""&lt;&gt;"",ISNUMBER(AE2318),AD2318&lt;&gt;0),1,0)</f>
        <v/>
      </c>
      <c r="AG2318" s="55">
        <f>IF(AF2318=1,EOMONTH(AE2318,0),"")</f>
        <v/>
      </c>
      <c r="AH2318" s="9">
        <f>IF(AF2318=1,UPPER(TRIM(IFERROR(INDEX($A2318:$AB2318,MATCH("Client",$A$1:$AB$1,0)),"")&amp;"")),"")</f>
        <v/>
      </c>
      <c r="AI2318" s="9">
        <f>IF(AF2318=1,IFERROR(INDEX($A2318:$AB2318,MATCH("Cost Centre",$A$1:$AB$1,0)),"")&amp;"","")</f>
        <v/>
      </c>
      <c r="AJ2318" s="54">
        <f>IF(AND(AF2318=1,AE2318&gt;=set_FYStart,AE2318&lt;=set_AsAt),1,0)</f>
        <v/>
      </c>
      <c r="AK2318" s="54">
        <f>IF(AND(AJ2318=1,AH2318&lt;&gt;"",COUNTIFS($AH$2:AH2318,AH2318,$AJ$2:AJ2318,1)=1),N(AL2317)+1,"")</f>
        <v/>
      </c>
      <c r="AL2318" s="54">
        <f>IF(AK2318&lt;&gt;"",AK2318,N(AL2317))</f>
        <v/>
      </c>
    </row>
    <row r="2319">
      <c r="A2319" t="inlineStr">
        <is>
          <t>PRD-0773</t>
        </is>
      </c>
      <c r="B2319" t="inlineStr">
        <is>
          <t>Production</t>
        </is>
      </c>
      <c r="AB2319" t="n">
        <v>773</v>
      </c>
      <c r="AD2319" s="52">
        <f>IFERROR(N(IFERROR(INDEX($A2319:$AB2319,MATCH("Xero Invoiced Ex GST",$A$1:$AB$1,0)),"")),0)</f>
        <v/>
      </c>
      <c r="AE2319" s="53">
        <f>IFERROR(INDEX($A2319:$AB2319,MATCH("Xero Invoice Date",$A$1:$AB$1,0)),"")</f>
        <v/>
      </c>
      <c r="AF2319" s="54">
        <f>IF(AND(IFERROR(INDEX($A2319:$AB2319,MATCH("Xero Invoice No",$A$1:$AB$1,0)),"")&amp;""&lt;&gt;"",ISNUMBER(AE2319),AD2319&lt;&gt;0),1,0)</f>
        <v/>
      </c>
      <c r="AG2319" s="55">
        <f>IF(AF2319=1,EOMONTH(AE2319,0),"")</f>
        <v/>
      </c>
      <c r="AH2319" s="9">
        <f>IF(AF2319=1,UPPER(TRIM(IFERROR(INDEX($A2319:$AB2319,MATCH("Client",$A$1:$AB$1,0)),"")&amp;"")),"")</f>
        <v/>
      </c>
      <c r="AI2319" s="9">
        <f>IF(AF2319=1,IFERROR(INDEX($A2319:$AB2319,MATCH("Cost Centre",$A$1:$AB$1,0)),"")&amp;"","")</f>
        <v/>
      </c>
      <c r="AJ2319" s="54">
        <f>IF(AND(AF2319=1,AE2319&gt;=set_FYStart,AE2319&lt;=set_AsAt),1,0)</f>
        <v/>
      </c>
      <c r="AK2319" s="54">
        <f>IF(AND(AJ2319=1,AH2319&lt;&gt;"",COUNTIFS($AH$2:AH2319,AH2319,$AJ$2:AJ2319,1)=1),N(AL2318)+1,"")</f>
        <v/>
      </c>
      <c r="AL2319" s="54">
        <f>IF(AK2319&lt;&gt;"",AK2319,N(AL2318))</f>
        <v/>
      </c>
    </row>
    <row r="2320">
      <c r="A2320" t="inlineStr">
        <is>
          <t>CON-0773</t>
        </is>
      </c>
      <c r="B2320" t="inlineStr">
        <is>
          <t>Consulting</t>
        </is>
      </c>
      <c r="AB2320" t="n">
        <v>773</v>
      </c>
      <c r="AD2320" s="52">
        <f>IFERROR(N(IFERROR(INDEX($A2320:$AB2320,MATCH("Xero Invoiced Ex GST",$A$1:$AB$1,0)),"")),0)</f>
        <v/>
      </c>
      <c r="AE2320" s="53">
        <f>IFERROR(INDEX($A2320:$AB2320,MATCH("Xero Invoice Date",$A$1:$AB$1,0)),"")</f>
        <v/>
      </c>
      <c r="AF2320" s="54">
        <f>IF(AND(IFERROR(INDEX($A2320:$AB2320,MATCH("Xero Invoice No",$A$1:$AB$1,0)),"")&amp;""&lt;&gt;"",ISNUMBER(AE2320),AD2320&lt;&gt;0),1,0)</f>
        <v/>
      </c>
      <c r="AG2320" s="55">
        <f>IF(AF2320=1,EOMONTH(AE2320,0),"")</f>
        <v/>
      </c>
      <c r="AH2320" s="9">
        <f>IF(AF2320=1,UPPER(TRIM(IFERROR(INDEX($A2320:$AB2320,MATCH("Client",$A$1:$AB$1,0)),"")&amp;"")),"")</f>
        <v/>
      </c>
      <c r="AI2320" s="9">
        <f>IF(AF2320=1,IFERROR(INDEX($A2320:$AB2320,MATCH("Cost Centre",$A$1:$AB$1,0)),"")&amp;"","")</f>
        <v/>
      </c>
      <c r="AJ2320" s="54">
        <f>IF(AND(AF2320=1,AE2320&gt;=set_FYStart,AE2320&lt;=set_AsAt),1,0)</f>
        <v/>
      </c>
      <c r="AK2320" s="54">
        <f>IF(AND(AJ2320=1,AH2320&lt;&gt;"",COUNTIFS($AH$2:AH2320,AH2320,$AJ$2:AJ2320,1)=1),N(AL2319)+1,"")</f>
        <v/>
      </c>
      <c r="AL2320" s="54">
        <f>IF(AK2320&lt;&gt;"",AK2320,N(AL2319))</f>
        <v/>
      </c>
    </row>
    <row r="2321">
      <c r="A2321" t="inlineStr">
        <is>
          <t>ONS-0774</t>
        </is>
      </c>
      <c r="B2321" t="inlineStr">
        <is>
          <t>Onsite</t>
        </is>
      </c>
      <c r="AB2321" t="n">
        <v>774</v>
      </c>
      <c r="AD2321" s="52">
        <f>IFERROR(N(IFERROR(INDEX($A2321:$AB2321,MATCH("Xero Invoiced Ex GST",$A$1:$AB$1,0)),"")),0)</f>
        <v/>
      </c>
      <c r="AE2321" s="53">
        <f>IFERROR(INDEX($A2321:$AB2321,MATCH("Xero Invoice Date",$A$1:$AB$1,0)),"")</f>
        <v/>
      </c>
      <c r="AF2321" s="54">
        <f>IF(AND(IFERROR(INDEX($A2321:$AB2321,MATCH("Xero Invoice No",$A$1:$AB$1,0)),"")&amp;""&lt;&gt;"",ISNUMBER(AE2321),AD2321&lt;&gt;0),1,0)</f>
        <v/>
      </c>
      <c r="AG2321" s="55">
        <f>IF(AF2321=1,EOMONTH(AE2321,0),"")</f>
        <v/>
      </c>
      <c r="AH2321" s="9">
        <f>IF(AF2321=1,UPPER(TRIM(IFERROR(INDEX($A2321:$AB2321,MATCH("Client",$A$1:$AB$1,0)),"")&amp;"")),"")</f>
        <v/>
      </c>
      <c r="AI2321" s="9">
        <f>IF(AF2321=1,IFERROR(INDEX($A2321:$AB2321,MATCH("Cost Centre",$A$1:$AB$1,0)),"")&amp;"","")</f>
        <v/>
      </c>
      <c r="AJ2321" s="54">
        <f>IF(AND(AF2321=1,AE2321&gt;=set_FYStart,AE2321&lt;=set_AsAt),1,0)</f>
        <v/>
      </c>
      <c r="AK2321" s="54">
        <f>IF(AND(AJ2321=1,AH2321&lt;&gt;"",COUNTIFS($AH$2:AH2321,AH2321,$AJ$2:AJ2321,1)=1),N(AL2320)+1,"")</f>
        <v/>
      </c>
      <c r="AL2321" s="54">
        <f>IF(AK2321&lt;&gt;"",AK2321,N(AL2320))</f>
        <v/>
      </c>
    </row>
    <row r="2322">
      <c r="A2322" t="inlineStr">
        <is>
          <t>PRD-0774</t>
        </is>
      </c>
      <c r="B2322" t="inlineStr">
        <is>
          <t>Production</t>
        </is>
      </c>
      <c r="AB2322" t="n">
        <v>774</v>
      </c>
      <c r="AD2322" s="52">
        <f>IFERROR(N(IFERROR(INDEX($A2322:$AB2322,MATCH("Xero Invoiced Ex GST",$A$1:$AB$1,0)),"")),0)</f>
        <v/>
      </c>
      <c r="AE2322" s="53">
        <f>IFERROR(INDEX($A2322:$AB2322,MATCH("Xero Invoice Date",$A$1:$AB$1,0)),"")</f>
        <v/>
      </c>
      <c r="AF2322" s="54">
        <f>IF(AND(IFERROR(INDEX($A2322:$AB2322,MATCH("Xero Invoice No",$A$1:$AB$1,0)),"")&amp;""&lt;&gt;"",ISNUMBER(AE2322),AD2322&lt;&gt;0),1,0)</f>
        <v/>
      </c>
      <c r="AG2322" s="55">
        <f>IF(AF2322=1,EOMONTH(AE2322,0),"")</f>
        <v/>
      </c>
      <c r="AH2322" s="9">
        <f>IF(AF2322=1,UPPER(TRIM(IFERROR(INDEX($A2322:$AB2322,MATCH("Client",$A$1:$AB$1,0)),"")&amp;"")),"")</f>
        <v/>
      </c>
      <c r="AI2322" s="9">
        <f>IF(AF2322=1,IFERROR(INDEX($A2322:$AB2322,MATCH("Cost Centre",$A$1:$AB$1,0)),"")&amp;"","")</f>
        <v/>
      </c>
      <c r="AJ2322" s="54">
        <f>IF(AND(AF2322=1,AE2322&gt;=set_FYStart,AE2322&lt;=set_AsAt),1,0)</f>
        <v/>
      </c>
      <c r="AK2322" s="54">
        <f>IF(AND(AJ2322=1,AH2322&lt;&gt;"",COUNTIFS($AH$2:AH2322,AH2322,$AJ$2:AJ2322,1)=1),N(AL2321)+1,"")</f>
        <v/>
      </c>
      <c r="AL2322" s="54">
        <f>IF(AK2322&lt;&gt;"",AK2322,N(AL2321))</f>
        <v/>
      </c>
    </row>
    <row r="2323">
      <c r="A2323" t="inlineStr">
        <is>
          <t>CON-0774</t>
        </is>
      </c>
      <c r="B2323" t="inlineStr">
        <is>
          <t>Consulting</t>
        </is>
      </c>
      <c r="AB2323" t="n">
        <v>774</v>
      </c>
      <c r="AD2323" s="52">
        <f>IFERROR(N(IFERROR(INDEX($A2323:$AB2323,MATCH("Xero Invoiced Ex GST",$A$1:$AB$1,0)),"")),0)</f>
        <v/>
      </c>
      <c r="AE2323" s="53">
        <f>IFERROR(INDEX($A2323:$AB2323,MATCH("Xero Invoice Date",$A$1:$AB$1,0)),"")</f>
        <v/>
      </c>
      <c r="AF2323" s="54">
        <f>IF(AND(IFERROR(INDEX($A2323:$AB2323,MATCH("Xero Invoice No",$A$1:$AB$1,0)),"")&amp;""&lt;&gt;"",ISNUMBER(AE2323),AD2323&lt;&gt;0),1,0)</f>
        <v/>
      </c>
      <c r="AG2323" s="55">
        <f>IF(AF2323=1,EOMONTH(AE2323,0),"")</f>
        <v/>
      </c>
      <c r="AH2323" s="9">
        <f>IF(AF2323=1,UPPER(TRIM(IFERROR(INDEX($A2323:$AB2323,MATCH("Client",$A$1:$AB$1,0)),"")&amp;"")),"")</f>
        <v/>
      </c>
      <c r="AI2323" s="9">
        <f>IF(AF2323=1,IFERROR(INDEX($A2323:$AB2323,MATCH("Cost Centre",$A$1:$AB$1,0)),"")&amp;"","")</f>
        <v/>
      </c>
      <c r="AJ2323" s="54">
        <f>IF(AND(AF2323=1,AE2323&gt;=set_FYStart,AE2323&lt;=set_AsAt),1,0)</f>
        <v/>
      </c>
      <c r="AK2323" s="54">
        <f>IF(AND(AJ2323=1,AH2323&lt;&gt;"",COUNTIFS($AH$2:AH2323,AH2323,$AJ$2:AJ2323,1)=1),N(AL2322)+1,"")</f>
        <v/>
      </c>
      <c r="AL2323" s="54">
        <f>IF(AK2323&lt;&gt;"",AK2323,N(AL2322))</f>
        <v/>
      </c>
    </row>
    <row r="2324">
      <c r="A2324" t="inlineStr">
        <is>
          <t>ONS-0775</t>
        </is>
      </c>
      <c r="B2324" t="inlineStr">
        <is>
          <t>Onsite</t>
        </is>
      </c>
      <c r="AB2324" t="n">
        <v>775</v>
      </c>
      <c r="AD2324" s="52">
        <f>IFERROR(N(IFERROR(INDEX($A2324:$AB2324,MATCH("Xero Invoiced Ex GST",$A$1:$AB$1,0)),"")),0)</f>
        <v/>
      </c>
      <c r="AE2324" s="53">
        <f>IFERROR(INDEX($A2324:$AB2324,MATCH("Xero Invoice Date",$A$1:$AB$1,0)),"")</f>
        <v/>
      </c>
      <c r="AF2324" s="54">
        <f>IF(AND(IFERROR(INDEX($A2324:$AB2324,MATCH("Xero Invoice No",$A$1:$AB$1,0)),"")&amp;""&lt;&gt;"",ISNUMBER(AE2324),AD2324&lt;&gt;0),1,0)</f>
        <v/>
      </c>
      <c r="AG2324" s="55">
        <f>IF(AF2324=1,EOMONTH(AE2324,0),"")</f>
        <v/>
      </c>
      <c r="AH2324" s="9">
        <f>IF(AF2324=1,UPPER(TRIM(IFERROR(INDEX($A2324:$AB2324,MATCH("Client",$A$1:$AB$1,0)),"")&amp;"")),"")</f>
        <v/>
      </c>
      <c r="AI2324" s="9">
        <f>IF(AF2324=1,IFERROR(INDEX($A2324:$AB2324,MATCH("Cost Centre",$A$1:$AB$1,0)),"")&amp;"","")</f>
        <v/>
      </c>
      <c r="AJ2324" s="54">
        <f>IF(AND(AF2324=1,AE2324&gt;=set_FYStart,AE2324&lt;=set_AsAt),1,0)</f>
        <v/>
      </c>
      <c r="AK2324" s="54">
        <f>IF(AND(AJ2324=1,AH2324&lt;&gt;"",COUNTIFS($AH$2:AH2324,AH2324,$AJ$2:AJ2324,1)=1),N(AL2323)+1,"")</f>
        <v/>
      </c>
      <c r="AL2324" s="54">
        <f>IF(AK2324&lt;&gt;"",AK2324,N(AL2323))</f>
        <v/>
      </c>
    </row>
    <row r="2325">
      <c r="A2325" t="inlineStr">
        <is>
          <t>PRD-0775</t>
        </is>
      </c>
      <c r="B2325" t="inlineStr">
        <is>
          <t>Production</t>
        </is>
      </c>
      <c r="AB2325" t="n">
        <v>775</v>
      </c>
      <c r="AD2325" s="52">
        <f>IFERROR(N(IFERROR(INDEX($A2325:$AB2325,MATCH("Xero Invoiced Ex GST",$A$1:$AB$1,0)),"")),0)</f>
        <v/>
      </c>
      <c r="AE2325" s="53">
        <f>IFERROR(INDEX($A2325:$AB2325,MATCH("Xero Invoice Date",$A$1:$AB$1,0)),"")</f>
        <v/>
      </c>
      <c r="AF2325" s="54">
        <f>IF(AND(IFERROR(INDEX($A2325:$AB2325,MATCH("Xero Invoice No",$A$1:$AB$1,0)),"")&amp;""&lt;&gt;"",ISNUMBER(AE2325),AD2325&lt;&gt;0),1,0)</f>
        <v/>
      </c>
      <c r="AG2325" s="55">
        <f>IF(AF2325=1,EOMONTH(AE2325,0),"")</f>
        <v/>
      </c>
      <c r="AH2325" s="9">
        <f>IF(AF2325=1,UPPER(TRIM(IFERROR(INDEX($A2325:$AB2325,MATCH("Client",$A$1:$AB$1,0)),"")&amp;"")),"")</f>
        <v/>
      </c>
      <c r="AI2325" s="9">
        <f>IF(AF2325=1,IFERROR(INDEX($A2325:$AB2325,MATCH("Cost Centre",$A$1:$AB$1,0)),"")&amp;"","")</f>
        <v/>
      </c>
      <c r="AJ2325" s="54">
        <f>IF(AND(AF2325=1,AE2325&gt;=set_FYStart,AE2325&lt;=set_AsAt),1,0)</f>
        <v/>
      </c>
      <c r="AK2325" s="54">
        <f>IF(AND(AJ2325=1,AH2325&lt;&gt;"",COUNTIFS($AH$2:AH2325,AH2325,$AJ$2:AJ2325,1)=1),N(AL2324)+1,"")</f>
        <v/>
      </c>
      <c r="AL2325" s="54">
        <f>IF(AK2325&lt;&gt;"",AK2325,N(AL2324))</f>
        <v/>
      </c>
    </row>
    <row r="2326">
      <c r="A2326" t="inlineStr">
        <is>
          <t>CON-0775</t>
        </is>
      </c>
      <c r="B2326" t="inlineStr">
        <is>
          <t>Consulting</t>
        </is>
      </c>
      <c r="AB2326" t="n">
        <v>775</v>
      </c>
      <c r="AD2326" s="52">
        <f>IFERROR(N(IFERROR(INDEX($A2326:$AB2326,MATCH("Xero Invoiced Ex GST",$A$1:$AB$1,0)),"")),0)</f>
        <v/>
      </c>
      <c r="AE2326" s="53">
        <f>IFERROR(INDEX($A2326:$AB2326,MATCH("Xero Invoice Date",$A$1:$AB$1,0)),"")</f>
        <v/>
      </c>
      <c r="AF2326" s="54">
        <f>IF(AND(IFERROR(INDEX($A2326:$AB2326,MATCH("Xero Invoice No",$A$1:$AB$1,0)),"")&amp;""&lt;&gt;"",ISNUMBER(AE2326),AD2326&lt;&gt;0),1,0)</f>
        <v/>
      </c>
      <c r="AG2326" s="55">
        <f>IF(AF2326=1,EOMONTH(AE2326,0),"")</f>
        <v/>
      </c>
      <c r="AH2326" s="9">
        <f>IF(AF2326=1,UPPER(TRIM(IFERROR(INDEX($A2326:$AB2326,MATCH("Client",$A$1:$AB$1,0)),"")&amp;"")),"")</f>
        <v/>
      </c>
      <c r="AI2326" s="9">
        <f>IF(AF2326=1,IFERROR(INDEX($A2326:$AB2326,MATCH("Cost Centre",$A$1:$AB$1,0)),"")&amp;"","")</f>
        <v/>
      </c>
      <c r="AJ2326" s="54">
        <f>IF(AND(AF2326=1,AE2326&gt;=set_FYStart,AE2326&lt;=set_AsAt),1,0)</f>
        <v/>
      </c>
      <c r="AK2326" s="54">
        <f>IF(AND(AJ2326=1,AH2326&lt;&gt;"",COUNTIFS($AH$2:AH2326,AH2326,$AJ$2:AJ2326,1)=1),N(AL2325)+1,"")</f>
        <v/>
      </c>
      <c r="AL2326" s="54">
        <f>IF(AK2326&lt;&gt;"",AK2326,N(AL2325))</f>
        <v/>
      </c>
    </row>
    <row r="2327">
      <c r="A2327" t="inlineStr">
        <is>
          <t>ONS-0776</t>
        </is>
      </c>
      <c r="B2327" t="inlineStr">
        <is>
          <t>Onsite</t>
        </is>
      </c>
      <c r="AB2327" t="n">
        <v>776</v>
      </c>
      <c r="AD2327" s="52">
        <f>IFERROR(N(IFERROR(INDEX($A2327:$AB2327,MATCH("Xero Invoiced Ex GST",$A$1:$AB$1,0)),"")),0)</f>
        <v/>
      </c>
      <c r="AE2327" s="53">
        <f>IFERROR(INDEX($A2327:$AB2327,MATCH("Xero Invoice Date",$A$1:$AB$1,0)),"")</f>
        <v/>
      </c>
      <c r="AF2327" s="54">
        <f>IF(AND(IFERROR(INDEX($A2327:$AB2327,MATCH("Xero Invoice No",$A$1:$AB$1,0)),"")&amp;""&lt;&gt;"",ISNUMBER(AE2327),AD2327&lt;&gt;0),1,0)</f>
        <v/>
      </c>
      <c r="AG2327" s="55">
        <f>IF(AF2327=1,EOMONTH(AE2327,0),"")</f>
        <v/>
      </c>
      <c r="AH2327" s="9">
        <f>IF(AF2327=1,UPPER(TRIM(IFERROR(INDEX($A2327:$AB2327,MATCH("Client",$A$1:$AB$1,0)),"")&amp;"")),"")</f>
        <v/>
      </c>
      <c r="AI2327" s="9">
        <f>IF(AF2327=1,IFERROR(INDEX($A2327:$AB2327,MATCH("Cost Centre",$A$1:$AB$1,0)),"")&amp;"","")</f>
        <v/>
      </c>
      <c r="AJ2327" s="54">
        <f>IF(AND(AF2327=1,AE2327&gt;=set_FYStart,AE2327&lt;=set_AsAt),1,0)</f>
        <v/>
      </c>
      <c r="AK2327" s="54">
        <f>IF(AND(AJ2327=1,AH2327&lt;&gt;"",COUNTIFS($AH$2:AH2327,AH2327,$AJ$2:AJ2327,1)=1),N(AL2326)+1,"")</f>
        <v/>
      </c>
      <c r="AL2327" s="54">
        <f>IF(AK2327&lt;&gt;"",AK2327,N(AL2326))</f>
        <v/>
      </c>
    </row>
    <row r="2328">
      <c r="A2328" t="inlineStr">
        <is>
          <t>PRD-0776</t>
        </is>
      </c>
      <c r="B2328" t="inlineStr">
        <is>
          <t>Production</t>
        </is>
      </c>
      <c r="AB2328" t="n">
        <v>776</v>
      </c>
      <c r="AD2328" s="52">
        <f>IFERROR(N(IFERROR(INDEX($A2328:$AB2328,MATCH("Xero Invoiced Ex GST",$A$1:$AB$1,0)),"")),0)</f>
        <v/>
      </c>
      <c r="AE2328" s="53">
        <f>IFERROR(INDEX($A2328:$AB2328,MATCH("Xero Invoice Date",$A$1:$AB$1,0)),"")</f>
        <v/>
      </c>
      <c r="AF2328" s="54">
        <f>IF(AND(IFERROR(INDEX($A2328:$AB2328,MATCH("Xero Invoice No",$A$1:$AB$1,0)),"")&amp;""&lt;&gt;"",ISNUMBER(AE2328),AD2328&lt;&gt;0),1,0)</f>
        <v/>
      </c>
      <c r="AG2328" s="55">
        <f>IF(AF2328=1,EOMONTH(AE2328,0),"")</f>
        <v/>
      </c>
      <c r="AH2328" s="9">
        <f>IF(AF2328=1,UPPER(TRIM(IFERROR(INDEX($A2328:$AB2328,MATCH("Client",$A$1:$AB$1,0)),"")&amp;"")),"")</f>
        <v/>
      </c>
      <c r="AI2328" s="9">
        <f>IF(AF2328=1,IFERROR(INDEX($A2328:$AB2328,MATCH("Cost Centre",$A$1:$AB$1,0)),"")&amp;"","")</f>
        <v/>
      </c>
      <c r="AJ2328" s="54">
        <f>IF(AND(AF2328=1,AE2328&gt;=set_FYStart,AE2328&lt;=set_AsAt),1,0)</f>
        <v/>
      </c>
      <c r="AK2328" s="54">
        <f>IF(AND(AJ2328=1,AH2328&lt;&gt;"",COUNTIFS($AH$2:AH2328,AH2328,$AJ$2:AJ2328,1)=1),N(AL2327)+1,"")</f>
        <v/>
      </c>
      <c r="AL2328" s="54">
        <f>IF(AK2328&lt;&gt;"",AK2328,N(AL2327))</f>
        <v/>
      </c>
    </row>
    <row r="2329">
      <c r="A2329" t="inlineStr">
        <is>
          <t>CON-0776</t>
        </is>
      </c>
      <c r="B2329" t="inlineStr">
        <is>
          <t>Consulting</t>
        </is>
      </c>
      <c r="AB2329" t="n">
        <v>776</v>
      </c>
      <c r="AD2329" s="52">
        <f>IFERROR(N(IFERROR(INDEX($A2329:$AB2329,MATCH("Xero Invoiced Ex GST",$A$1:$AB$1,0)),"")),0)</f>
        <v/>
      </c>
      <c r="AE2329" s="53">
        <f>IFERROR(INDEX($A2329:$AB2329,MATCH("Xero Invoice Date",$A$1:$AB$1,0)),"")</f>
        <v/>
      </c>
      <c r="AF2329" s="54">
        <f>IF(AND(IFERROR(INDEX($A2329:$AB2329,MATCH("Xero Invoice No",$A$1:$AB$1,0)),"")&amp;""&lt;&gt;"",ISNUMBER(AE2329),AD2329&lt;&gt;0),1,0)</f>
        <v/>
      </c>
      <c r="AG2329" s="55">
        <f>IF(AF2329=1,EOMONTH(AE2329,0),"")</f>
        <v/>
      </c>
      <c r="AH2329" s="9">
        <f>IF(AF2329=1,UPPER(TRIM(IFERROR(INDEX($A2329:$AB2329,MATCH("Client",$A$1:$AB$1,0)),"")&amp;"")),"")</f>
        <v/>
      </c>
      <c r="AI2329" s="9">
        <f>IF(AF2329=1,IFERROR(INDEX($A2329:$AB2329,MATCH("Cost Centre",$A$1:$AB$1,0)),"")&amp;"","")</f>
        <v/>
      </c>
      <c r="AJ2329" s="54">
        <f>IF(AND(AF2329=1,AE2329&gt;=set_FYStart,AE2329&lt;=set_AsAt),1,0)</f>
        <v/>
      </c>
      <c r="AK2329" s="54">
        <f>IF(AND(AJ2329=1,AH2329&lt;&gt;"",COUNTIFS($AH$2:AH2329,AH2329,$AJ$2:AJ2329,1)=1),N(AL2328)+1,"")</f>
        <v/>
      </c>
      <c r="AL2329" s="54">
        <f>IF(AK2329&lt;&gt;"",AK2329,N(AL2328))</f>
        <v/>
      </c>
    </row>
    <row r="2330">
      <c r="A2330" t="inlineStr">
        <is>
          <t>ONS-0777</t>
        </is>
      </c>
      <c r="B2330" t="inlineStr">
        <is>
          <t>Onsite</t>
        </is>
      </c>
      <c r="AB2330" t="n">
        <v>777</v>
      </c>
      <c r="AD2330" s="52">
        <f>IFERROR(N(IFERROR(INDEX($A2330:$AB2330,MATCH("Xero Invoiced Ex GST",$A$1:$AB$1,0)),"")),0)</f>
        <v/>
      </c>
      <c r="AE2330" s="53">
        <f>IFERROR(INDEX($A2330:$AB2330,MATCH("Xero Invoice Date",$A$1:$AB$1,0)),"")</f>
        <v/>
      </c>
      <c r="AF2330" s="54">
        <f>IF(AND(IFERROR(INDEX($A2330:$AB2330,MATCH("Xero Invoice No",$A$1:$AB$1,0)),"")&amp;""&lt;&gt;"",ISNUMBER(AE2330),AD2330&lt;&gt;0),1,0)</f>
        <v/>
      </c>
      <c r="AG2330" s="55">
        <f>IF(AF2330=1,EOMONTH(AE2330,0),"")</f>
        <v/>
      </c>
      <c r="AH2330" s="9">
        <f>IF(AF2330=1,UPPER(TRIM(IFERROR(INDEX($A2330:$AB2330,MATCH("Client",$A$1:$AB$1,0)),"")&amp;"")),"")</f>
        <v/>
      </c>
      <c r="AI2330" s="9">
        <f>IF(AF2330=1,IFERROR(INDEX($A2330:$AB2330,MATCH("Cost Centre",$A$1:$AB$1,0)),"")&amp;"","")</f>
        <v/>
      </c>
      <c r="AJ2330" s="54">
        <f>IF(AND(AF2330=1,AE2330&gt;=set_FYStart,AE2330&lt;=set_AsAt),1,0)</f>
        <v/>
      </c>
      <c r="AK2330" s="54">
        <f>IF(AND(AJ2330=1,AH2330&lt;&gt;"",COUNTIFS($AH$2:AH2330,AH2330,$AJ$2:AJ2330,1)=1),N(AL2329)+1,"")</f>
        <v/>
      </c>
      <c r="AL2330" s="54">
        <f>IF(AK2330&lt;&gt;"",AK2330,N(AL2329))</f>
        <v/>
      </c>
    </row>
    <row r="2331">
      <c r="A2331" t="inlineStr">
        <is>
          <t>PRD-0777</t>
        </is>
      </c>
      <c r="B2331" t="inlineStr">
        <is>
          <t>Production</t>
        </is>
      </c>
      <c r="AB2331" t="n">
        <v>777</v>
      </c>
      <c r="AD2331" s="52">
        <f>IFERROR(N(IFERROR(INDEX($A2331:$AB2331,MATCH("Xero Invoiced Ex GST",$A$1:$AB$1,0)),"")),0)</f>
        <v/>
      </c>
      <c r="AE2331" s="53">
        <f>IFERROR(INDEX($A2331:$AB2331,MATCH("Xero Invoice Date",$A$1:$AB$1,0)),"")</f>
        <v/>
      </c>
      <c r="AF2331" s="54">
        <f>IF(AND(IFERROR(INDEX($A2331:$AB2331,MATCH("Xero Invoice No",$A$1:$AB$1,0)),"")&amp;""&lt;&gt;"",ISNUMBER(AE2331),AD2331&lt;&gt;0),1,0)</f>
        <v/>
      </c>
      <c r="AG2331" s="55">
        <f>IF(AF2331=1,EOMONTH(AE2331,0),"")</f>
        <v/>
      </c>
      <c r="AH2331" s="9">
        <f>IF(AF2331=1,UPPER(TRIM(IFERROR(INDEX($A2331:$AB2331,MATCH("Client",$A$1:$AB$1,0)),"")&amp;"")),"")</f>
        <v/>
      </c>
      <c r="AI2331" s="9">
        <f>IF(AF2331=1,IFERROR(INDEX($A2331:$AB2331,MATCH("Cost Centre",$A$1:$AB$1,0)),"")&amp;"","")</f>
        <v/>
      </c>
      <c r="AJ2331" s="54">
        <f>IF(AND(AF2331=1,AE2331&gt;=set_FYStart,AE2331&lt;=set_AsAt),1,0)</f>
        <v/>
      </c>
      <c r="AK2331" s="54">
        <f>IF(AND(AJ2331=1,AH2331&lt;&gt;"",COUNTIFS($AH$2:AH2331,AH2331,$AJ$2:AJ2331,1)=1),N(AL2330)+1,"")</f>
        <v/>
      </c>
      <c r="AL2331" s="54">
        <f>IF(AK2331&lt;&gt;"",AK2331,N(AL2330))</f>
        <v/>
      </c>
    </row>
    <row r="2332">
      <c r="A2332" t="inlineStr">
        <is>
          <t>CON-0777</t>
        </is>
      </c>
      <c r="B2332" t="inlineStr">
        <is>
          <t>Consulting</t>
        </is>
      </c>
      <c r="AB2332" t="n">
        <v>777</v>
      </c>
      <c r="AD2332" s="52">
        <f>IFERROR(N(IFERROR(INDEX($A2332:$AB2332,MATCH("Xero Invoiced Ex GST",$A$1:$AB$1,0)),"")),0)</f>
        <v/>
      </c>
      <c r="AE2332" s="53">
        <f>IFERROR(INDEX($A2332:$AB2332,MATCH("Xero Invoice Date",$A$1:$AB$1,0)),"")</f>
        <v/>
      </c>
      <c r="AF2332" s="54">
        <f>IF(AND(IFERROR(INDEX($A2332:$AB2332,MATCH("Xero Invoice No",$A$1:$AB$1,0)),"")&amp;""&lt;&gt;"",ISNUMBER(AE2332),AD2332&lt;&gt;0),1,0)</f>
        <v/>
      </c>
      <c r="AG2332" s="55">
        <f>IF(AF2332=1,EOMONTH(AE2332,0),"")</f>
        <v/>
      </c>
      <c r="AH2332" s="9">
        <f>IF(AF2332=1,UPPER(TRIM(IFERROR(INDEX($A2332:$AB2332,MATCH("Client",$A$1:$AB$1,0)),"")&amp;"")),"")</f>
        <v/>
      </c>
      <c r="AI2332" s="9">
        <f>IF(AF2332=1,IFERROR(INDEX($A2332:$AB2332,MATCH("Cost Centre",$A$1:$AB$1,0)),"")&amp;"","")</f>
        <v/>
      </c>
      <c r="AJ2332" s="54">
        <f>IF(AND(AF2332=1,AE2332&gt;=set_FYStart,AE2332&lt;=set_AsAt),1,0)</f>
        <v/>
      </c>
      <c r="AK2332" s="54">
        <f>IF(AND(AJ2332=1,AH2332&lt;&gt;"",COUNTIFS($AH$2:AH2332,AH2332,$AJ$2:AJ2332,1)=1),N(AL2331)+1,"")</f>
        <v/>
      </c>
      <c r="AL2332" s="54">
        <f>IF(AK2332&lt;&gt;"",AK2332,N(AL2331))</f>
        <v/>
      </c>
    </row>
    <row r="2333">
      <c r="A2333" t="inlineStr">
        <is>
          <t>ONS-0778</t>
        </is>
      </c>
      <c r="B2333" t="inlineStr">
        <is>
          <t>Onsite</t>
        </is>
      </c>
      <c r="AB2333" t="n">
        <v>778</v>
      </c>
      <c r="AD2333" s="52">
        <f>IFERROR(N(IFERROR(INDEX($A2333:$AB2333,MATCH("Xero Invoiced Ex GST",$A$1:$AB$1,0)),"")),0)</f>
        <v/>
      </c>
      <c r="AE2333" s="53">
        <f>IFERROR(INDEX($A2333:$AB2333,MATCH("Xero Invoice Date",$A$1:$AB$1,0)),"")</f>
        <v/>
      </c>
      <c r="AF2333" s="54">
        <f>IF(AND(IFERROR(INDEX($A2333:$AB2333,MATCH("Xero Invoice No",$A$1:$AB$1,0)),"")&amp;""&lt;&gt;"",ISNUMBER(AE2333),AD2333&lt;&gt;0),1,0)</f>
        <v/>
      </c>
      <c r="AG2333" s="55">
        <f>IF(AF2333=1,EOMONTH(AE2333,0),"")</f>
        <v/>
      </c>
      <c r="AH2333" s="9">
        <f>IF(AF2333=1,UPPER(TRIM(IFERROR(INDEX($A2333:$AB2333,MATCH("Client",$A$1:$AB$1,0)),"")&amp;"")),"")</f>
        <v/>
      </c>
      <c r="AI2333" s="9">
        <f>IF(AF2333=1,IFERROR(INDEX($A2333:$AB2333,MATCH("Cost Centre",$A$1:$AB$1,0)),"")&amp;"","")</f>
        <v/>
      </c>
      <c r="AJ2333" s="54">
        <f>IF(AND(AF2333=1,AE2333&gt;=set_FYStart,AE2333&lt;=set_AsAt),1,0)</f>
        <v/>
      </c>
      <c r="AK2333" s="54">
        <f>IF(AND(AJ2333=1,AH2333&lt;&gt;"",COUNTIFS($AH$2:AH2333,AH2333,$AJ$2:AJ2333,1)=1),N(AL2332)+1,"")</f>
        <v/>
      </c>
      <c r="AL2333" s="54">
        <f>IF(AK2333&lt;&gt;"",AK2333,N(AL2332))</f>
        <v/>
      </c>
    </row>
    <row r="2334">
      <c r="A2334" t="inlineStr">
        <is>
          <t>PRD-0778</t>
        </is>
      </c>
      <c r="B2334" t="inlineStr">
        <is>
          <t>Production</t>
        </is>
      </c>
      <c r="AB2334" t="n">
        <v>778</v>
      </c>
      <c r="AD2334" s="52">
        <f>IFERROR(N(IFERROR(INDEX($A2334:$AB2334,MATCH("Xero Invoiced Ex GST",$A$1:$AB$1,0)),"")),0)</f>
        <v/>
      </c>
      <c r="AE2334" s="53">
        <f>IFERROR(INDEX($A2334:$AB2334,MATCH("Xero Invoice Date",$A$1:$AB$1,0)),"")</f>
        <v/>
      </c>
      <c r="AF2334" s="54">
        <f>IF(AND(IFERROR(INDEX($A2334:$AB2334,MATCH("Xero Invoice No",$A$1:$AB$1,0)),"")&amp;""&lt;&gt;"",ISNUMBER(AE2334),AD2334&lt;&gt;0),1,0)</f>
        <v/>
      </c>
      <c r="AG2334" s="55">
        <f>IF(AF2334=1,EOMONTH(AE2334,0),"")</f>
        <v/>
      </c>
      <c r="AH2334" s="9">
        <f>IF(AF2334=1,UPPER(TRIM(IFERROR(INDEX($A2334:$AB2334,MATCH("Client",$A$1:$AB$1,0)),"")&amp;"")),"")</f>
        <v/>
      </c>
      <c r="AI2334" s="9">
        <f>IF(AF2334=1,IFERROR(INDEX($A2334:$AB2334,MATCH("Cost Centre",$A$1:$AB$1,0)),"")&amp;"","")</f>
        <v/>
      </c>
      <c r="AJ2334" s="54">
        <f>IF(AND(AF2334=1,AE2334&gt;=set_FYStart,AE2334&lt;=set_AsAt),1,0)</f>
        <v/>
      </c>
      <c r="AK2334" s="54">
        <f>IF(AND(AJ2334=1,AH2334&lt;&gt;"",COUNTIFS($AH$2:AH2334,AH2334,$AJ$2:AJ2334,1)=1),N(AL2333)+1,"")</f>
        <v/>
      </c>
      <c r="AL2334" s="54">
        <f>IF(AK2334&lt;&gt;"",AK2334,N(AL2333))</f>
        <v/>
      </c>
    </row>
    <row r="2335">
      <c r="A2335" t="inlineStr">
        <is>
          <t>CON-0778</t>
        </is>
      </c>
      <c r="B2335" t="inlineStr">
        <is>
          <t>Consulting</t>
        </is>
      </c>
      <c r="AB2335" t="n">
        <v>778</v>
      </c>
      <c r="AD2335" s="52">
        <f>IFERROR(N(IFERROR(INDEX($A2335:$AB2335,MATCH("Xero Invoiced Ex GST",$A$1:$AB$1,0)),"")),0)</f>
        <v/>
      </c>
      <c r="AE2335" s="53">
        <f>IFERROR(INDEX($A2335:$AB2335,MATCH("Xero Invoice Date",$A$1:$AB$1,0)),"")</f>
        <v/>
      </c>
      <c r="AF2335" s="54">
        <f>IF(AND(IFERROR(INDEX($A2335:$AB2335,MATCH("Xero Invoice No",$A$1:$AB$1,0)),"")&amp;""&lt;&gt;"",ISNUMBER(AE2335),AD2335&lt;&gt;0),1,0)</f>
        <v/>
      </c>
      <c r="AG2335" s="55">
        <f>IF(AF2335=1,EOMONTH(AE2335,0),"")</f>
        <v/>
      </c>
      <c r="AH2335" s="9">
        <f>IF(AF2335=1,UPPER(TRIM(IFERROR(INDEX($A2335:$AB2335,MATCH("Client",$A$1:$AB$1,0)),"")&amp;"")),"")</f>
        <v/>
      </c>
      <c r="AI2335" s="9">
        <f>IF(AF2335=1,IFERROR(INDEX($A2335:$AB2335,MATCH("Cost Centre",$A$1:$AB$1,0)),"")&amp;"","")</f>
        <v/>
      </c>
      <c r="AJ2335" s="54">
        <f>IF(AND(AF2335=1,AE2335&gt;=set_FYStart,AE2335&lt;=set_AsAt),1,0)</f>
        <v/>
      </c>
      <c r="AK2335" s="54">
        <f>IF(AND(AJ2335=1,AH2335&lt;&gt;"",COUNTIFS($AH$2:AH2335,AH2335,$AJ$2:AJ2335,1)=1),N(AL2334)+1,"")</f>
        <v/>
      </c>
      <c r="AL2335" s="54">
        <f>IF(AK2335&lt;&gt;"",AK2335,N(AL2334))</f>
        <v/>
      </c>
    </row>
    <row r="2336">
      <c r="A2336" t="inlineStr">
        <is>
          <t>ONS-0779</t>
        </is>
      </c>
      <c r="B2336" t="inlineStr">
        <is>
          <t>Onsite</t>
        </is>
      </c>
      <c r="AB2336" t="n">
        <v>779</v>
      </c>
      <c r="AD2336" s="52">
        <f>IFERROR(N(IFERROR(INDEX($A2336:$AB2336,MATCH("Xero Invoiced Ex GST",$A$1:$AB$1,0)),"")),0)</f>
        <v/>
      </c>
      <c r="AE2336" s="53">
        <f>IFERROR(INDEX($A2336:$AB2336,MATCH("Xero Invoice Date",$A$1:$AB$1,0)),"")</f>
        <v/>
      </c>
      <c r="AF2336" s="54">
        <f>IF(AND(IFERROR(INDEX($A2336:$AB2336,MATCH("Xero Invoice No",$A$1:$AB$1,0)),"")&amp;""&lt;&gt;"",ISNUMBER(AE2336),AD2336&lt;&gt;0),1,0)</f>
        <v/>
      </c>
      <c r="AG2336" s="55">
        <f>IF(AF2336=1,EOMONTH(AE2336,0),"")</f>
        <v/>
      </c>
      <c r="AH2336" s="9">
        <f>IF(AF2336=1,UPPER(TRIM(IFERROR(INDEX($A2336:$AB2336,MATCH("Client",$A$1:$AB$1,0)),"")&amp;"")),"")</f>
        <v/>
      </c>
      <c r="AI2336" s="9">
        <f>IF(AF2336=1,IFERROR(INDEX($A2336:$AB2336,MATCH("Cost Centre",$A$1:$AB$1,0)),"")&amp;"","")</f>
        <v/>
      </c>
      <c r="AJ2336" s="54">
        <f>IF(AND(AF2336=1,AE2336&gt;=set_FYStart,AE2336&lt;=set_AsAt),1,0)</f>
        <v/>
      </c>
      <c r="AK2336" s="54">
        <f>IF(AND(AJ2336=1,AH2336&lt;&gt;"",COUNTIFS($AH$2:AH2336,AH2336,$AJ$2:AJ2336,1)=1),N(AL2335)+1,"")</f>
        <v/>
      </c>
      <c r="AL2336" s="54">
        <f>IF(AK2336&lt;&gt;"",AK2336,N(AL2335))</f>
        <v/>
      </c>
    </row>
    <row r="2337">
      <c r="A2337" t="inlineStr">
        <is>
          <t>PRD-0779</t>
        </is>
      </c>
      <c r="B2337" t="inlineStr">
        <is>
          <t>Production</t>
        </is>
      </c>
      <c r="AB2337" t="n">
        <v>779</v>
      </c>
      <c r="AD2337" s="52">
        <f>IFERROR(N(IFERROR(INDEX($A2337:$AB2337,MATCH("Xero Invoiced Ex GST",$A$1:$AB$1,0)),"")),0)</f>
        <v/>
      </c>
      <c r="AE2337" s="53">
        <f>IFERROR(INDEX($A2337:$AB2337,MATCH("Xero Invoice Date",$A$1:$AB$1,0)),"")</f>
        <v/>
      </c>
      <c r="AF2337" s="54">
        <f>IF(AND(IFERROR(INDEX($A2337:$AB2337,MATCH("Xero Invoice No",$A$1:$AB$1,0)),"")&amp;""&lt;&gt;"",ISNUMBER(AE2337),AD2337&lt;&gt;0),1,0)</f>
        <v/>
      </c>
      <c r="AG2337" s="55">
        <f>IF(AF2337=1,EOMONTH(AE2337,0),"")</f>
        <v/>
      </c>
      <c r="AH2337" s="9">
        <f>IF(AF2337=1,UPPER(TRIM(IFERROR(INDEX($A2337:$AB2337,MATCH("Client",$A$1:$AB$1,0)),"")&amp;"")),"")</f>
        <v/>
      </c>
      <c r="AI2337" s="9">
        <f>IF(AF2337=1,IFERROR(INDEX($A2337:$AB2337,MATCH("Cost Centre",$A$1:$AB$1,0)),"")&amp;"","")</f>
        <v/>
      </c>
      <c r="AJ2337" s="54">
        <f>IF(AND(AF2337=1,AE2337&gt;=set_FYStart,AE2337&lt;=set_AsAt),1,0)</f>
        <v/>
      </c>
      <c r="AK2337" s="54">
        <f>IF(AND(AJ2337=1,AH2337&lt;&gt;"",COUNTIFS($AH$2:AH2337,AH2337,$AJ$2:AJ2337,1)=1),N(AL2336)+1,"")</f>
        <v/>
      </c>
      <c r="AL2337" s="54">
        <f>IF(AK2337&lt;&gt;"",AK2337,N(AL2336))</f>
        <v/>
      </c>
    </row>
    <row r="2338">
      <c r="A2338" t="inlineStr">
        <is>
          <t>CON-0779</t>
        </is>
      </c>
      <c r="B2338" t="inlineStr">
        <is>
          <t>Consulting</t>
        </is>
      </c>
      <c r="AB2338" t="n">
        <v>779</v>
      </c>
      <c r="AD2338" s="52">
        <f>IFERROR(N(IFERROR(INDEX($A2338:$AB2338,MATCH("Xero Invoiced Ex GST",$A$1:$AB$1,0)),"")),0)</f>
        <v/>
      </c>
      <c r="AE2338" s="53">
        <f>IFERROR(INDEX($A2338:$AB2338,MATCH("Xero Invoice Date",$A$1:$AB$1,0)),"")</f>
        <v/>
      </c>
      <c r="AF2338" s="54">
        <f>IF(AND(IFERROR(INDEX($A2338:$AB2338,MATCH("Xero Invoice No",$A$1:$AB$1,0)),"")&amp;""&lt;&gt;"",ISNUMBER(AE2338),AD2338&lt;&gt;0),1,0)</f>
        <v/>
      </c>
      <c r="AG2338" s="55">
        <f>IF(AF2338=1,EOMONTH(AE2338,0),"")</f>
        <v/>
      </c>
      <c r="AH2338" s="9">
        <f>IF(AF2338=1,UPPER(TRIM(IFERROR(INDEX($A2338:$AB2338,MATCH("Client",$A$1:$AB$1,0)),"")&amp;"")),"")</f>
        <v/>
      </c>
      <c r="AI2338" s="9">
        <f>IF(AF2338=1,IFERROR(INDEX($A2338:$AB2338,MATCH("Cost Centre",$A$1:$AB$1,0)),"")&amp;"","")</f>
        <v/>
      </c>
      <c r="AJ2338" s="54">
        <f>IF(AND(AF2338=1,AE2338&gt;=set_FYStart,AE2338&lt;=set_AsAt),1,0)</f>
        <v/>
      </c>
      <c r="AK2338" s="54">
        <f>IF(AND(AJ2338=1,AH2338&lt;&gt;"",COUNTIFS($AH$2:AH2338,AH2338,$AJ$2:AJ2338,1)=1),N(AL2337)+1,"")</f>
        <v/>
      </c>
      <c r="AL2338" s="54">
        <f>IF(AK2338&lt;&gt;"",AK2338,N(AL2337))</f>
        <v/>
      </c>
    </row>
    <row r="2339">
      <c r="A2339" t="inlineStr">
        <is>
          <t>ONS-0780</t>
        </is>
      </c>
      <c r="B2339" t="inlineStr">
        <is>
          <t>Onsite</t>
        </is>
      </c>
      <c r="AB2339" t="n">
        <v>780</v>
      </c>
      <c r="AD2339" s="52">
        <f>IFERROR(N(IFERROR(INDEX($A2339:$AB2339,MATCH("Xero Invoiced Ex GST",$A$1:$AB$1,0)),"")),0)</f>
        <v/>
      </c>
      <c r="AE2339" s="53">
        <f>IFERROR(INDEX($A2339:$AB2339,MATCH("Xero Invoice Date",$A$1:$AB$1,0)),"")</f>
        <v/>
      </c>
      <c r="AF2339" s="54">
        <f>IF(AND(IFERROR(INDEX($A2339:$AB2339,MATCH("Xero Invoice No",$A$1:$AB$1,0)),"")&amp;""&lt;&gt;"",ISNUMBER(AE2339),AD2339&lt;&gt;0),1,0)</f>
        <v/>
      </c>
      <c r="AG2339" s="55">
        <f>IF(AF2339=1,EOMONTH(AE2339,0),"")</f>
        <v/>
      </c>
      <c r="AH2339" s="9">
        <f>IF(AF2339=1,UPPER(TRIM(IFERROR(INDEX($A2339:$AB2339,MATCH("Client",$A$1:$AB$1,0)),"")&amp;"")),"")</f>
        <v/>
      </c>
      <c r="AI2339" s="9">
        <f>IF(AF2339=1,IFERROR(INDEX($A2339:$AB2339,MATCH("Cost Centre",$A$1:$AB$1,0)),"")&amp;"","")</f>
        <v/>
      </c>
      <c r="AJ2339" s="54">
        <f>IF(AND(AF2339=1,AE2339&gt;=set_FYStart,AE2339&lt;=set_AsAt),1,0)</f>
        <v/>
      </c>
      <c r="AK2339" s="54">
        <f>IF(AND(AJ2339=1,AH2339&lt;&gt;"",COUNTIFS($AH$2:AH2339,AH2339,$AJ$2:AJ2339,1)=1),N(AL2338)+1,"")</f>
        <v/>
      </c>
      <c r="AL2339" s="54">
        <f>IF(AK2339&lt;&gt;"",AK2339,N(AL2338))</f>
        <v/>
      </c>
    </row>
    <row r="2340">
      <c r="A2340" t="inlineStr">
        <is>
          <t>PRD-0780</t>
        </is>
      </c>
      <c r="B2340" t="inlineStr">
        <is>
          <t>Production</t>
        </is>
      </c>
      <c r="AB2340" t="n">
        <v>780</v>
      </c>
      <c r="AD2340" s="52">
        <f>IFERROR(N(IFERROR(INDEX($A2340:$AB2340,MATCH("Xero Invoiced Ex GST",$A$1:$AB$1,0)),"")),0)</f>
        <v/>
      </c>
      <c r="AE2340" s="53">
        <f>IFERROR(INDEX($A2340:$AB2340,MATCH("Xero Invoice Date",$A$1:$AB$1,0)),"")</f>
        <v/>
      </c>
      <c r="AF2340" s="54">
        <f>IF(AND(IFERROR(INDEX($A2340:$AB2340,MATCH("Xero Invoice No",$A$1:$AB$1,0)),"")&amp;""&lt;&gt;"",ISNUMBER(AE2340),AD2340&lt;&gt;0),1,0)</f>
        <v/>
      </c>
      <c r="AG2340" s="55">
        <f>IF(AF2340=1,EOMONTH(AE2340,0),"")</f>
        <v/>
      </c>
      <c r="AH2340" s="9">
        <f>IF(AF2340=1,UPPER(TRIM(IFERROR(INDEX($A2340:$AB2340,MATCH("Client",$A$1:$AB$1,0)),"")&amp;"")),"")</f>
        <v/>
      </c>
      <c r="AI2340" s="9">
        <f>IF(AF2340=1,IFERROR(INDEX($A2340:$AB2340,MATCH("Cost Centre",$A$1:$AB$1,0)),"")&amp;"","")</f>
        <v/>
      </c>
      <c r="AJ2340" s="54">
        <f>IF(AND(AF2340=1,AE2340&gt;=set_FYStart,AE2340&lt;=set_AsAt),1,0)</f>
        <v/>
      </c>
      <c r="AK2340" s="54">
        <f>IF(AND(AJ2340=1,AH2340&lt;&gt;"",COUNTIFS($AH$2:AH2340,AH2340,$AJ$2:AJ2340,1)=1),N(AL2339)+1,"")</f>
        <v/>
      </c>
      <c r="AL2340" s="54">
        <f>IF(AK2340&lt;&gt;"",AK2340,N(AL2339))</f>
        <v/>
      </c>
    </row>
    <row r="2341">
      <c r="A2341" t="inlineStr">
        <is>
          <t>CON-0780</t>
        </is>
      </c>
      <c r="B2341" t="inlineStr">
        <is>
          <t>Consulting</t>
        </is>
      </c>
      <c r="AB2341" t="n">
        <v>780</v>
      </c>
      <c r="AD2341" s="52">
        <f>IFERROR(N(IFERROR(INDEX($A2341:$AB2341,MATCH("Xero Invoiced Ex GST",$A$1:$AB$1,0)),"")),0)</f>
        <v/>
      </c>
      <c r="AE2341" s="53">
        <f>IFERROR(INDEX($A2341:$AB2341,MATCH("Xero Invoice Date",$A$1:$AB$1,0)),"")</f>
        <v/>
      </c>
      <c r="AF2341" s="54">
        <f>IF(AND(IFERROR(INDEX($A2341:$AB2341,MATCH("Xero Invoice No",$A$1:$AB$1,0)),"")&amp;""&lt;&gt;"",ISNUMBER(AE2341),AD2341&lt;&gt;0),1,0)</f>
        <v/>
      </c>
      <c r="AG2341" s="55">
        <f>IF(AF2341=1,EOMONTH(AE2341,0),"")</f>
        <v/>
      </c>
      <c r="AH2341" s="9">
        <f>IF(AF2341=1,UPPER(TRIM(IFERROR(INDEX($A2341:$AB2341,MATCH("Client",$A$1:$AB$1,0)),"")&amp;"")),"")</f>
        <v/>
      </c>
      <c r="AI2341" s="9">
        <f>IF(AF2341=1,IFERROR(INDEX($A2341:$AB2341,MATCH("Cost Centre",$A$1:$AB$1,0)),"")&amp;"","")</f>
        <v/>
      </c>
      <c r="AJ2341" s="54">
        <f>IF(AND(AF2341=1,AE2341&gt;=set_FYStart,AE2341&lt;=set_AsAt),1,0)</f>
        <v/>
      </c>
      <c r="AK2341" s="54">
        <f>IF(AND(AJ2341=1,AH2341&lt;&gt;"",COUNTIFS($AH$2:AH2341,AH2341,$AJ$2:AJ2341,1)=1),N(AL2340)+1,"")</f>
        <v/>
      </c>
      <c r="AL2341" s="54">
        <f>IF(AK2341&lt;&gt;"",AK2341,N(AL2340))</f>
        <v/>
      </c>
    </row>
    <row r="2342">
      <c r="A2342" t="inlineStr">
        <is>
          <t>ONS-0781</t>
        </is>
      </c>
      <c r="B2342" t="inlineStr">
        <is>
          <t>Onsite</t>
        </is>
      </c>
      <c r="AB2342" t="n">
        <v>781</v>
      </c>
      <c r="AD2342" s="52">
        <f>IFERROR(N(IFERROR(INDEX($A2342:$AB2342,MATCH("Xero Invoiced Ex GST",$A$1:$AB$1,0)),"")),0)</f>
        <v/>
      </c>
      <c r="AE2342" s="53">
        <f>IFERROR(INDEX($A2342:$AB2342,MATCH("Xero Invoice Date",$A$1:$AB$1,0)),"")</f>
        <v/>
      </c>
      <c r="AF2342" s="54">
        <f>IF(AND(IFERROR(INDEX($A2342:$AB2342,MATCH("Xero Invoice No",$A$1:$AB$1,0)),"")&amp;""&lt;&gt;"",ISNUMBER(AE2342),AD2342&lt;&gt;0),1,0)</f>
        <v/>
      </c>
      <c r="AG2342" s="55">
        <f>IF(AF2342=1,EOMONTH(AE2342,0),"")</f>
        <v/>
      </c>
      <c r="AH2342" s="9">
        <f>IF(AF2342=1,UPPER(TRIM(IFERROR(INDEX($A2342:$AB2342,MATCH("Client",$A$1:$AB$1,0)),"")&amp;"")),"")</f>
        <v/>
      </c>
      <c r="AI2342" s="9">
        <f>IF(AF2342=1,IFERROR(INDEX($A2342:$AB2342,MATCH("Cost Centre",$A$1:$AB$1,0)),"")&amp;"","")</f>
        <v/>
      </c>
      <c r="AJ2342" s="54">
        <f>IF(AND(AF2342=1,AE2342&gt;=set_FYStart,AE2342&lt;=set_AsAt),1,0)</f>
        <v/>
      </c>
      <c r="AK2342" s="54">
        <f>IF(AND(AJ2342=1,AH2342&lt;&gt;"",COUNTIFS($AH$2:AH2342,AH2342,$AJ$2:AJ2342,1)=1),N(AL2341)+1,"")</f>
        <v/>
      </c>
      <c r="AL2342" s="54">
        <f>IF(AK2342&lt;&gt;"",AK2342,N(AL2341))</f>
        <v/>
      </c>
    </row>
    <row r="2343">
      <c r="A2343" t="inlineStr">
        <is>
          <t>PRD-0781</t>
        </is>
      </c>
      <c r="B2343" t="inlineStr">
        <is>
          <t>Production</t>
        </is>
      </c>
      <c r="AB2343" t="n">
        <v>781</v>
      </c>
      <c r="AD2343" s="52">
        <f>IFERROR(N(IFERROR(INDEX($A2343:$AB2343,MATCH("Xero Invoiced Ex GST",$A$1:$AB$1,0)),"")),0)</f>
        <v/>
      </c>
      <c r="AE2343" s="53">
        <f>IFERROR(INDEX($A2343:$AB2343,MATCH("Xero Invoice Date",$A$1:$AB$1,0)),"")</f>
        <v/>
      </c>
      <c r="AF2343" s="54">
        <f>IF(AND(IFERROR(INDEX($A2343:$AB2343,MATCH("Xero Invoice No",$A$1:$AB$1,0)),"")&amp;""&lt;&gt;"",ISNUMBER(AE2343),AD2343&lt;&gt;0),1,0)</f>
        <v/>
      </c>
      <c r="AG2343" s="55">
        <f>IF(AF2343=1,EOMONTH(AE2343,0),"")</f>
        <v/>
      </c>
      <c r="AH2343" s="9">
        <f>IF(AF2343=1,UPPER(TRIM(IFERROR(INDEX($A2343:$AB2343,MATCH("Client",$A$1:$AB$1,0)),"")&amp;"")),"")</f>
        <v/>
      </c>
      <c r="AI2343" s="9">
        <f>IF(AF2343=1,IFERROR(INDEX($A2343:$AB2343,MATCH("Cost Centre",$A$1:$AB$1,0)),"")&amp;"","")</f>
        <v/>
      </c>
      <c r="AJ2343" s="54">
        <f>IF(AND(AF2343=1,AE2343&gt;=set_FYStart,AE2343&lt;=set_AsAt),1,0)</f>
        <v/>
      </c>
      <c r="AK2343" s="54">
        <f>IF(AND(AJ2343=1,AH2343&lt;&gt;"",COUNTIFS($AH$2:AH2343,AH2343,$AJ$2:AJ2343,1)=1),N(AL2342)+1,"")</f>
        <v/>
      </c>
      <c r="AL2343" s="54">
        <f>IF(AK2343&lt;&gt;"",AK2343,N(AL2342))</f>
        <v/>
      </c>
    </row>
    <row r="2344">
      <c r="A2344" t="inlineStr">
        <is>
          <t>CON-0781</t>
        </is>
      </c>
      <c r="B2344" t="inlineStr">
        <is>
          <t>Consulting</t>
        </is>
      </c>
      <c r="AB2344" t="n">
        <v>781</v>
      </c>
      <c r="AD2344" s="52">
        <f>IFERROR(N(IFERROR(INDEX($A2344:$AB2344,MATCH("Xero Invoiced Ex GST",$A$1:$AB$1,0)),"")),0)</f>
        <v/>
      </c>
      <c r="AE2344" s="53">
        <f>IFERROR(INDEX($A2344:$AB2344,MATCH("Xero Invoice Date",$A$1:$AB$1,0)),"")</f>
        <v/>
      </c>
      <c r="AF2344" s="54">
        <f>IF(AND(IFERROR(INDEX($A2344:$AB2344,MATCH("Xero Invoice No",$A$1:$AB$1,0)),"")&amp;""&lt;&gt;"",ISNUMBER(AE2344),AD2344&lt;&gt;0),1,0)</f>
        <v/>
      </c>
      <c r="AG2344" s="55">
        <f>IF(AF2344=1,EOMONTH(AE2344,0),"")</f>
        <v/>
      </c>
      <c r="AH2344" s="9">
        <f>IF(AF2344=1,UPPER(TRIM(IFERROR(INDEX($A2344:$AB2344,MATCH("Client",$A$1:$AB$1,0)),"")&amp;"")),"")</f>
        <v/>
      </c>
      <c r="AI2344" s="9">
        <f>IF(AF2344=1,IFERROR(INDEX($A2344:$AB2344,MATCH("Cost Centre",$A$1:$AB$1,0)),"")&amp;"","")</f>
        <v/>
      </c>
      <c r="AJ2344" s="54">
        <f>IF(AND(AF2344=1,AE2344&gt;=set_FYStart,AE2344&lt;=set_AsAt),1,0)</f>
        <v/>
      </c>
      <c r="AK2344" s="54">
        <f>IF(AND(AJ2344=1,AH2344&lt;&gt;"",COUNTIFS($AH$2:AH2344,AH2344,$AJ$2:AJ2344,1)=1),N(AL2343)+1,"")</f>
        <v/>
      </c>
      <c r="AL2344" s="54">
        <f>IF(AK2344&lt;&gt;"",AK2344,N(AL2343))</f>
        <v/>
      </c>
    </row>
    <row r="2345">
      <c r="A2345" t="inlineStr">
        <is>
          <t>ONS-0782</t>
        </is>
      </c>
      <c r="B2345" t="inlineStr">
        <is>
          <t>Onsite</t>
        </is>
      </c>
      <c r="AB2345" t="n">
        <v>782</v>
      </c>
      <c r="AD2345" s="52">
        <f>IFERROR(N(IFERROR(INDEX($A2345:$AB2345,MATCH("Xero Invoiced Ex GST",$A$1:$AB$1,0)),"")),0)</f>
        <v/>
      </c>
      <c r="AE2345" s="53">
        <f>IFERROR(INDEX($A2345:$AB2345,MATCH("Xero Invoice Date",$A$1:$AB$1,0)),"")</f>
        <v/>
      </c>
      <c r="AF2345" s="54">
        <f>IF(AND(IFERROR(INDEX($A2345:$AB2345,MATCH("Xero Invoice No",$A$1:$AB$1,0)),"")&amp;""&lt;&gt;"",ISNUMBER(AE2345),AD2345&lt;&gt;0),1,0)</f>
        <v/>
      </c>
      <c r="AG2345" s="55">
        <f>IF(AF2345=1,EOMONTH(AE2345,0),"")</f>
        <v/>
      </c>
      <c r="AH2345" s="9">
        <f>IF(AF2345=1,UPPER(TRIM(IFERROR(INDEX($A2345:$AB2345,MATCH("Client",$A$1:$AB$1,0)),"")&amp;"")),"")</f>
        <v/>
      </c>
      <c r="AI2345" s="9">
        <f>IF(AF2345=1,IFERROR(INDEX($A2345:$AB2345,MATCH("Cost Centre",$A$1:$AB$1,0)),"")&amp;"","")</f>
        <v/>
      </c>
      <c r="AJ2345" s="54">
        <f>IF(AND(AF2345=1,AE2345&gt;=set_FYStart,AE2345&lt;=set_AsAt),1,0)</f>
        <v/>
      </c>
      <c r="AK2345" s="54">
        <f>IF(AND(AJ2345=1,AH2345&lt;&gt;"",COUNTIFS($AH$2:AH2345,AH2345,$AJ$2:AJ2345,1)=1),N(AL2344)+1,"")</f>
        <v/>
      </c>
      <c r="AL2345" s="54">
        <f>IF(AK2345&lt;&gt;"",AK2345,N(AL2344))</f>
        <v/>
      </c>
    </row>
    <row r="2346">
      <c r="A2346" t="inlineStr">
        <is>
          <t>PRD-0782</t>
        </is>
      </c>
      <c r="B2346" t="inlineStr">
        <is>
          <t>Production</t>
        </is>
      </c>
      <c r="AB2346" t="n">
        <v>782</v>
      </c>
      <c r="AD2346" s="52">
        <f>IFERROR(N(IFERROR(INDEX($A2346:$AB2346,MATCH("Xero Invoiced Ex GST",$A$1:$AB$1,0)),"")),0)</f>
        <v/>
      </c>
      <c r="AE2346" s="53">
        <f>IFERROR(INDEX($A2346:$AB2346,MATCH("Xero Invoice Date",$A$1:$AB$1,0)),"")</f>
        <v/>
      </c>
      <c r="AF2346" s="54">
        <f>IF(AND(IFERROR(INDEX($A2346:$AB2346,MATCH("Xero Invoice No",$A$1:$AB$1,0)),"")&amp;""&lt;&gt;"",ISNUMBER(AE2346),AD2346&lt;&gt;0),1,0)</f>
        <v/>
      </c>
      <c r="AG2346" s="55">
        <f>IF(AF2346=1,EOMONTH(AE2346,0),"")</f>
        <v/>
      </c>
      <c r="AH2346" s="9">
        <f>IF(AF2346=1,UPPER(TRIM(IFERROR(INDEX($A2346:$AB2346,MATCH("Client",$A$1:$AB$1,0)),"")&amp;"")),"")</f>
        <v/>
      </c>
      <c r="AI2346" s="9">
        <f>IF(AF2346=1,IFERROR(INDEX($A2346:$AB2346,MATCH("Cost Centre",$A$1:$AB$1,0)),"")&amp;"","")</f>
        <v/>
      </c>
      <c r="AJ2346" s="54">
        <f>IF(AND(AF2346=1,AE2346&gt;=set_FYStart,AE2346&lt;=set_AsAt),1,0)</f>
        <v/>
      </c>
      <c r="AK2346" s="54">
        <f>IF(AND(AJ2346=1,AH2346&lt;&gt;"",COUNTIFS($AH$2:AH2346,AH2346,$AJ$2:AJ2346,1)=1),N(AL2345)+1,"")</f>
        <v/>
      </c>
      <c r="AL2346" s="54">
        <f>IF(AK2346&lt;&gt;"",AK2346,N(AL2345))</f>
        <v/>
      </c>
    </row>
    <row r="2347">
      <c r="A2347" t="inlineStr">
        <is>
          <t>CON-0782</t>
        </is>
      </c>
      <c r="B2347" t="inlineStr">
        <is>
          <t>Consulting</t>
        </is>
      </c>
      <c r="AB2347" t="n">
        <v>782</v>
      </c>
      <c r="AD2347" s="52">
        <f>IFERROR(N(IFERROR(INDEX($A2347:$AB2347,MATCH("Xero Invoiced Ex GST",$A$1:$AB$1,0)),"")),0)</f>
        <v/>
      </c>
      <c r="AE2347" s="53">
        <f>IFERROR(INDEX($A2347:$AB2347,MATCH("Xero Invoice Date",$A$1:$AB$1,0)),"")</f>
        <v/>
      </c>
      <c r="AF2347" s="54">
        <f>IF(AND(IFERROR(INDEX($A2347:$AB2347,MATCH("Xero Invoice No",$A$1:$AB$1,0)),"")&amp;""&lt;&gt;"",ISNUMBER(AE2347),AD2347&lt;&gt;0),1,0)</f>
        <v/>
      </c>
      <c r="AG2347" s="55">
        <f>IF(AF2347=1,EOMONTH(AE2347,0),"")</f>
        <v/>
      </c>
      <c r="AH2347" s="9">
        <f>IF(AF2347=1,UPPER(TRIM(IFERROR(INDEX($A2347:$AB2347,MATCH("Client",$A$1:$AB$1,0)),"")&amp;"")),"")</f>
        <v/>
      </c>
      <c r="AI2347" s="9">
        <f>IF(AF2347=1,IFERROR(INDEX($A2347:$AB2347,MATCH("Cost Centre",$A$1:$AB$1,0)),"")&amp;"","")</f>
        <v/>
      </c>
      <c r="AJ2347" s="54">
        <f>IF(AND(AF2347=1,AE2347&gt;=set_FYStart,AE2347&lt;=set_AsAt),1,0)</f>
        <v/>
      </c>
      <c r="AK2347" s="54">
        <f>IF(AND(AJ2347=1,AH2347&lt;&gt;"",COUNTIFS($AH$2:AH2347,AH2347,$AJ$2:AJ2347,1)=1),N(AL2346)+1,"")</f>
        <v/>
      </c>
      <c r="AL2347" s="54">
        <f>IF(AK2347&lt;&gt;"",AK2347,N(AL2346))</f>
        <v/>
      </c>
    </row>
    <row r="2348">
      <c r="A2348" t="inlineStr">
        <is>
          <t>ONS-0783</t>
        </is>
      </c>
      <c r="B2348" t="inlineStr">
        <is>
          <t>Onsite</t>
        </is>
      </c>
      <c r="AB2348" t="n">
        <v>783</v>
      </c>
      <c r="AD2348" s="52">
        <f>IFERROR(N(IFERROR(INDEX($A2348:$AB2348,MATCH("Xero Invoiced Ex GST",$A$1:$AB$1,0)),"")),0)</f>
        <v/>
      </c>
      <c r="AE2348" s="53">
        <f>IFERROR(INDEX($A2348:$AB2348,MATCH("Xero Invoice Date",$A$1:$AB$1,0)),"")</f>
        <v/>
      </c>
      <c r="AF2348" s="54">
        <f>IF(AND(IFERROR(INDEX($A2348:$AB2348,MATCH("Xero Invoice No",$A$1:$AB$1,0)),"")&amp;""&lt;&gt;"",ISNUMBER(AE2348),AD2348&lt;&gt;0),1,0)</f>
        <v/>
      </c>
      <c r="AG2348" s="55">
        <f>IF(AF2348=1,EOMONTH(AE2348,0),"")</f>
        <v/>
      </c>
      <c r="AH2348" s="9">
        <f>IF(AF2348=1,UPPER(TRIM(IFERROR(INDEX($A2348:$AB2348,MATCH("Client",$A$1:$AB$1,0)),"")&amp;"")),"")</f>
        <v/>
      </c>
      <c r="AI2348" s="9">
        <f>IF(AF2348=1,IFERROR(INDEX($A2348:$AB2348,MATCH("Cost Centre",$A$1:$AB$1,0)),"")&amp;"","")</f>
        <v/>
      </c>
      <c r="AJ2348" s="54">
        <f>IF(AND(AF2348=1,AE2348&gt;=set_FYStart,AE2348&lt;=set_AsAt),1,0)</f>
        <v/>
      </c>
      <c r="AK2348" s="54">
        <f>IF(AND(AJ2348=1,AH2348&lt;&gt;"",COUNTIFS($AH$2:AH2348,AH2348,$AJ$2:AJ2348,1)=1),N(AL2347)+1,"")</f>
        <v/>
      </c>
      <c r="AL2348" s="54">
        <f>IF(AK2348&lt;&gt;"",AK2348,N(AL2347))</f>
        <v/>
      </c>
    </row>
    <row r="2349">
      <c r="A2349" t="inlineStr">
        <is>
          <t>PRD-0783</t>
        </is>
      </c>
      <c r="B2349" t="inlineStr">
        <is>
          <t>Production</t>
        </is>
      </c>
      <c r="AB2349" t="n">
        <v>783</v>
      </c>
      <c r="AD2349" s="52">
        <f>IFERROR(N(IFERROR(INDEX($A2349:$AB2349,MATCH("Xero Invoiced Ex GST",$A$1:$AB$1,0)),"")),0)</f>
        <v/>
      </c>
      <c r="AE2349" s="53">
        <f>IFERROR(INDEX($A2349:$AB2349,MATCH("Xero Invoice Date",$A$1:$AB$1,0)),"")</f>
        <v/>
      </c>
      <c r="AF2349" s="54">
        <f>IF(AND(IFERROR(INDEX($A2349:$AB2349,MATCH("Xero Invoice No",$A$1:$AB$1,0)),"")&amp;""&lt;&gt;"",ISNUMBER(AE2349),AD2349&lt;&gt;0),1,0)</f>
        <v/>
      </c>
      <c r="AG2349" s="55">
        <f>IF(AF2349=1,EOMONTH(AE2349,0),"")</f>
        <v/>
      </c>
      <c r="AH2349" s="9">
        <f>IF(AF2349=1,UPPER(TRIM(IFERROR(INDEX($A2349:$AB2349,MATCH("Client",$A$1:$AB$1,0)),"")&amp;"")),"")</f>
        <v/>
      </c>
      <c r="AI2349" s="9">
        <f>IF(AF2349=1,IFERROR(INDEX($A2349:$AB2349,MATCH("Cost Centre",$A$1:$AB$1,0)),"")&amp;"","")</f>
        <v/>
      </c>
      <c r="AJ2349" s="54">
        <f>IF(AND(AF2349=1,AE2349&gt;=set_FYStart,AE2349&lt;=set_AsAt),1,0)</f>
        <v/>
      </c>
      <c r="AK2349" s="54">
        <f>IF(AND(AJ2349=1,AH2349&lt;&gt;"",COUNTIFS($AH$2:AH2349,AH2349,$AJ$2:AJ2349,1)=1),N(AL2348)+1,"")</f>
        <v/>
      </c>
      <c r="AL2349" s="54">
        <f>IF(AK2349&lt;&gt;"",AK2349,N(AL2348))</f>
        <v/>
      </c>
    </row>
    <row r="2350">
      <c r="A2350" t="inlineStr">
        <is>
          <t>CON-0783</t>
        </is>
      </c>
      <c r="B2350" t="inlineStr">
        <is>
          <t>Consulting</t>
        </is>
      </c>
      <c r="AB2350" t="n">
        <v>783</v>
      </c>
      <c r="AD2350" s="52">
        <f>IFERROR(N(IFERROR(INDEX($A2350:$AB2350,MATCH("Xero Invoiced Ex GST",$A$1:$AB$1,0)),"")),0)</f>
        <v/>
      </c>
      <c r="AE2350" s="53">
        <f>IFERROR(INDEX($A2350:$AB2350,MATCH("Xero Invoice Date",$A$1:$AB$1,0)),"")</f>
        <v/>
      </c>
      <c r="AF2350" s="54">
        <f>IF(AND(IFERROR(INDEX($A2350:$AB2350,MATCH("Xero Invoice No",$A$1:$AB$1,0)),"")&amp;""&lt;&gt;"",ISNUMBER(AE2350),AD2350&lt;&gt;0),1,0)</f>
        <v/>
      </c>
      <c r="AG2350" s="55">
        <f>IF(AF2350=1,EOMONTH(AE2350,0),"")</f>
        <v/>
      </c>
      <c r="AH2350" s="9">
        <f>IF(AF2350=1,UPPER(TRIM(IFERROR(INDEX($A2350:$AB2350,MATCH("Client",$A$1:$AB$1,0)),"")&amp;"")),"")</f>
        <v/>
      </c>
      <c r="AI2350" s="9">
        <f>IF(AF2350=1,IFERROR(INDEX($A2350:$AB2350,MATCH("Cost Centre",$A$1:$AB$1,0)),"")&amp;"","")</f>
        <v/>
      </c>
      <c r="AJ2350" s="54">
        <f>IF(AND(AF2350=1,AE2350&gt;=set_FYStart,AE2350&lt;=set_AsAt),1,0)</f>
        <v/>
      </c>
      <c r="AK2350" s="54">
        <f>IF(AND(AJ2350=1,AH2350&lt;&gt;"",COUNTIFS($AH$2:AH2350,AH2350,$AJ$2:AJ2350,1)=1),N(AL2349)+1,"")</f>
        <v/>
      </c>
      <c r="AL2350" s="54">
        <f>IF(AK2350&lt;&gt;"",AK2350,N(AL2349))</f>
        <v/>
      </c>
    </row>
    <row r="2351">
      <c r="A2351" t="inlineStr">
        <is>
          <t>ONS-0784</t>
        </is>
      </c>
      <c r="B2351" t="inlineStr">
        <is>
          <t>Onsite</t>
        </is>
      </c>
      <c r="AB2351" t="n">
        <v>784</v>
      </c>
      <c r="AD2351" s="52">
        <f>IFERROR(N(IFERROR(INDEX($A2351:$AB2351,MATCH("Xero Invoiced Ex GST",$A$1:$AB$1,0)),"")),0)</f>
        <v/>
      </c>
      <c r="AE2351" s="53">
        <f>IFERROR(INDEX($A2351:$AB2351,MATCH("Xero Invoice Date",$A$1:$AB$1,0)),"")</f>
        <v/>
      </c>
      <c r="AF2351" s="54">
        <f>IF(AND(IFERROR(INDEX($A2351:$AB2351,MATCH("Xero Invoice No",$A$1:$AB$1,0)),"")&amp;""&lt;&gt;"",ISNUMBER(AE2351),AD2351&lt;&gt;0),1,0)</f>
        <v/>
      </c>
      <c r="AG2351" s="55">
        <f>IF(AF2351=1,EOMONTH(AE2351,0),"")</f>
        <v/>
      </c>
      <c r="AH2351" s="9">
        <f>IF(AF2351=1,UPPER(TRIM(IFERROR(INDEX($A2351:$AB2351,MATCH("Client",$A$1:$AB$1,0)),"")&amp;"")),"")</f>
        <v/>
      </c>
      <c r="AI2351" s="9">
        <f>IF(AF2351=1,IFERROR(INDEX($A2351:$AB2351,MATCH("Cost Centre",$A$1:$AB$1,0)),"")&amp;"","")</f>
        <v/>
      </c>
      <c r="AJ2351" s="54">
        <f>IF(AND(AF2351=1,AE2351&gt;=set_FYStart,AE2351&lt;=set_AsAt),1,0)</f>
        <v/>
      </c>
      <c r="AK2351" s="54">
        <f>IF(AND(AJ2351=1,AH2351&lt;&gt;"",COUNTIFS($AH$2:AH2351,AH2351,$AJ$2:AJ2351,1)=1),N(AL2350)+1,"")</f>
        <v/>
      </c>
      <c r="AL2351" s="54">
        <f>IF(AK2351&lt;&gt;"",AK2351,N(AL2350))</f>
        <v/>
      </c>
    </row>
    <row r="2352">
      <c r="A2352" t="inlineStr">
        <is>
          <t>PRD-0784</t>
        </is>
      </c>
      <c r="B2352" t="inlineStr">
        <is>
          <t>Production</t>
        </is>
      </c>
      <c r="AB2352" t="n">
        <v>784</v>
      </c>
      <c r="AD2352" s="52">
        <f>IFERROR(N(IFERROR(INDEX($A2352:$AB2352,MATCH("Xero Invoiced Ex GST",$A$1:$AB$1,0)),"")),0)</f>
        <v/>
      </c>
      <c r="AE2352" s="53">
        <f>IFERROR(INDEX($A2352:$AB2352,MATCH("Xero Invoice Date",$A$1:$AB$1,0)),"")</f>
        <v/>
      </c>
      <c r="AF2352" s="54">
        <f>IF(AND(IFERROR(INDEX($A2352:$AB2352,MATCH("Xero Invoice No",$A$1:$AB$1,0)),"")&amp;""&lt;&gt;"",ISNUMBER(AE2352),AD2352&lt;&gt;0),1,0)</f>
        <v/>
      </c>
      <c r="AG2352" s="55">
        <f>IF(AF2352=1,EOMONTH(AE2352,0),"")</f>
        <v/>
      </c>
      <c r="AH2352" s="9">
        <f>IF(AF2352=1,UPPER(TRIM(IFERROR(INDEX($A2352:$AB2352,MATCH("Client",$A$1:$AB$1,0)),"")&amp;"")),"")</f>
        <v/>
      </c>
      <c r="AI2352" s="9">
        <f>IF(AF2352=1,IFERROR(INDEX($A2352:$AB2352,MATCH("Cost Centre",$A$1:$AB$1,0)),"")&amp;"","")</f>
        <v/>
      </c>
      <c r="AJ2352" s="54">
        <f>IF(AND(AF2352=1,AE2352&gt;=set_FYStart,AE2352&lt;=set_AsAt),1,0)</f>
        <v/>
      </c>
      <c r="AK2352" s="54">
        <f>IF(AND(AJ2352=1,AH2352&lt;&gt;"",COUNTIFS($AH$2:AH2352,AH2352,$AJ$2:AJ2352,1)=1),N(AL2351)+1,"")</f>
        <v/>
      </c>
      <c r="AL2352" s="54">
        <f>IF(AK2352&lt;&gt;"",AK2352,N(AL2351))</f>
        <v/>
      </c>
    </row>
    <row r="2353">
      <c r="A2353" t="inlineStr">
        <is>
          <t>CON-0784</t>
        </is>
      </c>
      <c r="B2353" t="inlineStr">
        <is>
          <t>Consulting</t>
        </is>
      </c>
      <c r="AB2353" t="n">
        <v>784</v>
      </c>
      <c r="AD2353" s="52">
        <f>IFERROR(N(IFERROR(INDEX($A2353:$AB2353,MATCH("Xero Invoiced Ex GST",$A$1:$AB$1,0)),"")),0)</f>
        <v/>
      </c>
      <c r="AE2353" s="53">
        <f>IFERROR(INDEX($A2353:$AB2353,MATCH("Xero Invoice Date",$A$1:$AB$1,0)),"")</f>
        <v/>
      </c>
      <c r="AF2353" s="54">
        <f>IF(AND(IFERROR(INDEX($A2353:$AB2353,MATCH("Xero Invoice No",$A$1:$AB$1,0)),"")&amp;""&lt;&gt;"",ISNUMBER(AE2353),AD2353&lt;&gt;0),1,0)</f>
        <v/>
      </c>
      <c r="AG2353" s="55">
        <f>IF(AF2353=1,EOMONTH(AE2353,0),"")</f>
        <v/>
      </c>
      <c r="AH2353" s="9">
        <f>IF(AF2353=1,UPPER(TRIM(IFERROR(INDEX($A2353:$AB2353,MATCH("Client",$A$1:$AB$1,0)),"")&amp;"")),"")</f>
        <v/>
      </c>
      <c r="AI2353" s="9">
        <f>IF(AF2353=1,IFERROR(INDEX($A2353:$AB2353,MATCH("Cost Centre",$A$1:$AB$1,0)),"")&amp;"","")</f>
        <v/>
      </c>
      <c r="AJ2353" s="54">
        <f>IF(AND(AF2353=1,AE2353&gt;=set_FYStart,AE2353&lt;=set_AsAt),1,0)</f>
        <v/>
      </c>
      <c r="AK2353" s="54">
        <f>IF(AND(AJ2353=1,AH2353&lt;&gt;"",COUNTIFS($AH$2:AH2353,AH2353,$AJ$2:AJ2353,1)=1),N(AL2352)+1,"")</f>
        <v/>
      </c>
      <c r="AL2353" s="54">
        <f>IF(AK2353&lt;&gt;"",AK2353,N(AL2352))</f>
        <v/>
      </c>
    </row>
    <row r="2354">
      <c r="A2354" t="inlineStr">
        <is>
          <t>ONS-0785</t>
        </is>
      </c>
      <c r="B2354" t="inlineStr">
        <is>
          <t>Onsite</t>
        </is>
      </c>
      <c r="AB2354" t="n">
        <v>785</v>
      </c>
      <c r="AD2354" s="52">
        <f>IFERROR(N(IFERROR(INDEX($A2354:$AB2354,MATCH("Xero Invoiced Ex GST",$A$1:$AB$1,0)),"")),0)</f>
        <v/>
      </c>
      <c r="AE2354" s="53">
        <f>IFERROR(INDEX($A2354:$AB2354,MATCH("Xero Invoice Date",$A$1:$AB$1,0)),"")</f>
        <v/>
      </c>
      <c r="AF2354" s="54">
        <f>IF(AND(IFERROR(INDEX($A2354:$AB2354,MATCH("Xero Invoice No",$A$1:$AB$1,0)),"")&amp;""&lt;&gt;"",ISNUMBER(AE2354),AD2354&lt;&gt;0),1,0)</f>
        <v/>
      </c>
      <c r="AG2354" s="55">
        <f>IF(AF2354=1,EOMONTH(AE2354,0),"")</f>
        <v/>
      </c>
      <c r="AH2354" s="9">
        <f>IF(AF2354=1,UPPER(TRIM(IFERROR(INDEX($A2354:$AB2354,MATCH("Client",$A$1:$AB$1,0)),"")&amp;"")),"")</f>
        <v/>
      </c>
      <c r="AI2354" s="9">
        <f>IF(AF2354=1,IFERROR(INDEX($A2354:$AB2354,MATCH("Cost Centre",$A$1:$AB$1,0)),"")&amp;"","")</f>
        <v/>
      </c>
      <c r="AJ2354" s="54">
        <f>IF(AND(AF2354=1,AE2354&gt;=set_FYStart,AE2354&lt;=set_AsAt),1,0)</f>
        <v/>
      </c>
      <c r="AK2354" s="54">
        <f>IF(AND(AJ2354=1,AH2354&lt;&gt;"",COUNTIFS($AH$2:AH2354,AH2354,$AJ$2:AJ2354,1)=1),N(AL2353)+1,"")</f>
        <v/>
      </c>
      <c r="AL2354" s="54">
        <f>IF(AK2354&lt;&gt;"",AK2354,N(AL2353))</f>
        <v/>
      </c>
    </row>
    <row r="2355">
      <c r="A2355" t="inlineStr">
        <is>
          <t>PRD-0785</t>
        </is>
      </c>
      <c r="B2355" t="inlineStr">
        <is>
          <t>Production</t>
        </is>
      </c>
      <c r="AB2355" t="n">
        <v>785</v>
      </c>
      <c r="AD2355" s="52">
        <f>IFERROR(N(IFERROR(INDEX($A2355:$AB2355,MATCH("Xero Invoiced Ex GST",$A$1:$AB$1,0)),"")),0)</f>
        <v/>
      </c>
      <c r="AE2355" s="53">
        <f>IFERROR(INDEX($A2355:$AB2355,MATCH("Xero Invoice Date",$A$1:$AB$1,0)),"")</f>
        <v/>
      </c>
      <c r="AF2355" s="54">
        <f>IF(AND(IFERROR(INDEX($A2355:$AB2355,MATCH("Xero Invoice No",$A$1:$AB$1,0)),"")&amp;""&lt;&gt;"",ISNUMBER(AE2355),AD2355&lt;&gt;0),1,0)</f>
        <v/>
      </c>
      <c r="AG2355" s="55">
        <f>IF(AF2355=1,EOMONTH(AE2355,0),"")</f>
        <v/>
      </c>
      <c r="AH2355" s="9">
        <f>IF(AF2355=1,UPPER(TRIM(IFERROR(INDEX($A2355:$AB2355,MATCH("Client",$A$1:$AB$1,0)),"")&amp;"")),"")</f>
        <v/>
      </c>
      <c r="AI2355" s="9">
        <f>IF(AF2355=1,IFERROR(INDEX($A2355:$AB2355,MATCH("Cost Centre",$A$1:$AB$1,0)),"")&amp;"","")</f>
        <v/>
      </c>
      <c r="AJ2355" s="54">
        <f>IF(AND(AF2355=1,AE2355&gt;=set_FYStart,AE2355&lt;=set_AsAt),1,0)</f>
        <v/>
      </c>
      <c r="AK2355" s="54">
        <f>IF(AND(AJ2355=1,AH2355&lt;&gt;"",COUNTIFS($AH$2:AH2355,AH2355,$AJ$2:AJ2355,1)=1),N(AL2354)+1,"")</f>
        <v/>
      </c>
      <c r="AL2355" s="54">
        <f>IF(AK2355&lt;&gt;"",AK2355,N(AL2354))</f>
        <v/>
      </c>
    </row>
    <row r="2356">
      <c r="A2356" t="inlineStr">
        <is>
          <t>CON-0785</t>
        </is>
      </c>
      <c r="B2356" t="inlineStr">
        <is>
          <t>Consulting</t>
        </is>
      </c>
      <c r="AB2356" t="n">
        <v>785</v>
      </c>
      <c r="AD2356" s="52">
        <f>IFERROR(N(IFERROR(INDEX($A2356:$AB2356,MATCH("Xero Invoiced Ex GST",$A$1:$AB$1,0)),"")),0)</f>
        <v/>
      </c>
      <c r="AE2356" s="53">
        <f>IFERROR(INDEX($A2356:$AB2356,MATCH("Xero Invoice Date",$A$1:$AB$1,0)),"")</f>
        <v/>
      </c>
      <c r="AF2356" s="54">
        <f>IF(AND(IFERROR(INDEX($A2356:$AB2356,MATCH("Xero Invoice No",$A$1:$AB$1,0)),"")&amp;""&lt;&gt;"",ISNUMBER(AE2356),AD2356&lt;&gt;0),1,0)</f>
        <v/>
      </c>
      <c r="AG2356" s="55">
        <f>IF(AF2356=1,EOMONTH(AE2356,0),"")</f>
        <v/>
      </c>
      <c r="AH2356" s="9">
        <f>IF(AF2356=1,UPPER(TRIM(IFERROR(INDEX($A2356:$AB2356,MATCH("Client",$A$1:$AB$1,0)),"")&amp;"")),"")</f>
        <v/>
      </c>
      <c r="AI2356" s="9">
        <f>IF(AF2356=1,IFERROR(INDEX($A2356:$AB2356,MATCH("Cost Centre",$A$1:$AB$1,0)),"")&amp;"","")</f>
        <v/>
      </c>
      <c r="AJ2356" s="54">
        <f>IF(AND(AF2356=1,AE2356&gt;=set_FYStart,AE2356&lt;=set_AsAt),1,0)</f>
        <v/>
      </c>
      <c r="AK2356" s="54">
        <f>IF(AND(AJ2356=1,AH2356&lt;&gt;"",COUNTIFS($AH$2:AH2356,AH2356,$AJ$2:AJ2356,1)=1),N(AL2355)+1,"")</f>
        <v/>
      </c>
      <c r="AL2356" s="54">
        <f>IF(AK2356&lt;&gt;"",AK2356,N(AL2355))</f>
        <v/>
      </c>
    </row>
    <row r="2357">
      <c r="A2357" t="inlineStr">
        <is>
          <t>ONS-0786</t>
        </is>
      </c>
      <c r="B2357" t="inlineStr">
        <is>
          <t>Onsite</t>
        </is>
      </c>
      <c r="AB2357" t="n">
        <v>786</v>
      </c>
      <c r="AD2357" s="52">
        <f>IFERROR(N(IFERROR(INDEX($A2357:$AB2357,MATCH("Xero Invoiced Ex GST",$A$1:$AB$1,0)),"")),0)</f>
        <v/>
      </c>
      <c r="AE2357" s="53">
        <f>IFERROR(INDEX($A2357:$AB2357,MATCH("Xero Invoice Date",$A$1:$AB$1,0)),"")</f>
        <v/>
      </c>
      <c r="AF2357" s="54">
        <f>IF(AND(IFERROR(INDEX($A2357:$AB2357,MATCH("Xero Invoice No",$A$1:$AB$1,0)),"")&amp;""&lt;&gt;"",ISNUMBER(AE2357),AD2357&lt;&gt;0),1,0)</f>
        <v/>
      </c>
      <c r="AG2357" s="55">
        <f>IF(AF2357=1,EOMONTH(AE2357,0),"")</f>
        <v/>
      </c>
      <c r="AH2357" s="9">
        <f>IF(AF2357=1,UPPER(TRIM(IFERROR(INDEX($A2357:$AB2357,MATCH("Client",$A$1:$AB$1,0)),"")&amp;"")),"")</f>
        <v/>
      </c>
      <c r="AI2357" s="9">
        <f>IF(AF2357=1,IFERROR(INDEX($A2357:$AB2357,MATCH("Cost Centre",$A$1:$AB$1,0)),"")&amp;"","")</f>
        <v/>
      </c>
      <c r="AJ2357" s="54">
        <f>IF(AND(AF2357=1,AE2357&gt;=set_FYStart,AE2357&lt;=set_AsAt),1,0)</f>
        <v/>
      </c>
      <c r="AK2357" s="54">
        <f>IF(AND(AJ2357=1,AH2357&lt;&gt;"",COUNTIFS($AH$2:AH2357,AH2357,$AJ$2:AJ2357,1)=1),N(AL2356)+1,"")</f>
        <v/>
      </c>
      <c r="AL2357" s="54">
        <f>IF(AK2357&lt;&gt;"",AK2357,N(AL2356))</f>
        <v/>
      </c>
    </row>
    <row r="2358">
      <c r="A2358" t="inlineStr">
        <is>
          <t>PRD-0786</t>
        </is>
      </c>
      <c r="B2358" t="inlineStr">
        <is>
          <t>Production</t>
        </is>
      </c>
      <c r="AB2358" t="n">
        <v>786</v>
      </c>
      <c r="AD2358" s="52">
        <f>IFERROR(N(IFERROR(INDEX($A2358:$AB2358,MATCH("Xero Invoiced Ex GST",$A$1:$AB$1,0)),"")),0)</f>
        <v/>
      </c>
      <c r="AE2358" s="53">
        <f>IFERROR(INDEX($A2358:$AB2358,MATCH("Xero Invoice Date",$A$1:$AB$1,0)),"")</f>
        <v/>
      </c>
      <c r="AF2358" s="54">
        <f>IF(AND(IFERROR(INDEX($A2358:$AB2358,MATCH("Xero Invoice No",$A$1:$AB$1,0)),"")&amp;""&lt;&gt;"",ISNUMBER(AE2358),AD2358&lt;&gt;0),1,0)</f>
        <v/>
      </c>
      <c r="AG2358" s="55">
        <f>IF(AF2358=1,EOMONTH(AE2358,0),"")</f>
        <v/>
      </c>
      <c r="AH2358" s="9">
        <f>IF(AF2358=1,UPPER(TRIM(IFERROR(INDEX($A2358:$AB2358,MATCH("Client",$A$1:$AB$1,0)),"")&amp;"")),"")</f>
        <v/>
      </c>
      <c r="AI2358" s="9">
        <f>IF(AF2358=1,IFERROR(INDEX($A2358:$AB2358,MATCH("Cost Centre",$A$1:$AB$1,0)),"")&amp;"","")</f>
        <v/>
      </c>
      <c r="AJ2358" s="54">
        <f>IF(AND(AF2358=1,AE2358&gt;=set_FYStart,AE2358&lt;=set_AsAt),1,0)</f>
        <v/>
      </c>
      <c r="AK2358" s="54">
        <f>IF(AND(AJ2358=1,AH2358&lt;&gt;"",COUNTIFS($AH$2:AH2358,AH2358,$AJ$2:AJ2358,1)=1),N(AL2357)+1,"")</f>
        <v/>
      </c>
      <c r="AL2358" s="54">
        <f>IF(AK2358&lt;&gt;"",AK2358,N(AL2357))</f>
        <v/>
      </c>
    </row>
    <row r="2359">
      <c r="A2359" t="inlineStr">
        <is>
          <t>CON-0786</t>
        </is>
      </c>
      <c r="B2359" t="inlineStr">
        <is>
          <t>Consulting</t>
        </is>
      </c>
      <c r="AB2359" t="n">
        <v>786</v>
      </c>
      <c r="AD2359" s="52">
        <f>IFERROR(N(IFERROR(INDEX($A2359:$AB2359,MATCH("Xero Invoiced Ex GST",$A$1:$AB$1,0)),"")),0)</f>
        <v/>
      </c>
      <c r="AE2359" s="53">
        <f>IFERROR(INDEX($A2359:$AB2359,MATCH("Xero Invoice Date",$A$1:$AB$1,0)),"")</f>
        <v/>
      </c>
      <c r="AF2359" s="54">
        <f>IF(AND(IFERROR(INDEX($A2359:$AB2359,MATCH("Xero Invoice No",$A$1:$AB$1,0)),"")&amp;""&lt;&gt;"",ISNUMBER(AE2359),AD2359&lt;&gt;0),1,0)</f>
        <v/>
      </c>
      <c r="AG2359" s="55">
        <f>IF(AF2359=1,EOMONTH(AE2359,0),"")</f>
        <v/>
      </c>
      <c r="AH2359" s="9">
        <f>IF(AF2359=1,UPPER(TRIM(IFERROR(INDEX($A2359:$AB2359,MATCH("Client",$A$1:$AB$1,0)),"")&amp;"")),"")</f>
        <v/>
      </c>
      <c r="AI2359" s="9">
        <f>IF(AF2359=1,IFERROR(INDEX($A2359:$AB2359,MATCH("Cost Centre",$A$1:$AB$1,0)),"")&amp;"","")</f>
        <v/>
      </c>
      <c r="AJ2359" s="54">
        <f>IF(AND(AF2359=1,AE2359&gt;=set_FYStart,AE2359&lt;=set_AsAt),1,0)</f>
        <v/>
      </c>
      <c r="AK2359" s="54">
        <f>IF(AND(AJ2359=1,AH2359&lt;&gt;"",COUNTIFS($AH$2:AH2359,AH2359,$AJ$2:AJ2359,1)=1),N(AL2358)+1,"")</f>
        <v/>
      </c>
      <c r="AL2359" s="54">
        <f>IF(AK2359&lt;&gt;"",AK2359,N(AL2358))</f>
        <v/>
      </c>
    </row>
    <row r="2360">
      <c r="A2360" t="inlineStr">
        <is>
          <t>ONS-0787</t>
        </is>
      </c>
      <c r="B2360" t="inlineStr">
        <is>
          <t>Onsite</t>
        </is>
      </c>
      <c r="AB2360" t="n">
        <v>787</v>
      </c>
      <c r="AD2360" s="52">
        <f>IFERROR(N(IFERROR(INDEX($A2360:$AB2360,MATCH("Xero Invoiced Ex GST",$A$1:$AB$1,0)),"")),0)</f>
        <v/>
      </c>
      <c r="AE2360" s="53">
        <f>IFERROR(INDEX($A2360:$AB2360,MATCH("Xero Invoice Date",$A$1:$AB$1,0)),"")</f>
        <v/>
      </c>
      <c r="AF2360" s="54">
        <f>IF(AND(IFERROR(INDEX($A2360:$AB2360,MATCH("Xero Invoice No",$A$1:$AB$1,0)),"")&amp;""&lt;&gt;"",ISNUMBER(AE2360),AD2360&lt;&gt;0),1,0)</f>
        <v/>
      </c>
      <c r="AG2360" s="55">
        <f>IF(AF2360=1,EOMONTH(AE2360,0),"")</f>
        <v/>
      </c>
      <c r="AH2360" s="9">
        <f>IF(AF2360=1,UPPER(TRIM(IFERROR(INDEX($A2360:$AB2360,MATCH("Client",$A$1:$AB$1,0)),"")&amp;"")),"")</f>
        <v/>
      </c>
      <c r="AI2360" s="9">
        <f>IF(AF2360=1,IFERROR(INDEX($A2360:$AB2360,MATCH("Cost Centre",$A$1:$AB$1,0)),"")&amp;"","")</f>
        <v/>
      </c>
      <c r="AJ2360" s="54">
        <f>IF(AND(AF2360=1,AE2360&gt;=set_FYStart,AE2360&lt;=set_AsAt),1,0)</f>
        <v/>
      </c>
      <c r="AK2360" s="54">
        <f>IF(AND(AJ2360=1,AH2360&lt;&gt;"",COUNTIFS($AH$2:AH2360,AH2360,$AJ$2:AJ2360,1)=1),N(AL2359)+1,"")</f>
        <v/>
      </c>
      <c r="AL2360" s="54">
        <f>IF(AK2360&lt;&gt;"",AK2360,N(AL2359))</f>
        <v/>
      </c>
    </row>
    <row r="2361">
      <c r="A2361" t="inlineStr">
        <is>
          <t>PRD-0787</t>
        </is>
      </c>
      <c r="B2361" t="inlineStr">
        <is>
          <t>Production</t>
        </is>
      </c>
      <c r="AB2361" t="n">
        <v>787</v>
      </c>
      <c r="AD2361" s="52">
        <f>IFERROR(N(IFERROR(INDEX($A2361:$AB2361,MATCH("Xero Invoiced Ex GST",$A$1:$AB$1,0)),"")),0)</f>
        <v/>
      </c>
      <c r="AE2361" s="53">
        <f>IFERROR(INDEX($A2361:$AB2361,MATCH("Xero Invoice Date",$A$1:$AB$1,0)),"")</f>
        <v/>
      </c>
      <c r="AF2361" s="54">
        <f>IF(AND(IFERROR(INDEX($A2361:$AB2361,MATCH("Xero Invoice No",$A$1:$AB$1,0)),"")&amp;""&lt;&gt;"",ISNUMBER(AE2361),AD2361&lt;&gt;0),1,0)</f>
        <v/>
      </c>
      <c r="AG2361" s="55">
        <f>IF(AF2361=1,EOMONTH(AE2361,0),"")</f>
        <v/>
      </c>
      <c r="AH2361" s="9">
        <f>IF(AF2361=1,UPPER(TRIM(IFERROR(INDEX($A2361:$AB2361,MATCH("Client",$A$1:$AB$1,0)),"")&amp;"")),"")</f>
        <v/>
      </c>
      <c r="AI2361" s="9">
        <f>IF(AF2361=1,IFERROR(INDEX($A2361:$AB2361,MATCH("Cost Centre",$A$1:$AB$1,0)),"")&amp;"","")</f>
        <v/>
      </c>
      <c r="AJ2361" s="54">
        <f>IF(AND(AF2361=1,AE2361&gt;=set_FYStart,AE2361&lt;=set_AsAt),1,0)</f>
        <v/>
      </c>
      <c r="AK2361" s="54">
        <f>IF(AND(AJ2361=1,AH2361&lt;&gt;"",COUNTIFS($AH$2:AH2361,AH2361,$AJ$2:AJ2361,1)=1),N(AL2360)+1,"")</f>
        <v/>
      </c>
      <c r="AL2361" s="54">
        <f>IF(AK2361&lt;&gt;"",AK2361,N(AL2360))</f>
        <v/>
      </c>
    </row>
    <row r="2362">
      <c r="A2362" t="inlineStr">
        <is>
          <t>CON-0787</t>
        </is>
      </c>
      <c r="B2362" t="inlineStr">
        <is>
          <t>Consulting</t>
        </is>
      </c>
      <c r="AB2362" t="n">
        <v>787</v>
      </c>
      <c r="AD2362" s="52">
        <f>IFERROR(N(IFERROR(INDEX($A2362:$AB2362,MATCH("Xero Invoiced Ex GST",$A$1:$AB$1,0)),"")),0)</f>
        <v/>
      </c>
      <c r="AE2362" s="53">
        <f>IFERROR(INDEX($A2362:$AB2362,MATCH("Xero Invoice Date",$A$1:$AB$1,0)),"")</f>
        <v/>
      </c>
      <c r="AF2362" s="54">
        <f>IF(AND(IFERROR(INDEX($A2362:$AB2362,MATCH("Xero Invoice No",$A$1:$AB$1,0)),"")&amp;""&lt;&gt;"",ISNUMBER(AE2362),AD2362&lt;&gt;0),1,0)</f>
        <v/>
      </c>
      <c r="AG2362" s="55">
        <f>IF(AF2362=1,EOMONTH(AE2362,0),"")</f>
        <v/>
      </c>
      <c r="AH2362" s="9">
        <f>IF(AF2362=1,UPPER(TRIM(IFERROR(INDEX($A2362:$AB2362,MATCH("Client",$A$1:$AB$1,0)),"")&amp;"")),"")</f>
        <v/>
      </c>
      <c r="AI2362" s="9">
        <f>IF(AF2362=1,IFERROR(INDEX($A2362:$AB2362,MATCH("Cost Centre",$A$1:$AB$1,0)),"")&amp;"","")</f>
        <v/>
      </c>
      <c r="AJ2362" s="54">
        <f>IF(AND(AF2362=1,AE2362&gt;=set_FYStart,AE2362&lt;=set_AsAt),1,0)</f>
        <v/>
      </c>
      <c r="AK2362" s="54">
        <f>IF(AND(AJ2362=1,AH2362&lt;&gt;"",COUNTIFS($AH$2:AH2362,AH2362,$AJ$2:AJ2362,1)=1),N(AL2361)+1,"")</f>
        <v/>
      </c>
      <c r="AL2362" s="54">
        <f>IF(AK2362&lt;&gt;"",AK2362,N(AL2361))</f>
        <v/>
      </c>
    </row>
    <row r="2363">
      <c r="A2363" t="inlineStr">
        <is>
          <t>ONS-0788</t>
        </is>
      </c>
      <c r="B2363" t="inlineStr">
        <is>
          <t>Onsite</t>
        </is>
      </c>
      <c r="AB2363" t="n">
        <v>788</v>
      </c>
      <c r="AD2363" s="52">
        <f>IFERROR(N(IFERROR(INDEX($A2363:$AB2363,MATCH("Xero Invoiced Ex GST",$A$1:$AB$1,0)),"")),0)</f>
        <v/>
      </c>
      <c r="AE2363" s="53">
        <f>IFERROR(INDEX($A2363:$AB2363,MATCH("Xero Invoice Date",$A$1:$AB$1,0)),"")</f>
        <v/>
      </c>
      <c r="AF2363" s="54">
        <f>IF(AND(IFERROR(INDEX($A2363:$AB2363,MATCH("Xero Invoice No",$A$1:$AB$1,0)),"")&amp;""&lt;&gt;"",ISNUMBER(AE2363),AD2363&lt;&gt;0),1,0)</f>
        <v/>
      </c>
      <c r="AG2363" s="55">
        <f>IF(AF2363=1,EOMONTH(AE2363,0),"")</f>
        <v/>
      </c>
      <c r="AH2363" s="9">
        <f>IF(AF2363=1,UPPER(TRIM(IFERROR(INDEX($A2363:$AB2363,MATCH("Client",$A$1:$AB$1,0)),"")&amp;"")),"")</f>
        <v/>
      </c>
      <c r="AI2363" s="9">
        <f>IF(AF2363=1,IFERROR(INDEX($A2363:$AB2363,MATCH("Cost Centre",$A$1:$AB$1,0)),"")&amp;"","")</f>
        <v/>
      </c>
      <c r="AJ2363" s="54">
        <f>IF(AND(AF2363=1,AE2363&gt;=set_FYStart,AE2363&lt;=set_AsAt),1,0)</f>
        <v/>
      </c>
      <c r="AK2363" s="54">
        <f>IF(AND(AJ2363=1,AH2363&lt;&gt;"",COUNTIFS($AH$2:AH2363,AH2363,$AJ$2:AJ2363,1)=1),N(AL2362)+1,"")</f>
        <v/>
      </c>
      <c r="AL2363" s="54">
        <f>IF(AK2363&lt;&gt;"",AK2363,N(AL2362))</f>
        <v/>
      </c>
    </row>
    <row r="2364">
      <c r="A2364" t="inlineStr">
        <is>
          <t>PRD-0788</t>
        </is>
      </c>
      <c r="B2364" t="inlineStr">
        <is>
          <t>Production</t>
        </is>
      </c>
      <c r="AB2364" t="n">
        <v>788</v>
      </c>
      <c r="AD2364" s="52">
        <f>IFERROR(N(IFERROR(INDEX($A2364:$AB2364,MATCH("Xero Invoiced Ex GST",$A$1:$AB$1,0)),"")),0)</f>
        <v/>
      </c>
      <c r="AE2364" s="53">
        <f>IFERROR(INDEX($A2364:$AB2364,MATCH("Xero Invoice Date",$A$1:$AB$1,0)),"")</f>
        <v/>
      </c>
      <c r="AF2364" s="54">
        <f>IF(AND(IFERROR(INDEX($A2364:$AB2364,MATCH("Xero Invoice No",$A$1:$AB$1,0)),"")&amp;""&lt;&gt;"",ISNUMBER(AE2364),AD2364&lt;&gt;0),1,0)</f>
        <v/>
      </c>
      <c r="AG2364" s="55">
        <f>IF(AF2364=1,EOMONTH(AE2364,0),"")</f>
        <v/>
      </c>
      <c r="AH2364" s="9">
        <f>IF(AF2364=1,UPPER(TRIM(IFERROR(INDEX($A2364:$AB2364,MATCH("Client",$A$1:$AB$1,0)),"")&amp;"")),"")</f>
        <v/>
      </c>
      <c r="AI2364" s="9">
        <f>IF(AF2364=1,IFERROR(INDEX($A2364:$AB2364,MATCH("Cost Centre",$A$1:$AB$1,0)),"")&amp;"","")</f>
        <v/>
      </c>
      <c r="AJ2364" s="54">
        <f>IF(AND(AF2364=1,AE2364&gt;=set_FYStart,AE2364&lt;=set_AsAt),1,0)</f>
        <v/>
      </c>
      <c r="AK2364" s="54">
        <f>IF(AND(AJ2364=1,AH2364&lt;&gt;"",COUNTIFS($AH$2:AH2364,AH2364,$AJ$2:AJ2364,1)=1),N(AL2363)+1,"")</f>
        <v/>
      </c>
      <c r="AL2364" s="54">
        <f>IF(AK2364&lt;&gt;"",AK2364,N(AL2363))</f>
        <v/>
      </c>
    </row>
    <row r="2365">
      <c r="A2365" t="inlineStr">
        <is>
          <t>CON-0788</t>
        </is>
      </c>
      <c r="B2365" t="inlineStr">
        <is>
          <t>Consulting</t>
        </is>
      </c>
      <c r="AB2365" t="n">
        <v>788</v>
      </c>
      <c r="AD2365" s="52">
        <f>IFERROR(N(IFERROR(INDEX($A2365:$AB2365,MATCH("Xero Invoiced Ex GST",$A$1:$AB$1,0)),"")),0)</f>
        <v/>
      </c>
      <c r="AE2365" s="53">
        <f>IFERROR(INDEX($A2365:$AB2365,MATCH("Xero Invoice Date",$A$1:$AB$1,0)),"")</f>
        <v/>
      </c>
      <c r="AF2365" s="54">
        <f>IF(AND(IFERROR(INDEX($A2365:$AB2365,MATCH("Xero Invoice No",$A$1:$AB$1,0)),"")&amp;""&lt;&gt;"",ISNUMBER(AE2365),AD2365&lt;&gt;0),1,0)</f>
        <v/>
      </c>
      <c r="AG2365" s="55">
        <f>IF(AF2365=1,EOMONTH(AE2365,0),"")</f>
        <v/>
      </c>
      <c r="AH2365" s="9">
        <f>IF(AF2365=1,UPPER(TRIM(IFERROR(INDEX($A2365:$AB2365,MATCH("Client",$A$1:$AB$1,0)),"")&amp;"")),"")</f>
        <v/>
      </c>
      <c r="AI2365" s="9">
        <f>IF(AF2365=1,IFERROR(INDEX($A2365:$AB2365,MATCH("Cost Centre",$A$1:$AB$1,0)),"")&amp;"","")</f>
        <v/>
      </c>
      <c r="AJ2365" s="54">
        <f>IF(AND(AF2365=1,AE2365&gt;=set_FYStart,AE2365&lt;=set_AsAt),1,0)</f>
        <v/>
      </c>
      <c r="AK2365" s="54">
        <f>IF(AND(AJ2365=1,AH2365&lt;&gt;"",COUNTIFS($AH$2:AH2365,AH2365,$AJ$2:AJ2365,1)=1),N(AL2364)+1,"")</f>
        <v/>
      </c>
      <c r="AL2365" s="54">
        <f>IF(AK2365&lt;&gt;"",AK2365,N(AL2364))</f>
        <v/>
      </c>
    </row>
    <row r="2366">
      <c r="A2366" t="inlineStr">
        <is>
          <t>ONS-0789</t>
        </is>
      </c>
      <c r="B2366" t="inlineStr">
        <is>
          <t>Onsite</t>
        </is>
      </c>
      <c r="AB2366" t="n">
        <v>789</v>
      </c>
      <c r="AD2366" s="52">
        <f>IFERROR(N(IFERROR(INDEX($A2366:$AB2366,MATCH("Xero Invoiced Ex GST",$A$1:$AB$1,0)),"")),0)</f>
        <v/>
      </c>
      <c r="AE2366" s="53">
        <f>IFERROR(INDEX($A2366:$AB2366,MATCH("Xero Invoice Date",$A$1:$AB$1,0)),"")</f>
        <v/>
      </c>
      <c r="AF2366" s="54">
        <f>IF(AND(IFERROR(INDEX($A2366:$AB2366,MATCH("Xero Invoice No",$A$1:$AB$1,0)),"")&amp;""&lt;&gt;"",ISNUMBER(AE2366),AD2366&lt;&gt;0),1,0)</f>
        <v/>
      </c>
      <c r="AG2366" s="55">
        <f>IF(AF2366=1,EOMONTH(AE2366,0),"")</f>
        <v/>
      </c>
      <c r="AH2366" s="9">
        <f>IF(AF2366=1,UPPER(TRIM(IFERROR(INDEX($A2366:$AB2366,MATCH("Client",$A$1:$AB$1,0)),"")&amp;"")),"")</f>
        <v/>
      </c>
      <c r="AI2366" s="9">
        <f>IF(AF2366=1,IFERROR(INDEX($A2366:$AB2366,MATCH("Cost Centre",$A$1:$AB$1,0)),"")&amp;"","")</f>
        <v/>
      </c>
      <c r="AJ2366" s="54">
        <f>IF(AND(AF2366=1,AE2366&gt;=set_FYStart,AE2366&lt;=set_AsAt),1,0)</f>
        <v/>
      </c>
      <c r="AK2366" s="54">
        <f>IF(AND(AJ2366=1,AH2366&lt;&gt;"",COUNTIFS($AH$2:AH2366,AH2366,$AJ$2:AJ2366,1)=1),N(AL2365)+1,"")</f>
        <v/>
      </c>
      <c r="AL2366" s="54">
        <f>IF(AK2366&lt;&gt;"",AK2366,N(AL2365))</f>
        <v/>
      </c>
    </row>
    <row r="2367">
      <c r="A2367" t="inlineStr">
        <is>
          <t>PRD-0789</t>
        </is>
      </c>
      <c r="B2367" t="inlineStr">
        <is>
          <t>Production</t>
        </is>
      </c>
      <c r="AB2367" t="n">
        <v>789</v>
      </c>
      <c r="AD2367" s="52">
        <f>IFERROR(N(IFERROR(INDEX($A2367:$AB2367,MATCH("Xero Invoiced Ex GST",$A$1:$AB$1,0)),"")),0)</f>
        <v/>
      </c>
      <c r="AE2367" s="53">
        <f>IFERROR(INDEX($A2367:$AB2367,MATCH("Xero Invoice Date",$A$1:$AB$1,0)),"")</f>
        <v/>
      </c>
      <c r="AF2367" s="54">
        <f>IF(AND(IFERROR(INDEX($A2367:$AB2367,MATCH("Xero Invoice No",$A$1:$AB$1,0)),"")&amp;""&lt;&gt;"",ISNUMBER(AE2367),AD2367&lt;&gt;0),1,0)</f>
        <v/>
      </c>
      <c r="AG2367" s="55">
        <f>IF(AF2367=1,EOMONTH(AE2367,0),"")</f>
        <v/>
      </c>
      <c r="AH2367" s="9">
        <f>IF(AF2367=1,UPPER(TRIM(IFERROR(INDEX($A2367:$AB2367,MATCH("Client",$A$1:$AB$1,0)),"")&amp;"")),"")</f>
        <v/>
      </c>
      <c r="AI2367" s="9">
        <f>IF(AF2367=1,IFERROR(INDEX($A2367:$AB2367,MATCH("Cost Centre",$A$1:$AB$1,0)),"")&amp;"","")</f>
        <v/>
      </c>
      <c r="AJ2367" s="54">
        <f>IF(AND(AF2367=1,AE2367&gt;=set_FYStart,AE2367&lt;=set_AsAt),1,0)</f>
        <v/>
      </c>
      <c r="AK2367" s="54">
        <f>IF(AND(AJ2367=1,AH2367&lt;&gt;"",COUNTIFS($AH$2:AH2367,AH2367,$AJ$2:AJ2367,1)=1),N(AL2366)+1,"")</f>
        <v/>
      </c>
      <c r="AL2367" s="54">
        <f>IF(AK2367&lt;&gt;"",AK2367,N(AL2366))</f>
        <v/>
      </c>
    </row>
    <row r="2368">
      <c r="A2368" t="inlineStr">
        <is>
          <t>CON-0789</t>
        </is>
      </c>
      <c r="B2368" t="inlineStr">
        <is>
          <t>Consulting</t>
        </is>
      </c>
      <c r="AB2368" t="n">
        <v>789</v>
      </c>
      <c r="AD2368" s="52">
        <f>IFERROR(N(IFERROR(INDEX($A2368:$AB2368,MATCH("Xero Invoiced Ex GST",$A$1:$AB$1,0)),"")),0)</f>
        <v/>
      </c>
      <c r="AE2368" s="53">
        <f>IFERROR(INDEX($A2368:$AB2368,MATCH("Xero Invoice Date",$A$1:$AB$1,0)),"")</f>
        <v/>
      </c>
      <c r="AF2368" s="54">
        <f>IF(AND(IFERROR(INDEX($A2368:$AB2368,MATCH("Xero Invoice No",$A$1:$AB$1,0)),"")&amp;""&lt;&gt;"",ISNUMBER(AE2368),AD2368&lt;&gt;0),1,0)</f>
        <v/>
      </c>
      <c r="AG2368" s="55">
        <f>IF(AF2368=1,EOMONTH(AE2368,0),"")</f>
        <v/>
      </c>
      <c r="AH2368" s="9">
        <f>IF(AF2368=1,UPPER(TRIM(IFERROR(INDEX($A2368:$AB2368,MATCH("Client",$A$1:$AB$1,0)),"")&amp;"")),"")</f>
        <v/>
      </c>
      <c r="AI2368" s="9">
        <f>IF(AF2368=1,IFERROR(INDEX($A2368:$AB2368,MATCH("Cost Centre",$A$1:$AB$1,0)),"")&amp;"","")</f>
        <v/>
      </c>
      <c r="AJ2368" s="54">
        <f>IF(AND(AF2368=1,AE2368&gt;=set_FYStart,AE2368&lt;=set_AsAt),1,0)</f>
        <v/>
      </c>
      <c r="AK2368" s="54">
        <f>IF(AND(AJ2368=1,AH2368&lt;&gt;"",COUNTIFS($AH$2:AH2368,AH2368,$AJ$2:AJ2368,1)=1),N(AL2367)+1,"")</f>
        <v/>
      </c>
      <c r="AL2368" s="54">
        <f>IF(AK2368&lt;&gt;"",AK2368,N(AL2367))</f>
        <v/>
      </c>
    </row>
    <row r="2369">
      <c r="A2369" t="inlineStr">
        <is>
          <t>ONS-0790</t>
        </is>
      </c>
      <c r="B2369" t="inlineStr">
        <is>
          <t>Onsite</t>
        </is>
      </c>
      <c r="AB2369" t="n">
        <v>790</v>
      </c>
      <c r="AD2369" s="52">
        <f>IFERROR(N(IFERROR(INDEX($A2369:$AB2369,MATCH("Xero Invoiced Ex GST",$A$1:$AB$1,0)),"")),0)</f>
        <v/>
      </c>
      <c r="AE2369" s="53">
        <f>IFERROR(INDEX($A2369:$AB2369,MATCH("Xero Invoice Date",$A$1:$AB$1,0)),"")</f>
        <v/>
      </c>
      <c r="AF2369" s="54">
        <f>IF(AND(IFERROR(INDEX($A2369:$AB2369,MATCH("Xero Invoice No",$A$1:$AB$1,0)),"")&amp;""&lt;&gt;"",ISNUMBER(AE2369),AD2369&lt;&gt;0),1,0)</f>
        <v/>
      </c>
      <c r="AG2369" s="55">
        <f>IF(AF2369=1,EOMONTH(AE2369,0),"")</f>
        <v/>
      </c>
      <c r="AH2369" s="9">
        <f>IF(AF2369=1,UPPER(TRIM(IFERROR(INDEX($A2369:$AB2369,MATCH("Client",$A$1:$AB$1,0)),"")&amp;"")),"")</f>
        <v/>
      </c>
      <c r="AI2369" s="9">
        <f>IF(AF2369=1,IFERROR(INDEX($A2369:$AB2369,MATCH("Cost Centre",$A$1:$AB$1,0)),"")&amp;"","")</f>
        <v/>
      </c>
      <c r="AJ2369" s="54">
        <f>IF(AND(AF2369=1,AE2369&gt;=set_FYStart,AE2369&lt;=set_AsAt),1,0)</f>
        <v/>
      </c>
      <c r="AK2369" s="54">
        <f>IF(AND(AJ2369=1,AH2369&lt;&gt;"",COUNTIFS($AH$2:AH2369,AH2369,$AJ$2:AJ2369,1)=1),N(AL2368)+1,"")</f>
        <v/>
      </c>
      <c r="AL2369" s="54">
        <f>IF(AK2369&lt;&gt;"",AK2369,N(AL2368))</f>
        <v/>
      </c>
    </row>
    <row r="2370">
      <c r="A2370" t="inlineStr">
        <is>
          <t>PRD-0790</t>
        </is>
      </c>
      <c r="B2370" t="inlineStr">
        <is>
          <t>Production</t>
        </is>
      </c>
      <c r="AB2370" t="n">
        <v>790</v>
      </c>
      <c r="AD2370" s="52">
        <f>IFERROR(N(IFERROR(INDEX($A2370:$AB2370,MATCH("Xero Invoiced Ex GST",$A$1:$AB$1,0)),"")),0)</f>
        <v/>
      </c>
      <c r="AE2370" s="53">
        <f>IFERROR(INDEX($A2370:$AB2370,MATCH("Xero Invoice Date",$A$1:$AB$1,0)),"")</f>
        <v/>
      </c>
      <c r="AF2370" s="54">
        <f>IF(AND(IFERROR(INDEX($A2370:$AB2370,MATCH("Xero Invoice No",$A$1:$AB$1,0)),"")&amp;""&lt;&gt;"",ISNUMBER(AE2370),AD2370&lt;&gt;0),1,0)</f>
        <v/>
      </c>
      <c r="AG2370" s="55">
        <f>IF(AF2370=1,EOMONTH(AE2370,0),"")</f>
        <v/>
      </c>
      <c r="AH2370" s="9">
        <f>IF(AF2370=1,UPPER(TRIM(IFERROR(INDEX($A2370:$AB2370,MATCH("Client",$A$1:$AB$1,0)),"")&amp;"")),"")</f>
        <v/>
      </c>
      <c r="AI2370" s="9">
        <f>IF(AF2370=1,IFERROR(INDEX($A2370:$AB2370,MATCH("Cost Centre",$A$1:$AB$1,0)),"")&amp;"","")</f>
        <v/>
      </c>
      <c r="AJ2370" s="54">
        <f>IF(AND(AF2370=1,AE2370&gt;=set_FYStart,AE2370&lt;=set_AsAt),1,0)</f>
        <v/>
      </c>
      <c r="AK2370" s="54">
        <f>IF(AND(AJ2370=1,AH2370&lt;&gt;"",COUNTIFS($AH$2:AH2370,AH2370,$AJ$2:AJ2370,1)=1),N(AL2369)+1,"")</f>
        <v/>
      </c>
      <c r="AL2370" s="54">
        <f>IF(AK2370&lt;&gt;"",AK2370,N(AL2369))</f>
        <v/>
      </c>
    </row>
    <row r="2371">
      <c r="A2371" t="inlineStr">
        <is>
          <t>CON-0790</t>
        </is>
      </c>
      <c r="B2371" t="inlineStr">
        <is>
          <t>Consulting</t>
        </is>
      </c>
      <c r="AB2371" t="n">
        <v>790</v>
      </c>
      <c r="AD2371" s="52">
        <f>IFERROR(N(IFERROR(INDEX($A2371:$AB2371,MATCH("Xero Invoiced Ex GST",$A$1:$AB$1,0)),"")),0)</f>
        <v/>
      </c>
      <c r="AE2371" s="53">
        <f>IFERROR(INDEX($A2371:$AB2371,MATCH("Xero Invoice Date",$A$1:$AB$1,0)),"")</f>
        <v/>
      </c>
      <c r="AF2371" s="54">
        <f>IF(AND(IFERROR(INDEX($A2371:$AB2371,MATCH("Xero Invoice No",$A$1:$AB$1,0)),"")&amp;""&lt;&gt;"",ISNUMBER(AE2371),AD2371&lt;&gt;0),1,0)</f>
        <v/>
      </c>
      <c r="AG2371" s="55">
        <f>IF(AF2371=1,EOMONTH(AE2371,0),"")</f>
        <v/>
      </c>
      <c r="AH2371" s="9">
        <f>IF(AF2371=1,UPPER(TRIM(IFERROR(INDEX($A2371:$AB2371,MATCH("Client",$A$1:$AB$1,0)),"")&amp;"")),"")</f>
        <v/>
      </c>
      <c r="AI2371" s="9">
        <f>IF(AF2371=1,IFERROR(INDEX($A2371:$AB2371,MATCH("Cost Centre",$A$1:$AB$1,0)),"")&amp;"","")</f>
        <v/>
      </c>
      <c r="AJ2371" s="54">
        <f>IF(AND(AF2371=1,AE2371&gt;=set_FYStart,AE2371&lt;=set_AsAt),1,0)</f>
        <v/>
      </c>
      <c r="AK2371" s="54">
        <f>IF(AND(AJ2371=1,AH2371&lt;&gt;"",COUNTIFS($AH$2:AH2371,AH2371,$AJ$2:AJ2371,1)=1),N(AL2370)+1,"")</f>
        <v/>
      </c>
      <c r="AL2371" s="54">
        <f>IF(AK2371&lt;&gt;"",AK2371,N(AL2370))</f>
        <v/>
      </c>
    </row>
    <row r="2372">
      <c r="A2372" t="inlineStr">
        <is>
          <t>ONS-0791</t>
        </is>
      </c>
      <c r="B2372" t="inlineStr">
        <is>
          <t>Onsite</t>
        </is>
      </c>
      <c r="AB2372" t="n">
        <v>791</v>
      </c>
      <c r="AD2372" s="52">
        <f>IFERROR(N(IFERROR(INDEX($A2372:$AB2372,MATCH("Xero Invoiced Ex GST",$A$1:$AB$1,0)),"")),0)</f>
        <v/>
      </c>
      <c r="AE2372" s="53">
        <f>IFERROR(INDEX($A2372:$AB2372,MATCH("Xero Invoice Date",$A$1:$AB$1,0)),"")</f>
        <v/>
      </c>
      <c r="AF2372" s="54">
        <f>IF(AND(IFERROR(INDEX($A2372:$AB2372,MATCH("Xero Invoice No",$A$1:$AB$1,0)),"")&amp;""&lt;&gt;"",ISNUMBER(AE2372),AD2372&lt;&gt;0),1,0)</f>
        <v/>
      </c>
      <c r="AG2372" s="55">
        <f>IF(AF2372=1,EOMONTH(AE2372,0),"")</f>
        <v/>
      </c>
      <c r="AH2372" s="9">
        <f>IF(AF2372=1,UPPER(TRIM(IFERROR(INDEX($A2372:$AB2372,MATCH("Client",$A$1:$AB$1,0)),"")&amp;"")),"")</f>
        <v/>
      </c>
      <c r="AI2372" s="9">
        <f>IF(AF2372=1,IFERROR(INDEX($A2372:$AB2372,MATCH("Cost Centre",$A$1:$AB$1,0)),"")&amp;"","")</f>
        <v/>
      </c>
      <c r="AJ2372" s="54">
        <f>IF(AND(AF2372=1,AE2372&gt;=set_FYStart,AE2372&lt;=set_AsAt),1,0)</f>
        <v/>
      </c>
      <c r="AK2372" s="54">
        <f>IF(AND(AJ2372=1,AH2372&lt;&gt;"",COUNTIFS($AH$2:AH2372,AH2372,$AJ$2:AJ2372,1)=1),N(AL2371)+1,"")</f>
        <v/>
      </c>
      <c r="AL2372" s="54">
        <f>IF(AK2372&lt;&gt;"",AK2372,N(AL2371))</f>
        <v/>
      </c>
    </row>
    <row r="2373">
      <c r="A2373" t="inlineStr">
        <is>
          <t>PRD-0791</t>
        </is>
      </c>
      <c r="B2373" t="inlineStr">
        <is>
          <t>Production</t>
        </is>
      </c>
      <c r="AB2373" t="n">
        <v>791</v>
      </c>
      <c r="AD2373" s="52">
        <f>IFERROR(N(IFERROR(INDEX($A2373:$AB2373,MATCH("Xero Invoiced Ex GST",$A$1:$AB$1,0)),"")),0)</f>
        <v/>
      </c>
      <c r="AE2373" s="53">
        <f>IFERROR(INDEX($A2373:$AB2373,MATCH("Xero Invoice Date",$A$1:$AB$1,0)),"")</f>
        <v/>
      </c>
      <c r="AF2373" s="54">
        <f>IF(AND(IFERROR(INDEX($A2373:$AB2373,MATCH("Xero Invoice No",$A$1:$AB$1,0)),"")&amp;""&lt;&gt;"",ISNUMBER(AE2373),AD2373&lt;&gt;0),1,0)</f>
        <v/>
      </c>
      <c r="AG2373" s="55">
        <f>IF(AF2373=1,EOMONTH(AE2373,0),"")</f>
        <v/>
      </c>
      <c r="AH2373" s="9">
        <f>IF(AF2373=1,UPPER(TRIM(IFERROR(INDEX($A2373:$AB2373,MATCH("Client",$A$1:$AB$1,0)),"")&amp;"")),"")</f>
        <v/>
      </c>
      <c r="AI2373" s="9">
        <f>IF(AF2373=1,IFERROR(INDEX($A2373:$AB2373,MATCH("Cost Centre",$A$1:$AB$1,0)),"")&amp;"","")</f>
        <v/>
      </c>
      <c r="AJ2373" s="54">
        <f>IF(AND(AF2373=1,AE2373&gt;=set_FYStart,AE2373&lt;=set_AsAt),1,0)</f>
        <v/>
      </c>
      <c r="AK2373" s="54">
        <f>IF(AND(AJ2373=1,AH2373&lt;&gt;"",COUNTIFS($AH$2:AH2373,AH2373,$AJ$2:AJ2373,1)=1),N(AL2372)+1,"")</f>
        <v/>
      </c>
      <c r="AL2373" s="54">
        <f>IF(AK2373&lt;&gt;"",AK2373,N(AL2372))</f>
        <v/>
      </c>
    </row>
    <row r="2374">
      <c r="A2374" t="inlineStr">
        <is>
          <t>CON-0791</t>
        </is>
      </c>
      <c r="B2374" t="inlineStr">
        <is>
          <t>Consulting</t>
        </is>
      </c>
      <c r="AB2374" t="n">
        <v>791</v>
      </c>
      <c r="AD2374" s="52">
        <f>IFERROR(N(IFERROR(INDEX($A2374:$AB2374,MATCH("Xero Invoiced Ex GST",$A$1:$AB$1,0)),"")),0)</f>
        <v/>
      </c>
      <c r="AE2374" s="53">
        <f>IFERROR(INDEX($A2374:$AB2374,MATCH("Xero Invoice Date",$A$1:$AB$1,0)),"")</f>
        <v/>
      </c>
      <c r="AF2374" s="54">
        <f>IF(AND(IFERROR(INDEX($A2374:$AB2374,MATCH("Xero Invoice No",$A$1:$AB$1,0)),"")&amp;""&lt;&gt;"",ISNUMBER(AE2374),AD2374&lt;&gt;0),1,0)</f>
        <v/>
      </c>
      <c r="AG2374" s="55">
        <f>IF(AF2374=1,EOMONTH(AE2374,0),"")</f>
        <v/>
      </c>
      <c r="AH2374" s="9">
        <f>IF(AF2374=1,UPPER(TRIM(IFERROR(INDEX($A2374:$AB2374,MATCH("Client",$A$1:$AB$1,0)),"")&amp;"")),"")</f>
        <v/>
      </c>
      <c r="AI2374" s="9">
        <f>IF(AF2374=1,IFERROR(INDEX($A2374:$AB2374,MATCH("Cost Centre",$A$1:$AB$1,0)),"")&amp;"","")</f>
        <v/>
      </c>
      <c r="AJ2374" s="54">
        <f>IF(AND(AF2374=1,AE2374&gt;=set_FYStart,AE2374&lt;=set_AsAt),1,0)</f>
        <v/>
      </c>
      <c r="AK2374" s="54">
        <f>IF(AND(AJ2374=1,AH2374&lt;&gt;"",COUNTIFS($AH$2:AH2374,AH2374,$AJ$2:AJ2374,1)=1),N(AL2373)+1,"")</f>
        <v/>
      </c>
      <c r="AL2374" s="54">
        <f>IF(AK2374&lt;&gt;"",AK2374,N(AL2373))</f>
        <v/>
      </c>
    </row>
    <row r="2375">
      <c r="A2375" t="inlineStr">
        <is>
          <t>ONS-0792</t>
        </is>
      </c>
      <c r="B2375" t="inlineStr">
        <is>
          <t>Onsite</t>
        </is>
      </c>
      <c r="AB2375" t="n">
        <v>792</v>
      </c>
      <c r="AD2375" s="52">
        <f>IFERROR(N(IFERROR(INDEX($A2375:$AB2375,MATCH("Xero Invoiced Ex GST",$A$1:$AB$1,0)),"")),0)</f>
        <v/>
      </c>
      <c r="AE2375" s="53">
        <f>IFERROR(INDEX($A2375:$AB2375,MATCH("Xero Invoice Date",$A$1:$AB$1,0)),"")</f>
        <v/>
      </c>
      <c r="AF2375" s="54">
        <f>IF(AND(IFERROR(INDEX($A2375:$AB2375,MATCH("Xero Invoice No",$A$1:$AB$1,0)),"")&amp;""&lt;&gt;"",ISNUMBER(AE2375),AD2375&lt;&gt;0),1,0)</f>
        <v/>
      </c>
      <c r="AG2375" s="55">
        <f>IF(AF2375=1,EOMONTH(AE2375,0),"")</f>
        <v/>
      </c>
      <c r="AH2375" s="9">
        <f>IF(AF2375=1,UPPER(TRIM(IFERROR(INDEX($A2375:$AB2375,MATCH("Client",$A$1:$AB$1,0)),"")&amp;"")),"")</f>
        <v/>
      </c>
      <c r="AI2375" s="9">
        <f>IF(AF2375=1,IFERROR(INDEX($A2375:$AB2375,MATCH("Cost Centre",$A$1:$AB$1,0)),"")&amp;"","")</f>
        <v/>
      </c>
      <c r="AJ2375" s="54">
        <f>IF(AND(AF2375=1,AE2375&gt;=set_FYStart,AE2375&lt;=set_AsAt),1,0)</f>
        <v/>
      </c>
      <c r="AK2375" s="54">
        <f>IF(AND(AJ2375=1,AH2375&lt;&gt;"",COUNTIFS($AH$2:AH2375,AH2375,$AJ$2:AJ2375,1)=1),N(AL2374)+1,"")</f>
        <v/>
      </c>
      <c r="AL2375" s="54">
        <f>IF(AK2375&lt;&gt;"",AK2375,N(AL2374))</f>
        <v/>
      </c>
    </row>
    <row r="2376">
      <c r="A2376" t="inlineStr">
        <is>
          <t>PRD-0792</t>
        </is>
      </c>
      <c r="B2376" t="inlineStr">
        <is>
          <t>Production</t>
        </is>
      </c>
      <c r="AB2376" t="n">
        <v>792</v>
      </c>
      <c r="AD2376" s="52">
        <f>IFERROR(N(IFERROR(INDEX($A2376:$AB2376,MATCH("Xero Invoiced Ex GST",$A$1:$AB$1,0)),"")),0)</f>
        <v/>
      </c>
      <c r="AE2376" s="53">
        <f>IFERROR(INDEX($A2376:$AB2376,MATCH("Xero Invoice Date",$A$1:$AB$1,0)),"")</f>
        <v/>
      </c>
      <c r="AF2376" s="54">
        <f>IF(AND(IFERROR(INDEX($A2376:$AB2376,MATCH("Xero Invoice No",$A$1:$AB$1,0)),"")&amp;""&lt;&gt;"",ISNUMBER(AE2376),AD2376&lt;&gt;0),1,0)</f>
        <v/>
      </c>
      <c r="AG2376" s="55">
        <f>IF(AF2376=1,EOMONTH(AE2376,0),"")</f>
        <v/>
      </c>
      <c r="AH2376" s="9">
        <f>IF(AF2376=1,UPPER(TRIM(IFERROR(INDEX($A2376:$AB2376,MATCH("Client",$A$1:$AB$1,0)),"")&amp;"")),"")</f>
        <v/>
      </c>
      <c r="AI2376" s="9">
        <f>IF(AF2376=1,IFERROR(INDEX($A2376:$AB2376,MATCH("Cost Centre",$A$1:$AB$1,0)),"")&amp;"","")</f>
        <v/>
      </c>
      <c r="AJ2376" s="54">
        <f>IF(AND(AF2376=1,AE2376&gt;=set_FYStart,AE2376&lt;=set_AsAt),1,0)</f>
        <v/>
      </c>
      <c r="AK2376" s="54">
        <f>IF(AND(AJ2376=1,AH2376&lt;&gt;"",COUNTIFS($AH$2:AH2376,AH2376,$AJ$2:AJ2376,1)=1),N(AL2375)+1,"")</f>
        <v/>
      </c>
      <c r="AL2376" s="54">
        <f>IF(AK2376&lt;&gt;"",AK2376,N(AL2375))</f>
        <v/>
      </c>
    </row>
    <row r="2377">
      <c r="A2377" t="inlineStr">
        <is>
          <t>CON-0792</t>
        </is>
      </c>
      <c r="B2377" t="inlineStr">
        <is>
          <t>Consulting</t>
        </is>
      </c>
      <c r="AB2377" t="n">
        <v>792</v>
      </c>
      <c r="AD2377" s="52">
        <f>IFERROR(N(IFERROR(INDEX($A2377:$AB2377,MATCH("Xero Invoiced Ex GST",$A$1:$AB$1,0)),"")),0)</f>
        <v/>
      </c>
      <c r="AE2377" s="53">
        <f>IFERROR(INDEX($A2377:$AB2377,MATCH("Xero Invoice Date",$A$1:$AB$1,0)),"")</f>
        <v/>
      </c>
      <c r="AF2377" s="54">
        <f>IF(AND(IFERROR(INDEX($A2377:$AB2377,MATCH("Xero Invoice No",$A$1:$AB$1,0)),"")&amp;""&lt;&gt;"",ISNUMBER(AE2377),AD2377&lt;&gt;0),1,0)</f>
        <v/>
      </c>
      <c r="AG2377" s="55">
        <f>IF(AF2377=1,EOMONTH(AE2377,0),"")</f>
        <v/>
      </c>
      <c r="AH2377" s="9">
        <f>IF(AF2377=1,UPPER(TRIM(IFERROR(INDEX($A2377:$AB2377,MATCH("Client",$A$1:$AB$1,0)),"")&amp;"")),"")</f>
        <v/>
      </c>
      <c r="AI2377" s="9">
        <f>IF(AF2377=1,IFERROR(INDEX($A2377:$AB2377,MATCH("Cost Centre",$A$1:$AB$1,0)),"")&amp;"","")</f>
        <v/>
      </c>
      <c r="AJ2377" s="54">
        <f>IF(AND(AF2377=1,AE2377&gt;=set_FYStart,AE2377&lt;=set_AsAt),1,0)</f>
        <v/>
      </c>
      <c r="AK2377" s="54">
        <f>IF(AND(AJ2377=1,AH2377&lt;&gt;"",COUNTIFS($AH$2:AH2377,AH2377,$AJ$2:AJ2377,1)=1),N(AL2376)+1,"")</f>
        <v/>
      </c>
      <c r="AL2377" s="54">
        <f>IF(AK2377&lt;&gt;"",AK2377,N(AL2376))</f>
        <v/>
      </c>
    </row>
    <row r="2378">
      <c r="A2378" t="inlineStr">
        <is>
          <t>ONS-0793</t>
        </is>
      </c>
      <c r="B2378" t="inlineStr">
        <is>
          <t>Onsite</t>
        </is>
      </c>
      <c r="AB2378" t="n">
        <v>793</v>
      </c>
      <c r="AD2378" s="52">
        <f>IFERROR(N(IFERROR(INDEX($A2378:$AB2378,MATCH("Xero Invoiced Ex GST",$A$1:$AB$1,0)),"")),0)</f>
        <v/>
      </c>
      <c r="AE2378" s="53">
        <f>IFERROR(INDEX($A2378:$AB2378,MATCH("Xero Invoice Date",$A$1:$AB$1,0)),"")</f>
        <v/>
      </c>
      <c r="AF2378" s="54">
        <f>IF(AND(IFERROR(INDEX($A2378:$AB2378,MATCH("Xero Invoice No",$A$1:$AB$1,0)),"")&amp;""&lt;&gt;"",ISNUMBER(AE2378),AD2378&lt;&gt;0),1,0)</f>
        <v/>
      </c>
      <c r="AG2378" s="55">
        <f>IF(AF2378=1,EOMONTH(AE2378,0),"")</f>
        <v/>
      </c>
      <c r="AH2378" s="9">
        <f>IF(AF2378=1,UPPER(TRIM(IFERROR(INDEX($A2378:$AB2378,MATCH("Client",$A$1:$AB$1,0)),"")&amp;"")),"")</f>
        <v/>
      </c>
      <c r="AI2378" s="9">
        <f>IF(AF2378=1,IFERROR(INDEX($A2378:$AB2378,MATCH("Cost Centre",$A$1:$AB$1,0)),"")&amp;"","")</f>
        <v/>
      </c>
      <c r="AJ2378" s="54">
        <f>IF(AND(AF2378=1,AE2378&gt;=set_FYStart,AE2378&lt;=set_AsAt),1,0)</f>
        <v/>
      </c>
      <c r="AK2378" s="54">
        <f>IF(AND(AJ2378=1,AH2378&lt;&gt;"",COUNTIFS($AH$2:AH2378,AH2378,$AJ$2:AJ2378,1)=1),N(AL2377)+1,"")</f>
        <v/>
      </c>
      <c r="AL2378" s="54">
        <f>IF(AK2378&lt;&gt;"",AK2378,N(AL2377))</f>
        <v/>
      </c>
    </row>
    <row r="2379">
      <c r="A2379" t="inlineStr">
        <is>
          <t>PRD-0793</t>
        </is>
      </c>
      <c r="B2379" t="inlineStr">
        <is>
          <t>Production</t>
        </is>
      </c>
      <c r="AB2379" t="n">
        <v>793</v>
      </c>
      <c r="AD2379" s="52">
        <f>IFERROR(N(IFERROR(INDEX($A2379:$AB2379,MATCH("Xero Invoiced Ex GST",$A$1:$AB$1,0)),"")),0)</f>
        <v/>
      </c>
      <c r="AE2379" s="53">
        <f>IFERROR(INDEX($A2379:$AB2379,MATCH("Xero Invoice Date",$A$1:$AB$1,0)),"")</f>
        <v/>
      </c>
      <c r="AF2379" s="54">
        <f>IF(AND(IFERROR(INDEX($A2379:$AB2379,MATCH("Xero Invoice No",$A$1:$AB$1,0)),"")&amp;""&lt;&gt;"",ISNUMBER(AE2379),AD2379&lt;&gt;0),1,0)</f>
        <v/>
      </c>
      <c r="AG2379" s="55">
        <f>IF(AF2379=1,EOMONTH(AE2379,0),"")</f>
        <v/>
      </c>
      <c r="AH2379" s="9">
        <f>IF(AF2379=1,UPPER(TRIM(IFERROR(INDEX($A2379:$AB2379,MATCH("Client",$A$1:$AB$1,0)),"")&amp;"")),"")</f>
        <v/>
      </c>
      <c r="AI2379" s="9">
        <f>IF(AF2379=1,IFERROR(INDEX($A2379:$AB2379,MATCH("Cost Centre",$A$1:$AB$1,0)),"")&amp;"","")</f>
        <v/>
      </c>
      <c r="AJ2379" s="54">
        <f>IF(AND(AF2379=1,AE2379&gt;=set_FYStart,AE2379&lt;=set_AsAt),1,0)</f>
        <v/>
      </c>
      <c r="AK2379" s="54">
        <f>IF(AND(AJ2379=1,AH2379&lt;&gt;"",COUNTIFS($AH$2:AH2379,AH2379,$AJ$2:AJ2379,1)=1),N(AL2378)+1,"")</f>
        <v/>
      </c>
      <c r="AL2379" s="54">
        <f>IF(AK2379&lt;&gt;"",AK2379,N(AL2378))</f>
        <v/>
      </c>
    </row>
    <row r="2380">
      <c r="A2380" t="inlineStr">
        <is>
          <t>CON-0793</t>
        </is>
      </c>
      <c r="B2380" t="inlineStr">
        <is>
          <t>Consulting</t>
        </is>
      </c>
      <c r="AB2380" t="n">
        <v>793</v>
      </c>
      <c r="AD2380" s="52">
        <f>IFERROR(N(IFERROR(INDEX($A2380:$AB2380,MATCH("Xero Invoiced Ex GST",$A$1:$AB$1,0)),"")),0)</f>
        <v/>
      </c>
      <c r="AE2380" s="53">
        <f>IFERROR(INDEX($A2380:$AB2380,MATCH("Xero Invoice Date",$A$1:$AB$1,0)),"")</f>
        <v/>
      </c>
      <c r="AF2380" s="54">
        <f>IF(AND(IFERROR(INDEX($A2380:$AB2380,MATCH("Xero Invoice No",$A$1:$AB$1,0)),"")&amp;""&lt;&gt;"",ISNUMBER(AE2380),AD2380&lt;&gt;0),1,0)</f>
        <v/>
      </c>
      <c r="AG2380" s="55">
        <f>IF(AF2380=1,EOMONTH(AE2380,0),"")</f>
        <v/>
      </c>
      <c r="AH2380" s="9">
        <f>IF(AF2380=1,UPPER(TRIM(IFERROR(INDEX($A2380:$AB2380,MATCH("Client",$A$1:$AB$1,0)),"")&amp;"")),"")</f>
        <v/>
      </c>
      <c r="AI2380" s="9">
        <f>IF(AF2380=1,IFERROR(INDEX($A2380:$AB2380,MATCH("Cost Centre",$A$1:$AB$1,0)),"")&amp;"","")</f>
        <v/>
      </c>
      <c r="AJ2380" s="54">
        <f>IF(AND(AF2380=1,AE2380&gt;=set_FYStart,AE2380&lt;=set_AsAt),1,0)</f>
        <v/>
      </c>
      <c r="AK2380" s="54">
        <f>IF(AND(AJ2380=1,AH2380&lt;&gt;"",COUNTIFS($AH$2:AH2380,AH2380,$AJ$2:AJ2380,1)=1),N(AL2379)+1,"")</f>
        <v/>
      </c>
      <c r="AL2380" s="54">
        <f>IF(AK2380&lt;&gt;"",AK2380,N(AL2379))</f>
        <v/>
      </c>
    </row>
    <row r="2381">
      <c r="A2381" t="inlineStr">
        <is>
          <t>ONS-0794</t>
        </is>
      </c>
      <c r="B2381" t="inlineStr">
        <is>
          <t>Onsite</t>
        </is>
      </c>
      <c r="AB2381" t="n">
        <v>794</v>
      </c>
      <c r="AD2381" s="52">
        <f>IFERROR(N(IFERROR(INDEX($A2381:$AB2381,MATCH("Xero Invoiced Ex GST",$A$1:$AB$1,0)),"")),0)</f>
        <v/>
      </c>
      <c r="AE2381" s="53">
        <f>IFERROR(INDEX($A2381:$AB2381,MATCH("Xero Invoice Date",$A$1:$AB$1,0)),"")</f>
        <v/>
      </c>
      <c r="AF2381" s="54">
        <f>IF(AND(IFERROR(INDEX($A2381:$AB2381,MATCH("Xero Invoice No",$A$1:$AB$1,0)),"")&amp;""&lt;&gt;"",ISNUMBER(AE2381),AD2381&lt;&gt;0),1,0)</f>
        <v/>
      </c>
      <c r="AG2381" s="55">
        <f>IF(AF2381=1,EOMONTH(AE2381,0),"")</f>
        <v/>
      </c>
      <c r="AH2381" s="9">
        <f>IF(AF2381=1,UPPER(TRIM(IFERROR(INDEX($A2381:$AB2381,MATCH("Client",$A$1:$AB$1,0)),"")&amp;"")),"")</f>
        <v/>
      </c>
      <c r="AI2381" s="9">
        <f>IF(AF2381=1,IFERROR(INDEX($A2381:$AB2381,MATCH("Cost Centre",$A$1:$AB$1,0)),"")&amp;"","")</f>
        <v/>
      </c>
      <c r="AJ2381" s="54">
        <f>IF(AND(AF2381=1,AE2381&gt;=set_FYStart,AE2381&lt;=set_AsAt),1,0)</f>
        <v/>
      </c>
      <c r="AK2381" s="54">
        <f>IF(AND(AJ2381=1,AH2381&lt;&gt;"",COUNTIFS($AH$2:AH2381,AH2381,$AJ$2:AJ2381,1)=1),N(AL2380)+1,"")</f>
        <v/>
      </c>
      <c r="AL2381" s="54">
        <f>IF(AK2381&lt;&gt;"",AK2381,N(AL2380))</f>
        <v/>
      </c>
    </row>
    <row r="2382">
      <c r="A2382" t="inlineStr">
        <is>
          <t>PRD-0794</t>
        </is>
      </c>
      <c r="B2382" t="inlineStr">
        <is>
          <t>Production</t>
        </is>
      </c>
      <c r="AB2382" t="n">
        <v>794</v>
      </c>
      <c r="AD2382" s="52">
        <f>IFERROR(N(IFERROR(INDEX($A2382:$AB2382,MATCH("Xero Invoiced Ex GST",$A$1:$AB$1,0)),"")),0)</f>
        <v/>
      </c>
      <c r="AE2382" s="53">
        <f>IFERROR(INDEX($A2382:$AB2382,MATCH("Xero Invoice Date",$A$1:$AB$1,0)),"")</f>
        <v/>
      </c>
      <c r="AF2382" s="54">
        <f>IF(AND(IFERROR(INDEX($A2382:$AB2382,MATCH("Xero Invoice No",$A$1:$AB$1,0)),"")&amp;""&lt;&gt;"",ISNUMBER(AE2382),AD2382&lt;&gt;0),1,0)</f>
        <v/>
      </c>
      <c r="AG2382" s="55">
        <f>IF(AF2382=1,EOMONTH(AE2382,0),"")</f>
        <v/>
      </c>
      <c r="AH2382" s="9">
        <f>IF(AF2382=1,UPPER(TRIM(IFERROR(INDEX($A2382:$AB2382,MATCH("Client",$A$1:$AB$1,0)),"")&amp;"")),"")</f>
        <v/>
      </c>
      <c r="AI2382" s="9">
        <f>IF(AF2382=1,IFERROR(INDEX($A2382:$AB2382,MATCH("Cost Centre",$A$1:$AB$1,0)),"")&amp;"","")</f>
        <v/>
      </c>
      <c r="AJ2382" s="54">
        <f>IF(AND(AF2382=1,AE2382&gt;=set_FYStart,AE2382&lt;=set_AsAt),1,0)</f>
        <v/>
      </c>
      <c r="AK2382" s="54">
        <f>IF(AND(AJ2382=1,AH2382&lt;&gt;"",COUNTIFS($AH$2:AH2382,AH2382,$AJ$2:AJ2382,1)=1),N(AL2381)+1,"")</f>
        <v/>
      </c>
      <c r="AL2382" s="54">
        <f>IF(AK2382&lt;&gt;"",AK2382,N(AL2381))</f>
        <v/>
      </c>
    </row>
    <row r="2383">
      <c r="A2383" t="inlineStr">
        <is>
          <t>CON-0794</t>
        </is>
      </c>
      <c r="B2383" t="inlineStr">
        <is>
          <t>Consulting</t>
        </is>
      </c>
      <c r="AB2383" t="n">
        <v>794</v>
      </c>
      <c r="AD2383" s="52">
        <f>IFERROR(N(IFERROR(INDEX($A2383:$AB2383,MATCH("Xero Invoiced Ex GST",$A$1:$AB$1,0)),"")),0)</f>
        <v/>
      </c>
      <c r="AE2383" s="53">
        <f>IFERROR(INDEX($A2383:$AB2383,MATCH("Xero Invoice Date",$A$1:$AB$1,0)),"")</f>
        <v/>
      </c>
      <c r="AF2383" s="54">
        <f>IF(AND(IFERROR(INDEX($A2383:$AB2383,MATCH("Xero Invoice No",$A$1:$AB$1,0)),"")&amp;""&lt;&gt;"",ISNUMBER(AE2383),AD2383&lt;&gt;0),1,0)</f>
        <v/>
      </c>
      <c r="AG2383" s="55">
        <f>IF(AF2383=1,EOMONTH(AE2383,0),"")</f>
        <v/>
      </c>
      <c r="AH2383" s="9">
        <f>IF(AF2383=1,UPPER(TRIM(IFERROR(INDEX($A2383:$AB2383,MATCH("Client",$A$1:$AB$1,0)),"")&amp;"")),"")</f>
        <v/>
      </c>
      <c r="AI2383" s="9">
        <f>IF(AF2383=1,IFERROR(INDEX($A2383:$AB2383,MATCH("Cost Centre",$A$1:$AB$1,0)),"")&amp;"","")</f>
        <v/>
      </c>
      <c r="AJ2383" s="54">
        <f>IF(AND(AF2383=1,AE2383&gt;=set_FYStart,AE2383&lt;=set_AsAt),1,0)</f>
        <v/>
      </c>
      <c r="AK2383" s="54">
        <f>IF(AND(AJ2383=1,AH2383&lt;&gt;"",COUNTIFS($AH$2:AH2383,AH2383,$AJ$2:AJ2383,1)=1),N(AL2382)+1,"")</f>
        <v/>
      </c>
      <c r="AL2383" s="54">
        <f>IF(AK2383&lt;&gt;"",AK2383,N(AL2382))</f>
        <v/>
      </c>
    </row>
    <row r="2384">
      <c r="A2384" t="inlineStr">
        <is>
          <t>ONS-0795</t>
        </is>
      </c>
      <c r="B2384" t="inlineStr">
        <is>
          <t>Onsite</t>
        </is>
      </c>
      <c r="AB2384" t="n">
        <v>795</v>
      </c>
      <c r="AD2384" s="52">
        <f>IFERROR(N(IFERROR(INDEX($A2384:$AB2384,MATCH("Xero Invoiced Ex GST",$A$1:$AB$1,0)),"")),0)</f>
        <v/>
      </c>
      <c r="AE2384" s="53">
        <f>IFERROR(INDEX($A2384:$AB2384,MATCH("Xero Invoice Date",$A$1:$AB$1,0)),"")</f>
        <v/>
      </c>
      <c r="AF2384" s="54">
        <f>IF(AND(IFERROR(INDEX($A2384:$AB2384,MATCH("Xero Invoice No",$A$1:$AB$1,0)),"")&amp;""&lt;&gt;"",ISNUMBER(AE2384),AD2384&lt;&gt;0),1,0)</f>
        <v/>
      </c>
      <c r="AG2384" s="55">
        <f>IF(AF2384=1,EOMONTH(AE2384,0),"")</f>
        <v/>
      </c>
      <c r="AH2384" s="9">
        <f>IF(AF2384=1,UPPER(TRIM(IFERROR(INDEX($A2384:$AB2384,MATCH("Client",$A$1:$AB$1,0)),"")&amp;"")),"")</f>
        <v/>
      </c>
      <c r="AI2384" s="9">
        <f>IF(AF2384=1,IFERROR(INDEX($A2384:$AB2384,MATCH("Cost Centre",$A$1:$AB$1,0)),"")&amp;"","")</f>
        <v/>
      </c>
      <c r="AJ2384" s="54">
        <f>IF(AND(AF2384=1,AE2384&gt;=set_FYStart,AE2384&lt;=set_AsAt),1,0)</f>
        <v/>
      </c>
      <c r="AK2384" s="54">
        <f>IF(AND(AJ2384=1,AH2384&lt;&gt;"",COUNTIFS($AH$2:AH2384,AH2384,$AJ$2:AJ2384,1)=1),N(AL2383)+1,"")</f>
        <v/>
      </c>
      <c r="AL2384" s="54">
        <f>IF(AK2384&lt;&gt;"",AK2384,N(AL2383))</f>
        <v/>
      </c>
    </row>
    <row r="2385">
      <c r="A2385" t="inlineStr">
        <is>
          <t>PRD-0795</t>
        </is>
      </c>
      <c r="B2385" t="inlineStr">
        <is>
          <t>Production</t>
        </is>
      </c>
      <c r="AB2385" t="n">
        <v>795</v>
      </c>
      <c r="AD2385" s="52">
        <f>IFERROR(N(IFERROR(INDEX($A2385:$AB2385,MATCH("Xero Invoiced Ex GST",$A$1:$AB$1,0)),"")),0)</f>
        <v/>
      </c>
      <c r="AE2385" s="53">
        <f>IFERROR(INDEX($A2385:$AB2385,MATCH("Xero Invoice Date",$A$1:$AB$1,0)),"")</f>
        <v/>
      </c>
      <c r="AF2385" s="54">
        <f>IF(AND(IFERROR(INDEX($A2385:$AB2385,MATCH("Xero Invoice No",$A$1:$AB$1,0)),"")&amp;""&lt;&gt;"",ISNUMBER(AE2385),AD2385&lt;&gt;0),1,0)</f>
        <v/>
      </c>
      <c r="AG2385" s="55">
        <f>IF(AF2385=1,EOMONTH(AE2385,0),"")</f>
        <v/>
      </c>
      <c r="AH2385" s="9">
        <f>IF(AF2385=1,UPPER(TRIM(IFERROR(INDEX($A2385:$AB2385,MATCH("Client",$A$1:$AB$1,0)),"")&amp;"")),"")</f>
        <v/>
      </c>
      <c r="AI2385" s="9">
        <f>IF(AF2385=1,IFERROR(INDEX($A2385:$AB2385,MATCH("Cost Centre",$A$1:$AB$1,0)),"")&amp;"","")</f>
        <v/>
      </c>
      <c r="AJ2385" s="54">
        <f>IF(AND(AF2385=1,AE2385&gt;=set_FYStart,AE2385&lt;=set_AsAt),1,0)</f>
        <v/>
      </c>
      <c r="AK2385" s="54">
        <f>IF(AND(AJ2385=1,AH2385&lt;&gt;"",COUNTIFS($AH$2:AH2385,AH2385,$AJ$2:AJ2385,1)=1),N(AL2384)+1,"")</f>
        <v/>
      </c>
      <c r="AL2385" s="54">
        <f>IF(AK2385&lt;&gt;"",AK2385,N(AL2384))</f>
        <v/>
      </c>
    </row>
    <row r="2386">
      <c r="A2386" t="inlineStr">
        <is>
          <t>CON-0795</t>
        </is>
      </c>
      <c r="B2386" t="inlineStr">
        <is>
          <t>Consulting</t>
        </is>
      </c>
      <c r="AB2386" t="n">
        <v>795</v>
      </c>
      <c r="AD2386" s="52">
        <f>IFERROR(N(IFERROR(INDEX($A2386:$AB2386,MATCH("Xero Invoiced Ex GST",$A$1:$AB$1,0)),"")),0)</f>
        <v/>
      </c>
      <c r="AE2386" s="53">
        <f>IFERROR(INDEX($A2386:$AB2386,MATCH("Xero Invoice Date",$A$1:$AB$1,0)),"")</f>
        <v/>
      </c>
      <c r="AF2386" s="54">
        <f>IF(AND(IFERROR(INDEX($A2386:$AB2386,MATCH("Xero Invoice No",$A$1:$AB$1,0)),"")&amp;""&lt;&gt;"",ISNUMBER(AE2386),AD2386&lt;&gt;0),1,0)</f>
        <v/>
      </c>
      <c r="AG2386" s="55">
        <f>IF(AF2386=1,EOMONTH(AE2386,0),"")</f>
        <v/>
      </c>
      <c r="AH2386" s="9">
        <f>IF(AF2386=1,UPPER(TRIM(IFERROR(INDEX($A2386:$AB2386,MATCH("Client",$A$1:$AB$1,0)),"")&amp;"")),"")</f>
        <v/>
      </c>
      <c r="AI2386" s="9">
        <f>IF(AF2386=1,IFERROR(INDEX($A2386:$AB2386,MATCH("Cost Centre",$A$1:$AB$1,0)),"")&amp;"","")</f>
        <v/>
      </c>
      <c r="AJ2386" s="54">
        <f>IF(AND(AF2386=1,AE2386&gt;=set_FYStart,AE2386&lt;=set_AsAt),1,0)</f>
        <v/>
      </c>
      <c r="AK2386" s="54">
        <f>IF(AND(AJ2386=1,AH2386&lt;&gt;"",COUNTIFS($AH$2:AH2386,AH2386,$AJ$2:AJ2386,1)=1),N(AL2385)+1,"")</f>
        <v/>
      </c>
      <c r="AL2386" s="54">
        <f>IF(AK2386&lt;&gt;"",AK2386,N(AL2385))</f>
        <v/>
      </c>
    </row>
    <row r="2387">
      <c r="A2387" t="inlineStr">
        <is>
          <t>ONS-0796</t>
        </is>
      </c>
      <c r="B2387" t="inlineStr">
        <is>
          <t>Onsite</t>
        </is>
      </c>
      <c r="AB2387" t="n">
        <v>796</v>
      </c>
      <c r="AD2387" s="52">
        <f>IFERROR(N(IFERROR(INDEX($A2387:$AB2387,MATCH("Xero Invoiced Ex GST",$A$1:$AB$1,0)),"")),0)</f>
        <v/>
      </c>
      <c r="AE2387" s="53">
        <f>IFERROR(INDEX($A2387:$AB2387,MATCH("Xero Invoice Date",$A$1:$AB$1,0)),"")</f>
        <v/>
      </c>
      <c r="AF2387" s="54">
        <f>IF(AND(IFERROR(INDEX($A2387:$AB2387,MATCH("Xero Invoice No",$A$1:$AB$1,0)),"")&amp;""&lt;&gt;"",ISNUMBER(AE2387),AD2387&lt;&gt;0),1,0)</f>
        <v/>
      </c>
      <c r="AG2387" s="55">
        <f>IF(AF2387=1,EOMONTH(AE2387,0),"")</f>
        <v/>
      </c>
      <c r="AH2387" s="9">
        <f>IF(AF2387=1,UPPER(TRIM(IFERROR(INDEX($A2387:$AB2387,MATCH("Client",$A$1:$AB$1,0)),"")&amp;"")),"")</f>
        <v/>
      </c>
      <c r="AI2387" s="9">
        <f>IF(AF2387=1,IFERROR(INDEX($A2387:$AB2387,MATCH("Cost Centre",$A$1:$AB$1,0)),"")&amp;"","")</f>
        <v/>
      </c>
      <c r="AJ2387" s="54">
        <f>IF(AND(AF2387=1,AE2387&gt;=set_FYStart,AE2387&lt;=set_AsAt),1,0)</f>
        <v/>
      </c>
      <c r="AK2387" s="54">
        <f>IF(AND(AJ2387=1,AH2387&lt;&gt;"",COUNTIFS($AH$2:AH2387,AH2387,$AJ$2:AJ2387,1)=1),N(AL2386)+1,"")</f>
        <v/>
      </c>
      <c r="AL2387" s="54">
        <f>IF(AK2387&lt;&gt;"",AK2387,N(AL2386))</f>
        <v/>
      </c>
    </row>
    <row r="2388">
      <c r="A2388" t="inlineStr">
        <is>
          <t>PRD-0796</t>
        </is>
      </c>
      <c r="B2388" t="inlineStr">
        <is>
          <t>Production</t>
        </is>
      </c>
      <c r="AB2388" t="n">
        <v>796</v>
      </c>
      <c r="AD2388" s="52">
        <f>IFERROR(N(IFERROR(INDEX($A2388:$AB2388,MATCH("Xero Invoiced Ex GST",$A$1:$AB$1,0)),"")),0)</f>
        <v/>
      </c>
      <c r="AE2388" s="53">
        <f>IFERROR(INDEX($A2388:$AB2388,MATCH("Xero Invoice Date",$A$1:$AB$1,0)),"")</f>
        <v/>
      </c>
      <c r="AF2388" s="54">
        <f>IF(AND(IFERROR(INDEX($A2388:$AB2388,MATCH("Xero Invoice No",$A$1:$AB$1,0)),"")&amp;""&lt;&gt;"",ISNUMBER(AE2388),AD2388&lt;&gt;0),1,0)</f>
        <v/>
      </c>
      <c r="AG2388" s="55">
        <f>IF(AF2388=1,EOMONTH(AE2388,0),"")</f>
        <v/>
      </c>
      <c r="AH2388" s="9">
        <f>IF(AF2388=1,UPPER(TRIM(IFERROR(INDEX($A2388:$AB2388,MATCH("Client",$A$1:$AB$1,0)),"")&amp;"")),"")</f>
        <v/>
      </c>
      <c r="AI2388" s="9">
        <f>IF(AF2388=1,IFERROR(INDEX($A2388:$AB2388,MATCH("Cost Centre",$A$1:$AB$1,0)),"")&amp;"","")</f>
        <v/>
      </c>
      <c r="AJ2388" s="54">
        <f>IF(AND(AF2388=1,AE2388&gt;=set_FYStart,AE2388&lt;=set_AsAt),1,0)</f>
        <v/>
      </c>
      <c r="AK2388" s="54">
        <f>IF(AND(AJ2388=1,AH2388&lt;&gt;"",COUNTIFS($AH$2:AH2388,AH2388,$AJ$2:AJ2388,1)=1),N(AL2387)+1,"")</f>
        <v/>
      </c>
      <c r="AL2388" s="54">
        <f>IF(AK2388&lt;&gt;"",AK2388,N(AL2387))</f>
        <v/>
      </c>
    </row>
    <row r="2389">
      <c r="A2389" t="inlineStr">
        <is>
          <t>CON-0796</t>
        </is>
      </c>
      <c r="B2389" t="inlineStr">
        <is>
          <t>Consulting</t>
        </is>
      </c>
      <c r="AB2389" t="n">
        <v>796</v>
      </c>
      <c r="AD2389" s="52">
        <f>IFERROR(N(IFERROR(INDEX($A2389:$AB2389,MATCH("Xero Invoiced Ex GST",$A$1:$AB$1,0)),"")),0)</f>
        <v/>
      </c>
      <c r="AE2389" s="53">
        <f>IFERROR(INDEX($A2389:$AB2389,MATCH("Xero Invoice Date",$A$1:$AB$1,0)),"")</f>
        <v/>
      </c>
      <c r="AF2389" s="54">
        <f>IF(AND(IFERROR(INDEX($A2389:$AB2389,MATCH("Xero Invoice No",$A$1:$AB$1,0)),"")&amp;""&lt;&gt;"",ISNUMBER(AE2389),AD2389&lt;&gt;0),1,0)</f>
        <v/>
      </c>
      <c r="AG2389" s="55">
        <f>IF(AF2389=1,EOMONTH(AE2389,0),"")</f>
        <v/>
      </c>
      <c r="AH2389" s="9">
        <f>IF(AF2389=1,UPPER(TRIM(IFERROR(INDEX($A2389:$AB2389,MATCH("Client",$A$1:$AB$1,0)),"")&amp;"")),"")</f>
        <v/>
      </c>
      <c r="AI2389" s="9">
        <f>IF(AF2389=1,IFERROR(INDEX($A2389:$AB2389,MATCH("Cost Centre",$A$1:$AB$1,0)),"")&amp;"","")</f>
        <v/>
      </c>
      <c r="AJ2389" s="54">
        <f>IF(AND(AF2389=1,AE2389&gt;=set_FYStart,AE2389&lt;=set_AsAt),1,0)</f>
        <v/>
      </c>
      <c r="AK2389" s="54">
        <f>IF(AND(AJ2389=1,AH2389&lt;&gt;"",COUNTIFS($AH$2:AH2389,AH2389,$AJ$2:AJ2389,1)=1),N(AL2388)+1,"")</f>
        <v/>
      </c>
      <c r="AL2389" s="54">
        <f>IF(AK2389&lt;&gt;"",AK2389,N(AL2388))</f>
        <v/>
      </c>
    </row>
    <row r="2390">
      <c r="A2390" t="inlineStr">
        <is>
          <t>ONS-0797</t>
        </is>
      </c>
      <c r="B2390" t="inlineStr">
        <is>
          <t>Onsite</t>
        </is>
      </c>
      <c r="AB2390" t="n">
        <v>797</v>
      </c>
      <c r="AD2390" s="52">
        <f>IFERROR(N(IFERROR(INDEX($A2390:$AB2390,MATCH("Xero Invoiced Ex GST",$A$1:$AB$1,0)),"")),0)</f>
        <v/>
      </c>
      <c r="AE2390" s="53">
        <f>IFERROR(INDEX($A2390:$AB2390,MATCH("Xero Invoice Date",$A$1:$AB$1,0)),"")</f>
        <v/>
      </c>
      <c r="AF2390" s="54">
        <f>IF(AND(IFERROR(INDEX($A2390:$AB2390,MATCH("Xero Invoice No",$A$1:$AB$1,0)),"")&amp;""&lt;&gt;"",ISNUMBER(AE2390),AD2390&lt;&gt;0),1,0)</f>
        <v/>
      </c>
      <c r="AG2390" s="55">
        <f>IF(AF2390=1,EOMONTH(AE2390,0),"")</f>
        <v/>
      </c>
      <c r="AH2390" s="9">
        <f>IF(AF2390=1,UPPER(TRIM(IFERROR(INDEX($A2390:$AB2390,MATCH("Client",$A$1:$AB$1,0)),"")&amp;"")),"")</f>
        <v/>
      </c>
      <c r="AI2390" s="9">
        <f>IF(AF2390=1,IFERROR(INDEX($A2390:$AB2390,MATCH("Cost Centre",$A$1:$AB$1,0)),"")&amp;"","")</f>
        <v/>
      </c>
      <c r="AJ2390" s="54">
        <f>IF(AND(AF2390=1,AE2390&gt;=set_FYStart,AE2390&lt;=set_AsAt),1,0)</f>
        <v/>
      </c>
      <c r="AK2390" s="54">
        <f>IF(AND(AJ2390=1,AH2390&lt;&gt;"",COUNTIFS($AH$2:AH2390,AH2390,$AJ$2:AJ2390,1)=1),N(AL2389)+1,"")</f>
        <v/>
      </c>
      <c r="AL2390" s="54">
        <f>IF(AK2390&lt;&gt;"",AK2390,N(AL2389))</f>
        <v/>
      </c>
    </row>
    <row r="2391">
      <c r="A2391" t="inlineStr">
        <is>
          <t>PRD-0797</t>
        </is>
      </c>
      <c r="B2391" t="inlineStr">
        <is>
          <t>Production</t>
        </is>
      </c>
      <c r="AB2391" t="n">
        <v>797</v>
      </c>
      <c r="AD2391" s="52">
        <f>IFERROR(N(IFERROR(INDEX($A2391:$AB2391,MATCH("Xero Invoiced Ex GST",$A$1:$AB$1,0)),"")),0)</f>
        <v/>
      </c>
      <c r="AE2391" s="53">
        <f>IFERROR(INDEX($A2391:$AB2391,MATCH("Xero Invoice Date",$A$1:$AB$1,0)),"")</f>
        <v/>
      </c>
      <c r="AF2391" s="54">
        <f>IF(AND(IFERROR(INDEX($A2391:$AB2391,MATCH("Xero Invoice No",$A$1:$AB$1,0)),"")&amp;""&lt;&gt;"",ISNUMBER(AE2391),AD2391&lt;&gt;0),1,0)</f>
        <v/>
      </c>
      <c r="AG2391" s="55">
        <f>IF(AF2391=1,EOMONTH(AE2391,0),"")</f>
        <v/>
      </c>
      <c r="AH2391" s="9">
        <f>IF(AF2391=1,UPPER(TRIM(IFERROR(INDEX($A2391:$AB2391,MATCH("Client",$A$1:$AB$1,0)),"")&amp;"")),"")</f>
        <v/>
      </c>
      <c r="AI2391" s="9">
        <f>IF(AF2391=1,IFERROR(INDEX($A2391:$AB2391,MATCH("Cost Centre",$A$1:$AB$1,0)),"")&amp;"","")</f>
        <v/>
      </c>
      <c r="AJ2391" s="54">
        <f>IF(AND(AF2391=1,AE2391&gt;=set_FYStart,AE2391&lt;=set_AsAt),1,0)</f>
        <v/>
      </c>
      <c r="AK2391" s="54">
        <f>IF(AND(AJ2391=1,AH2391&lt;&gt;"",COUNTIFS($AH$2:AH2391,AH2391,$AJ$2:AJ2391,1)=1),N(AL2390)+1,"")</f>
        <v/>
      </c>
      <c r="AL2391" s="54">
        <f>IF(AK2391&lt;&gt;"",AK2391,N(AL2390))</f>
        <v/>
      </c>
    </row>
    <row r="2392">
      <c r="A2392" t="inlineStr">
        <is>
          <t>CON-0797</t>
        </is>
      </c>
      <c r="B2392" t="inlineStr">
        <is>
          <t>Consulting</t>
        </is>
      </c>
      <c r="AB2392" t="n">
        <v>797</v>
      </c>
      <c r="AD2392" s="52">
        <f>IFERROR(N(IFERROR(INDEX($A2392:$AB2392,MATCH("Xero Invoiced Ex GST",$A$1:$AB$1,0)),"")),0)</f>
        <v/>
      </c>
      <c r="AE2392" s="53">
        <f>IFERROR(INDEX($A2392:$AB2392,MATCH("Xero Invoice Date",$A$1:$AB$1,0)),"")</f>
        <v/>
      </c>
      <c r="AF2392" s="54">
        <f>IF(AND(IFERROR(INDEX($A2392:$AB2392,MATCH("Xero Invoice No",$A$1:$AB$1,0)),"")&amp;""&lt;&gt;"",ISNUMBER(AE2392),AD2392&lt;&gt;0),1,0)</f>
        <v/>
      </c>
      <c r="AG2392" s="55">
        <f>IF(AF2392=1,EOMONTH(AE2392,0),"")</f>
        <v/>
      </c>
      <c r="AH2392" s="9">
        <f>IF(AF2392=1,UPPER(TRIM(IFERROR(INDEX($A2392:$AB2392,MATCH("Client",$A$1:$AB$1,0)),"")&amp;"")),"")</f>
        <v/>
      </c>
      <c r="AI2392" s="9">
        <f>IF(AF2392=1,IFERROR(INDEX($A2392:$AB2392,MATCH("Cost Centre",$A$1:$AB$1,0)),"")&amp;"","")</f>
        <v/>
      </c>
      <c r="AJ2392" s="54">
        <f>IF(AND(AF2392=1,AE2392&gt;=set_FYStart,AE2392&lt;=set_AsAt),1,0)</f>
        <v/>
      </c>
      <c r="AK2392" s="54">
        <f>IF(AND(AJ2392=1,AH2392&lt;&gt;"",COUNTIFS($AH$2:AH2392,AH2392,$AJ$2:AJ2392,1)=1),N(AL2391)+1,"")</f>
        <v/>
      </c>
      <c r="AL2392" s="54">
        <f>IF(AK2392&lt;&gt;"",AK2392,N(AL2391))</f>
        <v/>
      </c>
    </row>
    <row r="2393">
      <c r="A2393" t="inlineStr">
        <is>
          <t>ONS-0798</t>
        </is>
      </c>
      <c r="B2393" t="inlineStr">
        <is>
          <t>Onsite</t>
        </is>
      </c>
      <c r="AB2393" t="n">
        <v>798</v>
      </c>
      <c r="AD2393" s="52">
        <f>IFERROR(N(IFERROR(INDEX($A2393:$AB2393,MATCH("Xero Invoiced Ex GST",$A$1:$AB$1,0)),"")),0)</f>
        <v/>
      </c>
      <c r="AE2393" s="53">
        <f>IFERROR(INDEX($A2393:$AB2393,MATCH("Xero Invoice Date",$A$1:$AB$1,0)),"")</f>
        <v/>
      </c>
      <c r="AF2393" s="54">
        <f>IF(AND(IFERROR(INDEX($A2393:$AB2393,MATCH("Xero Invoice No",$A$1:$AB$1,0)),"")&amp;""&lt;&gt;"",ISNUMBER(AE2393),AD2393&lt;&gt;0),1,0)</f>
        <v/>
      </c>
      <c r="AG2393" s="55">
        <f>IF(AF2393=1,EOMONTH(AE2393,0),"")</f>
        <v/>
      </c>
      <c r="AH2393" s="9">
        <f>IF(AF2393=1,UPPER(TRIM(IFERROR(INDEX($A2393:$AB2393,MATCH("Client",$A$1:$AB$1,0)),"")&amp;"")),"")</f>
        <v/>
      </c>
      <c r="AI2393" s="9">
        <f>IF(AF2393=1,IFERROR(INDEX($A2393:$AB2393,MATCH("Cost Centre",$A$1:$AB$1,0)),"")&amp;"","")</f>
        <v/>
      </c>
      <c r="AJ2393" s="54">
        <f>IF(AND(AF2393=1,AE2393&gt;=set_FYStart,AE2393&lt;=set_AsAt),1,0)</f>
        <v/>
      </c>
      <c r="AK2393" s="54">
        <f>IF(AND(AJ2393=1,AH2393&lt;&gt;"",COUNTIFS($AH$2:AH2393,AH2393,$AJ$2:AJ2393,1)=1),N(AL2392)+1,"")</f>
        <v/>
      </c>
      <c r="AL2393" s="54">
        <f>IF(AK2393&lt;&gt;"",AK2393,N(AL2392))</f>
        <v/>
      </c>
    </row>
    <row r="2394">
      <c r="A2394" t="inlineStr">
        <is>
          <t>PRD-0798</t>
        </is>
      </c>
      <c r="B2394" t="inlineStr">
        <is>
          <t>Production</t>
        </is>
      </c>
      <c r="AB2394" t="n">
        <v>798</v>
      </c>
      <c r="AD2394" s="52">
        <f>IFERROR(N(IFERROR(INDEX($A2394:$AB2394,MATCH("Xero Invoiced Ex GST",$A$1:$AB$1,0)),"")),0)</f>
        <v/>
      </c>
      <c r="AE2394" s="53">
        <f>IFERROR(INDEX($A2394:$AB2394,MATCH("Xero Invoice Date",$A$1:$AB$1,0)),"")</f>
        <v/>
      </c>
      <c r="AF2394" s="54">
        <f>IF(AND(IFERROR(INDEX($A2394:$AB2394,MATCH("Xero Invoice No",$A$1:$AB$1,0)),"")&amp;""&lt;&gt;"",ISNUMBER(AE2394),AD2394&lt;&gt;0),1,0)</f>
        <v/>
      </c>
      <c r="AG2394" s="55">
        <f>IF(AF2394=1,EOMONTH(AE2394,0),"")</f>
        <v/>
      </c>
      <c r="AH2394" s="9">
        <f>IF(AF2394=1,UPPER(TRIM(IFERROR(INDEX($A2394:$AB2394,MATCH("Client",$A$1:$AB$1,0)),"")&amp;"")),"")</f>
        <v/>
      </c>
      <c r="AI2394" s="9">
        <f>IF(AF2394=1,IFERROR(INDEX($A2394:$AB2394,MATCH("Cost Centre",$A$1:$AB$1,0)),"")&amp;"","")</f>
        <v/>
      </c>
      <c r="AJ2394" s="54">
        <f>IF(AND(AF2394=1,AE2394&gt;=set_FYStart,AE2394&lt;=set_AsAt),1,0)</f>
        <v/>
      </c>
      <c r="AK2394" s="54">
        <f>IF(AND(AJ2394=1,AH2394&lt;&gt;"",COUNTIFS($AH$2:AH2394,AH2394,$AJ$2:AJ2394,1)=1),N(AL2393)+1,"")</f>
        <v/>
      </c>
      <c r="AL2394" s="54">
        <f>IF(AK2394&lt;&gt;"",AK2394,N(AL2393))</f>
        <v/>
      </c>
    </row>
    <row r="2395">
      <c r="A2395" t="inlineStr">
        <is>
          <t>CON-0798</t>
        </is>
      </c>
      <c r="B2395" t="inlineStr">
        <is>
          <t>Consulting</t>
        </is>
      </c>
      <c r="AB2395" t="n">
        <v>798</v>
      </c>
      <c r="AD2395" s="52">
        <f>IFERROR(N(IFERROR(INDEX($A2395:$AB2395,MATCH("Xero Invoiced Ex GST",$A$1:$AB$1,0)),"")),0)</f>
        <v/>
      </c>
      <c r="AE2395" s="53">
        <f>IFERROR(INDEX($A2395:$AB2395,MATCH("Xero Invoice Date",$A$1:$AB$1,0)),"")</f>
        <v/>
      </c>
      <c r="AF2395" s="54">
        <f>IF(AND(IFERROR(INDEX($A2395:$AB2395,MATCH("Xero Invoice No",$A$1:$AB$1,0)),"")&amp;""&lt;&gt;"",ISNUMBER(AE2395),AD2395&lt;&gt;0),1,0)</f>
        <v/>
      </c>
      <c r="AG2395" s="55">
        <f>IF(AF2395=1,EOMONTH(AE2395,0),"")</f>
        <v/>
      </c>
      <c r="AH2395" s="9">
        <f>IF(AF2395=1,UPPER(TRIM(IFERROR(INDEX($A2395:$AB2395,MATCH("Client",$A$1:$AB$1,0)),"")&amp;"")),"")</f>
        <v/>
      </c>
      <c r="AI2395" s="9">
        <f>IF(AF2395=1,IFERROR(INDEX($A2395:$AB2395,MATCH("Cost Centre",$A$1:$AB$1,0)),"")&amp;"","")</f>
        <v/>
      </c>
      <c r="AJ2395" s="54">
        <f>IF(AND(AF2395=1,AE2395&gt;=set_FYStart,AE2395&lt;=set_AsAt),1,0)</f>
        <v/>
      </c>
      <c r="AK2395" s="54">
        <f>IF(AND(AJ2395=1,AH2395&lt;&gt;"",COUNTIFS($AH$2:AH2395,AH2395,$AJ$2:AJ2395,1)=1),N(AL2394)+1,"")</f>
        <v/>
      </c>
      <c r="AL2395" s="54">
        <f>IF(AK2395&lt;&gt;"",AK2395,N(AL2394))</f>
        <v/>
      </c>
    </row>
    <row r="2396">
      <c r="A2396" t="inlineStr">
        <is>
          <t>ONS-0799</t>
        </is>
      </c>
      <c r="B2396" t="inlineStr">
        <is>
          <t>Onsite</t>
        </is>
      </c>
      <c r="AB2396" t="n">
        <v>799</v>
      </c>
      <c r="AD2396" s="52">
        <f>IFERROR(N(IFERROR(INDEX($A2396:$AB2396,MATCH("Xero Invoiced Ex GST",$A$1:$AB$1,0)),"")),0)</f>
        <v/>
      </c>
      <c r="AE2396" s="53">
        <f>IFERROR(INDEX($A2396:$AB2396,MATCH("Xero Invoice Date",$A$1:$AB$1,0)),"")</f>
        <v/>
      </c>
      <c r="AF2396" s="54">
        <f>IF(AND(IFERROR(INDEX($A2396:$AB2396,MATCH("Xero Invoice No",$A$1:$AB$1,0)),"")&amp;""&lt;&gt;"",ISNUMBER(AE2396),AD2396&lt;&gt;0),1,0)</f>
        <v/>
      </c>
      <c r="AG2396" s="55">
        <f>IF(AF2396=1,EOMONTH(AE2396,0),"")</f>
        <v/>
      </c>
      <c r="AH2396" s="9">
        <f>IF(AF2396=1,UPPER(TRIM(IFERROR(INDEX($A2396:$AB2396,MATCH("Client",$A$1:$AB$1,0)),"")&amp;"")),"")</f>
        <v/>
      </c>
      <c r="AI2396" s="9">
        <f>IF(AF2396=1,IFERROR(INDEX($A2396:$AB2396,MATCH("Cost Centre",$A$1:$AB$1,0)),"")&amp;"","")</f>
        <v/>
      </c>
      <c r="AJ2396" s="54">
        <f>IF(AND(AF2396=1,AE2396&gt;=set_FYStart,AE2396&lt;=set_AsAt),1,0)</f>
        <v/>
      </c>
      <c r="AK2396" s="54">
        <f>IF(AND(AJ2396=1,AH2396&lt;&gt;"",COUNTIFS($AH$2:AH2396,AH2396,$AJ$2:AJ2396,1)=1),N(AL2395)+1,"")</f>
        <v/>
      </c>
      <c r="AL2396" s="54">
        <f>IF(AK2396&lt;&gt;"",AK2396,N(AL2395))</f>
        <v/>
      </c>
    </row>
    <row r="2397">
      <c r="A2397" t="inlineStr">
        <is>
          <t>PRD-0799</t>
        </is>
      </c>
      <c r="B2397" t="inlineStr">
        <is>
          <t>Production</t>
        </is>
      </c>
      <c r="AB2397" t="n">
        <v>799</v>
      </c>
      <c r="AD2397" s="52">
        <f>IFERROR(N(IFERROR(INDEX($A2397:$AB2397,MATCH("Xero Invoiced Ex GST",$A$1:$AB$1,0)),"")),0)</f>
        <v/>
      </c>
      <c r="AE2397" s="53">
        <f>IFERROR(INDEX($A2397:$AB2397,MATCH("Xero Invoice Date",$A$1:$AB$1,0)),"")</f>
        <v/>
      </c>
      <c r="AF2397" s="54">
        <f>IF(AND(IFERROR(INDEX($A2397:$AB2397,MATCH("Xero Invoice No",$A$1:$AB$1,0)),"")&amp;""&lt;&gt;"",ISNUMBER(AE2397),AD2397&lt;&gt;0),1,0)</f>
        <v/>
      </c>
      <c r="AG2397" s="55">
        <f>IF(AF2397=1,EOMONTH(AE2397,0),"")</f>
        <v/>
      </c>
      <c r="AH2397" s="9">
        <f>IF(AF2397=1,UPPER(TRIM(IFERROR(INDEX($A2397:$AB2397,MATCH("Client",$A$1:$AB$1,0)),"")&amp;"")),"")</f>
        <v/>
      </c>
      <c r="AI2397" s="9">
        <f>IF(AF2397=1,IFERROR(INDEX($A2397:$AB2397,MATCH("Cost Centre",$A$1:$AB$1,0)),"")&amp;"","")</f>
        <v/>
      </c>
      <c r="AJ2397" s="54">
        <f>IF(AND(AF2397=1,AE2397&gt;=set_FYStart,AE2397&lt;=set_AsAt),1,0)</f>
        <v/>
      </c>
      <c r="AK2397" s="54">
        <f>IF(AND(AJ2397=1,AH2397&lt;&gt;"",COUNTIFS($AH$2:AH2397,AH2397,$AJ$2:AJ2397,1)=1),N(AL2396)+1,"")</f>
        <v/>
      </c>
      <c r="AL2397" s="54">
        <f>IF(AK2397&lt;&gt;"",AK2397,N(AL2396))</f>
        <v/>
      </c>
    </row>
    <row r="2398">
      <c r="A2398" t="inlineStr">
        <is>
          <t>CON-0799</t>
        </is>
      </c>
      <c r="B2398" t="inlineStr">
        <is>
          <t>Consulting</t>
        </is>
      </c>
      <c r="AB2398" t="n">
        <v>799</v>
      </c>
      <c r="AD2398" s="52">
        <f>IFERROR(N(IFERROR(INDEX($A2398:$AB2398,MATCH("Xero Invoiced Ex GST",$A$1:$AB$1,0)),"")),0)</f>
        <v/>
      </c>
      <c r="AE2398" s="53">
        <f>IFERROR(INDEX($A2398:$AB2398,MATCH("Xero Invoice Date",$A$1:$AB$1,0)),"")</f>
        <v/>
      </c>
      <c r="AF2398" s="54">
        <f>IF(AND(IFERROR(INDEX($A2398:$AB2398,MATCH("Xero Invoice No",$A$1:$AB$1,0)),"")&amp;""&lt;&gt;"",ISNUMBER(AE2398),AD2398&lt;&gt;0),1,0)</f>
        <v/>
      </c>
      <c r="AG2398" s="55">
        <f>IF(AF2398=1,EOMONTH(AE2398,0),"")</f>
        <v/>
      </c>
      <c r="AH2398" s="9">
        <f>IF(AF2398=1,UPPER(TRIM(IFERROR(INDEX($A2398:$AB2398,MATCH("Client",$A$1:$AB$1,0)),"")&amp;"")),"")</f>
        <v/>
      </c>
      <c r="AI2398" s="9">
        <f>IF(AF2398=1,IFERROR(INDEX($A2398:$AB2398,MATCH("Cost Centre",$A$1:$AB$1,0)),"")&amp;"","")</f>
        <v/>
      </c>
      <c r="AJ2398" s="54">
        <f>IF(AND(AF2398=1,AE2398&gt;=set_FYStart,AE2398&lt;=set_AsAt),1,0)</f>
        <v/>
      </c>
      <c r="AK2398" s="54">
        <f>IF(AND(AJ2398=1,AH2398&lt;&gt;"",COUNTIFS($AH$2:AH2398,AH2398,$AJ$2:AJ2398,1)=1),N(AL2397)+1,"")</f>
        <v/>
      </c>
      <c r="AL2398" s="54">
        <f>IF(AK2398&lt;&gt;"",AK2398,N(AL2397))</f>
        <v/>
      </c>
    </row>
    <row r="2399">
      <c r="A2399" t="inlineStr">
        <is>
          <t>ONS-0800</t>
        </is>
      </c>
      <c r="B2399" t="inlineStr">
        <is>
          <t>Onsite</t>
        </is>
      </c>
      <c r="AB2399" t="n">
        <v>800</v>
      </c>
      <c r="AD2399" s="52">
        <f>IFERROR(N(IFERROR(INDEX($A2399:$AB2399,MATCH("Xero Invoiced Ex GST",$A$1:$AB$1,0)),"")),0)</f>
        <v/>
      </c>
      <c r="AE2399" s="53">
        <f>IFERROR(INDEX($A2399:$AB2399,MATCH("Xero Invoice Date",$A$1:$AB$1,0)),"")</f>
        <v/>
      </c>
      <c r="AF2399" s="54">
        <f>IF(AND(IFERROR(INDEX($A2399:$AB2399,MATCH("Xero Invoice No",$A$1:$AB$1,0)),"")&amp;""&lt;&gt;"",ISNUMBER(AE2399),AD2399&lt;&gt;0),1,0)</f>
        <v/>
      </c>
      <c r="AG2399" s="55">
        <f>IF(AF2399=1,EOMONTH(AE2399,0),"")</f>
        <v/>
      </c>
      <c r="AH2399" s="9">
        <f>IF(AF2399=1,UPPER(TRIM(IFERROR(INDEX($A2399:$AB2399,MATCH("Client",$A$1:$AB$1,0)),"")&amp;"")),"")</f>
        <v/>
      </c>
      <c r="AI2399" s="9">
        <f>IF(AF2399=1,IFERROR(INDEX($A2399:$AB2399,MATCH("Cost Centre",$A$1:$AB$1,0)),"")&amp;"","")</f>
        <v/>
      </c>
      <c r="AJ2399" s="54">
        <f>IF(AND(AF2399=1,AE2399&gt;=set_FYStart,AE2399&lt;=set_AsAt),1,0)</f>
        <v/>
      </c>
      <c r="AK2399" s="54">
        <f>IF(AND(AJ2399=1,AH2399&lt;&gt;"",COUNTIFS($AH$2:AH2399,AH2399,$AJ$2:AJ2399,1)=1),N(AL2398)+1,"")</f>
        <v/>
      </c>
      <c r="AL2399" s="54">
        <f>IF(AK2399&lt;&gt;"",AK2399,N(AL2398))</f>
        <v/>
      </c>
    </row>
    <row r="2400">
      <c r="A2400" t="inlineStr">
        <is>
          <t>PRD-0800</t>
        </is>
      </c>
      <c r="B2400" t="inlineStr">
        <is>
          <t>Production</t>
        </is>
      </c>
      <c r="AB2400" t="n">
        <v>800</v>
      </c>
      <c r="AD2400" s="52">
        <f>IFERROR(N(IFERROR(INDEX($A2400:$AB2400,MATCH("Xero Invoiced Ex GST",$A$1:$AB$1,0)),"")),0)</f>
        <v/>
      </c>
      <c r="AE2400" s="53">
        <f>IFERROR(INDEX($A2400:$AB2400,MATCH("Xero Invoice Date",$A$1:$AB$1,0)),"")</f>
        <v/>
      </c>
      <c r="AF2400" s="54">
        <f>IF(AND(IFERROR(INDEX($A2400:$AB2400,MATCH("Xero Invoice No",$A$1:$AB$1,0)),"")&amp;""&lt;&gt;"",ISNUMBER(AE2400),AD2400&lt;&gt;0),1,0)</f>
        <v/>
      </c>
      <c r="AG2400" s="55">
        <f>IF(AF2400=1,EOMONTH(AE2400,0),"")</f>
        <v/>
      </c>
      <c r="AH2400" s="9">
        <f>IF(AF2400=1,UPPER(TRIM(IFERROR(INDEX($A2400:$AB2400,MATCH("Client",$A$1:$AB$1,0)),"")&amp;"")),"")</f>
        <v/>
      </c>
      <c r="AI2400" s="9">
        <f>IF(AF2400=1,IFERROR(INDEX($A2400:$AB2400,MATCH("Cost Centre",$A$1:$AB$1,0)),"")&amp;"","")</f>
        <v/>
      </c>
      <c r="AJ2400" s="54">
        <f>IF(AND(AF2400=1,AE2400&gt;=set_FYStart,AE2400&lt;=set_AsAt),1,0)</f>
        <v/>
      </c>
      <c r="AK2400" s="54">
        <f>IF(AND(AJ2400=1,AH2400&lt;&gt;"",COUNTIFS($AH$2:AH2400,AH2400,$AJ$2:AJ2400,1)=1),N(AL2399)+1,"")</f>
        <v/>
      </c>
      <c r="AL2400" s="54">
        <f>IF(AK2400&lt;&gt;"",AK2400,N(AL2399))</f>
        <v/>
      </c>
    </row>
    <row r="2401">
      <c r="A2401" t="inlineStr">
        <is>
          <t>CON-0800</t>
        </is>
      </c>
      <c r="B2401" t="inlineStr">
        <is>
          <t>Consulting</t>
        </is>
      </c>
      <c r="AB2401" t="n">
        <v>800</v>
      </c>
      <c r="AD2401" s="52">
        <f>IFERROR(N(IFERROR(INDEX($A2401:$AB2401,MATCH("Xero Invoiced Ex GST",$A$1:$AB$1,0)),"")),0)</f>
        <v/>
      </c>
      <c r="AE2401" s="53">
        <f>IFERROR(INDEX($A2401:$AB2401,MATCH("Xero Invoice Date",$A$1:$AB$1,0)),"")</f>
        <v/>
      </c>
      <c r="AF2401" s="54">
        <f>IF(AND(IFERROR(INDEX($A2401:$AB2401,MATCH("Xero Invoice No",$A$1:$AB$1,0)),"")&amp;""&lt;&gt;"",ISNUMBER(AE2401),AD2401&lt;&gt;0),1,0)</f>
        <v/>
      </c>
      <c r="AG2401" s="55">
        <f>IF(AF2401=1,EOMONTH(AE2401,0),"")</f>
        <v/>
      </c>
      <c r="AH2401" s="9">
        <f>IF(AF2401=1,UPPER(TRIM(IFERROR(INDEX($A2401:$AB2401,MATCH("Client",$A$1:$AB$1,0)),"")&amp;"")),"")</f>
        <v/>
      </c>
      <c r="AI2401" s="9">
        <f>IF(AF2401=1,IFERROR(INDEX($A2401:$AB2401,MATCH("Cost Centre",$A$1:$AB$1,0)),"")&amp;"","")</f>
        <v/>
      </c>
      <c r="AJ2401" s="54">
        <f>IF(AND(AF2401=1,AE2401&gt;=set_FYStart,AE2401&lt;=set_AsAt),1,0)</f>
        <v/>
      </c>
      <c r="AK2401" s="54">
        <f>IF(AND(AJ2401=1,AH2401&lt;&gt;"",COUNTIFS($AH$2:AH2401,AH2401,$AJ$2:AJ2401,1)=1),N(AL2400)+1,"")</f>
        <v/>
      </c>
      <c r="AL2401" s="54">
        <f>IF(AK2401&lt;&gt;"",AK2401,N(AL2400))</f>
        <v/>
      </c>
    </row>
    <row r="2402">
      <c r="A2402" t="inlineStr">
        <is>
          <t>ONS-0801</t>
        </is>
      </c>
      <c r="B2402" t="inlineStr">
        <is>
          <t>Onsite</t>
        </is>
      </c>
      <c r="AB2402" t="n">
        <v>801</v>
      </c>
      <c r="AD2402" s="52">
        <f>IFERROR(N(IFERROR(INDEX($A2402:$AB2402,MATCH("Xero Invoiced Ex GST",$A$1:$AB$1,0)),"")),0)</f>
        <v/>
      </c>
      <c r="AE2402" s="53">
        <f>IFERROR(INDEX($A2402:$AB2402,MATCH("Xero Invoice Date",$A$1:$AB$1,0)),"")</f>
        <v/>
      </c>
      <c r="AF2402" s="54">
        <f>IF(AND(IFERROR(INDEX($A2402:$AB2402,MATCH("Xero Invoice No",$A$1:$AB$1,0)),"")&amp;""&lt;&gt;"",ISNUMBER(AE2402),AD2402&lt;&gt;0),1,0)</f>
        <v/>
      </c>
      <c r="AG2402" s="55">
        <f>IF(AF2402=1,EOMONTH(AE2402,0),"")</f>
        <v/>
      </c>
      <c r="AH2402" s="9">
        <f>IF(AF2402=1,UPPER(TRIM(IFERROR(INDEX($A2402:$AB2402,MATCH("Client",$A$1:$AB$1,0)),"")&amp;"")),"")</f>
        <v/>
      </c>
      <c r="AI2402" s="9">
        <f>IF(AF2402=1,IFERROR(INDEX($A2402:$AB2402,MATCH("Cost Centre",$A$1:$AB$1,0)),"")&amp;"","")</f>
        <v/>
      </c>
      <c r="AJ2402" s="54">
        <f>IF(AND(AF2402=1,AE2402&gt;=set_FYStart,AE2402&lt;=set_AsAt),1,0)</f>
        <v/>
      </c>
      <c r="AK2402" s="54">
        <f>IF(AND(AJ2402=1,AH2402&lt;&gt;"",COUNTIFS($AH$2:AH2402,AH2402,$AJ$2:AJ2402,1)=1),N(AL2401)+1,"")</f>
        <v/>
      </c>
      <c r="AL2402" s="54">
        <f>IF(AK2402&lt;&gt;"",AK2402,N(AL2401))</f>
        <v/>
      </c>
    </row>
    <row r="2403">
      <c r="A2403" t="inlineStr">
        <is>
          <t>PRD-0801</t>
        </is>
      </c>
      <c r="B2403" t="inlineStr">
        <is>
          <t>Production</t>
        </is>
      </c>
      <c r="AB2403" t="n">
        <v>801</v>
      </c>
      <c r="AD2403" s="52">
        <f>IFERROR(N(IFERROR(INDEX($A2403:$AB2403,MATCH("Xero Invoiced Ex GST",$A$1:$AB$1,0)),"")),0)</f>
        <v/>
      </c>
      <c r="AE2403" s="53">
        <f>IFERROR(INDEX($A2403:$AB2403,MATCH("Xero Invoice Date",$A$1:$AB$1,0)),"")</f>
        <v/>
      </c>
      <c r="AF2403" s="54">
        <f>IF(AND(IFERROR(INDEX($A2403:$AB2403,MATCH("Xero Invoice No",$A$1:$AB$1,0)),"")&amp;""&lt;&gt;"",ISNUMBER(AE2403),AD2403&lt;&gt;0),1,0)</f>
        <v/>
      </c>
      <c r="AG2403" s="55">
        <f>IF(AF2403=1,EOMONTH(AE2403,0),"")</f>
        <v/>
      </c>
      <c r="AH2403" s="9">
        <f>IF(AF2403=1,UPPER(TRIM(IFERROR(INDEX($A2403:$AB2403,MATCH("Client",$A$1:$AB$1,0)),"")&amp;"")),"")</f>
        <v/>
      </c>
      <c r="AI2403" s="9">
        <f>IF(AF2403=1,IFERROR(INDEX($A2403:$AB2403,MATCH("Cost Centre",$A$1:$AB$1,0)),"")&amp;"","")</f>
        <v/>
      </c>
      <c r="AJ2403" s="54">
        <f>IF(AND(AF2403=1,AE2403&gt;=set_FYStart,AE2403&lt;=set_AsAt),1,0)</f>
        <v/>
      </c>
      <c r="AK2403" s="54">
        <f>IF(AND(AJ2403=1,AH2403&lt;&gt;"",COUNTIFS($AH$2:AH2403,AH2403,$AJ$2:AJ2403,1)=1),N(AL2402)+1,"")</f>
        <v/>
      </c>
      <c r="AL2403" s="54">
        <f>IF(AK2403&lt;&gt;"",AK2403,N(AL2402))</f>
        <v/>
      </c>
    </row>
    <row r="2404">
      <c r="A2404" t="inlineStr">
        <is>
          <t>CON-0801</t>
        </is>
      </c>
      <c r="B2404" t="inlineStr">
        <is>
          <t>Consulting</t>
        </is>
      </c>
      <c r="AB2404" t="n">
        <v>801</v>
      </c>
      <c r="AD2404" s="52">
        <f>IFERROR(N(IFERROR(INDEX($A2404:$AB2404,MATCH("Xero Invoiced Ex GST",$A$1:$AB$1,0)),"")),0)</f>
        <v/>
      </c>
      <c r="AE2404" s="53">
        <f>IFERROR(INDEX($A2404:$AB2404,MATCH("Xero Invoice Date",$A$1:$AB$1,0)),"")</f>
        <v/>
      </c>
      <c r="AF2404" s="54">
        <f>IF(AND(IFERROR(INDEX($A2404:$AB2404,MATCH("Xero Invoice No",$A$1:$AB$1,0)),"")&amp;""&lt;&gt;"",ISNUMBER(AE2404),AD2404&lt;&gt;0),1,0)</f>
        <v/>
      </c>
      <c r="AG2404" s="55">
        <f>IF(AF2404=1,EOMONTH(AE2404,0),"")</f>
        <v/>
      </c>
      <c r="AH2404" s="9">
        <f>IF(AF2404=1,UPPER(TRIM(IFERROR(INDEX($A2404:$AB2404,MATCH("Client",$A$1:$AB$1,0)),"")&amp;"")),"")</f>
        <v/>
      </c>
      <c r="AI2404" s="9">
        <f>IF(AF2404=1,IFERROR(INDEX($A2404:$AB2404,MATCH("Cost Centre",$A$1:$AB$1,0)),"")&amp;"","")</f>
        <v/>
      </c>
      <c r="AJ2404" s="54">
        <f>IF(AND(AF2404=1,AE2404&gt;=set_FYStart,AE2404&lt;=set_AsAt),1,0)</f>
        <v/>
      </c>
      <c r="AK2404" s="54">
        <f>IF(AND(AJ2404=1,AH2404&lt;&gt;"",COUNTIFS($AH$2:AH2404,AH2404,$AJ$2:AJ2404,1)=1),N(AL2403)+1,"")</f>
        <v/>
      </c>
      <c r="AL2404" s="54">
        <f>IF(AK2404&lt;&gt;"",AK2404,N(AL2403))</f>
        <v/>
      </c>
    </row>
    <row r="2405">
      <c r="A2405" t="inlineStr">
        <is>
          <t>ONS-0802</t>
        </is>
      </c>
      <c r="B2405" t="inlineStr">
        <is>
          <t>Onsite</t>
        </is>
      </c>
      <c r="AB2405" t="n">
        <v>802</v>
      </c>
      <c r="AD2405" s="52">
        <f>IFERROR(N(IFERROR(INDEX($A2405:$AB2405,MATCH("Xero Invoiced Ex GST",$A$1:$AB$1,0)),"")),0)</f>
        <v/>
      </c>
      <c r="AE2405" s="53">
        <f>IFERROR(INDEX($A2405:$AB2405,MATCH("Xero Invoice Date",$A$1:$AB$1,0)),"")</f>
        <v/>
      </c>
      <c r="AF2405" s="54">
        <f>IF(AND(IFERROR(INDEX($A2405:$AB2405,MATCH("Xero Invoice No",$A$1:$AB$1,0)),"")&amp;""&lt;&gt;"",ISNUMBER(AE2405),AD2405&lt;&gt;0),1,0)</f>
        <v/>
      </c>
      <c r="AG2405" s="55">
        <f>IF(AF2405=1,EOMONTH(AE2405,0),"")</f>
        <v/>
      </c>
      <c r="AH2405" s="9">
        <f>IF(AF2405=1,UPPER(TRIM(IFERROR(INDEX($A2405:$AB2405,MATCH("Client",$A$1:$AB$1,0)),"")&amp;"")),"")</f>
        <v/>
      </c>
      <c r="AI2405" s="9">
        <f>IF(AF2405=1,IFERROR(INDEX($A2405:$AB2405,MATCH("Cost Centre",$A$1:$AB$1,0)),"")&amp;"","")</f>
        <v/>
      </c>
      <c r="AJ2405" s="54">
        <f>IF(AND(AF2405=1,AE2405&gt;=set_FYStart,AE2405&lt;=set_AsAt),1,0)</f>
        <v/>
      </c>
      <c r="AK2405" s="54">
        <f>IF(AND(AJ2405=1,AH2405&lt;&gt;"",COUNTIFS($AH$2:AH2405,AH2405,$AJ$2:AJ2405,1)=1),N(AL2404)+1,"")</f>
        <v/>
      </c>
      <c r="AL2405" s="54">
        <f>IF(AK2405&lt;&gt;"",AK2405,N(AL2404))</f>
        <v/>
      </c>
    </row>
    <row r="2406">
      <c r="A2406" t="inlineStr">
        <is>
          <t>PRD-0802</t>
        </is>
      </c>
      <c r="B2406" t="inlineStr">
        <is>
          <t>Production</t>
        </is>
      </c>
      <c r="AB2406" t="n">
        <v>802</v>
      </c>
      <c r="AD2406" s="52">
        <f>IFERROR(N(IFERROR(INDEX($A2406:$AB2406,MATCH("Xero Invoiced Ex GST",$A$1:$AB$1,0)),"")),0)</f>
        <v/>
      </c>
      <c r="AE2406" s="53">
        <f>IFERROR(INDEX($A2406:$AB2406,MATCH("Xero Invoice Date",$A$1:$AB$1,0)),"")</f>
        <v/>
      </c>
      <c r="AF2406" s="54">
        <f>IF(AND(IFERROR(INDEX($A2406:$AB2406,MATCH("Xero Invoice No",$A$1:$AB$1,0)),"")&amp;""&lt;&gt;"",ISNUMBER(AE2406),AD2406&lt;&gt;0),1,0)</f>
        <v/>
      </c>
      <c r="AG2406" s="55">
        <f>IF(AF2406=1,EOMONTH(AE2406,0),"")</f>
        <v/>
      </c>
      <c r="AH2406" s="9">
        <f>IF(AF2406=1,UPPER(TRIM(IFERROR(INDEX($A2406:$AB2406,MATCH("Client",$A$1:$AB$1,0)),"")&amp;"")),"")</f>
        <v/>
      </c>
      <c r="AI2406" s="9">
        <f>IF(AF2406=1,IFERROR(INDEX($A2406:$AB2406,MATCH("Cost Centre",$A$1:$AB$1,0)),"")&amp;"","")</f>
        <v/>
      </c>
      <c r="AJ2406" s="54">
        <f>IF(AND(AF2406=1,AE2406&gt;=set_FYStart,AE2406&lt;=set_AsAt),1,0)</f>
        <v/>
      </c>
      <c r="AK2406" s="54">
        <f>IF(AND(AJ2406=1,AH2406&lt;&gt;"",COUNTIFS($AH$2:AH2406,AH2406,$AJ$2:AJ2406,1)=1),N(AL2405)+1,"")</f>
        <v/>
      </c>
      <c r="AL2406" s="54">
        <f>IF(AK2406&lt;&gt;"",AK2406,N(AL2405))</f>
        <v/>
      </c>
    </row>
    <row r="2407">
      <c r="A2407" t="inlineStr">
        <is>
          <t>CON-0802</t>
        </is>
      </c>
      <c r="B2407" t="inlineStr">
        <is>
          <t>Consulting</t>
        </is>
      </c>
      <c r="AB2407" t="n">
        <v>802</v>
      </c>
      <c r="AD2407" s="52">
        <f>IFERROR(N(IFERROR(INDEX($A2407:$AB2407,MATCH("Xero Invoiced Ex GST",$A$1:$AB$1,0)),"")),0)</f>
        <v/>
      </c>
      <c r="AE2407" s="53">
        <f>IFERROR(INDEX($A2407:$AB2407,MATCH("Xero Invoice Date",$A$1:$AB$1,0)),"")</f>
        <v/>
      </c>
      <c r="AF2407" s="54">
        <f>IF(AND(IFERROR(INDEX($A2407:$AB2407,MATCH("Xero Invoice No",$A$1:$AB$1,0)),"")&amp;""&lt;&gt;"",ISNUMBER(AE2407),AD2407&lt;&gt;0),1,0)</f>
        <v/>
      </c>
      <c r="AG2407" s="55">
        <f>IF(AF2407=1,EOMONTH(AE2407,0),"")</f>
        <v/>
      </c>
      <c r="AH2407" s="9">
        <f>IF(AF2407=1,UPPER(TRIM(IFERROR(INDEX($A2407:$AB2407,MATCH("Client",$A$1:$AB$1,0)),"")&amp;"")),"")</f>
        <v/>
      </c>
      <c r="AI2407" s="9">
        <f>IF(AF2407=1,IFERROR(INDEX($A2407:$AB2407,MATCH("Cost Centre",$A$1:$AB$1,0)),"")&amp;"","")</f>
        <v/>
      </c>
      <c r="AJ2407" s="54">
        <f>IF(AND(AF2407=1,AE2407&gt;=set_FYStart,AE2407&lt;=set_AsAt),1,0)</f>
        <v/>
      </c>
      <c r="AK2407" s="54">
        <f>IF(AND(AJ2407=1,AH2407&lt;&gt;"",COUNTIFS($AH$2:AH2407,AH2407,$AJ$2:AJ2407,1)=1),N(AL2406)+1,"")</f>
        <v/>
      </c>
      <c r="AL2407" s="54">
        <f>IF(AK2407&lt;&gt;"",AK2407,N(AL2406))</f>
        <v/>
      </c>
    </row>
    <row r="2408">
      <c r="A2408" t="inlineStr">
        <is>
          <t>ONS-0803</t>
        </is>
      </c>
      <c r="B2408" t="inlineStr">
        <is>
          <t>Onsite</t>
        </is>
      </c>
      <c r="AB2408" t="n">
        <v>803</v>
      </c>
      <c r="AD2408" s="52">
        <f>IFERROR(N(IFERROR(INDEX($A2408:$AB2408,MATCH("Xero Invoiced Ex GST",$A$1:$AB$1,0)),"")),0)</f>
        <v/>
      </c>
      <c r="AE2408" s="53">
        <f>IFERROR(INDEX($A2408:$AB2408,MATCH("Xero Invoice Date",$A$1:$AB$1,0)),"")</f>
        <v/>
      </c>
      <c r="AF2408" s="54">
        <f>IF(AND(IFERROR(INDEX($A2408:$AB2408,MATCH("Xero Invoice No",$A$1:$AB$1,0)),"")&amp;""&lt;&gt;"",ISNUMBER(AE2408),AD2408&lt;&gt;0),1,0)</f>
        <v/>
      </c>
      <c r="AG2408" s="55">
        <f>IF(AF2408=1,EOMONTH(AE2408,0),"")</f>
        <v/>
      </c>
      <c r="AH2408" s="9">
        <f>IF(AF2408=1,UPPER(TRIM(IFERROR(INDEX($A2408:$AB2408,MATCH("Client",$A$1:$AB$1,0)),"")&amp;"")),"")</f>
        <v/>
      </c>
      <c r="AI2408" s="9">
        <f>IF(AF2408=1,IFERROR(INDEX($A2408:$AB2408,MATCH("Cost Centre",$A$1:$AB$1,0)),"")&amp;"","")</f>
        <v/>
      </c>
      <c r="AJ2408" s="54">
        <f>IF(AND(AF2408=1,AE2408&gt;=set_FYStart,AE2408&lt;=set_AsAt),1,0)</f>
        <v/>
      </c>
      <c r="AK2408" s="54">
        <f>IF(AND(AJ2408=1,AH2408&lt;&gt;"",COUNTIFS($AH$2:AH2408,AH2408,$AJ$2:AJ2408,1)=1),N(AL2407)+1,"")</f>
        <v/>
      </c>
      <c r="AL2408" s="54">
        <f>IF(AK2408&lt;&gt;"",AK2408,N(AL2407))</f>
        <v/>
      </c>
    </row>
    <row r="2409">
      <c r="A2409" t="inlineStr">
        <is>
          <t>PRD-0803</t>
        </is>
      </c>
      <c r="B2409" t="inlineStr">
        <is>
          <t>Production</t>
        </is>
      </c>
      <c r="AB2409" t="n">
        <v>803</v>
      </c>
      <c r="AD2409" s="52">
        <f>IFERROR(N(IFERROR(INDEX($A2409:$AB2409,MATCH("Xero Invoiced Ex GST",$A$1:$AB$1,0)),"")),0)</f>
        <v/>
      </c>
      <c r="AE2409" s="53">
        <f>IFERROR(INDEX($A2409:$AB2409,MATCH("Xero Invoice Date",$A$1:$AB$1,0)),"")</f>
        <v/>
      </c>
      <c r="AF2409" s="54">
        <f>IF(AND(IFERROR(INDEX($A2409:$AB2409,MATCH("Xero Invoice No",$A$1:$AB$1,0)),"")&amp;""&lt;&gt;"",ISNUMBER(AE2409),AD2409&lt;&gt;0),1,0)</f>
        <v/>
      </c>
      <c r="AG2409" s="55">
        <f>IF(AF2409=1,EOMONTH(AE2409,0),"")</f>
        <v/>
      </c>
      <c r="AH2409" s="9">
        <f>IF(AF2409=1,UPPER(TRIM(IFERROR(INDEX($A2409:$AB2409,MATCH("Client",$A$1:$AB$1,0)),"")&amp;"")),"")</f>
        <v/>
      </c>
      <c r="AI2409" s="9">
        <f>IF(AF2409=1,IFERROR(INDEX($A2409:$AB2409,MATCH("Cost Centre",$A$1:$AB$1,0)),"")&amp;"","")</f>
        <v/>
      </c>
      <c r="AJ2409" s="54">
        <f>IF(AND(AF2409=1,AE2409&gt;=set_FYStart,AE2409&lt;=set_AsAt),1,0)</f>
        <v/>
      </c>
      <c r="AK2409" s="54">
        <f>IF(AND(AJ2409=1,AH2409&lt;&gt;"",COUNTIFS($AH$2:AH2409,AH2409,$AJ$2:AJ2409,1)=1),N(AL2408)+1,"")</f>
        <v/>
      </c>
      <c r="AL2409" s="54">
        <f>IF(AK2409&lt;&gt;"",AK2409,N(AL2408))</f>
        <v/>
      </c>
    </row>
    <row r="2410">
      <c r="A2410" t="inlineStr">
        <is>
          <t>CON-0803</t>
        </is>
      </c>
      <c r="B2410" t="inlineStr">
        <is>
          <t>Consulting</t>
        </is>
      </c>
      <c r="AB2410" t="n">
        <v>803</v>
      </c>
      <c r="AD2410" s="52">
        <f>IFERROR(N(IFERROR(INDEX($A2410:$AB2410,MATCH("Xero Invoiced Ex GST",$A$1:$AB$1,0)),"")),0)</f>
        <v/>
      </c>
      <c r="AE2410" s="53">
        <f>IFERROR(INDEX($A2410:$AB2410,MATCH("Xero Invoice Date",$A$1:$AB$1,0)),"")</f>
        <v/>
      </c>
      <c r="AF2410" s="54">
        <f>IF(AND(IFERROR(INDEX($A2410:$AB2410,MATCH("Xero Invoice No",$A$1:$AB$1,0)),"")&amp;""&lt;&gt;"",ISNUMBER(AE2410),AD2410&lt;&gt;0),1,0)</f>
        <v/>
      </c>
      <c r="AG2410" s="55">
        <f>IF(AF2410=1,EOMONTH(AE2410,0),"")</f>
        <v/>
      </c>
      <c r="AH2410" s="9">
        <f>IF(AF2410=1,UPPER(TRIM(IFERROR(INDEX($A2410:$AB2410,MATCH("Client",$A$1:$AB$1,0)),"")&amp;"")),"")</f>
        <v/>
      </c>
      <c r="AI2410" s="9">
        <f>IF(AF2410=1,IFERROR(INDEX($A2410:$AB2410,MATCH("Cost Centre",$A$1:$AB$1,0)),"")&amp;"","")</f>
        <v/>
      </c>
      <c r="AJ2410" s="54">
        <f>IF(AND(AF2410=1,AE2410&gt;=set_FYStart,AE2410&lt;=set_AsAt),1,0)</f>
        <v/>
      </c>
      <c r="AK2410" s="54">
        <f>IF(AND(AJ2410=1,AH2410&lt;&gt;"",COUNTIFS($AH$2:AH2410,AH2410,$AJ$2:AJ2410,1)=1),N(AL2409)+1,"")</f>
        <v/>
      </c>
      <c r="AL2410" s="54">
        <f>IF(AK2410&lt;&gt;"",AK2410,N(AL2409))</f>
        <v/>
      </c>
    </row>
    <row r="2411">
      <c r="A2411" t="inlineStr">
        <is>
          <t>ONS-0804</t>
        </is>
      </c>
      <c r="B2411" t="inlineStr">
        <is>
          <t>Onsite</t>
        </is>
      </c>
      <c r="AB2411" t="n">
        <v>804</v>
      </c>
      <c r="AD2411" s="52">
        <f>IFERROR(N(IFERROR(INDEX($A2411:$AB2411,MATCH("Xero Invoiced Ex GST",$A$1:$AB$1,0)),"")),0)</f>
        <v/>
      </c>
      <c r="AE2411" s="53">
        <f>IFERROR(INDEX($A2411:$AB2411,MATCH("Xero Invoice Date",$A$1:$AB$1,0)),"")</f>
        <v/>
      </c>
      <c r="AF2411" s="54">
        <f>IF(AND(IFERROR(INDEX($A2411:$AB2411,MATCH("Xero Invoice No",$A$1:$AB$1,0)),"")&amp;""&lt;&gt;"",ISNUMBER(AE2411),AD2411&lt;&gt;0),1,0)</f>
        <v/>
      </c>
      <c r="AG2411" s="55">
        <f>IF(AF2411=1,EOMONTH(AE2411,0),"")</f>
        <v/>
      </c>
      <c r="AH2411" s="9">
        <f>IF(AF2411=1,UPPER(TRIM(IFERROR(INDEX($A2411:$AB2411,MATCH("Client",$A$1:$AB$1,0)),"")&amp;"")),"")</f>
        <v/>
      </c>
      <c r="AI2411" s="9">
        <f>IF(AF2411=1,IFERROR(INDEX($A2411:$AB2411,MATCH("Cost Centre",$A$1:$AB$1,0)),"")&amp;"","")</f>
        <v/>
      </c>
      <c r="AJ2411" s="54">
        <f>IF(AND(AF2411=1,AE2411&gt;=set_FYStart,AE2411&lt;=set_AsAt),1,0)</f>
        <v/>
      </c>
      <c r="AK2411" s="54">
        <f>IF(AND(AJ2411=1,AH2411&lt;&gt;"",COUNTIFS($AH$2:AH2411,AH2411,$AJ$2:AJ2411,1)=1),N(AL2410)+1,"")</f>
        <v/>
      </c>
      <c r="AL2411" s="54">
        <f>IF(AK2411&lt;&gt;"",AK2411,N(AL2410))</f>
        <v/>
      </c>
    </row>
    <row r="2412">
      <c r="A2412" t="inlineStr">
        <is>
          <t>PRD-0804</t>
        </is>
      </c>
      <c r="B2412" t="inlineStr">
        <is>
          <t>Production</t>
        </is>
      </c>
      <c r="AB2412" t="n">
        <v>804</v>
      </c>
      <c r="AD2412" s="52">
        <f>IFERROR(N(IFERROR(INDEX($A2412:$AB2412,MATCH("Xero Invoiced Ex GST",$A$1:$AB$1,0)),"")),0)</f>
        <v/>
      </c>
      <c r="AE2412" s="53">
        <f>IFERROR(INDEX($A2412:$AB2412,MATCH("Xero Invoice Date",$A$1:$AB$1,0)),"")</f>
        <v/>
      </c>
      <c r="AF2412" s="54">
        <f>IF(AND(IFERROR(INDEX($A2412:$AB2412,MATCH("Xero Invoice No",$A$1:$AB$1,0)),"")&amp;""&lt;&gt;"",ISNUMBER(AE2412),AD2412&lt;&gt;0),1,0)</f>
        <v/>
      </c>
      <c r="AG2412" s="55">
        <f>IF(AF2412=1,EOMONTH(AE2412,0),"")</f>
        <v/>
      </c>
      <c r="AH2412" s="9">
        <f>IF(AF2412=1,UPPER(TRIM(IFERROR(INDEX($A2412:$AB2412,MATCH("Client",$A$1:$AB$1,0)),"")&amp;"")),"")</f>
        <v/>
      </c>
      <c r="AI2412" s="9">
        <f>IF(AF2412=1,IFERROR(INDEX($A2412:$AB2412,MATCH("Cost Centre",$A$1:$AB$1,0)),"")&amp;"","")</f>
        <v/>
      </c>
      <c r="AJ2412" s="54">
        <f>IF(AND(AF2412=1,AE2412&gt;=set_FYStart,AE2412&lt;=set_AsAt),1,0)</f>
        <v/>
      </c>
      <c r="AK2412" s="54">
        <f>IF(AND(AJ2412=1,AH2412&lt;&gt;"",COUNTIFS($AH$2:AH2412,AH2412,$AJ$2:AJ2412,1)=1),N(AL2411)+1,"")</f>
        <v/>
      </c>
      <c r="AL2412" s="54">
        <f>IF(AK2412&lt;&gt;"",AK2412,N(AL2411))</f>
        <v/>
      </c>
    </row>
    <row r="2413">
      <c r="A2413" t="inlineStr">
        <is>
          <t>CON-0804</t>
        </is>
      </c>
      <c r="B2413" t="inlineStr">
        <is>
          <t>Consulting</t>
        </is>
      </c>
      <c r="AB2413" t="n">
        <v>804</v>
      </c>
      <c r="AD2413" s="52">
        <f>IFERROR(N(IFERROR(INDEX($A2413:$AB2413,MATCH("Xero Invoiced Ex GST",$A$1:$AB$1,0)),"")),0)</f>
        <v/>
      </c>
      <c r="AE2413" s="53">
        <f>IFERROR(INDEX($A2413:$AB2413,MATCH("Xero Invoice Date",$A$1:$AB$1,0)),"")</f>
        <v/>
      </c>
      <c r="AF2413" s="54">
        <f>IF(AND(IFERROR(INDEX($A2413:$AB2413,MATCH("Xero Invoice No",$A$1:$AB$1,0)),"")&amp;""&lt;&gt;"",ISNUMBER(AE2413),AD2413&lt;&gt;0),1,0)</f>
        <v/>
      </c>
      <c r="AG2413" s="55">
        <f>IF(AF2413=1,EOMONTH(AE2413,0),"")</f>
        <v/>
      </c>
      <c r="AH2413" s="9">
        <f>IF(AF2413=1,UPPER(TRIM(IFERROR(INDEX($A2413:$AB2413,MATCH("Client",$A$1:$AB$1,0)),"")&amp;"")),"")</f>
        <v/>
      </c>
      <c r="AI2413" s="9">
        <f>IF(AF2413=1,IFERROR(INDEX($A2413:$AB2413,MATCH("Cost Centre",$A$1:$AB$1,0)),"")&amp;"","")</f>
        <v/>
      </c>
      <c r="AJ2413" s="54">
        <f>IF(AND(AF2413=1,AE2413&gt;=set_FYStart,AE2413&lt;=set_AsAt),1,0)</f>
        <v/>
      </c>
      <c r="AK2413" s="54">
        <f>IF(AND(AJ2413=1,AH2413&lt;&gt;"",COUNTIFS($AH$2:AH2413,AH2413,$AJ$2:AJ2413,1)=1),N(AL2412)+1,"")</f>
        <v/>
      </c>
      <c r="AL2413" s="54">
        <f>IF(AK2413&lt;&gt;"",AK2413,N(AL2412))</f>
        <v/>
      </c>
    </row>
    <row r="2414">
      <c r="A2414" t="inlineStr">
        <is>
          <t>ONS-0805</t>
        </is>
      </c>
      <c r="B2414" t="inlineStr">
        <is>
          <t>Onsite</t>
        </is>
      </c>
      <c r="AB2414" t="n">
        <v>805</v>
      </c>
      <c r="AD2414" s="52">
        <f>IFERROR(N(IFERROR(INDEX($A2414:$AB2414,MATCH("Xero Invoiced Ex GST",$A$1:$AB$1,0)),"")),0)</f>
        <v/>
      </c>
      <c r="AE2414" s="53">
        <f>IFERROR(INDEX($A2414:$AB2414,MATCH("Xero Invoice Date",$A$1:$AB$1,0)),"")</f>
        <v/>
      </c>
      <c r="AF2414" s="54">
        <f>IF(AND(IFERROR(INDEX($A2414:$AB2414,MATCH("Xero Invoice No",$A$1:$AB$1,0)),"")&amp;""&lt;&gt;"",ISNUMBER(AE2414),AD2414&lt;&gt;0),1,0)</f>
        <v/>
      </c>
      <c r="AG2414" s="55">
        <f>IF(AF2414=1,EOMONTH(AE2414,0),"")</f>
        <v/>
      </c>
      <c r="AH2414" s="9">
        <f>IF(AF2414=1,UPPER(TRIM(IFERROR(INDEX($A2414:$AB2414,MATCH("Client",$A$1:$AB$1,0)),"")&amp;"")),"")</f>
        <v/>
      </c>
      <c r="AI2414" s="9">
        <f>IF(AF2414=1,IFERROR(INDEX($A2414:$AB2414,MATCH("Cost Centre",$A$1:$AB$1,0)),"")&amp;"","")</f>
        <v/>
      </c>
      <c r="AJ2414" s="54">
        <f>IF(AND(AF2414=1,AE2414&gt;=set_FYStart,AE2414&lt;=set_AsAt),1,0)</f>
        <v/>
      </c>
      <c r="AK2414" s="54">
        <f>IF(AND(AJ2414=1,AH2414&lt;&gt;"",COUNTIFS($AH$2:AH2414,AH2414,$AJ$2:AJ2414,1)=1),N(AL2413)+1,"")</f>
        <v/>
      </c>
      <c r="AL2414" s="54">
        <f>IF(AK2414&lt;&gt;"",AK2414,N(AL2413))</f>
        <v/>
      </c>
    </row>
    <row r="2415">
      <c r="A2415" t="inlineStr">
        <is>
          <t>PRD-0805</t>
        </is>
      </c>
      <c r="B2415" t="inlineStr">
        <is>
          <t>Production</t>
        </is>
      </c>
      <c r="AB2415" t="n">
        <v>805</v>
      </c>
      <c r="AD2415" s="52">
        <f>IFERROR(N(IFERROR(INDEX($A2415:$AB2415,MATCH("Xero Invoiced Ex GST",$A$1:$AB$1,0)),"")),0)</f>
        <v/>
      </c>
      <c r="AE2415" s="53">
        <f>IFERROR(INDEX($A2415:$AB2415,MATCH("Xero Invoice Date",$A$1:$AB$1,0)),"")</f>
        <v/>
      </c>
      <c r="AF2415" s="54">
        <f>IF(AND(IFERROR(INDEX($A2415:$AB2415,MATCH("Xero Invoice No",$A$1:$AB$1,0)),"")&amp;""&lt;&gt;"",ISNUMBER(AE2415),AD2415&lt;&gt;0),1,0)</f>
        <v/>
      </c>
      <c r="AG2415" s="55">
        <f>IF(AF2415=1,EOMONTH(AE2415,0),"")</f>
        <v/>
      </c>
      <c r="AH2415" s="9">
        <f>IF(AF2415=1,UPPER(TRIM(IFERROR(INDEX($A2415:$AB2415,MATCH("Client",$A$1:$AB$1,0)),"")&amp;"")),"")</f>
        <v/>
      </c>
      <c r="AI2415" s="9">
        <f>IF(AF2415=1,IFERROR(INDEX($A2415:$AB2415,MATCH("Cost Centre",$A$1:$AB$1,0)),"")&amp;"","")</f>
        <v/>
      </c>
      <c r="AJ2415" s="54">
        <f>IF(AND(AF2415=1,AE2415&gt;=set_FYStart,AE2415&lt;=set_AsAt),1,0)</f>
        <v/>
      </c>
      <c r="AK2415" s="54">
        <f>IF(AND(AJ2415=1,AH2415&lt;&gt;"",COUNTIFS($AH$2:AH2415,AH2415,$AJ$2:AJ2415,1)=1),N(AL2414)+1,"")</f>
        <v/>
      </c>
      <c r="AL2415" s="54">
        <f>IF(AK2415&lt;&gt;"",AK2415,N(AL2414))</f>
        <v/>
      </c>
    </row>
    <row r="2416">
      <c r="A2416" t="inlineStr">
        <is>
          <t>CON-0805</t>
        </is>
      </c>
      <c r="B2416" t="inlineStr">
        <is>
          <t>Consulting</t>
        </is>
      </c>
      <c r="AB2416" t="n">
        <v>805</v>
      </c>
      <c r="AD2416" s="52">
        <f>IFERROR(N(IFERROR(INDEX($A2416:$AB2416,MATCH("Xero Invoiced Ex GST",$A$1:$AB$1,0)),"")),0)</f>
        <v/>
      </c>
      <c r="AE2416" s="53">
        <f>IFERROR(INDEX($A2416:$AB2416,MATCH("Xero Invoice Date",$A$1:$AB$1,0)),"")</f>
        <v/>
      </c>
      <c r="AF2416" s="54">
        <f>IF(AND(IFERROR(INDEX($A2416:$AB2416,MATCH("Xero Invoice No",$A$1:$AB$1,0)),"")&amp;""&lt;&gt;"",ISNUMBER(AE2416),AD2416&lt;&gt;0),1,0)</f>
        <v/>
      </c>
      <c r="AG2416" s="55">
        <f>IF(AF2416=1,EOMONTH(AE2416,0),"")</f>
        <v/>
      </c>
      <c r="AH2416" s="9">
        <f>IF(AF2416=1,UPPER(TRIM(IFERROR(INDEX($A2416:$AB2416,MATCH("Client",$A$1:$AB$1,0)),"")&amp;"")),"")</f>
        <v/>
      </c>
      <c r="AI2416" s="9">
        <f>IF(AF2416=1,IFERROR(INDEX($A2416:$AB2416,MATCH("Cost Centre",$A$1:$AB$1,0)),"")&amp;"","")</f>
        <v/>
      </c>
      <c r="AJ2416" s="54">
        <f>IF(AND(AF2416=1,AE2416&gt;=set_FYStart,AE2416&lt;=set_AsAt),1,0)</f>
        <v/>
      </c>
      <c r="AK2416" s="54">
        <f>IF(AND(AJ2416=1,AH2416&lt;&gt;"",COUNTIFS($AH$2:AH2416,AH2416,$AJ$2:AJ2416,1)=1),N(AL2415)+1,"")</f>
        <v/>
      </c>
      <c r="AL2416" s="54">
        <f>IF(AK2416&lt;&gt;"",AK2416,N(AL2415))</f>
        <v/>
      </c>
    </row>
    <row r="2417">
      <c r="A2417" t="inlineStr">
        <is>
          <t>ONS-0806</t>
        </is>
      </c>
      <c r="B2417" t="inlineStr">
        <is>
          <t>Onsite</t>
        </is>
      </c>
      <c r="AB2417" t="n">
        <v>806</v>
      </c>
      <c r="AD2417" s="52">
        <f>IFERROR(N(IFERROR(INDEX($A2417:$AB2417,MATCH("Xero Invoiced Ex GST",$A$1:$AB$1,0)),"")),0)</f>
        <v/>
      </c>
      <c r="AE2417" s="53">
        <f>IFERROR(INDEX($A2417:$AB2417,MATCH("Xero Invoice Date",$A$1:$AB$1,0)),"")</f>
        <v/>
      </c>
      <c r="AF2417" s="54">
        <f>IF(AND(IFERROR(INDEX($A2417:$AB2417,MATCH("Xero Invoice No",$A$1:$AB$1,0)),"")&amp;""&lt;&gt;"",ISNUMBER(AE2417),AD2417&lt;&gt;0),1,0)</f>
        <v/>
      </c>
      <c r="AG2417" s="55">
        <f>IF(AF2417=1,EOMONTH(AE2417,0),"")</f>
        <v/>
      </c>
      <c r="AH2417" s="9">
        <f>IF(AF2417=1,UPPER(TRIM(IFERROR(INDEX($A2417:$AB2417,MATCH("Client",$A$1:$AB$1,0)),"")&amp;"")),"")</f>
        <v/>
      </c>
      <c r="AI2417" s="9">
        <f>IF(AF2417=1,IFERROR(INDEX($A2417:$AB2417,MATCH("Cost Centre",$A$1:$AB$1,0)),"")&amp;"","")</f>
        <v/>
      </c>
      <c r="AJ2417" s="54">
        <f>IF(AND(AF2417=1,AE2417&gt;=set_FYStart,AE2417&lt;=set_AsAt),1,0)</f>
        <v/>
      </c>
      <c r="AK2417" s="54">
        <f>IF(AND(AJ2417=1,AH2417&lt;&gt;"",COUNTIFS($AH$2:AH2417,AH2417,$AJ$2:AJ2417,1)=1),N(AL2416)+1,"")</f>
        <v/>
      </c>
      <c r="AL2417" s="54">
        <f>IF(AK2417&lt;&gt;"",AK2417,N(AL2416))</f>
        <v/>
      </c>
    </row>
    <row r="2418">
      <c r="A2418" t="inlineStr">
        <is>
          <t>PRD-0806</t>
        </is>
      </c>
      <c r="B2418" t="inlineStr">
        <is>
          <t>Production</t>
        </is>
      </c>
      <c r="AB2418" t="n">
        <v>806</v>
      </c>
      <c r="AD2418" s="52">
        <f>IFERROR(N(IFERROR(INDEX($A2418:$AB2418,MATCH("Xero Invoiced Ex GST",$A$1:$AB$1,0)),"")),0)</f>
        <v/>
      </c>
      <c r="AE2418" s="53">
        <f>IFERROR(INDEX($A2418:$AB2418,MATCH("Xero Invoice Date",$A$1:$AB$1,0)),"")</f>
        <v/>
      </c>
      <c r="AF2418" s="54">
        <f>IF(AND(IFERROR(INDEX($A2418:$AB2418,MATCH("Xero Invoice No",$A$1:$AB$1,0)),"")&amp;""&lt;&gt;"",ISNUMBER(AE2418),AD2418&lt;&gt;0),1,0)</f>
        <v/>
      </c>
      <c r="AG2418" s="55">
        <f>IF(AF2418=1,EOMONTH(AE2418,0),"")</f>
        <v/>
      </c>
      <c r="AH2418" s="9">
        <f>IF(AF2418=1,UPPER(TRIM(IFERROR(INDEX($A2418:$AB2418,MATCH("Client",$A$1:$AB$1,0)),"")&amp;"")),"")</f>
        <v/>
      </c>
      <c r="AI2418" s="9">
        <f>IF(AF2418=1,IFERROR(INDEX($A2418:$AB2418,MATCH("Cost Centre",$A$1:$AB$1,0)),"")&amp;"","")</f>
        <v/>
      </c>
      <c r="AJ2418" s="54">
        <f>IF(AND(AF2418=1,AE2418&gt;=set_FYStart,AE2418&lt;=set_AsAt),1,0)</f>
        <v/>
      </c>
      <c r="AK2418" s="54">
        <f>IF(AND(AJ2418=1,AH2418&lt;&gt;"",COUNTIFS($AH$2:AH2418,AH2418,$AJ$2:AJ2418,1)=1),N(AL2417)+1,"")</f>
        <v/>
      </c>
      <c r="AL2418" s="54">
        <f>IF(AK2418&lt;&gt;"",AK2418,N(AL2417))</f>
        <v/>
      </c>
    </row>
    <row r="2419">
      <c r="A2419" t="inlineStr">
        <is>
          <t>CON-0806</t>
        </is>
      </c>
      <c r="B2419" t="inlineStr">
        <is>
          <t>Consulting</t>
        </is>
      </c>
      <c r="AB2419" t="n">
        <v>806</v>
      </c>
      <c r="AD2419" s="52">
        <f>IFERROR(N(IFERROR(INDEX($A2419:$AB2419,MATCH("Xero Invoiced Ex GST",$A$1:$AB$1,0)),"")),0)</f>
        <v/>
      </c>
      <c r="AE2419" s="53">
        <f>IFERROR(INDEX($A2419:$AB2419,MATCH("Xero Invoice Date",$A$1:$AB$1,0)),"")</f>
        <v/>
      </c>
      <c r="AF2419" s="54">
        <f>IF(AND(IFERROR(INDEX($A2419:$AB2419,MATCH("Xero Invoice No",$A$1:$AB$1,0)),"")&amp;""&lt;&gt;"",ISNUMBER(AE2419),AD2419&lt;&gt;0),1,0)</f>
        <v/>
      </c>
      <c r="AG2419" s="55">
        <f>IF(AF2419=1,EOMONTH(AE2419,0),"")</f>
        <v/>
      </c>
      <c r="AH2419" s="9">
        <f>IF(AF2419=1,UPPER(TRIM(IFERROR(INDEX($A2419:$AB2419,MATCH("Client",$A$1:$AB$1,0)),"")&amp;"")),"")</f>
        <v/>
      </c>
      <c r="AI2419" s="9">
        <f>IF(AF2419=1,IFERROR(INDEX($A2419:$AB2419,MATCH("Cost Centre",$A$1:$AB$1,0)),"")&amp;"","")</f>
        <v/>
      </c>
      <c r="AJ2419" s="54">
        <f>IF(AND(AF2419=1,AE2419&gt;=set_FYStart,AE2419&lt;=set_AsAt),1,0)</f>
        <v/>
      </c>
      <c r="AK2419" s="54">
        <f>IF(AND(AJ2419=1,AH2419&lt;&gt;"",COUNTIFS($AH$2:AH2419,AH2419,$AJ$2:AJ2419,1)=1),N(AL2418)+1,"")</f>
        <v/>
      </c>
      <c r="AL2419" s="54">
        <f>IF(AK2419&lt;&gt;"",AK2419,N(AL2418))</f>
        <v/>
      </c>
    </row>
    <row r="2420">
      <c r="A2420" t="inlineStr">
        <is>
          <t>ONS-0807</t>
        </is>
      </c>
      <c r="B2420" t="inlineStr">
        <is>
          <t>Onsite</t>
        </is>
      </c>
      <c r="AB2420" t="n">
        <v>807</v>
      </c>
      <c r="AD2420" s="52">
        <f>IFERROR(N(IFERROR(INDEX($A2420:$AB2420,MATCH("Xero Invoiced Ex GST",$A$1:$AB$1,0)),"")),0)</f>
        <v/>
      </c>
      <c r="AE2420" s="53">
        <f>IFERROR(INDEX($A2420:$AB2420,MATCH("Xero Invoice Date",$A$1:$AB$1,0)),"")</f>
        <v/>
      </c>
      <c r="AF2420" s="54">
        <f>IF(AND(IFERROR(INDEX($A2420:$AB2420,MATCH("Xero Invoice No",$A$1:$AB$1,0)),"")&amp;""&lt;&gt;"",ISNUMBER(AE2420),AD2420&lt;&gt;0),1,0)</f>
        <v/>
      </c>
      <c r="AG2420" s="55">
        <f>IF(AF2420=1,EOMONTH(AE2420,0),"")</f>
        <v/>
      </c>
      <c r="AH2420" s="9">
        <f>IF(AF2420=1,UPPER(TRIM(IFERROR(INDEX($A2420:$AB2420,MATCH("Client",$A$1:$AB$1,0)),"")&amp;"")),"")</f>
        <v/>
      </c>
      <c r="AI2420" s="9">
        <f>IF(AF2420=1,IFERROR(INDEX($A2420:$AB2420,MATCH("Cost Centre",$A$1:$AB$1,0)),"")&amp;"","")</f>
        <v/>
      </c>
      <c r="AJ2420" s="54">
        <f>IF(AND(AF2420=1,AE2420&gt;=set_FYStart,AE2420&lt;=set_AsAt),1,0)</f>
        <v/>
      </c>
      <c r="AK2420" s="54">
        <f>IF(AND(AJ2420=1,AH2420&lt;&gt;"",COUNTIFS($AH$2:AH2420,AH2420,$AJ$2:AJ2420,1)=1),N(AL2419)+1,"")</f>
        <v/>
      </c>
      <c r="AL2420" s="54">
        <f>IF(AK2420&lt;&gt;"",AK2420,N(AL2419))</f>
        <v/>
      </c>
    </row>
    <row r="2421">
      <c r="A2421" t="inlineStr">
        <is>
          <t>PRD-0807</t>
        </is>
      </c>
      <c r="B2421" t="inlineStr">
        <is>
          <t>Production</t>
        </is>
      </c>
      <c r="AB2421" t="n">
        <v>807</v>
      </c>
      <c r="AD2421" s="52">
        <f>IFERROR(N(IFERROR(INDEX($A2421:$AB2421,MATCH("Xero Invoiced Ex GST",$A$1:$AB$1,0)),"")),0)</f>
        <v/>
      </c>
      <c r="AE2421" s="53">
        <f>IFERROR(INDEX($A2421:$AB2421,MATCH("Xero Invoice Date",$A$1:$AB$1,0)),"")</f>
        <v/>
      </c>
      <c r="AF2421" s="54">
        <f>IF(AND(IFERROR(INDEX($A2421:$AB2421,MATCH("Xero Invoice No",$A$1:$AB$1,0)),"")&amp;""&lt;&gt;"",ISNUMBER(AE2421),AD2421&lt;&gt;0),1,0)</f>
        <v/>
      </c>
      <c r="AG2421" s="55">
        <f>IF(AF2421=1,EOMONTH(AE2421,0),"")</f>
        <v/>
      </c>
      <c r="AH2421" s="9">
        <f>IF(AF2421=1,UPPER(TRIM(IFERROR(INDEX($A2421:$AB2421,MATCH("Client",$A$1:$AB$1,0)),"")&amp;"")),"")</f>
        <v/>
      </c>
      <c r="AI2421" s="9">
        <f>IF(AF2421=1,IFERROR(INDEX($A2421:$AB2421,MATCH("Cost Centre",$A$1:$AB$1,0)),"")&amp;"","")</f>
        <v/>
      </c>
      <c r="AJ2421" s="54">
        <f>IF(AND(AF2421=1,AE2421&gt;=set_FYStart,AE2421&lt;=set_AsAt),1,0)</f>
        <v/>
      </c>
      <c r="AK2421" s="54">
        <f>IF(AND(AJ2421=1,AH2421&lt;&gt;"",COUNTIFS($AH$2:AH2421,AH2421,$AJ$2:AJ2421,1)=1),N(AL2420)+1,"")</f>
        <v/>
      </c>
      <c r="AL2421" s="54">
        <f>IF(AK2421&lt;&gt;"",AK2421,N(AL2420))</f>
        <v/>
      </c>
    </row>
    <row r="2422">
      <c r="A2422" t="inlineStr">
        <is>
          <t>CON-0807</t>
        </is>
      </c>
      <c r="B2422" t="inlineStr">
        <is>
          <t>Consulting</t>
        </is>
      </c>
      <c r="AB2422" t="n">
        <v>807</v>
      </c>
      <c r="AD2422" s="52">
        <f>IFERROR(N(IFERROR(INDEX($A2422:$AB2422,MATCH("Xero Invoiced Ex GST",$A$1:$AB$1,0)),"")),0)</f>
        <v/>
      </c>
      <c r="AE2422" s="53">
        <f>IFERROR(INDEX($A2422:$AB2422,MATCH("Xero Invoice Date",$A$1:$AB$1,0)),"")</f>
        <v/>
      </c>
      <c r="AF2422" s="54">
        <f>IF(AND(IFERROR(INDEX($A2422:$AB2422,MATCH("Xero Invoice No",$A$1:$AB$1,0)),"")&amp;""&lt;&gt;"",ISNUMBER(AE2422),AD2422&lt;&gt;0),1,0)</f>
        <v/>
      </c>
      <c r="AG2422" s="55">
        <f>IF(AF2422=1,EOMONTH(AE2422,0),"")</f>
        <v/>
      </c>
      <c r="AH2422" s="9">
        <f>IF(AF2422=1,UPPER(TRIM(IFERROR(INDEX($A2422:$AB2422,MATCH("Client",$A$1:$AB$1,0)),"")&amp;"")),"")</f>
        <v/>
      </c>
      <c r="AI2422" s="9">
        <f>IF(AF2422=1,IFERROR(INDEX($A2422:$AB2422,MATCH("Cost Centre",$A$1:$AB$1,0)),"")&amp;"","")</f>
        <v/>
      </c>
      <c r="AJ2422" s="54">
        <f>IF(AND(AF2422=1,AE2422&gt;=set_FYStart,AE2422&lt;=set_AsAt),1,0)</f>
        <v/>
      </c>
      <c r="AK2422" s="54">
        <f>IF(AND(AJ2422=1,AH2422&lt;&gt;"",COUNTIFS($AH$2:AH2422,AH2422,$AJ$2:AJ2422,1)=1),N(AL2421)+1,"")</f>
        <v/>
      </c>
      <c r="AL2422" s="54">
        <f>IF(AK2422&lt;&gt;"",AK2422,N(AL2421))</f>
        <v/>
      </c>
    </row>
    <row r="2423">
      <c r="A2423" t="inlineStr">
        <is>
          <t>ONS-0808</t>
        </is>
      </c>
      <c r="B2423" t="inlineStr">
        <is>
          <t>Onsite</t>
        </is>
      </c>
      <c r="AB2423" t="n">
        <v>808</v>
      </c>
      <c r="AD2423" s="52">
        <f>IFERROR(N(IFERROR(INDEX($A2423:$AB2423,MATCH("Xero Invoiced Ex GST",$A$1:$AB$1,0)),"")),0)</f>
        <v/>
      </c>
      <c r="AE2423" s="53">
        <f>IFERROR(INDEX($A2423:$AB2423,MATCH("Xero Invoice Date",$A$1:$AB$1,0)),"")</f>
        <v/>
      </c>
      <c r="AF2423" s="54">
        <f>IF(AND(IFERROR(INDEX($A2423:$AB2423,MATCH("Xero Invoice No",$A$1:$AB$1,0)),"")&amp;""&lt;&gt;"",ISNUMBER(AE2423),AD2423&lt;&gt;0),1,0)</f>
        <v/>
      </c>
      <c r="AG2423" s="55">
        <f>IF(AF2423=1,EOMONTH(AE2423,0),"")</f>
        <v/>
      </c>
      <c r="AH2423" s="9">
        <f>IF(AF2423=1,UPPER(TRIM(IFERROR(INDEX($A2423:$AB2423,MATCH("Client",$A$1:$AB$1,0)),"")&amp;"")),"")</f>
        <v/>
      </c>
      <c r="AI2423" s="9">
        <f>IF(AF2423=1,IFERROR(INDEX($A2423:$AB2423,MATCH("Cost Centre",$A$1:$AB$1,0)),"")&amp;"","")</f>
        <v/>
      </c>
      <c r="AJ2423" s="54">
        <f>IF(AND(AF2423=1,AE2423&gt;=set_FYStart,AE2423&lt;=set_AsAt),1,0)</f>
        <v/>
      </c>
      <c r="AK2423" s="54">
        <f>IF(AND(AJ2423=1,AH2423&lt;&gt;"",COUNTIFS($AH$2:AH2423,AH2423,$AJ$2:AJ2423,1)=1),N(AL2422)+1,"")</f>
        <v/>
      </c>
      <c r="AL2423" s="54">
        <f>IF(AK2423&lt;&gt;"",AK2423,N(AL2422))</f>
        <v/>
      </c>
    </row>
    <row r="2424">
      <c r="A2424" t="inlineStr">
        <is>
          <t>PRD-0808</t>
        </is>
      </c>
      <c r="B2424" t="inlineStr">
        <is>
          <t>Production</t>
        </is>
      </c>
      <c r="AB2424" t="n">
        <v>808</v>
      </c>
      <c r="AD2424" s="52">
        <f>IFERROR(N(IFERROR(INDEX($A2424:$AB2424,MATCH("Xero Invoiced Ex GST",$A$1:$AB$1,0)),"")),0)</f>
        <v/>
      </c>
      <c r="AE2424" s="53">
        <f>IFERROR(INDEX($A2424:$AB2424,MATCH("Xero Invoice Date",$A$1:$AB$1,0)),"")</f>
        <v/>
      </c>
      <c r="AF2424" s="54">
        <f>IF(AND(IFERROR(INDEX($A2424:$AB2424,MATCH("Xero Invoice No",$A$1:$AB$1,0)),"")&amp;""&lt;&gt;"",ISNUMBER(AE2424),AD2424&lt;&gt;0),1,0)</f>
        <v/>
      </c>
      <c r="AG2424" s="55">
        <f>IF(AF2424=1,EOMONTH(AE2424,0),"")</f>
        <v/>
      </c>
      <c r="AH2424" s="9">
        <f>IF(AF2424=1,UPPER(TRIM(IFERROR(INDEX($A2424:$AB2424,MATCH("Client",$A$1:$AB$1,0)),"")&amp;"")),"")</f>
        <v/>
      </c>
      <c r="AI2424" s="9">
        <f>IF(AF2424=1,IFERROR(INDEX($A2424:$AB2424,MATCH("Cost Centre",$A$1:$AB$1,0)),"")&amp;"","")</f>
        <v/>
      </c>
      <c r="AJ2424" s="54">
        <f>IF(AND(AF2424=1,AE2424&gt;=set_FYStart,AE2424&lt;=set_AsAt),1,0)</f>
        <v/>
      </c>
      <c r="AK2424" s="54">
        <f>IF(AND(AJ2424=1,AH2424&lt;&gt;"",COUNTIFS($AH$2:AH2424,AH2424,$AJ$2:AJ2424,1)=1),N(AL2423)+1,"")</f>
        <v/>
      </c>
      <c r="AL2424" s="54">
        <f>IF(AK2424&lt;&gt;"",AK2424,N(AL2423))</f>
        <v/>
      </c>
    </row>
    <row r="2425">
      <c r="A2425" t="inlineStr">
        <is>
          <t>CON-0808</t>
        </is>
      </c>
      <c r="B2425" t="inlineStr">
        <is>
          <t>Consulting</t>
        </is>
      </c>
      <c r="AB2425" t="n">
        <v>808</v>
      </c>
      <c r="AD2425" s="52">
        <f>IFERROR(N(IFERROR(INDEX($A2425:$AB2425,MATCH("Xero Invoiced Ex GST",$A$1:$AB$1,0)),"")),0)</f>
        <v/>
      </c>
      <c r="AE2425" s="53">
        <f>IFERROR(INDEX($A2425:$AB2425,MATCH("Xero Invoice Date",$A$1:$AB$1,0)),"")</f>
        <v/>
      </c>
      <c r="AF2425" s="54">
        <f>IF(AND(IFERROR(INDEX($A2425:$AB2425,MATCH("Xero Invoice No",$A$1:$AB$1,0)),"")&amp;""&lt;&gt;"",ISNUMBER(AE2425),AD2425&lt;&gt;0),1,0)</f>
        <v/>
      </c>
      <c r="AG2425" s="55">
        <f>IF(AF2425=1,EOMONTH(AE2425,0),"")</f>
        <v/>
      </c>
      <c r="AH2425" s="9">
        <f>IF(AF2425=1,UPPER(TRIM(IFERROR(INDEX($A2425:$AB2425,MATCH("Client",$A$1:$AB$1,0)),"")&amp;"")),"")</f>
        <v/>
      </c>
      <c r="AI2425" s="9">
        <f>IF(AF2425=1,IFERROR(INDEX($A2425:$AB2425,MATCH("Cost Centre",$A$1:$AB$1,0)),"")&amp;"","")</f>
        <v/>
      </c>
      <c r="AJ2425" s="54">
        <f>IF(AND(AF2425=1,AE2425&gt;=set_FYStart,AE2425&lt;=set_AsAt),1,0)</f>
        <v/>
      </c>
      <c r="AK2425" s="54">
        <f>IF(AND(AJ2425=1,AH2425&lt;&gt;"",COUNTIFS($AH$2:AH2425,AH2425,$AJ$2:AJ2425,1)=1),N(AL2424)+1,"")</f>
        <v/>
      </c>
      <c r="AL2425" s="54">
        <f>IF(AK2425&lt;&gt;"",AK2425,N(AL2424))</f>
        <v/>
      </c>
    </row>
    <row r="2426">
      <c r="A2426" t="inlineStr">
        <is>
          <t>ONS-0809</t>
        </is>
      </c>
      <c r="B2426" t="inlineStr">
        <is>
          <t>Onsite</t>
        </is>
      </c>
      <c r="AB2426" t="n">
        <v>809</v>
      </c>
      <c r="AD2426" s="52">
        <f>IFERROR(N(IFERROR(INDEX($A2426:$AB2426,MATCH("Xero Invoiced Ex GST",$A$1:$AB$1,0)),"")),0)</f>
        <v/>
      </c>
      <c r="AE2426" s="53">
        <f>IFERROR(INDEX($A2426:$AB2426,MATCH("Xero Invoice Date",$A$1:$AB$1,0)),"")</f>
        <v/>
      </c>
      <c r="AF2426" s="54">
        <f>IF(AND(IFERROR(INDEX($A2426:$AB2426,MATCH("Xero Invoice No",$A$1:$AB$1,0)),"")&amp;""&lt;&gt;"",ISNUMBER(AE2426),AD2426&lt;&gt;0),1,0)</f>
        <v/>
      </c>
      <c r="AG2426" s="55">
        <f>IF(AF2426=1,EOMONTH(AE2426,0),"")</f>
        <v/>
      </c>
      <c r="AH2426" s="9">
        <f>IF(AF2426=1,UPPER(TRIM(IFERROR(INDEX($A2426:$AB2426,MATCH("Client",$A$1:$AB$1,0)),"")&amp;"")),"")</f>
        <v/>
      </c>
      <c r="AI2426" s="9">
        <f>IF(AF2426=1,IFERROR(INDEX($A2426:$AB2426,MATCH("Cost Centre",$A$1:$AB$1,0)),"")&amp;"","")</f>
        <v/>
      </c>
      <c r="AJ2426" s="54">
        <f>IF(AND(AF2426=1,AE2426&gt;=set_FYStart,AE2426&lt;=set_AsAt),1,0)</f>
        <v/>
      </c>
      <c r="AK2426" s="54">
        <f>IF(AND(AJ2426=1,AH2426&lt;&gt;"",COUNTIFS($AH$2:AH2426,AH2426,$AJ$2:AJ2426,1)=1),N(AL2425)+1,"")</f>
        <v/>
      </c>
      <c r="AL2426" s="54">
        <f>IF(AK2426&lt;&gt;"",AK2426,N(AL2425))</f>
        <v/>
      </c>
    </row>
    <row r="2427">
      <c r="A2427" t="inlineStr">
        <is>
          <t>PRD-0809</t>
        </is>
      </c>
      <c r="B2427" t="inlineStr">
        <is>
          <t>Production</t>
        </is>
      </c>
      <c r="AB2427" t="n">
        <v>809</v>
      </c>
      <c r="AD2427" s="52">
        <f>IFERROR(N(IFERROR(INDEX($A2427:$AB2427,MATCH("Xero Invoiced Ex GST",$A$1:$AB$1,0)),"")),0)</f>
        <v/>
      </c>
      <c r="AE2427" s="53">
        <f>IFERROR(INDEX($A2427:$AB2427,MATCH("Xero Invoice Date",$A$1:$AB$1,0)),"")</f>
        <v/>
      </c>
      <c r="AF2427" s="54">
        <f>IF(AND(IFERROR(INDEX($A2427:$AB2427,MATCH("Xero Invoice No",$A$1:$AB$1,0)),"")&amp;""&lt;&gt;"",ISNUMBER(AE2427),AD2427&lt;&gt;0),1,0)</f>
        <v/>
      </c>
      <c r="AG2427" s="55">
        <f>IF(AF2427=1,EOMONTH(AE2427,0),"")</f>
        <v/>
      </c>
      <c r="AH2427" s="9">
        <f>IF(AF2427=1,UPPER(TRIM(IFERROR(INDEX($A2427:$AB2427,MATCH("Client",$A$1:$AB$1,0)),"")&amp;"")),"")</f>
        <v/>
      </c>
      <c r="AI2427" s="9">
        <f>IF(AF2427=1,IFERROR(INDEX($A2427:$AB2427,MATCH("Cost Centre",$A$1:$AB$1,0)),"")&amp;"","")</f>
        <v/>
      </c>
      <c r="AJ2427" s="54">
        <f>IF(AND(AF2427=1,AE2427&gt;=set_FYStart,AE2427&lt;=set_AsAt),1,0)</f>
        <v/>
      </c>
      <c r="AK2427" s="54">
        <f>IF(AND(AJ2427=1,AH2427&lt;&gt;"",COUNTIFS($AH$2:AH2427,AH2427,$AJ$2:AJ2427,1)=1),N(AL2426)+1,"")</f>
        <v/>
      </c>
      <c r="AL2427" s="54">
        <f>IF(AK2427&lt;&gt;"",AK2427,N(AL2426))</f>
        <v/>
      </c>
    </row>
    <row r="2428">
      <c r="A2428" t="inlineStr">
        <is>
          <t>CON-0809</t>
        </is>
      </c>
      <c r="B2428" t="inlineStr">
        <is>
          <t>Consulting</t>
        </is>
      </c>
      <c r="AB2428" t="n">
        <v>809</v>
      </c>
      <c r="AD2428" s="52">
        <f>IFERROR(N(IFERROR(INDEX($A2428:$AB2428,MATCH("Xero Invoiced Ex GST",$A$1:$AB$1,0)),"")),0)</f>
        <v/>
      </c>
      <c r="AE2428" s="53">
        <f>IFERROR(INDEX($A2428:$AB2428,MATCH("Xero Invoice Date",$A$1:$AB$1,0)),"")</f>
        <v/>
      </c>
      <c r="AF2428" s="54">
        <f>IF(AND(IFERROR(INDEX($A2428:$AB2428,MATCH("Xero Invoice No",$A$1:$AB$1,0)),"")&amp;""&lt;&gt;"",ISNUMBER(AE2428),AD2428&lt;&gt;0),1,0)</f>
        <v/>
      </c>
      <c r="AG2428" s="55">
        <f>IF(AF2428=1,EOMONTH(AE2428,0),"")</f>
        <v/>
      </c>
      <c r="AH2428" s="9">
        <f>IF(AF2428=1,UPPER(TRIM(IFERROR(INDEX($A2428:$AB2428,MATCH("Client",$A$1:$AB$1,0)),"")&amp;"")),"")</f>
        <v/>
      </c>
      <c r="AI2428" s="9">
        <f>IF(AF2428=1,IFERROR(INDEX($A2428:$AB2428,MATCH("Cost Centre",$A$1:$AB$1,0)),"")&amp;"","")</f>
        <v/>
      </c>
      <c r="AJ2428" s="54">
        <f>IF(AND(AF2428=1,AE2428&gt;=set_FYStart,AE2428&lt;=set_AsAt),1,0)</f>
        <v/>
      </c>
      <c r="AK2428" s="54">
        <f>IF(AND(AJ2428=1,AH2428&lt;&gt;"",COUNTIFS($AH$2:AH2428,AH2428,$AJ$2:AJ2428,1)=1),N(AL2427)+1,"")</f>
        <v/>
      </c>
      <c r="AL2428" s="54">
        <f>IF(AK2428&lt;&gt;"",AK2428,N(AL2427))</f>
        <v/>
      </c>
    </row>
    <row r="2429">
      <c r="A2429" t="inlineStr">
        <is>
          <t>ONS-0810</t>
        </is>
      </c>
      <c r="B2429" t="inlineStr">
        <is>
          <t>Onsite</t>
        </is>
      </c>
      <c r="AB2429" t="n">
        <v>810</v>
      </c>
      <c r="AD2429" s="52">
        <f>IFERROR(N(IFERROR(INDEX($A2429:$AB2429,MATCH("Xero Invoiced Ex GST",$A$1:$AB$1,0)),"")),0)</f>
        <v/>
      </c>
      <c r="AE2429" s="53">
        <f>IFERROR(INDEX($A2429:$AB2429,MATCH("Xero Invoice Date",$A$1:$AB$1,0)),"")</f>
        <v/>
      </c>
      <c r="AF2429" s="54">
        <f>IF(AND(IFERROR(INDEX($A2429:$AB2429,MATCH("Xero Invoice No",$A$1:$AB$1,0)),"")&amp;""&lt;&gt;"",ISNUMBER(AE2429),AD2429&lt;&gt;0),1,0)</f>
        <v/>
      </c>
      <c r="AG2429" s="55">
        <f>IF(AF2429=1,EOMONTH(AE2429,0),"")</f>
        <v/>
      </c>
      <c r="AH2429" s="9">
        <f>IF(AF2429=1,UPPER(TRIM(IFERROR(INDEX($A2429:$AB2429,MATCH("Client",$A$1:$AB$1,0)),"")&amp;"")),"")</f>
        <v/>
      </c>
      <c r="AI2429" s="9">
        <f>IF(AF2429=1,IFERROR(INDEX($A2429:$AB2429,MATCH("Cost Centre",$A$1:$AB$1,0)),"")&amp;"","")</f>
        <v/>
      </c>
      <c r="AJ2429" s="54">
        <f>IF(AND(AF2429=1,AE2429&gt;=set_FYStart,AE2429&lt;=set_AsAt),1,0)</f>
        <v/>
      </c>
      <c r="AK2429" s="54">
        <f>IF(AND(AJ2429=1,AH2429&lt;&gt;"",COUNTIFS($AH$2:AH2429,AH2429,$AJ$2:AJ2429,1)=1),N(AL2428)+1,"")</f>
        <v/>
      </c>
      <c r="AL2429" s="54">
        <f>IF(AK2429&lt;&gt;"",AK2429,N(AL2428))</f>
        <v/>
      </c>
    </row>
    <row r="2430">
      <c r="A2430" t="inlineStr">
        <is>
          <t>PRD-0810</t>
        </is>
      </c>
      <c r="B2430" t="inlineStr">
        <is>
          <t>Production</t>
        </is>
      </c>
      <c r="AB2430" t="n">
        <v>810</v>
      </c>
      <c r="AD2430" s="52">
        <f>IFERROR(N(IFERROR(INDEX($A2430:$AB2430,MATCH("Xero Invoiced Ex GST",$A$1:$AB$1,0)),"")),0)</f>
        <v/>
      </c>
      <c r="AE2430" s="53">
        <f>IFERROR(INDEX($A2430:$AB2430,MATCH("Xero Invoice Date",$A$1:$AB$1,0)),"")</f>
        <v/>
      </c>
      <c r="AF2430" s="54">
        <f>IF(AND(IFERROR(INDEX($A2430:$AB2430,MATCH("Xero Invoice No",$A$1:$AB$1,0)),"")&amp;""&lt;&gt;"",ISNUMBER(AE2430),AD2430&lt;&gt;0),1,0)</f>
        <v/>
      </c>
      <c r="AG2430" s="55">
        <f>IF(AF2430=1,EOMONTH(AE2430,0),"")</f>
        <v/>
      </c>
      <c r="AH2430" s="9">
        <f>IF(AF2430=1,UPPER(TRIM(IFERROR(INDEX($A2430:$AB2430,MATCH("Client",$A$1:$AB$1,0)),"")&amp;"")),"")</f>
        <v/>
      </c>
      <c r="AI2430" s="9">
        <f>IF(AF2430=1,IFERROR(INDEX($A2430:$AB2430,MATCH("Cost Centre",$A$1:$AB$1,0)),"")&amp;"","")</f>
        <v/>
      </c>
      <c r="AJ2430" s="54">
        <f>IF(AND(AF2430=1,AE2430&gt;=set_FYStart,AE2430&lt;=set_AsAt),1,0)</f>
        <v/>
      </c>
      <c r="AK2430" s="54">
        <f>IF(AND(AJ2430=1,AH2430&lt;&gt;"",COUNTIFS($AH$2:AH2430,AH2430,$AJ$2:AJ2430,1)=1),N(AL2429)+1,"")</f>
        <v/>
      </c>
      <c r="AL2430" s="54">
        <f>IF(AK2430&lt;&gt;"",AK2430,N(AL2429))</f>
        <v/>
      </c>
    </row>
    <row r="2431">
      <c r="A2431" t="inlineStr">
        <is>
          <t>CON-0810</t>
        </is>
      </c>
      <c r="B2431" t="inlineStr">
        <is>
          <t>Consulting</t>
        </is>
      </c>
      <c r="AB2431" t="n">
        <v>810</v>
      </c>
      <c r="AD2431" s="52">
        <f>IFERROR(N(IFERROR(INDEX($A2431:$AB2431,MATCH("Xero Invoiced Ex GST",$A$1:$AB$1,0)),"")),0)</f>
        <v/>
      </c>
      <c r="AE2431" s="53">
        <f>IFERROR(INDEX($A2431:$AB2431,MATCH("Xero Invoice Date",$A$1:$AB$1,0)),"")</f>
        <v/>
      </c>
      <c r="AF2431" s="54">
        <f>IF(AND(IFERROR(INDEX($A2431:$AB2431,MATCH("Xero Invoice No",$A$1:$AB$1,0)),"")&amp;""&lt;&gt;"",ISNUMBER(AE2431),AD2431&lt;&gt;0),1,0)</f>
        <v/>
      </c>
      <c r="AG2431" s="55">
        <f>IF(AF2431=1,EOMONTH(AE2431,0),"")</f>
        <v/>
      </c>
      <c r="AH2431" s="9">
        <f>IF(AF2431=1,UPPER(TRIM(IFERROR(INDEX($A2431:$AB2431,MATCH("Client",$A$1:$AB$1,0)),"")&amp;"")),"")</f>
        <v/>
      </c>
      <c r="AI2431" s="9">
        <f>IF(AF2431=1,IFERROR(INDEX($A2431:$AB2431,MATCH("Cost Centre",$A$1:$AB$1,0)),"")&amp;"","")</f>
        <v/>
      </c>
      <c r="AJ2431" s="54">
        <f>IF(AND(AF2431=1,AE2431&gt;=set_FYStart,AE2431&lt;=set_AsAt),1,0)</f>
        <v/>
      </c>
      <c r="AK2431" s="54">
        <f>IF(AND(AJ2431=1,AH2431&lt;&gt;"",COUNTIFS($AH$2:AH2431,AH2431,$AJ$2:AJ2431,1)=1),N(AL2430)+1,"")</f>
        <v/>
      </c>
      <c r="AL2431" s="54">
        <f>IF(AK2431&lt;&gt;"",AK2431,N(AL2430))</f>
        <v/>
      </c>
    </row>
    <row r="2432">
      <c r="A2432" t="inlineStr">
        <is>
          <t>ONS-0811</t>
        </is>
      </c>
      <c r="B2432" t="inlineStr">
        <is>
          <t>Onsite</t>
        </is>
      </c>
      <c r="AB2432" t="n">
        <v>811</v>
      </c>
      <c r="AD2432" s="52">
        <f>IFERROR(N(IFERROR(INDEX($A2432:$AB2432,MATCH("Xero Invoiced Ex GST",$A$1:$AB$1,0)),"")),0)</f>
        <v/>
      </c>
      <c r="AE2432" s="53">
        <f>IFERROR(INDEX($A2432:$AB2432,MATCH("Xero Invoice Date",$A$1:$AB$1,0)),"")</f>
        <v/>
      </c>
      <c r="AF2432" s="54">
        <f>IF(AND(IFERROR(INDEX($A2432:$AB2432,MATCH("Xero Invoice No",$A$1:$AB$1,0)),"")&amp;""&lt;&gt;"",ISNUMBER(AE2432),AD2432&lt;&gt;0),1,0)</f>
        <v/>
      </c>
      <c r="AG2432" s="55">
        <f>IF(AF2432=1,EOMONTH(AE2432,0),"")</f>
        <v/>
      </c>
      <c r="AH2432" s="9">
        <f>IF(AF2432=1,UPPER(TRIM(IFERROR(INDEX($A2432:$AB2432,MATCH("Client",$A$1:$AB$1,0)),"")&amp;"")),"")</f>
        <v/>
      </c>
      <c r="AI2432" s="9">
        <f>IF(AF2432=1,IFERROR(INDEX($A2432:$AB2432,MATCH("Cost Centre",$A$1:$AB$1,0)),"")&amp;"","")</f>
        <v/>
      </c>
      <c r="AJ2432" s="54">
        <f>IF(AND(AF2432=1,AE2432&gt;=set_FYStart,AE2432&lt;=set_AsAt),1,0)</f>
        <v/>
      </c>
      <c r="AK2432" s="54">
        <f>IF(AND(AJ2432=1,AH2432&lt;&gt;"",COUNTIFS($AH$2:AH2432,AH2432,$AJ$2:AJ2432,1)=1),N(AL2431)+1,"")</f>
        <v/>
      </c>
      <c r="AL2432" s="54">
        <f>IF(AK2432&lt;&gt;"",AK2432,N(AL2431))</f>
        <v/>
      </c>
    </row>
    <row r="2433">
      <c r="A2433" t="inlineStr">
        <is>
          <t>PRD-0811</t>
        </is>
      </c>
      <c r="B2433" t="inlineStr">
        <is>
          <t>Production</t>
        </is>
      </c>
      <c r="AB2433" t="n">
        <v>811</v>
      </c>
      <c r="AD2433" s="52">
        <f>IFERROR(N(IFERROR(INDEX($A2433:$AB2433,MATCH("Xero Invoiced Ex GST",$A$1:$AB$1,0)),"")),0)</f>
        <v/>
      </c>
      <c r="AE2433" s="53">
        <f>IFERROR(INDEX($A2433:$AB2433,MATCH("Xero Invoice Date",$A$1:$AB$1,0)),"")</f>
        <v/>
      </c>
      <c r="AF2433" s="54">
        <f>IF(AND(IFERROR(INDEX($A2433:$AB2433,MATCH("Xero Invoice No",$A$1:$AB$1,0)),"")&amp;""&lt;&gt;"",ISNUMBER(AE2433),AD2433&lt;&gt;0),1,0)</f>
        <v/>
      </c>
      <c r="AG2433" s="55">
        <f>IF(AF2433=1,EOMONTH(AE2433,0),"")</f>
        <v/>
      </c>
      <c r="AH2433" s="9">
        <f>IF(AF2433=1,UPPER(TRIM(IFERROR(INDEX($A2433:$AB2433,MATCH("Client",$A$1:$AB$1,0)),"")&amp;"")),"")</f>
        <v/>
      </c>
      <c r="AI2433" s="9">
        <f>IF(AF2433=1,IFERROR(INDEX($A2433:$AB2433,MATCH("Cost Centre",$A$1:$AB$1,0)),"")&amp;"","")</f>
        <v/>
      </c>
      <c r="AJ2433" s="54">
        <f>IF(AND(AF2433=1,AE2433&gt;=set_FYStart,AE2433&lt;=set_AsAt),1,0)</f>
        <v/>
      </c>
      <c r="AK2433" s="54">
        <f>IF(AND(AJ2433=1,AH2433&lt;&gt;"",COUNTIFS($AH$2:AH2433,AH2433,$AJ$2:AJ2433,1)=1),N(AL2432)+1,"")</f>
        <v/>
      </c>
      <c r="AL2433" s="54">
        <f>IF(AK2433&lt;&gt;"",AK2433,N(AL2432))</f>
        <v/>
      </c>
    </row>
    <row r="2434">
      <c r="A2434" t="inlineStr">
        <is>
          <t>CON-0811</t>
        </is>
      </c>
      <c r="B2434" t="inlineStr">
        <is>
          <t>Consulting</t>
        </is>
      </c>
      <c r="AB2434" t="n">
        <v>811</v>
      </c>
      <c r="AD2434" s="52">
        <f>IFERROR(N(IFERROR(INDEX($A2434:$AB2434,MATCH("Xero Invoiced Ex GST",$A$1:$AB$1,0)),"")),0)</f>
        <v/>
      </c>
      <c r="AE2434" s="53">
        <f>IFERROR(INDEX($A2434:$AB2434,MATCH("Xero Invoice Date",$A$1:$AB$1,0)),"")</f>
        <v/>
      </c>
      <c r="AF2434" s="54">
        <f>IF(AND(IFERROR(INDEX($A2434:$AB2434,MATCH("Xero Invoice No",$A$1:$AB$1,0)),"")&amp;""&lt;&gt;"",ISNUMBER(AE2434),AD2434&lt;&gt;0),1,0)</f>
        <v/>
      </c>
      <c r="AG2434" s="55">
        <f>IF(AF2434=1,EOMONTH(AE2434,0),"")</f>
        <v/>
      </c>
      <c r="AH2434" s="9">
        <f>IF(AF2434=1,UPPER(TRIM(IFERROR(INDEX($A2434:$AB2434,MATCH("Client",$A$1:$AB$1,0)),"")&amp;"")),"")</f>
        <v/>
      </c>
      <c r="AI2434" s="9">
        <f>IF(AF2434=1,IFERROR(INDEX($A2434:$AB2434,MATCH("Cost Centre",$A$1:$AB$1,0)),"")&amp;"","")</f>
        <v/>
      </c>
      <c r="AJ2434" s="54">
        <f>IF(AND(AF2434=1,AE2434&gt;=set_FYStart,AE2434&lt;=set_AsAt),1,0)</f>
        <v/>
      </c>
      <c r="AK2434" s="54">
        <f>IF(AND(AJ2434=1,AH2434&lt;&gt;"",COUNTIFS($AH$2:AH2434,AH2434,$AJ$2:AJ2434,1)=1),N(AL2433)+1,"")</f>
        <v/>
      </c>
      <c r="AL2434" s="54">
        <f>IF(AK2434&lt;&gt;"",AK2434,N(AL2433))</f>
        <v/>
      </c>
    </row>
    <row r="2435">
      <c r="A2435" t="inlineStr">
        <is>
          <t>ONS-0812</t>
        </is>
      </c>
      <c r="B2435" t="inlineStr">
        <is>
          <t>Onsite</t>
        </is>
      </c>
      <c r="AB2435" t="n">
        <v>812</v>
      </c>
      <c r="AD2435" s="52">
        <f>IFERROR(N(IFERROR(INDEX($A2435:$AB2435,MATCH("Xero Invoiced Ex GST",$A$1:$AB$1,0)),"")),0)</f>
        <v/>
      </c>
      <c r="AE2435" s="53">
        <f>IFERROR(INDEX($A2435:$AB2435,MATCH("Xero Invoice Date",$A$1:$AB$1,0)),"")</f>
        <v/>
      </c>
      <c r="AF2435" s="54">
        <f>IF(AND(IFERROR(INDEX($A2435:$AB2435,MATCH("Xero Invoice No",$A$1:$AB$1,0)),"")&amp;""&lt;&gt;"",ISNUMBER(AE2435),AD2435&lt;&gt;0),1,0)</f>
        <v/>
      </c>
      <c r="AG2435" s="55">
        <f>IF(AF2435=1,EOMONTH(AE2435,0),"")</f>
        <v/>
      </c>
      <c r="AH2435" s="9">
        <f>IF(AF2435=1,UPPER(TRIM(IFERROR(INDEX($A2435:$AB2435,MATCH("Client",$A$1:$AB$1,0)),"")&amp;"")),"")</f>
        <v/>
      </c>
      <c r="AI2435" s="9">
        <f>IF(AF2435=1,IFERROR(INDEX($A2435:$AB2435,MATCH("Cost Centre",$A$1:$AB$1,0)),"")&amp;"","")</f>
        <v/>
      </c>
      <c r="AJ2435" s="54">
        <f>IF(AND(AF2435=1,AE2435&gt;=set_FYStart,AE2435&lt;=set_AsAt),1,0)</f>
        <v/>
      </c>
      <c r="AK2435" s="54">
        <f>IF(AND(AJ2435=1,AH2435&lt;&gt;"",COUNTIFS($AH$2:AH2435,AH2435,$AJ$2:AJ2435,1)=1),N(AL2434)+1,"")</f>
        <v/>
      </c>
      <c r="AL2435" s="54">
        <f>IF(AK2435&lt;&gt;"",AK2435,N(AL2434))</f>
        <v/>
      </c>
    </row>
    <row r="2436">
      <c r="A2436" t="inlineStr">
        <is>
          <t>PRD-0812</t>
        </is>
      </c>
      <c r="B2436" t="inlineStr">
        <is>
          <t>Production</t>
        </is>
      </c>
      <c r="AB2436" t="n">
        <v>812</v>
      </c>
      <c r="AD2436" s="52">
        <f>IFERROR(N(IFERROR(INDEX($A2436:$AB2436,MATCH("Xero Invoiced Ex GST",$A$1:$AB$1,0)),"")),0)</f>
        <v/>
      </c>
      <c r="AE2436" s="53">
        <f>IFERROR(INDEX($A2436:$AB2436,MATCH("Xero Invoice Date",$A$1:$AB$1,0)),"")</f>
        <v/>
      </c>
      <c r="AF2436" s="54">
        <f>IF(AND(IFERROR(INDEX($A2436:$AB2436,MATCH("Xero Invoice No",$A$1:$AB$1,0)),"")&amp;""&lt;&gt;"",ISNUMBER(AE2436),AD2436&lt;&gt;0),1,0)</f>
        <v/>
      </c>
      <c r="AG2436" s="55">
        <f>IF(AF2436=1,EOMONTH(AE2436,0),"")</f>
        <v/>
      </c>
      <c r="AH2436" s="9">
        <f>IF(AF2436=1,UPPER(TRIM(IFERROR(INDEX($A2436:$AB2436,MATCH("Client",$A$1:$AB$1,0)),"")&amp;"")),"")</f>
        <v/>
      </c>
      <c r="AI2436" s="9">
        <f>IF(AF2436=1,IFERROR(INDEX($A2436:$AB2436,MATCH("Cost Centre",$A$1:$AB$1,0)),"")&amp;"","")</f>
        <v/>
      </c>
      <c r="AJ2436" s="54">
        <f>IF(AND(AF2436=1,AE2436&gt;=set_FYStart,AE2436&lt;=set_AsAt),1,0)</f>
        <v/>
      </c>
      <c r="AK2436" s="54">
        <f>IF(AND(AJ2436=1,AH2436&lt;&gt;"",COUNTIFS($AH$2:AH2436,AH2436,$AJ$2:AJ2436,1)=1),N(AL2435)+1,"")</f>
        <v/>
      </c>
      <c r="AL2436" s="54">
        <f>IF(AK2436&lt;&gt;"",AK2436,N(AL2435))</f>
        <v/>
      </c>
    </row>
    <row r="2437">
      <c r="A2437" t="inlineStr">
        <is>
          <t>CON-0812</t>
        </is>
      </c>
      <c r="B2437" t="inlineStr">
        <is>
          <t>Consulting</t>
        </is>
      </c>
      <c r="AB2437" t="n">
        <v>812</v>
      </c>
      <c r="AD2437" s="52">
        <f>IFERROR(N(IFERROR(INDEX($A2437:$AB2437,MATCH("Xero Invoiced Ex GST",$A$1:$AB$1,0)),"")),0)</f>
        <v/>
      </c>
      <c r="AE2437" s="53">
        <f>IFERROR(INDEX($A2437:$AB2437,MATCH("Xero Invoice Date",$A$1:$AB$1,0)),"")</f>
        <v/>
      </c>
      <c r="AF2437" s="54">
        <f>IF(AND(IFERROR(INDEX($A2437:$AB2437,MATCH("Xero Invoice No",$A$1:$AB$1,0)),"")&amp;""&lt;&gt;"",ISNUMBER(AE2437),AD2437&lt;&gt;0),1,0)</f>
        <v/>
      </c>
      <c r="AG2437" s="55">
        <f>IF(AF2437=1,EOMONTH(AE2437,0),"")</f>
        <v/>
      </c>
      <c r="AH2437" s="9">
        <f>IF(AF2437=1,UPPER(TRIM(IFERROR(INDEX($A2437:$AB2437,MATCH("Client",$A$1:$AB$1,0)),"")&amp;"")),"")</f>
        <v/>
      </c>
      <c r="AI2437" s="9">
        <f>IF(AF2437=1,IFERROR(INDEX($A2437:$AB2437,MATCH("Cost Centre",$A$1:$AB$1,0)),"")&amp;"","")</f>
        <v/>
      </c>
      <c r="AJ2437" s="54">
        <f>IF(AND(AF2437=1,AE2437&gt;=set_FYStart,AE2437&lt;=set_AsAt),1,0)</f>
        <v/>
      </c>
      <c r="AK2437" s="54">
        <f>IF(AND(AJ2437=1,AH2437&lt;&gt;"",COUNTIFS($AH$2:AH2437,AH2437,$AJ$2:AJ2437,1)=1),N(AL2436)+1,"")</f>
        <v/>
      </c>
      <c r="AL2437" s="54">
        <f>IF(AK2437&lt;&gt;"",AK2437,N(AL2436))</f>
        <v/>
      </c>
    </row>
    <row r="2438">
      <c r="A2438" t="inlineStr">
        <is>
          <t>ONS-0813</t>
        </is>
      </c>
      <c r="B2438" t="inlineStr">
        <is>
          <t>Onsite</t>
        </is>
      </c>
      <c r="AB2438" t="n">
        <v>813</v>
      </c>
      <c r="AD2438" s="52">
        <f>IFERROR(N(IFERROR(INDEX($A2438:$AB2438,MATCH("Xero Invoiced Ex GST",$A$1:$AB$1,0)),"")),0)</f>
        <v/>
      </c>
      <c r="AE2438" s="53">
        <f>IFERROR(INDEX($A2438:$AB2438,MATCH("Xero Invoice Date",$A$1:$AB$1,0)),"")</f>
        <v/>
      </c>
      <c r="AF2438" s="54">
        <f>IF(AND(IFERROR(INDEX($A2438:$AB2438,MATCH("Xero Invoice No",$A$1:$AB$1,0)),"")&amp;""&lt;&gt;"",ISNUMBER(AE2438),AD2438&lt;&gt;0),1,0)</f>
        <v/>
      </c>
      <c r="AG2438" s="55">
        <f>IF(AF2438=1,EOMONTH(AE2438,0),"")</f>
        <v/>
      </c>
      <c r="AH2438" s="9">
        <f>IF(AF2438=1,UPPER(TRIM(IFERROR(INDEX($A2438:$AB2438,MATCH("Client",$A$1:$AB$1,0)),"")&amp;"")),"")</f>
        <v/>
      </c>
      <c r="AI2438" s="9">
        <f>IF(AF2438=1,IFERROR(INDEX($A2438:$AB2438,MATCH("Cost Centre",$A$1:$AB$1,0)),"")&amp;"","")</f>
        <v/>
      </c>
      <c r="AJ2438" s="54">
        <f>IF(AND(AF2438=1,AE2438&gt;=set_FYStart,AE2438&lt;=set_AsAt),1,0)</f>
        <v/>
      </c>
      <c r="AK2438" s="54">
        <f>IF(AND(AJ2438=1,AH2438&lt;&gt;"",COUNTIFS($AH$2:AH2438,AH2438,$AJ$2:AJ2438,1)=1),N(AL2437)+1,"")</f>
        <v/>
      </c>
      <c r="AL2438" s="54">
        <f>IF(AK2438&lt;&gt;"",AK2438,N(AL2437))</f>
        <v/>
      </c>
    </row>
    <row r="2439">
      <c r="A2439" t="inlineStr">
        <is>
          <t>PRD-0813</t>
        </is>
      </c>
      <c r="B2439" t="inlineStr">
        <is>
          <t>Production</t>
        </is>
      </c>
      <c r="AB2439" t="n">
        <v>813</v>
      </c>
      <c r="AD2439" s="52">
        <f>IFERROR(N(IFERROR(INDEX($A2439:$AB2439,MATCH("Xero Invoiced Ex GST",$A$1:$AB$1,0)),"")),0)</f>
        <v/>
      </c>
      <c r="AE2439" s="53">
        <f>IFERROR(INDEX($A2439:$AB2439,MATCH("Xero Invoice Date",$A$1:$AB$1,0)),"")</f>
        <v/>
      </c>
      <c r="AF2439" s="54">
        <f>IF(AND(IFERROR(INDEX($A2439:$AB2439,MATCH("Xero Invoice No",$A$1:$AB$1,0)),"")&amp;""&lt;&gt;"",ISNUMBER(AE2439),AD2439&lt;&gt;0),1,0)</f>
        <v/>
      </c>
      <c r="AG2439" s="55">
        <f>IF(AF2439=1,EOMONTH(AE2439,0),"")</f>
        <v/>
      </c>
      <c r="AH2439" s="9">
        <f>IF(AF2439=1,UPPER(TRIM(IFERROR(INDEX($A2439:$AB2439,MATCH("Client",$A$1:$AB$1,0)),"")&amp;"")),"")</f>
        <v/>
      </c>
      <c r="AI2439" s="9">
        <f>IF(AF2439=1,IFERROR(INDEX($A2439:$AB2439,MATCH("Cost Centre",$A$1:$AB$1,0)),"")&amp;"","")</f>
        <v/>
      </c>
      <c r="AJ2439" s="54">
        <f>IF(AND(AF2439=1,AE2439&gt;=set_FYStart,AE2439&lt;=set_AsAt),1,0)</f>
        <v/>
      </c>
      <c r="AK2439" s="54">
        <f>IF(AND(AJ2439=1,AH2439&lt;&gt;"",COUNTIFS($AH$2:AH2439,AH2439,$AJ$2:AJ2439,1)=1),N(AL2438)+1,"")</f>
        <v/>
      </c>
      <c r="AL2439" s="54">
        <f>IF(AK2439&lt;&gt;"",AK2439,N(AL2438))</f>
        <v/>
      </c>
    </row>
    <row r="2440">
      <c r="A2440" t="inlineStr">
        <is>
          <t>CON-0813</t>
        </is>
      </c>
      <c r="B2440" t="inlineStr">
        <is>
          <t>Consulting</t>
        </is>
      </c>
      <c r="AB2440" t="n">
        <v>813</v>
      </c>
      <c r="AD2440" s="52">
        <f>IFERROR(N(IFERROR(INDEX($A2440:$AB2440,MATCH("Xero Invoiced Ex GST",$A$1:$AB$1,0)),"")),0)</f>
        <v/>
      </c>
      <c r="AE2440" s="53">
        <f>IFERROR(INDEX($A2440:$AB2440,MATCH("Xero Invoice Date",$A$1:$AB$1,0)),"")</f>
        <v/>
      </c>
      <c r="AF2440" s="54">
        <f>IF(AND(IFERROR(INDEX($A2440:$AB2440,MATCH("Xero Invoice No",$A$1:$AB$1,0)),"")&amp;""&lt;&gt;"",ISNUMBER(AE2440),AD2440&lt;&gt;0),1,0)</f>
        <v/>
      </c>
      <c r="AG2440" s="55">
        <f>IF(AF2440=1,EOMONTH(AE2440,0),"")</f>
        <v/>
      </c>
      <c r="AH2440" s="9">
        <f>IF(AF2440=1,UPPER(TRIM(IFERROR(INDEX($A2440:$AB2440,MATCH("Client",$A$1:$AB$1,0)),"")&amp;"")),"")</f>
        <v/>
      </c>
      <c r="AI2440" s="9">
        <f>IF(AF2440=1,IFERROR(INDEX($A2440:$AB2440,MATCH("Cost Centre",$A$1:$AB$1,0)),"")&amp;"","")</f>
        <v/>
      </c>
      <c r="AJ2440" s="54">
        <f>IF(AND(AF2440=1,AE2440&gt;=set_FYStart,AE2440&lt;=set_AsAt),1,0)</f>
        <v/>
      </c>
      <c r="AK2440" s="54">
        <f>IF(AND(AJ2440=1,AH2440&lt;&gt;"",COUNTIFS($AH$2:AH2440,AH2440,$AJ$2:AJ2440,1)=1),N(AL2439)+1,"")</f>
        <v/>
      </c>
      <c r="AL2440" s="54">
        <f>IF(AK2440&lt;&gt;"",AK2440,N(AL2439))</f>
        <v/>
      </c>
    </row>
    <row r="2441">
      <c r="A2441" t="inlineStr">
        <is>
          <t>ONS-0814</t>
        </is>
      </c>
      <c r="B2441" t="inlineStr">
        <is>
          <t>Onsite</t>
        </is>
      </c>
      <c r="AB2441" t="n">
        <v>814</v>
      </c>
      <c r="AD2441" s="52">
        <f>IFERROR(N(IFERROR(INDEX($A2441:$AB2441,MATCH("Xero Invoiced Ex GST",$A$1:$AB$1,0)),"")),0)</f>
        <v/>
      </c>
      <c r="AE2441" s="53">
        <f>IFERROR(INDEX($A2441:$AB2441,MATCH("Xero Invoice Date",$A$1:$AB$1,0)),"")</f>
        <v/>
      </c>
      <c r="AF2441" s="54">
        <f>IF(AND(IFERROR(INDEX($A2441:$AB2441,MATCH("Xero Invoice No",$A$1:$AB$1,0)),"")&amp;""&lt;&gt;"",ISNUMBER(AE2441),AD2441&lt;&gt;0),1,0)</f>
        <v/>
      </c>
      <c r="AG2441" s="55">
        <f>IF(AF2441=1,EOMONTH(AE2441,0),"")</f>
        <v/>
      </c>
      <c r="AH2441" s="9">
        <f>IF(AF2441=1,UPPER(TRIM(IFERROR(INDEX($A2441:$AB2441,MATCH("Client",$A$1:$AB$1,0)),"")&amp;"")),"")</f>
        <v/>
      </c>
      <c r="AI2441" s="9">
        <f>IF(AF2441=1,IFERROR(INDEX($A2441:$AB2441,MATCH("Cost Centre",$A$1:$AB$1,0)),"")&amp;"","")</f>
        <v/>
      </c>
      <c r="AJ2441" s="54">
        <f>IF(AND(AF2441=1,AE2441&gt;=set_FYStart,AE2441&lt;=set_AsAt),1,0)</f>
        <v/>
      </c>
      <c r="AK2441" s="54">
        <f>IF(AND(AJ2441=1,AH2441&lt;&gt;"",COUNTIFS($AH$2:AH2441,AH2441,$AJ$2:AJ2441,1)=1),N(AL2440)+1,"")</f>
        <v/>
      </c>
      <c r="AL2441" s="54">
        <f>IF(AK2441&lt;&gt;"",AK2441,N(AL2440))</f>
        <v/>
      </c>
    </row>
    <row r="2442">
      <c r="A2442" t="inlineStr">
        <is>
          <t>PRD-0814</t>
        </is>
      </c>
      <c r="B2442" t="inlineStr">
        <is>
          <t>Production</t>
        </is>
      </c>
      <c r="AB2442" t="n">
        <v>814</v>
      </c>
      <c r="AD2442" s="52">
        <f>IFERROR(N(IFERROR(INDEX($A2442:$AB2442,MATCH("Xero Invoiced Ex GST",$A$1:$AB$1,0)),"")),0)</f>
        <v/>
      </c>
      <c r="AE2442" s="53">
        <f>IFERROR(INDEX($A2442:$AB2442,MATCH("Xero Invoice Date",$A$1:$AB$1,0)),"")</f>
        <v/>
      </c>
      <c r="AF2442" s="54">
        <f>IF(AND(IFERROR(INDEX($A2442:$AB2442,MATCH("Xero Invoice No",$A$1:$AB$1,0)),"")&amp;""&lt;&gt;"",ISNUMBER(AE2442),AD2442&lt;&gt;0),1,0)</f>
        <v/>
      </c>
      <c r="AG2442" s="55">
        <f>IF(AF2442=1,EOMONTH(AE2442,0),"")</f>
        <v/>
      </c>
      <c r="AH2442" s="9">
        <f>IF(AF2442=1,UPPER(TRIM(IFERROR(INDEX($A2442:$AB2442,MATCH("Client",$A$1:$AB$1,0)),"")&amp;"")),"")</f>
        <v/>
      </c>
      <c r="AI2442" s="9">
        <f>IF(AF2442=1,IFERROR(INDEX($A2442:$AB2442,MATCH("Cost Centre",$A$1:$AB$1,0)),"")&amp;"","")</f>
        <v/>
      </c>
      <c r="AJ2442" s="54">
        <f>IF(AND(AF2442=1,AE2442&gt;=set_FYStart,AE2442&lt;=set_AsAt),1,0)</f>
        <v/>
      </c>
      <c r="AK2442" s="54">
        <f>IF(AND(AJ2442=1,AH2442&lt;&gt;"",COUNTIFS($AH$2:AH2442,AH2442,$AJ$2:AJ2442,1)=1),N(AL2441)+1,"")</f>
        <v/>
      </c>
      <c r="AL2442" s="54">
        <f>IF(AK2442&lt;&gt;"",AK2442,N(AL2441))</f>
        <v/>
      </c>
    </row>
    <row r="2443">
      <c r="A2443" t="inlineStr">
        <is>
          <t>CON-0814</t>
        </is>
      </c>
      <c r="B2443" t="inlineStr">
        <is>
          <t>Consulting</t>
        </is>
      </c>
      <c r="AB2443" t="n">
        <v>814</v>
      </c>
      <c r="AD2443" s="52">
        <f>IFERROR(N(IFERROR(INDEX($A2443:$AB2443,MATCH("Xero Invoiced Ex GST",$A$1:$AB$1,0)),"")),0)</f>
        <v/>
      </c>
      <c r="AE2443" s="53">
        <f>IFERROR(INDEX($A2443:$AB2443,MATCH("Xero Invoice Date",$A$1:$AB$1,0)),"")</f>
        <v/>
      </c>
      <c r="AF2443" s="54">
        <f>IF(AND(IFERROR(INDEX($A2443:$AB2443,MATCH("Xero Invoice No",$A$1:$AB$1,0)),"")&amp;""&lt;&gt;"",ISNUMBER(AE2443),AD2443&lt;&gt;0),1,0)</f>
        <v/>
      </c>
      <c r="AG2443" s="55">
        <f>IF(AF2443=1,EOMONTH(AE2443,0),"")</f>
        <v/>
      </c>
      <c r="AH2443" s="9">
        <f>IF(AF2443=1,UPPER(TRIM(IFERROR(INDEX($A2443:$AB2443,MATCH("Client",$A$1:$AB$1,0)),"")&amp;"")),"")</f>
        <v/>
      </c>
      <c r="AI2443" s="9">
        <f>IF(AF2443=1,IFERROR(INDEX($A2443:$AB2443,MATCH("Cost Centre",$A$1:$AB$1,0)),"")&amp;"","")</f>
        <v/>
      </c>
      <c r="AJ2443" s="54">
        <f>IF(AND(AF2443=1,AE2443&gt;=set_FYStart,AE2443&lt;=set_AsAt),1,0)</f>
        <v/>
      </c>
      <c r="AK2443" s="54">
        <f>IF(AND(AJ2443=1,AH2443&lt;&gt;"",COUNTIFS($AH$2:AH2443,AH2443,$AJ$2:AJ2443,1)=1),N(AL2442)+1,"")</f>
        <v/>
      </c>
      <c r="AL2443" s="54">
        <f>IF(AK2443&lt;&gt;"",AK2443,N(AL2442))</f>
        <v/>
      </c>
    </row>
    <row r="2444">
      <c r="A2444" t="inlineStr">
        <is>
          <t>ONS-0815</t>
        </is>
      </c>
      <c r="B2444" t="inlineStr">
        <is>
          <t>Onsite</t>
        </is>
      </c>
      <c r="AB2444" t="n">
        <v>815</v>
      </c>
      <c r="AD2444" s="52">
        <f>IFERROR(N(IFERROR(INDEX($A2444:$AB2444,MATCH("Xero Invoiced Ex GST",$A$1:$AB$1,0)),"")),0)</f>
        <v/>
      </c>
      <c r="AE2444" s="53">
        <f>IFERROR(INDEX($A2444:$AB2444,MATCH("Xero Invoice Date",$A$1:$AB$1,0)),"")</f>
        <v/>
      </c>
      <c r="AF2444" s="54">
        <f>IF(AND(IFERROR(INDEX($A2444:$AB2444,MATCH("Xero Invoice No",$A$1:$AB$1,0)),"")&amp;""&lt;&gt;"",ISNUMBER(AE2444),AD2444&lt;&gt;0),1,0)</f>
        <v/>
      </c>
      <c r="AG2444" s="55">
        <f>IF(AF2444=1,EOMONTH(AE2444,0),"")</f>
        <v/>
      </c>
      <c r="AH2444" s="9">
        <f>IF(AF2444=1,UPPER(TRIM(IFERROR(INDEX($A2444:$AB2444,MATCH("Client",$A$1:$AB$1,0)),"")&amp;"")),"")</f>
        <v/>
      </c>
      <c r="AI2444" s="9">
        <f>IF(AF2444=1,IFERROR(INDEX($A2444:$AB2444,MATCH("Cost Centre",$A$1:$AB$1,0)),"")&amp;"","")</f>
        <v/>
      </c>
      <c r="AJ2444" s="54">
        <f>IF(AND(AF2444=1,AE2444&gt;=set_FYStart,AE2444&lt;=set_AsAt),1,0)</f>
        <v/>
      </c>
      <c r="AK2444" s="54">
        <f>IF(AND(AJ2444=1,AH2444&lt;&gt;"",COUNTIFS($AH$2:AH2444,AH2444,$AJ$2:AJ2444,1)=1),N(AL2443)+1,"")</f>
        <v/>
      </c>
      <c r="AL2444" s="54">
        <f>IF(AK2444&lt;&gt;"",AK2444,N(AL2443))</f>
        <v/>
      </c>
    </row>
    <row r="2445">
      <c r="A2445" t="inlineStr">
        <is>
          <t>PRD-0815</t>
        </is>
      </c>
      <c r="B2445" t="inlineStr">
        <is>
          <t>Production</t>
        </is>
      </c>
      <c r="AB2445" t="n">
        <v>815</v>
      </c>
      <c r="AD2445" s="52">
        <f>IFERROR(N(IFERROR(INDEX($A2445:$AB2445,MATCH("Xero Invoiced Ex GST",$A$1:$AB$1,0)),"")),0)</f>
        <v/>
      </c>
      <c r="AE2445" s="53">
        <f>IFERROR(INDEX($A2445:$AB2445,MATCH("Xero Invoice Date",$A$1:$AB$1,0)),"")</f>
        <v/>
      </c>
      <c r="AF2445" s="54">
        <f>IF(AND(IFERROR(INDEX($A2445:$AB2445,MATCH("Xero Invoice No",$A$1:$AB$1,0)),"")&amp;""&lt;&gt;"",ISNUMBER(AE2445),AD2445&lt;&gt;0),1,0)</f>
        <v/>
      </c>
      <c r="AG2445" s="55">
        <f>IF(AF2445=1,EOMONTH(AE2445,0),"")</f>
        <v/>
      </c>
      <c r="AH2445" s="9">
        <f>IF(AF2445=1,UPPER(TRIM(IFERROR(INDEX($A2445:$AB2445,MATCH("Client",$A$1:$AB$1,0)),"")&amp;"")),"")</f>
        <v/>
      </c>
      <c r="AI2445" s="9">
        <f>IF(AF2445=1,IFERROR(INDEX($A2445:$AB2445,MATCH("Cost Centre",$A$1:$AB$1,0)),"")&amp;"","")</f>
        <v/>
      </c>
      <c r="AJ2445" s="54">
        <f>IF(AND(AF2445=1,AE2445&gt;=set_FYStart,AE2445&lt;=set_AsAt),1,0)</f>
        <v/>
      </c>
      <c r="AK2445" s="54">
        <f>IF(AND(AJ2445=1,AH2445&lt;&gt;"",COUNTIFS($AH$2:AH2445,AH2445,$AJ$2:AJ2445,1)=1),N(AL2444)+1,"")</f>
        <v/>
      </c>
      <c r="AL2445" s="54">
        <f>IF(AK2445&lt;&gt;"",AK2445,N(AL2444))</f>
        <v/>
      </c>
    </row>
    <row r="2446">
      <c r="A2446" t="inlineStr">
        <is>
          <t>CON-0815</t>
        </is>
      </c>
      <c r="B2446" t="inlineStr">
        <is>
          <t>Consulting</t>
        </is>
      </c>
      <c r="AB2446" t="n">
        <v>815</v>
      </c>
      <c r="AD2446" s="52">
        <f>IFERROR(N(IFERROR(INDEX($A2446:$AB2446,MATCH("Xero Invoiced Ex GST",$A$1:$AB$1,0)),"")),0)</f>
        <v/>
      </c>
      <c r="AE2446" s="53">
        <f>IFERROR(INDEX($A2446:$AB2446,MATCH("Xero Invoice Date",$A$1:$AB$1,0)),"")</f>
        <v/>
      </c>
      <c r="AF2446" s="54">
        <f>IF(AND(IFERROR(INDEX($A2446:$AB2446,MATCH("Xero Invoice No",$A$1:$AB$1,0)),"")&amp;""&lt;&gt;"",ISNUMBER(AE2446),AD2446&lt;&gt;0),1,0)</f>
        <v/>
      </c>
      <c r="AG2446" s="55">
        <f>IF(AF2446=1,EOMONTH(AE2446,0),"")</f>
        <v/>
      </c>
      <c r="AH2446" s="9">
        <f>IF(AF2446=1,UPPER(TRIM(IFERROR(INDEX($A2446:$AB2446,MATCH("Client",$A$1:$AB$1,0)),"")&amp;"")),"")</f>
        <v/>
      </c>
      <c r="AI2446" s="9">
        <f>IF(AF2446=1,IFERROR(INDEX($A2446:$AB2446,MATCH("Cost Centre",$A$1:$AB$1,0)),"")&amp;"","")</f>
        <v/>
      </c>
      <c r="AJ2446" s="54">
        <f>IF(AND(AF2446=1,AE2446&gt;=set_FYStart,AE2446&lt;=set_AsAt),1,0)</f>
        <v/>
      </c>
      <c r="AK2446" s="54">
        <f>IF(AND(AJ2446=1,AH2446&lt;&gt;"",COUNTIFS($AH$2:AH2446,AH2446,$AJ$2:AJ2446,1)=1),N(AL2445)+1,"")</f>
        <v/>
      </c>
      <c r="AL2446" s="54">
        <f>IF(AK2446&lt;&gt;"",AK2446,N(AL2445))</f>
        <v/>
      </c>
    </row>
    <row r="2447">
      <c r="A2447" t="inlineStr">
        <is>
          <t>ONS-0816</t>
        </is>
      </c>
      <c r="B2447" t="inlineStr">
        <is>
          <t>Onsite</t>
        </is>
      </c>
      <c r="AB2447" t="n">
        <v>816</v>
      </c>
      <c r="AD2447" s="52">
        <f>IFERROR(N(IFERROR(INDEX($A2447:$AB2447,MATCH("Xero Invoiced Ex GST",$A$1:$AB$1,0)),"")),0)</f>
        <v/>
      </c>
      <c r="AE2447" s="53">
        <f>IFERROR(INDEX($A2447:$AB2447,MATCH("Xero Invoice Date",$A$1:$AB$1,0)),"")</f>
        <v/>
      </c>
      <c r="AF2447" s="54">
        <f>IF(AND(IFERROR(INDEX($A2447:$AB2447,MATCH("Xero Invoice No",$A$1:$AB$1,0)),"")&amp;""&lt;&gt;"",ISNUMBER(AE2447),AD2447&lt;&gt;0),1,0)</f>
        <v/>
      </c>
      <c r="AG2447" s="55">
        <f>IF(AF2447=1,EOMONTH(AE2447,0),"")</f>
        <v/>
      </c>
      <c r="AH2447" s="9">
        <f>IF(AF2447=1,UPPER(TRIM(IFERROR(INDEX($A2447:$AB2447,MATCH("Client",$A$1:$AB$1,0)),"")&amp;"")),"")</f>
        <v/>
      </c>
      <c r="AI2447" s="9">
        <f>IF(AF2447=1,IFERROR(INDEX($A2447:$AB2447,MATCH("Cost Centre",$A$1:$AB$1,0)),"")&amp;"","")</f>
        <v/>
      </c>
      <c r="AJ2447" s="54">
        <f>IF(AND(AF2447=1,AE2447&gt;=set_FYStart,AE2447&lt;=set_AsAt),1,0)</f>
        <v/>
      </c>
      <c r="AK2447" s="54">
        <f>IF(AND(AJ2447=1,AH2447&lt;&gt;"",COUNTIFS($AH$2:AH2447,AH2447,$AJ$2:AJ2447,1)=1),N(AL2446)+1,"")</f>
        <v/>
      </c>
      <c r="AL2447" s="54">
        <f>IF(AK2447&lt;&gt;"",AK2447,N(AL2446))</f>
        <v/>
      </c>
    </row>
    <row r="2448">
      <c r="A2448" t="inlineStr">
        <is>
          <t>PRD-0816</t>
        </is>
      </c>
      <c r="B2448" t="inlineStr">
        <is>
          <t>Production</t>
        </is>
      </c>
      <c r="AB2448" t="n">
        <v>816</v>
      </c>
      <c r="AD2448" s="52">
        <f>IFERROR(N(IFERROR(INDEX($A2448:$AB2448,MATCH("Xero Invoiced Ex GST",$A$1:$AB$1,0)),"")),0)</f>
        <v/>
      </c>
      <c r="AE2448" s="53">
        <f>IFERROR(INDEX($A2448:$AB2448,MATCH("Xero Invoice Date",$A$1:$AB$1,0)),"")</f>
        <v/>
      </c>
      <c r="AF2448" s="54">
        <f>IF(AND(IFERROR(INDEX($A2448:$AB2448,MATCH("Xero Invoice No",$A$1:$AB$1,0)),"")&amp;""&lt;&gt;"",ISNUMBER(AE2448),AD2448&lt;&gt;0),1,0)</f>
        <v/>
      </c>
      <c r="AG2448" s="55">
        <f>IF(AF2448=1,EOMONTH(AE2448,0),"")</f>
        <v/>
      </c>
      <c r="AH2448" s="9">
        <f>IF(AF2448=1,UPPER(TRIM(IFERROR(INDEX($A2448:$AB2448,MATCH("Client",$A$1:$AB$1,0)),"")&amp;"")),"")</f>
        <v/>
      </c>
      <c r="AI2448" s="9">
        <f>IF(AF2448=1,IFERROR(INDEX($A2448:$AB2448,MATCH("Cost Centre",$A$1:$AB$1,0)),"")&amp;"","")</f>
        <v/>
      </c>
      <c r="AJ2448" s="54">
        <f>IF(AND(AF2448=1,AE2448&gt;=set_FYStart,AE2448&lt;=set_AsAt),1,0)</f>
        <v/>
      </c>
      <c r="AK2448" s="54">
        <f>IF(AND(AJ2448=1,AH2448&lt;&gt;"",COUNTIFS($AH$2:AH2448,AH2448,$AJ$2:AJ2448,1)=1),N(AL2447)+1,"")</f>
        <v/>
      </c>
      <c r="AL2448" s="54">
        <f>IF(AK2448&lt;&gt;"",AK2448,N(AL2447))</f>
        <v/>
      </c>
    </row>
    <row r="2449">
      <c r="A2449" t="inlineStr">
        <is>
          <t>CON-0816</t>
        </is>
      </c>
      <c r="B2449" t="inlineStr">
        <is>
          <t>Consulting</t>
        </is>
      </c>
      <c r="AB2449" t="n">
        <v>816</v>
      </c>
      <c r="AD2449" s="52">
        <f>IFERROR(N(IFERROR(INDEX($A2449:$AB2449,MATCH("Xero Invoiced Ex GST",$A$1:$AB$1,0)),"")),0)</f>
        <v/>
      </c>
      <c r="AE2449" s="53">
        <f>IFERROR(INDEX($A2449:$AB2449,MATCH("Xero Invoice Date",$A$1:$AB$1,0)),"")</f>
        <v/>
      </c>
      <c r="AF2449" s="54">
        <f>IF(AND(IFERROR(INDEX($A2449:$AB2449,MATCH("Xero Invoice No",$A$1:$AB$1,0)),"")&amp;""&lt;&gt;"",ISNUMBER(AE2449),AD2449&lt;&gt;0),1,0)</f>
        <v/>
      </c>
      <c r="AG2449" s="55">
        <f>IF(AF2449=1,EOMONTH(AE2449,0),"")</f>
        <v/>
      </c>
      <c r="AH2449" s="9">
        <f>IF(AF2449=1,UPPER(TRIM(IFERROR(INDEX($A2449:$AB2449,MATCH("Client",$A$1:$AB$1,0)),"")&amp;"")),"")</f>
        <v/>
      </c>
      <c r="AI2449" s="9">
        <f>IF(AF2449=1,IFERROR(INDEX($A2449:$AB2449,MATCH("Cost Centre",$A$1:$AB$1,0)),"")&amp;"","")</f>
        <v/>
      </c>
      <c r="AJ2449" s="54">
        <f>IF(AND(AF2449=1,AE2449&gt;=set_FYStart,AE2449&lt;=set_AsAt),1,0)</f>
        <v/>
      </c>
      <c r="AK2449" s="54">
        <f>IF(AND(AJ2449=1,AH2449&lt;&gt;"",COUNTIFS($AH$2:AH2449,AH2449,$AJ$2:AJ2449,1)=1),N(AL2448)+1,"")</f>
        <v/>
      </c>
      <c r="AL2449" s="54">
        <f>IF(AK2449&lt;&gt;"",AK2449,N(AL2448))</f>
        <v/>
      </c>
    </row>
    <row r="2450">
      <c r="A2450" t="inlineStr">
        <is>
          <t>ONS-0817</t>
        </is>
      </c>
      <c r="B2450" t="inlineStr">
        <is>
          <t>Onsite</t>
        </is>
      </c>
      <c r="AB2450" t="n">
        <v>817</v>
      </c>
      <c r="AD2450" s="52">
        <f>IFERROR(N(IFERROR(INDEX($A2450:$AB2450,MATCH("Xero Invoiced Ex GST",$A$1:$AB$1,0)),"")),0)</f>
        <v/>
      </c>
      <c r="AE2450" s="53">
        <f>IFERROR(INDEX($A2450:$AB2450,MATCH("Xero Invoice Date",$A$1:$AB$1,0)),"")</f>
        <v/>
      </c>
      <c r="AF2450" s="54">
        <f>IF(AND(IFERROR(INDEX($A2450:$AB2450,MATCH("Xero Invoice No",$A$1:$AB$1,0)),"")&amp;""&lt;&gt;"",ISNUMBER(AE2450),AD2450&lt;&gt;0),1,0)</f>
        <v/>
      </c>
      <c r="AG2450" s="55">
        <f>IF(AF2450=1,EOMONTH(AE2450,0),"")</f>
        <v/>
      </c>
      <c r="AH2450" s="9">
        <f>IF(AF2450=1,UPPER(TRIM(IFERROR(INDEX($A2450:$AB2450,MATCH("Client",$A$1:$AB$1,0)),"")&amp;"")),"")</f>
        <v/>
      </c>
      <c r="AI2450" s="9">
        <f>IF(AF2450=1,IFERROR(INDEX($A2450:$AB2450,MATCH("Cost Centre",$A$1:$AB$1,0)),"")&amp;"","")</f>
        <v/>
      </c>
      <c r="AJ2450" s="54">
        <f>IF(AND(AF2450=1,AE2450&gt;=set_FYStart,AE2450&lt;=set_AsAt),1,0)</f>
        <v/>
      </c>
      <c r="AK2450" s="54">
        <f>IF(AND(AJ2450=1,AH2450&lt;&gt;"",COUNTIFS($AH$2:AH2450,AH2450,$AJ$2:AJ2450,1)=1),N(AL2449)+1,"")</f>
        <v/>
      </c>
      <c r="AL2450" s="54">
        <f>IF(AK2450&lt;&gt;"",AK2450,N(AL2449))</f>
        <v/>
      </c>
    </row>
    <row r="2451">
      <c r="A2451" t="inlineStr">
        <is>
          <t>PRD-0817</t>
        </is>
      </c>
      <c r="B2451" t="inlineStr">
        <is>
          <t>Production</t>
        </is>
      </c>
      <c r="AB2451" t="n">
        <v>817</v>
      </c>
      <c r="AD2451" s="52">
        <f>IFERROR(N(IFERROR(INDEX($A2451:$AB2451,MATCH("Xero Invoiced Ex GST",$A$1:$AB$1,0)),"")),0)</f>
        <v/>
      </c>
      <c r="AE2451" s="53">
        <f>IFERROR(INDEX($A2451:$AB2451,MATCH("Xero Invoice Date",$A$1:$AB$1,0)),"")</f>
        <v/>
      </c>
      <c r="AF2451" s="54">
        <f>IF(AND(IFERROR(INDEX($A2451:$AB2451,MATCH("Xero Invoice No",$A$1:$AB$1,0)),"")&amp;""&lt;&gt;"",ISNUMBER(AE2451),AD2451&lt;&gt;0),1,0)</f>
        <v/>
      </c>
      <c r="AG2451" s="55">
        <f>IF(AF2451=1,EOMONTH(AE2451,0),"")</f>
        <v/>
      </c>
      <c r="AH2451" s="9">
        <f>IF(AF2451=1,UPPER(TRIM(IFERROR(INDEX($A2451:$AB2451,MATCH("Client",$A$1:$AB$1,0)),"")&amp;"")),"")</f>
        <v/>
      </c>
      <c r="AI2451" s="9">
        <f>IF(AF2451=1,IFERROR(INDEX($A2451:$AB2451,MATCH("Cost Centre",$A$1:$AB$1,0)),"")&amp;"","")</f>
        <v/>
      </c>
      <c r="AJ2451" s="54">
        <f>IF(AND(AF2451=1,AE2451&gt;=set_FYStart,AE2451&lt;=set_AsAt),1,0)</f>
        <v/>
      </c>
      <c r="AK2451" s="54">
        <f>IF(AND(AJ2451=1,AH2451&lt;&gt;"",COUNTIFS($AH$2:AH2451,AH2451,$AJ$2:AJ2451,1)=1),N(AL2450)+1,"")</f>
        <v/>
      </c>
      <c r="AL2451" s="54">
        <f>IF(AK2451&lt;&gt;"",AK2451,N(AL2450))</f>
        <v/>
      </c>
    </row>
    <row r="2452">
      <c r="A2452" t="inlineStr">
        <is>
          <t>CON-0817</t>
        </is>
      </c>
      <c r="B2452" t="inlineStr">
        <is>
          <t>Consulting</t>
        </is>
      </c>
      <c r="AB2452" t="n">
        <v>817</v>
      </c>
      <c r="AD2452" s="52">
        <f>IFERROR(N(IFERROR(INDEX($A2452:$AB2452,MATCH("Xero Invoiced Ex GST",$A$1:$AB$1,0)),"")),0)</f>
        <v/>
      </c>
      <c r="AE2452" s="53">
        <f>IFERROR(INDEX($A2452:$AB2452,MATCH("Xero Invoice Date",$A$1:$AB$1,0)),"")</f>
        <v/>
      </c>
      <c r="AF2452" s="54">
        <f>IF(AND(IFERROR(INDEX($A2452:$AB2452,MATCH("Xero Invoice No",$A$1:$AB$1,0)),"")&amp;""&lt;&gt;"",ISNUMBER(AE2452),AD2452&lt;&gt;0),1,0)</f>
        <v/>
      </c>
      <c r="AG2452" s="55">
        <f>IF(AF2452=1,EOMONTH(AE2452,0),"")</f>
        <v/>
      </c>
      <c r="AH2452" s="9">
        <f>IF(AF2452=1,UPPER(TRIM(IFERROR(INDEX($A2452:$AB2452,MATCH("Client",$A$1:$AB$1,0)),"")&amp;"")),"")</f>
        <v/>
      </c>
      <c r="AI2452" s="9">
        <f>IF(AF2452=1,IFERROR(INDEX($A2452:$AB2452,MATCH("Cost Centre",$A$1:$AB$1,0)),"")&amp;"","")</f>
        <v/>
      </c>
      <c r="AJ2452" s="54">
        <f>IF(AND(AF2452=1,AE2452&gt;=set_FYStart,AE2452&lt;=set_AsAt),1,0)</f>
        <v/>
      </c>
      <c r="AK2452" s="54">
        <f>IF(AND(AJ2452=1,AH2452&lt;&gt;"",COUNTIFS($AH$2:AH2452,AH2452,$AJ$2:AJ2452,1)=1),N(AL2451)+1,"")</f>
        <v/>
      </c>
      <c r="AL2452" s="54">
        <f>IF(AK2452&lt;&gt;"",AK2452,N(AL2451))</f>
        <v/>
      </c>
    </row>
    <row r="2453">
      <c r="A2453" t="inlineStr">
        <is>
          <t>ONS-0818</t>
        </is>
      </c>
      <c r="B2453" t="inlineStr">
        <is>
          <t>Onsite</t>
        </is>
      </c>
      <c r="AB2453" t="n">
        <v>818</v>
      </c>
      <c r="AD2453" s="52">
        <f>IFERROR(N(IFERROR(INDEX($A2453:$AB2453,MATCH("Xero Invoiced Ex GST",$A$1:$AB$1,0)),"")),0)</f>
        <v/>
      </c>
      <c r="AE2453" s="53">
        <f>IFERROR(INDEX($A2453:$AB2453,MATCH("Xero Invoice Date",$A$1:$AB$1,0)),"")</f>
        <v/>
      </c>
      <c r="AF2453" s="54">
        <f>IF(AND(IFERROR(INDEX($A2453:$AB2453,MATCH("Xero Invoice No",$A$1:$AB$1,0)),"")&amp;""&lt;&gt;"",ISNUMBER(AE2453),AD2453&lt;&gt;0),1,0)</f>
        <v/>
      </c>
      <c r="AG2453" s="55">
        <f>IF(AF2453=1,EOMONTH(AE2453,0),"")</f>
        <v/>
      </c>
      <c r="AH2453" s="9">
        <f>IF(AF2453=1,UPPER(TRIM(IFERROR(INDEX($A2453:$AB2453,MATCH("Client",$A$1:$AB$1,0)),"")&amp;"")),"")</f>
        <v/>
      </c>
      <c r="AI2453" s="9">
        <f>IF(AF2453=1,IFERROR(INDEX($A2453:$AB2453,MATCH("Cost Centre",$A$1:$AB$1,0)),"")&amp;"","")</f>
        <v/>
      </c>
      <c r="AJ2453" s="54">
        <f>IF(AND(AF2453=1,AE2453&gt;=set_FYStart,AE2453&lt;=set_AsAt),1,0)</f>
        <v/>
      </c>
      <c r="AK2453" s="54">
        <f>IF(AND(AJ2453=1,AH2453&lt;&gt;"",COUNTIFS($AH$2:AH2453,AH2453,$AJ$2:AJ2453,1)=1),N(AL2452)+1,"")</f>
        <v/>
      </c>
      <c r="AL2453" s="54">
        <f>IF(AK2453&lt;&gt;"",AK2453,N(AL2452))</f>
        <v/>
      </c>
    </row>
    <row r="2454">
      <c r="A2454" t="inlineStr">
        <is>
          <t>PRD-0818</t>
        </is>
      </c>
      <c r="B2454" t="inlineStr">
        <is>
          <t>Production</t>
        </is>
      </c>
      <c r="AB2454" t="n">
        <v>818</v>
      </c>
      <c r="AD2454" s="52">
        <f>IFERROR(N(IFERROR(INDEX($A2454:$AB2454,MATCH("Xero Invoiced Ex GST",$A$1:$AB$1,0)),"")),0)</f>
        <v/>
      </c>
      <c r="AE2454" s="53">
        <f>IFERROR(INDEX($A2454:$AB2454,MATCH("Xero Invoice Date",$A$1:$AB$1,0)),"")</f>
        <v/>
      </c>
      <c r="AF2454" s="54">
        <f>IF(AND(IFERROR(INDEX($A2454:$AB2454,MATCH("Xero Invoice No",$A$1:$AB$1,0)),"")&amp;""&lt;&gt;"",ISNUMBER(AE2454),AD2454&lt;&gt;0),1,0)</f>
        <v/>
      </c>
      <c r="AG2454" s="55">
        <f>IF(AF2454=1,EOMONTH(AE2454,0),"")</f>
        <v/>
      </c>
      <c r="AH2454" s="9">
        <f>IF(AF2454=1,UPPER(TRIM(IFERROR(INDEX($A2454:$AB2454,MATCH("Client",$A$1:$AB$1,0)),"")&amp;"")),"")</f>
        <v/>
      </c>
      <c r="AI2454" s="9">
        <f>IF(AF2454=1,IFERROR(INDEX($A2454:$AB2454,MATCH("Cost Centre",$A$1:$AB$1,0)),"")&amp;"","")</f>
        <v/>
      </c>
      <c r="AJ2454" s="54">
        <f>IF(AND(AF2454=1,AE2454&gt;=set_FYStart,AE2454&lt;=set_AsAt),1,0)</f>
        <v/>
      </c>
      <c r="AK2454" s="54">
        <f>IF(AND(AJ2454=1,AH2454&lt;&gt;"",COUNTIFS($AH$2:AH2454,AH2454,$AJ$2:AJ2454,1)=1),N(AL2453)+1,"")</f>
        <v/>
      </c>
      <c r="AL2454" s="54">
        <f>IF(AK2454&lt;&gt;"",AK2454,N(AL2453))</f>
        <v/>
      </c>
    </row>
    <row r="2455">
      <c r="A2455" t="inlineStr">
        <is>
          <t>CON-0818</t>
        </is>
      </c>
      <c r="B2455" t="inlineStr">
        <is>
          <t>Consulting</t>
        </is>
      </c>
      <c r="AB2455" t="n">
        <v>818</v>
      </c>
      <c r="AD2455" s="52">
        <f>IFERROR(N(IFERROR(INDEX($A2455:$AB2455,MATCH("Xero Invoiced Ex GST",$A$1:$AB$1,0)),"")),0)</f>
        <v/>
      </c>
      <c r="AE2455" s="53">
        <f>IFERROR(INDEX($A2455:$AB2455,MATCH("Xero Invoice Date",$A$1:$AB$1,0)),"")</f>
        <v/>
      </c>
      <c r="AF2455" s="54">
        <f>IF(AND(IFERROR(INDEX($A2455:$AB2455,MATCH("Xero Invoice No",$A$1:$AB$1,0)),"")&amp;""&lt;&gt;"",ISNUMBER(AE2455),AD2455&lt;&gt;0),1,0)</f>
        <v/>
      </c>
      <c r="AG2455" s="55">
        <f>IF(AF2455=1,EOMONTH(AE2455,0),"")</f>
        <v/>
      </c>
      <c r="AH2455" s="9">
        <f>IF(AF2455=1,UPPER(TRIM(IFERROR(INDEX($A2455:$AB2455,MATCH("Client",$A$1:$AB$1,0)),"")&amp;"")),"")</f>
        <v/>
      </c>
      <c r="AI2455" s="9">
        <f>IF(AF2455=1,IFERROR(INDEX($A2455:$AB2455,MATCH("Cost Centre",$A$1:$AB$1,0)),"")&amp;"","")</f>
        <v/>
      </c>
      <c r="AJ2455" s="54">
        <f>IF(AND(AF2455=1,AE2455&gt;=set_FYStart,AE2455&lt;=set_AsAt),1,0)</f>
        <v/>
      </c>
      <c r="AK2455" s="54">
        <f>IF(AND(AJ2455=1,AH2455&lt;&gt;"",COUNTIFS($AH$2:AH2455,AH2455,$AJ$2:AJ2455,1)=1),N(AL2454)+1,"")</f>
        <v/>
      </c>
      <c r="AL2455" s="54">
        <f>IF(AK2455&lt;&gt;"",AK2455,N(AL2454))</f>
        <v/>
      </c>
    </row>
    <row r="2456">
      <c r="A2456" t="inlineStr">
        <is>
          <t>ONS-0819</t>
        </is>
      </c>
      <c r="B2456" t="inlineStr">
        <is>
          <t>Onsite</t>
        </is>
      </c>
      <c r="AB2456" t="n">
        <v>819</v>
      </c>
      <c r="AD2456" s="52">
        <f>IFERROR(N(IFERROR(INDEX($A2456:$AB2456,MATCH("Xero Invoiced Ex GST",$A$1:$AB$1,0)),"")),0)</f>
        <v/>
      </c>
      <c r="AE2456" s="53">
        <f>IFERROR(INDEX($A2456:$AB2456,MATCH("Xero Invoice Date",$A$1:$AB$1,0)),"")</f>
        <v/>
      </c>
      <c r="AF2456" s="54">
        <f>IF(AND(IFERROR(INDEX($A2456:$AB2456,MATCH("Xero Invoice No",$A$1:$AB$1,0)),"")&amp;""&lt;&gt;"",ISNUMBER(AE2456),AD2456&lt;&gt;0),1,0)</f>
        <v/>
      </c>
      <c r="AG2456" s="55">
        <f>IF(AF2456=1,EOMONTH(AE2456,0),"")</f>
        <v/>
      </c>
      <c r="AH2456" s="9">
        <f>IF(AF2456=1,UPPER(TRIM(IFERROR(INDEX($A2456:$AB2456,MATCH("Client",$A$1:$AB$1,0)),"")&amp;"")),"")</f>
        <v/>
      </c>
      <c r="AI2456" s="9">
        <f>IF(AF2456=1,IFERROR(INDEX($A2456:$AB2456,MATCH("Cost Centre",$A$1:$AB$1,0)),"")&amp;"","")</f>
        <v/>
      </c>
      <c r="AJ2456" s="54">
        <f>IF(AND(AF2456=1,AE2456&gt;=set_FYStart,AE2456&lt;=set_AsAt),1,0)</f>
        <v/>
      </c>
      <c r="AK2456" s="54">
        <f>IF(AND(AJ2456=1,AH2456&lt;&gt;"",COUNTIFS($AH$2:AH2456,AH2456,$AJ$2:AJ2456,1)=1),N(AL2455)+1,"")</f>
        <v/>
      </c>
      <c r="AL2456" s="54">
        <f>IF(AK2456&lt;&gt;"",AK2456,N(AL2455))</f>
        <v/>
      </c>
    </row>
    <row r="2457">
      <c r="A2457" t="inlineStr">
        <is>
          <t>PRD-0819</t>
        </is>
      </c>
      <c r="B2457" t="inlineStr">
        <is>
          <t>Production</t>
        </is>
      </c>
      <c r="AB2457" t="n">
        <v>819</v>
      </c>
      <c r="AD2457" s="52">
        <f>IFERROR(N(IFERROR(INDEX($A2457:$AB2457,MATCH("Xero Invoiced Ex GST",$A$1:$AB$1,0)),"")),0)</f>
        <v/>
      </c>
      <c r="AE2457" s="53">
        <f>IFERROR(INDEX($A2457:$AB2457,MATCH("Xero Invoice Date",$A$1:$AB$1,0)),"")</f>
        <v/>
      </c>
      <c r="AF2457" s="54">
        <f>IF(AND(IFERROR(INDEX($A2457:$AB2457,MATCH("Xero Invoice No",$A$1:$AB$1,0)),"")&amp;""&lt;&gt;"",ISNUMBER(AE2457),AD2457&lt;&gt;0),1,0)</f>
        <v/>
      </c>
      <c r="AG2457" s="55">
        <f>IF(AF2457=1,EOMONTH(AE2457,0),"")</f>
        <v/>
      </c>
      <c r="AH2457" s="9">
        <f>IF(AF2457=1,UPPER(TRIM(IFERROR(INDEX($A2457:$AB2457,MATCH("Client",$A$1:$AB$1,0)),"")&amp;"")),"")</f>
        <v/>
      </c>
      <c r="AI2457" s="9">
        <f>IF(AF2457=1,IFERROR(INDEX($A2457:$AB2457,MATCH("Cost Centre",$A$1:$AB$1,0)),"")&amp;"","")</f>
        <v/>
      </c>
      <c r="AJ2457" s="54">
        <f>IF(AND(AF2457=1,AE2457&gt;=set_FYStart,AE2457&lt;=set_AsAt),1,0)</f>
        <v/>
      </c>
      <c r="AK2457" s="54">
        <f>IF(AND(AJ2457=1,AH2457&lt;&gt;"",COUNTIFS($AH$2:AH2457,AH2457,$AJ$2:AJ2457,1)=1),N(AL2456)+1,"")</f>
        <v/>
      </c>
      <c r="AL2457" s="54">
        <f>IF(AK2457&lt;&gt;"",AK2457,N(AL2456))</f>
        <v/>
      </c>
    </row>
    <row r="2458">
      <c r="A2458" t="inlineStr">
        <is>
          <t>CON-0819</t>
        </is>
      </c>
      <c r="B2458" t="inlineStr">
        <is>
          <t>Consulting</t>
        </is>
      </c>
      <c r="AB2458" t="n">
        <v>819</v>
      </c>
      <c r="AD2458" s="52">
        <f>IFERROR(N(IFERROR(INDEX($A2458:$AB2458,MATCH("Xero Invoiced Ex GST",$A$1:$AB$1,0)),"")),0)</f>
        <v/>
      </c>
      <c r="AE2458" s="53">
        <f>IFERROR(INDEX($A2458:$AB2458,MATCH("Xero Invoice Date",$A$1:$AB$1,0)),"")</f>
        <v/>
      </c>
      <c r="AF2458" s="54">
        <f>IF(AND(IFERROR(INDEX($A2458:$AB2458,MATCH("Xero Invoice No",$A$1:$AB$1,0)),"")&amp;""&lt;&gt;"",ISNUMBER(AE2458),AD2458&lt;&gt;0),1,0)</f>
        <v/>
      </c>
      <c r="AG2458" s="55">
        <f>IF(AF2458=1,EOMONTH(AE2458,0),"")</f>
        <v/>
      </c>
      <c r="AH2458" s="9">
        <f>IF(AF2458=1,UPPER(TRIM(IFERROR(INDEX($A2458:$AB2458,MATCH("Client",$A$1:$AB$1,0)),"")&amp;"")),"")</f>
        <v/>
      </c>
      <c r="AI2458" s="9">
        <f>IF(AF2458=1,IFERROR(INDEX($A2458:$AB2458,MATCH("Cost Centre",$A$1:$AB$1,0)),"")&amp;"","")</f>
        <v/>
      </c>
      <c r="AJ2458" s="54">
        <f>IF(AND(AF2458=1,AE2458&gt;=set_FYStart,AE2458&lt;=set_AsAt),1,0)</f>
        <v/>
      </c>
      <c r="AK2458" s="54">
        <f>IF(AND(AJ2458=1,AH2458&lt;&gt;"",COUNTIFS($AH$2:AH2458,AH2458,$AJ$2:AJ2458,1)=1),N(AL2457)+1,"")</f>
        <v/>
      </c>
      <c r="AL2458" s="54">
        <f>IF(AK2458&lt;&gt;"",AK2458,N(AL2457))</f>
        <v/>
      </c>
    </row>
    <row r="2459">
      <c r="A2459" t="inlineStr">
        <is>
          <t>ONS-0820</t>
        </is>
      </c>
      <c r="B2459" t="inlineStr">
        <is>
          <t>Onsite</t>
        </is>
      </c>
      <c r="AB2459" t="n">
        <v>820</v>
      </c>
      <c r="AD2459" s="52">
        <f>IFERROR(N(IFERROR(INDEX($A2459:$AB2459,MATCH("Xero Invoiced Ex GST",$A$1:$AB$1,0)),"")),0)</f>
        <v/>
      </c>
      <c r="AE2459" s="53">
        <f>IFERROR(INDEX($A2459:$AB2459,MATCH("Xero Invoice Date",$A$1:$AB$1,0)),"")</f>
        <v/>
      </c>
      <c r="AF2459" s="54">
        <f>IF(AND(IFERROR(INDEX($A2459:$AB2459,MATCH("Xero Invoice No",$A$1:$AB$1,0)),"")&amp;""&lt;&gt;"",ISNUMBER(AE2459),AD2459&lt;&gt;0),1,0)</f>
        <v/>
      </c>
      <c r="AG2459" s="55">
        <f>IF(AF2459=1,EOMONTH(AE2459,0),"")</f>
        <v/>
      </c>
      <c r="AH2459" s="9">
        <f>IF(AF2459=1,UPPER(TRIM(IFERROR(INDEX($A2459:$AB2459,MATCH("Client",$A$1:$AB$1,0)),"")&amp;"")),"")</f>
        <v/>
      </c>
      <c r="AI2459" s="9">
        <f>IF(AF2459=1,IFERROR(INDEX($A2459:$AB2459,MATCH("Cost Centre",$A$1:$AB$1,0)),"")&amp;"","")</f>
        <v/>
      </c>
      <c r="AJ2459" s="54">
        <f>IF(AND(AF2459=1,AE2459&gt;=set_FYStart,AE2459&lt;=set_AsAt),1,0)</f>
        <v/>
      </c>
      <c r="AK2459" s="54">
        <f>IF(AND(AJ2459=1,AH2459&lt;&gt;"",COUNTIFS($AH$2:AH2459,AH2459,$AJ$2:AJ2459,1)=1),N(AL2458)+1,"")</f>
        <v/>
      </c>
      <c r="AL2459" s="54">
        <f>IF(AK2459&lt;&gt;"",AK2459,N(AL2458))</f>
        <v/>
      </c>
    </row>
    <row r="2460">
      <c r="A2460" t="inlineStr">
        <is>
          <t>PRD-0820</t>
        </is>
      </c>
      <c r="B2460" t="inlineStr">
        <is>
          <t>Production</t>
        </is>
      </c>
      <c r="AB2460" t="n">
        <v>820</v>
      </c>
      <c r="AD2460" s="52">
        <f>IFERROR(N(IFERROR(INDEX($A2460:$AB2460,MATCH("Xero Invoiced Ex GST",$A$1:$AB$1,0)),"")),0)</f>
        <v/>
      </c>
      <c r="AE2460" s="53">
        <f>IFERROR(INDEX($A2460:$AB2460,MATCH("Xero Invoice Date",$A$1:$AB$1,0)),"")</f>
        <v/>
      </c>
      <c r="AF2460" s="54">
        <f>IF(AND(IFERROR(INDEX($A2460:$AB2460,MATCH("Xero Invoice No",$A$1:$AB$1,0)),"")&amp;""&lt;&gt;"",ISNUMBER(AE2460),AD2460&lt;&gt;0),1,0)</f>
        <v/>
      </c>
      <c r="AG2460" s="55">
        <f>IF(AF2460=1,EOMONTH(AE2460,0),"")</f>
        <v/>
      </c>
      <c r="AH2460" s="9">
        <f>IF(AF2460=1,UPPER(TRIM(IFERROR(INDEX($A2460:$AB2460,MATCH("Client",$A$1:$AB$1,0)),"")&amp;"")),"")</f>
        <v/>
      </c>
      <c r="AI2460" s="9">
        <f>IF(AF2460=1,IFERROR(INDEX($A2460:$AB2460,MATCH("Cost Centre",$A$1:$AB$1,0)),"")&amp;"","")</f>
        <v/>
      </c>
      <c r="AJ2460" s="54">
        <f>IF(AND(AF2460=1,AE2460&gt;=set_FYStart,AE2460&lt;=set_AsAt),1,0)</f>
        <v/>
      </c>
      <c r="AK2460" s="54">
        <f>IF(AND(AJ2460=1,AH2460&lt;&gt;"",COUNTIFS($AH$2:AH2460,AH2460,$AJ$2:AJ2460,1)=1),N(AL2459)+1,"")</f>
        <v/>
      </c>
      <c r="AL2460" s="54">
        <f>IF(AK2460&lt;&gt;"",AK2460,N(AL2459))</f>
        <v/>
      </c>
    </row>
    <row r="2461">
      <c r="A2461" t="inlineStr">
        <is>
          <t>CON-0820</t>
        </is>
      </c>
      <c r="B2461" t="inlineStr">
        <is>
          <t>Consulting</t>
        </is>
      </c>
      <c r="AB2461" t="n">
        <v>820</v>
      </c>
      <c r="AD2461" s="52">
        <f>IFERROR(N(IFERROR(INDEX($A2461:$AB2461,MATCH("Xero Invoiced Ex GST",$A$1:$AB$1,0)),"")),0)</f>
        <v/>
      </c>
      <c r="AE2461" s="53">
        <f>IFERROR(INDEX($A2461:$AB2461,MATCH("Xero Invoice Date",$A$1:$AB$1,0)),"")</f>
        <v/>
      </c>
      <c r="AF2461" s="54">
        <f>IF(AND(IFERROR(INDEX($A2461:$AB2461,MATCH("Xero Invoice No",$A$1:$AB$1,0)),"")&amp;""&lt;&gt;"",ISNUMBER(AE2461),AD2461&lt;&gt;0),1,0)</f>
        <v/>
      </c>
      <c r="AG2461" s="55">
        <f>IF(AF2461=1,EOMONTH(AE2461,0),"")</f>
        <v/>
      </c>
      <c r="AH2461" s="9">
        <f>IF(AF2461=1,UPPER(TRIM(IFERROR(INDEX($A2461:$AB2461,MATCH("Client",$A$1:$AB$1,0)),"")&amp;"")),"")</f>
        <v/>
      </c>
      <c r="AI2461" s="9">
        <f>IF(AF2461=1,IFERROR(INDEX($A2461:$AB2461,MATCH("Cost Centre",$A$1:$AB$1,0)),"")&amp;"","")</f>
        <v/>
      </c>
      <c r="AJ2461" s="54">
        <f>IF(AND(AF2461=1,AE2461&gt;=set_FYStart,AE2461&lt;=set_AsAt),1,0)</f>
        <v/>
      </c>
      <c r="AK2461" s="54">
        <f>IF(AND(AJ2461=1,AH2461&lt;&gt;"",COUNTIFS($AH$2:AH2461,AH2461,$AJ$2:AJ2461,1)=1),N(AL2460)+1,"")</f>
        <v/>
      </c>
      <c r="AL2461" s="54">
        <f>IF(AK2461&lt;&gt;"",AK2461,N(AL2460))</f>
        <v/>
      </c>
    </row>
    <row r="2462">
      <c r="A2462" t="inlineStr">
        <is>
          <t>ONS-0821</t>
        </is>
      </c>
      <c r="B2462" t="inlineStr">
        <is>
          <t>Onsite</t>
        </is>
      </c>
      <c r="AB2462" t="n">
        <v>821</v>
      </c>
      <c r="AD2462" s="52">
        <f>IFERROR(N(IFERROR(INDEX($A2462:$AB2462,MATCH("Xero Invoiced Ex GST",$A$1:$AB$1,0)),"")),0)</f>
        <v/>
      </c>
      <c r="AE2462" s="53">
        <f>IFERROR(INDEX($A2462:$AB2462,MATCH("Xero Invoice Date",$A$1:$AB$1,0)),"")</f>
        <v/>
      </c>
      <c r="AF2462" s="54">
        <f>IF(AND(IFERROR(INDEX($A2462:$AB2462,MATCH("Xero Invoice No",$A$1:$AB$1,0)),"")&amp;""&lt;&gt;"",ISNUMBER(AE2462),AD2462&lt;&gt;0),1,0)</f>
        <v/>
      </c>
      <c r="AG2462" s="55">
        <f>IF(AF2462=1,EOMONTH(AE2462,0),"")</f>
        <v/>
      </c>
      <c r="AH2462" s="9">
        <f>IF(AF2462=1,UPPER(TRIM(IFERROR(INDEX($A2462:$AB2462,MATCH("Client",$A$1:$AB$1,0)),"")&amp;"")),"")</f>
        <v/>
      </c>
      <c r="AI2462" s="9">
        <f>IF(AF2462=1,IFERROR(INDEX($A2462:$AB2462,MATCH("Cost Centre",$A$1:$AB$1,0)),"")&amp;"","")</f>
        <v/>
      </c>
      <c r="AJ2462" s="54">
        <f>IF(AND(AF2462=1,AE2462&gt;=set_FYStart,AE2462&lt;=set_AsAt),1,0)</f>
        <v/>
      </c>
      <c r="AK2462" s="54">
        <f>IF(AND(AJ2462=1,AH2462&lt;&gt;"",COUNTIFS($AH$2:AH2462,AH2462,$AJ$2:AJ2462,1)=1),N(AL2461)+1,"")</f>
        <v/>
      </c>
      <c r="AL2462" s="54">
        <f>IF(AK2462&lt;&gt;"",AK2462,N(AL2461))</f>
        <v/>
      </c>
    </row>
    <row r="2463">
      <c r="A2463" t="inlineStr">
        <is>
          <t>PRD-0821</t>
        </is>
      </c>
      <c r="B2463" t="inlineStr">
        <is>
          <t>Production</t>
        </is>
      </c>
      <c r="AB2463" t="n">
        <v>821</v>
      </c>
      <c r="AD2463" s="52">
        <f>IFERROR(N(IFERROR(INDEX($A2463:$AB2463,MATCH("Xero Invoiced Ex GST",$A$1:$AB$1,0)),"")),0)</f>
        <v/>
      </c>
      <c r="AE2463" s="53">
        <f>IFERROR(INDEX($A2463:$AB2463,MATCH("Xero Invoice Date",$A$1:$AB$1,0)),"")</f>
        <v/>
      </c>
      <c r="AF2463" s="54">
        <f>IF(AND(IFERROR(INDEX($A2463:$AB2463,MATCH("Xero Invoice No",$A$1:$AB$1,0)),"")&amp;""&lt;&gt;"",ISNUMBER(AE2463),AD2463&lt;&gt;0),1,0)</f>
        <v/>
      </c>
      <c r="AG2463" s="55">
        <f>IF(AF2463=1,EOMONTH(AE2463,0),"")</f>
        <v/>
      </c>
      <c r="AH2463" s="9">
        <f>IF(AF2463=1,UPPER(TRIM(IFERROR(INDEX($A2463:$AB2463,MATCH("Client",$A$1:$AB$1,0)),"")&amp;"")),"")</f>
        <v/>
      </c>
      <c r="AI2463" s="9">
        <f>IF(AF2463=1,IFERROR(INDEX($A2463:$AB2463,MATCH("Cost Centre",$A$1:$AB$1,0)),"")&amp;"","")</f>
        <v/>
      </c>
      <c r="AJ2463" s="54">
        <f>IF(AND(AF2463=1,AE2463&gt;=set_FYStart,AE2463&lt;=set_AsAt),1,0)</f>
        <v/>
      </c>
      <c r="AK2463" s="54">
        <f>IF(AND(AJ2463=1,AH2463&lt;&gt;"",COUNTIFS($AH$2:AH2463,AH2463,$AJ$2:AJ2463,1)=1),N(AL2462)+1,"")</f>
        <v/>
      </c>
      <c r="AL2463" s="54">
        <f>IF(AK2463&lt;&gt;"",AK2463,N(AL2462))</f>
        <v/>
      </c>
    </row>
    <row r="2464">
      <c r="A2464" t="inlineStr">
        <is>
          <t>CON-0821</t>
        </is>
      </c>
      <c r="B2464" t="inlineStr">
        <is>
          <t>Consulting</t>
        </is>
      </c>
      <c r="AB2464" t="n">
        <v>821</v>
      </c>
      <c r="AD2464" s="52">
        <f>IFERROR(N(IFERROR(INDEX($A2464:$AB2464,MATCH("Xero Invoiced Ex GST",$A$1:$AB$1,0)),"")),0)</f>
        <v/>
      </c>
      <c r="AE2464" s="53">
        <f>IFERROR(INDEX($A2464:$AB2464,MATCH("Xero Invoice Date",$A$1:$AB$1,0)),"")</f>
        <v/>
      </c>
      <c r="AF2464" s="54">
        <f>IF(AND(IFERROR(INDEX($A2464:$AB2464,MATCH("Xero Invoice No",$A$1:$AB$1,0)),"")&amp;""&lt;&gt;"",ISNUMBER(AE2464),AD2464&lt;&gt;0),1,0)</f>
        <v/>
      </c>
      <c r="AG2464" s="55">
        <f>IF(AF2464=1,EOMONTH(AE2464,0),"")</f>
        <v/>
      </c>
      <c r="AH2464" s="9">
        <f>IF(AF2464=1,UPPER(TRIM(IFERROR(INDEX($A2464:$AB2464,MATCH("Client",$A$1:$AB$1,0)),"")&amp;"")),"")</f>
        <v/>
      </c>
      <c r="AI2464" s="9">
        <f>IF(AF2464=1,IFERROR(INDEX($A2464:$AB2464,MATCH("Cost Centre",$A$1:$AB$1,0)),"")&amp;"","")</f>
        <v/>
      </c>
      <c r="AJ2464" s="54">
        <f>IF(AND(AF2464=1,AE2464&gt;=set_FYStart,AE2464&lt;=set_AsAt),1,0)</f>
        <v/>
      </c>
      <c r="AK2464" s="54">
        <f>IF(AND(AJ2464=1,AH2464&lt;&gt;"",COUNTIFS($AH$2:AH2464,AH2464,$AJ$2:AJ2464,1)=1),N(AL2463)+1,"")</f>
        <v/>
      </c>
      <c r="AL2464" s="54">
        <f>IF(AK2464&lt;&gt;"",AK2464,N(AL2463))</f>
        <v/>
      </c>
    </row>
    <row r="2465">
      <c r="A2465" t="inlineStr">
        <is>
          <t>ONS-0822</t>
        </is>
      </c>
      <c r="B2465" t="inlineStr">
        <is>
          <t>Onsite</t>
        </is>
      </c>
      <c r="AB2465" t="n">
        <v>822</v>
      </c>
      <c r="AD2465" s="52">
        <f>IFERROR(N(IFERROR(INDEX($A2465:$AB2465,MATCH("Xero Invoiced Ex GST",$A$1:$AB$1,0)),"")),0)</f>
        <v/>
      </c>
      <c r="AE2465" s="53">
        <f>IFERROR(INDEX($A2465:$AB2465,MATCH("Xero Invoice Date",$A$1:$AB$1,0)),"")</f>
        <v/>
      </c>
      <c r="AF2465" s="54">
        <f>IF(AND(IFERROR(INDEX($A2465:$AB2465,MATCH("Xero Invoice No",$A$1:$AB$1,0)),"")&amp;""&lt;&gt;"",ISNUMBER(AE2465),AD2465&lt;&gt;0),1,0)</f>
        <v/>
      </c>
      <c r="AG2465" s="55">
        <f>IF(AF2465=1,EOMONTH(AE2465,0),"")</f>
        <v/>
      </c>
      <c r="AH2465" s="9">
        <f>IF(AF2465=1,UPPER(TRIM(IFERROR(INDEX($A2465:$AB2465,MATCH("Client",$A$1:$AB$1,0)),"")&amp;"")),"")</f>
        <v/>
      </c>
      <c r="AI2465" s="9">
        <f>IF(AF2465=1,IFERROR(INDEX($A2465:$AB2465,MATCH("Cost Centre",$A$1:$AB$1,0)),"")&amp;"","")</f>
        <v/>
      </c>
      <c r="AJ2465" s="54">
        <f>IF(AND(AF2465=1,AE2465&gt;=set_FYStart,AE2465&lt;=set_AsAt),1,0)</f>
        <v/>
      </c>
      <c r="AK2465" s="54">
        <f>IF(AND(AJ2465=1,AH2465&lt;&gt;"",COUNTIFS($AH$2:AH2465,AH2465,$AJ$2:AJ2465,1)=1),N(AL2464)+1,"")</f>
        <v/>
      </c>
      <c r="AL2465" s="54">
        <f>IF(AK2465&lt;&gt;"",AK2465,N(AL2464))</f>
        <v/>
      </c>
    </row>
    <row r="2466">
      <c r="A2466" t="inlineStr">
        <is>
          <t>PRD-0822</t>
        </is>
      </c>
      <c r="B2466" t="inlineStr">
        <is>
          <t>Production</t>
        </is>
      </c>
      <c r="AB2466" t="n">
        <v>822</v>
      </c>
      <c r="AD2466" s="52">
        <f>IFERROR(N(IFERROR(INDEX($A2466:$AB2466,MATCH("Xero Invoiced Ex GST",$A$1:$AB$1,0)),"")),0)</f>
        <v/>
      </c>
      <c r="AE2466" s="53">
        <f>IFERROR(INDEX($A2466:$AB2466,MATCH("Xero Invoice Date",$A$1:$AB$1,0)),"")</f>
        <v/>
      </c>
      <c r="AF2466" s="54">
        <f>IF(AND(IFERROR(INDEX($A2466:$AB2466,MATCH("Xero Invoice No",$A$1:$AB$1,0)),"")&amp;""&lt;&gt;"",ISNUMBER(AE2466),AD2466&lt;&gt;0),1,0)</f>
        <v/>
      </c>
      <c r="AG2466" s="55">
        <f>IF(AF2466=1,EOMONTH(AE2466,0),"")</f>
        <v/>
      </c>
      <c r="AH2466" s="9">
        <f>IF(AF2466=1,UPPER(TRIM(IFERROR(INDEX($A2466:$AB2466,MATCH("Client",$A$1:$AB$1,0)),"")&amp;"")),"")</f>
        <v/>
      </c>
      <c r="AI2466" s="9">
        <f>IF(AF2466=1,IFERROR(INDEX($A2466:$AB2466,MATCH("Cost Centre",$A$1:$AB$1,0)),"")&amp;"","")</f>
        <v/>
      </c>
      <c r="AJ2466" s="54">
        <f>IF(AND(AF2466=1,AE2466&gt;=set_FYStart,AE2466&lt;=set_AsAt),1,0)</f>
        <v/>
      </c>
      <c r="AK2466" s="54">
        <f>IF(AND(AJ2466=1,AH2466&lt;&gt;"",COUNTIFS($AH$2:AH2466,AH2466,$AJ$2:AJ2466,1)=1),N(AL2465)+1,"")</f>
        <v/>
      </c>
      <c r="AL2466" s="54">
        <f>IF(AK2466&lt;&gt;"",AK2466,N(AL2465))</f>
        <v/>
      </c>
    </row>
    <row r="2467">
      <c r="A2467" t="inlineStr">
        <is>
          <t>CON-0822</t>
        </is>
      </c>
      <c r="B2467" t="inlineStr">
        <is>
          <t>Consulting</t>
        </is>
      </c>
      <c r="AB2467" t="n">
        <v>822</v>
      </c>
      <c r="AD2467" s="52">
        <f>IFERROR(N(IFERROR(INDEX($A2467:$AB2467,MATCH("Xero Invoiced Ex GST",$A$1:$AB$1,0)),"")),0)</f>
        <v/>
      </c>
      <c r="AE2467" s="53">
        <f>IFERROR(INDEX($A2467:$AB2467,MATCH("Xero Invoice Date",$A$1:$AB$1,0)),"")</f>
        <v/>
      </c>
      <c r="AF2467" s="54">
        <f>IF(AND(IFERROR(INDEX($A2467:$AB2467,MATCH("Xero Invoice No",$A$1:$AB$1,0)),"")&amp;""&lt;&gt;"",ISNUMBER(AE2467),AD2467&lt;&gt;0),1,0)</f>
        <v/>
      </c>
      <c r="AG2467" s="55">
        <f>IF(AF2467=1,EOMONTH(AE2467,0),"")</f>
        <v/>
      </c>
      <c r="AH2467" s="9">
        <f>IF(AF2467=1,UPPER(TRIM(IFERROR(INDEX($A2467:$AB2467,MATCH("Client",$A$1:$AB$1,0)),"")&amp;"")),"")</f>
        <v/>
      </c>
      <c r="AI2467" s="9">
        <f>IF(AF2467=1,IFERROR(INDEX($A2467:$AB2467,MATCH("Cost Centre",$A$1:$AB$1,0)),"")&amp;"","")</f>
        <v/>
      </c>
      <c r="AJ2467" s="54">
        <f>IF(AND(AF2467=1,AE2467&gt;=set_FYStart,AE2467&lt;=set_AsAt),1,0)</f>
        <v/>
      </c>
      <c r="AK2467" s="54">
        <f>IF(AND(AJ2467=1,AH2467&lt;&gt;"",COUNTIFS($AH$2:AH2467,AH2467,$AJ$2:AJ2467,1)=1),N(AL2466)+1,"")</f>
        <v/>
      </c>
      <c r="AL2467" s="54">
        <f>IF(AK2467&lt;&gt;"",AK2467,N(AL2466))</f>
        <v/>
      </c>
    </row>
    <row r="2468">
      <c r="A2468" t="inlineStr">
        <is>
          <t>ONS-0823</t>
        </is>
      </c>
      <c r="B2468" t="inlineStr">
        <is>
          <t>Onsite</t>
        </is>
      </c>
      <c r="AB2468" t="n">
        <v>823</v>
      </c>
      <c r="AD2468" s="52">
        <f>IFERROR(N(IFERROR(INDEX($A2468:$AB2468,MATCH("Xero Invoiced Ex GST",$A$1:$AB$1,0)),"")),0)</f>
        <v/>
      </c>
      <c r="AE2468" s="53">
        <f>IFERROR(INDEX($A2468:$AB2468,MATCH("Xero Invoice Date",$A$1:$AB$1,0)),"")</f>
        <v/>
      </c>
      <c r="AF2468" s="54">
        <f>IF(AND(IFERROR(INDEX($A2468:$AB2468,MATCH("Xero Invoice No",$A$1:$AB$1,0)),"")&amp;""&lt;&gt;"",ISNUMBER(AE2468),AD2468&lt;&gt;0),1,0)</f>
        <v/>
      </c>
      <c r="AG2468" s="55">
        <f>IF(AF2468=1,EOMONTH(AE2468,0),"")</f>
        <v/>
      </c>
      <c r="AH2468" s="9">
        <f>IF(AF2468=1,UPPER(TRIM(IFERROR(INDEX($A2468:$AB2468,MATCH("Client",$A$1:$AB$1,0)),"")&amp;"")),"")</f>
        <v/>
      </c>
      <c r="AI2468" s="9">
        <f>IF(AF2468=1,IFERROR(INDEX($A2468:$AB2468,MATCH("Cost Centre",$A$1:$AB$1,0)),"")&amp;"","")</f>
        <v/>
      </c>
      <c r="AJ2468" s="54">
        <f>IF(AND(AF2468=1,AE2468&gt;=set_FYStart,AE2468&lt;=set_AsAt),1,0)</f>
        <v/>
      </c>
      <c r="AK2468" s="54">
        <f>IF(AND(AJ2468=1,AH2468&lt;&gt;"",COUNTIFS($AH$2:AH2468,AH2468,$AJ$2:AJ2468,1)=1),N(AL2467)+1,"")</f>
        <v/>
      </c>
      <c r="AL2468" s="54">
        <f>IF(AK2468&lt;&gt;"",AK2468,N(AL2467))</f>
        <v/>
      </c>
    </row>
    <row r="2469">
      <c r="A2469" t="inlineStr">
        <is>
          <t>PRD-0823</t>
        </is>
      </c>
      <c r="B2469" t="inlineStr">
        <is>
          <t>Production</t>
        </is>
      </c>
      <c r="AB2469" t="n">
        <v>823</v>
      </c>
      <c r="AD2469" s="52">
        <f>IFERROR(N(IFERROR(INDEX($A2469:$AB2469,MATCH("Xero Invoiced Ex GST",$A$1:$AB$1,0)),"")),0)</f>
        <v/>
      </c>
      <c r="AE2469" s="53">
        <f>IFERROR(INDEX($A2469:$AB2469,MATCH("Xero Invoice Date",$A$1:$AB$1,0)),"")</f>
        <v/>
      </c>
      <c r="AF2469" s="54">
        <f>IF(AND(IFERROR(INDEX($A2469:$AB2469,MATCH("Xero Invoice No",$A$1:$AB$1,0)),"")&amp;""&lt;&gt;"",ISNUMBER(AE2469),AD2469&lt;&gt;0),1,0)</f>
        <v/>
      </c>
      <c r="AG2469" s="55">
        <f>IF(AF2469=1,EOMONTH(AE2469,0),"")</f>
        <v/>
      </c>
      <c r="AH2469" s="9">
        <f>IF(AF2469=1,UPPER(TRIM(IFERROR(INDEX($A2469:$AB2469,MATCH("Client",$A$1:$AB$1,0)),"")&amp;"")),"")</f>
        <v/>
      </c>
      <c r="AI2469" s="9">
        <f>IF(AF2469=1,IFERROR(INDEX($A2469:$AB2469,MATCH("Cost Centre",$A$1:$AB$1,0)),"")&amp;"","")</f>
        <v/>
      </c>
      <c r="AJ2469" s="54">
        <f>IF(AND(AF2469=1,AE2469&gt;=set_FYStart,AE2469&lt;=set_AsAt),1,0)</f>
        <v/>
      </c>
      <c r="AK2469" s="54">
        <f>IF(AND(AJ2469=1,AH2469&lt;&gt;"",COUNTIFS($AH$2:AH2469,AH2469,$AJ$2:AJ2469,1)=1),N(AL2468)+1,"")</f>
        <v/>
      </c>
      <c r="AL2469" s="54">
        <f>IF(AK2469&lt;&gt;"",AK2469,N(AL2468))</f>
        <v/>
      </c>
    </row>
    <row r="2470">
      <c r="A2470" t="inlineStr">
        <is>
          <t>CON-0823</t>
        </is>
      </c>
      <c r="B2470" t="inlineStr">
        <is>
          <t>Consulting</t>
        </is>
      </c>
      <c r="AB2470" t="n">
        <v>823</v>
      </c>
      <c r="AD2470" s="52">
        <f>IFERROR(N(IFERROR(INDEX($A2470:$AB2470,MATCH("Xero Invoiced Ex GST",$A$1:$AB$1,0)),"")),0)</f>
        <v/>
      </c>
      <c r="AE2470" s="53">
        <f>IFERROR(INDEX($A2470:$AB2470,MATCH("Xero Invoice Date",$A$1:$AB$1,0)),"")</f>
        <v/>
      </c>
      <c r="AF2470" s="54">
        <f>IF(AND(IFERROR(INDEX($A2470:$AB2470,MATCH("Xero Invoice No",$A$1:$AB$1,0)),"")&amp;""&lt;&gt;"",ISNUMBER(AE2470),AD2470&lt;&gt;0),1,0)</f>
        <v/>
      </c>
      <c r="AG2470" s="55">
        <f>IF(AF2470=1,EOMONTH(AE2470,0),"")</f>
        <v/>
      </c>
      <c r="AH2470" s="9">
        <f>IF(AF2470=1,UPPER(TRIM(IFERROR(INDEX($A2470:$AB2470,MATCH("Client",$A$1:$AB$1,0)),"")&amp;"")),"")</f>
        <v/>
      </c>
      <c r="AI2470" s="9">
        <f>IF(AF2470=1,IFERROR(INDEX($A2470:$AB2470,MATCH("Cost Centre",$A$1:$AB$1,0)),"")&amp;"","")</f>
        <v/>
      </c>
      <c r="AJ2470" s="54">
        <f>IF(AND(AF2470=1,AE2470&gt;=set_FYStart,AE2470&lt;=set_AsAt),1,0)</f>
        <v/>
      </c>
      <c r="AK2470" s="54">
        <f>IF(AND(AJ2470=1,AH2470&lt;&gt;"",COUNTIFS($AH$2:AH2470,AH2470,$AJ$2:AJ2470,1)=1),N(AL2469)+1,"")</f>
        <v/>
      </c>
      <c r="AL2470" s="54">
        <f>IF(AK2470&lt;&gt;"",AK2470,N(AL2469))</f>
        <v/>
      </c>
    </row>
    <row r="2471">
      <c r="A2471" t="inlineStr">
        <is>
          <t>ONS-0824</t>
        </is>
      </c>
      <c r="B2471" t="inlineStr">
        <is>
          <t>Onsite</t>
        </is>
      </c>
      <c r="AB2471" t="n">
        <v>824</v>
      </c>
      <c r="AD2471" s="52">
        <f>IFERROR(N(IFERROR(INDEX($A2471:$AB2471,MATCH("Xero Invoiced Ex GST",$A$1:$AB$1,0)),"")),0)</f>
        <v/>
      </c>
      <c r="AE2471" s="53">
        <f>IFERROR(INDEX($A2471:$AB2471,MATCH("Xero Invoice Date",$A$1:$AB$1,0)),"")</f>
        <v/>
      </c>
      <c r="AF2471" s="54">
        <f>IF(AND(IFERROR(INDEX($A2471:$AB2471,MATCH("Xero Invoice No",$A$1:$AB$1,0)),"")&amp;""&lt;&gt;"",ISNUMBER(AE2471),AD2471&lt;&gt;0),1,0)</f>
        <v/>
      </c>
      <c r="AG2471" s="55">
        <f>IF(AF2471=1,EOMONTH(AE2471,0),"")</f>
        <v/>
      </c>
      <c r="AH2471" s="9">
        <f>IF(AF2471=1,UPPER(TRIM(IFERROR(INDEX($A2471:$AB2471,MATCH("Client",$A$1:$AB$1,0)),"")&amp;"")),"")</f>
        <v/>
      </c>
      <c r="AI2471" s="9">
        <f>IF(AF2471=1,IFERROR(INDEX($A2471:$AB2471,MATCH("Cost Centre",$A$1:$AB$1,0)),"")&amp;"","")</f>
        <v/>
      </c>
      <c r="AJ2471" s="54">
        <f>IF(AND(AF2471=1,AE2471&gt;=set_FYStart,AE2471&lt;=set_AsAt),1,0)</f>
        <v/>
      </c>
      <c r="AK2471" s="54">
        <f>IF(AND(AJ2471=1,AH2471&lt;&gt;"",COUNTIFS($AH$2:AH2471,AH2471,$AJ$2:AJ2471,1)=1),N(AL2470)+1,"")</f>
        <v/>
      </c>
      <c r="AL2471" s="54">
        <f>IF(AK2471&lt;&gt;"",AK2471,N(AL2470))</f>
        <v/>
      </c>
    </row>
    <row r="2472">
      <c r="A2472" t="inlineStr">
        <is>
          <t>PRD-0824</t>
        </is>
      </c>
      <c r="B2472" t="inlineStr">
        <is>
          <t>Production</t>
        </is>
      </c>
      <c r="AB2472" t="n">
        <v>824</v>
      </c>
      <c r="AD2472" s="52">
        <f>IFERROR(N(IFERROR(INDEX($A2472:$AB2472,MATCH("Xero Invoiced Ex GST",$A$1:$AB$1,0)),"")),0)</f>
        <v/>
      </c>
      <c r="AE2472" s="53">
        <f>IFERROR(INDEX($A2472:$AB2472,MATCH("Xero Invoice Date",$A$1:$AB$1,0)),"")</f>
        <v/>
      </c>
      <c r="AF2472" s="54">
        <f>IF(AND(IFERROR(INDEX($A2472:$AB2472,MATCH("Xero Invoice No",$A$1:$AB$1,0)),"")&amp;""&lt;&gt;"",ISNUMBER(AE2472),AD2472&lt;&gt;0),1,0)</f>
        <v/>
      </c>
      <c r="AG2472" s="55">
        <f>IF(AF2472=1,EOMONTH(AE2472,0),"")</f>
        <v/>
      </c>
      <c r="AH2472" s="9">
        <f>IF(AF2472=1,UPPER(TRIM(IFERROR(INDEX($A2472:$AB2472,MATCH("Client",$A$1:$AB$1,0)),"")&amp;"")),"")</f>
        <v/>
      </c>
      <c r="AI2472" s="9">
        <f>IF(AF2472=1,IFERROR(INDEX($A2472:$AB2472,MATCH("Cost Centre",$A$1:$AB$1,0)),"")&amp;"","")</f>
        <v/>
      </c>
      <c r="AJ2472" s="54">
        <f>IF(AND(AF2472=1,AE2472&gt;=set_FYStart,AE2472&lt;=set_AsAt),1,0)</f>
        <v/>
      </c>
      <c r="AK2472" s="54">
        <f>IF(AND(AJ2472=1,AH2472&lt;&gt;"",COUNTIFS($AH$2:AH2472,AH2472,$AJ$2:AJ2472,1)=1),N(AL2471)+1,"")</f>
        <v/>
      </c>
      <c r="AL2472" s="54">
        <f>IF(AK2472&lt;&gt;"",AK2472,N(AL2471))</f>
        <v/>
      </c>
    </row>
    <row r="2473">
      <c r="A2473" t="inlineStr">
        <is>
          <t>CON-0824</t>
        </is>
      </c>
      <c r="B2473" t="inlineStr">
        <is>
          <t>Consulting</t>
        </is>
      </c>
      <c r="AB2473" t="n">
        <v>824</v>
      </c>
      <c r="AD2473" s="52">
        <f>IFERROR(N(IFERROR(INDEX($A2473:$AB2473,MATCH("Xero Invoiced Ex GST",$A$1:$AB$1,0)),"")),0)</f>
        <v/>
      </c>
      <c r="AE2473" s="53">
        <f>IFERROR(INDEX($A2473:$AB2473,MATCH("Xero Invoice Date",$A$1:$AB$1,0)),"")</f>
        <v/>
      </c>
      <c r="AF2473" s="54">
        <f>IF(AND(IFERROR(INDEX($A2473:$AB2473,MATCH("Xero Invoice No",$A$1:$AB$1,0)),"")&amp;""&lt;&gt;"",ISNUMBER(AE2473),AD2473&lt;&gt;0),1,0)</f>
        <v/>
      </c>
      <c r="AG2473" s="55">
        <f>IF(AF2473=1,EOMONTH(AE2473,0),"")</f>
        <v/>
      </c>
      <c r="AH2473" s="9">
        <f>IF(AF2473=1,UPPER(TRIM(IFERROR(INDEX($A2473:$AB2473,MATCH("Client",$A$1:$AB$1,0)),"")&amp;"")),"")</f>
        <v/>
      </c>
      <c r="AI2473" s="9">
        <f>IF(AF2473=1,IFERROR(INDEX($A2473:$AB2473,MATCH("Cost Centre",$A$1:$AB$1,0)),"")&amp;"","")</f>
        <v/>
      </c>
      <c r="AJ2473" s="54">
        <f>IF(AND(AF2473=1,AE2473&gt;=set_FYStart,AE2473&lt;=set_AsAt),1,0)</f>
        <v/>
      </c>
      <c r="AK2473" s="54">
        <f>IF(AND(AJ2473=1,AH2473&lt;&gt;"",COUNTIFS($AH$2:AH2473,AH2473,$AJ$2:AJ2473,1)=1),N(AL2472)+1,"")</f>
        <v/>
      </c>
      <c r="AL2473" s="54">
        <f>IF(AK2473&lt;&gt;"",AK2473,N(AL2472))</f>
        <v/>
      </c>
    </row>
    <row r="2474">
      <c r="A2474" t="inlineStr">
        <is>
          <t>ONS-0825</t>
        </is>
      </c>
      <c r="B2474" t="inlineStr">
        <is>
          <t>Onsite</t>
        </is>
      </c>
      <c r="AB2474" t="n">
        <v>825</v>
      </c>
      <c r="AD2474" s="52">
        <f>IFERROR(N(IFERROR(INDEX($A2474:$AB2474,MATCH("Xero Invoiced Ex GST",$A$1:$AB$1,0)),"")),0)</f>
        <v/>
      </c>
      <c r="AE2474" s="53">
        <f>IFERROR(INDEX($A2474:$AB2474,MATCH("Xero Invoice Date",$A$1:$AB$1,0)),"")</f>
        <v/>
      </c>
      <c r="AF2474" s="54">
        <f>IF(AND(IFERROR(INDEX($A2474:$AB2474,MATCH("Xero Invoice No",$A$1:$AB$1,0)),"")&amp;""&lt;&gt;"",ISNUMBER(AE2474),AD2474&lt;&gt;0),1,0)</f>
        <v/>
      </c>
      <c r="AG2474" s="55">
        <f>IF(AF2474=1,EOMONTH(AE2474,0),"")</f>
        <v/>
      </c>
      <c r="AH2474" s="9">
        <f>IF(AF2474=1,UPPER(TRIM(IFERROR(INDEX($A2474:$AB2474,MATCH("Client",$A$1:$AB$1,0)),"")&amp;"")),"")</f>
        <v/>
      </c>
      <c r="AI2474" s="9">
        <f>IF(AF2474=1,IFERROR(INDEX($A2474:$AB2474,MATCH("Cost Centre",$A$1:$AB$1,0)),"")&amp;"","")</f>
        <v/>
      </c>
      <c r="AJ2474" s="54">
        <f>IF(AND(AF2474=1,AE2474&gt;=set_FYStart,AE2474&lt;=set_AsAt),1,0)</f>
        <v/>
      </c>
      <c r="AK2474" s="54">
        <f>IF(AND(AJ2474=1,AH2474&lt;&gt;"",COUNTIFS($AH$2:AH2474,AH2474,$AJ$2:AJ2474,1)=1),N(AL2473)+1,"")</f>
        <v/>
      </c>
      <c r="AL2474" s="54">
        <f>IF(AK2474&lt;&gt;"",AK2474,N(AL2473))</f>
        <v/>
      </c>
    </row>
    <row r="2475">
      <c r="A2475" t="inlineStr">
        <is>
          <t>PRD-0825</t>
        </is>
      </c>
      <c r="B2475" t="inlineStr">
        <is>
          <t>Production</t>
        </is>
      </c>
      <c r="AB2475" t="n">
        <v>825</v>
      </c>
      <c r="AD2475" s="52">
        <f>IFERROR(N(IFERROR(INDEX($A2475:$AB2475,MATCH("Xero Invoiced Ex GST",$A$1:$AB$1,0)),"")),0)</f>
        <v/>
      </c>
      <c r="AE2475" s="53">
        <f>IFERROR(INDEX($A2475:$AB2475,MATCH("Xero Invoice Date",$A$1:$AB$1,0)),"")</f>
        <v/>
      </c>
      <c r="AF2475" s="54">
        <f>IF(AND(IFERROR(INDEX($A2475:$AB2475,MATCH("Xero Invoice No",$A$1:$AB$1,0)),"")&amp;""&lt;&gt;"",ISNUMBER(AE2475),AD2475&lt;&gt;0),1,0)</f>
        <v/>
      </c>
      <c r="AG2475" s="55">
        <f>IF(AF2475=1,EOMONTH(AE2475,0),"")</f>
        <v/>
      </c>
      <c r="AH2475" s="9">
        <f>IF(AF2475=1,UPPER(TRIM(IFERROR(INDEX($A2475:$AB2475,MATCH("Client",$A$1:$AB$1,0)),"")&amp;"")),"")</f>
        <v/>
      </c>
      <c r="AI2475" s="9">
        <f>IF(AF2475=1,IFERROR(INDEX($A2475:$AB2475,MATCH("Cost Centre",$A$1:$AB$1,0)),"")&amp;"","")</f>
        <v/>
      </c>
      <c r="AJ2475" s="54">
        <f>IF(AND(AF2475=1,AE2475&gt;=set_FYStart,AE2475&lt;=set_AsAt),1,0)</f>
        <v/>
      </c>
      <c r="AK2475" s="54">
        <f>IF(AND(AJ2475=1,AH2475&lt;&gt;"",COUNTIFS($AH$2:AH2475,AH2475,$AJ$2:AJ2475,1)=1),N(AL2474)+1,"")</f>
        <v/>
      </c>
      <c r="AL2475" s="54">
        <f>IF(AK2475&lt;&gt;"",AK2475,N(AL2474))</f>
        <v/>
      </c>
    </row>
    <row r="2476">
      <c r="A2476" t="inlineStr">
        <is>
          <t>CON-0825</t>
        </is>
      </c>
      <c r="B2476" t="inlineStr">
        <is>
          <t>Consulting</t>
        </is>
      </c>
      <c r="AB2476" t="n">
        <v>825</v>
      </c>
      <c r="AD2476" s="52">
        <f>IFERROR(N(IFERROR(INDEX($A2476:$AB2476,MATCH("Xero Invoiced Ex GST",$A$1:$AB$1,0)),"")),0)</f>
        <v/>
      </c>
      <c r="AE2476" s="53">
        <f>IFERROR(INDEX($A2476:$AB2476,MATCH("Xero Invoice Date",$A$1:$AB$1,0)),"")</f>
        <v/>
      </c>
      <c r="AF2476" s="54">
        <f>IF(AND(IFERROR(INDEX($A2476:$AB2476,MATCH("Xero Invoice No",$A$1:$AB$1,0)),"")&amp;""&lt;&gt;"",ISNUMBER(AE2476),AD2476&lt;&gt;0),1,0)</f>
        <v/>
      </c>
      <c r="AG2476" s="55">
        <f>IF(AF2476=1,EOMONTH(AE2476,0),"")</f>
        <v/>
      </c>
      <c r="AH2476" s="9">
        <f>IF(AF2476=1,UPPER(TRIM(IFERROR(INDEX($A2476:$AB2476,MATCH("Client",$A$1:$AB$1,0)),"")&amp;"")),"")</f>
        <v/>
      </c>
      <c r="AI2476" s="9">
        <f>IF(AF2476=1,IFERROR(INDEX($A2476:$AB2476,MATCH("Cost Centre",$A$1:$AB$1,0)),"")&amp;"","")</f>
        <v/>
      </c>
      <c r="AJ2476" s="54">
        <f>IF(AND(AF2476=1,AE2476&gt;=set_FYStart,AE2476&lt;=set_AsAt),1,0)</f>
        <v/>
      </c>
      <c r="AK2476" s="54">
        <f>IF(AND(AJ2476=1,AH2476&lt;&gt;"",COUNTIFS($AH$2:AH2476,AH2476,$AJ$2:AJ2476,1)=1),N(AL2475)+1,"")</f>
        <v/>
      </c>
      <c r="AL2476" s="54">
        <f>IF(AK2476&lt;&gt;"",AK2476,N(AL2475))</f>
        <v/>
      </c>
    </row>
    <row r="2477">
      <c r="A2477" t="inlineStr">
        <is>
          <t>ONS-0826</t>
        </is>
      </c>
      <c r="B2477" t="inlineStr">
        <is>
          <t>Onsite</t>
        </is>
      </c>
      <c r="AB2477" t="n">
        <v>826</v>
      </c>
      <c r="AD2477" s="52">
        <f>IFERROR(N(IFERROR(INDEX($A2477:$AB2477,MATCH("Xero Invoiced Ex GST",$A$1:$AB$1,0)),"")),0)</f>
        <v/>
      </c>
      <c r="AE2477" s="53">
        <f>IFERROR(INDEX($A2477:$AB2477,MATCH("Xero Invoice Date",$A$1:$AB$1,0)),"")</f>
        <v/>
      </c>
      <c r="AF2477" s="54">
        <f>IF(AND(IFERROR(INDEX($A2477:$AB2477,MATCH("Xero Invoice No",$A$1:$AB$1,0)),"")&amp;""&lt;&gt;"",ISNUMBER(AE2477),AD2477&lt;&gt;0),1,0)</f>
        <v/>
      </c>
      <c r="AG2477" s="55">
        <f>IF(AF2477=1,EOMONTH(AE2477,0),"")</f>
        <v/>
      </c>
      <c r="AH2477" s="9">
        <f>IF(AF2477=1,UPPER(TRIM(IFERROR(INDEX($A2477:$AB2477,MATCH("Client",$A$1:$AB$1,0)),"")&amp;"")),"")</f>
        <v/>
      </c>
      <c r="AI2477" s="9">
        <f>IF(AF2477=1,IFERROR(INDEX($A2477:$AB2477,MATCH("Cost Centre",$A$1:$AB$1,0)),"")&amp;"","")</f>
        <v/>
      </c>
      <c r="AJ2477" s="54">
        <f>IF(AND(AF2477=1,AE2477&gt;=set_FYStart,AE2477&lt;=set_AsAt),1,0)</f>
        <v/>
      </c>
      <c r="AK2477" s="54">
        <f>IF(AND(AJ2477=1,AH2477&lt;&gt;"",COUNTIFS($AH$2:AH2477,AH2477,$AJ$2:AJ2477,1)=1),N(AL2476)+1,"")</f>
        <v/>
      </c>
      <c r="AL2477" s="54">
        <f>IF(AK2477&lt;&gt;"",AK2477,N(AL2476))</f>
        <v/>
      </c>
    </row>
    <row r="2478">
      <c r="A2478" t="inlineStr">
        <is>
          <t>PRD-0826</t>
        </is>
      </c>
      <c r="B2478" t="inlineStr">
        <is>
          <t>Production</t>
        </is>
      </c>
      <c r="AB2478" t="n">
        <v>826</v>
      </c>
      <c r="AD2478" s="52">
        <f>IFERROR(N(IFERROR(INDEX($A2478:$AB2478,MATCH("Xero Invoiced Ex GST",$A$1:$AB$1,0)),"")),0)</f>
        <v/>
      </c>
      <c r="AE2478" s="53">
        <f>IFERROR(INDEX($A2478:$AB2478,MATCH("Xero Invoice Date",$A$1:$AB$1,0)),"")</f>
        <v/>
      </c>
      <c r="AF2478" s="54">
        <f>IF(AND(IFERROR(INDEX($A2478:$AB2478,MATCH("Xero Invoice No",$A$1:$AB$1,0)),"")&amp;""&lt;&gt;"",ISNUMBER(AE2478),AD2478&lt;&gt;0),1,0)</f>
        <v/>
      </c>
      <c r="AG2478" s="55">
        <f>IF(AF2478=1,EOMONTH(AE2478,0),"")</f>
        <v/>
      </c>
      <c r="AH2478" s="9">
        <f>IF(AF2478=1,UPPER(TRIM(IFERROR(INDEX($A2478:$AB2478,MATCH("Client",$A$1:$AB$1,0)),"")&amp;"")),"")</f>
        <v/>
      </c>
      <c r="AI2478" s="9">
        <f>IF(AF2478=1,IFERROR(INDEX($A2478:$AB2478,MATCH("Cost Centre",$A$1:$AB$1,0)),"")&amp;"","")</f>
        <v/>
      </c>
      <c r="AJ2478" s="54">
        <f>IF(AND(AF2478=1,AE2478&gt;=set_FYStart,AE2478&lt;=set_AsAt),1,0)</f>
        <v/>
      </c>
      <c r="AK2478" s="54">
        <f>IF(AND(AJ2478=1,AH2478&lt;&gt;"",COUNTIFS($AH$2:AH2478,AH2478,$AJ$2:AJ2478,1)=1),N(AL2477)+1,"")</f>
        <v/>
      </c>
      <c r="AL2478" s="54">
        <f>IF(AK2478&lt;&gt;"",AK2478,N(AL2477))</f>
        <v/>
      </c>
    </row>
    <row r="2479">
      <c r="A2479" t="inlineStr">
        <is>
          <t>CON-0826</t>
        </is>
      </c>
      <c r="B2479" t="inlineStr">
        <is>
          <t>Consulting</t>
        </is>
      </c>
      <c r="AB2479" t="n">
        <v>826</v>
      </c>
      <c r="AD2479" s="52">
        <f>IFERROR(N(IFERROR(INDEX($A2479:$AB2479,MATCH("Xero Invoiced Ex GST",$A$1:$AB$1,0)),"")),0)</f>
        <v/>
      </c>
      <c r="AE2479" s="53">
        <f>IFERROR(INDEX($A2479:$AB2479,MATCH("Xero Invoice Date",$A$1:$AB$1,0)),"")</f>
        <v/>
      </c>
      <c r="AF2479" s="54">
        <f>IF(AND(IFERROR(INDEX($A2479:$AB2479,MATCH("Xero Invoice No",$A$1:$AB$1,0)),"")&amp;""&lt;&gt;"",ISNUMBER(AE2479),AD2479&lt;&gt;0),1,0)</f>
        <v/>
      </c>
      <c r="AG2479" s="55">
        <f>IF(AF2479=1,EOMONTH(AE2479,0),"")</f>
        <v/>
      </c>
      <c r="AH2479" s="9">
        <f>IF(AF2479=1,UPPER(TRIM(IFERROR(INDEX($A2479:$AB2479,MATCH("Client",$A$1:$AB$1,0)),"")&amp;"")),"")</f>
        <v/>
      </c>
      <c r="AI2479" s="9">
        <f>IF(AF2479=1,IFERROR(INDEX($A2479:$AB2479,MATCH("Cost Centre",$A$1:$AB$1,0)),"")&amp;"","")</f>
        <v/>
      </c>
      <c r="AJ2479" s="54">
        <f>IF(AND(AF2479=1,AE2479&gt;=set_FYStart,AE2479&lt;=set_AsAt),1,0)</f>
        <v/>
      </c>
      <c r="AK2479" s="54">
        <f>IF(AND(AJ2479=1,AH2479&lt;&gt;"",COUNTIFS($AH$2:AH2479,AH2479,$AJ$2:AJ2479,1)=1),N(AL2478)+1,"")</f>
        <v/>
      </c>
      <c r="AL2479" s="54">
        <f>IF(AK2479&lt;&gt;"",AK2479,N(AL2478))</f>
        <v/>
      </c>
    </row>
    <row r="2480">
      <c r="A2480" t="inlineStr">
        <is>
          <t>ONS-0827</t>
        </is>
      </c>
      <c r="B2480" t="inlineStr">
        <is>
          <t>Onsite</t>
        </is>
      </c>
      <c r="AB2480" t="n">
        <v>827</v>
      </c>
      <c r="AD2480" s="52">
        <f>IFERROR(N(IFERROR(INDEX($A2480:$AB2480,MATCH("Xero Invoiced Ex GST",$A$1:$AB$1,0)),"")),0)</f>
        <v/>
      </c>
      <c r="AE2480" s="53">
        <f>IFERROR(INDEX($A2480:$AB2480,MATCH("Xero Invoice Date",$A$1:$AB$1,0)),"")</f>
        <v/>
      </c>
      <c r="AF2480" s="54">
        <f>IF(AND(IFERROR(INDEX($A2480:$AB2480,MATCH("Xero Invoice No",$A$1:$AB$1,0)),"")&amp;""&lt;&gt;"",ISNUMBER(AE2480),AD2480&lt;&gt;0),1,0)</f>
        <v/>
      </c>
      <c r="AG2480" s="55">
        <f>IF(AF2480=1,EOMONTH(AE2480,0),"")</f>
        <v/>
      </c>
      <c r="AH2480" s="9">
        <f>IF(AF2480=1,UPPER(TRIM(IFERROR(INDEX($A2480:$AB2480,MATCH("Client",$A$1:$AB$1,0)),"")&amp;"")),"")</f>
        <v/>
      </c>
      <c r="AI2480" s="9">
        <f>IF(AF2480=1,IFERROR(INDEX($A2480:$AB2480,MATCH("Cost Centre",$A$1:$AB$1,0)),"")&amp;"","")</f>
        <v/>
      </c>
      <c r="AJ2480" s="54">
        <f>IF(AND(AF2480=1,AE2480&gt;=set_FYStart,AE2480&lt;=set_AsAt),1,0)</f>
        <v/>
      </c>
      <c r="AK2480" s="54">
        <f>IF(AND(AJ2480=1,AH2480&lt;&gt;"",COUNTIFS($AH$2:AH2480,AH2480,$AJ$2:AJ2480,1)=1),N(AL2479)+1,"")</f>
        <v/>
      </c>
      <c r="AL2480" s="54">
        <f>IF(AK2480&lt;&gt;"",AK2480,N(AL2479))</f>
        <v/>
      </c>
    </row>
    <row r="2481">
      <c r="A2481" t="inlineStr">
        <is>
          <t>PRD-0827</t>
        </is>
      </c>
      <c r="B2481" t="inlineStr">
        <is>
          <t>Production</t>
        </is>
      </c>
      <c r="AB2481" t="n">
        <v>827</v>
      </c>
      <c r="AD2481" s="52">
        <f>IFERROR(N(IFERROR(INDEX($A2481:$AB2481,MATCH("Xero Invoiced Ex GST",$A$1:$AB$1,0)),"")),0)</f>
        <v/>
      </c>
      <c r="AE2481" s="53">
        <f>IFERROR(INDEX($A2481:$AB2481,MATCH("Xero Invoice Date",$A$1:$AB$1,0)),"")</f>
        <v/>
      </c>
      <c r="AF2481" s="54">
        <f>IF(AND(IFERROR(INDEX($A2481:$AB2481,MATCH("Xero Invoice No",$A$1:$AB$1,0)),"")&amp;""&lt;&gt;"",ISNUMBER(AE2481),AD2481&lt;&gt;0),1,0)</f>
        <v/>
      </c>
      <c r="AG2481" s="55">
        <f>IF(AF2481=1,EOMONTH(AE2481,0),"")</f>
        <v/>
      </c>
      <c r="AH2481" s="9">
        <f>IF(AF2481=1,UPPER(TRIM(IFERROR(INDEX($A2481:$AB2481,MATCH("Client",$A$1:$AB$1,0)),"")&amp;"")),"")</f>
        <v/>
      </c>
      <c r="AI2481" s="9">
        <f>IF(AF2481=1,IFERROR(INDEX($A2481:$AB2481,MATCH("Cost Centre",$A$1:$AB$1,0)),"")&amp;"","")</f>
        <v/>
      </c>
      <c r="AJ2481" s="54">
        <f>IF(AND(AF2481=1,AE2481&gt;=set_FYStart,AE2481&lt;=set_AsAt),1,0)</f>
        <v/>
      </c>
      <c r="AK2481" s="54">
        <f>IF(AND(AJ2481=1,AH2481&lt;&gt;"",COUNTIFS($AH$2:AH2481,AH2481,$AJ$2:AJ2481,1)=1),N(AL2480)+1,"")</f>
        <v/>
      </c>
      <c r="AL2481" s="54">
        <f>IF(AK2481&lt;&gt;"",AK2481,N(AL2480))</f>
        <v/>
      </c>
    </row>
    <row r="2482">
      <c r="A2482" t="inlineStr">
        <is>
          <t>CON-0827</t>
        </is>
      </c>
      <c r="B2482" t="inlineStr">
        <is>
          <t>Consulting</t>
        </is>
      </c>
      <c r="AB2482" t="n">
        <v>827</v>
      </c>
      <c r="AD2482" s="52">
        <f>IFERROR(N(IFERROR(INDEX($A2482:$AB2482,MATCH("Xero Invoiced Ex GST",$A$1:$AB$1,0)),"")),0)</f>
        <v/>
      </c>
      <c r="AE2482" s="53">
        <f>IFERROR(INDEX($A2482:$AB2482,MATCH("Xero Invoice Date",$A$1:$AB$1,0)),"")</f>
        <v/>
      </c>
      <c r="AF2482" s="54">
        <f>IF(AND(IFERROR(INDEX($A2482:$AB2482,MATCH("Xero Invoice No",$A$1:$AB$1,0)),"")&amp;""&lt;&gt;"",ISNUMBER(AE2482),AD2482&lt;&gt;0),1,0)</f>
        <v/>
      </c>
      <c r="AG2482" s="55">
        <f>IF(AF2482=1,EOMONTH(AE2482,0),"")</f>
        <v/>
      </c>
      <c r="AH2482" s="9">
        <f>IF(AF2482=1,UPPER(TRIM(IFERROR(INDEX($A2482:$AB2482,MATCH("Client",$A$1:$AB$1,0)),"")&amp;"")),"")</f>
        <v/>
      </c>
      <c r="AI2482" s="9">
        <f>IF(AF2482=1,IFERROR(INDEX($A2482:$AB2482,MATCH("Cost Centre",$A$1:$AB$1,0)),"")&amp;"","")</f>
        <v/>
      </c>
      <c r="AJ2482" s="54">
        <f>IF(AND(AF2482=1,AE2482&gt;=set_FYStart,AE2482&lt;=set_AsAt),1,0)</f>
        <v/>
      </c>
      <c r="AK2482" s="54">
        <f>IF(AND(AJ2482=1,AH2482&lt;&gt;"",COUNTIFS($AH$2:AH2482,AH2482,$AJ$2:AJ2482,1)=1),N(AL2481)+1,"")</f>
        <v/>
      </c>
      <c r="AL2482" s="54">
        <f>IF(AK2482&lt;&gt;"",AK2482,N(AL2481))</f>
        <v/>
      </c>
    </row>
    <row r="2483">
      <c r="A2483" t="inlineStr">
        <is>
          <t>ONS-0828</t>
        </is>
      </c>
      <c r="B2483" t="inlineStr">
        <is>
          <t>Onsite</t>
        </is>
      </c>
      <c r="AB2483" t="n">
        <v>828</v>
      </c>
      <c r="AD2483" s="52">
        <f>IFERROR(N(IFERROR(INDEX($A2483:$AB2483,MATCH("Xero Invoiced Ex GST",$A$1:$AB$1,0)),"")),0)</f>
        <v/>
      </c>
      <c r="AE2483" s="53">
        <f>IFERROR(INDEX($A2483:$AB2483,MATCH("Xero Invoice Date",$A$1:$AB$1,0)),"")</f>
        <v/>
      </c>
      <c r="AF2483" s="54">
        <f>IF(AND(IFERROR(INDEX($A2483:$AB2483,MATCH("Xero Invoice No",$A$1:$AB$1,0)),"")&amp;""&lt;&gt;"",ISNUMBER(AE2483),AD2483&lt;&gt;0),1,0)</f>
        <v/>
      </c>
      <c r="AG2483" s="55">
        <f>IF(AF2483=1,EOMONTH(AE2483,0),"")</f>
        <v/>
      </c>
      <c r="AH2483" s="9">
        <f>IF(AF2483=1,UPPER(TRIM(IFERROR(INDEX($A2483:$AB2483,MATCH("Client",$A$1:$AB$1,0)),"")&amp;"")),"")</f>
        <v/>
      </c>
      <c r="AI2483" s="9">
        <f>IF(AF2483=1,IFERROR(INDEX($A2483:$AB2483,MATCH("Cost Centre",$A$1:$AB$1,0)),"")&amp;"","")</f>
        <v/>
      </c>
      <c r="AJ2483" s="54">
        <f>IF(AND(AF2483=1,AE2483&gt;=set_FYStart,AE2483&lt;=set_AsAt),1,0)</f>
        <v/>
      </c>
      <c r="AK2483" s="54">
        <f>IF(AND(AJ2483=1,AH2483&lt;&gt;"",COUNTIFS($AH$2:AH2483,AH2483,$AJ$2:AJ2483,1)=1),N(AL2482)+1,"")</f>
        <v/>
      </c>
      <c r="AL2483" s="54">
        <f>IF(AK2483&lt;&gt;"",AK2483,N(AL2482))</f>
        <v/>
      </c>
    </row>
    <row r="2484">
      <c r="A2484" t="inlineStr">
        <is>
          <t>PRD-0828</t>
        </is>
      </c>
      <c r="B2484" t="inlineStr">
        <is>
          <t>Production</t>
        </is>
      </c>
      <c r="AB2484" t="n">
        <v>828</v>
      </c>
      <c r="AD2484" s="52">
        <f>IFERROR(N(IFERROR(INDEX($A2484:$AB2484,MATCH("Xero Invoiced Ex GST",$A$1:$AB$1,0)),"")),0)</f>
        <v/>
      </c>
      <c r="AE2484" s="53">
        <f>IFERROR(INDEX($A2484:$AB2484,MATCH("Xero Invoice Date",$A$1:$AB$1,0)),"")</f>
        <v/>
      </c>
      <c r="AF2484" s="54">
        <f>IF(AND(IFERROR(INDEX($A2484:$AB2484,MATCH("Xero Invoice No",$A$1:$AB$1,0)),"")&amp;""&lt;&gt;"",ISNUMBER(AE2484),AD2484&lt;&gt;0),1,0)</f>
        <v/>
      </c>
      <c r="AG2484" s="55">
        <f>IF(AF2484=1,EOMONTH(AE2484,0),"")</f>
        <v/>
      </c>
      <c r="AH2484" s="9">
        <f>IF(AF2484=1,UPPER(TRIM(IFERROR(INDEX($A2484:$AB2484,MATCH("Client",$A$1:$AB$1,0)),"")&amp;"")),"")</f>
        <v/>
      </c>
      <c r="AI2484" s="9">
        <f>IF(AF2484=1,IFERROR(INDEX($A2484:$AB2484,MATCH("Cost Centre",$A$1:$AB$1,0)),"")&amp;"","")</f>
        <v/>
      </c>
      <c r="AJ2484" s="54">
        <f>IF(AND(AF2484=1,AE2484&gt;=set_FYStart,AE2484&lt;=set_AsAt),1,0)</f>
        <v/>
      </c>
      <c r="AK2484" s="54">
        <f>IF(AND(AJ2484=1,AH2484&lt;&gt;"",COUNTIFS($AH$2:AH2484,AH2484,$AJ$2:AJ2484,1)=1),N(AL2483)+1,"")</f>
        <v/>
      </c>
      <c r="AL2484" s="54">
        <f>IF(AK2484&lt;&gt;"",AK2484,N(AL2483))</f>
        <v/>
      </c>
    </row>
    <row r="2485">
      <c r="A2485" t="inlineStr">
        <is>
          <t>CON-0828</t>
        </is>
      </c>
      <c r="B2485" t="inlineStr">
        <is>
          <t>Consulting</t>
        </is>
      </c>
      <c r="AB2485" t="n">
        <v>828</v>
      </c>
      <c r="AD2485" s="52">
        <f>IFERROR(N(IFERROR(INDEX($A2485:$AB2485,MATCH("Xero Invoiced Ex GST",$A$1:$AB$1,0)),"")),0)</f>
        <v/>
      </c>
      <c r="AE2485" s="53">
        <f>IFERROR(INDEX($A2485:$AB2485,MATCH("Xero Invoice Date",$A$1:$AB$1,0)),"")</f>
        <v/>
      </c>
      <c r="AF2485" s="54">
        <f>IF(AND(IFERROR(INDEX($A2485:$AB2485,MATCH("Xero Invoice No",$A$1:$AB$1,0)),"")&amp;""&lt;&gt;"",ISNUMBER(AE2485),AD2485&lt;&gt;0),1,0)</f>
        <v/>
      </c>
      <c r="AG2485" s="55">
        <f>IF(AF2485=1,EOMONTH(AE2485,0),"")</f>
        <v/>
      </c>
      <c r="AH2485" s="9">
        <f>IF(AF2485=1,UPPER(TRIM(IFERROR(INDEX($A2485:$AB2485,MATCH("Client",$A$1:$AB$1,0)),"")&amp;"")),"")</f>
        <v/>
      </c>
      <c r="AI2485" s="9">
        <f>IF(AF2485=1,IFERROR(INDEX($A2485:$AB2485,MATCH("Cost Centre",$A$1:$AB$1,0)),"")&amp;"","")</f>
        <v/>
      </c>
      <c r="AJ2485" s="54">
        <f>IF(AND(AF2485=1,AE2485&gt;=set_FYStart,AE2485&lt;=set_AsAt),1,0)</f>
        <v/>
      </c>
      <c r="AK2485" s="54">
        <f>IF(AND(AJ2485=1,AH2485&lt;&gt;"",COUNTIFS($AH$2:AH2485,AH2485,$AJ$2:AJ2485,1)=1),N(AL2484)+1,"")</f>
        <v/>
      </c>
      <c r="AL2485" s="54">
        <f>IF(AK2485&lt;&gt;"",AK2485,N(AL2484))</f>
        <v/>
      </c>
    </row>
    <row r="2486">
      <c r="A2486" t="inlineStr">
        <is>
          <t>ONS-0829</t>
        </is>
      </c>
      <c r="B2486" t="inlineStr">
        <is>
          <t>Onsite</t>
        </is>
      </c>
      <c r="AB2486" t="n">
        <v>829</v>
      </c>
      <c r="AD2486" s="52">
        <f>IFERROR(N(IFERROR(INDEX($A2486:$AB2486,MATCH("Xero Invoiced Ex GST",$A$1:$AB$1,0)),"")),0)</f>
        <v/>
      </c>
      <c r="AE2486" s="53">
        <f>IFERROR(INDEX($A2486:$AB2486,MATCH("Xero Invoice Date",$A$1:$AB$1,0)),"")</f>
        <v/>
      </c>
      <c r="AF2486" s="54">
        <f>IF(AND(IFERROR(INDEX($A2486:$AB2486,MATCH("Xero Invoice No",$A$1:$AB$1,0)),"")&amp;""&lt;&gt;"",ISNUMBER(AE2486),AD2486&lt;&gt;0),1,0)</f>
        <v/>
      </c>
      <c r="AG2486" s="55">
        <f>IF(AF2486=1,EOMONTH(AE2486,0),"")</f>
        <v/>
      </c>
      <c r="AH2486" s="9">
        <f>IF(AF2486=1,UPPER(TRIM(IFERROR(INDEX($A2486:$AB2486,MATCH("Client",$A$1:$AB$1,0)),"")&amp;"")),"")</f>
        <v/>
      </c>
      <c r="AI2486" s="9">
        <f>IF(AF2486=1,IFERROR(INDEX($A2486:$AB2486,MATCH("Cost Centre",$A$1:$AB$1,0)),"")&amp;"","")</f>
        <v/>
      </c>
      <c r="AJ2486" s="54">
        <f>IF(AND(AF2486=1,AE2486&gt;=set_FYStart,AE2486&lt;=set_AsAt),1,0)</f>
        <v/>
      </c>
      <c r="AK2486" s="54">
        <f>IF(AND(AJ2486=1,AH2486&lt;&gt;"",COUNTIFS($AH$2:AH2486,AH2486,$AJ$2:AJ2486,1)=1),N(AL2485)+1,"")</f>
        <v/>
      </c>
      <c r="AL2486" s="54">
        <f>IF(AK2486&lt;&gt;"",AK2486,N(AL2485))</f>
        <v/>
      </c>
    </row>
    <row r="2487">
      <c r="A2487" t="inlineStr">
        <is>
          <t>PRD-0829</t>
        </is>
      </c>
      <c r="B2487" t="inlineStr">
        <is>
          <t>Production</t>
        </is>
      </c>
      <c r="AB2487" t="n">
        <v>829</v>
      </c>
      <c r="AD2487" s="52">
        <f>IFERROR(N(IFERROR(INDEX($A2487:$AB2487,MATCH("Xero Invoiced Ex GST",$A$1:$AB$1,0)),"")),0)</f>
        <v/>
      </c>
      <c r="AE2487" s="53">
        <f>IFERROR(INDEX($A2487:$AB2487,MATCH("Xero Invoice Date",$A$1:$AB$1,0)),"")</f>
        <v/>
      </c>
      <c r="AF2487" s="54">
        <f>IF(AND(IFERROR(INDEX($A2487:$AB2487,MATCH("Xero Invoice No",$A$1:$AB$1,0)),"")&amp;""&lt;&gt;"",ISNUMBER(AE2487),AD2487&lt;&gt;0),1,0)</f>
        <v/>
      </c>
      <c r="AG2487" s="55">
        <f>IF(AF2487=1,EOMONTH(AE2487,0),"")</f>
        <v/>
      </c>
      <c r="AH2487" s="9">
        <f>IF(AF2487=1,UPPER(TRIM(IFERROR(INDEX($A2487:$AB2487,MATCH("Client",$A$1:$AB$1,0)),"")&amp;"")),"")</f>
        <v/>
      </c>
      <c r="AI2487" s="9">
        <f>IF(AF2487=1,IFERROR(INDEX($A2487:$AB2487,MATCH("Cost Centre",$A$1:$AB$1,0)),"")&amp;"","")</f>
        <v/>
      </c>
      <c r="AJ2487" s="54">
        <f>IF(AND(AF2487=1,AE2487&gt;=set_FYStart,AE2487&lt;=set_AsAt),1,0)</f>
        <v/>
      </c>
      <c r="AK2487" s="54">
        <f>IF(AND(AJ2487=1,AH2487&lt;&gt;"",COUNTIFS($AH$2:AH2487,AH2487,$AJ$2:AJ2487,1)=1),N(AL2486)+1,"")</f>
        <v/>
      </c>
      <c r="AL2487" s="54">
        <f>IF(AK2487&lt;&gt;"",AK2487,N(AL2486))</f>
        <v/>
      </c>
    </row>
    <row r="2488">
      <c r="A2488" t="inlineStr">
        <is>
          <t>CON-0829</t>
        </is>
      </c>
      <c r="B2488" t="inlineStr">
        <is>
          <t>Consulting</t>
        </is>
      </c>
      <c r="AB2488" t="n">
        <v>829</v>
      </c>
      <c r="AD2488" s="52">
        <f>IFERROR(N(IFERROR(INDEX($A2488:$AB2488,MATCH("Xero Invoiced Ex GST",$A$1:$AB$1,0)),"")),0)</f>
        <v/>
      </c>
      <c r="AE2488" s="53">
        <f>IFERROR(INDEX($A2488:$AB2488,MATCH("Xero Invoice Date",$A$1:$AB$1,0)),"")</f>
        <v/>
      </c>
      <c r="AF2488" s="54">
        <f>IF(AND(IFERROR(INDEX($A2488:$AB2488,MATCH("Xero Invoice No",$A$1:$AB$1,0)),"")&amp;""&lt;&gt;"",ISNUMBER(AE2488),AD2488&lt;&gt;0),1,0)</f>
        <v/>
      </c>
      <c r="AG2488" s="55">
        <f>IF(AF2488=1,EOMONTH(AE2488,0),"")</f>
        <v/>
      </c>
      <c r="AH2488" s="9">
        <f>IF(AF2488=1,UPPER(TRIM(IFERROR(INDEX($A2488:$AB2488,MATCH("Client",$A$1:$AB$1,0)),"")&amp;"")),"")</f>
        <v/>
      </c>
      <c r="AI2488" s="9">
        <f>IF(AF2488=1,IFERROR(INDEX($A2488:$AB2488,MATCH("Cost Centre",$A$1:$AB$1,0)),"")&amp;"","")</f>
        <v/>
      </c>
      <c r="AJ2488" s="54">
        <f>IF(AND(AF2488=1,AE2488&gt;=set_FYStart,AE2488&lt;=set_AsAt),1,0)</f>
        <v/>
      </c>
      <c r="AK2488" s="54">
        <f>IF(AND(AJ2488=1,AH2488&lt;&gt;"",COUNTIFS($AH$2:AH2488,AH2488,$AJ$2:AJ2488,1)=1),N(AL2487)+1,"")</f>
        <v/>
      </c>
      <c r="AL2488" s="54">
        <f>IF(AK2488&lt;&gt;"",AK2488,N(AL2487))</f>
        <v/>
      </c>
    </row>
    <row r="2489">
      <c r="A2489" t="inlineStr">
        <is>
          <t>ONS-0830</t>
        </is>
      </c>
      <c r="B2489" t="inlineStr">
        <is>
          <t>Onsite</t>
        </is>
      </c>
      <c r="AB2489" t="n">
        <v>830</v>
      </c>
      <c r="AD2489" s="52">
        <f>IFERROR(N(IFERROR(INDEX($A2489:$AB2489,MATCH("Xero Invoiced Ex GST",$A$1:$AB$1,0)),"")),0)</f>
        <v/>
      </c>
      <c r="AE2489" s="53">
        <f>IFERROR(INDEX($A2489:$AB2489,MATCH("Xero Invoice Date",$A$1:$AB$1,0)),"")</f>
        <v/>
      </c>
      <c r="AF2489" s="54">
        <f>IF(AND(IFERROR(INDEX($A2489:$AB2489,MATCH("Xero Invoice No",$A$1:$AB$1,0)),"")&amp;""&lt;&gt;"",ISNUMBER(AE2489),AD2489&lt;&gt;0),1,0)</f>
        <v/>
      </c>
      <c r="AG2489" s="55">
        <f>IF(AF2489=1,EOMONTH(AE2489,0),"")</f>
        <v/>
      </c>
      <c r="AH2489" s="9">
        <f>IF(AF2489=1,UPPER(TRIM(IFERROR(INDEX($A2489:$AB2489,MATCH("Client",$A$1:$AB$1,0)),"")&amp;"")),"")</f>
        <v/>
      </c>
      <c r="AI2489" s="9">
        <f>IF(AF2489=1,IFERROR(INDEX($A2489:$AB2489,MATCH("Cost Centre",$A$1:$AB$1,0)),"")&amp;"","")</f>
        <v/>
      </c>
      <c r="AJ2489" s="54">
        <f>IF(AND(AF2489=1,AE2489&gt;=set_FYStart,AE2489&lt;=set_AsAt),1,0)</f>
        <v/>
      </c>
      <c r="AK2489" s="54">
        <f>IF(AND(AJ2489=1,AH2489&lt;&gt;"",COUNTIFS($AH$2:AH2489,AH2489,$AJ$2:AJ2489,1)=1),N(AL2488)+1,"")</f>
        <v/>
      </c>
      <c r="AL2489" s="54">
        <f>IF(AK2489&lt;&gt;"",AK2489,N(AL2488))</f>
        <v/>
      </c>
    </row>
    <row r="2490">
      <c r="A2490" t="inlineStr">
        <is>
          <t>PRD-0830</t>
        </is>
      </c>
      <c r="B2490" t="inlineStr">
        <is>
          <t>Production</t>
        </is>
      </c>
      <c r="AB2490" t="n">
        <v>830</v>
      </c>
      <c r="AD2490" s="52">
        <f>IFERROR(N(IFERROR(INDEX($A2490:$AB2490,MATCH("Xero Invoiced Ex GST",$A$1:$AB$1,0)),"")),0)</f>
        <v/>
      </c>
      <c r="AE2490" s="53">
        <f>IFERROR(INDEX($A2490:$AB2490,MATCH("Xero Invoice Date",$A$1:$AB$1,0)),"")</f>
        <v/>
      </c>
      <c r="AF2490" s="54">
        <f>IF(AND(IFERROR(INDEX($A2490:$AB2490,MATCH("Xero Invoice No",$A$1:$AB$1,0)),"")&amp;""&lt;&gt;"",ISNUMBER(AE2490),AD2490&lt;&gt;0),1,0)</f>
        <v/>
      </c>
      <c r="AG2490" s="55">
        <f>IF(AF2490=1,EOMONTH(AE2490,0),"")</f>
        <v/>
      </c>
      <c r="AH2490" s="9">
        <f>IF(AF2490=1,UPPER(TRIM(IFERROR(INDEX($A2490:$AB2490,MATCH("Client",$A$1:$AB$1,0)),"")&amp;"")),"")</f>
        <v/>
      </c>
      <c r="AI2490" s="9">
        <f>IF(AF2490=1,IFERROR(INDEX($A2490:$AB2490,MATCH("Cost Centre",$A$1:$AB$1,0)),"")&amp;"","")</f>
        <v/>
      </c>
      <c r="AJ2490" s="54">
        <f>IF(AND(AF2490=1,AE2490&gt;=set_FYStart,AE2490&lt;=set_AsAt),1,0)</f>
        <v/>
      </c>
      <c r="AK2490" s="54">
        <f>IF(AND(AJ2490=1,AH2490&lt;&gt;"",COUNTIFS($AH$2:AH2490,AH2490,$AJ$2:AJ2490,1)=1),N(AL2489)+1,"")</f>
        <v/>
      </c>
      <c r="AL2490" s="54">
        <f>IF(AK2490&lt;&gt;"",AK2490,N(AL2489))</f>
        <v/>
      </c>
    </row>
    <row r="2491">
      <c r="A2491" t="inlineStr">
        <is>
          <t>CON-0830</t>
        </is>
      </c>
      <c r="B2491" t="inlineStr">
        <is>
          <t>Consulting</t>
        </is>
      </c>
      <c r="AB2491" t="n">
        <v>830</v>
      </c>
      <c r="AD2491" s="52">
        <f>IFERROR(N(IFERROR(INDEX($A2491:$AB2491,MATCH("Xero Invoiced Ex GST",$A$1:$AB$1,0)),"")),0)</f>
        <v/>
      </c>
      <c r="AE2491" s="53">
        <f>IFERROR(INDEX($A2491:$AB2491,MATCH("Xero Invoice Date",$A$1:$AB$1,0)),"")</f>
        <v/>
      </c>
      <c r="AF2491" s="54">
        <f>IF(AND(IFERROR(INDEX($A2491:$AB2491,MATCH("Xero Invoice No",$A$1:$AB$1,0)),"")&amp;""&lt;&gt;"",ISNUMBER(AE2491),AD2491&lt;&gt;0),1,0)</f>
        <v/>
      </c>
      <c r="AG2491" s="55">
        <f>IF(AF2491=1,EOMONTH(AE2491,0),"")</f>
        <v/>
      </c>
      <c r="AH2491" s="9">
        <f>IF(AF2491=1,UPPER(TRIM(IFERROR(INDEX($A2491:$AB2491,MATCH("Client",$A$1:$AB$1,0)),"")&amp;"")),"")</f>
        <v/>
      </c>
      <c r="AI2491" s="9">
        <f>IF(AF2491=1,IFERROR(INDEX($A2491:$AB2491,MATCH("Cost Centre",$A$1:$AB$1,0)),"")&amp;"","")</f>
        <v/>
      </c>
      <c r="AJ2491" s="54">
        <f>IF(AND(AF2491=1,AE2491&gt;=set_FYStart,AE2491&lt;=set_AsAt),1,0)</f>
        <v/>
      </c>
      <c r="AK2491" s="54">
        <f>IF(AND(AJ2491=1,AH2491&lt;&gt;"",COUNTIFS($AH$2:AH2491,AH2491,$AJ$2:AJ2491,1)=1),N(AL2490)+1,"")</f>
        <v/>
      </c>
      <c r="AL2491" s="54">
        <f>IF(AK2491&lt;&gt;"",AK2491,N(AL2490))</f>
        <v/>
      </c>
    </row>
    <row r="2492">
      <c r="A2492" t="inlineStr">
        <is>
          <t>ONS-0831</t>
        </is>
      </c>
      <c r="B2492" t="inlineStr">
        <is>
          <t>Onsite</t>
        </is>
      </c>
      <c r="AB2492" t="n">
        <v>831</v>
      </c>
      <c r="AD2492" s="52">
        <f>IFERROR(N(IFERROR(INDEX($A2492:$AB2492,MATCH("Xero Invoiced Ex GST",$A$1:$AB$1,0)),"")),0)</f>
        <v/>
      </c>
      <c r="AE2492" s="53">
        <f>IFERROR(INDEX($A2492:$AB2492,MATCH("Xero Invoice Date",$A$1:$AB$1,0)),"")</f>
        <v/>
      </c>
      <c r="AF2492" s="54">
        <f>IF(AND(IFERROR(INDEX($A2492:$AB2492,MATCH("Xero Invoice No",$A$1:$AB$1,0)),"")&amp;""&lt;&gt;"",ISNUMBER(AE2492),AD2492&lt;&gt;0),1,0)</f>
        <v/>
      </c>
      <c r="AG2492" s="55">
        <f>IF(AF2492=1,EOMONTH(AE2492,0),"")</f>
        <v/>
      </c>
      <c r="AH2492" s="9">
        <f>IF(AF2492=1,UPPER(TRIM(IFERROR(INDEX($A2492:$AB2492,MATCH("Client",$A$1:$AB$1,0)),"")&amp;"")),"")</f>
        <v/>
      </c>
      <c r="AI2492" s="9">
        <f>IF(AF2492=1,IFERROR(INDEX($A2492:$AB2492,MATCH("Cost Centre",$A$1:$AB$1,0)),"")&amp;"","")</f>
        <v/>
      </c>
      <c r="AJ2492" s="54">
        <f>IF(AND(AF2492=1,AE2492&gt;=set_FYStart,AE2492&lt;=set_AsAt),1,0)</f>
        <v/>
      </c>
      <c r="AK2492" s="54">
        <f>IF(AND(AJ2492=1,AH2492&lt;&gt;"",COUNTIFS($AH$2:AH2492,AH2492,$AJ$2:AJ2492,1)=1),N(AL2491)+1,"")</f>
        <v/>
      </c>
      <c r="AL2492" s="54">
        <f>IF(AK2492&lt;&gt;"",AK2492,N(AL2491))</f>
        <v/>
      </c>
    </row>
    <row r="2493">
      <c r="A2493" t="inlineStr">
        <is>
          <t>PRD-0831</t>
        </is>
      </c>
      <c r="B2493" t="inlineStr">
        <is>
          <t>Production</t>
        </is>
      </c>
      <c r="AB2493" t="n">
        <v>831</v>
      </c>
      <c r="AD2493" s="52">
        <f>IFERROR(N(IFERROR(INDEX($A2493:$AB2493,MATCH("Xero Invoiced Ex GST",$A$1:$AB$1,0)),"")),0)</f>
        <v/>
      </c>
      <c r="AE2493" s="53">
        <f>IFERROR(INDEX($A2493:$AB2493,MATCH("Xero Invoice Date",$A$1:$AB$1,0)),"")</f>
        <v/>
      </c>
      <c r="AF2493" s="54">
        <f>IF(AND(IFERROR(INDEX($A2493:$AB2493,MATCH("Xero Invoice No",$A$1:$AB$1,0)),"")&amp;""&lt;&gt;"",ISNUMBER(AE2493),AD2493&lt;&gt;0),1,0)</f>
        <v/>
      </c>
      <c r="AG2493" s="55">
        <f>IF(AF2493=1,EOMONTH(AE2493,0),"")</f>
        <v/>
      </c>
      <c r="AH2493" s="9">
        <f>IF(AF2493=1,UPPER(TRIM(IFERROR(INDEX($A2493:$AB2493,MATCH("Client",$A$1:$AB$1,0)),"")&amp;"")),"")</f>
        <v/>
      </c>
      <c r="AI2493" s="9">
        <f>IF(AF2493=1,IFERROR(INDEX($A2493:$AB2493,MATCH("Cost Centre",$A$1:$AB$1,0)),"")&amp;"","")</f>
        <v/>
      </c>
      <c r="AJ2493" s="54">
        <f>IF(AND(AF2493=1,AE2493&gt;=set_FYStart,AE2493&lt;=set_AsAt),1,0)</f>
        <v/>
      </c>
      <c r="AK2493" s="54">
        <f>IF(AND(AJ2493=1,AH2493&lt;&gt;"",COUNTIFS($AH$2:AH2493,AH2493,$AJ$2:AJ2493,1)=1),N(AL2492)+1,"")</f>
        <v/>
      </c>
      <c r="AL2493" s="54">
        <f>IF(AK2493&lt;&gt;"",AK2493,N(AL2492))</f>
        <v/>
      </c>
    </row>
    <row r="2494">
      <c r="A2494" t="inlineStr">
        <is>
          <t>CON-0831</t>
        </is>
      </c>
      <c r="B2494" t="inlineStr">
        <is>
          <t>Consulting</t>
        </is>
      </c>
      <c r="AB2494" t="n">
        <v>831</v>
      </c>
      <c r="AD2494" s="52">
        <f>IFERROR(N(IFERROR(INDEX($A2494:$AB2494,MATCH("Xero Invoiced Ex GST",$A$1:$AB$1,0)),"")),0)</f>
        <v/>
      </c>
      <c r="AE2494" s="53">
        <f>IFERROR(INDEX($A2494:$AB2494,MATCH("Xero Invoice Date",$A$1:$AB$1,0)),"")</f>
        <v/>
      </c>
      <c r="AF2494" s="54">
        <f>IF(AND(IFERROR(INDEX($A2494:$AB2494,MATCH("Xero Invoice No",$A$1:$AB$1,0)),"")&amp;""&lt;&gt;"",ISNUMBER(AE2494),AD2494&lt;&gt;0),1,0)</f>
        <v/>
      </c>
      <c r="AG2494" s="55">
        <f>IF(AF2494=1,EOMONTH(AE2494,0),"")</f>
        <v/>
      </c>
      <c r="AH2494" s="9">
        <f>IF(AF2494=1,UPPER(TRIM(IFERROR(INDEX($A2494:$AB2494,MATCH("Client",$A$1:$AB$1,0)),"")&amp;"")),"")</f>
        <v/>
      </c>
      <c r="AI2494" s="9">
        <f>IF(AF2494=1,IFERROR(INDEX($A2494:$AB2494,MATCH("Cost Centre",$A$1:$AB$1,0)),"")&amp;"","")</f>
        <v/>
      </c>
      <c r="AJ2494" s="54">
        <f>IF(AND(AF2494=1,AE2494&gt;=set_FYStart,AE2494&lt;=set_AsAt),1,0)</f>
        <v/>
      </c>
      <c r="AK2494" s="54">
        <f>IF(AND(AJ2494=1,AH2494&lt;&gt;"",COUNTIFS($AH$2:AH2494,AH2494,$AJ$2:AJ2494,1)=1),N(AL2493)+1,"")</f>
        <v/>
      </c>
      <c r="AL2494" s="54">
        <f>IF(AK2494&lt;&gt;"",AK2494,N(AL2493))</f>
        <v/>
      </c>
    </row>
    <row r="2495">
      <c r="A2495" t="inlineStr">
        <is>
          <t>ONS-0832</t>
        </is>
      </c>
      <c r="B2495" t="inlineStr">
        <is>
          <t>Onsite</t>
        </is>
      </c>
      <c r="AB2495" t="n">
        <v>832</v>
      </c>
      <c r="AD2495" s="52">
        <f>IFERROR(N(IFERROR(INDEX($A2495:$AB2495,MATCH("Xero Invoiced Ex GST",$A$1:$AB$1,0)),"")),0)</f>
        <v/>
      </c>
      <c r="AE2495" s="53">
        <f>IFERROR(INDEX($A2495:$AB2495,MATCH("Xero Invoice Date",$A$1:$AB$1,0)),"")</f>
        <v/>
      </c>
      <c r="AF2495" s="54">
        <f>IF(AND(IFERROR(INDEX($A2495:$AB2495,MATCH("Xero Invoice No",$A$1:$AB$1,0)),"")&amp;""&lt;&gt;"",ISNUMBER(AE2495),AD2495&lt;&gt;0),1,0)</f>
        <v/>
      </c>
      <c r="AG2495" s="55">
        <f>IF(AF2495=1,EOMONTH(AE2495,0),"")</f>
        <v/>
      </c>
      <c r="AH2495" s="9">
        <f>IF(AF2495=1,UPPER(TRIM(IFERROR(INDEX($A2495:$AB2495,MATCH("Client",$A$1:$AB$1,0)),"")&amp;"")),"")</f>
        <v/>
      </c>
      <c r="AI2495" s="9">
        <f>IF(AF2495=1,IFERROR(INDEX($A2495:$AB2495,MATCH("Cost Centre",$A$1:$AB$1,0)),"")&amp;"","")</f>
        <v/>
      </c>
      <c r="AJ2495" s="54">
        <f>IF(AND(AF2495=1,AE2495&gt;=set_FYStart,AE2495&lt;=set_AsAt),1,0)</f>
        <v/>
      </c>
      <c r="AK2495" s="54">
        <f>IF(AND(AJ2495=1,AH2495&lt;&gt;"",COUNTIFS($AH$2:AH2495,AH2495,$AJ$2:AJ2495,1)=1),N(AL2494)+1,"")</f>
        <v/>
      </c>
      <c r="AL2495" s="54">
        <f>IF(AK2495&lt;&gt;"",AK2495,N(AL2494))</f>
        <v/>
      </c>
    </row>
    <row r="2496">
      <c r="A2496" t="inlineStr">
        <is>
          <t>PRD-0832</t>
        </is>
      </c>
      <c r="B2496" t="inlineStr">
        <is>
          <t>Production</t>
        </is>
      </c>
      <c r="AB2496" t="n">
        <v>832</v>
      </c>
      <c r="AD2496" s="52">
        <f>IFERROR(N(IFERROR(INDEX($A2496:$AB2496,MATCH("Xero Invoiced Ex GST",$A$1:$AB$1,0)),"")),0)</f>
        <v/>
      </c>
      <c r="AE2496" s="53">
        <f>IFERROR(INDEX($A2496:$AB2496,MATCH("Xero Invoice Date",$A$1:$AB$1,0)),"")</f>
        <v/>
      </c>
      <c r="AF2496" s="54">
        <f>IF(AND(IFERROR(INDEX($A2496:$AB2496,MATCH("Xero Invoice No",$A$1:$AB$1,0)),"")&amp;""&lt;&gt;"",ISNUMBER(AE2496),AD2496&lt;&gt;0),1,0)</f>
        <v/>
      </c>
      <c r="AG2496" s="55">
        <f>IF(AF2496=1,EOMONTH(AE2496,0),"")</f>
        <v/>
      </c>
      <c r="AH2496" s="9">
        <f>IF(AF2496=1,UPPER(TRIM(IFERROR(INDEX($A2496:$AB2496,MATCH("Client",$A$1:$AB$1,0)),"")&amp;"")),"")</f>
        <v/>
      </c>
      <c r="AI2496" s="9">
        <f>IF(AF2496=1,IFERROR(INDEX($A2496:$AB2496,MATCH("Cost Centre",$A$1:$AB$1,0)),"")&amp;"","")</f>
        <v/>
      </c>
      <c r="AJ2496" s="54">
        <f>IF(AND(AF2496=1,AE2496&gt;=set_FYStart,AE2496&lt;=set_AsAt),1,0)</f>
        <v/>
      </c>
      <c r="AK2496" s="54">
        <f>IF(AND(AJ2496=1,AH2496&lt;&gt;"",COUNTIFS($AH$2:AH2496,AH2496,$AJ$2:AJ2496,1)=1),N(AL2495)+1,"")</f>
        <v/>
      </c>
      <c r="AL2496" s="54">
        <f>IF(AK2496&lt;&gt;"",AK2496,N(AL2495))</f>
        <v/>
      </c>
    </row>
    <row r="2497">
      <c r="A2497" t="inlineStr">
        <is>
          <t>CON-0832</t>
        </is>
      </c>
      <c r="B2497" t="inlineStr">
        <is>
          <t>Consulting</t>
        </is>
      </c>
      <c r="AB2497" t="n">
        <v>832</v>
      </c>
      <c r="AD2497" s="52">
        <f>IFERROR(N(IFERROR(INDEX($A2497:$AB2497,MATCH("Xero Invoiced Ex GST",$A$1:$AB$1,0)),"")),0)</f>
        <v/>
      </c>
      <c r="AE2497" s="53">
        <f>IFERROR(INDEX($A2497:$AB2497,MATCH("Xero Invoice Date",$A$1:$AB$1,0)),"")</f>
        <v/>
      </c>
      <c r="AF2497" s="54">
        <f>IF(AND(IFERROR(INDEX($A2497:$AB2497,MATCH("Xero Invoice No",$A$1:$AB$1,0)),"")&amp;""&lt;&gt;"",ISNUMBER(AE2497),AD2497&lt;&gt;0),1,0)</f>
        <v/>
      </c>
      <c r="AG2497" s="55">
        <f>IF(AF2497=1,EOMONTH(AE2497,0),"")</f>
        <v/>
      </c>
      <c r="AH2497" s="9">
        <f>IF(AF2497=1,UPPER(TRIM(IFERROR(INDEX($A2497:$AB2497,MATCH("Client",$A$1:$AB$1,0)),"")&amp;"")),"")</f>
        <v/>
      </c>
      <c r="AI2497" s="9">
        <f>IF(AF2497=1,IFERROR(INDEX($A2497:$AB2497,MATCH("Cost Centre",$A$1:$AB$1,0)),"")&amp;"","")</f>
        <v/>
      </c>
      <c r="AJ2497" s="54">
        <f>IF(AND(AF2497=1,AE2497&gt;=set_FYStart,AE2497&lt;=set_AsAt),1,0)</f>
        <v/>
      </c>
      <c r="AK2497" s="54">
        <f>IF(AND(AJ2497=1,AH2497&lt;&gt;"",COUNTIFS($AH$2:AH2497,AH2497,$AJ$2:AJ2497,1)=1),N(AL2496)+1,"")</f>
        <v/>
      </c>
      <c r="AL2497" s="54">
        <f>IF(AK2497&lt;&gt;"",AK2497,N(AL2496))</f>
        <v/>
      </c>
    </row>
    <row r="2498">
      <c r="A2498" t="inlineStr">
        <is>
          <t>ONS-0833</t>
        </is>
      </c>
      <c r="B2498" t="inlineStr">
        <is>
          <t>Onsite</t>
        </is>
      </c>
      <c r="AB2498" t="n">
        <v>833</v>
      </c>
      <c r="AD2498" s="52">
        <f>IFERROR(N(IFERROR(INDEX($A2498:$AB2498,MATCH("Xero Invoiced Ex GST",$A$1:$AB$1,0)),"")),0)</f>
        <v/>
      </c>
      <c r="AE2498" s="53">
        <f>IFERROR(INDEX($A2498:$AB2498,MATCH("Xero Invoice Date",$A$1:$AB$1,0)),"")</f>
        <v/>
      </c>
      <c r="AF2498" s="54">
        <f>IF(AND(IFERROR(INDEX($A2498:$AB2498,MATCH("Xero Invoice No",$A$1:$AB$1,0)),"")&amp;""&lt;&gt;"",ISNUMBER(AE2498),AD2498&lt;&gt;0),1,0)</f>
        <v/>
      </c>
      <c r="AG2498" s="55">
        <f>IF(AF2498=1,EOMONTH(AE2498,0),"")</f>
        <v/>
      </c>
      <c r="AH2498" s="9">
        <f>IF(AF2498=1,UPPER(TRIM(IFERROR(INDEX($A2498:$AB2498,MATCH("Client",$A$1:$AB$1,0)),"")&amp;"")),"")</f>
        <v/>
      </c>
      <c r="AI2498" s="9">
        <f>IF(AF2498=1,IFERROR(INDEX($A2498:$AB2498,MATCH("Cost Centre",$A$1:$AB$1,0)),"")&amp;"","")</f>
        <v/>
      </c>
      <c r="AJ2498" s="54">
        <f>IF(AND(AF2498=1,AE2498&gt;=set_FYStart,AE2498&lt;=set_AsAt),1,0)</f>
        <v/>
      </c>
      <c r="AK2498" s="54">
        <f>IF(AND(AJ2498=1,AH2498&lt;&gt;"",COUNTIFS($AH$2:AH2498,AH2498,$AJ$2:AJ2498,1)=1),N(AL2497)+1,"")</f>
        <v/>
      </c>
      <c r="AL2498" s="54">
        <f>IF(AK2498&lt;&gt;"",AK2498,N(AL2497))</f>
        <v/>
      </c>
    </row>
    <row r="2499">
      <c r="A2499" t="inlineStr">
        <is>
          <t>PRD-0833</t>
        </is>
      </c>
      <c r="B2499" t="inlineStr">
        <is>
          <t>Production</t>
        </is>
      </c>
      <c r="AB2499" t="n">
        <v>833</v>
      </c>
      <c r="AD2499" s="52">
        <f>IFERROR(N(IFERROR(INDEX($A2499:$AB2499,MATCH("Xero Invoiced Ex GST",$A$1:$AB$1,0)),"")),0)</f>
        <v/>
      </c>
      <c r="AE2499" s="53">
        <f>IFERROR(INDEX($A2499:$AB2499,MATCH("Xero Invoice Date",$A$1:$AB$1,0)),"")</f>
        <v/>
      </c>
      <c r="AF2499" s="54">
        <f>IF(AND(IFERROR(INDEX($A2499:$AB2499,MATCH("Xero Invoice No",$A$1:$AB$1,0)),"")&amp;""&lt;&gt;"",ISNUMBER(AE2499),AD2499&lt;&gt;0),1,0)</f>
        <v/>
      </c>
      <c r="AG2499" s="55">
        <f>IF(AF2499=1,EOMONTH(AE2499,0),"")</f>
        <v/>
      </c>
      <c r="AH2499" s="9">
        <f>IF(AF2499=1,UPPER(TRIM(IFERROR(INDEX($A2499:$AB2499,MATCH("Client",$A$1:$AB$1,0)),"")&amp;"")),"")</f>
        <v/>
      </c>
      <c r="AI2499" s="9">
        <f>IF(AF2499=1,IFERROR(INDEX($A2499:$AB2499,MATCH("Cost Centre",$A$1:$AB$1,0)),"")&amp;"","")</f>
        <v/>
      </c>
      <c r="AJ2499" s="54">
        <f>IF(AND(AF2499=1,AE2499&gt;=set_FYStart,AE2499&lt;=set_AsAt),1,0)</f>
        <v/>
      </c>
      <c r="AK2499" s="54">
        <f>IF(AND(AJ2499=1,AH2499&lt;&gt;"",COUNTIFS($AH$2:AH2499,AH2499,$AJ$2:AJ2499,1)=1),N(AL2498)+1,"")</f>
        <v/>
      </c>
      <c r="AL2499" s="54">
        <f>IF(AK2499&lt;&gt;"",AK2499,N(AL2498))</f>
        <v/>
      </c>
    </row>
    <row r="2500">
      <c r="A2500" t="inlineStr">
        <is>
          <t>CON-0833</t>
        </is>
      </c>
      <c r="B2500" t="inlineStr">
        <is>
          <t>Consulting</t>
        </is>
      </c>
      <c r="AB2500" t="n">
        <v>833</v>
      </c>
      <c r="AD2500" s="52">
        <f>IFERROR(N(IFERROR(INDEX($A2500:$AB2500,MATCH("Xero Invoiced Ex GST",$A$1:$AB$1,0)),"")),0)</f>
        <v/>
      </c>
      <c r="AE2500" s="53">
        <f>IFERROR(INDEX($A2500:$AB2500,MATCH("Xero Invoice Date",$A$1:$AB$1,0)),"")</f>
        <v/>
      </c>
      <c r="AF2500" s="54">
        <f>IF(AND(IFERROR(INDEX($A2500:$AB2500,MATCH("Xero Invoice No",$A$1:$AB$1,0)),"")&amp;""&lt;&gt;"",ISNUMBER(AE2500),AD2500&lt;&gt;0),1,0)</f>
        <v/>
      </c>
      <c r="AG2500" s="55">
        <f>IF(AF2500=1,EOMONTH(AE2500,0),"")</f>
        <v/>
      </c>
      <c r="AH2500" s="9">
        <f>IF(AF2500=1,UPPER(TRIM(IFERROR(INDEX($A2500:$AB2500,MATCH("Client",$A$1:$AB$1,0)),"")&amp;"")),"")</f>
        <v/>
      </c>
      <c r="AI2500" s="9">
        <f>IF(AF2500=1,IFERROR(INDEX($A2500:$AB2500,MATCH("Cost Centre",$A$1:$AB$1,0)),"")&amp;"","")</f>
        <v/>
      </c>
      <c r="AJ2500" s="54">
        <f>IF(AND(AF2500=1,AE2500&gt;=set_FYStart,AE2500&lt;=set_AsAt),1,0)</f>
        <v/>
      </c>
      <c r="AK2500" s="54">
        <f>IF(AND(AJ2500=1,AH2500&lt;&gt;"",COUNTIFS($AH$2:AH2500,AH2500,$AJ$2:AJ2500,1)=1),N(AL2499)+1,"")</f>
        <v/>
      </c>
      <c r="AL2500" s="54">
        <f>IF(AK2500&lt;&gt;"",AK2500,N(AL2499))</f>
        <v/>
      </c>
    </row>
    <row r="2501">
      <c r="A2501" t="inlineStr">
        <is>
          <t>ONS-0834</t>
        </is>
      </c>
      <c r="B2501" t="inlineStr">
        <is>
          <t>Onsite</t>
        </is>
      </c>
      <c r="AB2501" t="n">
        <v>834</v>
      </c>
      <c r="AD2501" s="52">
        <f>IFERROR(N(IFERROR(INDEX($A2501:$AB2501,MATCH("Xero Invoiced Ex GST",$A$1:$AB$1,0)),"")),0)</f>
        <v/>
      </c>
      <c r="AE2501" s="53">
        <f>IFERROR(INDEX($A2501:$AB2501,MATCH("Xero Invoice Date",$A$1:$AB$1,0)),"")</f>
        <v/>
      </c>
      <c r="AF2501" s="54">
        <f>IF(AND(IFERROR(INDEX($A2501:$AB2501,MATCH("Xero Invoice No",$A$1:$AB$1,0)),"")&amp;""&lt;&gt;"",ISNUMBER(AE2501),AD2501&lt;&gt;0),1,0)</f>
        <v/>
      </c>
      <c r="AG2501" s="55">
        <f>IF(AF2501=1,EOMONTH(AE2501,0),"")</f>
        <v/>
      </c>
      <c r="AH2501" s="9">
        <f>IF(AF2501=1,UPPER(TRIM(IFERROR(INDEX($A2501:$AB2501,MATCH("Client",$A$1:$AB$1,0)),"")&amp;"")),"")</f>
        <v/>
      </c>
      <c r="AI2501" s="9">
        <f>IF(AF2501=1,IFERROR(INDEX($A2501:$AB2501,MATCH("Cost Centre",$A$1:$AB$1,0)),"")&amp;"","")</f>
        <v/>
      </c>
      <c r="AJ2501" s="54">
        <f>IF(AND(AF2501=1,AE2501&gt;=set_FYStart,AE2501&lt;=set_AsAt),1,0)</f>
        <v/>
      </c>
      <c r="AK2501" s="54">
        <f>IF(AND(AJ2501=1,AH2501&lt;&gt;"",COUNTIFS($AH$2:AH2501,AH2501,$AJ$2:AJ2501,1)=1),N(AL2500)+1,"")</f>
        <v/>
      </c>
      <c r="AL2501" s="54">
        <f>IF(AK2501&lt;&gt;"",AK2501,N(AL2500))</f>
        <v/>
      </c>
    </row>
    <row r="2502">
      <c r="A2502" t="inlineStr">
        <is>
          <t>PRD-0834</t>
        </is>
      </c>
      <c r="B2502" t="inlineStr">
        <is>
          <t>Production</t>
        </is>
      </c>
      <c r="AB2502" t="n">
        <v>834</v>
      </c>
      <c r="AD2502" s="52">
        <f>IFERROR(N(IFERROR(INDEX($A2502:$AB2502,MATCH("Xero Invoiced Ex GST",$A$1:$AB$1,0)),"")),0)</f>
        <v/>
      </c>
      <c r="AE2502" s="53">
        <f>IFERROR(INDEX($A2502:$AB2502,MATCH("Xero Invoice Date",$A$1:$AB$1,0)),"")</f>
        <v/>
      </c>
      <c r="AF2502" s="54">
        <f>IF(AND(IFERROR(INDEX($A2502:$AB2502,MATCH("Xero Invoice No",$A$1:$AB$1,0)),"")&amp;""&lt;&gt;"",ISNUMBER(AE2502),AD2502&lt;&gt;0),1,0)</f>
        <v/>
      </c>
      <c r="AG2502" s="55">
        <f>IF(AF2502=1,EOMONTH(AE2502,0),"")</f>
        <v/>
      </c>
      <c r="AH2502" s="9">
        <f>IF(AF2502=1,UPPER(TRIM(IFERROR(INDEX($A2502:$AB2502,MATCH("Client",$A$1:$AB$1,0)),"")&amp;"")),"")</f>
        <v/>
      </c>
      <c r="AI2502" s="9">
        <f>IF(AF2502=1,IFERROR(INDEX($A2502:$AB2502,MATCH("Cost Centre",$A$1:$AB$1,0)),"")&amp;"","")</f>
        <v/>
      </c>
      <c r="AJ2502" s="54">
        <f>IF(AND(AF2502=1,AE2502&gt;=set_FYStart,AE2502&lt;=set_AsAt),1,0)</f>
        <v/>
      </c>
      <c r="AK2502" s="54">
        <f>IF(AND(AJ2502=1,AH2502&lt;&gt;"",COUNTIFS($AH$2:AH2502,AH2502,$AJ$2:AJ2502,1)=1),N(AL2501)+1,"")</f>
        <v/>
      </c>
      <c r="AL2502" s="54">
        <f>IF(AK2502&lt;&gt;"",AK2502,N(AL2501))</f>
        <v/>
      </c>
    </row>
    <row r="2503">
      <c r="A2503" t="inlineStr">
        <is>
          <t>CON-0834</t>
        </is>
      </c>
      <c r="B2503" t="inlineStr">
        <is>
          <t>Consulting</t>
        </is>
      </c>
      <c r="AB2503" t="n">
        <v>834</v>
      </c>
      <c r="AD2503" s="52">
        <f>IFERROR(N(IFERROR(INDEX($A2503:$AB2503,MATCH("Xero Invoiced Ex GST",$A$1:$AB$1,0)),"")),0)</f>
        <v/>
      </c>
      <c r="AE2503" s="53">
        <f>IFERROR(INDEX($A2503:$AB2503,MATCH("Xero Invoice Date",$A$1:$AB$1,0)),"")</f>
        <v/>
      </c>
      <c r="AF2503" s="54">
        <f>IF(AND(IFERROR(INDEX($A2503:$AB2503,MATCH("Xero Invoice No",$A$1:$AB$1,0)),"")&amp;""&lt;&gt;"",ISNUMBER(AE2503),AD2503&lt;&gt;0),1,0)</f>
        <v/>
      </c>
      <c r="AG2503" s="55">
        <f>IF(AF2503=1,EOMONTH(AE2503,0),"")</f>
        <v/>
      </c>
      <c r="AH2503" s="9">
        <f>IF(AF2503=1,UPPER(TRIM(IFERROR(INDEX($A2503:$AB2503,MATCH("Client",$A$1:$AB$1,0)),"")&amp;"")),"")</f>
        <v/>
      </c>
      <c r="AI2503" s="9">
        <f>IF(AF2503=1,IFERROR(INDEX($A2503:$AB2503,MATCH("Cost Centre",$A$1:$AB$1,0)),"")&amp;"","")</f>
        <v/>
      </c>
      <c r="AJ2503" s="54">
        <f>IF(AND(AF2503=1,AE2503&gt;=set_FYStart,AE2503&lt;=set_AsAt),1,0)</f>
        <v/>
      </c>
      <c r="AK2503" s="54">
        <f>IF(AND(AJ2503=1,AH2503&lt;&gt;"",COUNTIFS($AH$2:AH2503,AH2503,$AJ$2:AJ2503,1)=1),N(AL2502)+1,"")</f>
        <v/>
      </c>
      <c r="AL2503" s="54">
        <f>IF(AK2503&lt;&gt;"",AK2503,N(AL2502))</f>
        <v/>
      </c>
    </row>
    <row r="2504">
      <c r="A2504" t="inlineStr">
        <is>
          <t>ONS-0835</t>
        </is>
      </c>
      <c r="B2504" t="inlineStr">
        <is>
          <t>Onsite</t>
        </is>
      </c>
      <c r="AB2504" t="n">
        <v>835</v>
      </c>
      <c r="AD2504" s="52">
        <f>IFERROR(N(IFERROR(INDEX($A2504:$AB2504,MATCH("Xero Invoiced Ex GST",$A$1:$AB$1,0)),"")),0)</f>
        <v/>
      </c>
      <c r="AE2504" s="53">
        <f>IFERROR(INDEX($A2504:$AB2504,MATCH("Xero Invoice Date",$A$1:$AB$1,0)),"")</f>
        <v/>
      </c>
      <c r="AF2504" s="54">
        <f>IF(AND(IFERROR(INDEX($A2504:$AB2504,MATCH("Xero Invoice No",$A$1:$AB$1,0)),"")&amp;""&lt;&gt;"",ISNUMBER(AE2504),AD2504&lt;&gt;0),1,0)</f>
        <v/>
      </c>
      <c r="AG2504" s="55">
        <f>IF(AF2504=1,EOMONTH(AE2504,0),"")</f>
        <v/>
      </c>
      <c r="AH2504" s="9">
        <f>IF(AF2504=1,UPPER(TRIM(IFERROR(INDEX($A2504:$AB2504,MATCH("Client",$A$1:$AB$1,0)),"")&amp;"")),"")</f>
        <v/>
      </c>
      <c r="AI2504" s="9">
        <f>IF(AF2504=1,IFERROR(INDEX($A2504:$AB2504,MATCH("Cost Centre",$A$1:$AB$1,0)),"")&amp;"","")</f>
        <v/>
      </c>
      <c r="AJ2504" s="54">
        <f>IF(AND(AF2504=1,AE2504&gt;=set_FYStart,AE2504&lt;=set_AsAt),1,0)</f>
        <v/>
      </c>
      <c r="AK2504" s="54">
        <f>IF(AND(AJ2504=1,AH2504&lt;&gt;"",COUNTIFS($AH$2:AH2504,AH2504,$AJ$2:AJ2504,1)=1),N(AL2503)+1,"")</f>
        <v/>
      </c>
      <c r="AL2504" s="54">
        <f>IF(AK2504&lt;&gt;"",AK2504,N(AL2503))</f>
        <v/>
      </c>
    </row>
    <row r="2505">
      <c r="A2505" t="inlineStr">
        <is>
          <t>PRD-0835</t>
        </is>
      </c>
      <c r="B2505" t="inlineStr">
        <is>
          <t>Production</t>
        </is>
      </c>
      <c r="AB2505" t="n">
        <v>835</v>
      </c>
      <c r="AD2505" s="52">
        <f>IFERROR(N(IFERROR(INDEX($A2505:$AB2505,MATCH("Xero Invoiced Ex GST",$A$1:$AB$1,0)),"")),0)</f>
        <v/>
      </c>
      <c r="AE2505" s="53">
        <f>IFERROR(INDEX($A2505:$AB2505,MATCH("Xero Invoice Date",$A$1:$AB$1,0)),"")</f>
        <v/>
      </c>
      <c r="AF2505" s="54">
        <f>IF(AND(IFERROR(INDEX($A2505:$AB2505,MATCH("Xero Invoice No",$A$1:$AB$1,0)),"")&amp;""&lt;&gt;"",ISNUMBER(AE2505),AD2505&lt;&gt;0),1,0)</f>
        <v/>
      </c>
      <c r="AG2505" s="55">
        <f>IF(AF2505=1,EOMONTH(AE2505,0),"")</f>
        <v/>
      </c>
      <c r="AH2505" s="9">
        <f>IF(AF2505=1,UPPER(TRIM(IFERROR(INDEX($A2505:$AB2505,MATCH("Client",$A$1:$AB$1,0)),"")&amp;"")),"")</f>
        <v/>
      </c>
      <c r="AI2505" s="9">
        <f>IF(AF2505=1,IFERROR(INDEX($A2505:$AB2505,MATCH("Cost Centre",$A$1:$AB$1,0)),"")&amp;"","")</f>
        <v/>
      </c>
      <c r="AJ2505" s="54">
        <f>IF(AND(AF2505=1,AE2505&gt;=set_FYStart,AE2505&lt;=set_AsAt),1,0)</f>
        <v/>
      </c>
      <c r="AK2505" s="54">
        <f>IF(AND(AJ2505=1,AH2505&lt;&gt;"",COUNTIFS($AH$2:AH2505,AH2505,$AJ$2:AJ2505,1)=1),N(AL2504)+1,"")</f>
        <v/>
      </c>
      <c r="AL2505" s="54">
        <f>IF(AK2505&lt;&gt;"",AK2505,N(AL2504))</f>
        <v/>
      </c>
    </row>
    <row r="2506">
      <c r="A2506" t="inlineStr">
        <is>
          <t>CON-0835</t>
        </is>
      </c>
      <c r="B2506" t="inlineStr">
        <is>
          <t>Consulting</t>
        </is>
      </c>
      <c r="AB2506" t="n">
        <v>835</v>
      </c>
      <c r="AD2506" s="52">
        <f>IFERROR(N(IFERROR(INDEX($A2506:$AB2506,MATCH("Xero Invoiced Ex GST",$A$1:$AB$1,0)),"")),0)</f>
        <v/>
      </c>
      <c r="AE2506" s="53">
        <f>IFERROR(INDEX($A2506:$AB2506,MATCH("Xero Invoice Date",$A$1:$AB$1,0)),"")</f>
        <v/>
      </c>
      <c r="AF2506" s="54">
        <f>IF(AND(IFERROR(INDEX($A2506:$AB2506,MATCH("Xero Invoice No",$A$1:$AB$1,0)),"")&amp;""&lt;&gt;"",ISNUMBER(AE2506),AD2506&lt;&gt;0),1,0)</f>
        <v/>
      </c>
      <c r="AG2506" s="55">
        <f>IF(AF2506=1,EOMONTH(AE2506,0),"")</f>
        <v/>
      </c>
      <c r="AH2506" s="9">
        <f>IF(AF2506=1,UPPER(TRIM(IFERROR(INDEX($A2506:$AB2506,MATCH("Client",$A$1:$AB$1,0)),"")&amp;"")),"")</f>
        <v/>
      </c>
      <c r="AI2506" s="9">
        <f>IF(AF2506=1,IFERROR(INDEX($A2506:$AB2506,MATCH("Cost Centre",$A$1:$AB$1,0)),"")&amp;"","")</f>
        <v/>
      </c>
      <c r="AJ2506" s="54">
        <f>IF(AND(AF2506=1,AE2506&gt;=set_FYStart,AE2506&lt;=set_AsAt),1,0)</f>
        <v/>
      </c>
      <c r="AK2506" s="54">
        <f>IF(AND(AJ2506=1,AH2506&lt;&gt;"",COUNTIFS($AH$2:AH2506,AH2506,$AJ$2:AJ2506,1)=1),N(AL2505)+1,"")</f>
        <v/>
      </c>
      <c r="AL2506" s="54">
        <f>IF(AK2506&lt;&gt;"",AK2506,N(AL2505))</f>
        <v/>
      </c>
    </row>
    <row r="2507">
      <c r="A2507" t="inlineStr">
        <is>
          <t>ONS-0836</t>
        </is>
      </c>
      <c r="B2507" t="inlineStr">
        <is>
          <t>Onsite</t>
        </is>
      </c>
      <c r="AB2507" t="n">
        <v>836</v>
      </c>
      <c r="AD2507" s="52">
        <f>IFERROR(N(IFERROR(INDEX($A2507:$AB2507,MATCH("Xero Invoiced Ex GST",$A$1:$AB$1,0)),"")),0)</f>
        <v/>
      </c>
      <c r="AE2507" s="53">
        <f>IFERROR(INDEX($A2507:$AB2507,MATCH("Xero Invoice Date",$A$1:$AB$1,0)),"")</f>
        <v/>
      </c>
      <c r="AF2507" s="54">
        <f>IF(AND(IFERROR(INDEX($A2507:$AB2507,MATCH("Xero Invoice No",$A$1:$AB$1,0)),"")&amp;""&lt;&gt;"",ISNUMBER(AE2507),AD2507&lt;&gt;0),1,0)</f>
        <v/>
      </c>
      <c r="AG2507" s="55">
        <f>IF(AF2507=1,EOMONTH(AE2507,0),"")</f>
        <v/>
      </c>
      <c r="AH2507" s="9">
        <f>IF(AF2507=1,UPPER(TRIM(IFERROR(INDEX($A2507:$AB2507,MATCH("Client",$A$1:$AB$1,0)),"")&amp;"")),"")</f>
        <v/>
      </c>
      <c r="AI2507" s="9">
        <f>IF(AF2507=1,IFERROR(INDEX($A2507:$AB2507,MATCH("Cost Centre",$A$1:$AB$1,0)),"")&amp;"","")</f>
        <v/>
      </c>
      <c r="AJ2507" s="54">
        <f>IF(AND(AF2507=1,AE2507&gt;=set_FYStart,AE2507&lt;=set_AsAt),1,0)</f>
        <v/>
      </c>
      <c r="AK2507" s="54">
        <f>IF(AND(AJ2507=1,AH2507&lt;&gt;"",COUNTIFS($AH$2:AH2507,AH2507,$AJ$2:AJ2507,1)=1),N(AL2506)+1,"")</f>
        <v/>
      </c>
      <c r="AL2507" s="54">
        <f>IF(AK2507&lt;&gt;"",AK2507,N(AL2506))</f>
        <v/>
      </c>
    </row>
    <row r="2508">
      <c r="A2508" t="inlineStr">
        <is>
          <t>PRD-0836</t>
        </is>
      </c>
      <c r="B2508" t="inlineStr">
        <is>
          <t>Production</t>
        </is>
      </c>
      <c r="AB2508" t="n">
        <v>836</v>
      </c>
      <c r="AD2508" s="52">
        <f>IFERROR(N(IFERROR(INDEX($A2508:$AB2508,MATCH("Xero Invoiced Ex GST",$A$1:$AB$1,0)),"")),0)</f>
        <v/>
      </c>
      <c r="AE2508" s="53">
        <f>IFERROR(INDEX($A2508:$AB2508,MATCH("Xero Invoice Date",$A$1:$AB$1,0)),"")</f>
        <v/>
      </c>
      <c r="AF2508" s="54">
        <f>IF(AND(IFERROR(INDEX($A2508:$AB2508,MATCH("Xero Invoice No",$A$1:$AB$1,0)),"")&amp;""&lt;&gt;"",ISNUMBER(AE2508),AD2508&lt;&gt;0),1,0)</f>
        <v/>
      </c>
      <c r="AG2508" s="55">
        <f>IF(AF2508=1,EOMONTH(AE2508,0),"")</f>
        <v/>
      </c>
      <c r="AH2508" s="9">
        <f>IF(AF2508=1,UPPER(TRIM(IFERROR(INDEX($A2508:$AB2508,MATCH("Client",$A$1:$AB$1,0)),"")&amp;"")),"")</f>
        <v/>
      </c>
      <c r="AI2508" s="9">
        <f>IF(AF2508=1,IFERROR(INDEX($A2508:$AB2508,MATCH("Cost Centre",$A$1:$AB$1,0)),"")&amp;"","")</f>
        <v/>
      </c>
      <c r="AJ2508" s="54">
        <f>IF(AND(AF2508=1,AE2508&gt;=set_FYStart,AE2508&lt;=set_AsAt),1,0)</f>
        <v/>
      </c>
      <c r="AK2508" s="54">
        <f>IF(AND(AJ2508=1,AH2508&lt;&gt;"",COUNTIFS($AH$2:AH2508,AH2508,$AJ$2:AJ2508,1)=1),N(AL2507)+1,"")</f>
        <v/>
      </c>
      <c r="AL2508" s="54">
        <f>IF(AK2508&lt;&gt;"",AK2508,N(AL2507))</f>
        <v/>
      </c>
    </row>
    <row r="2509">
      <c r="A2509" t="inlineStr">
        <is>
          <t>CON-0836</t>
        </is>
      </c>
      <c r="B2509" t="inlineStr">
        <is>
          <t>Consulting</t>
        </is>
      </c>
      <c r="AB2509" t="n">
        <v>836</v>
      </c>
      <c r="AD2509" s="52">
        <f>IFERROR(N(IFERROR(INDEX($A2509:$AB2509,MATCH("Xero Invoiced Ex GST",$A$1:$AB$1,0)),"")),0)</f>
        <v/>
      </c>
      <c r="AE2509" s="53">
        <f>IFERROR(INDEX($A2509:$AB2509,MATCH("Xero Invoice Date",$A$1:$AB$1,0)),"")</f>
        <v/>
      </c>
      <c r="AF2509" s="54">
        <f>IF(AND(IFERROR(INDEX($A2509:$AB2509,MATCH("Xero Invoice No",$A$1:$AB$1,0)),"")&amp;""&lt;&gt;"",ISNUMBER(AE2509),AD2509&lt;&gt;0),1,0)</f>
        <v/>
      </c>
      <c r="AG2509" s="55">
        <f>IF(AF2509=1,EOMONTH(AE2509,0),"")</f>
        <v/>
      </c>
      <c r="AH2509" s="9">
        <f>IF(AF2509=1,UPPER(TRIM(IFERROR(INDEX($A2509:$AB2509,MATCH("Client",$A$1:$AB$1,0)),"")&amp;"")),"")</f>
        <v/>
      </c>
      <c r="AI2509" s="9">
        <f>IF(AF2509=1,IFERROR(INDEX($A2509:$AB2509,MATCH("Cost Centre",$A$1:$AB$1,0)),"")&amp;"","")</f>
        <v/>
      </c>
      <c r="AJ2509" s="54">
        <f>IF(AND(AF2509=1,AE2509&gt;=set_FYStart,AE2509&lt;=set_AsAt),1,0)</f>
        <v/>
      </c>
      <c r="AK2509" s="54">
        <f>IF(AND(AJ2509=1,AH2509&lt;&gt;"",COUNTIFS($AH$2:AH2509,AH2509,$AJ$2:AJ2509,1)=1),N(AL2508)+1,"")</f>
        <v/>
      </c>
      <c r="AL2509" s="54">
        <f>IF(AK2509&lt;&gt;"",AK2509,N(AL2508))</f>
        <v/>
      </c>
    </row>
    <row r="2510">
      <c r="A2510" t="inlineStr">
        <is>
          <t>ONS-0837</t>
        </is>
      </c>
      <c r="B2510" t="inlineStr">
        <is>
          <t>Onsite</t>
        </is>
      </c>
      <c r="AB2510" t="n">
        <v>837</v>
      </c>
      <c r="AD2510" s="52">
        <f>IFERROR(N(IFERROR(INDEX($A2510:$AB2510,MATCH("Xero Invoiced Ex GST",$A$1:$AB$1,0)),"")),0)</f>
        <v/>
      </c>
      <c r="AE2510" s="53">
        <f>IFERROR(INDEX($A2510:$AB2510,MATCH("Xero Invoice Date",$A$1:$AB$1,0)),"")</f>
        <v/>
      </c>
      <c r="AF2510" s="54">
        <f>IF(AND(IFERROR(INDEX($A2510:$AB2510,MATCH("Xero Invoice No",$A$1:$AB$1,0)),"")&amp;""&lt;&gt;"",ISNUMBER(AE2510),AD2510&lt;&gt;0),1,0)</f>
        <v/>
      </c>
      <c r="AG2510" s="55">
        <f>IF(AF2510=1,EOMONTH(AE2510,0),"")</f>
        <v/>
      </c>
      <c r="AH2510" s="9">
        <f>IF(AF2510=1,UPPER(TRIM(IFERROR(INDEX($A2510:$AB2510,MATCH("Client",$A$1:$AB$1,0)),"")&amp;"")),"")</f>
        <v/>
      </c>
      <c r="AI2510" s="9">
        <f>IF(AF2510=1,IFERROR(INDEX($A2510:$AB2510,MATCH("Cost Centre",$A$1:$AB$1,0)),"")&amp;"","")</f>
        <v/>
      </c>
      <c r="AJ2510" s="54">
        <f>IF(AND(AF2510=1,AE2510&gt;=set_FYStart,AE2510&lt;=set_AsAt),1,0)</f>
        <v/>
      </c>
      <c r="AK2510" s="54">
        <f>IF(AND(AJ2510=1,AH2510&lt;&gt;"",COUNTIFS($AH$2:AH2510,AH2510,$AJ$2:AJ2510,1)=1),N(AL2509)+1,"")</f>
        <v/>
      </c>
      <c r="AL2510" s="54">
        <f>IF(AK2510&lt;&gt;"",AK2510,N(AL2509))</f>
        <v/>
      </c>
    </row>
    <row r="2511">
      <c r="A2511" t="inlineStr">
        <is>
          <t>PRD-0837</t>
        </is>
      </c>
      <c r="B2511" t="inlineStr">
        <is>
          <t>Production</t>
        </is>
      </c>
      <c r="AB2511" t="n">
        <v>837</v>
      </c>
      <c r="AD2511" s="52">
        <f>IFERROR(N(IFERROR(INDEX($A2511:$AB2511,MATCH("Xero Invoiced Ex GST",$A$1:$AB$1,0)),"")),0)</f>
        <v/>
      </c>
      <c r="AE2511" s="53">
        <f>IFERROR(INDEX($A2511:$AB2511,MATCH("Xero Invoice Date",$A$1:$AB$1,0)),"")</f>
        <v/>
      </c>
      <c r="AF2511" s="54">
        <f>IF(AND(IFERROR(INDEX($A2511:$AB2511,MATCH("Xero Invoice No",$A$1:$AB$1,0)),"")&amp;""&lt;&gt;"",ISNUMBER(AE2511),AD2511&lt;&gt;0),1,0)</f>
        <v/>
      </c>
      <c r="AG2511" s="55">
        <f>IF(AF2511=1,EOMONTH(AE2511,0),"")</f>
        <v/>
      </c>
      <c r="AH2511" s="9">
        <f>IF(AF2511=1,UPPER(TRIM(IFERROR(INDEX($A2511:$AB2511,MATCH("Client",$A$1:$AB$1,0)),"")&amp;"")),"")</f>
        <v/>
      </c>
      <c r="AI2511" s="9">
        <f>IF(AF2511=1,IFERROR(INDEX($A2511:$AB2511,MATCH("Cost Centre",$A$1:$AB$1,0)),"")&amp;"","")</f>
        <v/>
      </c>
      <c r="AJ2511" s="54">
        <f>IF(AND(AF2511=1,AE2511&gt;=set_FYStart,AE2511&lt;=set_AsAt),1,0)</f>
        <v/>
      </c>
      <c r="AK2511" s="54">
        <f>IF(AND(AJ2511=1,AH2511&lt;&gt;"",COUNTIFS($AH$2:AH2511,AH2511,$AJ$2:AJ2511,1)=1),N(AL2510)+1,"")</f>
        <v/>
      </c>
      <c r="AL2511" s="54">
        <f>IF(AK2511&lt;&gt;"",AK2511,N(AL2510))</f>
        <v/>
      </c>
    </row>
    <row r="2512">
      <c r="A2512" t="inlineStr">
        <is>
          <t>CON-0837</t>
        </is>
      </c>
      <c r="B2512" t="inlineStr">
        <is>
          <t>Consulting</t>
        </is>
      </c>
      <c r="AB2512" t="n">
        <v>837</v>
      </c>
      <c r="AD2512" s="52">
        <f>IFERROR(N(IFERROR(INDEX($A2512:$AB2512,MATCH("Xero Invoiced Ex GST",$A$1:$AB$1,0)),"")),0)</f>
        <v/>
      </c>
      <c r="AE2512" s="53">
        <f>IFERROR(INDEX($A2512:$AB2512,MATCH("Xero Invoice Date",$A$1:$AB$1,0)),"")</f>
        <v/>
      </c>
      <c r="AF2512" s="54">
        <f>IF(AND(IFERROR(INDEX($A2512:$AB2512,MATCH("Xero Invoice No",$A$1:$AB$1,0)),"")&amp;""&lt;&gt;"",ISNUMBER(AE2512),AD2512&lt;&gt;0),1,0)</f>
        <v/>
      </c>
      <c r="AG2512" s="55">
        <f>IF(AF2512=1,EOMONTH(AE2512,0),"")</f>
        <v/>
      </c>
      <c r="AH2512" s="9">
        <f>IF(AF2512=1,UPPER(TRIM(IFERROR(INDEX($A2512:$AB2512,MATCH("Client",$A$1:$AB$1,0)),"")&amp;"")),"")</f>
        <v/>
      </c>
      <c r="AI2512" s="9">
        <f>IF(AF2512=1,IFERROR(INDEX($A2512:$AB2512,MATCH("Cost Centre",$A$1:$AB$1,0)),"")&amp;"","")</f>
        <v/>
      </c>
      <c r="AJ2512" s="54">
        <f>IF(AND(AF2512=1,AE2512&gt;=set_FYStart,AE2512&lt;=set_AsAt),1,0)</f>
        <v/>
      </c>
      <c r="AK2512" s="54">
        <f>IF(AND(AJ2512=1,AH2512&lt;&gt;"",COUNTIFS($AH$2:AH2512,AH2512,$AJ$2:AJ2512,1)=1),N(AL2511)+1,"")</f>
        <v/>
      </c>
      <c r="AL2512" s="54">
        <f>IF(AK2512&lt;&gt;"",AK2512,N(AL2511))</f>
        <v/>
      </c>
    </row>
    <row r="2513">
      <c r="A2513" t="inlineStr">
        <is>
          <t>ONS-0838</t>
        </is>
      </c>
      <c r="B2513" t="inlineStr">
        <is>
          <t>Onsite</t>
        </is>
      </c>
      <c r="AB2513" t="n">
        <v>838</v>
      </c>
      <c r="AD2513" s="52">
        <f>IFERROR(N(IFERROR(INDEX($A2513:$AB2513,MATCH("Xero Invoiced Ex GST",$A$1:$AB$1,0)),"")),0)</f>
        <v/>
      </c>
      <c r="AE2513" s="53">
        <f>IFERROR(INDEX($A2513:$AB2513,MATCH("Xero Invoice Date",$A$1:$AB$1,0)),"")</f>
        <v/>
      </c>
      <c r="AF2513" s="54">
        <f>IF(AND(IFERROR(INDEX($A2513:$AB2513,MATCH("Xero Invoice No",$A$1:$AB$1,0)),"")&amp;""&lt;&gt;"",ISNUMBER(AE2513),AD2513&lt;&gt;0),1,0)</f>
        <v/>
      </c>
      <c r="AG2513" s="55">
        <f>IF(AF2513=1,EOMONTH(AE2513,0),"")</f>
        <v/>
      </c>
      <c r="AH2513" s="9">
        <f>IF(AF2513=1,UPPER(TRIM(IFERROR(INDEX($A2513:$AB2513,MATCH("Client",$A$1:$AB$1,0)),"")&amp;"")),"")</f>
        <v/>
      </c>
      <c r="AI2513" s="9">
        <f>IF(AF2513=1,IFERROR(INDEX($A2513:$AB2513,MATCH("Cost Centre",$A$1:$AB$1,0)),"")&amp;"","")</f>
        <v/>
      </c>
      <c r="AJ2513" s="54">
        <f>IF(AND(AF2513=1,AE2513&gt;=set_FYStart,AE2513&lt;=set_AsAt),1,0)</f>
        <v/>
      </c>
      <c r="AK2513" s="54">
        <f>IF(AND(AJ2513=1,AH2513&lt;&gt;"",COUNTIFS($AH$2:AH2513,AH2513,$AJ$2:AJ2513,1)=1),N(AL2512)+1,"")</f>
        <v/>
      </c>
      <c r="AL2513" s="54">
        <f>IF(AK2513&lt;&gt;"",AK2513,N(AL2512))</f>
        <v/>
      </c>
    </row>
    <row r="2514">
      <c r="A2514" t="inlineStr">
        <is>
          <t>PRD-0838</t>
        </is>
      </c>
      <c r="B2514" t="inlineStr">
        <is>
          <t>Production</t>
        </is>
      </c>
      <c r="AB2514" t="n">
        <v>838</v>
      </c>
      <c r="AD2514" s="52">
        <f>IFERROR(N(IFERROR(INDEX($A2514:$AB2514,MATCH("Xero Invoiced Ex GST",$A$1:$AB$1,0)),"")),0)</f>
        <v/>
      </c>
      <c r="AE2514" s="53">
        <f>IFERROR(INDEX($A2514:$AB2514,MATCH("Xero Invoice Date",$A$1:$AB$1,0)),"")</f>
        <v/>
      </c>
      <c r="AF2514" s="54">
        <f>IF(AND(IFERROR(INDEX($A2514:$AB2514,MATCH("Xero Invoice No",$A$1:$AB$1,0)),"")&amp;""&lt;&gt;"",ISNUMBER(AE2514),AD2514&lt;&gt;0),1,0)</f>
        <v/>
      </c>
      <c r="AG2514" s="55">
        <f>IF(AF2514=1,EOMONTH(AE2514,0),"")</f>
        <v/>
      </c>
      <c r="AH2514" s="9">
        <f>IF(AF2514=1,UPPER(TRIM(IFERROR(INDEX($A2514:$AB2514,MATCH("Client",$A$1:$AB$1,0)),"")&amp;"")),"")</f>
        <v/>
      </c>
      <c r="AI2514" s="9">
        <f>IF(AF2514=1,IFERROR(INDEX($A2514:$AB2514,MATCH("Cost Centre",$A$1:$AB$1,0)),"")&amp;"","")</f>
        <v/>
      </c>
      <c r="AJ2514" s="54">
        <f>IF(AND(AF2514=1,AE2514&gt;=set_FYStart,AE2514&lt;=set_AsAt),1,0)</f>
        <v/>
      </c>
      <c r="AK2514" s="54">
        <f>IF(AND(AJ2514=1,AH2514&lt;&gt;"",COUNTIFS($AH$2:AH2514,AH2514,$AJ$2:AJ2514,1)=1),N(AL2513)+1,"")</f>
        <v/>
      </c>
      <c r="AL2514" s="54">
        <f>IF(AK2514&lt;&gt;"",AK2514,N(AL2513))</f>
        <v/>
      </c>
    </row>
    <row r="2515">
      <c r="A2515" t="inlineStr">
        <is>
          <t>CON-0838</t>
        </is>
      </c>
      <c r="B2515" t="inlineStr">
        <is>
          <t>Consulting</t>
        </is>
      </c>
      <c r="AB2515" t="n">
        <v>838</v>
      </c>
      <c r="AD2515" s="52">
        <f>IFERROR(N(IFERROR(INDEX($A2515:$AB2515,MATCH("Xero Invoiced Ex GST",$A$1:$AB$1,0)),"")),0)</f>
        <v/>
      </c>
      <c r="AE2515" s="53">
        <f>IFERROR(INDEX($A2515:$AB2515,MATCH("Xero Invoice Date",$A$1:$AB$1,0)),"")</f>
        <v/>
      </c>
      <c r="AF2515" s="54">
        <f>IF(AND(IFERROR(INDEX($A2515:$AB2515,MATCH("Xero Invoice No",$A$1:$AB$1,0)),"")&amp;""&lt;&gt;"",ISNUMBER(AE2515),AD2515&lt;&gt;0),1,0)</f>
        <v/>
      </c>
      <c r="AG2515" s="55">
        <f>IF(AF2515=1,EOMONTH(AE2515,0),"")</f>
        <v/>
      </c>
      <c r="AH2515" s="9">
        <f>IF(AF2515=1,UPPER(TRIM(IFERROR(INDEX($A2515:$AB2515,MATCH("Client",$A$1:$AB$1,0)),"")&amp;"")),"")</f>
        <v/>
      </c>
      <c r="AI2515" s="9">
        <f>IF(AF2515=1,IFERROR(INDEX($A2515:$AB2515,MATCH("Cost Centre",$A$1:$AB$1,0)),"")&amp;"","")</f>
        <v/>
      </c>
      <c r="AJ2515" s="54">
        <f>IF(AND(AF2515=1,AE2515&gt;=set_FYStart,AE2515&lt;=set_AsAt),1,0)</f>
        <v/>
      </c>
      <c r="AK2515" s="54">
        <f>IF(AND(AJ2515=1,AH2515&lt;&gt;"",COUNTIFS($AH$2:AH2515,AH2515,$AJ$2:AJ2515,1)=1),N(AL2514)+1,"")</f>
        <v/>
      </c>
      <c r="AL2515" s="54">
        <f>IF(AK2515&lt;&gt;"",AK2515,N(AL2514))</f>
        <v/>
      </c>
    </row>
    <row r="2516">
      <c r="A2516" t="inlineStr">
        <is>
          <t>ONS-0839</t>
        </is>
      </c>
      <c r="B2516" t="inlineStr">
        <is>
          <t>Onsite</t>
        </is>
      </c>
      <c r="AB2516" t="n">
        <v>839</v>
      </c>
      <c r="AD2516" s="52">
        <f>IFERROR(N(IFERROR(INDEX($A2516:$AB2516,MATCH("Xero Invoiced Ex GST",$A$1:$AB$1,0)),"")),0)</f>
        <v/>
      </c>
      <c r="AE2516" s="53">
        <f>IFERROR(INDEX($A2516:$AB2516,MATCH("Xero Invoice Date",$A$1:$AB$1,0)),"")</f>
        <v/>
      </c>
      <c r="AF2516" s="54">
        <f>IF(AND(IFERROR(INDEX($A2516:$AB2516,MATCH("Xero Invoice No",$A$1:$AB$1,0)),"")&amp;""&lt;&gt;"",ISNUMBER(AE2516),AD2516&lt;&gt;0),1,0)</f>
        <v/>
      </c>
      <c r="AG2516" s="55">
        <f>IF(AF2516=1,EOMONTH(AE2516,0),"")</f>
        <v/>
      </c>
      <c r="AH2516" s="9">
        <f>IF(AF2516=1,UPPER(TRIM(IFERROR(INDEX($A2516:$AB2516,MATCH("Client",$A$1:$AB$1,0)),"")&amp;"")),"")</f>
        <v/>
      </c>
      <c r="AI2516" s="9">
        <f>IF(AF2516=1,IFERROR(INDEX($A2516:$AB2516,MATCH("Cost Centre",$A$1:$AB$1,0)),"")&amp;"","")</f>
        <v/>
      </c>
      <c r="AJ2516" s="54">
        <f>IF(AND(AF2516=1,AE2516&gt;=set_FYStart,AE2516&lt;=set_AsAt),1,0)</f>
        <v/>
      </c>
      <c r="AK2516" s="54">
        <f>IF(AND(AJ2516=1,AH2516&lt;&gt;"",COUNTIFS($AH$2:AH2516,AH2516,$AJ$2:AJ2516,1)=1),N(AL2515)+1,"")</f>
        <v/>
      </c>
      <c r="AL2516" s="54">
        <f>IF(AK2516&lt;&gt;"",AK2516,N(AL2515))</f>
        <v/>
      </c>
    </row>
    <row r="2517">
      <c r="A2517" t="inlineStr">
        <is>
          <t>PRD-0839</t>
        </is>
      </c>
      <c r="B2517" t="inlineStr">
        <is>
          <t>Production</t>
        </is>
      </c>
      <c r="AB2517" t="n">
        <v>839</v>
      </c>
      <c r="AD2517" s="52">
        <f>IFERROR(N(IFERROR(INDEX($A2517:$AB2517,MATCH("Xero Invoiced Ex GST",$A$1:$AB$1,0)),"")),0)</f>
        <v/>
      </c>
      <c r="AE2517" s="53">
        <f>IFERROR(INDEX($A2517:$AB2517,MATCH("Xero Invoice Date",$A$1:$AB$1,0)),"")</f>
        <v/>
      </c>
      <c r="AF2517" s="54">
        <f>IF(AND(IFERROR(INDEX($A2517:$AB2517,MATCH("Xero Invoice No",$A$1:$AB$1,0)),"")&amp;""&lt;&gt;"",ISNUMBER(AE2517),AD2517&lt;&gt;0),1,0)</f>
        <v/>
      </c>
      <c r="AG2517" s="55">
        <f>IF(AF2517=1,EOMONTH(AE2517,0),"")</f>
        <v/>
      </c>
      <c r="AH2517" s="9">
        <f>IF(AF2517=1,UPPER(TRIM(IFERROR(INDEX($A2517:$AB2517,MATCH("Client",$A$1:$AB$1,0)),"")&amp;"")),"")</f>
        <v/>
      </c>
      <c r="AI2517" s="9">
        <f>IF(AF2517=1,IFERROR(INDEX($A2517:$AB2517,MATCH("Cost Centre",$A$1:$AB$1,0)),"")&amp;"","")</f>
        <v/>
      </c>
      <c r="AJ2517" s="54">
        <f>IF(AND(AF2517=1,AE2517&gt;=set_FYStart,AE2517&lt;=set_AsAt),1,0)</f>
        <v/>
      </c>
      <c r="AK2517" s="54">
        <f>IF(AND(AJ2517=1,AH2517&lt;&gt;"",COUNTIFS($AH$2:AH2517,AH2517,$AJ$2:AJ2517,1)=1),N(AL2516)+1,"")</f>
        <v/>
      </c>
      <c r="AL2517" s="54">
        <f>IF(AK2517&lt;&gt;"",AK2517,N(AL2516))</f>
        <v/>
      </c>
    </row>
    <row r="2518">
      <c r="A2518" t="inlineStr">
        <is>
          <t>CON-0839</t>
        </is>
      </c>
      <c r="B2518" t="inlineStr">
        <is>
          <t>Consulting</t>
        </is>
      </c>
      <c r="AB2518" t="n">
        <v>839</v>
      </c>
      <c r="AD2518" s="52">
        <f>IFERROR(N(IFERROR(INDEX($A2518:$AB2518,MATCH("Xero Invoiced Ex GST",$A$1:$AB$1,0)),"")),0)</f>
        <v/>
      </c>
      <c r="AE2518" s="53">
        <f>IFERROR(INDEX($A2518:$AB2518,MATCH("Xero Invoice Date",$A$1:$AB$1,0)),"")</f>
        <v/>
      </c>
      <c r="AF2518" s="54">
        <f>IF(AND(IFERROR(INDEX($A2518:$AB2518,MATCH("Xero Invoice No",$A$1:$AB$1,0)),"")&amp;""&lt;&gt;"",ISNUMBER(AE2518),AD2518&lt;&gt;0),1,0)</f>
        <v/>
      </c>
      <c r="AG2518" s="55">
        <f>IF(AF2518=1,EOMONTH(AE2518,0),"")</f>
        <v/>
      </c>
      <c r="AH2518" s="9">
        <f>IF(AF2518=1,UPPER(TRIM(IFERROR(INDEX($A2518:$AB2518,MATCH("Client",$A$1:$AB$1,0)),"")&amp;"")),"")</f>
        <v/>
      </c>
      <c r="AI2518" s="9">
        <f>IF(AF2518=1,IFERROR(INDEX($A2518:$AB2518,MATCH("Cost Centre",$A$1:$AB$1,0)),"")&amp;"","")</f>
        <v/>
      </c>
      <c r="AJ2518" s="54">
        <f>IF(AND(AF2518=1,AE2518&gt;=set_FYStart,AE2518&lt;=set_AsAt),1,0)</f>
        <v/>
      </c>
      <c r="AK2518" s="54">
        <f>IF(AND(AJ2518=1,AH2518&lt;&gt;"",COUNTIFS($AH$2:AH2518,AH2518,$AJ$2:AJ2518,1)=1),N(AL2517)+1,"")</f>
        <v/>
      </c>
      <c r="AL2518" s="54">
        <f>IF(AK2518&lt;&gt;"",AK2518,N(AL2517))</f>
        <v/>
      </c>
    </row>
    <row r="2519">
      <c r="A2519" t="inlineStr">
        <is>
          <t>ONS-0840</t>
        </is>
      </c>
      <c r="B2519" t="inlineStr">
        <is>
          <t>Onsite</t>
        </is>
      </c>
      <c r="AB2519" t="n">
        <v>840</v>
      </c>
      <c r="AD2519" s="52">
        <f>IFERROR(N(IFERROR(INDEX($A2519:$AB2519,MATCH("Xero Invoiced Ex GST",$A$1:$AB$1,0)),"")),0)</f>
        <v/>
      </c>
      <c r="AE2519" s="53">
        <f>IFERROR(INDEX($A2519:$AB2519,MATCH("Xero Invoice Date",$A$1:$AB$1,0)),"")</f>
        <v/>
      </c>
      <c r="AF2519" s="54">
        <f>IF(AND(IFERROR(INDEX($A2519:$AB2519,MATCH("Xero Invoice No",$A$1:$AB$1,0)),"")&amp;""&lt;&gt;"",ISNUMBER(AE2519),AD2519&lt;&gt;0),1,0)</f>
        <v/>
      </c>
      <c r="AG2519" s="55">
        <f>IF(AF2519=1,EOMONTH(AE2519,0),"")</f>
        <v/>
      </c>
      <c r="AH2519" s="9">
        <f>IF(AF2519=1,UPPER(TRIM(IFERROR(INDEX($A2519:$AB2519,MATCH("Client",$A$1:$AB$1,0)),"")&amp;"")),"")</f>
        <v/>
      </c>
      <c r="AI2519" s="9">
        <f>IF(AF2519=1,IFERROR(INDEX($A2519:$AB2519,MATCH("Cost Centre",$A$1:$AB$1,0)),"")&amp;"","")</f>
        <v/>
      </c>
      <c r="AJ2519" s="54">
        <f>IF(AND(AF2519=1,AE2519&gt;=set_FYStart,AE2519&lt;=set_AsAt),1,0)</f>
        <v/>
      </c>
      <c r="AK2519" s="54">
        <f>IF(AND(AJ2519=1,AH2519&lt;&gt;"",COUNTIFS($AH$2:AH2519,AH2519,$AJ$2:AJ2519,1)=1),N(AL2518)+1,"")</f>
        <v/>
      </c>
      <c r="AL2519" s="54">
        <f>IF(AK2519&lt;&gt;"",AK2519,N(AL2518))</f>
        <v/>
      </c>
    </row>
    <row r="2520">
      <c r="A2520" t="inlineStr">
        <is>
          <t>PRD-0840</t>
        </is>
      </c>
      <c r="B2520" t="inlineStr">
        <is>
          <t>Production</t>
        </is>
      </c>
      <c r="AB2520" t="n">
        <v>840</v>
      </c>
      <c r="AD2520" s="52">
        <f>IFERROR(N(IFERROR(INDEX($A2520:$AB2520,MATCH("Xero Invoiced Ex GST",$A$1:$AB$1,0)),"")),0)</f>
        <v/>
      </c>
      <c r="AE2520" s="53">
        <f>IFERROR(INDEX($A2520:$AB2520,MATCH("Xero Invoice Date",$A$1:$AB$1,0)),"")</f>
        <v/>
      </c>
      <c r="AF2520" s="54">
        <f>IF(AND(IFERROR(INDEX($A2520:$AB2520,MATCH("Xero Invoice No",$A$1:$AB$1,0)),"")&amp;""&lt;&gt;"",ISNUMBER(AE2520),AD2520&lt;&gt;0),1,0)</f>
        <v/>
      </c>
      <c r="AG2520" s="55">
        <f>IF(AF2520=1,EOMONTH(AE2520,0),"")</f>
        <v/>
      </c>
      <c r="AH2520" s="9">
        <f>IF(AF2520=1,UPPER(TRIM(IFERROR(INDEX($A2520:$AB2520,MATCH("Client",$A$1:$AB$1,0)),"")&amp;"")),"")</f>
        <v/>
      </c>
      <c r="AI2520" s="9">
        <f>IF(AF2520=1,IFERROR(INDEX($A2520:$AB2520,MATCH("Cost Centre",$A$1:$AB$1,0)),"")&amp;"","")</f>
        <v/>
      </c>
      <c r="AJ2520" s="54">
        <f>IF(AND(AF2520=1,AE2520&gt;=set_FYStart,AE2520&lt;=set_AsAt),1,0)</f>
        <v/>
      </c>
      <c r="AK2520" s="54">
        <f>IF(AND(AJ2520=1,AH2520&lt;&gt;"",COUNTIFS($AH$2:AH2520,AH2520,$AJ$2:AJ2520,1)=1),N(AL2519)+1,"")</f>
        <v/>
      </c>
      <c r="AL2520" s="54">
        <f>IF(AK2520&lt;&gt;"",AK2520,N(AL2519))</f>
        <v/>
      </c>
    </row>
    <row r="2521">
      <c r="A2521" t="inlineStr">
        <is>
          <t>CON-0840</t>
        </is>
      </c>
      <c r="B2521" t="inlineStr">
        <is>
          <t>Consulting</t>
        </is>
      </c>
      <c r="AB2521" t="n">
        <v>840</v>
      </c>
      <c r="AD2521" s="52">
        <f>IFERROR(N(IFERROR(INDEX($A2521:$AB2521,MATCH("Xero Invoiced Ex GST",$A$1:$AB$1,0)),"")),0)</f>
        <v/>
      </c>
      <c r="AE2521" s="53">
        <f>IFERROR(INDEX($A2521:$AB2521,MATCH("Xero Invoice Date",$A$1:$AB$1,0)),"")</f>
        <v/>
      </c>
      <c r="AF2521" s="54">
        <f>IF(AND(IFERROR(INDEX($A2521:$AB2521,MATCH("Xero Invoice No",$A$1:$AB$1,0)),"")&amp;""&lt;&gt;"",ISNUMBER(AE2521),AD2521&lt;&gt;0),1,0)</f>
        <v/>
      </c>
      <c r="AG2521" s="55">
        <f>IF(AF2521=1,EOMONTH(AE2521,0),"")</f>
        <v/>
      </c>
      <c r="AH2521" s="9">
        <f>IF(AF2521=1,UPPER(TRIM(IFERROR(INDEX($A2521:$AB2521,MATCH("Client",$A$1:$AB$1,0)),"")&amp;"")),"")</f>
        <v/>
      </c>
      <c r="AI2521" s="9">
        <f>IF(AF2521=1,IFERROR(INDEX($A2521:$AB2521,MATCH("Cost Centre",$A$1:$AB$1,0)),"")&amp;"","")</f>
        <v/>
      </c>
      <c r="AJ2521" s="54">
        <f>IF(AND(AF2521=1,AE2521&gt;=set_FYStart,AE2521&lt;=set_AsAt),1,0)</f>
        <v/>
      </c>
      <c r="AK2521" s="54">
        <f>IF(AND(AJ2521=1,AH2521&lt;&gt;"",COUNTIFS($AH$2:AH2521,AH2521,$AJ$2:AJ2521,1)=1),N(AL2520)+1,"")</f>
        <v/>
      </c>
      <c r="AL2521" s="54">
        <f>IF(AK2521&lt;&gt;"",AK2521,N(AL2520))</f>
        <v/>
      </c>
    </row>
    <row r="2522">
      <c r="A2522" t="inlineStr">
        <is>
          <t>ONS-0841</t>
        </is>
      </c>
      <c r="B2522" t="inlineStr">
        <is>
          <t>Onsite</t>
        </is>
      </c>
      <c r="AB2522" t="n">
        <v>841</v>
      </c>
      <c r="AD2522" s="52">
        <f>IFERROR(N(IFERROR(INDEX($A2522:$AB2522,MATCH("Xero Invoiced Ex GST",$A$1:$AB$1,0)),"")),0)</f>
        <v/>
      </c>
      <c r="AE2522" s="53">
        <f>IFERROR(INDEX($A2522:$AB2522,MATCH("Xero Invoice Date",$A$1:$AB$1,0)),"")</f>
        <v/>
      </c>
      <c r="AF2522" s="54">
        <f>IF(AND(IFERROR(INDEX($A2522:$AB2522,MATCH("Xero Invoice No",$A$1:$AB$1,0)),"")&amp;""&lt;&gt;"",ISNUMBER(AE2522),AD2522&lt;&gt;0),1,0)</f>
        <v/>
      </c>
      <c r="AG2522" s="55">
        <f>IF(AF2522=1,EOMONTH(AE2522,0),"")</f>
        <v/>
      </c>
      <c r="AH2522" s="9">
        <f>IF(AF2522=1,UPPER(TRIM(IFERROR(INDEX($A2522:$AB2522,MATCH("Client",$A$1:$AB$1,0)),"")&amp;"")),"")</f>
        <v/>
      </c>
      <c r="AI2522" s="9">
        <f>IF(AF2522=1,IFERROR(INDEX($A2522:$AB2522,MATCH("Cost Centre",$A$1:$AB$1,0)),"")&amp;"","")</f>
        <v/>
      </c>
      <c r="AJ2522" s="54">
        <f>IF(AND(AF2522=1,AE2522&gt;=set_FYStart,AE2522&lt;=set_AsAt),1,0)</f>
        <v/>
      </c>
      <c r="AK2522" s="54">
        <f>IF(AND(AJ2522=1,AH2522&lt;&gt;"",COUNTIFS($AH$2:AH2522,AH2522,$AJ$2:AJ2522,1)=1),N(AL2521)+1,"")</f>
        <v/>
      </c>
      <c r="AL2522" s="54">
        <f>IF(AK2522&lt;&gt;"",AK2522,N(AL2521))</f>
        <v/>
      </c>
    </row>
    <row r="2523">
      <c r="A2523" t="inlineStr">
        <is>
          <t>PRD-0841</t>
        </is>
      </c>
      <c r="B2523" t="inlineStr">
        <is>
          <t>Production</t>
        </is>
      </c>
      <c r="AB2523" t="n">
        <v>841</v>
      </c>
      <c r="AD2523" s="52">
        <f>IFERROR(N(IFERROR(INDEX($A2523:$AB2523,MATCH("Xero Invoiced Ex GST",$A$1:$AB$1,0)),"")),0)</f>
        <v/>
      </c>
      <c r="AE2523" s="53">
        <f>IFERROR(INDEX($A2523:$AB2523,MATCH("Xero Invoice Date",$A$1:$AB$1,0)),"")</f>
        <v/>
      </c>
      <c r="AF2523" s="54">
        <f>IF(AND(IFERROR(INDEX($A2523:$AB2523,MATCH("Xero Invoice No",$A$1:$AB$1,0)),"")&amp;""&lt;&gt;"",ISNUMBER(AE2523),AD2523&lt;&gt;0),1,0)</f>
        <v/>
      </c>
      <c r="AG2523" s="55">
        <f>IF(AF2523=1,EOMONTH(AE2523,0),"")</f>
        <v/>
      </c>
      <c r="AH2523" s="9">
        <f>IF(AF2523=1,UPPER(TRIM(IFERROR(INDEX($A2523:$AB2523,MATCH("Client",$A$1:$AB$1,0)),"")&amp;"")),"")</f>
        <v/>
      </c>
      <c r="AI2523" s="9">
        <f>IF(AF2523=1,IFERROR(INDEX($A2523:$AB2523,MATCH("Cost Centre",$A$1:$AB$1,0)),"")&amp;"","")</f>
        <v/>
      </c>
      <c r="AJ2523" s="54">
        <f>IF(AND(AF2523=1,AE2523&gt;=set_FYStart,AE2523&lt;=set_AsAt),1,0)</f>
        <v/>
      </c>
      <c r="AK2523" s="54">
        <f>IF(AND(AJ2523=1,AH2523&lt;&gt;"",COUNTIFS($AH$2:AH2523,AH2523,$AJ$2:AJ2523,1)=1),N(AL2522)+1,"")</f>
        <v/>
      </c>
      <c r="AL2523" s="54">
        <f>IF(AK2523&lt;&gt;"",AK2523,N(AL2522))</f>
        <v/>
      </c>
    </row>
    <row r="2524">
      <c r="A2524" t="inlineStr">
        <is>
          <t>CON-0841</t>
        </is>
      </c>
      <c r="B2524" t="inlineStr">
        <is>
          <t>Consulting</t>
        </is>
      </c>
      <c r="AB2524" t="n">
        <v>841</v>
      </c>
      <c r="AD2524" s="52">
        <f>IFERROR(N(IFERROR(INDEX($A2524:$AB2524,MATCH("Xero Invoiced Ex GST",$A$1:$AB$1,0)),"")),0)</f>
        <v/>
      </c>
      <c r="AE2524" s="53">
        <f>IFERROR(INDEX($A2524:$AB2524,MATCH("Xero Invoice Date",$A$1:$AB$1,0)),"")</f>
        <v/>
      </c>
      <c r="AF2524" s="54">
        <f>IF(AND(IFERROR(INDEX($A2524:$AB2524,MATCH("Xero Invoice No",$A$1:$AB$1,0)),"")&amp;""&lt;&gt;"",ISNUMBER(AE2524),AD2524&lt;&gt;0),1,0)</f>
        <v/>
      </c>
      <c r="AG2524" s="55">
        <f>IF(AF2524=1,EOMONTH(AE2524,0),"")</f>
        <v/>
      </c>
      <c r="AH2524" s="9">
        <f>IF(AF2524=1,UPPER(TRIM(IFERROR(INDEX($A2524:$AB2524,MATCH("Client",$A$1:$AB$1,0)),"")&amp;"")),"")</f>
        <v/>
      </c>
      <c r="AI2524" s="9">
        <f>IF(AF2524=1,IFERROR(INDEX($A2524:$AB2524,MATCH("Cost Centre",$A$1:$AB$1,0)),"")&amp;"","")</f>
        <v/>
      </c>
      <c r="AJ2524" s="54">
        <f>IF(AND(AF2524=1,AE2524&gt;=set_FYStart,AE2524&lt;=set_AsAt),1,0)</f>
        <v/>
      </c>
      <c r="AK2524" s="54">
        <f>IF(AND(AJ2524=1,AH2524&lt;&gt;"",COUNTIFS($AH$2:AH2524,AH2524,$AJ$2:AJ2524,1)=1),N(AL2523)+1,"")</f>
        <v/>
      </c>
      <c r="AL2524" s="54">
        <f>IF(AK2524&lt;&gt;"",AK2524,N(AL2523))</f>
        <v/>
      </c>
    </row>
    <row r="2525">
      <c r="A2525" t="inlineStr">
        <is>
          <t>ONS-0842</t>
        </is>
      </c>
      <c r="B2525" t="inlineStr">
        <is>
          <t>Onsite</t>
        </is>
      </c>
      <c r="AB2525" t="n">
        <v>842</v>
      </c>
      <c r="AD2525" s="52">
        <f>IFERROR(N(IFERROR(INDEX($A2525:$AB2525,MATCH("Xero Invoiced Ex GST",$A$1:$AB$1,0)),"")),0)</f>
        <v/>
      </c>
      <c r="AE2525" s="53">
        <f>IFERROR(INDEX($A2525:$AB2525,MATCH("Xero Invoice Date",$A$1:$AB$1,0)),"")</f>
        <v/>
      </c>
      <c r="AF2525" s="54">
        <f>IF(AND(IFERROR(INDEX($A2525:$AB2525,MATCH("Xero Invoice No",$A$1:$AB$1,0)),"")&amp;""&lt;&gt;"",ISNUMBER(AE2525),AD2525&lt;&gt;0),1,0)</f>
        <v/>
      </c>
      <c r="AG2525" s="55">
        <f>IF(AF2525=1,EOMONTH(AE2525,0),"")</f>
        <v/>
      </c>
      <c r="AH2525" s="9">
        <f>IF(AF2525=1,UPPER(TRIM(IFERROR(INDEX($A2525:$AB2525,MATCH("Client",$A$1:$AB$1,0)),"")&amp;"")),"")</f>
        <v/>
      </c>
      <c r="AI2525" s="9">
        <f>IF(AF2525=1,IFERROR(INDEX($A2525:$AB2525,MATCH("Cost Centre",$A$1:$AB$1,0)),"")&amp;"","")</f>
        <v/>
      </c>
      <c r="AJ2525" s="54">
        <f>IF(AND(AF2525=1,AE2525&gt;=set_FYStart,AE2525&lt;=set_AsAt),1,0)</f>
        <v/>
      </c>
      <c r="AK2525" s="54">
        <f>IF(AND(AJ2525=1,AH2525&lt;&gt;"",COUNTIFS($AH$2:AH2525,AH2525,$AJ$2:AJ2525,1)=1),N(AL2524)+1,"")</f>
        <v/>
      </c>
      <c r="AL2525" s="54">
        <f>IF(AK2525&lt;&gt;"",AK2525,N(AL2524))</f>
        <v/>
      </c>
    </row>
    <row r="2526">
      <c r="A2526" t="inlineStr">
        <is>
          <t>PRD-0842</t>
        </is>
      </c>
      <c r="B2526" t="inlineStr">
        <is>
          <t>Production</t>
        </is>
      </c>
      <c r="AB2526" t="n">
        <v>842</v>
      </c>
      <c r="AD2526" s="52">
        <f>IFERROR(N(IFERROR(INDEX($A2526:$AB2526,MATCH("Xero Invoiced Ex GST",$A$1:$AB$1,0)),"")),0)</f>
        <v/>
      </c>
      <c r="AE2526" s="53">
        <f>IFERROR(INDEX($A2526:$AB2526,MATCH("Xero Invoice Date",$A$1:$AB$1,0)),"")</f>
        <v/>
      </c>
      <c r="AF2526" s="54">
        <f>IF(AND(IFERROR(INDEX($A2526:$AB2526,MATCH("Xero Invoice No",$A$1:$AB$1,0)),"")&amp;""&lt;&gt;"",ISNUMBER(AE2526),AD2526&lt;&gt;0),1,0)</f>
        <v/>
      </c>
      <c r="AG2526" s="55">
        <f>IF(AF2526=1,EOMONTH(AE2526,0),"")</f>
        <v/>
      </c>
      <c r="AH2526" s="9">
        <f>IF(AF2526=1,UPPER(TRIM(IFERROR(INDEX($A2526:$AB2526,MATCH("Client",$A$1:$AB$1,0)),"")&amp;"")),"")</f>
        <v/>
      </c>
      <c r="AI2526" s="9">
        <f>IF(AF2526=1,IFERROR(INDEX($A2526:$AB2526,MATCH("Cost Centre",$A$1:$AB$1,0)),"")&amp;"","")</f>
        <v/>
      </c>
      <c r="AJ2526" s="54">
        <f>IF(AND(AF2526=1,AE2526&gt;=set_FYStart,AE2526&lt;=set_AsAt),1,0)</f>
        <v/>
      </c>
      <c r="AK2526" s="54">
        <f>IF(AND(AJ2526=1,AH2526&lt;&gt;"",COUNTIFS($AH$2:AH2526,AH2526,$AJ$2:AJ2526,1)=1),N(AL2525)+1,"")</f>
        <v/>
      </c>
      <c r="AL2526" s="54">
        <f>IF(AK2526&lt;&gt;"",AK2526,N(AL2525))</f>
        <v/>
      </c>
    </row>
    <row r="2527">
      <c r="A2527" t="inlineStr">
        <is>
          <t>CON-0842</t>
        </is>
      </c>
      <c r="B2527" t="inlineStr">
        <is>
          <t>Consulting</t>
        </is>
      </c>
      <c r="AB2527" t="n">
        <v>842</v>
      </c>
      <c r="AD2527" s="52">
        <f>IFERROR(N(IFERROR(INDEX($A2527:$AB2527,MATCH("Xero Invoiced Ex GST",$A$1:$AB$1,0)),"")),0)</f>
        <v/>
      </c>
      <c r="AE2527" s="53">
        <f>IFERROR(INDEX($A2527:$AB2527,MATCH("Xero Invoice Date",$A$1:$AB$1,0)),"")</f>
        <v/>
      </c>
      <c r="AF2527" s="54">
        <f>IF(AND(IFERROR(INDEX($A2527:$AB2527,MATCH("Xero Invoice No",$A$1:$AB$1,0)),"")&amp;""&lt;&gt;"",ISNUMBER(AE2527),AD2527&lt;&gt;0),1,0)</f>
        <v/>
      </c>
      <c r="AG2527" s="55">
        <f>IF(AF2527=1,EOMONTH(AE2527,0),"")</f>
        <v/>
      </c>
      <c r="AH2527" s="9">
        <f>IF(AF2527=1,UPPER(TRIM(IFERROR(INDEX($A2527:$AB2527,MATCH("Client",$A$1:$AB$1,0)),"")&amp;"")),"")</f>
        <v/>
      </c>
      <c r="AI2527" s="9">
        <f>IF(AF2527=1,IFERROR(INDEX($A2527:$AB2527,MATCH("Cost Centre",$A$1:$AB$1,0)),"")&amp;"","")</f>
        <v/>
      </c>
      <c r="AJ2527" s="54">
        <f>IF(AND(AF2527=1,AE2527&gt;=set_FYStart,AE2527&lt;=set_AsAt),1,0)</f>
        <v/>
      </c>
      <c r="AK2527" s="54">
        <f>IF(AND(AJ2527=1,AH2527&lt;&gt;"",COUNTIFS($AH$2:AH2527,AH2527,$AJ$2:AJ2527,1)=1),N(AL2526)+1,"")</f>
        <v/>
      </c>
      <c r="AL2527" s="54">
        <f>IF(AK2527&lt;&gt;"",AK2527,N(AL2526))</f>
        <v/>
      </c>
    </row>
    <row r="2528">
      <c r="A2528" t="inlineStr">
        <is>
          <t>ONS-0843</t>
        </is>
      </c>
      <c r="B2528" t="inlineStr">
        <is>
          <t>Onsite</t>
        </is>
      </c>
      <c r="AB2528" t="n">
        <v>843</v>
      </c>
      <c r="AD2528" s="52">
        <f>IFERROR(N(IFERROR(INDEX($A2528:$AB2528,MATCH("Xero Invoiced Ex GST",$A$1:$AB$1,0)),"")),0)</f>
        <v/>
      </c>
      <c r="AE2528" s="53">
        <f>IFERROR(INDEX($A2528:$AB2528,MATCH("Xero Invoice Date",$A$1:$AB$1,0)),"")</f>
        <v/>
      </c>
      <c r="AF2528" s="54">
        <f>IF(AND(IFERROR(INDEX($A2528:$AB2528,MATCH("Xero Invoice No",$A$1:$AB$1,0)),"")&amp;""&lt;&gt;"",ISNUMBER(AE2528),AD2528&lt;&gt;0),1,0)</f>
        <v/>
      </c>
      <c r="AG2528" s="55">
        <f>IF(AF2528=1,EOMONTH(AE2528,0),"")</f>
        <v/>
      </c>
      <c r="AH2528" s="9">
        <f>IF(AF2528=1,UPPER(TRIM(IFERROR(INDEX($A2528:$AB2528,MATCH("Client",$A$1:$AB$1,0)),"")&amp;"")),"")</f>
        <v/>
      </c>
      <c r="AI2528" s="9">
        <f>IF(AF2528=1,IFERROR(INDEX($A2528:$AB2528,MATCH("Cost Centre",$A$1:$AB$1,0)),"")&amp;"","")</f>
        <v/>
      </c>
      <c r="AJ2528" s="54">
        <f>IF(AND(AF2528=1,AE2528&gt;=set_FYStart,AE2528&lt;=set_AsAt),1,0)</f>
        <v/>
      </c>
      <c r="AK2528" s="54">
        <f>IF(AND(AJ2528=1,AH2528&lt;&gt;"",COUNTIFS($AH$2:AH2528,AH2528,$AJ$2:AJ2528,1)=1),N(AL2527)+1,"")</f>
        <v/>
      </c>
      <c r="AL2528" s="54">
        <f>IF(AK2528&lt;&gt;"",AK2528,N(AL2527))</f>
        <v/>
      </c>
    </row>
    <row r="2529">
      <c r="A2529" t="inlineStr">
        <is>
          <t>PRD-0843</t>
        </is>
      </c>
      <c r="B2529" t="inlineStr">
        <is>
          <t>Production</t>
        </is>
      </c>
      <c r="AB2529" t="n">
        <v>843</v>
      </c>
      <c r="AD2529" s="52">
        <f>IFERROR(N(IFERROR(INDEX($A2529:$AB2529,MATCH("Xero Invoiced Ex GST",$A$1:$AB$1,0)),"")),0)</f>
        <v/>
      </c>
      <c r="AE2529" s="53">
        <f>IFERROR(INDEX($A2529:$AB2529,MATCH("Xero Invoice Date",$A$1:$AB$1,0)),"")</f>
        <v/>
      </c>
      <c r="AF2529" s="54">
        <f>IF(AND(IFERROR(INDEX($A2529:$AB2529,MATCH("Xero Invoice No",$A$1:$AB$1,0)),"")&amp;""&lt;&gt;"",ISNUMBER(AE2529),AD2529&lt;&gt;0),1,0)</f>
        <v/>
      </c>
      <c r="AG2529" s="55">
        <f>IF(AF2529=1,EOMONTH(AE2529,0),"")</f>
        <v/>
      </c>
      <c r="AH2529" s="9">
        <f>IF(AF2529=1,UPPER(TRIM(IFERROR(INDEX($A2529:$AB2529,MATCH("Client",$A$1:$AB$1,0)),"")&amp;"")),"")</f>
        <v/>
      </c>
      <c r="AI2529" s="9">
        <f>IF(AF2529=1,IFERROR(INDEX($A2529:$AB2529,MATCH("Cost Centre",$A$1:$AB$1,0)),"")&amp;"","")</f>
        <v/>
      </c>
      <c r="AJ2529" s="54">
        <f>IF(AND(AF2529=1,AE2529&gt;=set_FYStart,AE2529&lt;=set_AsAt),1,0)</f>
        <v/>
      </c>
      <c r="AK2529" s="54">
        <f>IF(AND(AJ2529=1,AH2529&lt;&gt;"",COUNTIFS($AH$2:AH2529,AH2529,$AJ$2:AJ2529,1)=1),N(AL2528)+1,"")</f>
        <v/>
      </c>
      <c r="AL2529" s="54">
        <f>IF(AK2529&lt;&gt;"",AK2529,N(AL2528))</f>
        <v/>
      </c>
    </row>
    <row r="2530">
      <c r="A2530" t="inlineStr">
        <is>
          <t>CON-0843</t>
        </is>
      </c>
      <c r="B2530" t="inlineStr">
        <is>
          <t>Consulting</t>
        </is>
      </c>
      <c r="AB2530" t="n">
        <v>843</v>
      </c>
      <c r="AD2530" s="52">
        <f>IFERROR(N(IFERROR(INDEX($A2530:$AB2530,MATCH("Xero Invoiced Ex GST",$A$1:$AB$1,0)),"")),0)</f>
        <v/>
      </c>
      <c r="AE2530" s="53">
        <f>IFERROR(INDEX($A2530:$AB2530,MATCH("Xero Invoice Date",$A$1:$AB$1,0)),"")</f>
        <v/>
      </c>
      <c r="AF2530" s="54">
        <f>IF(AND(IFERROR(INDEX($A2530:$AB2530,MATCH("Xero Invoice No",$A$1:$AB$1,0)),"")&amp;""&lt;&gt;"",ISNUMBER(AE2530),AD2530&lt;&gt;0),1,0)</f>
        <v/>
      </c>
      <c r="AG2530" s="55">
        <f>IF(AF2530=1,EOMONTH(AE2530,0),"")</f>
        <v/>
      </c>
      <c r="AH2530" s="9">
        <f>IF(AF2530=1,UPPER(TRIM(IFERROR(INDEX($A2530:$AB2530,MATCH("Client",$A$1:$AB$1,0)),"")&amp;"")),"")</f>
        <v/>
      </c>
      <c r="AI2530" s="9">
        <f>IF(AF2530=1,IFERROR(INDEX($A2530:$AB2530,MATCH("Cost Centre",$A$1:$AB$1,0)),"")&amp;"","")</f>
        <v/>
      </c>
      <c r="AJ2530" s="54">
        <f>IF(AND(AF2530=1,AE2530&gt;=set_FYStart,AE2530&lt;=set_AsAt),1,0)</f>
        <v/>
      </c>
      <c r="AK2530" s="54">
        <f>IF(AND(AJ2530=1,AH2530&lt;&gt;"",COUNTIFS($AH$2:AH2530,AH2530,$AJ$2:AJ2530,1)=1),N(AL2529)+1,"")</f>
        <v/>
      </c>
      <c r="AL2530" s="54">
        <f>IF(AK2530&lt;&gt;"",AK2530,N(AL2529))</f>
        <v/>
      </c>
    </row>
    <row r="2531">
      <c r="A2531" t="inlineStr">
        <is>
          <t>ONS-0844</t>
        </is>
      </c>
      <c r="B2531" t="inlineStr">
        <is>
          <t>Onsite</t>
        </is>
      </c>
      <c r="AB2531" t="n">
        <v>844</v>
      </c>
      <c r="AD2531" s="52">
        <f>IFERROR(N(IFERROR(INDEX($A2531:$AB2531,MATCH("Xero Invoiced Ex GST",$A$1:$AB$1,0)),"")),0)</f>
        <v/>
      </c>
      <c r="AE2531" s="53">
        <f>IFERROR(INDEX($A2531:$AB2531,MATCH("Xero Invoice Date",$A$1:$AB$1,0)),"")</f>
        <v/>
      </c>
      <c r="AF2531" s="54">
        <f>IF(AND(IFERROR(INDEX($A2531:$AB2531,MATCH("Xero Invoice No",$A$1:$AB$1,0)),"")&amp;""&lt;&gt;"",ISNUMBER(AE2531),AD2531&lt;&gt;0),1,0)</f>
        <v/>
      </c>
      <c r="AG2531" s="55">
        <f>IF(AF2531=1,EOMONTH(AE2531,0),"")</f>
        <v/>
      </c>
      <c r="AH2531" s="9">
        <f>IF(AF2531=1,UPPER(TRIM(IFERROR(INDEX($A2531:$AB2531,MATCH("Client",$A$1:$AB$1,0)),"")&amp;"")),"")</f>
        <v/>
      </c>
      <c r="AI2531" s="9">
        <f>IF(AF2531=1,IFERROR(INDEX($A2531:$AB2531,MATCH("Cost Centre",$A$1:$AB$1,0)),"")&amp;"","")</f>
        <v/>
      </c>
      <c r="AJ2531" s="54">
        <f>IF(AND(AF2531=1,AE2531&gt;=set_FYStart,AE2531&lt;=set_AsAt),1,0)</f>
        <v/>
      </c>
      <c r="AK2531" s="54">
        <f>IF(AND(AJ2531=1,AH2531&lt;&gt;"",COUNTIFS($AH$2:AH2531,AH2531,$AJ$2:AJ2531,1)=1),N(AL2530)+1,"")</f>
        <v/>
      </c>
      <c r="AL2531" s="54">
        <f>IF(AK2531&lt;&gt;"",AK2531,N(AL2530))</f>
        <v/>
      </c>
    </row>
    <row r="2532">
      <c r="A2532" t="inlineStr">
        <is>
          <t>PRD-0844</t>
        </is>
      </c>
      <c r="B2532" t="inlineStr">
        <is>
          <t>Production</t>
        </is>
      </c>
      <c r="AB2532" t="n">
        <v>844</v>
      </c>
      <c r="AD2532" s="52">
        <f>IFERROR(N(IFERROR(INDEX($A2532:$AB2532,MATCH("Xero Invoiced Ex GST",$A$1:$AB$1,0)),"")),0)</f>
        <v/>
      </c>
      <c r="AE2532" s="53">
        <f>IFERROR(INDEX($A2532:$AB2532,MATCH("Xero Invoice Date",$A$1:$AB$1,0)),"")</f>
        <v/>
      </c>
      <c r="AF2532" s="54">
        <f>IF(AND(IFERROR(INDEX($A2532:$AB2532,MATCH("Xero Invoice No",$A$1:$AB$1,0)),"")&amp;""&lt;&gt;"",ISNUMBER(AE2532),AD2532&lt;&gt;0),1,0)</f>
        <v/>
      </c>
      <c r="AG2532" s="55">
        <f>IF(AF2532=1,EOMONTH(AE2532,0),"")</f>
        <v/>
      </c>
      <c r="AH2532" s="9">
        <f>IF(AF2532=1,UPPER(TRIM(IFERROR(INDEX($A2532:$AB2532,MATCH("Client",$A$1:$AB$1,0)),"")&amp;"")),"")</f>
        <v/>
      </c>
      <c r="AI2532" s="9">
        <f>IF(AF2532=1,IFERROR(INDEX($A2532:$AB2532,MATCH("Cost Centre",$A$1:$AB$1,0)),"")&amp;"","")</f>
        <v/>
      </c>
      <c r="AJ2532" s="54">
        <f>IF(AND(AF2532=1,AE2532&gt;=set_FYStart,AE2532&lt;=set_AsAt),1,0)</f>
        <v/>
      </c>
      <c r="AK2532" s="54">
        <f>IF(AND(AJ2532=1,AH2532&lt;&gt;"",COUNTIFS($AH$2:AH2532,AH2532,$AJ$2:AJ2532,1)=1),N(AL2531)+1,"")</f>
        <v/>
      </c>
      <c r="AL2532" s="54">
        <f>IF(AK2532&lt;&gt;"",AK2532,N(AL2531))</f>
        <v/>
      </c>
    </row>
    <row r="2533">
      <c r="A2533" t="inlineStr">
        <is>
          <t>CON-0844</t>
        </is>
      </c>
      <c r="B2533" t="inlineStr">
        <is>
          <t>Consulting</t>
        </is>
      </c>
      <c r="AB2533" t="n">
        <v>844</v>
      </c>
      <c r="AD2533" s="52">
        <f>IFERROR(N(IFERROR(INDEX($A2533:$AB2533,MATCH("Xero Invoiced Ex GST",$A$1:$AB$1,0)),"")),0)</f>
        <v/>
      </c>
      <c r="AE2533" s="53">
        <f>IFERROR(INDEX($A2533:$AB2533,MATCH("Xero Invoice Date",$A$1:$AB$1,0)),"")</f>
        <v/>
      </c>
      <c r="AF2533" s="54">
        <f>IF(AND(IFERROR(INDEX($A2533:$AB2533,MATCH("Xero Invoice No",$A$1:$AB$1,0)),"")&amp;""&lt;&gt;"",ISNUMBER(AE2533),AD2533&lt;&gt;0),1,0)</f>
        <v/>
      </c>
      <c r="AG2533" s="55">
        <f>IF(AF2533=1,EOMONTH(AE2533,0),"")</f>
        <v/>
      </c>
      <c r="AH2533" s="9">
        <f>IF(AF2533=1,UPPER(TRIM(IFERROR(INDEX($A2533:$AB2533,MATCH("Client",$A$1:$AB$1,0)),"")&amp;"")),"")</f>
        <v/>
      </c>
      <c r="AI2533" s="9">
        <f>IF(AF2533=1,IFERROR(INDEX($A2533:$AB2533,MATCH("Cost Centre",$A$1:$AB$1,0)),"")&amp;"","")</f>
        <v/>
      </c>
      <c r="AJ2533" s="54">
        <f>IF(AND(AF2533=1,AE2533&gt;=set_FYStart,AE2533&lt;=set_AsAt),1,0)</f>
        <v/>
      </c>
      <c r="AK2533" s="54">
        <f>IF(AND(AJ2533=1,AH2533&lt;&gt;"",COUNTIFS($AH$2:AH2533,AH2533,$AJ$2:AJ2533,1)=1),N(AL2532)+1,"")</f>
        <v/>
      </c>
      <c r="AL2533" s="54">
        <f>IF(AK2533&lt;&gt;"",AK2533,N(AL2532))</f>
        <v/>
      </c>
    </row>
    <row r="2534">
      <c r="A2534" t="inlineStr">
        <is>
          <t>ONS-0845</t>
        </is>
      </c>
      <c r="B2534" t="inlineStr">
        <is>
          <t>Onsite</t>
        </is>
      </c>
      <c r="AB2534" t="n">
        <v>845</v>
      </c>
      <c r="AD2534" s="52">
        <f>IFERROR(N(IFERROR(INDEX($A2534:$AB2534,MATCH("Xero Invoiced Ex GST",$A$1:$AB$1,0)),"")),0)</f>
        <v/>
      </c>
      <c r="AE2534" s="53">
        <f>IFERROR(INDEX($A2534:$AB2534,MATCH("Xero Invoice Date",$A$1:$AB$1,0)),"")</f>
        <v/>
      </c>
      <c r="AF2534" s="54">
        <f>IF(AND(IFERROR(INDEX($A2534:$AB2534,MATCH("Xero Invoice No",$A$1:$AB$1,0)),"")&amp;""&lt;&gt;"",ISNUMBER(AE2534),AD2534&lt;&gt;0),1,0)</f>
        <v/>
      </c>
      <c r="AG2534" s="55">
        <f>IF(AF2534=1,EOMONTH(AE2534,0),"")</f>
        <v/>
      </c>
      <c r="AH2534" s="9">
        <f>IF(AF2534=1,UPPER(TRIM(IFERROR(INDEX($A2534:$AB2534,MATCH("Client",$A$1:$AB$1,0)),"")&amp;"")),"")</f>
        <v/>
      </c>
      <c r="AI2534" s="9">
        <f>IF(AF2534=1,IFERROR(INDEX($A2534:$AB2534,MATCH("Cost Centre",$A$1:$AB$1,0)),"")&amp;"","")</f>
        <v/>
      </c>
      <c r="AJ2534" s="54">
        <f>IF(AND(AF2534=1,AE2534&gt;=set_FYStart,AE2534&lt;=set_AsAt),1,0)</f>
        <v/>
      </c>
      <c r="AK2534" s="54">
        <f>IF(AND(AJ2534=1,AH2534&lt;&gt;"",COUNTIFS($AH$2:AH2534,AH2534,$AJ$2:AJ2534,1)=1),N(AL2533)+1,"")</f>
        <v/>
      </c>
      <c r="AL2534" s="54">
        <f>IF(AK2534&lt;&gt;"",AK2534,N(AL2533))</f>
        <v/>
      </c>
    </row>
    <row r="2535">
      <c r="A2535" t="inlineStr">
        <is>
          <t>PRD-0845</t>
        </is>
      </c>
      <c r="B2535" t="inlineStr">
        <is>
          <t>Production</t>
        </is>
      </c>
      <c r="AB2535" t="n">
        <v>845</v>
      </c>
      <c r="AD2535" s="52">
        <f>IFERROR(N(IFERROR(INDEX($A2535:$AB2535,MATCH("Xero Invoiced Ex GST",$A$1:$AB$1,0)),"")),0)</f>
        <v/>
      </c>
      <c r="AE2535" s="53">
        <f>IFERROR(INDEX($A2535:$AB2535,MATCH("Xero Invoice Date",$A$1:$AB$1,0)),"")</f>
        <v/>
      </c>
      <c r="AF2535" s="54">
        <f>IF(AND(IFERROR(INDEX($A2535:$AB2535,MATCH("Xero Invoice No",$A$1:$AB$1,0)),"")&amp;""&lt;&gt;"",ISNUMBER(AE2535),AD2535&lt;&gt;0),1,0)</f>
        <v/>
      </c>
      <c r="AG2535" s="55">
        <f>IF(AF2535=1,EOMONTH(AE2535,0),"")</f>
        <v/>
      </c>
      <c r="AH2535" s="9">
        <f>IF(AF2535=1,UPPER(TRIM(IFERROR(INDEX($A2535:$AB2535,MATCH("Client",$A$1:$AB$1,0)),"")&amp;"")),"")</f>
        <v/>
      </c>
      <c r="AI2535" s="9">
        <f>IF(AF2535=1,IFERROR(INDEX($A2535:$AB2535,MATCH("Cost Centre",$A$1:$AB$1,0)),"")&amp;"","")</f>
        <v/>
      </c>
      <c r="AJ2535" s="54">
        <f>IF(AND(AF2535=1,AE2535&gt;=set_FYStart,AE2535&lt;=set_AsAt),1,0)</f>
        <v/>
      </c>
      <c r="AK2535" s="54">
        <f>IF(AND(AJ2535=1,AH2535&lt;&gt;"",COUNTIFS($AH$2:AH2535,AH2535,$AJ$2:AJ2535,1)=1),N(AL2534)+1,"")</f>
        <v/>
      </c>
      <c r="AL2535" s="54">
        <f>IF(AK2535&lt;&gt;"",AK2535,N(AL2534))</f>
        <v/>
      </c>
    </row>
    <row r="2536">
      <c r="A2536" t="inlineStr">
        <is>
          <t>CON-0845</t>
        </is>
      </c>
      <c r="B2536" t="inlineStr">
        <is>
          <t>Consulting</t>
        </is>
      </c>
      <c r="AB2536" t="n">
        <v>845</v>
      </c>
      <c r="AD2536" s="52">
        <f>IFERROR(N(IFERROR(INDEX($A2536:$AB2536,MATCH("Xero Invoiced Ex GST",$A$1:$AB$1,0)),"")),0)</f>
        <v/>
      </c>
      <c r="AE2536" s="53">
        <f>IFERROR(INDEX($A2536:$AB2536,MATCH("Xero Invoice Date",$A$1:$AB$1,0)),"")</f>
        <v/>
      </c>
      <c r="AF2536" s="54">
        <f>IF(AND(IFERROR(INDEX($A2536:$AB2536,MATCH("Xero Invoice No",$A$1:$AB$1,0)),"")&amp;""&lt;&gt;"",ISNUMBER(AE2536),AD2536&lt;&gt;0),1,0)</f>
        <v/>
      </c>
      <c r="AG2536" s="55">
        <f>IF(AF2536=1,EOMONTH(AE2536,0),"")</f>
        <v/>
      </c>
      <c r="AH2536" s="9">
        <f>IF(AF2536=1,UPPER(TRIM(IFERROR(INDEX($A2536:$AB2536,MATCH("Client",$A$1:$AB$1,0)),"")&amp;"")),"")</f>
        <v/>
      </c>
      <c r="AI2536" s="9">
        <f>IF(AF2536=1,IFERROR(INDEX($A2536:$AB2536,MATCH("Cost Centre",$A$1:$AB$1,0)),"")&amp;"","")</f>
        <v/>
      </c>
      <c r="AJ2536" s="54">
        <f>IF(AND(AF2536=1,AE2536&gt;=set_FYStart,AE2536&lt;=set_AsAt),1,0)</f>
        <v/>
      </c>
      <c r="AK2536" s="54">
        <f>IF(AND(AJ2536=1,AH2536&lt;&gt;"",COUNTIFS($AH$2:AH2536,AH2536,$AJ$2:AJ2536,1)=1),N(AL2535)+1,"")</f>
        <v/>
      </c>
      <c r="AL2536" s="54">
        <f>IF(AK2536&lt;&gt;"",AK2536,N(AL2535))</f>
        <v/>
      </c>
    </row>
    <row r="2537">
      <c r="A2537" t="inlineStr">
        <is>
          <t>ONS-0846</t>
        </is>
      </c>
      <c r="B2537" t="inlineStr">
        <is>
          <t>Onsite</t>
        </is>
      </c>
      <c r="AB2537" t="n">
        <v>846</v>
      </c>
      <c r="AD2537" s="52">
        <f>IFERROR(N(IFERROR(INDEX($A2537:$AB2537,MATCH("Xero Invoiced Ex GST",$A$1:$AB$1,0)),"")),0)</f>
        <v/>
      </c>
      <c r="AE2537" s="53">
        <f>IFERROR(INDEX($A2537:$AB2537,MATCH("Xero Invoice Date",$A$1:$AB$1,0)),"")</f>
        <v/>
      </c>
      <c r="AF2537" s="54">
        <f>IF(AND(IFERROR(INDEX($A2537:$AB2537,MATCH("Xero Invoice No",$A$1:$AB$1,0)),"")&amp;""&lt;&gt;"",ISNUMBER(AE2537),AD2537&lt;&gt;0),1,0)</f>
        <v/>
      </c>
      <c r="AG2537" s="55">
        <f>IF(AF2537=1,EOMONTH(AE2537,0),"")</f>
        <v/>
      </c>
      <c r="AH2537" s="9">
        <f>IF(AF2537=1,UPPER(TRIM(IFERROR(INDEX($A2537:$AB2537,MATCH("Client",$A$1:$AB$1,0)),"")&amp;"")),"")</f>
        <v/>
      </c>
      <c r="AI2537" s="9">
        <f>IF(AF2537=1,IFERROR(INDEX($A2537:$AB2537,MATCH("Cost Centre",$A$1:$AB$1,0)),"")&amp;"","")</f>
        <v/>
      </c>
      <c r="AJ2537" s="54">
        <f>IF(AND(AF2537=1,AE2537&gt;=set_FYStart,AE2537&lt;=set_AsAt),1,0)</f>
        <v/>
      </c>
      <c r="AK2537" s="54">
        <f>IF(AND(AJ2537=1,AH2537&lt;&gt;"",COUNTIFS($AH$2:AH2537,AH2537,$AJ$2:AJ2537,1)=1),N(AL2536)+1,"")</f>
        <v/>
      </c>
      <c r="AL2537" s="54">
        <f>IF(AK2537&lt;&gt;"",AK2537,N(AL2536))</f>
        <v/>
      </c>
    </row>
    <row r="2538">
      <c r="A2538" t="inlineStr">
        <is>
          <t>PRD-0846</t>
        </is>
      </c>
      <c r="B2538" t="inlineStr">
        <is>
          <t>Production</t>
        </is>
      </c>
      <c r="AB2538" t="n">
        <v>846</v>
      </c>
      <c r="AD2538" s="52">
        <f>IFERROR(N(IFERROR(INDEX($A2538:$AB2538,MATCH("Xero Invoiced Ex GST",$A$1:$AB$1,0)),"")),0)</f>
        <v/>
      </c>
      <c r="AE2538" s="53">
        <f>IFERROR(INDEX($A2538:$AB2538,MATCH("Xero Invoice Date",$A$1:$AB$1,0)),"")</f>
        <v/>
      </c>
      <c r="AF2538" s="54">
        <f>IF(AND(IFERROR(INDEX($A2538:$AB2538,MATCH("Xero Invoice No",$A$1:$AB$1,0)),"")&amp;""&lt;&gt;"",ISNUMBER(AE2538),AD2538&lt;&gt;0),1,0)</f>
        <v/>
      </c>
      <c r="AG2538" s="55">
        <f>IF(AF2538=1,EOMONTH(AE2538,0),"")</f>
        <v/>
      </c>
      <c r="AH2538" s="9">
        <f>IF(AF2538=1,UPPER(TRIM(IFERROR(INDEX($A2538:$AB2538,MATCH("Client",$A$1:$AB$1,0)),"")&amp;"")),"")</f>
        <v/>
      </c>
      <c r="AI2538" s="9">
        <f>IF(AF2538=1,IFERROR(INDEX($A2538:$AB2538,MATCH("Cost Centre",$A$1:$AB$1,0)),"")&amp;"","")</f>
        <v/>
      </c>
      <c r="AJ2538" s="54">
        <f>IF(AND(AF2538=1,AE2538&gt;=set_FYStart,AE2538&lt;=set_AsAt),1,0)</f>
        <v/>
      </c>
      <c r="AK2538" s="54">
        <f>IF(AND(AJ2538=1,AH2538&lt;&gt;"",COUNTIFS($AH$2:AH2538,AH2538,$AJ$2:AJ2538,1)=1),N(AL2537)+1,"")</f>
        <v/>
      </c>
      <c r="AL2538" s="54">
        <f>IF(AK2538&lt;&gt;"",AK2538,N(AL2537))</f>
        <v/>
      </c>
    </row>
    <row r="2539">
      <c r="A2539" t="inlineStr">
        <is>
          <t>CON-0846</t>
        </is>
      </c>
      <c r="B2539" t="inlineStr">
        <is>
          <t>Consulting</t>
        </is>
      </c>
      <c r="AB2539" t="n">
        <v>846</v>
      </c>
      <c r="AD2539" s="52">
        <f>IFERROR(N(IFERROR(INDEX($A2539:$AB2539,MATCH("Xero Invoiced Ex GST",$A$1:$AB$1,0)),"")),0)</f>
        <v/>
      </c>
      <c r="AE2539" s="53">
        <f>IFERROR(INDEX($A2539:$AB2539,MATCH("Xero Invoice Date",$A$1:$AB$1,0)),"")</f>
        <v/>
      </c>
      <c r="AF2539" s="54">
        <f>IF(AND(IFERROR(INDEX($A2539:$AB2539,MATCH("Xero Invoice No",$A$1:$AB$1,0)),"")&amp;""&lt;&gt;"",ISNUMBER(AE2539),AD2539&lt;&gt;0),1,0)</f>
        <v/>
      </c>
      <c r="AG2539" s="55">
        <f>IF(AF2539=1,EOMONTH(AE2539,0),"")</f>
        <v/>
      </c>
      <c r="AH2539" s="9">
        <f>IF(AF2539=1,UPPER(TRIM(IFERROR(INDEX($A2539:$AB2539,MATCH("Client",$A$1:$AB$1,0)),"")&amp;"")),"")</f>
        <v/>
      </c>
      <c r="AI2539" s="9">
        <f>IF(AF2539=1,IFERROR(INDEX($A2539:$AB2539,MATCH("Cost Centre",$A$1:$AB$1,0)),"")&amp;"","")</f>
        <v/>
      </c>
      <c r="AJ2539" s="54">
        <f>IF(AND(AF2539=1,AE2539&gt;=set_FYStart,AE2539&lt;=set_AsAt),1,0)</f>
        <v/>
      </c>
      <c r="AK2539" s="54">
        <f>IF(AND(AJ2539=1,AH2539&lt;&gt;"",COUNTIFS($AH$2:AH2539,AH2539,$AJ$2:AJ2539,1)=1),N(AL2538)+1,"")</f>
        <v/>
      </c>
      <c r="AL2539" s="54">
        <f>IF(AK2539&lt;&gt;"",AK2539,N(AL2538))</f>
        <v/>
      </c>
    </row>
    <row r="2540">
      <c r="A2540" t="inlineStr">
        <is>
          <t>ONS-0847</t>
        </is>
      </c>
      <c r="B2540" t="inlineStr">
        <is>
          <t>Onsite</t>
        </is>
      </c>
      <c r="AB2540" t="n">
        <v>847</v>
      </c>
      <c r="AD2540" s="52">
        <f>IFERROR(N(IFERROR(INDEX($A2540:$AB2540,MATCH("Xero Invoiced Ex GST",$A$1:$AB$1,0)),"")),0)</f>
        <v/>
      </c>
      <c r="AE2540" s="53">
        <f>IFERROR(INDEX($A2540:$AB2540,MATCH("Xero Invoice Date",$A$1:$AB$1,0)),"")</f>
        <v/>
      </c>
      <c r="AF2540" s="54">
        <f>IF(AND(IFERROR(INDEX($A2540:$AB2540,MATCH("Xero Invoice No",$A$1:$AB$1,0)),"")&amp;""&lt;&gt;"",ISNUMBER(AE2540),AD2540&lt;&gt;0),1,0)</f>
        <v/>
      </c>
      <c r="AG2540" s="55">
        <f>IF(AF2540=1,EOMONTH(AE2540,0),"")</f>
        <v/>
      </c>
      <c r="AH2540" s="9">
        <f>IF(AF2540=1,UPPER(TRIM(IFERROR(INDEX($A2540:$AB2540,MATCH("Client",$A$1:$AB$1,0)),"")&amp;"")),"")</f>
        <v/>
      </c>
      <c r="AI2540" s="9">
        <f>IF(AF2540=1,IFERROR(INDEX($A2540:$AB2540,MATCH("Cost Centre",$A$1:$AB$1,0)),"")&amp;"","")</f>
        <v/>
      </c>
      <c r="AJ2540" s="54">
        <f>IF(AND(AF2540=1,AE2540&gt;=set_FYStart,AE2540&lt;=set_AsAt),1,0)</f>
        <v/>
      </c>
      <c r="AK2540" s="54">
        <f>IF(AND(AJ2540=1,AH2540&lt;&gt;"",COUNTIFS($AH$2:AH2540,AH2540,$AJ$2:AJ2540,1)=1),N(AL2539)+1,"")</f>
        <v/>
      </c>
      <c r="AL2540" s="54">
        <f>IF(AK2540&lt;&gt;"",AK2540,N(AL2539))</f>
        <v/>
      </c>
    </row>
    <row r="2541">
      <c r="A2541" t="inlineStr">
        <is>
          <t>PRD-0847</t>
        </is>
      </c>
      <c r="B2541" t="inlineStr">
        <is>
          <t>Production</t>
        </is>
      </c>
      <c r="AB2541" t="n">
        <v>847</v>
      </c>
      <c r="AD2541" s="52">
        <f>IFERROR(N(IFERROR(INDEX($A2541:$AB2541,MATCH("Xero Invoiced Ex GST",$A$1:$AB$1,0)),"")),0)</f>
        <v/>
      </c>
      <c r="AE2541" s="53">
        <f>IFERROR(INDEX($A2541:$AB2541,MATCH("Xero Invoice Date",$A$1:$AB$1,0)),"")</f>
        <v/>
      </c>
      <c r="AF2541" s="54">
        <f>IF(AND(IFERROR(INDEX($A2541:$AB2541,MATCH("Xero Invoice No",$A$1:$AB$1,0)),"")&amp;""&lt;&gt;"",ISNUMBER(AE2541),AD2541&lt;&gt;0),1,0)</f>
        <v/>
      </c>
      <c r="AG2541" s="55">
        <f>IF(AF2541=1,EOMONTH(AE2541,0),"")</f>
        <v/>
      </c>
      <c r="AH2541" s="9">
        <f>IF(AF2541=1,UPPER(TRIM(IFERROR(INDEX($A2541:$AB2541,MATCH("Client",$A$1:$AB$1,0)),"")&amp;"")),"")</f>
        <v/>
      </c>
      <c r="AI2541" s="9">
        <f>IF(AF2541=1,IFERROR(INDEX($A2541:$AB2541,MATCH("Cost Centre",$A$1:$AB$1,0)),"")&amp;"","")</f>
        <v/>
      </c>
      <c r="AJ2541" s="54">
        <f>IF(AND(AF2541=1,AE2541&gt;=set_FYStart,AE2541&lt;=set_AsAt),1,0)</f>
        <v/>
      </c>
      <c r="AK2541" s="54">
        <f>IF(AND(AJ2541=1,AH2541&lt;&gt;"",COUNTIFS($AH$2:AH2541,AH2541,$AJ$2:AJ2541,1)=1),N(AL2540)+1,"")</f>
        <v/>
      </c>
      <c r="AL2541" s="54">
        <f>IF(AK2541&lt;&gt;"",AK2541,N(AL2540))</f>
        <v/>
      </c>
    </row>
    <row r="2542">
      <c r="A2542" t="inlineStr">
        <is>
          <t>CON-0847</t>
        </is>
      </c>
      <c r="B2542" t="inlineStr">
        <is>
          <t>Consulting</t>
        </is>
      </c>
      <c r="AB2542" t="n">
        <v>847</v>
      </c>
      <c r="AD2542" s="52">
        <f>IFERROR(N(IFERROR(INDEX($A2542:$AB2542,MATCH("Xero Invoiced Ex GST",$A$1:$AB$1,0)),"")),0)</f>
        <v/>
      </c>
      <c r="AE2542" s="53">
        <f>IFERROR(INDEX($A2542:$AB2542,MATCH("Xero Invoice Date",$A$1:$AB$1,0)),"")</f>
        <v/>
      </c>
      <c r="AF2542" s="54">
        <f>IF(AND(IFERROR(INDEX($A2542:$AB2542,MATCH("Xero Invoice No",$A$1:$AB$1,0)),"")&amp;""&lt;&gt;"",ISNUMBER(AE2542),AD2542&lt;&gt;0),1,0)</f>
        <v/>
      </c>
      <c r="AG2542" s="55">
        <f>IF(AF2542=1,EOMONTH(AE2542,0),"")</f>
        <v/>
      </c>
      <c r="AH2542" s="9">
        <f>IF(AF2542=1,UPPER(TRIM(IFERROR(INDEX($A2542:$AB2542,MATCH("Client",$A$1:$AB$1,0)),"")&amp;"")),"")</f>
        <v/>
      </c>
      <c r="AI2542" s="9">
        <f>IF(AF2542=1,IFERROR(INDEX($A2542:$AB2542,MATCH("Cost Centre",$A$1:$AB$1,0)),"")&amp;"","")</f>
        <v/>
      </c>
      <c r="AJ2542" s="54">
        <f>IF(AND(AF2542=1,AE2542&gt;=set_FYStart,AE2542&lt;=set_AsAt),1,0)</f>
        <v/>
      </c>
      <c r="AK2542" s="54">
        <f>IF(AND(AJ2542=1,AH2542&lt;&gt;"",COUNTIFS($AH$2:AH2542,AH2542,$AJ$2:AJ2542,1)=1),N(AL2541)+1,"")</f>
        <v/>
      </c>
      <c r="AL2542" s="54">
        <f>IF(AK2542&lt;&gt;"",AK2542,N(AL2541))</f>
        <v/>
      </c>
    </row>
    <row r="2543">
      <c r="A2543" t="inlineStr">
        <is>
          <t>ONS-0848</t>
        </is>
      </c>
      <c r="B2543" t="inlineStr">
        <is>
          <t>Onsite</t>
        </is>
      </c>
      <c r="AB2543" t="n">
        <v>848</v>
      </c>
      <c r="AD2543" s="52">
        <f>IFERROR(N(IFERROR(INDEX($A2543:$AB2543,MATCH("Xero Invoiced Ex GST",$A$1:$AB$1,0)),"")),0)</f>
        <v/>
      </c>
      <c r="AE2543" s="53">
        <f>IFERROR(INDEX($A2543:$AB2543,MATCH("Xero Invoice Date",$A$1:$AB$1,0)),"")</f>
        <v/>
      </c>
      <c r="AF2543" s="54">
        <f>IF(AND(IFERROR(INDEX($A2543:$AB2543,MATCH("Xero Invoice No",$A$1:$AB$1,0)),"")&amp;""&lt;&gt;"",ISNUMBER(AE2543),AD2543&lt;&gt;0),1,0)</f>
        <v/>
      </c>
      <c r="AG2543" s="55">
        <f>IF(AF2543=1,EOMONTH(AE2543,0),"")</f>
        <v/>
      </c>
      <c r="AH2543" s="9">
        <f>IF(AF2543=1,UPPER(TRIM(IFERROR(INDEX($A2543:$AB2543,MATCH("Client",$A$1:$AB$1,0)),"")&amp;"")),"")</f>
        <v/>
      </c>
      <c r="AI2543" s="9">
        <f>IF(AF2543=1,IFERROR(INDEX($A2543:$AB2543,MATCH("Cost Centre",$A$1:$AB$1,0)),"")&amp;"","")</f>
        <v/>
      </c>
      <c r="AJ2543" s="54">
        <f>IF(AND(AF2543=1,AE2543&gt;=set_FYStart,AE2543&lt;=set_AsAt),1,0)</f>
        <v/>
      </c>
      <c r="AK2543" s="54">
        <f>IF(AND(AJ2543=1,AH2543&lt;&gt;"",COUNTIFS($AH$2:AH2543,AH2543,$AJ$2:AJ2543,1)=1),N(AL2542)+1,"")</f>
        <v/>
      </c>
      <c r="AL2543" s="54">
        <f>IF(AK2543&lt;&gt;"",AK2543,N(AL2542))</f>
        <v/>
      </c>
    </row>
    <row r="2544">
      <c r="A2544" t="inlineStr">
        <is>
          <t>PRD-0848</t>
        </is>
      </c>
      <c r="B2544" t="inlineStr">
        <is>
          <t>Production</t>
        </is>
      </c>
      <c r="AB2544" t="n">
        <v>848</v>
      </c>
      <c r="AD2544" s="52">
        <f>IFERROR(N(IFERROR(INDEX($A2544:$AB2544,MATCH("Xero Invoiced Ex GST",$A$1:$AB$1,0)),"")),0)</f>
        <v/>
      </c>
      <c r="AE2544" s="53">
        <f>IFERROR(INDEX($A2544:$AB2544,MATCH("Xero Invoice Date",$A$1:$AB$1,0)),"")</f>
        <v/>
      </c>
      <c r="AF2544" s="54">
        <f>IF(AND(IFERROR(INDEX($A2544:$AB2544,MATCH("Xero Invoice No",$A$1:$AB$1,0)),"")&amp;""&lt;&gt;"",ISNUMBER(AE2544),AD2544&lt;&gt;0),1,0)</f>
        <v/>
      </c>
      <c r="AG2544" s="55">
        <f>IF(AF2544=1,EOMONTH(AE2544,0),"")</f>
        <v/>
      </c>
      <c r="AH2544" s="9">
        <f>IF(AF2544=1,UPPER(TRIM(IFERROR(INDEX($A2544:$AB2544,MATCH("Client",$A$1:$AB$1,0)),"")&amp;"")),"")</f>
        <v/>
      </c>
      <c r="AI2544" s="9">
        <f>IF(AF2544=1,IFERROR(INDEX($A2544:$AB2544,MATCH("Cost Centre",$A$1:$AB$1,0)),"")&amp;"","")</f>
        <v/>
      </c>
      <c r="AJ2544" s="54">
        <f>IF(AND(AF2544=1,AE2544&gt;=set_FYStart,AE2544&lt;=set_AsAt),1,0)</f>
        <v/>
      </c>
      <c r="AK2544" s="54">
        <f>IF(AND(AJ2544=1,AH2544&lt;&gt;"",COUNTIFS($AH$2:AH2544,AH2544,$AJ$2:AJ2544,1)=1),N(AL2543)+1,"")</f>
        <v/>
      </c>
      <c r="AL2544" s="54">
        <f>IF(AK2544&lt;&gt;"",AK2544,N(AL2543))</f>
        <v/>
      </c>
    </row>
    <row r="2545">
      <c r="A2545" t="inlineStr">
        <is>
          <t>CON-0848</t>
        </is>
      </c>
      <c r="B2545" t="inlineStr">
        <is>
          <t>Consulting</t>
        </is>
      </c>
      <c r="AB2545" t="n">
        <v>848</v>
      </c>
      <c r="AD2545" s="52">
        <f>IFERROR(N(IFERROR(INDEX($A2545:$AB2545,MATCH("Xero Invoiced Ex GST",$A$1:$AB$1,0)),"")),0)</f>
        <v/>
      </c>
      <c r="AE2545" s="53">
        <f>IFERROR(INDEX($A2545:$AB2545,MATCH("Xero Invoice Date",$A$1:$AB$1,0)),"")</f>
        <v/>
      </c>
      <c r="AF2545" s="54">
        <f>IF(AND(IFERROR(INDEX($A2545:$AB2545,MATCH("Xero Invoice No",$A$1:$AB$1,0)),"")&amp;""&lt;&gt;"",ISNUMBER(AE2545),AD2545&lt;&gt;0),1,0)</f>
        <v/>
      </c>
      <c r="AG2545" s="55">
        <f>IF(AF2545=1,EOMONTH(AE2545,0),"")</f>
        <v/>
      </c>
      <c r="AH2545" s="9">
        <f>IF(AF2545=1,UPPER(TRIM(IFERROR(INDEX($A2545:$AB2545,MATCH("Client",$A$1:$AB$1,0)),"")&amp;"")),"")</f>
        <v/>
      </c>
      <c r="AI2545" s="9">
        <f>IF(AF2545=1,IFERROR(INDEX($A2545:$AB2545,MATCH("Cost Centre",$A$1:$AB$1,0)),"")&amp;"","")</f>
        <v/>
      </c>
      <c r="AJ2545" s="54">
        <f>IF(AND(AF2545=1,AE2545&gt;=set_FYStart,AE2545&lt;=set_AsAt),1,0)</f>
        <v/>
      </c>
      <c r="AK2545" s="54">
        <f>IF(AND(AJ2545=1,AH2545&lt;&gt;"",COUNTIFS($AH$2:AH2545,AH2545,$AJ$2:AJ2545,1)=1),N(AL2544)+1,"")</f>
        <v/>
      </c>
      <c r="AL2545" s="54">
        <f>IF(AK2545&lt;&gt;"",AK2545,N(AL2544))</f>
        <v/>
      </c>
    </row>
    <row r="2546">
      <c r="A2546" t="inlineStr">
        <is>
          <t>ONS-0849</t>
        </is>
      </c>
      <c r="B2546" t="inlineStr">
        <is>
          <t>Onsite</t>
        </is>
      </c>
      <c r="AB2546" t="n">
        <v>849</v>
      </c>
      <c r="AD2546" s="52">
        <f>IFERROR(N(IFERROR(INDEX($A2546:$AB2546,MATCH("Xero Invoiced Ex GST",$A$1:$AB$1,0)),"")),0)</f>
        <v/>
      </c>
      <c r="AE2546" s="53">
        <f>IFERROR(INDEX($A2546:$AB2546,MATCH("Xero Invoice Date",$A$1:$AB$1,0)),"")</f>
        <v/>
      </c>
      <c r="AF2546" s="54">
        <f>IF(AND(IFERROR(INDEX($A2546:$AB2546,MATCH("Xero Invoice No",$A$1:$AB$1,0)),"")&amp;""&lt;&gt;"",ISNUMBER(AE2546),AD2546&lt;&gt;0),1,0)</f>
        <v/>
      </c>
      <c r="AG2546" s="55">
        <f>IF(AF2546=1,EOMONTH(AE2546,0),"")</f>
        <v/>
      </c>
      <c r="AH2546" s="9">
        <f>IF(AF2546=1,UPPER(TRIM(IFERROR(INDEX($A2546:$AB2546,MATCH("Client",$A$1:$AB$1,0)),"")&amp;"")),"")</f>
        <v/>
      </c>
      <c r="AI2546" s="9">
        <f>IF(AF2546=1,IFERROR(INDEX($A2546:$AB2546,MATCH("Cost Centre",$A$1:$AB$1,0)),"")&amp;"","")</f>
        <v/>
      </c>
      <c r="AJ2546" s="54">
        <f>IF(AND(AF2546=1,AE2546&gt;=set_FYStart,AE2546&lt;=set_AsAt),1,0)</f>
        <v/>
      </c>
      <c r="AK2546" s="54">
        <f>IF(AND(AJ2546=1,AH2546&lt;&gt;"",COUNTIFS($AH$2:AH2546,AH2546,$AJ$2:AJ2546,1)=1),N(AL2545)+1,"")</f>
        <v/>
      </c>
      <c r="AL2546" s="54">
        <f>IF(AK2546&lt;&gt;"",AK2546,N(AL2545))</f>
        <v/>
      </c>
    </row>
    <row r="2547">
      <c r="A2547" t="inlineStr">
        <is>
          <t>PRD-0849</t>
        </is>
      </c>
      <c r="B2547" t="inlineStr">
        <is>
          <t>Production</t>
        </is>
      </c>
      <c r="AB2547" t="n">
        <v>849</v>
      </c>
      <c r="AD2547" s="52">
        <f>IFERROR(N(IFERROR(INDEX($A2547:$AB2547,MATCH("Xero Invoiced Ex GST",$A$1:$AB$1,0)),"")),0)</f>
        <v/>
      </c>
      <c r="AE2547" s="53">
        <f>IFERROR(INDEX($A2547:$AB2547,MATCH("Xero Invoice Date",$A$1:$AB$1,0)),"")</f>
        <v/>
      </c>
      <c r="AF2547" s="54">
        <f>IF(AND(IFERROR(INDEX($A2547:$AB2547,MATCH("Xero Invoice No",$A$1:$AB$1,0)),"")&amp;""&lt;&gt;"",ISNUMBER(AE2547),AD2547&lt;&gt;0),1,0)</f>
        <v/>
      </c>
      <c r="AG2547" s="55">
        <f>IF(AF2547=1,EOMONTH(AE2547,0),"")</f>
        <v/>
      </c>
      <c r="AH2547" s="9">
        <f>IF(AF2547=1,UPPER(TRIM(IFERROR(INDEX($A2547:$AB2547,MATCH("Client",$A$1:$AB$1,0)),"")&amp;"")),"")</f>
        <v/>
      </c>
      <c r="AI2547" s="9">
        <f>IF(AF2547=1,IFERROR(INDEX($A2547:$AB2547,MATCH("Cost Centre",$A$1:$AB$1,0)),"")&amp;"","")</f>
        <v/>
      </c>
      <c r="AJ2547" s="54">
        <f>IF(AND(AF2547=1,AE2547&gt;=set_FYStart,AE2547&lt;=set_AsAt),1,0)</f>
        <v/>
      </c>
      <c r="AK2547" s="54">
        <f>IF(AND(AJ2547=1,AH2547&lt;&gt;"",COUNTIFS($AH$2:AH2547,AH2547,$AJ$2:AJ2547,1)=1),N(AL2546)+1,"")</f>
        <v/>
      </c>
      <c r="AL2547" s="54">
        <f>IF(AK2547&lt;&gt;"",AK2547,N(AL2546))</f>
        <v/>
      </c>
    </row>
    <row r="2548">
      <c r="A2548" t="inlineStr">
        <is>
          <t>CON-0849</t>
        </is>
      </c>
      <c r="B2548" t="inlineStr">
        <is>
          <t>Consulting</t>
        </is>
      </c>
      <c r="AB2548" t="n">
        <v>849</v>
      </c>
      <c r="AD2548" s="52">
        <f>IFERROR(N(IFERROR(INDEX($A2548:$AB2548,MATCH("Xero Invoiced Ex GST",$A$1:$AB$1,0)),"")),0)</f>
        <v/>
      </c>
      <c r="AE2548" s="53">
        <f>IFERROR(INDEX($A2548:$AB2548,MATCH("Xero Invoice Date",$A$1:$AB$1,0)),"")</f>
        <v/>
      </c>
      <c r="AF2548" s="54">
        <f>IF(AND(IFERROR(INDEX($A2548:$AB2548,MATCH("Xero Invoice No",$A$1:$AB$1,0)),"")&amp;""&lt;&gt;"",ISNUMBER(AE2548),AD2548&lt;&gt;0),1,0)</f>
        <v/>
      </c>
      <c r="AG2548" s="55">
        <f>IF(AF2548=1,EOMONTH(AE2548,0),"")</f>
        <v/>
      </c>
      <c r="AH2548" s="9">
        <f>IF(AF2548=1,UPPER(TRIM(IFERROR(INDEX($A2548:$AB2548,MATCH("Client",$A$1:$AB$1,0)),"")&amp;"")),"")</f>
        <v/>
      </c>
      <c r="AI2548" s="9">
        <f>IF(AF2548=1,IFERROR(INDEX($A2548:$AB2548,MATCH("Cost Centre",$A$1:$AB$1,0)),"")&amp;"","")</f>
        <v/>
      </c>
      <c r="AJ2548" s="54">
        <f>IF(AND(AF2548=1,AE2548&gt;=set_FYStart,AE2548&lt;=set_AsAt),1,0)</f>
        <v/>
      </c>
      <c r="AK2548" s="54">
        <f>IF(AND(AJ2548=1,AH2548&lt;&gt;"",COUNTIFS($AH$2:AH2548,AH2548,$AJ$2:AJ2548,1)=1),N(AL2547)+1,"")</f>
        <v/>
      </c>
      <c r="AL2548" s="54">
        <f>IF(AK2548&lt;&gt;"",AK2548,N(AL2547))</f>
        <v/>
      </c>
    </row>
    <row r="2549">
      <c r="A2549" t="inlineStr">
        <is>
          <t>ONS-0850</t>
        </is>
      </c>
      <c r="B2549" t="inlineStr">
        <is>
          <t>Onsite</t>
        </is>
      </c>
      <c r="AB2549" t="n">
        <v>850</v>
      </c>
      <c r="AD2549" s="52">
        <f>IFERROR(N(IFERROR(INDEX($A2549:$AB2549,MATCH("Xero Invoiced Ex GST",$A$1:$AB$1,0)),"")),0)</f>
        <v/>
      </c>
      <c r="AE2549" s="53">
        <f>IFERROR(INDEX($A2549:$AB2549,MATCH("Xero Invoice Date",$A$1:$AB$1,0)),"")</f>
        <v/>
      </c>
      <c r="AF2549" s="54">
        <f>IF(AND(IFERROR(INDEX($A2549:$AB2549,MATCH("Xero Invoice No",$A$1:$AB$1,0)),"")&amp;""&lt;&gt;"",ISNUMBER(AE2549),AD2549&lt;&gt;0),1,0)</f>
        <v/>
      </c>
      <c r="AG2549" s="55">
        <f>IF(AF2549=1,EOMONTH(AE2549,0),"")</f>
        <v/>
      </c>
      <c r="AH2549" s="9">
        <f>IF(AF2549=1,UPPER(TRIM(IFERROR(INDEX($A2549:$AB2549,MATCH("Client",$A$1:$AB$1,0)),"")&amp;"")),"")</f>
        <v/>
      </c>
      <c r="AI2549" s="9">
        <f>IF(AF2549=1,IFERROR(INDEX($A2549:$AB2549,MATCH("Cost Centre",$A$1:$AB$1,0)),"")&amp;"","")</f>
        <v/>
      </c>
      <c r="AJ2549" s="54">
        <f>IF(AND(AF2549=1,AE2549&gt;=set_FYStart,AE2549&lt;=set_AsAt),1,0)</f>
        <v/>
      </c>
      <c r="AK2549" s="54">
        <f>IF(AND(AJ2549=1,AH2549&lt;&gt;"",COUNTIFS($AH$2:AH2549,AH2549,$AJ$2:AJ2549,1)=1),N(AL2548)+1,"")</f>
        <v/>
      </c>
      <c r="AL2549" s="54">
        <f>IF(AK2549&lt;&gt;"",AK2549,N(AL2548))</f>
        <v/>
      </c>
    </row>
    <row r="2550">
      <c r="A2550" t="inlineStr">
        <is>
          <t>PRD-0850</t>
        </is>
      </c>
      <c r="B2550" t="inlineStr">
        <is>
          <t>Production</t>
        </is>
      </c>
      <c r="AB2550" t="n">
        <v>850</v>
      </c>
      <c r="AD2550" s="52">
        <f>IFERROR(N(IFERROR(INDEX($A2550:$AB2550,MATCH("Xero Invoiced Ex GST",$A$1:$AB$1,0)),"")),0)</f>
        <v/>
      </c>
      <c r="AE2550" s="53">
        <f>IFERROR(INDEX($A2550:$AB2550,MATCH("Xero Invoice Date",$A$1:$AB$1,0)),"")</f>
        <v/>
      </c>
      <c r="AF2550" s="54">
        <f>IF(AND(IFERROR(INDEX($A2550:$AB2550,MATCH("Xero Invoice No",$A$1:$AB$1,0)),"")&amp;""&lt;&gt;"",ISNUMBER(AE2550),AD2550&lt;&gt;0),1,0)</f>
        <v/>
      </c>
      <c r="AG2550" s="55">
        <f>IF(AF2550=1,EOMONTH(AE2550,0),"")</f>
        <v/>
      </c>
      <c r="AH2550" s="9">
        <f>IF(AF2550=1,UPPER(TRIM(IFERROR(INDEX($A2550:$AB2550,MATCH("Client",$A$1:$AB$1,0)),"")&amp;"")),"")</f>
        <v/>
      </c>
      <c r="AI2550" s="9">
        <f>IF(AF2550=1,IFERROR(INDEX($A2550:$AB2550,MATCH("Cost Centre",$A$1:$AB$1,0)),"")&amp;"","")</f>
        <v/>
      </c>
      <c r="AJ2550" s="54">
        <f>IF(AND(AF2550=1,AE2550&gt;=set_FYStart,AE2550&lt;=set_AsAt),1,0)</f>
        <v/>
      </c>
      <c r="AK2550" s="54">
        <f>IF(AND(AJ2550=1,AH2550&lt;&gt;"",COUNTIFS($AH$2:AH2550,AH2550,$AJ$2:AJ2550,1)=1),N(AL2549)+1,"")</f>
        <v/>
      </c>
      <c r="AL2550" s="54">
        <f>IF(AK2550&lt;&gt;"",AK2550,N(AL2549))</f>
        <v/>
      </c>
    </row>
    <row r="2551">
      <c r="A2551" t="inlineStr">
        <is>
          <t>CON-0850</t>
        </is>
      </c>
      <c r="B2551" t="inlineStr">
        <is>
          <t>Consulting</t>
        </is>
      </c>
      <c r="AB2551" t="n">
        <v>850</v>
      </c>
      <c r="AD2551" s="52">
        <f>IFERROR(N(IFERROR(INDEX($A2551:$AB2551,MATCH("Xero Invoiced Ex GST",$A$1:$AB$1,0)),"")),0)</f>
        <v/>
      </c>
      <c r="AE2551" s="53">
        <f>IFERROR(INDEX($A2551:$AB2551,MATCH("Xero Invoice Date",$A$1:$AB$1,0)),"")</f>
        <v/>
      </c>
      <c r="AF2551" s="54">
        <f>IF(AND(IFERROR(INDEX($A2551:$AB2551,MATCH("Xero Invoice No",$A$1:$AB$1,0)),"")&amp;""&lt;&gt;"",ISNUMBER(AE2551),AD2551&lt;&gt;0),1,0)</f>
        <v/>
      </c>
      <c r="AG2551" s="55">
        <f>IF(AF2551=1,EOMONTH(AE2551,0),"")</f>
        <v/>
      </c>
      <c r="AH2551" s="9">
        <f>IF(AF2551=1,UPPER(TRIM(IFERROR(INDEX($A2551:$AB2551,MATCH("Client",$A$1:$AB$1,0)),"")&amp;"")),"")</f>
        <v/>
      </c>
      <c r="AI2551" s="9">
        <f>IF(AF2551=1,IFERROR(INDEX($A2551:$AB2551,MATCH("Cost Centre",$A$1:$AB$1,0)),"")&amp;"","")</f>
        <v/>
      </c>
      <c r="AJ2551" s="54">
        <f>IF(AND(AF2551=1,AE2551&gt;=set_FYStart,AE2551&lt;=set_AsAt),1,0)</f>
        <v/>
      </c>
      <c r="AK2551" s="54">
        <f>IF(AND(AJ2551=1,AH2551&lt;&gt;"",COUNTIFS($AH$2:AH2551,AH2551,$AJ$2:AJ2551,1)=1),N(AL2550)+1,"")</f>
        <v/>
      </c>
      <c r="AL2551" s="54">
        <f>IF(AK2551&lt;&gt;"",AK2551,N(AL2550))</f>
        <v/>
      </c>
    </row>
    <row r="2552">
      <c r="A2552" t="inlineStr">
        <is>
          <t>ONS-0851</t>
        </is>
      </c>
      <c r="B2552" t="inlineStr">
        <is>
          <t>Onsite</t>
        </is>
      </c>
      <c r="AB2552" t="n">
        <v>851</v>
      </c>
      <c r="AD2552" s="52">
        <f>IFERROR(N(IFERROR(INDEX($A2552:$AB2552,MATCH("Xero Invoiced Ex GST",$A$1:$AB$1,0)),"")),0)</f>
        <v/>
      </c>
      <c r="AE2552" s="53">
        <f>IFERROR(INDEX($A2552:$AB2552,MATCH("Xero Invoice Date",$A$1:$AB$1,0)),"")</f>
        <v/>
      </c>
      <c r="AF2552" s="54">
        <f>IF(AND(IFERROR(INDEX($A2552:$AB2552,MATCH("Xero Invoice No",$A$1:$AB$1,0)),"")&amp;""&lt;&gt;"",ISNUMBER(AE2552),AD2552&lt;&gt;0),1,0)</f>
        <v/>
      </c>
      <c r="AG2552" s="55">
        <f>IF(AF2552=1,EOMONTH(AE2552,0),"")</f>
        <v/>
      </c>
      <c r="AH2552" s="9">
        <f>IF(AF2552=1,UPPER(TRIM(IFERROR(INDEX($A2552:$AB2552,MATCH("Client",$A$1:$AB$1,0)),"")&amp;"")),"")</f>
        <v/>
      </c>
      <c r="AI2552" s="9">
        <f>IF(AF2552=1,IFERROR(INDEX($A2552:$AB2552,MATCH("Cost Centre",$A$1:$AB$1,0)),"")&amp;"","")</f>
        <v/>
      </c>
      <c r="AJ2552" s="54">
        <f>IF(AND(AF2552=1,AE2552&gt;=set_FYStart,AE2552&lt;=set_AsAt),1,0)</f>
        <v/>
      </c>
      <c r="AK2552" s="54">
        <f>IF(AND(AJ2552=1,AH2552&lt;&gt;"",COUNTIFS($AH$2:AH2552,AH2552,$AJ$2:AJ2552,1)=1),N(AL2551)+1,"")</f>
        <v/>
      </c>
      <c r="AL2552" s="54">
        <f>IF(AK2552&lt;&gt;"",AK2552,N(AL2551))</f>
        <v/>
      </c>
    </row>
    <row r="2553">
      <c r="A2553" t="inlineStr">
        <is>
          <t>PRD-0851</t>
        </is>
      </c>
      <c r="B2553" t="inlineStr">
        <is>
          <t>Production</t>
        </is>
      </c>
      <c r="AB2553" t="n">
        <v>851</v>
      </c>
      <c r="AD2553" s="52">
        <f>IFERROR(N(IFERROR(INDEX($A2553:$AB2553,MATCH("Xero Invoiced Ex GST",$A$1:$AB$1,0)),"")),0)</f>
        <v/>
      </c>
      <c r="AE2553" s="53">
        <f>IFERROR(INDEX($A2553:$AB2553,MATCH("Xero Invoice Date",$A$1:$AB$1,0)),"")</f>
        <v/>
      </c>
      <c r="AF2553" s="54">
        <f>IF(AND(IFERROR(INDEX($A2553:$AB2553,MATCH("Xero Invoice No",$A$1:$AB$1,0)),"")&amp;""&lt;&gt;"",ISNUMBER(AE2553),AD2553&lt;&gt;0),1,0)</f>
        <v/>
      </c>
      <c r="AG2553" s="55">
        <f>IF(AF2553=1,EOMONTH(AE2553,0),"")</f>
        <v/>
      </c>
      <c r="AH2553" s="9">
        <f>IF(AF2553=1,UPPER(TRIM(IFERROR(INDEX($A2553:$AB2553,MATCH("Client",$A$1:$AB$1,0)),"")&amp;"")),"")</f>
        <v/>
      </c>
      <c r="AI2553" s="9">
        <f>IF(AF2553=1,IFERROR(INDEX($A2553:$AB2553,MATCH("Cost Centre",$A$1:$AB$1,0)),"")&amp;"","")</f>
        <v/>
      </c>
      <c r="AJ2553" s="54">
        <f>IF(AND(AF2553=1,AE2553&gt;=set_FYStart,AE2553&lt;=set_AsAt),1,0)</f>
        <v/>
      </c>
      <c r="AK2553" s="54">
        <f>IF(AND(AJ2553=1,AH2553&lt;&gt;"",COUNTIFS($AH$2:AH2553,AH2553,$AJ$2:AJ2553,1)=1),N(AL2552)+1,"")</f>
        <v/>
      </c>
      <c r="AL2553" s="54">
        <f>IF(AK2553&lt;&gt;"",AK2553,N(AL2552))</f>
        <v/>
      </c>
    </row>
    <row r="2554">
      <c r="A2554" t="inlineStr">
        <is>
          <t>CON-0851</t>
        </is>
      </c>
      <c r="B2554" t="inlineStr">
        <is>
          <t>Consulting</t>
        </is>
      </c>
      <c r="AB2554" t="n">
        <v>851</v>
      </c>
      <c r="AD2554" s="52">
        <f>IFERROR(N(IFERROR(INDEX($A2554:$AB2554,MATCH("Xero Invoiced Ex GST",$A$1:$AB$1,0)),"")),0)</f>
        <v/>
      </c>
      <c r="AE2554" s="53">
        <f>IFERROR(INDEX($A2554:$AB2554,MATCH("Xero Invoice Date",$A$1:$AB$1,0)),"")</f>
        <v/>
      </c>
      <c r="AF2554" s="54">
        <f>IF(AND(IFERROR(INDEX($A2554:$AB2554,MATCH("Xero Invoice No",$A$1:$AB$1,0)),"")&amp;""&lt;&gt;"",ISNUMBER(AE2554),AD2554&lt;&gt;0),1,0)</f>
        <v/>
      </c>
      <c r="AG2554" s="55">
        <f>IF(AF2554=1,EOMONTH(AE2554,0),"")</f>
        <v/>
      </c>
      <c r="AH2554" s="9">
        <f>IF(AF2554=1,UPPER(TRIM(IFERROR(INDEX($A2554:$AB2554,MATCH("Client",$A$1:$AB$1,0)),"")&amp;"")),"")</f>
        <v/>
      </c>
      <c r="AI2554" s="9">
        <f>IF(AF2554=1,IFERROR(INDEX($A2554:$AB2554,MATCH("Cost Centre",$A$1:$AB$1,0)),"")&amp;"","")</f>
        <v/>
      </c>
      <c r="AJ2554" s="54">
        <f>IF(AND(AF2554=1,AE2554&gt;=set_FYStart,AE2554&lt;=set_AsAt),1,0)</f>
        <v/>
      </c>
      <c r="AK2554" s="54">
        <f>IF(AND(AJ2554=1,AH2554&lt;&gt;"",COUNTIFS($AH$2:AH2554,AH2554,$AJ$2:AJ2554,1)=1),N(AL2553)+1,"")</f>
        <v/>
      </c>
      <c r="AL2554" s="54">
        <f>IF(AK2554&lt;&gt;"",AK2554,N(AL2553))</f>
        <v/>
      </c>
    </row>
    <row r="2555">
      <c r="A2555" t="inlineStr">
        <is>
          <t>ONS-0852</t>
        </is>
      </c>
      <c r="B2555" t="inlineStr">
        <is>
          <t>Onsite</t>
        </is>
      </c>
      <c r="AB2555" t="n">
        <v>852</v>
      </c>
      <c r="AD2555" s="52">
        <f>IFERROR(N(IFERROR(INDEX($A2555:$AB2555,MATCH("Xero Invoiced Ex GST",$A$1:$AB$1,0)),"")),0)</f>
        <v/>
      </c>
      <c r="AE2555" s="53">
        <f>IFERROR(INDEX($A2555:$AB2555,MATCH("Xero Invoice Date",$A$1:$AB$1,0)),"")</f>
        <v/>
      </c>
      <c r="AF2555" s="54">
        <f>IF(AND(IFERROR(INDEX($A2555:$AB2555,MATCH("Xero Invoice No",$A$1:$AB$1,0)),"")&amp;""&lt;&gt;"",ISNUMBER(AE2555),AD2555&lt;&gt;0),1,0)</f>
        <v/>
      </c>
      <c r="AG2555" s="55">
        <f>IF(AF2555=1,EOMONTH(AE2555,0),"")</f>
        <v/>
      </c>
      <c r="AH2555" s="9">
        <f>IF(AF2555=1,UPPER(TRIM(IFERROR(INDEX($A2555:$AB2555,MATCH("Client",$A$1:$AB$1,0)),"")&amp;"")),"")</f>
        <v/>
      </c>
      <c r="AI2555" s="9">
        <f>IF(AF2555=1,IFERROR(INDEX($A2555:$AB2555,MATCH("Cost Centre",$A$1:$AB$1,0)),"")&amp;"","")</f>
        <v/>
      </c>
      <c r="AJ2555" s="54">
        <f>IF(AND(AF2555=1,AE2555&gt;=set_FYStart,AE2555&lt;=set_AsAt),1,0)</f>
        <v/>
      </c>
      <c r="AK2555" s="54">
        <f>IF(AND(AJ2555=1,AH2555&lt;&gt;"",COUNTIFS($AH$2:AH2555,AH2555,$AJ$2:AJ2555,1)=1),N(AL2554)+1,"")</f>
        <v/>
      </c>
      <c r="AL2555" s="54">
        <f>IF(AK2555&lt;&gt;"",AK2555,N(AL2554))</f>
        <v/>
      </c>
    </row>
    <row r="2556">
      <c r="A2556" t="inlineStr">
        <is>
          <t>PRD-0852</t>
        </is>
      </c>
      <c r="B2556" t="inlineStr">
        <is>
          <t>Production</t>
        </is>
      </c>
      <c r="AB2556" t="n">
        <v>852</v>
      </c>
      <c r="AD2556" s="52">
        <f>IFERROR(N(IFERROR(INDEX($A2556:$AB2556,MATCH("Xero Invoiced Ex GST",$A$1:$AB$1,0)),"")),0)</f>
        <v/>
      </c>
      <c r="AE2556" s="53">
        <f>IFERROR(INDEX($A2556:$AB2556,MATCH("Xero Invoice Date",$A$1:$AB$1,0)),"")</f>
        <v/>
      </c>
      <c r="AF2556" s="54">
        <f>IF(AND(IFERROR(INDEX($A2556:$AB2556,MATCH("Xero Invoice No",$A$1:$AB$1,0)),"")&amp;""&lt;&gt;"",ISNUMBER(AE2556),AD2556&lt;&gt;0),1,0)</f>
        <v/>
      </c>
      <c r="AG2556" s="55">
        <f>IF(AF2556=1,EOMONTH(AE2556,0),"")</f>
        <v/>
      </c>
      <c r="AH2556" s="9">
        <f>IF(AF2556=1,UPPER(TRIM(IFERROR(INDEX($A2556:$AB2556,MATCH("Client",$A$1:$AB$1,0)),"")&amp;"")),"")</f>
        <v/>
      </c>
      <c r="AI2556" s="9">
        <f>IF(AF2556=1,IFERROR(INDEX($A2556:$AB2556,MATCH("Cost Centre",$A$1:$AB$1,0)),"")&amp;"","")</f>
        <v/>
      </c>
      <c r="AJ2556" s="54">
        <f>IF(AND(AF2556=1,AE2556&gt;=set_FYStart,AE2556&lt;=set_AsAt),1,0)</f>
        <v/>
      </c>
      <c r="AK2556" s="54">
        <f>IF(AND(AJ2556=1,AH2556&lt;&gt;"",COUNTIFS($AH$2:AH2556,AH2556,$AJ$2:AJ2556,1)=1),N(AL2555)+1,"")</f>
        <v/>
      </c>
      <c r="AL2556" s="54">
        <f>IF(AK2556&lt;&gt;"",AK2556,N(AL2555))</f>
        <v/>
      </c>
    </row>
    <row r="2557">
      <c r="A2557" t="inlineStr">
        <is>
          <t>CON-0852</t>
        </is>
      </c>
      <c r="B2557" t="inlineStr">
        <is>
          <t>Consulting</t>
        </is>
      </c>
      <c r="AB2557" t="n">
        <v>852</v>
      </c>
      <c r="AD2557" s="52">
        <f>IFERROR(N(IFERROR(INDEX($A2557:$AB2557,MATCH("Xero Invoiced Ex GST",$A$1:$AB$1,0)),"")),0)</f>
        <v/>
      </c>
      <c r="AE2557" s="53">
        <f>IFERROR(INDEX($A2557:$AB2557,MATCH("Xero Invoice Date",$A$1:$AB$1,0)),"")</f>
        <v/>
      </c>
      <c r="AF2557" s="54">
        <f>IF(AND(IFERROR(INDEX($A2557:$AB2557,MATCH("Xero Invoice No",$A$1:$AB$1,0)),"")&amp;""&lt;&gt;"",ISNUMBER(AE2557),AD2557&lt;&gt;0),1,0)</f>
        <v/>
      </c>
      <c r="AG2557" s="55">
        <f>IF(AF2557=1,EOMONTH(AE2557,0),"")</f>
        <v/>
      </c>
      <c r="AH2557" s="9">
        <f>IF(AF2557=1,UPPER(TRIM(IFERROR(INDEX($A2557:$AB2557,MATCH("Client",$A$1:$AB$1,0)),"")&amp;"")),"")</f>
        <v/>
      </c>
      <c r="AI2557" s="9">
        <f>IF(AF2557=1,IFERROR(INDEX($A2557:$AB2557,MATCH("Cost Centre",$A$1:$AB$1,0)),"")&amp;"","")</f>
        <v/>
      </c>
      <c r="AJ2557" s="54">
        <f>IF(AND(AF2557=1,AE2557&gt;=set_FYStart,AE2557&lt;=set_AsAt),1,0)</f>
        <v/>
      </c>
      <c r="AK2557" s="54">
        <f>IF(AND(AJ2557=1,AH2557&lt;&gt;"",COUNTIFS($AH$2:AH2557,AH2557,$AJ$2:AJ2557,1)=1),N(AL2556)+1,"")</f>
        <v/>
      </c>
      <c r="AL2557" s="54">
        <f>IF(AK2557&lt;&gt;"",AK2557,N(AL2556))</f>
        <v/>
      </c>
    </row>
    <row r="2558">
      <c r="A2558" t="inlineStr">
        <is>
          <t>ONS-0853</t>
        </is>
      </c>
      <c r="B2558" t="inlineStr">
        <is>
          <t>Onsite</t>
        </is>
      </c>
      <c r="AB2558" t="n">
        <v>853</v>
      </c>
      <c r="AD2558" s="52">
        <f>IFERROR(N(IFERROR(INDEX($A2558:$AB2558,MATCH("Xero Invoiced Ex GST",$A$1:$AB$1,0)),"")),0)</f>
        <v/>
      </c>
      <c r="AE2558" s="53">
        <f>IFERROR(INDEX($A2558:$AB2558,MATCH("Xero Invoice Date",$A$1:$AB$1,0)),"")</f>
        <v/>
      </c>
      <c r="AF2558" s="54">
        <f>IF(AND(IFERROR(INDEX($A2558:$AB2558,MATCH("Xero Invoice No",$A$1:$AB$1,0)),"")&amp;""&lt;&gt;"",ISNUMBER(AE2558),AD2558&lt;&gt;0),1,0)</f>
        <v/>
      </c>
      <c r="AG2558" s="55">
        <f>IF(AF2558=1,EOMONTH(AE2558,0),"")</f>
        <v/>
      </c>
      <c r="AH2558" s="9">
        <f>IF(AF2558=1,UPPER(TRIM(IFERROR(INDEX($A2558:$AB2558,MATCH("Client",$A$1:$AB$1,0)),"")&amp;"")),"")</f>
        <v/>
      </c>
      <c r="AI2558" s="9">
        <f>IF(AF2558=1,IFERROR(INDEX($A2558:$AB2558,MATCH("Cost Centre",$A$1:$AB$1,0)),"")&amp;"","")</f>
        <v/>
      </c>
      <c r="AJ2558" s="54">
        <f>IF(AND(AF2558=1,AE2558&gt;=set_FYStart,AE2558&lt;=set_AsAt),1,0)</f>
        <v/>
      </c>
      <c r="AK2558" s="54">
        <f>IF(AND(AJ2558=1,AH2558&lt;&gt;"",COUNTIFS($AH$2:AH2558,AH2558,$AJ$2:AJ2558,1)=1),N(AL2557)+1,"")</f>
        <v/>
      </c>
      <c r="AL2558" s="54">
        <f>IF(AK2558&lt;&gt;"",AK2558,N(AL2557))</f>
        <v/>
      </c>
    </row>
    <row r="2559">
      <c r="A2559" t="inlineStr">
        <is>
          <t>PRD-0853</t>
        </is>
      </c>
      <c r="B2559" t="inlineStr">
        <is>
          <t>Production</t>
        </is>
      </c>
      <c r="AB2559" t="n">
        <v>853</v>
      </c>
      <c r="AD2559" s="52">
        <f>IFERROR(N(IFERROR(INDEX($A2559:$AB2559,MATCH("Xero Invoiced Ex GST",$A$1:$AB$1,0)),"")),0)</f>
        <v/>
      </c>
      <c r="AE2559" s="53">
        <f>IFERROR(INDEX($A2559:$AB2559,MATCH("Xero Invoice Date",$A$1:$AB$1,0)),"")</f>
        <v/>
      </c>
      <c r="AF2559" s="54">
        <f>IF(AND(IFERROR(INDEX($A2559:$AB2559,MATCH("Xero Invoice No",$A$1:$AB$1,0)),"")&amp;""&lt;&gt;"",ISNUMBER(AE2559),AD2559&lt;&gt;0),1,0)</f>
        <v/>
      </c>
      <c r="AG2559" s="55">
        <f>IF(AF2559=1,EOMONTH(AE2559,0),"")</f>
        <v/>
      </c>
      <c r="AH2559" s="9">
        <f>IF(AF2559=1,UPPER(TRIM(IFERROR(INDEX($A2559:$AB2559,MATCH("Client",$A$1:$AB$1,0)),"")&amp;"")),"")</f>
        <v/>
      </c>
      <c r="AI2559" s="9">
        <f>IF(AF2559=1,IFERROR(INDEX($A2559:$AB2559,MATCH("Cost Centre",$A$1:$AB$1,0)),"")&amp;"","")</f>
        <v/>
      </c>
      <c r="AJ2559" s="54">
        <f>IF(AND(AF2559=1,AE2559&gt;=set_FYStart,AE2559&lt;=set_AsAt),1,0)</f>
        <v/>
      </c>
      <c r="AK2559" s="54">
        <f>IF(AND(AJ2559=1,AH2559&lt;&gt;"",COUNTIFS($AH$2:AH2559,AH2559,$AJ$2:AJ2559,1)=1),N(AL2558)+1,"")</f>
        <v/>
      </c>
      <c r="AL2559" s="54">
        <f>IF(AK2559&lt;&gt;"",AK2559,N(AL2558))</f>
        <v/>
      </c>
    </row>
    <row r="2560">
      <c r="A2560" t="inlineStr">
        <is>
          <t>CON-0853</t>
        </is>
      </c>
      <c r="B2560" t="inlineStr">
        <is>
          <t>Consulting</t>
        </is>
      </c>
      <c r="AB2560" t="n">
        <v>853</v>
      </c>
      <c r="AD2560" s="52">
        <f>IFERROR(N(IFERROR(INDEX($A2560:$AB2560,MATCH("Xero Invoiced Ex GST",$A$1:$AB$1,0)),"")),0)</f>
        <v/>
      </c>
      <c r="AE2560" s="53">
        <f>IFERROR(INDEX($A2560:$AB2560,MATCH("Xero Invoice Date",$A$1:$AB$1,0)),"")</f>
        <v/>
      </c>
      <c r="AF2560" s="54">
        <f>IF(AND(IFERROR(INDEX($A2560:$AB2560,MATCH("Xero Invoice No",$A$1:$AB$1,0)),"")&amp;""&lt;&gt;"",ISNUMBER(AE2560),AD2560&lt;&gt;0),1,0)</f>
        <v/>
      </c>
      <c r="AG2560" s="55">
        <f>IF(AF2560=1,EOMONTH(AE2560,0),"")</f>
        <v/>
      </c>
      <c r="AH2560" s="9">
        <f>IF(AF2560=1,UPPER(TRIM(IFERROR(INDEX($A2560:$AB2560,MATCH("Client",$A$1:$AB$1,0)),"")&amp;"")),"")</f>
        <v/>
      </c>
      <c r="AI2560" s="9">
        <f>IF(AF2560=1,IFERROR(INDEX($A2560:$AB2560,MATCH("Cost Centre",$A$1:$AB$1,0)),"")&amp;"","")</f>
        <v/>
      </c>
      <c r="AJ2560" s="54">
        <f>IF(AND(AF2560=1,AE2560&gt;=set_FYStart,AE2560&lt;=set_AsAt),1,0)</f>
        <v/>
      </c>
      <c r="AK2560" s="54">
        <f>IF(AND(AJ2560=1,AH2560&lt;&gt;"",COUNTIFS($AH$2:AH2560,AH2560,$AJ$2:AJ2560,1)=1),N(AL2559)+1,"")</f>
        <v/>
      </c>
      <c r="AL2560" s="54">
        <f>IF(AK2560&lt;&gt;"",AK2560,N(AL2559))</f>
        <v/>
      </c>
    </row>
    <row r="2561">
      <c r="A2561" t="inlineStr">
        <is>
          <t>ONS-0854</t>
        </is>
      </c>
      <c r="B2561" t="inlineStr">
        <is>
          <t>Onsite</t>
        </is>
      </c>
      <c r="AB2561" t="n">
        <v>854</v>
      </c>
      <c r="AD2561" s="52">
        <f>IFERROR(N(IFERROR(INDEX($A2561:$AB2561,MATCH("Xero Invoiced Ex GST",$A$1:$AB$1,0)),"")),0)</f>
        <v/>
      </c>
      <c r="AE2561" s="53">
        <f>IFERROR(INDEX($A2561:$AB2561,MATCH("Xero Invoice Date",$A$1:$AB$1,0)),"")</f>
        <v/>
      </c>
      <c r="AF2561" s="54">
        <f>IF(AND(IFERROR(INDEX($A2561:$AB2561,MATCH("Xero Invoice No",$A$1:$AB$1,0)),"")&amp;""&lt;&gt;"",ISNUMBER(AE2561),AD2561&lt;&gt;0),1,0)</f>
        <v/>
      </c>
      <c r="AG2561" s="55">
        <f>IF(AF2561=1,EOMONTH(AE2561,0),"")</f>
        <v/>
      </c>
      <c r="AH2561" s="9">
        <f>IF(AF2561=1,UPPER(TRIM(IFERROR(INDEX($A2561:$AB2561,MATCH("Client",$A$1:$AB$1,0)),"")&amp;"")),"")</f>
        <v/>
      </c>
      <c r="AI2561" s="9">
        <f>IF(AF2561=1,IFERROR(INDEX($A2561:$AB2561,MATCH("Cost Centre",$A$1:$AB$1,0)),"")&amp;"","")</f>
        <v/>
      </c>
      <c r="AJ2561" s="54">
        <f>IF(AND(AF2561=1,AE2561&gt;=set_FYStart,AE2561&lt;=set_AsAt),1,0)</f>
        <v/>
      </c>
      <c r="AK2561" s="54">
        <f>IF(AND(AJ2561=1,AH2561&lt;&gt;"",COUNTIFS($AH$2:AH2561,AH2561,$AJ$2:AJ2561,1)=1),N(AL2560)+1,"")</f>
        <v/>
      </c>
      <c r="AL2561" s="54">
        <f>IF(AK2561&lt;&gt;"",AK2561,N(AL2560))</f>
        <v/>
      </c>
    </row>
    <row r="2562">
      <c r="A2562" t="inlineStr">
        <is>
          <t>PRD-0854</t>
        </is>
      </c>
      <c r="B2562" t="inlineStr">
        <is>
          <t>Production</t>
        </is>
      </c>
      <c r="AB2562" t="n">
        <v>854</v>
      </c>
      <c r="AD2562" s="52">
        <f>IFERROR(N(IFERROR(INDEX($A2562:$AB2562,MATCH("Xero Invoiced Ex GST",$A$1:$AB$1,0)),"")),0)</f>
        <v/>
      </c>
      <c r="AE2562" s="53">
        <f>IFERROR(INDEX($A2562:$AB2562,MATCH("Xero Invoice Date",$A$1:$AB$1,0)),"")</f>
        <v/>
      </c>
      <c r="AF2562" s="54">
        <f>IF(AND(IFERROR(INDEX($A2562:$AB2562,MATCH("Xero Invoice No",$A$1:$AB$1,0)),"")&amp;""&lt;&gt;"",ISNUMBER(AE2562),AD2562&lt;&gt;0),1,0)</f>
        <v/>
      </c>
      <c r="AG2562" s="55">
        <f>IF(AF2562=1,EOMONTH(AE2562,0),"")</f>
        <v/>
      </c>
      <c r="AH2562" s="9">
        <f>IF(AF2562=1,UPPER(TRIM(IFERROR(INDEX($A2562:$AB2562,MATCH("Client",$A$1:$AB$1,0)),"")&amp;"")),"")</f>
        <v/>
      </c>
      <c r="AI2562" s="9">
        <f>IF(AF2562=1,IFERROR(INDEX($A2562:$AB2562,MATCH("Cost Centre",$A$1:$AB$1,0)),"")&amp;"","")</f>
        <v/>
      </c>
      <c r="AJ2562" s="54">
        <f>IF(AND(AF2562=1,AE2562&gt;=set_FYStart,AE2562&lt;=set_AsAt),1,0)</f>
        <v/>
      </c>
      <c r="AK2562" s="54">
        <f>IF(AND(AJ2562=1,AH2562&lt;&gt;"",COUNTIFS($AH$2:AH2562,AH2562,$AJ$2:AJ2562,1)=1),N(AL2561)+1,"")</f>
        <v/>
      </c>
      <c r="AL2562" s="54">
        <f>IF(AK2562&lt;&gt;"",AK2562,N(AL2561))</f>
        <v/>
      </c>
    </row>
    <row r="2563">
      <c r="A2563" t="inlineStr">
        <is>
          <t>CON-0854</t>
        </is>
      </c>
      <c r="B2563" t="inlineStr">
        <is>
          <t>Consulting</t>
        </is>
      </c>
      <c r="AB2563" t="n">
        <v>854</v>
      </c>
      <c r="AD2563" s="52">
        <f>IFERROR(N(IFERROR(INDEX($A2563:$AB2563,MATCH("Xero Invoiced Ex GST",$A$1:$AB$1,0)),"")),0)</f>
        <v/>
      </c>
      <c r="AE2563" s="53">
        <f>IFERROR(INDEX($A2563:$AB2563,MATCH("Xero Invoice Date",$A$1:$AB$1,0)),"")</f>
        <v/>
      </c>
      <c r="AF2563" s="54">
        <f>IF(AND(IFERROR(INDEX($A2563:$AB2563,MATCH("Xero Invoice No",$A$1:$AB$1,0)),"")&amp;""&lt;&gt;"",ISNUMBER(AE2563),AD2563&lt;&gt;0),1,0)</f>
        <v/>
      </c>
      <c r="AG2563" s="55">
        <f>IF(AF2563=1,EOMONTH(AE2563,0),"")</f>
        <v/>
      </c>
      <c r="AH2563" s="9">
        <f>IF(AF2563=1,UPPER(TRIM(IFERROR(INDEX($A2563:$AB2563,MATCH("Client",$A$1:$AB$1,0)),"")&amp;"")),"")</f>
        <v/>
      </c>
      <c r="AI2563" s="9">
        <f>IF(AF2563=1,IFERROR(INDEX($A2563:$AB2563,MATCH("Cost Centre",$A$1:$AB$1,0)),"")&amp;"","")</f>
        <v/>
      </c>
      <c r="AJ2563" s="54">
        <f>IF(AND(AF2563=1,AE2563&gt;=set_FYStart,AE2563&lt;=set_AsAt),1,0)</f>
        <v/>
      </c>
      <c r="AK2563" s="54">
        <f>IF(AND(AJ2563=1,AH2563&lt;&gt;"",COUNTIFS($AH$2:AH2563,AH2563,$AJ$2:AJ2563,1)=1),N(AL2562)+1,"")</f>
        <v/>
      </c>
      <c r="AL2563" s="54">
        <f>IF(AK2563&lt;&gt;"",AK2563,N(AL2562))</f>
        <v/>
      </c>
    </row>
    <row r="2564">
      <c r="A2564" t="inlineStr">
        <is>
          <t>ONS-0855</t>
        </is>
      </c>
      <c r="B2564" t="inlineStr">
        <is>
          <t>Onsite</t>
        </is>
      </c>
      <c r="AB2564" t="n">
        <v>855</v>
      </c>
      <c r="AD2564" s="52">
        <f>IFERROR(N(IFERROR(INDEX($A2564:$AB2564,MATCH("Xero Invoiced Ex GST",$A$1:$AB$1,0)),"")),0)</f>
        <v/>
      </c>
      <c r="AE2564" s="53">
        <f>IFERROR(INDEX($A2564:$AB2564,MATCH("Xero Invoice Date",$A$1:$AB$1,0)),"")</f>
        <v/>
      </c>
      <c r="AF2564" s="54">
        <f>IF(AND(IFERROR(INDEX($A2564:$AB2564,MATCH("Xero Invoice No",$A$1:$AB$1,0)),"")&amp;""&lt;&gt;"",ISNUMBER(AE2564),AD2564&lt;&gt;0),1,0)</f>
        <v/>
      </c>
      <c r="AG2564" s="55">
        <f>IF(AF2564=1,EOMONTH(AE2564,0),"")</f>
        <v/>
      </c>
      <c r="AH2564" s="9">
        <f>IF(AF2564=1,UPPER(TRIM(IFERROR(INDEX($A2564:$AB2564,MATCH("Client",$A$1:$AB$1,0)),"")&amp;"")),"")</f>
        <v/>
      </c>
      <c r="AI2564" s="9">
        <f>IF(AF2564=1,IFERROR(INDEX($A2564:$AB2564,MATCH("Cost Centre",$A$1:$AB$1,0)),"")&amp;"","")</f>
        <v/>
      </c>
      <c r="AJ2564" s="54">
        <f>IF(AND(AF2564=1,AE2564&gt;=set_FYStart,AE2564&lt;=set_AsAt),1,0)</f>
        <v/>
      </c>
      <c r="AK2564" s="54">
        <f>IF(AND(AJ2564=1,AH2564&lt;&gt;"",COUNTIFS($AH$2:AH2564,AH2564,$AJ$2:AJ2564,1)=1),N(AL2563)+1,"")</f>
        <v/>
      </c>
      <c r="AL2564" s="54">
        <f>IF(AK2564&lt;&gt;"",AK2564,N(AL2563))</f>
        <v/>
      </c>
    </row>
    <row r="2565">
      <c r="A2565" t="inlineStr">
        <is>
          <t>PRD-0855</t>
        </is>
      </c>
      <c r="B2565" t="inlineStr">
        <is>
          <t>Production</t>
        </is>
      </c>
      <c r="AB2565" t="n">
        <v>855</v>
      </c>
      <c r="AD2565" s="52">
        <f>IFERROR(N(IFERROR(INDEX($A2565:$AB2565,MATCH("Xero Invoiced Ex GST",$A$1:$AB$1,0)),"")),0)</f>
        <v/>
      </c>
      <c r="AE2565" s="53">
        <f>IFERROR(INDEX($A2565:$AB2565,MATCH("Xero Invoice Date",$A$1:$AB$1,0)),"")</f>
        <v/>
      </c>
      <c r="AF2565" s="54">
        <f>IF(AND(IFERROR(INDEX($A2565:$AB2565,MATCH("Xero Invoice No",$A$1:$AB$1,0)),"")&amp;""&lt;&gt;"",ISNUMBER(AE2565),AD2565&lt;&gt;0),1,0)</f>
        <v/>
      </c>
      <c r="AG2565" s="55">
        <f>IF(AF2565=1,EOMONTH(AE2565,0),"")</f>
        <v/>
      </c>
      <c r="AH2565" s="9">
        <f>IF(AF2565=1,UPPER(TRIM(IFERROR(INDEX($A2565:$AB2565,MATCH("Client",$A$1:$AB$1,0)),"")&amp;"")),"")</f>
        <v/>
      </c>
      <c r="AI2565" s="9">
        <f>IF(AF2565=1,IFERROR(INDEX($A2565:$AB2565,MATCH("Cost Centre",$A$1:$AB$1,0)),"")&amp;"","")</f>
        <v/>
      </c>
      <c r="AJ2565" s="54">
        <f>IF(AND(AF2565=1,AE2565&gt;=set_FYStart,AE2565&lt;=set_AsAt),1,0)</f>
        <v/>
      </c>
      <c r="AK2565" s="54">
        <f>IF(AND(AJ2565=1,AH2565&lt;&gt;"",COUNTIFS($AH$2:AH2565,AH2565,$AJ$2:AJ2565,1)=1),N(AL2564)+1,"")</f>
        <v/>
      </c>
      <c r="AL2565" s="54">
        <f>IF(AK2565&lt;&gt;"",AK2565,N(AL2564))</f>
        <v/>
      </c>
    </row>
    <row r="2566">
      <c r="A2566" t="inlineStr">
        <is>
          <t>CON-0855</t>
        </is>
      </c>
      <c r="B2566" t="inlineStr">
        <is>
          <t>Consulting</t>
        </is>
      </c>
      <c r="AB2566" t="n">
        <v>855</v>
      </c>
      <c r="AD2566" s="52">
        <f>IFERROR(N(IFERROR(INDEX($A2566:$AB2566,MATCH("Xero Invoiced Ex GST",$A$1:$AB$1,0)),"")),0)</f>
        <v/>
      </c>
      <c r="AE2566" s="53">
        <f>IFERROR(INDEX($A2566:$AB2566,MATCH("Xero Invoice Date",$A$1:$AB$1,0)),"")</f>
        <v/>
      </c>
      <c r="AF2566" s="54">
        <f>IF(AND(IFERROR(INDEX($A2566:$AB2566,MATCH("Xero Invoice No",$A$1:$AB$1,0)),"")&amp;""&lt;&gt;"",ISNUMBER(AE2566),AD2566&lt;&gt;0),1,0)</f>
        <v/>
      </c>
      <c r="AG2566" s="55">
        <f>IF(AF2566=1,EOMONTH(AE2566,0),"")</f>
        <v/>
      </c>
      <c r="AH2566" s="9">
        <f>IF(AF2566=1,UPPER(TRIM(IFERROR(INDEX($A2566:$AB2566,MATCH("Client",$A$1:$AB$1,0)),"")&amp;"")),"")</f>
        <v/>
      </c>
      <c r="AI2566" s="9">
        <f>IF(AF2566=1,IFERROR(INDEX($A2566:$AB2566,MATCH("Cost Centre",$A$1:$AB$1,0)),"")&amp;"","")</f>
        <v/>
      </c>
      <c r="AJ2566" s="54">
        <f>IF(AND(AF2566=1,AE2566&gt;=set_FYStart,AE2566&lt;=set_AsAt),1,0)</f>
        <v/>
      </c>
      <c r="AK2566" s="54">
        <f>IF(AND(AJ2566=1,AH2566&lt;&gt;"",COUNTIFS($AH$2:AH2566,AH2566,$AJ$2:AJ2566,1)=1),N(AL2565)+1,"")</f>
        <v/>
      </c>
      <c r="AL2566" s="54">
        <f>IF(AK2566&lt;&gt;"",AK2566,N(AL2565))</f>
        <v/>
      </c>
    </row>
    <row r="2567">
      <c r="A2567" t="inlineStr">
        <is>
          <t>ONS-0856</t>
        </is>
      </c>
      <c r="B2567" t="inlineStr">
        <is>
          <t>Onsite</t>
        </is>
      </c>
      <c r="AB2567" t="n">
        <v>856</v>
      </c>
      <c r="AD2567" s="52">
        <f>IFERROR(N(IFERROR(INDEX($A2567:$AB2567,MATCH("Xero Invoiced Ex GST",$A$1:$AB$1,0)),"")),0)</f>
        <v/>
      </c>
      <c r="AE2567" s="53">
        <f>IFERROR(INDEX($A2567:$AB2567,MATCH("Xero Invoice Date",$A$1:$AB$1,0)),"")</f>
        <v/>
      </c>
      <c r="AF2567" s="54">
        <f>IF(AND(IFERROR(INDEX($A2567:$AB2567,MATCH("Xero Invoice No",$A$1:$AB$1,0)),"")&amp;""&lt;&gt;"",ISNUMBER(AE2567),AD2567&lt;&gt;0),1,0)</f>
        <v/>
      </c>
      <c r="AG2567" s="55">
        <f>IF(AF2567=1,EOMONTH(AE2567,0),"")</f>
        <v/>
      </c>
      <c r="AH2567" s="9">
        <f>IF(AF2567=1,UPPER(TRIM(IFERROR(INDEX($A2567:$AB2567,MATCH("Client",$A$1:$AB$1,0)),"")&amp;"")),"")</f>
        <v/>
      </c>
      <c r="AI2567" s="9">
        <f>IF(AF2567=1,IFERROR(INDEX($A2567:$AB2567,MATCH("Cost Centre",$A$1:$AB$1,0)),"")&amp;"","")</f>
        <v/>
      </c>
      <c r="AJ2567" s="54">
        <f>IF(AND(AF2567=1,AE2567&gt;=set_FYStart,AE2567&lt;=set_AsAt),1,0)</f>
        <v/>
      </c>
      <c r="AK2567" s="54">
        <f>IF(AND(AJ2567=1,AH2567&lt;&gt;"",COUNTIFS($AH$2:AH2567,AH2567,$AJ$2:AJ2567,1)=1),N(AL2566)+1,"")</f>
        <v/>
      </c>
      <c r="AL2567" s="54">
        <f>IF(AK2567&lt;&gt;"",AK2567,N(AL2566))</f>
        <v/>
      </c>
    </row>
    <row r="2568">
      <c r="A2568" t="inlineStr">
        <is>
          <t>PRD-0856</t>
        </is>
      </c>
      <c r="B2568" t="inlineStr">
        <is>
          <t>Production</t>
        </is>
      </c>
      <c r="AB2568" t="n">
        <v>856</v>
      </c>
      <c r="AD2568" s="52">
        <f>IFERROR(N(IFERROR(INDEX($A2568:$AB2568,MATCH("Xero Invoiced Ex GST",$A$1:$AB$1,0)),"")),0)</f>
        <v/>
      </c>
      <c r="AE2568" s="53">
        <f>IFERROR(INDEX($A2568:$AB2568,MATCH("Xero Invoice Date",$A$1:$AB$1,0)),"")</f>
        <v/>
      </c>
      <c r="AF2568" s="54">
        <f>IF(AND(IFERROR(INDEX($A2568:$AB2568,MATCH("Xero Invoice No",$A$1:$AB$1,0)),"")&amp;""&lt;&gt;"",ISNUMBER(AE2568),AD2568&lt;&gt;0),1,0)</f>
        <v/>
      </c>
      <c r="AG2568" s="55">
        <f>IF(AF2568=1,EOMONTH(AE2568,0),"")</f>
        <v/>
      </c>
      <c r="AH2568" s="9">
        <f>IF(AF2568=1,UPPER(TRIM(IFERROR(INDEX($A2568:$AB2568,MATCH("Client",$A$1:$AB$1,0)),"")&amp;"")),"")</f>
        <v/>
      </c>
      <c r="AI2568" s="9">
        <f>IF(AF2568=1,IFERROR(INDEX($A2568:$AB2568,MATCH("Cost Centre",$A$1:$AB$1,0)),"")&amp;"","")</f>
        <v/>
      </c>
      <c r="AJ2568" s="54">
        <f>IF(AND(AF2568=1,AE2568&gt;=set_FYStart,AE2568&lt;=set_AsAt),1,0)</f>
        <v/>
      </c>
      <c r="AK2568" s="54">
        <f>IF(AND(AJ2568=1,AH2568&lt;&gt;"",COUNTIFS($AH$2:AH2568,AH2568,$AJ$2:AJ2568,1)=1),N(AL2567)+1,"")</f>
        <v/>
      </c>
      <c r="AL2568" s="54">
        <f>IF(AK2568&lt;&gt;"",AK2568,N(AL2567))</f>
        <v/>
      </c>
    </row>
    <row r="2569">
      <c r="A2569" t="inlineStr">
        <is>
          <t>CON-0856</t>
        </is>
      </c>
      <c r="B2569" t="inlineStr">
        <is>
          <t>Consulting</t>
        </is>
      </c>
      <c r="AB2569" t="n">
        <v>856</v>
      </c>
      <c r="AD2569" s="52">
        <f>IFERROR(N(IFERROR(INDEX($A2569:$AB2569,MATCH("Xero Invoiced Ex GST",$A$1:$AB$1,0)),"")),0)</f>
        <v/>
      </c>
      <c r="AE2569" s="53">
        <f>IFERROR(INDEX($A2569:$AB2569,MATCH("Xero Invoice Date",$A$1:$AB$1,0)),"")</f>
        <v/>
      </c>
      <c r="AF2569" s="54">
        <f>IF(AND(IFERROR(INDEX($A2569:$AB2569,MATCH("Xero Invoice No",$A$1:$AB$1,0)),"")&amp;""&lt;&gt;"",ISNUMBER(AE2569),AD2569&lt;&gt;0),1,0)</f>
        <v/>
      </c>
      <c r="AG2569" s="55">
        <f>IF(AF2569=1,EOMONTH(AE2569,0),"")</f>
        <v/>
      </c>
      <c r="AH2569" s="9">
        <f>IF(AF2569=1,UPPER(TRIM(IFERROR(INDEX($A2569:$AB2569,MATCH("Client",$A$1:$AB$1,0)),"")&amp;"")),"")</f>
        <v/>
      </c>
      <c r="AI2569" s="9">
        <f>IF(AF2569=1,IFERROR(INDEX($A2569:$AB2569,MATCH("Cost Centre",$A$1:$AB$1,0)),"")&amp;"","")</f>
        <v/>
      </c>
      <c r="AJ2569" s="54">
        <f>IF(AND(AF2569=1,AE2569&gt;=set_FYStart,AE2569&lt;=set_AsAt),1,0)</f>
        <v/>
      </c>
      <c r="AK2569" s="54">
        <f>IF(AND(AJ2569=1,AH2569&lt;&gt;"",COUNTIFS($AH$2:AH2569,AH2569,$AJ$2:AJ2569,1)=1),N(AL2568)+1,"")</f>
        <v/>
      </c>
      <c r="AL2569" s="54">
        <f>IF(AK2569&lt;&gt;"",AK2569,N(AL2568))</f>
        <v/>
      </c>
    </row>
    <row r="2570">
      <c r="A2570" t="inlineStr">
        <is>
          <t>ONS-0857</t>
        </is>
      </c>
      <c r="B2570" t="inlineStr">
        <is>
          <t>Onsite</t>
        </is>
      </c>
      <c r="AB2570" t="n">
        <v>857</v>
      </c>
      <c r="AD2570" s="52">
        <f>IFERROR(N(IFERROR(INDEX($A2570:$AB2570,MATCH("Xero Invoiced Ex GST",$A$1:$AB$1,0)),"")),0)</f>
        <v/>
      </c>
      <c r="AE2570" s="53">
        <f>IFERROR(INDEX($A2570:$AB2570,MATCH("Xero Invoice Date",$A$1:$AB$1,0)),"")</f>
        <v/>
      </c>
      <c r="AF2570" s="54">
        <f>IF(AND(IFERROR(INDEX($A2570:$AB2570,MATCH("Xero Invoice No",$A$1:$AB$1,0)),"")&amp;""&lt;&gt;"",ISNUMBER(AE2570),AD2570&lt;&gt;0),1,0)</f>
        <v/>
      </c>
      <c r="AG2570" s="55">
        <f>IF(AF2570=1,EOMONTH(AE2570,0),"")</f>
        <v/>
      </c>
      <c r="AH2570" s="9">
        <f>IF(AF2570=1,UPPER(TRIM(IFERROR(INDEX($A2570:$AB2570,MATCH("Client",$A$1:$AB$1,0)),"")&amp;"")),"")</f>
        <v/>
      </c>
      <c r="AI2570" s="9">
        <f>IF(AF2570=1,IFERROR(INDEX($A2570:$AB2570,MATCH("Cost Centre",$A$1:$AB$1,0)),"")&amp;"","")</f>
        <v/>
      </c>
      <c r="AJ2570" s="54">
        <f>IF(AND(AF2570=1,AE2570&gt;=set_FYStart,AE2570&lt;=set_AsAt),1,0)</f>
        <v/>
      </c>
      <c r="AK2570" s="54">
        <f>IF(AND(AJ2570=1,AH2570&lt;&gt;"",COUNTIFS($AH$2:AH2570,AH2570,$AJ$2:AJ2570,1)=1),N(AL2569)+1,"")</f>
        <v/>
      </c>
      <c r="AL2570" s="54">
        <f>IF(AK2570&lt;&gt;"",AK2570,N(AL2569))</f>
        <v/>
      </c>
    </row>
    <row r="2571">
      <c r="A2571" t="inlineStr">
        <is>
          <t>PRD-0857</t>
        </is>
      </c>
      <c r="B2571" t="inlineStr">
        <is>
          <t>Production</t>
        </is>
      </c>
      <c r="AB2571" t="n">
        <v>857</v>
      </c>
      <c r="AD2571" s="52">
        <f>IFERROR(N(IFERROR(INDEX($A2571:$AB2571,MATCH("Xero Invoiced Ex GST",$A$1:$AB$1,0)),"")),0)</f>
        <v/>
      </c>
      <c r="AE2571" s="53">
        <f>IFERROR(INDEX($A2571:$AB2571,MATCH("Xero Invoice Date",$A$1:$AB$1,0)),"")</f>
        <v/>
      </c>
      <c r="AF2571" s="54">
        <f>IF(AND(IFERROR(INDEX($A2571:$AB2571,MATCH("Xero Invoice No",$A$1:$AB$1,0)),"")&amp;""&lt;&gt;"",ISNUMBER(AE2571),AD2571&lt;&gt;0),1,0)</f>
        <v/>
      </c>
      <c r="AG2571" s="55">
        <f>IF(AF2571=1,EOMONTH(AE2571,0),"")</f>
        <v/>
      </c>
      <c r="AH2571" s="9">
        <f>IF(AF2571=1,UPPER(TRIM(IFERROR(INDEX($A2571:$AB2571,MATCH("Client",$A$1:$AB$1,0)),"")&amp;"")),"")</f>
        <v/>
      </c>
      <c r="AI2571" s="9">
        <f>IF(AF2571=1,IFERROR(INDEX($A2571:$AB2571,MATCH("Cost Centre",$A$1:$AB$1,0)),"")&amp;"","")</f>
        <v/>
      </c>
      <c r="AJ2571" s="54">
        <f>IF(AND(AF2571=1,AE2571&gt;=set_FYStart,AE2571&lt;=set_AsAt),1,0)</f>
        <v/>
      </c>
      <c r="AK2571" s="54">
        <f>IF(AND(AJ2571=1,AH2571&lt;&gt;"",COUNTIFS($AH$2:AH2571,AH2571,$AJ$2:AJ2571,1)=1),N(AL2570)+1,"")</f>
        <v/>
      </c>
      <c r="AL2571" s="54">
        <f>IF(AK2571&lt;&gt;"",AK2571,N(AL2570))</f>
        <v/>
      </c>
    </row>
    <row r="2572">
      <c r="A2572" t="inlineStr">
        <is>
          <t>CON-0857</t>
        </is>
      </c>
      <c r="B2572" t="inlineStr">
        <is>
          <t>Consulting</t>
        </is>
      </c>
      <c r="AB2572" t="n">
        <v>857</v>
      </c>
      <c r="AD2572" s="52">
        <f>IFERROR(N(IFERROR(INDEX($A2572:$AB2572,MATCH("Xero Invoiced Ex GST",$A$1:$AB$1,0)),"")),0)</f>
        <v/>
      </c>
      <c r="AE2572" s="53">
        <f>IFERROR(INDEX($A2572:$AB2572,MATCH("Xero Invoice Date",$A$1:$AB$1,0)),"")</f>
        <v/>
      </c>
      <c r="AF2572" s="54">
        <f>IF(AND(IFERROR(INDEX($A2572:$AB2572,MATCH("Xero Invoice No",$A$1:$AB$1,0)),"")&amp;""&lt;&gt;"",ISNUMBER(AE2572),AD2572&lt;&gt;0),1,0)</f>
        <v/>
      </c>
      <c r="AG2572" s="55">
        <f>IF(AF2572=1,EOMONTH(AE2572,0),"")</f>
        <v/>
      </c>
      <c r="AH2572" s="9">
        <f>IF(AF2572=1,UPPER(TRIM(IFERROR(INDEX($A2572:$AB2572,MATCH("Client",$A$1:$AB$1,0)),"")&amp;"")),"")</f>
        <v/>
      </c>
      <c r="AI2572" s="9">
        <f>IF(AF2572=1,IFERROR(INDEX($A2572:$AB2572,MATCH("Cost Centre",$A$1:$AB$1,0)),"")&amp;"","")</f>
        <v/>
      </c>
      <c r="AJ2572" s="54">
        <f>IF(AND(AF2572=1,AE2572&gt;=set_FYStart,AE2572&lt;=set_AsAt),1,0)</f>
        <v/>
      </c>
      <c r="AK2572" s="54">
        <f>IF(AND(AJ2572=1,AH2572&lt;&gt;"",COUNTIFS($AH$2:AH2572,AH2572,$AJ$2:AJ2572,1)=1),N(AL2571)+1,"")</f>
        <v/>
      </c>
      <c r="AL2572" s="54">
        <f>IF(AK2572&lt;&gt;"",AK2572,N(AL2571))</f>
        <v/>
      </c>
    </row>
    <row r="2573">
      <c r="A2573" t="inlineStr">
        <is>
          <t>ONS-0858</t>
        </is>
      </c>
      <c r="B2573" t="inlineStr">
        <is>
          <t>Onsite</t>
        </is>
      </c>
      <c r="AB2573" t="n">
        <v>858</v>
      </c>
      <c r="AD2573" s="52">
        <f>IFERROR(N(IFERROR(INDEX($A2573:$AB2573,MATCH("Xero Invoiced Ex GST",$A$1:$AB$1,0)),"")),0)</f>
        <v/>
      </c>
      <c r="AE2573" s="53">
        <f>IFERROR(INDEX($A2573:$AB2573,MATCH("Xero Invoice Date",$A$1:$AB$1,0)),"")</f>
        <v/>
      </c>
      <c r="AF2573" s="54">
        <f>IF(AND(IFERROR(INDEX($A2573:$AB2573,MATCH("Xero Invoice No",$A$1:$AB$1,0)),"")&amp;""&lt;&gt;"",ISNUMBER(AE2573),AD2573&lt;&gt;0),1,0)</f>
        <v/>
      </c>
      <c r="AG2573" s="55">
        <f>IF(AF2573=1,EOMONTH(AE2573,0),"")</f>
        <v/>
      </c>
      <c r="AH2573" s="9">
        <f>IF(AF2573=1,UPPER(TRIM(IFERROR(INDEX($A2573:$AB2573,MATCH("Client",$A$1:$AB$1,0)),"")&amp;"")),"")</f>
        <v/>
      </c>
      <c r="AI2573" s="9">
        <f>IF(AF2573=1,IFERROR(INDEX($A2573:$AB2573,MATCH("Cost Centre",$A$1:$AB$1,0)),"")&amp;"","")</f>
        <v/>
      </c>
      <c r="AJ2573" s="54">
        <f>IF(AND(AF2573=1,AE2573&gt;=set_FYStart,AE2573&lt;=set_AsAt),1,0)</f>
        <v/>
      </c>
      <c r="AK2573" s="54">
        <f>IF(AND(AJ2573=1,AH2573&lt;&gt;"",COUNTIFS($AH$2:AH2573,AH2573,$AJ$2:AJ2573,1)=1),N(AL2572)+1,"")</f>
        <v/>
      </c>
      <c r="AL2573" s="54">
        <f>IF(AK2573&lt;&gt;"",AK2573,N(AL2572))</f>
        <v/>
      </c>
    </row>
    <row r="2574">
      <c r="A2574" t="inlineStr">
        <is>
          <t>PRD-0858</t>
        </is>
      </c>
      <c r="B2574" t="inlineStr">
        <is>
          <t>Production</t>
        </is>
      </c>
      <c r="AB2574" t="n">
        <v>858</v>
      </c>
      <c r="AD2574" s="52">
        <f>IFERROR(N(IFERROR(INDEX($A2574:$AB2574,MATCH("Xero Invoiced Ex GST",$A$1:$AB$1,0)),"")),0)</f>
        <v/>
      </c>
      <c r="AE2574" s="53">
        <f>IFERROR(INDEX($A2574:$AB2574,MATCH("Xero Invoice Date",$A$1:$AB$1,0)),"")</f>
        <v/>
      </c>
      <c r="AF2574" s="54">
        <f>IF(AND(IFERROR(INDEX($A2574:$AB2574,MATCH("Xero Invoice No",$A$1:$AB$1,0)),"")&amp;""&lt;&gt;"",ISNUMBER(AE2574),AD2574&lt;&gt;0),1,0)</f>
        <v/>
      </c>
      <c r="AG2574" s="55">
        <f>IF(AF2574=1,EOMONTH(AE2574,0),"")</f>
        <v/>
      </c>
      <c r="AH2574" s="9">
        <f>IF(AF2574=1,UPPER(TRIM(IFERROR(INDEX($A2574:$AB2574,MATCH("Client",$A$1:$AB$1,0)),"")&amp;"")),"")</f>
        <v/>
      </c>
      <c r="AI2574" s="9">
        <f>IF(AF2574=1,IFERROR(INDEX($A2574:$AB2574,MATCH("Cost Centre",$A$1:$AB$1,0)),"")&amp;"","")</f>
        <v/>
      </c>
      <c r="AJ2574" s="54">
        <f>IF(AND(AF2574=1,AE2574&gt;=set_FYStart,AE2574&lt;=set_AsAt),1,0)</f>
        <v/>
      </c>
      <c r="AK2574" s="54">
        <f>IF(AND(AJ2574=1,AH2574&lt;&gt;"",COUNTIFS($AH$2:AH2574,AH2574,$AJ$2:AJ2574,1)=1),N(AL2573)+1,"")</f>
        <v/>
      </c>
      <c r="AL2574" s="54">
        <f>IF(AK2574&lt;&gt;"",AK2574,N(AL2573))</f>
        <v/>
      </c>
    </row>
    <row r="2575">
      <c r="A2575" t="inlineStr">
        <is>
          <t>CON-0858</t>
        </is>
      </c>
      <c r="B2575" t="inlineStr">
        <is>
          <t>Consulting</t>
        </is>
      </c>
      <c r="AB2575" t="n">
        <v>858</v>
      </c>
      <c r="AD2575" s="52">
        <f>IFERROR(N(IFERROR(INDEX($A2575:$AB2575,MATCH("Xero Invoiced Ex GST",$A$1:$AB$1,0)),"")),0)</f>
        <v/>
      </c>
      <c r="AE2575" s="53">
        <f>IFERROR(INDEX($A2575:$AB2575,MATCH("Xero Invoice Date",$A$1:$AB$1,0)),"")</f>
        <v/>
      </c>
      <c r="AF2575" s="54">
        <f>IF(AND(IFERROR(INDEX($A2575:$AB2575,MATCH("Xero Invoice No",$A$1:$AB$1,0)),"")&amp;""&lt;&gt;"",ISNUMBER(AE2575),AD2575&lt;&gt;0),1,0)</f>
        <v/>
      </c>
      <c r="AG2575" s="55">
        <f>IF(AF2575=1,EOMONTH(AE2575,0),"")</f>
        <v/>
      </c>
      <c r="AH2575" s="9">
        <f>IF(AF2575=1,UPPER(TRIM(IFERROR(INDEX($A2575:$AB2575,MATCH("Client",$A$1:$AB$1,0)),"")&amp;"")),"")</f>
        <v/>
      </c>
      <c r="AI2575" s="9">
        <f>IF(AF2575=1,IFERROR(INDEX($A2575:$AB2575,MATCH("Cost Centre",$A$1:$AB$1,0)),"")&amp;"","")</f>
        <v/>
      </c>
      <c r="AJ2575" s="54">
        <f>IF(AND(AF2575=1,AE2575&gt;=set_FYStart,AE2575&lt;=set_AsAt),1,0)</f>
        <v/>
      </c>
      <c r="AK2575" s="54">
        <f>IF(AND(AJ2575=1,AH2575&lt;&gt;"",COUNTIFS($AH$2:AH2575,AH2575,$AJ$2:AJ2575,1)=1),N(AL2574)+1,"")</f>
        <v/>
      </c>
      <c r="AL2575" s="54">
        <f>IF(AK2575&lt;&gt;"",AK2575,N(AL2574))</f>
        <v/>
      </c>
    </row>
    <row r="2576">
      <c r="A2576" t="inlineStr">
        <is>
          <t>ONS-0859</t>
        </is>
      </c>
      <c r="B2576" t="inlineStr">
        <is>
          <t>Onsite</t>
        </is>
      </c>
      <c r="AB2576" t="n">
        <v>859</v>
      </c>
      <c r="AD2576" s="52">
        <f>IFERROR(N(IFERROR(INDEX($A2576:$AB2576,MATCH("Xero Invoiced Ex GST",$A$1:$AB$1,0)),"")),0)</f>
        <v/>
      </c>
      <c r="AE2576" s="53">
        <f>IFERROR(INDEX($A2576:$AB2576,MATCH("Xero Invoice Date",$A$1:$AB$1,0)),"")</f>
        <v/>
      </c>
      <c r="AF2576" s="54">
        <f>IF(AND(IFERROR(INDEX($A2576:$AB2576,MATCH("Xero Invoice No",$A$1:$AB$1,0)),"")&amp;""&lt;&gt;"",ISNUMBER(AE2576),AD2576&lt;&gt;0),1,0)</f>
        <v/>
      </c>
      <c r="AG2576" s="55">
        <f>IF(AF2576=1,EOMONTH(AE2576,0),"")</f>
        <v/>
      </c>
      <c r="AH2576" s="9">
        <f>IF(AF2576=1,UPPER(TRIM(IFERROR(INDEX($A2576:$AB2576,MATCH("Client",$A$1:$AB$1,0)),"")&amp;"")),"")</f>
        <v/>
      </c>
      <c r="AI2576" s="9">
        <f>IF(AF2576=1,IFERROR(INDEX($A2576:$AB2576,MATCH("Cost Centre",$A$1:$AB$1,0)),"")&amp;"","")</f>
        <v/>
      </c>
      <c r="AJ2576" s="54">
        <f>IF(AND(AF2576=1,AE2576&gt;=set_FYStart,AE2576&lt;=set_AsAt),1,0)</f>
        <v/>
      </c>
      <c r="AK2576" s="54">
        <f>IF(AND(AJ2576=1,AH2576&lt;&gt;"",COUNTIFS($AH$2:AH2576,AH2576,$AJ$2:AJ2576,1)=1),N(AL2575)+1,"")</f>
        <v/>
      </c>
      <c r="AL2576" s="54">
        <f>IF(AK2576&lt;&gt;"",AK2576,N(AL2575))</f>
        <v/>
      </c>
    </row>
    <row r="2577">
      <c r="A2577" t="inlineStr">
        <is>
          <t>PRD-0859</t>
        </is>
      </c>
      <c r="B2577" t="inlineStr">
        <is>
          <t>Production</t>
        </is>
      </c>
      <c r="AB2577" t="n">
        <v>859</v>
      </c>
      <c r="AD2577" s="52">
        <f>IFERROR(N(IFERROR(INDEX($A2577:$AB2577,MATCH("Xero Invoiced Ex GST",$A$1:$AB$1,0)),"")),0)</f>
        <v/>
      </c>
      <c r="AE2577" s="53">
        <f>IFERROR(INDEX($A2577:$AB2577,MATCH("Xero Invoice Date",$A$1:$AB$1,0)),"")</f>
        <v/>
      </c>
      <c r="AF2577" s="54">
        <f>IF(AND(IFERROR(INDEX($A2577:$AB2577,MATCH("Xero Invoice No",$A$1:$AB$1,0)),"")&amp;""&lt;&gt;"",ISNUMBER(AE2577),AD2577&lt;&gt;0),1,0)</f>
        <v/>
      </c>
      <c r="AG2577" s="55">
        <f>IF(AF2577=1,EOMONTH(AE2577,0),"")</f>
        <v/>
      </c>
      <c r="AH2577" s="9">
        <f>IF(AF2577=1,UPPER(TRIM(IFERROR(INDEX($A2577:$AB2577,MATCH("Client",$A$1:$AB$1,0)),"")&amp;"")),"")</f>
        <v/>
      </c>
      <c r="AI2577" s="9">
        <f>IF(AF2577=1,IFERROR(INDEX($A2577:$AB2577,MATCH("Cost Centre",$A$1:$AB$1,0)),"")&amp;"","")</f>
        <v/>
      </c>
      <c r="AJ2577" s="54">
        <f>IF(AND(AF2577=1,AE2577&gt;=set_FYStart,AE2577&lt;=set_AsAt),1,0)</f>
        <v/>
      </c>
      <c r="AK2577" s="54">
        <f>IF(AND(AJ2577=1,AH2577&lt;&gt;"",COUNTIFS($AH$2:AH2577,AH2577,$AJ$2:AJ2577,1)=1),N(AL2576)+1,"")</f>
        <v/>
      </c>
      <c r="AL2577" s="54">
        <f>IF(AK2577&lt;&gt;"",AK2577,N(AL2576))</f>
        <v/>
      </c>
    </row>
    <row r="2578">
      <c r="A2578" t="inlineStr">
        <is>
          <t>CON-0859</t>
        </is>
      </c>
      <c r="B2578" t="inlineStr">
        <is>
          <t>Consulting</t>
        </is>
      </c>
      <c r="AB2578" t="n">
        <v>859</v>
      </c>
      <c r="AD2578" s="52">
        <f>IFERROR(N(IFERROR(INDEX($A2578:$AB2578,MATCH("Xero Invoiced Ex GST",$A$1:$AB$1,0)),"")),0)</f>
        <v/>
      </c>
      <c r="AE2578" s="53">
        <f>IFERROR(INDEX($A2578:$AB2578,MATCH("Xero Invoice Date",$A$1:$AB$1,0)),"")</f>
        <v/>
      </c>
      <c r="AF2578" s="54">
        <f>IF(AND(IFERROR(INDEX($A2578:$AB2578,MATCH("Xero Invoice No",$A$1:$AB$1,0)),"")&amp;""&lt;&gt;"",ISNUMBER(AE2578),AD2578&lt;&gt;0),1,0)</f>
        <v/>
      </c>
      <c r="AG2578" s="55">
        <f>IF(AF2578=1,EOMONTH(AE2578,0),"")</f>
        <v/>
      </c>
      <c r="AH2578" s="9">
        <f>IF(AF2578=1,UPPER(TRIM(IFERROR(INDEX($A2578:$AB2578,MATCH("Client",$A$1:$AB$1,0)),"")&amp;"")),"")</f>
        <v/>
      </c>
      <c r="AI2578" s="9">
        <f>IF(AF2578=1,IFERROR(INDEX($A2578:$AB2578,MATCH("Cost Centre",$A$1:$AB$1,0)),"")&amp;"","")</f>
        <v/>
      </c>
      <c r="AJ2578" s="54">
        <f>IF(AND(AF2578=1,AE2578&gt;=set_FYStart,AE2578&lt;=set_AsAt),1,0)</f>
        <v/>
      </c>
      <c r="AK2578" s="54">
        <f>IF(AND(AJ2578=1,AH2578&lt;&gt;"",COUNTIFS($AH$2:AH2578,AH2578,$AJ$2:AJ2578,1)=1),N(AL2577)+1,"")</f>
        <v/>
      </c>
      <c r="AL2578" s="54">
        <f>IF(AK2578&lt;&gt;"",AK2578,N(AL2577))</f>
        <v/>
      </c>
    </row>
    <row r="2579">
      <c r="A2579" t="inlineStr">
        <is>
          <t>ONS-0860</t>
        </is>
      </c>
      <c r="B2579" t="inlineStr">
        <is>
          <t>Onsite</t>
        </is>
      </c>
      <c r="AB2579" t="n">
        <v>860</v>
      </c>
      <c r="AD2579" s="52">
        <f>IFERROR(N(IFERROR(INDEX($A2579:$AB2579,MATCH("Xero Invoiced Ex GST",$A$1:$AB$1,0)),"")),0)</f>
        <v/>
      </c>
      <c r="AE2579" s="53">
        <f>IFERROR(INDEX($A2579:$AB2579,MATCH("Xero Invoice Date",$A$1:$AB$1,0)),"")</f>
        <v/>
      </c>
      <c r="AF2579" s="54">
        <f>IF(AND(IFERROR(INDEX($A2579:$AB2579,MATCH("Xero Invoice No",$A$1:$AB$1,0)),"")&amp;""&lt;&gt;"",ISNUMBER(AE2579),AD2579&lt;&gt;0),1,0)</f>
        <v/>
      </c>
      <c r="AG2579" s="55">
        <f>IF(AF2579=1,EOMONTH(AE2579,0),"")</f>
        <v/>
      </c>
      <c r="AH2579" s="9">
        <f>IF(AF2579=1,UPPER(TRIM(IFERROR(INDEX($A2579:$AB2579,MATCH("Client",$A$1:$AB$1,0)),"")&amp;"")),"")</f>
        <v/>
      </c>
      <c r="AI2579" s="9">
        <f>IF(AF2579=1,IFERROR(INDEX($A2579:$AB2579,MATCH("Cost Centre",$A$1:$AB$1,0)),"")&amp;"","")</f>
        <v/>
      </c>
      <c r="AJ2579" s="54">
        <f>IF(AND(AF2579=1,AE2579&gt;=set_FYStart,AE2579&lt;=set_AsAt),1,0)</f>
        <v/>
      </c>
      <c r="AK2579" s="54">
        <f>IF(AND(AJ2579=1,AH2579&lt;&gt;"",COUNTIFS($AH$2:AH2579,AH2579,$AJ$2:AJ2579,1)=1),N(AL2578)+1,"")</f>
        <v/>
      </c>
      <c r="AL2579" s="54">
        <f>IF(AK2579&lt;&gt;"",AK2579,N(AL2578))</f>
        <v/>
      </c>
    </row>
    <row r="2580">
      <c r="A2580" t="inlineStr">
        <is>
          <t>PRD-0860</t>
        </is>
      </c>
      <c r="B2580" t="inlineStr">
        <is>
          <t>Production</t>
        </is>
      </c>
      <c r="AB2580" t="n">
        <v>860</v>
      </c>
      <c r="AD2580" s="52">
        <f>IFERROR(N(IFERROR(INDEX($A2580:$AB2580,MATCH("Xero Invoiced Ex GST",$A$1:$AB$1,0)),"")),0)</f>
        <v/>
      </c>
      <c r="AE2580" s="53">
        <f>IFERROR(INDEX($A2580:$AB2580,MATCH("Xero Invoice Date",$A$1:$AB$1,0)),"")</f>
        <v/>
      </c>
      <c r="AF2580" s="54">
        <f>IF(AND(IFERROR(INDEX($A2580:$AB2580,MATCH("Xero Invoice No",$A$1:$AB$1,0)),"")&amp;""&lt;&gt;"",ISNUMBER(AE2580),AD2580&lt;&gt;0),1,0)</f>
        <v/>
      </c>
      <c r="AG2580" s="55">
        <f>IF(AF2580=1,EOMONTH(AE2580,0),"")</f>
        <v/>
      </c>
      <c r="AH2580" s="9">
        <f>IF(AF2580=1,UPPER(TRIM(IFERROR(INDEX($A2580:$AB2580,MATCH("Client",$A$1:$AB$1,0)),"")&amp;"")),"")</f>
        <v/>
      </c>
      <c r="AI2580" s="9">
        <f>IF(AF2580=1,IFERROR(INDEX($A2580:$AB2580,MATCH("Cost Centre",$A$1:$AB$1,0)),"")&amp;"","")</f>
        <v/>
      </c>
      <c r="AJ2580" s="54">
        <f>IF(AND(AF2580=1,AE2580&gt;=set_FYStart,AE2580&lt;=set_AsAt),1,0)</f>
        <v/>
      </c>
      <c r="AK2580" s="54">
        <f>IF(AND(AJ2580=1,AH2580&lt;&gt;"",COUNTIFS($AH$2:AH2580,AH2580,$AJ$2:AJ2580,1)=1),N(AL2579)+1,"")</f>
        <v/>
      </c>
      <c r="AL2580" s="54">
        <f>IF(AK2580&lt;&gt;"",AK2580,N(AL2579))</f>
        <v/>
      </c>
    </row>
    <row r="2581">
      <c r="A2581" t="inlineStr">
        <is>
          <t>CON-0860</t>
        </is>
      </c>
      <c r="B2581" t="inlineStr">
        <is>
          <t>Consulting</t>
        </is>
      </c>
      <c r="AB2581" t="n">
        <v>860</v>
      </c>
      <c r="AD2581" s="52">
        <f>IFERROR(N(IFERROR(INDEX($A2581:$AB2581,MATCH("Xero Invoiced Ex GST",$A$1:$AB$1,0)),"")),0)</f>
        <v/>
      </c>
      <c r="AE2581" s="53">
        <f>IFERROR(INDEX($A2581:$AB2581,MATCH("Xero Invoice Date",$A$1:$AB$1,0)),"")</f>
        <v/>
      </c>
      <c r="AF2581" s="54">
        <f>IF(AND(IFERROR(INDEX($A2581:$AB2581,MATCH("Xero Invoice No",$A$1:$AB$1,0)),"")&amp;""&lt;&gt;"",ISNUMBER(AE2581),AD2581&lt;&gt;0),1,0)</f>
        <v/>
      </c>
      <c r="AG2581" s="55">
        <f>IF(AF2581=1,EOMONTH(AE2581,0),"")</f>
        <v/>
      </c>
      <c r="AH2581" s="9">
        <f>IF(AF2581=1,UPPER(TRIM(IFERROR(INDEX($A2581:$AB2581,MATCH("Client",$A$1:$AB$1,0)),"")&amp;"")),"")</f>
        <v/>
      </c>
      <c r="AI2581" s="9">
        <f>IF(AF2581=1,IFERROR(INDEX($A2581:$AB2581,MATCH("Cost Centre",$A$1:$AB$1,0)),"")&amp;"","")</f>
        <v/>
      </c>
      <c r="AJ2581" s="54">
        <f>IF(AND(AF2581=1,AE2581&gt;=set_FYStart,AE2581&lt;=set_AsAt),1,0)</f>
        <v/>
      </c>
      <c r="AK2581" s="54">
        <f>IF(AND(AJ2581=1,AH2581&lt;&gt;"",COUNTIFS($AH$2:AH2581,AH2581,$AJ$2:AJ2581,1)=1),N(AL2580)+1,"")</f>
        <v/>
      </c>
      <c r="AL2581" s="54">
        <f>IF(AK2581&lt;&gt;"",AK2581,N(AL2580))</f>
        <v/>
      </c>
    </row>
    <row r="2582">
      <c r="A2582" t="inlineStr">
        <is>
          <t>ONS-0861</t>
        </is>
      </c>
      <c r="B2582" t="inlineStr">
        <is>
          <t>Onsite</t>
        </is>
      </c>
      <c r="AB2582" t="n">
        <v>861</v>
      </c>
      <c r="AD2582" s="52">
        <f>IFERROR(N(IFERROR(INDEX($A2582:$AB2582,MATCH("Xero Invoiced Ex GST",$A$1:$AB$1,0)),"")),0)</f>
        <v/>
      </c>
      <c r="AE2582" s="53">
        <f>IFERROR(INDEX($A2582:$AB2582,MATCH("Xero Invoice Date",$A$1:$AB$1,0)),"")</f>
        <v/>
      </c>
      <c r="AF2582" s="54">
        <f>IF(AND(IFERROR(INDEX($A2582:$AB2582,MATCH("Xero Invoice No",$A$1:$AB$1,0)),"")&amp;""&lt;&gt;"",ISNUMBER(AE2582),AD2582&lt;&gt;0),1,0)</f>
        <v/>
      </c>
      <c r="AG2582" s="55">
        <f>IF(AF2582=1,EOMONTH(AE2582,0),"")</f>
        <v/>
      </c>
      <c r="AH2582" s="9">
        <f>IF(AF2582=1,UPPER(TRIM(IFERROR(INDEX($A2582:$AB2582,MATCH("Client",$A$1:$AB$1,0)),"")&amp;"")),"")</f>
        <v/>
      </c>
      <c r="AI2582" s="9">
        <f>IF(AF2582=1,IFERROR(INDEX($A2582:$AB2582,MATCH("Cost Centre",$A$1:$AB$1,0)),"")&amp;"","")</f>
        <v/>
      </c>
      <c r="AJ2582" s="54">
        <f>IF(AND(AF2582=1,AE2582&gt;=set_FYStart,AE2582&lt;=set_AsAt),1,0)</f>
        <v/>
      </c>
      <c r="AK2582" s="54">
        <f>IF(AND(AJ2582=1,AH2582&lt;&gt;"",COUNTIFS($AH$2:AH2582,AH2582,$AJ$2:AJ2582,1)=1),N(AL2581)+1,"")</f>
        <v/>
      </c>
      <c r="AL2582" s="54">
        <f>IF(AK2582&lt;&gt;"",AK2582,N(AL2581))</f>
        <v/>
      </c>
    </row>
    <row r="2583">
      <c r="A2583" t="inlineStr">
        <is>
          <t>PRD-0861</t>
        </is>
      </c>
      <c r="B2583" t="inlineStr">
        <is>
          <t>Production</t>
        </is>
      </c>
      <c r="AB2583" t="n">
        <v>861</v>
      </c>
      <c r="AD2583" s="52">
        <f>IFERROR(N(IFERROR(INDEX($A2583:$AB2583,MATCH("Xero Invoiced Ex GST",$A$1:$AB$1,0)),"")),0)</f>
        <v/>
      </c>
      <c r="AE2583" s="53">
        <f>IFERROR(INDEX($A2583:$AB2583,MATCH("Xero Invoice Date",$A$1:$AB$1,0)),"")</f>
        <v/>
      </c>
      <c r="AF2583" s="54">
        <f>IF(AND(IFERROR(INDEX($A2583:$AB2583,MATCH("Xero Invoice No",$A$1:$AB$1,0)),"")&amp;""&lt;&gt;"",ISNUMBER(AE2583),AD2583&lt;&gt;0),1,0)</f>
        <v/>
      </c>
      <c r="AG2583" s="55">
        <f>IF(AF2583=1,EOMONTH(AE2583,0),"")</f>
        <v/>
      </c>
      <c r="AH2583" s="9">
        <f>IF(AF2583=1,UPPER(TRIM(IFERROR(INDEX($A2583:$AB2583,MATCH("Client",$A$1:$AB$1,0)),"")&amp;"")),"")</f>
        <v/>
      </c>
      <c r="AI2583" s="9">
        <f>IF(AF2583=1,IFERROR(INDEX($A2583:$AB2583,MATCH("Cost Centre",$A$1:$AB$1,0)),"")&amp;"","")</f>
        <v/>
      </c>
      <c r="AJ2583" s="54">
        <f>IF(AND(AF2583=1,AE2583&gt;=set_FYStart,AE2583&lt;=set_AsAt),1,0)</f>
        <v/>
      </c>
      <c r="AK2583" s="54">
        <f>IF(AND(AJ2583=1,AH2583&lt;&gt;"",COUNTIFS($AH$2:AH2583,AH2583,$AJ$2:AJ2583,1)=1),N(AL2582)+1,"")</f>
        <v/>
      </c>
      <c r="AL2583" s="54">
        <f>IF(AK2583&lt;&gt;"",AK2583,N(AL2582))</f>
        <v/>
      </c>
    </row>
    <row r="2584">
      <c r="A2584" t="inlineStr">
        <is>
          <t>CON-0861</t>
        </is>
      </c>
      <c r="B2584" t="inlineStr">
        <is>
          <t>Consulting</t>
        </is>
      </c>
      <c r="AB2584" t="n">
        <v>861</v>
      </c>
      <c r="AD2584" s="52">
        <f>IFERROR(N(IFERROR(INDEX($A2584:$AB2584,MATCH("Xero Invoiced Ex GST",$A$1:$AB$1,0)),"")),0)</f>
        <v/>
      </c>
      <c r="AE2584" s="53">
        <f>IFERROR(INDEX($A2584:$AB2584,MATCH("Xero Invoice Date",$A$1:$AB$1,0)),"")</f>
        <v/>
      </c>
      <c r="AF2584" s="54">
        <f>IF(AND(IFERROR(INDEX($A2584:$AB2584,MATCH("Xero Invoice No",$A$1:$AB$1,0)),"")&amp;""&lt;&gt;"",ISNUMBER(AE2584),AD2584&lt;&gt;0),1,0)</f>
        <v/>
      </c>
      <c r="AG2584" s="55">
        <f>IF(AF2584=1,EOMONTH(AE2584,0),"")</f>
        <v/>
      </c>
      <c r="AH2584" s="9">
        <f>IF(AF2584=1,UPPER(TRIM(IFERROR(INDEX($A2584:$AB2584,MATCH("Client",$A$1:$AB$1,0)),"")&amp;"")),"")</f>
        <v/>
      </c>
      <c r="AI2584" s="9">
        <f>IF(AF2584=1,IFERROR(INDEX($A2584:$AB2584,MATCH("Cost Centre",$A$1:$AB$1,0)),"")&amp;"","")</f>
        <v/>
      </c>
      <c r="AJ2584" s="54">
        <f>IF(AND(AF2584=1,AE2584&gt;=set_FYStart,AE2584&lt;=set_AsAt),1,0)</f>
        <v/>
      </c>
      <c r="AK2584" s="54">
        <f>IF(AND(AJ2584=1,AH2584&lt;&gt;"",COUNTIFS($AH$2:AH2584,AH2584,$AJ$2:AJ2584,1)=1),N(AL2583)+1,"")</f>
        <v/>
      </c>
      <c r="AL2584" s="54">
        <f>IF(AK2584&lt;&gt;"",AK2584,N(AL2583))</f>
        <v/>
      </c>
    </row>
    <row r="2585">
      <c r="A2585" t="inlineStr">
        <is>
          <t>ONS-0862</t>
        </is>
      </c>
      <c r="B2585" t="inlineStr">
        <is>
          <t>Onsite</t>
        </is>
      </c>
      <c r="AB2585" t="n">
        <v>862</v>
      </c>
      <c r="AD2585" s="52">
        <f>IFERROR(N(IFERROR(INDEX($A2585:$AB2585,MATCH("Xero Invoiced Ex GST",$A$1:$AB$1,0)),"")),0)</f>
        <v/>
      </c>
      <c r="AE2585" s="53">
        <f>IFERROR(INDEX($A2585:$AB2585,MATCH("Xero Invoice Date",$A$1:$AB$1,0)),"")</f>
        <v/>
      </c>
      <c r="AF2585" s="54">
        <f>IF(AND(IFERROR(INDEX($A2585:$AB2585,MATCH("Xero Invoice No",$A$1:$AB$1,0)),"")&amp;""&lt;&gt;"",ISNUMBER(AE2585),AD2585&lt;&gt;0),1,0)</f>
        <v/>
      </c>
      <c r="AG2585" s="55">
        <f>IF(AF2585=1,EOMONTH(AE2585,0),"")</f>
        <v/>
      </c>
      <c r="AH2585" s="9">
        <f>IF(AF2585=1,UPPER(TRIM(IFERROR(INDEX($A2585:$AB2585,MATCH("Client",$A$1:$AB$1,0)),"")&amp;"")),"")</f>
        <v/>
      </c>
      <c r="AI2585" s="9">
        <f>IF(AF2585=1,IFERROR(INDEX($A2585:$AB2585,MATCH("Cost Centre",$A$1:$AB$1,0)),"")&amp;"","")</f>
        <v/>
      </c>
      <c r="AJ2585" s="54">
        <f>IF(AND(AF2585=1,AE2585&gt;=set_FYStart,AE2585&lt;=set_AsAt),1,0)</f>
        <v/>
      </c>
      <c r="AK2585" s="54">
        <f>IF(AND(AJ2585=1,AH2585&lt;&gt;"",COUNTIFS($AH$2:AH2585,AH2585,$AJ$2:AJ2585,1)=1),N(AL2584)+1,"")</f>
        <v/>
      </c>
      <c r="AL2585" s="54">
        <f>IF(AK2585&lt;&gt;"",AK2585,N(AL2584))</f>
        <v/>
      </c>
    </row>
    <row r="2586">
      <c r="A2586" t="inlineStr">
        <is>
          <t>PRD-0862</t>
        </is>
      </c>
      <c r="B2586" t="inlineStr">
        <is>
          <t>Production</t>
        </is>
      </c>
      <c r="AB2586" t="n">
        <v>862</v>
      </c>
      <c r="AD2586" s="52">
        <f>IFERROR(N(IFERROR(INDEX($A2586:$AB2586,MATCH("Xero Invoiced Ex GST",$A$1:$AB$1,0)),"")),0)</f>
        <v/>
      </c>
      <c r="AE2586" s="53">
        <f>IFERROR(INDEX($A2586:$AB2586,MATCH("Xero Invoice Date",$A$1:$AB$1,0)),"")</f>
        <v/>
      </c>
      <c r="AF2586" s="54">
        <f>IF(AND(IFERROR(INDEX($A2586:$AB2586,MATCH("Xero Invoice No",$A$1:$AB$1,0)),"")&amp;""&lt;&gt;"",ISNUMBER(AE2586),AD2586&lt;&gt;0),1,0)</f>
        <v/>
      </c>
      <c r="AG2586" s="55">
        <f>IF(AF2586=1,EOMONTH(AE2586,0),"")</f>
        <v/>
      </c>
      <c r="AH2586" s="9">
        <f>IF(AF2586=1,UPPER(TRIM(IFERROR(INDEX($A2586:$AB2586,MATCH("Client",$A$1:$AB$1,0)),"")&amp;"")),"")</f>
        <v/>
      </c>
      <c r="AI2586" s="9">
        <f>IF(AF2586=1,IFERROR(INDEX($A2586:$AB2586,MATCH("Cost Centre",$A$1:$AB$1,0)),"")&amp;"","")</f>
        <v/>
      </c>
      <c r="AJ2586" s="54">
        <f>IF(AND(AF2586=1,AE2586&gt;=set_FYStart,AE2586&lt;=set_AsAt),1,0)</f>
        <v/>
      </c>
      <c r="AK2586" s="54">
        <f>IF(AND(AJ2586=1,AH2586&lt;&gt;"",COUNTIFS($AH$2:AH2586,AH2586,$AJ$2:AJ2586,1)=1),N(AL2585)+1,"")</f>
        <v/>
      </c>
      <c r="AL2586" s="54">
        <f>IF(AK2586&lt;&gt;"",AK2586,N(AL2585))</f>
        <v/>
      </c>
    </row>
    <row r="2587">
      <c r="A2587" t="inlineStr">
        <is>
          <t>CON-0862</t>
        </is>
      </c>
      <c r="B2587" t="inlineStr">
        <is>
          <t>Consulting</t>
        </is>
      </c>
      <c r="AB2587" t="n">
        <v>862</v>
      </c>
      <c r="AD2587" s="52">
        <f>IFERROR(N(IFERROR(INDEX($A2587:$AB2587,MATCH("Xero Invoiced Ex GST",$A$1:$AB$1,0)),"")),0)</f>
        <v/>
      </c>
      <c r="AE2587" s="53">
        <f>IFERROR(INDEX($A2587:$AB2587,MATCH("Xero Invoice Date",$A$1:$AB$1,0)),"")</f>
        <v/>
      </c>
      <c r="AF2587" s="54">
        <f>IF(AND(IFERROR(INDEX($A2587:$AB2587,MATCH("Xero Invoice No",$A$1:$AB$1,0)),"")&amp;""&lt;&gt;"",ISNUMBER(AE2587),AD2587&lt;&gt;0),1,0)</f>
        <v/>
      </c>
      <c r="AG2587" s="55">
        <f>IF(AF2587=1,EOMONTH(AE2587,0),"")</f>
        <v/>
      </c>
      <c r="AH2587" s="9">
        <f>IF(AF2587=1,UPPER(TRIM(IFERROR(INDEX($A2587:$AB2587,MATCH("Client",$A$1:$AB$1,0)),"")&amp;"")),"")</f>
        <v/>
      </c>
      <c r="AI2587" s="9">
        <f>IF(AF2587=1,IFERROR(INDEX($A2587:$AB2587,MATCH("Cost Centre",$A$1:$AB$1,0)),"")&amp;"","")</f>
        <v/>
      </c>
      <c r="AJ2587" s="54">
        <f>IF(AND(AF2587=1,AE2587&gt;=set_FYStart,AE2587&lt;=set_AsAt),1,0)</f>
        <v/>
      </c>
      <c r="AK2587" s="54">
        <f>IF(AND(AJ2587=1,AH2587&lt;&gt;"",COUNTIFS($AH$2:AH2587,AH2587,$AJ$2:AJ2587,1)=1),N(AL2586)+1,"")</f>
        <v/>
      </c>
      <c r="AL2587" s="54">
        <f>IF(AK2587&lt;&gt;"",AK2587,N(AL2586))</f>
        <v/>
      </c>
    </row>
    <row r="2588">
      <c r="A2588" t="inlineStr">
        <is>
          <t>ONS-0863</t>
        </is>
      </c>
      <c r="B2588" t="inlineStr">
        <is>
          <t>Onsite</t>
        </is>
      </c>
      <c r="AB2588" t="n">
        <v>863</v>
      </c>
      <c r="AD2588" s="52">
        <f>IFERROR(N(IFERROR(INDEX($A2588:$AB2588,MATCH("Xero Invoiced Ex GST",$A$1:$AB$1,0)),"")),0)</f>
        <v/>
      </c>
      <c r="AE2588" s="53">
        <f>IFERROR(INDEX($A2588:$AB2588,MATCH("Xero Invoice Date",$A$1:$AB$1,0)),"")</f>
        <v/>
      </c>
      <c r="AF2588" s="54">
        <f>IF(AND(IFERROR(INDEX($A2588:$AB2588,MATCH("Xero Invoice No",$A$1:$AB$1,0)),"")&amp;""&lt;&gt;"",ISNUMBER(AE2588),AD2588&lt;&gt;0),1,0)</f>
        <v/>
      </c>
      <c r="AG2588" s="55">
        <f>IF(AF2588=1,EOMONTH(AE2588,0),"")</f>
        <v/>
      </c>
      <c r="AH2588" s="9">
        <f>IF(AF2588=1,UPPER(TRIM(IFERROR(INDEX($A2588:$AB2588,MATCH("Client",$A$1:$AB$1,0)),"")&amp;"")),"")</f>
        <v/>
      </c>
      <c r="AI2588" s="9">
        <f>IF(AF2588=1,IFERROR(INDEX($A2588:$AB2588,MATCH("Cost Centre",$A$1:$AB$1,0)),"")&amp;"","")</f>
        <v/>
      </c>
      <c r="AJ2588" s="54">
        <f>IF(AND(AF2588=1,AE2588&gt;=set_FYStart,AE2588&lt;=set_AsAt),1,0)</f>
        <v/>
      </c>
      <c r="AK2588" s="54">
        <f>IF(AND(AJ2588=1,AH2588&lt;&gt;"",COUNTIFS($AH$2:AH2588,AH2588,$AJ$2:AJ2588,1)=1),N(AL2587)+1,"")</f>
        <v/>
      </c>
      <c r="AL2588" s="54">
        <f>IF(AK2588&lt;&gt;"",AK2588,N(AL2587))</f>
        <v/>
      </c>
    </row>
    <row r="2589">
      <c r="A2589" t="inlineStr">
        <is>
          <t>PRD-0863</t>
        </is>
      </c>
      <c r="B2589" t="inlineStr">
        <is>
          <t>Production</t>
        </is>
      </c>
      <c r="AB2589" t="n">
        <v>863</v>
      </c>
      <c r="AD2589" s="52">
        <f>IFERROR(N(IFERROR(INDEX($A2589:$AB2589,MATCH("Xero Invoiced Ex GST",$A$1:$AB$1,0)),"")),0)</f>
        <v/>
      </c>
      <c r="AE2589" s="53">
        <f>IFERROR(INDEX($A2589:$AB2589,MATCH("Xero Invoice Date",$A$1:$AB$1,0)),"")</f>
        <v/>
      </c>
      <c r="AF2589" s="54">
        <f>IF(AND(IFERROR(INDEX($A2589:$AB2589,MATCH("Xero Invoice No",$A$1:$AB$1,0)),"")&amp;""&lt;&gt;"",ISNUMBER(AE2589),AD2589&lt;&gt;0),1,0)</f>
        <v/>
      </c>
      <c r="AG2589" s="55">
        <f>IF(AF2589=1,EOMONTH(AE2589,0),"")</f>
        <v/>
      </c>
      <c r="AH2589" s="9">
        <f>IF(AF2589=1,UPPER(TRIM(IFERROR(INDEX($A2589:$AB2589,MATCH("Client",$A$1:$AB$1,0)),"")&amp;"")),"")</f>
        <v/>
      </c>
      <c r="AI2589" s="9">
        <f>IF(AF2589=1,IFERROR(INDEX($A2589:$AB2589,MATCH("Cost Centre",$A$1:$AB$1,0)),"")&amp;"","")</f>
        <v/>
      </c>
      <c r="AJ2589" s="54">
        <f>IF(AND(AF2589=1,AE2589&gt;=set_FYStart,AE2589&lt;=set_AsAt),1,0)</f>
        <v/>
      </c>
      <c r="AK2589" s="54">
        <f>IF(AND(AJ2589=1,AH2589&lt;&gt;"",COUNTIFS($AH$2:AH2589,AH2589,$AJ$2:AJ2589,1)=1),N(AL2588)+1,"")</f>
        <v/>
      </c>
      <c r="AL2589" s="54">
        <f>IF(AK2589&lt;&gt;"",AK2589,N(AL2588))</f>
        <v/>
      </c>
    </row>
    <row r="2590">
      <c r="A2590" t="inlineStr">
        <is>
          <t>CON-0863</t>
        </is>
      </c>
      <c r="B2590" t="inlineStr">
        <is>
          <t>Consulting</t>
        </is>
      </c>
      <c r="AB2590" t="n">
        <v>863</v>
      </c>
      <c r="AD2590" s="52">
        <f>IFERROR(N(IFERROR(INDEX($A2590:$AB2590,MATCH("Xero Invoiced Ex GST",$A$1:$AB$1,0)),"")),0)</f>
        <v/>
      </c>
      <c r="AE2590" s="53">
        <f>IFERROR(INDEX($A2590:$AB2590,MATCH("Xero Invoice Date",$A$1:$AB$1,0)),"")</f>
        <v/>
      </c>
      <c r="AF2590" s="54">
        <f>IF(AND(IFERROR(INDEX($A2590:$AB2590,MATCH("Xero Invoice No",$A$1:$AB$1,0)),"")&amp;""&lt;&gt;"",ISNUMBER(AE2590),AD2590&lt;&gt;0),1,0)</f>
        <v/>
      </c>
      <c r="AG2590" s="55">
        <f>IF(AF2590=1,EOMONTH(AE2590,0),"")</f>
        <v/>
      </c>
      <c r="AH2590" s="9">
        <f>IF(AF2590=1,UPPER(TRIM(IFERROR(INDEX($A2590:$AB2590,MATCH("Client",$A$1:$AB$1,0)),"")&amp;"")),"")</f>
        <v/>
      </c>
      <c r="AI2590" s="9">
        <f>IF(AF2590=1,IFERROR(INDEX($A2590:$AB2590,MATCH("Cost Centre",$A$1:$AB$1,0)),"")&amp;"","")</f>
        <v/>
      </c>
      <c r="AJ2590" s="54">
        <f>IF(AND(AF2590=1,AE2590&gt;=set_FYStart,AE2590&lt;=set_AsAt),1,0)</f>
        <v/>
      </c>
      <c r="AK2590" s="54">
        <f>IF(AND(AJ2590=1,AH2590&lt;&gt;"",COUNTIFS($AH$2:AH2590,AH2590,$AJ$2:AJ2590,1)=1),N(AL2589)+1,"")</f>
        <v/>
      </c>
      <c r="AL2590" s="54">
        <f>IF(AK2590&lt;&gt;"",AK2590,N(AL2589))</f>
        <v/>
      </c>
    </row>
    <row r="2591">
      <c r="A2591" t="inlineStr">
        <is>
          <t>ONS-0864</t>
        </is>
      </c>
      <c r="B2591" t="inlineStr">
        <is>
          <t>Onsite</t>
        </is>
      </c>
      <c r="AB2591" t="n">
        <v>864</v>
      </c>
      <c r="AD2591" s="52">
        <f>IFERROR(N(IFERROR(INDEX($A2591:$AB2591,MATCH("Xero Invoiced Ex GST",$A$1:$AB$1,0)),"")),0)</f>
        <v/>
      </c>
      <c r="AE2591" s="53">
        <f>IFERROR(INDEX($A2591:$AB2591,MATCH("Xero Invoice Date",$A$1:$AB$1,0)),"")</f>
        <v/>
      </c>
      <c r="AF2591" s="54">
        <f>IF(AND(IFERROR(INDEX($A2591:$AB2591,MATCH("Xero Invoice No",$A$1:$AB$1,0)),"")&amp;""&lt;&gt;"",ISNUMBER(AE2591),AD2591&lt;&gt;0),1,0)</f>
        <v/>
      </c>
      <c r="AG2591" s="55">
        <f>IF(AF2591=1,EOMONTH(AE2591,0),"")</f>
        <v/>
      </c>
      <c r="AH2591" s="9">
        <f>IF(AF2591=1,UPPER(TRIM(IFERROR(INDEX($A2591:$AB2591,MATCH("Client",$A$1:$AB$1,0)),"")&amp;"")),"")</f>
        <v/>
      </c>
      <c r="AI2591" s="9">
        <f>IF(AF2591=1,IFERROR(INDEX($A2591:$AB2591,MATCH("Cost Centre",$A$1:$AB$1,0)),"")&amp;"","")</f>
        <v/>
      </c>
      <c r="AJ2591" s="54">
        <f>IF(AND(AF2591=1,AE2591&gt;=set_FYStart,AE2591&lt;=set_AsAt),1,0)</f>
        <v/>
      </c>
      <c r="AK2591" s="54">
        <f>IF(AND(AJ2591=1,AH2591&lt;&gt;"",COUNTIFS($AH$2:AH2591,AH2591,$AJ$2:AJ2591,1)=1),N(AL2590)+1,"")</f>
        <v/>
      </c>
      <c r="AL2591" s="54">
        <f>IF(AK2591&lt;&gt;"",AK2591,N(AL2590))</f>
        <v/>
      </c>
    </row>
    <row r="2592">
      <c r="A2592" t="inlineStr">
        <is>
          <t>PRD-0864</t>
        </is>
      </c>
      <c r="B2592" t="inlineStr">
        <is>
          <t>Production</t>
        </is>
      </c>
      <c r="AB2592" t="n">
        <v>864</v>
      </c>
      <c r="AD2592" s="52">
        <f>IFERROR(N(IFERROR(INDEX($A2592:$AB2592,MATCH("Xero Invoiced Ex GST",$A$1:$AB$1,0)),"")),0)</f>
        <v/>
      </c>
      <c r="AE2592" s="53">
        <f>IFERROR(INDEX($A2592:$AB2592,MATCH("Xero Invoice Date",$A$1:$AB$1,0)),"")</f>
        <v/>
      </c>
      <c r="AF2592" s="54">
        <f>IF(AND(IFERROR(INDEX($A2592:$AB2592,MATCH("Xero Invoice No",$A$1:$AB$1,0)),"")&amp;""&lt;&gt;"",ISNUMBER(AE2592),AD2592&lt;&gt;0),1,0)</f>
        <v/>
      </c>
      <c r="AG2592" s="55">
        <f>IF(AF2592=1,EOMONTH(AE2592,0),"")</f>
        <v/>
      </c>
      <c r="AH2592" s="9">
        <f>IF(AF2592=1,UPPER(TRIM(IFERROR(INDEX($A2592:$AB2592,MATCH("Client",$A$1:$AB$1,0)),"")&amp;"")),"")</f>
        <v/>
      </c>
      <c r="AI2592" s="9">
        <f>IF(AF2592=1,IFERROR(INDEX($A2592:$AB2592,MATCH("Cost Centre",$A$1:$AB$1,0)),"")&amp;"","")</f>
        <v/>
      </c>
      <c r="AJ2592" s="54">
        <f>IF(AND(AF2592=1,AE2592&gt;=set_FYStart,AE2592&lt;=set_AsAt),1,0)</f>
        <v/>
      </c>
      <c r="AK2592" s="54">
        <f>IF(AND(AJ2592=1,AH2592&lt;&gt;"",COUNTIFS($AH$2:AH2592,AH2592,$AJ$2:AJ2592,1)=1),N(AL2591)+1,"")</f>
        <v/>
      </c>
      <c r="AL2592" s="54">
        <f>IF(AK2592&lt;&gt;"",AK2592,N(AL2591))</f>
        <v/>
      </c>
    </row>
    <row r="2593">
      <c r="A2593" t="inlineStr">
        <is>
          <t>CON-0864</t>
        </is>
      </c>
      <c r="B2593" t="inlineStr">
        <is>
          <t>Consulting</t>
        </is>
      </c>
      <c r="AB2593" t="n">
        <v>864</v>
      </c>
      <c r="AD2593" s="52">
        <f>IFERROR(N(IFERROR(INDEX($A2593:$AB2593,MATCH("Xero Invoiced Ex GST",$A$1:$AB$1,0)),"")),0)</f>
        <v/>
      </c>
      <c r="AE2593" s="53">
        <f>IFERROR(INDEX($A2593:$AB2593,MATCH("Xero Invoice Date",$A$1:$AB$1,0)),"")</f>
        <v/>
      </c>
      <c r="AF2593" s="54">
        <f>IF(AND(IFERROR(INDEX($A2593:$AB2593,MATCH("Xero Invoice No",$A$1:$AB$1,0)),"")&amp;""&lt;&gt;"",ISNUMBER(AE2593),AD2593&lt;&gt;0),1,0)</f>
        <v/>
      </c>
      <c r="AG2593" s="55">
        <f>IF(AF2593=1,EOMONTH(AE2593,0),"")</f>
        <v/>
      </c>
      <c r="AH2593" s="9">
        <f>IF(AF2593=1,UPPER(TRIM(IFERROR(INDEX($A2593:$AB2593,MATCH("Client",$A$1:$AB$1,0)),"")&amp;"")),"")</f>
        <v/>
      </c>
      <c r="AI2593" s="9">
        <f>IF(AF2593=1,IFERROR(INDEX($A2593:$AB2593,MATCH("Cost Centre",$A$1:$AB$1,0)),"")&amp;"","")</f>
        <v/>
      </c>
      <c r="AJ2593" s="54">
        <f>IF(AND(AF2593=1,AE2593&gt;=set_FYStart,AE2593&lt;=set_AsAt),1,0)</f>
        <v/>
      </c>
      <c r="AK2593" s="54">
        <f>IF(AND(AJ2593=1,AH2593&lt;&gt;"",COUNTIFS($AH$2:AH2593,AH2593,$AJ$2:AJ2593,1)=1),N(AL2592)+1,"")</f>
        <v/>
      </c>
      <c r="AL2593" s="54">
        <f>IF(AK2593&lt;&gt;"",AK2593,N(AL2592))</f>
        <v/>
      </c>
    </row>
    <row r="2594">
      <c r="A2594" t="inlineStr">
        <is>
          <t>ONS-0865</t>
        </is>
      </c>
      <c r="B2594" t="inlineStr">
        <is>
          <t>Onsite</t>
        </is>
      </c>
      <c r="AB2594" t="n">
        <v>865</v>
      </c>
      <c r="AD2594" s="52">
        <f>IFERROR(N(IFERROR(INDEX($A2594:$AB2594,MATCH("Xero Invoiced Ex GST",$A$1:$AB$1,0)),"")),0)</f>
        <v/>
      </c>
      <c r="AE2594" s="53">
        <f>IFERROR(INDEX($A2594:$AB2594,MATCH("Xero Invoice Date",$A$1:$AB$1,0)),"")</f>
        <v/>
      </c>
      <c r="AF2594" s="54">
        <f>IF(AND(IFERROR(INDEX($A2594:$AB2594,MATCH("Xero Invoice No",$A$1:$AB$1,0)),"")&amp;""&lt;&gt;"",ISNUMBER(AE2594),AD2594&lt;&gt;0),1,0)</f>
        <v/>
      </c>
      <c r="AG2594" s="55">
        <f>IF(AF2594=1,EOMONTH(AE2594,0),"")</f>
        <v/>
      </c>
      <c r="AH2594" s="9">
        <f>IF(AF2594=1,UPPER(TRIM(IFERROR(INDEX($A2594:$AB2594,MATCH("Client",$A$1:$AB$1,0)),"")&amp;"")),"")</f>
        <v/>
      </c>
      <c r="AI2594" s="9">
        <f>IF(AF2594=1,IFERROR(INDEX($A2594:$AB2594,MATCH("Cost Centre",$A$1:$AB$1,0)),"")&amp;"","")</f>
        <v/>
      </c>
      <c r="AJ2594" s="54">
        <f>IF(AND(AF2594=1,AE2594&gt;=set_FYStart,AE2594&lt;=set_AsAt),1,0)</f>
        <v/>
      </c>
      <c r="AK2594" s="54">
        <f>IF(AND(AJ2594=1,AH2594&lt;&gt;"",COUNTIFS($AH$2:AH2594,AH2594,$AJ$2:AJ2594,1)=1),N(AL2593)+1,"")</f>
        <v/>
      </c>
      <c r="AL2594" s="54">
        <f>IF(AK2594&lt;&gt;"",AK2594,N(AL2593))</f>
        <v/>
      </c>
    </row>
    <row r="2595">
      <c r="A2595" t="inlineStr">
        <is>
          <t>PRD-0865</t>
        </is>
      </c>
      <c r="B2595" t="inlineStr">
        <is>
          <t>Production</t>
        </is>
      </c>
      <c r="AB2595" t="n">
        <v>865</v>
      </c>
      <c r="AD2595" s="52">
        <f>IFERROR(N(IFERROR(INDEX($A2595:$AB2595,MATCH("Xero Invoiced Ex GST",$A$1:$AB$1,0)),"")),0)</f>
        <v/>
      </c>
      <c r="AE2595" s="53">
        <f>IFERROR(INDEX($A2595:$AB2595,MATCH("Xero Invoice Date",$A$1:$AB$1,0)),"")</f>
        <v/>
      </c>
      <c r="AF2595" s="54">
        <f>IF(AND(IFERROR(INDEX($A2595:$AB2595,MATCH("Xero Invoice No",$A$1:$AB$1,0)),"")&amp;""&lt;&gt;"",ISNUMBER(AE2595),AD2595&lt;&gt;0),1,0)</f>
        <v/>
      </c>
      <c r="AG2595" s="55">
        <f>IF(AF2595=1,EOMONTH(AE2595,0),"")</f>
        <v/>
      </c>
      <c r="AH2595" s="9">
        <f>IF(AF2595=1,UPPER(TRIM(IFERROR(INDEX($A2595:$AB2595,MATCH("Client",$A$1:$AB$1,0)),"")&amp;"")),"")</f>
        <v/>
      </c>
      <c r="AI2595" s="9">
        <f>IF(AF2595=1,IFERROR(INDEX($A2595:$AB2595,MATCH("Cost Centre",$A$1:$AB$1,0)),"")&amp;"","")</f>
        <v/>
      </c>
      <c r="AJ2595" s="54">
        <f>IF(AND(AF2595=1,AE2595&gt;=set_FYStart,AE2595&lt;=set_AsAt),1,0)</f>
        <v/>
      </c>
      <c r="AK2595" s="54">
        <f>IF(AND(AJ2595=1,AH2595&lt;&gt;"",COUNTIFS($AH$2:AH2595,AH2595,$AJ$2:AJ2595,1)=1),N(AL2594)+1,"")</f>
        <v/>
      </c>
      <c r="AL2595" s="54">
        <f>IF(AK2595&lt;&gt;"",AK2595,N(AL2594))</f>
        <v/>
      </c>
    </row>
    <row r="2596">
      <c r="A2596" t="inlineStr">
        <is>
          <t>CON-0865</t>
        </is>
      </c>
      <c r="B2596" t="inlineStr">
        <is>
          <t>Consulting</t>
        </is>
      </c>
      <c r="AB2596" t="n">
        <v>865</v>
      </c>
      <c r="AD2596" s="52">
        <f>IFERROR(N(IFERROR(INDEX($A2596:$AB2596,MATCH("Xero Invoiced Ex GST",$A$1:$AB$1,0)),"")),0)</f>
        <v/>
      </c>
      <c r="AE2596" s="53">
        <f>IFERROR(INDEX($A2596:$AB2596,MATCH("Xero Invoice Date",$A$1:$AB$1,0)),"")</f>
        <v/>
      </c>
      <c r="AF2596" s="54">
        <f>IF(AND(IFERROR(INDEX($A2596:$AB2596,MATCH("Xero Invoice No",$A$1:$AB$1,0)),"")&amp;""&lt;&gt;"",ISNUMBER(AE2596),AD2596&lt;&gt;0),1,0)</f>
        <v/>
      </c>
      <c r="AG2596" s="55">
        <f>IF(AF2596=1,EOMONTH(AE2596,0),"")</f>
        <v/>
      </c>
      <c r="AH2596" s="9">
        <f>IF(AF2596=1,UPPER(TRIM(IFERROR(INDEX($A2596:$AB2596,MATCH("Client",$A$1:$AB$1,0)),"")&amp;"")),"")</f>
        <v/>
      </c>
      <c r="AI2596" s="9">
        <f>IF(AF2596=1,IFERROR(INDEX($A2596:$AB2596,MATCH("Cost Centre",$A$1:$AB$1,0)),"")&amp;"","")</f>
        <v/>
      </c>
      <c r="AJ2596" s="54">
        <f>IF(AND(AF2596=1,AE2596&gt;=set_FYStart,AE2596&lt;=set_AsAt),1,0)</f>
        <v/>
      </c>
      <c r="AK2596" s="54">
        <f>IF(AND(AJ2596=1,AH2596&lt;&gt;"",COUNTIFS($AH$2:AH2596,AH2596,$AJ$2:AJ2596,1)=1),N(AL2595)+1,"")</f>
        <v/>
      </c>
      <c r="AL2596" s="54">
        <f>IF(AK2596&lt;&gt;"",AK2596,N(AL2595))</f>
        <v/>
      </c>
    </row>
    <row r="2597">
      <c r="A2597" t="inlineStr">
        <is>
          <t>ONS-0866</t>
        </is>
      </c>
      <c r="B2597" t="inlineStr">
        <is>
          <t>Onsite</t>
        </is>
      </c>
      <c r="AB2597" t="n">
        <v>866</v>
      </c>
      <c r="AD2597" s="52">
        <f>IFERROR(N(IFERROR(INDEX($A2597:$AB2597,MATCH("Xero Invoiced Ex GST",$A$1:$AB$1,0)),"")),0)</f>
        <v/>
      </c>
      <c r="AE2597" s="53">
        <f>IFERROR(INDEX($A2597:$AB2597,MATCH("Xero Invoice Date",$A$1:$AB$1,0)),"")</f>
        <v/>
      </c>
      <c r="AF2597" s="54">
        <f>IF(AND(IFERROR(INDEX($A2597:$AB2597,MATCH("Xero Invoice No",$A$1:$AB$1,0)),"")&amp;""&lt;&gt;"",ISNUMBER(AE2597),AD2597&lt;&gt;0),1,0)</f>
        <v/>
      </c>
      <c r="AG2597" s="55">
        <f>IF(AF2597=1,EOMONTH(AE2597,0),"")</f>
        <v/>
      </c>
      <c r="AH2597" s="9">
        <f>IF(AF2597=1,UPPER(TRIM(IFERROR(INDEX($A2597:$AB2597,MATCH("Client",$A$1:$AB$1,0)),"")&amp;"")),"")</f>
        <v/>
      </c>
      <c r="AI2597" s="9">
        <f>IF(AF2597=1,IFERROR(INDEX($A2597:$AB2597,MATCH("Cost Centre",$A$1:$AB$1,0)),"")&amp;"","")</f>
        <v/>
      </c>
      <c r="AJ2597" s="54">
        <f>IF(AND(AF2597=1,AE2597&gt;=set_FYStart,AE2597&lt;=set_AsAt),1,0)</f>
        <v/>
      </c>
      <c r="AK2597" s="54">
        <f>IF(AND(AJ2597=1,AH2597&lt;&gt;"",COUNTIFS($AH$2:AH2597,AH2597,$AJ$2:AJ2597,1)=1),N(AL2596)+1,"")</f>
        <v/>
      </c>
      <c r="AL2597" s="54">
        <f>IF(AK2597&lt;&gt;"",AK2597,N(AL2596))</f>
        <v/>
      </c>
    </row>
    <row r="2598">
      <c r="A2598" t="inlineStr">
        <is>
          <t>PRD-0866</t>
        </is>
      </c>
      <c r="B2598" t="inlineStr">
        <is>
          <t>Production</t>
        </is>
      </c>
      <c r="AB2598" t="n">
        <v>866</v>
      </c>
      <c r="AD2598" s="52">
        <f>IFERROR(N(IFERROR(INDEX($A2598:$AB2598,MATCH("Xero Invoiced Ex GST",$A$1:$AB$1,0)),"")),0)</f>
        <v/>
      </c>
      <c r="AE2598" s="53">
        <f>IFERROR(INDEX($A2598:$AB2598,MATCH("Xero Invoice Date",$A$1:$AB$1,0)),"")</f>
        <v/>
      </c>
      <c r="AF2598" s="54">
        <f>IF(AND(IFERROR(INDEX($A2598:$AB2598,MATCH("Xero Invoice No",$A$1:$AB$1,0)),"")&amp;""&lt;&gt;"",ISNUMBER(AE2598),AD2598&lt;&gt;0),1,0)</f>
        <v/>
      </c>
      <c r="AG2598" s="55">
        <f>IF(AF2598=1,EOMONTH(AE2598,0),"")</f>
        <v/>
      </c>
      <c r="AH2598" s="9">
        <f>IF(AF2598=1,UPPER(TRIM(IFERROR(INDEX($A2598:$AB2598,MATCH("Client",$A$1:$AB$1,0)),"")&amp;"")),"")</f>
        <v/>
      </c>
      <c r="AI2598" s="9">
        <f>IF(AF2598=1,IFERROR(INDEX($A2598:$AB2598,MATCH("Cost Centre",$A$1:$AB$1,0)),"")&amp;"","")</f>
        <v/>
      </c>
      <c r="AJ2598" s="54">
        <f>IF(AND(AF2598=1,AE2598&gt;=set_FYStart,AE2598&lt;=set_AsAt),1,0)</f>
        <v/>
      </c>
      <c r="AK2598" s="54">
        <f>IF(AND(AJ2598=1,AH2598&lt;&gt;"",COUNTIFS($AH$2:AH2598,AH2598,$AJ$2:AJ2598,1)=1),N(AL2597)+1,"")</f>
        <v/>
      </c>
      <c r="AL2598" s="54">
        <f>IF(AK2598&lt;&gt;"",AK2598,N(AL2597))</f>
        <v/>
      </c>
    </row>
    <row r="2599">
      <c r="A2599" t="inlineStr">
        <is>
          <t>CON-0866</t>
        </is>
      </c>
      <c r="B2599" t="inlineStr">
        <is>
          <t>Consulting</t>
        </is>
      </c>
      <c r="AB2599" t="n">
        <v>866</v>
      </c>
      <c r="AD2599" s="52">
        <f>IFERROR(N(IFERROR(INDEX($A2599:$AB2599,MATCH("Xero Invoiced Ex GST",$A$1:$AB$1,0)),"")),0)</f>
        <v/>
      </c>
      <c r="AE2599" s="53">
        <f>IFERROR(INDEX($A2599:$AB2599,MATCH("Xero Invoice Date",$A$1:$AB$1,0)),"")</f>
        <v/>
      </c>
      <c r="AF2599" s="54">
        <f>IF(AND(IFERROR(INDEX($A2599:$AB2599,MATCH("Xero Invoice No",$A$1:$AB$1,0)),"")&amp;""&lt;&gt;"",ISNUMBER(AE2599),AD2599&lt;&gt;0),1,0)</f>
        <v/>
      </c>
      <c r="AG2599" s="55">
        <f>IF(AF2599=1,EOMONTH(AE2599,0),"")</f>
        <v/>
      </c>
      <c r="AH2599" s="9">
        <f>IF(AF2599=1,UPPER(TRIM(IFERROR(INDEX($A2599:$AB2599,MATCH("Client",$A$1:$AB$1,0)),"")&amp;"")),"")</f>
        <v/>
      </c>
      <c r="AI2599" s="9">
        <f>IF(AF2599=1,IFERROR(INDEX($A2599:$AB2599,MATCH("Cost Centre",$A$1:$AB$1,0)),"")&amp;"","")</f>
        <v/>
      </c>
      <c r="AJ2599" s="54">
        <f>IF(AND(AF2599=1,AE2599&gt;=set_FYStart,AE2599&lt;=set_AsAt),1,0)</f>
        <v/>
      </c>
      <c r="AK2599" s="54">
        <f>IF(AND(AJ2599=1,AH2599&lt;&gt;"",COUNTIFS($AH$2:AH2599,AH2599,$AJ$2:AJ2599,1)=1),N(AL2598)+1,"")</f>
        <v/>
      </c>
      <c r="AL2599" s="54">
        <f>IF(AK2599&lt;&gt;"",AK2599,N(AL2598))</f>
        <v/>
      </c>
    </row>
    <row r="2600">
      <c r="A2600" t="inlineStr">
        <is>
          <t>ONS-0867</t>
        </is>
      </c>
      <c r="B2600" t="inlineStr">
        <is>
          <t>Onsite</t>
        </is>
      </c>
      <c r="AB2600" t="n">
        <v>867</v>
      </c>
      <c r="AD2600" s="52">
        <f>IFERROR(N(IFERROR(INDEX($A2600:$AB2600,MATCH("Xero Invoiced Ex GST",$A$1:$AB$1,0)),"")),0)</f>
        <v/>
      </c>
      <c r="AE2600" s="53">
        <f>IFERROR(INDEX($A2600:$AB2600,MATCH("Xero Invoice Date",$A$1:$AB$1,0)),"")</f>
        <v/>
      </c>
      <c r="AF2600" s="54">
        <f>IF(AND(IFERROR(INDEX($A2600:$AB2600,MATCH("Xero Invoice No",$A$1:$AB$1,0)),"")&amp;""&lt;&gt;"",ISNUMBER(AE2600),AD2600&lt;&gt;0),1,0)</f>
        <v/>
      </c>
      <c r="AG2600" s="55">
        <f>IF(AF2600=1,EOMONTH(AE2600,0),"")</f>
        <v/>
      </c>
      <c r="AH2600" s="9">
        <f>IF(AF2600=1,UPPER(TRIM(IFERROR(INDEX($A2600:$AB2600,MATCH("Client",$A$1:$AB$1,0)),"")&amp;"")),"")</f>
        <v/>
      </c>
      <c r="AI2600" s="9">
        <f>IF(AF2600=1,IFERROR(INDEX($A2600:$AB2600,MATCH("Cost Centre",$A$1:$AB$1,0)),"")&amp;"","")</f>
        <v/>
      </c>
      <c r="AJ2600" s="54">
        <f>IF(AND(AF2600=1,AE2600&gt;=set_FYStart,AE2600&lt;=set_AsAt),1,0)</f>
        <v/>
      </c>
      <c r="AK2600" s="54">
        <f>IF(AND(AJ2600=1,AH2600&lt;&gt;"",COUNTIFS($AH$2:AH2600,AH2600,$AJ$2:AJ2600,1)=1),N(AL2599)+1,"")</f>
        <v/>
      </c>
      <c r="AL2600" s="54">
        <f>IF(AK2600&lt;&gt;"",AK2600,N(AL2599))</f>
        <v/>
      </c>
    </row>
    <row r="2601">
      <c r="A2601" t="inlineStr">
        <is>
          <t>PRD-0867</t>
        </is>
      </c>
      <c r="B2601" t="inlineStr">
        <is>
          <t>Production</t>
        </is>
      </c>
      <c r="AB2601" t="n">
        <v>867</v>
      </c>
      <c r="AD2601" s="52">
        <f>IFERROR(N(IFERROR(INDEX($A2601:$AB2601,MATCH("Xero Invoiced Ex GST",$A$1:$AB$1,0)),"")),0)</f>
        <v/>
      </c>
      <c r="AE2601" s="53">
        <f>IFERROR(INDEX($A2601:$AB2601,MATCH("Xero Invoice Date",$A$1:$AB$1,0)),"")</f>
        <v/>
      </c>
      <c r="AF2601" s="54">
        <f>IF(AND(IFERROR(INDEX($A2601:$AB2601,MATCH("Xero Invoice No",$A$1:$AB$1,0)),"")&amp;""&lt;&gt;"",ISNUMBER(AE2601),AD2601&lt;&gt;0),1,0)</f>
        <v/>
      </c>
      <c r="AG2601" s="55">
        <f>IF(AF2601=1,EOMONTH(AE2601,0),"")</f>
        <v/>
      </c>
      <c r="AH2601" s="9">
        <f>IF(AF2601=1,UPPER(TRIM(IFERROR(INDEX($A2601:$AB2601,MATCH("Client",$A$1:$AB$1,0)),"")&amp;"")),"")</f>
        <v/>
      </c>
      <c r="AI2601" s="9">
        <f>IF(AF2601=1,IFERROR(INDEX($A2601:$AB2601,MATCH("Cost Centre",$A$1:$AB$1,0)),"")&amp;"","")</f>
        <v/>
      </c>
      <c r="AJ2601" s="54">
        <f>IF(AND(AF2601=1,AE2601&gt;=set_FYStart,AE2601&lt;=set_AsAt),1,0)</f>
        <v/>
      </c>
      <c r="AK2601" s="54">
        <f>IF(AND(AJ2601=1,AH2601&lt;&gt;"",COUNTIFS($AH$2:AH2601,AH2601,$AJ$2:AJ2601,1)=1),N(AL2600)+1,"")</f>
        <v/>
      </c>
      <c r="AL2601" s="54">
        <f>IF(AK2601&lt;&gt;"",AK2601,N(AL2600))</f>
        <v/>
      </c>
    </row>
    <row r="2602">
      <c r="A2602" t="inlineStr">
        <is>
          <t>CON-0867</t>
        </is>
      </c>
      <c r="B2602" t="inlineStr">
        <is>
          <t>Consulting</t>
        </is>
      </c>
      <c r="AB2602" t="n">
        <v>867</v>
      </c>
      <c r="AD2602" s="52">
        <f>IFERROR(N(IFERROR(INDEX($A2602:$AB2602,MATCH("Xero Invoiced Ex GST",$A$1:$AB$1,0)),"")),0)</f>
        <v/>
      </c>
      <c r="AE2602" s="53">
        <f>IFERROR(INDEX($A2602:$AB2602,MATCH("Xero Invoice Date",$A$1:$AB$1,0)),"")</f>
        <v/>
      </c>
      <c r="AF2602" s="54">
        <f>IF(AND(IFERROR(INDEX($A2602:$AB2602,MATCH("Xero Invoice No",$A$1:$AB$1,0)),"")&amp;""&lt;&gt;"",ISNUMBER(AE2602),AD2602&lt;&gt;0),1,0)</f>
        <v/>
      </c>
      <c r="AG2602" s="55">
        <f>IF(AF2602=1,EOMONTH(AE2602,0),"")</f>
        <v/>
      </c>
      <c r="AH2602" s="9">
        <f>IF(AF2602=1,UPPER(TRIM(IFERROR(INDEX($A2602:$AB2602,MATCH("Client",$A$1:$AB$1,0)),"")&amp;"")),"")</f>
        <v/>
      </c>
      <c r="AI2602" s="9">
        <f>IF(AF2602=1,IFERROR(INDEX($A2602:$AB2602,MATCH("Cost Centre",$A$1:$AB$1,0)),"")&amp;"","")</f>
        <v/>
      </c>
      <c r="AJ2602" s="54">
        <f>IF(AND(AF2602=1,AE2602&gt;=set_FYStart,AE2602&lt;=set_AsAt),1,0)</f>
        <v/>
      </c>
      <c r="AK2602" s="54">
        <f>IF(AND(AJ2602=1,AH2602&lt;&gt;"",COUNTIFS($AH$2:AH2602,AH2602,$AJ$2:AJ2602,1)=1),N(AL2601)+1,"")</f>
        <v/>
      </c>
      <c r="AL2602" s="54">
        <f>IF(AK2602&lt;&gt;"",AK2602,N(AL2601))</f>
        <v/>
      </c>
    </row>
    <row r="2603">
      <c r="A2603" t="inlineStr">
        <is>
          <t>ONS-0868</t>
        </is>
      </c>
      <c r="B2603" t="inlineStr">
        <is>
          <t>Onsite</t>
        </is>
      </c>
      <c r="AB2603" t="n">
        <v>868</v>
      </c>
      <c r="AD2603" s="52">
        <f>IFERROR(N(IFERROR(INDEX($A2603:$AB2603,MATCH("Xero Invoiced Ex GST",$A$1:$AB$1,0)),"")),0)</f>
        <v/>
      </c>
      <c r="AE2603" s="53">
        <f>IFERROR(INDEX($A2603:$AB2603,MATCH("Xero Invoice Date",$A$1:$AB$1,0)),"")</f>
        <v/>
      </c>
      <c r="AF2603" s="54">
        <f>IF(AND(IFERROR(INDEX($A2603:$AB2603,MATCH("Xero Invoice No",$A$1:$AB$1,0)),"")&amp;""&lt;&gt;"",ISNUMBER(AE2603),AD2603&lt;&gt;0),1,0)</f>
        <v/>
      </c>
      <c r="AG2603" s="55">
        <f>IF(AF2603=1,EOMONTH(AE2603,0),"")</f>
        <v/>
      </c>
      <c r="AH2603" s="9">
        <f>IF(AF2603=1,UPPER(TRIM(IFERROR(INDEX($A2603:$AB2603,MATCH("Client",$A$1:$AB$1,0)),"")&amp;"")),"")</f>
        <v/>
      </c>
      <c r="AI2603" s="9">
        <f>IF(AF2603=1,IFERROR(INDEX($A2603:$AB2603,MATCH("Cost Centre",$A$1:$AB$1,0)),"")&amp;"","")</f>
        <v/>
      </c>
      <c r="AJ2603" s="54">
        <f>IF(AND(AF2603=1,AE2603&gt;=set_FYStart,AE2603&lt;=set_AsAt),1,0)</f>
        <v/>
      </c>
      <c r="AK2603" s="54">
        <f>IF(AND(AJ2603=1,AH2603&lt;&gt;"",COUNTIFS($AH$2:AH2603,AH2603,$AJ$2:AJ2603,1)=1),N(AL2602)+1,"")</f>
        <v/>
      </c>
      <c r="AL2603" s="54">
        <f>IF(AK2603&lt;&gt;"",AK2603,N(AL2602))</f>
        <v/>
      </c>
    </row>
    <row r="2604">
      <c r="A2604" t="inlineStr">
        <is>
          <t>PRD-0868</t>
        </is>
      </c>
      <c r="B2604" t="inlineStr">
        <is>
          <t>Production</t>
        </is>
      </c>
      <c r="AB2604" t="n">
        <v>868</v>
      </c>
      <c r="AD2604" s="52">
        <f>IFERROR(N(IFERROR(INDEX($A2604:$AB2604,MATCH("Xero Invoiced Ex GST",$A$1:$AB$1,0)),"")),0)</f>
        <v/>
      </c>
      <c r="AE2604" s="53">
        <f>IFERROR(INDEX($A2604:$AB2604,MATCH("Xero Invoice Date",$A$1:$AB$1,0)),"")</f>
        <v/>
      </c>
      <c r="AF2604" s="54">
        <f>IF(AND(IFERROR(INDEX($A2604:$AB2604,MATCH("Xero Invoice No",$A$1:$AB$1,0)),"")&amp;""&lt;&gt;"",ISNUMBER(AE2604),AD2604&lt;&gt;0),1,0)</f>
        <v/>
      </c>
      <c r="AG2604" s="55">
        <f>IF(AF2604=1,EOMONTH(AE2604,0),"")</f>
        <v/>
      </c>
      <c r="AH2604" s="9">
        <f>IF(AF2604=1,UPPER(TRIM(IFERROR(INDEX($A2604:$AB2604,MATCH("Client",$A$1:$AB$1,0)),"")&amp;"")),"")</f>
        <v/>
      </c>
      <c r="AI2604" s="9">
        <f>IF(AF2604=1,IFERROR(INDEX($A2604:$AB2604,MATCH("Cost Centre",$A$1:$AB$1,0)),"")&amp;"","")</f>
        <v/>
      </c>
      <c r="AJ2604" s="54">
        <f>IF(AND(AF2604=1,AE2604&gt;=set_FYStart,AE2604&lt;=set_AsAt),1,0)</f>
        <v/>
      </c>
      <c r="AK2604" s="54">
        <f>IF(AND(AJ2604=1,AH2604&lt;&gt;"",COUNTIFS($AH$2:AH2604,AH2604,$AJ$2:AJ2604,1)=1),N(AL2603)+1,"")</f>
        <v/>
      </c>
      <c r="AL2604" s="54">
        <f>IF(AK2604&lt;&gt;"",AK2604,N(AL2603))</f>
        <v/>
      </c>
    </row>
    <row r="2605">
      <c r="A2605" t="inlineStr">
        <is>
          <t>CON-0868</t>
        </is>
      </c>
      <c r="B2605" t="inlineStr">
        <is>
          <t>Consulting</t>
        </is>
      </c>
      <c r="AB2605" t="n">
        <v>868</v>
      </c>
      <c r="AD2605" s="52">
        <f>IFERROR(N(IFERROR(INDEX($A2605:$AB2605,MATCH("Xero Invoiced Ex GST",$A$1:$AB$1,0)),"")),0)</f>
        <v/>
      </c>
      <c r="AE2605" s="53">
        <f>IFERROR(INDEX($A2605:$AB2605,MATCH("Xero Invoice Date",$A$1:$AB$1,0)),"")</f>
        <v/>
      </c>
      <c r="AF2605" s="54">
        <f>IF(AND(IFERROR(INDEX($A2605:$AB2605,MATCH("Xero Invoice No",$A$1:$AB$1,0)),"")&amp;""&lt;&gt;"",ISNUMBER(AE2605),AD2605&lt;&gt;0),1,0)</f>
        <v/>
      </c>
      <c r="AG2605" s="55">
        <f>IF(AF2605=1,EOMONTH(AE2605,0),"")</f>
        <v/>
      </c>
      <c r="AH2605" s="9">
        <f>IF(AF2605=1,UPPER(TRIM(IFERROR(INDEX($A2605:$AB2605,MATCH("Client",$A$1:$AB$1,0)),"")&amp;"")),"")</f>
        <v/>
      </c>
      <c r="AI2605" s="9">
        <f>IF(AF2605=1,IFERROR(INDEX($A2605:$AB2605,MATCH("Cost Centre",$A$1:$AB$1,0)),"")&amp;"","")</f>
        <v/>
      </c>
      <c r="AJ2605" s="54">
        <f>IF(AND(AF2605=1,AE2605&gt;=set_FYStart,AE2605&lt;=set_AsAt),1,0)</f>
        <v/>
      </c>
      <c r="AK2605" s="54">
        <f>IF(AND(AJ2605=1,AH2605&lt;&gt;"",COUNTIFS($AH$2:AH2605,AH2605,$AJ$2:AJ2605,1)=1),N(AL2604)+1,"")</f>
        <v/>
      </c>
      <c r="AL2605" s="54">
        <f>IF(AK2605&lt;&gt;"",AK2605,N(AL2604))</f>
        <v/>
      </c>
    </row>
    <row r="2606">
      <c r="A2606" t="inlineStr">
        <is>
          <t>ONS-0869</t>
        </is>
      </c>
      <c r="B2606" t="inlineStr">
        <is>
          <t>Onsite</t>
        </is>
      </c>
      <c r="AB2606" t="n">
        <v>869</v>
      </c>
      <c r="AD2606" s="52">
        <f>IFERROR(N(IFERROR(INDEX($A2606:$AB2606,MATCH("Xero Invoiced Ex GST",$A$1:$AB$1,0)),"")),0)</f>
        <v/>
      </c>
      <c r="AE2606" s="53">
        <f>IFERROR(INDEX($A2606:$AB2606,MATCH("Xero Invoice Date",$A$1:$AB$1,0)),"")</f>
        <v/>
      </c>
      <c r="AF2606" s="54">
        <f>IF(AND(IFERROR(INDEX($A2606:$AB2606,MATCH("Xero Invoice No",$A$1:$AB$1,0)),"")&amp;""&lt;&gt;"",ISNUMBER(AE2606),AD2606&lt;&gt;0),1,0)</f>
        <v/>
      </c>
      <c r="AG2606" s="55">
        <f>IF(AF2606=1,EOMONTH(AE2606,0),"")</f>
        <v/>
      </c>
      <c r="AH2606" s="9">
        <f>IF(AF2606=1,UPPER(TRIM(IFERROR(INDEX($A2606:$AB2606,MATCH("Client",$A$1:$AB$1,0)),"")&amp;"")),"")</f>
        <v/>
      </c>
      <c r="AI2606" s="9">
        <f>IF(AF2606=1,IFERROR(INDEX($A2606:$AB2606,MATCH("Cost Centre",$A$1:$AB$1,0)),"")&amp;"","")</f>
        <v/>
      </c>
      <c r="AJ2606" s="54">
        <f>IF(AND(AF2606=1,AE2606&gt;=set_FYStart,AE2606&lt;=set_AsAt),1,0)</f>
        <v/>
      </c>
      <c r="AK2606" s="54">
        <f>IF(AND(AJ2606=1,AH2606&lt;&gt;"",COUNTIFS($AH$2:AH2606,AH2606,$AJ$2:AJ2606,1)=1),N(AL2605)+1,"")</f>
        <v/>
      </c>
      <c r="AL2606" s="54">
        <f>IF(AK2606&lt;&gt;"",AK2606,N(AL2605))</f>
        <v/>
      </c>
    </row>
    <row r="2607">
      <c r="A2607" t="inlineStr">
        <is>
          <t>PRD-0869</t>
        </is>
      </c>
      <c r="B2607" t="inlineStr">
        <is>
          <t>Production</t>
        </is>
      </c>
      <c r="AB2607" t="n">
        <v>869</v>
      </c>
      <c r="AD2607" s="52">
        <f>IFERROR(N(IFERROR(INDEX($A2607:$AB2607,MATCH("Xero Invoiced Ex GST",$A$1:$AB$1,0)),"")),0)</f>
        <v/>
      </c>
      <c r="AE2607" s="53">
        <f>IFERROR(INDEX($A2607:$AB2607,MATCH("Xero Invoice Date",$A$1:$AB$1,0)),"")</f>
        <v/>
      </c>
      <c r="AF2607" s="54">
        <f>IF(AND(IFERROR(INDEX($A2607:$AB2607,MATCH("Xero Invoice No",$A$1:$AB$1,0)),"")&amp;""&lt;&gt;"",ISNUMBER(AE2607),AD2607&lt;&gt;0),1,0)</f>
        <v/>
      </c>
      <c r="AG2607" s="55">
        <f>IF(AF2607=1,EOMONTH(AE2607,0),"")</f>
        <v/>
      </c>
      <c r="AH2607" s="9">
        <f>IF(AF2607=1,UPPER(TRIM(IFERROR(INDEX($A2607:$AB2607,MATCH("Client",$A$1:$AB$1,0)),"")&amp;"")),"")</f>
        <v/>
      </c>
      <c r="AI2607" s="9">
        <f>IF(AF2607=1,IFERROR(INDEX($A2607:$AB2607,MATCH("Cost Centre",$A$1:$AB$1,0)),"")&amp;"","")</f>
        <v/>
      </c>
      <c r="AJ2607" s="54">
        <f>IF(AND(AF2607=1,AE2607&gt;=set_FYStart,AE2607&lt;=set_AsAt),1,0)</f>
        <v/>
      </c>
      <c r="AK2607" s="54">
        <f>IF(AND(AJ2607=1,AH2607&lt;&gt;"",COUNTIFS($AH$2:AH2607,AH2607,$AJ$2:AJ2607,1)=1),N(AL2606)+1,"")</f>
        <v/>
      </c>
      <c r="AL2607" s="54">
        <f>IF(AK2607&lt;&gt;"",AK2607,N(AL2606))</f>
        <v/>
      </c>
    </row>
    <row r="2608">
      <c r="A2608" t="inlineStr">
        <is>
          <t>CON-0869</t>
        </is>
      </c>
      <c r="B2608" t="inlineStr">
        <is>
          <t>Consulting</t>
        </is>
      </c>
      <c r="AB2608" t="n">
        <v>869</v>
      </c>
      <c r="AD2608" s="52">
        <f>IFERROR(N(IFERROR(INDEX($A2608:$AB2608,MATCH("Xero Invoiced Ex GST",$A$1:$AB$1,0)),"")),0)</f>
        <v/>
      </c>
      <c r="AE2608" s="53">
        <f>IFERROR(INDEX($A2608:$AB2608,MATCH("Xero Invoice Date",$A$1:$AB$1,0)),"")</f>
        <v/>
      </c>
      <c r="AF2608" s="54">
        <f>IF(AND(IFERROR(INDEX($A2608:$AB2608,MATCH("Xero Invoice No",$A$1:$AB$1,0)),"")&amp;""&lt;&gt;"",ISNUMBER(AE2608),AD2608&lt;&gt;0),1,0)</f>
        <v/>
      </c>
      <c r="AG2608" s="55">
        <f>IF(AF2608=1,EOMONTH(AE2608,0),"")</f>
        <v/>
      </c>
      <c r="AH2608" s="9">
        <f>IF(AF2608=1,UPPER(TRIM(IFERROR(INDEX($A2608:$AB2608,MATCH("Client",$A$1:$AB$1,0)),"")&amp;"")),"")</f>
        <v/>
      </c>
      <c r="AI2608" s="9">
        <f>IF(AF2608=1,IFERROR(INDEX($A2608:$AB2608,MATCH("Cost Centre",$A$1:$AB$1,0)),"")&amp;"","")</f>
        <v/>
      </c>
      <c r="AJ2608" s="54">
        <f>IF(AND(AF2608=1,AE2608&gt;=set_FYStart,AE2608&lt;=set_AsAt),1,0)</f>
        <v/>
      </c>
      <c r="AK2608" s="54">
        <f>IF(AND(AJ2608=1,AH2608&lt;&gt;"",COUNTIFS($AH$2:AH2608,AH2608,$AJ$2:AJ2608,1)=1),N(AL2607)+1,"")</f>
        <v/>
      </c>
      <c r="AL2608" s="54">
        <f>IF(AK2608&lt;&gt;"",AK2608,N(AL2607))</f>
        <v/>
      </c>
    </row>
    <row r="2609">
      <c r="A2609" t="inlineStr">
        <is>
          <t>ONS-0870</t>
        </is>
      </c>
      <c r="B2609" t="inlineStr">
        <is>
          <t>Onsite</t>
        </is>
      </c>
      <c r="AB2609" t="n">
        <v>870</v>
      </c>
      <c r="AD2609" s="52">
        <f>IFERROR(N(IFERROR(INDEX($A2609:$AB2609,MATCH("Xero Invoiced Ex GST",$A$1:$AB$1,0)),"")),0)</f>
        <v/>
      </c>
      <c r="AE2609" s="53">
        <f>IFERROR(INDEX($A2609:$AB2609,MATCH("Xero Invoice Date",$A$1:$AB$1,0)),"")</f>
        <v/>
      </c>
      <c r="AF2609" s="54">
        <f>IF(AND(IFERROR(INDEX($A2609:$AB2609,MATCH("Xero Invoice No",$A$1:$AB$1,0)),"")&amp;""&lt;&gt;"",ISNUMBER(AE2609),AD2609&lt;&gt;0),1,0)</f>
        <v/>
      </c>
      <c r="AG2609" s="55">
        <f>IF(AF2609=1,EOMONTH(AE2609,0),"")</f>
        <v/>
      </c>
      <c r="AH2609" s="9">
        <f>IF(AF2609=1,UPPER(TRIM(IFERROR(INDEX($A2609:$AB2609,MATCH("Client",$A$1:$AB$1,0)),"")&amp;"")),"")</f>
        <v/>
      </c>
      <c r="AI2609" s="9">
        <f>IF(AF2609=1,IFERROR(INDEX($A2609:$AB2609,MATCH("Cost Centre",$A$1:$AB$1,0)),"")&amp;"","")</f>
        <v/>
      </c>
      <c r="AJ2609" s="54">
        <f>IF(AND(AF2609=1,AE2609&gt;=set_FYStart,AE2609&lt;=set_AsAt),1,0)</f>
        <v/>
      </c>
      <c r="AK2609" s="54">
        <f>IF(AND(AJ2609=1,AH2609&lt;&gt;"",COUNTIFS($AH$2:AH2609,AH2609,$AJ$2:AJ2609,1)=1),N(AL2608)+1,"")</f>
        <v/>
      </c>
      <c r="AL2609" s="54">
        <f>IF(AK2609&lt;&gt;"",AK2609,N(AL2608))</f>
        <v/>
      </c>
    </row>
    <row r="2610">
      <c r="A2610" t="inlineStr">
        <is>
          <t>PRD-0870</t>
        </is>
      </c>
      <c r="B2610" t="inlineStr">
        <is>
          <t>Production</t>
        </is>
      </c>
      <c r="AB2610" t="n">
        <v>870</v>
      </c>
      <c r="AD2610" s="52">
        <f>IFERROR(N(IFERROR(INDEX($A2610:$AB2610,MATCH("Xero Invoiced Ex GST",$A$1:$AB$1,0)),"")),0)</f>
        <v/>
      </c>
      <c r="AE2610" s="53">
        <f>IFERROR(INDEX($A2610:$AB2610,MATCH("Xero Invoice Date",$A$1:$AB$1,0)),"")</f>
        <v/>
      </c>
      <c r="AF2610" s="54">
        <f>IF(AND(IFERROR(INDEX($A2610:$AB2610,MATCH("Xero Invoice No",$A$1:$AB$1,0)),"")&amp;""&lt;&gt;"",ISNUMBER(AE2610),AD2610&lt;&gt;0),1,0)</f>
        <v/>
      </c>
      <c r="AG2610" s="55">
        <f>IF(AF2610=1,EOMONTH(AE2610,0),"")</f>
        <v/>
      </c>
      <c r="AH2610" s="9">
        <f>IF(AF2610=1,UPPER(TRIM(IFERROR(INDEX($A2610:$AB2610,MATCH("Client",$A$1:$AB$1,0)),"")&amp;"")),"")</f>
        <v/>
      </c>
      <c r="AI2610" s="9">
        <f>IF(AF2610=1,IFERROR(INDEX($A2610:$AB2610,MATCH("Cost Centre",$A$1:$AB$1,0)),"")&amp;"","")</f>
        <v/>
      </c>
      <c r="AJ2610" s="54">
        <f>IF(AND(AF2610=1,AE2610&gt;=set_FYStart,AE2610&lt;=set_AsAt),1,0)</f>
        <v/>
      </c>
      <c r="AK2610" s="54">
        <f>IF(AND(AJ2610=1,AH2610&lt;&gt;"",COUNTIFS($AH$2:AH2610,AH2610,$AJ$2:AJ2610,1)=1),N(AL2609)+1,"")</f>
        <v/>
      </c>
      <c r="AL2610" s="54">
        <f>IF(AK2610&lt;&gt;"",AK2610,N(AL2609))</f>
        <v/>
      </c>
    </row>
    <row r="2611">
      <c r="A2611" t="inlineStr">
        <is>
          <t>CON-0870</t>
        </is>
      </c>
      <c r="B2611" t="inlineStr">
        <is>
          <t>Consulting</t>
        </is>
      </c>
      <c r="AB2611" t="n">
        <v>870</v>
      </c>
      <c r="AD2611" s="52">
        <f>IFERROR(N(IFERROR(INDEX($A2611:$AB2611,MATCH("Xero Invoiced Ex GST",$A$1:$AB$1,0)),"")),0)</f>
        <v/>
      </c>
      <c r="AE2611" s="53">
        <f>IFERROR(INDEX($A2611:$AB2611,MATCH("Xero Invoice Date",$A$1:$AB$1,0)),"")</f>
        <v/>
      </c>
      <c r="AF2611" s="54">
        <f>IF(AND(IFERROR(INDEX($A2611:$AB2611,MATCH("Xero Invoice No",$A$1:$AB$1,0)),"")&amp;""&lt;&gt;"",ISNUMBER(AE2611),AD2611&lt;&gt;0),1,0)</f>
        <v/>
      </c>
      <c r="AG2611" s="55">
        <f>IF(AF2611=1,EOMONTH(AE2611,0),"")</f>
        <v/>
      </c>
      <c r="AH2611" s="9">
        <f>IF(AF2611=1,UPPER(TRIM(IFERROR(INDEX($A2611:$AB2611,MATCH("Client",$A$1:$AB$1,0)),"")&amp;"")),"")</f>
        <v/>
      </c>
      <c r="AI2611" s="9">
        <f>IF(AF2611=1,IFERROR(INDEX($A2611:$AB2611,MATCH("Cost Centre",$A$1:$AB$1,0)),"")&amp;"","")</f>
        <v/>
      </c>
      <c r="AJ2611" s="54">
        <f>IF(AND(AF2611=1,AE2611&gt;=set_FYStart,AE2611&lt;=set_AsAt),1,0)</f>
        <v/>
      </c>
      <c r="AK2611" s="54">
        <f>IF(AND(AJ2611=1,AH2611&lt;&gt;"",COUNTIFS($AH$2:AH2611,AH2611,$AJ$2:AJ2611,1)=1),N(AL2610)+1,"")</f>
        <v/>
      </c>
      <c r="AL2611" s="54">
        <f>IF(AK2611&lt;&gt;"",AK2611,N(AL2610))</f>
        <v/>
      </c>
    </row>
    <row r="2612">
      <c r="A2612" t="inlineStr">
        <is>
          <t>ONS-0871</t>
        </is>
      </c>
      <c r="B2612" t="inlineStr">
        <is>
          <t>Onsite</t>
        </is>
      </c>
      <c r="AB2612" t="n">
        <v>871</v>
      </c>
      <c r="AD2612" s="52">
        <f>IFERROR(N(IFERROR(INDEX($A2612:$AB2612,MATCH("Xero Invoiced Ex GST",$A$1:$AB$1,0)),"")),0)</f>
        <v/>
      </c>
      <c r="AE2612" s="53">
        <f>IFERROR(INDEX($A2612:$AB2612,MATCH("Xero Invoice Date",$A$1:$AB$1,0)),"")</f>
        <v/>
      </c>
      <c r="AF2612" s="54">
        <f>IF(AND(IFERROR(INDEX($A2612:$AB2612,MATCH("Xero Invoice No",$A$1:$AB$1,0)),"")&amp;""&lt;&gt;"",ISNUMBER(AE2612),AD2612&lt;&gt;0),1,0)</f>
        <v/>
      </c>
      <c r="AG2612" s="55">
        <f>IF(AF2612=1,EOMONTH(AE2612,0),"")</f>
        <v/>
      </c>
      <c r="AH2612" s="9">
        <f>IF(AF2612=1,UPPER(TRIM(IFERROR(INDEX($A2612:$AB2612,MATCH("Client",$A$1:$AB$1,0)),"")&amp;"")),"")</f>
        <v/>
      </c>
      <c r="AI2612" s="9">
        <f>IF(AF2612=1,IFERROR(INDEX($A2612:$AB2612,MATCH("Cost Centre",$A$1:$AB$1,0)),"")&amp;"","")</f>
        <v/>
      </c>
      <c r="AJ2612" s="54">
        <f>IF(AND(AF2612=1,AE2612&gt;=set_FYStart,AE2612&lt;=set_AsAt),1,0)</f>
        <v/>
      </c>
      <c r="AK2612" s="54">
        <f>IF(AND(AJ2612=1,AH2612&lt;&gt;"",COUNTIFS($AH$2:AH2612,AH2612,$AJ$2:AJ2612,1)=1),N(AL2611)+1,"")</f>
        <v/>
      </c>
      <c r="AL2612" s="54">
        <f>IF(AK2612&lt;&gt;"",AK2612,N(AL2611))</f>
        <v/>
      </c>
    </row>
    <row r="2613">
      <c r="A2613" t="inlineStr">
        <is>
          <t>PRD-0871</t>
        </is>
      </c>
      <c r="B2613" t="inlineStr">
        <is>
          <t>Production</t>
        </is>
      </c>
      <c r="AB2613" t="n">
        <v>871</v>
      </c>
      <c r="AD2613" s="52">
        <f>IFERROR(N(IFERROR(INDEX($A2613:$AB2613,MATCH("Xero Invoiced Ex GST",$A$1:$AB$1,0)),"")),0)</f>
        <v/>
      </c>
      <c r="AE2613" s="53">
        <f>IFERROR(INDEX($A2613:$AB2613,MATCH("Xero Invoice Date",$A$1:$AB$1,0)),"")</f>
        <v/>
      </c>
      <c r="AF2613" s="54">
        <f>IF(AND(IFERROR(INDEX($A2613:$AB2613,MATCH("Xero Invoice No",$A$1:$AB$1,0)),"")&amp;""&lt;&gt;"",ISNUMBER(AE2613),AD2613&lt;&gt;0),1,0)</f>
        <v/>
      </c>
      <c r="AG2613" s="55">
        <f>IF(AF2613=1,EOMONTH(AE2613,0),"")</f>
        <v/>
      </c>
      <c r="AH2613" s="9">
        <f>IF(AF2613=1,UPPER(TRIM(IFERROR(INDEX($A2613:$AB2613,MATCH("Client",$A$1:$AB$1,0)),"")&amp;"")),"")</f>
        <v/>
      </c>
      <c r="AI2613" s="9">
        <f>IF(AF2613=1,IFERROR(INDEX($A2613:$AB2613,MATCH("Cost Centre",$A$1:$AB$1,0)),"")&amp;"","")</f>
        <v/>
      </c>
      <c r="AJ2613" s="54">
        <f>IF(AND(AF2613=1,AE2613&gt;=set_FYStart,AE2613&lt;=set_AsAt),1,0)</f>
        <v/>
      </c>
      <c r="AK2613" s="54">
        <f>IF(AND(AJ2613=1,AH2613&lt;&gt;"",COUNTIFS($AH$2:AH2613,AH2613,$AJ$2:AJ2613,1)=1),N(AL2612)+1,"")</f>
        <v/>
      </c>
      <c r="AL2613" s="54">
        <f>IF(AK2613&lt;&gt;"",AK2613,N(AL2612))</f>
        <v/>
      </c>
    </row>
    <row r="2614">
      <c r="A2614" t="inlineStr">
        <is>
          <t>CON-0871</t>
        </is>
      </c>
      <c r="B2614" t="inlineStr">
        <is>
          <t>Consulting</t>
        </is>
      </c>
      <c r="AB2614" t="n">
        <v>871</v>
      </c>
      <c r="AD2614" s="52">
        <f>IFERROR(N(IFERROR(INDEX($A2614:$AB2614,MATCH("Xero Invoiced Ex GST",$A$1:$AB$1,0)),"")),0)</f>
        <v/>
      </c>
      <c r="AE2614" s="53">
        <f>IFERROR(INDEX($A2614:$AB2614,MATCH("Xero Invoice Date",$A$1:$AB$1,0)),"")</f>
        <v/>
      </c>
      <c r="AF2614" s="54">
        <f>IF(AND(IFERROR(INDEX($A2614:$AB2614,MATCH("Xero Invoice No",$A$1:$AB$1,0)),"")&amp;""&lt;&gt;"",ISNUMBER(AE2614),AD2614&lt;&gt;0),1,0)</f>
        <v/>
      </c>
      <c r="AG2614" s="55">
        <f>IF(AF2614=1,EOMONTH(AE2614,0),"")</f>
        <v/>
      </c>
      <c r="AH2614" s="9">
        <f>IF(AF2614=1,UPPER(TRIM(IFERROR(INDEX($A2614:$AB2614,MATCH("Client",$A$1:$AB$1,0)),"")&amp;"")),"")</f>
        <v/>
      </c>
      <c r="AI2614" s="9">
        <f>IF(AF2614=1,IFERROR(INDEX($A2614:$AB2614,MATCH("Cost Centre",$A$1:$AB$1,0)),"")&amp;"","")</f>
        <v/>
      </c>
      <c r="AJ2614" s="54">
        <f>IF(AND(AF2614=1,AE2614&gt;=set_FYStart,AE2614&lt;=set_AsAt),1,0)</f>
        <v/>
      </c>
      <c r="AK2614" s="54">
        <f>IF(AND(AJ2614=1,AH2614&lt;&gt;"",COUNTIFS($AH$2:AH2614,AH2614,$AJ$2:AJ2614,1)=1),N(AL2613)+1,"")</f>
        <v/>
      </c>
      <c r="AL2614" s="54">
        <f>IF(AK2614&lt;&gt;"",AK2614,N(AL2613))</f>
        <v/>
      </c>
    </row>
    <row r="2615">
      <c r="A2615" t="inlineStr">
        <is>
          <t>ONS-0872</t>
        </is>
      </c>
      <c r="B2615" t="inlineStr">
        <is>
          <t>Onsite</t>
        </is>
      </c>
      <c r="AB2615" t="n">
        <v>872</v>
      </c>
      <c r="AD2615" s="52">
        <f>IFERROR(N(IFERROR(INDEX($A2615:$AB2615,MATCH("Xero Invoiced Ex GST",$A$1:$AB$1,0)),"")),0)</f>
        <v/>
      </c>
      <c r="AE2615" s="53">
        <f>IFERROR(INDEX($A2615:$AB2615,MATCH("Xero Invoice Date",$A$1:$AB$1,0)),"")</f>
        <v/>
      </c>
      <c r="AF2615" s="54">
        <f>IF(AND(IFERROR(INDEX($A2615:$AB2615,MATCH("Xero Invoice No",$A$1:$AB$1,0)),"")&amp;""&lt;&gt;"",ISNUMBER(AE2615),AD2615&lt;&gt;0),1,0)</f>
        <v/>
      </c>
      <c r="AG2615" s="55">
        <f>IF(AF2615=1,EOMONTH(AE2615,0),"")</f>
        <v/>
      </c>
      <c r="AH2615" s="9">
        <f>IF(AF2615=1,UPPER(TRIM(IFERROR(INDEX($A2615:$AB2615,MATCH("Client",$A$1:$AB$1,0)),"")&amp;"")),"")</f>
        <v/>
      </c>
      <c r="AI2615" s="9">
        <f>IF(AF2615=1,IFERROR(INDEX($A2615:$AB2615,MATCH("Cost Centre",$A$1:$AB$1,0)),"")&amp;"","")</f>
        <v/>
      </c>
      <c r="AJ2615" s="54">
        <f>IF(AND(AF2615=1,AE2615&gt;=set_FYStart,AE2615&lt;=set_AsAt),1,0)</f>
        <v/>
      </c>
      <c r="AK2615" s="54">
        <f>IF(AND(AJ2615=1,AH2615&lt;&gt;"",COUNTIFS($AH$2:AH2615,AH2615,$AJ$2:AJ2615,1)=1),N(AL2614)+1,"")</f>
        <v/>
      </c>
      <c r="AL2615" s="54">
        <f>IF(AK2615&lt;&gt;"",AK2615,N(AL2614))</f>
        <v/>
      </c>
    </row>
    <row r="2616">
      <c r="A2616" t="inlineStr">
        <is>
          <t>PRD-0872</t>
        </is>
      </c>
      <c r="B2616" t="inlineStr">
        <is>
          <t>Production</t>
        </is>
      </c>
      <c r="AB2616" t="n">
        <v>872</v>
      </c>
      <c r="AD2616" s="52">
        <f>IFERROR(N(IFERROR(INDEX($A2616:$AB2616,MATCH("Xero Invoiced Ex GST",$A$1:$AB$1,0)),"")),0)</f>
        <v/>
      </c>
      <c r="AE2616" s="53">
        <f>IFERROR(INDEX($A2616:$AB2616,MATCH("Xero Invoice Date",$A$1:$AB$1,0)),"")</f>
        <v/>
      </c>
      <c r="AF2616" s="54">
        <f>IF(AND(IFERROR(INDEX($A2616:$AB2616,MATCH("Xero Invoice No",$A$1:$AB$1,0)),"")&amp;""&lt;&gt;"",ISNUMBER(AE2616),AD2616&lt;&gt;0),1,0)</f>
        <v/>
      </c>
      <c r="AG2616" s="55">
        <f>IF(AF2616=1,EOMONTH(AE2616,0),"")</f>
        <v/>
      </c>
      <c r="AH2616" s="9">
        <f>IF(AF2616=1,UPPER(TRIM(IFERROR(INDEX($A2616:$AB2616,MATCH("Client",$A$1:$AB$1,0)),"")&amp;"")),"")</f>
        <v/>
      </c>
      <c r="AI2616" s="9">
        <f>IF(AF2616=1,IFERROR(INDEX($A2616:$AB2616,MATCH("Cost Centre",$A$1:$AB$1,0)),"")&amp;"","")</f>
        <v/>
      </c>
      <c r="AJ2616" s="54">
        <f>IF(AND(AF2616=1,AE2616&gt;=set_FYStart,AE2616&lt;=set_AsAt),1,0)</f>
        <v/>
      </c>
      <c r="AK2616" s="54">
        <f>IF(AND(AJ2616=1,AH2616&lt;&gt;"",COUNTIFS($AH$2:AH2616,AH2616,$AJ$2:AJ2616,1)=1),N(AL2615)+1,"")</f>
        <v/>
      </c>
      <c r="AL2616" s="54">
        <f>IF(AK2616&lt;&gt;"",AK2616,N(AL2615))</f>
        <v/>
      </c>
    </row>
    <row r="2617">
      <c r="A2617" t="inlineStr">
        <is>
          <t>CON-0872</t>
        </is>
      </c>
      <c r="B2617" t="inlineStr">
        <is>
          <t>Consulting</t>
        </is>
      </c>
      <c r="AB2617" t="n">
        <v>872</v>
      </c>
      <c r="AD2617" s="52">
        <f>IFERROR(N(IFERROR(INDEX($A2617:$AB2617,MATCH("Xero Invoiced Ex GST",$A$1:$AB$1,0)),"")),0)</f>
        <v/>
      </c>
      <c r="AE2617" s="53">
        <f>IFERROR(INDEX($A2617:$AB2617,MATCH("Xero Invoice Date",$A$1:$AB$1,0)),"")</f>
        <v/>
      </c>
      <c r="AF2617" s="54">
        <f>IF(AND(IFERROR(INDEX($A2617:$AB2617,MATCH("Xero Invoice No",$A$1:$AB$1,0)),"")&amp;""&lt;&gt;"",ISNUMBER(AE2617),AD2617&lt;&gt;0),1,0)</f>
        <v/>
      </c>
      <c r="AG2617" s="55">
        <f>IF(AF2617=1,EOMONTH(AE2617,0),"")</f>
        <v/>
      </c>
      <c r="AH2617" s="9">
        <f>IF(AF2617=1,UPPER(TRIM(IFERROR(INDEX($A2617:$AB2617,MATCH("Client",$A$1:$AB$1,0)),"")&amp;"")),"")</f>
        <v/>
      </c>
      <c r="AI2617" s="9">
        <f>IF(AF2617=1,IFERROR(INDEX($A2617:$AB2617,MATCH("Cost Centre",$A$1:$AB$1,0)),"")&amp;"","")</f>
        <v/>
      </c>
      <c r="AJ2617" s="54">
        <f>IF(AND(AF2617=1,AE2617&gt;=set_FYStart,AE2617&lt;=set_AsAt),1,0)</f>
        <v/>
      </c>
      <c r="AK2617" s="54">
        <f>IF(AND(AJ2617=1,AH2617&lt;&gt;"",COUNTIFS($AH$2:AH2617,AH2617,$AJ$2:AJ2617,1)=1),N(AL2616)+1,"")</f>
        <v/>
      </c>
      <c r="AL2617" s="54">
        <f>IF(AK2617&lt;&gt;"",AK2617,N(AL2616))</f>
        <v/>
      </c>
    </row>
    <row r="2618">
      <c r="A2618" t="inlineStr">
        <is>
          <t>ONS-0873</t>
        </is>
      </c>
      <c r="B2618" t="inlineStr">
        <is>
          <t>Onsite</t>
        </is>
      </c>
      <c r="AB2618" t="n">
        <v>873</v>
      </c>
      <c r="AD2618" s="52">
        <f>IFERROR(N(IFERROR(INDEX($A2618:$AB2618,MATCH("Xero Invoiced Ex GST",$A$1:$AB$1,0)),"")),0)</f>
        <v/>
      </c>
      <c r="AE2618" s="53">
        <f>IFERROR(INDEX($A2618:$AB2618,MATCH("Xero Invoice Date",$A$1:$AB$1,0)),"")</f>
        <v/>
      </c>
      <c r="AF2618" s="54">
        <f>IF(AND(IFERROR(INDEX($A2618:$AB2618,MATCH("Xero Invoice No",$A$1:$AB$1,0)),"")&amp;""&lt;&gt;"",ISNUMBER(AE2618),AD2618&lt;&gt;0),1,0)</f>
        <v/>
      </c>
      <c r="AG2618" s="55">
        <f>IF(AF2618=1,EOMONTH(AE2618,0),"")</f>
        <v/>
      </c>
      <c r="AH2618" s="9">
        <f>IF(AF2618=1,UPPER(TRIM(IFERROR(INDEX($A2618:$AB2618,MATCH("Client",$A$1:$AB$1,0)),"")&amp;"")),"")</f>
        <v/>
      </c>
      <c r="AI2618" s="9">
        <f>IF(AF2618=1,IFERROR(INDEX($A2618:$AB2618,MATCH("Cost Centre",$A$1:$AB$1,0)),"")&amp;"","")</f>
        <v/>
      </c>
      <c r="AJ2618" s="54">
        <f>IF(AND(AF2618=1,AE2618&gt;=set_FYStart,AE2618&lt;=set_AsAt),1,0)</f>
        <v/>
      </c>
      <c r="AK2618" s="54">
        <f>IF(AND(AJ2618=1,AH2618&lt;&gt;"",COUNTIFS($AH$2:AH2618,AH2618,$AJ$2:AJ2618,1)=1),N(AL2617)+1,"")</f>
        <v/>
      </c>
      <c r="AL2618" s="54">
        <f>IF(AK2618&lt;&gt;"",AK2618,N(AL2617))</f>
        <v/>
      </c>
    </row>
    <row r="2619">
      <c r="A2619" t="inlineStr">
        <is>
          <t>PRD-0873</t>
        </is>
      </c>
      <c r="B2619" t="inlineStr">
        <is>
          <t>Production</t>
        </is>
      </c>
      <c r="AB2619" t="n">
        <v>873</v>
      </c>
      <c r="AD2619" s="52">
        <f>IFERROR(N(IFERROR(INDEX($A2619:$AB2619,MATCH("Xero Invoiced Ex GST",$A$1:$AB$1,0)),"")),0)</f>
        <v/>
      </c>
      <c r="AE2619" s="53">
        <f>IFERROR(INDEX($A2619:$AB2619,MATCH("Xero Invoice Date",$A$1:$AB$1,0)),"")</f>
        <v/>
      </c>
      <c r="AF2619" s="54">
        <f>IF(AND(IFERROR(INDEX($A2619:$AB2619,MATCH("Xero Invoice No",$A$1:$AB$1,0)),"")&amp;""&lt;&gt;"",ISNUMBER(AE2619),AD2619&lt;&gt;0),1,0)</f>
        <v/>
      </c>
      <c r="AG2619" s="55">
        <f>IF(AF2619=1,EOMONTH(AE2619,0),"")</f>
        <v/>
      </c>
      <c r="AH2619" s="9">
        <f>IF(AF2619=1,UPPER(TRIM(IFERROR(INDEX($A2619:$AB2619,MATCH("Client",$A$1:$AB$1,0)),"")&amp;"")),"")</f>
        <v/>
      </c>
      <c r="AI2619" s="9">
        <f>IF(AF2619=1,IFERROR(INDEX($A2619:$AB2619,MATCH("Cost Centre",$A$1:$AB$1,0)),"")&amp;"","")</f>
        <v/>
      </c>
      <c r="AJ2619" s="54">
        <f>IF(AND(AF2619=1,AE2619&gt;=set_FYStart,AE2619&lt;=set_AsAt),1,0)</f>
        <v/>
      </c>
      <c r="AK2619" s="54">
        <f>IF(AND(AJ2619=1,AH2619&lt;&gt;"",COUNTIFS($AH$2:AH2619,AH2619,$AJ$2:AJ2619,1)=1),N(AL2618)+1,"")</f>
        <v/>
      </c>
      <c r="AL2619" s="54">
        <f>IF(AK2619&lt;&gt;"",AK2619,N(AL2618))</f>
        <v/>
      </c>
    </row>
    <row r="2620">
      <c r="A2620" t="inlineStr">
        <is>
          <t>CON-0873</t>
        </is>
      </c>
      <c r="B2620" t="inlineStr">
        <is>
          <t>Consulting</t>
        </is>
      </c>
      <c r="AB2620" t="n">
        <v>873</v>
      </c>
      <c r="AD2620" s="52">
        <f>IFERROR(N(IFERROR(INDEX($A2620:$AB2620,MATCH("Xero Invoiced Ex GST",$A$1:$AB$1,0)),"")),0)</f>
        <v/>
      </c>
      <c r="AE2620" s="53">
        <f>IFERROR(INDEX($A2620:$AB2620,MATCH("Xero Invoice Date",$A$1:$AB$1,0)),"")</f>
        <v/>
      </c>
      <c r="AF2620" s="54">
        <f>IF(AND(IFERROR(INDEX($A2620:$AB2620,MATCH("Xero Invoice No",$A$1:$AB$1,0)),"")&amp;""&lt;&gt;"",ISNUMBER(AE2620),AD2620&lt;&gt;0),1,0)</f>
        <v/>
      </c>
      <c r="AG2620" s="55">
        <f>IF(AF2620=1,EOMONTH(AE2620,0),"")</f>
        <v/>
      </c>
      <c r="AH2620" s="9">
        <f>IF(AF2620=1,UPPER(TRIM(IFERROR(INDEX($A2620:$AB2620,MATCH("Client",$A$1:$AB$1,0)),"")&amp;"")),"")</f>
        <v/>
      </c>
      <c r="AI2620" s="9">
        <f>IF(AF2620=1,IFERROR(INDEX($A2620:$AB2620,MATCH("Cost Centre",$A$1:$AB$1,0)),"")&amp;"","")</f>
        <v/>
      </c>
      <c r="AJ2620" s="54">
        <f>IF(AND(AF2620=1,AE2620&gt;=set_FYStart,AE2620&lt;=set_AsAt),1,0)</f>
        <v/>
      </c>
      <c r="AK2620" s="54">
        <f>IF(AND(AJ2620=1,AH2620&lt;&gt;"",COUNTIFS($AH$2:AH2620,AH2620,$AJ$2:AJ2620,1)=1),N(AL2619)+1,"")</f>
        <v/>
      </c>
      <c r="AL2620" s="54">
        <f>IF(AK2620&lt;&gt;"",AK2620,N(AL2619))</f>
        <v/>
      </c>
    </row>
    <row r="2621">
      <c r="A2621" t="inlineStr">
        <is>
          <t>ONS-0874</t>
        </is>
      </c>
      <c r="B2621" t="inlineStr">
        <is>
          <t>Onsite</t>
        </is>
      </c>
      <c r="AB2621" t="n">
        <v>874</v>
      </c>
      <c r="AD2621" s="52">
        <f>IFERROR(N(IFERROR(INDEX($A2621:$AB2621,MATCH("Xero Invoiced Ex GST",$A$1:$AB$1,0)),"")),0)</f>
        <v/>
      </c>
      <c r="AE2621" s="53">
        <f>IFERROR(INDEX($A2621:$AB2621,MATCH("Xero Invoice Date",$A$1:$AB$1,0)),"")</f>
        <v/>
      </c>
      <c r="AF2621" s="54">
        <f>IF(AND(IFERROR(INDEX($A2621:$AB2621,MATCH("Xero Invoice No",$A$1:$AB$1,0)),"")&amp;""&lt;&gt;"",ISNUMBER(AE2621),AD2621&lt;&gt;0),1,0)</f>
        <v/>
      </c>
      <c r="AG2621" s="55">
        <f>IF(AF2621=1,EOMONTH(AE2621,0),"")</f>
        <v/>
      </c>
      <c r="AH2621" s="9">
        <f>IF(AF2621=1,UPPER(TRIM(IFERROR(INDEX($A2621:$AB2621,MATCH("Client",$A$1:$AB$1,0)),"")&amp;"")),"")</f>
        <v/>
      </c>
      <c r="AI2621" s="9">
        <f>IF(AF2621=1,IFERROR(INDEX($A2621:$AB2621,MATCH("Cost Centre",$A$1:$AB$1,0)),"")&amp;"","")</f>
        <v/>
      </c>
      <c r="AJ2621" s="54">
        <f>IF(AND(AF2621=1,AE2621&gt;=set_FYStart,AE2621&lt;=set_AsAt),1,0)</f>
        <v/>
      </c>
      <c r="AK2621" s="54">
        <f>IF(AND(AJ2621=1,AH2621&lt;&gt;"",COUNTIFS($AH$2:AH2621,AH2621,$AJ$2:AJ2621,1)=1),N(AL2620)+1,"")</f>
        <v/>
      </c>
      <c r="AL2621" s="54">
        <f>IF(AK2621&lt;&gt;"",AK2621,N(AL2620))</f>
        <v/>
      </c>
    </row>
    <row r="2622">
      <c r="A2622" t="inlineStr">
        <is>
          <t>PRD-0874</t>
        </is>
      </c>
      <c r="B2622" t="inlineStr">
        <is>
          <t>Production</t>
        </is>
      </c>
      <c r="AB2622" t="n">
        <v>874</v>
      </c>
      <c r="AD2622" s="52">
        <f>IFERROR(N(IFERROR(INDEX($A2622:$AB2622,MATCH("Xero Invoiced Ex GST",$A$1:$AB$1,0)),"")),0)</f>
        <v/>
      </c>
      <c r="AE2622" s="53">
        <f>IFERROR(INDEX($A2622:$AB2622,MATCH("Xero Invoice Date",$A$1:$AB$1,0)),"")</f>
        <v/>
      </c>
      <c r="AF2622" s="54">
        <f>IF(AND(IFERROR(INDEX($A2622:$AB2622,MATCH("Xero Invoice No",$A$1:$AB$1,0)),"")&amp;""&lt;&gt;"",ISNUMBER(AE2622),AD2622&lt;&gt;0),1,0)</f>
        <v/>
      </c>
      <c r="AG2622" s="55">
        <f>IF(AF2622=1,EOMONTH(AE2622,0),"")</f>
        <v/>
      </c>
      <c r="AH2622" s="9">
        <f>IF(AF2622=1,UPPER(TRIM(IFERROR(INDEX($A2622:$AB2622,MATCH("Client",$A$1:$AB$1,0)),"")&amp;"")),"")</f>
        <v/>
      </c>
      <c r="AI2622" s="9">
        <f>IF(AF2622=1,IFERROR(INDEX($A2622:$AB2622,MATCH("Cost Centre",$A$1:$AB$1,0)),"")&amp;"","")</f>
        <v/>
      </c>
      <c r="AJ2622" s="54">
        <f>IF(AND(AF2622=1,AE2622&gt;=set_FYStart,AE2622&lt;=set_AsAt),1,0)</f>
        <v/>
      </c>
      <c r="AK2622" s="54">
        <f>IF(AND(AJ2622=1,AH2622&lt;&gt;"",COUNTIFS($AH$2:AH2622,AH2622,$AJ$2:AJ2622,1)=1),N(AL2621)+1,"")</f>
        <v/>
      </c>
      <c r="AL2622" s="54">
        <f>IF(AK2622&lt;&gt;"",AK2622,N(AL2621))</f>
        <v/>
      </c>
    </row>
    <row r="2623">
      <c r="A2623" t="inlineStr">
        <is>
          <t>CON-0874</t>
        </is>
      </c>
      <c r="B2623" t="inlineStr">
        <is>
          <t>Consulting</t>
        </is>
      </c>
      <c r="AB2623" t="n">
        <v>874</v>
      </c>
      <c r="AD2623" s="52">
        <f>IFERROR(N(IFERROR(INDEX($A2623:$AB2623,MATCH("Xero Invoiced Ex GST",$A$1:$AB$1,0)),"")),0)</f>
        <v/>
      </c>
      <c r="AE2623" s="53">
        <f>IFERROR(INDEX($A2623:$AB2623,MATCH("Xero Invoice Date",$A$1:$AB$1,0)),"")</f>
        <v/>
      </c>
      <c r="AF2623" s="54">
        <f>IF(AND(IFERROR(INDEX($A2623:$AB2623,MATCH("Xero Invoice No",$A$1:$AB$1,0)),"")&amp;""&lt;&gt;"",ISNUMBER(AE2623),AD2623&lt;&gt;0),1,0)</f>
        <v/>
      </c>
      <c r="AG2623" s="55">
        <f>IF(AF2623=1,EOMONTH(AE2623,0),"")</f>
        <v/>
      </c>
      <c r="AH2623" s="9">
        <f>IF(AF2623=1,UPPER(TRIM(IFERROR(INDEX($A2623:$AB2623,MATCH("Client",$A$1:$AB$1,0)),"")&amp;"")),"")</f>
        <v/>
      </c>
      <c r="AI2623" s="9">
        <f>IF(AF2623=1,IFERROR(INDEX($A2623:$AB2623,MATCH("Cost Centre",$A$1:$AB$1,0)),"")&amp;"","")</f>
        <v/>
      </c>
      <c r="AJ2623" s="54">
        <f>IF(AND(AF2623=1,AE2623&gt;=set_FYStart,AE2623&lt;=set_AsAt),1,0)</f>
        <v/>
      </c>
      <c r="AK2623" s="54">
        <f>IF(AND(AJ2623=1,AH2623&lt;&gt;"",COUNTIFS($AH$2:AH2623,AH2623,$AJ$2:AJ2623,1)=1),N(AL2622)+1,"")</f>
        <v/>
      </c>
      <c r="AL2623" s="54">
        <f>IF(AK2623&lt;&gt;"",AK2623,N(AL2622))</f>
        <v/>
      </c>
    </row>
    <row r="2624">
      <c r="A2624" t="inlineStr">
        <is>
          <t>ONS-0875</t>
        </is>
      </c>
      <c r="B2624" t="inlineStr">
        <is>
          <t>Onsite</t>
        </is>
      </c>
      <c r="AB2624" t="n">
        <v>875</v>
      </c>
      <c r="AD2624" s="52">
        <f>IFERROR(N(IFERROR(INDEX($A2624:$AB2624,MATCH("Xero Invoiced Ex GST",$A$1:$AB$1,0)),"")),0)</f>
        <v/>
      </c>
      <c r="AE2624" s="53">
        <f>IFERROR(INDEX($A2624:$AB2624,MATCH("Xero Invoice Date",$A$1:$AB$1,0)),"")</f>
        <v/>
      </c>
      <c r="AF2624" s="54">
        <f>IF(AND(IFERROR(INDEX($A2624:$AB2624,MATCH("Xero Invoice No",$A$1:$AB$1,0)),"")&amp;""&lt;&gt;"",ISNUMBER(AE2624),AD2624&lt;&gt;0),1,0)</f>
        <v/>
      </c>
      <c r="AG2624" s="55">
        <f>IF(AF2624=1,EOMONTH(AE2624,0),"")</f>
        <v/>
      </c>
      <c r="AH2624" s="9">
        <f>IF(AF2624=1,UPPER(TRIM(IFERROR(INDEX($A2624:$AB2624,MATCH("Client",$A$1:$AB$1,0)),"")&amp;"")),"")</f>
        <v/>
      </c>
      <c r="AI2624" s="9">
        <f>IF(AF2624=1,IFERROR(INDEX($A2624:$AB2624,MATCH("Cost Centre",$A$1:$AB$1,0)),"")&amp;"","")</f>
        <v/>
      </c>
      <c r="AJ2624" s="54">
        <f>IF(AND(AF2624=1,AE2624&gt;=set_FYStart,AE2624&lt;=set_AsAt),1,0)</f>
        <v/>
      </c>
      <c r="AK2624" s="54">
        <f>IF(AND(AJ2624=1,AH2624&lt;&gt;"",COUNTIFS($AH$2:AH2624,AH2624,$AJ$2:AJ2624,1)=1),N(AL2623)+1,"")</f>
        <v/>
      </c>
      <c r="AL2624" s="54">
        <f>IF(AK2624&lt;&gt;"",AK2624,N(AL2623))</f>
        <v/>
      </c>
    </row>
    <row r="2625">
      <c r="A2625" t="inlineStr">
        <is>
          <t>PRD-0875</t>
        </is>
      </c>
      <c r="B2625" t="inlineStr">
        <is>
          <t>Production</t>
        </is>
      </c>
      <c r="AB2625" t="n">
        <v>875</v>
      </c>
      <c r="AD2625" s="52">
        <f>IFERROR(N(IFERROR(INDEX($A2625:$AB2625,MATCH("Xero Invoiced Ex GST",$A$1:$AB$1,0)),"")),0)</f>
        <v/>
      </c>
      <c r="AE2625" s="53">
        <f>IFERROR(INDEX($A2625:$AB2625,MATCH("Xero Invoice Date",$A$1:$AB$1,0)),"")</f>
        <v/>
      </c>
      <c r="AF2625" s="54">
        <f>IF(AND(IFERROR(INDEX($A2625:$AB2625,MATCH("Xero Invoice No",$A$1:$AB$1,0)),"")&amp;""&lt;&gt;"",ISNUMBER(AE2625),AD2625&lt;&gt;0),1,0)</f>
        <v/>
      </c>
      <c r="AG2625" s="55">
        <f>IF(AF2625=1,EOMONTH(AE2625,0),"")</f>
        <v/>
      </c>
      <c r="AH2625" s="9">
        <f>IF(AF2625=1,UPPER(TRIM(IFERROR(INDEX($A2625:$AB2625,MATCH("Client",$A$1:$AB$1,0)),"")&amp;"")),"")</f>
        <v/>
      </c>
      <c r="AI2625" s="9">
        <f>IF(AF2625=1,IFERROR(INDEX($A2625:$AB2625,MATCH("Cost Centre",$A$1:$AB$1,0)),"")&amp;"","")</f>
        <v/>
      </c>
      <c r="AJ2625" s="54">
        <f>IF(AND(AF2625=1,AE2625&gt;=set_FYStart,AE2625&lt;=set_AsAt),1,0)</f>
        <v/>
      </c>
      <c r="AK2625" s="54">
        <f>IF(AND(AJ2625=1,AH2625&lt;&gt;"",COUNTIFS($AH$2:AH2625,AH2625,$AJ$2:AJ2625,1)=1),N(AL2624)+1,"")</f>
        <v/>
      </c>
      <c r="AL2625" s="54">
        <f>IF(AK2625&lt;&gt;"",AK2625,N(AL2624))</f>
        <v/>
      </c>
    </row>
    <row r="2626">
      <c r="A2626" t="inlineStr">
        <is>
          <t>CON-0875</t>
        </is>
      </c>
      <c r="B2626" t="inlineStr">
        <is>
          <t>Consulting</t>
        </is>
      </c>
      <c r="AB2626" t="n">
        <v>875</v>
      </c>
      <c r="AD2626" s="52">
        <f>IFERROR(N(IFERROR(INDEX($A2626:$AB2626,MATCH("Xero Invoiced Ex GST",$A$1:$AB$1,0)),"")),0)</f>
        <v/>
      </c>
      <c r="AE2626" s="53">
        <f>IFERROR(INDEX($A2626:$AB2626,MATCH("Xero Invoice Date",$A$1:$AB$1,0)),"")</f>
        <v/>
      </c>
      <c r="AF2626" s="54">
        <f>IF(AND(IFERROR(INDEX($A2626:$AB2626,MATCH("Xero Invoice No",$A$1:$AB$1,0)),"")&amp;""&lt;&gt;"",ISNUMBER(AE2626),AD2626&lt;&gt;0),1,0)</f>
        <v/>
      </c>
      <c r="AG2626" s="55">
        <f>IF(AF2626=1,EOMONTH(AE2626,0),"")</f>
        <v/>
      </c>
      <c r="AH2626" s="9">
        <f>IF(AF2626=1,UPPER(TRIM(IFERROR(INDEX($A2626:$AB2626,MATCH("Client",$A$1:$AB$1,0)),"")&amp;"")),"")</f>
        <v/>
      </c>
      <c r="AI2626" s="9">
        <f>IF(AF2626=1,IFERROR(INDEX($A2626:$AB2626,MATCH("Cost Centre",$A$1:$AB$1,0)),"")&amp;"","")</f>
        <v/>
      </c>
      <c r="AJ2626" s="54">
        <f>IF(AND(AF2626=1,AE2626&gt;=set_FYStart,AE2626&lt;=set_AsAt),1,0)</f>
        <v/>
      </c>
      <c r="AK2626" s="54">
        <f>IF(AND(AJ2626=1,AH2626&lt;&gt;"",COUNTIFS($AH$2:AH2626,AH2626,$AJ$2:AJ2626,1)=1),N(AL2625)+1,"")</f>
        <v/>
      </c>
      <c r="AL2626" s="54">
        <f>IF(AK2626&lt;&gt;"",AK2626,N(AL2625))</f>
        <v/>
      </c>
    </row>
    <row r="2627">
      <c r="A2627" t="inlineStr">
        <is>
          <t>ONS-0876</t>
        </is>
      </c>
      <c r="B2627" t="inlineStr">
        <is>
          <t>Onsite</t>
        </is>
      </c>
      <c r="AB2627" t="n">
        <v>876</v>
      </c>
      <c r="AD2627" s="52">
        <f>IFERROR(N(IFERROR(INDEX($A2627:$AB2627,MATCH("Xero Invoiced Ex GST",$A$1:$AB$1,0)),"")),0)</f>
        <v/>
      </c>
      <c r="AE2627" s="53">
        <f>IFERROR(INDEX($A2627:$AB2627,MATCH("Xero Invoice Date",$A$1:$AB$1,0)),"")</f>
        <v/>
      </c>
      <c r="AF2627" s="54">
        <f>IF(AND(IFERROR(INDEX($A2627:$AB2627,MATCH("Xero Invoice No",$A$1:$AB$1,0)),"")&amp;""&lt;&gt;"",ISNUMBER(AE2627),AD2627&lt;&gt;0),1,0)</f>
        <v/>
      </c>
      <c r="AG2627" s="55">
        <f>IF(AF2627=1,EOMONTH(AE2627,0),"")</f>
        <v/>
      </c>
      <c r="AH2627" s="9">
        <f>IF(AF2627=1,UPPER(TRIM(IFERROR(INDEX($A2627:$AB2627,MATCH("Client",$A$1:$AB$1,0)),"")&amp;"")),"")</f>
        <v/>
      </c>
      <c r="AI2627" s="9">
        <f>IF(AF2627=1,IFERROR(INDEX($A2627:$AB2627,MATCH("Cost Centre",$A$1:$AB$1,0)),"")&amp;"","")</f>
        <v/>
      </c>
      <c r="AJ2627" s="54">
        <f>IF(AND(AF2627=1,AE2627&gt;=set_FYStart,AE2627&lt;=set_AsAt),1,0)</f>
        <v/>
      </c>
      <c r="AK2627" s="54">
        <f>IF(AND(AJ2627=1,AH2627&lt;&gt;"",COUNTIFS($AH$2:AH2627,AH2627,$AJ$2:AJ2627,1)=1),N(AL2626)+1,"")</f>
        <v/>
      </c>
      <c r="AL2627" s="54">
        <f>IF(AK2627&lt;&gt;"",AK2627,N(AL2626))</f>
        <v/>
      </c>
    </row>
    <row r="2628">
      <c r="A2628" t="inlineStr">
        <is>
          <t>PRD-0876</t>
        </is>
      </c>
      <c r="B2628" t="inlineStr">
        <is>
          <t>Production</t>
        </is>
      </c>
      <c r="AB2628" t="n">
        <v>876</v>
      </c>
      <c r="AD2628" s="52">
        <f>IFERROR(N(IFERROR(INDEX($A2628:$AB2628,MATCH("Xero Invoiced Ex GST",$A$1:$AB$1,0)),"")),0)</f>
        <v/>
      </c>
      <c r="AE2628" s="53">
        <f>IFERROR(INDEX($A2628:$AB2628,MATCH("Xero Invoice Date",$A$1:$AB$1,0)),"")</f>
        <v/>
      </c>
      <c r="AF2628" s="54">
        <f>IF(AND(IFERROR(INDEX($A2628:$AB2628,MATCH("Xero Invoice No",$A$1:$AB$1,0)),"")&amp;""&lt;&gt;"",ISNUMBER(AE2628),AD2628&lt;&gt;0),1,0)</f>
        <v/>
      </c>
      <c r="AG2628" s="55">
        <f>IF(AF2628=1,EOMONTH(AE2628,0),"")</f>
        <v/>
      </c>
      <c r="AH2628" s="9">
        <f>IF(AF2628=1,UPPER(TRIM(IFERROR(INDEX($A2628:$AB2628,MATCH("Client",$A$1:$AB$1,0)),"")&amp;"")),"")</f>
        <v/>
      </c>
      <c r="AI2628" s="9">
        <f>IF(AF2628=1,IFERROR(INDEX($A2628:$AB2628,MATCH("Cost Centre",$A$1:$AB$1,0)),"")&amp;"","")</f>
        <v/>
      </c>
      <c r="AJ2628" s="54">
        <f>IF(AND(AF2628=1,AE2628&gt;=set_FYStart,AE2628&lt;=set_AsAt),1,0)</f>
        <v/>
      </c>
      <c r="AK2628" s="54">
        <f>IF(AND(AJ2628=1,AH2628&lt;&gt;"",COUNTIFS($AH$2:AH2628,AH2628,$AJ$2:AJ2628,1)=1),N(AL2627)+1,"")</f>
        <v/>
      </c>
      <c r="AL2628" s="54">
        <f>IF(AK2628&lt;&gt;"",AK2628,N(AL2627))</f>
        <v/>
      </c>
    </row>
    <row r="2629">
      <c r="A2629" t="inlineStr">
        <is>
          <t>CON-0876</t>
        </is>
      </c>
      <c r="B2629" t="inlineStr">
        <is>
          <t>Consulting</t>
        </is>
      </c>
      <c r="AB2629" t="n">
        <v>876</v>
      </c>
      <c r="AD2629" s="52">
        <f>IFERROR(N(IFERROR(INDEX($A2629:$AB2629,MATCH("Xero Invoiced Ex GST",$A$1:$AB$1,0)),"")),0)</f>
        <v/>
      </c>
      <c r="AE2629" s="53">
        <f>IFERROR(INDEX($A2629:$AB2629,MATCH("Xero Invoice Date",$A$1:$AB$1,0)),"")</f>
        <v/>
      </c>
      <c r="AF2629" s="54">
        <f>IF(AND(IFERROR(INDEX($A2629:$AB2629,MATCH("Xero Invoice No",$A$1:$AB$1,0)),"")&amp;""&lt;&gt;"",ISNUMBER(AE2629),AD2629&lt;&gt;0),1,0)</f>
        <v/>
      </c>
      <c r="AG2629" s="55">
        <f>IF(AF2629=1,EOMONTH(AE2629,0),"")</f>
        <v/>
      </c>
      <c r="AH2629" s="9">
        <f>IF(AF2629=1,UPPER(TRIM(IFERROR(INDEX($A2629:$AB2629,MATCH("Client",$A$1:$AB$1,0)),"")&amp;"")),"")</f>
        <v/>
      </c>
      <c r="AI2629" s="9">
        <f>IF(AF2629=1,IFERROR(INDEX($A2629:$AB2629,MATCH("Cost Centre",$A$1:$AB$1,0)),"")&amp;"","")</f>
        <v/>
      </c>
      <c r="AJ2629" s="54">
        <f>IF(AND(AF2629=1,AE2629&gt;=set_FYStart,AE2629&lt;=set_AsAt),1,0)</f>
        <v/>
      </c>
      <c r="AK2629" s="54">
        <f>IF(AND(AJ2629=1,AH2629&lt;&gt;"",COUNTIFS($AH$2:AH2629,AH2629,$AJ$2:AJ2629,1)=1),N(AL2628)+1,"")</f>
        <v/>
      </c>
      <c r="AL2629" s="54">
        <f>IF(AK2629&lt;&gt;"",AK2629,N(AL2628))</f>
        <v/>
      </c>
    </row>
    <row r="2630">
      <c r="A2630" t="inlineStr">
        <is>
          <t>ONS-0877</t>
        </is>
      </c>
      <c r="B2630" t="inlineStr">
        <is>
          <t>Onsite</t>
        </is>
      </c>
      <c r="AB2630" t="n">
        <v>877</v>
      </c>
      <c r="AD2630" s="52">
        <f>IFERROR(N(IFERROR(INDEX($A2630:$AB2630,MATCH("Xero Invoiced Ex GST",$A$1:$AB$1,0)),"")),0)</f>
        <v/>
      </c>
      <c r="AE2630" s="53">
        <f>IFERROR(INDEX($A2630:$AB2630,MATCH("Xero Invoice Date",$A$1:$AB$1,0)),"")</f>
        <v/>
      </c>
      <c r="AF2630" s="54">
        <f>IF(AND(IFERROR(INDEX($A2630:$AB2630,MATCH("Xero Invoice No",$A$1:$AB$1,0)),"")&amp;""&lt;&gt;"",ISNUMBER(AE2630),AD2630&lt;&gt;0),1,0)</f>
        <v/>
      </c>
      <c r="AG2630" s="55">
        <f>IF(AF2630=1,EOMONTH(AE2630,0),"")</f>
        <v/>
      </c>
      <c r="AH2630" s="9">
        <f>IF(AF2630=1,UPPER(TRIM(IFERROR(INDEX($A2630:$AB2630,MATCH("Client",$A$1:$AB$1,0)),"")&amp;"")),"")</f>
        <v/>
      </c>
      <c r="AI2630" s="9">
        <f>IF(AF2630=1,IFERROR(INDEX($A2630:$AB2630,MATCH("Cost Centre",$A$1:$AB$1,0)),"")&amp;"","")</f>
        <v/>
      </c>
      <c r="AJ2630" s="54">
        <f>IF(AND(AF2630=1,AE2630&gt;=set_FYStart,AE2630&lt;=set_AsAt),1,0)</f>
        <v/>
      </c>
      <c r="AK2630" s="54">
        <f>IF(AND(AJ2630=1,AH2630&lt;&gt;"",COUNTIFS($AH$2:AH2630,AH2630,$AJ$2:AJ2630,1)=1),N(AL2629)+1,"")</f>
        <v/>
      </c>
      <c r="AL2630" s="54">
        <f>IF(AK2630&lt;&gt;"",AK2630,N(AL2629))</f>
        <v/>
      </c>
    </row>
    <row r="2631">
      <c r="A2631" t="inlineStr">
        <is>
          <t>PRD-0877</t>
        </is>
      </c>
      <c r="B2631" t="inlineStr">
        <is>
          <t>Production</t>
        </is>
      </c>
      <c r="AB2631" t="n">
        <v>877</v>
      </c>
      <c r="AD2631" s="52">
        <f>IFERROR(N(IFERROR(INDEX($A2631:$AB2631,MATCH("Xero Invoiced Ex GST",$A$1:$AB$1,0)),"")),0)</f>
        <v/>
      </c>
      <c r="AE2631" s="53">
        <f>IFERROR(INDEX($A2631:$AB2631,MATCH("Xero Invoice Date",$A$1:$AB$1,0)),"")</f>
        <v/>
      </c>
      <c r="AF2631" s="54">
        <f>IF(AND(IFERROR(INDEX($A2631:$AB2631,MATCH("Xero Invoice No",$A$1:$AB$1,0)),"")&amp;""&lt;&gt;"",ISNUMBER(AE2631),AD2631&lt;&gt;0),1,0)</f>
        <v/>
      </c>
      <c r="AG2631" s="55">
        <f>IF(AF2631=1,EOMONTH(AE2631,0),"")</f>
        <v/>
      </c>
      <c r="AH2631" s="9">
        <f>IF(AF2631=1,UPPER(TRIM(IFERROR(INDEX($A2631:$AB2631,MATCH("Client",$A$1:$AB$1,0)),"")&amp;"")),"")</f>
        <v/>
      </c>
      <c r="AI2631" s="9">
        <f>IF(AF2631=1,IFERROR(INDEX($A2631:$AB2631,MATCH("Cost Centre",$A$1:$AB$1,0)),"")&amp;"","")</f>
        <v/>
      </c>
      <c r="AJ2631" s="54">
        <f>IF(AND(AF2631=1,AE2631&gt;=set_FYStart,AE2631&lt;=set_AsAt),1,0)</f>
        <v/>
      </c>
      <c r="AK2631" s="54">
        <f>IF(AND(AJ2631=1,AH2631&lt;&gt;"",COUNTIFS($AH$2:AH2631,AH2631,$AJ$2:AJ2631,1)=1),N(AL2630)+1,"")</f>
        <v/>
      </c>
      <c r="AL2631" s="54">
        <f>IF(AK2631&lt;&gt;"",AK2631,N(AL2630))</f>
        <v/>
      </c>
    </row>
    <row r="2632">
      <c r="A2632" t="inlineStr">
        <is>
          <t>CON-0877</t>
        </is>
      </c>
      <c r="B2632" t="inlineStr">
        <is>
          <t>Consulting</t>
        </is>
      </c>
      <c r="AB2632" t="n">
        <v>877</v>
      </c>
      <c r="AD2632" s="52">
        <f>IFERROR(N(IFERROR(INDEX($A2632:$AB2632,MATCH("Xero Invoiced Ex GST",$A$1:$AB$1,0)),"")),0)</f>
        <v/>
      </c>
      <c r="AE2632" s="53">
        <f>IFERROR(INDEX($A2632:$AB2632,MATCH("Xero Invoice Date",$A$1:$AB$1,0)),"")</f>
        <v/>
      </c>
      <c r="AF2632" s="54">
        <f>IF(AND(IFERROR(INDEX($A2632:$AB2632,MATCH("Xero Invoice No",$A$1:$AB$1,0)),"")&amp;""&lt;&gt;"",ISNUMBER(AE2632),AD2632&lt;&gt;0),1,0)</f>
        <v/>
      </c>
      <c r="AG2632" s="55">
        <f>IF(AF2632=1,EOMONTH(AE2632,0),"")</f>
        <v/>
      </c>
      <c r="AH2632" s="9">
        <f>IF(AF2632=1,UPPER(TRIM(IFERROR(INDEX($A2632:$AB2632,MATCH("Client",$A$1:$AB$1,0)),"")&amp;"")),"")</f>
        <v/>
      </c>
      <c r="AI2632" s="9">
        <f>IF(AF2632=1,IFERROR(INDEX($A2632:$AB2632,MATCH("Cost Centre",$A$1:$AB$1,0)),"")&amp;"","")</f>
        <v/>
      </c>
      <c r="AJ2632" s="54">
        <f>IF(AND(AF2632=1,AE2632&gt;=set_FYStart,AE2632&lt;=set_AsAt),1,0)</f>
        <v/>
      </c>
      <c r="AK2632" s="54">
        <f>IF(AND(AJ2632=1,AH2632&lt;&gt;"",COUNTIFS($AH$2:AH2632,AH2632,$AJ$2:AJ2632,1)=1),N(AL2631)+1,"")</f>
        <v/>
      </c>
      <c r="AL2632" s="54">
        <f>IF(AK2632&lt;&gt;"",AK2632,N(AL2631))</f>
        <v/>
      </c>
    </row>
    <row r="2633">
      <c r="A2633" t="inlineStr">
        <is>
          <t>ONS-0878</t>
        </is>
      </c>
      <c r="B2633" t="inlineStr">
        <is>
          <t>Onsite</t>
        </is>
      </c>
      <c r="AB2633" t="n">
        <v>878</v>
      </c>
      <c r="AD2633" s="52">
        <f>IFERROR(N(IFERROR(INDEX($A2633:$AB2633,MATCH("Xero Invoiced Ex GST",$A$1:$AB$1,0)),"")),0)</f>
        <v/>
      </c>
      <c r="AE2633" s="53">
        <f>IFERROR(INDEX($A2633:$AB2633,MATCH("Xero Invoice Date",$A$1:$AB$1,0)),"")</f>
        <v/>
      </c>
      <c r="AF2633" s="54">
        <f>IF(AND(IFERROR(INDEX($A2633:$AB2633,MATCH("Xero Invoice No",$A$1:$AB$1,0)),"")&amp;""&lt;&gt;"",ISNUMBER(AE2633),AD2633&lt;&gt;0),1,0)</f>
        <v/>
      </c>
      <c r="AG2633" s="55">
        <f>IF(AF2633=1,EOMONTH(AE2633,0),"")</f>
        <v/>
      </c>
      <c r="AH2633" s="9">
        <f>IF(AF2633=1,UPPER(TRIM(IFERROR(INDEX($A2633:$AB2633,MATCH("Client",$A$1:$AB$1,0)),"")&amp;"")),"")</f>
        <v/>
      </c>
      <c r="AI2633" s="9">
        <f>IF(AF2633=1,IFERROR(INDEX($A2633:$AB2633,MATCH("Cost Centre",$A$1:$AB$1,0)),"")&amp;"","")</f>
        <v/>
      </c>
      <c r="AJ2633" s="54">
        <f>IF(AND(AF2633=1,AE2633&gt;=set_FYStart,AE2633&lt;=set_AsAt),1,0)</f>
        <v/>
      </c>
      <c r="AK2633" s="54">
        <f>IF(AND(AJ2633=1,AH2633&lt;&gt;"",COUNTIFS($AH$2:AH2633,AH2633,$AJ$2:AJ2633,1)=1),N(AL2632)+1,"")</f>
        <v/>
      </c>
      <c r="AL2633" s="54">
        <f>IF(AK2633&lt;&gt;"",AK2633,N(AL2632))</f>
        <v/>
      </c>
    </row>
    <row r="2634">
      <c r="A2634" t="inlineStr">
        <is>
          <t>PRD-0878</t>
        </is>
      </c>
      <c r="B2634" t="inlineStr">
        <is>
          <t>Production</t>
        </is>
      </c>
      <c r="AB2634" t="n">
        <v>878</v>
      </c>
      <c r="AD2634" s="52">
        <f>IFERROR(N(IFERROR(INDEX($A2634:$AB2634,MATCH("Xero Invoiced Ex GST",$A$1:$AB$1,0)),"")),0)</f>
        <v/>
      </c>
      <c r="AE2634" s="53">
        <f>IFERROR(INDEX($A2634:$AB2634,MATCH("Xero Invoice Date",$A$1:$AB$1,0)),"")</f>
        <v/>
      </c>
      <c r="AF2634" s="54">
        <f>IF(AND(IFERROR(INDEX($A2634:$AB2634,MATCH("Xero Invoice No",$A$1:$AB$1,0)),"")&amp;""&lt;&gt;"",ISNUMBER(AE2634),AD2634&lt;&gt;0),1,0)</f>
        <v/>
      </c>
      <c r="AG2634" s="55">
        <f>IF(AF2634=1,EOMONTH(AE2634,0),"")</f>
        <v/>
      </c>
      <c r="AH2634" s="9">
        <f>IF(AF2634=1,UPPER(TRIM(IFERROR(INDEX($A2634:$AB2634,MATCH("Client",$A$1:$AB$1,0)),"")&amp;"")),"")</f>
        <v/>
      </c>
      <c r="AI2634" s="9">
        <f>IF(AF2634=1,IFERROR(INDEX($A2634:$AB2634,MATCH("Cost Centre",$A$1:$AB$1,0)),"")&amp;"","")</f>
        <v/>
      </c>
      <c r="AJ2634" s="54">
        <f>IF(AND(AF2634=1,AE2634&gt;=set_FYStart,AE2634&lt;=set_AsAt),1,0)</f>
        <v/>
      </c>
      <c r="AK2634" s="54">
        <f>IF(AND(AJ2634=1,AH2634&lt;&gt;"",COUNTIFS($AH$2:AH2634,AH2634,$AJ$2:AJ2634,1)=1),N(AL2633)+1,"")</f>
        <v/>
      </c>
      <c r="AL2634" s="54">
        <f>IF(AK2634&lt;&gt;"",AK2634,N(AL2633))</f>
        <v/>
      </c>
    </row>
    <row r="2635">
      <c r="A2635" t="inlineStr">
        <is>
          <t>CON-0878</t>
        </is>
      </c>
      <c r="B2635" t="inlineStr">
        <is>
          <t>Consulting</t>
        </is>
      </c>
      <c r="AB2635" t="n">
        <v>878</v>
      </c>
      <c r="AD2635" s="52">
        <f>IFERROR(N(IFERROR(INDEX($A2635:$AB2635,MATCH("Xero Invoiced Ex GST",$A$1:$AB$1,0)),"")),0)</f>
        <v/>
      </c>
      <c r="AE2635" s="53">
        <f>IFERROR(INDEX($A2635:$AB2635,MATCH("Xero Invoice Date",$A$1:$AB$1,0)),"")</f>
        <v/>
      </c>
      <c r="AF2635" s="54">
        <f>IF(AND(IFERROR(INDEX($A2635:$AB2635,MATCH("Xero Invoice No",$A$1:$AB$1,0)),"")&amp;""&lt;&gt;"",ISNUMBER(AE2635),AD2635&lt;&gt;0),1,0)</f>
        <v/>
      </c>
      <c r="AG2635" s="55">
        <f>IF(AF2635=1,EOMONTH(AE2635,0),"")</f>
        <v/>
      </c>
      <c r="AH2635" s="9">
        <f>IF(AF2635=1,UPPER(TRIM(IFERROR(INDEX($A2635:$AB2635,MATCH("Client",$A$1:$AB$1,0)),"")&amp;"")),"")</f>
        <v/>
      </c>
      <c r="AI2635" s="9">
        <f>IF(AF2635=1,IFERROR(INDEX($A2635:$AB2635,MATCH("Cost Centre",$A$1:$AB$1,0)),"")&amp;"","")</f>
        <v/>
      </c>
      <c r="AJ2635" s="54">
        <f>IF(AND(AF2635=1,AE2635&gt;=set_FYStart,AE2635&lt;=set_AsAt),1,0)</f>
        <v/>
      </c>
      <c r="AK2635" s="54">
        <f>IF(AND(AJ2635=1,AH2635&lt;&gt;"",COUNTIFS($AH$2:AH2635,AH2635,$AJ$2:AJ2635,1)=1),N(AL2634)+1,"")</f>
        <v/>
      </c>
      <c r="AL2635" s="54">
        <f>IF(AK2635&lt;&gt;"",AK2635,N(AL2634))</f>
        <v/>
      </c>
    </row>
    <row r="2636">
      <c r="A2636" t="inlineStr">
        <is>
          <t>ONS-0879</t>
        </is>
      </c>
      <c r="B2636" t="inlineStr">
        <is>
          <t>Onsite</t>
        </is>
      </c>
      <c r="AB2636" t="n">
        <v>879</v>
      </c>
      <c r="AD2636" s="52">
        <f>IFERROR(N(IFERROR(INDEX($A2636:$AB2636,MATCH("Xero Invoiced Ex GST",$A$1:$AB$1,0)),"")),0)</f>
        <v/>
      </c>
      <c r="AE2636" s="53">
        <f>IFERROR(INDEX($A2636:$AB2636,MATCH("Xero Invoice Date",$A$1:$AB$1,0)),"")</f>
        <v/>
      </c>
      <c r="AF2636" s="54">
        <f>IF(AND(IFERROR(INDEX($A2636:$AB2636,MATCH("Xero Invoice No",$A$1:$AB$1,0)),"")&amp;""&lt;&gt;"",ISNUMBER(AE2636),AD2636&lt;&gt;0),1,0)</f>
        <v/>
      </c>
      <c r="AG2636" s="55">
        <f>IF(AF2636=1,EOMONTH(AE2636,0),"")</f>
        <v/>
      </c>
      <c r="AH2636" s="9">
        <f>IF(AF2636=1,UPPER(TRIM(IFERROR(INDEX($A2636:$AB2636,MATCH("Client",$A$1:$AB$1,0)),"")&amp;"")),"")</f>
        <v/>
      </c>
      <c r="AI2636" s="9">
        <f>IF(AF2636=1,IFERROR(INDEX($A2636:$AB2636,MATCH("Cost Centre",$A$1:$AB$1,0)),"")&amp;"","")</f>
        <v/>
      </c>
      <c r="AJ2636" s="54">
        <f>IF(AND(AF2636=1,AE2636&gt;=set_FYStart,AE2636&lt;=set_AsAt),1,0)</f>
        <v/>
      </c>
      <c r="AK2636" s="54">
        <f>IF(AND(AJ2636=1,AH2636&lt;&gt;"",COUNTIFS($AH$2:AH2636,AH2636,$AJ$2:AJ2636,1)=1),N(AL2635)+1,"")</f>
        <v/>
      </c>
      <c r="AL2636" s="54">
        <f>IF(AK2636&lt;&gt;"",AK2636,N(AL2635))</f>
        <v/>
      </c>
    </row>
    <row r="2637">
      <c r="A2637" t="inlineStr">
        <is>
          <t>PRD-0879</t>
        </is>
      </c>
      <c r="B2637" t="inlineStr">
        <is>
          <t>Production</t>
        </is>
      </c>
      <c r="AB2637" t="n">
        <v>879</v>
      </c>
      <c r="AD2637" s="52">
        <f>IFERROR(N(IFERROR(INDEX($A2637:$AB2637,MATCH("Xero Invoiced Ex GST",$A$1:$AB$1,0)),"")),0)</f>
        <v/>
      </c>
      <c r="AE2637" s="53">
        <f>IFERROR(INDEX($A2637:$AB2637,MATCH("Xero Invoice Date",$A$1:$AB$1,0)),"")</f>
        <v/>
      </c>
      <c r="AF2637" s="54">
        <f>IF(AND(IFERROR(INDEX($A2637:$AB2637,MATCH("Xero Invoice No",$A$1:$AB$1,0)),"")&amp;""&lt;&gt;"",ISNUMBER(AE2637),AD2637&lt;&gt;0),1,0)</f>
        <v/>
      </c>
      <c r="AG2637" s="55">
        <f>IF(AF2637=1,EOMONTH(AE2637,0),"")</f>
        <v/>
      </c>
      <c r="AH2637" s="9">
        <f>IF(AF2637=1,UPPER(TRIM(IFERROR(INDEX($A2637:$AB2637,MATCH("Client",$A$1:$AB$1,0)),"")&amp;"")),"")</f>
        <v/>
      </c>
      <c r="AI2637" s="9">
        <f>IF(AF2637=1,IFERROR(INDEX($A2637:$AB2637,MATCH("Cost Centre",$A$1:$AB$1,0)),"")&amp;"","")</f>
        <v/>
      </c>
      <c r="AJ2637" s="54">
        <f>IF(AND(AF2637=1,AE2637&gt;=set_FYStart,AE2637&lt;=set_AsAt),1,0)</f>
        <v/>
      </c>
      <c r="AK2637" s="54">
        <f>IF(AND(AJ2637=1,AH2637&lt;&gt;"",COUNTIFS($AH$2:AH2637,AH2637,$AJ$2:AJ2637,1)=1),N(AL2636)+1,"")</f>
        <v/>
      </c>
      <c r="AL2637" s="54">
        <f>IF(AK2637&lt;&gt;"",AK2637,N(AL2636))</f>
        <v/>
      </c>
    </row>
    <row r="2638">
      <c r="A2638" t="inlineStr">
        <is>
          <t>CON-0879</t>
        </is>
      </c>
      <c r="B2638" t="inlineStr">
        <is>
          <t>Consulting</t>
        </is>
      </c>
      <c r="AB2638" t="n">
        <v>879</v>
      </c>
      <c r="AD2638" s="52">
        <f>IFERROR(N(IFERROR(INDEX($A2638:$AB2638,MATCH("Xero Invoiced Ex GST",$A$1:$AB$1,0)),"")),0)</f>
        <v/>
      </c>
      <c r="AE2638" s="53">
        <f>IFERROR(INDEX($A2638:$AB2638,MATCH("Xero Invoice Date",$A$1:$AB$1,0)),"")</f>
        <v/>
      </c>
      <c r="AF2638" s="54">
        <f>IF(AND(IFERROR(INDEX($A2638:$AB2638,MATCH("Xero Invoice No",$A$1:$AB$1,0)),"")&amp;""&lt;&gt;"",ISNUMBER(AE2638),AD2638&lt;&gt;0),1,0)</f>
        <v/>
      </c>
      <c r="AG2638" s="55">
        <f>IF(AF2638=1,EOMONTH(AE2638,0),"")</f>
        <v/>
      </c>
      <c r="AH2638" s="9">
        <f>IF(AF2638=1,UPPER(TRIM(IFERROR(INDEX($A2638:$AB2638,MATCH("Client",$A$1:$AB$1,0)),"")&amp;"")),"")</f>
        <v/>
      </c>
      <c r="AI2638" s="9">
        <f>IF(AF2638=1,IFERROR(INDEX($A2638:$AB2638,MATCH("Cost Centre",$A$1:$AB$1,0)),"")&amp;"","")</f>
        <v/>
      </c>
      <c r="AJ2638" s="54">
        <f>IF(AND(AF2638=1,AE2638&gt;=set_FYStart,AE2638&lt;=set_AsAt),1,0)</f>
        <v/>
      </c>
      <c r="AK2638" s="54">
        <f>IF(AND(AJ2638=1,AH2638&lt;&gt;"",COUNTIFS($AH$2:AH2638,AH2638,$AJ$2:AJ2638,1)=1),N(AL2637)+1,"")</f>
        <v/>
      </c>
      <c r="AL2638" s="54">
        <f>IF(AK2638&lt;&gt;"",AK2638,N(AL2637))</f>
        <v/>
      </c>
    </row>
    <row r="2639">
      <c r="A2639" t="inlineStr">
        <is>
          <t>ONS-0880</t>
        </is>
      </c>
      <c r="B2639" t="inlineStr">
        <is>
          <t>Onsite</t>
        </is>
      </c>
      <c r="AB2639" t="n">
        <v>880</v>
      </c>
      <c r="AD2639" s="52">
        <f>IFERROR(N(IFERROR(INDEX($A2639:$AB2639,MATCH("Xero Invoiced Ex GST",$A$1:$AB$1,0)),"")),0)</f>
        <v/>
      </c>
      <c r="AE2639" s="53">
        <f>IFERROR(INDEX($A2639:$AB2639,MATCH("Xero Invoice Date",$A$1:$AB$1,0)),"")</f>
        <v/>
      </c>
      <c r="AF2639" s="54">
        <f>IF(AND(IFERROR(INDEX($A2639:$AB2639,MATCH("Xero Invoice No",$A$1:$AB$1,0)),"")&amp;""&lt;&gt;"",ISNUMBER(AE2639),AD2639&lt;&gt;0),1,0)</f>
        <v/>
      </c>
      <c r="AG2639" s="55">
        <f>IF(AF2639=1,EOMONTH(AE2639,0),"")</f>
        <v/>
      </c>
      <c r="AH2639" s="9">
        <f>IF(AF2639=1,UPPER(TRIM(IFERROR(INDEX($A2639:$AB2639,MATCH("Client",$A$1:$AB$1,0)),"")&amp;"")),"")</f>
        <v/>
      </c>
      <c r="AI2639" s="9">
        <f>IF(AF2639=1,IFERROR(INDEX($A2639:$AB2639,MATCH("Cost Centre",$A$1:$AB$1,0)),"")&amp;"","")</f>
        <v/>
      </c>
      <c r="AJ2639" s="54">
        <f>IF(AND(AF2639=1,AE2639&gt;=set_FYStart,AE2639&lt;=set_AsAt),1,0)</f>
        <v/>
      </c>
      <c r="AK2639" s="54">
        <f>IF(AND(AJ2639=1,AH2639&lt;&gt;"",COUNTIFS($AH$2:AH2639,AH2639,$AJ$2:AJ2639,1)=1),N(AL2638)+1,"")</f>
        <v/>
      </c>
      <c r="AL2639" s="54">
        <f>IF(AK2639&lt;&gt;"",AK2639,N(AL2638))</f>
        <v/>
      </c>
    </row>
    <row r="2640">
      <c r="A2640" t="inlineStr">
        <is>
          <t>PRD-0880</t>
        </is>
      </c>
      <c r="B2640" t="inlineStr">
        <is>
          <t>Production</t>
        </is>
      </c>
      <c r="AB2640" t="n">
        <v>880</v>
      </c>
      <c r="AD2640" s="52">
        <f>IFERROR(N(IFERROR(INDEX($A2640:$AB2640,MATCH("Xero Invoiced Ex GST",$A$1:$AB$1,0)),"")),0)</f>
        <v/>
      </c>
      <c r="AE2640" s="53">
        <f>IFERROR(INDEX($A2640:$AB2640,MATCH("Xero Invoice Date",$A$1:$AB$1,0)),"")</f>
        <v/>
      </c>
      <c r="AF2640" s="54">
        <f>IF(AND(IFERROR(INDEX($A2640:$AB2640,MATCH("Xero Invoice No",$A$1:$AB$1,0)),"")&amp;""&lt;&gt;"",ISNUMBER(AE2640),AD2640&lt;&gt;0),1,0)</f>
        <v/>
      </c>
      <c r="AG2640" s="55">
        <f>IF(AF2640=1,EOMONTH(AE2640,0),"")</f>
        <v/>
      </c>
      <c r="AH2640" s="9">
        <f>IF(AF2640=1,UPPER(TRIM(IFERROR(INDEX($A2640:$AB2640,MATCH("Client",$A$1:$AB$1,0)),"")&amp;"")),"")</f>
        <v/>
      </c>
      <c r="AI2640" s="9">
        <f>IF(AF2640=1,IFERROR(INDEX($A2640:$AB2640,MATCH("Cost Centre",$A$1:$AB$1,0)),"")&amp;"","")</f>
        <v/>
      </c>
      <c r="AJ2640" s="54">
        <f>IF(AND(AF2640=1,AE2640&gt;=set_FYStart,AE2640&lt;=set_AsAt),1,0)</f>
        <v/>
      </c>
      <c r="AK2640" s="54">
        <f>IF(AND(AJ2640=1,AH2640&lt;&gt;"",COUNTIFS($AH$2:AH2640,AH2640,$AJ$2:AJ2640,1)=1),N(AL2639)+1,"")</f>
        <v/>
      </c>
      <c r="AL2640" s="54">
        <f>IF(AK2640&lt;&gt;"",AK2640,N(AL2639))</f>
        <v/>
      </c>
    </row>
    <row r="2641">
      <c r="A2641" t="inlineStr">
        <is>
          <t>CON-0880</t>
        </is>
      </c>
      <c r="B2641" t="inlineStr">
        <is>
          <t>Consulting</t>
        </is>
      </c>
      <c r="AB2641" t="n">
        <v>880</v>
      </c>
      <c r="AD2641" s="52">
        <f>IFERROR(N(IFERROR(INDEX($A2641:$AB2641,MATCH("Xero Invoiced Ex GST",$A$1:$AB$1,0)),"")),0)</f>
        <v/>
      </c>
      <c r="AE2641" s="53">
        <f>IFERROR(INDEX($A2641:$AB2641,MATCH("Xero Invoice Date",$A$1:$AB$1,0)),"")</f>
        <v/>
      </c>
      <c r="AF2641" s="54">
        <f>IF(AND(IFERROR(INDEX($A2641:$AB2641,MATCH("Xero Invoice No",$A$1:$AB$1,0)),"")&amp;""&lt;&gt;"",ISNUMBER(AE2641),AD2641&lt;&gt;0),1,0)</f>
        <v/>
      </c>
      <c r="AG2641" s="55">
        <f>IF(AF2641=1,EOMONTH(AE2641,0),"")</f>
        <v/>
      </c>
      <c r="AH2641" s="9">
        <f>IF(AF2641=1,UPPER(TRIM(IFERROR(INDEX($A2641:$AB2641,MATCH("Client",$A$1:$AB$1,0)),"")&amp;"")),"")</f>
        <v/>
      </c>
      <c r="AI2641" s="9">
        <f>IF(AF2641=1,IFERROR(INDEX($A2641:$AB2641,MATCH("Cost Centre",$A$1:$AB$1,0)),"")&amp;"","")</f>
        <v/>
      </c>
      <c r="AJ2641" s="54">
        <f>IF(AND(AF2641=1,AE2641&gt;=set_FYStart,AE2641&lt;=set_AsAt),1,0)</f>
        <v/>
      </c>
      <c r="AK2641" s="54">
        <f>IF(AND(AJ2641=1,AH2641&lt;&gt;"",COUNTIFS($AH$2:AH2641,AH2641,$AJ$2:AJ2641,1)=1),N(AL2640)+1,"")</f>
        <v/>
      </c>
      <c r="AL2641" s="54">
        <f>IF(AK2641&lt;&gt;"",AK2641,N(AL2640))</f>
        <v/>
      </c>
    </row>
    <row r="2642">
      <c r="A2642" t="inlineStr">
        <is>
          <t>ONS-0881</t>
        </is>
      </c>
      <c r="B2642" t="inlineStr">
        <is>
          <t>Onsite</t>
        </is>
      </c>
      <c r="AB2642" t="n">
        <v>881</v>
      </c>
      <c r="AD2642" s="52">
        <f>IFERROR(N(IFERROR(INDEX($A2642:$AB2642,MATCH("Xero Invoiced Ex GST",$A$1:$AB$1,0)),"")),0)</f>
        <v/>
      </c>
      <c r="AE2642" s="53">
        <f>IFERROR(INDEX($A2642:$AB2642,MATCH("Xero Invoice Date",$A$1:$AB$1,0)),"")</f>
        <v/>
      </c>
      <c r="AF2642" s="54">
        <f>IF(AND(IFERROR(INDEX($A2642:$AB2642,MATCH("Xero Invoice No",$A$1:$AB$1,0)),"")&amp;""&lt;&gt;"",ISNUMBER(AE2642),AD2642&lt;&gt;0),1,0)</f>
        <v/>
      </c>
      <c r="AG2642" s="55">
        <f>IF(AF2642=1,EOMONTH(AE2642,0),"")</f>
        <v/>
      </c>
      <c r="AH2642" s="9">
        <f>IF(AF2642=1,UPPER(TRIM(IFERROR(INDEX($A2642:$AB2642,MATCH("Client",$A$1:$AB$1,0)),"")&amp;"")),"")</f>
        <v/>
      </c>
      <c r="AI2642" s="9">
        <f>IF(AF2642=1,IFERROR(INDEX($A2642:$AB2642,MATCH("Cost Centre",$A$1:$AB$1,0)),"")&amp;"","")</f>
        <v/>
      </c>
      <c r="AJ2642" s="54">
        <f>IF(AND(AF2642=1,AE2642&gt;=set_FYStart,AE2642&lt;=set_AsAt),1,0)</f>
        <v/>
      </c>
      <c r="AK2642" s="54">
        <f>IF(AND(AJ2642=1,AH2642&lt;&gt;"",COUNTIFS($AH$2:AH2642,AH2642,$AJ$2:AJ2642,1)=1),N(AL2641)+1,"")</f>
        <v/>
      </c>
      <c r="AL2642" s="54">
        <f>IF(AK2642&lt;&gt;"",AK2642,N(AL2641))</f>
        <v/>
      </c>
    </row>
    <row r="2643">
      <c r="A2643" t="inlineStr">
        <is>
          <t>PRD-0881</t>
        </is>
      </c>
      <c r="B2643" t="inlineStr">
        <is>
          <t>Production</t>
        </is>
      </c>
      <c r="AB2643" t="n">
        <v>881</v>
      </c>
      <c r="AD2643" s="52">
        <f>IFERROR(N(IFERROR(INDEX($A2643:$AB2643,MATCH("Xero Invoiced Ex GST",$A$1:$AB$1,0)),"")),0)</f>
        <v/>
      </c>
      <c r="AE2643" s="53">
        <f>IFERROR(INDEX($A2643:$AB2643,MATCH("Xero Invoice Date",$A$1:$AB$1,0)),"")</f>
        <v/>
      </c>
      <c r="AF2643" s="54">
        <f>IF(AND(IFERROR(INDEX($A2643:$AB2643,MATCH("Xero Invoice No",$A$1:$AB$1,0)),"")&amp;""&lt;&gt;"",ISNUMBER(AE2643),AD2643&lt;&gt;0),1,0)</f>
        <v/>
      </c>
      <c r="AG2643" s="55">
        <f>IF(AF2643=1,EOMONTH(AE2643,0),"")</f>
        <v/>
      </c>
      <c r="AH2643" s="9">
        <f>IF(AF2643=1,UPPER(TRIM(IFERROR(INDEX($A2643:$AB2643,MATCH("Client",$A$1:$AB$1,0)),"")&amp;"")),"")</f>
        <v/>
      </c>
      <c r="AI2643" s="9">
        <f>IF(AF2643=1,IFERROR(INDEX($A2643:$AB2643,MATCH("Cost Centre",$A$1:$AB$1,0)),"")&amp;"","")</f>
        <v/>
      </c>
      <c r="AJ2643" s="54">
        <f>IF(AND(AF2643=1,AE2643&gt;=set_FYStart,AE2643&lt;=set_AsAt),1,0)</f>
        <v/>
      </c>
      <c r="AK2643" s="54">
        <f>IF(AND(AJ2643=1,AH2643&lt;&gt;"",COUNTIFS($AH$2:AH2643,AH2643,$AJ$2:AJ2643,1)=1),N(AL2642)+1,"")</f>
        <v/>
      </c>
      <c r="AL2643" s="54">
        <f>IF(AK2643&lt;&gt;"",AK2643,N(AL2642))</f>
        <v/>
      </c>
    </row>
    <row r="2644">
      <c r="A2644" t="inlineStr">
        <is>
          <t>CON-0881</t>
        </is>
      </c>
      <c r="B2644" t="inlineStr">
        <is>
          <t>Consulting</t>
        </is>
      </c>
      <c r="AB2644" t="n">
        <v>881</v>
      </c>
      <c r="AD2644" s="52">
        <f>IFERROR(N(IFERROR(INDEX($A2644:$AB2644,MATCH("Xero Invoiced Ex GST",$A$1:$AB$1,0)),"")),0)</f>
        <v/>
      </c>
      <c r="AE2644" s="53">
        <f>IFERROR(INDEX($A2644:$AB2644,MATCH("Xero Invoice Date",$A$1:$AB$1,0)),"")</f>
        <v/>
      </c>
      <c r="AF2644" s="54">
        <f>IF(AND(IFERROR(INDEX($A2644:$AB2644,MATCH("Xero Invoice No",$A$1:$AB$1,0)),"")&amp;""&lt;&gt;"",ISNUMBER(AE2644),AD2644&lt;&gt;0),1,0)</f>
        <v/>
      </c>
      <c r="AG2644" s="55">
        <f>IF(AF2644=1,EOMONTH(AE2644,0),"")</f>
        <v/>
      </c>
      <c r="AH2644" s="9">
        <f>IF(AF2644=1,UPPER(TRIM(IFERROR(INDEX($A2644:$AB2644,MATCH("Client",$A$1:$AB$1,0)),"")&amp;"")),"")</f>
        <v/>
      </c>
      <c r="AI2644" s="9">
        <f>IF(AF2644=1,IFERROR(INDEX($A2644:$AB2644,MATCH("Cost Centre",$A$1:$AB$1,0)),"")&amp;"","")</f>
        <v/>
      </c>
      <c r="AJ2644" s="54">
        <f>IF(AND(AF2644=1,AE2644&gt;=set_FYStart,AE2644&lt;=set_AsAt),1,0)</f>
        <v/>
      </c>
      <c r="AK2644" s="54">
        <f>IF(AND(AJ2644=1,AH2644&lt;&gt;"",COUNTIFS($AH$2:AH2644,AH2644,$AJ$2:AJ2644,1)=1),N(AL2643)+1,"")</f>
        <v/>
      </c>
      <c r="AL2644" s="54">
        <f>IF(AK2644&lt;&gt;"",AK2644,N(AL2643))</f>
        <v/>
      </c>
    </row>
    <row r="2645">
      <c r="A2645" t="inlineStr">
        <is>
          <t>ONS-0882</t>
        </is>
      </c>
      <c r="B2645" t="inlineStr">
        <is>
          <t>Onsite</t>
        </is>
      </c>
      <c r="AB2645" t="n">
        <v>882</v>
      </c>
      <c r="AD2645" s="52">
        <f>IFERROR(N(IFERROR(INDEX($A2645:$AB2645,MATCH("Xero Invoiced Ex GST",$A$1:$AB$1,0)),"")),0)</f>
        <v/>
      </c>
      <c r="AE2645" s="53">
        <f>IFERROR(INDEX($A2645:$AB2645,MATCH("Xero Invoice Date",$A$1:$AB$1,0)),"")</f>
        <v/>
      </c>
      <c r="AF2645" s="54">
        <f>IF(AND(IFERROR(INDEX($A2645:$AB2645,MATCH("Xero Invoice No",$A$1:$AB$1,0)),"")&amp;""&lt;&gt;"",ISNUMBER(AE2645),AD2645&lt;&gt;0),1,0)</f>
        <v/>
      </c>
      <c r="AG2645" s="55">
        <f>IF(AF2645=1,EOMONTH(AE2645,0),"")</f>
        <v/>
      </c>
      <c r="AH2645" s="9">
        <f>IF(AF2645=1,UPPER(TRIM(IFERROR(INDEX($A2645:$AB2645,MATCH("Client",$A$1:$AB$1,0)),"")&amp;"")),"")</f>
        <v/>
      </c>
      <c r="AI2645" s="9">
        <f>IF(AF2645=1,IFERROR(INDEX($A2645:$AB2645,MATCH("Cost Centre",$A$1:$AB$1,0)),"")&amp;"","")</f>
        <v/>
      </c>
      <c r="AJ2645" s="54">
        <f>IF(AND(AF2645=1,AE2645&gt;=set_FYStart,AE2645&lt;=set_AsAt),1,0)</f>
        <v/>
      </c>
      <c r="AK2645" s="54">
        <f>IF(AND(AJ2645=1,AH2645&lt;&gt;"",COUNTIFS($AH$2:AH2645,AH2645,$AJ$2:AJ2645,1)=1),N(AL2644)+1,"")</f>
        <v/>
      </c>
      <c r="AL2645" s="54">
        <f>IF(AK2645&lt;&gt;"",AK2645,N(AL2644))</f>
        <v/>
      </c>
    </row>
    <row r="2646">
      <c r="A2646" t="inlineStr">
        <is>
          <t>PRD-0882</t>
        </is>
      </c>
      <c r="B2646" t="inlineStr">
        <is>
          <t>Production</t>
        </is>
      </c>
      <c r="AB2646" t="n">
        <v>882</v>
      </c>
      <c r="AD2646" s="52">
        <f>IFERROR(N(IFERROR(INDEX($A2646:$AB2646,MATCH("Xero Invoiced Ex GST",$A$1:$AB$1,0)),"")),0)</f>
        <v/>
      </c>
      <c r="AE2646" s="53">
        <f>IFERROR(INDEX($A2646:$AB2646,MATCH("Xero Invoice Date",$A$1:$AB$1,0)),"")</f>
        <v/>
      </c>
      <c r="AF2646" s="54">
        <f>IF(AND(IFERROR(INDEX($A2646:$AB2646,MATCH("Xero Invoice No",$A$1:$AB$1,0)),"")&amp;""&lt;&gt;"",ISNUMBER(AE2646),AD2646&lt;&gt;0),1,0)</f>
        <v/>
      </c>
      <c r="AG2646" s="55">
        <f>IF(AF2646=1,EOMONTH(AE2646,0),"")</f>
        <v/>
      </c>
      <c r="AH2646" s="9">
        <f>IF(AF2646=1,UPPER(TRIM(IFERROR(INDEX($A2646:$AB2646,MATCH("Client",$A$1:$AB$1,0)),"")&amp;"")),"")</f>
        <v/>
      </c>
      <c r="AI2646" s="9">
        <f>IF(AF2646=1,IFERROR(INDEX($A2646:$AB2646,MATCH("Cost Centre",$A$1:$AB$1,0)),"")&amp;"","")</f>
        <v/>
      </c>
      <c r="AJ2646" s="54">
        <f>IF(AND(AF2646=1,AE2646&gt;=set_FYStart,AE2646&lt;=set_AsAt),1,0)</f>
        <v/>
      </c>
      <c r="AK2646" s="54">
        <f>IF(AND(AJ2646=1,AH2646&lt;&gt;"",COUNTIFS($AH$2:AH2646,AH2646,$AJ$2:AJ2646,1)=1),N(AL2645)+1,"")</f>
        <v/>
      </c>
      <c r="AL2646" s="54">
        <f>IF(AK2646&lt;&gt;"",AK2646,N(AL2645))</f>
        <v/>
      </c>
    </row>
    <row r="2647">
      <c r="A2647" t="inlineStr">
        <is>
          <t>CON-0882</t>
        </is>
      </c>
      <c r="B2647" t="inlineStr">
        <is>
          <t>Consulting</t>
        </is>
      </c>
      <c r="AB2647" t="n">
        <v>882</v>
      </c>
      <c r="AD2647" s="52">
        <f>IFERROR(N(IFERROR(INDEX($A2647:$AB2647,MATCH("Xero Invoiced Ex GST",$A$1:$AB$1,0)),"")),0)</f>
        <v/>
      </c>
      <c r="AE2647" s="53">
        <f>IFERROR(INDEX($A2647:$AB2647,MATCH("Xero Invoice Date",$A$1:$AB$1,0)),"")</f>
        <v/>
      </c>
      <c r="AF2647" s="54">
        <f>IF(AND(IFERROR(INDEX($A2647:$AB2647,MATCH("Xero Invoice No",$A$1:$AB$1,0)),"")&amp;""&lt;&gt;"",ISNUMBER(AE2647),AD2647&lt;&gt;0),1,0)</f>
        <v/>
      </c>
      <c r="AG2647" s="55">
        <f>IF(AF2647=1,EOMONTH(AE2647,0),"")</f>
        <v/>
      </c>
      <c r="AH2647" s="9">
        <f>IF(AF2647=1,UPPER(TRIM(IFERROR(INDEX($A2647:$AB2647,MATCH("Client",$A$1:$AB$1,0)),"")&amp;"")),"")</f>
        <v/>
      </c>
      <c r="AI2647" s="9">
        <f>IF(AF2647=1,IFERROR(INDEX($A2647:$AB2647,MATCH("Cost Centre",$A$1:$AB$1,0)),"")&amp;"","")</f>
        <v/>
      </c>
      <c r="AJ2647" s="54">
        <f>IF(AND(AF2647=1,AE2647&gt;=set_FYStart,AE2647&lt;=set_AsAt),1,0)</f>
        <v/>
      </c>
      <c r="AK2647" s="54">
        <f>IF(AND(AJ2647=1,AH2647&lt;&gt;"",COUNTIFS($AH$2:AH2647,AH2647,$AJ$2:AJ2647,1)=1),N(AL2646)+1,"")</f>
        <v/>
      </c>
      <c r="AL2647" s="54">
        <f>IF(AK2647&lt;&gt;"",AK2647,N(AL2646))</f>
        <v/>
      </c>
    </row>
    <row r="2648">
      <c r="A2648" t="inlineStr">
        <is>
          <t>ONS-0883</t>
        </is>
      </c>
      <c r="B2648" t="inlineStr">
        <is>
          <t>Onsite</t>
        </is>
      </c>
      <c r="AB2648" t="n">
        <v>883</v>
      </c>
      <c r="AD2648" s="52">
        <f>IFERROR(N(IFERROR(INDEX($A2648:$AB2648,MATCH("Xero Invoiced Ex GST",$A$1:$AB$1,0)),"")),0)</f>
        <v/>
      </c>
      <c r="AE2648" s="53">
        <f>IFERROR(INDEX($A2648:$AB2648,MATCH("Xero Invoice Date",$A$1:$AB$1,0)),"")</f>
        <v/>
      </c>
      <c r="AF2648" s="54">
        <f>IF(AND(IFERROR(INDEX($A2648:$AB2648,MATCH("Xero Invoice No",$A$1:$AB$1,0)),"")&amp;""&lt;&gt;"",ISNUMBER(AE2648),AD2648&lt;&gt;0),1,0)</f>
        <v/>
      </c>
      <c r="AG2648" s="55">
        <f>IF(AF2648=1,EOMONTH(AE2648,0),"")</f>
        <v/>
      </c>
      <c r="AH2648" s="9">
        <f>IF(AF2648=1,UPPER(TRIM(IFERROR(INDEX($A2648:$AB2648,MATCH("Client",$A$1:$AB$1,0)),"")&amp;"")),"")</f>
        <v/>
      </c>
      <c r="AI2648" s="9">
        <f>IF(AF2648=1,IFERROR(INDEX($A2648:$AB2648,MATCH("Cost Centre",$A$1:$AB$1,0)),"")&amp;"","")</f>
        <v/>
      </c>
      <c r="AJ2648" s="54">
        <f>IF(AND(AF2648=1,AE2648&gt;=set_FYStart,AE2648&lt;=set_AsAt),1,0)</f>
        <v/>
      </c>
      <c r="AK2648" s="54">
        <f>IF(AND(AJ2648=1,AH2648&lt;&gt;"",COUNTIFS($AH$2:AH2648,AH2648,$AJ$2:AJ2648,1)=1),N(AL2647)+1,"")</f>
        <v/>
      </c>
      <c r="AL2648" s="54">
        <f>IF(AK2648&lt;&gt;"",AK2648,N(AL2647))</f>
        <v/>
      </c>
    </row>
    <row r="2649">
      <c r="A2649" t="inlineStr">
        <is>
          <t>PRD-0883</t>
        </is>
      </c>
      <c r="B2649" t="inlineStr">
        <is>
          <t>Production</t>
        </is>
      </c>
      <c r="AB2649" t="n">
        <v>883</v>
      </c>
      <c r="AD2649" s="52">
        <f>IFERROR(N(IFERROR(INDEX($A2649:$AB2649,MATCH("Xero Invoiced Ex GST",$A$1:$AB$1,0)),"")),0)</f>
        <v/>
      </c>
      <c r="AE2649" s="53">
        <f>IFERROR(INDEX($A2649:$AB2649,MATCH("Xero Invoice Date",$A$1:$AB$1,0)),"")</f>
        <v/>
      </c>
      <c r="AF2649" s="54">
        <f>IF(AND(IFERROR(INDEX($A2649:$AB2649,MATCH("Xero Invoice No",$A$1:$AB$1,0)),"")&amp;""&lt;&gt;"",ISNUMBER(AE2649),AD2649&lt;&gt;0),1,0)</f>
        <v/>
      </c>
      <c r="AG2649" s="55">
        <f>IF(AF2649=1,EOMONTH(AE2649,0),"")</f>
        <v/>
      </c>
      <c r="AH2649" s="9">
        <f>IF(AF2649=1,UPPER(TRIM(IFERROR(INDEX($A2649:$AB2649,MATCH("Client",$A$1:$AB$1,0)),"")&amp;"")),"")</f>
        <v/>
      </c>
      <c r="AI2649" s="9">
        <f>IF(AF2649=1,IFERROR(INDEX($A2649:$AB2649,MATCH("Cost Centre",$A$1:$AB$1,0)),"")&amp;"","")</f>
        <v/>
      </c>
      <c r="AJ2649" s="54">
        <f>IF(AND(AF2649=1,AE2649&gt;=set_FYStart,AE2649&lt;=set_AsAt),1,0)</f>
        <v/>
      </c>
      <c r="AK2649" s="54">
        <f>IF(AND(AJ2649=1,AH2649&lt;&gt;"",COUNTIFS($AH$2:AH2649,AH2649,$AJ$2:AJ2649,1)=1),N(AL2648)+1,"")</f>
        <v/>
      </c>
      <c r="AL2649" s="54">
        <f>IF(AK2649&lt;&gt;"",AK2649,N(AL2648))</f>
        <v/>
      </c>
    </row>
    <row r="2650">
      <c r="A2650" t="inlineStr">
        <is>
          <t>CON-0883</t>
        </is>
      </c>
      <c r="B2650" t="inlineStr">
        <is>
          <t>Consulting</t>
        </is>
      </c>
      <c r="AB2650" t="n">
        <v>883</v>
      </c>
      <c r="AD2650" s="52">
        <f>IFERROR(N(IFERROR(INDEX($A2650:$AB2650,MATCH("Xero Invoiced Ex GST",$A$1:$AB$1,0)),"")),0)</f>
        <v/>
      </c>
      <c r="AE2650" s="53">
        <f>IFERROR(INDEX($A2650:$AB2650,MATCH("Xero Invoice Date",$A$1:$AB$1,0)),"")</f>
        <v/>
      </c>
      <c r="AF2650" s="54">
        <f>IF(AND(IFERROR(INDEX($A2650:$AB2650,MATCH("Xero Invoice No",$A$1:$AB$1,0)),"")&amp;""&lt;&gt;"",ISNUMBER(AE2650),AD2650&lt;&gt;0),1,0)</f>
        <v/>
      </c>
      <c r="AG2650" s="55">
        <f>IF(AF2650=1,EOMONTH(AE2650,0),"")</f>
        <v/>
      </c>
      <c r="AH2650" s="9">
        <f>IF(AF2650=1,UPPER(TRIM(IFERROR(INDEX($A2650:$AB2650,MATCH("Client",$A$1:$AB$1,0)),"")&amp;"")),"")</f>
        <v/>
      </c>
      <c r="AI2650" s="9">
        <f>IF(AF2650=1,IFERROR(INDEX($A2650:$AB2650,MATCH("Cost Centre",$A$1:$AB$1,0)),"")&amp;"","")</f>
        <v/>
      </c>
      <c r="AJ2650" s="54">
        <f>IF(AND(AF2650=1,AE2650&gt;=set_FYStart,AE2650&lt;=set_AsAt),1,0)</f>
        <v/>
      </c>
      <c r="AK2650" s="54">
        <f>IF(AND(AJ2650=1,AH2650&lt;&gt;"",COUNTIFS($AH$2:AH2650,AH2650,$AJ$2:AJ2650,1)=1),N(AL2649)+1,"")</f>
        <v/>
      </c>
      <c r="AL2650" s="54">
        <f>IF(AK2650&lt;&gt;"",AK2650,N(AL2649))</f>
        <v/>
      </c>
    </row>
    <row r="2651">
      <c r="A2651" t="inlineStr">
        <is>
          <t>ONS-0884</t>
        </is>
      </c>
      <c r="B2651" t="inlineStr">
        <is>
          <t>Onsite</t>
        </is>
      </c>
      <c r="AB2651" t="n">
        <v>884</v>
      </c>
      <c r="AD2651" s="52">
        <f>IFERROR(N(IFERROR(INDEX($A2651:$AB2651,MATCH("Xero Invoiced Ex GST",$A$1:$AB$1,0)),"")),0)</f>
        <v/>
      </c>
      <c r="AE2651" s="53">
        <f>IFERROR(INDEX($A2651:$AB2651,MATCH("Xero Invoice Date",$A$1:$AB$1,0)),"")</f>
        <v/>
      </c>
      <c r="AF2651" s="54">
        <f>IF(AND(IFERROR(INDEX($A2651:$AB2651,MATCH("Xero Invoice No",$A$1:$AB$1,0)),"")&amp;""&lt;&gt;"",ISNUMBER(AE2651),AD2651&lt;&gt;0),1,0)</f>
        <v/>
      </c>
      <c r="AG2651" s="55">
        <f>IF(AF2651=1,EOMONTH(AE2651,0),"")</f>
        <v/>
      </c>
      <c r="AH2651" s="9">
        <f>IF(AF2651=1,UPPER(TRIM(IFERROR(INDEX($A2651:$AB2651,MATCH("Client",$A$1:$AB$1,0)),"")&amp;"")),"")</f>
        <v/>
      </c>
      <c r="AI2651" s="9">
        <f>IF(AF2651=1,IFERROR(INDEX($A2651:$AB2651,MATCH("Cost Centre",$A$1:$AB$1,0)),"")&amp;"","")</f>
        <v/>
      </c>
      <c r="AJ2651" s="54">
        <f>IF(AND(AF2651=1,AE2651&gt;=set_FYStart,AE2651&lt;=set_AsAt),1,0)</f>
        <v/>
      </c>
      <c r="AK2651" s="54">
        <f>IF(AND(AJ2651=1,AH2651&lt;&gt;"",COUNTIFS($AH$2:AH2651,AH2651,$AJ$2:AJ2651,1)=1),N(AL2650)+1,"")</f>
        <v/>
      </c>
      <c r="AL2651" s="54">
        <f>IF(AK2651&lt;&gt;"",AK2651,N(AL2650))</f>
        <v/>
      </c>
    </row>
    <row r="2652">
      <c r="A2652" t="inlineStr">
        <is>
          <t>PRD-0884</t>
        </is>
      </c>
      <c r="B2652" t="inlineStr">
        <is>
          <t>Production</t>
        </is>
      </c>
      <c r="AB2652" t="n">
        <v>884</v>
      </c>
      <c r="AD2652" s="52">
        <f>IFERROR(N(IFERROR(INDEX($A2652:$AB2652,MATCH("Xero Invoiced Ex GST",$A$1:$AB$1,0)),"")),0)</f>
        <v/>
      </c>
      <c r="AE2652" s="53">
        <f>IFERROR(INDEX($A2652:$AB2652,MATCH("Xero Invoice Date",$A$1:$AB$1,0)),"")</f>
        <v/>
      </c>
      <c r="AF2652" s="54">
        <f>IF(AND(IFERROR(INDEX($A2652:$AB2652,MATCH("Xero Invoice No",$A$1:$AB$1,0)),"")&amp;""&lt;&gt;"",ISNUMBER(AE2652),AD2652&lt;&gt;0),1,0)</f>
        <v/>
      </c>
      <c r="AG2652" s="55">
        <f>IF(AF2652=1,EOMONTH(AE2652,0),"")</f>
        <v/>
      </c>
      <c r="AH2652" s="9">
        <f>IF(AF2652=1,UPPER(TRIM(IFERROR(INDEX($A2652:$AB2652,MATCH("Client",$A$1:$AB$1,0)),"")&amp;"")),"")</f>
        <v/>
      </c>
      <c r="AI2652" s="9">
        <f>IF(AF2652=1,IFERROR(INDEX($A2652:$AB2652,MATCH("Cost Centre",$A$1:$AB$1,0)),"")&amp;"","")</f>
        <v/>
      </c>
      <c r="AJ2652" s="54">
        <f>IF(AND(AF2652=1,AE2652&gt;=set_FYStart,AE2652&lt;=set_AsAt),1,0)</f>
        <v/>
      </c>
      <c r="AK2652" s="54">
        <f>IF(AND(AJ2652=1,AH2652&lt;&gt;"",COUNTIFS($AH$2:AH2652,AH2652,$AJ$2:AJ2652,1)=1),N(AL2651)+1,"")</f>
        <v/>
      </c>
      <c r="AL2652" s="54">
        <f>IF(AK2652&lt;&gt;"",AK2652,N(AL2651))</f>
        <v/>
      </c>
    </row>
    <row r="2653">
      <c r="A2653" t="inlineStr">
        <is>
          <t>CON-0884</t>
        </is>
      </c>
      <c r="B2653" t="inlineStr">
        <is>
          <t>Consulting</t>
        </is>
      </c>
      <c r="AB2653" t="n">
        <v>884</v>
      </c>
      <c r="AD2653" s="52">
        <f>IFERROR(N(IFERROR(INDEX($A2653:$AB2653,MATCH("Xero Invoiced Ex GST",$A$1:$AB$1,0)),"")),0)</f>
        <v/>
      </c>
      <c r="AE2653" s="53">
        <f>IFERROR(INDEX($A2653:$AB2653,MATCH("Xero Invoice Date",$A$1:$AB$1,0)),"")</f>
        <v/>
      </c>
      <c r="AF2653" s="54">
        <f>IF(AND(IFERROR(INDEX($A2653:$AB2653,MATCH("Xero Invoice No",$A$1:$AB$1,0)),"")&amp;""&lt;&gt;"",ISNUMBER(AE2653),AD2653&lt;&gt;0),1,0)</f>
        <v/>
      </c>
      <c r="AG2653" s="55">
        <f>IF(AF2653=1,EOMONTH(AE2653,0),"")</f>
        <v/>
      </c>
      <c r="AH2653" s="9">
        <f>IF(AF2653=1,UPPER(TRIM(IFERROR(INDEX($A2653:$AB2653,MATCH("Client",$A$1:$AB$1,0)),"")&amp;"")),"")</f>
        <v/>
      </c>
      <c r="AI2653" s="9">
        <f>IF(AF2653=1,IFERROR(INDEX($A2653:$AB2653,MATCH("Cost Centre",$A$1:$AB$1,0)),"")&amp;"","")</f>
        <v/>
      </c>
      <c r="AJ2653" s="54">
        <f>IF(AND(AF2653=1,AE2653&gt;=set_FYStart,AE2653&lt;=set_AsAt),1,0)</f>
        <v/>
      </c>
      <c r="AK2653" s="54">
        <f>IF(AND(AJ2653=1,AH2653&lt;&gt;"",COUNTIFS($AH$2:AH2653,AH2653,$AJ$2:AJ2653,1)=1),N(AL2652)+1,"")</f>
        <v/>
      </c>
      <c r="AL2653" s="54">
        <f>IF(AK2653&lt;&gt;"",AK2653,N(AL2652))</f>
        <v/>
      </c>
    </row>
    <row r="2654">
      <c r="A2654" t="inlineStr">
        <is>
          <t>ONS-0885</t>
        </is>
      </c>
      <c r="B2654" t="inlineStr">
        <is>
          <t>Onsite</t>
        </is>
      </c>
      <c r="AB2654" t="n">
        <v>885</v>
      </c>
      <c r="AD2654" s="52">
        <f>IFERROR(N(IFERROR(INDEX($A2654:$AB2654,MATCH("Xero Invoiced Ex GST",$A$1:$AB$1,0)),"")),0)</f>
        <v/>
      </c>
      <c r="AE2654" s="53">
        <f>IFERROR(INDEX($A2654:$AB2654,MATCH("Xero Invoice Date",$A$1:$AB$1,0)),"")</f>
        <v/>
      </c>
      <c r="AF2654" s="54">
        <f>IF(AND(IFERROR(INDEX($A2654:$AB2654,MATCH("Xero Invoice No",$A$1:$AB$1,0)),"")&amp;""&lt;&gt;"",ISNUMBER(AE2654),AD2654&lt;&gt;0),1,0)</f>
        <v/>
      </c>
      <c r="AG2654" s="55">
        <f>IF(AF2654=1,EOMONTH(AE2654,0),"")</f>
        <v/>
      </c>
      <c r="AH2654" s="9">
        <f>IF(AF2654=1,UPPER(TRIM(IFERROR(INDEX($A2654:$AB2654,MATCH("Client",$A$1:$AB$1,0)),"")&amp;"")),"")</f>
        <v/>
      </c>
      <c r="AI2654" s="9">
        <f>IF(AF2654=1,IFERROR(INDEX($A2654:$AB2654,MATCH("Cost Centre",$A$1:$AB$1,0)),"")&amp;"","")</f>
        <v/>
      </c>
      <c r="AJ2654" s="54">
        <f>IF(AND(AF2654=1,AE2654&gt;=set_FYStart,AE2654&lt;=set_AsAt),1,0)</f>
        <v/>
      </c>
      <c r="AK2654" s="54">
        <f>IF(AND(AJ2654=1,AH2654&lt;&gt;"",COUNTIFS($AH$2:AH2654,AH2654,$AJ$2:AJ2654,1)=1),N(AL2653)+1,"")</f>
        <v/>
      </c>
      <c r="AL2654" s="54">
        <f>IF(AK2654&lt;&gt;"",AK2654,N(AL2653))</f>
        <v/>
      </c>
    </row>
    <row r="2655">
      <c r="A2655" t="inlineStr">
        <is>
          <t>PRD-0885</t>
        </is>
      </c>
      <c r="B2655" t="inlineStr">
        <is>
          <t>Production</t>
        </is>
      </c>
      <c r="AB2655" t="n">
        <v>885</v>
      </c>
      <c r="AD2655" s="52">
        <f>IFERROR(N(IFERROR(INDEX($A2655:$AB2655,MATCH("Xero Invoiced Ex GST",$A$1:$AB$1,0)),"")),0)</f>
        <v/>
      </c>
      <c r="AE2655" s="53">
        <f>IFERROR(INDEX($A2655:$AB2655,MATCH("Xero Invoice Date",$A$1:$AB$1,0)),"")</f>
        <v/>
      </c>
      <c r="AF2655" s="54">
        <f>IF(AND(IFERROR(INDEX($A2655:$AB2655,MATCH("Xero Invoice No",$A$1:$AB$1,0)),"")&amp;""&lt;&gt;"",ISNUMBER(AE2655),AD2655&lt;&gt;0),1,0)</f>
        <v/>
      </c>
      <c r="AG2655" s="55">
        <f>IF(AF2655=1,EOMONTH(AE2655,0),"")</f>
        <v/>
      </c>
      <c r="AH2655" s="9">
        <f>IF(AF2655=1,UPPER(TRIM(IFERROR(INDEX($A2655:$AB2655,MATCH("Client",$A$1:$AB$1,0)),"")&amp;"")),"")</f>
        <v/>
      </c>
      <c r="AI2655" s="9">
        <f>IF(AF2655=1,IFERROR(INDEX($A2655:$AB2655,MATCH("Cost Centre",$A$1:$AB$1,0)),"")&amp;"","")</f>
        <v/>
      </c>
      <c r="AJ2655" s="54">
        <f>IF(AND(AF2655=1,AE2655&gt;=set_FYStart,AE2655&lt;=set_AsAt),1,0)</f>
        <v/>
      </c>
      <c r="AK2655" s="54">
        <f>IF(AND(AJ2655=1,AH2655&lt;&gt;"",COUNTIFS($AH$2:AH2655,AH2655,$AJ$2:AJ2655,1)=1),N(AL2654)+1,"")</f>
        <v/>
      </c>
      <c r="AL2655" s="54">
        <f>IF(AK2655&lt;&gt;"",AK2655,N(AL2654))</f>
        <v/>
      </c>
    </row>
    <row r="2656">
      <c r="A2656" t="inlineStr">
        <is>
          <t>CON-0885</t>
        </is>
      </c>
      <c r="B2656" t="inlineStr">
        <is>
          <t>Consulting</t>
        </is>
      </c>
      <c r="AB2656" t="n">
        <v>885</v>
      </c>
      <c r="AD2656" s="52">
        <f>IFERROR(N(IFERROR(INDEX($A2656:$AB2656,MATCH("Xero Invoiced Ex GST",$A$1:$AB$1,0)),"")),0)</f>
        <v/>
      </c>
      <c r="AE2656" s="53">
        <f>IFERROR(INDEX($A2656:$AB2656,MATCH("Xero Invoice Date",$A$1:$AB$1,0)),"")</f>
        <v/>
      </c>
      <c r="AF2656" s="54">
        <f>IF(AND(IFERROR(INDEX($A2656:$AB2656,MATCH("Xero Invoice No",$A$1:$AB$1,0)),"")&amp;""&lt;&gt;"",ISNUMBER(AE2656),AD2656&lt;&gt;0),1,0)</f>
        <v/>
      </c>
      <c r="AG2656" s="55">
        <f>IF(AF2656=1,EOMONTH(AE2656,0),"")</f>
        <v/>
      </c>
      <c r="AH2656" s="9">
        <f>IF(AF2656=1,UPPER(TRIM(IFERROR(INDEX($A2656:$AB2656,MATCH("Client",$A$1:$AB$1,0)),"")&amp;"")),"")</f>
        <v/>
      </c>
      <c r="AI2656" s="9">
        <f>IF(AF2656=1,IFERROR(INDEX($A2656:$AB2656,MATCH("Cost Centre",$A$1:$AB$1,0)),"")&amp;"","")</f>
        <v/>
      </c>
      <c r="AJ2656" s="54">
        <f>IF(AND(AF2656=1,AE2656&gt;=set_FYStart,AE2656&lt;=set_AsAt),1,0)</f>
        <v/>
      </c>
      <c r="AK2656" s="54">
        <f>IF(AND(AJ2656=1,AH2656&lt;&gt;"",COUNTIFS($AH$2:AH2656,AH2656,$AJ$2:AJ2656,1)=1),N(AL2655)+1,"")</f>
        <v/>
      </c>
      <c r="AL2656" s="54">
        <f>IF(AK2656&lt;&gt;"",AK2656,N(AL2655))</f>
        <v/>
      </c>
    </row>
    <row r="2657">
      <c r="A2657" t="inlineStr">
        <is>
          <t>ONS-0886</t>
        </is>
      </c>
      <c r="B2657" t="inlineStr">
        <is>
          <t>Onsite</t>
        </is>
      </c>
      <c r="AB2657" t="n">
        <v>886</v>
      </c>
      <c r="AD2657" s="52">
        <f>IFERROR(N(IFERROR(INDEX($A2657:$AB2657,MATCH("Xero Invoiced Ex GST",$A$1:$AB$1,0)),"")),0)</f>
        <v/>
      </c>
      <c r="AE2657" s="53">
        <f>IFERROR(INDEX($A2657:$AB2657,MATCH("Xero Invoice Date",$A$1:$AB$1,0)),"")</f>
        <v/>
      </c>
      <c r="AF2657" s="54">
        <f>IF(AND(IFERROR(INDEX($A2657:$AB2657,MATCH("Xero Invoice No",$A$1:$AB$1,0)),"")&amp;""&lt;&gt;"",ISNUMBER(AE2657),AD2657&lt;&gt;0),1,0)</f>
        <v/>
      </c>
      <c r="AG2657" s="55">
        <f>IF(AF2657=1,EOMONTH(AE2657,0),"")</f>
        <v/>
      </c>
      <c r="AH2657" s="9">
        <f>IF(AF2657=1,UPPER(TRIM(IFERROR(INDEX($A2657:$AB2657,MATCH("Client",$A$1:$AB$1,0)),"")&amp;"")),"")</f>
        <v/>
      </c>
      <c r="AI2657" s="9">
        <f>IF(AF2657=1,IFERROR(INDEX($A2657:$AB2657,MATCH("Cost Centre",$A$1:$AB$1,0)),"")&amp;"","")</f>
        <v/>
      </c>
      <c r="AJ2657" s="54">
        <f>IF(AND(AF2657=1,AE2657&gt;=set_FYStart,AE2657&lt;=set_AsAt),1,0)</f>
        <v/>
      </c>
      <c r="AK2657" s="54">
        <f>IF(AND(AJ2657=1,AH2657&lt;&gt;"",COUNTIFS($AH$2:AH2657,AH2657,$AJ$2:AJ2657,1)=1),N(AL2656)+1,"")</f>
        <v/>
      </c>
      <c r="AL2657" s="54">
        <f>IF(AK2657&lt;&gt;"",AK2657,N(AL2656))</f>
        <v/>
      </c>
    </row>
    <row r="2658">
      <c r="A2658" t="inlineStr">
        <is>
          <t>PRD-0886</t>
        </is>
      </c>
      <c r="B2658" t="inlineStr">
        <is>
          <t>Production</t>
        </is>
      </c>
      <c r="AB2658" t="n">
        <v>886</v>
      </c>
      <c r="AD2658" s="52">
        <f>IFERROR(N(IFERROR(INDEX($A2658:$AB2658,MATCH("Xero Invoiced Ex GST",$A$1:$AB$1,0)),"")),0)</f>
        <v/>
      </c>
      <c r="AE2658" s="53">
        <f>IFERROR(INDEX($A2658:$AB2658,MATCH("Xero Invoice Date",$A$1:$AB$1,0)),"")</f>
        <v/>
      </c>
      <c r="AF2658" s="54">
        <f>IF(AND(IFERROR(INDEX($A2658:$AB2658,MATCH("Xero Invoice No",$A$1:$AB$1,0)),"")&amp;""&lt;&gt;"",ISNUMBER(AE2658),AD2658&lt;&gt;0),1,0)</f>
        <v/>
      </c>
      <c r="AG2658" s="55">
        <f>IF(AF2658=1,EOMONTH(AE2658,0),"")</f>
        <v/>
      </c>
      <c r="AH2658" s="9">
        <f>IF(AF2658=1,UPPER(TRIM(IFERROR(INDEX($A2658:$AB2658,MATCH("Client",$A$1:$AB$1,0)),"")&amp;"")),"")</f>
        <v/>
      </c>
      <c r="AI2658" s="9">
        <f>IF(AF2658=1,IFERROR(INDEX($A2658:$AB2658,MATCH("Cost Centre",$A$1:$AB$1,0)),"")&amp;"","")</f>
        <v/>
      </c>
      <c r="AJ2658" s="54">
        <f>IF(AND(AF2658=1,AE2658&gt;=set_FYStart,AE2658&lt;=set_AsAt),1,0)</f>
        <v/>
      </c>
      <c r="AK2658" s="54">
        <f>IF(AND(AJ2658=1,AH2658&lt;&gt;"",COUNTIFS($AH$2:AH2658,AH2658,$AJ$2:AJ2658,1)=1),N(AL2657)+1,"")</f>
        <v/>
      </c>
      <c r="AL2658" s="54">
        <f>IF(AK2658&lt;&gt;"",AK2658,N(AL2657))</f>
        <v/>
      </c>
    </row>
    <row r="2659">
      <c r="A2659" t="inlineStr">
        <is>
          <t>CON-0886</t>
        </is>
      </c>
      <c r="B2659" t="inlineStr">
        <is>
          <t>Consulting</t>
        </is>
      </c>
      <c r="AB2659" t="n">
        <v>886</v>
      </c>
      <c r="AD2659" s="52">
        <f>IFERROR(N(IFERROR(INDEX($A2659:$AB2659,MATCH("Xero Invoiced Ex GST",$A$1:$AB$1,0)),"")),0)</f>
        <v/>
      </c>
      <c r="AE2659" s="53">
        <f>IFERROR(INDEX($A2659:$AB2659,MATCH("Xero Invoice Date",$A$1:$AB$1,0)),"")</f>
        <v/>
      </c>
      <c r="AF2659" s="54">
        <f>IF(AND(IFERROR(INDEX($A2659:$AB2659,MATCH("Xero Invoice No",$A$1:$AB$1,0)),"")&amp;""&lt;&gt;"",ISNUMBER(AE2659),AD2659&lt;&gt;0),1,0)</f>
        <v/>
      </c>
      <c r="AG2659" s="55">
        <f>IF(AF2659=1,EOMONTH(AE2659,0),"")</f>
        <v/>
      </c>
      <c r="AH2659" s="9">
        <f>IF(AF2659=1,UPPER(TRIM(IFERROR(INDEX($A2659:$AB2659,MATCH("Client",$A$1:$AB$1,0)),"")&amp;"")),"")</f>
        <v/>
      </c>
      <c r="AI2659" s="9">
        <f>IF(AF2659=1,IFERROR(INDEX($A2659:$AB2659,MATCH("Cost Centre",$A$1:$AB$1,0)),"")&amp;"","")</f>
        <v/>
      </c>
      <c r="AJ2659" s="54">
        <f>IF(AND(AF2659=1,AE2659&gt;=set_FYStart,AE2659&lt;=set_AsAt),1,0)</f>
        <v/>
      </c>
      <c r="AK2659" s="54">
        <f>IF(AND(AJ2659=1,AH2659&lt;&gt;"",COUNTIFS($AH$2:AH2659,AH2659,$AJ$2:AJ2659,1)=1),N(AL2658)+1,"")</f>
        <v/>
      </c>
      <c r="AL2659" s="54">
        <f>IF(AK2659&lt;&gt;"",AK2659,N(AL2658))</f>
        <v/>
      </c>
    </row>
    <row r="2660">
      <c r="A2660" t="inlineStr">
        <is>
          <t>ONS-0887</t>
        </is>
      </c>
      <c r="B2660" t="inlineStr">
        <is>
          <t>Onsite</t>
        </is>
      </c>
      <c r="AB2660" t="n">
        <v>887</v>
      </c>
      <c r="AD2660" s="52">
        <f>IFERROR(N(IFERROR(INDEX($A2660:$AB2660,MATCH("Xero Invoiced Ex GST",$A$1:$AB$1,0)),"")),0)</f>
        <v/>
      </c>
      <c r="AE2660" s="53">
        <f>IFERROR(INDEX($A2660:$AB2660,MATCH("Xero Invoice Date",$A$1:$AB$1,0)),"")</f>
        <v/>
      </c>
      <c r="AF2660" s="54">
        <f>IF(AND(IFERROR(INDEX($A2660:$AB2660,MATCH("Xero Invoice No",$A$1:$AB$1,0)),"")&amp;""&lt;&gt;"",ISNUMBER(AE2660),AD2660&lt;&gt;0),1,0)</f>
        <v/>
      </c>
      <c r="AG2660" s="55">
        <f>IF(AF2660=1,EOMONTH(AE2660,0),"")</f>
        <v/>
      </c>
      <c r="AH2660" s="9">
        <f>IF(AF2660=1,UPPER(TRIM(IFERROR(INDEX($A2660:$AB2660,MATCH("Client",$A$1:$AB$1,0)),"")&amp;"")),"")</f>
        <v/>
      </c>
      <c r="AI2660" s="9">
        <f>IF(AF2660=1,IFERROR(INDEX($A2660:$AB2660,MATCH("Cost Centre",$A$1:$AB$1,0)),"")&amp;"","")</f>
        <v/>
      </c>
      <c r="AJ2660" s="54">
        <f>IF(AND(AF2660=1,AE2660&gt;=set_FYStart,AE2660&lt;=set_AsAt),1,0)</f>
        <v/>
      </c>
      <c r="AK2660" s="54">
        <f>IF(AND(AJ2660=1,AH2660&lt;&gt;"",COUNTIFS($AH$2:AH2660,AH2660,$AJ$2:AJ2660,1)=1),N(AL2659)+1,"")</f>
        <v/>
      </c>
      <c r="AL2660" s="54">
        <f>IF(AK2660&lt;&gt;"",AK2660,N(AL2659))</f>
        <v/>
      </c>
    </row>
    <row r="2661">
      <c r="A2661" t="inlineStr">
        <is>
          <t>PRD-0887</t>
        </is>
      </c>
      <c r="B2661" t="inlineStr">
        <is>
          <t>Production</t>
        </is>
      </c>
      <c r="AB2661" t="n">
        <v>887</v>
      </c>
      <c r="AD2661" s="52">
        <f>IFERROR(N(IFERROR(INDEX($A2661:$AB2661,MATCH("Xero Invoiced Ex GST",$A$1:$AB$1,0)),"")),0)</f>
        <v/>
      </c>
      <c r="AE2661" s="53">
        <f>IFERROR(INDEX($A2661:$AB2661,MATCH("Xero Invoice Date",$A$1:$AB$1,0)),"")</f>
        <v/>
      </c>
      <c r="AF2661" s="54">
        <f>IF(AND(IFERROR(INDEX($A2661:$AB2661,MATCH("Xero Invoice No",$A$1:$AB$1,0)),"")&amp;""&lt;&gt;"",ISNUMBER(AE2661),AD2661&lt;&gt;0),1,0)</f>
        <v/>
      </c>
      <c r="AG2661" s="55">
        <f>IF(AF2661=1,EOMONTH(AE2661,0),"")</f>
        <v/>
      </c>
      <c r="AH2661" s="9">
        <f>IF(AF2661=1,UPPER(TRIM(IFERROR(INDEX($A2661:$AB2661,MATCH("Client",$A$1:$AB$1,0)),"")&amp;"")),"")</f>
        <v/>
      </c>
      <c r="AI2661" s="9">
        <f>IF(AF2661=1,IFERROR(INDEX($A2661:$AB2661,MATCH("Cost Centre",$A$1:$AB$1,0)),"")&amp;"","")</f>
        <v/>
      </c>
      <c r="AJ2661" s="54">
        <f>IF(AND(AF2661=1,AE2661&gt;=set_FYStart,AE2661&lt;=set_AsAt),1,0)</f>
        <v/>
      </c>
      <c r="AK2661" s="54">
        <f>IF(AND(AJ2661=1,AH2661&lt;&gt;"",COUNTIFS($AH$2:AH2661,AH2661,$AJ$2:AJ2661,1)=1),N(AL2660)+1,"")</f>
        <v/>
      </c>
      <c r="AL2661" s="54">
        <f>IF(AK2661&lt;&gt;"",AK2661,N(AL2660))</f>
        <v/>
      </c>
    </row>
    <row r="2662">
      <c r="A2662" t="inlineStr">
        <is>
          <t>CON-0887</t>
        </is>
      </c>
      <c r="B2662" t="inlineStr">
        <is>
          <t>Consulting</t>
        </is>
      </c>
      <c r="AB2662" t="n">
        <v>887</v>
      </c>
      <c r="AD2662" s="52">
        <f>IFERROR(N(IFERROR(INDEX($A2662:$AB2662,MATCH("Xero Invoiced Ex GST",$A$1:$AB$1,0)),"")),0)</f>
        <v/>
      </c>
      <c r="AE2662" s="53">
        <f>IFERROR(INDEX($A2662:$AB2662,MATCH("Xero Invoice Date",$A$1:$AB$1,0)),"")</f>
        <v/>
      </c>
      <c r="AF2662" s="54">
        <f>IF(AND(IFERROR(INDEX($A2662:$AB2662,MATCH("Xero Invoice No",$A$1:$AB$1,0)),"")&amp;""&lt;&gt;"",ISNUMBER(AE2662),AD2662&lt;&gt;0),1,0)</f>
        <v/>
      </c>
      <c r="AG2662" s="55">
        <f>IF(AF2662=1,EOMONTH(AE2662,0),"")</f>
        <v/>
      </c>
      <c r="AH2662" s="9">
        <f>IF(AF2662=1,UPPER(TRIM(IFERROR(INDEX($A2662:$AB2662,MATCH("Client",$A$1:$AB$1,0)),"")&amp;"")),"")</f>
        <v/>
      </c>
      <c r="AI2662" s="9">
        <f>IF(AF2662=1,IFERROR(INDEX($A2662:$AB2662,MATCH("Cost Centre",$A$1:$AB$1,0)),"")&amp;"","")</f>
        <v/>
      </c>
      <c r="AJ2662" s="54">
        <f>IF(AND(AF2662=1,AE2662&gt;=set_FYStart,AE2662&lt;=set_AsAt),1,0)</f>
        <v/>
      </c>
      <c r="AK2662" s="54">
        <f>IF(AND(AJ2662=1,AH2662&lt;&gt;"",COUNTIFS($AH$2:AH2662,AH2662,$AJ$2:AJ2662,1)=1),N(AL2661)+1,"")</f>
        <v/>
      </c>
      <c r="AL2662" s="54">
        <f>IF(AK2662&lt;&gt;"",AK2662,N(AL2661))</f>
        <v/>
      </c>
    </row>
    <row r="2663">
      <c r="A2663" t="inlineStr">
        <is>
          <t>ONS-0888</t>
        </is>
      </c>
      <c r="B2663" t="inlineStr">
        <is>
          <t>Onsite</t>
        </is>
      </c>
      <c r="AB2663" t="n">
        <v>888</v>
      </c>
      <c r="AD2663" s="52">
        <f>IFERROR(N(IFERROR(INDEX($A2663:$AB2663,MATCH("Xero Invoiced Ex GST",$A$1:$AB$1,0)),"")),0)</f>
        <v/>
      </c>
      <c r="AE2663" s="53">
        <f>IFERROR(INDEX($A2663:$AB2663,MATCH("Xero Invoice Date",$A$1:$AB$1,0)),"")</f>
        <v/>
      </c>
      <c r="AF2663" s="54">
        <f>IF(AND(IFERROR(INDEX($A2663:$AB2663,MATCH("Xero Invoice No",$A$1:$AB$1,0)),"")&amp;""&lt;&gt;"",ISNUMBER(AE2663),AD2663&lt;&gt;0),1,0)</f>
        <v/>
      </c>
      <c r="AG2663" s="55">
        <f>IF(AF2663=1,EOMONTH(AE2663,0),"")</f>
        <v/>
      </c>
      <c r="AH2663" s="9">
        <f>IF(AF2663=1,UPPER(TRIM(IFERROR(INDEX($A2663:$AB2663,MATCH("Client",$A$1:$AB$1,0)),"")&amp;"")),"")</f>
        <v/>
      </c>
      <c r="AI2663" s="9">
        <f>IF(AF2663=1,IFERROR(INDEX($A2663:$AB2663,MATCH("Cost Centre",$A$1:$AB$1,0)),"")&amp;"","")</f>
        <v/>
      </c>
      <c r="AJ2663" s="54">
        <f>IF(AND(AF2663=1,AE2663&gt;=set_FYStart,AE2663&lt;=set_AsAt),1,0)</f>
        <v/>
      </c>
      <c r="AK2663" s="54">
        <f>IF(AND(AJ2663=1,AH2663&lt;&gt;"",COUNTIFS($AH$2:AH2663,AH2663,$AJ$2:AJ2663,1)=1),N(AL2662)+1,"")</f>
        <v/>
      </c>
      <c r="AL2663" s="54">
        <f>IF(AK2663&lt;&gt;"",AK2663,N(AL2662))</f>
        <v/>
      </c>
    </row>
    <row r="2664">
      <c r="A2664" t="inlineStr">
        <is>
          <t>PRD-0888</t>
        </is>
      </c>
      <c r="B2664" t="inlineStr">
        <is>
          <t>Production</t>
        </is>
      </c>
      <c r="AB2664" t="n">
        <v>888</v>
      </c>
      <c r="AD2664" s="52">
        <f>IFERROR(N(IFERROR(INDEX($A2664:$AB2664,MATCH("Xero Invoiced Ex GST",$A$1:$AB$1,0)),"")),0)</f>
        <v/>
      </c>
      <c r="AE2664" s="53">
        <f>IFERROR(INDEX($A2664:$AB2664,MATCH("Xero Invoice Date",$A$1:$AB$1,0)),"")</f>
        <v/>
      </c>
      <c r="AF2664" s="54">
        <f>IF(AND(IFERROR(INDEX($A2664:$AB2664,MATCH("Xero Invoice No",$A$1:$AB$1,0)),"")&amp;""&lt;&gt;"",ISNUMBER(AE2664),AD2664&lt;&gt;0),1,0)</f>
        <v/>
      </c>
      <c r="AG2664" s="55">
        <f>IF(AF2664=1,EOMONTH(AE2664,0),"")</f>
        <v/>
      </c>
      <c r="AH2664" s="9">
        <f>IF(AF2664=1,UPPER(TRIM(IFERROR(INDEX($A2664:$AB2664,MATCH("Client",$A$1:$AB$1,0)),"")&amp;"")),"")</f>
        <v/>
      </c>
      <c r="AI2664" s="9">
        <f>IF(AF2664=1,IFERROR(INDEX($A2664:$AB2664,MATCH("Cost Centre",$A$1:$AB$1,0)),"")&amp;"","")</f>
        <v/>
      </c>
      <c r="AJ2664" s="54">
        <f>IF(AND(AF2664=1,AE2664&gt;=set_FYStart,AE2664&lt;=set_AsAt),1,0)</f>
        <v/>
      </c>
      <c r="AK2664" s="54">
        <f>IF(AND(AJ2664=1,AH2664&lt;&gt;"",COUNTIFS($AH$2:AH2664,AH2664,$AJ$2:AJ2664,1)=1),N(AL2663)+1,"")</f>
        <v/>
      </c>
      <c r="AL2664" s="54">
        <f>IF(AK2664&lt;&gt;"",AK2664,N(AL2663))</f>
        <v/>
      </c>
    </row>
    <row r="2665">
      <c r="A2665" t="inlineStr">
        <is>
          <t>CON-0888</t>
        </is>
      </c>
      <c r="B2665" t="inlineStr">
        <is>
          <t>Consulting</t>
        </is>
      </c>
      <c r="AB2665" t="n">
        <v>888</v>
      </c>
      <c r="AD2665" s="52">
        <f>IFERROR(N(IFERROR(INDEX($A2665:$AB2665,MATCH("Xero Invoiced Ex GST",$A$1:$AB$1,0)),"")),0)</f>
        <v/>
      </c>
      <c r="AE2665" s="53">
        <f>IFERROR(INDEX($A2665:$AB2665,MATCH("Xero Invoice Date",$A$1:$AB$1,0)),"")</f>
        <v/>
      </c>
      <c r="AF2665" s="54">
        <f>IF(AND(IFERROR(INDEX($A2665:$AB2665,MATCH("Xero Invoice No",$A$1:$AB$1,0)),"")&amp;""&lt;&gt;"",ISNUMBER(AE2665),AD2665&lt;&gt;0),1,0)</f>
        <v/>
      </c>
      <c r="AG2665" s="55">
        <f>IF(AF2665=1,EOMONTH(AE2665,0),"")</f>
        <v/>
      </c>
      <c r="AH2665" s="9">
        <f>IF(AF2665=1,UPPER(TRIM(IFERROR(INDEX($A2665:$AB2665,MATCH("Client",$A$1:$AB$1,0)),"")&amp;"")),"")</f>
        <v/>
      </c>
      <c r="AI2665" s="9">
        <f>IF(AF2665=1,IFERROR(INDEX($A2665:$AB2665,MATCH("Cost Centre",$A$1:$AB$1,0)),"")&amp;"","")</f>
        <v/>
      </c>
      <c r="AJ2665" s="54">
        <f>IF(AND(AF2665=1,AE2665&gt;=set_FYStart,AE2665&lt;=set_AsAt),1,0)</f>
        <v/>
      </c>
      <c r="AK2665" s="54">
        <f>IF(AND(AJ2665=1,AH2665&lt;&gt;"",COUNTIFS($AH$2:AH2665,AH2665,$AJ$2:AJ2665,1)=1),N(AL2664)+1,"")</f>
        <v/>
      </c>
      <c r="AL2665" s="54">
        <f>IF(AK2665&lt;&gt;"",AK2665,N(AL2664))</f>
        <v/>
      </c>
    </row>
    <row r="2666">
      <c r="A2666" t="inlineStr">
        <is>
          <t>ONS-0889</t>
        </is>
      </c>
      <c r="B2666" t="inlineStr">
        <is>
          <t>Onsite</t>
        </is>
      </c>
      <c r="AB2666" t="n">
        <v>889</v>
      </c>
      <c r="AD2666" s="52">
        <f>IFERROR(N(IFERROR(INDEX($A2666:$AB2666,MATCH("Xero Invoiced Ex GST",$A$1:$AB$1,0)),"")),0)</f>
        <v/>
      </c>
      <c r="AE2666" s="53">
        <f>IFERROR(INDEX($A2666:$AB2666,MATCH("Xero Invoice Date",$A$1:$AB$1,0)),"")</f>
        <v/>
      </c>
      <c r="AF2666" s="54">
        <f>IF(AND(IFERROR(INDEX($A2666:$AB2666,MATCH("Xero Invoice No",$A$1:$AB$1,0)),"")&amp;""&lt;&gt;"",ISNUMBER(AE2666),AD2666&lt;&gt;0),1,0)</f>
        <v/>
      </c>
      <c r="AG2666" s="55">
        <f>IF(AF2666=1,EOMONTH(AE2666,0),"")</f>
        <v/>
      </c>
      <c r="AH2666" s="9">
        <f>IF(AF2666=1,UPPER(TRIM(IFERROR(INDEX($A2666:$AB2666,MATCH("Client",$A$1:$AB$1,0)),"")&amp;"")),"")</f>
        <v/>
      </c>
      <c r="AI2666" s="9">
        <f>IF(AF2666=1,IFERROR(INDEX($A2666:$AB2666,MATCH("Cost Centre",$A$1:$AB$1,0)),"")&amp;"","")</f>
        <v/>
      </c>
      <c r="AJ2666" s="54">
        <f>IF(AND(AF2666=1,AE2666&gt;=set_FYStart,AE2666&lt;=set_AsAt),1,0)</f>
        <v/>
      </c>
      <c r="AK2666" s="54">
        <f>IF(AND(AJ2666=1,AH2666&lt;&gt;"",COUNTIFS($AH$2:AH2666,AH2666,$AJ$2:AJ2666,1)=1),N(AL2665)+1,"")</f>
        <v/>
      </c>
      <c r="AL2666" s="54">
        <f>IF(AK2666&lt;&gt;"",AK2666,N(AL2665))</f>
        <v/>
      </c>
    </row>
    <row r="2667">
      <c r="A2667" t="inlineStr">
        <is>
          <t>PRD-0889</t>
        </is>
      </c>
      <c r="B2667" t="inlineStr">
        <is>
          <t>Production</t>
        </is>
      </c>
      <c r="AB2667" t="n">
        <v>889</v>
      </c>
      <c r="AD2667" s="52">
        <f>IFERROR(N(IFERROR(INDEX($A2667:$AB2667,MATCH("Xero Invoiced Ex GST",$A$1:$AB$1,0)),"")),0)</f>
        <v/>
      </c>
      <c r="AE2667" s="53">
        <f>IFERROR(INDEX($A2667:$AB2667,MATCH("Xero Invoice Date",$A$1:$AB$1,0)),"")</f>
        <v/>
      </c>
      <c r="AF2667" s="54">
        <f>IF(AND(IFERROR(INDEX($A2667:$AB2667,MATCH("Xero Invoice No",$A$1:$AB$1,0)),"")&amp;""&lt;&gt;"",ISNUMBER(AE2667),AD2667&lt;&gt;0),1,0)</f>
        <v/>
      </c>
      <c r="AG2667" s="55">
        <f>IF(AF2667=1,EOMONTH(AE2667,0),"")</f>
        <v/>
      </c>
      <c r="AH2667" s="9">
        <f>IF(AF2667=1,UPPER(TRIM(IFERROR(INDEX($A2667:$AB2667,MATCH("Client",$A$1:$AB$1,0)),"")&amp;"")),"")</f>
        <v/>
      </c>
      <c r="AI2667" s="9">
        <f>IF(AF2667=1,IFERROR(INDEX($A2667:$AB2667,MATCH("Cost Centre",$A$1:$AB$1,0)),"")&amp;"","")</f>
        <v/>
      </c>
      <c r="AJ2667" s="54">
        <f>IF(AND(AF2667=1,AE2667&gt;=set_FYStart,AE2667&lt;=set_AsAt),1,0)</f>
        <v/>
      </c>
      <c r="AK2667" s="54">
        <f>IF(AND(AJ2667=1,AH2667&lt;&gt;"",COUNTIFS($AH$2:AH2667,AH2667,$AJ$2:AJ2667,1)=1),N(AL2666)+1,"")</f>
        <v/>
      </c>
      <c r="AL2667" s="54">
        <f>IF(AK2667&lt;&gt;"",AK2667,N(AL2666))</f>
        <v/>
      </c>
    </row>
    <row r="2668">
      <c r="A2668" t="inlineStr">
        <is>
          <t>CON-0889</t>
        </is>
      </c>
      <c r="B2668" t="inlineStr">
        <is>
          <t>Consulting</t>
        </is>
      </c>
      <c r="AB2668" t="n">
        <v>889</v>
      </c>
      <c r="AD2668" s="52">
        <f>IFERROR(N(IFERROR(INDEX($A2668:$AB2668,MATCH("Xero Invoiced Ex GST",$A$1:$AB$1,0)),"")),0)</f>
        <v/>
      </c>
      <c r="AE2668" s="53">
        <f>IFERROR(INDEX($A2668:$AB2668,MATCH("Xero Invoice Date",$A$1:$AB$1,0)),"")</f>
        <v/>
      </c>
      <c r="AF2668" s="54">
        <f>IF(AND(IFERROR(INDEX($A2668:$AB2668,MATCH("Xero Invoice No",$A$1:$AB$1,0)),"")&amp;""&lt;&gt;"",ISNUMBER(AE2668),AD2668&lt;&gt;0),1,0)</f>
        <v/>
      </c>
      <c r="AG2668" s="55">
        <f>IF(AF2668=1,EOMONTH(AE2668,0),"")</f>
        <v/>
      </c>
      <c r="AH2668" s="9">
        <f>IF(AF2668=1,UPPER(TRIM(IFERROR(INDEX($A2668:$AB2668,MATCH("Client",$A$1:$AB$1,0)),"")&amp;"")),"")</f>
        <v/>
      </c>
      <c r="AI2668" s="9">
        <f>IF(AF2668=1,IFERROR(INDEX($A2668:$AB2668,MATCH("Cost Centre",$A$1:$AB$1,0)),"")&amp;"","")</f>
        <v/>
      </c>
      <c r="AJ2668" s="54">
        <f>IF(AND(AF2668=1,AE2668&gt;=set_FYStart,AE2668&lt;=set_AsAt),1,0)</f>
        <v/>
      </c>
      <c r="AK2668" s="54">
        <f>IF(AND(AJ2668=1,AH2668&lt;&gt;"",COUNTIFS($AH$2:AH2668,AH2668,$AJ$2:AJ2668,1)=1),N(AL2667)+1,"")</f>
        <v/>
      </c>
      <c r="AL2668" s="54">
        <f>IF(AK2668&lt;&gt;"",AK2668,N(AL2667))</f>
        <v/>
      </c>
    </row>
    <row r="2669">
      <c r="A2669" t="inlineStr">
        <is>
          <t>ONS-0890</t>
        </is>
      </c>
      <c r="B2669" t="inlineStr">
        <is>
          <t>Onsite</t>
        </is>
      </c>
      <c r="AB2669" t="n">
        <v>890</v>
      </c>
      <c r="AD2669" s="52">
        <f>IFERROR(N(IFERROR(INDEX($A2669:$AB2669,MATCH("Xero Invoiced Ex GST",$A$1:$AB$1,0)),"")),0)</f>
        <v/>
      </c>
      <c r="AE2669" s="53">
        <f>IFERROR(INDEX($A2669:$AB2669,MATCH("Xero Invoice Date",$A$1:$AB$1,0)),"")</f>
        <v/>
      </c>
      <c r="AF2669" s="54">
        <f>IF(AND(IFERROR(INDEX($A2669:$AB2669,MATCH("Xero Invoice No",$A$1:$AB$1,0)),"")&amp;""&lt;&gt;"",ISNUMBER(AE2669),AD2669&lt;&gt;0),1,0)</f>
        <v/>
      </c>
      <c r="AG2669" s="55">
        <f>IF(AF2669=1,EOMONTH(AE2669,0),"")</f>
        <v/>
      </c>
      <c r="AH2669" s="9">
        <f>IF(AF2669=1,UPPER(TRIM(IFERROR(INDEX($A2669:$AB2669,MATCH("Client",$A$1:$AB$1,0)),"")&amp;"")),"")</f>
        <v/>
      </c>
      <c r="AI2669" s="9">
        <f>IF(AF2669=1,IFERROR(INDEX($A2669:$AB2669,MATCH("Cost Centre",$A$1:$AB$1,0)),"")&amp;"","")</f>
        <v/>
      </c>
      <c r="AJ2669" s="54">
        <f>IF(AND(AF2669=1,AE2669&gt;=set_FYStart,AE2669&lt;=set_AsAt),1,0)</f>
        <v/>
      </c>
      <c r="AK2669" s="54">
        <f>IF(AND(AJ2669=1,AH2669&lt;&gt;"",COUNTIFS($AH$2:AH2669,AH2669,$AJ$2:AJ2669,1)=1),N(AL2668)+1,"")</f>
        <v/>
      </c>
      <c r="AL2669" s="54">
        <f>IF(AK2669&lt;&gt;"",AK2669,N(AL2668))</f>
        <v/>
      </c>
    </row>
    <row r="2670">
      <c r="A2670" t="inlineStr">
        <is>
          <t>PRD-0890</t>
        </is>
      </c>
      <c r="B2670" t="inlineStr">
        <is>
          <t>Production</t>
        </is>
      </c>
      <c r="AB2670" t="n">
        <v>890</v>
      </c>
      <c r="AD2670" s="52">
        <f>IFERROR(N(IFERROR(INDEX($A2670:$AB2670,MATCH("Xero Invoiced Ex GST",$A$1:$AB$1,0)),"")),0)</f>
        <v/>
      </c>
      <c r="AE2670" s="53">
        <f>IFERROR(INDEX($A2670:$AB2670,MATCH("Xero Invoice Date",$A$1:$AB$1,0)),"")</f>
        <v/>
      </c>
      <c r="AF2670" s="54">
        <f>IF(AND(IFERROR(INDEX($A2670:$AB2670,MATCH("Xero Invoice No",$A$1:$AB$1,0)),"")&amp;""&lt;&gt;"",ISNUMBER(AE2670),AD2670&lt;&gt;0),1,0)</f>
        <v/>
      </c>
      <c r="AG2670" s="55">
        <f>IF(AF2670=1,EOMONTH(AE2670,0),"")</f>
        <v/>
      </c>
      <c r="AH2670" s="9">
        <f>IF(AF2670=1,UPPER(TRIM(IFERROR(INDEX($A2670:$AB2670,MATCH("Client",$A$1:$AB$1,0)),"")&amp;"")),"")</f>
        <v/>
      </c>
      <c r="AI2670" s="9">
        <f>IF(AF2670=1,IFERROR(INDEX($A2670:$AB2670,MATCH("Cost Centre",$A$1:$AB$1,0)),"")&amp;"","")</f>
        <v/>
      </c>
      <c r="AJ2670" s="54">
        <f>IF(AND(AF2670=1,AE2670&gt;=set_FYStart,AE2670&lt;=set_AsAt),1,0)</f>
        <v/>
      </c>
      <c r="AK2670" s="54">
        <f>IF(AND(AJ2670=1,AH2670&lt;&gt;"",COUNTIFS($AH$2:AH2670,AH2670,$AJ$2:AJ2670,1)=1),N(AL2669)+1,"")</f>
        <v/>
      </c>
      <c r="AL2670" s="54">
        <f>IF(AK2670&lt;&gt;"",AK2670,N(AL2669))</f>
        <v/>
      </c>
    </row>
    <row r="2671">
      <c r="A2671" t="inlineStr">
        <is>
          <t>CON-0890</t>
        </is>
      </c>
      <c r="B2671" t="inlineStr">
        <is>
          <t>Consulting</t>
        </is>
      </c>
      <c r="AB2671" t="n">
        <v>890</v>
      </c>
      <c r="AD2671" s="52">
        <f>IFERROR(N(IFERROR(INDEX($A2671:$AB2671,MATCH("Xero Invoiced Ex GST",$A$1:$AB$1,0)),"")),0)</f>
        <v/>
      </c>
      <c r="AE2671" s="53">
        <f>IFERROR(INDEX($A2671:$AB2671,MATCH("Xero Invoice Date",$A$1:$AB$1,0)),"")</f>
        <v/>
      </c>
      <c r="AF2671" s="54">
        <f>IF(AND(IFERROR(INDEX($A2671:$AB2671,MATCH("Xero Invoice No",$A$1:$AB$1,0)),"")&amp;""&lt;&gt;"",ISNUMBER(AE2671),AD2671&lt;&gt;0),1,0)</f>
        <v/>
      </c>
      <c r="AG2671" s="55">
        <f>IF(AF2671=1,EOMONTH(AE2671,0),"")</f>
        <v/>
      </c>
      <c r="AH2671" s="9">
        <f>IF(AF2671=1,UPPER(TRIM(IFERROR(INDEX($A2671:$AB2671,MATCH("Client",$A$1:$AB$1,0)),"")&amp;"")),"")</f>
        <v/>
      </c>
      <c r="AI2671" s="9">
        <f>IF(AF2671=1,IFERROR(INDEX($A2671:$AB2671,MATCH("Cost Centre",$A$1:$AB$1,0)),"")&amp;"","")</f>
        <v/>
      </c>
      <c r="AJ2671" s="54">
        <f>IF(AND(AF2671=1,AE2671&gt;=set_FYStart,AE2671&lt;=set_AsAt),1,0)</f>
        <v/>
      </c>
      <c r="AK2671" s="54">
        <f>IF(AND(AJ2671=1,AH2671&lt;&gt;"",COUNTIFS($AH$2:AH2671,AH2671,$AJ$2:AJ2671,1)=1),N(AL2670)+1,"")</f>
        <v/>
      </c>
      <c r="AL2671" s="54">
        <f>IF(AK2671&lt;&gt;"",AK2671,N(AL2670))</f>
        <v/>
      </c>
    </row>
    <row r="2672">
      <c r="A2672" t="inlineStr">
        <is>
          <t>ONS-0891</t>
        </is>
      </c>
      <c r="B2672" t="inlineStr">
        <is>
          <t>Onsite</t>
        </is>
      </c>
      <c r="AB2672" t="n">
        <v>891</v>
      </c>
      <c r="AD2672" s="52">
        <f>IFERROR(N(IFERROR(INDEX($A2672:$AB2672,MATCH("Xero Invoiced Ex GST",$A$1:$AB$1,0)),"")),0)</f>
        <v/>
      </c>
      <c r="AE2672" s="53">
        <f>IFERROR(INDEX($A2672:$AB2672,MATCH("Xero Invoice Date",$A$1:$AB$1,0)),"")</f>
        <v/>
      </c>
      <c r="AF2672" s="54">
        <f>IF(AND(IFERROR(INDEX($A2672:$AB2672,MATCH("Xero Invoice No",$A$1:$AB$1,0)),"")&amp;""&lt;&gt;"",ISNUMBER(AE2672),AD2672&lt;&gt;0),1,0)</f>
        <v/>
      </c>
      <c r="AG2672" s="55">
        <f>IF(AF2672=1,EOMONTH(AE2672,0),"")</f>
        <v/>
      </c>
      <c r="AH2672" s="9">
        <f>IF(AF2672=1,UPPER(TRIM(IFERROR(INDEX($A2672:$AB2672,MATCH("Client",$A$1:$AB$1,0)),"")&amp;"")),"")</f>
        <v/>
      </c>
      <c r="AI2672" s="9">
        <f>IF(AF2672=1,IFERROR(INDEX($A2672:$AB2672,MATCH("Cost Centre",$A$1:$AB$1,0)),"")&amp;"","")</f>
        <v/>
      </c>
      <c r="AJ2672" s="54">
        <f>IF(AND(AF2672=1,AE2672&gt;=set_FYStart,AE2672&lt;=set_AsAt),1,0)</f>
        <v/>
      </c>
      <c r="AK2672" s="54">
        <f>IF(AND(AJ2672=1,AH2672&lt;&gt;"",COUNTIFS($AH$2:AH2672,AH2672,$AJ$2:AJ2672,1)=1),N(AL2671)+1,"")</f>
        <v/>
      </c>
      <c r="AL2672" s="54">
        <f>IF(AK2672&lt;&gt;"",AK2672,N(AL2671))</f>
        <v/>
      </c>
    </row>
    <row r="2673">
      <c r="A2673" t="inlineStr">
        <is>
          <t>PRD-0891</t>
        </is>
      </c>
      <c r="B2673" t="inlineStr">
        <is>
          <t>Production</t>
        </is>
      </c>
      <c r="AB2673" t="n">
        <v>891</v>
      </c>
      <c r="AD2673" s="52">
        <f>IFERROR(N(IFERROR(INDEX($A2673:$AB2673,MATCH("Xero Invoiced Ex GST",$A$1:$AB$1,0)),"")),0)</f>
        <v/>
      </c>
      <c r="AE2673" s="53">
        <f>IFERROR(INDEX($A2673:$AB2673,MATCH("Xero Invoice Date",$A$1:$AB$1,0)),"")</f>
        <v/>
      </c>
      <c r="AF2673" s="54">
        <f>IF(AND(IFERROR(INDEX($A2673:$AB2673,MATCH("Xero Invoice No",$A$1:$AB$1,0)),"")&amp;""&lt;&gt;"",ISNUMBER(AE2673),AD2673&lt;&gt;0),1,0)</f>
        <v/>
      </c>
      <c r="AG2673" s="55">
        <f>IF(AF2673=1,EOMONTH(AE2673,0),"")</f>
        <v/>
      </c>
      <c r="AH2673" s="9">
        <f>IF(AF2673=1,UPPER(TRIM(IFERROR(INDEX($A2673:$AB2673,MATCH("Client",$A$1:$AB$1,0)),"")&amp;"")),"")</f>
        <v/>
      </c>
      <c r="AI2673" s="9">
        <f>IF(AF2673=1,IFERROR(INDEX($A2673:$AB2673,MATCH("Cost Centre",$A$1:$AB$1,0)),"")&amp;"","")</f>
        <v/>
      </c>
      <c r="AJ2673" s="54">
        <f>IF(AND(AF2673=1,AE2673&gt;=set_FYStart,AE2673&lt;=set_AsAt),1,0)</f>
        <v/>
      </c>
      <c r="AK2673" s="54">
        <f>IF(AND(AJ2673=1,AH2673&lt;&gt;"",COUNTIFS($AH$2:AH2673,AH2673,$AJ$2:AJ2673,1)=1),N(AL2672)+1,"")</f>
        <v/>
      </c>
      <c r="AL2673" s="54">
        <f>IF(AK2673&lt;&gt;"",AK2673,N(AL2672))</f>
        <v/>
      </c>
    </row>
    <row r="2674">
      <c r="A2674" t="inlineStr">
        <is>
          <t>CON-0891</t>
        </is>
      </c>
      <c r="B2674" t="inlineStr">
        <is>
          <t>Consulting</t>
        </is>
      </c>
      <c r="AB2674" t="n">
        <v>891</v>
      </c>
      <c r="AD2674" s="52">
        <f>IFERROR(N(IFERROR(INDEX($A2674:$AB2674,MATCH("Xero Invoiced Ex GST",$A$1:$AB$1,0)),"")),0)</f>
        <v/>
      </c>
      <c r="AE2674" s="53">
        <f>IFERROR(INDEX($A2674:$AB2674,MATCH("Xero Invoice Date",$A$1:$AB$1,0)),"")</f>
        <v/>
      </c>
      <c r="AF2674" s="54">
        <f>IF(AND(IFERROR(INDEX($A2674:$AB2674,MATCH("Xero Invoice No",$A$1:$AB$1,0)),"")&amp;""&lt;&gt;"",ISNUMBER(AE2674),AD2674&lt;&gt;0),1,0)</f>
        <v/>
      </c>
      <c r="AG2674" s="55">
        <f>IF(AF2674=1,EOMONTH(AE2674,0),"")</f>
        <v/>
      </c>
      <c r="AH2674" s="9">
        <f>IF(AF2674=1,UPPER(TRIM(IFERROR(INDEX($A2674:$AB2674,MATCH("Client",$A$1:$AB$1,0)),"")&amp;"")),"")</f>
        <v/>
      </c>
      <c r="AI2674" s="9">
        <f>IF(AF2674=1,IFERROR(INDEX($A2674:$AB2674,MATCH("Cost Centre",$A$1:$AB$1,0)),"")&amp;"","")</f>
        <v/>
      </c>
      <c r="AJ2674" s="54">
        <f>IF(AND(AF2674=1,AE2674&gt;=set_FYStart,AE2674&lt;=set_AsAt),1,0)</f>
        <v/>
      </c>
      <c r="AK2674" s="54">
        <f>IF(AND(AJ2674=1,AH2674&lt;&gt;"",COUNTIFS($AH$2:AH2674,AH2674,$AJ$2:AJ2674,1)=1),N(AL2673)+1,"")</f>
        <v/>
      </c>
      <c r="AL2674" s="54">
        <f>IF(AK2674&lt;&gt;"",AK2674,N(AL2673))</f>
        <v/>
      </c>
    </row>
    <row r="2675">
      <c r="A2675" t="inlineStr">
        <is>
          <t>ONS-0892</t>
        </is>
      </c>
      <c r="B2675" t="inlineStr">
        <is>
          <t>Onsite</t>
        </is>
      </c>
      <c r="AB2675" t="n">
        <v>892</v>
      </c>
      <c r="AD2675" s="52">
        <f>IFERROR(N(IFERROR(INDEX($A2675:$AB2675,MATCH("Xero Invoiced Ex GST",$A$1:$AB$1,0)),"")),0)</f>
        <v/>
      </c>
      <c r="AE2675" s="53">
        <f>IFERROR(INDEX($A2675:$AB2675,MATCH("Xero Invoice Date",$A$1:$AB$1,0)),"")</f>
        <v/>
      </c>
      <c r="AF2675" s="54">
        <f>IF(AND(IFERROR(INDEX($A2675:$AB2675,MATCH("Xero Invoice No",$A$1:$AB$1,0)),"")&amp;""&lt;&gt;"",ISNUMBER(AE2675),AD2675&lt;&gt;0),1,0)</f>
        <v/>
      </c>
      <c r="AG2675" s="55">
        <f>IF(AF2675=1,EOMONTH(AE2675,0),"")</f>
        <v/>
      </c>
      <c r="AH2675" s="9">
        <f>IF(AF2675=1,UPPER(TRIM(IFERROR(INDEX($A2675:$AB2675,MATCH("Client",$A$1:$AB$1,0)),"")&amp;"")),"")</f>
        <v/>
      </c>
      <c r="AI2675" s="9">
        <f>IF(AF2675=1,IFERROR(INDEX($A2675:$AB2675,MATCH("Cost Centre",$A$1:$AB$1,0)),"")&amp;"","")</f>
        <v/>
      </c>
      <c r="AJ2675" s="54">
        <f>IF(AND(AF2675=1,AE2675&gt;=set_FYStart,AE2675&lt;=set_AsAt),1,0)</f>
        <v/>
      </c>
      <c r="AK2675" s="54">
        <f>IF(AND(AJ2675=1,AH2675&lt;&gt;"",COUNTIFS($AH$2:AH2675,AH2675,$AJ$2:AJ2675,1)=1),N(AL2674)+1,"")</f>
        <v/>
      </c>
      <c r="AL2675" s="54">
        <f>IF(AK2675&lt;&gt;"",AK2675,N(AL2674))</f>
        <v/>
      </c>
    </row>
    <row r="2676">
      <c r="A2676" t="inlineStr">
        <is>
          <t>PRD-0892</t>
        </is>
      </c>
      <c r="B2676" t="inlineStr">
        <is>
          <t>Production</t>
        </is>
      </c>
      <c r="AB2676" t="n">
        <v>892</v>
      </c>
      <c r="AD2676" s="52">
        <f>IFERROR(N(IFERROR(INDEX($A2676:$AB2676,MATCH("Xero Invoiced Ex GST",$A$1:$AB$1,0)),"")),0)</f>
        <v/>
      </c>
      <c r="AE2676" s="53">
        <f>IFERROR(INDEX($A2676:$AB2676,MATCH("Xero Invoice Date",$A$1:$AB$1,0)),"")</f>
        <v/>
      </c>
      <c r="AF2676" s="54">
        <f>IF(AND(IFERROR(INDEX($A2676:$AB2676,MATCH("Xero Invoice No",$A$1:$AB$1,0)),"")&amp;""&lt;&gt;"",ISNUMBER(AE2676),AD2676&lt;&gt;0),1,0)</f>
        <v/>
      </c>
      <c r="AG2676" s="55">
        <f>IF(AF2676=1,EOMONTH(AE2676,0),"")</f>
        <v/>
      </c>
      <c r="AH2676" s="9">
        <f>IF(AF2676=1,UPPER(TRIM(IFERROR(INDEX($A2676:$AB2676,MATCH("Client",$A$1:$AB$1,0)),"")&amp;"")),"")</f>
        <v/>
      </c>
      <c r="AI2676" s="9">
        <f>IF(AF2676=1,IFERROR(INDEX($A2676:$AB2676,MATCH("Cost Centre",$A$1:$AB$1,0)),"")&amp;"","")</f>
        <v/>
      </c>
      <c r="AJ2676" s="54">
        <f>IF(AND(AF2676=1,AE2676&gt;=set_FYStart,AE2676&lt;=set_AsAt),1,0)</f>
        <v/>
      </c>
      <c r="AK2676" s="54">
        <f>IF(AND(AJ2676=1,AH2676&lt;&gt;"",COUNTIFS($AH$2:AH2676,AH2676,$AJ$2:AJ2676,1)=1),N(AL2675)+1,"")</f>
        <v/>
      </c>
      <c r="AL2676" s="54">
        <f>IF(AK2676&lt;&gt;"",AK2676,N(AL2675))</f>
        <v/>
      </c>
    </row>
    <row r="2677">
      <c r="A2677" t="inlineStr">
        <is>
          <t>CON-0892</t>
        </is>
      </c>
      <c r="B2677" t="inlineStr">
        <is>
          <t>Consulting</t>
        </is>
      </c>
      <c r="AB2677" t="n">
        <v>892</v>
      </c>
      <c r="AD2677" s="52">
        <f>IFERROR(N(IFERROR(INDEX($A2677:$AB2677,MATCH("Xero Invoiced Ex GST",$A$1:$AB$1,0)),"")),0)</f>
        <v/>
      </c>
      <c r="AE2677" s="53">
        <f>IFERROR(INDEX($A2677:$AB2677,MATCH("Xero Invoice Date",$A$1:$AB$1,0)),"")</f>
        <v/>
      </c>
      <c r="AF2677" s="54">
        <f>IF(AND(IFERROR(INDEX($A2677:$AB2677,MATCH("Xero Invoice No",$A$1:$AB$1,0)),"")&amp;""&lt;&gt;"",ISNUMBER(AE2677),AD2677&lt;&gt;0),1,0)</f>
        <v/>
      </c>
      <c r="AG2677" s="55">
        <f>IF(AF2677=1,EOMONTH(AE2677,0),"")</f>
        <v/>
      </c>
      <c r="AH2677" s="9">
        <f>IF(AF2677=1,UPPER(TRIM(IFERROR(INDEX($A2677:$AB2677,MATCH("Client",$A$1:$AB$1,0)),"")&amp;"")),"")</f>
        <v/>
      </c>
      <c r="AI2677" s="9">
        <f>IF(AF2677=1,IFERROR(INDEX($A2677:$AB2677,MATCH("Cost Centre",$A$1:$AB$1,0)),"")&amp;"","")</f>
        <v/>
      </c>
      <c r="AJ2677" s="54">
        <f>IF(AND(AF2677=1,AE2677&gt;=set_FYStart,AE2677&lt;=set_AsAt),1,0)</f>
        <v/>
      </c>
      <c r="AK2677" s="54">
        <f>IF(AND(AJ2677=1,AH2677&lt;&gt;"",COUNTIFS($AH$2:AH2677,AH2677,$AJ$2:AJ2677,1)=1),N(AL2676)+1,"")</f>
        <v/>
      </c>
      <c r="AL2677" s="54">
        <f>IF(AK2677&lt;&gt;"",AK2677,N(AL2676))</f>
        <v/>
      </c>
    </row>
    <row r="2678">
      <c r="A2678" t="inlineStr">
        <is>
          <t>ONS-0893</t>
        </is>
      </c>
      <c r="B2678" t="inlineStr">
        <is>
          <t>Onsite</t>
        </is>
      </c>
      <c r="AB2678" t="n">
        <v>893</v>
      </c>
      <c r="AD2678" s="52">
        <f>IFERROR(N(IFERROR(INDEX($A2678:$AB2678,MATCH("Xero Invoiced Ex GST",$A$1:$AB$1,0)),"")),0)</f>
        <v/>
      </c>
      <c r="AE2678" s="53">
        <f>IFERROR(INDEX($A2678:$AB2678,MATCH("Xero Invoice Date",$A$1:$AB$1,0)),"")</f>
        <v/>
      </c>
      <c r="AF2678" s="54">
        <f>IF(AND(IFERROR(INDEX($A2678:$AB2678,MATCH("Xero Invoice No",$A$1:$AB$1,0)),"")&amp;""&lt;&gt;"",ISNUMBER(AE2678),AD2678&lt;&gt;0),1,0)</f>
        <v/>
      </c>
      <c r="AG2678" s="55">
        <f>IF(AF2678=1,EOMONTH(AE2678,0),"")</f>
        <v/>
      </c>
      <c r="AH2678" s="9">
        <f>IF(AF2678=1,UPPER(TRIM(IFERROR(INDEX($A2678:$AB2678,MATCH("Client",$A$1:$AB$1,0)),"")&amp;"")),"")</f>
        <v/>
      </c>
      <c r="AI2678" s="9">
        <f>IF(AF2678=1,IFERROR(INDEX($A2678:$AB2678,MATCH("Cost Centre",$A$1:$AB$1,0)),"")&amp;"","")</f>
        <v/>
      </c>
      <c r="AJ2678" s="54">
        <f>IF(AND(AF2678=1,AE2678&gt;=set_FYStart,AE2678&lt;=set_AsAt),1,0)</f>
        <v/>
      </c>
      <c r="AK2678" s="54">
        <f>IF(AND(AJ2678=1,AH2678&lt;&gt;"",COUNTIFS($AH$2:AH2678,AH2678,$AJ$2:AJ2678,1)=1),N(AL2677)+1,"")</f>
        <v/>
      </c>
      <c r="AL2678" s="54">
        <f>IF(AK2678&lt;&gt;"",AK2678,N(AL2677))</f>
        <v/>
      </c>
    </row>
    <row r="2679">
      <c r="A2679" t="inlineStr">
        <is>
          <t>PRD-0893</t>
        </is>
      </c>
      <c r="B2679" t="inlineStr">
        <is>
          <t>Production</t>
        </is>
      </c>
      <c r="AB2679" t="n">
        <v>893</v>
      </c>
      <c r="AD2679" s="52">
        <f>IFERROR(N(IFERROR(INDEX($A2679:$AB2679,MATCH("Xero Invoiced Ex GST",$A$1:$AB$1,0)),"")),0)</f>
        <v/>
      </c>
      <c r="AE2679" s="53">
        <f>IFERROR(INDEX($A2679:$AB2679,MATCH("Xero Invoice Date",$A$1:$AB$1,0)),"")</f>
        <v/>
      </c>
      <c r="AF2679" s="54">
        <f>IF(AND(IFERROR(INDEX($A2679:$AB2679,MATCH("Xero Invoice No",$A$1:$AB$1,0)),"")&amp;""&lt;&gt;"",ISNUMBER(AE2679),AD2679&lt;&gt;0),1,0)</f>
        <v/>
      </c>
      <c r="AG2679" s="55">
        <f>IF(AF2679=1,EOMONTH(AE2679,0),"")</f>
        <v/>
      </c>
      <c r="AH2679" s="9">
        <f>IF(AF2679=1,UPPER(TRIM(IFERROR(INDEX($A2679:$AB2679,MATCH("Client",$A$1:$AB$1,0)),"")&amp;"")),"")</f>
        <v/>
      </c>
      <c r="AI2679" s="9">
        <f>IF(AF2679=1,IFERROR(INDEX($A2679:$AB2679,MATCH("Cost Centre",$A$1:$AB$1,0)),"")&amp;"","")</f>
        <v/>
      </c>
      <c r="AJ2679" s="54">
        <f>IF(AND(AF2679=1,AE2679&gt;=set_FYStart,AE2679&lt;=set_AsAt),1,0)</f>
        <v/>
      </c>
      <c r="AK2679" s="54">
        <f>IF(AND(AJ2679=1,AH2679&lt;&gt;"",COUNTIFS($AH$2:AH2679,AH2679,$AJ$2:AJ2679,1)=1),N(AL2678)+1,"")</f>
        <v/>
      </c>
      <c r="AL2679" s="54">
        <f>IF(AK2679&lt;&gt;"",AK2679,N(AL2678))</f>
        <v/>
      </c>
    </row>
    <row r="2680">
      <c r="A2680" t="inlineStr">
        <is>
          <t>CON-0893</t>
        </is>
      </c>
      <c r="B2680" t="inlineStr">
        <is>
          <t>Consulting</t>
        </is>
      </c>
      <c r="AB2680" t="n">
        <v>893</v>
      </c>
      <c r="AD2680" s="52">
        <f>IFERROR(N(IFERROR(INDEX($A2680:$AB2680,MATCH("Xero Invoiced Ex GST",$A$1:$AB$1,0)),"")),0)</f>
        <v/>
      </c>
      <c r="AE2680" s="53">
        <f>IFERROR(INDEX($A2680:$AB2680,MATCH("Xero Invoice Date",$A$1:$AB$1,0)),"")</f>
        <v/>
      </c>
      <c r="AF2680" s="54">
        <f>IF(AND(IFERROR(INDEX($A2680:$AB2680,MATCH("Xero Invoice No",$A$1:$AB$1,0)),"")&amp;""&lt;&gt;"",ISNUMBER(AE2680),AD2680&lt;&gt;0),1,0)</f>
        <v/>
      </c>
      <c r="AG2680" s="55">
        <f>IF(AF2680=1,EOMONTH(AE2680,0),"")</f>
        <v/>
      </c>
      <c r="AH2680" s="9">
        <f>IF(AF2680=1,UPPER(TRIM(IFERROR(INDEX($A2680:$AB2680,MATCH("Client",$A$1:$AB$1,0)),"")&amp;"")),"")</f>
        <v/>
      </c>
      <c r="AI2680" s="9">
        <f>IF(AF2680=1,IFERROR(INDEX($A2680:$AB2680,MATCH("Cost Centre",$A$1:$AB$1,0)),"")&amp;"","")</f>
        <v/>
      </c>
      <c r="AJ2680" s="54">
        <f>IF(AND(AF2680=1,AE2680&gt;=set_FYStart,AE2680&lt;=set_AsAt),1,0)</f>
        <v/>
      </c>
      <c r="AK2680" s="54">
        <f>IF(AND(AJ2680=1,AH2680&lt;&gt;"",COUNTIFS($AH$2:AH2680,AH2680,$AJ$2:AJ2680,1)=1),N(AL2679)+1,"")</f>
        <v/>
      </c>
      <c r="AL2680" s="54">
        <f>IF(AK2680&lt;&gt;"",AK2680,N(AL2679))</f>
        <v/>
      </c>
    </row>
    <row r="2681">
      <c r="A2681" t="inlineStr">
        <is>
          <t>ONS-0894</t>
        </is>
      </c>
      <c r="B2681" t="inlineStr">
        <is>
          <t>Onsite</t>
        </is>
      </c>
      <c r="AB2681" t="n">
        <v>894</v>
      </c>
      <c r="AD2681" s="52">
        <f>IFERROR(N(IFERROR(INDEX($A2681:$AB2681,MATCH("Xero Invoiced Ex GST",$A$1:$AB$1,0)),"")),0)</f>
        <v/>
      </c>
      <c r="AE2681" s="53">
        <f>IFERROR(INDEX($A2681:$AB2681,MATCH("Xero Invoice Date",$A$1:$AB$1,0)),"")</f>
        <v/>
      </c>
      <c r="AF2681" s="54">
        <f>IF(AND(IFERROR(INDEX($A2681:$AB2681,MATCH("Xero Invoice No",$A$1:$AB$1,0)),"")&amp;""&lt;&gt;"",ISNUMBER(AE2681),AD2681&lt;&gt;0),1,0)</f>
        <v/>
      </c>
      <c r="AG2681" s="55">
        <f>IF(AF2681=1,EOMONTH(AE2681,0),"")</f>
        <v/>
      </c>
      <c r="AH2681" s="9">
        <f>IF(AF2681=1,UPPER(TRIM(IFERROR(INDEX($A2681:$AB2681,MATCH("Client",$A$1:$AB$1,0)),"")&amp;"")),"")</f>
        <v/>
      </c>
      <c r="AI2681" s="9">
        <f>IF(AF2681=1,IFERROR(INDEX($A2681:$AB2681,MATCH("Cost Centre",$A$1:$AB$1,0)),"")&amp;"","")</f>
        <v/>
      </c>
      <c r="AJ2681" s="54">
        <f>IF(AND(AF2681=1,AE2681&gt;=set_FYStart,AE2681&lt;=set_AsAt),1,0)</f>
        <v/>
      </c>
      <c r="AK2681" s="54">
        <f>IF(AND(AJ2681=1,AH2681&lt;&gt;"",COUNTIFS($AH$2:AH2681,AH2681,$AJ$2:AJ2681,1)=1),N(AL2680)+1,"")</f>
        <v/>
      </c>
      <c r="AL2681" s="54">
        <f>IF(AK2681&lt;&gt;"",AK2681,N(AL2680))</f>
        <v/>
      </c>
    </row>
    <row r="2682">
      <c r="A2682" t="inlineStr">
        <is>
          <t>PRD-0894</t>
        </is>
      </c>
      <c r="B2682" t="inlineStr">
        <is>
          <t>Production</t>
        </is>
      </c>
      <c r="AB2682" t="n">
        <v>894</v>
      </c>
      <c r="AD2682" s="52">
        <f>IFERROR(N(IFERROR(INDEX($A2682:$AB2682,MATCH("Xero Invoiced Ex GST",$A$1:$AB$1,0)),"")),0)</f>
        <v/>
      </c>
      <c r="AE2682" s="53">
        <f>IFERROR(INDEX($A2682:$AB2682,MATCH("Xero Invoice Date",$A$1:$AB$1,0)),"")</f>
        <v/>
      </c>
      <c r="AF2682" s="54">
        <f>IF(AND(IFERROR(INDEX($A2682:$AB2682,MATCH("Xero Invoice No",$A$1:$AB$1,0)),"")&amp;""&lt;&gt;"",ISNUMBER(AE2682),AD2682&lt;&gt;0),1,0)</f>
        <v/>
      </c>
      <c r="AG2682" s="55">
        <f>IF(AF2682=1,EOMONTH(AE2682,0),"")</f>
        <v/>
      </c>
      <c r="AH2682" s="9">
        <f>IF(AF2682=1,UPPER(TRIM(IFERROR(INDEX($A2682:$AB2682,MATCH("Client",$A$1:$AB$1,0)),"")&amp;"")),"")</f>
        <v/>
      </c>
      <c r="AI2682" s="9">
        <f>IF(AF2682=1,IFERROR(INDEX($A2682:$AB2682,MATCH("Cost Centre",$A$1:$AB$1,0)),"")&amp;"","")</f>
        <v/>
      </c>
      <c r="AJ2682" s="54">
        <f>IF(AND(AF2682=1,AE2682&gt;=set_FYStart,AE2682&lt;=set_AsAt),1,0)</f>
        <v/>
      </c>
      <c r="AK2682" s="54">
        <f>IF(AND(AJ2682=1,AH2682&lt;&gt;"",COUNTIFS($AH$2:AH2682,AH2682,$AJ$2:AJ2682,1)=1),N(AL2681)+1,"")</f>
        <v/>
      </c>
      <c r="AL2682" s="54">
        <f>IF(AK2682&lt;&gt;"",AK2682,N(AL2681))</f>
        <v/>
      </c>
    </row>
    <row r="2683">
      <c r="A2683" t="inlineStr">
        <is>
          <t>CON-0894</t>
        </is>
      </c>
      <c r="B2683" t="inlineStr">
        <is>
          <t>Consulting</t>
        </is>
      </c>
      <c r="AB2683" t="n">
        <v>894</v>
      </c>
      <c r="AD2683" s="52">
        <f>IFERROR(N(IFERROR(INDEX($A2683:$AB2683,MATCH("Xero Invoiced Ex GST",$A$1:$AB$1,0)),"")),0)</f>
        <v/>
      </c>
      <c r="AE2683" s="53">
        <f>IFERROR(INDEX($A2683:$AB2683,MATCH("Xero Invoice Date",$A$1:$AB$1,0)),"")</f>
        <v/>
      </c>
      <c r="AF2683" s="54">
        <f>IF(AND(IFERROR(INDEX($A2683:$AB2683,MATCH("Xero Invoice No",$A$1:$AB$1,0)),"")&amp;""&lt;&gt;"",ISNUMBER(AE2683),AD2683&lt;&gt;0),1,0)</f>
        <v/>
      </c>
      <c r="AG2683" s="55">
        <f>IF(AF2683=1,EOMONTH(AE2683,0),"")</f>
        <v/>
      </c>
      <c r="AH2683" s="9">
        <f>IF(AF2683=1,UPPER(TRIM(IFERROR(INDEX($A2683:$AB2683,MATCH("Client",$A$1:$AB$1,0)),"")&amp;"")),"")</f>
        <v/>
      </c>
      <c r="AI2683" s="9">
        <f>IF(AF2683=1,IFERROR(INDEX($A2683:$AB2683,MATCH("Cost Centre",$A$1:$AB$1,0)),"")&amp;"","")</f>
        <v/>
      </c>
      <c r="AJ2683" s="54">
        <f>IF(AND(AF2683=1,AE2683&gt;=set_FYStart,AE2683&lt;=set_AsAt),1,0)</f>
        <v/>
      </c>
      <c r="AK2683" s="54">
        <f>IF(AND(AJ2683=1,AH2683&lt;&gt;"",COUNTIFS($AH$2:AH2683,AH2683,$AJ$2:AJ2683,1)=1),N(AL2682)+1,"")</f>
        <v/>
      </c>
      <c r="AL2683" s="54">
        <f>IF(AK2683&lt;&gt;"",AK2683,N(AL2682))</f>
        <v/>
      </c>
    </row>
    <row r="2684">
      <c r="A2684" t="inlineStr">
        <is>
          <t>ONS-0895</t>
        </is>
      </c>
      <c r="B2684" t="inlineStr">
        <is>
          <t>Onsite</t>
        </is>
      </c>
      <c r="AB2684" t="n">
        <v>895</v>
      </c>
      <c r="AD2684" s="52">
        <f>IFERROR(N(IFERROR(INDEX($A2684:$AB2684,MATCH("Xero Invoiced Ex GST",$A$1:$AB$1,0)),"")),0)</f>
        <v/>
      </c>
      <c r="AE2684" s="53">
        <f>IFERROR(INDEX($A2684:$AB2684,MATCH("Xero Invoice Date",$A$1:$AB$1,0)),"")</f>
        <v/>
      </c>
      <c r="AF2684" s="54">
        <f>IF(AND(IFERROR(INDEX($A2684:$AB2684,MATCH("Xero Invoice No",$A$1:$AB$1,0)),"")&amp;""&lt;&gt;"",ISNUMBER(AE2684),AD2684&lt;&gt;0),1,0)</f>
        <v/>
      </c>
      <c r="AG2684" s="55">
        <f>IF(AF2684=1,EOMONTH(AE2684,0),"")</f>
        <v/>
      </c>
      <c r="AH2684" s="9">
        <f>IF(AF2684=1,UPPER(TRIM(IFERROR(INDEX($A2684:$AB2684,MATCH("Client",$A$1:$AB$1,0)),"")&amp;"")),"")</f>
        <v/>
      </c>
      <c r="AI2684" s="9">
        <f>IF(AF2684=1,IFERROR(INDEX($A2684:$AB2684,MATCH("Cost Centre",$A$1:$AB$1,0)),"")&amp;"","")</f>
        <v/>
      </c>
      <c r="AJ2684" s="54">
        <f>IF(AND(AF2684=1,AE2684&gt;=set_FYStart,AE2684&lt;=set_AsAt),1,0)</f>
        <v/>
      </c>
      <c r="AK2684" s="54">
        <f>IF(AND(AJ2684=1,AH2684&lt;&gt;"",COUNTIFS($AH$2:AH2684,AH2684,$AJ$2:AJ2684,1)=1),N(AL2683)+1,"")</f>
        <v/>
      </c>
      <c r="AL2684" s="54">
        <f>IF(AK2684&lt;&gt;"",AK2684,N(AL2683))</f>
        <v/>
      </c>
    </row>
    <row r="2685">
      <c r="A2685" t="inlineStr">
        <is>
          <t>PRD-0895</t>
        </is>
      </c>
      <c r="B2685" t="inlineStr">
        <is>
          <t>Production</t>
        </is>
      </c>
      <c r="AB2685" t="n">
        <v>895</v>
      </c>
      <c r="AD2685" s="52">
        <f>IFERROR(N(IFERROR(INDEX($A2685:$AB2685,MATCH("Xero Invoiced Ex GST",$A$1:$AB$1,0)),"")),0)</f>
        <v/>
      </c>
      <c r="AE2685" s="53">
        <f>IFERROR(INDEX($A2685:$AB2685,MATCH("Xero Invoice Date",$A$1:$AB$1,0)),"")</f>
        <v/>
      </c>
      <c r="AF2685" s="54">
        <f>IF(AND(IFERROR(INDEX($A2685:$AB2685,MATCH("Xero Invoice No",$A$1:$AB$1,0)),"")&amp;""&lt;&gt;"",ISNUMBER(AE2685),AD2685&lt;&gt;0),1,0)</f>
        <v/>
      </c>
      <c r="AG2685" s="55">
        <f>IF(AF2685=1,EOMONTH(AE2685,0),"")</f>
        <v/>
      </c>
      <c r="AH2685" s="9">
        <f>IF(AF2685=1,UPPER(TRIM(IFERROR(INDEX($A2685:$AB2685,MATCH("Client",$A$1:$AB$1,0)),"")&amp;"")),"")</f>
        <v/>
      </c>
      <c r="AI2685" s="9">
        <f>IF(AF2685=1,IFERROR(INDEX($A2685:$AB2685,MATCH("Cost Centre",$A$1:$AB$1,0)),"")&amp;"","")</f>
        <v/>
      </c>
      <c r="AJ2685" s="54">
        <f>IF(AND(AF2685=1,AE2685&gt;=set_FYStart,AE2685&lt;=set_AsAt),1,0)</f>
        <v/>
      </c>
      <c r="AK2685" s="54">
        <f>IF(AND(AJ2685=1,AH2685&lt;&gt;"",COUNTIFS($AH$2:AH2685,AH2685,$AJ$2:AJ2685,1)=1),N(AL2684)+1,"")</f>
        <v/>
      </c>
      <c r="AL2685" s="54">
        <f>IF(AK2685&lt;&gt;"",AK2685,N(AL2684))</f>
        <v/>
      </c>
    </row>
    <row r="2686">
      <c r="A2686" t="inlineStr">
        <is>
          <t>CON-0895</t>
        </is>
      </c>
      <c r="B2686" t="inlineStr">
        <is>
          <t>Consulting</t>
        </is>
      </c>
      <c r="AB2686" t="n">
        <v>895</v>
      </c>
      <c r="AD2686" s="52">
        <f>IFERROR(N(IFERROR(INDEX($A2686:$AB2686,MATCH("Xero Invoiced Ex GST",$A$1:$AB$1,0)),"")),0)</f>
        <v/>
      </c>
      <c r="AE2686" s="53">
        <f>IFERROR(INDEX($A2686:$AB2686,MATCH("Xero Invoice Date",$A$1:$AB$1,0)),"")</f>
        <v/>
      </c>
      <c r="AF2686" s="54">
        <f>IF(AND(IFERROR(INDEX($A2686:$AB2686,MATCH("Xero Invoice No",$A$1:$AB$1,0)),"")&amp;""&lt;&gt;"",ISNUMBER(AE2686),AD2686&lt;&gt;0),1,0)</f>
        <v/>
      </c>
      <c r="AG2686" s="55">
        <f>IF(AF2686=1,EOMONTH(AE2686,0),"")</f>
        <v/>
      </c>
      <c r="AH2686" s="9">
        <f>IF(AF2686=1,UPPER(TRIM(IFERROR(INDEX($A2686:$AB2686,MATCH("Client",$A$1:$AB$1,0)),"")&amp;"")),"")</f>
        <v/>
      </c>
      <c r="AI2686" s="9">
        <f>IF(AF2686=1,IFERROR(INDEX($A2686:$AB2686,MATCH("Cost Centre",$A$1:$AB$1,0)),"")&amp;"","")</f>
        <v/>
      </c>
      <c r="AJ2686" s="54">
        <f>IF(AND(AF2686=1,AE2686&gt;=set_FYStart,AE2686&lt;=set_AsAt),1,0)</f>
        <v/>
      </c>
      <c r="AK2686" s="54">
        <f>IF(AND(AJ2686=1,AH2686&lt;&gt;"",COUNTIFS($AH$2:AH2686,AH2686,$AJ$2:AJ2686,1)=1),N(AL2685)+1,"")</f>
        <v/>
      </c>
      <c r="AL2686" s="54">
        <f>IF(AK2686&lt;&gt;"",AK2686,N(AL2685))</f>
        <v/>
      </c>
    </row>
    <row r="2687">
      <c r="A2687" t="inlineStr">
        <is>
          <t>ONS-0896</t>
        </is>
      </c>
      <c r="B2687" t="inlineStr">
        <is>
          <t>Onsite</t>
        </is>
      </c>
      <c r="AB2687" t="n">
        <v>896</v>
      </c>
      <c r="AD2687" s="52">
        <f>IFERROR(N(IFERROR(INDEX($A2687:$AB2687,MATCH("Xero Invoiced Ex GST",$A$1:$AB$1,0)),"")),0)</f>
        <v/>
      </c>
      <c r="AE2687" s="53">
        <f>IFERROR(INDEX($A2687:$AB2687,MATCH("Xero Invoice Date",$A$1:$AB$1,0)),"")</f>
        <v/>
      </c>
      <c r="AF2687" s="54">
        <f>IF(AND(IFERROR(INDEX($A2687:$AB2687,MATCH("Xero Invoice No",$A$1:$AB$1,0)),"")&amp;""&lt;&gt;"",ISNUMBER(AE2687),AD2687&lt;&gt;0),1,0)</f>
        <v/>
      </c>
      <c r="AG2687" s="55">
        <f>IF(AF2687=1,EOMONTH(AE2687,0),"")</f>
        <v/>
      </c>
      <c r="AH2687" s="9">
        <f>IF(AF2687=1,UPPER(TRIM(IFERROR(INDEX($A2687:$AB2687,MATCH("Client",$A$1:$AB$1,0)),"")&amp;"")),"")</f>
        <v/>
      </c>
      <c r="AI2687" s="9">
        <f>IF(AF2687=1,IFERROR(INDEX($A2687:$AB2687,MATCH("Cost Centre",$A$1:$AB$1,0)),"")&amp;"","")</f>
        <v/>
      </c>
      <c r="AJ2687" s="54">
        <f>IF(AND(AF2687=1,AE2687&gt;=set_FYStart,AE2687&lt;=set_AsAt),1,0)</f>
        <v/>
      </c>
      <c r="AK2687" s="54">
        <f>IF(AND(AJ2687=1,AH2687&lt;&gt;"",COUNTIFS($AH$2:AH2687,AH2687,$AJ$2:AJ2687,1)=1),N(AL2686)+1,"")</f>
        <v/>
      </c>
      <c r="AL2687" s="54">
        <f>IF(AK2687&lt;&gt;"",AK2687,N(AL2686))</f>
        <v/>
      </c>
    </row>
    <row r="2688">
      <c r="A2688" t="inlineStr">
        <is>
          <t>PRD-0896</t>
        </is>
      </c>
      <c r="B2688" t="inlineStr">
        <is>
          <t>Production</t>
        </is>
      </c>
      <c r="AB2688" t="n">
        <v>896</v>
      </c>
      <c r="AD2688" s="52">
        <f>IFERROR(N(IFERROR(INDEX($A2688:$AB2688,MATCH("Xero Invoiced Ex GST",$A$1:$AB$1,0)),"")),0)</f>
        <v/>
      </c>
      <c r="AE2688" s="53">
        <f>IFERROR(INDEX($A2688:$AB2688,MATCH("Xero Invoice Date",$A$1:$AB$1,0)),"")</f>
        <v/>
      </c>
      <c r="AF2688" s="54">
        <f>IF(AND(IFERROR(INDEX($A2688:$AB2688,MATCH("Xero Invoice No",$A$1:$AB$1,0)),"")&amp;""&lt;&gt;"",ISNUMBER(AE2688),AD2688&lt;&gt;0),1,0)</f>
        <v/>
      </c>
      <c r="AG2688" s="55">
        <f>IF(AF2688=1,EOMONTH(AE2688,0),"")</f>
        <v/>
      </c>
      <c r="AH2688" s="9">
        <f>IF(AF2688=1,UPPER(TRIM(IFERROR(INDEX($A2688:$AB2688,MATCH("Client",$A$1:$AB$1,0)),"")&amp;"")),"")</f>
        <v/>
      </c>
      <c r="AI2688" s="9">
        <f>IF(AF2688=1,IFERROR(INDEX($A2688:$AB2688,MATCH("Cost Centre",$A$1:$AB$1,0)),"")&amp;"","")</f>
        <v/>
      </c>
      <c r="AJ2688" s="54">
        <f>IF(AND(AF2688=1,AE2688&gt;=set_FYStart,AE2688&lt;=set_AsAt),1,0)</f>
        <v/>
      </c>
      <c r="AK2688" s="54">
        <f>IF(AND(AJ2688=1,AH2688&lt;&gt;"",COUNTIFS($AH$2:AH2688,AH2688,$AJ$2:AJ2688,1)=1),N(AL2687)+1,"")</f>
        <v/>
      </c>
      <c r="AL2688" s="54">
        <f>IF(AK2688&lt;&gt;"",AK2688,N(AL2687))</f>
        <v/>
      </c>
    </row>
    <row r="2689">
      <c r="A2689" t="inlineStr">
        <is>
          <t>CON-0896</t>
        </is>
      </c>
      <c r="B2689" t="inlineStr">
        <is>
          <t>Consulting</t>
        </is>
      </c>
      <c r="AB2689" t="n">
        <v>896</v>
      </c>
      <c r="AD2689" s="52">
        <f>IFERROR(N(IFERROR(INDEX($A2689:$AB2689,MATCH("Xero Invoiced Ex GST",$A$1:$AB$1,0)),"")),0)</f>
        <v/>
      </c>
      <c r="AE2689" s="53">
        <f>IFERROR(INDEX($A2689:$AB2689,MATCH("Xero Invoice Date",$A$1:$AB$1,0)),"")</f>
        <v/>
      </c>
      <c r="AF2689" s="54">
        <f>IF(AND(IFERROR(INDEX($A2689:$AB2689,MATCH("Xero Invoice No",$A$1:$AB$1,0)),"")&amp;""&lt;&gt;"",ISNUMBER(AE2689),AD2689&lt;&gt;0),1,0)</f>
        <v/>
      </c>
      <c r="AG2689" s="55">
        <f>IF(AF2689=1,EOMONTH(AE2689,0),"")</f>
        <v/>
      </c>
      <c r="AH2689" s="9">
        <f>IF(AF2689=1,UPPER(TRIM(IFERROR(INDEX($A2689:$AB2689,MATCH("Client",$A$1:$AB$1,0)),"")&amp;"")),"")</f>
        <v/>
      </c>
      <c r="AI2689" s="9">
        <f>IF(AF2689=1,IFERROR(INDEX($A2689:$AB2689,MATCH("Cost Centre",$A$1:$AB$1,0)),"")&amp;"","")</f>
        <v/>
      </c>
      <c r="AJ2689" s="54">
        <f>IF(AND(AF2689=1,AE2689&gt;=set_FYStart,AE2689&lt;=set_AsAt),1,0)</f>
        <v/>
      </c>
      <c r="AK2689" s="54">
        <f>IF(AND(AJ2689=1,AH2689&lt;&gt;"",COUNTIFS($AH$2:AH2689,AH2689,$AJ$2:AJ2689,1)=1),N(AL2688)+1,"")</f>
        <v/>
      </c>
      <c r="AL2689" s="54">
        <f>IF(AK2689&lt;&gt;"",AK2689,N(AL2688))</f>
        <v/>
      </c>
    </row>
    <row r="2690">
      <c r="A2690" t="inlineStr">
        <is>
          <t>ONS-0897</t>
        </is>
      </c>
      <c r="B2690" t="inlineStr">
        <is>
          <t>Onsite</t>
        </is>
      </c>
      <c r="AB2690" t="n">
        <v>897</v>
      </c>
      <c r="AD2690" s="52">
        <f>IFERROR(N(IFERROR(INDEX($A2690:$AB2690,MATCH("Xero Invoiced Ex GST",$A$1:$AB$1,0)),"")),0)</f>
        <v/>
      </c>
      <c r="AE2690" s="53">
        <f>IFERROR(INDEX($A2690:$AB2690,MATCH("Xero Invoice Date",$A$1:$AB$1,0)),"")</f>
        <v/>
      </c>
      <c r="AF2690" s="54">
        <f>IF(AND(IFERROR(INDEX($A2690:$AB2690,MATCH("Xero Invoice No",$A$1:$AB$1,0)),"")&amp;""&lt;&gt;"",ISNUMBER(AE2690),AD2690&lt;&gt;0),1,0)</f>
        <v/>
      </c>
      <c r="AG2690" s="55">
        <f>IF(AF2690=1,EOMONTH(AE2690,0),"")</f>
        <v/>
      </c>
      <c r="AH2690" s="9">
        <f>IF(AF2690=1,UPPER(TRIM(IFERROR(INDEX($A2690:$AB2690,MATCH("Client",$A$1:$AB$1,0)),"")&amp;"")),"")</f>
        <v/>
      </c>
      <c r="AI2690" s="9">
        <f>IF(AF2690=1,IFERROR(INDEX($A2690:$AB2690,MATCH("Cost Centre",$A$1:$AB$1,0)),"")&amp;"","")</f>
        <v/>
      </c>
      <c r="AJ2690" s="54">
        <f>IF(AND(AF2690=1,AE2690&gt;=set_FYStart,AE2690&lt;=set_AsAt),1,0)</f>
        <v/>
      </c>
      <c r="AK2690" s="54">
        <f>IF(AND(AJ2690=1,AH2690&lt;&gt;"",COUNTIFS($AH$2:AH2690,AH2690,$AJ$2:AJ2690,1)=1),N(AL2689)+1,"")</f>
        <v/>
      </c>
      <c r="AL2690" s="54">
        <f>IF(AK2690&lt;&gt;"",AK2690,N(AL2689))</f>
        <v/>
      </c>
    </row>
    <row r="2691">
      <c r="A2691" t="inlineStr">
        <is>
          <t>PRD-0897</t>
        </is>
      </c>
      <c r="B2691" t="inlineStr">
        <is>
          <t>Production</t>
        </is>
      </c>
      <c r="AB2691" t="n">
        <v>897</v>
      </c>
      <c r="AD2691" s="52">
        <f>IFERROR(N(IFERROR(INDEX($A2691:$AB2691,MATCH("Xero Invoiced Ex GST",$A$1:$AB$1,0)),"")),0)</f>
        <v/>
      </c>
      <c r="AE2691" s="53">
        <f>IFERROR(INDEX($A2691:$AB2691,MATCH("Xero Invoice Date",$A$1:$AB$1,0)),"")</f>
        <v/>
      </c>
      <c r="AF2691" s="54">
        <f>IF(AND(IFERROR(INDEX($A2691:$AB2691,MATCH("Xero Invoice No",$A$1:$AB$1,0)),"")&amp;""&lt;&gt;"",ISNUMBER(AE2691),AD2691&lt;&gt;0),1,0)</f>
        <v/>
      </c>
      <c r="AG2691" s="55">
        <f>IF(AF2691=1,EOMONTH(AE2691,0),"")</f>
        <v/>
      </c>
      <c r="AH2691" s="9">
        <f>IF(AF2691=1,UPPER(TRIM(IFERROR(INDEX($A2691:$AB2691,MATCH("Client",$A$1:$AB$1,0)),"")&amp;"")),"")</f>
        <v/>
      </c>
      <c r="AI2691" s="9">
        <f>IF(AF2691=1,IFERROR(INDEX($A2691:$AB2691,MATCH("Cost Centre",$A$1:$AB$1,0)),"")&amp;"","")</f>
        <v/>
      </c>
      <c r="AJ2691" s="54">
        <f>IF(AND(AF2691=1,AE2691&gt;=set_FYStart,AE2691&lt;=set_AsAt),1,0)</f>
        <v/>
      </c>
      <c r="AK2691" s="54">
        <f>IF(AND(AJ2691=1,AH2691&lt;&gt;"",COUNTIFS($AH$2:AH2691,AH2691,$AJ$2:AJ2691,1)=1),N(AL2690)+1,"")</f>
        <v/>
      </c>
      <c r="AL2691" s="54">
        <f>IF(AK2691&lt;&gt;"",AK2691,N(AL2690))</f>
        <v/>
      </c>
    </row>
    <row r="2692">
      <c r="A2692" t="inlineStr">
        <is>
          <t>CON-0897</t>
        </is>
      </c>
      <c r="B2692" t="inlineStr">
        <is>
          <t>Consulting</t>
        </is>
      </c>
      <c r="AB2692" t="n">
        <v>897</v>
      </c>
      <c r="AD2692" s="52">
        <f>IFERROR(N(IFERROR(INDEX($A2692:$AB2692,MATCH("Xero Invoiced Ex GST",$A$1:$AB$1,0)),"")),0)</f>
        <v/>
      </c>
      <c r="AE2692" s="53">
        <f>IFERROR(INDEX($A2692:$AB2692,MATCH("Xero Invoice Date",$A$1:$AB$1,0)),"")</f>
        <v/>
      </c>
      <c r="AF2692" s="54">
        <f>IF(AND(IFERROR(INDEX($A2692:$AB2692,MATCH("Xero Invoice No",$A$1:$AB$1,0)),"")&amp;""&lt;&gt;"",ISNUMBER(AE2692),AD2692&lt;&gt;0),1,0)</f>
        <v/>
      </c>
      <c r="AG2692" s="55">
        <f>IF(AF2692=1,EOMONTH(AE2692,0),"")</f>
        <v/>
      </c>
      <c r="AH2692" s="9">
        <f>IF(AF2692=1,UPPER(TRIM(IFERROR(INDEX($A2692:$AB2692,MATCH("Client",$A$1:$AB$1,0)),"")&amp;"")),"")</f>
        <v/>
      </c>
      <c r="AI2692" s="9">
        <f>IF(AF2692=1,IFERROR(INDEX($A2692:$AB2692,MATCH("Cost Centre",$A$1:$AB$1,0)),"")&amp;"","")</f>
        <v/>
      </c>
      <c r="AJ2692" s="54">
        <f>IF(AND(AF2692=1,AE2692&gt;=set_FYStart,AE2692&lt;=set_AsAt),1,0)</f>
        <v/>
      </c>
      <c r="AK2692" s="54">
        <f>IF(AND(AJ2692=1,AH2692&lt;&gt;"",COUNTIFS($AH$2:AH2692,AH2692,$AJ$2:AJ2692,1)=1),N(AL2691)+1,"")</f>
        <v/>
      </c>
      <c r="AL2692" s="54">
        <f>IF(AK2692&lt;&gt;"",AK2692,N(AL2691))</f>
        <v/>
      </c>
    </row>
    <row r="2693">
      <c r="A2693" t="inlineStr">
        <is>
          <t>ONS-0898</t>
        </is>
      </c>
      <c r="B2693" t="inlineStr">
        <is>
          <t>Onsite</t>
        </is>
      </c>
      <c r="AB2693" t="n">
        <v>898</v>
      </c>
      <c r="AD2693" s="52">
        <f>IFERROR(N(IFERROR(INDEX($A2693:$AB2693,MATCH("Xero Invoiced Ex GST",$A$1:$AB$1,0)),"")),0)</f>
        <v/>
      </c>
      <c r="AE2693" s="53">
        <f>IFERROR(INDEX($A2693:$AB2693,MATCH("Xero Invoice Date",$A$1:$AB$1,0)),"")</f>
        <v/>
      </c>
      <c r="AF2693" s="54">
        <f>IF(AND(IFERROR(INDEX($A2693:$AB2693,MATCH("Xero Invoice No",$A$1:$AB$1,0)),"")&amp;""&lt;&gt;"",ISNUMBER(AE2693),AD2693&lt;&gt;0),1,0)</f>
        <v/>
      </c>
      <c r="AG2693" s="55">
        <f>IF(AF2693=1,EOMONTH(AE2693,0),"")</f>
        <v/>
      </c>
      <c r="AH2693" s="9">
        <f>IF(AF2693=1,UPPER(TRIM(IFERROR(INDEX($A2693:$AB2693,MATCH("Client",$A$1:$AB$1,0)),"")&amp;"")),"")</f>
        <v/>
      </c>
      <c r="AI2693" s="9">
        <f>IF(AF2693=1,IFERROR(INDEX($A2693:$AB2693,MATCH("Cost Centre",$A$1:$AB$1,0)),"")&amp;"","")</f>
        <v/>
      </c>
      <c r="AJ2693" s="54">
        <f>IF(AND(AF2693=1,AE2693&gt;=set_FYStart,AE2693&lt;=set_AsAt),1,0)</f>
        <v/>
      </c>
      <c r="AK2693" s="54">
        <f>IF(AND(AJ2693=1,AH2693&lt;&gt;"",COUNTIFS($AH$2:AH2693,AH2693,$AJ$2:AJ2693,1)=1),N(AL2692)+1,"")</f>
        <v/>
      </c>
      <c r="AL2693" s="54">
        <f>IF(AK2693&lt;&gt;"",AK2693,N(AL2692))</f>
        <v/>
      </c>
    </row>
    <row r="2694">
      <c r="A2694" t="inlineStr">
        <is>
          <t>PRD-0898</t>
        </is>
      </c>
      <c r="B2694" t="inlineStr">
        <is>
          <t>Production</t>
        </is>
      </c>
      <c r="AB2694" t="n">
        <v>898</v>
      </c>
      <c r="AD2694" s="52">
        <f>IFERROR(N(IFERROR(INDEX($A2694:$AB2694,MATCH("Xero Invoiced Ex GST",$A$1:$AB$1,0)),"")),0)</f>
        <v/>
      </c>
      <c r="AE2694" s="53">
        <f>IFERROR(INDEX($A2694:$AB2694,MATCH("Xero Invoice Date",$A$1:$AB$1,0)),"")</f>
        <v/>
      </c>
      <c r="AF2694" s="54">
        <f>IF(AND(IFERROR(INDEX($A2694:$AB2694,MATCH("Xero Invoice No",$A$1:$AB$1,0)),"")&amp;""&lt;&gt;"",ISNUMBER(AE2694),AD2694&lt;&gt;0),1,0)</f>
        <v/>
      </c>
      <c r="AG2694" s="55">
        <f>IF(AF2694=1,EOMONTH(AE2694,0),"")</f>
        <v/>
      </c>
      <c r="AH2694" s="9">
        <f>IF(AF2694=1,UPPER(TRIM(IFERROR(INDEX($A2694:$AB2694,MATCH("Client",$A$1:$AB$1,0)),"")&amp;"")),"")</f>
        <v/>
      </c>
      <c r="AI2694" s="9">
        <f>IF(AF2694=1,IFERROR(INDEX($A2694:$AB2694,MATCH("Cost Centre",$A$1:$AB$1,0)),"")&amp;"","")</f>
        <v/>
      </c>
      <c r="AJ2694" s="54">
        <f>IF(AND(AF2694=1,AE2694&gt;=set_FYStart,AE2694&lt;=set_AsAt),1,0)</f>
        <v/>
      </c>
      <c r="AK2694" s="54">
        <f>IF(AND(AJ2694=1,AH2694&lt;&gt;"",COUNTIFS($AH$2:AH2694,AH2694,$AJ$2:AJ2694,1)=1),N(AL2693)+1,"")</f>
        <v/>
      </c>
      <c r="AL2694" s="54">
        <f>IF(AK2694&lt;&gt;"",AK2694,N(AL2693))</f>
        <v/>
      </c>
    </row>
    <row r="2695">
      <c r="A2695" t="inlineStr">
        <is>
          <t>CON-0898</t>
        </is>
      </c>
      <c r="B2695" t="inlineStr">
        <is>
          <t>Consulting</t>
        </is>
      </c>
      <c r="AB2695" t="n">
        <v>898</v>
      </c>
      <c r="AD2695" s="52">
        <f>IFERROR(N(IFERROR(INDEX($A2695:$AB2695,MATCH("Xero Invoiced Ex GST",$A$1:$AB$1,0)),"")),0)</f>
        <v/>
      </c>
      <c r="AE2695" s="53">
        <f>IFERROR(INDEX($A2695:$AB2695,MATCH("Xero Invoice Date",$A$1:$AB$1,0)),"")</f>
        <v/>
      </c>
      <c r="AF2695" s="54">
        <f>IF(AND(IFERROR(INDEX($A2695:$AB2695,MATCH("Xero Invoice No",$A$1:$AB$1,0)),"")&amp;""&lt;&gt;"",ISNUMBER(AE2695),AD2695&lt;&gt;0),1,0)</f>
        <v/>
      </c>
      <c r="AG2695" s="55">
        <f>IF(AF2695=1,EOMONTH(AE2695,0),"")</f>
        <v/>
      </c>
      <c r="AH2695" s="9">
        <f>IF(AF2695=1,UPPER(TRIM(IFERROR(INDEX($A2695:$AB2695,MATCH("Client",$A$1:$AB$1,0)),"")&amp;"")),"")</f>
        <v/>
      </c>
      <c r="AI2695" s="9">
        <f>IF(AF2695=1,IFERROR(INDEX($A2695:$AB2695,MATCH("Cost Centre",$A$1:$AB$1,0)),"")&amp;"","")</f>
        <v/>
      </c>
      <c r="AJ2695" s="54">
        <f>IF(AND(AF2695=1,AE2695&gt;=set_FYStart,AE2695&lt;=set_AsAt),1,0)</f>
        <v/>
      </c>
      <c r="AK2695" s="54">
        <f>IF(AND(AJ2695=1,AH2695&lt;&gt;"",COUNTIFS($AH$2:AH2695,AH2695,$AJ$2:AJ2695,1)=1),N(AL2694)+1,"")</f>
        <v/>
      </c>
      <c r="AL2695" s="54">
        <f>IF(AK2695&lt;&gt;"",AK2695,N(AL2694))</f>
        <v/>
      </c>
    </row>
    <row r="2696">
      <c r="A2696" t="inlineStr">
        <is>
          <t>ONS-0899</t>
        </is>
      </c>
      <c r="B2696" t="inlineStr">
        <is>
          <t>Onsite</t>
        </is>
      </c>
      <c r="AB2696" t="n">
        <v>899</v>
      </c>
      <c r="AD2696" s="52">
        <f>IFERROR(N(IFERROR(INDEX($A2696:$AB2696,MATCH("Xero Invoiced Ex GST",$A$1:$AB$1,0)),"")),0)</f>
        <v/>
      </c>
      <c r="AE2696" s="53">
        <f>IFERROR(INDEX($A2696:$AB2696,MATCH("Xero Invoice Date",$A$1:$AB$1,0)),"")</f>
        <v/>
      </c>
      <c r="AF2696" s="54">
        <f>IF(AND(IFERROR(INDEX($A2696:$AB2696,MATCH("Xero Invoice No",$A$1:$AB$1,0)),"")&amp;""&lt;&gt;"",ISNUMBER(AE2696),AD2696&lt;&gt;0),1,0)</f>
        <v/>
      </c>
      <c r="AG2696" s="55">
        <f>IF(AF2696=1,EOMONTH(AE2696,0),"")</f>
        <v/>
      </c>
      <c r="AH2696" s="9">
        <f>IF(AF2696=1,UPPER(TRIM(IFERROR(INDEX($A2696:$AB2696,MATCH("Client",$A$1:$AB$1,0)),"")&amp;"")),"")</f>
        <v/>
      </c>
      <c r="AI2696" s="9">
        <f>IF(AF2696=1,IFERROR(INDEX($A2696:$AB2696,MATCH("Cost Centre",$A$1:$AB$1,0)),"")&amp;"","")</f>
        <v/>
      </c>
      <c r="AJ2696" s="54">
        <f>IF(AND(AF2696=1,AE2696&gt;=set_FYStart,AE2696&lt;=set_AsAt),1,0)</f>
        <v/>
      </c>
      <c r="AK2696" s="54">
        <f>IF(AND(AJ2696=1,AH2696&lt;&gt;"",COUNTIFS($AH$2:AH2696,AH2696,$AJ$2:AJ2696,1)=1),N(AL2695)+1,"")</f>
        <v/>
      </c>
      <c r="AL2696" s="54">
        <f>IF(AK2696&lt;&gt;"",AK2696,N(AL2695))</f>
        <v/>
      </c>
    </row>
    <row r="2697">
      <c r="A2697" t="inlineStr">
        <is>
          <t>PRD-0899</t>
        </is>
      </c>
      <c r="B2697" t="inlineStr">
        <is>
          <t>Production</t>
        </is>
      </c>
      <c r="AB2697" t="n">
        <v>899</v>
      </c>
      <c r="AD2697" s="52">
        <f>IFERROR(N(IFERROR(INDEX($A2697:$AB2697,MATCH("Xero Invoiced Ex GST",$A$1:$AB$1,0)),"")),0)</f>
        <v/>
      </c>
      <c r="AE2697" s="53">
        <f>IFERROR(INDEX($A2697:$AB2697,MATCH("Xero Invoice Date",$A$1:$AB$1,0)),"")</f>
        <v/>
      </c>
      <c r="AF2697" s="54">
        <f>IF(AND(IFERROR(INDEX($A2697:$AB2697,MATCH("Xero Invoice No",$A$1:$AB$1,0)),"")&amp;""&lt;&gt;"",ISNUMBER(AE2697),AD2697&lt;&gt;0),1,0)</f>
        <v/>
      </c>
      <c r="AG2697" s="55">
        <f>IF(AF2697=1,EOMONTH(AE2697,0),"")</f>
        <v/>
      </c>
      <c r="AH2697" s="9">
        <f>IF(AF2697=1,UPPER(TRIM(IFERROR(INDEX($A2697:$AB2697,MATCH("Client",$A$1:$AB$1,0)),"")&amp;"")),"")</f>
        <v/>
      </c>
      <c r="AI2697" s="9">
        <f>IF(AF2697=1,IFERROR(INDEX($A2697:$AB2697,MATCH("Cost Centre",$A$1:$AB$1,0)),"")&amp;"","")</f>
        <v/>
      </c>
      <c r="AJ2697" s="54">
        <f>IF(AND(AF2697=1,AE2697&gt;=set_FYStart,AE2697&lt;=set_AsAt),1,0)</f>
        <v/>
      </c>
      <c r="AK2697" s="54">
        <f>IF(AND(AJ2697=1,AH2697&lt;&gt;"",COUNTIFS($AH$2:AH2697,AH2697,$AJ$2:AJ2697,1)=1),N(AL2696)+1,"")</f>
        <v/>
      </c>
      <c r="AL2697" s="54">
        <f>IF(AK2697&lt;&gt;"",AK2697,N(AL2696))</f>
        <v/>
      </c>
    </row>
    <row r="2698">
      <c r="A2698" t="inlineStr">
        <is>
          <t>CON-0899</t>
        </is>
      </c>
      <c r="B2698" t="inlineStr">
        <is>
          <t>Consulting</t>
        </is>
      </c>
      <c r="AB2698" t="n">
        <v>899</v>
      </c>
      <c r="AD2698" s="52">
        <f>IFERROR(N(IFERROR(INDEX($A2698:$AB2698,MATCH("Xero Invoiced Ex GST",$A$1:$AB$1,0)),"")),0)</f>
        <v/>
      </c>
      <c r="AE2698" s="53">
        <f>IFERROR(INDEX($A2698:$AB2698,MATCH("Xero Invoice Date",$A$1:$AB$1,0)),"")</f>
        <v/>
      </c>
      <c r="AF2698" s="54">
        <f>IF(AND(IFERROR(INDEX($A2698:$AB2698,MATCH("Xero Invoice No",$A$1:$AB$1,0)),"")&amp;""&lt;&gt;"",ISNUMBER(AE2698),AD2698&lt;&gt;0),1,0)</f>
        <v/>
      </c>
      <c r="AG2698" s="55">
        <f>IF(AF2698=1,EOMONTH(AE2698,0),"")</f>
        <v/>
      </c>
      <c r="AH2698" s="9">
        <f>IF(AF2698=1,UPPER(TRIM(IFERROR(INDEX($A2698:$AB2698,MATCH("Client",$A$1:$AB$1,0)),"")&amp;"")),"")</f>
        <v/>
      </c>
      <c r="AI2698" s="9">
        <f>IF(AF2698=1,IFERROR(INDEX($A2698:$AB2698,MATCH("Cost Centre",$A$1:$AB$1,0)),"")&amp;"","")</f>
        <v/>
      </c>
      <c r="AJ2698" s="54">
        <f>IF(AND(AF2698=1,AE2698&gt;=set_FYStart,AE2698&lt;=set_AsAt),1,0)</f>
        <v/>
      </c>
      <c r="AK2698" s="54">
        <f>IF(AND(AJ2698=1,AH2698&lt;&gt;"",COUNTIFS($AH$2:AH2698,AH2698,$AJ$2:AJ2698,1)=1),N(AL2697)+1,"")</f>
        <v/>
      </c>
      <c r="AL2698" s="54">
        <f>IF(AK2698&lt;&gt;"",AK2698,N(AL2697))</f>
        <v/>
      </c>
    </row>
    <row r="2699">
      <c r="A2699" t="inlineStr">
        <is>
          <t>ONS-0900</t>
        </is>
      </c>
      <c r="B2699" t="inlineStr">
        <is>
          <t>Onsite</t>
        </is>
      </c>
      <c r="AB2699" t="n">
        <v>900</v>
      </c>
      <c r="AD2699" s="52">
        <f>IFERROR(N(IFERROR(INDEX($A2699:$AB2699,MATCH("Xero Invoiced Ex GST",$A$1:$AB$1,0)),"")),0)</f>
        <v/>
      </c>
      <c r="AE2699" s="53">
        <f>IFERROR(INDEX($A2699:$AB2699,MATCH("Xero Invoice Date",$A$1:$AB$1,0)),"")</f>
        <v/>
      </c>
      <c r="AF2699" s="54">
        <f>IF(AND(IFERROR(INDEX($A2699:$AB2699,MATCH("Xero Invoice No",$A$1:$AB$1,0)),"")&amp;""&lt;&gt;"",ISNUMBER(AE2699),AD2699&lt;&gt;0),1,0)</f>
        <v/>
      </c>
      <c r="AG2699" s="55">
        <f>IF(AF2699=1,EOMONTH(AE2699,0),"")</f>
        <v/>
      </c>
      <c r="AH2699" s="9">
        <f>IF(AF2699=1,UPPER(TRIM(IFERROR(INDEX($A2699:$AB2699,MATCH("Client",$A$1:$AB$1,0)),"")&amp;"")),"")</f>
        <v/>
      </c>
      <c r="AI2699" s="9">
        <f>IF(AF2699=1,IFERROR(INDEX($A2699:$AB2699,MATCH("Cost Centre",$A$1:$AB$1,0)),"")&amp;"","")</f>
        <v/>
      </c>
      <c r="AJ2699" s="54">
        <f>IF(AND(AF2699=1,AE2699&gt;=set_FYStart,AE2699&lt;=set_AsAt),1,0)</f>
        <v/>
      </c>
      <c r="AK2699" s="54">
        <f>IF(AND(AJ2699=1,AH2699&lt;&gt;"",COUNTIFS($AH$2:AH2699,AH2699,$AJ$2:AJ2699,1)=1),N(AL2698)+1,"")</f>
        <v/>
      </c>
      <c r="AL2699" s="54">
        <f>IF(AK2699&lt;&gt;"",AK2699,N(AL2698))</f>
        <v/>
      </c>
    </row>
    <row r="2700">
      <c r="A2700" t="inlineStr">
        <is>
          <t>PRD-0900</t>
        </is>
      </c>
      <c r="B2700" t="inlineStr">
        <is>
          <t>Production</t>
        </is>
      </c>
      <c r="AB2700" t="n">
        <v>900</v>
      </c>
      <c r="AD2700" s="52">
        <f>IFERROR(N(IFERROR(INDEX($A2700:$AB2700,MATCH("Xero Invoiced Ex GST",$A$1:$AB$1,0)),"")),0)</f>
        <v/>
      </c>
      <c r="AE2700" s="53">
        <f>IFERROR(INDEX($A2700:$AB2700,MATCH("Xero Invoice Date",$A$1:$AB$1,0)),"")</f>
        <v/>
      </c>
      <c r="AF2700" s="54">
        <f>IF(AND(IFERROR(INDEX($A2700:$AB2700,MATCH("Xero Invoice No",$A$1:$AB$1,0)),"")&amp;""&lt;&gt;"",ISNUMBER(AE2700),AD2700&lt;&gt;0),1,0)</f>
        <v/>
      </c>
      <c r="AG2700" s="55">
        <f>IF(AF2700=1,EOMONTH(AE2700,0),"")</f>
        <v/>
      </c>
      <c r="AH2700" s="9">
        <f>IF(AF2700=1,UPPER(TRIM(IFERROR(INDEX($A2700:$AB2700,MATCH("Client",$A$1:$AB$1,0)),"")&amp;"")),"")</f>
        <v/>
      </c>
      <c r="AI2700" s="9">
        <f>IF(AF2700=1,IFERROR(INDEX($A2700:$AB2700,MATCH("Cost Centre",$A$1:$AB$1,0)),"")&amp;"","")</f>
        <v/>
      </c>
      <c r="AJ2700" s="54">
        <f>IF(AND(AF2700=1,AE2700&gt;=set_FYStart,AE2700&lt;=set_AsAt),1,0)</f>
        <v/>
      </c>
      <c r="AK2700" s="54">
        <f>IF(AND(AJ2700=1,AH2700&lt;&gt;"",COUNTIFS($AH$2:AH2700,AH2700,$AJ$2:AJ2700,1)=1),N(AL2699)+1,"")</f>
        <v/>
      </c>
      <c r="AL2700" s="54">
        <f>IF(AK2700&lt;&gt;"",AK2700,N(AL2699))</f>
        <v/>
      </c>
    </row>
    <row r="2701">
      <c r="A2701" t="inlineStr">
        <is>
          <t>CON-0900</t>
        </is>
      </c>
      <c r="B2701" t="inlineStr">
        <is>
          <t>Consulting</t>
        </is>
      </c>
      <c r="AB2701" t="n">
        <v>900</v>
      </c>
      <c r="AD2701" s="52">
        <f>IFERROR(N(IFERROR(INDEX($A2701:$AB2701,MATCH("Xero Invoiced Ex GST",$A$1:$AB$1,0)),"")),0)</f>
        <v/>
      </c>
      <c r="AE2701" s="53">
        <f>IFERROR(INDEX($A2701:$AB2701,MATCH("Xero Invoice Date",$A$1:$AB$1,0)),"")</f>
        <v/>
      </c>
      <c r="AF2701" s="54">
        <f>IF(AND(IFERROR(INDEX($A2701:$AB2701,MATCH("Xero Invoice No",$A$1:$AB$1,0)),"")&amp;""&lt;&gt;"",ISNUMBER(AE2701),AD2701&lt;&gt;0),1,0)</f>
        <v/>
      </c>
      <c r="AG2701" s="55">
        <f>IF(AF2701=1,EOMONTH(AE2701,0),"")</f>
        <v/>
      </c>
      <c r="AH2701" s="9">
        <f>IF(AF2701=1,UPPER(TRIM(IFERROR(INDEX($A2701:$AB2701,MATCH("Client",$A$1:$AB$1,0)),"")&amp;"")),"")</f>
        <v/>
      </c>
      <c r="AI2701" s="9">
        <f>IF(AF2701=1,IFERROR(INDEX($A2701:$AB2701,MATCH("Cost Centre",$A$1:$AB$1,0)),"")&amp;"","")</f>
        <v/>
      </c>
      <c r="AJ2701" s="54">
        <f>IF(AND(AF2701=1,AE2701&gt;=set_FYStart,AE2701&lt;=set_AsAt),1,0)</f>
        <v/>
      </c>
      <c r="AK2701" s="54">
        <f>IF(AND(AJ2701=1,AH2701&lt;&gt;"",COUNTIFS($AH$2:AH2701,AH2701,$AJ$2:AJ2701,1)=1),N(AL2700)+1,"")</f>
        <v/>
      </c>
      <c r="AL2701" s="54">
        <f>IF(AK2701&lt;&gt;"",AK2701,N(AL2700))</f>
        <v/>
      </c>
    </row>
    <row r="2702">
      <c r="A2702" t="inlineStr">
        <is>
          <t>ONS-0901</t>
        </is>
      </c>
      <c r="B2702" t="inlineStr">
        <is>
          <t>Onsite</t>
        </is>
      </c>
      <c r="AB2702" t="n">
        <v>901</v>
      </c>
      <c r="AD2702" s="52">
        <f>IFERROR(N(IFERROR(INDEX($A2702:$AB2702,MATCH("Xero Invoiced Ex GST",$A$1:$AB$1,0)),"")),0)</f>
        <v/>
      </c>
      <c r="AE2702" s="53">
        <f>IFERROR(INDEX($A2702:$AB2702,MATCH("Xero Invoice Date",$A$1:$AB$1,0)),"")</f>
        <v/>
      </c>
      <c r="AF2702" s="54">
        <f>IF(AND(IFERROR(INDEX($A2702:$AB2702,MATCH("Xero Invoice No",$A$1:$AB$1,0)),"")&amp;""&lt;&gt;"",ISNUMBER(AE2702),AD2702&lt;&gt;0),1,0)</f>
        <v/>
      </c>
      <c r="AG2702" s="55">
        <f>IF(AF2702=1,EOMONTH(AE2702,0),"")</f>
        <v/>
      </c>
      <c r="AH2702" s="9">
        <f>IF(AF2702=1,UPPER(TRIM(IFERROR(INDEX($A2702:$AB2702,MATCH("Client",$A$1:$AB$1,0)),"")&amp;"")),"")</f>
        <v/>
      </c>
      <c r="AI2702" s="9">
        <f>IF(AF2702=1,IFERROR(INDEX($A2702:$AB2702,MATCH("Cost Centre",$A$1:$AB$1,0)),"")&amp;"","")</f>
        <v/>
      </c>
      <c r="AJ2702" s="54">
        <f>IF(AND(AF2702=1,AE2702&gt;=set_FYStart,AE2702&lt;=set_AsAt),1,0)</f>
        <v/>
      </c>
      <c r="AK2702" s="54">
        <f>IF(AND(AJ2702=1,AH2702&lt;&gt;"",COUNTIFS($AH$2:AH2702,AH2702,$AJ$2:AJ2702,1)=1),N(AL2701)+1,"")</f>
        <v/>
      </c>
      <c r="AL2702" s="54">
        <f>IF(AK2702&lt;&gt;"",AK2702,N(AL2701))</f>
        <v/>
      </c>
    </row>
    <row r="2703">
      <c r="A2703" t="inlineStr">
        <is>
          <t>PRD-0901</t>
        </is>
      </c>
      <c r="B2703" t="inlineStr">
        <is>
          <t>Production</t>
        </is>
      </c>
      <c r="AB2703" t="n">
        <v>901</v>
      </c>
      <c r="AD2703" s="52">
        <f>IFERROR(N(IFERROR(INDEX($A2703:$AB2703,MATCH("Xero Invoiced Ex GST",$A$1:$AB$1,0)),"")),0)</f>
        <v/>
      </c>
      <c r="AE2703" s="53">
        <f>IFERROR(INDEX($A2703:$AB2703,MATCH("Xero Invoice Date",$A$1:$AB$1,0)),"")</f>
        <v/>
      </c>
      <c r="AF2703" s="54">
        <f>IF(AND(IFERROR(INDEX($A2703:$AB2703,MATCH("Xero Invoice No",$A$1:$AB$1,0)),"")&amp;""&lt;&gt;"",ISNUMBER(AE2703),AD2703&lt;&gt;0),1,0)</f>
        <v/>
      </c>
      <c r="AG2703" s="55">
        <f>IF(AF2703=1,EOMONTH(AE2703,0),"")</f>
        <v/>
      </c>
      <c r="AH2703" s="9">
        <f>IF(AF2703=1,UPPER(TRIM(IFERROR(INDEX($A2703:$AB2703,MATCH("Client",$A$1:$AB$1,0)),"")&amp;"")),"")</f>
        <v/>
      </c>
      <c r="AI2703" s="9">
        <f>IF(AF2703=1,IFERROR(INDEX($A2703:$AB2703,MATCH("Cost Centre",$A$1:$AB$1,0)),"")&amp;"","")</f>
        <v/>
      </c>
      <c r="AJ2703" s="54">
        <f>IF(AND(AF2703=1,AE2703&gt;=set_FYStart,AE2703&lt;=set_AsAt),1,0)</f>
        <v/>
      </c>
      <c r="AK2703" s="54">
        <f>IF(AND(AJ2703=1,AH2703&lt;&gt;"",COUNTIFS($AH$2:AH2703,AH2703,$AJ$2:AJ2703,1)=1),N(AL2702)+1,"")</f>
        <v/>
      </c>
      <c r="AL2703" s="54">
        <f>IF(AK2703&lt;&gt;"",AK2703,N(AL2702))</f>
        <v/>
      </c>
    </row>
    <row r="2704">
      <c r="A2704" t="inlineStr">
        <is>
          <t>CON-0901</t>
        </is>
      </c>
      <c r="B2704" t="inlineStr">
        <is>
          <t>Consulting</t>
        </is>
      </c>
      <c r="AB2704" t="n">
        <v>901</v>
      </c>
      <c r="AD2704" s="52">
        <f>IFERROR(N(IFERROR(INDEX($A2704:$AB2704,MATCH("Xero Invoiced Ex GST",$A$1:$AB$1,0)),"")),0)</f>
        <v/>
      </c>
      <c r="AE2704" s="53">
        <f>IFERROR(INDEX($A2704:$AB2704,MATCH("Xero Invoice Date",$A$1:$AB$1,0)),"")</f>
        <v/>
      </c>
      <c r="AF2704" s="54">
        <f>IF(AND(IFERROR(INDEX($A2704:$AB2704,MATCH("Xero Invoice No",$A$1:$AB$1,0)),"")&amp;""&lt;&gt;"",ISNUMBER(AE2704),AD2704&lt;&gt;0),1,0)</f>
        <v/>
      </c>
      <c r="AG2704" s="55">
        <f>IF(AF2704=1,EOMONTH(AE2704,0),"")</f>
        <v/>
      </c>
      <c r="AH2704" s="9">
        <f>IF(AF2704=1,UPPER(TRIM(IFERROR(INDEX($A2704:$AB2704,MATCH("Client",$A$1:$AB$1,0)),"")&amp;"")),"")</f>
        <v/>
      </c>
      <c r="AI2704" s="9">
        <f>IF(AF2704=1,IFERROR(INDEX($A2704:$AB2704,MATCH("Cost Centre",$A$1:$AB$1,0)),"")&amp;"","")</f>
        <v/>
      </c>
      <c r="AJ2704" s="54">
        <f>IF(AND(AF2704=1,AE2704&gt;=set_FYStart,AE2704&lt;=set_AsAt),1,0)</f>
        <v/>
      </c>
      <c r="AK2704" s="54">
        <f>IF(AND(AJ2704=1,AH2704&lt;&gt;"",COUNTIFS($AH$2:AH2704,AH2704,$AJ$2:AJ2704,1)=1),N(AL2703)+1,"")</f>
        <v/>
      </c>
      <c r="AL2704" s="54">
        <f>IF(AK2704&lt;&gt;"",AK2704,N(AL2703))</f>
        <v/>
      </c>
    </row>
    <row r="2705">
      <c r="A2705" t="inlineStr">
        <is>
          <t>ONS-0902</t>
        </is>
      </c>
      <c r="B2705" t="inlineStr">
        <is>
          <t>Onsite</t>
        </is>
      </c>
      <c r="AB2705" t="n">
        <v>902</v>
      </c>
      <c r="AD2705" s="52">
        <f>IFERROR(N(IFERROR(INDEX($A2705:$AB2705,MATCH("Xero Invoiced Ex GST",$A$1:$AB$1,0)),"")),0)</f>
        <v/>
      </c>
      <c r="AE2705" s="53">
        <f>IFERROR(INDEX($A2705:$AB2705,MATCH("Xero Invoice Date",$A$1:$AB$1,0)),"")</f>
        <v/>
      </c>
      <c r="AF2705" s="54">
        <f>IF(AND(IFERROR(INDEX($A2705:$AB2705,MATCH("Xero Invoice No",$A$1:$AB$1,0)),"")&amp;""&lt;&gt;"",ISNUMBER(AE2705),AD2705&lt;&gt;0),1,0)</f>
        <v/>
      </c>
      <c r="AG2705" s="55">
        <f>IF(AF2705=1,EOMONTH(AE2705,0),"")</f>
        <v/>
      </c>
      <c r="AH2705" s="9">
        <f>IF(AF2705=1,UPPER(TRIM(IFERROR(INDEX($A2705:$AB2705,MATCH("Client",$A$1:$AB$1,0)),"")&amp;"")),"")</f>
        <v/>
      </c>
      <c r="AI2705" s="9">
        <f>IF(AF2705=1,IFERROR(INDEX($A2705:$AB2705,MATCH("Cost Centre",$A$1:$AB$1,0)),"")&amp;"","")</f>
        <v/>
      </c>
      <c r="AJ2705" s="54">
        <f>IF(AND(AF2705=1,AE2705&gt;=set_FYStart,AE2705&lt;=set_AsAt),1,0)</f>
        <v/>
      </c>
      <c r="AK2705" s="54">
        <f>IF(AND(AJ2705=1,AH2705&lt;&gt;"",COUNTIFS($AH$2:AH2705,AH2705,$AJ$2:AJ2705,1)=1),N(AL2704)+1,"")</f>
        <v/>
      </c>
      <c r="AL2705" s="54">
        <f>IF(AK2705&lt;&gt;"",AK2705,N(AL2704))</f>
        <v/>
      </c>
    </row>
    <row r="2706">
      <c r="A2706" t="inlineStr">
        <is>
          <t>PRD-0902</t>
        </is>
      </c>
      <c r="B2706" t="inlineStr">
        <is>
          <t>Production</t>
        </is>
      </c>
      <c r="AB2706" t="n">
        <v>902</v>
      </c>
      <c r="AD2706" s="52">
        <f>IFERROR(N(IFERROR(INDEX($A2706:$AB2706,MATCH("Xero Invoiced Ex GST",$A$1:$AB$1,0)),"")),0)</f>
        <v/>
      </c>
      <c r="AE2706" s="53">
        <f>IFERROR(INDEX($A2706:$AB2706,MATCH("Xero Invoice Date",$A$1:$AB$1,0)),"")</f>
        <v/>
      </c>
      <c r="AF2706" s="54">
        <f>IF(AND(IFERROR(INDEX($A2706:$AB2706,MATCH("Xero Invoice No",$A$1:$AB$1,0)),"")&amp;""&lt;&gt;"",ISNUMBER(AE2706),AD2706&lt;&gt;0),1,0)</f>
        <v/>
      </c>
      <c r="AG2706" s="55">
        <f>IF(AF2706=1,EOMONTH(AE2706,0),"")</f>
        <v/>
      </c>
      <c r="AH2706" s="9">
        <f>IF(AF2706=1,UPPER(TRIM(IFERROR(INDEX($A2706:$AB2706,MATCH("Client",$A$1:$AB$1,0)),"")&amp;"")),"")</f>
        <v/>
      </c>
      <c r="AI2706" s="9">
        <f>IF(AF2706=1,IFERROR(INDEX($A2706:$AB2706,MATCH("Cost Centre",$A$1:$AB$1,0)),"")&amp;"","")</f>
        <v/>
      </c>
      <c r="AJ2706" s="54">
        <f>IF(AND(AF2706=1,AE2706&gt;=set_FYStart,AE2706&lt;=set_AsAt),1,0)</f>
        <v/>
      </c>
      <c r="AK2706" s="54">
        <f>IF(AND(AJ2706=1,AH2706&lt;&gt;"",COUNTIFS($AH$2:AH2706,AH2706,$AJ$2:AJ2706,1)=1),N(AL2705)+1,"")</f>
        <v/>
      </c>
      <c r="AL2706" s="54">
        <f>IF(AK2706&lt;&gt;"",AK2706,N(AL2705))</f>
        <v/>
      </c>
    </row>
    <row r="2707">
      <c r="A2707" t="inlineStr">
        <is>
          <t>CON-0902</t>
        </is>
      </c>
      <c r="B2707" t="inlineStr">
        <is>
          <t>Consulting</t>
        </is>
      </c>
      <c r="AB2707" t="n">
        <v>902</v>
      </c>
      <c r="AD2707" s="52">
        <f>IFERROR(N(IFERROR(INDEX($A2707:$AB2707,MATCH("Xero Invoiced Ex GST",$A$1:$AB$1,0)),"")),0)</f>
        <v/>
      </c>
      <c r="AE2707" s="53">
        <f>IFERROR(INDEX($A2707:$AB2707,MATCH("Xero Invoice Date",$A$1:$AB$1,0)),"")</f>
        <v/>
      </c>
      <c r="AF2707" s="54">
        <f>IF(AND(IFERROR(INDEX($A2707:$AB2707,MATCH("Xero Invoice No",$A$1:$AB$1,0)),"")&amp;""&lt;&gt;"",ISNUMBER(AE2707),AD2707&lt;&gt;0),1,0)</f>
        <v/>
      </c>
      <c r="AG2707" s="55">
        <f>IF(AF2707=1,EOMONTH(AE2707,0),"")</f>
        <v/>
      </c>
      <c r="AH2707" s="9">
        <f>IF(AF2707=1,UPPER(TRIM(IFERROR(INDEX($A2707:$AB2707,MATCH("Client",$A$1:$AB$1,0)),"")&amp;"")),"")</f>
        <v/>
      </c>
      <c r="AI2707" s="9">
        <f>IF(AF2707=1,IFERROR(INDEX($A2707:$AB2707,MATCH("Cost Centre",$A$1:$AB$1,0)),"")&amp;"","")</f>
        <v/>
      </c>
      <c r="AJ2707" s="54">
        <f>IF(AND(AF2707=1,AE2707&gt;=set_FYStart,AE2707&lt;=set_AsAt),1,0)</f>
        <v/>
      </c>
      <c r="AK2707" s="54">
        <f>IF(AND(AJ2707=1,AH2707&lt;&gt;"",COUNTIFS($AH$2:AH2707,AH2707,$AJ$2:AJ2707,1)=1),N(AL2706)+1,"")</f>
        <v/>
      </c>
      <c r="AL2707" s="54">
        <f>IF(AK2707&lt;&gt;"",AK2707,N(AL2706))</f>
        <v/>
      </c>
    </row>
    <row r="2708">
      <c r="A2708" t="inlineStr">
        <is>
          <t>ONS-0903</t>
        </is>
      </c>
      <c r="B2708" t="inlineStr">
        <is>
          <t>Onsite</t>
        </is>
      </c>
      <c r="AB2708" t="n">
        <v>903</v>
      </c>
      <c r="AD2708" s="52">
        <f>IFERROR(N(IFERROR(INDEX($A2708:$AB2708,MATCH("Xero Invoiced Ex GST",$A$1:$AB$1,0)),"")),0)</f>
        <v/>
      </c>
      <c r="AE2708" s="53">
        <f>IFERROR(INDEX($A2708:$AB2708,MATCH("Xero Invoice Date",$A$1:$AB$1,0)),"")</f>
        <v/>
      </c>
      <c r="AF2708" s="54">
        <f>IF(AND(IFERROR(INDEX($A2708:$AB2708,MATCH("Xero Invoice No",$A$1:$AB$1,0)),"")&amp;""&lt;&gt;"",ISNUMBER(AE2708),AD2708&lt;&gt;0),1,0)</f>
        <v/>
      </c>
      <c r="AG2708" s="55">
        <f>IF(AF2708=1,EOMONTH(AE2708,0),"")</f>
        <v/>
      </c>
      <c r="AH2708" s="9">
        <f>IF(AF2708=1,UPPER(TRIM(IFERROR(INDEX($A2708:$AB2708,MATCH("Client",$A$1:$AB$1,0)),"")&amp;"")),"")</f>
        <v/>
      </c>
      <c r="AI2708" s="9">
        <f>IF(AF2708=1,IFERROR(INDEX($A2708:$AB2708,MATCH("Cost Centre",$A$1:$AB$1,0)),"")&amp;"","")</f>
        <v/>
      </c>
      <c r="AJ2708" s="54">
        <f>IF(AND(AF2708=1,AE2708&gt;=set_FYStart,AE2708&lt;=set_AsAt),1,0)</f>
        <v/>
      </c>
      <c r="AK2708" s="54">
        <f>IF(AND(AJ2708=1,AH2708&lt;&gt;"",COUNTIFS($AH$2:AH2708,AH2708,$AJ$2:AJ2708,1)=1),N(AL2707)+1,"")</f>
        <v/>
      </c>
      <c r="AL2708" s="54">
        <f>IF(AK2708&lt;&gt;"",AK2708,N(AL2707))</f>
        <v/>
      </c>
    </row>
    <row r="2709">
      <c r="A2709" t="inlineStr">
        <is>
          <t>PRD-0903</t>
        </is>
      </c>
      <c r="B2709" t="inlineStr">
        <is>
          <t>Production</t>
        </is>
      </c>
      <c r="AB2709" t="n">
        <v>903</v>
      </c>
      <c r="AD2709" s="52">
        <f>IFERROR(N(IFERROR(INDEX($A2709:$AB2709,MATCH("Xero Invoiced Ex GST",$A$1:$AB$1,0)),"")),0)</f>
        <v/>
      </c>
      <c r="AE2709" s="53">
        <f>IFERROR(INDEX($A2709:$AB2709,MATCH("Xero Invoice Date",$A$1:$AB$1,0)),"")</f>
        <v/>
      </c>
      <c r="AF2709" s="54">
        <f>IF(AND(IFERROR(INDEX($A2709:$AB2709,MATCH("Xero Invoice No",$A$1:$AB$1,0)),"")&amp;""&lt;&gt;"",ISNUMBER(AE2709),AD2709&lt;&gt;0),1,0)</f>
        <v/>
      </c>
      <c r="AG2709" s="55">
        <f>IF(AF2709=1,EOMONTH(AE2709,0),"")</f>
        <v/>
      </c>
      <c r="AH2709" s="9">
        <f>IF(AF2709=1,UPPER(TRIM(IFERROR(INDEX($A2709:$AB2709,MATCH("Client",$A$1:$AB$1,0)),"")&amp;"")),"")</f>
        <v/>
      </c>
      <c r="AI2709" s="9">
        <f>IF(AF2709=1,IFERROR(INDEX($A2709:$AB2709,MATCH("Cost Centre",$A$1:$AB$1,0)),"")&amp;"","")</f>
        <v/>
      </c>
      <c r="AJ2709" s="54">
        <f>IF(AND(AF2709=1,AE2709&gt;=set_FYStart,AE2709&lt;=set_AsAt),1,0)</f>
        <v/>
      </c>
      <c r="AK2709" s="54">
        <f>IF(AND(AJ2709=1,AH2709&lt;&gt;"",COUNTIFS($AH$2:AH2709,AH2709,$AJ$2:AJ2709,1)=1),N(AL2708)+1,"")</f>
        <v/>
      </c>
      <c r="AL2709" s="54">
        <f>IF(AK2709&lt;&gt;"",AK2709,N(AL2708))</f>
        <v/>
      </c>
    </row>
    <row r="2710">
      <c r="A2710" t="inlineStr">
        <is>
          <t>CON-0903</t>
        </is>
      </c>
      <c r="B2710" t="inlineStr">
        <is>
          <t>Consulting</t>
        </is>
      </c>
      <c r="AB2710" t="n">
        <v>903</v>
      </c>
      <c r="AD2710" s="52">
        <f>IFERROR(N(IFERROR(INDEX($A2710:$AB2710,MATCH("Xero Invoiced Ex GST",$A$1:$AB$1,0)),"")),0)</f>
        <v/>
      </c>
      <c r="AE2710" s="53">
        <f>IFERROR(INDEX($A2710:$AB2710,MATCH("Xero Invoice Date",$A$1:$AB$1,0)),"")</f>
        <v/>
      </c>
      <c r="AF2710" s="54">
        <f>IF(AND(IFERROR(INDEX($A2710:$AB2710,MATCH("Xero Invoice No",$A$1:$AB$1,0)),"")&amp;""&lt;&gt;"",ISNUMBER(AE2710),AD2710&lt;&gt;0),1,0)</f>
        <v/>
      </c>
      <c r="AG2710" s="55">
        <f>IF(AF2710=1,EOMONTH(AE2710,0),"")</f>
        <v/>
      </c>
      <c r="AH2710" s="9">
        <f>IF(AF2710=1,UPPER(TRIM(IFERROR(INDEX($A2710:$AB2710,MATCH("Client",$A$1:$AB$1,0)),"")&amp;"")),"")</f>
        <v/>
      </c>
      <c r="AI2710" s="9">
        <f>IF(AF2710=1,IFERROR(INDEX($A2710:$AB2710,MATCH("Cost Centre",$A$1:$AB$1,0)),"")&amp;"","")</f>
        <v/>
      </c>
      <c r="AJ2710" s="54">
        <f>IF(AND(AF2710=1,AE2710&gt;=set_FYStart,AE2710&lt;=set_AsAt),1,0)</f>
        <v/>
      </c>
      <c r="AK2710" s="54">
        <f>IF(AND(AJ2710=1,AH2710&lt;&gt;"",COUNTIFS($AH$2:AH2710,AH2710,$AJ$2:AJ2710,1)=1),N(AL2709)+1,"")</f>
        <v/>
      </c>
      <c r="AL2710" s="54">
        <f>IF(AK2710&lt;&gt;"",AK2710,N(AL2709))</f>
        <v/>
      </c>
    </row>
    <row r="2711">
      <c r="A2711" t="inlineStr">
        <is>
          <t>ONS-0904</t>
        </is>
      </c>
      <c r="B2711" t="inlineStr">
        <is>
          <t>Onsite</t>
        </is>
      </c>
      <c r="AB2711" t="n">
        <v>904</v>
      </c>
      <c r="AD2711" s="52">
        <f>IFERROR(N(IFERROR(INDEX($A2711:$AB2711,MATCH("Xero Invoiced Ex GST",$A$1:$AB$1,0)),"")),0)</f>
        <v/>
      </c>
      <c r="AE2711" s="53">
        <f>IFERROR(INDEX($A2711:$AB2711,MATCH("Xero Invoice Date",$A$1:$AB$1,0)),"")</f>
        <v/>
      </c>
      <c r="AF2711" s="54">
        <f>IF(AND(IFERROR(INDEX($A2711:$AB2711,MATCH("Xero Invoice No",$A$1:$AB$1,0)),"")&amp;""&lt;&gt;"",ISNUMBER(AE2711),AD2711&lt;&gt;0),1,0)</f>
        <v/>
      </c>
      <c r="AG2711" s="55">
        <f>IF(AF2711=1,EOMONTH(AE2711,0),"")</f>
        <v/>
      </c>
      <c r="AH2711" s="9">
        <f>IF(AF2711=1,UPPER(TRIM(IFERROR(INDEX($A2711:$AB2711,MATCH("Client",$A$1:$AB$1,0)),"")&amp;"")),"")</f>
        <v/>
      </c>
      <c r="AI2711" s="9">
        <f>IF(AF2711=1,IFERROR(INDEX($A2711:$AB2711,MATCH("Cost Centre",$A$1:$AB$1,0)),"")&amp;"","")</f>
        <v/>
      </c>
      <c r="AJ2711" s="54">
        <f>IF(AND(AF2711=1,AE2711&gt;=set_FYStart,AE2711&lt;=set_AsAt),1,0)</f>
        <v/>
      </c>
      <c r="AK2711" s="54">
        <f>IF(AND(AJ2711=1,AH2711&lt;&gt;"",COUNTIFS($AH$2:AH2711,AH2711,$AJ$2:AJ2711,1)=1),N(AL2710)+1,"")</f>
        <v/>
      </c>
      <c r="AL2711" s="54">
        <f>IF(AK2711&lt;&gt;"",AK2711,N(AL2710))</f>
        <v/>
      </c>
    </row>
    <row r="2712">
      <c r="A2712" t="inlineStr">
        <is>
          <t>PRD-0904</t>
        </is>
      </c>
      <c r="B2712" t="inlineStr">
        <is>
          <t>Production</t>
        </is>
      </c>
      <c r="AB2712" t="n">
        <v>904</v>
      </c>
      <c r="AD2712" s="52">
        <f>IFERROR(N(IFERROR(INDEX($A2712:$AB2712,MATCH("Xero Invoiced Ex GST",$A$1:$AB$1,0)),"")),0)</f>
        <v/>
      </c>
      <c r="AE2712" s="53">
        <f>IFERROR(INDEX($A2712:$AB2712,MATCH("Xero Invoice Date",$A$1:$AB$1,0)),"")</f>
        <v/>
      </c>
      <c r="AF2712" s="54">
        <f>IF(AND(IFERROR(INDEX($A2712:$AB2712,MATCH("Xero Invoice No",$A$1:$AB$1,0)),"")&amp;""&lt;&gt;"",ISNUMBER(AE2712),AD2712&lt;&gt;0),1,0)</f>
        <v/>
      </c>
      <c r="AG2712" s="55">
        <f>IF(AF2712=1,EOMONTH(AE2712,0),"")</f>
        <v/>
      </c>
      <c r="AH2712" s="9">
        <f>IF(AF2712=1,UPPER(TRIM(IFERROR(INDEX($A2712:$AB2712,MATCH("Client",$A$1:$AB$1,0)),"")&amp;"")),"")</f>
        <v/>
      </c>
      <c r="AI2712" s="9">
        <f>IF(AF2712=1,IFERROR(INDEX($A2712:$AB2712,MATCH("Cost Centre",$A$1:$AB$1,0)),"")&amp;"","")</f>
        <v/>
      </c>
      <c r="AJ2712" s="54">
        <f>IF(AND(AF2712=1,AE2712&gt;=set_FYStart,AE2712&lt;=set_AsAt),1,0)</f>
        <v/>
      </c>
      <c r="AK2712" s="54">
        <f>IF(AND(AJ2712=1,AH2712&lt;&gt;"",COUNTIFS($AH$2:AH2712,AH2712,$AJ$2:AJ2712,1)=1),N(AL2711)+1,"")</f>
        <v/>
      </c>
      <c r="AL2712" s="54">
        <f>IF(AK2712&lt;&gt;"",AK2712,N(AL2711))</f>
        <v/>
      </c>
    </row>
    <row r="2713">
      <c r="A2713" t="inlineStr">
        <is>
          <t>CON-0904</t>
        </is>
      </c>
      <c r="B2713" t="inlineStr">
        <is>
          <t>Consulting</t>
        </is>
      </c>
      <c r="AB2713" t="n">
        <v>904</v>
      </c>
      <c r="AD2713" s="52">
        <f>IFERROR(N(IFERROR(INDEX($A2713:$AB2713,MATCH("Xero Invoiced Ex GST",$A$1:$AB$1,0)),"")),0)</f>
        <v/>
      </c>
      <c r="AE2713" s="53">
        <f>IFERROR(INDEX($A2713:$AB2713,MATCH("Xero Invoice Date",$A$1:$AB$1,0)),"")</f>
        <v/>
      </c>
      <c r="AF2713" s="54">
        <f>IF(AND(IFERROR(INDEX($A2713:$AB2713,MATCH("Xero Invoice No",$A$1:$AB$1,0)),"")&amp;""&lt;&gt;"",ISNUMBER(AE2713),AD2713&lt;&gt;0),1,0)</f>
        <v/>
      </c>
      <c r="AG2713" s="55">
        <f>IF(AF2713=1,EOMONTH(AE2713,0),"")</f>
        <v/>
      </c>
      <c r="AH2713" s="9">
        <f>IF(AF2713=1,UPPER(TRIM(IFERROR(INDEX($A2713:$AB2713,MATCH("Client",$A$1:$AB$1,0)),"")&amp;"")),"")</f>
        <v/>
      </c>
      <c r="AI2713" s="9">
        <f>IF(AF2713=1,IFERROR(INDEX($A2713:$AB2713,MATCH("Cost Centre",$A$1:$AB$1,0)),"")&amp;"","")</f>
        <v/>
      </c>
      <c r="AJ2713" s="54">
        <f>IF(AND(AF2713=1,AE2713&gt;=set_FYStart,AE2713&lt;=set_AsAt),1,0)</f>
        <v/>
      </c>
      <c r="AK2713" s="54">
        <f>IF(AND(AJ2713=1,AH2713&lt;&gt;"",COUNTIFS($AH$2:AH2713,AH2713,$AJ$2:AJ2713,1)=1),N(AL2712)+1,"")</f>
        <v/>
      </c>
      <c r="AL2713" s="54">
        <f>IF(AK2713&lt;&gt;"",AK2713,N(AL2712))</f>
        <v/>
      </c>
    </row>
    <row r="2714">
      <c r="A2714" t="inlineStr">
        <is>
          <t>ONS-0905</t>
        </is>
      </c>
      <c r="B2714" t="inlineStr">
        <is>
          <t>Onsite</t>
        </is>
      </c>
      <c r="AB2714" t="n">
        <v>905</v>
      </c>
      <c r="AD2714" s="52">
        <f>IFERROR(N(IFERROR(INDEX($A2714:$AB2714,MATCH("Xero Invoiced Ex GST",$A$1:$AB$1,0)),"")),0)</f>
        <v/>
      </c>
      <c r="AE2714" s="53">
        <f>IFERROR(INDEX($A2714:$AB2714,MATCH("Xero Invoice Date",$A$1:$AB$1,0)),"")</f>
        <v/>
      </c>
      <c r="AF2714" s="54">
        <f>IF(AND(IFERROR(INDEX($A2714:$AB2714,MATCH("Xero Invoice No",$A$1:$AB$1,0)),"")&amp;""&lt;&gt;"",ISNUMBER(AE2714),AD2714&lt;&gt;0),1,0)</f>
        <v/>
      </c>
      <c r="AG2714" s="55">
        <f>IF(AF2714=1,EOMONTH(AE2714,0),"")</f>
        <v/>
      </c>
      <c r="AH2714" s="9">
        <f>IF(AF2714=1,UPPER(TRIM(IFERROR(INDEX($A2714:$AB2714,MATCH("Client",$A$1:$AB$1,0)),"")&amp;"")),"")</f>
        <v/>
      </c>
      <c r="AI2714" s="9">
        <f>IF(AF2714=1,IFERROR(INDEX($A2714:$AB2714,MATCH("Cost Centre",$A$1:$AB$1,0)),"")&amp;"","")</f>
        <v/>
      </c>
      <c r="AJ2714" s="54">
        <f>IF(AND(AF2714=1,AE2714&gt;=set_FYStart,AE2714&lt;=set_AsAt),1,0)</f>
        <v/>
      </c>
      <c r="AK2714" s="54">
        <f>IF(AND(AJ2714=1,AH2714&lt;&gt;"",COUNTIFS($AH$2:AH2714,AH2714,$AJ$2:AJ2714,1)=1),N(AL2713)+1,"")</f>
        <v/>
      </c>
      <c r="AL2714" s="54">
        <f>IF(AK2714&lt;&gt;"",AK2714,N(AL2713))</f>
        <v/>
      </c>
    </row>
    <row r="2715">
      <c r="A2715" t="inlineStr">
        <is>
          <t>PRD-0905</t>
        </is>
      </c>
      <c r="B2715" t="inlineStr">
        <is>
          <t>Production</t>
        </is>
      </c>
      <c r="AB2715" t="n">
        <v>905</v>
      </c>
      <c r="AD2715" s="52">
        <f>IFERROR(N(IFERROR(INDEX($A2715:$AB2715,MATCH("Xero Invoiced Ex GST",$A$1:$AB$1,0)),"")),0)</f>
        <v/>
      </c>
      <c r="AE2715" s="53">
        <f>IFERROR(INDEX($A2715:$AB2715,MATCH("Xero Invoice Date",$A$1:$AB$1,0)),"")</f>
        <v/>
      </c>
      <c r="AF2715" s="54">
        <f>IF(AND(IFERROR(INDEX($A2715:$AB2715,MATCH("Xero Invoice No",$A$1:$AB$1,0)),"")&amp;""&lt;&gt;"",ISNUMBER(AE2715),AD2715&lt;&gt;0),1,0)</f>
        <v/>
      </c>
      <c r="AG2715" s="55">
        <f>IF(AF2715=1,EOMONTH(AE2715,0),"")</f>
        <v/>
      </c>
      <c r="AH2715" s="9">
        <f>IF(AF2715=1,UPPER(TRIM(IFERROR(INDEX($A2715:$AB2715,MATCH("Client",$A$1:$AB$1,0)),"")&amp;"")),"")</f>
        <v/>
      </c>
      <c r="AI2715" s="9">
        <f>IF(AF2715=1,IFERROR(INDEX($A2715:$AB2715,MATCH("Cost Centre",$A$1:$AB$1,0)),"")&amp;"","")</f>
        <v/>
      </c>
      <c r="AJ2715" s="54">
        <f>IF(AND(AF2715=1,AE2715&gt;=set_FYStart,AE2715&lt;=set_AsAt),1,0)</f>
        <v/>
      </c>
      <c r="AK2715" s="54">
        <f>IF(AND(AJ2715=1,AH2715&lt;&gt;"",COUNTIFS($AH$2:AH2715,AH2715,$AJ$2:AJ2715,1)=1),N(AL2714)+1,"")</f>
        <v/>
      </c>
      <c r="AL2715" s="54">
        <f>IF(AK2715&lt;&gt;"",AK2715,N(AL2714))</f>
        <v/>
      </c>
    </row>
    <row r="2716">
      <c r="A2716" t="inlineStr">
        <is>
          <t>CON-0905</t>
        </is>
      </c>
      <c r="B2716" t="inlineStr">
        <is>
          <t>Consulting</t>
        </is>
      </c>
      <c r="AB2716" t="n">
        <v>905</v>
      </c>
      <c r="AD2716" s="52">
        <f>IFERROR(N(IFERROR(INDEX($A2716:$AB2716,MATCH("Xero Invoiced Ex GST",$A$1:$AB$1,0)),"")),0)</f>
        <v/>
      </c>
      <c r="AE2716" s="53">
        <f>IFERROR(INDEX($A2716:$AB2716,MATCH("Xero Invoice Date",$A$1:$AB$1,0)),"")</f>
        <v/>
      </c>
      <c r="AF2716" s="54">
        <f>IF(AND(IFERROR(INDEX($A2716:$AB2716,MATCH("Xero Invoice No",$A$1:$AB$1,0)),"")&amp;""&lt;&gt;"",ISNUMBER(AE2716),AD2716&lt;&gt;0),1,0)</f>
        <v/>
      </c>
      <c r="AG2716" s="55">
        <f>IF(AF2716=1,EOMONTH(AE2716,0),"")</f>
        <v/>
      </c>
      <c r="AH2716" s="9">
        <f>IF(AF2716=1,UPPER(TRIM(IFERROR(INDEX($A2716:$AB2716,MATCH("Client",$A$1:$AB$1,0)),"")&amp;"")),"")</f>
        <v/>
      </c>
      <c r="AI2716" s="9">
        <f>IF(AF2716=1,IFERROR(INDEX($A2716:$AB2716,MATCH("Cost Centre",$A$1:$AB$1,0)),"")&amp;"","")</f>
        <v/>
      </c>
      <c r="AJ2716" s="54">
        <f>IF(AND(AF2716=1,AE2716&gt;=set_FYStart,AE2716&lt;=set_AsAt),1,0)</f>
        <v/>
      </c>
      <c r="AK2716" s="54">
        <f>IF(AND(AJ2716=1,AH2716&lt;&gt;"",COUNTIFS($AH$2:AH2716,AH2716,$AJ$2:AJ2716,1)=1),N(AL2715)+1,"")</f>
        <v/>
      </c>
      <c r="AL2716" s="54">
        <f>IF(AK2716&lt;&gt;"",AK2716,N(AL2715))</f>
        <v/>
      </c>
    </row>
    <row r="2717">
      <c r="A2717" t="inlineStr">
        <is>
          <t>ONS-0906</t>
        </is>
      </c>
      <c r="B2717" t="inlineStr">
        <is>
          <t>Onsite</t>
        </is>
      </c>
      <c r="AB2717" t="n">
        <v>906</v>
      </c>
      <c r="AD2717" s="52">
        <f>IFERROR(N(IFERROR(INDEX($A2717:$AB2717,MATCH("Xero Invoiced Ex GST",$A$1:$AB$1,0)),"")),0)</f>
        <v/>
      </c>
      <c r="AE2717" s="53">
        <f>IFERROR(INDEX($A2717:$AB2717,MATCH("Xero Invoice Date",$A$1:$AB$1,0)),"")</f>
        <v/>
      </c>
      <c r="AF2717" s="54">
        <f>IF(AND(IFERROR(INDEX($A2717:$AB2717,MATCH("Xero Invoice No",$A$1:$AB$1,0)),"")&amp;""&lt;&gt;"",ISNUMBER(AE2717),AD2717&lt;&gt;0),1,0)</f>
        <v/>
      </c>
      <c r="AG2717" s="55">
        <f>IF(AF2717=1,EOMONTH(AE2717,0),"")</f>
        <v/>
      </c>
      <c r="AH2717" s="9">
        <f>IF(AF2717=1,UPPER(TRIM(IFERROR(INDEX($A2717:$AB2717,MATCH("Client",$A$1:$AB$1,0)),"")&amp;"")),"")</f>
        <v/>
      </c>
      <c r="AI2717" s="9">
        <f>IF(AF2717=1,IFERROR(INDEX($A2717:$AB2717,MATCH("Cost Centre",$A$1:$AB$1,0)),"")&amp;"","")</f>
        <v/>
      </c>
      <c r="AJ2717" s="54">
        <f>IF(AND(AF2717=1,AE2717&gt;=set_FYStart,AE2717&lt;=set_AsAt),1,0)</f>
        <v/>
      </c>
      <c r="AK2717" s="54">
        <f>IF(AND(AJ2717=1,AH2717&lt;&gt;"",COUNTIFS($AH$2:AH2717,AH2717,$AJ$2:AJ2717,1)=1),N(AL2716)+1,"")</f>
        <v/>
      </c>
      <c r="AL2717" s="54">
        <f>IF(AK2717&lt;&gt;"",AK2717,N(AL2716))</f>
        <v/>
      </c>
    </row>
    <row r="2718">
      <c r="A2718" t="inlineStr">
        <is>
          <t>PRD-0906</t>
        </is>
      </c>
      <c r="B2718" t="inlineStr">
        <is>
          <t>Production</t>
        </is>
      </c>
      <c r="AB2718" t="n">
        <v>906</v>
      </c>
      <c r="AD2718" s="52">
        <f>IFERROR(N(IFERROR(INDEX($A2718:$AB2718,MATCH("Xero Invoiced Ex GST",$A$1:$AB$1,0)),"")),0)</f>
        <v/>
      </c>
      <c r="AE2718" s="53">
        <f>IFERROR(INDEX($A2718:$AB2718,MATCH("Xero Invoice Date",$A$1:$AB$1,0)),"")</f>
        <v/>
      </c>
      <c r="AF2718" s="54">
        <f>IF(AND(IFERROR(INDEX($A2718:$AB2718,MATCH("Xero Invoice No",$A$1:$AB$1,0)),"")&amp;""&lt;&gt;"",ISNUMBER(AE2718),AD2718&lt;&gt;0),1,0)</f>
        <v/>
      </c>
      <c r="AG2718" s="55">
        <f>IF(AF2718=1,EOMONTH(AE2718,0),"")</f>
        <v/>
      </c>
      <c r="AH2718" s="9">
        <f>IF(AF2718=1,UPPER(TRIM(IFERROR(INDEX($A2718:$AB2718,MATCH("Client",$A$1:$AB$1,0)),"")&amp;"")),"")</f>
        <v/>
      </c>
      <c r="AI2718" s="9">
        <f>IF(AF2718=1,IFERROR(INDEX($A2718:$AB2718,MATCH("Cost Centre",$A$1:$AB$1,0)),"")&amp;"","")</f>
        <v/>
      </c>
      <c r="AJ2718" s="54">
        <f>IF(AND(AF2718=1,AE2718&gt;=set_FYStart,AE2718&lt;=set_AsAt),1,0)</f>
        <v/>
      </c>
      <c r="AK2718" s="54">
        <f>IF(AND(AJ2718=1,AH2718&lt;&gt;"",COUNTIFS($AH$2:AH2718,AH2718,$AJ$2:AJ2718,1)=1),N(AL2717)+1,"")</f>
        <v/>
      </c>
      <c r="AL2718" s="54">
        <f>IF(AK2718&lt;&gt;"",AK2718,N(AL2717))</f>
        <v/>
      </c>
    </row>
    <row r="2719">
      <c r="A2719" t="inlineStr">
        <is>
          <t>CON-0906</t>
        </is>
      </c>
      <c r="B2719" t="inlineStr">
        <is>
          <t>Consulting</t>
        </is>
      </c>
      <c r="AB2719" t="n">
        <v>906</v>
      </c>
      <c r="AD2719" s="52">
        <f>IFERROR(N(IFERROR(INDEX($A2719:$AB2719,MATCH("Xero Invoiced Ex GST",$A$1:$AB$1,0)),"")),0)</f>
        <v/>
      </c>
      <c r="AE2719" s="53">
        <f>IFERROR(INDEX($A2719:$AB2719,MATCH("Xero Invoice Date",$A$1:$AB$1,0)),"")</f>
        <v/>
      </c>
      <c r="AF2719" s="54">
        <f>IF(AND(IFERROR(INDEX($A2719:$AB2719,MATCH("Xero Invoice No",$A$1:$AB$1,0)),"")&amp;""&lt;&gt;"",ISNUMBER(AE2719),AD2719&lt;&gt;0),1,0)</f>
        <v/>
      </c>
      <c r="AG2719" s="55">
        <f>IF(AF2719=1,EOMONTH(AE2719,0),"")</f>
        <v/>
      </c>
      <c r="AH2719" s="9">
        <f>IF(AF2719=1,UPPER(TRIM(IFERROR(INDEX($A2719:$AB2719,MATCH("Client",$A$1:$AB$1,0)),"")&amp;"")),"")</f>
        <v/>
      </c>
      <c r="AI2719" s="9">
        <f>IF(AF2719=1,IFERROR(INDEX($A2719:$AB2719,MATCH("Cost Centre",$A$1:$AB$1,0)),"")&amp;"","")</f>
        <v/>
      </c>
      <c r="AJ2719" s="54">
        <f>IF(AND(AF2719=1,AE2719&gt;=set_FYStart,AE2719&lt;=set_AsAt),1,0)</f>
        <v/>
      </c>
      <c r="AK2719" s="54">
        <f>IF(AND(AJ2719=1,AH2719&lt;&gt;"",COUNTIFS($AH$2:AH2719,AH2719,$AJ$2:AJ2719,1)=1),N(AL2718)+1,"")</f>
        <v/>
      </c>
      <c r="AL2719" s="54">
        <f>IF(AK2719&lt;&gt;"",AK2719,N(AL2718))</f>
        <v/>
      </c>
    </row>
    <row r="2720">
      <c r="A2720" t="inlineStr">
        <is>
          <t>ONS-0907</t>
        </is>
      </c>
      <c r="B2720" t="inlineStr">
        <is>
          <t>Onsite</t>
        </is>
      </c>
      <c r="AB2720" t="n">
        <v>907</v>
      </c>
      <c r="AD2720" s="52">
        <f>IFERROR(N(IFERROR(INDEX($A2720:$AB2720,MATCH("Xero Invoiced Ex GST",$A$1:$AB$1,0)),"")),0)</f>
        <v/>
      </c>
      <c r="AE2720" s="53">
        <f>IFERROR(INDEX($A2720:$AB2720,MATCH("Xero Invoice Date",$A$1:$AB$1,0)),"")</f>
        <v/>
      </c>
      <c r="AF2720" s="54">
        <f>IF(AND(IFERROR(INDEX($A2720:$AB2720,MATCH("Xero Invoice No",$A$1:$AB$1,0)),"")&amp;""&lt;&gt;"",ISNUMBER(AE2720),AD2720&lt;&gt;0),1,0)</f>
        <v/>
      </c>
      <c r="AG2720" s="55">
        <f>IF(AF2720=1,EOMONTH(AE2720,0),"")</f>
        <v/>
      </c>
      <c r="AH2720" s="9">
        <f>IF(AF2720=1,UPPER(TRIM(IFERROR(INDEX($A2720:$AB2720,MATCH("Client",$A$1:$AB$1,0)),"")&amp;"")),"")</f>
        <v/>
      </c>
      <c r="AI2720" s="9">
        <f>IF(AF2720=1,IFERROR(INDEX($A2720:$AB2720,MATCH("Cost Centre",$A$1:$AB$1,0)),"")&amp;"","")</f>
        <v/>
      </c>
      <c r="AJ2720" s="54">
        <f>IF(AND(AF2720=1,AE2720&gt;=set_FYStart,AE2720&lt;=set_AsAt),1,0)</f>
        <v/>
      </c>
      <c r="AK2720" s="54">
        <f>IF(AND(AJ2720=1,AH2720&lt;&gt;"",COUNTIFS($AH$2:AH2720,AH2720,$AJ$2:AJ2720,1)=1),N(AL2719)+1,"")</f>
        <v/>
      </c>
      <c r="AL2720" s="54">
        <f>IF(AK2720&lt;&gt;"",AK2720,N(AL2719))</f>
        <v/>
      </c>
    </row>
    <row r="2721">
      <c r="A2721" t="inlineStr">
        <is>
          <t>PRD-0907</t>
        </is>
      </c>
      <c r="B2721" t="inlineStr">
        <is>
          <t>Production</t>
        </is>
      </c>
      <c r="AB2721" t="n">
        <v>907</v>
      </c>
      <c r="AD2721" s="52">
        <f>IFERROR(N(IFERROR(INDEX($A2721:$AB2721,MATCH("Xero Invoiced Ex GST",$A$1:$AB$1,0)),"")),0)</f>
        <v/>
      </c>
      <c r="AE2721" s="53">
        <f>IFERROR(INDEX($A2721:$AB2721,MATCH("Xero Invoice Date",$A$1:$AB$1,0)),"")</f>
        <v/>
      </c>
      <c r="AF2721" s="54">
        <f>IF(AND(IFERROR(INDEX($A2721:$AB2721,MATCH("Xero Invoice No",$A$1:$AB$1,0)),"")&amp;""&lt;&gt;"",ISNUMBER(AE2721),AD2721&lt;&gt;0),1,0)</f>
        <v/>
      </c>
      <c r="AG2721" s="55">
        <f>IF(AF2721=1,EOMONTH(AE2721,0),"")</f>
        <v/>
      </c>
      <c r="AH2721" s="9">
        <f>IF(AF2721=1,UPPER(TRIM(IFERROR(INDEX($A2721:$AB2721,MATCH("Client",$A$1:$AB$1,0)),"")&amp;"")),"")</f>
        <v/>
      </c>
      <c r="AI2721" s="9">
        <f>IF(AF2721=1,IFERROR(INDEX($A2721:$AB2721,MATCH("Cost Centre",$A$1:$AB$1,0)),"")&amp;"","")</f>
        <v/>
      </c>
      <c r="AJ2721" s="54">
        <f>IF(AND(AF2721=1,AE2721&gt;=set_FYStart,AE2721&lt;=set_AsAt),1,0)</f>
        <v/>
      </c>
      <c r="AK2721" s="54">
        <f>IF(AND(AJ2721=1,AH2721&lt;&gt;"",COUNTIFS($AH$2:AH2721,AH2721,$AJ$2:AJ2721,1)=1),N(AL2720)+1,"")</f>
        <v/>
      </c>
      <c r="AL2721" s="54">
        <f>IF(AK2721&lt;&gt;"",AK2721,N(AL2720))</f>
        <v/>
      </c>
    </row>
    <row r="2722">
      <c r="A2722" t="inlineStr">
        <is>
          <t>CON-0907</t>
        </is>
      </c>
      <c r="B2722" t="inlineStr">
        <is>
          <t>Consulting</t>
        </is>
      </c>
      <c r="AB2722" t="n">
        <v>907</v>
      </c>
      <c r="AD2722" s="52">
        <f>IFERROR(N(IFERROR(INDEX($A2722:$AB2722,MATCH("Xero Invoiced Ex GST",$A$1:$AB$1,0)),"")),0)</f>
        <v/>
      </c>
      <c r="AE2722" s="53">
        <f>IFERROR(INDEX($A2722:$AB2722,MATCH("Xero Invoice Date",$A$1:$AB$1,0)),"")</f>
        <v/>
      </c>
      <c r="AF2722" s="54">
        <f>IF(AND(IFERROR(INDEX($A2722:$AB2722,MATCH("Xero Invoice No",$A$1:$AB$1,0)),"")&amp;""&lt;&gt;"",ISNUMBER(AE2722),AD2722&lt;&gt;0),1,0)</f>
        <v/>
      </c>
      <c r="AG2722" s="55">
        <f>IF(AF2722=1,EOMONTH(AE2722,0),"")</f>
        <v/>
      </c>
      <c r="AH2722" s="9">
        <f>IF(AF2722=1,UPPER(TRIM(IFERROR(INDEX($A2722:$AB2722,MATCH("Client",$A$1:$AB$1,0)),"")&amp;"")),"")</f>
        <v/>
      </c>
      <c r="AI2722" s="9">
        <f>IF(AF2722=1,IFERROR(INDEX($A2722:$AB2722,MATCH("Cost Centre",$A$1:$AB$1,0)),"")&amp;"","")</f>
        <v/>
      </c>
      <c r="AJ2722" s="54">
        <f>IF(AND(AF2722=1,AE2722&gt;=set_FYStart,AE2722&lt;=set_AsAt),1,0)</f>
        <v/>
      </c>
      <c r="AK2722" s="54">
        <f>IF(AND(AJ2722=1,AH2722&lt;&gt;"",COUNTIFS($AH$2:AH2722,AH2722,$AJ$2:AJ2722,1)=1),N(AL2721)+1,"")</f>
        <v/>
      </c>
      <c r="AL2722" s="54">
        <f>IF(AK2722&lt;&gt;"",AK2722,N(AL2721))</f>
        <v/>
      </c>
    </row>
    <row r="2723">
      <c r="A2723" t="inlineStr">
        <is>
          <t>ONS-0908</t>
        </is>
      </c>
      <c r="B2723" t="inlineStr">
        <is>
          <t>Onsite</t>
        </is>
      </c>
      <c r="AB2723" t="n">
        <v>908</v>
      </c>
      <c r="AD2723" s="52">
        <f>IFERROR(N(IFERROR(INDEX($A2723:$AB2723,MATCH("Xero Invoiced Ex GST",$A$1:$AB$1,0)),"")),0)</f>
        <v/>
      </c>
      <c r="AE2723" s="53">
        <f>IFERROR(INDEX($A2723:$AB2723,MATCH("Xero Invoice Date",$A$1:$AB$1,0)),"")</f>
        <v/>
      </c>
      <c r="AF2723" s="54">
        <f>IF(AND(IFERROR(INDEX($A2723:$AB2723,MATCH("Xero Invoice No",$A$1:$AB$1,0)),"")&amp;""&lt;&gt;"",ISNUMBER(AE2723),AD2723&lt;&gt;0),1,0)</f>
        <v/>
      </c>
      <c r="AG2723" s="55">
        <f>IF(AF2723=1,EOMONTH(AE2723,0),"")</f>
        <v/>
      </c>
      <c r="AH2723" s="9">
        <f>IF(AF2723=1,UPPER(TRIM(IFERROR(INDEX($A2723:$AB2723,MATCH("Client",$A$1:$AB$1,0)),"")&amp;"")),"")</f>
        <v/>
      </c>
      <c r="AI2723" s="9">
        <f>IF(AF2723=1,IFERROR(INDEX($A2723:$AB2723,MATCH("Cost Centre",$A$1:$AB$1,0)),"")&amp;"","")</f>
        <v/>
      </c>
      <c r="AJ2723" s="54">
        <f>IF(AND(AF2723=1,AE2723&gt;=set_FYStart,AE2723&lt;=set_AsAt),1,0)</f>
        <v/>
      </c>
      <c r="AK2723" s="54">
        <f>IF(AND(AJ2723=1,AH2723&lt;&gt;"",COUNTIFS($AH$2:AH2723,AH2723,$AJ$2:AJ2723,1)=1),N(AL2722)+1,"")</f>
        <v/>
      </c>
      <c r="AL2723" s="54">
        <f>IF(AK2723&lt;&gt;"",AK2723,N(AL2722))</f>
        <v/>
      </c>
    </row>
    <row r="2724">
      <c r="A2724" t="inlineStr">
        <is>
          <t>PRD-0908</t>
        </is>
      </c>
      <c r="B2724" t="inlineStr">
        <is>
          <t>Production</t>
        </is>
      </c>
      <c r="AB2724" t="n">
        <v>908</v>
      </c>
      <c r="AD2724" s="52">
        <f>IFERROR(N(IFERROR(INDEX($A2724:$AB2724,MATCH("Xero Invoiced Ex GST",$A$1:$AB$1,0)),"")),0)</f>
        <v/>
      </c>
      <c r="AE2724" s="53">
        <f>IFERROR(INDEX($A2724:$AB2724,MATCH("Xero Invoice Date",$A$1:$AB$1,0)),"")</f>
        <v/>
      </c>
      <c r="AF2724" s="54">
        <f>IF(AND(IFERROR(INDEX($A2724:$AB2724,MATCH("Xero Invoice No",$A$1:$AB$1,0)),"")&amp;""&lt;&gt;"",ISNUMBER(AE2724),AD2724&lt;&gt;0),1,0)</f>
        <v/>
      </c>
      <c r="AG2724" s="55">
        <f>IF(AF2724=1,EOMONTH(AE2724,0),"")</f>
        <v/>
      </c>
      <c r="AH2724" s="9">
        <f>IF(AF2724=1,UPPER(TRIM(IFERROR(INDEX($A2724:$AB2724,MATCH("Client",$A$1:$AB$1,0)),"")&amp;"")),"")</f>
        <v/>
      </c>
      <c r="AI2724" s="9">
        <f>IF(AF2724=1,IFERROR(INDEX($A2724:$AB2724,MATCH("Cost Centre",$A$1:$AB$1,0)),"")&amp;"","")</f>
        <v/>
      </c>
      <c r="AJ2724" s="54">
        <f>IF(AND(AF2724=1,AE2724&gt;=set_FYStart,AE2724&lt;=set_AsAt),1,0)</f>
        <v/>
      </c>
      <c r="AK2724" s="54">
        <f>IF(AND(AJ2724=1,AH2724&lt;&gt;"",COUNTIFS($AH$2:AH2724,AH2724,$AJ$2:AJ2724,1)=1),N(AL2723)+1,"")</f>
        <v/>
      </c>
      <c r="AL2724" s="54">
        <f>IF(AK2724&lt;&gt;"",AK2724,N(AL2723))</f>
        <v/>
      </c>
    </row>
    <row r="2725">
      <c r="A2725" t="inlineStr">
        <is>
          <t>CON-0908</t>
        </is>
      </c>
      <c r="B2725" t="inlineStr">
        <is>
          <t>Consulting</t>
        </is>
      </c>
      <c r="AB2725" t="n">
        <v>908</v>
      </c>
      <c r="AD2725" s="52">
        <f>IFERROR(N(IFERROR(INDEX($A2725:$AB2725,MATCH("Xero Invoiced Ex GST",$A$1:$AB$1,0)),"")),0)</f>
        <v/>
      </c>
      <c r="AE2725" s="53">
        <f>IFERROR(INDEX($A2725:$AB2725,MATCH("Xero Invoice Date",$A$1:$AB$1,0)),"")</f>
        <v/>
      </c>
      <c r="AF2725" s="54">
        <f>IF(AND(IFERROR(INDEX($A2725:$AB2725,MATCH("Xero Invoice No",$A$1:$AB$1,0)),"")&amp;""&lt;&gt;"",ISNUMBER(AE2725),AD2725&lt;&gt;0),1,0)</f>
        <v/>
      </c>
      <c r="AG2725" s="55">
        <f>IF(AF2725=1,EOMONTH(AE2725,0),"")</f>
        <v/>
      </c>
      <c r="AH2725" s="9">
        <f>IF(AF2725=1,UPPER(TRIM(IFERROR(INDEX($A2725:$AB2725,MATCH("Client",$A$1:$AB$1,0)),"")&amp;"")),"")</f>
        <v/>
      </c>
      <c r="AI2725" s="9">
        <f>IF(AF2725=1,IFERROR(INDEX($A2725:$AB2725,MATCH("Cost Centre",$A$1:$AB$1,0)),"")&amp;"","")</f>
        <v/>
      </c>
      <c r="AJ2725" s="54">
        <f>IF(AND(AF2725=1,AE2725&gt;=set_FYStart,AE2725&lt;=set_AsAt),1,0)</f>
        <v/>
      </c>
      <c r="AK2725" s="54">
        <f>IF(AND(AJ2725=1,AH2725&lt;&gt;"",COUNTIFS($AH$2:AH2725,AH2725,$AJ$2:AJ2725,1)=1),N(AL2724)+1,"")</f>
        <v/>
      </c>
      <c r="AL2725" s="54">
        <f>IF(AK2725&lt;&gt;"",AK2725,N(AL2724))</f>
        <v/>
      </c>
    </row>
    <row r="2726">
      <c r="A2726" t="inlineStr">
        <is>
          <t>ONS-0909</t>
        </is>
      </c>
      <c r="B2726" t="inlineStr">
        <is>
          <t>Onsite</t>
        </is>
      </c>
      <c r="AB2726" t="n">
        <v>909</v>
      </c>
      <c r="AD2726" s="52">
        <f>IFERROR(N(IFERROR(INDEX($A2726:$AB2726,MATCH("Xero Invoiced Ex GST",$A$1:$AB$1,0)),"")),0)</f>
        <v/>
      </c>
      <c r="AE2726" s="53">
        <f>IFERROR(INDEX($A2726:$AB2726,MATCH("Xero Invoice Date",$A$1:$AB$1,0)),"")</f>
        <v/>
      </c>
      <c r="AF2726" s="54">
        <f>IF(AND(IFERROR(INDEX($A2726:$AB2726,MATCH("Xero Invoice No",$A$1:$AB$1,0)),"")&amp;""&lt;&gt;"",ISNUMBER(AE2726),AD2726&lt;&gt;0),1,0)</f>
        <v/>
      </c>
      <c r="AG2726" s="55">
        <f>IF(AF2726=1,EOMONTH(AE2726,0),"")</f>
        <v/>
      </c>
      <c r="AH2726" s="9">
        <f>IF(AF2726=1,UPPER(TRIM(IFERROR(INDEX($A2726:$AB2726,MATCH("Client",$A$1:$AB$1,0)),"")&amp;"")),"")</f>
        <v/>
      </c>
      <c r="AI2726" s="9">
        <f>IF(AF2726=1,IFERROR(INDEX($A2726:$AB2726,MATCH("Cost Centre",$A$1:$AB$1,0)),"")&amp;"","")</f>
        <v/>
      </c>
      <c r="AJ2726" s="54">
        <f>IF(AND(AF2726=1,AE2726&gt;=set_FYStart,AE2726&lt;=set_AsAt),1,0)</f>
        <v/>
      </c>
      <c r="AK2726" s="54">
        <f>IF(AND(AJ2726=1,AH2726&lt;&gt;"",COUNTIFS($AH$2:AH2726,AH2726,$AJ$2:AJ2726,1)=1),N(AL2725)+1,"")</f>
        <v/>
      </c>
      <c r="AL2726" s="54">
        <f>IF(AK2726&lt;&gt;"",AK2726,N(AL2725))</f>
        <v/>
      </c>
    </row>
    <row r="2727">
      <c r="A2727" t="inlineStr">
        <is>
          <t>PRD-0909</t>
        </is>
      </c>
      <c r="B2727" t="inlineStr">
        <is>
          <t>Production</t>
        </is>
      </c>
      <c r="AB2727" t="n">
        <v>909</v>
      </c>
      <c r="AD2727" s="52">
        <f>IFERROR(N(IFERROR(INDEX($A2727:$AB2727,MATCH("Xero Invoiced Ex GST",$A$1:$AB$1,0)),"")),0)</f>
        <v/>
      </c>
      <c r="AE2727" s="53">
        <f>IFERROR(INDEX($A2727:$AB2727,MATCH("Xero Invoice Date",$A$1:$AB$1,0)),"")</f>
        <v/>
      </c>
      <c r="AF2727" s="54">
        <f>IF(AND(IFERROR(INDEX($A2727:$AB2727,MATCH("Xero Invoice No",$A$1:$AB$1,0)),"")&amp;""&lt;&gt;"",ISNUMBER(AE2727),AD2727&lt;&gt;0),1,0)</f>
        <v/>
      </c>
      <c r="AG2727" s="55">
        <f>IF(AF2727=1,EOMONTH(AE2727,0),"")</f>
        <v/>
      </c>
      <c r="AH2727" s="9">
        <f>IF(AF2727=1,UPPER(TRIM(IFERROR(INDEX($A2727:$AB2727,MATCH("Client",$A$1:$AB$1,0)),"")&amp;"")),"")</f>
        <v/>
      </c>
      <c r="AI2727" s="9">
        <f>IF(AF2727=1,IFERROR(INDEX($A2727:$AB2727,MATCH("Cost Centre",$A$1:$AB$1,0)),"")&amp;"","")</f>
        <v/>
      </c>
      <c r="AJ2727" s="54">
        <f>IF(AND(AF2727=1,AE2727&gt;=set_FYStart,AE2727&lt;=set_AsAt),1,0)</f>
        <v/>
      </c>
      <c r="AK2727" s="54">
        <f>IF(AND(AJ2727=1,AH2727&lt;&gt;"",COUNTIFS($AH$2:AH2727,AH2727,$AJ$2:AJ2727,1)=1),N(AL2726)+1,"")</f>
        <v/>
      </c>
      <c r="AL2727" s="54">
        <f>IF(AK2727&lt;&gt;"",AK2727,N(AL2726))</f>
        <v/>
      </c>
    </row>
    <row r="2728">
      <c r="A2728" t="inlineStr">
        <is>
          <t>CON-0909</t>
        </is>
      </c>
      <c r="B2728" t="inlineStr">
        <is>
          <t>Consulting</t>
        </is>
      </c>
      <c r="AB2728" t="n">
        <v>909</v>
      </c>
      <c r="AD2728" s="52">
        <f>IFERROR(N(IFERROR(INDEX($A2728:$AB2728,MATCH("Xero Invoiced Ex GST",$A$1:$AB$1,0)),"")),0)</f>
        <v/>
      </c>
      <c r="AE2728" s="53">
        <f>IFERROR(INDEX($A2728:$AB2728,MATCH("Xero Invoice Date",$A$1:$AB$1,0)),"")</f>
        <v/>
      </c>
      <c r="AF2728" s="54">
        <f>IF(AND(IFERROR(INDEX($A2728:$AB2728,MATCH("Xero Invoice No",$A$1:$AB$1,0)),"")&amp;""&lt;&gt;"",ISNUMBER(AE2728),AD2728&lt;&gt;0),1,0)</f>
        <v/>
      </c>
      <c r="AG2728" s="55">
        <f>IF(AF2728=1,EOMONTH(AE2728,0),"")</f>
        <v/>
      </c>
      <c r="AH2728" s="9">
        <f>IF(AF2728=1,UPPER(TRIM(IFERROR(INDEX($A2728:$AB2728,MATCH("Client",$A$1:$AB$1,0)),"")&amp;"")),"")</f>
        <v/>
      </c>
      <c r="AI2728" s="9">
        <f>IF(AF2728=1,IFERROR(INDEX($A2728:$AB2728,MATCH("Cost Centre",$A$1:$AB$1,0)),"")&amp;"","")</f>
        <v/>
      </c>
      <c r="AJ2728" s="54">
        <f>IF(AND(AF2728=1,AE2728&gt;=set_FYStart,AE2728&lt;=set_AsAt),1,0)</f>
        <v/>
      </c>
      <c r="AK2728" s="54">
        <f>IF(AND(AJ2728=1,AH2728&lt;&gt;"",COUNTIFS($AH$2:AH2728,AH2728,$AJ$2:AJ2728,1)=1),N(AL2727)+1,"")</f>
        <v/>
      </c>
      <c r="AL2728" s="54">
        <f>IF(AK2728&lt;&gt;"",AK2728,N(AL2727))</f>
        <v/>
      </c>
    </row>
    <row r="2729">
      <c r="A2729" t="inlineStr">
        <is>
          <t>ONS-0910</t>
        </is>
      </c>
      <c r="B2729" t="inlineStr">
        <is>
          <t>Onsite</t>
        </is>
      </c>
      <c r="AB2729" t="n">
        <v>910</v>
      </c>
      <c r="AD2729" s="52">
        <f>IFERROR(N(IFERROR(INDEX($A2729:$AB2729,MATCH("Xero Invoiced Ex GST",$A$1:$AB$1,0)),"")),0)</f>
        <v/>
      </c>
      <c r="AE2729" s="53">
        <f>IFERROR(INDEX($A2729:$AB2729,MATCH("Xero Invoice Date",$A$1:$AB$1,0)),"")</f>
        <v/>
      </c>
      <c r="AF2729" s="54">
        <f>IF(AND(IFERROR(INDEX($A2729:$AB2729,MATCH("Xero Invoice No",$A$1:$AB$1,0)),"")&amp;""&lt;&gt;"",ISNUMBER(AE2729),AD2729&lt;&gt;0),1,0)</f>
        <v/>
      </c>
      <c r="AG2729" s="55">
        <f>IF(AF2729=1,EOMONTH(AE2729,0),"")</f>
        <v/>
      </c>
      <c r="AH2729" s="9">
        <f>IF(AF2729=1,UPPER(TRIM(IFERROR(INDEX($A2729:$AB2729,MATCH("Client",$A$1:$AB$1,0)),"")&amp;"")),"")</f>
        <v/>
      </c>
      <c r="AI2729" s="9">
        <f>IF(AF2729=1,IFERROR(INDEX($A2729:$AB2729,MATCH("Cost Centre",$A$1:$AB$1,0)),"")&amp;"","")</f>
        <v/>
      </c>
      <c r="AJ2729" s="54">
        <f>IF(AND(AF2729=1,AE2729&gt;=set_FYStart,AE2729&lt;=set_AsAt),1,0)</f>
        <v/>
      </c>
      <c r="AK2729" s="54">
        <f>IF(AND(AJ2729=1,AH2729&lt;&gt;"",COUNTIFS($AH$2:AH2729,AH2729,$AJ$2:AJ2729,1)=1),N(AL2728)+1,"")</f>
        <v/>
      </c>
      <c r="AL2729" s="54">
        <f>IF(AK2729&lt;&gt;"",AK2729,N(AL2728))</f>
        <v/>
      </c>
    </row>
    <row r="2730">
      <c r="A2730" t="inlineStr">
        <is>
          <t>PRD-0910</t>
        </is>
      </c>
      <c r="B2730" t="inlineStr">
        <is>
          <t>Production</t>
        </is>
      </c>
      <c r="AB2730" t="n">
        <v>910</v>
      </c>
      <c r="AD2730" s="52">
        <f>IFERROR(N(IFERROR(INDEX($A2730:$AB2730,MATCH("Xero Invoiced Ex GST",$A$1:$AB$1,0)),"")),0)</f>
        <v/>
      </c>
      <c r="AE2730" s="53">
        <f>IFERROR(INDEX($A2730:$AB2730,MATCH("Xero Invoice Date",$A$1:$AB$1,0)),"")</f>
        <v/>
      </c>
      <c r="AF2730" s="54">
        <f>IF(AND(IFERROR(INDEX($A2730:$AB2730,MATCH("Xero Invoice No",$A$1:$AB$1,0)),"")&amp;""&lt;&gt;"",ISNUMBER(AE2730),AD2730&lt;&gt;0),1,0)</f>
        <v/>
      </c>
      <c r="AG2730" s="55">
        <f>IF(AF2730=1,EOMONTH(AE2730,0),"")</f>
        <v/>
      </c>
      <c r="AH2730" s="9">
        <f>IF(AF2730=1,UPPER(TRIM(IFERROR(INDEX($A2730:$AB2730,MATCH("Client",$A$1:$AB$1,0)),"")&amp;"")),"")</f>
        <v/>
      </c>
      <c r="AI2730" s="9">
        <f>IF(AF2730=1,IFERROR(INDEX($A2730:$AB2730,MATCH("Cost Centre",$A$1:$AB$1,0)),"")&amp;"","")</f>
        <v/>
      </c>
      <c r="AJ2730" s="54">
        <f>IF(AND(AF2730=1,AE2730&gt;=set_FYStart,AE2730&lt;=set_AsAt),1,0)</f>
        <v/>
      </c>
      <c r="AK2730" s="54">
        <f>IF(AND(AJ2730=1,AH2730&lt;&gt;"",COUNTIFS($AH$2:AH2730,AH2730,$AJ$2:AJ2730,1)=1),N(AL2729)+1,"")</f>
        <v/>
      </c>
      <c r="AL2730" s="54">
        <f>IF(AK2730&lt;&gt;"",AK2730,N(AL2729))</f>
        <v/>
      </c>
    </row>
    <row r="2731">
      <c r="A2731" t="inlineStr">
        <is>
          <t>CON-0910</t>
        </is>
      </c>
      <c r="B2731" t="inlineStr">
        <is>
          <t>Consulting</t>
        </is>
      </c>
      <c r="AB2731" t="n">
        <v>910</v>
      </c>
      <c r="AD2731" s="52">
        <f>IFERROR(N(IFERROR(INDEX($A2731:$AB2731,MATCH("Xero Invoiced Ex GST",$A$1:$AB$1,0)),"")),0)</f>
        <v/>
      </c>
      <c r="AE2731" s="53">
        <f>IFERROR(INDEX($A2731:$AB2731,MATCH("Xero Invoice Date",$A$1:$AB$1,0)),"")</f>
        <v/>
      </c>
      <c r="AF2731" s="54">
        <f>IF(AND(IFERROR(INDEX($A2731:$AB2731,MATCH("Xero Invoice No",$A$1:$AB$1,0)),"")&amp;""&lt;&gt;"",ISNUMBER(AE2731),AD2731&lt;&gt;0),1,0)</f>
        <v/>
      </c>
      <c r="AG2731" s="55">
        <f>IF(AF2731=1,EOMONTH(AE2731,0),"")</f>
        <v/>
      </c>
      <c r="AH2731" s="9">
        <f>IF(AF2731=1,UPPER(TRIM(IFERROR(INDEX($A2731:$AB2731,MATCH("Client",$A$1:$AB$1,0)),"")&amp;"")),"")</f>
        <v/>
      </c>
      <c r="AI2731" s="9">
        <f>IF(AF2731=1,IFERROR(INDEX($A2731:$AB2731,MATCH("Cost Centre",$A$1:$AB$1,0)),"")&amp;"","")</f>
        <v/>
      </c>
      <c r="AJ2731" s="54">
        <f>IF(AND(AF2731=1,AE2731&gt;=set_FYStart,AE2731&lt;=set_AsAt),1,0)</f>
        <v/>
      </c>
      <c r="AK2731" s="54">
        <f>IF(AND(AJ2731=1,AH2731&lt;&gt;"",COUNTIFS($AH$2:AH2731,AH2731,$AJ$2:AJ2731,1)=1),N(AL2730)+1,"")</f>
        <v/>
      </c>
      <c r="AL2731" s="54">
        <f>IF(AK2731&lt;&gt;"",AK2731,N(AL2730))</f>
        <v/>
      </c>
    </row>
    <row r="2732">
      <c r="A2732" t="inlineStr">
        <is>
          <t>ONS-0911</t>
        </is>
      </c>
      <c r="B2732" t="inlineStr">
        <is>
          <t>Onsite</t>
        </is>
      </c>
      <c r="AB2732" t="n">
        <v>911</v>
      </c>
      <c r="AD2732" s="52">
        <f>IFERROR(N(IFERROR(INDEX($A2732:$AB2732,MATCH("Xero Invoiced Ex GST",$A$1:$AB$1,0)),"")),0)</f>
        <v/>
      </c>
      <c r="AE2732" s="53">
        <f>IFERROR(INDEX($A2732:$AB2732,MATCH("Xero Invoice Date",$A$1:$AB$1,0)),"")</f>
        <v/>
      </c>
      <c r="AF2732" s="54">
        <f>IF(AND(IFERROR(INDEX($A2732:$AB2732,MATCH("Xero Invoice No",$A$1:$AB$1,0)),"")&amp;""&lt;&gt;"",ISNUMBER(AE2732),AD2732&lt;&gt;0),1,0)</f>
        <v/>
      </c>
      <c r="AG2732" s="55">
        <f>IF(AF2732=1,EOMONTH(AE2732,0),"")</f>
        <v/>
      </c>
      <c r="AH2732" s="9">
        <f>IF(AF2732=1,UPPER(TRIM(IFERROR(INDEX($A2732:$AB2732,MATCH("Client",$A$1:$AB$1,0)),"")&amp;"")),"")</f>
        <v/>
      </c>
      <c r="AI2732" s="9">
        <f>IF(AF2732=1,IFERROR(INDEX($A2732:$AB2732,MATCH("Cost Centre",$A$1:$AB$1,0)),"")&amp;"","")</f>
        <v/>
      </c>
      <c r="AJ2732" s="54">
        <f>IF(AND(AF2732=1,AE2732&gt;=set_FYStart,AE2732&lt;=set_AsAt),1,0)</f>
        <v/>
      </c>
      <c r="AK2732" s="54">
        <f>IF(AND(AJ2732=1,AH2732&lt;&gt;"",COUNTIFS($AH$2:AH2732,AH2732,$AJ$2:AJ2732,1)=1),N(AL2731)+1,"")</f>
        <v/>
      </c>
      <c r="AL2732" s="54">
        <f>IF(AK2732&lt;&gt;"",AK2732,N(AL2731))</f>
        <v/>
      </c>
    </row>
    <row r="2733">
      <c r="A2733" t="inlineStr">
        <is>
          <t>PRD-0911</t>
        </is>
      </c>
      <c r="B2733" t="inlineStr">
        <is>
          <t>Production</t>
        </is>
      </c>
      <c r="AB2733" t="n">
        <v>911</v>
      </c>
      <c r="AD2733" s="52">
        <f>IFERROR(N(IFERROR(INDEX($A2733:$AB2733,MATCH("Xero Invoiced Ex GST",$A$1:$AB$1,0)),"")),0)</f>
        <v/>
      </c>
      <c r="AE2733" s="53">
        <f>IFERROR(INDEX($A2733:$AB2733,MATCH("Xero Invoice Date",$A$1:$AB$1,0)),"")</f>
        <v/>
      </c>
      <c r="AF2733" s="54">
        <f>IF(AND(IFERROR(INDEX($A2733:$AB2733,MATCH("Xero Invoice No",$A$1:$AB$1,0)),"")&amp;""&lt;&gt;"",ISNUMBER(AE2733),AD2733&lt;&gt;0),1,0)</f>
        <v/>
      </c>
      <c r="AG2733" s="55">
        <f>IF(AF2733=1,EOMONTH(AE2733,0),"")</f>
        <v/>
      </c>
      <c r="AH2733" s="9">
        <f>IF(AF2733=1,UPPER(TRIM(IFERROR(INDEX($A2733:$AB2733,MATCH("Client",$A$1:$AB$1,0)),"")&amp;"")),"")</f>
        <v/>
      </c>
      <c r="AI2733" s="9">
        <f>IF(AF2733=1,IFERROR(INDEX($A2733:$AB2733,MATCH("Cost Centre",$A$1:$AB$1,0)),"")&amp;"","")</f>
        <v/>
      </c>
      <c r="AJ2733" s="54">
        <f>IF(AND(AF2733=1,AE2733&gt;=set_FYStart,AE2733&lt;=set_AsAt),1,0)</f>
        <v/>
      </c>
      <c r="AK2733" s="54">
        <f>IF(AND(AJ2733=1,AH2733&lt;&gt;"",COUNTIFS($AH$2:AH2733,AH2733,$AJ$2:AJ2733,1)=1),N(AL2732)+1,"")</f>
        <v/>
      </c>
      <c r="AL2733" s="54">
        <f>IF(AK2733&lt;&gt;"",AK2733,N(AL2732))</f>
        <v/>
      </c>
    </row>
    <row r="2734">
      <c r="A2734" t="inlineStr">
        <is>
          <t>CON-0911</t>
        </is>
      </c>
      <c r="B2734" t="inlineStr">
        <is>
          <t>Consulting</t>
        </is>
      </c>
      <c r="AB2734" t="n">
        <v>911</v>
      </c>
      <c r="AD2734" s="52">
        <f>IFERROR(N(IFERROR(INDEX($A2734:$AB2734,MATCH("Xero Invoiced Ex GST",$A$1:$AB$1,0)),"")),0)</f>
        <v/>
      </c>
      <c r="AE2734" s="53">
        <f>IFERROR(INDEX($A2734:$AB2734,MATCH("Xero Invoice Date",$A$1:$AB$1,0)),"")</f>
        <v/>
      </c>
      <c r="AF2734" s="54">
        <f>IF(AND(IFERROR(INDEX($A2734:$AB2734,MATCH("Xero Invoice No",$A$1:$AB$1,0)),"")&amp;""&lt;&gt;"",ISNUMBER(AE2734),AD2734&lt;&gt;0),1,0)</f>
        <v/>
      </c>
      <c r="AG2734" s="55">
        <f>IF(AF2734=1,EOMONTH(AE2734,0),"")</f>
        <v/>
      </c>
      <c r="AH2734" s="9">
        <f>IF(AF2734=1,UPPER(TRIM(IFERROR(INDEX($A2734:$AB2734,MATCH("Client",$A$1:$AB$1,0)),"")&amp;"")),"")</f>
        <v/>
      </c>
      <c r="AI2734" s="9">
        <f>IF(AF2734=1,IFERROR(INDEX($A2734:$AB2734,MATCH("Cost Centre",$A$1:$AB$1,0)),"")&amp;"","")</f>
        <v/>
      </c>
      <c r="AJ2734" s="54">
        <f>IF(AND(AF2734=1,AE2734&gt;=set_FYStart,AE2734&lt;=set_AsAt),1,0)</f>
        <v/>
      </c>
      <c r="AK2734" s="54">
        <f>IF(AND(AJ2734=1,AH2734&lt;&gt;"",COUNTIFS($AH$2:AH2734,AH2734,$AJ$2:AJ2734,1)=1),N(AL2733)+1,"")</f>
        <v/>
      </c>
      <c r="AL2734" s="54">
        <f>IF(AK2734&lt;&gt;"",AK2734,N(AL2733))</f>
        <v/>
      </c>
    </row>
    <row r="2735">
      <c r="A2735" t="inlineStr">
        <is>
          <t>ONS-0912</t>
        </is>
      </c>
      <c r="B2735" t="inlineStr">
        <is>
          <t>Onsite</t>
        </is>
      </c>
      <c r="AB2735" t="n">
        <v>912</v>
      </c>
      <c r="AD2735" s="52">
        <f>IFERROR(N(IFERROR(INDEX($A2735:$AB2735,MATCH("Xero Invoiced Ex GST",$A$1:$AB$1,0)),"")),0)</f>
        <v/>
      </c>
      <c r="AE2735" s="53">
        <f>IFERROR(INDEX($A2735:$AB2735,MATCH("Xero Invoice Date",$A$1:$AB$1,0)),"")</f>
        <v/>
      </c>
      <c r="AF2735" s="54">
        <f>IF(AND(IFERROR(INDEX($A2735:$AB2735,MATCH("Xero Invoice No",$A$1:$AB$1,0)),"")&amp;""&lt;&gt;"",ISNUMBER(AE2735),AD2735&lt;&gt;0),1,0)</f>
        <v/>
      </c>
      <c r="AG2735" s="55">
        <f>IF(AF2735=1,EOMONTH(AE2735,0),"")</f>
        <v/>
      </c>
      <c r="AH2735" s="9">
        <f>IF(AF2735=1,UPPER(TRIM(IFERROR(INDEX($A2735:$AB2735,MATCH("Client",$A$1:$AB$1,0)),"")&amp;"")),"")</f>
        <v/>
      </c>
      <c r="AI2735" s="9">
        <f>IF(AF2735=1,IFERROR(INDEX($A2735:$AB2735,MATCH("Cost Centre",$A$1:$AB$1,0)),"")&amp;"","")</f>
        <v/>
      </c>
      <c r="AJ2735" s="54">
        <f>IF(AND(AF2735=1,AE2735&gt;=set_FYStart,AE2735&lt;=set_AsAt),1,0)</f>
        <v/>
      </c>
      <c r="AK2735" s="54">
        <f>IF(AND(AJ2735=1,AH2735&lt;&gt;"",COUNTIFS($AH$2:AH2735,AH2735,$AJ$2:AJ2735,1)=1),N(AL2734)+1,"")</f>
        <v/>
      </c>
      <c r="AL2735" s="54">
        <f>IF(AK2735&lt;&gt;"",AK2735,N(AL2734))</f>
        <v/>
      </c>
    </row>
    <row r="2736">
      <c r="A2736" t="inlineStr">
        <is>
          <t>PRD-0912</t>
        </is>
      </c>
      <c r="B2736" t="inlineStr">
        <is>
          <t>Production</t>
        </is>
      </c>
      <c r="AB2736" t="n">
        <v>912</v>
      </c>
      <c r="AD2736" s="52">
        <f>IFERROR(N(IFERROR(INDEX($A2736:$AB2736,MATCH("Xero Invoiced Ex GST",$A$1:$AB$1,0)),"")),0)</f>
        <v/>
      </c>
      <c r="AE2736" s="53">
        <f>IFERROR(INDEX($A2736:$AB2736,MATCH("Xero Invoice Date",$A$1:$AB$1,0)),"")</f>
        <v/>
      </c>
      <c r="AF2736" s="54">
        <f>IF(AND(IFERROR(INDEX($A2736:$AB2736,MATCH("Xero Invoice No",$A$1:$AB$1,0)),"")&amp;""&lt;&gt;"",ISNUMBER(AE2736),AD2736&lt;&gt;0),1,0)</f>
        <v/>
      </c>
      <c r="AG2736" s="55">
        <f>IF(AF2736=1,EOMONTH(AE2736,0),"")</f>
        <v/>
      </c>
      <c r="AH2736" s="9">
        <f>IF(AF2736=1,UPPER(TRIM(IFERROR(INDEX($A2736:$AB2736,MATCH("Client",$A$1:$AB$1,0)),"")&amp;"")),"")</f>
        <v/>
      </c>
      <c r="AI2736" s="9">
        <f>IF(AF2736=1,IFERROR(INDEX($A2736:$AB2736,MATCH("Cost Centre",$A$1:$AB$1,0)),"")&amp;"","")</f>
        <v/>
      </c>
      <c r="AJ2736" s="54">
        <f>IF(AND(AF2736=1,AE2736&gt;=set_FYStart,AE2736&lt;=set_AsAt),1,0)</f>
        <v/>
      </c>
      <c r="AK2736" s="54">
        <f>IF(AND(AJ2736=1,AH2736&lt;&gt;"",COUNTIFS($AH$2:AH2736,AH2736,$AJ$2:AJ2736,1)=1),N(AL2735)+1,"")</f>
        <v/>
      </c>
      <c r="AL2736" s="54">
        <f>IF(AK2736&lt;&gt;"",AK2736,N(AL2735))</f>
        <v/>
      </c>
    </row>
    <row r="2737">
      <c r="A2737" t="inlineStr">
        <is>
          <t>CON-0912</t>
        </is>
      </c>
      <c r="B2737" t="inlineStr">
        <is>
          <t>Consulting</t>
        </is>
      </c>
      <c r="AB2737" t="n">
        <v>912</v>
      </c>
      <c r="AD2737" s="52">
        <f>IFERROR(N(IFERROR(INDEX($A2737:$AB2737,MATCH("Xero Invoiced Ex GST",$A$1:$AB$1,0)),"")),0)</f>
        <v/>
      </c>
      <c r="AE2737" s="53">
        <f>IFERROR(INDEX($A2737:$AB2737,MATCH("Xero Invoice Date",$A$1:$AB$1,0)),"")</f>
        <v/>
      </c>
      <c r="AF2737" s="54">
        <f>IF(AND(IFERROR(INDEX($A2737:$AB2737,MATCH("Xero Invoice No",$A$1:$AB$1,0)),"")&amp;""&lt;&gt;"",ISNUMBER(AE2737),AD2737&lt;&gt;0),1,0)</f>
        <v/>
      </c>
      <c r="AG2737" s="55">
        <f>IF(AF2737=1,EOMONTH(AE2737,0),"")</f>
        <v/>
      </c>
      <c r="AH2737" s="9">
        <f>IF(AF2737=1,UPPER(TRIM(IFERROR(INDEX($A2737:$AB2737,MATCH("Client",$A$1:$AB$1,0)),"")&amp;"")),"")</f>
        <v/>
      </c>
      <c r="AI2737" s="9">
        <f>IF(AF2737=1,IFERROR(INDEX($A2737:$AB2737,MATCH("Cost Centre",$A$1:$AB$1,0)),"")&amp;"","")</f>
        <v/>
      </c>
      <c r="AJ2737" s="54">
        <f>IF(AND(AF2737=1,AE2737&gt;=set_FYStart,AE2737&lt;=set_AsAt),1,0)</f>
        <v/>
      </c>
      <c r="AK2737" s="54">
        <f>IF(AND(AJ2737=1,AH2737&lt;&gt;"",COUNTIFS($AH$2:AH2737,AH2737,$AJ$2:AJ2737,1)=1),N(AL2736)+1,"")</f>
        <v/>
      </c>
      <c r="AL2737" s="54">
        <f>IF(AK2737&lt;&gt;"",AK2737,N(AL2736))</f>
        <v/>
      </c>
    </row>
    <row r="2738">
      <c r="A2738" t="inlineStr">
        <is>
          <t>ONS-0913</t>
        </is>
      </c>
      <c r="B2738" t="inlineStr">
        <is>
          <t>Onsite</t>
        </is>
      </c>
      <c r="AB2738" t="n">
        <v>913</v>
      </c>
      <c r="AD2738" s="52">
        <f>IFERROR(N(IFERROR(INDEX($A2738:$AB2738,MATCH("Xero Invoiced Ex GST",$A$1:$AB$1,0)),"")),0)</f>
        <v/>
      </c>
      <c r="AE2738" s="53">
        <f>IFERROR(INDEX($A2738:$AB2738,MATCH("Xero Invoice Date",$A$1:$AB$1,0)),"")</f>
        <v/>
      </c>
      <c r="AF2738" s="54">
        <f>IF(AND(IFERROR(INDEX($A2738:$AB2738,MATCH("Xero Invoice No",$A$1:$AB$1,0)),"")&amp;""&lt;&gt;"",ISNUMBER(AE2738),AD2738&lt;&gt;0),1,0)</f>
        <v/>
      </c>
      <c r="AG2738" s="55">
        <f>IF(AF2738=1,EOMONTH(AE2738,0),"")</f>
        <v/>
      </c>
      <c r="AH2738" s="9">
        <f>IF(AF2738=1,UPPER(TRIM(IFERROR(INDEX($A2738:$AB2738,MATCH("Client",$A$1:$AB$1,0)),"")&amp;"")),"")</f>
        <v/>
      </c>
      <c r="AI2738" s="9">
        <f>IF(AF2738=1,IFERROR(INDEX($A2738:$AB2738,MATCH("Cost Centre",$A$1:$AB$1,0)),"")&amp;"","")</f>
        <v/>
      </c>
      <c r="AJ2738" s="54">
        <f>IF(AND(AF2738=1,AE2738&gt;=set_FYStart,AE2738&lt;=set_AsAt),1,0)</f>
        <v/>
      </c>
      <c r="AK2738" s="54">
        <f>IF(AND(AJ2738=1,AH2738&lt;&gt;"",COUNTIFS($AH$2:AH2738,AH2738,$AJ$2:AJ2738,1)=1),N(AL2737)+1,"")</f>
        <v/>
      </c>
      <c r="AL2738" s="54">
        <f>IF(AK2738&lt;&gt;"",AK2738,N(AL2737))</f>
        <v/>
      </c>
    </row>
    <row r="2739">
      <c r="A2739" t="inlineStr">
        <is>
          <t>PRD-0913</t>
        </is>
      </c>
      <c r="B2739" t="inlineStr">
        <is>
          <t>Production</t>
        </is>
      </c>
      <c r="AB2739" t="n">
        <v>913</v>
      </c>
      <c r="AD2739" s="52">
        <f>IFERROR(N(IFERROR(INDEX($A2739:$AB2739,MATCH("Xero Invoiced Ex GST",$A$1:$AB$1,0)),"")),0)</f>
        <v/>
      </c>
      <c r="AE2739" s="53">
        <f>IFERROR(INDEX($A2739:$AB2739,MATCH("Xero Invoice Date",$A$1:$AB$1,0)),"")</f>
        <v/>
      </c>
      <c r="AF2739" s="54">
        <f>IF(AND(IFERROR(INDEX($A2739:$AB2739,MATCH("Xero Invoice No",$A$1:$AB$1,0)),"")&amp;""&lt;&gt;"",ISNUMBER(AE2739),AD2739&lt;&gt;0),1,0)</f>
        <v/>
      </c>
      <c r="AG2739" s="55">
        <f>IF(AF2739=1,EOMONTH(AE2739,0),"")</f>
        <v/>
      </c>
      <c r="AH2739" s="9">
        <f>IF(AF2739=1,UPPER(TRIM(IFERROR(INDEX($A2739:$AB2739,MATCH("Client",$A$1:$AB$1,0)),"")&amp;"")),"")</f>
        <v/>
      </c>
      <c r="AI2739" s="9">
        <f>IF(AF2739=1,IFERROR(INDEX($A2739:$AB2739,MATCH("Cost Centre",$A$1:$AB$1,0)),"")&amp;"","")</f>
        <v/>
      </c>
      <c r="AJ2739" s="54">
        <f>IF(AND(AF2739=1,AE2739&gt;=set_FYStart,AE2739&lt;=set_AsAt),1,0)</f>
        <v/>
      </c>
      <c r="AK2739" s="54">
        <f>IF(AND(AJ2739=1,AH2739&lt;&gt;"",COUNTIFS($AH$2:AH2739,AH2739,$AJ$2:AJ2739,1)=1),N(AL2738)+1,"")</f>
        <v/>
      </c>
      <c r="AL2739" s="54">
        <f>IF(AK2739&lt;&gt;"",AK2739,N(AL2738))</f>
        <v/>
      </c>
    </row>
    <row r="2740">
      <c r="A2740" t="inlineStr">
        <is>
          <t>CON-0913</t>
        </is>
      </c>
      <c r="B2740" t="inlineStr">
        <is>
          <t>Consulting</t>
        </is>
      </c>
      <c r="AB2740" t="n">
        <v>913</v>
      </c>
      <c r="AD2740" s="52">
        <f>IFERROR(N(IFERROR(INDEX($A2740:$AB2740,MATCH("Xero Invoiced Ex GST",$A$1:$AB$1,0)),"")),0)</f>
        <v/>
      </c>
      <c r="AE2740" s="53">
        <f>IFERROR(INDEX($A2740:$AB2740,MATCH("Xero Invoice Date",$A$1:$AB$1,0)),"")</f>
        <v/>
      </c>
      <c r="AF2740" s="54">
        <f>IF(AND(IFERROR(INDEX($A2740:$AB2740,MATCH("Xero Invoice No",$A$1:$AB$1,0)),"")&amp;""&lt;&gt;"",ISNUMBER(AE2740),AD2740&lt;&gt;0),1,0)</f>
        <v/>
      </c>
      <c r="AG2740" s="55">
        <f>IF(AF2740=1,EOMONTH(AE2740,0),"")</f>
        <v/>
      </c>
      <c r="AH2740" s="9">
        <f>IF(AF2740=1,UPPER(TRIM(IFERROR(INDEX($A2740:$AB2740,MATCH("Client",$A$1:$AB$1,0)),"")&amp;"")),"")</f>
        <v/>
      </c>
      <c r="AI2740" s="9">
        <f>IF(AF2740=1,IFERROR(INDEX($A2740:$AB2740,MATCH("Cost Centre",$A$1:$AB$1,0)),"")&amp;"","")</f>
        <v/>
      </c>
      <c r="AJ2740" s="54">
        <f>IF(AND(AF2740=1,AE2740&gt;=set_FYStart,AE2740&lt;=set_AsAt),1,0)</f>
        <v/>
      </c>
      <c r="AK2740" s="54">
        <f>IF(AND(AJ2740=1,AH2740&lt;&gt;"",COUNTIFS($AH$2:AH2740,AH2740,$AJ$2:AJ2740,1)=1),N(AL2739)+1,"")</f>
        <v/>
      </c>
      <c r="AL2740" s="54">
        <f>IF(AK2740&lt;&gt;"",AK2740,N(AL2739))</f>
        <v/>
      </c>
    </row>
    <row r="2741">
      <c r="A2741" t="inlineStr">
        <is>
          <t>ONS-0914</t>
        </is>
      </c>
      <c r="B2741" t="inlineStr">
        <is>
          <t>Onsite</t>
        </is>
      </c>
      <c r="AB2741" t="n">
        <v>914</v>
      </c>
      <c r="AD2741" s="52">
        <f>IFERROR(N(IFERROR(INDEX($A2741:$AB2741,MATCH("Xero Invoiced Ex GST",$A$1:$AB$1,0)),"")),0)</f>
        <v/>
      </c>
      <c r="AE2741" s="53">
        <f>IFERROR(INDEX($A2741:$AB2741,MATCH("Xero Invoice Date",$A$1:$AB$1,0)),"")</f>
        <v/>
      </c>
      <c r="AF2741" s="54">
        <f>IF(AND(IFERROR(INDEX($A2741:$AB2741,MATCH("Xero Invoice No",$A$1:$AB$1,0)),"")&amp;""&lt;&gt;"",ISNUMBER(AE2741),AD2741&lt;&gt;0),1,0)</f>
        <v/>
      </c>
      <c r="AG2741" s="55">
        <f>IF(AF2741=1,EOMONTH(AE2741,0),"")</f>
        <v/>
      </c>
      <c r="AH2741" s="9">
        <f>IF(AF2741=1,UPPER(TRIM(IFERROR(INDEX($A2741:$AB2741,MATCH("Client",$A$1:$AB$1,0)),"")&amp;"")),"")</f>
        <v/>
      </c>
      <c r="AI2741" s="9">
        <f>IF(AF2741=1,IFERROR(INDEX($A2741:$AB2741,MATCH("Cost Centre",$A$1:$AB$1,0)),"")&amp;"","")</f>
        <v/>
      </c>
      <c r="AJ2741" s="54">
        <f>IF(AND(AF2741=1,AE2741&gt;=set_FYStart,AE2741&lt;=set_AsAt),1,0)</f>
        <v/>
      </c>
      <c r="AK2741" s="54">
        <f>IF(AND(AJ2741=1,AH2741&lt;&gt;"",COUNTIFS($AH$2:AH2741,AH2741,$AJ$2:AJ2741,1)=1),N(AL2740)+1,"")</f>
        <v/>
      </c>
      <c r="AL2741" s="54">
        <f>IF(AK2741&lt;&gt;"",AK2741,N(AL2740))</f>
        <v/>
      </c>
    </row>
    <row r="2742">
      <c r="A2742" t="inlineStr">
        <is>
          <t>PRD-0914</t>
        </is>
      </c>
      <c r="B2742" t="inlineStr">
        <is>
          <t>Production</t>
        </is>
      </c>
      <c r="AB2742" t="n">
        <v>914</v>
      </c>
      <c r="AD2742" s="52">
        <f>IFERROR(N(IFERROR(INDEX($A2742:$AB2742,MATCH("Xero Invoiced Ex GST",$A$1:$AB$1,0)),"")),0)</f>
        <v/>
      </c>
      <c r="AE2742" s="53">
        <f>IFERROR(INDEX($A2742:$AB2742,MATCH("Xero Invoice Date",$A$1:$AB$1,0)),"")</f>
        <v/>
      </c>
      <c r="AF2742" s="54">
        <f>IF(AND(IFERROR(INDEX($A2742:$AB2742,MATCH("Xero Invoice No",$A$1:$AB$1,0)),"")&amp;""&lt;&gt;"",ISNUMBER(AE2742),AD2742&lt;&gt;0),1,0)</f>
        <v/>
      </c>
      <c r="AG2742" s="55">
        <f>IF(AF2742=1,EOMONTH(AE2742,0),"")</f>
        <v/>
      </c>
      <c r="AH2742" s="9">
        <f>IF(AF2742=1,UPPER(TRIM(IFERROR(INDEX($A2742:$AB2742,MATCH("Client",$A$1:$AB$1,0)),"")&amp;"")),"")</f>
        <v/>
      </c>
      <c r="AI2742" s="9">
        <f>IF(AF2742=1,IFERROR(INDEX($A2742:$AB2742,MATCH("Cost Centre",$A$1:$AB$1,0)),"")&amp;"","")</f>
        <v/>
      </c>
      <c r="AJ2742" s="54">
        <f>IF(AND(AF2742=1,AE2742&gt;=set_FYStart,AE2742&lt;=set_AsAt),1,0)</f>
        <v/>
      </c>
      <c r="AK2742" s="54">
        <f>IF(AND(AJ2742=1,AH2742&lt;&gt;"",COUNTIFS($AH$2:AH2742,AH2742,$AJ$2:AJ2742,1)=1),N(AL2741)+1,"")</f>
        <v/>
      </c>
      <c r="AL2742" s="54">
        <f>IF(AK2742&lt;&gt;"",AK2742,N(AL2741))</f>
        <v/>
      </c>
    </row>
    <row r="2743">
      <c r="A2743" t="inlineStr">
        <is>
          <t>CON-0914</t>
        </is>
      </c>
      <c r="B2743" t="inlineStr">
        <is>
          <t>Consulting</t>
        </is>
      </c>
      <c r="AB2743" t="n">
        <v>914</v>
      </c>
      <c r="AD2743" s="52">
        <f>IFERROR(N(IFERROR(INDEX($A2743:$AB2743,MATCH("Xero Invoiced Ex GST",$A$1:$AB$1,0)),"")),0)</f>
        <v/>
      </c>
      <c r="AE2743" s="53">
        <f>IFERROR(INDEX($A2743:$AB2743,MATCH("Xero Invoice Date",$A$1:$AB$1,0)),"")</f>
        <v/>
      </c>
      <c r="AF2743" s="54">
        <f>IF(AND(IFERROR(INDEX($A2743:$AB2743,MATCH("Xero Invoice No",$A$1:$AB$1,0)),"")&amp;""&lt;&gt;"",ISNUMBER(AE2743),AD2743&lt;&gt;0),1,0)</f>
        <v/>
      </c>
      <c r="AG2743" s="55">
        <f>IF(AF2743=1,EOMONTH(AE2743,0),"")</f>
        <v/>
      </c>
      <c r="AH2743" s="9">
        <f>IF(AF2743=1,UPPER(TRIM(IFERROR(INDEX($A2743:$AB2743,MATCH("Client",$A$1:$AB$1,0)),"")&amp;"")),"")</f>
        <v/>
      </c>
      <c r="AI2743" s="9">
        <f>IF(AF2743=1,IFERROR(INDEX($A2743:$AB2743,MATCH("Cost Centre",$A$1:$AB$1,0)),"")&amp;"","")</f>
        <v/>
      </c>
      <c r="AJ2743" s="54">
        <f>IF(AND(AF2743=1,AE2743&gt;=set_FYStart,AE2743&lt;=set_AsAt),1,0)</f>
        <v/>
      </c>
      <c r="AK2743" s="54">
        <f>IF(AND(AJ2743=1,AH2743&lt;&gt;"",COUNTIFS($AH$2:AH2743,AH2743,$AJ$2:AJ2743,1)=1),N(AL2742)+1,"")</f>
        <v/>
      </c>
      <c r="AL2743" s="54">
        <f>IF(AK2743&lt;&gt;"",AK2743,N(AL2742))</f>
        <v/>
      </c>
    </row>
    <row r="2744">
      <c r="A2744" t="inlineStr">
        <is>
          <t>ONS-0915</t>
        </is>
      </c>
      <c r="B2744" t="inlineStr">
        <is>
          <t>Onsite</t>
        </is>
      </c>
      <c r="AB2744" t="n">
        <v>915</v>
      </c>
      <c r="AD2744" s="52">
        <f>IFERROR(N(IFERROR(INDEX($A2744:$AB2744,MATCH("Xero Invoiced Ex GST",$A$1:$AB$1,0)),"")),0)</f>
        <v/>
      </c>
      <c r="AE2744" s="53">
        <f>IFERROR(INDEX($A2744:$AB2744,MATCH("Xero Invoice Date",$A$1:$AB$1,0)),"")</f>
        <v/>
      </c>
      <c r="AF2744" s="54">
        <f>IF(AND(IFERROR(INDEX($A2744:$AB2744,MATCH("Xero Invoice No",$A$1:$AB$1,0)),"")&amp;""&lt;&gt;"",ISNUMBER(AE2744),AD2744&lt;&gt;0),1,0)</f>
        <v/>
      </c>
      <c r="AG2744" s="55">
        <f>IF(AF2744=1,EOMONTH(AE2744,0),"")</f>
        <v/>
      </c>
      <c r="AH2744" s="9">
        <f>IF(AF2744=1,UPPER(TRIM(IFERROR(INDEX($A2744:$AB2744,MATCH("Client",$A$1:$AB$1,0)),"")&amp;"")),"")</f>
        <v/>
      </c>
      <c r="AI2744" s="9">
        <f>IF(AF2744=1,IFERROR(INDEX($A2744:$AB2744,MATCH("Cost Centre",$A$1:$AB$1,0)),"")&amp;"","")</f>
        <v/>
      </c>
      <c r="AJ2744" s="54">
        <f>IF(AND(AF2744=1,AE2744&gt;=set_FYStart,AE2744&lt;=set_AsAt),1,0)</f>
        <v/>
      </c>
      <c r="AK2744" s="54">
        <f>IF(AND(AJ2744=1,AH2744&lt;&gt;"",COUNTIFS($AH$2:AH2744,AH2744,$AJ$2:AJ2744,1)=1),N(AL2743)+1,"")</f>
        <v/>
      </c>
      <c r="AL2744" s="54">
        <f>IF(AK2744&lt;&gt;"",AK2744,N(AL2743))</f>
        <v/>
      </c>
    </row>
    <row r="2745">
      <c r="A2745" t="inlineStr">
        <is>
          <t>PRD-0915</t>
        </is>
      </c>
      <c r="B2745" t="inlineStr">
        <is>
          <t>Production</t>
        </is>
      </c>
      <c r="AB2745" t="n">
        <v>915</v>
      </c>
      <c r="AD2745" s="52">
        <f>IFERROR(N(IFERROR(INDEX($A2745:$AB2745,MATCH("Xero Invoiced Ex GST",$A$1:$AB$1,0)),"")),0)</f>
        <v/>
      </c>
      <c r="AE2745" s="53">
        <f>IFERROR(INDEX($A2745:$AB2745,MATCH("Xero Invoice Date",$A$1:$AB$1,0)),"")</f>
        <v/>
      </c>
      <c r="AF2745" s="54">
        <f>IF(AND(IFERROR(INDEX($A2745:$AB2745,MATCH("Xero Invoice No",$A$1:$AB$1,0)),"")&amp;""&lt;&gt;"",ISNUMBER(AE2745),AD2745&lt;&gt;0),1,0)</f>
        <v/>
      </c>
      <c r="AG2745" s="55">
        <f>IF(AF2745=1,EOMONTH(AE2745,0),"")</f>
        <v/>
      </c>
      <c r="AH2745" s="9">
        <f>IF(AF2745=1,UPPER(TRIM(IFERROR(INDEX($A2745:$AB2745,MATCH("Client",$A$1:$AB$1,0)),"")&amp;"")),"")</f>
        <v/>
      </c>
      <c r="AI2745" s="9">
        <f>IF(AF2745=1,IFERROR(INDEX($A2745:$AB2745,MATCH("Cost Centre",$A$1:$AB$1,0)),"")&amp;"","")</f>
        <v/>
      </c>
      <c r="AJ2745" s="54">
        <f>IF(AND(AF2745=1,AE2745&gt;=set_FYStart,AE2745&lt;=set_AsAt),1,0)</f>
        <v/>
      </c>
      <c r="AK2745" s="54">
        <f>IF(AND(AJ2745=1,AH2745&lt;&gt;"",COUNTIFS($AH$2:AH2745,AH2745,$AJ$2:AJ2745,1)=1),N(AL2744)+1,"")</f>
        <v/>
      </c>
      <c r="AL2745" s="54">
        <f>IF(AK2745&lt;&gt;"",AK2745,N(AL2744))</f>
        <v/>
      </c>
    </row>
    <row r="2746">
      <c r="A2746" t="inlineStr">
        <is>
          <t>CON-0915</t>
        </is>
      </c>
      <c r="B2746" t="inlineStr">
        <is>
          <t>Consulting</t>
        </is>
      </c>
      <c r="AB2746" t="n">
        <v>915</v>
      </c>
      <c r="AD2746" s="52">
        <f>IFERROR(N(IFERROR(INDEX($A2746:$AB2746,MATCH("Xero Invoiced Ex GST",$A$1:$AB$1,0)),"")),0)</f>
        <v/>
      </c>
      <c r="AE2746" s="53">
        <f>IFERROR(INDEX($A2746:$AB2746,MATCH("Xero Invoice Date",$A$1:$AB$1,0)),"")</f>
        <v/>
      </c>
      <c r="AF2746" s="54">
        <f>IF(AND(IFERROR(INDEX($A2746:$AB2746,MATCH("Xero Invoice No",$A$1:$AB$1,0)),"")&amp;""&lt;&gt;"",ISNUMBER(AE2746),AD2746&lt;&gt;0),1,0)</f>
        <v/>
      </c>
      <c r="AG2746" s="55">
        <f>IF(AF2746=1,EOMONTH(AE2746,0),"")</f>
        <v/>
      </c>
      <c r="AH2746" s="9">
        <f>IF(AF2746=1,UPPER(TRIM(IFERROR(INDEX($A2746:$AB2746,MATCH("Client",$A$1:$AB$1,0)),"")&amp;"")),"")</f>
        <v/>
      </c>
      <c r="AI2746" s="9">
        <f>IF(AF2746=1,IFERROR(INDEX($A2746:$AB2746,MATCH("Cost Centre",$A$1:$AB$1,0)),"")&amp;"","")</f>
        <v/>
      </c>
      <c r="AJ2746" s="54">
        <f>IF(AND(AF2746=1,AE2746&gt;=set_FYStart,AE2746&lt;=set_AsAt),1,0)</f>
        <v/>
      </c>
      <c r="AK2746" s="54">
        <f>IF(AND(AJ2746=1,AH2746&lt;&gt;"",COUNTIFS($AH$2:AH2746,AH2746,$AJ$2:AJ2746,1)=1),N(AL2745)+1,"")</f>
        <v/>
      </c>
      <c r="AL2746" s="54">
        <f>IF(AK2746&lt;&gt;"",AK2746,N(AL2745))</f>
        <v/>
      </c>
    </row>
    <row r="2747">
      <c r="A2747" t="inlineStr">
        <is>
          <t>ONS-0916</t>
        </is>
      </c>
      <c r="B2747" t="inlineStr">
        <is>
          <t>Onsite</t>
        </is>
      </c>
      <c r="AB2747" t="n">
        <v>916</v>
      </c>
      <c r="AD2747" s="52">
        <f>IFERROR(N(IFERROR(INDEX($A2747:$AB2747,MATCH("Xero Invoiced Ex GST",$A$1:$AB$1,0)),"")),0)</f>
        <v/>
      </c>
      <c r="AE2747" s="53">
        <f>IFERROR(INDEX($A2747:$AB2747,MATCH("Xero Invoice Date",$A$1:$AB$1,0)),"")</f>
        <v/>
      </c>
      <c r="AF2747" s="54">
        <f>IF(AND(IFERROR(INDEX($A2747:$AB2747,MATCH("Xero Invoice No",$A$1:$AB$1,0)),"")&amp;""&lt;&gt;"",ISNUMBER(AE2747),AD2747&lt;&gt;0),1,0)</f>
        <v/>
      </c>
      <c r="AG2747" s="55">
        <f>IF(AF2747=1,EOMONTH(AE2747,0),"")</f>
        <v/>
      </c>
      <c r="AH2747" s="9">
        <f>IF(AF2747=1,UPPER(TRIM(IFERROR(INDEX($A2747:$AB2747,MATCH("Client",$A$1:$AB$1,0)),"")&amp;"")),"")</f>
        <v/>
      </c>
      <c r="AI2747" s="9">
        <f>IF(AF2747=1,IFERROR(INDEX($A2747:$AB2747,MATCH("Cost Centre",$A$1:$AB$1,0)),"")&amp;"","")</f>
        <v/>
      </c>
      <c r="AJ2747" s="54">
        <f>IF(AND(AF2747=1,AE2747&gt;=set_FYStart,AE2747&lt;=set_AsAt),1,0)</f>
        <v/>
      </c>
      <c r="AK2747" s="54">
        <f>IF(AND(AJ2747=1,AH2747&lt;&gt;"",COUNTIFS($AH$2:AH2747,AH2747,$AJ$2:AJ2747,1)=1),N(AL2746)+1,"")</f>
        <v/>
      </c>
      <c r="AL2747" s="54">
        <f>IF(AK2747&lt;&gt;"",AK2747,N(AL2746))</f>
        <v/>
      </c>
    </row>
    <row r="2748">
      <c r="A2748" t="inlineStr">
        <is>
          <t>PRD-0916</t>
        </is>
      </c>
      <c r="B2748" t="inlineStr">
        <is>
          <t>Production</t>
        </is>
      </c>
      <c r="AB2748" t="n">
        <v>916</v>
      </c>
      <c r="AD2748" s="52">
        <f>IFERROR(N(IFERROR(INDEX($A2748:$AB2748,MATCH("Xero Invoiced Ex GST",$A$1:$AB$1,0)),"")),0)</f>
        <v/>
      </c>
      <c r="AE2748" s="53">
        <f>IFERROR(INDEX($A2748:$AB2748,MATCH("Xero Invoice Date",$A$1:$AB$1,0)),"")</f>
        <v/>
      </c>
      <c r="AF2748" s="54">
        <f>IF(AND(IFERROR(INDEX($A2748:$AB2748,MATCH("Xero Invoice No",$A$1:$AB$1,0)),"")&amp;""&lt;&gt;"",ISNUMBER(AE2748),AD2748&lt;&gt;0),1,0)</f>
        <v/>
      </c>
      <c r="AG2748" s="55">
        <f>IF(AF2748=1,EOMONTH(AE2748,0),"")</f>
        <v/>
      </c>
      <c r="AH2748" s="9">
        <f>IF(AF2748=1,UPPER(TRIM(IFERROR(INDEX($A2748:$AB2748,MATCH("Client",$A$1:$AB$1,0)),"")&amp;"")),"")</f>
        <v/>
      </c>
      <c r="AI2748" s="9">
        <f>IF(AF2748=1,IFERROR(INDEX($A2748:$AB2748,MATCH("Cost Centre",$A$1:$AB$1,0)),"")&amp;"","")</f>
        <v/>
      </c>
      <c r="AJ2748" s="54">
        <f>IF(AND(AF2748=1,AE2748&gt;=set_FYStart,AE2748&lt;=set_AsAt),1,0)</f>
        <v/>
      </c>
      <c r="AK2748" s="54">
        <f>IF(AND(AJ2748=1,AH2748&lt;&gt;"",COUNTIFS($AH$2:AH2748,AH2748,$AJ$2:AJ2748,1)=1),N(AL2747)+1,"")</f>
        <v/>
      </c>
      <c r="AL2748" s="54">
        <f>IF(AK2748&lt;&gt;"",AK2748,N(AL2747))</f>
        <v/>
      </c>
    </row>
    <row r="2749">
      <c r="A2749" t="inlineStr">
        <is>
          <t>CON-0916</t>
        </is>
      </c>
      <c r="B2749" t="inlineStr">
        <is>
          <t>Consulting</t>
        </is>
      </c>
      <c r="AB2749" t="n">
        <v>916</v>
      </c>
      <c r="AD2749" s="52">
        <f>IFERROR(N(IFERROR(INDEX($A2749:$AB2749,MATCH("Xero Invoiced Ex GST",$A$1:$AB$1,0)),"")),0)</f>
        <v/>
      </c>
      <c r="AE2749" s="53">
        <f>IFERROR(INDEX($A2749:$AB2749,MATCH("Xero Invoice Date",$A$1:$AB$1,0)),"")</f>
        <v/>
      </c>
      <c r="AF2749" s="54">
        <f>IF(AND(IFERROR(INDEX($A2749:$AB2749,MATCH("Xero Invoice No",$A$1:$AB$1,0)),"")&amp;""&lt;&gt;"",ISNUMBER(AE2749),AD2749&lt;&gt;0),1,0)</f>
        <v/>
      </c>
      <c r="AG2749" s="55">
        <f>IF(AF2749=1,EOMONTH(AE2749,0),"")</f>
        <v/>
      </c>
      <c r="AH2749" s="9">
        <f>IF(AF2749=1,UPPER(TRIM(IFERROR(INDEX($A2749:$AB2749,MATCH("Client",$A$1:$AB$1,0)),"")&amp;"")),"")</f>
        <v/>
      </c>
      <c r="AI2749" s="9">
        <f>IF(AF2749=1,IFERROR(INDEX($A2749:$AB2749,MATCH("Cost Centre",$A$1:$AB$1,0)),"")&amp;"","")</f>
        <v/>
      </c>
      <c r="AJ2749" s="54">
        <f>IF(AND(AF2749=1,AE2749&gt;=set_FYStart,AE2749&lt;=set_AsAt),1,0)</f>
        <v/>
      </c>
      <c r="AK2749" s="54">
        <f>IF(AND(AJ2749=1,AH2749&lt;&gt;"",COUNTIFS($AH$2:AH2749,AH2749,$AJ$2:AJ2749,1)=1),N(AL2748)+1,"")</f>
        <v/>
      </c>
      <c r="AL2749" s="54">
        <f>IF(AK2749&lt;&gt;"",AK2749,N(AL2748))</f>
        <v/>
      </c>
    </row>
    <row r="2750">
      <c r="A2750" t="inlineStr">
        <is>
          <t>ONS-0917</t>
        </is>
      </c>
      <c r="B2750" t="inlineStr">
        <is>
          <t>Onsite</t>
        </is>
      </c>
      <c r="AB2750" t="n">
        <v>917</v>
      </c>
      <c r="AD2750" s="52">
        <f>IFERROR(N(IFERROR(INDEX($A2750:$AB2750,MATCH("Xero Invoiced Ex GST",$A$1:$AB$1,0)),"")),0)</f>
        <v/>
      </c>
      <c r="AE2750" s="53">
        <f>IFERROR(INDEX($A2750:$AB2750,MATCH("Xero Invoice Date",$A$1:$AB$1,0)),"")</f>
        <v/>
      </c>
      <c r="AF2750" s="54">
        <f>IF(AND(IFERROR(INDEX($A2750:$AB2750,MATCH("Xero Invoice No",$A$1:$AB$1,0)),"")&amp;""&lt;&gt;"",ISNUMBER(AE2750),AD2750&lt;&gt;0),1,0)</f>
        <v/>
      </c>
      <c r="AG2750" s="55">
        <f>IF(AF2750=1,EOMONTH(AE2750,0),"")</f>
        <v/>
      </c>
      <c r="AH2750" s="9">
        <f>IF(AF2750=1,UPPER(TRIM(IFERROR(INDEX($A2750:$AB2750,MATCH("Client",$A$1:$AB$1,0)),"")&amp;"")),"")</f>
        <v/>
      </c>
      <c r="AI2750" s="9">
        <f>IF(AF2750=1,IFERROR(INDEX($A2750:$AB2750,MATCH("Cost Centre",$A$1:$AB$1,0)),"")&amp;"","")</f>
        <v/>
      </c>
      <c r="AJ2750" s="54">
        <f>IF(AND(AF2750=1,AE2750&gt;=set_FYStart,AE2750&lt;=set_AsAt),1,0)</f>
        <v/>
      </c>
      <c r="AK2750" s="54">
        <f>IF(AND(AJ2750=1,AH2750&lt;&gt;"",COUNTIFS($AH$2:AH2750,AH2750,$AJ$2:AJ2750,1)=1),N(AL2749)+1,"")</f>
        <v/>
      </c>
      <c r="AL2750" s="54">
        <f>IF(AK2750&lt;&gt;"",AK2750,N(AL2749))</f>
        <v/>
      </c>
    </row>
    <row r="2751">
      <c r="A2751" t="inlineStr">
        <is>
          <t>PRD-0917</t>
        </is>
      </c>
      <c r="B2751" t="inlineStr">
        <is>
          <t>Production</t>
        </is>
      </c>
      <c r="AB2751" t="n">
        <v>917</v>
      </c>
      <c r="AD2751" s="52">
        <f>IFERROR(N(IFERROR(INDEX($A2751:$AB2751,MATCH("Xero Invoiced Ex GST",$A$1:$AB$1,0)),"")),0)</f>
        <v/>
      </c>
      <c r="AE2751" s="53">
        <f>IFERROR(INDEX($A2751:$AB2751,MATCH("Xero Invoice Date",$A$1:$AB$1,0)),"")</f>
        <v/>
      </c>
      <c r="AF2751" s="54">
        <f>IF(AND(IFERROR(INDEX($A2751:$AB2751,MATCH("Xero Invoice No",$A$1:$AB$1,0)),"")&amp;""&lt;&gt;"",ISNUMBER(AE2751),AD2751&lt;&gt;0),1,0)</f>
        <v/>
      </c>
      <c r="AG2751" s="55">
        <f>IF(AF2751=1,EOMONTH(AE2751,0),"")</f>
        <v/>
      </c>
      <c r="AH2751" s="9">
        <f>IF(AF2751=1,UPPER(TRIM(IFERROR(INDEX($A2751:$AB2751,MATCH("Client",$A$1:$AB$1,0)),"")&amp;"")),"")</f>
        <v/>
      </c>
      <c r="AI2751" s="9">
        <f>IF(AF2751=1,IFERROR(INDEX($A2751:$AB2751,MATCH("Cost Centre",$A$1:$AB$1,0)),"")&amp;"","")</f>
        <v/>
      </c>
      <c r="AJ2751" s="54">
        <f>IF(AND(AF2751=1,AE2751&gt;=set_FYStart,AE2751&lt;=set_AsAt),1,0)</f>
        <v/>
      </c>
      <c r="AK2751" s="54">
        <f>IF(AND(AJ2751=1,AH2751&lt;&gt;"",COUNTIFS($AH$2:AH2751,AH2751,$AJ$2:AJ2751,1)=1),N(AL2750)+1,"")</f>
        <v/>
      </c>
      <c r="AL2751" s="54">
        <f>IF(AK2751&lt;&gt;"",AK2751,N(AL2750))</f>
        <v/>
      </c>
    </row>
    <row r="2752">
      <c r="A2752" t="inlineStr">
        <is>
          <t>CON-0917</t>
        </is>
      </c>
      <c r="B2752" t="inlineStr">
        <is>
          <t>Consulting</t>
        </is>
      </c>
      <c r="AB2752" t="n">
        <v>917</v>
      </c>
      <c r="AD2752" s="52">
        <f>IFERROR(N(IFERROR(INDEX($A2752:$AB2752,MATCH("Xero Invoiced Ex GST",$A$1:$AB$1,0)),"")),0)</f>
        <v/>
      </c>
      <c r="AE2752" s="53">
        <f>IFERROR(INDEX($A2752:$AB2752,MATCH("Xero Invoice Date",$A$1:$AB$1,0)),"")</f>
        <v/>
      </c>
      <c r="AF2752" s="54">
        <f>IF(AND(IFERROR(INDEX($A2752:$AB2752,MATCH("Xero Invoice No",$A$1:$AB$1,0)),"")&amp;""&lt;&gt;"",ISNUMBER(AE2752),AD2752&lt;&gt;0),1,0)</f>
        <v/>
      </c>
      <c r="AG2752" s="55">
        <f>IF(AF2752=1,EOMONTH(AE2752,0),"")</f>
        <v/>
      </c>
      <c r="AH2752" s="9">
        <f>IF(AF2752=1,UPPER(TRIM(IFERROR(INDEX($A2752:$AB2752,MATCH("Client",$A$1:$AB$1,0)),"")&amp;"")),"")</f>
        <v/>
      </c>
      <c r="AI2752" s="9">
        <f>IF(AF2752=1,IFERROR(INDEX($A2752:$AB2752,MATCH("Cost Centre",$A$1:$AB$1,0)),"")&amp;"","")</f>
        <v/>
      </c>
      <c r="AJ2752" s="54">
        <f>IF(AND(AF2752=1,AE2752&gt;=set_FYStart,AE2752&lt;=set_AsAt),1,0)</f>
        <v/>
      </c>
      <c r="AK2752" s="54">
        <f>IF(AND(AJ2752=1,AH2752&lt;&gt;"",COUNTIFS($AH$2:AH2752,AH2752,$AJ$2:AJ2752,1)=1),N(AL2751)+1,"")</f>
        <v/>
      </c>
      <c r="AL2752" s="54">
        <f>IF(AK2752&lt;&gt;"",AK2752,N(AL2751))</f>
        <v/>
      </c>
    </row>
    <row r="2753">
      <c r="A2753" t="inlineStr">
        <is>
          <t>ONS-0918</t>
        </is>
      </c>
      <c r="B2753" t="inlineStr">
        <is>
          <t>Onsite</t>
        </is>
      </c>
      <c r="AB2753" t="n">
        <v>918</v>
      </c>
      <c r="AD2753" s="52">
        <f>IFERROR(N(IFERROR(INDEX($A2753:$AB2753,MATCH("Xero Invoiced Ex GST",$A$1:$AB$1,0)),"")),0)</f>
        <v/>
      </c>
      <c r="AE2753" s="53">
        <f>IFERROR(INDEX($A2753:$AB2753,MATCH("Xero Invoice Date",$A$1:$AB$1,0)),"")</f>
        <v/>
      </c>
      <c r="AF2753" s="54">
        <f>IF(AND(IFERROR(INDEX($A2753:$AB2753,MATCH("Xero Invoice No",$A$1:$AB$1,0)),"")&amp;""&lt;&gt;"",ISNUMBER(AE2753),AD2753&lt;&gt;0),1,0)</f>
        <v/>
      </c>
      <c r="AG2753" s="55">
        <f>IF(AF2753=1,EOMONTH(AE2753,0),"")</f>
        <v/>
      </c>
      <c r="AH2753" s="9">
        <f>IF(AF2753=1,UPPER(TRIM(IFERROR(INDEX($A2753:$AB2753,MATCH("Client",$A$1:$AB$1,0)),"")&amp;"")),"")</f>
        <v/>
      </c>
      <c r="AI2753" s="9">
        <f>IF(AF2753=1,IFERROR(INDEX($A2753:$AB2753,MATCH("Cost Centre",$A$1:$AB$1,0)),"")&amp;"","")</f>
        <v/>
      </c>
      <c r="AJ2753" s="54">
        <f>IF(AND(AF2753=1,AE2753&gt;=set_FYStart,AE2753&lt;=set_AsAt),1,0)</f>
        <v/>
      </c>
      <c r="AK2753" s="54">
        <f>IF(AND(AJ2753=1,AH2753&lt;&gt;"",COUNTIFS($AH$2:AH2753,AH2753,$AJ$2:AJ2753,1)=1),N(AL2752)+1,"")</f>
        <v/>
      </c>
      <c r="AL2753" s="54">
        <f>IF(AK2753&lt;&gt;"",AK2753,N(AL2752))</f>
        <v/>
      </c>
    </row>
    <row r="2754">
      <c r="A2754" t="inlineStr">
        <is>
          <t>PRD-0918</t>
        </is>
      </c>
      <c r="B2754" t="inlineStr">
        <is>
          <t>Production</t>
        </is>
      </c>
      <c r="AB2754" t="n">
        <v>918</v>
      </c>
      <c r="AD2754" s="52">
        <f>IFERROR(N(IFERROR(INDEX($A2754:$AB2754,MATCH("Xero Invoiced Ex GST",$A$1:$AB$1,0)),"")),0)</f>
        <v/>
      </c>
      <c r="AE2754" s="53">
        <f>IFERROR(INDEX($A2754:$AB2754,MATCH("Xero Invoice Date",$A$1:$AB$1,0)),"")</f>
        <v/>
      </c>
      <c r="AF2754" s="54">
        <f>IF(AND(IFERROR(INDEX($A2754:$AB2754,MATCH("Xero Invoice No",$A$1:$AB$1,0)),"")&amp;""&lt;&gt;"",ISNUMBER(AE2754),AD2754&lt;&gt;0),1,0)</f>
        <v/>
      </c>
      <c r="AG2754" s="55">
        <f>IF(AF2754=1,EOMONTH(AE2754,0),"")</f>
        <v/>
      </c>
      <c r="AH2754" s="9">
        <f>IF(AF2754=1,UPPER(TRIM(IFERROR(INDEX($A2754:$AB2754,MATCH("Client",$A$1:$AB$1,0)),"")&amp;"")),"")</f>
        <v/>
      </c>
      <c r="AI2754" s="9">
        <f>IF(AF2754=1,IFERROR(INDEX($A2754:$AB2754,MATCH("Cost Centre",$A$1:$AB$1,0)),"")&amp;"","")</f>
        <v/>
      </c>
      <c r="AJ2754" s="54">
        <f>IF(AND(AF2754=1,AE2754&gt;=set_FYStart,AE2754&lt;=set_AsAt),1,0)</f>
        <v/>
      </c>
      <c r="AK2754" s="54">
        <f>IF(AND(AJ2754=1,AH2754&lt;&gt;"",COUNTIFS($AH$2:AH2754,AH2754,$AJ$2:AJ2754,1)=1),N(AL2753)+1,"")</f>
        <v/>
      </c>
      <c r="AL2754" s="54">
        <f>IF(AK2754&lt;&gt;"",AK2754,N(AL2753))</f>
        <v/>
      </c>
    </row>
    <row r="2755">
      <c r="A2755" t="inlineStr">
        <is>
          <t>CON-0918</t>
        </is>
      </c>
      <c r="B2755" t="inlineStr">
        <is>
          <t>Consulting</t>
        </is>
      </c>
      <c r="AB2755" t="n">
        <v>918</v>
      </c>
      <c r="AD2755" s="52">
        <f>IFERROR(N(IFERROR(INDEX($A2755:$AB2755,MATCH("Xero Invoiced Ex GST",$A$1:$AB$1,0)),"")),0)</f>
        <v/>
      </c>
      <c r="AE2755" s="53">
        <f>IFERROR(INDEX($A2755:$AB2755,MATCH("Xero Invoice Date",$A$1:$AB$1,0)),"")</f>
        <v/>
      </c>
      <c r="AF2755" s="54">
        <f>IF(AND(IFERROR(INDEX($A2755:$AB2755,MATCH("Xero Invoice No",$A$1:$AB$1,0)),"")&amp;""&lt;&gt;"",ISNUMBER(AE2755),AD2755&lt;&gt;0),1,0)</f>
        <v/>
      </c>
      <c r="AG2755" s="55">
        <f>IF(AF2755=1,EOMONTH(AE2755,0),"")</f>
        <v/>
      </c>
      <c r="AH2755" s="9">
        <f>IF(AF2755=1,UPPER(TRIM(IFERROR(INDEX($A2755:$AB2755,MATCH("Client",$A$1:$AB$1,0)),"")&amp;"")),"")</f>
        <v/>
      </c>
      <c r="AI2755" s="9">
        <f>IF(AF2755=1,IFERROR(INDEX($A2755:$AB2755,MATCH("Cost Centre",$A$1:$AB$1,0)),"")&amp;"","")</f>
        <v/>
      </c>
      <c r="AJ2755" s="54">
        <f>IF(AND(AF2755=1,AE2755&gt;=set_FYStart,AE2755&lt;=set_AsAt),1,0)</f>
        <v/>
      </c>
      <c r="AK2755" s="54">
        <f>IF(AND(AJ2755=1,AH2755&lt;&gt;"",COUNTIFS($AH$2:AH2755,AH2755,$AJ$2:AJ2755,1)=1),N(AL2754)+1,"")</f>
        <v/>
      </c>
      <c r="AL2755" s="54">
        <f>IF(AK2755&lt;&gt;"",AK2755,N(AL2754))</f>
        <v/>
      </c>
    </row>
    <row r="2756">
      <c r="A2756" t="inlineStr">
        <is>
          <t>ONS-0919</t>
        </is>
      </c>
      <c r="B2756" t="inlineStr">
        <is>
          <t>Onsite</t>
        </is>
      </c>
      <c r="AB2756" t="n">
        <v>919</v>
      </c>
      <c r="AD2756" s="52">
        <f>IFERROR(N(IFERROR(INDEX($A2756:$AB2756,MATCH("Xero Invoiced Ex GST",$A$1:$AB$1,0)),"")),0)</f>
        <v/>
      </c>
      <c r="AE2756" s="53">
        <f>IFERROR(INDEX($A2756:$AB2756,MATCH("Xero Invoice Date",$A$1:$AB$1,0)),"")</f>
        <v/>
      </c>
      <c r="AF2756" s="54">
        <f>IF(AND(IFERROR(INDEX($A2756:$AB2756,MATCH("Xero Invoice No",$A$1:$AB$1,0)),"")&amp;""&lt;&gt;"",ISNUMBER(AE2756),AD2756&lt;&gt;0),1,0)</f>
        <v/>
      </c>
      <c r="AG2756" s="55">
        <f>IF(AF2756=1,EOMONTH(AE2756,0),"")</f>
        <v/>
      </c>
      <c r="AH2756" s="9">
        <f>IF(AF2756=1,UPPER(TRIM(IFERROR(INDEX($A2756:$AB2756,MATCH("Client",$A$1:$AB$1,0)),"")&amp;"")),"")</f>
        <v/>
      </c>
      <c r="AI2756" s="9">
        <f>IF(AF2756=1,IFERROR(INDEX($A2756:$AB2756,MATCH("Cost Centre",$A$1:$AB$1,0)),"")&amp;"","")</f>
        <v/>
      </c>
      <c r="AJ2756" s="54">
        <f>IF(AND(AF2756=1,AE2756&gt;=set_FYStart,AE2756&lt;=set_AsAt),1,0)</f>
        <v/>
      </c>
      <c r="AK2756" s="54">
        <f>IF(AND(AJ2756=1,AH2756&lt;&gt;"",COUNTIFS($AH$2:AH2756,AH2756,$AJ$2:AJ2756,1)=1),N(AL2755)+1,"")</f>
        <v/>
      </c>
      <c r="AL2756" s="54">
        <f>IF(AK2756&lt;&gt;"",AK2756,N(AL2755))</f>
        <v/>
      </c>
    </row>
    <row r="2757">
      <c r="A2757" t="inlineStr">
        <is>
          <t>PRD-0919</t>
        </is>
      </c>
      <c r="B2757" t="inlineStr">
        <is>
          <t>Production</t>
        </is>
      </c>
      <c r="AB2757" t="n">
        <v>919</v>
      </c>
      <c r="AD2757" s="52">
        <f>IFERROR(N(IFERROR(INDEX($A2757:$AB2757,MATCH("Xero Invoiced Ex GST",$A$1:$AB$1,0)),"")),0)</f>
        <v/>
      </c>
      <c r="AE2757" s="53">
        <f>IFERROR(INDEX($A2757:$AB2757,MATCH("Xero Invoice Date",$A$1:$AB$1,0)),"")</f>
        <v/>
      </c>
      <c r="AF2757" s="54">
        <f>IF(AND(IFERROR(INDEX($A2757:$AB2757,MATCH("Xero Invoice No",$A$1:$AB$1,0)),"")&amp;""&lt;&gt;"",ISNUMBER(AE2757),AD2757&lt;&gt;0),1,0)</f>
        <v/>
      </c>
      <c r="AG2757" s="55">
        <f>IF(AF2757=1,EOMONTH(AE2757,0),"")</f>
        <v/>
      </c>
      <c r="AH2757" s="9">
        <f>IF(AF2757=1,UPPER(TRIM(IFERROR(INDEX($A2757:$AB2757,MATCH("Client",$A$1:$AB$1,0)),"")&amp;"")),"")</f>
        <v/>
      </c>
      <c r="AI2757" s="9">
        <f>IF(AF2757=1,IFERROR(INDEX($A2757:$AB2757,MATCH("Cost Centre",$A$1:$AB$1,0)),"")&amp;"","")</f>
        <v/>
      </c>
      <c r="AJ2757" s="54">
        <f>IF(AND(AF2757=1,AE2757&gt;=set_FYStart,AE2757&lt;=set_AsAt),1,0)</f>
        <v/>
      </c>
      <c r="AK2757" s="54">
        <f>IF(AND(AJ2757=1,AH2757&lt;&gt;"",COUNTIFS($AH$2:AH2757,AH2757,$AJ$2:AJ2757,1)=1),N(AL2756)+1,"")</f>
        <v/>
      </c>
      <c r="AL2757" s="54">
        <f>IF(AK2757&lt;&gt;"",AK2757,N(AL2756))</f>
        <v/>
      </c>
    </row>
    <row r="2758">
      <c r="A2758" t="inlineStr">
        <is>
          <t>CON-0919</t>
        </is>
      </c>
      <c r="B2758" t="inlineStr">
        <is>
          <t>Consulting</t>
        </is>
      </c>
      <c r="AB2758" t="n">
        <v>919</v>
      </c>
      <c r="AD2758" s="52">
        <f>IFERROR(N(IFERROR(INDEX($A2758:$AB2758,MATCH("Xero Invoiced Ex GST",$A$1:$AB$1,0)),"")),0)</f>
        <v/>
      </c>
      <c r="AE2758" s="53">
        <f>IFERROR(INDEX($A2758:$AB2758,MATCH("Xero Invoice Date",$A$1:$AB$1,0)),"")</f>
        <v/>
      </c>
      <c r="AF2758" s="54">
        <f>IF(AND(IFERROR(INDEX($A2758:$AB2758,MATCH("Xero Invoice No",$A$1:$AB$1,0)),"")&amp;""&lt;&gt;"",ISNUMBER(AE2758),AD2758&lt;&gt;0),1,0)</f>
        <v/>
      </c>
      <c r="AG2758" s="55">
        <f>IF(AF2758=1,EOMONTH(AE2758,0),"")</f>
        <v/>
      </c>
      <c r="AH2758" s="9">
        <f>IF(AF2758=1,UPPER(TRIM(IFERROR(INDEX($A2758:$AB2758,MATCH("Client",$A$1:$AB$1,0)),"")&amp;"")),"")</f>
        <v/>
      </c>
      <c r="AI2758" s="9">
        <f>IF(AF2758=1,IFERROR(INDEX($A2758:$AB2758,MATCH("Cost Centre",$A$1:$AB$1,0)),"")&amp;"","")</f>
        <v/>
      </c>
      <c r="AJ2758" s="54">
        <f>IF(AND(AF2758=1,AE2758&gt;=set_FYStart,AE2758&lt;=set_AsAt),1,0)</f>
        <v/>
      </c>
      <c r="AK2758" s="54">
        <f>IF(AND(AJ2758=1,AH2758&lt;&gt;"",COUNTIFS($AH$2:AH2758,AH2758,$AJ$2:AJ2758,1)=1),N(AL2757)+1,"")</f>
        <v/>
      </c>
      <c r="AL2758" s="54">
        <f>IF(AK2758&lt;&gt;"",AK2758,N(AL2757))</f>
        <v/>
      </c>
    </row>
    <row r="2759">
      <c r="A2759" t="inlineStr">
        <is>
          <t>ONS-0920</t>
        </is>
      </c>
      <c r="B2759" t="inlineStr">
        <is>
          <t>Onsite</t>
        </is>
      </c>
      <c r="AB2759" t="n">
        <v>920</v>
      </c>
      <c r="AD2759" s="52">
        <f>IFERROR(N(IFERROR(INDEX($A2759:$AB2759,MATCH("Xero Invoiced Ex GST",$A$1:$AB$1,0)),"")),0)</f>
        <v/>
      </c>
      <c r="AE2759" s="53">
        <f>IFERROR(INDEX($A2759:$AB2759,MATCH("Xero Invoice Date",$A$1:$AB$1,0)),"")</f>
        <v/>
      </c>
      <c r="AF2759" s="54">
        <f>IF(AND(IFERROR(INDEX($A2759:$AB2759,MATCH("Xero Invoice No",$A$1:$AB$1,0)),"")&amp;""&lt;&gt;"",ISNUMBER(AE2759),AD2759&lt;&gt;0),1,0)</f>
        <v/>
      </c>
      <c r="AG2759" s="55">
        <f>IF(AF2759=1,EOMONTH(AE2759,0),"")</f>
        <v/>
      </c>
      <c r="AH2759" s="9">
        <f>IF(AF2759=1,UPPER(TRIM(IFERROR(INDEX($A2759:$AB2759,MATCH("Client",$A$1:$AB$1,0)),"")&amp;"")),"")</f>
        <v/>
      </c>
      <c r="AI2759" s="9">
        <f>IF(AF2759=1,IFERROR(INDEX($A2759:$AB2759,MATCH("Cost Centre",$A$1:$AB$1,0)),"")&amp;"","")</f>
        <v/>
      </c>
      <c r="AJ2759" s="54">
        <f>IF(AND(AF2759=1,AE2759&gt;=set_FYStart,AE2759&lt;=set_AsAt),1,0)</f>
        <v/>
      </c>
      <c r="AK2759" s="54">
        <f>IF(AND(AJ2759=1,AH2759&lt;&gt;"",COUNTIFS($AH$2:AH2759,AH2759,$AJ$2:AJ2759,1)=1),N(AL2758)+1,"")</f>
        <v/>
      </c>
      <c r="AL2759" s="54">
        <f>IF(AK2759&lt;&gt;"",AK2759,N(AL2758))</f>
        <v/>
      </c>
    </row>
    <row r="2760">
      <c r="A2760" t="inlineStr">
        <is>
          <t>PRD-0920</t>
        </is>
      </c>
      <c r="B2760" t="inlineStr">
        <is>
          <t>Production</t>
        </is>
      </c>
      <c r="AB2760" t="n">
        <v>920</v>
      </c>
      <c r="AD2760" s="52">
        <f>IFERROR(N(IFERROR(INDEX($A2760:$AB2760,MATCH("Xero Invoiced Ex GST",$A$1:$AB$1,0)),"")),0)</f>
        <v/>
      </c>
      <c r="AE2760" s="53">
        <f>IFERROR(INDEX($A2760:$AB2760,MATCH("Xero Invoice Date",$A$1:$AB$1,0)),"")</f>
        <v/>
      </c>
      <c r="AF2760" s="54">
        <f>IF(AND(IFERROR(INDEX($A2760:$AB2760,MATCH("Xero Invoice No",$A$1:$AB$1,0)),"")&amp;""&lt;&gt;"",ISNUMBER(AE2760),AD2760&lt;&gt;0),1,0)</f>
        <v/>
      </c>
      <c r="AG2760" s="55">
        <f>IF(AF2760=1,EOMONTH(AE2760,0),"")</f>
        <v/>
      </c>
      <c r="AH2760" s="9">
        <f>IF(AF2760=1,UPPER(TRIM(IFERROR(INDEX($A2760:$AB2760,MATCH("Client",$A$1:$AB$1,0)),"")&amp;"")),"")</f>
        <v/>
      </c>
      <c r="AI2760" s="9">
        <f>IF(AF2760=1,IFERROR(INDEX($A2760:$AB2760,MATCH("Cost Centre",$A$1:$AB$1,0)),"")&amp;"","")</f>
        <v/>
      </c>
      <c r="AJ2760" s="54">
        <f>IF(AND(AF2760=1,AE2760&gt;=set_FYStart,AE2760&lt;=set_AsAt),1,0)</f>
        <v/>
      </c>
      <c r="AK2760" s="54">
        <f>IF(AND(AJ2760=1,AH2760&lt;&gt;"",COUNTIFS($AH$2:AH2760,AH2760,$AJ$2:AJ2760,1)=1),N(AL2759)+1,"")</f>
        <v/>
      </c>
      <c r="AL2760" s="54">
        <f>IF(AK2760&lt;&gt;"",AK2760,N(AL2759))</f>
        <v/>
      </c>
    </row>
    <row r="2761">
      <c r="A2761" t="inlineStr">
        <is>
          <t>CON-0920</t>
        </is>
      </c>
      <c r="B2761" t="inlineStr">
        <is>
          <t>Consulting</t>
        </is>
      </c>
      <c r="AB2761" t="n">
        <v>920</v>
      </c>
      <c r="AD2761" s="52">
        <f>IFERROR(N(IFERROR(INDEX($A2761:$AB2761,MATCH("Xero Invoiced Ex GST",$A$1:$AB$1,0)),"")),0)</f>
        <v/>
      </c>
      <c r="AE2761" s="53">
        <f>IFERROR(INDEX($A2761:$AB2761,MATCH("Xero Invoice Date",$A$1:$AB$1,0)),"")</f>
        <v/>
      </c>
      <c r="AF2761" s="54">
        <f>IF(AND(IFERROR(INDEX($A2761:$AB2761,MATCH("Xero Invoice No",$A$1:$AB$1,0)),"")&amp;""&lt;&gt;"",ISNUMBER(AE2761),AD2761&lt;&gt;0),1,0)</f>
        <v/>
      </c>
      <c r="AG2761" s="55">
        <f>IF(AF2761=1,EOMONTH(AE2761,0),"")</f>
        <v/>
      </c>
      <c r="AH2761" s="9">
        <f>IF(AF2761=1,UPPER(TRIM(IFERROR(INDEX($A2761:$AB2761,MATCH("Client",$A$1:$AB$1,0)),"")&amp;"")),"")</f>
        <v/>
      </c>
      <c r="AI2761" s="9">
        <f>IF(AF2761=1,IFERROR(INDEX($A2761:$AB2761,MATCH("Cost Centre",$A$1:$AB$1,0)),"")&amp;"","")</f>
        <v/>
      </c>
      <c r="AJ2761" s="54">
        <f>IF(AND(AF2761=1,AE2761&gt;=set_FYStart,AE2761&lt;=set_AsAt),1,0)</f>
        <v/>
      </c>
      <c r="AK2761" s="54">
        <f>IF(AND(AJ2761=1,AH2761&lt;&gt;"",COUNTIFS($AH$2:AH2761,AH2761,$AJ$2:AJ2761,1)=1),N(AL2760)+1,"")</f>
        <v/>
      </c>
      <c r="AL2761" s="54">
        <f>IF(AK2761&lt;&gt;"",AK2761,N(AL2760))</f>
        <v/>
      </c>
    </row>
    <row r="2762">
      <c r="A2762" t="inlineStr">
        <is>
          <t>ONS-0921</t>
        </is>
      </c>
      <c r="B2762" t="inlineStr">
        <is>
          <t>Onsite</t>
        </is>
      </c>
      <c r="AB2762" t="n">
        <v>921</v>
      </c>
      <c r="AD2762" s="52">
        <f>IFERROR(N(IFERROR(INDEX($A2762:$AB2762,MATCH("Xero Invoiced Ex GST",$A$1:$AB$1,0)),"")),0)</f>
        <v/>
      </c>
      <c r="AE2762" s="53">
        <f>IFERROR(INDEX($A2762:$AB2762,MATCH("Xero Invoice Date",$A$1:$AB$1,0)),"")</f>
        <v/>
      </c>
      <c r="AF2762" s="54">
        <f>IF(AND(IFERROR(INDEX($A2762:$AB2762,MATCH("Xero Invoice No",$A$1:$AB$1,0)),"")&amp;""&lt;&gt;"",ISNUMBER(AE2762),AD2762&lt;&gt;0),1,0)</f>
        <v/>
      </c>
      <c r="AG2762" s="55">
        <f>IF(AF2762=1,EOMONTH(AE2762,0),"")</f>
        <v/>
      </c>
      <c r="AH2762" s="9">
        <f>IF(AF2762=1,UPPER(TRIM(IFERROR(INDEX($A2762:$AB2762,MATCH("Client",$A$1:$AB$1,0)),"")&amp;"")),"")</f>
        <v/>
      </c>
      <c r="AI2762" s="9">
        <f>IF(AF2762=1,IFERROR(INDEX($A2762:$AB2762,MATCH("Cost Centre",$A$1:$AB$1,0)),"")&amp;"","")</f>
        <v/>
      </c>
      <c r="AJ2762" s="54">
        <f>IF(AND(AF2762=1,AE2762&gt;=set_FYStart,AE2762&lt;=set_AsAt),1,0)</f>
        <v/>
      </c>
      <c r="AK2762" s="54">
        <f>IF(AND(AJ2762=1,AH2762&lt;&gt;"",COUNTIFS($AH$2:AH2762,AH2762,$AJ$2:AJ2762,1)=1),N(AL2761)+1,"")</f>
        <v/>
      </c>
      <c r="AL2762" s="54">
        <f>IF(AK2762&lt;&gt;"",AK2762,N(AL2761))</f>
        <v/>
      </c>
    </row>
    <row r="2763">
      <c r="A2763" t="inlineStr">
        <is>
          <t>PRD-0921</t>
        </is>
      </c>
      <c r="B2763" t="inlineStr">
        <is>
          <t>Production</t>
        </is>
      </c>
      <c r="AB2763" t="n">
        <v>921</v>
      </c>
      <c r="AD2763" s="52">
        <f>IFERROR(N(IFERROR(INDEX($A2763:$AB2763,MATCH("Xero Invoiced Ex GST",$A$1:$AB$1,0)),"")),0)</f>
        <v/>
      </c>
      <c r="AE2763" s="53">
        <f>IFERROR(INDEX($A2763:$AB2763,MATCH("Xero Invoice Date",$A$1:$AB$1,0)),"")</f>
        <v/>
      </c>
      <c r="AF2763" s="54">
        <f>IF(AND(IFERROR(INDEX($A2763:$AB2763,MATCH("Xero Invoice No",$A$1:$AB$1,0)),"")&amp;""&lt;&gt;"",ISNUMBER(AE2763),AD2763&lt;&gt;0),1,0)</f>
        <v/>
      </c>
      <c r="AG2763" s="55">
        <f>IF(AF2763=1,EOMONTH(AE2763,0),"")</f>
        <v/>
      </c>
      <c r="AH2763" s="9">
        <f>IF(AF2763=1,UPPER(TRIM(IFERROR(INDEX($A2763:$AB2763,MATCH("Client",$A$1:$AB$1,0)),"")&amp;"")),"")</f>
        <v/>
      </c>
      <c r="AI2763" s="9">
        <f>IF(AF2763=1,IFERROR(INDEX($A2763:$AB2763,MATCH("Cost Centre",$A$1:$AB$1,0)),"")&amp;"","")</f>
        <v/>
      </c>
      <c r="AJ2763" s="54">
        <f>IF(AND(AF2763=1,AE2763&gt;=set_FYStart,AE2763&lt;=set_AsAt),1,0)</f>
        <v/>
      </c>
      <c r="AK2763" s="54">
        <f>IF(AND(AJ2763=1,AH2763&lt;&gt;"",COUNTIFS($AH$2:AH2763,AH2763,$AJ$2:AJ2763,1)=1),N(AL2762)+1,"")</f>
        <v/>
      </c>
      <c r="AL2763" s="54">
        <f>IF(AK2763&lt;&gt;"",AK2763,N(AL2762))</f>
        <v/>
      </c>
    </row>
    <row r="2764">
      <c r="A2764" t="inlineStr">
        <is>
          <t>CON-0921</t>
        </is>
      </c>
      <c r="B2764" t="inlineStr">
        <is>
          <t>Consulting</t>
        </is>
      </c>
      <c r="AB2764" t="n">
        <v>921</v>
      </c>
      <c r="AD2764" s="52">
        <f>IFERROR(N(IFERROR(INDEX($A2764:$AB2764,MATCH("Xero Invoiced Ex GST",$A$1:$AB$1,0)),"")),0)</f>
        <v/>
      </c>
      <c r="AE2764" s="53">
        <f>IFERROR(INDEX($A2764:$AB2764,MATCH("Xero Invoice Date",$A$1:$AB$1,0)),"")</f>
        <v/>
      </c>
      <c r="AF2764" s="54">
        <f>IF(AND(IFERROR(INDEX($A2764:$AB2764,MATCH("Xero Invoice No",$A$1:$AB$1,0)),"")&amp;""&lt;&gt;"",ISNUMBER(AE2764),AD2764&lt;&gt;0),1,0)</f>
        <v/>
      </c>
      <c r="AG2764" s="55">
        <f>IF(AF2764=1,EOMONTH(AE2764,0),"")</f>
        <v/>
      </c>
      <c r="AH2764" s="9">
        <f>IF(AF2764=1,UPPER(TRIM(IFERROR(INDEX($A2764:$AB2764,MATCH("Client",$A$1:$AB$1,0)),"")&amp;"")),"")</f>
        <v/>
      </c>
      <c r="AI2764" s="9">
        <f>IF(AF2764=1,IFERROR(INDEX($A2764:$AB2764,MATCH("Cost Centre",$A$1:$AB$1,0)),"")&amp;"","")</f>
        <v/>
      </c>
      <c r="AJ2764" s="54">
        <f>IF(AND(AF2764=1,AE2764&gt;=set_FYStart,AE2764&lt;=set_AsAt),1,0)</f>
        <v/>
      </c>
      <c r="AK2764" s="54">
        <f>IF(AND(AJ2764=1,AH2764&lt;&gt;"",COUNTIFS($AH$2:AH2764,AH2764,$AJ$2:AJ2764,1)=1),N(AL2763)+1,"")</f>
        <v/>
      </c>
      <c r="AL2764" s="54">
        <f>IF(AK2764&lt;&gt;"",AK2764,N(AL2763))</f>
        <v/>
      </c>
    </row>
    <row r="2765">
      <c r="A2765" t="inlineStr">
        <is>
          <t>ONS-0922</t>
        </is>
      </c>
      <c r="B2765" t="inlineStr">
        <is>
          <t>Onsite</t>
        </is>
      </c>
      <c r="AB2765" t="n">
        <v>922</v>
      </c>
      <c r="AD2765" s="52">
        <f>IFERROR(N(IFERROR(INDEX($A2765:$AB2765,MATCH("Xero Invoiced Ex GST",$A$1:$AB$1,0)),"")),0)</f>
        <v/>
      </c>
      <c r="AE2765" s="53">
        <f>IFERROR(INDEX($A2765:$AB2765,MATCH("Xero Invoice Date",$A$1:$AB$1,0)),"")</f>
        <v/>
      </c>
      <c r="AF2765" s="54">
        <f>IF(AND(IFERROR(INDEX($A2765:$AB2765,MATCH("Xero Invoice No",$A$1:$AB$1,0)),"")&amp;""&lt;&gt;"",ISNUMBER(AE2765),AD2765&lt;&gt;0),1,0)</f>
        <v/>
      </c>
      <c r="AG2765" s="55">
        <f>IF(AF2765=1,EOMONTH(AE2765,0),"")</f>
        <v/>
      </c>
      <c r="AH2765" s="9">
        <f>IF(AF2765=1,UPPER(TRIM(IFERROR(INDEX($A2765:$AB2765,MATCH("Client",$A$1:$AB$1,0)),"")&amp;"")),"")</f>
        <v/>
      </c>
      <c r="AI2765" s="9">
        <f>IF(AF2765=1,IFERROR(INDEX($A2765:$AB2765,MATCH("Cost Centre",$A$1:$AB$1,0)),"")&amp;"","")</f>
        <v/>
      </c>
      <c r="AJ2765" s="54">
        <f>IF(AND(AF2765=1,AE2765&gt;=set_FYStart,AE2765&lt;=set_AsAt),1,0)</f>
        <v/>
      </c>
      <c r="AK2765" s="54">
        <f>IF(AND(AJ2765=1,AH2765&lt;&gt;"",COUNTIFS($AH$2:AH2765,AH2765,$AJ$2:AJ2765,1)=1),N(AL2764)+1,"")</f>
        <v/>
      </c>
      <c r="AL2765" s="54">
        <f>IF(AK2765&lt;&gt;"",AK2765,N(AL2764))</f>
        <v/>
      </c>
    </row>
    <row r="2766">
      <c r="A2766" t="inlineStr">
        <is>
          <t>PRD-0922</t>
        </is>
      </c>
      <c r="B2766" t="inlineStr">
        <is>
          <t>Production</t>
        </is>
      </c>
      <c r="AB2766" t="n">
        <v>922</v>
      </c>
      <c r="AD2766" s="52">
        <f>IFERROR(N(IFERROR(INDEX($A2766:$AB2766,MATCH("Xero Invoiced Ex GST",$A$1:$AB$1,0)),"")),0)</f>
        <v/>
      </c>
      <c r="AE2766" s="53">
        <f>IFERROR(INDEX($A2766:$AB2766,MATCH("Xero Invoice Date",$A$1:$AB$1,0)),"")</f>
        <v/>
      </c>
      <c r="AF2766" s="54">
        <f>IF(AND(IFERROR(INDEX($A2766:$AB2766,MATCH("Xero Invoice No",$A$1:$AB$1,0)),"")&amp;""&lt;&gt;"",ISNUMBER(AE2766),AD2766&lt;&gt;0),1,0)</f>
        <v/>
      </c>
      <c r="AG2766" s="55">
        <f>IF(AF2766=1,EOMONTH(AE2766,0),"")</f>
        <v/>
      </c>
      <c r="AH2766" s="9">
        <f>IF(AF2766=1,UPPER(TRIM(IFERROR(INDEX($A2766:$AB2766,MATCH("Client",$A$1:$AB$1,0)),"")&amp;"")),"")</f>
        <v/>
      </c>
      <c r="AI2766" s="9">
        <f>IF(AF2766=1,IFERROR(INDEX($A2766:$AB2766,MATCH("Cost Centre",$A$1:$AB$1,0)),"")&amp;"","")</f>
        <v/>
      </c>
      <c r="AJ2766" s="54">
        <f>IF(AND(AF2766=1,AE2766&gt;=set_FYStart,AE2766&lt;=set_AsAt),1,0)</f>
        <v/>
      </c>
      <c r="AK2766" s="54">
        <f>IF(AND(AJ2766=1,AH2766&lt;&gt;"",COUNTIFS($AH$2:AH2766,AH2766,$AJ$2:AJ2766,1)=1),N(AL2765)+1,"")</f>
        <v/>
      </c>
      <c r="AL2766" s="54">
        <f>IF(AK2766&lt;&gt;"",AK2766,N(AL2765))</f>
        <v/>
      </c>
    </row>
    <row r="2767">
      <c r="A2767" t="inlineStr">
        <is>
          <t>CON-0922</t>
        </is>
      </c>
      <c r="B2767" t="inlineStr">
        <is>
          <t>Consulting</t>
        </is>
      </c>
      <c r="AB2767" t="n">
        <v>922</v>
      </c>
      <c r="AD2767" s="52">
        <f>IFERROR(N(IFERROR(INDEX($A2767:$AB2767,MATCH("Xero Invoiced Ex GST",$A$1:$AB$1,0)),"")),0)</f>
        <v/>
      </c>
      <c r="AE2767" s="53">
        <f>IFERROR(INDEX($A2767:$AB2767,MATCH("Xero Invoice Date",$A$1:$AB$1,0)),"")</f>
        <v/>
      </c>
      <c r="AF2767" s="54">
        <f>IF(AND(IFERROR(INDEX($A2767:$AB2767,MATCH("Xero Invoice No",$A$1:$AB$1,0)),"")&amp;""&lt;&gt;"",ISNUMBER(AE2767),AD2767&lt;&gt;0),1,0)</f>
        <v/>
      </c>
      <c r="AG2767" s="55">
        <f>IF(AF2767=1,EOMONTH(AE2767,0),"")</f>
        <v/>
      </c>
      <c r="AH2767" s="9">
        <f>IF(AF2767=1,UPPER(TRIM(IFERROR(INDEX($A2767:$AB2767,MATCH("Client",$A$1:$AB$1,0)),"")&amp;"")),"")</f>
        <v/>
      </c>
      <c r="AI2767" s="9">
        <f>IF(AF2767=1,IFERROR(INDEX($A2767:$AB2767,MATCH("Cost Centre",$A$1:$AB$1,0)),"")&amp;"","")</f>
        <v/>
      </c>
      <c r="AJ2767" s="54">
        <f>IF(AND(AF2767=1,AE2767&gt;=set_FYStart,AE2767&lt;=set_AsAt),1,0)</f>
        <v/>
      </c>
      <c r="AK2767" s="54">
        <f>IF(AND(AJ2767=1,AH2767&lt;&gt;"",COUNTIFS($AH$2:AH2767,AH2767,$AJ$2:AJ2767,1)=1),N(AL2766)+1,"")</f>
        <v/>
      </c>
      <c r="AL2767" s="54">
        <f>IF(AK2767&lt;&gt;"",AK2767,N(AL2766))</f>
        <v/>
      </c>
    </row>
    <row r="2768">
      <c r="A2768" t="inlineStr">
        <is>
          <t>ONS-0923</t>
        </is>
      </c>
      <c r="B2768" t="inlineStr">
        <is>
          <t>Onsite</t>
        </is>
      </c>
      <c r="AB2768" t="n">
        <v>923</v>
      </c>
      <c r="AD2768" s="52">
        <f>IFERROR(N(IFERROR(INDEX($A2768:$AB2768,MATCH("Xero Invoiced Ex GST",$A$1:$AB$1,0)),"")),0)</f>
        <v/>
      </c>
      <c r="AE2768" s="53">
        <f>IFERROR(INDEX($A2768:$AB2768,MATCH("Xero Invoice Date",$A$1:$AB$1,0)),"")</f>
        <v/>
      </c>
      <c r="AF2768" s="54">
        <f>IF(AND(IFERROR(INDEX($A2768:$AB2768,MATCH("Xero Invoice No",$A$1:$AB$1,0)),"")&amp;""&lt;&gt;"",ISNUMBER(AE2768),AD2768&lt;&gt;0),1,0)</f>
        <v/>
      </c>
      <c r="AG2768" s="55">
        <f>IF(AF2768=1,EOMONTH(AE2768,0),"")</f>
        <v/>
      </c>
      <c r="AH2768" s="9">
        <f>IF(AF2768=1,UPPER(TRIM(IFERROR(INDEX($A2768:$AB2768,MATCH("Client",$A$1:$AB$1,0)),"")&amp;"")),"")</f>
        <v/>
      </c>
      <c r="AI2768" s="9">
        <f>IF(AF2768=1,IFERROR(INDEX($A2768:$AB2768,MATCH("Cost Centre",$A$1:$AB$1,0)),"")&amp;"","")</f>
        <v/>
      </c>
      <c r="AJ2768" s="54">
        <f>IF(AND(AF2768=1,AE2768&gt;=set_FYStart,AE2768&lt;=set_AsAt),1,0)</f>
        <v/>
      </c>
      <c r="AK2768" s="54">
        <f>IF(AND(AJ2768=1,AH2768&lt;&gt;"",COUNTIFS($AH$2:AH2768,AH2768,$AJ$2:AJ2768,1)=1),N(AL2767)+1,"")</f>
        <v/>
      </c>
      <c r="AL2768" s="54">
        <f>IF(AK2768&lt;&gt;"",AK2768,N(AL2767))</f>
        <v/>
      </c>
    </row>
    <row r="2769">
      <c r="A2769" t="inlineStr">
        <is>
          <t>PRD-0923</t>
        </is>
      </c>
      <c r="B2769" t="inlineStr">
        <is>
          <t>Production</t>
        </is>
      </c>
      <c r="AB2769" t="n">
        <v>923</v>
      </c>
      <c r="AD2769" s="52">
        <f>IFERROR(N(IFERROR(INDEX($A2769:$AB2769,MATCH("Xero Invoiced Ex GST",$A$1:$AB$1,0)),"")),0)</f>
        <v/>
      </c>
      <c r="AE2769" s="53">
        <f>IFERROR(INDEX($A2769:$AB2769,MATCH("Xero Invoice Date",$A$1:$AB$1,0)),"")</f>
        <v/>
      </c>
      <c r="AF2769" s="54">
        <f>IF(AND(IFERROR(INDEX($A2769:$AB2769,MATCH("Xero Invoice No",$A$1:$AB$1,0)),"")&amp;""&lt;&gt;"",ISNUMBER(AE2769),AD2769&lt;&gt;0),1,0)</f>
        <v/>
      </c>
      <c r="AG2769" s="55">
        <f>IF(AF2769=1,EOMONTH(AE2769,0),"")</f>
        <v/>
      </c>
      <c r="AH2769" s="9">
        <f>IF(AF2769=1,UPPER(TRIM(IFERROR(INDEX($A2769:$AB2769,MATCH("Client",$A$1:$AB$1,0)),"")&amp;"")),"")</f>
        <v/>
      </c>
      <c r="AI2769" s="9">
        <f>IF(AF2769=1,IFERROR(INDEX($A2769:$AB2769,MATCH("Cost Centre",$A$1:$AB$1,0)),"")&amp;"","")</f>
        <v/>
      </c>
      <c r="AJ2769" s="54">
        <f>IF(AND(AF2769=1,AE2769&gt;=set_FYStart,AE2769&lt;=set_AsAt),1,0)</f>
        <v/>
      </c>
      <c r="AK2769" s="54">
        <f>IF(AND(AJ2769=1,AH2769&lt;&gt;"",COUNTIFS($AH$2:AH2769,AH2769,$AJ$2:AJ2769,1)=1),N(AL2768)+1,"")</f>
        <v/>
      </c>
      <c r="AL2769" s="54">
        <f>IF(AK2769&lt;&gt;"",AK2769,N(AL2768))</f>
        <v/>
      </c>
    </row>
    <row r="2770">
      <c r="A2770" t="inlineStr">
        <is>
          <t>CON-0923</t>
        </is>
      </c>
      <c r="B2770" t="inlineStr">
        <is>
          <t>Consulting</t>
        </is>
      </c>
      <c r="AB2770" t="n">
        <v>923</v>
      </c>
      <c r="AD2770" s="52">
        <f>IFERROR(N(IFERROR(INDEX($A2770:$AB2770,MATCH("Xero Invoiced Ex GST",$A$1:$AB$1,0)),"")),0)</f>
        <v/>
      </c>
      <c r="AE2770" s="53">
        <f>IFERROR(INDEX($A2770:$AB2770,MATCH("Xero Invoice Date",$A$1:$AB$1,0)),"")</f>
        <v/>
      </c>
      <c r="AF2770" s="54">
        <f>IF(AND(IFERROR(INDEX($A2770:$AB2770,MATCH("Xero Invoice No",$A$1:$AB$1,0)),"")&amp;""&lt;&gt;"",ISNUMBER(AE2770),AD2770&lt;&gt;0),1,0)</f>
        <v/>
      </c>
      <c r="AG2770" s="55">
        <f>IF(AF2770=1,EOMONTH(AE2770,0),"")</f>
        <v/>
      </c>
      <c r="AH2770" s="9">
        <f>IF(AF2770=1,UPPER(TRIM(IFERROR(INDEX($A2770:$AB2770,MATCH("Client",$A$1:$AB$1,0)),"")&amp;"")),"")</f>
        <v/>
      </c>
      <c r="AI2770" s="9">
        <f>IF(AF2770=1,IFERROR(INDEX($A2770:$AB2770,MATCH("Cost Centre",$A$1:$AB$1,0)),"")&amp;"","")</f>
        <v/>
      </c>
      <c r="AJ2770" s="54">
        <f>IF(AND(AF2770=1,AE2770&gt;=set_FYStart,AE2770&lt;=set_AsAt),1,0)</f>
        <v/>
      </c>
      <c r="AK2770" s="54">
        <f>IF(AND(AJ2770=1,AH2770&lt;&gt;"",COUNTIFS($AH$2:AH2770,AH2770,$AJ$2:AJ2770,1)=1),N(AL2769)+1,"")</f>
        <v/>
      </c>
      <c r="AL2770" s="54">
        <f>IF(AK2770&lt;&gt;"",AK2770,N(AL2769))</f>
        <v/>
      </c>
    </row>
    <row r="2771">
      <c r="A2771" t="inlineStr">
        <is>
          <t>ONS-0924</t>
        </is>
      </c>
      <c r="B2771" t="inlineStr">
        <is>
          <t>Onsite</t>
        </is>
      </c>
      <c r="AB2771" t="n">
        <v>924</v>
      </c>
      <c r="AD2771" s="52">
        <f>IFERROR(N(IFERROR(INDEX($A2771:$AB2771,MATCH("Xero Invoiced Ex GST",$A$1:$AB$1,0)),"")),0)</f>
        <v/>
      </c>
      <c r="AE2771" s="53">
        <f>IFERROR(INDEX($A2771:$AB2771,MATCH("Xero Invoice Date",$A$1:$AB$1,0)),"")</f>
        <v/>
      </c>
      <c r="AF2771" s="54">
        <f>IF(AND(IFERROR(INDEX($A2771:$AB2771,MATCH("Xero Invoice No",$A$1:$AB$1,0)),"")&amp;""&lt;&gt;"",ISNUMBER(AE2771),AD2771&lt;&gt;0),1,0)</f>
        <v/>
      </c>
      <c r="AG2771" s="55">
        <f>IF(AF2771=1,EOMONTH(AE2771,0),"")</f>
        <v/>
      </c>
      <c r="AH2771" s="9">
        <f>IF(AF2771=1,UPPER(TRIM(IFERROR(INDEX($A2771:$AB2771,MATCH("Client",$A$1:$AB$1,0)),"")&amp;"")),"")</f>
        <v/>
      </c>
      <c r="AI2771" s="9">
        <f>IF(AF2771=1,IFERROR(INDEX($A2771:$AB2771,MATCH("Cost Centre",$A$1:$AB$1,0)),"")&amp;"","")</f>
        <v/>
      </c>
      <c r="AJ2771" s="54">
        <f>IF(AND(AF2771=1,AE2771&gt;=set_FYStart,AE2771&lt;=set_AsAt),1,0)</f>
        <v/>
      </c>
      <c r="AK2771" s="54">
        <f>IF(AND(AJ2771=1,AH2771&lt;&gt;"",COUNTIFS($AH$2:AH2771,AH2771,$AJ$2:AJ2771,1)=1),N(AL2770)+1,"")</f>
        <v/>
      </c>
      <c r="AL2771" s="54">
        <f>IF(AK2771&lt;&gt;"",AK2771,N(AL2770))</f>
        <v/>
      </c>
    </row>
    <row r="2772">
      <c r="A2772" t="inlineStr">
        <is>
          <t>PRD-0924</t>
        </is>
      </c>
      <c r="B2772" t="inlineStr">
        <is>
          <t>Production</t>
        </is>
      </c>
      <c r="AB2772" t="n">
        <v>924</v>
      </c>
      <c r="AD2772" s="52">
        <f>IFERROR(N(IFERROR(INDEX($A2772:$AB2772,MATCH("Xero Invoiced Ex GST",$A$1:$AB$1,0)),"")),0)</f>
        <v/>
      </c>
      <c r="AE2772" s="53">
        <f>IFERROR(INDEX($A2772:$AB2772,MATCH("Xero Invoice Date",$A$1:$AB$1,0)),"")</f>
        <v/>
      </c>
      <c r="AF2772" s="54">
        <f>IF(AND(IFERROR(INDEX($A2772:$AB2772,MATCH("Xero Invoice No",$A$1:$AB$1,0)),"")&amp;""&lt;&gt;"",ISNUMBER(AE2772),AD2772&lt;&gt;0),1,0)</f>
        <v/>
      </c>
      <c r="AG2772" s="55">
        <f>IF(AF2772=1,EOMONTH(AE2772,0),"")</f>
        <v/>
      </c>
      <c r="AH2772" s="9">
        <f>IF(AF2772=1,UPPER(TRIM(IFERROR(INDEX($A2772:$AB2772,MATCH("Client",$A$1:$AB$1,0)),"")&amp;"")),"")</f>
        <v/>
      </c>
      <c r="AI2772" s="9">
        <f>IF(AF2772=1,IFERROR(INDEX($A2772:$AB2772,MATCH("Cost Centre",$A$1:$AB$1,0)),"")&amp;"","")</f>
        <v/>
      </c>
      <c r="AJ2772" s="54">
        <f>IF(AND(AF2772=1,AE2772&gt;=set_FYStart,AE2772&lt;=set_AsAt),1,0)</f>
        <v/>
      </c>
      <c r="AK2772" s="54">
        <f>IF(AND(AJ2772=1,AH2772&lt;&gt;"",COUNTIFS($AH$2:AH2772,AH2772,$AJ$2:AJ2772,1)=1),N(AL2771)+1,"")</f>
        <v/>
      </c>
      <c r="AL2772" s="54">
        <f>IF(AK2772&lt;&gt;"",AK2772,N(AL2771))</f>
        <v/>
      </c>
    </row>
    <row r="2773">
      <c r="A2773" t="inlineStr">
        <is>
          <t>CON-0924</t>
        </is>
      </c>
      <c r="B2773" t="inlineStr">
        <is>
          <t>Consulting</t>
        </is>
      </c>
      <c r="AB2773" t="n">
        <v>924</v>
      </c>
      <c r="AD2773" s="52">
        <f>IFERROR(N(IFERROR(INDEX($A2773:$AB2773,MATCH("Xero Invoiced Ex GST",$A$1:$AB$1,0)),"")),0)</f>
        <v/>
      </c>
      <c r="AE2773" s="53">
        <f>IFERROR(INDEX($A2773:$AB2773,MATCH("Xero Invoice Date",$A$1:$AB$1,0)),"")</f>
        <v/>
      </c>
      <c r="AF2773" s="54">
        <f>IF(AND(IFERROR(INDEX($A2773:$AB2773,MATCH("Xero Invoice No",$A$1:$AB$1,0)),"")&amp;""&lt;&gt;"",ISNUMBER(AE2773),AD2773&lt;&gt;0),1,0)</f>
        <v/>
      </c>
      <c r="AG2773" s="55">
        <f>IF(AF2773=1,EOMONTH(AE2773,0),"")</f>
        <v/>
      </c>
      <c r="AH2773" s="9">
        <f>IF(AF2773=1,UPPER(TRIM(IFERROR(INDEX($A2773:$AB2773,MATCH("Client",$A$1:$AB$1,0)),"")&amp;"")),"")</f>
        <v/>
      </c>
      <c r="AI2773" s="9">
        <f>IF(AF2773=1,IFERROR(INDEX($A2773:$AB2773,MATCH("Cost Centre",$A$1:$AB$1,0)),"")&amp;"","")</f>
        <v/>
      </c>
      <c r="AJ2773" s="54">
        <f>IF(AND(AF2773=1,AE2773&gt;=set_FYStart,AE2773&lt;=set_AsAt),1,0)</f>
        <v/>
      </c>
      <c r="AK2773" s="54">
        <f>IF(AND(AJ2773=1,AH2773&lt;&gt;"",COUNTIFS($AH$2:AH2773,AH2773,$AJ$2:AJ2773,1)=1),N(AL2772)+1,"")</f>
        <v/>
      </c>
      <c r="AL2773" s="54">
        <f>IF(AK2773&lt;&gt;"",AK2773,N(AL2772))</f>
        <v/>
      </c>
    </row>
    <row r="2774">
      <c r="A2774" t="inlineStr">
        <is>
          <t>ONS-0925</t>
        </is>
      </c>
      <c r="B2774" t="inlineStr">
        <is>
          <t>Onsite</t>
        </is>
      </c>
      <c r="AB2774" t="n">
        <v>925</v>
      </c>
      <c r="AD2774" s="52">
        <f>IFERROR(N(IFERROR(INDEX($A2774:$AB2774,MATCH("Xero Invoiced Ex GST",$A$1:$AB$1,0)),"")),0)</f>
        <v/>
      </c>
      <c r="AE2774" s="53">
        <f>IFERROR(INDEX($A2774:$AB2774,MATCH("Xero Invoice Date",$A$1:$AB$1,0)),"")</f>
        <v/>
      </c>
      <c r="AF2774" s="54">
        <f>IF(AND(IFERROR(INDEX($A2774:$AB2774,MATCH("Xero Invoice No",$A$1:$AB$1,0)),"")&amp;""&lt;&gt;"",ISNUMBER(AE2774),AD2774&lt;&gt;0),1,0)</f>
        <v/>
      </c>
      <c r="AG2774" s="55">
        <f>IF(AF2774=1,EOMONTH(AE2774,0),"")</f>
        <v/>
      </c>
      <c r="AH2774" s="9">
        <f>IF(AF2774=1,UPPER(TRIM(IFERROR(INDEX($A2774:$AB2774,MATCH("Client",$A$1:$AB$1,0)),"")&amp;"")),"")</f>
        <v/>
      </c>
      <c r="AI2774" s="9">
        <f>IF(AF2774=1,IFERROR(INDEX($A2774:$AB2774,MATCH("Cost Centre",$A$1:$AB$1,0)),"")&amp;"","")</f>
        <v/>
      </c>
      <c r="AJ2774" s="54">
        <f>IF(AND(AF2774=1,AE2774&gt;=set_FYStart,AE2774&lt;=set_AsAt),1,0)</f>
        <v/>
      </c>
      <c r="AK2774" s="54">
        <f>IF(AND(AJ2774=1,AH2774&lt;&gt;"",COUNTIFS($AH$2:AH2774,AH2774,$AJ$2:AJ2774,1)=1),N(AL2773)+1,"")</f>
        <v/>
      </c>
      <c r="AL2774" s="54">
        <f>IF(AK2774&lt;&gt;"",AK2774,N(AL2773))</f>
        <v/>
      </c>
    </row>
    <row r="2775">
      <c r="A2775" t="inlineStr">
        <is>
          <t>PRD-0925</t>
        </is>
      </c>
      <c r="B2775" t="inlineStr">
        <is>
          <t>Production</t>
        </is>
      </c>
      <c r="AB2775" t="n">
        <v>925</v>
      </c>
      <c r="AD2775" s="52">
        <f>IFERROR(N(IFERROR(INDEX($A2775:$AB2775,MATCH("Xero Invoiced Ex GST",$A$1:$AB$1,0)),"")),0)</f>
        <v/>
      </c>
      <c r="AE2775" s="53">
        <f>IFERROR(INDEX($A2775:$AB2775,MATCH("Xero Invoice Date",$A$1:$AB$1,0)),"")</f>
        <v/>
      </c>
      <c r="AF2775" s="54">
        <f>IF(AND(IFERROR(INDEX($A2775:$AB2775,MATCH("Xero Invoice No",$A$1:$AB$1,0)),"")&amp;""&lt;&gt;"",ISNUMBER(AE2775),AD2775&lt;&gt;0),1,0)</f>
        <v/>
      </c>
      <c r="AG2775" s="55">
        <f>IF(AF2775=1,EOMONTH(AE2775,0),"")</f>
        <v/>
      </c>
      <c r="AH2775" s="9">
        <f>IF(AF2775=1,UPPER(TRIM(IFERROR(INDEX($A2775:$AB2775,MATCH("Client",$A$1:$AB$1,0)),"")&amp;"")),"")</f>
        <v/>
      </c>
      <c r="AI2775" s="9">
        <f>IF(AF2775=1,IFERROR(INDEX($A2775:$AB2775,MATCH("Cost Centre",$A$1:$AB$1,0)),"")&amp;"","")</f>
        <v/>
      </c>
      <c r="AJ2775" s="54">
        <f>IF(AND(AF2775=1,AE2775&gt;=set_FYStart,AE2775&lt;=set_AsAt),1,0)</f>
        <v/>
      </c>
      <c r="AK2775" s="54">
        <f>IF(AND(AJ2775=1,AH2775&lt;&gt;"",COUNTIFS($AH$2:AH2775,AH2775,$AJ$2:AJ2775,1)=1),N(AL2774)+1,"")</f>
        <v/>
      </c>
      <c r="AL2775" s="54">
        <f>IF(AK2775&lt;&gt;"",AK2775,N(AL2774))</f>
        <v/>
      </c>
    </row>
    <row r="2776">
      <c r="A2776" t="inlineStr">
        <is>
          <t>CON-0925</t>
        </is>
      </c>
      <c r="B2776" t="inlineStr">
        <is>
          <t>Consulting</t>
        </is>
      </c>
      <c r="AB2776" t="n">
        <v>925</v>
      </c>
      <c r="AD2776" s="52">
        <f>IFERROR(N(IFERROR(INDEX($A2776:$AB2776,MATCH("Xero Invoiced Ex GST",$A$1:$AB$1,0)),"")),0)</f>
        <v/>
      </c>
      <c r="AE2776" s="53">
        <f>IFERROR(INDEX($A2776:$AB2776,MATCH("Xero Invoice Date",$A$1:$AB$1,0)),"")</f>
        <v/>
      </c>
      <c r="AF2776" s="54">
        <f>IF(AND(IFERROR(INDEX($A2776:$AB2776,MATCH("Xero Invoice No",$A$1:$AB$1,0)),"")&amp;""&lt;&gt;"",ISNUMBER(AE2776),AD2776&lt;&gt;0),1,0)</f>
        <v/>
      </c>
      <c r="AG2776" s="55">
        <f>IF(AF2776=1,EOMONTH(AE2776,0),"")</f>
        <v/>
      </c>
      <c r="AH2776" s="9">
        <f>IF(AF2776=1,UPPER(TRIM(IFERROR(INDEX($A2776:$AB2776,MATCH("Client",$A$1:$AB$1,0)),"")&amp;"")),"")</f>
        <v/>
      </c>
      <c r="AI2776" s="9">
        <f>IF(AF2776=1,IFERROR(INDEX($A2776:$AB2776,MATCH("Cost Centre",$A$1:$AB$1,0)),"")&amp;"","")</f>
        <v/>
      </c>
      <c r="AJ2776" s="54">
        <f>IF(AND(AF2776=1,AE2776&gt;=set_FYStart,AE2776&lt;=set_AsAt),1,0)</f>
        <v/>
      </c>
      <c r="AK2776" s="54">
        <f>IF(AND(AJ2776=1,AH2776&lt;&gt;"",COUNTIFS($AH$2:AH2776,AH2776,$AJ$2:AJ2776,1)=1),N(AL2775)+1,"")</f>
        <v/>
      </c>
      <c r="AL2776" s="54">
        <f>IF(AK2776&lt;&gt;"",AK2776,N(AL2775))</f>
        <v/>
      </c>
    </row>
    <row r="2777">
      <c r="A2777" t="inlineStr">
        <is>
          <t>ONS-0926</t>
        </is>
      </c>
      <c r="B2777" t="inlineStr">
        <is>
          <t>Onsite</t>
        </is>
      </c>
      <c r="AB2777" t="n">
        <v>926</v>
      </c>
      <c r="AD2777" s="52">
        <f>IFERROR(N(IFERROR(INDEX($A2777:$AB2777,MATCH("Xero Invoiced Ex GST",$A$1:$AB$1,0)),"")),0)</f>
        <v/>
      </c>
      <c r="AE2777" s="53">
        <f>IFERROR(INDEX($A2777:$AB2777,MATCH("Xero Invoice Date",$A$1:$AB$1,0)),"")</f>
        <v/>
      </c>
      <c r="AF2777" s="54">
        <f>IF(AND(IFERROR(INDEX($A2777:$AB2777,MATCH("Xero Invoice No",$A$1:$AB$1,0)),"")&amp;""&lt;&gt;"",ISNUMBER(AE2777),AD2777&lt;&gt;0),1,0)</f>
        <v/>
      </c>
      <c r="AG2777" s="55">
        <f>IF(AF2777=1,EOMONTH(AE2777,0),"")</f>
        <v/>
      </c>
      <c r="AH2777" s="9">
        <f>IF(AF2777=1,UPPER(TRIM(IFERROR(INDEX($A2777:$AB2777,MATCH("Client",$A$1:$AB$1,0)),"")&amp;"")),"")</f>
        <v/>
      </c>
      <c r="AI2777" s="9">
        <f>IF(AF2777=1,IFERROR(INDEX($A2777:$AB2777,MATCH("Cost Centre",$A$1:$AB$1,0)),"")&amp;"","")</f>
        <v/>
      </c>
      <c r="AJ2777" s="54">
        <f>IF(AND(AF2777=1,AE2777&gt;=set_FYStart,AE2777&lt;=set_AsAt),1,0)</f>
        <v/>
      </c>
      <c r="AK2777" s="54">
        <f>IF(AND(AJ2777=1,AH2777&lt;&gt;"",COUNTIFS($AH$2:AH2777,AH2777,$AJ$2:AJ2777,1)=1),N(AL2776)+1,"")</f>
        <v/>
      </c>
      <c r="AL2777" s="54">
        <f>IF(AK2777&lt;&gt;"",AK2777,N(AL2776))</f>
        <v/>
      </c>
    </row>
    <row r="2778">
      <c r="A2778" t="inlineStr">
        <is>
          <t>PRD-0926</t>
        </is>
      </c>
      <c r="B2778" t="inlineStr">
        <is>
          <t>Production</t>
        </is>
      </c>
      <c r="AB2778" t="n">
        <v>926</v>
      </c>
      <c r="AD2778" s="52">
        <f>IFERROR(N(IFERROR(INDEX($A2778:$AB2778,MATCH("Xero Invoiced Ex GST",$A$1:$AB$1,0)),"")),0)</f>
        <v/>
      </c>
      <c r="AE2778" s="53">
        <f>IFERROR(INDEX($A2778:$AB2778,MATCH("Xero Invoice Date",$A$1:$AB$1,0)),"")</f>
        <v/>
      </c>
      <c r="AF2778" s="54">
        <f>IF(AND(IFERROR(INDEX($A2778:$AB2778,MATCH("Xero Invoice No",$A$1:$AB$1,0)),"")&amp;""&lt;&gt;"",ISNUMBER(AE2778),AD2778&lt;&gt;0),1,0)</f>
        <v/>
      </c>
      <c r="AG2778" s="55">
        <f>IF(AF2778=1,EOMONTH(AE2778,0),"")</f>
        <v/>
      </c>
      <c r="AH2778" s="9">
        <f>IF(AF2778=1,UPPER(TRIM(IFERROR(INDEX($A2778:$AB2778,MATCH("Client",$A$1:$AB$1,0)),"")&amp;"")),"")</f>
        <v/>
      </c>
      <c r="AI2778" s="9">
        <f>IF(AF2778=1,IFERROR(INDEX($A2778:$AB2778,MATCH("Cost Centre",$A$1:$AB$1,0)),"")&amp;"","")</f>
        <v/>
      </c>
      <c r="AJ2778" s="54">
        <f>IF(AND(AF2778=1,AE2778&gt;=set_FYStart,AE2778&lt;=set_AsAt),1,0)</f>
        <v/>
      </c>
      <c r="AK2778" s="54">
        <f>IF(AND(AJ2778=1,AH2778&lt;&gt;"",COUNTIFS($AH$2:AH2778,AH2778,$AJ$2:AJ2778,1)=1),N(AL2777)+1,"")</f>
        <v/>
      </c>
      <c r="AL2778" s="54">
        <f>IF(AK2778&lt;&gt;"",AK2778,N(AL2777))</f>
        <v/>
      </c>
    </row>
    <row r="2779">
      <c r="A2779" t="inlineStr">
        <is>
          <t>CON-0926</t>
        </is>
      </c>
      <c r="B2779" t="inlineStr">
        <is>
          <t>Consulting</t>
        </is>
      </c>
      <c r="AB2779" t="n">
        <v>926</v>
      </c>
      <c r="AD2779" s="52">
        <f>IFERROR(N(IFERROR(INDEX($A2779:$AB2779,MATCH("Xero Invoiced Ex GST",$A$1:$AB$1,0)),"")),0)</f>
        <v/>
      </c>
      <c r="AE2779" s="53">
        <f>IFERROR(INDEX($A2779:$AB2779,MATCH("Xero Invoice Date",$A$1:$AB$1,0)),"")</f>
        <v/>
      </c>
      <c r="AF2779" s="54">
        <f>IF(AND(IFERROR(INDEX($A2779:$AB2779,MATCH("Xero Invoice No",$A$1:$AB$1,0)),"")&amp;""&lt;&gt;"",ISNUMBER(AE2779),AD2779&lt;&gt;0),1,0)</f>
        <v/>
      </c>
      <c r="AG2779" s="55">
        <f>IF(AF2779=1,EOMONTH(AE2779,0),"")</f>
        <v/>
      </c>
      <c r="AH2779" s="9">
        <f>IF(AF2779=1,UPPER(TRIM(IFERROR(INDEX($A2779:$AB2779,MATCH("Client",$A$1:$AB$1,0)),"")&amp;"")),"")</f>
        <v/>
      </c>
      <c r="AI2779" s="9">
        <f>IF(AF2779=1,IFERROR(INDEX($A2779:$AB2779,MATCH("Cost Centre",$A$1:$AB$1,0)),"")&amp;"","")</f>
        <v/>
      </c>
      <c r="AJ2779" s="54">
        <f>IF(AND(AF2779=1,AE2779&gt;=set_FYStart,AE2779&lt;=set_AsAt),1,0)</f>
        <v/>
      </c>
      <c r="AK2779" s="54">
        <f>IF(AND(AJ2779=1,AH2779&lt;&gt;"",COUNTIFS($AH$2:AH2779,AH2779,$AJ$2:AJ2779,1)=1),N(AL2778)+1,"")</f>
        <v/>
      </c>
      <c r="AL2779" s="54">
        <f>IF(AK2779&lt;&gt;"",AK2779,N(AL2778))</f>
        <v/>
      </c>
    </row>
    <row r="2780">
      <c r="A2780" t="inlineStr">
        <is>
          <t>ONS-0927</t>
        </is>
      </c>
      <c r="B2780" t="inlineStr">
        <is>
          <t>Onsite</t>
        </is>
      </c>
      <c r="AB2780" t="n">
        <v>927</v>
      </c>
      <c r="AD2780" s="52">
        <f>IFERROR(N(IFERROR(INDEX($A2780:$AB2780,MATCH("Xero Invoiced Ex GST",$A$1:$AB$1,0)),"")),0)</f>
        <v/>
      </c>
      <c r="AE2780" s="53">
        <f>IFERROR(INDEX($A2780:$AB2780,MATCH("Xero Invoice Date",$A$1:$AB$1,0)),"")</f>
        <v/>
      </c>
      <c r="AF2780" s="54">
        <f>IF(AND(IFERROR(INDEX($A2780:$AB2780,MATCH("Xero Invoice No",$A$1:$AB$1,0)),"")&amp;""&lt;&gt;"",ISNUMBER(AE2780),AD2780&lt;&gt;0),1,0)</f>
        <v/>
      </c>
      <c r="AG2780" s="55">
        <f>IF(AF2780=1,EOMONTH(AE2780,0),"")</f>
        <v/>
      </c>
      <c r="AH2780" s="9">
        <f>IF(AF2780=1,UPPER(TRIM(IFERROR(INDEX($A2780:$AB2780,MATCH("Client",$A$1:$AB$1,0)),"")&amp;"")),"")</f>
        <v/>
      </c>
      <c r="AI2780" s="9">
        <f>IF(AF2780=1,IFERROR(INDEX($A2780:$AB2780,MATCH("Cost Centre",$A$1:$AB$1,0)),"")&amp;"","")</f>
        <v/>
      </c>
      <c r="AJ2780" s="54">
        <f>IF(AND(AF2780=1,AE2780&gt;=set_FYStart,AE2780&lt;=set_AsAt),1,0)</f>
        <v/>
      </c>
      <c r="AK2780" s="54">
        <f>IF(AND(AJ2780=1,AH2780&lt;&gt;"",COUNTIFS($AH$2:AH2780,AH2780,$AJ$2:AJ2780,1)=1),N(AL2779)+1,"")</f>
        <v/>
      </c>
      <c r="AL2780" s="54">
        <f>IF(AK2780&lt;&gt;"",AK2780,N(AL2779))</f>
        <v/>
      </c>
    </row>
    <row r="2781">
      <c r="A2781" t="inlineStr">
        <is>
          <t>PRD-0927</t>
        </is>
      </c>
      <c r="B2781" t="inlineStr">
        <is>
          <t>Production</t>
        </is>
      </c>
      <c r="AB2781" t="n">
        <v>927</v>
      </c>
      <c r="AD2781" s="52">
        <f>IFERROR(N(IFERROR(INDEX($A2781:$AB2781,MATCH("Xero Invoiced Ex GST",$A$1:$AB$1,0)),"")),0)</f>
        <v/>
      </c>
      <c r="AE2781" s="53">
        <f>IFERROR(INDEX($A2781:$AB2781,MATCH("Xero Invoice Date",$A$1:$AB$1,0)),"")</f>
        <v/>
      </c>
      <c r="AF2781" s="54">
        <f>IF(AND(IFERROR(INDEX($A2781:$AB2781,MATCH("Xero Invoice No",$A$1:$AB$1,0)),"")&amp;""&lt;&gt;"",ISNUMBER(AE2781),AD2781&lt;&gt;0),1,0)</f>
        <v/>
      </c>
      <c r="AG2781" s="55">
        <f>IF(AF2781=1,EOMONTH(AE2781,0),"")</f>
        <v/>
      </c>
      <c r="AH2781" s="9">
        <f>IF(AF2781=1,UPPER(TRIM(IFERROR(INDEX($A2781:$AB2781,MATCH("Client",$A$1:$AB$1,0)),"")&amp;"")),"")</f>
        <v/>
      </c>
      <c r="AI2781" s="9">
        <f>IF(AF2781=1,IFERROR(INDEX($A2781:$AB2781,MATCH("Cost Centre",$A$1:$AB$1,0)),"")&amp;"","")</f>
        <v/>
      </c>
      <c r="AJ2781" s="54">
        <f>IF(AND(AF2781=1,AE2781&gt;=set_FYStart,AE2781&lt;=set_AsAt),1,0)</f>
        <v/>
      </c>
      <c r="AK2781" s="54">
        <f>IF(AND(AJ2781=1,AH2781&lt;&gt;"",COUNTIFS($AH$2:AH2781,AH2781,$AJ$2:AJ2781,1)=1),N(AL2780)+1,"")</f>
        <v/>
      </c>
      <c r="AL2781" s="54">
        <f>IF(AK2781&lt;&gt;"",AK2781,N(AL2780))</f>
        <v/>
      </c>
    </row>
    <row r="2782">
      <c r="A2782" t="inlineStr">
        <is>
          <t>CON-0927</t>
        </is>
      </c>
      <c r="B2782" t="inlineStr">
        <is>
          <t>Consulting</t>
        </is>
      </c>
      <c r="AB2782" t="n">
        <v>927</v>
      </c>
      <c r="AD2782" s="52">
        <f>IFERROR(N(IFERROR(INDEX($A2782:$AB2782,MATCH("Xero Invoiced Ex GST",$A$1:$AB$1,0)),"")),0)</f>
        <v/>
      </c>
      <c r="AE2782" s="53">
        <f>IFERROR(INDEX($A2782:$AB2782,MATCH("Xero Invoice Date",$A$1:$AB$1,0)),"")</f>
        <v/>
      </c>
      <c r="AF2782" s="54">
        <f>IF(AND(IFERROR(INDEX($A2782:$AB2782,MATCH("Xero Invoice No",$A$1:$AB$1,0)),"")&amp;""&lt;&gt;"",ISNUMBER(AE2782),AD2782&lt;&gt;0),1,0)</f>
        <v/>
      </c>
      <c r="AG2782" s="55">
        <f>IF(AF2782=1,EOMONTH(AE2782,0),"")</f>
        <v/>
      </c>
      <c r="AH2782" s="9">
        <f>IF(AF2782=1,UPPER(TRIM(IFERROR(INDEX($A2782:$AB2782,MATCH("Client",$A$1:$AB$1,0)),"")&amp;"")),"")</f>
        <v/>
      </c>
      <c r="AI2782" s="9">
        <f>IF(AF2782=1,IFERROR(INDEX($A2782:$AB2782,MATCH("Cost Centre",$A$1:$AB$1,0)),"")&amp;"","")</f>
        <v/>
      </c>
      <c r="AJ2782" s="54">
        <f>IF(AND(AF2782=1,AE2782&gt;=set_FYStart,AE2782&lt;=set_AsAt),1,0)</f>
        <v/>
      </c>
      <c r="AK2782" s="54">
        <f>IF(AND(AJ2782=1,AH2782&lt;&gt;"",COUNTIFS($AH$2:AH2782,AH2782,$AJ$2:AJ2782,1)=1),N(AL2781)+1,"")</f>
        <v/>
      </c>
      <c r="AL2782" s="54">
        <f>IF(AK2782&lt;&gt;"",AK2782,N(AL2781))</f>
        <v/>
      </c>
    </row>
    <row r="2783">
      <c r="A2783" t="inlineStr">
        <is>
          <t>ONS-0928</t>
        </is>
      </c>
      <c r="B2783" t="inlineStr">
        <is>
          <t>Onsite</t>
        </is>
      </c>
      <c r="AB2783" t="n">
        <v>928</v>
      </c>
      <c r="AD2783" s="52">
        <f>IFERROR(N(IFERROR(INDEX($A2783:$AB2783,MATCH("Xero Invoiced Ex GST",$A$1:$AB$1,0)),"")),0)</f>
        <v/>
      </c>
      <c r="AE2783" s="53">
        <f>IFERROR(INDEX($A2783:$AB2783,MATCH("Xero Invoice Date",$A$1:$AB$1,0)),"")</f>
        <v/>
      </c>
      <c r="AF2783" s="54">
        <f>IF(AND(IFERROR(INDEX($A2783:$AB2783,MATCH("Xero Invoice No",$A$1:$AB$1,0)),"")&amp;""&lt;&gt;"",ISNUMBER(AE2783),AD2783&lt;&gt;0),1,0)</f>
        <v/>
      </c>
      <c r="AG2783" s="55">
        <f>IF(AF2783=1,EOMONTH(AE2783,0),"")</f>
        <v/>
      </c>
      <c r="AH2783" s="9">
        <f>IF(AF2783=1,UPPER(TRIM(IFERROR(INDEX($A2783:$AB2783,MATCH("Client",$A$1:$AB$1,0)),"")&amp;"")),"")</f>
        <v/>
      </c>
      <c r="AI2783" s="9">
        <f>IF(AF2783=1,IFERROR(INDEX($A2783:$AB2783,MATCH("Cost Centre",$A$1:$AB$1,0)),"")&amp;"","")</f>
        <v/>
      </c>
      <c r="AJ2783" s="54">
        <f>IF(AND(AF2783=1,AE2783&gt;=set_FYStart,AE2783&lt;=set_AsAt),1,0)</f>
        <v/>
      </c>
      <c r="AK2783" s="54">
        <f>IF(AND(AJ2783=1,AH2783&lt;&gt;"",COUNTIFS($AH$2:AH2783,AH2783,$AJ$2:AJ2783,1)=1),N(AL2782)+1,"")</f>
        <v/>
      </c>
      <c r="AL2783" s="54">
        <f>IF(AK2783&lt;&gt;"",AK2783,N(AL2782))</f>
        <v/>
      </c>
    </row>
    <row r="2784">
      <c r="A2784" t="inlineStr">
        <is>
          <t>PRD-0928</t>
        </is>
      </c>
      <c r="B2784" t="inlineStr">
        <is>
          <t>Production</t>
        </is>
      </c>
      <c r="AB2784" t="n">
        <v>928</v>
      </c>
      <c r="AD2784" s="52">
        <f>IFERROR(N(IFERROR(INDEX($A2784:$AB2784,MATCH("Xero Invoiced Ex GST",$A$1:$AB$1,0)),"")),0)</f>
        <v/>
      </c>
      <c r="AE2784" s="53">
        <f>IFERROR(INDEX($A2784:$AB2784,MATCH("Xero Invoice Date",$A$1:$AB$1,0)),"")</f>
        <v/>
      </c>
      <c r="AF2784" s="54">
        <f>IF(AND(IFERROR(INDEX($A2784:$AB2784,MATCH("Xero Invoice No",$A$1:$AB$1,0)),"")&amp;""&lt;&gt;"",ISNUMBER(AE2784),AD2784&lt;&gt;0),1,0)</f>
        <v/>
      </c>
      <c r="AG2784" s="55">
        <f>IF(AF2784=1,EOMONTH(AE2784,0),"")</f>
        <v/>
      </c>
      <c r="AH2784" s="9">
        <f>IF(AF2784=1,UPPER(TRIM(IFERROR(INDEX($A2784:$AB2784,MATCH("Client",$A$1:$AB$1,0)),"")&amp;"")),"")</f>
        <v/>
      </c>
      <c r="AI2784" s="9">
        <f>IF(AF2784=1,IFERROR(INDEX($A2784:$AB2784,MATCH("Cost Centre",$A$1:$AB$1,0)),"")&amp;"","")</f>
        <v/>
      </c>
      <c r="AJ2784" s="54">
        <f>IF(AND(AF2784=1,AE2784&gt;=set_FYStart,AE2784&lt;=set_AsAt),1,0)</f>
        <v/>
      </c>
      <c r="AK2784" s="54">
        <f>IF(AND(AJ2784=1,AH2784&lt;&gt;"",COUNTIFS($AH$2:AH2784,AH2784,$AJ$2:AJ2784,1)=1),N(AL2783)+1,"")</f>
        <v/>
      </c>
      <c r="AL2784" s="54">
        <f>IF(AK2784&lt;&gt;"",AK2784,N(AL2783))</f>
        <v/>
      </c>
    </row>
    <row r="2785">
      <c r="A2785" t="inlineStr">
        <is>
          <t>CON-0928</t>
        </is>
      </c>
      <c r="B2785" t="inlineStr">
        <is>
          <t>Consulting</t>
        </is>
      </c>
      <c r="AB2785" t="n">
        <v>928</v>
      </c>
      <c r="AD2785" s="52">
        <f>IFERROR(N(IFERROR(INDEX($A2785:$AB2785,MATCH("Xero Invoiced Ex GST",$A$1:$AB$1,0)),"")),0)</f>
        <v/>
      </c>
      <c r="AE2785" s="53">
        <f>IFERROR(INDEX($A2785:$AB2785,MATCH("Xero Invoice Date",$A$1:$AB$1,0)),"")</f>
        <v/>
      </c>
      <c r="AF2785" s="54">
        <f>IF(AND(IFERROR(INDEX($A2785:$AB2785,MATCH("Xero Invoice No",$A$1:$AB$1,0)),"")&amp;""&lt;&gt;"",ISNUMBER(AE2785),AD2785&lt;&gt;0),1,0)</f>
        <v/>
      </c>
      <c r="AG2785" s="55">
        <f>IF(AF2785=1,EOMONTH(AE2785,0),"")</f>
        <v/>
      </c>
      <c r="AH2785" s="9">
        <f>IF(AF2785=1,UPPER(TRIM(IFERROR(INDEX($A2785:$AB2785,MATCH("Client",$A$1:$AB$1,0)),"")&amp;"")),"")</f>
        <v/>
      </c>
      <c r="AI2785" s="9">
        <f>IF(AF2785=1,IFERROR(INDEX($A2785:$AB2785,MATCH("Cost Centre",$A$1:$AB$1,0)),"")&amp;"","")</f>
        <v/>
      </c>
      <c r="AJ2785" s="54">
        <f>IF(AND(AF2785=1,AE2785&gt;=set_FYStart,AE2785&lt;=set_AsAt),1,0)</f>
        <v/>
      </c>
      <c r="AK2785" s="54">
        <f>IF(AND(AJ2785=1,AH2785&lt;&gt;"",COUNTIFS($AH$2:AH2785,AH2785,$AJ$2:AJ2785,1)=1),N(AL2784)+1,"")</f>
        <v/>
      </c>
      <c r="AL2785" s="54">
        <f>IF(AK2785&lt;&gt;"",AK2785,N(AL2784))</f>
        <v/>
      </c>
    </row>
    <row r="2786">
      <c r="A2786" t="inlineStr">
        <is>
          <t>ONS-0929</t>
        </is>
      </c>
      <c r="B2786" t="inlineStr">
        <is>
          <t>Onsite</t>
        </is>
      </c>
      <c r="AB2786" t="n">
        <v>929</v>
      </c>
      <c r="AD2786" s="52">
        <f>IFERROR(N(IFERROR(INDEX($A2786:$AB2786,MATCH("Xero Invoiced Ex GST",$A$1:$AB$1,0)),"")),0)</f>
        <v/>
      </c>
      <c r="AE2786" s="53">
        <f>IFERROR(INDEX($A2786:$AB2786,MATCH("Xero Invoice Date",$A$1:$AB$1,0)),"")</f>
        <v/>
      </c>
      <c r="AF2786" s="54">
        <f>IF(AND(IFERROR(INDEX($A2786:$AB2786,MATCH("Xero Invoice No",$A$1:$AB$1,0)),"")&amp;""&lt;&gt;"",ISNUMBER(AE2786),AD2786&lt;&gt;0),1,0)</f>
        <v/>
      </c>
      <c r="AG2786" s="55">
        <f>IF(AF2786=1,EOMONTH(AE2786,0),"")</f>
        <v/>
      </c>
      <c r="AH2786" s="9">
        <f>IF(AF2786=1,UPPER(TRIM(IFERROR(INDEX($A2786:$AB2786,MATCH("Client",$A$1:$AB$1,0)),"")&amp;"")),"")</f>
        <v/>
      </c>
      <c r="AI2786" s="9">
        <f>IF(AF2786=1,IFERROR(INDEX($A2786:$AB2786,MATCH("Cost Centre",$A$1:$AB$1,0)),"")&amp;"","")</f>
        <v/>
      </c>
      <c r="AJ2786" s="54">
        <f>IF(AND(AF2786=1,AE2786&gt;=set_FYStart,AE2786&lt;=set_AsAt),1,0)</f>
        <v/>
      </c>
      <c r="AK2786" s="54">
        <f>IF(AND(AJ2786=1,AH2786&lt;&gt;"",COUNTIFS($AH$2:AH2786,AH2786,$AJ$2:AJ2786,1)=1),N(AL2785)+1,"")</f>
        <v/>
      </c>
      <c r="AL2786" s="54">
        <f>IF(AK2786&lt;&gt;"",AK2786,N(AL2785))</f>
        <v/>
      </c>
    </row>
    <row r="2787">
      <c r="A2787" t="inlineStr">
        <is>
          <t>PRD-0929</t>
        </is>
      </c>
      <c r="B2787" t="inlineStr">
        <is>
          <t>Production</t>
        </is>
      </c>
      <c r="AB2787" t="n">
        <v>929</v>
      </c>
      <c r="AD2787" s="52">
        <f>IFERROR(N(IFERROR(INDEX($A2787:$AB2787,MATCH("Xero Invoiced Ex GST",$A$1:$AB$1,0)),"")),0)</f>
        <v/>
      </c>
      <c r="AE2787" s="53">
        <f>IFERROR(INDEX($A2787:$AB2787,MATCH("Xero Invoice Date",$A$1:$AB$1,0)),"")</f>
        <v/>
      </c>
      <c r="AF2787" s="54">
        <f>IF(AND(IFERROR(INDEX($A2787:$AB2787,MATCH("Xero Invoice No",$A$1:$AB$1,0)),"")&amp;""&lt;&gt;"",ISNUMBER(AE2787),AD2787&lt;&gt;0),1,0)</f>
        <v/>
      </c>
      <c r="AG2787" s="55">
        <f>IF(AF2787=1,EOMONTH(AE2787,0),"")</f>
        <v/>
      </c>
      <c r="AH2787" s="9">
        <f>IF(AF2787=1,UPPER(TRIM(IFERROR(INDEX($A2787:$AB2787,MATCH("Client",$A$1:$AB$1,0)),"")&amp;"")),"")</f>
        <v/>
      </c>
      <c r="AI2787" s="9">
        <f>IF(AF2787=1,IFERROR(INDEX($A2787:$AB2787,MATCH("Cost Centre",$A$1:$AB$1,0)),"")&amp;"","")</f>
        <v/>
      </c>
      <c r="AJ2787" s="54">
        <f>IF(AND(AF2787=1,AE2787&gt;=set_FYStart,AE2787&lt;=set_AsAt),1,0)</f>
        <v/>
      </c>
      <c r="AK2787" s="54">
        <f>IF(AND(AJ2787=1,AH2787&lt;&gt;"",COUNTIFS($AH$2:AH2787,AH2787,$AJ$2:AJ2787,1)=1),N(AL2786)+1,"")</f>
        <v/>
      </c>
      <c r="AL2787" s="54">
        <f>IF(AK2787&lt;&gt;"",AK2787,N(AL2786))</f>
        <v/>
      </c>
    </row>
    <row r="2788">
      <c r="A2788" t="inlineStr">
        <is>
          <t>CON-0929</t>
        </is>
      </c>
      <c r="B2788" t="inlineStr">
        <is>
          <t>Consulting</t>
        </is>
      </c>
      <c r="AB2788" t="n">
        <v>929</v>
      </c>
      <c r="AD2788" s="52">
        <f>IFERROR(N(IFERROR(INDEX($A2788:$AB2788,MATCH("Xero Invoiced Ex GST",$A$1:$AB$1,0)),"")),0)</f>
        <v/>
      </c>
      <c r="AE2788" s="53">
        <f>IFERROR(INDEX($A2788:$AB2788,MATCH("Xero Invoice Date",$A$1:$AB$1,0)),"")</f>
        <v/>
      </c>
      <c r="AF2788" s="54">
        <f>IF(AND(IFERROR(INDEX($A2788:$AB2788,MATCH("Xero Invoice No",$A$1:$AB$1,0)),"")&amp;""&lt;&gt;"",ISNUMBER(AE2788),AD2788&lt;&gt;0),1,0)</f>
        <v/>
      </c>
      <c r="AG2788" s="55">
        <f>IF(AF2788=1,EOMONTH(AE2788,0),"")</f>
        <v/>
      </c>
      <c r="AH2788" s="9">
        <f>IF(AF2788=1,UPPER(TRIM(IFERROR(INDEX($A2788:$AB2788,MATCH("Client",$A$1:$AB$1,0)),"")&amp;"")),"")</f>
        <v/>
      </c>
      <c r="AI2788" s="9">
        <f>IF(AF2788=1,IFERROR(INDEX($A2788:$AB2788,MATCH("Cost Centre",$A$1:$AB$1,0)),"")&amp;"","")</f>
        <v/>
      </c>
      <c r="AJ2788" s="54">
        <f>IF(AND(AF2788=1,AE2788&gt;=set_FYStart,AE2788&lt;=set_AsAt),1,0)</f>
        <v/>
      </c>
      <c r="AK2788" s="54">
        <f>IF(AND(AJ2788=1,AH2788&lt;&gt;"",COUNTIFS($AH$2:AH2788,AH2788,$AJ$2:AJ2788,1)=1),N(AL2787)+1,"")</f>
        <v/>
      </c>
      <c r="AL2788" s="54">
        <f>IF(AK2788&lt;&gt;"",AK2788,N(AL2787))</f>
        <v/>
      </c>
    </row>
    <row r="2789">
      <c r="A2789" t="inlineStr">
        <is>
          <t>ONS-0930</t>
        </is>
      </c>
      <c r="B2789" t="inlineStr">
        <is>
          <t>Onsite</t>
        </is>
      </c>
      <c r="AB2789" t="n">
        <v>930</v>
      </c>
      <c r="AD2789" s="52">
        <f>IFERROR(N(IFERROR(INDEX($A2789:$AB2789,MATCH("Xero Invoiced Ex GST",$A$1:$AB$1,0)),"")),0)</f>
        <v/>
      </c>
      <c r="AE2789" s="53">
        <f>IFERROR(INDEX($A2789:$AB2789,MATCH("Xero Invoice Date",$A$1:$AB$1,0)),"")</f>
        <v/>
      </c>
      <c r="AF2789" s="54">
        <f>IF(AND(IFERROR(INDEX($A2789:$AB2789,MATCH("Xero Invoice No",$A$1:$AB$1,0)),"")&amp;""&lt;&gt;"",ISNUMBER(AE2789),AD2789&lt;&gt;0),1,0)</f>
        <v/>
      </c>
      <c r="AG2789" s="55">
        <f>IF(AF2789=1,EOMONTH(AE2789,0),"")</f>
        <v/>
      </c>
      <c r="AH2789" s="9">
        <f>IF(AF2789=1,UPPER(TRIM(IFERROR(INDEX($A2789:$AB2789,MATCH("Client",$A$1:$AB$1,0)),"")&amp;"")),"")</f>
        <v/>
      </c>
      <c r="AI2789" s="9">
        <f>IF(AF2789=1,IFERROR(INDEX($A2789:$AB2789,MATCH("Cost Centre",$A$1:$AB$1,0)),"")&amp;"","")</f>
        <v/>
      </c>
      <c r="AJ2789" s="54">
        <f>IF(AND(AF2789=1,AE2789&gt;=set_FYStart,AE2789&lt;=set_AsAt),1,0)</f>
        <v/>
      </c>
      <c r="AK2789" s="54">
        <f>IF(AND(AJ2789=1,AH2789&lt;&gt;"",COUNTIFS($AH$2:AH2789,AH2789,$AJ$2:AJ2789,1)=1),N(AL2788)+1,"")</f>
        <v/>
      </c>
      <c r="AL2789" s="54">
        <f>IF(AK2789&lt;&gt;"",AK2789,N(AL2788))</f>
        <v/>
      </c>
    </row>
    <row r="2790">
      <c r="A2790" t="inlineStr">
        <is>
          <t>PRD-0930</t>
        </is>
      </c>
      <c r="B2790" t="inlineStr">
        <is>
          <t>Production</t>
        </is>
      </c>
      <c r="AB2790" t="n">
        <v>930</v>
      </c>
      <c r="AD2790" s="52">
        <f>IFERROR(N(IFERROR(INDEX($A2790:$AB2790,MATCH("Xero Invoiced Ex GST",$A$1:$AB$1,0)),"")),0)</f>
        <v/>
      </c>
      <c r="AE2790" s="53">
        <f>IFERROR(INDEX($A2790:$AB2790,MATCH("Xero Invoice Date",$A$1:$AB$1,0)),"")</f>
        <v/>
      </c>
      <c r="AF2790" s="54">
        <f>IF(AND(IFERROR(INDEX($A2790:$AB2790,MATCH("Xero Invoice No",$A$1:$AB$1,0)),"")&amp;""&lt;&gt;"",ISNUMBER(AE2790),AD2790&lt;&gt;0),1,0)</f>
        <v/>
      </c>
      <c r="AG2790" s="55">
        <f>IF(AF2790=1,EOMONTH(AE2790,0),"")</f>
        <v/>
      </c>
      <c r="AH2790" s="9">
        <f>IF(AF2790=1,UPPER(TRIM(IFERROR(INDEX($A2790:$AB2790,MATCH("Client",$A$1:$AB$1,0)),"")&amp;"")),"")</f>
        <v/>
      </c>
      <c r="AI2790" s="9">
        <f>IF(AF2790=1,IFERROR(INDEX($A2790:$AB2790,MATCH("Cost Centre",$A$1:$AB$1,0)),"")&amp;"","")</f>
        <v/>
      </c>
      <c r="AJ2790" s="54">
        <f>IF(AND(AF2790=1,AE2790&gt;=set_FYStart,AE2790&lt;=set_AsAt),1,0)</f>
        <v/>
      </c>
      <c r="AK2790" s="54">
        <f>IF(AND(AJ2790=1,AH2790&lt;&gt;"",COUNTIFS($AH$2:AH2790,AH2790,$AJ$2:AJ2790,1)=1),N(AL2789)+1,"")</f>
        <v/>
      </c>
      <c r="AL2790" s="54">
        <f>IF(AK2790&lt;&gt;"",AK2790,N(AL2789))</f>
        <v/>
      </c>
    </row>
    <row r="2791">
      <c r="A2791" t="inlineStr">
        <is>
          <t>CON-0930</t>
        </is>
      </c>
      <c r="B2791" t="inlineStr">
        <is>
          <t>Consulting</t>
        </is>
      </c>
      <c r="AB2791" t="n">
        <v>930</v>
      </c>
      <c r="AD2791" s="52">
        <f>IFERROR(N(IFERROR(INDEX($A2791:$AB2791,MATCH("Xero Invoiced Ex GST",$A$1:$AB$1,0)),"")),0)</f>
        <v/>
      </c>
      <c r="AE2791" s="53">
        <f>IFERROR(INDEX($A2791:$AB2791,MATCH("Xero Invoice Date",$A$1:$AB$1,0)),"")</f>
        <v/>
      </c>
      <c r="AF2791" s="54">
        <f>IF(AND(IFERROR(INDEX($A2791:$AB2791,MATCH("Xero Invoice No",$A$1:$AB$1,0)),"")&amp;""&lt;&gt;"",ISNUMBER(AE2791),AD2791&lt;&gt;0),1,0)</f>
        <v/>
      </c>
      <c r="AG2791" s="55">
        <f>IF(AF2791=1,EOMONTH(AE2791,0),"")</f>
        <v/>
      </c>
      <c r="AH2791" s="9">
        <f>IF(AF2791=1,UPPER(TRIM(IFERROR(INDEX($A2791:$AB2791,MATCH("Client",$A$1:$AB$1,0)),"")&amp;"")),"")</f>
        <v/>
      </c>
      <c r="AI2791" s="9">
        <f>IF(AF2791=1,IFERROR(INDEX($A2791:$AB2791,MATCH("Cost Centre",$A$1:$AB$1,0)),"")&amp;"","")</f>
        <v/>
      </c>
      <c r="AJ2791" s="54">
        <f>IF(AND(AF2791=1,AE2791&gt;=set_FYStart,AE2791&lt;=set_AsAt),1,0)</f>
        <v/>
      </c>
      <c r="AK2791" s="54">
        <f>IF(AND(AJ2791=1,AH2791&lt;&gt;"",COUNTIFS($AH$2:AH2791,AH2791,$AJ$2:AJ2791,1)=1),N(AL2790)+1,"")</f>
        <v/>
      </c>
      <c r="AL2791" s="54">
        <f>IF(AK2791&lt;&gt;"",AK2791,N(AL2790))</f>
        <v/>
      </c>
    </row>
    <row r="2792">
      <c r="A2792" t="inlineStr">
        <is>
          <t>ONS-0931</t>
        </is>
      </c>
      <c r="B2792" t="inlineStr">
        <is>
          <t>Onsite</t>
        </is>
      </c>
      <c r="AB2792" t="n">
        <v>931</v>
      </c>
      <c r="AD2792" s="52">
        <f>IFERROR(N(IFERROR(INDEX($A2792:$AB2792,MATCH("Xero Invoiced Ex GST",$A$1:$AB$1,0)),"")),0)</f>
        <v/>
      </c>
      <c r="AE2792" s="53">
        <f>IFERROR(INDEX($A2792:$AB2792,MATCH("Xero Invoice Date",$A$1:$AB$1,0)),"")</f>
        <v/>
      </c>
      <c r="AF2792" s="54">
        <f>IF(AND(IFERROR(INDEX($A2792:$AB2792,MATCH("Xero Invoice No",$A$1:$AB$1,0)),"")&amp;""&lt;&gt;"",ISNUMBER(AE2792),AD2792&lt;&gt;0),1,0)</f>
        <v/>
      </c>
      <c r="AG2792" s="55">
        <f>IF(AF2792=1,EOMONTH(AE2792,0),"")</f>
        <v/>
      </c>
      <c r="AH2792" s="9">
        <f>IF(AF2792=1,UPPER(TRIM(IFERROR(INDEX($A2792:$AB2792,MATCH("Client",$A$1:$AB$1,0)),"")&amp;"")),"")</f>
        <v/>
      </c>
      <c r="AI2792" s="9">
        <f>IF(AF2792=1,IFERROR(INDEX($A2792:$AB2792,MATCH("Cost Centre",$A$1:$AB$1,0)),"")&amp;"","")</f>
        <v/>
      </c>
      <c r="AJ2792" s="54">
        <f>IF(AND(AF2792=1,AE2792&gt;=set_FYStart,AE2792&lt;=set_AsAt),1,0)</f>
        <v/>
      </c>
      <c r="AK2792" s="54">
        <f>IF(AND(AJ2792=1,AH2792&lt;&gt;"",COUNTIFS($AH$2:AH2792,AH2792,$AJ$2:AJ2792,1)=1),N(AL2791)+1,"")</f>
        <v/>
      </c>
      <c r="AL2792" s="54">
        <f>IF(AK2792&lt;&gt;"",AK2792,N(AL2791))</f>
        <v/>
      </c>
    </row>
    <row r="2793">
      <c r="A2793" t="inlineStr">
        <is>
          <t>PRD-0931</t>
        </is>
      </c>
      <c r="B2793" t="inlineStr">
        <is>
          <t>Production</t>
        </is>
      </c>
      <c r="AB2793" t="n">
        <v>931</v>
      </c>
      <c r="AD2793" s="52">
        <f>IFERROR(N(IFERROR(INDEX($A2793:$AB2793,MATCH("Xero Invoiced Ex GST",$A$1:$AB$1,0)),"")),0)</f>
        <v/>
      </c>
      <c r="AE2793" s="53">
        <f>IFERROR(INDEX($A2793:$AB2793,MATCH("Xero Invoice Date",$A$1:$AB$1,0)),"")</f>
        <v/>
      </c>
      <c r="AF2793" s="54">
        <f>IF(AND(IFERROR(INDEX($A2793:$AB2793,MATCH("Xero Invoice No",$A$1:$AB$1,0)),"")&amp;""&lt;&gt;"",ISNUMBER(AE2793),AD2793&lt;&gt;0),1,0)</f>
        <v/>
      </c>
      <c r="AG2793" s="55">
        <f>IF(AF2793=1,EOMONTH(AE2793,0),"")</f>
        <v/>
      </c>
      <c r="AH2793" s="9">
        <f>IF(AF2793=1,UPPER(TRIM(IFERROR(INDEX($A2793:$AB2793,MATCH("Client",$A$1:$AB$1,0)),"")&amp;"")),"")</f>
        <v/>
      </c>
      <c r="AI2793" s="9">
        <f>IF(AF2793=1,IFERROR(INDEX($A2793:$AB2793,MATCH("Cost Centre",$A$1:$AB$1,0)),"")&amp;"","")</f>
        <v/>
      </c>
      <c r="AJ2793" s="54">
        <f>IF(AND(AF2793=1,AE2793&gt;=set_FYStart,AE2793&lt;=set_AsAt),1,0)</f>
        <v/>
      </c>
      <c r="AK2793" s="54">
        <f>IF(AND(AJ2793=1,AH2793&lt;&gt;"",COUNTIFS($AH$2:AH2793,AH2793,$AJ$2:AJ2793,1)=1),N(AL2792)+1,"")</f>
        <v/>
      </c>
      <c r="AL2793" s="54">
        <f>IF(AK2793&lt;&gt;"",AK2793,N(AL2792))</f>
        <v/>
      </c>
    </row>
    <row r="2794">
      <c r="A2794" t="inlineStr">
        <is>
          <t>CON-0931</t>
        </is>
      </c>
      <c r="B2794" t="inlineStr">
        <is>
          <t>Consulting</t>
        </is>
      </c>
      <c r="AB2794" t="n">
        <v>931</v>
      </c>
      <c r="AD2794" s="52">
        <f>IFERROR(N(IFERROR(INDEX($A2794:$AB2794,MATCH("Xero Invoiced Ex GST",$A$1:$AB$1,0)),"")),0)</f>
        <v/>
      </c>
      <c r="AE2794" s="53">
        <f>IFERROR(INDEX($A2794:$AB2794,MATCH("Xero Invoice Date",$A$1:$AB$1,0)),"")</f>
        <v/>
      </c>
      <c r="AF2794" s="54">
        <f>IF(AND(IFERROR(INDEX($A2794:$AB2794,MATCH("Xero Invoice No",$A$1:$AB$1,0)),"")&amp;""&lt;&gt;"",ISNUMBER(AE2794),AD2794&lt;&gt;0),1,0)</f>
        <v/>
      </c>
      <c r="AG2794" s="55">
        <f>IF(AF2794=1,EOMONTH(AE2794,0),"")</f>
        <v/>
      </c>
      <c r="AH2794" s="9">
        <f>IF(AF2794=1,UPPER(TRIM(IFERROR(INDEX($A2794:$AB2794,MATCH("Client",$A$1:$AB$1,0)),"")&amp;"")),"")</f>
        <v/>
      </c>
      <c r="AI2794" s="9">
        <f>IF(AF2794=1,IFERROR(INDEX($A2794:$AB2794,MATCH("Cost Centre",$A$1:$AB$1,0)),"")&amp;"","")</f>
        <v/>
      </c>
      <c r="AJ2794" s="54">
        <f>IF(AND(AF2794=1,AE2794&gt;=set_FYStart,AE2794&lt;=set_AsAt),1,0)</f>
        <v/>
      </c>
      <c r="AK2794" s="54">
        <f>IF(AND(AJ2794=1,AH2794&lt;&gt;"",COUNTIFS($AH$2:AH2794,AH2794,$AJ$2:AJ2794,1)=1),N(AL2793)+1,"")</f>
        <v/>
      </c>
      <c r="AL2794" s="54">
        <f>IF(AK2794&lt;&gt;"",AK2794,N(AL2793))</f>
        <v/>
      </c>
    </row>
    <row r="2795">
      <c r="A2795" t="inlineStr">
        <is>
          <t>ONS-0932</t>
        </is>
      </c>
      <c r="B2795" t="inlineStr">
        <is>
          <t>Onsite</t>
        </is>
      </c>
      <c r="AB2795" t="n">
        <v>932</v>
      </c>
      <c r="AD2795" s="52">
        <f>IFERROR(N(IFERROR(INDEX($A2795:$AB2795,MATCH("Xero Invoiced Ex GST",$A$1:$AB$1,0)),"")),0)</f>
        <v/>
      </c>
      <c r="AE2795" s="53">
        <f>IFERROR(INDEX($A2795:$AB2795,MATCH("Xero Invoice Date",$A$1:$AB$1,0)),"")</f>
        <v/>
      </c>
      <c r="AF2795" s="54">
        <f>IF(AND(IFERROR(INDEX($A2795:$AB2795,MATCH("Xero Invoice No",$A$1:$AB$1,0)),"")&amp;""&lt;&gt;"",ISNUMBER(AE2795),AD2795&lt;&gt;0),1,0)</f>
        <v/>
      </c>
      <c r="AG2795" s="55">
        <f>IF(AF2795=1,EOMONTH(AE2795,0),"")</f>
        <v/>
      </c>
      <c r="AH2795" s="9">
        <f>IF(AF2795=1,UPPER(TRIM(IFERROR(INDEX($A2795:$AB2795,MATCH("Client",$A$1:$AB$1,0)),"")&amp;"")),"")</f>
        <v/>
      </c>
      <c r="AI2795" s="9">
        <f>IF(AF2795=1,IFERROR(INDEX($A2795:$AB2795,MATCH("Cost Centre",$A$1:$AB$1,0)),"")&amp;"","")</f>
        <v/>
      </c>
      <c r="AJ2795" s="54">
        <f>IF(AND(AF2795=1,AE2795&gt;=set_FYStart,AE2795&lt;=set_AsAt),1,0)</f>
        <v/>
      </c>
      <c r="AK2795" s="54">
        <f>IF(AND(AJ2795=1,AH2795&lt;&gt;"",COUNTIFS($AH$2:AH2795,AH2795,$AJ$2:AJ2795,1)=1),N(AL2794)+1,"")</f>
        <v/>
      </c>
      <c r="AL2795" s="54">
        <f>IF(AK2795&lt;&gt;"",AK2795,N(AL2794))</f>
        <v/>
      </c>
    </row>
    <row r="2796">
      <c r="A2796" t="inlineStr">
        <is>
          <t>PRD-0932</t>
        </is>
      </c>
      <c r="B2796" t="inlineStr">
        <is>
          <t>Production</t>
        </is>
      </c>
      <c r="AB2796" t="n">
        <v>932</v>
      </c>
      <c r="AD2796" s="52">
        <f>IFERROR(N(IFERROR(INDEX($A2796:$AB2796,MATCH("Xero Invoiced Ex GST",$A$1:$AB$1,0)),"")),0)</f>
        <v/>
      </c>
      <c r="AE2796" s="53">
        <f>IFERROR(INDEX($A2796:$AB2796,MATCH("Xero Invoice Date",$A$1:$AB$1,0)),"")</f>
        <v/>
      </c>
      <c r="AF2796" s="54">
        <f>IF(AND(IFERROR(INDEX($A2796:$AB2796,MATCH("Xero Invoice No",$A$1:$AB$1,0)),"")&amp;""&lt;&gt;"",ISNUMBER(AE2796),AD2796&lt;&gt;0),1,0)</f>
        <v/>
      </c>
      <c r="AG2796" s="55">
        <f>IF(AF2796=1,EOMONTH(AE2796,0),"")</f>
        <v/>
      </c>
      <c r="AH2796" s="9">
        <f>IF(AF2796=1,UPPER(TRIM(IFERROR(INDEX($A2796:$AB2796,MATCH("Client",$A$1:$AB$1,0)),"")&amp;"")),"")</f>
        <v/>
      </c>
      <c r="AI2796" s="9">
        <f>IF(AF2796=1,IFERROR(INDEX($A2796:$AB2796,MATCH("Cost Centre",$A$1:$AB$1,0)),"")&amp;"","")</f>
        <v/>
      </c>
      <c r="AJ2796" s="54">
        <f>IF(AND(AF2796=1,AE2796&gt;=set_FYStart,AE2796&lt;=set_AsAt),1,0)</f>
        <v/>
      </c>
      <c r="AK2796" s="54">
        <f>IF(AND(AJ2796=1,AH2796&lt;&gt;"",COUNTIFS($AH$2:AH2796,AH2796,$AJ$2:AJ2796,1)=1),N(AL2795)+1,"")</f>
        <v/>
      </c>
      <c r="AL2796" s="54">
        <f>IF(AK2796&lt;&gt;"",AK2796,N(AL2795))</f>
        <v/>
      </c>
    </row>
    <row r="2797">
      <c r="A2797" t="inlineStr">
        <is>
          <t>CON-0932</t>
        </is>
      </c>
      <c r="B2797" t="inlineStr">
        <is>
          <t>Consulting</t>
        </is>
      </c>
      <c r="AB2797" t="n">
        <v>932</v>
      </c>
      <c r="AD2797" s="52">
        <f>IFERROR(N(IFERROR(INDEX($A2797:$AB2797,MATCH("Xero Invoiced Ex GST",$A$1:$AB$1,0)),"")),0)</f>
        <v/>
      </c>
      <c r="AE2797" s="53">
        <f>IFERROR(INDEX($A2797:$AB2797,MATCH("Xero Invoice Date",$A$1:$AB$1,0)),"")</f>
        <v/>
      </c>
      <c r="AF2797" s="54">
        <f>IF(AND(IFERROR(INDEX($A2797:$AB2797,MATCH("Xero Invoice No",$A$1:$AB$1,0)),"")&amp;""&lt;&gt;"",ISNUMBER(AE2797),AD2797&lt;&gt;0),1,0)</f>
        <v/>
      </c>
      <c r="AG2797" s="55">
        <f>IF(AF2797=1,EOMONTH(AE2797,0),"")</f>
        <v/>
      </c>
      <c r="AH2797" s="9">
        <f>IF(AF2797=1,UPPER(TRIM(IFERROR(INDEX($A2797:$AB2797,MATCH("Client",$A$1:$AB$1,0)),"")&amp;"")),"")</f>
        <v/>
      </c>
      <c r="AI2797" s="9">
        <f>IF(AF2797=1,IFERROR(INDEX($A2797:$AB2797,MATCH("Cost Centre",$A$1:$AB$1,0)),"")&amp;"","")</f>
        <v/>
      </c>
      <c r="AJ2797" s="54">
        <f>IF(AND(AF2797=1,AE2797&gt;=set_FYStart,AE2797&lt;=set_AsAt),1,0)</f>
        <v/>
      </c>
      <c r="AK2797" s="54">
        <f>IF(AND(AJ2797=1,AH2797&lt;&gt;"",COUNTIFS($AH$2:AH2797,AH2797,$AJ$2:AJ2797,1)=1),N(AL2796)+1,"")</f>
        <v/>
      </c>
      <c r="AL2797" s="54">
        <f>IF(AK2797&lt;&gt;"",AK2797,N(AL2796))</f>
        <v/>
      </c>
    </row>
    <row r="2798">
      <c r="A2798" t="inlineStr">
        <is>
          <t>ONS-0933</t>
        </is>
      </c>
      <c r="B2798" t="inlineStr">
        <is>
          <t>Onsite</t>
        </is>
      </c>
      <c r="AB2798" t="n">
        <v>933</v>
      </c>
      <c r="AD2798" s="52">
        <f>IFERROR(N(IFERROR(INDEX($A2798:$AB2798,MATCH("Xero Invoiced Ex GST",$A$1:$AB$1,0)),"")),0)</f>
        <v/>
      </c>
      <c r="AE2798" s="53">
        <f>IFERROR(INDEX($A2798:$AB2798,MATCH("Xero Invoice Date",$A$1:$AB$1,0)),"")</f>
        <v/>
      </c>
      <c r="AF2798" s="54">
        <f>IF(AND(IFERROR(INDEX($A2798:$AB2798,MATCH("Xero Invoice No",$A$1:$AB$1,0)),"")&amp;""&lt;&gt;"",ISNUMBER(AE2798),AD2798&lt;&gt;0),1,0)</f>
        <v/>
      </c>
      <c r="AG2798" s="55">
        <f>IF(AF2798=1,EOMONTH(AE2798,0),"")</f>
        <v/>
      </c>
      <c r="AH2798" s="9">
        <f>IF(AF2798=1,UPPER(TRIM(IFERROR(INDEX($A2798:$AB2798,MATCH("Client",$A$1:$AB$1,0)),"")&amp;"")),"")</f>
        <v/>
      </c>
      <c r="AI2798" s="9">
        <f>IF(AF2798=1,IFERROR(INDEX($A2798:$AB2798,MATCH("Cost Centre",$A$1:$AB$1,0)),"")&amp;"","")</f>
        <v/>
      </c>
      <c r="AJ2798" s="54">
        <f>IF(AND(AF2798=1,AE2798&gt;=set_FYStart,AE2798&lt;=set_AsAt),1,0)</f>
        <v/>
      </c>
      <c r="AK2798" s="54">
        <f>IF(AND(AJ2798=1,AH2798&lt;&gt;"",COUNTIFS($AH$2:AH2798,AH2798,$AJ$2:AJ2798,1)=1),N(AL2797)+1,"")</f>
        <v/>
      </c>
      <c r="AL2798" s="54">
        <f>IF(AK2798&lt;&gt;"",AK2798,N(AL2797))</f>
        <v/>
      </c>
    </row>
    <row r="2799">
      <c r="A2799" t="inlineStr">
        <is>
          <t>PRD-0933</t>
        </is>
      </c>
      <c r="B2799" t="inlineStr">
        <is>
          <t>Production</t>
        </is>
      </c>
      <c r="AB2799" t="n">
        <v>933</v>
      </c>
      <c r="AD2799" s="52">
        <f>IFERROR(N(IFERROR(INDEX($A2799:$AB2799,MATCH("Xero Invoiced Ex GST",$A$1:$AB$1,0)),"")),0)</f>
        <v/>
      </c>
      <c r="AE2799" s="53">
        <f>IFERROR(INDEX($A2799:$AB2799,MATCH("Xero Invoice Date",$A$1:$AB$1,0)),"")</f>
        <v/>
      </c>
      <c r="AF2799" s="54">
        <f>IF(AND(IFERROR(INDEX($A2799:$AB2799,MATCH("Xero Invoice No",$A$1:$AB$1,0)),"")&amp;""&lt;&gt;"",ISNUMBER(AE2799),AD2799&lt;&gt;0),1,0)</f>
        <v/>
      </c>
      <c r="AG2799" s="55">
        <f>IF(AF2799=1,EOMONTH(AE2799,0),"")</f>
        <v/>
      </c>
      <c r="AH2799" s="9">
        <f>IF(AF2799=1,UPPER(TRIM(IFERROR(INDEX($A2799:$AB2799,MATCH("Client",$A$1:$AB$1,0)),"")&amp;"")),"")</f>
        <v/>
      </c>
      <c r="AI2799" s="9">
        <f>IF(AF2799=1,IFERROR(INDEX($A2799:$AB2799,MATCH("Cost Centre",$A$1:$AB$1,0)),"")&amp;"","")</f>
        <v/>
      </c>
      <c r="AJ2799" s="54">
        <f>IF(AND(AF2799=1,AE2799&gt;=set_FYStart,AE2799&lt;=set_AsAt),1,0)</f>
        <v/>
      </c>
      <c r="AK2799" s="54">
        <f>IF(AND(AJ2799=1,AH2799&lt;&gt;"",COUNTIFS($AH$2:AH2799,AH2799,$AJ$2:AJ2799,1)=1),N(AL2798)+1,"")</f>
        <v/>
      </c>
      <c r="AL2799" s="54">
        <f>IF(AK2799&lt;&gt;"",AK2799,N(AL2798))</f>
        <v/>
      </c>
    </row>
    <row r="2800">
      <c r="A2800" t="inlineStr">
        <is>
          <t>CON-0933</t>
        </is>
      </c>
      <c r="B2800" t="inlineStr">
        <is>
          <t>Consulting</t>
        </is>
      </c>
      <c r="AB2800" t="n">
        <v>933</v>
      </c>
      <c r="AD2800" s="52">
        <f>IFERROR(N(IFERROR(INDEX($A2800:$AB2800,MATCH("Xero Invoiced Ex GST",$A$1:$AB$1,0)),"")),0)</f>
        <v/>
      </c>
      <c r="AE2800" s="53">
        <f>IFERROR(INDEX($A2800:$AB2800,MATCH("Xero Invoice Date",$A$1:$AB$1,0)),"")</f>
        <v/>
      </c>
      <c r="AF2800" s="54">
        <f>IF(AND(IFERROR(INDEX($A2800:$AB2800,MATCH("Xero Invoice No",$A$1:$AB$1,0)),"")&amp;""&lt;&gt;"",ISNUMBER(AE2800),AD2800&lt;&gt;0),1,0)</f>
        <v/>
      </c>
      <c r="AG2800" s="55">
        <f>IF(AF2800=1,EOMONTH(AE2800,0),"")</f>
        <v/>
      </c>
      <c r="AH2800" s="9">
        <f>IF(AF2800=1,UPPER(TRIM(IFERROR(INDEX($A2800:$AB2800,MATCH("Client",$A$1:$AB$1,0)),"")&amp;"")),"")</f>
        <v/>
      </c>
      <c r="AI2800" s="9">
        <f>IF(AF2800=1,IFERROR(INDEX($A2800:$AB2800,MATCH("Cost Centre",$A$1:$AB$1,0)),"")&amp;"","")</f>
        <v/>
      </c>
      <c r="AJ2800" s="54">
        <f>IF(AND(AF2800=1,AE2800&gt;=set_FYStart,AE2800&lt;=set_AsAt),1,0)</f>
        <v/>
      </c>
      <c r="AK2800" s="54">
        <f>IF(AND(AJ2800=1,AH2800&lt;&gt;"",COUNTIFS($AH$2:AH2800,AH2800,$AJ$2:AJ2800,1)=1),N(AL2799)+1,"")</f>
        <v/>
      </c>
      <c r="AL2800" s="54">
        <f>IF(AK2800&lt;&gt;"",AK2800,N(AL2799))</f>
        <v/>
      </c>
    </row>
    <row r="2801">
      <c r="A2801" t="inlineStr">
        <is>
          <t>ONS-0934</t>
        </is>
      </c>
      <c r="B2801" t="inlineStr">
        <is>
          <t>Onsite</t>
        </is>
      </c>
      <c r="AB2801" t="n">
        <v>934</v>
      </c>
      <c r="AD2801" s="52">
        <f>IFERROR(N(IFERROR(INDEX($A2801:$AB2801,MATCH("Xero Invoiced Ex GST",$A$1:$AB$1,0)),"")),0)</f>
        <v/>
      </c>
      <c r="AE2801" s="53">
        <f>IFERROR(INDEX($A2801:$AB2801,MATCH("Xero Invoice Date",$A$1:$AB$1,0)),"")</f>
        <v/>
      </c>
      <c r="AF2801" s="54">
        <f>IF(AND(IFERROR(INDEX($A2801:$AB2801,MATCH("Xero Invoice No",$A$1:$AB$1,0)),"")&amp;""&lt;&gt;"",ISNUMBER(AE2801),AD2801&lt;&gt;0),1,0)</f>
        <v/>
      </c>
      <c r="AG2801" s="55">
        <f>IF(AF2801=1,EOMONTH(AE2801,0),"")</f>
        <v/>
      </c>
      <c r="AH2801" s="9">
        <f>IF(AF2801=1,UPPER(TRIM(IFERROR(INDEX($A2801:$AB2801,MATCH("Client",$A$1:$AB$1,0)),"")&amp;"")),"")</f>
        <v/>
      </c>
      <c r="AI2801" s="9">
        <f>IF(AF2801=1,IFERROR(INDEX($A2801:$AB2801,MATCH("Cost Centre",$A$1:$AB$1,0)),"")&amp;"","")</f>
        <v/>
      </c>
      <c r="AJ2801" s="54">
        <f>IF(AND(AF2801=1,AE2801&gt;=set_FYStart,AE2801&lt;=set_AsAt),1,0)</f>
        <v/>
      </c>
      <c r="AK2801" s="54">
        <f>IF(AND(AJ2801=1,AH2801&lt;&gt;"",COUNTIFS($AH$2:AH2801,AH2801,$AJ$2:AJ2801,1)=1),N(AL2800)+1,"")</f>
        <v/>
      </c>
      <c r="AL2801" s="54">
        <f>IF(AK2801&lt;&gt;"",AK2801,N(AL2800))</f>
        <v/>
      </c>
    </row>
    <row r="2802">
      <c r="A2802" t="inlineStr">
        <is>
          <t>PRD-0934</t>
        </is>
      </c>
      <c r="B2802" t="inlineStr">
        <is>
          <t>Production</t>
        </is>
      </c>
      <c r="AB2802" t="n">
        <v>934</v>
      </c>
      <c r="AD2802" s="52">
        <f>IFERROR(N(IFERROR(INDEX($A2802:$AB2802,MATCH("Xero Invoiced Ex GST",$A$1:$AB$1,0)),"")),0)</f>
        <v/>
      </c>
      <c r="AE2802" s="53">
        <f>IFERROR(INDEX($A2802:$AB2802,MATCH("Xero Invoice Date",$A$1:$AB$1,0)),"")</f>
        <v/>
      </c>
      <c r="AF2802" s="54">
        <f>IF(AND(IFERROR(INDEX($A2802:$AB2802,MATCH("Xero Invoice No",$A$1:$AB$1,0)),"")&amp;""&lt;&gt;"",ISNUMBER(AE2802),AD2802&lt;&gt;0),1,0)</f>
        <v/>
      </c>
      <c r="AG2802" s="55">
        <f>IF(AF2802=1,EOMONTH(AE2802,0),"")</f>
        <v/>
      </c>
      <c r="AH2802" s="9">
        <f>IF(AF2802=1,UPPER(TRIM(IFERROR(INDEX($A2802:$AB2802,MATCH("Client",$A$1:$AB$1,0)),"")&amp;"")),"")</f>
        <v/>
      </c>
      <c r="AI2802" s="9">
        <f>IF(AF2802=1,IFERROR(INDEX($A2802:$AB2802,MATCH("Cost Centre",$A$1:$AB$1,0)),"")&amp;"","")</f>
        <v/>
      </c>
      <c r="AJ2802" s="54">
        <f>IF(AND(AF2802=1,AE2802&gt;=set_FYStart,AE2802&lt;=set_AsAt),1,0)</f>
        <v/>
      </c>
      <c r="AK2802" s="54">
        <f>IF(AND(AJ2802=1,AH2802&lt;&gt;"",COUNTIFS($AH$2:AH2802,AH2802,$AJ$2:AJ2802,1)=1),N(AL2801)+1,"")</f>
        <v/>
      </c>
      <c r="AL2802" s="54">
        <f>IF(AK2802&lt;&gt;"",AK2802,N(AL2801))</f>
        <v/>
      </c>
    </row>
    <row r="2803">
      <c r="A2803" t="inlineStr">
        <is>
          <t>CON-0934</t>
        </is>
      </c>
      <c r="B2803" t="inlineStr">
        <is>
          <t>Consulting</t>
        </is>
      </c>
      <c r="AB2803" t="n">
        <v>934</v>
      </c>
      <c r="AD2803" s="52">
        <f>IFERROR(N(IFERROR(INDEX($A2803:$AB2803,MATCH("Xero Invoiced Ex GST",$A$1:$AB$1,0)),"")),0)</f>
        <v/>
      </c>
      <c r="AE2803" s="53">
        <f>IFERROR(INDEX($A2803:$AB2803,MATCH("Xero Invoice Date",$A$1:$AB$1,0)),"")</f>
        <v/>
      </c>
      <c r="AF2803" s="54">
        <f>IF(AND(IFERROR(INDEX($A2803:$AB2803,MATCH("Xero Invoice No",$A$1:$AB$1,0)),"")&amp;""&lt;&gt;"",ISNUMBER(AE2803),AD2803&lt;&gt;0),1,0)</f>
        <v/>
      </c>
      <c r="AG2803" s="55">
        <f>IF(AF2803=1,EOMONTH(AE2803,0),"")</f>
        <v/>
      </c>
      <c r="AH2803" s="9">
        <f>IF(AF2803=1,UPPER(TRIM(IFERROR(INDEX($A2803:$AB2803,MATCH("Client",$A$1:$AB$1,0)),"")&amp;"")),"")</f>
        <v/>
      </c>
      <c r="AI2803" s="9">
        <f>IF(AF2803=1,IFERROR(INDEX($A2803:$AB2803,MATCH("Cost Centre",$A$1:$AB$1,0)),"")&amp;"","")</f>
        <v/>
      </c>
      <c r="AJ2803" s="54">
        <f>IF(AND(AF2803=1,AE2803&gt;=set_FYStart,AE2803&lt;=set_AsAt),1,0)</f>
        <v/>
      </c>
      <c r="AK2803" s="54">
        <f>IF(AND(AJ2803=1,AH2803&lt;&gt;"",COUNTIFS($AH$2:AH2803,AH2803,$AJ$2:AJ2803,1)=1),N(AL2802)+1,"")</f>
        <v/>
      </c>
      <c r="AL2803" s="54">
        <f>IF(AK2803&lt;&gt;"",AK2803,N(AL2802))</f>
        <v/>
      </c>
    </row>
    <row r="2804">
      <c r="A2804" t="inlineStr">
        <is>
          <t>ONS-0935</t>
        </is>
      </c>
      <c r="B2804" t="inlineStr">
        <is>
          <t>Onsite</t>
        </is>
      </c>
      <c r="AB2804" t="n">
        <v>935</v>
      </c>
      <c r="AD2804" s="52">
        <f>IFERROR(N(IFERROR(INDEX($A2804:$AB2804,MATCH("Xero Invoiced Ex GST",$A$1:$AB$1,0)),"")),0)</f>
        <v/>
      </c>
      <c r="AE2804" s="53">
        <f>IFERROR(INDEX($A2804:$AB2804,MATCH("Xero Invoice Date",$A$1:$AB$1,0)),"")</f>
        <v/>
      </c>
      <c r="AF2804" s="54">
        <f>IF(AND(IFERROR(INDEX($A2804:$AB2804,MATCH("Xero Invoice No",$A$1:$AB$1,0)),"")&amp;""&lt;&gt;"",ISNUMBER(AE2804),AD2804&lt;&gt;0),1,0)</f>
        <v/>
      </c>
      <c r="AG2804" s="55">
        <f>IF(AF2804=1,EOMONTH(AE2804,0),"")</f>
        <v/>
      </c>
      <c r="AH2804" s="9">
        <f>IF(AF2804=1,UPPER(TRIM(IFERROR(INDEX($A2804:$AB2804,MATCH("Client",$A$1:$AB$1,0)),"")&amp;"")),"")</f>
        <v/>
      </c>
      <c r="AI2804" s="9">
        <f>IF(AF2804=1,IFERROR(INDEX($A2804:$AB2804,MATCH("Cost Centre",$A$1:$AB$1,0)),"")&amp;"","")</f>
        <v/>
      </c>
      <c r="AJ2804" s="54">
        <f>IF(AND(AF2804=1,AE2804&gt;=set_FYStart,AE2804&lt;=set_AsAt),1,0)</f>
        <v/>
      </c>
      <c r="AK2804" s="54">
        <f>IF(AND(AJ2804=1,AH2804&lt;&gt;"",COUNTIFS($AH$2:AH2804,AH2804,$AJ$2:AJ2804,1)=1),N(AL2803)+1,"")</f>
        <v/>
      </c>
      <c r="AL2804" s="54">
        <f>IF(AK2804&lt;&gt;"",AK2804,N(AL2803))</f>
        <v/>
      </c>
    </row>
    <row r="2805">
      <c r="A2805" t="inlineStr">
        <is>
          <t>PRD-0935</t>
        </is>
      </c>
      <c r="B2805" t="inlineStr">
        <is>
          <t>Production</t>
        </is>
      </c>
      <c r="AB2805" t="n">
        <v>935</v>
      </c>
      <c r="AD2805" s="52">
        <f>IFERROR(N(IFERROR(INDEX($A2805:$AB2805,MATCH("Xero Invoiced Ex GST",$A$1:$AB$1,0)),"")),0)</f>
        <v/>
      </c>
      <c r="AE2805" s="53">
        <f>IFERROR(INDEX($A2805:$AB2805,MATCH("Xero Invoice Date",$A$1:$AB$1,0)),"")</f>
        <v/>
      </c>
      <c r="AF2805" s="54">
        <f>IF(AND(IFERROR(INDEX($A2805:$AB2805,MATCH("Xero Invoice No",$A$1:$AB$1,0)),"")&amp;""&lt;&gt;"",ISNUMBER(AE2805),AD2805&lt;&gt;0),1,0)</f>
        <v/>
      </c>
      <c r="AG2805" s="55">
        <f>IF(AF2805=1,EOMONTH(AE2805,0),"")</f>
        <v/>
      </c>
      <c r="AH2805" s="9">
        <f>IF(AF2805=1,UPPER(TRIM(IFERROR(INDEX($A2805:$AB2805,MATCH("Client",$A$1:$AB$1,0)),"")&amp;"")),"")</f>
        <v/>
      </c>
      <c r="AI2805" s="9">
        <f>IF(AF2805=1,IFERROR(INDEX($A2805:$AB2805,MATCH("Cost Centre",$A$1:$AB$1,0)),"")&amp;"","")</f>
        <v/>
      </c>
      <c r="AJ2805" s="54">
        <f>IF(AND(AF2805=1,AE2805&gt;=set_FYStart,AE2805&lt;=set_AsAt),1,0)</f>
        <v/>
      </c>
      <c r="AK2805" s="54">
        <f>IF(AND(AJ2805=1,AH2805&lt;&gt;"",COUNTIFS($AH$2:AH2805,AH2805,$AJ$2:AJ2805,1)=1),N(AL2804)+1,"")</f>
        <v/>
      </c>
      <c r="AL2805" s="54">
        <f>IF(AK2805&lt;&gt;"",AK2805,N(AL2804))</f>
        <v/>
      </c>
    </row>
    <row r="2806">
      <c r="A2806" t="inlineStr">
        <is>
          <t>CON-0935</t>
        </is>
      </c>
      <c r="B2806" t="inlineStr">
        <is>
          <t>Consulting</t>
        </is>
      </c>
      <c r="AB2806" t="n">
        <v>935</v>
      </c>
      <c r="AD2806" s="52">
        <f>IFERROR(N(IFERROR(INDEX($A2806:$AB2806,MATCH("Xero Invoiced Ex GST",$A$1:$AB$1,0)),"")),0)</f>
        <v/>
      </c>
      <c r="AE2806" s="53">
        <f>IFERROR(INDEX($A2806:$AB2806,MATCH("Xero Invoice Date",$A$1:$AB$1,0)),"")</f>
        <v/>
      </c>
      <c r="AF2806" s="54">
        <f>IF(AND(IFERROR(INDEX($A2806:$AB2806,MATCH("Xero Invoice No",$A$1:$AB$1,0)),"")&amp;""&lt;&gt;"",ISNUMBER(AE2806),AD2806&lt;&gt;0),1,0)</f>
        <v/>
      </c>
      <c r="AG2806" s="55">
        <f>IF(AF2806=1,EOMONTH(AE2806,0),"")</f>
        <v/>
      </c>
      <c r="AH2806" s="9">
        <f>IF(AF2806=1,UPPER(TRIM(IFERROR(INDEX($A2806:$AB2806,MATCH("Client",$A$1:$AB$1,0)),"")&amp;"")),"")</f>
        <v/>
      </c>
      <c r="AI2806" s="9">
        <f>IF(AF2806=1,IFERROR(INDEX($A2806:$AB2806,MATCH("Cost Centre",$A$1:$AB$1,0)),"")&amp;"","")</f>
        <v/>
      </c>
      <c r="AJ2806" s="54">
        <f>IF(AND(AF2806=1,AE2806&gt;=set_FYStart,AE2806&lt;=set_AsAt),1,0)</f>
        <v/>
      </c>
      <c r="AK2806" s="54">
        <f>IF(AND(AJ2806=1,AH2806&lt;&gt;"",COUNTIFS($AH$2:AH2806,AH2806,$AJ$2:AJ2806,1)=1),N(AL2805)+1,"")</f>
        <v/>
      </c>
      <c r="AL2806" s="54">
        <f>IF(AK2806&lt;&gt;"",AK2806,N(AL2805))</f>
        <v/>
      </c>
    </row>
    <row r="2807">
      <c r="A2807" t="inlineStr">
        <is>
          <t>ONS-0936</t>
        </is>
      </c>
      <c r="B2807" t="inlineStr">
        <is>
          <t>Onsite</t>
        </is>
      </c>
      <c r="AB2807" t="n">
        <v>936</v>
      </c>
      <c r="AD2807" s="52">
        <f>IFERROR(N(IFERROR(INDEX($A2807:$AB2807,MATCH("Xero Invoiced Ex GST",$A$1:$AB$1,0)),"")),0)</f>
        <v/>
      </c>
      <c r="AE2807" s="53">
        <f>IFERROR(INDEX($A2807:$AB2807,MATCH("Xero Invoice Date",$A$1:$AB$1,0)),"")</f>
        <v/>
      </c>
      <c r="AF2807" s="54">
        <f>IF(AND(IFERROR(INDEX($A2807:$AB2807,MATCH("Xero Invoice No",$A$1:$AB$1,0)),"")&amp;""&lt;&gt;"",ISNUMBER(AE2807),AD2807&lt;&gt;0),1,0)</f>
        <v/>
      </c>
      <c r="AG2807" s="55">
        <f>IF(AF2807=1,EOMONTH(AE2807,0),"")</f>
        <v/>
      </c>
      <c r="AH2807" s="9">
        <f>IF(AF2807=1,UPPER(TRIM(IFERROR(INDEX($A2807:$AB2807,MATCH("Client",$A$1:$AB$1,0)),"")&amp;"")),"")</f>
        <v/>
      </c>
      <c r="AI2807" s="9">
        <f>IF(AF2807=1,IFERROR(INDEX($A2807:$AB2807,MATCH("Cost Centre",$A$1:$AB$1,0)),"")&amp;"","")</f>
        <v/>
      </c>
      <c r="AJ2807" s="54">
        <f>IF(AND(AF2807=1,AE2807&gt;=set_FYStart,AE2807&lt;=set_AsAt),1,0)</f>
        <v/>
      </c>
      <c r="AK2807" s="54">
        <f>IF(AND(AJ2807=1,AH2807&lt;&gt;"",COUNTIFS($AH$2:AH2807,AH2807,$AJ$2:AJ2807,1)=1),N(AL2806)+1,"")</f>
        <v/>
      </c>
      <c r="AL2807" s="54">
        <f>IF(AK2807&lt;&gt;"",AK2807,N(AL2806))</f>
        <v/>
      </c>
    </row>
    <row r="2808">
      <c r="A2808" t="inlineStr">
        <is>
          <t>PRD-0936</t>
        </is>
      </c>
      <c r="B2808" t="inlineStr">
        <is>
          <t>Production</t>
        </is>
      </c>
      <c r="AB2808" t="n">
        <v>936</v>
      </c>
      <c r="AD2808" s="52">
        <f>IFERROR(N(IFERROR(INDEX($A2808:$AB2808,MATCH("Xero Invoiced Ex GST",$A$1:$AB$1,0)),"")),0)</f>
        <v/>
      </c>
      <c r="AE2808" s="53">
        <f>IFERROR(INDEX($A2808:$AB2808,MATCH("Xero Invoice Date",$A$1:$AB$1,0)),"")</f>
        <v/>
      </c>
      <c r="AF2808" s="54">
        <f>IF(AND(IFERROR(INDEX($A2808:$AB2808,MATCH("Xero Invoice No",$A$1:$AB$1,0)),"")&amp;""&lt;&gt;"",ISNUMBER(AE2808),AD2808&lt;&gt;0),1,0)</f>
        <v/>
      </c>
      <c r="AG2808" s="55">
        <f>IF(AF2808=1,EOMONTH(AE2808,0),"")</f>
        <v/>
      </c>
      <c r="AH2808" s="9">
        <f>IF(AF2808=1,UPPER(TRIM(IFERROR(INDEX($A2808:$AB2808,MATCH("Client",$A$1:$AB$1,0)),"")&amp;"")),"")</f>
        <v/>
      </c>
      <c r="AI2808" s="9">
        <f>IF(AF2808=1,IFERROR(INDEX($A2808:$AB2808,MATCH("Cost Centre",$A$1:$AB$1,0)),"")&amp;"","")</f>
        <v/>
      </c>
      <c r="AJ2808" s="54">
        <f>IF(AND(AF2808=1,AE2808&gt;=set_FYStart,AE2808&lt;=set_AsAt),1,0)</f>
        <v/>
      </c>
      <c r="AK2808" s="54">
        <f>IF(AND(AJ2808=1,AH2808&lt;&gt;"",COUNTIFS($AH$2:AH2808,AH2808,$AJ$2:AJ2808,1)=1),N(AL2807)+1,"")</f>
        <v/>
      </c>
      <c r="AL2808" s="54">
        <f>IF(AK2808&lt;&gt;"",AK2808,N(AL2807))</f>
        <v/>
      </c>
    </row>
    <row r="2809">
      <c r="A2809" t="inlineStr">
        <is>
          <t>CON-0936</t>
        </is>
      </c>
      <c r="B2809" t="inlineStr">
        <is>
          <t>Consulting</t>
        </is>
      </c>
      <c r="AB2809" t="n">
        <v>936</v>
      </c>
      <c r="AD2809" s="52">
        <f>IFERROR(N(IFERROR(INDEX($A2809:$AB2809,MATCH("Xero Invoiced Ex GST",$A$1:$AB$1,0)),"")),0)</f>
        <v/>
      </c>
      <c r="AE2809" s="53">
        <f>IFERROR(INDEX($A2809:$AB2809,MATCH("Xero Invoice Date",$A$1:$AB$1,0)),"")</f>
        <v/>
      </c>
      <c r="AF2809" s="54">
        <f>IF(AND(IFERROR(INDEX($A2809:$AB2809,MATCH("Xero Invoice No",$A$1:$AB$1,0)),"")&amp;""&lt;&gt;"",ISNUMBER(AE2809),AD2809&lt;&gt;0),1,0)</f>
        <v/>
      </c>
      <c r="AG2809" s="55">
        <f>IF(AF2809=1,EOMONTH(AE2809,0),"")</f>
        <v/>
      </c>
      <c r="AH2809" s="9">
        <f>IF(AF2809=1,UPPER(TRIM(IFERROR(INDEX($A2809:$AB2809,MATCH("Client",$A$1:$AB$1,0)),"")&amp;"")),"")</f>
        <v/>
      </c>
      <c r="AI2809" s="9">
        <f>IF(AF2809=1,IFERROR(INDEX($A2809:$AB2809,MATCH("Cost Centre",$A$1:$AB$1,0)),"")&amp;"","")</f>
        <v/>
      </c>
      <c r="AJ2809" s="54">
        <f>IF(AND(AF2809=1,AE2809&gt;=set_FYStart,AE2809&lt;=set_AsAt),1,0)</f>
        <v/>
      </c>
      <c r="AK2809" s="54">
        <f>IF(AND(AJ2809=1,AH2809&lt;&gt;"",COUNTIFS($AH$2:AH2809,AH2809,$AJ$2:AJ2809,1)=1),N(AL2808)+1,"")</f>
        <v/>
      </c>
      <c r="AL2809" s="54">
        <f>IF(AK2809&lt;&gt;"",AK2809,N(AL2808))</f>
        <v/>
      </c>
    </row>
    <row r="2810">
      <c r="A2810" t="inlineStr">
        <is>
          <t>ONS-0937</t>
        </is>
      </c>
      <c r="B2810" t="inlineStr">
        <is>
          <t>Onsite</t>
        </is>
      </c>
      <c r="AB2810" t="n">
        <v>937</v>
      </c>
      <c r="AD2810" s="52">
        <f>IFERROR(N(IFERROR(INDEX($A2810:$AB2810,MATCH("Xero Invoiced Ex GST",$A$1:$AB$1,0)),"")),0)</f>
        <v/>
      </c>
      <c r="AE2810" s="53">
        <f>IFERROR(INDEX($A2810:$AB2810,MATCH("Xero Invoice Date",$A$1:$AB$1,0)),"")</f>
        <v/>
      </c>
      <c r="AF2810" s="54">
        <f>IF(AND(IFERROR(INDEX($A2810:$AB2810,MATCH("Xero Invoice No",$A$1:$AB$1,0)),"")&amp;""&lt;&gt;"",ISNUMBER(AE2810),AD2810&lt;&gt;0),1,0)</f>
        <v/>
      </c>
      <c r="AG2810" s="55">
        <f>IF(AF2810=1,EOMONTH(AE2810,0),"")</f>
        <v/>
      </c>
      <c r="AH2810" s="9">
        <f>IF(AF2810=1,UPPER(TRIM(IFERROR(INDEX($A2810:$AB2810,MATCH("Client",$A$1:$AB$1,0)),"")&amp;"")),"")</f>
        <v/>
      </c>
      <c r="AI2810" s="9">
        <f>IF(AF2810=1,IFERROR(INDEX($A2810:$AB2810,MATCH("Cost Centre",$A$1:$AB$1,0)),"")&amp;"","")</f>
        <v/>
      </c>
      <c r="AJ2810" s="54">
        <f>IF(AND(AF2810=1,AE2810&gt;=set_FYStart,AE2810&lt;=set_AsAt),1,0)</f>
        <v/>
      </c>
      <c r="AK2810" s="54">
        <f>IF(AND(AJ2810=1,AH2810&lt;&gt;"",COUNTIFS($AH$2:AH2810,AH2810,$AJ$2:AJ2810,1)=1),N(AL2809)+1,"")</f>
        <v/>
      </c>
      <c r="AL2810" s="54">
        <f>IF(AK2810&lt;&gt;"",AK2810,N(AL2809))</f>
        <v/>
      </c>
    </row>
    <row r="2811">
      <c r="A2811" t="inlineStr">
        <is>
          <t>PRD-0937</t>
        </is>
      </c>
      <c r="B2811" t="inlineStr">
        <is>
          <t>Production</t>
        </is>
      </c>
      <c r="AB2811" t="n">
        <v>937</v>
      </c>
      <c r="AD2811" s="52">
        <f>IFERROR(N(IFERROR(INDEX($A2811:$AB2811,MATCH("Xero Invoiced Ex GST",$A$1:$AB$1,0)),"")),0)</f>
        <v/>
      </c>
      <c r="AE2811" s="53">
        <f>IFERROR(INDEX($A2811:$AB2811,MATCH("Xero Invoice Date",$A$1:$AB$1,0)),"")</f>
        <v/>
      </c>
      <c r="AF2811" s="54">
        <f>IF(AND(IFERROR(INDEX($A2811:$AB2811,MATCH("Xero Invoice No",$A$1:$AB$1,0)),"")&amp;""&lt;&gt;"",ISNUMBER(AE2811),AD2811&lt;&gt;0),1,0)</f>
        <v/>
      </c>
      <c r="AG2811" s="55">
        <f>IF(AF2811=1,EOMONTH(AE2811,0),"")</f>
        <v/>
      </c>
      <c r="AH2811" s="9">
        <f>IF(AF2811=1,UPPER(TRIM(IFERROR(INDEX($A2811:$AB2811,MATCH("Client",$A$1:$AB$1,0)),"")&amp;"")),"")</f>
        <v/>
      </c>
      <c r="AI2811" s="9">
        <f>IF(AF2811=1,IFERROR(INDEX($A2811:$AB2811,MATCH("Cost Centre",$A$1:$AB$1,0)),"")&amp;"","")</f>
        <v/>
      </c>
      <c r="AJ2811" s="54">
        <f>IF(AND(AF2811=1,AE2811&gt;=set_FYStart,AE2811&lt;=set_AsAt),1,0)</f>
        <v/>
      </c>
      <c r="AK2811" s="54">
        <f>IF(AND(AJ2811=1,AH2811&lt;&gt;"",COUNTIFS($AH$2:AH2811,AH2811,$AJ$2:AJ2811,1)=1),N(AL2810)+1,"")</f>
        <v/>
      </c>
      <c r="AL2811" s="54">
        <f>IF(AK2811&lt;&gt;"",AK2811,N(AL2810))</f>
        <v/>
      </c>
    </row>
    <row r="2812">
      <c r="A2812" t="inlineStr">
        <is>
          <t>CON-0937</t>
        </is>
      </c>
      <c r="B2812" t="inlineStr">
        <is>
          <t>Consulting</t>
        </is>
      </c>
      <c r="AB2812" t="n">
        <v>937</v>
      </c>
      <c r="AD2812" s="52">
        <f>IFERROR(N(IFERROR(INDEX($A2812:$AB2812,MATCH("Xero Invoiced Ex GST",$A$1:$AB$1,0)),"")),0)</f>
        <v/>
      </c>
      <c r="AE2812" s="53">
        <f>IFERROR(INDEX($A2812:$AB2812,MATCH("Xero Invoice Date",$A$1:$AB$1,0)),"")</f>
        <v/>
      </c>
      <c r="AF2812" s="54">
        <f>IF(AND(IFERROR(INDEX($A2812:$AB2812,MATCH("Xero Invoice No",$A$1:$AB$1,0)),"")&amp;""&lt;&gt;"",ISNUMBER(AE2812),AD2812&lt;&gt;0),1,0)</f>
        <v/>
      </c>
      <c r="AG2812" s="55">
        <f>IF(AF2812=1,EOMONTH(AE2812,0),"")</f>
        <v/>
      </c>
      <c r="AH2812" s="9">
        <f>IF(AF2812=1,UPPER(TRIM(IFERROR(INDEX($A2812:$AB2812,MATCH("Client",$A$1:$AB$1,0)),"")&amp;"")),"")</f>
        <v/>
      </c>
      <c r="AI2812" s="9">
        <f>IF(AF2812=1,IFERROR(INDEX($A2812:$AB2812,MATCH("Cost Centre",$A$1:$AB$1,0)),"")&amp;"","")</f>
        <v/>
      </c>
      <c r="AJ2812" s="54">
        <f>IF(AND(AF2812=1,AE2812&gt;=set_FYStart,AE2812&lt;=set_AsAt),1,0)</f>
        <v/>
      </c>
      <c r="AK2812" s="54">
        <f>IF(AND(AJ2812=1,AH2812&lt;&gt;"",COUNTIFS($AH$2:AH2812,AH2812,$AJ$2:AJ2812,1)=1),N(AL2811)+1,"")</f>
        <v/>
      </c>
      <c r="AL2812" s="54">
        <f>IF(AK2812&lt;&gt;"",AK2812,N(AL2811))</f>
        <v/>
      </c>
    </row>
    <row r="2813">
      <c r="A2813" t="inlineStr">
        <is>
          <t>ONS-0938</t>
        </is>
      </c>
      <c r="B2813" t="inlineStr">
        <is>
          <t>Onsite</t>
        </is>
      </c>
      <c r="AB2813" t="n">
        <v>938</v>
      </c>
      <c r="AD2813" s="52">
        <f>IFERROR(N(IFERROR(INDEX($A2813:$AB2813,MATCH("Xero Invoiced Ex GST",$A$1:$AB$1,0)),"")),0)</f>
        <v/>
      </c>
      <c r="AE2813" s="53">
        <f>IFERROR(INDEX($A2813:$AB2813,MATCH("Xero Invoice Date",$A$1:$AB$1,0)),"")</f>
        <v/>
      </c>
      <c r="AF2813" s="54">
        <f>IF(AND(IFERROR(INDEX($A2813:$AB2813,MATCH("Xero Invoice No",$A$1:$AB$1,0)),"")&amp;""&lt;&gt;"",ISNUMBER(AE2813),AD2813&lt;&gt;0),1,0)</f>
        <v/>
      </c>
      <c r="AG2813" s="55">
        <f>IF(AF2813=1,EOMONTH(AE2813,0),"")</f>
        <v/>
      </c>
      <c r="AH2813" s="9">
        <f>IF(AF2813=1,UPPER(TRIM(IFERROR(INDEX($A2813:$AB2813,MATCH("Client",$A$1:$AB$1,0)),"")&amp;"")),"")</f>
        <v/>
      </c>
      <c r="AI2813" s="9">
        <f>IF(AF2813=1,IFERROR(INDEX($A2813:$AB2813,MATCH("Cost Centre",$A$1:$AB$1,0)),"")&amp;"","")</f>
        <v/>
      </c>
      <c r="AJ2813" s="54">
        <f>IF(AND(AF2813=1,AE2813&gt;=set_FYStart,AE2813&lt;=set_AsAt),1,0)</f>
        <v/>
      </c>
      <c r="AK2813" s="54">
        <f>IF(AND(AJ2813=1,AH2813&lt;&gt;"",COUNTIFS($AH$2:AH2813,AH2813,$AJ$2:AJ2813,1)=1),N(AL2812)+1,"")</f>
        <v/>
      </c>
      <c r="AL2813" s="54">
        <f>IF(AK2813&lt;&gt;"",AK2813,N(AL2812))</f>
        <v/>
      </c>
    </row>
    <row r="2814">
      <c r="A2814" t="inlineStr">
        <is>
          <t>PRD-0938</t>
        </is>
      </c>
      <c r="B2814" t="inlineStr">
        <is>
          <t>Production</t>
        </is>
      </c>
      <c r="AB2814" t="n">
        <v>938</v>
      </c>
      <c r="AD2814" s="52">
        <f>IFERROR(N(IFERROR(INDEX($A2814:$AB2814,MATCH("Xero Invoiced Ex GST",$A$1:$AB$1,0)),"")),0)</f>
        <v/>
      </c>
      <c r="AE2814" s="53">
        <f>IFERROR(INDEX($A2814:$AB2814,MATCH("Xero Invoice Date",$A$1:$AB$1,0)),"")</f>
        <v/>
      </c>
      <c r="AF2814" s="54">
        <f>IF(AND(IFERROR(INDEX($A2814:$AB2814,MATCH("Xero Invoice No",$A$1:$AB$1,0)),"")&amp;""&lt;&gt;"",ISNUMBER(AE2814),AD2814&lt;&gt;0),1,0)</f>
        <v/>
      </c>
      <c r="AG2814" s="55">
        <f>IF(AF2814=1,EOMONTH(AE2814,0),"")</f>
        <v/>
      </c>
      <c r="AH2814" s="9">
        <f>IF(AF2814=1,UPPER(TRIM(IFERROR(INDEX($A2814:$AB2814,MATCH("Client",$A$1:$AB$1,0)),"")&amp;"")),"")</f>
        <v/>
      </c>
      <c r="AI2814" s="9">
        <f>IF(AF2814=1,IFERROR(INDEX($A2814:$AB2814,MATCH("Cost Centre",$A$1:$AB$1,0)),"")&amp;"","")</f>
        <v/>
      </c>
      <c r="AJ2814" s="54">
        <f>IF(AND(AF2814=1,AE2814&gt;=set_FYStart,AE2814&lt;=set_AsAt),1,0)</f>
        <v/>
      </c>
      <c r="AK2814" s="54">
        <f>IF(AND(AJ2814=1,AH2814&lt;&gt;"",COUNTIFS($AH$2:AH2814,AH2814,$AJ$2:AJ2814,1)=1),N(AL2813)+1,"")</f>
        <v/>
      </c>
      <c r="AL2814" s="54">
        <f>IF(AK2814&lt;&gt;"",AK2814,N(AL2813))</f>
        <v/>
      </c>
    </row>
    <row r="2815">
      <c r="A2815" t="inlineStr">
        <is>
          <t>CON-0938</t>
        </is>
      </c>
      <c r="B2815" t="inlineStr">
        <is>
          <t>Consulting</t>
        </is>
      </c>
      <c r="AB2815" t="n">
        <v>938</v>
      </c>
      <c r="AD2815" s="52">
        <f>IFERROR(N(IFERROR(INDEX($A2815:$AB2815,MATCH("Xero Invoiced Ex GST",$A$1:$AB$1,0)),"")),0)</f>
        <v/>
      </c>
      <c r="AE2815" s="53">
        <f>IFERROR(INDEX($A2815:$AB2815,MATCH("Xero Invoice Date",$A$1:$AB$1,0)),"")</f>
        <v/>
      </c>
      <c r="AF2815" s="54">
        <f>IF(AND(IFERROR(INDEX($A2815:$AB2815,MATCH("Xero Invoice No",$A$1:$AB$1,0)),"")&amp;""&lt;&gt;"",ISNUMBER(AE2815),AD2815&lt;&gt;0),1,0)</f>
        <v/>
      </c>
      <c r="AG2815" s="55">
        <f>IF(AF2815=1,EOMONTH(AE2815,0),"")</f>
        <v/>
      </c>
      <c r="AH2815" s="9">
        <f>IF(AF2815=1,UPPER(TRIM(IFERROR(INDEX($A2815:$AB2815,MATCH("Client",$A$1:$AB$1,0)),"")&amp;"")),"")</f>
        <v/>
      </c>
      <c r="AI2815" s="9">
        <f>IF(AF2815=1,IFERROR(INDEX($A2815:$AB2815,MATCH("Cost Centre",$A$1:$AB$1,0)),"")&amp;"","")</f>
        <v/>
      </c>
      <c r="AJ2815" s="54">
        <f>IF(AND(AF2815=1,AE2815&gt;=set_FYStart,AE2815&lt;=set_AsAt),1,0)</f>
        <v/>
      </c>
      <c r="AK2815" s="54">
        <f>IF(AND(AJ2815=1,AH2815&lt;&gt;"",COUNTIFS($AH$2:AH2815,AH2815,$AJ$2:AJ2815,1)=1),N(AL2814)+1,"")</f>
        <v/>
      </c>
      <c r="AL2815" s="54">
        <f>IF(AK2815&lt;&gt;"",AK2815,N(AL2814))</f>
        <v/>
      </c>
    </row>
    <row r="2816">
      <c r="A2816" t="inlineStr">
        <is>
          <t>ONS-0939</t>
        </is>
      </c>
      <c r="B2816" t="inlineStr">
        <is>
          <t>Onsite</t>
        </is>
      </c>
      <c r="AB2816" t="n">
        <v>939</v>
      </c>
      <c r="AD2816" s="52">
        <f>IFERROR(N(IFERROR(INDEX($A2816:$AB2816,MATCH("Xero Invoiced Ex GST",$A$1:$AB$1,0)),"")),0)</f>
        <v/>
      </c>
      <c r="AE2816" s="53">
        <f>IFERROR(INDEX($A2816:$AB2816,MATCH("Xero Invoice Date",$A$1:$AB$1,0)),"")</f>
        <v/>
      </c>
      <c r="AF2816" s="54">
        <f>IF(AND(IFERROR(INDEX($A2816:$AB2816,MATCH("Xero Invoice No",$A$1:$AB$1,0)),"")&amp;""&lt;&gt;"",ISNUMBER(AE2816),AD2816&lt;&gt;0),1,0)</f>
        <v/>
      </c>
      <c r="AG2816" s="55">
        <f>IF(AF2816=1,EOMONTH(AE2816,0),"")</f>
        <v/>
      </c>
      <c r="AH2816" s="9">
        <f>IF(AF2816=1,UPPER(TRIM(IFERROR(INDEX($A2816:$AB2816,MATCH("Client",$A$1:$AB$1,0)),"")&amp;"")),"")</f>
        <v/>
      </c>
      <c r="AI2816" s="9">
        <f>IF(AF2816=1,IFERROR(INDEX($A2816:$AB2816,MATCH("Cost Centre",$A$1:$AB$1,0)),"")&amp;"","")</f>
        <v/>
      </c>
      <c r="AJ2816" s="54">
        <f>IF(AND(AF2816=1,AE2816&gt;=set_FYStart,AE2816&lt;=set_AsAt),1,0)</f>
        <v/>
      </c>
      <c r="AK2816" s="54">
        <f>IF(AND(AJ2816=1,AH2816&lt;&gt;"",COUNTIFS($AH$2:AH2816,AH2816,$AJ$2:AJ2816,1)=1),N(AL2815)+1,"")</f>
        <v/>
      </c>
      <c r="AL2816" s="54">
        <f>IF(AK2816&lt;&gt;"",AK2816,N(AL2815))</f>
        <v/>
      </c>
    </row>
    <row r="2817">
      <c r="A2817" t="inlineStr">
        <is>
          <t>PRD-0939</t>
        </is>
      </c>
      <c r="B2817" t="inlineStr">
        <is>
          <t>Production</t>
        </is>
      </c>
      <c r="AB2817" t="n">
        <v>939</v>
      </c>
      <c r="AD2817" s="52">
        <f>IFERROR(N(IFERROR(INDEX($A2817:$AB2817,MATCH("Xero Invoiced Ex GST",$A$1:$AB$1,0)),"")),0)</f>
        <v/>
      </c>
      <c r="AE2817" s="53">
        <f>IFERROR(INDEX($A2817:$AB2817,MATCH("Xero Invoice Date",$A$1:$AB$1,0)),"")</f>
        <v/>
      </c>
      <c r="AF2817" s="54">
        <f>IF(AND(IFERROR(INDEX($A2817:$AB2817,MATCH("Xero Invoice No",$A$1:$AB$1,0)),"")&amp;""&lt;&gt;"",ISNUMBER(AE2817),AD2817&lt;&gt;0),1,0)</f>
        <v/>
      </c>
      <c r="AG2817" s="55">
        <f>IF(AF2817=1,EOMONTH(AE2817,0),"")</f>
        <v/>
      </c>
      <c r="AH2817" s="9">
        <f>IF(AF2817=1,UPPER(TRIM(IFERROR(INDEX($A2817:$AB2817,MATCH("Client",$A$1:$AB$1,0)),"")&amp;"")),"")</f>
        <v/>
      </c>
      <c r="AI2817" s="9">
        <f>IF(AF2817=1,IFERROR(INDEX($A2817:$AB2817,MATCH("Cost Centre",$A$1:$AB$1,0)),"")&amp;"","")</f>
        <v/>
      </c>
      <c r="AJ2817" s="54">
        <f>IF(AND(AF2817=1,AE2817&gt;=set_FYStart,AE2817&lt;=set_AsAt),1,0)</f>
        <v/>
      </c>
      <c r="AK2817" s="54">
        <f>IF(AND(AJ2817=1,AH2817&lt;&gt;"",COUNTIFS($AH$2:AH2817,AH2817,$AJ$2:AJ2817,1)=1),N(AL2816)+1,"")</f>
        <v/>
      </c>
      <c r="AL2817" s="54">
        <f>IF(AK2817&lt;&gt;"",AK2817,N(AL2816))</f>
        <v/>
      </c>
    </row>
    <row r="2818">
      <c r="A2818" t="inlineStr">
        <is>
          <t>CON-0939</t>
        </is>
      </c>
      <c r="B2818" t="inlineStr">
        <is>
          <t>Consulting</t>
        </is>
      </c>
      <c r="AB2818" t="n">
        <v>939</v>
      </c>
      <c r="AD2818" s="52">
        <f>IFERROR(N(IFERROR(INDEX($A2818:$AB2818,MATCH("Xero Invoiced Ex GST",$A$1:$AB$1,0)),"")),0)</f>
        <v/>
      </c>
      <c r="AE2818" s="53">
        <f>IFERROR(INDEX($A2818:$AB2818,MATCH("Xero Invoice Date",$A$1:$AB$1,0)),"")</f>
        <v/>
      </c>
      <c r="AF2818" s="54">
        <f>IF(AND(IFERROR(INDEX($A2818:$AB2818,MATCH("Xero Invoice No",$A$1:$AB$1,0)),"")&amp;""&lt;&gt;"",ISNUMBER(AE2818),AD2818&lt;&gt;0),1,0)</f>
        <v/>
      </c>
      <c r="AG2818" s="55">
        <f>IF(AF2818=1,EOMONTH(AE2818,0),"")</f>
        <v/>
      </c>
      <c r="AH2818" s="9">
        <f>IF(AF2818=1,UPPER(TRIM(IFERROR(INDEX($A2818:$AB2818,MATCH("Client",$A$1:$AB$1,0)),"")&amp;"")),"")</f>
        <v/>
      </c>
      <c r="AI2818" s="9">
        <f>IF(AF2818=1,IFERROR(INDEX($A2818:$AB2818,MATCH("Cost Centre",$A$1:$AB$1,0)),"")&amp;"","")</f>
        <v/>
      </c>
      <c r="AJ2818" s="54">
        <f>IF(AND(AF2818=1,AE2818&gt;=set_FYStart,AE2818&lt;=set_AsAt),1,0)</f>
        <v/>
      </c>
      <c r="AK2818" s="54">
        <f>IF(AND(AJ2818=1,AH2818&lt;&gt;"",COUNTIFS($AH$2:AH2818,AH2818,$AJ$2:AJ2818,1)=1),N(AL2817)+1,"")</f>
        <v/>
      </c>
      <c r="AL2818" s="54">
        <f>IF(AK2818&lt;&gt;"",AK2818,N(AL2817))</f>
        <v/>
      </c>
    </row>
    <row r="2819">
      <c r="A2819" t="inlineStr">
        <is>
          <t>ONS-0940</t>
        </is>
      </c>
      <c r="B2819" t="inlineStr">
        <is>
          <t>Onsite</t>
        </is>
      </c>
      <c r="AB2819" t="n">
        <v>940</v>
      </c>
      <c r="AD2819" s="52">
        <f>IFERROR(N(IFERROR(INDEX($A2819:$AB2819,MATCH("Xero Invoiced Ex GST",$A$1:$AB$1,0)),"")),0)</f>
        <v/>
      </c>
      <c r="AE2819" s="53">
        <f>IFERROR(INDEX($A2819:$AB2819,MATCH("Xero Invoice Date",$A$1:$AB$1,0)),"")</f>
        <v/>
      </c>
      <c r="AF2819" s="54">
        <f>IF(AND(IFERROR(INDEX($A2819:$AB2819,MATCH("Xero Invoice No",$A$1:$AB$1,0)),"")&amp;""&lt;&gt;"",ISNUMBER(AE2819),AD2819&lt;&gt;0),1,0)</f>
        <v/>
      </c>
      <c r="AG2819" s="55">
        <f>IF(AF2819=1,EOMONTH(AE2819,0),"")</f>
        <v/>
      </c>
      <c r="AH2819" s="9">
        <f>IF(AF2819=1,UPPER(TRIM(IFERROR(INDEX($A2819:$AB2819,MATCH("Client",$A$1:$AB$1,0)),"")&amp;"")),"")</f>
        <v/>
      </c>
      <c r="AI2819" s="9">
        <f>IF(AF2819=1,IFERROR(INDEX($A2819:$AB2819,MATCH("Cost Centre",$A$1:$AB$1,0)),"")&amp;"","")</f>
        <v/>
      </c>
      <c r="AJ2819" s="54">
        <f>IF(AND(AF2819=1,AE2819&gt;=set_FYStart,AE2819&lt;=set_AsAt),1,0)</f>
        <v/>
      </c>
      <c r="AK2819" s="54">
        <f>IF(AND(AJ2819=1,AH2819&lt;&gt;"",COUNTIFS($AH$2:AH2819,AH2819,$AJ$2:AJ2819,1)=1),N(AL2818)+1,"")</f>
        <v/>
      </c>
      <c r="AL2819" s="54">
        <f>IF(AK2819&lt;&gt;"",AK2819,N(AL2818))</f>
        <v/>
      </c>
    </row>
    <row r="2820">
      <c r="A2820" t="inlineStr">
        <is>
          <t>PRD-0940</t>
        </is>
      </c>
      <c r="B2820" t="inlineStr">
        <is>
          <t>Production</t>
        </is>
      </c>
      <c r="AB2820" t="n">
        <v>940</v>
      </c>
      <c r="AD2820" s="52">
        <f>IFERROR(N(IFERROR(INDEX($A2820:$AB2820,MATCH("Xero Invoiced Ex GST",$A$1:$AB$1,0)),"")),0)</f>
        <v/>
      </c>
      <c r="AE2820" s="53">
        <f>IFERROR(INDEX($A2820:$AB2820,MATCH("Xero Invoice Date",$A$1:$AB$1,0)),"")</f>
        <v/>
      </c>
      <c r="AF2820" s="54">
        <f>IF(AND(IFERROR(INDEX($A2820:$AB2820,MATCH("Xero Invoice No",$A$1:$AB$1,0)),"")&amp;""&lt;&gt;"",ISNUMBER(AE2820),AD2820&lt;&gt;0),1,0)</f>
        <v/>
      </c>
      <c r="AG2820" s="55">
        <f>IF(AF2820=1,EOMONTH(AE2820,0),"")</f>
        <v/>
      </c>
      <c r="AH2820" s="9">
        <f>IF(AF2820=1,UPPER(TRIM(IFERROR(INDEX($A2820:$AB2820,MATCH("Client",$A$1:$AB$1,0)),"")&amp;"")),"")</f>
        <v/>
      </c>
      <c r="AI2820" s="9">
        <f>IF(AF2820=1,IFERROR(INDEX($A2820:$AB2820,MATCH("Cost Centre",$A$1:$AB$1,0)),"")&amp;"","")</f>
        <v/>
      </c>
      <c r="AJ2820" s="54">
        <f>IF(AND(AF2820=1,AE2820&gt;=set_FYStart,AE2820&lt;=set_AsAt),1,0)</f>
        <v/>
      </c>
      <c r="AK2820" s="54">
        <f>IF(AND(AJ2820=1,AH2820&lt;&gt;"",COUNTIFS($AH$2:AH2820,AH2820,$AJ$2:AJ2820,1)=1),N(AL2819)+1,"")</f>
        <v/>
      </c>
      <c r="AL2820" s="54">
        <f>IF(AK2820&lt;&gt;"",AK2820,N(AL2819))</f>
        <v/>
      </c>
    </row>
    <row r="2821">
      <c r="A2821" t="inlineStr">
        <is>
          <t>CON-0940</t>
        </is>
      </c>
      <c r="B2821" t="inlineStr">
        <is>
          <t>Consulting</t>
        </is>
      </c>
      <c r="AB2821" t="n">
        <v>940</v>
      </c>
      <c r="AD2821" s="52">
        <f>IFERROR(N(IFERROR(INDEX($A2821:$AB2821,MATCH("Xero Invoiced Ex GST",$A$1:$AB$1,0)),"")),0)</f>
        <v/>
      </c>
      <c r="AE2821" s="53">
        <f>IFERROR(INDEX($A2821:$AB2821,MATCH("Xero Invoice Date",$A$1:$AB$1,0)),"")</f>
        <v/>
      </c>
      <c r="AF2821" s="54">
        <f>IF(AND(IFERROR(INDEX($A2821:$AB2821,MATCH("Xero Invoice No",$A$1:$AB$1,0)),"")&amp;""&lt;&gt;"",ISNUMBER(AE2821),AD2821&lt;&gt;0),1,0)</f>
        <v/>
      </c>
      <c r="AG2821" s="55">
        <f>IF(AF2821=1,EOMONTH(AE2821,0),"")</f>
        <v/>
      </c>
      <c r="AH2821" s="9">
        <f>IF(AF2821=1,UPPER(TRIM(IFERROR(INDEX($A2821:$AB2821,MATCH("Client",$A$1:$AB$1,0)),"")&amp;"")),"")</f>
        <v/>
      </c>
      <c r="AI2821" s="9">
        <f>IF(AF2821=1,IFERROR(INDEX($A2821:$AB2821,MATCH("Cost Centre",$A$1:$AB$1,0)),"")&amp;"","")</f>
        <v/>
      </c>
      <c r="AJ2821" s="54">
        <f>IF(AND(AF2821=1,AE2821&gt;=set_FYStart,AE2821&lt;=set_AsAt),1,0)</f>
        <v/>
      </c>
      <c r="AK2821" s="54">
        <f>IF(AND(AJ2821=1,AH2821&lt;&gt;"",COUNTIFS($AH$2:AH2821,AH2821,$AJ$2:AJ2821,1)=1),N(AL2820)+1,"")</f>
        <v/>
      </c>
      <c r="AL2821" s="54">
        <f>IF(AK2821&lt;&gt;"",AK2821,N(AL2820))</f>
        <v/>
      </c>
    </row>
    <row r="2822">
      <c r="A2822" t="inlineStr">
        <is>
          <t>ONS-0941</t>
        </is>
      </c>
      <c r="B2822" t="inlineStr">
        <is>
          <t>Onsite</t>
        </is>
      </c>
      <c r="AB2822" t="n">
        <v>941</v>
      </c>
      <c r="AD2822" s="52">
        <f>IFERROR(N(IFERROR(INDEX($A2822:$AB2822,MATCH("Xero Invoiced Ex GST",$A$1:$AB$1,0)),"")),0)</f>
        <v/>
      </c>
      <c r="AE2822" s="53">
        <f>IFERROR(INDEX($A2822:$AB2822,MATCH("Xero Invoice Date",$A$1:$AB$1,0)),"")</f>
        <v/>
      </c>
      <c r="AF2822" s="54">
        <f>IF(AND(IFERROR(INDEX($A2822:$AB2822,MATCH("Xero Invoice No",$A$1:$AB$1,0)),"")&amp;""&lt;&gt;"",ISNUMBER(AE2822),AD2822&lt;&gt;0),1,0)</f>
        <v/>
      </c>
      <c r="AG2822" s="55">
        <f>IF(AF2822=1,EOMONTH(AE2822,0),"")</f>
        <v/>
      </c>
      <c r="AH2822" s="9">
        <f>IF(AF2822=1,UPPER(TRIM(IFERROR(INDEX($A2822:$AB2822,MATCH("Client",$A$1:$AB$1,0)),"")&amp;"")),"")</f>
        <v/>
      </c>
      <c r="AI2822" s="9">
        <f>IF(AF2822=1,IFERROR(INDEX($A2822:$AB2822,MATCH("Cost Centre",$A$1:$AB$1,0)),"")&amp;"","")</f>
        <v/>
      </c>
      <c r="AJ2822" s="54">
        <f>IF(AND(AF2822=1,AE2822&gt;=set_FYStart,AE2822&lt;=set_AsAt),1,0)</f>
        <v/>
      </c>
      <c r="AK2822" s="54">
        <f>IF(AND(AJ2822=1,AH2822&lt;&gt;"",COUNTIFS($AH$2:AH2822,AH2822,$AJ$2:AJ2822,1)=1),N(AL2821)+1,"")</f>
        <v/>
      </c>
      <c r="AL2822" s="54">
        <f>IF(AK2822&lt;&gt;"",AK2822,N(AL2821))</f>
        <v/>
      </c>
    </row>
    <row r="2823">
      <c r="A2823" t="inlineStr">
        <is>
          <t>PRD-0941</t>
        </is>
      </c>
      <c r="B2823" t="inlineStr">
        <is>
          <t>Production</t>
        </is>
      </c>
      <c r="AB2823" t="n">
        <v>941</v>
      </c>
      <c r="AD2823" s="52">
        <f>IFERROR(N(IFERROR(INDEX($A2823:$AB2823,MATCH("Xero Invoiced Ex GST",$A$1:$AB$1,0)),"")),0)</f>
        <v/>
      </c>
      <c r="AE2823" s="53">
        <f>IFERROR(INDEX($A2823:$AB2823,MATCH("Xero Invoice Date",$A$1:$AB$1,0)),"")</f>
        <v/>
      </c>
      <c r="AF2823" s="54">
        <f>IF(AND(IFERROR(INDEX($A2823:$AB2823,MATCH("Xero Invoice No",$A$1:$AB$1,0)),"")&amp;""&lt;&gt;"",ISNUMBER(AE2823),AD2823&lt;&gt;0),1,0)</f>
        <v/>
      </c>
      <c r="AG2823" s="55">
        <f>IF(AF2823=1,EOMONTH(AE2823,0),"")</f>
        <v/>
      </c>
      <c r="AH2823" s="9">
        <f>IF(AF2823=1,UPPER(TRIM(IFERROR(INDEX($A2823:$AB2823,MATCH("Client",$A$1:$AB$1,0)),"")&amp;"")),"")</f>
        <v/>
      </c>
      <c r="AI2823" s="9">
        <f>IF(AF2823=1,IFERROR(INDEX($A2823:$AB2823,MATCH("Cost Centre",$A$1:$AB$1,0)),"")&amp;"","")</f>
        <v/>
      </c>
      <c r="AJ2823" s="54">
        <f>IF(AND(AF2823=1,AE2823&gt;=set_FYStart,AE2823&lt;=set_AsAt),1,0)</f>
        <v/>
      </c>
      <c r="AK2823" s="54">
        <f>IF(AND(AJ2823=1,AH2823&lt;&gt;"",COUNTIFS($AH$2:AH2823,AH2823,$AJ$2:AJ2823,1)=1),N(AL2822)+1,"")</f>
        <v/>
      </c>
      <c r="AL2823" s="54">
        <f>IF(AK2823&lt;&gt;"",AK2823,N(AL2822))</f>
        <v/>
      </c>
    </row>
    <row r="2824">
      <c r="A2824" t="inlineStr">
        <is>
          <t>CON-0941</t>
        </is>
      </c>
      <c r="B2824" t="inlineStr">
        <is>
          <t>Consulting</t>
        </is>
      </c>
      <c r="AB2824" t="n">
        <v>941</v>
      </c>
      <c r="AD2824" s="52">
        <f>IFERROR(N(IFERROR(INDEX($A2824:$AB2824,MATCH("Xero Invoiced Ex GST",$A$1:$AB$1,0)),"")),0)</f>
        <v/>
      </c>
      <c r="AE2824" s="53">
        <f>IFERROR(INDEX($A2824:$AB2824,MATCH("Xero Invoice Date",$A$1:$AB$1,0)),"")</f>
        <v/>
      </c>
      <c r="AF2824" s="54">
        <f>IF(AND(IFERROR(INDEX($A2824:$AB2824,MATCH("Xero Invoice No",$A$1:$AB$1,0)),"")&amp;""&lt;&gt;"",ISNUMBER(AE2824),AD2824&lt;&gt;0),1,0)</f>
        <v/>
      </c>
      <c r="AG2824" s="55">
        <f>IF(AF2824=1,EOMONTH(AE2824,0),"")</f>
        <v/>
      </c>
      <c r="AH2824" s="9">
        <f>IF(AF2824=1,UPPER(TRIM(IFERROR(INDEX($A2824:$AB2824,MATCH("Client",$A$1:$AB$1,0)),"")&amp;"")),"")</f>
        <v/>
      </c>
      <c r="AI2824" s="9">
        <f>IF(AF2824=1,IFERROR(INDEX($A2824:$AB2824,MATCH("Cost Centre",$A$1:$AB$1,0)),"")&amp;"","")</f>
        <v/>
      </c>
      <c r="AJ2824" s="54">
        <f>IF(AND(AF2824=1,AE2824&gt;=set_FYStart,AE2824&lt;=set_AsAt),1,0)</f>
        <v/>
      </c>
      <c r="AK2824" s="54">
        <f>IF(AND(AJ2824=1,AH2824&lt;&gt;"",COUNTIFS($AH$2:AH2824,AH2824,$AJ$2:AJ2824,1)=1),N(AL2823)+1,"")</f>
        <v/>
      </c>
      <c r="AL2824" s="54">
        <f>IF(AK2824&lt;&gt;"",AK2824,N(AL2823))</f>
        <v/>
      </c>
    </row>
    <row r="2825">
      <c r="A2825" t="inlineStr">
        <is>
          <t>ONS-0942</t>
        </is>
      </c>
      <c r="B2825" t="inlineStr">
        <is>
          <t>Onsite</t>
        </is>
      </c>
      <c r="AB2825" t="n">
        <v>942</v>
      </c>
      <c r="AD2825" s="52">
        <f>IFERROR(N(IFERROR(INDEX($A2825:$AB2825,MATCH("Xero Invoiced Ex GST",$A$1:$AB$1,0)),"")),0)</f>
        <v/>
      </c>
      <c r="AE2825" s="53">
        <f>IFERROR(INDEX($A2825:$AB2825,MATCH("Xero Invoice Date",$A$1:$AB$1,0)),"")</f>
        <v/>
      </c>
      <c r="AF2825" s="54">
        <f>IF(AND(IFERROR(INDEX($A2825:$AB2825,MATCH("Xero Invoice No",$A$1:$AB$1,0)),"")&amp;""&lt;&gt;"",ISNUMBER(AE2825),AD2825&lt;&gt;0),1,0)</f>
        <v/>
      </c>
      <c r="AG2825" s="55">
        <f>IF(AF2825=1,EOMONTH(AE2825,0),"")</f>
        <v/>
      </c>
      <c r="AH2825" s="9">
        <f>IF(AF2825=1,UPPER(TRIM(IFERROR(INDEX($A2825:$AB2825,MATCH("Client",$A$1:$AB$1,0)),"")&amp;"")),"")</f>
        <v/>
      </c>
      <c r="AI2825" s="9">
        <f>IF(AF2825=1,IFERROR(INDEX($A2825:$AB2825,MATCH("Cost Centre",$A$1:$AB$1,0)),"")&amp;"","")</f>
        <v/>
      </c>
      <c r="AJ2825" s="54">
        <f>IF(AND(AF2825=1,AE2825&gt;=set_FYStart,AE2825&lt;=set_AsAt),1,0)</f>
        <v/>
      </c>
      <c r="AK2825" s="54">
        <f>IF(AND(AJ2825=1,AH2825&lt;&gt;"",COUNTIFS($AH$2:AH2825,AH2825,$AJ$2:AJ2825,1)=1),N(AL2824)+1,"")</f>
        <v/>
      </c>
      <c r="AL2825" s="54">
        <f>IF(AK2825&lt;&gt;"",AK2825,N(AL2824))</f>
        <v/>
      </c>
    </row>
    <row r="2826">
      <c r="A2826" t="inlineStr">
        <is>
          <t>PRD-0942</t>
        </is>
      </c>
      <c r="B2826" t="inlineStr">
        <is>
          <t>Production</t>
        </is>
      </c>
      <c r="AB2826" t="n">
        <v>942</v>
      </c>
      <c r="AD2826" s="52">
        <f>IFERROR(N(IFERROR(INDEX($A2826:$AB2826,MATCH("Xero Invoiced Ex GST",$A$1:$AB$1,0)),"")),0)</f>
        <v/>
      </c>
      <c r="AE2826" s="53">
        <f>IFERROR(INDEX($A2826:$AB2826,MATCH("Xero Invoice Date",$A$1:$AB$1,0)),"")</f>
        <v/>
      </c>
      <c r="AF2826" s="54">
        <f>IF(AND(IFERROR(INDEX($A2826:$AB2826,MATCH("Xero Invoice No",$A$1:$AB$1,0)),"")&amp;""&lt;&gt;"",ISNUMBER(AE2826),AD2826&lt;&gt;0),1,0)</f>
        <v/>
      </c>
      <c r="AG2826" s="55">
        <f>IF(AF2826=1,EOMONTH(AE2826,0),"")</f>
        <v/>
      </c>
      <c r="AH2826" s="9">
        <f>IF(AF2826=1,UPPER(TRIM(IFERROR(INDEX($A2826:$AB2826,MATCH("Client",$A$1:$AB$1,0)),"")&amp;"")),"")</f>
        <v/>
      </c>
      <c r="AI2826" s="9">
        <f>IF(AF2826=1,IFERROR(INDEX($A2826:$AB2826,MATCH("Cost Centre",$A$1:$AB$1,0)),"")&amp;"","")</f>
        <v/>
      </c>
      <c r="AJ2826" s="54">
        <f>IF(AND(AF2826=1,AE2826&gt;=set_FYStart,AE2826&lt;=set_AsAt),1,0)</f>
        <v/>
      </c>
      <c r="AK2826" s="54">
        <f>IF(AND(AJ2826=1,AH2826&lt;&gt;"",COUNTIFS($AH$2:AH2826,AH2826,$AJ$2:AJ2826,1)=1),N(AL2825)+1,"")</f>
        <v/>
      </c>
      <c r="AL2826" s="54">
        <f>IF(AK2826&lt;&gt;"",AK2826,N(AL2825))</f>
        <v/>
      </c>
    </row>
    <row r="2827">
      <c r="A2827" t="inlineStr">
        <is>
          <t>CON-0942</t>
        </is>
      </c>
      <c r="B2827" t="inlineStr">
        <is>
          <t>Consulting</t>
        </is>
      </c>
      <c r="AB2827" t="n">
        <v>942</v>
      </c>
      <c r="AD2827" s="52">
        <f>IFERROR(N(IFERROR(INDEX($A2827:$AB2827,MATCH("Xero Invoiced Ex GST",$A$1:$AB$1,0)),"")),0)</f>
        <v/>
      </c>
      <c r="AE2827" s="53">
        <f>IFERROR(INDEX($A2827:$AB2827,MATCH("Xero Invoice Date",$A$1:$AB$1,0)),"")</f>
        <v/>
      </c>
      <c r="AF2827" s="54">
        <f>IF(AND(IFERROR(INDEX($A2827:$AB2827,MATCH("Xero Invoice No",$A$1:$AB$1,0)),"")&amp;""&lt;&gt;"",ISNUMBER(AE2827),AD2827&lt;&gt;0),1,0)</f>
        <v/>
      </c>
      <c r="AG2827" s="55">
        <f>IF(AF2827=1,EOMONTH(AE2827,0),"")</f>
        <v/>
      </c>
      <c r="AH2827" s="9">
        <f>IF(AF2827=1,UPPER(TRIM(IFERROR(INDEX($A2827:$AB2827,MATCH("Client",$A$1:$AB$1,0)),"")&amp;"")),"")</f>
        <v/>
      </c>
      <c r="AI2827" s="9">
        <f>IF(AF2827=1,IFERROR(INDEX($A2827:$AB2827,MATCH("Cost Centre",$A$1:$AB$1,0)),"")&amp;"","")</f>
        <v/>
      </c>
      <c r="AJ2827" s="54">
        <f>IF(AND(AF2827=1,AE2827&gt;=set_FYStart,AE2827&lt;=set_AsAt),1,0)</f>
        <v/>
      </c>
      <c r="AK2827" s="54">
        <f>IF(AND(AJ2827=1,AH2827&lt;&gt;"",COUNTIFS($AH$2:AH2827,AH2827,$AJ$2:AJ2827,1)=1),N(AL2826)+1,"")</f>
        <v/>
      </c>
      <c r="AL2827" s="54">
        <f>IF(AK2827&lt;&gt;"",AK2827,N(AL2826))</f>
        <v/>
      </c>
    </row>
    <row r="2828">
      <c r="A2828" t="inlineStr">
        <is>
          <t>ONS-0943</t>
        </is>
      </c>
      <c r="B2828" t="inlineStr">
        <is>
          <t>Onsite</t>
        </is>
      </c>
      <c r="AB2828" t="n">
        <v>943</v>
      </c>
      <c r="AD2828" s="52">
        <f>IFERROR(N(IFERROR(INDEX($A2828:$AB2828,MATCH("Xero Invoiced Ex GST",$A$1:$AB$1,0)),"")),0)</f>
        <v/>
      </c>
      <c r="AE2828" s="53">
        <f>IFERROR(INDEX($A2828:$AB2828,MATCH("Xero Invoice Date",$A$1:$AB$1,0)),"")</f>
        <v/>
      </c>
      <c r="AF2828" s="54">
        <f>IF(AND(IFERROR(INDEX($A2828:$AB2828,MATCH("Xero Invoice No",$A$1:$AB$1,0)),"")&amp;""&lt;&gt;"",ISNUMBER(AE2828),AD2828&lt;&gt;0),1,0)</f>
        <v/>
      </c>
      <c r="AG2828" s="55">
        <f>IF(AF2828=1,EOMONTH(AE2828,0),"")</f>
        <v/>
      </c>
      <c r="AH2828" s="9">
        <f>IF(AF2828=1,UPPER(TRIM(IFERROR(INDEX($A2828:$AB2828,MATCH("Client",$A$1:$AB$1,0)),"")&amp;"")),"")</f>
        <v/>
      </c>
      <c r="AI2828" s="9">
        <f>IF(AF2828=1,IFERROR(INDEX($A2828:$AB2828,MATCH("Cost Centre",$A$1:$AB$1,0)),"")&amp;"","")</f>
        <v/>
      </c>
      <c r="AJ2828" s="54">
        <f>IF(AND(AF2828=1,AE2828&gt;=set_FYStart,AE2828&lt;=set_AsAt),1,0)</f>
        <v/>
      </c>
      <c r="AK2828" s="54">
        <f>IF(AND(AJ2828=1,AH2828&lt;&gt;"",COUNTIFS($AH$2:AH2828,AH2828,$AJ$2:AJ2828,1)=1),N(AL2827)+1,"")</f>
        <v/>
      </c>
      <c r="AL2828" s="54">
        <f>IF(AK2828&lt;&gt;"",AK2828,N(AL2827))</f>
        <v/>
      </c>
    </row>
    <row r="2829">
      <c r="A2829" t="inlineStr">
        <is>
          <t>PRD-0943</t>
        </is>
      </c>
      <c r="B2829" t="inlineStr">
        <is>
          <t>Production</t>
        </is>
      </c>
      <c r="AB2829" t="n">
        <v>943</v>
      </c>
      <c r="AD2829" s="52">
        <f>IFERROR(N(IFERROR(INDEX($A2829:$AB2829,MATCH("Xero Invoiced Ex GST",$A$1:$AB$1,0)),"")),0)</f>
        <v/>
      </c>
      <c r="AE2829" s="53">
        <f>IFERROR(INDEX($A2829:$AB2829,MATCH("Xero Invoice Date",$A$1:$AB$1,0)),"")</f>
        <v/>
      </c>
      <c r="AF2829" s="54">
        <f>IF(AND(IFERROR(INDEX($A2829:$AB2829,MATCH("Xero Invoice No",$A$1:$AB$1,0)),"")&amp;""&lt;&gt;"",ISNUMBER(AE2829),AD2829&lt;&gt;0),1,0)</f>
        <v/>
      </c>
      <c r="AG2829" s="55">
        <f>IF(AF2829=1,EOMONTH(AE2829,0),"")</f>
        <v/>
      </c>
      <c r="AH2829" s="9">
        <f>IF(AF2829=1,UPPER(TRIM(IFERROR(INDEX($A2829:$AB2829,MATCH("Client",$A$1:$AB$1,0)),"")&amp;"")),"")</f>
        <v/>
      </c>
      <c r="AI2829" s="9">
        <f>IF(AF2829=1,IFERROR(INDEX($A2829:$AB2829,MATCH("Cost Centre",$A$1:$AB$1,0)),"")&amp;"","")</f>
        <v/>
      </c>
      <c r="AJ2829" s="54">
        <f>IF(AND(AF2829=1,AE2829&gt;=set_FYStart,AE2829&lt;=set_AsAt),1,0)</f>
        <v/>
      </c>
      <c r="AK2829" s="54">
        <f>IF(AND(AJ2829=1,AH2829&lt;&gt;"",COUNTIFS($AH$2:AH2829,AH2829,$AJ$2:AJ2829,1)=1),N(AL2828)+1,"")</f>
        <v/>
      </c>
      <c r="AL2829" s="54">
        <f>IF(AK2829&lt;&gt;"",AK2829,N(AL2828))</f>
        <v/>
      </c>
    </row>
    <row r="2830">
      <c r="A2830" t="inlineStr">
        <is>
          <t>CON-0943</t>
        </is>
      </c>
      <c r="B2830" t="inlineStr">
        <is>
          <t>Consulting</t>
        </is>
      </c>
      <c r="AB2830" t="n">
        <v>943</v>
      </c>
      <c r="AD2830" s="52">
        <f>IFERROR(N(IFERROR(INDEX($A2830:$AB2830,MATCH("Xero Invoiced Ex GST",$A$1:$AB$1,0)),"")),0)</f>
        <v/>
      </c>
      <c r="AE2830" s="53">
        <f>IFERROR(INDEX($A2830:$AB2830,MATCH("Xero Invoice Date",$A$1:$AB$1,0)),"")</f>
        <v/>
      </c>
      <c r="AF2830" s="54">
        <f>IF(AND(IFERROR(INDEX($A2830:$AB2830,MATCH("Xero Invoice No",$A$1:$AB$1,0)),"")&amp;""&lt;&gt;"",ISNUMBER(AE2830),AD2830&lt;&gt;0),1,0)</f>
        <v/>
      </c>
      <c r="AG2830" s="55">
        <f>IF(AF2830=1,EOMONTH(AE2830,0),"")</f>
        <v/>
      </c>
      <c r="AH2830" s="9">
        <f>IF(AF2830=1,UPPER(TRIM(IFERROR(INDEX($A2830:$AB2830,MATCH("Client",$A$1:$AB$1,0)),"")&amp;"")),"")</f>
        <v/>
      </c>
      <c r="AI2830" s="9">
        <f>IF(AF2830=1,IFERROR(INDEX($A2830:$AB2830,MATCH("Cost Centre",$A$1:$AB$1,0)),"")&amp;"","")</f>
        <v/>
      </c>
      <c r="AJ2830" s="54">
        <f>IF(AND(AF2830=1,AE2830&gt;=set_FYStart,AE2830&lt;=set_AsAt),1,0)</f>
        <v/>
      </c>
      <c r="AK2830" s="54">
        <f>IF(AND(AJ2830=1,AH2830&lt;&gt;"",COUNTIFS($AH$2:AH2830,AH2830,$AJ$2:AJ2830,1)=1),N(AL2829)+1,"")</f>
        <v/>
      </c>
      <c r="AL2830" s="54">
        <f>IF(AK2830&lt;&gt;"",AK2830,N(AL2829))</f>
        <v/>
      </c>
    </row>
    <row r="2831">
      <c r="A2831" t="inlineStr">
        <is>
          <t>ONS-0944</t>
        </is>
      </c>
      <c r="B2831" t="inlineStr">
        <is>
          <t>Onsite</t>
        </is>
      </c>
      <c r="AB2831" t="n">
        <v>944</v>
      </c>
      <c r="AD2831" s="52">
        <f>IFERROR(N(IFERROR(INDEX($A2831:$AB2831,MATCH("Xero Invoiced Ex GST",$A$1:$AB$1,0)),"")),0)</f>
        <v/>
      </c>
      <c r="AE2831" s="53">
        <f>IFERROR(INDEX($A2831:$AB2831,MATCH("Xero Invoice Date",$A$1:$AB$1,0)),"")</f>
        <v/>
      </c>
      <c r="AF2831" s="54">
        <f>IF(AND(IFERROR(INDEX($A2831:$AB2831,MATCH("Xero Invoice No",$A$1:$AB$1,0)),"")&amp;""&lt;&gt;"",ISNUMBER(AE2831),AD2831&lt;&gt;0),1,0)</f>
        <v/>
      </c>
      <c r="AG2831" s="55">
        <f>IF(AF2831=1,EOMONTH(AE2831,0),"")</f>
        <v/>
      </c>
      <c r="AH2831" s="9">
        <f>IF(AF2831=1,UPPER(TRIM(IFERROR(INDEX($A2831:$AB2831,MATCH("Client",$A$1:$AB$1,0)),"")&amp;"")),"")</f>
        <v/>
      </c>
      <c r="AI2831" s="9">
        <f>IF(AF2831=1,IFERROR(INDEX($A2831:$AB2831,MATCH("Cost Centre",$A$1:$AB$1,0)),"")&amp;"","")</f>
        <v/>
      </c>
      <c r="AJ2831" s="54">
        <f>IF(AND(AF2831=1,AE2831&gt;=set_FYStart,AE2831&lt;=set_AsAt),1,0)</f>
        <v/>
      </c>
      <c r="AK2831" s="54">
        <f>IF(AND(AJ2831=1,AH2831&lt;&gt;"",COUNTIFS($AH$2:AH2831,AH2831,$AJ$2:AJ2831,1)=1),N(AL2830)+1,"")</f>
        <v/>
      </c>
      <c r="AL2831" s="54">
        <f>IF(AK2831&lt;&gt;"",AK2831,N(AL2830))</f>
        <v/>
      </c>
    </row>
    <row r="2832">
      <c r="A2832" t="inlineStr">
        <is>
          <t>PRD-0944</t>
        </is>
      </c>
      <c r="B2832" t="inlineStr">
        <is>
          <t>Production</t>
        </is>
      </c>
      <c r="AB2832" t="n">
        <v>944</v>
      </c>
      <c r="AD2832" s="52">
        <f>IFERROR(N(IFERROR(INDEX($A2832:$AB2832,MATCH("Xero Invoiced Ex GST",$A$1:$AB$1,0)),"")),0)</f>
        <v/>
      </c>
      <c r="AE2832" s="53">
        <f>IFERROR(INDEX($A2832:$AB2832,MATCH("Xero Invoice Date",$A$1:$AB$1,0)),"")</f>
        <v/>
      </c>
      <c r="AF2832" s="54">
        <f>IF(AND(IFERROR(INDEX($A2832:$AB2832,MATCH("Xero Invoice No",$A$1:$AB$1,0)),"")&amp;""&lt;&gt;"",ISNUMBER(AE2832),AD2832&lt;&gt;0),1,0)</f>
        <v/>
      </c>
      <c r="AG2832" s="55">
        <f>IF(AF2832=1,EOMONTH(AE2832,0),"")</f>
        <v/>
      </c>
      <c r="AH2832" s="9">
        <f>IF(AF2832=1,UPPER(TRIM(IFERROR(INDEX($A2832:$AB2832,MATCH("Client",$A$1:$AB$1,0)),"")&amp;"")),"")</f>
        <v/>
      </c>
      <c r="AI2832" s="9">
        <f>IF(AF2832=1,IFERROR(INDEX($A2832:$AB2832,MATCH("Cost Centre",$A$1:$AB$1,0)),"")&amp;"","")</f>
        <v/>
      </c>
      <c r="AJ2832" s="54">
        <f>IF(AND(AF2832=1,AE2832&gt;=set_FYStart,AE2832&lt;=set_AsAt),1,0)</f>
        <v/>
      </c>
      <c r="AK2832" s="54">
        <f>IF(AND(AJ2832=1,AH2832&lt;&gt;"",COUNTIFS($AH$2:AH2832,AH2832,$AJ$2:AJ2832,1)=1),N(AL2831)+1,"")</f>
        <v/>
      </c>
      <c r="AL2832" s="54">
        <f>IF(AK2832&lt;&gt;"",AK2832,N(AL2831))</f>
        <v/>
      </c>
    </row>
    <row r="2833">
      <c r="A2833" t="inlineStr">
        <is>
          <t>CON-0944</t>
        </is>
      </c>
      <c r="B2833" t="inlineStr">
        <is>
          <t>Consulting</t>
        </is>
      </c>
      <c r="AB2833" t="n">
        <v>944</v>
      </c>
      <c r="AD2833" s="52">
        <f>IFERROR(N(IFERROR(INDEX($A2833:$AB2833,MATCH("Xero Invoiced Ex GST",$A$1:$AB$1,0)),"")),0)</f>
        <v/>
      </c>
      <c r="AE2833" s="53">
        <f>IFERROR(INDEX($A2833:$AB2833,MATCH("Xero Invoice Date",$A$1:$AB$1,0)),"")</f>
        <v/>
      </c>
      <c r="AF2833" s="54">
        <f>IF(AND(IFERROR(INDEX($A2833:$AB2833,MATCH("Xero Invoice No",$A$1:$AB$1,0)),"")&amp;""&lt;&gt;"",ISNUMBER(AE2833),AD2833&lt;&gt;0),1,0)</f>
        <v/>
      </c>
      <c r="AG2833" s="55">
        <f>IF(AF2833=1,EOMONTH(AE2833,0),"")</f>
        <v/>
      </c>
      <c r="AH2833" s="9">
        <f>IF(AF2833=1,UPPER(TRIM(IFERROR(INDEX($A2833:$AB2833,MATCH("Client",$A$1:$AB$1,0)),"")&amp;"")),"")</f>
        <v/>
      </c>
      <c r="AI2833" s="9">
        <f>IF(AF2833=1,IFERROR(INDEX($A2833:$AB2833,MATCH("Cost Centre",$A$1:$AB$1,0)),"")&amp;"","")</f>
        <v/>
      </c>
      <c r="AJ2833" s="54">
        <f>IF(AND(AF2833=1,AE2833&gt;=set_FYStart,AE2833&lt;=set_AsAt),1,0)</f>
        <v/>
      </c>
      <c r="AK2833" s="54">
        <f>IF(AND(AJ2833=1,AH2833&lt;&gt;"",COUNTIFS($AH$2:AH2833,AH2833,$AJ$2:AJ2833,1)=1),N(AL2832)+1,"")</f>
        <v/>
      </c>
      <c r="AL2833" s="54">
        <f>IF(AK2833&lt;&gt;"",AK2833,N(AL2832))</f>
        <v/>
      </c>
    </row>
    <row r="2834">
      <c r="A2834" t="inlineStr">
        <is>
          <t>ONS-0945</t>
        </is>
      </c>
      <c r="B2834" t="inlineStr">
        <is>
          <t>Onsite</t>
        </is>
      </c>
      <c r="AB2834" t="n">
        <v>945</v>
      </c>
      <c r="AD2834" s="52">
        <f>IFERROR(N(IFERROR(INDEX($A2834:$AB2834,MATCH("Xero Invoiced Ex GST",$A$1:$AB$1,0)),"")),0)</f>
        <v/>
      </c>
      <c r="AE2834" s="53">
        <f>IFERROR(INDEX($A2834:$AB2834,MATCH("Xero Invoice Date",$A$1:$AB$1,0)),"")</f>
        <v/>
      </c>
      <c r="AF2834" s="54">
        <f>IF(AND(IFERROR(INDEX($A2834:$AB2834,MATCH("Xero Invoice No",$A$1:$AB$1,0)),"")&amp;""&lt;&gt;"",ISNUMBER(AE2834),AD2834&lt;&gt;0),1,0)</f>
        <v/>
      </c>
      <c r="AG2834" s="55">
        <f>IF(AF2834=1,EOMONTH(AE2834,0),"")</f>
        <v/>
      </c>
      <c r="AH2834" s="9">
        <f>IF(AF2834=1,UPPER(TRIM(IFERROR(INDEX($A2834:$AB2834,MATCH("Client",$A$1:$AB$1,0)),"")&amp;"")),"")</f>
        <v/>
      </c>
      <c r="AI2834" s="9">
        <f>IF(AF2834=1,IFERROR(INDEX($A2834:$AB2834,MATCH("Cost Centre",$A$1:$AB$1,0)),"")&amp;"","")</f>
        <v/>
      </c>
      <c r="AJ2834" s="54">
        <f>IF(AND(AF2834=1,AE2834&gt;=set_FYStart,AE2834&lt;=set_AsAt),1,0)</f>
        <v/>
      </c>
      <c r="AK2834" s="54">
        <f>IF(AND(AJ2834=1,AH2834&lt;&gt;"",COUNTIFS($AH$2:AH2834,AH2834,$AJ$2:AJ2834,1)=1),N(AL2833)+1,"")</f>
        <v/>
      </c>
      <c r="AL2834" s="54">
        <f>IF(AK2834&lt;&gt;"",AK2834,N(AL2833))</f>
        <v/>
      </c>
    </row>
    <row r="2835">
      <c r="A2835" t="inlineStr">
        <is>
          <t>PRD-0945</t>
        </is>
      </c>
      <c r="B2835" t="inlineStr">
        <is>
          <t>Production</t>
        </is>
      </c>
      <c r="AB2835" t="n">
        <v>945</v>
      </c>
      <c r="AD2835" s="52">
        <f>IFERROR(N(IFERROR(INDEX($A2835:$AB2835,MATCH("Xero Invoiced Ex GST",$A$1:$AB$1,0)),"")),0)</f>
        <v/>
      </c>
      <c r="AE2835" s="53">
        <f>IFERROR(INDEX($A2835:$AB2835,MATCH("Xero Invoice Date",$A$1:$AB$1,0)),"")</f>
        <v/>
      </c>
      <c r="AF2835" s="54">
        <f>IF(AND(IFERROR(INDEX($A2835:$AB2835,MATCH("Xero Invoice No",$A$1:$AB$1,0)),"")&amp;""&lt;&gt;"",ISNUMBER(AE2835),AD2835&lt;&gt;0),1,0)</f>
        <v/>
      </c>
      <c r="AG2835" s="55">
        <f>IF(AF2835=1,EOMONTH(AE2835,0),"")</f>
        <v/>
      </c>
      <c r="AH2835" s="9">
        <f>IF(AF2835=1,UPPER(TRIM(IFERROR(INDEX($A2835:$AB2835,MATCH("Client",$A$1:$AB$1,0)),"")&amp;"")),"")</f>
        <v/>
      </c>
      <c r="AI2835" s="9">
        <f>IF(AF2835=1,IFERROR(INDEX($A2835:$AB2835,MATCH("Cost Centre",$A$1:$AB$1,0)),"")&amp;"","")</f>
        <v/>
      </c>
      <c r="AJ2835" s="54">
        <f>IF(AND(AF2835=1,AE2835&gt;=set_FYStart,AE2835&lt;=set_AsAt),1,0)</f>
        <v/>
      </c>
      <c r="AK2835" s="54">
        <f>IF(AND(AJ2835=1,AH2835&lt;&gt;"",COUNTIFS($AH$2:AH2835,AH2835,$AJ$2:AJ2835,1)=1),N(AL2834)+1,"")</f>
        <v/>
      </c>
      <c r="AL2835" s="54">
        <f>IF(AK2835&lt;&gt;"",AK2835,N(AL2834))</f>
        <v/>
      </c>
    </row>
    <row r="2836">
      <c r="A2836" t="inlineStr">
        <is>
          <t>CON-0945</t>
        </is>
      </c>
      <c r="B2836" t="inlineStr">
        <is>
          <t>Consulting</t>
        </is>
      </c>
      <c r="AB2836" t="n">
        <v>945</v>
      </c>
      <c r="AD2836" s="52">
        <f>IFERROR(N(IFERROR(INDEX($A2836:$AB2836,MATCH("Xero Invoiced Ex GST",$A$1:$AB$1,0)),"")),0)</f>
        <v/>
      </c>
      <c r="AE2836" s="53">
        <f>IFERROR(INDEX($A2836:$AB2836,MATCH("Xero Invoice Date",$A$1:$AB$1,0)),"")</f>
        <v/>
      </c>
      <c r="AF2836" s="54">
        <f>IF(AND(IFERROR(INDEX($A2836:$AB2836,MATCH("Xero Invoice No",$A$1:$AB$1,0)),"")&amp;""&lt;&gt;"",ISNUMBER(AE2836),AD2836&lt;&gt;0),1,0)</f>
        <v/>
      </c>
      <c r="AG2836" s="55">
        <f>IF(AF2836=1,EOMONTH(AE2836,0),"")</f>
        <v/>
      </c>
      <c r="AH2836" s="9">
        <f>IF(AF2836=1,UPPER(TRIM(IFERROR(INDEX($A2836:$AB2836,MATCH("Client",$A$1:$AB$1,0)),"")&amp;"")),"")</f>
        <v/>
      </c>
      <c r="AI2836" s="9">
        <f>IF(AF2836=1,IFERROR(INDEX($A2836:$AB2836,MATCH("Cost Centre",$A$1:$AB$1,0)),"")&amp;"","")</f>
        <v/>
      </c>
      <c r="AJ2836" s="54">
        <f>IF(AND(AF2836=1,AE2836&gt;=set_FYStart,AE2836&lt;=set_AsAt),1,0)</f>
        <v/>
      </c>
      <c r="AK2836" s="54">
        <f>IF(AND(AJ2836=1,AH2836&lt;&gt;"",COUNTIFS($AH$2:AH2836,AH2836,$AJ$2:AJ2836,1)=1),N(AL2835)+1,"")</f>
        <v/>
      </c>
      <c r="AL2836" s="54">
        <f>IF(AK2836&lt;&gt;"",AK2836,N(AL2835))</f>
        <v/>
      </c>
    </row>
    <row r="2837">
      <c r="A2837" t="inlineStr">
        <is>
          <t>ONS-0946</t>
        </is>
      </c>
      <c r="B2837" t="inlineStr">
        <is>
          <t>Onsite</t>
        </is>
      </c>
      <c r="AB2837" t="n">
        <v>946</v>
      </c>
      <c r="AD2837" s="52">
        <f>IFERROR(N(IFERROR(INDEX($A2837:$AB2837,MATCH("Xero Invoiced Ex GST",$A$1:$AB$1,0)),"")),0)</f>
        <v/>
      </c>
      <c r="AE2837" s="53">
        <f>IFERROR(INDEX($A2837:$AB2837,MATCH("Xero Invoice Date",$A$1:$AB$1,0)),"")</f>
        <v/>
      </c>
      <c r="AF2837" s="54">
        <f>IF(AND(IFERROR(INDEX($A2837:$AB2837,MATCH("Xero Invoice No",$A$1:$AB$1,0)),"")&amp;""&lt;&gt;"",ISNUMBER(AE2837),AD2837&lt;&gt;0),1,0)</f>
        <v/>
      </c>
      <c r="AG2837" s="55">
        <f>IF(AF2837=1,EOMONTH(AE2837,0),"")</f>
        <v/>
      </c>
      <c r="AH2837" s="9">
        <f>IF(AF2837=1,UPPER(TRIM(IFERROR(INDEX($A2837:$AB2837,MATCH("Client",$A$1:$AB$1,0)),"")&amp;"")),"")</f>
        <v/>
      </c>
      <c r="AI2837" s="9">
        <f>IF(AF2837=1,IFERROR(INDEX($A2837:$AB2837,MATCH("Cost Centre",$A$1:$AB$1,0)),"")&amp;"","")</f>
        <v/>
      </c>
      <c r="AJ2837" s="54">
        <f>IF(AND(AF2837=1,AE2837&gt;=set_FYStart,AE2837&lt;=set_AsAt),1,0)</f>
        <v/>
      </c>
      <c r="AK2837" s="54">
        <f>IF(AND(AJ2837=1,AH2837&lt;&gt;"",COUNTIFS($AH$2:AH2837,AH2837,$AJ$2:AJ2837,1)=1),N(AL2836)+1,"")</f>
        <v/>
      </c>
      <c r="AL2837" s="54">
        <f>IF(AK2837&lt;&gt;"",AK2837,N(AL2836))</f>
        <v/>
      </c>
    </row>
    <row r="2838">
      <c r="A2838" t="inlineStr">
        <is>
          <t>PRD-0946</t>
        </is>
      </c>
      <c r="B2838" t="inlineStr">
        <is>
          <t>Production</t>
        </is>
      </c>
      <c r="AB2838" t="n">
        <v>946</v>
      </c>
      <c r="AD2838" s="52">
        <f>IFERROR(N(IFERROR(INDEX($A2838:$AB2838,MATCH("Xero Invoiced Ex GST",$A$1:$AB$1,0)),"")),0)</f>
        <v/>
      </c>
      <c r="AE2838" s="53">
        <f>IFERROR(INDEX($A2838:$AB2838,MATCH("Xero Invoice Date",$A$1:$AB$1,0)),"")</f>
        <v/>
      </c>
      <c r="AF2838" s="54">
        <f>IF(AND(IFERROR(INDEX($A2838:$AB2838,MATCH("Xero Invoice No",$A$1:$AB$1,0)),"")&amp;""&lt;&gt;"",ISNUMBER(AE2838),AD2838&lt;&gt;0),1,0)</f>
        <v/>
      </c>
      <c r="AG2838" s="55">
        <f>IF(AF2838=1,EOMONTH(AE2838,0),"")</f>
        <v/>
      </c>
      <c r="AH2838" s="9">
        <f>IF(AF2838=1,UPPER(TRIM(IFERROR(INDEX($A2838:$AB2838,MATCH("Client",$A$1:$AB$1,0)),"")&amp;"")),"")</f>
        <v/>
      </c>
      <c r="AI2838" s="9">
        <f>IF(AF2838=1,IFERROR(INDEX($A2838:$AB2838,MATCH("Cost Centre",$A$1:$AB$1,0)),"")&amp;"","")</f>
        <v/>
      </c>
      <c r="AJ2838" s="54">
        <f>IF(AND(AF2838=1,AE2838&gt;=set_FYStart,AE2838&lt;=set_AsAt),1,0)</f>
        <v/>
      </c>
      <c r="AK2838" s="54">
        <f>IF(AND(AJ2838=1,AH2838&lt;&gt;"",COUNTIFS($AH$2:AH2838,AH2838,$AJ$2:AJ2838,1)=1),N(AL2837)+1,"")</f>
        <v/>
      </c>
      <c r="AL2838" s="54">
        <f>IF(AK2838&lt;&gt;"",AK2838,N(AL2837))</f>
        <v/>
      </c>
    </row>
    <row r="2839">
      <c r="A2839" t="inlineStr">
        <is>
          <t>CON-0946</t>
        </is>
      </c>
      <c r="B2839" t="inlineStr">
        <is>
          <t>Consulting</t>
        </is>
      </c>
      <c r="AB2839" t="n">
        <v>946</v>
      </c>
      <c r="AD2839" s="52">
        <f>IFERROR(N(IFERROR(INDEX($A2839:$AB2839,MATCH("Xero Invoiced Ex GST",$A$1:$AB$1,0)),"")),0)</f>
        <v/>
      </c>
      <c r="AE2839" s="53">
        <f>IFERROR(INDEX($A2839:$AB2839,MATCH("Xero Invoice Date",$A$1:$AB$1,0)),"")</f>
        <v/>
      </c>
      <c r="AF2839" s="54">
        <f>IF(AND(IFERROR(INDEX($A2839:$AB2839,MATCH("Xero Invoice No",$A$1:$AB$1,0)),"")&amp;""&lt;&gt;"",ISNUMBER(AE2839),AD2839&lt;&gt;0),1,0)</f>
        <v/>
      </c>
      <c r="AG2839" s="55">
        <f>IF(AF2839=1,EOMONTH(AE2839,0),"")</f>
        <v/>
      </c>
      <c r="AH2839" s="9">
        <f>IF(AF2839=1,UPPER(TRIM(IFERROR(INDEX($A2839:$AB2839,MATCH("Client",$A$1:$AB$1,0)),"")&amp;"")),"")</f>
        <v/>
      </c>
      <c r="AI2839" s="9">
        <f>IF(AF2839=1,IFERROR(INDEX($A2839:$AB2839,MATCH("Cost Centre",$A$1:$AB$1,0)),"")&amp;"","")</f>
        <v/>
      </c>
      <c r="AJ2839" s="54">
        <f>IF(AND(AF2839=1,AE2839&gt;=set_FYStart,AE2839&lt;=set_AsAt),1,0)</f>
        <v/>
      </c>
      <c r="AK2839" s="54">
        <f>IF(AND(AJ2839=1,AH2839&lt;&gt;"",COUNTIFS($AH$2:AH2839,AH2839,$AJ$2:AJ2839,1)=1),N(AL2838)+1,"")</f>
        <v/>
      </c>
      <c r="AL2839" s="54">
        <f>IF(AK2839&lt;&gt;"",AK2839,N(AL2838))</f>
        <v/>
      </c>
    </row>
    <row r="2840">
      <c r="A2840" t="inlineStr">
        <is>
          <t>ONS-0947</t>
        </is>
      </c>
      <c r="B2840" t="inlineStr">
        <is>
          <t>Onsite</t>
        </is>
      </c>
      <c r="AB2840" t="n">
        <v>947</v>
      </c>
      <c r="AD2840" s="52">
        <f>IFERROR(N(IFERROR(INDEX($A2840:$AB2840,MATCH("Xero Invoiced Ex GST",$A$1:$AB$1,0)),"")),0)</f>
        <v/>
      </c>
      <c r="AE2840" s="53">
        <f>IFERROR(INDEX($A2840:$AB2840,MATCH("Xero Invoice Date",$A$1:$AB$1,0)),"")</f>
        <v/>
      </c>
      <c r="AF2840" s="54">
        <f>IF(AND(IFERROR(INDEX($A2840:$AB2840,MATCH("Xero Invoice No",$A$1:$AB$1,0)),"")&amp;""&lt;&gt;"",ISNUMBER(AE2840),AD2840&lt;&gt;0),1,0)</f>
        <v/>
      </c>
      <c r="AG2840" s="55">
        <f>IF(AF2840=1,EOMONTH(AE2840,0),"")</f>
        <v/>
      </c>
      <c r="AH2840" s="9">
        <f>IF(AF2840=1,UPPER(TRIM(IFERROR(INDEX($A2840:$AB2840,MATCH("Client",$A$1:$AB$1,0)),"")&amp;"")),"")</f>
        <v/>
      </c>
      <c r="AI2840" s="9">
        <f>IF(AF2840=1,IFERROR(INDEX($A2840:$AB2840,MATCH("Cost Centre",$A$1:$AB$1,0)),"")&amp;"","")</f>
        <v/>
      </c>
      <c r="AJ2840" s="54">
        <f>IF(AND(AF2840=1,AE2840&gt;=set_FYStart,AE2840&lt;=set_AsAt),1,0)</f>
        <v/>
      </c>
      <c r="AK2840" s="54">
        <f>IF(AND(AJ2840=1,AH2840&lt;&gt;"",COUNTIFS($AH$2:AH2840,AH2840,$AJ$2:AJ2840,1)=1),N(AL2839)+1,"")</f>
        <v/>
      </c>
      <c r="AL2840" s="54">
        <f>IF(AK2840&lt;&gt;"",AK2840,N(AL2839))</f>
        <v/>
      </c>
    </row>
    <row r="2841">
      <c r="A2841" t="inlineStr">
        <is>
          <t>PRD-0947</t>
        </is>
      </c>
      <c r="B2841" t="inlineStr">
        <is>
          <t>Production</t>
        </is>
      </c>
      <c r="AB2841" t="n">
        <v>947</v>
      </c>
      <c r="AD2841" s="52">
        <f>IFERROR(N(IFERROR(INDEX($A2841:$AB2841,MATCH("Xero Invoiced Ex GST",$A$1:$AB$1,0)),"")),0)</f>
        <v/>
      </c>
      <c r="AE2841" s="53">
        <f>IFERROR(INDEX($A2841:$AB2841,MATCH("Xero Invoice Date",$A$1:$AB$1,0)),"")</f>
        <v/>
      </c>
      <c r="AF2841" s="54">
        <f>IF(AND(IFERROR(INDEX($A2841:$AB2841,MATCH("Xero Invoice No",$A$1:$AB$1,0)),"")&amp;""&lt;&gt;"",ISNUMBER(AE2841),AD2841&lt;&gt;0),1,0)</f>
        <v/>
      </c>
      <c r="AG2841" s="55">
        <f>IF(AF2841=1,EOMONTH(AE2841,0),"")</f>
        <v/>
      </c>
      <c r="AH2841" s="9">
        <f>IF(AF2841=1,UPPER(TRIM(IFERROR(INDEX($A2841:$AB2841,MATCH("Client",$A$1:$AB$1,0)),"")&amp;"")),"")</f>
        <v/>
      </c>
      <c r="AI2841" s="9">
        <f>IF(AF2841=1,IFERROR(INDEX($A2841:$AB2841,MATCH("Cost Centre",$A$1:$AB$1,0)),"")&amp;"","")</f>
        <v/>
      </c>
      <c r="AJ2841" s="54">
        <f>IF(AND(AF2841=1,AE2841&gt;=set_FYStart,AE2841&lt;=set_AsAt),1,0)</f>
        <v/>
      </c>
      <c r="AK2841" s="54">
        <f>IF(AND(AJ2841=1,AH2841&lt;&gt;"",COUNTIFS($AH$2:AH2841,AH2841,$AJ$2:AJ2841,1)=1),N(AL2840)+1,"")</f>
        <v/>
      </c>
      <c r="AL2841" s="54">
        <f>IF(AK2841&lt;&gt;"",AK2841,N(AL2840))</f>
        <v/>
      </c>
    </row>
    <row r="2842">
      <c r="A2842" t="inlineStr">
        <is>
          <t>CON-0947</t>
        </is>
      </c>
      <c r="B2842" t="inlineStr">
        <is>
          <t>Consulting</t>
        </is>
      </c>
      <c r="AB2842" t="n">
        <v>947</v>
      </c>
      <c r="AD2842" s="52">
        <f>IFERROR(N(IFERROR(INDEX($A2842:$AB2842,MATCH("Xero Invoiced Ex GST",$A$1:$AB$1,0)),"")),0)</f>
        <v/>
      </c>
      <c r="AE2842" s="53">
        <f>IFERROR(INDEX($A2842:$AB2842,MATCH("Xero Invoice Date",$A$1:$AB$1,0)),"")</f>
        <v/>
      </c>
      <c r="AF2842" s="54">
        <f>IF(AND(IFERROR(INDEX($A2842:$AB2842,MATCH("Xero Invoice No",$A$1:$AB$1,0)),"")&amp;""&lt;&gt;"",ISNUMBER(AE2842),AD2842&lt;&gt;0),1,0)</f>
        <v/>
      </c>
      <c r="AG2842" s="55">
        <f>IF(AF2842=1,EOMONTH(AE2842,0),"")</f>
        <v/>
      </c>
      <c r="AH2842" s="9">
        <f>IF(AF2842=1,UPPER(TRIM(IFERROR(INDEX($A2842:$AB2842,MATCH("Client",$A$1:$AB$1,0)),"")&amp;"")),"")</f>
        <v/>
      </c>
      <c r="AI2842" s="9">
        <f>IF(AF2842=1,IFERROR(INDEX($A2842:$AB2842,MATCH("Cost Centre",$A$1:$AB$1,0)),"")&amp;"","")</f>
        <v/>
      </c>
      <c r="AJ2842" s="54">
        <f>IF(AND(AF2842=1,AE2842&gt;=set_FYStart,AE2842&lt;=set_AsAt),1,0)</f>
        <v/>
      </c>
      <c r="AK2842" s="54">
        <f>IF(AND(AJ2842=1,AH2842&lt;&gt;"",COUNTIFS($AH$2:AH2842,AH2842,$AJ$2:AJ2842,1)=1),N(AL2841)+1,"")</f>
        <v/>
      </c>
      <c r="AL2842" s="54">
        <f>IF(AK2842&lt;&gt;"",AK2842,N(AL2841))</f>
        <v/>
      </c>
    </row>
    <row r="2843">
      <c r="A2843" t="inlineStr">
        <is>
          <t>ONS-0948</t>
        </is>
      </c>
      <c r="B2843" t="inlineStr">
        <is>
          <t>Onsite</t>
        </is>
      </c>
      <c r="AB2843" t="n">
        <v>948</v>
      </c>
      <c r="AD2843" s="52">
        <f>IFERROR(N(IFERROR(INDEX($A2843:$AB2843,MATCH("Xero Invoiced Ex GST",$A$1:$AB$1,0)),"")),0)</f>
        <v/>
      </c>
      <c r="AE2843" s="53">
        <f>IFERROR(INDEX($A2843:$AB2843,MATCH("Xero Invoice Date",$A$1:$AB$1,0)),"")</f>
        <v/>
      </c>
      <c r="AF2843" s="54">
        <f>IF(AND(IFERROR(INDEX($A2843:$AB2843,MATCH("Xero Invoice No",$A$1:$AB$1,0)),"")&amp;""&lt;&gt;"",ISNUMBER(AE2843),AD2843&lt;&gt;0),1,0)</f>
        <v/>
      </c>
      <c r="AG2843" s="55">
        <f>IF(AF2843=1,EOMONTH(AE2843,0),"")</f>
        <v/>
      </c>
      <c r="AH2843" s="9">
        <f>IF(AF2843=1,UPPER(TRIM(IFERROR(INDEX($A2843:$AB2843,MATCH("Client",$A$1:$AB$1,0)),"")&amp;"")),"")</f>
        <v/>
      </c>
      <c r="AI2843" s="9">
        <f>IF(AF2843=1,IFERROR(INDEX($A2843:$AB2843,MATCH("Cost Centre",$A$1:$AB$1,0)),"")&amp;"","")</f>
        <v/>
      </c>
      <c r="AJ2843" s="54">
        <f>IF(AND(AF2843=1,AE2843&gt;=set_FYStart,AE2843&lt;=set_AsAt),1,0)</f>
        <v/>
      </c>
      <c r="AK2843" s="54">
        <f>IF(AND(AJ2843=1,AH2843&lt;&gt;"",COUNTIFS($AH$2:AH2843,AH2843,$AJ$2:AJ2843,1)=1),N(AL2842)+1,"")</f>
        <v/>
      </c>
      <c r="AL2843" s="54">
        <f>IF(AK2843&lt;&gt;"",AK2843,N(AL2842))</f>
        <v/>
      </c>
    </row>
    <row r="2844">
      <c r="A2844" t="inlineStr">
        <is>
          <t>PRD-0948</t>
        </is>
      </c>
      <c r="B2844" t="inlineStr">
        <is>
          <t>Production</t>
        </is>
      </c>
      <c r="AB2844" t="n">
        <v>948</v>
      </c>
      <c r="AD2844" s="52">
        <f>IFERROR(N(IFERROR(INDEX($A2844:$AB2844,MATCH("Xero Invoiced Ex GST",$A$1:$AB$1,0)),"")),0)</f>
        <v/>
      </c>
      <c r="AE2844" s="53">
        <f>IFERROR(INDEX($A2844:$AB2844,MATCH("Xero Invoice Date",$A$1:$AB$1,0)),"")</f>
        <v/>
      </c>
      <c r="AF2844" s="54">
        <f>IF(AND(IFERROR(INDEX($A2844:$AB2844,MATCH("Xero Invoice No",$A$1:$AB$1,0)),"")&amp;""&lt;&gt;"",ISNUMBER(AE2844),AD2844&lt;&gt;0),1,0)</f>
        <v/>
      </c>
      <c r="AG2844" s="55">
        <f>IF(AF2844=1,EOMONTH(AE2844,0),"")</f>
        <v/>
      </c>
      <c r="AH2844" s="9">
        <f>IF(AF2844=1,UPPER(TRIM(IFERROR(INDEX($A2844:$AB2844,MATCH("Client",$A$1:$AB$1,0)),"")&amp;"")),"")</f>
        <v/>
      </c>
      <c r="AI2844" s="9">
        <f>IF(AF2844=1,IFERROR(INDEX($A2844:$AB2844,MATCH("Cost Centre",$A$1:$AB$1,0)),"")&amp;"","")</f>
        <v/>
      </c>
      <c r="AJ2844" s="54">
        <f>IF(AND(AF2844=1,AE2844&gt;=set_FYStart,AE2844&lt;=set_AsAt),1,0)</f>
        <v/>
      </c>
      <c r="AK2844" s="54">
        <f>IF(AND(AJ2844=1,AH2844&lt;&gt;"",COUNTIFS($AH$2:AH2844,AH2844,$AJ$2:AJ2844,1)=1),N(AL2843)+1,"")</f>
        <v/>
      </c>
      <c r="AL2844" s="54">
        <f>IF(AK2844&lt;&gt;"",AK2844,N(AL2843))</f>
        <v/>
      </c>
    </row>
    <row r="2845">
      <c r="A2845" t="inlineStr">
        <is>
          <t>CON-0948</t>
        </is>
      </c>
      <c r="B2845" t="inlineStr">
        <is>
          <t>Consulting</t>
        </is>
      </c>
      <c r="AB2845" t="n">
        <v>948</v>
      </c>
      <c r="AD2845" s="52">
        <f>IFERROR(N(IFERROR(INDEX($A2845:$AB2845,MATCH("Xero Invoiced Ex GST",$A$1:$AB$1,0)),"")),0)</f>
        <v/>
      </c>
      <c r="AE2845" s="53">
        <f>IFERROR(INDEX($A2845:$AB2845,MATCH("Xero Invoice Date",$A$1:$AB$1,0)),"")</f>
        <v/>
      </c>
      <c r="AF2845" s="54">
        <f>IF(AND(IFERROR(INDEX($A2845:$AB2845,MATCH("Xero Invoice No",$A$1:$AB$1,0)),"")&amp;""&lt;&gt;"",ISNUMBER(AE2845),AD2845&lt;&gt;0),1,0)</f>
        <v/>
      </c>
      <c r="AG2845" s="55">
        <f>IF(AF2845=1,EOMONTH(AE2845,0),"")</f>
        <v/>
      </c>
      <c r="AH2845" s="9">
        <f>IF(AF2845=1,UPPER(TRIM(IFERROR(INDEX($A2845:$AB2845,MATCH("Client",$A$1:$AB$1,0)),"")&amp;"")),"")</f>
        <v/>
      </c>
      <c r="AI2845" s="9">
        <f>IF(AF2845=1,IFERROR(INDEX($A2845:$AB2845,MATCH("Cost Centre",$A$1:$AB$1,0)),"")&amp;"","")</f>
        <v/>
      </c>
      <c r="AJ2845" s="54">
        <f>IF(AND(AF2845=1,AE2845&gt;=set_FYStart,AE2845&lt;=set_AsAt),1,0)</f>
        <v/>
      </c>
      <c r="AK2845" s="54">
        <f>IF(AND(AJ2845=1,AH2845&lt;&gt;"",COUNTIFS($AH$2:AH2845,AH2845,$AJ$2:AJ2845,1)=1),N(AL2844)+1,"")</f>
        <v/>
      </c>
      <c r="AL2845" s="54">
        <f>IF(AK2845&lt;&gt;"",AK2845,N(AL2844))</f>
        <v/>
      </c>
    </row>
    <row r="2846">
      <c r="A2846" t="inlineStr">
        <is>
          <t>ONS-0949</t>
        </is>
      </c>
      <c r="B2846" t="inlineStr">
        <is>
          <t>Onsite</t>
        </is>
      </c>
      <c r="AB2846" t="n">
        <v>949</v>
      </c>
      <c r="AD2846" s="52">
        <f>IFERROR(N(IFERROR(INDEX($A2846:$AB2846,MATCH("Xero Invoiced Ex GST",$A$1:$AB$1,0)),"")),0)</f>
        <v/>
      </c>
      <c r="AE2846" s="53">
        <f>IFERROR(INDEX($A2846:$AB2846,MATCH("Xero Invoice Date",$A$1:$AB$1,0)),"")</f>
        <v/>
      </c>
      <c r="AF2846" s="54">
        <f>IF(AND(IFERROR(INDEX($A2846:$AB2846,MATCH("Xero Invoice No",$A$1:$AB$1,0)),"")&amp;""&lt;&gt;"",ISNUMBER(AE2846),AD2846&lt;&gt;0),1,0)</f>
        <v/>
      </c>
      <c r="AG2846" s="55">
        <f>IF(AF2846=1,EOMONTH(AE2846,0),"")</f>
        <v/>
      </c>
      <c r="AH2846" s="9">
        <f>IF(AF2846=1,UPPER(TRIM(IFERROR(INDEX($A2846:$AB2846,MATCH("Client",$A$1:$AB$1,0)),"")&amp;"")),"")</f>
        <v/>
      </c>
      <c r="AI2846" s="9">
        <f>IF(AF2846=1,IFERROR(INDEX($A2846:$AB2846,MATCH("Cost Centre",$A$1:$AB$1,0)),"")&amp;"","")</f>
        <v/>
      </c>
      <c r="AJ2846" s="54">
        <f>IF(AND(AF2846=1,AE2846&gt;=set_FYStart,AE2846&lt;=set_AsAt),1,0)</f>
        <v/>
      </c>
      <c r="AK2846" s="54">
        <f>IF(AND(AJ2846=1,AH2846&lt;&gt;"",COUNTIFS($AH$2:AH2846,AH2846,$AJ$2:AJ2846,1)=1),N(AL2845)+1,"")</f>
        <v/>
      </c>
      <c r="AL2846" s="54">
        <f>IF(AK2846&lt;&gt;"",AK2846,N(AL2845))</f>
        <v/>
      </c>
    </row>
    <row r="2847">
      <c r="A2847" t="inlineStr">
        <is>
          <t>PRD-0949</t>
        </is>
      </c>
      <c r="B2847" t="inlineStr">
        <is>
          <t>Production</t>
        </is>
      </c>
      <c r="AB2847" t="n">
        <v>949</v>
      </c>
      <c r="AD2847" s="52">
        <f>IFERROR(N(IFERROR(INDEX($A2847:$AB2847,MATCH("Xero Invoiced Ex GST",$A$1:$AB$1,0)),"")),0)</f>
        <v/>
      </c>
      <c r="AE2847" s="53">
        <f>IFERROR(INDEX($A2847:$AB2847,MATCH("Xero Invoice Date",$A$1:$AB$1,0)),"")</f>
        <v/>
      </c>
      <c r="AF2847" s="54">
        <f>IF(AND(IFERROR(INDEX($A2847:$AB2847,MATCH("Xero Invoice No",$A$1:$AB$1,0)),"")&amp;""&lt;&gt;"",ISNUMBER(AE2847),AD2847&lt;&gt;0),1,0)</f>
        <v/>
      </c>
      <c r="AG2847" s="55">
        <f>IF(AF2847=1,EOMONTH(AE2847,0),"")</f>
        <v/>
      </c>
      <c r="AH2847" s="9">
        <f>IF(AF2847=1,UPPER(TRIM(IFERROR(INDEX($A2847:$AB2847,MATCH("Client",$A$1:$AB$1,0)),"")&amp;"")),"")</f>
        <v/>
      </c>
      <c r="AI2847" s="9">
        <f>IF(AF2847=1,IFERROR(INDEX($A2847:$AB2847,MATCH("Cost Centre",$A$1:$AB$1,0)),"")&amp;"","")</f>
        <v/>
      </c>
      <c r="AJ2847" s="54">
        <f>IF(AND(AF2847=1,AE2847&gt;=set_FYStart,AE2847&lt;=set_AsAt),1,0)</f>
        <v/>
      </c>
      <c r="AK2847" s="54">
        <f>IF(AND(AJ2847=1,AH2847&lt;&gt;"",COUNTIFS($AH$2:AH2847,AH2847,$AJ$2:AJ2847,1)=1),N(AL2846)+1,"")</f>
        <v/>
      </c>
      <c r="AL2847" s="54">
        <f>IF(AK2847&lt;&gt;"",AK2847,N(AL2846))</f>
        <v/>
      </c>
    </row>
    <row r="2848">
      <c r="A2848" t="inlineStr">
        <is>
          <t>CON-0949</t>
        </is>
      </c>
      <c r="B2848" t="inlineStr">
        <is>
          <t>Consulting</t>
        </is>
      </c>
      <c r="AB2848" t="n">
        <v>949</v>
      </c>
      <c r="AD2848" s="52">
        <f>IFERROR(N(IFERROR(INDEX($A2848:$AB2848,MATCH("Xero Invoiced Ex GST",$A$1:$AB$1,0)),"")),0)</f>
        <v/>
      </c>
      <c r="AE2848" s="53">
        <f>IFERROR(INDEX($A2848:$AB2848,MATCH("Xero Invoice Date",$A$1:$AB$1,0)),"")</f>
        <v/>
      </c>
      <c r="AF2848" s="54">
        <f>IF(AND(IFERROR(INDEX($A2848:$AB2848,MATCH("Xero Invoice No",$A$1:$AB$1,0)),"")&amp;""&lt;&gt;"",ISNUMBER(AE2848),AD2848&lt;&gt;0),1,0)</f>
        <v/>
      </c>
      <c r="AG2848" s="55">
        <f>IF(AF2848=1,EOMONTH(AE2848,0),"")</f>
        <v/>
      </c>
      <c r="AH2848" s="9">
        <f>IF(AF2848=1,UPPER(TRIM(IFERROR(INDEX($A2848:$AB2848,MATCH("Client",$A$1:$AB$1,0)),"")&amp;"")),"")</f>
        <v/>
      </c>
      <c r="AI2848" s="9">
        <f>IF(AF2848=1,IFERROR(INDEX($A2848:$AB2848,MATCH("Cost Centre",$A$1:$AB$1,0)),"")&amp;"","")</f>
        <v/>
      </c>
      <c r="AJ2848" s="54">
        <f>IF(AND(AF2848=1,AE2848&gt;=set_FYStart,AE2848&lt;=set_AsAt),1,0)</f>
        <v/>
      </c>
      <c r="AK2848" s="54">
        <f>IF(AND(AJ2848=1,AH2848&lt;&gt;"",COUNTIFS($AH$2:AH2848,AH2848,$AJ$2:AJ2848,1)=1),N(AL2847)+1,"")</f>
        <v/>
      </c>
      <c r="AL2848" s="54">
        <f>IF(AK2848&lt;&gt;"",AK2848,N(AL2847))</f>
        <v/>
      </c>
    </row>
    <row r="2849">
      <c r="A2849" t="inlineStr">
        <is>
          <t>ONS-0950</t>
        </is>
      </c>
      <c r="B2849" t="inlineStr">
        <is>
          <t>Onsite</t>
        </is>
      </c>
      <c r="AB2849" t="n">
        <v>950</v>
      </c>
      <c r="AD2849" s="52">
        <f>IFERROR(N(IFERROR(INDEX($A2849:$AB2849,MATCH("Xero Invoiced Ex GST",$A$1:$AB$1,0)),"")),0)</f>
        <v/>
      </c>
      <c r="AE2849" s="53">
        <f>IFERROR(INDEX($A2849:$AB2849,MATCH("Xero Invoice Date",$A$1:$AB$1,0)),"")</f>
        <v/>
      </c>
      <c r="AF2849" s="54">
        <f>IF(AND(IFERROR(INDEX($A2849:$AB2849,MATCH("Xero Invoice No",$A$1:$AB$1,0)),"")&amp;""&lt;&gt;"",ISNUMBER(AE2849),AD2849&lt;&gt;0),1,0)</f>
        <v/>
      </c>
      <c r="AG2849" s="55">
        <f>IF(AF2849=1,EOMONTH(AE2849,0),"")</f>
        <v/>
      </c>
      <c r="AH2849" s="9">
        <f>IF(AF2849=1,UPPER(TRIM(IFERROR(INDEX($A2849:$AB2849,MATCH("Client",$A$1:$AB$1,0)),"")&amp;"")),"")</f>
        <v/>
      </c>
      <c r="AI2849" s="9">
        <f>IF(AF2849=1,IFERROR(INDEX($A2849:$AB2849,MATCH("Cost Centre",$A$1:$AB$1,0)),"")&amp;"","")</f>
        <v/>
      </c>
      <c r="AJ2849" s="54">
        <f>IF(AND(AF2849=1,AE2849&gt;=set_FYStart,AE2849&lt;=set_AsAt),1,0)</f>
        <v/>
      </c>
      <c r="AK2849" s="54">
        <f>IF(AND(AJ2849=1,AH2849&lt;&gt;"",COUNTIFS($AH$2:AH2849,AH2849,$AJ$2:AJ2849,1)=1),N(AL2848)+1,"")</f>
        <v/>
      </c>
      <c r="AL2849" s="54">
        <f>IF(AK2849&lt;&gt;"",AK2849,N(AL2848))</f>
        <v/>
      </c>
    </row>
    <row r="2850">
      <c r="A2850" t="inlineStr">
        <is>
          <t>PRD-0950</t>
        </is>
      </c>
      <c r="B2850" t="inlineStr">
        <is>
          <t>Production</t>
        </is>
      </c>
      <c r="AB2850" t="n">
        <v>950</v>
      </c>
      <c r="AD2850" s="52">
        <f>IFERROR(N(IFERROR(INDEX($A2850:$AB2850,MATCH("Xero Invoiced Ex GST",$A$1:$AB$1,0)),"")),0)</f>
        <v/>
      </c>
      <c r="AE2850" s="53">
        <f>IFERROR(INDEX($A2850:$AB2850,MATCH("Xero Invoice Date",$A$1:$AB$1,0)),"")</f>
        <v/>
      </c>
      <c r="AF2850" s="54">
        <f>IF(AND(IFERROR(INDEX($A2850:$AB2850,MATCH("Xero Invoice No",$A$1:$AB$1,0)),"")&amp;""&lt;&gt;"",ISNUMBER(AE2850),AD2850&lt;&gt;0),1,0)</f>
        <v/>
      </c>
      <c r="AG2850" s="55">
        <f>IF(AF2850=1,EOMONTH(AE2850,0),"")</f>
        <v/>
      </c>
      <c r="AH2850" s="9">
        <f>IF(AF2850=1,UPPER(TRIM(IFERROR(INDEX($A2850:$AB2850,MATCH("Client",$A$1:$AB$1,0)),"")&amp;"")),"")</f>
        <v/>
      </c>
      <c r="AI2850" s="9">
        <f>IF(AF2850=1,IFERROR(INDEX($A2850:$AB2850,MATCH("Cost Centre",$A$1:$AB$1,0)),"")&amp;"","")</f>
        <v/>
      </c>
      <c r="AJ2850" s="54">
        <f>IF(AND(AF2850=1,AE2850&gt;=set_FYStart,AE2850&lt;=set_AsAt),1,0)</f>
        <v/>
      </c>
      <c r="AK2850" s="54">
        <f>IF(AND(AJ2850=1,AH2850&lt;&gt;"",COUNTIFS($AH$2:AH2850,AH2850,$AJ$2:AJ2850,1)=1),N(AL2849)+1,"")</f>
        <v/>
      </c>
      <c r="AL2850" s="54">
        <f>IF(AK2850&lt;&gt;"",AK2850,N(AL2849))</f>
        <v/>
      </c>
    </row>
    <row r="2851">
      <c r="A2851" t="inlineStr">
        <is>
          <t>CON-0950</t>
        </is>
      </c>
      <c r="B2851" t="inlineStr">
        <is>
          <t>Consulting</t>
        </is>
      </c>
      <c r="AB2851" t="n">
        <v>950</v>
      </c>
      <c r="AD2851" s="52">
        <f>IFERROR(N(IFERROR(INDEX($A2851:$AB2851,MATCH("Xero Invoiced Ex GST",$A$1:$AB$1,0)),"")),0)</f>
        <v/>
      </c>
      <c r="AE2851" s="53">
        <f>IFERROR(INDEX($A2851:$AB2851,MATCH("Xero Invoice Date",$A$1:$AB$1,0)),"")</f>
        <v/>
      </c>
      <c r="AF2851" s="54">
        <f>IF(AND(IFERROR(INDEX($A2851:$AB2851,MATCH("Xero Invoice No",$A$1:$AB$1,0)),"")&amp;""&lt;&gt;"",ISNUMBER(AE2851),AD2851&lt;&gt;0),1,0)</f>
        <v/>
      </c>
      <c r="AG2851" s="55">
        <f>IF(AF2851=1,EOMONTH(AE2851,0),"")</f>
        <v/>
      </c>
      <c r="AH2851" s="9">
        <f>IF(AF2851=1,UPPER(TRIM(IFERROR(INDEX($A2851:$AB2851,MATCH("Client",$A$1:$AB$1,0)),"")&amp;"")),"")</f>
        <v/>
      </c>
      <c r="AI2851" s="9">
        <f>IF(AF2851=1,IFERROR(INDEX($A2851:$AB2851,MATCH("Cost Centre",$A$1:$AB$1,0)),"")&amp;"","")</f>
        <v/>
      </c>
      <c r="AJ2851" s="54">
        <f>IF(AND(AF2851=1,AE2851&gt;=set_FYStart,AE2851&lt;=set_AsAt),1,0)</f>
        <v/>
      </c>
      <c r="AK2851" s="54">
        <f>IF(AND(AJ2851=1,AH2851&lt;&gt;"",COUNTIFS($AH$2:AH2851,AH2851,$AJ$2:AJ2851,1)=1),N(AL2850)+1,"")</f>
        <v/>
      </c>
      <c r="AL2851" s="54">
        <f>IF(AK2851&lt;&gt;"",AK2851,N(AL2850))</f>
        <v/>
      </c>
    </row>
    <row r="2852">
      <c r="A2852" t="inlineStr">
        <is>
          <t>ONS-0951</t>
        </is>
      </c>
      <c r="B2852" t="inlineStr">
        <is>
          <t>Onsite</t>
        </is>
      </c>
      <c r="AB2852" t="n">
        <v>951</v>
      </c>
      <c r="AD2852" s="52">
        <f>IFERROR(N(IFERROR(INDEX($A2852:$AB2852,MATCH("Xero Invoiced Ex GST",$A$1:$AB$1,0)),"")),0)</f>
        <v/>
      </c>
      <c r="AE2852" s="53">
        <f>IFERROR(INDEX($A2852:$AB2852,MATCH("Xero Invoice Date",$A$1:$AB$1,0)),"")</f>
        <v/>
      </c>
      <c r="AF2852" s="54">
        <f>IF(AND(IFERROR(INDEX($A2852:$AB2852,MATCH("Xero Invoice No",$A$1:$AB$1,0)),"")&amp;""&lt;&gt;"",ISNUMBER(AE2852),AD2852&lt;&gt;0),1,0)</f>
        <v/>
      </c>
      <c r="AG2852" s="55">
        <f>IF(AF2852=1,EOMONTH(AE2852,0),"")</f>
        <v/>
      </c>
      <c r="AH2852" s="9">
        <f>IF(AF2852=1,UPPER(TRIM(IFERROR(INDEX($A2852:$AB2852,MATCH("Client",$A$1:$AB$1,0)),"")&amp;"")),"")</f>
        <v/>
      </c>
      <c r="AI2852" s="9">
        <f>IF(AF2852=1,IFERROR(INDEX($A2852:$AB2852,MATCH("Cost Centre",$A$1:$AB$1,0)),"")&amp;"","")</f>
        <v/>
      </c>
      <c r="AJ2852" s="54">
        <f>IF(AND(AF2852=1,AE2852&gt;=set_FYStart,AE2852&lt;=set_AsAt),1,0)</f>
        <v/>
      </c>
      <c r="AK2852" s="54">
        <f>IF(AND(AJ2852=1,AH2852&lt;&gt;"",COUNTIFS($AH$2:AH2852,AH2852,$AJ$2:AJ2852,1)=1),N(AL2851)+1,"")</f>
        <v/>
      </c>
      <c r="AL2852" s="54">
        <f>IF(AK2852&lt;&gt;"",AK2852,N(AL2851))</f>
        <v/>
      </c>
    </row>
    <row r="2853">
      <c r="A2853" t="inlineStr">
        <is>
          <t>PRD-0951</t>
        </is>
      </c>
      <c r="B2853" t="inlineStr">
        <is>
          <t>Production</t>
        </is>
      </c>
      <c r="AB2853" t="n">
        <v>951</v>
      </c>
      <c r="AD2853" s="52">
        <f>IFERROR(N(IFERROR(INDEX($A2853:$AB2853,MATCH("Xero Invoiced Ex GST",$A$1:$AB$1,0)),"")),0)</f>
        <v/>
      </c>
      <c r="AE2853" s="53">
        <f>IFERROR(INDEX($A2853:$AB2853,MATCH("Xero Invoice Date",$A$1:$AB$1,0)),"")</f>
        <v/>
      </c>
      <c r="AF2853" s="54">
        <f>IF(AND(IFERROR(INDEX($A2853:$AB2853,MATCH("Xero Invoice No",$A$1:$AB$1,0)),"")&amp;""&lt;&gt;"",ISNUMBER(AE2853),AD2853&lt;&gt;0),1,0)</f>
        <v/>
      </c>
      <c r="AG2853" s="55">
        <f>IF(AF2853=1,EOMONTH(AE2853,0),"")</f>
        <v/>
      </c>
      <c r="AH2853" s="9">
        <f>IF(AF2853=1,UPPER(TRIM(IFERROR(INDEX($A2853:$AB2853,MATCH("Client",$A$1:$AB$1,0)),"")&amp;"")),"")</f>
        <v/>
      </c>
      <c r="AI2853" s="9">
        <f>IF(AF2853=1,IFERROR(INDEX($A2853:$AB2853,MATCH("Cost Centre",$A$1:$AB$1,0)),"")&amp;"","")</f>
        <v/>
      </c>
      <c r="AJ2853" s="54">
        <f>IF(AND(AF2853=1,AE2853&gt;=set_FYStart,AE2853&lt;=set_AsAt),1,0)</f>
        <v/>
      </c>
      <c r="AK2853" s="54">
        <f>IF(AND(AJ2853=1,AH2853&lt;&gt;"",COUNTIFS($AH$2:AH2853,AH2853,$AJ$2:AJ2853,1)=1),N(AL2852)+1,"")</f>
        <v/>
      </c>
      <c r="AL2853" s="54">
        <f>IF(AK2853&lt;&gt;"",AK2853,N(AL2852))</f>
        <v/>
      </c>
    </row>
    <row r="2854">
      <c r="A2854" t="inlineStr">
        <is>
          <t>CON-0951</t>
        </is>
      </c>
      <c r="B2854" t="inlineStr">
        <is>
          <t>Consulting</t>
        </is>
      </c>
      <c r="AB2854" t="n">
        <v>951</v>
      </c>
      <c r="AD2854" s="52">
        <f>IFERROR(N(IFERROR(INDEX($A2854:$AB2854,MATCH("Xero Invoiced Ex GST",$A$1:$AB$1,0)),"")),0)</f>
        <v/>
      </c>
      <c r="AE2854" s="53">
        <f>IFERROR(INDEX($A2854:$AB2854,MATCH("Xero Invoice Date",$A$1:$AB$1,0)),"")</f>
        <v/>
      </c>
      <c r="AF2854" s="54">
        <f>IF(AND(IFERROR(INDEX($A2854:$AB2854,MATCH("Xero Invoice No",$A$1:$AB$1,0)),"")&amp;""&lt;&gt;"",ISNUMBER(AE2854),AD2854&lt;&gt;0),1,0)</f>
        <v/>
      </c>
      <c r="AG2854" s="55">
        <f>IF(AF2854=1,EOMONTH(AE2854,0),"")</f>
        <v/>
      </c>
      <c r="AH2854" s="9">
        <f>IF(AF2854=1,UPPER(TRIM(IFERROR(INDEX($A2854:$AB2854,MATCH("Client",$A$1:$AB$1,0)),"")&amp;"")),"")</f>
        <v/>
      </c>
      <c r="AI2854" s="9">
        <f>IF(AF2854=1,IFERROR(INDEX($A2854:$AB2854,MATCH("Cost Centre",$A$1:$AB$1,0)),"")&amp;"","")</f>
        <v/>
      </c>
      <c r="AJ2854" s="54">
        <f>IF(AND(AF2854=1,AE2854&gt;=set_FYStart,AE2854&lt;=set_AsAt),1,0)</f>
        <v/>
      </c>
      <c r="AK2854" s="54">
        <f>IF(AND(AJ2854=1,AH2854&lt;&gt;"",COUNTIFS($AH$2:AH2854,AH2854,$AJ$2:AJ2854,1)=1),N(AL2853)+1,"")</f>
        <v/>
      </c>
      <c r="AL2854" s="54">
        <f>IF(AK2854&lt;&gt;"",AK2854,N(AL2853))</f>
        <v/>
      </c>
    </row>
    <row r="2855">
      <c r="A2855" t="inlineStr">
        <is>
          <t>ONS-0952</t>
        </is>
      </c>
      <c r="B2855" t="inlineStr">
        <is>
          <t>Onsite</t>
        </is>
      </c>
      <c r="AB2855" t="n">
        <v>952</v>
      </c>
      <c r="AD2855" s="52">
        <f>IFERROR(N(IFERROR(INDEX($A2855:$AB2855,MATCH("Xero Invoiced Ex GST",$A$1:$AB$1,0)),"")),0)</f>
        <v/>
      </c>
      <c r="AE2855" s="53">
        <f>IFERROR(INDEX($A2855:$AB2855,MATCH("Xero Invoice Date",$A$1:$AB$1,0)),"")</f>
        <v/>
      </c>
      <c r="AF2855" s="54">
        <f>IF(AND(IFERROR(INDEX($A2855:$AB2855,MATCH("Xero Invoice No",$A$1:$AB$1,0)),"")&amp;""&lt;&gt;"",ISNUMBER(AE2855),AD2855&lt;&gt;0),1,0)</f>
        <v/>
      </c>
      <c r="AG2855" s="55">
        <f>IF(AF2855=1,EOMONTH(AE2855,0),"")</f>
        <v/>
      </c>
      <c r="AH2855" s="9">
        <f>IF(AF2855=1,UPPER(TRIM(IFERROR(INDEX($A2855:$AB2855,MATCH("Client",$A$1:$AB$1,0)),"")&amp;"")),"")</f>
        <v/>
      </c>
      <c r="AI2855" s="9">
        <f>IF(AF2855=1,IFERROR(INDEX($A2855:$AB2855,MATCH("Cost Centre",$A$1:$AB$1,0)),"")&amp;"","")</f>
        <v/>
      </c>
      <c r="AJ2855" s="54">
        <f>IF(AND(AF2855=1,AE2855&gt;=set_FYStart,AE2855&lt;=set_AsAt),1,0)</f>
        <v/>
      </c>
      <c r="AK2855" s="54">
        <f>IF(AND(AJ2855=1,AH2855&lt;&gt;"",COUNTIFS($AH$2:AH2855,AH2855,$AJ$2:AJ2855,1)=1),N(AL2854)+1,"")</f>
        <v/>
      </c>
      <c r="AL2855" s="54">
        <f>IF(AK2855&lt;&gt;"",AK2855,N(AL2854))</f>
        <v/>
      </c>
    </row>
    <row r="2856">
      <c r="A2856" t="inlineStr">
        <is>
          <t>PRD-0952</t>
        </is>
      </c>
      <c r="B2856" t="inlineStr">
        <is>
          <t>Production</t>
        </is>
      </c>
      <c r="AB2856" t="n">
        <v>952</v>
      </c>
      <c r="AD2856" s="52">
        <f>IFERROR(N(IFERROR(INDEX($A2856:$AB2856,MATCH("Xero Invoiced Ex GST",$A$1:$AB$1,0)),"")),0)</f>
        <v/>
      </c>
      <c r="AE2856" s="53">
        <f>IFERROR(INDEX($A2856:$AB2856,MATCH("Xero Invoice Date",$A$1:$AB$1,0)),"")</f>
        <v/>
      </c>
      <c r="AF2856" s="54">
        <f>IF(AND(IFERROR(INDEX($A2856:$AB2856,MATCH("Xero Invoice No",$A$1:$AB$1,0)),"")&amp;""&lt;&gt;"",ISNUMBER(AE2856),AD2856&lt;&gt;0),1,0)</f>
        <v/>
      </c>
      <c r="AG2856" s="55">
        <f>IF(AF2856=1,EOMONTH(AE2856,0),"")</f>
        <v/>
      </c>
      <c r="AH2856" s="9">
        <f>IF(AF2856=1,UPPER(TRIM(IFERROR(INDEX($A2856:$AB2856,MATCH("Client",$A$1:$AB$1,0)),"")&amp;"")),"")</f>
        <v/>
      </c>
      <c r="AI2856" s="9">
        <f>IF(AF2856=1,IFERROR(INDEX($A2856:$AB2856,MATCH("Cost Centre",$A$1:$AB$1,0)),"")&amp;"","")</f>
        <v/>
      </c>
      <c r="AJ2856" s="54">
        <f>IF(AND(AF2856=1,AE2856&gt;=set_FYStart,AE2856&lt;=set_AsAt),1,0)</f>
        <v/>
      </c>
      <c r="AK2856" s="54">
        <f>IF(AND(AJ2856=1,AH2856&lt;&gt;"",COUNTIFS($AH$2:AH2856,AH2856,$AJ$2:AJ2856,1)=1),N(AL2855)+1,"")</f>
        <v/>
      </c>
      <c r="AL2856" s="54">
        <f>IF(AK2856&lt;&gt;"",AK2856,N(AL2855))</f>
        <v/>
      </c>
    </row>
    <row r="2857">
      <c r="A2857" t="inlineStr">
        <is>
          <t>CON-0952</t>
        </is>
      </c>
      <c r="B2857" t="inlineStr">
        <is>
          <t>Consulting</t>
        </is>
      </c>
      <c r="AB2857" t="n">
        <v>952</v>
      </c>
      <c r="AD2857" s="52">
        <f>IFERROR(N(IFERROR(INDEX($A2857:$AB2857,MATCH("Xero Invoiced Ex GST",$A$1:$AB$1,0)),"")),0)</f>
        <v/>
      </c>
      <c r="AE2857" s="53">
        <f>IFERROR(INDEX($A2857:$AB2857,MATCH("Xero Invoice Date",$A$1:$AB$1,0)),"")</f>
        <v/>
      </c>
      <c r="AF2857" s="54">
        <f>IF(AND(IFERROR(INDEX($A2857:$AB2857,MATCH("Xero Invoice No",$A$1:$AB$1,0)),"")&amp;""&lt;&gt;"",ISNUMBER(AE2857),AD2857&lt;&gt;0),1,0)</f>
        <v/>
      </c>
      <c r="AG2857" s="55">
        <f>IF(AF2857=1,EOMONTH(AE2857,0),"")</f>
        <v/>
      </c>
      <c r="AH2857" s="9">
        <f>IF(AF2857=1,UPPER(TRIM(IFERROR(INDEX($A2857:$AB2857,MATCH("Client",$A$1:$AB$1,0)),"")&amp;"")),"")</f>
        <v/>
      </c>
      <c r="AI2857" s="9">
        <f>IF(AF2857=1,IFERROR(INDEX($A2857:$AB2857,MATCH("Cost Centre",$A$1:$AB$1,0)),"")&amp;"","")</f>
        <v/>
      </c>
      <c r="AJ2857" s="54">
        <f>IF(AND(AF2857=1,AE2857&gt;=set_FYStart,AE2857&lt;=set_AsAt),1,0)</f>
        <v/>
      </c>
      <c r="AK2857" s="54">
        <f>IF(AND(AJ2857=1,AH2857&lt;&gt;"",COUNTIFS($AH$2:AH2857,AH2857,$AJ$2:AJ2857,1)=1),N(AL2856)+1,"")</f>
        <v/>
      </c>
      <c r="AL2857" s="54">
        <f>IF(AK2857&lt;&gt;"",AK2857,N(AL2856))</f>
        <v/>
      </c>
    </row>
    <row r="2858">
      <c r="A2858" t="inlineStr">
        <is>
          <t>ONS-0953</t>
        </is>
      </c>
      <c r="B2858" t="inlineStr">
        <is>
          <t>Onsite</t>
        </is>
      </c>
      <c r="AB2858" t="n">
        <v>953</v>
      </c>
      <c r="AD2858" s="52">
        <f>IFERROR(N(IFERROR(INDEX($A2858:$AB2858,MATCH("Xero Invoiced Ex GST",$A$1:$AB$1,0)),"")),0)</f>
        <v/>
      </c>
      <c r="AE2858" s="53">
        <f>IFERROR(INDEX($A2858:$AB2858,MATCH("Xero Invoice Date",$A$1:$AB$1,0)),"")</f>
        <v/>
      </c>
      <c r="AF2858" s="54">
        <f>IF(AND(IFERROR(INDEX($A2858:$AB2858,MATCH("Xero Invoice No",$A$1:$AB$1,0)),"")&amp;""&lt;&gt;"",ISNUMBER(AE2858),AD2858&lt;&gt;0),1,0)</f>
        <v/>
      </c>
      <c r="AG2858" s="55">
        <f>IF(AF2858=1,EOMONTH(AE2858,0),"")</f>
        <v/>
      </c>
      <c r="AH2858" s="9">
        <f>IF(AF2858=1,UPPER(TRIM(IFERROR(INDEX($A2858:$AB2858,MATCH("Client",$A$1:$AB$1,0)),"")&amp;"")),"")</f>
        <v/>
      </c>
      <c r="AI2858" s="9">
        <f>IF(AF2858=1,IFERROR(INDEX($A2858:$AB2858,MATCH("Cost Centre",$A$1:$AB$1,0)),"")&amp;"","")</f>
        <v/>
      </c>
      <c r="AJ2858" s="54">
        <f>IF(AND(AF2858=1,AE2858&gt;=set_FYStart,AE2858&lt;=set_AsAt),1,0)</f>
        <v/>
      </c>
      <c r="AK2858" s="54">
        <f>IF(AND(AJ2858=1,AH2858&lt;&gt;"",COUNTIFS($AH$2:AH2858,AH2858,$AJ$2:AJ2858,1)=1),N(AL2857)+1,"")</f>
        <v/>
      </c>
      <c r="AL2858" s="54">
        <f>IF(AK2858&lt;&gt;"",AK2858,N(AL2857))</f>
        <v/>
      </c>
    </row>
    <row r="2859">
      <c r="A2859" t="inlineStr">
        <is>
          <t>PRD-0953</t>
        </is>
      </c>
      <c r="B2859" t="inlineStr">
        <is>
          <t>Production</t>
        </is>
      </c>
      <c r="AB2859" t="n">
        <v>953</v>
      </c>
      <c r="AD2859" s="52">
        <f>IFERROR(N(IFERROR(INDEX($A2859:$AB2859,MATCH("Xero Invoiced Ex GST",$A$1:$AB$1,0)),"")),0)</f>
        <v/>
      </c>
      <c r="AE2859" s="53">
        <f>IFERROR(INDEX($A2859:$AB2859,MATCH("Xero Invoice Date",$A$1:$AB$1,0)),"")</f>
        <v/>
      </c>
      <c r="AF2859" s="54">
        <f>IF(AND(IFERROR(INDEX($A2859:$AB2859,MATCH("Xero Invoice No",$A$1:$AB$1,0)),"")&amp;""&lt;&gt;"",ISNUMBER(AE2859),AD2859&lt;&gt;0),1,0)</f>
        <v/>
      </c>
      <c r="AG2859" s="55">
        <f>IF(AF2859=1,EOMONTH(AE2859,0),"")</f>
        <v/>
      </c>
      <c r="AH2859" s="9">
        <f>IF(AF2859=1,UPPER(TRIM(IFERROR(INDEX($A2859:$AB2859,MATCH("Client",$A$1:$AB$1,0)),"")&amp;"")),"")</f>
        <v/>
      </c>
      <c r="AI2859" s="9">
        <f>IF(AF2859=1,IFERROR(INDEX($A2859:$AB2859,MATCH("Cost Centre",$A$1:$AB$1,0)),"")&amp;"","")</f>
        <v/>
      </c>
      <c r="AJ2859" s="54">
        <f>IF(AND(AF2859=1,AE2859&gt;=set_FYStart,AE2859&lt;=set_AsAt),1,0)</f>
        <v/>
      </c>
      <c r="AK2859" s="54">
        <f>IF(AND(AJ2859=1,AH2859&lt;&gt;"",COUNTIFS($AH$2:AH2859,AH2859,$AJ$2:AJ2859,1)=1),N(AL2858)+1,"")</f>
        <v/>
      </c>
      <c r="AL2859" s="54">
        <f>IF(AK2859&lt;&gt;"",AK2859,N(AL2858))</f>
        <v/>
      </c>
    </row>
    <row r="2860">
      <c r="A2860" t="inlineStr">
        <is>
          <t>CON-0953</t>
        </is>
      </c>
      <c r="B2860" t="inlineStr">
        <is>
          <t>Consulting</t>
        </is>
      </c>
      <c r="AB2860" t="n">
        <v>953</v>
      </c>
      <c r="AD2860" s="52">
        <f>IFERROR(N(IFERROR(INDEX($A2860:$AB2860,MATCH("Xero Invoiced Ex GST",$A$1:$AB$1,0)),"")),0)</f>
        <v/>
      </c>
      <c r="AE2860" s="53">
        <f>IFERROR(INDEX($A2860:$AB2860,MATCH("Xero Invoice Date",$A$1:$AB$1,0)),"")</f>
        <v/>
      </c>
      <c r="AF2860" s="54">
        <f>IF(AND(IFERROR(INDEX($A2860:$AB2860,MATCH("Xero Invoice No",$A$1:$AB$1,0)),"")&amp;""&lt;&gt;"",ISNUMBER(AE2860),AD2860&lt;&gt;0),1,0)</f>
        <v/>
      </c>
      <c r="AG2860" s="55">
        <f>IF(AF2860=1,EOMONTH(AE2860,0),"")</f>
        <v/>
      </c>
      <c r="AH2860" s="9">
        <f>IF(AF2860=1,UPPER(TRIM(IFERROR(INDEX($A2860:$AB2860,MATCH("Client",$A$1:$AB$1,0)),"")&amp;"")),"")</f>
        <v/>
      </c>
      <c r="AI2860" s="9">
        <f>IF(AF2860=1,IFERROR(INDEX($A2860:$AB2860,MATCH("Cost Centre",$A$1:$AB$1,0)),"")&amp;"","")</f>
        <v/>
      </c>
      <c r="AJ2860" s="54">
        <f>IF(AND(AF2860=1,AE2860&gt;=set_FYStart,AE2860&lt;=set_AsAt),1,0)</f>
        <v/>
      </c>
      <c r="AK2860" s="54">
        <f>IF(AND(AJ2860=1,AH2860&lt;&gt;"",COUNTIFS($AH$2:AH2860,AH2860,$AJ$2:AJ2860,1)=1),N(AL2859)+1,"")</f>
        <v/>
      </c>
      <c r="AL2860" s="54">
        <f>IF(AK2860&lt;&gt;"",AK2860,N(AL2859))</f>
        <v/>
      </c>
    </row>
    <row r="2861">
      <c r="A2861" t="inlineStr">
        <is>
          <t>ONS-0954</t>
        </is>
      </c>
      <c r="B2861" t="inlineStr">
        <is>
          <t>Onsite</t>
        </is>
      </c>
      <c r="AB2861" t="n">
        <v>954</v>
      </c>
      <c r="AD2861" s="52">
        <f>IFERROR(N(IFERROR(INDEX($A2861:$AB2861,MATCH("Xero Invoiced Ex GST",$A$1:$AB$1,0)),"")),0)</f>
        <v/>
      </c>
      <c r="AE2861" s="53">
        <f>IFERROR(INDEX($A2861:$AB2861,MATCH("Xero Invoice Date",$A$1:$AB$1,0)),"")</f>
        <v/>
      </c>
      <c r="AF2861" s="54">
        <f>IF(AND(IFERROR(INDEX($A2861:$AB2861,MATCH("Xero Invoice No",$A$1:$AB$1,0)),"")&amp;""&lt;&gt;"",ISNUMBER(AE2861),AD2861&lt;&gt;0),1,0)</f>
        <v/>
      </c>
      <c r="AG2861" s="55">
        <f>IF(AF2861=1,EOMONTH(AE2861,0),"")</f>
        <v/>
      </c>
      <c r="AH2861" s="9">
        <f>IF(AF2861=1,UPPER(TRIM(IFERROR(INDEX($A2861:$AB2861,MATCH("Client",$A$1:$AB$1,0)),"")&amp;"")),"")</f>
        <v/>
      </c>
      <c r="AI2861" s="9">
        <f>IF(AF2861=1,IFERROR(INDEX($A2861:$AB2861,MATCH("Cost Centre",$A$1:$AB$1,0)),"")&amp;"","")</f>
        <v/>
      </c>
      <c r="AJ2861" s="54">
        <f>IF(AND(AF2861=1,AE2861&gt;=set_FYStart,AE2861&lt;=set_AsAt),1,0)</f>
        <v/>
      </c>
      <c r="AK2861" s="54">
        <f>IF(AND(AJ2861=1,AH2861&lt;&gt;"",COUNTIFS($AH$2:AH2861,AH2861,$AJ$2:AJ2861,1)=1),N(AL2860)+1,"")</f>
        <v/>
      </c>
      <c r="AL2861" s="54">
        <f>IF(AK2861&lt;&gt;"",AK2861,N(AL2860))</f>
        <v/>
      </c>
    </row>
    <row r="2862">
      <c r="A2862" t="inlineStr">
        <is>
          <t>PRD-0954</t>
        </is>
      </c>
      <c r="B2862" t="inlineStr">
        <is>
          <t>Production</t>
        </is>
      </c>
      <c r="AB2862" t="n">
        <v>954</v>
      </c>
      <c r="AD2862" s="52">
        <f>IFERROR(N(IFERROR(INDEX($A2862:$AB2862,MATCH("Xero Invoiced Ex GST",$A$1:$AB$1,0)),"")),0)</f>
        <v/>
      </c>
      <c r="AE2862" s="53">
        <f>IFERROR(INDEX($A2862:$AB2862,MATCH("Xero Invoice Date",$A$1:$AB$1,0)),"")</f>
        <v/>
      </c>
      <c r="AF2862" s="54">
        <f>IF(AND(IFERROR(INDEX($A2862:$AB2862,MATCH("Xero Invoice No",$A$1:$AB$1,0)),"")&amp;""&lt;&gt;"",ISNUMBER(AE2862),AD2862&lt;&gt;0),1,0)</f>
        <v/>
      </c>
      <c r="AG2862" s="55">
        <f>IF(AF2862=1,EOMONTH(AE2862,0),"")</f>
        <v/>
      </c>
      <c r="AH2862" s="9">
        <f>IF(AF2862=1,UPPER(TRIM(IFERROR(INDEX($A2862:$AB2862,MATCH("Client",$A$1:$AB$1,0)),"")&amp;"")),"")</f>
        <v/>
      </c>
      <c r="AI2862" s="9">
        <f>IF(AF2862=1,IFERROR(INDEX($A2862:$AB2862,MATCH("Cost Centre",$A$1:$AB$1,0)),"")&amp;"","")</f>
        <v/>
      </c>
      <c r="AJ2862" s="54">
        <f>IF(AND(AF2862=1,AE2862&gt;=set_FYStart,AE2862&lt;=set_AsAt),1,0)</f>
        <v/>
      </c>
      <c r="AK2862" s="54">
        <f>IF(AND(AJ2862=1,AH2862&lt;&gt;"",COUNTIFS($AH$2:AH2862,AH2862,$AJ$2:AJ2862,1)=1),N(AL2861)+1,"")</f>
        <v/>
      </c>
      <c r="AL2862" s="54">
        <f>IF(AK2862&lt;&gt;"",AK2862,N(AL2861))</f>
        <v/>
      </c>
    </row>
    <row r="2863">
      <c r="A2863" t="inlineStr">
        <is>
          <t>CON-0954</t>
        </is>
      </c>
      <c r="B2863" t="inlineStr">
        <is>
          <t>Consulting</t>
        </is>
      </c>
      <c r="AB2863" t="n">
        <v>954</v>
      </c>
      <c r="AD2863" s="52">
        <f>IFERROR(N(IFERROR(INDEX($A2863:$AB2863,MATCH("Xero Invoiced Ex GST",$A$1:$AB$1,0)),"")),0)</f>
        <v/>
      </c>
      <c r="AE2863" s="53">
        <f>IFERROR(INDEX($A2863:$AB2863,MATCH("Xero Invoice Date",$A$1:$AB$1,0)),"")</f>
        <v/>
      </c>
      <c r="AF2863" s="54">
        <f>IF(AND(IFERROR(INDEX($A2863:$AB2863,MATCH("Xero Invoice No",$A$1:$AB$1,0)),"")&amp;""&lt;&gt;"",ISNUMBER(AE2863),AD2863&lt;&gt;0),1,0)</f>
        <v/>
      </c>
      <c r="AG2863" s="55">
        <f>IF(AF2863=1,EOMONTH(AE2863,0),"")</f>
        <v/>
      </c>
      <c r="AH2863" s="9">
        <f>IF(AF2863=1,UPPER(TRIM(IFERROR(INDEX($A2863:$AB2863,MATCH("Client",$A$1:$AB$1,0)),"")&amp;"")),"")</f>
        <v/>
      </c>
      <c r="AI2863" s="9">
        <f>IF(AF2863=1,IFERROR(INDEX($A2863:$AB2863,MATCH("Cost Centre",$A$1:$AB$1,0)),"")&amp;"","")</f>
        <v/>
      </c>
      <c r="AJ2863" s="54">
        <f>IF(AND(AF2863=1,AE2863&gt;=set_FYStart,AE2863&lt;=set_AsAt),1,0)</f>
        <v/>
      </c>
      <c r="AK2863" s="54">
        <f>IF(AND(AJ2863=1,AH2863&lt;&gt;"",COUNTIFS($AH$2:AH2863,AH2863,$AJ$2:AJ2863,1)=1),N(AL2862)+1,"")</f>
        <v/>
      </c>
      <c r="AL2863" s="54">
        <f>IF(AK2863&lt;&gt;"",AK2863,N(AL2862))</f>
        <v/>
      </c>
    </row>
    <row r="2864">
      <c r="A2864" t="inlineStr">
        <is>
          <t>ONS-0955</t>
        </is>
      </c>
      <c r="B2864" t="inlineStr">
        <is>
          <t>Onsite</t>
        </is>
      </c>
      <c r="AB2864" t="n">
        <v>955</v>
      </c>
      <c r="AD2864" s="52">
        <f>IFERROR(N(IFERROR(INDEX($A2864:$AB2864,MATCH("Xero Invoiced Ex GST",$A$1:$AB$1,0)),"")),0)</f>
        <v/>
      </c>
      <c r="AE2864" s="53">
        <f>IFERROR(INDEX($A2864:$AB2864,MATCH("Xero Invoice Date",$A$1:$AB$1,0)),"")</f>
        <v/>
      </c>
      <c r="AF2864" s="54">
        <f>IF(AND(IFERROR(INDEX($A2864:$AB2864,MATCH("Xero Invoice No",$A$1:$AB$1,0)),"")&amp;""&lt;&gt;"",ISNUMBER(AE2864),AD2864&lt;&gt;0),1,0)</f>
        <v/>
      </c>
      <c r="AG2864" s="55">
        <f>IF(AF2864=1,EOMONTH(AE2864,0),"")</f>
        <v/>
      </c>
      <c r="AH2864" s="9">
        <f>IF(AF2864=1,UPPER(TRIM(IFERROR(INDEX($A2864:$AB2864,MATCH("Client",$A$1:$AB$1,0)),"")&amp;"")),"")</f>
        <v/>
      </c>
      <c r="AI2864" s="9">
        <f>IF(AF2864=1,IFERROR(INDEX($A2864:$AB2864,MATCH("Cost Centre",$A$1:$AB$1,0)),"")&amp;"","")</f>
        <v/>
      </c>
      <c r="AJ2864" s="54">
        <f>IF(AND(AF2864=1,AE2864&gt;=set_FYStart,AE2864&lt;=set_AsAt),1,0)</f>
        <v/>
      </c>
      <c r="AK2864" s="54">
        <f>IF(AND(AJ2864=1,AH2864&lt;&gt;"",COUNTIFS($AH$2:AH2864,AH2864,$AJ$2:AJ2864,1)=1),N(AL2863)+1,"")</f>
        <v/>
      </c>
      <c r="AL2864" s="54">
        <f>IF(AK2864&lt;&gt;"",AK2864,N(AL2863))</f>
        <v/>
      </c>
    </row>
    <row r="2865">
      <c r="A2865" t="inlineStr">
        <is>
          <t>PRD-0955</t>
        </is>
      </c>
      <c r="B2865" t="inlineStr">
        <is>
          <t>Production</t>
        </is>
      </c>
      <c r="AB2865" t="n">
        <v>955</v>
      </c>
      <c r="AD2865" s="52">
        <f>IFERROR(N(IFERROR(INDEX($A2865:$AB2865,MATCH("Xero Invoiced Ex GST",$A$1:$AB$1,0)),"")),0)</f>
        <v/>
      </c>
      <c r="AE2865" s="53">
        <f>IFERROR(INDEX($A2865:$AB2865,MATCH("Xero Invoice Date",$A$1:$AB$1,0)),"")</f>
        <v/>
      </c>
      <c r="AF2865" s="54">
        <f>IF(AND(IFERROR(INDEX($A2865:$AB2865,MATCH("Xero Invoice No",$A$1:$AB$1,0)),"")&amp;""&lt;&gt;"",ISNUMBER(AE2865),AD2865&lt;&gt;0),1,0)</f>
        <v/>
      </c>
      <c r="AG2865" s="55">
        <f>IF(AF2865=1,EOMONTH(AE2865,0),"")</f>
        <v/>
      </c>
      <c r="AH2865" s="9">
        <f>IF(AF2865=1,UPPER(TRIM(IFERROR(INDEX($A2865:$AB2865,MATCH("Client",$A$1:$AB$1,0)),"")&amp;"")),"")</f>
        <v/>
      </c>
      <c r="AI2865" s="9">
        <f>IF(AF2865=1,IFERROR(INDEX($A2865:$AB2865,MATCH("Cost Centre",$A$1:$AB$1,0)),"")&amp;"","")</f>
        <v/>
      </c>
      <c r="AJ2865" s="54">
        <f>IF(AND(AF2865=1,AE2865&gt;=set_FYStart,AE2865&lt;=set_AsAt),1,0)</f>
        <v/>
      </c>
      <c r="AK2865" s="54">
        <f>IF(AND(AJ2865=1,AH2865&lt;&gt;"",COUNTIFS($AH$2:AH2865,AH2865,$AJ$2:AJ2865,1)=1),N(AL2864)+1,"")</f>
        <v/>
      </c>
      <c r="AL2865" s="54">
        <f>IF(AK2865&lt;&gt;"",AK2865,N(AL2864))</f>
        <v/>
      </c>
    </row>
    <row r="2866">
      <c r="A2866" t="inlineStr">
        <is>
          <t>CON-0955</t>
        </is>
      </c>
      <c r="B2866" t="inlineStr">
        <is>
          <t>Consulting</t>
        </is>
      </c>
      <c r="AB2866" t="n">
        <v>955</v>
      </c>
      <c r="AD2866" s="52">
        <f>IFERROR(N(IFERROR(INDEX($A2866:$AB2866,MATCH("Xero Invoiced Ex GST",$A$1:$AB$1,0)),"")),0)</f>
        <v/>
      </c>
      <c r="AE2866" s="53">
        <f>IFERROR(INDEX($A2866:$AB2866,MATCH("Xero Invoice Date",$A$1:$AB$1,0)),"")</f>
        <v/>
      </c>
      <c r="AF2866" s="54">
        <f>IF(AND(IFERROR(INDEX($A2866:$AB2866,MATCH("Xero Invoice No",$A$1:$AB$1,0)),"")&amp;""&lt;&gt;"",ISNUMBER(AE2866),AD2866&lt;&gt;0),1,0)</f>
        <v/>
      </c>
      <c r="AG2866" s="55">
        <f>IF(AF2866=1,EOMONTH(AE2866,0),"")</f>
        <v/>
      </c>
      <c r="AH2866" s="9">
        <f>IF(AF2866=1,UPPER(TRIM(IFERROR(INDEX($A2866:$AB2866,MATCH("Client",$A$1:$AB$1,0)),"")&amp;"")),"")</f>
        <v/>
      </c>
      <c r="AI2866" s="9">
        <f>IF(AF2866=1,IFERROR(INDEX($A2866:$AB2866,MATCH("Cost Centre",$A$1:$AB$1,0)),"")&amp;"","")</f>
        <v/>
      </c>
      <c r="AJ2866" s="54">
        <f>IF(AND(AF2866=1,AE2866&gt;=set_FYStart,AE2866&lt;=set_AsAt),1,0)</f>
        <v/>
      </c>
      <c r="AK2866" s="54">
        <f>IF(AND(AJ2866=1,AH2866&lt;&gt;"",COUNTIFS($AH$2:AH2866,AH2866,$AJ$2:AJ2866,1)=1),N(AL2865)+1,"")</f>
        <v/>
      </c>
      <c r="AL2866" s="54">
        <f>IF(AK2866&lt;&gt;"",AK2866,N(AL2865))</f>
        <v/>
      </c>
    </row>
    <row r="2867">
      <c r="A2867" t="inlineStr">
        <is>
          <t>ONS-0956</t>
        </is>
      </c>
      <c r="B2867" t="inlineStr">
        <is>
          <t>Onsite</t>
        </is>
      </c>
      <c r="AB2867" t="n">
        <v>956</v>
      </c>
      <c r="AD2867" s="52">
        <f>IFERROR(N(IFERROR(INDEX($A2867:$AB2867,MATCH("Xero Invoiced Ex GST",$A$1:$AB$1,0)),"")),0)</f>
        <v/>
      </c>
      <c r="AE2867" s="53">
        <f>IFERROR(INDEX($A2867:$AB2867,MATCH("Xero Invoice Date",$A$1:$AB$1,0)),"")</f>
        <v/>
      </c>
      <c r="AF2867" s="54">
        <f>IF(AND(IFERROR(INDEX($A2867:$AB2867,MATCH("Xero Invoice No",$A$1:$AB$1,0)),"")&amp;""&lt;&gt;"",ISNUMBER(AE2867),AD2867&lt;&gt;0),1,0)</f>
        <v/>
      </c>
      <c r="AG2867" s="55">
        <f>IF(AF2867=1,EOMONTH(AE2867,0),"")</f>
        <v/>
      </c>
      <c r="AH2867" s="9">
        <f>IF(AF2867=1,UPPER(TRIM(IFERROR(INDEX($A2867:$AB2867,MATCH("Client",$A$1:$AB$1,0)),"")&amp;"")),"")</f>
        <v/>
      </c>
      <c r="AI2867" s="9">
        <f>IF(AF2867=1,IFERROR(INDEX($A2867:$AB2867,MATCH("Cost Centre",$A$1:$AB$1,0)),"")&amp;"","")</f>
        <v/>
      </c>
      <c r="AJ2867" s="54">
        <f>IF(AND(AF2867=1,AE2867&gt;=set_FYStart,AE2867&lt;=set_AsAt),1,0)</f>
        <v/>
      </c>
      <c r="AK2867" s="54">
        <f>IF(AND(AJ2867=1,AH2867&lt;&gt;"",COUNTIFS($AH$2:AH2867,AH2867,$AJ$2:AJ2867,1)=1),N(AL2866)+1,"")</f>
        <v/>
      </c>
      <c r="AL2867" s="54">
        <f>IF(AK2867&lt;&gt;"",AK2867,N(AL2866))</f>
        <v/>
      </c>
    </row>
    <row r="2868">
      <c r="A2868" t="inlineStr">
        <is>
          <t>PRD-0956</t>
        </is>
      </c>
      <c r="B2868" t="inlineStr">
        <is>
          <t>Production</t>
        </is>
      </c>
      <c r="AB2868" t="n">
        <v>956</v>
      </c>
      <c r="AD2868" s="52">
        <f>IFERROR(N(IFERROR(INDEX($A2868:$AB2868,MATCH("Xero Invoiced Ex GST",$A$1:$AB$1,0)),"")),0)</f>
        <v/>
      </c>
      <c r="AE2868" s="53">
        <f>IFERROR(INDEX($A2868:$AB2868,MATCH("Xero Invoice Date",$A$1:$AB$1,0)),"")</f>
        <v/>
      </c>
      <c r="AF2868" s="54">
        <f>IF(AND(IFERROR(INDEX($A2868:$AB2868,MATCH("Xero Invoice No",$A$1:$AB$1,0)),"")&amp;""&lt;&gt;"",ISNUMBER(AE2868),AD2868&lt;&gt;0),1,0)</f>
        <v/>
      </c>
      <c r="AG2868" s="55">
        <f>IF(AF2868=1,EOMONTH(AE2868,0),"")</f>
        <v/>
      </c>
      <c r="AH2868" s="9">
        <f>IF(AF2868=1,UPPER(TRIM(IFERROR(INDEX($A2868:$AB2868,MATCH("Client",$A$1:$AB$1,0)),"")&amp;"")),"")</f>
        <v/>
      </c>
      <c r="AI2868" s="9">
        <f>IF(AF2868=1,IFERROR(INDEX($A2868:$AB2868,MATCH("Cost Centre",$A$1:$AB$1,0)),"")&amp;"","")</f>
        <v/>
      </c>
      <c r="AJ2868" s="54">
        <f>IF(AND(AF2868=1,AE2868&gt;=set_FYStart,AE2868&lt;=set_AsAt),1,0)</f>
        <v/>
      </c>
      <c r="AK2868" s="54">
        <f>IF(AND(AJ2868=1,AH2868&lt;&gt;"",COUNTIFS($AH$2:AH2868,AH2868,$AJ$2:AJ2868,1)=1),N(AL2867)+1,"")</f>
        <v/>
      </c>
      <c r="AL2868" s="54">
        <f>IF(AK2868&lt;&gt;"",AK2868,N(AL2867))</f>
        <v/>
      </c>
    </row>
    <row r="2869">
      <c r="A2869" t="inlineStr">
        <is>
          <t>CON-0956</t>
        </is>
      </c>
      <c r="B2869" t="inlineStr">
        <is>
          <t>Consulting</t>
        </is>
      </c>
      <c r="AB2869" t="n">
        <v>956</v>
      </c>
      <c r="AD2869" s="52">
        <f>IFERROR(N(IFERROR(INDEX($A2869:$AB2869,MATCH("Xero Invoiced Ex GST",$A$1:$AB$1,0)),"")),0)</f>
        <v/>
      </c>
      <c r="AE2869" s="53">
        <f>IFERROR(INDEX($A2869:$AB2869,MATCH("Xero Invoice Date",$A$1:$AB$1,0)),"")</f>
        <v/>
      </c>
      <c r="AF2869" s="54">
        <f>IF(AND(IFERROR(INDEX($A2869:$AB2869,MATCH("Xero Invoice No",$A$1:$AB$1,0)),"")&amp;""&lt;&gt;"",ISNUMBER(AE2869),AD2869&lt;&gt;0),1,0)</f>
        <v/>
      </c>
      <c r="AG2869" s="55">
        <f>IF(AF2869=1,EOMONTH(AE2869,0),"")</f>
        <v/>
      </c>
      <c r="AH2869" s="9">
        <f>IF(AF2869=1,UPPER(TRIM(IFERROR(INDEX($A2869:$AB2869,MATCH("Client",$A$1:$AB$1,0)),"")&amp;"")),"")</f>
        <v/>
      </c>
      <c r="AI2869" s="9">
        <f>IF(AF2869=1,IFERROR(INDEX($A2869:$AB2869,MATCH("Cost Centre",$A$1:$AB$1,0)),"")&amp;"","")</f>
        <v/>
      </c>
      <c r="AJ2869" s="54">
        <f>IF(AND(AF2869=1,AE2869&gt;=set_FYStart,AE2869&lt;=set_AsAt),1,0)</f>
        <v/>
      </c>
      <c r="AK2869" s="54">
        <f>IF(AND(AJ2869=1,AH2869&lt;&gt;"",COUNTIFS($AH$2:AH2869,AH2869,$AJ$2:AJ2869,1)=1),N(AL2868)+1,"")</f>
        <v/>
      </c>
      <c r="AL2869" s="54">
        <f>IF(AK2869&lt;&gt;"",AK2869,N(AL2868))</f>
        <v/>
      </c>
    </row>
    <row r="2870">
      <c r="A2870" t="inlineStr">
        <is>
          <t>ONS-0957</t>
        </is>
      </c>
      <c r="B2870" t="inlineStr">
        <is>
          <t>Onsite</t>
        </is>
      </c>
      <c r="AB2870" t="n">
        <v>957</v>
      </c>
      <c r="AD2870" s="52">
        <f>IFERROR(N(IFERROR(INDEX($A2870:$AB2870,MATCH("Xero Invoiced Ex GST",$A$1:$AB$1,0)),"")),0)</f>
        <v/>
      </c>
      <c r="AE2870" s="53">
        <f>IFERROR(INDEX($A2870:$AB2870,MATCH("Xero Invoice Date",$A$1:$AB$1,0)),"")</f>
        <v/>
      </c>
      <c r="AF2870" s="54">
        <f>IF(AND(IFERROR(INDEX($A2870:$AB2870,MATCH("Xero Invoice No",$A$1:$AB$1,0)),"")&amp;""&lt;&gt;"",ISNUMBER(AE2870),AD2870&lt;&gt;0),1,0)</f>
        <v/>
      </c>
      <c r="AG2870" s="55">
        <f>IF(AF2870=1,EOMONTH(AE2870,0),"")</f>
        <v/>
      </c>
      <c r="AH2870" s="9">
        <f>IF(AF2870=1,UPPER(TRIM(IFERROR(INDEX($A2870:$AB2870,MATCH("Client",$A$1:$AB$1,0)),"")&amp;"")),"")</f>
        <v/>
      </c>
      <c r="AI2870" s="9">
        <f>IF(AF2870=1,IFERROR(INDEX($A2870:$AB2870,MATCH("Cost Centre",$A$1:$AB$1,0)),"")&amp;"","")</f>
        <v/>
      </c>
      <c r="AJ2870" s="54">
        <f>IF(AND(AF2870=1,AE2870&gt;=set_FYStart,AE2870&lt;=set_AsAt),1,0)</f>
        <v/>
      </c>
      <c r="AK2870" s="54">
        <f>IF(AND(AJ2870=1,AH2870&lt;&gt;"",COUNTIFS($AH$2:AH2870,AH2870,$AJ$2:AJ2870,1)=1),N(AL2869)+1,"")</f>
        <v/>
      </c>
      <c r="AL2870" s="54">
        <f>IF(AK2870&lt;&gt;"",AK2870,N(AL2869))</f>
        <v/>
      </c>
    </row>
    <row r="2871">
      <c r="A2871" t="inlineStr">
        <is>
          <t>PRD-0957</t>
        </is>
      </c>
      <c r="B2871" t="inlineStr">
        <is>
          <t>Production</t>
        </is>
      </c>
      <c r="AB2871" t="n">
        <v>957</v>
      </c>
      <c r="AD2871" s="52">
        <f>IFERROR(N(IFERROR(INDEX($A2871:$AB2871,MATCH("Xero Invoiced Ex GST",$A$1:$AB$1,0)),"")),0)</f>
        <v/>
      </c>
      <c r="AE2871" s="53">
        <f>IFERROR(INDEX($A2871:$AB2871,MATCH("Xero Invoice Date",$A$1:$AB$1,0)),"")</f>
        <v/>
      </c>
      <c r="AF2871" s="54">
        <f>IF(AND(IFERROR(INDEX($A2871:$AB2871,MATCH("Xero Invoice No",$A$1:$AB$1,0)),"")&amp;""&lt;&gt;"",ISNUMBER(AE2871),AD2871&lt;&gt;0),1,0)</f>
        <v/>
      </c>
      <c r="AG2871" s="55">
        <f>IF(AF2871=1,EOMONTH(AE2871,0),"")</f>
        <v/>
      </c>
      <c r="AH2871" s="9">
        <f>IF(AF2871=1,UPPER(TRIM(IFERROR(INDEX($A2871:$AB2871,MATCH("Client",$A$1:$AB$1,0)),"")&amp;"")),"")</f>
        <v/>
      </c>
      <c r="AI2871" s="9">
        <f>IF(AF2871=1,IFERROR(INDEX($A2871:$AB2871,MATCH("Cost Centre",$A$1:$AB$1,0)),"")&amp;"","")</f>
        <v/>
      </c>
      <c r="AJ2871" s="54">
        <f>IF(AND(AF2871=1,AE2871&gt;=set_FYStart,AE2871&lt;=set_AsAt),1,0)</f>
        <v/>
      </c>
      <c r="AK2871" s="54">
        <f>IF(AND(AJ2871=1,AH2871&lt;&gt;"",COUNTIFS($AH$2:AH2871,AH2871,$AJ$2:AJ2871,1)=1),N(AL2870)+1,"")</f>
        <v/>
      </c>
      <c r="AL2871" s="54">
        <f>IF(AK2871&lt;&gt;"",AK2871,N(AL2870))</f>
        <v/>
      </c>
    </row>
    <row r="2872">
      <c r="A2872" t="inlineStr">
        <is>
          <t>CON-0957</t>
        </is>
      </c>
      <c r="B2872" t="inlineStr">
        <is>
          <t>Consulting</t>
        </is>
      </c>
      <c r="AB2872" t="n">
        <v>957</v>
      </c>
      <c r="AD2872" s="52">
        <f>IFERROR(N(IFERROR(INDEX($A2872:$AB2872,MATCH("Xero Invoiced Ex GST",$A$1:$AB$1,0)),"")),0)</f>
        <v/>
      </c>
      <c r="AE2872" s="53">
        <f>IFERROR(INDEX($A2872:$AB2872,MATCH("Xero Invoice Date",$A$1:$AB$1,0)),"")</f>
        <v/>
      </c>
      <c r="AF2872" s="54">
        <f>IF(AND(IFERROR(INDEX($A2872:$AB2872,MATCH("Xero Invoice No",$A$1:$AB$1,0)),"")&amp;""&lt;&gt;"",ISNUMBER(AE2872),AD2872&lt;&gt;0),1,0)</f>
        <v/>
      </c>
      <c r="AG2872" s="55">
        <f>IF(AF2872=1,EOMONTH(AE2872,0),"")</f>
        <v/>
      </c>
      <c r="AH2872" s="9">
        <f>IF(AF2872=1,UPPER(TRIM(IFERROR(INDEX($A2872:$AB2872,MATCH("Client",$A$1:$AB$1,0)),"")&amp;"")),"")</f>
        <v/>
      </c>
      <c r="AI2872" s="9">
        <f>IF(AF2872=1,IFERROR(INDEX($A2872:$AB2872,MATCH("Cost Centre",$A$1:$AB$1,0)),"")&amp;"","")</f>
        <v/>
      </c>
      <c r="AJ2872" s="54">
        <f>IF(AND(AF2872=1,AE2872&gt;=set_FYStart,AE2872&lt;=set_AsAt),1,0)</f>
        <v/>
      </c>
      <c r="AK2872" s="54">
        <f>IF(AND(AJ2872=1,AH2872&lt;&gt;"",COUNTIFS($AH$2:AH2872,AH2872,$AJ$2:AJ2872,1)=1),N(AL2871)+1,"")</f>
        <v/>
      </c>
      <c r="AL2872" s="54">
        <f>IF(AK2872&lt;&gt;"",AK2872,N(AL2871))</f>
        <v/>
      </c>
    </row>
    <row r="2873">
      <c r="A2873" t="inlineStr">
        <is>
          <t>ONS-0958</t>
        </is>
      </c>
      <c r="B2873" t="inlineStr">
        <is>
          <t>Onsite</t>
        </is>
      </c>
      <c r="AB2873" t="n">
        <v>958</v>
      </c>
      <c r="AD2873" s="52">
        <f>IFERROR(N(IFERROR(INDEX($A2873:$AB2873,MATCH("Xero Invoiced Ex GST",$A$1:$AB$1,0)),"")),0)</f>
        <v/>
      </c>
      <c r="AE2873" s="53">
        <f>IFERROR(INDEX($A2873:$AB2873,MATCH("Xero Invoice Date",$A$1:$AB$1,0)),"")</f>
        <v/>
      </c>
      <c r="AF2873" s="54">
        <f>IF(AND(IFERROR(INDEX($A2873:$AB2873,MATCH("Xero Invoice No",$A$1:$AB$1,0)),"")&amp;""&lt;&gt;"",ISNUMBER(AE2873),AD2873&lt;&gt;0),1,0)</f>
        <v/>
      </c>
      <c r="AG2873" s="55">
        <f>IF(AF2873=1,EOMONTH(AE2873,0),"")</f>
        <v/>
      </c>
      <c r="AH2873" s="9">
        <f>IF(AF2873=1,UPPER(TRIM(IFERROR(INDEX($A2873:$AB2873,MATCH("Client",$A$1:$AB$1,0)),"")&amp;"")),"")</f>
        <v/>
      </c>
      <c r="AI2873" s="9">
        <f>IF(AF2873=1,IFERROR(INDEX($A2873:$AB2873,MATCH("Cost Centre",$A$1:$AB$1,0)),"")&amp;"","")</f>
        <v/>
      </c>
      <c r="AJ2873" s="54">
        <f>IF(AND(AF2873=1,AE2873&gt;=set_FYStart,AE2873&lt;=set_AsAt),1,0)</f>
        <v/>
      </c>
      <c r="AK2873" s="54">
        <f>IF(AND(AJ2873=1,AH2873&lt;&gt;"",COUNTIFS($AH$2:AH2873,AH2873,$AJ$2:AJ2873,1)=1),N(AL2872)+1,"")</f>
        <v/>
      </c>
      <c r="AL2873" s="54">
        <f>IF(AK2873&lt;&gt;"",AK2873,N(AL2872))</f>
        <v/>
      </c>
    </row>
    <row r="2874">
      <c r="A2874" t="inlineStr">
        <is>
          <t>PRD-0958</t>
        </is>
      </c>
      <c r="B2874" t="inlineStr">
        <is>
          <t>Production</t>
        </is>
      </c>
      <c r="AB2874" t="n">
        <v>958</v>
      </c>
      <c r="AD2874" s="52">
        <f>IFERROR(N(IFERROR(INDEX($A2874:$AB2874,MATCH("Xero Invoiced Ex GST",$A$1:$AB$1,0)),"")),0)</f>
        <v/>
      </c>
      <c r="AE2874" s="53">
        <f>IFERROR(INDEX($A2874:$AB2874,MATCH("Xero Invoice Date",$A$1:$AB$1,0)),"")</f>
        <v/>
      </c>
      <c r="AF2874" s="54">
        <f>IF(AND(IFERROR(INDEX($A2874:$AB2874,MATCH("Xero Invoice No",$A$1:$AB$1,0)),"")&amp;""&lt;&gt;"",ISNUMBER(AE2874),AD2874&lt;&gt;0),1,0)</f>
        <v/>
      </c>
      <c r="AG2874" s="55">
        <f>IF(AF2874=1,EOMONTH(AE2874,0),"")</f>
        <v/>
      </c>
      <c r="AH2874" s="9">
        <f>IF(AF2874=1,UPPER(TRIM(IFERROR(INDEX($A2874:$AB2874,MATCH("Client",$A$1:$AB$1,0)),"")&amp;"")),"")</f>
        <v/>
      </c>
      <c r="AI2874" s="9">
        <f>IF(AF2874=1,IFERROR(INDEX($A2874:$AB2874,MATCH("Cost Centre",$A$1:$AB$1,0)),"")&amp;"","")</f>
        <v/>
      </c>
      <c r="AJ2874" s="54">
        <f>IF(AND(AF2874=1,AE2874&gt;=set_FYStart,AE2874&lt;=set_AsAt),1,0)</f>
        <v/>
      </c>
      <c r="AK2874" s="54">
        <f>IF(AND(AJ2874=1,AH2874&lt;&gt;"",COUNTIFS($AH$2:AH2874,AH2874,$AJ$2:AJ2874,1)=1),N(AL2873)+1,"")</f>
        <v/>
      </c>
      <c r="AL2874" s="54">
        <f>IF(AK2874&lt;&gt;"",AK2874,N(AL2873))</f>
        <v/>
      </c>
    </row>
    <row r="2875">
      <c r="A2875" t="inlineStr">
        <is>
          <t>CON-0958</t>
        </is>
      </c>
      <c r="B2875" t="inlineStr">
        <is>
          <t>Consulting</t>
        </is>
      </c>
      <c r="AB2875" t="n">
        <v>958</v>
      </c>
      <c r="AD2875" s="52">
        <f>IFERROR(N(IFERROR(INDEX($A2875:$AB2875,MATCH("Xero Invoiced Ex GST",$A$1:$AB$1,0)),"")),0)</f>
        <v/>
      </c>
      <c r="AE2875" s="53">
        <f>IFERROR(INDEX($A2875:$AB2875,MATCH("Xero Invoice Date",$A$1:$AB$1,0)),"")</f>
        <v/>
      </c>
      <c r="AF2875" s="54">
        <f>IF(AND(IFERROR(INDEX($A2875:$AB2875,MATCH("Xero Invoice No",$A$1:$AB$1,0)),"")&amp;""&lt;&gt;"",ISNUMBER(AE2875),AD2875&lt;&gt;0),1,0)</f>
        <v/>
      </c>
      <c r="AG2875" s="55">
        <f>IF(AF2875=1,EOMONTH(AE2875,0),"")</f>
        <v/>
      </c>
      <c r="AH2875" s="9">
        <f>IF(AF2875=1,UPPER(TRIM(IFERROR(INDEX($A2875:$AB2875,MATCH("Client",$A$1:$AB$1,0)),"")&amp;"")),"")</f>
        <v/>
      </c>
      <c r="AI2875" s="9">
        <f>IF(AF2875=1,IFERROR(INDEX($A2875:$AB2875,MATCH("Cost Centre",$A$1:$AB$1,0)),"")&amp;"","")</f>
        <v/>
      </c>
      <c r="AJ2875" s="54">
        <f>IF(AND(AF2875=1,AE2875&gt;=set_FYStart,AE2875&lt;=set_AsAt),1,0)</f>
        <v/>
      </c>
      <c r="AK2875" s="54">
        <f>IF(AND(AJ2875=1,AH2875&lt;&gt;"",COUNTIFS($AH$2:AH2875,AH2875,$AJ$2:AJ2875,1)=1),N(AL2874)+1,"")</f>
        <v/>
      </c>
      <c r="AL2875" s="54">
        <f>IF(AK2875&lt;&gt;"",AK2875,N(AL2874))</f>
        <v/>
      </c>
    </row>
    <row r="2876">
      <c r="A2876" t="inlineStr">
        <is>
          <t>ONS-0959</t>
        </is>
      </c>
      <c r="B2876" t="inlineStr">
        <is>
          <t>Onsite</t>
        </is>
      </c>
      <c r="AB2876" t="n">
        <v>959</v>
      </c>
      <c r="AD2876" s="52">
        <f>IFERROR(N(IFERROR(INDEX($A2876:$AB2876,MATCH("Xero Invoiced Ex GST",$A$1:$AB$1,0)),"")),0)</f>
        <v/>
      </c>
      <c r="AE2876" s="53">
        <f>IFERROR(INDEX($A2876:$AB2876,MATCH("Xero Invoice Date",$A$1:$AB$1,0)),"")</f>
        <v/>
      </c>
      <c r="AF2876" s="54">
        <f>IF(AND(IFERROR(INDEX($A2876:$AB2876,MATCH("Xero Invoice No",$A$1:$AB$1,0)),"")&amp;""&lt;&gt;"",ISNUMBER(AE2876),AD2876&lt;&gt;0),1,0)</f>
        <v/>
      </c>
      <c r="AG2876" s="55">
        <f>IF(AF2876=1,EOMONTH(AE2876,0),"")</f>
        <v/>
      </c>
      <c r="AH2876" s="9">
        <f>IF(AF2876=1,UPPER(TRIM(IFERROR(INDEX($A2876:$AB2876,MATCH("Client",$A$1:$AB$1,0)),"")&amp;"")),"")</f>
        <v/>
      </c>
      <c r="AI2876" s="9">
        <f>IF(AF2876=1,IFERROR(INDEX($A2876:$AB2876,MATCH("Cost Centre",$A$1:$AB$1,0)),"")&amp;"","")</f>
        <v/>
      </c>
      <c r="AJ2876" s="54">
        <f>IF(AND(AF2876=1,AE2876&gt;=set_FYStart,AE2876&lt;=set_AsAt),1,0)</f>
        <v/>
      </c>
      <c r="AK2876" s="54">
        <f>IF(AND(AJ2876=1,AH2876&lt;&gt;"",COUNTIFS($AH$2:AH2876,AH2876,$AJ$2:AJ2876,1)=1),N(AL2875)+1,"")</f>
        <v/>
      </c>
      <c r="AL2876" s="54">
        <f>IF(AK2876&lt;&gt;"",AK2876,N(AL2875))</f>
        <v/>
      </c>
    </row>
    <row r="2877">
      <c r="A2877" t="inlineStr">
        <is>
          <t>PRD-0959</t>
        </is>
      </c>
      <c r="B2877" t="inlineStr">
        <is>
          <t>Production</t>
        </is>
      </c>
      <c r="AB2877" t="n">
        <v>959</v>
      </c>
      <c r="AD2877" s="52">
        <f>IFERROR(N(IFERROR(INDEX($A2877:$AB2877,MATCH("Xero Invoiced Ex GST",$A$1:$AB$1,0)),"")),0)</f>
        <v/>
      </c>
      <c r="AE2877" s="53">
        <f>IFERROR(INDEX($A2877:$AB2877,MATCH("Xero Invoice Date",$A$1:$AB$1,0)),"")</f>
        <v/>
      </c>
      <c r="AF2877" s="54">
        <f>IF(AND(IFERROR(INDEX($A2877:$AB2877,MATCH("Xero Invoice No",$A$1:$AB$1,0)),"")&amp;""&lt;&gt;"",ISNUMBER(AE2877),AD2877&lt;&gt;0),1,0)</f>
        <v/>
      </c>
      <c r="AG2877" s="55">
        <f>IF(AF2877=1,EOMONTH(AE2877,0),"")</f>
        <v/>
      </c>
      <c r="AH2877" s="9">
        <f>IF(AF2877=1,UPPER(TRIM(IFERROR(INDEX($A2877:$AB2877,MATCH("Client",$A$1:$AB$1,0)),"")&amp;"")),"")</f>
        <v/>
      </c>
      <c r="AI2877" s="9">
        <f>IF(AF2877=1,IFERROR(INDEX($A2877:$AB2877,MATCH("Cost Centre",$A$1:$AB$1,0)),"")&amp;"","")</f>
        <v/>
      </c>
      <c r="AJ2877" s="54">
        <f>IF(AND(AF2877=1,AE2877&gt;=set_FYStart,AE2877&lt;=set_AsAt),1,0)</f>
        <v/>
      </c>
      <c r="AK2877" s="54">
        <f>IF(AND(AJ2877=1,AH2877&lt;&gt;"",COUNTIFS($AH$2:AH2877,AH2877,$AJ$2:AJ2877,1)=1),N(AL2876)+1,"")</f>
        <v/>
      </c>
      <c r="AL2877" s="54">
        <f>IF(AK2877&lt;&gt;"",AK2877,N(AL2876))</f>
        <v/>
      </c>
    </row>
    <row r="2878">
      <c r="A2878" t="inlineStr">
        <is>
          <t>CON-0959</t>
        </is>
      </c>
      <c r="B2878" t="inlineStr">
        <is>
          <t>Consulting</t>
        </is>
      </c>
      <c r="AB2878" t="n">
        <v>959</v>
      </c>
      <c r="AD2878" s="52">
        <f>IFERROR(N(IFERROR(INDEX($A2878:$AB2878,MATCH("Xero Invoiced Ex GST",$A$1:$AB$1,0)),"")),0)</f>
        <v/>
      </c>
      <c r="AE2878" s="53">
        <f>IFERROR(INDEX($A2878:$AB2878,MATCH("Xero Invoice Date",$A$1:$AB$1,0)),"")</f>
        <v/>
      </c>
      <c r="AF2878" s="54">
        <f>IF(AND(IFERROR(INDEX($A2878:$AB2878,MATCH("Xero Invoice No",$A$1:$AB$1,0)),"")&amp;""&lt;&gt;"",ISNUMBER(AE2878),AD2878&lt;&gt;0),1,0)</f>
        <v/>
      </c>
      <c r="AG2878" s="55">
        <f>IF(AF2878=1,EOMONTH(AE2878,0),"")</f>
        <v/>
      </c>
      <c r="AH2878" s="9">
        <f>IF(AF2878=1,UPPER(TRIM(IFERROR(INDEX($A2878:$AB2878,MATCH("Client",$A$1:$AB$1,0)),"")&amp;"")),"")</f>
        <v/>
      </c>
      <c r="AI2878" s="9">
        <f>IF(AF2878=1,IFERROR(INDEX($A2878:$AB2878,MATCH("Cost Centre",$A$1:$AB$1,0)),"")&amp;"","")</f>
        <v/>
      </c>
      <c r="AJ2878" s="54">
        <f>IF(AND(AF2878=1,AE2878&gt;=set_FYStart,AE2878&lt;=set_AsAt),1,0)</f>
        <v/>
      </c>
      <c r="AK2878" s="54">
        <f>IF(AND(AJ2878=1,AH2878&lt;&gt;"",COUNTIFS($AH$2:AH2878,AH2878,$AJ$2:AJ2878,1)=1),N(AL2877)+1,"")</f>
        <v/>
      </c>
      <c r="AL2878" s="54">
        <f>IF(AK2878&lt;&gt;"",AK2878,N(AL2877))</f>
        <v/>
      </c>
    </row>
    <row r="2879">
      <c r="A2879" t="inlineStr">
        <is>
          <t>ONS-0960</t>
        </is>
      </c>
      <c r="B2879" t="inlineStr">
        <is>
          <t>Onsite</t>
        </is>
      </c>
      <c r="AB2879" t="n">
        <v>960</v>
      </c>
      <c r="AD2879" s="52">
        <f>IFERROR(N(IFERROR(INDEX($A2879:$AB2879,MATCH("Xero Invoiced Ex GST",$A$1:$AB$1,0)),"")),0)</f>
        <v/>
      </c>
      <c r="AE2879" s="53">
        <f>IFERROR(INDEX($A2879:$AB2879,MATCH("Xero Invoice Date",$A$1:$AB$1,0)),"")</f>
        <v/>
      </c>
      <c r="AF2879" s="54">
        <f>IF(AND(IFERROR(INDEX($A2879:$AB2879,MATCH("Xero Invoice No",$A$1:$AB$1,0)),"")&amp;""&lt;&gt;"",ISNUMBER(AE2879),AD2879&lt;&gt;0),1,0)</f>
        <v/>
      </c>
      <c r="AG2879" s="55">
        <f>IF(AF2879=1,EOMONTH(AE2879,0),"")</f>
        <v/>
      </c>
      <c r="AH2879" s="9">
        <f>IF(AF2879=1,UPPER(TRIM(IFERROR(INDEX($A2879:$AB2879,MATCH("Client",$A$1:$AB$1,0)),"")&amp;"")),"")</f>
        <v/>
      </c>
      <c r="AI2879" s="9">
        <f>IF(AF2879=1,IFERROR(INDEX($A2879:$AB2879,MATCH("Cost Centre",$A$1:$AB$1,0)),"")&amp;"","")</f>
        <v/>
      </c>
      <c r="AJ2879" s="54">
        <f>IF(AND(AF2879=1,AE2879&gt;=set_FYStart,AE2879&lt;=set_AsAt),1,0)</f>
        <v/>
      </c>
      <c r="AK2879" s="54">
        <f>IF(AND(AJ2879=1,AH2879&lt;&gt;"",COUNTIFS($AH$2:AH2879,AH2879,$AJ$2:AJ2879,1)=1),N(AL2878)+1,"")</f>
        <v/>
      </c>
      <c r="AL2879" s="54">
        <f>IF(AK2879&lt;&gt;"",AK2879,N(AL2878))</f>
        <v/>
      </c>
    </row>
    <row r="2880">
      <c r="A2880" t="inlineStr">
        <is>
          <t>PRD-0960</t>
        </is>
      </c>
      <c r="B2880" t="inlineStr">
        <is>
          <t>Production</t>
        </is>
      </c>
      <c r="AB2880" t="n">
        <v>960</v>
      </c>
      <c r="AD2880" s="52">
        <f>IFERROR(N(IFERROR(INDEX($A2880:$AB2880,MATCH("Xero Invoiced Ex GST",$A$1:$AB$1,0)),"")),0)</f>
        <v/>
      </c>
      <c r="AE2880" s="53">
        <f>IFERROR(INDEX($A2880:$AB2880,MATCH("Xero Invoice Date",$A$1:$AB$1,0)),"")</f>
        <v/>
      </c>
      <c r="AF2880" s="54">
        <f>IF(AND(IFERROR(INDEX($A2880:$AB2880,MATCH("Xero Invoice No",$A$1:$AB$1,0)),"")&amp;""&lt;&gt;"",ISNUMBER(AE2880),AD2880&lt;&gt;0),1,0)</f>
        <v/>
      </c>
      <c r="AG2880" s="55">
        <f>IF(AF2880=1,EOMONTH(AE2880,0),"")</f>
        <v/>
      </c>
      <c r="AH2880" s="9">
        <f>IF(AF2880=1,UPPER(TRIM(IFERROR(INDEX($A2880:$AB2880,MATCH("Client",$A$1:$AB$1,0)),"")&amp;"")),"")</f>
        <v/>
      </c>
      <c r="AI2880" s="9">
        <f>IF(AF2880=1,IFERROR(INDEX($A2880:$AB2880,MATCH("Cost Centre",$A$1:$AB$1,0)),"")&amp;"","")</f>
        <v/>
      </c>
      <c r="AJ2880" s="54">
        <f>IF(AND(AF2880=1,AE2880&gt;=set_FYStart,AE2880&lt;=set_AsAt),1,0)</f>
        <v/>
      </c>
      <c r="AK2880" s="54">
        <f>IF(AND(AJ2880=1,AH2880&lt;&gt;"",COUNTIFS($AH$2:AH2880,AH2880,$AJ$2:AJ2880,1)=1),N(AL2879)+1,"")</f>
        <v/>
      </c>
      <c r="AL2880" s="54">
        <f>IF(AK2880&lt;&gt;"",AK2880,N(AL2879))</f>
        <v/>
      </c>
    </row>
    <row r="2881">
      <c r="A2881" t="inlineStr">
        <is>
          <t>CON-0960</t>
        </is>
      </c>
      <c r="B2881" t="inlineStr">
        <is>
          <t>Consulting</t>
        </is>
      </c>
      <c r="AB2881" t="n">
        <v>960</v>
      </c>
      <c r="AD2881" s="52">
        <f>IFERROR(N(IFERROR(INDEX($A2881:$AB2881,MATCH("Xero Invoiced Ex GST",$A$1:$AB$1,0)),"")),0)</f>
        <v/>
      </c>
      <c r="AE2881" s="53">
        <f>IFERROR(INDEX($A2881:$AB2881,MATCH("Xero Invoice Date",$A$1:$AB$1,0)),"")</f>
        <v/>
      </c>
      <c r="AF2881" s="54">
        <f>IF(AND(IFERROR(INDEX($A2881:$AB2881,MATCH("Xero Invoice No",$A$1:$AB$1,0)),"")&amp;""&lt;&gt;"",ISNUMBER(AE2881),AD2881&lt;&gt;0),1,0)</f>
        <v/>
      </c>
      <c r="AG2881" s="55">
        <f>IF(AF2881=1,EOMONTH(AE2881,0),"")</f>
        <v/>
      </c>
      <c r="AH2881" s="9">
        <f>IF(AF2881=1,UPPER(TRIM(IFERROR(INDEX($A2881:$AB2881,MATCH("Client",$A$1:$AB$1,0)),"")&amp;"")),"")</f>
        <v/>
      </c>
      <c r="AI2881" s="9">
        <f>IF(AF2881=1,IFERROR(INDEX($A2881:$AB2881,MATCH("Cost Centre",$A$1:$AB$1,0)),"")&amp;"","")</f>
        <v/>
      </c>
      <c r="AJ2881" s="54">
        <f>IF(AND(AF2881=1,AE2881&gt;=set_FYStart,AE2881&lt;=set_AsAt),1,0)</f>
        <v/>
      </c>
      <c r="AK2881" s="54">
        <f>IF(AND(AJ2881=1,AH2881&lt;&gt;"",COUNTIFS($AH$2:AH2881,AH2881,$AJ$2:AJ2881,1)=1),N(AL2880)+1,"")</f>
        <v/>
      </c>
      <c r="AL2881" s="54">
        <f>IF(AK2881&lt;&gt;"",AK2881,N(AL2880))</f>
        <v/>
      </c>
    </row>
    <row r="2882">
      <c r="A2882" t="inlineStr">
        <is>
          <t>ONS-0961</t>
        </is>
      </c>
      <c r="B2882" t="inlineStr">
        <is>
          <t>Onsite</t>
        </is>
      </c>
      <c r="AB2882" t="n">
        <v>961</v>
      </c>
      <c r="AD2882" s="52">
        <f>IFERROR(N(IFERROR(INDEX($A2882:$AB2882,MATCH("Xero Invoiced Ex GST",$A$1:$AB$1,0)),"")),0)</f>
        <v/>
      </c>
      <c r="AE2882" s="53">
        <f>IFERROR(INDEX($A2882:$AB2882,MATCH("Xero Invoice Date",$A$1:$AB$1,0)),"")</f>
        <v/>
      </c>
      <c r="AF2882" s="54">
        <f>IF(AND(IFERROR(INDEX($A2882:$AB2882,MATCH("Xero Invoice No",$A$1:$AB$1,0)),"")&amp;""&lt;&gt;"",ISNUMBER(AE2882),AD2882&lt;&gt;0),1,0)</f>
        <v/>
      </c>
      <c r="AG2882" s="55">
        <f>IF(AF2882=1,EOMONTH(AE2882,0),"")</f>
        <v/>
      </c>
      <c r="AH2882" s="9">
        <f>IF(AF2882=1,UPPER(TRIM(IFERROR(INDEX($A2882:$AB2882,MATCH("Client",$A$1:$AB$1,0)),"")&amp;"")),"")</f>
        <v/>
      </c>
      <c r="AI2882" s="9">
        <f>IF(AF2882=1,IFERROR(INDEX($A2882:$AB2882,MATCH("Cost Centre",$A$1:$AB$1,0)),"")&amp;"","")</f>
        <v/>
      </c>
      <c r="AJ2882" s="54">
        <f>IF(AND(AF2882=1,AE2882&gt;=set_FYStart,AE2882&lt;=set_AsAt),1,0)</f>
        <v/>
      </c>
      <c r="AK2882" s="54">
        <f>IF(AND(AJ2882=1,AH2882&lt;&gt;"",COUNTIFS($AH$2:AH2882,AH2882,$AJ$2:AJ2882,1)=1),N(AL2881)+1,"")</f>
        <v/>
      </c>
      <c r="AL2882" s="54">
        <f>IF(AK2882&lt;&gt;"",AK2882,N(AL2881))</f>
        <v/>
      </c>
    </row>
    <row r="2883">
      <c r="A2883" t="inlineStr">
        <is>
          <t>PRD-0961</t>
        </is>
      </c>
      <c r="B2883" t="inlineStr">
        <is>
          <t>Production</t>
        </is>
      </c>
      <c r="AB2883" t="n">
        <v>961</v>
      </c>
      <c r="AD2883" s="52">
        <f>IFERROR(N(IFERROR(INDEX($A2883:$AB2883,MATCH("Xero Invoiced Ex GST",$A$1:$AB$1,0)),"")),0)</f>
        <v/>
      </c>
      <c r="AE2883" s="53">
        <f>IFERROR(INDEX($A2883:$AB2883,MATCH("Xero Invoice Date",$A$1:$AB$1,0)),"")</f>
        <v/>
      </c>
      <c r="AF2883" s="54">
        <f>IF(AND(IFERROR(INDEX($A2883:$AB2883,MATCH("Xero Invoice No",$A$1:$AB$1,0)),"")&amp;""&lt;&gt;"",ISNUMBER(AE2883),AD2883&lt;&gt;0),1,0)</f>
        <v/>
      </c>
      <c r="AG2883" s="55">
        <f>IF(AF2883=1,EOMONTH(AE2883,0),"")</f>
        <v/>
      </c>
      <c r="AH2883" s="9">
        <f>IF(AF2883=1,UPPER(TRIM(IFERROR(INDEX($A2883:$AB2883,MATCH("Client",$A$1:$AB$1,0)),"")&amp;"")),"")</f>
        <v/>
      </c>
      <c r="AI2883" s="9">
        <f>IF(AF2883=1,IFERROR(INDEX($A2883:$AB2883,MATCH("Cost Centre",$A$1:$AB$1,0)),"")&amp;"","")</f>
        <v/>
      </c>
      <c r="AJ2883" s="54">
        <f>IF(AND(AF2883=1,AE2883&gt;=set_FYStart,AE2883&lt;=set_AsAt),1,0)</f>
        <v/>
      </c>
      <c r="AK2883" s="54">
        <f>IF(AND(AJ2883=1,AH2883&lt;&gt;"",COUNTIFS($AH$2:AH2883,AH2883,$AJ$2:AJ2883,1)=1),N(AL2882)+1,"")</f>
        <v/>
      </c>
      <c r="AL2883" s="54">
        <f>IF(AK2883&lt;&gt;"",AK2883,N(AL2882))</f>
        <v/>
      </c>
    </row>
    <row r="2884">
      <c r="A2884" t="inlineStr">
        <is>
          <t>CON-0961</t>
        </is>
      </c>
      <c r="B2884" t="inlineStr">
        <is>
          <t>Consulting</t>
        </is>
      </c>
      <c r="AB2884" t="n">
        <v>961</v>
      </c>
      <c r="AD2884" s="52">
        <f>IFERROR(N(IFERROR(INDEX($A2884:$AB2884,MATCH("Xero Invoiced Ex GST",$A$1:$AB$1,0)),"")),0)</f>
        <v/>
      </c>
      <c r="AE2884" s="53">
        <f>IFERROR(INDEX($A2884:$AB2884,MATCH("Xero Invoice Date",$A$1:$AB$1,0)),"")</f>
        <v/>
      </c>
      <c r="AF2884" s="54">
        <f>IF(AND(IFERROR(INDEX($A2884:$AB2884,MATCH("Xero Invoice No",$A$1:$AB$1,0)),"")&amp;""&lt;&gt;"",ISNUMBER(AE2884),AD2884&lt;&gt;0),1,0)</f>
        <v/>
      </c>
      <c r="AG2884" s="55">
        <f>IF(AF2884=1,EOMONTH(AE2884,0),"")</f>
        <v/>
      </c>
      <c r="AH2884" s="9">
        <f>IF(AF2884=1,UPPER(TRIM(IFERROR(INDEX($A2884:$AB2884,MATCH("Client",$A$1:$AB$1,0)),"")&amp;"")),"")</f>
        <v/>
      </c>
      <c r="AI2884" s="9">
        <f>IF(AF2884=1,IFERROR(INDEX($A2884:$AB2884,MATCH("Cost Centre",$A$1:$AB$1,0)),"")&amp;"","")</f>
        <v/>
      </c>
      <c r="AJ2884" s="54">
        <f>IF(AND(AF2884=1,AE2884&gt;=set_FYStart,AE2884&lt;=set_AsAt),1,0)</f>
        <v/>
      </c>
      <c r="AK2884" s="54">
        <f>IF(AND(AJ2884=1,AH2884&lt;&gt;"",COUNTIFS($AH$2:AH2884,AH2884,$AJ$2:AJ2884,1)=1),N(AL2883)+1,"")</f>
        <v/>
      </c>
      <c r="AL2884" s="54">
        <f>IF(AK2884&lt;&gt;"",AK2884,N(AL2883))</f>
        <v/>
      </c>
    </row>
    <row r="2885">
      <c r="A2885" t="inlineStr">
        <is>
          <t>ONS-0962</t>
        </is>
      </c>
      <c r="B2885" t="inlineStr">
        <is>
          <t>Onsite</t>
        </is>
      </c>
      <c r="AB2885" t="n">
        <v>962</v>
      </c>
      <c r="AD2885" s="52">
        <f>IFERROR(N(IFERROR(INDEX($A2885:$AB2885,MATCH("Xero Invoiced Ex GST",$A$1:$AB$1,0)),"")),0)</f>
        <v/>
      </c>
      <c r="AE2885" s="53">
        <f>IFERROR(INDEX($A2885:$AB2885,MATCH("Xero Invoice Date",$A$1:$AB$1,0)),"")</f>
        <v/>
      </c>
      <c r="AF2885" s="54">
        <f>IF(AND(IFERROR(INDEX($A2885:$AB2885,MATCH("Xero Invoice No",$A$1:$AB$1,0)),"")&amp;""&lt;&gt;"",ISNUMBER(AE2885),AD2885&lt;&gt;0),1,0)</f>
        <v/>
      </c>
      <c r="AG2885" s="55">
        <f>IF(AF2885=1,EOMONTH(AE2885,0),"")</f>
        <v/>
      </c>
      <c r="AH2885" s="9">
        <f>IF(AF2885=1,UPPER(TRIM(IFERROR(INDEX($A2885:$AB2885,MATCH("Client",$A$1:$AB$1,0)),"")&amp;"")),"")</f>
        <v/>
      </c>
      <c r="AI2885" s="9">
        <f>IF(AF2885=1,IFERROR(INDEX($A2885:$AB2885,MATCH("Cost Centre",$A$1:$AB$1,0)),"")&amp;"","")</f>
        <v/>
      </c>
      <c r="AJ2885" s="54">
        <f>IF(AND(AF2885=1,AE2885&gt;=set_FYStart,AE2885&lt;=set_AsAt),1,0)</f>
        <v/>
      </c>
      <c r="AK2885" s="54">
        <f>IF(AND(AJ2885=1,AH2885&lt;&gt;"",COUNTIFS($AH$2:AH2885,AH2885,$AJ$2:AJ2885,1)=1),N(AL2884)+1,"")</f>
        <v/>
      </c>
      <c r="AL2885" s="54">
        <f>IF(AK2885&lt;&gt;"",AK2885,N(AL2884))</f>
        <v/>
      </c>
    </row>
    <row r="2886">
      <c r="A2886" t="inlineStr">
        <is>
          <t>PRD-0962</t>
        </is>
      </c>
      <c r="B2886" t="inlineStr">
        <is>
          <t>Production</t>
        </is>
      </c>
      <c r="AB2886" t="n">
        <v>962</v>
      </c>
      <c r="AD2886" s="52">
        <f>IFERROR(N(IFERROR(INDEX($A2886:$AB2886,MATCH("Xero Invoiced Ex GST",$A$1:$AB$1,0)),"")),0)</f>
        <v/>
      </c>
      <c r="AE2886" s="53">
        <f>IFERROR(INDEX($A2886:$AB2886,MATCH("Xero Invoice Date",$A$1:$AB$1,0)),"")</f>
        <v/>
      </c>
      <c r="AF2886" s="54">
        <f>IF(AND(IFERROR(INDEX($A2886:$AB2886,MATCH("Xero Invoice No",$A$1:$AB$1,0)),"")&amp;""&lt;&gt;"",ISNUMBER(AE2886),AD2886&lt;&gt;0),1,0)</f>
        <v/>
      </c>
      <c r="AG2886" s="55">
        <f>IF(AF2886=1,EOMONTH(AE2886,0),"")</f>
        <v/>
      </c>
      <c r="AH2886" s="9">
        <f>IF(AF2886=1,UPPER(TRIM(IFERROR(INDEX($A2886:$AB2886,MATCH("Client",$A$1:$AB$1,0)),"")&amp;"")),"")</f>
        <v/>
      </c>
      <c r="AI2886" s="9">
        <f>IF(AF2886=1,IFERROR(INDEX($A2886:$AB2886,MATCH("Cost Centre",$A$1:$AB$1,0)),"")&amp;"","")</f>
        <v/>
      </c>
      <c r="AJ2886" s="54">
        <f>IF(AND(AF2886=1,AE2886&gt;=set_FYStart,AE2886&lt;=set_AsAt),1,0)</f>
        <v/>
      </c>
      <c r="AK2886" s="54">
        <f>IF(AND(AJ2886=1,AH2886&lt;&gt;"",COUNTIFS($AH$2:AH2886,AH2886,$AJ$2:AJ2886,1)=1),N(AL2885)+1,"")</f>
        <v/>
      </c>
      <c r="AL2886" s="54">
        <f>IF(AK2886&lt;&gt;"",AK2886,N(AL2885))</f>
        <v/>
      </c>
    </row>
    <row r="2887">
      <c r="A2887" t="inlineStr">
        <is>
          <t>CON-0962</t>
        </is>
      </c>
      <c r="B2887" t="inlineStr">
        <is>
          <t>Consulting</t>
        </is>
      </c>
      <c r="AB2887" t="n">
        <v>962</v>
      </c>
      <c r="AD2887" s="52">
        <f>IFERROR(N(IFERROR(INDEX($A2887:$AB2887,MATCH("Xero Invoiced Ex GST",$A$1:$AB$1,0)),"")),0)</f>
        <v/>
      </c>
      <c r="AE2887" s="53">
        <f>IFERROR(INDEX($A2887:$AB2887,MATCH("Xero Invoice Date",$A$1:$AB$1,0)),"")</f>
        <v/>
      </c>
      <c r="AF2887" s="54">
        <f>IF(AND(IFERROR(INDEX($A2887:$AB2887,MATCH("Xero Invoice No",$A$1:$AB$1,0)),"")&amp;""&lt;&gt;"",ISNUMBER(AE2887),AD2887&lt;&gt;0),1,0)</f>
        <v/>
      </c>
      <c r="AG2887" s="55">
        <f>IF(AF2887=1,EOMONTH(AE2887,0),"")</f>
        <v/>
      </c>
      <c r="AH2887" s="9">
        <f>IF(AF2887=1,UPPER(TRIM(IFERROR(INDEX($A2887:$AB2887,MATCH("Client",$A$1:$AB$1,0)),"")&amp;"")),"")</f>
        <v/>
      </c>
      <c r="AI2887" s="9">
        <f>IF(AF2887=1,IFERROR(INDEX($A2887:$AB2887,MATCH("Cost Centre",$A$1:$AB$1,0)),"")&amp;"","")</f>
        <v/>
      </c>
      <c r="AJ2887" s="54">
        <f>IF(AND(AF2887=1,AE2887&gt;=set_FYStart,AE2887&lt;=set_AsAt),1,0)</f>
        <v/>
      </c>
      <c r="AK2887" s="54">
        <f>IF(AND(AJ2887=1,AH2887&lt;&gt;"",COUNTIFS($AH$2:AH2887,AH2887,$AJ$2:AJ2887,1)=1),N(AL2886)+1,"")</f>
        <v/>
      </c>
      <c r="AL2887" s="54">
        <f>IF(AK2887&lt;&gt;"",AK2887,N(AL2886))</f>
        <v/>
      </c>
    </row>
    <row r="2888">
      <c r="A2888" t="inlineStr">
        <is>
          <t>ONS-0963</t>
        </is>
      </c>
      <c r="B2888" t="inlineStr">
        <is>
          <t>Onsite</t>
        </is>
      </c>
      <c r="AB2888" t="n">
        <v>963</v>
      </c>
      <c r="AD2888" s="52">
        <f>IFERROR(N(IFERROR(INDEX($A2888:$AB2888,MATCH("Xero Invoiced Ex GST",$A$1:$AB$1,0)),"")),0)</f>
        <v/>
      </c>
      <c r="AE2888" s="53">
        <f>IFERROR(INDEX($A2888:$AB2888,MATCH("Xero Invoice Date",$A$1:$AB$1,0)),"")</f>
        <v/>
      </c>
      <c r="AF2888" s="54">
        <f>IF(AND(IFERROR(INDEX($A2888:$AB2888,MATCH("Xero Invoice No",$A$1:$AB$1,0)),"")&amp;""&lt;&gt;"",ISNUMBER(AE2888),AD2888&lt;&gt;0),1,0)</f>
        <v/>
      </c>
      <c r="AG2888" s="55">
        <f>IF(AF2888=1,EOMONTH(AE2888,0),"")</f>
        <v/>
      </c>
      <c r="AH2888" s="9">
        <f>IF(AF2888=1,UPPER(TRIM(IFERROR(INDEX($A2888:$AB2888,MATCH("Client",$A$1:$AB$1,0)),"")&amp;"")),"")</f>
        <v/>
      </c>
      <c r="AI2888" s="9">
        <f>IF(AF2888=1,IFERROR(INDEX($A2888:$AB2888,MATCH("Cost Centre",$A$1:$AB$1,0)),"")&amp;"","")</f>
        <v/>
      </c>
      <c r="AJ2888" s="54">
        <f>IF(AND(AF2888=1,AE2888&gt;=set_FYStart,AE2888&lt;=set_AsAt),1,0)</f>
        <v/>
      </c>
      <c r="AK2888" s="54">
        <f>IF(AND(AJ2888=1,AH2888&lt;&gt;"",COUNTIFS($AH$2:AH2888,AH2888,$AJ$2:AJ2888,1)=1),N(AL2887)+1,"")</f>
        <v/>
      </c>
      <c r="AL2888" s="54">
        <f>IF(AK2888&lt;&gt;"",AK2888,N(AL2887))</f>
        <v/>
      </c>
    </row>
    <row r="2889">
      <c r="A2889" t="inlineStr">
        <is>
          <t>PRD-0963</t>
        </is>
      </c>
      <c r="B2889" t="inlineStr">
        <is>
          <t>Production</t>
        </is>
      </c>
      <c r="AB2889" t="n">
        <v>963</v>
      </c>
      <c r="AD2889" s="52">
        <f>IFERROR(N(IFERROR(INDEX($A2889:$AB2889,MATCH("Xero Invoiced Ex GST",$A$1:$AB$1,0)),"")),0)</f>
        <v/>
      </c>
      <c r="AE2889" s="53">
        <f>IFERROR(INDEX($A2889:$AB2889,MATCH("Xero Invoice Date",$A$1:$AB$1,0)),"")</f>
        <v/>
      </c>
      <c r="AF2889" s="54">
        <f>IF(AND(IFERROR(INDEX($A2889:$AB2889,MATCH("Xero Invoice No",$A$1:$AB$1,0)),"")&amp;""&lt;&gt;"",ISNUMBER(AE2889),AD2889&lt;&gt;0),1,0)</f>
        <v/>
      </c>
      <c r="AG2889" s="55">
        <f>IF(AF2889=1,EOMONTH(AE2889,0),"")</f>
        <v/>
      </c>
      <c r="AH2889" s="9">
        <f>IF(AF2889=1,UPPER(TRIM(IFERROR(INDEX($A2889:$AB2889,MATCH("Client",$A$1:$AB$1,0)),"")&amp;"")),"")</f>
        <v/>
      </c>
      <c r="AI2889" s="9">
        <f>IF(AF2889=1,IFERROR(INDEX($A2889:$AB2889,MATCH("Cost Centre",$A$1:$AB$1,0)),"")&amp;"","")</f>
        <v/>
      </c>
      <c r="AJ2889" s="54">
        <f>IF(AND(AF2889=1,AE2889&gt;=set_FYStart,AE2889&lt;=set_AsAt),1,0)</f>
        <v/>
      </c>
      <c r="AK2889" s="54">
        <f>IF(AND(AJ2889=1,AH2889&lt;&gt;"",COUNTIFS($AH$2:AH2889,AH2889,$AJ$2:AJ2889,1)=1),N(AL2888)+1,"")</f>
        <v/>
      </c>
      <c r="AL2889" s="54">
        <f>IF(AK2889&lt;&gt;"",AK2889,N(AL2888))</f>
        <v/>
      </c>
    </row>
    <row r="2890">
      <c r="A2890" t="inlineStr">
        <is>
          <t>CON-0963</t>
        </is>
      </c>
      <c r="B2890" t="inlineStr">
        <is>
          <t>Consulting</t>
        </is>
      </c>
      <c r="AB2890" t="n">
        <v>963</v>
      </c>
      <c r="AD2890" s="52">
        <f>IFERROR(N(IFERROR(INDEX($A2890:$AB2890,MATCH("Xero Invoiced Ex GST",$A$1:$AB$1,0)),"")),0)</f>
        <v/>
      </c>
      <c r="AE2890" s="53">
        <f>IFERROR(INDEX($A2890:$AB2890,MATCH("Xero Invoice Date",$A$1:$AB$1,0)),"")</f>
        <v/>
      </c>
      <c r="AF2890" s="54">
        <f>IF(AND(IFERROR(INDEX($A2890:$AB2890,MATCH("Xero Invoice No",$A$1:$AB$1,0)),"")&amp;""&lt;&gt;"",ISNUMBER(AE2890),AD2890&lt;&gt;0),1,0)</f>
        <v/>
      </c>
      <c r="AG2890" s="55">
        <f>IF(AF2890=1,EOMONTH(AE2890,0),"")</f>
        <v/>
      </c>
      <c r="AH2890" s="9">
        <f>IF(AF2890=1,UPPER(TRIM(IFERROR(INDEX($A2890:$AB2890,MATCH("Client",$A$1:$AB$1,0)),"")&amp;"")),"")</f>
        <v/>
      </c>
      <c r="AI2890" s="9">
        <f>IF(AF2890=1,IFERROR(INDEX($A2890:$AB2890,MATCH("Cost Centre",$A$1:$AB$1,0)),"")&amp;"","")</f>
        <v/>
      </c>
      <c r="AJ2890" s="54">
        <f>IF(AND(AF2890=1,AE2890&gt;=set_FYStart,AE2890&lt;=set_AsAt),1,0)</f>
        <v/>
      </c>
      <c r="AK2890" s="54">
        <f>IF(AND(AJ2890=1,AH2890&lt;&gt;"",COUNTIFS($AH$2:AH2890,AH2890,$AJ$2:AJ2890,1)=1),N(AL2889)+1,"")</f>
        <v/>
      </c>
      <c r="AL2890" s="54">
        <f>IF(AK2890&lt;&gt;"",AK2890,N(AL2889))</f>
        <v/>
      </c>
    </row>
    <row r="2891">
      <c r="A2891" t="inlineStr">
        <is>
          <t>ONS-0964</t>
        </is>
      </c>
      <c r="B2891" t="inlineStr">
        <is>
          <t>Onsite</t>
        </is>
      </c>
      <c r="AB2891" t="n">
        <v>964</v>
      </c>
      <c r="AD2891" s="52">
        <f>IFERROR(N(IFERROR(INDEX($A2891:$AB2891,MATCH("Xero Invoiced Ex GST",$A$1:$AB$1,0)),"")),0)</f>
        <v/>
      </c>
      <c r="AE2891" s="53">
        <f>IFERROR(INDEX($A2891:$AB2891,MATCH("Xero Invoice Date",$A$1:$AB$1,0)),"")</f>
        <v/>
      </c>
      <c r="AF2891" s="54">
        <f>IF(AND(IFERROR(INDEX($A2891:$AB2891,MATCH("Xero Invoice No",$A$1:$AB$1,0)),"")&amp;""&lt;&gt;"",ISNUMBER(AE2891),AD2891&lt;&gt;0),1,0)</f>
        <v/>
      </c>
      <c r="AG2891" s="55">
        <f>IF(AF2891=1,EOMONTH(AE2891,0),"")</f>
        <v/>
      </c>
      <c r="AH2891" s="9">
        <f>IF(AF2891=1,UPPER(TRIM(IFERROR(INDEX($A2891:$AB2891,MATCH("Client",$A$1:$AB$1,0)),"")&amp;"")),"")</f>
        <v/>
      </c>
      <c r="AI2891" s="9">
        <f>IF(AF2891=1,IFERROR(INDEX($A2891:$AB2891,MATCH("Cost Centre",$A$1:$AB$1,0)),"")&amp;"","")</f>
        <v/>
      </c>
      <c r="AJ2891" s="54">
        <f>IF(AND(AF2891=1,AE2891&gt;=set_FYStart,AE2891&lt;=set_AsAt),1,0)</f>
        <v/>
      </c>
      <c r="AK2891" s="54">
        <f>IF(AND(AJ2891=1,AH2891&lt;&gt;"",COUNTIFS($AH$2:AH2891,AH2891,$AJ$2:AJ2891,1)=1),N(AL2890)+1,"")</f>
        <v/>
      </c>
      <c r="AL2891" s="54">
        <f>IF(AK2891&lt;&gt;"",AK2891,N(AL2890))</f>
        <v/>
      </c>
    </row>
    <row r="2892">
      <c r="A2892" t="inlineStr">
        <is>
          <t>PRD-0964</t>
        </is>
      </c>
      <c r="B2892" t="inlineStr">
        <is>
          <t>Production</t>
        </is>
      </c>
      <c r="AB2892" t="n">
        <v>964</v>
      </c>
      <c r="AD2892" s="52">
        <f>IFERROR(N(IFERROR(INDEX($A2892:$AB2892,MATCH("Xero Invoiced Ex GST",$A$1:$AB$1,0)),"")),0)</f>
        <v/>
      </c>
      <c r="AE2892" s="53">
        <f>IFERROR(INDEX($A2892:$AB2892,MATCH("Xero Invoice Date",$A$1:$AB$1,0)),"")</f>
        <v/>
      </c>
      <c r="AF2892" s="54">
        <f>IF(AND(IFERROR(INDEX($A2892:$AB2892,MATCH("Xero Invoice No",$A$1:$AB$1,0)),"")&amp;""&lt;&gt;"",ISNUMBER(AE2892),AD2892&lt;&gt;0),1,0)</f>
        <v/>
      </c>
      <c r="AG2892" s="55">
        <f>IF(AF2892=1,EOMONTH(AE2892,0),"")</f>
        <v/>
      </c>
      <c r="AH2892" s="9">
        <f>IF(AF2892=1,UPPER(TRIM(IFERROR(INDEX($A2892:$AB2892,MATCH("Client",$A$1:$AB$1,0)),"")&amp;"")),"")</f>
        <v/>
      </c>
      <c r="AI2892" s="9">
        <f>IF(AF2892=1,IFERROR(INDEX($A2892:$AB2892,MATCH("Cost Centre",$A$1:$AB$1,0)),"")&amp;"","")</f>
        <v/>
      </c>
      <c r="AJ2892" s="54">
        <f>IF(AND(AF2892=1,AE2892&gt;=set_FYStart,AE2892&lt;=set_AsAt),1,0)</f>
        <v/>
      </c>
      <c r="AK2892" s="54">
        <f>IF(AND(AJ2892=1,AH2892&lt;&gt;"",COUNTIFS($AH$2:AH2892,AH2892,$AJ$2:AJ2892,1)=1),N(AL2891)+1,"")</f>
        <v/>
      </c>
      <c r="AL2892" s="54">
        <f>IF(AK2892&lt;&gt;"",AK2892,N(AL2891))</f>
        <v/>
      </c>
    </row>
    <row r="2893">
      <c r="A2893" t="inlineStr">
        <is>
          <t>CON-0964</t>
        </is>
      </c>
      <c r="B2893" t="inlineStr">
        <is>
          <t>Consulting</t>
        </is>
      </c>
      <c r="AB2893" t="n">
        <v>964</v>
      </c>
      <c r="AD2893" s="52">
        <f>IFERROR(N(IFERROR(INDEX($A2893:$AB2893,MATCH("Xero Invoiced Ex GST",$A$1:$AB$1,0)),"")),0)</f>
        <v/>
      </c>
      <c r="AE2893" s="53">
        <f>IFERROR(INDEX($A2893:$AB2893,MATCH("Xero Invoice Date",$A$1:$AB$1,0)),"")</f>
        <v/>
      </c>
      <c r="AF2893" s="54">
        <f>IF(AND(IFERROR(INDEX($A2893:$AB2893,MATCH("Xero Invoice No",$A$1:$AB$1,0)),"")&amp;""&lt;&gt;"",ISNUMBER(AE2893),AD2893&lt;&gt;0),1,0)</f>
        <v/>
      </c>
      <c r="AG2893" s="55">
        <f>IF(AF2893=1,EOMONTH(AE2893,0),"")</f>
        <v/>
      </c>
      <c r="AH2893" s="9">
        <f>IF(AF2893=1,UPPER(TRIM(IFERROR(INDEX($A2893:$AB2893,MATCH("Client",$A$1:$AB$1,0)),"")&amp;"")),"")</f>
        <v/>
      </c>
      <c r="AI2893" s="9">
        <f>IF(AF2893=1,IFERROR(INDEX($A2893:$AB2893,MATCH("Cost Centre",$A$1:$AB$1,0)),"")&amp;"","")</f>
        <v/>
      </c>
      <c r="AJ2893" s="54">
        <f>IF(AND(AF2893=1,AE2893&gt;=set_FYStart,AE2893&lt;=set_AsAt),1,0)</f>
        <v/>
      </c>
      <c r="AK2893" s="54">
        <f>IF(AND(AJ2893=1,AH2893&lt;&gt;"",COUNTIFS($AH$2:AH2893,AH2893,$AJ$2:AJ2893,1)=1),N(AL2892)+1,"")</f>
        <v/>
      </c>
      <c r="AL2893" s="54">
        <f>IF(AK2893&lt;&gt;"",AK2893,N(AL2892))</f>
        <v/>
      </c>
    </row>
    <row r="2894">
      <c r="A2894" t="inlineStr">
        <is>
          <t>ONS-0965</t>
        </is>
      </c>
      <c r="B2894" t="inlineStr">
        <is>
          <t>Onsite</t>
        </is>
      </c>
      <c r="AB2894" t="n">
        <v>965</v>
      </c>
      <c r="AD2894" s="52">
        <f>IFERROR(N(IFERROR(INDEX($A2894:$AB2894,MATCH("Xero Invoiced Ex GST",$A$1:$AB$1,0)),"")),0)</f>
        <v/>
      </c>
      <c r="AE2894" s="53">
        <f>IFERROR(INDEX($A2894:$AB2894,MATCH("Xero Invoice Date",$A$1:$AB$1,0)),"")</f>
        <v/>
      </c>
      <c r="AF2894" s="54">
        <f>IF(AND(IFERROR(INDEX($A2894:$AB2894,MATCH("Xero Invoice No",$A$1:$AB$1,0)),"")&amp;""&lt;&gt;"",ISNUMBER(AE2894),AD2894&lt;&gt;0),1,0)</f>
        <v/>
      </c>
      <c r="AG2894" s="55">
        <f>IF(AF2894=1,EOMONTH(AE2894,0),"")</f>
        <v/>
      </c>
      <c r="AH2894" s="9">
        <f>IF(AF2894=1,UPPER(TRIM(IFERROR(INDEX($A2894:$AB2894,MATCH("Client",$A$1:$AB$1,0)),"")&amp;"")),"")</f>
        <v/>
      </c>
      <c r="AI2894" s="9">
        <f>IF(AF2894=1,IFERROR(INDEX($A2894:$AB2894,MATCH("Cost Centre",$A$1:$AB$1,0)),"")&amp;"","")</f>
        <v/>
      </c>
      <c r="AJ2894" s="54">
        <f>IF(AND(AF2894=1,AE2894&gt;=set_FYStart,AE2894&lt;=set_AsAt),1,0)</f>
        <v/>
      </c>
      <c r="AK2894" s="54">
        <f>IF(AND(AJ2894=1,AH2894&lt;&gt;"",COUNTIFS($AH$2:AH2894,AH2894,$AJ$2:AJ2894,1)=1),N(AL2893)+1,"")</f>
        <v/>
      </c>
      <c r="AL2894" s="54">
        <f>IF(AK2894&lt;&gt;"",AK2894,N(AL2893))</f>
        <v/>
      </c>
    </row>
    <row r="2895">
      <c r="A2895" t="inlineStr">
        <is>
          <t>PRD-0965</t>
        </is>
      </c>
      <c r="B2895" t="inlineStr">
        <is>
          <t>Production</t>
        </is>
      </c>
      <c r="AB2895" t="n">
        <v>965</v>
      </c>
      <c r="AD2895" s="52">
        <f>IFERROR(N(IFERROR(INDEX($A2895:$AB2895,MATCH("Xero Invoiced Ex GST",$A$1:$AB$1,0)),"")),0)</f>
        <v/>
      </c>
      <c r="AE2895" s="53">
        <f>IFERROR(INDEX($A2895:$AB2895,MATCH("Xero Invoice Date",$A$1:$AB$1,0)),"")</f>
        <v/>
      </c>
      <c r="AF2895" s="54">
        <f>IF(AND(IFERROR(INDEX($A2895:$AB2895,MATCH("Xero Invoice No",$A$1:$AB$1,0)),"")&amp;""&lt;&gt;"",ISNUMBER(AE2895),AD2895&lt;&gt;0),1,0)</f>
        <v/>
      </c>
      <c r="AG2895" s="55">
        <f>IF(AF2895=1,EOMONTH(AE2895,0),"")</f>
        <v/>
      </c>
      <c r="AH2895" s="9">
        <f>IF(AF2895=1,UPPER(TRIM(IFERROR(INDEX($A2895:$AB2895,MATCH("Client",$A$1:$AB$1,0)),"")&amp;"")),"")</f>
        <v/>
      </c>
      <c r="AI2895" s="9">
        <f>IF(AF2895=1,IFERROR(INDEX($A2895:$AB2895,MATCH("Cost Centre",$A$1:$AB$1,0)),"")&amp;"","")</f>
        <v/>
      </c>
      <c r="AJ2895" s="54">
        <f>IF(AND(AF2895=1,AE2895&gt;=set_FYStart,AE2895&lt;=set_AsAt),1,0)</f>
        <v/>
      </c>
      <c r="AK2895" s="54">
        <f>IF(AND(AJ2895=1,AH2895&lt;&gt;"",COUNTIFS($AH$2:AH2895,AH2895,$AJ$2:AJ2895,1)=1),N(AL2894)+1,"")</f>
        <v/>
      </c>
      <c r="AL2895" s="54">
        <f>IF(AK2895&lt;&gt;"",AK2895,N(AL2894))</f>
        <v/>
      </c>
    </row>
    <row r="2896">
      <c r="A2896" t="inlineStr">
        <is>
          <t>CON-0965</t>
        </is>
      </c>
      <c r="B2896" t="inlineStr">
        <is>
          <t>Consulting</t>
        </is>
      </c>
      <c r="AB2896" t="n">
        <v>965</v>
      </c>
      <c r="AD2896" s="52">
        <f>IFERROR(N(IFERROR(INDEX($A2896:$AB2896,MATCH("Xero Invoiced Ex GST",$A$1:$AB$1,0)),"")),0)</f>
        <v/>
      </c>
      <c r="AE2896" s="53">
        <f>IFERROR(INDEX($A2896:$AB2896,MATCH("Xero Invoice Date",$A$1:$AB$1,0)),"")</f>
        <v/>
      </c>
      <c r="AF2896" s="54">
        <f>IF(AND(IFERROR(INDEX($A2896:$AB2896,MATCH("Xero Invoice No",$A$1:$AB$1,0)),"")&amp;""&lt;&gt;"",ISNUMBER(AE2896),AD2896&lt;&gt;0),1,0)</f>
        <v/>
      </c>
      <c r="AG2896" s="55">
        <f>IF(AF2896=1,EOMONTH(AE2896,0),"")</f>
        <v/>
      </c>
      <c r="AH2896" s="9">
        <f>IF(AF2896=1,UPPER(TRIM(IFERROR(INDEX($A2896:$AB2896,MATCH("Client",$A$1:$AB$1,0)),"")&amp;"")),"")</f>
        <v/>
      </c>
      <c r="AI2896" s="9">
        <f>IF(AF2896=1,IFERROR(INDEX($A2896:$AB2896,MATCH("Cost Centre",$A$1:$AB$1,0)),"")&amp;"","")</f>
        <v/>
      </c>
      <c r="AJ2896" s="54">
        <f>IF(AND(AF2896=1,AE2896&gt;=set_FYStart,AE2896&lt;=set_AsAt),1,0)</f>
        <v/>
      </c>
      <c r="AK2896" s="54">
        <f>IF(AND(AJ2896=1,AH2896&lt;&gt;"",COUNTIFS($AH$2:AH2896,AH2896,$AJ$2:AJ2896,1)=1),N(AL2895)+1,"")</f>
        <v/>
      </c>
      <c r="AL2896" s="54">
        <f>IF(AK2896&lt;&gt;"",AK2896,N(AL2895))</f>
        <v/>
      </c>
    </row>
    <row r="2897">
      <c r="A2897" t="inlineStr">
        <is>
          <t>ONS-0966</t>
        </is>
      </c>
      <c r="B2897" t="inlineStr">
        <is>
          <t>Onsite</t>
        </is>
      </c>
      <c r="AB2897" t="n">
        <v>966</v>
      </c>
      <c r="AD2897" s="52">
        <f>IFERROR(N(IFERROR(INDEX($A2897:$AB2897,MATCH("Xero Invoiced Ex GST",$A$1:$AB$1,0)),"")),0)</f>
        <v/>
      </c>
      <c r="AE2897" s="53">
        <f>IFERROR(INDEX($A2897:$AB2897,MATCH("Xero Invoice Date",$A$1:$AB$1,0)),"")</f>
        <v/>
      </c>
      <c r="AF2897" s="54">
        <f>IF(AND(IFERROR(INDEX($A2897:$AB2897,MATCH("Xero Invoice No",$A$1:$AB$1,0)),"")&amp;""&lt;&gt;"",ISNUMBER(AE2897),AD2897&lt;&gt;0),1,0)</f>
        <v/>
      </c>
      <c r="AG2897" s="55">
        <f>IF(AF2897=1,EOMONTH(AE2897,0),"")</f>
        <v/>
      </c>
      <c r="AH2897" s="9">
        <f>IF(AF2897=1,UPPER(TRIM(IFERROR(INDEX($A2897:$AB2897,MATCH("Client",$A$1:$AB$1,0)),"")&amp;"")),"")</f>
        <v/>
      </c>
      <c r="AI2897" s="9">
        <f>IF(AF2897=1,IFERROR(INDEX($A2897:$AB2897,MATCH("Cost Centre",$A$1:$AB$1,0)),"")&amp;"","")</f>
        <v/>
      </c>
      <c r="AJ2897" s="54">
        <f>IF(AND(AF2897=1,AE2897&gt;=set_FYStart,AE2897&lt;=set_AsAt),1,0)</f>
        <v/>
      </c>
      <c r="AK2897" s="54">
        <f>IF(AND(AJ2897=1,AH2897&lt;&gt;"",COUNTIFS($AH$2:AH2897,AH2897,$AJ$2:AJ2897,1)=1),N(AL2896)+1,"")</f>
        <v/>
      </c>
      <c r="AL2897" s="54">
        <f>IF(AK2897&lt;&gt;"",AK2897,N(AL2896))</f>
        <v/>
      </c>
    </row>
    <row r="2898">
      <c r="A2898" t="inlineStr">
        <is>
          <t>PRD-0966</t>
        </is>
      </c>
      <c r="B2898" t="inlineStr">
        <is>
          <t>Production</t>
        </is>
      </c>
      <c r="AB2898" t="n">
        <v>966</v>
      </c>
      <c r="AD2898" s="52">
        <f>IFERROR(N(IFERROR(INDEX($A2898:$AB2898,MATCH("Xero Invoiced Ex GST",$A$1:$AB$1,0)),"")),0)</f>
        <v/>
      </c>
      <c r="AE2898" s="53">
        <f>IFERROR(INDEX($A2898:$AB2898,MATCH("Xero Invoice Date",$A$1:$AB$1,0)),"")</f>
        <v/>
      </c>
      <c r="AF2898" s="54">
        <f>IF(AND(IFERROR(INDEX($A2898:$AB2898,MATCH("Xero Invoice No",$A$1:$AB$1,0)),"")&amp;""&lt;&gt;"",ISNUMBER(AE2898),AD2898&lt;&gt;0),1,0)</f>
        <v/>
      </c>
      <c r="AG2898" s="55">
        <f>IF(AF2898=1,EOMONTH(AE2898,0),"")</f>
        <v/>
      </c>
      <c r="AH2898" s="9">
        <f>IF(AF2898=1,UPPER(TRIM(IFERROR(INDEX($A2898:$AB2898,MATCH("Client",$A$1:$AB$1,0)),"")&amp;"")),"")</f>
        <v/>
      </c>
      <c r="AI2898" s="9">
        <f>IF(AF2898=1,IFERROR(INDEX($A2898:$AB2898,MATCH("Cost Centre",$A$1:$AB$1,0)),"")&amp;"","")</f>
        <v/>
      </c>
      <c r="AJ2898" s="54">
        <f>IF(AND(AF2898=1,AE2898&gt;=set_FYStart,AE2898&lt;=set_AsAt),1,0)</f>
        <v/>
      </c>
      <c r="AK2898" s="54">
        <f>IF(AND(AJ2898=1,AH2898&lt;&gt;"",COUNTIFS($AH$2:AH2898,AH2898,$AJ$2:AJ2898,1)=1),N(AL2897)+1,"")</f>
        <v/>
      </c>
      <c r="AL2898" s="54">
        <f>IF(AK2898&lt;&gt;"",AK2898,N(AL2897))</f>
        <v/>
      </c>
    </row>
    <row r="2899">
      <c r="A2899" t="inlineStr">
        <is>
          <t>CON-0966</t>
        </is>
      </c>
      <c r="B2899" t="inlineStr">
        <is>
          <t>Consulting</t>
        </is>
      </c>
      <c r="AB2899" t="n">
        <v>966</v>
      </c>
      <c r="AD2899" s="52">
        <f>IFERROR(N(IFERROR(INDEX($A2899:$AB2899,MATCH("Xero Invoiced Ex GST",$A$1:$AB$1,0)),"")),0)</f>
        <v/>
      </c>
      <c r="AE2899" s="53">
        <f>IFERROR(INDEX($A2899:$AB2899,MATCH("Xero Invoice Date",$A$1:$AB$1,0)),"")</f>
        <v/>
      </c>
      <c r="AF2899" s="54">
        <f>IF(AND(IFERROR(INDEX($A2899:$AB2899,MATCH("Xero Invoice No",$A$1:$AB$1,0)),"")&amp;""&lt;&gt;"",ISNUMBER(AE2899),AD2899&lt;&gt;0),1,0)</f>
        <v/>
      </c>
      <c r="AG2899" s="55">
        <f>IF(AF2899=1,EOMONTH(AE2899,0),"")</f>
        <v/>
      </c>
      <c r="AH2899" s="9">
        <f>IF(AF2899=1,UPPER(TRIM(IFERROR(INDEX($A2899:$AB2899,MATCH("Client",$A$1:$AB$1,0)),"")&amp;"")),"")</f>
        <v/>
      </c>
      <c r="AI2899" s="9">
        <f>IF(AF2899=1,IFERROR(INDEX($A2899:$AB2899,MATCH("Cost Centre",$A$1:$AB$1,0)),"")&amp;"","")</f>
        <v/>
      </c>
      <c r="AJ2899" s="54">
        <f>IF(AND(AF2899=1,AE2899&gt;=set_FYStart,AE2899&lt;=set_AsAt),1,0)</f>
        <v/>
      </c>
      <c r="AK2899" s="54">
        <f>IF(AND(AJ2899=1,AH2899&lt;&gt;"",COUNTIFS($AH$2:AH2899,AH2899,$AJ$2:AJ2899,1)=1),N(AL2898)+1,"")</f>
        <v/>
      </c>
      <c r="AL2899" s="54">
        <f>IF(AK2899&lt;&gt;"",AK2899,N(AL2898))</f>
        <v/>
      </c>
    </row>
    <row r="2900">
      <c r="A2900" t="inlineStr">
        <is>
          <t>ONS-0967</t>
        </is>
      </c>
      <c r="B2900" t="inlineStr">
        <is>
          <t>Onsite</t>
        </is>
      </c>
      <c r="AB2900" t="n">
        <v>967</v>
      </c>
      <c r="AD2900" s="52">
        <f>IFERROR(N(IFERROR(INDEX($A2900:$AB2900,MATCH("Xero Invoiced Ex GST",$A$1:$AB$1,0)),"")),0)</f>
        <v/>
      </c>
      <c r="AE2900" s="53">
        <f>IFERROR(INDEX($A2900:$AB2900,MATCH("Xero Invoice Date",$A$1:$AB$1,0)),"")</f>
        <v/>
      </c>
      <c r="AF2900" s="54">
        <f>IF(AND(IFERROR(INDEX($A2900:$AB2900,MATCH("Xero Invoice No",$A$1:$AB$1,0)),"")&amp;""&lt;&gt;"",ISNUMBER(AE2900),AD2900&lt;&gt;0),1,0)</f>
        <v/>
      </c>
      <c r="AG2900" s="55">
        <f>IF(AF2900=1,EOMONTH(AE2900,0),"")</f>
        <v/>
      </c>
      <c r="AH2900" s="9">
        <f>IF(AF2900=1,UPPER(TRIM(IFERROR(INDEX($A2900:$AB2900,MATCH("Client",$A$1:$AB$1,0)),"")&amp;"")),"")</f>
        <v/>
      </c>
      <c r="AI2900" s="9">
        <f>IF(AF2900=1,IFERROR(INDEX($A2900:$AB2900,MATCH("Cost Centre",$A$1:$AB$1,0)),"")&amp;"","")</f>
        <v/>
      </c>
      <c r="AJ2900" s="54">
        <f>IF(AND(AF2900=1,AE2900&gt;=set_FYStart,AE2900&lt;=set_AsAt),1,0)</f>
        <v/>
      </c>
      <c r="AK2900" s="54">
        <f>IF(AND(AJ2900=1,AH2900&lt;&gt;"",COUNTIFS($AH$2:AH2900,AH2900,$AJ$2:AJ2900,1)=1),N(AL2899)+1,"")</f>
        <v/>
      </c>
      <c r="AL2900" s="54">
        <f>IF(AK2900&lt;&gt;"",AK2900,N(AL2899))</f>
        <v/>
      </c>
    </row>
    <row r="2901">
      <c r="A2901" t="inlineStr">
        <is>
          <t>PRD-0967</t>
        </is>
      </c>
      <c r="B2901" t="inlineStr">
        <is>
          <t>Production</t>
        </is>
      </c>
      <c r="AB2901" t="n">
        <v>967</v>
      </c>
      <c r="AD2901" s="52">
        <f>IFERROR(N(IFERROR(INDEX($A2901:$AB2901,MATCH("Xero Invoiced Ex GST",$A$1:$AB$1,0)),"")),0)</f>
        <v/>
      </c>
      <c r="AE2901" s="53">
        <f>IFERROR(INDEX($A2901:$AB2901,MATCH("Xero Invoice Date",$A$1:$AB$1,0)),"")</f>
        <v/>
      </c>
      <c r="AF2901" s="54">
        <f>IF(AND(IFERROR(INDEX($A2901:$AB2901,MATCH("Xero Invoice No",$A$1:$AB$1,0)),"")&amp;""&lt;&gt;"",ISNUMBER(AE2901),AD2901&lt;&gt;0),1,0)</f>
        <v/>
      </c>
      <c r="AG2901" s="55">
        <f>IF(AF2901=1,EOMONTH(AE2901,0),"")</f>
        <v/>
      </c>
      <c r="AH2901" s="9">
        <f>IF(AF2901=1,UPPER(TRIM(IFERROR(INDEX($A2901:$AB2901,MATCH("Client",$A$1:$AB$1,0)),"")&amp;"")),"")</f>
        <v/>
      </c>
      <c r="AI2901" s="9">
        <f>IF(AF2901=1,IFERROR(INDEX($A2901:$AB2901,MATCH("Cost Centre",$A$1:$AB$1,0)),"")&amp;"","")</f>
        <v/>
      </c>
      <c r="AJ2901" s="54">
        <f>IF(AND(AF2901=1,AE2901&gt;=set_FYStart,AE2901&lt;=set_AsAt),1,0)</f>
        <v/>
      </c>
      <c r="AK2901" s="54">
        <f>IF(AND(AJ2901=1,AH2901&lt;&gt;"",COUNTIFS($AH$2:AH2901,AH2901,$AJ$2:AJ2901,1)=1),N(AL2900)+1,"")</f>
        <v/>
      </c>
      <c r="AL2901" s="54">
        <f>IF(AK2901&lt;&gt;"",AK2901,N(AL2900))</f>
        <v/>
      </c>
    </row>
    <row r="2902">
      <c r="A2902" t="inlineStr">
        <is>
          <t>CON-0967</t>
        </is>
      </c>
      <c r="B2902" t="inlineStr">
        <is>
          <t>Consulting</t>
        </is>
      </c>
      <c r="AB2902" t="n">
        <v>967</v>
      </c>
      <c r="AD2902" s="52">
        <f>IFERROR(N(IFERROR(INDEX($A2902:$AB2902,MATCH("Xero Invoiced Ex GST",$A$1:$AB$1,0)),"")),0)</f>
        <v/>
      </c>
      <c r="AE2902" s="53">
        <f>IFERROR(INDEX($A2902:$AB2902,MATCH("Xero Invoice Date",$A$1:$AB$1,0)),"")</f>
        <v/>
      </c>
      <c r="AF2902" s="54">
        <f>IF(AND(IFERROR(INDEX($A2902:$AB2902,MATCH("Xero Invoice No",$A$1:$AB$1,0)),"")&amp;""&lt;&gt;"",ISNUMBER(AE2902),AD2902&lt;&gt;0),1,0)</f>
        <v/>
      </c>
      <c r="AG2902" s="55">
        <f>IF(AF2902=1,EOMONTH(AE2902,0),"")</f>
        <v/>
      </c>
      <c r="AH2902" s="9">
        <f>IF(AF2902=1,UPPER(TRIM(IFERROR(INDEX($A2902:$AB2902,MATCH("Client",$A$1:$AB$1,0)),"")&amp;"")),"")</f>
        <v/>
      </c>
      <c r="AI2902" s="9">
        <f>IF(AF2902=1,IFERROR(INDEX($A2902:$AB2902,MATCH("Cost Centre",$A$1:$AB$1,0)),"")&amp;"","")</f>
        <v/>
      </c>
      <c r="AJ2902" s="54">
        <f>IF(AND(AF2902=1,AE2902&gt;=set_FYStart,AE2902&lt;=set_AsAt),1,0)</f>
        <v/>
      </c>
      <c r="AK2902" s="54">
        <f>IF(AND(AJ2902=1,AH2902&lt;&gt;"",COUNTIFS($AH$2:AH2902,AH2902,$AJ$2:AJ2902,1)=1),N(AL2901)+1,"")</f>
        <v/>
      </c>
      <c r="AL2902" s="54">
        <f>IF(AK2902&lt;&gt;"",AK2902,N(AL2901))</f>
        <v/>
      </c>
    </row>
    <row r="2903">
      <c r="A2903" t="inlineStr">
        <is>
          <t>ONS-0968</t>
        </is>
      </c>
      <c r="B2903" t="inlineStr">
        <is>
          <t>Onsite</t>
        </is>
      </c>
      <c r="AB2903" t="n">
        <v>968</v>
      </c>
      <c r="AD2903" s="52">
        <f>IFERROR(N(IFERROR(INDEX($A2903:$AB2903,MATCH("Xero Invoiced Ex GST",$A$1:$AB$1,0)),"")),0)</f>
        <v/>
      </c>
      <c r="AE2903" s="53">
        <f>IFERROR(INDEX($A2903:$AB2903,MATCH("Xero Invoice Date",$A$1:$AB$1,0)),"")</f>
        <v/>
      </c>
      <c r="AF2903" s="54">
        <f>IF(AND(IFERROR(INDEX($A2903:$AB2903,MATCH("Xero Invoice No",$A$1:$AB$1,0)),"")&amp;""&lt;&gt;"",ISNUMBER(AE2903),AD2903&lt;&gt;0),1,0)</f>
        <v/>
      </c>
      <c r="AG2903" s="55">
        <f>IF(AF2903=1,EOMONTH(AE2903,0),"")</f>
        <v/>
      </c>
      <c r="AH2903" s="9">
        <f>IF(AF2903=1,UPPER(TRIM(IFERROR(INDEX($A2903:$AB2903,MATCH("Client",$A$1:$AB$1,0)),"")&amp;"")),"")</f>
        <v/>
      </c>
      <c r="AI2903" s="9">
        <f>IF(AF2903=1,IFERROR(INDEX($A2903:$AB2903,MATCH("Cost Centre",$A$1:$AB$1,0)),"")&amp;"","")</f>
        <v/>
      </c>
      <c r="AJ2903" s="54">
        <f>IF(AND(AF2903=1,AE2903&gt;=set_FYStart,AE2903&lt;=set_AsAt),1,0)</f>
        <v/>
      </c>
      <c r="AK2903" s="54">
        <f>IF(AND(AJ2903=1,AH2903&lt;&gt;"",COUNTIFS($AH$2:AH2903,AH2903,$AJ$2:AJ2903,1)=1),N(AL2902)+1,"")</f>
        <v/>
      </c>
      <c r="AL2903" s="54">
        <f>IF(AK2903&lt;&gt;"",AK2903,N(AL2902))</f>
        <v/>
      </c>
    </row>
    <row r="2904">
      <c r="A2904" t="inlineStr">
        <is>
          <t>PRD-0968</t>
        </is>
      </c>
      <c r="B2904" t="inlineStr">
        <is>
          <t>Production</t>
        </is>
      </c>
      <c r="AB2904" t="n">
        <v>968</v>
      </c>
      <c r="AD2904" s="52">
        <f>IFERROR(N(IFERROR(INDEX($A2904:$AB2904,MATCH("Xero Invoiced Ex GST",$A$1:$AB$1,0)),"")),0)</f>
        <v/>
      </c>
      <c r="AE2904" s="53">
        <f>IFERROR(INDEX($A2904:$AB2904,MATCH("Xero Invoice Date",$A$1:$AB$1,0)),"")</f>
        <v/>
      </c>
      <c r="AF2904" s="54">
        <f>IF(AND(IFERROR(INDEX($A2904:$AB2904,MATCH("Xero Invoice No",$A$1:$AB$1,0)),"")&amp;""&lt;&gt;"",ISNUMBER(AE2904),AD2904&lt;&gt;0),1,0)</f>
        <v/>
      </c>
      <c r="AG2904" s="55">
        <f>IF(AF2904=1,EOMONTH(AE2904,0),"")</f>
        <v/>
      </c>
      <c r="AH2904" s="9">
        <f>IF(AF2904=1,UPPER(TRIM(IFERROR(INDEX($A2904:$AB2904,MATCH("Client",$A$1:$AB$1,0)),"")&amp;"")),"")</f>
        <v/>
      </c>
      <c r="AI2904" s="9">
        <f>IF(AF2904=1,IFERROR(INDEX($A2904:$AB2904,MATCH("Cost Centre",$A$1:$AB$1,0)),"")&amp;"","")</f>
        <v/>
      </c>
      <c r="AJ2904" s="54">
        <f>IF(AND(AF2904=1,AE2904&gt;=set_FYStart,AE2904&lt;=set_AsAt),1,0)</f>
        <v/>
      </c>
      <c r="AK2904" s="54">
        <f>IF(AND(AJ2904=1,AH2904&lt;&gt;"",COUNTIFS($AH$2:AH2904,AH2904,$AJ$2:AJ2904,1)=1),N(AL2903)+1,"")</f>
        <v/>
      </c>
      <c r="AL2904" s="54">
        <f>IF(AK2904&lt;&gt;"",AK2904,N(AL2903))</f>
        <v/>
      </c>
    </row>
    <row r="2905">
      <c r="A2905" t="inlineStr">
        <is>
          <t>CON-0968</t>
        </is>
      </c>
      <c r="B2905" t="inlineStr">
        <is>
          <t>Consulting</t>
        </is>
      </c>
      <c r="AB2905" t="n">
        <v>968</v>
      </c>
      <c r="AD2905" s="52">
        <f>IFERROR(N(IFERROR(INDEX($A2905:$AB2905,MATCH("Xero Invoiced Ex GST",$A$1:$AB$1,0)),"")),0)</f>
        <v/>
      </c>
      <c r="AE2905" s="53">
        <f>IFERROR(INDEX($A2905:$AB2905,MATCH("Xero Invoice Date",$A$1:$AB$1,0)),"")</f>
        <v/>
      </c>
      <c r="AF2905" s="54">
        <f>IF(AND(IFERROR(INDEX($A2905:$AB2905,MATCH("Xero Invoice No",$A$1:$AB$1,0)),"")&amp;""&lt;&gt;"",ISNUMBER(AE2905),AD2905&lt;&gt;0),1,0)</f>
        <v/>
      </c>
      <c r="AG2905" s="55">
        <f>IF(AF2905=1,EOMONTH(AE2905,0),"")</f>
        <v/>
      </c>
      <c r="AH2905" s="9">
        <f>IF(AF2905=1,UPPER(TRIM(IFERROR(INDEX($A2905:$AB2905,MATCH("Client",$A$1:$AB$1,0)),"")&amp;"")),"")</f>
        <v/>
      </c>
      <c r="AI2905" s="9">
        <f>IF(AF2905=1,IFERROR(INDEX($A2905:$AB2905,MATCH("Cost Centre",$A$1:$AB$1,0)),"")&amp;"","")</f>
        <v/>
      </c>
      <c r="AJ2905" s="54">
        <f>IF(AND(AF2905=1,AE2905&gt;=set_FYStart,AE2905&lt;=set_AsAt),1,0)</f>
        <v/>
      </c>
      <c r="AK2905" s="54">
        <f>IF(AND(AJ2905=1,AH2905&lt;&gt;"",COUNTIFS($AH$2:AH2905,AH2905,$AJ$2:AJ2905,1)=1),N(AL2904)+1,"")</f>
        <v/>
      </c>
      <c r="AL2905" s="54">
        <f>IF(AK2905&lt;&gt;"",AK2905,N(AL2904))</f>
        <v/>
      </c>
    </row>
    <row r="2906">
      <c r="A2906" t="inlineStr">
        <is>
          <t>ONS-0969</t>
        </is>
      </c>
      <c r="B2906" t="inlineStr">
        <is>
          <t>Onsite</t>
        </is>
      </c>
      <c r="AB2906" t="n">
        <v>969</v>
      </c>
      <c r="AD2906" s="52">
        <f>IFERROR(N(IFERROR(INDEX($A2906:$AB2906,MATCH("Xero Invoiced Ex GST",$A$1:$AB$1,0)),"")),0)</f>
        <v/>
      </c>
      <c r="AE2906" s="53">
        <f>IFERROR(INDEX($A2906:$AB2906,MATCH("Xero Invoice Date",$A$1:$AB$1,0)),"")</f>
        <v/>
      </c>
      <c r="AF2906" s="54">
        <f>IF(AND(IFERROR(INDEX($A2906:$AB2906,MATCH("Xero Invoice No",$A$1:$AB$1,0)),"")&amp;""&lt;&gt;"",ISNUMBER(AE2906),AD2906&lt;&gt;0),1,0)</f>
        <v/>
      </c>
      <c r="AG2906" s="55">
        <f>IF(AF2906=1,EOMONTH(AE2906,0),"")</f>
        <v/>
      </c>
      <c r="AH2906" s="9">
        <f>IF(AF2906=1,UPPER(TRIM(IFERROR(INDEX($A2906:$AB2906,MATCH("Client",$A$1:$AB$1,0)),"")&amp;"")),"")</f>
        <v/>
      </c>
      <c r="AI2906" s="9">
        <f>IF(AF2906=1,IFERROR(INDEX($A2906:$AB2906,MATCH("Cost Centre",$A$1:$AB$1,0)),"")&amp;"","")</f>
        <v/>
      </c>
      <c r="AJ2906" s="54">
        <f>IF(AND(AF2906=1,AE2906&gt;=set_FYStart,AE2906&lt;=set_AsAt),1,0)</f>
        <v/>
      </c>
      <c r="AK2906" s="54">
        <f>IF(AND(AJ2906=1,AH2906&lt;&gt;"",COUNTIFS($AH$2:AH2906,AH2906,$AJ$2:AJ2906,1)=1),N(AL2905)+1,"")</f>
        <v/>
      </c>
      <c r="AL2906" s="54">
        <f>IF(AK2906&lt;&gt;"",AK2906,N(AL2905))</f>
        <v/>
      </c>
    </row>
    <row r="2907">
      <c r="A2907" t="inlineStr">
        <is>
          <t>PRD-0969</t>
        </is>
      </c>
      <c r="B2907" t="inlineStr">
        <is>
          <t>Production</t>
        </is>
      </c>
      <c r="AB2907" t="n">
        <v>969</v>
      </c>
      <c r="AD2907" s="52">
        <f>IFERROR(N(IFERROR(INDEX($A2907:$AB2907,MATCH("Xero Invoiced Ex GST",$A$1:$AB$1,0)),"")),0)</f>
        <v/>
      </c>
      <c r="AE2907" s="53">
        <f>IFERROR(INDEX($A2907:$AB2907,MATCH("Xero Invoice Date",$A$1:$AB$1,0)),"")</f>
        <v/>
      </c>
      <c r="AF2907" s="54">
        <f>IF(AND(IFERROR(INDEX($A2907:$AB2907,MATCH("Xero Invoice No",$A$1:$AB$1,0)),"")&amp;""&lt;&gt;"",ISNUMBER(AE2907),AD2907&lt;&gt;0),1,0)</f>
        <v/>
      </c>
      <c r="AG2907" s="55">
        <f>IF(AF2907=1,EOMONTH(AE2907,0),"")</f>
        <v/>
      </c>
      <c r="AH2907" s="9">
        <f>IF(AF2907=1,UPPER(TRIM(IFERROR(INDEX($A2907:$AB2907,MATCH("Client",$A$1:$AB$1,0)),"")&amp;"")),"")</f>
        <v/>
      </c>
      <c r="AI2907" s="9">
        <f>IF(AF2907=1,IFERROR(INDEX($A2907:$AB2907,MATCH("Cost Centre",$A$1:$AB$1,0)),"")&amp;"","")</f>
        <v/>
      </c>
      <c r="AJ2907" s="54">
        <f>IF(AND(AF2907=1,AE2907&gt;=set_FYStart,AE2907&lt;=set_AsAt),1,0)</f>
        <v/>
      </c>
      <c r="AK2907" s="54">
        <f>IF(AND(AJ2907=1,AH2907&lt;&gt;"",COUNTIFS($AH$2:AH2907,AH2907,$AJ$2:AJ2907,1)=1),N(AL2906)+1,"")</f>
        <v/>
      </c>
      <c r="AL2907" s="54">
        <f>IF(AK2907&lt;&gt;"",AK2907,N(AL2906))</f>
        <v/>
      </c>
    </row>
    <row r="2908">
      <c r="A2908" t="inlineStr">
        <is>
          <t>CON-0969</t>
        </is>
      </c>
      <c r="B2908" t="inlineStr">
        <is>
          <t>Consulting</t>
        </is>
      </c>
      <c r="AB2908" t="n">
        <v>969</v>
      </c>
      <c r="AD2908" s="52">
        <f>IFERROR(N(IFERROR(INDEX($A2908:$AB2908,MATCH("Xero Invoiced Ex GST",$A$1:$AB$1,0)),"")),0)</f>
        <v/>
      </c>
      <c r="AE2908" s="53">
        <f>IFERROR(INDEX($A2908:$AB2908,MATCH("Xero Invoice Date",$A$1:$AB$1,0)),"")</f>
        <v/>
      </c>
      <c r="AF2908" s="54">
        <f>IF(AND(IFERROR(INDEX($A2908:$AB2908,MATCH("Xero Invoice No",$A$1:$AB$1,0)),"")&amp;""&lt;&gt;"",ISNUMBER(AE2908),AD2908&lt;&gt;0),1,0)</f>
        <v/>
      </c>
      <c r="AG2908" s="55">
        <f>IF(AF2908=1,EOMONTH(AE2908,0),"")</f>
        <v/>
      </c>
      <c r="AH2908" s="9">
        <f>IF(AF2908=1,UPPER(TRIM(IFERROR(INDEX($A2908:$AB2908,MATCH("Client",$A$1:$AB$1,0)),"")&amp;"")),"")</f>
        <v/>
      </c>
      <c r="AI2908" s="9">
        <f>IF(AF2908=1,IFERROR(INDEX($A2908:$AB2908,MATCH("Cost Centre",$A$1:$AB$1,0)),"")&amp;"","")</f>
        <v/>
      </c>
      <c r="AJ2908" s="54">
        <f>IF(AND(AF2908=1,AE2908&gt;=set_FYStart,AE2908&lt;=set_AsAt),1,0)</f>
        <v/>
      </c>
      <c r="AK2908" s="54">
        <f>IF(AND(AJ2908=1,AH2908&lt;&gt;"",COUNTIFS($AH$2:AH2908,AH2908,$AJ$2:AJ2908,1)=1),N(AL2907)+1,"")</f>
        <v/>
      </c>
      <c r="AL2908" s="54">
        <f>IF(AK2908&lt;&gt;"",AK2908,N(AL2907))</f>
        <v/>
      </c>
    </row>
    <row r="2909">
      <c r="A2909" t="inlineStr">
        <is>
          <t>ONS-0970</t>
        </is>
      </c>
      <c r="B2909" t="inlineStr">
        <is>
          <t>Onsite</t>
        </is>
      </c>
      <c r="AB2909" t="n">
        <v>970</v>
      </c>
      <c r="AD2909" s="52">
        <f>IFERROR(N(IFERROR(INDEX($A2909:$AB2909,MATCH("Xero Invoiced Ex GST",$A$1:$AB$1,0)),"")),0)</f>
        <v/>
      </c>
      <c r="AE2909" s="53">
        <f>IFERROR(INDEX($A2909:$AB2909,MATCH("Xero Invoice Date",$A$1:$AB$1,0)),"")</f>
        <v/>
      </c>
      <c r="AF2909" s="54">
        <f>IF(AND(IFERROR(INDEX($A2909:$AB2909,MATCH("Xero Invoice No",$A$1:$AB$1,0)),"")&amp;""&lt;&gt;"",ISNUMBER(AE2909),AD2909&lt;&gt;0),1,0)</f>
        <v/>
      </c>
      <c r="AG2909" s="55">
        <f>IF(AF2909=1,EOMONTH(AE2909,0),"")</f>
        <v/>
      </c>
      <c r="AH2909" s="9">
        <f>IF(AF2909=1,UPPER(TRIM(IFERROR(INDEX($A2909:$AB2909,MATCH("Client",$A$1:$AB$1,0)),"")&amp;"")),"")</f>
        <v/>
      </c>
      <c r="AI2909" s="9">
        <f>IF(AF2909=1,IFERROR(INDEX($A2909:$AB2909,MATCH("Cost Centre",$A$1:$AB$1,0)),"")&amp;"","")</f>
        <v/>
      </c>
      <c r="AJ2909" s="54">
        <f>IF(AND(AF2909=1,AE2909&gt;=set_FYStart,AE2909&lt;=set_AsAt),1,0)</f>
        <v/>
      </c>
      <c r="AK2909" s="54">
        <f>IF(AND(AJ2909=1,AH2909&lt;&gt;"",COUNTIFS($AH$2:AH2909,AH2909,$AJ$2:AJ2909,1)=1),N(AL2908)+1,"")</f>
        <v/>
      </c>
      <c r="AL2909" s="54">
        <f>IF(AK2909&lt;&gt;"",AK2909,N(AL2908))</f>
        <v/>
      </c>
    </row>
    <row r="2910">
      <c r="A2910" t="inlineStr">
        <is>
          <t>PRD-0970</t>
        </is>
      </c>
      <c r="B2910" t="inlineStr">
        <is>
          <t>Production</t>
        </is>
      </c>
      <c r="AB2910" t="n">
        <v>970</v>
      </c>
      <c r="AD2910" s="52">
        <f>IFERROR(N(IFERROR(INDEX($A2910:$AB2910,MATCH("Xero Invoiced Ex GST",$A$1:$AB$1,0)),"")),0)</f>
        <v/>
      </c>
      <c r="AE2910" s="53">
        <f>IFERROR(INDEX($A2910:$AB2910,MATCH("Xero Invoice Date",$A$1:$AB$1,0)),"")</f>
        <v/>
      </c>
      <c r="AF2910" s="54">
        <f>IF(AND(IFERROR(INDEX($A2910:$AB2910,MATCH("Xero Invoice No",$A$1:$AB$1,0)),"")&amp;""&lt;&gt;"",ISNUMBER(AE2910),AD2910&lt;&gt;0),1,0)</f>
        <v/>
      </c>
      <c r="AG2910" s="55">
        <f>IF(AF2910=1,EOMONTH(AE2910,0),"")</f>
        <v/>
      </c>
      <c r="AH2910" s="9">
        <f>IF(AF2910=1,UPPER(TRIM(IFERROR(INDEX($A2910:$AB2910,MATCH("Client",$A$1:$AB$1,0)),"")&amp;"")),"")</f>
        <v/>
      </c>
      <c r="AI2910" s="9">
        <f>IF(AF2910=1,IFERROR(INDEX($A2910:$AB2910,MATCH("Cost Centre",$A$1:$AB$1,0)),"")&amp;"","")</f>
        <v/>
      </c>
      <c r="AJ2910" s="54">
        <f>IF(AND(AF2910=1,AE2910&gt;=set_FYStart,AE2910&lt;=set_AsAt),1,0)</f>
        <v/>
      </c>
      <c r="AK2910" s="54">
        <f>IF(AND(AJ2910=1,AH2910&lt;&gt;"",COUNTIFS($AH$2:AH2910,AH2910,$AJ$2:AJ2910,1)=1),N(AL2909)+1,"")</f>
        <v/>
      </c>
      <c r="AL2910" s="54">
        <f>IF(AK2910&lt;&gt;"",AK2910,N(AL2909))</f>
        <v/>
      </c>
    </row>
    <row r="2911">
      <c r="A2911" t="inlineStr">
        <is>
          <t>CON-0970</t>
        </is>
      </c>
      <c r="B2911" t="inlineStr">
        <is>
          <t>Consulting</t>
        </is>
      </c>
      <c r="AB2911" t="n">
        <v>970</v>
      </c>
      <c r="AD2911" s="52">
        <f>IFERROR(N(IFERROR(INDEX($A2911:$AB2911,MATCH("Xero Invoiced Ex GST",$A$1:$AB$1,0)),"")),0)</f>
        <v/>
      </c>
      <c r="AE2911" s="53">
        <f>IFERROR(INDEX($A2911:$AB2911,MATCH("Xero Invoice Date",$A$1:$AB$1,0)),"")</f>
        <v/>
      </c>
      <c r="AF2911" s="54">
        <f>IF(AND(IFERROR(INDEX($A2911:$AB2911,MATCH("Xero Invoice No",$A$1:$AB$1,0)),"")&amp;""&lt;&gt;"",ISNUMBER(AE2911),AD2911&lt;&gt;0),1,0)</f>
        <v/>
      </c>
      <c r="AG2911" s="55">
        <f>IF(AF2911=1,EOMONTH(AE2911,0),"")</f>
        <v/>
      </c>
      <c r="AH2911" s="9">
        <f>IF(AF2911=1,UPPER(TRIM(IFERROR(INDEX($A2911:$AB2911,MATCH("Client",$A$1:$AB$1,0)),"")&amp;"")),"")</f>
        <v/>
      </c>
      <c r="AI2911" s="9">
        <f>IF(AF2911=1,IFERROR(INDEX($A2911:$AB2911,MATCH("Cost Centre",$A$1:$AB$1,0)),"")&amp;"","")</f>
        <v/>
      </c>
      <c r="AJ2911" s="54">
        <f>IF(AND(AF2911=1,AE2911&gt;=set_FYStart,AE2911&lt;=set_AsAt),1,0)</f>
        <v/>
      </c>
      <c r="AK2911" s="54">
        <f>IF(AND(AJ2911=1,AH2911&lt;&gt;"",COUNTIFS($AH$2:AH2911,AH2911,$AJ$2:AJ2911,1)=1),N(AL2910)+1,"")</f>
        <v/>
      </c>
      <c r="AL2911" s="54">
        <f>IF(AK2911&lt;&gt;"",AK2911,N(AL2910))</f>
        <v/>
      </c>
    </row>
    <row r="2912">
      <c r="A2912" t="inlineStr">
        <is>
          <t>ONS-0971</t>
        </is>
      </c>
      <c r="B2912" t="inlineStr">
        <is>
          <t>Onsite</t>
        </is>
      </c>
      <c r="AB2912" t="n">
        <v>971</v>
      </c>
      <c r="AD2912" s="52">
        <f>IFERROR(N(IFERROR(INDEX($A2912:$AB2912,MATCH("Xero Invoiced Ex GST",$A$1:$AB$1,0)),"")),0)</f>
        <v/>
      </c>
      <c r="AE2912" s="53">
        <f>IFERROR(INDEX($A2912:$AB2912,MATCH("Xero Invoice Date",$A$1:$AB$1,0)),"")</f>
        <v/>
      </c>
      <c r="AF2912" s="54">
        <f>IF(AND(IFERROR(INDEX($A2912:$AB2912,MATCH("Xero Invoice No",$A$1:$AB$1,0)),"")&amp;""&lt;&gt;"",ISNUMBER(AE2912),AD2912&lt;&gt;0),1,0)</f>
        <v/>
      </c>
      <c r="AG2912" s="55">
        <f>IF(AF2912=1,EOMONTH(AE2912,0),"")</f>
        <v/>
      </c>
      <c r="AH2912" s="9">
        <f>IF(AF2912=1,UPPER(TRIM(IFERROR(INDEX($A2912:$AB2912,MATCH("Client",$A$1:$AB$1,0)),"")&amp;"")),"")</f>
        <v/>
      </c>
      <c r="AI2912" s="9">
        <f>IF(AF2912=1,IFERROR(INDEX($A2912:$AB2912,MATCH("Cost Centre",$A$1:$AB$1,0)),"")&amp;"","")</f>
        <v/>
      </c>
      <c r="AJ2912" s="54">
        <f>IF(AND(AF2912=1,AE2912&gt;=set_FYStart,AE2912&lt;=set_AsAt),1,0)</f>
        <v/>
      </c>
      <c r="AK2912" s="54">
        <f>IF(AND(AJ2912=1,AH2912&lt;&gt;"",COUNTIFS($AH$2:AH2912,AH2912,$AJ$2:AJ2912,1)=1),N(AL2911)+1,"")</f>
        <v/>
      </c>
      <c r="AL2912" s="54">
        <f>IF(AK2912&lt;&gt;"",AK2912,N(AL2911))</f>
        <v/>
      </c>
    </row>
    <row r="2913">
      <c r="A2913" t="inlineStr">
        <is>
          <t>PRD-0971</t>
        </is>
      </c>
      <c r="B2913" t="inlineStr">
        <is>
          <t>Production</t>
        </is>
      </c>
      <c r="AB2913" t="n">
        <v>971</v>
      </c>
      <c r="AD2913" s="52">
        <f>IFERROR(N(IFERROR(INDEX($A2913:$AB2913,MATCH("Xero Invoiced Ex GST",$A$1:$AB$1,0)),"")),0)</f>
        <v/>
      </c>
      <c r="AE2913" s="53">
        <f>IFERROR(INDEX($A2913:$AB2913,MATCH("Xero Invoice Date",$A$1:$AB$1,0)),"")</f>
        <v/>
      </c>
      <c r="AF2913" s="54">
        <f>IF(AND(IFERROR(INDEX($A2913:$AB2913,MATCH("Xero Invoice No",$A$1:$AB$1,0)),"")&amp;""&lt;&gt;"",ISNUMBER(AE2913),AD2913&lt;&gt;0),1,0)</f>
        <v/>
      </c>
      <c r="AG2913" s="55">
        <f>IF(AF2913=1,EOMONTH(AE2913,0),"")</f>
        <v/>
      </c>
      <c r="AH2913" s="9">
        <f>IF(AF2913=1,UPPER(TRIM(IFERROR(INDEX($A2913:$AB2913,MATCH("Client",$A$1:$AB$1,0)),"")&amp;"")),"")</f>
        <v/>
      </c>
      <c r="AI2913" s="9">
        <f>IF(AF2913=1,IFERROR(INDEX($A2913:$AB2913,MATCH("Cost Centre",$A$1:$AB$1,0)),"")&amp;"","")</f>
        <v/>
      </c>
      <c r="AJ2913" s="54">
        <f>IF(AND(AF2913=1,AE2913&gt;=set_FYStart,AE2913&lt;=set_AsAt),1,0)</f>
        <v/>
      </c>
      <c r="AK2913" s="54">
        <f>IF(AND(AJ2913=1,AH2913&lt;&gt;"",COUNTIFS($AH$2:AH2913,AH2913,$AJ$2:AJ2913,1)=1),N(AL2912)+1,"")</f>
        <v/>
      </c>
      <c r="AL2913" s="54">
        <f>IF(AK2913&lt;&gt;"",AK2913,N(AL2912))</f>
        <v/>
      </c>
    </row>
    <row r="2914">
      <c r="A2914" t="inlineStr">
        <is>
          <t>CON-0971</t>
        </is>
      </c>
      <c r="B2914" t="inlineStr">
        <is>
          <t>Consulting</t>
        </is>
      </c>
      <c r="AB2914" t="n">
        <v>971</v>
      </c>
      <c r="AD2914" s="52">
        <f>IFERROR(N(IFERROR(INDEX($A2914:$AB2914,MATCH("Xero Invoiced Ex GST",$A$1:$AB$1,0)),"")),0)</f>
        <v/>
      </c>
      <c r="AE2914" s="53">
        <f>IFERROR(INDEX($A2914:$AB2914,MATCH("Xero Invoice Date",$A$1:$AB$1,0)),"")</f>
        <v/>
      </c>
      <c r="AF2914" s="54">
        <f>IF(AND(IFERROR(INDEX($A2914:$AB2914,MATCH("Xero Invoice No",$A$1:$AB$1,0)),"")&amp;""&lt;&gt;"",ISNUMBER(AE2914),AD2914&lt;&gt;0),1,0)</f>
        <v/>
      </c>
      <c r="AG2914" s="55">
        <f>IF(AF2914=1,EOMONTH(AE2914,0),"")</f>
        <v/>
      </c>
      <c r="AH2914" s="9">
        <f>IF(AF2914=1,UPPER(TRIM(IFERROR(INDEX($A2914:$AB2914,MATCH("Client",$A$1:$AB$1,0)),"")&amp;"")),"")</f>
        <v/>
      </c>
      <c r="AI2914" s="9">
        <f>IF(AF2914=1,IFERROR(INDEX($A2914:$AB2914,MATCH("Cost Centre",$A$1:$AB$1,0)),"")&amp;"","")</f>
        <v/>
      </c>
      <c r="AJ2914" s="54">
        <f>IF(AND(AF2914=1,AE2914&gt;=set_FYStart,AE2914&lt;=set_AsAt),1,0)</f>
        <v/>
      </c>
      <c r="AK2914" s="54">
        <f>IF(AND(AJ2914=1,AH2914&lt;&gt;"",COUNTIFS($AH$2:AH2914,AH2914,$AJ$2:AJ2914,1)=1),N(AL2913)+1,"")</f>
        <v/>
      </c>
      <c r="AL2914" s="54">
        <f>IF(AK2914&lt;&gt;"",AK2914,N(AL2913))</f>
        <v/>
      </c>
    </row>
    <row r="2915">
      <c r="A2915" t="inlineStr">
        <is>
          <t>ONS-0972</t>
        </is>
      </c>
      <c r="B2915" t="inlineStr">
        <is>
          <t>Onsite</t>
        </is>
      </c>
      <c r="AB2915" t="n">
        <v>972</v>
      </c>
      <c r="AD2915" s="52">
        <f>IFERROR(N(IFERROR(INDEX($A2915:$AB2915,MATCH("Xero Invoiced Ex GST",$A$1:$AB$1,0)),"")),0)</f>
        <v/>
      </c>
      <c r="AE2915" s="53">
        <f>IFERROR(INDEX($A2915:$AB2915,MATCH("Xero Invoice Date",$A$1:$AB$1,0)),"")</f>
        <v/>
      </c>
      <c r="AF2915" s="54">
        <f>IF(AND(IFERROR(INDEX($A2915:$AB2915,MATCH("Xero Invoice No",$A$1:$AB$1,0)),"")&amp;""&lt;&gt;"",ISNUMBER(AE2915),AD2915&lt;&gt;0),1,0)</f>
        <v/>
      </c>
      <c r="AG2915" s="55">
        <f>IF(AF2915=1,EOMONTH(AE2915,0),"")</f>
        <v/>
      </c>
      <c r="AH2915" s="9">
        <f>IF(AF2915=1,UPPER(TRIM(IFERROR(INDEX($A2915:$AB2915,MATCH("Client",$A$1:$AB$1,0)),"")&amp;"")),"")</f>
        <v/>
      </c>
      <c r="AI2915" s="9">
        <f>IF(AF2915=1,IFERROR(INDEX($A2915:$AB2915,MATCH("Cost Centre",$A$1:$AB$1,0)),"")&amp;"","")</f>
        <v/>
      </c>
      <c r="AJ2915" s="54">
        <f>IF(AND(AF2915=1,AE2915&gt;=set_FYStart,AE2915&lt;=set_AsAt),1,0)</f>
        <v/>
      </c>
      <c r="AK2915" s="54">
        <f>IF(AND(AJ2915=1,AH2915&lt;&gt;"",COUNTIFS($AH$2:AH2915,AH2915,$AJ$2:AJ2915,1)=1),N(AL2914)+1,"")</f>
        <v/>
      </c>
      <c r="AL2915" s="54">
        <f>IF(AK2915&lt;&gt;"",AK2915,N(AL2914))</f>
        <v/>
      </c>
    </row>
    <row r="2916">
      <c r="A2916" t="inlineStr">
        <is>
          <t>PRD-0972</t>
        </is>
      </c>
      <c r="B2916" t="inlineStr">
        <is>
          <t>Production</t>
        </is>
      </c>
      <c r="AB2916" t="n">
        <v>972</v>
      </c>
      <c r="AD2916" s="52">
        <f>IFERROR(N(IFERROR(INDEX($A2916:$AB2916,MATCH("Xero Invoiced Ex GST",$A$1:$AB$1,0)),"")),0)</f>
        <v/>
      </c>
      <c r="AE2916" s="53">
        <f>IFERROR(INDEX($A2916:$AB2916,MATCH("Xero Invoice Date",$A$1:$AB$1,0)),"")</f>
        <v/>
      </c>
      <c r="AF2916" s="54">
        <f>IF(AND(IFERROR(INDEX($A2916:$AB2916,MATCH("Xero Invoice No",$A$1:$AB$1,0)),"")&amp;""&lt;&gt;"",ISNUMBER(AE2916),AD2916&lt;&gt;0),1,0)</f>
        <v/>
      </c>
      <c r="AG2916" s="55">
        <f>IF(AF2916=1,EOMONTH(AE2916,0),"")</f>
        <v/>
      </c>
      <c r="AH2916" s="9">
        <f>IF(AF2916=1,UPPER(TRIM(IFERROR(INDEX($A2916:$AB2916,MATCH("Client",$A$1:$AB$1,0)),"")&amp;"")),"")</f>
        <v/>
      </c>
      <c r="AI2916" s="9">
        <f>IF(AF2916=1,IFERROR(INDEX($A2916:$AB2916,MATCH("Cost Centre",$A$1:$AB$1,0)),"")&amp;"","")</f>
        <v/>
      </c>
      <c r="AJ2916" s="54">
        <f>IF(AND(AF2916=1,AE2916&gt;=set_FYStart,AE2916&lt;=set_AsAt),1,0)</f>
        <v/>
      </c>
      <c r="AK2916" s="54">
        <f>IF(AND(AJ2916=1,AH2916&lt;&gt;"",COUNTIFS($AH$2:AH2916,AH2916,$AJ$2:AJ2916,1)=1),N(AL2915)+1,"")</f>
        <v/>
      </c>
      <c r="AL2916" s="54">
        <f>IF(AK2916&lt;&gt;"",AK2916,N(AL2915))</f>
        <v/>
      </c>
    </row>
    <row r="2917">
      <c r="A2917" t="inlineStr">
        <is>
          <t>CON-0972</t>
        </is>
      </c>
      <c r="B2917" t="inlineStr">
        <is>
          <t>Consulting</t>
        </is>
      </c>
      <c r="AB2917" t="n">
        <v>972</v>
      </c>
      <c r="AD2917" s="52">
        <f>IFERROR(N(IFERROR(INDEX($A2917:$AB2917,MATCH("Xero Invoiced Ex GST",$A$1:$AB$1,0)),"")),0)</f>
        <v/>
      </c>
      <c r="AE2917" s="53">
        <f>IFERROR(INDEX($A2917:$AB2917,MATCH("Xero Invoice Date",$A$1:$AB$1,0)),"")</f>
        <v/>
      </c>
      <c r="AF2917" s="54">
        <f>IF(AND(IFERROR(INDEX($A2917:$AB2917,MATCH("Xero Invoice No",$A$1:$AB$1,0)),"")&amp;""&lt;&gt;"",ISNUMBER(AE2917),AD2917&lt;&gt;0),1,0)</f>
        <v/>
      </c>
      <c r="AG2917" s="55">
        <f>IF(AF2917=1,EOMONTH(AE2917,0),"")</f>
        <v/>
      </c>
      <c r="AH2917" s="9">
        <f>IF(AF2917=1,UPPER(TRIM(IFERROR(INDEX($A2917:$AB2917,MATCH("Client",$A$1:$AB$1,0)),"")&amp;"")),"")</f>
        <v/>
      </c>
      <c r="AI2917" s="9">
        <f>IF(AF2917=1,IFERROR(INDEX($A2917:$AB2917,MATCH("Cost Centre",$A$1:$AB$1,0)),"")&amp;"","")</f>
        <v/>
      </c>
      <c r="AJ2917" s="54">
        <f>IF(AND(AF2917=1,AE2917&gt;=set_FYStart,AE2917&lt;=set_AsAt),1,0)</f>
        <v/>
      </c>
      <c r="AK2917" s="54">
        <f>IF(AND(AJ2917=1,AH2917&lt;&gt;"",COUNTIFS($AH$2:AH2917,AH2917,$AJ$2:AJ2917,1)=1),N(AL2916)+1,"")</f>
        <v/>
      </c>
      <c r="AL2917" s="54">
        <f>IF(AK2917&lt;&gt;"",AK2917,N(AL2916))</f>
        <v/>
      </c>
    </row>
    <row r="2918">
      <c r="A2918" t="inlineStr">
        <is>
          <t>ONS-0973</t>
        </is>
      </c>
      <c r="B2918" t="inlineStr">
        <is>
          <t>Onsite</t>
        </is>
      </c>
      <c r="AB2918" t="n">
        <v>973</v>
      </c>
      <c r="AD2918" s="52">
        <f>IFERROR(N(IFERROR(INDEX($A2918:$AB2918,MATCH("Xero Invoiced Ex GST",$A$1:$AB$1,0)),"")),0)</f>
        <v/>
      </c>
      <c r="AE2918" s="53">
        <f>IFERROR(INDEX($A2918:$AB2918,MATCH("Xero Invoice Date",$A$1:$AB$1,0)),"")</f>
        <v/>
      </c>
      <c r="AF2918" s="54">
        <f>IF(AND(IFERROR(INDEX($A2918:$AB2918,MATCH("Xero Invoice No",$A$1:$AB$1,0)),"")&amp;""&lt;&gt;"",ISNUMBER(AE2918),AD2918&lt;&gt;0),1,0)</f>
        <v/>
      </c>
      <c r="AG2918" s="55">
        <f>IF(AF2918=1,EOMONTH(AE2918,0),"")</f>
        <v/>
      </c>
      <c r="AH2918" s="9">
        <f>IF(AF2918=1,UPPER(TRIM(IFERROR(INDEX($A2918:$AB2918,MATCH("Client",$A$1:$AB$1,0)),"")&amp;"")),"")</f>
        <v/>
      </c>
      <c r="AI2918" s="9">
        <f>IF(AF2918=1,IFERROR(INDEX($A2918:$AB2918,MATCH("Cost Centre",$A$1:$AB$1,0)),"")&amp;"","")</f>
        <v/>
      </c>
      <c r="AJ2918" s="54">
        <f>IF(AND(AF2918=1,AE2918&gt;=set_FYStart,AE2918&lt;=set_AsAt),1,0)</f>
        <v/>
      </c>
      <c r="AK2918" s="54">
        <f>IF(AND(AJ2918=1,AH2918&lt;&gt;"",COUNTIFS($AH$2:AH2918,AH2918,$AJ$2:AJ2918,1)=1),N(AL2917)+1,"")</f>
        <v/>
      </c>
      <c r="AL2918" s="54">
        <f>IF(AK2918&lt;&gt;"",AK2918,N(AL2917))</f>
        <v/>
      </c>
    </row>
    <row r="2919">
      <c r="A2919" t="inlineStr">
        <is>
          <t>PRD-0973</t>
        </is>
      </c>
      <c r="B2919" t="inlineStr">
        <is>
          <t>Production</t>
        </is>
      </c>
      <c r="AB2919" t="n">
        <v>973</v>
      </c>
      <c r="AD2919" s="52">
        <f>IFERROR(N(IFERROR(INDEX($A2919:$AB2919,MATCH("Xero Invoiced Ex GST",$A$1:$AB$1,0)),"")),0)</f>
        <v/>
      </c>
      <c r="AE2919" s="53">
        <f>IFERROR(INDEX($A2919:$AB2919,MATCH("Xero Invoice Date",$A$1:$AB$1,0)),"")</f>
        <v/>
      </c>
      <c r="AF2919" s="54">
        <f>IF(AND(IFERROR(INDEX($A2919:$AB2919,MATCH("Xero Invoice No",$A$1:$AB$1,0)),"")&amp;""&lt;&gt;"",ISNUMBER(AE2919),AD2919&lt;&gt;0),1,0)</f>
        <v/>
      </c>
      <c r="AG2919" s="55">
        <f>IF(AF2919=1,EOMONTH(AE2919,0),"")</f>
        <v/>
      </c>
      <c r="AH2919" s="9">
        <f>IF(AF2919=1,UPPER(TRIM(IFERROR(INDEX($A2919:$AB2919,MATCH("Client",$A$1:$AB$1,0)),"")&amp;"")),"")</f>
        <v/>
      </c>
      <c r="AI2919" s="9">
        <f>IF(AF2919=1,IFERROR(INDEX($A2919:$AB2919,MATCH("Cost Centre",$A$1:$AB$1,0)),"")&amp;"","")</f>
        <v/>
      </c>
      <c r="AJ2919" s="54">
        <f>IF(AND(AF2919=1,AE2919&gt;=set_FYStart,AE2919&lt;=set_AsAt),1,0)</f>
        <v/>
      </c>
      <c r="AK2919" s="54">
        <f>IF(AND(AJ2919=1,AH2919&lt;&gt;"",COUNTIFS($AH$2:AH2919,AH2919,$AJ$2:AJ2919,1)=1),N(AL2918)+1,"")</f>
        <v/>
      </c>
      <c r="AL2919" s="54">
        <f>IF(AK2919&lt;&gt;"",AK2919,N(AL2918))</f>
        <v/>
      </c>
    </row>
    <row r="2920">
      <c r="A2920" t="inlineStr">
        <is>
          <t>CON-0973</t>
        </is>
      </c>
      <c r="B2920" t="inlineStr">
        <is>
          <t>Consulting</t>
        </is>
      </c>
      <c r="AB2920" t="n">
        <v>973</v>
      </c>
      <c r="AD2920" s="52">
        <f>IFERROR(N(IFERROR(INDEX($A2920:$AB2920,MATCH("Xero Invoiced Ex GST",$A$1:$AB$1,0)),"")),0)</f>
        <v/>
      </c>
      <c r="AE2920" s="53">
        <f>IFERROR(INDEX($A2920:$AB2920,MATCH("Xero Invoice Date",$A$1:$AB$1,0)),"")</f>
        <v/>
      </c>
      <c r="AF2920" s="54">
        <f>IF(AND(IFERROR(INDEX($A2920:$AB2920,MATCH("Xero Invoice No",$A$1:$AB$1,0)),"")&amp;""&lt;&gt;"",ISNUMBER(AE2920),AD2920&lt;&gt;0),1,0)</f>
        <v/>
      </c>
      <c r="AG2920" s="55">
        <f>IF(AF2920=1,EOMONTH(AE2920,0),"")</f>
        <v/>
      </c>
      <c r="AH2920" s="9">
        <f>IF(AF2920=1,UPPER(TRIM(IFERROR(INDEX($A2920:$AB2920,MATCH("Client",$A$1:$AB$1,0)),"")&amp;"")),"")</f>
        <v/>
      </c>
      <c r="AI2920" s="9">
        <f>IF(AF2920=1,IFERROR(INDEX($A2920:$AB2920,MATCH("Cost Centre",$A$1:$AB$1,0)),"")&amp;"","")</f>
        <v/>
      </c>
      <c r="AJ2920" s="54">
        <f>IF(AND(AF2920=1,AE2920&gt;=set_FYStart,AE2920&lt;=set_AsAt),1,0)</f>
        <v/>
      </c>
      <c r="AK2920" s="54">
        <f>IF(AND(AJ2920=1,AH2920&lt;&gt;"",COUNTIFS($AH$2:AH2920,AH2920,$AJ$2:AJ2920,1)=1),N(AL2919)+1,"")</f>
        <v/>
      </c>
      <c r="AL2920" s="54">
        <f>IF(AK2920&lt;&gt;"",AK2920,N(AL2919))</f>
        <v/>
      </c>
    </row>
    <row r="2921">
      <c r="A2921" t="inlineStr">
        <is>
          <t>ONS-0974</t>
        </is>
      </c>
      <c r="B2921" t="inlineStr">
        <is>
          <t>Onsite</t>
        </is>
      </c>
      <c r="AB2921" t="n">
        <v>974</v>
      </c>
      <c r="AD2921" s="52">
        <f>IFERROR(N(IFERROR(INDEX($A2921:$AB2921,MATCH("Xero Invoiced Ex GST",$A$1:$AB$1,0)),"")),0)</f>
        <v/>
      </c>
      <c r="AE2921" s="53">
        <f>IFERROR(INDEX($A2921:$AB2921,MATCH("Xero Invoice Date",$A$1:$AB$1,0)),"")</f>
        <v/>
      </c>
      <c r="AF2921" s="54">
        <f>IF(AND(IFERROR(INDEX($A2921:$AB2921,MATCH("Xero Invoice No",$A$1:$AB$1,0)),"")&amp;""&lt;&gt;"",ISNUMBER(AE2921),AD2921&lt;&gt;0),1,0)</f>
        <v/>
      </c>
      <c r="AG2921" s="55">
        <f>IF(AF2921=1,EOMONTH(AE2921,0),"")</f>
        <v/>
      </c>
      <c r="AH2921" s="9">
        <f>IF(AF2921=1,UPPER(TRIM(IFERROR(INDEX($A2921:$AB2921,MATCH("Client",$A$1:$AB$1,0)),"")&amp;"")),"")</f>
        <v/>
      </c>
      <c r="AI2921" s="9">
        <f>IF(AF2921=1,IFERROR(INDEX($A2921:$AB2921,MATCH("Cost Centre",$A$1:$AB$1,0)),"")&amp;"","")</f>
        <v/>
      </c>
      <c r="AJ2921" s="54">
        <f>IF(AND(AF2921=1,AE2921&gt;=set_FYStart,AE2921&lt;=set_AsAt),1,0)</f>
        <v/>
      </c>
      <c r="AK2921" s="54">
        <f>IF(AND(AJ2921=1,AH2921&lt;&gt;"",COUNTIFS($AH$2:AH2921,AH2921,$AJ$2:AJ2921,1)=1),N(AL2920)+1,"")</f>
        <v/>
      </c>
      <c r="AL2921" s="54">
        <f>IF(AK2921&lt;&gt;"",AK2921,N(AL2920))</f>
        <v/>
      </c>
    </row>
    <row r="2922">
      <c r="A2922" t="inlineStr">
        <is>
          <t>PRD-0974</t>
        </is>
      </c>
      <c r="B2922" t="inlineStr">
        <is>
          <t>Production</t>
        </is>
      </c>
      <c r="AB2922" t="n">
        <v>974</v>
      </c>
      <c r="AD2922" s="52">
        <f>IFERROR(N(IFERROR(INDEX($A2922:$AB2922,MATCH("Xero Invoiced Ex GST",$A$1:$AB$1,0)),"")),0)</f>
        <v/>
      </c>
      <c r="AE2922" s="53">
        <f>IFERROR(INDEX($A2922:$AB2922,MATCH("Xero Invoice Date",$A$1:$AB$1,0)),"")</f>
        <v/>
      </c>
      <c r="AF2922" s="54">
        <f>IF(AND(IFERROR(INDEX($A2922:$AB2922,MATCH("Xero Invoice No",$A$1:$AB$1,0)),"")&amp;""&lt;&gt;"",ISNUMBER(AE2922),AD2922&lt;&gt;0),1,0)</f>
        <v/>
      </c>
      <c r="AG2922" s="55">
        <f>IF(AF2922=1,EOMONTH(AE2922,0),"")</f>
        <v/>
      </c>
      <c r="AH2922" s="9">
        <f>IF(AF2922=1,UPPER(TRIM(IFERROR(INDEX($A2922:$AB2922,MATCH("Client",$A$1:$AB$1,0)),"")&amp;"")),"")</f>
        <v/>
      </c>
      <c r="AI2922" s="9">
        <f>IF(AF2922=1,IFERROR(INDEX($A2922:$AB2922,MATCH("Cost Centre",$A$1:$AB$1,0)),"")&amp;"","")</f>
        <v/>
      </c>
      <c r="AJ2922" s="54">
        <f>IF(AND(AF2922=1,AE2922&gt;=set_FYStart,AE2922&lt;=set_AsAt),1,0)</f>
        <v/>
      </c>
      <c r="AK2922" s="54">
        <f>IF(AND(AJ2922=1,AH2922&lt;&gt;"",COUNTIFS($AH$2:AH2922,AH2922,$AJ$2:AJ2922,1)=1),N(AL2921)+1,"")</f>
        <v/>
      </c>
      <c r="AL2922" s="54">
        <f>IF(AK2922&lt;&gt;"",AK2922,N(AL2921))</f>
        <v/>
      </c>
    </row>
    <row r="2923">
      <c r="A2923" t="inlineStr">
        <is>
          <t>CON-0974</t>
        </is>
      </c>
      <c r="B2923" t="inlineStr">
        <is>
          <t>Consulting</t>
        </is>
      </c>
      <c r="AB2923" t="n">
        <v>974</v>
      </c>
      <c r="AD2923" s="52">
        <f>IFERROR(N(IFERROR(INDEX($A2923:$AB2923,MATCH("Xero Invoiced Ex GST",$A$1:$AB$1,0)),"")),0)</f>
        <v/>
      </c>
      <c r="AE2923" s="53">
        <f>IFERROR(INDEX($A2923:$AB2923,MATCH("Xero Invoice Date",$A$1:$AB$1,0)),"")</f>
        <v/>
      </c>
      <c r="AF2923" s="54">
        <f>IF(AND(IFERROR(INDEX($A2923:$AB2923,MATCH("Xero Invoice No",$A$1:$AB$1,0)),"")&amp;""&lt;&gt;"",ISNUMBER(AE2923),AD2923&lt;&gt;0),1,0)</f>
        <v/>
      </c>
      <c r="AG2923" s="55">
        <f>IF(AF2923=1,EOMONTH(AE2923,0),"")</f>
        <v/>
      </c>
      <c r="AH2923" s="9">
        <f>IF(AF2923=1,UPPER(TRIM(IFERROR(INDEX($A2923:$AB2923,MATCH("Client",$A$1:$AB$1,0)),"")&amp;"")),"")</f>
        <v/>
      </c>
      <c r="AI2923" s="9">
        <f>IF(AF2923=1,IFERROR(INDEX($A2923:$AB2923,MATCH("Cost Centre",$A$1:$AB$1,0)),"")&amp;"","")</f>
        <v/>
      </c>
      <c r="AJ2923" s="54">
        <f>IF(AND(AF2923=1,AE2923&gt;=set_FYStart,AE2923&lt;=set_AsAt),1,0)</f>
        <v/>
      </c>
      <c r="AK2923" s="54">
        <f>IF(AND(AJ2923=1,AH2923&lt;&gt;"",COUNTIFS($AH$2:AH2923,AH2923,$AJ$2:AJ2923,1)=1),N(AL2922)+1,"")</f>
        <v/>
      </c>
      <c r="AL2923" s="54">
        <f>IF(AK2923&lt;&gt;"",AK2923,N(AL2922))</f>
        <v/>
      </c>
    </row>
    <row r="2924">
      <c r="A2924" t="inlineStr">
        <is>
          <t>ONS-0975</t>
        </is>
      </c>
      <c r="B2924" t="inlineStr">
        <is>
          <t>Onsite</t>
        </is>
      </c>
      <c r="AB2924" t="n">
        <v>975</v>
      </c>
      <c r="AD2924" s="52">
        <f>IFERROR(N(IFERROR(INDEX($A2924:$AB2924,MATCH("Xero Invoiced Ex GST",$A$1:$AB$1,0)),"")),0)</f>
        <v/>
      </c>
      <c r="AE2924" s="53">
        <f>IFERROR(INDEX($A2924:$AB2924,MATCH("Xero Invoice Date",$A$1:$AB$1,0)),"")</f>
        <v/>
      </c>
      <c r="AF2924" s="54">
        <f>IF(AND(IFERROR(INDEX($A2924:$AB2924,MATCH("Xero Invoice No",$A$1:$AB$1,0)),"")&amp;""&lt;&gt;"",ISNUMBER(AE2924),AD2924&lt;&gt;0),1,0)</f>
        <v/>
      </c>
      <c r="AG2924" s="55">
        <f>IF(AF2924=1,EOMONTH(AE2924,0),"")</f>
        <v/>
      </c>
      <c r="AH2924" s="9">
        <f>IF(AF2924=1,UPPER(TRIM(IFERROR(INDEX($A2924:$AB2924,MATCH("Client",$A$1:$AB$1,0)),"")&amp;"")),"")</f>
        <v/>
      </c>
      <c r="AI2924" s="9">
        <f>IF(AF2924=1,IFERROR(INDEX($A2924:$AB2924,MATCH("Cost Centre",$A$1:$AB$1,0)),"")&amp;"","")</f>
        <v/>
      </c>
      <c r="AJ2924" s="54">
        <f>IF(AND(AF2924=1,AE2924&gt;=set_FYStart,AE2924&lt;=set_AsAt),1,0)</f>
        <v/>
      </c>
      <c r="AK2924" s="54">
        <f>IF(AND(AJ2924=1,AH2924&lt;&gt;"",COUNTIFS($AH$2:AH2924,AH2924,$AJ$2:AJ2924,1)=1),N(AL2923)+1,"")</f>
        <v/>
      </c>
      <c r="AL2924" s="54">
        <f>IF(AK2924&lt;&gt;"",AK2924,N(AL2923))</f>
        <v/>
      </c>
    </row>
    <row r="2925">
      <c r="A2925" t="inlineStr">
        <is>
          <t>PRD-0975</t>
        </is>
      </c>
      <c r="B2925" t="inlineStr">
        <is>
          <t>Production</t>
        </is>
      </c>
      <c r="AB2925" t="n">
        <v>975</v>
      </c>
      <c r="AD2925" s="52">
        <f>IFERROR(N(IFERROR(INDEX($A2925:$AB2925,MATCH("Xero Invoiced Ex GST",$A$1:$AB$1,0)),"")),0)</f>
        <v/>
      </c>
      <c r="AE2925" s="53">
        <f>IFERROR(INDEX($A2925:$AB2925,MATCH("Xero Invoice Date",$A$1:$AB$1,0)),"")</f>
        <v/>
      </c>
      <c r="AF2925" s="54">
        <f>IF(AND(IFERROR(INDEX($A2925:$AB2925,MATCH("Xero Invoice No",$A$1:$AB$1,0)),"")&amp;""&lt;&gt;"",ISNUMBER(AE2925),AD2925&lt;&gt;0),1,0)</f>
        <v/>
      </c>
      <c r="AG2925" s="55">
        <f>IF(AF2925=1,EOMONTH(AE2925,0),"")</f>
        <v/>
      </c>
      <c r="AH2925" s="9">
        <f>IF(AF2925=1,UPPER(TRIM(IFERROR(INDEX($A2925:$AB2925,MATCH("Client",$A$1:$AB$1,0)),"")&amp;"")),"")</f>
        <v/>
      </c>
      <c r="AI2925" s="9">
        <f>IF(AF2925=1,IFERROR(INDEX($A2925:$AB2925,MATCH("Cost Centre",$A$1:$AB$1,0)),"")&amp;"","")</f>
        <v/>
      </c>
      <c r="AJ2925" s="54">
        <f>IF(AND(AF2925=1,AE2925&gt;=set_FYStart,AE2925&lt;=set_AsAt),1,0)</f>
        <v/>
      </c>
      <c r="AK2925" s="54">
        <f>IF(AND(AJ2925=1,AH2925&lt;&gt;"",COUNTIFS($AH$2:AH2925,AH2925,$AJ$2:AJ2925,1)=1),N(AL2924)+1,"")</f>
        <v/>
      </c>
      <c r="AL2925" s="54">
        <f>IF(AK2925&lt;&gt;"",AK2925,N(AL2924))</f>
        <v/>
      </c>
    </row>
    <row r="2926">
      <c r="A2926" t="inlineStr">
        <is>
          <t>CON-0975</t>
        </is>
      </c>
      <c r="B2926" t="inlineStr">
        <is>
          <t>Consulting</t>
        </is>
      </c>
      <c r="AB2926" t="n">
        <v>975</v>
      </c>
      <c r="AD2926" s="52">
        <f>IFERROR(N(IFERROR(INDEX($A2926:$AB2926,MATCH("Xero Invoiced Ex GST",$A$1:$AB$1,0)),"")),0)</f>
        <v/>
      </c>
      <c r="AE2926" s="53">
        <f>IFERROR(INDEX($A2926:$AB2926,MATCH("Xero Invoice Date",$A$1:$AB$1,0)),"")</f>
        <v/>
      </c>
      <c r="AF2926" s="54">
        <f>IF(AND(IFERROR(INDEX($A2926:$AB2926,MATCH("Xero Invoice No",$A$1:$AB$1,0)),"")&amp;""&lt;&gt;"",ISNUMBER(AE2926),AD2926&lt;&gt;0),1,0)</f>
        <v/>
      </c>
      <c r="AG2926" s="55">
        <f>IF(AF2926=1,EOMONTH(AE2926,0),"")</f>
        <v/>
      </c>
      <c r="AH2926" s="9">
        <f>IF(AF2926=1,UPPER(TRIM(IFERROR(INDEX($A2926:$AB2926,MATCH("Client",$A$1:$AB$1,0)),"")&amp;"")),"")</f>
        <v/>
      </c>
      <c r="AI2926" s="9">
        <f>IF(AF2926=1,IFERROR(INDEX($A2926:$AB2926,MATCH("Cost Centre",$A$1:$AB$1,0)),"")&amp;"","")</f>
        <v/>
      </c>
      <c r="AJ2926" s="54">
        <f>IF(AND(AF2926=1,AE2926&gt;=set_FYStart,AE2926&lt;=set_AsAt),1,0)</f>
        <v/>
      </c>
      <c r="AK2926" s="54">
        <f>IF(AND(AJ2926=1,AH2926&lt;&gt;"",COUNTIFS($AH$2:AH2926,AH2926,$AJ$2:AJ2926,1)=1),N(AL2925)+1,"")</f>
        <v/>
      </c>
      <c r="AL2926" s="54">
        <f>IF(AK2926&lt;&gt;"",AK2926,N(AL2925))</f>
        <v/>
      </c>
    </row>
    <row r="2927">
      <c r="A2927" t="inlineStr">
        <is>
          <t>ONS-0976</t>
        </is>
      </c>
      <c r="B2927" t="inlineStr">
        <is>
          <t>Onsite</t>
        </is>
      </c>
      <c r="AB2927" t="n">
        <v>976</v>
      </c>
      <c r="AD2927" s="52">
        <f>IFERROR(N(IFERROR(INDEX($A2927:$AB2927,MATCH("Xero Invoiced Ex GST",$A$1:$AB$1,0)),"")),0)</f>
        <v/>
      </c>
      <c r="AE2927" s="53">
        <f>IFERROR(INDEX($A2927:$AB2927,MATCH("Xero Invoice Date",$A$1:$AB$1,0)),"")</f>
        <v/>
      </c>
      <c r="AF2927" s="54">
        <f>IF(AND(IFERROR(INDEX($A2927:$AB2927,MATCH("Xero Invoice No",$A$1:$AB$1,0)),"")&amp;""&lt;&gt;"",ISNUMBER(AE2927),AD2927&lt;&gt;0),1,0)</f>
        <v/>
      </c>
      <c r="AG2927" s="55">
        <f>IF(AF2927=1,EOMONTH(AE2927,0),"")</f>
        <v/>
      </c>
      <c r="AH2927" s="9">
        <f>IF(AF2927=1,UPPER(TRIM(IFERROR(INDEX($A2927:$AB2927,MATCH("Client",$A$1:$AB$1,0)),"")&amp;"")),"")</f>
        <v/>
      </c>
      <c r="AI2927" s="9">
        <f>IF(AF2927=1,IFERROR(INDEX($A2927:$AB2927,MATCH("Cost Centre",$A$1:$AB$1,0)),"")&amp;"","")</f>
        <v/>
      </c>
      <c r="AJ2927" s="54">
        <f>IF(AND(AF2927=1,AE2927&gt;=set_FYStart,AE2927&lt;=set_AsAt),1,0)</f>
        <v/>
      </c>
      <c r="AK2927" s="54">
        <f>IF(AND(AJ2927=1,AH2927&lt;&gt;"",COUNTIFS($AH$2:AH2927,AH2927,$AJ$2:AJ2927,1)=1),N(AL2926)+1,"")</f>
        <v/>
      </c>
      <c r="AL2927" s="54">
        <f>IF(AK2927&lt;&gt;"",AK2927,N(AL2926))</f>
        <v/>
      </c>
    </row>
    <row r="2928">
      <c r="A2928" t="inlineStr">
        <is>
          <t>PRD-0976</t>
        </is>
      </c>
      <c r="B2928" t="inlineStr">
        <is>
          <t>Production</t>
        </is>
      </c>
      <c r="AB2928" t="n">
        <v>976</v>
      </c>
      <c r="AD2928" s="52">
        <f>IFERROR(N(IFERROR(INDEX($A2928:$AB2928,MATCH("Xero Invoiced Ex GST",$A$1:$AB$1,0)),"")),0)</f>
        <v/>
      </c>
      <c r="AE2928" s="53">
        <f>IFERROR(INDEX($A2928:$AB2928,MATCH("Xero Invoice Date",$A$1:$AB$1,0)),"")</f>
        <v/>
      </c>
      <c r="AF2928" s="54">
        <f>IF(AND(IFERROR(INDEX($A2928:$AB2928,MATCH("Xero Invoice No",$A$1:$AB$1,0)),"")&amp;""&lt;&gt;"",ISNUMBER(AE2928),AD2928&lt;&gt;0),1,0)</f>
        <v/>
      </c>
      <c r="AG2928" s="55">
        <f>IF(AF2928=1,EOMONTH(AE2928,0),"")</f>
        <v/>
      </c>
      <c r="AH2928" s="9">
        <f>IF(AF2928=1,UPPER(TRIM(IFERROR(INDEX($A2928:$AB2928,MATCH("Client",$A$1:$AB$1,0)),"")&amp;"")),"")</f>
        <v/>
      </c>
      <c r="AI2928" s="9">
        <f>IF(AF2928=1,IFERROR(INDEX($A2928:$AB2928,MATCH("Cost Centre",$A$1:$AB$1,0)),"")&amp;"","")</f>
        <v/>
      </c>
      <c r="AJ2928" s="54">
        <f>IF(AND(AF2928=1,AE2928&gt;=set_FYStart,AE2928&lt;=set_AsAt),1,0)</f>
        <v/>
      </c>
      <c r="AK2928" s="54">
        <f>IF(AND(AJ2928=1,AH2928&lt;&gt;"",COUNTIFS($AH$2:AH2928,AH2928,$AJ$2:AJ2928,1)=1),N(AL2927)+1,"")</f>
        <v/>
      </c>
      <c r="AL2928" s="54">
        <f>IF(AK2928&lt;&gt;"",AK2928,N(AL2927))</f>
        <v/>
      </c>
    </row>
    <row r="2929">
      <c r="A2929" t="inlineStr">
        <is>
          <t>CON-0976</t>
        </is>
      </c>
      <c r="B2929" t="inlineStr">
        <is>
          <t>Consulting</t>
        </is>
      </c>
      <c r="AB2929" t="n">
        <v>976</v>
      </c>
      <c r="AD2929" s="52">
        <f>IFERROR(N(IFERROR(INDEX($A2929:$AB2929,MATCH("Xero Invoiced Ex GST",$A$1:$AB$1,0)),"")),0)</f>
        <v/>
      </c>
      <c r="AE2929" s="53">
        <f>IFERROR(INDEX($A2929:$AB2929,MATCH("Xero Invoice Date",$A$1:$AB$1,0)),"")</f>
        <v/>
      </c>
      <c r="AF2929" s="54">
        <f>IF(AND(IFERROR(INDEX($A2929:$AB2929,MATCH("Xero Invoice No",$A$1:$AB$1,0)),"")&amp;""&lt;&gt;"",ISNUMBER(AE2929),AD2929&lt;&gt;0),1,0)</f>
        <v/>
      </c>
      <c r="AG2929" s="55">
        <f>IF(AF2929=1,EOMONTH(AE2929,0),"")</f>
        <v/>
      </c>
      <c r="AH2929" s="9">
        <f>IF(AF2929=1,UPPER(TRIM(IFERROR(INDEX($A2929:$AB2929,MATCH("Client",$A$1:$AB$1,0)),"")&amp;"")),"")</f>
        <v/>
      </c>
      <c r="AI2929" s="9">
        <f>IF(AF2929=1,IFERROR(INDEX($A2929:$AB2929,MATCH("Cost Centre",$A$1:$AB$1,0)),"")&amp;"","")</f>
        <v/>
      </c>
      <c r="AJ2929" s="54">
        <f>IF(AND(AF2929=1,AE2929&gt;=set_FYStart,AE2929&lt;=set_AsAt),1,0)</f>
        <v/>
      </c>
      <c r="AK2929" s="54">
        <f>IF(AND(AJ2929=1,AH2929&lt;&gt;"",COUNTIFS($AH$2:AH2929,AH2929,$AJ$2:AJ2929,1)=1),N(AL2928)+1,"")</f>
        <v/>
      </c>
      <c r="AL2929" s="54">
        <f>IF(AK2929&lt;&gt;"",AK2929,N(AL2928))</f>
        <v/>
      </c>
    </row>
    <row r="2930">
      <c r="A2930" t="inlineStr">
        <is>
          <t>ONS-0977</t>
        </is>
      </c>
      <c r="B2930" t="inlineStr">
        <is>
          <t>Onsite</t>
        </is>
      </c>
      <c r="AB2930" t="n">
        <v>977</v>
      </c>
      <c r="AD2930" s="52">
        <f>IFERROR(N(IFERROR(INDEX($A2930:$AB2930,MATCH("Xero Invoiced Ex GST",$A$1:$AB$1,0)),"")),0)</f>
        <v/>
      </c>
      <c r="AE2930" s="53">
        <f>IFERROR(INDEX($A2930:$AB2930,MATCH("Xero Invoice Date",$A$1:$AB$1,0)),"")</f>
        <v/>
      </c>
      <c r="AF2930" s="54">
        <f>IF(AND(IFERROR(INDEX($A2930:$AB2930,MATCH("Xero Invoice No",$A$1:$AB$1,0)),"")&amp;""&lt;&gt;"",ISNUMBER(AE2930),AD2930&lt;&gt;0),1,0)</f>
        <v/>
      </c>
      <c r="AG2930" s="55">
        <f>IF(AF2930=1,EOMONTH(AE2930,0),"")</f>
        <v/>
      </c>
      <c r="AH2930" s="9">
        <f>IF(AF2930=1,UPPER(TRIM(IFERROR(INDEX($A2930:$AB2930,MATCH("Client",$A$1:$AB$1,0)),"")&amp;"")),"")</f>
        <v/>
      </c>
      <c r="AI2930" s="9">
        <f>IF(AF2930=1,IFERROR(INDEX($A2930:$AB2930,MATCH("Cost Centre",$A$1:$AB$1,0)),"")&amp;"","")</f>
        <v/>
      </c>
      <c r="AJ2930" s="54">
        <f>IF(AND(AF2930=1,AE2930&gt;=set_FYStart,AE2930&lt;=set_AsAt),1,0)</f>
        <v/>
      </c>
      <c r="AK2930" s="54">
        <f>IF(AND(AJ2930=1,AH2930&lt;&gt;"",COUNTIFS($AH$2:AH2930,AH2930,$AJ$2:AJ2930,1)=1),N(AL2929)+1,"")</f>
        <v/>
      </c>
      <c r="AL2930" s="54">
        <f>IF(AK2930&lt;&gt;"",AK2930,N(AL2929))</f>
        <v/>
      </c>
    </row>
    <row r="2931">
      <c r="A2931" t="inlineStr">
        <is>
          <t>PRD-0977</t>
        </is>
      </c>
      <c r="B2931" t="inlineStr">
        <is>
          <t>Production</t>
        </is>
      </c>
      <c r="AB2931" t="n">
        <v>977</v>
      </c>
      <c r="AD2931" s="52">
        <f>IFERROR(N(IFERROR(INDEX($A2931:$AB2931,MATCH("Xero Invoiced Ex GST",$A$1:$AB$1,0)),"")),0)</f>
        <v/>
      </c>
      <c r="AE2931" s="53">
        <f>IFERROR(INDEX($A2931:$AB2931,MATCH("Xero Invoice Date",$A$1:$AB$1,0)),"")</f>
        <v/>
      </c>
      <c r="AF2931" s="54">
        <f>IF(AND(IFERROR(INDEX($A2931:$AB2931,MATCH("Xero Invoice No",$A$1:$AB$1,0)),"")&amp;""&lt;&gt;"",ISNUMBER(AE2931),AD2931&lt;&gt;0),1,0)</f>
        <v/>
      </c>
      <c r="AG2931" s="55">
        <f>IF(AF2931=1,EOMONTH(AE2931,0),"")</f>
        <v/>
      </c>
      <c r="AH2931" s="9">
        <f>IF(AF2931=1,UPPER(TRIM(IFERROR(INDEX($A2931:$AB2931,MATCH("Client",$A$1:$AB$1,0)),"")&amp;"")),"")</f>
        <v/>
      </c>
      <c r="AI2931" s="9">
        <f>IF(AF2931=1,IFERROR(INDEX($A2931:$AB2931,MATCH("Cost Centre",$A$1:$AB$1,0)),"")&amp;"","")</f>
        <v/>
      </c>
      <c r="AJ2931" s="54">
        <f>IF(AND(AF2931=1,AE2931&gt;=set_FYStart,AE2931&lt;=set_AsAt),1,0)</f>
        <v/>
      </c>
      <c r="AK2931" s="54">
        <f>IF(AND(AJ2931=1,AH2931&lt;&gt;"",COUNTIFS($AH$2:AH2931,AH2931,$AJ$2:AJ2931,1)=1),N(AL2930)+1,"")</f>
        <v/>
      </c>
      <c r="AL2931" s="54">
        <f>IF(AK2931&lt;&gt;"",AK2931,N(AL2930))</f>
        <v/>
      </c>
    </row>
    <row r="2932">
      <c r="A2932" t="inlineStr">
        <is>
          <t>CON-0977</t>
        </is>
      </c>
      <c r="B2932" t="inlineStr">
        <is>
          <t>Consulting</t>
        </is>
      </c>
      <c r="AB2932" t="n">
        <v>977</v>
      </c>
      <c r="AD2932" s="52">
        <f>IFERROR(N(IFERROR(INDEX($A2932:$AB2932,MATCH("Xero Invoiced Ex GST",$A$1:$AB$1,0)),"")),0)</f>
        <v/>
      </c>
      <c r="AE2932" s="53">
        <f>IFERROR(INDEX($A2932:$AB2932,MATCH("Xero Invoice Date",$A$1:$AB$1,0)),"")</f>
        <v/>
      </c>
      <c r="AF2932" s="54">
        <f>IF(AND(IFERROR(INDEX($A2932:$AB2932,MATCH("Xero Invoice No",$A$1:$AB$1,0)),"")&amp;""&lt;&gt;"",ISNUMBER(AE2932),AD2932&lt;&gt;0),1,0)</f>
        <v/>
      </c>
      <c r="AG2932" s="55">
        <f>IF(AF2932=1,EOMONTH(AE2932,0),"")</f>
        <v/>
      </c>
      <c r="AH2932" s="9">
        <f>IF(AF2932=1,UPPER(TRIM(IFERROR(INDEX($A2932:$AB2932,MATCH("Client",$A$1:$AB$1,0)),"")&amp;"")),"")</f>
        <v/>
      </c>
      <c r="AI2932" s="9">
        <f>IF(AF2932=1,IFERROR(INDEX($A2932:$AB2932,MATCH("Cost Centre",$A$1:$AB$1,0)),"")&amp;"","")</f>
        <v/>
      </c>
      <c r="AJ2932" s="54">
        <f>IF(AND(AF2932=1,AE2932&gt;=set_FYStart,AE2932&lt;=set_AsAt),1,0)</f>
        <v/>
      </c>
      <c r="AK2932" s="54">
        <f>IF(AND(AJ2932=1,AH2932&lt;&gt;"",COUNTIFS($AH$2:AH2932,AH2932,$AJ$2:AJ2932,1)=1),N(AL2931)+1,"")</f>
        <v/>
      </c>
      <c r="AL2932" s="54">
        <f>IF(AK2932&lt;&gt;"",AK2932,N(AL2931))</f>
        <v/>
      </c>
    </row>
    <row r="2933">
      <c r="A2933" t="inlineStr">
        <is>
          <t>ONS-0978</t>
        </is>
      </c>
      <c r="B2933" t="inlineStr">
        <is>
          <t>Onsite</t>
        </is>
      </c>
      <c r="AB2933" t="n">
        <v>978</v>
      </c>
      <c r="AD2933" s="52">
        <f>IFERROR(N(IFERROR(INDEX($A2933:$AB2933,MATCH("Xero Invoiced Ex GST",$A$1:$AB$1,0)),"")),0)</f>
        <v/>
      </c>
      <c r="AE2933" s="53">
        <f>IFERROR(INDEX($A2933:$AB2933,MATCH("Xero Invoice Date",$A$1:$AB$1,0)),"")</f>
        <v/>
      </c>
      <c r="AF2933" s="54">
        <f>IF(AND(IFERROR(INDEX($A2933:$AB2933,MATCH("Xero Invoice No",$A$1:$AB$1,0)),"")&amp;""&lt;&gt;"",ISNUMBER(AE2933),AD2933&lt;&gt;0),1,0)</f>
        <v/>
      </c>
      <c r="AG2933" s="55">
        <f>IF(AF2933=1,EOMONTH(AE2933,0),"")</f>
        <v/>
      </c>
      <c r="AH2933" s="9">
        <f>IF(AF2933=1,UPPER(TRIM(IFERROR(INDEX($A2933:$AB2933,MATCH("Client",$A$1:$AB$1,0)),"")&amp;"")),"")</f>
        <v/>
      </c>
      <c r="AI2933" s="9">
        <f>IF(AF2933=1,IFERROR(INDEX($A2933:$AB2933,MATCH("Cost Centre",$A$1:$AB$1,0)),"")&amp;"","")</f>
        <v/>
      </c>
      <c r="AJ2933" s="54">
        <f>IF(AND(AF2933=1,AE2933&gt;=set_FYStart,AE2933&lt;=set_AsAt),1,0)</f>
        <v/>
      </c>
      <c r="AK2933" s="54">
        <f>IF(AND(AJ2933=1,AH2933&lt;&gt;"",COUNTIFS($AH$2:AH2933,AH2933,$AJ$2:AJ2933,1)=1),N(AL2932)+1,"")</f>
        <v/>
      </c>
      <c r="AL2933" s="54">
        <f>IF(AK2933&lt;&gt;"",AK2933,N(AL2932))</f>
        <v/>
      </c>
    </row>
    <row r="2934">
      <c r="A2934" t="inlineStr">
        <is>
          <t>PRD-0978</t>
        </is>
      </c>
      <c r="B2934" t="inlineStr">
        <is>
          <t>Production</t>
        </is>
      </c>
      <c r="AB2934" t="n">
        <v>978</v>
      </c>
      <c r="AD2934" s="52">
        <f>IFERROR(N(IFERROR(INDEX($A2934:$AB2934,MATCH("Xero Invoiced Ex GST",$A$1:$AB$1,0)),"")),0)</f>
        <v/>
      </c>
      <c r="AE2934" s="53">
        <f>IFERROR(INDEX($A2934:$AB2934,MATCH("Xero Invoice Date",$A$1:$AB$1,0)),"")</f>
        <v/>
      </c>
      <c r="AF2934" s="54">
        <f>IF(AND(IFERROR(INDEX($A2934:$AB2934,MATCH("Xero Invoice No",$A$1:$AB$1,0)),"")&amp;""&lt;&gt;"",ISNUMBER(AE2934),AD2934&lt;&gt;0),1,0)</f>
        <v/>
      </c>
      <c r="AG2934" s="55">
        <f>IF(AF2934=1,EOMONTH(AE2934,0),"")</f>
        <v/>
      </c>
      <c r="AH2934" s="9">
        <f>IF(AF2934=1,UPPER(TRIM(IFERROR(INDEX($A2934:$AB2934,MATCH("Client",$A$1:$AB$1,0)),"")&amp;"")),"")</f>
        <v/>
      </c>
      <c r="AI2934" s="9">
        <f>IF(AF2934=1,IFERROR(INDEX($A2934:$AB2934,MATCH("Cost Centre",$A$1:$AB$1,0)),"")&amp;"","")</f>
        <v/>
      </c>
      <c r="AJ2934" s="54">
        <f>IF(AND(AF2934=1,AE2934&gt;=set_FYStart,AE2934&lt;=set_AsAt),1,0)</f>
        <v/>
      </c>
      <c r="AK2934" s="54">
        <f>IF(AND(AJ2934=1,AH2934&lt;&gt;"",COUNTIFS($AH$2:AH2934,AH2934,$AJ$2:AJ2934,1)=1),N(AL2933)+1,"")</f>
        <v/>
      </c>
      <c r="AL2934" s="54">
        <f>IF(AK2934&lt;&gt;"",AK2934,N(AL2933))</f>
        <v/>
      </c>
    </row>
    <row r="2935">
      <c r="A2935" t="inlineStr">
        <is>
          <t>CON-0978</t>
        </is>
      </c>
      <c r="B2935" t="inlineStr">
        <is>
          <t>Consulting</t>
        </is>
      </c>
      <c r="AB2935" t="n">
        <v>978</v>
      </c>
      <c r="AD2935" s="52">
        <f>IFERROR(N(IFERROR(INDEX($A2935:$AB2935,MATCH("Xero Invoiced Ex GST",$A$1:$AB$1,0)),"")),0)</f>
        <v/>
      </c>
      <c r="AE2935" s="53">
        <f>IFERROR(INDEX($A2935:$AB2935,MATCH("Xero Invoice Date",$A$1:$AB$1,0)),"")</f>
        <v/>
      </c>
      <c r="AF2935" s="54">
        <f>IF(AND(IFERROR(INDEX($A2935:$AB2935,MATCH("Xero Invoice No",$A$1:$AB$1,0)),"")&amp;""&lt;&gt;"",ISNUMBER(AE2935),AD2935&lt;&gt;0),1,0)</f>
        <v/>
      </c>
      <c r="AG2935" s="55">
        <f>IF(AF2935=1,EOMONTH(AE2935,0),"")</f>
        <v/>
      </c>
      <c r="AH2935" s="9">
        <f>IF(AF2935=1,UPPER(TRIM(IFERROR(INDEX($A2935:$AB2935,MATCH("Client",$A$1:$AB$1,0)),"")&amp;"")),"")</f>
        <v/>
      </c>
      <c r="AI2935" s="9">
        <f>IF(AF2935=1,IFERROR(INDEX($A2935:$AB2935,MATCH("Cost Centre",$A$1:$AB$1,0)),"")&amp;"","")</f>
        <v/>
      </c>
      <c r="AJ2935" s="54">
        <f>IF(AND(AF2935=1,AE2935&gt;=set_FYStart,AE2935&lt;=set_AsAt),1,0)</f>
        <v/>
      </c>
      <c r="AK2935" s="54">
        <f>IF(AND(AJ2935=1,AH2935&lt;&gt;"",COUNTIFS($AH$2:AH2935,AH2935,$AJ$2:AJ2935,1)=1),N(AL2934)+1,"")</f>
        <v/>
      </c>
      <c r="AL2935" s="54">
        <f>IF(AK2935&lt;&gt;"",AK2935,N(AL2934))</f>
        <v/>
      </c>
    </row>
    <row r="2936">
      <c r="A2936" t="inlineStr">
        <is>
          <t>ONS-0979</t>
        </is>
      </c>
      <c r="B2936" t="inlineStr">
        <is>
          <t>Onsite</t>
        </is>
      </c>
      <c r="AB2936" t="n">
        <v>979</v>
      </c>
      <c r="AD2936" s="52">
        <f>IFERROR(N(IFERROR(INDEX($A2936:$AB2936,MATCH("Xero Invoiced Ex GST",$A$1:$AB$1,0)),"")),0)</f>
        <v/>
      </c>
      <c r="AE2936" s="53">
        <f>IFERROR(INDEX($A2936:$AB2936,MATCH("Xero Invoice Date",$A$1:$AB$1,0)),"")</f>
        <v/>
      </c>
      <c r="AF2936" s="54">
        <f>IF(AND(IFERROR(INDEX($A2936:$AB2936,MATCH("Xero Invoice No",$A$1:$AB$1,0)),"")&amp;""&lt;&gt;"",ISNUMBER(AE2936),AD2936&lt;&gt;0),1,0)</f>
        <v/>
      </c>
      <c r="AG2936" s="55">
        <f>IF(AF2936=1,EOMONTH(AE2936,0),"")</f>
        <v/>
      </c>
      <c r="AH2936" s="9">
        <f>IF(AF2936=1,UPPER(TRIM(IFERROR(INDEX($A2936:$AB2936,MATCH("Client",$A$1:$AB$1,0)),"")&amp;"")),"")</f>
        <v/>
      </c>
      <c r="AI2936" s="9">
        <f>IF(AF2936=1,IFERROR(INDEX($A2936:$AB2936,MATCH("Cost Centre",$A$1:$AB$1,0)),"")&amp;"","")</f>
        <v/>
      </c>
      <c r="AJ2936" s="54">
        <f>IF(AND(AF2936=1,AE2936&gt;=set_FYStart,AE2936&lt;=set_AsAt),1,0)</f>
        <v/>
      </c>
      <c r="AK2936" s="54">
        <f>IF(AND(AJ2936=1,AH2936&lt;&gt;"",COUNTIFS($AH$2:AH2936,AH2936,$AJ$2:AJ2936,1)=1),N(AL2935)+1,"")</f>
        <v/>
      </c>
      <c r="AL2936" s="54">
        <f>IF(AK2936&lt;&gt;"",AK2936,N(AL2935))</f>
        <v/>
      </c>
    </row>
    <row r="2937">
      <c r="A2937" t="inlineStr">
        <is>
          <t>PRD-0979</t>
        </is>
      </c>
      <c r="B2937" t="inlineStr">
        <is>
          <t>Production</t>
        </is>
      </c>
      <c r="AB2937" t="n">
        <v>979</v>
      </c>
      <c r="AD2937" s="52">
        <f>IFERROR(N(IFERROR(INDEX($A2937:$AB2937,MATCH("Xero Invoiced Ex GST",$A$1:$AB$1,0)),"")),0)</f>
        <v/>
      </c>
      <c r="AE2937" s="53">
        <f>IFERROR(INDEX($A2937:$AB2937,MATCH("Xero Invoice Date",$A$1:$AB$1,0)),"")</f>
        <v/>
      </c>
      <c r="AF2937" s="54">
        <f>IF(AND(IFERROR(INDEX($A2937:$AB2937,MATCH("Xero Invoice No",$A$1:$AB$1,0)),"")&amp;""&lt;&gt;"",ISNUMBER(AE2937),AD2937&lt;&gt;0),1,0)</f>
        <v/>
      </c>
      <c r="AG2937" s="55">
        <f>IF(AF2937=1,EOMONTH(AE2937,0),"")</f>
        <v/>
      </c>
      <c r="AH2937" s="9">
        <f>IF(AF2937=1,UPPER(TRIM(IFERROR(INDEX($A2937:$AB2937,MATCH("Client",$A$1:$AB$1,0)),"")&amp;"")),"")</f>
        <v/>
      </c>
      <c r="AI2937" s="9">
        <f>IF(AF2937=1,IFERROR(INDEX($A2937:$AB2937,MATCH("Cost Centre",$A$1:$AB$1,0)),"")&amp;"","")</f>
        <v/>
      </c>
      <c r="AJ2937" s="54">
        <f>IF(AND(AF2937=1,AE2937&gt;=set_FYStart,AE2937&lt;=set_AsAt),1,0)</f>
        <v/>
      </c>
      <c r="AK2937" s="54">
        <f>IF(AND(AJ2937=1,AH2937&lt;&gt;"",COUNTIFS($AH$2:AH2937,AH2937,$AJ$2:AJ2937,1)=1),N(AL2936)+1,"")</f>
        <v/>
      </c>
      <c r="AL2937" s="54">
        <f>IF(AK2937&lt;&gt;"",AK2937,N(AL2936))</f>
        <v/>
      </c>
    </row>
    <row r="2938">
      <c r="A2938" t="inlineStr">
        <is>
          <t>CON-0979</t>
        </is>
      </c>
      <c r="B2938" t="inlineStr">
        <is>
          <t>Consulting</t>
        </is>
      </c>
      <c r="AB2938" t="n">
        <v>979</v>
      </c>
      <c r="AD2938" s="52">
        <f>IFERROR(N(IFERROR(INDEX($A2938:$AB2938,MATCH("Xero Invoiced Ex GST",$A$1:$AB$1,0)),"")),0)</f>
        <v/>
      </c>
      <c r="AE2938" s="53">
        <f>IFERROR(INDEX($A2938:$AB2938,MATCH("Xero Invoice Date",$A$1:$AB$1,0)),"")</f>
        <v/>
      </c>
      <c r="AF2938" s="54">
        <f>IF(AND(IFERROR(INDEX($A2938:$AB2938,MATCH("Xero Invoice No",$A$1:$AB$1,0)),"")&amp;""&lt;&gt;"",ISNUMBER(AE2938),AD2938&lt;&gt;0),1,0)</f>
        <v/>
      </c>
      <c r="AG2938" s="55">
        <f>IF(AF2938=1,EOMONTH(AE2938,0),"")</f>
        <v/>
      </c>
      <c r="AH2938" s="9">
        <f>IF(AF2938=1,UPPER(TRIM(IFERROR(INDEX($A2938:$AB2938,MATCH("Client",$A$1:$AB$1,0)),"")&amp;"")),"")</f>
        <v/>
      </c>
      <c r="AI2938" s="9">
        <f>IF(AF2938=1,IFERROR(INDEX($A2938:$AB2938,MATCH("Cost Centre",$A$1:$AB$1,0)),"")&amp;"","")</f>
        <v/>
      </c>
      <c r="AJ2938" s="54">
        <f>IF(AND(AF2938=1,AE2938&gt;=set_FYStart,AE2938&lt;=set_AsAt),1,0)</f>
        <v/>
      </c>
      <c r="AK2938" s="54">
        <f>IF(AND(AJ2938=1,AH2938&lt;&gt;"",COUNTIFS($AH$2:AH2938,AH2938,$AJ$2:AJ2938,1)=1),N(AL2937)+1,"")</f>
        <v/>
      </c>
      <c r="AL2938" s="54">
        <f>IF(AK2938&lt;&gt;"",AK2938,N(AL2937))</f>
        <v/>
      </c>
    </row>
    <row r="2939">
      <c r="A2939" t="inlineStr">
        <is>
          <t>ONS-0980</t>
        </is>
      </c>
      <c r="B2939" t="inlineStr">
        <is>
          <t>Onsite</t>
        </is>
      </c>
      <c r="AB2939" t="n">
        <v>980</v>
      </c>
      <c r="AD2939" s="52">
        <f>IFERROR(N(IFERROR(INDEX($A2939:$AB2939,MATCH("Xero Invoiced Ex GST",$A$1:$AB$1,0)),"")),0)</f>
        <v/>
      </c>
      <c r="AE2939" s="53">
        <f>IFERROR(INDEX($A2939:$AB2939,MATCH("Xero Invoice Date",$A$1:$AB$1,0)),"")</f>
        <v/>
      </c>
      <c r="AF2939" s="54">
        <f>IF(AND(IFERROR(INDEX($A2939:$AB2939,MATCH("Xero Invoice No",$A$1:$AB$1,0)),"")&amp;""&lt;&gt;"",ISNUMBER(AE2939),AD2939&lt;&gt;0),1,0)</f>
        <v/>
      </c>
      <c r="AG2939" s="55">
        <f>IF(AF2939=1,EOMONTH(AE2939,0),"")</f>
        <v/>
      </c>
      <c r="AH2939" s="9">
        <f>IF(AF2939=1,UPPER(TRIM(IFERROR(INDEX($A2939:$AB2939,MATCH("Client",$A$1:$AB$1,0)),"")&amp;"")),"")</f>
        <v/>
      </c>
      <c r="AI2939" s="9">
        <f>IF(AF2939=1,IFERROR(INDEX($A2939:$AB2939,MATCH("Cost Centre",$A$1:$AB$1,0)),"")&amp;"","")</f>
        <v/>
      </c>
      <c r="AJ2939" s="54">
        <f>IF(AND(AF2939=1,AE2939&gt;=set_FYStart,AE2939&lt;=set_AsAt),1,0)</f>
        <v/>
      </c>
      <c r="AK2939" s="54">
        <f>IF(AND(AJ2939=1,AH2939&lt;&gt;"",COUNTIFS($AH$2:AH2939,AH2939,$AJ$2:AJ2939,1)=1),N(AL2938)+1,"")</f>
        <v/>
      </c>
      <c r="AL2939" s="54">
        <f>IF(AK2939&lt;&gt;"",AK2939,N(AL2938))</f>
        <v/>
      </c>
    </row>
    <row r="2940">
      <c r="A2940" t="inlineStr">
        <is>
          <t>PRD-0980</t>
        </is>
      </c>
      <c r="B2940" t="inlineStr">
        <is>
          <t>Production</t>
        </is>
      </c>
      <c r="AB2940" t="n">
        <v>980</v>
      </c>
      <c r="AD2940" s="52">
        <f>IFERROR(N(IFERROR(INDEX($A2940:$AB2940,MATCH("Xero Invoiced Ex GST",$A$1:$AB$1,0)),"")),0)</f>
        <v/>
      </c>
      <c r="AE2940" s="53">
        <f>IFERROR(INDEX($A2940:$AB2940,MATCH("Xero Invoice Date",$A$1:$AB$1,0)),"")</f>
        <v/>
      </c>
      <c r="AF2940" s="54">
        <f>IF(AND(IFERROR(INDEX($A2940:$AB2940,MATCH("Xero Invoice No",$A$1:$AB$1,0)),"")&amp;""&lt;&gt;"",ISNUMBER(AE2940),AD2940&lt;&gt;0),1,0)</f>
        <v/>
      </c>
      <c r="AG2940" s="55">
        <f>IF(AF2940=1,EOMONTH(AE2940,0),"")</f>
        <v/>
      </c>
      <c r="AH2940" s="9">
        <f>IF(AF2940=1,UPPER(TRIM(IFERROR(INDEX($A2940:$AB2940,MATCH("Client",$A$1:$AB$1,0)),"")&amp;"")),"")</f>
        <v/>
      </c>
      <c r="AI2940" s="9">
        <f>IF(AF2940=1,IFERROR(INDEX($A2940:$AB2940,MATCH("Cost Centre",$A$1:$AB$1,0)),"")&amp;"","")</f>
        <v/>
      </c>
      <c r="AJ2940" s="54">
        <f>IF(AND(AF2940=1,AE2940&gt;=set_FYStart,AE2940&lt;=set_AsAt),1,0)</f>
        <v/>
      </c>
      <c r="AK2940" s="54">
        <f>IF(AND(AJ2940=1,AH2940&lt;&gt;"",COUNTIFS($AH$2:AH2940,AH2940,$AJ$2:AJ2940,1)=1),N(AL2939)+1,"")</f>
        <v/>
      </c>
      <c r="AL2940" s="54">
        <f>IF(AK2940&lt;&gt;"",AK2940,N(AL2939))</f>
        <v/>
      </c>
    </row>
    <row r="2941">
      <c r="A2941" t="inlineStr">
        <is>
          <t>CON-0980</t>
        </is>
      </c>
      <c r="B2941" t="inlineStr">
        <is>
          <t>Consulting</t>
        </is>
      </c>
      <c r="AB2941" t="n">
        <v>980</v>
      </c>
      <c r="AD2941" s="52">
        <f>IFERROR(N(IFERROR(INDEX($A2941:$AB2941,MATCH("Xero Invoiced Ex GST",$A$1:$AB$1,0)),"")),0)</f>
        <v/>
      </c>
      <c r="AE2941" s="53">
        <f>IFERROR(INDEX($A2941:$AB2941,MATCH("Xero Invoice Date",$A$1:$AB$1,0)),"")</f>
        <v/>
      </c>
      <c r="AF2941" s="54">
        <f>IF(AND(IFERROR(INDEX($A2941:$AB2941,MATCH("Xero Invoice No",$A$1:$AB$1,0)),"")&amp;""&lt;&gt;"",ISNUMBER(AE2941),AD2941&lt;&gt;0),1,0)</f>
        <v/>
      </c>
      <c r="AG2941" s="55">
        <f>IF(AF2941=1,EOMONTH(AE2941,0),"")</f>
        <v/>
      </c>
      <c r="AH2941" s="9">
        <f>IF(AF2941=1,UPPER(TRIM(IFERROR(INDEX($A2941:$AB2941,MATCH("Client",$A$1:$AB$1,0)),"")&amp;"")),"")</f>
        <v/>
      </c>
      <c r="AI2941" s="9">
        <f>IF(AF2941=1,IFERROR(INDEX($A2941:$AB2941,MATCH("Cost Centre",$A$1:$AB$1,0)),"")&amp;"","")</f>
        <v/>
      </c>
      <c r="AJ2941" s="54">
        <f>IF(AND(AF2941=1,AE2941&gt;=set_FYStart,AE2941&lt;=set_AsAt),1,0)</f>
        <v/>
      </c>
      <c r="AK2941" s="54">
        <f>IF(AND(AJ2941=1,AH2941&lt;&gt;"",COUNTIFS($AH$2:AH2941,AH2941,$AJ$2:AJ2941,1)=1),N(AL2940)+1,"")</f>
        <v/>
      </c>
      <c r="AL2941" s="54">
        <f>IF(AK2941&lt;&gt;"",AK2941,N(AL2940))</f>
        <v/>
      </c>
    </row>
    <row r="2942">
      <c r="A2942" t="inlineStr">
        <is>
          <t>ONS-0981</t>
        </is>
      </c>
      <c r="B2942" t="inlineStr">
        <is>
          <t>Onsite</t>
        </is>
      </c>
      <c r="AB2942" t="n">
        <v>981</v>
      </c>
      <c r="AD2942" s="52">
        <f>IFERROR(N(IFERROR(INDEX($A2942:$AB2942,MATCH("Xero Invoiced Ex GST",$A$1:$AB$1,0)),"")),0)</f>
        <v/>
      </c>
      <c r="AE2942" s="53">
        <f>IFERROR(INDEX($A2942:$AB2942,MATCH("Xero Invoice Date",$A$1:$AB$1,0)),"")</f>
        <v/>
      </c>
      <c r="AF2942" s="54">
        <f>IF(AND(IFERROR(INDEX($A2942:$AB2942,MATCH("Xero Invoice No",$A$1:$AB$1,0)),"")&amp;""&lt;&gt;"",ISNUMBER(AE2942),AD2942&lt;&gt;0),1,0)</f>
        <v/>
      </c>
      <c r="AG2942" s="55">
        <f>IF(AF2942=1,EOMONTH(AE2942,0),"")</f>
        <v/>
      </c>
      <c r="AH2942" s="9">
        <f>IF(AF2942=1,UPPER(TRIM(IFERROR(INDEX($A2942:$AB2942,MATCH("Client",$A$1:$AB$1,0)),"")&amp;"")),"")</f>
        <v/>
      </c>
      <c r="AI2942" s="9">
        <f>IF(AF2942=1,IFERROR(INDEX($A2942:$AB2942,MATCH("Cost Centre",$A$1:$AB$1,0)),"")&amp;"","")</f>
        <v/>
      </c>
      <c r="AJ2942" s="54">
        <f>IF(AND(AF2942=1,AE2942&gt;=set_FYStart,AE2942&lt;=set_AsAt),1,0)</f>
        <v/>
      </c>
      <c r="AK2942" s="54">
        <f>IF(AND(AJ2942=1,AH2942&lt;&gt;"",COUNTIFS($AH$2:AH2942,AH2942,$AJ$2:AJ2942,1)=1),N(AL2941)+1,"")</f>
        <v/>
      </c>
      <c r="AL2942" s="54">
        <f>IF(AK2942&lt;&gt;"",AK2942,N(AL2941))</f>
        <v/>
      </c>
    </row>
    <row r="2943">
      <c r="A2943" t="inlineStr">
        <is>
          <t>PRD-0981</t>
        </is>
      </c>
      <c r="B2943" t="inlineStr">
        <is>
          <t>Production</t>
        </is>
      </c>
      <c r="AB2943" t="n">
        <v>981</v>
      </c>
      <c r="AD2943" s="52">
        <f>IFERROR(N(IFERROR(INDEX($A2943:$AB2943,MATCH("Xero Invoiced Ex GST",$A$1:$AB$1,0)),"")),0)</f>
        <v/>
      </c>
      <c r="AE2943" s="53">
        <f>IFERROR(INDEX($A2943:$AB2943,MATCH("Xero Invoice Date",$A$1:$AB$1,0)),"")</f>
        <v/>
      </c>
      <c r="AF2943" s="54">
        <f>IF(AND(IFERROR(INDEX($A2943:$AB2943,MATCH("Xero Invoice No",$A$1:$AB$1,0)),"")&amp;""&lt;&gt;"",ISNUMBER(AE2943),AD2943&lt;&gt;0),1,0)</f>
        <v/>
      </c>
      <c r="AG2943" s="55">
        <f>IF(AF2943=1,EOMONTH(AE2943,0),"")</f>
        <v/>
      </c>
      <c r="AH2943" s="9">
        <f>IF(AF2943=1,UPPER(TRIM(IFERROR(INDEX($A2943:$AB2943,MATCH("Client",$A$1:$AB$1,0)),"")&amp;"")),"")</f>
        <v/>
      </c>
      <c r="AI2943" s="9">
        <f>IF(AF2943=1,IFERROR(INDEX($A2943:$AB2943,MATCH("Cost Centre",$A$1:$AB$1,0)),"")&amp;"","")</f>
        <v/>
      </c>
      <c r="AJ2943" s="54">
        <f>IF(AND(AF2943=1,AE2943&gt;=set_FYStart,AE2943&lt;=set_AsAt),1,0)</f>
        <v/>
      </c>
      <c r="AK2943" s="54">
        <f>IF(AND(AJ2943=1,AH2943&lt;&gt;"",COUNTIFS($AH$2:AH2943,AH2943,$AJ$2:AJ2943,1)=1),N(AL2942)+1,"")</f>
        <v/>
      </c>
      <c r="AL2943" s="54">
        <f>IF(AK2943&lt;&gt;"",AK2943,N(AL2942))</f>
        <v/>
      </c>
    </row>
    <row r="2944">
      <c r="A2944" t="inlineStr">
        <is>
          <t>CON-0981</t>
        </is>
      </c>
      <c r="B2944" t="inlineStr">
        <is>
          <t>Consulting</t>
        </is>
      </c>
      <c r="AB2944" t="n">
        <v>981</v>
      </c>
      <c r="AD2944" s="52">
        <f>IFERROR(N(IFERROR(INDEX($A2944:$AB2944,MATCH("Xero Invoiced Ex GST",$A$1:$AB$1,0)),"")),0)</f>
        <v/>
      </c>
      <c r="AE2944" s="53">
        <f>IFERROR(INDEX($A2944:$AB2944,MATCH("Xero Invoice Date",$A$1:$AB$1,0)),"")</f>
        <v/>
      </c>
      <c r="AF2944" s="54">
        <f>IF(AND(IFERROR(INDEX($A2944:$AB2944,MATCH("Xero Invoice No",$A$1:$AB$1,0)),"")&amp;""&lt;&gt;"",ISNUMBER(AE2944),AD2944&lt;&gt;0),1,0)</f>
        <v/>
      </c>
      <c r="AG2944" s="55">
        <f>IF(AF2944=1,EOMONTH(AE2944,0),"")</f>
        <v/>
      </c>
      <c r="AH2944" s="9">
        <f>IF(AF2944=1,UPPER(TRIM(IFERROR(INDEX($A2944:$AB2944,MATCH("Client",$A$1:$AB$1,0)),"")&amp;"")),"")</f>
        <v/>
      </c>
      <c r="AI2944" s="9">
        <f>IF(AF2944=1,IFERROR(INDEX($A2944:$AB2944,MATCH("Cost Centre",$A$1:$AB$1,0)),"")&amp;"","")</f>
        <v/>
      </c>
      <c r="AJ2944" s="54">
        <f>IF(AND(AF2944=1,AE2944&gt;=set_FYStart,AE2944&lt;=set_AsAt),1,0)</f>
        <v/>
      </c>
      <c r="AK2944" s="54">
        <f>IF(AND(AJ2944=1,AH2944&lt;&gt;"",COUNTIFS($AH$2:AH2944,AH2944,$AJ$2:AJ2944,1)=1),N(AL2943)+1,"")</f>
        <v/>
      </c>
      <c r="AL2944" s="54">
        <f>IF(AK2944&lt;&gt;"",AK2944,N(AL2943))</f>
        <v/>
      </c>
    </row>
    <row r="2945">
      <c r="A2945" t="inlineStr">
        <is>
          <t>ONS-0982</t>
        </is>
      </c>
      <c r="B2945" t="inlineStr">
        <is>
          <t>Onsite</t>
        </is>
      </c>
      <c r="AB2945" t="n">
        <v>982</v>
      </c>
      <c r="AD2945" s="52">
        <f>IFERROR(N(IFERROR(INDEX($A2945:$AB2945,MATCH("Xero Invoiced Ex GST",$A$1:$AB$1,0)),"")),0)</f>
        <v/>
      </c>
      <c r="AE2945" s="53">
        <f>IFERROR(INDEX($A2945:$AB2945,MATCH("Xero Invoice Date",$A$1:$AB$1,0)),"")</f>
        <v/>
      </c>
      <c r="AF2945" s="54">
        <f>IF(AND(IFERROR(INDEX($A2945:$AB2945,MATCH("Xero Invoice No",$A$1:$AB$1,0)),"")&amp;""&lt;&gt;"",ISNUMBER(AE2945),AD2945&lt;&gt;0),1,0)</f>
        <v/>
      </c>
      <c r="AG2945" s="55">
        <f>IF(AF2945=1,EOMONTH(AE2945,0),"")</f>
        <v/>
      </c>
      <c r="AH2945" s="9">
        <f>IF(AF2945=1,UPPER(TRIM(IFERROR(INDEX($A2945:$AB2945,MATCH("Client",$A$1:$AB$1,0)),"")&amp;"")),"")</f>
        <v/>
      </c>
      <c r="AI2945" s="9">
        <f>IF(AF2945=1,IFERROR(INDEX($A2945:$AB2945,MATCH("Cost Centre",$A$1:$AB$1,0)),"")&amp;"","")</f>
        <v/>
      </c>
      <c r="AJ2945" s="54">
        <f>IF(AND(AF2945=1,AE2945&gt;=set_FYStart,AE2945&lt;=set_AsAt),1,0)</f>
        <v/>
      </c>
      <c r="AK2945" s="54">
        <f>IF(AND(AJ2945=1,AH2945&lt;&gt;"",COUNTIFS($AH$2:AH2945,AH2945,$AJ$2:AJ2945,1)=1),N(AL2944)+1,"")</f>
        <v/>
      </c>
      <c r="AL2945" s="54">
        <f>IF(AK2945&lt;&gt;"",AK2945,N(AL2944))</f>
        <v/>
      </c>
    </row>
    <row r="2946">
      <c r="A2946" t="inlineStr">
        <is>
          <t>PRD-0982</t>
        </is>
      </c>
      <c r="B2946" t="inlineStr">
        <is>
          <t>Production</t>
        </is>
      </c>
      <c r="AB2946" t="n">
        <v>982</v>
      </c>
      <c r="AD2946" s="52">
        <f>IFERROR(N(IFERROR(INDEX($A2946:$AB2946,MATCH("Xero Invoiced Ex GST",$A$1:$AB$1,0)),"")),0)</f>
        <v/>
      </c>
      <c r="AE2946" s="53">
        <f>IFERROR(INDEX($A2946:$AB2946,MATCH("Xero Invoice Date",$A$1:$AB$1,0)),"")</f>
        <v/>
      </c>
      <c r="AF2946" s="54">
        <f>IF(AND(IFERROR(INDEX($A2946:$AB2946,MATCH("Xero Invoice No",$A$1:$AB$1,0)),"")&amp;""&lt;&gt;"",ISNUMBER(AE2946),AD2946&lt;&gt;0),1,0)</f>
        <v/>
      </c>
      <c r="AG2946" s="55">
        <f>IF(AF2946=1,EOMONTH(AE2946,0),"")</f>
        <v/>
      </c>
      <c r="AH2946" s="9">
        <f>IF(AF2946=1,UPPER(TRIM(IFERROR(INDEX($A2946:$AB2946,MATCH("Client",$A$1:$AB$1,0)),"")&amp;"")),"")</f>
        <v/>
      </c>
      <c r="AI2946" s="9">
        <f>IF(AF2946=1,IFERROR(INDEX($A2946:$AB2946,MATCH("Cost Centre",$A$1:$AB$1,0)),"")&amp;"","")</f>
        <v/>
      </c>
      <c r="AJ2946" s="54">
        <f>IF(AND(AF2946=1,AE2946&gt;=set_FYStart,AE2946&lt;=set_AsAt),1,0)</f>
        <v/>
      </c>
      <c r="AK2946" s="54">
        <f>IF(AND(AJ2946=1,AH2946&lt;&gt;"",COUNTIFS($AH$2:AH2946,AH2946,$AJ$2:AJ2946,1)=1),N(AL2945)+1,"")</f>
        <v/>
      </c>
      <c r="AL2946" s="54">
        <f>IF(AK2946&lt;&gt;"",AK2946,N(AL2945))</f>
        <v/>
      </c>
    </row>
    <row r="2947">
      <c r="A2947" t="inlineStr">
        <is>
          <t>CON-0982</t>
        </is>
      </c>
      <c r="B2947" t="inlineStr">
        <is>
          <t>Consulting</t>
        </is>
      </c>
      <c r="AB2947" t="n">
        <v>982</v>
      </c>
      <c r="AD2947" s="52">
        <f>IFERROR(N(IFERROR(INDEX($A2947:$AB2947,MATCH("Xero Invoiced Ex GST",$A$1:$AB$1,0)),"")),0)</f>
        <v/>
      </c>
      <c r="AE2947" s="53">
        <f>IFERROR(INDEX($A2947:$AB2947,MATCH("Xero Invoice Date",$A$1:$AB$1,0)),"")</f>
        <v/>
      </c>
      <c r="AF2947" s="54">
        <f>IF(AND(IFERROR(INDEX($A2947:$AB2947,MATCH("Xero Invoice No",$A$1:$AB$1,0)),"")&amp;""&lt;&gt;"",ISNUMBER(AE2947),AD2947&lt;&gt;0),1,0)</f>
        <v/>
      </c>
      <c r="AG2947" s="55">
        <f>IF(AF2947=1,EOMONTH(AE2947,0),"")</f>
        <v/>
      </c>
      <c r="AH2947" s="9">
        <f>IF(AF2947=1,UPPER(TRIM(IFERROR(INDEX($A2947:$AB2947,MATCH("Client",$A$1:$AB$1,0)),"")&amp;"")),"")</f>
        <v/>
      </c>
      <c r="AI2947" s="9">
        <f>IF(AF2947=1,IFERROR(INDEX($A2947:$AB2947,MATCH("Cost Centre",$A$1:$AB$1,0)),"")&amp;"","")</f>
        <v/>
      </c>
      <c r="AJ2947" s="54">
        <f>IF(AND(AF2947=1,AE2947&gt;=set_FYStart,AE2947&lt;=set_AsAt),1,0)</f>
        <v/>
      </c>
      <c r="AK2947" s="54">
        <f>IF(AND(AJ2947=1,AH2947&lt;&gt;"",COUNTIFS($AH$2:AH2947,AH2947,$AJ$2:AJ2947,1)=1),N(AL2946)+1,"")</f>
        <v/>
      </c>
      <c r="AL2947" s="54">
        <f>IF(AK2947&lt;&gt;"",AK2947,N(AL2946))</f>
        <v/>
      </c>
    </row>
    <row r="2948">
      <c r="A2948" t="inlineStr">
        <is>
          <t>ONS-0983</t>
        </is>
      </c>
      <c r="B2948" t="inlineStr">
        <is>
          <t>Onsite</t>
        </is>
      </c>
      <c r="AB2948" t="n">
        <v>983</v>
      </c>
      <c r="AD2948" s="52">
        <f>IFERROR(N(IFERROR(INDEX($A2948:$AB2948,MATCH("Xero Invoiced Ex GST",$A$1:$AB$1,0)),"")),0)</f>
        <v/>
      </c>
      <c r="AE2948" s="53">
        <f>IFERROR(INDEX($A2948:$AB2948,MATCH("Xero Invoice Date",$A$1:$AB$1,0)),"")</f>
        <v/>
      </c>
      <c r="AF2948" s="54">
        <f>IF(AND(IFERROR(INDEX($A2948:$AB2948,MATCH("Xero Invoice No",$A$1:$AB$1,0)),"")&amp;""&lt;&gt;"",ISNUMBER(AE2948),AD2948&lt;&gt;0),1,0)</f>
        <v/>
      </c>
      <c r="AG2948" s="55">
        <f>IF(AF2948=1,EOMONTH(AE2948,0),"")</f>
        <v/>
      </c>
      <c r="AH2948" s="9">
        <f>IF(AF2948=1,UPPER(TRIM(IFERROR(INDEX($A2948:$AB2948,MATCH("Client",$A$1:$AB$1,0)),"")&amp;"")),"")</f>
        <v/>
      </c>
      <c r="AI2948" s="9">
        <f>IF(AF2948=1,IFERROR(INDEX($A2948:$AB2948,MATCH("Cost Centre",$A$1:$AB$1,0)),"")&amp;"","")</f>
        <v/>
      </c>
      <c r="AJ2948" s="54">
        <f>IF(AND(AF2948=1,AE2948&gt;=set_FYStart,AE2948&lt;=set_AsAt),1,0)</f>
        <v/>
      </c>
      <c r="AK2948" s="54">
        <f>IF(AND(AJ2948=1,AH2948&lt;&gt;"",COUNTIFS($AH$2:AH2948,AH2948,$AJ$2:AJ2948,1)=1),N(AL2947)+1,"")</f>
        <v/>
      </c>
      <c r="AL2948" s="54">
        <f>IF(AK2948&lt;&gt;"",AK2948,N(AL2947))</f>
        <v/>
      </c>
    </row>
    <row r="2949">
      <c r="A2949" t="inlineStr">
        <is>
          <t>PRD-0983</t>
        </is>
      </c>
      <c r="B2949" t="inlineStr">
        <is>
          <t>Production</t>
        </is>
      </c>
      <c r="AB2949" t="n">
        <v>983</v>
      </c>
      <c r="AD2949" s="52">
        <f>IFERROR(N(IFERROR(INDEX($A2949:$AB2949,MATCH("Xero Invoiced Ex GST",$A$1:$AB$1,0)),"")),0)</f>
        <v/>
      </c>
      <c r="AE2949" s="53">
        <f>IFERROR(INDEX($A2949:$AB2949,MATCH("Xero Invoice Date",$A$1:$AB$1,0)),"")</f>
        <v/>
      </c>
      <c r="AF2949" s="54">
        <f>IF(AND(IFERROR(INDEX($A2949:$AB2949,MATCH("Xero Invoice No",$A$1:$AB$1,0)),"")&amp;""&lt;&gt;"",ISNUMBER(AE2949),AD2949&lt;&gt;0),1,0)</f>
        <v/>
      </c>
      <c r="AG2949" s="55">
        <f>IF(AF2949=1,EOMONTH(AE2949,0),"")</f>
        <v/>
      </c>
      <c r="AH2949" s="9">
        <f>IF(AF2949=1,UPPER(TRIM(IFERROR(INDEX($A2949:$AB2949,MATCH("Client",$A$1:$AB$1,0)),"")&amp;"")),"")</f>
        <v/>
      </c>
      <c r="AI2949" s="9">
        <f>IF(AF2949=1,IFERROR(INDEX($A2949:$AB2949,MATCH("Cost Centre",$A$1:$AB$1,0)),"")&amp;"","")</f>
        <v/>
      </c>
      <c r="AJ2949" s="54">
        <f>IF(AND(AF2949=1,AE2949&gt;=set_FYStart,AE2949&lt;=set_AsAt),1,0)</f>
        <v/>
      </c>
      <c r="AK2949" s="54">
        <f>IF(AND(AJ2949=1,AH2949&lt;&gt;"",COUNTIFS($AH$2:AH2949,AH2949,$AJ$2:AJ2949,1)=1),N(AL2948)+1,"")</f>
        <v/>
      </c>
      <c r="AL2949" s="54">
        <f>IF(AK2949&lt;&gt;"",AK2949,N(AL2948))</f>
        <v/>
      </c>
    </row>
    <row r="2950">
      <c r="A2950" t="inlineStr">
        <is>
          <t>CON-0983</t>
        </is>
      </c>
      <c r="B2950" t="inlineStr">
        <is>
          <t>Consulting</t>
        </is>
      </c>
      <c r="AB2950" t="n">
        <v>983</v>
      </c>
      <c r="AD2950" s="52">
        <f>IFERROR(N(IFERROR(INDEX($A2950:$AB2950,MATCH("Xero Invoiced Ex GST",$A$1:$AB$1,0)),"")),0)</f>
        <v/>
      </c>
      <c r="AE2950" s="53">
        <f>IFERROR(INDEX($A2950:$AB2950,MATCH("Xero Invoice Date",$A$1:$AB$1,0)),"")</f>
        <v/>
      </c>
      <c r="AF2950" s="54">
        <f>IF(AND(IFERROR(INDEX($A2950:$AB2950,MATCH("Xero Invoice No",$A$1:$AB$1,0)),"")&amp;""&lt;&gt;"",ISNUMBER(AE2950),AD2950&lt;&gt;0),1,0)</f>
        <v/>
      </c>
      <c r="AG2950" s="55">
        <f>IF(AF2950=1,EOMONTH(AE2950,0),"")</f>
        <v/>
      </c>
      <c r="AH2950" s="9">
        <f>IF(AF2950=1,UPPER(TRIM(IFERROR(INDEX($A2950:$AB2950,MATCH("Client",$A$1:$AB$1,0)),"")&amp;"")),"")</f>
        <v/>
      </c>
      <c r="AI2950" s="9">
        <f>IF(AF2950=1,IFERROR(INDEX($A2950:$AB2950,MATCH("Cost Centre",$A$1:$AB$1,0)),"")&amp;"","")</f>
        <v/>
      </c>
      <c r="AJ2950" s="54">
        <f>IF(AND(AF2950=1,AE2950&gt;=set_FYStart,AE2950&lt;=set_AsAt),1,0)</f>
        <v/>
      </c>
      <c r="AK2950" s="54">
        <f>IF(AND(AJ2950=1,AH2950&lt;&gt;"",COUNTIFS($AH$2:AH2950,AH2950,$AJ$2:AJ2950,1)=1),N(AL2949)+1,"")</f>
        <v/>
      </c>
      <c r="AL2950" s="54">
        <f>IF(AK2950&lt;&gt;"",AK2950,N(AL2949))</f>
        <v/>
      </c>
    </row>
    <row r="2951">
      <c r="A2951" t="inlineStr">
        <is>
          <t>ONS-0984</t>
        </is>
      </c>
      <c r="B2951" t="inlineStr">
        <is>
          <t>Onsite</t>
        </is>
      </c>
      <c r="AB2951" t="n">
        <v>984</v>
      </c>
      <c r="AD2951" s="52">
        <f>IFERROR(N(IFERROR(INDEX($A2951:$AB2951,MATCH("Xero Invoiced Ex GST",$A$1:$AB$1,0)),"")),0)</f>
        <v/>
      </c>
      <c r="AE2951" s="53">
        <f>IFERROR(INDEX($A2951:$AB2951,MATCH("Xero Invoice Date",$A$1:$AB$1,0)),"")</f>
        <v/>
      </c>
      <c r="AF2951" s="54">
        <f>IF(AND(IFERROR(INDEX($A2951:$AB2951,MATCH("Xero Invoice No",$A$1:$AB$1,0)),"")&amp;""&lt;&gt;"",ISNUMBER(AE2951),AD2951&lt;&gt;0),1,0)</f>
        <v/>
      </c>
      <c r="AG2951" s="55">
        <f>IF(AF2951=1,EOMONTH(AE2951,0),"")</f>
        <v/>
      </c>
      <c r="AH2951" s="9">
        <f>IF(AF2951=1,UPPER(TRIM(IFERROR(INDEX($A2951:$AB2951,MATCH("Client",$A$1:$AB$1,0)),"")&amp;"")),"")</f>
        <v/>
      </c>
      <c r="AI2951" s="9">
        <f>IF(AF2951=1,IFERROR(INDEX($A2951:$AB2951,MATCH("Cost Centre",$A$1:$AB$1,0)),"")&amp;"","")</f>
        <v/>
      </c>
      <c r="AJ2951" s="54">
        <f>IF(AND(AF2951=1,AE2951&gt;=set_FYStart,AE2951&lt;=set_AsAt),1,0)</f>
        <v/>
      </c>
      <c r="AK2951" s="54">
        <f>IF(AND(AJ2951=1,AH2951&lt;&gt;"",COUNTIFS($AH$2:AH2951,AH2951,$AJ$2:AJ2951,1)=1),N(AL2950)+1,"")</f>
        <v/>
      </c>
      <c r="AL2951" s="54">
        <f>IF(AK2951&lt;&gt;"",AK2951,N(AL2950))</f>
        <v/>
      </c>
    </row>
    <row r="2952">
      <c r="A2952" t="inlineStr">
        <is>
          <t>PRD-0984</t>
        </is>
      </c>
      <c r="B2952" t="inlineStr">
        <is>
          <t>Production</t>
        </is>
      </c>
      <c r="AB2952" t="n">
        <v>984</v>
      </c>
      <c r="AD2952" s="52">
        <f>IFERROR(N(IFERROR(INDEX($A2952:$AB2952,MATCH("Xero Invoiced Ex GST",$A$1:$AB$1,0)),"")),0)</f>
        <v/>
      </c>
      <c r="AE2952" s="53">
        <f>IFERROR(INDEX($A2952:$AB2952,MATCH("Xero Invoice Date",$A$1:$AB$1,0)),"")</f>
        <v/>
      </c>
      <c r="AF2952" s="54">
        <f>IF(AND(IFERROR(INDEX($A2952:$AB2952,MATCH("Xero Invoice No",$A$1:$AB$1,0)),"")&amp;""&lt;&gt;"",ISNUMBER(AE2952),AD2952&lt;&gt;0),1,0)</f>
        <v/>
      </c>
      <c r="AG2952" s="55">
        <f>IF(AF2952=1,EOMONTH(AE2952,0),"")</f>
        <v/>
      </c>
      <c r="AH2952" s="9">
        <f>IF(AF2952=1,UPPER(TRIM(IFERROR(INDEX($A2952:$AB2952,MATCH("Client",$A$1:$AB$1,0)),"")&amp;"")),"")</f>
        <v/>
      </c>
      <c r="AI2952" s="9">
        <f>IF(AF2952=1,IFERROR(INDEX($A2952:$AB2952,MATCH("Cost Centre",$A$1:$AB$1,0)),"")&amp;"","")</f>
        <v/>
      </c>
      <c r="AJ2952" s="54">
        <f>IF(AND(AF2952=1,AE2952&gt;=set_FYStart,AE2952&lt;=set_AsAt),1,0)</f>
        <v/>
      </c>
      <c r="AK2952" s="54">
        <f>IF(AND(AJ2952=1,AH2952&lt;&gt;"",COUNTIFS($AH$2:AH2952,AH2952,$AJ$2:AJ2952,1)=1),N(AL2951)+1,"")</f>
        <v/>
      </c>
      <c r="AL2952" s="54">
        <f>IF(AK2952&lt;&gt;"",AK2952,N(AL2951))</f>
        <v/>
      </c>
    </row>
    <row r="2953">
      <c r="A2953" t="inlineStr">
        <is>
          <t>CON-0984</t>
        </is>
      </c>
      <c r="B2953" t="inlineStr">
        <is>
          <t>Consulting</t>
        </is>
      </c>
      <c r="AB2953" t="n">
        <v>984</v>
      </c>
      <c r="AD2953" s="52">
        <f>IFERROR(N(IFERROR(INDEX($A2953:$AB2953,MATCH("Xero Invoiced Ex GST",$A$1:$AB$1,0)),"")),0)</f>
        <v/>
      </c>
      <c r="AE2953" s="53">
        <f>IFERROR(INDEX($A2953:$AB2953,MATCH("Xero Invoice Date",$A$1:$AB$1,0)),"")</f>
        <v/>
      </c>
      <c r="AF2953" s="54">
        <f>IF(AND(IFERROR(INDEX($A2953:$AB2953,MATCH("Xero Invoice No",$A$1:$AB$1,0)),"")&amp;""&lt;&gt;"",ISNUMBER(AE2953),AD2953&lt;&gt;0),1,0)</f>
        <v/>
      </c>
      <c r="AG2953" s="55">
        <f>IF(AF2953=1,EOMONTH(AE2953,0),"")</f>
        <v/>
      </c>
      <c r="AH2953" s="9">
        <f>IF(AF2953=1,UPPER(TRIM(IFERROR(INDEX($A2953:$AB2953,MATCH("Client",$A$1:$AB$1,0)),"")&amp;"")),"")</f>
        <v/>
      </c>
      <c r="AI2953" s="9">
        <f>IF(AF2953=1,IFERROR(INDEX($A2953:$AB2953,MATCH("Cost Centre",$A$1:$AB$1,0)),"")&amp;"","")</f>
        <v/>
      </c>
      <c r="AJ2953" s="54">
        <f>IF(AND(AF2953=1,AE2953&gt;=set_FYStart,AE2953&lt;=set_AsAt),1,0)</f>
        <v/>
      </c>
      <c r="AK2953" s="54">
        <f>IF(AND(AJ2953=1,AH2953&lt;&gt;"",COUNTIFS($AH$2:AH2953,AH2953,$AJ$2:AJ2953,1)=1),N(AL2952)+1,"")</f>
        <v/>
      </c>
      <c r="AL2953" s="54">
        <f>IF(AK2953&lt;&gt;"",AK2953,N(AL2952))</f>
        <v/>
      </c>
    </row>
    <row r="2954">
      <c r="A2954" t="inlineStr">
        <is>
          <t>ONS-0985</t>
        </is>
      </c>
      <c r="B2954" t="inlineStr">
        <is>
          <t>Onsite</t>
        </is>
      </c>
      <c r="AB2954" t="n">
        <v>985</v>
      </c>
      <c r="AD2954" s="52">
        <f>IFERROR(N(IFERROR(INDEX($A2954:$AB2954,MATCH("Xero Invoiced Ex GST",$A$1:$AB$1,0)),"")),0)</f>
        <v/>
      </c>
      <c r="AE2954" s="53">
        <f>IFERROR(INDEX($A2954:$AB2954,MATCH("Xero Invoice Date",$A$1:$AB$1,0)),"")</f>
        <v/>
      </c>
      <c r="AF2954" s="54">
        <f>IF(AND(IFERROR(INDEX($A2954:$AB2954,MATCH("Xero Invoice No",$A$1:$AB$1,0)),"")&amp;""&lt;&gt;"",ISNUMBER(AE2954),AD2954&lt;&gt;0),1,0)</f>
        <v/>
      </c>
      <c r="AG2954" s="55">
        <f>IF(AF2954=1,EOMONTH(AE2954,0),"")</f>
        <v/>
      </c>
      <c r="AH2954" s="9">
        <f>IF(AF2954=1,UPPER(TRIM(IFERROR(INDEX($A2954:$AB2954,MATCH("Client",$A$1:$AB$1,0)),"")&amp;"")),"")</f>
        <v/>
      </c>
      <c r="AI2954" s="9">
        <f>IF(AF2954=1,IFERROR(INDEX($A2954:$AB2954,MATCH("Cost Centre",$A$1:$AB$1,0)),"")&amp;"","")</f>
        <v/>
      </c>
      <c r="AJ2954" s="54">
        <f>IF(AND(AF2954=1,AE2954&gt;=set_FYStart,AE2954&lt;=set_AsAt),1,0)</f>
        <v/>
      </c>
      <c r="AK2954" s="54">
        <f>IF(AND(AJ2954=1,AH2954&lt;&gt;"",COUNTIFS($AH$2:AH2954,AH2954,$AJ$2:AJ2954,1)=1),N(AL2953)+1,"")</f>
        <v/>
      </c>
      <c r="AL2954" s="54">
        <f>IF(AK2954&lt;&gt;"",AK2954,N(AL2953))</f>
        <v/>
      </c>
    </row>
    <row r="2955">
      <c r="A2955" t="inlineStr">
        <is>
          <t>PRD-0985</t>
        </is>
      </c>
      <c r="B2955" t="inlineStr">
        <is>
          <t>Production</t>
        </is>
      </c>
      <c r="AB2955" t="n">
        <v>985</v>
      </c>
      <c r="AD2955" s="52">
        <f>IFERROR(N(IFERROR(INDEX($A2955:$AB2955,MATCH("Xero Invoiced Ex GST",$A$1:$AB$1,0)),"")),0)</f>
        <v/>
      </c>
      <c r="AE2955" s="53">
        <f>IFERROR(INDEX($A2955:$AB2955,MATCH("Xero Invoice Date",$A$1:$AB$1,0)),"")</f>
        <v/>
      </c>
      <c r="AF2955" s="54">
        <f>IF(AND(IFERROR(INDEX($A2955:$AB2955,MATCH("Xero Invoice No",$A$1:$AB$1,0)),"")&amp;""&lt;&gt;"",ISNUMBER(AE2955),AD2955&lt;&gt;0),1,0)</f>
        <v/>
      </c>
      <c r="AG2955" s="55">
        <f>IF(AF2955=1,EOMONTH(AE2955,0),"")</f>
        <v/>
      </c>
      <c r="AH2955" s="9">
        <f>IF(AF2955=1,UPPER(TRIM(IFERROR(INDEX($A2955:$AB2955,MATCH("Client",$A$1:$AB$1,0)),"")&amp;"")),"")</f>
        <v/>
      </c>
      <c r="AI2955" s="9">
        <f>IF(AF2955=1,IFERROR(INDEX($A2955:$AB2955,MATCH("Cost Centre",$A$1:$AB$1,0)),"")&amp;"","")</f>
        <v/>
      </c>
      <c r="AJ2955" s="54">
        <f>IF(AND(AF2955=1,AE2955&gt;=set_FYStart,AE2955&lt;=set_AsAt),1,0)</f>
        <v/>
      </c>
      <c r="AK2955" s="54">
        <f>IF(AND(AJ2955=1,AH2955&lt;&gt;"",COUNTIFS($AH$2:AH2955,AH2955,$AJ$2:AJ2955,1)=1),N(AL2954)+1,"")</f>
        <v/>
      </c>
      <c r="AL2955" s="54">
        <f>IF(AK2955&lt;&gt;"",AK2955,N(AL2954))</f>
        <v/>
      </c>
    </row>
    <row r="2956">
      <c r="A2956" t="inlineStr">
        <is>
          <t>CON-0985</t>
        </is>
      </c>
      <c r="B2956" t="inlineStr">
        <is>
          <t>Consulting</t>
        </is>
      </c>
      <c r="AB2956" t="n">
        <v>985</v>
      </c>
      <c r="AD2956" s="52">
        <f>IFERROR(N(IFERROR(INDEX($A2956:$AB2956,MATCH("Xero Invoiced Ex GST",$A$1:$AB$1,0)),"")),0)</f>
        <v/>
      </c>
      <c r="AE2956" s="53">
        <f>IFERROR(INDEX($A2956:$AB2956,MATCH("Xero Invoice Date",$A$1:$AB$1,0)),"")</f>
        <v/>
      </c>
      <c r="AF2956" s="54">
        <f>IF(AND(IFERROR(INDEX($A2956:$AB2956,MATCH("Xero Invoice No",$A$1:$AB$1,0)),"")&amp;""&lt;&gt;"",ISNUMBER(AE2956),AD2956&lt;&gt;0),1,0)</f>
        <v/>
      </c>
      <c r="AG2956" s="55">
        <f>IF(AF2956=1,EOMONTH(AE2956,0),"")</f>
        <v/>
      </c>
      <c r="AH2956" s="9">
        <f>IF(AF2956=1,UPPER(TRIM(IFERROR(INDEX($A2956:$AB2956,MATCH("Client",$A$1:$AB$1,0)),"")&amp;"")),"")</f>
        <v/>
      </c>
      <c r="AI2956" s="9">
        <f>IF(AF2956=1,IFERROR(INDEX($A2956:$AB2956,MATCH("Cost Centre",$A$1:$AB$1,0)),"")&amp;"","")</f>
        <v/>
      </c>
      <c r="AJ2956" s="54">
        <f>IF(AND(AF2956=1,AE2956&gt;=set_FYStart,AE2956&lt;=set_AsAt),1,0)</f>
        <v/>
      </c>
      <c r="AK2956" s="54">
        <f>IF(AND(AJ2956=1,AH2956&lt;&gt;"",COUNTIFS($AH$2:AH2956,AH2956,$AJ$2:AJ2956,1)=1),N(AL2955)+1,"")</f>
        <v/>
      </c>
      <c r="AL2956" s="54">
        <f>IF(AK2956&lt;&gt;"",AK2956,N(AL2955))</f>
        <v/>
      </c>
    </row>
    <row r="2957">
      <c r="A2957" t="inlineStr">
        <is>
          <t>ONS-0986</t>
        </is>
      </c>
      <c r="B2957" t="inlineStr">
        <is>
          <t>Onsite</t>
        </is>
      </c>
      <c r="AB2957" t="n">
        <v>986</v>
      </c>
      <c r="AD2957" s="52">
        <f>IFERROR(N(IFERROR(INDEX($A2957:$AB2957,MATCH("Xero Invoiced Ex GST",$A$1:$AB$1,0)),"")),0)</f>
        <v/>
      </c>
      <c r="AE2957" s="53">
        <f>IFERROR(INDEX($A2957:$AB2957,MATCH("Xero Invoice Date",$A$1:$AB$1,0)),"")</f>
        <v/>
      </c>
      <c r="AF2957" s="54">
        <f>IF(AND(IFERROR(INDEX($A2957:$AB2957,MATCH("Xero Invoice No",$A$1:$AB$1,0)),"")&amp;""&lt;&gt;"",ISNUMBER(AE2957),AD2957&lt;&gt;0),1,0)</f>
        <v/>
      </c>
      <c r="AG2957" s="55">
        <f>IF(AF2957=1,EOMONTH(AE2957,0),"")</f>
        <v/>
      </c>
      <c r="AH2957" s="9">
        <f>IF(AF2957=1,UPPER(TRIM(IFERROR(INDEX($A2957:$AB2957,MATCH("Client",$A$1:$AB$1,0)),"")&amp;"")),"")</f>
        <v/>
      </c>
      <c r="AI2957" s="9">
        <f>IF(AF2957=1,IFERROR(INDEX($A2957:$AB2957,MATCH("Cost Centre",$A$1:$AB$1,0)),"")&amp;"","")</f>
        <v/>
      </c>
      <c r="AJ2957" s="54">
        <f>IF(AND(AF2957=1,AE2957&gt;=set_FYStart,AE2957&lt;=set_AsAt),1,0)</f>
        <v/>
      </c>
      <c r="AK2957" s="54">
        <f>IF(AND(AJ2957=1,AH2957&lt;&gt;"",COUNTIFS($AH$2:AH2957,AH2957,$AJ$2:AJ2957,1)=1),N(AL2956)+1,"")</f>
        <v/>
      </c>
      <c r="AL2957" s="54">
        <f>IF(AK2957&lt;&gt;"",AK2957,N(AL2956))</f>
        <v/>
      </c>
    </row>
    <row r="2958">
      <c r="A2958" t="inlineStr">
        <is>
          <t>PRD-0986</t>
        </is>
      </c>
      <c r="B2958" t="inlineStr">
        <is>
          <t>Production</t>
        </is>
      </c>
      <c r="AB2958" t="n">
        <v>986</v>
      </c>
      <c r="AD2958" s="52">
        <f>IFERROR(N(IFERROR(INDEX($A2958:$AB2958,MATCH("Xero Invoiced Ex GST",$A$1:$AB$1,0)),"")),0)</f>
        <v/>
      </c>
      <c r="AE2958" s="53">
        <f>IFERROR(INDEX($A2958:$AB2958,MATCH("Xero Invoice Date",$A$1:$AB$1,0)),"")</f>
        <v/>
      </c>
      <c r="AF2958" s="54">
        <f>IF(AND(IFERROR(INDEX($A2958:$AB2958,MATCH("Xero Invoice No",$A$1:$AB$1,0)),"")&amp;""&lt;&gt;"",ISNUMBER(AE2958),AD2958&lt;&gt;0),1,0)</f>
        <v/>
      </c>
      <c r="AG2958" s="55">
        <f>IF(AF2958=1,EOMONTH(AE2958,0),"")</f>
        <v/>
      </c>
      <c r="AH2958" s="9">
        <f>IF(AF2958=1,UPPER(TRIM(IFERROR(INDEX($A2958:$AB2958,MATCH("Client",$A$1:$AB$1,0)),"")&amp;"")),"")</f>
        <v/>
      </c>
      <c r="AI2958" s="9">
        <f>IF(AF2958=1,IFERROR(INDEX($A2958:$AB2958,MATCH("Cost Centre",$A$1:$AB$1,0)),"")&amp;"","")</f>
        <v/>
      </c>
      <c r="AJ2958" s="54">
        <f>IF(AND(AF2958=1,AE2958&gt;=set_FYStart,AE2958&lt;=set_AsAt),1,0)</f>
        <v/>
      </c>
      <c r="AK2958" s="54">
        <f>IF(AND(AJ2958=1,AH2958&lt;&gt;"",COUNTIFS($AH$2:AH2958,AH2958,$AJ$2:AJ2958,1)=1),N(AL2957)+1,"")</f>
        <v/>
      </c>
      <c r="AL2958" s="54">
        <f>IF(AK2958&lt;&gt;"",AK2958,N(AL2957))</f>
        <v/>
      </c>
    </row>
    <row r="2959">
      <c r="A2959" t="inlineStr">
        <is>
          <t>CON-0986</t>
        </is>
      </c>
      <c r="B2959" t="inlineStr">
        <is>
          <t>Consulting</t>
        </is>
      </c>
      <c r="AB2959" t="n">
        <v>986</v>
      </c>
      <c r="AD2959" s="52">
        <f>IFERROR(N(IFERROR(INDEX($A2959:$AB2959,MATCH("Xero Invoiced Ex GST",$A$1:$AB$1,0)),"")),0)</f>
        <v/>
      </c>
      <c r="AE2959" s="53">
        <f>IFERROR(INDEX($A2959:$AB2959,MATCH("Xero Invoice Date",$A$1:$AB$1,0)),"")</f>
        <v/>
      </c>
      <c r="AF2959" s="54">
        <f>IF(AND(IFERROR(INDEX($A2959:$AB2959,MATCH("Xero Invoice No",$A$1:$AB$1,0)),"")&amp;""&lt;&gt;"",ISNUMBER(AE2959),AD2959&lt;&gt;0),1,0)</f>
        <v/>
      </c>
      <c r="AG2959" s="55">
        <f>IF(AF2959=1,EOMONTH(AE2959,0),"")</f>
        <v/>
      </c>
      <c r="AH2959" s="9">
        <f>IF(AF2959=1,UPPER(TRIM(IFERROR(INDEX($A2959:$AB2959,MATCH("Client",$A$1:$AB$1,0)),"")&amp;"")),"")</f>
        <v/>
      </c>
      <c r="AI2959" s="9">
        <f>IF(AF2959=1,IFERROR(INDEX($A2959:$AB2959,MATCH("Cost Centre",$A$1:$AB$1,0)),"")&amp;"","")</f>
        <v/>
      </c>
      <c r="AJ2959" s="54">
        <f>IF(AND(AF2959=1,AE2959&gt;=set_FYStart,AE2959&lt;=set_AsAt),1,0)</f>
        <v/>
      </c>
      <c r="AK2959" s="54">
        <f>IF(AND(AJ2959=1,AH2959&lt;&gt;"",COUNTIFS($AH$2:AH2959,AH2959,$AJ$2:AJ2959,1)=1),N(AL2958)+1,"")</f>
        <v/>
      </c>
      <c r="AL2959" s="54">
        <f>IF(AK2959&lt;&gt;"",AK2959,N(AL2958))</f>
        <v/>
      </c>
    </row>
    <row r="2960">
      <c r="A2960" t="inlineStr">
        <is>
          <t>ONS-0987</t>
        </is>
      </c>
      <c r="B2960" t="inlineStr">
        <is>
          <t>Onsite</t>
        </is>
      </c>
      <c r="AB2960" t="n">
        <v>987</v>
      </c>
      <c r="AD2960" s="52">
        <f>IFERROR(N(IFERROR(INDEX($A2960:$AB2960,MATCH("Xero Invoiced Ex GST",$A$1:$AB$1,0)),"")),0)</f>
        <v/>
      </c>
      <c r="AE2960" s="53">
        <f>IFERROR(INDEX($A2960:$AB2960,MATCH("Xero Invoice Date",$A$1:$AB$1,0)),"")</f>
        <v/>
      </c>
      <c r="AF2960" s="54">
        <f>IF(AND(IFERROR(INDEX($A2960:$AB2960,MATCH("Xero Invoice No",$A$1:$AB$1,0)),"")&amp;""&lt;&gt;"",ISNUMBER(AE2960),AD2960&lt;&gt;0),1,0)</f>
        <v/>
      </c>
      <c r="AG2960" s="55">
        <f>IF(AF2960=1,EOMONTH(AE2960,0),"")</f>
        <v/>
      </c>
      <c r="AH2960" s="9">
        <f>IF(AF2960=1,UPPER(TRIM(IFERROR(INDEX($A2960:$AB2960,MATCH("Client",$A$1:$AB$1,0)),"")&amp;"")),"")</f>
        <v/>
      </c>
      <c r="AI2960" s="9">
        <f>IF(AF2960=1,IFERROR(INDEX($A2960:$AB2960,MATCH("Cost Centre",$A$1:$AB$1,0)),"")&amp;"","")</f>
        <v/>
      </c>
      <c r="AJ2960" s="54">
        <f>IF(AND(AF2960=1,AE2960&gt;=set_FYStart,AE2960&lt;=set_AsAt),1,0)</f>
        <v/>
      </c>
      <c r="AK2960" s="54">
        <f>IF(AND(AJ2960=1,AH2960&lt;&gt;"",COUNTIFS($AH$2:AH2960,AH2960,$AJ$2:AJ2960,1)=1),N(AL2959)+1,"")</f>
        <v/>
      </c>
      <c r="AL2960" s="54">
        <f>IF(AK2960&lt;&gt;"",AK2960,N(AL2959))</f>
        <v/>
      </c>
    </row>
    <row r="2961">
      <c r="A2961" t="inlineStr">
        <is>
          <t>PRD-0987</t>
        </is>
      </c>
      <c r="B2961" t="inlineStr">
        <is>
          <t>Production</t>
        </is>
      </c>
      <c r="AB2961" t="n">
        <v>987</v>
      </c>
      <c r="AD2961" s="52">
        <f>IFERROR(N(IFERROR(INDEX($A2961:$AB2961,MATCH("Xero Invoiced Ex GST",$A$1:$AB$1,0)),"")),0)</f>
        <v/>
      </c>
      <c r="AE2961" s="53">
        <f>IFERROR(INDEX($A2961:$AB2961,MATCH("Xero Invoice Date",$A$1:$AB$1,0)),"")</f>
        <v/>
      </c>
      <c r="AF2961" s="54">
        <f>IF(AND(IFERROR(INDEX($A2961:$AB2961,MATCH("Xero Invoice No",$A$1:$AB$1,0)),"")&amp;""&lt;&gt;"",ISNUMBER(AE2961),AD2961&lt;&gt;0),1,0)</f>
        <v/>
      </c>
      <c r="AG2961" s="55">
        <f>IF(AF2961=1,EOMONTH(AE2961,0),"")</f>
        <v/>
      </c>
      <c r="AH2961" s="9">
        <f>IF(AF2961=1,UPPER(TRIM(IFERROR(INDEX($A2961:$AB2961,MATCH("Client",$A$1:$AB$1,0)),"")&amp;"")),"")</f>
        <v/>
      </c>
      <c r="AI2961" s="9">
        <f>IF(AF2961=1,IFERROR(INDEX($A2961:$AB2961,MATCH("Cost Centre",$A$1:$AB$1,0)),"")&amp;"","")</f>
        <v/>
      </c>
      <c r="AJ2961" s="54">
        <f>IF(AND(AF2961=1,AE2961&gt;=set_FYStart,AE2961&lt;=set_AsAt),1,0)</f>
        <v/>
      </c>
      <c r="AK2961" s="54">
        <f>IF(AND(AJ2961=1,AH2961&lt;&gt;"",COUNTIFS($AH$2:AH2961,AH2961,$AJ$2:AJ2961,1)=1),N(AL2960)+1,"")</f>
        <v/>
      </c>
      <c r="AL2961" s="54">
        <f>IF(AK2961&lt;&gt;"",AK2961,N(AL2960))</f>
        <v/>
      </c>
    </row>
    <row r="2962">
      <c r="A2962" t="inlineStr">
        <is>
          <t>CON-0987</t>
        </is>
      </c>
      <c r="B2962" t="inlineStr">
        <is>
          <t>Consulting</t>
        </is>
      </c>
      <c r="AB2962" t="n">
        <v>987</v>
      </c>
      <c r="AD2962" s="52">
        <f>IFERROR(N(IFERROR(INDEX($A2962:$AB2962,MATCH("Xero Invoiced Ex GST",$A$1:$AB$1,0)),"")),0)</f>
        <v/>
      </c>
      <c r="AE2962" s="53">
        <f>IFERROR(INDEX($A2962:$AB2962,MATCH("Xero Invoice Date",$A$1:$AB$1,0)),"")</f>
        <v/>
      </c>
      <c r="AF2962" s="54">
        <f>IF(AND(IFERROR(INDEX($A2962:$AB2962,MATCH("Xero Invoice No",$A$1:$AB$1,0)),"")&amp;""&lt;&gt;"",ISNUMBER(AE2962),AD2962&lt;&gt;0),1,0)</f>
        <v/>
      </c>
      <c r="AG2962" s="55">
        <f>IF(AF2962=1,EOMONTH(AE2962,0),"")</f>
        <v/>
      </c>
      <c r="AH2962" s="9">
        <f>IF(AF2962=1,UPPER(TRIM(IFERROR(INDEX($A2962:$AB2962,MATCH("Client",$A$1:$AB$1,0)),"")&amp;"")),"")</f>
        <v/>
      </c>
      <c r="AI2962" s="9">
        <f>IF(AF2962=1,IFERROR(INDEX($A2962:$AB2962,MATCH("Cost Centre",$A$1:$AB$1,0)),"")&amp;"","")</f>
        <v/>
      </c>
      <c r="AJ2962" s="54">
        <f>IF(AND(AF2962=1,AE2962&gt;=set_FYStart,AE2962&lt;=set_AsAt),1,0)</f>
        <v/>
      </c>
      <c r="AK2962" s="54">
        <f>IF(AND(AJ2962=1,AH2962&lt;&gt;"",COUNTIFS($AH$2:AH2962,AH2962,$AJ$2:AJ2962,1)=1),N(AL2961)+1,"")</f>
        <v/>
      </c>
      <c r="AL2962" s="54">
        <f>IF(AK2962&lt;&gt;"",AK2962,N(AL2961))</f>
        <v/>
      </c>
    </row>
    <row r="2963">
      <c r="A2963" t="inlineStr">
        <is>
          <t>ONS-0988</t>
        </is>
      </c>
      <c r="B2963" t="inlineStr">
        <is>
          <t>Onsite</t>
        </is>
      </c>
      <c r="AB2963" t="n">
        <v>988</v>
      </c>
      <c r="AD2963" s="52">
        <f>IFERROR(N(IFERROR(INDEX($A2963:$AB2963,MATCH("Xero Invoiced Ex GST",$A$1:$AB$1,0)),"")),0)</f>
        <v/>
      </c>
      <c r="AE2963" s="53">
        <f>IFERROR(INDEX($A2963:$AB2963,MATCH("Xero Invoice Date",$A$1:$AB$1,0)),"")</f>
        <v/>
      </c>
      <c r="AF2963" s="54">
        <f>IF(AND(IFERROR(INDEX($A2963:$AB2963,MATCH("Xero Invoice No",$A$1:$AB$1,0)),"")&amp;""&lt;&gt;"",ISNUMBER(AE2963),AD2963&lt;&gt;0),1,0)</f>
        <v/>
      </c>
      <c r="AG2963" s="55">
        <f>IF(AF2963=1,EOMONTH(AE2963,0),"")</f>
        <v/>
      </c>
      <c r="AH2963" s="9">
        <f>IF(AF2963=1,UPPER(TRIM(IFERROR(INDEX($A2963:$AB2963,MATCH("Client",$A$1:$AB$1,0)),"")&amp;"")),"")</f>
        <v/>
      </c>
      <c r="AI2963" s="9">
        <f>IF(AF2963=1,IFERROR(INDEX($A2963:$AB2963,MATCH("Cost Centre",$A$1:$AB$1,0)),"")&amp;"","")</f>
        <v/>
      </c>
      <c r="AJ2963" s="54">
        <f>IF(AND(AF2963=1,AE2963&gt;=set_FYStart,AE2963&lt;=set_AsAt),1,0)</f>
        <v/>
      </c>
      <c r="AK2963" s="54">
        <f>IF(AND(AJ2963=1,AH2963&lt;&gt;"",COUNTIFS($AH$2:AH2963,AH2963,$AJ$2:AJ2963,1)=1),N(AL2962)+1,"")</f>
        <v/>
      </c>
      <c r="AL2963" s="54">
        <f>IF(AK2963&lt;&gt;"",AK2963,N(AL2962))</f>
        <v/>
      </c>
    </row>
    <row r="2964">
      <c r="A2964" t="inlineStr">
        <is>
          <t>PRD-0988</t>
        </is>
      </c>
      <c r="B2964" t="inlineStr">
        <is>
          <t>Production</t>
        </is>
      </c>
      <c r="AB2964" t="n">
        <v>988</v>
      </c>
      <c r="AD2964" s="52">
        <f>IFERROR(N(IFERROR(INDEX($A2964:$AB2964,MATCH("Xero Invoiced Ex GST",$A$1:$AB$1,0)),"")),0)</f>
        <v/>
      </c>
      <c r="AE2964" s="53">
        <f>IFERROR(INDEX($A2964:$AB2964,MATCH("Xero Invoice Date",$A$1:$AB$1,0)),"")</f>
        <v/>
      </c>
      <c r="AF2964" s="54">
        <f>IF(AND(IFERROR(INDEX($A2964:$AB2964,MATCH("Xero Invoice No",$A$1:$AB$1,0)),"")&amp;""&lt;&gt;"",ISNUMBER(AE2964),AD2964&lt;&gt;0),1,0)</f>
        <v/>
      </c>
      <c r="AG2964" s="55">
        <f>IF(AF2964=1,EOMONTH(AE2964,0),"")</f>
        <v/>
      </c>
      <c r="AH2964" s="9">
        <f>IF(AF2964=1,UPPER(TRIM(IFERROR(INDEX($A2964:$AB2964,MATCH("Client",$A$1:$AB$1,0)),"")&amp;"")),"")</f>
        <v/>
      </c>
      <c r="AI2964" s="9">
        <f>IF(AF2964=1,IFERROR(INDEX($A2964:$AB2964,MATCH("Cost Centre",$A$1:$AB$1,0)),"")&amp;"","")</f>
        <v/>
      </c>
      <c r="AJ2964" s="54">
        <f>IF(AND(AF2964=1,AE2964&gt;=set_FYStart,AE2964&lt;=set_AsAt),1,0)</f>
        <v/>
      </c>
      <c r="AK2964" s="54">
        <f>IF(AND(AJ2964=1,AH2964&lt;&gt;"",COUNTIFS($AH$2:AH2964,AH2964,$AJ$2:AJ2964,1)=1),N(AL2963)+1,"")</f>
        <v/>
      </c>
      <c r="AL2964" s="54">
        <f>IF(AK2964&lt;&gt;"",AK2964,N(AL2963))</f>
        <v/>
      </c>
    </row>
    <row r="2965">
      <c r="A2965" t="inlineStr">
        <is>
          <t>CON-0988</t>
        </is>
      </c>
      <c r="B2965" t="inlineStr">
        <is>
          <t>Consulting</t>
        </is>
      </c>
      <c r="AB2965" t="n">
        <v>988</v>
      </c>
      <c r="AD2965" s="52">
        <f>IFERROR(N(IFERROR(INDEX($A2965:$AB2965,MATCH("Xero Invoiced Ex GST",$A$1:$AB$1,0)),"")),0)</f>
        <v/>
      </c>
      <c r="AE2965" s="53">
        <f>IFERROR(INDEX($A2965:$AB2965,MATCH("Xero Invoice Date",$A$1:$AB$1,0)),"")</f>
        <v/>
      </c>
      <c r="AF2965" s="54">
        <f>IF(AND(IFERROR(INDEX($A2965:$AB2965,MATCH("Xero Invoice No",$A$1:$AB$1,0)),"")&amp;""&lt;&gt;"",ISNUMBER(AE2965),AD2965&lt;&gt;0),1,0)</f>
        <v/>
      </c>
      <c r="AG2965" s="55">
        <f>IF(AF2965=1,EOMONTH(AE2965,0),"")</f>
        <v/>
      </c>
      <c r="AH2965" s="9">
        <f>IF(AF2965=1,UPPER(TRIM(IFERROR(INDEX($A2965:$AB2965,MATCH("Client",$A$1:$AB$1,0)),"")&amp;"")),"")</f>
        <v/>
      </c>
      <c r="AI2965" s="9">
        <f>IF(AF2965=1,IFERROR(INDEX($A2965:$AB2965,MATCH("Cost Centre",$A$1:$AB$1,0)),"")&amp;"","")</f>
        <v/>
      </c>
      <c r="AJ2965" s="54">
        <f>IF(AND(AF2965=1,AE2965&gt;=set_FYStart,AE2965&lt;=set_AsAt),1,0)</f>
        <v/>
      </c>
      <c r="AK2965" s="54">
        <f>IF(AND(AJ2965=1,AH2965&lt;&gt;"",COUNTIFS($AH$2:AH2965,AH2965,$AJ$2:AJ2965,1)=1),N(AL2964)+1,"")</f>
        <v/>
      </c>
      <c r="AL2965" s="54">
        <f>IF(AK2965&lt;&gt;"",AK2965,N(AL2964))</f>
        <v/>
      </c>
    </row>
    <row r="2966">
      <c r="A2966" t="inlineStr">
        <is>
          <t>ONS-0989</t>
        </is>
      </c>
      <c r="B2966" t="inlineStr">
        <is>
          <t>Onsite</t>
        </is>
      </c>
      <c r="AB2966" t="n">
        <v>989</v>
      </c>
      <c r="AD2966" s="52">
        <f>IFERROR(N(IFERROR(INDEX($A2966:$AB2966,MATCH("Xero Invoiced Ex GST",$A$1:$AB$1,0)),"")),0)</f>
        <v/>
      </c>
      <c r="AE2966" s="53">
        <f>IFERROR(INDEX($A2966:$AB2966,MATCH("Xero Invoice Date",$A$1:$AB$1,0)),"")</f>
        <v/>
      </c>
      <c r="AF2966" s="54">
        <f>IF(AND(IFERROR(INDEX($A2966:$AB2966,MATCH("Xero Invoice No",$A$1:$AB$1,0)),"")&amp;""&lt;&gt;"",ISNUMBER(AE2966),AD2966&lt;&gt;0),1,0)</f>
        <v/>
      </c>
      <c r="AG2966" s="55">
        <f>IF(AF2966=1,EOMONTH(AE2966,0),"")</f>
        <v/>
      </c>
      <c r="AH2966" s="9">
        <f>IF(AF2966=1,UPPER(TRIM(IFERROR(INDEX($A2966:$AB2966,MATCH("Client",$A$1:$AB$1,0)),"")&amp;"")),"")</f>
        <v/>
      </c>
      <c r="AI2966" s="9">
        <f>IF(AF2966=1,IFERROR(INDEX($A2966:$AB2966,MATCH("Cost Centre",$A$1:$AB$1,0)),"")&amp;"","")</f>
        <v/>
      </c>
      <c r="AJ2966" s="54">
        <f>IF(AND(AF2966=1,AE2966&gt;=set_FYStart,AE2966&lt;=set_AsAt),1,0)</f>
        <v/>
      </c>
      <c r="AK2966" s="54">
        <f>IF(AND(AJ2966=1,AH2966&lt;&gt;"",COUNTIFS($AH$2:AH2966,AH2966,$AJ$2:AJ2966,1)=1),N(AL2965)+1,"")</f>
        <v/>
      </c>
      <c r="AL2966" s="54">
        <f>IF(AK2966&lt;&gt;"",AK2966,N(AL2965))</f>
        <v/>
      </c>
    </row>
    <row r="2967">
      <c r="A2967" t="inlineStr">
        <is>
          <t>PRD-0989</t>
        </is>
      </c>
      <c r="B2967" t="inlineStr">
        <is>
          <t>Production</t>
        </is>
      </c>
      <c r="AB2967" t="n">
        <v>989</v>
      </c>
      <c r="AD2967" s="52">
        <f>IFERROR(N(IFERROR(INDEX($A2967:$AB2967,MATCH("Xero Invoiced Ex GST",$A$1:$AB$1,0)),"")),0)</f>
        <v/>
      </c>
      <c r="AE2967" s="53">
        <f>IFERROR(INDEX($A2967:$AB2967,MATCH("Xero Invoice Date",$A$1:$AB$1,0)),"")</f>
        <v/>
      </c>
      <c r="AF2967" s="54">
        <f>IF(AND(IFERROR(INDEX($A2967:$AB2967,MATCH("Xero Invoice No",$A$1:$AB$1,0)),"")&amp;""&lt;&gt;"",ISNUMBER(AE2967),AD2967&lt;&gt;0),1,0)</f>
        <v/>
      </c>
      <c r="AG2967" s="55">
        <f>IF(AF2967=1,EOMONTH(AE2967,0),"")</f>
        <v/>
      </c>
      <c r="AH2967" s="9">
        <f>IF(AF2967=1,UPPER(TRIM(IFERROR(INDEX($A2967:$AB2967,MATCH("Client",$A$1:$AB$1,0)),"")&amp;"")),"")</f>
        <v/>
      </c>
      <c r="AI2967" s="9">
        <f>IF(AF2967=1,IFERROR(INDEX($A2967:$AB2967,MATCH("Cost Centre",$A$1:$AB$1,0)),"")&amp;"","")</f>
        <v/>
      </c>
      <c r="AJ2967" s="54">
        <f>IF(AND(AF2967=1,AE2967&gt;=set_FYStart,AE2967&lt;=set_AsAt),1,0)</f>
        <v/>
      </c>
      <c r="AK2967" s="54">
        <f>IF(AND(AJ2967=1,AH2967&lt;&gt;"",COUNTIFS($AH$2:AH2967,AH2967,$AJ$2:AJ2967,1)=1),N(AL2966)+1,"")</f>
        <v/>
      </c>
      <c r="AL2967" s="54">
        <f>IF(AK2967&lt;&gt;"",AK2967,N(AL2966))</f>
        <v/>
      </c>
    </row>
    <row r="2968">
      <c r="A2968" t="inlineStr">
        <is>
          <t>CON-0989</t>
        </is>
      </c>
      <c r="B2968" t="inlineStr">
        <is>
          <t>Consulting</t>
        </is>
      </c>
      <c r="AB2968" t="n">
        <v>989</v>
      </c>
      <c r="AD2968" s="52">
        <f>IFERROR(N(IFERROR(INDEX($A2968:$AB2968,MATCH("Xero Invoiced Ex GST",$A$1:$AB$1,0)),"")),0)</f>
        <v/>
      </c>
      <c r="AE2968" s="53">
        <f>IFERROR(INDEX($A2968:$AB2968,MATCH("Xero Invoice Date",$A$1:$AB$1,0)),"")</f>
        <v/>
      </c>
      <c r="AF2968" s="54">
        <f>IF(AND(IFERROR(INDEX($A2968:$AB2968,MATCH("Xero Invoice No",$A$1:$AB$1,0)),"")&amp;""&lt;&gt;"",ISNUMBER(AE2968),AD2968&lt;&gt;0),1,0)</f>
        <v/>
      </c>
      <c r="AG2968" s="55">
        <f>IF(AF2968=1,EOMONTH(AE2968,0),"")</f>
        <v/>
      </c>
      <c r="AH2968" s="9">
        <f>IF(AF2968=1,UPPER(TRIM(IFERROR(INDEX($A2968:$AB2968,MATCH("Client",$A$1:$AB$1,0)),"")&amp;"")),"")</f>
        <v/>
      </c>
      <c r="AI2968" s="9">
        <f>IF(AF2968=1,IFERROR(INDEX($A2968:$AB2968,MATCH("Cost Centre",$A$1:$AB$1,0)),"")&amp;"","")</f>
        <v/>
      </c>
      <c r="AJ2968" s="54">
        <f>IF(AND(AF2968=1,AE2968&gt;=set_FYStart,AE2968&lt;=set_AsAt),1,0)</f>
        <v/>
      </c>
      <c r="AK2968" s="54">
        <f>IF(AND(AJ2968=1,AH2968&lt;&gt;"",COUNTIFS($AH$2:AH2968,AH2968,$AJ$2:AJ2968,1)=1),N(AL2967)+1,"")</f>
        <v/>
      </c>
      <c r="AL2968" s="54">
        <f>IF(AK2968&lt;&gt;"",AK2968,N(AL2967))</f>
        <v/>
      </c>
    </row>
    <row r="2969">
      <c r="A2969" t="inlineStr">
        <is>
          <t>ONS-0990</t>
        </is>
      </c>
      <c r="B2969" t="inlineStr">
        <is>
          <t>Onsite</t>
        </is>
      </c>
      <c r="AB2969" t="n">
        <v>990</v>
      </c>
      <c r="AD2969" s="52">
        <f>IFERROR(N(IFERROR(INDEX($A2969:$AB2969,MATCH("Xero Invoiced Ex GST",$A$1:$AB$1,0)),"")),0)</f>
        <v/>
      </c>
      <c r="AE2969" s="53">
        <f>IFERROR(INDEX($A2969:$AB2969,MATCH("Xero Invoice Date",$A$1:$AB$1,0)),"")</f>
        <v/>
      </c>
      <c r="AF2969" s="54">
        <f>IF(AND(IFERROR(INDEX($A2969:$AB2969,MATCH("Xero Invoice No",$A$1:$AB$1,0)),"")&amp;""&lt;&gt;"",ISNUMBER(AE2969),AD2969&lt;&gt;0),1,0)</f>
        <v/>
      </c>
      <c r="AG2969" s="55">
        <f>IF(AF2969=1,EOMONTH(AE2969,0),"")</f>
        <v/>
      </c>
      <c r="AH2969" s="9">
        <f>IF(AF2969=1,UPPER(TRIM(IFERROR(INDEX($A2969:$AB2969,MATCH("Client",$A$1:$AB$1,0)),"")&amp;"")),"")</f>
        <v/>
      </c>
      <c r="AI2969" s="9">
        <f>IF(AF2969=1,IFERROR(INDEX($A2969:$AB2969,MATCH("Cost Centre",$A$1:$AB$1,0)),"")&amp;"","")</f>
        <v/>
      </c>
      <c r="AJ2969" s="54">
        <f>IF(AND(AF2969=1,AE2969&gt;=set_FYStart,AE2969&lt;=set_AsAt),1,0)</f>
        <v/>
      </c>
      <c r="AK2969" s="54">
        <f>IF(AND(AJ2969=1,AH2969&lt;&gt;"",COUNTIFS($AH$2:AH2969,AH2969,$AJ$2:AJ2969,1)=1),N(AL2968)+1,"")</f>
        <v/>
      </c>
      <c r="AL2969" s="54">
        <f>IF(AK2969&lt;&gt;"",AK2969,N(AL2968))</f>
        <v/>
      </c>
    </row>
    <row r="2970">
      <c r="A2970" t="inlineStr">
        <is>
          <t>PRD-0990</t>
        </is>
      </c>
      <c r="B2970" t="inlineStr">
        <is>
          <t>Production</t>
        </is>
      </c>
      <c r="AB2970" t="n">
        <v>990</v>
      </c>
      <c r="AD2970" s="52">
        <f>IFERROR(N(IFERROR(INDEX($A2970:$AB2970,MATCH("Xero Invoiced Ex GST",$A$1:$AB$1,0)),"")),0)</f>
        <v/>
      </c>
      <c r="AE2970" s="53">
        <f>IFERROR(INDEX($A2970:$AB2970,MATCH("Xero Invoice Date",$A$1:$AB$1,0)),"")</f>
        <v/>
      </c>
      <c r="AF2970" s="54">
        <f>IF(AND(IFERROR(INDEX($A2970:$AB2970,MATCH("Xero Invoice No",$A$1:$AB$1,0)),"")&amp;""&lt;&gt;"",ISNUMBER(AE2970),AD2970&lt;&gt;0),1,0)</f>
        <v/>
      </c>
      <c r="AG2970" s="55">
        <f>IF(AF2970=1,EOMONTH(AE2970,0),"")</f>
        <v/>
      </c>
      <c r="AH2970" s="9">
        <f>IF(AF2970=1,UPPER(TRIM(IFERROR(INDEX($A2970:$AB2970,MATCH("Client",$A$1:$AB$1,0)),"")&amp;"")),"")</f>
        <v/>
      </c>
      <c r="AI2970" s="9">
        <f>IF(AF2970=1,IFERROR(INDEX($A2970:$AB2970,MATCH("Cost Centre",$A$1:$AB$1,0)),"")&amp;"","")</f>
        <v/>
      </c>
      <c r="AJ2970" s="54">
        <f>IF(AND(AF2970=1,AE2970&gt;=set_FYStart,AE2970&lt;=set_AsAt),1,0)</f>
        <v/>
      </c>
      <c r="AK2970" s="54">
        <f>IF(AND(AJ2970=1,AH2970&lt;&gt;"",COUNTIFS($AH$2:AH2970,AH2970,$AJ$2:AJ2970,1)=1),N(AL2969)+1,"")</f>
        <v/>
      </c>
      <c r="AL2970" s="54">
        <f>IF(AK2970&lt;&gt;"",AK2970,N(AL2969))</f>
        <v/>
      </c>
    </row>
    <row r="2971">
      <c r="A2971" t="inlineStr">
        <is>
          <t>CON-0990</t>
        </is>
      </c>
      <c r="B2971" t="inlineStr">
        <is>
          <t>Consulting</t>
        </is>
      </c>
      <c r="AB2971" t="n">
        <v>990</v>
      </c>
      <c r="AD2971" s="52">
        <f>IFERROR(N(IFERROR(INDEX($A2971:$AB2971,MATCH("Xero Invoiced Ex GST",$A$1:$AB$1,0)),"")),0)</f>
        <v/>
      </c>
      <c r="AE2971" s="53">
        <f>IFERROR(INDEX($A2971:$AB2971,MATCH("Xero Invoice Date",$A$1:$AB$1,0)),"")</f>
        <v/>
      </c>
      <c r="AF2971" s="54">
        <f>IF(AND(IFERROR(INDEX($A2971:$AB2971,MATCH("Xero Invoice No",$A$1:$AB$1,0)),"")&amp;""&lt;&gt;"",ISNUMBER(AE2971),AD2971&lt;&gt;0),1,0)</f>
        <v/>
      </c>
      <c r="AG2971" s="55">
        <f>IF(AF2971=1,EOMONTH(AE2971,0),"")</f>
        <v/>
      </c>
      <c r="AH2971" s="9">
        <f>IF(AF2971=1,UPPER(TRIM(IFERROR(INDEX($A2971:$AB2971,MATCH("Client",$A$1:$AB$1,0)),"")&amp;"")),"")</f>
        <v/>
      </c>
      <c r="AI2971" s="9">
        <f>IF(AF2971=1,IFERROR(INDEX($A2971:$AB2971,MATCH("Cost Centre",$A$1:$AB$1,0)),"")&amp;"","")</f>
        <v/>
      </c>
      <c r="AJ2971" s="54">
        <f>IF(AND(AF2971=1,AE2971&gt;=set_FYStart,AE2971&lt;=set_AsAt),1,0)</f>
        <v/>
      </c>
      <c r="AK2971" s="54">
        <f>IF(AND(AJ2971=1,AH2971&lt;&gt;"",COUNTIFS($AH$2:AH2971,AH2971,$AJ$2:AJ2971,1)=1),N(AL2970)+1,"")</f>
        <v/>
      </c>
      <c r="AL2971" s="54">
        <f>IF(AK2971&lt;&gt;"",AK2971,N(AL2970))</f>
        <v/>
      </c>
    </row>
    <row r="2972">
      <c r="A2972" t="inlineStr">
        <is>
          <t>ONS-0991</t>
        </is>
      </c>
      <c r="B2972" t="inlineStr">
        <is>
          <t>Onsite</t>
        </is>
      </c>
      <c r="AB2972" t="n">
        <v>991</v>
      </c>
      <c r="AD2972" s="52">
        <f>IFERROR(N(IFERROR(INDEX($A2972:$AB2972,MATCH("Xero Invoiced Ex GST",$A$1:$AB$1,0)),"")),0)</f>
        <v/>
      </c>
      <c r="AE2972" s="53">
        <f>IFERROR(INDEX($A2972:$AB2972,MATCH("Xero Invoice Date",$A$1:$AB$1,0)),"")</f>
        <v/>
      </c>
      <c r="AF2972" s="54">
        <f>IF(AND(IFERROR(INDEX($A2972:$AB2972,MATCH("Xero Invoice No",$A$1:$AB$1,0)),"")&amp;""&lt;&gt;"",ISNUMBER(AE2972),AD2972&lt;&gt;0),1,0)</f>
        <v/>
      </c>
      <c r="AG2972" s="55">
        <f>IF(AF2972=1,EOMONTH(AE2972,0),"")</f>
        <v/>
      </c>
      <c r="AH2972" s="9">
        <f>IF(AF2972=1,UPPER(TRIM(IFERROR(INDEX($A2972:$AB2972,MATCH("Client",$A$1:$AB$1,0)),"")&amp;"")),"")</f>
        <v/>
      </c>
      <c r="AI2972" s="9">
        <f>IF(AF2972=1,IFERROR(INDEX($A2972:$AB2972,MATCH("Cost Centre",$A$1:$AB$1,0)),"")&amp;"","")</f>
        <v/>
      </c>
      <c r="AJ2972" s="54">
        <f>IF(AND(AF2972=1,AE2972&gt;=set_FYStart,AE2972&lt;=set_AsAt),1,0)</f>
        <v/>
      </c>
      <c r="AK2972" s="54">
        <f>IF(AND(AJ2972=1,AH2972&lt;&gt;"",COUNTIFS($AH$2:AH2972,AH2972,$AJ$2:AJ2972,1)=1),N(AL2971)+1,"")</f>
        <v/>
      </c>
      <c r="AL2972" s="54">
        <f>IF(AK2972&lt;&gt;"",AK2972,N(AL2971))</f>
        <v/>
      </c>
    </row>
    <row r="2973">
      <c r="A2973" t="inlineStr">
        <is>
          <t>PRD-0991</t>
        </is>
      </c>
      <c r="B2973" t="inlineStr">
        <is>
          <t>Production</t>
        </is>
      </c>
      <c r="AB2973" t="n">
        <v>991</v>
      </c>
      <c r="AD2973" s="52">
        <f>IFERROR(N(IFERROR(INDEX($A2973:$AB2973,MATCH("Xero Invoiced Ex GST",$A$1:$AB$1,0)),"")),0)</f>
        <v/>
      </c>
      <c r="AE2973" s="53">
        <f>IFERROR(INDEX($A2973:$AB2973,MATCH("Xero Invoice Date",$A$1:$AB$1,0)),"")</f>
        <v/>
      </c>
      <c r="AF2973" s="54">
        <f>IF(AND(IFERROR(INDEX($A2973:$AB2973,MATCH("Xero Invoice No",$A$1:$AB$1,0)),"")&amp;""&lt;&gt;"",ISNUMBER(AE2973),AD2973&lt;&gt;0),1,0)</f>
        <v/>
      </c>
      <c r="AG2973" s="55">
        <f>IF(AF2973=1,EOMONTH(AE2973,0),"")</f>
        <v/>
      </c>
      <c r="AH2973" s="9">
        <f>IF(AF2973=1,UPPER(TRIM(IFERROR(INDEX($A2973:$AB2973,MATCH("Client",$A$1:$AB$1,0)),"")&amp;"")),"")</f>
        <v/>
      </c>
      <c r="AI2973" s="9">
        <f>IF(AF2973=1,IFERROR(INDEX($A2973:$AB2973,MATCH("Cost Centre",$A$1:$AB$1,0)),"")&amp;"","")</f>
        <v/>
      </c>
      <c r="AJ2973" s="54">
        <f>IF(AND(AF2973=1,AE2973&gt;=set_FYStart,AE2973&lt;=set_AsAt),1,0)</f>
        <v/>
      </c>
      <c r="AK2973" s="54">
        <f>IF(AND(AJ2973=1,AH2973&lt;&gt;"",COUNTIFS($AH$2:AH2973,AH2973,$AJ$2:AJ2973,1)=1),N(AL2972)+1,"")</f>
        <v/>
      </c>
      <c r="AL2973" s="54">
        <f>IF(AK2973&lt;&gt;"",AK2973,N(AL2972))</f>
        <v/>
      </c>
    </row>
    <row r="2974">
      <c r="A2974" t="inlineStr">
        <is>
          <t>CON-0991</t>
        </is>
      </c>
      <c r="B2974" t="inlineStr">
        <is>
          <t>Consulting</t>
        </is>
      </c>
      <c r="AB2974" t="n">
        <v>991</v>
      </c>
      <c r="AD2974" s="52">
        <f>IFERROR(N(IFERROR(INDEX($A2974:$AB2974,MATCH("Xero Invoiced Ex GST",$A$1:$AB$1,0)),"")),0)</f>
        <v/>
      </c>
      <c r="AE2974" s="53">
        <f>IFERROR(INDEX($A2974:$AB2974,MATCH("Xero Invoice Date",$A$1:$AB$1,0)),"")</f>
        <v/>
      </c>
      <c r="AF2974" s="54">
        <f>IF(AND(IFERROR(INDEX($A2974:$AB2974,MATCH("Xero Invoice No",$A$1:$AB$1,0)),"")&amp;""&lt;&gt;"",ISNUMBER(AE2974),AD2974&lt;&gt;0),1,0)</f>
        <v/>
      </c>
      <c r="AG2974" s="55">
        <f>IF(AF2974=1,EOMONTH(AE2974,0),"")</f>
        <v/>
      </c>
      <c r="AH2974" s="9">
        <f>IF(AF2974=1,UPPER(TRIM(IFERROR(INDEX($A2974:$AB2974,MATCH("Client",$A$1:$AB$1,0)),"")&amp;"")),"")</f>
        <v/>
      </c>
      <c r="AI2974" s="9">
        <f>IF(AF2974=1,IFERROR(INDEX($A2974:$AB2974,MATCH("Cost Centre",$A$1:$AB$1,0)),"")&amp;"","")</f>
        <v/>
      </c>
      <c r="AJ2974" s="54">
        <f>IF(AND(AF2974=1,AE2974&gt;=set_FYStart,AE2974&lt;=set_AsAt),1,0)</f>
        <v/>
      </c>
      <c r="AK2974" s="54">
        <f>IF(AND(AJ2974=1,AH2974&lt;&gt;"",COUNTIFS($AH$2:AH2974,AH2974,$AJ$2:AJ2974,1)=1),N(AL2973)+1,"")</f>
        <v/>
      </c>
      <c r="AL2974" s="54">
        <f>IF(AK2974&lt;&gt;"",AK2974,N(AL2973))</f>
        <v/>
      </c>
    </row>
    <row r="2975">
      <c r="A2975" t="inlineStr">
        <is>
          <t>ONS-0992</t>
        </is>
      </c>
      <c r="B2975" t="inlineStr">
        <is>
          <t>Onsite</t>
        </is>
      </c>
      <c r="AB2975" t="n">
        <v>992</v>
      </c>
      <c r="AD2975" s="52">
        <f>IFERROR(N(IFERROR(INDEX($A2975:$AB2975,MATCH("Xero Invoiced Ex GST",$A$1:$AB$1,0)),"")),0)</f>
        <v/>
      </c>
      <c r="AE2975" s="53">
        <f>IFERROR(INDEX($A2975:$AB2975,MATCH("Xero Invoice Date",$A$1:$AB$1,0)),"")</f>
        <v/>
      </c>
      <c r="AF2975" s="54">
        <f>IF(AND(IFERROR(INDEX($A2975:$AB2975,MATCH("Xero Invoice No",$A$1:$AB$1,0)),"")&amp;""&lt;&gt;"",ISNUMBER(AE2975),AD2975&lt;&gt;0),1,0)</f>
        <v/>
      </c>
      <c r="AG2975" s="55">
        <f>IF(AF2975=1,EOMONTH(AE2975,0),"")</f>
        <v/>
      </c>
      <c r="AH2975" s="9">
        <f>IF(AF2975=1,UPPER(TRIM(IFERROR(INDEX($A2975:$AB2975,MATCH("Client",$A$1:$AB$1,0)),"")&amp;"")),"")</f>
        <v/>
      </c>
      <c r="AI2975" s="9">
        <f>IF(AF2975=1,IFERROR(INDEX($A2975:$AB2975,MATCH("Cost Centre",$A$1:$AB$1,0)),"")&amp;"","")</f>
        <v/>
      </c>
      <c r="AJ2975" s="54">
        <f>IF(AND(AF2975=1,AE2975&gt;=set_FYStart,AE2975&lt;=set_AsAt),1,0)</f>
        <v/>
      </c>
      <c r="AK2975" s="54">
        <f>IF(AND(AJ2975=1,AH2975&lt;&gt;"",COUNTIFS($AH$2:AH2975,AH2975,$AJ$2:AJ2975,1)=1),N(AL2974)+1,"")</f>
        <v/>
      </c>
      <c r="AL2975" s="54">
        <f>IF(AK2975&lt;&gt;"",AK2975,N(AL2974))</f>
        <v/>
      </c>
    </row>
    <row r="2976">
      <c r="A2976" t="inlineStr">
        <is>
          <t>PRD-0992</t>
        </is>
      </c>
      <c r="B2976" t="inlineStr">
        <is>
          <t>Production</t>
        </is>
      </c>
      <c r="AB2976" t="n">
        <v>992</v>
      </c>
      <c r="AD2976" s="52">
        <f>IFERROR(N(IFERROR(INDEX($A2976:$AB2976,MATCH("Xero Invoiced Ex GST",$A$1:$AB$1,0)),"")),0)</f>
        <v/>
      </c>
      <c r="AE2976" s="53">
        <f>IFERROR(INDEX($A2976:$AB2976,MATCH("Xero Invoice Date",$A$1:$AB$1,0)),"")</f>
        <v/>
      </c>
      <c r="AF2976" s="54">
        <f>IF(AND(IFERROR(INDEX($A2976:$AB2976,MATCH("Xero Invoice No",$A$1:$AB$1,0)),"")&amp;""&lt;&gt;"",ISNUMBER(AE2976),AD2976&lt;&gt;0),1,0)</f>
        <v/>
      </c>
      <c r="AG2976" s="55">
        <f>IF(AF2976=1,EOMONTH(AE2976,0),"")</f>
        <v/>
      </c>
      <c r="AH2976" s="9">
        <f>IF(AF2976=1,UPPER(TRIM(IFERROR(INDEX($A2976:$AB2976,MATCH("Client",$A$1:$AB$1,0)),"")&amp;"")),"")</f>
        <v/>
      </c>
      <c r="AI2976" s="9">
        <f>IF(AF2976=1,IFERROR(INDEX($A2976:$AB2976,MATCH("Cost Centre",$A$1:$AB$1,0)),"")&amp;"","")</f>
        <v/>
      </c>
      <c r="AJ2976" s="54">
        <f>IF(AND(AF2976=1,AE2976&gt;=set_FYStart,AE2976&lt;=set_AsAt),1,0)</f>
        <v/>
      </c>
      <c r="AK2976" s="54">
        <f>IF(AND(AJ2976=1,AH2976&lt;&gt;"",COUNTIFS($AH$2:AH2976,AH2976,$AJ$2:AJ2976,1)=1),N(AL2975)+1,"")</f>
        <v/>
      </c>
      <c r="AL2976" s="54">
        <f>IF(AK2976&lt;&gt;"",AK2976,N(AL2975))</f>
        <v/>
      </c>
    </row>
    <row r="2977">
      <c r="A2977" t="inlineStr">
        <is>
          <t>CON-0992</t>
        </is>
      </c>
      <c r="B2977" t="inlineStr">
        <is>
          <t>Consulting</t>
        </is>
      </c>
      <c r="AB2977" t="n">
        <v>992</v>
      </c>
      <c r="AD2977" s="52">
        <f>IFERROR(N(IFERROR(INDEX($A2977:$AB2977,MATCH("Xero Invoiced Ex GST",$A$1:$AB$1,0)),"")),0)</f>
        <v/>
      </c>
      <c r="AE2977" s="53">
        <f>IFERROR(INDEX($A2977:$AB2977,MATCH("Xero Invoice Date",$A$1:$AB$1,0)),"")</f>
        <v/>
      </c>
      <c r="AF2977" s="54">
        <f>IF(AND(IFERROR(INDEX($A2977:$AB2977,MATCH("Xero Invoice No",$A$1:$AB$1,0)),"")&amp;""&lt;&gt;"",ISNUMBER(AE2977),AD2977&lt;&gt;0),1,0)</f>
        <v/>
      </c>
      <c r="AG2977" s="55">
        <f>IF(AF2977=1,EOMONTH(AE2977,0),"")</f>
        <v/>
      </c>
      <c r="AH2977" s="9">
        <f>IF(AF2977=1,UPPER(TRIM(IFERROR(INDEX($A2977:$AB2977,MATCH("Client",$A$1:$AB$1,0)),"")&amp;"")),"")</f>
        <v/>
      </c>
      <c r="AI2977" s="9">
        <f>IF(AF2977=1,IFERROR(INDEX($A2977:$AB2977,MATCH("Cost Centre",$A$1:$AB$1,0)),"")&amp;"","")</f>
        <v/>
      </c>
      <c r="AJ2977" s="54">
        <f>IF(AND(AF2977=1,AE2977&gt;=set_FYStart,AE2977&lt;=set_AsAt),1,0)</f>
        <v/>
      </c>
      <c r="AK2977" s="54">
        <f>IF(AND(AJ2977=1,AH2977&lt;&gt;"",COUNTIFS($AH$2:AH2977,AH2977,$AJ$2:AJ2977,1)=1),N(AL2976)+1,"")</f>
        <v/>
      </c>
      <c r="AL2977" s="54">
        <f>IF(AK2977&lt;&gt;"",AK2977,N(AL2976))</f>
        <v/>
      </c>
    </row>
    <row r="2978">
      <c r="A2978" t="inlineStr">
        <is>
          <t>ONS-0993</t>
        </is>
      </c>
      <c r="B2978" t="inlineStr">
        <is>
          <t>Onsite</t>
        </is>
      </c>
      <c r="AB2978" t="n">
        <v>993</v>
      </c>
      <c r="AD2978" s="52">
        <f>IFERROR(N(IFERROR(INDEX($A2978:$AB2978,MATCH("Xero Invoiced Ex GST",$A$1:$AB$1,0)),"")),0)</f>
        <v/>
      </c>
      <c r="AE2978" s="53">
        <f>IFERROR(INDEX($A2978:$AB2978,MATCH("Xero Invoice Date",$A$1:$AB$1,0)),"")</f>
        <v/>
      </c>
      <c r="AF2978" s="54">
        <f>IF(AND(IFERROR(INDEX($A2978:$AB2978,MATCH("Xero Invoice No",$A$1:$AB$1,0)),"")&amp;""&lt;&gt;"",ISNUMBER(AE2978),AD2978&lt;&gt;0),1,0)</f>
        <v/>
      </c>
      <c r="AG2978" s="55">
        <f>IF(AF2978=1,EOMONTH(AE2978,0),"")</f>
        <v/>
      </c>
      <c r="AH2978" s="9">
        <f>IF(AF2978=1,UPPER(TRIM(IFERROR(INDEX($A2978:$AB2978,MATCH("Client",$A$1:$AB$1,0)),"")&amp;"")),"")</f>
        <v/>
      </c>
      <c r="AI2978" s="9">
        <f>IF(AF2978=1,IFERROR(INDEX($A2978:$AB2978,MATCH("Cost Centre",$A$1:$AB$1,0)),"")&amp;"","")</f>
        <v/>
      </c>
      <c r="AJ2978" s="54">
        <f>IF(AND(AF2978=1,AE2978&gt;=set_FYStart,AE2978&lt;=set_AsAt),1,0)</f>
        <v/>
      </c>
      <c r="AK2978" s="54">
        <f>IF(AND(AJ2978=1,AH2978&lt;&gt;"",COUNTIFS($AH$2:AH2978,AH2978,$AJ$2:AJ2978,1)=1),N(AL2977)+1,"")</f>
        <v/>
      </c>
      <c r="AL2978" s="54">
        <f>IF(AK2978&lt;&gt;"",AK2978,N(AL2977))</f>
        <v/>
      </c>
    </row>
    <row r="2979">
      <c r="A2979" t="inlineStr">
        <is>
          <t>PRD-0993</t>
        </is>
      </c>
      <c r="B2979" t="inlineStr">
        <is>
          <t>Production</t>
        </is>
      </c>
      <c r="AB2979" t="n">
        <v>993</v>
      </c>
      <c r="AD2979" s="52">
        <f>IFERROR(N(IFERROR(INDEX($A2979:$AB2979,MATCH("Xero Invoiced Ex GST",$A$1:$AB$1,0)),"")),0)</f>
        <v/>
      </c>
      <c r="AE2979" s="53">
        <f>IFERROR(INDEX($A2979:$AB2979,MATCH("Xero Invoice Date",$A$1:$AB$1,0)),"")</f>
        <v/>
      </c>
      <c r="AF2979" s="54">
        <f>IF(AND(IFERROR(INDEX($A2979:$AB2979,MATCH("Xero Invoice No",$A$1:$AB$1,0)),"")&amp;""&lt;&gt;"",ISNUMBER(AE2979),AD2979&lt;&gt;0),1,0)</f>
        <v/>
      </c>
      <c r="AG2979" s="55">
        <f>IF(AF2979=1,EOMONTH(AE2979,0),"")</f>
        <v/>
      </c>
      <c r="AH2979" s="9">
        <f>IF(AF2979=1,UPPER(TRIM(IFERROR(INDEX($A2979:$AB2979,MATCH("Client",$A$1:$AB$1,0)),"")&amp;"")),"")</f>
        <v/>
      </c>
      <c r="AI2979" s="9">
        <f>IF(AF2979=1,IFERROR(INDEX($A2979:$AB2979,MATCH("Cost Centre",$A$1:$AB$1,0)),"")&amp;"","")</f>
        <v/>
      </c>
      <c r="AJ2979" s="54">
        <f>IF(AND(AF2979=1,AE2979&gt;=set_FYStart,AE2979&lt;=set_AsAt),1,0)</f>
        <v/>
      </c>
      <c r="AK2979" s="54">
        <f>IF(AND(AJ2979=1,AH2979&lt;&gt;"",COUNTIFS($AH$2:AH2979,AH2979,$AJ$2:AJ2979,1)=1),N(AL2978)+1,"")</f>
        <v/>
      </c>
      <c r="AL2979" s="54">
        <f>IF(AK2979&lt;&gt;"",AK2979,N(AL2978))</f>
        <v/>
      </c>
    </row>
    <row r="2980">
      <c r="A2980" t="inlineStr">
        <is>
          <t>CON-0993</t>
        </is>
      </c>
      <c r="B2980" t="inlineStr">
        <is>
          <t>Consulting</t>
        </is>
      </c>
      <c r="AB2980" t="n">
        <v>993</v>
      </c>
      <c r="AD2980" s="52">
        <f>IFERROR(N(IFERROR(INDEX($A2980:$AB2980,MATCH("Xero Invoiced Ex GST",$A$1:$AB$1,0)),"")),0)</f>
        <v/>
      </c>
      <c r="AE2980" s="53">
        <f>IFERROR(INDEX($A2980:$AB2980,MATCH("Xero Invoice Date",$A$1:$AB$1,0)),"")</f>
        <v/>
      </c>
      <c r="AF2980" s="54">
        <f>IF(AND(IFERROR(INDEX($A2980:$AB2980,MATCH("Xero Invoice No",$A$1:$AB$1,0)),"")&amp;""&lt;&gt;"",ISNUMBER(AE2980),AD2980&lt;&gt;0),1,0)</f>
        <v/>
      </c>
      <c r="AG2980" s="55">
        <f>IF(AF2980=1,EOMONTH(AE2980,0),"")</f>
        <v/>
      </c>
      <c r="AH2980" s="9">
        <f>IF(AF2980=1,UPPER(TRIM(IFERROR(INDEX($A2980:$AB2980,MATCH("Client",$A$1:$AB$1,0)),"")&amp;"")),"")</f>
        <v/>
      </c>
      <c r="AI2980" s="9">
        <f>IF(AF2980=1,IFERROR(INDEX($A2980:$AB2980,MATCH("Cost Centre",$A$1:$AB$1,0)),"")&amp;"","")</f>
        <v/>
      </c>
      <c r="AJ2980" s="54">
        <f>IF(AND(AF2980=1,AE2980&gt;=set_FYStart,AE2980&lt;=set_AsAt),1,0)</f>
        <v/>
      </c>
      <c r="AK2980" s="54">
        <f>IF(AND(AJ2980=1,AH2980&lt;&gt;"",COUNTIFS($AH$2:AH2980,AH2980,$AJ$2:AJ2980,1)=1),N(AL2979)+1,"")</f>
        <v/>
      </c>
      <c r="AL2980" s="54">
        <f>IF(AK2980&lt;&gt;"",AK2980,N(AL2979))</f>
        <v/>
      </c>
    </row>
    <row r="2981">
      <c r="A2981" t="inlineStr">
        <is>
          <t>ONS-0994</t>
        </is>
      </c>
      <c r="B2981" t="inlineStr">
        <is>
          <t>Onsite</t>
        </is>
      </c>
      <c r="AB2981" t="n">
        <v>994</v>
      </c>
      <c r="AD2981" s="52">
        <f>IFERROR(N(IFERROR(INDEX($A2981:$AB2981,MATCH("Xero Invoiced Ex GST",$A$1:$AB$1,0)),"")),0)</f>
        <v/>
      </c>
      <c r="AE2981" s="53">
        <f>IFERROR(INDEX($A2981:$AB2981,MATCH("Xero Invoice Date",$A$1:$AB$1,0)),"")</f>
        <v/>
      </c>
      <c r="AF2981" s="54">
        <f>IF(AND(IFERROR(INDEX($A2981:$AB2981,MATCH("Xero Invoice No",$A$1:$AB$1,0)),"")&amp;""&lt;&gt;"",ISNUMBER(AE2981),AD2981&lt;&gt;0),1,0)</f>
        <v/>
      </c>
      <c r="AG2981" s="55">
        <f>IF(AF2981=1,EOMONTH(AE2981,0),"")</f>
        <v/>
      </c>
      <c r="AH2981" s="9">
        <f>IF(AF2981=1,UPPER(TRIM(IFERROR(INDEX($A2981:$AB2981,MATCH("Client",$A$1:$AB$1,0)),"")&amp;"")),"")</f>
        <v/>
      </c>
      <c r="AI2981" s="9">
        <f>IF(AF2981=1,IFERROR(INDEX($A2981:$AB2981,MATCH("Cost Centre",$A$1:$AB$1,0)),"")&amp;"","")</f>
        <v/>
      </c>
      <c r="AJ2981" s="54">
        <f>IF(AND(AF2981=1,AE2981&gt;=set_FYStart,AE2981&lt;=set_AsAt),1,0)</f>
        <v/>
      </c>
      <c r="AK2981" s="54">
        <f>IF(AND(AJ2981=1,AH2981&lt;&gt;"",COUNTIFS($AH$2:AH2981,AH2981,$AJ$2:AJ2981,1)=1),N(AL2980)+1,"")</f>
        <v/>
      </c>
      <c r="AL2981" s="54">
        <f>IF(AK2981&lt;&gt;"",AK2981,N(AL2980))</f>
        <v/>
      </c>
    </row>
    <row r="2982">
      <c r="A2982" t="inlineStr">
        <is>
          <t>PRD-0994</t>
        </is>
      </c>
      <c r="B2982" t="inlineStr">
        <is>
          <t>Production</t>
        </is>
      </c>
      <c r="AB2982" t="n">
        <v>994</v>
      </c>
      <c r="AD2982" s="52">
        <f>IFERROR(N(IFERROR(INDEX($A2982:$AB2982,MATCH("Xero Invoiced Ex GST",$A$1:$AB$1,0)),"")),0)</f>
        <v/>
      </c>
      <c r="AE2982" s="53">
        <f>IFERROR(INDEX($A2982:$AB2982,MATCH("Xero Invoice Date",$A$1:$AB$1,0)),"")</f>
        <v/>
      </c>
      <c r="AF2982" s="54">
        <f>IF(AND(IFERROR(INDEX($A2982:$AB2982,MATCH("Xero Invoice No",$A$1:$AB$1,0)),"")&amp;""&lt;&gt;"",ISNUMBER(AE2982),AD2982&lt;&gt;0),1,0)</f>
        <v/>
      </c>
      <c r="AG2982" s="55">
        <f>IF(AF2982=1,EOMONTH(AE2982,0),"")</f>
        <v/>
      </c>
      <c r="AH2982" s="9">
        <f>IF(AF2982=1,UPPER(TRIM(IFERROR(INDEX($A2982:$AB2982,MATCH("Client",$A$1:$AB$1,0)),"")&amp;"")),"")</f>
        <v/>
      </c>
      <c r="AI2982" s="9">
        <f>IF(AF2982=1,IFERROR(INDEX($A2982:$AB2982,MATCH("Cost Centre",$A$1:$AB$1,0)),"")&amp;"","")</f>
        <v/>
      </c>
      <c r="AJ2982" s="54">
        <f>IF(AND(AF2982=1,AE2982&gt;=set_FYStart,AE2982&lt;=set_AsAt),1,0)</f>
        <v/>
      </c>
      <c r="AK2982" s="54">
        <f>IF(AND(AJ2982=1,AH2982&lt;&gt;"",COUNTIFS($AH$2:AH2982,AH2982,$AJ$2:AJ2982,1)=1),N(AL2981)+1,"")</f>
        <v/>
      </c>
      <c r="AL2982" s="54">
        <f>IF(AK2982&lt;&gt;"",AK2982,N(AL2981))</f>
        <v/>
      </c>
    </row>
    <row r="2983">
      <c r="A2983" t="inlineStr">
        <is>
          <t>CON-0994</t>
        </is>
      </c>
      <c r="B2983" t="inlineStr">
        <is>
          <t>Consulting</t>
        </is>
      </c>
      <c r="AB2983" t="n">
        <v>994</v>
      </c>
      <c r="AD2983" s="52">
        <f>IFERROR(N(IFERROR(INDEX($A2983:$AB2983,MATCH("Xero Invoiced Ex GST",$A$1:$AB$1,0)),"")),0)</f>
        <v/>
      </c>
      <c r="AE2983" s="53">
        <f>IFERROR(INDEX($A2983:$AB2983,MATCH("Xero Invoice Date",$A$1:$AB$1,0)),"")</f>
        <v/>
      </c>
      <c r="AF2983" s="54">
        <f>IF(AND(IFERROR(INDEX($A2983:$AB2983,MATCH("Xero Invoice No",$A$1:$AB$1,0)),"")&amp;""&lt;&gt;"",ISNUMBER(AE2983),AD2983&lt;&gt;0),1,0)</f>
        <v/>
      </c>
      <c r="AG2983" s="55">
        <f>IF(AF2983=1,EOMONTH(AE2983,0),"")</f>
        <v/>
      </c>
      <c r="AH2983" s="9">
        <f>IF(AF2983=1,UPPER(TRIM(IFERROR(INDEX($A2983:$AB2983,MATCH("Client",$A$1:$AB$1,0)),"")&amp;"")),"")</f>
        <v/>
      </c>
      <c r="AI2983" s="9">
        <f>IF(AF2983=1,IFERROR(INDEX($A2983:$AB2983,MATCH("Cost Centre",$A$1:$AB$1,0)),"")&amp;"","")</f>
        <v/>
      </c>
      <c r="AJ2983" s="54">
        <f>IF(AND(AF2983=1,AE2983&gt;=set_FYStart,AE2983&lt;=set_AsAt),1,0)</f>
        <v/>
      </c>
      <c r="AK2983" s="54">
        <f>IF(AND(AJ2983=1,AH2983&lt;&gt;"",COUNTIFS($AH$2:AH2983,AH2983,$AJ$2:AJ2983,1)=1),N(AL2982)+1,"")</f>
        <v/>
      </c>
      <c r="AL2983" s="54">
        <f>IF(AK2983&lt;&gt;"",AK2983,N(AL2982))</f>
        <v/>
      </c>
    </row>
    <row r="2984">
      <c r="A2984" t="inlineStr">
        <is>
          <t>ONS-0995</t>
        </is>
      </c>
      <c r="B2984" t="inlineStr">
        <is>
          <t>Onsite</t>
        </is>
      </c>
      <c r="AB2984" t="n">
        <v>995</v>
      </c>
      <c r="AD2984" s="52">
        <f>IFERROR(N(IFERROR(INDEX($A2984:$AB2984,MATCH("Xero Invoiced Ex GST",$A$1:$AB$1,0)),"")),0)</f>
        <v/>
      </c>
      <c r="AE2984" s="53">
        <f>IFERROR(INDEX($A2984:$AB2984,MATCH("Xero Invoice Date",$A$1:$AB$1,0)),"")</f>
        <v/>
      </c>
      <c r="AF2984" s="54">
        <f>IF(AND(IFERROR(INDEX($A2984:$AB2984,MATCH("Xero Invoice No",$A$1:$AB$1,0)),"")&amp;""&lt;&gt;"",ISNUMBER(AE2984),AD2984&lt;&gt;0),1,0)</f>
        <v/>
      </c>
      <c r="AG2984" s="55">
        <f>IF(AF2984=1,EOMONTH(AE2984,0),"")</f>
        <v/>
      </c>
      <c r="AH2984" s="9">
        <f>IF(AF2984=1,UPPER(TRIM(IFERROR(INDEX($A2984:$AB2984,MATCH("Client",$A$1:$AB$1,0)),"")&amp;"")),"")</f>
        <v/>
      </c>
      <c r="AI2984" s="9">
        <f>IF(AF2984=1,IFERROR(INDEX($A2984:$AB2984,MATCH("Cost Centre",$A$1:$AB$1,0)),"")&amp;"","")</f>
        <v/>
      </c>
      <c r="AJ2984" s="54">
        <f>IF(AND(AF2984=1,AE2984&gt;=set_FYStart,AE2984&lt;=set_AsAt),1,0)</f>
        <v/>
      </c>
      <c r="AK2984" s="54">
        <f>IF(AND(AJ2984=1,AH2984&lt;&gt;"",COUNTIFS($AH$2:AH2984,AH2984,$AJ$2:AJ2984,1)=1),N(AL2983)+1,"")</f>
        <v/>
      </c>
      <c r="AL2984" s="54">
        <f>IF(AK2984&lt;&gt;"",AK2984,N(AL2983))</f>
        <v/>
      </c>
    </row>
    <row r="2985">
      <c r="A2985" t="inlineStr">
        <is>
          <t>PRD-0995</t>
        </is>
      </c>
      <c r="B2985" t="inlineStr">
        <is>
          <t>Production</t>
        </is>
      </c>
      <c r="AB2985" t="n">
        <v>995</v>
      </c>
      <c r="AD2985" s="52">
        <f>IFERROR(N(IFERROR(INDEX($A2985:$AB2985,MATCH("Xero Invoiced Ex GST",$A$1:$AB$1,0)),"")),0)</f>
        <v/>
      </c>
      <c r="AE2985" s="53">
        <f>IFERROR(INDEX($A2985:$AB2985,MATCH("Xero Invoice Date",$A$1:$AB$1,0)),"")</f>
        <v/>
      </c>
      <c r="AF2985" s="54">
        <f>IF(AND(IFERROR(INDEX($A2985:$AB2985,MATCH("Xero Invoice No",$A$1:$AB$1,0)),"")&amp;""&lt;&gt;"",ISNUMBER(AE2985),AD2985&lt;&gt;0),1,0)</f>
        <v/>
      </c>
      <c r="AG2985" s="55">
        <f>IF(AF2985=1,EOMONTH(AE2985,0),"")</f>
        <v/>
      </c>
      <c r="AH2985" s="9">
        <f>IF(AF2985=1,UPPER(TRIM(IFERROR(INDEX($A2985:$AB2985,MATCH("Client",$A$1:$AB$1,0)),"")&amp;"")),"")</f>
        <v/>
      </c>
      <c r="AI2985" s="9">
        <f>IF(AF2985=1,IFERROR(INDEX($A2985:$AB2985,MATCH("Cost Centre",$A$1:$AB$1,0)),"")&amp;"","")</f>
        <v/>
      </c>
      <c r="AJ2985" s="54">
        <f>IF(AND(AF2985=1,AE2985&gt;=set_FYStart,AE2985&lt;=set_AsAt),1,0)</f>
        <v/>
      </c>
      <c r="AK2985" s="54">
        <f>IF(AND(AJ2985=1,AH2985&lt;&gt;"",COUNTIFS($AH$2:AH2985,AH2985,$AJ$2:AJ2985,1)=1),N(AL2984)+1,"")</f>
        <v/>
      </c>
      <c r="AL2985" s="54">
        <f>IF(AK2985&lt;&gt;"",AK2985,N(AL2984))</f>
        <v/>
      </c>
    </row>
    <row r="2986">
      <c r="A2986" t="inlineStr">
        <is>
          <t>CON-0995</t>
        </is>
      </c>
      <c r="B2986" t="inlineStr">
        <is>
          <t>Consulting</t>
        </is>
      </c>
      <c r="AB2986" t="n">
        <v>995</v>
      </c>
      <c r="AD2986" s="52">
        <f>IFERROR(N(IFERROR(INDEX($A2986:$AB2986,MATCH("Xero Invoiced Ex GST",$A$1:$AB$1,0)),"")),0)</f>
        <v/>
      </c>
      <c r="AE2986" s="53">
        <f>IFERROR(INDEX($A2986:$AB2986,MATCH("Xero Invoice Date",$A$1:$AB$1,0)),"")</f>
        <v/>
      </c>
      <c r="AF2986" s="54">
        <f>IF(AND(IFERROR(INDEX($A2986:$AB2986,MATCH("Xero Invoice No",$A$1:$AB$1,0)),"")&amp;""&lt;&gt;"",ISNUMBER(AE2986),AD2986&lt;&gt;0),1,0)</f>
        <v/>
      </c>
      <c r="AG2986" s="55">
        <f>IF(AF2986=1,EOMONTH(AE2986,0),"")</f>
        <v/>
      </c>
      <c r="AH2986" s="9">
        <f>IF(AF2986=1,UPPER(TRIM(IFERROR(INDEX($A2986:$AB2986,MATCH("Client",$A$1:$AB$1,0)),"")&amp;"")),"")</f>
        <v/>
      </c>
      <c r="AI2986" s="9">
        <f>IF(AF2986=1,IFERROR(INDEX($A2986:$AB2986,MATCH("Cost Centre",$A$1:$AB$1,0)),"")&amp;"","")</f>
        <v/>
      </c>
      <c r="AJ2986" s="54">
        <f>IF(AND(AF2986=1,AE2986&gt;=set_FYStart,AE2986&lt;=set_AsAt),1,0)</f>
        <v/>
      </c>
      <c r="AK2986" s="54">
        <f>IF(AND(AJ2986=1,AH2986&lt;&gt;"",COUNTIFS($AH$2:AH2986,AH2986,$AJ$2:AJ2986,1)=1),N(AL2985)+1,"")</f>
        <v/>
      </c>
      <c r="AL2986" s="54">
        <f>IF(AK2986&lt;&gt;"",AK2986,N(AL2985))</f>
        <v/>
      </c>
    </row>
    <row r="2987">
      <c r="A2987" t="inlineStr">
        <is>
          <t>ONS-0996</t>
        </is>
      </c>
      <c r="B2987" t="inlineStr">
        <is>
          <t>Onsite</t>
        </is>
      </c>
      <c r="AB2987" t="n">
        <v>996</v>
      </c>
      <c r="AD2987" s="52">
        <f>IFERROR(N(IFERROR(INDEX($A2987:$AB2987,MATCH("Xero Invoiced Ex GST",$A$1:$AB$1,0)),"")),0)</f>
        <v/>
      </c>
      <c r="AE2987" s="53">
        <f>IFERROR(INDEX($A2987:$AB2987,MATCH("Xero Invoice Date",$A$1:$AB$1,0)),"")</f>
        <v/>
      </c>
      <c r="AF2987" s="54">
        <f>IF(AND(IFERROR(INDEX($A2987:$AB2987,MATCH("Xero Invoice No",$A$1:$AB$1,0)),"")&amp;""&lt;&gt;"",ISNUMBER(AE2987),AD2987&lt;&gt;0),1,0)</f>
        <v/>
      </c>
      <c r="AG2987" s="55">
        <f>IF(AF2987=1,EOMONTH(AE2987,0),"")</f>
        <v/>
      </c>
      <c r="AH2987" s="9">
        <f>IF(AF2987=1,UPPER(TRIM(IFERROR(INDEX($A2987:$AB2987,MATCH("Client",$A$1:$AB$1,0)),"")&amp;"")),"")</f>
        <v/>
      </c>
      <c r="AI2987" s="9">
        <f>IF(AF2987=1,IFERROR(INDEX($A2987:$AB2987,MATCH("Cost Centre",$A$1:$AB$1,0)),"")&amp;"","")</f>
        <v/>
      </c>
      <c r="AJ2987" s="54">
        <f>IF(AND(AF2987=1,AE2987&gt;=set_FYStart,AE2987&lt;=set_AsAt),1,0)</f>
        <v/>
      </c>
      <c r="AK2987" s="54">
        <f>IF(AND(AJ2987=1,AH2987&lt;&gt;"",COUNTIFS($AH$2:AH2987,AH2987,$AJ$2:AJ2987,1)=1),N(AL2986)+1,"")</f>
        <v/>
      </c>
      <c r="AL2987" s="54">
        <f>IF(AK2987&lt;&gt;"",AK2987,N(AL2986))</f>
        <v/>
      </c>
    </row>
    <row r="2988">
      <c r="A2988" t="inlineStr">
        <is>
          <t>PRD-0996</t>
        </is>
      </c>
      <c r="B2988" t="inlineStr">
        <is>
          <t>Production</t>
        </is>
      </c>
      <c r="AB2988" t="n">
        <v>996</v>
      </c>
      <c r="AD2988" s="52">
        <f>IFERROR(N(IFERROR(INDEX($A2988:$AB2988,MATCH("Xero Invoiced Ex GST",$A$1:$AB$1,0)),"")),0)</f>
        <v/>
      </c>
      <c r="AE2988" s="53">
        <f>IFERROR(INDEX($A2988:$AB2988,MATCH("Xero Invoice Date",$A$1:$AB$1,0)),"")</f>
        <v/>
      </c>
      <c r="AF2988" s="54">
        <f>IF(AND(IFERROR(INDEX($A2988:$AB2988,MATCH("Xero Invoice No",$A$1:$AB$1,0)),"")&amp;""&lt;&gt;"",ISNUMBER(AE2988),AD2988&lt;&gt;0),1,0)</f>
        <v/>
      </c>
      <c r="AG2988" s="55">
        <f>IF(AF2988=1,EOMONTH(AE2988,0),"")</f>
        <v/>
      </c>
      <c r="AH2988" s="9">
        <f>IF(AF2988=1,UPPER(TRIM(IFERROR(INDEX($A2988:$AB2988,MATCH("Client",$A$1:$AB$1,0)),"")&amp;"")),"")</f>
        <v/>
      </c>
      <c r="AI2988" s="9">
        <f>IF(AF2988=1,IFERROR(INDEX($A2988:$AB2988,MATCH("Cost Centre",$A$1:$AB$1,0)),"")&amp;"","")</f>
        <v/>
      </c>
      <c r="AJ2988" s="54">
        <f>IF(AND(AF2988=1,AE2988&gt;=set_FYStart,AE2988&lt;=set_AsAt),1,0)</f>
        <v/>
      </c>
      <c r="AK2988" s="54">
        <f>IF(AND(AJ2988=1,AH2988&lt;&gt;"",COUNTIFS($AH$2:AH2988,AH2988,$AJ$2:AJ2988,1)=1),N(AL2987)+1,"")</f>
        <v/>
      </c>
      <c r="AL2988" s="54">
        <f>IF(AK2988&lt;&gt;"",AK2988,N(AL2987))</f>
        <v/>
      </c>
    </row>
    <row r="2989">
      <c r="A2989" t="inlineStr">
        <is>
          <t>CON-0996</t>
        </is>
      </c>
      <c r="B2989" t="inlineStr">
        <is>
          <t>Consulting</t>
        </is>
      </c>
      <c r="AB2989" t="n">
        <v>996</v>
      </c>
      <c r="AD2989" s="52">
        <f>IFERROR(N(IFERROR(INDEX($A2989:$AB2989,MATCH("Xero Invoiced Ex GST",$A$1:$AB$1,0)),"")),0)</f>
        <v/>
      </c>
      <c r="AE2989" s="53">
        <f>IFERROR(INDEX($A2989:$AB2989,MATCH("Xero Invoice Date",$A$1:$AB$1,0)),"")</f>
        <v/>
      </c>
      <c r="AF2989" s="54">
        <f>IF(AND(IFERROR(INDEX($A2989:$AB2989,MATCH("Xero Invoice No",$A$1:$AB$1,0)),"")&amp;""&lt;&gt;"",ISNUMBER(AE2989),AD2989&lt;&gt;0),1,0)</f>
        <v/>
      </c>
      <c r="AG2989" s="55">
        <f>IF(AF2989=1,EOMONTH(AE2989,0),"")</f>
        <v/>
      </c>
      <c r="AH2989" s="9">
        <f>IF(AF2989=1,UPPER(TRIM(IFERROR(INDEX($A2989:$AB2989,MATCH("Client",$A$1:$AB$1,0)),"")&amp;"")),"")</f>
        <v/>
      </c>
      <c r="AI2989" s="9">
        <f>IF(AF2989=1,IFERROR(INDEX($A2989:$AB2989,MATCH("Cost Centre",$A$1:$AB$1,0)),"")&amp;"","")</f>
        <v/>
      </c>
      <c r="AJ2989" s="54">
        <f>IF(AND(AF2989=1,AE2989&gt;=set_FYStart,AE2989&lt;=set_AsAt),1,0)</f>
        <v/>
      </c>
      <c r="AK2989" s="54">
        <f>IF(AND(AJ2989=1,AH2989&lt;&gt;"",COUNTIFS($AH$2:AH2989,AH2989,$AJ$2:AJ2989,1)=1),N(AL2988)+1,"")</f>
        <v/>
      </c>
      <c r="AL2989" s="54">
        <f>IF(AK2989&lt;&gt;"",AK2989,N(AL2988))</f>
        <v/>
      </c>
    </row>
    <row r="2990">
      <c r="A2990" t="inlineStr">
        <is>
          <t>ONS-0997</t>
        </is>
      </c>
      <c r="B2990" t="inlineStr">
        <is>
          <t>Onsite</t>
        </is>
      </c>
      <c r="AB2990" t="n">
        <v>997</v>
      </c>
      <c r="AD2990" s="52">
        <f>IFERROR(N(IFERROR(INDEX($A2990:$AB2990,MATCH("Xero Invoiced Ex GST",$A$1:$AB$1,0)),"")),0)</f>
        <v/>
      </c>
      <c r="AE2990" s="53">
        <f>IFERROR(INDEX($A2990:$AB2990,MATCH("Xero Invoice Date",$A$1:$AB$1,0)),"")</f>
        <v/>
      </c>
      <c r="AF2990" s="54">
        <f>IF(AND(IFERROR(INDEX($A2990:$AB2990,MATCH("Xero Invoice No",$A$1:$AB$1,0)),"")&amp;""&lt;&gt;"",ISNUMBER(AE2990),AD2990&lt;&gt;0),1,0)</f>
        <v/>
      </c>
      <c r="AG2990" s="55">
        <f>IF(AF2990=1,EOMONTH(AE2990,0),"")</f>
        <v/>
      </c>
      <c r="AH2990" s="9">
        <f>IF(AF2990=1,UPPER(TRIM(IFERROR(INDEX($A2990:$AB2990,MATCH("Client",$A$1:$AB$1,0)),"")&amp;"")),"")</f>
        <v/>
      </c>
      <c r="AI2990" s="9">
        <f>IF(AF2990=1,IFERROR(INDEX($A2990:$AB2990,MATCH("Cost Centre",$A$1:$AB$1,0)),"")&amp;"","")</f>
        <v/>
      </c>
      <c r="AJ2990" s="54">
        <f>IF(AND(AF2990=1,AE2990&gt;=set_FYStart,AE2990&lt;=set_AsAt),1,0)</f>
        <v/>
      </c>
      <c r="AK2990" s="54">
        <f>IF(AND(AJ2990=1,AH2990&lt;&gt;"",COUNTIFS($AH$2:AH2990,AH2990,$AJ$2:AJ2990,1)=1),N(AL2989)+1,"")</f>
        <v/>
      </c>
      <c r="AL2990" s="54">
        <f>IF(AK2990&lt;&gt;"",AK2990,N(AL2989))</f>
        <v/>
      </c>
    </row>
    <row r="2991">
      <c r="A2991" t="inlineStr">
        <is>
          <t>PRD-0997</t>
        </is>
      </c>
      <c r="B2991" t="inlineStr">
        <is>
          <t>Production</t>
        </is>
      </c>
      <c r="AB2991" t="n">
        <v>997</v>
      </c>
      <c r="AD2991" s="52">
        <f>IFERROR(N(IFERROR(INDEX($A2991:$AB2991,MATCH("Xero Invoiced Ex GST",$A$1:$AB$1,0)),"")),0)</f>
        <v/>
      </c>
      <c r="AE2991" s="53">
        <f>IFERROR(INDEX($A2991:$AB2991,MATCH("Xero Invoice Date",$A$1:$AB$1,0)),"")</f>
        <v/>
      </c>
      <c r="AF2991" s="54">
        <f>IF(AND(IFERROR(INDEX($A2991:$AB2991,MATCH("Xero Invoice No",$A$1:$AB$1,0)),"")&amp;""&lt;&gt;"",ISNUMBER(AE2991),AD2991&lt;&gt;0),1,0)</f>
        <v/>
      </c>
      <c r="AG2991" s="55">
        <f>IF(AF2991=1,EOMONTH(AE2991,0),"")</f>
        <v/>
      </c>
      <c r="AH2991" s="9">
        <f>IF(AF2991=1,UPPER(TRIM(IFERROR(INDEX($A2991:$AB2991,MATCH("Client",$A$1:$AB$1,0)),"")&amp;"")),"")</f>
        <v/>
      </c>
      <c r="AI2991" s="9">
        <f>IF(AF2991=1,IFERROR(INDEX($A2991:$AB2991,MATCH("Cost Centre",$A$1:$AB$1,0)),"")&amp;"","")</f>
        <v/>
      </c>
      <c r="AJ2991" s="54">
        <f>IF(AND(AF2991=1,AE2991&gt;=set_FYStart,AE2991&lt;=set_AsAt),1,0)</f>
        <v/>
      </c>
      <c r="AK2991" s="54">
        <f>IF(AND(AJ2991=1,AH2991&lt;&gt;"",COUNTIFS($AH$2:AH2991,AH2991,$AJ$2:AJ2991,1)=1),N(AL2990)+1,"")</f>
        <v/>
      </c>
      <c r="AL2991" s="54">
        <f>IF(AK2991&lt;&gt;"",AK2991,N(AL2990))</f>
        <v/>
      </c>
    </row>
    <row r="2992">
      <c r="A2992" t="inlineStr">
        <is>
          <t>CON-0997</t>
        </is>
      </c>
      <c r="B2992" t="inlineStr">
        <is>
          <t>Consulting</t>
        </is>
      </c>
      <c r="AB2992" t="n">
        <v>997</v>
      </c>
      <c r="AD2992" s="52">
        <f>IFERROR(N(IFERROR(INDEX($A2992:$AB2992,MATCH("Xero Invoiced Ex GST",$A$1:$AB$1,0)),"")),0)</f>
        <v/>
      </c>
      <c r="AE2992" s="53">
        <f>IFERROR(INDEX($A2992:$AB2992,MATCH("Xero Invoice Date",$A$1:$AB$1,0)),"")</f>
        <v/>
      </c>
      <c r="AF2992" s="54">
        <f>IF(AND(IFERROR(INDEX($A2992:$AB2992,MATCH("Xero Invoice No",$A$1:$AB$1,0)),"")&amp;""&lt;&gt;"",ISNUMBER(AE2992),AD2992&lt;&gt;0),1,0)</f>
        <v/>
      </c>
      <c r="AG2992" s="55">
        <f>IF(AF2992=1,EOMONTH(AE2992,0),"")</f>
        <v/>
      </c>
      <c r="AH2992" s="9">
        <f>IF(AF2992=1,UPPER(TRIM(IFERROR(INDEX($A2992:$AB2992,MATCH("Client",$A$1:$AB$1,0)),"")&amp;"")),"")</f>
        <v/>
      </c>
      <c r="AI2992" s="9">
        <f>IF(AF2992=1,IFERROR(INDEX($A2992:$AB2992,MATCH("Cost Centre",$A$1:$AB$1,0)),"")&amp;"","")</f>
        <v/>
      </c>
      <c r="AJ2992" s="54">
        <f>IF(AND(AF2992=1,AE2992&gt;=set_FYStart,AE2992&lt;=set_AsAt),1,0)</f>
        <v/>
      </c>
      <c r="AK2992" s="54">
        <f>IF(AND(AJ2992=1,AH2992&lt;&gt;"",COUNTIFS($AH$2:AH2992,AH2992,$AJ$2:AJ2992,1)=1),N(AL2991)+1,"")</f>
        <v/>
      </c>
      <c r="AL2992" s="54">
        <f>IF(AK2992&lt;&gt;"",AK2992,N(AL2991))</f>
        <v/>
      </c>
    </row>
    <row r="2993">
      <c r="A2993" t="inlineStr">
        <is>
          <t>ONS-0998</t>
        </is>
      </c>
      <c r="B2993" t="inlineStr">
        <is>
          <t>Onsite</t>
        </is>
      </c>
      <c r="AB2993" t="n">
        <v>998</v>
      </c>
      <c r="AD2993" s="52">
        <f>IFERROR(N(IFERROR(INDEX($A2993:$AB2993,MATCH("Xero Invoiced Ex GST",$A$1:$AB$1,0)),"")),0)</f>
        <v/>
      </c>
      <c r="AE2993" s="53">
        <f>IFERROR(INDEX($A2993:$AB2993,MATCH("Xero Invoice Date",$A$1:$AB$1,0)),"")</f>
        <v/>
      </c>
      <c r="AF2993" s="54">
        <f>IF(AND(IFERROR(INDEX($A2993:$AB2993,MATCH("Xero Invoice No",$A$1:$AB$1,0)),"")&amp;""&lt;&gt;"",ISNUMBER(AE2993),AD2993&lt;&gt;0),1,0)</f>
        <v/>
      </c>
      <c r="AG2993" s="55">
        <f>IF(AF2993=1,EOMONTH(AE2993,0),"")</f>
        <v/>
      </c>
      <c r="AH2993" s="9">
        <f>IF(AF2993=1,UPPER(TRIM(IFERROR(INDEX($A2993:$AB2993,MATCH("Client",$A$1:$AB$1,0)),"")&amp;"")),"")</f>
        <v/>
      </c>
      <c r="AI2993" s="9">
        <f>IF(AF2993=1,IFERROR(INDEX($A2993:$AB2993,MATCH("Cost Centre",$A$1:$AB$1,0)),"")&amp;"","")</f>
        <v/>
      </c>
      <c r="AJ2993" s="54">
        <f>IF(AND(AF2993=1,AE2993&gt;=set_FYStart,AE2993&lt;=set_AsAt),1,0)</f>
        <v/>
      </c>
      <c r="AK2993" s="54">
        <f>IF(AND(AJ2993=1,AH2993&lt;&gt;"",COUNTIFS($AH$2:AH2993,AH2993,$AJ$2:AJ2993,1)=1),N(AL2992)+1,"")</f>
        <v/>
      </c>
      <c r="AL2993" s="54">
        <f>IF(AK2993&lt;&gt;"",AK2993,N(AL2992))</f>
        <v/>
      </c>
    </row>
    <row r="2994">
      <c r="A2994" t="inlineStr">
        <is>
          <t>PRD-0998</t>
        </is>
      </c>
      <c r="B2994" t="inlineStr">
        <is>
          <t>Production</t>
        </is>
      </c>
      <c r="AB2994" t="n">
        <v>998</v>
      </c>
      <c r="AD2994" s="52">
        <f>IFERROR(N(IFERROR(INDEX($A2994:$AB2994,MATCH("Xero Invoiced Ex GST",$A$1:$AB$1,0)),"")),0)</f>
        <v/>
      </c>
      <c r="AE2994" s="53">
        <f>IFERROR(INDEX($A2994:$AB2994,MATCH("Xero Invoice Date",$A$1:$AB$1,0)),"")</f>
        <v/>
      </c>
      <c r="AF2994" s="54">
        <f>IF(AND(IFERROR(INDEX($A2994:$AB2994,MATCH("Xero Invoice No",$A$1:$AB$1,0)),"")&amp;""&lt;&gt;"",ISNUMBER(AE2994),AD2994&lt;&gt;0),1,0)</f>
        <v/>
      </c>
      <c r="AG2994" s="55">
        <f>IF(AF2994=1,EOMONTH(AE2994,0),"")</f>
        <v/>
      </c>
      <c r="AH2994" s="9">
        <f>IF(AF2994=1,UPPER(TRIM(IFERROR(INDEX($A2994:$AB2994,MATCH("Client",$A$1:$AB$1,0)),"")&amp;"")),"")</f>
        <v/>
      </c>
      <c r="AI2994" s="9">
        <f>IF(AF2994=1,IFERROR(INDEX($A2994:$AB2994,MATCH("Cost Centre",$A$1:$AB$1,0)),"")&amp;"","")</f>
        <v/>
      </c>
      <c r="AJ2994" s="54">
        <f>IF(AND(AF2994=1,AE2994&gt;=set_FYStart,AE2994&lt;=set_AsAt),1,0)</f>
        <v/>
      </c>
      <c r="AK2994" s="54">
        <f>IF(AND(AJ2994=1,AH2994&lt;&gt;"",COUNTIFS($AH$2:AH2994,AH2994,$AJ$2:AJ2994,1)=1),N(AL2993)+1,"")</f>
        <v/>
      </c>
      <c r="AL2994" s="54">
        <f>IF(AK2994&lt;&gt;"",AK2994,N(AL2993))</f>
        <v/>
      </c>
    </row>
    <row r="2995">
      <c r="A2995" t="inlineStr">
        <is>
          <t>CON-0998</t>
        </is>
      </c>
      <c r="B2995" t="inlineStr">
        <is>
          <t>Consulting</t>
        </is>
      </c>
      <c r="AB2995" t="n">
        <v>998</v>
      </c>
      <c r="AD2995" s="52">
        <f>IFERROR(N(IFERROR(INDEX($A2995:$AB2995,MATCH("Xero Invoiced Ex GST",$A$1:$AB$1,0)),"")),0)</f>
        <v/>
      </c>
      <c r="AE2995" s="53">
        <f>IFERROR(INDEX($A2995:$AB2995,MATCH("Xero Invoice Date",$A$1:$AB$1,0)),"")</f>
        <v/>
      </c>
      <c r="AF2995" s="54">
        <f>IF(AND(IFERROR(INDEX($A2995:$AB2995,MATCH("Xero Invoice No",$A$1:$AB$1,0)),"")&amp;""&lt;&gt;"",ISNUMBER(AE2995),AD2995&lt;&gt;0),1,0)</f>
        <v/>
      </c>
      <c r="AG2995" s="55">
        <f>IF(AF2995=1,EOMONTH(AE2995,0),"")</f>
        <v/>
      </c>
      <c r="AH2995" s="9">
        <f>IF(AF2995=1,UPPER(TRIM(IFERROR(INDEX($A2995:$AB2995,MATCH("Client",$A$1:$AB$1,0)),"")&amp;"")),"")</f>
        <v/>
      </c>
      <c r="AI2995" s="9">
        <f>IF(AF2995=1,IFERROR(INDEX($A2995:$AB2995,MATCH("Cost Centre",$A$1:$AB$1,0)),"")&amp;"","")</f>
        <v/>
      </c>
      <c r="AJ2995" s="54">
        <f>IF(AND(AF2995=1,AE2995&gt;=set_FYStart,AE2995&lt;=set_AsAt),1,0)</f>
        <v/>
      </c>
      <c r="AK2995" s="54">
        <f>IF(AND(AJ2995=1,AH2995&lt;&gt;"",COUNTIFS($AH$2:AH2995,AH2995,$AJ$2:AJ2995,1)=1),N(AL2994)+1,"")</f>
        <v/>
      </c>
      <c r="AL2995" s="54">
        <f>IF(AK2995&lt;&gt;"",AK2995,N(AL2994))</f>
        <v/>
      </c>
    </row>
    <row r="2996">
      <c r="A2996" t="inlineStr">
        <is>
          <t>ONS-0999</t>
        </is>
      </c>
      <c r="B2996" t="inlineStr">
        <is>
          <t>Onsite</t>
        </is>
      </c>
      <c r="AB2996" t="n">
        <v>999</v>
      </c>
      <c r="AD2996" s="52">
        <f>IFERROR(N(IFERROR(INDEX($A2996:$AB2996,MATCH("Xero Invoiced Ex GST",$A$1:$AB$1,0)),"")),0)</f>
        <v/>
      </c>
      <c r="AE2996" s="53">
        <f>IFERROR(INDEX($A2996:$AB2996,MATCH("Xero Invoice Date",$A$1:$AB$1,0)),"")</f>
        <v/>
      </c>
      <c r="AF2996" s="54">
        <f>IF(AND(IFERROR(INDEX($A2996:$AB2996,MATCH("Xero Invoice No",$A$1:$AB$1,0)),"")&amp;""&lt;&gt;"",ISNUMBER(AE2996),AD2996&lt;&gt;0),1,0)</f>
        <v/>
      </c>
      <c r="AG2996" s="55">
        <f>IF(AF2996=1,EOMONTH(AE2996,0),"")</f>
        <v/>
      </c>
      <c r="AH2996" s="9">
        <f>IF(AF2996=1,UPPER(TRIM(IFERROR(INDEX($A2996:$AB2996,MATCH("Client",$A$1:$AB$1,0)),"")&amp;"")),"")</f>
        <v/>
      </c>
      <c r="AI2996" s="9">
        <f>IF(AF2996=1,IFERROR(INDEX($A2996:$AB2996,MATCH("Cost Centre",$A$1:$AB$1,0)),"")&amp;"","")</f>
        <v/>
      </c>
      <c r="AJ2996" s="54">
        <f>IF(AND(AF2996=1,AE2996&gt;=set_FYStart,AE2996&lt;=set_AsAt),1,0)</f>
        <v/>
      </c>
      <c r="AK2996" s="54">
        <f>IF(AND(AJ2996=1,AH2996&lt;&gt;"",COUNTIFS($AH$2:AH2996,AH2996,$AJ$2:AJ2996,1)=1),N(AL2995)+1,"")</f>
        <v/>
      </c>
      <c r="AL2996" s="54">
        <f>IF(AK2996&lt;&gt;"",AK2996,N(AL2995))</f>
        <v/>
      </c>
    </row>
    <row r="2997">
      <c r="A2997" t="inlineStr">
        <is>
          <t>PRD-0999</t>
        </is>
      </c>
      <c r="B2997" t="inlineStr">
        <is>
          <t>Production</t>
        </is>
      </c>
      <c r="AB2997" t="n">
        <v>999</v>
      </c>
      <c r="AD2997" s="52">
        <f>IFERROR(N(IFERROR(INDEX($A2997:$AB2997,MATCH("Xero Invoiced Ex GST",$A$1:$AB$1,0)),"")),0)</f>
        <v/>
      </c>
      <c r="AE2997" s="53">
        <f>IFERROR(INDEX($A2997:$AB2997,MATCH("Xero Invoice Date",$A$1:$AB$1,0)),"")</f>
        <v/>
      </c>
      <c r="AF2997" s="54">
        <f>IF(AND(IFERROR(INDEX($A2997:$AB2997,MATCH("Xero Invoice No",$A$1:$AB$1,0)),"")&amp;""&lt;&gt;"",ISNUMBER(AE2997),AD2997&lt;&gt;0),1,0)</f>
        <v/>
      </c>
      <c r="AG2997" s="55">
        <f>IF(AF2997=1,EOMONTH(AE2997,0),"")</f>
        <v/>
      </c>
      <c r="AH2997" s="9">
        <f>IF(AF2997=1,UPPER(TRIM(IFERROR(INDEX($A2997:$AB2997,MATCH("Client",$A$1:$AB$1,0)),"")&amp;"")),"")</f>
        <v/>
      </c>
      <c r="AI2997" s="9">
        <f>IF(AF2997=1,IFERROR(INDEX($A2997:$AB2997,MATCH("Cost Centre",$A$1:$AB$1,0)),"")&amp;"","")</f>
        <v/>
      </c>
      <c r="AJ2997" s="54">
        <f>IF(AND(AF2997=1,AE2997&gt;=set_FYStart,AE2997&lt;=set_AsAt),1,0)</f>
        <v/>
      </c>
      <c r="AK2997" s="54">
        <f>IF(AND(AJ2997=1,AH2997&lt;&gt;"",COUNTIFS($AH$2:AH2997,AH2997,$AJ$2:AJ2997,1)=1),N(AL2996)+1,"")</f>
        <v/>
      </c>
      <c r="AL2997" s="54">
        <f>IF(AK2997&lt;&gt;"",AK2997,N(AL2996))</f>
        <v/>
      </c>
    </row>
    <row r="2998">
      <c r="A2998" t="inlineStr">
        <is>
          <t>CON-0999</t>
        </is>
      </c>
      <c r="B2998" t="inlineStr">
        <is>
          <t>Consulting</t>
        </is>
      </c>
      <c r="AB2998" t="n">
        <v>999</v>
      </c>
      <c r="AD2998" s="52">
        <f>IFERROR(N(IFERROR(INDEX($A2998:$AB2998,MATCH("Xero Invoiced Ex GST",$A$1:$AB$1,0)),"")),0)</f>
        <v/>
      </c>
      <c r="AE2998" s="53">
        <f>IFERROR(INDEX($A2998:$AB2998,MATCH("Xero Invoice Date",$A$1:$AB$1,0)),"")</f>
        <v/>
      </c>
      <c r="AF2998" s="54">
        <f>IF(AND(IFERROR(INDEX($A2998:$AB2998,MATCH("Xero Invoice No",$A$1:$AB$1,0)),"")&amp;""&lt;&gt;"",ISNUMBER(AE2998),AD2998&lt;&gt;0),1,0)</f>
        <v/>
      </c>
      <c r="AG2998" s="55">
        <f>IF(AF2998=1,EOMONTH(AE2998,0),"")</f>
        <v/>
      </c>
      <c r="AH2998" s="9">
        <f>IF(AF2998=1,UPPER(TRIM(IFERROR(INDEX($A2998:$AB2998,MATCH("Client",$A$1:$AB$1,0)),"")&amp;"")),"")</f>
        <v/>
      </c>
      <c r="AI2998" s="9">
        <f>IF(AF2998=1,IFERROR(INDEX($A2998:$AB2998,MATCH("Cost Centre",$A$1:$AB$1,0)),"")&amp;"","")</f>
        <v/>
      </c>
      <c r="AJ2998" s="54">
        <f>IF(AND(AF2998=1,AE2998&gt;=set_FYStart,AE2998&lt;=set_AsAt),1,0)</f>
        <v/>
      </c>
      <c r="AK2998" s="54">
        <f>IF(AND(AJ2998=1,AH2998&lt;&gt;"",COUNTIFS($AH$2:AH2998,AH2998,$AJ$2:AJ2998,1)=1),N(AL2997)+1,"")</f>
        <v/>
      </c>
      <c r="AL2998" s="54">
        <f>IF(AK2998&lt;&gt;"",AK2998,N(AL2997))</f>
        <v/>
      </c>
    </row>
    <row r="2999">
      <c r="A2999" t="inlineStr">
        <is>
          <t>ONS-1000</t>
        </is>
      </c>
      <c r="B2999" t="inlineStr">
        <is>
          <t>Onsite</t>
        </is>
      </c>
      <c r="AB2999" t="n">
        <v>1000</v>
      </c>
      <c r="AD2999" s="52">
        <f>IFERROR(N(IFERROR(INDEX($A2999:$AB2999,MATCH("Xero Invoiced Ex GST",$A$1:$AB$1,0)),"")),0)</f>
        <v/>
      </c>
      <c r="AE2999" s="53">
        <f>IFERROR(INDEX($A2999:$AB2999,MATCH("Xero Invoice Date",$A$1:$AB$1,0)),"")</f>
        <v/>
      </c>
      <c r="AF2999" s="54">
        <f>IF(AND(IFERROR(INDEX($A2999:$AB2999,MATCH("Xero Invoice No",$A$1:$AB$1,0)),"")&amp;""&lt;&gt;"",ISNUMBER(AE2999),AD2999&lt;&gt;0),1,0)</f>
        <v/>
      </c>
      <c r="AG2999" s="55">
        <f>IF(AF2999=1,EOMONTH(AE2999,0),"")</f>
        <v/>
      </c>
      <c r="AH2999" s="9">
        <f>IF(AF2999=1,UPPER(TRIM(IFERROR(INDEX($A2999:$AB2999,MATCH("Client",$A$1:$AB$1,0)),"")&amp;"")),"")</f>
        <v/>
      </c>
      <c r="AI2999" s="9">
        <f>IF(AF2999=1,IFERROR(INDEX($A2999:$AB2999,MATCH("Cost Centre",$A$1:$AB$1,0)),"")&amp;"","")</f>
        <v/>
      </c>
      <c r="AJ2999" s="54">
        <f>IF(AND(AF2999=1,AE2999&gt;=set_FYStart,AE2999&lt;=set_AsAt),1,0)</f>
        <v/>
      </c>
      <c r="AK2999" s="54">
        <f>IF(AND(AJ2999=1,AH2999&lt;&gt;"",COUNTIFS($AH$2:AH2999,AH2999,$AJ$2:AJ2999,1)=1),N(AL2998)+1,"")</f>
        <v/>
      </c>
      <c r="AL2999" s="54">
        <f>IF(AK2999&lt;&gt;"",AK2999,N(AL2998))</f>
        <v/>
      </c>
    </row>
    <row r="3000">
      <c r="A3000" t="inlineStr">
        <is>
          <t>PRD-1000</t>
        </is>
      </c>
      <c r="B3000" t="inlineStr">
        <is>
          <t>Production</t>
        </is>
      </c>
      <c r="AB3000" t="n">
        <v>1000</v>
      </c>
      <c r="AD3000" s="52">
        <f>IFERROR(N(IFERROR(INDEX($A3000:$AB3000,MATCH("Xero Invoiced Ex GST",$A$1:$AB$1,0)),"")),0)</f>
        <v/>
      </c>
      <c r="AE3000" s="53">
        <f>IFERROR(INDEX($A3000:$AB3000,MATCH("Xero Invoice Date",$A$1:$AB$1,0)),"")</f>
        <v/>
      </c>
      <c r="AF3000" s="54">
        <f>IF(AND(IFERROR(INDEX($A3000:$AB3000,MATCH("Xero Invoice No",$A$1:$AB$1,0)),"")&amp;""&lt;&gt;"",ISNUMBER(AE3000),AD3000&lt;&gt;0),1,0)</f>
        <v/>
      </c>
      <c r="AG3000" s="55">
        <f>IF(AF3000=1,EOMONTH(AE3000,0),"")</f>
        <v/>
      </c>
      <c r="AH3000" s="9">
        <f>IF(AF3000=1,UPPER(TRIM(IFERROR(INDEX($A3000:$AB3000,MATCH("Client",$A$1:$AB$1,0)),"")&amp;"")),"")</f>
        <v/>
      </c>
      <c r="AI3000" s="9">
        <f>IF(AF3000=1,IFERROR(INDEX($A3000:$AB3000,MATCH("Cost Centre",$A$1:$AB$1,0)),"")&amp;"","")</f>
        <v/>
      </c>
      <c r="AJ3000" s="54">
        <f>IF(AND(AF3000=1,AE3000&gt;=set_FYStart,AE3000&lt;=set_AsAt),1,0)</f>
        <v/>
      </c>
      <c r="AK3000" s="54">
        <f>IF(AND(AJ3000=1,AH3000&lt;&gt;"",COUNTIFS($AH$2:AH3000,AH3000,$AJ$2:AJ3000,1)=1),N(AL2999)+1,"")</f>
        <v/>
      </c>
      <c r="AL3000" s="54">
        <f>IF(AK3000&lt;&gt;"",AK3000,N(AL2999))</f>
        <v/>
      </c>
    </row>
    <row r="3001">
      <c r="A3001" t="inlineStr">
        <is>
          <t>CON-1000</t>
        </is>
      </c>
      <c r="B3001" t="inlineStr">
        <is>
          <t>Consulting</t>
        </is>
      </c>
      <c r="AB3001" t="n">
        <v>1000</v>
      </c>
      <c r="AD3001" s="52">
        <f>IFERROR(N(IFERROR(INDEX($A3001:$AB3001,MATCH("Xero Invoiced Ex GST",$A$1:$AB$1,0)),"")),0)</f>
        <v/>
      </c>
      <c r="AE3001" s="53">
        <f>IFERROR(INDEX($A3001:$AB3001,MATCH("Xero Invoice Date",$A$1:$AB$1,0)),"")</f>
        <v/>
      </c>
      <c r="AF3001" s="54">
        <f>IF(AND(IFERROR(INDEX($A3001:$AB3001,MATCH("Xero Invoice No",$A$1:$AB$1,0)),"")&amp;""&lt;&gt;"",ISNUMBER(AE3001),AD3001&lt;&gt;0),1,0)</f>
        <v/>
      </c>
      <c r="AG3001" s="55">
        <f>IF(AF3001=1,EOMONTH(AE3001,0),"")</f>
        <v/>
      </c>
      <c r="AH3001" s="9">
        <f>IF(AF3001=1,UPPER(TRIM(IFERROR(INDEX($A3001:$AB3001,MATCH("Client",$A$1:$AB$1,0)),"")&amp;"")),"")</f>
        <v/>
      </c>
      <c r="AI3001" s="9">
        <f>IF(AF3001=1,IFERROR(INDEX($A3001:$AB3001,MATCH("Cost Centre",$A$1:$AB$1,0)),"")&amp;"","")</f>
        <v/>
      </c>
      <c r="AJ3001" s="54">
        <f>IF(AND(AF3001=1,AE3001&gt;=set_FYStart,AE3001&lt;=set_AsAt),1,0)</f>
        <v/>
      </c>
      <c r="AK3001" s="54">
        <f>IF(AND(AJ3001=1,AH3001&lt;&gt;"",COUNTIFS($AH$2:AH3001,AH3001,$AJ$2:AJ3001,1)=1),N(AL3000)+1,"")</f>
        <v/>
      </c>
      <c r="AL3001" s="54">
        <f>IF(AK3001&lt;&gt;"",AK3001,N(AL3000))</f>
        <v/>
      </c>
    </row>
    <row r="3002">
      <c r="A3002" t="inlineStr">
        <is>
          <t>ONS-1001</t>
        </is>
      </c>
      <c r="B3002" t="inlineStr">
        <is>
          <t>Onsite</t>
        </is>
      </c>
      <c r="AB3002" t="n">
        <v>1001</v>
      </c>
      <c r="AD3002" s="52">
        <f>IFERROR(N(IFERROR(INDEX($A3002:$AB3002,MATCH("Xero Invoiced Ex GST",$A$1:$AB$1,0)),"")),0)</f>
        <v/>
      </c>
      <c r="AE3002" s="53">
        <f>IFERROR(INDEX($A3002:$AB3002,MATCH("Xero Invoice Date",$A$1:$AB$1,0)),"")</f>
        <v/>
      </c>
      <c r="AF3002" s="54">
        <f>IF(AND(IFERROR(INDEX($A3002:$AB3002,MATCH("Xero Invoice No",$A$1:$AB$1,0)),"")&amp;""&lt;&gt;"",ISNUMBER(AE3002),AD3002&lt;&gt;0),1,0)</f>
        <v/>
      </c>
      <c r="AG3002" s="55">
        <f>IF(AF3002=1,EOMONTH(AE3002,0),"")</f>
        <v/>
      </c>
      <c r="AH3002" s="9">
        <f>IF(AF3002=1,UPPER(TRIM(IFERROR(INDEX($A3002:$AB3002,MATCH("Client",$A$1:$AB$1,0)),"")&amp;"")),"")</f>
        <v/>
      </c>
      <c r="AI3002" s="9">
        <f>IF(AF3002=1,IFERROR(INDEX($A3002:$AB3002,MATCH("Cost Centre",$A$1:$AB$1,0)),"")&amp;"","")</f>
        <v/>
      </c>
      <c r="AJ3002" s="54">
        <f>IF(AND(AF3002=1,AE3002&gt;=set_FYStart,AE3002&lt;=set_AsAt),1,0)</f>
        <v/>
      </c>
      <c r="AK3002" s="54">
        <f>IF(AND(AJ3002=1,AH3002&lt;&gt;"",COUNTIFS($AH$2:AH3002,AH3002,$AJ$2:AJ3002,1)=1),N(AL3001)+1,"")</f>
        <v/>
      </c>
      <c r="AL3002" s="54">
        <f>IF(AK3002&lt;&gt;"",AK3002,N(AL3001))</f>
        <v/>
      </c>
    </row>
    <row r="3003">
      <c r="A3003" t="inlineStr">
        <is>
          <t>PRD-1001</t>
        </is>
      </c>
      <c r="B3003" t="inlineStr">
        <is>
          <t>Production</t>
        </is>
      </c>
      <c r="AB3003" t="n">
        <v>1001</v>
      </c>
      <c r="AD3003" s="52">
        <f>IFERROR(N(IFERROR(INDEX($A3003:$AB3003,MATCH("Xero Invoiced Ex GST",$A$1:$AB$1,0)),"")),0)</f>
        <v/>
      </c>
      <c r="AE3003" s="53">
        <f>IFERROR(INDEX($A3003:$AB3003,MATCH("Xero Invoice Date",$A$1:$AB$1,0)),"")</f>
        <v/>
      </c>
      <c r="AF3003" s="54">
        <f>IF(AND(IFERROR(INDEX($A3003:$AB3003,MATCH("Xero Invoice No",$A$1:$AB$1,0)),"")&amp;""&lt;&gt;"",ISNUMBER(AE3003),AD3003&lt;&gt;0),1,0)</f>
        <v/>
      </c>
      <c r="AG3003" s="55">
        <f>IF(AF3003=1,EOMONTH(AE3003,0),"")</f>
        <v/>
      </c>
      <c r="AH3003" s="9">
        <f>IF(AF3003=1,UPPER(TRIM(IFERROR(INDEX($A3003:$AB3003,MATCH("Client",$A$1:$AB$1,0)),"")&amp;"")),"")</f>
        <v/>
      </c>
      <c r="AI3003" s="9">
        <f>IF(AF3003=1,IFERROR(INDEX($A3003:$AB3003,MATCH("Cost Centre",$A$1:$AB$1,0)),"")&amp;"","")</f>
        <v/>
      </c>
      <c r="AJ3003" s="54">
        <f>IF(AND(AF3003=1,AE3003&gt;=set_FYStart,AE3003&lt;=set_AsAt),1,0)</f>
        <v/>
      </c>
      <c r="AK3003" s="54">
        <f>IF(AND(AJ3003=1,AH3003&lt;&gt;"",COUNTIFS($AH$2:AH3003,AH3003,$AJ$2:AJ3003,1)=1),N(AL3002)+1,"")</f>
        <v/>
      </c>
      <c r="AL3003" s="54">
        <f>IF(AK3003&lt;&gt;"",AK3003,N(AL3002))</f>
        <v/>
      </c>
    </row>
    <row r="3004">
      <c r="A3004" t="inlineStr">
        <is>
          <t>CON-1001</t>
        </is>
      </c>
      <c r="B3004" t="inlineStr">
        <is>
          <t>Consulting</t>
        </is>
      </c>
      <c r="AB3004" t="n">
        <v>1001</v>
      </c>
      <c r="AD3004" s="52">
        <f>IFERROR(N(IFERROR(INDEX($A3004:$AB3004,MATCH("Xero Invoiced Ex GST",$A$1:$AB$1,0)),"")),0)</f>
        <v/>
      </c>
      <c r="AE3004" s="53">
        <f>IFERROR(INDEX($A3004:$AB3004,MATCH("Xero Invoice Date",$A$1:$AB$1,0)),"")</f>
        <v/>
      </c>
      <c r="AF3004" s="54">
        <f>IF(AND(IFERROR(INDEX($A3004:$AB3004,MATCH("Xero Invoice No",$A$1:$AB$1,0)),"")&amp;""&lt;&gt;"",ISNUMBER(AE3004),AD3004&lt;&gt;0),1,0)</f>
        <v/>
      </c>
      <c r="AG3004" s="55">
        <f>IF(AF3004=1,EOMONTH(AE3004,0),"")</f>
        <v/>
      </c>
      <c r="AH3004" s="9">
        <f>IF(AF3004=1,UPPER(TRIM(IFERROR(INDEX($A3004:$AB3004,MATCH("Client",$A$1:$AB$1,0)),"")&amp;"")),"")</f>
        <v/>
      </c>
      <c r="AI3004" s="9">
        <f>IF(AF3004=1,IFERROR(INDEX($A3004:$AB3004,MATCH("Cost Centre",$A$1:$AB$1,0)),"")&amp;"","")</f>
        <v/>
      </c>
      <c r="AJ3004" s="54">
        <f>IF(AND(AF3004=1,AE3004&gt;=set_FYStart,AE3004&lt;=set_AsAt),1,0)</f>
        <v/>
      </c>
      <c r="AK3004" s="54">
        <f>IF(AND(AJ3004=1,AH3004&lt;&gt;"",COUNTIFS($AH$2:AH3004,AH3004,$AJ$2:AJ3004,1)=1),N(AL3003)+1,"")</f>
        <v/>
      </c>
      <c r="AL3004" s="54">
        <f>IF(AK3004&lt;&gt;"",AK3004,N(AL3003))</f>
        <v/>
      </c>
    </row>
    <row r="3005">
      <c r="A3005" t="inlineStr">
        <is>
          <t>ONS-1002</t>
        </is>
      </c>
      <c r="B3005" t="inlineStr">
        <is>
          <t>Onsite</t>
        </is>
      </c>
      <c r="AB3005" t="n">
        <v>1002</v>
      </c>
      <c r="AD3005" s="52">
        <f>IFERROR(N(IFERROR(INDEX($A3005:$AB3005,MATCH("Xero Invoiced Ex GST",$A$1:$AB$1,0)),"")),0)</f>
        <v/>
      </c>
      <c r="AE3005" s="53">
        <f>IFERROR(INDEX($A3005:$AB3005,MATCH("Xero Invoice Date",$A$1:$AB$1,0)),"")</f>
        <v/>
      </c>
      <c r="AF3005" s="54">
        <f>IF(AND(IFERROR(INDEX($A3005:$AB3005,MATCH("Xero Invoice No",$A$1:$AB$1,0)),"")&amp;""&lt;&gt;"",ISNUMBER(AE3005),AD3005&lt;&gt;0),1,0)</f>
        <v/>
      </c>
      <c r="AG3005" s="55">
        <f>IF(AF3005=1,EOMONTH(AE3005,0),"")</f>
        <v/>
      </c>
      <c r="AH3005" s="9">
        <f>IF(AF3005=1,UPPER(TRIM(IFERROR(INDEX($A3005:$AB3005,MATCH("Client",$A$1:$AB$1,0)),"")&amp;"")),"")</f>
        <v/>
      </c>
      <c r="AI3005" s="9">
        <f>IF(AF3005=1,IFERROR(INDEX($A3005:$AB3005,MATCH("Cost Centre",$A$1:$AB$1,0)),"")&amp;"","")</f>
        <v/>
      </c>
      <c r="AJ3005" s="54">
        <f>IF(AND(AF3005=1,AE3005&gt;=set_FYStart,AE3005&lt;=set_AsAt),1,0)</f>
        <v/>
      </c>
      <c r="AK3005" s="54">
        <f>IF(AND(AJ3005=1,AH3005&lt;&gt;"",COUNTIFS($AH$2:AH3005,AH3005,$AJ$2:AJ3005,1)=1),N(AL3004)+1,"")</f>
        <v/>
      </c>
      <c r="AL3005" s="54">
        <f>IF(AK3005&lt;&gt;"",AK3005,N(AL3004))</f>
        <v/>
      </c>
    </row>
    <row r="3006">
      <c r="A3006" t="inlineStr">
        <is>
          <t>PRD-1002</t>
        </is>
      </c>
      <c r="B3006" t="inlineStr">
        <is>
          <t>Production</t>
        </is>
      </c>
      <c r="AB3006" t="n">
        <v>1002</v>
      </c>
      <c r="AD3006" s="52">
        <f>IFERROR(N(IFERROR(INDEX($A3006:$AB3006,MATCH("Xero Invoiced Ex GST",$A$1:$AB$1,0)),"")),0)</f>
        <v/>
      </c>
      <c r="AE3006" s="53">
        <f>IFERROR(INDEX($A3006:$AB3006,MATCH("Xero Invoice Date",$A$1:$AB$1,0)),"")</f>
        <v/>
      </c>
      <c r="AF3006" s="54">
        <f>IF(AND(IFERROR(INDEX($A3006:$AB3006,MATCH("Xero Invoice No",$A$1:$AB$1,0)),"")&amp;""&lt;&gt;"",ISNUMBER(AE3006),AD3006&lt;&gt;0),1,0)</f>
        <v/>
      </c>
      <c r="AG3006" s="55">
        <f>IF(AF3006=1,EOMONTH(AE3006,0),"")</f>
        <v/>
      </c>
      <c r="AH3006" s="9">
        <f>IF(AF3006=1,UPPER(TRIM(IFERROR(INDEX($A3006:$AB3006,MATCH("Client",$A$1:$AB$1,0)),"")&amp;"")),"")</f>
        <v/>
      </c>
      <c r="AI3006" s="9">
        <f>IF(AF3006=1,IFERROR(INDEX($A3006:$AB3006,MATCH("Cost Centre",$A$1:$AB$1,0)),"")&amp;"","")</f>
        <v/>
      </c>
      <c r="AJ3006" s="54">
        <f>IF(AND(AF3006=1,AE3006&gt;=set_FYStart,AE3006&lt;=set_AsAt),1,0)</f>
        <v/>
      </c>
      <c r="AK3006" s="54">
        <f>IF(AND(AJ3006=1,AH3006&lt;&gt;"",COUNTIFS($AH$2:AH3006,AH3006,$AJ$2:AJ3006,1)=1),N(AL3005)+1,"")</f>
        <v/>
      </c>
      <c r="AL3006" s="54">
        <f>IF(AK3006&lt;&gt;"",AK3006,N(AL3005))</f>
        <v/>
      </c>
    </row>
    <row r="3007">
      <c r="A3007" t="inlineStr">
        <is>
          <t>CON-1002</t>
        </is>
      </c>
      <c r="B3007" t="inlineStr">
        <is>
          <t>Consulting</t>
        </is>
      </c>
      <c r="AB3007" t="n">
        <v>1002</v>
      </c>
      <c r="AD3007" s="52">
        <f>IFERROR(N(IFERROR(INDEX($A3007:$AB3007,MATCH("Xero Invoiced Ex GST",$A$1:$AB$1,0)),"")),0)</f>
        <v/>
      </c>
      <c r="AE3007" s="53">
        <f>IFERROR(INDEX($A3007:$AB3007,MATCH("Xero Invoice Date",$A$1:$AB$1,0)),"")</f>
        <v/>
      </c>
      <c r="AF3007" s="54">
        <f>IF(AND(IFERROR(INDEX($A3007:$AB3007,MATCH("Xero Invoice No",$A$1:$AB$1,0)),"")&amp;""&lt;&gt;"",ISNUMBER(AE3007),AD3007&lt;&gt;0),1,0)</f>
        <v/>
      </c>
      <c r="AG3007" s="55">
        <f>IF(AF3007=1,EOMONTH(AE3007,0),"")</f>
        <v/>
      </c>
      <c r="AH3007" s="9">
        <f>IF(AF3007=1,UPPER(TRIM(IFERROR(INDEX($A3007:$AB3007,MATCH("Client",$A$1:$AB$1,0)),"")&amp;"")),"")</f>
        <v/>
      </c>
      <c r="AI3007" s="9">
        <f>IF(AF3007=1,IFERROR(INDEX($A3007:$AB3007,MATCH("Cost Centre",$A$1:$AB$1,0)),"")&amp;"","")</f>
        <v/>
      </c>
      <c r="AJ3007" s="54">
        <f>IF(AND(AF3007=1,AE3007&gt;=set_FYStart,AE3007&lt;=set_AsAt),1,0)</f>
        <v/>
      </c>
      <c r="AK3007" s="54">
        <f>IF(AND(AJ3007=1,AH3007&lt;&gt;"",COUNTIFS($AH$2:AH3007,AH3007,$AJ$2:AJ3007,1)=1),N(AL3006)+1,"")</f>
        <v/>
      </c>
      <c r="AL3007" s="54">
        <f>IF(AK3007&lt;&gt;"",AK3007,N(AL3006))</f>
        <v/>
      </c>
    </row>
    <row r="3008">
      <c r="A3008" t="inlineStr">
        <is>
          <t>ONS-1003</t>
        </is>
      </c>
      <c r="B3008" t="inlineStr">
        <is>
          <t>Onsite</t>
        </is>
      </c>
      <c r="AB3008" t="n">
        <v>1003</v>
      </c>
      <c r="AD3008" s="52">
        <f>IFERROR(N(IFERROR(INDEX($A3008:$AB3008,MATCH("Xero Invoiced Ex GST",$A$1:$AB$1,0)),"")),0)</f>
        <v/>
      </c>
      <c r="AE3008" s="53">
        <f>IFERROR(INDEX($A3008:$AB3008,MATCH("Xero Invoice Date",$A$1:$AB$1,0)),"")</f>
        <v/>
      </c>
      <c r="AF3008" s="54">
        <f>IF(AND(IFERROR(INDEX($A3008:$AB3008,MATCH("Xero Invoice No",$A$1:$AB$1,0)),"")&amp;""&lt;&gt;"",ISNUMBER(AE3008),AD3008&lt;&gt;0),1,0)</f>
        <v/>
      </c>
      <c r="AG3008" s="55">
        <f>IF(AF3008=1,EOMONTH(AE3008,0),"")</f>
        <v/>
      </c>
      <c r="AH3008" s="9">
        <f>IF(AF3008=1,UPPER(TRIM(IFERROR(INDEX($A3008:$AB3008,MATCH("Client",$A$1:$AB$1,0)),"")&amp;"")),"")</f>
        <v/>
      </c>
      <c r="AI3008" s="9">
        <f>IF(AF3008=1,IFERROR(INDEX($A3008:$AB3008,MATCH("Cost Centre",$A$1:$AB$1,0)),"")&amp;"","")</f>
        <v/>
      </c>
      <c r="AJ3008" s="54">
        <f>IF(AND(AF3008=1,AE3008&gt;=set_FYStart,AE3008&lt;=set_AsAt),1,0)</f>
        <v/>
      </c>
      <c r="AK3008" s="54">
        <f>IF(AND(AJ3008=1,AH3008&lt;&gt;"",COUNTIFS($AH$2:AH3008,AH3008,$AJ$2:AJ3008,1)=1),N(AL3007)+1,"")</f>
        <v/>
      </c>
      <c r="AL3008" s="54">
        <f>IF(AK3008&lt;&gt;"",AK3008,N(AL3007))</f>
        <v/>
      </c>
    </row>
    <row r="3009">
      <c r="A3009" t="inlineStr">
        <is>
          <t>PRD-1003</t>
        </is>
      </c>
      <c r="B3009" t="inlineStr">
        <is>
          <t>Production</t>
        </is>
      </c>
      <c r="AB3009" t="n">
        <v>1003</v>
      </c>
      <c r="AD3009" s="52">
        <f>IFERROR(N(IFERROR(INDEX($A3009:$AB3009,MATCH("Xero Invoiced Ex GST",$A$1:$AB$1,0)),"")),0)</f>
        <v/>
      </c>
      <c r="AE3009" s="53">
        <f>IFERROR(INDEX($A3009:$AB3009,MATCH("Xero Invoice Date",$A$1:$AB$1,0)),"")</f>
        <v/>
      </c>
      <c r="AF3009" s="54">
        <f>IF(AND(IFERROR(INDEX($A3009:$AB3009,MATCH("Xero Invoice No",$A$1:$AB$1,0)),"")&amp;""&lt;&gt;"",ISNUMBER(AE3009),AD3009&lt;&gt;0),1,0)</f>
        <v/>
      </c>
      <c r="AG3009" s="55">
        <f>IF(AF3009=1,EOMONTH(AE3009,0),"")</f>
        <v/>
      </c>
      <c r="AH3009" s="9">
        <f>IF(AF3009=1,UPPER(TRIM(IFERROR(INDEX($A3009:$AB3009,MATCH("Client",$A$1:$AB$1,0)),"")&amp;"")),"")</f>
        <v/>
      </c>
      <c r="AI3009" s="9">
        <f>IF(AF3009=1,IFERROR(INDEX($A3009:$AB3009,MATCH("Cost Centre",$A$1:$AB$1,0)),"")&amp;"","")</f>
        <v/>
      </c>
      <c r="AJ3009" s="54">
        <f>IF(AND(AF3009=1,AE3009&gt;=set_FYStart,AE3009&lt;=set_AsAt),1,0)</f>
        <v/>
      </c>
      <c r="AK3009" s="54">
        <f>IF(AND(AJ3009=1,AH3009&lt;&gt;"",COUNTIFS($AH$2:AH3009,AH3009,$AJ$2:AJ3009,1)=1),N(AL3008)+1,"")</f>
        <v/>
      </c>
      <c r="AL3009" s="54">
        <f>IF(AK3009&lt;&gt;"",AK3009,N(AL3008))</f>
        <v/>
      </c>
    </row>
    <row r="3010">
      <c r="A3010" t="inlineStr">
        <is>
          <t>CON-1003</t>
        </is>
      </c>
      <c r="B3010" t="inlineStr">
        <is>
          <t>Consulting</t>
        </is>
      </c>
      <c r="AB3010" t="n">
        <v>1003</v>
      </c>
      <c r="AD3010" s="52">
        <f>IFERROR(N(IFERROR(INDEX($A3010:$AB3010,MATCH("Xero Invoiced Ex GST",$A$1:$AB$1,0)),"")),0)</f>
        <v/>
      </c>
      <c r="AE3010" s="53">
        <f>IFERROR(INDEX($A3010:$AB3010,MATCH("Xero Invoice Date",$A$1:$AB$1,0)),"")</f>
        <v/>
      </c>
      <c r="AF3010" s="54">
        <f>IF(AND(IFERROR(INDEX($A3010:$AB3010,MATCH("Xero Invoice No",$A$1:$AB$1,0)),"")&amp;""&lt;&gt;"",ISNUMBER(AE3010),AD3010&lt;&gt;0),1,0)</f>
        <v/>
      </c>
      <c r="AG3010" s="55">
        <f>IF(AF3010=1,EOMONTH(AE3010,0),"")</f>
        <v/>
      </c>
      <c r="AH3010" s="9">
        <f>IF(AF3010=1,UPPER(TRIM(IFERROR(INDEX($A3010:$AB3010,MATCH("Client",$A$1:$AB$1,0)),"")&amp;"")),"")</f>
        <v/>
      </c>
      <c r="AI3010" s="9">
        <f>IF(AF3010=1,IFERROR(INDEX($A3010:$AB3010,MATCH("Cost Centre",$A$1:$AB$1,0)),"")&amp;"","")</f>
        <v/>
      </c>
      <c r="AJ3010" s="54">
        <f>IF(AND(AF3010=1,AE3010&gt;=set_FYStart,AE3010&lt;=set_AsAt),1,0)</f>
        <v/>
      </c>
      <c r="AK3010" s="54">
        <f>IF(AND(AJ3010=1,AH3010&lt;&gt;"",COUNTIFS($AH$2:AH3010,AH3010,$AJ$2:AJ3010,1)=1),N(AL3009)+1,"")</f>
        <v/>
      </c>
      <c r="AL3010" s="54">
        <f>IF(AK3010&lt;&gt;"",AK3010,N(AL3009))</f>
        <v/>
      </c>
    </row>
    <row r="3011">
      <c r="A3011" t="inlineStr">
        <is>
          <t>ONS-1004</t>
        </is>
      </c>
      <c r="B3011" t="inlineStr">
        <is>
          <t>Onsite</t>
        </is>
      </c>
      <c r="AB3011" t="n">
        <v>1004</v>
      </c>
      <c r="AD3011" s="52">
        <f>IFERROR(N(IFERROR(INDEX($A3011:$AB3011,MATCH("Xero Invoiced Ex GST",$A$1:$AB$1,0)),"")),0)</f>
        <v/>
      </c>
      <c r="AE3011" s="53">
        <f>IFERROR(INDEX($A3011:$AB3011,MATCH("Xero Invoice Date",$A$1:$AB$1,0)),"")</f>
        <v/>
      </c>
      <c r="AF3011" s="54">
        <f>IF(AND(IFERROR(INDEX($A3011:$AB3011,MATCH("Xero Invoice No",$A$1:$AB$1,0)),"")&amp;""&lt;&gt;"",ISNUMBER(AE3011),AD3011&lt;&gt;0),1,0)</f>
        <v/>
      </c>
      <c r="AG3011" s="55">
        <f>IF(AF3011=1,EOMONTH(AE3011,0),"")</f>
        <v/>
      </c>
      <c r="AH3011" s="9">
        <f>IF(AF3011=1,UPPER(TRIM(IFERROR(INDEX($A3011:$AB3011,MATCH("Client",$A$1:$AB$1,0)),"")&amp;"")),"")</f>
        <v/>
      </c>
      <c r="AI3011" s="9">
        <f>IF(AF3011=1,IFERROR(INDEX($A3011:$AB3011,MATCH("Cost Centre",$A$1:$AB$1,0)),"")&amp;"","")</f>
        <v/>
      </c>
      <c r="AJ3011" s="54">
        <f>IF(AND(AF3011=1,AE3011&gt;=set_FYStart,AE3011&lt;=set_AsAt),1,0)</f>
        <v/>
      </c>
      <c r="AK3011" s="54">
        <f>IF(AND(AJ3011=1,AH3011&lt;&gt;"",COUNTIFS($AH$2:AH3011,AH3011,$AJ$2:AJ3011,1)=1),N(AL3010)+1,"")</f>
        <v/>
      </c>
      <c r="AL3011" s="54">
        <f>IF(AK3011&lt;&gt;"",AK3011,N(AL3010))</f>
        <v/>
      </c>
    </row>
    <row r="3012">
      <c r="A3012" t="inlineStr">
        <is>
          <t>PRD-1004</t>
        </is>
      </c>
      <c r="B3012" t="inlineStr">
        <is>
          <t>Production</t>
        </is>
      </c>
      <c r="AB3012" t="n">
        <v>1004</v>
      </c>
      <c r="AD3012" s="52">
        <f>IFERROR(N(IFERROR(INDEX($A3012:$AB3012,MATCH("Xero Invoiced Ex GST",$A$1:$AB$1,0)),"")),0)</f>
        <v/>
      </c>
      <c r="AE3012" s="53">
        <f>IFERROR(INDEX($A3012:$AB3012,MATCH("Xero Invoice Date",$A$1:$AB$1,0)),"")</f>
        <v/>
      </c>
      <c r="AF3012" s="54">
        <f>IF(AND(IFERROR(INDEX($A3012:$AB3012,MATCH("Xero Invoice No",$A$1:$AB$1,0)),"")&amp;""&lt;&gt;"",ISNUMBER(AE3012),AD3012&lt;&gt;0),1,0)</f>
        <v/>
      </c>
      <c r="AG3012" s="55">
        <f>IF(AF3012=1,EOMONTH(AE3012,0),"")</f>
        <v/>
      </c>
      <c r="AH3012" s="9">
        <f>IF(AF3012=1,UPPER(TRIM(IFERROR(INDEX($A3012:$AB3012,MATCH("Client",$A$1:$AB$1,0)),"")&amp;"")),"")</f>
        <v/>
      </c>
      <c r="AI3012" s="9">
        <f>IF(AF3012=1,IFERROR(INDEX($A3012:$AB3012,MATCH("Cost Centre",$A$1:$AB$1,0)),"")&amp;"","")</f>
        <v/>
      </c>
      <c r="AJ3012" s="54">
        <f>IF(AND(AF3012=1,AE3012&gt;=set_FYStart,AE3012&lt;=set_AsAt),1,0)</f>
        <v/>
      </c>
      <c r="AK3012" s="54">
        <f>IF(AND(AJ3012=1,AH3012&lt;&gt;"",COUNTIFS($AH$2:AH3012,AH3012,$AJ$2:AJ3012,1)=1),N(AL3011)+1,"")</f>
        <v/>
      </c>
      <c r="AL3012" s="54">
        <f>IF(AK3012&lt;&gt;"",AK3012,N(AL3011))</f>
        <v/>
      </c>
    </row>
    <row r="3013">
      <c r="A3013" t="inlineStr">
        <is>
          <t>CON-1004</t>
        </is>
      </c>
      <c r="B3013" t="inlineStr">
        <is>
          <t>Consulting</t>
        </is>
      </c>
      <c r="AB3013" t="n">
        <v>1004</v>
      </c>
      <c r="AD3013" s="52">
        <f>IFERROR(N(IFERROR(INDEX($A3013:$AB3013,MATCH("Xero Invoiced Ex GST",$A$1:$AB$1,0)),"")),0)</f>
        <v/>
      </c>
      <c r="AE3013" s="53">
        <f>IFERROR(INDEX($A3013:$AB3013,MATCH("Xero Invoice Date",$A$1:$AB$1,0)),"")</f>
        <v/>
      </c>
      <c r="AF3013" s="54">
        <f>IF(AND(IFERROR(INDEX($A3013:$AB3013,MATCH("Xero Invoice No",$A$1:$AB$1,0)),"")&amp;""&lt;&gt;"",ISNUMBER(AE3013),AD3013&lt;&gt;0),1,0)</f>
        <v/>
      </c>
      <c r="AG3013" s="55">
        <f>IF(AF3013=1,EOMONTH(AE3013,0),"")</f>
        <v/>
      </c>
      <c r="AH3013" s="9">
        <f>IF(AF3013=1,UPPER(TRIM(IFERROR(INDEX($A3013:$AB3013,MATCH("Client",$A$1:$AB$1,0)),"")&amp;"")),"")</f>
        <v/>
      </c>
      <c r="AI3013" s="9">
        <f>IF(AF3013=1,IFERROR(INDEX($A3013:$AB3013,MATCH("Cost Centre",$A$1:$AB$1,0)),"")&amp;"","")</f>
        <v/>
      </c>
      <c r="AJ3013" s="54">
        <f>IF(AND(AF3013=1,AE3013&gt;=set_FYStart,AE3013&lt;=set_AsAt),1,0)</f>
        <v/>
      </c>
      <c r="AK3013" s="54">
        <f>IF(AND(AJ3013=1,AH3013&lt;&gt;"",COUNTIFS($AH$2:AH3013,AH3013,$AJ$2:AJ3013,1)=1),N(AL3012)+1,"")</f>
        <v/>
      </c>
      <c r="AL3013" s="54">
        <f>IF(AK3013&lt;&gt;"",AK3013,N(AL3012))</f>
        <v/>
      </c>
    </row>
    <row r="3014">
      <c r="A3014" t="inlineStr">
        <is>
          <t>ONS-1005</t>
        </is>
      </c>
      <c r="B3014" t="inlineStr">
        <is>
          <t>Onsite</t>
        </is>
      </c>
      <c r="AB3014" t="n">
        <v>1005</v>
      </c>
      <c r="AD3014" s="52">
        <f>IFERROR(N(IFERROR(INDEX($A3014:$AB3014,MATCH("Xero Invoiced Ex GST",$A$1:$AB$1,0)),"")),0)</f>
        <v/>
      </c>
      <c r="AE3014" s="53">
        <f>IFERROR(INDEX($A3014:$AB3014,MATCH("Xero Invoice Date",$A$1:$AB$1,0)),"")</f>
        <v/>
      </c>
      <c r="AF3014" s="54">
        <f>IF(AND(IFERROR(INDEX($A3014:$AB3014,MATCH("Xero Invoice No",$A$1:$AB$1,0)),"")&amp;""&lt;&gt;"",ISNUMBER(AE3014),AD3014&lt;&gt;0),1,0)</f>
        <v/>
      </c>
      <c r="AG3014" s="55">
        <f>IF(AF3014=1,EOMONTH(AE3014,0),"")</f>
        <v/>
      </c>
      <c r="AH3014" s="9">
        <f>IF(AF3014=1,UPPER(TRIM(IFERROR(INDEX($A3014:$AB3014,MATCH("Client",$A$1:$AB$1,0)),"")&amp;"")),"")</f>
        <v/>
      </c>
      <c r="AI3014" s="9">
        <f>IF(AF3014=1,IFERROR(INDEX($A3014:$AB3014,MATCH("Cost Centre",$A$1:$AB$1,0)),"")&amp;"","")</f>
        <v/>
      </c>
      <c r="AJ3014" s="54">
        <f>IF(AND(AF3014=1,AE3014&gt;=set_FYStart,AE3014&lt;=set_AsAt),1,0)</f>
        <v/>
      </c>
      <c r="AK3014" s="54">
        <f>IF(AND(AJ3014=1,AH3014&lt;&gt;"",COUNTIFS($AH$2:AH3014,AH3014,$AJ$2:AJ3014,1)=1),N(AL3013)+1,"")</f>
        <v/>
      </c>
      <c r="AL3014" s="54">
        <f>IF(AK3014&lt;&gt;"",AK3014,N(AL3013))</f>
        <v/>
      </c>
    </row>
    <row r="3015">
      <c r="A3015" t="inlineStr">
        <is>
          <t>PRD-1005</t>
        </is>
      </c>
      <c r="B3015" t="inlineStr">
        <is>
          <t>Production</t>
        </is>
      </c>
      <c r="AB3015" t="n">
        <v>1005</v>
      </c>
      <c r="AD3015" s="52">
        <f>IFERROR(N(IFERROR(INDEX($A3015:$AB3015,MATCH("Xero Invoiced Ex GST",$A$1:$AB$1,0)),"")),0)</f>
        <v/>
      </c>
      <c r="AE3015" s="53">
        <f>IFERROR(INDEX($A3015:$AB3015,MATCH("Xero Invoice Date",$A$1:$AB$1,0)),"")</f>
        <v/>
      </c>
      <c r="AF3015" s="54">
        <f>IF(AND(IFERROR(INDEX($A3015:$AB3015,MATCH("Xero Invoice No",$A$1:$AB$1,0)),"")&amp;""&lt;&gt;"",ISNUMBER(AE3015),AD3015&lt;&gt;0),1,0)</f>
        <v/>
      </c>
      <c r="AG3015" s="55">
        <f>IF(AF3015=1,EOMONTH(AE3015,0),"")</f>
        <v/>
      </c>
      <c r="AH3015" s="9">
        <f>IF(AF3015=1,UPPER(TRIM(IFERROR(INDEX($A3015:$AB3015,MATCH("Client",$A$1:$AB$1,0)),"")&amp;"")),"")</f>
        <v/>
      </c>
      <c r="AI3015" s="9">
        <f>IF(AF3015=1,IFERROR(INDEX($A3015:$AB3015,MATCH("Cost Centre",$A$1:$AB$1,0)),"")&amp;"","")</f>
        <v/>
      </c>
      <c r="AJ3015" s="54">
        <f>IF(AND(AF3015=1,AE3015&gt;=set_FYStart,AE3015&lt;=set_AsAt),1,0)</f>
        <v/>
      </c>
      <c r="AK3015" s="54">
        <f>IF(AND(AJ3015=1,AH3015&lt;&gt;"",COUNTIFS($AH$2:AH3015,AH3015,$AJ$2:AJ3015,1)=1),N(AL3014)+1,"")</f>
        <v/>
      </c>
      <c r="AL3015" s="54">
        <f>IF(AK3015&lt;&gt;"",AK3015,N(AL3014))</f>
        <v/>
      </c>
    </row>
    <row r="3016">
      <c r="A3016" t="inlineStr">
        <is>
          <t>CON-1005</t>
        </is>
      </c>
      <c r="B3016" t="inlineStr">
        <is>
          <t>Consulting</t>
        </is>
      </c>
      <c r="AB3016" t="n">
        <v>1005</v>
      </c>
      <c r="AD3016" s="52">
        <f>IFERROR(N(IFERROR(INDEX($A3016:$AB3016,MATCH("Xero Invoiced Ex GST",$A$1:$AB$1,0)),"")),0)</f>
        <v/>
      </c>
      <c r="AE3016" s="53">
        <f>IFERROR(INDEX($A3016:$AB3016,MATCH("Xero Invoice Date",$A$1:$AB$1,0)),"")</f>
        <v/>
      </c>
      <c r="AF3016" s="54">
        <f>IF(AND(IFERROR(INDEX($A3016:$AB3016,MATCH("Xero Invoice No",$A$1:$AB$1,0)),"")&amp;""&lt;&gt;"",ISNUMBER(AE3016),AD3016&lt;&gt;0),1,0)</f>
        <v/>
      </c>
      <c r="AG3016" s="55">
        <f>IF(AF3016=1,EOMONTH(AE3016,0),"")</f>
        <v/>
      </c>
      <c r="AH3016" s="9">
        <f>IF(AF3016=1,UPPER(TRIM(IFERROR(INDEX($A3016:$AB3016,MATCH("Client",$A$1:$AB$1,0)),"")&amp;"")),"")</f>
        <v/>
      </c>
      <c r="AI3016" s="9">
        <f>IF(AF3016=1,IFERROR(INDEX($A3016:$AB3016,MATCH("Cost Centre",$A$1:$AB$1,0)),"")&amp;"","")</f>
        <v/>
      </c>
      <c r="AJ3016" s="54">
        <f>IF(AND(AF3016=1,AE3016&gt;=set_FYStart,AE3016&lt;=set_AsAt),1,0)</f>
        <v/>
      </c>
      <c r="AK3016" s="54">
        <f>IF(AND(AJ3016=1,AH3016&lt;&gt;"",COUNTIFS($AH$2:AH3016,AH3016,$AJ$2:AJ3016,1)=1),N(AL3015)+1,"")</f>
        <v/>
      </c>
      <c r="AL3016" s="54">
        <f>IF(AK3016&lt;&gt;"",AK3016,N(AL3015))</f>
        <v/>
      </c>
    </row>
    <row r="3017">
      <c r="A3017" t="inlineStr">
        <is>
          <t>ONS-1006</t>
        </is>
      </c>
      <c r="B3017" t="inlineStr">
        <is>
          <t>Onsite</t>
        </is>
      </c>
      <c r="AB3017" t="n">
        <v>1006</v>
      </c>
      <c r="AD3017" s="52">
        <f>IFERROR(N(IFERROR(INDEX($A3017:$AB3017,MATCH("Xero Invoiced Ex GST",$A$1:$AB$1,0)),"")),0)</f>
        <v/>
      </c>
      <c r="AE3017" s="53">
        <f>IFERROR(INDEX($A3017:$AB3017,MATCH("Xero Invoice Date",$A$1:$AB$1,0)),"")</f>
        <v/>
      </c>
      <c r="AF3017" s="54">
        <f>IF(AND(IFERROR(INDEX($A3017:$AB3017,MATCH("Xero Invoice No",$A$1:$AB$1,0)),"")&amp;""&lt;&gt;"",ISNUMBER(AE3017),AD3017&lt;&gt;0),1,0)</f>
        <v/>
      </c>
      <c r="AG3017" s="55">
        <f>IF(AF3017=1,EOMONTH(AE3017,0),"")</f>
        <v/>
      </c>
      <c r="AH3017" s="9">
        <f>IF(AF3017=1,UPPER(TRIM(IFERROR(INDEX($A3017:$AB3017,MATCH("Client",$A$1:$AB$1,0)),"")&amp;"")),"")</f>
        <v/>
      </c>
      <c r="AI3017" s="9">
        <f>IF(AF3017=1,IFERROR(INDEX($A3017:$AB3017,MATCH("Cost Centre",$A$1:$AB$1,0)),"")&amp;"","")</f>
        <v/>
      </c>
      <c r="AJ3017" s="54">
        <f>IF(AND(AF3017=1,AE3017&gt;=set_FYStart,AE3017&lt;=set_AsAt),1,0)</f>
        <v/>
      </c>
      <c r="AK3017" s="54">
        <f>IF(AND(AJ3017=1,AH3017&lt;&gt;"",COUNTIFS($AH$2:AH3017,AH3017,$AJ$2:AJ3017,1)=1),N(AL3016)+1,"")</f>
        <v/>
      </c>
      <c r="AL3017" s="54">
        <f>IF(AK3017&lt;&gt;"",AK3017,N(AL3016))</f>
        <v/>
      </c>
    </row>
    <row r="3018">
      <c r="A3018" t="inlineStr">
        <is>
          <t>PRD-1006</t>
        </is>
      </c>
      <c r="B3018" t="inlineStr">
        <is>
          <t>Production</t>
        </is>
      </c>
      <c r="AB3018" t="n">
        <v>1006</v>
      </c>
      <c r="AD3018" s="52">
        <f>IFERROR(N(IFERROR(INDEX($A3018:$AB3018,MATCH("Xero Invoiced Ex GST",$A$1:$AB$1,0)),"")),0)</f>
        <v/>
      </c>
      <c r="AE3018" s="53">
        <f>IFERROR(INDEX($A3018:$AB3018,MATCH("Xero Invoice Date",$A$1:$AB$1,0)),"")</f>
        <v/>
      </c>
      <c r="AF3018" s="54">
        <f>IF(AND(IFERROR(INDEX($A3018:$AB3018,MATCH("Xero Invoice No",$A$1:$AB$1,0)),"")&amp;""&lt;&gt;"",ISNUMBER(AE3018),AD3018&lt;&gt;0),1,0)</f>
        <v/>
      </c>
      <c r="AG3018" s="55">
        <f>IF(AF3018=1,EOMONTH(AE3018,0),"")</f>
        <v/>
      </c>
      <c r="AH3018" s="9">
        <f>IF(AF3018=1,UPPER(TRIM(IFERROR(INDEX($A3018:$AB3018,MATCH("Client",$A$1:$AB$1,0)),"")&amp;"")),"")</f>
        <v/>
      </c>
      <c r="AI3018" s="9">
        <f>IF(AF3018=1,IFERROR(INDEX($A3018:$AB3018,MATCH("Cost Centre",$A$1:$AB$1,0)),"")&amp;"","")</f>
        <v/>
      </c>
      <c r="AJ3018" s="54">
        <f>IF(AND(AF3018=1,AE3018&gt;=set_FYStart,AE3018&lt;=set_AsAt),1,0)</f>
        <v/>
      </c>
      <c r="AK3018" s="54">
        <f>IF(AND(AJ3018=1,AH3018&lt;&gt;"",COUNTIFS($AH$2:AH3018,AH3018,$AJ$2:AJ3018,1)=1),N(AL3017)+1,"")</f>
        <v/>
      </c>
      <c r="AL3018" s="54">
        <f>IF(AK3018&lt;&gt;"",AK3018,N(AL3017))</f>
        <v/>
      </c>
    </row>
    <row r="3019">
      <c r="A3019" t="inlineStr">
        <is>
          <t>CON-1006</t>
        </is>
      </c>
      <c r="B3019" t="inlineStr">
        <is>
          <t>Consulting</t>
        </is>
      </c>
      <c r="AB3019" t="n">
        <v>1006</v>
      </c>
      <c r="AD3019" s="52">
        <f>IFERROR(N(IFERROR(INDEX($A3019:$AB3019,MATCH("Xero Invoiced Ex GST",$A$1:$AB$1,0)),"")),0)</f>
        <v/>
      </c>
      <c r="AE3019" s="53">
        <f>IFERROR(INDEX($A3019:$AB3019,MATCH("Xero Invoice Date",$A$1:$AB$1,0)),"")</f>
        <v/>
      </c>
      <c r="AF3019" s="54">
        <f>IF(AND(IFERROR(INDEX($A3019:$AB3019,MATCH("Xero Invoice No",$A$1:$AB$1,0)),"")&amp;""&lt;&gt;"",ISNUMBER(AE3019),AD3019&lt;&gt;0),1,0)</f>
        <v/>
      </c>
      <c r="AG3019" s="55">
        <f>IF(AF3019=1,EOMONTH(AE3019,0),"")</f>
        <v/>
      </c>
      <c r="AH3019" s="9">
        <f>IF(AF3019=1,UPPER(TRIM(IFERROR(INDEX($A3019:$AB3019,MATCH("Client",$A$1:$AB$1,0)),"")&amp;"")),"")</f>
        <v/>
      </c>
      <c r="AI3019" s="9">
        <f>IF(AF3019=1,IFERROR(INDEX($A3019:$AB3019,MATCH("Cost Centre",$A$1:$AB$1,0)),"")&amp;"","")</f>
        <v/>
      </c>
      <c r="AJ3019" s="54">
        <f>IF(AND(AF3019=1,AE3019&gt;=set_FYStart,AE3019&lt;=set_AsAt),1,0)</f>
        <v/>
      </c>
      <c r="AK3019" s="54">
        <f>IF(AND(AJ3019=1,AH3019&lt;&gt;"",COUNTIFS($AH$2:AH3019,AH3019,$AJ$2:AJ3019,1)=1),N(AL3018)+1,"")</f>
        <v/>
      </c>
      <c r="AL3019" s="54">
        <f>IF(AK3019&lt;&gt;"",AK3019,N(AL3018))</f>
        <v/>
      </c>
    </row>
    <row r="3020">
      <c r="A3020" t="inlineStr">
        <is>
          <t>ONS-1007</t>
        </is>
      </c>
      <c r="B3020" t="inlineStr">
        <is>
          <t>Onsite</t>
        </is>
      </c>
      <c r="AB3020" t="n">
        <v>1007</v>
      </c>
      <c r="AD3020" s="52">
        <f>IFERROR(N(IFERROR(INDEX($A3020:$AB3020,MATCH("Xero Invoiced Ex GST",$A$1:$AB$1,0)),"")),0)</f>
        <v/>
      </c>
      <c r="AE3020" s="53">
        <f>IFERROR(INDEX($A3020:$AB3020,MATCH("Xero Invoice Date",$A$1:$AB$1,0)),"")</f>
        <v/>
      </c>
      <c r="AF3020" s="54">
        <f>IF(AND(IFERROR(INDEX($A3020:$AB3020,MATCH("Xero Invoice No",$A$1:$AB$1,0)),"")&amp;""&lt;&gt;"",ISNUMBER(AE3020),AD3020&lt;&gt;0),1,0)</f>
        <v/>
      </c>
      <c r="AG3020" s="55">
        <f>IF(AF3020=1,EOMONTH(AE3020,0),"")</f>
        <v/>
      </c>
      <c r="AH3020" s="9">
        <f>IF(AF3020=1,UPPER(TRIM(IFERROR(INDEX($A3020:$AB3020,MATCH("Client",$A$1:$AB$1,0)),"")&amp;"")),"")</f>
        <v/>
      </c>
      <c r="AI3020" s="9">
        <f>IF(AF3020=1,IFERROR(INDEX($A3020:$AB3020,MATCH("Cost Centre",$A$1:$AB$1,0)),"")&amp;"","")</f>
        <v/>
      </c>
      <c r="AJ3020" s="54">
        <f>IF(AND(AF3020=1,AE3020&gt;=set_FYStart,AE3020&lt;=set_AsAt),1,0)</f>
        <v/>
      </c>
      <c r="AK3020" s="54">
        <f>IF(AND(AJ3020=1,AH3020&lt;&gt;"",COUNTIFS($AH$2:AH3020,AH3020,$AJ$2:AJ3020,1)=1),N(AL3019)+1,"")</f>
        <v/>
      </c>
      <c r="AL3020" s="54">
        <f>IF(AK3020&lt;&gt;"",AK3020,N(AL3019))</f>
        <v/>
      </c>
    </row>
    <row r="3021">
      <c r="A3021" t="inlineStr">
        <is>
          <t>PRD-1007</t>
        </is>
      </c>
      <c r="B3021" t="inlineStr">
        <is>
          <t>Production</t>
        </is>
      </c>
      <c r="AB3021" t="n">
        <v>1007</v>
      </c>
      <c r="AD3021" s="52">
        <f>IFERROR(N(IFERROR(INDEX($A3021:$AB3021,MATCH("Xero Invoiced Ex GST",$A$1:$AB$1,0)),"")),0)</f>
        <v/>
      </c>
      <c r="AE3021" s="53">
        <f>IFERROR(INDEX($A3021:$AB3021,MATCH("Xero Invoice Date",$A$1:$AB$1,0)),"")</f>
        <v/>
      </c>
      <c r="AF3021" s="54">
        <f>IF(AND(IFERROR(INDEX($A3021:$AB3021,MATCH("Xero Invoice No",$A$1:$AB$1,0)),"")&amp;""&lt;&gt;"",ISNUMBER(AE3021),AD3021&lt;&gt;0),1,0)</f>
        <v/>
      </c>
      <c r="AG3021" s="55">
        <f>IF(AF3021=1,EOMONTH(AE3021,0),"")</f>
        <v/>
      </c>
      <c r="AH3021" s="9">
        <f>IF(AF3021=1,UPPER(TRIM(IFERROR(INDEX($A3021:$AB3021,MATCH("Client",$A$1:$AB$1,0)),"")&amp;"")),"")</f>
        <v/>
      </c>
      <c r="AI3021" s="9">
        <f>IF(AF3021=1,IFERROR(INDEX($A3021:$AB3021,MATCH("Cost Centre",$A$1:$AB$1,0)),"")&amp;"","")</f>
        <v/>
      </c>
      <c r="AJ3021" s="54">
        <f>IF(AND(AF3021=1,AE3021&gt;=set_FYStart,AE3021&lt;=set_AsAt),1,0)</f>
        <v/>
      </c>
      <c r="AK3021" s="54">
        <f>IF(AND(AJ3021=1,AH3021&lt;&gt;"",COUNTIFS($AH$2:AH3021,AH3021,$AJ$2:AJ3021,1)=1),N(AL3020)+1,"")</f>
        <v/>
      </c>
      <c r="AL3021" s="54">
        <f>IF(AK3021&lt;&gt;"",AK3021,N(AL3020))</f>
        <v/>
      </c>
    </row>
    <row r="3022">
      <c r="A3022" t="inlineStr">
        <is>
          <t>CON-1007</t>
        </is>
      </c>
      <c r="B3022" t="inlineStr">
        <is>
          <t>Consulting</t>
        </is>
      </c>
      <c r="AB3022" t="n">
        <v>1007</v>
      </c>
      <c r="AD3022" s="52">
        <f>IFERROR(N(IFERROR(INDEX($A3022:$AB3022,MATCH("Xero Invoiced Ex GST",$A$1:$AB$1,0)),"")),0)</f>
        <v/>
      </c>
      <c r="AE3022" s="53">
        <f>IFERROR(INDEX($A3022:$AB3022,MATCH("Xero Invoice Date",$A$1:$AB$1,0)),"")</f>
        <v/>
      </c>
      <c r="AF3022" s="54">
        <f>IF(AND(IFERROR(INDEX($A3022:$AB3022,MATCH("Xero Invoice No",$A$1:$AB$1,0)),"")&amp;""&lt;&gt;"",ISNUMBER(AE3022),AD3022&lt;&gt;0),1,0)</f>
        <v/>
      </c>
      <c r="AG3022" s="55">
        <f>IF(AF3022=1,EOMONTH(AE3022,0),"")</f>
        <v/>
      </c>
      <c r="AH3022" s="9">
        <f>IF(AF3022=1,UPPER(TRIM(IFERROR(INDEX($A3022:$AB3022,MATCH("Client",$A$1:$AB$1,0)),"")&amp;"")),"")</f>
        <v/>
      </c>
      <c r="AI3022" s="9">
        <f>IF(AF3022=1,IFERROR(INDEX($A3022:$AB3022,MATCH("Cost Centre",$A$1:$AB$1,0)),"")&amp;"","")</f>
        <v/>
      </c>
      <c r="AJ3022" s="54">
        <f>IF(AND(AF3022=1,AE3022&gt;=set_FYStart,AE3022&lt;=set_AsAt),1,0)</f>
        <v/>
      </c>
      <c r="AK3022" s="54">
        <f>IF(AND(AJ3022=1,AH3022&lt;&gt;"",COUNTIFS($AH$2:AH3022,AH3022,$AJ$2:AJ3022,1)=1),N(AL3021)+1,"")</f>
        <v/>
      </c>
      <c r="AL3022" s="54">
        <f>IF(AK3022&lt;&gt;"",AK3022,N(AL3021))</f>
        <v/>
      </c>
    </row>
    <row r="3023">
      <c r="A3023" t="inlineStr">
        <is>
          <t>ONS-1008</t>
        </is>
      </c>
      <c r="B3023" t="inlineStr">
        <is>
          <t>Onsite</t>
        </is>
      </c>
      <c r="AB3023" t="n">
        <v>1008</v>
      </c>
      <c r="AD3023" s="52">
        <f>IFERROR(N(IFERROR(INDEX($A3023:$AB3023,MATCH("Xero Invoiced Ex GST",$A$1:$AB$1,0)),"")),0)</f>
        <v/>
      </c>
      <c r="AE3023" s="53">
        <f>IFERROR(INDEX($A3023:$AB3023,MATCH("Xero Invoice Date",$A$1:$AB$1,0)),"")</f>
        <v/>
      </c>
      <c r="AF3023" s="54">
        <f>IF(AND(IFERROR(INDEX($A3023:$AB3023,MATCH("Xero Invoice No",$A$1:$AB$1,0)),"")&amp;""&lt;&gt;"",ISNUMBER(AE3023),AD3023&lt;&gt;0),1,0)</f>
        <v/>
      </c>
      <c r="AG3023" s="55">
        <f>IF(AF3023=1,EOMONTH(AE3023,0),"")</f>
        <v/>
      </c>
      <c r="AH3023" s="9">
        <f>IF(AF3023=1,UPPER(TRIM(IFERROR(INDEX($A3023:$AB3023,MATCH("Client",$A$1:$AB$1,0)),"")&amp;"")),"")</f>
        <v/>
      </c>
      <c r="AI3023" s="9">
        <f>IF(AF3023=1,IFERROR(INDEX($A3023:$AB3023,MATCH("Cost Centre",$A$1:$AB$1,0)),"")&amp;"","")</f>
        <v/>
      </c>
      <c r="AJ3023" s="54">
        <f>IF(AND(AF3023=1,AE3023&gt;=set_FYStart,AE3023&lt;=set_AsAt),1,0)</f>
        <v/>
      </c>
      <c r="AK3023" s="54">
        <f>IF(AND(AJ3023=1,AH3023&lt;&gt;"",COUNTIFS($AH$2:AH3023,AH3023,$AJ$2:AJ3023,1)=1),N(AL3022)+1,"")</f>
        <v/>
      </c>
      <c r="AL3023" s="54">
        <f>IF(AK3023&lt;&gt;"",AK3023,N(AL3022))</f>
        <v/>
      </c>
    </row>
    <row r="3024">
      <c r="A3024" t="inlineStr">
        <is>
          <t>PRD-1008</t>
        </is>
      </c>
      <c r="B3024" t="inlineStr">
        <is>
          <t>Production</t>
        </is>
      </c>
      <c r="AB3024" t="n">
        <v>1008</v>
      </c>
      <c r="AD3024" s="52">
        <f>IFERROR(N(IFERROR(INDEX($A3024:$AB3024,MATCH("Xero Invoiced Ex GST",$A$1:$AB$1,0)),"")),0)</f>
        <v/>
      </c>
      <c r="AE3024" s="53">
        <f>IFERROR(INDEX($A3024:$AB3024,MATCH("Xero Invoice Date",$A$1:$AB$1,0)),"")</f>
        <v/>
      </c>
      <c r="AF3024" s="54">
        <f>IF(AND(IFERROR(INDEX($A3024:$AB3024,MATCH("Xero Invoice No",$A$1:$AB$1,0)),"")&amp;""&lt;&gt;"",ISNUMBER(AE3024),AD3024&lt;&gt;0),1,0)</f>
        <v/>
      </c>
      <c r="AG3024" s="55">
        <f>IF(AF3024=1,EOMONTH(AE3024,0),"")</f>
        <v/>
      </c>
      <c r="AH3024" s="9">
        <f>IF(AF3024=1,UPPER(TRIM(IFERROR(INDEX($A3024:$AB3024,MATCH("Client",$A$1:$AB$1,0)),"")&amp;"")),"")</f>
        <v/>
      </c>
      <c r="AI3024" s="9">
        <f>IF(AF3024=1,IFERROR(INDEX($A3024:$AB3024,MATCH("Cost Centre",$A$1:$AB$1,0)),"")&amp;"","")</f>
        <v/>
      </c>
      <c r="AJ3024" s="54">
        <f>IF(AND(AF3024=1,AE3024&gt;=set_FYStart,AE3024&lt;=set_AsAt),1,0)</f>
        <v/>
      </c>
      <c r="AK3024" s="54">
        <f>IF(AND(AJ3024=1,AH3024&lt;&gt;"",COUNTIFS($AH$2:AH3024,AH3024,$AJ$2:AJ3024,1)=1),N(AL3023)+1,"")</f>
        <v/>
      </c>
      <c r="AL3024" s="54">
        <f>IF(AK3024&lt;&gt;"",AK3024,N(AL3023))</f>
        <v/>
      </c>
    </row>
    <row r="3025">
      <c r="A3025" t="inlineStr">
        <is>
          <t>CON-1008</t>
        </is>
      </c>
      <c r="B3025" t="inlineStr">
        <is>
          <t>Consulting</t>
        </is>
      </c>
      <c r="AB3025" t="n">
        <v>1008</v>
      </c>
      <c r="AD3025" s="52">
        <f>IFERROR(N(IFERROR(INDEX($A3025:$AB3025,MATCH("Xero Invoiced Ex GST",$A$1:$AB$1,0)),"")),0)</f>
        <v/>
      </c>
      <c r="AE3025" s="53">
        <f>IFERROR(INDEX($A3025:$AB3025,MATCH("Xero Invoice Date",$A$1:$AB$1,0)),"")</f>
        <v/>
      </c>
      <c r="AF3025" s="54">
        <f>IF(AND(IFERROR(INDEX($A3025:$AB3025,MATCH("Xero Invoice No",$A$1:$AB$1,0)),"")&amp;""&lt;&gt;"",ISNUMBER(AE3025),AD3025&lt;&gt;0),1,0)</f>
        <v/>
      </c>
      <c r="AG3025" s="55">
        <f>IF(AF3025=1,EOMONTH(AE3025,0),"")</f>
        <v/>
      </c>
      <c r="AH3025" s="9">
        <f>IF(AF3025=1,UPPER(TRIM(IFERROR(INDEX($A3025:$AB3025,MATCH("Client",$A$1:$AB$1,0)),"")&amp;"")),"")</f>
        <v/>
      </c>
      <c r="AI3025" s="9">
        <f>IF(AF3025=1,IFERROR(INDEX($A3025:$AB3025,MATCH("Cost Centre",$A$1:$AB$1,0)),"")&amp;"","")</f>
        <v/>
      </c>
      <c r="AJ3025" s="54">
        <f>IF(AND(AF3025=1,AE3025&gt;=set_FYStart,AE3025&lt;=set_AsAt),1,0)</f>
        <v/>
      </c>
      <c r="AK3025" s="54">
        <f>IF(AND(AJ3025=1,AH3025&lt;&gt;"",COUNTIFS($AH$2:AH3025,AH3025,$AJ$2:AJ3025,1)=1),N(AL3024)+1,"")</f>
        <v/>
      </c>
      <c r="AL3025" s="54">
        <f>IF(AK3025&lt;&gt;"",AK3025,N(AL3024))</f>
        <v/>
      </c>
    </row>
    <row r="3026">
      <c r="A3026" t="inlineStr">
        <is>
          <t>ONS-1009</t>
        </is>
      </c>
      <c r="B3026" t="inlineStr">
        <is>
          <t>Onsite</t>
        </is>
      </c>
      <c r="AB3026" t="n">
        <v>1009</v>
      </c>
      <c r="AD3026" s="52">
        <f>IFERROR(N(IFERROR(INDEX($A3026:$AB3026,MATCH("Xero Invoiced Ex GST",$A$1:$AB$1,0)),"")),0)</f>
        <v/>
      </c>
      <c r="AE3026" s="53">
        <f>IFERROR(INDEX($A3026:$AB3026,MATCH("Xero Invoice Date",$A$1:$AB$1,0)),"")</f>
        <v/>
      </c>
      <c r="AF3026" s="54">
        <f>IF(AND(IFERROR(INDEX($A3026:$AB3026,MATCH("Xero Invoice No",$A$1:$AB$1,0)),"")&amp;""&lt;&gt;"",ISNUMBER(AE3026),AD3026&lt;&gt;0),1,0)</f>
        <v/>
      </c>
      <c r="AG3026" s="55">
        <f>IF(AF3026=1,EOMONTH(AE3026,0),"")</f>
        <v/>
      </c>
      <c r="AH3026" s="9">
        <f>IF(AF3026=1,UPPER(TRIM(IFERROR(INDEX($A3026:$AB3026,MATCH("Client",$A$1:$AB$1,0)),"")&amp;"")),"")</f>
        <v/>
      </c>
      <c r="AI3026" s="9">
        <f>IF(AF3026=1,IFERROR(INDEX($A3026:$AB3026,MATCH("Cost Centre",$A$1:$AB$1,0)),"")&amp;"","")</f>
        <v/>
      </c>
      <c r="AJ3026" s="54">
        <f>IF(AND(AF3026=1,AE3026&gt;=set_FYStart,AE3026&lt;=set_AsAt),1,0)</f>
        <v/>
      </c>
      <c r="AK3026" s="54">
        <f>IF(AND(AJ3026=1,AH3026&lt;&gt;"",COUNTIFS($AH$2:AH3026,AH3026,$AJ$2:AJ3026,1)=1),N(AL3025)+1,"")</f>
        <v/>
      </c>
      <c r="AL3026" s="54">
        <f>IF(AK3026&lt;&gt;"",AK3026,N(AL3025))</f>
        <v/>
      </c>
    </row>
    <row r="3027">
      <c r="A3027" t="inlineStr">
        <is>
          <t>PRD-1009</t>
        </is>
      </c>
      <c r="B3027" t="inlineStr">
        <is>
          <t>Production</t>
        </is>
      </c>
      <c r="AB3027" t="n">
        <v>1009</v>
      </c>
      <c r="AD3027" s="52">
        <f>IFERROR(N(IFERROR(INDEX($A3027:$AB3027,MATCH("Xero Invoiced Ex GST",$A$1:$AB$1,0)),"")),0)</f>
        <v/>
      </c>
      <c r="AE3027" s="53">
        <f>IFERROR(INDEX($A3027:$AB3027,MATCH("Xero Invoice Date",$A$1:$AB$1,0)),"")</f>
        <v/>
      </c>
      <c r="AF3027" s="54">
        <f>IF(AND(IFERROR(INDEX($A3027:$AB3027,MATCH("Xero Invoice No",$A$1:$AB$1,0)),"")&amp;""&lt;&gt;"",ISNUMBER(AE3027),AD3027&lt;&gt;0),1,0)</f>
        <v/>
      </c>
      <c r="AG3027" s="55">
        <f>IF(AF3027=1,EOMONTH(AE3027,0),"")</f>
        <v/>
      </c>
      <c r="AH3027" s="9">
        <f>IF(AF3027=1,UPPER(TRIM(IFERROR(INDEX($A3027:$AB3027,MATCH("Client",$A$1:$AB$1,0)),"")&amp;"")),"")</f>
        <v/>
      </c>
      <c r="AI3027" s="9">
        <f>IF(AF3027=1,IFERROR(INDEX($A3027:$AB3027,MATCH("Cost Centre",$A$1:$AB$1,0)),"")&amp;"","")</f>
        <v/>
      </c>
      <c r="AJ3027" s="54">
        <f>IF(AND(AF3027=1,AE3027&gt;=set_FYStart,AE3027&lt;=set_AsAt),1,0)</f>
        <v/>
      </c>
      <c r="AK3027" s="54">
        <f>IF(AND(AJ3027=1,AH3027&lt;&gt;"",COUNTIFS($AH$2:AH3027,AH3027,$AJ$2:AJ3027,1)=1),N(AL3026)+1,"")</f>
        <v/>
      </c>
      <c r="AL3027" s="54">
        <f>IF(AK3027&lt;&gt;"",AK3027,N(AL3026))</f>
        <v/>
      </c>
    </row>
    <row r="3028">
      <c r="A3028" t="inlineStr">
        <is>
          <t>CON-1009</t>
        </is>
      </c>
      <c r="B3028" t="inlineStr">
        <is>
          <t>Consulting</t>
        </is>
      </c>
      <c r="AB3028" t="n">
        <v>1009</v>
      </c>
      <c r="AD3028" s="52">
        <f>IFERROR(N(IFERROR(INDEX($A3028:$AB3028,MATCH("Xero Invoiced Ex GST",$A$1:$AB$1,0)),"")),0)</f>
        <v/>
      </c>
      <c r="AE3028" s="53">
        <f>IFERROR(INDEX($A3028:$AB3028,MATCH("Xero Invoice Date",$A$1:$AB$1,0)),"")</f>
        <v/>
      </c>
      <c r="AF3028" s="54">
        <f>IF(AND(IFERROR(INDEX($A3028:$AB3028,MATCH("Xero Invoice No",$A$1:$AB$1,0)),"")&amp;""&lt;&gt;"",ISNUMBER(AE3028),AD3028&lt;&gt;0),1,0)</f>
        <v/>
      </c>
      <c r="AG3028" s="55">
        <f>IF(AF3028=1,EOMONTH(AE3028,0),"")</f>
        <v/>
      </c>
      <c r="AH3028" s="9">
        <f>IF(AF3028=1,UPPER(TRIM(IFERROR(INDEX($A3028:$AB3028,MATCH("Client",$A$1:$AB$1,0)),"")&amp;"")),"")</f>
        <v/>
      </c>
      <c r="AI3028" s="9">
        <f>IF(AF3028=1,IFERROR(INDEX($A3028:$AB3028,MATCH("Cost Centre",$A$1:$AB$1,0)),"")&amp;"","")</f>
        <v/>
      </c>
      <c r="AJ3028" s="54">
        <f>IF(AND(AF3028=1,AE3028&gt;=set_FYStart,AE3028&lt;=set_AsAt),1,0)</f>
        <v/>
      </c>
      <c r="AK3028" s="54">
        <f>IF(AND(AJ3028=1,AH3028&lt;&gt;"",COUNTIFS($AH$2:AH3028,AH3028,$AJ$2:AJ3028,1)=1),N(AL3027)+1,"")</f>
        <v/>
      </c>
      <c r="AL3028" s="54">
        <f>IF(AK3028&lt;&gt;"",AK3028,N(AL3027))</f>
        <v/>
      </c>
    </row>
    <row r="3029">
      <c r="A3029" t="inlineStr">
        <is>
          <t>ONS-1010</t>
        </is>
      </c>
      <c r="B3029" t="inlineStr">
        <is>
          <t>Onsite</t>
        </is>
      </c>
      <c r="AB3029" t="n">
        <v>1010</v>
      </c>
      <c r="AD3029" s="52">
        <f>IFERROR(N(IFERROR(INDEX($A3029:$AB3029,MATCH("Xero Invoiced Ex GST",$A$1:$AB$1,0)),"")),0)</f>
        <v/>
      </c>
      <c r="AE3029" s="53">
        <f>IFERROR(INDEX($A3029:$AB3029,MATCH("Xero Invoice Date",$A$1:$AB$1,0)),"")</f>
        <v/>
      </c>
      <c r="AF3029" s="54">
        <f>IF(AND(IFERROR(INDEX($A3029:$AB3029,MATCH("Xero Invoice No",$A$1:$AB$1,0)),"")&amp;""&lt;&gt;"",ISNUMBER(AE3029),AD3029&lt;&gt;0),1,0)</f>
        <v/>
      </c>
      <c r="AG3029" s="55">
        <f>IF(AF3029=1,EOMONTH(AE3029,0),"")</f>
        <v/>
      </c>
      <c r="AH3029" s="9">
        <f>IF(AF3029=1,UPPER(TRIM(IFERROR(INDEX($A3029:$AB3029,MATCH("Client",$A$1:$AB$1,0)),"")&amp;"")),"")</f>
        <v/>
      </c>
      <c r="AI3029" s="9">
        <f>IF(AF3029=1,IFERROR(INDEX($A3029:$AB3029,MATCH("Cost Centre",$A$1:$AB$1,0)),"")&amp;"","")</f>
        <v/>
      </c>
      <c r="AJ3029" s="54">
        <f>IF(AND(AF3029=1,AE3029&gt;=set_FYStart,AE3029&lt;=set_AsAt),1,0)</f>
        <v/>
      </c>
      <c r="AK3029" s="54">
        <f>IF(AND(AJ3029=1,AH3029&lt;&gt;"",COUNTIFS($AH$2:AH3029,AH3029,$AJ$2:AJ3029,1)=1),N(AL3028)+1,"")</f>
        <v/>
      </c>
      <c r="AL3029" s="54">
        <f>IF(AK3029&lt;&gt;"",AK3029,N(AL3028))</f>
        <v/>
      </c>
    </row>
    <row r="3030">
      <c r="A3030" t="inlineStr">
        <is>
          <t>PRD-1010</t>
        </is>
      </c>
      <c r="B3030" t="inlineStr">
        <is>
          <t>Production</t>
        </is>
      </c>
      <c r="AB3030" t="n">
        <v>1010</v>
      </c>
      <c r="AD3030" s="52">
        <f>IFERROR(N(IFERROR(INDEX($A3030:$AB3030,MATCH("Xero Invoiced Ex GST",$A$1:$AB$1,0)),"")),0)</f>
        <v/>
      </c>
      <c r="AE3030" s="53">
        <f>IFERROR(INDEX($A3030:$AB3030,MATCH("Xero Invoice Date",$A$1:$AB$1,0)),"")</f>
        <v/>
      </c>
      <c r="AF3030" s="54">
        <f>IF(AND(IFERROR(INDEX($A3030:$AB3030,MATCH("Xero Invoice No",$A$1:$AB$1,0)),"")&amp;""&lt;&gt;"",ISNUMBER(AE3030),AD3030&lt;&gt;0),1,0)</f>
        <v/>
      </c>
      <c r="AG3030" s="55">
        <f>IF(AF3030=1,EOMONTH(AE3030,0),"")</f>
        <v/>
      </c>
      <c r="AH3030" s="9">
        <f>IF(AF3030=1,UPPER(TRIM(IFERROR(INDEX($A3030:$AB3030,MATCH("Client",$A$1:$AB$1,0)),"")&amp;"")),"")</f>
        <v/>
      </c>
      <c r="AI3030" s="9">
        <f>IF(AF3030=1,IFERROR(INDEX($A3030:$AB3030,MATCH("Cost Centre",$A$1:$AB$1,0)),"")&amp;"","")</f>
        <v/>
      </c>
      <c r="AJ3030" s="54">
        <f>IF(AND(AF3030=1,AE3030&gt;=set_FYStart,AE3030&lt;=set_AsAt),1,0)</f>
        <v/>
      </c>
      <c r="AK3030" s="54">
        <f>IF(AND(AJ3030=1,AH3030&lt;&gt;"",COUNTIFS($AH$2:AH3030,AH3030,$AJ$2:AJ3030,1)=1),N(AL3029)+1,"")</f>
        <v/>
      </c>
      <c r="AL3030" s="54">
        <f>IF(AK3030&lt;&gt;"",AK3030,N(AL3029))</f>
        <v/>
      </c>
    </row>
    <row r="3031">
      <c r="A3031" t="inlineStr">
        <is>
          <t>CON-1010</t>
        </is>
      </c>
      <c r="B3031" t="inlineStr">
        <is>
          <t>Consulting</t>
        </is>
      </c>
      <c r="AB3031" t="n">
        <v>1010</v>
      </c>
      <c r="AD3031" s="52">
        <f>IFERROR(N(IFERROR(INDEX($A3031:$AB3031,MATCH("Xero Invoiced Ex GST",$A$1:$AB$1,0)),"")),0)</f>
        <v/>
      </c>
      <c r="AE3031" s="53">
        <f>IFERROR(INDEX($A3031:$AB3031,MATCH("Xero Invoice Date",$A$1:$AB$1,0)),"")</f>
        <v/>
      </c>
      <c r="AF3031" s="54">
        <f>IF(AND(IFERROR(INDEX($A3031:$AB3031,MATCH("Xero Invoice No",$A$1:$AB$1,0)),"")&amp;""&lt;&gt;"",ISNUMBER(AE3031),AD3031&lt;&gt;0),1,0)</f>
        <v/>
      </c>
      <c r="AG3031" s="55">
        <f>IF(AF3031=1,EOMONTH(AE3031,0),"")</f>
        <v/>
      </c>
      <c r="AH3031" s="9">
        <f>IF(AF3031=1,UPPER(TRIM(IFERROR(INDEX($A3031:$AB3031,MATCH("Client",$A$1:$AB$1,0)),"")&amp;"")),"")</f>
        <v/>
      </c>
      <c r="AI3031" s="9">
        <f>IF(AF3031=1,IFERROR(INDEX($A3031:$AB3031,MATCH("Cost Centre",$A$1:$AB$1,0)),"")&amp;"","")</f>
        <v/>
      </c>
      <c r="AJ3031" s="54">
        <f>IF(AND(AF3031=1,AE3031&gt;=set_FYStart,AE3031&lt;=set_AsAt),1,0)</f>
        <v/>
      </c>
      <c r="AK3031" s="54">
        <f>IF(AND(AJ3031=1,AH3031&lt;&gt;"",COUNTIFS($AH$2:AH3031,AH3031,$AJ$2:AJ3031,1)=1),N(AL3030)+1,"")</f>
        <v/>
      </c>
      <c r="AL3031" s="54">
        <f>IF(AK3031&lt;&gt;"",AK3031,N(AL3030))</f>
        <v/>
      </c>
    </row>
    <row r="3032">
      <c r="A3032" t="inlineStr">
        <is>
          <t>ONS-1011</t>
        </is>
      </c>
      <c r="B3032" t="inlineStr">
        <is>
          <t>Onsite</t>
        </is>
      </c>
      <c r="AB3032" t="n">
        <v>1011</v>
      </c>
      <c r="AD3032" s="52">
        <f>IFERROR(N(IFERROR(INDEX($A3032:$AB3032,MATCH("Xero Invoiced Ex GST",$A$1:$AB$1,0)),"")),0)</f>
        <v/>
      </c>
      <c r="AE3032" s="53">
        <f>IFERROR(INDEX($A3032:$AB3032,MATCH("Xero Invoice Date",$A$1:$AB$1,0)),"")</f>
        <v/>
      </c>
      <c r="AF3032" s="54">
        <f>IF(AND(IFERROR(INDEX($A3032:$AB3032,MATCH("Xero Invoice No",$A$1:$AB$1,0)),"")&amp;""&lt;&gt;"",ISNUMBER(AE3032),AD3032&lt;&gt;0),1,0)</f>
        <v/>
      </c>
      <c r="AG3032" s="55">
        <f>IF(AF3032=1,EOMONTH(AE3032,0),"")</f>
        <v/>
      </c>
      <c r="AH3032" s="9">
        <f>IF(AF3032=1,UPPER(TRIM(IFERROR(INDEX($A3032:$AB3032,MATCH("Client",$A$1:$AB$1,0)),"")&amp;"")),"")</f>
        <v/>
      </c>
      <c r="AI3032" s="9">
        <f>IF(AF3032=1,IFERROR(INDEX($A3032:$AB3032,MATCH("Cost Centre",$A$1:$AB$1,0)),"")&amp;"","")</f>
        <v/>
      </c>
      <c r="AJ3032" s="54">
        <f>IF(AND(AF3032=1,AE3032&gt;=set_FYStart,AE3032&lt;=set_AsAt),1,0)</f>
        <v/>
      </c>
      <c r="AK3032" s="54">
        <f>IF(AND(AJ3032=1,AH3032&lt;&gt;"",COUNTIFS($AH$2:AH3032,AH3032,$AJ$2:AJ3032,1)=1),N(AL3031)+1,"")</f>
        <v/>
      </c>
      <c r="AL3032" s="54">
        <f>IF(AK3032&lt;&gt;"",AK3032,N(AL3031))</f>
        <v/>
      </c>
    </row>
    <row r="3033">
      <c r="A3033" t="inlineStr">
        <is>
          <t>PRD-1011</t>
        </is>
      </c>
      <c r="B3033" t="inlineStr">
        <is>
          <t>Production</t>
        </is>
      </c>
      <c r="AB3033" t="n">
        <v>1011</v>
      </c>
      <c r="AD3033" s="52">
        <f>IFERROR(N(IFERROR(INDEX($A3033:$AB3033,MATCH("Xero Invoiced Ex GST",$A$1:$AB$1,0)),"")),0)</f>
        <v/>
      </c>
      <c r="AE3033" s="53">
        <f>IFERROR(INDEX($A3033:$AB3033,MATCH("Xero Invoice Date",$A$1:$AB$1,0)),"")</f>
        <v/>
      </c>
      <c r="AF3033" s="54">
        <f>IF(AND(IFERROR(INDEX($A3033:$AB3033,MATCH("Xero Invoice No",$A$1:$AB$1,0)),"")&amp;""&lt;&gt;"",ISNUMBER(AE3033),AD3033&lt;&gt;0),1,0)</f>
        <v/>
      </c>
      <c r="AG3033" s="55">
        <f>IF(AF3033=1,EOMONTH(AE3033,0),"")</f>
        <v/>
      </c>
      <c r="AH3033" s="9">
        <f>IF(AF3033=1,UPPER(TRIM(IFERROR(INDEX($A3033:$AB3033,MATCH("Client",$A$1:$AB$1,0)),"")&amp;"")),"")</f>
        <v/>
      </c>
      <c r="AI3033" s="9">
        <f>IF(AF3033=1,IFERROR(INDEX($A3033:$AB3033,MATCH("Cost Centre",$A$1:$AB$1,0)),"")&amp;"","")</f>
        <v/>
      </c>
      <c r="AJ3033" s="54">
        <f>IF(AND(AF3033=1,AE3033&gt;=set_FYStart,AE3033&lt;=set_AsAt),1,0)</f>
        <v/>
      </c>
      <c r="AK3033" s="54">
        <f>IF(AND(AJ3033=1,AH3033&lt;&gt;"",COUNTIFS($AH$2:AH3033,AH3033,$AJ$2:AJ3033,1)=1),N(AL3032)+1,"")</f>
        <v/>
      </c>
      <c r="AL3033" s="54">
        <f>IF(AK3033&lt;&gt;"",AK3033,N(AL3032))</f>
        <v/>
      </c>
    </row>
    <row r="3034">
      <c r="A3034" t="inlineStr">
        <is>
          <t>CON-1011</t>
        </is>
      </c>
      <c r="B3034" t="inlineStr">
        <is>
          <t>Consulting</t>
        </is>
      </c>
      <c r="AB3034" t="n">
        <v>1011</v>
      </c>
      <c r="AD3034" s="52">
        <f>IFERROR(N(IFERROR(INDEX($A3034:$AB3034,MATCH("Xero Invoiced Ex GST",$A$1:$AB$1,0)),"")),0)</f>
        <v/>
      </c>
      <c r="AE3034" s="53">
        <f>IFERROR(INDEX($A3034:$AB3034,MATCH("Xero Invoice Date",$A$1:$AB$1,0)),"")</f>
        <v/>
      </c>
      <c r="AF3034" s="54">
        <f>IF(AND(IFERROR(INDEX($A3034:$AB3034,MATCH("Xero Invoice No",$A$1:$AB$1,0)),"")&amp;""&lt;&gt;"",ISNUMBER(AE3034),AD3034&lt;&gt;0),1,0)</f>
        <v/>
      </c>
      <c r="AG3034" s="55">
        <f>IF(AF3034=1,EOMONTH(AE3034,0),"")</f>
        <v/>
      </c>
      <c r="AH3034" s="9">
        <f>IF(AF3034=1,UPPER(TRIM(IFERROR(INDEX($A3034:$AB3034,MATCH("Client",$A$1:$AB$1,0)),"")&amp;"")),"")</f>
        <v/>
      </c>
      <c r="AI3034" s="9">
        <f>IF(AF3034=1,IFERROR(INDEX($A3034:$AB3034,MATCH("Cost Centre",$A$1:$AB$1,0)),"")&amp;"","")</f>
        <v/>
      </c>
      <c r="AJ3034" s="54">
        <f>IF(AND(AF3034=1,AE3034&gt;=set_FYStart,AE3034&lt;=set_AsAt),1,0)</f>
        <v/>
      </c>
      <c r="AK3034" s="54">
        <f>IF(AND(AJ3034=1,AH3034&lt;&gt;"",COUNTIFS($AH$2:AH3034,AH3034,$AJ$2:AJ3034,1)=1),N(AL3033)+1,"")</f>
        <v/>
      </c>
      <c r="AL3034" s="54">
        <f>IF(AK3034&lt;&gt;"",AK3034,N(AL3033))</f>
        <v/>
      </c>
    </row>
    <row r="3035">
      <c r="A3035" t="inlineStr">
        <is>
          <t>ONS-1012</t>
        </is>
      </c>
      <c r="B3035" t="inlineStr">
        <is>
          <t>Onsite</t>
        </is>
      </c>
      <c r="AB3035" t="n">
        <v>1012</v>
      </c>
      <c r="AD3035" s="52">
        <f>IFERROR(N(IFERROR(INDEX($A3035:$AB3035,MATCH("Xero Invoiced Ex GST",$A$1:$AB$1,0)),"")),0)</f>
        <v/>
      </c>
      <c r="AE3035" s="53">
        <f>IFERROR(INDEX($A3035:$AB3035,MATCH("Xero Invoice Date",$A$1:$AB$1,0)),"")</f>
        <v/>
      </c>
      <c r="AF3035" s="54">
        <f>IF(AND(IFERROR(INDEX($A3035:$AB3035,MATCH("Xero Invoice No",$A$1:$AB$1,0)),"")&amp;""&lt;&gt;"",ISNUMBER(AE3035),AD3035&lt;&gt;0),1,0)</f>
        <v/>
      </c>
      <c r="AG3035" s="55">
        <f>IF(AF3035=1,EOMONTH(AE3035,0),"")</f>
        <v/>
      </c>
      <c r="AH3035" s="9">
        <f>IF(AF3035=1,UPPER(TRIM(IFERROR(INDEX($A3035:$AB3035,MATCH("Client",$A$1:$AB$1,0)),"")&amp;"")),"")</f>
        <v/>
      </c>
      <c r="AI3035" s="9">
        <f>IF(AF3035=1,IFERROR(INDEX($A3035:$AB3035,MATCH("Cost Centre",$A$1:$AB$1,0)),"")&amp;"","")</f>
        <v/>
      </c>
      <c r="AJ3035" s="54">
        <f>IF(AND(AF3035=1,AE3035&gt;=set_FYStart,AE3035&lt;=set_AsAt),1,0)</f>
        <v/>
      </c>
      <c r="AK3035" s="54">
        <f>IF(AND(AJ3035=1,AH3035&lt;&gt;"",COUNTIFS($AH$2:AH3035,AH3035,$AJ$2:AJ3035,1)=1),N(AL3034)+1,"")</f>
        <v/>
      </c>
      <c r="AL3035" s="54">
        <f>IF(AK3035&lt;&gt;"",AK3035,N(AL3034))</f>
        <v/>
      </c>
    </row>
    <row r="3036">
      <c r="A3036" t="inlineStr">
        <is>
          <t>PRD-1012</t>
        </is>
      </c>
      <c r="B3036" t="inlineStr">
        <is>
          <t>Production</t>
        </is>
      </c>
      <c r="AB3036" t="n">
        <v>1012</v>
      </c>
      <c r="AD3036" s="52">
        <f>IFERROR(N(IFERROR(INDEX($A3036:$AB3036,MATCH("Xero Invoiced Ex GST",$A$1:$AB$1,0)),"")),0)</f>
        <v/>
      </c>
      <c r="AE3036" s="53">
        <f>IFERROR(INDEX($A3036:$AB3036,MATCH("Xero Invoice Date",$A$1:$AB$1,0)),"")</f>
        <v/>
      </c>
      <c r="AF3036" s="54">
        <f>IF(AND(IFERROR(INDEX($A3036:$AB3036,MATCH("Xero Invoice No",$A$1:$AB$1,0)),"")&amp;""&lt;&gt;"",ISNUMBER(AE3036),AD3036&lt;&gt;0),1,0)</f>
        <v/>
      </c>
      <c r="AG3036" s="55">
        <f>IF(AF3036=1,EOMONTH(AE3036,0),"")</f>
        <v/>
      </c>
      <c r="AH3036" s="9">
        <f>IF(AF3036=1,UPPER(TRIM(IFERROR(INDEX($A3036:$AB3036,MATCH("Client",$A$1:$AB$1,0)),"")&amp;"")),"")</f>
        <v/>
      </c>
      <c r="AI3036" s="9">
        <f>IF(AF3036=1,IFERROR(INDEX($A3036:$AB3036,MATCH("Cost Centre",$A$1:$AB$1,0)),"")&amp;"","")</f>
        <v/>
      </c>
      <c r="AJ3036" s="54">
        <f>IF(AND(AF3036=1,AE3036&gt;=set_FYStart,AE3036&lt;=set_AsAt),1,0)</f>
        <v/>
      </c>
      <c r="AK3036" s="54">
        <f>IF(AND(AJ3036=1,AH3036&lt;&gt;"",COUNTIFS($AH$2:AH3036,AH3036,$AJ$2:AJ3036,1)=1),N(AL3035)+1,"")</f>
        <v/>
      </c>
      <c r="AL3036" s="54">
        <f>IF(AK3036&lt;&gt;"",AK3036,N(AL3035))</f>
        <v/>
      </c>
    </row>
    <row r="3037">
      <c r="A3037" t="inlineStr">
        <is>
          <t>CON-1012</t>
        </is>
      </c>
      <c r="B3037" t="inlineStr">
        <is>
          <t>Consulting</t>
        </is>
      </c>
      <c r="AB3037" t="n">
        <v>1012</v>
      </c>
      <c r="AD3037" s="52">
        <f>IFERROR(N(IFERROR(INDEX($A3037:$AB3037,MATCH("Xero Invoiced Ex GST",$A$1:$AB$1,0)),"")),0)</f>
        <v/>
      </c>
      <c r="AE3037" s="53">
        <f>IFERROR(INDEX($A3037:$AB3037,MATCH("Xero Invoice Date",$A$1:$AB$1,0)),"")</f>
        <v/>
      </c>
      <c r="AF3037" s="54">
        <f>IF(AND(IFERROR(INDEX($A3037:$AB3037,MATCH("Xero Invoice No",$A$1:$AB$1,0)),"")&amp;""&lt;&gt;"",ISNUMBER(AE3037),AD3037&lt;&gt;0),1,0)</f>
        <v/>
      </c>
      <c r="AG3037" s="55">
        <f>IF(AF3037=1,EOMONTH(AE3037,0),"")</f>
        <v/>
      </c>
      <c r="AH3037" s="9">
        <f>IF(AF3037=1,UPPER(TRIM(IFERROR(INDEX($A3037:$AB3037,MATCH("Client",$A$1:$AB$1,0)),"")&amp;"")),"")</f>
        <v/>
      </c>
      <c r="AI3037" s="9">
        <f>IF(AF3037=1,IFERROR(INDEX($A3037:$AB3037,MATCH("Cost Centre",$A$1:$AB$1,0)),"")&amp;"","")</f>
        <v/>
      </c>
      <c r="AJ3037" s="54">
        <f>IF(AND(AF3037=1,AE3037&gt;=set_FYStart,AE3037&lt;=set_AsAt),1,0)</f>
        <v/>
      </c>
      <c r="AK3037" s="54">
        <f>IF(AND(AJ3037=1,AH3037&lt;&gt;"",COUNTIFS($AH$2:AH3037,AH3037,$AJ$2:AJ3037,1)=1),N(AL3036)+1,"")</f>
        <v/>
      </c>
      <c r="AL3037" s="54">
        <f>IF(AK3037&lt;&gt;"",AK3037,N(AL3036))</f>
        <v/>
      </c>
    </row>
    <row r="3038">
      <c r="A3038" t="inlineStr">
        <is>
          <t>ONS-1013</t>
        </is>
      </c>
      <c r="B3038" t="inlineStr">
        <is>
          <t>Onsite</t>
        </is>
      </c>
      <c r="AB3038" t="n">
        <v>1013</v>
      </c>
      <c r="AD3038" s="52">
        <f>IFERROR(N(IFERROR(INDEX($A3038:$AB3038,MATCH("Xero Invoiced Ex GST",$A$1:$AB$1,0)),"")),0)</f>
        <v/>
      </c>
      <c r="AE3038" s="53">
        <f>IFERROR(INDEX($A3038:$AB3038,MATCH("Xero Invoice Date",$A$1:$AB$1,0)),"")</f>
        <v/>
      </c>
      <c r="AF3038" s="54">
        <f>IF(AND(IFERROR(INDEX($A3038:$AB3038,MATCH("Xero Invoice No",$A$1:$AB$1,0)),"")&amp;""&lt;&gt;"",ISNUMBER(AE3038),AD3038&lt;&gt;0),1,0)</f>
        <v/>
      </c>
      <c r="AG3038" s="55">
        <f>IF(AF3038=1,EOMONTH(AE3038,0),"")</f>
        <v/>
      </c>
      <c r="AH3038" s="9">
        <f>IF(AF3038=1,UPPER(TRIM(IFERROR(INDEX($A3038:$AB3038,MATCH("Client",$A$1:$AB$1,0)),"")&amp;"")),"")</f>
        <v/>
      </c>
      <c r="AI3038" s="9">
        <f>IF(AF3038=1,IFERROR(INDEX($A3038:$AB3038,MATCH("Cost Centre",$A$1:$AB$1,0)),"")&amp;"","")</f>
        <v/>
      </c>
      <c r="AJ3038" s="54">
        <f>IF(AND(AF3038=1,AE3038&gt;=set_FYStart,AE3038&lt;=set_AsAt),1,0)</f>
        <v/>
      </c>
      <c r="AK3038" s="54">
        <f>IF(AND(AJ3038=1,AH3038&lt;&gt;"",COUNTIFS($AH$2:AH3038,AH3038,$AJ$2:AJ3038,1)=1),N(AL3037)+1,"")</f>
        <v/>
      </c>
      <c r="AL3038" s="54">
        <f>IF(AK3038&lt;&gt;"",AK3038,N(AL3037))</f>
        <v/>
      </c>
    </row>
    <row r="3039">
      <c r="A3039" t="inlineStr">
        <is>
          <t>PRD-1013</t>
        </is>
      </c>
      <c r="B3039" t="inlineStr">
        <is>
          <t>Production</t>
        </is>
      </c>
      <c r="AB3039" t="n">
        <v>1013</v>
      </c>
      <c r="AD3039" s="52">
        <f>IFERROR(N(IFERROR(INDEX($A3039:$AB3039,MATCH("Xero Invoiced Ex GST",$A$1:$AB$1,0)),"")),0)</f>
        <v/>
      </c>
      <c r="AE3039" s="53">
        <f>IFERROR(INDEX($A3039:$AB3039,MATCH("Xero Invoice Date",$A$1:$AB$1,0)),"")</f>
        <v/>
      </c>
      <c r="AF3039" s="54">
        <f>IF(AND(IFERROR(INDEX($A3039:$AB3039,MATCH("Xero Invoice No",$A$1:$AB$1,0)),"")&amp;""&lt;&gt;"",ISNUMBER(AE3039),AD3039&lt;&gt;0),1,0)</f>
        <v/>
      </c>
      <c r="AG3039" s="55">
        <f>IF(AF3039=1,EOMONTH(AE3039,0),"")</f>
        <v/>
      </c>
      <c r="AH3039" s="9">
        <f>IF(AF3039=1,UPPER(TRIM(IFERROR(INDEX($A3039:$AB3039,MATCH("Client",$A$1:$AB$1,0)),"")&amp;"")),"")</f>
        <v/>
      </c>
      <c r="AI3039" s="9">
        <f>IF(AF3039=1,IFERROR(INDEX($A3039:$AB3039,MATCH("Cost Centre",$A$1:$AB$1,0)),"")&amp;"","")</f>
        <v/>
      </c>
      <c r="AJ3039" s="54">
        <f>IF(AND(AF3039=1,AE3039&gt;=set_FYStart,AE3039&lt;=set_AsAt),1,0)</f>
        <v/>
      </c>
      <c r="AK3039" s="54">
        <f>IF(AND(AJ3039=1,AH3039&lt;&gt;"",COUNTIFS($AH$2:AH3039,AH3039,$AJ$2:AJ3039,1)=1),N(AL3038)+1,"")</f>
        <v/>
      </c>
      <c r="AL3039" s="54">
        <f>IF(AK3039&lt;&gt;"",AK3039,N(AL3038))</f>
        <v/>
      </c>
    </row>
    <row r="3040">
      <c r="A3040" t="inlineStr">
        <is>
          <t>CON-1013</t>
        </is>
      </c>
      <c r="B3040" t="inlineStr">
        <is>
          <t>Consulting</t>
        </is>
      </c>
      <c r="AB3040" t="n">
        <v>1013</v>
      </c>
      <c r="AD3040" s="52">
        <f>IFERROR(N(IFERROR(INDEX($A3040:$AB3040,MATCH("Xero Invoiced Ex GST",$A$1:$AB$1,0)),"")),0)</f>
        <v/>
      </c>
      <c r="AE3040" s="53">
        <f>IFERROR(INDEX($A3040:$AB3040,MATCH("Xero Invoice Date",$A$1:$AB$1,0)),"")</f>
        <v/>
      </c>
      <c r="AF3040" s="54">
        <f>IF(AND(IFERROR(INDEX($A3040:$AB3040,MATCH("Xero Invoice No",$A$1:$AB$1,0)),"")&amp;""&lt;&gt;"",ISNUMBER(AE3040),AD3040&lt;&gt;0),1,0)</f>
        <v/>
      </c>
      <c r="AG3040" s="55">
        <f>IF(AF3040=1,EOMONTH(AE3040,0),"")</f>
        <v/>
      </c>
      <c r="AH3040" s="9">
        <f>IF(AF3040=1,UPPER(TRIM(IFERROR(INDEX($A3040:$AB3040,MATCH("Client",$A$1:$AB$1,0)),"")&amp;"")),"")</f>
        <v/>
      </c>
      <c r="AI3040" s="9">
        <f>IF(AF3040=1,IFERROR(INDEX($A3040:$AB3040,MATCH("Cost Centre",$A$1:$AB$1,0)),"")&amp;"","")</f>
        <v/>
      </c>
      <c r="AJ3040" s="54">
        <f>IF(AND(AF3040=1,AE3040&gt;=set_FYStart,AE3040&lt;=set_AsAt),1,0)</f>
        <v/>
      </c>
      <c r="AK3040" s="54">
        <f>IF(AND(AJ3040=1,AH3040&lt;&gt;"",COUNTIFS($AH$2:AH3040,AH3040,$AJ$2:AJ3040,1)=1),N(AL3039)+1,"")</f>
        <v/>
      </c>
      <c r="AL3040" s="54">
        <f>IF(AK3040&lt;&gt;"",AK3040,N(AL3039))</f>
        <v/>
      </c>
    </row>
    <row r="3041">
      <c r="A3041" t="inlineStr">
        <is>
          <t>ONS-1014</t>
        </is>
      </c>
      <c r="B3041" t="inlineStr">
        <is>
          <t>Onsite</t>
        </is>
      </c>
      <c r="AB3041" t="n">
        <v>1014</v>
      </c>
      <c r="AD3041" s="52">
        <f>IFERROR(N(IFERROR(INDEX($A3041:$AB3041,MATCH("Xero Invoiced Ex GST",$A$1:$AB$1,0)),"")),0)</f>
        <v/>
      </c>
      <c r="AE3041" s="53">
        <f>IFERROR(INDEX($A3041:$AB3041,MATCH("Xero Invoice Date",$A$1:$AB$1,0)),"")</f>
        <v/>
      </c>
      <c r="AF3041" s="54">
        <f>IF(AND(IFERROR(INDEX($A3041:$AB3041,MATCH("Xero Invoice No",$A$1:$AB$1,0)),"")&amp;""&lt;&gt;"",ISNUMBER(AE3041),AD3041&lt;&gt;0),1,0)</f>
        <v/>
      </c>
      <c r="AG3041" s="55">
        <f>IF(AF3041=1,EOMONTH(AE3041,0),"")</f>
        <v/>
      </c>
      <c r="AH3041" s="9">
        <f>IF(AF3041=1,UPPER(TRIM(IFERROR(INDEX($A3041:$AB3041,MATCH("Client",$A$1:$AB$1,0)),"")&amp;"")),"")</f>
        <v/>
      </c>
      <c r="AI3041" s="9">
        <f>IF(AF3041=1,IFERROR(INDEX($A3041:$AB3041,MATCH("Cost Centre",$A$1:$AB$1,0)),"")&amp;"","")</f>
        <v/>
      </c>
      <c r="AJ3041" s="54">
        <f>IF(AND(AF3041=1,AE3041&gt;=set_FYStart,AE3041&lt;=set_AsAt),1,0)</f>
        <v/>
      </c>
      <c r="AK3041" s="54">
        <f>IF(AND(AJ3041=1,AH3041&lt;&gt;"",COUNTIFS($AH$2:AH3041,AH3041,$AJ$2:AJ3041,1)=1),N(AL3040)+1,"")</f>
        <v/>
      </c>
      <c r="AL3041" s="54">
        <f>IF(AK3041&lt;&gt;"",AK3041,N(AL3040))</f>
        <v/>
      </c>
    </row>
    <row r="3042">
      <c r="A3042" t="inlineStr">
        <is>
          <t>PRD-1014</t>
        </is>
      </c>
      <c r="B3042" t="inlineStr">
        <is>
          <t>Production</t>
        </is>
      </c>
      <c r="AB3042" t="n">
        <v>1014</v>
      </c>
      <c r="AD3042" s="52">
        <f>IFERROR(N(IFERROR(INDEX($A3042:$AB3042,MATCH("Xero Invoiced Ex GST",$A$1:$AB$1,0)),"")),0)</f>
        <v/>
      </c>
      <c r="AE3042" s="53">
        <f>IFERROR(INDEX($A3042:$AB3042,MATCH("Xero Invoice Date",$A$1:$AB$1,0)),"")</f>
        <v/>
      </c>
      <c r="AF3042" s="54">
        <f>IF(AND(IFERROR(INDEX($A3042:$AB3042,MATCH("Xero Invoice No",$A$1:$AB$1,0)),"")&amp;""&lt;&gt;"",ISNUMBER(AE3042),AD3042&lt;&gt;0),1,0)</f>
        <v/>
      </c>
      <c r="AG3042" s="55">
        <f>IF(AF3042=1,EOMONTH(AE3042,0),"")</f>
        <v/>
      </c>
      <c r="AH3042" s="9">
        <f>IF(AF3042=1,UPPER(TRIM(IFERROR(INDEX($A3042:$AB3042,MATCH("Client",$A$1:$AB$1,0)),"")&amp;"")),"")</f>
        <v/>
      </c>
      <c r="AI3042" s="9">
        <f>IF(AF3042=1,IFERROR(INDEX($A3042:$AB3042,MATCH("Cost Centre",$A$1:$AB$1,0)),"")&amp;"","")</f>
        <v/>
      </c>
      <c r="AJ3042" s="54">
        <f>IF(AND(AF3042=1,AE3042&gt;=set_FYStart,AE3042&lt;=set_AsAt),1,0)</f>
        <v/>
      </c>
      <c r="AK3042" s="54">
        <f>IF(AND(AJ3042=1,AH3042&lt;&gt;"",COUNTIFS($AH$2:AH3042,AH3042,$AJ$2:AJ3042,1)=1),N(AL3041)+1,"")</f>
        <v/>
      </c>
      <c r="AL3042" s="54">
        <f>IF(AK3042&lt;&gt;"",AK3042,N(AL3041))</f>
        <v/>
      </c>
    </row>
    <row r="3043">
      <c r="A3043" t="inlineStr">
        <is>
          <t>CON-1014</t>
        </is>
      </c>
      <c r="B3043" t="inlineStr">
        <is>
          <t>Consulting</t>
        </is>
      </c>
      <c r="AB3043" t="n">
        <v>1014</v>
      </c>
      <c r="AD3043" s="52">
        <f>IFERROR(N(IFERROR(INDEX($A3043:$AB3043,MATCH("Xero Invoiced Ex GST",$A$1:$AB$1,0)),"")),0)</f>
        <v/>
      </c>
      <c r="AE3043" s="53">
        <f>IFERROR(INDEX($A3043:$AB3043,MATCH("Xero Invoice Date",$A$1:$AB$1,0)),"")</f>
        <v/>
      </c>
      <c r="AF3043" s="54">
        <f>IF(AND(IFERROR(INDEX($A3043:$AB3043,MATCH("Xero Invoice No",$A$1:$AB$1,0)),"")&amp;""&lt;&gt;"",ISNUMBER(AE3043),AD3043&lt;&gt;0),1,0)</f>
        <v/>
      </c>
      <c r="AG3043" s="55">
        <f>IF(AF3043=1,EOMONTH(AE3043,0),"")</f>
        <v/>
      </c>
      <c r="AH3043" s="9">
        <f>IF(AF3043=1,UPPER(TRIM(IFERROR(INDEX($A3043:$AB3043,MATCH("Client",$A$1:$AB$1,0)),"")&amp;"")),"")</f>
        <v/>
      </c>
      <c r="AI3043" s="9">
        <f>IF(AF3043=1,IFERROR(INDEX($A3043:$AB3043,MATCH("Cost Centre",$A$1:$AB$1,0)),"")&amp;"","")</f>
        <v/>
      </c>
      <c r="AJ3043" s="54">
        <f>IF(AND(AF3043=1,AE3043&gt;=set_FYStart,AE3043&lt;=set_AsAt),1,0)</f>
        <v/>
      </c>
      <c r="AK3043" s="54">
        <f>IF(AND(AJ3043=1,AH3043&lt;&gt;"",COUNTIFS($AH$2:AH3043,AH3043,$AJ$2:AJ3043,1)=1),N(AL3042)+1,"")</f>
        <v/>
      </c>
      <c r="AL3043" s="54">
        <f>IF(AK3043&lt;&gt;"",AK3043,N(AL3042))</f>
        <v/>
      </c>
    </row>
    <row r="3044">
      <c r="A3044" t="inlineStr">
        <is>
          <t>ONS-1015</t>
        </is>
      </c>
      <c r="B3044" t="inlineStr">
        <is>
          <t>Onsite</t>
        </is>
      </c>
      <c r="AB3044" t="n">
        <v>1015</v>
      </c>
      <c r="AD3044" s="52">
        <f>IFERROR(N(IFERROR(INDEX($A3044:$AB3044,MATCH("Xero Invoiced Ex GST",$A$1:$AB$1,0)),"")),0)</f>
        <v/>
      </c>
      <c r="AE3044" s="53">
        <f>IFERROR(INDEX($A3044:$AB3044,MATCH("Xero Invoice Date",$A$1:$AB$1,0)),"")</f>
        <v/>
      </c>
      <c r="AF3044" s="54">
        <f>IF(AND(IFERROR(INDEX($A3044:$AB3044,MATCH("Xero Invoice No",$A$1:$AB$1,0)),"")&amp;""&lt;&gt;"",ISNUMBER(AE3044),AD3044&lt;&gt;0),1,0)</f>
        <v/>
      </c>
      <c r="AG3044" s="55">
        <f>IF(AF3044=1,EOMONTH(AE3044,0),"")</f>
        <v/>
      </c>
      <c r="AH3044" s="9">
        <f>IF(AF3044=1,UPPER(TRIM(IFERROR(INDEX($A3044:$AB3044,MATCH("Client",$A$1:$AB$1,0)),"")&amp;"")),"")</f>
        <v/>
      </c>
      <c r="AI3044" s="9">
        <f>IF(AF3044=1,IFERROR(INDEX($A3044:$AB3044,MATCH("Cost Centre",$A$1:$AB$1,0)),"")&amp;"","")</f>
        <v/>
      </c>
      <c r="AJ3044" s="54">
        <f>IF(AND(AF3044=1,AE3044&gt;=set_FYStart,AE3044&lt;=set_AsAt),1,0)</f>
        <v/>
      </c>
      <c r="AK3044" s="54">
        <f>IF(AND(AJ3044=1,AH3044&lt;&gt;"",COUNTIFS($AH$2:AH3044,AH3044,$AJ$2:AJ3044,1)=1),N(AL3043)+1,"")</f>
        <v/>
      </c>
      <c r="AL3044" s="54">
        <f>IF(AK3044&lt;&gt;"",AK3044,N(AL3043))</f>
        <v/>
      </c>
    </row>
    <row r="3045">
      <c r="A3045" t="inlineStr">
        <is>
          <t>PRD-1015</t>
        </is>
      </c>
      <c r="B3045" t="inlineStr">
        <is>
          <t>Production</t>
        </is>
      </c>
      <c r="AB3045" t="n">
        <v>1015</v>
      </c>
      <c r="AD3045" s="52">
        <f>IFERROR(N(IFERROR(INDEX($A3045:$AB3045,MATCH("Xero Invoiced Ex GST",$A$1:$AB$1,0)),"")),0)</f>
        <v/>
      </c>
      <c r="AE3045" s="53">
        <f>IFERROR(INDEX($A3045:$AB3045,MATCH("Xero Invoice Date",$A$1:$AB$1,0)),"")</f>
        <v/>
      </c>
      <c r="AF3045" s="54">
        <f>IF(AND(IFERROR(INDEX($A3045:$AB3045,MATCH("Xero Invoice No",$A$1:$AB$1,0)),"")&amp;""&lt;&gt;"",ISNUMBER(AE3045),AD3045&lt;&gt;0),1,0)</f>
        <v/>
      </c>
      <c r="AG3045" s="55">
        <f>IF(AF3045=1,EOMONTH(AE3045,0),"")</f>
        <v/>
      </c>
      <c r="AH3045" s="9">
        <f>IF(AF3045=1,UPPER(TRIM(IFERROR(INDEX($A3045:$AB3045,MATCH("Client",$A$1:$AB$1,0)),"")&amp;"")),"")</f>
        <v/>
      </c>
      <c r="AI3045" s="9">
        <f>IF(AF3045=1,IFERROR(INDEX($A3045:$AB3045,MATCH("Cost Centre",$A$1:$AB$1,0)),"")&amp;"","")</f>
        <v/>
      </c>
      <c r="AJ3045" s="54">
        <f>IF(AND(AF3045=1,AE3045&gt;=set_FYStart,AE3045&lt;=set_AsAt),1,0)</f>
        <v/>
      </c>
      <c r="AK3045" s="54">
        <f>IF(AND(AJ3045=1,AH3045&lt;&gt;"",COUNTIFS($AH$2:AH3045,AH3045,$AJ$2:AJ3045,1)=1),N(AL3044)+1,"")</f>
        <v/>
      </c>
      <c r="AL3045" s="54">
        <f>IF(AK3045&lt;&gt;"",AK3045,N(AL3044))</f>
        <v/>
      </c>
    </row>
    <row r="3046">
      <c r="A3046" t="inlineStr">
        <is>
          <t>CON-1015</t>
        </is>
      </c>
      <c r="B3046" t="inlineStr">
        <is>
          <t>Consulting</t>
        </is>
      </c>
      <c r="AB3046" t="n">
        <v>1015</v>
      </c>
      <c r="AD3046" s="52">
        <f>IFERROR(N(IFERROR(INDEX($A3046:$AB3046,MATCH("Xero Invoiced Ex GST",$A$1:$AB$1,0)),"")),0)</f>
        <v/>
      </c>
      <c r="AE3046" s="53">
        <f>IFERROR(INDEX($A3046:$AB3046,MATCH("Xero Invoice Date",$A$1:$AB$1,0)),"")</f>
        <v/>
      </c>
      <c r="AF3046" s="54">
        <f>IF(AND(IFERROR(INDEX($A3046:$AB3046,MATCH("Xero Invoice No",$A$1:$AB$1,0)),"")&amp;""&lt;&gt;"",ISNUMBER(AE3046),AD3046&lt;&gt;0),1,0)</f>
        <v/>
      </c>
      <c r="AG3046" s="55">
        <f>IF(AF3046=1,EOMONTH(AE3046,0),"")</f>
        <v/>
      </c>
      <c r="AH3046" s="9">
        <f>IF(AF3046=1,UPPER(TRIM(IFERROR(INDEX($A3046:$AB3046,MATCH("Client",$A$1:$AB$1,0)),"")&amp;"")),"")</f>
        <v/>
      </c>
      <c r="AI3046" s="9">
        <f>IF(AF3046=1,IFERROR(INDEX($A3046:$AB3046,MATCH("Cost Centre",$A$1:$AB$1,0)),"")&amp;"","")</f>
        <v/>
      </c>
      <c r="AJ3046" s="54">
        <f>IF(AND(AF3046=1,AE3046&gt;=set_FYStart,AE3046&lt;=set_AsAt),1,0)</f>
        <v/>
      </c>
      <c r="AK3046" s="54">
        <f>IF(AND(AJ3046=1,AH3046&lt;&gt;"",COUNTIFS($AH$2:AH3046,AH3046,$AJ$2:AJ3046,1)=1),N(AL3045)+1,"")</f>
        <v/>
      </c>
      <c r="AL3046" s="54">
        <f>IF(AK3046&lt;&gt;"",AK3046,N(AL3045))</f>
        <v/>
      </c>
    </row>
    <row r="3047">
      <c r="A3047" t="inlineStr">
        <is>
          <t>ONS-1016</t>
        </is>
      </c>
      <c r="B3047" t="inlineStr">
        <is>
          <t>Onsite</t>
        </is>
      </c>
      <c r="AB3047" t="n">
        <v>1016</v>
      </c>
      <c r="AD3047" s="52">
        <f>IFERROR(N(IFERROR(INDEX($A3047:$AB3047,MATCH("Xero Invoiced Ex GST",$A$1:$AB$1,0)),"")),0)</f>
        <v/>
      </c>
      <c r="AE3047" s="53">
        <f>IFERROR(INDEX($A3047:$AB3047,MATCH("Xero Invoice Date",$A$1:$AB$1,0)),"")</f>
        <v/>
      </c>
      <c r="AF3047" s="54">
        <f>IF(AND(IFERROR(INDEX($A3047:$AB3047,MATCH("Xero Invoice No",$A$1:$AB$1,0)),"")&amp;""&lt;&gt;"",ISNUMBER(AE3047),AD3047&lt;&gt;0),1,0)</f>
        <v/>
      </c>
      <c r="AG3047" s="55">
        <f>IF(AF3047=1,EOMONTH(AE3047,0),"")</f>
        <v/>
      </c>
      <c r="AH3047" s="9">
        <f>IF(AF3047=1,UPPER(TRIM(IFERROR(INDEX($A3047:$AB3047,MATCH("Client",$A$1:$AB$1,0)),"")&amp;"")),"")</f>
        <v/>
      </c>
      <c r="AI3047" s="9">
        <f>IF(AF3047=1,IFERROR(INDEX($A3047:$AB3047,MATCH("Cost Centre",$A$1:$AB$1,0)),"")&amp;"","")</f>
        <v/>
      </c>
      <c r="AJ3047" s="54">
        <f>IF(AND(AF3047=1,AE3047&gt;=set_FYStart,AE3047&lt;=set_AsAt),1,0)</f>
        <v/>
      </c>
      <c r="AK3047" s="54">
        <f>IF(AND(AJ3047=1,AH3047&lt;&gt;"",COUNTIFS($AH$2:AH3047,AH3047,$AJ$2:AJ3047,1)=1),N(AL3046)+1,"")</f>
        <v/>
      </c>
      <c r="AL3047" s="54">
        <f>IF(AK3047&lt;&gt;"",AK3047,N(AL3046))</f>
        <v/>
      </c>
    </row>
    <row r="3048">
      <c r="A3048" t="inlineStr">
        <is>
          <t>PRD-1016</t>
        </is>
      </c>
      <c r="B3048" t="inlineStr">
        <is>
          <t>Production</t>
        </is>
      </c>
      <c r="AB3048" t="n">
        <v>1016</v>
      </c>
      <c r="AD3048" s="52">
        <f>IFERROR(N(IFERROR(INDEX($A3048:$AB3048,MATCH("Xero Invoiced Ex GST",$A$1:$AB$1,0)),"")),0)</f>
        <v/>
      </c>
      <c r="AE3048" s="53">
        <f>IFERROR(INDEX($A3048:$AB3048,MATCH("Xero Invoice Date",$A$1:$AB$1,0)),"")</f>
        <v/>
      </c>
      <c r="AF3048" s="54">
        <f>IF(AND(IFERROR(INDEX($A3048:$AB3048,MATCH("Xero Invoice No",$A$1:$AB$1,0)),"")&amp;""&lt;&gt;"",ISNUMBER(AE3048),AD3048&lt;&gt;0),1,0)</f>
        <v/>
      </c>
      <c r="AG3048" s="55">
        <f>IF(AF3048=1,EOMONTH(AE3048,0),"")</f>
        <v/>
      </c>
      <c r="AH3048" s="9">
        <f>IF(AF3048=1,UPPER(TRIM(IFERROR(INDEX($A3048:$AB3048,MATCH("Client",$A$1:$AB$1,0)),"")&amp;"")),"")</f>
        <v/>
      </c>
      <c r="AI3048" s="9">
        <f>IF(AF3048=1,IFERROR(INDEX($A3048:$AB3048,MATCH("Cost Centre",$A$1:$AB$1,0)),"")&amp;"","")</f>
        <v/>
      </c>
      <c r="AJ3048" s="54">
        <f>IF(AND(AF3048=1,AE3048&gt;=set_FYStart,AE3048&lt;=set_AsAt),1,0)</f>
        <v/>
      </c>
      <c r="AK3048" s="54">
        <f>IF(AND(AJ3048=1,AH3048&lt;&gt;"",COUNTIFS($AH$2:AH3048,AH3048,$AJ$2:AJ3048,1)=1),N(AL3047)+1,"")</f>
        <v/>
      </c>
      <c r="AL3048" s="54">
        <f>IF(AK3048&lt;&gt;"",AK3048,N(AL3047))</f>
        <v/>
      </c>
    </row>
    <row r="3049">
      <c r="A3049" t="inlineStr">
        <is>
          <t>CON-1016</t>
        </is>
      </c>
      <c r="B3049" t="inlineStr">
        <is>
          <t>Consulting</t>
        </is>
      </c>
      <c r="AB3049" t="n">
        <v>1016</v>
      </c>
      <c r="AD3049" s="52">
        <f>IFERROR(N(IFERROR(INDEX($A3049:$AB3049,MATCH("Xero Invoiced Ex GST",$A$1:$AB$1,0)),"")),0)</f>
        <v/>
      </c>
      <c r="AE3049" s="53">
        <f>IFERROR(INDEX($A3049:$AB3049,MATCH("Xero Invoice Date",$A$1:$AB$1,0)),"")</f>
        <v/>
      </c>
      <c r="AF3049" s="54">
        <f>IF(AND(IFERROR(INDEX($A3049:$AB3049,MATCH("Xero Invoice No",$A$1:$AB$1,0)),"")&amp;""&lt;&gt;"",ISNUMBER(AE3049),AD3049&lt;&gt;0),1,0)</f>
        <v/>
      </c>
      <c r="AG3049" s="55">
        <f>IF(AF3049=1,EOMONTH(AE3049,0),"")</f>
        <v/>
      </c>
      <c r="AH3049" s="9">
        <f>IF(AF3049=1,UPPER(TRIM(IFERROR(INDEX($A3049:$AB3049,MATCH("Client",$A$1:$AB$1,0)),"")&amp;"")),"")</f>
        <v/>
      </c>
      <c r="AI3049" s="9">
        <f>IF(AF3049=1,IFERROR(INDEX($A3049:$AB3049,MATCH("Cost Centre",$A$1:$AB$1,0)),"")&amp;"","")</f>
        <v/>
      </c>
      <c r="AJ3049" s="54">
        <f>IF(AND(AF3049=1,AE3049&gt;=set_FYStart,AE3049&lt;=set_AsAt),1,0)</f>
        <v/>
      </c>
      <c r="AK3049" s="54">
        <f>IF(AND(AJ3049=1,AH3049&lt;&gt;"",COUNTIFS($AH$2:AH3049,AH3049,$AJ$2:AJ3049,1)=1),N(AL3048)+1,"")</f>
        <v/>
      </c>
      <c r="AL3049" s="54">
        <f>IF(AK3049&lt;&gt;"",AK3049,N(AL3048))</f>
        <v/>
      </c>
    </row>
    <row r="3050">
      <c r="A3050" t="inlineStr">
        <is>
          <t>ONS-1017</t>
        </is>
      </c>
      <c r="B3050" t="inlineStr">
        <is>
          <t>Onsite</t>
        </is>
      </c>
      <c r="AB3050" t="n">
        <v>1017</v>
      </c>
      <c r="AD3050" s="52">
        <f>IFERROR(N(IFERROR(INDEX($A3050:$AB3050,MATCH("Xero Invoiced Ex GST",$A$1:$AB$1,0)),"")),0)</f>
        <v/>
      </c>
      <c r="AE3050" s="53">
        <f>IFERROR(INDEX($A3050:$AB3050,MATCH("Xero Invoice Date",$A$1:$AB$1,0)),"")</f>
        <v/>
      </c>
      <c r="AF3050" s="54">
        <f>IF(AND(IFERROR(INDEX($A3050:$AB3050,MATCH("Xero Invoice No",$A$1:$AB$1,0)),"")&amp;""&lt;&gt;"",ISNUMBER(AE3050),AD3050&lt;&gt;0),1,0)</f>
        <v/>
      </c>
      <c r="AG3050" s="55">
        <f>IF(AF3050=1,EOMONTH(AE3050,0),"")</f>
        <v/>
      </c>
      <c r="AH3050" s="9">
        <f>IF(AF3050=1,UPPER(TRIM(IFERROR(INDEX($A3050:$AB3050,MATCH("Client",$A$1:$AB$1,0)),"")&amp;"")),"")</f>
        <v/>
      </c>
      <c r="AI3050" s="9">
        <f>IF(AF3050=1,IFERROR(INDEX($A3050:$AB3050,MATCH("Cost Centre",$A$1:$AB$1,0)),"")&amp;"","")</f>
        <v/>
      </c>
      <c r="AJ3050" s="54">
        <f>IF(AND(AF3050=1,AE3050&gt;=set_FYStart,AE3050&lt;=set_AsAt),1,0)</f>
        <v/>
      </c>
      <c r="AK3050" s="54">
        <f>IF(AND(AJ3050=1,AH3050&lt;&gt;"",COUNTIFS($AH$2:AH3050,AH3050,$AJ$2:AJ3050,1)=1),N(AL3049)+1,"")</f>
        <v/>
      </c>
      <c r="AL3050" s="54">
        <f>IF(AK3050&lt;&gt;"",AK3050,N(AL3049))</f>
        <v/>
      </c>
    </row>
    <row r="3051">
      <c r="A3051" t="inlineStr">
        <is>
          <t>PRD-1017</t>
        </is>
      </c>
      <c r="B3051" t="inlineStr">
        <is>
          <t>Production</t>
        </is>
      </c>
      <c r="AB3051" t="n">
        <v>1017</v>
      </c>
      <c r="AD3051" s="52">
        <f>IFERROR(N(IFERROR(INDEX($A3051:$AB3051,MATCH("Xero Invoiced Ex GST",$A$1:$AB$1,0)),"")),0)</f>
        <v/>
      </c>
      <c r="AE3051" s="53">
        <f>IFERROR(INDEX($A3051:$AB3051,MATCH("Xero Invoice Date",$A$1:$AB$1,0)),"")</f>
        <v/>
      </c>
      <c r="AF3051" s="54">
        <f>IF(AND(IFERROR(INDEX($A3051:$AB3051,MATCH("Xero Invoice No",$A$1:$AB$1,0)),"")&amp;""&lt;&gt;"",ISNUMBER(AE3051),AD3051&lt;&gt;0),1,0)</f>
        <v/>
      </c>
      <c r="AG3051" s="55">
        <f>IF(AF3051=1,EOMONTH(AE3051,0),"")</f>
        <v/>
      </c>
      <c r="AH3051" s="9">
        <f>IF(AF3051=1,UPPER(TRIM(IFERROR(INDEX($A3051:$AB3051,MATCH("Client",$A$1:$AB$1,0)),"")&amp;"")),"")</f>
        <v/>
      </c>
      <c r="AI3051" s="9">
        <f>IF(AF3051=1,IFERROR(INDEX($A3051:$AB3051,MATCH("Cost Centre",$A$1:$AB$1,0)),"")&amp;"","")</f>
        <v/>
      </c>
      <c r="AJ3051" s="54">
        <f>IF(AND(AF3051=1,AE3051&gt;=set_FYStart,AE3051&lt;=set_AsAt),1,0)</f>
        <v/>
      </c>
      <c r="AK3051" s="54">
        <f>IF(AND(AJ3051=1,AH3051&lt;&gt;"",COUNTIFS($AH$2:AH3051,AH3051,$AJ$2:AJ3051,1)=1),N(AL3050)+1,"")</f>
        <v/>
      </c>
      <c r="AL3051" s="54">
        <f>IF(AK3051&lt;&gt;"",AK3051,N(AL3050))</f>
        <v/>
      </c>
    </row>
    <row r="3052">
      <c r="A3052" t="inlineStr">
        <is>
          <t>CON-1017</t>
        </is>
      </c>
      <c r="B3052" t="inlineStr">
        <is>
          <t>Consulting</t>
        </is>
      </c>
      <c r="AB3052" t="n">
        <v>1017</v>
      </c>
      <c r="AD3052" s="52">
        <f>IFERROR(N(IFERROR(INDEX($A3052:$AB3052,MATCH("Xero Invoiced Ex GST",$A$1:$AB$1,0)),"")),0)</f>
        <v/>
      </c>
      <c r="AE3052" s="53">
        <f>IFERROR(INDEX($A3052:$AB3052,MATCH("Xero Invoice Date",$A$1:$AB$1,0)),"")</f>
        <v/>
      </c>
      <c r="AF3052" s="54">
        <f>IF(AND(IFERROR(INDEX($A3052:$AB3052,MATCH("Xero Invoice No",$A$1:$AB$1,0)),"")&amp;""&lt;&gt;"",ISNUMBER(AE3052),AD3052&lt;&gt;0),1,0)</f>
        <v/>
      </c>
      <c r="AG3052" s="55">
        <f>IF(AF3052=1,EOMONTH(AE3052,0),"")</f>
        <v/>
      </c>
      <c r="AH3052" s="9">
        <f>IF(AF3052=1,UPPER(TRIM(IFERROR(INDEX($A3052:$AB3052,MATCH("Client",$A$1:$AB$1,0)),"")&amp;"")),"")</f>
        <v/>
      </c>
      <c r="AI3052" s="9">
        <f>IF(AF3052=1,IFERROR(INDEX($A3052:$AB3052,MATCH("Cost Centre",$A$1:$AB$1,0)),"")&amp;"","")</f>
        <v/>
      </c>
      <c r="AJ3052" s="54">
        <f>IF(AND(AF3052=1,AE3052&gt;=set_FYStart,AE3052&lt;=set_AsAt),1,0)</f>
        <v/>
      </c>
      <c r="AK3052" s="54">
        <f>IF(AND(AJ3052=1,AH3052&lt;&gt;"",COUNTIFS($AH$2:AH3052,AH3052,$AJ$2:AJ3052,1)=1),N(AL3051)+1,"")</f>
        <v/>
      </c>
      <c r="AL3052" s="54">
        <f>IF(AK3052&lt;&gt;"",AK3052,N(AL3051))</f>
        <v/>
      </c>
    </row>
    <row r="3053">
      <c r="A3053" t="inlineStr">
        <is>
          <t>ONS-1018</t>
        </is>
      </c>
      <c r="B3053" t="inlineStr">
        <is>
          <t>Onsite</t>
        </is>
      </c>
      <c r="AB3053" t="n">
        <v>1018</v>
      </c>
      <c r="AD3053" s="52">
        <f>IFERROR(N(IFERROR(INDEX($A3053:$AB3053,MATCH("Xero Invoiced Ex GST",$A$1:$AB$1,0)),"")),0)</f>
        <v/>
      </c>
      <c r="AE3053" s="53">
        <f>IFERROR(INDEX($A3053:$AB3053,MATCH("Xero Invoice Date",$A$1:$AB$1,0)),"")</f>
        <v/>
      </c>
      <c r="AF3053" s="54">
        <f>IF(AND(IFERROR(INDEX($A3053:$AB3053,MATCH("Xero Invoice No",$A$1:$AB$1,0)),"")&amp;""&lt;&gt;"",ISNUMBER(AE3053),AD3053&lt;&gt;0),1,0)</f>
        <v/>
      </c>
      <c r="AG3053" s="55">
        <f>IF(AF3053=1,EOMONTH(AE3053,0),"")</f>
        <v/>
      </c>
      <c r="AH3053" s="9">
        <f>IF(AF3053=1,UPPER(TRIM(IFERROR(INDEX($A3053:$AB3053,MATCH("Client",$A$1:$AB$1,0)),"")&amp;"")),"")</f>
        <v/>
      </c>
      <c r="AI3053" s="9">
        <f>IF(AF3053=1,IFERROR(INDEX($A3053:$AB3053,MATCH("Cost Centre",$A$1:$AB$1,0)),"")&amp;"","")</f>
        <v/>
      </c>
      <c r="AJ3053" s="54">
        <f>IF(AND(AF3053=1,AE3053&gt;=set_FYStart,AE3053&lt;=set_AsAt),1,0)</f>
        <v/>
      </c>
      <c r="AK3053" s="54">
        <f>IF(AND(AJ3053=1,AH3053&lt;&gt;"",COUNTIFS($AH$2:AH3053,AH3053,$AJ$2:AJ3053,1)=1),N(AL3052)+1,"")</f>
        <v/>
      </c>
      <c r="AL3053" s="54">
        <f>IF(AK3053&lt;&gt;"",AK3053,N(AL3052))</f>
        <v/>
      </c>
    </row>
    <row r="3054">
      <c r="A3054" t="inlineStr">
        <is>
          <t>PRD-1018</t>
        </is>
      </c>
      <c r="B3054" t="inlineStr">
        <is>
          <t>Production</t>
        </is>
      </c>
      <c r="AB3054" t="n">
        <v>1018</v>
      </c>
      <c r="AD3054" s="52">
        <f>IFERROR(N(IFERROR(INDEX($A3054:$AB3054,MATCH("Xero Invoiced Ex GST",$A$1:$AB$1,0)),"")),0)</f>
        <v/>
      </c>
      <c r="AE3054" s="53">
        <f>IFERROR(INDEX($A3054:$AB3054,MATCH("Xero Invoice Date",$A$1:$AB$1,0)),"")</f>
        <v/>
      </c>
      <c r="AF3054" s="54">
        <f>IF(AND(IFERROR(INDEX($A3054:$AB3054,MATCH("Xero Invoice No",$A$1:$AB$1,0)),"")&amp;""&lt;&gt;"",ISNUMBER(AE3054),AD3054&lt;&gt;0),1,0)</f>
        <v/>
      </c>
      <c r="AG3054" s="55">
        <f>IF(AF3054=1,EOMONTH(AE3054,0),"")</f>
        <v/>
      </c>
      <c r="AH3054" s="9">
        <f>IF(AF3054=1,UPPER(TRIM(IFERROR(INDEX($A3054:$AB3054,MATCH("Client",$A$1:$AB$1,0)),"")&amp;"")),"")</f>
        <v/>
      </c>
      <c r="AI3054" s="9">
        <f>IF(AF3054=1,IFERROR(INDEX($A3054:$AB3054,MATCH("Cost Centre",$A$1:$AB$1,0)),"")&amp;"","")</f>
        <v/>
      </c>
      <c r="AJ3054" s="54">
        <f>IF(AND(AF3054=1,AE3054&gt;=set_FYStart,AE3054&lt;=set_AsAt),1,0)</f>
        <v/>
      </c>
      <c r="AK3054" s="54">
        <f>IF(AND(AJ3054=1,AH3054&lt;&gt;"",COUNTIFS($AH$2:AH3054,AH3054,$AJ$2:AJ3054,1)=1),N(AL3053)+1,"")</f>
        <v/>
      </c>
      <c r="AL3054" s="54">
        <f>IF(AK3054&lt;&gt;"",AK3054,N(AL3053))</f>
        <v/>
      </c>
    </row>
    <row r="3055">
      <c r="A3055" t="inlineStr">
        <is>
          <t>CON-1018</t>
        </is>
      </c>
      <c r="B3055" t="inlineStr">
        <is>
          <t>Consulting</t>
        </is>
      </c>
      <c r="AB3055" t="n">
        <v>1018</v>
      </c>
      <c r="AD3055" s="52">
        <f>IFERROR(N(IFERROR(INDEX($A3055:$AB3055,MATCH("Xero Invoiced Ex GST",$A$1:$AB$1,0)),"")),0)</f>
        <v/>
      </c>
      <c r="AE3055" s="53">
        <f>IFERROR(INDEX($A3055:$AB3055,MATCH("Xero Invoice Date",$A$1:$AB$1,0)),"")</f>
        <v/>
      </c>
      <c r="AF3055" s="54">
        <f>IF(AND(IFERROR(INDEX($A3055:$AB3055,MATCH("Xero Invoice No",$A$1:$AB$1,0)),"")&amp;""&lt;&gt;"",ISNUMBER(AE3055),AD3055&lt;&gt;0),1,0)</f>
        <v/>
      </c>
      <c r="AG3055" s="55">
        <f>IF(AF3055=1,EOMONTH(AE3055,0),"")</f>
        <v/>
      </c>
      <c r="AH3055" s="9">
        <f>IF(AF3055=1,UPPER(TRIM(IFERROR(INDEX($A3055:$AB3055,MATCH("Client",$A$1:$AB$1,0)),"")&amp;"")),"")</f>
        <v/>
      </c>
      <c r="AI3055" s="9">
        <f>IF(AF3055=1,IFERROR(INDEX($A3055:$AB3055,MATCH("Cost Centre",$A$1:$AB$1,0)),"")&amp;"","")</f>
        <v/>
      </c>
      <c r="AJ3055" s="54">
        <f>IF(AND(AF3055=1,AE3055&gt;=set_FYStart,AE3055&lt;=set_AsAt),1,0)</f>
        <v/>
      </c>
      <c r="AK3055" s="54">
        <f>IF(AND(AJ3055=1,AH3055&lt;&gt;"",COUNTIFS($AH$2:AH3055,AH3055,$AJ$2:AJ3055,1)=1),N(AL3054)+1,"")</f>
        <v/>
      </c>
      <c r="AL3055" s="54">
        <f>IF(AK3055&lt;&gt;"",AK3055,N(AL3054))</f>
        <v/>
      </c>
    </row>
    <row r="3056">
      <c r="A3056" t="inlineStr">
        <is>
          <t>ONS-1019</t>
        </is>
      </c>
      <c r="B3056" t="inlineStr">
        <is>
          <t>Onsite</t>
        </is>
      </c>
      <c r="AB3056" t="n">
        <v>1019</v>
      </c>
      <c r="AD3056" s="52">
        <f>IFERROR(N(IFERROR(INDEX($A3056:$AB3056,MATCH("Xero Invoiced Ex GST",$A$1:$AB$1,0)),"")),0)</f>
        <v/>
      </c>
      <c r="AE3056" s="53">
        <f>IFERROR(INDEX($A3056:$AB3056,MATCH("Xero Invoice Date",$A$1:$AB$1,0)),"")</f>
        <v/>
      </c>
      <c r="AF3056" s="54">
        <f>IF(AND(IFERROR(INDEX($A3056:$AB3056,MATCH("Xero Invoice No",$A$1:$AB$1,0)),"")&amp;""&lt;&gt;"",ISNUMBER(AE3056),AD3056&lt;&gt;0),1,0)</f>
        <v/>
      </c>
      <c r="AG3056" s="55">
        <f>IF(AF3056=1,EOMONTH(AE3056,0),"")</f>
        <v/>
      </c>
      <c r="AH3056" s="9">
        <f>IF(AF3056=1,UPPER(TRIM(IFERROR(INDEX($A3056:$AB3056,MATCH("Client",$A$1:$AB$1,0)),"")&amp;"")),"")</f>
        <v/>
      </c>
      <c r="AI3056" s="9">
        <f>IF(AF3056=1,IFERROR(INDEX($A3056:$AB3056,MATCH("Cost Centre",$A$1:$AB$1,0)),"")&amp;"","")</f>
        <v/>
      </c>
      <c r="AJ3056" s="54">
        <f>IF(AND(AF3056=1,AE3056&gt;=set_FYStart,AE3056&lt;=set_AsAt),1,0)</f>
        <v/>
      </c>
      <c r="AK3056" s="54">
        <f>IF(AND(AJ3056=1,AH3056&lt;&gt;"",COUNTIFS($AH$2:AH3056,AH3056,$AJ$2:AJ3056,1)=1),N(AL3055)+1,"")</f>
        <v/>
      </c>
      <c r="AL3056" s="54">
        <f>IF(AK3056&lt;&gt;"",AK3056,N(AL3055))</f>
        <v/>
      </c>
    </row>
    <row r="3057">
      <c r="A3057" t="inlineStr">
        <is>
          <t>PRD-1019</t>
        </is>
      </c>
      <c r="B3057" t="inlineStr">
        <is>
          <t>Production</t>
        </is>
      </c>
      <c r="AB3057" t="n">
        <v>1019</v>
      </c>
      <c r="AD3057" s="52">
        <f>IFERROR(N(IFERROR(INDEX($A3057:$AB3057,MATCH("Xero Invoiced Ex GST",$A$1:$AB$1,0)),"")),0)</f>
        <v/>
      </c>
      <c r="AE3057" s="53">
        <f>IFERROR(INDEX($A3057:$AB3057,MATCH("Xero Invoice Date",$A$1:$AB$1,0)),"")</f>
        <v/>
      </c>
      <c r="AF3057" s="54">
        <f>IF(AND(IFERROR(INDEX($A3057:$AB3057,MATCH("Xero Invoice No",$A$1:$AB$1,0)),"")&amp;""&lt;&gt;"",ISNUMBER(AE3057),AD3057&lt;&gt;0),1,0)</f>
        <v/>
      </c>
      <c r="AG3057" s="55">
        <f>IF(AF3057=1,EOMONTH(AE3057,0),"")</f>
        <v/>
      </c>
      <c r="AH3057" s="9">
        <f>IF(AF3057=1,UPPER(TRIM(IFERROR(INDEX($A3057:$AB3057,MATCH("Client",$A$1:$AB$1,0)),"")&amp;"")),"")</f>
        <v/>
      </c>
      <c r="AI3057" s="9">
        <f>IF(AF3057=1,IFERROR(INDEX($A3057:$AB3057,MATCH("Cost Centre",$A$1:$AB$1,0)),"")&amp;"","")</f>
        <v/>
      </c>
      <c r="AJ3057" s="54">
        <f>IF(AND(AF3057=1,AE3057&gt;=set_FYStart,AE3057&lt;=set_AsAt),1,0)</f>
        <v/>
      </c>
      <c r="AK3057" s="54">
        <f>IF(AND(AJ3057=1,AH3057&lt;&gt;"",COUNTIFS($AH$2:AH3057,AH3057,$AJ$2:AJ3057,1)=1),N(AL3056)+1,"")</f>
        <v/>
      </c>
      <c r="AL3057" s="54">
        <f>IF(AK3057&lt;&gt;"",AK3057,N(AL3056))</f>
        <v/>
      </c>
    </row>
    <row r="3058">
      <c r="A3058" t="inlineStr">
        <is>
          <t>CON-1019</t>
        </is>
      </c>
      <c r="B3058" t="inlineStr">
        <is>
          <t>Consulting</t>
        </is>
      </c>
      <c r="AB3058" t="n">
        <v>1019</v>
      </c>
      <c r="AD3058" s="52">
        <f>IFERROR(N(IFERROR(INDEX($A3058:$AB3058,MATCH("Xero Invoiced Ex GST",$A$1:$AB$1,0)),"")),0)</f>
        <v/>
      </c>
      <c r="AE3058" s="53">
        <f>IFERROR(INDEX($A3058:$AB3058,MATCH("Xero Invoice Date",$A$1:$AB$1,0)),"")</f>
        <v/>
      </c>
      <c r="AF3058" s="54">
        <f>IF(AND(IFERROR(INDEX($A3058:$AB3058,MATCH("Xero Invoice No",$A$1:$AB$1,0)),"")&amp;""&lt;&gt;"",ISNUMBER(AE3058),AD3058&lt;&gt;0),1,0)</f>
        <v/>
      </c>
      <c r="AG3058" s="55">
        <f>IF(AF3058=1,EOMONTH(AE3058,0),"")</f>
        <v/>
      </c>
      <c r="AH3058" s="9">
        <f>IF(AF3058=1,UPPER(TRIM(IFERROR(INDEX($A3058:$AB3058,MATCH("Client",$A$1:$AB$1,0)),"")&amp;"")),"")</f>
        <v/>
      </c>
      <c r="AI3058" s="9">
        <f>IF(AF3058=1,IFERROR(INDEX($A3058:$AB3058,MATCH("Cost Centre",$A$1:$AB$1,0)),"")&amp;"","")</f>
        <v/>
      </c>
      <c r="AJ3058" s="54">
        <f>IF(AND(AF3058=1,AE3058&gt;=set_FYStart,AE3058&lt;=set_AsAt),1,0)</f>
        <v/>
      </c>
      <c r="AK3058" s="54">
        <f>IF(AND(AJ3058=1,AH3058&lt;&gt;"",COUNTIFS($AH$2:AH3058,AH3058,$AJ$2:AJ3058,1)=1),N(AL3057)+1,"")</f>
        <v/>
      </c>
      <c r="AL3058" s="54">
        <f>IF(AK3058&lt;&gt;"",AK3058,N(AL3057))</f>
        <v/>
      </c>
    </row>
    <row r="3059">
      <c r="A3059" t="inlineStr">
        <is>
          <t>ONS-1020</t>
        </is>
      </c>
      <c r="B3059" t="inlineStr">
        <is>
          <t>Onsite</t>
        </is>
      </c>
      <c r="AB3059" t="n">
        <v>1020</v>
      </c>
      <c r="AD3059" s="52">
        <f>IFERROR(N(IFERROR(INDEX($A3059:$AB3059,MATCH("Xero Invoiced Ex GST",$A$1:$AB$1,0)),"")),0)</f>
        <v/>
      </c>
      <c r="AE3059" s="53">
        <f>IFERROR(INDEX($A3059:$AB3059,MATCH("Xero Invoice Date",$A$1:$AB$1,0)),"")</f>
        <v/>
      </c>
      <c r="AF3059" s="54">
        <f>IF(AND(IFERROR(INDEX($A3059:$AB3059,MATCH("Xero Invoice No",$A$1:$AB$1,0)),"")&amp;""&lt;&gt;"",ISNUMBER(AE3059),AD3059&lt;&gt;0),1,0)</f>
        <v/>
      </c>
      <c r="AG3059" s="55">
        <f>IF(AF3059=1,EOMONTH(AE3059,0),"")</f>
        <v/>
      </c>
      <c r="AH3059" s="9">
        <f>IF(AF3059=1,UPPER(TRIM(IFERROR(INDEX($A3059:$AB3059,MATCH("Client",$A$1:$AB$1,0)),"")&amp;"")),"")</f>
        <v/>
      </c>
      <c r="AI3059" s="9">
        <f>IF(AF3059=1,IFERROR(INDEX($A3059:$AB3059,MATCH("Cost Centre",$A$1:$AB$1,0)),"")&amp;"","")</f>
        <v/>
      </c>
      <c r="AJ3059" s="54">
        <f>IF(AND(AF3059=1,AE3059&gt;=set_FYStart,AE3059&lt;=set_AsAt),1,0)</f>
        <v/>
      </c>
      <c r="AK3059" s="54">
        <f>IF(AND(AJ3059=1,AH3059&lt;&gt;"",COUNTIFS($AH$2:AH3059,AH3059,$AJ$2:AJ3059,1)=1),N(AL3058)+1,"")</f>
        <v/>
      </c>
      <c r="AL3059" s="54">
        <f>IF(AK3059&lt;&gt;"",AK3059,N(AL3058))</f>
        <v/>
      </c>
    </row>
    <row r="3060">
      <c r="A3060" t="inlineStr">
        <is>
          <t>PRD-1020</t>
        </is>
      </c>
      <c r="B3060" t="inlineStr">
        <is>
          <t>Production</t>
        </is>
      </c>
      <c r="AB3060" t="n">
        <v>1020</v>
      </c>
      <c r="AD3060" s="52">
        <f>IFERROR(N(IFERROR(INDEX($A3060:$AB3060,MATCH("Xero Invoiced Ex GST",$A$1:$AB$1,0)),"")),0)</f>
        <v/>
      </c>
      <c r="AE3060" s="53">
        <f>IFERROR(INDEX($A3060:$AB3060,MATCH("Xero Invoice Date",$A$1:$AB$1,0)),"")</f>
        <v/>
      </c>
      <c r="AF3060" s="54">
        <f>IF(AND(IFERROR(INDEX($A3060:$AB3060,MATCH("Xero Invoice No",$A$1:$AB$1,0)),"")&amp;""&lt;&gt;"",ISNUMBER(AE3060),AD3060&lt;&gt;0),1,0)</f>
        <v/>
      </c>
      <c r="AG3060" s="55">
        <f>IF(AF3060=1,EOMONTH(AE3060,0),"")</f>
        <v/>
      </c>
      <c r="AH3060" s="9">
        <f>IF(AF3060=1,UPPER(TRIM(IFERROR(INDEX($A3060:$AB3060,MATCH("Client",$A$1:$AB$1,0)),"")&amp;"")),"")</f>
        <v/>
      </c>
      <c r="AI3060" s="9">
        <f>IF(AF3060=1,IFERROR(INDEX($A3060:$AB3060,MATCH("Cost Centre",$A$1:$AB$1,0)),"")&amp;"","")</f>
        <v/>
      </c>
      <c r="AJ3060" s="54">
        <f>IF(AND(AF3060=1,AE3060&gt;=set_FYStart,AE3060&lt;=set_AsAt),1,0)</f>
        <v/>
      </c>
      <c r="AK3060" s="54">
        <f>IF(AND(AJ3060=1,AH3060&lt;&gt;"",COUNTIFS($AH$2:AH3060,AH3060,$AJ$2:AJ3060,1)=1),N(AL3059)+1,"")</f>
        <v/>
      </c>
      <c r="AL3060" s="54">
        <f>IF(AK3060&lt;&gt;"",AK3060,N(AL3059))</f>
        <v/>
      </c>
    </row>
    <row r="3061">
      <c r="A3061" t="inlineStr">
        <is>
          <t>CON-1020</t>
        </is>
      </c>
      <c r="B3061" t="inlineStr">
        <is>
          <t>Consulting</t>
        </is>
      </c>
      <c r="AB3061" t="n">
        <v>1020</v>
      </c>
      <c r="AD3061" s="52">
        <f>IFERROR(N(IFERROR(INDEX($A3061:$AB3061,MATCH("Xero Invoiced Ex GST",$A$1:$AB$1,0)),"")),0)</f>
        <v/>
      </c>
      <c r="AE3061" s="53">
        <f>IFERROR(INDEX($A3061:$AB3061,MATCH("Xero Invoice Date",$A$1:$AB$1,0)),"")</f>
        <v/>
      </c>
      <c r="AF3061" s="54">
        <f>IF(AND(IFERROR(INDEX($A3061:$AB3061,MATCH("Xero Invoice No",$A$1:$AB$1,0)),"")&amp;""&lt;&gt;"",ISNUMBER(AE3061),AD3061&lt;&gt;0),1,0)</f>
        <v/>
      </c>
      <c r="AG3061" s="55">
        <f>IF(AF3061=1,EOMONTH(AE3061,0),"")</f>
        <v/>
      </c>
      <c r="AH3061" s="9">
        <f>IF(AF3061=1,UPPER(TRIM(IFERROR(INDEX($A3061:$AB3061,MATCH("Client",$A$1:$AB$1,0)),"")&amp;"")),"")</f>
        <v/>
      </c>
      <c r="AI3061" s="9">
        <f>IF(AF3061=1,IFERROR(INDEX($A3061:$AB3061,MATCH("Cost Centre",$A$1:$AB$1,0)),"")&amp;"","")</f>
        <v/>
      </c>
      <c r="AJ3061" s="54">
        <f>IF(AND(AF3061=1,AE3061&gt;=set_FYStart,AE3061&lt;=set_AsAt),1,0)</f>
        <v/>
      </c>
      <c r="AK3061" s="54">
        <f>IF(AND(AJ3061=1,AH3061&lt;&gt;"",COUNTIFS($AH$2:AH3061,AH3061,$AJ$2:AJ3061,1)=1),N(AL3060)+1,"")</f>
        <v/>
      </c>
      <c r="AL3061" s="54">
        <f>IF(AK3061&lt;&gt;"",AK3061,N(AL3060))</f>
        <v/>
      </c>
    </row>
    <row r="3062">
      <c r="A3062" t="inlineStr">
        <is>
          <t>ONS-1021</t>
        </is>
      </c>
      <c r="B3062" t="inlineStr">
        <is>
          <t>Onsite</t>
        </is>
      </c>
      <c r="AB3062" t="n">
        <v>1021</v>
      </c>
      <c r="AD3062" s="52">
        <f>IFERROR(N(IFERROR(INDEX($A3062:$AB3062,MATCH("Xero Invoiced Ex GST",$A$1:$AB$1,0)),"")),0)</f>
        <v/>
      </c>
      <c r="AE3062" s="53">
        <f>IFERROR(INDEX($A3062:$AB3062,MATCH("Xero Invoice Date",$A$1:$AB$1,0)),"")</f>
        <v/>
      </c>
      <c r="AF3062" s="54">
        <f>IF(AND(IFERROR(INDEX($A3062:$AB3062,MATCH("Xero Invoice No",$A$1:$AB$1,0)),"")&amp;""&lt;&gt;"",ISNUMBER(AE3062),AD3062&lt;&gt;0),1,0)</f>
        <v/>
      </c>
      <c r="AG3062" s="55">
        <f>IF(AF3062=1,EOMONTH(AE3062,0),"")</f>
        <v/>
      </c>
      <c r="AH3062" s="9">
        <f>IF(AF3062=1,UPPER(TRIM(IFERROR(INDEX($A3062:$AB3062,MATCH("Client",$A$1:$AB$1,0)),"")&amp;"")),"")</f>
        <v/>
      </c>
      <c r="AI3062" s="9">
        <f>IF(AF3062=1,IFERROR(INDEX($A3062:$AB3062,MATCH("Cost Centre",$A$1:$AB$1,0)),"")&amp;"","")</f>
        <v/>
      </c>
      <c r="AJ3062" s="54">
        <f>IF(AND(AF3062=1,AE3062&gt;=set_FYStart,AE3062&lt;=set_AsAt),1,0)</f>
        <v/>
      </c>
      <c r="AK3062" s="54">
        <f>IF(AND(AJ3062=1,AH3062&lt;&gt;"",COUNTIFS($AH$2:AH3062,AH3062,$AJ$2:AJ3062,1)=1),N(AL3061)+1,"")</f>
        <v/>
      </c>
      <c r="AL3062" s="54">
        <f>IF(AK3062&lt;&gt;"",AK3062,N(AL3061))</f>
        <v/>
      </c>
    </row>
    <row r="3063">
      <c r="A3063" t="inlineStr">
        <is>
          <t>PRD-1021</t>
        </is>
      </c>
      <c r="B3063" t="inlineStr">
        <is>
          <t>Production</t>
        </is>
      </c>
      <c r="AB3063" t="n">
        <v>1021</v>
      </c>
      <c r="AD3063" s="52">
        <f>IFERROR(N(IFERROR(INDEX($A3063:$AB3063,MATCH("Xero Invoiced Ex GST",$A$1:$AB$1,0)),"")),0)</f>
        <v/>
      </c>
      <c r="AE3063" s="53">
        <f>IFERROR(INDEX($A3063:$AB3063,MATCH("Xero Invoice Date",$A$1:$AB$1,0)),"")</f>
        <v/>
      </c>
      <c r="AF3063" s="54">
        <f>IF(AND(IFERROR(INDEX($A3063:$AB3063,MATCH("Xero Invoice No",$A$1:$AB$1,0)),"")&amp;""&lt;&gt;"",ISNUMBER(AE3063),AD3063&lt;&gt;0),1,0)</f>
        <v/>
      </c>
      <c r="AG3063" s="55">
        <f>IF(AF3063=1,EOMONTH(AE3063,0),"")</f>
        <v/>
      </c>
      <c r="AH3063" s="9">
        <f>IF(AF3063=1,UPPER(TRIM(IFERROR(INDEX($A3063:$AB3063,MATCH("Client",$A$1:$AB$1,0)),"")&amp;"")),"")</f>
        <v/>
      </c>
      <c r="AI3063" s="9">
        <f>IF(AF3063=1,IFERROR(INDEX($A3063:$AB3063,MATCH("Cost Centre",$A$1:$AB$1,0)),"")&amp;"","")</f>
        <v/>
      </c>
      <c r="AJ3063" s="54">
        <f>IF(AND(AF3063=1,AE3063&gt;=set_FYStart,AE3063&lt;=set_AsAt),1,0)</f>
        <v/>
      </c>
      <c r="AK3063" s="54">
        <f>IF(AND(AJ3063=1,AH3063&lt;&gt;"",COUNTIFS($AH$2:AH3063,AH3063,$AJ$2:AJ3063,1)=1),N(AL3062)+1,"")</f>
        <v/>
      </c>
      <c r="AL3063" s="54">
        <f>IF(AK3063&lt;&gt;"",AK3063,N(AL3062))</f>
        <v/>
      </c>
    </row>
    <row r="3064">
      <c r="A3064" t="inlineStr">
        <is>
          <t>CON-1021</t>
        </is>
      </c>
      <c r="B3064" t="inlineStr">
        <is>
          <t>Consulting</t>
        </is>
      </c>
      <c r="AB3064" t="n">
        <v>1021</v>
      </c>
      <c r="AD3064" s="52">
        <f>IFERROR(N(IFERROR(INDEX($A3064:$AB3064,MATCH("Xero Invoiced Ex GST",$A$1:$AB$1,0)),"")),0)</f>
        <v/>
      </c>
      <c r="AE3064" s="53">
        <f>IFERROR(INDEX($A3064:$AB3064,MATCH("Xero Invoice Date",$A$1:$AB$1,0)),"")</f>
        <v/>
      </c>
      <c r="AF3064" s="54">
        <f>IF(AND(IFERROR(INDEX($A3064:$AB3064,MATCH("Xero Invoice No",$A$1:$AB$1,0)),"")&amp;""&lt;&gt;"",ISNUMBER(AE3064),AD3064&lt;&gt;0),1,0)</f>
        <v/>
      </c>
      <c r="AG3064" s="55">
        <f>IF(AF3064=1,EOMONTH(AE3064,0),"")</f>
        <v/>
      </c>
      <c r="AH3064" s="9">
        <f>IF(AF3064=1,UPPER(TRIM(IFERROR(INDEX($A3064:$AB3064,MATCH("Client",$A$1:$AB$1,0)),"")&amp;"")),"")</f>
        <v/>
      </c>
      <c r="AI3064" s="9">
        <f>IF(AF3064=1,IFERROR(INDEX($A3064:$AB3064,MATCH("Cost Centre",$A$1:$AB$1,0)),"")&amp;"","")</f>
        <v/>
      </c>
      <c r="AJ3064" s="54">
        <f>IF(AND(AF3064=1,AE3064&gt;=set_FYStart,AE3064&lt;=set_AsAt),1,0)</f>
        <v/>
      </c>
      <c r="AK3064" s="54">
        <f>IF(AND(AJ3064=1,AH3064&lt;&gt;"",COUNTIFS($AH$2:AH3064,AH3064,$AJ$2:AJ3064,1)=1),N(AL3063)+1,"")</f>
        <v/>
      </c>
      <c r="AL3064" s="54">
        <f>IF(AK3064&lt;&gt;"",AK3064,N(AL3063))</f>
        <v/>
      </c>
    </row>
    <row r="3065">
      <c r="A3065" t="inlineStr">
        <is>
          <t>ONS-1022</t>
        </is>
      </c>
      <c r="B3065" t="inlineStr">
        <is>
          <t>Onsite</t>
        </is>
      </c>
      <c r="AB3065" t="n">
        <v>1022</v>
      </c>
      <c r="AD3065" s="52">
        <f>IFERROR(N(IFERROR(INDEX($A3065:$AB3065,MATCH("Xero Invoiced Ex GST",$A$1:$AB$1,0)),"")),0)</f>
        <v/>
      </c>
      <c r="AE3065" s="53">
        <f>IFERROR(INDEX($A3065:$AB3065,MATCH("Xero Invoice Date",$A$1:$AB$1,0)),"")</f>
        <v/>
      </c>
      <c r="AF3065" s="54">
        <f>IF(AND(IFERROR(INDEX($A3065:$AB3065,MATCH("Xero Invoice No",$A$1:$AB$1,0)),"")&amp;""&lt;&gt;"",ISNUMBER(AE3065),AD3065&lt;&gt;0),1,0)</f>
        <v/>
      </c>
      <c r="AG3065" s="55">
        <f>IF(AF3065=1,EOMONTH(AE3065,0),"")</f>
        <v/>
      </c>
      <c r="AH3065" s="9">
        <f>IF(AF3065=1,UPPER(TRIM(IFERROR(INDEX($A3065:$AB3065,MATCH("Client",$A$1:$AB$1,0)),"")&amp;"")),"")</f>
        <v/>
      </c>
      <c r="AI3065" s="9">
        <f>IF(AF3065=1,IFERROR(INDEX($A3065:$AB3065,MATCH("Cost Centre",$A$1:$AB$1,0)),"")&amp;"","")</f>
        <v/>
      </c>
      <c r="AJ3065" s="54">
        <f>IF(AND(AF3065=1,AE3065&gt;=set_FYStart,AE3065&lt;=set_AsAt),1,0)</f>
        <v/>
      </c>
      <c r="AK3065" s="54">
        <f>IF(AND(AJ3065=1,AH3065&lt;&gt;"",COUNTIFS($AH$2:AH3065,AH3065,$AJ$2:AJ3065,1)=1),N(AL3064)+1,"")</f>
        <v/>
      </c>
      <c r="AL3065" s="54">
        <f>IF(AK3065&lt;&gt;"",AK3065,N(AL3064))</f>
        <v/>
      </c>
    </row>
    <row r="3066">
      <c r="A3066" t="inlineStr">
        <is>
          <t>PRD-1022</t>
        </is>
      </c>
      <c r="B3066" t="inlineStr">
        <is>
          <t>Production</t>
        </is>
      </c>
      <c r="AB3066" t="n">
        <v>1022</v>
      </c>
      <c r="AD3066" s="52">
        <f>IFERROR(N(IFERROR(INDEX($A3066:$AB3066,MATCH("Xero Invoiced Ex GST",$A$1:$AB$1,0)),"")),0)</f>
        <v/>
      </c>
      <c r="AE3066" s="53">
        <f>IFERROR(INDEX($A3066:$AB3066,MATCH("Xero Invoice Date",$A$1:$AB$1,0)),"")</f>
        <v/>
      </c>
      <c r="AF3066" s="54">
        <f>IF(AND(IFERROR(INDEX($A3066:$AB3066,MATCH("Xero Invoice No",$A$1:$AB$1,0)),"")&amp;""&lt;&gt;"",ISNUMBER(AE3066),AD3066&lt;&gt;0),1,0)</f>
        <v/>
      </c>
      <c r="AG3066" s="55">
        <f>IF(AF3066=1,EOMONTH(AE3066,0),"")</f>
        <v/>
      </c>
      <c r="AH3066" s="9">
        <f>IF(AF3066=1,UPPER(TRIM(IFERROR(INDEX($A3066:$AB3066,MATCH("Client",$A$1:$AB$1,0)),"")&amp;"")),"")</f>
        <v/>
      </c>
      <c r="AI3066" s="9">
        <f>IF(AF3066=1,IFERROR(INDEX($A3066:$AB3066,MATCH("Cost Centre",$A$1:$AB$1,0)),"")&amp;"","")</f>
        <v/>
      </c>
      <c r="AJ3066" s="54">
        <f>IF(AND(AF3066=1,AE3066&gt;=set_FYStart,AE3066&lt;=set_AsAt),1,0)</f>
        <v/>
      </c>
      <c r="AK3066" s="54">
        <f>IF(AND(AJ3066=1,AH3066&lt;&gt;"",COUNTIFS($AH$2:AH3066,AH3066,$AJ$2:AJ3066,1)=1),N(AL3065)+1,"")</f>
        <v/>
      </c>
      <c r="AL3066" s="54">
        <f>IF(AK3066&lt;&gt;"",AK3066,N(AL3065))</f>
        <v/>
      </c>
    </row>
    <row r="3067">
      <c r="A3067" t="inlineStr">
        <is>
          <t>CON-1022</t>
        </is>
      </c>
      <c r="B3067" t="inlineStr">
        <is>
          <t>Consulting</t>
        </is>
      </c>
      <c r="AB3067" t="n">
        <v>1022</v>
      </c>
      <c r="AD3067" s="52">
        <f>IFERROR(N(IFERROR(INDEX($A3067:$AB3067,MATCH("Xero Invoiced Ex GST",$A$1:$AB$1,0)),"")),0)</f>
        <v/>
      </c>
      <c r="AE3067" s="53">
        <f>IFERROR(INDEX($A3067:$AB3067,MATCH("Xero Invoice Date",$A$1:$AB$1,0)),"")</f>
        <v/>
      </c>
      <c r="AF3067" s="54">
        <f>IF(AND(IFERROR(INDEX($A3067:$AB3067,MATCH("Xero Invoice No",$A$1:$AB$1,0)),"")&amp;""&lt;&gt;"",ISNUMBER(AE3067),AD3067&lt;&gt;0),1,0)</f>
        <v/>
      </c>
      <c r="AG3067" s="55">
        <f>IF(AF3067=1,EOMONTH(AE3067,0),"")</f>
        <v/>
      </c>
      <c r="AH3067" s="9">
        <f>IF(AF3067=1,UPPER(TRIM(IFERROR(INDEX($A3067:$AB3067,MATCH("Client",$A$1:$AB$1,0)),"")&amp;"")),"")</f>
        <v/>
      </c>
      <c r="AI3067" s="9">
        <f>IF(AF3067=1,IFERROR(INDEX($A3067:$AB3067,MATCH("Cost Centre",$A$1:$AB$1,0)),"")&amp;"","")</f>
        <v/>
      </c>
      <c r="AJ3067" s="54">
        <f>IF(AND(AF3067=1,AE3067&gt;=set_FYStart,AE3067&lt;=set_AsAt),1,0)</f>
        <v/>
      </c>
      <c r="AK3067" s="54">
        <f>IF(AND(AJ3067=1,AH3067&lt;&gt;"",COUNTIFS($AH$2:AH3067,AH3067,$AJ$2:AJ3067,1)=1),N(AL3066)+1,"")</f>
        <v/>
      </c>
      <c r="AL3067" s="54">
        <f>IF(AK3067&lt;&gt;"",AK3067,N(AL3066))</f>
        <v/>
      </c>
    </row>
    <row r="3068">
      <c r="A3068" t="inlineStr">
        <is>
          <t>ONS-1023</t>
        </is>
      </c>
      <c r="B3068" t="inlineStr">
        <is>
          <t>Onsite</t>
        </is>
      </c>
      <c r="AB3068" t="n">
        <v>1023</v>
      </c>
      <c r="AD3068" s="52">
        <f>IFERROR(N(IFERROR(INDEX($A3068:$AB3068,MATCH("Xero Invoiced Ex GST",$A$1:$AB$1,0)),"")),0)</f>
        <v/>
      </c>
      <c r="AE3068" s="53">
        <f>IFERROR(INDEX($A3068:$AB3068,MATCH("Xero Invoice Date",$A$1:$AB$1,0)),"")</f>
        <v/>
      </c>
      <c r="AF3068" s="54">
        <f>IF(AND(IFERROR(INDEX($A3068:$AB3068,MATCH("Xero Invoice No",$A$1:$AB$1,0)),"")&amp;""&lt;&gt;"",ISNUMBER(AE3068),AD3068&lt;&gt;0),1,0)</f>
        <v/>
      </c>
      <c r="AG3068" s="55">
        <f>IF(AF3068=1,EOMONTH(AE3068,0),"")</f>
        <v/>
      </c>
      <c r="AH3068" s="9">
        <f>IF(AF3068=1,UPPER(TRIM(IFERROR(INDEX($A3068:$AB3068,MATCH("Client",$A$1:$AB$1,0)),"")&amp;"")),"")</f>
        <v/>
      </c>
      <c r="AI3068" s="9">
        <f>IF(AF3068=1,IFERROR(INDEX($A3068:$AB3068,MATCH("Cost Centre",$A$1:$AB$1,0)),"")&amp;"","")</f>
        <v/>
      </c>
      <c r="AJ3068" s="54">
        <f>IF(AND(AF3068=1,AE3068&gt;=set_FYStart,AE3068&lt;=set_AsAt),1,0)</f>
        <v/>
      </c>
      <c r="AK3068" s="54">
        <f>IF(AND(AJ3068=1,AH3068&lt;&gt;"",COUNTIFS($AH$2:AH3068,AH3068,$AJ$2:AJ3068,1)=1),N(AL3067)+1,"")</f>
        <v/>
      </c>
      <c r="AL3068" s="54">
        <f>IF(AK3068&lt;&gt;"",AK3068,N(AL3067))</f>
        <v/>
      </c>
    </row>
    <row r="3069">
      <c r="A3069" t="inlineStr">
        <is>
          <t>PRD-1023</t>
        </is>
      </c>
      <c r="B3069" t="inlineStr">
        <is>
          <t>Production</t>
        </is>
      </c>
      <c r="AB3069" t="n">
        <v>1023</v>
      </c>
      <c r="AD3069" s="52">
        <f>IFERROR(N(IFERROR(INDEX($A3069:$AB3069,MATCH("Xero Invoiced Ex GST",$A$1:$AB$1,0)),"")),0)</f>
        <v/>
      </c>
      <c r="AE3069" s="53">
        <f>IFERROR(INDEX($A3069:$AB3069,MATCH("Xero Invoice Date",$A$1:$AB$1,0)),"")</f>
        <v/>
      </c>
      <c r="AF3069" s="54">
        <f>IF(AND(IFERROR(INDEX($A3069:$AB3069,MATCH("Xero Invoice No",$A$1:$AB$1,0)),"")&amp;""&lt;&gt;"",ISNUMBER(AE3069),AD3069&lt;&gt;0),1,0)</f>
        <v/>
      </c>
      <c r="AG3069" s="55">
        <f>IF(AF3069=1,EOMONTH(AE3069,0),"")</f>
        <v/>
      </c>
      <c r="AH3069" s="9">
        <f>IF(AF3069=1,UPPER(TRIM(IFERROR(INDEX($A3069:$AB3069,MATCH("Client",$A$1:$AB$1,0)),"")&amp;"")),"")</f>
        <v/>
      </c>
      <c r="AI3069" s="9">
        <f>IF(AF3069=1,IFERROR(INDEX($A3069:$AB3069,MATCH("Cost Centre",$A$1:$AB$1,0)),"")&amp;"","")</f>
        <v/>
      </c>
      <c r="AJ3069" s="54">
        <f>IF(AND(AF3069=1,AE3069&gt;=set_FYStart,AE3069&lt;=set_AsAt),1,0)</f>
        <v/>
      </c>
      <c r="AK3069" s="54">
        <f>IF(AND(AJ3069=1,AH3069&lt;&gt;"",COUNTIFS($AH$2:AH3069,AH3069,$AJ$2:AJ3069,1)=1),N(AL3068)+1,"")</f>
        <v/>
      </c>
      <c r="AL3069" s="54">
        <f>IF(AK3069&lt;&gt;"",AK3069,N(AL3068))</f>
        <v/>
      </c>
    </row>
    <row r="3070">
      <c r="A3070" t="inlineStr">
        <is>
          <t>CON-1023</t>
        </is>
      </c>
      <c r="B3070" t="inlineStr">
        <is>
          <t>Consulting</t>
        </is>
      </c>
      <c r="AB3070" t="n">
        <v>1023</v>
      </c>
      <c r="AD3070" s="52">
        <f>IFERROR(N(IFERROR(INDEX($A3070:$AB3070,MATCH("Xero Invoiced Ex GST",$A$1:$AB$1,0)),"")),0)</f>
        <v/>
      </c>
      <c r="AE3070" s="53">
        <f>IFERROR(INDEX($A3070:$AB3070,MATCH("Xero Invoice Date",$A$1:$AB$1,0)),"")</f>
        <v/>
      </c>
      <c r="AF3070" s="54">
        <f>IF(AND(IFERROR(INDEX($A3070:$AB3070,MATCH("Xero Invoice No",$A$1:$AB$1,0)),"")&amp;""&lt;&gt;"",ISNUMBER(AE3070),AD3070&lt;&gt;0),1,0)</f>
        <v/>
      </c>
      <c r="AG3070" s="55">
        <f>IF(AF3070=1,EOMONTH(AE3070,0),"")</f>
        <v/>
      </c>
      <c r="AH3070" s="9">
        <f>IF(AF3070=1,UPPER(TRIM(IFERROR(INDEX($A3070:$AB3070,MATCH("Client",$A$1:$AB$1,0)),"")&amp;"")),"")</f>
        <v/>
      </c>
      <c r="AI3070" s="9">
        <f>IF(AF3070=1,IFERROR(INDEX($A3070:$AB3070,MATCH("Cost Centre",$A$1:$AB$1,0)),"")&amp;"","")</f>
        <v/>
      </c>
      <c r="AJ3070" s="54">
        <f>IF(AND(AF3070=1,AE3070&gt;=set_FYStart,AE3070&lt;=set_AsAt),1,0)</f>
        <v/>
      </c>
      <c r="AK3070" s="54">
        <f>IF(AND(AJ3070=1,AH3070&lt;&gt;"",COUNTIFS($AH$2:AH3070,AH3070,$AJ$2:AJ3070,1)=1),N(AL3069)+1,"")</f>
        <v/>
      </c>
      <c r="AL3070" s="54">
        <f>IF(AK3070&lt;&gt;"",AK3070,N(AL3069))</f>
        <v/>
      </c>
    </row>
    <row r="3071">
      <c r="A3071" t="inlineStr">
        <is>
          <t>ONS-1024</t>
        </is>
      </c>
      <c r="B3071" t="inlineStr">
        <is>
          <t>Onsite</t>
        </is>
      </c>
      <c r="AB3071" t="n">
        <v>1024</v>
      </c>
      <c r="AD3071" s="52">
        <f>IFERROR(N(IFERROR(INDEX($A3071:$AB3071,MATCH("Xero Invoiced Ex GST",$A$1:$AB$1,0)),"")),0)</f>
        <v/>
      </c>
      <c r="AE3071" s="53">
        <f>IFERROR(INDEX($A3071:$AB3071,MATCH("Xero Invoice Date",$A$1:$AB$1,0)),"")</f>
        <v/>
      </c>
      <c r="AF3071" s="54">
        <f>IF(AND(IFERROR(INDEX($A3071:$AB3071,MATCH("Xero Invoice No",$A$1:$AB$1,0)),"")&amp;""&lt;&gt;"",ISNUMBER(AE3071),AD3071&lt;&gt;0),1,0)</f>
        <v/>
      </c>
      <c r="AG3071" s="55">
        <f>IF(AF3071=1,EOMONTH(AE3071,0),"")</f>
        <v/>
      </c>
      <c r="AH3071" s="9">
        <f>IF(AF3071=1,UPPER(TRIM(IFERROR(INDEX($A3071:$AB3071,MATCH("Client",$A$1:$AB$1,0)),"")&amp;"")),"")</f>
        <v/>
      </c>
      <c r="AI3071" s="9">
        <f>IF(AF3071=1,IFERROR(INDEX($A3071:$AB3071,MATCH("Cost Centre",$A$1:$AB$1,0)),"")&amp;"","")</f>
        <v/>
      </c>
      <c r="AJ3071" s="54">
        <f>IF(AND(AF3071=1,AE3071&gt;=set_FYStart,AE3071&lt;=set_AsAt),1,0)</f>
        <v/>
      </c>
      <c r="AK3071" s="54">
        <f>IF(AND(AJ3071=1,AH3071&lt;&gt;"",COUNTIFS($AH$2:AH3071,AH3071,$AJ$2:AJ3071,1)=1),N(AL3070)+1,"")</f>
        <v/>
      </c>
      <c r="AL3071" s="54">
        <f>IF(AK3071&lt;&gt;"",AK3071,N(AL3070))</f>
        <v/>
      </c>
    </row>
    <row r="3072">
      <c r="A3072" t="inlineStr">
        <is>
          <t>PRD-1024</t>
        </is>
      </c>
      <c r="B3072" t="inlineStr">
        <is>
          <t>Production</t>
        </is>
      </c>
      <c r="AB3072" t="n">
        <v>1024</v>
      </c>
      <c r="AD3072" s="52">
        <f>IFERROR(N(IFERROR(INDEX($A3072:$AB3072,MATCH("Xero Invoiced Ex GST",$A$1:$AB$1,0)),"")),0)</f>
        <v/>
      </c>
      <c r="AE3072" s="53">
        <f>IFERROR(INDEX($A3072:$AB3072,MATCH("Xero Invoice Date",$A$1:$AB$1,0)),"")</f>
        <v/>
      </c>
      <c r="AF3072" s="54">
        <f>IF(AND(IFERROR(INDEX($A3072:$AB3072,MATCH("Xero Invoice No",$A$1:$AB$1,0)),"")&amp;""&lt;&gt;"",ISNUMBER(AE3072),AD3072&lt;&gt;0),1,0)</f>
        <v/>
      </c>
      <c r="AG3072" s="55">
        <f>IF(AF3072=1,EOMONTH(AE3072,0),"")</f>
        <v/>
      </c>
      <c r="AH3072" s="9">
        <f>IF(AF3072=1,UPPER(TRIM(IFERROR(INDEX($A3072:$AB3072,MATCH("Client",$A$1:$AB$1,0)),"")&amp;"")),"")</f>
        <v/>
      </c>
      <c r="AI3072" s="9">
        <f>IF(AF3072=1,IFERROR(INDEX($A3072:$AB3072,MATCH("Cost Centre",$A$1:$AB$1,0)),"")&amp;"","")</f>
        <v/>
      </c>
      <c r="AJ3072" s="54">
        <f>IF(AND(AF3072=1,AE3072&gt;=set_FYStart,AE3072&lt;=set_AsAt),1,0)</f>
        <v/>
      </c>
      <c r="AK3072" s="54">
        <f>IF(AND(AJ3072=1,AH3072&lt;&gt;"",COUNTIFS($AH$2:AH3072,AH3072,$AJ$2:AJ3072,1)=1),N(AL3071)+1,"")</f>
        <v/>
      </c>
      <c r="AL3072" s="54">
        <f>IF(AK3072&lt;&gt;"",AK3072,N(AL3071))</f>
        <v/>
      </c>
    </row>
    <row r="3073">
      <c r="A3073" t="inlineStr">
        <is>
          <t>CON-1024</t>
        </is>
      </c>
      <c r="B3073" t="inlineStr">
        <is>
          <t>Consulting</t>
        </is>
      </c>
      <c r="AB3073" t="n">
        <v>1024</v>
      </c>
      <c r="AD3073" s="52">
        <f>IFERROR(N(IFERROR(INDEX($A3073:$AB3073,MATCH("Xero Invoiced Ex GST",$A$1:$AB$1,0)),"")),0)</f>
        <v/>
      </c>
      <c r="AE3073" s="53">
        <f>IFERROR(INDEX($A3073:$AB3073,MATCH("Xero Invoice Date",$A$1:$AB$1,0)),"")</f>
        <v/>
      </c>
      <c r="AF3073" s="54">
        <f>IF(AND(IFERROR(INDEX($A3073:$AB3073,MATCH("Xero Invoice No",$A$1:$AB$1,0)),"")&amp;""&lt;&gt;"",ISNUMBER(AE3073),AD3073&lt;&gt;0),1,0)</f>
        <v/>
      </c>
      <c r="AG3073" s="55">
        <f>IF(AF3073=1,EOMONTH(AE3073,0),"")</f>
        <v/>
      </c>
      <c r="AH3073" s="9">
        <f>IF(AF3073=1,UPPER(TRIM(IFERROR(INDEX($A3073:$AB3073,MATCH("Client",$A$1:$AB$1,0)),"")&amp;"")),"")</f>
        <v/>
      </c>
      <c r="AI3073" s="9">
        <f>IF(AF3073=1,IFERROR(INDEX($A3073:$AB3073,MATCH("Cost Centre",$A$1:$AB$1,0)),"")&amp;"","")</f>
        <v/>
      </c>
      <c r="AJ3073" s="54">
        <f>IF(AND(AF3073=1,AE3073&gt;=set_FYStart,AE3073&lt;=set_AsAt),1,0)</f>
        <v/>
      </c>
      <c r="AK3073" s="54">
        <f>IF(AND(AJ3073=1,AH3073&lt;&gt;"",COUNTIFS($AH$2:AH3073,AH3073,$AJ$2:AJ3073,1)=1),N(AL3072)+1,"")</f>
        <v/>
      </c>
      <c r="AL3073" s="54">
        <f>IF(AK3073&lt;&gt;"",AK3073,N(AL3072))</f>
        <v/>
      </c>
    </row>
    <row r="3074">
      <c r="A3074" t="inlineStr">
        <is>
          <t>ONS-1025</t>
        </is>
      </c>
      <c r="B3074" t="inlineStr">
        <is>
          <t>Onsite</t>
        </is>
      </c>
      <c r="AB3074" t="n">
        <v>1025</v>
      </c>
      <c r="AD3074" s="52">
        <f>IFERROR(N(IFERROR(INDEX($A3074:$AB3074,MATCH("Xero Invoiced Ex GST",$A$1:$AB$1,0)),"")),0)</f>
        <v/>
      </c>
      <c r="AE3074" s="53">
        <f>IFERROR(INDEX($A3074:$AB3074,MATCH("Xero Invoice Date",$A$1:$AB$1,0)),"")</f>
        <v/>
      </c>
      <c r="AF3074" s="54">
        <f>IF(AND(IFERROR(INDEX($A3074:$AB3074,MATCH("Xero Invoice No",$A$1:$AB$1,0)),"")&amp;""&lt;&gt;"",ISNUMBER(AE3074),AD3074&lt;&gt;0),1,0)</f>
        <v/>
      </c>
      <c r="AG3074" s="55">
        <f>IF(AF3074=1,EOMONTH(AE3074,0),"")</f>
        <v/>
      </c>
      <c r="AH3074" s="9">
        <f>IF(AF3074=1,UPPER(TRIM(IFERROR(INDEX($A3074:$AB3074,MATCH("Client",$A$1:$AB$1,0)),"")&amp;"")),"")</f>
        <v/>
      </c>
      <c r="AI3074" s="9">
        <f>IF(AF3074=1,IFERROR(INDEX($A3074:$AB3074,MATCH("Cost Centre",$A$1:$AB$1,0)),"")&amp;"","")</f>
        <v/>
      </c>
      <c r="AJ3074" s="54">
        <f>IF(AND(AF3074=1,AE3074&gt;=set_FYStart,AE3074&lt;=set_AsAt),1,0)</f>
        <v/>
      </c>
      <c r="AK3074" s="54">
        <f>IF(AND(AJ3074=1,AH3074&lt;&gt;"",COUNTIFS($AH$2:AH3074,AH3074,$AJ$2:AJ3074,1)=1),N(AL3073)+1,"")</f>
        <v/>
      </c>
      <c r="AL3074" s="54">
        <f>IF(AK3074&lt;&gt;"",AK3074,N(AL3073))</f>
        <v/>
      </c>
    </row>
    <row r="3075">
      <c r="A3075" t="inlineStr">
        <is>
          <t>PRD-1025</t>
        </is>
      </c>
      <c r="B3075" t="inlineStr">
        <is>
          <t>Production</t>
        </is>
      </c>
      <c r="AB3075" t="n">
        <v>1025</v>
      </c>
      <c r="AD3075" s="52">
        <f>IFERROR(N(IFERROR(INDEX($A3075:$AB3075,MATCH("Xero Invoiced Ex GST",$A$1:$AB$1,0)),"")),0)</f>
        <v/>
      </c>
      <c r="AE3075" s="53">
        <f>IFERROR(INDEX($A3075:$AB3075,MATCH("Xero Invoice Date",$A$1:$AB$1,0)),"")</f>
        <v/>
      </c>
      <c r="AF3075" s="54">
        <f>IF(AND(IFERROR(INDEX($A3075:$AB3075,MATCH("Xero Invoice No",$A$1:$AB$1,0)),"")&amp;""&lt;&gt;"",ISNUMBER(AE3075),AD3075&lt;&gt;0),1,0)</f>
        <v/>
      </c>
      <c r="AG3075" s="55">
        <f>IF(AF3075=1,EOMONTH(AE3075,0),"")</f>
        <v/>
      </c>
      <c r="AH3075" s="9">
        <f>IF(AF3075=1,UPPER(TRIM(IFERROR(INDEX($A3075:$AB3075,MATCH("Client",$A$1:$AB$1,0)),"")&amp;"")),"")</f>
        <v/>
      </c>
      <c r="AI3075" s="9">
        <f>IF(AF3075=1,IFERROR(INDEX($A3075:$AB3075,MATCH("Cost Centre",$A$1:$AB$1,0)),"")&amp;"","")</f>
        <v/>
      </c>
      <c r="AJ3075" s="54">
        <f>IF(AND(AF3075=1,AE3075&gt;=set_FYStart,AE3075&lt;=set_AsAt),1,0)</f>
        <v/>
      </c>
      <c r="AK3075" s="54">
        <f>IF(AND(AJ3075=1,AH3075&lt;&gt;"",COUNTIFS($AH$2:AH3075,AH3075,$AJ$2:AJ3075,1)=1),N(AL3074)+1,"")</f>
        <v/>
      </c>
      <c r="AL3075" s="54">
        <f>IF(AK3075&lt;&gt;"",AK3075,N(AL3074))</f>
        <v/>
      </c>
    </row>
    <row r="3076">
      <c r="A3076" t="inlineStr">
        <is>
          <t>CON-1025</t>
        </is>
      </c>
      <c r="B3076" t="inlineStr">
        <is>
          <t>Consulting</t>
        </is>
      </c>
      <c r="AB3076" t="n">
        <v>1025</v>
      </c>
      <c r="AD3076" s="52">
        <f>IFERROR(N(IFERROR(INDEX($A3076:$AB3076,MATCH("Xero Invoiced Ex GST",$A$1:$AB$1,0)),"")),0)</f>
        <v/>
      </c>
      <c r="AE3076" s="53">
        <f>IFERROR(INDEX($A3076:$AB3076,MATCH("Xero Invoice Date",$A$1:$AB$1,0)),"")</f>
        <v/>
      </c>
      <c r="AF3076" s="54">
        <f>IF(AND(IFERROR(INDEX($A3076:$AB3076,MATCH("Xero Invoice No",$A$1:$AB$1,0)),"")&amp;""&lt;&gt;"",ISNUMBER(AE3076),AD3076&lt;&gt;0),1,0)</f>
        <v/>
      </c>
      <c r="AG3076" s="55">
        <f>IF(AF3076=1,EOMONTH(AE3076,0),"")</f>
        <v/>
      </c>
      <c r="AH3076" s="9">
        <f>IF(AF3076=1,UPPER(TRIM(IFERROR(INDEX($A3076:$AB3076,MATCH("Client",$A$1:$AB$1,0)),"")&amp;"")),"")</f>
        <v/>
      </c>
      <c r="AI3076" s="9">
        <f>IF(AF3076=1,IFERROR(INDEX($A3076:$AB3076,MATCH("Cost Centre",$A$1:$AB$1,0)),"")&amp;"","")</f>
        <v/>
      </c>
      <c r="AJ3076" s="54">
        <f>IF(AND(AF3076=1,AE3076&gt;=set_FYStart,AE3076&lt;=set_AsAt),1,0)</f>
        <v/>
      </c>
      <c r="AK3076" s="54">
        <f>IF(AND(AJ3076=1,AH3076&lt;&gt;"",COUNTIFS($AH$2:AH3076,AH3076,$AJ$2:AJ3076,1)=1),N(AL3075)+1,"")</f>
        <v/>
      </c>
      <c r="AL3076" s="54">
        <f>IF(AK3076&lt;&gt;"",AK3076,N(AL3075))</f>
        <v/>
      </c>
    </row>
    <row r="3077">
      <c r="A3077" t="inlineStr">
        <is>
          <t>ONS-1026</t>
        </is>
      </c>
      <c r="B3077" t="inlineStr">
        <is>
          <t>Onsite</t>
        </is>
      </c>
      <c r="AB3077" t="n">
        <v>1026</v>
      </c>
      <c r="AD3077" s="52">
        <f>IFERROR(N(IFERROR(INDEX($A3077:$AB3077,MATCH("Xero Invoiced Ex GST",$A$1:$AB$1,0)),"")),0)</f>
        <v/>
      </c>
      <c r="AE3077" s="53">
        <f>IFERROR(INDEX($A3077:$AB3077,MATCH("Xero Invoice Date",$A$1:$AB$1,0)),"")</f>
        <v/>
      </c>
      <c r="AF3077" s="54">
        <f>IF(AND(IFERROR(INDEX($A3077:$AB3077,MATCH("Xero Invoice No",$A$1:$AB$1,0)),"")&amp;""&lt;&gt;"",ISNUMBER(AE3077),AD3077&lt;&gt;0),1,0)</f>
        <v/>
      </c>
      <c r="AG3077" s="55">
        <f>IF(AF3077=1,EOMONTH(AE3077,0),"")</f>
        <v/>
      </c>
      <c r="AH3077" s="9">
        <f>IF(AF3077=1,UPPER(TRIM(IFERROR(INDEX($A3077:$AB3077,MATCH("Client",$A$1:$AB$1,0)),"")&amp;"")),"")</f>
        <v/>
      </c>
      <c r="AI3077" s="9">
        <f>IF(AF3077=1,IFERROR(INDEX($A3077:$AB3077,MATCH("Cost Centre",$A$1:$AB$1,0)),"")&amp;"","")</f>
        <v/>
      </c>
      <c r="AJ3077" s="54">
        <f>IF(AND(AF3077=1,AE3077&gt;=set_FYStart,AE3077&lt;=set_AsAt),1,0)</f>
        <v/>
      </c>
      <c r="AK3077" s="54">
        <f>IF(AND(AJ3077=1,AH3077&lt;&gt;"",COUNTIFS($AH$2:AH3077,AH3077,$AJ$2:AJ3077,1)=1),N(AL3076)+1,"")</f>
        <v/>
      </c>
      <c r="AL3077" s="54">
        <f>IF(AK3077&lt;&gt;"",AK3077,N(AL3076))</f>
        <v/>
      </c>
    </row>
    <row r="3078">
      <c r="A3078" t="inlineStr">
        <is>
          <t>PRD-1026</t>
        </is>
      </c>
      <c r="B3078" t="inlineStr">
        <is>
          <t>Production</t>
        </is>
      </c>
      <c r="AB3078" t="n">
        <v>1026</v>
      </c>
      <c r="AD3078" s="52">
        <f>IFERROR(N(IFERROR(INDEX($A3078:$AB3078,MATCH("Xero Invoiced Ex GST",$A$1:$AB$1,0)),"")),0)</f>
        <v/>
      </c>
      <c r="AE3078" s="53">
        <f>IFERROR(INDEX($A3078:$AB3078,MATCH("Xero Invoice Date",$A$1:$AB$1,0)),"")</f>
        <v/>
      </c>
      <c r="AF3078" s="54">
        <f>IF(AND(IFERROR(INDEX($A3078:$AB3078,MATCH("Xero Invoice No",$A$1:$AB$1,0)),"")&amp;""&lt;&gt;"",ISNUMBER(AE3078),AD3078&lt;&gt;0),1,0)</f>
        <v/>
      </c>
      <c r="AG3078" s="55">
        <f>IF(AF3078=1,EOMONTH(AE3078,0),"")</f>
        <v/>
      </c>
      <c r="AH3078" s="9">
        <f>IF(AF3078=1,UPPER(TRIM(IFERROR(INDEX($A3078:$AB3078,MATCH("Client",$A$1:$AB$1,0)),"")&amp;"")),"")</f>
        <v/>
      </c>
      <c r="AI3078" s="9">
        <f>IF(AF3078=1,IFERROR(INDEX($A3078:$AB3078,MATCH("Cost Centre",$A$1:$AB$1,0)),"")&amp;"","")</f>
        <v/>
      </c>
      <c r="AJ3078" s="54">
        <f>IF(AND(AF3078=1,AE3078&gt;=set_FYStart,AE3078&lt;=set_AsAt),1,0)</f>
        <v/>
      </c>
      <c r="AK3078" s="54">
        <f>IF(AND(AJ3078=1,AH3078&lt;&gt;"",COUNTIFS($AH$2:AH3078,AH3078,$AJ$2:AJ3078,1)=1),N(AL3077)+1,"")</f>
        <v/>
      </c>
      <c r="AL3078" s="54">
        <f>IF(AK3078&lt;&gt;"",AK3078,N(AL3077))</f>
        <v/>
      </c>
    </row>
    <row r="3079">
      <c r="A3079" t="inlineStr">
        <is>
          <t>CON-1026</t>
        </is>
      </c>
      <c r="B3079" t="inlineStr">
        <is>
          <t>Consulting</t>
        </is>
      </c>
      <c r="AB3079" t="n">
        <v>1026</v>
      </c>
      <c r="AD3079" s="52">
        <f>IFERROR(N(IFERROR(INDEX($A3079:$AB3079,MATCH("Xero Invoiced Ex GST",$A$1:$AB$1,0)),"")),0)</f>
        <v/>
      </c>
      <c r="AE3079" s="53">
        <f>IFERROR(INDEX($A3079:$AB3079,MATCH("Xero Invoice Date",$A$1:$AB$1,0)),"")</f>
        <v/>
      </c>
      <c r="AF3079" s="54">
        <f>IF(AND(IFERROR(INDEX($A3079:$AB3079,MATCH("Xero Invoice No",$A$1:$AB$1,0)),"")&amp;""&lt;&gt;"",ISNUMBER(AE3079),AD3079&lt;&gt;0),1,0)</f>
        <v/>
      </c>
      <c r="AG3079" s="55">
        <f>IF(AF3079=1,EOMONTH(AE3079,0),"")</f>
        <v/>
      </c>
      <c r="AH3079" s="9">
        <f>IF(AF3079=1,UPPER(TRIM(IFERROR(INDEX($A3079:$AB3079,MATCH("Client",$A$1:$AB$1,0)),"")&amp;"")),"")</f>
        <v/>
      </c>
      <c r="AI3079" s="9">
        <f>IF(AF3079=1,IFERROR(INDEX($A3079:$AB3079,MATCH("Cost Centre",$A$1:$AB$1,0)),"")&amp;"","")</f>
        <v/>
      </c>
      <c r="AJ3079" s="54">
        <f>IF(AND(AF3079=1,AE3079&gt;=set_FYStart,AE3079&lt;=set_AsAt),1,0)</f>
        <v/>
      </c>
      <c r="AK3079" s="54">
        <f>IF(AND(AJ3079=1,AH3079&lt;&gt;"",COUNTIFS($AH$2:AH3079,AH3079,$AJ$2:AJ3079,1)=1),N(AL3078)+1,"")</f>
        <v/>
      </c>
      <c r="AL3079" s="54">
        <f>IF(AK3079&lt;&gt;"",AK3079,N(AL3078))</f>
        <v/>
      </c>
    </row>
    <row r="3080">
      <c r="A3080" t="inlineStr">
        <is>
          <t>ONS-1027</t>
        </is>
      </c>
      <c r="B3080" t="inlineStr">
        <is>
          <t>Onsite</t>
        </is>
      </c>
      <c r="AB3080" t="n">
        <v>1027</v>
      </c>
      <c r="AD3080" s="52">
        <f>IFERROR(N(IFERROR(INDEX($A3080:$AB3080,MATCH("Xero Invoiced Ex GST",$A$1:$AB$1,0)),"")),0)</f>
        <v/>
      </c>
      <c r="AE3080" s="53">
        <f>IFERROR(INDEX($A3080:$AB3080,MATCH("Xero Invoice Date",$A$1:$AB$1,0)),"")</f>
        <v/>
      </c>
      <c r="AF3080" s="54">
        <f>IF(AND(IFERROR(INDEX($A3080:$AB3080,MATCH("Xero Invoice No",$A$1:$AB$1,0)),"")&amp;""&lt;&gt;"",ISNUMBER(AE3080),AD3080&lt;&gt;0),1,0)</f>
        <v/>
      </c>
      <c r="AG3080" s="55">
        <f>IF(AF3080=1,EOMONTH(AE3080,0),"")</f>
        <v/>
      </c>
      <c r="AH3080" s="9">
        <f>IF(AF3080=1,UPPER(TRIM(IFERROR(INDEX($A3080:$AB3080,MATCH("Client",$A$1:$AB$1,0)),"")&amp;"")),"")</f>
        <v/>
      </c>
      <c r="AI3080" s="9">
        <f>IF(AF3080=1,IFERROR(INDEX($A3080:$AB3080,MATCH("Cost Centre",$A$1:$AB$1,0)),"")&amp;"","")</f>
        <v/>
      </c>
      <c r="AJ3080" s="54">
        <f>IF(AND(AF3080=1,AE3080&gt;=set_FYStart,AE3080&lt;=set_AsAt),1,0)</f>
        <v/>
      </c>
      <c r="AK3080" s="54">
        <f>IF(AND(AJ3080=1,AH3080&lt;&gt;"",COUNTIFS($AH$2:AH3080,AH3080,$AJ$2:AJ3080,1)=1),N(AL3079)+1,"")</f>
        <v/>
      </c>
      <c r="AL3080" s="54">
        <f>IF(AK3080&lt;&gt;"",AK3080,N(AL3079))</f>
        <v/>
      </c>
    </row>
    <row r="3081">
      <c r="A3081" t="inlineStr">
        <is>
          <t>PRD-1027</t>
        </is>
      </c>
      <c r="B3081" t="inlineStr">
        <is>
          <t>Production</t>
        </is>
      </c>
      <c r="AB3081" t="n">
        <v>1027</v>
      </c>
      <c r="AD3081" s="52">
        <f>IFERROR(N(IFERROR(INDEX($A3081:$AB3081,MATCH("Xero Invoiced Ex GST",$A$1:$AB$1,0)),"")),0)</f>
        <v/>
      </c>
      <c r="AE3081" s="53">
        <f>IFERROR(INDEX($A3081:$AB3081,MATCH("Xero Invoice Date",$A$1:$AB$1,0)),"")</f>
        <v/>
      </c>
      <c r="AF3081" s="54">
        <f>IF(AND(IFERROR(INDEX($A3081:$AB3081,MATCH("Xero Invoice No",$A$1:$AB$1,0)),"")&amp;""&lt;&gt;"",ISNUMBER(AE3081),AD3081&lt;&gt;0),1,0)</f>
        <v/>
      </c>
      <c r="AG3081" s="55">
        <f>IF(AF3081=1,EOMONTH(AE3081,0),"")</f>
        <v/>
      </c>
      <c r="AH3081" s="9">
        <f>IF(AF3081=1,UPPER(TRIM(IFERROR(INDEX($A3081:$AB3081,MATCH("Client",$A$1:$AB$1,0)),"")&amp;"")),"")</f>
        <v/>
      </c>
      <c r="AI3081" s="9">
        <f>IF(AF3081=1,IFERROR(INDEX($A3081:$AB3081,MATCH("Cost Centre",$A$1:$AB$1,0)),"")&amp;"","")</f>
        <v/>
      </c>
      <c r="AJ3081" s="54">
        <f>IF(AND(AF3081=1,AE3081&gt;=set_FYStart,AE3081&lt;=set_AsAt),1,0)</f>
        <v/>
      </c>
      <c r="AK3081" s="54">
        <f>IF(AND(AJ3081=1,AH3081&lt;&gt;"",COUNTIFS($AH$2:AH3081,AH3081,$AJ$2:AJ3081,1)=1),N(AL3080)+1,"")</f>
        <v/>
      </c>
      <c r="AL3081" s="54">
        <f>IF(AK3081&lt;&gt;"",AK3081,N(AL3080))</f>
        <v/>
      </c>
    </row>
    <row r="3082">
      <c r="A3082" t="inlineStr">
        <is>
          <t>CON-1027</t>
        </is>
      </c>
      <c r="B3082" t="inlineStr">
        <is>
          <t>Consulting</t>
        </is>
      </c>
      <c r="AB3082" t="n">
        <v>1027</v>
      </c>
      <c r="AD3082" s="52">
        <f>IFERROR(N(IFERROR(INDEX($A3082:$AB3082,MATCH("Xero Invoiced Ex GST",$A$1:$AB$1,0)),"")),0)</f>
        <v/>
      </c>
      <c r="AE3082" s="53">
        <f>IFERROR(INDEX($A3082:$AB3082,MATCH("Xero Invoice Date",$A$1:$AB$1,0)),"")</f>
        <v/>
      </c>
      <c r="AF3082" s="54">
        <f>IF(AND(IFERROR(INDEX($A3082:$AB3082,MATCH("Xero Invoice No",$A$1:$AB$1,0)),"")&amp;""&lt;&gt;"",ISNUMBER(AE3082),AD3082&lt;&gt;0),1,0)</f>
        <v/>
      </c>
      <c r="AG3082" s="55">
        <f>IF(AF3082=1,EOMONTH(AE3082,0),"")</f>
        <v/>
      </c>
      <c r="AH3082" s="9">
        <f>IF(AF3082=1,UPPER(TRIM(IFERROR(INDEX($A3082:$AB3082,MATCH("Client",$A$1:$AB$1,0)),"")&amp;"")),"")</f>
        <v/>
      </c>
      <c r="AI3082" s="9">
        <f>IF(AF3082=1,IFERROR(INDEX($A3082:$AB3082,MATCH("Cost Centre",$A$1:$AB$1,0)),"")&amp;"","")</f>
        <v/>
      </c>
      <c r="AJ3082" s="54">
        <f>IF(AND(AF3082=1,AE3082&gt;=set_FYStart,AE3082&lt;=set_AsAt),1,0)</f>
        <v/>
      </c>
      <c r="AK3082" s="54">
        <f>IF(AND(AJ3082=1,AH3082&lt;&gt;"",COUNTIFS($AH$2:AH3082,AH3082,$AJ$2:AJ3082,1)=1),N(AL3081)+1,"")</f>
        <v/>
      </c>
      <c r="AL3082" s="54">
        <f>IF(AK3082&lt;&gt;"",AK3082,N(AL3081))</f>
        <v/>
      </c>
    </row>
    <row r="3083">
      <c r="A3083" t="inlineStr">
        <is>
          <t>ONS-1028</t>
        </is>
      </c>
      <c r="B3083" t="inlineStr">
        <is>
          <t>Onsite</t>
        </is>
      </c>
      <c r="AB3083" t="n">
        <v>1028</v>
      </c>
      <c r="AD3083" s="52">
        <f>IFERROR(N(IFERROR(INDEX($A3083:$AB3083,MATCH("Xero Invoiced Ex GST",$A$1:$AB$1,0)),"")),0)</f>
        <v/>
      </c>
      <c r="AE3083" s="53">
        <f>IFERROR(INDEX($A3083:$AB3083,MATCH("Xero Invoice Date",$A$1:$AB$1,0)),"")</f>
        <v/>
      </c>
      <c r="AF3083" s="54">
        <f>IF(AND(IFERROR(INDEX($A3083:$AB3083,MATCH("Xero Invoice No",$A$1:$AB$1,0)),"")&amp;""&lt;&gt;"",ISNUMBER(AE3083),AD3083&lt;&gt;0),1,0)</f>
        <v/>
      </c>
      <c r="AG3083" s="55">
        <f>IF(AF3083=1,EOMONTH(AE3083,0),"")</f>
        <v/>
      </c>
      <c r="AH3083" s="9">
        <f>IF(AF3083=1,UPPER(TRIM(IFERROR(INDEX($A3083:$AB3083,MATCH("Client",$A$1:$AB$1,0)),"")&amp;"")),"")</f>
        <v/>
      </c>
      <c r="AI3083" s="9">
        <f>IF(AF3083=1,IFERROR(INDEX($A3083:$AB3083,MATCH("Cost Centre",$A$1:$AB$1,0)),"")&amp;"","")</f>
        <v/>
      </c>
      <c r="AJ3083" s="54">
        <f>IF(AND(AF3083=1,AE3083&gt;=set_FYStart,AE3083&lt;=set_AsAt),1,0)</f>
        <v/>
      </c>
      <c r="AK3083" s="54">
        <f>IF(AND(AJ3083=1,AH3083&lt;&gt;"",COUNTIFS($AH$2:AH3083,AH3083,$AJ$2:AJ3083,1)=1),N(AL3082)+1,"")</f>
        <v/>
      </c>
      <c r="AL3083" s="54">
        <f>IF(AK3083&lt;&gt;"",AK3083,N(AL3082))</f>
        <v/>
      </c>
    </row>
    <row r="3084">
      <c r="A3084" t="inlineStr">
        <is>
          <t>PRD-1028</t>
        </is>
      </c>
      <c r="B3084" t="inlineStr">
        <is>
          <t>Production</t>
        </is>
      </c>
      <c r="AB3084" t="n">
        <v>1028</v>
      </c>
      <c r="AD3084" s="52">
        <f>IFERROR(N(IFERROR(INDEX($A3084:$AB3084,MATCH("Xero Invoiced Ex GST",$A$1:$AB$1,0)),"")),0)</f>
        <v/>
      </c>
      <c r="AE3084" s="53">
        <f>IFERROR(INDEX($A3084:$AB3084,MATCH("Xero Invoice Date",$A$1:$AB$1,0)),"")</f>
        <v/>
      </c>
      <c r="AF3084" s="54">
        <f>IF(AND(IFERROR(INDEX($A3084:$AB3084,MATCH("Xero Invoice No",$A$1:$AB$1,0)),"")&amp;""&lt;&gt;"",ISNUMBER(AE3084),AD3084&lt;&gt;0),1,0)</f>
        <v/>
      </c>
      <c r="AG3084" s="55">
        <f>IF(AF3084=1,EOMONTH(AE3084,0),"")</f>
        <v/>
      </c>
      <c r="AH3084" s="9">
        <f>IF(AF3084=1,UPPER(TRIM(IFERROR(INDEX($A3084:$AB3084,MATCH("Client",$A$1:$AB$1,0)),"")&amp;"")),"")</f>
        <v/>
      </c>
      <c r="AI3084" s="9">
        <f>IF(AF3084=1,IFERROR(INDEX($A3084:$AB3084,MATCH("Cost Centre",$A$1:$AB$1,0)),"")&amp;"","")</f>
        <v/>
      </c>
      <c r="AJ3084" s="54">
        <f>IF(AND(AF3084=1,AE3084&gt;=set_FYStart,AE3084&lt;=set_AsAt),1,0)</f>
        <v/>
      </c>
      <c r="AK3084" s="54">
        <f>IF(AND(AJ3084=1,AH3084&lt;&gt;"",COUNTIFS($AH$2:AH3084,AH3084,$AJ$2:AJ3084,1)=1),N(AL3083)+1,"")</f>
        <v/>
      </c>
      <c r="AL3084" s="54">
        <f>IF(AK3084&lt;&gt;"",AK3084,N(AL3083))</f>
        <v/>
      </c>
    </row>
    <row r="3085">
      <c r="A3085" t="inlineStr">
        <is>
          <t>CON-1028</t>
        </is>
      </c>
      <c r="B3085" t="inlineStr">
        <is>
          <t>Consulting</t>
        </is>
      </c>
      <c r="AB3085" t="n">
        <v>1028</v>
      </c>
      <c r="AD3085" s="52">
        <f>IFERROR(N(IFERROR(INDEX($A3085:$AB3085,MATCH("Xero Invoiced Ex GST",$A$1:$AB$1,0)),"")),0)</f>
        <v/>
      </c>
      <c r="AE3085" s="53">
        <f>IFERROR(INDEX($A3085:$AB3085,MATCH("Xero Invoice Date",$A$1:$AB$1,0)),"")</f>
        <v/>
      </c>
      <c r="AF3085" s="54">
        <f>IF(AND(IFERROR(INDEX($A3085:$AB3085,MATCH("Xero Invoice No",$A$1:$AB$1,0)),"")&amp;""&lt;&gt;"",ISNUMBER(AE3085),AD3085&lt;&gt;0),1,0)</f>
        <v/>
      </c>
      <c r="AG3085" s="55">
        <f>IF(AF3085=1,EOMONTH(AE3085,0),"")</f>
        <v/>
      </c>
      <c r="AH3085" s="9">
        <f>IF(AF3085=1,UPPER(TRIM(IFERROR(INDEX($A3085:$AB3085,MATCH("Client",$A$1:$AB$1,0)),"")&amp;"")),"")</f>
        <v/>
      </c>
      <c r="AI3085" s="9">
        <f>IF(AF3085=1,IFERROR(INDEX($A3085:$AB3085,MATCH("Cost Centre",$A$1:$AB$1,0)),"")&amp;"","")</f>
        <v/>
      </c>
      <c r="AJ3085" s="54">
        <f>IF(AND(AF3085=1,AE3085&gt;=set_FYStart,AE3085&lt;=set_AsAt),1,0)</f>
        <v/>
      </c>
      <c r="AK3085" s="54">
        <f>IF(AND(AJ3085=1,AH3085&lt;&gt;"",COUNTIFS($AH$2:AH3085,AH3085,$AJ$2:AJ3085,1)=1),N(AL3084)+1,"")</f>
        <v/>
      </c>
      <c r="AL3085" s="54">
        <f>IF(AK3085&lt;&gt;"",AK3085,N(AL3084))</f>
        <v/>
      </c>
    </row>
    <row r="3086">
      <c r="A3086" t="inlineStr">
        <is>
          <t>ONS-1029</t>
        </is>
      </c>
      <c r="B3086" t="inlineStr">
        <is>
          <t>Onsite</t>
        </is>
      </c>
      <c r="AB3086" t="n">
        <v>1029</v>
      </c>
      <c r="AD3086" s="52">
        <f>IFERROR(N(IFERROR(INDEX($A3086:$AB3086,MATCH("Xero Invoiced Ex GST",$A$1:$AB$1,0)),"")),0)</f>
        <v/>
      </c>
      <c r="AE3086" s="53">
        <f>IFERROR(INDEX($A3086:$AB3086,MATCH("Xero Invoice Date",$A$1:$AB$1,0)),"")</f>
        <v/>
      </c>
      <c r="AF3086" s="54">
        <f>IF(AND(IFERROR(INDEX($A3086:$AB3086,MATCH("Xero Invoice No",$A$1:$AB$1,0)),"")&amp;""&lt;&gt;"",ISNUMBER(AE3086),AD3086&lt;&gt;0),1,0)</f>
        <v/>
      </c>
      <c r="AG3086" s="55">
        <f>IF(AF3086=1,EOMONTH(AE3086,0),"")</f>
        <v/>
      </c>
      <c r="AH3086" s="9">
        <f>IF(AF3086=1,UPPER(TRIM(IFERROR(INDEX($A3086:$AB3086,MATCH("Client",$A$1:$AB$1,0)),"")&amp;"")),"")</f>
        <v/>
      </c>
      <c r="AI3086" s="9">
        <f>IF(AF3086=1,IFERROR(INDEX($A3086:$AB3086,MATCH("Cost Centre",$A$1:$AB$1,0)),"")&amp;"","")</f>
        <v/>
      </c>
      <c r="AJ3086" s="54">
        <f>IF(AND(AF3086=1,AE3086&gt;=set_FYStart,AE3086&lt;=set_AsAt),1,0)</f>
        <v/>
      </c>
      <c r="AK3086" s="54">
        <f>IF(AND(AJ3086=1,AH3086&lt;&gt;"",COUNTIFS($AH$2:AH3086,AH3086,$AJ$2:AJ3086,1)=1),N(AL3085)+1,"")</f>
        <v/>
      </c>
      <c r="AL3086" s="54">
        <f>IF(AK3086&lt;&gt;"",AK3086,N(AL3085))</f>
        <v/>
      </c>
    </row>
    <row r="3087">
      <c r="A3087" t="inlineStr">
        <is>
          <t>PRD-1029</t>
        </is>
      </c>
      <c r="B3087" t="inlineStr">
        <is>
          <t>Production</t>
        </is>
      </c>
      <c r="AB3087" t="n">
        <v>1029</v>
      </c>
      <c r="AD3087" s="52">
        <f>IFERROR(N(IFERROR(INDEX($A3087:$AB3087,MATCH("Xero Invoiced Ex GST",$A$1:$AB$1,0)),"")),0)</f>
        <v/>
      </c>
      <c r="AE3087" s="53">
        <f>IFERROR(INDEX($A3087:$AB3087,MATCH("Xero Invoice Date",$A$1:$AB$1,0)),"")</f>
        <v/>
      </c>
      <c r="AF3087" s="54">
        <f>IF(AND(IFERROR(INDEX($A3087:$AB3087,MATCH("Xero Invoice No",$A$1:$AB$1,0)),"")&amp;""&lt;&gt;"",ISNUMBER(AE3087),AD3087&lt;&gt;0),1,0)</f>
        <v/>
      </c>
      <c r="AG3087" s="55">
        <f>IF(AF3087=1,EOMONTH(AE3087,0),"")</f>
        <v/>
      </c>
      <c r="AH3087" s="9">
        <f>IF(AF3087=1,UPPER(TRIM(IFERROR(INDEX($A3087:$AB3087,MATCH("Client",$A$1:$AB$1,0)),"")&amp;"")),"")</f>
        <v/>
      </c>
      <c r="AI3087" s="9">
        <f>IF(AF3087=1,IFERROR(INDEX($A3087:$AB3087,MATCH("Cost Centre",$A$1:$AB$1,0)),"")&amp;"","")</f>
        <v/>
      </c>
      <c r="AJ3087" s="54">
        <f>IF(AND(AF3087=1,AE3087&gt;=set_FYStart,AE3087&lt;=set_AsAt),1,0)</f>
        <v/>
      </c>
      <c r="AK3087" s="54">
        <f>IF(AND(AJ3087=1,AH3087&lt;&gt;"",COUNTIFS($AH$2:AH3087,AH3087,$AJ$2:AJ3087,1)=1),N(AL3086)+1,"")</f>
        <v/>
      </c>
      <c r="AL3087" s="54">
        <f>IF(AK3087&lt;&gt;"",AK3087,N(AL3086))</f>
        <v/>
      </c>
    </row>
    <row r="3088">
      <c r="A3088" t="inlineStr">
        <is>
          <t>CON-1029</t>
        </is>
      </c>
      <c r="B3088" t="inlineStr">
        <is>
          <t>Consulting</t>
        </is>
      </c>
      <c r="AB3088" t="n">
        <v>1029</v>
      </c>
      <c r="AD3088" s="52">
        <f>IFERROR(N(IFERROR(INDEX($A3088:$AB3088,MATCH("Xero Invoiced Ex GST",$A$1:$AB$1,0)),"")),0)</f>
        <v/>
      </c>
      <c r="AE3088" s="53">
        <f>IFERROR(INDEX($A3088:$AB3088,MATCH("Xero Invoice Date",$A$1:$AB$1,0)),"")</f>
        <v/>
      </c>
      <c r="AF3088" s="54">
        <f>IF(AND(IFERROR(INDEX($A3088:$AB3088,MATCH("Xero Invoice No",$A$1:$AB$1,0)),"")&amp;""&lt;&gt;"",ISNUMBER(AE3088),AD3088&lt;&gt;0),1,0)</f>
        <v/>
      </c>
      <c r="AG3088" s="55">
        <f>IF(AF3088=1,EOMONTH(AE3088,0),"")</f>
        <v/>
      </c>
      <c r="AH3088" s="9">
        <f>IF(AF3088=1,UPPER(TRIM(IFERROR(INDEX($A3088:$AB3088,MATCH("Client",$A$1:$AB$1,0)),"")&amp;"")),"")</f>
        <v/>
      </c>
      <c r="AI3088" s="9">
        <f>IF(AF3088=1,IFERROR(INDEX($A3088:$AB3088,MATCH("Cost Centre",$A$1:$AB$1,0)),"")&amp;"","")</f>
        <v/>
      </c>
      <c r="AJ3088" s="54">
        <f>IF(AND(AF3088=1,AE3088&gt;=set_FYStart,AE3088&lt;=set_AsAt),1,0)</f>
        <v/>
      </c>
      <c r="AK3088" s="54">
        <f>IF(AND(AJ3088=1,AH3088&lt;&gt;"",COUNTIFS($AH$2:AH3088,AH3088,$AJ$2:AJ3088,1)=1),N(AL3087)+1,"")</f>
        <v/>
      </c>
      <c r="AL3088" s="54">
        <f>IF(AK3088&lt;&gt;"",AK3088,N(AL3087))</f>
        <v/>
      </c>
    </row>
    <row r="3089">
      <c r="A3089" t="inlineStr">
        <is>
          <t>ONS-1030</t>
        </is>
      </c>
      <c r="B3089" t="inlineStr">
        <is>
          <t>Onsite</t>
        </is>
      </c>
      <c r="AB3089" t="n">
        <v>1030</v>
      </c>
      <c r="AD3089" s="52">
        <f>IFERROR(N(IFERROR(INDEX($A3089:$AB3089,MATCH("Xero Invoiced Ex GST",$A$1:$AB$1,0)),"")),0)</f>
        <v/>
      </c>
      <c r="AE3089" s="53">
        <f>IFERROR(INDEX($A3089:$AB3089,MATCH("Xero Invoice Date",$A$1:$AB$1,0)),"")</f>
        <v/>
      </c>
      <c r="AF3089" s="54">
        <f>IF(AND(IFERROR(INDEX($A3089:$AB3089,MATCH("Xero Invoice No",$A$1:$AB$1,0)),"")&amp;""&lt;&gt;"",ISNUMBER(AE3089),AD3089&lt;&gt;0),1,0)</f>
        <v/>
      </c>
      <c r="AG3089" s="55">
        <f>IF(AF3089=1,EOMONTH(AE3089,0),"")</f>
        <v/>
      </c>
      <c r="AH3089" s="9">
        <f>IF(AF3089=1,UPPER(TRIM(IFERROR(INDEX($A3089:$AB3089,MATCH("Client",$A$1:$AB$1,0)),"")&amp;"")),"")</f>
        <v/>
      </c>
      <c r="AI3089" s="9">
        <f>IF(AF3089=1,IFERROR(INDEX($A3089:$AB3089,MATCH("Cost Centre",$A$1:$AB$1,0)),"")&amp;"","")</f>
        <v/>
      </c>
      <c r="AJ3089" s="54">
        <f>IF(AND(AF3089=1,AE3089&gt;=set_FYStart,AE3089&lt;=set_AsAt),1,0)</f>
        <v/>
      </c>
      <c r="AK3089" s="54">
        <f>IF(AND(AJ3089=1,AH3089&lt;&gt;"",COUNTIFS($AH$2:AH3089,AH3089,$AJ$2:AJ3089,1)=1),N(AL3088)+1,"")</f>
        <v/>
      </c>
      <c r="AL3089" s="54">
        <f>IF(AK3089&lt;&gt;"",AK3089,N(AL3088))</f>
        <v/>
      </c>
    </row>
    <row r="3090">
      <c r="A3090" t="inlineStr">
        <is>
          <t>PRD-1030</t>
        </is>
      </c>
      <c r="B3090" t="inlineStr">
        <is>
          <t>Production</t>
        </is>
      </c>
      <c r="AB3090" t="n">
        <v>1030</v>
      </c>
      <c r="AD3090" s="52">
        <f>IFERROR(N(IFERROR(INDEX($A3090:$AB3090,MATCH("Xero Invoiced Ex GST",$A$1:$AB$1,0)),"")),0)</f>
        <v/>
      </c>
      <c r="AE3090" s="53">
        <f>IFERROR(INDEX($A3090:$AB3090,MATCH("Xero Invoice Date",$A$1:$AB$1,0)),"")</f>
        <v/>
      </c>
      <c r="AF3090" s="54">
        <f>IF(AND(IFERROR(INDEX($A3090:$AB3090,MATCH("Xero Invoice No",$A$1:$AB$1,0)),"")&amp;""&lt;&gt;"",ISNUMBER(AE3090),AD3090&lt;&gt;0),1,0)</f>
        <v/>
      </c>
      <c r="AG3090" s="55">
        <f>IF(AF3090=1,EOMONTH(AE3090,0),"")</f>
        <v/>
      </c>
      <c r="AH3090" s="9">
        <f>IF(AF3090=1,UPPER(TRIM(IFERROR(INDEX($A3090:$AB3090,MATCH("Client",$A$1:$AB$1,0)),"")&amp;"")),"")</f>
        <v/>
      </c>
      <c r="AI3090" s="9">
        <f>IF(AF3090=1,IFERROR(INDEX($A3090:$AB3090,MATCH("Cost Centre",$A$1:$AB$1,0)),"")&amp;"","")</f>
        <v/>
      </c>
      <c r="AJ3090" s="54">
        <f>IF(AND(AF3090=1,AE3090&gt;=set_FYStart,AE3090&lt;=set_AsAt),1,0)</f>
        <v/>
      </c>
      <c r="AK3090" s="54">
        <f>IF(AND(AJ3090=1,AH3090&lt;&gt;"",COUNTIFS($AH$2:AH3090,AH3090,$AJ$2:AJ3090,1)=1),N(AL3089)+1,"")</f>
        <v/>
      </c>
      <c r="AL3090" s="54">
        <f>IF(AK3090&lt;&gt;"",AK3090,N(AL3089))</f>
        <v/>
      </c>
    </row>
    <row r="3091">
      <c r="A3091" t="inlineStr">
        <is>
          <t>CON-1030</t>
        </is>
      </c>
      <c r="B3091" t="inlineStr">
        <is>
          <t>Consulting</t>
        </is>
      </c>
      <c r="AB3091" t="n">
        <v>1030</v>
      </c>
      <c r="AD3091" s="52">
        <f>IFERROR(N(IFERROR(INDEX($A3091:$AB3091,MATCH("Xero Invoiced Ex GST",$A$1:$AB$1,0)),"")),0)</f>
        <v/>
      </c>
      <c r="AE3091" s="53">
        <f>IFERROR(INDEX($A3091:$AB3091,MATCH("Xero Invoice Date",$A$1:$AB$1,0)),"")</f>
        <v/>
      </c>
      <c r="AF3091" s="54">
        <f>IF(AND(IFERROR(INDEX($A3091:$AB3091,MATCH("Xero Invoice No",$A$1:$AB$1,0)),"")&amp;""&lt;&gt;"",ISNUMBER(AE3091),AD3091&lt;&gt;0),1,0)</f>
        <v/>
      </c>
      <c r="AG3091" s="55">
        <f>IF(AF3091=1,EOMONTH(AE3091,0),"")</f>
        <v/>
      </c>
      <c r="AH3091" s="9">
        <f>IF(AF3091=1,UPPER(TRIM(IFERROR(INDEX($A3091:$AB3091,MATCH("Client",$A$1:$AB$1,0)),"")&amp;"")),"")</f>
        <v/>
      </c>
      <c r="AI3091" s="9">
        <f>IF(AF3091=1,IFERROR(INDEX($A3091:$AB3091,MATCH("Cost Centre",$A$1:$AB$1,0)),"")&amp;"","")</f>
        <v/>
      </c>
      <c r="AJ3091" s="54">
        <f>IF(AND(AF3091=1,AE3091&gt;=set_FYStart,AE3091&lt;=set_AsAt),1,0)</f>
        <v/>
      </c>
      <c r="AK3091" s="54">
        <f>IF(AND(AJ3091=1,AH3091&lt;&gt;"",COUNTIFS($AH$2:AH3091,AH3091,$AJ$2:AJ3091,1)=1),N(AL3090)+1,"")</f>
        <v/>
      </c>
      <c r="AL3091" s="54">
        <f>IF(AK3091&lt;&gt;"",AK3091,N(AL3090))</f>
        <v/>
      </c>
    </row>
    <row r="3092">
      <c r="A3092" t="inlineStr">
        <is>
          <t>ONS-1031</t>
        </is>
      </c>
      <c r="B3092" t="inlineStr">
        <is>
          <t>Onsite</t>
        </is>
      </c>
      <c r="AB3092" t="n">
        <v>1031</v>
      </c>
      <c r="AD3092" s="52">
        <f>IFERROR(N(IFERROR(INDEX($A3092:$AB3092,MATCH("Xero Invoiced Ex GST",$A$1:$AB$1,0)),"")),0)</f>
        <v/>
      </c>
      <c r="AE3092" s="53">
        <f>IFERROR(INDEX($A3092:$AB3092,MATCH("Xero Invoice Date",$A$1:$AB$1,0)),"")</f>
        <v/>
      </c>
      <c r="AF3092" s="54">
        <f>IF(AND(IFERROR(INDEX($A3092:$AB3092,MATCH("Xero Invoice No",$A$1:$AB$1,0)),"")&amp;""&lt;&gt;"",ISNUMBER(AE3092),AD3092&lt;&gt;0),1,0)</f>
        <v/>
      </c>
      <c r="AG3092" s="55">
        <f>IF(AF3092=1,EOMONTH(AE3092,0),"")</f>
        <v/>
      </c>
      <c r="AH3092" s="9">
        <f>IF(AF3092=1,UPPER(TRIM(IFERROR(INDEX($A3092:$AB3092,MATCH("Client",$A$1:$AB$1,0)),"")&amp;"")),"")</f>
        <v/>
      </c>
      <c r="AI3092" s="9">
        <f>IF(AF3092=1,IFERROR(INDEX($A3092:$AB3092,MATCH("Cost Centre",$A$1:$AB$1,0)),"")&amp;"","")</f>
        <v/>
      </c>
      <c r="AJ3092" s="54">
        <f>IF(AND(AF3092=1,AE3092&gt;=set_FYStart,AE3092&lt;=set_AsAt),1,0)</f>
        <v/>
      </c>
      <c r="AK3092" s="54">
        <f>IF(AND(AJ3092=1,AH3092&lt;&gt;"",COUNTIFS($AH$2:AH3092,AH3092,$AJ$2:AJ3092,1)=1),N(AL3091)+1,"")</f>
        <v/>
      </c>
      <c r="AL3092" s="54">
        <f>IF(AK3092&lt;&gt;"",AK3092,N(AL3091))</f>
        <v/>
      </c>
    </row>
    <row r="3093">
      <c r="A3093" t="inlineStr">
        <is>
          <t>PRD-1031</t>
        </is>
      </c>
      <c r="B3093" t="inlineStr">
        <is>
          <t>Production</t>
        </is>
      </c>
      <c r="AB3093" t="n">
        <v>1031</v>
      </c>
      <c r="AD3093" s="52">
        <f>IFERROR(N(IFERROR(INDEX($A3093:$AB3093,MATCH("Xero Invoiced Ex GST",$A$1:$AB$1,0)),"")),0)</f>
        <v/>
      </c>
      <c r="AE3093" s="53">
        <f>IFERROR(INDEX($A3093:$AB3093,MATCH("Xero Invoice Date",$A$1:$AB$1,0)),"")</f>
        <v/>
      </c>
      <c r="AF3093" s="54">
        <f>IF(AND(IFERROR(INDEX($A3093:$AB3093,MATCH("Xero Invoice No",$A$1:$AB$1,0)),"")&amp;""&lt;&gt;"",ISNUMBER(AE3093),AD3093&lt;&gt;0),1,0)</f>
        <v/>
      </c>
      <c r="AG3093" s="55">
        <f>IF(AF3093=1,EOMONTH(AE3093,0),"")</f>
        <v/>
      </c>
      <c r="AH3093" s="9">
        <f>IF(AF3093=1,UPPER(TRIM(IFERROR(INDEX($A3093:$AB3093,MATCH("Client",$A$1:$AB$1,0)),"")&amp;"")),"")</f>
        <v/>
      </c>
      <c r="AI3093" s="9">
        <f>IF(AF3093=1,IFERROR(INDEX($A3093:$AB3093,MATCH("Cost Centre",$A$1:$AB$1,0)),"")&amp;"","")</f>
        <v/>
      </c>
      <c r="AJ3093" s="54">
        <f>IF(AND(AF3093=1,AE3093&gt;=set_FYStart,AE3093&lt;=set_AsAt),1,0)</f>
        <v/>
      </c>
      <c r="AK3093" s="54">
        <f>IF(AND(AJ3093=1,AH3093&lt;&gt;"",COUNTIFS($AH$2:AH3093,AH3093,$AJ$2:AJ3093,1)=1),N(AL3092)+1,"")</f>
        <v/>
      </c>
      <c r="AL3093" s="54">
        <f>IF(AK3093&lt;&gt;"",AK3093,N(AL3092))</f>
        <v/>
      </c>
    </row>
    <row r="3094">
      <c r="A3094" t="inlineStr">
        <is>
          <t>CON-1031</t>
        </is>
      </c>
      <c r="B3094" t="inlineStr">
        <is>
          <t>Consulting</t>
        </is>
      </c>
      <c r="AB3094" t="n">
        <v>1031</v>
      </c>
      <c r="AD3094" s="52">
        <f>IFERROR(N(IFERROR(INDEX($A3094:$AB3094,MATCH("Xero Invoiced Ex GST",$A$1:$AB$1,0)),"")),0)</f>
        <v/>
      </c>
      <c r="AE3094" s="53">
        <f>IFERROR(INDEX($A3094:$AB3094,MATCH("Xero Invoice Date",$A$1:$AB$1,0)),"")</f>
        <v/>
      </c>
      <c r="AF3094" s="54">
        <f>IF(AND(IFERROR(INDEX($A3094:$AB3094,MATCH("Xero Invoice No",$A$1:$AB$1,0)),"")&amp;""&lt;&gt;"",ISNUMBER(AE3094),AD3094&lt;&gt;0),1,0)</f>
        <v/>
      </c>
      <c r="AG3094" s="55">
        <f>IF(AF3094=1,EOMONTH(AE3094,0),"")</f>
        <v/>
      </c>
      <c r="AH3094" s="9">
        <f>IF(AF3094=1,UPPER(TRIM(IFERROR(INDEX($A3094:$AB3094,MATCH("Client",$A$1:$AB$1,0)),"")&amp;"")),"")</f>
        <v/>
      </c>
      <c r="AI3094" s="9">
        <f>IF(AF3094=1,IFERROR(INDEX($A3094:$AB3094,MATCH("Cost Centre",$A$1:$AB$1,0)),"")&amp;"","")</f>
        <v/>
      </c>
      <c r="AJ3094" s="54">
        <f>IF(AND(AF3094=1,AE3094&gt;=set_FYStart,AE3094&lt;=set_AsAt),1,0)</f>
        <v/>
      </c>
      <c r="AK3094" s="54">
        <f>IF(AND(AJ3094=1,AH3094&lt;&gt;"",COUNTIFS($AH$2:AH3094,AH3094,$AJ$2:AJ3094,1)=1),N(AL3093)+1,"")</f>
        <v/>
      </c>
      <c r="AL3094" s="54">
        <f>IF(AK3094&lt;&gt;"",AK3094,N(AL3093))</f>
        <v/>
      </c>
    </row>
    <row r="3095">
      <c r="A3095" t="inlineStr">
        <is>
          <t>ONS-1032</t>
        </is>
      </c>
      <c r="B3095" t="inlineStr">
        <is>
          <t>Onsite</t>
        </is>
      </c>
      <c r="AB3095" t="n">
        <v>1032</v>
      </c>
      <c r="AD3095" s="52">
        <f>IFERROR(N(IFERROR(INDEX($A3095:$AB3095,MATCH("Xero Invoiced Ex GST",$A$1:$AB$1,0)),"")),0)</f>
        <v/>
      </c>
      <c r="AE3095" s="53">
        <f>IFERROR(INDEX($A3095:$AB3095,MATCH("Xero Invoice Date",$A$1:$AB$1,0)),"")</f>
        <v/>
      </c>
      <c r="AF3095" s="54">
        <f>IF(AND(IFERROR(INDEX($A3095:$AB3095,MATCH("Xero Invoice No",$A$1:$AB$1,0)),"")&amp;""&lt;&gt;"",ISNUMBER(AE3095),AD3095&lt;&gt;0),1,0)</f>
        <v/>
      </c>
      <c r="AG3095" s="55">
        <f>IF(AF3095=1,EOMONTH(AE3095,0),"")</f>
        <v/>
      </c>
      <c r="AH3095" s="9">
        <f>IF(AF3095=1,UPPER(TRIM(IFERROR(INDEX($A3095:$AB3095,MATCH("Client",$A$1:$AB$1,0)),"")&amp;"")),"")</f>
        <v/>
      </c>
      <c r="AI3095" s="9">
        <f>IF(AF3095=1,IFERROR(INDEX($A3095:$AB3095,MATCH("Cost Centre",$A$1:$AB$1,0)),"")&amp;"","")</f>
        <v/>
      </c>
      <c r="AJ3095" s="54">
        <f>IF(AND(AF3095=1,AE3095&gt;=set_FYStart,AE3095&lt;=set_AsAt),1,0)</f>
        <v/>
      </c>
      <c r="AK3095" s="54">
        <f>IF(AND(AJ3095=1,AH3095&lt;&gt;"",COUNTIFS($AH$2:AH3095,AH3095,$AJ$2:AJ3095,1)=1),N(AL3094)+1,"")</f>
        <v/>
      </c>
      <c r="AL3095" s="54">
        <f>IF(AK3095&lt;&gt;"",AK3095,N(AL3094))</f>
        <v/>
      </c>
    </row>
    <row r="3096">
      <c r="A3096" t="inlineStr">
        <is>
          <t>PRD-1032</t>
        </is>
      </c>
      <c r="B3096" t="inlineStr">
        <is>
          <t>Production</t>
        </is>
      </c>
      <c r="AB3096" t="n">
        <v>1032</v>
      </c>
      <c r="AD3096" s="52">
        <f>IFERROR(N(IFERROR(INDEX($A3096:$AB3096,MATCH("Xero Invoiced Ex GST",$A$1:$AB$1,0)),"")),0)</f>
        <v/>
      </c>
      <c r="AE3096" s="53">
        <f>IFERROR(INDEX($A3096:$AB3096,MATCH("Xero Invoice Date",$A$1:$AB$1,0)),"")</f>
        <v/>
      </c>
      <c r="AF3096" s="54">
        <f>IF(AND(IFERROR(INDEX($A3096:$AB3096,MATCH("Xero Invoice No",$A$1:$AB$1,0)),"")&amp;""&lt;&gt;"",ISNUMBER(AE3096),AD3096&lt;&gt;0),1,0)</f>
        <v/>
      </c>
      <c r="AG3096" s="55">
        <f>IF(AF3096=1,EOMONTH(AE3096,0),"")</f>
        <v/>
      </c>
      <c r="AH3096" s="9">
        <f>IF(AF3096=1,UPPER(TRIM(IFERROR(INDEX($A3096:$AB3096,MATCH("Client",$A$1:$AB$1,0)),"")&amp;"")),"")</f>
        <v/>
      </c>
      <c r="AI3096" s="9">
        <f>IF(AF3096=1,IFERROR(INDEX($A3096:$AB3096,MATCH("Cost Centre",$A$1:$AB$1,0)),"")&amp;"","")</f>
        <v/>
      </c>
      <c r="AJ3096" s="54">
        <f>IF(AND(AF3096=1,AE3096&gt;=set_FYStart,AE3096&lt;=set_AsAt),1,0)</f>
        <v/>
      </c>
      <c r="AK3096" s="54">
        <f>IF(AND(AJ3096=1,AH3096&lt;&gt;"",COUNTIFS($AH$2:AH3096,AH3096,$AJ$2:AJ3096,1)=1),N(AL3095)+1,"")</f>
        <v/>
      </c>
      <c r="AL3096" s="54">
        <f>IF(AK3096&lt;&gt;"",AK3096,N(AL3095))</f>
        <v/>
      </c>
    </row>
    <row r="3097">
      <c r="A3097" t="inlineStr">
        <is>
          <t>CON-1032</t>
        </is>
      </c>
      <c r="B3097" t="inlineStr">
        <is>
          <t>Consulting</t>
        </is>
      </c>
      <c r="AB3097" t="n">
        <v>1032</v>
      </c>
      <c r="AD3097" s="52">
        <f>IFERROR(N(IFERROR(INDEX($A3097:$AB3097,MATCH("Xero Invoiced Ex GST",$A$1:$AB$1,0)),"")),0)</f>
        <v/>
      </c>
      <c r="AE3097" s="53">
        <f>IFERROR(INDEX($A3097:$AB3097,MATCH("Xero Invoice Date",$A$1:$AB$1,0)),"")</f>
        <v/>
      </c>
      <c r="AF3097" s="54">
        <f>IF(AND(IFERROR(INDEX($A3097:$AB3097,MATCH("Xero Invoice No",$A$1:$AB$1,0)),"")&amp;""&lt;&gt;"",ISNUMBER(AE3097),AD3097&lt;&gt;0),1,0)</f>
        <v/>
      </c>
      <c r="AG3097" s="55">
        <f>IF(AF3097=1,EOMONTH(AE3097,0),"")</f>
        <v/>
      </c>
      <c r="AH3097" s="9">
        <f>IF(AF3097=1,UPPER(TRIM(IFERROR(INDEX($A3097:$AB3097,MATCH("Client",$A$1:$AB$1,0)),"")&amp;"")),"")</f>
        <v/>
      </c>
      <c r="AI3097" s="9">
        <f>IF(AF3097=1,IFERROR(INDEX($A3097:$AB3097,MATCH("Cost Centre",$A$1:$AB$1,0)),"")&amp;"","")</f>
        <v/>
      </c>
      <c r="AJ3097" s="54">
        <f>IF(AND(AF3097=1,AE3097&gt;=set_FYStart,AE3097&lt;=set_AsAt),1,0)</f>
        <v/>
      </c>
      <c r="AK3097" s="54">
        <f>IF(AND(AJ3097=1,AH3097&lt;&gt;"",COUNTIFS($AH$2:AH3097,AH3097,$AJ$2:AJ3097,1)=1),N(AL3096)+1,"")</f>
        <v/>
      </c>
      <c r="AL3097" s="54">
        <f>IF(AK3097&lt;&gt;"",AK3097,N(AL3096))</f>
        <v/>
      </c>
    </row>
    <row r="3098">
      <c r="A3098" t="inlineStr">
        <is>
          <t>ONS-1033</t>
        </is>
      </c>
      <c r="B3098" t="inlineStr">
        <is>
          <t>Onsite</t>
        </is>
      </c>
      <c r="AB3098" t="n">
        <v>1033</v>
      </c>
      <c r="AD3098" s="52">
        <f>IFERROR(N(IFERROR(INDEX($A3098:$AB3098,MATCH("Xero Invoiced Ex GST",$A$1:$AB$1,0)),"")),0)</f>
        <v/>
      </c>
      <c r="AE3098" s="53">
        <f>IFERROR(INDEX($A3098:$AB3098,MATCH("Xero Invoice Date",$A$1:$AB$1,0)),"")</f>
        <v/>
      </c>
      <c r="AF3098" s="54">
        <f>IF(AND(IFERROR(INDEX($A3098:$AB3098,MATCH("Xero Invoice No",$A$1:$AB$1,0)),"")&amp;""&lt;&gt;"",ISNUMBER(AE3098),AD3098&lt;&gt;0),1,0)</f>
        <v/>
      </c>
      <c r="AG3098" s="55">
        <f>IF(AF3098=1,EOMONTH(AE3098,0),"")</f>
        <v/>
      </c>
      <c r="AH3098" s="9">
        <f>IF(AF3098=1,UPPER(TRIM(IFERROR(INDEX($A3098:$AB3098,MATCH("Client",$A$1:$AB$1,0)),"")&amp;"")),"")</f>
        <v/>
      </c>
      <c r="AI3098" s="9">
        <f>IF(AF3098=1,IFERROR(INDEX($A3098:$AB3098,MATCH("Cost Centre",$A$1:$AB$1,0)),"")&amp;"","")</f>
        <v/>
      </c>
      <c r="AJ3098" s="54">
        <f>IF(AND(AF3098=1,AE3098&gt;=set_FYStart,AE3098&lt;=set_AsAt),1,0)</f>
        <v/>
      </c>
      <c r="AK3098" s="54">
        <f>IF(AND(AJ3098=1,AH3098&lt;&gt;"",COUNTIFS($AH$2:AH3098,AH3098,$AJ$2:AJ3098,1)=1),N(AL3097)+1,"")</f>
        <v/>
      </c>
      <c r="AL3098" s="54">
        <f>IF(AK3098&lt;&gt;"",AK3098,N(AL3097))</f>
        <v/>
      </c>
    </row>
    <row r="3099">
      <c r="A3099" t="inlineStr">
        <is>
          <t>PRD-1033</t>
        </is>
      </c>
      <c r="B3099" t="inlineStr">
        <is>
          <t>Production</t>
        </is>
      </c>
      <c r="AB3099" t="n">
        <v>1033</v>
      </c>
      <c r="AD3099" s="52">
        <f>IFERROR(N(IFERROR(INDEX($A3099:$AB3099,MATCH("Xero Invoiced Ex GST",$A$1:$AB$1,0)),"")),0)</f>
        <v/>
      </c>
      <c r="AE3099" s="53">
        <f>IFERROR(INDEX($A3099:$AB3099,MATCH("Xero Invoice Date",$A$1:$AB$1,0)),"")</f>
        <v/>
      </c>
      <c r="AF3099" s="54">
        <f>IF(AND(IFERROR(INDEX($A3099:$AB3099,MATCH("Xero Invoice No",$A$1:$AB$1,0)),"")&amp;""&lt;&gt;"",ISNUMBER(AE3099),AD3099&lt;&gt;0),1,0)</f>
        <v/>
      </c>
      <c r="AG3099" s="55">
        <f>IF(AF3099=1,EOMONTH(AE3099,0),"")</f>
        <v/>
      </c>
      <c r="AH3099" s="9">
        <f>IF(AF3099=1,UPPER(TRIM(IFERROR(INDEX($A3099:$AB3099,MATCH("Client",$A$1:$AB$1,0)),"")&amp;"")),"")</f>
        <v/>
      </c>
      <c r="AI3099" s="9">
        <f>IF(AF3099=1,IFERROR(INDEX($A3099:$AB3099,MATCH("Cost Centre",$A$1:$AB$1,0)),"")&amp;"","")</f>
        <v/>
      </c>
      <c r="AJ3099" s="54">
        <f>IF(AND(AF3099=1,AE3099&gt;=set_FYStart,AE3099&lt;=set_AsAt),1,0)</f>
        <v/>
      </c>
      <c r="AK3099" s="54">
        <f>IF(AND(AJ3099=1,AH3099&lt;&gt;"",COUNTIFS($AH$2:AH3099,AH3099,$AJ$2:AJ3099,1)=1),N(AL3098)+1,"")</f>
        <v/>
      </c>
      <c r="AL3099" s="54">
        <f>IF(AK3099&lt;&gt;"",AK3099,N(AL3098))</f>
        <v/>
      </c>
    </row>
    <row r="3100">
      <c r="A3100" t="inlineStr">
        <is>
          <t>CON-1033</t>
        </is>
      </c>
      <c r="B3100" t="inlineStr">
        <is>
          <t>Consulting</t>
        </is>
      </c>
      <c r="AB3100" t="n">
        <v>1033</v>
      </c>
      <c r="AD3100" s="52">
        <f>IFERROR(N(IFERROR(INDEX($A3100:$AB3100,MATCH("Xero Invoiced Ex GST",$A$1:$AB$1,0)),"")),0)</f>
        <v/>
      </c>
      <c r="AE3100" s="53">
        <f>IFERROR(INDEX($A3100:$AB3100,MATCH("Xero Invoice Date",$A$1:$AB$1,0)),"")</f>
        <v/>
      </c>
      <c r="AF3100" s="54">
        <f>IF(AND(IFERROR(INDEX($A3100:$AB3100,MATCH("Xero Invoice No",$A$1:$AB$1,0)),"")&amp;""&lt;&gt;"",ISNUMBER(AE3100),AD3100&lt;&gt;0),1,0)</f>
        <v/>
      </c>
      <c r="AG3100" s="55">
        <f>IF(AF3100=1,EOMONTH(AE3100,0),"")</f>
        <v/>
      </c>
      <c r="AH3100" s="9">
        <f>IF(AF3100=1,UPPER(TRIM(IFERROR(INDEX($A3100:$AB3100,MATCH("Client",$A$1:$AB$1,0)),"")&amp;"")),"")</f>
        <v/>
      </c>
      <c r="AI3100" s="9">
        <f>IF(AF3100=1,IFERROR(INDEX($A3100:$AB3100,MATCH("Cost Centre",$A$1:$AB$1,0)),"")&amp;"","")</f>
        <v/>
      </c>
      <c r="AJ3100" s="54">
        <f>IF(AND(AF3100=1,AE3100&gt;=set_FYStart,AE3100&lt;=set_AsAt),1,0)</f>
        <v/>
      </c>
      <c r="AK3100" s="54">
        <f>IF(AND(AJ3100=1,AH3100&lt;&gt;"",COUNTIFS($AH$2:AH3100,AH3100,$AJ$2:AJ3100,1)=1),N(AL3099)+1,"")</f>
        <v/>
      </c>
      <c r="AL3100" s="54">
        <f>IF(AK3100&lt;&gt;"",AK3100,N(AL3099))</f>
        <v/>
      </c>
    </row>
    <row r="3101">
      <c r="A3101" t="inlineStr">
        <is>
          <t>ONS-1034</t>
        </is>
      </c>
      <c r="B3101" t="inlineStr">
        <is>
          <t>Onsite</t>
        </is>
      </c>
      <c r="AB3101" t="n">
        <v>1034</v>
      </c>
      <c r="AD3101" s="52">
        <f>IFERROR(N(IFERROR(INDEX($A3101:$AB3101,MATCH("Xero Invoiced Ex GST",$A$1:$AB$1,0)),"")),0)</f>
        <v/>
      </c>
      <c r="AE3101" s="53">
        <f>IFERROR(INDEX($A3101:$AB3101,MATCH("Xero Invoice Date",$A$1:$AB$1,0)),"")</f>
        <v/>
      </c>
      <c r="AF3101" s="54">
        <f>IF(AND(IFERROR(INDEX($A3101:$AB3101,MATCH("Xero Invoice No",$A$1:$AB$1,0)),"")&amp;""&lt;&gt;"",ISNUMBER(AE3101),AD3101&lt;&gt;0),1,0)</f>
        <v/>
      </c>
      <c r="AG3101" s="55">
        <f>IF(AF3101=1,EOMONTH(AE3101,0),"")</f>
        <v/>
      </c>
      <c r="AH3101" s="9">
        <f>IF(AF3101=1,UPPER(TRIM(IFERROR(INDEX($A3101:$AB3101,MATCH("Client",$A$1:$AB$1,0)),"")&amp;"")),"")</f>
        <v/>
      </c>
      <c r="AI3101" s="9">
        <f>IF(AF3101=1,IFERROR(INDEX($A3101:$AB3101,MATCH("Cost Centre",$A$1:$AB$1,0)),"")&amp;"","")</f>
        <v/>
      </c>
      <c r="AJ3101" s="54">
        <f>IF(AND(AF3101=1,AE3101&gt;=set_FYStart,AE3101&lt;=set_AsAt),1,0)</f>
        <v/>
      </c>
      <c r="AK3101" s="54">
        <f>IF(AND(AJ3101=1,AH3101&lt;&gt;"",COUNTIFS($AH$2:AH3101,AH3101,$AJ$2:AJ3101,1)=1),N(AL3100)+1,"")</f>
        <v/>
      </c>
      <c r="AL3101" s="54">
        <f>IF(AK3101&lt;&gt;"",AK3101,N(AL3100))</f>
        <v/>
      </c>
    </row>
    <row r="3102">
      <c r="A3102" t="inlineStr">
        <is>
          <t>PRD-1034</t>
        </is>
      </c>
      <c r="B3102" t="inlineStr">
        <is>
          <t>Production</t>
        </is>
      </c>
      <c r="AB3102" t="n">
        <v>1034</v>
      </c>
      <c r="AD3102" s="52">
        <f>IFERROR(N(IFERROR(INDEX($A3102:$AB3102,MATCH("Xero Invoiced Ex GST",$A$1:$AB$1,0)),"")),0)</f>
        <v/>
      </c>
      <c r="AE3102" s="53">
        <f>IFERROR(INDEX($A3102:$AB3102,MATCH("Xero Invoice Date",$A$1:$AB$1,0)),"")</f>
        <v/>
      </c>
      <c r="AF3102" s="54">
        <f>IF(AND(IFERROR(INDEX($A3102:$AB3102,MATCH("Xero Invoice No",$A$1:$AB$1,0)),"")&amp;""&lt;&gt;"",ISNUMBER(AE3102),AD3102&lt;&gt;0),1,0)</f>
        <v/>
      </c>
      <c r="AG3102" s="55">
        <f>IF(AF3102=1,EOMONTH(AE3102,0),"")</f>
        <v/>
      </c>
      <c r="AH3102" s="9">
        <f>IF(AF3102=1,UPPER(TRIM(IFERROR(INDEX($A3102:$AB3102,MATCH("Client",$A$1:$AB$1,0)),"")&amp;"")),"")</f>
        <v/>
      </c>
      <c r="AI3102" s="9">
        <f>IF(AF3102=1,IFERROR(INDEX($A3102:$AB3102,MATCH("Cost Centre",$A$1:$AB$1,0)),"")&amp;"","")</f>
        <v/>
      </c>
      <c r="AJ3102" s="54">
        <f>IF(AND(AF3102=1,AE3102&gt;=set_FYStart,AE3102&lt;=set_AsAt),1,0)</f>
        <v/>
      </c>
      <c r="AK3102" s="54">
        <f>IF(AND(AJ3102=1,AH3102&lt;&gt;"",COUNTIFS($AH$2:AH3102,AH3102,$AJ$2:AJ3102,1)=1),N(AL3101)+1,"")</f>
        <v/>
      </c>
      <c r="AL3102" s="54">
        <f>IF(AK3102&lt;&gt;"",AK3102,N(AL3101))</f>
        <v/>
      </c>
    </row>
    <row r="3103">
      <c r="A3103" t="inlineStr">
        <is>
          <t>CON-1034</t>
        </is>
      </c>
      <c r="B3103" t="inlineStr">
        <is>
          <t>Consulting</t>
        </is>
      </c>
      <c r="AB3103" t="n">
        <v>1034</v>
      </c>
      <c r="AD3103" s="52">
        <f>IFERROR(N(IFERROR(INDEX($A3103:$AB3103,MATCH("Xero Invoiced Ex GST",$A$1:$AB$1,0)),"")),0)</f>
        <v/>
      </c>
      <c r="AE3103" s="53">
        <f>IFERROR(INDEX($A3103:$AB3103,MATCH("Xero Invoice Date",$A$1:$AB$1,0)),"")</f>
        <v/>
      </c>
      <c r="AF3103" s="54">
        <f>IF(AND(IFERROR(INDEX($A3103:$AB3103,MATCH("Xero Invoice No",$A$1:$AB$1,0)),"")&amp;""&lt;&gt;"",ISNUMBER(AE3103),AD3103&lt;&gt;0),1,0)</f>
        <v/>
      </c>
      <c r="AG3103" s="55">
        <f>IF(AF3103=1,EOMONTH(AE3103,0),"")</f>
        <v/>
      </c>
      <c r="AH3103" s="9">
        <f>IF(AF3103=1,UPPER(TRIM(IFERROR(INDEX($A3103:$AB3103,MATCH("Client",$A$1:$AB$1,0)),"")&amp;"")),"")</f>
        <v/>
      </c>
      <c r="AI3103" s="9">
        <f>IF(AF3103=1,IFERROR(INDEX($A3103:$AB3103,MATCH("Cost Centre",$A$1:$AB$1,0)),"")&amp;"","")</f>
        <v/>
      </c>
      <c r="AJ3103" s="54">
        <f>IF(AND(AF3103=1,AE3103&gt;=set_FYStart,AE3103&lt;=set_AsAt),1,0)</f>
        <v/>
      </c>
      <c r="AK3103" s="54">
        <f>IF(AND(AJ3103=1,AH3103&lt;&gt;"",COUNTIFS($AH$2:AH3103,AH3103,$AJ$2:AJ3103,1)=1),N(AL3102)+1,"")</f>
        <v/>
      </c>
      <c r="AL3103" s="54">
        <f>IF(AK3103&lt;&gt;"",AK3103,N(AL3102))</f>
        <v/>
      </c>
    </row>
    <row r="3104">
      <c r="A3104" t="inlineStr">
        <is>
          <t>ONS-1035</t>
        </is>
      </c>
      <c r="B3104" t="inlineStr">
        <is>
          <t>Onsite</t>
        </is>
      </c>
      <c r="AB3104" t="n">
        <v>1035</v>
      </c>
      <c r="AD3104" s="52">
        <f>IFERROR(N(IFERROR(INDEX($A3104:$AB3104,MATCH("Xero Invoiced Ex GST",$A$1:$AB$1,0)),"")),0)</f>
        <v/>
      </c>
      <c r="AE3104" s="53">
        <f>IFERROR(INDEX($A3104:$AB3104,MATCH("Xero Invoice Date",$A$1:$AB$1,0)),"")</f>
        <v/>
      </c>
      <c r="AF3104" s="54">
        <f>IF(AND(IFERROR(INDEX($A3104:$AB3104,MATCH("Xero Invoice No",$A$1:$AB$1,0)),"")&amp;""&lt;&gt;"",ISNUMBER(AE3104),AD3104&lt;&gt;0),1,0)</f>
        <v/>
      </c>
      <c r="AG3104" s="55">
        <f>IF(AF3104=1,EOMONTH(AE3104,0),"")</f>
        <v/>
      </c>
      <c r="AH3104" s="9">
        <f>IF(AF3104=1,UPPER(TRIM(IFERROR(INDEX($A3104:$AB3104,MATCH("Client",$A$1:$AB$1,0)),"")&amp;"")),"")</f>
        <v/>
      </c>
      <c r="AI3104" s="9">
        <f>IF(AF3104=1,IFERROR(INDEX($A3104:$AB3104,MATCH("Cost Centre",$A$1:$AB$1,0)),"")&amp;"","")</f>
        <v/>
      </c>
      <c r="AJ3104" s="54">
        <f>IF(AND(AF3104=1,AE3104&gt;=set_FYStart,AE3104&lt;=set_AsAt),1,0)</f>
        <v/>
      </c>
      <c r="AK3104" s="54">
        <f>IF(AND(AJ3104=1,AH3104&lt;&gt;"",COUNTIFS($AH$2:AH3104,AH3104,$AJ$2:AJ3104,1)=1),N(AL3103)+1,"")</f>
        <v/>
      </c>
      <c r="AL3104" s="54">
        <f>IF(AK3104&lt;&gt;"",AK3104,N(AL3103))</f>
        <v/>
      </c>
    </row>
    <row r="3105">
      <c r="A3105" t="inlineStr">
        <is>
          <t>PRD-1035</t>
        </is>
      </c>
      <c r="B3105" t="inlineStr">
        <is>
          <t>Production</t>
        </is>
      </c>
      <c r="AB3105" t="n">
        <v>1035</v>
      </c>
      <c r="AD3105" s="52">
        <f>IFERROR(N(IFERROR(INDEX($A3105:$AB3105,MATCH("Xero Invoiced Ex GST",$A$1:$AB$1,0)),"")),0)</f>
        <v/>
      </c>
      <c r="AE3105" s="53">
        <f>IFERROR(INDEX($A3105:$AB3105,MATCH("Xero Invoice Date",$A$1:$AB$1,0)),"")</f>
        <v/>
      </c>
      <c r="AF3105" s="54">
        <f>IF(AND(IFERROR(INDEX($A3105:$AB3105,MATCH("Xero Invoice No",$A$1:$AB$1,0)),"")&amp;""&lt;&gt;"",ISNUMBER(AE3105),AD3105&lt;&gt;0),1,0)</f>
        <v/>
      </c>
      <c r="AG3105" s="55">
        <f>IF(AF3105=1,EOMONTH(AE3105,0),"")</f>
        <v/>
      </c>
      <c r="AH3105" s="9">
        <f>IF(AF3105=1,UPPER(TRIM(IFERROR(INDEX($A3105:$AB3105,MATCH("Client",$A$1:$AB$1,0)),"")&amp;"")),"")</f>
        <v/>
      </c>
      <c r="AI3105" s="9">
        <f>IF(AF3105=1,IFERROR(INDEX($A3105:$AB3105,MATCH("Cost Centre",$A$1:$AB$1,0)),"")&amp;"","")</f>
        <v/>
      </c>
      <c r="AJ3105" s="54">
        <f>IF(AND(AF3105=1,AE3105&gt;=set_FYStart,AE3105&lt;=set_AsAt),1,0)</f>
        <v/>
      </c>
      <c r="AK3105" s="54">
        <f>IF(AND(AJ3105=1,AH3105&lt;&gt;"",COUNTIFS($AH$2:AH3105,AH3105,$AJ$2:AJ3105,1)=1),N(AL3104)+1,"")</f>
        <v/>
      </c>
      <c r="AL3105" s="54">
        <f>IF(AK3105&lt;&gt;"",AK3105,N(AL3104))</f>
        <v/>
      </c>
    </row>
    <row r="3106">
      <c r="A3106" t="inlineStr">
        <is>
          <t>CON-1035</t>
        </is>
      </c>
      <c r="B3106" t="inlineStr">
        <is>
          <t>Consulting</t>
        </is>
      </c>
      <c r="AB3106" t="n">
        <v>1035</v>
      </c>
      <c r="AD3106" s="52">
        <f>IFERROR(N(IFERROR(INDEX($A3106:$AB3106,MATCH("Xero Invoiced Ex GST",$A$1:$AB$1,0)),"")),0)</f>
        <v/>
      </c>
      <c r="AE3106" s="53">
        <f>IFERROR(INDEX($A3106:$AB3106,MATCH("Xero Invoice Date",$A$1:$AB$1,0)),"")</f>
        <v/>
      </c>
      <c r="AF3106" s="54">
        <f>IF(AND(IFERROR(INDEX($A3106:$AB3106,MATCH("Xero Invoice No",$A$1:$AB$1,0)),"")&amp;""&lt;&gt;"",ISNUMBER(AE3106),AD3106&lt;&gt;0),1,0)</f>
        <v/>
      </c>
      <c r="AG3106" s="55">
        <f>IF(AF3106=1,EOMONTH(AE3106,0),"")</f>
        <v/>
      </c>
      <c r="AH3106" s="9">
        <f>IF(AF3106=1,UPPER(TRIM(IFERROR(INDEX($A3106:$AB3106,MATCH("Client",$A$1:$AB$1,0)),"")&amp;"")),"")</f>
        <v/>
      </c>
      <c r="AI3106" s="9">
        <f>IF(AF3106=1,IFERROR(INDEX($A3106:$AB3106,MATCH("Cost Centre",$A$1:$AB$1,0)),"")&amp;"","")</f>
        <v/>
      </c>
      <c r="AJ3106" s="54">
        <f>IF(AND(AF3106=1,AE3106&gt;=set_FYStart,AE3106&lt;=set_AsAt),1,0)</f>
        <v/>
      </c>
      <c r="AK3106" s="54">
        <f>IF(AND(AJ3106=1,AH3106&lt;&gt;"",COUNTIFS($AH$2:AH3106,AH3106,$AJ$2:AJ3106,1)=1),N(AL3105)+1,"")</f>
        <v/>
      </c>
      <c r="AL3106" s="54">
        <f>IF(AK3106&lt;&gt;"",AK3106,N(AL3105))</f>
        <v/>
      </c>
    </row>
    <row r="3107">
      <c r="A3107" t="inlineStr">
        <is>
          <t>ONS-1036</t>
        </is>
      </c>
      <c r="B3107" t="inlineStr">
        <is>
          <t>Onsite</t>
        </is>
      </c>
      <c r="AB3107" t="n">
        <v>1036</v>
      </c>
      <c r="AD3107" s="52">
        <f>IFERROR(N(IFERROR(INDEX($A3107:$AB3107,MATCH("Xero Invoiced Ex GST",$A$1:$AB$1,0)),"")),0)</f>
        <v/>
      </c>
      <c r="AE3107" s="53">
        <f>IFERROR(INDEX($A3107:$AB3107,MATCH("Xero Invoice Date",$A$1:$AB$1,0)),"")</f>
        <v/>
      </c>
      <c r="AF3107" s="54">
        <f>IF(AND(IFERROR(INDEX($A3107:$AB3107,MATCH("Xero Invoice No",$A$1:$AB$1,0)),"")&amp;""&lt;&gt;"",ISNUMBER(AE3107),AD3107&lt;&gt;0),1,0)</f>
        <v/>
      </c>
      <c r="AG3107" s="55">
        <f>IF(AF3107=1,EOMONTH(AE3107,0),"")</f>
        <v/>
      </c>
      <c r="AH3107" s="9">
        <f>IF(AF3107=1,UPPER(TRIM(IFERROR(INDEX($A3107:$AB3107,MATCH("Client",$A$1:$AB$1,0)),"")&amp;"")),"")</f>
        <v/>
      </c>
      <c r="AI3107" s="9">
        <f>IF(AF3107=1,IFERROR(INDEX($A3107:$AB3107,MATCH("Cost Centre",$A$1:$AB$1,0)),"")&amp;"","")</f>
        <v/>
      </c>
      <c r="AJ3107" s="54">
        <f>IF(AND(AF3107=1,AE3107&gt;=set_FYStart,AE3107&lt;=set_AsAt),1,0)</f>
        <v/>
      </c>
      <c r="AK3107" s="54">
        <f>IF(AND(AJ3107=1,AH3107&lt;&gt;"",COUNTIFS($AH$2:AH3107,AH3107,$AJ$2:AJ3107,1)=1),N(AL3106)+1,"")</f>
        <v/>
      </c>
      <c r="AL3107" s="54">
        <f>IF(AK3107&lt;&gt;"",AK3107,N(AL3106))</f>
        <v/>
      </c>
    </row>
    <row r="3108">
      <c r="A3108" t="inlineStr">
        <is>
          <t>PRD-1036</t>
        </is>
      </c>
      <c r="B3108" t="inlineStr">
        <is>
          <t>Production</t>
        </is>
      </c>
      <c r="AB3108" t="n">
        <v>1036</v>
      </c>
      <c r="AD3108" s="52">
        <f>IFERROR(N(IFERROR(INDEX($A3108:$AB3108,MATCH("Xero Invoiced Ex GST",$A$1:$AB$1,0)),"")),0)</f>
        <v/>
      </c>
      <c r="AE3108" s="53">
        <f>IFERROR(INDEX($A3108:$AB3108,MATCH("Xero Invoice Date",$A$1:$AB$1,0)),"")</f>
        <v/>
      </c>
      <c r="AF3108" s="54">
        <f>IF(AND(IFERROR(INDEX($A3108:$AB3108,MATCH("Xero Invoice No",$A$1:$AB$1,0)),"")&amp;""&lt;&gt;"",ISNUMBER(AE3108),AD3108&lt;&gt;0),1,0)</f>
        <v/>
      </c>
      <c r="AG3108" s="55">
        <f>IF(AF3108=1,EOMONTH(AE3108,0),"")</f>
        <v/>
      </c>
      <c r="AH3108" s="9">
        <f>IF(AF3108=1,UPPER(TRIM(IFERROR(INDEX($A3108:$AB3108,MATCH("Client",$A$1:$AB$1,0)),"")&amp;"")),"")</f>
        <v/>
      </c>
      <c r="AI3108" s="9">
        <f>IF(AF3108=1,IFERROR(INDEX($A3108:$AB3108,MATCH("Cost Centre",$A$1:$AB$1,0)),"")&amp;"","")</f>
        <v/>
      </c>
      <c r="AJ3108" s="54">
        <f>IF(AND(AF3108=1,AE3108&gt;=set_FYStart,AE3108&lt;=set_AsAt),1,0)</f>
        <v/>
      </c>
      <c r="AK3108" s="54">
        <f>IF(AND(AJ3108=1,AH3108&lt;&gt;"",COUNTIFS($AH$2:AH3108,AH3108,$AJ$2:AJ3108,1)=1),N(AL3107)+1,"")</f>
        <v/>
      </c>
      <c r="AL3108" s="54">
        <f>IF(AK3108&lt;&gt;"",AK3108,N(AL3107))</f>
        <v/>
      </c>
    </row>
    <row r="3109">
      <c r="A3109" t="inlineStr">
        <is>
          <t>CON-1036</t>
        </is>
      </c>
      <c r="B3109" t="inlineStr">
        <is>
          <t>Consulting</t>
        </is>
      </c>
      <c r="AB3109" t="n">
        <v>1036</v>
      </c>
      <c r="AD3109" s="52">
        <f>IFERROR(N(IFERROR(INDEX($A3109:$AB3109,MATCH("Xero Invoiced Ex GST",$A$1:$AB$1,0)),"")),0)</f>
        <v/>
      </c>
      <c r="AE3109" s="53">
        <f>IFERROR(INDEX($A3109:$AB3109,MATCH("Xero Invoice Date",$A$1:$AB$1,0)),"")</f>
        <v/>
      </c>
      <c r="AF3109" s="54">
        <f>IF(AND(IFERROR(INDEX($A3109:$AB3109,MATCH("Xero Invoice No",$A$1:$AB$1,0)),"")&amp;""&lt;&gt;"",ISNUMBER(AE3109),AD3109&lt;&gt;0),1,0)</f>
        <v/>
      </c>
      <c r="AG3109" s="55">
        <f>IF(AF3109=1,EOMONTH(AE3109,0),"")</f>
        <v/>
      </c>
      <c r="AH3109" s="9">
        <f>IF(AF3109=1,UPPER(TRIM(IFERROR(INDEX($A3109:$AB3109,MATCH("Client",$A$1:$AB$1,0)),"")&amp;"")),"")</f>
        <v/>
      </c>
      <c r="AI3109" s="9">
        <f>IF(AF3109=1,IFERROR(INDEX($A3109:$AB3109,MATCH("Cost Centre",$A$1:$AB$1,0)),"")&amp;"","")</f>
        <v/>
      </c>
      <c r="AJ3109" s="54">
        <f>IF(AND(AF3109=1,AE3109&gt;=set_FYStart,AE3109&lt;=set_AsAt),1,0)</f>
        <v/>
      </c>
      <c r="AK3109" s="54">
        <f>IF(AND(AJ3109=1,AH3109&lt;&gt;"",COUNTIFS($AH$2:AH3109,AH3109,$AJ$2:AJ3109,1)=1),N(AL3108)+1,"")</f>
        <v/>
      </c>
      <c r="AL3109" s="54">
        <f>IF(AK3109&lt;&gt;"",AK3109,N(AL3108))</f>
        <v/>
      </c>
    </row>
    <row r="3110">
      <c r="A3110" t="inlineStr">
        <is>
          <t>ONS-1037</t>
        </is>
      </c>
      <c r="B3110" t="inlineStr">
        <is>
          <t>Onsite</t>
        </is>
      </c>
      <c r="AB3110" t="n">
        <v>1037</v>
      </c>
      <c r="AD3110" s="52">
        <f>IFERROR(N(IFERROR(INDEX($A3110:$AB3110,MATCH("Xero Invoiced Ex GST",$A$1:$AB$1,0)),"")),0)</f>
        <v/>
      </c>
      <c r="AE3110" s="53">
        <f>IFERROR(INDEX($A3110:$AB3110,MATCH("Xero Invoice Date",$A$1:$AB$1,0)),"")</f>
        <v/>
      </c>
      <c r="AF3110" s="54">
        <f>IF(AND(IFERROR(INDEX($A3110:$AB3110,MATCH("Xero Invoice No",$A$1:$AB$1,0)),"")&amp;""&lt;&gt;"",ISNUMBER(AE3110),AD3110&lt;&gt;0),1,0)</f>
        <v/>
      </c>
      <c r="AG3110" s="55">
        <f>IF(AF3110=1,EOMONTH(AE3110,0),"")</f>
        <v/>
      </c>
      <c r="AH3110" s="9">
        <f>IF(AF3110=1,UPPER(TRIM(IFERROR(INDEX($A3110:$AB3110,MATCH("Client",$A$1:$AB$1,0)),"")&amp;"")),"")</f>
        <v/>
      </c>
      <c r="AI3110" s="9">
        <f>IF(AF3110=1,IFERROR(INDEX($A3110:$AB3110,MATCH("Cost Centre",$A$1:$AB$1,0)),"")&amp;"","")</f>
        <v/>
      </c>
      <c r="AJ3110" s="54">
        <f>IF(AND(AF3110=1,AE3110&gt;=set_FYStart,AE3110&lt;=set_AsAt),1,0)</f>
        <v/>
      </c>
      <c r="AK3110" s="54">
        <f>IF(AND(AJ3110=1,AH3110&lt;&gt;"",COUNTIFS($AH$2:AH3110,AH3110,$AJ$2:AJ3110,1)=1),N(AL3109)+1,"")</f>
        <v/>
      </c>
      <c r="AL3110" s="54">
        <f>IF(AK3110&lt;&gt;"",AK3110,N(AL3109))</f>
        <v/>
      </c>
    </row>
    <row r="3111">
      <c r="A3111" t="inlineStr">
        <is>
          <t>PRD-1037</t>
        </is>
      </c>
      <c r="B3111" t="inlineStr">
        <is>
          <t>Production</t>
        </is>
      </c>
      <c r="AB3111" t="n">
        <v>1037</v>
      </c>
      <c r="AD3111" s="52">
        <f>IFERROR(N(IFERROR(INDEX($A3111:$AB3111,MATCH("Xero Invoiced Ex GST",$A$1:$AB$1,0)),"")),0)</f>
        <v/>
      </c>
      <c r="AE3111" s="53">
        <f>IFERROR(INDEX($A3111:$AB3111,MATCH("Xero Invoice Date",$A$1:$AB$1,0)),"")</f>
        <v/>
      </c>
      <c r="AF3111" s="54">
        <f>IF(AND(IFERROR(INDEX($A3111:$AB3111,MATCH("Xero Invoice No",$A$1:$AB$1,0)),"")&amp;""&lt;&gt;"",ISNUMBER(AE3111),AD3111&lt;&gt;0),1,0)</f>
        <v/>
      </c>
      <c r="AG3111" s="55">
        <f>IF(AF3111=1,EOMONTH(AE3111,0),"")</f>
        <v/>
      </c>
      <c r="AH3111" s="9">
        <f>IF(AF3111=1,UPPER(TRIM(IFERROR(INDEX($A3111:$AB3111,MATCH("Client",$A$1:$AB$1,0)),"")&amp;"")),"")</f>
        <v/>
      </c>
      <c r="AI3111" s="9">
        <f>IF(AF3111=1,IFERROR(INDEX($A3111:$AB3111,MATCH("Cost Centre",$A$1:$AB$1,0)),"")&amp;"","")</f>
        <v/>
      </c>
      <c r="AJ3111" s="54">
        <f>IF(AND(AF3111=1,AE3111&gt;=set_FYStart,AE3111&lt;=set_AsAt),1,0)</f>
        <v/>
      </c>
      <c r="AK3111" s="54">
        <f>IF(AND(AJ3111=1,AH3111&lt;&gt;"",COUNTIFS($AH$2:AH3111,AH3111,$AJ$2:AJ3111,1)=1),N(AL3110)+1,"")</f>
        <v/>
      </c>
      <c r="AL3111" s="54">
        <f>IF(AK3111&lt;&gt;"",AK3111,N(AL3110))</f>
        <v/>
      </c>
    </row>
    <row r="3112">
      <c r="A3112" t="inlineStr">
        <is>
          <t>CON-1037</t>
        </is>
      </c>
      <c r="B3112" t="inlineStr">
        <is>
          <t>Consulting</t>
        </is>
      </c>
      <c r="AB3112" t="n">
        <v>1037</v>
      </c>
      <c r="AD3112" s="52">
        <f>IFERROR(N(IFERROR(INDEX($A3112:$AB3112,MATCH("Xero Invoiced Ex GST",$A$1:$AB$1,0)),"")),0)</f>
        <v/>
      </c>
      <c r="AE3112" s="53">
        <f>IFERROR(INDEX($A3112:$AB3112,MATCH("Xero Invoice Date",$A$1:$AB$1,0)),"")</f>
        <v/>
      </c>
      <c r="AF3112" s="54">
        <f>IF(AND(IFERROR(INDEX($A3112:$AB3112,MATCH("Xero Invoice No",$A$1:$AB$1,0)),"")&amp;""&lt;&gt;"",ISNUMBER(AE3112),AD3112&lt;&gt;0),1,0)</f>
        <v/>
      </c>
      <c r="AG3112" s="55">
        <f>IF(AF3112=1,EOMONTH(AE3112,0),"")</f>
        <v/>
      </c>
      <c r="AH3112" s="9">
        <f>IF(AF3112=1,UPPER(TRIM(IFERROR(INDEX($A3112:$AB3112,MATCH("Client",$A$1:$AB$1,0)),"")&amp;"")),"")</f>
        <v/>
      </c>
      <c r="AI3112" s="9">
        <f>IF(AF3112=1,IFERROR(INDEX($A3112:$AB3112,MATCH("Cost Centre",$A$1:$AB$1,0)),"")&amp;"","")</f>
        <v/>
      </c>
      <c r="AJ3112" s="54">
        <f>IF(AND(AF3112=1,AE3112&gt;=set_FYStart,AE3112&lt;=set_AsAt),1,0)</f>
        <v/>
      </c>
      <c r="AK3112" s="54">
        <f>IF(AND(AJ3112=1,AH3112&lt;&gt;"",COUNTIFS($AH$2:AH3112,AH3112,$AJ$2:AJ3112,1)=1),N(AL3111)+1,"")</f>
        <v/>
      </c>
      <c r="AL3112" s="54">
        <f>IF(AK3112&lt;&gt;"",AK3112,N(AL3111))</f>
        <v/>
      </c>
    </row>
    <row r="3113">
      <c r="A3113" t="inlineStr">
        <is>
          <t>ONS-1038</t>
        </is>
      </c>
      <c r="B3113" t="inlineStr">
        <is>
          <t>Onsite</t>
        </is>
      </c>
      <c r="AB3113" t="n">
        <v>1038</v>
      </c>
      <c r="AD3113" s="52">
        <f>IFERROR(N(IFERROR(INDEX($A3113:$AB3113,MATCH("Xero Invoiced Ex GST",$A$1:$AB$1,0)),"")),0)</f>
        <v/>
      </c>
      <c r="AE3113" s="53">
        <f>IFERROR(INDEX($A3113:$AB3113,MATCH("Xero Invoice Date",$A$1:$AB$1,0)),"")</f>
        <v/>
      </c>
      <c r="AF3113" s="54">
        <f>IF(AND(IFERROR(INDEX($A3113:$AB3113,MATCH("Xero Invoice No",$A$1:$AB$1,0)),"")&amp;""&lt;&gt;"",ISNUMBER(AE3113),AD3113&lt;&gt;0),1,0)</f>
        <v/>
      </c>
      <c r="AG3113" s="55">
        <f>IF(AF3113=1,EOMONTH(AE3113,0),"")</f>
        <v/>
      </c>
      <c r="AH3113" s="9">
        <f>IF(AF3113=1,UPPER(TRIM(IFERROR(INDEX($A3113:$AB3113,MATCH("Client",$A$1:$AB$1,0)),"")&amp;"")),"")</f>
        <v/>
      </c>
      <c r="AI3113" s="9">
        <f>IF(AF3113=1,IFERROR(INDEX($A3113:$AB3113,MATCH("Cost Centre",$A$1:$AB$1,0)),"")&amp;"","")</f>
        <v/>
      </c>
      <c r="AJ3113" s="54">
        <f>IF(AND(AF3113=1,AE3113&gt;=set_FYStart,AE3113&lt;=set_AsAt),1,0)</f>
        <v/>
      </c>
      <c r="AK3113" s="54">
        <f>IF(AND(AJ3113=1,AH3113&lt;&gt;"",COUNTIFS($AH$2:AH3113,AH3113,$AJ$2:AJ3113,1)=1),N(AL3112)+1,"")</f>
        <v/>
      </c>
      <c r="AL3113" s="54">
        <f>IF(AK3113&lt;&gt;"",AK3113,N(AL3112))</f>
        <v/>
      </c>
    </row>
    <row r="3114">
      <c r="A3114" t="inlineStr">
        <is>
          <t>PRD-1038</t>
        </is>
      </c>
      <c r="B3114" t="inlineStr">
        <is>
          <t>Production</t>
        </is>
      </c>
      <c r="AB3114" t="n">
        <v>1038</v>
      </c>
      <c r="AD3114" s="52">
        <f>IFERROR(N(IFERROR(INDEX($A3114:$AB3114,MATCH("Xero Invoiced Ex GST",$A$1:$AB$1,0)),"")),0)</f>
        <v/>
      </c>
      <c r="AE3114" s="53">
        <f>IFERROR(INDEX($A3114:$AB3114,MATCH("Xero Invoice Date",$A$1:$AB$1,0)),"")</f>
        <v/>
      </c>
      <c r="AF3114" s="54">
        <f>IF(AND(IFERROR(INDEX($A3114:$AB3114,MATCH("Xero Invoice No",$A$1:$AB$1,0)),"")&amp;""&lt;&gt;"",ISNUMBER(AE3114),AD3114&lt;&gt;0),1,0)</f>
        <v/>
      </c>
      <c r="AG3114" s="55">
        <f>IF(AF3114=1,EOMONTH(AE3114,0),"")</f>
        <v/>
      </c>
      <c r="AH3114" s="9">
        <f>IF(AF3114=1,UPPER(TRIM(IFERROR(INDEX($A3114:$AB3114,MATCH("Client",$A$1:$AB$1,0)),"")&amp;"")),"")</f>
        <v/>
      </c>
      <c r="AI3114" s="9">
        <f>IF(AF3114=1,IFERROR(INDEX($A3114:$AB3114,MATCH("Cost Centre",$A$1:$AB$1,0)),"")&amp;"","")</f>
        <v/>
      </c>
      <c r="AJ3114" s="54">
        <f>IF(AND(AF3114=1,AE3114&gt;=set_FYStart,AE3114&lt;=set_AsAt),1,0)</f>
        <v/>
      </c>
      <c r="AK3114" s="54">
        <f>IF(AND(AJ3114=1,AH3114&lt;&gt;"",COUNTIFS($AH$2:AH3114,AH3114,$AJ$2:AJ3114,1)=1),N(AL3113)+1,"")</f>
        <v/>
      </c>
      <c r="AL3114" s="54">
        <f>IF(AK3114&lt;&gt;"",AK3114,N(AL3113))</f>
        <v/>
      </c>
    </row>
    <row r="3115">
      <c r="A3115" t="inlineStr">
        <is>
          <t>CON-1038</t>
        </is>
      </c>
      <c r="B3115" t="inlineStr">
        <is>
          <t>Consulting</t>
        </is>
      </c>
      <c r="AB3115" t="n">
        <v>1038</v>
      </c>
      <c r="AD3115" s="52">
        <f>IFERROR(N(IFERROR(INDEX($A3115:$AB3115,MATCH("Xero Invoiced Ex GST",$A$1:$AB$1,0)),"")),0)</f>
        <v/>
      </c>
      <c r="AE3115" s="53">
        <f>IFERROR(INDEX($A3115:$AB3115,MATCH("Xero Invoice Date",$A$1:$AB$1,0)),"")</f>
        <v/>
      </c>
      <c r="AF3115" s="54">
        <f>IF(AND(IFERROR(INDEX($A3115:$AB3115,MATCH("Xero Invoice No",$A$1:$AB$1,0)),"")&amp;""&lt;&gt;"",ISNUMBER(AE3115),AD3115&lt;&gt;0),1,0)</f>
        <v/>
      </c>
      <c r="AG3115" s="55">
        <f>IF(AF3115=1,EOMONTH(AE3115,0),"")</f>
        <v/>
      </c>
      <c r="AH3115" s="9">
        <f>IF(AF3115=1,UPPER(TRIM(IFERROR(INDEX($A3115:$AB3115,MATCH("Client",$A$1:$AB$1,0)),"")&amp;"")),"")</f>
        <v/>
      </c>
      <c r="AI3115" s="9">
        <f>IF(AF3115=1,IFERROR(INDEX($A3115:$AB3115,MATCH("Cost Centre",$A$1:$AB$1,0)),"")&amp;"","")</f>
        <v/>
      </c>
      <c r="AJ3115" s="54">
        <f>IF(AND(AF3115=1,AE3115&gt;=set_FYStart,AE3115&lt;=set_AsAt),1,0)</f>
        <v/>
      </c>
      <c r="AK3115" s="54">
        <f>IF(AND(AJ3115=1,AH3115&lt;&gt;"",COUNTIFS($AH$2:AH3115,AH3115,$AJ$2:AJ3115,1)=1),N(AL3114)+1,"")</f>
        <v/>
      </c>
      <c r="AL3115" s="54">
        <f>IF(AK3115&lt;&gt;"",AK3115,N(AL3114))</f>
        <v/>
      </c>
    </row>
    <row r="3116">
      <c r="A3116" t="inlineStr">
        <is>
          <t>ONS-1039</t>
        </is>
      </c>
      <c r="B3116" t="inlineStr">
        <is>
          <t>Onsite</t>
        </is>
      </c>
      <c r="AB3116" t="n">
        <v>1039</v>
      </c>
      <c r="AD3116" s="52">
        <f>IFERROR(N(IFERROR(INDEX($A3116:$AB3116,MATCH("Xero Invoiced Ex GST",$A$1:$AB$1,0)),"")),0)</f>
        <v/>
      </c>
      <c r="AE3116" s="53">
        <f>IFERROR(INDEX($A3116:$AB3116,MATCH("Xero Invoice Date",$A$1:$AB$1,0)),"")</f>
        <v/>
      </c>
      <c r="AF3116" s="54">
        <f>IF(AND(IFERROR(INDEX($A3116:$AB3116,MATCH("Xero Invoice No",$A$1:$AB$1,0)),"")&amp;""&lt;&gt;"",ISNUMBER(AE3116),AD3116&lt;&gt;0),1,0)</f>
        <v/>
      </c>
      <c r="AG3116" s="55">
        <f>IF(AF3116=1,EOMONTH(AE3116,0),"")</f>
        <v/>
      </c>
      <c r="AH3116" s="9">
        <f>IF(AF3116=1,UPPER(TRIM(IFERROR(INDEX($A3116:$AB3116,MATCH("Client",$A$1:$AB$1,0)),"")&amp;"")),"")</f>
        <v/>
      </c>
      <c r="AI3116" s="9">
        <f>IF(AF3116=1,IFERROR(INDEX($A3116:$AB3116,MATCH("Cost Centre",$A$1:$AB$1,0)),"")&amp;"","")</f>
        <v/>
      </c>
      <c r="AJ3116" s="54">
        <f>IF(AND(AF3116=1,AE3116&gt;=set_FYStart,AE3116&lt;=set_AsAt),1,0)</f>
        <v/>
      </c>
      <c r="AK3116" s="54">
        <f>IF(AND(AJ3116=1,AH3116&lt;&gt;"",COUNTIFS($AH$2:AH3116,AH3116,$AJ$2:AJ3116,1)=1),N(AL3115)+1,"")</f>
        <v/>
      </c>
      <c r="AL3116" s="54">
        <f>IF(AK3116&lt;&gt;"",AK3116,N(AL3115))</f>
        <v/>
      </c>
    </row>
    <row r="3117">
      <c r="A3117" t="inlineStr">
        <is>
          <t>PRD-1039</t>
        </is>
      </c>
      <c r="B3117" t="inlineStr">
        <is>
          <t>Production</t>
        </is>
      </c>
      <c r="AB3117" t="n">
        <v>1039</v>
      </c>
      <c r="AD3117" s="52">
        <f>IFERROR(N(IFERROR(INDEX($A3117:$AB3117,MATCH("Xero Invoiced Ex GST",$A$1:$AB$1,0)),"")),0)</f>
        <v/>
      </c>
      <c r="AE3117" s="53">
        <f>IFERROR(INDEX($A3117:$AB3117,MATCH("Xero Invoice Date",$A$1:$AB$1,0)),"")</f>
        <v/>
      </c>
      <c r="AF3117" s="54">
        <f>IF(AND(IFERROR(INDEX($A3117:$AB3117,MATCH("Xero Invoice No",$A$1:$AB$1,0)),"")&amp;""&lt;&gt;"",ISNUMBER(AE3117),AD3117&lt;&gt;0),1,0)</f>
        <v/>
      </c>
      <c r="AG3117" s="55">
        <f>IF(AF3117=1,EOMONTH(AE3117,0),"")</f>
        <v/>
      </c>
      <c r="AH3117" s="9">
        <f>IF(AF3117=1,UPPER(TRIM(IFERROR(INDEX($A3117:$AB3117,MATCH("Client",$A$1:$AB$1,0)),"")&amp;"")),"")</f>
        <v/>
      </c>
      <c r="AI3117" s="9">
        <f>IF(AF3117=1,IFERROR(INDEX($A3117:$AB3117,MATCH("Cost Centre",$A$1:$AB$1,0)),"")&amp;"","")</f>
        <v/>
      </c>
      <c r="AJ3117" s="54">
        <f>IF(AND(AF3117=1,AE3117&gt;=set_FYStart,AE3117&lt;=set_AsAt),1,0)</f>
        <v/>
      </c>
      <c r="AK3117" s="54">
        <f>IF(AND(AJ3117=1,AH3117&lt;&gt;"",COUNTIFS($AH$2:AH3117,AH3117,$AJ$2:AJ3117,1)=1),N(AL3116)+1,"")</f>
        <v/>
      </c>
      <c r="AL3117" s="54">
        <f>IF(AK3117&lt;&gt;"",AK3117,N(AL3116))</f>
        <v/>
      </c>
    </row>
    <row r="3118">
      <c r="A3118" t="inlineStr">
        <is>
          <t>CON-1039</t>
        </is>
      </c>
      <c r="B3118" t="inlineStr">
        <is>
          <t>Consulting</t>
        </is>
      </c>
      <c r="AB3118" t="n">
        <v>1039</v>
      </c>
      <c r="AD3118" s="52">
        <f>IFERROR(N(IFERROR(INDEX($A3118:$AB3118,MATCH("Xero Invoiced Ex GST",$A$1:$AB$1,0)),"")),0)</f>
        <v/>
      </c>
      <c r="AE3118" s="53">
        <f>IFERROR(INDEX($A3118:$AB3118,MATCH("Xero Invoice Date",$A$1:$AB$1,0)),"")</f>
        <v/>
      </c>
      <c r="AF3118" s="54">
        <f>IF(AND(IFERROR(INDEX($A3118:$AB3118,MATCH("Xero Invoice No",$A$1:$AB$1,0)),"")&amp;""&lt;&gt;"",ISNUMBER(AE3118),AD3118&lt;&gt;0),1,0)</f>
        <v/>
      </c>
      <c r="AG3118" s="55">
        <f>IF(AF3118=1,EOMONTH(AE3118,0),"")</f>
        <v/>
      </c>
      <c r="AH3118" s="9">
        <f>IF(AF3118=1,UPPER(TRIM(IFERROR(INDEX($A3118:$AB3118,MATCH("Client",$A$1:$AB$1,0)),"")&amp;"")),"")</f>
        <v/>
      </c>
      <c r="AI3118" s="9">
        <f>IF(AF3118=1,IFERROR(INDEX($A3118:$AB3118,MATCH("Cost Centre",$A$1:$AB$1,0)),"")&amp;"","")</f>
        <v/>
      </c>
      <c r="AJ3118" s="54">
        <f>IF(AND(AF3118=1,AE3118&gt;=set_FYStart,AE3118&lt;=set_AsAt),1,0)</f>
        <v/>
      </c>
      <c r="AK3118" s="54">
        <f>IF(AND(AJ3118=1,AH3118&lt;&gt;"",COUNTIFS($AH$2:AH3118,AH3118,$AJ$2:AJ3118,1)=1),N(AL3117)+1,"")</f>
        <v/>
      </c>
      <c r="AL3118" s="54">
        <f>IF(AK3118&lt;&gt;"",AK3118,N(AL3117))</f>
        <v/>
      </c>
    </row>
    <row r="3119">
      <c r="A3119" t="inlineStr">
        <is>
          <t>ONS-1040</t>
        </is>
      </c>
      <c r="B3119" t="inlineStr">
        <is>
          <t>Onsite</t>
        </is>
      </c>
      <c r="AB3119" t="n">
        <v>1040</v>
      </c>
      <c r="AD3119" s="52">
        <f>IFERROR(N(IFERROR(INDEX($A3119:$AB3119,MATCH("Xero Invoiced Ex GST",$A$1:$AB$1,0)),"")),0)</f>
        <v/>
      </c>
      <c r="AE3119" s="53">
        <f>IFERROR(INDEX($A3119:$AB3119,MATCH("Xero Invoice Date",$A$1:$AB$1,0)),"")</f>
        <v/>
      </c>
      <c r="AF3119" s="54">
        <f>IF(AND(IFERROR(INDEX($A3119:$AB3119,MATCH("Xero Invoice No",$A$1:$AB$1,0)),"")&amp;""&lt;&gt;"",ISNUMBER(AE3119),AD3119&lt;&gt;0),1,0)</f>
        <v/>
      </c>
      <c r="AG3119" s="55">
        <f>IF(AF3119=1,EOMONTH(AE3119,0),"")</f>
        <v/>
      </c>
      <c r="AH3119" s="9">
        <f>IF(AF3119=1,UPPER(TRIM(IFERROR(INDEX($A3119:$AB3119,MATCH("Client",$A$1:$AB$1,0)),"")&amp;"")),"")</f>
        <v/>
      </c>
      <c r="AI3119" s="9">
        <f>IF(AF3119=1,IFERROR(INDEX($A3119:$AB3119,MATCH("Cost Centre",$A$1:$AB$1,0)),"")&amp;"","")</f>
        <v/>
      </c>
      <c r="AJ3119" s="54">
        <f>IF(AND(AF3119=1,AE3119&gt;=set_FYStart,AE3119&lt;=set_AsAt),1,0)</f>
        <v/>
      </c>
      <c r="AK3119" s="54">
        <f>IF(AND(AJ3119=1,AH3119&lt;&gt;"",COUNTIFS($AH$2:AH3119,AH3119,$AJ$2:AJ3119,1)=1),N(AL3118)+1,"")</f>
        <v/>
      </c>
      <c r="AL3119" s="54">
        <f>IF(AK3119&lt;&gt;"",AK3119,N(AL3118))</f>
        <v/>
      </c>
    </row>
    <row r="3120">
      <c r="A3120" t="inlineStr">
        <is>
          <t>PRD-1040</t>
        </is>
      </c>
      <c r="B3120" t="inlineStr">
        <is>
          <t>Production</t>
        </is>
      </c>
      <c r="AB3120" t="n">
        <v>1040</v>
      </c>
      <c r="AD3120" s="52">
        <f>IFERROR(N(IFERROR(INDEX($A3120:$AB3120,MATCH("Xero Invoiced Ex GST",$A$1:$AB$1,0)),"")),0)</f>
        <v/>
      </c>
      <c r="AE3120" s="53">
        <f>IFERROR(INDEX($A3120:$AB3120,MATCH("Xero Invoice Date",$A$1:$AB$1,0)),"")</f>
        <v/>
      </c>
      <c r="AF3120" s="54">
        <f>IF(AND(IFERROR(INDEX($A3120:$AB3120,MATCH("Xero Invoice No",$A$1:$AB$1,0)),"")&amp;""&lt;&gt;"",ISNUMBER(AE3120),AD3120&lt;&gt;0),1,0)</f>
        <v/>
      </c>
      <c r="AG3120" s="55">
        <f>IF(AF3120=1,EOMONTH(AE3120,0),"")</f>
        <v/>
      </c>
      <c r="AH3120" s="9">
        <f>IF(AF3120=1,UPPER(TRIM(IFERROR(INDEX($A3120:$AB3120,MATCH("Client",$A$1:$AB$1,0)),"")&amp;"")),"")</f>
        <v/>
      </c>
      <c r="AI3120" s="9">
        <f>IF(AF3120=1,IFERROR(INDEX($A3120:$AB3120,MATCH("Cost Centre",$A$1:$AB$1,0)),"")&amp;"","")</f>
        <v/>
      </c>
      <c r="AJ3120" s="54">
        <f>IF(AND(AF3120=1,AE3120&gt;=set_FYStart,AE3120&lt;=set_AsAt),1,0)</f>
        <v/>
      </c>
      <c r="AK3120" s="54">
        <f>IF(AND(AJ3120=1,AH3120&lt;&gt;"",COUNTIFS($AH$2:AH3120,AH3120,$AJ$2:AJ3120,1)=1),N(AL3119)+1,"")</f>
        <v/>
      </c>
      <c r="AL3120" s="54">
        <f>IF(AK3120&lt;&gt;"",AK3120,N(AL3119))</f>
        <v/>
      </c>
    </row>
    <row r="3121">
      <c r="A3121" t="inlineStr">
        <is>
          <t>CON-1040</t>
        </is>
      </c>
      <c r="B3121" t="inlineStr">
        <is>
          <t>Consulting</t>
        </is>
      </c>
      <c r="AB3121" t="n">
        <v>1040</v>
      </c>
      <c r="AD3121" s="52">
        <f>IFERROR(N(IFERROR(INDEX($A3121:$AB3121,MATCH("Xero Invoiced Ex GST",$A$1:$AB$1,0)),"")),0)</f>
        <v/>
      </c>
      <c r="AE3121" s="53">
        <f>IFERROR(INDEX($A3121:$AB3121,MATCH("Xero Invoice Date",$A$1:$AB$1,0)),"")</f>
        <v/>
      </c>
      <c r="AF3121" s="54">
        <f>IF(AND(IFERROR(INDEX($A3121:$AB3121,MATCH("Xero Invoice No",$A$1:$AB$1,0)),"")&amp;""&lt;&gt;"",ISNUMBER(AE3121),AD3121&lt;&gt;0),1,0)</f>
        <v/>
      </c>
      <c r="AG3121" s="55">
        <f>IF(AF3121=1,EOMONTH(AE3121,0),"")</f>
        <v/>
      </c>
      <c r="AH3121" s="9">
        <f>IF(AF3121=1,UPPER(TRIM(IFERROR(INDEX($A3121:$AB3121,MATCH("Client",$A$1:$AB$1,0)),"")&amp;"")),"")</f>
        <v/>
      </c>
      <c r="AI3121" s="9">
        <f>IF(AF3121=1,IFERROR(INDEX($A3121:$AB3121,MATCH("Cost Centre",$A$1:$AB$1,0)),"")&amp;"","")</f>
        <v/>
      </c>
      <c r="AJ3121" s="54">
        <f>IF(AND(AF3121=1,AE3121&gt;=set_FYStart,AE3121&lt;=set_AsAt),1,0)</f>
        <v/>
      </c>
      <c r="AK3121" s="54">
        <f>IF(AND(AJ3121=1,AH3121&lt;&gt;"",COUNTIFS($AH$2:AH3121,AH3121,$AJ$2:AJ3121,1)=1),N(AL3120)+1,"")</f>
        <v/>
      </c>
      <c r="AL3121" s="54">
        <f>IF(AK3121&lt;&gt;"",AK3121,N(AL3120))</f>
        <v/>
      </c>
    </row>
    <row r="3122">
      <c r="A3122" t="inlineStr">
        <is>
          <t>ONS-1041</t>
        </is>
      </c>
      <c r="B3122" t="inlineStr">
        <is>
          <t>Onsite</t>
        </is>
      </c>
      <c r="AB3122" t="n">
        <v>1041</v>
      </c>
      <c r="AD3122" s="52">
        <f>IFERROR(N(IFERROR(INDEX($A3122:$AB3122,MATCH("Xero Invoiced Ex GST",$A$1:$AB$1,0)),"")),0)</f>
        <v/>
      </c>
      <c r="AE3122" s="53">
        <f>IFERROR(INDEX($A3122:$AB3122,MATCH("Xero Invoice Date",$A$1:$AB$1,0)),"")</f>
        <v/>
      </c>
      <c r="AF3122" s="54">
        <f>IF(AND(IFERROR(INDEX($A3122:$AB3122,MATCH("Xero Invoice No",$A$1:$AB$1,0)),"")&amp;""&lt;&gt;"",ISNUMBER(AE3122),AD3122&lt;&gt;0),1,0)</f>
        <v/>
      </c>
      <c r="AG3122" s="55">
        <f>IF(AF3122=1,EOMONTH(AE3122,0),"")</f>
        <v/>
      </c>
      <c r="AH3122" s="9">
        <f>IF(AF3122=1,UPPER(TRIM(IFERROR(INDEX($A3122:$AB3122,MATCH("Client",$A$1:$AB$1,0)),"")&amp;"")),"")</f>
        <v/>
      </c>
      <c r="AI3122" s="9">
        <f>IF(AF3122=1,IFERROR(INDEX($A3122:$AB3122,MATCH("Cost Centre",$A$1:$AB$1,0)),"")&amp;"","")</f>
        <v/>
      </c>
      <c r="AJ3122" s="54">
        <f>IF(AND(AF3122=1,AE3122&gt;=set_FYStart,AE3122&lt;=set_AsAt),1,0)</f>
        <v/>
      </c>
      <c r="AK3122" s="54">
        <f>IF(AND(AJ3122=1,AH3122&lt;&gt;"",COUNTIFS($AH$2:AH3122,AH3122,$AJ$2:AJ3122,1)=1),N(AL3121)+1,"")</f>
        <v/>
      </c>
      <c r="AL3122" s="54">
        <f>IF(AK3122&lt;&gt;"",AK3122,N(AL3121))</f>
        <v/>
      </c>
    </row>
    <row r="3123">
      <c r="A3123" t="inlineStr">
        <is>
          <t>PRD-1041</t>
        </is>
      </c>
      <c r="B3123" t="inlineStr">
        <is>
          <t>Production</t>
        </is>
      </c>
      <c r="AB3123" t="n">
        <v>1041</v>
      </c>
      <c r="AD3123" s="52">
        <f>IFERROR(N(IFERROR(INDEX($A3123:$AB3123,MATCH("Xero Invoiced Ex GST",$A$1:$AB$1,0)),"")),0)</f>
        <v/>
      </c>
      <c r="AE3123" s="53">
        <f>IFERROR(INDEX($A3123:$AB3123,MATCH("Xero Invoice Date",$A$1:$AB$1,0)),"")</f>
        <v/>
      </c>
      <c r="AF3123" s="54">
        <f>IF(AND(IFERROR(INDEX($A3123:$AB3123,MATCH("Xero Invoice No",$A$1:$AB$1,0)),"")&amp;""&lt;&gt;"",ISNUMBER(AE3123),AD3123&lt;&gt;0),1,0)</f>
        <v/>
      </c>
      <c r="AG3123" s="55">
        <f>IF(AF3123=1,EOMONTH(AE3123,0),"")</f>
        <v/>
      </c>
      <c r="AH3123" s="9">
        <f>IF(AF3123=1,UPPER(TRIM(IFERROR(INDEX($A3123:$AB3123,MATCH("Client",$A$1:$AB$1,0)),"")&amp;"")),"")</f>
        <v/>
      </c>
      <c r="AI3123" s="9">
        <f>IF(AF3123=1,IFERROR(INDEX($A3123:$AB3123,MATCH("Cost Centre",$A$1:$AB$1,0)),"")&amp;"","")</f>
        <v/>
      </c>
      <c r="AJ3123" s="54">
        <f>IF(AND(AF3123=1,AE3123&gt;=set_FYStart,AE3123&lt;=set_AsAt),1,0)</f>
        <v/>
      </c>
      <c r="AK3123" s="54">
        <f>IF(AND(AJ3123=1,AH3123&lt;&gt;"",COUNTIFS($AH$2:AH3123,AH3123,$AJ$2:AJ3123,1)=1),N(AL3122)+1,"")</f>
        <v/>
      </c>
      <c r="AL3123" s="54">
        <f>IF(AK3123&lt;&gt;"",AK3123,N(AL3122))</f>
        <v/>
      </c>
    </row>
    <row r="3124">
      <c r="A3124" t="inlineStr">
        <is>
          <t>CON-1041</t>
        </is>
      </c>
      <c r="B3124" t="inlineStr">
        <is>
          <t>Consulting</t>
        </is>
      </c>
      <c r="AB3124" t="n">
        <v>1041</v>
      </c>
      <c r="AD3124" s="52">
        <f>IFERROR(N(IFERROR(INDEX($A3124:$AB3124,MATCH("Xero Invoiced Ex GST",$A$1:$AB$1,0)),"")),0)</f>
        <v/>
      </c>
      <c r="AE3124" s="53">
        <f>IFERROR(INDEX($A3124:$AB3124,MATCH("Xero Invoice Date",$A$1:$AB$1,0)),"")</f>
        <v/>
      </c>
      <c r="AF3124" s="54">
        <f>IF(AND(IFERROR(INDEX($A3124:$AB3124,MATCH("Xero Invoice No",$A$1:$AB$1,0)),"")&amp;""&lt;&gt;"",ISNUMBER(AE3124),AD3124&lt;&gt;0),1,0)</f>
        <v/>
      </c>
      <c r="AG3124" s="55">
        <f>IF(AF3124=1,EOMONTH(AE3124,0),"")</f>
        <v/>
      </c>
      <c r="AH3124" s="9">
        <f>IF(AF3124=1,UPPER(TRIM(IFERROR(INDEX($A3124:$AB3124,MATCH("Client",$A$1:$AB$1,0)),"")&amp;"")),"")</f>
        <v/>
      </c>
      <c r="AI3124" s="9">
        <f>IF(AF3124=1,IFERROR(INDEX($A3124:$AB3124,MATCH("Cost Centre",$A$1:$AB$1,0)),"")&amp;"","")</f>
        <v/>
      </c>
      <c r="AJ3124" s="54">
        <f>IF(AND(AF3124=1,AE3124&gt;=set_FYStart,AE3124&lt;=set_AsAt),1,0)</f>
        <v/>
      </c>
      <c r="AK3124" s="54">
        <f>IF(AND(AJ3124=1,AH3124&lt;&gt;"",COUNTIFS($AH$2:AH3124,AH3124,$AJ$2:AJ3124,1)=1),N(AL3123)+1,"")</f>
        <v/>
      </c>
      <c r="AL3124" s="54">
        <f>IF(AK3124&lt;&gt;"",AK3124,N(AL3123))</f>
        <v/>
      </c>
    </row>
    <row r="3125">
      <c r="A3125" t="inlineStr">
        <is>
          <t>ONS-1042</t>
        </is>
      </c>
      <c r="B3125" t="inlineStr">
        <is>
          <t>Onsite</t>
        </is>
      </c>
      <c r="AB3125" t="n">
        <v>1042</v>
      </c>
      <c r="AD3125" s="52">
        <f>IFERROR(N(IFERROR(INDEX($A3125:$AB3125,MATCH("Xero Invoiced Ex GST",$A$1:$AB$1,0)),"")),0)</f>
        <v/>
      </c>
      <c r="AE3125" s="53">
        <f>IFERROR(INDEX($A3125:$AB3125,MATCH("Xero Invoice Date",$A$1:$AB$1,0)),"")</f>
        <v/>
      </c>
      <c r="AF3125" s="54">
        <f>IF(AND(IFERROR(INDEX($A3125:$AB3125,MATCH("Xero Invoice No",$A$1:$AB$1,0)),"")&amp;""&lt;&gt;"",ISNUMBER(AE3125),AD3125&lt;&gt;0),1,0)</f>
        <v/>
      </c>
      <c r="AG3125" s="55">
        <f>IF(AF3125=1,EOMONTH(AE3125,0),"")</f>
        <v/>
      </c>
      <c r="AH3125" s="9">
        <f>IF(AF3125=1,UPPER(TRIM(IFERROR(INDEX($A3125:$AB3125,MATCH("Client",$A$1:$AB$1,0)),"")&amp;"")),"")</f>
        <v/>
      </c>
      <c r="AI3125" s="9">
        <f>IF(AF3125=1,IFERROR(INDEX($A3125:$AB3125,MATCH("Cost Centre",$A$1:$AB$1,0)),"")&amp;"","")</f>
        <v/>
      </c>
      <c r="AJ3125" s="54">
        <f>IF(AND(AF3125=1,AE3125&gt;=set_FYStart,AE3125&lt;=set_AsAt),1,0)</f>
        <v/>
      </c>
      <c r="AK3125" s="54">
        <f>IF(AND(AJ3125=1,AH3125&lt;&gt;"",COUNTIFS($AH$2:AH3125,AH3125,$AJ$2:AJ3125,1)=1),N(AL3124)+1,"")</f>
        <v/>
      </c>
      <c r="AL3125" s="54">
        <f>IF(AK3125&lt;&gt;"",AK3125,N(AL3124))</f>
        <v/>
      </c>
    </row>
    <row r="3126">
      <c r="A3126" t="inlineStr">
        <is>
          <t>PRD-1042</t>
        </is>
      </c>
      <c r="B3126" t="inlineStr">
        <is>
          <t>Production</t>
        </is>
      </c>
      <c r="AB3126" t="n">
        <v>1042</v>
      </c>
      <c r="AD3126" s="52">
        <f>IFERROR(N(IFERROR(INDEX($A3126:$AB3126,MATCH("Xero Invoiced Ex GST",$A$1:$AB$1,0)),"")),0)</f>
        <v/>
      </c>
      <c r="AE3126" s="53">
        <f>IFERROR(INDEX($A3126:$AB3126,MATCH("Xero Invoice Date",$A$1:$AB$1,0)),"")</f>
        <v/>
      </c>
      <c r="AF3126" s="54">
        <f>IF(AND(IFERROR(INDEX($A3126:$AB3126,MATCH("Xero Invoice No",$A$1:$AB$1,0)),"")&amp;""&lt;&gt;"",ISNUMBER(AE3126),AD3126&lt;&gt;0),1,0)</f>
        <v/>
      </c>
      <c r="AG3126" s="55">
        <f>IF(AF3126=1,EOMONTH(AE3126,0),"")</f>
        <v/>
      </c>
      <c r="AH3126" s="9">
        <f>IF(AF3126=1,UPPER(TRIM(IFERROR(INDEX($A3126:$AB3126,MATCH("Client",$A$1:$AB$1,0)),"")&amp;"")),"")</f>
        <v/>
      </c>
      <c r="AI3126" s="9">
        <f>IF(AF3126=1,IFERROR(INDEX($A3126:$AB3126,MATCH("Cost Centre",$A$1:$AB$1,0)),"")&amp;"","")</f>
        <v/>
      </c>
      <c r="AJ3126" s="54">
        <f>IF(AND(AF3126=1,AE3126&gt;=set_FYStart,AE3126&lt;=set_AsAt),1,0)</f>
        <v/>
      </c>
      <c r="AK3126" s="54">
        <f>IF(AND(AJ3126=1,AH3126&lt;&gt;"",COUNTIFS($AH$2:AH3126,AH3126,$AJ$2:AJ3126,1)=1),N(AL3125)+1,"")</f>
        <v/>
      </c>
      <c r="AL3126" s="54">
        <f>IF(AK3126&lt;&gt;"",AK3126,N(AL3125))</f>
        <v/>
      </c>
    </row>
    <row r="3127">
      <c r="A3127" t="inlineStr">
        <is>
          <t>CON-1042</t>
        </is>
      </c>
      <c r="B3127" t="inlineStr">
        <is>
          <t>Consulting</t>
        </is>
      </c>
      <c r="AB3127" t="n">
        <v>1042</v>
      </c>
      <c r="AD3127" s="52">
        <f>IFERROR(N(IFERROR(INDEX($A3127:$AB3127,MATCH("Xero Invoiced Ex GST",$A$1:$AB$1,0)),"")),0)</f>
        <v/>
      </c>
      <c r="AE3127" s="53">
        <f>IFERROR(INDEX($A3127:$AB3127,MATCH("Xero Invoice Date",$A$1:$AB$1,0)),"")</f>
        <v/>
      </c>
      <c r="AF3127" s="54">
        <f>IF(AND(IFERROR(INDEX($A3127:$AB3127,MATCH("Xero Invoice No",$A$1:$AB$1,0)),"")&amp;""&lt;&gt;"",ISNUMBER(AE3127),AD3127&lt;&gt;0),1,0)</f>
        <v/>
      </c>
      <c r="AG3127" s="55">
        <f>IF(AF3127=1,EOMONTH(AE3127,0),"")</f>
        <v/>
      </c>
      <c r="AH3127" s="9">
        <f>IF(AF3127=1,UPPER(TRIM(IFERROR(INDEX($A3127:$AB3127,MATCH("Client",$A$1:$AB$1,0)),"")&amp;"")),"")</f>
        <v/>
      </c>
      <c r="AI3127" s="9">
        <f>IF(AF3127=1,IFERROR(INDEX($A3127:$AB3127,MATCH("Cost Centre",$A$1:$AB$1,0)),"")&amp;"","")</f>
        <v/>
      </c>
      <c r="AJ3127" s="54">
        <f>IF(AND(AF3127=1,AE3127&gt;=set_FYStart,AE3127&lt;=set_AsAt),1,0)</f>
        <v/>
      </c>
      <c r="AK3127" s="54">
        <f>IF(AND(AJ3127=1,AH3127&lt;&gt;"",COUNTIFS($AH$2:AH3127,AH3127,$AJ$2:AJ3127,1)=1),N(AL3126)+1,"")</f>
        <v/>
      </c>
      <c r="AL3127" s="54">
        <f>IF(AK3127&lt;&gt;"",AK3127,N(AL3126))</f>
        <v/>
      </c>
    </row>
    <row r="3128">
      <c r="A3128" t="inlineStr">
        <is>
          <t>ONS-1043</t>
        </is>
      </c>
      <c r="B3128" t="inlineStr">
        <is>
          <t>Onsite</t>
        </is>
      </c>
      <c r="AB3128" t="n">
        <v>1043</v>
      </c>
      <c r="AD3128" s="52">
        <f>IFERROR(N(IFERROR(INDEX($A3128:$AB3128,MATCH("Xero Invoiced Ex GST",$A$1:$AB$1,0)),"")),0)</f>
        <v/>
      </c>
      <c r="AE3128" s="53">
        <f>IFERROR(INDEX($A3128:$AB3128,MATCH("Xero Invoice Date",$A$1:$AB$1,0)),"")</f>
        <v/>
      </c>
      <c r="AF3128" s="54">
        <f>IF(AND(IFERROR(INDEX($A3128:$AB3128,MATCH("Xero Invoice No",$A$1:$AB$1,0)),"")&amp;""&lt;&gt;"",ISNUMBER(AE3128),AD3128&lt;&gt;0),1,0)</f>
        <v/>
      </c>
      <c r="AG3128" s="55">
        <f>IF(AF3128=1,EOMONTH(AE3128,0),"")</f>
        <v/>
      </c>
      <c r="AH3128" s="9">
        <f>IF(AF3128=1,UPPER(TRIM(IFERROR(INDEX($A3128:$AB3128,MATCH("Client",$A$1:$AB$1,0)),"")&amp;"")),"")</f>
        <v/>
      </c>
      <c r="AI3128" s="9">
        <f>IF(AF3128=1,IFERROR(INDEX($A3128:$AB3128,MATCH("Cost Centre",$A$1:$AB$1,0)),"")&amp;"","")</f>
        <v/>
      </c>
      <c r="AJ3128" s="54">
        <f>IF(AND(AF3128=1,AE3128&gt;=set_FYStart,AE3128&lt;=set_AsAt),1,0)</f>
        <v/>
      </c>
      <c r="AK3128" s="54">
        <f>IF(AND(AJ3128=1,AH3128&lt;&gt;"",COUNTIFS($AH$2:AH3128,AH3128,$AJ$2:AJ3128,1)=1),N(AL3127)+1,"")</f>
        <v/>
      </c>
      <c r="AL3128" s="54">
        <f>IF(AK3128&lt;&gt;"",AK3128,N(AL3127))</f>
        <v/>
      </c>
    </row>
    <row r="3129">
      <c r="A3129" t="inlineStr">
        <is>
          <t>PRD-1043</t>
        </is>
      </c>
      <c r="B3129" t="inlineStr">
        <is>
          <t>Production</t>
        </is>
      </c>
      <c r="AB3129" t="n">
        <v>1043</v>
      </c>
      <c r="AD3129" s="52">
        <f>IFERROR(N(IFERROR(INDEX($A3129:$AB3129,MATCH("Xero Invoiced Ex GST",$A$1:$AB$1,0)),"")),0)</f>
        <v/>
      </c>
      <c r="AE3129" s="53">
        <f>IFERROR(INDEX($A3129:$AB3129,MATCH("Xero Invoice Date",$A$1:$AB$1,0)),"")</f>
        <v/>
      </c>
      <c r="AF3129" s="54">
        <f>IF(AND(IFERROR(INDEX($A3129:$AB3129,MATCH("Xero Invoice No",$A$1:$AB$1,0)),"")&amp;""&lt;&gt;"",ISNUMBER(AE3129),AD3129&lt;&gt;0),1,0)</f>
        <v/>
      </c>
      <c r="AG3129" s="55">
        <f>IF(AF3129=1,EOMONTH(AE3129,0),"")</f>
        <v/>
      </c>
      <c r="AH3129" s="9">
        <f>IF(AF3129=1,UPPER(TRIM(IFERROR(INDEX($A3129:$AB3129,MATCH("Client",$A$1:$AB$1,0)),"")&amp;"")),"")</f>
        <v/>
      </c>
      <c r="AI3129" s="9">
        <f>IF(AF3129=1,IFERROR(INDEX($A3129:$AB3129,MATCH("Cost Centre",$A$1:$AB$1,0)),"")&amp;"","")</f>
        <v/>
      </c>
      <c r="AJ3129" s="54">
        <f>IF(AND(AF3129=1,AE3129&gt;=set_FYStart,AE3129&lt;=set_AsAt),1,0)</f>
        <v/>
      </c>
      <c r="AK3129" s="54">
        <f>IF(AND(AJ3129=1,AH3129&lt;&gt;"",COUNTIFS($AH$2:AH3129,AH3129,$AJ$2:AJ3129,1)=1),N(AL3128)+1,"")</f>
        <v/>
      </c>
      <c r="AL3129" s="54">
        <f>IF(AK3129&lt;&gt;"",AK3129,N(AL3128))</f>
        <v/>
      </c>
    </row>
    <row r="3130">
      <c r="A3130" t="inlineStr">
        <is>
          <t>CON-1043</t>
        </is>
      </c>
      <c r="B3130" t="inlineStr">
        <is>
          <t>Consulting</t>
        </is>
      </c>
      <c r="AB3130" t="n">
        <v>1043</v>
      </c>
      <c r="AD3130" s="52">
        <f>IFERROR(N(IFERROR(INDEX($A3130:$AB3130,MATCH("Xero Invoiced Ex GST",$A$1:$AB$1,0)),"")),0)</f>
        <v/>
      </c>
      <c r="AE3130" s="53">
        <f>IFERROR(INDEX($A3130:$AB3130,MATCH("Xero Invoice Date",$A$1:$AB$1,0)),"")</f>
        <v/>
      </c>
      <c r="AF3130" s="54">
        <f>IF(AND(IFERROR(INDEX($A3130:$AB3130,MATCH("Xero Invoice No",$A$1:$AB$1,0)),"")&amp;""&lt;&gt;"",ISNUMBER(AE3130),AD3130&lt;&gt;0),1,0)</f>
        <v/>
      </c>
      <c r="AG3130" s="55">
        <f>IF(AF3130=1,EOMONTH(AE3130,0),"")</f>
        <v/>
      </c>
      <c r="AH3130" s="9">
        <f>IF(AF3130=1,UPPER(TRIM(IFERROR(INDEX($A3130:$AB3130,MATCH("Client",$A$1:$AB$1,0)),"")&amp;"")),"")</f>
        <v/>
      </c>
      <c r="AI3130" s="9">
        <f>IF(AF3130=1,IFERROR(INDEX($A3130:$AB3130,MATCH("Cost Centre",$A$1:$AB$1,0)),"")&amp;"","")</f>
        <v/>
      </c>
      <c r="AJ3130" s="54">
        <f>IF(AND(AF3130=1,AE3130&gt;=set_FYStart,AE3130&lt;=set_AsAt),1,0)</f>
        <v/>
      </c>
      <c r="AK3130" s="54">
        <f>IF(AND(AJ3130=1,AH3130&lt;&gt;"",COUNTIFS($AH$2:AH3130,AH3130,$AJ$2:AJ3130,1)=1),N(AL3129)+1,"")</f>
        <v/>
      </c>
      <c r="AL3130" s="54">
        <f>IF(AK3130&lt;&gt;"",AK3130,N(AL3129))</f>
        <v/>
      </c>
    </row>
    <row r="3131">
      <c r="A3131" t="inlineStr">
        <is>
          <t>ONS-1044</t>
        </is>
      </c>
      <c r="B3131" t="inlineStr">
        <is>
          <t>Onsite</t>
        </is>
      </c>
      <c r="AB3131" t="n">
        <v>1044</v>
      </c>
      <c r="AD3131" s="52">
        <f>IFERROR(N(IFERROR(INDEX($A3131:$AB3131,MATCH("Xero Invoiced Ex GST",$A$1:$AB$1,0)),"")),0)</f>
        <v/>
      </c>
      <c r="AE3131" s="53">
        <f>IFERROR(INDEX($A3131:$AB3131,MATCH("Xero Invoice Date",$A$1:$AB$1,0)),"")</f>
        <v/>
      </c>
      <c r="AF3131" s="54">
        <f>IF(AND(IFERROR(INDEX($A3131:$AB3131,MATCH("Xero Invoice No",$A$1:$AB$1,0)),"")&amp;""&lt;&gt;"",ISNUMBER(AE3131),AD3131&lt;&gt;0),1,0)</f>
        <v/>
      </c>
      <c r="AG3131" s="55">
        <f>IF(AF3131=1,EOMONTH(AE3131,0),"")</f>
        <v/>
      </c>
      <c r="AH3131" s="9">
        <f>IF(AF3131=1,UPPER(TRIM(IFERROR(INDEX($A3131:$AB3131,MATCH("Client",$A$1:$AB$1,0)),"")&amp;"")),"")</f>
        <v/>
      </c>
      <c r="AI3131" s="9">
        <f>IF(AF3131=1,IFERROR(INDEX($A3131:$AB3131,MATCH("Cost Centre",$A$1:$AB$1,0)),"")&amp;"","")</f>
        <v/>
      </c>
      <c r="AJ3131" s="54">
        <f>IF(AND(AF3131=1,AE3131&gt;=set_FYStart,AE3131&lt;=set_AsAt),1,0)</f>
        <v/>
      </c>
      <c r="AK3131" s="54">
        <f>IF(AND(AJ3131=1,AH3131&lt;&gt;"",COUNTIFS($AH$2:AH3131,AH3131,$AJ$2:AJ3131,1)=1),N(AL3130)+1,"")</f>
        <v/>
      </c>
      <c r="AL3131" s="54">
        <f>IF(AK3131&lt;&gt;"",AK3131,N(AL3130))</f>
        <v/>
      </c>
    </row>
    <row r="3132">
      <c r="A3132" t="inlineStr">
        <is>
          <t>PRD-1044</t>
        </is>
      </c>
      <c r="B3132" t="inlineStr">
        <is>
          <t>Production</t>
        </is>
      </c>
      <c r="AB3132" t="n">
        <v>1044</v>
      </c>
      <c r="AD3132" s="52">
        <f>IFERROR(N(IFERROR(INDEX($A3132:$AB3132,MATCH("Xero Invoiced Ex GST",$A$1:$AB$1,0)),"")),0)</f>
        <v/>
      </c>
      <c r="AE3132" s="53">
        <f>IFERROR(INDEX($A3132:$AB3132,MATCH("Xero Invoice Date",$A$1:$AB$1,0)),"")</f>
        <v/>
      </c>
      <c r="AF3132" s="54">
        <f>IF(AND(IFERROR(INDEX($A3132:$AB3132,MATCH("Xero Invoice No",$A$1:$AB$1,0)),"")&amp;""&lt;&gt;"",ISNUMBER(AE3132),AD3132&lt;&gt;0),1,0)</f>
        <v/>
      </c>
      <c r="AG3132" s="55">
        <f>IF(AF3132=1,EOMONTH(AE3132,0),"")</f>
        <v/>
      </c>
      <c r="AH3132" s="9">
        <f>IF(AF3132=1,UPPER(TRIM(IFERROR(INDEX($A3132:$AB3132,MATCH("Client",$A$1:$AB$1,0)),"")&amp;"")),"")</f>
        <v/>
      </c>
      <c r="AI3132" s="9">
        <f>IF(AF3132=1,IFERROR(INDEX($A3132:$AB3132,MATCH("Cost Centre",$A$1:$AB$1,0)),"")&amp;"","")</f>
        <v/>
      </c>
      <c r="AJ3132" s="54">
        <f>IF(AND(AF3132=1,AE3132&gt;=set_FYStart,AE3132&lt;=set_AsAt),1,0)</f>
        <v/>
      </c>
      <c r="AK3132" s="54">
        <f>IF(AND(AJ3132=1,AH3132&lt;&gt;"",COUNTIFS($AH$2:AH3132,AH3132,$AJ$2:AJ3132,1)=1),N(AL3131)+1,"")</f>
        <v/>
      </c>
      <c r="AL3132" s="54">
        <f>IF(AK3132&lt;&gt;"",AK3132,N(AL3131))</f>
        <v/>
      </c>
    </row>
    <row r="3133">
      <c r="A3133" t="inlineStr">
        <is>
          <t>CON-1044</t>
        </is>
      </c>
      <c r="B3133" t="inlineStr">
        <is>
          <t>Consulting</t>
        </is>
      </c>
      <c r="AB3133" t="n">
        <v>1044</v>
      </c>
      <c r="AD3133" s="52">
        <f>IFERROR(N(IFERROR(INDEX($A3133:$AB3133,MATCH("Xero Invoiced Ex GST",$A$1:$AB$1,0)),"")),0)</f>
        <v/>
      </c>
      <c r="AE3133" s="53">
        <f>IFERROR(INDEX($A3133:$AB3133,MATCH("Xero Invoice Date",$A$1:$AB$1,0)),"")</f>
        <v/>
      </c>
      <c r="AF3133" s="54">
        <f>IF(AND(IFERROR(INDEX($A3133:$AB3133,MATCH("Xero Invoice No",$A$1:$AB$1,0)),"")&amp;""&lt;&gt;"",ISNUMBER(AE3133),AD3133&lt;&gt;0),1,0)</f>
        <v/>
      </c>
      <c r="AG3133" s="55">
        <f>IF(AF3133=1,EOMONTH(AE3133,0),"")</f>
        <v/>
      </c>
      <c r="AH3133" s="9">
        <f>IF(AF3133=1,UPPER(TRIM(IFERROR(INDEX($A3133:$AB3133,MATCH("Client",$A$1:$AB$1,0)),"")&amp;"")),"")</f>
        <v/>
      </c>
      <c r="AI3133" s="9">
        <f>IF(AF3133=1,IFERROR(INDEX($A3133:$AB3133,MATCH("Cost Centre",$A$1:$AB$1,0)),"")&amp;"","")</f>
        <v/>
      </c>
      <c r="AJ3133" s="54">
        <f>IF(AND(AF3133=1,AE3133&gt;=set_FYStart,AE3133&lt;=set_AsAt),1,0)</f>
        <v/>
      </c>
      <c r="AK3133" s="54">
        <f>IF(AND(AJ3133=1,AH3133&lt;&gt;"",COUNTIFS($AH$2:AH3133,AH3133,$AJ$2:AJ3133,1)=1),N(AL3132)+1,"")</f>
        <v/>
      </c>
      <c r="AL3133" s="54">
        <f>IF(AK3133&lt;&gt;"",AK3133,N(AL3132))</f>
        <v/>
      </c>
    </row>
    <row r="3134">
      <c r="A3134" t="inlineStr">
        <is>
          <t>ONS-1045</t>
        </is>
      </c>
      <c r="B3134" t="inlineStr">
        <is>
          <t>Onsite</t>
        </is>
      </c>
      <c r="AB3134" t="n">
        <v>1045</v>
      </c>
      <c r="AD3134" s="52">
        <f>IFERROR(N(IFERROR(INDEX($A3134:$AB3134,MATCH("Xero Invoiced Ex GST",$A$1:$AB$1,0)),"")),0)</f>
        <v/>
      </c>
      <c r="AE3134" s="53">
        <f>IFERROR(INDEX($A3134:$AB3134,MATCH("Xero Invoice Date",$A$1:$AB$1,0)),"")</f>
        <v/>
      </c>
      <c r="AF3134" s="54">
        <f>IF(AND(IFERROR(INDEX($A3134:$AB3134,MATCH("Xero Invoice No",$A$1:$AB$1,0)),"")&amp;""&lt;&gt;"",ISNUMBER(AE3134),AD3134&lt;&gt;0),1,0)</f>
        <v/>
      </c>
      <c r="AG3134" s="55">
        <f>IF(AF3134=1,EOMONTH(AE3134,0),"")</f>
        <v/>
      </c>
      <c r="AH3134" s="9">
        <f>IF(AF3134=1,UPPER(TRIM(IFERROR(INDEX($A3134:$AB3134,MATCH("Client",$A$1:$AB$1,0)),"")&amp;"")),"")</f>
        <v/>
      </c>
      <c r="AI3134" s="9">
        <f>IF(AF3134=1,IFERROR(INDEX($A3134:$AB3134,MATCH("Cost Centre",$A$1:$AB$1,0)),"")&amp;"","")</f>
        <v/>
      </c>
      <c r="AJ3134" s="54">
        <f>IF(AND(AF3134=1,AE3134&gt;=set_FYStart,AE3134&lt;=set_AsAt),1,0)</f>
        <v/>
      </c>
      <c r="AK3134" s="54">
        <f>IF(AND(AJ3134=1,AH3134&lt;&gt;"",COUNTIFS($AH$2:AH3134,AH3134,$AJ$2:AJ3134,1)=1),N(AL3133)+1,"")</f>
        <v/>
      </c>
      <c r="AL3134" s="54">
        <f>IF(AK3134&lt;&gt;"",AK3134,N(AL3133))</f>
        <v/>
      </c>
    </row>
    <row r="3135">
      <c r="A3135" t="inlineStr">
        <is>
          <t>PRD-1045</t>
        </is>
      </c>
      <c r="B3135" t="inlineStr">
        <is>
          <t>Production</t>
        </is>
      </c>
      <c r="AB3135" t="n">
        <v>1045</v>
      </c>
      <c r="AD3135" s="52">
        <f>IFERROR(N(IFERROR(INDEX($A3135:$AB3135,MATCH("Xero Invoiced Ex GST",$A$1:$AB$1,0)),"")),0)</f>
        <v/>
      </c>
      <c r="AE3135" s="53">
        <f>IFERROR(INDEX($A3135:$AB3135,MATCH("Xero Invoice Date",$A$1:$AB$1,0)),"")</f>
        <v/>
      </c>
      <c r="AF3135" s="54">
        <f>IF(AND(IFERROR(INDEX($A3135:$AB3135,MATCH("Xero Invoice No",$A$1:$AB$1,0)),"")&amp;""&lt;&gt;"",ISNUMBER(AE3135),AD3135&lt;&gt;0),1,0)</f>
        <v/>
      </c>
      <c r="AG3135" s="55">
        <f>IF(AF3135=1,EOMONTH(AE3135,0),"")</f>
        <v/>
      </c>
      <c r="AH3135" s="9">
        <f>IF(AF3135=1,UPPER(TRIM(IFERROR(INDEX($A3135:$AB3135,MATCH("Client",$A$1:$AB$1,0)),"")&amp;"")),"")</f>
        <v/>
      </c>
      <c r="AI3135" s="9">
        <f>IF(AF3135=1,IFERROR(INDEX($A3135:$AB3135,MATCH("Cost Centre",$A$1:$AB$1,0)),"")&amp;"","")</f>
        <v/>
      </c>
      <c r="AJ3135" s="54">
        <f>IF(AND(AF3135=1,AE3135&gt;=set_FYStart,AE3135&lt;=set_AsAt),1,0)</f>
        <v/>
      </c>
      <c r="AK3135" s="54">
        <f>IF(AND(AJ3135=1,AH3135&lt;&gt;"",COUNTIFS($AH$2:AH3135,AH3135,$AJ$2:AJ3135,1)=1),N(AL3134)+1,"")</f>
        <v/>
      </c>
      <c r="AL3135" s="54">
        <f>IF(AK3135&lt;&gt;"",AK3135,N(AL3134))</f>
        <v/>
      </c>
    </row>
    <row r="3136">
      <c r="A3136" t="inlineStr">
        <is>
          <t>CON-1045</t>
        </is>
      </c>
      <c r="B3136" t="inlineStr">
        <is>
          <t>Consulting</t>
        </is>
      </c>
      <c r="AB3136" t="n">
        <v>1045</v>
      </c>
      <c r="AD3136" s="52">
        <f>IFERROR(N(IFERROR(INDEX($A3136:$AB3136,MATCH("Xero Invoiced Ex GST",$A$1:$AB$1,0)),"")),0)</f>
        <v/>
      </c>
      <c r="AE3136" s="53">
        <f>IFERROR(INDEX($A3136:$AB3136,MATCH("Xero Invoice Date",$A$1:$AB$1,0)),"")</f>
        <v/>
      </c>
      <c r="AF3136" s="54">
        <f>IF(AND(IFERROR(INDEX($A3136:$AB3136,MATCH("Xero Invoice No",$A$1:$AB$1,0)),"")&amp;""&lt;&gt;"",ISNUMBER(AE3136),AD3136&lt;&gt;0),1,0)</f>
        <v/>
      </c>
      <c r="AG3136" s="55">
        <f>IF(AF3136=1,EOMONTH(AE3136,0),"")</f>
        <v/>
      </c>
      <c r="AH3136" s="9">
        <f>IF(AF3136=1,UPPER(TRIM(IFERROR(INDEX($A3136:$AB3136,MATCH("Client",$A$1:$AB$1,0)),"")&amp;"")),"")</f>
        <v/>
      </c>
      <c r="AI3136" s="9">
        <f>IF(AF3136=1,IFERROR(INDEX($A3136:$AB3136,MATCH("Cost Centre",$A$1:$AB$1,0)),"")&amp;"","")</f>
        <v/>
      </c>
      <c r="AJ3136" s="54">
        <f>IF(AND(AF3136=1,AE3136&gt;=set_FYStart,AE3136&lt;=set_AsAt),1,0)</f>
        <v/>
      </c>
      <c r="AK3136" s="54">
        <f>IF(AND(AJ3136=1,AH3136&lt;&gt;"",COUNTIFS($AH$2:AH3136,AH3136,$AJ$2:AJ3136,1)=1),N(AL3135)+1,"")</f>
        <v/>
      </c>
      <c r="AL3136" s="54">
        <f>IF(AK3136&lt;&gt;"",AK3136,N(AL3135))</f>
        <v/>
      </c>
    </row>
    <row r="3137">
      <c r="A3137" t="inlineStr">
        <is>
          <t>ONS-1046</t>
        </is>
      </c>
      <c r="B3137" t="inlineStr">
        <is>
          <t>Onsite</t>
        </is>
      </c>
      <c r="AB3137" t="n">
        <v>1046</v>
      </c>
      <c r="AD3137" s="52">
        <f>IFERROR(N(IFERROR(INDEX($A3137:$AB3137,MATCH("Xero Invoiced Ex GST",$A$1:$AB$1,0)),"")),0)</f>
        <v/>
      </c>
      <c r="AE3137" s="53">
        <f>IFERROR(INDEX($A3137:$AB3137,MATCH("Xero Invoice Date",$A$1:$AB$1,0)),"")</f>
        <v/>
      </c>
      <c r="AF3137" s="54">
        <f>IF(AND(IFERROR(INDEX($A3137:$AB3137,MATCH("Xero Invoice No",$A$1:$AB$1,0)),"")&amp;""&lt;&gt;"",ISNUMBER(AE3137),AD3137&lt;&gt;0),1,0)</f>
        <v/>
      </c>
      <c r="AG3137" s="55">
        <f>IF(AF3137=1,EOMONTH(AE3137,0),"")</f>
        <v/>
      </c>
      <c r="AH3137" s="9">
        <f>IF(AF3137=1,UPPER(TRIM(IFERROR(INDEX($A3137:$AB3137,MATCH("Client",$A$1:$AB$1,0)),"")&amp;"")),"")</f>
        <v/>
      </c>
      <c r="AI3137" s="9">
        <f>IF(AF3137=1,IFERROR(INDEX($A3137:$AB3137,MATCH("Cost Centre",$A$1:$AB$1,0)),"")&amp;"","")</f>
        <v/>
      </c>
      <c r="AJ3137" s="54">
        <f>IF(AND(AF3137=1,AE3137&gt;=set_FYStart,AE3137&lt;=set_AsAt),1,0)</f>
        <v/>
      </c>
      <c r="AK3137" s="54">
        <f>IF(AND(AJ3137=1,AH3137&lt;&gt;"",COUNTIFS($AH$2:AH3137,AH3137,$AJ$2:AJ3137,1)=1),N(AL3136)+1,"")</f>
        <v/>
      </c>
      <c r="AL3137" s="54">
        <f>IF(AK3137&lt;&gt;"",AK3137,N(AL3136))</f>
        <v/>
      </c>
    </row>
    <row r="3138">
      <c r="A3138" t="inlineStr">
        <is>
          <t>PRD-1046</t>
        </is>
      </c>
      <c r="B3138" t="inlineStr">
        <is>
          <t>Production</t>
        </is>
      </c>
      <c r="AB3138" t="n">
        <v>1046</v>
      </c>
      <c r="AD3138" s="52">
        <f>IFERROR(N(IFERROR(INDEX($A3138:$AB3138,MATCH("Xero Invoiced Ex GST",$A$1:$AB$1,0)),"")),0)</f>
        <v/>
      </c>
      <c r="AE3138" s="53">
        <f>IFERROR(INDEX($A3138:$AB3138,MATCH("Xero Invoice Date",$A$1:$AB$1,0)),"")</f>
        <v/>
      </c>
      <c r="AF3138" s="54">
        <f>IF(AND(IFERROR(INDEX($A3138:$AB3138,MATCH("Xero Invoice No",$A$1:$AB$1,0)),"")&amp;""&lt;&gt;"",ISNUMBER(AE3138),AD3138&lt;&gt;0),1,0)</f>
        <v/>
      </c>
      <c r="AG3138" s="55">
        <f>IF(AF3138=1,EOMONTH(AE3138,0),"")</f>
        <v/>
      </c>
      <c r="AH3138" s="9">
        <f>IF(AF3138=1,UPPER(TRIM(IFERROR(INDEX($A3138:$AB3138,MATCH("Client",$A$1:$AB$1,0)),"")&amp;"")),"")</f>
        <v/>
      </c>
      <c r="AI3138" s="9">
        <f>IF(AF3138=1,IFERROR(INDEX($A3138:$AB3138,MATCH("Cost Centre",$A$1:$AB$1,0)),"")&amp;"","")</f>
        <v/>
      </c>
      <c r="AJ3138" s="54">
        <f>IF(AND(AF3138=1,AE3138&gt;=set_FYStart,AE3138&lt;=set_AsAt),1,0)</f>
        <v/>
      </c>
      <c r="AK3138" s="54">
        <f>IF(AND(AJ3138=1,AH3138&lt;&gt;"",COUNTIFS($AH$2:AH3138,AH3138,$AJ$2:AJ3138,1)=1),N(AL3137)+1,"")</f>
        <v/>
      </c>
      <c r="AL3138" s="54">
        <f>IF(AK3138&lt;&gt;"",AK3138,N(AL3137))</f>
        <v/>
      </c>
    </row>
    <row r="3139">
      <c r="A3139" t="inlineStr">
        <is>
          <t>CON-1046</t>
        </is>
      </c>
      <c r="B3139" t="inlineStr">
        <is>
          <t>Consulting</t>
        </is>
      </c>
      <c r="AB3139" t="n">
        <v>1046</v>
      </c>
      <c r="AD3139" s="52">
        <f>IFERROR(N(IFERROR(INDEX($A3139:$AB3139,MATCH("Xero Invoiced Ex GST",$A$1:$AB$1,0)),"")),0)</f>
        <v/>
      </c>
      <c r="AE3139" s="53">
        <f>IFERROR(INDEX($A3139:$AB3139,MATCH("Xero Invoice Date",$A$1:$AB$1,0)),"")</f>
        <v/>
      </c>
      <c r="AF3139" s="54">
        <f>IF(AND(IFERROR(INDEX($A3139:$AB3139,MATCH("Xero Invoice No",$A$1:$AB$1,0)),"")&amp;""&lt;&gt;"",ISNUMBER(AE3139),AD3139&lt;&gt;0),1,0)</f>
        <v/>
      </c>
      <c r="AG3139" s="55">
        <f>IF(AF3139=1,EOMONTH(AE3139,0),"")</f>
        <v/>
      </c>
      <c r="AH3139" s="9">
        <f>IF(AF3139=1,UPPER(TRIM(IFERROR(INDEX($A3139:$AB3139,MATCH("Client",$A$1:$AB$1,0)),"")&amp;"")),"")</f>
        <v/>
      </c>
      <c r="AI3139" s="9">
        <f>IF(AF3139=1,IFERROR(INDEX($A3139:$AB3139,MATCH("Cost Centre",$A$1:$AB$1,0)),"")&amp;"","")</f>
        <v/>
      </c>
      <c r="AJ3139" s="54">
        <f>IF(AND(AF3139=1,AE3139&gt;=set_FYStart,AE3139&lt;=set_AsAt),1,0)</f>
        <v/>
      </c>
      <c r="AK3139" s="54">
        <f>IF(AND(AJ3139=1,AH3139&lt;&gt;"",COUNTIFS($AH$2:AH3139,AH3139,$AJ$2:AJ3139,1)=1),N(AL3138)+1,"")</f>
        <v/>
      </c>
      <c r="AL3139" s="54">
        <f>IF(AK3139&lt;&gt;"",AK3139,N(AL3138))</f>
        <v/>
      </c>
    </row>
    <row r="3140">
      <c r="A3140" t="inlineStr">
        <is>
          <t>ONS-1047</t>
        </is>
      </c>
      <c r="B3140" t="inlineStr">
        <is>
          <t>Onsite</t>
        </is>
      </c>
      <c r="AB3140" t="n">
        <v>1047</v>
      </c>
      <c r="AD3140" s="52">
        <f>IFERROR(N(IFERROR(INDEX($A3140:$AB3140,MATCH("Xero Invoiced Ex GST",$A$1:$AB$1,0)),"")),0)</f>
        <v/>
      </c>
      <c r="AE3140" s="53">
        <f>IFERROR(INDEX($A3140:$AB3140,MATCH("Xero Invoice Date",$A$1:$AB$1,0)),"")</f>
        <v/>
      </c>
      <c r="AF3140" s="54">
        <f>IF(AND(IFERROR(INDEX($A3140:$AB3140,MATCH("Xero Invoice No",$A$1:$AB$1,0)),"")&amp;""&lt;&gt;"",ISNUMBER(AE3140),AD3140&lt;&gt;0),1,0)</f>
        <v/>
      </c>
      <c r="AG3140" s="55">
        <f>IF(AF3140=1,EOMONTH(AE3140,0),"")</f>
        <v/>
      </c>
      <c r="AH3140" s="9">
        <f>IF(AF3140=1,UPPER(TRIM(IFERROR(INDEX($A3140:$AB3140,MATCH("Client",$A$1:$AB$1,0)),"")&amp;"")),"")</f>
        <v/>
      </c>
      <c r="AI3140" s="9">
        <f>IF(AF3140=1,IFERROR(INDEX($A3140:$AB3140,MATCH("Cost Centre",$A$1:$AB$1,0)),"")&amp;"","")</f>
        <v/>
      </c>
      <c r="AJ3140" s="54">
        <f>IF(AND(AF3140=1,AE3140&gt;=set_FYStart,AE3140&lt;=set_AsAt),1,0)</f>
        <v/>
      </c>
      <c r="AK3140" s="54">
        <f>IF(AND(AJ3140=1,AH3140&lt;&gt;"",COUNTIFS($AH$2:AH3140,AH3140,$AJ$2:AJ3140,1)=1),N(AL3139)+1,"")</f>
        <v/>
      </c>
      <c r="AL3140" s="54">
        <f>IF(AK3140&lt;&gt;"",AK3140,N(AL3139))</f>
        <v/>
      </c>
    </row>
    <row r="3141">
      <c r="A3141" t="inlineStr">
        <is>
          <t>PRD-1047</t>
        </is>
      </c>
      <c r="B3141" t="inlineStr">
        <is>
          <t>Production</t>
        </is>
      </c>
      <c r="AB3141" t="n">
        <v>1047</v>
      </c>
      <c r="AD3141" s="52">
        <f>IFERROR(N(IFERROR(INDEX($A3141:$AB3141,MATCH("Xero Invoiced Ex GST",$A$1:$AB$1,0)),"")),0)</f>
        <v/>
      </c>
      <c r="AE3141" s="53">
        <f>IFERROR(INDEX($A3141:$AB3141,MATCH("Xero Invoice Date",$A$1:$AB$1,0)),"")</f>
        <v/>
      </c>
      <c r="AF3141" s="54">
        <f>IF(AND(IFERROR(INDEX($A3141:$AB3141,MATCH("Xero Invoice No",$A$1:$AB$1,0)),"")&amp;""&lt;&gt;"",ISNUMBER(AE3141),AD3141&lt;&gt;0),1,0)</f>
        <v/>
      </c>
      <c r="AG3141" s="55">
        <f>IF(AF3141=1,EOMONTH(AE3141,0),"")</f>
        <v/>
      </c>
      <c r="AH3141" s="9">
        <f>IF(AF3141=1,UPPER(TRIM(IFERROR(INDEX($A3141:$AB3141,MATCH("Client",$A$1:$AB$1,0)),"")&amp;"")),"")</f>
        <v/>
      </c>
      <c r="AI3141" s="9">
        <f>IF(AF3141=1,IFERROR(INDEX($A3141:$AB3141,MATCH("Cost Centre",$A$1:$AB$1,0)),"")&amp;"","")</f>
        <v/>
      </c>
      <c r="AJ3141" s="54">
        <f>IF(AND(AF3141=1,AE3141&gt;=set_FYStart,AE3141&lt;=set_AsAt),1,0)</f>
        <v/>
      </c>
      <c r="AK3141" s="54">
        <f>IF(AND(AJ3141=1,AH3141&lt;&gt;"",COUNTIFS($AH$2:AH3141,AH3141,$AJ$2:AJ3141,1)=1),N(AL3140)+1,"")</f>
        <v/>
      </c>
      <c r="AL3141" s="54">
        <f>IF(AK3141&lt;&gt;"",AK3141,N(AL3140))</f>
        <v/>
      </c>
    </row>
    <row r="3142">
      <c r="A3142" t="inlineStr">
        <is>
          <t>CON-1047</t>
        </is>
      </c>
      <c r="B3142" t="inlineStr">
        <is>
          <t>Consulting</t>
        </is>
      </c>
      <c r="AB3142" t="n">
        <v>1047</v>
      </c>
      <c r="AD3142" s="52">
        <f>IFERROR(N(IFERROR(INDEX($A3142:$AB3142,MATCH("Xero Invoiced Ex GST",$A$1:$AB$1,0)),"")),0)</f>
        <v/>
      </c>
      <c r="AE3142" s="53">
        <f>IFERROR(INDEX($A3142:$AB3142,MATCH("Xero Invoice Date",$A$1:$AB$1,0)),"")</f>
        <v/>
      </c>
      <c r="AF3142" s="54">
        <f>IF(AND(IFERROR(INDEX($A3142:$AB3142,MATCH("Xero Invoice No",$A$1:$AB$1,0)),"")&amp;""&lt;&gt;"",ISNUMBER(AE3142),AD3142&lt;&gt;0),1,0)</f>
        <v/>
      </c>
      <c r="AG3142" s="55">
        <f>IF(AF3142=1,EOMONTH(AE3142,0),"")</f>
        <v/>
      </c>
      <c r="AH3142" s="9">
        <f>IF(AF3142=1,UPPER(TRIM(IFERROR(INDEX($A3142:$AB3142,MATCH("Client",$A$1:$AB$1,0)),"")&amp;"")),"")</f>
        <v/>
      </c>
      <c r="AI3142" s="9">
        <f>IF(AF3142=1,IFERROR(INDEX($A3142:$AB3142,MATCH("Cost Centre",$A$1:$AB$1,0)),"")&amp;"","")</f>
        <v/>
      </c>
      <c r="AJ3142" s="54">
        <f>IF(AND(AF3142=1,AE3142&gt;=set_FYStart,AE3142&lt;=set_AsAt),1,0)</f>
        <v/>
      </c>
      <c r="AK3142" s="54">
        <f>IF(AND(AJ3142=1,AH3142&lt;&gt;"",COUNTIFS($AH$2:AH3142,AH3142,$AJ$2:AJ3142,1)=1),N(AL3141)+1,"")</f>
        <v/>
      </c>
      <c r="AL3142" s="54">
        <f>IF(AK3142&lt;&gt;"",AK3142,N(AL3141))</f>
        <v/>
      </c>
    </row>
    <row r="3143">
      <c r="A3143" t="inlineStr">
        <is>
          <t>ONS-1048</t>
        </is>
      </c>
      <c r="B3143" t="inlineStr">
        <is>
          <t>Onsite</t>
        </is>
      </c>
      <c r="AB3143" t="n">
        <v>1048</v>
      </c>
      <c r="AD3143" s="52">
        <f>IFERROR(N(IFERROR(INDEX($A3143:$AB3143,MATCH("Xero Invoiced Ex GST",$A$1:$AB$1,0)),"")),0)</f>
        <v/>
      </c>
      <c r="AE3143" s="53">
        <f>IFERROR(INDEX($A3143:$AB3143,MATCH("Xero Invoice Date",$A$1:$AB$1,0)),"")</f>
        <v/>
      </c>
      <c r="AF3143" s="54">
        <f>IF(AND(IFERROR(INDEX($A3143:$AB3143,MATCH("Xero Invoice No",$A$1:$AB$1,0)),"")&amp;""&lt;&gt;"",ISNUMBER(AE3143),AD3143&lt;&gt;0),1,0)</f>
        <v/>
      </c>
      <c r="AG3143" s="55">
        <f>IF(AF3143=1,EOMONTH(AE3143,0),"")</f>
        <v/>
      </c>
      <c r="AH3143" s="9">
        <f>IF(AF3143=1,UPPER(TRIM(IFERROR(INDEX($A3143:$AB3143,MATCH("Client",$A$1:$AB$1,0)),"")&amp;"")),"")</f>
        <v/>
      </c>
      <c r="AI3143" s="9">
        <f>IF(AF3143=1,IFERROR(INDEX($A3143:$AB3143,MATCH("Cost Centre",$A$1:$AB$1,0)),"")&amp;"","")</f>
        <v/>
      </c>
      <c r="AJ3143" s="54">
        <f>IF(AND(AF3143=1,AE3143&gt;=set_FYStart,AE3143&lt;=set_AsAt),1,0)</f>
        <v/>
      </c>
      <c r="AK3143" s="54">
        <f>IF(AND(AJ3143=1,AH3143&lt;&gt;"",COUNTIFS($AH$2:AH3143,AH3143,$AJ$2:AJ3143,1)=1),N(AL3142)+1,"")</f>
        <v/>
      </c>
      <c r="AL3143" s="54">
        <f>IF(AK3143&lt;&gt;"",AK3143,N(AL3142))</f>
        <v/>
      </c>
    </row>
    <row r="3144">
      <c r="A3144" t="inlineStr">
        <is>
          <t>PRD-1048</t>
        </is>
      </c>
      <c r="B3144" t="inlineStr">
        <is>
          <t>Production</t>
        </is>
      </c>
      <c r="AB3144" t="n">
        <v>1048</v>
      </c>
      <c r="AD3144" s="52">
        <f>IFERROR(N(IFERROR(INDEX($A3144:$AB3144,MATCH("Xero Invoiced Ex GST",$A$1:$AB$1,0)),"")),0)</f>
        <v/>
      </c>
      <c r="AE3144" s="53">
        <f>IFERROR(INDEX($A3144:$AB3144,MATCH("Xero Invoice Date",$A$1:$AB$1,0)),"")</f>
        <v/>
      </c>
      <c r="AF3144" s="54">
        <f>IF(AND(IFERROR(INDEX($A3144:$AB3144,MATCH("Xero Invoice No",$A$1:$AB$1,0)),"")&amp;""&lt;&gt;"",ISNUMBER(AE3144),AD3144&lt;&gt;0),1,0)</f>
        <v/>
      </c>
      <c r="AG3144" s="55">
        <f>IF(AF3144=1,EOMONTH(AE3144,0),"")</f>
        <v/>
      </c>
      <c r="AH3144" s="9">
        <f>IF(AF3144=1,UPPER(TRIM(IFERROR(INDEX($A3144:$AB3144,MATCH("Client",$A$1:$AB$1,0)),"")&amp;"")),"")</f>
        <v/>
      </c>
      <c r="AI3144" s="9">
        <f>IF(AF3144=1,IFERROR(INDEX($A3144:$AB3144,MATCH("Cost Centre",$A$1:$AB$1,0)),"")&amp;"","")</f>
        <v/>
      </c>
      <c r="AJ3144" s="54">
        <f>IF(AND(AF3144=1,AE3144&gt;=set_FYStart,AE3144&lt;=set_AsAt),1,0)</f>
        <v/>
      </c>
      <c r="AK3144" s="54">
        <f>IF(AND(AJ3144=1,AH3144&lt;&gt;"",COUNTIFS($AH$2:AH3144,AH3144,$AJ$2:AJ3144,1)=1),N(AL3143)+1,"")</f>
        <v/>
      </c>
      <c r="AL3144" s="54">
        <f>IF(AK3144&lt;&gt;"",AK3144,N(AL3143))</f>
        <v/>
      </c>
    </row>
    <row r="3145">
      <c r="A3145" t="inlineStr">
        <is>
          <t>CON-1048</t>
        </is>
      </c>
      <c r="B3145" t="inlineStr">
        <is>
          <t>Consulting</t>
        </is>
      </c>
      <c r="AB3145" t="n">
        <v>1048</v>
      </c>
      <c r="AD3145" s="52">
        <f>IFERROR(N(IFERROR(INDEX($A3145:$AB3145,MATCH("Xero Invoiced Ex GST",$A$1:$AB$1,0)),"")),0)</f>
        <v/>
      </c>
      <c r="AE3145" s="53">
        <f>IFERROR(INDEX($A3145:$AB3145,MATCH("Xero Invoice Date",$A$1:$AB$1,0)),"")</f>
        <v/>
      </c>
      <c r="AF3145" s="54">
        <f>IF(AND(IFERROR(INDEX($A3145:$AB3145,MATCH("Xero Invoice No",$A$1:$AB$1,0)),"")&amp;""&lt;&gt;"",ISNUMBER(AE3145),AD3145&lt;&gt;0),1,0)</f>
        <v/>
      </c>
      <c r="AG3145" s="55">
        <f>IF(AF3145=1,EOMONTH(AE3145,0),"")</f>
        <v/>
      </c>
      <c r="AH3145" s="9">
        <f>IF(AF3145=1,UPPER(TRIM(IFERROR(INDEX($A3145:$AB3145,MATCH("Client",$A$1:$AB$1,0)),"")&amp;"")),"")</f>
        <v/>
      </c>
      <c r="AI3145" s="9">
        <f>IF(AF3145=1,IFERROR(INDEX($A3145:$AB3145,MATCH("Cost Centre",$A$1:$AB$1,0)),"")&amp;"","")</f>
        <v/>
      </c>
      <c r="AJ3145" s="54">
        <f>IF(AND(AF3145=1,AE3145&gt;=set_FYStart,AE3145&lt;=set_AsAt),1,0)</f>
        <v/>
      </c>
      <c r="AK3145" s="54">
        <f>IF(AND(AJ3145=1,AH3145&lt;&gt;"",COUNTIFS($AH$2:AH3145,AH3145,$AJ$2:AJ3145,1)=1),N(AL3144)+1,"")</f>
        <v/>
      </c>
      <c r="AL3145" s="54">
        <f>IF(AK3145&lt;&gt;"",AK3145,N(AL3144))</f>
        <v/>
      </c>
    </row>
    <row r="3146">
      <c r="A3146" t="inlineStr">
        <is>
          <t>ONS-1049</t>
        </is>
      </c>
      <c r="B3146" t="inlineStr">
        <is>
          <t>Onsite</t>
        </is>
      </c>
      <c r="AB3146" t="n">
        <v>1049</v>
      </c>
      <c r="AD3146" s="52">
        <f>IFERROR(N(IFERROR(INDEX($A3146:$AB3146,MATCH("Xero Invoiced Ex GST",$A$1:$AB$1,0)),"")),0)</f>
        <v/>
      </c>
      <c r="AE3146" s="53">
        <f>IFERROR(INDEX($A3146:$AB3146,MATCH("Xero Invoice Date",$A$1:$AB$1,0)),"")</f>
        <v/>
      </c>
      <c r="AF3146" s="54">
        <f>IF(AND(IFERROR(INDEX($A3146:$AB3146,MATCH("Xero Invoice No",$A$1:$AB$1,0)),"")&amp;""&lt;&gt;"",ISNUMBER(AE3146),AD3146&lt;&gt;0),1,0)</f>
        <v/>
      </c>
      <c r="AG3146" s="55">
        <f>IF(AF3146=1,EOMONTH(AE3146,0),"")</f>
        <v/>
      </c>
      <c r="AH3146" s="9">
        <f>IF(AF3146=1,UPPER(TRIM(IFERROR(INDEX($A3146:$AB3146,MATCH("Client",$A$1:$AB$1,0)),"")&amp;"")),"")</f>
        <v/>
      </c>
      <c r="AI3146" s="9">
        <f>IF(AF3146=1,IFERROR(INDEX($A3146:$AB3146,MATCH("Cost Centre",$A$1:$AB$1,0)),"")&amp;"","")</f>
        <v/>
      </c>
      <c r="AJ3146" s="54">
        <f>IF(AND(AF3146=1,AE3146&gt;=set_FYStart,AE3146&lt;=set_AsAt),1,0)</f>
        <v/>
      </c>
      <c r="AK3146" s="54">
        <f>IF(AND(AJ3146=1,AH3146&lt;&gt;"",COUNTIFS($AH$2:AH3146,AH3146,$AJ$2:AJ3146,1)=1),N(AL3145)+1,"")</f>
        <v/>
      </c>
      <c r="AL3146" s="54">
        <f>IF(AK3146&lt;&gt;"",AK3146,N(AL3145))</f>
        <v/>
      </c>
    </row>
    <row r="3147">
      <c r="A3147" t="inlineStr">
        <is>
          <t>PRD-1049</t>
        </is>
      </c>
      <c r="B3147" t="inlineStr">
        <is>
          <t>Production</t>
        </is>
      </c>
      <c r="AB3147" t="n">
        <v>1049</v>
      </c>
      <c r="AD3147" s="52">
        <f>IFERROR(N(IFERROR(INDEX($A3147:$AB3147,MATCH("Xero Invoiced Ex GST",$A$1:$AB$1,0)),"")),0)</f>
        <v/>
      </c>
      <c r="AE3147" s="53">
        <f>IFERROR(INDEX($A3147:$AB3147,MATCH("Xero Invoice Date",$A$1:$AB$1,0)),"")</f>
        <v/>
      </c>
      <c r="AF3147" s="54">
        <f>IF(AND(IFERROR(INDEX($A3147:$AB3147,MATCH("Xero Invoice No",$A$1:$AB$1,0)),"")&amp;""&lt;&gt;"",ISNUMBER(AE3147),AD3147&lt;&gt;0),1,0)</f>
        <v/>
      </c>
      <c r="AG3147" s="55">
        <f>IF(AF3147=1,EOMONTH(AE3147,0),"")</f>
        <v/>
      </c>
      <c r="AH3147" s="9">
        <f>IF(AF3147=1,UPPER(TRIM(IFERROR(INDEX($A3147:$AB3147,MATCH("Client",$A$1:$AB$1,0)),"")&amp;"")),"")</f>
        <v/>
      </c>
      <c r="AI3147" s="9">
        <f>IF(AF3147=1,IFERROR(INDEX($A3147:$AB3147,MATCH("Cost Centre",$A$1:$AB$1,0)),"")&amp;"","")</f>
        <v/>
      </c>
      <c r="AJ3147" s="54">
        <f>IF(AND(AF3147=1,AE3147&gt;=set_FYStart,AE3147&lt;=set_AsAt),1,0)</f>
        <v/>
      </c>
      <c r="AK3147" s="54">
        <f>IF(AND(AJ3147=1,AH3147&lt;&gt;"",COUNTIFS($AH$2:AH3147,AH3147,$AJ$2:AJ3147,1)=1),N(AL3146)+1,"")</f>
        <v/>
      </c>
      <c r="AL3147" s="54">
        <f>IF(AK3147&lt;&gt;"",AK3147,N(AL3146))</f>
        <v/>
      </c>
    </row>
    <row r="3148">
      <c r="A3148" t="inlineStr">
        <is>
          <t>CON-1049</t>
        </is>
      </c>
      <c r="B3148" t="inlineStr">
        <is>
          <t>Consulting</t>
        </is>
      </c>
      <c r="AB3148" t="n">
        <v>1049</v>
      </c>
      <c r="AD3148" s="52">
        <f>IFERROR(N(IFERROR(INDEX($A3148:$AB3148,MATCH("Xero Invoiced Ex GST",$A$1:$AB$1,0)),"")),0)</f>
        <v/>
      </c>
      <c r="AE3148" s="53">
        <f>IFERROR(INDEX($A3148:$AB3148,MATCH("Xero Invoice Date",$A$1:$AB$1,0)),"")</f>
        <v/>
      </c>
      <c r="AF3148" s="54">
        <f>IF(AND(IFERROR(INDEX($A3148:$AB3148,MATCH("Xero Invoice No",$A$1:$AB$1,0)),"")&amp;""&lt;&gt;"",ISNUMBER(AE3148),AD3148&lt;&gt;0),1,0)</f>
        <v/>
      </c>
      <c r="AG3148" s="55">
        <f>IF(AF3148=1,EOMONTH(AE3148,0),"")</f>
        <v/>
      </c>
      <c r="AH3148" s="9">
        <f>IF(AF3148=1,UPPER(TRIM(IFERROR(INDEX($A3148:$AB3148,MATCH("Client",$A$1:$AB$1,0)),"")&amp;"")),"")</f>
        <v/>
      </c>
      <c r="AI3148" s="9">
        <f>IF(AF3148=1,IFERROR(INDEX($A3148:$AB3148,MATCH("Cost Centre",$A$1:$AB$1,0)),"")&amp;"","")</f>
        <v/>
      </c>
      <c r="AJ3148" s="54">
        <f>IF(AND(AF3148=1,AE3148&gt;=set_FYStart,AE3148&lt;=set_AsAt),1,0)</f>
        <v/>
      </c>
      <c r="AK3148" s="54">
        <f>IF(AND(AJ3148=1,AH3148&lt;&gt;"",COUNTIFS($AH$2:AH3148,AH3148,$AJ$2:AJ3148,1)=1),N(AL3147)+1,"")</f>
        <v/>
      </c>
      <c r="AL3148" s="54">
        <f>IF(AK3148&lt;&gt;"",AK3148,N(AL3147))</f>
        <v/>
      </c>
    </row>
    <row r="3149">
      <c r="A3149" t="inlineStr">
        <is>
          <t>ONS-1050</t>
        </is>
      </c>
      <c r="B3149" t="inlineStr">
        <is>
          <t>Onsite</t>
        </is>
      </c>
      <c r="AB3149" t="n">
        <v>1050</v>
      </c>
      <c r="AD3149" s="52">
        <f>IFERROR(N(IFERROR(INDEX($A3149:$AB3149,MATCH("Xero Invoiced Ex GST",$A$1:$AB$1,0)),"")),0)</f>
        <v/>
      </c>
      <c r="AE3149" s="53">
        <f>IFERROR(INDEX($A3149:$AB3149,MATCH("Xero Invoice Date",$A$1:$AB$1,0)),"")</f>
        <v/>
      </c>
      <c r="AF3149" s="54">
        <f>IF(AND(IFERROR(INDEX($A3149:$AB3149,MATCH("Xero Invoice No",$A$1:$AB$1,0)),"")&amp;""&lt;&gt;"",ISNUMBER(AE3149),AD3149&lt;&gt;0),1,0)</f>
        <v/>
      </c>
      <c r="AG3149" s="55">
        <f>IF(AF3149=1,EOMONTH(AE3149,0),"")</f>
        <v/>
      </c>
      <c r="AH3149" s="9">
        <f>IF(AF3149=1,UPPER(TRIM(IFERROR(INDEX($A3149:$AB3149,MATCH("Client",$A$1:$AB$1,0)),"")&amp;"")),"")</f>
        <v/>
      </c>
      <c r="AI3149" s="9">
        <f>IF(AF3149=1,IFERROR(INDEX($A3149:$AB3149,MATCH("Cost Centre",$A$1:$AB$1,0)),"")&amp;"","")</f>
        <v/>
      </c>
      <c r="AJ3149" s="54">
        <f>IF(AND(AF3149=1,AE3149&gt;=set_FYStart,AE3149&lt;=set_AsAt),1,0)</f>
        <v/>
      </c>
      <c r="AK3149" s="54">
        <f>IF(AND(AJ3149=1,AH3149&lt;&gt;"",COUNTIFS($AH$2:AH3149,AH3149,$AJ$2:AJ3149,1)=1),N(AL3148)+1,"")</f>
        <v/>
      </c>
      <c r="AL3149" s="54">
        <f>IF(AK3149&lt;&gt;"",AK3149,N(AL3148))</f>
        <v/>
      </c>
    </row>
    <row r="3150">
      <c r="A3150" t="inlineStr">
        <is>
          <t>PRD-1050</t>
        </is>
      </c>
      <c r="B3150" t="inlineStr">
        <is>
          <t>Production</t>
        </is>
      </c>
      <c r="AB3150" t="n">
        <v>1050</v>
      </c>
      <c r="AD3150" s="52">
        <f>IFERROR(N(IFERROR(INDEX($A3150:$AB3150,MATCH("Xero Invoiced Ex GST",$A$1:$AB$1,0)),"")),0)</f>
        <v/>
      </c>
      <c r="AE3150" s="53">
        <f>IFERROR(INDEX($A3150:$AB3150,MATCH("Xero Invoice Date",$A$1:$AB$1,0)),"")</f>
        <v/>
      </c>
      <c r="AF3150" s="54">
        <f>IF(AND(IFERROR(INDEX($A3150:$AB3150,MATCH("Xero Invoice No",$A$1:$AB$1,0)),"")&amp;""&lt;&gt;"",ISNUMBER(AE3150),AD3150&lt;&gt;0),1,0)</f>
        <v/>
      </c>
      <c r="AG3150" s="55">
        <f>IF(AF3150=1,EOMONTH(AE3150,0),"")</f>
        <v/>
      </c>
      <c r="AH3150" s="9">
        <f>IF(AF3150=1,UPPER(TRIM(IFERROR(INDEX($A3150:$AB3150,MATCH("Client",$A$1:$AB$1,0)),"")&amp;"")),"")</f>
        <v/>
      </c>
      <c r="AI3150" s="9">
        <f>IF(AF3150=1,IFERROR(INDEX($A3150:$AB3150,MATCH("Cost Centre",$A$1:$AB$1,0)),"")&amp;"","")</f>
        <v/>
      </c>
      <c r="AJ3150" s="54">
        <f>IF(AND(AF3150=1,AE3150&gt;=set_FYStart,AE3150&lt;=set_AsAt),1,0)</f>
        <v/>
      </c>
      <c r="AK3150" s="54">
        <f>IF(AND(AJ3150=1,AH3150&lt;&gt;"",COUNTIFS($AH$2:AH3150,AH3150,$AJ$2:AJ3150,1)=1),N(AL3149)+1,"")</f>
        <v/>
      </c>
      <c r="AL3150" s="54">
        <f>IF(AK3150&lt;&gt;"",AK3150,N(AL3149))</f>
        <v/>
      </c>
    </row>
    <row r="3151">
      <c r="A3151" t="inlineStr">
        <is>
          <t>CON-1050</t>
        </is>
      </c>
      <c r="B3151" t="inlineStr">
        <is>
          <t>Consulting</t>
        </is>
      </c>
      <c r="AB3151" t="n">
        <v>1050</v>
      </c>
      <c r="AD3151" s="52">
        <f>IFERROR(N(IFERROR(INDEX($A3151:$AB3151,MATCH("Xero Invoiced Ex GST",$A$1:$AB$1,0)),"")),0)</f>
        <v/>
      </c>
      <c r="AE3151" s="53">
        <f>IFERROR(INDEX($A3151:$AB3151,MATCH("Xero Invoice Date",$A$1:$AB$1,0)),"")</f>
        <v/>
      </c>
      <c r="AF3151" s="54">
        <f>IF(AND(IFERROR(INDEX($A3151:$AB3151,MATCH("Xero Invoice No",$A$1:$AB$1,0)),"")&amp;""&lt;&gt;"",ISNUMBER(AE3151),AD3151&lt;&gt;0),1,0)</f>
        <v/>
      </c>
      <c r="AG3151" s="55">
        <f>IF(AF3151=1,EOMONTH(AE3151,0),"")</f>
        <v/>
      </c>
      <c r="AH3151" s="9">
        <f>IF(AF3151=1,UPPER(TRIM(IFERROR(INDEX($A3151:$AB3151,MATCH("Client",$A$1:$AB$1,0)),"")&amp;"")),"")</f>
        <v/>
      </c>
      <c r="AI3151" s="9">
        <f>IF(AF3151=1,IFERROR(INDEX($A3151:$AB3151,MATCH("Cost Centre",$A$1:$AB$1,0)),"")&amp;"","")</f>
        <v/>
      </c>
      <c r="AJ3151" s="54">
        <f>IF(AND(AF3151=1,AE3151&gt;=set_FYStart,AE3151&lt;=set_AsAt),1,0)</f>
        <v/>
      </c>
      <c r="AK3151" s="54">
        <f>IF(AND(AJ3151=1,AH3151&lt;&gt;"",COUNTIFS($AH$2:AH3151,AH3151,$AJ$2:AJ3151,1)=1),N(AL3150)+1,"")</f>
        <v/>
      </c>
      <c r="AL3151" s="54">
        <f>IF(AK3151&lt;&gt;"",AK3151,N(AL3150))</f>
        <v/>
      </c>
    </row>
    <row r="3152">
      <c r="A3152" t="inlineStr">
        <is>
          <t>ONS-1051</t>
        </is>
      </c>
      <c r="B3152" t="inlineStr">
        <is>
          <t>Onsite</t>
        </is>
      </c>
      <c r="AB3152" t="n">
        <v>1051</v>
      </c>
      <c r="AD3152" s="52">
        <f>IFERROR(N(IFERROR(INDEX($A3152:$AB3152,MATCH("Xero Invoiced Ex GST",$A$1:$AB$1,0)),"")),0)</f>
        <v/>
      </c>
      <c r="AE3152" s="53">
        <f>IFERROR(INDEX($A3152:$AB3152,MATCH("Xero Invoice Date",$A$1:$AB$1,0)),"")</f>
        <v/>
      </c>
      <c r="AF3152" s="54">
        <f>IF(AND(IFERROR(INDEX($A3152:$AB3152,MATCH("Xero Invoice No",$A$1:$AB$1,0)),"")&amp;""&lt;&gt;"",ISNUMBER(AE3152),AD3152&lt;&gt;0),1,0)</f>
        <v/>
      </c>
      <c r="AG3152" s="55">
        <f>IF(AF3152=1,EOMONTH(AE3152,0),"")</f>
        <v/>
      </c>
      <c r="AH3152" s="9">
        <f>IF(AF3152=1,UPPER(TRIM(IFERROR(INDEX($A3152:$AB3152,MATCH("Client",$A$1:$AB$1,0)),"")&amp;"")),"")</f>
        <v/>
      </c>
      <c r="AI3152" s="9">
        <f>IF(AF3152=1,IFERROR(INDEX($A3152:$AB3152,MATCH("Cost Centre",$A$1:$AB$1,0)),"")&amp;"","")</f>
        <v/>
      </c>
      <c r="AJ3152" s="54">
        <f>IF(AND(AF3152=1,AE3152&gt;=set_FYStart,AE3152&lt;=set_AsAt),1,0)</f>
        <v/>
      </c>
      <c r="AK3152" s="54">
        <f>IF(AND(AJ3152=1,AH3152&lt;&gt;"",COUNTIFS($AH$2:AH3152,AH3152,$AJ$2:AJ3152,1)=1),N(AL3151)+1,"")</f>
        <v/>
      </c>
      <c r="AL3152" s="54">
        <f>IF(AK3152&lt;&gt;"",AK3152,N(AL3151))</f>
        <v/>
      </c>
    </row>
    <row r="3153">
      <c r="A3153" t="inlineStr">
        <is>
          <t>PRD-1051</t>
        </is>
      </c>
      <c r="B3153" t="inlineStr">
        <is>
          <t>Production</t>
        </is>
      </c>
      <c r="AB3153" t="n">
        <v>1051</v>
      </c>
      <c r="AD3153" s="52">
        <f>IFERROR(N(IFERROR(INDEX($A3153:$AB3153,MATCH("Xero Invoiced Ex GST",$A$1:$AB$1,0)),"")),0)</f>
        <v/>
      </c>
      <c r="AE3153" s="53">
        <f>IFERROR(INDEX($A3153:$AB3153,MATCH("Xero Invoice Date",$A$1:$AB$1,0)),"")</f>
        <v/>
      </c>
      <c r="AF3153" s="54">
        <f>IF(AND(IFERROR(INDEX($A3153:$AB3153,MATCH("Xero Invoice No",$A$1:$AB$1,0)),"")&amp;""&lt;&gt;"",ISNUMBER(AE3153),AD3153&lt;&gt;0),1,0)</f>
        <v/>
      </c>
      <c r="AG3153" s="55">
        <f>IF(AF3153=1,EOMONTH(AE3153,0),"")</f>
        <v/>
      </c>
      <c r="AH3153" s="9">
        <f>IF(AF3153=1,UPPER(TRIM(IFERROR(INDEX($A3153:$AB3153,MATCH("Client",$A$1:$AB$1,0)),"")&amp;"")),"")</f>
        <v/>
      </c>
      <c r="AI3153" s="9">
        <f>IF(AF3153=1,IFERROR(INDEX($A3153:$AB3153,MATCH("Cost Centre",$A$1:$AB$1,0)),"")&amp;"","")</f>
        <v/>
      </c>
      <c r="AJ3153" s="54">
        <f>IF(AND(AF3153=1,AE3153&gt;=set_FYStart,AE3153&lt;=set_AsAt),1,0)</f>
        <v/>
      </c>
      <c r="AK3153" s="54">
        <f>IF(AND(AJ3153=1,AH3153&lt;&gt;"",COUNTIFS($AH$2:AH3153,AH3153,$AJ$2:AJ3153,1)=1),N(AL3152)+1,"")</f>
        <v/>
      </c>
      <c r="AL3153" s="54">
        <f>IF(AK3153&lt;&gt;"",AK3153,N(AL3152))</f>
        <v/>
      </c>
    </row>
    <row r="3154">
      <c r="A3154" t="inlineStr">
        <is>
          <t>CON-1051</t>
        </is>
      </c>
      <c r="B3154" t="inlineStr">
        <is>
          <t>Consulting</t>
        </is>
      </c>
      <c r="AB3154" t="n">
        <v>1051</v>
      </c>
      <c r="AD3154" s="52">
        <f>IFERROR(N(IFERROR(INDEX($A3154:$AB3154,MATCH("Xero Invoiced Ex GST",$A$1:$AB$1,0)),"")),0)</f>
        <v/>
      </c>
      <c r="AE3154" s="53">
        <f>IFERROR(INDEX($A3154:$AB3154,MATCH("Xero Invoice Date",$A$1:$AB$1,0)),"")</f>
        <v/>
      </c>
      <c r="AF3154" s="54">
        <f>IF(AND(IFERROR(INDEX($A3154:$AB3154,MATCH("Xero Invoice No",$A$1:$AB$1,0)),"")&amp;""&lt;&gt;"",ISNUMBER(AE3154),AD3154&lt;&gt;0),1,0)</f>
        <v/>
      </c>
      <c r="AG3154" s="55">
        <f>IF(AF3154=1,EOMONTH(AE3154,0),"")</f>
        <v/>
      </c>
      <c r="AH3154" s="9">
        <f>IF(AF3154=1,UPPER(TRIM(IFERROR(INDEX($A3154:$AB3154,MATCH("Client",$A$1:$AB$1,0)),"")&amp;"")),"")</f>
        <v/>
      </c>
      <c r="AI3154" s="9">
        <f>IF(AF3154=1,IFERROR(INDEX($A3154:$AB3154,MATCH("Cost Centre",$A$1:$AB$1,0)),"")&amp;"","")</f>
        <v/>
      </c>
      <c r="AJ3154" s="54">
        <f>IF(AND(AF3154=1,AE3154&gt;=set_FYStart,AE3154&lt;=set_AsAt),1,0)</f>
        <v/>
      </c>
      <c r="AK3154" s="54">
        <f>IF(AND(AJ3154=1,AH3154&lt;&gt;"",COUNTIFS($AH$2:AH3154,AH3154,$AJ$2:AJ3154,1)=1),N(AL3153)+1,"")</f>
        <v/>
      </c>
      <c r="AL3154" s="54">
        <f>IF(AK3154&lt;&gt;"",AK3154,N(AL3153))</f>
        <v/>
      </c>
    </row>
    <row r="3155">
      <c r="A3155" t="inlineStr">
        <is>
          <t>ONS-1052</t>
        </is>
      </c>
      <c r="B3155" t="inlineStr">
        <is>
          <t>Onsite</t>
        </is>
      </c>
      <c r="AB3155" t="n">
        <v>1052</v>
      </c>
      <c r="AD3155" s="52">
        <f>IFERROR(N(IFERROR(INDEX($A3155:$AB3155,MATCH("Xero Invoiced Ex GST",$A$1:$AB$1,0)),"")),0)</f>
        <v/>
      </c>
      <c r="AE3155" s="53">
        <f>IFERROR(INDEX($A3155:$AB3155,MATCH("Xero Invoice Date",$A$1:$AB$1,0)),"")</f>
        <v/>
      </c>
      <c r="AF3155" s="54">
        <f>IF(AND(IFERROR(INDEX($A3155:$AB3155,MATCH("Xero Invoice No",$A$1:$AB$1,0)),"")&amp;""&lt;&gt;"",ISNUMBER(AE3155),AD3155&lt;&gt;0),1,0)</f>
        <v/>
      </c>
      <c r="AG3155" s="55">
        <f>IF(AF3155=1,EOMONTH(AE3155,0),"")</f>
        <v/>
      </c>
      <c r="AH3155" s="9">
        <f>IF(AF3155=1,UPPER(TRIM(IFERROR(INDEX($A3155:$AB3155,MATCH("Client",$A$1:$AB$1,0)),"")&amp;"")),"")</f>
        <v/>
      </c>
      <c r="AI3155" s="9">
        <f>IF(AF3155=1,IFERROR(INDEX($A3155:$AB3155,MATCH("Cost Centre",$A$1:$AB$1,0)),"")&amp;"","")</f>
        <v/>
      </c>
      <c r="AJ3155" s="54">
        <f>IF(AND(AF3155=1,AE3155&gt;=set_FYStart,AE3155&lt;=set_AsAt),1,0)</f>
        <v/>
      </c>
      <c r="AK3155" s="54">
        <f>IF(AND(AJ3155=1,AH3155&lt;&gt;"",COUNTIFS($AH$2:AH3155,AH3155,$AJ$2:AJ3155,1)=1),N(AL3154)+1,"")</f>
        <v/>
      </c>
      <c r="AL3155" s="54">
        <f>IF(AK3155&lt;&gt;"",AK3155,N(AL3154))</f>
        <v/>
      </c>
    </row>
    <row r="3156">
      <c r="A3156" t="inlineStr">
        <is>
          <t>PRD-1052</t>
        </is>
      </c>
      <c r="B3156" t="inlineStr">
        <is>
          <t>Production</t>
        </is>
      </c>
      <c r="AB3156" t="n">
        <v>1052</v>
      </c>
      <c r="AD3156" s="52">
        <f>IFERROR(N(IFERROR(INDEX($A3156:$AB3156,MATCH("Xero Invoiced Ex GST",$A$1:$AB$1,0)),"")),0)</f>
        <v/>
      </c>
      <c r="AE3156" s="53">
        <f>IFERROR(INDEX($A3156:$AB3156,MATCH("Xero Invoice Date",$A$1:$AB$1,0)),"")</f>
        <v/>
      </c>
      <c r="AF3156" s="54">
        <f>IF(AND(IFERROR(INDEX($A3156:$AB3156,MATCH("Xero Invoice No",$A$1:$AB$1,0)),"")&amp;""&lt;&gt;"",ISNUMBER(AE3156),AD3156&lt;&gt;0),1,0)</f>
        <v/>
      </c>
      <c r="AG3156" s="55">
        <f>IF(AF3156=1,EOMONTH(AE3156,0),"")</f>
        <v/>
      </c>
      <c r="AH3156" s="9">
        <f>IF(AF3156=1,UPPER(TRIM(IFERROR(INDEX($A3156:$AB3156,MATCH("Client",$A$1:$AB$1,0)),"")&amp;"")),"")</f>
        <v/>
      </c>
      <c r="AI3156" s="9">
        <f>IF(AF3156=1,IFERROR(INDEX($A3156:$AB3156,MATCH("Cost Centre",$A$1:$AB$1,0)),"")&amp;"","")</f>
        <v/>
      </c>
      <c r="AJ3156" s="54">
        <f>IF(AND(AF3156=1,AE3156&gt;=set_FYStart,AE3156&lt;=set_AsAt),1,0)</f>
        <v/>
      </c>
      <c r="AK3156" s="54">
        <f>IF(AND(AJ3156=1,AH3156&lt;&gt;"",COUNTIFS($AH$2:AH3156,AH3156,$AJ$2:AJ3156,1)=1),N(AL3155)+1,"")</f>
        <v/>
      </c>
      <c r="AL3156" s="54">
        <f>IF(AK3156&lt;&gt;"",AK3156,N(AL3155))</f>
        <v/>
      </c>
    </row>
    <row r="3157">
      <c r="A3157" t="inlineStr">
        <is>
          <t>CON-1052</t>
        </is>
      </c>
      <c r="B3157" t="inlineStr">
        <is>
          <t>Consulting</t>
        </is>
      </c>
      <c r="AB3157" t="n">
        <v>1052</v>
      </c>
      <c r="AD3157" s="52">
        <f>IFERROR(N(IFERROR(INDEX($A3157:$AB3157,MATCH("Xero Invoiced Ex GST",$A$1:$AB$1,0)),"")),0)</f>
        <v/>
      </c>
      <c r="AE3157" s="53">
        <f>IFERROR(INDEX($A3157:$AB3157,MATCH("Xero Invoice Date",$A$1:$AB$1,0)),"")</f>
        <v/>
      </c>
      <c r="AF3157" s="54">
        <f>IF(AND(IFERROR(INDEX($A3157:$AB3157,MATCH("Xero Invoice No",$A$1:$AB$1,0)),"")&amp;""&lt;&gt;"",ISNUMBER(AE3157),AD3157&lt;&gt;0),1,0)</f>
        <v/>
      </c>
      <c r="AG3157" s="55">
        <f>IF(AF3157=1,EOMONTH(AE3157,0),"")</f>
        <v/>
      </c>
      <c r="AH3157" s="9">
        <f>IF(AF3157=1,UPPER(TRIM(IFERROR(INDEX($A3157:$AB3157,MATCH("Client",$A$1:$AB$1,0)),"")&amp;"")),"")</f>
        <v/>
      </c>
      <c r="AI3157" s="9">
        <f>IF(AF3157=1,IFERROR(INDEX($A3157:$AB3157,MATCH("Cost Centre",$A$1:$AB$1,0)),"")&amp;"","")</f>
        <v/>
      </c>
      <c r="AJ3157" s="54">
        <f>IF(AND(AF3157=1,AE3157&gt;=set_FYStart,AE3157&lt;=set_AsAt),1,0)</f>
        <v/>
      </c>
      <c r="AK3157" s="54">
        <f>IF(AND(AJ3157=1,AH3157&lt;&gt;"",COUNTIFS($AH$2:AH3157,AH3157,$AJ$2:AJ3157,1)=1),N(AL3156)+1,"")</f>
        <v/>
      </c>
      <c r="AL3157" s="54">
        <f>IF(AK3157&lt;&gt;"",AK3157,N(AL3156))</f>
        <v/>
      </c>
    </row>
    <row r="3158">
      <c r="A3158" t="inlineStr">
        <is>
          <t>ONS-1053</t>
        </is>
      </c>
      <c r="B3158" t="inlineStr">
        <is>
          <t>Onsite</t>
        </is>
      </c>
      <c r="AB3158" t="n">
        <v>1053</v>
      </c>
      <c r="AD3158" s="52">
        <f>IFERROR(N(IFERROR(INDEX($A3158:$AB3158,MATCH("Xero Invoiced Ex GST",$A$1:$AB$1,0)),"")),0)</f>
        <v/>
      </c>
      <c r="AE3158" s="53">
        <f>IFERROR(INDEX($A3158:$AB3158,MATCH("Xero Invoice Date",$A$1:$AB$1,0)),"")</f>
        <v/>
      </c>
      <c r="AF3158" s="54">
        <f>IF(AND(IFERROR(INDEX($A3158:$AB3158,MATCH("Xero Invoice No",$A$1:$AB$1,0)),"")&amp;""&lt;&gt;"",ISNUMBER(AE3158),AD3158&lt;&gt;0),1,0)</f>
        <v/>
      </c>
      <c r="AG3158" s="55">
        <f>IF(AF3158=1,EOMONTH(AE3158,0),"")</f>
        <v/>
      </c>
      <c r="AH3158" s="9">
        <f>IF(AF3158=1,UPPER(TRIM(IFERROR(INDEX($A3158:$AB3158,MATCH("Client",$A$1:$AB$1,0)),"")&amp;"")),"")</f>
        <v/>
      </c>
      <c r="AI3158" s="9">
        <f>IF(AF3158=1,IFERROR(INDEX($A3158:$AB3158,MATCH("Cost Centre",$A$1:$AB$1,0)),"")&amp;"","")</f>
        <v/>
      </c>
      <c r="AJ3158" s="54">
        <f>IF(AND(AF3158=1,AE3158&gt;=set_FYStart,AE3158&lt;=set_AsAt),1,0)</f>
        <v/>
      </c>
      <c r="AK3158" s="54">
        <f>IF(AND(AJ3158=1,AH3158&lt;&gt;"",COUNTIFS($AH$2:AH3158,AH3158,$AJ$2:AJ3158,1)=1),N(AL3157)+1,"")</f>
        <v/>
      </c>
      <c r="AL3158" s="54">
        <f>IF(AK3158&lt;&gt;"",AK3158,N(AL3157))</f>
        <v/>
      </c>
    </row>
    <row r="3159">
      <c r="A3159" t="inlineStr">
        <is>
          <t>PRD-1053</t>
        </is>
      </c>
      <c r="B3159" t="inlineStr">
        <is>
          <t>Production</t>
        </is>
      </c>
      <c r="AB3159" t="n">
        <v>1053</v>
      </c>
      <c r="AD3159" s="52">
        <f>IFERROR(N(IFERROR(INDEX($A3159:$AB3159,MATCH("Xero Invoiced Ex GST",$A$1:$AB$1,0)),"")),0)</f>
        <v/>
      </c>
      <c r="AE3159" s="53">
        <f>IFERROR(INDEX($A3159:$AB3159,MATCH("Xero Invoice Date",$A$1:$AB$1,0)),"")</f>
        <v/>
      </c>
      <c r="AF3159" s="54">
        <f>IF(AND(IFERROR(INDEX($A3159:$AB3159,MATCH("Xero Invoice No",$A$1:$AB$1,0)),"")&amp;""&lt;&gt;"",ISNUMBER(AE3159),AD3159&lt;&gt;0),1,0)</f>
        <v/>
      </c>
      <c r="AG3159" s="55">
        <f>IF(AF3159=1,EOMONTH(AE3159,0),"")</f>
        <v/>
      </c>
      <c r="AH3159" s="9">
        <f>IF(AF3159=1,UPPER(TRIM(IFERROR(INDEX($A3159:$AB3159,MATCH("Client",$A$1:$AB$1,0)),"")&amp;"")),"")</f>
        <v/>
      </c>
      <c r="AI3159" s="9">
        <f>IF(AF3159=1,IFERROR(INDEX($A3159:$AB3159,MATCH("Cost Centre",$A$1:$AB$1,0)),"")&amp;"","")</f>
        <v/>
      </c>
      <c r="AJ3159" s="54">
        <f>IF(AND(AF3159=1,AE3159&gt;=set_FYStart,AE3159&lt;=set_AsAt),1,0)</f>
        <v/>
      </c>
      <c r="AK3159" s="54">
        <f>IF(AND(AJ3159=1,AH3159&lt;&gt;"",COUNTIFS($AH$2:AH3159,AH3159,$AJ$2:AJ3159,1)=1),N(AL3158)+1,"")</f>
        <v/>
      </c>
      <c r="AL3159" s="54">
        <f>IF(AK3159&lt;&gt;"",AK3159,N(AL3158))</f>
        <v/>
      </c>
    </row>
    <row r="3160">
      <c r="A3160" t="inlineStr">
        <is>
          <t>CON-1053</t>
        </is>
      </c>
      <c r="B3160" t="inlineStr">
        <is>
          <t>Consulting</t>
        </is>
      </c>
      <c r="AB3160" t="n">
        <v>1053</v>
      </c>
      <c r="AD3160" s="52">
        <f>IFERROR(N(IFERROR(INDEX($A3160:$AB3160,MATCH("Xero Invoiced Ex GST",$A$1:$AB$1,0)),"")),0)</f>
        <v/>
      </c>
      <c r="AE3160" s="53">
        <f>IFERROR(INDEX($A3160:$AB3160,MATCH("Xero Invoice Date",$A$1:$AB$1,0)),"")</f>
        <v/>
      </c>
      <c r="AF3160" s="54">
        <f>IF(AND(IFERROR(INDEX($A3160:$AB3160,MATCH("Xero Invoice No",$A$1:$AB$1,0)),"")&amp;""&lt;&gt;"",ISNUMBER(AE3160),AD3160&lt;&gt;0),1,0)</f>
        <v/>
      </c>
      <c r="AG3160" s="55">
        <f>IF(AF3160=1,EOMONTH(AE3160,0),"")</f>
        <v/>
      </c>
      <c r="AH3160" s="9">
        <f>IF(AF3160=1,UPPER(TRIM(IFERROR(INDEX($A3160:$AB3160,MATCH("Client",$A$1:$AB$1,0)),"")&amp;"")),"")</f>
        <v/>
      </c>
      <c r="AI3160" s="9">
        <f>IF(AF3160=1,IFERROR(INDEX($A3160:$AB3160,MATCH("Cost Centre",$A$1:$AB$1,0)),"")&amp;"","")</f>
        <v/>
      </c>
      <c r="AJ3160" s="54">
        <f>IF(AND(AF3160=1,AE3160&gt;=set_FYStart,AE3160&lt;=set_AsAt),1,0)</f>
        <v/>
      </c>
      <c r="AK3160" s="54">
        <f>IF(AND(AJ3160=1,AH3160&lt;&gt;"",COUNTIFS($AH$2:AH3160,AH3160,$AJ$2:AJ3160,1)=1),N(AL3159)+1,"")</f>
        <v/>
      </c>
      <c r="AL3160" s="54">
        <f>IF(AK3160&lt;&gt;"",AK3160,N(AL3159))</f>
        <v/>
      </c>
    </row>
    <row r="3161">
      <c r="A3161" t="inlineStr">
        <is>
          <t>ONS-1054</t>
        </is>
      </c>
      <c r="B3161" t="inlineStr">
        <is>
          <t>Onsite</t>
        </is>
      </c>
      <c r="AB3161" t="n">
        <v>1054</v>
      </c>
      <c r="AD3161" s="52">
        <f>IFERROR(N(IFERROR(INDEX($A3161:$AB3161,MATCH("Xero Invoiced Ex GST",$A$1:$AB$1,0)),"")),0)</f>
        <v/>
      </c>
      <c r="AE3161" s="53">
        <f>IFERROR(INDEX($A3161:$AB3161,MATCH("Xero Invoice Date",$A$1:$AB$1,0)),"")</f>
        <v/>
      </c>
      <c r="AF3161" s="54">
        <f>IF(AND(IFERROR(INDEX($A3161:$AB3161,MATCH("Xero Invoice No",$A$1:$AB$1,0)),"")&amp;""&lt;&gt;"",ISNUMBER(AE3161),AD3161&lt;&gt;0),1,0)</f>
        <v/>
      </c>
      <c r="AG3161" s="55">
        <f>IF(AF3161=1,EOMONTH(AE3161,0),"")</f>
        <v/>
      </c>
      <c r="AH3161" s="9">
        <f>IF(AF3161=1,UPPER(TRIM(IFERROR(INDEX($A3161:$AB3161,MATCH("Client",$A$1:$AB$1,0)),"")&amp;"")),"")</f>
        <v/>
      </c>
      <c r="AI3161" s="9">
        <f>IF(AF3161=1,IFERROR(INDEX($A3161:$AB3161,MATCH("Cost Centre",$A$1:$AB$1,0)),"")&amp;"","")</f>
        <v/>
      </c>
      <c r="AJ3161" s="54">
        <f>IF(AND(AF3161=1,AE3161&gt;=set_FYStart,AE3161&lt;=set_AsAt),1,0)</f>
        <v/>
      </c>
      <c r="AK3161" s="54">
        <f>IF(AND(AJ3161=1,AH3161&lt;&gt;"",COUNTIFS($AH$2:AH3161,AH3161,$AJ$2:AJ3161,1)=1),N(AL3160)+1,"")</f>
        <v/>
      </c>
      <c r="AL3161" s="54">
        <f>IF(AK3161&lt;&gt;"",AK3161,N(AL3160))</f>
        <v/>
      </c>
    </row>
    <row r="3162">
      <c r="A3162" t="inlineStr">
        <is>
          <t>PRD-1054</t>
        </is>
      </c>
      <c r="B3162" t="inlineStr">
        <is>
          <t>Production</t>
        </is>
      </c>
      <c r="AB3162" t="n">
        <v>1054</v>
      </c>
      <c r="AD3162" s="52">
        <f>IFERROR(N(IFERROR(INDEX($A3162:$AB3162,MATCH("Xero Invoiced Ex GST",$A$1:$AB$1,0)),"")),0)</f>
        <v/>
      </c>
      <c r="AE3162" s="53">
        <f>IFERROR(INDEX($A3162:$AB3162,MATCH("Xero Invoice Date",$A$1:$AB$1,0)),"")</f>
        <v/>
      </c>
      <c r="AF3162" s="54">
        <f>IF(AND(IFERROR(INDEX($A3162:$AB3162,MATCH("Xero Invoice No",$A$1:$AB$1,0)),"")&amp;""&lt;&gt;"",ISNUMBER(AE3162),AD3162&lt;&gt;0),1,0)</f>
        <v/>
      </c>
      <c r="AG3162" s="55">
        <f>IF(AF3162=1,EOMONTH(AE3162,0),"")</f>
        <v/>
      </c>
      <c r="AH3162" s="9">
        <f>IF(AF3162=1,UPPER(TRIM(IFERROR(INDEX($A3162:$AB3162,MATCH("Client",$A$1:$AB$1,0)),"")&amp;"")),"")</f>
        <v/>
      </c>
      <c r="AI3162" s="9">
        <f>IF(AF3162=1,IFERROR(INDEX($A3162:$AB3162,MATCH("Cost Centre",$A$1:$AB$1,0)),"")&amp;"","")</f>
        <v/>
      </c>
      <c r="AJ3162" s="54">
        <f>IF(AND(AF3162=1,AE3162&gt;=set_FYStart,AE3162&lt;=set_AsAt),1,0)</f>
        <v/>
      </c>
      <c r="AK3162" s="54">
        <f>IF(AND(AJ3162=1,AH3162&lt;&gt;"",COUNTIFS($AH$2:AH3162,AH3162,$AJ$2:AJ3162,1)=1),N(AL3161)+1,"")</f>
        <v/>
      </c>
      <c r="AL3162" s="54">
        <f>IF(AK3162&lt;&gt;"",AK3162,N(AL3161))</f>
        <v/>
      </c>
    </row>
    <row r="3163">
      <c r="A3163" t="inlineStr">
        <is>
          <t>CON-1054</t>
        </is>
      </c>
      <c r="B3163" t="inlineStr">
        <is>
          <t>Consulting</t>
        </is>
      </c>
      <c r="AB3163" t="n">
        <v>1054</v>
      </c>
      <c r="AD3163" s="52">
        <f>IFERROR(N(IFERROR(INDEX($A3163:$AB3163,MATCH("Xero Invoiced Ex GST",$A$1:$AB$1,0)),"")),0)</f>
        <v/>
      </c>
      <c r="AE3163" s="53">
        <f>IFERROR(INDEX($A3163:$AB3163,MATCH("Xero Invoice Date",$A$1:$AB$1,0)),"")</f>
        <v/>
      </c>
      <c r="AF3163" s="54">
        <f>IF(AND(IFERROR(INDEX($A3163:$AB3163,MATCH("Xero Invoice No",$A$1:$AB$1,0)),"")&amp;""&lt;&gt;"",ISNUMBER(AE3163),AD3163&lt;&gt;0),1,0)</f>
        <v/>
      </c>
      <c r="AG3163" s="55">
        <f>IF(AF3163=1,EOMONTH(AE3163,0),"")</f>
        <v/>
      </c>
      <c r="AH3163" s="9">
        <f>IF(AF3163=1,UPPER(TRIM(IFERROR(INDEX($A3163:$AB3163,MATCH("Client",$A$1:$AB$1,0)),"")&amp;"")),"")</f>
        <v/>
      </c>
      <c r="AI3163" s="9">
        <f>IF(AF3163=1,IFERROR(INDEX($A3163:$AB3163,MATCH("Cost Centre",$A$1:$AB$1,0)),"")&amp;"","")</f>
        <v/>
      </c>
      <c r="AJ3163" s="54">
        <f>IF(AND(AF3163=1,AE3163&gt;=set_FYStart,AE3163&lt;=set_AsAt),1,0)</f>
        <v/>
      </c>
      <c r="AK3163" s="54">
        <f>IF(AND(AJ3163=1,AH3163&lt;&gt;"",COUNTIFS($AH$2:AH3163,AH3163,$AJ$2:AJ3163,1)=1),N(AL3162)+1,"")</f>
        <v/>
      </c>
      <c r="AL3163" s="54">
        <f>IF(AK3163&lt;&gt;"",AK3163,N(AL3162))</f>
        <v/>
      </c>
    </row>
    <row r="3164">
      <c r="A3164" t="inlineStr">
        <is>
          <t>ONS-1055</t>
        </is>
      </c>
      <c r="B3164" t="inlineStr">
        <is>
          <t>Onsite</t>
        </is>
      </c>
      <c r="AB3164" t="n">
        <v>1055</v>
      </c>
      <c r="AD3164" s="52">
        <f>IFERROR(N(IFERROR(INDEX($A3164:$AB3164,MATCH("Xero Invoiced Ex GST",$A$1:$AB$1,0)),"")),0)</f>
        <v/>
      </c>
      <c r="AE3164" s="53">
        <f>IFERROR(INDEX($A3164:$AB3164,MATCH("Xero Invoice Date",$A$1:$AB$1,0)),"")</f>
        <v/>
      </c>
      <c r="AF3164" s="54">
        <f>IF(AND(IFERROR(INDEX($A3164:$AB3164,MATCH("Xero Invoice No",$A$1:$AB$1,0)),"")&amp;""&lt;&gt;"",ISNUMBER(AE3164),AD3164&lt;&gt;0),1,0)</f>
        <v/>
      </c>
      <c r="AG3164" s="55">
        <f>IF(AF3164=1,EOMONTH(AE3164,0),"")</f>
        <v/>
      </c>
      <c r="AH3164" s="9">
        <f>IF(AF3164=1,UPPER(TRIM(IFERROR(INDEX($A3164:$AB3164,MATCH("Client",$A$1:$AB$1,0)),"")&amp;"")),"")</f>
        <v/>
      </c>
      <c r="AI3164" s="9">
        <f>IF(AF3164=1,IFERROR(INDEX($A3164:$AB3164,MATCH("Cost Centre",$A$1:$AB$1,0)),"")&amp;"","")</f>
        <v/>
      </c>
      <c r="AJ3164" s="54">
        <f>IF(AND(AF3164=1,AE3164&gt;=set_FYStart,AE3164&lt;=set_AsAt),1,0)</f>
        <v/>
      </c>
      <c r="AK3164" s="54">
        <f>IF(AND(AJ3164=1,AH3164&lt;&gt;"",COUNTIFS($AH$2:AH3164,AH3164,$AJ$2:AJ3164,1)=1),N(AL3163)+1,"")</f>
        <v/>
      </c>
      <c r="AL3164" s="54">
        <f>IF(AK3164&lt;&gt;"",AK3164,N(AL3163))</f>
        <v/>
      </c>
    </row>
    <row r="3165">
      <c r="A3165" t="inlineStr">
        <is>
          <t>PRD-1055</t>
        </is>
      </c>
      <c r="B3165" t="inlineStr">
        <is>
          <t>Production</t>
        </is>
      </c>
      <c r="AB3165" t="n">
        <v>1055</v>
      </c>
      <c r="AD3165" s="52">
        <f>IFERROR(N(IFERROR(INDEX($A3165:$AB3165,MATCH("Xero Invoiced Ex GST",$A$1:$AB$1,0)),"")),0)</f>
        <v/>
      </c>
      <c r="AE3165" s="53">
        <f>IFERROR(INDEX($A3165:$AB3165,MATCH("Xero Invoice Date",$A$1:$AB$1,0)),"")</f>
        <v/>
      </c>
      <c r="AF3165" s="54">
        <f>IF(AND(IFERROR(INDEX($A3165:$AB3165,MATCH("Xero Invoice No",$A$1:$AB$1,0)),"")&amp;""&lt;&gt;"",ISNUMBER(AE3165),AD3165&lt;&gt;0),1,0)</f>
        <v/>
      </c>
      <c r="AG3165" s="55">
        <f>IF(AF3165=1,EOMONTH(AE3165,0),"")</f>
        <v/>
      </c>
      <c r="AH3165" s="9">
        <f>IF(AF3165=1,UPPER(TRIM(IFERROR(INDEX($A3165:$AB3165,MATCH("Client",$A$1:$AB$1,0)),"")&amp;"")),"")</f>
        <v/>
      </c>
      <c r="AI3165" s="9">
        <f>IF(AF3165=1,IFERROR(INDEX($A3165:$AB3165,MATCH("Cost Centre",$A$1:$AB$1,0)),"")&amp;"","")</f>
        <v/>
      </c>
      <c r="AJ3165" s="54">
        <f>IF(AND(AF3165=1,AE3165&gt;=set_FYStart,AE3165&lt;=set_AsAt),1,0)</f>
        <v/>
      </c>
      <c r="AK3165" s="54">
        <f>IF(AND(AJ3165=1,AH3165&lt;&gt;"",COUNTIFS($AH$2:AH3165,AH3165,$AJ$2:AJ3165,1)=1),N(AL3164)+1,"")</f>
        <v/>
      </c>
      <c r="AL3165" s="54">
        <f>IF(AK3165&lt;&gt;"",AK3165,N(AL3164))</f>
        <v/>
      </c>
    </row>
    <row r="3166">
      <c r="A3166" t="inlineStr">
        <is>
          <t>CON-1055</t>
        </is>
      </c>
      <c r="B3166" t="inlineStr">
        <is>
          <t>Consulting</t>
        </is>
      </c>
      <c r="AB3166" t="n">
        <v>1055</v>
      </c>
      <c r="AD3166" s="52">
        <f>IFERROR(N(IFERROR(INDEX($A3166:$AB3166,MATCH("Xero Invoiced Ex GST",$A$1:$AB$1,0)),"")),0)</f>
        <v/>
      </c>
      <c r="AE3166" s="53">
        <f>IFERROR(INDEX($A3166:$AB3166,MATCH("Xero Invoice Date",$A$1:$AB$1,0)),"")</f>
        <v/>
      </c>
      <c r="AF3166" s="54">
        <f>IF(AND(IFERROR(INDEX($A3166:$AB3166,MATCH("Xero Invoice No",$A$1:$AB$1,0)),"")&amp;""&lt;&gt;"",ISNUMBER(AE3166),AD3166&lt;&gt;0),1,0)</f>
        <v/>
      </c>
      <c r="AG3166" s="55">
        <f>IF(AF3166=1,EOMONTH(AE3166,0),"")</f>
        <v/>
      </c>
      <c r="AH3166" s="9">
        <f>IF(AF3166=1,UPPER(TRIM(IFERROR(INDEX($A3166:$AB3166,MATCH("Client",$A$1:$AB$1,0)),"")&amp;"")),"")</f>
        <v/>
      </c>
      <c r="AI3166" s="9">
        <f>IF(AF3166=1,IFERROR(INDEX($A3166:$AB3166,MATCH("Cost Centre",$A$1:$AB$1,0)),"")&amp;"","")</f>
        <v/>
      </c>
      <c r="AJ3166" s="54">
        <f>IF(AND(AF3166=1,AE3166&gt;=set_FYStart,AE3166&lt;=set_AsAt),1,0)</f>
        <v/>
      </c>
      <c r="AK3166" s="54">
        <f>IF(AND(AJ3166=1,AH3166&lt;&gt;"",COUNTIFS($AH$2:AH3166,AH3166,$AJ$2:AJ3166,1)=1),N(AL3165)+1,"")</f>
        <v/>
      </c>
      <c r="AL3166" s="54">
        <f>IF(AK3166&lt;&gt;"",AK3166,N(AL3165))</f>
        <v/>
      </c>
    </row>
    <row r="3167">
      <c r="A3167" t="inlineStr">
        <is>
          <t>ONS-1056</t>
        </is>
      </c>
      <c r="B3167" t="inlineStr">
        <is>
          <t>Onsite</t>
        </is>
      </c>
      <c r="AB3167" t="n">
        <v>1056</v>
      </c>
      <c r="AD3167" s="52">
        <f>IFERROR(N(IFERROR(INDEX($A3167:$AB3167,MATCH("Xero Invoiced Ex GST",$A$1:$AB$1,0)),"")),0)</f>
        <v/>
      </c>
      <c r="AE3167" s="53">
        <f>IFERROR(INDEX($A3167:$AB3167,MATCH("Xero Invoice Date",$A$1:$AB$1,0)),"")</f>
        <v/>
      </c>
      <c r="AF3167" s="54">
        <f>IF(AND(IFERROR(INDEX($A3167:$AB3167,MATCH("Xero Invoice No",$A$1:$AB$1,0)),"")&amp;""&lt;&gt;"",ISNUMBER(AE3167),AD3167&lt;&gt;0),1,0)</f>
        <v/>
      </c>
      <c r="AG3167" s="55">
        <f>IF(AF3167=1,EOMONTH(AE3167,0),"")</f>
        <v/>
      </c>
      <c r="AH3167" s="9">
        <f>IF(AF3167=1,UPPER(TRIM(IFERROR(INDEX($A3167:$AB3167,MATCH("Client",$A$1:$AB$1,0)),"")&amp;"")),"")</f>
        <v/>
      </c>
      <c r="AI3167" s="9">
        <f>IF(AF3167=1,IFERROR(INDEX($A3167:$AB3167,MATCH("Cost Centre",$A$1:$AB$1,0)),"")&amp;"","")</f>
        <v/>
      </c>
      <c r="AJ3167" s="54">
        <f>IF(AND(AF3167=1,AE3167&gt;=set_FYStart,AE3167&lt;=set_AsAt),1,0)</f>
        <v/>
      </c>
      <c r="AK3167" s="54">
        <f>IF(AND(AJ3167=1,AH3167&lt;&gt;"",COUNTIFS($AH$2:AH3167,AH3167,$AJ$2:AJ3167,1)=1),N(AL3166)+1,"")</f>
        <v/>
      </c>
      <c r="AL3167" s="54">
        <f>IF(AK3167&lt;&gt;"",AK3167,N(AL3166))</f>
        <v/>
      </c>
    </row>
    <row r="3168">
      <c r="A3168" t="inlineStr">
        <is>
          <t>PRD-1056</t>
        </is>
      </c>
      <c r="B3168" t="inlineStr">
        <is>
          <t>Production</t>
        </is>
      </c>
      <c r="AB3168" t="n">
        <v>1056</v>
      </c>
      <c r="AD3168" s="52">
        <f>IFERROR(N(IFERROR(INDEX($A3168:$AB3168,MATCH("Xero Invoiced Ex GST",$A$1:$AB$1,0)),"")),0)</f>
        <v/>
      </c>
      <c r="AE3168" s="53">
        <f>IFERROR(INDEX($A3168:$AB3168,MATCH("Xero Invoice Date",$A$1:$AB$1,0)),"")</f>
        <v/>
      </c>
      <c r="AF3168" s="54">
        <f>IF(AND(IFERROR(INDEX($A3168:$AB3168,MATCH("Xero Invoice No",$A$1:$AB$1,0)),"")&amp;""&lt;&gt;"",ISNUMBER(AE3168),AD3168&lt;&gt;0),1,0)</f>
        <v/>
      </c>
      <c r="AG3168" s="55">
        <f>IF(AF3168=1,EOMONTH(AE3168,0),"")</f>
        <v/>
      </c>
      <c r="AH3168" s="9">
        <f>IF(AF3168=1,UPPER(TRIM(IFERROR(INDEX($A3168:$AB3168,MATCH("Client",$A$1:$AB$1,0)),"")&amp;"")),"")</f>
        <v/>
      </c>
      <c r="AI3168" s="9">
        <f>IF(AF3168=1,IFERROR(INDEX($A3168:$AB3168,MATCH("Cost Centre",$A$1:$AB$1,0)),"")&amp;"","")</f>
        <v/>
      </c>
      <c r="AJ3168" s="54">
        <f>IF(AND(AF3168=1,AE3168&gt;=set_FYStart,AE3168&lt;=set_AsAt),1,0)</f>
        <v/>
      </c>
      <c r="AK3168" s="54">
        <f>IF(AND(AJ3168=1,AH3168&lt;&gt;"",COUNTIFS($AH$2:AH3168,AH3168,$AJ$2:AJ3168,1)=1),N(AL3167)+1,"")</f>
        <v/>
      </c>
      <c r="AL3168" s="54">
        <f>IF(AK3168&lt;&gt;"",AK3168,N(AL3167))</f>
        <v/>
      </c>
    </row>
    <row r="3169">
      <c r="A3169" t="inlineStr">
        <is>
          <t>CON-1056</t>
        </is>
      </c>
      <c r="B3169" t="inlineStr">
        <is>
          <t>Consulting</t>
        </is>
      </c>
      <c r="AB3169" t="n">
        <v>1056</v>
      </c>
      <c r="AD3169" s="52">
        <f>IFERROR(N(IFERROR(INDEX($A3169:$AB3169,MATCH("Xero Invoiced Ex GST",$A$1:$AB$1,0)),"")),0)</f>
        <v/>
      </c>
      <c r="AE3169" s="53">
        <f>IFERROR(INDEX($A3169:$AB3169,MATCH("Xero Invoice Date",$A$1:$AB$1,0)),"")</f>
        <v/>
      </c>
      <c r="AF3169" s="54">
        <f>IF(AND(IFERROR(INDEX($A3169:$AB3169,MATCH("Xero Invoice No",$A$1:$AB$1,0)),"")&amp;""&lt;&gt;"",ISNUMBER(AE3169),AD3169&lt;&gt;0),1,0)</f>
        <v/>
      </c>
      <c r="AG3169" s="55">
        <f>IF(AF3169=1,EOMONTH(AE3169,0),"")</f>
        <v/>
      </c>
      <c r="AH3169" s="9">
        <f>IF(AF3169=1,UPPER(TRIM(IFERROR(INDEX($A3169:$AB3169,MATCH("Client",$A$1:$AB$1,0)),"")&amp;"")),"")</f>
        <v/>
      </c>
      <c r="AI3169" s="9">
        <f>IF(AF3169=1,IFERROR(INDEX($A3169:$AB3169,MATCH("Cost Centre",$A$1:$AB$1,0)),"")&amp;"","")</f>
        <v/>
      </c>
      <c r="AJ3169" s="54">
        <f>IF(AND(AF3169=1,AE3169&gt;=set_FYStart,AE3169&lt;=set_AsAt),1,0)</f>
        <v/>
      </c>
      <c r="AK3169" s="54">
        <f>IF(AND(AJ3169=1,AH3169&lt;&gt;"",COUNTIFS($AH$2:AH3169,AH3169,$AJ$2:AJ3169,1)=1),N(AL3168)+1,"")</f>
        <v/>
      </c>
      <c r="AL3169" s="54">
        <f>IF(AK3169&lt;&gt;"",AK3169,N(AL3168))</f>
        <v/>
      </c>
    </row>
    <row r="3170">
      <c r="A3170" t="inlineStr">
        <is>
          <t>ONS-1057</t>
        </is>
      </c>
      <c r="B3170" t="inlineStr">
        <is>
          <t>Onsite</t>
        </is>
      </c>
      <c r="AB3170" t="n">
        <v>1057</v>
      </c>
      <c r="AD3170" s="52">
        <f>IFERROR(N(IFERROR(INDEX($A3170:$AB3170,MATCH("Xero Invoiced Ex GST",$A$1:$AB$1,0)),"")),0)</f>
        <v/>
      </c>
      <c r="AE3170" s="53">
        <f>IFERROR(INDEX($A3170:$AB3170,MATCH("Xero Invoice Date",$A$1:$AB$1,0)),"")</f>
        <v/>
      </c>
      <c r="AF3170" s="54">
        <f>IF(AND(IFERROR(INDEX($A3170:$AB3170,MATCH("Xero Invoice No",$A$1:$AB$1,0)),"")&amp;""&lt;&gt;"",ISNUMBER(AE3170),AD3170&lt;&gt;0),1,0)</f>
        <v/>
      </c>
      <c r="AG3170" s="55">
        <f>IF(AF3170=1,EOMONTH(AE3170,0),"")</f>
        <v/>
      </c>
      <c r="AH3170" s="9">
        <f>IF(AF3170=1,UPPER(TRIM(IFERROR(INDEX($A3170:$AB3170,MATCH("Client",$A$1:$AB$1,0)),"")&amp;"")),"")</f>
        <v/>
      </c>
      <c r="AI3170" s="9">
        <f>IF(AF3170=1,IFERROR(INDEX($A3170:$AB3170,MATCH("Cost Centre",$A$1:$AB$1,0)),"")&amp;"","")</f>
        <v/>
      </c>
      <c r="AJ3170" s="54">
        <f>IF(AND(AF3170=1,AE3170&gt;=set_FYStart,AE3170&lt;=set_AsAt),1,0)</f>
        <v/>
      </c>
      <c r="AK3170" s="54">
        <f>IF(AND(AJ3170=1,AH3170&lt;&gt;"",COUNTIFS($AH$2:AH3170,AH3170,$AJ$2:AJ3170,1)=1),N(AL3169)+1,"")</f>
        <v/>
      </c>
      <c r="AL3170" s="54">
        <f>IF(AK3170&lt;&gt;"",AK3170,N(AL3169))</f>
        <v/>
      </c>
    </row>
    <row r="3171">
      <c r="A3171" t="inlineStr">
        <is>
          <t>PRD-1057</t>
        </is>
      </c>
      <c r="B3171" t="inlineStr">
        <is>
          <t>Production</t>
        </is>
      </c>
      <c r="AB3171" t="n">
        <v>1057</v>
      </c>
      <c r="AD3171" s="52">
        <f>IFERROR(N(IFERROR(INDEX($A3171:$AB3171,MATCH("Xero Invoiced Ex GST",$A$1:$AB$1,0)),"")),0)</f>
        <v/>
      </c>
      <c r="AE3171" s="53">
        <f>IFERROR(INDEX($A3171:$AB3171,MATCH("Xero Invoice Date",$A$1:$AB$1,0)),"")</f>
        <v/>
      </c>
      <c r="AF3171" s="54">
        <f>IF(AND(IFERROR(INDEX($A3171:$AB3171,MATCH("Xero Invoice No",$A$1:$AB$1,0)),"")&amp;""&lt;&gt;"",ISNUMBER(AE3171),AD3171&lt;&gt;0),1,0)</f>
        <v/>
      </c>
      <c r="AG3171" s="55">
        <f>IF(AF3171=1,EOMONTH(AE3171,0),"")</f>
        <v/>
      </c>
      <c r="AH3171" s="9">
        <f>IF(AF3171=1,UPPER(TRIM(IFERROR(INDEX($A3171:$AB3171,MATCH("Client",$A$1:$AB$1,0)),"")&amp;"")),"")</f>
        <v/>
      </c>
      <c r="AI3171" s="9">
        <f>IF(AF3171=1,IFERROR(INDEX($A3171:$AB3171,MATCH("Cost Centre",$A$1:$AB$1,0)),"")&amp;"","")</f>
        <v/>
      </c>
      <c r="AJ3171" s="54">
        <f>IF(AND(AF3171=1,AE3171&gt;=set_FYStart,AE3171&lt;=set_AsAt),1,0)</f>
        <v/>
      </c>
      <c r="AK3171" s="54">
        <f>IF(AND(AJ3171=1,AH3171&lt;&gt;"",COUNTIFS($AH$2:AH3171,AH3171,$AJ$2:AJ3171,1)=1),N(AL3170)+1,"")</f>
        <v/>
      </c>
      <c r="AL3171" s="54">
        <f>IF(AK3171&lt;&gt;"",AK3171,N(AL3170))</f>
        <v/>
      </c>
    </row>
    <row r="3172">
      <c r="A3172" t="inlineStr">
        <is>
          <t>CON-1057</t>
        </is>
      </c>
      <c r="B3172" t="inlineStr">
        <is>
          <t>Consulting</t>
        </is>
      </c>
      <c r="AB3172" t="n">
        <v>1057</v>
      </c>
      <c r="AD3172" s="52">
        <f>IFERROR(N(IFERROR(INDEX($A3172:$AB3172,MATCH("Xero Invoiced Ex GST",$A$1:$AB$1,0)),"")),0)</f>
        <v/>
      </c>
      <c r="AE3172" s="53">
        <f>IFERROR(INDEX($A3172:$AB3172,MATCH("Xero Invoice Date",$A$1:$AB$1,0)),"")</f>
        <v/>
      </c>
      <c r="AF3172" s="54">
        <f>IF(AND(IFERROR(INDEX($A3172:$AB3172,MATCH("Xero Invoice No",$A$1:$AB$1,0)),"")&amp;""&lt;&gt;"",ISNUMBER(AE3172),AD3172&lt;&gt;0),1,0)</f>
        <v/>
      </c>
      <c r="AG3172" s="55">
        <f>IF(AF3172=1,EOMONTH(AE3172,0),"")</f>
        <v/>
      </c>
      <c r="AH3172" s="9">
        <f>IF(AF3172=1,UPPER(TRIM(IFERROR(INDEX($A3172:$AB3172,MATCH("Client",$A$1:$AB$1,0)),"")&amp;"")),"")</f>
        <v/>
      </c>
      <c r="AI3172" s="9">
        <f>IF(AF3172=1,IFERROR(INDEX($A3172:$AB3172,MATCH("Cost Centre",$A$1:$AB$1,0)),"")&amp;"","")</f>
        <v/>
      </c>
      <c r="AJ3172" s="54">
        <f>IF(AND(AF3172=1,AE3172&gt;=set_FYStart,AE3172&lt;=set_AsAt),1,0)</f>
        <v/>
      </c>
      <c r="AK3172" s="54">
        <f>IF(AND(AJ3172=1,AH3172&lt;&gt;"",COUNTIFS($AH$2:AH3172,AH3172,$AJ$2:AJ3172,1)=1),N(AL3171)+1,"")</f>
        <v/>
      </c>
      <c r="AL3172" s="54">
        <f>IF(AK3172&lt;&gt;"",AK3172,N(AL3171))</f>
        <v/>
      </c>
    </row>
    <row r="3173">
      <c r="A3173" t="inlineStr">
        <is>
          <t>ONS-1058</t>
        </is>
      </c>
      <c r="B3173" t="inlineStr">
        <is>
          <t>Onsite</t>
        </is>
      </c>
      <c r="AB3173" t="n">
        <v>1058</v>
      </c>
      <c r="AD3173" s="52">
        <f>IFERROR(N(IFERROR(INDEX($A3173:$AB3173,MATCH("Xero Invoiced Ex GST",$A$1:$AB$1,0)),"")),0)</f>
        <v/>
      </c>
      <c r="AE3173" s="53">
        <f>IFERROR(INDEX($A3173:$AB3173,MATCH("Xero Invoice Date",$A$1:$AB$1,0)),"")</f>
        <v/>
      </c>
      <c r="AF3173" s="54">
        <f>IF(AND(IFERROR(INDEX($A3173:$AB3173,MATCH("Xero Invoice No",$A$1:$AB$1,0)),"")&amp;""&lt;&gt;"",ISNUMBER(AE3173),AD3173&lt;&gt;0),1,0)</f>
        <v/>
      </c>
      <c r="AG3173" s="55">
        <f>IF(AF3173=1,EOMONTH(AE3173,0),"")</f>
        <v/>
      </c>
      <c r="AH3173" s="9">
        <f>IF(AF3173=1,UPPER(TRIM(IFERROR(INDEX($A3173:$AB3173,MATCH("Client",$A$1:$AB$1,0)),"")&amp;"")),"")</f>
        <v/>
      </c>
      <c r="AI3173" s="9">
        <f>IF(AF3173=1,IFERROR(INDEX($A3173:$AB3173,MATCH("Cost Centre",$A$1:$AB$1,0)),"")&amp;"","")</f>
        <v/>
      </c>
      <c r="AJ3173" s="54">
        <f>IF(AND(AF3173=1,AE3173&gt;=set_FYStart,AE3173&lt;=set_AsAt),1,0)</f>
        <v/>
      </c>
      <c r="AK3173" s="54">
        <f>IF(AND(AJ3173=1,AH3173&lt;&gt;"",COUNTIFS($AH$2:AH3173,AH3173,$AJ$2:AJ3173,1)=1),N(AL3172)+1,"")</f>
        <v/>
      </c>
      <c r="AL3173" s="54">
        <f>IF(AK3173&lt;&gt;"",AK3173,N(AL3172))</f>
        <v/>
      </c>
    </row>
    <row r="3174">
      <c r="A3174" t="inlineStr">
        <is>
          <t>PRD-1058</t>
        </is>
      </c>
      <c r="B3174" t="inlineStr">
        <is>
          <t>Production</t>
        </is>
      </c>
      <c r="AB3174" t="n">
        <v>1058</v>
      </c>
      <c r="AD3174" s="52">
        <f>IFERROR(N(IFERROR(INDEX($A3174:$AB3174,MATCH("Xero Invoiced Ex GST",$A$1:$AB$1,0)),"")),0)</f>
        <v/>
      </c>
      <c r="AE3174" s="53">
        <f>IFERROR(INDEX($A3174:$AB3174,MATCH("Xero Invoice Date",$A$1:$AB$1,0)),"")</f>
        <v/>
      </c>
      <c r="AF3174" s="54">
        <f>IF(AND(IFERROR(INDEX($A3174:$AB3174,MATCH("Xero Invoice No",$A$1:$AB$1,0)),"")&amp;""&lt;&gt;"",ISNUMBER(AE3174),AD3174&lt;&gt;0),1,0)</f>
        <v/>
      </c>
      <c r="AG3174" s="55">
        <f>IF(AF3174=1,EOMONTH(AE3174,0),"")</f>
        <v/>
      </c>
      <c r="AH3174" s="9">
        <f>IF(AF3174=1,UPPER(TRIM(IFERROR(INDEX($A3174:$AB3174,MATCH("Client",$A$1:$AB$1,0)),"")&amp;"")),"")</f>
        <v/>
      </c>
      <c r="AI3174" s="9">
        <f>IF(AF3174=1,IFERROR(INDEX($A3174:$AB3174,MATCH("Cost Centre",$A$1:$AB$1,0)),"")&amp;"","")</f>
        <v/>
      </c>
      <c r="AJ3174" s="54">
        <f>IF(AND(AF3174=1,AE3174&gt;=set_FYStart,AE3174&lt;=set_AsAt),1,0)</f>
        <v/>
      </c>
      <c r="AK3174" s="54">
        <f>IF(AND(AJ3174=1,AH3174&lt;&gt;"",COUNTIFS($AH$2:AH3174,AH3174,$AJ$2:AJ3174,1)=1),N(AL3173)+1,"")</f>
        <v/>
      </c>
      <c r="AL3174" s="54">
        <f>IF(AK3174&lt;&gt;"",AK3174,N(AL3173))</f>
        <v/>
      </c>
    </row>
    <row r="3175">
      <c r="A3175" t="inlineStr">
        <is>
          <t>CON-1058</t>
        </is>
      </c>
      <c r="B3175" t="inlineStr">
        <is>
          <t>Consulting</t>
        </is>
      </c>
      <c r="AB3175" t="n">
        <v>1058</v>
      </c>
      <c r="AD3175" s="52">
        <f>IFERROR(N(IFERROR(INDEX($A3175:$AB3175,MATCH("Xero Invoiced Ex GST",$A$1:$AB$1,0)),"")),0)</f>
        <v/>
      </c>
      <c r="AE3175" s="53">
        <f>IFERROR(INDEX($A3175:$AB3175,MATCH("Xero Invoice Date",$A$1:$AB$1,0)),"")</f>
        <v/>
      </c>
      <c r="AF3175" s="54">
        <f>IF(AND(IFERROR(INDEX($A3175:$AB3175,MATCH("Xero Invoice No",$A$1:$AB$1,0)),"")&amp;""&lt;&gt;"",ISNUMBER(AE3175),AD3175&lt;&gt;0),1,0)</f>
        <v/>
      </c>
      <c r="AG3175" s="55">
        <f>IF(AF3175=1,EOMONTH(AE3175,0),"")</f>
        <v/>
      </c>
      <c r="AH3175" s="9">
        <f>IF(AF3175=1,UPPER(TRIM(IFERROR(INDEX($A3175:$AB3175,MATCH("Client",$A$1:$AB$1,0)),"")&amp;"")),"")</f>
        <v/>
      </c>
      <c r="AI3175" s="9">
        <f>IF(AF3175=1,IFERROR(INDEX($A3175:$AB3175,MATCH("Cost Centre",$A$1:$AB$1,0)),"")&amp;"","")</f>
        <v/>
      </c>
      <c r="AJ3175" s="54">
        <f>IF(AND(AF3175=1,AE3175&gt;=set_FYStart,AE3175&lt;=set_AsAt),1,0)</f>
        <v/>
      </c>
      <c r="AK3175" s="54">
        <f>IF(AND(AJ3175=1,AH3175&lt;&gt;"",COUNTIFS($AH$2:AH3175,AH3175,$AJ$2:AJ3175,1)=1),N(AL3174)+1,"")</f>
        <v/>
      </c>
      <c r="AL3175" s="54">
        <f>IF(AK3175&lt;&gt;"",AK3175,N(AL3174))</f>
        <v/>
      </c>
    </row>
    <row r="3176">
      <c r="A3176" t="inlineStr">
        <is>
          <t>ONS-1059</t>
        </is>
      </c>
      <c r="B3176" t="inlineStr">
        <is>
          <t>Onsite</t>
        </is>
      </c>
      <c r="AB3176" t="n">
        <v>1059</v>
      </c>
      <c r="AD3176" s="52">
        <f>IFERROR(N(IFERROR(INDEX($A3176:$AB3176,MATCH("Xero Invoiced Ex GST",$A$1:$AB$1,0)),"")),0)</f>
        <v/>
      </c>
      <c r="AE3176" s="53">
        <f>IFERROR(INDEX($A3176:$AB3176,MATCH("Xero Invoice Date",$A$1:$AB$1,0)),"")</f>
        <v/>
      </c>
      <c r="AF3176" s="54">
        <f>IF(AND(IFERROR(INDEX($A3176:$AB3176,MATCH("Xero Invoice No",$A$1:$AB$1,0)),"")&amp;""&lt;&gt;"",ISNUMBER(AE3176),AD3176&lt;&gt;0),1,0)</f>
        <v/>
      </c>
      <c r="AG3176" s="55">
        <f>IF(AF3176=1,EOMONTH(AE3176,0),"")</f>
        <v/>
      </c>
      <c r="AH3176" s="9">
        <f>IF(AF3176=1,UPPER(TRIM(IFERROR(INDEX($A3176:$AB3176,MATCH("Client",$A$1:$AB$1,0)),"")&amp;"")),"")</f>
        <v/>
      </c>
      <c r="AI3176" s="9">
        <f>IF(AF3176=1,IFERROR(INDEX($A3176:$AB3176,MATCH("Cost Centre",$A$1:$AB$1,0)),"")&amp;"","")</f>
        <v/>
      </c>
      <c r="AJ3176" s="54">
        <f>IF(AND(AF3176=1,AE3176&gt;=set_FYStart,AE3176&lt;=set_AsAt),1,0)</f>
        <v/>
      </c>
      <c r="AK3176" s="54">
        <f>IF(AND(AJ3176=1,AH3176&lt;&gt;"",COUNTIFS($AH$2:AH3176,AH3176,$AJ$2:AJ3176,1)=1),N(AL3175)+1,"")</f>
        <v/>
      </c>
      <c r="AL3176" s="54">
        <f>IF(AK3176&lt;&gt;"",AK3176,N(AL3175))</f>
        <v/>
      </c>
    </row>
    <row r="3177">
      <c r="A3177" t="inlineStr">
        <is>
          <t>PRD-1059</t>
        </is>
      </c>
      <c r="B3177" t="inlineStr">
        <is>
          <t>Production</t>
        </is>
      </c>
      <c r="AB3177" t="n">
        <v>1059</v>
      </c>
      <c r="AD3177" s="52">
        <f>IFERROR(N(IFERROR(INDEX($A3177:$AB3177,MATCH("Xero Invoiced Ex GST",$A$1:$AB$1,0)),"")),0)</f>
        <v/>
      </c>
      <c r="AE3177" s="53">
        <f>IFERROR(INDEX($A3177:$AB3177,MATCH("Xero Invoice Date",$A$1:$AB$1,0)),"")</f>
        <v/>
      </c>
      <c r="AF3177" s="54">
        <f>IF(AND(IFERROR(INDEX($A3177:$AB3177,MATCH("Xero Invoice No",$A$1:$AB$1,0)),"")&amp;""&lt;&gt;"",ISNUMBER(AE3177),AD3177&lt;&gt;0),1,0)</f>
        <v/>
      </c>
      <c r="AG3177" s="55">
        <f>IF(AF3177=1,EOMONTH(AE3177,0),"")</f>
        <v/>
      </c>
      <c r="AH3177" s="9">
        <f>IF(AF3177=1,UPPER(TRIM(IFERROR(INDEX($A3177:$AB3177,MATCH("Client",$A$1:$AB$1,0)),"")&amp;"")),"")</f>
        <v/>
      </c>
      <c r="AI3177" s="9">
        <f>IF(AF3177=1,IFERROR(INDEX($A3177:$AB3177,MATCH("Cost Centre",$A$1:$AB$1,0)),"")&amp;"","")</f>
        <v/>
      </c>
      <c r="AJ3177" s="54">
        <f>IF(AND(AF3177=1,AE3177&gt;=set_FYStart,AE3177&lt;=set_AsAt),1,0)</f>
        <v/>
      </c>
      <c r="AK3177" s="54">
        <f>IF(AND(AJ3177=1,AH3177&lt;&gt;"",COUNTIFS($AH$2:AH3177,AH3177,$AJ$2:AJ3177,1)=1),N(AL3176)+1,"")</f>
        <v/>
      </c>
      <c r="AL3177" s="54">
        <f>IF(AK3177&lt;&gt;"",AK3177,N(AL3176))</f>
        <v/>
      </c>
    </row>
    <row r="3178">
      <c r="A3178" t="inlineStr">
        <is>
          <t>CON-1059</t>
        </is>
      </c>
      <c r="B3178" t="inlineStr">
        <is>
          <t>Consulting</t>
        </is>
      </c>
      <c r="AB3178" t="n">
        <v>1059</v>
      </c>
      <c r="AD3178" s="52">
        <f>IFERROR(N(IFERROR(INDEX($A3178:$AB3178,MATCH("Xero Invoiced Ex GST",$A$1:$AB$1,0)),"")),0)</f>
        <v/>
      </c>
      <c r="AE3178" s="53">
        <f>IFERROR(INDEX($A3178:$AB3178,MATCH("Xero Invoice Date",$A$1:$AB$1,0)),"")</f>
        <v/>
      </c>
      <c r="AF3178" s="54">
        <f>IF(AND(IFERROR(INDEX($A3178:$AB3178,MATCH("Xero Invoice No",$A$1:$AB$1,0)),"")&amp;""&lt;&gt;"",ISNUMBER(AE3178),AD3178&lt;&gt;0),1,0)</f>
        <v/>
      </c>
      <c r="AG3178" s="55">
        <f>IF(AF3178=1,EOMONTH(AE3178,0),"")</f>
        <v/>
      </c>
      <c r="AH3178" s="9">
        <f>IF(AF3178=1,UPPER(TRIM(IFERROR(INDEX($A3178:$AB3178,MATCH("Client",$A$1:$AB$1,0)),"")&amp;"")),"")</f>
        <v/>
      </c>
      <c r="AI3178" s="9">
        <f>IF(AF3178=1,IFERROR(INDEX($A3178:$AB3178,MATCH("Cost Centre",$A$1:$AB$1,0)),"")&amp;"","")</f>
        <v/>
      </c>
      <c r="AJ3178" s="54">
        <f>IF(AND(AF3178=1,AE3178&gt;=set_FYStart,AE3178&lt;=set_AsAt),1,0)</f>
        <v/>
      </c>
      <c r="AK3178" s="54">
        <f>IF(AND(AJ3178=1,AH3178&lt;&gt;"",COUNTIFS($AH$2:AH3178,AH3178,$AJ$2:AJ3178,1)=1),N(AL3177)+1,"")</f>
        <v/>
      </c>
      <c r="AL3178" s="54">
        <f>IF(AK3178&lt;&gt;"",AK3178,N(AL3177))</f>
        <v/>
      </c>
    </row>
    <row r="3179">
      <c r="A3179" t="inlineStr">
        <is>
          <t>ONS-1060</t>
        </is>
      </c>
      <c r="B3179" t="inlineStr">
        <is>
          <t>Onsite</t>
        </is>
      </c>
      <c r="AB3179" t="n">
        <v>1060</v>
      </c>
      <c r="AD3179" s="52">
        <f>IFERROR(N(IFERROR(INDEX($A3179:$AB3179,MATCH("Xero Invoiced Ex GST",$A$1:$AB$1,0)),"")),0)</f>
        <v/>
      </c>
      <c r="AE3179" s="53">
        <f>IFERROR(INDEX($A3179:$AB3179,MATCH("Xero Invoice Date",$A$1:$AB$1,0)),"")</f>
        <v/>
      </c>
      <c r="AF3179" s="54">
        <f>IF(AND(IFERROR(INDEX($A3179:$AB3179,MATCH("Xero Invoice No",$A$1:$AB$1,0)),"")&amp;""&lt;&gt;"",ISNUMBER(AE3179),AD3179&lt;&gt;0),1,0)</f>
        <v/>
      </c>
      <c r="AG3179" s="55">
        <f>IF(AF3179=1,EOMONTH(AE3179,0),"")</f>
        <v/>
      </c>
      <c r="AH3179" s="9">
        <f>IF(AF3179=1,UPPER(TRIM(IFERROR(INDEX($A3179:$AB3179,MATCH("Client",$A$1:$AB$1,0)),"")&amp;"")),"")</f>
        <v/>
      </c>
      <c r="AI3179" s="9">
        <f>IF(AF3179=1,IFERROR(INDEX($A3179:$AB3179,MATCH("Cost Centre",$A$1:$AB$1,0)),"")&amp;"","")</f>
        <v/>
      </c>
      <c r="AJ3179" s="54">
        <f>IF(AND(AF3179=1,AE3179&gt;=set_FYStart,AE3179&lt;=set_AsAt),1,0)</f>
        <v/>
      </c>
      <c r="AK3179" s="54">
        <f>IF(AND(AJ3179=1,AH3179&lt;&gt;"",COUNTIFS($AH$2:AH3179,AH3179,$AJ$2:AJ3179,1)=1),N(AL3178)+1,"")</f>
        <v/>
      </c>
      <c r="AL3179" s="54">
        <f>IF(AK3179&lt;&gt;"",AK3179,N(AL3178))</f>
        <v/>
      </c>
    </row>
    <row r="3180">
      <c r="A3180" t="inlineStr">
        <is>
          <t>PRD-1060</t>
        </is>
      </c>
      <c r="B3180" t="inlineStr">
        <is>
          <t>Production</t>
        </is>
      </c>
      <c r="AB3180" t="n">
        <v>1060</v>
      </c>
      <c r="AD3180" s="52">
        <f>IFERROR(N(IFERROR(INDEX($A3180:$AB3180,MATCH("Xero Invoiced Ex GST",$A$1:$AB$1,0)),"")),0)</f>
        <v/>
      </c>
      <c r="AE3180" s="53">
        <f>IFERROR(INDEX($A3180:$AB3180,MATCH("Xero Invoice Date",$A$1:$AB$1,0)),"")</f>
        <v/>
      </c>
      <c r="AF3180" s="54">
        <f>IF(AND(IFERROR(INDEX($A3180:$AB3180,MATCH("Xero Invoice No",$A$1:$AB$1,0)),"")&amp;""&lt;&gt;"",ISNUMBER(AE3180),AD3180&lt;&gt;0),1,0)</f>
        <v/>
      </c>
      <c r="AG3180" s="55">
        <f>IF(AF3180=1,EOMONTH(AE3180,0),"")</f>
        <v/>
      </c>
      <c r="AH3180" s="9">
        <f>IF(AF3180=1,UPPER(TRIM(IFERROR(INDEX($A3180:$AB3180,MATCH("Client",$A$1:$AB$1,0)),"")&amp;"")),"")</f>
        <v/>
      </c>
      <c r="AI3180" s="9">
        <f>IF(AF3180=1,IFERROR(INDEX($A3180:$AB3180,MATCH("Cost Centre",$A$1:$AB$1,0)),"")&amp;"","")</f>
        <v/>
      </c>
      <c r="AJ3180" s="54">
        <f>IF(AND(AF3180=1,AE3180&gt;=set_FYStart,AE3180&lt;=set_AsAt),1,0)</f>
        <v/>
      </c>
      <c r="AK3180" s="54">
        <f>IF(AND(AJ3180=1,AH3180&lt;&gt;"",COUNTIFS($AH$2:AH3180,AH3180,$AJ$2:AJ3180,1)=1),N(AL3179)+1,"")</f>
        <v/>
      </c>
      <c r="AL3180" s="54">
        <f>IF(AK3180&lt;&gt;"",AK3180,N(AL3179))</f>
        <v/>
      </c>
    </row>
    <row r="3181">
      <c r="A3181" t="inlineStr">
        <is>
          <t>CON-1060</t>
        </is>
      </c>
      <c r="B3181" t="inlineStr">
        <is>
          <t>Consulting</t>
        </is>
      </c>
      <c r="AB3181" t="n">
        <v>1060</v>
      </c>
      <c r="AD3181" s="52">
        <f>IFERROR(N(IFERROR(INDEX($A3181:$AB3181,MATCH("Xero Invoiced Ex GST",$A$1:$AB$1,0)),"")),0)</f>
        <v/>
      </c>
      <c r="AE3181" s="53">
        <f>IFERROR(INDEX($A3181:$AB3181,MATCH("Xero Invoice Date",$A$1:$AB$1,0)),"")</f>
        <v/>
      </c>
      <c r="AF3181" s="54">
        <f>IF(AND(IFERROR(INDEX($A3181:$AB3181,MATCH("Xero Invoice No",$A$1:$AB$1,0)),"")&amp;""&lt;&gt;"",ISNUMBER(AE3181),AD3181&lt;&gt;0),1,0)</f>
        <v/>
      </c>
      <c r="AG3181" s="55">
        <f>IF(AF3181=1,EOMONTH(AE3181,0),"")</f>
        <v/>
      </c>
      <c r="AH3181" s="9">
        <f>IF(AF3181=1,UPPER(TRIM(IFERROR(INDEX($A3181:$AB3181,MATCH("Client",$A$1:$AB$1,0)),"")&amp;"")),"")</f>
        <v/>
      </c>
      <c r="AI3181" s="9">
        <f>IF(AF3181=1,IFERROR(INDEX($A3181:$AB3181,MATCH("Cost Centre",$A$1:$AB$1,0)),"")&amp;"","")</f>
        <v/>
      </c>
      <c r="AJ3181" s="54">
        <f>IF(AND(AF3181=1,AE3181&gt;=set_FYStart,AE3181&lt;=set_AsAt),1,0)</f>
        <v/>
      </c>
      <c r="AK3181" s="54">
        <f>IF(AND(AJ3181=1,AH3181&lt;&gt;"",COUNTIFS($AH$2:AH3181,AH3181,$AJ$2:AJ3181,1)=1),N(AL3180)+1,"")</f>
        <v/>
      </c>
      <c r="AL3181" s="54">
        <f>IF(AK3181&lt;&gt;"",AK3181,N(AL3180))</f>
        <v/>
      </c>
    </row>
    <row r="3182">
      <c r="A3182" t="inlineStr">
        <is>
          <t>ONS-1061</t>
        </is>
      </c>
      <c r="B3182" t="inlineStr">
        <is>
          <t>Onsite</t>
        </is>
      </c>
      <c r="AB3182" t="n">
        <v>1061</v>
      </c>
      <c r="AD3182" s="52">
        <f>IFERROR(N(IFERROR(INDEX($A3182:$AB3182,MATCH("Xero Invoiced Ex GST",$A$1:$AB$1,0)),"")),0)</f>
        <v/>
      </c>
      <c r="AE3182" s="53">
        <f>IFERROR(INDEX($A3182:$AB3182,MATCH("Xero Invoice Date",$A$1:$AB$1,0)),"")</f>
        <v/>
      </c>
      <c r="AF3182" s="54">
        <f>IF(AND(IFERROR(INDEX($A3182:$AB3182,MATCH("Xero Invoice No",$A$1:$AB$1,0)),"")&amp;""&lt;&gt;"",ISNUMBER(AE3182),AD3182&lt;&gt;0),1,0)</f>
        <v/>
      </c>
      <c r="AG3182" s="55">
        <f>IF(AF3182=1,EOMONTH(AE3182,0),"")</f>
        <v/>
      </c>
      <c r="AH3182" s="9">
        <f>IF(AF3182=1,UPPER(TRIM(IFERROR(INDEX($A3182:$AB3182,MATCH("Client",$A$1:$AB$1,0)),"")&amp;"")),"")</f>
        <v/>
      </c>
      <c r="AI3182" s="9">
        <f>IF(AF3182=1,IFERROR(INDEX($A3182:$AB3182,MATCH("Cost Centre",$A$1:$AB$1,0)),"")&amp;"","")</f>
        <v/>
      </c>
      <c r="AJ3182" s="54">
        <f>IF(AND(AF3182=1,AE3182&gt;=set_FYStart,AE3182&lt;=set_AsAt),1,0)</f>
        <v/>
      </c>
      <c r="AK3182" s="54">
        <f>IF(AND(AJ3182=1,AH3182&lt;&gt;"",COUNTIFS($AH$2:AH3182,AH3182,$AJ$2:AJ3182,1)=1),N(AL3181)+1,"")</f>
        <v/>
      </c>
      <c r="AL3182" s="54">
        <f>IF(AK3182&lt;&gt;"",AK3182,N(AL3181))</f>
        <v/>
      </c>
    </row>
    <row r="3183">
      <c r="A3183" t="inlineStr">
        <is>
          <t>PRD-1061</t>
        </is>
      </c>
      <c r="B3183" t="inlineStr">
        <is>
          <t>Production</t>
        </is>
      </c>
      <c r="AB3183" t="n">
        <v>1061</v>
      </c>
      <c r="AD3183" s="52">
        <f>IFERROR(N(IFERROR(INDEX($A3183:$AB3183,MATCH("Xero Invoiced Ex GST",$A$1:$AB$1,0)),"")),0)</f>
        <v/>
      </c>
      <c r="AE3183" s="53">
        <f>IFERROR(INDEX($A3183:$AB3183,MATCH("Xero Invoice Date",$A$1:$AB$1,0)),"")</f>
        <v/>
      </c>
      <c r="AF3183" s="54">
        <f>IF(AND(IFERROR(INDEX($A3183:$AB3183,MATCH("Xero Invoice No",$A$1:$AB$1,0)),"")&amp;""&lt;&gt;"",ISNUMBER(AE3183),AD3183&lt;&gt;0),1,0)</f>
        <v/>
      </c>
      <c r="AG3183" s="55">
        <f>IF(AF3183=1,EOMONTH(AE3183,0),"")</f>
        <v/>
      </c>
      <c r="AH3183" s="9">
        <f>IF(AF3183=1,UPPER(TRIM(IFERROR(INDEX($A3183:$AB3183,MATCH("Client",$A$1:$AB$1,0)),"")&amp;"")),"")</f>
        <v/>
      </c>
      <c r="AI3183" s="9">
        <f>IF(AF3183=1,IFERROR(INDEX($A3183:$AB3183,MATCH("Cost Centre",$A$1:$AB$1,0)),"")&amp;"","")</f>
        <v/>
      </c>
      <c r="AJ3183" s="54">
        <f>IF(AND(AF3183=1,AE3183&gt;=set_FYStart,AE3183&lt;=set_AsAt),1,0)</f>
        <v/>
      </c>
      <c r="AK3183" s="54">
        <f>IF(AND(AJ3183=1,AH3183&lt;&gt;"",COUNTIFS($AH$2:AH3183,AH3183,$AJ$2:AJ3183,1)=1),N(AL3182)+1,"")</f>
        <v/>
      </c>
      <c r="AL3183" s="54">
        <f>IF(AK3183&lt;&gt;"",AK3183,N(AL3182))</f>
        <v/>
      </c>
    </row>
    <row r="3184">
      <c r="A3184" t="inlineStr">
        <is>
          <t>CON-1061</t>
        </is>
      </c>
      <c r="B3184" t="inlineStr">
        <is>
          <t>Consulting</t>
        </is>
      </c>
      <c r="AB3184" t="n">
        <v>1061</v>
      </c>
      <c r="AD3184" s="52">
        <f>IFERROR(N(IFERROR(INDEX($A3184:$AB3184,MATCH("Xero Invoiced Ex GST",$A$1:$AB$1,0)),"")),0)</f>
        <v/>
      </c>
      <c r="AE3184" s="53">
        <f>IFERROR(INDEX($A3184:$AB3184,MATCH("Xero Invoice Date",$A$1:$AB$1,0)),"")</f>
        <v/>
      </c>
      <c r="AF3184" s="54">
        <f>IF(AND(IFERROR(INDEX($A3184:$AB3184,MATCH("Xero Invoice No",$A$1:$AB$1,0)),"")&amp;""&lt;&gt;"",ISNUMBER(AE3184),AD3184&lt;&gt;0),1,0)</f>
        <v/>
      </c>
      <c r="AG3184" s="55">
        <f>IF(AF3184=1,EOMONTH(AE3184,0),"")</f>
        <v/>
      </c>
      <c r="AH3184" s="9">
        <f>IF(AF3184=1,UPPER(TRIM(IFERROR(INDEX($A3184:$AB3184,MATCH("Client",$A$1:$AB$1,0)),"")&amp;"")),"")</f>
        <v/>
      </c>
      <c r="AI3184" s="9">
        <f>IF(AF3184=1,IFERROR(INDEX($A3184:$AB3184,MATCH("Cost Centre",$A$1:$AB$1,0)),"")&amp;"","")</f>
        <v/>
      </c>
      <c r="AJ3184" s="54">
        <f>IF(AND(AF3184=1,AE3184&gt;=set_FYStart,AE3184&lt;=set_AsAt),1,0)</f>
        <v/>
      </c>
      <c r="AK3184" s="54">
        <f>IF(AND(AJ3184=1,AH3184&lt;&gt;"",COUNTIFS($AH$2:AH3184,AH3184,$AJ$2:AJ3184,1)=1),N(AL3183)+1,"")</f>
        <v/>
      </c>
      <c r="AL3184" s="54">
        <f>IF(AK3184&lt;&gt;"",AK3184,N(AL3183))</f>
        <v/>
      </c>
    </row>
    <row r="3185">
      <c r="A3185" t="inlineStr">
        <is>
          <t>ONS-1062</t>
        </is>
      </c>
      <c r="B3185" t="inlineStr">
        <is>
          <t>Onsite</t>
        </is>
      </c>
      <c r="AB3185" t="n">
        <v>1062</v>
      </c>
      <c r="AD3185" s="52">
        <f>IFERROR(N(IFERROR(INDEX($A3185:$AB3185,MATCH("Xero Invoiced Ex GST",$A$1:$AB$1,0)),"")),0)</f>
        <v/>
      </c>
      <c r="AE3185" s="53">
        <f>IFERROR(INDEX($A3185:$AB3185,MATCH("Xero Invoice Date",$A$1:$AB$1,0)),"")</f>
        <v/>
      </c>
      <c r="AF3185" s="54">
        <f>IF(AND(IFERROR(INDEX($A3185:$AB3185,MATCH("Xero Invoice No",$A$1:$AB$1,0)),"")&amp;""&lt;&gt;"",ISNUMBER(AE3185),AD3185&lt;&gt;0),1,0)</f>
        <v/>
      </c>
      <c r="AG3185" s="55">
        <f>IF(AF3185=1,EOMONTH(AE3185,0),"")</f>
        <v/>
      </c>
      <c r="AH3185" s="9">
        <f>IF(AF3185=1,UPPER(TRIM(IFERROR(INDEX($A3185:$AB3185,MATCH("Client",$A$1:$AB$1,0)),"")&amp;"")),"")</f>
        <v/>
      </c>
      <c r="AI3185" s="9">
        <f>IF(AF3185=1,IFERROR(INDEX($A3185:$AB3185,MATCH("Cost Centre",$A$1:$AB$1,0)),"")&amp;"","")</f>
        <v/>
      </c>
      <c r="AJ3185" s="54">
        <f>IF(AND(AF3185=1,AE3185&gt;=set_FYStart,AE3185&lt;=set_AsAt),1,0)</f>
        <v/>
      </c>
      <c r="AK3185" s="54">
        <f>IF(AND(AJ3185=1,AH3185&lt;&gt;"",COUNTIFS($AH$2:AH3185,AH3185,$AJ$2:AJ3185,1)=1),N(AL3184)+1,"")</f>
        <v/>
      </c>
      <c r="AL3185" s="54">
        <f>IF(AK3185&lt;&gt;"",AK3185,N(AL3184))</f>
        <v/>
      </c>
    </row>
    <row r="3186">
      <c r="A3186" t="inlineStr">
        <is>
          <t>PRD-1062</t>
        </is>
      </c>
      <c r="B3186" t="inlineStr">
        <is>
          <t>Production</t>
        </is>
      </c>
      <c r="AB3186" t="n">
        <v>1062</v>
      </c>
      <c r="AD3186" s="52">
        <f>IFERROR(N(IFERROR(INDEX($A3186:$AB3186,MATCH("Xero Invoiced Ex GST",$A$1:$AB$1,0)),"")),0)</f>
        <v/>
      </c>
      <c r="AE3186" s="53">
        <f>IFERROR(INDEX($A3186:$AB3186,MATCH("Xero Invoice Date",$A$1:$AB$1,0)),"")</f>
        <v/>
      </c>
      <c r="AF3186" s="54">
        <f>IF(AND(IFERROR(INDEX($A3186:$AB3186,MATCH("Xero Invoice No",$A$1:$AB$1,0)),"")&amp;""&lt;&gt;"",ISNUMBER(AE3186),AD3186&lt;&gt;0),1,0)</f>
        <v/>
      </c>
      <c r="AG3186" s="55">
        <f>IF(AF3186=1,EOMONTH(AE3186,0),"")</f>
        <v/>
      </c>
      <c r="AH3186" s="9">
        <f>IF(AF3186=1,UPPER(TRIM(IFERROR(INDEX($A3186:$AB3186,MATCH("Client",$A$1:$AB$1,0)),"")&amp;"")),"")</f>
        <v/>
      </c>
      <c r="AI3186" s="9">
        <f>IF(AF3186=1,IFERROR(INDEX($A3186:$AB3186,MATCH("Cost Centre",$A$1:$AB$1,0)),"")&amp;"","")</f>
        <v/>
      </c>
      <c r="AJ3186" s="54">
        <f>IF(AND(AF3186=1,AE3186&gt;=set_FYStart,AE3186&lt;=set_AsAt),1,0)</f>
        <v/>
      </c>
      <c r="AK3186" s="54">
        <f>IF(AND(AJ3186=1,AH3186&lt;&gt;"",COUNTIFS($AH$2:AH3186,AH3186,$AJ$2:AJ3186,1)=1),N(AL3185)+1,"")</f>
        <v/>
      </c>
      <c r="AL3186" s="54">
        <f>IF(AK3186&lt;&gt;"",AK3186,N(AL3185))</f>
        <v/>
      </c>
    </row>
    <row r="3187">
      <c r="A3187" t="inlineStr">
        <is>
          <t>CON-1062</t>
        </is>
      </c>
      <c r="B3187" t="inlineStr">
        <is>
          <t>Consulting</t>
        </is>
      </c>
      <c r="AB3187" t="n">
        <v>1062</v>
      </c>
      <c r="AD3187" s="52">
        <f>IFERROR(N(IFERROR(INDEX($A3187:$AB3187,MATCH("Xero Invoiced Ex GST",$A$1:$AB$1,0)),"")),0)</f>
        <v/>
      </c>
      <c r="AE3187" s="53">
        <f>IFERROR(INDEX($A3187:$AB3187,MATCH("Xero Invoice Date",$A$1:$AB$1,0)),"")</f>
        <v/>
      </c>
      <c r="AF3187" s="54">
        <f>IF(AND(IFERROR(INDEX($A3187:$AB3187,MATCH("Xero Invoice No",$A$1:$AB$1,0)),"")&amp;""&lt;&gt;"",ISNUMBER(AE3187),AD3187&lt;&gt;0),1,0)</f>
        <v/>
      </c>
      <c r="AG3187" s="55">
        <f>IF(AF3187=1,EOMONTH(AE3187,0),"")</f>
        <v/>
      </c>
      <c r="AH3187" s="9">
        <f>IF(AF3187=1,UPPER(TRIM(IFERROR(INDEX($A3187:$AB3187,MATCH("Client",$A$1:$AB$1,0)),"")&amp;"")),"")</f>
        <v/>
      </c>
      <c r="AI3187" s="9">
        <f>IF(AF3187=1,IFERROR(INDEX($A3187:$AB3187,MATCH("Cost Centre",$A$1:$AB$1,0)),"")&amp;"","")</f>
        <v/>
      </c>
      <c r="AJ3187" s="54">
        <f>IF(AND(AF3187=1,AE3187&gt;=set_FYStart,AE3187&lt;=set_AsAt),1,0)</f>
        <v/>
      </c>
      <c r="AK3187" s="54">
        <f>IF(AND(AJ3187=1,AH3187&lt;&gt;"",COUNTIFS($AH$2:AH3187,AH3187,$AJ$2:AJ3187,1)=1),N(AL3186)+1,"")</f>
        <v/>
      </c>
      <c r="AL3187" s="54">
        <f>IF(AK3187&lt;&gt;"",AK3187,N(AL3186))</f>
        <v/>
      </c>
    </row>
    <row r="3188">
      <c r="A3188" t="inlineStr">
        <is>
          <t>ONS-1063</t>
        </is>
      </c>
      <c r="B3188" t="inlineStr">
        <is>
          <t>Onsite</t>
        </is>
      </c>
      <c r="AB3188" t="n">
        <v>1063</v>
      </c>
      <c r="AD3188" s="52">
        <f>IFERROR(N(IFERROR(INDEX($A3188:$AB3188,MATCH("Xero Invoiced Ex GST",$A$1:$AB$1,0)),"")),0)</f>
        <v/>
      </c>
      <c r="AE3188" s="53">
        <f>IFERROR(INDEX($A3188:$AB3188,MATCH("Xero Invoice Date",$A$1:$AB$1,0)),"")</f>
        <v/>
      </c>
      <c r="AF3188" s="54">
        <f>IF(AND(IFERROR(INDEX($A3188:$AB3188,MATCH("Xero Invoice No",$A$1:$AB$1,0)),"")&amp;""&lt;&gt;"",ISNUMBER(AE3188),AD3188&lt;&gt;0),1,0)</f>
        <v/>
      </c>
      <c r="AG3188" s="55">
        <f>IF(AF3188=1,EOMONTH(AE3188,0),"")</f>
        <v/>
      </c>
      <c r="AH3188" s="9">
        <f>IF(AF3188=1,UPPER(TRIM(IFERROR(INDEX($A3188:$AB3188,MATCH("Client",$A$1:$AB$1,0)),"")&amp;"")),"")</f>
        <v/>
      </c>
      <c r="AI3188" s="9">
        <f>IF(AF3188=1,IFERROR(INDEX($A3188:$AB3188,MATCH("Cost Centre",$A$1:$AB$1,0)),"")&amp;"","")</f>
        <v/>
      </c>
      <c r="AJ3188" s="54">
        <f>IF(AND(AF3188=1,AE3188&gt;=set_FYStart,AE3188&lt;=set_AsAt),1,0)</f>
        <v/>
      </c>
      <c r="AK3188" s="54">
        <f>IF(AND(AJ3188=1,AH3188&lt;&gt;"",COUNTIFS($AH$2:AH3188,AH3188,$AJ$2:AJ3188,1)=1),N(AL3187)+1,"")</f>
        <v/>
      </c>
      <c r="AL3188" s="54">
        <f>IF(AK3188&lt;&gt;"",AK3188,N(AL3187))</f>
        <v/>
      </c>
    </row>
    <row r="3189">
      <c r="A3189" t="inlineStr">
        <is>
          <t>PRD-1063</t>
        </is>
      </c>
      <c r="B3189" t="inlineStr">
        <is>
          <t>Production</t>
        </is>
      </c>
      <c r="AB3189" t="n">
        <v>1063</v>
      </c>
      <c r="AD3189" s="52">
        <f>IFERROR(N(IFERROR(INDEX($A3189:$AB3189,MATCH("Xero Invoiced Ex GST",$A$1:$AB$1,0)),"")),0)</f>
        <v/>
      </c>
      <c r="AE3189" s="53">
        <f>IFERROR(INDEX($A3189:$AB3189,MATCH("Xero Invoice Date",$A$1:$AB$1,0)),"")</f>
        <v/>
      </c>
      <c r="AF3189" s="54">
        <f>IF(AND(IFERROR(INDEX($A3189:$AB3189,MATCH("Xero Invoice No",$A$1:$AB$1,0)),"")&amp;""&lt;&gt;"",ISNUMBER(AE3189),AD3189&lt;&gt;0),1,0)</f>
        <v/>
      </c>
      <c r="AG3189" s="55">
        <f>IF(AF3189=1,EOMONTH(AE3189,0),"")</f>
        <v/>
      </c>
      <c r="AH3189" s="9">
        <f>IF(AF3189=1,UPPER(TRIM(IFERROR(INDEX($A3189:$AB3189,MATCH("Client",$A$1:$AB$1,0)),"")&amp;"")),"")</f>
        <v/>
      </c>
      <c r="AI3189" s="9">
        <f>IF(AF3189=1,IFERROR(INDEX($A3189:$AB3189,MATCH("Cost Centre",$A$1:$AB$1,0)),"")&amp;"","")</f>
        <v/>
      </c>
      <c r="AJ3189" s="54">
        <f>IF(AND(AF3189=1,AE3189&gt;=set_FYStart,AE3189&lt;=set_AsAt),1,0)</f>
        <v/>
      </c>
      <c r="AK3189" s="54">
        <f>IF(AND(AJ3189=1,AH3189&lt;&gt;"",COUNTIFS($AH$2:AH3189,AH3189,$AJ$2:AJ3189,1)=1),N(AL3188)+1,"")</f>
        <v/>
      </c>
      <c r="AL3189" s="54">
        <f>IF(AK3189&lt;&gt;"",AK3189,N(AL3188))</f>
        <v/>
      </c>
    </row>
    <row r="3190">
      <c r="A3190" t="inlineStr">
        <is>
          <t>CON-1063</t>
        </is>
      </c>
      <c r="B3190" t="inlineStr">
        <is>
          <t>Consulting</t>
        </is>
      </c>
      <c r="AB3190" t="n">
        <v>1063</v>
      </c>
      <c r="AD3190" s="52">
        <f>IFERROR(N(IFERROR(INDEX($A3190:$AB3190,MATCH("Xero Invoiced Ex GST",$A$1:$AB$1,0)),"")),0)</f>
        <v/>
      </c>
      <c r="AE3190" s="53">
        <f>IFERROR(INDEX($A3190:$AB3190,MATCH("Xero Invoice Date",$A$1:$AB$1,0)),"")</f>
        <v/>
      </c>
      <c r="AF3190" s="54">
        <f>IF(AND(IFERROR(INDEX($A3190:$AB3190,MATCH("Xero Invoice No",$A$1:$AB$1,0)),"")&amp;""&lt;&gt;"",ISNUMBER(AE3190),AD3190&lt;&gt;0),1,0)</f>
        <v/>
      </c>
      <c r="AG3190" s="55">
        <f>IF(AF3190=1,EOMONTH(AE3190,0),"")</f>
        <v/>
      </c>
      <c r="AH3190" s="9">
        <f>IF(AF3190=1,UPPER(TRIM(IFERROR(INDEX($A3190:$AB3190,MATCH("Client",$A$1:$AB$1,0)),"")&amp;"")),"")</f>
        <v/>
      </c>
      <c r="AI3190" s="9">
        <f>IF(AF3190=1,IFERROR(INDEX($A3190:$AB3190,MATCH("Cost Centre",$A$1:$AB$1,0)),"")&amp;"","")</f>
        <v/>
      </c>
      <c r="AJ3190" s="54">
        <f>IF(AND(AF3190=1,AE3190&gt;=set_FYStart,AE3190&lt;=set_AsAt),1,0)</f>
        <v/>
      </c>
      <c r="AK3190" s="54">
        <f>IF(AND(AJ3190=1,AH3190&lt;&gt;"",COUNTIFS($AH$2:AH3190,AH3190,$AJ$2:AJ3190,1)=1),N(AL3189)+1,"")</f>
        <v/>
      </c>
      <c r="AL3190" s="54">
        <f>IF(AK3190&lt;&gt;"",AK3190,N(AL3189))</f>
        <v/>
      </c>
    </row>
    <row r="3191">
      <c r="A3191" t="inlineStr">
        <is>
          <t>ONS-1064</t>
        </is>
      </c>
      <c r="B3191" t="inlineStr">
        <is>
          <t>Onsite</t>
        </is>
      </c>
      <c r="AB3191" t="n">
        <v>1064</v>
      </c>
      <c r="AD3191" s="52">
        <f>IFERROR(N(IFERROR(INDEX($A3191:$AB3191,MATCH("Xero Invoiced Ex GST",$A$1:$AB$1,0)),"")),0)</f>
        <v/>
      </c>
      <c r="AE3191" s="53">
        <f>IFERROR(INDEX($A3191:$AB3191,MATCH("Xero Invoice Date",$A$1:$AB$1,0)),"")</f>
        <v/>
      </c>
      <c r="AF3191" s="54">
        <f>IF(AND(IFERROR(INDEX($A3191:$AB3191,MATCH("Xero Invoice No",$A$1:$AB$1,0)),"")&amp;""&lt;&gt;"",ISNUMBER(AE3191),AD3191&lt;&gt;0),1,0)</f>
        <v/>
      </c>
      <c r="AG3191" s="55">
        <f>IF(AF3191=1,EOMONTH(AE3191,0),"")</f>
        <v/>
      </c>
      <c r="AH3191" s="9">
        <f>IF(AF3191=1,UPPER(TRIM(IFERROR(INDEX($A3191:$AB3191,MATCH("Client",$A$1:$AB$1,0)),"")&amp;"")),"")</f>
        <v/>
      </c>
      <c r="AI3191" s="9">
        <f>IF(AF3191=1,IFERROR(INDEX($A3191:$AB3191,MATCH("Cost Centre",$A$1:$AB$1,0)),"")&amp;"","")</f>
        <v/>
      </c>
      <c r="AJ3191" s="54">
        <f>IF(AND(AF3191=1,AE3191&gt;=set_FYStart,AE3191&lt;=set_AsAt),1,0)</f>
        <v/>
      </c>
      <c r="AK3191" s="54">
        <f>IF(AND(AJ3191=1,AH3191&lt;&gt;"",COUNTIFS($AH$2:AH3191,AH3191,$AJ$2:AJ3191,1)=1),N(AL3190)+1,"")</f>
        <v/>
      </c>
      <c r="AL3191" s="54">
        <f>IF(AK3191&lt;&gt;"",AK3191,N(AL3190))</f>
        <v/>
      </c>
    </row>
    <row r="3192">
      <c r="A3192" t="inlineStr">
        <is>
          <t>PRD-1064</t>
        </is>
      </c>
      <c r="B3192" t="inlineStr">
        <is>
          <t>Production</t>
        </is>
      </c>
      <c r="AB3192" t="n">
        <v>1064</v>
      </c>
      <c r="AD3192" s="52">
        <f>IFERROR(N(IFERROR(INDEX($A3192:$AB3192,MATCH("Xero Invoiced Ex GST",$A$1:$AB$1,0)),"")),0)</f>
        <v/>
      </c>
      <c r="AE3192" s="53">
        <f>IFERROR(INDEX($A3192:$AB3192,MATCH("Xero Invoice Date",$A$1:$AB$1,0)),"")</f>
        <v/>
      </c>
      <c r="AF3192" s="54">
        <f>IF(AND(IFERROR(INDEX($A3192:$AB3192,MATCH("Xero Invoice No",$A$1:$AB$1,0)),"")&amp;""&lt;&gt;"",ISNUMBER(AE3192),AD3192&lt;&gt;0),1,0)</f>
        <v/>
      </c>
      <c r="AG3192" s="55">
        <f>IF(AF3192=1,EOMONTH(AE3192,0),"")</f>
        <v/>
      </c>
      <c r="AH3192" s="9">
        <f>IF(AF3192=1,UPPER(TRIM(IFERROR(INDEX($A3192:$AB3192,MATCH("Client",$A$1:$AB$1,0)),"")&amp;"")),"")</f>
        <v/>
      </c>
      <c r="AI3192" s="9">
        <f>IF(AF3192=1,IFERROR(INDEX($A3192:$AB3192,MATCH("Cost Centre",$A$1:$AB$1,0)),"")&amp;"","")</f>
        <v/>
      </c>
      <c r="AJ3192" s="54">
        <f>IF(AND(AF3192=1,AE3192&gt;=set_FYStart,AE3192&lt;=set_AsAt),1,0)</f>
        <v/>
      </c>
      <c r="AK3192" s="54">
        <f>IF(AND(AJ3192=1,AH3192&lt;&gt;"",COUNTIFS($AH$2:AH3192,AH3192,$AJ$2:AJ3192,1)=1),N(AL3191)+1,"")</f>
        <v/>
      </c>
      <c r="AL3192" s="54">
        <f>IF(AK3192&lt;&gt;"",AK3192,N(AL3191))</f>
        <v/>
      </c>
    </row>
    <row r="3193">
      <c r="A3193" t="inlineStr">
        <is>
          <t>CON-1064</t>
        </is>
      </c>
      <c r="B3193" t="inlineStr">
        <is>
          <t>Consulting</t>
        </is>
      </c>
      <c r="AB3193" t="n">
        <v>1064</v>
      </c>
      <c r="AD3193" s="52">
        <f>IFERROR(N(IFERROR(INDEX($A3193:$AB3193,MATCH("Xero Invoiced Ex GST",$A$1:$AB$1,0)),"")),0)</f>
        <v/>
      </c>
      <c r="AE3193" s="53">
        <f>IFERROR(INDEX($A3193:$AB3193,MATCH("Xero Invoice Date",$A$1:$AB$1,0)),"")</f>
        <v/>
      </c>
      <c r="AF3193" s="54">
        <f>IF(AND(IFERROR(INDEX($A3193:$AB3193,MATCH("Xero Invoice No",$A$1:$AB$1,0)),"")&amp;""&lt;&gt;"",ISNUMBER(AE3193),AD3193&lt;&gt;0),1,0)</f>
        <v/>
      </c>
      <c r="AG3193" s="55">
        <f>IF(AF3193=1,EOMONTH(AE3193,0),"")</f>
        <v/>
      </c>
      <c r="AH3193" s="9">
        <f>IF(AF3193=1,UPPER(TRIM(IFERROR(INDEX($A3193:$AB3193,MATCH("Client",$A$1:$AB$1,0)),"")&amp;"")),"")</f>
        <v/>
      </c>
      <c r="AI3193" s="9">
        <f>IF(AF3193=1,IFERROR(INDEX($A3193:$AB3193,MATCH("Cost Centre",$A$1:$AB$1,0)),"")&amp;"","")</f>
        <v/>
      </c>
      <c r="AJ3193" s="54">
        <f>IF(AND(AF3193=1,AE3193&gt;=set_FYStart,AE3193&lt;=set_AsAt),1,0)</f>
        <v/>
      </c>
      <c r="AK3193" s="54">
        <f>IF(AND(AJ3193=1,AH3193&lt;&gt;"",COUNTIFS($AH$2:AH3193,AH3193,$AJ$2:AJ3193,1)=1),N(AL3192)+1,"")</f>
        <v/>
      </c>
      <c r="AL3193" s="54">
        <f>IF(AK3193&lt;&gt;"",AK3193,N(AL3192))</f>
        <v/>
      </c>
    </row>
    <row r="3194">
      <c r="A3194" t="inlineStr">
        <is>
          <t>ONS-1065</t>
        </is>
      </c>
      <c r="B3194" t="inlineStr">
        <is>
          <t>Onsite</t>
        </is>
      </c>
      <c r="AB3194" t="n">
        <v>1065</v>
      </c>
      <c r="AD3194" s="52">
        <f>IFERROR(N(IFERROR(INDEX($A3194:$AB3194,MATCH("Xero Invoiced Ex GST",$A$1:$AB$1,0)),"")),0)</f>
        <v/>
      </c>
      <c r="AE3194" s="53">
        <f>IFERROR(INDEX($A3194:$AB3194,MATCH("Xero Invoice Date",$A$1:$AB$1,0)),"")</f>
        <v/>
      </c>
      <c r="AF3194" s="54">
        <f>IF(AND(IFERROR(INDEX($A3194:$AB3194,MATCH("Xero Invoice No",$A$1:$AB$1,0)),"")&amp;""&lt;&gt;"",ISNUMBER(AE3194),AD3194&lt;&gt;0),1,0)</f>
        <v/>
      </c>
      <c r="AG3194" s="55">
        <f>IF(AF3194=1,EOMONTH(AE3194,0),"")</f>
        <v/>
      </c>
      <c r="AH3194" s="9">
        <f>IF(AF3194=1,UPPER(TRIM(IFERROR(INDEX($A3194:$AB3194,MATCH("Client",$A$1:$AB$1,0)),"")&amp;"")),"")</f>
        <v/>
      </c>
      <c r="AI3194" s="9">
        <f>IF(AF3194=1,IFERROR(INDEX($A3194:$AB3194,MATCH("Cost Centre",$A$1:$AB$1,0)),"")&amp;"","")</f>
        <v/>
      </c>
      <c r="AJ3194" s="54">
        <f>IF(AND(AF3194=1,AE3194&gt;=set_FYStart,AE3194&lt;=set_AsAt),1,0)</f>
        <v/>
      </c>
      <c r="AK3194" s="54">
        <f>IF(AND(AJ3194=1,AH3194&lt;&gt;"",COUNTIFS($AH$2:AH3194,AH3194,$AJ$2:AJ3194,1)=1),N(AL3193)+1,"")</f>
        <v/>
      </c>
      <c r="AL3194" s="54">
        <f>IF(AK3194&lt;&gt;"",AK3194,N(AL3193))</f>
        <v/>
      </c>
    </row>
    <row r="3195">
      <c r="A3195" t="inlineStr">
        <is>
          <t>PRD-1065</t>
        </is>
      </c>
      <c r="B3195" t="inlineStr">
        <is>
          <t>Production</t>
        </is>
      </c>
      <c r="AB3195" t="n">
        <v>1065</v>
      </c>
      <c r="AD3195" s="52">
        <f>IFERROR(N(IFERROR(INDEX($A3195:$AB3195,MATCH("Xero Invoiced Ex GST",$A$1:$AB$1,0)),"")),0)</f>
        <v/>
      </c>
      <c r="AE3195" s="53">
        <f>IFERROR(INDEX($A3195:$AB3195,MATCH("Xero Invoice Date",$A$1:$AB$1,0)),"")</f>
        <v/>
      </c>
      <c r="AF3195" s="54">
        <f>IF(AND(IFERROR(INDEX($A3195:$AB3195,MATCH("Xero Invoice No",$A$1:$AB$1,0)),"")&amp;""&lt;&gt;"",ISNUMBER(AE3195),AD3195&lt;&gt;0),1,0)</f>
        <v/>
      </c>
      <c r="AG3195" s="55">
        <f>IF(AF3195=1,EOMONTH(AE3195,0),"")</f>
        <v/>
      </c>
      <c r="AH3195" s="9">
        <f>IF(AF3195=1,UPPER(TRIM(IFERROR(INDEX($A3195:$AB3195,MATCH("Client",$A$1:$AB$1,0)),"")&amp;"")),"")</f>
        <v/>
      </c>
      <c r="AI3195" s="9">
        <f>IF(AF3195=1,IFERROR(INDEX($A3195:$AB3195,MATCH("Cost Centre",$A$1:$AB$1,0)),"")&amp;"","")</f>
        <v/>
      </c>
      <c r="AJ3195" s="54">
        <f>IF(AND(AF3195=1,AE3195&gt;=set_FYStart,AE3195&lt;=set_AsAt),1,0)</f>
        <v/>
      </c>
      <c r="AK3195" s="54">
        <f>IF(AND(AJ3195=1,AH3195&lt;&gt;"",COUNTIFS($AH$2:AH3195,AH3195,$AJ$2:AJ3195,1)=1),N(AL3194)+1,"")</f>
        <v/>
      </c>
      <c r="AL3195" s="54">
        <f>IF(AK3195&lt;&gt;"",AK3195,N(AL3194))</f>
        <v/>
      </c>
    </row>
    <row r="3196">
      <c r="A3196" t="inlineStr">
        <is>
          <t>CON-1065</t>
        </is>
      </c>
      <c r="B3196" t="inlineStr">
        <is>
          <t>Consulting</t>
        </is>
      </c>
      <c r="AB3196" t="n">
        <v>1065</v>
      </c>
      <c r="AD3196" s="52">
        <f>IFERROR(N(IFERROR(INDEX($A3196:$AB3196,MATCH("Xero Invoiced Ex GST",$A$1:$AB$1,0)),"")),0)</f>
        <v/>
      </c>
      <c r="AE3196" s="53">
        <f>IFERROR(INDEX($A3196:$AB3196,MATCH("Xero Invoice Date",$A$1:$AB$1,0)),"")</f>
        <v/>
      </c>
      <c r="AF3196" s="54">
        <f>IF(AND(IFERROR(INDEX($A3196:$AB3196,MATCH("Xero Invoice No",$A$1:$AB$1,0)),"")&amp;""&lt;&gt;"",ISNUMBER(AE3196),AD3196&lt;&gt;0),1,0)</f>
        <v/>
      </c>
      <c r="AG3196" s="55">
        <f>IF(AF3196=1,EOMONTH(AE3196,0),"")</f>
        <v/>
      </c>
      <c r="AH3196" s="9">
        <f>IF(AF3196=1,UPPER(TRIM(IFERROR(INDEX($A3196:$AB3196,MATCH("Client",$A$1:$AB$1,0)),"")&amp;"")),"")</f>
        <v/>
      </c>
      <c r="AI3196" s="9">
        <f>IF(AF3196=1,IFERROR(INDEX($A3196:$AB3196,MATCH("Cost Centre",$A$1:$AB$1,0)),"")&amp;"","")</f>
        <v/>
      </c>
      <c r="AJ3196" s="54">
        <f>IF(AND(AF3196=1,AE3196&gt;=set_FYStart,AE3196&lt;=set_AsAt),1,0)</f>
        <v/>
      </c>
      <c r="AK3196" s="54">
        <f>IF(AND(AJ3196=1,AH3196&lt;&gt;"",COUNTIFS($AH$2:AH3196,AH3196,$AJ$2:AJ3196,1)=1),N(AL3195)+1,"")</f>
        <v/>
      </c>
      <c r="AL3196" s="54">
        <f>IF(AK3196&lt;&gt;"",AK3196,N(AL3195))</f>
        <v/>
      </c>
    </row>
    <row r="3197">
      <c r="A3197" t="inlineStr">
        <is>
          <t>ONS-1066</t>
        </is>
      </c>
      <c r="B3197" t="inlineStr">
        <is>
          <t>Onsite</t>
        </is>
      </c>
      <c r="AB3197" t="n">
        <v>1066</v>
      </c>
      <c r="AD3197" s="52">
        <f>IFERROR(N(IFERROR(INDEX($A3197:$AB3197,MATCH("Xero Invoiced Ex GST",$A$1:$AB$1,0)),"")),0)</f>
        <v/>
      </c>
      <c r="AE3197" s="53">
        <f>IFERROR(INDEX($A3197:$AB3197,MATCH("Xero Invoice Date",$A$1:$AB$1,0)),"")</f>
        <v/>
      </c>
      <c r="AF3197" s="54">
        <f>IF(AND(IFERROR(INDEX($A3197:$AB3197,MATCH("Xero Invoice No",$A$1:$AB$1,0)),"")&amp;""&lt;&gt;"",ISNUMBER(AE3197),AD3197&lt;&gt;0),1,0)</f>
        <v/>
      </c>
      <c r="AG3197" s="55">
        <f>IF(AF3197=1,EOMONTH(AE3197,0),"")</f>
        <v/>
      </c>
      <c r="AH3197" s="9">
        <f>IF(AF3197=1,UPPER(TRIM(IFERROR(INDEX($A3197:$AB3197,MATCH("Client",$A$1:$AB$1,0)),"")&amp;"")),"")</f>
        <v/>
      </c>
      <c r="AI3197" s="9">
        <f>IF(AF3197=1,IFERROR(INDEX($A3197:$AB3197,MATCH("Cost Centre",$A$1:$AB$1,0)),"")&amp;"","")</f>
        <v/>
      </c>
      <c r="AJ3197" s="54">
        <f>IF(AND(AF3197=1,AE3197&gt;=set_FYStart,AE3197&lt;=set_AsAt),1,0)</f>
        <v/>
      </c>
      <c r="AK3197" s="54">
        <f>IF(AND(AJ3197=1,AH3197&lt;&gt;"",COUNTIFS($AH$2:AH3197,AH3197,$AJ$2:AJ3197,1)=1),N(AL3196)+1,"")</f>
        <v/>
      </c>
      <c r="AL3197" s="54">
        <f>IF(AK3197&lt;&gt;"",AK3197,N(AL3196))</f>
        <v/>
      </c>
    </row>
    <row r="3198">
      <c r="A3198" t="inlineStr">
        <is>
          <t>PRD-1066</t>
        </is>
      </c>
      <c r="B3198" t="inlineStr">
        <is>
          <t>Production</t>
        </is>
      </c>
      <c r="AB3198" t="n">
        <v>1066</v>
      </c>
      <c r="AD3198" s="52">
        <f>IFERROR(N(IFERROR(INDEX($A3198:$AB3198,MATCH("Xero Invoiced Ex GST",$A$1:$AB$1,0)),"")),0)</f>
        <v/>
      </c>
      <c r="AE3198" s="53">
        <f>IFERROR(INDEX($A3198:$AB3198,MATCH("Xero Invoice Date",$A$1:$AB$1,0)),"")</f>
        <v/>
      </c>
      <c r="AF3198" s="54">
        <f>IF(AND(IFERROR(INDEX($A3198:$AB3198,MATCH("Xero Invoice No",$A$1:$AB$1,0)),"")&amp;""&lt;&gt;"",ISNUMBER(AE3198),AD3198&lt;&gt;0),1,0)</f>
        <v/>
      </c>
      <c r="AG3198" s="55">
        <f>IF(AF3198=1,EOMONTH(AE3198,0),"")</f>
        <v/>
      </c>
      <c r="AH3198" s="9">
        <f>IF(AF3198=1,UPPER(TRIM(IFERROR(INDEX($A3198:$AB3198,MATCH("Client",$A$1:$AB$1,0)),"")&amp;"")),"")</f>
        <v/>
      </c>
      <c r="AI3198" s="9">
        <f>IF(AF3198=1,IFERROR(INDEX($A3198:$AB3198,MATCH("Cost Centre",$A$1:$AB$1,0)),"")&amp;"","")</f>
        <v/>
      </c>
      <c r="AJ3198" s="54">
        <f>IF(AND(AF3198=1,AE3198&gt;=set_FYStart,AE3198&lt;=set_AsAt),1,0)</f>
        <v/>
      </c>
      <c r="AK3198" s="54">
        <f>IF(AND(AJ3198=1,AH3198&lt;&gt;"",COUNTIFS($AH$2:AH3198,AH3198,$AJ$2:AJ3198,1)=1),N(AL3197)+1,"")</f>
        <v/>
      </c>
      <c r="AL3198" s="54">
        <f>IF(AK3198&lt;&gt;"",AK3198,N(AL3197))</f>
        <v/>
      </c>
    </row>
    <row r="3199">
      <c r="A3199" t="inlineStr">
        <is>
          <t>CON-1066</t>
        </is>
      </c>
      <c r="B3199" t="inlineStr">
        <is>
          <t>Consulting</t>
        </is>
      </c>
      <c r="AB3199" t="n">
        <v>1066</v>
      </c>
      <c r="AD3199" s="52">
        <f>IFERROR(N(IFERROR(INDEX($A3199:$AB3199,MATCH("Xero Invoiced Ex GST",$A$1:$AB$1,0)),"")),0)</f>
        <v/>
      </c>
      <c r="AE3199" s="53">
        <f>IFERROR(INDEX($A3199:$AB3199,MATCH("Xero Invoice Date",$A$1:$AB$1,0)),"")</f>
        <v/>
      </c>
      <c r="AF3199" s="54">
        <f>IF(AND(IFERROR(INDEX($A3199:$AB3199,MATCH("Xero Invoice No",$A$1:$AB$1,0)),"")&amp;""&lt;&gt;"",ISNUMBER(AE3199),AD3199&lt;&gt;0),1,0)</f>
        <v/>
      </c>
      <c r="AG3199" s="55">
        <f>IF(AF3199=1,EOMONTH(AE3199,0),"")</f>
        <v/>
      </c>
      <c r="AH3199" s="9">
        <f>IF(AF3199=1,UPPER(TRIM(IFERROR(INDEX($A3199:$AB3199,MATCH("Client",$A$1:$AB$1,0)),"")&amp;"")),"")</f>
        <v/>
      </c>
      <c r="AI3199" s="9">
        <f>IF(AF3199=1,IFERROR(INDEX($A3199:$AB3199,MATCH("Cost Centre",$A$1:$AB$1,0)),"")&amp;"","")</f>
        <v/>
      </c>
      <c r="AJ3199" s="54">
        <f>IF(AND(AF3199=1,AE3199&gt;=set_FYStart,AE3199&lt;=set_AsAt),1,0)</f>
        <v/>
      </c>
      <c r="AK3199" s="54">
        <f>IF(AND(AJ3199=1,AH3199&lt;&gt;"",COUNTIFS($AH$2:AH3199,AH3199,$AJ$2:AJ3199,1)=1),N(AL3198)+1,"")</f>
        <v/>
      </c>
      <c r="AL3199" s="54">
        <f>IF(AK3199&lt;&gt;"",AK3199,N(AL3198))</f>
        <v/>
      </c>
    </row>
    <row r="3200">
      <c r="A3200" t="inlineStr">
        <is>
          <t>ONS-1067</t>
        </is>
      </c>
      <c r="B3200" t="inlineStr">
        <is>
          <t>Onsite</t>
        </is>
      </c>
      <c r="AB3200" t="n">
        <v>1067</v>
      </c>
      <c r="AD3200" s="52">
        <f>IFERROR(N(IFERROR(INDEX($A3200:$AB3200,MATCH("Xero Invoiced Ex GST",$A$1:$AB$1,0)),"")),0)</f>
        <v/>
      </c>
      <c r="AE3200" s="53">
        <f>IFERROR(INDEX($A3200:$AB3200,MATCH("Xero Invoice Date",$A$1:$AB$1,0)),"")</f>
        <v/>
      </c>
      <c r="AF3200" s="54">
        <f>IF(AND(IFERROR(INDEX($A3200:$AB3200,MATCH("Xero Invoice No",$A$1:$AB$1,0)),"")&amp;""&lt;&gt;"",ISNUMBER(AE3200),AD3200&lt;&gt;0),1,0)</f>
        <v/>
      </c>
      <c r="AG3200" s="55">
        <f>IF(AF3200=1,EOMONTH(AE3200,0),"")</f>
        <v/>
      </c>
      <c r="AH3200" s="9">
        <f>IF(AF3200=1,UPPER(TRIM(IFERROR(INDEX($A3200:$AB3200,MATCH("Client",$A$1:$AB$1,0)),"")&amp;"")),"")</f>
        <v/>
      </c>
      <c r="AI3200" s="9">
        <f>IF(AF3200=1,IFERROR(INDEX($A3200:$AB3200,MATCH("Cost Centre",$A$1:$AB$1,0)),"")&amp;"","")</f>
        <v/>
      </c>
      <c r="AJ3200" s="54">
        <f>IF(AND(AF3200=1,AE3200&gt;=set_FYStart,AE3200&lt;=set_AsAt),1,0)</f>
        <v/>
      </c>
      <c r="AK3200" s="54">
        <f>IF(AND(AJ3200=1,AH3200&lt;&gt;"",COUNTIFS($AH$2:AH3200,AH3200,$AJ$2:AJ3200,1)=1),N(AL3199)+1,"")</f>
        <v/>
      </c>
      <c r="AL3200" s="54">
        <f>IF(AK3200&lt;&gt;"",AK3200,N(AL3199))</f>
        <v/>
      </c>
    </row>
    <row r="3201">
      <c r="A3201" t="inlineStr">
        <is>
          <t>PRD-1067</t>
        </is>
      </c>
      <c r="B3201" t="inlineStr">
        <is>
          <t>Production</t>
        </is>
      </c>
      <c r="AB3201" t="n">
        <v>1067</v>
      </c>
      <c r="AD3201" s="52">
        <f>IFERROR(N(IFERROR(INDEX($A3201:$AB3201,MATCH("Xero Invoiced Ex GST",$A$1:$AB$1,0)),"")),0)</f>
        <v/>
      </c>
      <c r="AE3201" s="53">
        <f>IFERROR(INDEX($A3201:$AB3201,MATCH("Xero Invoice Date",$A$1:$AB$1,0)),"")</f>
        <v/>
      </c>
      <c r="AF3201" s="54">
        <f>IF(AND(IFERROR(INDEX($A3201:$AB3201,MATCH("Xero Invoice No",$A$1:$AB$1,0)),"")&amp;""&lt;&gt;"",ISNUMBER(AE3201),AD3201&lt;&gt;0),1,0)</f>
        <v/>
      </c>
      <c r="AG3201" s="55">
        <f>IF(AF3201=1,EOMONTH(AE3201,0),"")</f>
        <v/>
      </c>
      <c r="AH3201" s="9">
        <f>IF(AF3201=1,UPPER(TRIM(IFERROR(INDEX($A3201:$AB3201,MATCH("Client",$A$1:$AB$1,0)),"")&amp;"")),"")</f>
        <v/>
      </c>
      <c r="AI3201" s="9">
        <f>IF(AF3201=1,IFERROR(INDEX($A3201:$AB3201,MATCH("Cost Centre",$A$1:$AB$1,0)),"")&amp;"","")</f>
        <v/>
      </c>
      <c r="AJ3201" s="54">
        <f>IF(AND(AF3201=1,AE3201&gt;=set_FYStart,AE3201&lt;=set_AsAt),1,0)</f>
        <v/>
      </c>
      <c r="AK3201" s="54">
        <f>IF(AND(AJ3201=1,AH3201&lt;&gt;"",COUNTIFS($AH$2:AH3201,AH3201,$AJ$2:AJ3201,1)=1),N(AL3200)+1,"")</f>
        <v/>
      </c>
      <c r="AL3201" s="54">
        <f>IF(AK3201&lt;&gt;"",AK3201,N(AL3200))</f>
        <v/>
      </c>
    </row>
    <row r="3202">
      <c r="A3202" t="inlineStr">
        <is>
          <t>CON-1067</t>
        </is>
      </c>
      <c r="B3202" t="inlineStr">
        <is>
          <t>Consulting</t>
        </is>
      </c>
      <c r="AB3202" t="n">
        <v>1067</v>
      </c>
      <c r="AD3202" s="52">
        <f>IFERROR(N(IFERROR(INDEX($A3202:$AB3202,MATCH("Xero Invoiced Ex GST",$A$1:$AB$1,0)),"")),0)</f>
        <v/>
      </c>
      <c r="AE3202" s="53">
        <f>IFERROR(INDEX($A3202:$AB3202,MATCH("Xero Invoice Date",$A$1:$AB$1,0)),"")</f>
        <v/>
      </c>
      <c r="AF3202" s="54">
        <f>IF(AND(IFERROR(INDEX($A3202:$AB3202,MATCH("Xero Invoice No",$A$1:$AB$1,0)),"")&amp;""&lt;&gt;"",ISNUMBER(AE3202),AD3202&lt;&gt;0),1,0)</f>
        <v/>
      </c>
      <c r="AG3202" s="55">
        <f>IF(AF3202=1,EOMONTH(AE3202,0),"")</f>
        <v/>
      </c>
      <c r="AH3202" s="9">
        <f>IF(AF3202=1,UPPER(TRIM(IFERROR(INDEX($A3202:$AB3202,MATCH("Client",$A$1:$AB$1,0)),"")&amp;"")),"")</f>
        <v/>
      </c>
      <c r="AI3202" s="9">
        <f>IF(AF3202=1,IFERROR(INDEX($A3202:$AB3202,MATCH("Cost Centre",$A$1:$AB$1,0)),"")&amp;"","")</f>
        <v/>
      </c>
      <c r="AJ3202" s="54">
        <f>IF(AND(AF3202=1,AE3202&gt;=set_FYStart,AE3202&lt;=set_AsAt),1,0)</f>
        <v/>
      </c>
      <c r="AK3202" s="54">
        <f>IF(AND(AJ3202=1,AH3202&lt;&gt;"",COUNTIFS($AH$2:AH3202,AH3202,$AJ$2:AJ3202,1)=1),N(AL3201)+1,"")</f>
        <v/>
      </c>
      <c r="AL3202" s="54">
        <f>IF(AK3202&lt;&gt;"",AK3202,N(AL3201))</f>
        <v/>
      </c>
    </row>
    <row r="3203">
      <c r="A3203" t="inlineStr">
        <is>
          <t>ONS-1068</t>
        </is>
      </c>
      <c r="B3203" t="inlineStr">
        <is>
          <t>Onsite</t>
        </is>
      </c>
      <c r="AB3203" t="n">
        <v>1068</v>
      </c>
      <c r="AD3203" s="52">
        <f>IFERROR(N(IFERROR(INDEX($A3203:$AB3203,MATCH("Xero Invoiced Ex GST",$A$1:$AB$1,0)),"")),0)</f>
        <v/>
      </c>
      <c r="AE3203" s="53">
        <f>IFERROR(INDEX($A3203:$AB3203,MATCH("Xero Invoice Date",$A$1:$AB$1,0)),"")</f>
        <v/>
      </c>
      <c r="AF3203" s="54">
        <f>IF(AND(IFERROR(INDEX($A3203:$AB3203,MATCH("Xero Invoice No",$A$1:$AB$1,0)),"")&amp;""&lt;&gt;"",ISNUMBER(AE3203),AD3203&lt;&gt;0),1,0)</f>
        <v/>
      </c>
      <c r="AG3203" s="55">
        <f>IF(AF3203=1,EOMONTH(AE3203,0),"")</f>
        <v/>
      </c>
      <c r="AH3203" s="9">
        <f>IF(AF3203=1,UPPER(TRIM(IFERROR(INDEX($A3203:$AB3203,MATCH("Client",$A$1:$AB$1,0)),"")&amp;"")),"")</f>
        <v/>
      </c>
      <c r="AI3203" s="9">
        <f>IF(AF3203=1,IFERROR(INDEX($A3203:$AB3203,MATCH("Cost Centre",$A$1:$AB$1,0)),"")&amp;"","")</f>
        <v/>
      </c>
      <c r="AJ3203" s="54">
        <f>IF(AND(AF3203=1,AE3203&gt;=set_FYStart,AE3203&lt;=set_AsAt),1,0)</f>
        <v/>
      </c>
      <c r="AK3203" s="54">
        <f>IF(AND(AJ3203=1,AH3203&lt;&gt;"",COUNTIFS($AH$2:AH3203,AH3203,$AJ$2:AJ3203,1)=1),N(AL3202)+1,"")</f>
        <v/>
      </c>
      <c r="AL3203" s="54">
        <f>IF(AK3203&lt;&gt;"",AK3203,N(AL3202))</f>
        <v/>
      </c>
    </row>
    <row r="3204">
      <c r="A3204" t="inlineStr">
        <is>
          <t>PRD-1068</t>
        </is>
      </c>
      <c r="B3204" t="inlineStr">
        <is>
          <t>Production</t>
        </is>
      </c>
      <c r="AB3204" t="n">
        <v>1068</v>
      </c>
      <c r="AD3204" s="52">
        <f>IFERROR(N(IFERROR(INDEX($A3204:$AB3204,MATCH("Xero Invoiced Ex GST",$A$1:$AB$1,0)),"")),0)</f>
        <v/>
      </c>
      <c r="AE3204" s="53">
        <f>IFERROR(INDEX($A3204:$AB3204,MATCH("Xero Invoice Date",$A$1:$AB$1,0)),"")</f>
        <v/>
      </c>
      <c r="AF3204" s="54">
        <f>IF(AND(IFERROR(INDEX($A3204:$AB3204,MATCH("Xero Invoice No",$A$1:$AB$1,0)),"")&amp;""&lt;&gt;"",ISNUMBER(AE3204),AD3204&lt;&gt;0),1,0)</f>
        <v/>
      </c>
      <c r="AG3204" s="55">
        <f>IF(AF3204=1,EOMONTH(AE3204,0),"")</f>
        <v/>
      </c>
      <c r="AH3204" s="9">
        <f>IF(AF3204=1,UPPER(TRIM(IFERROR(INDEX($A3204:$AB3204,MATCH("Client",$A$1:$AB$1,0)),"")&amp;"")),"")</f>
        <v/>
      </c>
      <c r="AI3204" s="9">
        <f>IF(AF3204=1,IFERROR(INDEX($A3204:$AB3204,MATCH("Cost Centre",$A$1:$AB$1,0)),"")&amp;"","")</f>
        <v/>
      </c>
      <c r="AJ3204" s="54">
        <f>IF(AND(AF3204=1,AE3204&gt;=set_FYStart,AE3204&lt;=set_AsAt),1,0)</f>
        <v/>
      </c>
      <c r="AK3204" s="54">
        <f>IF(AND(AJ3204=1,AH3204&lt;&gt;"",COUNTIFS($AH$2:AH3204,AH3204,$AJ$2:AJ3204,1)=1),N(AL3203)+1,"")</f>
        <v/>
      </c>
      <c r="AL3204" s="54">
        <f>IF(AK3204&lt;&gt;"",AK3204,N(AL3203))</f>
        <v/>
      </c>
    </row>
    <row r="3205">
      <c r="A3205" t="inlineStr">
        <is>
          <t>CON-1068</t>
        </is>
      </c>
      <c r="B3205" t="inlineStr">
        <is>
          <t>Consulting</t>
        </is>
      </c>
      <c r="AB3205" t="n">
        <v>1068</v>
      </c>
      <c r="AD3205" s="52">
        <f>IFERROR(N(IFERROR(INDEX($A3205:$AB3205,MATCH("Xero Invoiced Ex GST",$A$1:$AB$1,0)),"")),0)</f>
        <v/>
      </c>
      <c r="AE3205" s="53">
        <f>IFERROR(INDEX($A3205:$AB3205,MATCH("Xero Invoice Date",$A$1:$AB$1,0)),"")</f>
        <v/>
      </c>
      <c r="AF3205" s="54">
        <f>IF(AND(IFERROR(INDEX($A3205:$AB3205,MATCH("Xero Invoice No",$A$1:$AB$1,0)),"")&amp;""&lt;&gt;"",ISNUMBER(AE3205),AD3205&lt;&gt;0),1,0)</f>
        <v/>
      </c>
      <c r="AG3205" s="55">
        <f>IF(AF3205=1,EOMONTH(AE3205,0),"")</f>
        <v/>
      </c>
      <c r="AH3205" s="9">
        <f>IF(AF3205=1,UPPER(TRIM(IFERROR(INDEX($A3205:$AB3205,MATCH("Client",$A$1:$AB$1,0)),"")&amp;"")),"")</f>
        <v/>
      </c>
      <c r="AI3205" s="9">
        <f>IF(AF3205=1,IFERROR(INDEX($A3205:$AB3205,MATCH("Cost Centre",$A$1:$AB$1,0)),"")&amp;"","")</f>
        <v/>
      </c>
      <c r="AJ3205" s="54">
        <f>IF(AND(AF3205=1,AE3205&gt;=set_FYStart,AE3205&lt;=set_AsAt),1,0)</f>
        <v/>
      </c>
      <c r="AK3205" s="54">
        <f>IF(AND(AJ3205=1,AH3205&lt;&gt;"",COUNTIFS($AH$2:AH3205,AH3205,$AJ$2:AJ3205,1)=1),N(AL3204)+1,"")</f>
        <v/>
      </c>
      <c r="AL3205" s="54">
        <f>IF(AK3205&lt;&gt;"",AK3205,N(AL3204))</f>
        <v/>
      </c>
    </row>
    <row r="3206">
      <c r="A3206" t="inlineStr">
        <is>
          <t>ONS-1069</t>
        </is>
      </c>
      <c r="B3206" t="inlineStr">
        <is>
          <t>Onsite</t>
        </is>
      </c>
      <c r="AB3206" t="n">
        <v>1069</v>
      </c>
      <c r="AD3206" s="52">
        <f>IFERROR(N(IFERROR(INDEX($A3206:$AB3206,MATCH("Xero Invoiced Ex GST",$A$1:$AB$1,0)),"")),0)</f>
        <v/>
      </c>
      <c r="AE3206" s="53">
        <f>IFERROR(INDEX($A3206:$AB3206,MATCH("Xero Invoice Date",$A$1:$AB$1,0)),"")</f>
        <v/>
      </c>
      <c r="AF3206" s="54">
        <f>IF(AND(IFERROR(INDEX($A3206:$AB3206,MATCH("Xero Invoice No",$A$1:$AB$1,0)),"")&amp;""&lt;&gt;"",ISNUMBER(AE3206),AD3206&lt;&gt;0),1,0)</f>
        <v/>
      </c>
      <c r="AG3206" s="55">
        <f>IF(AF3206=1,EOMONTH(AE3206,0),"")</f>
        <v/>
      </c>
      <c r="AH3206" s="9">
        <f>IF(AF3206=1,UPPER(TRIM(IFERROR(INDEX($A3206:$AB3206,MATCH("Client",$A$1:$AB$1,0)),"")&amp;"")),"")</f>
        <v/>
      </c>
      <c r="AI3206" s="9">
        <f>IF(AF3206=1,IFERROR(INDEX($A3206:$AB3206,MATCH("Cost Centre",$A$1:$AB$1,0)),"")&amp;"","")</f>
        <v/>
      </c>
      <c r="AJ3206" s="54">
        <f>IF(AND(AF3206=1,AE3206&gt;=set_FYStart,AE3206&lt;=set_AsAt),1,0)</f>
        <v/>
      </c>
      <c r="AK3206" s="54">
        <f>IF(AND(AJ3206=1,AH3206&lt;&gt;"",COUNTIFS($AH$2:AH3206,AH3206,$AJ$2:AJ3206,1)=1),N(AL3205)+1,"")</f>
        <v/>
      </c>
      <c r="AL3206" s="54">
        <f>IF(AK3206&lt;&gt;"",AK3206,N(AL3205))</f>
        <v/>
      </c>
    </row>
    <row r="3207">
      <c r="A3207" t="inlineStr">
        <is>
          <t>PRD-1069</t>
        </is>
      </c>
      <c r="B3207" t="inlineStr">
        <is>
          <t>Production</t>
        </is>
      </c>
      <c r="AB3207" t="n">
        <v>1069</v>
      </c>
      <c r="AD3207" s="52">
        <f>IFERROR(N(IFERROR(INDEX($A3207:$AB3207,MATCH("Xero Invoiced Ex GST",$A$1:$AB$1,0)),"")),0)</f>
        <v/>
      </c>
      <c r="AE3207" s="53">
        <f>IFERROR(INDEX($A3207:$AB3207,MATCH("Xero Invoice Date",$A$1:$AB$1,0)),"")</f>
        <v/>
      </c>
      <c r="AF3207" s="54">
        <f>IF(AND(IFERROR(INDEX($A3207:$AB3207,MATCH("Xero Invoice No",$A$1:$AB$1,0)),"")&amp;""&lt;&gt;"",ISNUMBER(AE3207),AD3207&lt;&gt;0),1,0)</f>
        <v/>
      </c>
      <c r="AG3207" s="55">
        <f>IF(AF3207=1,EOMONTH(AE3207,0),"")</f>
        <v/>
      </c>
      <c r="AH3207" s="9">
        <f>IF(AF3207=1,UPPER(TRIM(IFERROR(INDEX($A3207:$AB3207,MATCH("Client",$A$1:$AB$1,0)),"")&amp;"")),"")</f>
        <v/>
      </c>
      <c r="AI3207" s="9">
        <f>IF(AF3207=1,IFERROR(INDEX($A3207:$AB3207,MATCH("Cost Centre",$A$1:$AB$1,0)),"")&amp;"","")</f>
        <v/>
      </c>
      <c r="AJ3207" s="54">
        <f>IF(AND(AF3207=1,AE3207&gt;=set_FYStart,AE3207&lt;=set_AsAt),1,0)</f>
        <v/>
      </c>
      <c r="AK3207" s="54">
        <f>IF(AND(AJ3207=1,AH3207&lt;&gt;"",COUNTIFS($AH$2:AH3207,AH3207,$AJ$2:AJ3207,1)=1),N(AL3206)+1,"")</f>
        <v/>
      </c>
      <c r="AL3207" s="54">
        <f>IF(AK3207&lt;&gt;"",AK3207,N(AL3206))</f>
        <v/>
      </c>
    </row>
    <row r="3208">
      <c r="A3208" t="inlineStr">
        <is>
          <t>CON-1069</t>
        </is>
      </c>
      <c r="B3208" t="inlineStr">
        <is>
          <t>Consulting</t>
        </is>
      </c>
      <c r="AB3208" t="n">
        <v>1069</v>
      </c>
      <c r="AD3208" s="52">
        <f>IFERROR(N(IFERROR(INDEX($A3208:$AB3208,MATCH("Xero Invoiced Ex GST",$A$1:$AB$1,0)),"")),0)</f>
        <v/>
      </c>
      <c r="AE3208" s="53">
        <f>IFERROR(INDEX($A3208:$AB3208,MATCH("Xero Invoice Date",$A$1:$AB$1,0)),"")</f>
        <v/>
      </c>
      <c r="AF3208" s="54">
        <f>IF(AND(IFERROR(INDEX($A3208:$AB3208,MATCH("Xero Invoice No",$A$1:$AB$1,0)),"")&amp;""&lt;&gt;"",ISNUMBER(AE3208),AD3208&lt;&gt;0),1,0)</f>
        <v/>
      </c>
      <c r="AG3208" s="55">
        <f>IF(AF3208=1,EOMONTH(AE3208,0),"")</f>
        <v/>
      </c>
      <c r="AH3208" s="9">
        <f>IF(AF3208=1,UPPER(TRIM(IFERROR(INDEX($A3208:$AB3208,MATCH("Client",$A$1:$AB$1,0)),"")&amp;"")),"")</f>
        <v/>
      </c>
      <c r="AI3208" s="9">
        <f>IF(AF3208=1,IFERROR(INDEX($A3208:$AB3208,MATCH("Cost Centre",$A$1:$AB$1,0)),"")&amp;"","")</f>
        <v/>
      </c>
      <c r="AJ3208" s="54">
        <f>IF(AND(AF3208=1,AE3208&gt;=set_FYStart,AE3208&lt;=set_AsAt),1,0)</f>
        <v/>
      </c>
      <c r="AK3208" s="54">
        <f>IF(AND(AJ3208=1,AH3208&lt;&gt;"",COUNTIFS($AH$2:AH3208,AH3208,$AJ$2:AJ3208,1)=1),N(AL3207)+1,"")</f>
        <v/>
      </c>
      <c r="AL3208" s="54">
        <f>IF(AK3208&lt;&gt;"",AK3208,N(AL3207))</f>
        <v/>
      </c>
    </row>
    <row r="3209">
      <c r="A3209" t="inlineStr">
        <is>
          <t>ONS-1070</t>
        </is>
      </c>
      <c r="B3209" t="inlineStr">
        <is>
          <t>Onsite</t>
        </is>
      </c>
      <c r="AB3209" t="n">
        <v>1070</v>
      </c>
      <c r="AD3209" s="52">
        <f>IFERROR(N(IFERROR(INDEX($A3209:$AB3209,MATCH("Xero Invoiced Ex GST",$A$1:$AB$1,0)),"")),0)</f>
        <v/>
      </c>
      <c r="AE3209" s="53">
        <f>IFERROR(INDEX($A3209:$AB3209,MATCH("Xero Invoice Date",$A$1:$AB$1,0)),"")</f>
        <v/>
      </c>
      <c r="AF3209" s="54">
        <f>IF(AND(IFERROR(INDEX($A3209:$AB3209,MATCH("Xero Invoice No",$A$1:$AB$1,0)),"")&amp;""&lt;&gt;"",ISNUMBER(AE3209),AD3209&lt;&gt;0),1,0)</f>
        <v/>
      </c>
      <c r="AG3209" s="55">
        <f>IF(AF3209=1,EOMONTH(AE3209,0),"")</f>
        <v/>
      </c>
      <c r="AH3209" s="9">
        <f>IF(AF3209=1,UPPER(TRIM(IFERROR(INDEX($A3209:$AB3209,MATCH("Client",$A$1:$AB$1,0)),"")&amp;"")),"")</f>
        <v/>
      </c>
      <c r="AI3209" s="9">
        <f>IF(AF3209=1,IFERROR(INDEX($A3209:$AB3209,MATCH("Cost Centre",$A$1:$AB$1,0)),"")&amp;"","")</f>
        <v/>
      </c>
      <c r="AJ3209" s="54">
        <f>IF(AND(AF3209=1,AE3209&gt;=set_FYStart,AE3209&lt;=set_AsAt),1,0)</f>
        <v/>
      </c>
      <c r="AK3209" s="54">
        <f>IF(AND(AJ3209=1,AH3209&lt;&gt;"",COUNTIFS($AH$2:AH3209,AH3209,$AJ$2:AJ3209,1)=1),N(AL3208)+1,"")</f>
        <v/>
      </c>
      <c r="AL3209" s="54">
        <f>IF(AK3209&lt;&gt;"",AK3209,N(AL3208))</f>
        <v/>
      </c>
    </row>
    <row r="3210">
      <c r="A3210" t="inlineStr">
        <is>
          <t>PRD-1070</t>
        </is>
      </c>
      <c r="B3210" t="inlineStr">
        <is>
          <t>Production</t>
        </is>
      </c>
      <c r="AB3210" t="n">
        <v>1070</v>
      </c>
      <c r="AD3210" s="52">
        <f>IFERROR(N(IFERROR(INDEX($A3210:$AB3210,MATCH("Xero Invoiced Ex GST",$A$1:$AB$1,0)),"")),0)</f>
        <v/>
      </c>
      <c r="AE3210" s="53">
        <f>IFERROR(INDEX($A3210:$AB3210,MATCH("Xero Invoice Date",$A$1:$AB$1,0)),"")</f>
        <v/>
      </c>
      <c r="AF3210" s="54">
        <f>IF(AND(IFERROR(INDEX($A3210:$AB3210,MATCH("Xero Invoice No",$A$1:$AB$1,0)),"")&amp;""&lt;&gt;"",ISNUMBER(AE3210),AD3210&lt;&gt;0),1,0)</f>
        <v/>
      </c>
      <c r="AG3210" s="55">
        <f>IF(AF3210=1,EOMONTH(AE3210,0),"")</f>
        <v/>
      </c>
      <c r="AH3210" s="9">
        <f>IF(AF3210=1,UPPER(TRIM(IFERROR(INDEX($A3210:$AB3210,MATCH("Client",$A$1:$AB$1,0)),"")&amp;"")),"")</f>
        <v/>
      </c>
      <c r="AI3210" s="9">
        <f>IF(AF3210=1,IFERROR(INDEX($A3210:$AB3210,MATCH("Cost Centre",$A$1:$AB$1,0)),"")&amp;"","")</f>
        <v/>
      </c>
      <c r="AJ3210" s="54">
        <f>IF(AND(AF3210=1,AE3210&gt;=set_FYStart,AE3210&lt;=set_AsAt),1,0)</f>
        <v/>
      </c>
      <c r="AK3210" s="54">
        <f>IF(AND(AJ3210=1,AH3210&lt;&gt;"",COUNTIFS($AH$2:AH3210,AH3210,$AJ$2:AJ3210,1)=1),N(AL3209)+1,"")</f>
        <v/>
      </c>
      <c r="AL3210" s="54">
        <f>IF(AK3210&lt;&gt;"",AK3210,N(AL3209))</f>
        <v/>
      </c>
    </row>
    <row r="3211">
      <c r="A3211" t="inlineStr">
        <is>
          <t>CON-1070</t>
        </is>
      </c>
      <c r="B3211" t="inlineStr">
        <is>
          <t>Consulting</t>
        </is>
      </c>
      <c r="AB3211" t="n">
        <v>1070</v>
      </c>
      <c r="AD3211" s="52">
        <f>IFERROR(N(IFERROR(INDEX($A3211:$AB3211,MATCH("Xero Invoiced Ex GST",$A$1:$AB$1,0)),"")),0)</f>
        <v/>
      </c>
      <c r="AE3211" s="53">
        <f>IFERROR(INDEX($A3211:$AB3211,MATCH("Xero Invoice Date",$A$1:$AB$1,0)),"")</f>
        <v/>
      </c>
      <c r="AF3211" s="54">
        <f>IF(AND(IFERROR(INDEX($A3211:$AB3211,MATCH("Xero Invoice No",$A$1:$AB$1,0)),"")&amp;""&lt;&gt;"",ISNUMBER(AE3211),AD3211&lt;&gt;0),1,0)</f>
        <v/>
      </c>
      <c r="AG3211" s="55">
        <f>IF(AF3211=1,EOMONTH(AE3211,0),"")</f>
        <v/>
      </c>
      <c r="AH3211" s="9">
        <f>IF(AF3211=1,UPPER(TRIM(IFERROR(INDEX($A3211:$AB3211,MATCH("Client",$A$1:$AB$1,0)),"")&amp;"")),"")</f>
        <v/>
      </c>
      <c r="AI3211" s="9">
        <f>IF(AF3211=1,IFERROR(INDEX($A3211:$AB3211,MATCH("Cost Centre",$A$1:$AB$1,0)),"")&amp;"","")</f>
        <v/>
      </c>
      <c r="AJ3211" s="54">
        <f>IF(AND(AF3211=1,AE3211&gt;=set_FYStart,AE3211&lt;=set_AsAt),1,0)</f>
        <v/>
      </c>
      <c r="AK3211" s="54">
        <f>IF(AND(AJ3211=1,AH3211&lt;&gt;"",COUNTIFS($AH$2:AH3211,AH3211,$AJ$2:AJ3211,1)=1),N(AL3210)+1,"")</f>
        <v/>
      </c>
      <c r="AL3211" s="54">
        <f>IF(AK3211&lt;&gt;"",AK3211,N(AL3210))</f>
        <v/>
      </c>
    </row>
    <row r="3212">
      <c r="A3212" t="inlineStr">
        <is>
          <t>ONS-1071</t>
        </is>
      </c>
      <c r="B3212" t="inlineStr">
        <is>
          <t>Onsite</t>
        </is>
      </c>
      <c r="AB3212" t="n">
        <v>1071</v>
      </c>
      <c r="AD3212" s="52">
        <f>IFERROR(N(IFERROR(INDEX($A3212:$AB3212,MATCH("Xero Invoiced Ex GST",$A$1:$AB$1,0)),"")),0)</f>
        <v/>
      </c>
      <c r="AE3212" s="53">
        <f>IFERROR(INDEX($A3212:$AB3212,MATCH("Xero Invoice Date",$A$1:$AB$1,0)),"")</f>
        <v/>
      </c>
      <c r="AF3212" s="54">
        <f>IF(AND(IFERROR(INDEX($A3212:$AB3212,MATCH("Xero Invoice No",$A$1:$AB$1,0)),"")&amp;""&lt;&gt;"",ISNUMBER(AE3212),AD3212&lt;&gt;0),1,0)</f>
        <v/>
      </c>
      <c r="AG3212" s="55">
        <f>IF(AF3212=1,EOMONTH(AE3212,0),"")</f>
        <v/>
      </c>
      <c r="AH3212" s="9">
        <f>IF(AF3212=1,UPPER(TRIM(IFERROR(INDEX($A3212:$AB3212,MATCH("Client",$A$1:$AB$1,0)),"")&amp;"")),"")</f>
        <v/>
      </c>
      <c r="AI3212" s="9">
        <f>IF(AF3212=1,IFERROR(INDEX($A3212:$AB3212,MATCH("Cost Centre",$A$1:$AB$1,0)),"")&amp;"","")</f>
        <v/>
      </c>
      <c r="AJ3212" s="54">
        <f>IF(AND(AF3212=1,AE3212&gt;=set_FYStart,AE3212&lt;=set_AsAt),1,0)</f>
        <v/>
      </c>
      <c r="AK3212" s="54">
        <f>IF(AND(AJ3212=1,AH3212&lt;&gt;"",COUNTIFS($AH$2:AH3212,AH3212,$AJ$2:AJ3212,1)=1),N(AL3211)+1,"")</f>
        <v/>
      </c>
      <c r="AL3212" s="54">
        <f>IF(AK3212&lt;&gt;"",AK3212,N(AL3211))</f>
        <v/>
      </c>
    </row>
    <row r="3213">
      <c r="A3213" t="inlineStr">
        <is>
          <t>PRD-1071</t>
        </is>
      </c>
      <c r="B3213" t="inlineStr">
        <is>
          <t>Production</t>
        </is>
      </c>
      <c r="AB3213" t="n">
        <v>1071</v>
      </c>
      <c r="AD3213" s="52">
        <f>IFERROR(N(IFERROR(INDEX($A3213:$AB3213,MATCH("Xero Invoiced Ex GST",$A$1:$AB$1,0)),"")),0)</f>
        <v/>
      </c>
      <c r="AE3213" s="53">
        <f>IFERROR(INDEX($A3213:$AB3213,MATCH("Xero Invoice Date",$A$1:$AB$1,0)),"")</f>
        <v/>
      </c>
      <c r="AF3213" s="54">
        <f>IF(AND(IFERROR(INDEX($A3213:$AB3213,MATCH("Xero Invoice No",$A$1:$AB$1,0)),"")&amp;""&lt;&gt;"",ISNUMBER(AE3213),AD3213&lt;&gt;0),1,0)</f>
        <v/>
      </c>
      <c r="AG3213" s="55">
        <f>IF(AF3213=1,EOMONTH(AE3213,0),"")</f>
        <v/>
      </c>
      <c r="AH3213" s="9">
        <f>IF(AF3213=1,UPPER(TRIM(IFERROR(INDEX($A3213:$AB3213,MATCH("Client",$A$1:$AB$1,0)),"")&amp;"")),"")</f>
        <v/>
      </c>
      <c r="AI3213" s="9">
        <f>IF(AF3213=1,IFERROR(INDEX($A3213:$AB3213,MATCH("Cost Centre",$A$1:$AB$1,0)),"")&amp;"","")</f>
        <v/>
      </c>
      <c r="AJ3213" s="54">
        <f>IF(AND(AF3213=1,AE3213&gt;=set_FYStart,AE3213&lt;=set_AsAt),1,0)</f>
        <v/>
      </c>
      <c r="AK3213" s="54">
        <f>IF(AND(AJ3213=1,AH3213&lt;&gt;"",COUNTIFS($AH$2:AH3213,AH3213,$AJ$2:AJ3213,1)=1),N(AL3212)+1,"")</f>
        <v/>
      </c>
      <c r="AL3213" s="54">
        <f>IF(AK3213&lt;&gt;"",AK3213,N(AL3212))</f>
        <v/>
      </c>
    </row>
    <row r="3214">
      <c r="A3214" t="inlineStr">
        <is>
          <t>CON-1071</t>
        </is>
      </c>
      <c r="B3214" t="inlineStr">
        <is>
          <t>Consulting</t>
        </is>
      </c>
      <c r="AB3214" t="n">
        <v>1071</v>
      </c>
      <c r="AD3214" s="52">
        <f>IFERROR(N(IFERROR(INDEX($A3214:$AB3214,MATCH("Xero Invoiced Ex GST",$A$1:$AB$1,0)),"")),0)</f>
        <v/>
      </c>
      <c r="AE3214" s="53">
        <f>IFERROR(INDEX($A3214:$AB3214,MATCH("Xero Invoice Date",$A$1:$AB$1,0)),"")</f>
        <v/>
      </c>
      <c r="AF3214" s="54">
        <f>IF(AND(IFERROR(INDEX($A3214:$AB3214,MATCH("Xero Invoice No",$A$1:$AB$1,0)),"")&amp;""&lt;&gt;"",ISNUMBER(AE3214),AD3214&lt;&gt;0),1,0)</f>
        <v/>
      </c>
      <c r="AG3214" s="55">
        <f>IF(AF3214=1,EOMONTH(AE3214,0),"")</f>
        <v/>
      </c>
      <c r="AH3214" s="9">
        <f>IF(AF3214=1,UPPER(TRIM(IFERROR(INDEX($A3214:$AB3214,MATCH("Client",$A$1:$AB$1,0)),"")&amp;"")),"")</f>
        <v/>
      </c>
      <c r="AI3214" s="9">
        <f>IF(AF3214=1,IFERROR(INDEX($A3214:$AB3214,MATCH("Cost Centre",$A$1:$AB$1,0)),"")&amp;"","")</f>
        <v/>
      </c>
      <c r="AJ3214" s="54">
        <f>IF(AND(AF3214=1,AE3214&gt;=set_FYStart,AE3214&lt;=set_AsAt),1,0)</f>
        <v/>
      </c>
      <c r="AK3214" s="54">
        <f>IF(AND(AJ3214=1,AH3214&lt;&gt;"",COUNTIFS($AH$2:AH3214,AH3214,$AJ$2:AJ3214,1)=1),N(AL3213)+1,"")</f>
        <v/>
      </c>
      <c r="AL3214" s="54">
        <f>IF(AK3214&lt;&gt;"",AK3214,N(AL3213))</f>
        <v/>
      </c>
    </row>
    <row r="3215">
      <c r="A3215" t="inlineStr">
        <is>
          <t>ONS-1072</t>
        </is>
      </c>
      <c r="B3215" t="inlineStr">
        <is>
          <t>Onsite</t>
        </is>
      </c>
      <c r="AB3215" t="n">
        <v>1072</v>
      </c>
      <c r="AD3215" s="52">
        <f>IFERROR(N(IFERROR(INDEX($A3215:$AB3215,MATCH("Xero Invoiced Ex GST",$A$1:$AB$1,0)),"")),0)</f>
        <v/>
      </c>
      <c r="AE3215" s="53">
        <f>IFERROR(INDEX($A3215:$AB3215,MATCH("Xero Invoice Date",$A$1:$AB$1,0)),"")</f>
        <v/>
      </c>
      <c r="AF3215" s="54">
        <f>IF(AND(IFERROR(INDEX($A3215:$AB3215,MATCH("Xero Invoice No",$A$1:$AB$1,0)),"")&amp;""&lt;&gt;"",ISNUMBER(AE3215),AD3215&lt;&gt;0),1,0)</f>
        <v/>
      </c>
      <c r="AG3215" s="55">
        <f>IF(AF3215=1,EOMONTH(AE3215,0),"")</f>
        <v/>
      </c>
      <c r="AH3215" s="9">
        <f>IF(AF3215=1,UPPER(TRIM(IFERROR(INDEX($A3215:$AB3215,MATCH("Client",$A$1:$AB$1,0)),"")&amp;"")),"")</f>
        <v/>
      </c>
      <c r="AI3215" s="9">
        <f>IF(AF3215=1,IFERROR(INDEX($A3215:$AB3215,MATCH("Cost Centre",$A$1:$AB$1,0)),"")&amp;"","")</f>
        <v/>
      </c>
      <c r="AJ3215" s="54">
        <f>IF(AND(AF3215=1,AE3215&gt;=set_FYStart,AE3215&lt;=set_AsAt),1,0)</f>
        <v/>
      </c>
      <c r="AK3215" s="54">
        <f>IF(AND(AJ3215=1,AH3215&lt;&gt;"",COUNTIFS($AH$2:AH3215,AH3215,$AJ$2:AJ3215,1)=1),N(AL3214)+1,"")</f>
        <v/>
      </c>
      <c r="AL3215" s="54">
        <f>IF(AK3215&lt;&gt;"",AK3215,N(AL3214))</f>
        <v/>
      </c>
    </row>
    <row r="3216">
      <c r="A3216" t="inlineStr">
        <is>
          <t>PRD-1072</t>
        </is>
      </c>
      <c r="B3216" t="inlineStr">
        <is>
          <t>Production</t>
        </is>
      </c>
      <c r="AB3216" t="n">
        <v>1072</v>
      </c>
      <c r="AD3216" s="52">
        <f>IFERROR(N(IFERROR(INDEX($A3216:$AB3216,MATCH("Xero Invoiced Ex GST",$A$1:$AB$1,0)),"")),0)</f>
        <v/>
      </c>
      <c r="AE3216" s="53">
        <f>IFERROR(INDEX($A3216:$AB3216,MATCH("Xero Invoice Date",$A$1:$AB$1,0)),"")</f>
        <v/>
      </c>
      <c r="AF3216" s="54">
        <f>IF(AND(IFERROR(INDEX($A3216:$AB3216,MATCH("Xero Invoice No",$A$1:$AB$1,0)),"")&amp;""&lt;&gt;"",ISNUMBER(AE3216),AD3216&lt;&gt;0),1,0)</f>
        <v/>
      </c>
      <c r="AG3216" s="55">
        <f>IF(AF3216=1,EOMONTH(AE3216,0),"")</f>
        <v/>
      </c>
      <c r="AH3216" s="9">
        <f>IF(AF3216=1,UPPER(TRIM(IFERROR(INDEX($A3216:$AB3216,MATCH("Client",$A$1:$AB$1,0)),"")&amp;"")),"")</f>
        <v/>
      </c>
      <c r="AI3216" s="9">
        <f>IF(AF3216=1,IFERROR(INDEX($A3216:$AB3216,MATCH("Cost Centre",$A$1:$AB$1,0)),"")&amp;"","")</f>
        <v/>
      </c>
      <c r="AJ3216" s="54">
        <f>IF(AND(AF3216=1,AE3216&gt;=set_FYStart,AE3216&lt;=set_AsAt),1,0)</f>
        <v/>
      </c>
      <c r="AK3216" s="54">
        <f>IF(AND(AJ3216=1,AH3216&lt;&gt;"",COUNTIFS($AH$2:AH3216,AH3216,$AJ$2:AJ3216,1)=1),N(AL3215)+1,"")</f>
        <v/>
      </c>
      <c r="AL3216" s="54">
        <f>IF(AK3216&lt;&gt;"",AK3216,N(AL3215))</f>
        <v/>
      </c>
    </row>
    <row r="3217">
      <c r="A3217" t="inlineStr">
        <is>
          <t>CON-1072</t>
        </is>
      </c>
      <c r="B3217" t="inlineStr">
        <is>
          <t>Consulting</t>
        </is>
      </c>
      <c r="AB3217" t="n">
        <v>1072</v>
      </c>
      <c r="AD3217" s="52">
        <f>IFERROR(N(IFERROR(INDEX($A3217:$AB3217,MATCH("Xero Invoiced Ex GST",$A$1:$AB$1,0)),"")),0)</f>
        <v/>
      </c>
      <c r="AE3217" s="53">
        <f>IFERROR(INDEX($A3217:$AB3217,MATCH("Xero Invoice Date",$A$1:$AB$1,0)),"")</f>
        <v/>
      </c>
      <c r="AF3217" s="54">
        <f>IF(AND(IFERROR(INDEX($A3217:$AB3217,MATCH("Xero Invoice No",$A$1:$AB$1,0)),"")&amp;""&lt;&gt;"",ISNUMBER(AE3217),AD3217&lt;&gt;0),1,0)</f>
        <v/>
      </c>
      <c r="AG3217" s="55">
        <f>IF(AF3217=1,EOMONTH(AE3217,0),"")</f>
        <v/>
      </c>
      <c r="AH3217" s="9">
        <f>IF(AF3217=1,UPPER(TRIM(IFERROR(INDEX($A3217:$AB3217,MATCH("Client",$A$1:$AB$1,0)),"")&amp;"")),"")</f>
        <v/>
      </c>
      <c r="AI3217" s="9">
        <f>IF(AF3217=1,IFERROR(INDEX($A3217:$AB3217,MATCH("Cost Centre",$A$1:$AB$1,0)),"")&amp;"","")</f>
        <v/>
      </c>
      <c r="AJ3217" s="54">
        <f>IF(AND(AF3217=1,AE3217&gt;=set_FYStart,AE3217&lt;=set_AsAt),1,0)</f>
        <v/>
      </c>
      <c r="AK3217" s="54">
        <f>IF(AND(AJ3217=1,AH3217&lt;&gt;"",COUNTIFS($AH$2:AH3217,AH3217,$AJ$2:AJ3217,1)=1),N(AL3216)+1,"")</f>
        <v/>
      </c>
      <c r="AL3217" s="54">
        <f>IF(AK3217&lt;&gt;"",AK3217,N(AL3216))</f>
        <v/>
      </c>
    </row>
    <row r="3218">
      <c r="A3218" t="inlineStr">
        <is>
          <t>ONS-1073</t>
        </is>
      </c>
      <c r="B3218" t="inlineStr">
        <is>
          <t>Onsite</t>
        </is>
      </c>
      <c r="AB3218" t="n">
        <v>1073</v>
      </c>
      <c r="AD3218" s="52">
        <f>IFERROR(N(IFERROR(INDEX($A3218:$AB3218,MATCH("Xero Invoiced Ex GST",$A$1:$AB$1,0)),"")),0)</f>
        <v/>
      </c>
      <c r="AE3218" s="53">
        <f>IFERROR(INDEX($A3218:$AB3218,MATCH("Xero Invoice Date",$A$1:$AB$1,0)),"")</f>
        <v/>
      </c>
      <c r="AF3218" s="54">
        <f>IF(AND(IFERROR(INDEX($A3218:$AB3218,MATCH("Xero Invoice No",$A$1:$AB$1,0)),"")&amp;""&lt;&gt;"",ISNUMBER(AE3218),AD3218&lt;&gt;0),1,0)</f>
        <v/>
      </c>
      <c r="AG3218" s="55">
        <f>IF(AF3218=1,EOMONTH(AE3218,0),"")</f>
        <v/>
      </c>
      <c r="AH3218" s="9">
        <f>IF(AF3218=1,UPPER(TRIM(IFERROR(INDEX($A3218:$AB3218,MATCH("Client",$A$1:$AB$1,0)),"")&amp;"")),"")</f>
        <v/>
      </c>
      <c r="AI3218" s="9">
        <f>IF(AF3218=1,IFERROR(INDEX($A3218:$AB3218,MATCH("Cost Centre",$A$1:$AB$1,0)),"")&amp;"","")</f>
        <v/>
      </c>
      <c r="AJ3218" s="54">
        <f>IF(AND(AF3218=1,AE3218&gt;=set_FYStart,AE3218&lt;=set_AsAt),1,0)</f>
        <v/>
      </c>
      <c r="AK3218" s="54">
        <f>IF(AND(AJ3218=1,AH3218&lt;&gt;"",COUNTIFS($AH$2:AH3218,AH3218,$AJ$2:AJ3218,1)=1),N(AL3217)+1,"")</f>
        <v/>
      </c>
      <c r="AL3218" s="54">
        <f>IF(AK3218&lt;&gt;"",AK3218,N(AL3217))</f>
        <v/>
      </c>
    </row>
    <row r="3219">
      <c r="A3219" t="inlineStr">
        <is>
          <t>PRD-1073</t>
        </is>
      </c>
      <c r="B3219" t="inlineStr">
        <is>
          <t>Production</t>
        </is>
      </c>
      <c r="AB3219" t="n">
        <v>1073</v>
      </c>
      <c r="AD3219" s="52">
        <f>IFERROR(N(IFERROR(INDEX($A3219:$AB3219,MATCH("Xero Invoiced Ex GST",$A$1:$AB$1,0)),"")),0)</f>
        <v/>
      </c>
      <c r="AE3219" s="53">
        <f>IFERROR(INDEX($A3219:$AB3219,MATCH("Xero Invoice Date",$A$1:$AB$1,0)),"")</f>
        <v/>
      </c>
      <c r="AF3219" s="54">
        <f>IF(AND(IFERROR(INDEX($A3219:$AB3219,MATCH("Xero Invoice No",$A$1:$AB$1,0)),"")&amp;""&lt;&gt;"",ISNUMBER(AE3219),AD3219&lt;&gt;0),1,0)</f>
        <v/>
      </c>
      <c r="AG3219" s="55">
        <f>IF(AF3219=1,EOMONTH(AE3219,0),"")</f>
        <v/>
      </c>
      <c r="AH3219" s="9">
        <f>IF(AF3219=1,UPPER(TRIM(IFERROR(INDEX($A3219:$AB3219,MATCH("Client",$A$1:$AB$1,0)),"")&amp;"")),"")</f>
        <v/>
      </c>
      <c r="AI3219" s="9">
        <f>IF(AF3219=1,IFERROR(INDEX($A3219:$AB3219,MATCH("Cost Centre",$A$1:$AB$1,0)),"")&amp;"","")</f>
        <v/>
      </c>
      <c r="AJ3219" s="54">
        <f>IF(AND(AF3219=1,AE3219&gt;=set_FYStart,AE3219&lt;=set_AsAt),1,0)</f>
        <v/>
      </c>
      <c r="AK3219" s="54">
        <f>IF(AND(AJ3219=1,AH3219&lt;&gt;"",COUNTIFS($AH$2:AH3219,AH3219,$AJ$2:AJ3219,1)=1),N(AL3218)+1,"")</f>
        <v/>
      </c>
      <c r="AL3219" s="54">
        <f>IF(AK3219&lt;&gt;"",AK3219,N(AL3218))</f>
        <v/>
      </c>
    </row>
    <row r="3220">
      <c r="A3220" t="inlineStr">
        <is>
          <t>CON-1073</t>
        </is>
      </c>
      <c r="B3220" t="inlineStr">
        <is>
          <t>Consulting</t>
        </is>
      </c>
      <c r="AB3220" t="n">
        <v>1073</v>
      </c>
      <c r="AD3220" s="52">
        <f>IFERROR(N(IFERROR(INDEX($A3220:$AB3220,MATCH("Xero Invoiced Ex GST",$A$1:$AB$1,0)),"")),0)</f>
        <v/>
      </c>
      <c r="AE3220" s="53">
        <f>IFERROR(INDEX($A3220:$AB3220,MATCH("Xero Invoice Date",$A$1:$AB$1,0)),"")</f>
        <v/>
      </c>
      <c r="AF3220" s="54">
        <f>IF(AND(IFERROR(INDEX($A3220:$AB3220,MATCH("Xero Invoice No",$A$1:$AB$1,0)),"")&amp;""&lt;&gt;"",ISNUMBER(AE3220),AD3220&lt;&gt;0),1,0)</f>
        <v/>
      </c>
      <c r="AG3220" s="55">
        <f>IF(AF3220=1,EOMONTH(AE3220,0),"")</f>
        <v/>
      </c>
      <c r="AH3220" s="9">
        <f>IF(AF3220=1,UPPER(TRIM(IFERROR(INDEX($A3220:$AB3220,MATCH("Client",$A$1:$AB$1,0)),"")&amp;"")),"")</f>
        <v/>
      </c>
      <c r="AI3220" s="9">
        <f>IF(AF3220=1,IFERROR(INDEX($A3220:$AB3220,MATCH("Cost Centre",$A$1:$AB$1,0)),"")&amp;"","")</f>
        <v/>
      </c>
      <c r="AJ3220" s="54">
        <f>IF(AND(AF3220=1,AE3220&gt;=set_FYStart,AE3220&lt;=set_AsAt),1,0)</f>
        <v/>
      </c>
      <c r="AK3220" s="54">
        <f>IF(AND(AJ3220=1,AH3220&lt;&gt;"",COUNTIFS($AH$2:AH3220,AH3220,$AJ$2:AJ3220,1)=1),N(AL3219)+1,"")</f>
        <v/>
      </c>
      <c r="AL3220" s="54">
        <f>IF(AK3220&lt;&gt;"",AK3220,N(AL3219))</f>
        <v/>
      </c>
    </row>
    <row r="3221">
      <c r="A3221" t="inlineStr">
        <is>
          <t>ONS-1074</t>
        </is>
      </c>
      <c r="B3221" t="inlineStr">
        <is>
          <t>Onsite</t>
        </is>
      </c>
      <c r="AB3221" t="n">
        <v>1074</v>
      </c>
      <c r="AD3221" s="52">
        <f>IFERROR(N(IFERROR(INDEX($A3221:$AB3221,MATCH("Xero Invoiced Ex GST",$A$1:$AB$1,0)),"")),0)</f>
        <v/>
      </c>
      <c r="AE3221" s="53">
        <f>IFERROR(INDEX($A3221:$AB3221,MATCH("Xero Invoice Date",$A$1:$AB$1,0)),"")</f>
        <v/>
      </c>
      <c r="AF3221" s="54">
        <f>IF(AND(IFERROR(INDEX($A3221:$AB3221,MATCH("Xero Invoice No",$A$1:$AB$1,0)),"")&amp;""&lt;&gt;"",ISNUMBER(AE3221),AD3221&lt;&gt;0),1,0)</f>
        <v/>
      </c>
      <c r="AG3221" s="55">
        <f>IF(AF3221=1,EOMONTH(AE3221,0),"")</f>
        <v/>
      </c>
      <c r="AH3221" s="9">
        <f>IF(AF3221=1,UPPER(TRIM(IFERROR(INDEX($A3221:$AB3221,MATCH("Client",$A$1:$AB$1,0)),"")&amp;"")),"")</f>
        <v/>
      </c>
      <c r="AI3221" s="9">
        <f>IF(AF3221=1,IFERROR(INDEX($A3221:$AB3221,MATCH("Cost Centre",$A$1:$AB$1,0)),"")&amp;"","")</f>
        <v/>
      </c>
      <c r="AJ3221" s="54">
        <f>IF(AND(AF3221=1,AE3221&gt;=set_FYStart,AE3221&lt;=set_AsAt),1,0)</f>
        <v/>
      </c>
      <c r="AK3221" s="54">
        <f>IF(AND(AJ3221=1,AH3221&lt;&gt;"",COUNTIFS($AH$2:AH3221,AH3221,$AJ$2:AJ3221,1)=1),N(AL3220)+1,"")</f>
        <v/>
      </c>
      <c r="AL3221" s="54">
        <f>IF(AK3221&lt;&gt;"",AK3221,N(AL3220))</f>
        <v/>
      </c>
    </row>
    <row r="3222">
      <c r="A3222" t="inlineStr">
        <is>
          <t>PRD-1074</t>
        </is>
      </c>
      <c r="B3222" t="inlineStr">
        <is>
          <t>Production</t>
        </is>
      </c>
      <c r="AB3222" t="n">
        <v>1074</v>
      </c>
      <c r="AD3222" s="52">
        <f>IFERROR(N(IFERROR(INDEX($A3222:$AB3222,MATCH("Xero Invoiced Ex GST",$A$1:$AB$1,0)),"")),0)</f>
        <v/>
      </c>
      <c r="AE3222" s="53">
        <f>IFERROR(INDEX($A3222:$AB3222,MATCH("Xero Invoice Date",$A$1:$AB$1,0)),"")</f>
        <v/>
      </c>
      <c r="AF3222" s="54">
        <f>IF(AND(IFERROR(INDEX($A3222:$AB3222,MATCH("Xero Invoice No",$A$1:$AB$1,0)),"")&amp;""&lt;&gt;"",ISNUMBER(AE3222),AD3222&lt;&gt;0),1,0)</f>
        <v/>
      </c>
      <c r="AG3222" s="55">
        <f>IF(AF3222=1,EOMONTH(AE3222,0),"")</f>
        <v/>
      </c>
      <c r="AH3222" s="9">
        <f>IF(AF3222=1,UPPER(TRIM(IFERROR(INDEX($A3222:$AB3222,MATCH("Client",$A$1:$AB$1,0)),"")&amp;"")),"")</f>
        <v/>
      </c>
      <c r="AI3222" s="9">
        <f>IF(AF3222=1,IFERROR(INDEX($A3222:$AB3222,MATCH("Cost Centre",$A$1:$AB$1,0)),"")&amp;"","")</f>
        <v/>
      </c>
      <c r="AJ3222" s="54">
        <f>IF(AND(AF3222=1,AE3222&gt;=set_FYStart,AE3222&lt;=set_AsAt),1,0)</f>
        <v/>
      </c>
      <c r="AK3222" s="54">
        <f>IF(AND(AJ3222=1,AH3222&lt;&gt;"",COUNTIFS($AH$2:AH3222,AH3222,$AJ$2:AJ3222,1)=1),N(AL3221)+1,"")</f>
        <v/>
      </c>
      <c r="AL3222" s="54">
        <f>IF(AK3222&lt;&gt;"",AK3222,N(AL3221))</f>
        <v/>
      </c>
    </row>
    <row r="3223">
      <c r="A3223" t="inlineStr">
        <is>
          <t>CON-1074</t>
        </is>
      </c>
      <c r="B3223" t="inlineStr">
        <is>
          <t>Consulting</t>
        </is>
      </c>
      <c r="AB3223" t="n">
        <v>1074</v>
      </c>
      <c r="AD3223" s="52">
        <f>IFERROR(N(IFERROR(INDEX($A3223:$AB3223,MATCH("Xero Invoiced Ex GST",$A$1:$AB$1,0)),"")),0)</f>
        <v/>
      </c>
      <c r="AE3223" s="53">
        <f>IFERROR(INDEX($A3223:$AB3223,MATCH("Xero Invoice Date",$A$1:$AB$1,0)),"")</f>
        <v/>
      </c>
      <c r="AF3223" s="54">
        <f>IF(AND(IFERROR(INDEX($A3223:$AB3223,MATCH("Xero Invoice No",$A$1:$AB$1,0)),"")&amp;""&lt;&gt;"",ISNUMBER(AE3223),AD3223&lt;&gt;0),1,0)</f>
        <v/>
      </c>
      <c r="AG3223" s="55">
        <f>IF(AF3223=1,EOMONTH(AE3223,0),"")</f>
        <v/>
      </c>
      <c r="AH3223" s="9">
        <f>IF(AF3223=1,UPPER(TRIM(IFERROR(INDEX($A3223:$AB3223,MATCH("Client",$A$1:$AB$1,0)),"")&amp;"")),"")</f>
        <v/>
      </c>
      <c r="AI3223" s="9">
        <f>IF(AF3223=1,IFERROR(INDEX($A3223:$AB3223,MATCH("Cost Centre",$A$1:$AB$1,0)),"")&amp;"","")</f>
        <v/>
      </c>
      <c r="AJ3223" s="54">
        <f>IF(AND(AF3223=1,AE3223&gt;=set_FYStart,AE3223&lt;=set_AsAt),1,0)</f>
        <v/>
      </c>
      <c r="AK3223" s="54">
        <f>IF(AND(AJ3223=1,AH3223&lt;&gt;"",COUNTIFS($AH$2:AH3223,AH3223,$AJ$2:AJ3223,1)=1),N(AL3222)+1,"")</f>
        <v/>
      </c>
      <c r="AL3223" s="54">
        <f>IF(AK3223&lt;&gt;"",AK3223,N(AL3222))</f>
        <v/>
      </c>
    </row>
    <row r="3224">
      <c r="A3224" t="inlineStr">
        <is>
          <t>ONS-1075</t>
        </is>
      </c>
      <c r="B3224" t="inlineStr">
        <is>
          <t>Onsite</t>
        </is>
      </c>
      <c r="AB3224" t="n">
        <v>1075</v>
      </c>
      <c r="AD3224" s="52">
        <f>IFERROR(N(IFERROR(INDEX($A3224:$AB3224,MATCH("Xero Invoiced Ex GST",$A$1:$AB$1,0)),"")),0)</f>
        <v/>
      </c>
      <c r="AE3224" s="53">
        <f>IFERROR(INDEX($A3224:$AB3224,MATCH("Xero Invoice Date",$A$1:$AB$1,0)),"")</f>
        <v/>
      </c>
      <c r="AF3224" s="54">
        <f>IF(AND(IFERROR(INDEX($A3224:$AB3224,MATCH("Xero Invoice No",$A$1:$AB$1,0)),"")&amp;""&lt;&gt;"",ISNUMBER(AE3224),AD3224&lt;&gt;0),1,0)</f>
        <v/>
      </c>
      <c r="AG3224" s="55">
        <f>IF(AF3224=1,EOMONTH(AE3224,0),"")</f>
        <v/>
      </c>
      <c r="AH3224" s="9">
        <f>IF(AF3224=1,UPPER(TRIM(IFERROR(INDEX($A3224:$AB3224,MATCH("Client",$A$1:$AB$1,0)),"")&amp;"")),"")</f>
        <v/>
      </c>
      <c r="AI3224" s="9">
        <f>IF(AF3224=1,IFERROR(INDEX($A3224:$AB3224,MATCH("Cost Centre",$A$1:$AB$1,0)),"")&amp;"","")</f>
        <v/>
      </c>
      <c r="AJ3224" s="54">
        <f>IF(AND(AF3224=1,AE3224&gt;=set_FYStart,AE3224&lt;=set_AsAt),1,0)</f>
        <v/>
      </c>
      <c r="AK3224" s="54">
        <f>IF(AND(AJ3224=1,AH3224&lt;&gt;"",COUNTIFS($AH$2:AH3224,AH3224,$AJ$2:AJ3224,1)=1),N(AL3223)+1,"")</f>
        <v/>
      </c>
      <c r="AL3224" s="54">
        <f>IF(AK3224&lt;&gt;"",AK3224,N(AL3223))</f>
        <v/>
      </c>
    </row>
    <row r="3225">
      <c r="A3225" t="inlineStr">
        <is>
          <t>PRD-1075</t>
        </is>
      </c>
      <c r="B3225" t="inlineStr">
        <is>
          <t>Production</t>
        </is>
      </c>
      <c r="AB3225" t="n">
        <v>1075</v>
      </c>
      <c r="AD3225" s="52">
        <f>IFERROR(N(IFERROR(INDEX($A3225:$AB3225,MATCH("Xero Invoiced Ex GST",$A$1:$AB$1,0)),"")),0)</f>
        <v/>
      </c>
      <c r="AE3225" s="53">
        <f>IFERROR(INDEX($A3225:$AB3225,MATCH("Xero Invoice Date",$A$1:$AB$1,0)),"")</f>
        <v/>
      </c>
      <c r="AF3225" s="54">
        <f>IF(AND(IFERROR(INDEX($A3225:$AB3225,MATCH("Xero Invoice No",$A$1:$AB$1,0)),"")&amp;""&lt;&gt;"",ISNUMBER(AE3225),AD3225&lt;&gt;0),1,0)</f>
        <v/>
      </c>
      <c r="AG3225" s="55">
        <f>IF(AF3225=1,EOMONTH(AE3225,0),"")</f>
        <v/>
      </c>
      <c r="AH3225" s="9">
        <f>IF(AF3225=1,UPPER(TRIM(IFERROR(INDEX($A3225:$AB3225,MATCH("Client",$A$1:$AB$1,0)),"")&amp;"")),"")</f>
        <v/>
      </c>
      <c r="AI3225" s="9">
        <f>IF(AF3225=1,IFERROR(INDEX($A3225:$AB3225,MATCH("Cost Centre",$A$1:$AB$1,0)),"")&amp;"","")</f>
        <v/>
      </c>
      <c r="AJ3225" s="54">
        <f>IF(AND(AF3225=1,AE3225&gt;=set_FYStart,AE3225&lt;=set_AsAt),1,0)</f>
        <v/>
      </c>
      <c r="AK3225" s="54">
        <f>IF(AND(AJ3225=1,AH3225&lt;&gt;"",COUNTIFS($AH$2:AH3225,AH3225,$AJ$2:AJ3225,1)=1),N(AL3224)+1,"")</f>
        <v/>
      </c>
      <c r="AL3225" s="54">
        <f>IF(AK3225&lt;&gt;"",AK3225,N(AL3224))</f>
        <v/>
      </c>
    </row>
    <row r="3226">
      <c r="A3226" t="inlineStr">
        <is>
          <t>CON-1075</t>
        </is>
      </c>
      <c r="B3226" t="inlineStr">
        <is>
          <t>Consulting</t>
        </is>
      </c>
      <c r="AB3226" t="n">
        <v>1075</v>
      </c>
      <c r="AD3226" s="52">
        <f>IFERROR(N(IFERROR(INDEX($A3226:$AB3226,MATCH("Xero Invoiced Ex GST",$A$1:$AB$1,0)),"")),0)</f>
        <v/>
      </c>
      <c r="AE3226" s="53">
        <f>IFERROR(INDEX($A3226:$AB3226,MATCH("Xero Invoice Date",$A$1:$AB$1,0)),"")</f>
        <v/>
      </c>
      <c r="AF3226" s="54">
        <f>IF(AND(IFERROR(INDEX($A3226:$AB3226,MATCH("Xero Invoice No",$A$1:$AB$1,0)),"")&amp;""&lt;&gt;"",ISNUMBER(AE3226),AD3226&lt;&gt;0),1,0)</f>
        <v/>
      </c>
      <c r="AG3226" s="55">
        <f>IF(AF3226=1,EOMONTH(AE3226,0),"")</f>
        <v/>
      </c>
      <c r="AH3226" s="9">
        <f>IF(AF3226=1,UPPER(TRIM(IFERROR(INDEX($A3226:$AB3226,MATCH("Client",$A$1:$AB$1,0)),"")&amp;"")),"")</f>
        <v/>
      </c>
      <c r="AI3226" s="9">
        <f>IF(AF3226=1,IFERROR(INDEX($A3226:$AB3226,MATCH("Cost Centre",$A$1:$AB$1,0)),"")&amp;"","")</f>
        <v/>
      </c>
      <c r="AJ3226" s="54">
        <f>IF(AND(AF3226=1,AE3226&gt;=set_FYStart,AE3226&lt;=set_AsAt),1,0)</f>
        <v/>
      </c>
      <c r="AK3226" s="54">
        <f>IF(AND(AJ3226=1,AH3226&lt;&gt;"",COUNTIFS($AH$2:AH3226,AH3226,$AJ$2:AJ3226,1)=1),N(AL3225)+1,"")</f>
        <v/>
      </c>
      <c r="AL3226" s="54">
        <f>IF(AK3226&lt;&gt;"",AK3226,N(AL3225))</f>
        <v/>
      </c>
    </row>
    <row r="3227">
      <c r="A3227" t="inlineStr">
        <is>
          <t>ONS-1076</t>
        </is>
      </c>
      <c r="B3227" t="inlineStr">
        <is>
          <t>Onsite</t>
        </is>
      </c>
      <c r="AB3227" t="n">
        <v>1076</v>
      </c>
      <c r="AD3227" s="52">
        <f>IFERROR(N(IFERROR(INDEX($A3227:$AB3227,MATCH("Xero Invoiced Ex GST",$A$1:$AB$1,0)),"")),0)</f>
        <v/>
      </c>
      <c r="AE3227" s="53">
        <f>IFERROR(INDEX($A3227:$AB3227,MATCH("Xero Invoice Date",$A$1:$AB$1,0)),"")</f>
        <v/>
      </c>
      <c r="AF3227" s="54">
        <f>IF(AND(IFERROR(INDEX($A3227:$AB3227,MATCH("Xero Invoice No",$A$1:$AB$1,0)),"")&amp;""&lt;&gt;"",ISNUMBER(AE3227),AD3227&lt;&gt;0),1,0)</f>
        <v/>
      </c>
      <c r="AG3227" s="55">
        <f>IF(AF3227=1,EOMONTH(AE3227,0),"")</f>
        <v/>
      </c>
      <c r="AH3227" s="9">
        <f>IF(AF3227=1,UPPER(TRIM(IFERROR(INDEX($A3227:$AB3227,MATCH("Client",$A$1:$AB$1,0)),"")&amp;"")),"")</f>
        <v/>
      </c>
      <c r="AI3227" s="9">
        <f>IF(AF3227=1,IFERROR(INDEX($A3227:$AB3227,MATCH("Cost Centre",$A$1:$AB$1,0)),"")&amp;"","")</f>
        <v/>
      </c>
      <c r="AJ3227" s="54">
        <f>IF(AND(AF3227=1,AE3227&gt;=set_FYStart,AE3227&lt;=set_AsAt),1,0)</f>
        <v/>
      </c>
      <c r="AK3227" s="54">
        <f>IF(AND(AJ3227=1,AH3227&lt;&gt;"",COUNTIFS($AH$2:AH3227,AH3227,$AJ$2:AJ3227,1)=1),N(AL3226)+1,"")</f>
        <v/>
      </c>
      <c r="AL3227" s="54">
        <f>IF(AK3227&lt;&gt;"",AK3227,N(AL3226))</f>
        <v/>
      </c>
    </row>
    <row r="3228">
      <c r="A3228" t="inlineStr">
        <is>
          <t>PRD-1076</t>
        </is>
      </c>
      <c r="B3228" t="inlineStr">
        <is>
          <t>Production</t>
        </is>
      </c>
      <c r="AB3228" t="n">
        <v>1076</v>
      </c>
      <c r="AD3228" s="52">
        <f>IFERROR(N(IFERROR(INDEX($A3228:$AB3228,MATCH("Xero Invoiced Ex GST",$A$1:$AB$1,0)),"")),0)</f>
        <v/>
      </c>
      <c r="AE3228" s="53">
        <f>IFERROR(INDEX($A3228:$AB3228,MATCH("Xero Invoice Date",$A$1:$AB$1,0)),"")</f>
        <v/>
      </c>
      <c r="AF3228" s="54">
        <f>IF(AND(IFERROR(INDEX($A3228:$AB3228,MATCH("Xero Invoice No",$A$1:$AB$1,0)),"")&amp;""&lt;&gt;"",ISNUMBER(AE3228),AD3228&lt;&gt;0),1,0)</f>
        <v/>
      </c>
      <c r="AG3228" s="55">
        <f>IF(AF3228=1,EOMONTH(AE3228,0),"")</f>
        <v/>
      </c>
      <c r="AH3228" s="9">
        <f>IF(AF3228=1,UPPER(TRIM(IFERROR(INDEX($A3228:$AB3228,MATCH("Client",$A$1:$AB$1,0)),"")&amp;"")),"")</f>
        <v/>
      </c>
      <c r="AI3228" s="9">
        <f>IF(AF3228=1,IFERROR(INDEX($A3228:$AB3228,MATCH("Cost Centre",$A$1:$AB$1,0)),"")&amp;"","")</f>
        <v/>
      </c>
      <c r="AJ3228" s="54">
        <f>IF(AND(AF3228=1,AE3228&gt;=set_FYStart,AE3228&lt;=set_AsAt),1,0)</f>
        <v/>
      </c>
      <c r="AK3228" s="54">
        <f>IF(AND(AJ3228=1,AH3228&lt;&gt;"",COUNTIFS($AH$2:AH3228,AH3228,$AJ$2:AJ3228,1)=1),N(AL3227)+1,"")</f>
        <v/>
      </c>
      <c r="AL3228" s="54">
        <f>IF(AK3228&lt;&gt;"",AK3228,N(AL3227))</f>
        <v/>
      </c>
    </row>
    <row r="3229">
      <c r="A3229" t="inlineStr">
        <is>
          <t>CON-1076</t>
        </is>
      </c>
      <c r="B3229" t="inlineStr">
        <is>
          <t>Consulting</t>
        </is>
      </c>
      <c r="AB3229" t="n">
        <v>1076</v>
      </c>
      <c r="AD3229" s="52">
        <f>IFERROR(N(IFERROR(INDEX($A3229:$AB3229,MATCH("Xero Invoiced Ex GST",$A$1:$AB$1,0)),"")),0)</f>
        <v/>
      </c>
      <c r="AE3229" s="53">
        <f>IFERROR(INDEX($A3229:$AB3229,MATCH("Xero Invoice Date",$A$1:$AB$1,0)),"")</f>
        <v/>
      </c>
      <c r="AF3229" s="54">
        <f>IF(AND(IFERROR(INDEX($A3229:$AB3229,MATCH("Xero Invoice No",$A$1:$AB$1,0)),"")&amp;""&lt;&gt;"",ISNUMBER(AE3229),AD3229&lt;&gt;0),1,0)</f>
        <v/>
      </c>
      <c r="AG3229" s="55">
        <f>IF(AF3229=1,EOMONTH(AE3229,0),"")</f>
        <v/>
      </c>
      <c r="AH3229" s="9">
        <f>IF(AF3229=1,UPPER(TRIM(IFERROR(INDEX($A3229:$AB3229,MATCH("Client",$A$1:$AB$1,0)),"")&amp;"")),"")</f>
        <v/>
      </c>
      <c r="AI3229" s="9">
        <f>IF(AF3229=1,IFERROR(INDEX($A3229:$AB3229,MATCH("Cost Centre",$A$1:$AB$1,0)),"")&amp;"","")</f>
        <v/>
      </c>
      <c r="AJ3229" s="54">
        <f>IF(AND(AF3229=1,AE3229&gt;=set_FYStart,AE3229&lt;=set_AsAt),1,0)</f>
        <v/>
      </c>
      <c r="AK3229" s="54">
        <f>IF(AND(AJ3229=1,AH3229&lt;&gt;"",COUNTIFS($AH$2:AH3229,AH3229,$AJ$2:AJ3229,1)=1),N(AL3228)+1,"")</f>
        <v/>
      </c>
      <c r="AL3229" s="54">
        <f>IF(AK3229&lt;&gt;"",AK3229,N(AL3228))</f>
        <v/>
      </c>
    </row>
    <row r="3230">
      <c r="A3230" t="inlineStr">
        <is>
          <t>ONS-1077</t>
        </is>
      </c>
      <c r="B3230" t="inlineStr">
        <is>
          <t>Onsite</t>
        </is>
      </c>
      <c r="AB3230" t="n">
        <v>1077</v>
      </c>
      <c r="AD3230" s="52">
        <f>IFERROR(N(IFERROR(INDEX($A3230:$AB3230,MATCH("Xero Invoiced Ex GST",$A$1:$AB$1,0)),"")),0)</f>
        <v/>
      </c>
      <c r="AE3230" s="53">
        <f>IFERROR(INDEX($A3230:$AB3230,MATCH("Xero Invoice Date",$A$1:$AB$1,0)),"")</f>
        <v/>
      </c>
      <c r="AF3230" s="54">
        <f>IF(AND(IFERROR(INDEX($A3230:$AB3230,MATCH("Xero Invoice No",$A$1:$AB$1,0)),"")&amp;""&lt;&gt;"",ISNUMBER(AE3230),AD3230&lt;&gt;0),1,0)</f>
        <v/>
      </c>
      <c r="AG3230" s="55">
        <f>IF(AF3230=1,EOMONTH(AE3230,0),"")</f>
        <v/>
      </c>
      <c r="AH3230" s="9">
        <f>IF(AF3230=1,UPPER(TRIM(IFERROR(INDEX($A3230:$AB3230,MATCH("Client",$A$1:$AB$1,0)),"")&amp;"")),"")</f>
        <v/>
      </c>
      <c r="AI3230" s="9">
        <f>IF(AF3230=1,IFERROR(INDEX($A3230:$AB3230,MATCH("Cost Centre",$A$1:$AB$1,0)),"")&amp;"","")</f>
        <v/>
      </c>
      <c r="AJ3230" s="54">
        <f>IF(AND(AF3230=1,AE3230&gt;=set_FYStart,AE3230&lt;=set_AsAt),1,0)</f>
        <v/>
      </c>
      <c r="AK3230" s="54">
        <f>IF(AND(AJ3230=1,AH3230&lt;&gt;"",COUNTIFS($AH$2:AH3230,AH3230,$AJ$2:AJ3230,1)=1),N(AL3229)+1,"")</f>
        <v/>
      </c>
      <c r="AL3230" s="54">
        <f>IF(AK3230&lt;&gt;"",AK3230,N(AL3229))</f>
        <v/>
      </c>
    </row>
    <row r="3231">
      <c r="A3231" t="inlineStr">
        <is>
          <t>PRD-1077</t>
        </is>
      </c>
      <c r="B3231" t="inlineStr">
        <is>
          <t>Production</t>
        </is>
      </c>
      <c r="AB3231" t="n">
        <v>1077</v>
      </c>
      <c r="AD3231" s="52">
        <f>IFERROR(N(IFERROR(INDEX($A3231:$AB3231,MATCH("Xero Invoiced Ex GST",$A$1:$AB$1,0)),"")),0)</f>
        <v/>
      </c>
      <c r="AE3231" s="53">
        <f>IFERROR(INDEX($A3231:$AB3231,MATCH("Xero Invoice Date",$A$1:$AB$1,0)),"")</f>
        <v/>
      </c>
      <c r="AF3231" s="54">
        <f>IF(AND(IFERROR(INDEX($A3231:$AB3231,MATCH("Xero Invoice No",$A$1:$AB$1,0)),"")&amp;""&lt;&gt;"",ISNUMBER(AE3231),AD3231&lt;&gt;0),1,0)</f>
        <v/>
      </c>
      <c r="AG3231" s="55">
        <f>IF(AF3231=1,EOMONTH(AE3231,0),"")</f>
        <v/>
      </c>
      <c r="AH3231" s="9">
        <f>IF(AF3231=1,UPPER(TRIM(IFERROR(INDEX($A3231:$AB3231,MATCH("Client",$A$1:$AB$1,0)),"")&amp;"")),"")</f>
        <v/>
      </c>
      <c r="AI3231" s="9">
        <f>IF(AF3231=1,IFERROR(INDEX($A3231:$AB3231,MATCH("Cost Centre",$A$1:$AB$1,0)),"")&amp;"","")</f>
        <v/>
      </c>
      <c r="AJ3231" s="54">
        <f>IF(AND(AF3231=1,AE3231&gt;=set_FYStart,AE3231&lt;=set_AsAt),1,0)</f>
        <v/>
      </c>
      <c r="AK3231" s="54">
        <f>IF(AND(AJ3231=1,AH3231&lt;&gt;"",COUNTIFS($AH$2:AH3231,AH3231,$AJ$2:AJ3231,1)=1),N(AL3230)+1,"")</f>
        <v/>
      </c>
      <c r="AL3231" s="54">
        <f>IF(AK3231&lt;&gt;"",AK3231,N(AL3230))</f>
        <v/>
      </c>
    </row>
    <row r="3232">
      <c r="A3232" t="inlineStr">
        <is>
          <t>CON-1077</t>
        </is>
      </c>
      <c r="B3232" t="inlineStr">
        <is>
          <t>Consulting</t>
        </is>
      </c>
      <c r="AB3232" t="n">
        <v>1077</v>
      </c>
      <c r="AD3232" s="52">
        <f>IFERROR(N(IFERROR(INDEX($A3232:$AB3232,MATCH("Xero Invoiced Ex GST",$A$1:$AB$1,0)),"")),0)</f>
        <v/>
      </c>
      <c r="AE3232" s="53">
        <f>IFERROR(INDEX($A3232:$AB3232,MATCH("Xero Invoice Date",$A$1:$AB$1,0)),"")</f>
        <v/>
      </c>
      <c r="AF3232" s="54">
        <f>IF(AND(IFERROR(INDEX($A3232:$AB3232,MATCH("Xero Invoice No",$A$1:$AB$1,0)),"")&amp;""&lt;&gt;"",ISNUMBER(AE3232),AD3232&lt;&gt;0),1,0)</f>
        <v/>
      </c>
      <c r="AG3232" s="55">
        <f>IF(AF3232=1,EOMONTH(AE3232,0),"")</f>
        <v/>
      </c>
      <c r="AH3232" s="9">
        <f>IF(AF3232=1,UPPER(TRIM(IFERROR(INDEX($A3232:$AB3232,MATCH("Client",$A$1:$AB$1,0)),"")&amp;"")),"")</f>
        <v/>
      </c>
      <c r="AI3232" s="9">
        <f>IF(AF3232=1,IFERROR(INDEX($A3232:$AB3232,MATCH("Cost Centre",$A$1:$AB$1,0)),"")&amp;"","")</f>
        <v/>
      </c>
      <c r="AJ3232" s="54">
        <f>IF(AND(AF3232=1,AE3232&gt;=set_FYStart,AE3232&lt;=set_AsAt),1,0)</f>
        <v/>
      </c>
      <c r="AK3232" s="54">
        <f>IF(AND(AJ3232=1,AH3232&lt;&gt;"",COUNTIFS($AH$2:AH3232,AH3232,$AJ$2:AJ3232,1)=1),N(AL3231)+1,"")</f>
        <v/>
      </c>
      <c r="AL3232" s="54">
        <f>IF(AK3232&lt;&gt;"",AK3232,N(AL3231))</f>
        <v/>
      </c>
    </row>
    <row r="3233">
      <c r="A3233" t="inlineStr">
        <is>
          <t>ONS-1078</t>
        </is>
      </c>
      <c r="B3233" t="inlineStr">
        <is>
          <t>Onsite</t>
        </is>
      </c>
      <c r="AB3233" t="n">
        <v>1078</v>
      </c>
      <c r="AD3233" s="52">
        <f>IFERROR(N(IFERROR(INDEX($A3233:$AB3233,MATCH("Xero Invoiced Ex GST",$A$1:$AB$1,0)),"")),0)</f>
        <v/>
      </c>
      <c r="AE3233" s="53">
        <f>IFERROR(INDEX($A3233:$AB3233,MATCH("Xero Invoice Date",$A$1:$AB$1,0)),"")</f>
        <v/>
      </c>
      <c r="AF3233" s="54">
        <f>IF(AND(IFERROR(INDEX($A3233:$AB3233,MATCH("Xero Invoice No",$A$1:$AB$1,0)),"")&amp;""&lt;&gt;"",ISNUMBER(AE3233),AD3233&lt;&gt;0),1,0)</f>
        <v/>
      </c>
      <c r="AG3233" s="55">
        <f>IF(AF3233=1,EOMONTH(AE3233,0),"")</f>
        <v/>
      </c>
      <c r="AH3233" s="9">
        <f>IF(AF3233=1,UPPER(TRIM(IFERROR(INDEX($A3233:$AB3233,MATCH("Client",$A$1:$AB$1,0)),"")&amp;"")),"")</f>
        <v/>
      </c>
      <c r="AI3233" s="9">
        <f>IF(AF3233=1,IFERROR(INDEX($A3233:$AB3233,MATCH("Cost Centre",$A$1:$AB$1,0)),"")&amp;"","")</f>
        <v/>
      </c>
      <c r="AJ3233" s="54">
        <f>IF(AND(AF3233=1,AE3233&gt;=set_FYStart,AE3233&lt;=set_AsAt),1,0)</f>
        <v/>
      </c>
      <c r="AK3233" s="54">
        <f>IF(AND(AJ3233=1,AH3233&lt;&gt;"",COUNTIFS($AH$2:AH3233,AH3233,$AJ$2:AJ3233,1)=1),N(AL3232)+1,"")</f>
        <v/>
      </c>
      <c r="AL3233" s="54">
        <f>IF(AK3233&lt;&gt;"",AK3233,N(AL3232))</f>
        <v/>
      </c>
    </row>
    <row r="3234">
      <c r="A3234" t="inlineStr">
        <is>
          <t>PRD-1078</t>
        </is>
      </c>
      <c r="B3234" t="inlineStr">
        <is>
          <t>Production</t>
        </is>
      </c>
      <c r="AB3234" t="n">
        <v>1078</v>
      </c>
      <c r="AD3234" s="52">
        <f>IFERROR(N(IFERROR(INDEX($A3234:$AB3234,MATCH("Xero Invoiced Ex GST",$A$1:$AB$1,0)),"")),0)</f>
        <v/>
      </c>
      <c r="AE3234" s="53">
        <f>IFERROR(INDEX($A3234:$AB3234,MATCH("Xero Invoice Date",$A$1:$AB$1,0)),"")</f>
        <v/>
      </c>
      <c r="AF3234" s="54">
        <f>IF(AND(IFERROR(INDEX($A3234:$AB3234,MATCH("Xero Invoice No",$A$1:$AB$1,0)),"")&amp;""&lt;&gt;"",ISNUMBER(AE3234),AD3234&lt;&gt;0),1,0)</f>
        <v/>
      </c>
      <c r="AG3234" s="55">
        <f>IF(AF3234=1,EOMONTH(AE3234,0),"")</f>
        <v/>
      </c>
      <c r="AH3234" s="9">
        <f>IF(AF3234=1,UPPER(TRIM(IFERROR(INDEX($A3234:$AB3234,MATCH("Client",$A$1:$AB$1,0)),"")&amp;"")),"")</f>
        <v/>
      </c>
      <c r="AI3234" s="9">
        <f>IF(AF3234=1,IFERROR(INDEX($A3234:$AB3234,MATCH("Cost Centre",$A$1:$AB$1,0)),"")&amp;"","")</f>
        <v/>
      </c>
      <c r="AJ3234" s="54">
        <f>IF(AND(AF3234=1,AE3234&gt;=set_FYStart,AE3234&lt;=set_AsAt),1,0)</f>
        <v/>
      </c>
      <c r="AK3234" s="54">
        <f>IF(AND(AJ3234=1,AH3234&lt;&gt;"",COUNTIFS($AH$2:AH3234,AH3234,$AJ$2:AJ3234,1)=1),N(AL3233)+1,"")</f>
        <v/>
      </c>
      <c r="AL3234" s="54">
        <f>IF(AK3234&lt;&gt;"",AK3234,N(AL3233))</f>
        <v/>
      </c>
    </row>
    <row r="3235">
      <c r="A3235" t="inlineStr">
        <is>
          <t>CON-1078</t>
        </is>
      </c>
      <c r="B3235" t="inlineStr">
        <is>
          <t>Consulting</t>
        </is>
      </c>
      <c r="AB3235" t="n">
        <v>1078</v>
      </c>
      <c r="AD3235" s="52">
        <f>IFERROR(N(IFERROR(INDEX($A3235:$AB3235,MATCH("Xero Invoiced Ex GST",$A$1:$AB$1,0)),"")),0)</f>
        <v/>
      </c>
      <c r="AE3235" s="53">
        <f>IFERROR(INDEX($A3235:$AB3235,MATCH("Xero Invoice Date",$A$1:$AB$1,0)),"")</f>
        <v/>
      </c>
      <c r="AF3235" s="54">
        <f>IF(AND(IFERROR(INDEX($A3235:$AB3235,MATCH("Xero Invoice No",$A$1:$AB$1,0)),"")&amp;""&lt;&gt;"",ISNUMBER(AE3235),AD3235&lt;&gt;0),1,0)</f>
        <v/>
      </c>
      <c r="AG3235" s="55">
        <f>IF(AF3235=1,EOMONTH(AE3235,0),"")</f>
        <v/>
      </c>
      <c r="AH3235" s="9">
        <f>IF(AF3235=1,UPPER(TRIM(IFERROR(INDEX($A3235:$AB3235,MATCH("Client",$A$1:$AB$1,0)),"")&amp;"")),"")</f>
        <v/>
      </c>
      <c r="AI3235" s="9">
        <f>IF(AF3235=1,IFERROR(INDEX($A3235:$AB3235,MATCH("Cost Centre",$A$1:$AB$1,0)),"")&amp;"","")</f>
        <v/>
      </c>
      <c r="AJ3235" s="54">
        <f>IF(AND(AF3235=1,AE3235&gt;=set_FYStart,AE3235&lt;=set_AsAt),1,0)</f>
        <v/>
      </c>
      <c r="AK3235" s="54">
        <f>IF(AND(AJ3235=1,AH3235&lt;&gt;"",COUNTIFS($AH$2:AH3235,AH3235,$AJ$2:AJ3235,1)=1),N(AL3234)+1,"")</f>
        <v/>
      </c>
      <c r="AL3235" s="54">
        <f>IF(AK3235&lt;&gt;"",AK3235,N(AL3234))</f>
        <v/>
      </c>
    </row>
    <row r="3236">
      <c r="A3236" t="inlineStr">
        <is>
          <t>ONS-1079</t>
        </is>
      </c>
      <c r="B3236" t="inlineStr">
        <is>
          <t>Onsite</t>
        </is>
      </c>
      <c r="AB3236" t="n">
        <v>1079</v>
      </c>
      <c r="AD3236" s="52">
        <f>IFERROR(N(IFERROR(INDEX($A3236:$AB3236,MATCH("Xero Invoiced Ex GST",$A$1:$AB$1,0)),"")),0)</f>
        <v/>
      </c>
      <c r="AE3236" s="53">
        <f>IFERROR(INDEX($A3236:$AB3236,MATCH("Xero Invoice Date",$A$1:$AB$1,0)),"")</f>
        <v/>
      </c>
      <c r="AF3236" s="54">
        <f>IF(AND(IFERROR(INDEX($A3236:$AB3236,MATCH("Xero Invoice No",$A$1:$AB$1,0)),"")&amp;""&lt;&gt;"",ISNUMBER(AE3236),AD3236&lt;&gt;0),1,0)</f>
        <v/>
      </c>
      <c r="AG3236" s="55">
        <f>IF(AF3236=1,EOMONTH(AE3236,0),"")</f>
        <v/>
      </c>
      <c r="AH3236" s="9">
        <f>IF(AF3236=1,UPPER(TRIM(IFERROR(INDEX($A3236:$AB3236,MATCH("Client",$A$1:$AB$1,0)),"")&amp;"")),"")</f>
        <v/>
      </c>
      <c r="AI3236" s="9">
        <f>IF(AF3236=1,IFERROR(INDEX($A3236:$AB3236,MATCH("Cost Centre",$A$1:$AB$1,0)),"")&amp;"","")</f>
        <v/>
      </c>
      <c r="AJ3236" s="54">
        <f>IF(AND(AF3236=1,AE3236&gt;=set_FYStart,AE3236&lt;=set_AsAt),1,0)</f>
        <v/>
      </c>
      <c r="AK3236" s="54">
        <f>IF(AND(AJ3236=1,AH3236&lt;&gt;"",COUNTIFS($AH$2:AH3236,AH3236,$AJ$2:AJ3236,1)=1),N(AL3235)+1,"")</f>
        <v/>
      </c>
      <c r="AL3236" s="54">
        <f>IF(AK3236&lt;&gt;"",AK3236,N(AL3235))</f>
        <v/>
      </c>
    </row>
    <row r="3237">
      <c r="A3237" t="inlineStr">
        <is>
          <t>PRD-1079</t>
        </is>
      </c>
      <c r="B3237" t="inlineStr">
        <is>
          <t>Production</t>
        </is>
      </c>
      <c r="AB3237" t="n">
        <v>1079</v>
      </c>
      <c r="AD3237" s="52">
        <f>IFERROR(N(IFERROR(INDEX($A3237:$AB3237,MATCH("Xero Invoiced Ex GST",$A$1:$AB$1,0)),"")),0)</f>
        <v/>
      </c>
      <c r="AE3237" s="53">
        <f>IFERROR(INDEX($A3237:$AB3237,MATCH("Xero Invoice Date",$A$1:$AB$1,0)),"")</f>
        <v/>
      </c>
      <c r="AF3237" s="54">
        <f>IF(AND(IFERROR(INDEX($A3237:$AB3237,MATCH("Xero Invoice No",$A$1:$AB$1,0)),"")&amp;""&lt;&gt;"",ISNUMBER(AE3237),AD3237&lt;&gt;0),1,0)</f>
        <v/>
      </c>
      <c r="AG3237" s="55">
        <f>IF(AF3237=1,EOMONTH(AE3237,0),"")</f>
        <v/>
      </c>
      <c r="AH3237" s="9">
        <f>IF(AF3237=1,UPPER(TRIM(IFERROR(INDEX($A3237:$AB3237,MATCH("Client",$A$1:$AB$1,0)),"")&amp;"")),"")</f>
        <v/>
      </c>
      <c r="AI3237" s="9">
        <f>IF(AF3237=1,IFERROR(INDEX($A3237:$AB3237,MATCH("Cost Centre",$A$1:$AB$1,0)),"")&amp;"","")</f>
        <v/>
      </c>
      <c r="AJ3237" s="54">
        <f>IF(AND(AF3237=1,AE3237&gt;=set_FYStart,AE3237&lt;=set_AsAt),1,0)</f>
        <v/>
      </c>
      <c r="AK3237" s="54">
        <f>IF(AND(AJ3237=1,AH3237&lt;&gt;"",COUNTIFS($AH$2:AH3237,AH3237,$AJ$2:AJ3237,1)=1),N(AL3236)+1,"")</f>
        <v/>
      </c>
      <c r="AL3237" s="54">
        <f>IF(AK3237&lt;&gt;"",AK3237,N(AL3236))</f>
        <v/>
      </c>
    </row>
    <row r="3238">
      <c r="A3238" t="inlineStr">
        <is>
          <t>CON-1079</t>
        </is>
      </c>
      <c r="B3238" t="inlineStr">
        <is>
          <t>Consulting</t>
        </is>
      </c>
      <c r="AB3238" t="n">
        <v>1079</v>
      </c>
      <c r="AD3238" s="52">
        <f>IFERROR(N(IFERROR(INDEX($A3238:$AB3238,MATCH("Xero Invoiced Ex GST",$A$1:$AB$1,0)),"")),0)</f>
        <v/>
      </c>
      <c r="AE3238" s="53">
        <f>IFERROR(INDEX($A3238:$AB3238,MATCH("Xero Invoice Date",$A$1:$AB$1,0)),"")</f>
        <v/>
      </c>
      <c r="AF3238" s="54">
        <f>IF(AND(IFERROR(INDEX($A3238:$AB3238,MATCH("Xero Invoice No",$A$1:$AB$1,0)),"")&amp;""&lt;&gt;"",ISNUMBER(AE3238),AD3238&lt;&gt;0),1,0)</f>
        <v/>
      </c>
      <c r="AG3238" s="55">
        <f>IF(AF3238=1,EOMONTH(AE3238,0),"")</f>
        <v/>
      </c>
      <c r="AH3238" s="9">
        <f>IF(AF3238=1,UPPER(TRIM(IFERROR(INDEX($A3238:$AB3238,MATCH("Client",$A$1:$AB$1,0)),"")&amp;"")),"")</f>
        <v/>
      </c>
      <c r="AI3238" s="9">
        <f>IF(AF3238=1,IFERROR(INDEX($A3238:$AB3238,MATCH("Cost Centre",$A$1:$AB$1,0)),"")&amp;"","")</f>
        <v/>
      </c>
      <c r="AJ3238" s="54">
        <f>IF(AND(AF3238=1,AE3238&gt;=set_FYStart,AE3238&lt;=set_AsAt),1,0)</f>
        <v/>
      </c>
      <c r="AK3238" s="54">
        <f>IF(AND(AJ3238=1,AH3238&lt;&gt;"",COUNTIFS($AH$2:AH3238,AH3238,$AJ$2:AJ3238,1)=1),N(AL3237)+1,"")</f>
        <v/>
      </c>
      <c r="AL3238" s="54">
        <f>IF(AK3238&lt;&gt;"",AK3238,N(AL3237))</f>
        <v/>
      </c>
    </row>
    <row r="3239">
      <c r="A3239" t="inlineStr">
        <is>
          <t>ONS-1080</t>
        </is>
      </c>
      <c r="B3239" t="inlineStr">
        <is>
          <t>Onsite</t>
        </is>
      </c>
      <c r="AB3239" t="n">
        <v>1080</v>
      </c>
      <c r="AD3239" s="52">
        <f>IFERROR(N(IFERROR(INDEX($A3239:$AB3239,MATCH("Xero Invoiced Ex GST",$A$1:$AB$1,0)),"")),0)</f>
        <v/>
      </c>
      <c r="AE3239" s="53">
        <f>IFERROR(INDEX($A3239:$AB3239,MATCH("Xero Invoice Date",$A$1:$AB$1,0)),"")</f>
        <v/>
      </c>
      <c r="AF3239" s="54">
        <f>IF(AND(IFERROR(INDEX($A3239:$AB3239,MATCH("Xero Invoice No",$A$1:$AB$1,0)),"")&amp;""&lt;&gt;"",ISNUMBER(AE3239),AD3239&lt;&gt;0),1,0)</f>
        <v/>
      </c>
      <c r="AG3239" s="55">
        <f>IF(AF3239=1,EOMONTH(AE3239,0),"")</f>
        <v/>
      </c>
      <c r="AH3239" s="9">
        <f>IF(AF3239=1,UPPER(TRIM(IFERROR(INDEX($A3239:$AB3239,MATCH("Client",$A$1:$AB$1,0)),"")&amp;"")),"")</f>
        <v/>
      </c>
      <c r="AI3239" s="9">
        <f>IF(AF3239=1,IFERROR(INDEX($A3239:$AB3239,MATCH("Cost Centre",$A$1:$AB$1,0)),"")&amp;"","")</f>
        <v/>
      </c>
      <c r="AJ3239" s="54">
        <f>IF(AND(AF3239=1,AE3239&gt;=set_FYStart,AE3239&lt;=set_AsAt),1,0)</f>
        <v/>
      </c>
      <c r="AK3239" s="54">
        <f>IF(AND(AJ3239=1,AH3239&lt;&gt;"",COUNTIFS($AH$2:AH3239,AH3239,$AJ$2:AJ3239,1)=1),N(AL3238)+1,"")</f>
        <v/>
      </c>
      <c r="AL3239" s="54">
        <f>IF(AK3239&lt;&gt;"",AK3239,N(AL3238))</f>
        <v/>
      </c>
    </row>
    <row r="3240">
      <c r="A3240" t="inlineStr">
        <is>
          <t>PRD-1080</t>
        </is>
      </c>
      <c r="B3240" t="inlineStr">
        <is>
          <t>Production</t>
        </is>
      </c>
      <c r="AB3240" t="n">
        <v>1080</v>
      </c>
      <c r="AD3240" s="52">
        <f>IFERROR(N(IFERROR(INDEX($A3240:$AB3240,MATCH("Xero Invoiced Ex GST",$A$1:$AB$1,0)),"")),0)</f>
        <v/>
      </c>
      <c r="AE3240" s="53">
        <f>IFERROR(INDEX($A3240:$AB3240,MATCH("Xero Invoice Date",$A$1:$AB$1,0)),"")</f>
        <v/>
      </c>
      <c r="AF3240" s="54">
        <f>IF(AND(IFERROR(INDEX($A3240:$AB3240,MATCH("Xero Invoice No",$A$1:$AB$1,0)),"")&amp;""&lt;&gt;"",ISNUMBER(AE3240),AD3240&lt;&gt;0),1,0)</f>
        <v/>
      </c>
      <c r="AG3240" s="55">
        <f>IF(AF3240=1,EOMONTH(AE3240,0),"")</f>
        <v/>
      </c>
      <c r="AH3240" s="9">
        <f>IF(AF3240=1,UPPER(TRIM(IFERROR(INDEX($A3240:$AB3240,MATCH("Client",$A$1:$AB$1,0)),"")&amp;"")),"")</f>
        <v/>
      </c>
      <c r="AI3240" s="9">
        <f>IF(AF3240=1,IFERROR(INDEX($A3240:$AB3240,MATCH("Cost Centre",$A$1:$AB$1,0)),"")&amp;"","")</f>
        <v/>
      </c>
      <c r="AJ3240" s="54">
        <f>IF(AND(AF3240=1,AE3240&gt;=set_FYStart,AE3240&lt;=set_AsAt),1,0)</f>
        <v/>
      </c>
      <c r="AK3240" s="54">
        <f>IF(AND(AJ3240=1,AH3240&lt;&gt;"",COUNTIFS($AH$2:AH3240,AH3240,$AJ$2:AJ3240,1)=1),N(AL3239)+1,"")</f>
        <v/>
      </c>
      <c r="AL3240" s="54">
        <f>IF(AK3240&lt;&gt;"",AK3240,N(AL3239))</f>
        <v/>
      </c>
    </row>
    <row r="3241">
      <c r="A3241" t="inlineStr">
        <is>
          <t>CON-1080</t>
        </is>
      </c>
      <c r="B3241" t="inlineStr">
        <is>
          <t>Consulting</t>
        </is>
      </c>
      <c r="AB3241" t="n">
        <v>1080</v>
      </c>
      <c r="AD3241" s="52">
        <f>IFERROR(N(IFERROR(INDEX($A3241:$AB3241,MATCH("Xero Invoiced Ex GST",$A$1:$AB$1,0)),"")),0)</f>
        <v/>
      </c>
      <c r="AE3241" s="53">
        <f>IFERROR(INDEX($A3241:$AB3241,MATCH("Xero Invoice Date",$A$1:$AB$1,0)),"")</f>
        <v/>
      </c>
      <c r="AF3241" s="54">
        <f>IF(AND(IFERROR(INDEX($A3241:$AB3241,MATCH("Xero Invoice No",$A$1:$AB$1,0)),"")&amp;""&lt;&gt;"",ISNUMBER(AE3241),AD3241&lt;&gt;0),1,0)</f>
        <v/>
      </c>
      <c r="AG3241" s="55">
        <f>IF(AF3241=1,EOMONTH(AE3241,0),"")</f>
        <v/>
      </c>
      <c r="AH3241" s="9">
        <f>IF(AF3241=1,UPPER(TRIM(IFERROR(INDEX($A3241:$AB3241,MATCH("Client",$A$1:$AB$1,0)),"")&amp;"")),"")</f>
        <v/>
      </c>
      <c r="AI3241" s="9">
        <f>IF(AF3241=1,IFERROR(INDEX($A3241:$AB3241,MATCH("Cost Centre",$A$1:$AB$1,0)),"")&amp;"","")</f>
        <v/>
      </c>
      <c r="AJ3241" s="54">
        <f>IF(AND(AF3241=1,AE3241&gt;=set_FYStart,AE3241&lt;=set_AsAt),1,0)</f>
        <v/>
      </c>
      <c r="AK3241" s="54">
        <f>IF(AND(AJ3241=1,AH3241&lt;&gt;"",COUNTIFS($AH$2:AH3241,AH3241,$AJ$2:AJ3241,1)=1),N(AL3240)+1,"")</f>
        <v/>
      </c>
      <c r="AL3241" s="54">
        <f>IF(AK3241&lt;&gt;"",AK3241,N(AL3240))</f>
        <v/>
      </c>
    </row>
    <row r="3242">
      <c r="A3242" t="inlineStr">
        <is>
          <t>ONS-1081</t>
        </is>
      </c>
      <c r="B3242" t="inlineStr">
        <is>
          <t>Onsite</t>
        </is>
      </c>
      <c r="AB3242" t="n">
        <v>1081</v>
      </c>
      <c r="AD3242" s="52">
        <f>IFERROR(N(IFERROR(INDEX($A3242:$AB3242,MATCH("Xero Invoiced Ex GST",$A$1:$AB$1,0)),"")),0)</f>
        <v/>
      </c>
      <c r="AE3242" s="53">
        <f>IFERROR(INDEX($A3242:$AB3242,MATCH("Xero Invoice Date",$A$1:$AB$1,0)),"")</f>
        <v/>
      </c>
      <c r="AF3242" s="54">
        <f>IF(AND(IFERROR(INDEX($A3242:$AB3242,MATCH("Xero Invoice No",$A$1:$AB$1,0)),"")&amp;""&lt;&gt;"",ISNUMBER(AE3242),AD3242&lt;&gt;0),1,0)</f>
        <v/>
      </c>
      <c r="AG3242" s="55">
        <f>IF(AF3242=1,EOMONTH(AE3242,0),"")</f>
        <v/>
      </c>
      <c r="AH3242" s="9">
        <f>IF(AF3242=1,UPPER(TRIM(IFERROR(INDEX($A3242:$AB3242,MATCH("Client",$A$1:$AB$1,0)),"")&amp;"")),"")</f>
        <v/>
      </c>
      <c r="AI3242" s="9">
        <f>IF(AF3242=1,IFERROR(INDEX($A3242:$AB3242,MATCH("Cost Centre",$A$1:$AB$1,0)),"")&amp;"","")</f>
        <v/>
      </c>
      <c r="AJ3242" s="54">
        <f>IF(AND(AF3242=1,AE3242&gt;=set_FYStart,AE3242&lt;=set_AsAt),1,0)</f>
        <v/>
      </c>
      <c r="AK3242" s="54">
        <f>IF(AND(AJ3242=1,AH3242&lt;&gt;"",COUNTIFS($AH$2:AH3242,AH3242,$AJ$2:AJ3242,1)=1),N(AL3241)+1,"")</f>
        <v/>
      </c>
      <c r="AL3242" s="54">
        <f>IF(AK3242&lt;&gt;"",AK3242,N(AL3241))</f>
        <v/>
      </c>
    </row>
    <row r="3243">
      <c r="A3243" t="inlineStr">
        <is>
          <t>PRD-1081</t>
        </is>
      </c>
      <c r="B3243" t="inlineStr">
        <is>
          <t>Production</t>
        </is>
      </c>
      <c r="AB3243" t="n">
        <v>1081</v>
      </c>
      <c r="AD3243" s="52">
        <f>IFERROR(N(IFERROR(INDEX($A3243:$AB3243,MATCH("Xero Invoiced Ex GST",$A$1:$AB$1,0)),"")),0)</f>
        <v/>
      </c>
      <c r="AE3243" s="53">
        <f>IFERROR(INDEX($A3243:$AB3243,MATCH("Xero Invoice Date",$A$1:$AB$1,0)),"")</f>
        <v/>
      </c>
      <c r="AF3243" s="54">
        <f>IF(AND(IFERROR(INDEX($A3243:$AB3243,MATCH("Xero Invoice No",$A$1:$AB$1,0)),"")&amp;""&lt;&gt;"",ISNUMBER(AE3243),AD3243&lt;&gt;0),1,0)</f>
        <v/>
      </c>
      <c r="AG3243" s="55">
        <f>IF(AF3243=1,EOMONTH(AE3243,0),"")</f>
        <v/>
      </c>
      <c r="AH3243" s="9">
        <f>IF(AF3243=1,UPPER(TRIM(IFERROR(INDEX($A3243:$AB3243,MATCH("Client",$A$1:$AB$1,0)),"")&amp;"")),"")</f>
        <v/>
      </c>
      <c r="AI3243" s="9">
        <f>IF(AF3243=1,IFERROR(INDEX($A3243:$AB3243,MATCH("Cost Centre",$A$1:$AB$1,0)),"")&amp;"","")</f>
        <v/>
      </c>
      <c r="AJ3243" s="54">
        <f>IF(AND(AF3243=1,AE3243&gt;=set_FYStart,AE3243&lt;=set_AsAt),1,0)</f>
        <v/>
      </c>
      <c r="AK3243" s="54">
        <f>IF(AND(AJ3243=1,AH3243&lt;&gt;"",COUNTIFS($AH$2:AH3243,AH3243,$AJ$2:AJ3243,1)=1),N(AL3242)+1,"")</f>
        <v/>
      </c>
      <c r="AL3243" s="54">
        <f>IF(AK3243&lt;&gt;"",AK3243,N(AL3242))</f>
        <v/>
      </c>
    </row>
    <row r="3244">
      <c r="A3244" t="inlineStr">
        <is>
          <t>CON-1081</t>
        </is>
      </c>
      <c r="B3244" t="inlineStr">
        <is>
          <t>Consulting</t>
        </is>
      </c>
      <c r="AB3244" t="n">
        <v>1081</v>
      </c>
      <c r="AD3244" s="52">
        <f>IFERROR(N(IFERROR(INDEX($A3244:$AB3244,MATCH("Xero Invoiced Ex GST",$A$1:$AB$1,0)),"")),0)</f>
        <v/>
      </c>
      <c r="AE3244" s="53">
        <f>IFERROR(INDEX($A3244:$AB3244,MATCH("Xero Invoice Date",$A$1:$AB$1,0)),"")</f>
        <v/>
      </c>
      <c r="AF3244" s="54">
        <f>IF(AND(IFERROR(INDEX($A3244:$AB3244,MATCH("Xero Invoice No",$A$1:$AB$1,0)),"")&amp;""&lt;&gt;"",ISNUMBER(AE3244),AD3244&lt;&gt;0),1,0)</f>
        <v/>
      </c>
      <c r="AG3244" s="55">
        <f>IF(AF3244=1,EOMONTH(AE3244,0),"")</f>
        <v/>
      </c>
      <c r="AH3244" s="9">
        <f>IF(AF3244=1,UPPER(TRIM(IFERROR(INDEX($A3244:$AB3244,MATCH("Client",$A$1:$AB$1,0)),"")&amp;"")),"")</f>
        <v/>
      </c>
      <c r="AI3244" s="9">
        <f>IF(AF3244=1,IFERROR(INDEX($A3244:$AB3244,MATCH("Cost Centre",$A$1:$AB$1,0)),"")&amp;"","")</f>
        <v/>
      </c>
      <c r="AJ3244" s="54">
        <f>IF(AND(AF3244=1,AE3244&gt;=set_FYStart,AE3244&lt;=set_AsAt),1,0)</f>
        <v/>
      </c>
      <c r="AK3244" s="54">
        <f>IF(AND(AJ3244=1,AH3244&lt;&gt;"",COUNTIFS($AH$2:AH3244,AH3244,$AJ$2:AJ3244,1)=1),N(AL3243)+1,"")</f>
        <v/>
      </c>
      <c r="AL3244" s="54">
        <f>IF(AK3244&lt;&gt;"",AK3244,N(AL3243))</f>
        <v/>
      </c>
    </row>
    <row r="3245">
      <c r="A3245" t="inlineStr">
        <is>
          <t>ONS-1082</t>
        </is>
      </c>
      <c r="B3245" t="inlineStr">
        <is>
          <t>Onsite</t>
        </is>
      </c>
      <c r="AB3245" t="n">
        <v>1082</v>
      </c>
      <c r="AD3245" s="52">
        <f>IFERROR(N(IFERROR(INDEX($A3245:$AB3245,MATCH("Xero Invoiced Ex GST",$A$1:$AB$1,0)),"")),0)</f>
        <v/>
      </c>
      <c r="AE3245" s="53">
        <f>IFERROR(INDEX($A3245:$AB3245,MATCH("Xero Invoice Date",$A$1:$AB$1,0)),"")</f>
        <v/>
      </c>
      <c r="AF3245" s="54">
        <f>IF(AND(IFERROR(INDEX($A3245:$AB3245,MATCH("Xero Invoice No",$A$1:$AB$1,0)),"")&amp;""&lt;&gt;"",ISNUMBER(AE3245),AD3245&lt;&gt;0),1,0)</f>
        <v/>
      </c>
      <c r="AG3245" s="55">
        <f>IF(AF3245=1,EOMONTH(AE3245,0),"")</f>
        <v/>
      </c>
      <c r="AH3245" s="9">
        <f>IF(AF3245=1,UPPER(TRIM(IFERROR(INDEX($A3245:$AB3245,MATCH("Client",$A$1:$AB$1,0)),"")&amp;"")),"")</f>
        <v/>
      </c>
      <c r="AI3245" s="9">
        <f>IF(AF3245=1,IFERROR(INDEX($A3245:$AB3245,MATCH("Cost Centre",$A$1:$AB$1,0)),"")&amp;"","")</f>
        <v/>
      </c>
      <c r="AJ3245" s="54">
        <f>IF(AND(AF3245=1,AE3245&gt;=set_FYStart,AE3245&lt;=set_AsAt),1,0)</f>
        <v/>
      </c>
      <c r="AK3245" s="54">
        <f>IF(AND(AJ3245=1,AH3245&lt;&gt;"",COUNTIFS($AH$2:AH3245,AH3245,$AJ$2:AJ3245,1)=1),N(AL3244)+1,"")</f>
        <v/>
      </c>
      <c r="AL3245" s="54">
        <f>IF(AK3245&lt;&gt;"",AK3245,N(AL3244))</f>
        <v/>
      </c>
    </row>
    <row r="3246">
      <c r="A3246" t="inlineStr">
        <is>
          <t>PRD-1082</t>
        </is>
      </c>
      <c r="B3246" t="inlineStr">
        <is>
          <t>Production</t>
        </is>
      </c>
      <c r="AB3246" t="n">
        <v>1082</v>
      </c>
      <c r="AD3246" s="52">
        <f>IFERROR(N(IFERROR(INDEX($A3246:$AB3246,MATCH("Xero Invoiced Ex GST",$A$1:$AB$1,0)),"")),0)</f>
        <v/>
      </c>
      <c r="AE3246" s="53">
        <f>IFERROR(INDEX($A3246:$AB3246,MATCH("Xero Invoice Date",$A$1:$AB$1,0)),"")</f>
        <v/>
      </c>
      <c r="AF3246" s="54">
        <f>IF(AND(IFERROR(INDEX($A3246:$AB3246,MATCH("Xero Invoice No",$A$1:$AB$1,0)),"")&amp;""&lt;&gt;"",ISNUMBER(AE3246),AD3246&lt;&gt;0),1,0)</f>
        <v/>
      </c>
      <c r="AG3246" s="55">
        <f>IF(AF3246=1,EOMONTH(AE3246,0),"")</f>
        <v/>
      </c>
      <c r="AH3246" s="9">
        <f>IF(AF3246=1,UPPER(TRIM(IFERROR(INDEX($A3246:$AB3246,MATCH("Client",$A$1:$AB$1,0)),"")&amp;"")),"")</f>
        <v/>
      </c>
      <c r="AI3246" s="9">
        <f>IF(AF3246=1,IFERROR(INDEX($A3246:$AB3246,MATCH("Cost Centre",$A$1:$AB$1,0)),"")&amp;"","")</f>
        <v/>
      </c>
      <c r="AJ3246" s="54">
        <f>IF(AND(AF3246=1,AE3246&gt;=set_FYStart,AE3246&lt;=set_AsAt),1,0)</f>
        <v/>
      </c>
      <c r="AK3246" s="54">
        <f>IF(AND(AJ3246=1,AH3246&lt;&gt;"",COUNTIFS($AH$2:AH3246,AH3246,$AJ$2:AJ3246,1)=1),N(AL3245)+1,"")</f>
        <v/>
      </c>
      <c r="AL3246" s="54">
        <f>IF(AK3246&lt;&gt;"",AK3246,N(AL3245))</f>
        <v/>
      </c>
    </row>
    <row r="3247">
      <c r="A3247" t="inlineStr">
        <is>
          <t>CON-1082</t>
        </is>
      </c>
      <c r="B3247" t="inlineStr">
        <is>
          <t>Consulting</t>
        </is>
      </c>
      <c r="AB3247" t="n">
        <v>1082</v>
      </c>
      <c r="AD3247" s="52">
        <f>IFERROR(N(IFERROR(INDEX($A3247:$AB3247,MATCH("Xero Invoiced Ex GST",$A$1:$AB$1,0)),"")),0)</f>
        <v/>
      </c>
      <c r="AE3247" s="53">
        <f>IFERROR(INDEX($A3247:$AB3247,MATCH("Xero Invoice Date",$A$1:$AB$1,0)),"")</f>
        <v/>
      </c>
      <c r="AF3247" s="54">
        <f>IF(AND(IFERROR(INDEX($A3247:$AB3247,MATCH("Xero Invoice No",$A$1:$AB$1,0)),"")&amp;""&lt;&gt;"",ISNUMBER(AE3247),AD3247&lt;&gt;0),1,0)</f>
        <v/>
      </c>
      <c r="AG3247" s="55">
        <f>IF(AF3247=1,EOMONTH(AE3247,0),"")</f>
        <v/>
      </c>
      <c r="AH3247" s="9">
        <f>IF(AF3247=1,UPPER(TRIM(IFERROR(INDEX($A3247:$AB3247,MATCH("Client",$A$1:$AB$1,0)),"")&amp;"")),"")</f>
        <v/>
      </c>
      <c r="AI3247" s="9">
        <f>IF(AF3247=1,IFERROR(INDEX($A3247:$AB3247,MATCH("Cost Centre",$A$1:$AB$1,0)),"")&amp;"","")</f>
        <v/>
      </c>
      <c r="AJ3247" s="54">
        <f>IF(AND(AF3247=1,AE3247&gt;=set_FYStart,AE3247&lt;=set_AsAt),1,0)</f>
        <v/>
      </c>
      <c r="AK3247" s="54">
        <f>IF(AND(AJ3247=1,AH3247&lt;&gt;"",COUNTIFS($AH$2:AH3247,AH3247,$AJ$2:AJ3247,1)=1),N(AL3246)+1,"")</f>
        <v/>
      </c>
      <c r="AL3247" s="54">
        <f>IF(AK3247&lt;&gt;"",AK3247,N(AL3246))</f>
        <v/>
      </c>
    </row>
    <row r="3248">
      <c r="A3248" t="inlineStr">
        <is>
          <t>ONS-1083</t>
        </is>
      </c>
      <c r="B3248" t="inlineStr">
        <is>
          <t>Onsite</t>
        </is>
      </c>
      <c r="AB3248" t="n">
        <v>1083</v>
      </c>
      <c r="AD3248" s="52">
        <f>IFERROR(N(IFERROR(INDEX($A3248:$AB3248,MATCH("Xero Invoiced Ex GST",$A$1:$AB$1,0)),"")),0)</f>
        <v/>
      </c>
      <c r="AE3248" s="53">
        <f>IFERROR(INDEX($A3248:$AB3248,MATCH("Xero Invoice Date",$A$1:$AB$1,0)),"")</f>
        <v/>
      </c>
      <c r="AF3248" s="54">
        <f>IF(AND(IFERROR(INDEX($A3248:$AB3248,MATCH("Xero Invoice No",$A$1:$AB$1,0)),"")&amp;""&lt;&gt;"",ISNUMBER(AE3248),AD3248&lt;&gt;0),1,0)</f>
        <v/>
      </c>
      <c r="AG3248" s="55">
        <f>IF(AF3248=1,EOMONTH(AE3248,0),"")</f>
        <v/>
      </c>
      <c r="AH3248" s="9">
        <f>IF(AF3248=1,UPPER(TRIM(IFERROR(INDEX($A3248:$AB3248,MATCH("Client",$A$1:$AB$1,0)),"")&amp;"")),"")</f>
        <v/>
      </c>
      <c r="AI3248" s="9">
        <f>IF(AF3248=1,IFERROR(INDEX($A3248:$AB3248,MATCH("Cost Centre",$A$1:$AB$1,0)),"")&amp;"","")</f>
        <v/>
      </c>
      <c r="AJ3248" s="54">
        <f>IF(AND(AF3248=1,AE3248&gt;=set_FYStart,AE3248&lt;=set_AsAt),1,0)</f>
        <v/>
      </c>
      <c r="AK3248" s="54">
        <f>IF(AND(AJ3248=1,AH3248&lt;&gt;"",COUNTIFS($AH$2:AH3248,AH3248,$AJ$2:AJ3248,1)=1),N(AL3247)+1,"")</f>
        <v/>
      </c>
      <c r="AL3248" s="54">
        <f>IF(AK3248&lt;&gt;"",AK3248,N(AL3247))</f>
        <v/>
      </c>
    </row>
    <row r="3249">
      <c r="A3249" t="inlineStr">
        <is>
          <t>PRD-1083</t>
        </is>
      </c>
      <c r="B3249" t="inlineStr">
        <is>
          <t>Production</t>
        </is>
      </c>
      <c r="AB3249" t="n">
        <v>1083</v>
      </c>
      <c r="AD3249" s="52">
        <f>IFERROR(N(IFERROR(INDEX($A3249:$AB3249,MATCH("Xero Invoiced Ex GST",$A$1:$AB$1,0)),"")),0)</f>
        <v/>
      </c>
      <c r="AE3249" s="53">
        <f>IFERROR(INDEX($A3249:$AB3249,MATCH("Xero Invoice Date",$A$1:$AB$1,0)),"")</f>
        <v/>
      </c>
      <c r="AF3249" s="54">
        <f>IF(AND(IFERROR(INDEX($A3249:$AB3249,MATCH("Xero Invoice No",$A$1:$AB$1,0)),"")&amp;""&lt;&gt;"",ISNUMBER(AE3249),AD3249&lt;&gt;0),1,0)</f>
        <v/>
      </c>
      <c r="AG3249" s="55">
        <f>IF(AF3249=1,EOMONTH(AE3249,0),"")</f>
        <v/>
      </c>
      <c r="AH3249" s="9">
        <f>IF(AF3249=1,UPPER(TRIM(IFERROR(INDEX($A3249:$AB3249,MATCH("Client",$A$1:$AB$1,0)),"")&amp;"")),"")</f>
        <v/>
      </c>
      <c r="AI3249" s="9">
        <f>IF(AF3249=1,IFERROR(INDEX($A3249:$AB3249,MATCH("Cost Centre",$A$1:$AB$1,0)),"")&amp;"","")</f>
        <v/>
      </c>
      <c r="AJ3249" s="54">
        <f>IF(AND(AF3249=1,AE3249&gt;=set_FYStart,AE3249&lt;=set_AsAt),1,0)</f>
        <v/>
      </c>
      <c r="AK3249" s="54">
        <f>IF(AND(AJ3249=1,AH3249&lt;&gt;"",COUNTIFS($AH$2:AH3249,AH3249,$AJ$2:AJ3249,1)=1),N(AL3248)+1,"")</f>
        <v/>
      </c>
      <c r="AL3249" s="54">
        <f>IF(AK3249&lt;&gt;"",AK3249,N(AL3248))</f>
        <v/>
      </c>
    </row>
    <row r="3250">
      <c r="A3250" t="inlineStr">
        <is>
          <t>CON-1083</t>
        </is>
      </c>
      <c r="B3250" t="inlineStr">
        <is>
          <t>Consulting</t>
        </is>
      </c>
      <c r="AB3250" t="n">
        <v>1083</v>
      </c>
      <c r="AD3250" s="52">
        <f>IFERROR(N(IFERROR(INDEX($A3250:$AB3250,MATCH("Xero Invoiced Ex GST",$A$1:$AB$1,0)),"")),0)</f>
        <v/>
      </c>
      <c r="AE3250" s="53">
        <f>IFERROR(INDEX($A3250:$AB3250,MATCH("Xero Invoice Date",$A$1:$AB$1,0)),"")</f>
        <v/>
      </c>
      <c r="AF3250" s="54">
        <f>IF(AND(IFERROR(INDEX($A3250:$AB3250,MATCH("Xero Invoice No",$A$1:$AB$1,0)),"")&amp;""&lt;&gt;"",ISNUMBER(AE3250),AD3250&lt;&gt;0),1,0)</f>
        <v/>
      </c>
      <c r="AG3250" s="55">
        <f>IF(AF3250=1,EOMONTH(AE3250,0),"")</f>
        <v/>
      </c>
      <c r="AH3250" s="9">
        <f>IF(AF3250=1,UPPER(TRIM(IFERROR(INDEX($A3250:$AB3250,MATCH("Client",$A$1:$AB$1,0)),"")&amp;"")),"")</f>
        <v/>
      </c>
      <c r="AI3250" s="9">
        <f>IF(AF3250=1,IFERROR(INDEX($A3250:$AB3250,MATCH("Cost Centre",$A$1:$AB$1,0)),"")&amp;"","")</f>
        <v/>
      </c>
      <c r="AJ3250" s="54">
        <f>IF(AND(AF3250=1,AE3250&gt;=set_FYStart,AE3250&lt;=set_AsAt),1,0)</f>
        <v/>
      </c>
      <c r="AK3250" s="54">
        <f>IF(AND(AJ3250=1,AH3250&lt;&gt;"",COUNTIFS($AH$2:AH3250,AH3250,$AJ$2:AJ3250,1)=1),N(AL3249)+1,"")</f>
        <v/>
      </c>
      <c r="AL3250" s="54">
        <f>IF(AK3250&lt;&gt;"",AK3250,N(AL3249))</f>
        <v/>
      </c>
    </row>
    <row r="3251">
      <c r="A3251" t="inlineStr">
        <is>
          <t>ONS-1084</t>
        </is>
      </c>
      <c r="B3251" t="inlineStr">
        <is>
          <t>Onsite</t>
        </is>
      </c>
      <c r="AB3251" t="n">
        <v>1084</v>
      </c>
      <c r="AD3251" s="52">
        <f>IFERROR(N(IFERROR(INDEX($A3251:$AB3251,MATCH("Xero Invoiced Ex GST",$A$1:$AB$1,0)),"")),0)</f>
        <v/>
      </c>
      <c r="AE3251" s="53">
        <f>IFERROR(INDEX($A3251:$AB3251,MATCH("Xero Invoice Date",$A$1:$AB$1,0)),"")</f>
        <v/>
      </c>
      <c r="AF3251" s="54">
        <f>IF(AND(IFERROR(INDEX($A3251:$AB3251,MATCH("Xero Invoice No",$A$1:$AB$1,0)),"")&amp;""&lt;&gt;"",ISNUMBER(AE3251),AD3251&lt;&gt;0),1,0)</f>
        <v/>
      </c>
      <c r="AG3251" s="55">
        <f>IF(AF3251=1,EOMONTH(AE3251,0),"")</f>
        <v/>
      </c>
      <c r="AH3251" s="9">
        <f>IF(AF3251=1,UPPER(TRIM(IFERROR(INDEX($A3251:$AB3251,MATCH("Client",$A$1:$AB$1,0)),"")&amp;"")),"")</f>
        <v/>
      </c>
      <c r="AI3251" s="9">
        <f>IF(AF3251=1,IFERROR(INDEX($A3251:$AB3251,MATCH("Cost Centre",$A$1:$AB$1,0)),"")&amp;"","")</f>
        <v/>
      </c>
      <c r="AJ3251" s="54">
        <f>IF(AND(AF3251=1,AE3251&gt;=set_FYStart,AE3251&lt;=set_AsAt),1,0)</f>
        <v/>
      </c>
      <c r="AK3251" s="54">
        <f>IF(AND(AJ3251=1,AH3251&lt;&gt;"",COUNTIFS($AH$2:AH3251,AH3251,$AJ$2:AJ3251,1)=1),N(AL3250)+1,"")</f>
        <v/>
      </c>
      <c r="AL3251" s="54">
        <f>IF(AK3251&lt;&gt;"",AK3251,N(AL3250))</f>
        <v/>
      </c>
    </row>
    <row r="3252">
      <c r="A3252" t="inlineStr">
        <is>
          <t>PRD-1084</t>
        </is>
      </c>
      <c r="B3252" t="inlineStr">
        <is>
          <t>Production</t>
        </is>
      </c>
      <c r="AB3252" t="n">
        <v>1084</v>
      </c>
      <c r="AD3252" s="52">
        <f>IFERROR(N(IFERROR(INDEX($A3252:$AB3252,MATCH("Xero Invoiced Ex GST",$A$1:$AB$1,0)),"")),0)</f>
        <v/>
      </c>
      <c r="AE3252" s="53">
        <f>IFERROR(INDEX($A3252:$AB3252,MATCH("Xero Invoice Date",$A$1:$AB$1,0)),"")</f>
        <v/>
      </c>
      <c r="AF3252" s="54">
        <f>IF(AND(IFERROR(INDEX($A3252:$AB3252,MATCH("Xero Invoice No",$A$1:$AB$1,0)),"")&amp;""&lt;&gt;"",ISNUMBER(AE3252),AD3252&lt;&gt;0),1,0)</f>
        <v/>
      </c>
      <c r="AG3252" s="55">
        <f>IF(AF3252=1,EOMONTH(AE3252,0),"")</f>
        <v/>
      </c>
      <c r="AH3252" s="9">
        <f>IF(AF3252=1,UPPER(TRIM(IFERROR(INDEX($A3252:$AB3252,MATCH("Client",$A$1:$AB$1,0)),"")&amp;"")),"")</f>
        <v/>
      </c>
      <c r="AI3252" s="9">
        <f>IF(AF3252=1,IFERROR(INDEX($A3252:$AB3252,MATCH("Cost Centre",$A$1:$AB$1,0)),"")&amp;"","")</f>
        <v/>
      </c>
      <c r="AJ3252" s="54">
        <f>IF(AND(AF3252=1,AE3252&gt;=set_FYStart,AE3252&lt;=set_AsAt),1,0)</f>
        <v/>
      </c>
      <c r="AK3252" s="54">
        <f>IF(AND(AJ3252=1,AH3252&lt;&gt;"",COUNTIFS($AH$2:AH3252,AH3252,$AJ$2:AJ3252,1)=1),N(AL3251)+1,"")</f>
        <v/>
      </c>
      <c r="AL3252" s="54">
        <f>IF(AK3252&lt;&gt;"",AK3252,N(AL3251))</f>
        <v/>
      </c>
    </row>
    <row r="3253">
      <c r="A3253" t="inlineStr">
        <is>
          <t>CON-1084</t>
        </is>
      </c>
      <c r="B3253" t="inlineStr">
        <is>
          <t>Consulting</t>
        </is>
      </c>
      <c r="AB3253" t="n">
        <v>1084</v>
      </c>
      <c r="AD3253" s="52">
        <f>IFERROR(N(IFERROR(INDEX($A3253:$AB3253,MATCH("Xero Invoiced Ex GST",$A$1:$AB$1,0)),"")),0)</f>
        <v/>
      </c>
      <c r="AE3253" s="53">
        <f>IFERROR(INDEX($A3253:$AB3253,MATCH("Xero Invoice Date",$A$1:$AB$1,0)),"")</f>
        <v/>
      </c>
      <c r="AF3253" s="54">
        <f>IF(AND(IFERROR(INDEX($A3253:$AB3253,MATCH("Xero Invoice No",$A$1:$AB$1,0)),"")&amp;""&lt;&gt;"",ISNUMBER(AE3253),AD3253&lt;&gt;0),1,0)</f>
        <v/>
      </c>
      <c r="AG3253" s="55">
        <f>IF(AF3253=1,EOMONTH(AE3253,0),"")</f>
        <v/>
      </c>
      <c r="AH3253" s="9">
        <f>IF(AF3253=1,UPPER(TRIM(IFERROR(INDEX($A3253:$AB3253,MATCH("Client",$A$1:$AB$1,0)),"")&amp;"")),"")</f>
        <v/>
      </c>
      <c r="AI3253" s="9">
        <f>IF(AF3253=1,IFERROR(INDEX($A3253:$AB3253,MATCH("Cost Centre",$A$1:$AB$1,0)),"")&amp;"","")</f>
        <v/>
      </c>
      <c r="AJ3253" s="54">
        <f>IF(AND(AF3253=1,AE3253&gt;=set_FYStart,AE3253&lt;=set_AsAt),1,0)</f>
        <v/>
      </c>
      <c r="AK3253" s="54">
        <f>IF(AND(AJ3253=1,AH3253&lt;&gt;"",COUNTIFS($AH$2:AH3253,AH3253,$AJ$2:AJ3253,1)=1),N(AL3252)+1,"")</f>
        <v/>
      </c>
      <c r="AL3253" s="54">
        <f>IF(AK3253&lt;&gt;"",AK3253,N(AL3252))</f>
        <v/>
      </c>
    </row>
    <row r="3254">
      <c r="A3254" t="inlineStr">
        <is>
          <t>ONS-1085</t>
        </is>
      </c>
      <c r="B3254" t="inlineStr">
        <is>
          <t>Onsite</t>
        </is>
      </c>
      <c r="AB3254" t="n">
        <v>1085</v>
      </c>
      <c r="AD3254" s="52">
        <f>IFERROR(N(IFERROR(INDEX($A3254:$AB3254,MATCH("Xero Invoiced Ex GST",$A$1:$AB$1,0)),"")),0)</f>
        <v/>
      </c>
      <c r="AE3254" s="53">
        <f>IFERROR(INDEX($A3254:$AB3254,MATCH("Xero Invoice Date",$A$1:$AB$1,0)),"")</f>
        <v/>
      </c>
      <c r="AF3254" s="54">
        <f>IF(AND(IFERROR(INDEX($A3254:$AB3254,MATCH("Xero Invoice No",$A$1:$AB$1,0)),"")&amp;""&lt;&gt;"",ISNUMBER(AE3254),AD3254&lt;&gt;0),1,0)</f>
        <v/>
      </c>
      <c r="AG3254" s="55">
        <f>IF(AF3254=1,EOMONTH(AE3254,0),"")</f>
        <v/>
      </c>
      <c r="AH3254" s="9">
        <f>IF(AF3254=1,UPPER(TRIM(IFERROR(INDEX($A3254:$AB3254,MATCH("Client",$A$1:$AB$1,0)),"")&amp;"")),"")</f>
        <v/>
      </c>
      <c r="AI3254" s="9">
        <f>IF(AF3254=1,IFERROR(INDEX($A3254:$AB3254,MATCH("Cost Centre",$A$1:$AB$1,0)),"")&amp;"","")</f>
        <v/>
      </c>
      <c r="AJ3254" s="54">
        <f>IF(AND(AF3254=1,AE3254&gt;=set_FYStart,AE3254&lt;=set_AsAt),1,0)</f>
        <v/>
      </c>
      <c r="AK3254" s="54">
        <f>IF(AND(AJ3254=1,AH3254&lt;&gt;"",COUNTIFS($AH$2:AH3254,AH3254,$AJ$2:AJ3254,1)=1),N(AL3253)+1,"")</f>
        <v/>
      </c>
      <c r="AL3254" s="54">
        <f>IF(AK3254&lt;&gt;"",AK3254,N(AL3253))</f>
        <v/>
      </c>
    </row>
    <row r="3255">
      <c r="A3255" t="inlineStr">
        <is>
          <t>PRD-1085</t>
        </is>
      </c>
      <c r="B3255" t="inlineStr">
        <is>
          <t>Production</t>
        </is>
      </c>
      <c r="AB3255" t="n">
        <v>1085</v>
      </c>
      <c r="AD3255" s="52">
        <f>IFERROR(N(IFERROR(INDEX($A3255:$AB3255,MATCH("Xero Invoiced Ex GST",$A$1:$AB$1,0)),"")),0)</f>
        <v/>
      </c>
      <c r="AE3255" s="53">
        <f>IFERROR(INDEX($A3255:$AB3255,MATCH("Xero Invoice Date",$A$1:$AB$1,0)),"")</f>
        <v/>
      </c>
      <c r="AF3255" s="54">
        <f>IF(AND(IFERROR(INDEX($A3255:$AB3255,MATCH("Xero Invoice No",$A$1:$AB$1,0)),"")&amp;""&lt;&gt;"",ISNUMBER(AE3255),AD3255&lt;&gt;0),1,0)</f>
        <v/>
      </c>
      <c r="AG3255" s="55">
        <f>IF(AF3255=1,EOMONTH(AE3255,0),"")</f>
        <v/>
      </c>
      <c r="AH3255" s="9">
        <f>IF(AF3255=1,UPPER(TRIM(IFERROR(INDEX($A3255:$AB3255,MATCH("Client",$A$1:$AB$1,0)),"")&amp;"")),"")</f>
        <v/>
      </c>
      <c r="AI3255" s="9">
        <f>IF(AF3255=1,IFERROR(INDEX($A3255:$AB3255,MATCH("Cost Centre",$A$1:$AB$1,0)),"")&amp;"","")</f>
        <v/>
      </c>
      <c r="AJ3255" s="54">
        <f>IF(AND(AF3255=1,AE3255&gt;=set_FYStart,AE3255&lt;=set_AsAt),1,0)</f>
        <v/>
      </c>
      <c r="AK3255" s="54">
        <f>IF(AND(AJ3255=1,AH3255&lt;&gt;"",COUNTIFS($AH$2:AH3255,AH3255,$AJ$2:AJ3255,1)=1),N(AL3254)+1,"")</f>
        <v/>
      </c>
      <c r="AL3255" s="54">
        <f>IF(AK3255&lt;&gt;"",AK3255,N(AL3254))</f>
        <v/>
      </c>
    </row>
    <row r="3256">
      <c r="A3256" t="inlineStr">
        <is>
          <t>CON-1085</t>
        </is>
      </c>
      <c r="B3256" t="inlineStr">
        <is>
          <t>Consulting</t>
        </is>
      </c>
      <c r="AB3256" t="n">
        <v>1085</v>
      </c>
      <c r="AD3256" s="52">
        <f>IFERROR(N(IFERROR(INDEX($A3256:$AB3256,MATCH("Xero Invoiced Ex GST",$A$1:$AB$1,0)),"")),0)</f>
        <v/>
      </c>
      <c r="AE3256" s="53">
        <f>IFERROR(INDEX($A3256:$AB3256,MATCH("Xero Invoice Date",$A$1:$AB$1,0)),"")</f>
        <v/>
      </c>
      <c r="AF3256" s="54">
        <f>IF(AND(IFERROR(INDEX($A3256:$AB3256,MATCH("Xero Invoice No",$A$1:$AB$1,0)),"")&amp;""&lt;&gt;"",ISNUMBER(AE3256),AD3256&lt;&gt;0),1,0)</f>
        <v/>
      </c>
      <c r="AG3256" s="55">
        <f>IF(AF3256=1,EOMONTH(AE3256,0),"")</f>
        <v/>
      </c>
      <c r="AH3256" s="9">
        <f>IF(AF3256=1,UPPER(TRIM(IFERROR(INDEX($A3256:$AB3256,MATCH("Client",$A$1:$AB$1,0)),"")&amp;"")),"")</f>
        <v/>
      </c>
      <c r="AI3256" s="9">
        <f>IF(AF3256=1,IFERROR(INDEX($A3256:$AB3256,MATCH("Cost Centre",$A$1:$AB$1,0)),"")&amp;"","")</f>
        <v/>
      </c>
      <c r="AJ3256" s="54">
        <f>IF(AND(AF3256=1,AE3256&gt;=set_FYStart,AE3256&lt;=set_AsAt),1,0)</f>
        <v/>
      </c>
      <c r="AK3256" s="54">
        <f>IF(AND(AJ3256=1,AH3256&lt;&gt;"",COUNTIFS($AH$2:AH3256,AH3256,$AJ$2:AJ3256,1)=1),N(AL3255)+1,"")</f>
        <v/>
      </c>
      <c r="AL3256" s="54">
        <f>IF(AK3256&lt;&gt;"",AK3256,N(AL3255))</f>
        <v/>
      </c>
    </row>
    <row r="3257">
      <c r="A3257" t="inlineStr">
        <is>
          <t>ONS-1086</t>
        </is>
      </c>
      <c r="B3257" t="inlineStr">
        <is>
          <t>Onsite</t>
        </is>
      </c>
      <c r="AB3257" t="n">
        <v>1086</v>
      </c>
      <c r="AD3257" s="52">
        <f>IFERROR(N(IFERROR(INDEX($A3257:$AB3257,MATCH("Xero Invoiced Ex GST",$A$1:$AB$1,0)),"")),0)</f>
        <v/>
      </c>
      <c r="AE3257" s="53">
        <f>IFERROR(INDEX($A3257:$AB3257,MATCH("Xero Invoice Date",$A$1:$AB$1,0)),"")</f>
        <v/>
      </c>
      <c r="AF3257" s="54">
        <f>IF(AND(IFERROR(INDEX($A3257:$AB3257,MATCH("Xero Invoice No",$A$1:$AB$1,0)),"")&amp;""&lt;&gt;"",ISNUMBER(AE3257),AD3257&lt;&gt;0),1,0)</f>
        <v/>
      </c>
      <c r="AG3257" s="55">
        <f>IF(AF3257=1,EOMONTH(AE3257,0),"")</f>
        <v/>
      </c>
      <c r="AH3257" s="9">
        <f>IF(AF3257=1,UPPER(TRIM(IFERROR(INDEX($A3257:$AB3257,MATCH("Client",$A$1:$AB$1,0)),"")&amp;"")),"")</f>
        <v/>
      </c>
      <c r="AI3257" s="9">
        <f>IF(AF3257=1,IFERROR(INDEX($A3257:$AB3257,MATCH("Cost Centre",$A$1:$AB$1,0)),"")&amp;"","")</f>
        <v/>
      </c>
      <c r="AJ3257" s="54">
        <f>IF(AND(AF3257=1,AE3257&gt;=set_FYStart,AE3257&lt;=set_AsAt),1,0)</f>
        <v/>
      </c>
      <c r="AK3257" s="54">
        <f>IF(AND(AJ3257=1,AH3257&lt;&gt;"",COUNTIFS($AH$2:AH3257,AH3257,$AJ$2:AJ3257,1)=1),N(AL3256)+1,"")</f>
        <v/>
      </c>
      <c r="AL3257" s="54">
        <f>IF(AK3257&lt;&gt;"",AK3257,N(AL3256))</f>
        <v/>
      </c>
    </row>
    <row r="3258">
      <c r="A3258" t="inlineStr">
        <is>
          <t>PRD-1086</t>
        </is>
      </c>
      <c r="B3258" t="inlineStr">
        <is>
          <t>Production</t>
        </is>
      </c>
      <c r="AB3258" t="n">
        <v>1086</v>
      </c>
      <c r="AD3258" s="52">
        <f>IFERROR(N(IFERROR(INDEX($A3258:$AB3258,MATCH("Xero Invoiced Ex GST",$A$1:$AB$1,0)),"")),0)</f>
        <v/>
      </c>
      <c r="AE3258" s="53">
        <f>IFERROR(INDEX($A3258:$AB3258,MATCH("Xero Invoice Date",$A$1:$AB$1,0)),"")</f>
        <v/>
      </c>
      <c r="AF3258" s="54">
        <f>IF(AND(IFERROR(INDEX($A3258:$AB3258,MATCH("Xero Invoice No",$A$1:$AB$1,0)),"")&amp;""&lt;&gt;"",ISNUMBER(AE3258),AD3258&lt;&gt;0),1,0)</f>
        <v/>
      </c>
      <c r="AG3258" s="55">
        <f>IF(AF3258=1,EOMONTH(AE3258,0),"")</f>
        <v/>
      </c>
      <c r="AH3258" s="9">
        <f>IF(AF3258=1,UPPER(TRIM(IFERROR(INDEX($A3258:$AB3258,MATCH("Client",$A$1:$AB$1,0)),"")&amp;"")),"")</f>
        <v/>
      </c>
      <c r="AI3258" s="9">
        <f>IF(AF3258=1,IFERROR(INDEX($A3258:$AB3258,MATCH("Cost Centre",$A$1:$AB$1,0)),"")&amp;"","")</f>
        <v/>
      </c>
      <c r="AJ3258" s="54">
        <f>IF(AND(AF3258=1,AE3258&gt;=set_FYStart,AE3258&lt;=set_AsAt),1,0)</f>
        <v/>
      </c>
      <c r="AK3258" s="54">
        <f>IF(AND(AJ3258=1,AH3258&lt;&gt;"",COUNTIFS($AH$2:AH3258,AH3258,$AJ$2:AJ3258,1)=1),N(AL3257)+1,"")</f>
        <v/>
      </c>
      <c r="AL3258" s="54">
        <f>IF(AK3258&lt;&gt;"",AK3258,N(AL3257))</f>
        <v/>
      </c>
    </row>
    <row r="3259">
      <c r="A3259" t="inlineStr">
        <is>
          <t>CON-1086</t>
        </is>
      </c>
      <c r="B3259" t="inlineStr">
        <is>
          <t>Consulting</t>
        </is>
      </c>
      <c r="AB3259" t="n">
        <v>1086</v>
      </c>
      <c r="AD3259" s="52">
        <f>IFERROR(N(IFERROR(INDEX($A3259:$AB3259,MATCH("Xero Invoiced Ex GST",$A$1:$AB$1,0)),"")),0)</f>
        <v/>
      </c>
      <c r="AE3259" s="53">
        <f>IFERROR(INDEX($A3259:$AB3259,MATCH("Xero Invoice Date",$A$1:$AB$1,0)),"")</f>
        <v/>
      </c>
      <c r="AF3259" s="54">
        <f>IF(AND(IFERROR(INDEX($A3259:$AB3259,MATCH("Xero Invoice No",$A$1:$AB$1,0)),"")&amp;""&lt;&gt;"",ISNUMBER(AE3259),AD3259&lt;&gt;0),1,0)</f>
        <v/>
      </c>
      <c r="AG3259" s="55">
        <f>IF(AF3259=1,EOMONTH(AE3259,0),"")</f>
        <v/>
      </c>
      <c r="AH3259" s="9">
        <f>IF(AF3259=1,UPPER(TRIM(IFERROR(INDEX($A3259:$AB3259,MATCH("Client",$A$1:$AB$1,0)),"")&amp;"")),"")</f>
        <v/>
      </c>
      <c r="AI3259" s="9">
        <f>IF(AF3259=1,IFERROR(INDEX($A3259:$AB3259,MATCH("Cost Centre",$A$1:$AB$1,0)),"")&amp;"","")</f>
        <v/>
      </c>
      <c r="AJ3259" s="54">
        <f>IF(AND(AF3259=1,AE3259&gt;=set_FYStart,AE3259&lt;=set_AsAt),1,0)</f>
        <v/>
      </c>
      <c r="AK3259" s="54">
        <f>IF(AND(AJ3259=1,AH3259&lt;&gt;"",COUNTIFS($AH$2:AH3259,AH3259,$AJ$2:AJ3259,1)=1),N(AL3258)+1,"")</f>
        <v/>
      </c>
      <c r="AL3259" s="54">
        <f>IF(AK3259&lt;&gt;"",AK3259,N(AL3258))</f>
        <v/>
      </c>
    </row>
    <row r="3260">
      <c r="A3260" t="inlineStr">
        <is>
          <t>ONS-1087</t>
        </is>
      </c>
      <c r="B3260" t="inlineStr">
        <is>
          <t>Onsite</t>
        </is>
      </c>
      <c r="AB3260" t="n">
        <v>1087</v>
      </c>
      <c r="AD3260" s="52">
        <f>IFERROR(N(IFERROR(INDEX($A3260:$AB3260,MATCH("Xero Invoiced Ex GST",$A$1:$AB$1,0)),"")),0)</f>
        <v/>
      </c>
      <c r="AE3260" s="53">
        <f>IFERROR(INDEX($A3260:$AB3260,MATCH("Xero Invoice Date",$A$1:$AB$1,0)),"")</f>
        <v/>
      </c>
      <c r="AF3260" s="54">
        <f>IF(AND(IFERROR(INDEX($A3260:$AB3260,MATCH("Xero Invoice No",$A$1:$AB$1,0)),"")&amp;""&lt;&gt;"",ISNUMBER(AE3260),AD3260&lt;&gt;0),1,0)</f>
        <v/>
      </c>
      <c r="AG3260" s="55">
        <f>IF(AF3260=1,EOMONTH(AE3260,0),"")</f>
        <v/>
      </c>
      <c r="AH3260" s="9">
        <f>IF(AF3260=1,UPPER(TRIM(IFERROR(INDEX($A3260:$AB3260,MATCH("Client",$A$1:$AB$1,0)),"")&amp;"")),"")</f>
        <v/>
      </c>
      <c r="AI3260" s="9">
        <f>IF(AF3260=1,IFERROR(INDEX($A3260:$AB3260,MATCH("Cost Centre",$A$1:$AB$1,0)),"")&amp;"","")</f>
        <v/>
      </c>
      <c r="AJ3260" s="54">
        <f>IF(AND(AF3260=1,AE3260&gt;=set_FYStart,AE3260&lt;=set_AsAt),1,0)</f>
        <v/>
      </c>
      <c r="AK3260" s="54">
        <f>IF(AND(AJ3260=1,AH3260&lt;&gt;"",COUNTIFS($AH$2:AH3260,AH3260,$AJ$2:AJ3260,1)=1),N(AL3259)+1,"")</f>
        <v/>
      </c>
      <c r="AL3260" s="54">
        <f>IF(AK3260&lt;&gt;"",AK3260,N(AL3259))</f>
        <v/>
      </c>
    </row>
    <row r="3261">
      <c r="A3261" t="inlineStr">
        <is>
          <t>PRD-1087</t>
        </is>
      </c>
      <c r="B3261" t="inlineStr">
        <is>
          <t>Production</t>
        </is>
      </c>
      <c r="AB3261" t="n">
        <v>1087</v>
      </c>
      <c r="AD3261" s="52">
        <f>IFERROR(N(IFERROR(INDEX($A3261:$AB3261,MATCH("Xero Invoiced Ex GST",$A$1:$AB$1,0)),"")),0)</f>
        <v/>
      </c>
      <c r="AE3261" s="53">
        <f>IFERROR(INDEX($A3261:$AB3261,MATCH("Xero Invoice Date",$A$1:$AB$1,0)),"")</f>
        <v/>
      </c>
      <c r="AF3261" s="54">
        <f>IF(AND(IFERROR(INDEX($A3261:$AB3261,MATCH("Xero Invoice No",$A$1:$AB$1,0)),"")&amp;""&lt;&gt;"",ISNUMBER(AE3261),AD3261&lt;&gt;0),1,0)</f>
        <v/>
      </c>
      <c r="AG3261" s="55">
        <f>IF(AF3261=1,EOMONTH(AE3261,0),"")</f>
        <v/>
      </c>
      <c r="AH3261" s="9">
        <f>IF(AF3261=1,UPPER(TRIM(IFERROR(INDEX($A3261:$AB3261,MATCH("Client",$A$1:$AB$1,0)),"")&amp;"")),"")</f>
        <v/>
      </c>
      <c r="AI3261" s="9">
        <f>IF(AF3261=1,IFERROR(INDEX($A3261:$AB3261,MATCH("Cost Centre",$A$1:$AB$1,0)),"")&amp;"","")</f>
        <v/>
      </c>
      <c r="AJ3261" s="54">
        <f>IF(AND(AF3261=1,AE3261&gt;=set_FYStart,AE3261&lt;=set_AsAt),1,0)</f>
        <v/>
      </c>
      <c r="AK3261" s="54">
        <f>IF(AND(AJ3261=1,AH3261&lt;&gt;"",COUNTIFS($AH$2:AH3261,AH3261,$AJ$2:AJ3261,1)=1),N(AL3260)+1,"")</f>
        <v/>
      </c>
      <c r="AL3261" s="54">
        <f>IF(AK3261&lt;&gt;"",AK3261,N(AL3260))</f>
        <v/>
      </c>
    </row>
    <row r="3262">
      <c r="A3262" t="inlineStr">
        <is>
          <t>CON-1087</t>
        </is>
      </c>
      <c r="B3262" t="inlineStr">
        <is>
          <t>Consulting</t>
        </is>
      </c>
      <c r="AB3262" t="n">
        <v>1087</v>
      </c>
      <c r="AD3262" s="52">
        <f>IFERROR(N(IFERROR(INDEX($A3262:$AB3262,MATCH("Xero Invoiced Ex GST",$A$1:$AB$1,0)),"")),0)</f>
        <v/>
      </c>
      <c r="AE3262" s="53">
        <f>IFERROR(INDEX($A3262:$AB3262,MATCH("Xero Invoice Date",$A$1:$AB$1,0)),"")</f>
        <v/>
      </c>
      <c r="AF3262" s="54">
        <f>IF(AND(IFERROR(INDEX($A3262:$AB3262,MATCH("Xero Invoice No",$A$1:$AB$1,0)),"")&amp;""&lt;&gt;"",ISNUMBER(AE3262),AD3262&lt;&gt;0),1,0)</f>
        <v/>
      </c>
      <c r="AG3262" s="55">
        <f>IF(AF3262=1,EOMONTH(AE3262,0),"")</f>
        <v/>
      </c>
      <c r="AH3262" s="9">
        <f>IF(AF3262=1,UPPER(TRIM(IFERROR(INDEX($A3262:$AB3262,MATCH("Client",$A$1:$AB$1,0)),"")&amp;"")),"")</f>
        <v/>
      </c>
      <c r="AI3262" s="9">
        <f>IF(AF3262=1,IFERROR(INDEX($A3262:$AB3262,MATCH("Cost Centre",$A$1:$AB$1,0)),"")&amp;"","")</f>
        <v/>
      </c>
      <c r="AJ3262" s="54">
        <f>IF(AND(AF3262=1,AE3262&gt;=set_FYStart,AE3262&lt;=set_AsAt),1,0)</f>
        <v/>
      </c>
      <c r="AK3262" s="54">
        <f>IF(AND(AJ3262=1,AH3262&lt;&gt;"",COUNTIFS($AH$2:AH3262,AH3262,$AJ$2:AJ3262,1)=1),N(AL3261)+1,"")</f>
        <v/>
      </c>
      <c r="AL3262" s="54">
        <f>IF(AK3262&lt;&gt;"",AK3262,N(AL3261))</f>
        <v/>
      </c>
    </row>
    <row r="3263">
      <c r="A3263" t="inlineStr">
        <is>
          <t>ONS-1088</t>
        </is>
      </c>
      <c r="B3263" t="inlineStr">
        <is>
          <t>Onsite</t>
        </is>
      </c>
      <c r="AB3263" t="n">
        <v>1088</v>
      </c>
      <c r="AD3263" s="52">
        <f>IFERROR(N(IFERROR(INDEX($A3263:$AB3263,MATCH("Xero Invoiced Ex GST",$A$1:$AB$1,0)),"")),0)</f>
        <v/>
      </c>
      <c r="AE3263" s="53">
        <f>IFERROR(INDEX($A3263:$AB3263,MATCH("Xero Invoice Date",$A$1:$AB$1,0)),"")</f>
        <v/>
      </c>
      <c r="AF3263" s="54">
        <f>IF(AND(IFERROR(INDEX($A3263:$AB3263,MATCH("Xero Invoice No",$A$1:$AB$1,0)),"")&amp;""&lt;&gt;"",ISNUMBER(AE3263),AD3263&lt;&gt;0),1,0)</f>
        <v/>
      </c>
      <c r="AG3263" s="55">
        <f>IF(AF3263=1,EOMONTH(AE3263,0),"")</f>
        <v/>
      </c>
      <c r="AH3263" s="9">
        <f>IF(AF3263=1,UPPER(TRIM(IFERROR(INDEX($A3263:$AB3263,MATCH("Client",$A$1:$AB$1,0)),"")&amp;"")),"")</f>
        <v/>
      </c>
      <c r="AI3263" s="9">
        <f>IF(AF3263=1,IFERROR(INDEX($A3263:$AB3263,MATCH("Cost Centre",$A$1:$AB$1,0)),"")&amp;"","")</f>
        <v/>
      </c>
      <c r="AJ3263" s="54">
        <f>IF(AND(AF3263=1,AE3263&gt;=set_FYStart,AE3263&lt;=set_AsAt),1,0)</f>
        <v/>
      </c>
      <c r="AK3263" s="54">
        <f>IF(AND(AJ3263=1,AH3263&lt;&gt;"",COUNTIFS($AH$2:AH3263,AH3263,$AJ$2:AJ3263,1)=1),N(AL3262)+1,"")</f>
        <v/>
      </c>
      <c r="AL3263" s="54">
        <f>IF(AK3263&lt;&gt;"",AK3263,N(AL3262))</f>
        <v/>
      </c>
    </row>
    <row r="3264">
      <c r="A3264" t="inlineStr">
        <is>
          <t>PRD-1088</t>
        </is>
      </c>
      <c r="B3264" t="inlineStr">
        <is>
          <t>Production</t>
        </is>
      </c>
      <c r="AB3264" t="n">
        <v>1088</v>
      </c>
      <c r="AD3264" s="52">
        <f>IFERROR(N(IFERROR(INDEX($A3264:$AB3264,MATCH("Xero Invoiced Ex GST",$A$1:$AB$1,0)),"")),0)</f>
        <v/>
      </c>
      <c r="AE3264" s="53">
        <f>IFERROR(INDEX($A3264:$AB3264,MATCH("Xero Invoice Date",$A$1:$AB$1,0)),"")</f>
        <v/>
      </c>
      <c r="AF3264" s="54">
        <f>IF(AND(IFERROR(INDEX($A3264:$AB3264,MATCH("Xero Invoice No",$A$1:$AB$1,0)),"")&amp;""&lt;&gt;"",ISNUMBER(AE3264),AD3264&lt;&gt;0),1,0)</f>
        <v/>
      </c>
      <c r="AG3264" s="55">
        <f>IF(AF3264=1,EOMONTH(AE3264,0),"")</f>
        <v/>
      </c>
      <c r="AH3264" s="9">
        <f>IF(AF3264=1,UPPER(TRIM(IFERROR(INDEX($A3264:$AB3264,MATCH("Client",$A$1:$AB$1,0)),"")&amp;"")),"")</f>
        <v/>
      </c>
      <c r="AI3264" s="9">
        <f>IF(AF3264=1,IFERROR(INDEX($A3264:$AB3264,MATCH("Cost Centre",$A$1:$AB$1,0)),"")&amp;"","")</f>
        <v/>
      </c>
      <c r="AJ3264" s="54">
        <f>IF(AND(AF3264=1,AE3264&gt;=set_FYStart,AE3264&lt;=set_AsAt),1,0)</f>
        <v/>
      </c>
      <c r="AK3264" s="54">
        <f>IF(AND(AJ3264=1,AH3264&lt;&gt;"",COUNTIFS($AH$2:AH3264,AH3264,$AJ$2:AJ3264,1)=1),N(AL3263)+1,"")</f>
        <v/>
      </c>
      <c r="AL3264" s="54">
        <f>IF(AK3264&lt;&gt;"",AK3264,N(AL3263))</f>
        <v/>
      </c>
    </row>
    <row r="3265">
      <c r="A3265" t="inlineStr">
        <is>
          <t>CON-1088</t>
        </is>
      </c>
      <c r="B3265" t="inlineStr">
        <is>
          <t>Consulting</t>
        </is>
      </c>
      <c r="AB3265" t="n">
        <v>1088</v>
      </c>
      <c r="AD3265" s="52">
        <f>IFERROR(N(IFERROR(INDEX($A3265:$AB3265,MATCH("Xero Invoiced Ex GST",$A$1:$AB$1,0)),"")),0)</f>
        <v/>
      </c>
      <c r="AE3265" s="53">
        <f>IFERROR(INDEX($A3265:$AB3265,MATCH("Xero Invoice Date",$A$1:$AB$1,0)),"")</f>
        <v/>
      </c>
      <c r="AF3265" s="54">
        <f>IF(AND(IFERROR(INDEX($A3265:$AB3265,MATCH("Xero Invoice No",$A$1:$AB$1,0)),"")&amp;""&lt;&gt;"",ISNUMBER(AE3265),AD3265&lt;&gt;0),1,0)</f>
        <v/>
      </c>
      <c r="AG3265" s="55">
        <f>IF(AF3265=1,EOMONTH(AE3265,0),"")</f>
        <v/>
      </c>
      <c r="AH3265" s="9">
        <f>IF(AF3265=1,UPPER(TRIM(IFERROR(INDEX($A3265:$AB3265,MATCH("Client",$A$1:$AB$1,0)),"")&amp;"")),"")</f>
        <v/>
      </c>
      <c r="AI3265" s="9">
        <f>IF(AF3265=1,IFERROR(INDEX($A3265:$AB3265,MATCH("Cost Centre",$A$1:$AB$1,0)),"")&amp;"","")</f>
        <v/>
      </c>
      <c r="AJ3265" s="54">
        <f>IF(AND(AF3265=1,AE3265&gt;=set_FYStart,AE3265&lt;=set_AsAt),1,0)</f>
        <v/>
      </c>
      <c r="AK3265" s="54">
        <f>IF(AND(AJ3265=1,AH3265&lt;&gt;"",COUNTIFS($AH$2:AH3265,AH3265,$AJ$2:AJ3265,1)=1),N(AL3264)+1,"")</f>
        <v/>
      </c>
      <c r="AL3265" s="54">
        <f>IF(AK3265&lt;&gt;"",AK3265,N(AL3264))</f>
        <v/>
      </c>
    </row>
    <row r="3266">
      <c r="A3266" t="inlineStr">
        <is>
          <t>ONS-1089</t>
        </is>
      </c>
      <c r="B3266" t="inlineStr">
        <is>
          <t>Onsite</t>
        </is>
      </c>
      <c r="AB3266" t="n">
        <v>1089</v>
      </c>
      <c r="AD3266" s="52">
        <f>IFERROR(N(IFERROR(INDEX($A3266:$AB3266,MATCH("Xero Invoiced Ex GST",$A$1:$AB$1,0)),"")),0)</f>
        <v/>
      </c>
      <c r="AE3266" s="53">
        <f>IFERROR(INDEX($A3266:$AB3266,MATCH("Xero Invoice Date",$A$1:$AB$1,0)),"")</f>
        <v/>
      </c>
      <c r="AF3266" s="54">
        <f>IF(AND(IFERROR(INDEX($A3266:$AB3266,MATCH("Xero Invoice No",$A$1:$AB$1,0)),"")&amp;""&lt;&gt;"",ISNUMBER(AE3266),AD3266&lt;&gt;0),1,0)</f>
        <v/>
      </c>
      <c r="AG3266" s="55">
        <f>IF(AF3266=1,EOMONTH(AE3266,0),"")</f>
        <v/>
      </c>
      <c r="AH3266" s="9">
        <f>IF(AF3266=1,UPPER(TRIM(IFERROR(INDEX($A3266:$AB3266,MATCH("Client",$A$1:$AB$1,0)),"")&amp;"")),"")</f>
        <v/>
      </c>
      <c r="AI3266" s="9">
        <f>IF(AF3266=1,IFERROR(INDEX($A3266:$AB3266,MATCH("Cost Centre",$A$1:$AB$1,0)),"")&amp;"","")</f>
        <v/>
      </c>
      <c r="AJ3266" s="54">
        <f>IF(AND(AF3266=1,AE3266&gt;=set_FYStart,AE3266&lt;=set_AsAt),1,0)</f>
        <v/>
      </c>
      <c r="AK3266" s="54">
        <f>IF(AND(AJ3266=1,AH3266&lt;&gt;"",COUNTIFS($AH$2:AH3266,AH3266,$AJ$2:AJ3266,1)=1),N(AL3265)+1,"")</f>
        <v/>
      </c>
      <c r="AL3266" s="54">
        <f>IF(AK3266&lt;&gt;"",AK3266,N(AL3265))</f>
        <v/>
      </c>
    </row>
    <row r="3267">
      <c r="A3267" t="inlineStr">
        <is>
          <t>PRD-1089</t>
        </is>
      </c>
      <c r="B3267" t="inlineStr">
        <is>
          <t>Production</t>
        </is>
      </c>
      <c r="AB3267" t="n">
        <v>1089</v>
      </c>
      <c r="AD3267" s="52">
        <f>IFERROR(N(IFERROR(INDEX($A3267:$AB3267,MATCH("Xero Invoiced Ex GST",$A$1:$AB$1,0)),"")),0)</f>
        <v/>
      </c>
      <c r="AE3267" s="53">
        <f>IFERROR(INDEX($A3267:$AB3267,MATCH("Xero Invoice Date",$A$1:$AB$1,0)),"")</f>
        <v/>
      </c>
      <c r="AF3267" s="54">
        <f>IF(AND(IFERROR(INDEX($A3267:$AB3267,MATCH("Xero Invoice No",$A$1:$AB$1,0)),"")&amp;""&lt;&gt;"",ISNUMBER(AE3267),AD3267&lt;&gt;0),1,0)</f>
        <v/>
      </c>
      <c r="AG3267" s="55">
        <f>IF(AF3267=1,EOMONTH(AE3267,0),"")</f>
        <v/>
      </c>
      <c r="AH3267" s="9">
        <f>IF(AF3267=1,UPPER(TRIM(IFERROR(INDEX($A3267:$AB3267,MATCH("Client",$A$1:$AB$1,0)),"")&amp;"")),"")</f>
        <v/>
      </c>
      <c r="AI3267" s="9">
        <f>IF(AF3267=1,IFERROR(INDEX($A3267:$AB3267,MATCH("Cost Centre",$A$1:$AB$1,0)),"")&amp;"","")</f>
        <v/>
      </c>
      <c r="AJ3267" s="54">
        <f>IF(AND(AF3267=1,AE3267&gt;=set_FYStart,AE3267&lt;=set_AsAt),1,0)</f>
        <v/>
      </c>
      <c r="AK3267" s="54">
        <f>IF(AND(AJ3267=1,AH3267&lt;&gt;"",COUNTIFS($AH$2:AH3267,AH3267,$AJ$2:AJ3267,1)=1),N(AL3266)+1,"")</f>
        <v/>
      </c>
      <c r="AL3267" s="54">
        <f>IF(AK3267&lt;&gt;"",AK3267,N(AL3266))</f>
        <v/>
      </c>
    </row>
    <row r="3268">
      <c r="A3268" t="inlineStr">
        <is>
          <t>CON-1089</t>
        </is>
      </c>
      <c r="B3268" t="inlineStr">
        <is>
          <t>Consulting</t>
        </is>
      </c>
      <c r="AB3268" t="n">
        <v>1089</v>
      </c>
      <c r="AD3268" s="52">
        <f>IFERROR(N(IFERROR(INDEX($A3268:$AB3268,MATCH("Xero Invoiced Ex GST",$A$1:$AB$1,0)),"")),0)</f>
        <v/>
      </c>
      <c r="AE3268" s="53">
        <f>IFERROR(INDEX($A3268:$AB3268,MATCH("Xero Invoice Date",$A$1:$AB$1,0)),"")</f>
        <v/>
      </c>
      <c r="AF3268" s="54">
        <f>IF(AND(IFERROR(INDEX($A3268:$AB3268,MATCH("Xero Invoice No",$A$1:$AB$1,0)),"")&amp;""&lt;&gt;"",ISNUMBER(AE3268),AD3268&lt;&gt;0),1,0)</f>
        <v/>
      </c>
      <c r="AG3268" s="55">
        <f>IF(AF3268=1,EOMONTH(AE3268,0),"")</f>
        <v/>
      </c>
      <c r="AH3268" s="9">
        <f>IF(AF3268=1,UPPER(TRIM(IFERROR(INDEX($A3268:$AB3268,MATCH("Client",$A$1:$AB$1,0)),"")&amp;"")),"")</f>
        <v/>
      </c>
      <c r="AI3268" s="9">
        <f>IF(AF3268=1,IFERROR(INDEX($A3268:$AB3268,MATCH("Cost Centre",$A$1:$AB$1,0)),"")&amp;"","")</f>
        <v/>
      </c>
      <c r="AJ3268" s="54">
        <f>IF(AND(AF3268=1,AE3268&gt;=set_FYStart,AE3268&lt;=set_AsAt),1,0)</f>
        <v/>
      </c>
      <c r="AK3268" s="54">
        <f>IF(AND(AJ3268=1,AH3268&lt;&gt;"",COUNTIFS($AH$2:AH3268,AH3268,$AJ$2:AJ3268,1)=1),N(AL3267)+1,"")</f>
        <v/>
      </c>
      <c r="AL3268" s="54">
        <f>IF(AK3268&lt;&gt;"",AK3268,N(AL3267))</f>
        <v/>
      </c>
    </row>
    <row r="3269">
      <c r="A3269" t="inlineStr">
        <is>
          <t>ONS-1090</t>
        </is>
      </c>
      <c r="B3269" t="inlineStr">
        <is>
          <t>Onsite</t>
        </is>
      </c>
      <c r="AB3269" t="n">
        <v>1090</v>
      </c>
      <c r="AD3269" s="52">
        <f>IFERROR(N(IFERROR(INDEX($A3269:$AB3269,MATCH("Xero Invoiced Ex GST",$A$1:$AB$1,0)),"")),0)</f>
        <v/>
      </c>
      <c r="AE3269" s="53">
        <f>IFERROR(INDEX($A3269:$AB3269,MATCH("Xero Invoice Date",$A$1:$AB$1,0)),"")</f>
        <v/>
      </c>
      <c r="AF3269" s="54">
        <f>IF(AND(IFERROR(INDEX($A3269:$AB3269,MATCH("Xero Invoice No",$A$1:$AB$1,0)),"")&amp;""&lt;&gt;"",ISNUMBER(AE3269),AD3269&lt;&gt;0),1,0)</f>
        <v/>
      </c>
      <c r="AG3269" s="55">
        <f>IF(AF3269=1,EOMONTH(AE3269,0),"")</f>
        <v/>
      </c>
      <c r="AH3269" s="9">
        <f>IF(AF3269=1,UPPER(TRIM(IFERROR(INDEX($A3269:$AB3269,MATCH("Client",$A$1:$AB$1,0)),"")&amp;"")),"")</f>
        <v/>
      </c>
      <c r="AI3269" s="9">
        <f>IF(AF3269=1,IFERROR(INDEX($A3269:$AB3269,MATCH("Cost Centre",$A$1:$AB$1,0)),"")&amp;"","")</f>
        <v/>
      </c>
      <c r="AJ3269" s="54">
        <f>IF(AND(AF3269=1,AE3269&gt;=set_FYStart,AE3269&lt;=set_AsAt),1,0)</f>
        <v/>
      </c>
      <c r="AK3269" s="54">
        <f>IF(AND(AJ3269=1,AH3269&lt;&gt;"",COUNTIFS($AH$2:AH3269,AH3269,$AJ$2:AJ3269,1)=1),N(AL3268)+1,"")</f>
        <v/>
      </c>
      <c r="AL3269" s="54">
        <f>IF(AK3269&lt;&gt;"",AK3269,N(AL3268))</f>
        <v/>
      </c>
    </row>
    <row r="3270">
      <c r="A3270" t="inlineStr">
        <is>
          <t>PRD-1090</t>
        </is>
      </c>
      <c r="B3270" t="inlineStr">
        <is>
          <t>Production</t>
        </is>
      </c>
      <c r="AB3270" t="n">
        <v>1090</v>
      </c>
      <c r="AD3270" s="52">
        <f>IFERROR(N(IFERROR(INDEX($A3270:$AB3270,MATCH("Xero Invoiced Ex GST",$A$1:$AB$1,0)),"")),0)</f>
        <v/>
      </c>
      <c r="AE3270" s="53">
        <f>IFERROR(INDEX($A3270:$AB3270,MATCH("Xero Invoice Date",$A$1:$AB$1,0)),"")</f>
        <v/>
      </c>
      <c r="AF3270" s="54">
        <f>IF(AND(IFERROR(INDEX($A3270:$AB3270,MATCH("Xero Invoice No",$A$1:$AB$1,0)),"")&amp;""&lt;&gt;"",ISNUMBER(AE3270),AD3270&lt;&gt;0),1,0)</f>
        <v/>
      </c>
      <c r="AG3270" s="55">
        <f>IF(AF3270=1,EOMONTH(AE3270,0),"")</f>
        <v/>
      </c>
      <c r="AH3270" s="9">
        <f>IF(AF3270=1,UPPER(TRIM(IFERROR(INDEX($A3270:$AB3270,MATCH("Client",$A$1:$AB$1,0)),"")&amp;"")),"")</f>
        <v/>
      </c>
      <c r="AI3270" s="9">
        <f>IF(AF3270=1,IFERROR(INDEX($A3270:$AB3270,MATCH("Cost Centre",$A$1:$AB$1,0)),"")&amp;"","")</f>
        <v/>
      </c>
      <c r="AJ3270" s="54">
        <f>IF(AND(AF3270=1,AE3270&gt;=set_FYStart,AE3270&lt;=set_AsAt),1,0)</f>
        <v/>
      </c>
      <c r="AK3270" s="54">
        <f>IF(AND(AJ3270=1,AH3270&lt;&gt;"",COUNTIFS($AH$2:AH3270,AH3270,$AJ$2:AJ3270,1)=1),N(AL3269)+1,"")</f>
        <v/>
      </c>
      <c r="AL3270" s="54">
        <f>IF(AK3270&lt;&gt;"",AK3270,N(AL3269))</f>
        <v/>
      </c>
    </row>
    <row r="3271">
      <c r="A3271" t="inlineStr">
        <is>
          <t>CON-1090</t>
        </is>
      </c>
      <c r="B3271" t="inlineStr">
        <is>
          <t>Consulting</t>
        </is>
      </c>
      <c r="AB3271" t="n">
        <v>1090</v>
      </c>
      <c r="AD3271" s="52">
        <f>IFERROR(N(IFERROR(INDEX($A3271:$AB3271,MATCH("Xero Invoiced Ex GST",$A$1:$AB$1,0)),"")),0)</f>
        <v/>
      </c>
      <c r="AE3271" s="53">
        <f>IFERROR(INDEX($A3271:$AB3271,MATCH("Xero Invoice Date",$A$1:$AB$1,0)),"")</f>
        <v/>
      </c>
      <c r="AF3271" s="54">
        <f>IF(AND(IFERROR(INDEX($A3271:$AB3271,MATCH("Xero Invoice No",$A$1:$AB$1,0)),"")&amp;""&lt;&gt;"",ISNUMBER(AE3271),AD3271&lt;&gt;0),1,0)</f>
        <v/>
      </c>
      <c r="AG3271" s="55">
        <f>IF(AF3271=1,EOMONTH(AE3271,0),"")</f>
        <v/>
      </c>
      <c r="AH3271" s="9">
        <f>IF(AF3271=1,UPPER(TRIM(IFERROR(INDEX($A3271:$AB3271,MATCH("Client",$A$1:$AB$1,0)),"")&amp;"")),"")</f>
        <v/>
      </c>
      <c r="AI3271" s="9">
        <f>IF(AF3271=1,IFERROR(INDEX($A3271:$AB3271,MATCH("Cost Centre",$A$1:$AB$1,0)),"")&amp;"","")</f>
        <v/>
      </c>
      <c r="AJ3271" s="54">
        <f>IF(AND(AF3271=1,AE3271&gt;=set_FYStart,AE3271&lt;=set_AsAt),1,0)</f>
        <v/>
      </c>
      <c r="AK3271" s="54">
        <f>IF(AND(AJ3271=1,AH3271&lt;&gt;"",COUNTIFS($AH$2:AH3271,AH3271,$AJ$2:AJ3271,1)=1),N(AL3270)+1,"")</f>
        <v/>
      </c>
      <c r="AL3271" s="54">
        <f>IF(AK3271&lt;&gt;"",AK3271,N(AL3270))</f>
        <v/>
      </c>
    </row>
    <row r="3272">
      <c r="A3272" t="inlineStr">
        <is>
          <t>ONS-1091</t>
        </is>
      </c>
      <c r="B3272" t="inlineStr">
        <is>
          <t>Onsite</t>
        </is>
      </c>
      <c r="AB3272" t="n">
        <v>1091</v>
      </c>
      <c r="AD3272" s="52">
        <f>IFERROR(N(IFERROR(INDEX($A3272:$AB3272,MATCH("Xero Invoiced Ex GST",$A$1:$AB$1,0)),"")),0)</f>
        <v/>
      </c>
      <c r="AE3272" s="53">
        <f>IFERROR(INDEX($A3272:$AB3272,MATCH("Xero Invoice Date",$A$1:$AB$1,0)),"")</f>
        <v/>
      </c>
      <c r="AF3272" s="54">
        <f>IF(AND(IFERROR(INDEX($A3272:$AB3272,MATCH("Xero Invoice No",$A$1:$AB$1,0)),"")&amp;""&lt;&gt;"",ISNUMBER(AE3272),AD3272&lt;&gt;0),1,0)</f>
        <v/>
      </c>
      <c r="AG3272" s="55">
        <f>IF(AF3272=1,EOMONTH(AE3272,0),"")</f>
        <v/>
      </c>
      <c r="AH3272" s="9">
        <f>IF(AF3272=1,UPPER(TRIM(IFERROR(INDEX($A3272:$AB3272,MATCH("Client",$A$1:$AB$1,0)),"")&amp;"")),"")</f>
        <v/>
      </c>
      <c r="AI3272" s="9">
        <f>IF(AF3272=1,IFERROR(INDEX($A3272:$AB3272,MATCH("Cost Centre",$A$1:$AB$1,0)),"")&amp;"","")</f>
        <v/>
      </c>
      <c r="AJ3272" s="54">
        <f>IF(AND(AF3272=1,AE3272&gt;=set_FYStart,AE3272&lt;=set_AsAt),1,0)</f>
        <v/>
      </c>
      <c r="AK3272" s="54">
        <f>IF(AND(AJ3272=1,AH3272&lt;&gt;"",COUNTIFS($AH$2:AH3272,AH3272,$AJ$2:AJ3272,1)=1),N(AL3271)+1,"")</f>
        <v/>
      </c>
      <c r="AL3272" s="54">
        <f>IF(AK3272&lt;&gt;"",AK3272,N(AL3271))</f>
        <v/>
      </c>
    </row>
    <row r="3273">
      <c r="A3273" t="inlineStr">
        <is>
          <t>PRD-1091</t>
        </is>
      </c>
      <c r="B3273" t="inlineStr">
        <is>
          <t>Production</t>
        </is>
      </c>
      <c r="AB3273" t="n">
        <v>1091</v>
      </c>
      <c r="AD3273" s="52">
        <f>IFERROR(N(IFERROR(INDEX($A3273:$AB3273,MATCH("Xero Invoiced Ex GST",$A$1:$AB$1,0)),"")),0)</f>
        <v/>
      </c>
      <c r="AE3273" s="53">
        <f>IFERROR(INDEX($A3273:$AB3273,MATCH("Xero Invoice Date",$A$1:$AB$1,0)),"")</f>
        <v/>
      </c>
      <c r="AF3273" s="54">
        <f>IF(AND(IFERROR(INDEX($A3273:$AB3273,MATCH("Xero Invoice No",$A$1:$AB$1,0)),"")&amp;""&lt;&gt;"",ISNUMBER(AE3273),AD3273&lt;&gt;0),1,0)</f>
        <v/>
      </c>
      <c r="AG3273" s="55">
        <f>IF(AF3273=1,EOMONTH(AE3273,0),"")</f>
        <v/>
      </c>
      <c r="AH3273" s="9">
        <f>IF(AF3273=1,UPPER(TRIM(IFERROR(INDEX($A3273:$AB3273,MATCH("Client",$A$1:$AB$1,0)),"")&amp;"")),"")</f>
        <v/>
      </c>
      <c r="AI3273" s="9">
        <f>IF(AF3273=1,IFERROR(INDEX($A3273:$AB3273,MATCH("Cost Centre",$A$1:$AB$1,0)),"")&amp;"","")</f>
        <v/>
      </c>
      <c r="AJ3273" s="54">
        <f>IF(AND(AF3273=1,AE3273&gt;=set_FYStart,AE3273&lt;=set_AsAt),1,0)</f>
        <v/>
      </c>
      <c r="AK3273" s="54">
        <f>IF(AND(AJ3273=1,AH3273&lt;&gt;"",COUNTIFS($AH$2:AH3273,AH3273,$AJ$2:AJ3273,1)=1),N(AL3272)+1,"")</f>
        <v/>
      </c>
      <c r="AL3273" s="54">
        <f>IF(AK3273&lt;&gt;"",AK3273,N(AL3272))</f>
        <v/>
      </c>
    </row>
    <row r="3274">
      <c r="A3274" t="inlineStr">
        <is>
          <t>CON-1091</t>
        </is>
      </c>
      <c r="B3274" t="inlineStr">
        <is>
          <t>Consulting</t>
        </is>
      </c>
      <c r="AB3274" t="n">
        <v>1091</v>
      </c>
      <c r="AD3274" s="52">
        <f>IFERROR(N(IFERROR(INDEX($A3274:$AB3274,MATCH("Xero Invoiced Ex GST",$A$1:$AB$1,0)),"")),0)</f>
        <v/>
      </c>
      <c r="AE3274" s="53">
        <f>IFERROR(INDEX($A3274:$AB3274,MATCH("Xero Invoice Date",$A$1:$AB$1,0)),"")</f>
        <v/>
      </c>
      <c r="AF3274" s="54">
        <f>IF(AND(IFERROR(INDEX($A3274:$AB3274,MATCH("Xero Invoice No",$A$1:$AB$1,0)),"")&amp;""&lt;&gt;"",ISNUMBER(AE3274),AD3274&lt;&gt;0),1,0)</f>
        <v/>
      </c>
      <c r="AG3274" s="55">
        <f>IF(AF3274=1,EOMONTH(AE3274,0),"")</f>
        <v/>
      </c>
      <c r="AH3274" s="9">
        <f>IF(AF3274=1,UPPER(TRIM(IFERROR(INDEX($A3274:$AB3274,MATCH("Client",$A$1:$AB$1,0)),"")&amp;"")),"")</f>
        <v/>
      </c>
      <c r="AI3274" s="9">
        <f>IF(AF3274=1,IFERROR(INDEX($A3274:$AB3274,MATCH("Cost Centre",$A$1:$AB$1,0)),"")&amp;"","")</f>
        <v/>
      </c>
      <c r="AJ3274" s="54">
        <f>IF(AND(AF3274=1,AE3274&gt;=set_FYStart,AE3274&lt;=set_AsAt),1,0)</f>
        <v/>
      </c>
      <c r="AK3274" s="54">
        <f>IF(AND(AJ3274=1,AH3274&lt;&gt;"",COUNTIFS($AH$2:AH3274,AH3274,$AJ$2:AJ3274,1)=1),N(AL3273)+1,"")</f>
        <v/>
      </c>
      <c r="AL3274" s="54">
        <f>IF(AK3274&lt;&gt;"",AK3274,N(AL3273))</f>
        <v/>
      </c>
    </row>
    <row r="3275">
      <c r="A3275" t="inlineStr">
        <is>
          <t>ONS-1092</t>
        </is>
      </c>
      <c r="B3275" t="inlineStr">
        <is>
          <t>Onsite</t>
        </is>
      </c>
      <c r="AB3275" t="n">
        <v>1092</v>
      </c>
      <c r="AD3275" s="52">
        <f>IFERROR(N(IFERROR(INDEX($A3275:$AB3275,MATCH("Xero Invoiced Ex GST",$A$1:$AB$1,0)),"")),0)</f>
        <v/>
      </c>
      <c r="AE3275" s="53">
        <f>IFERROR(INDEX($A3275:$AB3275,MATCH("Xero Invoice Date",$A$1:$AB$1,0)),"")</f>
        <v/>
      </c>
      <c r="AF3275" s="54">
        <f>IF(AND(IFERROR(INDEX($A3275:$AB3275,MATCH("Xero Invoice No",$A$1:$AB$1,0)),"")&amp;""&lt;&gt;"",ISNUMBER(AE3275),AD3275&lt;&gt;0),1,0)</f>
        <v/>
      </c>
      <c r="AG3275" s="55">
        <f>IF(AF3275=1,EOMONTH(AE3275,0),"")</f>
        <v/>
      </c>
      <c r="AH3275" s="9">
        <f>IF(AF3275=1,UPPER(TRIM(IFERROR(INDEX($A3275:$AB3275,MATCH("Client",$A$1:$AB$1,0)),"")&amp;"")),"")</f>
        <v/>
      </c>
      <c r="AI3275" s="9">
        <f>IF(AF3275=1,IFERROR(INDEX($A3275:$AB3275,MATCH("Cost Centre",$A$1:$AB$1,0)),"")&amp;"","")</f>
        <v/>
      </c>
      <c r="AJ3275" s="54">
        <f>IF(AND(AF3275=1,AE3275&gt;=set_FYStart,AE3275&lt;=set_AsAt),1,0)</f>
        <v/>
      </c>
      <c r="AK3275" s="54">
        <f>IF(AND(AJ3275=1,AH3275&lt;&gt;"",COUNTIFS($AH$2:AH3275,AH3275,$AJ$2:AJ3275,1)=1),N(AL3274)+1,"")</f>
        <v/>
      </c>
      <c r="AL3275" s="54">
        <f>IF(AK3275&lt;&gt;"",AK3275,N(AL3274))</f>
        <v/>
      </c>
    </row>
    <row r="3276">
      <c r="A3276" t="inlineStr">
        <is>
          <t>PRD-1092</t>
        </is>
      </c>
      <c r="B3276" t="inlineStr">
        <is>
          <t>Production</t>
        </is>
      </c>
      <c r="AB3276" t="n">
        <v>1092</v>
      </c>
      <c r="AD3276" s="52">
        <f>IFERROR(N(IFERROR(INDEX($A3276:$AB3276,MATCH("Xero Invoiced Ex GST",$A$1:$AB$1,0)),"")),0)</f>
        <v/>
      </c>
      <c r="AE3276" s="53">
        <f>IFERROR(INDEX($A3276:$AB3276,MATCH("Xero Invoice Date",$A$1:$AB$1,0)),"")</f>
        <v/>
      </c>
      <c r="AF3276" s="54">
        <f>IF(AND(IFERROR(INDEX($A3276:$AB3276,MATCH("Xero Invoice No",$A$1:$AB$1,0)),"")&amp;""&lt;&gt;"",ISNUMBER(AE3276),AD3276&lt;&gt;0),1,0)</f>
        <v/>
      </c>
      <c r="AG3276" s="55">
        <f>IF(AF3276=1,EOMONTH(AE3276,0),"")</f>
        <v/>
      </c>
      <c r="AH3276" s="9">
        <f>IF(AF3276=1,UPPER(TRIM(IFERROR(INDEX($A3276:$AB3276,MATCH("Client",$A$1:$AB$1,0)),"")&amp;"")),"")</f>
        <v/>
      </c>
      <c r="AI3276" s="9">
        <f>IF(AF3276=1,IFERROR(INDEX($A3276:$AB3276,MATCH("Cost Centre",$A$1:$AB$1,0)),"")&amp;"","")</f>
        <v/>
      </c>
      <c r="AJ3276" s="54">
        <f>IF(AND(AF3276=1,AE3276&gt;=set_FYStart,AE3276&lt;=set_AsAt),1,0)</f>
        <v/>
      </c>
      <c r="AK3276" s="54">
        <f>IF(AND(AJ3276=1,AH3276&lt;&gt;"",COUNTIFS($AH$2:AH3276,AH3276,$AJ$2:AJ3276,1)=1),N(AL3275)+1,"")</f>
        <v/>
      </c>
      <c r="AL3276" s="54">
        <f>IF(AK3276&lt;&gt;"",AK3276,N(AL3275))</f>
        <v/>
      </c>
    </row>
    <row r="3277">
      <c r="A3277" t="inlineStr">
        <is>
          <t>CON-1092</t>
        </is>
      </c>
      <c r="B3277" t="inlineStr">
        <is>
          <t>Consulting</t>
        </is>
      </c>
      <c r="AB3277" t="n">
        <v>1092</v>
      </c>
      <c r="AD3277" s="52">
        <f>IFERROR(N(IFERROR(INDEX($A3277:$AB3277,MATCH("Xero Invoiced Ex GST",$A$1:$AB$1,0)),"")),0)</f>
        <v/>
      </c>
      <c r="AE3277" s="53">
        <f>IFERROR(INDEX($A3277:$AB3277,MATCH("Xero Invoice Date",$A$1:$AB$1,0)),"")</f>
        <v/>
      </c>
      <c r="AF3277" s="54">
        <f>IF(AND(IFERROR(INDEX($A3277:$AB3277,MATCH("Xero Invoice No",$A$1:$AB$1,0)),"")&amp;""&lt;&gt;"",ISNUMBER(AE3277),AD3277&lt;&gt;0),1,0)</f>
        <v/>
      </c>
      <c r="AG3277" s="55">
        <f>IF(AF3277=1,EOMONTH(AE3277,0),"")</f>
        <v/>
      </c>
      <c r="AH3277" s="9">
        <f>IF(AF3277=1,UPPER(TRIM(IFERROR(INDEX($A3277:$AB3277,MATCH("Client",$A$1:$AB$1,0)),"")&amp;"")),"")</f>
        <v/>
      </c>
      <c r="AI3277" s="9">
        <f>IF(AF3277=1,IFERROR(INDEX($A3277:$AB3277,MATCH("Cost Centre",$A$1:$AB$1,0)),"")&amp;"","")</f>
        <v/>
      </c>
      <c r="AJ3277" s="54">
        <f>IF(AND(AF3277=1,AE3277&gt;=set_FYStart,AE3277&lt;=set_AsAt),1,0)</f>
        <v/>
      </c>
      <c r="AK3277" s="54">
        <f>IF(AND(AJ3277=1,AH3277&lt;&gt;"",COUNTIFS($AH$2:AH3277,AH3277,$AJ$2:AJ3277,1)=1),N(AL3276)+1,"")</f>
        <v/>
      </c>
      <c r="AL3277" s="54">
        <f>IF(AK3277&lt;&gt;"",AK3277,N(AL3276))</f>
        <v/>
      </c>
    </row>
    <row r="3278">
      <c r="A3278" t="inlineStr">
        <is>
          <t>ONS-1093</t>
        </is>
      </c>
      <c r="B3278" t="inlineStr">
        <is>
          <t>Onsite</t>
        </is>
      </c>
      <c r="AB3278" t="n">
        <v>1093</v>
      </c>
      <c r="AD3278" s="52">
        <f>IFERROR(N(IFERROR(INDEX($A3278:$AB3278,MATCH("Xero Invoiced Ex GST",$A$1:$AB$1,0)),"")),0)</f>
        <v/>
      </c>
      <c r="AE3278" s="53">
        <f>IFERROR(INDEX($A3278:$AB3278,MATCH("Xero Invoice Date",$A$1:$AB$1,0)),"")</f>
        <v/>
      </c>
      <c r="AF3278" s="54">
        <f>IF(AND(IFERROR(INDEX($A3278:$AB3278,MATCH("Xero Invoice No",$A$1:$AB$1,0)),"")&amp;""&lt;&gt;"",ISNUMBER(AE3278),AD3278&lt;&gt;0),1,0)</f>
        <v/>
      </c>
      <c r="AG3278" s="55">
        <f>IF(AF3278=1,EOMONTH(AE3278,0),"")</f>
        <v/>
      </c>
      <c r="AH3278" s="9">
        <f>IF(AF3278=1,UPPER(TRIM(IFERROR(INDEX($A3278:$AB3278,MATCH("Client",$A$1:$AB$1,0)),"")&amp;"")),"")</f>
        <v/>
      </c>
      <c r="AI3278" s="9">
        <f>IF(AF3278=1,IFERROR(INDEX($A3278:$AB3278,MATCH("Cost Centre",$A$1:$AB$1,0)),"")&amp;"","")</f>
        <v/>
      </c>
      <c r="AJ3278" s="54">
        <f>IF(AND(AF3278=1,AE3278&gt;=set_FYStart,AE3278&lt;=set_AsAt),1,0)</f>
        <v/>
      </c>
      <c r="AK3278" s="54">
        <f>IF(AND(AJ3278=1,AH3278&lt;&gt;"",COUNTIFS($AH$2:AH3278,AH3278,$AJ$2:AJ3278,1)=1),N(AL3277)+1,"")</f>
        <v/>
      </c>
      <c r="AL3278" s="54">
        <f>IF(AK3278&lt;&gt;"",AK3278,N(AL3277))</f>
        <v/>
      </c>
    </row>
    <row r="3279">
      <c r="A3279" t="inlineStr">
        <is>
          <t>PRD-1093</t>
        </is>
      </c>
      <c r="B3279" t="inlineStr">
        <is>
          <t>Production</t>
        </is>
      </c>
      <c r="AB3279" t="n">
        <v>1093</v>
      </c>
      <c r="AD3279" s="52">
        <f>IFERROR(N(IFERROR(INDEX($A3279:$AB3279,MATCH("Xero Invoiced Ex GST",$A$1:$AB$1,0)),"")),0)</f>
        <v/>
      </c>
      <c r="AE3279" s="53">
        <f>IFERROR(INDEX($A3279:$AB3279,MATCH("Xero Invoice Date",$A$1:$AB$1,0)),"")</f>
        <v/>
      </c>
      <c r="AF3279" s="54">
        <f>IF(AND(IFERROR(INDEX($A3279:$AB3279,MATCH("Xero Invoice No",$A$1:$AB$1,0)),"")&amp;""&lt;&gt;"",ISNUMBER(AE3279),AD3279&lt;&gt;0),1,0)</f>
        <v/>
      </c>
      <c r="AG3279" s="55">
        <f>IF(AF3279=1,EOMONTH(AE3279,0),"")</f>
        <v/>
      </c>
      <c r="AH3279" s="9">
        <f>IF(AF3279=1,UPPER(TRIM(IFERROR(INDEX($A3279:$AB3279,MATCH("Client",$A$1:$AB$1,0)),"")&amp;"")),"")</f>
        <v/>
      </c>
      <c r="AI3279" s="9">
        <f>IF(AF3279=1,IFERROR(INDEX($A3279:$AB3279,MATCH("Cost Centre",$A$1:$AB$1,0)),"")&amp;"","")</f>
        <v/>
      </c>
      <c r="AJ3279" s="54">
        <f>IF(AND(AF3279=1,AE3279&gt;=set_FYStart,AE3279&lt;=set_AsAt),1,0)</f>
        <v/>
      </c>
      <c r="AK3279" s="54">
        <f>IF(AND(AJ3279=1,AH3279&lt;&gt;"",COUNTIFS($AH$2:AH3279,AH3279,$AJ$2:AJ3279,1)=1),N(AL3278)+1,"")</f>
        <v/>
      </c>
      <c r="AL3279" s="54">
        <f>IF(AK3279&lt;&gt;"",AK3279,N(AL3278))</f>
        <v/>
      </c>
    </row>
    <row r="3280">
      <c r="A3280" t="inlineStr">
        <is>
          <t>CON-1093</t>
        </is>
      </c>
      <c r="B3280" t="inlineStr">
        <is>
          <t>Consulting</t>
        </is>
      </c>
      <c r="AB3280" t="n">
        <v>1093</v>
      </c>
      <c r="AD3280" s="52">
        <f>IFERROR(N(IFERROR(INDEX($A3280:$AB3280,MATCH("Xero Invoiced Ex GST",$A$1:$AB$1,0)),"")),0)</f>
        <v/>
      </c>
      <c r="AE3280" s="53">
        <f>IFERROR(INDEX($A3280:$AB3280,MATCH("Xero Invoice Date",$A$1:$AB$1,0)),"")</f>
        <v/>
      </c>
      <c r="AF3280" s="54">
        <f>IF(AND(IFERROR(INDEX($A3280:$AB3280,MATCH("Xero Invoice No",$A$1:$AB$1,0)),"")&amp;""&lt;&gt;"",ISNUMBER(AE3280),AD3280&lt;&gt;0),1,0)</f>
        <v/>
      </c>
      <c r="AG3280" s="55">
        <f>IF(AF3280=1,EOMONTH(AE3280,0),"")</f>
        <v/>
      </c>
      <c r="AH3280" s="9">
        <f>IF(AF3280=1,UPPER(TRIM(IFERROR(INDEX($A3280:$AB3280,MATCH("Client",$A$1:$AB$1,0)),"")&amp;"")),"")</f>
        <v/>
      </c>
      <c r="AI3280" s="9">
        <f>IF(AF3280=1,IFERROR(INDEX($A3280:$AB3280,MATCH("Cost Centre",$A$1:$AB$1,0)),"")&amp;"","")</f>
        <v/>
      </c>
      <c r="AJ3280" s="54">
        <f>IF(AND(AF3280=1,AE3280&gt;=set_FYStart,AE3280&lt;=set_AsAt),1,0)</f>
        <v/>
      </c>
      <c r="AK3280" s="54">
        <f>IF(AND(AJ3280=1,AH3280&lt;&gt;"",COUNTIFS($AH$2:AH3280,AH3280,$AJ$2:AJ3280,1)=1),N(AL3279)+1,"")</f>
        <v/>
      </c>
      <c r="AL3280" s="54">
        <f>IF(AK3280&lt;&gt;"",AK3280,N(AL3279))</f>
        <v/>
      </c>
    </row>
    <row r="3281">
      <c r="A3281" t="inlineStr">
        <is>
          <t>ONS-1094</t>
        </is>
      </c>
      <c r="B3281" t="inlineStr">
        <is>
          <t>Onsite</t>
        </is>
      </c>
      <c r="AB3281" t="n">
        <v>1094</v>
      </c>
      <c r="AD3281" s="52">
        <f>IFERROR(N(IFERROR(INDEX($A3281:$AB3281,MATCH("Xero Invoiced Ex GST",$A$1:$AB$1,0)),"")),0)</f>
        <v/>
      </c>
      <c r="AE3281" s="53">
        <f>IFERROR(INDEX($A3281:$AB3281,MATCH("Xero Invoice Date",$A$1:$AB$1,0)),"")</f>
        <v/>
      </c>
      <c r="AF3281" s="54">
        <f>IF(AND(IFERROR(INDEX($A3281:$AB3281,MATCH("Xero Invoice No",$A$1:$AB$1,0)),"")&amp;""&lt;&gt;"",ISNUMBER(AE3281),AD3281&lt;&gt;0),1,0)</f>
        <v/>
      </c>
      <c r="AG3281" s="55">
        <f>IF(AF3281=1,EOMONTH(AE3281,0),"")</f>
        <v/>
      </c>
      <c r="AH3281" s="9">
        <f>IF(AF3281=1,UPPER(TRIM(IFERROR(INDEX($A3281:$AB3281,MATCH("Client",$A$1:$AB$1,0)),"")&amp;"")),"")</f>
        <v/>
      </c>
      <c r="AI3281" s="9">
        <f>IF(AF3281=1,IFERROR(INDEX($A3281:$AB3281,MATCH("Cost Centre",$A$1:$AB$1,0)),"")&amp;"","")</f>
        <v/>
      </c>
      <c r="AJ3281" s="54">
        <f>IF(AND(AF3281=1,AE3281&gt;=set_FYStart,AE3281&lt;=set_AsAt),1,0)</f>
        <v/>
      </c>
      <c r="AK3281" s="54">
        <f>IF(AND(AJ3281=1,AH3281&lt;&gt;"",COUNTIFS($AH$2:AH3281,AH3281,$AJ$2:AJ3281,1)=1),N(AL3280)+1,"")</f>
        <v/>
      </c>
      <c r="AL3281" s="54">
        <f>IF(AK3281&lt;&gt;"",AK3281,N(AL3280))</f>
        <v/>
      </c>
    </row>
    <row r="3282">
      <c r="A3282" t="inlineStr">
        <is>
          <t>PRD-1094</t>
        </is>
      </c>
      <c r="B3282" t="inlineStr">
        <is>
          <t>Production</t>
        </is>
      </c>
      <c r="AB3282" t="n">
        <v>1094</v>
      </c>
      <c r="AD3282" s="52">
        <f>IFERROR(N(IFERROR(INDEX($A3282:$AB3282,MATCH("Xero Invoiced Ex GST",$A$1:$AB$1,0)),"")),0)</f>
        <v/>
      </c>
      <c r="AE3282" s="53">
        <f>IFERROR(INDEX($A3282:$AB3282,MATCH("Xero Invoice Date",$A$1:$AB$1,0)),"")</f>
        <v/>
      </c>
      <c r="AF3282" s="54">
        <f>IF(AND(IFERROR(INDEX($A3282:$AB3282,MATCH("Xero Invoice No",$A$1:$AB$1,0)),"")&amp;""&lt;&gt;"",ISNUMBER(AE3282),AD3282&lt;&gt;0),1,0)</f>
        <v/>
      </c>
      <c r="AG3282" s="55">
        <f>IF(AF3282=1,EOMONTH(AE3282,0),"")</f>
        <v/>
      </c>
      <c r="AH3282" s="9">
        <f>IF(AF3282=1,UPPER(TRIM(IFERROR(INDEX($A3282:$AB3282,MATCH("Client",$A$1:$AB$1,0)),"")&amp;"")),"")</f>
        <v/>
      </c>
      <c r="AI3282" s="9">
        <f>IF(AF3282=1,IFERROR(INDEX($A3282:$AB3282,MATCH("Cost Centre",$A$1:$AB$1,0)),"")&amp;"","")</f>
        <v/>
      </c>
      <c r="AJ3282" s="54">
        <f>IF(AND(AF3282=1,AE3282&gt;=set_FYStart,AE3282&lt;=set_AsAt),1,0)</f>
        <v/>
      </c>
      <c r="AK3282" s="54">
        <f>IF(AND(AJ3282=1,AH3282&lt;&gt;"",COUNTIFS($AH$2:AH3282,AH3282,$AJ$2:AJ3282,1)=1),N(AL3281)+1,"")</f>
        <v/>
      </c>
      <c r="AL3282" s="54">
        <f>IF(AK3282&lt;&gt;"",AK3282,N(AL3281))</f>
        <v/>
      </c>
    </row>
    <row r="3283">
      <c r="A3283" t="inlineStr">
        <is>
          <t>CON-1094</t>
        </is>
      </c>
      <c r="B3283" t="inlineStr">
        <is>
          <t>Consulting</t>
        </is>
      </c>
      <c r="AB3283" t="n">
        <v>1094</v>
      </c>
      <c r="AD3283" s="52">
        <f>IFERROR(N(IFERROR(INDEX($A3283:$AB3283,MATCH("Xero Invoiced Ex GST",$A$1:$AB$1,0)),"")),0)</f>
        <v/>
      </c>
      <c r="AE3283" s="53">
        <f>IFERROR(INDEX($A3283:$AB3283,MATCH("Xero Invoice Date",$A$1:$AB$1,0)),"")</f>
        <v/>
      </c>
      <c r="AF3283" s="54">
        <f>IF(AND(IFERROR(INDEX($A3283:$AB3283,MATCH("Xero Invoice No",$A$1:$AB$1,0)),"")&amp;""&lt;&gt;"",ISNUMBER(AE3283),AD3283&lt;&gt;0),1,0)</f>
        <v/>
      </c>
      <c r="AG3283" s="55">
        <f>IF(AF3283=1,EOMONTH(AE3283,0),"")</f>
        <v/>
      </c>
      <c r="AH3283" s="9">
        <f>IF(AF3283=1,UPPER(TRIM(IFERROR(INDEX($A3283:$AB3283,MATCH("Client",$A$1:$AB$1,0)),"")&amp;"")),"")</f>
        <v/>
      </c>
      <c r="AI3283" s="9">
        <f>IF(AF3283=1,IFERROR(INDEX($A3283:$AB3283,MATCH("Cost Centre",$A$1:$AB$1,0)),"")&amp;"","")</f>
        <v/>
      </c>
      <c r="AJ3283" s="54">
        <f>IF(AND(AF3283=1,AE3283&gt;=set_FYStart,AE3283&lt;=set_AsAt),1,0)</f>
        <v/>
      </c>
      <c r="AK3283" s="54">
        <f>IF(AND(AJ3283=1,AH3283&lt;&gt;"",COUNTIFS($AH$2:AH3283,AH3283,$AJ$2:AJ3283,1)=1),N(AL3282)+1,"")</f>
        <v/>
      </c>
      <c r="AL3283" s="54">
        <f>IF(AK3283&lt;&gt;"",AK3283,N(AL3282))</f>
        <v/>
      </c>
    </row>
    <row r="3284">
      <c r="A3284" t="inlineStr">
        <is>
          <t>ONS-1095</t>
        </is>
      </c>
      <c r="B3284" t="inlineStr">
        <is>
          <t>Onsite</t>
        </is>
      </c>
      <c r="AB3284" t="n">
        <v>1095</v>
      </c>
      <c r="AD3284" s="52">
        <f>IFERROR(N(IFERROR(INDEX($A3284:$AB3284,MATCH("Xero Invoiced Ex GST",$A$1:$AB$1,0)),"")),0)</f>
        <v/>
      </c>
      <c r="AE3284" s="53">
        <f>IFERROR(INDEX($A3284:$AB3284,MATCH("Xero Invoice Date",$A$1:$AB$1,0)),"")</f>
        <v/>
      </c>
      <c r="AF3284" s="54">
        <f>IF(AND(IFERROR(INDEX($A3284:$AB3284,MATCH("Xero Invoice No",$A$1:$AB$1,0)),"")&amp;""&lt;&gt;"",ISNUMBER(AE3284),AD3284&lt;&gt;0),1,0)</f>
        <v/>
      </c>
      <c r="AG3284" s="55">
        <f>IF(AF3284=1,EOMONTH(AE3284,0),"")</f>
        <v/>
      </c>
      <c r="AH3284" s="9">
        <f>IF(AF3284=1,UPPER(TRIM(IFERROR(INDEX($A3284:$AB3284,MATCH("Client",$A$1:$AB$1,0)),"")&amp;"")),"")</f>
        <v/>
      </c>
      <c r="AI3284" s="9">
        <f>IF(AF3284=1,IFERROR(INDEX($A3284:$AB3284,MATCH("Cost Centre",$A$1:$AB$1,0)),"")&amp;"","")</f>
        <v/>
      </c>
      <c r="AJ3284" s="54">
        <f>IF(AND(AF3284=1,AE3284&gt;=set_FYStart,AE3284&lt;=set_AsAt),1,0)</f>
        <v/>
      </c>
      <c r="AK3284" s="54">
        <f>IF(AND(AJ3284=1,AH3284&lt;&gt;"",COUNTIFS($AH$2:AH3284,AH3284,$AJ$2:AJ3284,1)=1),N(AL3283)+1,"")</f>
        <v/>
      </c>
      <c r="AL3284" s="54">
        <f>IF(AK3284&lt;&gt;"",AK3284,N(AL3283))</f>
        <v/>
      </c>
    </row>
    <row r="3285">
      <c r="A3285" t="inlineStr">
        <is>
          <t>PRD-1095</t>
        </is>
      </c>
      <c r="B3285" t="inlineStr">
        <is>
          <t>Production</t>
        </is>
      </c>
      <c r="AB3285" t="n">
        <v>1095</v>
      </c>
      <c r="AD3285" s="52">
        <f>IFERROR(N(IFERROR(INDEX($A3285:$AB3285,MATCH("Xero Invoiced Ex GST",$A$1:$AB$1,0)),"")),0)</f>
        <v/>
      </c>
      <c r="AE3285" s="53">
        <f>IFERROR(INDEX($A3285:$AB3285,MATCH("Xero Invoice Date",$A$1:$AB$1,0)),"")</f>
        <v/>
      </c>
      <c r="AF3285" s="54">
        <f>IF(AND(IFERROR(INDEX($A3285:$AB3285,MATCH("Xero Invoice No",$A$1:$AB$1,0)),"")&amp;""&lt;&gt;"",ISNUMBER(AE3285),AD3285&lt;&gt;0),1,0)</f>
        <v/>
      </c>
      <c r="AG3285" s="55">
        <f>IF(AF3285=1,EOMONTH(AE3285,0),"")</f>
        <v/>
      </c>
      <c r="AH3285" s="9">
        <f>IF(AF3285=1,UPPER(TRIM(IFERROR(INDEX($A3285:$AB3285,MATCH("Client",$A$1:$AB$1,0)),"")&amp;"")),"")</f>
        <v/>
      </c>
      <c r="AI3285" s="9">
        <f>IF(AF3285=1,IFERROR(INDEX($A3285:$AB3285,MATCH("Cost Centre",$A$1:$AB$1,0)),"")&amp;"","")</f>
        <v/>
      </c>
      <c r="AJ3285" s="54">
        <f>IF(AND(AF3285=1,AE3285&gt;=set_FYStart,AE3285&lt;=set_AsAt),1,0)</f>
        <v/>
      </c>
      <c r="AK3285" s="54">
        <f>IF(AND(AJ3285=1,AH3285&lt;&gt;"",COUNTIFS($AH$2:AH3285,AH3285,$AJ$2:AJ3285,1)=1),N(AL3284)+1,"")</f>
        <v/>
      </c>
      <c r="AL3285" s="54">
        <f>IF(AK3285&lt;&gt;"",AK3285,N(AL3284))</f>
        <v/>
      </c>
    </row>
    <row r="3286">
      <c r="A3286" t="inlineStr">
        <is>
          <t>CON-1095</t>
        </is>
      </c>
      <c r="B3286" t="inlineStr">
        <is>
          <t>Consulting</t>
        </is>
      </c>
      <c r="AB3286" t="n">
        <v>1095</v>
      </c>
      <c r="AD3286" s="52">
        <f>IFERROR(N(IFERROR(INDEX($A3286:$AB3286,MATCH("Xero Invoiced Ex GST",$A$1:$AB$1,0)),"")),0)</f>
        <v/>
      </c>
      <c r="AE3286" s="53">
        <f>IFERROR(INDEX($A3286:$AB3286,MATCH("Xero Invoice Date",$A$1:$AB$1,0)),"")</f>
        <v/>
      </c>
      <c r="AF3286" s="54">
        <f>IF(AND(IFERROR(INDEX($A3286:$AB3286,MATCH("Xero Invoice No",$A$1:$AB$1,0)),"")&amp;""&lt;&gt;"",ISNUMBER(AE3286),AD3286&lt;&gt;0),1,0)</f>
        <v/>
      </c>
      <c r="AG3286" s="55">
        <f>IF(AF3286=1,EOMONTH(AE3286,0),"")</f>
        <v/>
      </c>
      <c r="AH3286" s="9">
        <f>IF(AF3286=1,UPPER(TRIM(IFERROR(INDEX($A3286:$AB3286,MATCH("Client",$A$1:$AB$1,0)),"")&amp;"")),"")</f>
        <v/>
      </c>
      <c r="AI3286" s="9">
        <f>IF(AF3286=1,IFERROR(INDEX($A3286:$AB3286,MATCH("Cost Centre",$A$1:$AB$1,0)),"")&amp;"","")</f>
        <v/>
      </c>
      <c r="AJ3286" s="54">
        <f>IF(AND(AF3286=1,AE3286&gt;=set_FYStart,AE3286&lt;=set_AsAt),1,0)</f>
        <v/>
      </c>
      <c r="AK3286" s="54">
        <f>IF(AND(AJ3286=1,AH3286&lt;&gt;"",COUNTIFS($AH$2:AH3286,AH3286,$AJ$2:AJ3286,1)=1),N(AL3285)+1,"")</f>
        <v/>
      </c>
      <c r="AL3286" s="54">
        <f>IF(AK3286&lt;&gt;"",AK3286,N(AL3285))</f>
        <v/>
      </c>
    </row>
    <row r="3287">
      <c r="A3287" t="inlineStr">
        <is>
          <t>ONS-1096</t>
        </is>
      </c>
      <c r="B3287" t="inlineStr">
        <is>
          <t>Onsite</t>
        </is>
      </c>
      <c r="AB3287" t="n">
        <v>1096</v>
      </c>
      <c r="AD3287" s="52">
        <f>IFERROR(N(IFERROR(INDEX($A3287:$AB3287,MATCH("Xero Invoiced Ex GST",$A$1:$AB$1,0)),"")),0)</f>
        <v/>
      </c>
      <c r="AE3287" s="53">
        <f>IFERROR(INDEX($A3287:$AB3287,MATCH("Xero Invoice Date",$A$1:$AB$1,0)),"")</f>
        <v/>
      </c>
      <c r="AF3287" s="54">
        <f>IF(AND(IFERROR(INDEX($A3287:$AB3287,MATCH("Xero Invoice No",$A$1:$AB$1,0)),"")&amp;""&lt;&gt;"",ISNUMBER(AE3287),AD3287&lt;&gt;0),1,0)</f>
        <v/>
      </c>
      <c r="AG3287" s="55">
        <f>IF(AF3287=1,EOMONTH(AE3287,0),"")</f>
        <v/>
      </c>
      <c r="AH3287" s="9">
        <f>IF(AF3287=1,UPPER(TRIM(IFERROR(INDEX($A3287:$AB3287,MATCH("Client",$A$1:$AB$1,0)),"")&amp;"")),"")</f>
        <v/>
      </c>
      <c r="AI3287" s="9">
        <f>IF(AF3287=1,IFERROR(INDEX($A3287:$AB3287,MATCH("Cost Centre",$A$1:$AB$1,0)),"")&amp;"","")</f>
        <v/>
      </c>
      <c r="AJ3287" s="54">
        <f>IF(AND(AF3287=1,AE3287&gt;=set_FYStart,AE3287&lt;=set_AsAt),1,0)</f>
        <v/>
      </c>
      <c r="AK3287" s="54">
        <f>IF(AND(AJ3287=1,AH3287&lt;&gt;"",COUNTIFS($AH$2:AH3287,AH3287,$AJ$2:AJ3287,1)=1),N(AL3286)+1,"")</f>
        <v/>
      </c>
      <c r="AL3287" s="54">
        <f>IF(AK3287&lt;&gt;"",AK3287,N(AL3286))</f>
        <v/>
      </c>
    </row>
    <row r="3288">
      <c r="A3288" t="inlineStr">
        <is>
          <t>PRD-1096</t>
        </is>
      </c>
      <c r="B3288" t="inlineStr">
        <is>
          <t>Production</t>
        </is>
      </c>
      <c r="AB3288" t="n">
        <v>1096</v>
      </c>
      <c r="AD3288" s="52">
        <f>IFERROR(N(IFERROR(INDEX($A3288:$AB3288,MATCH("Xero Invoiced Ex GST",$A$1:$AB$1,0)),"")),0)</f>
        <v/>
      </c>
      <c r="AE3288" s="53">
        <f>IFERROR(INDEX($A3288:$AB3288,MATCH("Xero Invoice Date",$A$1:$AB$1,0)),"")</f>
        <v/>
      </c>
      <c r="AF3288" s="54">
        <f>IF(AND(IFERROR(INDEX($A3288:$AB3288,MATCH("Xero Invoice No",$A$1:$AB$1,0)),"")&amp;""&lt;&gt;"",ISNUMBER(AE3288),AD3288&lt;&gt;0),1,0)</f>
        <v/>
      </c>
      <c r="AG3288" s="55">
        <f>IF(AF3288=1,EOMONTH(AE3288,0),"")</f>
        <v/>
      </c>
      <c r="AH3288" s="9">
        <f>IF(AF3288=1,UPPER(TRIM(IFERROR(INDEX($A3288:$AB3288,MATCH("Client",$A$1:$AB$1,0)),"")&amp;"")),"")</f>
        <v/>
      </c>
      <c r="AI3288" s="9">
        <f>IF(AF3288=1,IFERROR(INDEX($A3288:$AB3288,MATCH("Cost Centre",$A$1:$AB$1,0)),"")&amp;"","")</f>
        <v/>
      </c>
      <c r="AJ3288" s="54">
        <f>IF(AND(AF3288=1,AE3288&gt;=set_FYStart,AE3288&lt;=set_AsAt),1,0)</f>
        <v/>
      </c>
      <c r="AK3288" s="54">
        <f>IF(AND(AJ3288=1,AH3288&lt;&gt;"",COUNTIFS($AH$2:AH3288,AH3288,$AJ$2:AJ3288,1)=1),N(AL3287)+1,"")</f>
        <v/>
      </c>
      <c r="AL3288" s="54">
        <f>IF(AK3288&lt;&gt;"",AK3288,N(AL3287))</f>
        <v/>
      </c>
    </row>
    <row r="3289">
      <c r="A3289" t="inlineStr">
        <is>
          <t>CON-1096</t>
        </is>
      </c>
      <c r="B3289" t="inlineStr">
        <is>
          <t>Consulting</t>
        </is>
      </c>
      <c r="AB3289" t="n">
        <v>1096</v>
      </c>
      <c r="AD3289" s="52">
        <f>IFERROR(N(IFERROR(INDEX($A3289:$AB3289,MATCH("Xero Invoiced Ex GST",$A$1:$AB$1,0)),"")),0)</f>
        <v/>
      </c>
      <c r="AE3289" s="53">
        <f>IFERROR(INDEX($A3289:$AB3289,MATCH("Xero Invoice Date",$A$1:$AB$1,0)),"")</f>
        <v/>
      </c>
      <c r="AF3289" s="54">
        <f>IF(AND(IFERROR(INDEX($A3289:$AB3289,MATCH("Xero Invoice No",$A$1:$AB$1,0)),"")&amp;""&lt;&gt;"",ISNUMBER(AE3289),AD3289&lt;&gt;0),1,0)</f>
        <v/>
      </c>
      <c r="AG3289" s="55">
        <f>IF(AF3289=1,EOMONTH(AE3289,0),"")</f>
        <v/>
      </c>
      <c r="AH3289" s="9">
        <f>IF(AF3289=1,UPPER(TRIM(IFERROR(INDEX($A3289:$AB3289,MATCH("Client",$A$1:$AB$1,0)),"")&amp;"")),"")</f>
        <v/>
      </c>
      <c r="AI3289" s="9">
        <f>IF(AF3289=1,IFERROR(INDEX($A3289:$AB3289,MATCH("Cost Centre",$A$1:$AB$1,0)),"")&amp;"","")</f>
        <v/>
      </c>
      <c r="AJ3289" s="54">
        <f>IF(AND(AF3289=1,AE3289&gt;=set_FYStart,AE3289&lt;=set_AsAt),1,0)</f>
        <v/>
      </c>
      <c r="AK3289" s="54">
        <f>IF(AND(AJ3289=1,AH3289&lt;&gt;"",COUNTIFS($AH$2:AH3289,AH3289,$AJ$2:AJ3289,1)=1),N(AL3288)+1,"")</f>
        <v/>
      </c>
      <c r="AL3289" s="54">
        <f>IF(AK3289&lt;&gt;"",AK3289,N(AL3288))</f>
        <v/>
      </c>
    </row>
    <row r="3290">
      <c r="A3290" t="inlineStr">
        <is>
          <t>ONS-1097</t>
        </is>
      </c>
      <c r="B3290" t="inlineStr">
        <is>
          <t>Onsite</t>
        </is>
      </c>
      <c r="AB3290" t="n">
        <v>1097</v>
      </c>
      <c r="AD3290" s="52">
        <f>IFERROR(N(IFERROR(INDEX($A3290:$AB3290,MATCH("Xero Invoiced Ex GST",$A$1:$AB$1,0)),"")),0)</f>
        <v/>
      </c>
      <c r="AE3290" s="53">
        <f>IFERROR(INDEX($A3290:$AB3290,MATCH("Xero Invoice Date",$A$1:$AB$1,0)),"")</f>
        <v/>
      </c>
      <c r="AF3290" s="54">
        <f>IF(AND(IFERROR(INDEX($A3290:$AB3290,MATCH("Xero Invoice No",$A$1:$AB$1,0)),"")&amp;""&lt;&gt;"",ISNUMBER(AE3290),AD3290&lt;&gt;0),1,0)</f>
        <v/>
      </c>
      <c r="AG3290" s="55">
        <f>IF(AF3290=1,EOMONTH(AE3290,0),"")</f>
        <v/>
      </c>
      <c r="AH3290" s="9">
        <f>IF(AF3290=1,UPPER(TRIM(IFERROR(INDEX($A3290:$AB3290,MATCH("Client",$A$1:$AB$1,0)),"")&amp;"")),"")</f>
        <v/>
      </c>
      <c r="AI3290" s="9">
        <f>IF(AF3290=1,IFERROR(INDEX($A3290:$AB3290,MATCH("Cost Centre",$A$1:$AB$1,0)),"")&amp;"","")</f>
        <v/>
      </c>
      <c r="AJ3290" s="54">
        <f>IF(AND(AF3290=1,AE3290&gt;=set_FYStart,AE3290&lt;=set_AsAt),1,0)</f>
        <v/>
      </c>
      <c r="AK3290" s="54">
        <f>IF(AND(AJ3290=1,AH3290&lt;&gt;"",COUNTIFS($AH$2:AH3290,AH3290,$AJ$2:AJ3290,1)=1),N(AL3289)+1,"")</f>
        <v/>
      </c>
      <c r="AL3290" s="54">
        <f>IF(AK3290&lt;&gt;"",AK3290,N(AL3289))</f>
        <v/>
      </c>
    </row>
    <row r="3291">
      <c r="A3291" t="inlineStr">
        <is>
          <t>PRD-1097</t>
        </is>
      </c>
      <c r="B3291" t="inlineStr">
        <is>
          <t>Production</t>
        </is>
      </c>
      <c r="AB3291" t="n">
        <v>1097</v>
      </c>
      <c r="AD3291" s="52">
        <f>IFERROR(N(IFERROR(INDEX($A3291:$AB3291,MATCH("Xero Invoiced Ex GST",$A$1:$AB$1,0)),"")),0)</f>
        <v/>
      </c>
      <c r="AE3291" s="53">
        <f>IFERROR(INDEX($A3291:$AB3291,MATCH("Xero Invoice Date",$A$1:$AB$1,0)),"")</f>
        <v/>
      </c>
      <c r="AF3291" s="54">
        <f>IF(AND(IFERROR(INDEX($A3291:$AB3291,MATCH("Xero Invoice No",$A$1:$AB$1,0)),"")&amp;""&lt;&gt;"",ISNUMBER(AE3291),AD3291&lt;&gt;0),1,0)</f>
        <v/>
      </c>
      <c r="AG3291" s="55">
        <f>IF(AF3291=1,EOMONTH(AE3291,0),"")</f>
        <v/>
      </c>
      <c r="AH3291" s="9">
        <f>IF(AF3291=1,UPPER(TRIM(IFERROR(INDEX($A3291:$AB3291,MATCH("Client",$A$1:$AB$1,0)),"")&amp;"")),"")</f>
        <v/>
      </c>
      <c r="AI3291" s="9">
        <f>IF(AF3291=1,IFERROR(INDEX($A3291:$AB3291,MATCH("Cost Centre",$A$1:$AB$1,0)),"")&amp;"","")</f>
        <v/>
      </c>
      <c r="AJ3291" s="54">
        <f>IF(AND(AF3291=1,AE3291&gt;=set_FYStart,AE3291&lt;=set_AsAt),1,0)</f>
        <v/>
      </c>
      <c r="AK3291" s="54">
        <f>IF(AND(AJ3291=1,AH3291&lt;&gt;"",COUNTIFS($AH$2:AH3291,AH3291,$AJ$2:AJ3291,1)=1),N(AL3290)+1,"")</f>
        <v/>
      </c>
      <c r="AL3291" s="54">
        <f>IF(AK3291&lt;&gt;"",AK3291,N(AL3290))</f>
        <v/>
      </c>
    </row>
    <row r="3292">
      <c r="A3292" t="inlineStr">
        <is>
          <t>CON-1097</t>
        </is>
      </c>
      <c r="B3292" t="inlineStr">
        <is>
          <t>Consulting</t>
        </is>
      </c>
      <c r="AB3292" t="n">
        <v>1097</v>
      </c>
      <c r="AD3292" s="52">
        <f>IFERROR(N(IFERROR(INDEX($A3292:$AB3292,MATCH("Xero Invoiced Ex GST",$A$1:$AB$1,0)),"")),0)</f>
        <v/>
      </c>
      <c r="AE3292" s="53">
        <f>IFERROR(INDEX($A3292:$AB3292,MATCH("Xero Invoice Date",$A$1:$AB$1,0)),"")</f>
        <v/>
      </c>
      <c r="AF3292" s="54">
        <f>IF(AND(IFERROR(INDEX($A3292:$AB3292,MATCH("Xero Invoice No",$A$1:$AB$1,0)),"")&amp;""&lt;&gt;"",ISNUMBER(AE3292),AD3292&lt;&gt;0),1,0)</f>
        <v/>
      </c>
      <c r="AG3292" s="55">
        <f>IF(AF3292=1,EOMONTH(AE3292,0),"")</f>
        <v/>
      </c>
      <c r="AH3292" s="9">
        <f>IF(AF3292=1,UPPER(TRIM(IFERROR(INDEX($A3292:$AB3292,MATCH("Client",$A$1:$AB$1,0)),"")&amp;"")),"")</f>
        <v/>
      </c>
      <c r="AI3292" s="9">
        <f>IF(AF3292=1,IFERROR(INDEX($A3292:$AB3292,MATCH("Cost Centre",$A$1:$AB$1,0)),"")&amp;"","")</f>
        <v/>
      </c>
      <c r="AJ3292" s="54">
        <f>IF(AND(AF3292=1,AE3292&gt;=set_FYStart,AE3292&lt;=set_AsAt),1,0)</f>
        <v/>
      </c>
      <c r="AK3292" s="54">
        <f>IF(AND(AJ3292=1,AH3292&lt;&gt;"",COUNTIFS($AH$2:AH3292,AH3292,$AJ$2:AJ3292,1)=1),N(AL3291)+1,"")</f>
        <v/>
      </c>
      <c r="AL3292" s="54">
        <f>IF(AK3292&lt;&gt;"",AK3292,N(AL3291))</f>
        <v/>
      </c>
    </row>
    <row r="3293">
      <c r="A3293" t="inlineStr">
        <is>
          <t>ONS-1098</t>
        </is>
      </c>
      <c r="B3293" t="inlineStr">
        <is>
          <t>Onsite</t>
        </is>
      </c>
      <c r="AB3293" t="n">
        <v>1098</v>
      </c>
      <c r="AD3293" s="52">
        <f>IFERROR(N(IFERROR(INDEX($A3293:$AB3293,MATCH("Xero Invoiced Ex GST",$A$1:$AB$1,0)),"")),0)</f>
        <v/>
      </c>
      <c r="AE3293" s="53">
        <f>IFERROR(INDEX($A3293:$AB3293,MATCH("Xero Invoice Date",$A$1:$AB$1,0)),"")</f>
        <v/>
      </c>
      <c r="AF3293" s="54">
        <f>IF(AND(IFERROR(INDEX($A3293:$AB3293,MATCH("Xero Invoice No",$A$1:$AB$1,0)),"")&amp;""&lt;&gt;"",ISNUMBER(AE3293),AD3293&lt;&gt;0),1,0)</f>
        <v/>
      </c>
      <c r="AG3293" s="55">
        <f>IF(AF3293=1,EOMONTH(AE3293,0),"")</f>
        <v/>
      </c>
      <c r="AH3293" s="9">
        <f>IF(AF3293=1,UPPER(TRIM(IFERROR(INDEX($A3293:$AB3293,MATCH("Client",$A$1:$AB$1,0)),"")&amp;"")),"")</f>
        <v/>
      </c>
      <c r="AI3293" s="9">
        <f>IF(AF3293=1,IFERROR(INDEX($A3293:$AB3293,MATCH("Cost Centre",$A$1:$AB$1,0)),"")&amp;"","")</f>
        <v/>
      </c>
      <c r="AJ3293" s="54">
        <f>IF(AND(AF3293=1,AE3293&gt;=set_FYStart,AE3293&lt;=set_AsAt),1,0)</f>
        <v/>
      </c>
      <c r="AK3293" s="54">
        <f>IF(AND(AJ3293=1,AH3293&lt;&gt;"",COUNTIFS($AH$2:AH3293,AH3293,$AJ$2:AJ3293,1)=1),N(AL3292)+1,"")</f>
        <v/>
      </c>
      <c r="AL3293" s="54">
        <f>IF(AK3293&lt;&gt;"",AK3293,N(AL3292))</f>
        <v/>
      </c>
    </row>
    <row r="3294">
      <c r="A3294" t="inlineStr">
        <is>
          <t>PRD-1098</t>
        </is>
      </c>
      <c r="B3294" t="inlineStr">
        <is>
          <t>Production</t>
        </is>
      </c>
      <c r="AB3294" t="n">
        <v>1098</v>
      </c>
      <c r="AD3294" s="52">
        <f>IFERROR(N(IFERROR(INDEX($A3294:$AB3294,MATCH("Xero Invoiced Ex GST",$A$1:$AB$1,0)),"")),0)</f>
        <v/>
      </c>
      <c r="AE3294" s="53">
        <f>IFERROR(INDEX($A3294:$AB3294,MATCH("Xero Invoice Date",$A$1:$AB$1,0)),"")</f>
        <v/>
      </c>
      <c r="AF3294" s="54">
        <f>IF(AND(IFERROR(INDEX($A3294:$AB3294,MATCH("Xero Invoice No",$A$1:$AB$1,0)),"")&amp;""&lt;&gt;"",ISNUMBER(AE3294),AD3294&lt;&gt;0),1,0)</f>
        <v/>
      </c>
      <c r="AG3294" s="55">
        <f>IF(AF3294=1,EOMONTH(AE3294,0),"")</f>
        <v/>
      </c>
      <c r="AH3294" s="9">
        <f>IF(AF3294=1,UPPER(TRIM(IFERROR(INDEX($A3294:$AB3294,MATCH("Client",$A$1:$AB$1,0)),"")&amp;"")),"")</f>
        <v/>
      </c>
      <c r="AI3294" s="9">
        <f>IF(AF3294=1,IFERROR(INDEX($A3294:$AB3294,MATCH("Cost Centre",$A$1:$AB$1,0)),"")&amp;"","")</f>
        <v/>
      </c>
      <c r="AJ3294" s="54">
        <f>IF(AND(AF3294=1,AE3294&gt;=set_FYStart,AE3294&lt;=set_AsAt),1,0)</f>
        <v/>
      </c>
      <c r="AK3294" s="54">
        <f>IF(AND(AJ3294=1,AH3294&lt;&gt;"",COUNTIFS($AH$2:AH3294,AH3294,$AJ$2:AJ3294,1)=1),N(AL3293)+1,"")</f>
        <v/>
      </c>
      <c r="AL3294" s="54">
        <f>IF(AK3294&lt;&gt;"",AK3294,N(AL3293))</f>
        <v/>
      </c>
    </row>
    <row r="3295">
      <c r="A3295" t="inlineStr">
        <is>
          <t>CON-1098</t>
        </is>
      </c>
      <c r="B3295" t="inlineStr">
        <is>
          <t>Consulting</t>
        </is>
      </c>
      <c r="AB3295" t="n">
        <v>1098</v>
      </c>
      <c r="AD3295" s="52">
        <f>IFERROR(N(IFERROR(INDEX($A3295:$AB3295,MATCH("Xero Invoiced Ex GST",$A$1:$AB$1,0)),"")),0)</f>
        <v/>
      </c>
      <c r="AE3295" s="53">
        <f>IFERROR(INDEX($A3295:$AB3295,MATCH("Xero Invoice Date",$A$1:$AB$1,0)),"")</f>
        <v/>
      </c>
      <c r="AF3295" s="54">
        <f>IF(AND(IFERROR(INDEX($A3295:$AB3295,MATCH("Xero Invoice No",$A$1:$AB$1,0)),"")&amp;""&lt;&gt;"",ISNUMBER(AE3295),AD3295&lt;&gt;0),1,0)</f>
        <v/>
      </c>
      <c r="AG3295" s="55">
        <f>IF(AF3295=1,EOMONTH(AE3295,0),"")</f>
        <v/>
      </c>
      <c r="AH3295" s="9">
        <f>IF(AF3295=1,UPPER(TRIM(IFERROR(INDEX($A3295:$AB3295,MATCH("Client",$A$1:$AB$1,0)),"")&amp;"")),"")</f>
        <v/>
      </c>
      <c r="AI3295" s="9">
        <f>IF(AF3295=1,IFERROR(INDEX($A3295:$AB3295,MATCH("Cost Centre",$A$1:$AB$1,0)),"")&amp;"","")</f>
        <v/>
      </c>
      <c r="AJ3295" s="54">
        <f>IF(AND(AF3295=1,AE3295&gt;=set_FYStart,AE3295&lt;=set_AsAt),1,0)</f>
        <v/>
      </c>
      <c r="AK3295" s="54">
        <f>IF(AND(AJ3295=1,AH3295&lt;&gt;"",COUNTIFS($AH$2:AH3295,AH3295,$AJ$2:AJ3295,1)=1),N(AL3294)+1,"")</f>
        <v/>
      </c>
      <c r="AL3295" s="54">
        <f>IF(AK3295&lt;&gt;"",AK3295,N(AL3294))</f>
        <v/>
      </c>
    </row>
    <row r="3296">
      <c r="A3296" t="inlineStr">
        <is>
          <t>ONS-1099</t>
        </is>
      </c>
      <c r="B3296" t="inlineStr">
        <is>
          <t>Onsite</t>
        </is>
      </c>
      <c r="AB3296" t="n">
        <v>1099</v>
      </c>
      <c r="AD3296" s="52">
        <f>IFERROR(N(IFERROR(INDEX($A3296:$AB3296,MATCH("Xero Invoiced Ex GST",$A$1:$AB$1,0)),"")),0)</f>
        <v/>
      </c>
      <c r="AE3296" s="53">
        <f>IFERROR(INDEX($A3296:$AB3296,MATCH("Xero Invoice Date",$A$1:$AB$1,0)),"")</f>
        <v/>
      </c>
      <c r="AF3296" s="54">
        <f>IF(AND(IFERROR(INDEX($A3296:$AB3296,MATCH("Xero Invoice No",$A$1:$AB$1,0)),"")&amp;""&lt;&gt;"",ISNUMBER(AE3296),AD3296&lt;&gt;0),1,0)</f>
        <v/>
      </c>
      <c r="AG3296" s="55">
        <f>IF(AF3296=1,EOMONTH(AE3296,0),"")</f>
        <v/>
      </c>
      <c r="AH3296" s="9">
        <f>IF(AF3296=1,UPPER(TRIM(IFERROR(INDEX($A3296:$AB3296,MATCH("Client",$A$1:$AB$1,0)),"")&amp;"")),"")</f>
        <v/>
      </c>
      <c r="AI3296" s="9">
        <f>IF(AF3296=1,IFERROR(INDEX($A3296:$AB3296,MATCH("Cost Centre",$A$1:$AB$1,0)),"")&amp;"","")</f>
        <v/>
      </c>
      <c r="AJ3296" s="54">
        <f>IF(AND(AF3296=1,AE3296&gt;=set_FYStart,AE3296&lt;=set_AsAt),1,0)</f>
        <v/>
      </c>
      <c r="AK3296" s="54">
        <f>IF(AND(AJ3296=1,AH3296&lt;&gt;"",COUNTIFS($AH$2:AH3296,AH3296,$AJ$2:AJ3296,1)=1),N(AL3295)+1,"")</f>
        <v/>
      </c>
      <c r="AL3296" s="54">
        <f>IF(AK3296&lt;&gt;"",AK3296,N(AL3295))</f>
        <v/>
      </c>
    </row>
    <row r="3297">
      <c r="A3297" t="inlineStr">
        <is>
          <t>PRD-1099</t>
        </is>
      </c>
      <c r="B3297" t="inlineStr">
        <is>
          <t>Production</t>
        </is>
      </c>
      <c r="AB3297" t="n">
        <v>1099</v>
      </c>
      <c r="AD3297" s="52">
        <f>IFERROR(N(IFERROR(INDEX($A3297:$AB3297,MATCH("Xero Invoiced Ex GST",$A$1:$AB$1,0)),"")),0)</f>
        <v/>
      </c>
      <c r="AE3297" s="53">
        <f>IFERROR(INDEX($A3297:$AB3297,MATCH("Xero Invoice Date",$A$1:$AB$1,0)),"")</f>
        <v/>
      </c>
      <c r="AF3297" s="54">
        <f>IF(AND(IFERROR(INDEX($A3297:$AB3297,MATCH("Xero Invoice No",$A$1:$AB$1,0)),"")&amp;""&lt;&gt;"",ISNUMBER(AE3297),AD3297&lt;&gt;0),1,0)</f>
        <v/>
      </c>
      <c r="AG3297" s="55">
        <f>IF(AF3297=1,EOMONTH(AE3297,0),"")</f>
        <v/>
      </c>
      <c r="AH3297" s="9">
        <f>IF(AF3297=1,UPPER(TRIM(IFERROR(INDEX($A3297:$AB3297,MATCH("Client",$A$1:$AB$1,0)),"")&amp;"")),"")</f>
        <v/>
      </c>
      <c r="AI3297" s="9">
        <f>IF(AF3297=1,IFERROR(INDEX($A3297:$AB3297,MATCH("Cost Centre",$A$1:$AB$1,0)),"")&amp;"","")</f>
        <v/>
      </c>
      <c r="AJ3297" s="54">
        <f>IF(AND(AF3297=1,AE3297&gt;=set_FYStart,AE3297&lt;=set_AsAt),1,0)</f>
        <v/>
      </c>
      <c r="AK3297" s="54">
        <f>IF(AND(AJ3297=1,AH3297&lt;&gt;"",COUNTIFS($AH$2:AH3297,AH3297,$AJ$2:AJ3297,1)=1),N(AL3296)+1,"")</f>
        <v/>
      </c>
      <c r="AL3297" s="54">
        <f>IF(AK3297&lt;&gt;"",AK3297,N(AL3296))</f>
        <v/>
      </c>
    </row>
    <row r="3298">
      <c r="A3298" t="inlineStr">
        <is>
          <t>CON-1099</t>
        </is>
      </c>
      <c r="B3298" t="inlineStr">
        <is>
          <t>Consulting</t>
        </is>
      </c>
      <c r="AB3298" t="n">
        <v>1099</v>
      </c>
      <c r="AD3298" s="52">
        <f>IFERROR(N(IFERROR(INDEX($A3298:$AB3298,MATCH("Xero Invoiced Ex GST",$A$1:$AB$1,0)),"")),0)</f>
        <v/>
      </c>
      <c r="AE3298" s="53">
        <f>IFERROR(INDEX($A3298:$AB3298,MATCH("Xero Invoice Date",$A$1:$AB$1,0)),"")</f>
        <v/>
      </c>
      <c r="AF3298" s="54">
        <f>IF(AND(IFERROR(INDEX($A3298:$AB3298,MATCH("Xero Invoice No",$A$1:$AB$1,0)),"")&amp;""&lt;&gt;"",ISNUMBER(AE3298),AD3298&lt;&gt;0),1,0)</f>
        <v/>
      </c>
      <c r="AG3298" s="55">
        <f>IF(AF3298=1,EOMONTH(AE3298,0),"")</f>
        <v/>
      </c>
      <c r="AH3298" s="9">
        <f>IF(AF3298=1,UPPER(TRIM(IFERROR(INDEX($A3298:$AB3298,MATCH("Client",$A$1:$AB$1,0)),"")&amp;"")),"")</f>
        <v/>
      </c>
      <c r="AI3298" s="9">
        <f>IF(AF3298=1,IFERROR(INDEX($A3298:$AB3298,MATCH("Cost Centre",$A$1:$AB$1,0)),"")&amp;"","")</f>
        <v/>
      </c>
      <c r="AJ3298" s="54">
        <f>IF(AND(AF3298=1,AE3298&gt;=set_FYStart,AE3298&lt;=set_AsAt),1,0)</f>
        <v/>
      </c>
      <c r="AK3298" s="54">
        <f>IF(AND(AJ3298=1,AH3298&lt;&gt;"",COUNTIFS($AH$2:AH3298,AH3298,$AJ$2:AJ3298,1)=1),N(AL3297)+1,"")</f>
        <v/>
      </c>
      <c r="AL3298" s="54">
        <f>IF(AK3298&lt;&gt;"",AK3298,N(AL3297))</f>
        <v/>
      </c>
    </row>
    <row r="3299">
      <c r="A3299" t="inlineStr">
        <is>
          <t>ONS-1100</t>
        </is>
      </c>
      <c r="B3299" t="inlineStr">
        <is>
          <t>Onsite</t>
        </is>
      </c>
      <c r="AB3299" t="n">
        <v>1100</v>
      </c>
      <c r="AD3299" s="52">
        <f>IFERROR(N(IFERROR(INDEX($A3299:$AB3299,MATCH("Xero Invoiced Ex GST",$A$1:$AB$1,0)),"")),0)</f>
        <v/>
      </c>
      <c r="AE3299" s="53">
        <f>IFERROR(INDEX($A3299:$AB3299,MATCH("Xero Invoice Date",$A$1:$AB$1,0)),"")</f>
        <v/>
      </c>
      <c r="AF3299" s="54">
        <f>IF(AND(IFERROR(INDEX($A3299:$AB3299,MATCH("Xero Invoice No",$A$1:$AB$1,0)),"")&amp;""&lt;&gt;"",ISNUMBER(AE3299),AD3299&lt;&gt;0),1,0)</f>
        <v/>
      </c>
      <c r="AG3299" s="55">
        <f>IF(AF3299=1,EOMONTH(AE3299,0),"")</f>
        <v/>
      </c>
      <c r="AH3299" s="9">
        <f>IF(AF3299=1,UPPER(TRIM(IFERROR(INDEX($A3299:$AB3299,MATCH("Client",$A$1:$AB$1,0)),"")&amp;"")),"")</f>
        <v/>
      </c>
      <c r="AI3299" s="9">
        <f>IF(AF3299=1,IFERROR(INDEX($A3299:$AB3299,MATCH("Cost Centre",$A$1:$AB$1,0)),"")&amp;"","")</f>
        <v/>
      </c>
      <c r="AJ3299" s="54">
        <f>IF(AND(AF3299=1,AE3299&gt;=set_FYStart,AE3299&lt;=set_AsAt),1,0)</f>
        <v/>
      </c>
      <c r="AK3299" s="54">
        <f>IF(AND(AJ3299=1,AH3299&lt;&gt;"",COUNTIFS($AH$2:AH3299,AH3299,$AJ$2:AJ3299,1)=1),N(AL3298)+1,"")</f>
        <v/>
      </c>
      <c r="AL3299" s="54">
        <f>IF(AK3299&lt;&gt;"",AK3299,N(AL3298))</f>
        <v/>
      </c>
    </row>
    <row r="3300">
      <c r="A3300" t="inlineStr">
        <is>
          <t>PRD-1100</t>
        </is>
      </c>
      <c r="B3300" t="inlineStr">
        <is>
          <t>Production</t>
        </is>
      </c>
      <c r="AB3300" t="n">
        <v>1100</v>
      </c>
      <c r="AD3300" s="52">
        <f>IFERROR(N(IFERROR(INDEX($A3300:$AB3300,MATCH("Xero Invoiced Ex GST",$A$1:$AB$1,0)),"")),0)</f>
        <v/>
      </c>
      <c r="AE3300" s="53">
        <f>IFERROR(INDEX($A3300:$AB3300,MATCH("Xero Invoice Date",$A$1:$AB$1,0)),"")</f>
        <v/>
      </c>
      <c r="AF3300" s="54">
        <f>IF(AND(IFERROR(INDEX($A3300:$AB3300,MATCH("Xero Invoice No",$A$1:$AB$1,0)),"")&amp;""&lt;&gt;"",ISNUMBER(AE3300),AD3300&lt;&gt;0),1,0)</f>
        <v/>
      </c>
      <c r="AG3300" s="55">
        <f>IF(AF3300=1,EOMONTH(AE3300,0),"")</f>
        <v/>
      </c>
      <c r="AH3300" s="9">
        <f>IF(AF3300=1,UPPER(TRIM(IFERROR(INDEX($A3300:$AB3300,MATCH("Client",$A$1:$AB$1,0)),"")&amp;"")),"")</f>
        <v/>
      </c>
      <c r="AI3300" s="9">
        <f>IF(AF3300=1,IFERROR(INDEX($A3300:$AB3300,MATCH("Cost Centre",$A$1:$AB$1,0)),"")&amp;"","")</f>
        <v/>
      </c>
      <c r="AJ3300" s="54">
        <f>IF(AND(AF3300=1,AE3300&gt;=set_FYStart,AE3300&lt;=set_AsAt),1,0)</f>
        <v/>
      </c>
      <c r="AK3300" s="54">
        <f>IF(AND(AJ3300=1,AH3300&lt;&gt;"",COUNTIFS($AH$2:AH3300,AH3300,$AJ$2:AJ3300,1)=1),N(AL3299)+1,"")</f>
        <v/>
      </c>
      <c r="AL3300" s="54">
        <f>IF(AK3300&lt;&gt;"",AK3300,N(AL3299))</f>
        <v/>
      </c>
    </row>
    <row r="3301">
      <c r="A3301" t="inlineStr">
        <is>
          <t>CON-1100</t>
        </is>
      </c>
      <c r="B3301" t="inlineStr">
        <is>
          <t>Consulting</t>
        </is>
      </c>
      <c r="AB3301" t="n">
        <v>1100</v>
      </c>
      <c r="AD3301" s="52">
        <f>IFERROR(N(IFERROR(INDEX($A3301:$AB3301,MATCH("Xero Invoiced Ex GST",$A$1:$AB$1,0)),"")),0)</f>
        <v/>
      </c>
      <c r="AE3301" s="53">
        <f>IFERROR(INDEX($A3301:$AB3301,MATCH("Xero Invoice Date",$A$1:$AB$1,0)),"")</f>
        <v/>
      </c>
      <c r="AF3301" s="54">
        <f>IF(AND(IFERROR(INDEX($A3301:$AB3301,MATCH("Xero Invoice No",$A$1:$AB$1,0)),"")&amp;""&lt;&gt;"",ISNUMBER(AE3301),AD3301&lt;&gt;0),1,0)</f>
        <v/>
      </c>
      <c r="AG3301" s="55">
        <f>IF(AF3301=1,EOMONTH(AE3301,0),"")</f>
        <v/>
      </c>
      <c r="AH3301" s="9">
        <f>IF(AF3301=1,UPPER(TRIM(IFERROR(INDEX($A3301:$AB3301,MATCH("Client",$A$1:$AB$1,0)),"")&amp;"")),"")</f>
        <v/>
      </c>
      <c r="AI3301" s="9">
        <f>IF(AF3301=1,IFERROR(INDEX($A3301:$AB3301,MATCH("Cost Centre",$A$1:$AB$1,0)),"")&amp;"","")</f>
        <v/>
      </c>
      <c r="AJ3301" s="54">
        <f>IF(AND(AF3301=1,AE3301&gt;=set_FYStart,AE3301&lt;=set_AsAt),1,0)</f>
        <v/>
      </c>
      <c r="AK3301" s="54">
        <f>IF(AND(AJ3301=1,AH3301&lt;&gt;"",COUNTIFS($AH$2:AH3301,AH3301,$AJ$2:AJ3301,1)=1),N(AL3300)+1,"")</f>
        <v/>
      </c>
      <c r="AL3301" s="54">
        <f>IF(AK3301&lt;&gt;"",AK3301,N(AL3300))</f>
        <v/>
      </c>
    </row>
    <row r="3302">
      <c r="A3302" t="inlineStr">
        <is>
          <t>ONS-1101</t>
        </is>
      </c>
      <c r="B3302" t="inlineStr">
        <is>
          <t>Onsite</t>
        </is>
      </c>
      <c r="AB3302" t="n">
        <v>1101</v>
      </c>
      <c r="AD3302" s="52">
        <f>IFERROR(N(IFERROR(INDEX($A3302:$AB3302,MATCH("Xero Invoiced Ex GST",$A$1:$AB$1,0)),"")),0)</f>
        <v/>
      </c>
      <c r="AE3302" s="53">
        <f>IFERROR(INDEX($A3302:$AB3302,MATCH("Xero Invoice Date",$A$1:$AB$1,0)),"")</f>
        <v/>
      </c>
      <c r="AF3302" s="54">
        <f>IF(AND(IFERROR(INDEX($A3302:$AB3302,MATCH("Xero Invoice No",$A$1:$AB$1,0)),"")&amp;""&lt;&gt;"",ISNUMBER(AE3302),AD3302&lt;&gt;0),1,0)</f>
        <v/>
      </c>
      <c r="AG3302" s="55">
        <f>IF(AF3302=1,EOMONTH(AE3302,0),"")</f>
        <v/>
      </c>
      <c r="AH3302" s="9">
        <f>IF(AF3302=1,UPPER(TRIM(IFERROR(INDEX($A3302:$AB3302,MATCH("Client",$A$1:$AB$1,0)),"")&amp;"")),"")</f>
        <v/>
      </c>
      <c r="AI3302" s="9">
        <f>IF(AF3302=1,IFERROR(INDEX($A3302:$AB3302,MATCH("Cost Centre",$A$1:$AB$1,0)),"")&amp;"","")</f>
        <v/>
      </c>
      <c r="AJ3302" s="54">
        <f>IF(AND(AF3302=1,AE3302&gt;=set_FYStart,AE3302&lt;=set_AsAt),1,0)</f>
        <v/>
      </c>
      <c r="AK3302" s="54">
        <f>IF(AND(AJ3302=1,AH3302&lt;&gt;"",COUNTIFS($AH$2:AH3302,AH3302,$AJ$2:AJ3302,1)=1),N(AL3301)+1,"")</f>
        <v/>
      </c>
      <c r="AL3302" s="54">
        <f>IF(AK3302&lt;&gt;"",AK3302,N(AL3301))</f>
        <v/>
      </c>
    </row>
    <row r="3303">
      <c r="A3303" t="inlineStr">
        <is>
          <t>PRD-1101</t>
        </is>
      </c>
      <c r="B3303" t="inlineStr">
        <is>
          <t>Production</t>
        </is>
      </c>
      <c r="AB3303" t="n">
        <v>1101</v>
      </c>
      <c r="AD3303" s="52">
        <f>IFERROR(N(IFERROR(INDEX($A3303:$AB3303,MATCH("Xero Invoiced Ex GST",$A$1:$AB$1,0)),"")),0)</f>
        <v/>
      </c>
      <c r="AE3303" s="53">
        <f>IFERROR(INDEX($A3303:$AB3303,MATCH("Xero Invoice Date",$A$1:$AB$1,0)),"")</f>
        <v/>
      </c>
      <c r="AF3303" s="54">
        <f>IF(AND(IFERROR(INDEX($A3303:$AB3303,MATCH("Xero Invoice No",$A$1:$AB$1,0)),"")&amp;""&lt;&gt;"",ISNUMBER(AE3303),AD3303&lt;&gt;0),1,0)</f>
        <v/>
      </c>
      <c r="AG3303" s="55">
        <f>IF(AF3303=1,EOMONTH(AE3303,0),"")</f>
        <v/>
      </c>
      <c r="AH3303" s="9">
        <f>IF(AF3303=1,UPPER(TRIM(IFERROR(INDEX($A3303:$AB3303,MATCH("Client",$A$1:$AB$1,0)),"")&amp;"")),"")</f>
        <v/>
      </c>
      <c r="AI3303" s="9">
        <f>IF(AF3303=1,IFERROR(INDEX($A3303:$AB3303,MATCH("Cost Centre",$A$1:$AB$1,0)),"")&amp;"","")</f>
        <v/>
      </c>
      <c r="AJ3303" s="54">
        <f>IF(AND(AF3303=1,AE3303&gt;=set_FYStart,AE3303&lt;=set_AsAt),1,0)</f>
        <v/>
      </c>
      <c r="AK3303" s="54">
        <f>IF(AND(AJ3303=1,AH3303&lt;&gt;"",COUNTIFS($AH$2:AH3303,AH3303,$AJ$2:AJ3303,1)=1),N(AL3302)+1,"")</f>
        <v/>
      </c>
      <c r="AL3303" s="54">
        <f>IF(AK3303&lt;&gt;"",AK3303,N(AL3302))</f>
        <v/>
      </c>
    </row>
    <row r="3304">
      <c r="A3304" t="inlineStr">
        <is>
          <t>CON-1101</t>
        </is>
      </c>
      <c r="B3304" t="inlineStr">
        <is>
          <t>Consulting</t>
        </is>
      </c>
      <c r="AB3304" t="n">
        <v>1101</v>
      </c>
      <c r="AD3304" s="52">
        <f>IFERROR(N(IFERROR(INDEX($A3304:$AB3304,MATCH("Xero Invoiced Ex GST",$A$1:$AB$1,0)),"")),0)</f>
        <v/>
      </c>
      <c r="AE3304" s="53">
        <f>IFERROR(INDEX($A3304:$AB3304,MATCH("Xero Invoice Date",$A$1:$AB$1,0)),"")</f>
        <v/>
      </c>
      <c r="AF3304" s="54">
        <f>IF(AND(IFERROR(INDEX($A3304:$AB3304,MATCH("Xero Invoice No",$A$1:$AB$1,0)),"")&amp;""&lt;&gt;"",ISNUMBER(AE3304),AD3304&lt;&gt;0),1,0)</f>
        <v/>
      </c>
      <c r="AG3304" s="55">
        <f>IF(AF3304=1,EOMONTH(AE3304,0),"")</f>
        <v/>
      </c>
      <c r="AH3304" s="9">
        <f>IF(AF3304=1,UPPER(TRIM(IFERROR(INDEX($A3304:$AB3304,MATCH("Client",$A$1:$AB$1,0)),"")&amp;"")),"")</f>
        <v/>
      </c>
      <c r="AI3304" s="9">
        <f>IF(AF3304=1,IFERROR(INDEX($A3304:$AB3304,MATCH("Cost Centre",$A$1:$AB$1,0)),"")&amp;"","")</f>
        <v/>
      </c>
      <c r="AJ3304" s="54">
        <f>IF(AND(AF3304=1,AE3304&gt;=set_FYStart,AE3304&lt;=set_AsAt),1,0)</f>
        <v/>
      </c>
      <c r="AK3304" s="54">
        <f>IF(AND(AJ3304=1,AH3304&lt;&gt;"",COUNTIFS($AH$2:AH3304,AH3304,$AJ$2:AJ3304,1)=1),N(AL3303)+1,"")</f>
        <v/>
      </c>
      <c r="AL3304" s="54">
        <f>IF(AK3304&lt;&gt;"",AK3304,N(AL3303))</f>
        <v/>
      </c>
    </row>
    <row r="3305">
      <c r="A3305" t="inlineStr">
        <is>
          <t>ONS-1102</t>
        </is>
      </c>
      <c r="B3305" t="inlineStr">
        <is>
          <t>Onsite</t>
        </is>
      </c>
      <c r="AB3305" t="n">
        <v>1102</v>
      </c>
      <c r="AD3305" s="52">
        <f>IFERROR(N(IFERROR(INDEX($A3305:$AB3305,MATCH("Xero Invoiced Ex GST",$A$1:$AB$1,0)),"")),0)</f>
        <v/>
      </c>
      <c r="AE3305" s="53">
        <f>IFERROR(INDEX($A3305:$AB3305,MATCH("Xero Invoice Date",$A$1:$AB$1,0)),"")</f>
        <v/>
      </c>
      <c r="AF3305" s="54">
        <f>IF(AND(IFERROR(INDEX($A3305:$AB3305,MATCH("Xero Invoice No",$A$1:$AB$1,0)),"")&amp;""&lt;&gt;"",ISNUMBER(AE3305),AD3305&lt;&gt;0),1,0)</f>
        <v/>
      </c>
      <c r="AG3305" s="55">
        <f>IF(AF3305=1,EOMONTH(AE3305,0),"")</f>
        <v/>
      </c>
      <c r="AH3305" s="9">
        <f>IF(AF3305=1,UPPER(TRIM(IFERROR(INDEX($A3305:$AB3305,MATCH("Client",$A$1:$AB$1,0)),"")&amp;"")),"")</f>
        <v/>
      </c>
      <c r="AI3305" s="9">
        <f>IF(AF3305=1,IFERROR(INDEX($A3305:$AB3305,MATCH("Cost Centre",$A$1:$AB$1,0)),"")&amp;"","")</f>
        <v/>
      </c>
      <c r="AJ3305" s="54">
        <f>IF(AND(AF3305=1,AE3305&gt;=set_FYStart,AE3305&lt;=set_AsAt),1,0)</f>
        <v/>
      </c>
      <c r="AK3305" s="54">
        <f>IF(AND(AJ3305=1,AH3305&lt;&gt;"",COUNTIFS($AH$2:AH3305,AH3305,$AJ$2:AJ3305,1)=1),N(AL3304)+1,"")</f>
        <v/>
      </c>
      <c r="AL3305" s="54">
        <f>IF(AK3305&lt;&gt;"",AK3305,N(AL3304))</f>
        <v/>
      </c>
    </row>
    <row r="3306">
      <c r="A3306" t="inlineStr">
        <is>
          <t>PRD-1102</t>
        </is>
      </c>
      <c r="B3306" t="inlineStr">
        <is>
          <t>Production</t>
        </is>
      </c>
      <c r="AB3306" t="n">
        <v>1102</v>
      </c>
      <c r="AD3306" s="52">
        <f>IFERROR(N(IFERROR(INDEX($A3306:$AB3306,MATCH("Xero Invoiced Ex GST",$A$1:$AB$1,0)),"")),0)</f>
        <v/>
      </c>
      <c r="AE3306" s="53">
        <f>IFERROR(INDEX($A3306:$AB3306,MATCH("Xero Invoice Date",$A$1:$AB$1,0)),"")</f>
        <v/>
      </c>
      <c r="AF3306" s="54">
        <f>IF(AND(IFERROR(INDEX($A3306:$AB3306,MATCH("Xero Invoice No",$A$1:$AB$1,0)),"")&amp;""&lt;&gt;"",ISNUMBER(AE3306),AD3306&lt;&gt;0),1,0)</f>
        <v/>
      </c>
      <c r="AG3306" s="55">
        <f>IF(AF3306=1,EOMONTH(AE3306,0),"")</f>
        <v/>
      </c>
      <c r="AH3306" s="9">
        <f>IF(AF3306=1,UPPER(TRIM(IFERROR(INDEX($A3306:$AB3306,MATCH("Client",$A$1:$AB$1,0)),"")&amp;"")),"")</f>
        <v/>
      </c>
      <c r="AI3306" s="9">
        <f>IF(AF3306=1,IFERROR(INDEX($A3306:$AB3306,MATCH("Cost Centre",$A$1:$AB$1,0)),"")&amp;"","")</f>
        <v/>
      </c>
      <c r="AJ3306" s="54">
        <f>IF(AND(AF3306=1,AE3306&gt;=set_FYStart,AE3306&lt;=set_AsAt),1,0)</f>
        <v/>
      </c>
      <c r="AK3306" s="54">
        <f>IF(AND(AJ3306=1,AH3306&lt;&gt;"",COUNTIFS($AH$2:AH3306,AH3306,$AJ$2:AJ3306,1)=1),N(AL3305)+1,"")</f>
        <v/>
      </c>
      <c r="AL3306" s="54">
        <f>IF(AK3306&lt;&gt;"",AK3306,N(AL3305))</f>
        <v/>
      </c>
    </row>
    <row r="3307">
      <c r="A3307" t="inlineStr">
        <is>
          <t>CON-1102</t>
        </is>
      </c>
      <c r="B3307" t="inlineStr">
        <is>
          <t>Consulting</t>
        </is>
      </c>
      <c r="AB3307" t="n">
        <v>1102</v>
      </c>
      <c r="AD3307" s="52">
        <f>IFERROR(N(IFERROR(INDEX($A3307:$AB3307,MATCH("Xero Invoiced Ex GST",$A$1:$AB$1,0)),"")),0)</f>
        <v/>
      </c>
      <c r="AE3307" s="53">
        <f>IFERROR(INDEX($A3307:$AB3307,MATCH("Xero Invoice Date",$A$1:$AB$1,0)),"")</f>
        <v/>
      </c>
      <c r="AF3307" s="54">
        <f>IF(AND(IFERROR(INDEX($A3307:$AB3307,MATCH("Xero Invoice No",$A$1:$AB$1,0)),"")&amp;""&lt;&gt;"",ISNUMBER(AE3307),AD3307&lt;&gt;0),1,0)</f>
        <v/>
      </c>
      <c r="AG3307" s="55">
        <f>IF(AF3307=1,EOMONTH(AE3307,0),"")</f>
        <v/>
      </c>
      <c r="AH3307" s="9">
        <f>IF(AF3307=1,UPPER(TRIM(IFERROR(INDEX($A3307:$AB3307,MATCH("Client",$A$1:$AB$1,0)),"")&amp;"")),"")</f>
        <v/>
      </c>
      <c r="AI3307" s="9">
        <f>IF(AF3307=1,IFERROR(INDEX($A3307:$AB3307,MATCH("Cost Centre",$A$1:$AB$1,0)),"")&amp;"","")</f>
        <v/>
      </c>
      <c r="AJ3307" s="54">
        <f>IF(AND(AF3307=1,AE3307&gt;=set_FYStart,AE3307&lt;=set_AsAt),1,0)</f>
        <v/>
      </c>
      <c r="AK3307" s="54">
        <f>IF(AND(AJ3307=1,AH3307&lt;&gt;"",COUNTIFS($AH$2:AH3307,AH3307,$AJ$2:AJ3307,1)=1),N(AL3306)+1,"")</f>
        <v/>
      </c>
      <c r="AL3307" s="54">
        <f>IF(AK3307&lt;&gt;"",AK3307,N(AL3306))</f>
        <v/>
      </c>
    </row>
    <row r="3308">
      <c r="A3308" t="inlineStr">
        <is>
          <t>ONS-1103</t>
        </is>
      </c>
      <c r="B3308" t="inlineStr">
        <is>
          <t>Onsite</t>
        </is>
      </c>
      <c r="AB3308" t="n">
        <v>1103</v>
      </c>
      <c r="AD3308" s="52">
        <f>IFERROR(N(IFERROR(INDEX($A3308:$AB3308,MATCH("Xero Invoiced Ex GST",$A$1:$AB$1,0)),"")),0)</f>
        <v/>
      </c>
      <c r="AE3308" s="53">
        <f>IFERROR(INDEX($A3308:$AB3308,MATCH("Xero Invoice Date",$A$1:$AB$1,0)),"")</f>
        <v/>
      </c>
      <c r="AF3308" s="54">
        <f>IF(AND(IFERROR(INDEX($A3308:$AB3308,MATCH("Xero Invoice No",$A$1:$AB$1,0)),"")&amp;""&lt;&gt;"",ISNUMBER(AE3308),AD3308&lt;&gt;0),1,0)</f>
        <v/>
      </c>
      <c r="AG3308" s="55">
        <f>IF(AF3308=1,EOMONTH(AE3308,0),"")</f>
        <v/>
      </c>
      <c r="AH3308" s="9">
        <f>IF(AF3308=1,UPPER(TRIM(IFERROR(INDEX($A3308:$AB3308,MATCH("Client",$A$1:$AB$1,0)),"")&amp;"")),"")</f>
        <v/>
      </c>
      <c r="AI3308" s="9">
        <f>IF(AF3308=1,IFERROR(INDEX($A3308:$AB3308,MATCH("Cost Centre",$A$1:$AB$1,0)),"")&amp;"","")</f>
        <v/>
      </c>
      <c r="AJ3308" s="54">
        <f>IF(AND(AF3308=1,AE3308&gt;=set_FYStart,AE3308&lt;=set_AsAt),1,0)</f>
        <v/>
      </c>
      <c r="AK3308" s="54">
        <f>IF(AND(AJ3308=1,AH3308&lt;&gt;"",COUNTIFS($AH$2:AH3308,AH3308,$AJ$2:AJ3308,1)=1),N(AL3307)+1,"")</f>
        <v/>
      </c>
      <c r="AL3308" s="54">
        <f>IF(AK3308&lt;&gt;"",AK3308,N(AL3307))</f>
        <v/>
      </c>
    </row>
    <row r="3309">
      <c r="A3309" t="inlineStr">
        <is>
          <t>PRD-1103</t>
        </is>
      </c>
      <c r="B3309" t="inlineStr">
        <is>
          <t>Production</t>
        </is>
      </c>
      <c r="AB3309" t="n">
        <v>1103</v>
      </c>
      <c r="AD3309" s="52">
        <f>IFERROR(N(IFERROR(INDEX($A3309:$AB3309,MATCH("Xero Invoiced Ex GST",$A$1:$AB$1,0)),"")),0)</f>
        <v/>
      </c>
      <c r="AE3309" s="53">
        <f>IFERROR(INDEX($A3309:$AB3309,MATCH("Xero Invoice Date",$A$1:$AB$1,0)),"")</f>
        <v/>
      </c>
      <c r="AF3309" s="54">
        <f>IF(AND(IFERROR(INDEX($A3309:$AB3309,MATCH("Xero Invoice No",$A$1:$AB$1,0)),"")&amp;""&lt;&gt;"",ISNUMBER(AE3309),AD3309&lt;&gt;0),1,0)</f>
        <v/>
      </c>
      <c r="AG3309" s="55">
        <f>IF(AF3309=1,EOMONTH(AE3309,0),"")</f>
        <v/>
      </c>
      <c r="AH3309" s="9">
        <f>IF(AF3309=1,UPPER(TRIM(IFERROR(INDEX($A3309:$AB3309,MATCH("Client",$A$1:$AB$1,0)),"")&amp;"")),"")</f>
        <v/>
      </c>
      <c r="AI3309" s="9">
        <f>IF(AF3309=1,IFERROR(INDEX($A3309:$AB3309,MATCH("Cost Centre",$A$1:$AB$1,0)),"")&amp;"","")</f>
        <v/>
      </c>
      <c r="AJ3309" s="54">
        <f>IF(AND(AF3309=1,AE3309&gt;=set_FYStart,AE3309&lt;=set_AsAt),1,0)</f>
        <v/>
      </c>
      <c r="AK3309" s="54">
        <f>IF(AND(AJ3309=1,AH3309&lt;&gt;"",COUNTIFS($AH$2:AH3309,AH3309,$AJ$2:AJ3309,1)=1),N(AL3308)+1,"")</f>
        <v/>
      </c>
      <c r="AL3309" s="54">
        <f>IF(AK3309&lt;&gt;"",AK3309,N(AL3308))</f>
        <v/>
      </c>
    </row>
    <row r="3310">
      <c r="A3310" t="inlineStr">
        <is>
          <t>CON-1103</t>
        </is>
      </c>
      <c r="B3310" t="inlineStr">
        <is>
          <t>Consulting</t>
        </is>
      </c>
      <c r="AB3310" t="n">
        <v>1103</v>
      </c>
      <c r="AD3310" s="52">
        <f>IFERROR(N(IFERROR(INDEX($A3310:$AB3310,MATCH("Xero Invoiced Ex GST",$A$1:$AB$1,0)),"")),0)</f>
        <v/>
      </c>
      <c r="AE3310" s="53">
        <f>IFERROR(INDEX($A3310:$AB3310,MATCH("Xero Invoice Date",$A$1:$AB$1,0)),"")</f>
        <v/>
      </c>
      <c r="AF3310" s="54">
        <f>IF(AND(IFERROR(INDEX($A3310:$AB3310,MATCH("Xero Invoice No",$A$1:$AB$1,0)),"")&amp;""&lt;&gt;"",ISNUMBER(AE3310),AD3310&lt;&gt;0),1,0)</f>
        <v/>
      </c>
      <c r="AG3310" s="55">
        <f>IF(AF3310=1,EOMONTH(AE3310,0),"")</f>
        <v/>
      </c>
      <c r="AH3310" s="9">
        <f>IF(AF3310=1,UPPER(TRIM(IFERROR(INDEX($A3310:$AB3310,MATCH("Client",$A$1:$AB$1,0)),"")&amp;"")),"")</f>
        <v/>
      </c>
      <c r="AI3310" s="9">
        <f>IF(AF3310=1,IFERROR(INDEX($A3310:$AB3310,MATCH("Cost Centre",$A$1:$AB$1,0)),"")&amp;"","")</f>
        <v/>
      </c>
      <c r="AJ3310" s="54">
        <f>IF(AND(AF3310=1,AE3310&gt;=set_FYStart,AE3310&lt;=set_AsAt),1,0)</f>
        <v/>
      </c>
      <c r="AK3310" s="54">
        <f>IF(AND(AJ3310=1,AH3310&lt;&gt;"",COUNTIFS($AH$2:AH3310,AH3310,$AJ$2:AJ3310,1)=1),N(AL3309)+1,"")</f>
        <v/>
      </c>
      <c r="AL3310" s="54">
        <f>IF(AK3310&lt;&gt;"",AK3310,N(AL3309))</f>
        <v/>
      </c>
    </row>
    <row r="3311">
      <c r="A3311" t="inlineStr">
        <is>
          <t>ONS-1104</t>
        </is>
      </c>
      <c r="B3311" t="inlineStr">
        <is>
          <t>Onsite</t>
        </is>
      </c>
      <c r="AB3311" t="n">
        <v>1104</v>
      </c>
      <c r="AD3311" s="52">
        <f>IFERROR(N(IFERROR(INDEX($A3311:$AB3311,MATCH("Xero Invoiced Ex GST",$A$1:$AB$1,0)),"")),0)</f>
        <v/>
      </c>
      <c r="AE3311" s="53">
        <f>IFERROR(INDEX($A3311:$AB3311,MATCH("Xero Invoice Date",$A$1:$AB$1,0)),"")</f>
        <v/>
      </c>
      <c r="AF3311" s="54">
        <f>IF(AND(IFERROR(INDEX($A3311:$AB3311,MATCH("Xero Invoice No",$A$1:$AB$1,0)),"")&amp;""&lt;&gt;"",ISNUMBER(AE3311),AD3311&lt;&gt;0),1,0)</f>
        <v/>
      </c>
      <c r="AG3311" s="55">
        <f>IF(AF3311=1,EOMONTH(AE3311,0),"")</f>
        <v/>
      </c>
      <c r="AH3311" s="9">
        <f>IF(AF3311=1,UPPER(TRIM(IFERROR(INDEX($A3311:$AB3311,MATCH("Client",$A$1:$AB$1,0)),"")&amp;"")),"")</f>
        <v/>
      </c>
      <c r="AI3311" s="9">
        <f>IF(AF3311=1,IFERROR(INDEX($A3311:$AB3311,MATCH("Cost Centre",$A$1:$AB$1,0)),"")&amp;"","")</f>
        <v/>
      </c>
      <c r="AJ3311" s="54">
        <f>IF(AND(AF3311=1,AE3311&gt;=set_FYStart,AE3311&lt;=set_AsAt),1,0)</f>
        <v/>
      </c>
      <c r="AK3311" s="54">
        <f>IF(AND(AJ3311=1,AH3311&lt;&gt;"",COUNTIFS($AH$2:AH3311,AH3311,$AJ$2:AJ3311,1)=1),N(AL3310)+1,"")</f>
        <v/>
      </c>
      <c r="AL3311" s="54">
        <f>IF(AK3311&lt;&gt;"",AK3311,N(AL3310))</f>
        <v/>
      </c>
    </row>
    <row r="3312">
      <c r="A3312" t="inlineStr">
        <is>
          <t>PRD-1104</t>
        </is>
      </c>
      <c r="B3312" t="inlineStr">
        <is>
          <t>Production</t>
        </is>
      </c>
      <c r="AB3312" t="n">
        <v>1104</v>
      </c>
      <c r="AD3312" s="52">
        <f>IFERROR(N(IFERROR(INDEX($A3312:$AB3312,MATCH("Xero Invoiced Ex GST",$A$1:$AB$1,0)),"")),0)</f>
        <v/>
      </c>
      <c r="AE3312" s="53">
        <f>IFERROR(INDEX($A3312:$AB3312,MATCH("Xero Invoice Date",$A$1:$AB$1,0)),"")</f>
        <v/>
      </c>
      <c r="AF3312" s="54">
        <f>IF(AND(IFERROR(INDEX($A3312:$AB3312,MATCH("Xero Invoice No",$A$1:$AB$1,0)),"")&amp;""&lt;&gt;"",ISNUMBER(AE3312),AD3312&lt;&gt;0),1,0)</f>
        <v/>
      </c>
      <c r="AG3312" s="55">
        <f>IF(AF3312=1,EOMONTH(AE3312,0),"")</f>
        <v/>
      </c>
      <c r="AH3312" s="9">
        <f>IF(AF3312=1,UPPER(TRIM(IFERROR(INDEX($A3312:$AB3312,MATCH("Client",$A$1:$AB$1,0)),"")&amp;"")),"")</f>
        <v/>
      </c>
      <c r="AI3312" s="9">
        <f>IF(AF3312=1,IFERROR(INDEX($A3312:$AB3312,MATCH("Cost Centre",$A$1:$AB$1,0)),"")&amp;"","")</f>
        <v/>
      </c>
      <c r="AJ3312" s="54">
        <f>IF(AND(AF3312=1,AE3312&gt;=set_FYStart,AE3312&lt;=set_AsAt),1,0)</f>
        <v/>
      </c>
      <c r="AK3312" s="54">
        <f>IF(AND(AJ3312=1,AH3312&lt;&gt;"",COUNTIFS($AH$2:AH3312,AH3312,$AJ$2:AJ3312,1)=1),N(AL3311)+1,"")</f>
        <v/>
      </c>
      <c r="AL3312" s="54">
        <f>IF(AK3312&lt;&gt;"",AK3312,N(AL3311))</f>
        <v/>
      </c>
    </row>
    <row r="3313">
      <c r="A3313" t="inlineStr">
        <is>
          <t>CON-1104</t>
        </is>
      </c>
      <c r="B3313" t="inlineStr">
        <is>
          <t>Consulting</t>
        </is>
      </c>
      <c r="AB3313" t="n">
        <v>1104</v>
      </c>
      <c r="AD3313" s="52">
        <f>IFERROR(N(IFERROR(INDEX($A3313:$AB3313,MATCH("Xero Invoiced Ex GST",$A$1:$AB$1,0)),"")),0)</f>
        <v/>
      </c>
      <c r="AE3313" s="53">
        <f>IFERROR(INDEX($A3313:$AB3313,MATCH("Xero Invoice Date",$A$1:$AB$1,0)),"")</f>
        <v/>
      </c>
      <c r="AF3313" s="54">
        <f>IF(AND(IFERROR(INDEX($A3313:$AB3313,MATCH("Xero Invoice No",$A$1:$AB$1,0)),"")&amp;""&lt;&gt;"",ISNUMBER(AE3313),AD3313&lt;&gt;0),1,0)</f>
        <v/>
      </c>
      <c r="AG3313" s="55">
        <f>IF(AF3313=1,EOMONTH(AE3313,0),"")</f>
        <v/>
      </c>
      <c r="AH3313" s="9">
        <f>IF(AF3313=1,UPPER(TRIM(IFERROR(INDEX($A3313:$AB3313,MATCH("Client",$A$1:$AB$1,0)),"")&amp;"")),"")</f>
        <v/>
      </c>
      <c r="AI3313" s="9">
        <f>IF(AF3313=1,IFERROR(INDEX($A3313:$AB3313,MATCH("Cost Centre",$A$1:$AB$1,0)),"")&amp;"","")</f>
        <v/>
      </c>
      <c r="AJ3313" s="54">
        <f>IF(AND(AF3313=1,AE3313&gt;=set_FYStart,AE3313&lt;=set_AsAt),1,0)</f>
        <v/>
      </c>
      <c r="AK3313" s="54">
        <f>IF(AND(AJ3313=1,AH3313&lt;&gt;"",COUNTIFS($AH$2:AH3313,AH3313,$AJ$2:AJ3313,1)=1),N(AL3312)+1,"")</f>
        <v/>
      </c>
      <c r="AL3313" s="54">
        <f>IF(AK3313&lt;&gt;"",AK3313,N(AL3312))</f>
        <v/>
      </c>
    </row>
    <row r="3314">
      <c r="A3314" t="inlineStr">
        <is>
          <t>ONS-1105</t>
        </is>
      </c>
      <c r="B3314" t="inlineStr">
        <is>
          <t>Onsite</t>
        </is>
      </c>
      <c r="AB3314" t="n">
        <v>1105</v>
      </c>
      <c r="AD3314" s="52">
        <f>IFERROR(N(IFERROR(INDEX($A3314:$AB3314,MATCH("Xero Invoiced Ex GST",$A$1:$AB$1,0)),"")),0)</f>
        <v/>
      </c>
      <c r="AE3314" s="53">
        <f>IFERROR(INDEX($A3314:$AB3314,MATCH("Xero Invoice Date",$A$1:$AB$1,0)),"")</f>
        <v/>
      </c>
      <c r="AF3314" s="54">
        <f>IF(AND(IFERROR(INDEX($A3314:$AB3314,MATCH("Xero Invoice No",$A$1:$AB$1,0)),"")&amp;""&lt;&gt;"",ISNUMBER(AE3314),AD3314&lt;&gt;0),1,0)</f>
        <v/>
      </c>
      <c r="AG3314" s="55">
        <f>IF(AF3314=1,EOMONTH(AE3314,0),"")</f>
        <v/>
      </c>
      <c r="AH3314" s="9">
        <f>IF(AF3314=1,UPPER(TRIM(IFERROR(INDEX($A3314:$AB3314,MATCH("Client",$A$1:$AB$1,0)),"")&amp;"")),"")</f>
        <v/>
      </c>
      <c r="AI3314" s="9">
        <f>IF(AF3314=1,IFERROR(INDEX($A3314:$AB3314,MATCH("Cost Centre",$A$1:$AB$1,0)),"")&amp;"","")</f>
        <v/>
      </c>
      <c r="AJ3314" s="54">
        <f>IF(AND(AF3314=1,AE3314&gt;=set_FYStart,AE3314&lt;=set_AsAt),1,0)</f>
        <v/>
      </c>
      <c r="AK3314" s="54">
        <f>IF(AND(AJ3314=1,AH3314&lt;&gt;"",COUNTIFS($AH$2:AH3314,AH3314,$AJ$2:AJ3314,1)=1),N(AL3313)+1,"")</f>
        <v/>
      </c>
      <c r="AL3314" s="54">
        <f>IF(AK3314&lt;&gt;"",AK3314,N(AL3313))</f>
        <v/>
      </c>
    </row>
    <row r="3315">
      <c r="A3315" t="inlineStr">
        <is>
          <t>PRD-1105</t>
        </is>
      </c>
      <c r="B3315" t="inlineStr">
        <is>
          <t>Production</t>
        </is>
      </c>
      <c r="AB3315" t="n">
        <v>1105</v>
      </c>
      <c r="AD3315" s="52">
        <f>IFERROR(N(IFERROR(INDEX($A3315:$AB3315,MATCH("Xero Invoiced Ex GST",$A$1:$AB$1,0)),"")),0)</f>
        <v/>
      </c>
      <c r="AE3315" s="53">
        <f>IFERROR(INDEX($A3315:$AB3315,MATCH("Xero Invoice Date",$A$1:$AB$1,0)),"")</f>
        <v/>
      </c>
      <c r="AF3315" s="54">
        <f>IF(AND(IFERROR(INDEX($A3315:$AB3315,MATCH("Xero Invoice No",$A$1:$AB$1,0)),"")&amp;""&lt;&gt;"",ISNUMBER(AE3315),AD3315&lt;&gt;0),1,0)</f>
        <v/>
      </c>
      <c r="AG3315" s="55">
        <f>IF(AF3315=1,EOMONTH(AE3315,0),"")</f>
        <v/>
      </c>
      <c r="AH3315" s="9">
        <f>IF(AF3315=1,UPPER(TRIM(IFERROR(INDEX($A3315:$AB3315,MATCH("Client",$A$1:$AB$1,0)),"")&amp;"")),"")</f>
        <v/>
      </c>
      <c r="AI3315" s="9">
        <f>IF(AF3315=1,IFERROR(INDEX($A3315:$AB3315,MATCH("Cost Centre",$A$1:$AB$1,0)),"")&amp;"","")</f>
        <v/>
      </c>
      <c r="AJ3315" s="54">
        <f>IF(AND(AF3315=1,AE3315&gt;=set_FYStart,AE3315&lt;=set_AsAt),1,0)</f>
        <v/>
      </c>
      <c r="AK3315" s="54">
        <f>IF(AND(AJ3315=1,AH3315&lt;&gt;"",COUNTIFS($AH$2:AH3315,AH3315,$AJ$2:AJ3315,1)=1),N(AL3314)+1,"")</f>
        <v/>
      </c>
      <c r="AL3315" s="54">
        <f>IF(AK3315&lt;&gt;"",AK3315,N(AL3314))</f>
        <v/>
      </c>
    </row>
    <row r="3316">
      <c r="A3316" t="inlineStr">
        <is>
          <t>CON-1105</t>
        </is>
      </c>
      <c r="B3316" t="inlineStr">
        <is>
          <t>Consulting</t>
        </is>
      </c>
      <c r="AB3316" t="n">
        <v>1105</v>
      </c>
      <c r="AD3316" s="52">
        <f>IFERROR(N(IFERROR(INDEX($A3316:$AB3316,MATCH("Xero Invoiced Ex GST",$A$1:$AB$1,0)),"")),0)</f>
        <v/>
      </c>
      <c r="AE3316" s="53">
        <f>IFERROR(INDEX($A3316:$AB3316,MATCH("Xero Invoice Date",$A$1:$AB$1,0)),"")</f>
        <v/>
      </c>
      <c r="AF3316" s="54">
        <f>IF(AND(IFERROR(INDEX($A3316:$AB3316,MATCH("Xero Invoice No",$A$1:$AB$1,0)),"")&amp;""&lt;&gt;"",ISNUMBER(AE3316),AD3316&lt;&gt;0),1,0)</f>
        <v/>
      </c>
      <c r="AG3316" s="55">
        <f>IF(AF3316=1,EOMONTH(AE3316,0),"")</f>
        <v/>
      </c>
      <c r="AH3316" s="9">
        <f>IF(AF3316=1,UPPER(TRIM(IFERROR(INDEX($A3316:$AB3316,MATCH("Client",$A$1:$AB$1,0)),"")&amp;"")),"")</f>
        <v/>
      </c>
      <c r="AI3316" s="9">
        <f>IF(AF3316=1,IFERROR(INDEX($A3316:$AB3316,MATCH("Cost Centre",$A$1:$AB$1,0)),"")&amp;"","")</f>
        <v/>
      </c>
      <c r="AJ3316" s="54">
        <f>IF(AND(AF3316=1,AE3316&gt;=set_FYStart,AE3316&lt;=set_AsAt),1,0)</f>
        <v/>
      </c>
      <c r="AK3316" s="54">
        <f>IF(AND(AJ3316=1,AH3316&lt;&gt;"",COUNTIFS($AH$2:AH3316,AH3316,$AJ$2:AJ3316,1)=1),N(AL3315)+1,"")</f>
        <v/>
      </c>
      <c r="AL3316" s="54">
        <f>IF(AK3316&lt;&gt;"",AK3316,N(AL3315))</f>
        <v/>
      </c>
    </row>
    <row r="3317">
      <c r="A3317" t="inlineStr">
        <is>
          <t>ONS-1106</t>
        </is>
      </c>
      <c r="B3317" t="inlineStr">
        <is>
          <t>Onsite</t>
        </is>
      </c>
      <c r="AB3317" t="n">
        <v>1106</v>
      </c>
      <c r="AD3317" s="52">
        <f>IFERROR(N(IFERROR(INDEX($A3317:$AB3317,MATCH("Xero Invoiced Ex GST",$A$1:$AB$1,0)),"")),0)</f>
        <v/>
      </c>
      <c r="AE3317" s="53">
        <f>IFERROR(INDEX($A3317:$AB3317,MATCH("Xero Invoice Date",$A$1:$AB$1,0)),"")</f>
        <v/>
      </c>
      <c r="AF3317" s="54">
        <f>IF(AND(IFERROR(INDEX($A3317:$AB3317,MATCH("Xero Invoice No",$A$1:$AB$1,0)),"")&amp;""&lt;&gt;"",ISNUMBER(AE3317),AD3317&lt;&gt;0),1,0)</f>
        <v/>
      </c>
      <c r="AG3317" s="55">
        <f>IF(AF3317=1,EOMONTH(AE3317,0),"")</f>
        <v/>
      </c>
      <c r="AH3317" s="9">
        <f>IF(AF3317=1,UPPER(TRIM(IFERROR(INDEX($A3317:$AB3317,MATCH("Client",$A$1:$AB$1,0)),"")&amp;"")),"")</f>
        <v/>
      </c>
      <c r="AI3317" s="9">
        <f>IF(AF3317=1,IFERROR(INDEX($A3317:$AB3317,MATCH("Cost Centre",$A$1:$AB$1,0)),"")&amp;"","")</f>
        <v/>
      </c>
      <c r="AJ3317" s="54">
        <f>IF(AND(AF3317=1,AE3317&gt;=set_FYStart,AE3317&lt;=set_AsAt),1,0)</f>
        <v/>
      </c>
      <c r="AK3317" s="54">
        <f>IF(AND(AJ3317=1,AH3317&lt;&gt;"",COUNTIFS($AH$2:AH3317,AH3317,$AJ$2:AJ3317,1)=1),N(AL3316)+1,"")</f>
        <v/>
      </c>
      <c r="AL3317" s="54">
        <f>IF(AK3317&lt;&gt;"",AK3317,N(AL3316))</f>
        <v/>
      </c>
    </row>
    <row r="3318">
      <c r="A3318" t="inlineStr">
        <is>
          <t>PRD-1106</t>
        </is>
      </c>
      <c r="B3318" t="inlineStr">
        <is>
          <t>Production</t>
        </is>
      </c>
      <c r="AB3318" t="n">
        <v>1106</v>
      </c>
      <c r="AD3318" s="52">
        <f>IFERROR(N(IFERROR(INDEX($A3318:$AB3318,MATCH("Xero Invoiced Ex GST",$A$1:$AB$1,0)),"")),0)</f>
        <v/>
      </c>
      <c r="AE3318" s="53">
        <f>IFERROR(INDEX($A3318:$AB3318,MATCH("Xero Invoice Date",$A$1:$AB$1,0)),"")</f>
        <v/>
      </c>
      <c r="AF3318" s="54">
        <f>IF(AND(IFERROR(INDEX($A3318:$AB3318,MATCH("Xero Invoice No",$A$1:$AB$1,0)),"")&amp;""&lt;&gt;"",ISNUMBER(AE3318),AD3318&lt;&gt;0),1,0)</f>
        <v/>
      </c>
      <c r="AG3318" s="55">
        <f>IF(AF3318=1,EOMONTH(AE3318,0),"")</f>
        <v/>
      </c>
      <c r="AH3318" s="9">
        <f>IF(AF3318=1,UPPER(TRIM(IFERROR(INDEX($A3318:$AB3318,MATCH("Client",$A$1:$AB$1,0)),"")&amp;"")),"")</f>
        <v/>
      </c>
      <c r="AI3318" s="9">
        <f>IF(AF3318=1,IFERROR(INDEX($A3318:$AB3318,MATCH("Cost Centre",$A$1:$AB$1,0)),"")&amp;"","")</f>
        <v/>
      </c>
      <c r="AJ3318" s="54">
        <f>IF(AND(AF3318=1,AE3318&gt;=set_FYStart,AE3318&lt;=set_AsAt),1,0)</f>
        <v/>
      </c>
      <c r="AK3318" s="54">
        <f>IF(AND(AJ3318=1,AH3318&lt;&gt;"",COUNTIFS($AH$2:AH3318,AH3318,$AJ$2:AJ3318,1)=1),N(AL3317)+1,"")</f>
        <v/>
      </c>
      <c r="AL3318" s="54">
        <f>IF(AK3318&lt;&gt;"",AK3318,N(AL3317))</f>
        <v/>
      </c>
    </row>
    <row r="3319">
      <c r="A3319" t="inlineStr">
        <is>
          <t>CON-1106</t>
        </is>
      </c>
      <c r="B3319" t="inlineStr">
        <is>
          <t>Consulting</t>
        </is>
      </c>
      <c r="AB3319" t="n">
        <v>1106</v>
      </c>
      <c r="AD3319" s="52">
        <f>IFERROR(N(IFERROR(INDEX($A3319:$AB3319,MATCH("Xero Invoiced Ex GST",$A$1:$AB$1,0)),"")),0)</f>
        <v/>
      </c>
      <c r="AE3319" s="53">
        <f>IFERROR(INDEX($A3319:$AB3319,MATCH("Xero Invoice Date",$A$1:$AB$1,0)),"")</f>
        <v/>
      </c>
      <c r="AF3319" s="54">
        <f>IF(AND(IFERROR(INDEX($A3319:$AB3319,MATCH("Xero Invoice No",$A$1:$AB$1,0)),"")&amp;""&lt;&gt;"",ISNUMBER(AE3319),AD3319&lt;&gt;0),1,0)</f>
        <v/>
      </c>
      <c r="AG3319" s="55">
        <f>IF(AF3319=1,EOMONTH(AE3319,0),"")</f>
        <v/>
      </c>
      <c r="AH3319" s="9">
        <f>IF(AF3319=1,UPPER(TRIM(IFERROR(INDEX($A3319:$AB3319,MATCH("Client",$A$1:$AB$1,0)),"")&amp;"")),"")</f>
        <v/>
      </c>
      <c r="AI3319" s="9">
        <f>IF(AF3319=1,IFERROR(INDEX($A3319:$AB3319,MATCH("Cost Centre",$A$1:$AB$1,0)),"")&amp;"","")</f>
        <v/>
      </c>
      <c r="AJ3319" s="54">
        <f>IF(AND(AF3319=1,AE3319&gt;=set_FYStart,AE3319&lt;=set_AsAt),1,0)</f>
        <v/>
      </c>
      <c r="AK3319" s="54">
        <f>IF(AND(AJ3319=1,AH3319&lt;&gt;"",COUNTIFS($AH$2:AH3319,AH3319,$AJ$2:AJ3319,1)=1),N(AL3318)+1,"")</f>
        <v/>
      </c>
      <c r="AL3319" s="54">
        <f>IF(AK3319&lt;&gt;"",AK3319,N(AL3318))</f>
        <v/>
      </c>
    </row>
    <row r="3320">
      <c r="A3320" t="inlineStr">
        <is>
          <t>ONS-1107</t>
        </is>
      </c>
      <c r="B3320" t="inlineStr">
        <is>
          <t>Onsite</t>
        </is>
      </c>
      <c r="AB3320" t="n">
        <v>1107</v>
      </c>
      <c r="AD3320" s="52">
        <f>IFERROR(N(IFERROR(INDEX($A3320:$AB3320,MATCH("Xero Invoiced Ex GST",$A$1:$AB$1,0)),"")),0)</f>
        <v/>
      </c>
      <c r="AE3320" s="53">
        <f>IFERROR(INDEX($A3320:$AB3320,MATCH("Xero Invoice Date",$A$1:$AB$1,0)),"")</f>
        <v/>
      </c>
      <c r="AF3320" s="54">
        <f>IF(AND(IFERROR(INDEX($A3320:$AB3320,MATCH("Xero Invoice No",$A$1:$AB$1,0)),"")&amp;""&lt;&gt;"",ISNUMBER(AE3320),AD3320&lt;&gt;0),1,0)</f>
        <v/>
      </c>
      <c r="AG3320" s="55">
        <f>IF(AF3320=1,EOMONTH(AE3320,0),"")</f>
        <v/>
      </c>
      <c r="AH3320" s="9">
        <f>IF(AF3320=1,UPPER(TRIM(IFERROR(INDEX($A3320:$AB3320,MATCH("Client",$A$1:$AB$1,0)),"")&amp;"")),"")</f>
        <v/>
      </c>
      <c r="AI3320" s="9">
        <f>IF(AF3320=1,IFERROR(INDEX($A3320:$AB3320,MATCH("Cost Centre",$A$1:$AB$1,0)),"")&amp;"","")</f>
        <v/>
      </c>
      <c r="AJ3320" s="54">
        <f>IF(AND(AF3320=1,AE3320&gt;=set_FYStart,AE3320&lt;=set_AsAt),1,0)</f>
        <v/>
      </c>
      <c r="AK3320" s="54">
        <f>IF(AND(AJ3320=1,AH3320&lt;&gt;"",COUNTIFS($AH$2:AH3320,AH3320,$AJ$2:AJ3320,1)=1),N(AL3319)+1,"")</f>
        <v/>
      </c>
      <c r="AL3320" s="54">
        <f>IF(AK3320&lt;&gt;"",AK3320,N(AL3319))</f>
        <v/>
      </c>
    </row>
    <row r="3321">
      <c r="A3321" t="inlineStr">
        <is>
          <t>PRD-1107</t>
        </is>
      </c>
      <c r="B3321" t="inlineStr">
        <is>
          <t>Production</t>
        </is>
      </c>
      <c r="AB3321" t="n">
        <v>1107</v>
      </c>
      <c r="AD3321" s="52">
        <f>IFERROR(N(IFERROR(INDEX($A3321:$AB3321,MATCH("Xero Invoiced Ex GST",$A$1:$AB$1,0)),"")),0)</f>
        <v/>
      </c>
      <c r="AE3321" s="53">
        <f>IFERROR(INDEX($A3321:$AB3321,MATCH("Xero Invoice Date",$A$1:$AB$1,0)),"")</f>
        <v/>
      </c>
      <c r="AF3321" s="54">
        <f>IF(AND(IFERROR(INDEX($A3321:$AB3321,MATCH("Xero Invoice No",$A$1:$AB$1,0)),"")&amp;""&lt;&gt;"",ISNUMBER(AE3321),AD3321&lt;&gt;0),1,0)</f>
        <v/>
      </c>
      <c r="AG3321" s="55">
        <f>IF(AF3321=1,EOMONTH(AE3321,0),"")</f>
        <v/>
      </c>
      <c r="AH3321" s="9">
        <f>IF(AF3321=1,UPPER(TRIM(IFERROR(INDEX($A3321:$AB3321,MATCH("Client",$A$1:$AB$1,0)),"")&amp;"")),"")</f>
        <v/>
      </c>
      <c r="AI3321" s="9">
        <f>IF(AF3321=1,IFERROR(INDEX($A3321:$AB3321,MATCH("Cost Centre",$A$1:$AB$1,0)),"")&amp;"","")</f>
        <v/>
      </c>
      <c r="AJ3321" s="54">
        <f>IF(AND(AF3321=1,AE3321&gt;=set_FYStart,AE3321&lt;=set_AsAt),1,0)</f>
        <v/>
      </c>
      <c r="AK3321" s="54">
        <f>IF(AND(AJ3321=1,AH3321&lt;&gt;"",COUNTIFS($AH$2:AH3321,AH3321,$AJ$2:AJ3321,1)=1),N(AL3320)+1,"")</f>
        <v/>
      </c>
      <c r="AL3321" s="54">
        <f>IF(AK3321&lt;&gt;"",AK3321,N(AL3320))</f>
        <v/>
      </c>
    </row>
    <row r="3322">
      <c r="A3322" t="inlineStr">
        <is>
          <t>CON-1107</t>
        </is>
      </c>
      <c r="B3322" t="inlineStr">
        <is>
          <t>Consulting</t>
        </is>
      </c>
      <c r="AB3322" t="n">
        <v>1107</v>
      </c>
      <c r="AD3322" s="52">
        <f>IFERROR(N(IFERROR(INDEX($A3322:$AB3322,MATCH("Xero Invoiced Ex GST",$A$1:$AB$1,0)),"")),0)</f>
        <v/>
      </c>
      <c r="AE3322" s="53">
        <f>IFERROR(INDEX($A3322:$AB3322,MATCH("Xero Invoice Date",$A$1:$AB$1,0)),"")</f>
        <v/>
      </c>
      <c r="AF3322" s="54">
        <f>IF(AND(IFERROR(INDEX($A3322:$AB3322,MATCH("Xero Invoice No",$A$1:$AB$1,0)),"")&amp;""&lt;&gt;"",ISNUMBER(AE3322),AD3322&lt;&gt;0),1,0)</f>
        <v/>
      </c>
      <c r="AG3322" s="55">
        <f>IF(AF3322=1,EOMONTH(AE3322,0),"")</f>
        <v/>
      </c>
      <c r="AH3322" s="9">
        <f>IF(AF3322=1,UPPER(TRIM(IFERROR(INDEX($A3322:$AB3322,MATCH("Client",$A$1:$AB$1,0)),"")&amp;"")),"")</f>
        <v/>
      </c>
      <c r="AI3322" s="9">
        <f>IF(AF3322=1,IFERROR(INDEX($A3322:$AB3322,MATCH("Cost Centre",$A$1:$AB$1,0)),"")&amp;"","")</f>
        <v/>
      </c>
      <c r="AJ3322" s="54">
        <f>IF(AND(AF3322=1,AE3322&gt;=set_FYStart,AE3322&lt;=set_AsAt),1,0)</f>
        <v/>
      </c>
      <c r="AK3322" s="54">
        <f>IF(AND(AJ3322=1,AH3322&lt;&gt;"",COUNTIFS($AH$2:AH3322,AH3322,$AJ$2:AJ3322,1)=1),N(AL3321)+1,"")</f>
        <v/>
      </c>
      <c r="AL3322" s="54">
        <f>IF(AK3322&lt;&gt;"",AK3322,N(AL3321))</f>
        <v/>
      </c>
    </row>
    <row r="3323">
      <c r="A3323" t="inlineStr">
        <is>
          <t>ONS-1108</t>
        </is>
      </c>
      <c r="B3323" t="inlineStr">
        <is>
          <t>Onsite</t>
        </is>
      </c>
      <c r="AB3323" t="n">
        <v>1108</v>
      </c>
      <c r="AD3323" s="52">
        <f>IFERROR(N(IFERROR(INDEX($A3323:$AB3323,MATCH("Xero Invoiced Ex GST",$A$1:$AB$1,0)),"")),0)</f>
        <v/>
      </c>
      <c r="AE3323" s="53">
        <f>IFERROR(INDEX($A3323:$AB3323,MATCH("Xero Invoice Date",$A$1:$AB$1,0)),"")</f>
        <v/>
      </c>
      <c r="AF3323" s="54">
        <f>IF(AND(IFERROR(INDEX($A3323:$AB3323,MATCH("Xero Invoice No",$A$1:$AB$1,0)),"")&amp;""&lt;&gt;"",ISNUMBER(AE3323),AD3323&lt;&gt;0),1,0)</f>
        <v/>
      </c>
      <c r="AG3323" s="55">
        <f>IF(AF3323=1,EOMONTH(AE3323,0),"")</f>
        <v/>
      </c>
      <c r="AH3323" s="9">
        <f>IF(AF3323=1,UPPER(TRIM(IFERROR(INDEX($A3323:$AB3323,MATCH("Client",$A$1:$AB$1,0)),"")&amp;"")),"")</f>
        <v/>
      </c>
      <c r="AI3323" s="9">
        <f>IF(AF3323=1,IFERROR(INDEX($A3323:$AB3323,MATCH("Cost Centre",$A$1:$AB$1,0)),"")&amp;"","")</f>
        <v/>
      </c>
      <c r="AJ3323" s="54">
        <f>IF(AND(AF3323=1,AE3323&gt;=set_FYStart,AE3323&lt;=set_AsAt),1,0)</f>
        <v/>
      </c>
      <c r="AK3323" s="54">
        <f>IF(AND(AJ3323=1,AH3323&lt;&gt;"",COUNTIFS($AH$2:AH3323,AH3323,$AJ$2:AJ3323,1)=1),N(AL3322)+1,"")</f>
        <v/>
      </c>
      <c r="AL3323" s="54">
        <f>IF(AK3323&lt;&gt;"",AK3323,N(AL3322))</f>
        <v/>
      </c>
    </row>
    <row r="3324">
      <c r="A3324" t="inlineStr">
        <is>
          <t>PRD-1108</t>
        </is>
      </c>
      <c r="B3324" t="inlineStr">
        <is>
          <t>Production</t>
        </is>
      </c>
      <c r="AB3324" t="n">
        <v>1108</v>
      </c>
      <c r="AD3324" s="52">
        <f>IFERROR(N(IFERROR(INDEX($A3324:$AB3324,MATCH("Xero Invoiced Ex GST",$A$1:$AB$1,0)),"")),0)</f>
        <v/>
      </c>
      <c r="AE3324" s="53">
        <f>IFERROR(INDEX($A3324:$AB3324,MATCH("Xero Invoice Date",$A$1:$AB$1,0)),"")</f>
        <v/>
      </c>
      <c r="AF3324" s="54">
        <f>IF(AND(IFERROR(INDEX($A3324:$AB3324,MATCH("Xero Invoice No",$A$1:$AB$1,0)),"")&amp;""&lt;&gt;"",ISNUMBER(AE3324),AD3324&lt;&gt;0),1,0)</f>
        <v/>
      </c>
      <c r="AG3324" s="55">
        <f>IF(AF3324=1,EOMONTH(AE3324,0),"")</f>
        <v/>
      </c>
      <c r="AH3324" s="9">
        <f>IF(AF3324=1,UPPER(TRIM(IFERROR(INDEX($A3324:$AB3324,MATCH("Client",$A$1:$AB$1,0)),"")&amp;"")),"")</f>
        <v/>
      </c>
      <c r="AI3324" s="9">
        <f>IF(AF3324=1,IFERROR(INDEX($A3324:$AB3324,MATCH("Cost Centre",$A$1:$AB$1,0)),"")&amp;"","")</f>
        <v/>
      </c>
      <c r="AJ3324" s="54">
        <f>IF(AND(AF3324=1,AE3324&gt;=set_FYStart,AE3324&lt;=set_AsAt),1,0)</f>
        <v/>
      </c>
      <c r="AK3324" s="54">
        <f>IF(AND(AJ3324=1,AH3324&lt;&gt;"",COUNTIFS($AH$2:AH3324,AH3324,$AJ$2:AJ3324,1)=1),N(AL3323)+1,"")</f>
        <v/>
      </c>
      <c r="AL3324" s="54">
        <f>IF(AK3324&lt;&gt;"",AK3324,N(AL3323))</f>
        <v/>
      </c>
    </row>
    <row r="3325">
      <c r="A3325" t="inlineStr">
        <is>
          <t>CON-1108</t>
        </is>
      </c>
      <c r="B3325" t="inlineStr">
        <is>
          <t>Consulting</t>
        </is>
      </c>
      <c r="AB3325" t="n">
        <v>1108</v>
      </c>
      <c r="AD3325" s="52">
        <f>IFERROR(N(IFERROR(INDEX($A3325:$AB3325,MATCH("Xero Invoiced Ex GST",$A$1:$AB$1,0)),"")),0)</f>
        <v/>
      </c>
      <c r="AE3325" s="53">
        <f>IFERROR(INDEX($A3325:$AB3325,MATCH("Xero Invoice Date",$A$1:$AB$1,0)),"")</f>
        <v/>
      </c>
      <c r="AF3325" s="54">
        <f>IF(AND(IFERROR(INDEX($A3325:$AB3325,MATCH("Xero Invoice No",$A$1:$AB$1,0)),"")&amp;""&lt;&gt;"",ISNUMBER(AE3325),AD3325&lt;&gt;0),1,0)</f>
        <v/>
      </c>
      <c r="AG3325" s="55">
        <f>IF(AF3325=1,EOMONTH(AE3325,0),"")</f>
        <v/>
      </c>
      <c r="AH3325" s="9">
        <f>IF(AF3325=1,UPPER(TRIM(IFERROR(INDEX($A3325:$AB3325,MATCH("Client",$A$1:$AB$1,0)),"")&amp;"")),"")</f>
        <v/>
      </c>
      <c r="AI3325" s="9">
        <f>IF(AF3325=1,IFERROR(INDEX($A3325:$AB3325,MATCH("Cost Centre",$A$1:$AB$1,0)),"")&amp;"","")</f>
        <v/>
      </c>
      <c r="AJ3325" s="54">
        <f>IF(AND(AF3325=1,AE3325&gt;=set_FYStart,AE3325&lt;=set_AsAt),1,0)</f>
        <v/>
      </c>
      <c r="AK3325" s="54">
        <f>IF(AND(AJ3325=1,AH3325&lt;&gt;"",COUNTIFS($AH$2:AH3325,AH3325,$AJ$2:AJ3325,1)=1),N(AL3324)+1,"")</f>
        <v/>
      </c>
      <c r="AL3325" s="54">
        <f>IF(AK3325&lt;&gt;"",AK3325,N(AL3324))</f>
        <v/>
      </c>
    </row>
    <row r="3326">
      <c r="A3326" t="inlineStr">
        <is>
          <t>ONS-1109</t>
        </is>
      </c>
      <c r="B3326" t="inlineStr">
        <is>
          <t>Onsite</t>
        </is>
      </c>
      <c r="AB3326" t="n">
        <v>1109</v>
      </c>
      <c r="AD3326" s="52">
        <f>IFERROR(N(IFERROR(INDEX($A3326:$AB3326,MATCH("Xero Invoiced Ex GST",$A$1:$AB$1,0)),"")),0)</f>
        <v/>
      </c>
      <c r="AE3326" s="53">
        <f>IFERROR(INDEX($A3326:$AB3326,MATCH("Xero Invoice Date",$A$1:$AB$1,0)),"")</f>
        <v/>
      </c>
      <c r="AF3326" s="54">
        <f>IF(AND(IFERROR(INDEX($A3326:$AB3326,MATCH("Xero Invoice No",$A$1:$AB$1,0)),"")&amp;""&lt;&gt;"",ISNUMBER(AE3326),AD3326&lt;&gt;0),1,0)</f>
        <v/>
      </c>
      <c r="AG3326" s="55">
        <f>IF(AF3326=1,EOMONTH(AE3326,0),"")</f>
        <v/>
      </c>
      <c r="AH3326" s="9">
        <f>IF(AF3326=1,UPPER(TRIM(IFERROR(INDEX($A3326:$AB3326,MATCH("Client",$A$1:$AB$1,0)),"")&amp;"")),"")</f>
        <v/>
      </c>
      <c r="AI3326" s="9">
        <f>IF(AF3326=1,IFERROR(INDEX($A3326:$AB3326,MATCH("Cost Centre",$A$1:$AB$1,0)),"")&amp;"","")</f>
        <v/>
      </c>
      <c r="AJ3326" s="54">
        <f>IF(AND(AF3326=1,AE3326&gt;=set_FYStart,AE3326&lt;=set_AsAt),1,0)</f>
        <v/>
      </c>
      <c r="AK3326" s="54">
        <f>IF(AND(AJ3326=1,AH3326&lt;&gt;"",COUNTIFS($AH$2:AH3326,AH3326,$AJ$2:AJ3326,1)=1),N(AL3325)+1,"")</f>
        <v/>
      </c>
      <c r="AL3326" s="54">
        <f>IF(AK3326&lt;&gt;"",AK3326,N(AL3325))</f>
        <v/>
      </c>
    </row>
    <row r="3327">
      <c r="A3327" t="inlineStr">
        <is>
          <t>PRD-1109</t>
        </is>
      </c>
      <c r="B3327" t="inlineStr">
        <is>
          <t>Production</t>
        </is>
      </c>
      <c r="AB3327" t="n">
        <v>1109</v>
      </c>
      <c r="AD3327" s="52">
        <f>IFERROR(N(IFERROR(INDEX($A3327:$AB3327,MATCH("Xero Invoiced Ex GST",$A$1:$AB$1,0)),"")),0)</f>
        <v/>
      </c>
      <c r="AE3327" s="53">
        <f>IFERROR(INDEX($A3327:$AB3327,MATCH("Xero Invoice Date",$A$1:$AB$1,0)),"")</f>
        <v/>
      </c>
      <c r="AF3327" s="54">
        <f>IF(AND(IFERROR(INDEX($A3327:$AB3327,MATCH("Xero Invoice No",$A$1:$AB$1,0)),"")&amp;""&lt;&gt;"",ISNUMBER(AE3327),AD3327&lt;&gt;0),1,0)</f>
        <v/>
      </c>
      <c r="AG3327" s="55">
        <f>IF(AF3327=1,EOMONTH(AE3327,0),"")</f>
        <v/>
      </c>
      <c r="AH3327" s="9">
        <f>IF(AF3327=1,UPPER(TRIM(IFERROR(INDEX($A3327:$AB3327,MATCH("Client",$A$1:$AB$1,0)),"")&amp;"")),"")</f>
        <v/>
      </c>
      <c r="AI3327" s="9">
        <f>IF(AF3327=1,IFERROR(INDEX($A3327:$AB3327,MATCH("Cost Centre",$A$1:$AB$1,0)),"")&amp;"","")</f>
        <v/>
      </c>
      <c r="AJ3327" s="54">
        <f>IF(AND(AF3327=1,AE3327&gt;=set_FYStart,AE3327&lt;=set_AsAt),1,0)</f>
        <v/>
      </c>
      <c r="AK3327" s="54">
        <f>IF(AND(AJ3327=1,AH3327&lt;&gt;"",COUNTIFS($AH$2:AH3327,AH3327,$AJ$2:AJ3327,1)=1),N(AL3326)+1,"")</f>
        <v/>
      </c>
      <c r="AL3327" s="54">
        <f>IF(AK3327&lt;&gt;"",AK3327,N(AL3326))</f>
        <v/>
      </c>
    </row>
    <row r="3328">
      <c r="A3328" t="inlineStr">
        <is>
          <t>CON-1109</t>
        </is>
      </c>
      <c r="B3328" t="inlineStr">
        <is>
          <t>Consulting</t>
        </is>
      </c>
      <c r="AB3328" t="n">
        <v>1109</v>
      </c>
      <c r="AD3328" s="52">
        <f>IFERROR(N(IFERROR(INDEX($A3328:$AB3328,MATCH("Xero Invoiced Ex GST",$A$1:$AB$1,0)),"")),0)</f>
        <v/>
      </c>
      <c r="AE3328" s="53">
        <f>IFERROR(INDEX($A3328:$AB3328,MATCH("Xero Invoice Date",$A$1:$AB$1,0)),"")</f>
        <v/>
      </c>
      <c r="AF3328" s="54">
        <f>IF(AND(IFERROR(INDEX($A3328:$AB3328,MATCH("Xero Invoice No",$A$1:$AB$1,0)),"")&amp;""&lt;&gt;"",ISNUMBER(AE3328),AD3328&lt;&gt;0),1,0)</f>
        <v/>
      </c>
      <c r="AG3328" s="55">
        <f>IF(AF3328=1,EOMONTH(AE3328,0),"")</f>
        <v/>
      </c>
      <c r="AH3328" s="9">
        <f>IF(AF3328=1,UPPER(TRIM(IFERROR(INDEX($A3328:$AB3328,MATCH("Client",$A$1:$AB$1,0)),"")&amp;"")),"")</f>
        <v/>
      </c>
      <c r="AI3328" s="9">
        <f>IF(AF3328=1,IFERROR(INDEX($A3328:$AB3328,MATCH("Cost Centre",$A$1:$AB$1,0)),"")&amp;"","")</f>
        <v/>
      </c>
      <c r="AJ3328" s="54">
        <f>IF(AND(AF3328=1,AE3328&gt;=set_FYStart,AE3328&lt;=set_AsAt),1,0)</f>
        <v/>
      </c>
      <c r="AK3328" s="54">
        <f>IF(AND(AJ3328=1,AH3328&lt;&gt;"",COUNTIFS($AH$2:AH3328,AH3328,$AJ$2:AJ3328,1)=1),N(AL3327)+1,"")</f>
        <v/>
      </c>
      <c r="AL3328" s="54">
        <f>IF(AK3328&lt;&gt;"",AK3328,N(AL3327))</f>
        <v/>
      </c>
    </row>
    <row r="3329">
      <c r="A3329" t="inlineStr">
        <is>
          <t>ONS-1110</t>
        </is>
      </c>
      <c r="B3329" t="inlineStr">
        <is>
          <t>Onsite</t>
        </is>
      </c>
      <c r="AB3329" t="n">
        <v>1110</v>
      </c>
      <c r="AD3329" s="52">
        <f>IFERROR(N(IFERROR(INDEX($A3329:$AB3329,MATCH("Xero Invoiced Ex GST",$A$1:$AB$1,0)),"")),0)</f>
        <v/>
      </c>
      <c r="AE3329" s="53">
        <f>IFERROR(INDEX($A3329:$AB3329,MATCH("Xero Invoice Date",$A$1:$AB$1,0)),"")</f>
        <v/>
      </c>
      <c r="AF3329" s="54">
        <f>IF(AND(IFERROR(INDEX($A3329:$AB3329,MATCH("Xero Invoice No",$A$1:$AB$1,0)),"")&amp;""&lt;&gt;"",ISNUMBER(AE3329),AD3329&lt;&gt;0),1,0)</f>
        <v/>
      </c>
      <c r="AG3329" s="55">
        <f>IF(AF3329=1,EOMONTH(AE3329,0),"")</f>
        <v/>
      </c>
      <c r="AH3329" s="9">
        <f>IF(AF3329=1,UPPER(TRIM(IFERROR(INDEX($A3329:$AB3329,MATCH("Client",$A$1:$AB$1,0)),"")&amp;"")),"")</f>
        <v/>
      </c>
      <c r="AI3329" s="9">
        <f>IF(AF3329=1,IFERROR(INDEX($A3329:$AB3329,MATCH("Cost Centre",$A$1:$AB$1,0)),"")&amp;"","")</f>
        <v/>
      </c>
      <c r="AJ3329" s="54">
        <f>IF(AND(AF3329=1,AE3329&gt;=set_FYStart,AE3329&lt;=set_AsAt),1,0)</f>
        <v/>
      </c>
      <c r="AK3329" s="54">
        <f>IF(AND(AJ3329=1,AH3329&lt;&gt;"",COUNTIFS($AH$2:AH3329,AH3329,$AJ$2:AJ3329,1)=1),N(AL3328)+1,"")</f>
        <v/>
      </c>
      <c r="AL3329" s="54">
        <f>IF(AK3329&lt;&gt;"",AK3329,N(AL3328))</f>
        <v/>
      </c>
    </row>
    <row r="3330">
      <c r="A3330" t="inlineStr">
        <is>
          <t>PRD-1110</t>
        </is>
      </c>
      <c r="B3330" t="inlineStr">
        <is>
          <t>Production</t>
        </is>
      </c>
      <c r="AB3330" t="n">
        <v>1110</v>
      </c>
      <c r="AD3330" s="52">
        <f>IFERROR(N(IFERROR(INDEX($A3330:$AB3330,MATCH("Xero Invoiced Ex GST",$A$1:$AB$1,0)),"")),0)</f>
        <v/>
      </c>
      <c r="AE3330" s="53">
        <f>IFERROR(INDEX($A3330:$AB3330,MATCH("Xero Invoice Date",$A$1:$AB$1,0)),"")</f>
        <v/>
      </c>
      <c r="AF3330" s="54">
        <f>IF(AND(IFERROR(INDEX($A3330:$AB3330,MATCH("Xero Invoice No",$A$1:$AB$1,0)),"")&amp;""&lt;&gt;"",ISNUMBER(AE3330),AD3330&lt;&gt;0),1,0)</f>
        <v/>
      </c>
      <c r="AG3330" s="55">
        <f>IF(AF3330=1,EOMONTH(AE3330,0),"")</f>
        <v/>
      </c>
      <c r="AH3330" s="9">
        <f>IF(AF3330=1,UPPER(TRIM(IFERROR(INDEX($A3330:$AB3330,MATCH("Client",$A$1:$AB$1,0)),"")&amp;"")),"")</f>
        <v/>
      </c>
      <c r="AI3330" s="9">
        <f>IF(AF3330=1,IFERROR(INDEX($A3330:$AB3330,MATCH("Cost Centre",$A$1:$AB$1,0)),"")&amp;"","")</f>
        <v/>
      </c>
      <c r="AJ3330" s="54">
        <f>IF(AND(AF3330=1,AE3330&gt;=set_FYStart,AE3330&lt;=set_AsAt),1,0)</f>
        <v/>
      </c>
      <c r="AK3330" s="54">
        <f>IF(AND(AJ3330=1,AH3330&lt;&gt;"",COUNTIFS($AH$2:AH3330,AH3330,$AJ$2:AJ3330,1)=1),N(AL3329)+1,"")</f>
        <v/>
      </c>
      <c r="AL3330" s="54">
        <f>IF(AK3330&lt;&gt;"",AK3330,N(AL3329))</f>
        <v/>
      </c>
    </row>
    <row r="3331">
      <c r="A3331" t="inlineStr">
        <is>
          <t>CON-1110</t>
        </is>
      </c>
      <c r="B3331" t="inlineStr">
        <is>
          <t>Consulting</t>
        </is>
      </c>
      <c r="AB3331" t="n">
        <v>1110</v>
      </c>
      <c r="AD3331" s="52">
        <f>IFERROR(N(IFERROR(INDEX($A3331:$AB3331,MATCH("Xero Invoiced Ex GST",$A$1:$AB$1,0)),"")),0)</f>
        <v/>
      </c>
      <c r="AE3331" s="53">
        <f>IFERROR(INDEX($A3331:$AB3331,MATCH("Xero Invoice Date",$A$1:$AB$1,0)),"")</f>
        <v/>
      </c>
      <c r="AF3331" s="54">
        <f>IF(AND(IFERROR(INDEX($A3331:$AB3331,MATCH("Xero Invoice No",$A$1:$AB$1,0)),"")&amp;""&lt;&gt;"",ISNUMBER(AE3331),AD3331&lt;&gt;0),1,0)</f>
        <v/>
      </c>
      <c r="AG3331" s="55">
        <f>IF(AF3331=1,EOMONTH(AE3331,0),"")</f>
        <v/>
      </c>
      <c r="AH3331" s="9">
        <f>IF(AF3331=1,UPPER(TRIM(IFERROR(INDEX($A3331:$AB3331,MATCH("Client",$A$1:$AB$1,0)),"")&amp;"")),"")</f>
        <v/>
      </c>
      <c r="AI3331" s="9">
        <f>IF(AF3331=1,IFERROR(INDEX($A3331:$AB3331,MATCH("Cost Centre",$A$1:$AB$1,0)),"")&amp;"","")</f>
        <v/>
      </c>
      <c r="AJ3331" s="54">
        <f>IF(AND(AF3331=1,AE3331&gt;=set_FYStart,AE3331&lt;=set_AsAt),1,0)</f>
        <v/>
      </c>
      <c r="AK3331" s="54">
        <f>IF(AND(AJ3331=1,AH3331&lt;&gt;"",COUNTIFS($AH$2:AH3331,AH3331,$AJ$2:AJ3331,1)=1),N(AL3330)+1,"")</f>
        <v/>
      </c>
      <c r="AL3331" s="54">
        <f>IF(AK3331&lt;&gt;"",AK3331,N(AL3330))</f>
        <v/>
      </c>
    </row>
    <row r="3332">
      <c r="A3332" t="inlineStr">
        <is>
          <t>ONS-1111</t>
        </is>
      </c>
      <c r="B3332" t="inlineStr">
        <is>
          <t>Onsite</t>
        </is>
      </c>
      <c r="AB3332" t="n">
        <v>1111</v>
      </c>
      <c r="AD3332" s="52">
        <f>IFERROR(N(IFERROR(INDEX($A3332:$AB3332,MATCH("Xero Invoiced Ex GST",$A$1:$AB$1,0)),"")),0)</f>
        <v/>
      </c>
      <c r="AE3332" s="53">
        <f>IFERROR(INDEX($A3332:$AB3332,MATCH("Xero Invoice Date",$A$1:$AB$1,0)),"")</f>
        <v/>
      </c>
      <c r="AF3332" s="54">
        <f>IF(AND(IFERROR(INDEX($A3332:$AB3332,MATCH("Xero Invoice No",$A$1:$AB$1,0)),"")&amp;""&lt;&gt;"",ISNUMBER(AE3332),AD3332&lt;&gt;0),1,0)</f>
        <v/>
      </c>
      <c r="AG3332" s="55">
        <f>IF(AF3332=1,EOMONTH(AE3332,0),"")</f>
        <v/>
      </c>
      <c r="AH3332" s="9">
        <f>IF(AF3332=1,UPPER(TRIM(IFERROR(INDEX($A3332:$AB3332,MATCH("Client",$A$1:$AB$1,0)),"")&amp;"")),"")</f>
        <v/>
      </c>
      <c r="AI3332" s="9">
        <f>IF(AF3332=1,IFERROR(INDEX($A3332:$AB3332,MATCH("Cost Centre",$A$1:$AB$1,0)),"")&amp;"","")</f>
        <v/>
      </c>
      <c r="AJ3332" s="54">
        <f>IF(AND(AF3332=1,AE3332&gt;=set_FYStart,AE3332&lt;=set_AsAt),1,0)</f>
        <v/>
      </c>
      <c r="AK3332" s="54">
        <f>IF(AND(AJ3332=1,AH3332&lt;&gt;"",COUNTIFS($AH$2:AH3332,AH3332,$AJ$2:AJ3332,1)=1),N(AL3331)+1,"")</f>
        <v/>
      </c>
      <c r="AL3332" s="54">
        <f>IF(AK3332&lt;&gt;"",AK3332,N(AL3331))</f>
        <v/>
      </c>
    </row>
    <row r="3333">
      <c r="A3333" t="inlineStr">
        <is>
          <t>PRD-1111</t>
        </is>
      </c>
      <c r="B3333" t="inlineStr">
        <is>
          <t>Production</t>
        </is>
      </c>
      <c r="AB3333" t="n">
        <v>1111</v>
      </c>
      <c r="AD3333" s="52">
        <f>IFERROR(N(IFERROR(INDEX($A3333:$AB3333,MATCH("Xero Invoiced Ex GST",$A$1:$AB$1,0)),"")),0)</f>
        <v/>
      </c>
      <c r="AE3333" s="53">
        <f>IFERROR(INDEX($A3333:$AB3333,MATCH("Xero Invoice Date",$A$1:$AB$1,0)),"")</f>
        <v/>
      </c>
      <c r="AF3333" s="54">
        <f>IF(AND(IFERROR(INDEX($A3333:$AB3333,MATCH("Xero Invoice No",$A$1:$AB$1,0)),"")&amp;""&lt;&gt;"",ISNUMBER(AE3333),AD3333&lt;&gt;0),1,0)</f>
        <v/>
      </c>
      <c r="AG3333" s="55">
        <f>IF(AF3333=1,EOMONTH(AE3333,0),"")</f>
        <v/>
      </c>
      <c r="AH3333" s="9">
        <f>IF(AF3333=1,UPPER(TRIM(IFERROR(INDEX($A3333:$AB3333,MATCH("Client",$A$1:$AB$1,0)),"")&amp;"")),"")</f>
        <v/>
      </c>
      <c r="AI3333" s="9">
        <f>IF(AF3333=1,IFERROR(INDEX($A3333:$AB3333,MATCH("Cost Centre",$A$1:$AB$1,0)),"")&amp;"","")</f>
        <v/>
      </c>
      <c r="AJ3333" s="54">
        <f>IF(AND(AF3333=1,AE3333&gt;=set_FYStart,AE3333&lt;=set_AsAt),1,0)</f>
        <v/>
      </c>
      <c r="AK3333" s="54">
        <f>IF(AND(AJ3333=1,AH3333&lt;&gt;"",COUNTIFS($AH$2:AH3333,AH3333,$AJ$2:AJ3333,1)=1),N(AL3332)+1,"")</f>
        <v/>
      </c>
      <c r="AL3333" s="54">
        <f>IF(AK3333&lt;&gt;"",AK3333,N(AL3332))</f>
        <v/>
      </c>
    </row>
    <row r="3334">
      <c r="A3334" t="inlineStr">
        <is>
          <t>CON-1111</t>
        </is>
      </c>
      <c r="B3334" t="inlineStr">
        <is>
          <t>Consulting</t>
        </is>
      </c>
      <c r="AB3334" t="n">
        <v>1111</v>
      </c>
      <c r="AD3334" s="52">
        <f>IFERROR(N(IFERROR(INDEX($A3334:$AB3334,MATCH("Xero Invoiced Ex GST",$A$1:$AB$1,0)),"")),0)</f>
        <v/>
      </c>
      <c r="AE3334" s="53">
        <f>IFERROR(INDEX($A3334:$AB3334,MATCH("Xero Invoice Date",$A$1:$AB$1,0)),"")</f>
        <v/>
      </c>
      <c r="AF3334" s="54">
        <f>IF(AND(IFERROR(INDEX($A3334:$AB3334,MATCH("Xero Invoice No",$A$1:$AB$1,0)),"")&amp;""&lt;&gt;"",ISNUMBER(AE3334),AD3334&lt;&gt;0),1,0)</f>
        <v/>
      </c>
      <c r="AG3334" s="55">
        <f>IF(AF3334=1,EOMONTH(AE3334,0),"")</f>
        <v/>
      </c>
      <c r="AH3334" s="9">
        <f>IF(AF3334=1,UPPER(TRIM(IFERROR(INDEX($A3334:$AB3334,MATCH("Client",$A$1:$AB$1,0)),"")&amp;"")),"")</f>
        <v/>
      </c>
      <c r="AI3334" s="9">
        <f>IF(AF3334=1,IFERROR(INDEX($A3334:$AB3334,MATCH("Cost Centre",$A$1:$AB$1,0)),"")&amp;"","")</f>
        <v/>
      </c>
      <c r="AJ3334" s="54">
        <f>IF(AND(AF3334=1,AE3334&gt;=set_FYStart,AE3334&lt;=set_AsAt),1,0)</f>
        <v/>
      </c>
      <c r="AK3334" s="54">
        <f>IF(AND(AJ3334=1,AH3334&lt;&gt;"",COUNTIFS($AH$2:AH3334,AH3334,$AJ$2:AJ3334,1)=1),N(AL3333)+1,"")</f>
        <v/>
      </c>
      <c r="AL3334" s="54">
        <f>IF(AK3334&lt;&gt;"",AK3334,N(AL3333))</f>
        <v/>
      </c>
    </row>
    <row r="3335">
      <c r="A3335" t="inlineStr">
        <is>
          <t>ONS-1112</t>
        </is>
      </c>
      <c r="B3335" t="inlineStr">
        <is>
          <t>Onsite</t>
        </is>
      </c>
      <c r="AB3335" t="n">
        <v>1112</v>
      </c>
      <c r="AD3335" s="52">
        <f>IFERROR(N(IFERROR(INDEX($A3335:$AB3335,MATCH("Xero Invoiced Ex GST",$A$1:$AB$1,0)),"")),0)</f>
        <v/>
      </c>
      <c r="AE3335" s="53">
        <f>IFERROR(INDEX($A3335:$AB3335,MATCH("Xero Invoice Date",$A$1:$AB$1,0)),"")</f>
        <v/>
      </c>
      <c r="AF3335" s="54">
        <f>IF(AND(IFERROR(INDEX($A3335:$AB3335,MATCH("Xero Invoice No",$A$1:$AB$1,0)),"")&amp;""&lt;&gt;"",ISNUMBER(AE3335),AD3335&lt;&gt;0),1,0)</f>
        <v/>
      </c>
      <c r="AG3335" s="55">
        <f>IF(AF3335=1,EOMONTH(AE3335,0),"")</f>
        <v/>
      </c>
      <c r="AH3335" s="9">
        <f>IF(AF3335=1,UPPER(TRIM(IFERROR(INDEX($A3335:$AB3335,MATCH("Client",$A$1:$AB$1,0)),"")&amp;"")),"")</f>
        <v/>
      </c>
      <c r="AI3335" s="9">
        <f>IF(AF3335=1,IFERROR(INDEX($A3335:$AB3335,MATCH("Cost Centre",$A$1:$AB$1,0)),"")&amp;"","")</f>
        <v/>
      </c>
      <c r="AJ3335" s="54">
        <f>IF(AND(AF3335=1,AE3335&gt;=set_FYStart,AE3335&lt;=set_AsAt),1,0)</f>
        <v/>
      </c>
      <c r="AK3335" s="54">
        <f>IF(AND(AJ3335=1,AH3335&lt;&gt;"",COUNTIFS($AH$2:AH3335,AH3335,$AJ$2:AJ3335,1)=1),N(AL3334)+1,"")</f>
        <v/>
      </c>
      <c r="AL3335" s="54">
        <f>IF(AK3335&lt;&gt;"",AK3335,N(AL3334))</f>
        <v/>
      </c>
    </row>
    <row r="3336">
      <c r="A3336" t="inlineStr">
        <is>
          <t>PRD-1112</t>
        </is>
      </c>
      <c r="B3336" t="inlineStr">
        <is>
          <t>Production</t>
        </is>
      </c>
      <c r="AB3336" t="n">
        <v>1112</v>
      </c>
      <c r="AD3336" s="52">
        <f>IFERROR(N(IFERROR(INDEX($A3336:$AB3336,MATCH("Xero Invoiced Ex GST",$A$1:$AB$1,0)),"")),0)</f>
        <v/>
      </c>
      <c r="AE3336" s="53">
        <f>IFERROR(INDEX($A3336:$AB3336,MATCH("Xero Invoice Date",$A$1:$AB$1,0)),"")</f>
        <v/>
      </c>
      <c r="AF3336" s="54">
        <f>IF(AND(IFERROR(INDEX($A3336:$AB3336,MATCH("Xero Invoice No",$A$1:$AB$1,0)),"")&amp;""&lt;&gt;"",ISNUMBER(AE3336),AD3336&lt;&gt;0),1,0)</f>
        <v/>
      </c>
      <c r="AG3336" s="55">
        <f>IF(AF3336=1,EOMONTH(AE3336,0),"")</f>
        <v/>
      </c>
      <c r="AH3336" s="9">
        <f>IF(AF3336=1,UPPER(TRIM(IFERROR(INDEX($A3336:$AB3336,MATCH("Client",$A$1:$AB$1,0)),"")&amp;"")),"")</f>
        <v/>
      </c>
      <c r="AI3336" s="9">
        <f>IF(AF3336=1,IFERROR(INDEX($A3336:$AB3336,MATCH("Cost Centre",$A$1:$AB$1,0)),"")&amp;"","")</f>
        <v/>
      </c>
      <c r="AJ3336" s="54">
        <f>IF(AND(AF3336=1,AE3336&gt;=set_FYStart,AE3336&lt;=set_AsAt),1,0)</f>
        <v/>
      </c>
      <c r="AK3336" s="54">
        <f>IF(AND(AJ3336=1,AH3336&lt;&gt;"",COUNTIFS($AH$2:AH3336,AH3336,$AJ$2:AJ3336,1)=1),N(AL3335)+1,"")</f>
        <v/>
      </c>
      <c r="AL3336" s="54">
        <f>IF(AK3336&lt;&gt;"",AK3336,N(AL3335))</f>
        <v/>
      </c>
    </row>
    <row r="3337">
      <c r="A3337" t="inlineStr">
        <is>
          <t>CON-1112</t>
        </is>
      </c>
      <c r="B3337" t="inlineStr">
        <is>
          <t>Consulting</t>
        </is>
      </c>
      <c r="AB3337" t="n">
        <v>1112</v>
      </c>
      <c r="AD3337" s="52">
        <f>IFERROR(N(IFERROR(INDEX($A3337:$AB3337,MATCH("Xero Invoiced Ex GST",$A$1:$AB$1,0)),"")),0)</f>
        <v/>
      </c>
      <c r="AE3337" s="53">
        <f>IFERROR(INDEX($A3337:$AB3337,MATCH("Xero Invoice Date",$A$1:$AB$1,0)),"")</f>
        <v/>
      </c>
      <c r="AF3337" s="54">
        <f>IF(AND(IFERROR(INDEX($A3337:$AB3337,MATCH("Xero Invoice No",$A$1:$AB$1,0)),"")&amp;""&lt;&gt;"",ISNUMBER(AE3337),AD3337&lt;&gt;0),1,0)</f>
        <v/>
      </c>
      <c r="AG3337" s="55">
        <f>IF(AF3337=1,EOMONTH(AE3337,0),"")</f>
        <v/>
      </c>
      <c r="AH3337" s="9">
        <f>IF(AF3337=1,UPPER(TRIM(IFERROR(INDEX($A3337:$AB3337,MATCH("Client",$A$1:$AB$1,0)),"")&amp;"")),"")</f>
        <v/>
      </c>
      <c r="AI3337" s="9">
        <f>IF(AF3337=1,IFERROR(INDEX($A3337:$AB3337,MATCH("Cost Centre",$A$1:$AB$1,0)),"")&amp;"","")</f>
        <v/>
      </c>
      <c r="AJ3337" s="54">
        <f>IF(AND(AF3337=1,AE3337&gt;=set_FYStart,AE3337&lt;=set_AsAt),1,0)</f>
        <v/>
      </c>
      <c r="AK3337" s="54">
        <f>IF(AND(AJ3337=1,AH3337&lt;&gt;"",COUNTIFS($AH$2:AH3337,AH3337,$AJ$2:AJ3337,1)=1),N(AL3336)+1,"")</f>
        <v/>
      </c>
      <c r="AL3337" s="54">
        <f>IF(AK3337&lt;&gt;"",AK3337,N(AL3336))</f>
        <v/>
      </c>
    </row>
    <row r="3338">
      <c r="A3338" t="inlineStr">
        <is>
          <t>ONS-1113</t>
        </is>
      </c>
      <c r="B3338" t="inlineStr">
        <is>
          <t>Onsite</t>
        </is>
      </c>
      <c r="AB3338" t="n">
        <v>1113</v>
      </c>
      <c r="AD3338" s="52">
        <f>IFERROR(N(IFERROR(INDEX($A3338:$AB3338,MATCH("Xero Invoiced Ex GST",$A$1:$AB$1,0)),"")),0)</f>
        <v/>
      </c>
      <c r="AE3338" s="53">
        <f>IFERROR(INDEX($A3338:$AB3338,MATCH("Xero Invoice Date",$A$1:$AB$1,0)),"")</f>
        <v/>
      </c>
      <c r="AF3338" s="54">
        <f>IF(AND(IFERROR(INDEX($A3338:$AB3338,MATCH("Xero Invoice No",$A$1:$AB$1,0)),"")&amp;""&lt;&gt;"",ISNUMBER(AE3338),AD3338&lt;&gt;0),1,0)</f>
        <v/>
      </c>
      <c r="AG3338" s="55">
        <f>IF(AF3338=1,EOMONTH(AE3338,0),"")</f>
        <v/>
      </c>
      <c r="AH3338" s="9">
        <f>IF(AF3338=1,UPPER(TRIM(IFERROR(INDEX($A3338:$AB3338,MATCH("Client",$A$1:$AB$1,0)),"")&amp;"")),"")</f>
        <v/>
      </c>
      <c r="AI3338" s="9">
        <f>IF(AF3338=1,IFERROR(INDEX($A3338:$AB3338,MATCH("Cost Centre",$A$1:$AB$1,0)),"")&amp;"","")</f>
        <v/>
      </c>
      <c r="AJ3338" s="54">
        <f>IF(AND(AF3338=1,AE3338&gt;=set_FYStart,AE3338&lt;=set_AsAt),1,0)</f>
        <v/>
      </c>
      <c r="AK3338" s="54">
        <f>IF(AND(AJ3338=1,AH3338&lt;&gt;"",COUNTIFS($AH$2:AH3338,AH3338,$AJ$2:AJ3338,1)=1),N(AL3337)+1,"")</f>
        <v/>
      </c>
      <c r="AL3338" s="54">
        <f>IF(AK3338&lt;&gt;"",AK3338,N(AL3337))</f>
        <v/>
      </c>
    </row>
    <row r="3339">
      <c r="A3339" t="inlineStr">
        <is>
          <t>PRD-1113</t>
        </is>
      </c>
      <c r="B3339" t="inlineStr">
        <is>
          <t>Production</t>
        </is>
      </c>
      <c r="AB3339" t="n">
        <v>1113</v>
      </c>
      <c r="AD3339" s="52">
        <f>IFERROR(N(IFERROR(INDEX($A3339:$AB3339,MATCH("Xero Invoiced Ex GST",$A$1:$AB$1,0)),"")),0)</f>
        <v/>
      </c>
      <c r="AE3339" s="53">
        <f>IFERROR(INDEX($A3339:$AB3339,MATCH("Xero Invoice Date",$A$1:$AB$1,0)),"")</f>
        <v/>
      </c>
      <c r="AF3339" s="54">
        <f>IF(AND(IFERROR(INDEX($A3339:$AB3339,MATCH("Xero Invoice No",$A$1:$AB$1,0)),"")&amp;""&lt;&gt;"",ISNUMBER(AE3339),AD3339&lt;&gt;0),1,0)</f>
        <v/>
      </c>
      <c r="AG3339" s="55">
        <f>IF(AF3339=1,EOMONTH(AE3339,0),"")</f>
        <v/>
      </c>
      <c r="AH3339" s="9">
        <f>IF(AF3339=1,UPPER(TRIM(IFERROR(INDEX($A3339:$AB3339,MATCH("Client",$A$1:$AB$1,0)),"")&amp;"")),"")</f>
        <v/>
      </c>
      <c r="AI3339" s="9">
        <f>IF(AF3339=1,IFERROR(INDEX($A3339:$AB3339,MATCH("Cost Centre",$A$1:$AB$1,0)),"")&amp;"","")</f>
        <v/>
      </c>
      <c r="AJ3339" s="54">
        <f>IF(AND(AF3339=1,AE3339&gt;=set_FYStart,AE3339&lt;=set_AsAt),1,0)</f>
        <v/>
      </c>
      <c r="AK3339" s="54">
        <f>IF(AND(AJ3339=1,AH3339&lt;&gt;"",COUNTIFS($AH$2:AH3339,AH3339,$AJ$2:AJ3339,1)=1),N(AL3338)+1,"")</f>
        <v/>
      </c>
      <c r="AL3339" s="54">
        <f>IF(AK3339&lt;&gt;"",AK3339,N(AL3338))</f>
        <v/>
      </c>
    </row>
    <row r="3340">
      <c r="A3340" t="inlineStr">
        <is>
          <t>CON-1113</t>
        </is>
      </c>
      <c r="B3340" t="inlineStr">
        <is>
          <t>Consulting</t>
        </is>
      </c>
      <c r="AB3340" t="n">
        <v>1113</v>
      </c>
      <c r="AD3340" s="52">
        <f>IFERROR(N(IFERROR(INDEX($A3340:$AB3340,MATCH("Xero Invoiced Ex GST",$A$1:$AB$1,0)),"")),0)</f>
        <v/>
      </c>
      <c r="AE3340" s="53">
        <f>IFERROR(INDEX($A3340:$AB3340,MATCH("Xero Invoice Date",$A$1:$AB$1,0)),"")</f>
        <v/>
      </c>
      <c r="AF3340" s="54">
        <f>IF(AND(IFERROR(INDEX($A3340:$AB3340,MATCH("Xero Invoice No",$A$1:$AB$1,0)),"")&amp;""&lt;&gt;"",ISNUMBER(AE3340),AD3340&lt;&gt;0),1,0)</f>
        <v/>
      </c>
      <c r="AG3340" s="55">
        <f>IF(AF3340=1,EOMONTH(AE3340,0),"")</f>
        <v/>
      </c>
      <c r="AH3340" s="9">
        <f>IF(AF3340=1,UPPER(TRIM(IFERROR(INDEX($A3340:$AB3340,MATCH("Client",$A$1:$AB$1,0)),"")&amp;"")),"")</f>
        <v/>
      </c>
      <c r="AI3340" s="9">
        <f>IF(AF3340=1,IFERROR(INDEX($A3340:$AB3340,MATCH("Cost Centre",$A$1:$AB$1,0)),"")&amp;"","")</f>
        <v/>
      </c>
      <c r="AJ3340" s="54">
        <f>IF(AND(AF3340=1,AE3340&gt;=set_FYStart,AE3340&lt;=set_AsAt),1,0)</f>
        <v/>
      </c>
      <c r="AK3340" s="54">
        <f>IF(AND(AJ3340=1,AH3340&lt;&gt;"",COUNTIFS($AH$2:AH3340,AH3340,$AJ$2:AJ3340,1)=1),N(AL3339)+1,"")</f>
        <v/>
      </c>
      <c r="AL3340" s="54">
        <f>IF(AK3340&lt;&gt;"",AK3340,N(AL3339))</f>
        <v/>
      </c>
    </row>
    <row r="3341">
      <c r="A3341" t="inlineStr">
        <is>
          <t>ONS-1114</t>
        </is>
      </c>
      <c r="B3341" t="inlineStr">
        <is>
          <t>Onsite</t>
        </is>
      </c>
      <c r="AB3341" t="n">
        <v>1114</v>
      </c>
      <c r="AD3341" s="52">
        <f>IFERROR(N(IFERROR(INDEX($A3341:$AB3341,MATCH("Xero Invoiced Ex GST",$A$1:$AB$1,0)),"")),0)</f>
        <v/>
      </c>
      <c r="AE3341" s="53">
        <f>IFERROR(INDEX($A3341:$AB3341,MATCH("Xero Invoice Date",$A$1:$AB$1,0)),"")</f>
        <v/>
      </c>
      <c r="AF3341" s="54">
        <f>IF(AND(IFERROR(INDEX($A3341:$AB3341,MATCH("Xero Invoice No",$A$1:$AB$1,0)),"")&amp;""&lt;&gt;"",ISNUMBER(AE3341),AD3341&lt;&gt;0),1,0)</f>
        <v/>
      </c>
      <c r="AG3341" s="55">
        <f>IF(AF3341=1,EOMONTH(AE3341,0),"")</f>
        <v/>
      </c>
      <c r="AH3341" s="9">
        <f>IF(AF3341=1,UPPER(TRIM(IFERROR(INDEX($A3341:$AB3341,MATCH("Client",$A$1:$AB$1,0)),"")&amp;"")),"")</f>
        <v/>
      </c>
      <c r="AI3341" s="9">
        <f>IF(AF3341=1,IFERROR(INDEX($A3341:$AB3341,MATCH("Cost Centre",$A$1:$AB$1,0)),"")&amp;"","")</f>
        <v/>
      </c>
      <c r="AJ3341" s="54">
        <f>IF(AND(AF3341=1,AE3341&gt;=set_FYStart,AE3341&lt;=set_AsAt),1,0)</f>
        <v/>
      </c>
      <c r="AK3341" s="54">
        <f>IF(AND(AJ3341=1,AH3341&lt;&gt;"",COUNTIFS($AH$2:AH3341,AH3341,$AJ$2:AJ3341,1)=1),N(AL3340)+1,"")</f>
        <v/>
      </c>
      <c r="AL3341" s="54">
        <f>IF(AK3341&lt;&gt;"",AK3341,N(AL3340))</f>
        <v/>
      </c>
    </row>
    <row r="3342">
      <c r="A3342" t="inlineStr">
        <is>
          <t>PRD-1114</t>
        </is>
      </c>
      <c r="B3342" t="inlineStr">
        <is>
          <t>Production</t>
        </is>
      </c>
      <c r="AB3342" t="n">
        <v>1114</v>
      </c>
      <c r="AD3342" s="52">
        <f>IFERROR(N(IFERROR(INDEX($A3342:$AB3342,MATCH("Xero Invoiced Ex GST",$A$1:$AB$1,0)),"")),0)</f>
        <v/>
      </c>
      <c r="AE3342" s="53">
        <f>IFERROR(INDEX($A3342:$AB3342,MATCH("Xero Invoice Date",$A$1:$AB$1,0)),"")</f>
        <v/>
      </c>
      <c r="AF3342" s="54">
        <f>IF(AND(IFERROR(INDEX($A3342:$AB3342,MATCH("Xero Invoice No",$A$1:$AB$1,0)),"")&amp;""&lt;&gt;"",ISNUMBER(AE3342),AD3342&lt;&gt;0),1,0)</f>
        <v/>
      </c>
      <c r="AG3342" s="55">
        <f>IF(AF3342=1,EOMONTH(AE3342,0),"")</f>
        <v/>
      </c>
      <c r="AH3342" s="9">
        <f>IF(AF3342=1,UPPER(TRIM(IFERROR(INDEX($A3342:$AB3342,MATCH("Client",$A$1:$AB$1,0)),"")&amp;"")),"")</f>
        <v/>
      </c>
      <c r="AI3342" s="9">
        <f>IF(AF3342=1,IFERROR(INDEX($A3342:$AB3342,MATCH("Cost Centre",$A$1:$AB$1,0)),"")&amp;"","")</f>
        <v/>
      </c>
      <c r="AJ3342" s="54">
        <f>IF(AND(AF3342=1,AE3342&gt;=set_FYStart,AE3342&lt;=set_AsAt),1,0)</f>
        <v/>
      </c>
      <c r="AK3342" s="54">
        <f>IF(AND(AJ3342=1,AH3342&lt;&gt;"",COUNTIFS($AH$2:AH3342,AH3342,$AJ$2:AJ3342,1)=1),N(AL3341)+1,"")</f>
        <v/>
      </c>
      <c r="AL3342" s="54">
        <f>IF(AK3342&lt;&gt;"",AK3342,N(AL3341))</f>
        <v/>
      </c>
    </row>
    <row r="3343">
      <c r="A3343" t="inlineStr">
        <is>
          <t>CON-1114</t>
        </is>
      </c>
      <c r="B3343" t="inlineStr">
        <is>
          <t>Consulting</t>
        </is>
      </c>
      <c r="AB3343" t="n">
        <v>1114</v>
      </c>
      <c r="AD3343" s="52">
        <f>IFERROR(N(IFERROR(INDEX($A3343:$AB3343,MATCH("Xero Invoiced Ex GST",$A$1:$AB$1,0)),"")),0)</f>
        <v/>
      </c>
      <c r="AE3343" s="53">
        <f>IFERROR(INDEX($A3343:$AB3343,MATCH("Xero Invoice Date",$A$1:$AB$1,0)),"")</f>
        <v/>
      </c>
      <c r="AF3343" s="54">
        <f>IF(AND(IFERROR(INDEX($A3343:$AB3343,MATCH("Xero Invoice No",$A$1:$AB$1,0)),"")&amp;""&lt;&gt;"",ISNUMBER(AE3343),AD3343&lt;&gt;0),1,0)</f>
        <v/>
      </c>
      <c r="AG3343" s="55">
        <f>IF(AF3343=1,EOMONTH(AE3343,0),"")</f>
        <v/>
      </c>
      <c r="AH3343" s="9">
        <f>IF(AF3343=1,UPPER(TRIM(IFERROR(INDEX($A3343:$AB3343,MATCH("Client",$A$1:$AB$1,0)),"")&amp;"")),"")</f>
        <v/>
      </c>
      <c r="AI3343" s="9">
        <f>IF(AF3343=1,IFERROR(INDEX($A3343:$AB3343,MATCH("Cost Centre",$A$1:$AB$1,0)),"")&amp;"","")</f>
        <v/>
      </c>
      <c r="AJ3343" s="54">
        <f>IF(AND(AF3343=1,AE3343&gt;=set_FYStart,AE3343&lt;=set_AsAt),1,0)</f>
        <v/>
      </c>
      <c r="AK3343" s="54">
        <f>IF(AND(AJ3343=1,AH3343&lt;&gt;"",COUNTIFS($AH$2:AH3343,AH3343,$AJ$2:AJ3343,1)=1),N(AL3342)+1,"")</f>
        <v/>
      </c>
      <c r="AL3343" s="54">
        <f>IF(AK3343&lt;&gt;"",AK3343,N(AL3342))</f>
        <v/>
      </c>
    </row>
    <row r="3344">
      <c r="A3344" t="inlineStr">
        <is>
          <t>ONS-1115</t>
        </is>
      </c>
      <c r="B3344" t="inlineStr">
        <is>
          <t>Onsite</t>
        </is>
      </c>
      <c r="AB3344" t="n">
        <v>1115</v>
      </c>
      <c r="AD3344" s="52">
        <f>IFERROR(N(IFERROR(INDEX($A3344:$AB3344,MATCH("Xero Invoiced Ex GST",$A$1:$AB$1,0)),"")),0)</f>
        <v/>
      </c>
      <c r="AE3344" s="53">
        <f>IFERROR(INDEX($A3344:$AB3344,MATCH("Xero Invoice Date",$A$1:$AB$1,0)),"")</f>
        <v/>
      </c>
      <c r="AF3344" s="54">
        <f>IF(AND(IFERROR(INDEX($A3344:$AB3344,MATCH("Xero Invoice No",$A$1:$AB$1,0)),"")&amp;""&lt;&gt;"",ISNUMBER(AE3344),AD3344&lt;&gt;0),1,0)</f>
        <v/>
      </c>
      <c r="AG3344" s="55">
        <f>IF(AF3344=1,EOMONTH(AE3344,0),"")</f>
        <v/>
      </c>
      <c r="AH3344" s="9">
        <f>IF(AF3344=1,UPPER(TRIM(IFERROR(INDEX($A3344:$AB3344,MATCH("Client",$A$1:$AB$1,0)),"")&amp;"")),"")</f>
        <v/>
      </c>
      <c r="AI3344" s="9">
        <f>IF(AF3344=1,IFERROR(INDEX($A3344:$AB3344,MATCH("Cost Centre",$A$1:$AB$1,0)),"")&amp;"","")</f>
        <v/>
      </c>
      <c r="AJ3344" s="54">
        <f>IF(AND(AF3344=1,AE3344&gt;=set_FYStart,AE3344&lt;=set_AsAt),1,0)</f>
        <v/>
      </c>
      <c r="AK3344" s="54">
        <f>IF(AND(AJ3344=1,AH3344&lt;&gt;"",COUNTIFS($AH$2:AH3344,AH3344,$AJ$2:AJ3344,1)=1),N(AL3343)+1,"")</f>
        <v/>
      </c>
      <c r="AL3344" s="54">
        <f>IF(AK3344&lt;&gt;"",AK3344,N(AL3343))</f>
        <v/>
      </c>
    </row>
    <row r="3345">
      <c r="A3345" t="inlineStr">
        <is>
          <t>PRD-1115</t>
        </is>
      </c>
      <c r="B3345" t="inlineStr">
        <is>
          <t>Production</t>
        </is>
      </c>
      <c r="AB3345" t="n">
        <v>1115</v>
      </c>
      <c r="AD3345" s="52">
        <f>IFERROR(N(IFERROR(INDEX($A3345:$AB3345,MATCH("Xero Invoiced Ex GST",$A$1:$AB$1,0)),"")),0)</f>
        <v/>
      </c>
      <c r="AE3345" s="53">
        <f>IFERROR(INDEX($A3345:$AB3345,MATCH("Xero Invoice Date",$A$1:$AB$1,0)),"")</f>
        <v/>
      </c>
      <c r="AF3345" s="54">
        <f>IF(AND(IFERROR(INDEX($A3345:$AB3345,MATCH("Xero Invoice No",$A$1:$AB$1,0)),"")&amp;""&lt;&gt;"",ISNUMBER(AE3345),AD3345&lt;&gt;0),1,0)</f>
        <v/>
      </c>
      <c r="AG3345" s="55">
        <f>IF(AF3345=1,EOMONTH(AE3345,0),"")</f>
        <v/>
      </c>
      <c r="AH3345" s="9">
        <f>IF(AF3345=1,UPPER(TRIM(IFERROR(INDEX($A3345:$AB3345,MATCH("Client",$A$1:$AB$1,0)),"")&amp;"")),"")</f>
        <v/>
      </c>
      <c r="AI3345" s="9">
        <f>IF(AF3345=1,IFERROR(INDEX($A3345:$AB3345,MATCH("Cost Centre",$A$1:$AB$1,0)),"")&amp;"","")</f>
        <v/>
      </c>
      <c r="AJ3345" s="54">
        <f>IF(AND(AF3345=1,AE3345&gt;=set_FYStart,AE3345&lt;=set_AsAt),1,0)</f>
        <v/>
      </c>
      <c r="AK3345" s="54">
        <f>IF(AND(AJ3345=1,AH3345&lt;&gt;"",COUNTIFS($AH$2:AH3345,AH3345,$AJ$2:AJ3345,1)=1),N(AL3344)+1,"")</f>
        <v/>
      </c>
      <c r="AL3345" s="54">
        <f>IF(AK3345&lt;&gt;"",AK3345,N(AL3344))</f>
        <v/>
      </c>
    </row>
    <row r="3346">
      <c r="A3346" t="inlineStr">
        <is>
          <t>CON-1115</t>
        </is>
      </c>
      <c r="B3346" t="inlineStr">
        <is>
          <t>Consulting</t>
        </is>
      </c>
      <c r="AB3346" t="n">
        <v>1115</v>
      </c>
      <c r="AD3346" s="52">
        <f>IFERROR(N(IFERROR(INDEX($A3346:$AB3346,MATCH("Xero Invoiced Ex GST",$A$1:$AB$1,0)),"")),0)</f>
        <v/>
      </c>
      <c r="AE3346" s="53">
        <f>IFERROR(INDEX($A3346:$AB3346,MATCH("Xero Invoice Date",$A$1:$AB$1,0)),"")</f>
        <v/>
      </c>
      <c r="AF3346" s="54">
        <f>IF(AND(IFERROR(INDEX($A3346:$AB3346,MATCH("Xero Invoice No",$A$1:$AB$1,0)),"")&amp;""&lt;&gt;"",ISNUMBER(AE3346),AD3346&lt;&gt;0),1,0)</f>
        <v/>
      </c>
      <c r="AG3346" s="55">
        <f>IF(AF3346=1,EOMONTH(AE3346,0),"")</f>
        <v/>
      </c>
      <c r="AH3346" s="9">
        <f>IF(AF3346=1,UPPER(TRIM(IFERROR(INDEX($A3346:$AB3346,MATCH("Client",$A$1:$AB$1,0)),"")&amp;"")),"")</f>
        <v/>
      </c>
      <c r="AI3346" s="9">
        <f>IF(AF3346=1,IFERROR(INDEX($A3346:$AB3346,MATCH("Cost Centre",$A$1:$AB$1,0)),"")&amp;"","")</f>
        <v/>
      </c>
      <c r="AJ3346" s="54">
        <f>IF(AND(AF3346=1,AE3346&gt;=set_FYStart,AE3346&lt;=set_AsAt),1,0)</f>
        <v/>
      </c>
      <c r="AK3346" s="54">
        <f>IF(AND(AJ3346=1,AH3346&lt;&gt;"",COUNTIFS($AH$2:AH3346,AH3346,$AJ$2:AJ3346,1)=1),N(AL3345)+1,"")</f>
        <v/>
      </c>
      <c r="AL3346" s="54">
        <f>IF(AK3346&lt;&gt;"",AK3346,N(AL3345))</f>
        <v/>
      </c>
    </row>
    <row r="3347">
      <c r="A3347" t="inlineStr">
        <is>
          <t>ONS-1116</t>
        </is>
      </c>
      <c r="B3347" t="inlineStr">
        <is>
          <t>Onsite</t>
        </is>
      </c>
      <c r="AB3347" t="n">
        <v>1116</v>
      </c>
      <c r="AD3347" s="52">
        <f>IFERROR(N(IFERROR(INDEX($A3347:$AB3347,MATCH("Xero Invoiced Ex GST",$A$1:$AB$1,0)),"")),0)</f>
        <v/>
      </c>
      <c r="AE3347" s="53">
        <f>IFERROR(INDEX($A3347:$AB3347,MATCH("Xero Invoice Date",$A$1:$AB$1,0)),"")</f>
        <v/>
      </c>
      <c r="AF3347" s="54">
        <f>IF(AND(IFERROR(INDEX($A3347:$AB3347,MATCH("Xero Invoice No",$A$1:$AB$1,0)),"")&amp;""&lt;&gt;"",ISNUMBER(AE3347),AD3347&lt;&gt;0),1,0)</f>
        <v/>
      </c>
      <c r="AG3347" s="55">
        <f>IF(AF3347=1,EOMONTH(AE3347,0),"")</f>
        <v/>
      </c>
      <c r="AH3347" s="9">
        <f>IF(AF3347=1,UPPER(TRIM(IFERROR(INDEX($A3347:$AB3347,MATCH("Client",$A$1:$AB$1,0)),"")&amp;"")),"")</f>
        <v/>
      </c>
      <c r="AI3347" s="9">
        <f>IF(AF3347=1,IFERROR(INDEX($A3347:$AB3347,MATCH("Cost Centre",$A$1:$AB$1,0)),"")&amp;"","")</f>
        <v/>
      </c>
      <c r="AJ3347" s="54">
        <f>IF(AND(AF3347=1,AE3347&gt;=set_FYStart,AE3347&lt;=set_AsAt),1,0)</f>
        <v/>
      </c>
      <c r="AK3347" s="54">
        <f>IF(AND(AJ3347=1,AH3347&lt;&gt;"",COUNTIFS($AH$2:AH3347,AH3347,$AJ$2:AJ3347,1)=1),N(AL3346)+1,"")</f>
        <v/>
      </c>
      <c r="AL3347" s="54">
        <f>IF(AK3347&lt;&gt;"",AK3347,N(AL3346))</f>
        <v/>
      </c>
    </row>
    <row r="3348">
      <c r="A3348" t="inlineStr">
        <is>
          <t>PRD-1116</t>
        </is>
      </c>
      <c r="B3348" t="inlineStr">
        <is>
          <t>Production</t>
        </is>
      </c>
      <c r="AB3348" t="n">
        <v>1116</v>
      </c>
      <c r="AD3348" s="52">
        <f>IFERROR(N(IFERROR(INDEX($A3348:$AB3348,MATCH("Xero Invoiced Ex GST",$A$1:$AB$1,0)),"")),0)</f>
        <v/>
      </c>
      <c r="AE3348" s="53">
        <f>IFERROR(INDEX($A3348:$AB3348,MATCH("Xero Invoice Date",$A$1:$AB$1,0)),"")</f>
        <v/>
      </c>
      <c r="AF3348" s="54">
        <f>IF(AND(IFERROR(INDEX($A3348:$AB3348,MATCH("Xero Invoice No",$A$1:$AB$1,0)),"")&amp;""&lt;&gt;"",ISNUMBER(AE3348),AD3348&lt;&gt;0),1,0)</f>
        <v/>
      </c>
      <c r="AG3348" s="55">
        <f>IF(AF3348=1,EOMONTH(AE3348,0),"")</f>
        <v/>
      </c>
      <c r="AH3348" s="9">
        <f>IF(AF3348=1,UPPER(TRIM(IFERROR(INDEX($A3348:$AB3348,MATCH("Client",$A$1:$AB$1,0)),"")&amp;"")),"")</f>
        <v/>
      </c>
      <c r="AI3348" s="9">
        <f>IF(AF3348=1,IFERROR(INDEX($A3348:$AB3348,MATCH("Cost Centre",$A$1:$AB$1,0)),"")&amp;"","")</f>
        <v/>
      </c>
      <c r="AJ3348" s="54">
        <f>IF(AND(AF3348=1,AE3348&gt;=set_FYStart,AE3348&lt;=set_AsAt),1,0)</f>
        <v/>
      </c>
      <c r="AK3348" s="54">
        <f>IF(AND(AJ3348=1,AH3348&lt;&gt;"",COUNTIFS($AH$2:AH3348,AH3348,$AJ$2:AJ3348,1)=1),N(AL3347)+1,"")</f>
        <v/>
      </c>
      <c r="AL3348" s="54">
        <f>IF(AK3348&lt;&gt;"",AK3348,N(AL3347))</f>
        <v/>
      </c>
    </row>
    <row r="3349">
      <c r="A3349" t="inlineStr">
        <is>
          <t>CON-1116</t>
        </is>
      </c>
      <c r="B3349" t="inlineStr">
        <is>
          <t>Consulting</t>
        </is>
      </c>
      <c r="AB3349" t="n">
        <v>1116</v>
      </c>
      <c r="AD3349" s="52">
        <f>IFERROR(N(IFERROR(INDEX($A3349:$AB3349,MATCH("Xero Invoiced Ex GST",$A$1:$AB$1,0)),"")),0)</f>
        <v/>
      </c>
      <c r="AE3349" s="53">
        <f>IFERROR(INDEX($A3349:$AB3349,MATCH("Xero Invoice Date",$A$1:$AB$1,0)),"")</f>
        <v/>
      </c>
      <c r="AF3349" s="54">
        <f>IF(AND(IFERROR(INDEX($A3349:$AB3349,MATCH("Xero Invoice No",$A$1:$AB$1,0)),"")&amp;""&lt;&gt;"",ISNUMBER(AE3349),AD3349&lt;&gt;0),1,0)</f>
        <v/>
      </c>
      <c r="AG3349" s="55">
        <f>IF(AF3349=1,EOMONTH(AE3349,0),"")</f>
        <v/>
      </c>
      <c r="AH3349" s="9">
        <f>IF(AF3349=1,UPPER(TRIM(IFERROR(INDEX($A3349:$AB3349,MATCH("Client",$A$1:$AB$1,0)),"")&amp;"")),"")</f>
        <v/>
      </c>
      <c r="AI3349" s="9">
        <f>IF(AF3349=1,IFERROR(INDEX($A3349:$AB3349,MATCH("Cost Centre",$A$1:$AB$1,0)),"")&amp;"","")</f>
        <v/>
      </c>
      <c r="AJ3349" s="54">
        <f>IF(AND(AF3349=1,AE3349&gt;=set_FYStart,AE3349&lt;=set_AsAt),1,0)</f>
        <v/>
      </c>
      <c r="AK3349" s="54">
        <f>IF(AND(AJ3349=1,AH3349&lt;&gt;"",COUNTIFS($AH$2:AH3349,AH3349,$AJ$2:AJ3349,1)=1),N(AL3348)+1,"")</f>
        <v/>
      </c>
      <c r="AL3349" s="54">
        <f>IF(AK3349&lt;&gt;"",AK3349,N(AL3348))</f>
        <v/>
      </c>
    </row>
    <row r="3350">
      <c r="A3350" t="inlineStr">
        <is>
          <t>ONS-1117</t>
        </is>
      </c>
      <c r="B3350" t="inlineStr">
        <is>
          <t>Onsite</t>
        </is>
      </c>
      <c r="AB3350" t="n">
        <v>1117</v>
      </c>
      <c r="AD3350" s="52">
        <f>IFERROR(N(IFERROR(INDEX($A3350:$AB3350,MATCH("Xero Invoiced Ex GST",$A$1:$AB$1,0)),"")),0)</f>
        <v/>
      </c>
      <c r="AE3350" s="53">
        <f>IFERROR(INDEX($A3350:$AB3350,MATCH("Xero Invoice Date",$A$1:$AB$1,0)),"")</f>
        <v/>
      </c>
      <c r="AF3350" s="54">
        <f>IF(AND(IFERROR(INDEX($A3350:$AB3350,MATCH("Xero Invoice No",$A$1:$AB$1,0)),"")&amp;""&lt;&gt;"",ISNUMBER(AE3350),AD3350&lt;&gt;0),1,0)</f>
        <v/>
      </c>
      <c r="AG3350" s="55">
        <f>IF(AF3350=1,EOMONTH(AE3350,0),"")</f>
        <v/>
      </c>
      <c r="AH3350" s="9">
        <f>IF(AF3350=1,UPPER(TRIM(IFERROR(INDEX($A3350:$AB3350,MATCH("Client",$A$1:$AB$1,0)),"")&amp;"")),"")</f>
        <v/>
      </c>
      <c r="AI3350" s="9">
        <f>IF(AF3350=1,IFERROR(INDEX($A3350:$AB3350,MATCH("Cost Centre",$A$1:$AB$1,0)),"")&amp;"","")</f>
        <v/>
      </c>
      <c r="AJ3350" s="54">
        <f>IF(AND(AF3350=1,AE3350&gt;=set_FYStart,AE3350&lt;=set_AsAt),1,0)</f>
        <v/>
      </c>
      <c r="AK3350" s="54">
        <f>IF(AND(AJ3350=1,AH3350&lt;&gt;"",COUNTIFS($AH$2:AH3350,AH3350,$AJ$2:AJ3350,1)=1),N(AL3349)+1,"")</f>
        <v/>
      </c>
      <c r="AL3350" s="54">
        <f>IF(AK3350&lt;&gt;"",AK3350,N(AL3349))</f>
        <v/>
      </c>
    </row>
    <row r="3351">
      <c r="A3351" t="inlineStr">
        <is>
          <t>PRD-1117</t>
        </is>
      </c>
      <c r="B3351" t="inlineStr">
        <is>
          <t>Production</t>
        </is>
      </c>
      <c r="AB3351" t="n">
        <v>1117</v>
      </c>
      <c r="AD3351" s="52">
        <f>IFERROR(N(IFERROR(INDEX($A3351:$AB3351,MATCH("Xero Invoiced Ex GST",$A$1:$AB$1,0)),"")),0)</f>
        <v/>
      </c>
      <c r="AE3351" s="53">
        <f>IFERROR(INDEX($A3351:$AB3351,MATCH("Xero Invoice Date",$A$1:$AB$1,0)),"")</f>
        <v/>
      </c>
      <c r="AF3351" s="54">
        <f>IF(AND(IFERROR(INDEX($A3351:$AB3351,MATCH("Xero Invoice No",$A$1:$AB$1,0)),"")&amp;""&lt;&gt;"",ISNUMBER(AE3351),AD3351&lt;&gt;0),1,0)</f>
        <v/>
      </c>
      <c r="AG3351" s="55">
        <f>IF(AF3351=1,EOMONTH(AE3351,0),"")</f>
        <v/>
      </c>
      <c r="AH3351" s="9">
        <f>IF(AF3351=1,UPPER(TRIM(IFERROR(INDEX($A3351:$AB3351,MATCH("Client",$A$1:$AB$1,0)),"")&amp;"")),"")</f>
        <v/>
      </c>
      <c r="AI3351" s="9">
        <f>IF(AF3351=1,IFERROR(INDEX($A3351:$AB3351,MATCH("Cost Centre",$A$1:$AB$1,0)),"")&amp;"","")</f>
        <v/>
      </c>
      <c r="AJ3351" s="54">
        <f>IF(AND(AF3351=1,AE3351&gt;=set_FYStart,AE3351&lt;=set_AsAt),1,0)</f>
        <v/>
      </c>
      <c r="AK3351" s="54">
        <f>IF(AND(AJ3351=1,AH3351&lt;&gt;"",COUNTIFS($AH$2:AH3351,AH3351,$AJ$2:AJ3351,1)=1),N(AL3350)+1,"")</f>
        <v/>
      </c>
      <c r="AL3351" s="54">
        <f>IF(AK3351&lt;&gt;"",AK3351,N(AL3350))</f>
        <v/>
      </c>
    </row>
    <row r="3352">
      <c r="A3352" t="inlineStr">
        <is>
          <t>CON-1117</t>
        </is>
      </c>
      <c r="B3352" t="inlineStr">
        <is>
          <t>Consulting</t>
        </is>
      </c>
      <c r="AB3352" t="n">
        <v>1117</v>
      </c>
      <c r="AD3352" s="52">
        <f>IFERROR(N(IFERROR(INDEX($A3352:$AB3352,MATCH("Xero Invoiced Ex GST",$A$1:$AB$1,0)),"")),0)</f>
        <v/>
      </c>
      <c r="AE3352" s="53">
        <f>IFERROR(INDEX($A3352:$AB3352,MATCH("Xero Invoice Date",$A$1:$AB$1,0)),"")</f>
        <v/>
      </c>
      <c r="AF3352" s="54">
        <f>IF(AND(IFERROR(INDEX($A3352:$AB3352,MATCH("Xero Invoice No",$A$1:$AB$1,0)),"")&amp;""&lt;&gt;"",ISNUMBER(AE3352),AD3352&lt;&gt;0),1,0)</f>
        <v/>
      </c>
      <c r="AG3352" s="55">
        <f>IF(AF3352=1,EOMONTH(AE3352,0),"")</f>
        <v/>
      </c>
      <c r="AH3352" s="9">
        <f>IF(AF3352=1,UPPER(TRIM(IFERROR(INDEX($A3352:$AB3352,MATCH("Client",$A$1:$AB$1,0)),"")&amp;"")),"")</f>
        <v/>
      </c>
      <c r="AI3352" s="9">
        <f>IF(AF3352=1,IFERROR(INDEX($A3352:$AB3352,MATCH("Cost Centre",$A$1:$AB$1,0)),"")&amp;"","")</f>
        <v/>
      </c>
      <c r="AJ3352" s="54">
        <f>IF(AND(AF3352=1,AE3352&gt;=set_FYStart,AE3352&lt;=set_AsAt),1,0)</f>
        <v/>
      </c>
      <c r="AK3352" s="54">
        <f>IF(AND(AJ3352=1,AH3352&lt;&gt;"",COUNTIFS($AH$2:AH3352,AH3352,$AJ$2:AJ3352,1)=1),N(AL3351)+1,"")</f>
        <v/>
      </c>
      <c r="AL3352" s="54">
        <f>IF(AK3352&lt;&gt;"",AK3352,N(AL3351))</f>
        <v/>
      </c>
    </row>
    <row r="3353">
      <c r="A3353" t="inlineStr">
        <is>
          <t>ONS-1118</t>
        </is>
      </c>
      <c r="B3353" t="inlineStr">
        <is>
          <t>Onsite</t>
        </is>
      </c>
      <c r="AB3353" t="n">
        <v>1118</v>
      </c>
      <c r="AD3353" s="52">
        <f>IFERROR(N(IFERROR(INDEX($A3353:$AB3353,MATCH("Xero Invoiced Ex GST",$A$1:$AB$1,0)),"")),0)</f>
        <v/>
      </c>
      <c r="AE3353" s="53">
        <f>IFERROR(INDEX($A3353:$AB3353,MATCH("Xero Invoice Date",$A$1:$AB$1,0)),"")</f>
        <v/>
      </c>
      <c r="AF3353" s="54">
        <f>IF(AND(IFERROR(INDEX($A3353:$AB3353,MATCH("Xero Invoice No",$A$1:$AB$1,0)),"")&amp;""&lt;&gt;"",ISNUMBER(AE3353),AD3353&lt;&gt;0),1,0)</f>
        <v/>
      </c>
      <c r="AG3353" s="55">
        <f>IF(AF3353=1,EOMONTH(AE3353,0),"")</f>
        <v/>
      </c>
      <c r="AH3353" s="9">
        <f>IF(AF3353=1,UPPER(TRIM(IFERROR(INDEX($A3353:$AB3353,MATCH("Client",$A$1:$AB$1,0)),"")&amp;"")),"")</f>
        <v/>
      </c>
      <c r="AI3353" s="9">
        <f>IF(AF3353=1,IFERROR(INDEX($A3353:$AB3353,MATCH("Cost Centre",$A$1:$AB$1,0)),"")&amp;"","")</f>
        <v/>
      </c>
      <c r="AJ3353" s="54">
        <f>IF(AND(AF3353=1,AE3353&gt;=set_FYStart,AE3353&lt;=set_AsAt),1,0)</f>
        <v/>
      </c>
      <c r="AK3353" s="54">
        <f>IF(AND(AJ3353=1,AH3353&lt;&gt;"",COUNTIFS($AH$2:AH3353,AH3353,$AJ$2:AJ3353,1)=1),N(AL3352)+1,"")</f>
        <v/>
      </c>
      <c r="AL3353" s="54">
        <f>IF(AK3353&lt;&gt;"",AK3353,N(AL3352))</f>
        <v/>
      </c>
    </row>
    <row r="3354">
      <c r="A3354" t="inlineStr">
        <is>
          <t>PRD-1118</t>
        </is>
      </c>
      <c r="B3354" t="inlineStr">
        <is>
          <t>Production</t>
        </is>
      </c>
      <c r="AB3354" t="n">
        <v>1118</v>
      </c>
      <c r="AD3354" s="52">
        <f>IFERROR(N(IFERROR(INDEX($A3354:$AB3354,MATCH("Xero Invoiced Ex GST",$A$1:$AB$1,0)),"")),0)</f>
        <v/>
      </c>
      <c r="AE3354" s="53">
        <f>IFERROR(INDEX($A3354:$AB3354,MATCH("Xero Invoice Date",$A$1:$AB$1,0)),"")</f>
        <v/>
      </c>
      <c r="AF3354" s="54">
        <f>IF(AND(IFERROR(INDEX($A3354:$AB3354,MATCH("Xero Invoice No",$A$1:$AB$1,0)),"")&amp;""&lt;&gt;"",ISNUMBER(AE3354),AD3354&lt;&gt;0),1,0)</f>
        <v/>
      </c>
      <c r="AG3354" s="55">
        <f>IF(AF3354=1,EOMONTH(AE3354,0),"")</f>
        <v/>
      </c>
      <c r="AH3354" s="9">
        <f>IF(AF3354=1,UPPER(TRIM(IFERROR(INDEX($A3354:$AB3354,MATCH("Client",$A$1:$AB$1,0)),"")&amp;"")),"")</f>
        <v/>
      </c>
      <c r="AI3354" s="9">
        <f>IF(AF3354=1,IFERROR(INDEX($A3354:$AB3354,MATCH("Cost Centre",$A$1:$AB$1,0)),"")&amp;"","")</f>
        <v/>
      </c>
      <c r="AJ3354" s="54">
        <f>IF(AND(AF3354=1,AE3354&gt;=set_FYStart,AE3354&lt;=set_AsAt),1,0)</f>
        <v/>
      </c>
      <c r="AK3354" s="54">
        <f>IF(AND(AJ3354=1,AH3354&lt;&gt;"",COUNTIFS($AH$2:AH3354,AH3354,$AJ$2:AJ3354,1)=1),N(AL3353)+1,"")</f>
        <v/>
      </c>
      <c r="AL3354" s="54">
        <f>IF(AK3354&lt;&gt;"",AK3354,N(AL3353))</f>
        <v/>
      </c>
    </row>
    <row r="3355">
      <c r="A3355" t="inlineStr">
        <is>
          <t>CON-1118</t>
        </is>
      </c>
      <c r="B3355" t="inlineStr">
        <is>
          <t>Consulting</t>
        </is>
      </c>
      <c r="AB3355" t="n">
        <v>1118</v>
      </c>
      <c r="AD3355" s="52">
        <f>IFERROR(N(IFERROR(INDEX($A3355:$AB3355,MATCH("Xero Invoiced Ex GST",$A$1:$AB$1,0)),"")),0)</f>
        <v/>
      </c>
      <c r="AE3355" s="53">
        <f>IFERROR(INDEX($A3355:$AB3355,MATCH("Xero Invoice Date",$A$1:$AB$1,0)),"")</f>
        <v/>
      </c>
      <c r="AF3355" s="54">
        <f>IF(AND(IFERROR(INDEX($A3355:$AB3355,MATCH("Xero Invoice No",$A$1:$AB$1,0)),"")&amp;""&lt;&gt;"",ISNUMBER(AE3355),AD3355&lt;&gt;0),1,0)</f>
        <v/>
      </c>
      <c r="AG3355" s="55">
        <f>IF(AF3355=1,EOMONTH(AE3355,0),"")</f>
        <v/>
      </c>
      <c r="AH3355" s="9">
        <f>IF(AF3355=1,UPPER(TRIM(IFERROR(INDEX($A3355:$AB3355,MATCH("Client",$A$1:$AB$1,0)),"")&amp;"")),"")</f>
        <v/>
      </c>
      <c r="AI3355" s="9">
        <f>IF(AF3355=1,IFERROR(INDEX($A3355:$AB3355,MATCH("Cost Centre",$A$1:$AB$1,0)),"")&amp;"","")</f>
        <v/>
      </c>
      <c r="AJ3355" s="54">
        <f>IF(AND(AF3355=1,AE3355&gt;=set_FYStart,AE3355&lt;=set_AsAt),1,0)</f>
        <v/>
      </c>
      <c r="AK3355" s="54">
        <f>IF(AND(AJ3355=1,AH3355&lt;&gt;"",COUNTIFS($AH$2:AH3355,AH3355,$AJ$2:AJ3355,1)=1),N(AL3354)+1,"")</f>
        <v/>
      </c>
      <c r="AL3355" s="54">
        <f>IF(AK3355&lt;&gt;"",AK3355,N(AL3354))</f>
        <v/>
      </c>
    </row>
    <row r="3356">
      <c r="A3356" t="inlineStr">
        <is>
          <t>ONS-1119</t>
        </is>
      </c>
      <c r="B3356" t="inlineStr">
        <is>
          <t>Onsite</t>
        </is>
      </c>
      <c r="AB3356" t="n">
        <v>1119</v>
      </c>
      <c r="AD3356" s="52">
        <f>IFERROR(N(IFERROR(INDEX($A3356:$AB3356,MATCH("Xero Invoiced Ex GST",$A$1:$AB$1,0)),"")),0)</f>
        <v/>
      </c>
      <c r="AE3356" s="53">
        <f>IFERROR(INDEX($A3356:$AB3356,MATCH("Xero Invoice Date",$A$1:$AB$1,0)),"")</f>
        <v/>
      </c>
      <c r="AF3356" s="54">
        <f>IF(AND(IFERROR(INDEX($A3356:$AB3356,MATCH("Xero Invoice No",$A$1:$AB$1,0)),"")&amp;""&lt;&gt;"",ISNUMBER(AE3356),AD3356&lt;&gt;0),1,0)</f>
        <v/>
      </c>
      <c r="AG3356" s="55">
        <f>IF(AF3356=1,EOMONTH(AE3356,0),"")</f>
        <v/>
      </c>
      <c r="AH3356" s="9">
        <f>IF(AF3356=1,UPPER(TRIM(IFERROR(INDEX($A3356:$AB3356,MATCH("Client",$A$1:$AB$1,0)),"")&amp;"")),"")</f>
        <v/>
      </c>
      <c r="AI3356" s="9">
        <f>IF(AF3356=1,IFERROR(INDEX($A3356:$AB3356,MATCH("Cost Centre",$A$1:$AB$1,0)),"")&amp;"","")</f>
        <v/>
      </c>
      <c r="AJ3356" s="54">
        <f>IF(AND(AF3356=1,AE3356&gt;=set_FYStart,AE3356&lt;=set_AsAt),1,0)</f>
        <v/>
      </c>
      <c r="AK3356" s="54">
        <f>IF(AND(AJ3356=1,AH3356&lt;&gt;"",COUNTIFS($AH$2:AH3356,AH3356,$AJ$2:AJ3356,1)=1),N(AL3355)+1,"")</f>
        <v/>
      </c>
      <c r="AL3356" s="54">
        <f>IF(AK3356&lt;&gt;"",AK3356,N(AL3355))</f>
        <v/>
      </c>
    </row>
    <row r="3357">
      <c r="A3357" t="inlineStr">
        <is>
          <t>PRD-1119</t>
        </is>
      </c>
      <c r="B3357" t="inlineStr">
        <is>
          <t>Production</t>
        </is>
      </c>
      <c r="AB3357" t="n">
        <v>1119</v>
      </c>
      <c r="AD3357" s="52">
        <f>IFERROR(N(IFERROR(INDEX($A3357:$AB3357,MATCH("Xero Invoiced Ex GST",$A$1:$AB$1,0)),"")),0)</f>
        <v/>
      </c>
      <c r="AE3357" s="53">
        <f>IFERROR(INDEX($A3357:$AB3357,MATCH("Xero Invoice Date",$A$1:$AB$1,0)),"")</f>
        <v/>
      </c>
      <c r="AF3357" s="54">
        <f>IF(AND(IFERROR(INDEX($A3357:$AB3357,MATCH("Xero Invoice No",$A$1:$AB$1,0)),"")&amp;""&lt;&gt;"",ISNUMBER(AE3357),AD3357&lt;&gt;0),1,0)</f>
        <v/>
      </c>
      <c r="AG3357" s="55">
        <f>IF(AF3357=1,EOMONTH(AE3357,0),"")</f>
        <v/>
      </c>
      <c r="AH3357" s="9">
        <f>IF(AF3357=1,UPPER(TRIM(IFERROR(INDEX($A3357:$AB3357,MATCH("Client",$A$1:$AB$1,0)),"")&amp;"")),"")</f>
        <v/>
      </c>
      <c r="AI3357" s="9">
        <f>IF(AF3357=1,IFERROR(INDEX($A3357:$AB3357,MATCH("Cost Centre",$A$1:$AB$1,0)),"")&amp;"","")</f>
        <v/>
      </c>
      <c r="AJ3357" s="54">
        <f>IF(AND(AF3357=1,AE3357&gt;=set_FYStart,AE3357&lt;=set_AsAt),1,0)</f>
        <v/>
      </c>
      <c r="AK3357" s="54">
        <f>IF(AND(AJ3357=1,AH3357&lt;&gt;"",COUNTIFS($AH$2:AH3357,AH3357,$AJ$2:AJ3357,1)=1),N(AL3356)+1,"")</f>
        <v/>
      </c>
      <c r="AL3357" s="54">
        <f>IF(AK3357&lt;&gt;"",AK3357,N(AL3356))</f>
        <v/>
      </c>
    </row>
    <row r="3358">
      <c r="A3358" t="inlineStr">
        <is>
          <t>CON-1119</t>
        </is>
      </c>
      <c r="B3358" t="inlineStr">
        <is>
          <t>Consulting</t>
        </is>
      </c>
      <c r="AB3358" t="n">
        <v>1119</v>
      </c>
      <c r="AD3358" s="52">
        <f>IFERROR(N(IFERROR(INDEX($A3358:$AB3358,MATCH("Xero Invoiced Ex GST",$A$1:$AB$1,0)),"")),0)</f>
        <v/>
      </c>
      <c r="AE3358" s="53">
        <f>IFERROR(INDEX($A3358:$AB3358,MATCH("Xero Invoice Date",$A$1:$AB$1,0)),"")</f>
        <v/>
      </c>
      <c r="AF3358" s="54">
        <f>IF(AND(IFERROR(INDEX($A3358:$AB3358,MATCH("Xero Invoice No",$A$1:$AB$1,0)),"")&amp;""&lt;&gt;"",ISNUMBER(AE3358),AD3358&lt;&gt;0),1,0)</f>
        <v/>
      </c>
      <c r="AG3358" s="55">
        <f>IF(AF3358=1,EOMONTH(AE3358,0),"")</f>
        <v/>
      </c>
      <c r="AH3358" s="9">
        <f>IF(AF3358=1,UPPER(TRIM(IFERROR(INDEX($A3358:$AB3358,MATCH("Client",$A$1:$AB$1,0)),"")&amp;"")),"")</f>
        <v/>
      </c>
      <c r="AI3358" s="9">
        <f>IF(AF3358=1,IFERROR(INDEX($A3358:$AB3358,MATCH("Cost Centre",$A$1:$AB$1,0)),"")&amp;"","")</f>
        <v/>
      </c>
      <c r="AJ3358" s="54">
        <f>IF(AND(AF3358=1,AE3358&gt;=set_FYStart,AE3358&lt;=set_AsAt),1,0)</f>
        <v/>
      </c>
      <c r="AK3358" s="54">
        <f>IF(AND(AJ3358=1,AH3358&lt;&gt;"",COUNTIFS($AH$2:AH3358,AH3358,$AJ$2:AJ3358,1)=1),N(AL3357)+1,"")</f>
        <v/>
      </c>
      <c r="AL3358" s="54">
        <f>IF(AK3358&lt;&gt;"",AK3358,N(AL3357))</f>
        <v/>
      </c>
    </row>
    <row r="3359">
      <c r="A3359" t="inlineStr">
        <is>
          <t>ONS-1120</t>
        </is>
      </c>
      <c r="B3359" t="inlineStr">
        <is>
          <t>Onsite</t>
        </is>
      </c>
      <c r="AB3359" t="n">
        <v>1120</v>
      </c>
      <c r="AD3359" s="52">
        <f>IFERROR(N(IFERROR(INDEX($A3359:$AB3359,MATCH("Xero Invoiced Ex GST",$A$1:$AB$1,0)),"")),0)</f>
        <v/>
      </c>
      <c r="AE3359" s="53">
        <f>IFERROR(INDEX($A3359:$AB3359,MATCH("Xero Invoice Date",$A$1:$AB$1,0)),"")</f>
        <v/>
      </c>
      <c r="AF3359" s="54">
        <f>IF(AND(IFERROR(INDEX($A3359:$AB3359,MATCH("Xero Invoice No",$A$1:$AB$1,0)),"")&amp;""&lt;&gt;"",ISNUMBER(AE3359),AD3359&lt;&gt;0),1,0)</f>
        <v/>
      </c>
      <c r="AG3359" s="55">
        <f>IF(AF3359=1,EOMONTH(AE3359,0),"")</f>
        <v/>
      </c>
      <c r="AH3359" s="9">
        <f>IF(AF3359=1,UPPER(TRIM(IFERROR(INDEX($A3359:$AB3359,MATCH("Client",$A$1:$AB$1,0)),"")&amp;"")),"")</f>
        <v/>
      </c>
      <c r="AI3359" s="9">
        <f>IF(AF3359=1,IFERROR(INDEX($A3359:$AB3359,MATCH("Cost Centre",$A$1:$AB$1,0)),"")&amp;"","")</f>
        <v/>
      </c>
      <c r="AJ3359" s="54">
        <f>IF(AND(AF3359=1,AE3359&gt;=set_FYStart,AE3359&lt;=set_AsAt),1,0)</f>
        <v/>
      </c>
      <c r="AK3359" s="54">
        <f>IF(AND(AJ3359=1,AH3359&lt;&gt;"",COUNTIFS($AH$2:AH3359,AH3359,$AJ$2:AJ3359,1)=1),N(AL3358)+1,"")</f>
        <v/>
      </c>
      <c r="AL3359" s="54">
        <f>IF(AK3359&lt;&gt;"",AK3359,N(AL3358))</f>
        <v/>
      </c>
    </row>
    <row r="3360">
      <c r="A3360" t="inlineStr">
        <is>
          <t>PRD-1120</t>
        </is>
      </c>
      <c r="B3360" t="inlineStr">
        <is>
          <t>Production</t>
        </is>
      </c>
      <c r="AB3360" t="n">
        <v>1120</v>
      </c>
      <c r="AD3360" s="52">
        <f>IFERROR(N(IFERROR(INDEX($A3360:$AB3360,MATCH("Xero Invoiced Ex GST",$A$1:$AB$1,0)),"")),0)</f>
        <v/>
      </c>
      <c r="AE3360" s="53">
        <f>IFERROR(INDEX($A3360:$AB3360,MATCH("Xero Invoice Date",$A$1:$AB$1,0)),"")</f>
        <v/>
      </c>
      <c r="AF3360" s="54">
        <f>IF(AND(IFERROR(INDEX($A3360:$AB3360,MATCH("Xero Invoice No",$A$1:$AB$1,0)),"")&amp;""&lt;&gt;"",ISNUMBER(AE3360),AD3360&lt;&gt;0),1,0)</f>
        <v/>
      </c>
      <c r="AG3360" s="55">
        <f>IF(AF3360=1,EOMONTH(AE3360,0),"")</f>
        <v/>
      </c>
      <c r="AH3360" s="9">
        <f>IF(AF3360=1,UPPER(TRIM(IFERROR(INDEX($A3360:$AB3360,MATCH("Client",$A$1:$AB$1,0)),"")&amp;"")),"")</f>
        <v/>
      </c>
      <c r="AI3360" s="9">
        <f>IF(AF3360=1,IFERROR(INDEX($A3360:$AB3360,MATCH("Cost Centre",$A$1:$AB$1,0)),"")&amp;"","")</f>
        <v/>
      </c>
      <c r="AJ3360" s="54">
        <f>IF(AND(AF3360=1,AE3360&gt;=set_FYStart,AE3360&lt;=set_AsAt),1,0)</f>
        <v/>
      </c>
      <c r="AK3360" s="54">
        <f>IF(AND(AJ3360=1,AH3360&lt;&gt;"",COUNTIFS($AH$2:AH3360,AH3360,$AJ$2:AJ3360,1)=1),N(AL3359)+1,"")</f>
        <v/>
      </c>
      <c r="AL3360" s="54">
        <f>IF(AK3360&lt;&gt;"",AK3360,N(AL3359))</f>
        <v/>
      </c>
    </row>
    <row r="3361">
      <c r="A3361" t="inlineStr">
        <is>
          <t>CON-1120</t>
        </is>
      </c>
      <c r="B3361" t="inlineStr">
        <is>
          <t>Consulting</t>
        </is>
      </c>
      <c r="AB3361" t="n">
        <v>1120</v>
      </c>
      <c r="AD3361" s="52">
        <f>IFERROR(N(IFERROR(INDEX($A3361:$AB3361,MATCH("Xero Invoiced Ex GST",$A$1:$AB$1,0)),"")),0)</f>
        <v/>
      </c>
      <c r="AE3361" s="53">
        <f>IFERROR(INDEX($A3361:$AB3361,MATCH("Xero Invoice Date",$A$1:$AB$1,0)),"")</f>
        <v/>
      </c>
      <c r="AF3361" s="54">
        <f>IF(AND(IFERROR(INDEX($A3361:$AB3361,MATCH("Xero Invoice No",$A$1:$AB$1,0)),"")&amp;""&lt;&gt;"",ISNUMBER(AE3361),AD3361&lt;&gt;0),1,0)</f>
        <v/>
      </c>
      <c r="AG3361" s="55">
        <f>IF(AF3361=1,EOMONTH(AE3361,0),"")</f>
        <v/>
      </c>
      <c r="AH3361" s="9">
        <f>IF(AF3361=1,UPPER(TRIM(IFERROR(INDEX($A3361:$AB3361,MATCH("Client",$A$1:$AB$1,0)),"")&amp;"")),"")</f>
        <v/>
      </c>
      <c r="AI3361" s="9">
        <f>IF(AF3361=1,IFERROR(INDEX($A3361:$AB3361,MATCH("Cost Centre",$A$1:$AB$1,0)),"")&amp;"","")</f>
        <v/>
      </c>
      <c r="AJ3361" s="54">
        <f>IF(AND(AF3361=1,AE3361&gt;=set_FYStart,AE3361&lt;=set_AsAt),1,0)</f>
        <v/>
      </c>
      <c r="AK3361" s="54">
        <f>IF(AND(AJ3361=1,AH3361&lt;&gt;"",COUNTIFS($AH$2:AH3361,AH3361,$AJ$2:AJ3361,1)=1),N(AL3360)+1,"")</f>
        <v/>
      </c>
      <c r="AL3361" s="54">
        <f>IF(AK3361&lt;&gt;"",AK3361,N(AL3360))</f>
        <v/>
      </c>
    </row>
    <row r="3362">
      <c r="A3362" t="inlineStr">
        <is>
          <t>ONS-1121</t>
        </is>
      </c>
      <c r="B3362" t="inlineStr">
        <is>
          <t>Onsite</t>
        </is>
      </c>
      <c r="AB3362" t="n">
        <v>1121</v>
      </c>
      <c r="AD3362" s="52">
        <f>IFERROR(N(IFERROR(INDEX($A3362:$AB3362,MATCH("Xero Invoiced Ex GST",$A$1:$AB$1,0)),"")),0)</f>
        <v/>
      </c>
      <c r="AE3362" s="53">
        <f>IFERROR(INDEX($A3362:$AB3362,MATCH("Xero Invoice Date",$A$1:$AB$1,0)),"")</f>
        <v/>
      </c>
      <c r="AF3362" s="54">
        <f>IF(AND(IFERROR(INDEX($A3362:$AB3362,MATCH("Xero Invoice No",$A$1:$AB$1,0)),"")&amp;""&lt;&gt;"",ISNUMBER(AE3362),AD3362&lt;&gt;0),1,0)</f>
        <v/>
      </c>
      <c r="AG3362" s="55">
        <f>IF(AF3362=1,EOMONTH(AE3362,0),"")</f>
        <v/>
      </c>
      <c r="AH3362" s="9">
        <f>IF(AF3362=1,UPPER(TRIM(IFERROR(INDEX($A3362:$AB3362,MATCH("Client",$A$1:$AB$1,0)),"")&amp;"")),"")</f>
        <v/>
      </c>
      <c r="AI3362" s="9">
        <f>IF(AF3362=1,IFERROR(INDEX($A3362:$AB3362,MATCH("Cost Centre",$A$1:$AB$1,0)),"")&amp;"","")</f>
        <v/>
      </c>
      <c r="AJ3362" s="54">
        <f>IF(AND(AF3362=1,AE3362&gt;=set_FYStart,AE3362&lt;=set_AsAt),1,0)</f>
        <v/>
      </c>
      <c r="AK3362" s="54">
        <f>IF(AND(AJ3362=1,AH3362&lt;&gt;"",COUNTIFS($AH$2:AH3362,AH3362,$AJ$2:AJ3362,1)=1),N(AL3361)+1,"")</f>
        <v/>
      </c>
      <c r="AL3362" s="54">
        <f>IF(AK3362&lt;&gt;"",AK3362,N(AL3361))</f>
        <v/>
      </c>
    </row>
    <row r="3363">
      <c r="A3363" t="inlineStr">
        <is>
          <t>PRD-1121</t>
        </is>
      </c>
      <c r="B3363" t="inlineStr">
        <is>
          <t>Production</t>
        </is>
      </c>
      <c r="AB3363" t="n">
        <v>1121</v>
      </c>
      <c r="AD3363" s="52">
        <f>IFERROR(N(IFERROR(INDEX($A3363:$AB3363,MATCH("Xero Invoiced Ex GST",$A$1:$AB$1,0)),"")),0)</f>
        <v/>
      </c>
      <c r="AE3363" s="53">
        <f>IFERROR(INDEX($A3363:$AB3363,MATCH("Xero Invoice Date",$A$1:$AB$1,0)),"")</f>
        <v/>
      </c>
      <c r="AF3363" s="54">
        <f>IF(AND(IFERROR(INDEX($A3363:$AB3363,MATCH("Xero Invoice No",$A$1:$AB$1,0)),"")&amp;""&lt;&gt;"",ISNUMBER(AE3363),AD3363&lt;&gt;0),1,0)</f>
        <v/>
      </c>
      <c r="AG3363" s="55">
        <f>IF(AF3363=1,EOMONTH(AE3363,0),"")</f>
        <v/>
      </c>
      <c r="AH3363" s="9">
        <f>IF(AF3363=1,UPPER(TRIM(IFERROR(INDEX($A3363:$AB3363,MATCH("Client",$A$1:$AB$1,0)),"")&amp;"")),"")</f>
        <v/>
      </c>
      <c r="AI3363" s="9">
        <f>IF(AF3363=1,IFERROR(INDEX($A3363:$AB3363,MATCH("Cost Centre",$A$1:$AB$1,0)),"")&amp;"","")</f>
        <v/>
      </c>
      <c r="AJ3363" s="54">
        <f>IF(AND(AF3363=1,AE3363&gt;=set_FYStart,AE3363&lt;=set_AsAt),1,0)</f>
        <v/>
      </c>
      <c r="AK3363" s="54">
        <f>IF(AND(AJ3363=1,AH3363&lt;&gt;"",COUNTIFS($AH$2:AH3363,AH3363,$AJ$2:AJ3363,1)=1),N(AL3362)+1,"")</f>
        <v/>
      </c>
      <c r="AL3363" s="54">
        <f>IF(AK3363&lt;&gt;"",AK3363,N(AL3362))</f>
        <v/>
      </c>
    </row>
    <row r="3364">
      <c r="A3364" t="inlineStr">
        <is>
          <t>CON-1121</t>
        </is>
      </c>
      <c r="B3364" t="inlineStr">
        <is>
          <t>Consulting</t>
        </is>
      </c>
      <c r="AB3364" t="n">
        <v>1121</v>
      </c>
      <c r="AD3364" s="52">
        <f>IFERROR(N(IFERROR(INDEX($A3364:$AB3364,MATCH("Xero Invoiced Ex GST",$A$1:$AB$1,0)),"")),0)</f>
        <v/>
      </c>
      <c r="AE3364" s="53">
        <f>IFERROR(INDEX($A3364:$AB3364,MATCH("Xero Invoice Date",$A$1:$AB$1,0)),"")</f>
        <v/>
      </c>
      <c r="AF3364" s="54">
        <f>IF(AND(IFERROR(INDEX($A3364:$AB3364,MATCH("Xero Invoice No",$A$1:$AB$1,0)),"")&amp;""&lt;&gt;"",ISNUMBER(AE3364),AD3364&lt;&gt;0),1,0)</f>
        <v/>
      </c>
      <c r="AG3364" s="55">
        <f>IF(AF3364=1,EOMONTH(AE3364,0),"")</f>
        <v/>
      </c>
      <c r="AH3364" s="9">
        <f>IF(AF3364=1,UPPER(TRIM(IFERROR(INDEX($A3364:$AB3364,MATCH("Client",$A$1:$AB$1,0)),"")&amp;"")),"")</f>
        <v/>
      </c>
      <c r="AI3364" s="9">
        <f>IF(AF3364=1,IFERROR(INDEX($A3364:$AB3364,MATCH("Cost Centre",$A$1:$AB$1,0)),"")&amp;"","")</f>
        <v/>
      </c>
      <c r="AJ3364" s="54">
        <f>IF(AND(AF3364=1,AE3364&gt;=set_FYStart,AE3364&lt;=set_AsAt),1,0)</f>
        <v/>
      </c>
      <c r="AK3364" s="54">
        <f>IF(AND(AJ3364=1,AH3364&lt;&gt;"",COUNTIFS($AH$2:AH3364,AH3364,$AJ$2:AJ3364,1)=1),N(AL3363)+1,"")</f>
        <v/>
      </c>
      <c r="AL3364" s="54">
        <f>IF(AK3364&lt;&gt;"",AK3364,N(AL3363))</f>
        <v/>
      </c>
    </row>
    <row r="3365">
      <c r="A3365" t="inlineStr">
        <is>
          <t>ONS-1122</t>
        </is>
      </c>
      <c r="B3365" t="inlineStr">
        <is>
          <t>Onsite</t>
        </is>
      </c>
      <c r="AB3365" t="n">
        <v>1122</v>
      </c>
      <c r="AD3365" s="52">
        <f>IFERROR(N(IFERROR(INDEX($A3365:$AB3365,MATCH("Xero Invoiced Ex GST",$A$1:$AB$1,0)),"")),0)</f>
        <v/>
      </c>
      <c r="AE3365" s="53">
        <f>IFERROR(INDEX($A3365:$AB3365,MATCH("Xero Invoice Date",$A$1:$AB$1,0)),"")</f>
        <v/>
      </c>
      <c r="AF3365" s="54">
        <f>IF(AND(IFERROR(INDEX($A3365:$AB3365,MATCH("Xero Invoice No",$A$1:$AB$1,0)),"")&amp;""&lt;&gt;"",ISNUMBER(AE3365),AD3365&lt;&gt;0),1,0)</f>
        <v/>
      </c>
      <c r="AG3365" s="55">
        <f>IF(AF3365=1,EOMONTH(AE3365,0),"")</f>
        <v/>
      </c>
      <c r="AH3365" s="9">
        <f>IF(AF3365=1,UPPER(TRIM(IFERROR(INDEX($A3365:$AB3365,MATCH("Client",$A$1:$AB$1,0)),"")&amp;"")),"")</f>
        <v/>
      </c>
      <c r="AI3365" s="9">
        <f>IF(AF3365=1,IFERROR(INDEX($A3365:$AB3365,MATCH("Cost Centre",$A$1:$AB$1,0)),"")&amp;"","")</f>
        <v/>
      </c>
      <c r="AJ3365" s="54">
        <f>IF(AND(AF3365=1,AE3365&gt;=set_FYStart,AE3365&lt;=set_AsAt),1,0)</f>
        <v/>
      </c>
      <c r="AK3365" s="54">
        <f>IF(AND(AJ3365=1,AH3365&lt;&gt;"",COUNTIFS($AH$2:AH3365,AH3365,$AJ$2:AJ3365,1)=1),N(AL3364)+1,"")</f>
        <v/>
      </c>
      <c r="AL3365" s="54">
        <f>IF(AK3365&lt;&gt;"",AK3365,N(AL3364))</f>
        <v/>
      </c>
    </row>
    <row r="3366">
      <c r="A3366" t="inlineStr">
        <is>
          <t>PRD-1122</t>
        </is>
      </c>
      <c r="B3366" t="inlineStr">
        <is>
          <t>Production</t>
        </is>
      </c>
      <c r="AB3366" t="n">
        <v>1122</v>
      </c>
      <c r="AD3366" s="52">
        <f>IFERROR(N(IFERROR(INDEX($A3366:$AB3366,MATCH("Xero Invoiced Ex GST",$A$1:$AB$1,0)),"")),0)</f>
        <v/>
      </c>
      <c r="AE3366" s="53">
        <f>IFERROR(INDEX($A3366:$AB3366,MATCH("Xero Invoice Date",$A$1:$AB$1,0)),"")</f>
        <v/>
      </c>
      <c r="AF3366" s="54">
        <f>IF(AND(IFERROR(INDEX($A3366:$AB3366,MATCH("Xero Invoice No",$A$1:$AB$1,0)),"")&amp;""&lt;&gt;"",ISNUMBER(AE3366),AD3366&lt;&gt;0),1,0)</f>
        <v/>
      </c>
      <c r="AG3366" s="55">
        <f>IF(AF3366=1,EOMONTH(AE3366,0),"")</f>
        <v/>
      </c>
      <c r="AH3366" s="9">
        <f>IF(AF3366=1,UPPER(TRIM(IFERROR(INDEX($A3366:$AB3366,MATCH("Client",$A$1:$AB$1,0)),"")&amp;"")),"")</f>
        <v/>
      </c>
      <c r="AI3366" s="9">
        <f>IF(AF3366=1,IFERROR(INDEX($A3366:$AB3366,MATCH("Cost Centre",$A$1:$AB$1,0)),"")&amp;"","")</f>
        <v/>
      </c>
      <c r="AJ3366" s="54">
        <f>IF(AND(AF3366=1,AE3366&gt;=set_FYStart,AE3366&lt;=set_AsAt),1,0)</f>
        <v/>
      </c>
      <c r="AK3366" s="54">
        <f>IF(AND(AJ3366=1,AH3366&lt;&gt;"",COUNTIFS($AH$2:AH3366,AH3366,$AJ$2:AJ3366,1)=1),N(AL3365)+1,"")</f>
        <v/>
      </c>
      <c r="AL3366" s="54">
        <f>IF(AK3366&lt;&gt;"",AK3366,N(AL3365))</f>
        <v/>
      </c>
    </row>
    <row r="3367">
      <c r="A3367" t="inlineStr">
        <is>
          <t>CON-1122</t>
        </is>
      </c>
      <c r="B3367" t="inlineStr">
        <is>
          <t>Consulting</t>
        </is>
      </c>
      <c r="AB3367" t="n">
        <v>1122</v>
      </c>
      <c r="AD3367" s="52">
        <f>IFERROR(N(IFERROR(INDEX($A3367:$AB3367,MATCH("Xero Invoiced Ex GST",$A$1:$AB$1,0)),"")),0)</f>
        <v/>
      </c>
      <c r="AE3367" s="53">
        <f>IFERROR(INDEX($A3367:$AB3367,MATCH("Xero Invoice Date",$A$1:$AB$1,0)),"")</f>
        <v/>
      </c>
      <c r="AF3367" s="54">
        <f>IF(AND(IFERROR(INDEX($A3367:$AB3367,MATCH("Xero Invoice No",$A$1:$AB$1,0)),"")&amp;""&lt;&gt;"",ISNUMBER(AE3367),AD3367&lt;&gt;0),1,0)</f>
        <v/>
      </c>
      <c r="AG3367" s="55">
        <f>IF(AF3367=1,EOMONTH(AE3367,0),"")</f>
        <v/>
      </c>
      <c r="AH3367" s="9">
        <f>IF(AF3367=1,UPPER(TRIM(IFERROR(INDEX($A3367:$AB3367,MATCH("Client",$A$1:$AB$1,0)),"")&amp;"")),"")</f>
        <v/>
      </c>
      <c r="AI3367" s="9">
        <f>IF(AF3367=1,IFERROR(INDEX($A3367:$AB3367,MATCH("Cost Centre",$A$1:$AB$1,0)),"")&amp;"","")</f>
        <v/>
      </c>
      <c r="AJ3367" s="54">
        <f>IF(AND(AF3367=1,AE3367&gt;=set_FYStart,AE3367&lt;=set_AsAt),1,0)</f>
        <v/>
      </c>
      <c r="AK3367" s="54">
        <f>IF(AND(AJ3367=1,AH3367&lt;&gt;"",COUNTIFS($AH$2:AH3367,AH3367,$AJ$2:AJ3367,1)=1),N(AL3366)+1,"")</f>
        <v/>
      </c>
      <c r="AL3367" s="54">
        <f>IF(AK3367&lt;&gt;"",AK3367,N(AL3366))</f>
        <v/>
      </c>
    </row>
    <row r="3368">
      <c r="A3368" t="inlineStr">
        <is>
          <t>ONS-1123</t>
        </is>
      </c>
      <c r="B3368" t="inlineStr">
        <is>
          <t>Onsite</t>
        </is>
      </c>
      <c r="AB3368" t="n">
        <v>1123</v>
      </c>
      <c r="AD3368" s="52">
        <f>IFERROR(N(IFERROR(INDEX($A3368:$AB3368,MATCH("Xero Invoiced Ex GST",$A$1:$AB$1,0)),"")),0)</f>
        <v/>
      </c>
      <c r="AE3368" s="53">
        <f>IFERROR(INDEX($A3368:$AB3368,MATCH("Xero Invoice Date",$A$1:$AB$1,0)),"")</f>
        <v/>
      </c>
      <c r="AF3368" s="54">
        <f>IF(AND(IFERROR(INDEX($A3368:$AB3368,MATCH("Xero Invoice No",$A$1:$AB$1,0)),"")&amp;""&lt;&gt;"",ISNUMBER(AE3368),AD3368&lt;&gt;0),1,0)</f>
        <v/>
      </c>
      <c r="AG3368" s="55">
        <f>IF(AF3368=1,EOMONTH(AE3368,0),"")</f>
        <v/>
      </c>
      <c r="AH3368" s="9">
        <f>IF(AF3368=1,UPPER(TRIM(IFERROR(INDEX($A3368:$AB3368,MATCH("Client",$A$1:$AB$1,0)),"")&amp;"")),"")</f>
        <v/>
      </c>
      <c r="AI3368" s="9">
        <f>IF(AF3368=1,IFERROR(INDEX($A3368:$AB3368,MATCH("Cost Centre",$A$1:$AB$1,0)),"")&amp;"","")</f>
        <v/>
      </c>
      <c r="AJ3368" s="54">
        <f>IF(AND(AF3368=1,AE3368&gt;=set_FYStart,AE3368&lt;=set_AsAt),1,0)</f>
        <v/>
      </c>
      <c r="AK3368" s="54">
        <f>IF(AND(AJ3368=1,AH3368&lt;&gt;"",COUNTIFS($AH$2:AH3368,AH3368,$AJ$2:AJ3368,1)=1),N(AL3367)+1,"")</f>
        <v/>
      </c>
      <c r="AL3368" s="54">
        <f>IF(AK3368&lt;&gt;"",AK3368,N(AL3367))</f>
        <v/>
      </c>
    </row>
    <row r="3369">
      <c r="A3369" t="inlineStr">
        <is>
          <t>PRD-1123</t>
        </is>
      </c>
      <c r="B3369" t="inlineStr">
        <is>
          <t>Production</t>
        </is>
      </c>
      <c r="AB3369" t="n">
        <v>1123</v>
      </c>
      <c r="AD3369" s="52">
        <f>IFERROR(N(IFERROR(INDEX($A3369:$AB3369,MATCH("Xero Invoiced Ex GST",$A$1:$AB$1,0)),"")),0)</f>
        <v/>
      </c>
      <c r="AE3369" s="53">
        <f>IFERROR(INDEX($A3369:$AB3369,MATCH("Xero Invoice Date",$A$1:$AB$1,0)),"")</f>
        <v/>
      </c>
      <c r="AF3369" s="54">
        <f>IF(AND(IFERROR(INDEX($A3369:$AB3369,MATCH("Xero Invoice No",$A$1:$AB$1,0)),"")&amp;""&lt;&gt;"",ISNUMBER(AE3369),AD3369&lt;&gt;0),1,0)</f>
        <v/>
      </c>
      <c r="AG3369" s="55">
        <f>IF(AF3369=1,EOMONTH(AE3369,0),"")</f>
        <v/>
      </c>
      <c r="AH3369" s="9">
        <f>IF(AF3369=1,UPPER(TRIM(IFERROR(INDEX($A3369:$AB3369,MATCH("Client",$A$1:$AB$1,0)),"")&amp;"")),"")</f>
        <v/>
      </c>
      <c r="AI3369" s="9">
        <f>IF(AF3369=1,IFERROR(INDEX($A3369:$AB3369,MATCH("Cost Centre",$A$1:$AB$1,0)),"")&amp;"","")</f>
        <v/>
      </c>
      <c r="AJ3369" s="54">
        <f>IF(AND(AF3369=1,AE3369&gt;=set_FYStart,AE3369&lt;=set_AsAt),1,0)</f>
        <v/>
      </c>
      <c r="AK3369" s="54">
        <f>IF(AND(AJ3369=1,AH3369&lt;&gt;"",COUNTIFS($AH$2:AH3369,AH3369,$AJ$2:AJ3369,1)=1),N(AL3368)+1,"")</f>
        <v/>
      </c>
      <c r="AL3369" s="54">
        <f>IF(AK3369&lt;&gt;"",AK3369,N(AL3368))</f>
        <v/>
      </c>
    </row>
    <row r="3370">
      <c r="A3370" t="inlineStr">
        <is>
          <t>CON-1123</t>
        </is>
      </c>
      <c r="B3370" t="inlineStr">
        <is>
          <t>Consulting</t>
        </is>
      </c>
      <c r="AB3370" t="n">
        <v>1123</v>
      </c>
      <c r="AD3370" s="52">
        <f>IFERROR(N(IFERROR(INDEX($A3370:$AB3370,MATCH("Xero Invoiced Ex GST",$A$1:$AB$1,0)),"")),0)</f>
        <v/>
      </c>
      <c r="AE3370" s="53">
        <f>IFERROR(INDEX($A3370:$AB3370,MATCH("Xero Invoice Date",$A$1:$AB$1,0)),"")</f>
        <v/>
      </c>
      <c r="AF3370" s="54">
        <f>IF(AND(IFERROR(INDEX($A3370:$AB3370,MATCH("Xero Invoice No",$A$1:$AB$1,0)),"")&amp;""&lt;&gt;"",ISNUMBER(AE3370),AD3370&lt;&gt;0),1,0)</f>
        <v/>
      </c>
      <c r="AG3370" s="55">
        <f>IF(AF3370=1,EOMONTH(AE3370,0),"")</f>
        <v/>
      </c>
      <c r="AH3370" s="9">
        <f>IF(AF3370=1,UPPER(TRIM(IFERROR(INDEX($A3370:$AB3370,MATCH("Client",$A$1:$AB$1,0)),"")&amp;"")),"")</f>
        <v/>
      </c>
      <c r="AI3370" s="9">
        <f>IF(AF3370=1,IFERROR(INDEX($A3370:$AB3370,MATCH("Cost Centre",$A$1:$AB$1,0)),"")&amp;"","")</f>
        <v/>
      </c>
      <c r="AJ3370" s="54">
        <f>IF(AND(AF3370=1,AE3370&gt;=set_FYStart,AE3370&lt;=set_AsAt),1,0)</f>
        <v/>
      </c>
      <c r="AK3370" s="54">
        <f>IF(AND(AJ3370=1,AH3370&lt;&gt;"",COUNTIFS($AH$2:AH3370,AH3370,$AJ$2:AJ3370,1)=1),N(AL3369)+1,"")</f>
        <v/>
      </c>
      <c r="AL3370" s="54">
        <f>IF(AK3370&lt;&gt;"",AK3370,N(AL3369))</f>
        <v/>
      </c>
    </row>
    <row r="3371">
      <c r="A3371" t="inlineStr">
        <is>
          <t>ONS-1124</t>
        </is>
      </c>
      <c r="B3371" t="inlineStr">
        <is>
          <t>Onsite</t>
        </is>
      </c>
      <c r="AB3371" t="n">
        <v>1124</v>
      </c>
      <c r="AD3371" s="52">
        <f>IFERROR(N(IFERROR(INDEX($A3371:$AB3371,MATCH("Xero Invoiced Ex GST",$A$1:$AB$1,0)),"")),0)</f>
        <v/>
      </c>
      <c r="AE3371" s="53">
        <f>IFERROR(INDEX($A3371:$AB3371,MATCH("Xero Invoice Date",$A$1:$AB$1,0)),"")</f>
        <v/>
      </c>
      <c r="AF3371" s="54">
        <f>IF(AND(IFERROR(INDEX($A3371:$AB3371,MATCH("Xero Invoice No",$A$1:$AB$1,0)),"")&amp;""&lt;&gt;"",ISNUMBER(AE3371),AD3371&lt;&gt;0),1,0)</f>
        <v/>
      </c>
      <c r="AG3371" s="55">
        <f>IF(AF3371=1,EOMONTH(AE3371,0),"")</f>
        <v/>
      </c>
      <c r="AH3371" s="9">
        <f>IF(AF3371=1,UPPER(TRIM(IFERROR(INDEX($A3371:$AB3371,MATCH("Client",$A$1:$AB$1,0)),"")&amp;"")),"")</f>
        <v/>
      </c>
      <c r="AI3371" s="9">
        <f>IF(AF3371=1,IFERROR(INDEX($A3371:$AB3371,MATCH("Cost Centre",$A$1:$AB$1,0)),"")&amp;"","")</f>
        <v/>
      </c>
      <c r="AJ3371" s="54">
        <f>IF(AND(AF3371=1,AE3371&gt;=set_FYStart,AE3371&lt;=set_AsAt),1,0)</f>
        <v/>
      </c>
      <c r="AK3371" s="54">
        <f>IF(AND(AJ3371=1,AH3371&lt;&gt;"",COUNTIFS($AH$2:AH3371,AH3371,$AJ$2:AJ3371,1)=1),N(AL3370)+1,"")</f>
        <v/>
      </c>
      <c r="AL3371" s="54">
        <f>IF(AK3371&lt;&gt;"",AK3371,N(AL3370))</f>
        <v/>
      </c>
    </row>
    <row r="3372">
      <c r="A3372" t="inlineStr">
        <is>
          <t>PRD-1124</t>
        </is>
      </c>
      <c r="B3372" t="inlineStr">
        <is>
          <t>Production</t>
        </is>
      </c>
      <c r="AB3372" t="n">
        <v>1124</v>
      </c>
      <c r="AD3372" s="52">
        <f>IFERROR(N(IFERROR(INDEX($A3372:$AB3372,MATCH("Xero Invoiced Ex GST",$A$1:$AB$1,0)),"")),0)</f>
        <v/>
      </c>
      <c r="AE3372" s="53">
        <f>IFERROR(INDEX($A3372:$AB3372,MATCH("Xero Invoice Date",$A$1:$AB$1,0)),"")</f>
        <v/>
      </c>
      <c r="AF3372" s="54">
        <f>IF(AND(IFERROR(INDEX($A3372:$AB3372,MATCH("Xero Invoice No",$A$1:$AB$1,0)),"")&amp;""&lt;&gt;"",ISNUMBER(AE3372),AD3372&lt;&gt;0),1,0)</f>
        <v/>
      </c>
      <c r="AG3372" s="55">
        <f>IF(AF3372=1,EOMONTH(AE3372,0),"")</f>
        <v/>
      </c>
      <c r="AH3372" s="9">
        <f>IF(AF3372=1,UPPER(TRIM(IFERROR(INDEX($A3372:$AB3372,MATCH("Client",$A$1:$AB$1,0)),"")&amp;"")),"")</f>
        <v/>
      </c>
      <c r="AI3372" s="9">
        <f>IF(AF3372=1,IFERROR(INDEX($A3372:$AB3372,MATCH("Cost Centre",$A$1:$AB$1,0)),"")&amp;"","")</f>
        <v/>
      </c>
      <c r="AJ3372" s="54">
        <f>IF(AND(AF3372=1,AE3372&gt;=set_FYStart,AE3372&lt;=set_AsAt),1,0)</f>
        <v/>
      </c>
      <c r="AK3372" s="54">
        <f>IF(AND(AJ3372=1,AH3372&lt;&gt;"",COUNTIFS($AH$2:AH3372,AH3372,$AJ$2:AJ3372,1)=1),N(AL3371)+1,"")</f>
        <v/>
      </c>
      <c r="AL3372" s="54">
        <f>IF(AK3372&lt;&gt;"",AK3372,N(AL3371))</f>
        <v/>
      </c>
    </row>
    <row r="3373">
      <c r="A3373" t="inlineStr">
        <is>
          <t>CON-1124</t>
        </is>
      </c>
      <c r="B3373" t="inlineStr">
        <is>
          <t>Consulting</t>
        </is>
      </c>
      <c r="AB3373" t="n">
        <v>1124</v>
      </c>
      <c r="AD3373" s="52">
        <f>IFERROR(N(IFERROR(INDEX($A3373:$AB3373,MATCH("Xero Invoiced Ex GST",$A$1:$AB$1,0)),"")),0)</f>
        <v/>
      </c>
      <c r="AE3373" s="53">
        <f>IFERROR(INDEX($A3373:$AB3373,MATCH("Xero Invoice Date",$A$1:$AB$1,0)),"")</f>
        <v/>
      </c>
      <c r="AF3373" s="54">
        <f>IF(AND(IFERROR(INDEX($A3373:$AB3373,MATCH("Xero Invoice No",$A$1:$AB$1,0)),"")&amp;""&lt;&gt;"",ISNUMBER(AE3373),AD3373&lt;&gt;0),1,0)</f>
        <v/>
      </c>
      <c r="AG3373" s="55">
        <f>IF(AF3373=1,EOMONTH(AE3373,0),"")</f>
        <v/>
      </c>
      <c r="AH3373" s="9">
        <f>IF(AF3373=1,UPPER(TRIM(IFERROR(INDEX($A3373:$AB3373,MATCH("Client",$A$1:$AB$1,0)),"")&amp;"")),"")</f>
        <v/>
      </c>
      <c r="AI3373" s="9">
        <f>IF(AF3373=1,IFERROR(INDEX($A3373:$AB3373,MATCH("Cost Centre",$A$1:$AB$1,0)),"")&amp;"","")</f>
        <v/>
      </c>
      <c r="AJ3373" s="54">
        <f>IF(AND(AF3373=1,AE3373&gt;=set_FYStart,AE3373&lt;=set_AsAt),1,0)</f>
        <v/>
      </c>
      <c r="AK3373" s="54">
        <f>IF(AND(AJ3373=1,AH3373&lt;&gt;"",COUNTIFS($AH$2:AH3373,AH3373,$AJ$2:AJ3373,1)=1),N(AL3372)+1,"")</f>
        <v/>
      </c>
      <c r="AL3373" s="54">
        <f>IF(AK3373&lt;&gt;"",AK3373,N(AL3372))</f>
        <v/>
      </c>
    </row>
    <row r="3374">
      <c r="A3374" t="inlineStr">
        <is>
          <t>ONS-1125</t>
        </is>
      </c>
      <c r="B3374" t="inlineStr">
        <is>
          <t>Onsite</t>
        </is>
      </c>
      <c r="AB3374" t="n">
        <v>1125</v>
      </c>
      <c r="AD3374" s="52">
        <f>IFERROR(N(IFERROR(INDEX($A3374:$AB3374,MATCH("Xero Invoiced Ex GST",$A$1:$AB$1,0)),"")),0)</f>
        <v/>
      </c>
      <c r="AE3374" s="53">
        <f>IFERROR(INDEX($A3374:$AB3374,MATCH("Xero Invoice Date",$A$1:$AB$1,0)),"")</f>
        <v/>
      </c>
      <c r="AF3374" s="54">
        <f>IF(AND(IFERROR(INDEX($A3374:$AB3374,MATCH("Xero Invoice No",$A$1:$AB$1,0)),"")&amp;""&lt;&gt;"",ISNUMBER(AE3374),AD3374&lt;&gt;0),1,0)</f>
        <v/>
      </c>
      <c r="AG3374" s="55">
        <f>IF(AF3374=1,EOMONTH(AE3374,0),"")</f>
        <v/>
      </c>
      <c r="AH3374" s="9">
        <f>IF(AF3374=1,UPPER(TRIM(IFERROR(INDEX($A3374:$AB3374,MATCH("Client",$A$1:$AB$1,0)),"")&amp;"")),"")</f>
        <v/>
      </c>
      <c r="AI3374" s="9">
        <f>IF(AF3374=1,IFERROR(INDEX($A3374:$AB3374,MATCH("Cost Centre",$A$1:$AB$1,0)),"")&amp;"","")</f>
        <v/>
      </c>
      <c r="AJ3374" s="54">
        <f>IF(AND(AF3374=1,AE3374&gt;=set_FYStart,AE3374&lt;=set_AsAt),1,0)</f>
        <v/>
      </c>
      <c r="AK3374" s="54">
        <f>IF(AND(AJ3374=1,AH3374&lt;&gt;"",COUNTIFS($AH$2:AH3374,AH3374,$AJ$2:AJ3374,1)=1),N(AL3373)+1,"")</f>
        <v/>
      </c>
      <c r="AL3374" s="54">
        <f>IF(AK3374&lt;&gt;"",AK3374,N(AL3373))</f>
        <v/>
      </c>
    </row>
    <row r="3375">
      <c r="A3375" t="inlineStr">
        <is>
          <t>PRD-1125</t>
        </is>
      </c>
      <c r="B3375" t="inlineStr">
        <is>
          <t>Production</t>
        </is>
      </c>
      <c r="AB3375" t="n">
        <v>1125</v>
      </c>
      <c r="AD3375" s="52">
        <f>IFERROR(N(IFERROR(INDEX($A3375:$AB3375,MATCH("Xero Invoiced Ex GST",$A$1:$AB$1,0)),"")),0)</f>
        <v/>
      </c>
      <c r="AE3375" s="53">
        <f>IFERROR(INDEX($A3375:$AB3375,MATCH("Xero Invoice Date",$A$1:$AB$1,0)),"")</f>
        <v/>
      </c>
      <c r="AF3375" s="54">
        <f>IF(AND(IFERROR(INDEX($A3375:$AB3375,MATCH("Xero Invoice No",$A$1:$AB$1,0)),"")&amp;""&lt;&gt;"",ISNUMBER(AE3375),AD3375&lt;&gt;0),1,0)</f>
        <v/>
      </c>
      <c r="AG3375" s="55">
        <f>IF(AF3375=1,EOMONTH(AE3375,0),"")</f>
        <v/>
      </c>
      <c r="AH3375" s="9">
        <f>IF(AF3375=1,UPPER(TRIM(IFERROR(INDEX($A3375:$AB3375,MATCH("Client",$A$1:$AB$1,0)),"")&amp;"")),"")</f>
        <v/>
      </c>
      <c r="AI3375" s="9">
        <f>IF(AF3375=1,IFERROR(INDEX($A3375:$AB3375,MATCH("Cost Centre",$A$1:$AB$1,0)),"")&amp;"","")</f>
        <v/>
      </c>
      <c r="AJ3375" s="54">
        <f>IF(AND(AF3375=1,AE3375&gt;=set_FYStart,AE3375&lt;=set_AsAt),1,0)</f>
        <v/>
      </c>
      <c r="AK3375" s="54">
        <f>IF(AND(AJ3375=1,AH3375&lt;&gt;"",COUNTIFS($AH$2:AH3375,AH3375,$AJ$2:AJ3375,1)=1),N(AL3374)+1,"")</f>
        <v/>
      </c>
      <c r="AL3375" s="54">
        <f>IF(AK3375&lt;&gt;"",AK3375,N(AL3374))</f>
        <v/>
      </c>
    </row>
    <row r="3376">
      <c r="A3376" t="inlineStr">
        <is>
          <t>CON-1125</t>
        </is>
      </c>
      <c r="B3376" t="inlineStr">
        <is>
          <t>Consulting</t>
        </is>
      </c>
      <c r="AB3376" t="n">
        <v>1125</v>
      </c>
      <c r="AD3376" s="52">
        <f>IFERROR(N(IFERROR(INDEX($A3376:$AB3376,MATCH("Xero Invoiced Ex GST",$A$1:$AB$1,0)),"")),0)</f>
        <v/>
      </c>
      <c r="AE3376" s="53">
        <f>IFERROR(INDEX($A3376:$AB3376,MATCH("Xero Invoice Date",$A$1:$AB$1,0)),"")</f>
        <v/>
      </c>
      <c r="AF3376" s="54">
        <f>IF(AND(IFERROR(INDEX($A3376:$AB3376,MATCH("Xero Invoice No",$A$1:$AB$1,0)),"")&amp;""&lt;&gt;"",ISNUMBER(AE3376),AD3376&lt;&gt;0),1,0)</f>
        <v/>
      </c>
      <c r="AG3376" s="55">
        <f>IF(AF3376=1,EOMONTH(AE3376,0),"")</f>
        <v/>
      </c>
      <c r="AH3376" s="9">
        <f>IF(AF3376=1,UPPER(TRIM(IFERROR(INDEX($A3376:$AB3376,MATCH("Client",$A$1:$AB$1,0)),"")&amp;"")),"")</f>
        <v/>
      </c>
      <c r="AI3376" s="9">
        <f>IF(AF3376=1,IFERROR(INDEX($A3376:$AB3376,MATCH("Cost Centre",$A$1:$AB$1,0)),"")&amp;"","")</f>
        <v/>
      </c>
      <c r="AJ3376" s="54">
        <f>IF(AND(AF3376=1,AE3376&gt;=set_FYStart,AE3376&lt;=set_AsAt),1,0)</f>
        <v/>
      </c>
      <c r="AK3376" s="54">
        <f>IF(AND(AJ3376=1,AH3376&lt;&gt;"",COUNTIFS($AH$2:AH3376,AH3376,$AJ$2:AJ3376,1)=1),N(AL3375)+1,"")</f>
        <v/>
      </c>
      <c r="AL3376" s="54">
        <f>IF(AK3376&lt;&gt;"",AK3376,N(AL3375))</f>
        <v/>
      </c>
    </row>
    <row r="3377">
      <c r="A3377" t="inlineStr">
        <is>
          <t>ONS-1126</t>
        </is>
      </c>
      <c r="B3377" t="inlineStr">
        <is>
          <t>Onsite</t>
        </is>
      </c>
      <c r="AB3377" t="n">
        <v>1126</v>
      </c>
      <c r="AD3377" s="52">
        <f>IFERROR(N(IFERROR(INDEX($A3377:$AB3377,MATCH("Xero Invoiced Ex GST",$A$1:$AB$1,0)),"")),0)</f>
        <v/>
      </c>
      <c r="AE3377" s="53">
        <f>IFERROR(INDEX($A3377:$AB3377,MATCH("Xero Invoice Date",$A$1:$AB$1,0)),"")</f>
        <v/>
      </c>
      <c r="AF3377" s="54">
        <f>IF(AND(IFERROR(INDEX($A3377:$AB3377,MATCH("Xero Invoice No",$A$1:$AB$1,0)),"")&amp;""&lt;&gt;"",ISNUMBER(AE3377),AD3377&lt;&gt;0),1,0)</f>
        <v/>
      </c>
      <c r="AG3377" s="55">
        <f>IF(AF3377=1,EOMONTH(AE3377,0),"")</f>
        <v/>
      </c>
      <c r="AH3377" s="9">
        <f>IF(AF3377=1,UPPER(TRIM(IFERROR(INDEX($A3377:$AB3377,MATCH("Client",$A$1:$AB$1,0)),"")&amp;"")),"")</f>
        <v/>
      </c>
      <c r="AI3377" s="9">
        <f>IF(AF3377=1,IFERROR(INDEX($A3377:$AB3377,MATCH("Cost Centre",$A$1:$AB$1,0)),"")&amp;"","")</f>
        <v/>
      </c>
      <c r="AJ3377" s="54">
        <f>IF(AND(AF3377=1,AE3377&gt;=set_FYStart,AE3377&lt;=set_AsAt),1,0)</f>
        <v/>
      </c>
      <c r="AK3377" s="54">
        <f>IF(AND(AJ3377=1,AH3377&lt;&gt;"",COUNTIFS($AH$2:AH3377,AH3377,$AJ$2:AJ3377,1)=1),N(AL3376)+1,"")</f>
        <v/>
      </c>
      <c r="AL3377" s="54">
        <f>IF(AK3377&lt;&gt;"",AK3377,N(AL3376))</f>
        <v/>
      </c>
    </row>
    <row r="3378">
      <c r="A3378" t="inlineStr">
        <is>
          <t>PRD-1126</t>
        </is>
      </c>
      <c r="B3378" t="inlineStr">
        <is>
          <t>Production</t>
        </is>
      </c>
      <c r="AB3378" t="n">
        <v>1126</v>
      </c>
      <c r="AD3378" s="52">
        <f>IFERROR(N(IFERROR(INDEX($A3378:$AB3378,MATCH("Xero Invoiced Ex GST",$A$1:$AB$1,0)),"")),0)</f>
        <v/>
      </c>
      <c r="AE3378" s="53">
        <f>IFERROR(INDEX($A3378:$AB3378,MATCH("Xero Invoice Date",$A$1:$AB$1,0)),"")</f>
        <v/>
      </c>
      <c r="AF3378" s="54">
        <f>IF(AND(IFERROR(INDEX($A3378:$AB3378,MATCH("Xero Invoice No",$A$1:$AB$1,0)),"")&amp;""&lt;&gt;"",ISNUMBER(AE3378),AD3378&lt;&gt;0),1,0)</f>
        <v/>
      </c>
      <c r="AG3378" s="55">
        <f>IF(AF3378=1,EOMONTH(AE3378,0),"")</f>
        <v/>
      </c>
      <c r="AH3378" s="9">
        <f>IF(AF3378=1,UPPER(TRIM(IFERROR(INDEX($A3378:$AB3378,MATCH("Client",$A$1:$AB$1,0)),"")&amp;"")),"")</f>
        <v/>
      </c>
      <c r="AI3378" s="9">
        <f>IF(AF3378=1,IFERROR(INDEX($A3378:$AB3378,MATCH("Cost Centre",$A$1:$AB$1,0)),"")&amp;"","")</f>
        <v/>
      </c>
      <c r="AJ3378" s="54">
        <f>IF(AND(AF3378=1,AE3378&gt;=set_FYStart,AE3378&lt;=set_AsAt),1,0)</f>
        <v/>
      </c>
      <c r="AK3378" s="54">
        <f>IF(AND(AJ3378=1,AH3378&lt;&gt;"",COUNTIFS($AH$2:AH3378,AH3378,$AJ$2:AJ3378,1)=1),N(AL3377)+1,"")</f>
        <v/>
      </c>
      <c r="AL3378" s="54">
        <f>IF(AK3378&lt;&gt;"",AK3378,N(AL3377))</f>
        <v/>
      </c>
    </row>
    <row r="3379">
      <c r="A3379" t="inlineStr">
        <is>
          <t>CON-1126</t>
        </is>
      </c>
      <c r="B3379" t="inlineStr">
        <is>
          <t>Consulting</t>
        </is>
      </c>
      <c r="AB3379" t="n">
        <v>1126</v>
      </c>
      <c r="AD3379" s="52">
        <f>IFERROR(N(IFERROR(INDEX($A3379:$AB3379,MATCH("Xero Invoiced Ex GST",$A$1:$AB$1,0)),"")),0)</f>
        <v/>
      </c>
      <c r="AE3379" s="53">
        <f>IFERROR(INDEX($A3379:$AB3379,MATCH("Xero Invoice Date",$A$1:$AB$1,0)),"")</f>
        <v/>
      </c>
      <c r="AF3379" s="54">
        <f>IF(AND(IFERROR(INDEX($A3379:$AB3379,MATCH("Xero Invoice No",$A$1:$AB$1,0)),"")&amp;""&lt;&gt;"",ISNUMBER(AE3379),AD3379&lt;&gt;0),1,0)</f>
        <v/>
      </c>
      <c r="AG3379" s="55">
        <f>IF(AF3379=1,EOMONTH(AE3379,0),"")</f>
        <v/>
      </c>
      <c r="AH3379" s="9">
        <f>IF(AF3379=1,UPPER(TRIM(IFERROR(INDEX($A3379:$AB3379,MATCH("Client",$A$1:$AB$1,0)),"")&amp;"")),"")</f>
        <v/>
      </c>
      <c r="AI3379" s="9">
        <f>IF(AF3379=1,IFERROR(INDEX($A3379:$AB3379,MATCH("Cost Centre",$A$1:$AB$1,0)),"")&amp;"","")</f>
        <v/>
      </c>
      <c r="AJ3379" s="54">
        <f>IF(AND(AF3379=1,AE3379&gt;=set_FYStart,AE3379&lt;=set_AsAt),1,0)</f>
        <v/>
      </c>
      <c r="AK3379" s="54">
        <f>IF(AND(AJ3379=1,AH3379&lt;&gt;"",COUNTIFS($AH$2:AH3379,AH3379,$AJ$2:AJ3379,1)=1),N(AL3378)+1,"")</f>
        <v/>
      </c>
      <c r="AL3379" s="54">
        <f>IF(AK3379&lt;&gt;"",AK3379,N(AL3378))</f>
        <v/>
      </c>
    </row>
    <row r="3380">
      <c r="A3380" t="inlineStr">
        <is>
          <t>ONS-1127</t>
        </is>
      </c>
      <c r="B3380" t="inlineStr">
        <is>
          <t>Onsite</t>
        </is>
      </c>
      <c r="AB3380" t="n">
        <v>1127</v>
      </c>
      <c r="AD3380" s="52">
        <f>IFERROR(N(IFERROR(INDEX($A3380:$AB3380,MATCH("Xero Invoiced Ex GST",$A$1:$AB$1,0)),"")),0)</f>
        <v/>
      </c>
      <c r="AE3380" s="53">
        <f>IFERROR(INDEX($A3380:$AB3380,MATCH("Xero Invoice Date",$A$1:$AB$1,0)),"")</f>
        <v/>
      </c>
      <c r="AF3380" s="54">
        <f>IF(AND(IFERROR(INDEX($A3380:$AB3380,MATCH("Xero Invoice No",$A$1:$AB$1,0)),"")&amp;""&lt;&gt;"",ISNUMBER(AE3380),AD3380&lt;&gt;0),1,0)</f>
        <v/>
      </c>
      <c r="AG3380" s="55">
        <f>IF(AF3380=1,EOMONTH(AE3380,0),"")</f>
        <v/>
      </c>
      <c r="AH3380" s="9">
        <f>IF(AF3380=1,UPPER(TRIM(IFERROR(INDEX($A3380:$AB3380,MATCH("Client",$A$1:$AB$1,0)),"")&amp;"")),"")</f>
        <v/>
      </c>
      <c r="AI3380" s="9">
        <f>IF(AF3380=1,IFERROR(INDEX($A3380:$AB3380,MATCH("Cost Centre",$A$1:$AB$1,0)),"")&amp;"","")</f>
        <v/>
      </c>
      <c r="AJ3380" s="54">
        <f>IF(AND(AF3380=1,AE3380&gt;=set_FYStart,AE3380&lt;=set_AsAt),1,0)</f>
        <v/>
      </c>
      <c r="AK3380" s="54">
        <f>IF(AND(AJ3380=1,AH3380&lt;&gt;"",COUNTIFS($AH$2:AH3380,AH3380,$AJ$2:AJ3380,1)=1),N(AL3379)+1,"")</f>
        <v/>
      </c>
      <c r="AL3380" s="54">
        <f>IF(AK3380&lt;&gt;"",AK3380,N(AL3379))</f>
        <v/>
      </c>
    </row>
    <row r="3381">
      <c r="A3381" t="inlineStr">
        <is>
          <t>PRD-1127</t>
        </is>
      </c>
      <c r="B3381" t="inlineStr">
        <is>
          <t>Production</t>
        </is>
      </c>
      <c r="AB3381" t="n">
        <v>1127</v>
      </c>
      <c r="AD3381" s="52">
        <f>IFERROR(N(IFERROR(INDEX($A3381:$AB3381,MATCH("Xero Invoiced Ex GST",$A$1:$AB$1,0)),"")),0)</f>
        <v/>
      </c>
      <c r="AE3381" s="53">
        <f>IFERROR(INDEX($A3381:$AB3381,MATCH("Xero Invoice Date",$A$1:$AB$1,0)),"")</f>
        <v/>
      </c>
      <c r="AF3381" s="54">
        <f>IF(AND(IFERROR(INDEX($A3381:$AB3381,MATCH("Xero Invoice No",$A$1:$AB$1,0)),"")&amp;""&lt;&gt;"",ISNUMBER(AE3381),AD3381&lt;&gt;0),1,0)</f>
        <v/>
      </c>
      <c r="AG3381" s="55">
        <f>IF(AF3381=1,EOMONTH(AE3381,0),"")</f>
        <v/>
      </c>
      <c r="AH3381" s="9">
        <f>IF(AF3381=1,UPPER(TRIM(IFERROR(INDEX($A3381:$AB3381,MATCH("Client",$A$1:$AB$1,0)),"")&amp;"")),"")</f>
        <v/>
      </c>
      <c r="AI3381" s="9">
        <f>IF(AF3381=1,IFERROR(INDEX($A3381:$AB3381,MATCH("Cost Centre",$A$1:$AB$1,0)),"")&amp;"","")</f>
        <v/>
      </c>
      <c r="AJ3381" s="54">
        <f>IF(AND(AF3381=1,AE3381&gt;=set_FYStart,AE3381&lt;=set_AsAt),1,0)</f>
        <v/>
      </c>
      <c r="AK3381" s="54">
        <f>IF(AND(AJ3381=1,AH3381&lt;&gt;"",COUNTIFS($AH$2:AH3381,AH3381,$AJ$2:AJ3381,1)=1),N(AL3380)+1,"")</f>
        <v/>
      </c>
      <c r="AL3381" s="54">
        <f>IF(AK3381&lt;&gt;"",AK3381,N(AL3380))</f>
        <v/>
      </c>
    </row>
    <row r="3382">
      <c r="A3382" t="inlineStr">
        <is>
          <t>CON-1127</t>
        </is>
      </c>
      <c r="B3382" t="inlineStr">
        <is>
          <t>Consulting</t>
        </is>
      </c>
      <c r="AB3382" t="n">
        <v>1127</v>
      </c>
      <c r="AD3382" s="52">
        <f>IFERROR(N(IFERROR(INDEX($A3382:$AB3382,MATCH("Xero Invoiced Ex GST",$A$1:$AB$1,0)),"")),0)</f>
        <v/>
      </c>
      <c r="AE3382" s="53">
        <f>IFERROR(INDEX($A3382:$AB3382,MATCH("Xero Invoice Date",$A$1:$AB$1,0)),"")</f>
        <v/>
      </c>
      <c r="AF3382" s="54">
        <f>IF(AND(IFERROR(INDEX($A3382:$AB3382,MATCH("Xero Invoice No",$A$1:$AB$1,0)),"")&amp;""&lt;&gt;"",ISNUMBER(AE3382),AD3382&lt;&gt;0),1,0)</f>
        <v/>
      </c>
      <c r="AG3382" s="55">
        <f>IF(AF3382=1,EOMONTH(AE3382,0),"")</f>
        <v/>
      </c>
      <c r="AH3382" s="9">
        <f>IF(AF3382=1,UPPER(TRIM(IFERROR(INDEX($A3382:$AB3382,MATCH("Client",$A$1:$AB$1,0)),"")&amp;"")),"")</f>
        <v/>
      </c>
      <c r="AI3382" s="9">
        <f>IF(AF3382=1,IFERROR(INDEX($A3382:$AB3382,MATCH("Cost Centre",$A$1:$AB$1,0)),"")&amp;"","")</f>
        <v/>
      </c>
      <c r="AJ3382" s="54">
        <f>IF(AND(AF3382=1,AE3382&gt;=set_FYStart,AE3382&lt;=set_AsAt),1,0)</f>
        <v/>
      </c>
      <c r="AK3382" s="54">
        <f>IF(AND(AJ3382=1,AH3382&lt;&gt;"",COUNTIFS($AH$2:AH3382,AH3382,$AJ$2:AJ3382,1)=1),N(AL3381)+1,"")</f>
        <v/>
      </c>
      <c r="AL3382" s="54">
        <f>IF(AK3382&lt;&gt;"",AK3382,N(AL3381))</f>
        <v/>
      </c>
    </row>
    <row r="3383">
      <c r="A3383" t="inlineStr">
        <is>
          <t>ONS-1128</t>
        </is>
      </c>
      <c r="B3383" t="inlineStr">
        <is>
          <t>Onsite</t>
        </is>
      </c>
      <c r="AB3383" t="n">
        <v>1128</v>
      </c>
      <c r="AD3383" s="52">
        <f>IFERROR(N(IFERROR(INDEX($A3383:$AB3383,MATCH("Xero Invoiced Ex GST",$A$1:$AB$1,0)),"")),0)</f>
        <v/>
      </c>
      <c r="AE3383" s="53">
        <f>IFERROR(INDEX($A3383:$AB3383,MATCH("Xero Invoice Date",$A$1:$AB$1,0)),"")</f>
        <v/>
      </c>
      <c r="AF3383" s="54">
        <f>IF(AND(IFERROR(INDEX($A3383:$AB3383,MATCH("Xero Invoice No",$A$1:$AB$1,0)),"")&amp;""&lt;&gt;"",ISNUMBER(AE3383),AD3383&lt;&gt;0),1,0)</f>
        <v/>
      </c>
      <c r="AG3383" s="55">
        <f>IF(AF3383=1,EOMONTH(AE3383,0),"")</f>
        <v/>
      </c>
      <c r="AH3383" s="9">
        <f>IF(AF3383=1,UPPER(TRIM(IFERROR(INDEX($A3383:$AB3383,MATCH("Client",$A$1:$AB$1,0)),"")&amp;"")),"")</f>
        <v/>
      </c>
      <c r="AI3383" s="9">
        <f>IF(AF3383=1,IFERROR(INDEX($A3383:$AB3383,MATCH("Cost Centre",$A$1:$AB$1,0)),"")&amp;"","")</f>
        <v/>
      </c>
      <c r="AJ3383" s="54">
        <f>IF(AND(AF3383=1,AE3383&gt;=set_FYStart,AE3383&lt;=set_AsAt),1,0)</f>
        <v/>
      </c>
      <c r="AK3383" s="54">
        <f>IF(AND(AJ3383=1,AH3383&lt;&gt;"",COUNTIFS($AH$2:AH3383,AH3383,$AJ$2:AJ3383,1)=1),N(AL3382)+1,"")</f>
        <v/>
      </c>
      <c r="AL3383" s="54">
        <f>IF(AK3383&lt;&gt;"",AK3383,N(AL3382))</f>
        <v/>
      </c>
    </row>
    <row r="3384">
      <c r="A3384" t="inlineStr">
        <is>
          <t>PRD-1128</t>
        </is>
      </c>
      <c r="B3384" t="inlineStr">
        <is>
          <t>Production</t>
        </is>
      </c>
      <c r="AB3384" t="n">
        <v>1128</v>
      </c>
      <c r="AD3384" s="52">
        <f>IFERROR(N(IFERROR(INDEX($A3384:$AB3384,MATCH("Xero Invoiced Ex GST",$A$1:$AB$1,0)),"")),0)</f>
        <v/>
      </c>
      <c r="AE3384" s="53">
        <f>IFERROR(INDEX($A3384:$AB3384,MATCH("Xero Invoice Date",$A$1:$AB$1,0)),"")</f>
        <v/>
      </c>
      <c r="AF3384" s="54">
        <f>IF(AND(IFERROR(INDEX($A3384:$AB3384,MATCH("Xero Invoice No",$A$1:$AB$1,0)),"")&amp;""&lt;&gt;"",ISNUMBER(AE3384),AD3384&lt;&gt;0),1,0)</f>
        <v/>
      </c>
      <c r="AG3384" s="55">
        <f>IF(AF3384=1,EOMONTH(AE3384,0),"")</f>
        <v/>
      </c>
      <c r="AH3384" s="9">
        <f>IF(AF3384=1,UPPER(TRIM(IFERROR(INDEX($A3384:$AB3384,MATCH("Client",$A$1:$AB$1,0)),"")&amp;"")),"")</f>
        <v/>
      </c>
      <c r="AI3384" s="9">
        <f>IF(AF3384=1,IFERROR(INDEX($A3384:$AB3384,MATCH("Cost Centre",$A$1:$AB$1,0)),"")&amp;"","")</f>
        <v/>
      </c>
      <c r="AJ3384" s="54">
        <f>IF(AND(AF3384=1,AE3384&gt;=set_FYStart,AE3384&lt;=set_AsAt),1,0)</f>
        <v/>
      </c>
      <c r="AK3384" s="54">
        <f>IF(AND(AJ3384=1,AH3384&lt;&gt;"",COUNTIFS($AH$2:AH3384,AH3384,$AJ$2:AJ3384,1)=1),N(AL3383)+1,"")</f>
        <v/>
      </c>
      <c r="AL3384" s="54">
        <f>IF(AK3384&lt;&gt;"",AK3384,N(AL3383))</f>
        <v/>
      </c>
    </row>
    <row r="3385">
      <c r="A3385" t="inlineStr">
        <is>
          <t>CON-1128</t>
        </is>
      </c>
      <c r="B3385" t="inlineStr">
        <is>
          <t>Consulting</t>
        </is>
      </c>
      <c r="AB3385" t="n">
        <v>1128</v>
      </c>
      <c r="AD3385" s="52">
        <f>IFERROR(N(IFERROR(INDEX($A3385:$AB3385,MATCH("Xero Invoiced Ex GST",$A$1:$AB$1,0)),"")),0)</f>
        <v/>
      </c>
      <c r="AE3385" s="53">
        <f>IFERROR(INDEX($A3385:$AB3385,MATCH("Xero Invoice Date",$A$1:$AB$1,0)),"")</f>
        <v/>
      </c>
      <c r="AF3385" s="54">
        <f>IF(AND(IFERROR(INDEX($A3385:$AB3385,MATCH("Xero Invoice No",$A$1:$AB$1,0)),"")&amp;""&lt;&gt;"",ISNUMBER(AE3385),AD3385&lt;&gt;0),1,0)</f>
        <v/>
      </c>
      <c r="AG3385" s="55">
        <f>IF(AF3385=1,EOMONTH(AE3385,0),"")</f>
        <v/>
      </c>
      <c r="AH3385" s="9">
        <f>IF(AF3385=1,UPPER(TRIM(IFERROR(INDEX($A3385:$AB3385,MATCH("Client",$A$1:$AB$1,0)),"")&amp;"")),"")</f>
        <v/>
      </c>
      <c r="AI3385" s="9">
        <f>IF(AF3385=1,IFERROR(INDEX($A3385:$AB3385,MATCH("Cost Centre",$A$1:$AB$1,0)),"")&amp;"","")</f>
        <v/>
      </c>
      <c r="AJ3385" s="54">
        <f>IF(AND(AF3385=1,AE3385&gt;=set_FYStart,AE3385&lt;=set_AsAt),1,0)</f>
        <v/>
      </c>
      <c r="AK3385" s="54">
        <f>IF(AND(AJ3385=1,AH3385&lt;&gt;"",COUNTIFS($AH$2:AH3385,AH3385,$AJ$2:AJ3385,1)=1),N(AL3384)+1,"")</f>
        <v/>
      </c>
      <c r="AL3385" s="54">
        <f>IF(AK3385&lt;&gt;"",AK3385,N(AL3384))</f>
        <v/>
      </c>
    </row>
    <row r="3386">
      <c r="A3386" t="inlineStr">
        <is>
          <t>ONS-1129</t>
        </is>
      </c>
      <c r="B3386" t="inlineStr">
        <is>
          <t>Onsite</t>
        </is>
      </c>
      <c r="AB3386" t="n">
        <v>1129</v>
      </c>
      <c r="AD3386" s="52">
        <f>IFERROR(N(IFERROR(INDEX($A3386:$AB3386,MATCH("Xero Invoiced Ex GST",$A$1:$AB$1,0)),"")),0)</f>
        <v/>
      </c>
      <c r="AE3386" s="53">
        <f>IFERROR(INDEX($A3386:$AB3386,MATCH("Xero Invoice Date",$A$1:$AB$1,0)),"")</f>
        <v/>
      </c>
      <c r="AF3386" s="54">
        <f>IF(AND(IFERROR(INDEX($A3386:$AB3386,MATCH("Xero Invoice No",$A$1:$AB$1,0)),"")&amp;""&lt;&gt;"",ISNUMBER(AE3386),AD3386&lt;&gt;0),1,0)</f>
        <v/>
      </c>
      <c r="AG3386" s="55">
        <f>IF(AF3386=1,EOMONTH(AE3386,0),"")</f>
        <v/>
      </c>
      <c r="AH3386" s="9">
        <f>IF(AF3386=1,UPPER(TRIM(IFERROR(INDEX($A3386:$AB3386,MATCH("Client",$A$1:$AB$1,0)),"")&amp;"")),"")</f>
        <v/>
      </c>
      <c r="AI3386" s="9">
        <f>IF(AF3386=1,IFERROR(INDEX($A3386:$AB3386,MATCH("Cost Centre",$A$1:$AB$1,0)),"")&amp;"","")</f>
        <v/>
      </c>
      <c r="AJ3386" s="54">
        <f>IF(AND(AF3386=1,AE3386&gt;=set_FYStart,AE3386&lt;=set_AsAt),1,0)</f>
        <v/>
      </c>
      <c r="AK3386" s="54">
        <f>IF(AND(AJ3386=1,AH3386&lt;&gt;"",COUNTIFS($AH$2:AH3386,AH3386,$AJ$2:AJ3386,1)=1),N(AL3385)+1,"")</f>
        <v/>
      </c>
      <c r="AL3386" s="54">
        <f>IF(AK3386&lt;&gt;"",AK3386,N(AL3385))</f>
        <v/>
      </c>
    </row>
    <row r="3387">
      <c r="A3387" t="inlineStr">
        <is>
          <t>PRD-1129</t>
        </is>
      </c>
      <c r="B3387" t="inlineStr">
        <is>
          <t>Production</t>
        </is>
      </c>
      <c r="AB3387" t="n">
        <v>1129</v>
      </c>
      <c r="AD3387" s="52">
        <f>IFERROR(N(IFERROR(INDEX($A3387:$AB3387,MATCH("Xero Invoiced Ex GST",$A$1:$AB$1,0)),"")),0)</f>
        <v/>
      </c>
      <c r="AE3387" s="53">
        <f>IFERROR(INDEX($A3387:$AB3387,MATCH("Xero Invoice Date",$A$1:$AB$1,0)),"")</f>
        <v/>
      </c>
      <c r="AF3387" s="54">
        <f>IF(AND(IFERROR(INDEX($A3387:$AB3387,MATCH("Xero Invoice No",$A$1:$AB$1,0)),"")&amp;""&lt;&gt;"",ISNUMBER(AE3387),AD3387&lt;&gt;0),1,0)</f>
        <v/>
      </c>
      <c r="AG3387" s="55">
        <f>IF(AF3387=1,EOMONTH(AE3387,0),"")</f>
        <v/>
      </c>
      <c r="AH3387" s="9">
        <f>IF(AF3387=1,UPPER(TRIM(IFERROR(INDEX($A3387:$AB3387,MATCH("Client",$A$1:$AB$1,0)),"")&amp;"")),"")</f>
        <v/>
      </c>
      <c r="AI3387" s="9">
        <f>IF(AF3387=1,IFERROR(INDEX($A3387:$AB3387,MATCH("Cost Centre",$A$1:$AB$1,0)),"")&amp;"","")</f>
        <v/>
      </c>
      <c r="AJ3387" s="54">
        <f>IF(AND(AF3387=1,AE3387&gt;=set_FYStart,AE3387&lt;=set_AsAt),1,0)</f>
        <v/>
      </c>
      <c r="AK3387" s="54">
        <f>IF(AND(AJ3387=1,AH3387&lt;&gt;"",COUNTIFS($AH$2:AH3387,AH3387,$AJ$2:AJ3387,1)=1),N(AL3386)+1,"")</f>
        <v/>
      </c>
      <c r="AL3387" s="54">
        <f>IF(AK3387&lt;&gt;"",AK3387,N(AL3386))</f>
        <v/>
      </c>
    </row>
    <row r="3388">
      <c r="A3388" t="inlineStr">
        <is>
          <t>CON-1129</t>
        </is>
      </c>
      <c r="B3388" t="inlineStr">
        <is>
          <t>Consulting</t>
        </is>
      </c>
      <c r="AB3388" t="n">
        <v>1129</v>
      </c>
      <c r="AD3388" s="52">
        <f>IFERROR(N(IFERROR(INDEX($A3388:$AB3388,MATCH("Xero Invoiced Ex GST",$A$1:$AB$1,0)),"")),0)</f>
        <v/>
      </c>
      <c r="AE3388" s="53">
        <f>IFERROR(INDEX($A3388:$AB3388,MATCH("Xero Invoice Date",$A$1:$AB$1,0)),"")</f>
        <v/>
      </c>
      <c r="AF3388" s="54">
        <f>IF(AND(IFERROR(INDEX($A3388:$AB3388,MATCH("Xero Invoice No",$A$1:$AB$1,0)),"")&amp;""&lt;&gt;"",ISNUMBER(AE3388),AD3388&lt;&gt;0),1,0)</f>
        <v/>
      </c>
      <c r="AG3388" s="55">
        <f>IF(AF3388=1,EOMONTH(AE3388,0),"")</f>
        <v/>
      </c>
      <c r="AH3388" s="9">
        <f>IF(AF3388=1,UPPER(TRIM(IFERROR(INDEX($A3388:$AB3388,MATCH("Client",$A$1:$AB$1,0)),"")&amp;"")),"")</f>
        <v/>
      </c>
      <c r="AI3388" s="9">
        <f>IF(AF3388=1,IFERROR(INDEX($A3388:$AB3388,MATCH("Cost Centre",$A$1:$AB$1,0)),"")&amp;"","")</f>
        <v/>
      </c>
      <c r="AJ3388" s="54">
        <f>IF(AND(AF3388=1,AE3388&gt;=set_FYStart,AE3388&lt;=set_AsAt),1,0)</f>
        <v/>
      </c>
      <c r="AK3388" s="54">
        <f>IF(AND(AJ3388=1,AH3388&lt;&gt;"",COUNTIFS($AH$2:AH3388,AH3388,$AJ$2:AJ3388,1)=1),N(AL3387)+1,"")</f>
        <v/>
      </c>
      <c r="AL3388" s="54">
        <f>IF(AK3388&lt;&gt;"",AK3388,N(AL3387))</f>
        <v/>
      </c>
    </row>
    <row r="3389">
      <c r="A3389" t="inlineStr">
        <is>
          <t>ONS-1130</t>
        </is>
      </c>
      <c r="B3389" t="inlineStr">
        <is>
          <t>Onsite</t>
        </is>
      </c>
      <c r="AB3389" t="n">
        <v>1130</v>
      </c>
      <c r="AD3389" s="52">
        <f>IFERROR(N(IFERROR(INDEX($A3389:$AB3389,MATCH("Xero Invoiced Ex GST",$A$1:$AB$1,0)),"")),0)</f>
        <v/>
      </c>
      <c r="AE3389" s="53">
        <f>IFERROR(INDEX($A3389:$AB3389,MATCH("Xero Invoice Date",$A$1:$AB$1,0)),"")</f>
        <v/>
      </c>
      <c r="AF3389" s="54">
        <f>IF(AND(IFERROR(INDEX($A3389:$AB3389,MATCH("Xero Invoice No",$A$1:$AB$1,0)),"")&amp;""&lt;&gt;"",ISNUMBER(AE3389),AD3389&lt;&gt;0),1,0)</f>
        <v/>
      </c>
      <c r="AG3389" s="55">
        <f>IF(AF3389=1,EOMONTH(AE3389,0),"")</f>
        <v/>
      </c>
      <c r="AH3389" s="9">
        <f>IF(AF3389=1,UPPER(TRIM(IFERROR(INDEX($A3389:$AB3389,MATCH("Client",$A$1:$AB$1,0)),"")&amp;"")),"")</f>
        <v/>
      </c>
      <c r="AI3389" s="9">
        <f>IF(AF3389=1,IFERROR(INDEX($A3389:$AB3389,MATCH("Cost Centre",$A$1:$AB$1,0)),"")&amp;"","")</f>
        <v/>
      </c>
      <c r="AJ3389" s="54">
        <f>IF(AND(AF3389=1,AE3389&gt;=set_FYStart,AE3389&lt;=set_AsAt),1,0)</f>
        <v/>
      </c>
      <c r="AK3389" s="54">
        <f>IF(AND(AJ3389=1,AH3389&lt;&gt;"",COUNTIFS($AH$2:AH3389,AH3389,$AJ$2:AJ3389,1)=1),N(AL3388)+1,"")</f>
        <v/>
      </c>
      <c r="AL3389" s="54">
        <f>IF(AK3389&lt;&gt;"",AK3389,N(AL3388))</f>
        <v/>
      </c>
    </row>
    <row r="3390">
      <c r="A3390" t="inlineStr">
        <is>
          <t>PRD-1130</t>
        </is>
      </c>
      <c r="B3390" t="inlineStr">
        <is>
          <t>Production</t>
        </is>
      </c>
      <c r="AB3390" t="n">
        <v>1130</v>
      </c>
      <c r="AD3390" s="52">
        <f>IFERROR(N(IFERROR(INDEX($A3390:$AB3390,MATCH("Xero Invoiced Ex GST",$A$1:$AB$1,0)),"")),0)</f>
        <v/>
      </c>
      <c r="AE3390" s="53">
        <f>IFERROR(INDEX($A3390:$AB3390,MATCH("Xero Invoice Date",$A$1:$AB$1,0)),"")</f>
        <v/>
      </c>
      <c r="AF3390" s="54">
        <f>IF(AND(IFERROR(INDEX($A3390:$AB3390,MATCH("Xero Invoice No",$A$1:$AB$1,0)),"")&amp;""&lt;&gt;"",ISNUMBER(AE3390),AD3390&lt;&gt;0),1,0)</f>
        <v/>
      </c>
      <c r="AG3390" s="55">
        <f>IF(AF3390=1,EOMONTH(AE3390,0),"")</f>
        <v/>
      </c>
      <c r="AH3390" s="9">
        <f>IF(AF3390=1,UPPER(TRIM(IFERROR(INDEX($A3390:$AB3390,MATCH("Client",$A$1:$AB$1,0)),"")&amp;"")),"")</f>
        <v/>
      </c>
      <c r="AI3390" s="9">
        <f>IF(AF3390=1,IFERROR(INDEX($A3390:$AB3390,MATCH("Cost Centre",$A$1:$AB$1,0)),"")&amp;"","")</f>
        <v/>
      </c>
      <c r="AJ3390" s="54">
        <f>IF(AND(AF3390=1,AE3390&gt;=set_FYStart,AE3390&lt;=set_AsAt),1,0)</f>
        <v/>
      </c>
      <c r="AK3390" s="54">
        <f>IF(AND(AJ3390=1,AH3390&lt;&gt;"",COUNTIFS($AH$2:AH3390,AH3390,$AJ$2:AJ3390,1)=1),N(AL3389)+1,"")</f>
        <v/>
      </c>
      <c r="AL3390" s="54">
        <f>IF(AK3390&lt;&gt;"",AK3390,N(AL3389))</f>
        <v/>
      </c>
    </row>
    <row r="3391">
      <c r="A3391" t="inlineStr">
        <is>
          <t>CON-1130</t>
        </is>
      </c>
      <c r="B3391" t="inlineStr">
        <is>
          <t>Consulting</t>
        </is>
      </c>
      <c r="AB3391" t="n">
        <v>1130</v>
      </c>
      <c r="AD3391" s="52">
        <f>IFERROR(N(IFERROR(INDEX($A3391:$AB3391,MATCH("Xero Invoiced Ex GST",$A$1:$AB$1,0)),"")),0)</f>
        <v/>
      </c>
      <c r="AE3391" s="53">
        <f>IFERROR(INDEX($A3391:$AB3391,MATCH("Xero Invoice Date",$A$1:$AB$1,0)),"")</f>
        <v/>
      </c>
      <c r="AF3391" s="54">
        <f>IF(AND(IFERROR(INDEX($A3391:$AB3391,MATCH("Xero Invoice No",$A$1:$AB$1,0)),"")&amp;""&lt;&gt;"",ISNUMBER(AE3391),AD3391&lt;&gt;0),1,0)</f>
        <v/>
      </c>
      <c r="AG3391" s="55">
        <f>IF(AF3391=1,EOMONTH(AE3391,0),"")</f>
        <v/>
      </c>
      <c r="AH3391" s="9">
        <f>IF(AF3391=1,UPPER(TRIM(IFERROR(INDEX($A3391:$AB3391,MATCH("Client",$A$1:$AB$1,0)),"")&amp;"")),"")</f>
        <v/>
      </c>
      <c r="AI3391" s="9">
        <f>IF(AF3391=1,IFERROR(INDEX($A3391:$AB3391,MATCH("Cost Centre",$A$1:$AB$1,0)),"")&amp;"","")</f>
        <v/>
      </c>
      <c r="AJ3391" s="54">
        <f>IF(AND(AF3391=1,AE3391&gt;=set_FYStart,AE3391&lt;=set_AsAt),1,0)</f>
        <v/>
      </c>
      <c r="AK3391" s="54">
        <f>IF(AND(AJ3391=1,AH3391&lt;&gt;"",COUNTIFS($AH$2:AH3391,AH3391,$AJ$2:AJ3391,1)=1),N(AL3390)+1,"")</f>
        <v/>
      </c>
      <c r="AL3391" s="54">
        <f>IF(AK3391&lt;&gt;"",AK3391,N(AL3390))</f>
        <v/>
      </c>
    </row>
    <row r="3392">
      <c r="A3392" t="inlineStr">
        <is>
          <t>ONS-1131</t>
        </is>
      </c>
      <c r="B3392" t="inlineStr">
        <is>
          <t>Onsite</t>
        </is>
      </c>
      <c r="AB3392" t="n">
        <v>1131</v>
      </c>
      <c r="AD3392" s="52">
        <f>IFERROR(N(IFERROR(INDEX($A3392:$AB3392,MATCH("Xero Invoiced Ex GST",$A$1:$AB$1,0)),"")),0)</f>
        <v/>
      </c>
      <c r="AE3392" s="53">
        <f>IFERROR(INDEX($A3392:$AB3392,MATCH("Xero Invoice Date",$A$1:$AB$1,0)),"")</f>
        <v/>
      </c>
      <c r="AF3392" s="54">
        <f>IF(AND(IFERROR(INDEX($A3392:$AB3392,MATCH("Xero Invoice No",$A$1:$AB$1,0)),"")&amp;""&lt;&gt;"",ISNUMBER(AE3392),AD3392&lt;&gt;0),1,0)</f>
        <v/>
      </c>
      <c r="AG3392" s="55">
        <f>IF(AF3392=1,EOMONTH(AE3392,0),"")</f>
        <v/>
      </c>
      <c r="AH3392" s="9">
        <f>IF(AF3392=1,UPPER(TRIM(IFERROR(INDEX($A3392:$AB3392,MATCH("Client",$A$1:$AB$1,0)),"")&amp;"")),"")</f>
        <v/>
      </c>
      <c r="AI3392" s="9">
        <f>IF(AF3392=1,IFERROR(INDEX($A3392:$AB3392,MATCH("Cost Centre",$A$1:$AB$1,0)),"")&amp;"","")</f>
        <v/>
      </c>
      <c r="AJ3392" s="54">
        <f>IF(AND(AF3392=1,AE3392&gt;=set_FYStart,AE3392&lt;=set_AsAt),1,0)</f>
        <v/>
      </c>
      <c r="AK3392" s="54">
        <f>IF(AND(AJ3392=1,AH3392&lt;&gt;"",COUNTIFS($AH$2:AH3392,AH3392,$AJ$2:AJ3392,1)=1),N(AL3391)+1,"")</f>
        <v/>
      </c>
      <c r="AL3392" s="54">
        <f>IF(AK3392&lt;&gt;"",AK3392,N(AL3391))</f>
        <v/>
      </c>
    </row>
    <row r="3393">
      <c r="A3393" t="inlineStr">
        <is>
          <t>PRD-1131</t>
        </is>
      </c>
      <c r="B3393" t="inlineStr">
        <is>
          <t>Production</t>
        </is>
      </c>
      <c r="AB3393" t="n">
        <v>1131</v>
      </c>
      <c r="AD3393" s="52">
        <f>IFERROR(N(IFERROR(INDEX($A3393:$AB3393,MATCH("Xero Invoiced Ex GST",$A$1:$AB$1,0)),"")),0)</f>
        <v/>
      </c>
      <c r="AE3393" s="53">
        <f>IFERROR(INDEX($A3393:$AB3393,MATCH("Xero Invoice Date",$A$1:$AB$1,0)),"")</f>
        <v/>
      </c>
      <c r="AF3393" s="54">
        <f>IF(AND(IFERROR(INDEX($A3393:$AB3393,MATCH("Xero Invoice No",$A$1:$AB$1,0)),"")&amp;""&lt;&gt;"",ISNUMBER(AE3393),AD3393&lt;&gt;0),1,0)</f>
        <v/>
      </c>
      <c r="AG3393" s="55">
        <f>IF(AF3393=1,EOMONTH(AE3393,0),"")</f>
        <v/>
      </c>
      <c r="AH3393" s="9">
        <f>IF(AF3393=1,UPPER(TRIM(IFERROR(INDEX($A3393:$AB3393,MATCH("Client",$A$1:$AB$1,0)),"")&amp;"")),"")</f>
        <v/>
      </c>
      <c r="AI3393" s="9">
        <f>IF(AF3393=1,IFERROR(INDEX($A3393:$AB3393,MATCH("Cost Centre",$A$1:$AB$1,0)),"")&amp;"","")</f>
        <v/>
      </c>
      <c r="AJ3393" s="54">
        <f>IF(AND(AF3393=1,AE3393&gt;=set_FYStart,AE3393&lt;=set_AsAt),1,0)</f>
        <v/>
      </c>
      <c r="AK3393" s="54">
        <f>IF(AND(AJ3393=1,AH3393&lt;&gt;"",COUNTIFS($AH$2:AH3393,AH3393,$AJ$2:AJ3393,1)=1),N(AL3392)+1,"")</f>
        <v/>
      </c>
      <c r="AL3393" s="54">
        <f>IF(AK3393&lt;&gt;"",AK3393,N(AL3392))</f>
        <v/>
      </c>
    </row>
    <row r="3394">
      <c r="A3394" t="inlineStr">
        <is>
          <t>CON-1131</t>
        </is>
      </c>
      <c r="B3394" t="inlineStr">
        <is>
          <t>Consulting</t>
        </is>
      </c>
      <c r="AB3394" t="n">
        <v>1131</v>
      </c>
      <c r="AD3394" s="52">
        <f>IFERROR(N(IFERROR(INDEX($A3394:$AB3394,MATCH("Xero Invoiced Ex GST",$A$1:$AB$1,0)),"")),0)</f>
        <v/>
      </c>
      <c r="AE3394" s="53">
        <f>IFERROR(INDEX($A3394:$AB3394,MATCH("Xero Invoice Date",$A$1:$AB$1,0)),"")</f>
        <v/>
      </c>
      <c r="AF3394" s="54">
        <f>IF(AND(IFERROR(INDEX($A3394:$AB3394,MATCH("Xero Invoice No",$A$1:$AB$1,0)),"")&amp;""&lt;&gt;"",ISNUMBER(AE3394),AD3394&lt;&gt;0),1,0)</f>
        <v/>
      </c>
      <c r="AG3394" s="55">
        <f>IF(AF3394=1,EOMONTH(AE3394,0),"")</f>
        <v/>
      </c>
      <c r="AH3394" s="9">
        <f>IF(AF3394=1,UPPER(TRIM(IFERROR(INDEX($A3394:$AB3394,MATCH("Client",$A$1:$AB$1,0)),"")&amp;"")),"")</f>
        <v/>
      </c>
      <c r="AI3394" s="9">
        <f>IF(AF3394=1,IFERROR(INDEX($A3394:$AB3394,MATCH("Cost Centre",$A$1:$AB$1,0)),"")&amp;"","")</f>
        <v/>
      </c>
      <c r="AJ3394" s="54">
        <f>IF(AND(AF3394=1,AE3394&gt;=set_FYStart,AE3394&lt;=set_AsAt),1,0)</f>
        <v/>
      </c>
      <c r="AK3394" s="54">
        <f>IF(AND(AJ3394=1,AH3394&lt;&gt;"",COUNTIFS($AH$2:AH3394,AH3394,$AJ$2:AJ3394,1)=1),N(AL3393)+1,"")</f>
        <v/>
      </c>
      <c r="AL3394" s="54">
        <f>IF(AK3394&lt;&gt;"",AK3394,N(AL3393))</f>
        <v/>
      </c>
    </row>
    <row r="3395">
      <c r="A3395" t="inlineStr">
        <is>
          <t>ONS-1132</t>
        </is>
      </c>
      <c r="B3395" t="inlineStr">
        <is>
          <t>Onsite</t>
        </is>
      </c>
      <c r="AB3395" t="n">
        <v>1132</v>
      </c>
      <c r="AD3395" s="52">
        <f>IFERROR(N(IFERROR(INDEX($A3395:$AB3395,MATCH("Xero Invoiced Ex GST",$A$1:$AB$1,0)),"")),0)</f>
        <v/>
      </c>
      <c r="AE3395" s="53">
        <f>IFERROR(INDEX($A3395:$AB3395,MATCH("Xero Invoice Date",$A$1:$AB$1,0)),"")</f>
        <v/>
      </c>
      <c r="AF3395" s="54">
        <f>IF(AND(IFERROR(INDEX($A3395:$AB3395,MATCH("Xero Invoice No",$A$1:$AB$1,0)),"")&amp;""&lt;&gt;"",ISNUMBER(AE3395),AD3395&lt;&gt;0),1,0)</f>
        <v/>
      </c>
      <c r="AG3395" s="55">
        <f>IF(AF3395=1,EOMONTH(AE3395,0),"")</f>
        <v/>
      </c>
      <c r="AH3395" s="9">
        <f>IF(AF3395=1,UPPER(TRIM(IFERROR(INDEX($A3395:$AB3395,MATCH("Client",$A$1:$AB$1,0)),"")&amp;"")),"")</f>
        <v/>
      </c>
      <c r="AI3395" s="9">
        <f>IF(AF3395=1,IFERROR(INDEX($A3395:$AB3395,MATCH("Cost Centre",$A$1:$AB$1,0)),"")&amp;"","")</f>
        <v/>
      </c>
      <c r="AJ3395" s="54">
        <f>IF(AND(AF3395=1,AE3395&gt;=set_FYStart,AE3395&lt;=set_AsAt),1,0)</f>
        <v/>
      </c>
      <c r="AK3395" s="54">
        <f>IF(AND(AJ3395=1,AH3395&lt;&gt;"",COUNTIFS($AH$2:AH3395,AH3395,$AJ$2:AJ3395,1)=1),N(AL3394)+1,"")</f>
        <v/>
      </c>
      <c r="AL3395" s="54">
        <f>IF(AK3395&lt;&gt;"",AK3395,N(AL3394))</f>
        <v/>
      </c>
    </row>
    <row r="3396">
      <c r="A3396" t="inlineStr">
        <is>
          <t>PRD-1132</t>
        </is>
      </c>
      <c r="B3396" t="inlineStr">
        <is>
          <t>Production</t>
        </is>
      </c>
      <c r="AB3396" t="n">
        <v>1132</v>
      </c>
      <c r="AD3396" s="52">
        <f>IFERROR(N(IFERROR(INDEX($A3396:$AB3396,MATCH("Xero Invoiced Ex GST",$A$1:$AB$1,0)),"")),0)</f>
        <v/>
      </c>
      <c r="AE3396" s="53">
        <f>IFERROR(INDEX($A3396:$AB3396,MATCH("Xero Invoice Date",$A$1:$AB$1,0)),"")</f>
        <v/>
      </c>
      <c r="AF3396" s="54">
        <f>IF(AND(IFERROR(INDEX($A3396:$AB3396,MATCH("Xero Invoice No",$A$1:$AB$1,0)),"")&amp;""&lt;&gt;"",ISNUMBER(AE3396),AD3396&lt;&gt;0),1,0)</f>
        <v/>
      </c>
      <c r="AG3396" s="55">
        <f>IF(AF3396=1,EOMONTH(AE3396,0),"")</f>
        <v/>
      </c>
      <c r="AH3396" s="9">
        <f>IF(AF3396=1,UPPER(TRIM(IFERROR(INDEX($A3396:$AB3396,MATCH("Client",$A$1:$AB$1,0)),"")&amp;"")),"")</f>
        <v/>
      </c>
      <c r="AI3396" s="9">
        <f>IF(AF3396=1,IFERROR(INDEX($A3396:$AB3396,MATCH("Cost Centre",$A$1:$AB$1,0)),"")&amp;"","")</f>
        <v/>
      </c>
      <c r="AJ3396" s="54">
        <f>IF(AND(AF3396=1,AE3396&gt;=set_FYStart,AE3396&lt;=set_AsAt),1,0)</f>
        <v/>
      </c>
      <c r="AK3396" s="54">
        <f>IF(AND(AJ3396=1,AH3396&lt;&gt;"",COUNTIFS($AH$2:AH3396,AH3396,$AJ$2:AJ3396,1)=1),N(AL3395)+1,"")</f>
        <v/>
      </c>
      <c r="AL3396" s="54">
        <f>IF(AK3396&lt;&gt;"",AK3396,N(AL3395))</f>
        <v/>
      </c>
    </row>
    <row r="3397">
      <c r="A3397" t="inlineStr">
        <is>
          <t>CON-1132</t>
        </is>
      </c>
      <c r="B3397" t="inlineStr">
        <is>
          <t>Consulting</t>
        </is>
      </c>
      <c r="AB3397" t="n">
        <v>1132</v>
      </c>
      <c r="AD3397" s="52">
        <f>IFERROR(N(IFERROR(INDEX($A3397:$AB3397,MATCH("Xero Invoiced Ex GST",$A$1:$AB$1,0)),"")),0)</f>
        <v/>
      </c>
      <c r="AE3397" s="53">
        <f>IFERROR(INDEX($A3397:$AB3397,MATCH("Xero Invoice Date",$A$1:$AB$1,0)),"")</f>
        <v/>
      </c>
      <c r="AF3397" s="54">
        <f>IF(AND(IFERROR(INDEX($A3397:$AB3397,MATCH("Xero Invoice No",$A$1:$AB$1,0)),"")&amp;""&lt;&gt;"",ISNUMBER(AE3397),AD3397&lt;&gt;0),1,0)</f>
        <v/>
      </c>
      <c r="AG3397" s="55">
        <f>IF(AF3397=1,EOMONTH(AE3397,0),"")</f>
        <v/>
      </c>
      <c r="AH3397" s="9">
        <f>IF(AF3397=1,UPPER(TRIM(IFERROR(INDEX($A3397:$AB3397,MATCH("Client",$A$1:$AB$1,0)),"")&amp;"")),"")</f>
        <v/>
      </c>
      <c r="AI3397" s="9">
        <f>IF(AF3397=1,IFERROR(INDEX($A3397:$AB3397,MATCH("Cost Centre",$A$1:$AB$1,0)),"")&amp;"","")</f>
        <v/>
      </c>
      <c r="AJ3397" s="54">
        <f>IF(AND(AF3397=1,AE3397&gt;=set_FYStart,AE3397&lt;=set_AsAt),1,0)</f>
        <v/>
      </c>
      <c r="AK3397" s="54">
        <f>IF(AND(AJ3397=1,AH3397&lt;&gt;"",COUNTIFS($AH$2:AH3397,AH3397,$AJ$2:AJ3397,1)=1),N(AL3396)+1,"")</f>
        <v/>
      </c>
      <c r="AL3397" s="54">
        <f>IF(AK3397&lt;&gt;"",AK3397,N(AL3396))</f>
        <v/>
      </c>
    </row>
    <row r="3398">
      <c r="A3398" t="inlineStr">
        <is>
          <t>ONS-1133</t>
        </is>
      </c>
      <c r="B3398" t="inlineStr">
        <is>
          <t>Onsite</t>
        </is>
      </c>
      <c r="AB3398" t="n">
        <v>1133</v>
      </c>
      <c r="AD3398" s="52">
        <f>IFERROR(N(IFERROR(INDEX($A3398:$AB3398,MATCH("Xero Invoiced Ex GST",$A$1:$AB$1,0)),"")),0)</f>
        <v/>
      </c>
      <c r="AE3398" s="53">
        <f>IFERROR(INDEX($A3398:$AB3398,MATCH("Xero Invoice Date",$A$1:$AB$1,0)),"")</f>
        <v/>
      </c>
      <c r="AF3398" s="54">
        <f>IF(AND(IFERROR(INDEX($A3398:$AB3398,MATCH("Xero Invoice No",$A$1:$AB$1,0)),"")&amp;""&lt;&gt;"",ISNUMBER(AE3398),AD3398&lt;&gt;0),1,0)</f>
        <v/>
      </c>
      <c r="AG3398" s="55">
        <f>IF(AF3398=1,EOMONTH(AE3398,0),"")</f>
        <v/>
      </c>
      <c r="AH3398" s="9">
        <f>IF(AF3398=1,UPPER(TRIM(IFERROR(INDEX($A3398:$AB3398,MATCH("Client",$A$1:$AB$1,0)),"")&amp;"")),"")</f>
        <v/>
      </c>
      <c r="AI3398" s="9">
        <f>IF(AF3398=1,IFERROR(INDEX($A3398:$AB3398,MATCH("Cost Centre",$A$1:$AB$1,0)),"")&amp;"","")</f>
        <v/>
      </c>
      <c r="AJ3398" s="54">
        <f>IF(AND(AF3398=1,AE3398&gt;=set_FYStart,AE3398&lt;=set_AsAt),1,0)</f>
        <v/>
      </c>
      <c r="AK3398" s="54">
        <f>IF(AND(AJ3398=1,AH3398&lt;&gt;"",COUNTIFS($AH$2:AH3398,AH3398,$AJ$2:AJ3398,1)=1),N(AL3397)+1,"")</f>
        <v/>
      </c>
      <c r="AL3398" s="54">
        <f>IF(AK3398&lt;&gt;"",AK3398,N(AL3397))</f>
        <v/>
      </c>
    </row>
    <row r="3399">
      <c r="A3399" t="inlineStr">
        <is>
          <t>PRD-1133</t>
        </is>
      </c>
      <c r="B3399" t="inlineStr">
        <is>
          <t>Production</t>
        </is>
      </c>
      <c r="AB3399" t="n">
        <v>1133</v>
      </c>
      <c r="AD3399" s="52">
        <f>IFERROR(N(IFERROR(INDEX($A3399:$AB3399,MATCH("Xero Invoiced Ex GST",$A$1:$AB$1,0)),"")),0)</f>
        <v/>
      </c>
      <c r="AE3399" s="53">
        <f>IFERROR(INDEX($A3399:$AB3399,MATCH("Xero Invoice Date",$A$1:$AB$1,0)),"")</f>
        <v/>
      </c>
      <c r="AF3399" s="54">
        <f>IF(AND(IFERROR(INDEX($A3399:$AB3399,MATCH("Xero Invoice No",$A$1:$AB$1,0)),"")&amp;""&lt;&gt;"",ISNUMBER(AE3399),AD3399&lt;&gt;0),1,0)</f>
        <v/>
      </c>
      <c r="AG3399" s="55">
        <f>IF(AF3399=1,EOMONTH(AE3399,0),"")</f>
        <v/>
      </c>
      <c r="AH3399" s="9">
        <f>IF(AF3399=1,UPPER(TRIM(IFERROR(INDEX($A3399:$AB3399,MATCH("Client",$A$1:$AB$1,0)),"")&amp;"")),"")</f>
        <v/>
      </c>
      <c r="AI3399" s="9">
        <f>IF(AF3399=1,IFERROR(INDEX($A3399:$AB3399,MATCH("Cost Centre",$A$1:$AB$1,0)),"")&amp;"","")</f>
        <v/>
      </c>
      <c r="AJ3399" s="54">
        <f>IF(AND(AF3399=1,AE3399&gt;=set_FYStart,AE3399&lt;=set_AsAt),1,0)</f>
        <v/>
      </c>
      <c r="AK3399" s="54">
        <f>IF(AND(AJ3399=1,AH3399&lt;&gt;"",COUNTIFS($AH$2:AH3399,AH3399,$AJ$2:AJ3399,1)=1),N(AL3398)+1,"")</f>
        <v/>
      </c>
      <c r="AL3399" s="54">
        <f>IF(AK3399&lt;&gt;"",AK3399,N(AL3398))</f>
        <v/>
      </c>
    </row>
    <row r="3400">
      <c r="A3400" t="inlineStr">
        <is>
          <t>CON-1133</t>
        </is>
      </c>
      <c r="B3400" t="inlineStr">
        <is>
          <t>Consulting</t>
        </is>
      </c>
      <c r="AB3400" t="n">
        <v>1133</v>
      </c>
      <c r="AD3400" s="52">
        <f>IFERROR(N(IFERROR(INDEX($A3400:$AB3400,MATCH("Xero Invoiced Ex GST",$A$1:$AB$1,0)),"")),0)</f>
        <v/>
      </c>
      <c r="AE3400" s="53">
        <f>IFERROR(INDEX($A3400:$AB3400,MATCH("Xero Invoice Date",$A$1:$AB$1,0)),"")</f>
        <v/>
      </c>
      <c r="AF3400" s="54">
        <f>IF(AND(IFERROR(INDEX($A3400:$AB3400,MATCH("Xero Invoice No",$A$1:$AB$1,0)),"")&amp;""&lt;&gt;"",ISNUMBER(AE3400),AD3400&lt;&gt;0),1,0)</f>
        <v/>
      </c>
      <c r="AG3400" s="55">
        <f>IF(AF3400=1,EOMONTH(AE3400,0),"")</f>
        <v/>
      </c>
      <c r="AH3400" s="9">
        <f>IF(AF3400=1,UPPER(TRIM(IFERROR(INDEX($A3400:$AB3400,MATCH("Client",$A$1:$AB$1,0)),"")&amp;"")),"")</f>
        <v/>
      </c>
      <c r="AI3400" s="9">
        <f>IF(AF3400=1,IFERROR(INDEX($A3400:$AB3400,MATCH("Cost Centre",$A$1:$AB$1,0)),"")&amp;"","")</f>
        <v/>
      </c>
      <c r="AJ3400" s="54">
        <f>IF(AND(AF3400=1,AE3400&gt;=set_FYStart,AE3400&lt;=set_AsAt),1,0)</f>
        <v/>
      </c>
      <c r="AK3400" s="54">
        <f>IF(AND(AJ3400=1,AH3400&lt;&gt;"",COUNTIFS($AH$2:AH3400,AH3400,$AJ$2:AJ3400,1)=1),N(AL3399)+1,"")</f>
        <v/>
      </c>
      <c r="AL3400" s="54">
        <f>IF(AK3400&lt;&gt;"",AK3400,N(AL3399))</f>
        <v/>
      </c>
    </row>
    <row r="3401">
      <c r="A3401" t="inlineStr">
        <is>
          <t>ONS-1134</t>
        </is>
      </c>
      <c r="B3401" t="inlineStr">
        <is>
          <t>Onsite</t>
        </is>
      </c>
      <c r="AB3401" t="n">
        <v>1134</v>
      </c>
      <c r="AD3401" s="52">
        <f>IFERROR(N(IFERROR(INDEX($A3401:$AB3401,MATCH("Xero Invoiced Ex GST",$A$1:$AB$1,0)),"")),0)</f>
        <v/>
      </c>
      <c r="AE3401" s="53">
        <f>IFERROR(INDEX($A3401:$AB3401,MATCH("Xero Invoice Date",$A$1:$AB$1,0)),"")</f>
        <v/>
      </c>
      <c r="AF3401" s="54">
        <f>IF(AND(IFERROR(INDEX($A3401:$AB3401,MATCH("Xero Invoice No",$A$1:$AB$1,0)),"")&amp;""&lt;&gt;"",ISNUMBER(AE3401),AD3401&lt;&gt;0),1,0)</f>
        <v/>
      </c>
      <c r="AG3401" s="55">
        <f>IF(AF3401=1,EOMONTH(AE3401,0),"")</f>
        <v/>
      </c>
      <c r="AH3401" s="9">
        <f>IF(AF3401=1,UPPER(TRIM(IFERROR(INDEX($A3401:$AB3401,MATCH("Client",$A$1:$AB$1,0)),"")&amp;"")),"")</f>
        <v/>
      </c>
      <c r="AI3401" s="9">
        <f>IF(AF3401=1,IFERROR(INDEX($A3401:$AB3401,MATCH("Cost Centre",$A$1:$AB$1,0)),"")&amp;"","")</f>
        <v/>
      </c>
      <c r="AJ3401" s="54">
        <f>IF(AND(AF3401=1,AE3401&gt;=set_FYStart,AE3401&lt;=set_AsAt),1,0)</f>
        <v/>
      </c>
      <c r="AK3401" s="54">
        <f>IF(AND(AJ3401=1,AH3401&lt;&gt;"",COUNTIFS($AH$2:AH3401,AH3401,$AJ$2:AJ3401,1)=1),N(AL3400)+1,"")</f>
        <v/>
      </c>
      <c r="AL3401" s="54">
        <f>IF(AK3401&lt;&gt;"",AK3401,N(AL3400))</f>
        <v/>
      </c>
    </row>
    <row r="3402">
      <c r="A3402" t="inlineStr">
        <is>
          <t>PRD-1134</t>
        </is>
      </c>
      <c r="B3402" t="inlineStr">
        <is>
          <t>Production</t>
        </is>
      </c>
      <c r="AB3402" t="n">
        <v>1134</v>
      </c>
      <c r="AD3402" s="52">
        <f>IFERROR(N(IFERROR(INDEX($A3402:$AB3402,MATCH("Xero Invoiced Ex GST",$A$1:$AB$1,0)),"")),0)</f>
        <v/>
      </c>
      <c r="AE3402" s="53">
        <f>IFERROR(INDEX($A3402:$AB3402,MATCH("Xero Invoice Date",$A$1:$AB$1,0)),"")</f>
        <v/>
      </c>
      <c r="AF3402" s="54">
        <f>IF(AND(IFERROR(INDEX($A3402:$AB3402,MATCH("Xero Invoice No",$A$1:$AB$1,0)),"")&amp;""&lt;&gt;"",ISNUMBER(AE3402),AD3402&lt;&gt;0),1,0)</f>
        <v/>
      </c>
      <c r="AG3402" s="55">
        <f>IF(AF3402=1,EOMONTH(AE3402,0),"")</f>
        <v/>
      </c>
      <c r="AH3402" s="9">
        <f>IF(AF3402=1,UPPER(TRIM(IFERROR(INDEX($A3402:$AB3402,MATCH("Client",$A$1:$AB$1,0)),"")&amp;"")),"")</f>
        <v/>
      </c>
      <c r="AI3402" s="9">
        <f>IF(AF3402=1,IFERROR(INDEX($A3402:$AB3402,MATCH("Cost Centre",$A$1:$AB$1,0)),"")&amp;"","")</f>
        <v/>
      </c>
      <c r="AJ3402" s="54">
        <f>IF(AND(AF3402=1,AE3402&gt;=set_FYStart,AE3402&lt;=set_AsAt),1,0)</f>
        <v/>
      </c>
      <c r="AK3402" s="54">
        <f>IF(AND(AJ3402=1,AH3402&lt;&gt;"",COUNTIFS($AH$2:AH3402,AH3402,$AJ$2:AJ3402,1)=1),N(AL3401)+1,"")</f>
        <v/>
      </c>
      <c r="AL3402" s="54">
        <f>IF(AK3402&lt;&gt;"",AK3402,N(AL3401))</f>
        <v/>
      </c>
    </row>
    <row r="3403">
      <c r="A3403" t="inlineStr">
        <is>
          <t>CON-1134</t>
        </is>
      </c>
      <c r="B3403" t="inlineStr">
        <is>
          <t>Consulting</t>
        </is>
      </c>
      <c r="AB3403" t="n">
        <v>1134</v>
      </c>
      <c r="AD3403" s="52">
        <f>IFERROR(N(IFERROR(INDEX($A3403:$AB3403,MATCH("Xero Invoiced Ex GST",$A$1:$AB$1,0)),"")),0)</f>
        <v/>
      </c>
      <c r="AE3403" s="53">
        <f>IFERROR(INDEX($A3403:$AB3403,MATCH("Xero Invoice Date",$A$1:$AB$1,0)),"")</f>
        <v/>
      </c>
      <c r="AF3403" s="54">
        <f>IF(AND(IFERROR(INDEX($A3403:$AB3403,MATCH("Xero Invoice No",$A$1:$AB$1,0)),"")&amp;""&lt;&gt;"",ISNUMBER(AE3403),AD3403&lt;&gt;0),1,0)</f>
        <v/>
      </c>
      <c r="AG3403" s="55">
        <f>IF(AF3403=1,EOMONTH(AE3403,0),"")</f>
        <v/>
      </c>
      <c r="AH3403" s="9">
        <f>IF(AF3403=1,UPPER(TRIM(IFERROR(INDEX($A3403:$AB3403,MATCH("Client",$A$1:$AB$1,0)),"")&amp;"")),"")</f>
        <v/>
      </c>
      <c r="AI3403" s="9">
        <f>IF(AF3403=1,IFERROR(INDEX($A3403:$AB3403,MATCH("Cost Centre",$A$1:$AB$1,0)),"")&amp;"","")</f>
        <v/>
      </c>
      <c r="AJ3403" s="54">
        <f>IF(AND(AF3403=1,AE3403&gt;=set_FYStart,AE3403&lt;=set_AsAt),1,0)</f>
        <v/>
      </c>
      <c r="AK3403" s="54">
        <f>IF(AND(AJ3403=1,AH3403&lt;&gt;"",COUNTIFS($AH$2:AH3403,AH3403,$AJ$2:AJ3403,1)=1),N(AL3402)+1,"")</f>
        <v/>
      </c>
      <c r="AL3403" s="54">
        <f>IF(AK3403&lt;&gt;"",AK3403,N(AL3402))</f>
        <v/>
      </c>
    </row>
    <row r="3404">
      <c r="A3404" t="inlineStr">
        <is>
          <t>ONS-1135</t>
        </is>
      </c>
      <c r="B3404" t="inlineStr">
        <is>
          <t>Onsite</t>
        </is>
      </c>
      <c r="AB3404" t="n">
        <v>1135</v>
      </c>
      <c r="AD3404" s="52">
        <f>IFERROR(N(IFERROR(INDEX($A3404:$AB3404,MATCH("Xero Invoiced Ex GST",$A$1:$AB$1,0)),"")),0)</f>
        <v/>
      </c>
      <c r="AE3404" s="53">
        <f>IFERROR(INDEX($A3404:$AB3404,MATCH("Xero Invoice Date",$A$1:$AB$1,0)),"")</f>
        <v/>
      </c>
      <c r="AF3404" s="54">
        <f>IF(AND(IFERROR(INDEX($A3404:$AB3404,MATCH("Xero Invoice No",$A$1:$AB$1,0)),"")&amp;""&lt;&gt;"",ISNUMBER(AE3404),AD3404&lt;&gt;0),1,0)</f>
        <v/>
      </c>
      <c r="AG3404" s="55">
        <f>IF(AF3404=1,EOMONTH(AE3404,0),"")</f>
        <v/>
      </c>
      <c r="AH3404" s="9">
        <f>IF(AF3404=1,UPPER(TRIM(IFERROR(INDEX($A3404:$AB3404,MATCH("Client",$A$1:$AB$1,0)),"")&amp;"")),"")</f>
        <v/>
      </c>
      <c r="AI3404" s="9">
        <f>IF(AF3404=1,IFERROR(INDEX($A3404:$AB3404,MATCH("Cost Centre",$A$1:$AB$1,0)),"")&amp;"","")</f>
        <v/>
      </c>
      <c r="AJ3404" s="54">
        <f>IF(AND(AF3404=1,AE3404&gt;=set_FYStart,AE3404&lt;=set_AsAt),1,0)</f>
        <v/>
      </c>
      <c r="AK3404" s="54">
        <f>IF(AND(AJ3404=1,AH3404&lt;&gt;"",COUNTIFS($AH$2:AH3404,AH3404,$AJ$2:AJ3404,1)=1),N(AL3403)+1,"")</f>
        <v/>
      </c>
      <c r="AL3404" s="54">
        <f>IF(AK3404&lt;&gt;"",AK3404,N(AL3403))</f>
        <v/>
      </c>
    </row>
    <row r="3405">
      <c r="A3405" t="inlineStr">
        <is>
          <t>PRD-1135</t>
        </is>
      </c>
      <c r="B3405" t="inlineStr">
        <is>
          <t>Production</t>
        </is>
      </c>
      <c r="AB3405" t="n">
        <v>1135</v>
      </c>
      <c r="AD3405" s="52">
        <f>IFERROR(N(IFERROR(INDEX($A3405:$AB3405,MATCH("Xero Invoiced Ex GST",$A$1:$AB$1,0)),"")),0)</f>
        <v/>
      </c>
      <c r="AE3405" s="53">
        <f>IFERROR(INDEX($A3405:$AB3405,MATCH("Xero Invoice Date",$A$1:$AB$1,0)),"")</f>
        <v/>
      </c>
      <c r="AF3405" s="54">
        <f>IF(AND(IFERROR(INDEX($A3405:$AB3405,MATCH("Xero Invoice No",$A$1:$AB$1,0)),"")&amp;""&lt;&gt;"",ISNUMBER(AE3405),AD3405&lt;&gt;0),1,0)</f>
        <v/>
      </c>
      <c r="AG3405" s="55">
        <f>IF(AF3405=1,EOMONTH(AE3405,0),"")</f>
        <v/>
      </c>
      <c r="AH3405" s="9">
        <f>IF(AF3405=1,UPPER(TRIM(IFERROR(INDEX($A3405:$AB3405,MATCH("Client",$A$1:$AB$1,0)),"")&amp;"")),"")</f>
        <v/>
      </c>
      <c r="AI3405" s="9">
        <f>IF(AF3405=1,IFERROR(INDEX($A3405:$AB3405,MATCH("Cost Centre",$A$1:$AB$1,0)),"")&amp;"","")</f>
        <v/>
      </c>
      <c r="AJ3405" s="54">
        <f>IF(AND(AF3405=1,AE3405&gt;=set_FYStart,AE3405&lt;=set_AsAt),1,0)</f>
        <v/>
      </c>
      <c r="AK3405" s="54">
        <f>IF(AND(AJ3405=1,AH3405&lt;&gt;"",COUNTIFS($AH$2:AH3405,AH3405,$AJ$2:AJ3405,1)=1),N(AL3404)+1,"")</f>
        <v/>
      </c>
      <c r="AL3405" s="54">
        <f>IF(AK3405&lt;&gt;"",AK3405,N(AL3404))</f>
        <v/>
      </c>
    </row>
    <row r="3406">
      <c r="A3406" t="inlineStr">
        <is>
          <t>CON-1135</t>
        </is>
      </c>
      <c r="B3406" t="inlineStr">
        <is>
          <t>Consulting</t>
        </is>
      </c>
      <c r="AB3406" t="n">
        <v>1135</v>
      </c>
      <c r="AD3406" s="52">
        <f>IFERROR(N(IFERROR(INDEX($A3406:$AB3406,MATCH("Xero Invoiced Ex GST",$A$1:$AB$1,0)),"")),0)</f>
        <v/>
      </c>
      <c r="AE3406" s="53">
        <f>IFERROR(INDEX($A3406:$AB3406,MATCH("Xero Invoice Date",$A$1:$AB$1,0)),"")</f>
        <v/>
      </c>
      <c r="AF3406" s="54">
        <f>IF(AND(IFERROR(INDEX($A3406:$AB3406,MATCH("Xero Invoice No",$A$1:$AB$1,0)),"")&amp;""&lt;&gt;"",ISNUMBER(AE3406),AD3406&lt;&gt;0),1,0)</f>
        <v/>
      </c>
      <c r="AG3406" s="55">
        <f>IF(AF3406=1,EOMONTH(AE3406,0),"")</f>
        <v/>
      </c>
      <c r="AH3406" s="9">
        <f>IF(AF3406=1,UPPER(TRIM(IFERROR(INDEX($A3406:$AB3406,MATCH("Client",$A$1:$AB$1,0)),"")&amp;"")),"")</f>
        <v/>
      </c>
      <c r="AI3406" s="9">
        <f>IF(AF3406=1,IFERROR(INDEX($A3406:$AB3406,MATCH("Cost Centre",$A$1:$AB$1,0)),"")&amp;"","")</f>
        <v/>
      </c>
      <c r="AJ3406" s="54">
        <f>IF(AND(AF3406=1,AE3406&gt;=set_FYStart,AE3406&lt;=set_AsAt),1,0)</f>
        <v/>
      </c>
      <c r="AK3406" s="54">
        <f>IF(AND(AJ3406=1,AH3406&lt;&gt;"",COUNTIFS($AH$2:AH3406,AH3406,$AJ$2:AJ3406,1)=1),N(AL3405)+1,"")</f>
        <v/>
      </c>
      <c r="AL3406" s="54">
        <f>IF(AK3406&lt;&gt;"",AK3406,N(AL3405))</f>
        <v/>
      </c>
    </row>
    <row r="3407">
      <c r="A3407" t="inlineStr">
        <is>
          <t>ONS-1136</t>
        </is>
      </c>
      <c r="B3407" t="inlineStr">
        <is>
          <t>Onsite</t>
        </is>
      </c>
      <c r="AB3407" t="n">
        <v>1136</v>
      </c>
      <c r="AD3407" s="52">
        <f>IFERROR(N(IFERROR(INDEX($A3407:$AB3407,MATCH("Xero Invoiced Ex GST",$A$1:$AB$1,0)),"")),0)</f>
        <v/>
      </c>
      <c r="AE3407" s="53">
        <f>IFERROR(INDEX($A3407:$AB3407,MATCH("Xero Invoice Date",$A$1:$AB$1,0)),"")</f>
        <v/>
      </c>
      <c r="AF3407" s="54">
        <f>IF(AND(IFERROR(INDEX($A3407:$AB3407,MATCH("Xero Invoice No",$A$1:$AB$1,0)),"")&amp;""&lt;&gt;"",ISNUMBER(AE3407),AD3407&lt;&gt;0),1,0)</f>
        <v/>
      </c>
      <c r="AG3407" s="55">
        <f>IF(AF3407=1,EOMONTH(AE3407,0),"")</f>
        <v/>
      </c>
      <c r="AH3407" s="9">
        <f>IF(AF3407=1,UPPER(TRIM(IFERROR(INDEX($A3407:$AB3407,MATCH("Client",$A$1:$AB$1,0)),"")&amp;"")),"")</f>
        <v/>
      </c>
      <c r="AI3407" s="9">
        <f>IF(AF3407=1,IFERROR(INDEX($A3407:$AB3407,MATCH("Cost Centre",$A$1:$AB$1,0)),"")&amp;"","")</f>
        <v/>
      </c>
      <c r="AJ3407" s="54">
        <f>IF(AND(AF3407=1,AE3407&gt;=set_FYStart,AE3407&lt;=set_AsAt),1,0)</f>
        <v/>
      </c>
      <c r="AK3407" s="54">
        <f>IF(AND(AJ3407=1,AH3407&lt;&gt;"",COUNTIFS($AH$2:AH3407,AH3407,$AJ$2:AJ3407,1)=1),N(AL3406)+1,"")</f>
        <v/>
      </c>
      <c r="AL3407" s="54">
        <f>IF(AK3407&lt;&gt;"",AK3407,N(AL3406))</f>
        <v/>
      </c>
    </row>
    <row r="3408">
      <c r="A3408" t="inlineStr">
        <is>
          <t>PRD-1136</t>
        </is>
      </c>
      <c r="B3408" t="inlineStr">
        <is>
          <t>Production</t>
        </is>
      </c>
      <c r="AB3408" t="n">
        <v>1136</v>
      </c>
      <c r="AD3408" s="52">
        <f>IFERROR(N(IFERROR(INDEX($A3408:$AB3408,MATCH("Xero Invoiced Ex GST",$A$1:$AB$1,0)),"")),0)</f>
        <v/>
      </c>
      <c r="AE3408" s="53">
        <f>IFERROR(INDEX($A3408:$AB3408,MATCH("Xero Invoice Date",$A$1:$AB$1,0)),"")</f>
        <v/>
      </c>
      <c r="AF3408" s="54">
        <f>IF(AND(IFERROR(INDEX($A3408:$AB3408,MATCH("Xero Invoice No",$A$1:$AB$1,0)),"")&amp;""&lt;&gt;"",ISNUMBER(AE3408),AD3408&lt;&gt;0),1,0)</f>
        <v/>
      </c>
      <c r="AG3408" s="55">
        <f>IF(AF3408=1,EOMONTH(AE3408,0),"")</f>
        <v/>
      </c>
      <c r="AH3408" s="9">
        <f>IF(AF3408=1,UPPER(TRIM(IFERROR(INDEX($A3408:$AB3408,MATCH("Client",$A$1:$AB$1,0)),"")&amp;"")),"")</f>
        <v/>
      </c>
      <c r="AI3408" s="9">
        <f>IF(AF3408=1,IFERROR(INDEX($A3408:$AB3408,MATCH("Cost Centre",$A$1:$AB$1,0)),"")&amp;"","")</f>
        <v/>
      </c>
      <c r="AJ3408" s="54">
        <f>IF(AND(AF3408=1,AE3408&gt;=set_FYStart,AE3408&lt;=set_AsAt),1,0)</f>
        <v/>
      </c>
      <c r="AK3408" s="54">
        <f>IF(AND(AJ3408=1,AH3408&lt;&gt;"",COUNTIFS($AH$2:AH3408,AH3408,$AJ$2:AJ3408,1)=1),N(AL3407)+1,"")</f>
        <v/>
      </c>
      <c r="AL3408" s="54">
        <f>IF(AK3408&lt;&gt;"",AK3408,N(AL3407))</f>
        <v/>
      </c>
    </row>
    <row r="3409">
      <c r="A3409" t="inlineStr">
        <is>
          <t>CON-1136</t>
        </is>
      </c>
      <c r="B3409" t="inlineStr">
        <is>
          <t>Consulting</t>
        </is>
      </c>
      <c r="AB3409" t="n">
        <v>1136</v>
      </c>
      <c r="AD3409" s="52">
        <f>IFERROR(N(IFERROR(INDEX($A3409:$AB3409,MATCH("Xero Invoiced Ex GST",$A$1:$AB$1,0)),"")),0)</f>
        <v/>
      </c>
      <c r="AE3409" s="53">
        <f>IFERROR(INDEX($A3409:$AB3409,MATCH("Xero Invoice Date",$A$1:$AB$1,0)),"")</f>
        <v/>
      </c>
      <c r="AF3409" s="54">
        <f>IF(AND(IFERROR(INDEX($A3409:$AB3409,MATCH("Xero Invoice No",$A$1:$AB$1,0)),"")&amp;""&lt;&gt;"",ISNUMBER(AE3409),AD3409&lt;&gt;0),1,0)</f>
        <v/>
      </c>
      <c r="AG3409" s="55">
        <f>IF(AF3409=1,EOMONTH(AE3409,0),"")</f>
        <v/>
      </c>
      <c r="AH3409" s="9">
        <f>IF(AF3409=1,UPPER(TRIM(IFERROR(INDEX($A3409:$AB3409,MATCH("Client",$A$1:$AB$1,0)),"")&amp;"")),"")</f>
        <v/>
      </c>
      <c r="AI3409" s="9">
        <f>IF(AF3409=1,IFERROR(INDEX($A3409:$AB3409,MATCH("Cost Centre",$A$1:$AB$1,0)),"")&amp;"","")</f>
        <v/>
      </c>
      <c r="AJ3409" s="54">
        <f>IF(AND(AF3409=1,AE3409&gt;=set_FYStart,AE3409&lt;=set_AsAt),1,0)</f>
        <v/>
      </c>
      <c r="AK3409" s="54">
        <f>IF(AND(AJ3409=1,AH3409&lt;&gt;"",COUNTIFS($AH$2:AH3409,AH3409,$AJ$2:AJ3409,1)=1),N(AL3408)+1,"")</f>
        <v/>
      </c>
      <c r="AL3409" s="54">
        <f>IF(AK3409&lt;&gt;"",AK3409,N(AL3408))</f>
        <v/>
      </c>
    </row>
    <row r="3410">
      <c r="A3410" t="inlineStr">
        <is>
          <t>ONS-1137</t>
        </is>
      </c>
      <c r="B3410" t="inlineStr">
        <is>
          <t>Onsite</t>
        </is>
      </c>
      <c r="AB3410" t="n">
        <v>1137</v>
      </c>
      <c r="AD3410" s="52">
        <f>IFERROR(N(IFERROR(INDEX($A3410:$AB3410,MATCH("Xero Invoiced Ex GST",$A$1:$AB$1,0)),"")),0)</f>
        <v/>
      </c>
      <c r="AE3410" s="53">
        <f>IFERROR(INDEX($A3410:$AB3410,MATCH("Xero Invoice Date",$A$1:$AB$1,0)),"")</f>
        <v/>
      </c>
      <c r="AF3410" s="54">
        <f>IF(AND(IFERROR(INDEX($A3410:$AB3410,MATCH("Xero Invoice No",$A$1:$AB$1,0)),"")&amp;""&lt;&gt;"",ISNUMBER(AE3410),AD3410&lt;&gt;0),1,0)</f>
        <v/>
      </c>
      <c r="AG3410" s="55">
        <f>IF(AF3410=1,EOMONTH(AE3410,0),"")</f>
        <v/>
      </c>
      <c r="AH3410" s="9">
        <f>IF(AF3410=1,UPPER(TRIM(IFERROR(INDEX($A3410:$AB3410,MATCH("Client",$A$1:$AB$1,0)),"")&amp;"")),"")</f>
        <v/>
      </c>
      <c r="AI3410" s="9">
        <f>IF(AF3410=1,IFERROR(INDEX($A3410:$AB3410,MATCH("Cost Centre",$A$1:$AB$1,0)),"")&amp;"","")</f>
        <v/>
      </c>
      <c r="AJ3410" s="54">
        <f>IF(AND(AF3410=1,AE3410&gt;=set_FYStart,AE3410&lt;=set_AsAt),1,0)</f>
        <v/>
      </c>
      <c r="AK3410" s="54">
        <f>IF(AND(AJ3410=1,AH3410&lt;&gt;"",COUNTIFS($AH$2:AH3410,AH3410,$AJ$2:AJ3410,1)=1),N(AL3409)+1,"")</f>
        <v/>
      </c>
      <c r="AL3410" s="54">
        <f>IF(AK3410&lt;&gt;"",AK3410,N(AL3409))</f>
        <v/>
      </c>
    </row>
    <row r="3411">
      <c r="A3411" t="inlineStr">
        <is>
          <t>PRD-1137</t>
        </is>
      </c>
      <c r="B3411" t="inlineStr">
        <is>
          <t>Production</t>
        </is>
      </c>
      <c r="AB3411" t="n">
        <v>1137</v>
      </c>
      <c r="AD3411" s="52">
        <f>IFERROR(N(IFERROR(INDEX($A3411:$AB3411,MATCH("Xero Invoiced Ex GST",$A$1:$AB$1,0)),"")),0)</f>
        <v/>
      </c>
      <c r="AE3411" s="53">
        <f>IFERROR(INDEX($A3411:$AB3411,MATCH("Xero Invoice Date",$A$1:$AB$1,0)),"")</f>
        <v/>
      </c>
      <c r="AF3411" s="54">
        <f>IF(AND(IFERROR(INDEX($A3411:$AB3411,MATCH("Xero Invoice No",$A$1:$AB$1,0)),"")&amp;""&lt;&gt;"",ISNUMBER(AE3411),AD3411&lt;&gt;0),1,0)</f>
        <v/>
      </c>
      <c r="AG3411" s="55">
        <f>IF(AF3411=1,EOMONTH(AE3411,0),"")</f>
        <v/>
      </c>
      <c r="AH3411" s="9">
        <f>IF(AF3411=1,UPPER(TRIM(IFERROR(INDEX($A3411:$AB3411,MATCH("Client",$A$1:$AB$1,0)),"")&amp;"")),"")</f>
        <v/>
      </c>
      <c r="AI3411" s="9">
        <f>IF(AF3411=1,IFERROR(INDEX($A3411:$AB3411,MATCH("Cost Centre",$A$1:$AB$1,0)),"")&amp;"","")</f>
        <v/>
      </c>
      <c r="AJ3411" s="54">
        <f>IF(AND(AF3411=1,AE3411&gt;=set_FYStart,AE3411&lt;=set_AsAt),1,0)</f>
        <v/>
      </c>
      <c r="AK3411" s="54">
        <f>IF(AND(AJ3411=1,AH3411&lt;&gt;"",COUNTIFS($AH$2:AH3411,AH3411,$AJ$2:AJ3411,1)=1),N(AL3410)+1,"")</f>
        <v/>
      </c>
      <c r="AL3411" s="54">
        <f>IF(AK3411&lt;&gt;"",AK3411,N(AL3410))</f>
        <v/>
      </c>
    </row>
    <row r="3412">
      <c r="A3412" t="inlineStr">
        <is>
          <t>CON-1137</t>
        </is>
      </c>
      <c r="B3412" t="inlineStr">
        <is>
          <t>Consulting</t>
        </is>
      </c>
      <c r="AB3412" t="n">
        <v>1137</v>
      </c>
      <c r="AD3412" s="52">
        <f>IFERROR(N(IFERROR(INDEX($A3412:$AB3412,MATCH("Xero Invoiced Ex GST",$A$1:$AB$1,0)),"")),0)</f>
        <v/>
      </c>
      <c r="AE3412" s="53">
        <f>IFERROR(INDEX($A3412:$AB3412,MATCH("Xero Invoice Date",$A$1:$AB$1,0)),"")</f>
        <v/>
      </c>
      <c r="AF3412" s="54">
        <f>IF(AND(IFERROR(INDEX($A3412:$AB3412,MATCH("Xero Invoice No",$A$1:$AB$1,0)),"")&amp;""&lt;&gt;"",ISNUMBER(AE3412),AD3412&lt;&gt;0),1,0)</f>
        <v/>
      </c>
      <c r="AG3412" s="55">
        <f>IF(AF3412=1,EOMONTH(AE3412,0),"")</f>
        <v/>
      </c>
      <c r="AH3412" s="9">
        <f>IF(AF3412=1,UPPER(TRIM(IFERROR(INDEX($A3412:$AB3412,MATCH("Client",$A$1:$AB$1,0)),"")&amp;"")),"")</f>
        <v/>
      </c>
      <c r="AI3412" s="9">
        <f>IF(AF3412=1,IFERROR(INDEX($A3412:$AB3412,MATCH("Cost Centre",$A$1:$AB$1,0)),"")&amp;"","")</f>
        <v/>
      </c>
      <c r="AJ3412" s="54">
        <f>IF(AND(AF3412=1,AE3412&gt;=set_FYStart,AE3412&lt;=set_AsAt),1,0)</f>
        <v/>
      </c>
      <c r="AK3412" s="54">
        <f>IF(AND(AJ3412=1,AH3412&lt;&gt;"",COUNTIFS($AH$2:AH3412,AH3412,$AJ$2:AJ3412,1)=1),N(AL3411)+1,"")</f>
        <v/>
      </c>
      <c r="AL3412" s="54">
        <f>IF(AK3412&lt;&gt;"",AK3412,N(AL3411))</f>
        <v/>
      </c>
    </row>
    <row r="3413">
      <c r="A3413" t="inlineStr">
        <is>
          <t>ONS-1138</t>
        </is>
      </c>
      <c r="B3413" t="inlineStr">
        <is>
          <t>Onsite</t>
        </is>
      </c>
      <c r="AB3413" t="n">
        <v>1138</v>
      </c>
      <c r="AD3413" s="52">
        <f>IFERROR(N(IFERROR(INDEX($A3413:$AB3413,MATCH("Xero Invoiced Ex GST",$A$1:$AB$1,0)),"")),0)</f>
        <v/>
      </c>
      <c r="AE3413" s="53">
        <f>IFERROR(INDEX($A3413:$AB3413,MATCH("Xero Invoice Date",$A$1:$AB$1,0)),"")</f>
        <v/>
      </c>
      <c r="AF3413" s="54">
        <f>IF(AND(IFERROR(INDEX($A3413:$AB3413,MATCH("Xero Invoice No",$A$1:$AB$1,0)),"")&amp;""&lt;&gt;"",ISNUMBER(AE3413),AD3413&lt;&gt;0),1,0)</f>
        <v/>
      </c>
      <c r="AG3413" s="55">
        <f>IF(AF3413=1,EOMONTH(AE3413,0),"")</f>
        <v/>
      </c>
      <c r="AH3413" s="9">
        <f>IF(AF3413=1,UPPER(TRIM(IFERROR(INDEX($A3413:$AB3413,MATCH("Client",$A$1:$AB$1,0)),"")&amp;"")),"")</f>
        <v/>
      </c>
      <c r="AI3413" s="9">
        <f>IF(AF3413=1,IFERROR(INDEX($A3413:$AB3413,MATCH("Cost Centre",$A$1:$AB$1,0)),"")&amp;"","")</f>
        <v/>
      </c>
      <c r="AJ3413" s="54">
        <f>IF(AND(AF3413=1,AE3413&gt;=set_FYStart,AE3413&lt;=set_AsAt),1,0)</f>
        <v/>
      </c>
      <c r="AK3413" s="54">
        <f>IF(AND(AJ3413=1,AH3413&lt;&gt;"",COUNTIFS($AH$2:AH3413,AH3413,$AJ$2:AJ3413,1)=1),N(AL3412)+1,"")</f>
        <v/>
      </c>
      <c r="AL3413" s="54">
        <f>IF(AK3413&lt;&gt;"",AK3413,N(AL3412))</f>
        <v/>
      </c>
    </row>
    <row r="3414">
      <c r="A3414" t="inlineStr">
        <is>
          <t>PRD-1138</t>
        </is>
      </c>
      <c r="B3414" t="inlineStr">
        <is>
          <t>Production</t>
        </is>
      </c>
      <c r="AB3414" t="n">
        <v>1138</v>
      </c>
      <c r="AD3414" s="52">
        <f>IFERROR(N(IFERROR(INDEX($A3414:$AB3414,MATCH("Xero Invoiced Ex GST",$A$1:$AB$1,0)),"")),0)</f>
        <v/>
      </c>
      <c r="AE3414" s="53">
        <f>IFERROR(INDEX($A3414:$AB3414,MATCH("Xero Invoice Date",$A$1:$AB$1,0)),"")</f>
        <v/>
      </c>
      <c r="AF3414" s="54">
        <f>IF(AND(IFERROR(INDEX($A3414:$AB3414,MATCH("Xero Invoice No",$A$1:$AB$1,0)),"")&amp;""&lt;&gt;"",ISNUMBER(AE3414),AD3414&lt;&gt;0),1,0)</f>
        <v/>
      </c>
      <c r="AG3414" s="55">
        <f>IF(AF3414=1,EOMONTH(AE3414,0),"")</f>
        <v/>
      </c>
      <c r="AH3414" s="9">
        <f>IF(AF3414=1,UPPER(TRIM(IFERROR(INDEX($A3414:$AB3414,MATCH("Client",$A$1:$AB$1,0)),"")&amp;"")),"")</f>
        <v/>
      </c>
      <c r="AI3414" s="9">
        <f>IF(AF3414=1,IFERROR(INDEX($A3414:$AB3414,MATCH("Cost Centre",$A$1:$AB$1,0)),"")&amp;"","")</f>
        <v/>
      </c>
      <c r="AJ3414" s="54">
        <f>IF(AND(AF3414=1,AE3414&gt;=set_FYStart,AE3414&lt;=set_AsAt),1,0)</f>
        <v/>
      </c>
      <c r="AK3414" s="54">
        <f>IF(AND(AJ3414=1,AH3414&lt;&gt;"",COUNTIFS($AH$2:AH3414,AH3414,$AJ$2:AJ3414,1)=1),N(AL3413)+1,"")</f>
        <v/>
      </c>
      <c r="AL3414" s="54">
        <f>IF(AK3414&lt;&gt;"",AK3414,N(AL3413))</f>
        <v/>
      </c>
    </row>
    <row r="3415">
      <c r="A3415" t="inlineStr">
        <is>
          <t>CON-1138</t>
        </is>
      </c>
      <c r="B3415" t="inlineStr">
        <is>
          <t>Consulting</t>
        </is>
      </c>
      <c r="AB3415" t="n">
        <v>1138</v>
      </c>
      <c r="AD3415" s="52">
        <f>IFERROR(N(IFERROR(INDEX($A3415:$AB3415,MATCH("Xero Invoiced Ex GST",$A$1:$AB$1,0)),"")),0)</f>
        <v/>
      </c>
      <c r="AE3415" s="53">
        <f>IFERROR(INDEX($A3415:$AB3415,MATCH("Xero Invoice Date",$A$1:$AB$1,0)),"")</f>
        <v/>
      </c>
      <c r="AF3415" s="54">
        <f>IF(AND(IFERROR(INDEX($A3415:$AB3415,MATCH("Xero Invoice No",$A$1:$AB$1,0)),"")&amp;""&lt;&gt;"",ISNUMBER(AE3415),AD3415&lt;&gt;0),1,0)</f>
        <v/>
      </c>
      <c r="AG3415" s="55">
        <f>IF(AF3415=1,EOMONTH(AE3415,0),"")</f>
        <v/>
      </c>
      <c r="AH3415" s="9">
        <f>IF(AF3415=1,UPPER(TRIM(IFERROR(INDEX($A3415:$AB3415,MATCH("Client",$A$1:$AB$1,0)),"")&amp;"")),"")</f>
        <v/>
      </c>
      <c r="AI3415" s="9">
        <f>IF(AF3415=1,IFERROR(INDEX($A3415:$AB3415,MATCH("Cost Centre",$A$1:$AB$1,0)),"")&amp;"","")</f>
        <v/>
      </c>
      <c r="AJ3415" s="54">
        <f>IF(AND(AF3415=1,AE3415&gt;=set_FYStart,AE3415&lt;=set_AsAt),1,0)</f>
        <v/>
      </c>
      <c r="AK3415" s="54">
        <f>IF(AND(AJ3415=1,AH3415&lt;&gt;"",COUNTIFS($AH$2:AH3415,AH3415,$AJ$2:AJ3415,1)=1),N(AL3414)+1,"")</f>
        <v/>
      </c>
      <c r="AL3415" s="54">
        <f>IF(AK3415&lt;&gt;"",AK3415,N(AL3414))</f>
        <v/>
      </c>
    </row>
    <row r="3416">
      <c r="A3416" t="inlineStr">
        <is>
          <t>ONS-1139</t>
        </is>
      </c>
      <c r="B3416" t="inlineStr">
        <is>
          <t>Onsite</t>
        </is>
      </c>
      <c r="AB3416" t="n">
        <v>1139</v>
      </c>
      <c r="AD3416" s="52">
        <f>IFERROR(N(IFERROR(INDEX($A3416:$AB3416,MATCH("Xero Invoiced Ex GST",$A$1:$AB$1,0)),"")),0)</f>
        <v/>
      </c>
      <c r="AE3416" s="53">
        <f>IFERROR(INDEX($A3416:$AB3416,MATCH("Xero Invoice Date",$A$1:$AB$1,0)),"")</f>
        <v/>
      </c>
      <c r="AF3416" s="54">
        <f>IF(AND(IFERROR(INDEX($A3416:$AB3416,MATCH("Xero Invoice No",$A$1:$AB$1,0)),"")&amp;""&lt;&gt;"",ISNUMBER(AE3416),AD3416&lt;&gt;0),1,0)</f>
        <v/>
      </c>
      <c r="AG3416" s="55">
        <f>IF(AF3416=1,EOMONTH(AE3416,0),"")</f>
        <v/>
      </c>
      <c r="AH3416" s="9">
        <f>IF(AF3416=1,UPPER(TRIM(IFERROR(INDEX($A3416:$AB3416,MATCH("Client",$A$1:$AB$1,0)),"")&amp;"")),"")</f>
        <v/>
      </c>
      <c r="AI3416" s="9">
        <f>IF(AF3416=1,IFERROR(INDEX($A3416:$AB3416,MATCH("Cost Centre",$A$1:$AB$1,0)),"")&amp;"","")</f>
        <v/>
      </c>
      <c r="AJ3416" s="54">
        <f>IF(AND(AF3416=1,AE3416&gt;=set_FYStart,AE3416&lt;=set_AsAt),1,0)</f>
        <v/>
      </c>
      <c r="AK3416" s="54">
        <f>IF(AND(AJ3416=1,AH3416&lt;&gt;"",COUNTIFS($AH$2:AH3416,AH3416,$AJ$2:AJ3416,1)=1),N(AL3415)+1,"")</f>
        <v/>
      </c>
      <c r="AL3416" s="54">
        <f>IF(AK3416&lt;&gt;"",AK3416,N(AL3415))</f>
        <v/>
      </c>
    </row>
    <row r="3417">
      <c r="A3417" t="inlineStr">
        <is>
          <t>PRD-1139</t>
        </is>
      </c>
      <c r="B3417" t="inlineStr">
        <is>
          <t>Production</t>
        </is>
      </c>
      <c r="AB3417" t="n">
        <v>1139</v>
      </c>
      <c r="AD3417" s="52">
        <f>IFERROR(N(IFERROR(INDEX($A3417:$AB3417,MATCH("Xero Invoiced Ex GST",$A$1:$AB$1,0)),"")),0)</f>
        <v/>
      </c>
      <c r="AE3417" s="53">
        <f>IFERROR(INDEX($A3417:$AB3417,MATCH("Xero Invoice Date",$A$1:$AB$1,0)),"")</f>
        <v/>
      </c>
      <c r="AF3417" s="54">
        <f>IF(AND(IFERROR(INDEX($A3417:$AB3417,MATCH("Xero Invoice No",$A$1:$AB$1,0)),"")&amp;""&lt;&gt;"",ISNUMBER(AE3417),AD3417&lt;&gt;0),1,0)</f>
        <v/>
      </c>
      <c r="AG3417" s="55">
        <f>IF(AF3417=1,EOMONTH(AE3417,0),"")</f>
        <v/>
      </c>
      <c r="AH3417" s="9">
        <f>IF(AF3417=1,UPPER(TRIM(IFERROR(INDEX($A3417:$AB3417,MATCH("Client",$A$1:$AB$1,0)),"")&amp;"")),"")</f>
        <v/>
      </c>
      <c r="AI3417" s="9">
        <f>IF(AF3417=1,IFERROR(INDEX($A3417:$AB3417,MATCH("Cost Centre",$A$1:$AB$1,0)),"")&amp;"","")</f>
        <v/>
      </c>
      <c r="AJ3417" s="54">
        <f>IF(AND(AF3417=1,AE3417&gt;=set_FYStart,AE3417&lt;=set_AsAt),1,0)</f>
        <v/>
      </c>
      <c r="AK3417" s="54">
        <f>IF(AND(AJ3417=1,AH3417&lt;&gt;"",COUNTIFS($AH$2:AH3417,AH3417,$AJ$2:AJ3417,1)=1),N(AL3416)+1,"")</f>
        <v/>
      </c>
      <c r="AL3417" s="54">
        <f>IF(AK3417&lt;&gt;"",AK3417,N(AL3416))</f>
        <v/>
      </c>
    </row>
    <row r="3418">
      <c r="A3418" t="inlineStr">
        <is>
          <t>CON-1139</t>
        </is>
      </c>
      <c r="B3418" t="inlineStr">
        <is>
          <t>Consulting</t>
        </is>
      </c>
      <c r="AB3418" t="n">
        <v>1139</v>
      </c>
      <c r="AD3418" s="52">
        <f>IFERROR(N(IFERROR(INDEX($A3418:$AB3418,MATCH("Xero Invoiced Ex GST",$A$1:$AB$1,0)),"")),0)</f>
        <v/>
      </c>
      <c r="AE3418" s="53">
        <f>IFERROR(INDEX($A3418:$AB3418,MATCH("Xero Invoice Date",$A$1:$AB$1,0)),"")</f>
        <v/>
      </c>
      <c r="AF3418" s="54">
        <f>IF(AND(IFERROR(INDEX($A3418:$AB3418,MATCH("Xero Invoice No",$A$1:$AB$1,0)),"")&amp;""&lt;&gt;"",ISNUMBER(AE3418),AD3418&lt;&gt;0),1,0)</f>
        <v/>
      </c>
      <c r="AG3418" s="55">
        <f>IF(AF3418=1,EOMONTH(AE3418,0),"")</f>
        <v/>
      </c>
      <c r="AH3418" s="9">
        <f>IF(AF3418=1,UPPER(TRIM(IFERROR(INDEX($A3418:$AB3418,MATCH("Client",$A$1:$AB$1,0)),"")&amp;"")),"")</f>
        <v/>
      </c>
      <c r="AI3418" s="9">
        <f>IF(AF3418=1,IFERROR(INDEX($A3418:$AB3418,MATCH("Cost Centre",$A$1:$AB$1,0)),"")&amp;"","")</f>
        <v/>
      </c>
      <c r="AJ3418" s="54">
        <f>IF(AND(AF3418=1,AE3418&gt;=set_FYStart,AE3418&lt;=set_AsAt),1,0)</f>
        <v/>
      </c>
      <c r="AK3418" s="54">
        <f>IF(AND(AJ3418=1,AH3418&lt;&gt;"",COUNTIFS($AH$2:AH3418,AH3418,$AJ$2:AJ3418,1)=1),N(AL3417)+1,"")</f>
        <v/>
      </c>
      <c r="AL3418" s="54">
        <f>IF(AK3418&lt;&gt;"",AK3418,N(AL3417))</f>
        <v/>
      </c>
    </row>
    <row r="3419">
      <c r="A3419" t="inlineStr">
        <is>
          <t>ONS-1140</t>
        </is>
      </c>
      <c r="B3419" t="inlineStr">
        <is>
          <t>Onsite</t>
        </is>
      </c>
      <c r="AB3419" t="n">
        <v>1140</v>
      </c>
      <c r="AD3419" s="52">
        <f>IFERROR(N(IFERROR(INDEX($A3419:$AB3419,MATCH("Xero Invoiced Ex GST",$A$1:$AB$1,0)),"")),0)</f>
        <v/>
      </c>
      <c r="AE3419" s="53">
        <f>IFERROR(INDEX($A3419:$AB3419,MATCH("Xero Invoice Date",$A$1:$AB$1,0)),"")</f>
        <v/>
      </c>
      <c r="AF3419" s="54">
        <f>IF(AND(IFERROR(INDEX($A3419:$AB3419,MATCH("Xero Invoice No",$A$1:$AB$1,0)),"")&amp;""&lt;&gt;"",ISNUMBER(AE3419),AD3419&lt;&gt;0),1,0)</f>
        <v/>
      </c>
      <c r="AG3419" s="55">
        <f>IF(AF3419=1,EOMONTH(AE3419,0),"")</f>
        <v/>
      </c>
      <c r="AH3419" s="9">
        <f>IF(AF3419=1,UPPER(TRIM(IFERROR(INDEX($A3419:$AB3419,MATCH("Client",$A$1:$AB$1,0)),"")&amp;"")),"")</f>
        <v/>
      </c>
      <c r="AI3419" s="9">
        <f>IF(AF3419=1,IFERROR(INDEX($A3419:$AB3419,MATCH("Cost Centre",$A$1:$AB$1,0)),"")&amp;"","")</f>
        <v/>
      </c>
      <c r="AJ3419" s="54">
        <f>IF(AND(AF3419=1,AE3419&gt;=set_FYStart,AE3419&lt;=set_AsAt),1,0)</f>
        <v/>
      </c>
      <c r="AK3419" s="54">
        <f>IF(AND(AJ3419=1,AH3419&lt;&gt;"",COUNTIFS($AH$2:AH3419,AH3419,$AJ$2:AJ3419,1)=1),N(AL3418)+1,"")</f>
        <v/>
      </c>
      <c r="AL3419" s="54">
        <f>IF(AK3419&lt;&gt;"",AK3419,N(AL3418))</f>
        <v/>
      </c>
    </row>
    <row r="3420">
      <c r="A3420" t="inlineStr">
        <is>
          <t>PRD-1140</t>
        </is>
      </c>
      <c r="B3420" t="inlineStr">
        <is>
          <t>Production</t>
        </is>
      </c>
      <c r="AB3420" t="n">
        <v>1140</v>
      </c>
      <c r="AD3420" s="52">
        <f>IFERROR(N(IFERROR(INDEX($A3420:$AB3420,MATCH("Xero Invoiced Ex GST",$A$1:$AB$1,0)),"")),0)</f>
        <v/>
      </c>
      <c r="AE3420" s="53">
        <f>IFERROR(INDEX($A3420:$AB3420,MATCH("Xero Invoice Date",$A$1:$AB$1,0)),"")</f>
        <v/>
      </c>
      <c r="AF3420" s="54">
        <f>IF(AND(IFERROR(INDEX($A3420:$AB3420,MATCH("Xero Invoice No",$A$1:$AB$1,0)),"")&amp;""&lt;&gt;"",ISNUMBER(AE3420),AD3420&lt;&gt;0),1,0)</f>
        <v/>
      </c>
      <c r="AG3420" s="55">
        <f>IF(AF3420=1,EOMONTH(AE3420,0),"")</f>
        <v/>
      </c>
      <c r="AH3420" s="9">
        <f>IF(AF3420=1,UPPER(TRIM(IFERROR(INDEX($A3420:$AB3420,MATCH("Client",$A$1:$AB$1,0)),"")&amp;"")),"")</f>
        <v/>
      </c>
      <c r="AI3420" s="9">
        <f>IF(AF3420=1,IFERROR(INDEX($A3420:$AB3420,MATCH("Cost Centre",$A$1:$AB$1,0)),"")&amp;"","")</f>
        <v/>
      </c>
      <c r="AJ3420" s="54">
        <f>IF(AND(AF3420=1,AE3420&gt;=set_FYStart,AE3420&lt;=set_AsAt),1,0)</f>
        <v/>
      </c>
      <c r="AK3420" s="54">
        <f>IF(AND(AJ3420=1,AH3420&lt;&gt;"",COUNTIFS($AH$2:AH3420,AH3420,$AJ$2:AJ3420,1)=1),N(AL3419)+1,"")</f>
        <v/>
      </c>
      <c r="AL3420" s="54">
        <f>IF(AK3420&lt;&gt;"",AK3420,N(AL3419))</f>
        <v/>
      </c>
    </row>
    <row r="3421">
      <c r="A3421" t="inlineStr">
        <is>
          <t>CON-1140</t>
        </is>
      </c>
      <c r="B3421" t="inlineStr">
        <is>
          <t>Consulting</t>
        </is>
      </c>
      <c r="AB3421" t="n">
        <v>1140</v>
      </c>
      <c r="AD3421" s="52">
        <f>IFERROR(N(IFERROR(INDEX($A3421:$AB3421,MATCH("Xero Invoiced Ex GST",$A$1:$AB$1,0)),"")),0)</f>
        <v/>
      </c>
      <c r="AE3421" s="53">
        <f>IFERROR(INDEX($A3421:$AB3421,MATCH("Xero Invoice Date",$A$1:$AB$1,0)),"")</f>
        <v/>
      </c>
      <c r="AF3421" s="54">
        <f>IF(AND(IFERROR(INDEX($A3421:$AB3421,MATCH("Xero Invoice No",$A$1:$AB$1,0)),"")&amp;""&lt;&gt;"",ISNUMBER(AE3421),AD3421&lt;&gt;0),1,0)</f>
        <v/>
      </c>
      <c r="AG3421" s="55">
        <f>IF(AF3421=1,EOMONTH(AE3421,0),"")</f>
        <v/>
      </c>
      <c r="AH3421" s="9">
        <f>IF(AF3421=1,UPPER(TRIM(IFERROR(INDEX($A3421:$AB3421,MATCH("Client",$A$1:$AB$1,0)),"")&amp;"")),"")</f>
        <v/>
      </c>
      <c r="AI3421" s="9">
        <f>IF(AF3421=1,IFERROR(INDEX($A3421:$AB3421,MATCH("Cost Centre",$A$1:$AB$1,0)),"")&amp;"","")</f>
        <v/>
      </c>
      <c r="AJ3421" s="54">
        <f>IF(AND(AF3421=1,AE3421&gt;=set_FYStart,AE3421&lt;=set_AsAt),1,0)</f>
        <v/>
      </c>
      <c r="AK3421" s="54">
        <f>IF(AND(AJ3421=1,AH3421&lt;&gt;"",COUNTIFS($AH$2:AH3421,AH3421,$AJ$2:AJ3421,1)=1),N(AL3420)+1,"")</f>
        <v/>
      </c>
      <c r="AL3421" s="54">
        <f>IF(AK3421&lt;&gt;"",AK3421,N(AL3420))</f>
        <v/>
      </c>
    </row>
    <row r="3422">
      <c r="A3422" t="inlineStr">
        <is>
          <t>ONS-1141</t>
        </is>
      </c>
      <c r="B3422" t="inlineStr">
        <is>
          <t>Onsite</t>
        </is>
      </c>
      <c r="AB3422" t="n">
        <v>1141</v>
      </c>
      <c r="AD3422" s="52">
        <f>IFERROR(N(IFERROR(INDEX($A3422:$AB3422,MATCH("Xero Invoiced Ex GST",$A$1:$AB$1,0)),"")),0)</f>
        <v/>
      </c>
      <c r="AE3422" s="53">
        <f>IFERROR(INDEX($A3422:$AB3422,MATCH("Xero Invoice Date",$A$1:$AB$1,0)),"")</f>
        <v/>
      </c>
      <c r="AF3422" s="54">
        <f>IF(AND(IFERROR(INDEX($A3422:$AB3422,MATCH("Xero Invoice No",$A$1:$AB$1,0)),"")&amp;""&lt;&gt;"",ISNUMBER(AE3422),AD3422&lt;&gt;0),1,0)</f>
        <v/>
      </c>
      <c r="AG3422" s="55">
        <f>IF(AF3422=1,EOMONTH(AE3422,0),"")</f>
        <v/>
      </c>
      <c r="AH3422" s="9">
        <f>IF(AF3422=1,UPPER(TRIM(IFERROR(INDEX($A3422:$AB3422,MATCH("Client",$A$1:$AB$1,0)),"")&amp;"")),"")</f>
        <v/>
      </c>
      <c r="AI3422" s="9">
        <f>IF(AF3422=1,IFERROR(INDEX($A3422:$AB3422,MATCH("Cost Centre",$A$1:$AB$1,0)),"")&amp;"","")</f>
        <v/>
      </c>
      <c r="AJ3422" s="54">
        <f>IF(AND(AF3422=1,AE3422&gt;=set_FYStart,AE3422&lt;=set_AsAt),1,0)</f>
        <v/>
      </c>
      <c r="AK3422" s="54">
        <f>IF(AND(AJ3422=1,AH3422&lt;&gt;"",COUNTIFS($AH$2:AH3422,AH3422,$AJ$2:AJ3422,1)=1),N(AL3421)+1,"")</f>
        <v/>
      </c>
      <c r="AL3422" s="54">
        <f>IF(AK3422&lt;&gt;"",AK3422,N(AL3421))</f>
        <v/>
      </c>
    </row>
    <row r="3423">
      <c r="A3423" t="inlineStr">
        <is>
          <t>PRD-1141</t>
        </is>
      </c>
      <c r="B3423" t="inlineStr">
        <is>
          <t>Production</t>
        </is>
      </c>
      <c r="AB3423" t="n">
        <v>1141</v>
      </c>
      <c r="AD3423" s="52">
        <f>IFERROR(N(IFERROR(INDEX($A3423:$AB3423,MATCH("Xero Invoiced Ex GST",$A$1:$AB$1,0)),"")),0)</f>
        <v/>
      </c>
      <c r="AE3423" s="53">
        <f>IFERROR(INDEX($A3423:$AB3423,MATCH("Xero Invoice Date",$A$1:$AB$1,0)),"")</f>
        <v/>
      </c>
      <c r="AF3423" s="54">
        <f>IF(AND(IFERROR(INDEX($A3423:$AB3423,MATCH("Xero Invoice No",$A$1:$AB$1,0)),"")&amp;""&lt;&gt;"",ISNUMBER(AE3423),AD3423&lt;&gt;0),1,0)</f>
        <v/>
      </c>
      <c r="AG3423" s="55">
        <f>IF(AF3423=1,EOMONTH(AE3423,0),"")</f>
        <v/>
      </c>
      <c r="AH3423" s="9">
        <f>IF(AF3423=1,UPPER(TRIM(IFERROR(INDEX($A3423:$AB3423,MATCH("Client",$A$1:$AB$1,0)),"")&amp;"")),"")</f>
        <v/>
      </c>
      <c r="AI3423" s="9">
        <f>IF(AF3423=1,IFERROR(INDEX($A3423:$AB3423,MATCH("Cost Centre",$A$1:$AB$1,0)),"")&amp;"","")</f>
        <v/>
      </c>
      <c r="AJ3423" s="54">
        <f>IF(AND(AF3423=1,AE3423&gt;=set_FYStart,AE3423&lt;=set_AsAt),1,0)</f>
        <v/>
      </c>
      <c r="AK3423" s="54">
        <f>IF(AND(AJ3423=1,AH3423&lt;&gt;"",COUNTIFS($AH$2:AH3423,AH3423,$AJ$2:AJ3423,1)=1),N(AL3422)+1,"")</f>
        <v/>
      </c>
      <c r="AL3423" s="54">
        <f>IF(AK3423&lt;&gt;"",AK3423,N(AL3422))</f>
        <v/>
      </c>
    </row>
    <row r="3424">
      <c r="A3424" t="inlineStr">
        <is>
          <t>CON-1141</t>
        </is>
      </c>
      <c r="B3424" t="inlineStr">
        <is>
          <t>Consulting</t>
        </is>
      </c>
      <c r="AB3424" t="n">
        <v>1141</v>
      </c>
      <c r="AD3424" s="52">
        <f>IFERROR(N(IFERROR(INDEX($A3424:$AB3424,MATCH("Xero Invoiced Ex GST",$A$1:$AB$1,0)),"")),0)</f>
        <v/>
      </c>
      <c r="AE3424" s="53">
        <f>IFERROR(INDEX($A3424:$AB3424,MATCH("Xero Invoice Date",$A$1:$AB$1,0)),"")</f>
        <v/>
      </c>
      <c r="AF3424" s="54">
        <f>IF(AND(IFERROR(INDEX($A3424:$AB3424,MATCH("Xero Invoice No",$A$1:$AB$1,0)),"")&amp;""&lt;&gt;"",ISNUMBER(AE3424),AD3424&lt;&gt;0),1,0)</f>
        <v/>
      </c>
      <c r="AG3424" s="55">
        <f>IF(AF3424=1,EOMONTH(AE3424,0),"")</f>
        <v/>
      </c>
      <c r="AH3424" s="9">
        <f>IF(AF3424=1,UPPER(TRIM(IFERROR(INDEX($A3424:$AB3424,MATCH("Client",$A$1:$AB$1,0)),"")&amp;"")),"")</f>
        <v/>
      </c>
      <c r="AI3424" s="9">
        <f>IF(AF3424=1,IFERROR(INDEX($A3424:$AB3424,MATCH("Cost Centre",$A$1:$AB$1,0)),"")&amp;"","")</f>
        <v/>
      </c>
      <c r="AJ3424" s="54">
        <f>IF(AND(AF3424=1,AE3424&gt;=set_FYStart,AE3424&lt;=set_AsAt),1,0)</f>
        <v/>
      </c>
      <c r="AK3424" s="54">
        <f>IF(AND(AJ3424=1,AH3424&lt;&gt;"",COUNTIFS($AH$2:AH3424,AH3424,$AJ$2:AJ3424,1)=1),N(AL3423)+1,"")</f>
        <v/>
      </c>
      <c r="AL3424" s="54">
        <f>IF(AK3424&lt;&gt;"",AK3424,N(AL3423))</f>
        <v/>
      </c>
    </row>
    <row r="3425">
      <c r="A3425" t="inlineStr">
        <is>
          <t>ONS-1142</t>
        </is>
      </c>
      <c r="B3425" t="inlineStr">
        <is>
          <t>Onsite</t>
        </is>
      </c>
      <c r="AB3425" t="n">
        <v>1142</v>
      </c>
      <c r="AD3425" s="52">
        <f>IFERROR(N(IFERROR(INDEX($A3425:$AB3425,MATCH("Xero Invoiced Ex GST",$A$1:$AB$1,0)),"")),0)</f>
        <v/>
      </c>
      <c r="AE3425" s="53">
        <f>IFERROR(INDEX($A3425:$AB3425,MATCH("Xero Invoice Date",$A$1:$AB$1,0)),"")</f>
        <v/>
      </c>
      <c r="AF3425" s="54">
        <f>IF(AND(IFERROR(INDEX($A3425:$AB3425,MATCH("Xero Invoice No",$A$1:$AB$1,0)),"")&amp;""&lt;&gt;"",ISNUMBER(AE3425),AD3425&lt;&gt;0),1,0)</f>
        <v/>
      </c>
      <c r="AG3425" s="55">
        <f>IF(AF3425=1,EOMONTH(AE3425,0),"")</f>
        <v/>
      </c>
      <c r="AH3425" s="9">
        <f>IF(AF3425=1,UPPER(TRIM(IFERROR(INDEX($A3425:$AB3425,MATCH("Client",$A$1:$AB$1,0)),"")&amp;"")),"")</f>
        <v/>
      </c>
      <c r="AI3425" s="9">
        <f>IF(AF3425=1,IFERROR(INDEX($A3425:$AB3425,MATCH("Cost Centre",$A$1:$AB$1,0)),"")&amp;"","")</f>
        <v/>
      </c>
      <c r="AJ3425" s="54">
        <f>IF(AND(AF3425=1,AE3425&gt;=set_FYStart,AE3425&lt;=set_AsAt),1,0)</f>
        <v/>
      </c>
      <c r="AK3425" s="54">
        <f>IF(AND(AJ3425=1,AH3425&lt;&gt;"",COUNTIFS($AH$2:AH3425,AH3425,$AJ$2:AJ3425,1)=1),N(AL3424)+1,"")</f>
        <v/>
      </c>
      <c r="AL3425" s="54">
        <f>IF(AK3425&lt;&gt;"",AK3425,N(AL3424))</f>
        <v/>
      </c>
    </row>
    <row r="3426">
      <c r="A3426" t="inlineStr">
        <is>
          <t>PRD-1142</t>
        </is>
      </c>
      <c r="B3426" t="inlineStr">
        <is>
          <t>Production</t>
        </is>
      </c>
      <c r="AB3426" t="n">
        <v>1142</v>
      </c>
      <c r="AD3426" s="52">
        <f>IFERROR(N(IFERROR(INDEX($A3426:$AB3426,MATCH("Xero Invoiced Ex GST",$A$1:$AB$1,0)),"")),0)</f>
        <v/>
      </c>
      <c r="AE3426" s="53">
        <f>IFERROR(INDEX($A3426:$AB3426,MATCH("Xero Invoice Date",$A$1:$AB$1,0)),"")</f>
        <v/>
      </c>
      <c r="AF3426" s="54">
        <f>IF(AND(IFERROR(INDEX($A3426:$AB3426,MATCH("Xero Invoice No",$A$1:$AB$1,0)),"")&amp;""&lt;&gt;"",ISNUMBER(AE3426),AD3426&lt;&gt;0),1,0)</f>
        <v/>
      </c>
      <c r="AG3426" s="55">
        <f>IF(AF3426=1,EOMONTH(AE3426,0),"")</f>
        <v/>
      </c>
      <c r="AH3426" s="9">
        <f>IF(AF3426=1,UPPER(TRIM(IFERROR(INDEX($A3426:$AB3426,MATCH("Client",$A$1:$AB$1,0)),"")&amp;"")),"")</f>
        <v/>
      </c>
      <c r="AI3426" s="9">
        <f>IF(AF3426=1,IFERROR(INDEX($A3426:$AB3426,MATCH("Cost Centre",$A$1:$AB$1,0)),"")&amp;"","")</f>
        <v/>
      </c>
      <c r="AJ3426" s="54">
        <f>IF(AND(AF3426=1,AE3426&gt;=set_FYStart,AE3426&lt;=set_AsAt),1,0)</f>
        <v/>
      </c>
      <c r="AK3426" s="54">
        <f>IF(AND(AJ3426=1,AH3426&lt;&gt;"",COUNTIFS($AH$2:AH3426,AH3426,$AJ$2:AJ3426,1)=1),N(AL3425)+1,"")</f>
        <v/>
      </c>
      <c r="AL3426" s="54">
        <f>IF(AK3426&lt;&gt;"",AK3426,N(AL3425))</f>
        <v/>
      </c>
    </row>
    <row r="3427">
      <c r="A3427" t="inlineStr">
        <is>
          <t>CON-1142</t>
        </is>
      </c>
      <c r="B3427" t="inlineStr">
        <is>
          <t>Consulting</t>
        </is>
      </c>
      <c r="AB3427" t="n">
        <v>1142</v>
      </c>
      <c r="AD3427" s="52">
        <f>IFERROR(N(IFERROR(INDEX($A3427:$AB3427,MATCH("Xero Invoiced Ex GST",$A$1:$AB$1,0)),"")),0)</f>
        <v/>
      </c>
      <c r="AE3427" s="53">
        <f>IFERROR(INDEX($A3427:$AB3427,MATCH("Xero Invoice Date",$A$1:$AB$1,0)),"")</f>
        <v/>
      </c>
      <c r="AF3427" s="54">
        <f>IF(AND(IFERROR(INDEX($A3427:$AB3427,MATCH("Xero Invoice No",$A$1:$AB$1,0)),"")&amp;""&lt;&gt;"",ISNUMBER(AE3427),AD3427&lt;&gt;0),1,0)</f>
        <v/>
      </c>
      <c r="AG3427" s="55">
        <f>IF(AF3427=1,EOMONTH(AE3427,0),"")</f>
        <v/>
      </c>
      <c r="AH3427" s="9">
        <f>IF(AF3427=1,UPPER(TRIM(IFERROR(INDEX($A3427:$AB3427,MATCH("Client",$A$1:$AB$1,0)),"")&amp;"")),"")</f>
        <v/>
      </c>
      <c r="AI3427" s="9">
        <f>IF(AF3427=1,IFERROR(INDEX($A3427:$AB3427,MATCH("Cost Centre",$A$1:$AB$1,0)),"")&amp;"","")</f>
        <v/>
      </c>
      <c r="AJ3427" s="54">
        <f>IF(AND(AF3427=1,AE3427&gt;=set_FYStart,AE3427&lt;=set_AsAt),1,0)</f>
        <v/>
      </c>
      <c r="AK3427" s="54">
        <f>IF(AND(AJ3427=1,AH3427&lt;&gt;"",COUNTIFS($AH$2:AH3427,AH3427,$AJ$2:AJ3427,1)=1),N(AL3426)+1,"")</f>
        <v/>
      </c>
      <c r="AL3427" s="54">
        <f>IF(AK3427&lt;&gt;"",AK3427,N(AL3426))</f>
        <v/>
      </c>
    </row>
    <row r="3428">
      <c r="A3428" t="inlineStr">
        <is>
          <t>ONS-1143</t>
        </is>
      </c>
      <c r="B3428" t="inlineStr">
        <is>
          <t>Onsite</t>
        </is>
      </c>
      <c r="AB3428" t="n">
        <v>1143</v>
      </c>
      <c r="AD3428" s="52">
        <f>IFERROR(N(IFERROR(INDEX($A3428:$AB3428,MATCH("Xero Invoiced Ex GST",$A$1:$AB$1,0)),"")),0)</f>
        <v/>
      </c>
      <c r="AE3428" s="53">
        <f>IFERROR(INDEX($A3428:$AB3428,MATCH("Xero Invoice Date",$A$1:$AB$1,0)),"")</f>
        <v/>
      </c>
      <c r="AF3428" s="54">
        <f>IF(AND(IFERROR(INDEX($A3428:$AB3428,MATCH("Xero Invoice No",$A$1:$AB$1,0)),"")&amp;""&lt;&gt;"",ISNUMBER(AE3428),AD3428&lt;&gt;0),1,0)</f>
        <v/>
      </c>
      <c r="AG3428" s="55">
        <f>IF(AF3428=1,EOMONTH(AE3428,0),"")</f>
        <v/>
      </c>
      <c r="AH3428" s="9">
        <f>IF(AF3428=1,UPPER(TRIM(IFERROR(INDEX($A3428:$AB3428,MATCH("Client",$A$1:$AB$1,0)),"")&amp;"")),"")</f>
        <v/>
      </c>
      <c r="AI3428" s="9">
        <f>IF(AF3428=1,IFERROR(INDEX($A3428:$AB3428,MATCH("Cost Centre",$A$1:$AB$1,0)),"")&amp;"","")</f>
        <v/>
      </c>
      <c r="AJ3428" s="54">
        <f>IF(AND(AF3428=1,AE3428&gt;=set_FYStart,AE3428&lt;=set_AsAt),1,0)</f>
        <v/>
      </c>
      <c r="AK3428" s="54">
        <f>IF(AND(AJ3428=1,AH3428&lt;&gt;"",COUNTIFS($AH$2:AH3428,AH3428,$AJ$2:AJ3428,1)=1),N(AL3427)+1,"")</f>
        <v/>
      </c>
      <c r="AL3428" s="54">
        <f>IF(AK3428&lt;&gt;"",AK3428,N(AL3427))</f>
        <v/>
      </c>
    </row>
    <row r="3429">
      <c r="A3429" t="inlineStr">
        <is>
          <t>PRD-1143</t>
        </is>
      </c>
      <c r="B3429" t="inlineStr">
        <is>
          <t>Production</t>
        </is>
      </c>
      <c r="AB3429" t="n">
        <v>1143</v>
      </c>
      <c r="AD3429" s="52">
        <f>IFERROR(N(IFERROR(INDEX($A3429:$AB3429,MATCH("Xero Invoiced Ex GST",$A$1:$AB$1,0)),"")),0)</f>
        <v/>
      </c>
      <c r="AE3429" s="53">
        <f>IFERROR(INDEX($A3429:$AB3429,MATCH("Xero Invoice Date",$A$1:$AB$1,0)),"")</f>
        <v/>
      </c>
      <c r="AF3429" s="54">
        <f>IF(AND(IFERROR(INDEX($A3429:$AB3429,MATCH("Xero Invoice No",$A$1:$AB$1,0)),"")&amp;""&lt;&gt;"",ISNUMBER(AE3429),AD3429&lt;&gt;0),1,0)</f>
        <v/>
      </c>
      <c r="AG3429" s="55">
        <f>IF(AF3429=1,EOMONTH(AE3429,0),"")</f>
        <v/>
      </c>
      <c r="AH3429" s="9">
        <f>IF(AF3429=1,UPPER(TRIM(IFERROR(INDEX($A3429:$AB3429,MATCH("Client",$A$1:$AB$1,0)),"")&amp;"")),"")</f>
        <v/>
      </c>
      <c r="AI3429" s="9">
        <f>IF(AF3429=1,IFERROR(INDEX($A3429:$AB3429,MATCH("Cost Centre",$A$1:$AB$1,0)),"")&amp;"","")</f>
        <v/>
      </c>
      <c r="AJ3429" s="54">
        <f>IF(AND(AF3429=1,AE3429&gt;=set_FYStart,AE3429&lt;=set_AsAt),1,0)</f>
        <v/>
      </c>
      <c r="AK3429" s="54">
        <f>IF(AND(AJ3429=1,AH3429&lt;&gt;"",COUNTIFS($AH$2:AH3429,AH3429,$AJ$2:AJ3429,1)=1),N(AL3428)+1,"")</f>
        <v/>
      </c>
      <c r="AL3429" s="54">
        <f>IF(AK3429&lt;&gt;"",AK3429,N(AL3428))</f>
        <v/>
      </c>
    </row>
    <row r="3430">
      <c r="A3430" t="inlineStr">
        <is>
          <t>CON-1143</t>
        </is>
      </c>
      <c r="B3430" t="inlineStr">
        <is>
          <t>Consulting</t>
        </is>
      </c>
      <c r="AB3430" t="n">
        <v>1143</v>
      </c>
      <c r="AD3430" s="52">
        <f>IFERROR(N(IFERROR(INDEX($A3430:$AB3430,MATCH("Xero Invoiced Ex GST",$A$1:$AB$1,0)),"")),0)</f>
        <v/>
      </c>
      <c r="AE3430" s="53">
        <f>IFERROR(INDEX($A3430:$AB3430,MATCH("Xero Invoice Date",$A$1:$AB$1,0)),"")</f>
        <v/>
      </c>
      <c r="AF3430" s="54">
        <f>IF(AND(IFERROR(INDEX($A3430:$AB3430,MATCH("Xero Invoice No",$A$1:$AB$1,0)),"")&amp;""&lt;&gt;"",ISNUMBER(AE3430),AD3430&lt;&gt;0),1,0)</f>
        <v/>
      </c>
      <c r="AG3430" s="55">
        <f>IF(AF3430=1,EOMONTH(AE3430,0),"")</f>
        <v/>
      </c>
      <c r="AH3430" s="9">
        <f>IF(AF3430=1,UPPER(TRIM(IFERROR(INDEX($A3430:$AB3430,MATCH("Client",$A$1:$AB$1,0)),"")&amp;"")),"")</f>
        <v/>
      </c>
      <c r="AI3430" s="9">
        <f>IF(AF3430=1,IFERROR(INDEX($A3430:$AB3430,MATCH("Cost Centre",$A$1:$AB$1,0)),"")&amp;"","")</f>
        <v/>
      </c>
      <c r="AJ3430" s="54">
        <f>IF(AND(AF3430=1,AE3430&gt;=set_FYStart,AE3430&lt;=set_AsAt),1,0)</f>
        <v/>
      </c>
      <c r="AK3430" s="54">
        <f>IF(AND(AJ3430=1,AH3430&lt;&gt;"",COUNTIFS($AH$2:AH3430,AH3430,$AJ$2:AJ3430,1)=1),N(AL3429)+1,"")</f>
        <v/>
      </c>
      <c r="AL3430" s="54">
        <f>IF(AK3430&lt;&gt;"",AK3430,N(AL3429))</f>
        <v/>
      </c>
    </row>
    <row r="3431">
      <c r="A3431" t="inlineStr">
        <is>
          <t>ONS-1144</t>
        </is>
      </c>
      <c r="B3431" t="inlineStr">
        <is>
          <t>Onsite</t>
        </is>
      </c>
      <c r="AB3431" t="n">
        <v>1144</v>
      </c>
      <c r="AD3431" s="52">
        <f>IFERROR(N(IFERROR(INDEX($A3431:$AB3431,MATCH("Xero Invoiced Ex GST",$A$1:$AB$1,0)),"")),0)</f>
        <v/>
      </c>
      <c r="AE3431" s="53">
        <f>IFERROR(INDEX($A3431:$AB3431,MATCH("Xero Invoice Date",$A$1:$AB$1,0)),"")</f>
        <v/>
      </c>
      <c r="AF3431" s="54">
        <f>IF(AND(IFERROR(INDEX($A3431:$AB3431,MATCH("Xero Invoice No",$A$1:$AB$1,0)),"")&amp;""&lt;&gt;"",ISNUMBER(AE3431),AD3431&lt;&gt;0),1,0)</f>
        <v/>
      </c>
      <c r="AG3431" s="55">
        <f>IF(AF3431=1,EOMONTH(AE3431,0),"")</f>
        <v/>
      </c>
      <c r="AH3431" s="9">
        <f>IF(AF3431=1,UPPER(TRIM(IFERROR(INDEX($A3431:$AB3431,MATCH("Client",$A$1:$AB$1,0)),"")&amp;"")),"")</f>
        <v/>
      </c>
      <c r="AI3431" s="9">
        <f>IF(AF3431=1,IFERROR(INDEX($A3431:$AB3431,MATCH("Cost Centre",$A$1:$AB$1,0)),"")&amp;"","")</f>
        <v/>
      </c>
      <c r="AJ3431" s="54">
        <f>IF(AND(AF3431=1,AE3431&gt;=set_FYStart,AE3431&lt;=set_AsAt),1,0)</f>
        <v/>
      </c>
      <c r="AK3431" s="54">
        <f>IF(AND(AJ3431=1,AH3431&lt;&gt;"",COUNTIFS($AH$2:AH3431,AH3431,$AJ$2:AJ3431,1)=1),N(AL3430)+1,"")</f>
        <v/>
      </c>
      <c r="AL3431" s="54">
        <f>IF(AK3431&lt;&gt;"",AK3431,N(AL3430))</f>
        <v/>
      </c>
    </row>
    <row r="3432">
      <c r="A3432" t="inlineStr">
        <is>
          <t>PRD-1144</t>
        </is>
      </c>
      <c r="B3432" t="inlineStr">
        <is>
          <t>Production</t>
        </is>
      </c>
      <c r="AB3432" t="n">
        <v>1144</v>
      </c>
      <c r="AD3432" s="52">
        <f>IFERROR(N(IFERROR(INDEX($A3432:$AB3432,MATCH("Xero Invoiced Ex GST",$A$1:$AB$1,0)),"")),0)</f>
        <v/>
      </c>
      <c r="AE3432" s="53">
        <f>IFERROR(INDEX($A3432:$AB3432,MATCH("Xero Invoice Date",$A$1:$AB$1,0)),"")</f>
        <v/>
      </c>
      <c r="AF3432" s="54">
        <f>IF(AND(IFERROR(INDEX($A3432:$AB3432,MATCH("Xero Invoice No",$A$1:$AB$1,0)),"")&amp;""&lt;&gt;"",ISNUMBER(AE3432),AD3432&lt;&gt;0),1,0)</f>
        <v/>
      </c>
      <c r="AG3432" s="55">
        <f>IF(AF3432=1,EOMONTH(AE3432,0),"")</f>
        <v/>
      </c>
      <c r="AH3432" s="9">
        <f>IF(AF3432=1,UPPER(TRIM(IFERROR(INDEX($A3432:$AB3432,MATCH("Client",$A$1:$AB$1,0)),"")&amp;"")),"")</f>
        <v/>
      </c>
      <c r="AI3432" s="9">
        <f>IF(AF3432=1,IFERROR(INDEX($A3432:$AB3432,MATCH("Cost Centre",$A$1:$AB$1,0)),"")&amp;"","")</f>
        <v/>
      </c>
      <c r="AJ3432" s="54">
        <f>IF(AND(AF3432=1,AE3432&gt;=set_FYStart,AE3432&lt;=set_AsAt),1,0)</f>
        <v/>
      </c>
      <c r="AK3432" s="54">
        <f>IF(AND(AJ3432=1,AH3432&lt;&gt;"",COUNTIFS($AH$2:AH3432,AH3432,$AJ$2:AJ3432,1)=1),N(AL3431)+1,"")</f>
        <v/>
      </c>
      <c r="AL3432" s="54">
        <f>IF(AK3432&lt;&gt;"",AK3432,N(AL3431))</f>
        <v/>
      </c>
    </row>
    <row r="3433">
      <c r="A3433" t="inlineStr">
        <is>
          <t>CON-1144</t>
        </is>
      </c>
      <c r="B3433" t="inlineStr">
        <is>
          <t>Consulting</t>
        </is>
      </c>
      <c r="AB3433" t="n">
        <v>1144</v>
      </c>
      <c r="AD3433" s="52">
        <f>IFERROR(N(IFERROR(INDEX($A3433:$AB3433,MATCH("Xero Invoiced Ex GST",$A$1:$AB$1,0)),"")),0)</f>
        <v/>
      </c>
      <c r="AE3433" s="53">
        <f>IFERROR(INDEX($A3433:$AB3433,MATCH("Xero Invoice Date",$A$1:$AB$1,0)),"")</f>
        <v/>
      </c>
      <c r="AF3433" s="54">
        <f>IF(AND(IFERROR(INDEX($A3433:$AB3433,MATCH("Xero Invoice No",$A$1:$AB$1,0)),"")&amp;""&lt;&gt;"",ISNUMBER(AE3433),AD3433&lt;&gt;0),1,0)</f>
        <v/>
      </c>
      <c r="AG3433" s="55">
        <f>IF(AF3433=1,EOMONTH(AE3433,0),"")</f>
        <v/>
      </c>
      <c r="AH3433" s="9">
        <f>IF(AF3433=1,UPPER(TRIM(IFERROR(INDEX($A3433:$AB3433,MATCH("Client",$A$1:$AB$1,0)),"")&amp;"")),"")</f>
        <v/>
      </c>
      <c r="AI3433" s="9">
        <f>IF(AF3433=1,IFERROR(INDEX($A3433:$AB3433,MATCH("Cost Centre",$A$1:$AB$1,0)),"")&amp;"","")</f>
        <v/>
      </c>
      <c r="AJ3433" s="54">
        <f>IF(AND(AF3433=1,AE3433&gt;=set_FYStart,AE3433&lt;=set_AsAt),1,0)</f>
        <v/>
      </c>
      <c r="AK3433" s="54">
        <f>IF(AND(AJ3433=1,AH3433&lt;&gt;"",COUNTIFS($AH$2:AH3433,AH3433,$AJ$2:AJ3433,1)=1),N(AL3432)+1,"")</f>
        <v/>
      </c>
      <c r="AL3433" s="54">
        <f>IF(AK3433&lt;&gt;"",AK3433,N(AL3432))</f>
        <v/>
      </c>
    </row>
    <row r="3434">
      <c r="A3434" t="inlineStr">
        <is>
          <t>ONS-1145</t>
        </is>
      </c>
      <c r="B3434" t="inlineStr">
        <is>
          <t>Onsite</t>
        </is>
      </c>
      <c r="AB3434" t="n">
        <v>1145</v>
      </c>
      <c r="AD3434" s="52">
        <f>IFERROR(N(IFERROR(INDEX($A3434:$AB3434,MATCH("Xero Invoiced Ex GST",$A$1:$AB$1,0)),"")),0)</f>
        <v/>
      </c>
      <c r="AE3434" s="53">
        <f>IFERROR(INDEX($A3434:$AB3434,MATCH("Xero Invoice Date",$A$1:$AB$1,0)),"")</f>
        <v/>
      </c>
      <c r="AF3434" s="54">
        <f>IF(AND(IFERROR(INDEX($A3434:$AB3434,MATCH("Xero Invoice No",$A$1:$AB$1,0)),"")&amp;""&lt;&gt;"",ISNUMBER(AE3434),AD3434&lt;&gt;0),1,0)</f>
        <v/>
      </c>
      <c r="AG3434" s="55">
        <f>IF(AF3434=1,EOMONTH(AE3434,0),"")</f>
        <v/>
      </c>
      <c r="AH3434" s="9">
        <f>IF(AF3434=1,UPPER(TRIM(IFERROR(INDEX($A3434:$AB3434,MATCH("Client",$A$1:$AB$1,0)),"")&amp;"")),"")</f>
        <v/>
      </c>
      <c r="AI3434" s="9">
        <f>IF(AF3434=1,IFERROR(INDEX($A3434:$AB3434,MATCH("Cost Centre",$A$1:$AB$1,0)),"")&amp;"","")</f>
        <v/>
      </c>
      <c r="AJ3434" s="54">
        <f>IF(AND(AF3434=1,AE3434&gt;=set_FYStart,AE3434&lt;=set_AsAt),1,0)</f>
        <v/>
      </c>
      <c r="AK3434" s="54">
        <f>IF(AND(AJ3434=1,AH3434&lt;&gt;"",COUNTIFS($AH$2:AH3434,AH3434,$AJ$2:AJ3434,1)=1),N(AL3433)+1,"")</f>
        <v/>
      </c>
      <c r="AL3434" s="54">
        <f>IF(AK3434&lt;&gt;"",AK3434,N(AL3433))</f>
        <v/>
      </c>
    </row>
    <row r="3435">
      <c r="A3435" t="inlineStr">
        <is>
          <t>PRD-1145</t>
        </is>
      </c>
      <c r="B3435" t="inlineStr">
        <is>
          <t>Production</t>
        </is>
      </c>
      <c r="AB3435" t="n">
        <v>1145</v>
      </c>
      <c r="AD3435" s="52">
        <f>IFERROR(N(IFERROR(INDEX($A3435:$AB3435,MATCH("Xero Invoiced Ex GST",$A$1:$AB$1,0)),"")),0)</f>
        <v/>
      </c>
      <c r="AE3435" s="53">
        <f>IFERROR(INDEX($A3435:$AB3435,MATCH("Xero Invoice Date",$A$1:$AB$1,0)),"")</f>
        <v/>
      </c>
      <c r="AF3435" s="54">
        <f>IF(AND(IFERROR(INDEX($A3435:$AB3435,MATCH("Xero Invoice No",$A$1:$AB$1,0)),"")&amp;""&lt;&gt;"",ISNUMBER(AE3435),AD3435&lt;&gt;0),1,0)</f>
        <v/>
      </c>
      <c r="AG3435" s="55">
        <f>IF(AF3435=1,EOMONTH(AE3435,0),"")</f>
        <v/>
      </c>
      <c r="AH3435" s="9">
        <f>IF(AF3435=1,UPPER(TRIM(IFERROR(INDEX($A3435:$AB3435,MATCH("Client",$A$1:$AB$1,0)),"")&amp;"")),"")</f>
        <v/>
      </c>
      <c r="AI3435" s="9">
        <f>IF(AF3435=1,IFERROR(INDEX($A3435:$AB3435,MATCH("Cost Centre",$A$1:$AB$1,0)),"")&amp;"","")</f>
        <v/>
      </c>
      <c r="AJ3435" s="54">
        <f>IF(AND(AF3435=1,AE3435&gt;=set_FYStart,AE3435&lt;=set_AsAt),1,0)</f>
        <v/>
      </c>
      <c r="AK3435" s="54">
        <f>IF(AND(AJ3435=1,AH3435&lt;&gt;"",COUNTIFS($AH$2:AH3435,AH3435,$AJ$2:AJ3435,1)=1),N(AL3434)+1,"")</f>
        <v/>
      </c>
      <c r="AL3435" s="54">
        <f>IF(AK3435&lt;&gt;"",AK3435,N(AL3434))</f>
        <v/>
      </c>
    </row>
    <row r="3436">
      <c r="A3436" t="inlineStr">
        <is>
          <t>CON-1145</t>
        </is>
      </c>
      <c r="B3436" t="inlineStr">
        <is>
          <t>Consulting</t>
        </is>
      </c>
      <c r="AB3436" t="n">
        <v>1145</v>
      </c>
      <c r="AD3436" s="52">
        <f>IFERROR(N(IFERROR(INDEX($A3436:$AB3436,MATCH("Xero Invoiced Ex GST",$A$1:$AB$1,0)),"")),0)</f>
        <v/>
      </c>
      <c r="AE3436" s="53">
        <f>IFERROR(INDEX($A3436:$AB3436,MATCH("Xero Invoice Date",$A$1:$AB$1,0)),"")</f>
        <v/>
      </c>
      <c r="AF3436" s="54">
        <f>IF(AND(IFERROR(INDEX($A3436:$AB3436,MATCH("Xero Invoice No",$A$1:$AB$1,0)),"")&amp;""&lt;&gt;"",ISNUMBER(AE3436),AD3436&lt;&gt;0),1,0)</f>
        <v/>
      </c>
      <c r="AG3436" s="55">
        <f>IF(AF3436=1,EOMONTH(AE3436,0),"")</f>
        <v/>
      </c>
      <c r="AH3436" s="9">
        <f>IF(AF3436=1,UPPER(TRIM(IFERROR(INDEX($A3436:$AB3436,MATCH("Client",$A$1:$AB$1,0)),"")&amp;"")),"")</f>
        <v/>
      </c>
      <c r="AI3436" s="9">
        <f>IF(AF3436=1,IFERROR(INDEX($A3436:$AB3436,MATCH("Cost Centre",$A$1:$AB$1,0)),"")&amp;"","")</f>
        <v/>
      </c>
      <c r="AJ3436" s="54">
        <f>IF(AND(AF3436=1,AE3436&gt;=set_FYStart,AE3436&lt;=set_AsAt),1,0)</f>
        <v/>
      </c>
      <c r="AK3436" s="54">
        <f>IF(AND(AJ3436=1,AH3436&lt;&gt;"",COUNTIFS($AH$2:AH3436,AH3436,$AJ$2:AJ3436,1)=1),N(AL3435)+1,"")</f>
        <v/>
      </c>
      <c r="AL3436" s="54">
        <f>IF(AK3436&lt;&gt;"",AK3436,N(AL3435))</f>
        <v/>
      </c>
    </row>
    <row r="3437">
      <c r="A3437" t="inlineStr">
        <is>
          <t>ONS-1146</t>
        </is>
      </c>
      <c r="B3437" t="inlineStr">
        <is>
          <t>Onsite</t>
        </is>
      </c>
      <c r="AB3437" t="n">
        <v>1146</v>
      </c>
      <c r="AD3437" s="52">
        <f>IFERROR(N(IFERROR(INDEX($A3437:$AB3437,MATCH("Xero Invoiced Ex GST",$A$1:$AB$1,0)),"")),0)</f>
        <v/>
      </c>
      <c r="AE3437" s="53">
        <f>IFERROR(INDEX($A3437:$AB3437,MATCH("Xero Invoice Date",$A$1:$AB$1,0)),"")</f>
        <v/>
      </c>
      <c r="AF3437" s="54">
        <f>IF(AND(IFERROR(INDEX($A3437:$AB3437,MATCH("Xero Invoice No",$A$1:$AB$1,0)),"")&amp;""&lt;&gt;"",ISNUMBER(AE3437),AD3437&lt;&gt;0),1,0)</f>
        <v/>
      </c>
      <c r="AG3437" s="55">
        <f>IF(AF3437=1,EOMONTH(AE3437,0),"")</f>
        <v/>
      </c>
      <c r="AH3437" s="9">
        <f>IF(AF3437=1,UPPER(TRIM(IFERROR(INDEX($A3437:$AB3437,MATCH("Client",$A$1:$AB$1,0)),"")&amp;"")),"")</f>
        <v/>
      </c>
      <c r="AI3437" s="9">
        <f>IF(AF3437=1,IFERROR(INDEX($A3437:$AB3437,MATCH("Cost Centre",$A$1:$AB$1,0)),"")&amp;"","")</f>
        <v/>
      </c>
      <c r="AJ3437" s="54">
        <f>IF(AND(AF3437=1,AE3437&gt;=set_FYStart,AE3437&lt;=set_AsAt),1,0)</f>
        <v/>
      </c>
      <c r="AK3437" s="54">
        <f>IF(AND(AJ3437=1,AH3437&lt;&gt;"",COUNTIFS($AH$2:AH3437,AH3437,$AJ$2:AJ3437,1)=1),N(AL3436)+1,"")</f>
        <v/>
      </c>
      <c r="AL3437" s="54">
        <f>IF(AK3437&lt;&gt;"",AK3437,N(AL3436))</f>
        <v/>
      </c>
    </row>
    <row r="3438">
      <c r="A3438" t="inlineStr">
        <is>
          <t>PRD-1146</t>
        </is>
      </c>
      <c r="B3438" t="inlineStr">
        <is>
          <t>Production</t>
        </is>
      </c>
      <c r="AB3438" t="n">
        <v>1146</v>
      </c>
      <c r="AD3438" s="52">
        <f>IFERROR(N(IFERROR(INDEX($A3438:$AB3438,MATCH("Xero Invoiced Ex GST",$A$1:$AB$1,0)),"")),0)</f>
        <v/>
      </c>
      <c r="AE3438" s="53">
        <f>IFERROR(INDEX($A3438:$AB3438,MATCH("Xero Invoice Date",$A$1:$AB$1,0)),"")</f>
        <v/>
      </c>
      <c r="AF3438" s="54">
        <f>IF(AND(IFERROR(INDEX($A3438:$AB3438,MATCH("Xero Invoice No",$A$1:$AB$1,0)),"")&amp;""&lt;&gt;"",ISNUMBER(AE3438),AD3438&lt;&gt;0),1,0)</f>
        <v/>
      </c>
      <c r="AG3438" s="55">
        <f>IF(AF3438=1,EOMONTH(AE3438,0),"")</f>
        <v/>
      </c>
      <c r="AH3438" s="9">
        <f>IF(AF3438=1,UPPER(TRIM(IFERROR(INDEX($A3438:$AB3438,MATCH("Client",$A$1:$AB$1,0)),"")&amp;"")),"")</f>
        <v/>
      </c>
      <c r="AI3438" s="9">
        <f>IF(AF3438=1,IFERROR(INDEX($A3438:$AB3438,MATCH("Cost Centre",$A$1:$AB$1,0)),"")&amp;"","")</f>
        <v/>
      </c>
      <c r="AJ3438" s="54">
        <f>IF(AND(AF3438=1,AE3438&gt;=set_FYStart,AE3438&lt;=set_AsAt),1,0)</f>
        <v/>
      </c>
      <c r="AK3438" s="54">
        <f>IF(AND(AJ3438=1,AH3438&lt;&gt;"",COUNTIFS($AH$2:AH3438,AH3438,$AJ$2:AJ3438,1)=1),N(AL3437)+1,"")</f>
        <v/>
      </c>
      <c r="AL3438" s="54">
        <f>IF(AK3438&lt;&gt;"",AK3438,N(AL3437))</f>
        <v/>
      </c>
    </row>
    <row r="3439">
      <c r="A3439" t="inlineStr">
        <is>
          <t>CON-1146</t>
        </is>
      </c>
      <c r="B3439" t="inlineStr">
        <is>
          <t>Consulting</t>
        </is>
      </c>
      <c r="AB3439" t="n">
        <v>1146</v>
      </c>
      <c r="AD3439" s="52">
        <f>IFERROR(N(IFERROR(INDEX($A3439:$AB3439,MATCH("Xero Invoiced Ex GST",$A$1:$AB$1,0)),"")),0)</f>
        <v/>
      </c>
      <c r="AE3439" s="53">
        <f>IFERROR(INDEX($A3439:$AB3439,MATCH("Xero Invoice Date",$A$1:$AB$1,0)),"")</f>
        <v/>
      </c>
      <c r="AF3439" s="54">
        <f>IF(AND(IFERROR(INDEX($A3439:$AB3439,MATCH("Xero Invoice No",$A$1:$AB$1,0)),"")&amp;""&lt;&gt;"",ISNUMBER(AE3439),AD3439&lt;&gt;0),1,0)</f>
        <v/>
      </c>
      <c r="AG3439" s="55">
        <f>IF(AF3439=1,EOMONTH(AE3439,0),"")</f>
        <v/>
      </c>
      <c r="AH3439" s="9">
        <f>IF(AF3439=1,UPPER(TRIM(IFERROR(INDEX($A3439:$AB3439,MATCH("Client",$A$1:$AB$1,0)),"")&amp;"")),"")</f>
        <v/>
      </c>
      <c r="AI3439" s="9">
        <f>IF(AF3439=1,IFERROR(INDEX($A3439:$AB3439,MATCH("Cost Centre",$A$1:$AB$1,0)),"")&amp;"","")</f>
        <v/>
      </c>
      <c r="AJ3439" s="54">
        <f>IF(AND(AF3439=1,AE3439&gt;=set_FYStart,AE3439&lt;=set_AsAt),1,0)</f>
        <v/>
      </c>
      <c r="AK3439" s="54">
        <f>IF(AND(AJ3439=1,AH3439&lt;&gt;"",COUNTIFS($AH$2:AH3439,AH3439,$AJ$2:AJ3439,1)=1),N(AL3438)+1,"")</f>
        <v/>
      </c>
      <c r="AL3439" s="54">
        <f>IF(AK3439&lt;&gt;"",AK3439,N(AL3438))</f>
        <v/>
      </c>
    </row>
    <row r="3440">
      <c r="A3440" t="inlineStr">
        <is>
          <t>ONS-1147</t>
        </is>
      </c>
      <c r="B3440" t="inlineStr">
        <is>
          <t>Onsite</t>
        </is>
      </c>
      <c r="AB3440" t="n">
        <v>1147</v>
      </c>
      <c r="AD3440" s="52">
        <f>IFERROR(N(IFERROR(INDEX($A3440:$AB3440,MATCH("Xero Invoiced Ex GST",$A$1:$AB$1,0)),"")),0)</f>
        <v/>
      </c>
      <c r="AE3440" s="53">
        <f>IFERROR(INDEX($A3440:$AB3440,MATCH("Xero Invoice Date",$A$1:$AB$1,0)),"")</f>
        <v/>
      </c>
      <c r="AF3440" s="54">
        <f>IF(AND(IFERROR(INDEX($A3440:$AB3440,MATCH("Xero Invoice No",$A$1:$AB$1,0)),"")&amp;""&lt;&gt;"",ISNUMBER(AE3440),AD3440&lt;&gt;0),1,0)</f>
        <v/>
      </c>
      <c r="AG3440" s="55">
        <f>IF(AF3440=1,EOMONTH(AE3440,0),"")</f>
        <v/>
      </c>
      <c r="AH3440" s="9">
        <f>IF(AF3440=1,UPPER(TRIM(IFERROR(INDEX($A3440:$AB3440,MATCH("Client",$A$1:$AB$1,0)),"")&amp;"")),"")</f>
        <v/>
      </c>
      <c r="AI3440" s="9">
        <f>IF(AF3440=1,IFERROR(INDEX($A3440:$AB3440,MATCH("Cost Centre",$A$1:$AB$1,0)),"")&amp;"","")</f>
        <v/>
      </c>
      <c r="AJ3440" s="54">
        <f>IF(AND(AF3440=1,AE3440&gt;=set_FYStart,AE3440&lt;=set_AsAt),1,0)</f>
        <v/>
      </c>
      <c r="AK3440" s="54">
        <f>IF(AND(AJ3440=1,AH3440&lt;&gt;"",COUNTIFS($AH$2:AH3440,AH3440,$AJ$2:AJ3440,1)=1),N(AL3439)+1,"")</f>
        <v/>
      </c>
      <c r="AL3440" s="54">
        <f>IF(AK3440&lt;&gt;"",AK3440,N(AL3439))</f>
        <v/>
      </c>
    </row>
    <row r="3441">
      <c r="A3441" t="inlineStr">
        <is>
          <t>PRD-1147</t>
        </is>
      </c>
      <c r="B3441" t="inlineStr">
        <is>
          <t>Production</t>
        </is>
      </c>
      <c r="AB3441" t="n">
        <v>1147</v>
      </c>
      <c r="AD3441" s="52">
        <f>IFERROR(N(IFERROR(INDEX($A3441:$AB3441,MATCH("Xero Invoiced Ex GST",$A$1:$AB$1,0)),"")),0)</f>
        <v/>
      </c>
      <c r="AE3441" s="53">
        <f>IFERROR(INDEX($A3441:$AB3441,MATCH("Xero Invoice Date",$A$1:$AB$1,0)),"")</f>
        <v/>
      </c>
      <c r="AF3441" s="54">
        <f>IF(AND(IFERROR(INDEX($A3441:$AB3441,MATCH("Xero Invoice No",$A$1:$AB$1,0)),"")&amp;""&lt;&gt;"",ISNUMBER(AE3441),AD3441&lt;&gt;0),1,0)</f>
        <v/>
      </c>
      <c r="AG3441" s="55">
        <f>IF(AF3441=1,EOMONTH(AE3441,0),"")</f>
        <v/>
      </c>
      <c r="AH3441" s="9">
        <f>IF(AF3441=1,UPPER(TRIM(IFERROR(INDEX($A3441:$AB3441,MATCH("Client",$A$1:$AB$1,0)),"")&amp;"")),"")</f>
        <v/>
      </c>
      <c r="AI3441" s="9">
        <f>IF(AF3441=1,IFERROR(INDEX($A3441:$AB3441,MATCH("Cost Centre",$A$1:$AB$1,0)),"")&amp;"","")</f>
        <v/>
      </c>
      <c r="AJ3441" s="54">
        <f>IF(AND(AF3441=1,AE3441&gt;=set_FYStart,AE3441&lt;=set_AsAt),1,0)</f>
        <v/>
      </c>
      <c r="AK3441" s="54">
        <f>IF(AND(AJ3441=1,AH3441&lt;&gt;"",COUNTIFS($AH$2:AH3441,AH3441,$AJ$2:AJ3441,1)=1),N(AL3440)+1,"")</f>
        <v/>
      </c>
      <c r="AL3441" s="54">
        <f>IF(AK3441&lt;&gt;"",AK3441,N(AL3440))</f>
        <v/>
      </c>
    </row>
    <row r="3442">
      <c r="A3442" t="inlineStr">
        <is>
          <t>CON-1147</t>
        </is>
      </c>
      <c r="B3442" t="inlineStr">
        <is>
          <t>Consulting</t>
        </is>
      </c>
      <c r="AB3442" t="n">
        <v>1147</v>
      </c>
      <c r="AD3442" s="52">
        <f>IFERROR(N(IFERROR(INDEX($A3442:$AB3442,MATCH("Xero Invoiced Ex GST",$A$1:$AB$1,0)),"")),0)</f>
        <v/>
      </c>
      <c r="AE3442" s="53">
        <f>IFERROR(INDEX($A3442:$AB3442,MATCH("Xero Invoice Date",$A$1:$AB$1,0)),"")</f>
        <v/>
      </c>
      <c r="AF3442" s="54">
        <f>IF(AND(IFERROR(INDEX($A3442:$AB3442,MATCH("Xero Invoice No",$A$1:$AB$1,0)),"")&amp;""&lt;&gt;"",ISNUMBER(AE3442),AD3442&lt;&gt;0),1,0)</f>
        <v/>
      </c>
      <c r="AG3442" s="55">
        <f>IF(AF3442=1,EOMONTH(AE3442,0),"")</f>
        <v/>
      </c>
      <c r="AH3442" s="9">
        <f>IF(AF3442=1,UPPER(TRIM(IFERROR(INDEX($A3442:$AB3442,MATCH("Client",$A$1:$AB$1,0)),"")&amp;"")),"")</f>
        <v/>
      </c>
      <c r="AI3442" s="9">
        <f>IF(AF3442=1,IFERROR(INDEX($A3442:$AB3442,MATCH("Cost Centre",$A$1:$AB$1,0)),"")&amp;"","")</f>
        <v/>
      </c>
      <c r="AJ3442" s="54">
        <f>IF(AND(AF3442=1,AE3442&gt;=set_FYStart,AE3442&lt;=set_AsAt),1,0)</f>
        <v/>
      </c>
      <c r="AK3442" s="54">
        <f>IF(AND(AJ3442=1,AH3442&lt;&gt;"",COUNTIFS($AH$2:AH3442,AH3442,$AJ$2:AJ3442,1)=1),N(AL3441)+1,"")</f>
        <v/>
      </c>
      <c r="AL3442" s="54">
        <f>IF(AK3442&lt;&gt;"",AK3442,N(AL3441))</f>
        <v/>
      </c>
    </row>
    <row r="3443">
      <c r="A3443" t="inlineStr">
        <is>
          <t>ONS-1148</t>
        </is>
      </c>
      <c r="B3443" t="inlineStr">
        <is>
          <t>Onsite</t>
        </is>
      </c>
      <c r="AB3443" t="n">
        <v>1148</v>
      </c>
      <c r="AD3443" s="52">
        <f>IFERROR(N(IFERROR(INDEX($A3443:$AB3443,MATCH("Xero Invoiced Ex GST",$A$1:$AB$1,0)),"")),0)</f>
        <v/>
      </c>
      <c r="AE3443" s="53">
        <f>IFERROR(INDEX($A3443:$AB3443,MATCH("Xero Invoice Date",$A$1:$AB$1,0)),"")</f>
        <v/>
      </c>
      <c r="AF3443" s="54">
        <f>IF(AND(IFERROR(INDEX($A3443:$AB3443,MATCH("Xero Invoice No",$A$1:$AB$1,0)),"")&amp;""&lt;&gt;"",ISNUMBER(AE3443),AD3443&lt;&gt;0),1,0)</f>
        <v/>
      </c>
      <c r="AG3443" s="55">
        <f>IF(AF3443=1,EOMONTH(AE3443,0),"")</f>
        <v/>
      </c>
      <c r="AH3443" s="9">
        <f>IF(AF3443=1,UPPER(TRIM(IFERROR(INDEX($A3443:$AB3443,MATCH("Client",$A$1:$AB$1,0)),"")&amp;"")),"")</f>
        <v/>
      </c>
      <c r="AI3443" s="9">
        <f>IF(AF3443=1,IFERROR(INDEX($A3443:$AB3443,MATCH("Cost Centre",$A$1:$AB$1,0)),"")&amp;"","")</f>
        <v/>
      </c>
      <c r="AJ3443" s="54">
        <f>IF(AND(AF3443=1,AE3443&gt;=set_FYStart,AE3443&lt;=set_AsAt),1,0)</f>
        <v/>
      </c>
      <c r="AK3443" s="54">
        <f>IF(AND(AJ3443=1,AH3443&lt;&gt;"",COUNTIFS($AH$2:AH3443,AH3443,$AJ$2:AJ3443,1)=1),N(AL3442)+1,"")</f>
        <v/>
      </c>
      <c r="AL3443" s="54">
        <f>IF(AK3443&lt;&gt;"",AK3443,N(AL3442))</f>
        <v/>
      </c>
    </row>
    <row r="3444">
      <c r="A3444" t="inlineStr">
        <is>
          <t>PRD-1148</t>
        </is>
      </c>
      <c r="B3444" t="inlineStr">
        <is>
          <t>Production</t>
        </is>
      </c>
      <c r="AB3444" t="n">
        <v>1148</v>
      </c>
      <c r="AD3444" s="52">
        <f>IFERROR(N(IFERROR(INDEX($A3444:$AB3444,MATCH("Xero Invoiced Ex GST",$A$1:$AB$1,0)),"")),0)</f>
        <v/>
      </c>
      <c r="AE3444" s="53">
        <f>IFERROR(INDEX($A3444:$AB3444,MATCH("Xero Invoice Date",$A$1:$AB$1,0)),"")</f>
        <v/>
      </c>
      <c r="AF3444" s="54">
        <f>IF(AND(IFERROR(INDEX($A3444:$AB3444,MATCH("Xero Invoice No",$A$1:$AB$1,0)),"")&amp;""&lt;&gt;"",ISNUMBER(AE3444),AD3444&lt;&gt;0),1,0)</f>
        <v/>
      </c>
      <c r="AG3444" s="55">
        <f>IF(AF3444=1,EOMONTH(AE3444,0),"")</f>
        <v/>
      </c>
      <c r="AH3444" s="9">
        <f>IF(AF3444=1,UPPER(TRIM(IFERROR(INDEX($A3444:$AB3444,MATCH("Client",$A$1:$AB$1,0)),"")&amp;"")),"")</f>
        <v/>
      </c>
      <c r="AI3444" s="9">
        <f>IF(AF3444=1,IFERROR(INDEX($A3444:$AB3444,MATCH("Cost Centre",$A$1:$AB$1,0)),"")&amp;"","")</f>
        <v/>
      </c>
      <c r="AJ3444" s="54">
        <f>IF(AND(AF3444=1,AE3444&gt;=set_FYStart,AE3444&lt;=set_AsAt),1,0)</f>
        <v/>
      </c>
      <c r="AK3444" s="54">
        <f>IF(AND(AJ3444=1,AH3444&lt;&gt;"",COUNTIFS($AH$2:AH3444,AH3444,$AJ$2:AJ3444,1)=1),N(AL3443)+1,"")</f>
        <v/>
      </c>
      <c r="AL3444" s="54">
        <f>IF(AK3444&lt;&gt;"",AK3444,N(AL3443))</f>
        <v/>
      </c>
    </row>
    <row r="3445">
      <c r="A3445" t="inlineStr">
        <is>
          <t>CON-1148</t>
        </is>
      </c>
      <c r="B3445" t="inlineStr">
        <is>
          <t>Consulting</t>
        </is>
      </c>
      <c r="AB3445" t="n">
        <v>1148</v>
      </c>
      <c r="AD3445" s="52">
        <f>IFERROR(N(IFERROR(INDEX($A3445:$AB3445,MATCH("Xero Invoiced Ex GST",$A$1:$AB$1,0)),"")),0)</f>
        <v/>
      </c>
      <c r="AE3445" s="53">
        <f>IFERROR(INDEX($A3445:$AB3445,MATCH("Xero Invoice Date",$A$1:$AB$1,0)),"")</f>
        <v/>
      </c>
      <c r="AF3445" s="54">
        <f>IF(AND(IFERROR(INDEX($A3445:$AB3445,MATCH("Xero Invoice No",$A$1:$AB$1,0)),"")&amp;""&lt;&gt;"",ISNUMBER(AE3445),AD3445&lt;&gt;0),1,0)</f>
        <v/>
      </c>
      <c r="AG3445" s="55">
        <f>IF(AF3445=1,EOMONTH(AE3445,0),"")</f>
        <v/>
      </c>
      <c r="AH3445" s="9">
        <f>IF(AF3445=1,UPPER(TRIM(IFERROR(INDEX($A3445:$AB3445,MATCH("Client",$A$1:$AB$1,0)),"")&amp;"")),"")</f>
        <v/>
      </c>
      <c r="AI3445" s="9">
        <f>IF(AF3445=1,IFERROR(INDEX($A3445:$AB3445,MATCH("Cost Centre",$A$1:$AB$1,0)),"")&amp;"","")</f>
        <v/>
      </c>
      <c r="AJ3445" s="54">
        <f>IF(AND(AF3445=1,AE3445&gt;=set_FYStart,AE3445&lt;=set_AsAt),1,0)</f>
        <v/>
      </c>
      <c r="AK3445" s="54">
        <f>IF(AND(AJ3445=1,AH3445&lt;&gt;"",COUNTIFS($AH$2:AH3445,AH3445,$AJ$2:AJ3445,1)=1),N(AL3444)+1,"")</f>
        <v/>
      </c>
      <c r="AL3445" s="54">
        <f>IF(AK3445&lt;&gt;"",AK3445,N(AL3444))</f>
        <v/>
      </c>
    </row>
    <row r="3446">
      <c r="A3446" t="inlineStr">
        <is>
          <t>ONS-1149</t>
        </is>
      </c>
      <c r="B3446" t="inlineStr">
        <is>
          <t>Onsite</t>
        </is>
      </c>
      <c r="AB3446" t="n">
        <v>1149</v>
      </c>
      <c r="AD3446" s="52">
        <f>IFERROR(N(IFERROR(INDEX($A3446:$AB3446,MATCH("Xero Invoiced Ex GST",$A$1:$AB$1,0)),"")),0)</f>
        <v/>
      </c>
      <c r="AE3446" s="53">
        <f>IFERROR(INDEX($A3446:$AB3446,MATCH("Xero Invoice Date",$A$1:$AB$1,0)),"")</f>
        <v/>
      </c>
      <c r="AF3446" s="54">
        <f>IF(AND(IFERROR(INDEX($A3446:$AB3446,MATCH("Xero Invoice No",$A$1:$AB$1,0)),"")&amp;""&lt;&gt;"",ISNUMBER(AE3446),AD3446&lt;&gt;0),1,0)</f>
        <v/>
      </c>
      <c r="AG3446" s="55">
        <f>IF(AF3446=1,EOMONTH(AE3446,0),"")</f>
        <v/>
      </c>
      <c r="AH3446" s="9">
        <f>IF(AF3446=1,UPPER(TRIM(IFERROR(INDEX($A3446:$AB3446,MATCH("Client",$A$1:$AB$1,0)),"")&amp;"")),"")</f>
        <v/>
      </c>
      <c r="AI3446" s="9">
        <f>IF(AF3446=1,IFERROR(INDEX($A3446:$AB3446,MATCH("Cost Centre",$A$1:$AB$1,0)),"")&amp;"","")</f>
        <v/>
      </c>
      <c r="AJ3446" s="54">
        <f>IF(AND(AF3446=1,AE3446&gt;=set_FYStart,AE3446&lt;=set_AsAt),1,0)</f>
        <v/>
      </c>
      <c r="AK3446" s="54">
        <f>IF(AND(AJ3446=1,AH3446&lt;&gt;"",COUNTIFS($AH$2:AH3446,AH3446,$AJ$2:AJ3446,1)=1),N(AL3445)+1,"")</f>
        <v/>
      </c>
      <c r="AL3446" s="54">
        <f>IF(AK3446&lt;&gt;"",AK3446,N(AL3445))</f>
        <v/>
      </c>
    </row>
    <row r="3447">
      <c r="A3447" t="inlineStr">
        <is>
          <t>PRD-1149</t>
        </is>
      </c>
      <c r="B3447" t="inlineStr">
        <is>
          <t>Production</t>
        </is>
      </c>
      <c r="AB3447" t="n">
        <v>1149</v>
      </c>
      <c r="AD3447" s="52">
        <f>IFERROR(N(IFERROR(INDEX($A3447:$AB3447,MATCH("Xero Invoiced Ex GST",$A$1:$AB$1,0)),"")),0)</f>
        <v/>
      </c>
      <c r="AE3447" s="53">
        <f>IFERROR(INDEX($A3447:$AB3447,MATCH("Xero Invoice Date",$A$1:$AB$1,0)),"")</f>
        <v/>
      </c>
      <c r="AF3447" s="54">
        <f>IF(AND(IFERROR(INDEX($A3447:$AB3447,MATCH("Xero Invoice No",$A$1:$AB$1,0)),"")&amp;""&lt;&gt;"",ISNUMBER(AE3447),AD3447&lt;&gt;0),1,0)</f>
        <v/>
      </c>
      <c r="AG3447" s="55">
        <f>IF(AF3447=1,EOMONTH(AE3447,0),"")</f>
        <v/>
      </c>
      <c r="AH3447" s="9">
        <f>IF(AF3447=1,UPPER(TRIM(IFERROR(INDEX($A3447:$AB3447,MATCH("Client",$A$1:$AB$1,0)),"")&amp;"")),"")</f>
        <v/>
      </c>
      <c r="AI3447" s="9">
        <f>IF(AF3447=1,IFERROR(INDEX($A3447:$AB3447,MATCH("Cost Centre",$A$1:$AB$1,0)),"")&amp;"","")</f>
        <v/>
      </c>
      <c r="AJ3447" s="54">
        <f>IF(AND(AF3447=1,AE3447&gt;=set_FYStart,AE3447&lt;=set_AsAt),1,0)</f>
        <v/>
      </c>
      <c r="AK3447" s="54">
        <f>IF(AND(AJ3447=1,AH3447&lt;&gt;"",COUNTIFS($AH$2:AH3447,AH3447,$AJ$2:AJ3447,1)=1),N(AL3446)+1,"")</f>
        <v/>
      </c>
      <c r="AL3447" s="54">
        <f>IF(AK3447&lt;&gt;"",AK3447,N(AL3446))</f>
        <v/>
      </c>
    </row>
    <row r="3448">
      <c r="A3448" t="inlineStr">
        <is>
          <t>CON-1149</t>
        </is>
      </c>
      <c r="B3448" t="inlineStr">
        <is>
          <t>Consulting</t>
        </is>
      </c>
      <c r="AB3448" t="n">
        <v>1149</v>
      </c>
      <c r="AD3448" s="52">
        <f>IFERROR(N(IFERROR(INDEX($A3448:$AB3448,MATCH("Xero Invoiced Ex GST",$A$1:$AB$1,0)),"")),0)</f>
        <v/>
      </c>
      <c r="AE3448" s="53">
        <f>IFERROR(INDEX($A3448:$AB3448,MATCH("Xero Invoice Date",$A$1:$AB$1,0)),"")</f>
        <v/>
      </c>
      <c r="AF3448" s="54">
        <f>IF(AND(IFERROR(INDEX($A3448:$AB3448,MATCH("Xero Invoice No",$A$1:$AB$1,0)),"")&amp;""&lt;&gt;"",ISNUMBER(AE3448),AD3448&lt;&gt;0),1,0)</f>
        <v/>
      </c>
      <c r="AG3448" s="55">
        <f>IF(AF3448=1,EOMONTH(AE3448,0),"")</f>
        <v/>
      </c>
      <c r="AH3448" s="9">
        <f>IF(AF3448=1,UPPER(TRIM(IFERROR(INDEX($A3448:$AB3448,MATCH("Client",$A$1:$AB$1,0)),"")&amp;"")),"")</f>
        <v/>
      </c>
      <c r="AI3448" s="9">
        <f>IF(AF3448=1,IFERROR(INDEX($A3448:$AB3448,MATCH("Cost Centre",$A$1:$AB$1,0)),"")&amp;"","")</f>
        <v/>
      </c>
      <c r="AJ3448" s="54">
        <f>IF(AND(AF3448=1,AE3448&gt;=set_FYStart,AE3448&lt;=set_AsAt),1,0)</f>
        <v/>
      </c>
      <c r="AK3448" s="54">
        <f>IF(AND(AJ3448=1,AH3448&lt;&gt;"",COUNTIFS($AH$2:AH3448,AH3448,$AJ$2:AJ3448,1)=1),N(AL3447)+1,"")</f>
        <v/>
      </c>
      <c r="AL3448" s="54">
        <f>IF(AK3448&lt;&gt;"",AK3448,N(AL3447))</f>
        <v/>
      </c>
    </row>
    <row r="3449">
      <c r="A3449" t="inlineStr">
        <is>
          <t>ONS-1150</t>
        </is>
      </c>
      <c r="B3449" t="inlineStr">
        <is>
          <t>Onsite</t>
        </is>
      </c>
      <c r="AB3449" t="n">
        <v>1150</v>
      </c>
      <c r="AD3449" s="52">
        <f>IFERROR(N(IFERROR(INDEX($A3449:$AB3449,MATCH("Xero Invoiced Ex GST",$A$1:$AB$1,0)),"")),0)</f>
        <v/>
      </c>
      <c r="AE3449" s="53">
        <f>IFERROR(INDEX($A3449:$AB3449,MATCH("Xero Invoice Date",$A$1:$AB$1,0)),"")</f>
        <v/>
      </c>
      <c r="AF3449" s="54">
        <f>IF(AND(IFERROR(INDEX($A3449:$AB3449,MATCH("Xero Invoice No",$A$1:$AB$1,0)),"")&amp;""&lt;&gt;"",ISNUMBER(AE3449),AD3449&lt;&gt;0),1,0)</f>
        <v/>
      </c>
      <c r="AG3449" s="55">
        <f>IF(AF3449=1,EOMONTH(AE3449,0),"")</f>
        <v/>
      </c>
      <c r="AH3449" s="9">
        <f>IF(AF3449=1,UPPER(TRIM(IFERROR(INDEX($A3449:$AB3449,MATCH("Client",$A$1:$AB$1,0)),"")&amp;"")),"")</f>
        <v/>
      </c>
      <c r="AI3449" s="9">
        <f>IF(AF3449=1,IFERROR(INDEX($A3449:$AB3449,MATCH("Cost Centre",$A$1:$AB$1,0)),"")&amp;"","")</f>
        <v/>
      </c>
      <c r="AJ3449" s="54">
        <f>IF(AND(AF3449=1,AE3449&gt;=set_FYStart,AE3449&lt;=set_AsAt),1,0)</f>
        <v/>
      </c>
      <c r="AK3449" s="54">
        <f>IF(AND(AJ3449=1,AH3449&lt;&gt;"",COUNTIFS($AH$2:AH3449,AH3449,$AJ$2:AJ3449,1)=1),N(AL3448)+1,"")</f>
        <v/>
      </c>
      <c r="AL3449" s="54">
        <f>IF(AK3449&lt;&gt;"",AK3449,N(AL3448))</f>
        <v/>
      </c>
    </row>
    <row r="3450">
      <c r="A3450" t="inlineStr">
        <is>
          <t>PRD-1150</t>
        </is>
      </c>
      <c r="B3450" t="inlineStr">
        <is>
          <t>Production</t>
        </is>
      </c>
      <c r="AB3450" t="n">
        <v>1150</v>
      </c>
      <c r="AD3450" s="52">
        <f>IFERROR(N(IFERROR(INDEX($A3450:$AB3450,MATCH("Xero Invoiced Ex GST",$A$1:$AB$1,0)),"")),0)</f>
        <v/>
      </c>
      <c r="AE3450" s="53">
        <f>IFERROR(INDEX($A3450:$AB3450,MATCH("Xero Invoice Date",$A$1:$AB$1,0)),"")</f>
        <v/>
      </c>
      <c r="AF3450" s="54">
        <f>IF(AND(IFERROR(INDEX($A3450:$AB3450,MATCH("Xero Invoice No",$A$1:$AB$1,0)),"")&amp;""&lt;&gt;"",ISNUMBER(AE3450),AD3450&lt;&gt;0),1,0)</f>
        <v/>
      </c>
      <c r="AG3450" s="55">
        <f>IF(AF3450=1,EOMONTH(AE3450,0),"")</f>
        <v/>
      </c>
      <c r="AH3450" s="9">
        <f>IF(AF3450=1,UPPER(TRIM(IFERROR(INDEX($A3450:$AB3450,MATCH("Client",$A$1:$AB$1,0)),"")&amp;"")),"")</f>
        <v/>
      </c>
      <c r="AI3450" s="9">
        <f>IF(AF3450=1,IFERROR(INDEX($A3450:$AB3450,MATCH("Cost Centre",$A$1:$AB$1,0)),"")&amp;"","")</f>
        <v/>
      </c>
      <c r="AJ3450" s="54">
        <f>IF(AND(AF3450=1,AE3450&gt;=set_FYStart,AE3450&lt;=set_AsAt),1,0)</f>
        <v/>
      </c>
      <c r="AK3450" s="54">
        <f>IF(AND(AJ3450=1,AH3450&lt;&gt;"",COUNTIFS($AH$2:AH3450,AH3450,$AJ$2:AJ3450,1)=1),N(AL3449)+1,"")</f>
        <v/>
      </c>
      <c r="AL3450" s="54">
        <f>IF(AK3450&lt;&gt;"",AK3450,N(AL3449))</f>
        <v/>
      </c>
    </row>
    <row r="3451">
      <c r="A3451" t="inlineStr">
        <is>
          <t>CON-1150</t>
        </is>
      </c>
      <c r="B3451" t="inlineStr">
        <is>
          <t>Consulting</t>
        </is>
      </c>
      <c r="AB3451" t="n">
        <v>1150</v>
      </c>
      <c r="AD3451" s="52">
        <f>IFERROR(N(IFERROR(INDEX($A3451:$AB3451,MATCH("Xero Invoiced Ex GST",$A$1:$AB$1,0)),"")),0)</f>
        <v/>
      </c>
      <c r="AE3451" s="53">
        <f>IFERROR(INDEX($A3451:$AB3451,MATCH("Xero Invoice Date",$A$1:$AB$1,0)),"")</f>
        <v/>
      </c>
      <c r="AF3451" s="54">
        <f>IF(AND(IFERROR(INDEX($A3451:$AB3451,MATCH("Xero Invoice No",$A$1:$AB$1,0)),"")&amp;""&lt;&gt;"",ISNUMBER(AE3451),AD3451&lt;&gt;0),1,0)</f>
        <v/>
      </c>
      <c r="AG3451" s="55">
        <f>IF(AF3451=1,EOMONTH(AE3451,0),"")</f>
        <v/>
      </c>
      <c r="AH3451" s="9">
        <f>IF(AF3451=1,UPPER(TRIM(IFERROR(INDEX($A3451:$AB3451,MATCH("Client",$A$1:$AB$1,0)),"")&amp;"")),"")</f>
        <v/>
      </c>
      <c r="AI3451" s="9">
        <f>IF(AF3451=1,IFERROR(INDEX($A3451:$AB3451,MATCH("Cost Centre",$A$1:$AB$1,0)),"")&amp;"","")</f>
        <v/>
      </c>
      <c r="AJ3451" s="54">
        <f>IF(AND(AF3451=1,AE3451&gt;=set_FYStart,AE3451&lt;=set_AsAt),1,0)</f>
        <v/>
      </c>
      <c r="AK3451" s="54">
        <f>IF(AND(AJ3451=1,AH3451&lt;&gt;"",COUNTIFS($AH$2:AH3451,AH3451,$AJ$2:AJ3451,1)=1),N(AL3450)+1,"")</f>
        <v/>
      </c>
      <c r="AL3451" s="54">
        <f>IF(AK3451&lt;&gt;"",AK3451,N(AL3450))</f>
        <v/>
      </c>
    </row>
    <row r="3452">
      <c r="A3452" t="inlineStr">
        <is>
          <t>ONS-1151</t>
        </is>
      </c>
      <c r="B3452" t="inlineStr">
        <is>
          <t>Onsite</t>
        </is>
      </c>
      <c r="AB3452" t="n">
        <v>1151</v>
      </c>
      <c r="AD3452" s="52">
        <f>IFERROR(N(IFERROR(INDEX($A3452:$AB3452,MATCH("Xero Invoiced Ex GST",$A$1:$AB$1,0)),"")),0)</f>
        <v/>
      </c>
      <c r="AE3452" s="53">
        <f>IFERROR(INDEX($A3452:$AB3452,MATCH("Xero Invoice Date",$A$1:$AB$1,0)),"")</f>
        <v/>
      </c>
      <c r="AF3452" s="54">
        <f>IF(AND(IFERROR(INDEX($A3452:$AB3452,MATCH("Xero Invoice No",$A$1:$AB$1,0)),"")&amp;""&lt;&gt;"",ISNUMBER(AE3452),AD3452&lt;&gt;0),1,0)</f>
        <v/>
      </c>
      <c r="AG3452" s="55">
        <f>IF(AF3452=1,EOMONTH(AE3452,0),"")</f>
        <v/>
      </c>
      <c r="AH3452" s="9">
        <f>IF(AF3452=1,UPPER(TRIM(IFERROR(INDEX($A3452:$AB3452,MATCH("Client",$A$1:$AB$1,0)),"")&amp;"")),"")</f>
        <v/>
      </c>
      <c r="AI3452" s="9">
        <f>IF(AF3452=1,IFERROR(INDEX($A3452:$AB3452,MATCH("Cost Centre",$A$1:$AB$1,0)),"")&amp;"","")</f>
        <v/>
      </c>
      <c r="AJ3452" s="54">
        <f>IF(AND(AF3452=1,AE3452&gt;=set_FYStart,AE3452&lt;=set_AsAt),1,0)</f>
        <v/>
      </c>
      <c r="AK3452" s="54">
        <f>IF(AND(AJ3452=1,AH3452&lt;&gt;"",COUNTIFS($AH$2:AH3452,AH3452,$AJ$2:AJ3452,1)=1),N(AL3451)+1,"")</f>
        <v/>
      </c>
      <c r="AL3452" s="54">
        <f>IF(AK3452&lt;&gt;"",AK3452,N(AL3451))</f>
        <v/>
      </c>
    </row>
    <row r="3453">
      <c r="A3453" t="inlineStr">
        <is>
          <t>PRD-1151</t>
        </is>
      </c>
      <c r="B3453" t="inlineStr">
        <is>
          <t>Production</t>
        </is>
      </c>
      <c r="AB3453" t="n">
        <v>1151</v>
      </c>
      <c r="AD3453" s="52">
        <f>IFERROR(N(IFERROR(INDEX($A3453:$AB3453,MATCH("Xero Invoiced Ex GST",$A$1:$AB$1,0)),"")),0)</f>
        <v/>
      </c>
      <c r="AE3453" s="53">
        <f>IFERROR(INDEX($A3453:$AB3453,MATCH("Xero Invoice Date",$A$1:$AB$1,0)),"")</f>
        <v/>
      </c>
      <c r="AF3453" s="54">
        <f>IF(AND(IFERROR(INDEX($A3453:$AB3453,MATCH("Xero Invoice No",$A$1:$AB$1,0)),"")&amp;""&lt;&gt;"",ISNUMBER(AE3453),AD3453&lt;&gt;0),1,0)</f>
        <v/>
      </c>
      <c r="AG3453" s="55">
        <f>IF(AF3453=1,EOMONTH(AE3453,0),"")</f>
        <v/>
      </c>
      <c r="AH3453" s="9">
        <f>IF(AF3453=1,UPPER(TRIM(IFERROR(INDEX($A3453:$AB3453,MATCH("Client",$A$1:$AB$1,0)),"")&amp;"")),"")</f>
        <v/>
      </c>
      <c r="AI3453" s="9">
        <f>IF(AF3453=1,IFERROR(INDEX($A3453:$AB3453,MATCH("Cost Centre",$A$1:$AB$1,0)),"")&amp;"","")</f>
        <v/>
      </c>
      <c r="AJ3453" s="54">
        <f>IF(AND(AF3453=1,AE3453&gt;=set_FYStart,AE3453&lt;=set_AsAt),1,0)</f>
        <v/>
      </c>
      <c r="AK3453" s="54">
        <f>IF(AND(AJ3453=1,AH3453&lt;&gt;"",COUNTIFS($AH$2:AH3453,AH3453,$AJ$2:AJ3453,1)=1),N(AL3452)+1,"")</f>
        <v/>
      </c>
      <c r="AL3453" s="54">
        <f>IF(AK3453&lt;&gt;"",AK3453,N(AL3452))</f>
        <v/>
      </c>
    </row>
    <row r="3454">
      <c r="A3454" t="inlineStr">
        <is>
          <t>CON-1151</t>
        </is>
      </c>
      <c r="B3454" t="inlineStr">
        <is>
          <t>Consulting</t>
        </is>
      </c>
      <c r="AB3454" t="n">
        <v>1151</v>
      </c>
      <c r="AD3454" s="52">
        <f>IFERROR(N(IFERROR(INDEX($A3454:$AB3454,MATCH("Xero Invoiced Ex GST",$A$1:$AB$1,0)),"")),0)</f>
        <v/>
      </c>
      <c r="AE3454" s="53">
        <f>IFERROR(INDEX($A3454:$AB3454,MATCH("Xero Invoice Date",$A$1:$AB$1,0)),"")</f>
        <v/>
      </c>
      <c r="AF3454" s="54">
        <f>IF(AND(IFERROR(INDEX($A3454:$AB3454,MATCH("Xero Invoice No",$A$1:$AB$1,0)),"")&amp;""&lt;&gt;"",ISNUMBER(AE3454),AD3454&lt;&gt;0),1,0)</f>
        <v/>
      </c>
      <c r="AG3454" s="55">
        <f>IF(AF3454=1,EOMONTH(AE3454,0),"")</f>
        <v/>
      </c>
      <c r="AH3454" s="9">
        <f>IF(AF3454=1,UPPER(TRIM(IFERROR(INDEX($A3454:$AB3454,MATCH("Client",$A$1:$AB$1,0)),"")&amp;"")),"")</f>
        <v/>
      </c>
      <c r="AI3454" s="9">
        <f>IF(AF3454=1,IFERROR(INDEX($A3454:$AB3454,MATCH("Cost Centre",$A$1:$AB$1,0)),"")&amp;"","")</f>
        <v/>
      </c>
      <c r="AJ3454" s="54">
        <f>IF(AND(AF3454=1,AE3454&gt;=set_FYStart,AE3454&lt;=set_AsAt),1,0)</f>
        <v/>
      </c>
      <c r="AK3454" s="54">
        <f>IF(AND(AJ3454=1,AH3454&lt;&gt;"",COUNTIFS($AH$2:AH3454,AH3454,$AJ$2:AJ3454,1)=1),N(AL3453)+1,"")</f>
        <v/>
      </c>
      <c r="AL3454" s="54">
        <f>IF(AK3454&lt;&gt;"",AK3454,N(AL3453))</f>
        <v/>
      </c>
    </row>
    <row r="3455">
      <c r="A3455" t="inlineStr">
        <is>
          <t>ONS-1152</t>
        </is>
      </c>
      <c r="B3455" t="inlineStr">
        <is>
          <t>Onsite</t>
        </is>
      </c>
      <c r="AB3455" t="n">
        <v>1152</v>
      </c>
      <c r="AD3455" s="52">
        <f>IFERROR(N(IFERROR(INDEX($A3455:$AB3455,MATCH("Xero Invoiced Ex GST",$A$1:$AB$1,0)),"")),0)</f>
        <v/>
      </c>
      <c r="AE3455" s="53">
        <f>IFERROR(INDEX($A3455:$AB3455,MATCH("Xero Invoice Date",$A$1:$AB$1,0)),"")</f>
        <v/>
      </c>
      <c r="AF3455" s="54">
        <f>IF(AND(IFERROR(INDEX($A3455:$AB3455,MATCH("Xero Invoice No",$A$1:$AB$1,0)),"")&amp;""&lt;&gt;"",ISNUMBER(AE3455),AD3455&lt;&gt;0),1,0)</f>
        <v/>
      </c>
      <c r="AG3455" s="55">
        <f>IF(AF3455=1,EOMONTH(AE3455,0),"")</f>
        <v/>
      </c>
      <c r="AH3455" s="9">
        <f>IF(AF3455=1,UPPER(TRIM(IFERROR(INDEX($A3455:$AB3455,MATCH("Client",$A$1:$AB$1,0)),"")&amp;"")),"")</f>
        <v/>
      </c>
      <c r="AI3455" s="9">
        <f>IF(AF3455=1,IFERROR(INDEX($A3455:$AB3455,MATCH("Cost Centre",$A$1:$AB$1,0)),"")&amp;"","")</f>
        <v/>
      </c>
      <c r="AJ3455" s="54">
        <f>IF(AND(AF3455=1,AE3455&gt;=set_FYStart,AE3455&lt;=set_AsAt),1,0)</f>
        <v/>
      </c>
      <c r="AK3455" s="54">
        <f>IF(AND(AJ3455=1,AH3455&lt;&gt;"",COUNTIFS($AH$2:AH3455,AH3455,$AJ$2:AJ3455,1)=1),N(AL3454)+1,"")</f>
        <v/>
      </c>
      <c r="AL3455" s="54">
        <f>IF(AK3455&lt;&gt;"",AK3455,N(AL3454))</f>
        <v/>
      </c>
    </row>
    <row r="3456">
      <c r="A3456" t="inlineStr">
        <is>
          <t>PRD-1152</t>
        </is>
      </c>
      <c r="B3456" t="inlineStr">
        <is>
          <t>Production</t>
        </is>
      </c>
      <c r="AB3456" t="n">
        <v>1152</v>
      </c>
      <c r="AD3456" s="52">
        <f>IFERROR(N(IFERROR(INDEX($A3456:$AB3456,MATCH("Xero Invoiced Ex GST",$A$1:$AB$1,0)),"")),0)</f>
        <v/>
      </c>
      <c r="AE3456" s="53">
        <f>IFERROR(INDEX($A3456:$AB3456,MATCH("Xero Invoice Date",$A$1:$AB$1,0)),"")</f>
        <v/>
      </c>
      <c r="AF3456" s="54">
        <f>IF(AND(IFERROR(INDEX($A3456:$AB3456,MATCH("Xero Invoice No",$A$1:$AB$1,0)),"")&amp;""&lt;&gt;"",ISNUMBER(AE3456),AD3456&lt;&gt;0),1,0)</f>
        <v/>
      </c>
      <c r="AG3456" s="55">
        <f>IF(AF3456=1,EOMONTH(AE3456,0),"")</f>
        <v/>
      </c>
      <c r="AH3456" s="9">
        <f>IF(AF3456=1,UPPER(TRIM(IFERROR(INDEX($A3456:$AB3456,MATCH("Client",$A$1:$AB$1,0)),"")&amp;"")),"")</f>
        <v/>
      </c>
      <c r="AI3456" s="9">
        <f>IF(AF3456=1,IFERROR(INDEX($A3456:$AB3456,MATCH("Cost Centre",$A$1:$AB$1,0)),"")&amp;"","")</f>
        <v/>
      </c>
      <c r="AJ3456" s="54">
        <f>IF(AND(AF3456=1,AE3456&gt;=set_FYStart,AE3456&lt;=set_AsAt),1,0)</f>
        <v/>
      </c>
      <c r="AK3456" s="54">
        <f>IF(AND(AJ3456=1,AH3456&lt;&gt;"",COUNTIFS($AH$2:AH3456,AH3456,$AJ$2:AJ3456,1)=1),N(AL3455)+1,"")</f>
        <v/>
      </c>
      <c r="AL3456" s="54">
        <f>IF(AK3456&lt;&gt;"",AK3456,N(AL3455))</f>
        <v/>
      </c>
    </row>
    <row r="3457">
      <c r="A3457" t="inlineStr">
        <is>
          <t>CON-1152</t>
        </is>
      </c>
      <c r="B3457" t="inlineStr">
        <is>
          <t>Consulting</t>
        </is>
      </c>
      <c r="AB3457" t="n">
        <v>1152</v>
      </c>
      <c r="AD3457" s="52">
        <f>IFERROR(N(IFERROR(INDEX($A3457:$AB3457,MATCH("Xero Invoiced Ex GST",$A$1:$AB$1,0)),"")),0)</f>
        <v/>
      </c>
      <c r="AE3457" s="53">
        <f>IFERROR(INDEX($A3457:$AB3457,MATCH("Xero Invoice Date",$A$1:$AB$1,0)),"")</f>
        <v/>
      </c>
      <c r="AF3457" s="54">
        <f>IF(AND(IFERROR(INDEX($A3457:$AB3457,MATCH("Xero Invoice No",$A$1:$AB$1,0)),"")&amp;""&lt;&gt;"",ISNUMBER(AE3457),AD3457&lt;&gt;0),1,0)</f>
        <v/>
      </c>
      <c r="AG3457" s="55">
        <f>IF(AF3457=1,EOMONTH(AE3457,0),"")</f>
        <v/>
      </c>
      <c r="AH3457" s="9">
        <f>IF(AF3457=1,UPPER(TRIM(IFERROR(INDEX($A3457:$AB3457,MATCH("Client",$A$1:$AB$1,0)),"")&amp;"")),"")</f>
        <v/>
      </c>
      <c r="AI3457" s="9">
        <f>IF(AF3457=1,IFERROR(INDEX($A3457:$AB3457,MATCH("Cost Centre",$A$1:$AB$1,0)),"")&amp;"","")</f>
        <v/>
      </c>
      <c r="AJ3457" s="54">
        <f>IF(AND(AF3457=1,AE3457&gt;=set_FYStart,AE3457&lt;=set_AsAt),1,0)</f>
        <v/>
      </c>
      <c r="AK3457" s="54">
        <f>IF(AND(AJ3457=1,AH3457&lt;&gt;"",COUNTIFS($AH$2:AH3457,AH3457,$AJ$2:AJ3457,1)=1),N(AL3456)+1,"")</f>
        <v/>
      </c>
      <c r="AL3457" s="54">
        <f>IF(AK3457&lt;&gt;"",AK3457,N(AL3456))</f>
        <v/>
      </c>
    </row>
    <row r="3458">
      <c r="A3458" t="inlineStr">
        <is>
          <t>ONS-1153</t>
        </is>
      </c>
      <c r="B3458" t="inlineStr">
        <is>
          <t>Onsite</t>
        </is>
      </c>
      <c r="AB3458" t="n">
        <v>1153</v>
      </c>
      <c r="AD3458" s="52">
        <f>IFERROR(N(IFERROR(INDEX($A3458:$AB3458,MATCH("Xero Invoiced Ex GST",$A$1:$AB$1,0)),"")),0)</f>
        <v/>
      </c>
      <c r="AE3458" s="53">
        <f>IFERROR(INDEX($A3458:$AB3458,MATCH("Xero Invoice Date",$A$1:$AB$1,0)),"")</f>
        <v/>
      </c>
      <c r="AF3458" s="54">
        <f>IF(AND(IFERROR(INDEX($A3458:$AB3458,MATCH("Xero Invoice No",$A$1:$AB$1,0)),"")&amp;""&lt;&gt;"",ISNUMBER(AE3458),AD3458&lt;&gt;0),1,0)</f>
        <v/>
      </c>
      <c r="AG3458" s="55">
        <f>IF(AF3458=1,EOMONTH(AE3458,0),"")</f>
        <v/>
      </c>
      <c r="AH3458" s="9">
        <f>IF(AF3458=1,UPPER(TRIM(IFERROR(INDEX($A3458:$AB3458,MATCH("Client",$A$1:$AB$1,0)),"")&amp;"")),"")</f>
        <v/>
      </c>
      <c r="AI3458" s="9">
        <f>IF(AF3458=1,IFERROR(INDEX($A3458:$AB3458,MATCH("Cost Centre",$A$1:$AB$1,0)),"")&amp;"","")</f>
        <v/>
      </c>
      <c r="AJ3458" s="54">
        <f>IF(AND(AF3458=1,AE3458&gt;=set_FYStart,AE3458&lt;=set_AsAt),1,0)</f>
        <v/>
      </c>
      <c r="AK3458" s="54">
        <f>IF(AND(AJ3458=1,AH3458&lt;&gt;"",COUNTIFS($AH$2:AH3458,AH3458,$AJ$2:AJ3458,1)=1),N(AL3457)+1,"")</f>
        <v/>
      </c>
      <c r="AL3458" s="54">
        <f>IF(AK3458&lt;&gt;"",AK3458,N(AL3457))</f>
        <v/>
      </c>
    </row>
    <row r="3459">
      <c r="A3459" t="inlineStr">
        <is>
          <t>PRD-1153</t>
        </is>
      </c>
      <c r="B3459" t="inlineStr">
        <is>
          <t>Production</t>
        </is>
      </c>
      <c r="AB3459" t="n">
        <v>1153</v>
      </c>
      <c r="AD3459" s="52">
        <f>IFERROR(N(IFERROR(INDEX($A3459:$AB3459,MATCH("Xero Invoiced Ex GST",$A$1:$AB$1,0)),"")),0)</f>
        <v/>
      </c>
      <c r="AE3459" s="53">
        <f>IFERROR(INDEX($A3459:$AB3459,MATCH("Xero Invoice Date",$A$1:$AB$1,0)),"")</f>
        <v/>
      </c>
      <c r="AF3459" s="54">
        <f>IF(AND(IFERROR(INDEX($A3459:$AB3459,MATCH("Xero Invoice No",$A$1:$AB$1,0)),"")&amp;""&lt;&gt;"",ISNUMBER(AE3459),AD3459&lt;&gt;0),1,0)</f>
        <v/>
      </c>
      <c r="AG3459" s="55">
        <f>IF(AF3459=1,EOMONTH(AE3459,0),"")</f>
        <v/>
      </c>
      <c r="AH3459" s="9">
        <f>IF(AF3459=1,UPPER(TRIM(IFERROR(INDEX($A3459:$AB3459,MATCH("Client",$A$1:$AB$1,0)),"")&amp;"")),"")</f>
        <v/>
      </c>
      <c r="AI3459" s="9">
        <f>IF(AF3459=1,IFERROR(INDEX($A3459:$AB3459,MATCH("Cost Centre",$A$1:$AB$1,0)),"")&amp;"","")</f>
        <v/>
      </c>
      <c r="AJ3459" s="54">
        <f>IF(AND(AF3459=1,AE3459&gt;=set_FYStart,AE3459&lt;=set_AsAt),1,0)</f>
        <v/>
      </c>
      <c r="AK3459" s="54">
        <f>IF(AND(AJ3459=1,AH3459&lt;&gt;"",COUNTIFS($AH$2:AH3459,AH3459,$AJ$2:AJ3459,1)=1),N(AL3458)+1,"")</f>
        <v/>
      </c>
      <c r="AL3459" s="54">
        <f>IF(AK3459&lt;&gt;"",AK3459,N(AL3458))</f>
        <v/>
      </c>
    </row>
    <row r="3460">
      <c r="A3460" t="inlineStr">
        <is>
          <t>CON-1153</t>
        </is>
      </c>
      <c r="B3460" t="inlineStr">
        <is>
          <t>Consulting</t>
        </is>
      </c>
      <c r="AB3460" t="n">
        <v>1153</v>
      </c>
      <c r="AD3460" s="52">
        <f>IFERROR(N(IFERROR(INDEX($A3460:$AB3460,MATCH("Xero Invoiced Ex GST",$A$1:$AB$1,0)),"")),0)</f>
        <v/>
      </c>
      <c r="AE3460" s="53">
        <f>IFERROR(INDEX($A3460:$AB3460,MATCH("Xero Invoice Date",$A$1:$AB$1,0)),"")</f>
        <v/>
      </c>
      <c r="AF3460" s="54">
        <f>IF(AND(IFERROR(INDEX($A3460:$AB3460,MATCH("Xero Invoice No",$A$1:$AB$1,0)),"")&amp;""&lt;&gt;"",ISNUMBER(AE3460),AD3460&lt;&gt;0),1,0)</f>
        <v/>
      </c>
      <c r="AG3460" s="55">
        <f>IF(AF3460=1,EOMONTH(AE3460,0),"")</f>
        <v/>
      </c>
      <c r="AH3460" s="9">
        <f>IF(AF3460=1,UPPER(TRIM(IFERROR(INDEX($A3460:$AB3460,MATCH("Client",$A$1:$AB$1,0)),"")&amp;"")),"")</f>
        <v/>
      </c>
      <c r="AI3460" s="9">
        <f>IF(AF3460=1,IFERROR(INDEX($A3460:$AB3460,MATCH("Cost Centre",$A$1:$AB$1,0)),"")&amp;"","")</f>
        <v/>
      </c>
      <c r="AJ3460" s="54">
        <f>IF(AND(AF3460=1,AE3460&gt;=set_FYStart,AE3460&lt;=set_AsAt),1,0)</f>
        <v/>
      </c>
      <c r="AK3460" s="54">
        <f>IF(AND(AJ3460=1,AH3460&lt;&gt;"",COUNTIFS($AH$2:AH3460,AH3460,$AJ$2:AJ3460,1)=1),N(AL3459)+1,"")</f>
        <v/>
      </c>
      <c r="AL3460" s="54">
        <f>IF(AK3460&lt;&gt;"",AK3460,N(AL3459))</f>
        <v/>
      </c>
    </row>
    <row r="3461">
      <c r="A3461" t="inlineStr">
        <is>
          <t>ONS-1154</t>
        </is>
      </c>
      <c r="B3461" t="inlineStr">
        <is>
          <t>Onsite</t>
        </is>
      </c>
      <c r="AB3461" t="n">
        <v>1154</v>
      </c>
      <c r="AD3461" s="52">
        <f>IFERROR(N(IFERROR(INDEX($A3461:$AB3461,MATCH("Xero Invoiced Ex GST",$A$1:$AB$1,0)),"")),0)</f>
        <v/>
      </c>
      <c r="AE3461" s="53">
        <f>IFERROR(INDEX($A3461:$AB3461,MATCH("Xero Invoice Date",$A$1:$AB$1,0)),"")</f>
        <v/>
      </c>
      <c r="AF3461" s="54">
        <f>IF(AND(IFERROR(INDEX($A3461:$AB3461,MATCH("Xero Invoice No",$A$1:$AB$1,0)),"")&amp;""&lt;&gt;"",ISNUMBER(AE3461),AD3461&lt;&gt;0),1,0)</f>
        <v/>
      </c>
      <c r="AG3461" s="55">
        <f>IF(AF3461=1,EOMONTH(AE3461,0),"")</f>
        <v/>
      </c>
      <c r="AH3461" s="9">
        <f>IF(AF3461=1,UPPER(TRIM(IFERROR(INDEX($A3461:$AB3461,MATCH("Client",$A$1:$AB$1,0)),"")&amp;"")),"")</f>
        <v/>
      </c>
      <c r="AI3461" s="9">
        <f>IF(AF3461=1,IFERROR(INDEX($A3461:$AB3461,MATCH("Cost Centre",$A$1:$AB$1,0)),"")&amp;"","")</f>
        <v/>
      </c>
      <c r="AJ3461" s="54">
        <f>IF(AND(AF3461=1,AE3461&gt;=set_FYStart,AE3461&lt;=set_AsAt),1,0)</f>
        <v/>
      </c>
      <c r="AK3461" s="54">
        <f>IF(AND(AJ3461=1,AH3461&lt;&gt;"",COUNTIFS($AH$2:AH3461,AH3461,$AJ$2:AJ3461,1)=1),N(AL3460)+1,"")</f>
        <v/>
      </c>
      <c r="AL3461" s="54">
        <f>IF(AK3461&lt;&gt;"",AK3461,N(AL3460))</f>
        <v/>
      </c>
    </row>
    <row r="3462">
      <c r="A3462" t="inlineStr">
        <is>
          <t>PRD-1154</t>
        </is>
      </c>
      <c r="B3462" t="inlineStr">
        <is>
          <t>Production</t>
        </is>
      </c>
      <c r="AB3462" t="n">
        <v>1154</v>
      </c>
      <c r="AD3462" s="52">
        <f>IFERROR(N(IFERROR(INDEX($A3462:$AB3462,MATCH("Xero Invoiced Ex GST",$A$1:$AB$1,0)),"")),0)</f>
        <v/>
      </c>
      <c r="AE3462" s="53">
        <f>IFERROR(INDEX($A3462:$AB3462,MATCH("Xero Invoice Date",$A$1:$AB$1,0)),"")</f>
        <v/>
      </c>
      <c r="AF3462" s="54">
        <f>IF(AND(IFERROR(INDEX($A3462:$AB3462,MATCH("Xero Invoice No",$A$1:$AB$1,0)),"")&amp;""&lt;&gt;"",ISNUMBER(AE3462),AD3462&lt;&gt;0),1,0)</f>
        <v/>
      </c>
      <c r="AG3462" s="55">
        <f>IF(AF3462=1,EOMONTH(AE3462,0),"")</f>
        <v/>
      </c>
      <c r="AH3462" s="9">
        <f>IF(AF3462=1,UPPER(TRIM(IFERROR(INDEX($A3462:$AB3462,MATCH("Client",$A$1:$AB$1,0)),"")&amp;"")),"")</f>
        <v/>
      </c>
      <c r="AI3462" s="9">
        <f>IF(AF3462=1,IFERROR(INDEX($A3462:$AB3462,MATCH("Cost Centre",$A$1:$AB$1,0)),"")&amp;"","")</f>
        <v/>
      </c>
      <c r="AJ3462" s="54">
        <f>IF(AND(AF3462=1,AE3462&gt;=set_FYStart,AE3462&lt;=set_AsAt),1,0)</f>
        <v/>
      </c>
      <c r="AK3462" s="54">
        <f>IF(AND(AJ3462=1,AH3462&lt;&gt;"",COUNTIFS($AH$2:AH3462,AH3462,$AJ$2:AJ3462,1)=1),N(AL3461)+1,"")</f>
        <v/>
      </c>
      <c r="AL3462" s="54">
        <f>IF(AK3462&lt;&gt;"",AK3462,N(AL3461))</f>
        <v/>
      </c>
    </row>
    <row r="3463">
      <c r="A3463" t="inlineStr">
        <is>
          <t>CON-1154</t>
        </is>
      </c>
      <c r="B3463" t="inlineStr">
        <is>
          <t>Consulting</t>
        </is>
      </c>
      <c r="AB3463" t="n">
        <v>1154</v>
      </c>
      <c r="AD3463" s="52">
        <f>IFERROR(N(IFERROR(INDEX($A3463:$AB3463,MATCH("Xero Invoiced Ex GST",$A$1:$AB$1,0)),"")),0)</f>
        <v/>
      </c>
      <c r="AE3463" s="53">
        <f>IFERROR(INDEX($A3463:$AB3463,MATCH("Xero Invoice Date",$A$1:$AB$1,0)),"")</f>
        <v/>
      </c>
      <c r="AF3463" s="54">
        <f>IF(AND(IFERROR(INDEX($A3463:$AB3463,MATCH("Xero Invoice No",$A$1:$AB$1,0)),"")&amp;""&lt;&gt;"",ISNUMBER(AE3463),AD3463&lt;&gt;0),1,0)</f>
        <v/>
      </c>
      <c r="AG3463" s="55">
        <f>IF(AF3463=1,EOMONTH(AE3463,0),"")</f>
        <v/>
      </c>
      <c r="AH3463" s="9">
        <f>IF(AF3463=1,UPPER(TRIM(IFERROR(INDEX($A3463:$AB3463,MATCH("Client",$A$1:$AB$1,0)),"")&amp;"")),"")</f>
        <v/>
      </c>
      <c r="AI3463" s="9">
        <f>IF(AF3463=1,IFERROR(INDEX($A3463:$AB3463,MATCH("Cost Centre",$A$1:$AB$1,0)),"")&amp;"","")</f>
        <v/>
      </c>
      <c r="AJ3463" s="54">
        <f>IF(AND(AF3463=1,AE3463&gt;=set_FYStart,AE3463&lt;=set_AsAt),1,0)</f>
        <v/>
      </c>
      <c r="AK3463" s="54">
        <f>IF(AND(AJ3463=1,AH3463&lt;&gt;"",COUNTIFS($AH$2:AH3463,AH3463,$AJ$2:AJ3463,1)=1),N(AL3462)+1,"")</f>
        <v/>
      </c>
      <c r="AL3463" s="54">
        <f>IF(AK3463&lt;&gt;"",AK3463,N(AL3462))</f>
        <v/>
      </c>
    </row>
    <row r="3464">
      <c r="A3464" t="inlineStr">
        <is>
          <t>ONS-1155</t>
        </is>
      </c>
      <c r="B3464" t="inlineStr">
        <is>
          <t>Onsite</t>
        </is>
      </c>
      <c r="AB3464" t="n">
        <v>1155</v>
      </c>
      <c r="AD3464" s="52">
        <f>IFERROR(N(IFERROR(INDEX($A3464:$AB3464,MATCH("Xero Invoiced Ex GST",$A$1:$AB$1,0)),"")),0)</f>
        <v/>
      </c>
      <c r="AE3464" s="53">
        <f>IFERROR(INDEX($A3464:$AB3464,MATCH("Xero Invoice Date",$A$1:$AB$1,0)),"")</f>
        <v/>
      </c>
      <c r="AF3464" s="54">
        <f>IF(AND(IFERROR(INDEX($A3464:$AB3464,MATCH("Xero Invoice No",$A$1:$AB$1,0)),"")&amp;""&lt;&gt;"",ISNUMBER(AE3464),AD3464&lt;&gt;0),1,0)</f>
        <v/>
      </c>
      <c r="AG3464" s="55">
        <f>IF(AF3464=1,EOMONTH(AE3464,0),"")</f>
        <v/>
      </c>
      <c r="AH3464" s="9">
        <f>IF(AF3464=1,UPPER(TRIM(IFERROR(INDEX($A3464:$AB3464,MATCH("Client",$A$1:$AB$1,0)),"")&amp;"")),"")</f>
        <v/>
      </c>
      <c r="AI3464" s="9">
        <f>IF(AF3464=1,IFERROR(INDEX($A3464:$AB3464,MATCH("Cost Centre",$A$1:$AB$1,0)),"")&amp;"","")</f>
        <v/>
      </c>
      <c r="AJ3464" s="54">
        <f>IF(AND(AF3464=1,AE3464&gt;=set_FYStart,AE3464&lt;=set_AsAt),1,0)</f>
        <v/>
      </c>
      <c r="AK3464" s="54">
        <f>IF(AND(AJ3464=1,AH3464&lt;&gt;"",COUNTIFS($AH$2:AH3464,AH3464,$AJ$2:AJ3464,1)=1),N(AL3463)+1,"")</f>
        <v/>
      </c>
      <c r="AL3464" s="54">
        <f>IF(AK3464&lt;&gt;"",AK3464,N(AL3463))</f>
        <v/>
      </c>
    </row>
    <row r="3465">
      <c r="A3465" t="inlineStr">
        <is>
          <t>PRD-1155</t>
        </is>
      </c>
      <c r="B3465" t="inlineStr">
        <is>
          <t>Production</t>
        </is>
      </c>
      <c r="AB3465" t="n">
        <v>1155</v>
      </c>
      <c r="AD3465" s="52">
        <f>IFERROR(N(IFERROR(INDEX($A3465:$AB3465,MATCH("Xero Invoiced Ex GST",$A$1:$AB$1,0)),"")),0)</f>
        <v/>
      </c>
      <c r="AE3465" s="53">
        <f>IFERROR(INDEX($A3465:$AB3465,MATCH("Xero Invoice Date",$A$1:$AB$1,0)),"")</f>
        <v/>
      </c>
      <c r="AF3465" s="54">
        <f>IF(AND(IFERROR(INDEX($A3465:$AB3465,MATCH("Xero Invoice No",$A$1:$AB$1,0)),"")&amp;""&lt;&gt;"",ISNUMBER(AE3465),AD3465&lt;&gt;0),1,0)</f>
        <v/>
      </c>
      <c r="AG3465" s="55">
        <f>IF(AF3465=1,EOMONTH(AE3465,0),"")</f>
        <v/>
      </c>
      <c r="AH3465" s="9">
        <f>IF(AF3465=1,UPPER(TRIM(IFERROR(INDEX($A3465:$AB3465,MATCH("Client",$A$1:$AB$1,0)),"")&amp;"")),"")</f>
        <v/>
      </c>
      <c r="AI3465" s="9">
        <f>IF(AF3465=1,IFERROR(INDEX($A3465:$AB3465,MATCH("Cost Centre",$A$1:$AB$1,0)),"")&amp;"","")</f>
        <v/>
      </c>
      <c r="AJ3465" s="54">
        <f>IF(AND(AF3465=1,AE3465&gt;=set_FYStart,AE3465&lt;=set_AsAt),1,0)</f>
        <v/>
      </c>
      <c r="AK3465" s="54">
        <f>IF(AND(AJ3465=1,AH3465&lt;&gt;"",COUNTIFS($AH$2:AH3465,AH3465,$AJ$2:AJ3465,1)=1),N(AL3464)+1,"")</f>
        <v/>
      </c>
      <c r="AL3465" s="54">
        <f>IF(AK3465&lt;&gt;"",AK3465,N(AL3464))</f>
        <v/>
      </c>
    </row>
    <row r="3466">
      <c r="A3466" t="inlineStr">
        <is>
          <t>CON-1155</t>
        </is>
      </c>
      <c r="B3466" t="inlineStr">
        <is>
          <t>Consulting</t>
        </is>
      </c>
      <c r="AB3466" t="n">
        <v>1155</v>
      </c>
      <c r="AD3466" s="52">
        <f>IFERROR(N(IFERROR(INDEX($A3466:$AB3466,MATCH("Xero Invoiced Ex GST",$A$1:$AB$1,0)),"")),0)</f>
        <v/>
      </c>
      <c r="AE3466" s="53">
        <f>IFERROR(INDEX($A3466:$AB3466,MATCH("Xero Invoice Date",$A$1:$AB$1,0)),"")</f>
        <v/>
      </c>
      <c r="AF3466" s="54">
        <f>IF(AND(IFERROR(INDEX($A3466:$AB3466,MATCH("Xero Invoice No",$A$1:$AB$1,0)),"")&amp;""&lt;&gt;"",ISNUMBER(AE3466),AD3466&lt;&gt;0),1,0)</f>
        <v/>
      </c>
      <c r="AG3466" s="55">
        <f>IF(AF3466=1,EOMONTH(AE3466,0),"")</f>
        <v/>
      </c>
      <c r="AH3466" s="9">
        <f>IF(AF3466=1,UPPER(TRIM(IFERROR(INDEX($A3466:$AB3466,MATCH("Client",$A$1:$AB$1,0)),"")&amp;"")),"")</f>
        <v/>
      </c>
      <c r="AI3466" s="9">
        <f>IF(AF3466=1,IFERROR(INDEX($A3466:$AB3466,MATCH("Cost Centre",$A$1:$AB$1,0)),"")&amp;"","")</f>
        <v/>
      </c>
      <c r="AJ3466" s="54">
        <f>IF(AND(AF3466=1,AE3466&gt;=set_FYStart,AE3466&lt;=set_AsAt),1,0)</f>
        <v/>
      </c>
      <c r="AK3466" s="54">
        <f>IF(AND(AJ3466=1,AH3466&lt;&gt;"",COUNTIFS($AH$2:AH3466,AH3466,$AJ$2:AJ3466,1)=1),N(AL3465)+1,"")</f>
        <v/>
      </c>
      <c r="AL3466" s="54">
        <f>IF(AK3466&lt;&gt;"",AK3466,N(AL3465))</f>
        <v/>
      </c>
    </row>
    <row r="3467">
      <c r="A3467" t="inlineStr">
        <is>
          <t>ONS-1156</t>
        </is>
      </c>
      <c r="B3467" t="inlineStr">
        <is>
          <t>Onsite</t>
        </is>
      </c>
      <c r="AB3467" t="n">
        <v>1156</v>
      </c>
      <c r="AD3467" s="52">
        <f>IFERROR(N(IFERROR(INDEX($A3467:$AB3467,MATCH("Xero Invoiced Ex GST",$A$1:$AB$1,0)),"")),0)</f>
        <v/>
      </c>
      <c r="AE3467" s="53">
        <f>IFERROR(INDEX($A3467:$AB3467,MATCH("Xero Invoice Date",$A$1:$AB$1,0)),"")</f>
        <v/>
      </c>
      <c r="AF3467" s="54">
        <f>IF(AND(IFERROR(INDEX($A3467:$AB3467,MATCH("Xero Invoice No",$A$1:$AB$1,0)),"")&amp;""&lt;&gt;"",ISNUMBER(AE3467),AD3467&lt;&gt;0),1,0)</f>
        <v/>
      </c>
      <c r="AG3467" s="55">
        <f>IF(AF3467=1,EOMONTH(AE3467,0),"")</f>
        <v/>
      </c>
      <c r="AH3467" s="9">
        <f>IF(AF3467=1,UPPER(TRIM(IFERROR(INDEX($A3467:$AB3467,MATCH("Client",$A$1:$AB$1,0)),"")&amp;"")),"")</f>
        <v/>
      </c>
      <c r="AI3467" s="9">
        <f>IF(AF3467=1,IFERROR(INDEX($A3467:$AB3467,MATCH("Cost Centre",$A$1:$AB$1,0)),"")&amp;"","")</f>
        <v/>
      </c>
      <c r="AJ3467" s="54">
        <f>IF(AND(AF3467=1,AE3467&gt;=set_FYStart,AE3467&lt;=set_AsAt),1,0)</f>
        <v/>
      </c>
      <c r="AK3467" s="54">
        <f>IF(AND(AJ3467=1,AH3467&lt;&gt;"",COUNTIFS($AH$2:AH3467,AH3467,$AJ$2:AJ3467,1)=1),N(AL3466)+1,"")</f>
        <v/>
      </c>
      <c r="AL3467" s="54">
        <f>IF(AK3467&lt;&gt;"",AK3467,N(AL3466))</f>
        <v/>
      </c>
    </row>
    <row r="3468">
      <c r="A3468" t="inlineStr">
        <is>
          <t>PRD-1156</t>
        </is>
      </c>
      <c r="B3468" t="inlineStr">
        <is>
          <t>Production</t>
        </is>
      </c>
      <c r="AB3468" t="n">
        <v>1156</v>
      </c>
      <c r="AD3468" s="52">
        <f>IFERROR(N(IFERROR(INDEX($A3468:$AB3468,MATCH("Xero Invoiced Ex GST",$A$1:$AB$1,0)),"")),0)</f>
        <v/>
      </c>
      <c r="AE3468" s="53">
        <f>IFERROR(INDEX($A3468:$AB3468,MATCH("Xero Invoice Date",$A$1:$AB$1,0)),"")</f>
        <v/>
      </c>
      <c r="AF3468" s="54">
        <f>IF(AND(IFERROR(INDEX($A3468:$AB3468,MATCH("Xero Invoice No",$A$1:$AB$1,0)),"")&amp;""&lt;&gt;"",ISNUMBER(AE3468),AD3468&lt;&gt;0),1,0)</f>
        <v/>
      </c>
      <c r="AG3468" s="55">
        <f>IF(AF3468=1,EOMONTH(AE3468,0),"")</f>
        <v/>
      </c>
      <c r="AH3468" s="9">
        <f>IF(AF3468=1,UPPER(TRIM(IFERROR(INDEX($A3468:$AB3468,MATCH("Client",$A$1:$AB$1,0)),"")&amp;"")),"")</f>
        <v/>
      </c>
      <c r="AI3468" s="9">
        <f>IF(AF3468=1,IFERROR(INDEX($A3468:$AB3468,MATCH("Cost Centre",$A$1:$AB$1,0)),"")&amp;"","")</f>
        <v/>
      </c>
      <c r="AJ3468" s="54">
        <f>IF(AND(AF3468=1,AE3468&gt;=set_FYStart,AE3468&lt;=set_AsAt),1,0)</f>
        <v/>
      </c>
      <c r="AK3468" s="54">
        <f>IF(AND(AJ3468=1,AH3468&lt;&gt;"",COUNTIFS($AH$2:AH3468,AH3468,$AJ$2:AJ3468,1)=1),N(AL3467)+1,"")</f>
        <v/>
      </c>
      <c r="AL3468" s="54">
        <f>IF(AK3468&lt;&gt;"",AK3468,N(AL3467))</f>
        <v/>
      </c>
    </row>
    <row r="3469">
      <c r="A3469" t="inlineStr">
        <is>
          <t>CON-1156</t>
        </is>
      </c>
      <c r="B3469" t="inlineStr">
        <is>
          <t>Consulting</t>
        </is>
      </c>
      <c r="AB3469" t="n">
        <v>1156</v>
      </c>
      <c r="AD3469" s="52">
        <f>IFERROR(N(IFERROR(INDEX($A3469:$AB3469,MATCH("Xero Invoiced Ex GST",$A$1:$AB$1,0)),"")),0)</f>
        <v/>
      </c>
      <c r="AE3469" s="53">
        <f>IFERROR(INDEX($A3469:$AB3469,MATCH("Xero Invoice Date",$A$1:$AB$1,0)),"")</f>
        <v/>
      </c>
      <c r="AF3469" s="54">
        <f>IF(AND(IFERROR(INDEX($A3469:$AB3469,MATCH("Xero Invoice No",$A$1:$AB$1,0)),"")&amp;""&lt;&gt;"",ISNUMBER(AE3469),AD3469&lt;&gt;0),1,0)</f>
        <v/>
      </c>
      <c r="AG3469" s="55">
        <f>IF(AF3469=1,EOMONTH(AE3469,0),"")</f>
        <v/>
      </c>
      <c r="AH3469" s="9">
        <f>IF(AF3469=1,UPPER(TRIM(IFERROR(INDEX($A3469:$AB3469,MATCH("Client",$A$1:$AB$1,0)),"")&amp;"")),"")</f>
        <v/>
      </c>
      <c r="AI3469" s="9">
        <f>IF(AF3469=1,IFERROR(INDEX($A3469:$AB3469,MATCH("Cost Centre",$A$1:$AB$1,0)),"")&amp;"","")</f>
        <v/>
      </c>
      <c r="AJ3469" s="54">
        <f>IF(AND(AF3469=1,AE3469&gt;=set_FYStart,AE3469&lt;=set_AsAt),1,0)</f>
        <v/>
      </c>
      <c r="AK3469" s="54">
        <f>IF(AND(AJ3469=1,AH3469&lt;&gt;"",COUNTIFS($AH$2:AH3469,AH3469,$AJ$2:AJ3469,1)=1),N(AL3468)+1,"")</f>
        <v/>
      </c>
      <c r="AL3469" s="54">
        <f>IF(AK3469&lt;&gt;"",AK3469,N(AL3468))</f>
        <v/>
      </c>
    </row>
    <row r="3470">
      <c r="A3470" t="inlineStr">
        <is>
          <t>ONS-1157</t>
        </is>
      </c>
      <c r="B3470" t="inlineStr">
        <is>
          <t>Onsite</t>
        </is>
      </c>
      <c r="AB3470" t="n">
        <v>1157</v>
      </c>
      <c r="AD3470" s="52">
        <f>IFERROR(N(IFERROR(INDEX($A3470:$AB3470,MATCH("Xero Invoiced Ex GST",$A$1:$AB$1,0)),"")),0)</f>
        <v/>
      </c>
      <c r="AE3470" s="53">
        <f>IFERROR(INDEX($A3470:$AB3470,MATCH("Xero Invoice Date",$A$1:$AB$1,0)),"")</f>
        <v/>
      </c>
      <c r="AF3470" s="54">
        <f>IF(AND(IFERROR(INDEX($A3470:$AB3470,MATCH("Xero Invoice No",$A$1:$AB$1,0)),"")&amp;""&lt;&gt;"",ISNUMBER(AE3470),AD3470&lt;&gt;0),1,0)</f>
        <v/>
      </c>
      <c r="AG3470" s="55">
        <f>IF(AF3470=1,EOMONTH(AE3470,0),"")</f>
        <v/>
      </c>
      <c r="AH3470" s="9">
        <f>IF(AF3470=1,UPPER(TRIM(IFERROR(INDEX($A3470:$AB3470,MATCH("Client",$A$1:$AB$1,0)),"")&amp;"")),"")</f>
        <v/>
      </c>
      <c r="AI3470" s="9">
        <f>IF(AF3470=1,IFERROR(INDEX($A3470:$AB3470,MATCH("Cost Centre",$A$1:$AB$1,0)),"")&amp;"","")</f>
        <v/>
      </c>
      <c r="AJ3470" s="54">
        <f>IF(AND(AF3470=1,AE3470&gt;=set_FYStart,AE3470&lt;=set_AsAt),1,0)</f>
        <v/>
      </c>
      <c r="AK3470" s="54">
        <f>IF(AND(AJ3470=1,AH3470&lt;&gt;"",COUNTIFS($AH$2:AH3470,AH3470,$AJ$2:AJ3470,1)=1),N(AL3469)+1,"")</f>
        <v/>
      </c>
      <c r="AL3470" s="54">
        <f>IF(AK3470&lt;&gt;"",AK3470,N(AL3469))</f>
        <v/>
      </c>
    </row>
    <row r="3471">
      <c r="A3471" t="inlineStr">
        <is>
          <t>PRD-1157</t>
        </is>
      </c>
      <c r="B3471" t="inlineStr">
        <is>
          <t>Production</t>
        </is>
      </c>
      <c r="AB3471" t="n">
        <v>1157</v>
      </c>
      <c r="AD3471" s="52">
        <f>IFERROR(N(IFERROR(INDEX($A3471:$AB3471,MATCH("Xero Invoiced Ex GST",$A$1:$AB$1,0)),"")),0)</f>
        <v/>
      </c>
      <c r="AE3471" s="53">
        <f>IFERROR(INDEX($A3471:$AB3471,MATCH("Xero Invoice Date",$A$1:$AB$1,0)),"")</f>
        <v/>
      </c>
      <c r="AF3471" s="54">
        <f>IF(AND(IFERROR(INDEX($A3471:$AB3471,MATCH("Xero Invoice No",$A$1:$AB$1,0)),"")&amp;""&lt;&gt;"",ISNUMBER(AE3471),AD3471&lt;&gt;0),1,0)</f>
        <v/>
      </c>
      <c r="AG3471" s="55">
        <f>IF(AF3471=1,EOMONTH(AE3471,0),"")</f>
        <v/>
      </c>
      <c r="AH3471" s="9">
        <f>IF(AF3471=1,UPPER(TRIM(IFERROR(INDEX($A3471:$AB3471,MATCH("Client",$A$1:$AB$1,0)),"")&amp;"")),"")</f>
        <v/>
      </c>
      <c r="AI3471" s="9">
        <f>IF(AF3471=1,IFERROR(INDEX($A3471:$AB3471,MATCH("Cost Centre",$A$1:$AB$1,0)),"")&amp;"","")</f>
        <v/>
      </c>
      <c r="AJ3471" s="54">
        <f>IF(AND(AF3471=1,AE3471&gt;=set_FYStart,AE3471&lt;=set_AsAt),1,0)</f>
        <v/>
      </c>
      <c r="AK3471" s="54">
        <f>IF(AND(AJ3471=1,AH3471&lt;&gt;"",COUNTIFS($AH$2:AH3471,AH3471,$AJ$2:AJ3471,1)=1),N(AL3470)+1,"")</f>
        <v/>
      </c>
      <c r="AL3471" s="54">
        <f>IF(AK3471&lt;&gt;"",AK3471,N(AL3470))</f>
        <v/>
      </c>
    </row>
    <row r="3472">
      <c r="A3472" t="inlineStr">
        <is>
          <t>CON-1157</t>
        </is>
      </c>
      <c r="B3472" t="inlineStr">
        <is>
          <t>Consulting</t>
        </is>
      </c>
      <c r="AB3472" t="n">
        <v>1157</v>
      </c>
      <c r="AD3472" s="52">
        <f>IFERROR(N(IFERROR(INDEX($A3472:$AB3472,MATCH("Xero Invoiced Ex GST",$A$1:$AB$1,0)),"")),0)</f>
        <v/>
      </c>
      <c r="AE3472" s="53">
        <f>IFERROR(INDEX($A3472:$AB3472,MATCH("Xero Invoice Date",$A$1:$AB$1,0)),"")</f>
        <v/>
      </c>
      <c r="AF3472" s="54">
        <f>IF(AND(IFERROR(INDEX($A3472:$AB3472,MATCH("Xero Invoice No",$A$1:$AB$1,0)),"")&amp;""&lt;&gt;"",ISNUMBER(AE3472),AD3472&lt;&gt;0),1,0)</f>
        <v/>
      </c>
      <c r="AG3472" s="55">
        <f>IF(AF3472=1,EOMONTH(AE3472,0),"")</f>
        <v/>
      </c>
      <c r="AH3472" s="9">
        <f>IF(AF3472=1,UPPER(TRIM(IFERROR(INDEX($A3472:$AB3472,MATCH("Client",$A$1:$AB$1,0)),"")&amp;"")),"")</f>
        <v/>
      </c>
      <c r="AI3472" s="9">
        <f>IF(AF3472=1,IFERROR(INDEX($A3472:$AB3472,MATCH("Cost Centre",$A$1:$AB$1,0)),"")&amp;"","")</f>
        <v/>
      </c>
      <c r="AJ3472" s="54">
        <f>IF(AND(AF3472=1,AE3472&gt;=set_FYStart,AE3472&lt;=set_AsAt),1,0)</f>
        <v/>
      </c>
      <c r="AK3472" s="54">
        <f>IF(AND(AJ3472=1,AH3472&lt;&gt;"",COUNTIFS($AH$2:AH3472,AH3472,$AJ$2:AJ3472,1)=1),N(AL3471)+1,"")</f>
        <v/>
      </c>
      <c r="AL3472" s="54">
        <f>IF(AK3472&lt;&gt;"",AK3472,N(AL3471))</f>
        <v/>
      </c>
    </row>
    <row r="3473">
      <c r="A3473" t="inlineStr">
        <is>
          <t>ONS-1158</t>
        </is>
      </c>
      <c r="B3473" t="inlineStr">
        <is>
          <t>Onsite</t>
        </is>
      </c>
      <c r="AB3473" t="n">
        <v>1158</v>
      </c>
      <c r="AD3473" s="52">
        <f>IFERROR(N(IFERROR(INDEX($A3473:$AB3473,MATCH("Xero Invoiced Ex GST",$A$1:$AB$1,0)),"")),0)</f>
        <v/>
      </c>
      <c r="AE3473" s="53">
        <f>IFERROR(INDEX($A3473:$AB3473,MATCH("Xero Invoice Date",$A$1:$AB$1,0)),"")</f>
        <v/>
      </c>
      <c r="AF3473" s="54">
        <f>IF(AND(IFERROR(INDEX($A3473:$AB3473,MATCH("Xero Invoice No",$A$1:$AB$1,0)),"")&amp;""&lt;&gt;"",ISNUMBER(AE3473),AD3473&lt;&gt;0),1,0)</f>
        <v/>
      </c>
      <c r="AG3473" s="55">
        <f>IF(AF3473=1,EOMONTH(AE3473,0),"")</f>
        <v/>
      </c>
      <c r="AH3473" s="9">
        <f>IF(AF3473=1,UPPER(TRIM(IFERROR(INDEX($A3473:$AB3473,MATCH("Client",$A$1:$AB$1,0)),"")&amp;"")),"")</f>
        <v/>
      </c>
      <c r="AI3473" s="9">
        <f>IF(AF3473=1,IFERROR(INDEX($A3473:$AB3473,MATCH("Cost Centre",$A$1:$AB$1,0)),"")&amp;"","")</f>
        <v/>
      </c>
      <c r="AJ3473" s="54">
        <f>IF(AND(AF3473=1,AE3473&gt;=set_FYStart,AE3473&lt;=set_AsAt),1,0)</f>
        <v/>
      </c>
      <c r="AK3473" s="54">
        <f>IF(AND(AJ3473=1,AH3473&lt;&gt;"",COUNTIFS($AH$2:AH3473,AH3473,$AJ$2:AJ3473,1)=1),N(AL3472)+1,"")</f>
        <v/>
      </c>
      <c r="AL3473" s="54">
        <f>IF(AK3473&lt;&gt;"",AK3473,N(AL3472))</f>
        <v/>
      </c>
    </row>
    <row r="3474">
      <c r="A3474" t="inlineStr">
        <is>
          <t>PRD-1158</t>
        </is>
      </c>
      <c r="B3474" t="inlineStr">
        <is>
          <t>Production</t>
        </is>
      </c>
      <c r="AB3474" t="n">
        <v>1158</v>
      </c>
      <c r="AD3474" s="52">
        <f>IFERROR(N(IFERROR(INDEX($A3474:$AB3474,MATCH("Xero Invoiced Ex GST",$A$1:$AB$1,0)),"")),0)</f>
        <v/>
      </c>
      <c r="AE3474" s="53">
        <f>IFERROR(INDEX($A3474:$AB3474,MATCH("Xero Invoice Date",$A$1:$AB$1,0)),"")</f>
        <v/>
      </c>
      <c r="AF3474" s="54">
        <f>IF(AND(IFERROR(INDEX($A3474:$AB3474,MATCH("Xero Invoice No",$A$1:$AB$1,0)),"")&amp;""&lt;&gt;"",ISNUMBER(AE3474),AD3474&lt;&gt;0),1,0)</f>
        <v/>
      </c>
      <c r="AG3474" s="55">
        <f>IF(AF3474=1,EOMONTH(AE3474,0),"")</f>
        <v/>
      </c>
      <c r="AH3474" s="9">
        <f>IF(AF3474=1,UPPER(TRIM(IFERROR(INDEX($A3474:$AB3474,MATCH("Client",$A$1:$AB$1,0)),"")&amp;"")),"")</f>
        <v/>
      </c>
      <c r="AI3474" s="9">
        <f>IF(AF3474=1,IFERROR(INDEX($A3474:$AB3474,MATCH("Cost Centre",$A$1:$AB$1,0)),"")&amp;"","")</f>
        <v/>
      </c>
      <c r="AJ3474" s="54">
        <f>IF(AND(AF3474=1,AE3474&gt;=set_FYStart,AE3474&lt;=set_AsAt),1,0)</f>
        <v/>
      </c>
      <c r="AK3474" s="54">
        <f>IF(AND(AJ3474=1,AH3474&lt;&gt;"",COUNTIFS($AH$2:AH3474,AH3474,$AJ$2:AJ3474,1)=1),N(AL3473)+1,"")</f>
        <v/>
      </c>
      <c r="AL3474" s="54">
        <f>IF(AK3474&lt;&gt;"",AK3474,N(AL3473))</f>
        <v/>
      </c>
    </row>
    <row r="3475">
      <c r="A3475" t="inlineStr">
        <is>
          <t>CON-1158</t>
        </is>
      </c>
      <c r="B3475" t="inlineStr">
        <is>
          <t>Consulting</t>
        </is>
      </c>
      <c r="AB3475" t="n">
        <v>1158</v>
      </c>
      <c r="AD3475" s="52">
        <f>IFERROR(N(IFERROR(INDEX($A3475:$AB3475,MATCH("Xero Invoiced Ex GST",$A$1:$AB$1,0)),"")),0)</f>
        <v/>
      </c>
      <c r="AE3475" s="53">
        <f>IFERROR(INDEX($A3475:$AB3475,MATCH("Xero Invoice Date",$A$1:$AB$1,0)),"")</f>
        <v/>
      </c>
      <c r="AF3475" s="54">
        <f>IF(AND(IFERROR(INDEX($A3475:$AB3475,MATCH("Xero Invoice No",$A$1:$AB$1,0)),"")&amp;""&lt;&gt;"",ISNUMBER(AE3475),AD3475&lt;&gt;0),1,0)</f>
        <v/>
      </c>
      <c r="AG3475" s="55">
        <f>IF(AF3475=1,EOMONTH(AE3475,0),"")</f>
        <v/>
      </c>
      <c r="AH3475" s="9">
        <f>IF(AF3475=1,UPPER(TRIM(IFERROR(INDEX($A3475:$AB3475,MATCH("Client",$A$1:$AB$1,0)),"")&amp;"")),"")</f>
        <v/>
      </c>
      <c r="AI3475" s="9">
        <f>IF(AF3475=1,IFERROR(INDEX($A3475:$AB3475,MATCH("Cost Centre",$A$1:$AB$1,0)),"")&amp;"","")</f>
        <v/>
      </c>
      <c r="AJ3475" s="54">
        <f>IF(AND(AF3475=1,AE3475&gt;=set_FYStart,AE3475&lt;=set_AsAt),1,0)</f>
        <v/>
      </c>
      <c r="AK3475" s="54">
        <f>IF(AND(AJ3475=1,AH3475&lt;&gt;"",COUNTIFS($AH$2:AH3475,AH3475,$AJ$2:AJ3475,1)=1),N(AL3474)+1,"")</f>
        <v/>
      </c>
      <c r="AL3475" s="54">
        <f>IF(AK3475&lt;&gt;"",AK3475,N(AL3474))</f>
        <v/>
      </c>
    </row>
    <row r="3476">
      <c r="A3476" t="inlineStr">
        <is>
          <t>ONS-1159</t>
        </is>
      </c>
      <c r="B3476" t="inlineStr">
        <is>
          <t>Onsite</t>
        </is>
      </c>
      <c r="AB3476" t="n">
        <v>1159</v>
      </c>
      <c r="AD3476" s="52">
        <f>IFERROR(N(IFERROR(INDEX($A3476:$AB3476,MATCH("Xero Invoiced Ex GST",$A$1:$AB$1,0)),"")),0)</f>
        <v/>
      </c>
      <c r="AE3476" s="53">
        <f>IFERROR(INDEX($A3476:$AB3476,MATCH("Xero Invoice Date",$A$1:$AB$1,0)),"")</f>
        <v/>
      </c>
      <c r="AF3476" s="54">
        <f>IF(AND(IFERROR(INDEX($A3476:$AB3476,MATCH("Xero Invoice No",$A$1:$AB$1,0)),"")&amp;""&lt;&gt;"",ISNUMBER(AE3476),AD3476&lt;&gt;0),1,0)</f>
        <v/>
      </c>
      <c r="AG3476" s="55">
        <f>IF(AF3476=1,EOMONTH(AE3476,0),"")</f>
        <v/>
      </c>
      <c r="AH3476" s="9">
        <f>IF(AF3476=1,UPPER(TRIM(IFERROR(INDEX($A3476:$AB3476,MATCH("Client",$A$1:$AB$1,0)),"")&amp;"")),"")</f>
        <v/>
      </c>
      <c r="AI3476" s="9">
        <f>IF(AF3476=1,IFERROR(INDEX($A3476:$AB3476,MATCH("Cost Centre",$A$1:$AB$1,0)),"")&amp;"","")</f>
        <v/>
      </c>
      <c r="AJ3476" s="54">
        <f>IF(AND(AF3476=1,AE3476&gt;=set_FYStart,AE3476&lt;=set_AsAt),1,0)</f>
        <v/>
      </c>
      <c r="AK3476" s="54">
        <f>IF(AND(AJ3476=1,AH3476&lt;&gt;"",COUNTIFS($AH$2:AH3476,AH3476,$AJ$2:AJ3476,1)=1),N(AL3475)+1,"")</f>
        <v/>
      </c>
      <c r="AL3476" s="54">
        <f>IF(AK3476&lt;&gt;"",AK3476,N(AL3475))</f>
        <v/>
      </c>
    </row>
    <row r="3477">
      <c r="A3477" t="inlineStr">
        <is>
          <t>PRD-1159</t>
        </is>
      </c>
      <c r="B3477" t="inlineStr">
        <is>
          <t>Production</t>
        </is>
      </c>
      <c r="AB3477" t="n">
        <v>1159</v>
      </c>
      <c r="AD3477" s="52">
        <f>IFERROR(N(IFERROR(INDEX($A3477:$AB3477,MATCH("Xero Invoiced Ex GST",$A$1:$AB$1,0)),"")),0)</f>
        <v/>
      </c>
      <c r="AE3477" s="53">
        <f>IFERROR(INDEX($A3477:$AB3477,MATCH("Xero Invoice Date",$A$1:$AB$1,0)),"")</f>
        <v/>
      </c>
      <c r="AF3477" s="54">
        <f>IF(AND(IFERROR(INDEX($A3477:$AB3477,MATCH("Xero Invoice No",$A$1:$AB$1,0)),"")&amp;""&lt;&gt;"",ISNUMBER(AE3477),AD3477&lt;&gt;0),1,0)</f>
        <v/>
      </c>
      <c r="AG3477" s="55">
        <f>IF(AF3477=1,EOMONTH(AE3477,0),"")</f>
        <v/>
      </c>
      <c r="AH3477" s="9">
        <f>IF(AF3477=1,UPPER(TRIM(IFERROR(INDEX($A3477:$AB3477,MATCH("Client",$A$1:$AB$1,0)),"")&amp;"")),"")</f>
        <v/>
      </c>
      <c r="AI3477" s="9">
        <f>IF(AF3477=1,IFERROR(INDEX($A3477:$AB3477,MATCH("Cost Centre",$A$1:$AB$1,0)),"")&amp;"","")</f>
        <v/>
      </c>
      <c r="AJ3477" s="54">
        <f>IF(AND(AF3477=1,AE3477&gt;=set_FYStart,AE3477&lt;=set_AsAt),1,0)</f>
        <v/>
      </c>
      <c r="AK3477" s="54">
        <f>IF(AND(AJ3477=1,AH3477&lt;&gt;"",COUNTIFS($AH$2:AH3477,AH3477,$AJ$2:AJ3477,1)=1),N(AL3476)+1,"")</f>
        <v/>
      </c>
      <c r="AL3477" s="54">
        <f>IF(AK3477&lt;&gt;"",AK3477,N(AL3476))</f>
        <v/>
      </c>
    </row>
    <row r="3478">
      <c r="A3478" t="inlineStr">
        <is>
          <t>CON-1159</t>
        </is>
      </c>
      <c r="B3478" t="inlineStr">
        <is>
          <t>Consulting</t>
        </is>
      </c>
      <c r="AB3478" t="n">
        <v>1159</v>
      </c>
      <c r="AD3478" s="52">
        <f>IFERROR(N(IFERROR(INDEX($A3478:$AB3478,MATCH("Xero Invoiced Ex GST",$A$1:$AB$1,0)),"")),0)</f>
        <v/>
      </c>
      <c r="AE3478" s="53">
        <f>IFERROR(INDEX($A3478:$AB3478,MATCH("Xero Invoice Date",$A$1:$AB$1,0)),"")</f>
        <v/>
      </c>
      <c r="AF3478" s="54">
        <f>IF(AND(IFERROR(INDEX($A3478:$AB3478,MATCH("Xero Invoice No",$A$1:$AB$1,0)),"")&amp;""&lt;&gt;"",ISNUMBER(AE3478),AD3478&lt;&gt;0),1,0)</f>
        <v/>
      </c>
      <c r="AG3478" s="55">
        <f>IF(AF3478=1,EOMONTH(AE3478,0),"")</f>
        <v/>
      </c>
      <c r="AH3478" s="9">
        <f>IF(AF3478=1,UPPER(TRIM(IFERROR(INDEX($A3478:$AB3478,MATCH("Client",$A$1:$AB$1,0)),"")&amp;"")),"")</f>
        <v/>
      </c>
      <c r="AI3478" s="9">
        <f>IF(AF3478=1,IFERROR(INDEX($A3478:$AB3478,MATCH("Cost Centre",$A$1:$AB$1,0)),"")&amp;"","")</f>
        <v/>
      </c>
      <c r="AJ3478" s="54">
        <f>IF(AND(AF3478=1,AE3478&gt;=set_FYStart,AE3478&lt;=set_AsAt),1,0)</f>
        <v/>
      </c>
      <c r="AK3478" s="54">
        <f>IF(AND(AJ3478=1,AH3478&lt;&gt;"",COUNTIFS($AH$2:AH3478,AH3478,$AJ$2:AJ3478,1)=1),N(AL3477)+1,"")</f>
        <v/>
      </c>
      <c r="AL3478" s="54">
        <f>IF(AK3478&lt;&gt;"",AK3478,N(AL3477))</f>
        <v/>
      </c>
    </row>
    <row r="3479">
      <c r="A3479" t="inlineStr">
        <is>
          <t>ONS-1160</t>
        </is>
      </c>
      <c r="B3479" t="inlineStr">
        <is>
          <t>Onsite</t>
        </is>
      </c>
      <c r="AB3479" t="n">
        <v>1160</v>
      </c>
      <c r="AD3479" s="52">
        <f>IFERROR(N(IFERROR(INDEX($A3479:$AB3479,MATCH("Xero Invoiced Ex GST",$A$1:$AB$1,0)),"")),0)</f>
        <v/>
      </c>
      <c r="AE3479" s="53">
        <f>IFERROR(INDEX($A3479:$AB3479,MATCH("Xero Invoice Date",$A$1:$AB$1,0)),"")</f>
        <v/>
      </c>
      <c r="AF3479" s="54">
        <f>IF(AND(IFERROR(INDEX($A3479:$AB3479,MATCH("Xero Invoice No",$A$1:$AB$1,0)),"")&amp;""&lt;&gt;"",ISNUMBER(AE3479),AD3479&lt;&gt;0),1,0)</f>
        <v/>
      </c>
      <c r="AG3479" s="55">
        <f>IF(AF3479=1,EOMONTH(AE3479,0),"")</f>
        <v/>
      </c>
      <c r="AH3479" s="9">
        <f>IF(AF3479=1,UPPER(TRIM(IFERROR(INDEX($A3479:$AB3479,MATCH("Client",$A$1:$AB$1,0)),"")&amp;"")),"")</f>
        <v/>
      </c>
      <c r="AI3479" s="9">
        <f>IF(AF3479=1,IFERROR(INDEX($A3479:$AB3479,MATCH("Cost Centre",$A$1:$AB$1,0)),"")&amp;"","")</f>
        <v/>
      </c>
      <c r="AJ3479" s="54">
        <f>IF(AND(AF3479=1,AE3479&gt;=set_FYStart,AE3479&lt;=set_AsAt),1,0)</f>
        <v/>
      </c>
      <c r="AK3479" s="54">
        <f>IF(AND(AJ3479=1,AH3479&lt;&gt;"",COUNTIFS($AH$2:AH3479,AH3479,$AJ$2:AJ3479,1)=1),N(AL3478)+1,"")</f>
        <v/>
      </c>
      <c r="AL3479" s="54">
        <f>IF(AK3479&lt;&gt;"",AK3479,N(AL3478))</f>
        <v/>
      </c>
    </row>
    <row r="3480">
      <c r="A3480" t="inlineStr">
        <is>
          <t>PRD-1160</t>
        </is>
      </c>
      <c r="B3480" t="inlineStr">
        <is>
          <t>Production</t>
        </is>
      </c>
      <c r="AB3480" t="n">
        <v>1160</v>
      </c>
      <c r="AD3480" s="52">
        <f>IFERROR(N(IFERROR(INDEX($A3480:$AB3480,MATCH("Xero Invoiced Ex GST",$A$1:$AB$1,0)),"")),0)</f>
        <v/>
      </c>
      <c r="AE3480" s="53">
        <f>IFERROR(INDEX($A3480:$AB3480,MATCH("Xero Invoice Date",$A$1:$AB$1,0)),"")</f>
        <v/>
      </c>
      <c r="AF3480" s="54">
        <f>IF(AND(IFERROR(INDEX($A3480:$AB3480,MATCH("Xero Invoice No",$A$1:$AB$1,0)),"")&amp;""&lt;&gt;"",ISNUMBER(AE3480),AD3480&lt;&gt;0),1,0)</f>
        <v/>
      </c>
      <c r="AG3480" s="55">
        <f>IF(AF3480=1,EOMONTH(AE3480,0),"")</f>
        <v/>
      </c>
      <c r="AH3480" s="9">
        <f>IF(AF3480=1,UPPER(TRIM(IFERROR(INDEX($A3480:$AB3480,MATCH("Client",$A$1:$AB$1,0)),"")&amp;"")),"")</f>
        <v/>
      </c>
      <c r="AI3480" s="9">
        <f>IF(AF3480=1,IFERROR(INDEX($A3480:$AB3480,MATCH("Cost Centre",$A$1:$AB$1,0)),"")&amp;"","")</f>
        <v/>
      </c>
      <c r="AJ3480" s="54">
        <f>IF(AND(AF3480=1,AE3480&gt;=set_FYStart,AE3480&lt;=set_AsAt),1,0)</f>
        <v/>
      </c>
      <c r="AK3480" s="54">
        <f>IF(AND(AJ3480=1,AH3480&lt;&gt;"",COUNTIFS($AH$2:AH3480,AH3480,$AJ$2:AJ3480,1)=1),N(AL3479)+1,"")</f>
        <v/>
      </c>
      <c r="AL3480" s="54">
        <f>IF(AK3480&lt;&gt;"",AK3480,N(AL3479))</f>
        <v/>
      </c>
    </row>
    <row r="3481">
      <c r="A3481" t="inlineStr">
        <is>
          <t>CON-1160</t>
        </is>
      </c>
      <c r="B3481" t="inlineStr">
        <is>
          <t>Consulting</t>
        </is>
      </c>
      <c r="AB3481" t="n">
        <v>1160</v>
      </c>
      <c r="AD3481" s="52">
        <f>IFERROR(N(IFERROR(INDEX($A3481:$AB3481,MATCH("Xero Invoiced Ex GST",$A$1:$AB$1,0)),"")),0)</f>
        <v/>
      </c>
      <c r="AE3481" s="53">
        <f>IFERROR(INDEX($A3481:$AB3481,MATCH("Xero Invoice Date",$A$1:$AB$1,0)),"")</f>
        <v/>
      </c>
      <c r="AF3481" s="54">
        <f>IF(AND(IFERROR(INDEX($A3481:$AB3481,MATCH("Xero Invoice No",$A$1:$AB$1,0)),"")&amp;""&lt;&gt;"",ISNUMBER(AE3481),AD3481&lt;&gt;0),1,0)</f>
        <v/>
      </c>
      <c r="AG3481" s="55">
        <f>IF(AF3481=1,EOMONTH(AE3481,0),"")</f>
        <v/>
      </c>
      <c r="AH3481" s="9">
        <f>IF(AF3481=1,UPPER(TRIM(IFERROR(INDEX($A3481:$AB3481,MATCH("Client",$A$1:$AB$1,0)),"")&amp;"")),"")</f>
        <v/>
      </c>
      <c r="AI3481" s="9">
        <f>IF(AF3481=1,IFERROR(INDEX($A3481:$AB3481,MATCH("Cost Centre",$A$1:$AB$1,0)),"")&amp;"","")</f>
        <v/>
      </c>
      <c r="AJ3481" s="54">
        <f>IF(AND(AF3481=1,AE3481&gt;=set_FYStart,AE3481&lt;=set_AsAt),1,0)</f>
        <v/>
      </c>
      <c r="AK3481" s="54">
        <f>IF(AND(AJ3481=1,AH3481&lt;&gt;"",COUNTIFS($AH$2:AH3481,AH3481,$AJ$2:AJ3481,1)=1),N(AL3480)+1,"")</f>
        <v/>
      </c>
      <c r="AL3481" s="54">
        <f>IF(AK3481&lt;&gt;"",AK3481,N(AL3480))</f>
        <v/>
      </c>
    </row>
    <row r="3482">
      <c r="A3482" t="inlineStr">
        <is>
          <t>ONS-1161</t>
        </is>
      </c>
      <c r="B3482" t="inlineStr">
        <is>
          <t>Onsite</t>
        </is>
      </c>
      <c r="AB3482" t="n">
        <v>1161</v>
      </c>
      <c r="AD3482" s="52">
        <f>IFERROR(N(IFERROR(INDEX($A3482:$AB3482,MATCH("Xero Invoiced Ex GST",$A$1:$AB$1,0)),"")),0)</f>
        <v/>
      </c>
      <c r="AE3482" s="53">
        <f>IFERROR(INDEX($A3482:$AB3482,MATCH("Xero Invoice Date",$A$1:$AB$1,0)),"")</f>
        <v/>
      </c>
      <c r="AF3482" s="54">
        <f>IF(AND(IFERROR(INDEX($A3482:$AB3482,MATCH("Xero Invoice No",$A$1:$AB$1,0)),"")&amp;""&lt;&gt;"",ISNUMBER(AE3482),AD3482&lt;&gt;0),1,0)</f>
        <v/>
      </c>
      <c r="AG3482" s="55">
        <f>IF(AF3482=1,EOMONTH(AE3482,0),"")</f>
        <v/>
      </c>
      <c r="AH3482" s="9">
        <f>IF(AF3482=1,UPPER(TRIM(IFERROR(INDEX($A3482:$AB3482,MATCH("Client",$A$1:$AB$1,0)),"")&amp;"")),"")</f>
        <v/>
      </c>
      <c r="AI3482" s="9">
        <f>IF(AF3482=1,IFERROR(INDEX($A3482:$AB3482,MATCH("Cost Centre",$A$1:$AB$1,0)),"")&amp;"","")</f>
        <v/>
      </c>
      <c r="AJ3482" s="54">
        <f>IF(AND(AF3482=1,AE3482&gt;=set_FYStart,AE3482&lt;=set_AsAt),1,0)</f>
        <v/>
      </c>
      <c r="AK3482" s="54">
        <f>IF(AND(AJ3482=1,AH3482&lt;&gt;"",COUNTIFS($AH$2:AH3482,AH3482,$AJ$2:AJ3482,1)=1),N(AL3481)+1,"")</f>
        <v/>
      </c>
      <c r="AL3482" s="54">
        <f>IF(AK3482&lt;&gt;"",AK3482,N(AL3481))</f>
        <v/>
      </c>
    </row>
    <row r="3483">
      <c r="A3483" t="inlineStr">
        <is>
          <t>PRD-1161</t>
        </is>
      </c>
      <c r="B3483" t="inlineStr">
        <is>
          <t>Production</t>
        </is>
      </c>
      <c r="AB3483" t="n">
        <v>1161</v>
      </c>
      <c r="AD3483" s="52">
        <f>IFERROR(N(IFERROR(INDEX($A3483:$AB3483,MATCH("Xero Invoiced Ex GST",$A$1:$AB$1,0)),"")),0)</f>
        <v/>
      </c>
      <c r="AE3483" s="53">
        <f>IFERROR(INDEX($A3483:$AB3483,MATCH("Xero Invoice Date",$A$1:$AB$1,0)),"")</f>
        <v/>
      </c>
      <c r="AF3483" s="54">
        <f>IF(AND(IFERROR(INDEX($A3483:$AB3483,MATCH("Xero Invoice No",$A$1:$AB$1,0)),"")&amp;""&lt;&gt;"",ISNUMBER(AE3483),AD3483&lt;&gt;0),1,0)</f>
        <v/>
      </c>
      <c r="AG3483" s="55">
        <f>IF(AF3483=1,EOMONTH(AE3483,0),"")</f>
        <v/>
      </c>
      <c r="AH3483" s="9">
        <f>IF(AF3483=1,UPPER(TRIM(IFERROR(INDEX($A3483:$AB3483,MATCH("Client",$A$1:$AB$1,0)),"")&amp;"")),"")</f>
        <v/>
      </c>
      <c r="AI3483" s="9">
        <f>IF(AF3483=1,IFERROR(INDEX($A3483:$AB3483,MATCH("Cost Centre",$A$1:$AB$1,0)),"")&amp;"","")</f>
        <v/>
      </c>
      <c r="AJ3483" s="54">
        <f>IF(AND(AF3483=1,AE3483&gt;=set_FYStart,AE3483&lt;=set_AsAt),1,0)</f>
        <v/>
      </c>
      <c r="AK3483" s="54">
        <f>IF(AND(AJ3483=1,AH3483&lt;&gt;"",COUNTIFS($AH$2:AH3483,AH3483,$AJ$2:AJ3483,1)=1),N(AL3482)+1,"")</f>
        <v/>
      </c>
      <c r="AL3483" s="54">
        <f>IF(AK3483&lt;&gt;"",AK3483,N(AL3482))</f>
        <v/>
      </c>
    </row>
    <row r="3484">
      <c r="A3484" t="inlineStr">
        <is>
          <t>CON-1161</t>
        </is>
      </c>
      <c r="B3484" t="inlineStr">
        <is>
          <t>Consulting</t>
        </is>
      </c>
      <c r="AB3484" t="n">
        <v>1161</v>
      </c>
      <c r="AD3484" s="52">
        <f>IFERROR(N(IFERROR(INDEX($A3484:$AB3484,MATCH("Xero Invoiced Ex GST",$A$1:$AB$1,0)),"")),0)</f>
        <v/>
      </c>
      <c r="AE3484" s="53">
        <f>IFERROR(INDEX($A3484:$AB3484,MATCH("Xero Invoice Date",$A$1:$AB$1,0)),"")</f>
        <v/>
      </c>
      <c r="AF3484" s="54">
        <f>IF(AND(IFERROR(INDEX($A3484:$AB3484,MATCH("Xero Invoice No",$A$1:$AB$1,0)),"")&amp;""&lt;&gt;"",ISNUMBER(AE3484),AD3484&lt;&gt;0),1,0)</f>
        <v/>
      </c>
      <c r="AG3484" s="55">
        <f>IF(AF3484=1,EOMONTH(AE3484,0),"")</f>
        <v/>
      </c>
      <c r="AH3484" s="9">
        <f>IF(AF3484=1,UPPER(TRIM(IFERROR(INDEX($A3484:$AB3484,MATCH("Client",$A$1:$AB$1,0)),"")&amp;"")),"")</f>
        <v/>
      </c>
      <c r="AI3484" s="9">
        <f>IF(AF3484=1,IFERROR(INDEX($A3484:$AB3484,MATCH("Cost Centre",$A$1:$AB$1,0)),"")&amp;"","")</f>
        <v/>
      </c>
      <c r="AJ3484" s="54">
        <f>IF(AND(AF3484=1,AE3484&gt;=set_FYStart,AE3484&lt;=set_AsAt),1,0)</f>
        <v/>
      </c>
      <c r="AK3484" s="54">
        <f>IF(AND(AJ3484=1,AH3484&lt;&gt;"",COUNTIFS($AH$2:AH3484,AH3484,$AJ$2:AJ3484,1)=1),N(AL3483)+1,"")</f>
        <v/>
      </c>
      <c r="AL3484" s="54">
        <f>IF(AK3484&lt;&gt;"",AK3484,N(AL3483))</f>
        <v/>
      </c>
    </row>
    <row r="3485">
      <c r="A3485" t="inlineStr">
        <is>
          <t>ONS-1162</t>
        </is>
      </c>
      <c r="B3485" t="inlineStr">
        <is>
          <t>Onsite</t>
        </is>
      </c>
      <c r="AB3485" t="n">
        <v>1162</v>
      </c>
      <c r="AD3485" s="52">
        <f>IFERROR(N(IFERROR(INDEX($A3485:$AB3485,MATCH("Xero Invoiced Ex GST",$A$1:$AB$1,0)),"")),0)</f>
        <v/>
      </c>
      <c r="AE3485" s="53">
        <f>IFERROR(INDEX($A3485:$AB3485,MATCH("Xero Invoice Date",$A$1:$AB$1,0)),"")</f>
        <v/>
      </c>
      <c r="AF3485" s="54">
        <f>IF(AND(IFERROR(INDEX($A3485:$AB3485,MATCH("Xero Invoice No",$A$1:$AB$1,0)),"")&amp;""&lt;&gt;"",ISNUMBER(AE3485),AD3485&lt;&gt;0),1,0)</f>
        <v/>
      </c>
      <c r="AG3485" s="55">
        <f>IF(AF3485=1,EOMONTH(AE3485,0),"")</f>
        <v/>
      </c>
      <c r="AH3485" s="9">
        <f>IF(AF3485=1,UPPER(TRIM(IFERROR(INDEX($A3485:$AB3485,MATCH("Client",$A$1:$AB$1,0)),"")&amp;"")),"")</f>
        <v/>
      </c>
      <c r="AI3485" s="9">
        <f>IF(AF3485=1,IFERROR(INDEX($A3485:$AB3485,MATCH("Cost Centre",$A$1:$AB$1,0)),"")&amp;"","")</f>
        <v/>
      </c>
      <c r="AJ3485" s="54">
        <f>IF(AND(AF3485=1,AE3485&gt;=set_FYStart,AE3485&lt;=set_AsAt),1,0)</f>
        <v/>
      </c>
      <c r="AK3485" s="54">
        <f>IF(AND(AJ3485=1,AH3485&lt;&gt;"",COUNTIFS($AH$2:AH3485,AH3485,$AJ$2:AJ3485,1)=1),N(AL3484)+1,"")</f>
        <v/>
      </c>
      <c r="AL3485" s="54">
        <f>IF(AK3485&lt;&gt;"",AK3485,N(AL3484))</f>
        <v/>
      </c>
    </row>
    <row r="3486">
      <c r="A3486" t="inlineStr">
        <is>
          <t>PRD-1162</t>
        </is>
      </c>
      <c r="B3486" t="inlineStr">
        <is>
          <t>Production</t>
        </is>
      </c>
      <c r="AB3486" t="n">
        <v>1162</v>
      </c>
      <c r="AD3486" s="52">
        <f>IFERROR(N(IFERROR(INDEX($A3486:$AB3486,MATCH("Xero Invoiced Ex GST",$A$1:$AB$1,0)),"")),0)</f>
        <v/>
      </c>
      <c r="AE3486" s="53">
        <f>IFERROR(INDEX($A3486:$AB3486,MATCH("Xero Invoice Date",$A$1:$AB$1,0)),"")</f>
        <v/>
      </c>
      <c r="AF3486" s="54">
        <f>IF(AND(IFERROR(INDEX($A3486:$AB3486,MATCH("Xero Invoice No",$A$1:$AB$1,0)),"")&amp;""&lt;&gt;"",ISNUMBER(AE3486),AD3486&lt;&gt;0),1,0)</f>
        <v/>
      </c>
      <c r="AG3486" s="55">
        <f>IF(AF3486=1,EOMONTH(AE3486,0),"")</f>
        <v/>
      </c>
      <c r="AH3486" s="9">
        <f>IF(AF3486=1,UPPER(TRIM(IFERROR(INDEX($A3486:$AB3486,MATCH("Client",$A$1:$AB$1,0)),"")&amp;"")),"")</f>
        <v/>
      </c>
      <c r="AI3486" s="9">
        <f>IF(AF3486=1,IFERROR(INDEX($A3486:$AB3486,MATCH("Cost Centre",$A$1:$AB$1,0)),"")&amp;"","")</f>
        <v/>
      </c>
      <c r="AJ3486" s="54">
        <f>IF(AND(AF3486=1,AE3486&gt;=set_FYStart,AE3486&lt;=set_AsAt),1,0)</f>
        <v/>
      </c>
      <c r="AK3486" s="54">
        <f>IF(AND(AJ3486=1,AH3486&lt;&gt;"",COUNTIFS($AH$2:AH3486,AH3486,$AJ$2:AJ3486,1)=1),N(AL3485)+1,"")</f>
        <v/>
      </c>
      <c r="AL3486" s="54">
        <f>IF(AK3486&lt;&gt;"",AK3486,N(AL3485))</f>
        <v/>
      </c>
    </row>
    <row r="3487">
      <c r="A3487" t="inlineStr">
        <is>
          <t>CON-1162</t>
        </is>
      </c>
      <c r="B3487" t="inlineStr">
        <is>
          <t>Consulting</t>
        </is>
      </c>
      <c r="AB3487" t="n">
        <v>1162</v>
      </c>
      <c r="AD3487" s="52">
        <f>IFERROR(N(IFERROR(INDEX($A3487:$AB3487,MATCH("Xero Invoiced Ex GST",$A$1:$AB$1,0)),"")),0)</f>
        <v/>
      </c>
      <c r="AE3487" s="53">
        <f>IFERROR(INDEX($A3487:$AB3487,MATCH("Xero Invoice Date",$A$1:$AB$1,0)),"")</f>
        <v/>
      </c>
      <c r="AF3487" s="54">
        <f>IF(AND(IFERROR(INDEX($A3487:$AB3487,MATCH("Xero Invoice No",$A$1:$AB$1,0)),"")&amp;""&lt;&gt;"",ISNUMBER(AE3487),AD3487&lt;&gt;0),1,0)</f>
        <v/>
      </c>
      <c r="AG3487" s="55">
        <f>IF(AF3487=1,EOMONTH(AE3487,0),"")</f>
        <v/>
      </c>
      <c r="AH3487" s="9">
        <f>IF(AF3487=1,UPPER(TRIM(IFERROR(INDEX($A3487:$AB3487,MATCH("Client",$A$1:$AB$1,0)),"")&amp;"")),"")</f>
        <v/>
      </c>
      <c r="AI3487" s="9">
        <f>IF(AF3487=1,IFERROR(INDEX($A3487:$AB3487,MATCH("Cost Centre",$A$1:$AB$1,0)),"")&amp;"","")</f>
        <v/>
      </c>
      <c r="AJ3487" s="54">
        <f>IF(AND(AF3487=1,AE3487&gt;=set_FYStart,AE3487&lt;=set_AsAt),1,0)</f>
        <v/>
      </c>
      <c r="AK3487" s="54">
        <f>IF(AND(AJ3487=1,AH3487&lt;&gt;"",COUNTIFS($AH$2:AH3487,AH3487,$AJ$2:AJ3487,1)=1),N(AL3486)+1,"")</f>
        <v/>
      </c>
      <c r="AL3487" s="54">
        <f>IF(AK3487&lt;&gt;"",AK3487,N(AL3486))</f>
        <v/>
      </c>
    </row>
    <row r="3488">
      <c r="A3488" t="inlineStr">
        <is>
          <t>ONS-1163</t>
        </is>
      </c>
      <c r="B3488" t="inlineStr">
        <is>
          <t>Onsite</t>
        </is>
      </c>
      <c r="AB3488" t="n">
        <v>1163</v>
      </c>
      <c r="AD3488" s="52">
        <f>IFERROR(N(IFERROR(INDEX($A3488:$AB3488,MATCH("Xero Invoiced Ex GST",$A$1:$AB$1,0)),"")),0)</f>
        <v/>
      </c>
      <c r="AE3488" s="53">
        <f>IFERROR(INDEX($A3488:$AB3488,MATCH("Xero Invoice Date",$A$1:$AB$1,0)),"")</f>
        <v/>
      </c>
      <c r="AF3488" s="54">
        <f>IF(AND(IFERROR(INDEX($A3488:$AB3488,MATCH("Xero Invoice No",$A$1:$AB$1,0)),"")&amp;""&lt;&gt;"",ISNUMBER(AE3488),AD3488&lt;&gt;0),1,0)</f>
        <v/>
      </c>
      <c r="AG3488" s="55">
        <f>IF(AF3488=1,EOMONTH(AE3488,0),"")</f>
        <v/>
      </c>
      <c r="AH3488" s="9">
        <f>IF(AF3488=1,UPPER(TRIM(IFERROR(INDEX($A3488:$AB3488,MATCH("Client",$A$1:$AB$1,0)),"")&amp;"")),"")</f>
        <v/>
      </c>
      <c r="AI3488" s="9">
        <f>IF(AF3488=1,IFERROR(INDEX($A3488:$AB3488,MATCH("Cost Centre",$A$1:$AB$1,0)),"")&amp;"","")</f>
        <v/>
      </c>
      <c r="AJ3488" s="54">
        <f>IF(AND(AF3488=1,AE3488&gt;=set_FYStart,AE3488&lt;=set_AsAt),1,0)</f>
        <v/>
      </c>
      <c r="AK3488" s="54">
        <f>IF(AND(AJ3488=1,AH3488&lt;&gt;"",COUNTIFS($AH$2:AH3488,AH3488,$AJ$2:AJ3488,1)=1),N(AL3487)+1,"")</f>
        <v/>
      </c>
      <c r="AL3488" s="54">
        <f>IF(AK3488&lt;&gt;"",AK3488,N(AL3487))</f>
        <v/>
      </c>
    </row>
    <row r="3489">
      <c r="A3489" t="inlineStr">
        <is>
          <t>PRD-1163</t>
        </is>
      </c>
      <c r="B3489" t="inlineStr">
        <is>
          <t>Production</t>
        </is>
      </c>
      <c r="AB3489" t="n">
        <v>1163</v>
      </c>
      <c r="AD3489" s="52">
        <f>IFERROR(N(IFERROR(INDEX($A3489:$AB3489,MATCH("Xero Invoiced Ex GST",$A$1:$AB$1,0)),"")),0)</f>
        <v/>
      </c>
      <c r="AE3489" s="53">
        <f>IFERROR(INDEX($A3489:$AB3489,MATCH("Xero Invoice Date",$A$1:$AB$1,0)),"")</f>
        <v/>
      </c>
      <c r="AF3489" s="54">
        <f>IF(AND(IFERROR(INDEX($A3489:$AB3489,MATCH("Xero Invoice No",$A$1:$AB$1,0)),"")&amp;""&lt;&gt;"",ISNUMBER(AE3489),AD3489&lt;&gt;0),1,0)</f>
        <v/>
      </c>
      <c r="AG3489" s="55">
        <f>IF(AF3489=1,EOMONTH(AE3489,0),"")</f>
        <v/>
      </c>
      <c r="AH3489" s="9">
        <f>IF(AF3489=1,UPPER(TRIM(IFERROR(INDEX($A3489:$AB3489,MATCH("Client",$A$1:$AB$1,0)),"")&amp;"")),"")</f>
        <v/>
      </c>
      <c r="AI3489" s="9">
        <f>IF(AF3489=1,IFERROR(INDEX($A3489:$AB3489,MATCH("Cost Centre",$A$1:$AB$1,0)),"")&amp;"","")</f>
        <v/>
      </c>
      <c r="AJ3489" s="54">
        <f>IF(AND(AF3489=1,AE3489&gt;=set_FYStart,AE3489&lt;=set_AsAt),1,0)</f>
        <v/>
      </c>
      <c r="AK3489" s="54">
        <f>IF(AND(AJ3489=1,AH3489&lt;&gt;"",COUNTIFS($AH$2:AH3489,AH3489,$AJ$2:AJ3489,1)=1),N(AL3488)+1,"")</f>
        <v/>
      </c>
      <c r="AL3489" s="54">
        <f>IF(AK3489&lt;&gt;"",AK3489,N(AL3488))</f>
        <v/>
      </c>
    </row>
    <row r="3490">
      <c r="A3490" t="inlineStr">
        <is>
          <t>CON-1163</t>
        </is>
      </c>
      <c r="B3490" t="inlineStr">
        <is>
          <t>Consulting</t>
        </is>
      </c>
      <c r="AB3490" t="n">
        <v>1163</v>
      </c>
      <c r="AD3490" s="52">
        <f>IFERROR(N(IFERROR(INDEX($A3490:$AB3490,MATCH("Xero Invoiced Ex GST",$A$1:$AB$1,0)),"")),0)</f>
        <v/>
      </c>
      <c r="AE3490" s="53">
        <f>IFERROR(INDEX($A3490:$AB3490,MATCH("Xero Invoice Date",$A$1:$AB$1,0)),"")</f>
        <v/>
      </c>
      <c r="AF3490" s="54">
        <f>IF(AND(IFERROR(INDEX($A3490:$AB3490,MATCH("Xero Invoice No",$A$1:$AB$1,0)),"")&amp;""&lt;&gt;"",ISNUMBER(AE3490),AD3490&lt;&gt;0),1,0)</f>
        <v/>
      </c>
      <c r="AG3490" s="55">
        <f>IF(AF3490=1,EOMONTH(AE3490,0),"")</f>
        <v/>
      </c>
      <c r="AH3490" s="9">
        <f>IF(AF3490=1,UPPER(TRIM(IFERROR(INDEX($A3490:$AB3490,MATCH("Client",$A$1:$AB$1,0)),"")&amp;"")),"")</f>
        <v/>
      </c>
      <c r="AI3490" s="9">
        <f>IF(AF3490=1,IFERROR(INDEX($A3490:$AB3490,MATCH("Cost Centre",$A$1:$AB$1,0)),"")&amp;"","")</f>
        <v/>
      </c>
      <c r="AJ3490" s="54">
        <f>IF(AND(AF3490=1,AE3490&gt;=set_FYStart,AE3490&lt;=set_AsAt),1,0)</f>
        <v/>
      </c>
      <c r="AK3490" s="54">
        <f>IF(AND(AJ3490=1,AH3490&lt;&gt;"",COUNTIFS($AH$2:AH3490,AH3490,$AJ$2:AJ3490,1)=1),N(AL3489)+1,"")</f>
        <v/>
      </c>
      <c r="AL3490" s="54">
        <f>IF(AK3490&lt;&gt;"",AK3490,N(AL3489))</f>
        <v/>
      </c>
    </row>
    <row r="3491">
      <c r="A3491" t="inlineStr">
        <is>
          <t>ONS-1164</t>
        </is>
      </c>
      <c r="B3491" t="inlineStr">
        <is>
          <t>Onsite</t>
        </is>
      </c>
      <c r="AB3491" t="n">
        <v>1164</v>
      </c>
      <c r="AD3491" s="52">
        <f>IFERROR(N(IFERROR(INDEX($A3491:$AB3491,MATCH("Xero Invoiced Ex GST",$A$1:$AB$1,0)),"")),0)</f>
        <v/>
      </c>
      <c r="AE3491" s="53">
        <f>IFERROR(INDEX($A3491:$AB3491,MATCH("Xero Invoice Date",$A$1:$AB$1,0)),"")</f>
        <v/>
      </c>
      <c r="AF3491" s="54">
        <f>IF(AND(IFERROR(INDEX($A3491:$AB3491,MATCH("Xero Invoice No",$A$1:$AB$1,0)),"")&amp;""&lt;&gt;"",ISNUMBER(AE3491),AD3491&lt;&gt;0),1,0)</f>
        <v/>
      </c>
      <c r="AG3491" s="55">
        <f>IF(AF3491=1,EOMONTH(AE3491,0),"")</f>
        <v/>
      </c>
      <c r="AH3491" s="9">
        <f>IF(AF3491=1,UPPER(TRIM(IFERROR(INDEX($A3491:$AB3491,MATCH("Client",$A$1:$AB$1,0)),"")&amp;"")),"")</f>
        <v/>
      </c>
      <c r="AI3491" s="9">
        <f>IF(AF3491=1,IFERROR(INDEX($A3491:$AB3491,MATCH("Cost Centre",$A$1:$AB$1,0)),"")&amp;"","")</f>
        <v/>
      </c>
      <c r="AJ3491" s="54">
        <f>IF(AND(AF3491=1,AE3491&gt;=set_FYStart,AE3491&lt;=set_AsAt),1,0)</f>
        <v/>
      </c>
      <c r="AK3491" s="54">
        <f>IF(AND(AJ3491=1,AH3491&lt;&gt;"",COUNTIFS($AH$2:AH3491,AH3491,$AJ$2:AJ3491,1)=1),N(AL3490)+1,"")</f>
        <v/>
      </c>
      <c r="AL3491" s="54">
        <f>IF(AK3491&lt;&gt;"",AK3491,N(AL3490))</f>
        <v/>
      </c>
    </row>
    <row r="3492">
      <c r="A3492" t="inlineStr">
        <is>
          <t>PRD-1164</t>
        </is>
      </c>
      <c r="B3492" t="inlineStr">
        <is>
          <t>Production</t>
        </is>
      </c>
      <c r="AB3492" t="n">
        <v>1164</v>
      </c>
      <c r="AD3492" s="52">
        <f>IFERROR(N(IFERROR(INDEX($A3492:$AB3492,MATCH("Xero Invoiced Ex GST",$A$1:$AB$1,0)),"")),0)</f>
        <v/>
      </c>
      <c r="AE3492" s="53">
        <f>IFERROR(INDEX($A3492:$AB3492,MATCH("Xero Invoice Date",$A$1:$AB$1,0)),"")</f>
        <v/>
      </c>
      <c r="AF3492" s="54">
        <f>IF(AND(IFERROR(INDEX($A3492:$AB3492,MATCH("Xero Invoice No",$A$1:$AB$1,0)),"")&amp;""&lt;&gt;"",ISNUMBER(AE3492),AD3492&lt;&gt;0),1,0)</f>
        <v/>
      </c>
      <c r="AG3492" s="55">
        <f>IF(AF3492=1,EOMONTH(AE3492,0),"")</f>
        <v/>
      </c>
      <c r="AH3492" s="9">
        <f>IF(AF3492=1,UPPER(TRIM(IFERROR(INDEX($A3492:$AB3492,MATCH("Client",$A$1:$AB$1,0)),"")&amp;"")),"")</f>
        <v/>
      </c>
      <c r="AI3492" s="9">
        <f>IF(AF3492=1,IFERROR(INDEX($A3492:$AB3492,MATCH("Cost Centre",$A$1:$AB$1,0)),"")&amp;"","")</f>
        <v/>
      </c>
      <c r="AJ3492" s="54">
        <f>IF(AND(AF3492=1,AE3492&gt;=set_FYStart,AE3492&lt;=set_AsAt),1,0)</f>
        <v/>
      </c>
      <c r="AK3492" s="54">
        <f>IF(AND(AJ3492=1,AH3492&lt;&gt;"",COUNTIFS($AH$2:AH3492,AH3492,$AJ$2:AJ3492,1)=1),N(AL3491)+1,"")</f>
        <v/>
      </c>
      <c r="AL3492" s="54">
        <f>IF(AK3492&lt;&gt;"",AK3492,N(AL3491))</f>
        <v/>
      </c>
    </row>
    <row r="3493">
      <c r="A3493" t="inlineStr">
        <is>
          <t>CON-1164</t>
        </is>
      </c>
      <c r="B3493" t="inlineStr">
        <is>
          <t>Consulting</t>
        </is>
      </c>
      <c r="AB3493" t="n">
        <v>1164</v>
      </c>
      <c r="AD3493" s="52">
        <f>IFERROR(N(IFERROR(INDEX($A3493:$AB3493,MATCH("Xero Invoiced Ex GST",$A$1:$AB$1,0)),"")),0)</f>
        <v/>
      </c>
      <c r="AE3493" s="53">
        <f>IFERROR(INDEX($A3493:$AB3493,MATCH("Xero Invoice Date",$A$1:$AB$1,0)),"")</f>
        <v/>
      </c>
      <c r="AF3493" s="54">
        <f>IF(AND(IFERROR(INDEX($A3493:$AB3493,MATCH("Xero Invoice No",$A$1:$AB$1,0)),"")&amp;""&lt;&gt;"",ISNUMBER(AE3493),AD3493&lt;&gt;0),1,0)</f>
        <v/>
      </c>
      <c r="AG3493" s="55">
        <f>IF(AF3493=1,EOMONTH(AE3493,0),"")</f>
        <v/>
      </c>
      <c r="AH3493" s="9">
        <f>IF(AF3493=1,UPPER(TRIM(IFERROR(INDEX($A3493:$AB3493,MATCH("Client",$A$1:$AB$1,0)),"")&amp;"")),"")</f>
        <v/>
      </c>
      <c r="AI3493" s="9">
        <f>IF(AF3493=1,IFERROR(INDEX($A3493:$AB3493,MATCH("Cost Centre",$A$1:$AB$1,0)),"")&amp;"","")</f>
        <v/>
      </c>
      <c r="AJ3493" s="54">
        <f>IF(AND(AF3493=1,AE3493&gt;=set_FYStart,AE3493&lt;=set_AsAt),1,0)</f>
        <v/>
      </c>
      <c r="AK3493" s="54">
        <f>IF(AND(AJ3493=1,AH3493&lt;&gt;"",COUNTIFS($AH$2:AH3493,AH3493,$AJ$2:AJ3493,1)=1),N(AL3492)+1,"")</f>
        <v/>
      </c>
      <c r="AL3493" s="54">
        <f>IF(AK3493&lt;&gt;"",AK3493,N(AL3492))</f>
        <v/>
      </c>
    </row>
    <row r="3494">
      <c r="A3494" t="inlineStr">
        <is>
          <t>ONS-1165</t>
        </is>
      </c>
      <c r="B3494" t="inlineStr">
        <is>
          <t>Onsite</t>
        </is>
      </c>
      <c r="AB3494" t="n">
        <v>1165</v>
      </c>
      <c r="AD3494" s="52">
        <f>IFERROR(N(IFERROR(INDEX($A3494:$AB3494,MATCH("Xero Invoiced Ex GST",$A$1:$AB$1,0)),"")),0)</f>
        <v/>
      </c>
      <c r="AE3494" s="53">
        <f>IFERROR(INDEX($A3494:$AB3494,MATCH("Xero Invoice Date",$A$1:$AB$1,0)),"")</f>
        <v/>
      </c>
      <c r="AF3494" s="54">
        <f>IF(AND(IFERROR(INDEX($A3494:$AB3494,MATCH("Xero Invoice No",$A$1:$AB$1,0)),"")&amp;""&lt;&gt;"",ISNUMBER(AE3494),AD3494&lt;&gt;0),1,0)</f>
        <v/>
      </c>
      <c r="AG3494" s="55">
        <f>IF(AF3494=1,EOMONTH(AE3494,0),"")</f>
        <v/>
      </c>
      <c r="AH3494" s="9">
        <f>IF(AF3494=1,UPPER(TRIM(IFERROR(INDEX($A3494:$AB3494,MATCH("Client",$A$1:$AB$1,0)),"")&amp;"")),"")</f>
        <v/>
      </c>
      <c r="AI3494" s="9">
        <f>IF(AF3494=1,IFERROR(INDEX($A3494:$AB3494,MATCH("Cost Centre",$A$1:$AB$1,0)),"")&amp;"","")</f>
        <v/>
      </c>
      <c r="AJ3494" s="54">
        <f>IF(AND(AF3494=1,AE3494&gt;=set_FYStart,AE3494&lt;=set_AsAt),1,0)</f>
        <v/>
      </c>
      <c r="AK3494" s="54">
        <f>IF(AND(AJ3494=1,AH3494&lt;&gt;"",COUNTIFS($AH$2:AH3494,AH3494,$AJ$2:AJ3494,1)=1),N(AL3493)+1,"")</f>
        <v/>
      </c>
      <c r="AL3494" s="54">
        <f>IF(AK3494&lt;&gt;"",AK3494,N(AL3493))</f>
        <v/>
      </c>
    </row>
    <row r="3495">
      <c r="A3495" t="inlineStr">
        <is>
          <t>PRD-1165</t>
        </is>
      </c>
      <c r="B3495" t="inlineStr">
        <is>
          <t>Production</t>
        </is>
      </c>
      <c r="AB3495" t="n">
        <v>1165</v>
      </c>
      <c r="AD3495" s="52">
        <f>IFERROR(N(IFERROR(INDEX($A3495:$AB3495,MATCH("Xero Invoiced Ex GST",$A$1:$AB$1,0)),"")),0)</f>
        <v/>
      </c>
      <c r="AE3495" s="53">
        <f>IFERROR(INDEX($A3495:$AB3495,MATCH("Xero Invoice Date",$A$1:$AB$1,0)),"")</f>
        <v/>
      </c>
      <c r="AF3495" s="54">
        <f>IF(AND(IFERROR(INDEX($A3495:$AB3495,MATCH("Xero Invoice No",$A$1:$AB$1,0)),"")&amp;""&lt;&gt;"",ISNUMBER(AE3495),AD3495&lt;&gt;0),1,0)</f>
        <v/>
      </c>
      <c r="AG3495" s="55">
        <f>IF(AF3495=1,EOMONTH(AE3495,0),"")</f>
        <v/>
      </c>
      <c r="AH3495" s="9">
        <f>IF(AF3495=1,UPPER(TRIM(IFERROR(INDEX($A3495:$AB3495,MATCH("Client",$A$1:$AB$1,0)),"")&amp;"")),"")</f>
        <v/>
      </c>
      <c r="AI3495" s="9">
        <f>IF(AF3495=1,IFERROR(INDEX($A3495:$AB3495,MATCH("Cost Centre",$A$1:$AB$1,0)),"")&amp;"","")</f>
        <v/>
      </c>
      <c r="AJ3495" s="54">
        <f>IF(AND(AF3495=1,AE3495&gt;=set_FYStart,AE3495&lt;=set_AsAt),1,0)</f>
        <v/>
      </c>
      <c r="AK3495" s="54">
        <f>IF(AND(AJ3495=1,AH3495&lt;&gt;"",COUNTIFS($AH$2:AH3495,AH3495,$AJ$2:AJ3495,1)=1),N(AL3494)+1,"")</f>
        <v/>
      </c>
      <c r="AL3495" s="54">
        <f>IF(AK3495&lt;&gt;"",AK3495,N(AL3494))</f>
        <v/>
      </c>
    </row>
    <row r="3496">
      <c r="A3496" t="inlineStr">
        <is>
          <t>CON-1165</t>
        </is>
      </c>
      <c r="B3496" t="inlineStr">
        <is>
          <t>Consulting</t>
        </is>
      </c>
      <c r="AB3496" t="n">
        <v>1165</v>
      </c>
      <c r="AD3496" s="52">
        <f>IFERROR(N(IFERROR(INDEX($A3496:$AB3496,MATCH("Xero Invoiced Ex GST",$A$1:$AB$1,0)),"")),0)</f>
        <v/>
      </c>
      <c r="AE3496" s="53">
        <f>IFERROR(INDEX($A3496:$AB3496,MATCH("Xero Invoice Date",$A$1:$AB$1,0)),"")</f>
        <v/>
      </c>
      <c r="AF3496" s="54">
        <f>IF(AND(IFERROR(INDEX($A3496:$AB3496,MATCH("Xero Invoice No",$A$1:$AB$1,0)),"")&amp;""&lt;&gt;"",ISNUMBER(AE3496),AD3496&lt;&gt;0),1,0)</f>
        <v/>
      </c>
      <c r="AG3496" s="55">
        <f>IF(AF3496=1,EOMONTH(AE3496,0),"")</f>
        <v/>
      </c>
      <c r="AH3496" s="9">
        <f>IF(AF3496=1,UPPER(TRIM(IFERROR(INDEX($A3496:$AB3496,MATCH("Client",$A$1:$AB$1,0)),"")&amp;"")),"")</f>
        <v/>
      </c>
      <c r="AI3496" s="9">
        <f>IF(AF3496=1,IFERROR(INDEX($A3496:$AB3496,MATCH("Cost Centre",$A$1:$AB$1,0)),"")&amp;"","")</f>
        <v/>
      </c>
      <c r="AJ3496" s="54">
        <f>IF(AND(AF3496=1,AE3496&gt;=set_FYStart,AE3496&lt;=set_AsAt),1,0)</f>
        <v/>
      </c>
      <c r="AK3496" s="54">
        <f>IF(AND(AJ3496=1,AH3496&lt;&gt;"",COUNTIFS($AH$2:AH3496,AH3496,$AJ$2:AJ3496,1)=1),N(AL3495)+1,"")</f>
        <v/>
      </c>
      <c r="AL3496" s="54">
        <f>IF(AK3496&lt;&gt;"",AK3496,N(AL3495))</f>
        <v/>
      </c>
    </row>
    <row r="3497">
      <c r="A3497" t="inlineStr">
        <is>
          <t>ONS-1166</t>
        </is>
      </c>
      <c r="B3497" t="inlineStr">
        <is>
          <t>Onsite</t>
        </is>
      </c>
      <c r="AB3497" t="n">
        <v>1166</v>
      </c>
      <c r="AD3497" s="52">
        <f>IFERROR(N(IFERROR(INDEX($A3497:$AB3497,MATCH("Xero Invoiced Ex GST",$A$1:$AB$1,0)),"")),0)</f>
        <v/>
      </c>
      <c r="AE3497" s="53">
        <f>IFERROR(INDEX($A3497:$AB3497,MATCH("Xero Invoice Date",$A$1:$AB$1,0)),"")</f>
        <v/>
      </c>
      <c r="AF3497" s="54">
        <f>IF(AND(IFERROR(INDEX($A3497:$AB3497,MATCH("Xero Invoice No",$A$1:$AB$1,0)),"")&amp;""&lt;&gt;"",ISNUMBER(AE3497),AD3497&lt;&gt;0),1,0)</f>
        <v/>
      </c>
      <c r="AG3497" s="55">
        <f>IF(AF3497=1,EOMONTH(AE3497,0),"")</f>
        <v/>
      </c>
      <c r="AH3497" s="9">
        <f>IF(AF3497=1,UPPER(TRIM(IFERROR(INDEX($A3497:$AB3497,MATCH("Client",$A$1:$AB$1,0)),"")&amp;"")),"")</f>
        <v/>
      </c>
      <c r="AI3497" s="9">
        <f>IF(AF3497=1,IFERROR(INDEX($A3497:$AB3497,MATCH("Cost Centre",$A$1:$AB$1,0)),"")&amp;"","")</f>
        <v/>
      </c>
      <c r="AJ3497" s="54">
        <f>IF(AND(AF3497=1,AE3497&gt;=set_FYStart,AE3497&lt;=set_AsAt),1,0)</f>
        <v/>
      </c>
      <c r="AK3497" s="54">
        <f>IF(AND(AJ3497=1,AH3497&lt;&gt;"",COUNTIFS($AH$2:AH3497,AH3497,$AJ$2:AJ3497,1)=1),N(AL3496)+1,"")</f>
        <v/>
      </c>
      <c r="AL3497" s="54">
        <f>IF(AK3497&lt;&gt;"",AK3497,N(AL3496))</f>
        <v/>
      </c>
    </row>
    <row r="3498">
      <c r="A3498" t="inlineStr">
        <is>
          <t>PRD-1166</t>
        </is>
      </c>
      <c r="B3498" t="inlineStr">
        <is>
          <t>Production</t>
        </is>
      </c>
      <c r="AB3498" t="n">
        <v>1166</v>
      </c>
      <c r="AD3498" s="52">
        <f>IFERROR(N(IFERROR(INDEX($A3498:$AB3498,MATCH("Xero Invoiced Ex GST",$A$1:$AB$1,0)),"")),0)</f>
        <v/>
      </c>
      <c r="AE3498" s="53">
        <f>IFERROR(INDEX($A3498:$AB3498,MATCH("Xero Invoice Date",$A$1:$AB$1,0)),"")</f>
        <v/>
      </c>
      <c r="AF3498" s="54">
        <f>IF(AND(IFERROR(INDEX($A3498:$AB3498,MATCH("Xero Invoice No",$A$1:$AB$1,0)),"")&amp;""&lt;&gt;"",ISNUMBER(AE3498),AD3498&lt;&gt;0),1,0)</f>
        <v/>
      </c>
      <c r="AG3498" s="55">
        <f>IF(AF3498=1,EOMONTH(AE3498,0),"")</f>
        <v/>
      </c>
      <c r="AH3498" s="9">
        <f>IF(AF3498=1,UPPER(TRIM(IFERROR(INDEX($A3498:$AB3498,MATCH("Client",$A$1:$AB$1,0)),"")&amp;"")),"")</f>
        <v/>
      </c>
      <c r="AI3498" s="9">
        <f>IF(AF3498=1,IFERROR(INDEX($A3498:$AB3498,MATCH("Cost Centre",$A$1:$AB$1,0)),"")&amp;"","")</f>
        <v/>
      </c>
      <c r="AJ3498" s="54">
        <f>IF(AND(AF3498=1,AE3498&gt;=set_FYStart,AE3498&lt;=set_AsAt),1,0)</f>
        <v/>
      </c>
      <c r="AK3498" s="54">
        <f>IF(AND(AJ3498=1,AH3498&lt;&gt;"",COUNTIFS($AH$2:AH3498,AH3498,$AJ$2:AJ3498,1)=1),N(AL3497)+1,"")</f>
        <v/>
      </c>
      <c r="AL3498" s="54">
        <f>IF(AK3498&lt;&gt;"",AK3498,N(AL3497))</f>
        <v/>
      </c>
    </row>
    <row r="3499">
      <c r="A3499" t="inlineStr">
        <is>
          <t>CON-1166</t>
        </is>
      </c>
      <c r="B3499" t="inlineStr">
        <is>
          <t>Consulting</t>
        </is>
      </c>
      <c r="AB3499" t="n">
        <v>1166</v>
      </c>
      <c r="AD3499" s="52">
        <f>IFERROR(N(IFERROR(INDEX($A3499:$AB3499,MATCH("Xero Invoiced Ex GST",$A$1:$AB$1,0)),"")),0)</f>
        <v/>
      </c>
      <c r="AE3499" s="53">
        <f>IFERROR(INDEX($A3499:$AB3499,MATCH("Xero Invoice Date",$A$1:$AB$1,0)),"")</f>
        <v/>
      </c>
      <c r="AF3499" s="54">
        <f>IF(AND(IFERROR(INDEX($A3499:$AB3499,MATCH("Xero Invoice No",$A$1:$AB$1,0)),"")&amp;""&lt;&gt;"",ISNUMBER(AE3499),AD3499&lt;&gt;0),1,0)</f>
        <v/>
      </c>
      <c r="AG3499" s="55">
        <f>IF(AF3499=1,EOMONTH(AE3499,0),"")</f>
        <v/>
      </c>
      <c r="AH3499" s="9">
        <f>IF(AF3499=1,UPPER(TRIM(IFERROR(INDEX($A3499:$AB3499,MATCH("Client",$A$1:$AB$1,0)),"")&amp;"")),"")</f>
        <v/>
      </c>
      <c r="AI3499" s="9">
        <f>IF(AF3499=1,IFERROR(INDEX($A3499:$AB3499,MATCH("Cost Centre",$A$1:$AB$1,0)),"")&amp;"","")</f>
        <v/>
      </c>
      <c r="AJ3499" s="54">
        <f>IF(AND(AF3499=1,AE3499&gt;=set_FYStart,AE3499&lt;=set_AsAt),1,0)</f>
        <v/>
      </c>
      <c r="AK3499" s="54">
        <f>IF(AND(AJ3499=1,AH3499&lt;&gt;"",COUNTIFS($AH$2:AH3499,AH3499,$AJ$2:AJ3499,1)=1),N(AL3498)+1,"")</f>
        <v/>
      </c>
      <c r="AL3499" s="54">
        <f>IF(AK3499&lt;&gt;"",AK3499,N(AL3498))</f>
        <v/>
      </c>
    </row>
    <row r="3500">
      <c r="A3500" t="inlineStr">
        <is>
          <t>ONS-1167</t>
        </is>
      </c>
      <c r="B3500" t="inlineStr">
        <is>
          <t>Onsite</t>
        </is>
      </c>
      <c r="AB3500" t="n">
        <v>1167</v>
      </c>
      <c r="AD3500" s="52">
        <f>IFERROR(N(IFERROR(INDEX($A3500:$AB3500,MATCH("Xero Invoiced Ex GST",$A$1:$AB$1,0)),"")),0)</f>
        <v/>
      </c>
      <c r="AE3500" s="53">
        <f>IFERROR(INDEX($A3500:$AB3500,MATCH("Xero Invoice Date",$A$1:$AB$1,0)),"")</f>
        <v/>
      </c>
      <c r="AF3500" s="54">
        <f>IF(AND(IFERROR(INDEX($A3500:$AB3500,MATCH("Xero Invoice No",$A$1:$AB$1,0)),"")&amp;""&lt;&gt;"",ISNUMBER(AE3500),AD3500&lt;&gt;0),1,0)</f>
        <v/>
      </c>
      <c r="AG3500" s="55">
        <f>IF(AF3500=1,EOMONTH(AE3500,0),"")</f>
        <v/>
      </c>
      <c r="AH3500" s="9">
        <f>IF(AF3500=1,UPPER(TRIM(IFERROR(INDEX($A3500:$AB3500,MATCH("Client",$A$1:$AB$1,0)),"")&amp;"")),"")</f>
        <v/>
      </c>
      <c r="AI3500" s="9">
        <f>IF(AF3500=1,IFERROR(INDEX($A3500:$AB3500,MATCH("Cost Centre",$A$1:$AB$1,0)),"")&amp;"","")</f>
        <v/>
      </c>
      <c r="AJ3500" s="54">
        <f>IF(AND(AF3500=1,AE3500&gt;=set_FYStart,AE3500&lt;=set_AsAt),1,0)</f>
        <v/>
      </c>
      <c r="AK3500" s="54">
        <f>IF(AND(AJ3500=1,AH3500&lt;&gt;"",COUNTIFS($AH$2:AH3500,AH3500,$AJ$2:AJ3500,1)=1),N(AL3499)+1,"")</f>
        <v/>
      </c>
      <c r="AL3500" s="54">
        <f>IF(AK3500&lt;&gt;"",AK3500,N(AL3499))</f>
        <v/>
      </c>
    </row>
    <row r="3501">
      <c r="A3501" t="inlineStr">
        <is>
          <t>PRD-1167</t>
        </is>
      </c>
      <c r="B3501" t="inlineStr">
        <is>
          <t>Production</t>
        </is>
      </c>
      <c r="AB3501" t="n">
        <v>1167</v>
      </c>
      <c r="AD3501" s="52">
        <f>IFERROR(N(IFERROR(INDEX($A3501:$AB3501,MATCH("Xero Invoiced Ex GST",$A$1:$AB$1,0)),"")),0)</f>
        <v/>
      </c>
      <c r="AE3501" s="53">
        <f>IFERROR(INDEX($A3501:$AB3501,MATCH("Xero Invoice Date",$A$1:$AB$1,0)),"")</f>
        <v/>
      </c>
      <c r="AF3501" s="54">
        <f>IF(AND(IFERROR(INDEX($A3501:$AB3501,MATCH("Xero Invoice No",$A$1:$AB$1,0)),"")&amp;""&lt;&gt;"",ISNUMBER(AE3501),AD3501&lt;&gt;0),1,0)</f>
        <v/>
      </c>
      <c r="AG3501" s="55">
        <f>IF(AF3501=1,EOMONTH(AE3501,0),"")</f>
        <v/>
      </c>
      <c r="AH3501" s="9">
        <f>IF(AF3501=1,UPPER(TRIM(IFERROR(INDEX($A3501:$AB3501,MATCH("Client",$A$1:$AB$1,0)),"")&amp;"")),"")</f>
        <v/>
      </c>
      <c r="AI3501" s="9">
        <f>IF(AF3501=1,IFERROR(INDEX($A3501:$AB3501,MATCH("Cost Centre",$A$1:$AB$1,0)),"")&amp;"","")</f>
        <v/>
      </c>
      <c r="AJ3501" s="54">
        <f>IF(AND(AF3501=1,AE3501&gt;=set_FYStart,AE3501&lt;=set_AsAt),1,0)</f>
        <v/>
      </c>
      <c r="AK3501" s="54">
        <f>IF(AND(AJ3501=1,AH3501&lt;&gt;"",COUNTIFS($AH$2:AH3501,AH3501,$AJ$2:AJ3501,1)=1),N(AL3500)+1,"")</f>
        <v/>
      </c>
      <c r="AL3501" s="54">
        <f>IF(AK3501&lt;&gt;"",AK3501,N(AL3500))</f>
        <v/>
      </c>
    </row>
    <row r="3502">
      <c r="A3502" t="inlineStr">
        <is>
          <t>CON-1167</t>
        </is>
      </c>
      <c r="B3502" t="inlineStr">
        <is>
          <t>Consulting</t>
        </is>
      </c>
      <c r="AB3502" t="n">
        <v>1167</v>
      </c>
      <c r="AD3502" s="52">
        <f>IFERROR(N(IFERROR(INDEX($A3502:$AB3502,MATCH("Xero Invoiced Ex GST",$A$1:$AB$1,0)),"")),0)</f>
        <v/>
      </c>
      <c r="AE3502" s="53">
        <f>IFERROR(INDEX($A3502:$AB3502,MATCH("Xero Invoice Date",$A$1:$AB$1,0)),"")</f>
        <v/>
      </c>
      <c r="AF3502" s="54">
        <f>IF(AND(IFERROR(INDEX($A3502:$AB3502,MATCH("Xero Invoice No",$A$1:$AB$1,0)),"")&amp;""&lt;&gt;"",ISNUMBER(AE3502),AD3502&lt;&gt;0),1,0)</f>
        <v/>
      </c>
      <c r="AG3502" s="55">
        <f>IF(AF3502=1,EOMONTH(AE3502,0),"")</f>
        <v/>
      </c>
      <c r="AH3502" s="9">
        <f>IF(AF3502=1,UPPER(TRIM(IFERROR(INDEX($A3502:$AB3502,MATCH("Client",$A$1:$AB$1,0)),"")&amp;"")),"")</f>
        <v/>
      </c>
      <c r="AI3502" s="9">
        <f>IF(AF3502=1,IFERROR(INDEX($A3502:$AB3502,MATCH("Cost Centre",$A$1:$AB$1,0)),"")&amp;"","")</f>
        <v/>
      </c>
      <c r="AJ3502" s="54">
        <f>IF(AND(AF3502=1,AE3502&gt;=set_FYStart,AE3502&lt;=set_AsAt),1,0)</f>
        <v/>
      </c>
      <c r="AK3502" s="54">
        <f>IF(AND(AJ3502=1,AH3502&lt;&gt;"",COUNTIFS($AH$2:AH3502,AH3502,$AJ$2:AJ3502,1)=1),N(AL3501)+1,"")</f>
        <v/>
      </c>
      <c r="AL3502" s="54">
        <f>IF(AK3502&lt;&gt;"",AK3502,N(AL3501))</f>
        <v/>
      </c>
    </row>
    <row r="3503">
      <c r="A3503" t="inlineStr">
        <is>
          <t>ONS-1168</t>
        </is>
      </c>
      <c r="B3503" t="inlineStr">
        <is>
          <t>Onsite</t>
        </is>
      </c>
      <c r="AB3503" t="n">
        <v>1168</v>
      </c>
      <c r="AD3503" s="52">
        <f>IFERROR(N(IFERROR(INDEX($A3503:$AB3503,MATCH("Xero Invoiced Ex GST",$A$1:$AB$1,0)),"")),0)</f>
        <v/>
      </c>
      <c r="AE3503" s="53">
        <f>IFERROR(INDEX($A3503:$AB3503,MATCH("Xero Invoice Date",$A$1:$AB$1,0)),"")</f>
        <v/>
      </c>
      <c r="AF3503" s="54">
        <f>IF(AND(IFERROR(INDEX($A3503:$AB3503,MATCH("Xero Invoice No",$A$1:$AB$1,0)),"")&amp;""&lt;&gt;"",ISNUMBER(AE3503),AD3503&lt;&gt;0),1,0)</f>
        <v/>
      </c>
      <c r="AG3503" s="55">
        <f>IF(AF3503=1,EOMONTH(AE3503,0),"")</f>
        <v/>
      </c>
      <c r="AH3503" s="9">
        <f>IF(AF3503=1,UPPER(TRIM(IFERROR(INDEX($A3503:$AB3503,MATCH("Client",$A$1:$AB$1,0)),"")&amp;"")),"")</f>
        <v/>
      </c>
      <c r="AI3503" s="9">
        <f>IF(AF3503=1,IFERROR(INDEX($A3503:$AB3503,MATCH("Cost Centre",$A$1:$AB$1,0)),"")&amp;"","")</f>
        <v/>
      </c>
      <c r="AJ3503" s="54">
        <f>IF(AND(AF3503=1,AE3503&gt;=set_FYStart,AE3503&lt;=set_AsAt),1,0)</f>
        <v/>
      </c>
      <c r="AK3503" s="54">
        <f>IF(AND(AJ3503=1,AH3503&lt;&gt;"",COUNTIFS($AH$2:AH3503,AH3503,$AJ$2:AJ3503,1)=1),N(AL3502)+1,"")</f>
        <v/>
      </c>
      <c r="AL3503" s="54">
        <f>IF(AK3503&lt;&gt;"",AK3503,N(AL3502))</f>
        <v/>
      </c>
    </row>
    <row r="3504">
      <c r="A3504" t="inlineStr">
        <is>
          <t>PRD-1168</t>
        </is>
      </c>
      <c r="B3504" t="inlineStr">
        <is>
          <t>Production</t>
        </is>
      </c>
      <c r="AB3504" t="n">
        <v>1168</v>
      </c>
      <c r="AD3504" s="52">
        <f>IFERROR(N(IFERROR(INDEX($A3504:$AB3504,MATCH("Xero Invoiced Ex GST",$A$1:$AB$1,0)),"")),0)</f>
        <v/>
      </c>
      <c r="AE3504" s="53">
        <f>IFERROR(INDEX($A3504:$AB3504,MATCH("Xero Invoice Date",$A$1:$AB$1,0)),"")</f>
        <v/>
      </c>
      <c r="AF3504" s="54">
        <f>IF(AND(IFERROR(INDEX($A3504:$AB3504,MATCH("Xero Invoice No",$A$1:$AB$1,0)),"")&amp;""&lt;&gt;"",ISNUMBER(AE3504),AD3504&lt;&gt;0),1,0)</f>
        <v/>
      </c>
      <c r="AG3504" s="55">
        <f>IF(AF3504=1,EOMONTH(AE3504,0),"")</f>
        <v/>
      </c>
      <c r="AH3504" s="9">
        <f>IF(AF3504=1,UPPER(TRIM(IFERROR(INDEX($A3504:$AB3504,MATCH("Client",$A$1:$AB$1,0)),"")&amp;"")),"")</f>
        <v/>
      </c>
      <c r="AI3504" s="9">
        <f>IF(AF3504=1,IFERROR(INDEX($A3504:$AB3504,MATCH("Cost Centre",$A$1:$AB$1,0)),"")&amp;"","")</f>
        <v/>
      </c>
      <c r="AJ3504" s="54">
        <f>IF(AND(AF3504=1,AE3504&gt;=set_FYStart,AE3504&lt;=set_AsAt),1,0)</f>
        <v/>
      </c>
      <c r="AK3504" s="54">
        <f>IF(AND(AJ3504=1,AH3504&lt;&gt;"",COUNTIFS($AH$2:AH3504,AH3504,$AJ$2:AJ3504,1)=1),N(AL3503)+1,"")</f>
        <v/>
      </c>
      <c r="AL3504" s="54">
        <f>IF(AK3504&lt;&gt;"",AK3504,N(AL3503))</f>
        <v/>
      </c>
    </row>
    <row r="3505">
      <c r="A3505" t="inlineStr">
        <is>
          <t>CON-1168</t>
        </is>
      </c>
      <c r="B3505" t="inlineStr">
        <is>
          <t>Consulting</t>
        </is>
      </c>
      <c r="AB3505" t="n">
        <v>1168</v>
      </c>
      <c r="AD3505" s="52">
        <f>IFERROR(N(IFERROR(INDEX($A3505:$AB3505,MATCH("Xero Invoiced Ex GST",$A$1:$AB$1,0)),"")),0)</f>
        <v/>
      </c>
      <c r="AE3505" s="53">
        <f>IFERROR(INDEX($A3505:$AB3505,MATCH("Xero Invoice Date",$A$1:$AB$1,0)),"")</f>
        <v/>
      </c>
      <c r="AF3505" s="54">
        <f>IF(AND(IFERROR(INDEX($A3505:$AB3505,MATCH("Xero Invoice No",$A$1:$AB$1,0)),"")&amp;""&lt;&gt;"",ISNUMBER(AE3505),AD3505&lt;&gt;0),1,0)</f>
        <v/>
      </c>
      <c r="AG3505" s="55">
        <f>IF(AF3505=1,EOMONTH(AE3505,0),"")</f>
        <v/>
      </c>
      <c r="AH3505" s="9">
        <f>IF(AF3505=1,UPPER(TRIM(IFERROR(INDEX($A3505:$AB3505,MATCH("Client",$A$1:$AB$1,0)),"")&amp;"")),"")</f>
        <v/>
      </c>
      <c r="AI3505" s="9">
        <f>IF(AF3505=1,IFERROR(INDEX($A3505:$AB3505,MATCH("Cost Centre",$A$1:$AB$1,0)),"")&amp;"","")</f>
        <v/>
      </c>
      <c r="AJ3505" s="54">
        <f>IF(AND(AF3505=1,AE3505&gt;=set_FYStart,AE3505&lt;=set_AsAt),1,0)</f>
        <v/>
      </c>
      <c r="AK3505" s="54">
        <f>IF(AND(AJ3505=1,AH3505&lt;&gt;"",COUNTIFS($AH$2:AH3505,AH3505,$AJ$2:AJ3505,1)=1),N(AL3504)+1,"")</f>
        <v/>
      </c>
      <c r="AL3505" s="54">
        <f>IF(AK3505&lt;&gt;"",AK3505,N(AL3504))</f>
        <v/>
      </c>
    </row>
    <row r="3506">
      <c r="A3506" t="inlineStr">
        <is>
          <t>ONS-1169</t>
        </is>
      </c>
      <c r="B3506" t="inlineStr">
        <is>
          <t>Onsite</t>
        </is>
      </c>
      <c r="AB3506" t="n">
        <v>1169</v>
      </c>
      <c r="AD3506" s="52">
        <f>IFERROR(N(IFERROR(INDEX($A3506:$AB3506,MATCH("Xero Invoiced Ex GST",$A$1:$AB$1,0)),"")),0)</f>
        <v/>
      </c>
      <c r="AE3506" s="53">
        <f>IFERROR(INDEX($A3506:$AB3506,MATCH("Xero Invoice Date",$A$1:$AB$1,0)),"")</f>
        <v/>
      </c>
      <c r="AF3506" s="54">
        <f>IF(AND(IFERROR(INDEX($A3506:$AB3506,MATCH("Xero Invoice No",$A$1:$AB$1,0)),"")&amp;""&lt;&gt;"",ISNUMBER(AE3506),AD3506&lt;&gt;0),1,0)</f>
        <v/>
      </c>
      <c r="AG3506" s="55">
        <f>IF(AF3506=1,EOMONTH(AE3506,0),"")</f>
        <v/>
      </c>
      <c r="AH3506" s="9">
        <f>IF(AF3506=1,UPPER(TRIM(IFERROR(INDEX($A3506:$AB3506,MATCH("Client",$A$1:$AB$1,0)),"")&amp;"")),"")</f>
        <v/>
      </c>
      <c r="AI3506" s="9">
        <f>IF(AF3506=1,IFERROR(INDEX($A3506:$AB3506,MATCH("Cost Centre",$A$1:$AB$1,0)),"")&amp;"","")</f>
        <v/>
      </c>
      <c r="AJ3506" s="54">
        <f>IF(AND(AF3506=1,AE3506&gt;=set_FYStart,AE3506&lt;=set_AsAt),1,0)</f>
        <v/>
      </c>
      <c r="AK3506" s="54">
        <f>IF(AND(AJ3506=1,AH3506&lt;&gt;"",COUNTIFS($AH$2:AH3506,AH3506,$AJ$2:AJ3506,1)=1),N(AL3505)+1,"")</f>
        <v/>
      </c>
      <c r="AL3506" s="54">
        <f>IF(AK3506&lt;&gt;"",AK3506,N(AL3505))</f>
        <v/>
      </c>
    </row>
    <row r="3507">
      <c r="A3507" t="inlineStr">
        <is>
          <t>PRD-1169</t>
        </is>
      </c>
      <c r="B3507" t="inlineStr">
        <is>
          <t>Production</t>
        </is>
      </c>
      <c r="AB3507" t="n">
        <v>1169</v>
      </c>
      <c r="AD3507" s="52">
        <f>IFERROR(N(IFERROR(INDEX($A3507:$AB3507,MATCH("Xero Invoiced Ex GST",$A$1:$AB$1,0)),"")),0)</f>
        <v/>
      </c>
      <c r="AE3507" s="53">
        <f>IFERROR(INDEX($A3507:$AB3507,MATCH("Xero Invoice Date",$A$1:$AB$1,0)),"")</f>
        <v/>
      </c>
      <c r="AF3507" s="54">
        <f>IF(AND(IFERROR(INDEX($A3507:$AB3507,MATCH("Xero Invoice No",$A$1:$AB$1,0)),"")&amp;""&lt;&gt;"",ISNUMBER(AE3507),AD3507&lt;&gt;0),1,0)</f>
        <v/>
      </c>
      <c r="AG3507" s="55">
        <f>IF(AF3507=1,EOMONTH(AE3507,0),"")</f>
        <v/>
      </c>
      <c r="AH3507" s="9">
        <f>IF(AF3507=1,UPPER(TRIM(IFERROR(INDEX($A3507:$AB3507,MATCH("Client",$A$1:$AB$1,0)),"")&amp;"")),"")</f>
        <v/>
      </c>
      <c r="AI3507" s="9">
        <f>IF(AF3507=1,IFERROR(INDEX($A3507:$AB3507,MATCH("Cost Centre",$A$1:$AB$1,0)),"")&amp;"","")</f>
        <v/>
      </c>
      <c r="AJ3507" s="54">
        <f>IF(AND(AF3507=1,AE3507&gt;=set_FYStart,AE3507&lt;=set_AsAt),1,0)</f>
        <v/>
      </c>
      <c r="AK3507" s="54">
        <f>IF(AND(AJ3507=1,AH3507&lt;&gt;"",COUNTIFS($AH$2:AH3507,AH3507,$AJ$2:AJ3507,1)=1),N(AL3506)+1,"")</f>
        <v/>
      </c>
      <c r="AL3507" s="54">
        <f>IF(AK3507&lt;&gt;"",AK3507,N(AL3506))</f>
        <v/>
      </c>
    </row>
    <row r="3508">
      <c r="A3508" t="inlineStr">
        <is>
          <t>CON-1169</t>
        </is>
      </c>
      <c r="B3508" t="inlineStr">
        <is>
          <t>Consulting</t>
        </is>
      </c>
      <c r="AB3508" t="n">
        <v>1169</v>
      </c>
      <c r="AD3508" s="52">
        <f>IFERROR(N(IFERROR(INDEX($A3508:$AB3508,MATCH("Xero Invoiced Ex GST",$A$1:$AB$1,0)),"")),0)</f>
        <v/>
      </c>
      <c r="AE3508" s="53">
        <f>IFERROR(INDEX($A3508:$AB3508,MATCH("Xero Invoice Date",$A$1:$AB$1,0)),"")</f>
        <v/>
      </c>
      <c r="AF3508" s="54">
        <f>IF(AND(IFERROR(INDEX($A3508:$AB3508,MATCH("Xero Invoice No",$A$1:$AB$1,0)),"")&amp;""&lt;&gt;"",ISNUMBER(AE3508),AD3508&lt;&gt;0),1,0)</f>
        <v/>
      </c>
      <c r="AG3508" s="55">
        <f>IF(AF3508=1,EOMONTH(AE3508,0),"")</f>
        <v/>
      </c>
      <c r="AH3508" s="9">
        <f>IF(AF3508=1,UPPER(TRIM(IFERROR(INDEX($A3508:$AB3508,MATCH("Client",$A$1:$AB$1,0)),"")&amp;"")),"")</f>
        <v/>
      </c>
      <c r="AI3508" s="9">
        <f>IF(AF3508=1,IFERROR(INDEX($A3508:$AB3508,MATCH("Cost Centre",$A$1:$AB$1,0)),"")&amp;"","")</f>
        <v/>
      </c>
      <c r="AJ3508" s="54">
        <f>IF(AND(AF3508=1,AE3508&gt;=set_FYStart,AE3508&lt;=set_AsAt),1,0)</f>
        <v/>
      </c>
      <c r="AK3508" s="54">
        <f>IF(AND(AJ3508=1,AH3508&lt;&gt;"",COUNTIFS($AH$2:AH3508,AH3508,$AJ$2:AJ3508,1)=1),N(AL3507)+1,"")</f>
        <v/>
      </c>
      <c r="AL3508" s="54">
        <f>IF(AK3508&lt;&gt;"",AK3508,N(AL3507))</f>
        <v/>
      </c>
    </row>
    <row r="3509">
      <c r="A3509" t="inlineStr">
        <is>
          <t>ONS-1170</t>
        </is>
      </c>
      <c r="B3509" t="inlineStr">
        <is>
          <t>Onsite</t>
        </is>
      </c>
      <c r="AB3509" t="n">
        <v>1170</v>
      </c>
      <c r="AD3509" s="52">
        <f>IFERROR(N(IFERROR(INDEX($A3509:$AB3509,MATCH("Xero Invoiced Ex GST",$A$1:$AB$1,0)),"")),0)</f>
        <v/>
      </c>
      <c r="AE3509" s="53">
        <f>IFERROR(INDEX($A3509:$AB3509,MATCH("Xero Invoice Date",$A$1:$AB$1,0)),"")</f>
        <v/>
      </c>
      <c r="AF3509" s="54">
        <f>IF(AND(IFERROR(INDEX($A3509:$AB3509,MATCH("Xero Invoice No",$A$1:$AB$1,0)),"")&amp;""&lt;&gt;"",ISNUMBER(AE3509),AD3509&lt;&gt;0),1,0)</f>
        <v/>
      </c>
      <c r="AG3509" s="55">
        <f>IF(AF3509=1,EOMONTH(AE3509,0),"")</f>
        <v/>
      </c>
      <c r="AH3509" s="9">
        <f>IF(AF3509=1,UPPER(TRIM(IFERROR(INDEX($A3509:$AB3509,MATCH("Client",$A$1:$AB$1,0)),"")&amp;"")),"")</f>
        <v/>
      </c>
      <c r="AI3509" s="9">
        <f>IF(AF3509=1,IFERROR(INDEX($A3509:$AB3509,MATCH("Cost Centre",$A$1:$AB$1,0)),"")&amp;"","")</f>
        <v/>
      </c>
      <c r="AJ3509" s="54">
        <f>IF(AND(AF3509=1,AE3509&gt;=set_FYStart,AE3509&lt;=set_AsAt),1,0)</f>
        <v/>
      </c>
      <c r="AK3509" s="54">
        <f>IF(AND(AJ3509=1,AH3509&lt;&gt;"",COUNTIFS($AH$2:AH3509,AH3509,$AJ$2:AJ3509,1)=1),N(AL3508)+1,"")</f>
        <v/>
      </c>
      <c r="AL3509" s="54">
        <f>IF(AK3509&lt;&gt;"",AK3509,N(AL3508))</f>
        <v/>
      </c>
    </row>
    <row r="3510">
      <c r="A3510" t="inlineStr">
        <is>
          <t>PRD-1170</t>
        </is>
      </c>
      <c r="B3510" t="inlineStr">
        <is>
          <t>Production</t>
        </is>
      </c>
      <c r="AB3510" t="n">
        <v>1170</v>
      </c>
      <c r="AD3510" s="52">
        <f>IFERROR(N(IFERROR(INDEX($A3510:$AB3510,MATCH("Xero Invoiced Ex GST",$A$1:$AB$1,0)),"")),0)</f>
        <v/>
      </c>
      <c r="AE3510" s="53">
        <f>IFERROR(INDEX($A3510:$AB3510,MATCH("Xero Invoice Date",$A$1:$AB$1,0)),"")</f>
        <v/>
      </c>
      <c r="AF3510" s="54">
        <f>IF(AND(IFERROR(INDEX($A3510:$AB3510,MATCH("Xero Invoice No",$A$1:$AB$1,0)),"")&amp;""&lt;&gt;"",ISNUMBER(AE3510),AD3510&lt;&gt;0),1,0)</f>
        <v/>
      </c>
      <c r="AG3510" s="55">
        <f>IF(AF3510=1,EOMONTH(AE3510,0),"")</f>
        <v/>
      </c>
      <c r="AH3510" s="9">
        <f>IF(AF3510=1,UPPER(TRIM(IFERROR(INDEX($A3510:$AB3510,MATCH("Client",$A$1:$AB$1,0)),"")&amp;"")),"")</f>
        <v/>
      </c>
      <c r="AI3510" s="9">
        <f>IF(AF3510=1,IFERROR(INDEX($A3510:$AB3510,MATCH("Cost Centre",$A$1:$AB$1,0)),"")&amp;"","")</f>
        <v/>
      </c>
      <c r="AJ3510" s="54">
        <f>IF(AND(AF3510=1,AE3510&gt;=set_FYStart,AE3510&lt;=set_AsAt),1,0)</f>
        <v/>
      </c>
      <c r="AK3510" s="54">
        <f>IF(AND(AJ3510=1,AH3510&lt;&gt;"",COUNTIFS($AH$2:AH3510,AH3510,$AJ$2:AJ3510,1)=1),N(AL3509)+1,"")</f>
        <v/>
      </c>
      <c r="AL3510" s="54">
        <f>IF(AK3510&lt;&gt;"",AK3510,N(AL3509))</f>
        <v/>
      </c>
    </row>
    <row r="3511">
      <c r="A3511" t="inlineStr">
        <is>
          <t>CON-1170</t>
        </is>
      </c>
      <c r="B3511" t="inlineStr">
        <is>
          <t>Consulting</t>
        </is>
      </c>
      <c r="AB3511" t="n">
        <v>1170</v>
      </c>
      <c r="AD3511" s="52">
        <f>IFERROR(N(IFERROR(INDEX($A3511:$AB3511,MATCH("Xero Invoiced Ex GST",$A$1:$AB$1,0)),"")),0)</f>
        <v/>
      </c>
      <c r="AE3511" s="53">
        <f>IFERROR(INDEX($A3511:$AB3511,MATCH("Xero Invoice Date",$A$1:$AB$1,0)),"")</f>
        <v/>
      </c>
      <c r="AF3511" s="54">
        <f>IF(AND(IFERROR(INDEX($A3511:$AB3511,MATCH("Xero Invoice No",$A$1:$AB$1,0)),"")&amp;""&lt;&gt;"",ISNUMBER(AE3511),AD3511&lt;&gt;0),1,0)</f>
        <v/>
      </c>
      <c r="AG3511" s="55">
        <f>IF(AF3511=1,EOMONTH(AE3511,0),"")</f>
        <v/>
      </c>
      <c r="AH3511" s="9">
        <f>IF(AF3511=1,UPPER(TRIM(IFERROR(INDEX($A3511:$AB3511,MATCH("Client",$A$1:$AB$1,0)),"")&amp;"")),"")</f>
        <v/>
      </c>
      <c r="AI3511" s="9">
        <f>IF(AF3511=1,IFERROR(INDEX($A3511:$AB3511,MATCH("Cost Centre",$A$1:$AB$1,0)),"")&amp;"","")</f>
        <v/>
      </c>
      <c r="AJ3511" s="54">
        <f>IF(AND(AF3511=1,AE3511&gt;=set_FYStart,AE3511&lt;=set_AsAt),1,0)</f>
        <v/>
      </c>
      <c r="AK3511" s="54">
        <f>IF(AND(AJ3511=1,AH3511&lt;&gt;"",COUNTIFS($AH$2:AH3511,AH3511,$AJ$2:AJ3511,1)=1),N(AL3510)+1,"")</f>
        <v/>
      </c>
      <c r="AL3511" s="54">
        <f>IF(AK3511&lt;&gt;"",AK3511,N(AL3510))</f>
        <v/>
      </c>
    </row>
    <row r="3512">
      <c r="A3512" t="inlineStr">
        <is>
          <t>ONS-1171</t>
        </is>
      </c>
      <c r="B3512" t="inlineStr">
        <is>
          <t>Onsite</t>
        </is>
      </c>
      <c r="AB3512" t="n">
        <v>1171</v>
      </c>
      <c r="AD3512" s="52">
        <f>IFERROR(N(IFERROR(INDEX($A3512:$AB3512,MATCH("Xero Invoiced Ex GST",$A$1:$AB$1,0)),"")),0)</f>
        <v/>
      </c>
      <c r="AE3512" s="53">
        <f>IFERROR(INDEX($A3512:$AB3512,MATCH("Xero Invoice Date",$A$1:$AB$1,0)),"")</f>
        <v/>
      </c>
      <c r="AF3512" s="54">
        <f>IF(AND(IFERROR(INDEX($A3512:$AB3512,MATCH("Xero Invoice No",$A$1:$AB$1,0)),"")&amp;""&lt;&gt;"",ISNUMBER(AE3512),AD3512&lt;&gt;0),1,0)</f>
        <v/>
      </c>
      <c r="AG3512" s="55">
        <f>IF(AF3512=1,EOMONTH(AE3512,0),"")</f>
        <v/>
      </c>
      <c r="AH3512" s="9">
        <f>IF(AF3512=1,UPPER(TRIM(IFERROR(INDEX($A3512:$AB3512,MATCH("Client",$A$1:$AB$1,0)),"")&amp;"")),"")</f>
        <v/>
      </c>
      <c r="AI3512" s="9">
        <f>IF(AF3512=1,IFERROR(INDEX($A3512:$AB3512,MATCH("Cost Centre",$A$1:$AB$1,0)),"")&amp;"","")</f>
        <v/>
      </c>
      <c r="AJ3512" s="54">
        <f>IF(AND(AF3512=1,AE3512&gt;=set_FYStart,AE3512&lt;=set_AsAt),1,0)</f>
        <v/>
      </c>
      <c r="AK3512" s="54">
        <f>IF(AND(AJ3512=1,AH3512&lt;&gt;"",COUNTIFS($AH$2:AH3512,AH3512,$AJ$2:AJ3512,1)=1),N(AL3511)+1,"")</f>
        <v/>
      </c>
      <c r="AL3512" s="54">
        <f>IF(AK3512&lt;&gt;"",AK3512,N(AL3511))</f>
        <v/>
      </c>
    </row>
    <row r="3513">
      <c r="A3513" t="inlineStr">
        <is>
          <t>PRD-1171</t>
        </is>
      </c>
      <c r="B3513" t="inlineStr">
        <is>
          <t>Production</t>
        </is>
      </c>
      <c r="AB3513" t="n">
        <v>1171</v>
      </c>
      <c r="AD3513" s="52">
        <f>IFERROR(N(IFERROR(INDEX($A3513:$AB3513,MATCH("Xero Invoiced Ex GST",$A$1:$AB$1,0)),"")),0)</f>
        <v/>
      </c>
      <c r="AE3513" s="53">
        <f>IFERROR(INDEX($A3513:$AB3513,MATCH("Xero Invoice Date",$A$1:$AB$1,0)),"")</f>
        <v/>
      </c>
      <c r="AF3513" s="54">
        <f>IF(AND(IFERROR(INDEX($A3513:$AB3513,MATCH("Xero Invoice No",$A$1:$AB$1,0)),"")&amp;""&lt;&gt;"",ISNUMBER(AE3513),AD3513&lt;&gt;0),1,0)</f>
        <v/>
      </c>
      <c r="AG3513" s="55">
        <f>IF(AF3513=1,EOMONTH(AE3513,0),"")</f>
        <v/>
      </c>
      <c r="AH3513" s="9">
        <f>IF(AF3513=1,UPPER(TRIM(IFERROR(INDEX($A3513:$AB3513,MATCH("Client",$A$1:$AB$1,0)),"")&amp;"")),"")</f>
        <v/>
      </c>
      <c r="AI3513" s="9">
        <f>IF(AF3513=1,IFERROR(INDEX($A3513:$AB3513,MATCH("Cost Centre",$A$1:$AB$1,0)),"")&amp;"","")</f>
        <v/>
      </c>
      <c r="AJ3513" s="54">
        <f>IF(AND(AF3513=1,AE3513&gt;=set_FYStart,AE3513&lt;=set_AsAt),1,0)</f>
        <v/>
      </c>
      <c r="AK3513" s="54">
        <f>IF(AND(AJ3513=1,AH3513&lt;&gt;"",COUNTIFS($AH$2:AH3513,AH3513,$AJ$2:AJ3513,1)=1),N(AL3512)+1,"")</f>
        <v/>
      </c>
      <c r="AL3513" s="54">
        <f>IF(AK3513&lt;&gt;"",AK3513,N(AL3512))</f>
        <v/>
      </c>
    </row>
    <row r="3514">
      <c r="A3514" t="inlineStr">
        <is>
          <t>CON-1171</t>
        </is>
      </c>
      <c r="B3514" t="inlineStr">
        <is>
          <t>Consulting</t>
        </is>
      </c>
      <c r="AB3514" t="n">
        <v>1171</v>
      </c>
      <c r="AD3514" s="52">
        <f>IFERROR(N(IFERROR(INDEX($A3514:$AB3514,MATCH("Xero Invoiced Ex GST",$A$1:$AB$1,0)),"")),0)</f>
        <v/>
      </c>
      <c r="AE3514" s="53">
        <f>IFERROR(INDEX($A3514:$AB3514,MATCH("Xero Invoice Date",$A$1:$AB$1,0)),"")</f>
        <v/>
      </c>
      <c r="AF3514" s="54">
        <f>IF(AND(IFERROR(INDEX($A3514:$AB3514,MATCH("Xero Invoice No",$A$1:$AB$1,0)),"")&amp;""&lt;&gt;"",ISNUMBER(AE3514),AD3514&lt;&gt;0),1,0)</f>
        <v/>
      </c>
      <c r="AG3514" s="55">
        <f>IF(AF3514=1,EOMONTH(AE3514,0),"")</f>
        <v/>
      </c>
      <c r="AH3514" s="9">
        <f>IF(AF3514=1,UPPER(TRIM(IFERROR(INDEX($A3514:$AB3514,MATCH("Client",$A$1:$AB$1,0)),"")&amp;"")),"")</f>
        <v/>
      </c>
      <c r="AI3514" s="9">
        <f>IF(AF3514=1,IFERROR(INDEX($A3514:$AB3514,MATCH("Cost Centre",$A$1:$AB$1,0)),"")&amp;"","")</f>
        <v/>
      </c>
      <c r="AJ3514" s="54">
        <f>IF(AND(AF3514=1,AE3514&gt;=set_FYStart,AE3514&lt;=set_AsAt),1,0)</f>
        <v/>
      </c>
      <c r="AK3514" s="54">
        <f>IF(AND(AJ3514=1,AH3514&lt;&gt;"",COUNTIFS($AH$2:AH3514,AH3514,$AJ$2:AJ3514,1)=1),N(AL3513)+1,"")</f>
        <v/>
      </c>
      <c r="AL3514" s="54">
        <f>IF(AK3514&lt;&gt;"",AK3514,N(AL3513))</f>
        <v/>
      </c>
    </row>
    <row r="3515">
      <c r="A3515" t="inlineStr">
        <is>
          <t>ONS-1172</t>
        </is>
      </c>
      <c r="B3515" t="inlineStr">
        <is>
          <t>Onsite</t>
        </is>
      </c>
      <c r="AB3515" t="n">
        <v>1172</v>
      </c>
      <c r="AD3515" s="52">
        <f>IFERROR(N(IFERROR(INDEX($A3515:$AB3515,MATCH("Xero Invoiced Ex GST",$A$1:$AB$1,0)),"")),0)</f>
        <v/>
      </c>
      <c r="AE3515" s="53">
        <f>IFERROR(INDEX($A3515:$AB3515,MATCH("Xero Invoice Date",$A$1:$AB$1,0)),"")</f>
        <v/>
      </c>
      <c r="AF3515" s="54">
        <f>IF(AND(IFERROR(INDEX($A3515:$AB3515,MATCH("Xero Invoice No",$A$1:$AB$1,0)),"")&amp;""&lt;&gt;"",ISNUMBER(AE3515),AD3515&lt;&gt;0),1,0)</f>
        <v/>
      </c>
      <c r="AG3515" s="55">
        <f>IF(AF3515=1,EOMONTH(AE3515,0),"")</f>
        <v/>
      </c>
      <c r="AH3515" s="9">
        <f>IF(AF3515=1,UPPER(TRIM(IFERROR(INDEX($A3515:$AB3515,MATCH("Client",$A$1:$AB$1,0)),"")&amp;"")),"")</f>
        <v/>
      </c>
      <c r="AI3515" s="9">
        <f>IF(AF3515=1,IFERROR(INDEX($A3515:$AB3515,MATCH("Cost Centre",$A$1:$AB$1,0)),"")&amp;"","")</f>
        <v/>
      </c>
      <c r="AJ3515" s="54">
        <f>IF(AND(AF3515=1,AE3515&gt;=set_FYStart,AE3515&lt;=set_AsAt),1,0)</f>
        <v/>
      </c>
      <c r="AK3515" s="54">
        <f>IF(AND(AJ3515=1,AH3515&lt;&gt;"",COUNTIFS($AH$2:AH3515,AH3515,$AJ$2:AJ3515,1)=1),N(AL3514)+1,"")</f>
        <v/>
      </c>
      <c r="AL3515" s="54">
        <f>IF(AK3515&lt;&gt;"",AK3515,N(AL3514))</f>
        <v/>
      </c>
    </row>
    <row r="3516">
      <c r="A3516" t="inlineStr">
        <is>
          <t>PRD-1172</t>
        </is>
      </c>
      <c r="B3516" t="inlineStr">
        <is>
          <t>Production</t>
        </is>
      </c>
      <c r="AB3516" t="n">
        <v>1172</v>
      </c>
      <c r="AD3516" s="52">
        <f>IFERROR(N(IFERROR(INDEX($A3516:$AB3516,MATCH("Xero Invoiced Ex GST",$A$1:$AB$1,0)),"")),0)</f>
        <v/>
      </c>
      <c r="AE3516" s="53">
        <f>IFERROR(INDEX($A3516:$AB3516,MATCH("Xero Invoice Date",$A$1:$AB$1,0)),"")</f>
        <v/>
      </c>
      <c r="AF3516" s="54">
        <f>IF(AND(IFERROR(INDEX($A3516:$AB3516,MATCH("Xero Invoice No",$A$1:$AB$1,0)),"")&amp;""&lt;&gt;"",ISNUMBER(AE3516),AD3516&lt;&gt;0),1,0)</f>
        <v/>
      </c>
      <c r="AG3516" s="55">
        <f>IF(AF3516=1,EOMONTH(AE3516,0),"")</f>
        <v/>
      </c>
      <c r="AH3516" s="9">
        <f>IF(AF3516=1,UPPER(TRIM(IFERROR(INDEX($A3516:$AB3516,MATCH("Client",$A$1:$AB$1,0)),"")&amp;"")),"")</f>
        <v/>
      </c>
      <c r="AI3516" s="9">
        <f>IF(AF3516=1,IFERROR(INDEX($A3516:$AB3516,MATCH("Cost Centre",$A$1:$AB$1,0)),"")&amp;"","")</f>
        <v/>
      </c>
      <c r="AJ3516" s="54">
        <f>IF(AND(AF3516=1,AE3516&gt;=set_FYStart,AE3516&lt;=set_AsAt),1,0)</f>
        <v/>
      </c>
      <c r="AK3516" s="54">
        <f>IF(AND(AJ3516=1,AH3516&lt;&gt;"",COUNTIFS($AH$2:AH3516,AH3516,$AJ$2:AJ3516,1)=1),N(AL3515)+1,"")</f>
        <v/>
      </c>
      <c r="AL3516" s="54">
        <f>IF(AK3516&lt;&gt;"",AK3516,N(AL3515))</f>
        <v/>
      </c>
    </row>
    <row r="3517">
      <c r="A3517" t="inlineStr">
        <is>
          <t>CON-1172</t>
        </is>
      </c>
      <c r="B3517" t="inlineStr">
        <is>
          <t>Consulting</t>
        </is>
      </c>
      <c r="AB3517" t="n">
        <v>1172</v>
      </c>
      <c r="AD3517" s="52">
        <f>IFERROR(N(IFERROR(INDEX($A3517:$AB3517,MATCH("Xero Invoiced Ex GST",$A$1:$AB$1,0)),"")),0)</f>
        <v/>
      </c>
      <c r="AE3517" s="53">
        <f>IFERROR(INDEX($A3517:$AB3517,MATCH("Xero Invoice Date",$A$1:$AB$1,0)),"")</f>
        <v/>
      </c>
      <c r="AF3517" s="54">
        <f>IF(AND(IFERROR(INDEX($A3517:$AB3517,MATCH("Xero Invoice No",$A$1:$AB$1,0)),"")&amp;""&lt;&gt;"",ISNUMBER(AE3517),AD3517&lt;&gt;0),1,0)</f>
        <v/>
      </c>
      <c r="AG3517" s="55">
        <f>IF(AF3517=1,EOMONTH(AE3517,0),"")</f>
        <v/>
      </c>
      <c r="AH3517" s="9">
        <f>IF(AF3517=1,UPPER(TRIM(IFERROR(INDEX($A3517:$AB3517,MATCH("Client",$A$1:$AB$1,0)),"")&amp;"")),"")</f>
        <v/>
      </c>
      <c r="AI3517" s="9">
        <f>IF(AF3517=1,IFERROR(INDEX($A3517:$AB3517,MATCH("Cost Centre",$A$1:$AB$1,0)),"")&amp;"","")</f>
        <v/>
      </c>
      <c r="AJ3517" s="54">
        <f>IF(AND(AF3517=1,AE3517&gt;=set_FYStart,AE3517&lt;=set_AsAt),1,0)</f>
        <v/>
      </c>
      <c r="AK3517" s="54">
        <f>IF(AND(AJ3517=1,AH3517&lt;&gt;"",COUNTIFS($AH$2:AH3517,AH3517,$AJ$2:AJ3517,1)=1),N(AL3516)+1,"")</f>
        <v/>
      </c>
      <c r="AL3517" s="54">
        <f>IF(AK3517&lt;&gt;"",AK3517,N(AL3516))</f>
        <v/>
      </c>
    </row>
    <row r="3518">
      <c r="A3518" t="inlineStr">
        <is>
          <t>ONS-1173</t>
        </is>
      </c>
      <c r="B3518" t="inlineStr">
        <is>
          <t>Onsite</t>
        </is>
      </c>
      <c r="AB3518" t="n">
        <v>1173</v>
      </c>
      <c r="AD3518" s="52">
        <f>IFERROR(N(IFERROR(INDEX($A3518:$AB3518,MATCH("Xero Invoiced Ex GST",$A$1:$AB$1,0)),"")),0)</f>
        <v/>
      </c>
      <c r="AE3518" s="53">
        <f>IFERROR(INDEX($A3518:$AB3518,MATCH("Xero Invoice Date",$A$1:$AB$1,0)),"")</f>
        <v/>
      </c>
      <c r="AF3518" s="54">
        <f>IF(AND(IFERROR(INDEX($A3518:$AB3518,MATCH("Xero Invoice No",$A$1:$AB$1,0)),"")&amp;""&lt;&gt;"",ISNUMBER(AE3518),AD3518&lt;&gt;0),1,0)</f>
        <v/>
      </c>
      <c r="AG3518" s="55">
        <f>IF(AF3518=1,EOMONTH(AE3518,0),"")</f>
        <v/>
      </c>
      <c r="AH3518" s="9">
        <f>IF(AF3518=1,UPPER(TRIM(IFERROR(INDEX($A3518:$AB3518,MATCH("Client",$A$1:$AB$1,0)),"")&amp;"")),"")</f>
        <v/>
      </c>
      <c r="AI3518" s="9">
        <f>IF(AF3518=1,IFERROR(INDEX($A3518:$AB3518,MATCH("Cost Centre",$A$1:$AB$1,0)),"")&amp;"","")</f>
        <v/>
      </c>
      <c r="AJ3518" s="54">
        <f>IF(AND(AF3518=1,AE3518&gt;=set_FYStart,AE3518&lt;=set_AsAt),1,0)</f>
        <v/>
      </c>
      <c r="AK3518" s="54">
        <f>IF(AND(AJ3518=1,AH3518&lt;&gt;"",COUNTIFS($AH$2:AH3518,AH3518,$AJ$2:AJ3518,1)=1),N(AL3517)+1,"")</f>
        <v/>
      </c>
      <c r="AL3518" s="54">
        <f>IF(AK3518&lt;&gt;"",AK3518,N(AL3517))</f>
        <v/>
      </c>
    </row>
    <row r="3519">
      <c r="A3519" t="inlineStr">
        <is>
          <t>PRD-1173</t>
        </is>
      </c>
      <c r="B3519" t="inlineStr">
        <is>
          <t>Production</t>
        </is>
      </c>
      <c r="AB3519" t="n">
        <v>1173</v>
      </c>
      <c r="AD3519" s="52">
        <f>IFERROR(N(IFERROR(INDEX($A3519:$AB3519,MATCH("Xero Invoiced Ex GST",$A$1:$AB$1,0)),"")),0)</f>
        <v/>
      </c>
      <c r="AE3519" s="53">
        <f>IFERROR(INDEX($A3519:$AB3519,MATCH("Xero Invoice Date",$A$1:$AB$1,0)),"")</f>
        <v/>
      </c>
      <c r="AF3519" s="54">
        <f>IF(AND(IFERROR(INDEX($A3519:$AB3519,MATCH("Xero Invoice No",$A$1:$AB$1,0)),"")&amp;""&lt;&gt;"",ISNUMBER(AE3519),AD3519&lt;&gt;0),1,0)</f>
        <v/>
      </c>
      <c r="AG3519" s="55">
        <f>IF(AF3519=1,EOMONTH(AE3519,0),"")</f>
        <v/>
      </c>
      <c r="AH3519" s="9">
        <f>IF(AF3519=1,UPPER(TRIM(IFERROR(INDEX($A3519:$AB3519,MATCH("Client",$A$1:$AB$1,0)),"")&amp;"")),"")</f>
        <v/>
      </c>
      <c r="AI3519" s="9">
        <f>IF(AF3519=1,IFERROR(INDEX($A3519:$AB3519,MATCH("Cost Centre",$A$1:$AB$1,0)),"")&amp;"","")</f>
        <v/>
      </c>
      <c r="AJ3519" s="54">
        <f>IF(AND(AF3519=1,AE3519&gt;=set_FYStart,AE3519&lt;=set_AsAt),1,0)</f>
        <v/>
      </c>
      <c r="AK3519" s="54">
        <f>IF(AND(AJ3519=1,AH3519&lt;&gt;"",COUNTIFS($AH$2:AH3519,AH3519,$AJ$2:AJ3519,1)=1),N(AL3518)+1,"")</f>
        <v/>
      </c>
      <c r="AL3519" s="54">
        <f>IF(AK3519&lt;&gt;"",AK3519,N(AL3518))</f>
        <v/>
      </c>
    </row>
    <row r="3520">
      <c r="A3520" t="inlineStr">
        <is>
          <t>CON-1173</t>
        </is>
      </c>
      <c r="B3520" t="inlineStr">
        <is>
          <t>Consulting</t>
        </is>
      </c>
      <c r="AB3520" t="n">
        <v>1173</v>
      </c>
      <c r="AD3520" s="52">
        <f>IFERROR(N(IFERROR(INDEX($A3520:$AB3520,MATCH("Xero Invoiced Ex GST",$A$1:$AB$1,0)),"")),0)</f>
        <v/>
      </c>
      <c r="AE3520" s="53">
        <f>IFERROR(INDEX($A3520:$AB3520,MATCH("Xero Invoice Date",$A$1:$AB$1,0)),"")</f>
        <v/>
      </c>
      <c r="AF3520" s="54">
        <f>IF(AND(IFERROR(INDEX($A3520:$AB3520,MATCH("Xero Invoice No",$A$1:$AB$1,0)),"")&amp;""&lt;&gt;"",ISNUMBER(AE3520),AD3520&lt;&gt;0),1,0)</f>
        <v/>
      </c>
      <c r="AG3520" s="55">
        <f>IF(AF3520=1,EOMONTH(AE3520,0),"")</f>
        <v/>
      </c>
      <c r="AH3520" s="9">
        <f>IF(AF3520=1,UPPER(TRIM(IFERROR(INDEX($A3520:$AB3520,MATCH("Client",$A$1:$AB$1,0)),"")&amp;"")),"")</f>
        <v/>
      </c>
      <c r="AI3520" s="9">
        <f>IF(AF3520=1,IFERROR(INDEX($A3520:$AB3520,MATCH("Cost Centre",$A$1:$AB$1,0)),"")&amp;"","")</f>
        <v/>
      </c>
      <c r="AJ3520" s="54">
        <f>IF(AND(AF3520=1,AE3520&gt;=set_FYStart,AE3520&lt;=set_AsAt),1,0)</f>
        <v/>
      </c>
      <c r="AK3520" s="54">
        <f>IF(AND(AJ3520=1,AH3520&lt;&gt;"",COUNTIFS($AH$2:AH3520,AH3520,$AJ$2:AJ3520,1)=1),N(AL3519)+1,"")</f>
        <v/>
      </c>
      <c r="AL3520" s="54">
        <f>IF(AK3520&lt;&gt;"",AK3520,N(AL3519))</f>
        <v/>
      </c>
    </row>
    <row r="3521">
      <c r="A3521" t="inlineStr">
        <is>
          <t>ONS-1174</t>
        </is>
      </c>
      <c r="B3521" t="inlineStr">
        <is>
          <t>Onsite</t>
        </is>
      </c>
      <c r="AB3521" t="n">
        <v>1174</v>
      </c>
      <c r="AD3521" s="52">
        <f>IFERROR(N(IFERROR(INDEX($A3521:$AB3521,MATCH("Xero Invoiced Ex GST",$A$1:$AB$1,0)),"")),0)</f>
        <v/>
      </c>
      <c r="AE3521" s="53">
        <f>IFERROR(INDEX($A3521:$AB3521,MATCH("Xero Invoice Date",$A$1:$AB$1,0)),"")</f>
        <v/>
      </c>
      <c r="AF3521" s="54">
        <f>IF(AND(IFERROR(INDEX($A3521:$AB3521,MATCH("Xero Invoice No",$A$1:$AB$1,0)),"")&amp;""&lt;&gt;"",ISNUMBER(AE3521),AD3521&lt;&gt;0),1,0)</f>
        <v/>
      </c>
      <c r="AG3521" s="55">
        <f>IF(AF3521=1,EOMONTH(AE3521,0),"")</f>
        <v/>
      </c>
      <c r="AH3521" s="9">
        <f>IF(AF3521=1,UPPER(TRIM(IFERROR(INDEX($A3521:$AB3521,MATCH("Client",$A$1:$AB$1,0)),"")&amp;"")),"")</f>
        <v/>
      </c>
      <c r="AI3521" s="9">
        <f>IF(AF3521=1,IFERROR(INDEX($A3521:$AB3521,MATCH("Cost Centre",$A$1:$AB$1,0)),"")&amp;"","")</f>
        <v/>
      </c>
      <c r="AJ3521" s="54">
        <f>IF(AND(AF3521=1,AE3521&gt;=set_FYStart,AE3521&lt;=set_AsAt),1,0)</f>
        <v/>
      </c>
      <c r="AK3521" s="54">
        <f>IF(AND(AJ3521=1,AH3521&lt;&gt;"",COUNTIFS($AH$2:AH3521,AH3521,$AJ$2:AJ3521,1)=1),N(AL3520)+1,"")</f>
        <v/>
      </c>
      <c r="AL3521" s="54">
        <f>IF(AK3521&lt;&gt;"",AK3521,N(AL3520))</f>
        <v/>
      </c>
    </row>
    <row r="3522">
      <c r="A3522" t="inlineStr">
        <is>
          <t>PRD-1174</t>
        </is>
      </c>
      <c r="B3522" t="inlineStr">
        <is>
          <t>Production</t>
        </is>
      </c>
      <c r="AB3522" t="n">
        <v>1174</v>
      </c>
      <c r="AD3522" s="52">
        <f>IFERROR(N(IFERROR(INDEX($A3522:$AB3522,MATCH("Xero Invoiced Ex GST",$A$1:$AB$1,0)),"")),0)</f>
        <v/>
      </c>
      <c r="AE3522" s="53">
        <f>IFERROR(INDEX($A3522:$AB3522,MATCH("Xero Invoice Date",$A$1:$AB$1,0)),"")</f>
        <v/>
      </c>
      <c r="AF3522" s="54">
        <f>IF(AND(IFERROR(INDEX($A3522:$AB3522,MATCH("Xero Invoice No",$A$1:$AB$1,0)),"")&amp;""&lt;&gt;"",ISNUMBER(AE3522),AD3522&lt;&gt;0),1,0)</f>
        <v/>
      </c>
      <c r="AG3522" s="55">
        <f>IF(AF3522=1,EOMONTH(AE3522,0),"")</f>
        <v/>
      </c>
      <c r="AH3522" s="9">
        <f>IF(AF3522=1,UPPER(TRIM(IFERROR(INDEX($A3522:$AB3522,MATCH("Client",$A$1:$AB$1,0)),"")&amp;"")),"")</f>
        <v/>
      </c>
      <c r="AI3522" s="9">
        <f>IF(AF3522=1,IFERROR(INDEX($A3522:$AB3522,MATCH("Cost Centre",$A$1:$AB$1,0)),"")&amp;"","")</f>
        <v/>
      </c>
      <c r="AJ3522" s="54">
        <f>IF(AND(AF3522=1,AE3522&gt;=set_FYStart,AE3522&lt;=set_AsAt),1,0)</f>
        <v/>
      </c>
      <c r="AK3522" s="54">
        <f>IF(AND(AJ3522=1,AH3522&lt;&gt;"",COUNTIFS($AH$2:AH3522,AH3522,$AJ$2:AJ3522,1)=1),N(AL3521)+1,"")</f>
        <v/>
      </c>
      <c r="AL3522" s="54">
        <f>IF(AK3522&lt;&gt;"",AK3522,N(AL3521))</f>
        <v/>
      </c>
    </row>
    <row r="3523">
      <c r="A3523" t="inlineStr">
        <is>
          <t>CON-1174</t>
        </is>
      </c>
      <c r="B3523" t="inlineStr">
        <is>
          <t>Consulting</t>
        </is>
      </c>
      <c r="AB3523" t="n">
        <v>1174</v>
      </c>
      <c r="AD3523" s="52">
        <f>IFERROR(N(IFERROR(INDEX($A3523:$AB3523,MATCH("Xero Invoiced Ex GST",$A$1:$AB$1,0)),"")),0)</f>
        <v/>
      </c>
      <c r="AE3523" s="53">
        <f>IFERROR(INDEX($A3523:$AB3523,MATCH("Xero Invoice Date",$A$1:$AB$1,0)),"")</f>
        <v/>
      </c>
      <c r="AF3523" s="54">
        <f>IF(AND(IFERROR(INDEX($A3523:$AB3523,MATCH("Xero Invoice No",$A$1:$AB$1,0)),"")&amp;""&lt;&gt;"",ISNUMBER(AE3523),AD3523&lt;&gt;0),1,0)</f>
        <v/>
      </c>
      <c r="AG3523" s="55">
        <f>IF(AF3523=1,EOMONTH(AE3523,0),"")</f>
        <v/>
      </c>
      <c r="AH3523" s="9">
        <f>IF(AF3523=1,UPPER(TRIM(IFERROR(INDEX($A3523:$AB3523,MATCH("Client",$A$1:$AB$1,0)),"")&amp;"")),"")</f>
        <v/>
      </c>
      <c r="AI3523" s="9">
        <f>IF(AF3523=1,IFERROR(INDEX($A3523:$AB3523,MATCH("Cost Centre",$A$1:$AB$1,0)),"")&amp;"","")</f>
        <v/>
      </c>
      <c r="AJ3523" s="54">
        <f>IF(AND(AF3523=1,AE3523&gt;=set_FYStart,AE3523&lt;=set_AsAt),1,0)</f>
        <v/>
      </c>
      <c r="AK3523" s="54">
        <f>IF(AND(AJ3523=1,AH3523&lt;&gt;"",COUNTIFS($AH$2:AH3523,AH3523,$AJ$2:AJ3523,1)=1),N(AL3522)+1,"")</f>
        <v/>
      </c>
      <c r="AL3523" s="54">
        <f>IF(AK3523&lt;&gt;"",AK3523,N(AL3522))</f>
        <v/>
      </c>
    </row>
    <row r="3524">
      <c r="A3524" t="inlineStr">
        <is>
          <t>ONS-1175</t>
        </is>
      </c>
      <c r="B3524" t="inlineStr">
        <is>
          <t>Onsite</t>
        </is>
      </c>
      <c r="AB3524" t="n">
        <v>1175</v>
      </c>
      <c r="AD3524" s="52">
        <f>IFERROR(N(IFERROR(INDEX($A3524:$AB3524,MATCH("Xero Invoiced Ex GST",$A$1:$AB$1,0)),"")),0)</f>
        <v/>
      </c>
      <c r="AE3524" s="53">
        <f>IFERROR(INDEX($A3524:$AB3524,MATCH("Xero Invoice Date",$A$1:$AB$1,0)),"")</f>
        <v/>
      </c>
      <c r="AF3524" s="54">
        <f>IF(AND(IFERROR(INDEX($A3524:$AB3524,MATCH("Xero Invoice No",$A$1:$AB$1,0)),"")&amp;""&lt;&gt;"",ISNUMBER(AE3524),AD3524&lt;&gt;0),1,0)</f>
        <v/>
      </c>
      <c r="AG3524" s="55">
        <f>IF(AF3524=1,EOMONTH(AE3524,0),"")</f>
        <v/>
      </c>
      <c r="AH3524" s="9">
        <f>IF(AF3524=1,UPPER(TRIM(IFERROR(INDEX($A3524:$AB3524,MATCH("Client",$A$1:$AB$1,0)),"")&amp;"")),"")</f>
        <v/>
      </c>
      <c r="AI3524" s="9">
        <f>IF(AF3524=1,IFERROR(INDEX($A3524:$AB3524,MATCH("Cost Centre",$A$1:$AB$1,0)),"")&amp;"","")</f>
        <v/>
      </c>
      <c r="AJ3524" s="54">
        <f>IF(AND(AF3524=1,AE3524&gt;=set_FYStart,AE3524&lt;=set_AsAt),1,0)</f>
        <v/>
      </c>
      <c r="AK3524" s="54">
        <f>IF(AND(AJ3524=1,AH3524&lt;&gt;"",COUNTIFS($AH$2:AH3524,AH3524,$AJ$2:AJ3524,1)=1),N(AL3523)+1,"")</f>
        <v/>
      </c>
      <c r="AL3524" s="54">
        <f>IF(AK3524&lt;&gt;"",AK3524,N(AL3523))</f>
        <v/>
      </c>
    </row>
    <row r="3525">
      <c r="A3525" t="inlineStr">
        <is>
          <t>PRD-1175</t>
        </is>
      </c>
      <c r="B3525" t="inlineStr">
        <is>
          <t>Production</t>
        </is>
      </c>
      <c r="AB3525" t="n">
        <v>1175</v>
      </c>
      <c r="AD3525" s="52">
        <f>IFERROR(N(IFERROR(INDEX($A3525:$AB3525,MATCH("Xero Invoiced Ex GST",$A$1:$AB$1,0)),"")),0)</f>
        <v/>
      </c>
      <c r="AE3525" s="53">
        <f>IFERROR(INDEX($A3525:$AB3525,MATCH("Xero Invoice Date",$A$1:$AB$1,0)),"")</f>
        <v/>
      </c>
      <c r="AF3525" s="54">
        <f>IF(AND(IFERROR(INDEX($A3525:$AB3525,MATCH("Xero Invoice No",$A$1:$AB$1,0)),"")&amp;""&lt;&gt;"",ISNUMBER(AE3525),AD3525&lt;&gt;0),1,0)</f>
        <v/>
      </c>
      <c r="AG3525" s="55">
        <f>IF(AF3525=1,EOMONTH(AE3525,0),"")</f>
        <v/>
      </c>
      <c r="AH3525" s="9">
        <f>IF(AF3525=1,UPPER(TRIM(IFERROR(INDEX($A3525:$AB3525,MATCH("Client",$A$1:$AB$1,0)),"")&amp;"")),"")</f>
        <v/>
      </c>
      <c r="AI3525" s="9">
        <f>IF(AF3525=1,IFERROR(INDEX($A3525:$AB3525,MATCH("Cost Centre",$A$1:$AB$1,0)),"")&amp;"","")</f>
        <v/>
      </c>
      <c r="AJ3525" s="54">
        <f>IF(AND(AF3525=1,AE3525&gt;=set_FYStart,AE3525&lt;=set_AsAt),1,0)</f>
        <v/>
      </c>
      <c r="AK3525" s="54">
        <f>IF(AND(AJ3525=1,AH3525&lt;&gt;"",COUNTIFS($AH$2:AH3525,AH3525,$AJ$2:AJ3525,1)=1),N(AL3524)+1,"")</f>
        <v/>
      </c>
      <c r="AL3525" s="54">
        <f>IF(AK3525&lt;&gt;"",AK3525,N(AL3524))</f>
        <v/>
      </c>
    </row>
    <row r="3526">
      <c r="A3526" t="inlineStr">
        <is>
          <t>CON-1175</t>
        </is>
      </c>
      <c r="B3526" t="inlineStr">
        <is>
          <t>Consulting</t>
        </is>
      </c>
      <c r="AB3526" t="n">
        <v>1175</v>
      </c>
      <c r="AD3526" s="52">
        <f>IFERROR(N(IFERROR(INDEX($A3526:$AB3526,MATCH("Xero Invoiced Ex GST",$A$1:$AB$1,0)),"")),0)</f>
        <v/>
      </c>
      <c r="AE3526" s="53">
        <f>IFERROR(INDEX($A3526:$AB3526,MATCH("Xero Invoice Date",$A$1:$AB$1,0)),"")</f>
        <v/>
      </c>
      <c r="AF3526" s="54">
        <f>IF(AND(IFERROR(INDEX($A3526:$AB3526,MATCH("Xero Invoice No",$A$1:$AB$1,0)),"")&amp;""&lt;&gt;"",ISNUMBER(AE3526),AD3526&lt;&gt;0),1,0)</f>
        <v/>
      </c>
      <c r="AG3526" s="55">
        <f>IF(AF3526=1,EOMONTH(AE3526,0),"")</f>
        <v/>
      </c>
      <c r="AH3526" s="9">
        <f>IF(AF3526=1,UPPER(TRIM(IFERROR(INDEX($A3526:$AB3526,MATCH("Client",$A$1:$AB$1,0)),"")&amp;"")),"")</f>
        <v/>
      </c>
      <c r="AI3526" s="9">
        <f>IF(AF3526=1,IFERROR(INDEX($A3526:$AB3526,MATCH("Cost Centre",$A$1:$AB$1,0)),"")&amp;"","")</f>
        <v/>
      </c>
      <c r="AJ3526" s="54">
        <f>IF(AND(AF3526=1,AE3526&gt;=set_FYStart,AE3526&lt;=set_AsAt),1,0)</f>
        <v/>
      </c>
      <c r="AK3526" s="54">
        <f>IF(AND(AJ3526=1,AH3526&lt;&gt;"",COUNTIFS($AH$2:AH3526,AH3526,$AJ$2:AJ3526,1)=1),N(AL3525)+1,"")</f>
        <v/>
      </c>
      <c r="AL3526" s="54">
        <f>IF(AK3526&lt;&gt;"",AK3526,N(AL3525))</f>
        <v/>
      </c>
    </row>
    <row r="3527">
      <c r="A3527" t="inlineStr">
        <is>
          <t>ONS-1176</t>
        </is>
      </c>
      <c r="B3527" t="inlineStr">
        <is>
          <t>Onsite</t>
        </is>
      </c>
      <c r="AB3527" t="n">
        <v>1176</v>
      </c>
      <c r="AD3527" s="52">
        <f>IFERROR(N(IFERROR(INDEX($A3527:$AB3527,MATCH("Xero Invoiced Ex GST",$A$1:$AB$1,0)),"")),0)</f>
        <v/>
      </c>
      <c r="AE3527" s="53">
        <f>IFERROR(INDEX($A3527:$AB3527,MATCH("Xero Invoice Date",$A$1:$AB$1,0)),"")</f>
        <v/>
      </c>
      <c r="AF3527" s="54">
        <f>IF(AND(IFERROR(INDEX($A3527:$AB3527,MATCH("Xero Invoice No",$A$1:$AB$1,0)),"")&amp;""&lt;&gt;"",ISNUMBER(AE3527),AD3527&lt;&gt;0),1,0)</f>
        <v/>
      </c>
      <c r="AG3527" s="55">
        <f>IF(AF3527=1,EOMONTH(AE3527,0),"")</f>
        <v/>
      </c>
      <c r="AH3527" s="9">
        <f>IF(AF3527=1,UPPER(TRIM(IFERROR(INDEX($A3527:$AB3527,MATCH("Client",$A$1:$AB$1,0)),"")&amp;"")),"")</f>
        <v/>
      </c>
      <c r="AI3527" s="9">
        <f>IF(AF3527=1,IFERROR(INDEX($A3527:$AB3527,MATCH("Cost Centre",$A$1:$AB$1,0)),"")&amp;"","")</f>
        <v/>
      </c>
      <c r="AJ3527" s="54">
        <f>IF(AND(AF3527=1,AE3527&gt;=set_FYStart,AE3527&lt;=set_AsAt),1,0)</f>
        <v/>
      </c>
      <c r="AK3527" s="54">
        <f>IF(AND(AJ3527=1,AH3527&lt;&gt;"",COUNTIFS($AH$2:AH3527,AH3527,$AJ$2:AJ3527,1)=1),N(AL3526)+1,"")</f>
        <v/>
      </c>
      <c r="AL3527" s="54">
        <f>IF(AK3527&lt;&gt;"",AK3527,N(AL3526))</f>
        <v/>
      </c>
    </row>
    <row r="3528">
      <c r="A3528" t="inlineStr">
        <is>
          <t>PRD-1176</t>
        </is>
      </c>
      <c r="B3528" t="inlineStr">
        <is>
          <t>Production</t>
        </is>
      </c>
      <c r="AB3528" t="n">
        <v>1176</v>
      </c>
      <c r="AD3528" s="52">
        <f>IFERROR(N(IFERROR(INDEX($A3528:$AB3528,MATCH("Xero Invoiced Ex GST",$A$1:$AB$1,0)),"")),0)</f>
        <v/>
      </c>
      <c r="AE3528" s="53">
        <f>IFERROR(INDEX($A3528:$AB3528,MATCH("Xero Invoice Date",$A$1:$AB$1,0)),"")</f>
        <v/>
      </c>
      <c r="AF3528" s="54">
        <f>IF(AND(IFERROR(INDEX($A3528:$AB3528,MATCH("Xero Invoice No",$A$1:$AB$1,0)),"")&amp;""&lt;&gt;"",ISNUMBER(AE3528),AD3528&lt;&gt;0),1,0)</f>
        <v/>
      </c>
      <c r="AG3528" s="55">
        <f>IF(AF3528=1,EOMONTH(AE3528,0),"")</f>
        <v/>
      </c>
      <c r="AH3528" s="9">
        <f>IF(AF3528=1,UPPER(TRIM(IFERROR(INDEX($A3528:$AB3528,MATCH("Client",$A$1:$AB$1,0)),"")&amp;"")),"")</f>
        <v/>
      </c>
      <c r="AI3528" s="9">
        <f>IF(AF3528=1,IFERROR(INDEX($A3528:$AB3528,MATCH("Cost Centre",$A$1:$AB$1,0)),"")&amp;"","")</f>
        <v/>
      </c>
      <c r="AJ3528" s="54">
        <f>IF(AND(AF3528=1,AE3528&gt;=set_FYStart,AE3528&lt;=set_AsAt),1,0)</f>
        <v/>
      </c>
      <c r="AK3528" s="54">
        <f>IF(AND(AJ3528=1,AH3528&lt;&gt;"",COUNTIFS($AH$2:AH3528,AH3528,$AJ$2:AJ3528,1)=1),N(AL3527)+1,"")</f>
        <v/>
      </c>
      <c r="AL3528" s="54">
        <f>IF(AK3528&lt;&gt;"",AK3528,N(AL3527))</f>
        <v/>
      </c>
    </row>
    <row r="3529">
      <c r="A3529" t="inlineStr">
        <is>
          <t>CON-1176</t>
        </is>
      </c>
      <c r="B3529" t="inlineStr">
        <is>
          <t>Consulting</t>
        </is>
      </c>
      <c r="AB3529" t="n">
        <v>1176</v>
      </c>
      <c r="AD3529" s="52">
        <f>IFERROR(N(IFERROR(INDEX($A3529:$AB3529,MATCH("Xero Invoiced Ex GST",$A$1:$AB$1,0)),"")),0)</f>
        <v/>
      </c>
      <c r="AE3529" s="53">
        <f>IFERROR(INDEX($A3529:$AB3529,MATCH("Xero Invoice Date",$A$1:$AB$1,0)),"")</f>
        <v/>
      </c>
      <c r="AF3529" s="54">
        <f>IF(AND(IFERROR(INDEX($A3529:$AB3529,MATCH("Xero Invoice No",$A$1:$AB$1,0)),"")&amp;""&lt;&gt;"",ISNUMBER(AE3529),AD3529&lt;&gt;0),1,0)</f>
        <v/>
      </c>
      <c r="AG3529" s="55">
        <f>IF(AF3529=1,EOMONTH(AE3529,0),"")</f>
        <v/>
      </c>
      <c r="AH3529" s="9">
        <f>IF(AF3529=1,UPPER(TRIM(IFERROR(INDEX($A3529:$AB3529,MATCH("Client",$A$1:$AB$1,0)),"")&amp;"")),"")</f>
        <v/>
      </c>
      <c r="AI3529" s="9">
        <f>IF(AF3529=1,IFERROR(INDEX($A3529:$AB3529,MATCH("Cost Centre",$A$1:$AB$1,0)),"")&amp;"","")</f>
        <v/>
      </c>
      <c r="AJ3529" s="54">
        <f>IF(AND(AF3529=1,AE3529&gt;=set_FYStart,AE3529&lt;=set_AsAt),1,0)</f>
        <v/>
      </c>
      <c r="AK3529" s="54">
        <f>IF(AND(AJ3529=1,AH3529&lt;&gt;"",COUNTIFS($AH$2:AH3529,AH3529,$AJ$2:AJ3529,1)=1),N(AL3528)+1,"")</f>
        <v/>
      </c>
      <c r="AL3529" s="54">
        <f>IF(AK3529&lt;&gt;"",AK3529,N(AL3528))</f>
        <v/>
      </c>
    </row>
    <row r="3530">
      <c r="A3530" t="inlineStr">
        <is>
          <t>ONS-1177</t>
        </is>
      </c>
      <c r="B3530" t="inlineStr">
        <is>
          <t>Onsite</t>
        </is>
      </c>
      <c r="AB3530" t="n">
        <v>1177</v>
      </c>
      <c r="AD3530" s="52">
        <f>IFERROR(N(IFERROR(INDEX($A3530:$AB3530,MATCH("Xero Invoiced Ex GST",$A$1:$AB$1,0)),"")),0)</f>
        <v/>
      </c>
      <c r="AE3530" s="53">
        <f>IFERROR(INDEX($A3530:$AB3530,MATCH("Xero Invoice Date",$A$1:$AB$1,0)),"")</f>
        <v/>
      </c>
      <c r="AF3530" s="54">
        <f>IF(AND(IFERROR(INDEX($A3530:$AB3530,MATCH("Xero Invoice No",$A$1:$AB$1,0)),"")&amp;""&lt;&gt;"",ISNUMBER(AE3530),AD3530&lt;&gt;0),1,0)</f>
        <v/>
      </c>
      <c r="AG3530" s="55">
        <f>IF(AF3530=1,EOMONTH(AE3530,0),"")</f>
        <v/>
      </c>
      <c r="AH3530" s="9">
        <f>IF(AF3530=1,UPPER(TRIM(IFERROR(INDEX($A3530:$AB3530,MATCH("Client",$A$1:$AB$1,0)),"")&amp;"")),"")</f>
        <v/>
      </c>
      <c r="AI3530" s="9">
        <f>IF(AF3530=1,IFERROR(INDEX($A3530:$AB3530,MATCH("Cost Centre",$A$1:$AB$1,0)),"")&amp;"","")</f>
        <v/>
      </c>
      <c r="AJ3530" s="54">
        <f>IF(AND(AF3530=1,AE3530&gt;=set_FYStart,AE3530&lt;=set_AsAt),1,0)</f>
        <v/>
      </c>
      <c r="AK3530" s="54">
        <f>IF(AND(AJ3530=1,AH3530&lt;&gt;"",COUNTIFS($AH$2:AH3530,AH3530,$AJ$2:AJ3530,1)=1),N(AL3529)+1,"")</f>
        <v/>
      </c>
      <c r="AL3530" s="54">
        <f>IF(AK3530&lt;&gt;"",AK3530,N(AL3529))</f>
        <v/>
      </c>
    </row>
    <row r="3531">
      <c r="A3531" t="inlineStr">
        <is>
          <t>PRD-1177</t>
        </is>
      </c>
      <c r="B3531" t="inlineStr">
        <is>
          <t>Production</t>
        </is>
      </c>
      <c r="AB3531" t="n">
        <v>1177</v>
      </c>
      <c r="AD3531" s="52">
        <f>IFERROR(N(IFERROR(INDEX($A3531:$AB3531,MATCH("Xero Invoiced Ex GST",$A$1:$AB$1,0)),"")),0)</f>
        <v/>
      </c>
      <c r="AE3531" s="53">
        <f>IFERROR(INDEX($A3531:$AB3531,MATCH("Xero Invoice Date",$A$1:$AB$1,0)),"")</f>
        <v/>
      </c>
      <c r="AF3531" s="54">
        <f>IF(AND(IFERROR(INDEX($A3531:$AB3531,MATCH("Xero Invoice No",$A$1:$AB$1,0)),"")&amp;""&lt;&gt;"",ISNUMBER(AE3531),AD3531&lt;&gt;0),1,0)</f>
        <v/>
      </c>
      <c r="AG3531" s="55">
        <f>IF(AF3531=1,EOMONTH(AE3531,0),"")</f>
        <v/>
      </c>
      <c r="AH3531" s="9">
        <f>IF(AF3531=1,UPPER(TRIM(IFERROR(INDEX($A3531:$AB3531,MATCH("Client",$A$1:$AB$1,0)),"")&amp;"")),"")</f>
        <v/>
      </c>
      <c r="AI3531" s="9">
        <f>IF(AF3531=1,IFERROR(INDEX($A3531:$AB3531,MATCH("Cost Centre",$A$1:$AB$1,0)),"")&amp;"","")</f>
        <v/>
      </c>
      <c r="AJ3531" s="54">
        <f>IF(AND(AF3531=1,AE3531&gt;=set_FYStart,AE3531&lt;=set_AsAt),1,0)</f>
        <v/>
      </c>
      <c r="AK3531" s="54">
        <f>IF(AND(AJ3531=1,AH3531&lt;&gt;"",COUNTIFS($AH$2:AH3531,AH3531,$AJ$2:AJ3531,1)=1),N(AL3530)+1,"")</f>
        <v/>
      </c>
      <c r="AL3531" s="54">
        <f>IF(AK3531&lt;&gt;"",AK3531,N(AL3530))</f>
        <v/>
      </c>
    </row>
    <row r="3532">
      <c r="A3532" t="inlineStr">
        <is>
          <t>CON-1177</t>
        </is>
      </c>
      <c r="B3532" t="inlineStr">
        <is>
          <t>Consulting</t>
        </is>
      </c>
      <c r="AB3532" t="n">
        <v>1177</v>
      </c>
      <c r="AD3532" s="52">
        <f>IFERROR(N(IFERROR(INDEX($A3532:$AB3532,MATCH("Xero Invoiced Ex GST",$A$1:$AB$1,0)),"")),0)</f>
        <v/>
      </c>
      <c r="AE3532" s="53">
        <f>IFERROR(INDEX($A3532:$AB3532,MATCH("Xero Invoice Date",$A$1:$AB$1,0)),"")</f>
        <v/>
      </c>
      <c r="AF3532" s="54">
        <f>IF(AND(IFERROR(INDEX($A3532:$AB3532,MATCH("Xero Invoice No",$A$1:$AB$1,0)),"")&amp;""&lt;&gt;"",ISNUMBER(AE3532),AD3532&lt;&gt;0),1,0)</f>
        <v/>
      </c>
      <c r="AG3532" s="55">
        <f>IF(AF3532=1,EOMONTH(AE3532,0),"")</f>
        <v/>
      </c>
      <c r="AH3532" s="9">
        <f>IF(AF3532=1,UPPER(TRIM(IFERROR(INDEX($A3532:$AB3532,MATCH("Client",$A$1:$AB$1,0)),"")&amp;"")),"")</f>
        <v/>
      </c>
      <c r="AI3532" s="9">
        <f>IF(AF3532=1,IFERROR(INDEX($A3532:$AB3532,MATCH("Cost Centre",$A$1:$AB$1,0)),"")&amp;"","")</f>
        <v/>
      </c>
      <c r="AJ3532" s="54">
        <f>IF(AND(AF3532=1,AE3532&gt;=set_FYStart,AE3532&lt;=set_AsAt),1,0)</f>
        <v/>
      </c>
      <c r="AK3532" s="54">
        <f>IF(AND(AJ3532=1,AH3532&lt;&gt;"",COUNTIFS($AH$2:AH3532,AH3532,$AJ$2:AJ3532,1)=1),N(AL3531)+1,"")</f>
        <v/>
      </c>
      <c r="AL3532" s="54">
        <f>IF(AK3532&lt;&gt;"",AK3532,N(AL3531))</f>
        <v/>
      </c>
    </row>
    <row r="3533">
      <c r="A3533" t="inlineStr">
        <is>
          <t>ONS-1178</t>
        </is>
      </c>
      <c r="B3533" t="inlineStr">
        <is>
          <t>Onsite</t>
        </is>
      </c>
      <c r="AB3533" t="n">
        <v>1178</v>
      </c>
      <c r="AD3533" s="52">
        <f>IFERROR(N(IFERROR(INDEX($A3533:$AB3533,MATCH("Xero Invoiced Ex GST",$A$1:$AB$1,0)),"")),0)</f>
        <v/>
      </c>
      <c r="AE3533" s="53">
        <f>IFERROR(INDEX($A3533:$AB3533,MATCH("Xero Invoice Date",$A$1:$AB$1,0)),"")</f>
        <v/>
      </c>
      <c r="AF3533" s="54">
        <f>IF(AND(IFERROR(INDEX($A3533:$AB3533,MATCH("Xero Invoice No",$A$1:$AB$1,0)),"")&amp;""&lt;&gt;"",ISNUMBER(AE3533),AD3533&lt;&gt;0),1,0)</f>
        <v/>
      </c>
      <c r="AG3533" s="55">
        <f>IF(AF3533=1,EOMONTH(AE3533,0),"")</f>
        <v/>
      </c>
      <c r="AH3533" s="9">
        <f>IF(AF3533=1,UPPER(TRIM(IFERROR(INDEX($A3533:$AB3533,MATCH("Client",$A$1:$AB$1,0)),"")&amp;"")),"")</f>
        <v/>
      </c>
      <c r="AI3533" s="9">
        <f>IF(AF3533=1,IFERROR(INDEX($A3533:$AB3533,MATCH("Cost Centre",$A$1:$AB$1,0)),"")&amp;"","")</f>
        <v/>
      </c>
      <c r="AJ3533" s="54">
        <f>IF(AND(AF3533=1,AE3533&gt;=set_FYStart,AE3533&lt;=set_AsAt),1,0)</f>
        <v/>
      </c>
      <c r="AK3533" s="54">
        <f>IF(AND(AJ3533=1,AH3533&lt;&gt;"",COUNTIFS($AH$2:AH3533,AH3533,$AJ$2:AJ3533,1)=1),N(AL3532)+1,"")</f>
        <v/>
      </c>
      <c r="AL3533" s="54">
        <f>IF(AK3533&lt;&gt;"",AK3533,N(AL3532))</f>
        <v/>
      </c>
    </row>
    <row r="3534">
      <c r="A3534" t="inlineStr">
        <is>
          <t>PRD-1178</t>
        </is>
      </c>
      <c r="B3534" t="inlineStr">
        <is>
          <t>Production</t>
        </is>
      </c>
      <c r="AB3534" t="n">
        <v>1178</v>
      </c>
      <c r="AD3534" s="52">
        <f>IFERROR(N(IFERROR(INDEX($A3534:$AB3534,MATCH("Xero Invoiced Ex GST",$A$1:$AB$1,0)),"")),0)</f>
        <v/>
      </c>
      <c r="AE3534" s="53">
        <f>IFERROR(INDEX($A3534:$AB3534,MATCH("Xero Invoice Date",$A$1:$AB$1,0)),"")</f>
        <v/>
      </c>
      <c r="AF3534" s="54">
        <f>IF(AND(IFERROR(INDEX($A3534:$AB3534,MATCH("Xero Invoice No",$A$1:$AB$1,0)),"")&amp;""&lt;&gt;"",ISNUMBER(AE3534),AD3534&lt;&gt;0),1,0)</f>
        <v/>
      </c>
      <c r="AG3534" s="55">
        <f>IF(AF3534=1,EOMONTH(AE3534,0),"")</f>
        <v/>
      </c>
      <c r="AH3534" s="9">
        <f>IF(AF3534=1,UPPER(TRIM(IFERROR(INDEX($A3534:$AB3534,MATCH("Client",$A$1:$AB$1,0)),"")&amp;"")),"")</f>
        <v/>
      </c>
      <c r="AI3534" s="9">
        <f>IF(AF3534=1,IFERROR(INDEX($A3534:$AB3534,MATCH("Cost Centre",$A$1:$AB$1,0)),"")&amp;"","")</f>
        <v/>
      </c>
      <c r="AJ3534" s="54">
        <f>IF(AND(AF3534=1,AE3534&gt;=set_FYStart,AE3534&lt;=set_AsAt),1,0)</f>
        <v/>
      </c>
      <c r="AK3534" s="54">
        <f>IF(AND(AJ3534=1,AH3534&lt;&gt;"",COUNTIFS($AH$2:AH3534,AH3534,$AJ$2:AJ3534,1)=1),N(AL3533)+1,"")</f>
        <v/>
      </c>
      <c r="AL3534" s="54">
        <f>IF(AK3534&lt;&gt;"",AK3534,N(AL3533))</f>
        <v/>
      </c>
    </row>
    <row r="3535">
      <c r="A3535" t="inlineStr">
        <is>
          <t>CON-1178</t>
        </is>
      </c>
      <c r="B3535" t="inlineStr">
        <is>
          <t>Consulting</t>
        </is>
      </c>
      <c r="AB3535" t="n">
        <v>1178</v>
      </c>
      <c r="AD3535" s="52">
        <f>IFERROR(N(IFERROR(INDEX($A3535:$AB3535,MATCH("Xero Invoiced Ex GST",$A$1:$AB$1,0)),"")),0)</f>
        <v/>
      </c>
      <c r="AE3535" s="53">
        <f>IFERROR(INDEX($A3535:$AB3535,MATCH("Xero Invoice Date",$A$1:$AB$1,0)),"")</f>
        <v/>
      </c>
      <c r="AF3535" s="54">
        <f>IF(AND(IFERROR(INDEX($A3535:$AB3535,MATCH("Xero Invoice No",$A$1:$AB$1,0)),"")&amp;""&lt;&gt;"",ISNUMBER(AE3535),AD3535&lt;&gt;0),1,0)</f>
        <v/>
      </c>
      <c r="AG3535" s="55">
        <f>IF(AF3535=1,EOMONTH(AE3535,0),"")</f>
        <v/>
      </c>
      <c r="AH3535" s="9">
        <f>IF(AF3535=1,UPPER(TRIM(IFERROR(INDEX($A3535:$AB3535,MATCH("Client",$A$1:$AB$1,0)),"")&amp;"")),"")</f>
        <v/>
      </c>
      <c r="AI3535" s="9">
        <f>IF(AF3535=1,IFERROR(INDEX($A3535:$AB3535,MATCH("Cost Centre",$A$1:$AB$1,0)),"")&amp;"","")</f>
        <v/>
      </c>
      <c r="AJ3535" s="54">
        <f>IF(AND(AF3535=1,AE3535&gt;=set_FYStart,AE3535&lt;=set_AsAt),1,0)</f>
        <v/>
      </c>
      <c r="AK3535" s="54">
        <f>IF(AND(AJ3535=1,AH3535&lt;&gt;"",COUNTIFS($AH$2:AH3535,AH3535,$AJ$2:AJ3535,1)=1),N(AL3534)+1,"")</f>
        <v/>
      </c>
      <c r="AL3535" s="54">
        <f>IF(AK3535&lt;&gt;"",AK3535,N(AL3534))</f>
        <v/>
      </c>
    </row>
    <row r="3536">
      <c r="A3536" t="inlineStr">
        <is>
          <t>ONS-1179</t>
        </is>
      </c>
      <c r="B3536" t="inlineStr">
        <is>
          <t>Onsite</t>
        </is>
      </c>
      <c r="AB3536" t="n">
        <v>1179</v>
      </c>
      <c r="AD3536" s="52">
        <f>IFERROR(N(IFERROR(INDEX($A3536:$AB3536,MATCH("Xero Invoiced Ex GST",$A$1:$AB$1,0)),"")),0)</f>
        <v/>
      </c>
      <c r="AE3536" s="53">
        <f>IFERROR(INDEX($A3536:$AB3536,MATCH("Xero Invoice Date",$A$1:$AB$1,0)),"")</f>
        <v/>
      </c>
      <c r="AF3536" s="54">
        <f>IF(AND(IFERROR(INDEX($A3536:$AB3536,MATCH("Xero Invoice No",$A$1:$AB$1,0)),"")&amp;""&lt;&gt;"",ISNUMBER(AE3536),AD3536&lt;&gt;0),1,0)</f>
        <v/>
      </c>
      <c r="AG3536" s="55">
        <f>IF(AF3536=1,EOMONTH(AE3536,0),"")</f>
        <v/>
      </c>
      <c r="AH3536" s="9">
        <f>IF(AF3536=1,UPPER(TRIM(IFERROR(INDEX($A3536:$AB3536,MATCH("Client",$A$1:$AB$1,0)),"")&amp;"")),"")</f>
        <v/>
      </c>
      <c r="AI3536" s="9">
        <f>IF(AF3536=1,IFERROR(INDEX($A3536:$AB3536,MATCH("Cost Centre",$A$1:$AB$1,0)),"")&amp;"","")</f>
        <v/>
      </c>
      <c r="AJ3536" s="54">
        <f>IF(AND(AF3536=1,AE3536&gt;=set_FYStart,AE3536&lt;=set_AsAt),1,0)</f>
        <v/>
      </c>
      <c r="AK3536" s="54">
        <f>IF(AND(AJ3536=1,AH3536&lt;&gt;"",COUNTIFS($AH$2:AH3536,AH3536,$AJ$2:AJ3536,1)=1),N(AL3535)+1,"")</f>
        <v/>
      </c>
      <c r="AL3536" s="54">
        <f>IF(AK3536&lt;&gt;"",AK3536,N(AL3535))</f>
        <v/>
      </c>
    </row>
    <row r="3537">
      <c r="A3537" t="inlineStr">
        <is>
          <t>PRD-1179</t>
        </is>
      </c>
      <c r="B3537" t="inlineStr">
        <is>
          <t>Production</t>
        </is>
      </c>
      <c r="AB3537" t="n">
        <v>1179</v>
      </c>
      <c r="AD3537" s="52">
        <f>IFERROR(N(IFERROR(INDEX($A3537:$AB3537,MATCH("Xero Invoiced Ex GST",$A$1:$AB$1,0)),"")),0)</f>
        <v/>
      </c>
      <c r="AE3537" s="53">
        <f>IFERROR(INDEX($A3537:$AB3537,MATCH("Xero Invoice Date",$A$1:$AB$1,0)),"")</f>
        <v/>
      </c>
      <c r="AF3537" s="54">
        <f>IF(AND(IFERROR(INDEX($A3537:$AB3537,MATCH("Xero Invoice No",$A$1:$AB$1,0)),"")&amp;""&lt;&gt;"",ISNUMBER(AE3537),AD3537&lt;&gt;0),1,0)</f>
        <v/>
      </c>
      <c r="AG3537" s="55">
        <f>IF(AF3537=1,EOMONTH(AE3537,0),"")</f>
        <v/>
      </c>
      <c r="AH3537" s="9">
        <f>IF(AF3537=1,UPPER(TRIM(IFERROR(INDEX($A3537:$AB3537,MATCH("Client",$A$1:$AB$1,0)),"")&amp;"")),"")</f>
        <v/>
      </c>
      <c r="AI3537" s="9">
        <f>IF(AF3537=1,IFERROR(INDEX($A3537:$AB3537,MATCH("Cost Centre",$A$1:$AB$1,0)),"")&amp;"","")</f>
        <v/>
      </c>
      <c r="AJ3537" s="54">
        <f>IF(AND(AF3537=1,AE3537&gt;=set_FYStart,AE3537&lt;=set_AsAt),1,0)</f>
        <v/>
      </c>
      <c r="AK3537" s="54">
        <f>IF(AND(AJ3537=1,AH3537&lt;&gt;"",COUNTIFS($AH$2:AH3537,AH3537,$AJ$2:AJ3537,1)=1),N(AL3536)+1,"")</f>
        <v/>
      </c>
      <c r="AL3537" s="54">
        <f>IF(AK3537&lt;&gt;"",AK3537,N(AL3536))</f>
        <v/>
      </c>
    </row>
    <row r="3538">
      <c r="A3538" t="inlineStr">
        <is>
          <t>CON-1179</t>
        </is>
      </c>
      <c r="B3538" t="inlineStr">
        <is>
          <t>Consulting</t>
        </is>
      </c>
      <c r="AB3538" t="n">
        <v>1179</v>
      </c>
      <c r="AD3538" s="52">
        <f>IFERROR(N(IFERROR(INDEX($A3538:$AB3538,MATCH("Xero Invoiced Ex GST",$A$1:$AB$1,0)),"")),0)</f>
        <v/>
      </c>
      <c r="AE3538" s="53">
        <f>IFERROR(INDEX($A3538:$AB3538,MATCH("Xero Invoice Date",$A$1:$AB$1,0)),"")</f>
        <v/>
      </c>
      <c r="AF3538" s="54">
        <f>IF(AND(IFERROR(INDEX($A3538:$AB3538,MATCH("Xero Invoice No",$A$1:$AB$1,0)),"")&amp;""&lt;&gt;"",ISNUMBER(AE3538),AD3538&lt;&gt;0),1,0)</f>
        <v/>
      </c>
      <c r="AG3538" s="55">
        <f>IF(AF3538=1,EOMONTH(AE3538,0),"")</f>
        <v/>
      </c>
      <c r="AH3538" s="9">
        <f>IF(AF3538=1,UPPER(TRIM(IFERROR(INDEX($A3538:$AB3538,MATCH("Client",$A$1:$AB$1,0)),"")&amp;"")),"")</f>
        <v/>
      </c>
      <c r="AI3538" s="9">
        <f>IF(AF3538=1,IFERROR(INDEX($A3538:$AB3538,MATCH("Cost Centre",$A$1:$AB$1,0)),"")&amp;"","")</f>
        <v/>
      </c>
      <c r="AJ3538" s="54">
        <f>IF(AND(AF3538=1,AE3538&gt;=set_FYStart,AE3538&lt;=set_AsAt),1,0)</f>
        <v/>
      </c>
      <c r="AK3538" s="54">
        <f>IF(AND(AJ3538=1,AH3538&lt;&gt;"",COUNTIFS($AH$2:AH3538,AH3538,$AJ$2:AJ3538,1)=1),N(AL3537)+1,"")</f>
        <v/>
      </c>
      <c r="AL3538" s="54">
        <f>IF(AK3538&lt;&gt;"",AK3538,N(AL3537))</f>
        <v/>
      </c>
    </row>
    <row r="3539">
      <c r="A3539" t="inlineStr">
        <is>
          <t>ONS-1180</t>
        </is>
      </c>
      <c r="B3539" t="inlineStr">
        <is>
          <t>Onsite</t>
        </is>
      </c>
      <c r="AB3539" t="n">
        <v>1180</v>
      </c>
      <c r="AD3539" s="52">
        <f>IFERROR(N(IFERROR(INDEX($A3539:$AB3539,MATCH("Xero Invoiced Ex GST",$A$1:$AB$1,0)),"")),0)</f>
        <v/>
      </c>
      <c r="AE3539" s="53">
        <f>IFERROR(INDEX($A3539:$AB3539,MATCH("Xero Invoice Date",$A$1:$AB$1,0)),"")</f>
        <v/>
      </c>
      <c r="AF3539" s="54">
        <f>IF(AND(IFERROR(INDEX($A3539:$AB3539,MATCH("Xero Invoice No",$A$1:$AB$1,0)),"")&amp;""&lt;&gt;"",ISNUMBER(AE3539),AD3539&lt;&gt;0),1,0)</f>
        <v/>
      </c>
      <c r="AG3539" s="55">
        <f>IF(AF3539=1,EOMONTH(AE3539,0),"")</f>
        <v/>
      </c>
      <c r="AH3539" s="9">
        <f>IF(AF3539=1,UPPER(TRIM(IFERROR(INDEX($A3539:$AB3539,MATCH("Client",$A$1:$AB$1,0)),"")&amp;"")),"")</f>
        <v/>
      </c>
      <c r="AI3539" s="9">
        <f>IF(AF3539=1,IFERROR(INDEX($A3539:$AB3539,MATCH("Cost Centre",$A$1:$AB$1,0)),"")&amp;"","")</f>
        <v/>
      </c>
      <c r="AJ3539" s="54">
        <f>IF(AND(AF3539=1,AE3539&gt;=set_FYStart,AE3539&lt;=set_AsAt),1,0)</f>
        <v/>
      </c>
      <c r="AK3539" s="54">
        <f>IF(AND(AJ3539=1,AH3539&lt;&gt;"",COUNTIFS($AH$2:AH3539,AH3539,$AJ$2:AJ3539,1)=1),N(AL3538)+1,"")</f>
        <v/>
      </c>
      <c r="AL3539" s="54">
        <f>IF(AK3539&lt;&gt;"",AK3539,N(AL3538))</f>
        <v/>
      </c>
    </row>
    <row r="3540">
      <c r="A3540" t="inlineStr">
        <is>
          <t>PRD-1180</t>
        </is>
      </c>
      <c r="B3540" t="inlineStr">
        <is>
          <t>Production</t>
        </is>
      </c>
      <c r="AB3540" t="n">
        <v>1180</v>
      </c>
      <c r="AD3540" s="52">
        <f>IFERROR(N(IFERROR(INDEX($A3540:$AB3540,MATCH("Xero Invoiced Ex GST",$A$1:$AB$1,0)),"")),0)</f>
        <v/>
      </c>
      <c r="AE3540" s="53">
        <f>IFERROR(INDEX($A3540:$AB3540,MATCH("Xero Invoice Date",$A$1:$AB$1,0)),"")</f>
        <v/>
      </c>
      <c r="AF3540" s="54">
        <f>IF(AND(IFERROR(INDEX($A3540:$AB3540,MATCH("Xero Invoice No",$A$1:$AB$1,0)),"")&amp;""&lt;&gt;"",ISNUMBER(AE3540),AD3540&lt;&gt;0),1,0)</f>
        <v/>
      </c>
      <c r="AG3540" s="55">
        <f>IF(AF3540=1,EOMONTH(AE3540,0),"")</f>
        <v/>
      </c>
      <c r="AH3540" s="9">
        <f>IF(AF3540=1,UPPER(TRIM(IFERROR(INDEX($A3540:$AB3540,MATCH("Client",$A$1:$AB$1,0)),"")&amp;"")),"")</f>
        <v/>
      </c>
      <c r="AI3540" s="9">
        <f>IF(AF3540=1,IFERROR(INDEX($A3540:$AB3540,MATCH("Cost Centre",$A$1:$AB$1,0)),"")&amp;"","")</f>
        <v/>
      </c>
      <c r="AJ3540" s="54">
        <f>IF(AND(AF3540=1,AE3540&gt;=set_FYStart,AE3540&lt;=set_AsAt),1,0)</f>
        <v/>
      </c>
      <c r="AK3540" s="54">
        <f>IF(AND(AJ3540=1,AH3540&lt;&gt;"",COUNTIFS($AH$2:AH3540,AH3540,$AJ$2:AJ3540,1)=1),N(AL3539)+1,"")</f>
        <v/>
      </c>
      <c r="AL3540" s="54">
        <f>IF(AK3540&lt;&gt;"",AK3540,N(AL3539))</f>
        <v/>
      </c>
    </row>
    <row r="3541">
      <c r="A3541" t="inlineStr">
        <is>
          <t>CON-1180</t>
        </is>
      </c>
      <c r="B3541" t="inlineStr">
        <is>
          <t>Consulting</t>
        </is>
      </c>
      <c r="AB3541" t="n">
        <v>1180</v>
      </c>
      <c r="AD3541" s="52">
        <f>IFERROR(N(IFERROR(INDEX($A3541:$AB3541,MATCH("Xero Invoiced Ex GST",$A$1:$AB$1,0)),"")),0)</f>
        <v/>
      </c>
      <c r="AE3541" s="53">
        <f>IFERROR(INDEX($A3541:$AB3541,MATCH("Xero Invoice Date",$A$1:$AB$1,0)),"")</f>
        <v/>
      </c>
      <c r="AF3541" s="54">
        <f>IF(AND(IFERROR(INDEX($A3541:$AB3541,MATCH("Xero Invoice No",$A$1:$AB$1,0)),"")&amp;""&lt;&gt;"",ISNUMBER(AE3541),AD3541&lt;&gt;0),1,0)</f>
        <v/>
      </c>
      <c r="AG3541" s="55">
        <f>IF(AF3541=1,EOMONTH(AE3541,0),"")</f>
        <v/>
      </c>
      <c r="AH3541" s="9">
        <f>IF(AF3541=1,UPPER(TRIM(IFERROR(INDEX($A3541:$AB3541,MATCH("Client",$A$1:$AB$1,0)),"")&amp;"")),"")</f>
        <v/>
      </c>
      <c r="AI3541" s="9">
        <f>IF(AF3541=1,IFERROR(INDEX($A3541:$AB3541,MATCH("Cost Centre",$A$1:$AB$1,0)),"")&amp;"","")</f>
        <v/>
      </c>
      <c r="AJ3541" s="54">
        <f>IF(AND(AF3541=1,AE3541&gt;=set_FYStart,AE3541&lt;=set_AsAt),1,0)</f>
        <v/>
      </c>
      <c r="AK3541" s="54">
        <f>IF(AND(AJ3541=1,AH3541&lt;&gt;"",COUNTIFS($AH$2:AH3541,AH3541,$AJ$2:AJ3541,1)=1),N(AL3540)+1,"")</f>
        <v/>
      </c>
      <c r="AL3541" s="54">
        <f>IF(AK3541&lt;&gt;"",AK3541,N(AL3540))</f>
        <v/>
      </c>
    </row>
    <row r="3542">
      <c r="A3542" t="inlineStr">
        <is>
          <t>ONS-1181</t>
        </is>
      </c>
      <c r="B3542" t="inlineStr">
        <is>
          <t>Onsite</t>
        </is>
      </c>
      <c r="AB3542" t="n">
        <v>1181</v>
      </c>
      <c r="AD3542" s="52">
        <f>IFERROR(N(IFERROR(INDEX($A3542:$AB3542,MATCH("Xero Invoiced Ex GST",$A$1:$AB$1,0)),"")),0)</f>
        <v/>
      </c>
      <c r="AE3542" s="53">
        <f>IFERROR(INDEX($A3542:$AB3542,MATCH("Xero Invoice Date",$A$1:$AB$1,0)),"")</f>
        <v/>
      </c>
      <c r="AF3542" s="54">
        <f>IF(AND(IFERROR(INDEX($A3542:$AB3542,MATCH("Xero Invoice No",$A$1:$AB$1,0)),"")&amp;""&lt;&gt;"",ISNUMBER(AE3542),AD3542&lt;&gt;0),1,0)</f>
        <v/>
      </c>
      <c r="AG3542" s="55">
        <f>IF(AF3542=1,EOMONTH(AE3542,0),"")</f>
        <v/>
      </c>
      <c r="AH3542" s="9">
        <f>IF(AF3542=1,UPPER(TRIM(IFERROR(INDEX($A3542:$AB3542,MATCH("Client",$A$1:$AB$1,0)),"")&amp;"")),"")</f>
        <v/>
      </c>
      <c r="AI3542" s="9">
        <f>IF(AF3542=1,IFERROR(INDEX($A3542:$AB3542,MATCH("Cost Centre",$A$1:$AB$1,0)),"")&amp;"","")</f>
        <v/>
      </c>
      <c r="AJ3542" s="54">
        <f>IF(AND(AF3542=1,AE3542&gt;=set_FYStart,AE3542&lt;=set_AsAt),1,0)</f>
        <v/>
      </c>
      <c r="AK3542" s="54">
        <f>IF(AND(AJ3542=1,AH3542&lt;&gt;"",COUNTIFS($AH$2:AH3542,AH3542,$AJ$2:AJ3542,1)=1),N(AL3541)+1,"")</f>
        <v/>
      </c>
      <c r="AL3542" s="54">
        <f>IF(AK3542&lt;&gt;"",AK3542,N(AL3541))</f>
        <v/>
      </c>
    </row>
    <row r="3543">
      <c r="A3543" t="inlineStr">
        <is>
          <t>PRD-1181</t>
        </is>
      </c>
      <c r="B3543" t="inlineStr">
        <is>
          <t>Production</t>
        </is>
      </c>
      <c r="AB3543" t="n">
        <v>1181</v>
      </c>
      <c r="AD3543" s="52">
        <f>IFERROR(N(IFERROR(INDEX($A3543:$AB3543,MATCH("Xero Invoiced Ex GST",$A$1:$AB$1,0)),"")),0)</f>
        <v/>
      </c>
      <c r="AE3543" s="53">
        <f>IFERROR(INDEX($A3543:$AB3543,MATCH("Xero Invoice Date",$A$1:$AB$1,0)),"")</f>
        <v/>
      </c>
      <c r="AF3543" s="54">
        <f>IF(AND(IFERROR(INDEX($A3543:$AB3543,MATCH("Xero Invoice No",$A$1:$AB$1,0)),"")&amp;""&lt;&gt;"",ISNUMBER(AE3543),AD3543&lt;&gt;0),1,0)</f>
        <v/>
      </c>
      <c r="AG3543" s="55">
        <f>IF(AF3543=1,EOMONTH(AE3543,0),"")</f>
        <v/>
      </c>
      <c r="AH3543" s="9">
        <f>IF(AF3543=1,UPPER(TRIM(IFERROR(INDEX($A3543:$AB3543,MATCH("Client",$A$1:$AB$1,0)),"")&amp;"")),"")</f>
        <v/>
      </c>
      <c r="AI3543" s="9">
        <f>IF(AF3543=1,IFERROR(INDEX($A3543:$AB3543,MATCH("Cost Centre",$A$1:$AB$1,0)),"")&amp;"","")</f>
        <v/>
      </c>
      <c r="AJ3543" s="54">
        <f>IF(AND(AF3543=1,AE3543&gt;=set_FYStart,AE3543&lt;=set_AsAt),1,0)</f>
        <v/>
      </c>
      <c r="AK3543" s="54">
        <f>IF(AND(AJ3543=1,AH3543&lt;&gt;"",COUNTIFS($AH$2:AH3543,AH3543,$AJ$2:AJ3543,1)=1),N(AL3542)+1,"")</f>
        <v/>
      </c>
      <c r="AL3543" s="54">
        <f>IF(AK3543&lt;&gt;"",AK3543,N(AL3542))</f>
        <v/>
      </c>
    </row>
    <row r="3544">
      <c r="A3544" t="inlineStr">
        <is>
          <t>CON-1181</t>
        </is>
      </c>
      <c r="B3544" t="inlineStr">
        <is>
          <t>Consulting</t>
        </is>
      </c>
      <c r="AB3544" t="n">
        <v>1181</v>
      </c>
      <c r="AD3544" s="52">
        <f>IFERROR(N(IFERROR(INDEX($A3544:$AB3544,MATCH("Xero Invoiced Ex GST",$A$1:$AB$1,0)),"")),0)</f>
        <v/>
      </c>
      <c r="AE3544" s="53">
        <f>IFERROR(INDEX($A3544:$AB3544,MATCH("Xero Invoice Date",$A$1:$AB$1,0)),"")</f>
        <v/>
      </c>
      <c r="AF3544" s="54">
        <f>IF(AND(IFERROR(INDEX($A3544:$AB3544,MATCH("Xero Invoice No",$A$1:$AB$1,0)),"")&amp;""&lt;&gt;"",ISNUMBER(AE3544),AD3544&lt;&gt;0),1,0)</f>
        <v/>
      </c>
      <c r="AG3544" s="55">
        <f>IF(AF3544=1,EOMONTH(AE3544,0),"")</f>
        <v/>
      </c>
      <c r="AH3544" s="9">
        <f>IF(AF3544=1,UPPER(TRIM(IFERROR(INDEX($A3544:$AB3544,MATCH("Client",$A$1:$AB$1,0)),"")&amp;"")),"")</f>
        <v/>
      </c>
      <c r="AI3544" s="9">
        <f>IF(AF3544=1,IFERROR(INDEX($A3544:$AB3544,MATCH("Cost Centre",$A$1:$AB$1,0)),"")&amp;"","")</f>
        <v/>
      </c>
      <c r="AJ3544" s="54">
        <f>IF(AND(AF3544=1,AE3544&gt;=set_FYStart,AE3544&lt;=set_AsAt),1,0)</f>
        <v/>
      </c>
      <c r="AK3544" s="54">
        <f>IF(AND(AJ3544=1,AH3544&lt;&gt;"",COUNTIFS($AH$2:AH3544,AH3544,$AJ$2:AJ3544,1)=1),N(AL3543)+1,"")</f>
        <v/>
      </c>
      <c r="AL3544" s="54">
        <f>IF(AK3544&lt;&gt;"",AK3544,N(AL3543))</f>
        <v/>
      </c>
    </row>
    <row r="3545">
      <c r="A3545" t="inlineStr">
        <is>
          <t>ONS-1182</t>
        </is>
      </c>
      <c r="B3545" t="inlineStr">
        <is>
          <t>Onsite</t>
        </is>
      </c>
      <c r="AB3545" t="n">
        <v>1182</v>
      </c>
      <c r="AD3545" s="52">
        <f>IFERROR(N(IFERROR(INDEX($A3545:$AB3545,MATCH("Xero Invoiced Ex GST",$A$1:$AB$1,0)),"")),0)</f>
        <v/>
      </c>
      <c r="AE3545" s="53">
        <f>IFERROR(INDEX($A3545:$AB3545,MATCH("Xero Invoice Date",$A$1:$AB$1,0)),"")</f>
        <v/>
      </c>
      <c r="AF3545" s="54">
        <f>IF(AND(IFERROR(INDEX($A3545:$AB3545,MATCH("Xero Invoice No",$A$1:$AB$1,0)),"")&amp;""&lt;&gt;"",ISNUMBER(AE3545),AD3545&lt;&gt;0),1,0)</f>
        <v/>
      </c>
      <c r="AG3545" s="55">
        <f>IF(AF3545=1,EOMONTH(AE3545,0),"")</f>
        <v/>
      </c>
      <c r="AH3545" s="9">
        <f>IF(AF3545=1,UPPER(TRIM(IFERROR(INDEX($A3545:$AB3545,MATCH("Client",$A$1:$AB$1,0)),"")&amp;"")),"")</f>
        <v/>
      </c>
      <c r="AI3545" s="9">
        <f>IF(AF3545=1,IFERROR(INDEX($A3545:$AB3545,MATCH("Cost Centre",$A$1:$AB$1,0)),"")&amp;"","")</f>
        <v/>
      </c>
      <c r="AJ3545" s="54">
        <f>IF(AND(AF3545=1,AE3545&gt;=set_FYStart,AE3545&lt;=set_AsAt),1,0)</f>
        <v/>
      </c>
      <c r="AK3545" s="54">
        <f>IF(AND(AJ3545=1,AH3545&lt;&gt;"",COUNTIFS($AH$2:AH3545,AH3545,$AJ$2:AJ3545,1)=1),N(AL3544)+1,"")</f>
        <v/>
      </c>
      <c r="AL3545" s="54">
        <f>IF(AK3545&lt;&gt;"",AK3545,N(AL3544))</f>
        <v/>
      </c>
    </row>
    <row r="3546">
      <c r="A3546" t="inlineStr">
        <is>
          <t>PRD-1182</t>
        </is>
      </c>
      <c r="B3546" t="inlineStr">
        <is>
          <t>Production</t>
        </is>
      </c>
      <c r="AB3546" t="n">
        <v>1182</v>
      </c>
      <c r="AD3546" s="52">
        <f>IFERROR(N(IFERROR(INDEX($A3546:$AB3546,MATCH("Xero Invoiced Ex GST",$A$1:$AB$1,0)),"")),0)</f>
        <v/>
      </c>
      <c r="AE3546" s="53">
        <f>IFERROR(INDEX($A3546:$AB3546,MATCH("Xero Invoice Date",$A$1:$AB$1,0)),"")</f>
        <v/>
      </c>
      <c r="AF3546" s="54">
        <f>IF(AND(IFERROR(INDEX($A3546:$AB3546,MATCH("Xero Invoice No",$A$1:$AB$1,0)),"")&amp;""&lt;&gt;"",ISNUMBER(AE3546),AD3546&lt;&gt;0),1,0)</f>
        <v/>
      </c>
      <c r="AG3546" s="55">
        <f>IF(AF3546=1,EOMONTH(AE3546,0),"")</f>
        <v/>
      </c>
      <c r="AH3546" s="9">
        <f>IF(AF3546=1,UPPER(TRIM(IFERROR(INDEX($A3546:$AB3546,MATCH("Client",$A$1:$AB$1,0)),"")&amp;"")),"")</f>
        <v/>
      </c>
      <c r="AI3546" s="9">
        <f>IF(AF3546=1,IFERROR(INDEX($A3546:$AB3546,MATCH("Cost Centre",$A$1:$AB$1,0)),"")&amp;"","")</f>
        <v/>
      </c>
      <c r="AJ3546" s="54">
        <f>IF(AND(AF3546=1,AE3546&gt;=set_FYStart,AE3546&lt;=set_AsAt),1,0)</f>
        <v/>
      </c>
      <c r="AK3546" s="54">
        <f>IF(AND(AJ3546=1,AH3546&lt;&gt;"",COUNTIFS($AH$2:AH3546,AH3546,$AJ$2:AJ3546,1)=1),N(AL3545)+1,"")</f>
        <v/>
      </c>
      <c r="AL3546" s="54">
        <f>IF(AK3546&lt;&gt;"",AK3546,N(AL3545))</f>
        <v/>
      </c>
    </row>
    <row r="3547">
      <c r="A3547" t="inlineStr">
        <is>
          <t>CON-1182</t>
        </is>
      </c>
      <c r="B3547" t="inlineStr">
        <is>
          <t>Consulting</t>
        </is>
      </c>
      <c r="AB3547" t="n">
        <v>1182</v>
      </c>
      <c r="AD3547" s="52">
        <f>IFERROR(N(IFERROR(INDEX($A3547:$AB3547,MATCH("Xero Invoiced Ex GST",$A$1:$AB$1,0)),"")),0)</f>
        <v/>
      </c>
      <c r="AE3547" s="53">
        <f>IFERROR(INDEX($A3547:$AB3547,MATCH("Xero Invoice Date",$A$1:$AB$1,0)),"")</f>
        <v/>
      </c>
      <c r="AF3547" s="54">
        <f>IF(AND(IFERROR(INDEX($A3547:$AB3547,MATCH("Xero Invoice No",$A$1:$AB$1,0)),"")&amp;""&lt;&gt;"",ISNUMBER(AE3547),AD3547&lt;&gt;0),1,0)</f>
        <v/>
      </c>
      <c r="AG3547" s="55">
        <f>IF(AF3547=1,EOMONTH(AE3547,0),"")</f>
        <v/>
      </c>
      <c r="AH3547" s="9">
        <f>IF(AF3547=1,UPPER(TRIM(IFERROR(INDEX($A3547:$AB3547,MATCH("Client",$A$1:$AB$1,0)),"")&amp;"")),"")</f>
        <v/>
      </c>
      <c r="AI3547" s="9">
        <f>IF(AF3547=1,IFERROR(INDEX($A3547:$AB3547,MATCH("Cost Centre",$A$1:$AB$1,0)),"")&amp;"","")</f>
        <v/>
      </c>
      <c r="AJ3547" s="54">
        <f>IF(AND(AF3547=1,AE3547&gt;=set_FYStart,AE3547&lt;=set_AsAt),1,0)</f>
        <v/>
      </c>
      <c r="AK3547" s="54">
        <f>IF(AND(AJ3547=1,AH3547&lt;&gt;"",COUNTIFS($AH$2:AH3547,AH3547,$AJ$2:AJ3547,1)=1),N(AL3546)+1,"")</f>
        <v/>
      </c>
      <c r="AL3547" s="54">
        <f>IF(AK3547&lt;&gt;"",AK3547,N(AL3546))</f>
        <v/>
      </c>
    </row>
    <row r="3548">
      <c r="A3548" t="inlineStr">
        <is>
          <t>ONS-1183</t>
        </is>
      </c>
      <c r="B3548" t="inlineStr">
        <is>
          <t>Onsite</t>
        </is>
      </c>
      <c r="AB3548" t="n">
        <v>1183</v>
      </c>
      <c r="AD3548" s="52">
        <f>IFERROR(N(IFERROR(INDEX($A3548:$AB3548,MATCH("Xero Invoiced Ex GST",$A$1:$AB$1,0)),"")),0)</f>
        <v/>
      </c>
      <c r="AE3548" s="53">
        <f>IFERROR(INDEX($A3548:$AB3548,MATCH("Xero Invoice Date",$A$1:$AB$1,0)),"")</f>
        <v/>
      </c>
      <c r="AF3548" s="54">
        <f>IF(AND(IFERROR(INDEX($A3548:$AB3548,MATCH("Xero Invoice No",$A$1:$AB$1,0)),"")&amp;""&lt;&gt;"",ISNUMBER(AE3548),AD3548&lt;&gt;0),1,0)</f>
        <v/>
      </c>
      <c r="AG3548" s="55">
        <f>IF(AF3548=1,EOMONTH(AE3548,0),"")</f>
        <v/>
      </c>
      <c r="AH3548" s="9">
        <f>IF(AF3548=1,UPPER(TRIM(IFERROR(INDEX($A3548:$AB3548,MATCH("Client",$A$1:$AB$1,0)),"")&amp;"")),"")</f>
        <v/>
      </c>
      <c r="AI3548" s="9">
        <f>IF(AF3548=1,IFERROR(INDEX($A3548:$AB3548,MATCH("Cost Centre",$A$1:$AB$1,0)),"")&amp;"","")</f>
        <v/>
      </c>
      <c r="AJ3548" s="54">
        <f>IF(AND(AF3548=1,AE3548&gt;=set_FYStart,AE3548&lt;=set_AsAt),1,0)</f>
        <v/>
      </c>
      <c r="AK3548" s="54">
        <f>IF(AND(AJ3548=1,AH3548&lt;&gt;"",COUNTIFS($AH$2:AH3548,AH3548,$AJ$2:AJ3548,1)=1),N(AL3547)+1,"")</f>
        <v/>
      </c>
      <c r="AL3548" s="54">
        <f>IF(AK3548&lt;&gt;"",AK3548,N(AL3547))</f>
        <v/>
      </c>
    </row>
    <row r="3549">
      <c r="A3549" t="inlineStr">
        <is>
          <t>PRD-1183</t>
        </is>
      </c>
      <c r="B3549" t="inlineStr">
        <is>
          <t>Production</t>
        </is>
      </c>
      <c r="AB3549" t="n">
        <v>1183</v>
      </c>
      <c r="AD3549" s="52">
        <f>IFERROR(N(IFERROR(INDEX($A3549:$AB3549,MATCH("Xero Invoiced Ex GST",$A$1:$AB$1,0)),"")),0)</f>
        <v/>
      </c>
      <c r="AE3549" s="53">
        <f>IFERROR(INDEX($A3549:$AB3549,MATCH("Xero Invoice Date",$A$1:$AB$1,0)),"")</f>
        <v/>
      </c>
      <c r="AF3549" s="54">
        <f>IF(AND(IFERROR(INDEX($A3549:$AB3549,MATCH("Xero Invoice No",$A$1:$AB$1,0)),"")&amp;""&lt;&gt;"",ISNUMBER(AE3549),AD3549&lt;&gt;0),1,0)</f>
        <v/>
      </c>
      <c r="AG3549" s="55">
        <f>IF(AF3549=1,EOMONTH(AE3549,0),"")</f>
        <v/>
      </c>
      <c r="AH3549" s="9">
        <f>IF(AF3549=1,UPPER(TRIM(IFERROR(INDEX($A3549:$AB3549,MATCH("Client",$A$1:$AB$1,0)),"")&amp;"")),"")</f>
        <v/>
      </c>
      <c r="AI3549" s="9">
        <f>IF(AF3549=1,IFERROR(INDEX($A3549:$AB3549,MATCH("Cost Centre",$A$1:$AB$1,0)),"")&amp;"","")</f>
        <v/>
      </c>
      <c r="AJ3549" s="54">
        <f>IF(AND(AF3549=1,AE3549&gt;=set_FYStart,AE3549&lt;=set_AsAt),1,0)</f>
        <v/>
      </c>
      <c r="AK3549" s="54">
        <f>IF(AND(AJ3549=1,AH3549&lt;&gt;"",COUNTIFS($AH$2:AH3549,AH3549,$AJ$2:AJ3549,1)=1),N(AL3548)+1,"")</f>
        <v/>
      </c>
      <c r="AL3549" s="54">
        <f>IF(AK3549&lt;&gt;"",AK3549,N(AL3548))</f>
        <v/>
      </c>
    </row>
    <row r="3550">
      <c r="A3550" t="inlineStr">
        <is>
          <t>CON-1183</t>
        </is>
      </c>
      <c r="B3550" t="inlineStr">
        <is>
          <t>Consulting</t>
        </is>
      </c>
      <c r="AB3550" t="n">
        <v>1183</v>
      </c>
      <c r="AD3550" s="52">
        <f>IFERROR(N(IFERROR(INDEX($A3550:$AB3550,MATCH("Xero Invoiced Ex GST",$A$1:$AB$1,0)),"")),0)</f>
        <v/>
      </c>
      <c r="AE3550" s="53">
        <f>IFERROR(INDEX($A3550:$AB3550,MATCH("Xero Invoice Date",$A$1:$AB$1,0)),"")</f>
        <v/>
      </c>
      <c r="AF3550" s="54">
        <f>IF(AND(IFERROR(INDEX($A3550:$AB3550,MATCH("Xero Invoice No",$A$1:$AB$1,0)),"")&amp;""&lt;&gt;"",ISNUMBER(AE3550),AD3550&lt;&gt;0),1,0)</f>
        <v/>
      </c>
      <c r="AG3550" s="55">
        <f>IF(AF3550=1,EOMONTH(AE3550,0),"")</f>
        <v/>
      </c>
      <c r="AH3550" s="9">
        <f>IF(AF3550=1,UPPER(TRIM(IFERROR(INDEX($A3550:$AB3550,MATCH("Client",$A$1:$AB$1,0)),"")&amp;"")),"")</f>
        <v/>
      </c>
      <c r="AI3550" s="9">
        <f>IF(AF3550=1,IFERROR(INDEX($A3550:$AB3550,MATCH("Cost Centre",$A$1:$AB$1,0)),"")&amp;"","")</f>
        <v/>
      </c>
      <c r="AJ3550" s="54">
        <f>IF(AND(AF3550=1,AE3550&gt;=set_FYStart,AE3550&lt;=set_AsAt),1,0)</f>
        <v/>
      </c>
      <c r="AK3550" s="54">
        <f>IF(AND(AJ3550=1,AH3550&lt;&gt;"",COUNTIFS($AH$2:AH3550,AH3550,$AJ$2:AJ3550,1)=1),N(AL3549)+1,"")</f>
        <v/>
      </c>
      <c r="AL3550" s="54">
        <f>IF(AK3550&lt;&gt;"",AK3550,N(AL3549))</f>
        <v/>
      </c>
    </row>
    <row r="3551">
      <c r="A3551" t="inlineStr">
        <is>
          <t>ONS-1184</t>
        </is>
      </c>
      <c r="B3551" t="inlineStr">
        <is>
          <t>Onsite</t>
        </is>
      </c>
      <c r="AB3551" t="n">
        <v>1184</v>
      </c>
      <c r="AD3551" s="52">
        <f>IFERROR(N(IFERROR(INDEX($A3551:$AB3551,MATCH("Xero Invoiced Ex GST",$A$1:$AB$1,0)),"")),0)</f>
        <v/>
      </c>
      <c r="AE3551" s="53">
        <f>IFERROR(INDEX($A3551:$AB3551,MATCH("Xero Invoice Date",$A$1:$AB$1,0)),"")</f>
        <v/>
      </c>
      <c r="AF3551" s="54">
        <f>IF(AND(IFERROR(INDEX($A3551:$AB3551,MATCH("Xero Invoice No",$A$1:$AB$1,0)),"")&amp;""&lt;&gt;"",ISNUMBER(AE3551),AD3551&lt;&gt;0),1,0)</f>
        <v/>
      </c>
      <c r="AG3551" s="55">
        <f>IF(AF3551=1,EOMONTH(AE3551,0),"")</f>
        <v/>
      </c>
      <c r="AH3551" s="9">
        <f>IF(AF3551=1,UPPER(TRIM(IFERROR(INDEX($A3551:$AB3551,MATCH("Client",$A$1:$AB$1,0)),"")&amp;"")),"")</f>
        <v/>
      </c>
      <c r="AI3551" s="9">
        <f>IF(AF3551=1,IFERROR(INDEX($A3551:$AB3551,MATCH("Cost Centre",$A$1:$AB$1,0)),"")&amp;"","")</f>
        <v/>
      </c>
      <c r="AJ3551" s="54">
        <f>IF(AND(AF3551=1,AE3551&gt;=set_FYStart,AE3551&lt;=set_AsAt),1,0)</f>
        <v/>
      </c>
      <c r="AK3551" s="54">
        <f>IF(AND(AJ3551=1,AH3551&lt;&gt;"",COUNTIFS($AH$2:AH3551,AH3551,$AJ$2:AJ3551,1)=1),N(AL3550)+1,"")</f>
        <v/>
      </c>
      <c r="AL3551" s="54">
        <f>IF(AK3551&lt;&gt;"",AK3551,N(AL3550))</f>
        <v/>
      </c>
    </row>
    <row r="3552">
      <c r="A3552" t="inlineStr">
        <is>
          <t>PRD-1184</t>
        </is>
      </c>
      <c r="B3552" t="inlineStr">
        <is>
          <t>Production</t>
        </is>
      </c>
      <c r="AB3552" t="n">
        <v>1184</v>
      </c>
      <c r="AD3552" s="52">
        <f>IFERROR(N(IFERROR(INDEX($A3552:$AB3552,MATCH("Xero Invoiced Ex GST",$A$1:$AB$1,0)),"")),0)</f>
        <v/>
      </c>
      <c r="AE3552" s="53">
        <f>IFERROR(INDEX($A3552:$AB3552,MATCH("Xero Invoice Date",$A$1:$AB$1,0)),"")</f>
        <v/>
      </c>
      <c r="AF3552" s="54">
        <f>IF(AND(IFERROR(INDEX($A3552:$AB3552,MATCH("Xero Invoice No",$A$1:$AB$1,0)),"")&amp;""&lt;&gt;"",ISNUMBER(AE3552),AD3552&lt;&gt;0),1,0)</f>
        <v/>
      </c>
      <c r="AG3552" s="55">
        <f>IF(AF3552=1,EOMONTH(AE3552,0),"")</f>
        <v/>
      </c>
      <c r="AH3552" s="9">
        <f>IF(AF3552=1,UPPER(TRIM(IFERROR(INDEX($A3552:$AB3552,MATCH("Client",$A$1:$AB$1,0)),"")&amp;"")),"")</f>
        <v/>
      </c>
      <c r="AI3552" s="9">
        <f>IF(AF3552=1,IFERROR(INDEX($A3552:$AB3552,MATCH("Cost Centre",$A$1:$AB$1,0)),"")&amp;"","")</f>
        <v/>
      </c>
      <c r="AJ3552" s="54">
        <f>IF(AND(AF3552=1,AE3552&gt;=set_FYStart,AE3552&lt;=set_AsAt),1,0)</f>
        <v/>
      </c>
      <c r="AK3552" s="54">
        <f>IF(AND(AJ3552=1,AH3552&lt;&gt;"",COUNTIFS($AH$2:AH3552,AH3552,$AJ$2:AJ3552,1)=1),N(AL3551)+1,"")</f>
        <v/>
      </c>
      <c r="AL3552" s="54">
        <f>IF(AK3552&lt;&gt;"",AK3552,N(AL3551))</f>
        <v/>
      </c>
    </row>
    <row r="3553">
      <c r="A3553" t="inlineStr">
        <is>
          <t>CON-1184</t>
        </is>
      </c>
      <c r="B3553" t="inlineStr">
        <is>
          <t>Consulting</t>
        </is>
      </c>
      <c r="AB3553" t="n">
        <v>1184</v>
      </c>
      <c r="AD3553" s="52">
        <f>IFERROR(N(IFERROR(INDEX($A3553:$AB3553,MATCH("Xero Invoiced Ex GST",$A$1:$AB$1,0)),"")),0)</f>
        <v/>
      </c>
      <c r="AE3553" s="53">
        <f>IFERROR(INDEX($A3553:$AB3553,MATCH("Xero Invoice Date",$A$1:$AB$1,0)),"")</f>
        <v/>
      </c>
      <c r="AF3553" s="54">
        <f>IF(AND(IFERROR(INDEX($A3553:$AB3553,MATCH("Xero Invoice No",$A$1:$AB$1,0)),"")&amp;""&lt;&gt;"",ISNUMBER(AE3553),AD3553&lt;&gt;0),1,0)</f>
        <v/>
      </c>
      <c r="AG3553" s="55">
        <f>IF(AF3553=1,EOMONTH(AE3553,0),"")</f>
        <v/>
      </c>
      <c r="AH3553" s="9">
        <f>IF(AF3553=1,UPPER(TRIM(IFERROR(INDEX($A3553:$AB3553,MATCH("Client",$A$1:$AB$1,0)),"")&amp;"")),"")</f>
        <v/>
      </c>
      <c r="AI3553" s="9">
        <f>IF(AF3553=1,IFERROR(INDEX($A3553:$AB3553,MATCH("Cost Centre",$A$1:$AB$1,0)),"")&amp;"","")</f>
        <v/>
      </c>
      <c r="AJ3553" s="54">
        <f>IF(AND(AF3553=1,AE3553&gt;=set_FYStart,AE3553&lt;=set_AsAt),1,0)</f>
        <v/>
      </c>
      <c r="AK3553" s="54">
        <f>IF(AND(AJ3553=1,AH3553&lt;&gt;"",COUNTIFS($AH$2:AH3553,AH3553,$AJ$2:AJ3553,1)=1),N(AL3552)+1,"")</f>
        <v/>
      </c>
      <c r="AL3553" s="54">
        <f>IF(AK3553&lt;&gt;"",AK3553,N(AL3552))</f>
        <v/>
      </c>
    </row>
    <row r="3554">
      <c r="A3554" t="inlineStr">
        <is>
          <t>ONS-1185</t>
        </is>
      </c>
      <c r="B3554" t="inlineStr">
        <is>
          <t>Onsite</t>
        </is>
      </c>
      <c r="AB3554" t="n">
        <v>1185</v>
      </c>
      <c r="AD3554" s="52">
        <f>IFERROR(N(IFERROR(INDEX($A3554:$AB3554,MATCH("Xero Invoiced Ex GST",$A$1:$AB$1,0)),"")),0)</f>
        <v/>
      </c>
      <c r="AE3554" s="53">
        <f>IFERROR(INDEX($A3554:$AB3554,MATCH("Xero Invoice Date",$A$1:$AB$1,0)),"")</f>
        <v/>
      </c>
      <c r="AF3554" s="54">
        <f>IF(AND(IFERROR(INDEX($A3554:$AB3554,MATCH("Xero Invoice No",$A$1:$AB$1,0)),"")&amp;""&lt;&gt;"",ISNUMBER(AE3554),AD3554&lt;&gt;0),1,0)</f>
        <v/>
      </c>
      <c r="AG3554" s="55">
        <f>IF(AF3554=1,EOMONTH(AE3554,0),"")</f>
        <v/>
      </c>
      <c r="AH3554" s="9">
        <f>IF(AF3554=1,UPPER(TRIM(IFERROR(INDEX($A3554:$AB3554,MATCH("Client",$A$1:$AB$1,0)),"")&amp;"")),"")</f>
        <v/>
      </c>
      <c r="AI3554" s="9">
        <f>IF(AF3554=1,IFERROR(INDEX($A3554:$AB3554,MATCH("Cost Centre",$A$1:$AB$1,0)),"")&amp;"","")</f>
        <v/>
      </c>
      <c r="AJ3554" s="54">
        <f>IF(AND(AF3554=1,AE3554&gt;=set_FYStart,AE3554&lt;=set_AsAt),1,0)</f>
        <v/>
      </c>
      <c r="AK3554" s="54">
        <f>IF(AND(AJ3554=1,AH3554&lt;&gt;"",COUNTIFS($AH$2:AH3554,AH3554,$AJ$2:AJ3554,1)=1),N(AL3553)+1,"")</f>
        <v/>
      </c>
      <c r="AL3554" s="54">
        <f>IF(AK3554&lt;&gt;"",AK3554,N(AL3553))</f>
        <v/>
      </c>
    </row>
    <row r="3555">
      <c r="A3555" t="inlineStr">
        <is>
          <t>PRD-1185</t>
        </is>
      </c>
      <c r="B3555" t="inlineStr">
        <is>
          <t>Production</t>
        </is>
      </c>
      <c r="AB3555" t="n">
        <v>1185</v>
      </c>
      <c r="AD3555" s="52">
        <f>IFERROR(N(IFERROR(INDEX($A3555:$AB3555,MATCH("Xero Invoiced Ex GST",$A$1:$AB$1,0)),"")),0)</f>
        <v/>
      </c>
      <c r="AE3555" s="53">
        <f>IFERROR(INDEX($A3555:$AB3555,MATCH("Xero Invoice Date",$A$1:$AB$1,0)),"")</f>
        <v/>
      </c>
      <c r="AF3555" s="54">
        <f>IF(AND(IFERROR(INDEX($A3555:$AB3555,MATCH("Xero Invoice No",$A$1:$AB$1,0)),"")&amp;""&lt;&gt;"",ISNUMBER(AE3555),AD3555&lt;&gt;0),1,0)</f>
        <v/>
      </c>
      <c r="AG3555" s="55">
        <f>IF(AF3555=1,EOMONTH(AE3555,0),"")</f>
        <v/>
      </c>
      <c r="AH3555" s="9">
        <f>IF(AF3555=1,UPPER(TRIM(IFERROR(INDEX($A3555:$AB3555,MATCH("Client",$A$1:$AB$1,0)),"")&amp;"")),"")</f>
        <v/>
      </c>
      <c r="AI3555" s="9">
        <f>IF(AF3555=1,IFERROR(INDEX($A3555:$AB3555,MATCH("Cost Centre",$A$1:$AB$1,0)),"")&amp;"","")</f>
        <v/>
      </c>
      <c r="AJ3555" s="54">
        <f>IF(AND(AF3555=1,AE3555&gt;=set_FYStart,AE3555&lt;=set_AsAt),1,0)</f>
        <v/>
      </c>
      <c r="AK3555" s="54">
        <f>IF(AND(AJ3555=1,AH3555&lt;&gt;"",COUNTIFS($AH$2:AH3555,AH3555,$AJ$2:AJ3555,1)=1),N(AL3554)+1,"")</f>
        <v/>
      </c>
      <c r="AL3555" s="54">
        <f>IF(AK3555&lt;&gt;"",AK3555,N(AL3554))</f>
        <v/>
      </c>
    </row>
    <row r="3556">
      <c r="A3556" t="inlineStr">
        <is>
          <t>CON-1185</t>
        </is>
      </c>
      <c r="B3556" t="inlineStr">
        <is>
          <t>Consulting</t>
        </is>
      </c>
      <c r="AB3556" t="n">
        <v>1185</v>
      </c>
      <c r="AD3556" s="52">
        <f>IFERROR(N(IFERROR(INDEX($A3556:$AB3556,MATCH("Xero Invoiced Ex GST",$A$1:$AB$1,0)),"")),0)</f>
        <v/>
      </c>
      <c r="AE3556" s="53">
        <f>IFERROR(INDEX($A3556:$AB3556,MATCH("Xero Invoice Date",$A$1:$AB$1,0)),"")</f>
        <v/>
      </c>
      <c r="AF3556" s="54">
        <f>IF(AND(IFERROR(INDEX($A3556:$AB3556,MATCH("Xero Invoice No",$A$1:$AB$1,0)),"")&amp;""&lt;&gt;"",ISNUMBER(AE3556),AD3556&lt;&gt;0),1,0)</f>
        <v/>
      </c>
      <c r="AG3556" s="55">
        <f>IF(AF3556=1,EOMONTH(AE3556,0),"")</f>
        <v/>
      </c>
      <c r="AH3556" s="9">
        <f>IF(AF3556=1,UPPER(TRIM(IFERROR(INDEX($A3556:$AB3556,MATCH("Client",$A$1:$AB$1,0)),"")&amp;"")),"")</f>
        <v/>
      </c>
      <c r="AI3556" s="9">
        <f>IF(AF3556=1,IFERROR(INDEX($A3556:$AB3556,MATCH("Cost Centre",$A$1:$AB$1,0)),"")&amp;"","")</f>
        <v/>
      </c>
      <c r="AJ3556" s="54">
        <f>IF(AND(AF3556=1,AE3556&gt;=set_FYStart,AE3556&lt;=set_AsAt),1,0)</f>
        <v/>
      </c>
      <c r="AK3556" s="54">
        <f>IF(AND(AJ3556=1,AH3556&lt;&gt;"",COUNTIFS($AH$2:AH3556,AH3556,$AJ$2:AJ3556,1)=1),N(AL3555)+1,"")</f>
        <v/>
      </c>
      <c r="AL3556" s="54">
        <f>IF(AK3556&lt;&gt;"",AK3556,N(AL3555))</f>
        <v/>
      </c>
    </row>
    <row r="3557">
      <c r="A3557" t="inlineStr">
        <is>
          <t>ONS-1186</t>
        </is>
      </c>
      <c r="B3557" t="inlineStr">
        <is>
          <t>Onsite</t>
        </is>
      </c>
      <c r="AB3557" t="n">
        <v>1186</v>
      </c>
      <c r="AD3557" s="52">
        <f>IFERROR(N(IFERROR(INDEX($A3557:$AB3557,MATCH("Xero Invoiced Ex GST",$A$1:$AB$1,0)),"")),0)</f>
        <v/>
      </c>
      <c r="AE3557" s="53">
        <f>IFERROR(INDEX($A3557:$AB3557,MATCH("Xero Invoice Date",$A$1:$AB$1,0)),"")</f>
        <v/>
      </c>
      <c r="AF3557" s="54">
        <f>IF(AND(IFERROR(INDEX($A3557:$AB3557,MATCH("Xero Invoice No",$A$1:$AB$1,0)),"")&amp;""&lt;&gt;"",ISNUMBER(AE3557),AD3557&lt;&gt;0),1,0)</f>
        <v/>
      </c>
      <c r="AG3557" s="55">
        <f>IF(AF3557=1,EOMONTH(AE3557,0),"")</f>
        <v/>
      </c>
      <c r="AH3557" s="9">
        <f>IF(AF3557=1,UPPER(TRIM(IFERROR(INDEX($A3557:$AB3557,MATCH("Client",$A$1:$AB$1,0)),"")&amp;"")),"")</f>
        <v/>
      </c>
      <c r="AI3557" s="9">
        <f>IF(AF3557=1,IFERROR(INDEX($A3557:$AB3557,MATCH("Cost Centre",$A$1:$AB$1,0)),"")&amp;"","")</f>
        <v/>
      </c>
      <c r="AJ3557" s="54">
        <f>IF(AND(AF3557=1,AE3557&gt;=set_FYStart,AE3557&lt;=set_AsAt),1,0)</f>
        <v/>
      </c>
      <c r="AK3557" s="54">
        <f>IF(AND(AJ3557=1,AH3557&lt;&gt;"",COUNTIFS($AH$2:AH3557,AH3557,$AJ$2:AJ3557,1)=1),N(AL3556)+1,"")</f>
        <v/>
      </c>
      <c r="AL3557" s="54">
        <f>IF(AK3557&lt;&gt;"",AK3557,N(AL3556))</f>
        <v/>
      </c>
    </row>
    <row r="3558">
      <c r="A3558" t="inlineStr">
        <is>
          <t>PRD-1186</t>
        </is>
      </c>
      <c r="B3558" t="inlineStr">
        <is>
          <t>Production</t>
        </is>
      </c>
      <c r="AB3558" t="n">
        <v>1186</v>
      </c>
      <c r="AD3558" s="52">
        <f>IFERROR(N(IFERROR(INDEX($A3558:$AB3558,MATCH("Xero Invoiced Ex GST",$A$1:$AB$1,0)),"")),0)</f>
        <v/>
      </c>
      <c r="AE3558" s="53">
        <f>IFERROR(INDEX($A3558:$AB3558,MATCH("Xero Invoice Date",$A$1:$AB$1,0)),"")</f>
        <v/>
      </c>
      <c r="AF3558" s="54">
        <f>IF(AND(IFERROR(INDEX($A3558:$AB3558,MATCH("Xero Invoice No",$A$1:$AB$1,0)),"")&amp;""&lt;&gt;"",ISNUMBER(AE3558),AD3558&lt;&gt;0),1,0)</f>
        <v/>
      </c>
      <c r="AG3558" s="55">
        <f>IF(AF3558=1,EOMONTH(AE3558,0),"")</f>
        <v/>
      </c>
      <c r="AH3558" s="9">
        <f>IF(AF3558=1,UPPER(TRIM(IFERROR(INDEX($A3558:$AB3558,MATCH("Client",$A$1:$AB$1,0)),"")&amp;"")),"")</f>
        <v/>
      </c>
      <c r="AI3558" s="9">
        <f>IF(AF3558=1,IFERROR(INDEX($A3558:$AB3558,MATCH("Cost Centre",$A$1:$AB$1,0)),"")&amp;"","")</f>
        <v/>
      </c>
      <c r="AJ3558" s="54">
        <f>IF(AND(AF3558=1,AE3558&gt;=set_FYStart,AE3558&lt;=set_AsAt),1,0)</f>
        <v/>
      </c>
      <c r="AK3558" s="54">
        <f>IF(AND(AJ3558=1,AH3558&lt;&gt;"",COUNTIFS($AH$2:AH3558,AH3558,$AJ$2:AJ3558,1)=1),N(AL3557)+1,"")</f>
        <v/>
      </c>
      <c r="AL3558" s="54">
        <f>IF(AK3558&lt;&gt;"",AK3558,N(AL3557))</f>
        <v/>
      </c>
    </row>
    <row r="3559">
      <c r="A3559" t="inlineStr">
        <is>
          <t>CON-1186</t>
        </is>
      </c>
      <c r="B3559" t="inlineStr">
        <is>
          <t>Consulting</t>
        </is>
      </c>
      <c r="AB3559" t="n">
        <v>1186</v>
      </c>
      <c r="AD3559" s="52">
        <f>IFERROR(N(IFERROR(INDEX($A3559:$AB3559,MATCH("Xero Invoiced Ex GST",$A$1:$AB$1,0)),"")),0)</f>
        <v/>
      </c>
      <c r="AE3559" s="53">
        <f>IFERROR(INDEX($A3559:$AB3559,MATCH("Xero Invoice Date",$A$1:$AB$1,0)),"")</f>
        <v/>
      </c>
      <c r="AF3559" s="54">
        <f>IF(AND(IFERROR(INDEX($A3559:$AB3559,MATCH("Xero Invoice No",$A$1:$AB$1,0)),"")&amp;""&lt;&gt;"",ISNUMBER(AE3559),AD3559&lt;&gt;0),1,0)</f>
        <v/>
      </c>
      <c r="AG3559" s="55">
        <f>IF(AF3559=1,EOMONTH(AE3559,0),"")</f>
        <v/>
      </c>
      <c r="AH3559" s="9">
        <f>IF(AF3559=1,UPPER(TRIM(IFERROR(INDEX($A3559:$AB3559,MATCH("Client",$A$1:$AB$1,0)),"")&amp;"")),"")</f>
        <v/>
      </c>
      <c r="AI3559" s="9">
        <f>IF(AF3559=1,IFERROR(INDEX($A3559:$AB3559,MATCH("Cost Centre",$A$1:$AB$1,0)),"")&amp;"","")</f>
        <v/>
      </c>
      <c r="AJ3559" s="54">
        <f>IF(AND(AF3559=1,AE3559&gt;=set_FYStart,AE3559&lt;=set_AsAt),1,0)</f>
        <v/>
      </c>
      <c r="AK3559" s="54">
        <f>IF(AND(AJ3559=1,AH3559&lt;&gt;"",COUNTIFS($AH$2:AH3559,AH3559,$AJ$2:AJ3559,1)=1),N(AL3558)+1,"")</f>
        <v/>
      </c>
      <c r="AL3559" s="54">
        <f>IF(AK3559&lt;&gt;"",AK3559,N(AL3558))</f>
        <v/>
      </c>
    </row>
    <row r="3560">
      <c r="A3560" t="inlineStr">
        <is>
          <t>ONS-1187</t>
        </is>
      </c>
      <c r="B3560" t="inlineStr">
        <is>
          <t>Onsite</t>
        </is>
      </c>
      <c r="AB3560" t="n">
        <v>1187</v>
      </c>
      <c r="AD3560" s="52">
        <f>IFERROR(N(IFERROR(INDEX($A3560:$AB3560,MATCH("Xero Invoiced Ex GST",$A$1:$AB$1,0)),"")),0)</f>
        <v/>
      </c>
      <c r="AE3560" s="53">
        <f>IFERROR(INDEX($A3560:$AB3560,MATCH("Xero Invoice Date",$A$1:$AB$1,0)),"")</f>
        <v/>
      </c>
      <c r="AF3560" s="54">
        <f>IF(AND(IFERROR(INDEX($A3560:$AB3560,MATCH("Xero Invoice No",$A$1:$AB$1,0)),"")&amp;""&lt;&gt;"",ISNUMBER(AE3560),AD3560&lt;&gt;0),1,0)</f>
        <v/>
      </c>
      <c r="AG3560" s="55">
        <f>IF(AF3560=1,EOMONTH(AE3560,0),"")</f>
        <v/>
      </c>
      <c r="AH3560" s="9">
        <f>IF(AF3560=1,UPPER(TRIM(IFERROR(INDEX($A3560:$AB3560,MATCH("Client",$A$1:$AB$1,0)),"")&amp;"")),"")</f>
        <v/>
      </c>
      <c r="AI3560" s="9">
        <f>IF(AF3560=1,IFERROR(INDEX($A3560:$AB3560,MATCH("Cost Centre",$A$1:$AB$1,0)),"")&amp;"","")</f>
        <v/>
      </c>
      <c r="AJ3560" s="54">
        <f>IF(AND(AF3560=1,AE3560&gt;=set_FYStart,AE3560&lt;=set_AsAt),1,0)</f>
        <v/>
      </c>
      <c r="AK3560" s="54">
        <f>IF(AND(AJ3560=1,AH3560&lt;&gt;"",COUNTIFS($AH$2:AH3560,AH3560,$AJ$2:AJ3560,1)=1),N(AL3559)+1,"")</f>
        <v/>
      </c>
      <c r="AL3560" s="54">
        <f>IF(AK3560&lt;&gt;"",AK3560,N(AL3559))</f>
        <v/>
      </c>
    </row>
    <row r="3561">
      <c r="A3561" t="inlineStr">
        <is>
          <t>PRD-1187</t>
        </is>
      </c>
      <c r="B3561" t="inlineStr">
        <is>
          <t>Production</t>
        </is>
      </c>
      <c r="AB3561" t="n">
        <v>1187</v>
      </c>
      <c r="AD3561" s="52">
        <f>IFERROR(N(IFERROR(INDEX($A3561:$AB3561,MATCH("Xero Invoiced Ex GST",$A$1:$AB$1,0)),"")),0)</f>
        <v/>
      </c>
      <c r="AE3561" s="53">
        <f>IFERROR(INDEX($A3561:$AB3561,MATCH("Xero Invoice Date",$A$1:$AB$1,0)),"")</f>
        <v/>
      </c>
      <c r="AF3561" s="54">
        <f>IF(AND(IFERROR(INDEX($A3561:$AB3561,MATCH("Xero Invoice No",$A$1:$AB$1,0)),"")&amp;""&lt;&gt;"",ISNUMBER(AE3561),AD3561&lt;&gt;0),1,0)</f>
        <v/>
      </c>
      <c r="AG3561" s="55">
        <f>IF(AF3561=1,EOMONTH(AE3561,0),"")</f>
        <v/>
      </c>
      <c r="AH3561" s="9">
        <f>IF(AF3561=1,UPPER(TRIM(IFERROR(INDEX($A3561:$AB3561,MATCH("Client",$A$1:$AB$1,0)),"")&amp;"")),"")</f>
        <v/>
      </c>
      <c r="AI3561" s="9">
        <f>IF(AF3561=1,IFERROR(INDEX($A3561:$AB3561,MATCH("Cost Centre",$A$1:$AB$1,0)),"")&amp;"","")</f>
        <v/>
      </c>
      <c r="AJ3561" s="54">
        <f>IF(AND(AF3561=1,AE3561&gt;=set_FYStart,AE3561&lt;=set_AsAt),1,0)</f>
        <v/>
      </c>
      <c r="AK3561" s="54">
        <f>IF(AND(AJ3561=1,AH3561&lt;&gt;"",COUNTIFS($AH$2:AH3561,AH3561,$AJ$2:AJ3561,1)=1),N(AL3560)+1,"")</f>
        <v/>
      </c>
      <c r="AL3561" s="54">
        <f>IF(AK3561&lt;&gt;"",AK3561,N(AL3560))</f>
        <v/>
      </c>
    </row>
    <row r="3562">
      <c r="A3562" t="inlineStr">
        <is>
          <t>CON-1187</t>
        </is>
      </c>
      <c r="B3562" t="inlineStr">
        <is>
          <t>Consulting</t>
        </is>
      </c>
      <c r="AB3562" t="n">
        <v>1187</v>
      </c>
      <c r="AD3562" s="52">
        <f>IFERROR(N(IFERROR(INDEX($A3562:$AB3562,MATCH("Xero Invoiced Ex GST",$A$1:$AB$1,0)),"")),0)</f>
        <v/>
      </c>
      <c r="AE3562" s="53">
        <f>IFERROR(INDEX($A3562:$AB3562,MATCH("Xero Invoice Date",$A$1:$AB$1,0)),"")</f>
        <v/>
      </c>
      <c r="AF3562" s="54">
        <f>IF(AND(IFERROR(INDEX($A3562:$AB3562,MATCH("Xero Invoice No",$A$1:$AB$1,0)),"")&amp;""&lt;&gt;"",ISNUMBER(AE3562),AD3562&lt;&gt;0),1,0)</f>
        <v/>
      </c>
      <c r="AG3562" s="55">
        <f>IF(AF3562=1,EOMONTH(AE3562,0),"")</f>
        <v/>
      </c>
      <c r="AH3562" s="9">
        <f>IF(AF3562=1,UPPER(TRIM(IFERROR(INDEX($A3562:$AB3562,MATCH("Client",$A$1:$AB$1,0)),"")&amp;"")),"")</f>
        <v/>
      </c>
      <c r="AI3562" s="9">
        <f>IF(AF3562=1,IFERROR(INDEX($A3562:$AB3562,MATCH("Cost Centre",$A$1:$AB$1,0)),"")&amp;"","")</f>
        <v/>
      </c>
      <c r="AJ3562" s="54">
        <f>IF(AND(AF3562=1,AE3562&gt;=set_FYStart,AE3562&lt;=set_AsAt),1,0)</f>
        <v/>
      </c>
      <c r="AK3562" s="54">
        <f>IF(AND(AJ3562=1,AH3562&lt;&gt;"",COUNTIFS($AH$2:AH3562,AH3562,$AJ$2:AJ3562,1)=1),N(AL3561)+1,"")</f>
        <v/>
      </c>
      <c r="AL3562" s="54">
        <f>IF(AK3562&lt;&gt;"",AK3562,N(AL3561))</f>
        <v/>
      </c>
    </row>
    <row r="3563">
      <c r="A3563" t="inlineStr">
        <is>
          <t>ONS-1188</t>
        </is>
      </c>
      <c r="B3563" t="inlineStr">
        <is>
          <t>Onsite</t>
        </is>
      </c>
      <c r="AB3563" t="n">
        <v>1188</v>
      </c>
      <c r="AD3563" s="52">
        <f>IFERROR(N(IFERROR(INDEX($A3563:$AB3563,MATCH("Xero Invoiced Ex GST",$A$1:$AB$1,0)),"")),0)</f>
        <v/>
      </c>
      <c r="AE3563" s="53">
        <f>IFERROR(INDEX($A3563:$AB3563,MATCH("Xero Invoice Date",$A$1:$AB$1,0)),"")</f>
        <v/>
      </c>
      <c r="AF3563" s="54">
        <f>IF(AND(IFERROR(INDEX($A3563:$AB3563,MATCH("Xero Invoice No",$A$1:$AB$1,0)),"")&amp;""&lt;&gt;"",ISNUMBER(AE3563),AD3563&lt;&gt;0),1,0)</f>
        <v/>
      </c>
      <c r="AG3563" s="55">
        <f>IF(AF3563=1,EOMONTH(AE3563,0),"")</f>
        <v/>
      </c>
      <c r="AH3563" s="9">
        <f>IF(AF3563=1,UPPER(TRIM(IFERROR(INDEX($A3563:$AB3563,MATCH("Client",$A$1:$AB$1,0)),"")&amp;"")),"")</f>
        <v/>
      </c>
      <c r="AI3563" s="9">
        <f>IF(AF3563=1,IFERROR(INDEX($A3563:$AB3563,MATCH("Cost Centre",$A$1:$AB$1,0)),"")&amp;"","")</f>
        <v/>
      </c>
      <c r="AJ3563" s="54">
        <f>IF(AND(AF3563=1,AE3563&gt;=set_FYStart,AE3563&lt;=set_AsAt),1,0)</f>
        <v/>
      </c>
      <c r="AK3563" s="54">
        <f>IF(AND(AJ3563=1,AH3563&lt;&gt;"",COUNTIFS($AH$2:AH3563,AH3563,$AJ$2:AJ3563,1)=1),N(AL3562)+1,"")</f>
        <v/>
      </c>
      <c r="AL3563" s="54">
        <f>IF(AK3563&lt;&gt;"",AK3563,N(AL3562))</f>
        <v/>
      </c>
    </row>
    <row r="3564">
      <c r="A3564" t="inlineStr">
        <is>
          <t>PRD-1188</t>
        </is>
      </c>
      <c r="B3564" t="inlineStr">
        <is>
          <t>Production</t>
        </is>
      </c>
      <c r="AB3564" t="n">
        <v>1188</v>
      </c>
      <c r="AD3564" s="52">
        <f>IFERROR(N(IFERROR(INDEX($A3564:$AB3564,MATCH("Xero Invoiced Ex GST",$A$1:$AB$1,0)),"")),0)</f>
        <v/>
      </c>
      <c r="AE3564" s="53">
        <f>IFERROR(INDEX($A3564:$AB3564,MATCH("Xero Invoice Date",$A$1:$AB$1,0)),"")</f>
        <v/>
      </c>
      <c r="AF3564" s="54">
        <f>IF(AND(IFERROR(INDEX($A3564:$AB3564,MATCH("Xero Invoice No",$A$1:$AB$1,0)),"")&amp;""&lt;&gt;"",ISNUMBER(AE3564),AD3564&lt;&gt;0),1,0)</f>
        <v/>
      </c>
      <c r="AG3564" s="55">
        <f>IF(AF3564=1,EOMONTH(AE3564,0),"")</f>
        <v/>
      </c>
      <c r="AH3564" s="9">
        <f>IF(AF3564=1,UPPER(TRIM(IFERROR(INDEX($A3564:$AB3564,MATCH("Client",$A$1:$AB$1,0)),"")&amp;"")),"")</f>
        <v/>
      </c>
      <c r="AI3564" s="9">
        <f>IF(AF3564=1,IFERROR(INDEX($A3564:$AB3564,MATCH("Cost Centre",$A$1:$AB$1,0)),"")&amp;"","")</f>
        <v/>
      </c>
      <c r="AJ3564" s="54">
        <f>IF(AND(AF3564=1,AE3564&gt;=set_FYStart,AE3564&lt;=set_AsAt),1,0)</f>
        <v/>
      </c>
      <c r="AK3564" s="54">
        <f>IF(AND(AJ3564=1,AH3564&lt;&gt;"",COUNTIFS($AH$2:AH3564,AH3564,$AJ$2:AJ3564,1)=1),N(AL3563)+1,"")</f>
        <v/>
      </c>
      <c r="AL3564" s="54">
        <f>IF(AK3564&lt;&gt;"",AK3564,N(AL3563))</f>
        <v/>
      </c>
    </row>
    <row r="3565">
      <c r="A3565" t="inlineStr">
        <is>
          <t>CON-1188</t>
        </is>
      </c>
      <c r="B3565" t="inlineStr">
        <is>
          <t>Consulting</t>
        </is>
      </c>
      <c r="AB3565" t="n">
        <v>1188</v>
      </c>
      <c r="AD3565" s="52">
        <f>IFERROR(N(IFERROR(INDEX($A3565:$AB3565,MATCH("Xero Invoiced Ex GST",$A$1:$AB$1,0)),"")),0)</f>
        <v/>
      </c>
      <c r="AE3565" s="53">
        <f>IFERROR(INDEX($A3565:$AB3565,MATCH("Xero Invoice Date",$A$1:$AB$1,0)),"")</f>
        <v/>
      </c>
      <c r="AF3565" s="54">
        <f>IF(AND(IFERROR(INDEX($A3565:$AB3565,MATCH("Xero Invoice No",$A$1:$AB$1,0)),"")&amp;""&lt;&gt;"",ISNUMBER(AE3565),AD3565&lt;&gt;0),1,0)</f>
        <v/>
      </c>
      <c r="AG3565" s="55">
        <f>IF(AF3565=1,EOMONTH(AE3565,0),"")</f>
        <v/>
      </c>
      <c r="AH3565" s="9">
        <f>IF(AF3565=1,UPPER(TRIM(IFERROR(INDEX($A3565:$AB3565,MATCH("Client",$A$1:$AB$1,0)),"")&amp;"")),"")</f>
        <v/>
      </c>
      <c r="AI3565" s="9">
        <f>IF(AF3565=1,IFERROR(INDEX($A3565:$AB3565,MATCH("Cost Centre",$A$1:$AB$1,0)),"")&amp;"","")</f>
        <v/>
      </c>
      <c r="AJ3565" s="54">
        <f>IF(AND(AF3565=1,AE3565&gt;=set_FYStart,AE3565&lt;=set_AsAt),1,0)</f>
        <v/>
      </c>
      <c r="AK3565" s="54">
        <f>IF(AND(AJ3565=1,AH3565&lt;&gt;"",COUNTIFS($AH$2:AH3565,AH3565,$AJ$2:AJ3565,1)=1),N(AL3564)+1,"")</f>
        <v/>
      </c>
      <c r="AL3565" s="54">
        <f>IF(AK3565&lt;&gt;"",AK3565,N(AL3564))</f>
        <v/>
      </c>
    </row>
    <row r="3566">
      <c r="A3566" t="inlineStr">
        <is>
          <t>ONS-1189</t>
        </is>
      </c>
      <c r="B3566" t="inlineStr">
        <is>
          <t>Onsite</t>
        </is>
      </c>
      <c r="AB3566" t="n">
        <v>1189</v>
      </c>
      <c r="AD3566" s="52">
        <f>IFERROR(N(IFERROR(INDEX($A3566:$AB3566,MATCH("Xero Invoiced Ex GST",$A$1:$AB$1,0)),"")),0)</f>
        <v/>
      </c>
      <c r="AE3566" s="53">
        <f>IFERROR(INDEX($A3566:$AB3566,MATCH("Xero Invoice Date",$A$1:$AB$1,0)),"")</f>
        <v/>
      </c>
      <c r="AF3566" s="54">
        <f>IF(AND(IFERROR(INDEX($A3566:$AB3566,MATCH("Xero Invoice No",$A$1:$AB$1,0)),"")&amp;""&lt;&gt;"",ISNUMBER(AE3566),AD3566&lt;&gt;0),1,0)</f>
        <v/>
      </c>
      <c r="AG3566" s="55">
        <f>IF(AF3566=1,EOMONTH(AE3566,0),"")</f>
        <v/>
      </c>
      <c r="AH3566" s="9">
        <f>IF(AF3566=1,UPPER(TRIM(IFERROR(INDEX($A3566:$AB3566,MATCH("Client",$A$1:$AB$1,0)),"")&amp;"")),"")</f>
        <v/>
      </c>
      <c r="AI3566" s="9">
        <f>IF(AF3566=1,IFERROR(INDEX($A3566:$AB3566,MATCH("Cost Centre",$A$1:$AB$1,0)),"")&amp;"","")</f>
        <v/>
      </c>
      <c r="AJ3566" s="54">
        <f>IF(AND(AF3566=1,AE3566&gt;=set_FYStart,AE3566&lt;=set_AsAt),1,0)</f>
        <v/>
      </c>
      <c r="AK3566" s="54">
        <f>IF(AND(AJ3566=1,AH3566&lt;&gt;"",COUNTIFS($AH$2:AH3566,AH3566,$AJ$2:AJ3566,1)=1),N(AL3565)+1,"")</f>
        <v/>
      </c>
      <c r="AL3566" s="54">
        <f>IF(AK3566&lt;&gt;"",AK3566,N(AL3565))</f>
        <v/>
      </c>
    </row>
    <row r="3567">
      <c r="A3567" t="inlineStr">
        <is>
          <t>PRD-1189</t>
        </is>
      </c>
      <c r="B3567" t="inlineStr">
        <is>
          <t>Production</t>
        </is>
      </c>
      <c r="AB3567" t="n">
        <v>1189</v>
      </c>
      <c r="AD3567" s="52">
        <f>IFERROR(N(IFERROR(INDEX($A3567:$AB3567,MATCH("Xero Invoiced Ex GST",$A$1:$AB$1,0)),"")),0)</f>
        <v/>
      </c>
      <c r="AE3567" s="53">
        <f>IFERROR(INDEX($A3567:$AB3567,MATCH("Xero Invoice Date",$A$1:$AB$1,0)),"")</f>
        <v/>
      </c>
      <c r="AF3567" s="54">
        <f>IF(AND(IFERROR(INDEX($A3567:$AB3567,MATCH("Xero Invoice No",$A$1:$AB$1,0)),"")&amp;""&lt;&gt;"",ISNUMBER(AE3567),AD3567&lt;&gt;0),1,0)</f>
        <v/>
      </c>
      <c r="AG3567" s="55">
        <f>IF(AF3567=1,EOMONTH(AE3567,0),"")</f>
        <v/>
      </c>
      <c r="AH3567" s="9">
        <f>IF(AF3567=1,UPPER(TRIM(IFERROR(INDEX($A3567:$AB3567,MATCH("Client",$A$1:$AB$1,0)),"")&amp;"")),"")</f>
        <v/>
      </c>
      <c r="AI3567" s="9">
        <f>IF(AF3567=1,IFERROR(INDEX($A3567:$AB3567,MATCH("Cost Centre",$A$1:$AB$1,0)),"")&amp;"","")</f>
        <v/>
      </c>
      <c r="AJ3567" s="54">
        <f>IF(AND(AF3567=1,AE3567&gt;=set_FYStart,AE3567&lt;=set_AsAt),1,0)</f>
        <v/>
      </c>
      <c r="AK3567" s="54">
        <f>IF(AND(AJ3567=1,AH3567&lt;&gt;"",COUNTIFS($AH$2:AH3567,AH3567,$AJ$2:AJ3567,1)=1),N(AL3566)+1,"")</f>
        <v/>
      </c>
      <c r="AL3567" s="54">
        <f>IF(AK3567&lt;&gt;"",AK3567,N(AL3566))</f>
        <v/>
      </c>
    </row>
    <row r="3568">
      <c r="A3568" t="inlineStr">
        <is>
          <t>CON-1189</t>
        </is>
      </c>
      <c r="B3568" t="inlineStr">
        <is>
          <t>Consulting</t>
        </is>
      </c>
      <c r="AB3568" t="n">
        <v>1189</v>
      </c>
      <c r="AD3568" s="52">
        <f>IFERROR(N(IFERROR(INDEX($A3568:$AB3568,MATCH("Xero Invoiced Ex GST",$A$1:$AB$1,0)),"")),0)</f>
        <v/>
      </c>
      <c r="AE3568" s="53">
        <f>IFERROR(INDEX($A3568:$AB3568,MATCH("Xero Invoice Date",$A$1:$AB$1,0)),"")</f>
        <v/>
      </c>
      <c r="AF3568" s="54">
        <f>IF(AND(IFERROR(INDEX($A3568:$AB3568,MATCH("Xero Invoice No",$A$1:$AB$1,0)),"")&amp;""&lt;&gt;"",ISNUMBER(AE3568),AD3568&lt;&gt;0),1,0)</f>
        <v/>
      </c>
      <c r="AG3568" s="55">
        <f>IF(AF3568=1,EOMONTH(AE3568,0),"")</f>
        <v/>
      </c>
      <c r="AH3568" s="9">
        <f>IF(AF3568=1,UPPER(TRIM(IFERROR(INDEX($A3568:$AB3568,MATCH("Client",$A$1:$AB$1,0)),"")&amp;"")),"")</f>
        <v/>
      </c>
      <c r="AI3568" s="9">
        <f>IF(AF3568=1,IFERROR(INDEX($A3568:$AB3568,MATCH("Cost Centre",$A$1:$AB$1,0)),"")&amp;"","")</f>
        <v/>
      </c>
      <c r="AJ3568" s="54">
        <f>IF(AND(AF3568=1,AE3568&gt;=set_FYStart,AE3568&lt;=set_AsAt),1,0)</f>
        <v/>
      </c>
      <c r="AK3568" s="54">
        <f>IF(AND(AJ3568=1,AH3568&lt;&gt;"",COUNTIFS($AH$2:AH3568,AH3568,$AJ$2:AJ3568,1)=1),N(AL3567)+1,"")</f>
        <v/>
      </c>
      <c r="AL3568" s="54">
        <f>IF(AK3568&lt;&gt;"",AK3568,N(AL3567))</f>
        <v/>
      </c>
    </row>
    <row r="3569">
      <c r="A3569" t="inlineStr">
        <is>
          <t>ONS-1190</t>
        </is>
      </c>
      <c r="B3569" t="inlineStr">
        <is>
          <t>Onsite</t>
        </is>
      </c>
      <c r="AB3569" t="n">
        <v>1190</v>
      </c>
      <c r="AD3569" s="52">
        <f>IFERROR(N(IFERROR(INDEX($A3569:$AB3569,MATCH("Xero Invoiced Ex GST",$A$1:$AB$1,0)),"")),0)</f>
        <v/>
      </c>
      <c r="AE3569" s="53">
        <f>IFERROR(INDEX($A3569:$AB3569,MATCH("Xero Invoice Date",$A$1:$AB$1,0)),"")</f>
        <v/>
      </c>
      <c r="AF3569" s="54">
        <f>IF(AND(IFERROR(INDEX($A3569:$AB3569,MATCH("Xero Invoice No",$A$1:$AB$1,0)),"")&amp;""&lt;&gt;"",ISNUMBER(AE3569),AD3569&lt;&gt;0),1,0)</f>
        <v/>
      </c>
      <c r="AG3569" s="55">
        <f>IF(AF3569=1,EOMONTH(AE3569,0),"")</f>
        <v/>
      </c>
      <c r="AH3569" s="9">
        <f>IF(AF3569=1,UPPER(TRIM(IFERROR(INDEX($A3569:$AB3569,MATCH("Client",$A$1:$AB$1,0)),"")&amp;"")),"")</f>
        <v/>
      </c>
      <c r="AI3569" s="9">
        <f>IF(AF3569=1,IFERROR(INDEX($A3569:$AB3569,MATCH("Cost Centre",$A$1:$AB$1,0)),"")&amp;"","")</f>
        <v/>
      </c>
      <c r="AJ3569" s="54">
        <f>IF(AND(AF3569=1,AE3569&gt;=set_FYStart,AE3569&lt;=set_AsAt),1,0)</f>
        <v/>
      </c>
      <c r="AK3569" s="54">
        <f>IF(AND(AJ3569=1,AH3569&lt;&gt;"",COUNTIFS($AH$2:AH3569,AH3569,$AJ$2:AJ3569,1)=1),N(AL3568)+1,"")</f>
        <v/>
      </c>
      <c r="AL3569" s="54">
        <f>IF(AK3569&lt;&gt;"",AK3569,N(AL3568))</f>
        <v/>
      </c>
    </row>
    <row r="3570">
      <c r="A3570" t="inlineStr">
        <is>
          <t>PRD-1190</t>
        </is>
      </c>
      <c r="B3570" t="inlineStr">
        <is>
          <t>Production</t>
        </is>
      </c>
      <c r="AB3570" t="n">
        <v>1190</v>
      </c>
      <c r="AD3570" s="52">
        <f>IFERROR(N(IFERROR(INDEX($A3570:$AB3570,MATCH("Xero Invoiced Ex GST",$A$1:$AB$1,0)),"")),0)</f>
        <v/>
      </c>
      <c r="AE3570" s="53">
        <f>IFERROR(INDEX($A3570:$AB3570,MATCH("Xero Invoice Date",$A$1:$AB$1,0)),"")</f>
        <v/>
      </c>
      <c r="AF3570" s="54">
        <f>IF(AND(IFERROR(INDEX($A3570:$AB3570,MATCH("Xero Invoice No",$A$1:$AB$1,0)),"")&amp;""&lt;&gt;"",ISNUMBER(AE3570),AD3570&lt;&gt;0),1,0)</f>
        <v/>
      </c>
      <c r="AG3570" s="55">
        <f>IF(AF3570=1,EOMONTH(AE3570,0),"")</f>
        <v/>
      </c>
      <c r="AH3570" s="9">
        <f>IF(AF3570=1,UPPER(TRIM(IFERROR(INDEX($A3570:$AB3570,MATCH("Client",$A$1:$AB$1,0)),"")&amp;"")),"")</f>
        <v/>
      </c>
      <c r="AI3570" s="9">
        <f>IF(AF3570=1,IFERROR(INDEX($A3570:$AB3570,MATCH("Cost Centre",$A$1:$AB$1,0)),"")&amp;"","")</f>
        <v/>
      </c>
      <c r="AJ3570" s="54">
        <f>IF(AND(AF3570=1,AE3570&gt;=set_FYStart,AE3570&lt;=set_AsAt),1,0)</f>
        <v/>
      </c>
      <c r="AK3570" s="54">
        <f>IF(AND(AJ3570=1,AH3570&lt;&gt;"",COUNTIFS($AH$2:AH3570,AH3570,$AJ$2:AJ3570,1)=1),N(AL3569)+1,"")</f>
        <v/>
      </c>
      <c r="AL3570" s="54">
        <f>IF(AK3570&lt;&gt;"",AK3570,N(AL3569))</f>
        <v/>
      </c>
    </row>
    <row r="3571">
      <c r="A3571" t="inlineStr">
        <is>
          <t>CON-1190</t>
        </is>
      </c>
      <c r="B3571" t="inlineStr">
        <is>
          <t>Consulting</t>
        </is>
      </c>
      <c r="AB3571" t="n">
        <v>1190</v>
      </c>
      <c r="AD3571" s="52">
        <f>IFERROR(N(IFERROR(INDEX($A3571:$AB3571,MATCH("Xero Invoiced Ex GST",$A$1:$AB$1,0)),"")),0)</f>
        <v/>
      </c>
      <c r="AE3571" s="53">
        <f>IFERROR(INDEX($A3571:$AB3571,MATCH("Xero Invoice Date",$A$1:$AB$1,0)),"")</f>
        <v/>
      </c>
      <c r="AF3571" s="54">
        <f>IF(AND(IFERROR(INDEX($A3571:$AB3571,MATCH("Xero Invoice No",$A$1:$AB$1,0)),"")&amp;""&lt;&gt;"",ISNUMBER(AE3571),AD3571&lt;&gt;0),1,0)</f>
        <v/>
      </c>
      <c r="AG3571" s="55">
        <f>IF(AF3571=1,EOMONTH(AE3571,0),"")</f>
        <v/>
      </c>
      <c r="AH3571" s="9">
        <f>IF(AF3571=1,UPPER(TRIM(IFERROR(INDEX($A3571:$AB3571,MATCH("Client",$A$1:$AB$1,0)),"")&amp;"")),"")</f>
        <v/>
      </c>
      <c r="AI3571" s="9">
        <f>IF(AF3571=1,IFERROR(INDEX($A3571:$AB3571,MATCH("Cost Centre",$A$1:$AB$1,0)),"")&amp;"","")</f>
        <v/>
      </c>
      <c r="AJ3571" s="54">
        <f>IF(AND(AF3571=1,AE3571&gt;=set_FYStart,AE3571&lt;=set_AsAt),1,0)</f>
        <v/>
      </c>
      <c r="AK3571" s="54">
        <f>IF(AND(AJ3571=1,AH3571&lt;&gt;"",COUNTIFS($AH$2:AH3571,AH3571,$AJ$2:AJ3571,1)=1),N(AL3570)+1,"")</f>
        <v/>
      </c>
      <c r="AL3571" s="54">
        <f>IF(AK3571&lt;&gt;"",AK3571,N(AL3570))</f>
        <v/>
      </c>
    </row>
    <row r="3572">
      <c r="A3572" t="inlineStr">
        <is>
          <t>ONS-1191</t>
        </is>
      </c>
      <c r="B3572" t="inlineStr">
        <is>
          <t>Onsite</t>
        </is>
      </c>
      <c r="AB3572" t="n">
        <v>1191</v>
      </c>
      <c r="AD3572" s="52">
        <f>IFERROR(N(IFERROR(INDEX($A3572:$AB3572,MATCH("Xero Invoiced Ex GST",$A$1:$AB$1,0)),"")),0)</f>
        <v/>
      </c>
      <c r="AE3572" s="53">
        <f>IFERROR(INDEX($A3572:$AB3572,MATCH("Xero Invoice Date",$A$1:$AB$1,0)),"")</f>
        <v/>
      </c>
      <c r="AF3572" s="54">
        <f>IF(AND(IFERROR(INDEX($A3572:$AB3572,MATCH("Xero Invoice No",$A$1:$AB$1,0)),"")&amp;""&lt;&gt;"",ISNUMBER(AE3572),AD3572&lt;&gt;0),1,0)</f>
        <v/>
      </c>
      <c r="AG3572" s="55">
        <f>IF(AF3572=1,EOMONTH(AE3572,0),"")</f>
        <v/>
      </c>
      <c r="AH3572" s="9">
        <f>IF(AF3572=1,UPPER(TRIM(IFERROR(INDEX($A3572:$AB3572,MATCH("Client",$A$1:$AB$1,0)),"")&amp;"")),"")</f>
        <v/>
      </c>
      <c r="AI3572" s="9">
        <f>IF(AF3572=1,IFERROR(INDEX($A3572:$AB3572,MATCH("Cost Centre",$A$1:$AB$1,0)),"")&amp;"","")</f>
        <v/>
      </c>
      <c r="AJ3572" s="54">
        <f>IF(AND(AF3572=1,AE3572&gt;=set_FYStart,AE3572&lt;=set_AsAt),1,0)</f>
        <v/>
      </c>
      <c r="AK3572" s="54">
        <f>IF(AND(AJ3572=1,AH3572&lt;&gt;"",COUNTIFS($AH$2:AH3572,AH3572,$AJ$2:AJ3572,1)=1),N(AL3571)+1,"")</f>
        <v/>
      </c>
      <c r="AL3572" s="54">
        <f>IF(AK3572&lt;&gt;"",AK3572,N(AL3571))</f>
        <v/>
      </c>
    </row>
    <row r="3573">
      <c r="A3573" t="inlineStr">
        <is>
          <t>PRD-1191</t>
        </is>
      </c>
      <c r="B3573" t="inlineStr">
        <is>
          <t>Production</t>
        </is>
      </c>
      <c r="AB3573" t="n">
        <v>1191</v>
      </c>
      <c r="AD3573" s="52">
        <f>IFERROR(N(IFERROR(INDEX($A3573:$AB3573,MATCH("Xero Invoiced Ex GST",$A$1:$AB$1,0)),"")),0)</f>
        <v/>
      </c>
      <c r="AE3573" s="53">
        <f>IFERROR(INDEX($A3573:$AB3573,MATCH("Xero Invoice Date",$A$1:$AB$1,0)),"")</f>
        <v/>
      </c>
      <c r="AF3573" s="54">
        <f>IF(AND(IFERROR(INDEX($A3573:$AB3573,MATCH("Xero Invoice No",$A$1:$AB$1,0)),"")&amp;""&lt;&gt;"",ISNUMBER(AE3573),AD3573&lt;&gt;0),1,0)</f>
        <v/>
      </c>
      <c r="AG3573" s="55">
        <f>IF(AF3573=1,EOMONTH(AE3573,0),"")</f>
        <v/>
      </c>
      <c r="AH3573" s="9">
        <f>IF(AF3573=1,UPPER(TRIM(IFERROR(INDEX($A3573:$AB3573,MATCH("Client",$A$1:$AB$1,0)),"")&amp;"")),"")</f>
        <v/>
      </c>
      <c r="AI3573" s="9">
        <f>IF(AF3573=1,IFERROR(INDEX($A3573:$AB3573,MATCH("Cost Centre",$A$1:$AB$1,0)),"")&amp;"","")</f>
        <v/>
      </c>
      <c r="AJ3573" s="54">
        <f>IF(AND(AF3573=1,AE3573&gt;=set_FYStart,AE3573&lt;=set_AsAt),1,0)</f>
        <v/>
      </c>
      <c r="AK3573" s="54">
        <f>IF(AND(AJ3573=1,AH3573&lt;&gt;"",COUNTIFS($AH$2:AH3573,AH3573,$AJ$2:AJ3573,1)=1),N(AL3572)+1,"")</f>
        <v/>
      </c>
      <c r="AL3573" s="54">
        <f>IF(AK3573&lt;&gt;"",AK3573,N(AL3572))</f>
        <v/>
      </c>
    </row>
    <row r="3574">
      <c r="A3574" t="inlineStr">
        <is>
          <t>CON-1191</t>
        </is>
      </c>
      <c r="B3574" t="inlineStr">
        <is>
          <t>Consulting</t>
        </is>
      </c>
      <c r="AB3574" t="n">
        <v>1191</v>
      </c>
      <c r="AD3574" s="52">
        <f>IFERROR(N(IFERROR(INDEX($A3574:$AB3574,MATCH("Xero Invoiced Ex GST",$A$1:$AB$1,0)),"")),0)</f>
        <v/>
      </c>
      <c r="AE3574" s="53">
        <f>IFERROR(INDEX($A3574:$AB3574,MATCH("Xero Invoice Date",$A$1:$AB$1,0)),"")</f>
        <v/>
      </c>
      <c r="AF3574" s="54">
        <f>IF(AND(IFERROR(INDEX($A3574:$AB3574,MATCH("Xero Invoice No",$A$1:$AB$1,0)),"")&amp;""&lt;&gt;"",ISNUMBER(AE3574),AD3574&lt;&gt;0),1,0)</f>
        <v/>
      </c>
      <c r="AG3574" s="55">
        <f>IF(AF3574=1,EOMONTH(AE3574,0),"")</f>
        <v/>
      </c>
      <c r="AH3574" s="9">
        <f>IF(AF3574=1,UPPER(TRIM(IFERROR(INDEX($A3574:$AB3574,MATCH("Client",$A$1:$AB$1,0)),"")&amp;"")),"")</f>
        <v/>
      </c>
      <c r="AI3574" s="9">
        <f>IF(AF3574=1,IFERROR(INDEX($A3574:$AB3574,MATCH("Cost Centre",$A$1:$AB$1,0)),"")&amp;"","")</f>
        <v/>
      </c>
      <c r="AJ3574" s="54">
        <f>IF(AND(AF3574=1,AE3574&gt;=set_FYStart,AE3574&lt;=set_AsAt),1,0)</f>
        <v/>
      </c>
      <c r="AK3574" s="54">
        <f>IF(AND(AJ3574=1,AH3574&lt;&gt;"",COUNTIFS($AH$2:AH3574,AH3574,$AJ$2:AJ3574,1)=1),N(AL3573)+1,"")</f>
        <v/>
      </c>
      <c r="AL3574" s="54">
        <f>IF(AK3574&lt;&gt;"",AK3574,N(AL3573))</f>
        <v/>
      </c>
    </row>
    <row r="3575">
      <c r="A3575" t="inlineStr">
        <is>
          <t>ONS-1192</t>
        </is>
      </c>
      <c r="B3575" t="inlineStr">
        <is>
          <t>Onsite</t>
        </is>
      </c>
      <c r="AB3575" t="n">
        <v>1192</v>
      </c>
      <c r="AD3575" s="52">
        <f>IFERROR(N(IFERROR(INDEX($A3575:$AB3575,MATCH("Xero Invoiced Ex GST",$A$1:$AB$1,0)),"")),0)</f>
        <v/>
      </c>
      <c r="AE3575" s="53">
        <f>IFERROR(INDEX($A3575:$AB3575,MATCH("Xero Invoice Date",$A$1:$AB$1,0)),"")</f>
        <v/>
      </c>
      <c r="AF3575" s="54">
        <f>IF(AND(IFERROR(INDEX($A3575:$AB3575,MATCH("Xero Invoice No",$A$1:$AB$1,0)),"")&amp;""&lt;&gt;"",ISNUMBER(AE3575),AD3575&lt;&gt;0),1,0)</f>
        <v/>
      </c>
      <c r="AG3575" s="55">
        <f>IF(AF3575=1,EOMONTH(AE3575,0),"")</f>
        <v/>
      </c>
      <c r="AH3575" s="9">
        <f>IF(AF3575=1,UPPER(TRIM(IFERROR(INDEX($A3575:$AB3575,MATCH("Client",$A$1:$AB$1,0)),"")&amp;"")),"")</f>
        <v/>
      </c>
      <c r="AI3575" s="9">
        <f>IF(AF3575=1,IFERROR(INDEX($A3575:$AB3575,MATCH("Cost Centre",$A$1:$AB$1,0)),"")&amp;"","")</f>
        <v/>
      </c>
      <c r="AJ3575" s="54">
        <f>IF(AND(AF3575=1,AE3575&gt;=set_FYStart,AE3575&lt;=set_AsAt),1,0)</f>
        <v/>
      </c>
      <c r="AK3575" s="54">
        <f>IF(AND(AJ3575=1,AH3575&lt;&gt;"",COUNTIFS($AH$2:AH3575,AH3575,$AJ$2:AJ3575,1)=1),N(AL3574)+1,"")</f>
        <v/>
      </c>
      <c r="AL3575" s="54">
        <f>IF(AK3575&lt;&gt;"",AK3575,N(AL3574))</f>
        <v/>
      </c>
    </row>
    <row r="3576">
      <c r="A3576" t="inlineStr">
        <is>
          <t>PRD-1192</t>
        </is>
      </c>
      <c r="B3576" t="inlineStr">
        <is>
          <t>Production</t>
        </is>
      </c>
      <c r="AB3576" t="n">
        <v>1192</v>
      </c>
      <c r="AD3576" s="52">
        <f>IFERROR(N(IFERROR(INDEX($A3576:$AB3576,MATCH("Xero Invoiced Ex GST",$A$1:$AB$1,0)),"")),0)</f>
        <v/>
      </c>
      <c r="AE3576" s="53">
        <f>IFERROR(INDEX($A3576:$AB3576,MATCH("Xero Invoice Date",$A$1:$AB$1,0)),"")</f>
        <v/>
      </c>
      <c r="AF3576" s="54">
        <f>IF(AND(IFERROR(INDEX($A3576:$AB3576,MATCH("Xero Invoice No",$A$1:$AB$1,0)),"")&amp;""&lt;&gt;"",ISNUMBER(AE3576),AD3576&lt;&gt;0),1,0)</f>
        <v/>
      </c>
      <c r="AG3576" s="55">
        <f>IF(AF3576=1,EOMONTH(AE3576,0),"")</f>
        <v/>
      </c>
      <c r="AH3576" s="9">
        <f>IF(AF3576=1,UPPER(TRIM(IFERROR(INDEX($A3576:$AB3576,MATCH("Client",$A$1:$AB$1,0)),"")&amp;"")),"")</f>
        <v/>
      </c>
      <c r="AI3576" s="9">
        <f>IF(AF3576=1,IFERROR(INDEX($A3576:$AB3576,MATCH("Cost Centre",$A$1:$AB$1,0)),"")&amp;"","")</f>
        <v/>
      </c>
      <c r="AJ3576" s="54">
        <f>IF(AND(AF3576=1,AE3576&gt;=set_FYStart,AE3576&lt;=set_AsAt),1,0)</f>
        <v/>
      </c>
      <c r="AK3576" s="54">
        <f>IF(AND(AJ3576=1,AH3576&lt;&gt;"",COUNTIFS($AH$2:AH3576,AH3576,$AJ$2:AJ3576,1)=1),N(AL3575)+1,"")</f>
        <v/>
      </c>
      <c r="AL3576" s="54">
        <f>IF(AK3576&lt;&gt;"",AK3576,N(AL3575))</f>
        <v/>
      </c>
    </row>
    <row r="3577">
      <c r="A3577" t="inlineStr">
        <is>
          <t>CON-1192</t>
        </is>
      </c>
      <c r="B3577" t="inlineStr">
        <is>
          <t>Consulting</t>
        </is>
      </c>
      <c r="AB3577" t="n">
        <v>1192</v>
      </c>
      <c r="AD3577" s="52">
        <f>IFERROR(N(IFERROR(INDEX($A3577:$AB3577,MATCH("Xero Invoiced Ex GST",$A$1:$AB$1,0)),"")),0)</f>
        <v/>
      </c>
      <c r="AE3577" s="53">
        <f>IFERROR(INDEX($A3577:$AB3577,MATCH("Xero Invoice Date",$A$1:$AB$1,0)),"")</f>
        <v/>
      </c>
      <c r="AF3577" s="54">
        <f>IF(AND(IFERROR(INDEX($A3577:$AB3577,MATCH("Xero Invoice No",$A$1:$AB$1,0)),"")&amp;""&lt;&gt;"",ISNUMBER(AE3577),AD3577&lt;&gt;0),1,0)</f>
        <v/>
      </c>
      <c r="AG3577" s="55">
        <f>IF(AF3577=1,EOMONTH(AE3577,0),"")</f>
        <v/>
      </c>
      <c r="AH3577" s="9">
        <f>IF(AF3577=1,UPPER(TRIM(IFERROR(INDEX($A3577:$AB3577,MATCH("Client",$A$1:$AB$1,0)),"")&amp;"")),"")</f>
        <v/>
      </c>
      <c r="AI3577" s="9">
        <f>IF(AF3577=1,IFERROR(INDEX($A3577:$AB3577,MATCH("Cost Centre",$A$1:$AB$1,0)),"")&amp;"","")</f>
        <v/>
      </c>
      <c r="AJ3577" s="54">
        <f>IF(AND(AF3577=1,AE3577&gt;=set_FYStart,AE3577&lt;=set_AsAt),1,0)</f>
        <v/>
      </c>
      <c r="AK3577" s="54">
        <f>IF(AND(AJ3577=1,AH3577&lt;&gt;"",COUNTIFS($AH$2:AH3577,AH3577,$AJ$2:AJ3577,1)=1),N(AL3576)+1,"")</f>
        <v/>
      </c>
      <c r="AL3577" s="54">
        <f>IF(AK3577&lt;&gt;"",AK3577,N(AL3576))</f>
        <v/>
      </c>
    </row>
    <row r="3578">
      <c r="A3578" t="inlineStr">
        <is>
          <t>ONS-1193</t>
        </is>
      </c>
      <c r="B3578" t="inlineStr">
        <is>
          <t>Onsite</t>
        </is>
      </c>
      <c r="AB3578" t="n">
        <v>1193</v>
      </c>
      <c r="AD3578" s="52">
        <f>IFERROR(N(IFERROR(INDEX($A3578:$AB3578,MATCH("Xero Invoiced Ex GST",$A$1:$AB$1,0)),"")),0)</f>
        <v/>
      </c>
      <c r="AE3578" s="53">
        <f>IFERROR(INDEX($A3578:$AB3578,MATCH("Xero Invoice Date",$A$1:$AB$1,0)),"")</f>
        <v/>
      </c>
      <c r="AF3578" s="54">
        <f>IF(AND(IFERROR(INDEX($A3578:$AB3578,MATCH("Xero Invoice No",$A$1:$AB$1,0)),"")&amp;""&lt;&gt;"",ISNUMBER(AE3578),AD3578&lt;&gt;0),1,0)</f>
        <v/>
      </c>
      <c r="AG3578" s="55">
        <f>IF(AF3578=1,EOMONTH(AE3578,0),"")</f>
        <v/>
      </c>
      <c r="AH3578" s="9">
        <f>IF(AF3578=1,UPPER(TRIM(IFERROR(INDEX($A3578:$AB3578,MATCH("Client",$A$1:$AB$1,0)),"")&amp;"")),"")</f>
        <v/>
      </c>
      <c r="AI3578" s="9">
        <f>IF(AF3578=1,IFERROR(INDEX($A3578:$AB3578,MATCH("Cost Centre",$A$1:$AB$1,0)),"")&amp;"","")</f>
        <v/>
      </c>
      <c r="AJ3578" s="54">
        <f>IF(AND(AF3578=1,AE3578&gt;=set_FYStart,AE3578&lt;=set_AsAt),1,0)</f>
        <v/>
      </c>
      <c r="AK3578" s="54">
        <f>IF(AND(AJ3578=1,AH3578&lt;&gt;"",COUNTIFS($AH$2:AH3578,AH3578,$AJ$2:AJ3578,1)=1),N(AL3577)+1,"")</f>
        <v/>
      </c>
      <c r="AL3578" s="54">
        <f>IF(AK3578&lt;&gt;"",AK3578,N(AL3577))</f>
        <v/>
      </c>
    </row>
    <row r="3579">
      <c r="A3579" t="inlineStr">
        <is>
          <t>PRD-1193</t>
        </is>
      </c>
      <c r="B3579" t="inlineStr">
        <is>
          <t>Production</t>
        </is>
      </c>
      <c r="AB3579" t="n">
        <v>1193</v>
      </c>
      <c r="AD3579" s="52">
        <f>IFERROR(N(IFERROR(INDEX($A3579:$AB3579,MATCH("Xero Invoiced Ex GST",$A$1:$AB$1,0)),"")),0)</f>
        <v/>
      </c>
      <c r="AE3579" s="53">
        <f>IFERROR(INDEX($A3579:$AB3579,MATCH("Xero Invoice Date",$A$1:$AB$1,0)),"")</f>
        <v/>
      </c>
      <c r="AF3579" s="54">
        <f>IF(AND(IFERROR(INDEX($A3579:$AB3579,MATCH("Xero Invoice No",$A$1:$AB$1,0)),"")&amp;""&lt;&gt;"",ISNUMBER(AE3579),AD3579&lt;&gt;0),1,0)</f>
        <v/>
      </c>
      <c r="AG3579" s="55">
        <f>IF(AF3579=1,EOMONTH(AE3579,0),"")</f>
        <v/>
      </c>
      <c r="AH3579" s="9">
        <f>IF(AF3579=1,UPPER(TRIM(IFERROR(INDEX($A3579:$AB3579,MATCH("Client",$A$1:$AB$1,0)),"")&amp;"")),"")</f>
        <v/>
      </c>
      <c r="AI3579" s="9">
        <f>IF(AF3579=1,IFERROR(INDEX($A3579:$AB3579,MATCH("Cost Centre",$A$1:$AB$1,0)),"")&amp;"","")</f>
        <v/>
      </c>
      <c r="AJ3579" s="54">
        <f>IF(AND(AF3579=1,AE3579&gt;=set_FYStart,AE3579&lt;=set_AsAt),1,0)</f>
        <v/>
      </c>
      <c r="AK3579" s="54">
        <f>IF(AND(AJ3579=1,AH3579&lt;&gt;"",COUNTIFS($AH$2:AH3579,AH3579,$AJ$2:AJ3579,1)=1),N(AL3578)+1,"")</f>
        <v/>
      </c>
      <c r="AL3579" s="54">
        <f>IF(AK3579&lt;&gt;"",AK3579,N(AL3578))</f>
        <v/>
      </c>
    </row>
    <row r="3580">
      <c r="A3580" t="inlineStr">
        <is>
          <t>CON-1193</t>
        </is>
      </c>
      <c r="B3580" t="inlineStr">
        <is>
          <t>Consulting</t>
        </is>
      </c>
      <c r="AB3580" t="n">
        <v>1193</v>
      </c>
      <c r="AD3580" s="52">
        <f>IFERROR(N(IFERROR(INDEX($A3580:$AB3580,MATCH("Xero Invoiced Ex GST",$A$1:$AB$1,0)),"")),0)</f>
        <v/>
      </c>
      <c r="AE3580" s="53">
        <f>IFERROR(INDEX($A3580:$AB3580,MATCH("Xero Invoice Date",$A$1:$AB$1,0)),"")</f>
        <v/>
      </c>
      <c r="AF3580" s="54">
        <f>IF(AND(IFERROR(INDEX($A3580:$AB3580,MATCH("Xero Invoice No",$A$1:$AB$1,0)),"")&amp;""&lt;&gt;"",ISNUMBER(AE3580),AD3580&lt;&gt;0),1,0)</f>
        <v/>
      </c>
      <c r="AG3580" s="55">
        <f>IF(AF3580=1,EOMONTH(AE3580,0),"")</f>
        <v/>
      </c>
      <c r="AH3580" s="9">
        <f>IF(AF3580=1,UPPER(TRIM(IFERROR(INDEX($A3580:$AB3580,MATCH("Client",$A$1:$AB$1,0)),"")&amp;"")),"")</f>
        <v/>
      </c>
      <c r="AI3580" s="9">
        <f>IF(AF3580=1,IFERROR(INDEX($A3580:$AB3580,MATCH("Cost Centre",$A$1:$AB$1,0)),"")&amp;"","")</f>
        <v/>
      </c>
      <c r="AJ3580" s="54">
        <f>IF(AND(AF3580=1,AE3580&gt;=set_FYStart,AE3580&lt;=set_AsAt),1,0)</f>
        <v/>
      </c>
      <c r="AK3580" s="54">
        <f>IF(AND(AJ3580=1,AH3580&lt;&gt;"",COUNTIFS($AH$2:AH3580,AH3580,$AJ$2:AJ3580,1)=1),N(AL3579)+1,"")</f>
        <v/>
      </c>
      <c r="AL3580" s="54">
        <f>IF(AK3580&lt;&gt;"",AK3580,N(AL3579))</f>
        <v/>
      </c>
    </row>
    <row r="3581">
      <c r="A3581" t="inlineStr">
        <is>
          <t>ONS-1194</t>
        </is>
      </c>
      <c r="B3581" t="inlineStr">
        <is>
          <t>Onsite</t>
        </is>
      </c>
      <c r="AB3581" t="n">
        <v>1194</v>
      </c>
      <c r="AD3581" s="52">
        <f>IFERROR(N(IFERROR(INDEX($A3581:$AB3581,MATCH("Xero Invoiced Ex GST",$A$1:$AB$1,0)),"")),0)</f>
        <v/>
      </c>
      <c r="AE3581" s="53">
        <f>IFERROR(INDEX($A3581:$AB3581,MATCH("Xero Invoice Date",$A$1:$AB$1,0)),"")</f>
        <v/>
      </c>
      <c r="AF3581" s="54">
        <f>IF(AND(IFERROR(INDEX($A3581:$AB3581,MATCH("Xero Invoice No",$A$1:$AB$1,0)),"")&amp;""&lt;&gt;"",ISNUMBER(AE3581),AD3581&lt;&gt;0),1,0)</f>
        <v/>
      </c>
      <c r="AG3581" s="55">
        <f>IF(AF3581=1,EOMONTH(AE3581,0),"")</f>
        <v/>
      </c>
      <c r="AH3581" s="9">
        <f>IF(AF3581=1,UPPER(TRIM(IFERROR(INDEX($A3581:$AB3581,MATCH("Client",$A$1:$AB$1,0)),"")&amp;"")),"")</f>
        <v/>
      </c>
      <c r="AI3581" s="9">
        <f>IF(AF3581=1,IFERROR(INDEX($A3581:$AB3581,MATCH("Cost Centre",$A$1:$AB$1,0)),"")&amp;"","")</f>
        <v/>
      </c>
      <c r="AJ3581" s="54">
        <f>IF(AND(AF3581=1,AE3581&gt;=set_FYStart,AE3581&lt;=set_AsAt),1,0)</f>
        <v/>
      </c>
      <c r="AK3581" s="54">
        <f>IF(AND(AJ3581=1,AH3581&lt;&gt;"",COUNTIFS($AH$2:AH3581,AH3581,$AJ$2:AJ3581,1)=1),N(AL3580)+1,"")</f>
        <v/>
      </c>
      <c r="AL3581" s="54">
        <f>IF(AK3581&lt;&gt;"",AK3581,N(AL3580))</f>
        <v/>
      </c>
    </row>
    <row r="3582">
      <c r="A3582" t="inlineStr">
        <is>
          <t>PRD-1194</t>
        </is>
      </c>
      <c r="B3582" t="inlineStr">
        <is>
          <t>Production</t>
        </is>
      </c>
      <c r="AB3582" t="n">
        <v>1194</v>
      </c>
      <c r="AD3582" s="52">
        <f>IFERROR(N(IFERROR(INDEX($A3582:$AB3582,MATCH("Xero Invoiced Ex GST",$A$1:$AB$1,0)),"")),0)</f>
        <v/>
      </c>
      <c r="AE3582" s="53">
        <f>IFERROR(INDEX($A3582:$AB3582,MATCH("Xero Invoice Date",$A$1:$AB$1,0)),"")</f>
        <v/>
      </c>
      <c r="AF3582" s="54">
        <f>IF(AND(IFERROR(INDEX($A3582:$AB3582,MATCH("Xero Invoice No",$A$1:$AB$1,0)),"")&amp;""&lt;&gt;"",ISNUMBER(AE3582),AD3582&lt;&gt;0),1,0)</f>
        <v/>
      </c>
      <c r="AG3582" s="55">
        <f>IF(AF3582=1,EOMONTH(AE3582,0),"")</f>
        <v/>
      </c>
      <c r="AH3582" s="9">
        <f>IF(AF3582=1,UPPER(TRIM(IFERROR(INDEX($A3582:$AB3582,MATCH("Client",$A$1:$AB$1,0)),"")&amp;"")),"")</f>
        <v/>
      </c>
      <c r="AI3582" s="9">
        <f>IF(AF3582=1,IFERROR(INDEX($A3582:$AB3582,MATCH("Cost Centre",$A$1:$AB$1,0)),"")&amp;"","")</f>
        <v/>
      </c>
      <c r="AJ3582" s="54">
        <f>IF(AND(AF3582=1,AE3582&gt;=set_FYStart,AE3582&lt;=set_AsAt),1,0)</f>
        <v/>
      </c>
      <c r="AK3582" s="54">
        <f>IF(AND(AJ3582=1,AH3582&lt;&gt;"",COUNTIFS($AH$2:AH3582,AH3582,$AJ$2:AJ3582,1)=1),N(AL3581)+1,"")</f>
        <v/>
      </c>
      <c r="AL3582" s="54">
        <f>IF(AK3582&lt;&gt;"",AK3582,N(AL3581))</f>
        <v/>
      </c>
    </row>
    <row r="3583">
      <c r="A3583" t="inlineStr">
        <is>
          <t>CON-1194</t>
        </is>
      </c>
      <c r="B3583" t="inlineStr">
        <is>
          <t>Consulting</t>
        </is>
      </c>
      <c r="AB3583" t="n">
        <v>1194</v>
      </c>
      <c r="AD3583" s="52">
        <f>IFERROR(N(IFERROR(INDEX($A3583:$AB3583,MATCH("Xero Invoiced Ex GST",$A$1:$AB$1,0)),"")),0)</f>
        <v/>
      </c>
      <c r="AE3583" s="53">
        <f>IFERROR(INDEX($A3583:$AB3583,MATCH("Xero Invoice Date",$A$1:$AB$1,0)),"")</f>
        <v/>
      </c>
      <c r="AF3583" s="54">
        <f>IF(AND(IFERROR(INDEX($A3583:$AB3583,MATCH("Xero Invoice No",$A$1:$AB$1,0)),"")&amp;""&lt;&gt;"",ISNUMBER(AE3583),AD3583&lt;&gt;0),1,0)</f>
        <v/>
      </c>
      <c r="AG3583" s="55">
        <f>IF(AF3583=1,EOMONTH(AE3583,0),"")</f>
        <v/>
      </c>
      <c r="AH3583" s="9">
        <f>IF(AF3583=1,UPPER(TRIM(IFERROR(INDEX($A3583:$AB3583,MATCH("Client",$A$1:$AB$1,0)),"")&amp;"")),"")</f>
        <v/>
      </c>
      <c r="AI3583" s="9">
        <f>IF(AF3583=1,IFERROR(INDEX($A3583:$AB3583,MATCH("Cost Centre",$A$1:$AB$1,0)),"")&amp;"","")</f>
        <v/>
      </c>
      <c r="AJ3583" s="54">
        <f>IF(AND(AF3583=1,AE3583&gt;=set_FYStart,AE3583&lt;=set_AsAt),1,0)</f>
        <v/>
      </c>
      <c r="AK3583" s="54">
        <f>IF(AND(AJ3583=1,AH3583&lt;&gt;"",COUNTIFS($AH$2:AH3583,AH3583,$AJ$2:AJ3583,1)=1),N(AL3582)+1,"")</f>
        <v/>
      </c>
      <c r="AL3583" s="54">
        <f>IF(AK3583&lt;&gt;"",AK3583,N(AL3582))</f>
        <v/>
      </c>
    </row>
    <row r="3584">
      <c r="A3584" t="inlineStr">
        <is>
          <t>ONS-1195</t>
        </is>
      </c>
      <c r="B3584" t="inlineStr">
        <is>
          <t>Onsite</t>
        </is>
      </c>
      <c r="AB3584" t="n">
        <v>1195</v>
      </c>
      <c r="AD3584" s="52">
        <f>IFERROR(N(IFERROR(INDEX($A3584:$AB3584,MATCH("Xero Invoiced Ex GST",$A$1:$AB$1,0)),"")),0)</f>
        <v/>
      </c>
      <c r="AE3584" s="53">
        <f>IFERROR(INDEX($A3584:$AB3584,MATCH("Xero Invoice Date",$A$1:$AB$1,0)),"")</f>
        <v/>
      </c>
      <c r="AF3584" s="54">
        <f>IF(AND(IFERROR(INDEX($A3584:$AB3584,MATCH("Xero Invoice No",$A$1:$AB$1,0)),"")&amp;""&lt;&gt;"",ISNUMBER(AE3584),AD3584&lt;&gt;0),1,0)</f>
        <v/>
      </c>
      <c r="AG3584" s="55">
        <f>IF(AF3584=1,EOMONTH(AE3584,0),"")</f>
        <v/>
      </c>
      <c r="AH3584" s="9">
        <f>IF(AF3584=1,UPPER(TRIM(IFERROR(INDEX($A3584:$AB3584,MATCH("Client",$A$1:$AB$1,0)),"")&amp;"")),"")</f>
        <v/>
      </c>
      <c r="AI3584" s="9">
        <f>IF(AF3584=1,IFERROR(INDEX($A3584:$AB3584,MATCH("Cost Centre",$A$1:$AB$1,0)),"")&amp;"","")</f>
        <v/>
      </c>
      <c r="AJ3584" s="54">
        <f>IF(AND(AF3584=1,AE3584&gt;=set_FYStart,AE3584&lt;=set_AsAt),1,0)</f>
        <v/>
      </c>
      <c r="AK3584" s="54">
        <f>IF(AND(AJ3584=1,AH3584&lt;&gt;"",COUNTIFS($AH$2:AH3584,AH3584,$AJ$2:AJ3584,1)=1),N(AL3583)+1,"")</f>
        <v/>
      </c>
      <c r="AL3584" s="54">
        <f>IF(AK3584&lt;&gt;"",AK3584,N(AL3583))</f>
        <v/>
      </c>
    </row>
    <row r="3585">
      <c r="A3585" t="inlineStr">
        <is>
          <t>PRD-1195</t>
        </is>
      </c>
      <c r="B3585" t="inlineStr">
        <is>
          <t>Production</t>
        </is>
      </c>
      <c r="AB3585" t="n">
        <v>1195</v>
      </c>
      <c r="AD3585" s="52">
        <f>IFERROR(N(IFERROR(INDEX($A3585:$AB3585,MATCH("Xero Invoiced Ex GST",$A$1:$AB$1,0)),"")),0)</f>
        <v/>
      </c>
      <c r="AE3585" s="53">
        <f>IFERROR(INDEX($A3585:$AB3585,MATCH("Xero Invoice Date",$A$1:$AB$1,0)),"")</f>
        <v/>
      </c>
      <c r="AF3585" s="54">
        <f>IF(AND(IFERROR(INDEX($A3585:$AB3585,MATCH("Xero Invoice No",$A$1:$AB$1,0)),"")&amp;""&lt;&gt;"",ISNUMBER(AE3585),AD3585&lt;&gt;0),1,0)</f>
        <v/>
      </c>
      <c r="AG3585" s="55">
        <f>IF(AF3585=1,EOMONTH(AE3585,0),"")</f>
        <v/>
      </c>
      <c r="AH3585" s="9">
        <f>IF(AF3585=1,UPPER(TRIM(IFERROR(INDEX($A3585:$AB3585,MATCH("Client",$A$1:$AB$1,0)),"")&amp;"")),"")</f>
        <v/>
      </c>
      <c r="AI3585" s="9">
        <f>IF(AF3585=1,IFERROR(INDEX($A3585:$AB3585,MATCH("Cost Centre",$A$1:$AB$1,0)),"")&amp;"","")</f>
        <v/>
      </c>
      <c r="AJ3585" s="54">
        <f>IF(AND(AF3585=1,AE3585&gt;=set_FYStart,AE3585&lt;=set_AsAt),1,0)</f>
        <v/>
      </c>
      <c r="AK3585" s="54">
        <f>IF(AND(AJ3585=1,AH3585&lt;&gt;"",COUNTIFS($AH$2:AH3585,AH3585,$AJ$2:AJ3585,1)=1),N(AL3584)+1,"")</f>
        <v/>
      </c>
      <c r="AL3585" s="54">
        <f>IF(AK3585&lt;&gt;"",AK3585,N(AL3584))</f>
        <v/>
      </c>
    </row>
    <row r="3586">
      <c r="A3586" t="inlineStr">
        <is>
          <t>CON-1195</t>
        </is>
      </c>
      <c r="B3586" t="inlineStr">
        <is>
          <t>Consulting</t>
        </is>
      </c>
      <c r="AB3586" t="n">
        <v>1195</v>
      </c>
      <c r="AD3586" s="52">
        <f>IFERROR(N(IFERROR(INDEX($A3586:$AB3586,MATCH("Xero Invoiced Ex GST",$A$1:$AB$1,0)),"")),0)</f>
        <v/>
      </c>
      <c r="AE3586" s="53">
        <f>IFERROR(INDEX($A3586:$AB3586,MATCH("Xero Invoice Date",$A$1:$AB$1,0)),"")</f>
        <v/>
      </c>
      <c r="AF3586" s="54">
        <f>IF(AND(IFERROR(INDEX($A3586:$AB3586,MATCH("Xero Invoice No",$A$1:$AB$1,0)),"")&amp;""&lt;&gt;"",ISNUMBER(AE3586),AD3586&lt;&gt;0),1,0)</f>
        <v/>
      </c>
      <c r="AG3586" s="55">
        <f>IF(AF3586=1,EOMONTH(AE3586,0),"")</f>
        <v/>
      </c>
      <c r="AH3586" s="9">
        <f>IF(AF3586=1,UPPER(TRIM(IFERROR(INDEX($A3586:$AB3586,MATCH("Client",$A$1:$AB$1,0)),"")&amp;"")),"")</f>
        <v/>
      </c>
      <c r="AI3586" s="9">
        <f>IF(AF3586=1,IFERROR(INDEX($A3586:$AB3586,MATCH("Cost Centre",$A$1:$AB$1,0)),"")&amp;"","")</f>
        <v/>
      </c>
      <c r="AJ3586" s="54">
        <f>IF(AND(AF3586=1,AE3586&gt;=set_FYStart,AE3586&lt;=set_AsAt),1,0)</f>
        <v/>
      </c>
      <c r="AK3586" s="54">
        <f>IF(AND(AJ3586=1,AH3586&lt;&gt;"",COUNTIFS($AH$2:AH3586,AH3586,$AJ$2:AJ3586,1)=1),N(AL3585)+1,"")</f>
        <v/>
      </c>
      <c r="AL3586" s="54">
        <f>IF(AK3586&lt;&gt;"",AK3586,N(AL3585))</f>
        <v/>
      </c>
    </row>
    <row r="3587">
      <c r="A3587" t="inlineStr">
        <is>
          <t>ONS-1196</t>
        </is>
      </c>
      <c r="B3587" t="inlineStr">
        <is>
          <t>Onsite</t>
        </is>
      </c>
      <c r="AB3587" t="n">
        <v>1196</v>
      </c>
      <c r="AD3587" s="52">
        <f>IFERROR(N(IFERROR(INDEX($A3587:$AB3587,MATCH("Xero Invoiced Ex GST",$A$1:$AB$1,0)),"")),0)</f>
        <v/>
      </c>
      <c r="AE3587" s="53">
        <f>IFERROR(INDEX($A3587:$AB3587,MATCH("Xero Invoice Date",$A$1:$AB$1,0)),"")</f>
        <v/>
      </c>
      <c r="AF3587" s="54">
        <f>IF(AND(IFERROR(INDEX($A3587:$AB3587,MATCH("Xero Invoice No",$A$1:$AB$1,0)),"")&amp;""&lt;&gt;"",ISNUMBER(AE3587),AD3587&lt;&gt;0),1,0)</f>
        <v/>
      </c>
      <c r="AG3587" s="55">
        <f>IF(AF3587=1,EOMONTH(AE3587,0),"")</f>
        <v/>
      </c>
      <c r="AH3587" s="9">
        <f>IF(AF3587=1,UPPER(TRIM(IFERROR(INDEX($A3587:$AB3587,MATCH("Client",$A$1:$AB$1,0)),"")&amp;"")),"")</f>
        <v/>
      </c>
      <c r="AI3587" s="9">
        <f>IF(AF3587=1,IFERROR(INDEX($A3587:$AB3587,MATCH("Cost Centre",$A$1:$AB$1,0)),"")&amp;"","")</f>
        <v/>
      </c>
      <c r="AJ3587" s="54">
        <f>IF(AND(AF3587=1,AE3587&gt;=set_FYStart,AE3587&lt;=set_AsAt),1,0)</f>
        <v/>
      </c>
      <c r="AK3587" s="54">
        <f>IF(AND(AJ3587=1,AH3587&lt;&gt;"",COUNTIFS($AH$2:AH3587,AH3587,$AJ$2:AJ3587,1)=1),N(AL3586)+1,"")</f>
        <v/>
      </c>
      <c r="AL3587" s="54">
        <f>IF(AK3587&lt;&gt;"",AK3587,N(AL3586))</f>
        <v/>
      </c>
    </row>
    <row r="3588">
      <c r="A3588" t="inlineStr">
        <is>
          <t>PRD-1196</t>
        </is>
      </c>
      <c r="B3588" t="inlineStr">
        <is>
          <t>Production</t>
        </is>
      </c>
      <c r="AB3588" t="n">
        <v>1196</v>
      </c>
      <c r="AD3588" s="52">
        <f>IFERROR(N(IFERROR(INDEX($A3588:$AB3588,MATCH("Xero Invoiced Ex GST",$A$1:$AB$1,0)),"")),0)</f>
        <v/>
      </c>
      <c r="AE3588" s="53">
        <f>IFERROR(INDEX($A3588:$AB3588,MATCH("Xero Invoice Date",$A$1:$AB$1,0)),"")</f>
        <v/>
      </c>
      <c r="AF3588" s="54">
        <f>IF(AND(IFERROR(INDEX($A3588:$AB3588,MATCH("Xero Invoice No",$A$1:$AB$1,0)),"")&amp;""&lt;&gt;"",ISNUMBER(AE3588),AD3588&lt;&gt;0),1,0)</f>
        <v/>
      </c>
      <c r="AG3588" s="55">
        <f>IF(AF3588=1,EOMONTH(AE3588,0),"")</f>
        <v/>
      </c>
      <c r="AH3588" s="9">
        <f>IF(AF3588=1,UPPER(TRIM(IFERROR(INDEX($A3588:$AB3588,MATCH("Client",$A$1:$AB$1,0)),"")&amp;"")),"")</f>
        <v/>
      </c>
      <c r="AI3588" s="9">
        <f>IF(AF3588=1,IFERROR(INDEX($A3588:$AB3588,MATCH("Cost Centre",$A$1:$AB$1,0)),"")&amp;"","")</f>
        <v/>
      </c>
      <c r="AJ3588" s="54">
        <f>IF(AND(AF3588=1,AE3588&gt;=set_FYStart,AE3588&lt;=set_AsAt),1,0)</f>
        <v/>
      </c>
      <c r="AK3588" s="54">
        <f>IF(AND(AJ3588=1,AH3588&lt;&gt;"",COUNTIFS($AH$2:AH3588,AH3588,$AJ$2:AJ3588,1)=1),N(AL3587)+1,"")</f>
        <v/>
      </c>
      <c r="AL3588" s="54">
        <f>IF(AK3588&lt;&gt;"",AK3588,N(AL3587))</f>
        <v/>
      </c>
    </row>
    <row r="3589">
      <c r="A3589" t="inlineStr">
        <is>
          <t>CON-1196</t>
        </is>
      </c>
      <c r="B3589" t="inlineStr">
        <is>
          <t>Consulting</t>
        </is>
      </c>
      <c r="AB3589" t="n">
        <v>1196</v>
      </c>
      <c r="AD3589" s="52">
        <f>IFERROR(N(IFERROR(INDEX($A3589:$AB3589,MATCH("Xero Invoiced Ex GST",$A$1:$AB$1,0)),"")),0)</f>
        <v/>
      </c>
      <c r="AE3589" s="53">
        <f>IFERROR(INDEX($A3589:$AB3589,MATCH("Xero Invoice Date",$A$1:$AB$1,0)),"")</f>
        <v/>
      </c>
      <c r="AF3589" s="54">
        <f>IF(AND(IFERROR(INDEX($A3589:$AB3589,MATCH("Xero Invoice No",$A$1:$AB$1,0)),"")&amp;""&lt;&gt;"",ISNUMBER(AE3589),AD3589&lt;&gt;0),1,0)</f>
        <v/>
      </c>
      <c r="AG3589" s="55">
        <f>IF(AF3589=1,EOMONTH(AE3589,0),"")</f>
        <v/>
      </c>
      <c r="AH3589" s="9">
        <f>IF(AF3589=1,UPPER(TRIM(IFERROR(INDEX($A3589:$AB3589,MATCH("Client",$A$1:$AB$1,0)),"")&amp;"")),"")</f>
        <v/>
      </c>
      <c r="AI3589" s="9">
        <f>IF(AF3589=1,IFERROR(INDEX($A3589:$AB3589,MATCH("Cost Centre",$A$1:$AB$1,0)),"")&amp;"","")</f>
        <v/>
      </c>
      <c r="AJ3589" s="54">
        <f>IF(AND(AF3589=1,AE3589&gt;=set_FYStart,AE3589&lt;=set_AsAt),1,0)</f>
        <v/>
      </c>
      <c r="AK3589" s="54">
        <f>IF(AND(AJ3589=1,AH3589&lt;&gt;"",COUNTIFS($AH$2:AH3589,AH3589,$AJ$2:AJ3589,1)=1),N(AL3588)+1,"")</f>
        <v/>
      </c>
      <c r="AL3589" s="54">
        <f>IF(AK3589&lt;&gt;"",AK3589,N(AL3588))</f>
        <v/>
      </c>
    </row>
    <row r="3590">
      <c r="A3590" t="inlineStr">
        <is>
          <t>ONS-1197</t>
        </is>
      </c>
      <c r="B3590" t="inlineStr">
        <is>
          <t>Onsite</t>
        </is>
      </c>
      <c r="AB3590" t="n">
        <v>1197</v>
      </c>
      <c r="AD3590" s="52">
        <f>IFERROR(N(IFERROR(INDEX($A3590:$AB3590,MATCH("Xero Invoiced Ex GST",$A$1:$AB$1,0)),"")),0)</f>
        <v/>
      </c>
      <c r="AE3590" s="53">
        <f>IFERROR(INDEX($A3590:$AB3590,MATCH("Xero Invoice Date",$A$1:$AB$1,0)),"")</f>
        <v/>
      </c>
      <c r="AF3590" s="54">
        <f>IF(AND(IFERROR(INDEX($A3590:$AB3590,MATCH("Xero Invoice No",$A$1:$AB$1,0)),"")&amp;""&lt;&gt;"",ISNUMBER(AE3590),AD3590&lt;&gt;0),1,0)</f>
        <v/>
      </c>
      <c r="AG3590" s="55">
        <f>IF(AF3590=1,EOMONTH(AE3590,0),"")</f>
        <v/>
      </c>
      <c r="AH3590" s="9">
        <f>IF(AF3590=1,UPPER(TRIM(IFERROR(INDEX($A3590:$AB3590,MATCH("Client",$A$1:$AB$1,0)),"")&amp;"")),"")</f>
        <v/>
      </c>
      <c r="AI3590" s="9">
        <f>IF(AF3590=1,IFERROR(INDEX($A3590:$AB3590,MATCH("Cost Centre",$A$1:$AB$1,0)),"")&amp;"","")</f>
        <v/>
      </c>
      <c r="AJ3590" s="54">
        <f>IF(AND(AF3590=1,AE3590&gt;=set_FYStart,AE3590&lt;=set_AsAt),1,0)</f>
        <v/>
      </c>
      <c r="AK3590" s="54">
        <f>IF(AND(AJ3590=1,AH3590&lt;&gt;"",COUNTIFS($AH$2:AH3590,AH3590,$AJ$2:AJ3590,1)=1),N(AL3589)+1,"")</f>
        <v/>
      </c>
      <c r="AL3590" s="54">
        <f>IF(AK3590&lt;&gt;"",AK3590,N(AL3589))</f>
        <v/>
      </c>
    </row>
    <row r="3591">
      <c r="A3591" t="inlineStr">
        <is>
          <t>PRD-1197</t>
        </is>
      </c>
      <c r="B3591" t="inlineStr">
        <is>
          <t>Production</t>
        </is>
      </c>
      <c r="AB3591" t="n">
        <v>1197</v>
      </c>
      <c r="AD3591" s="52">
        <f>IFERROR(N(IFERROR(INDEX($A3591:$AB3591,MATCH("Xero Invoiced Ex GST",$A$1:$AB$1,0)),"")),0)</f>
        <v/>
      </c>
      <c r="AE3591" s="53">
        <f>IFERROR(INDEX($A3591:$AB3591,MATCH("Xero Invoice Date",$A$1:$AB$1,0)),"")</f>
        <v/>
      </c>
      <c r="AF3591" s="54">
        <f>IF(AND(IFERROR(INDEX($A3591:$AB3591,MATCH("Xero Invoice No",$A$1:$AB$1,0)),"")&amp;""&lt;&gt;"",ISNUMBER(AE3591),AD3591&lt;&gt;0),1,0)</f>
        <v/>
      </c>
      <c r="AG3591" s="55">
        <f>IF(AF3591=1,EOMONTH(AE3591,0),"")</f>
        <v/>
      </c>
      <c r="AH3591" s="9">
        <f>IF(AF3591=1,UPPER(TRIM(IFERROR(INDEX($A3591:$AB3591,MATCH("Client",$A$1:$AB$1,0)),"")&amp;"")),"")</f>
        <v/>
      </c>
      <c r="AI3591" s="9">
        <f>IF(AF3591=1,IFERROR(INDEX($A3591:$AB3591,MATCH("Cost Centre",$A$1:$AB$1,0)),"")&amp;"","")</f>
        <v/>
      </c>
      <c r="AJ3591" s="54">
        <f>IF(AND(AF3591=1,AE3591&gt;=set_FYStart,AE3591&lt;=set_AsAt),1,0)</f>
        <v/>
      </c>
      <c r="AK3591" s="54">
        <f>IF(AND(AJ3591=1,AH3591&lt;&gt;"",COUNTIFS($AH$2:AH3591,AH3591,$AJ$2:AJ3591,1)=1),N(AL3590)+1,"")</f>
        <v/>
      </c>
      <c r="AL3591" s="54">
        <f>IF(AK3591&lt;&gt;"",AK3591,N(AL3590))</f>
        <v/>
      </c>
    </row>
    <row r="3592">
      <c r="A3592" t="inlineStr">
        <is>
          <t>CON-1197</t>
        </is>
      </c>
      <c r="B3592" t="inlineStr">
        <is>
          <t>Consulting</t>
        </is>
      </c>
      <c r="AB3592" t="n">
        <v>1197</v>
      </c>
      <c r="AD3592" s="52">
        <f>IFERROR(N(IFERROR(INDEX($A3592:$AB3592,MATCH("Xero Invoiced Ex GST",$A$1:$AB$1,0)),"")),0)</f>
        <v/>
      </c>
      <c r="AE3592" s="53">
        <f>IFERROR(INDEX($A3592:$AB3592,MATCH("Xero Invoice Date",$A$1:$AB$1,0)),"")</f>
        <v/>
      </c>
      <c r="AF3592" s="54">
        <f>IF(AND(IFERROR(INDEX($A3592:$AB3592,MATCH("Xero Invoice No",$A$1:$AB$1,0)),"")&amp;""&lt;&gt;"",ISNUMBER(AE3592),AD3592&lt;&gt;0),1,0)</f>
        <v/>
      </c>
      <c r="AG3592" s="55">
        <f>IF(AF3592=1,EOMONTH(AE3592,0),"")</f>
        <v/>
      </c>
      <c r="AH3592" s="9">
        <f>IF(AF3592=1,UPPER(TRIM(IFERROR(INDEX($A3592:$AB3592,MATCH("Client",$A$1:$AB$1,0)),"")&amp;"")),"")</f>
        <v/>
      </c>
      <c r="AI3592" s="9">
        <f>IF(AF3592=1,IFERROR(INDEX($A3592:$AB3592,MATCH("Cost Centre",$A$1:$AB$1,0)),"")&amp;"","")</f>
        <v/>
      </c>
      <c r="AJ3592" s="54">
        <f>IF(AND(AF3592=1,AE3592&gt;=set_FYStart,AE3592&lt;=set_AsAt),1,0)</f>
        <v/>
      </c>
      <c r="AK3592" s="54">
        <f>IF(AND(AJ3592=1,AH3592&lt;&gt;"",COUNTIFS($AH$2:AH3592,AH3592,$AJ$2:AJ3592,1)=1),N(AL3591)+1,"")</f>
        <v/>
      </c>
      <c r="AL3592" s="54">
        <f>IF(AK3592&lt;&gt;"",AK3592,N(AL3591))</f>
        <v/>
      </c>
    </row>
    <row r="3593">
      <c r="A3593" t="inlineStr">
        <is>
          <t>ONS-1198</t>
        </is>
      </c>
      <c r="B3593" t="inlineStr">
        <is>
          <t>Onsite</t>
        </is>
      </c>
      <c r="AB3593" t="n">
        <v>1198</v>
      </c>
      <c r="AD3593" s="52">
        <f>IFERROR(N(IFERROR(INDEX($A3593:$AB3593,MATCH("Xero Invoiced Ex GST",$A$1:$AB$1,0)),"")),0)</f>
        <v/>
      </c>
      <c r="AE3593" s="53">
        <f>IFERROR(INDEX($A3593:$AB3593,MATCH("Xero Invoice Date",$A$1:$AB$1,0)),"")</f>
        <v/>
      </c>
      <c r="AF3593" s="54">
        <f>IF(AND(IFERROR(INDEX($A3593:$AB3593,MATCH("Xero Invoice No",$A$1:$AB$1,0)),"")&amp;""&lt;&gt;"",ISNUMBER(AE3593),AD3593&lt;&gt;0),1,0)</f>
        <v/>
      </c>
      <c r="AG3593" s="55">
        <f>IF(AF3593=1,EOMONTH(AE3593,0),"")</f>
        <v/>
      </c>
      <c r="AH3593" s="9">
        <f>IF(AF3593=1,UPPER(TRIM(IFERROR(INDEX($A3593:$AB3593,MATCH("Client",$A$1:$AB$1,0)),"")&amp;"")),"")</f>
        <v/>
      </c>
      <c r="AI3593" s="9">
        <f>IF(AF3593=1,IFERROR(INDEX($A3593:$AB3593,MATCH("Cost Centre",$A$1:$AB$1,0)),"")&amp;"","")</f>
        <v/>
      </c>
      <c r="AJ3593" s="54">
        <f>IF(AND(AF3593=1,AE3593&gt;=set_FYStart,AE3593&lt;=set_AsAt),1,0)</f>
        <v/>
      </c>
      <c r="AK3593" s="54">
        <f>IF(AND(AJ3593=1,AH3593&lt;&gt;"",COUNTIFS($AH$2:AH3593,AH3593,$AJ$2:AJ3593,1)=1),N(AL3592)+1,"")</f>
        <v/>
      </c>
      <c r="AL3593" s="54">
        <f>IF(AK3593&lt;&gt;"",AK3593,N(AL3592))</f>
        <v/>
      </c>
    </row>
    <row r="3594">
      <c r="A3594" t="inlineStr">
        <is>
          <t>PRD-1198</t>
        </is>
      </c>
      <c r="B3594" t="inlineStr">
        <is>
          <t>Production</t>
        </is>
      </c>
      <c r="AB3594" t="n">
        <v>1198</v>
      </c>
      <c r="AD3594" s="52">
        <f>IFERROR(N(IFERROR(INDEX($A3594:$AB3594,MATCH("Xero Invoiced Ex GST",$A$1:$AB$1,0)),"")),0)</f>
        <v/>
      </c>
      <c r="AE3594" s="53">
        <f>IFERROR(INDEX($A3594:$AB3594,MATCH("Xero Invoice Date",$A$1:$AB$1,0)),"")</f>
        <v/>
      </c>
      <c r="AF3594" s="54">
        <f>IF(AND(IFERROR(INDEX($A3594:$AB3594,MATCH("Xero Invoice No",$A$1:$AB$1,0)),"")&amp;""&lt;&gt;"",ISNUMBER(AE3594),AD3594&lt;&gt;0),1,0)</f>
        <v/>
      </c>
      <c r="AG3594" s="55">
        <f>IF(AF3594=1,EOMONTH(AE3594,0),"")</f>
        <v/>
      </c>
      <c r="AH3594" s="9">
        <f>IF(AF3594=1,UPPER(TRIM(IFERROR(INDEX($A3594:$AB3594,MATCH("Client",$A$1:$AB$1,0)),"")&amp;"")),"")</f>
        <v/>
      </c>
      <c r="AI3594" s="9">
        <f>IF(AF3594=1,IFERROR(INDEX($A3594:$AB3594,MATCH("Cost Centre",$A$1:$AB$1,0)),"")&amp;"","")</f>
        <v/>
      </c>
      <c r="AJ3594" s="54">
        <f>IF(AND(AF3594=1,AE3594&gt;=set_FYStart,AE3594&lt;=set_AsAt),1,0)</f>
        <v/>
      </c>
      <c r="AK3594" s="54">
        <f>IF(AND(AJ3594=1,AH3594&lt;&gt;"",COUNTIFS($AH$2:AH3594,AH3594,$AJ$2:AJ3594,1)=1),N(AL3593)+1,"")</f>
        <v/>
      </c>
      <c r="AL3594" s="54">
        <f>IF(AK3594&lt;&gt;"",AK3594,N(AL3593))</f>
        <v/>
      </c>
    </row>
    <row r="3595">
      <c r="A3595" t="inlineStr">
        <is>
          <t>CON-1198</t>
        </is>
      </c>
      <c r="B3595" t="inlineStr">
        <is>
          <t>Consulting</t>
        </is>
      </c>
      <c r="AB3595" t="n">
        <v>1198</v>
      </c>
      <c r="AD3595" s="52">
        <f>IFERROR(N(IFERROR(INDEX($A3595:$AB3595,MATCH("Xero Invoiced Ex GST",$A$1:$AB$1,0)),"")),0)</f>
        <v/>
      </c>
      <c r="AE3595" s="53">
        <f>IFERROR(INDEX($A3595:$AB3595,MATCH("Xero Invoice Date",$A$1:$AB$1,0)),"")</f>
        <v/>
      </c>
      <c r="AF3595" s="54">
        <f>IF(AND(IFERROR(INDEX($A3595:$AB3595,MATCH("Xero Invoice No",$A$1:$AB$1,0)),"")&amp;""&lt;&gt;"",ISNUMBER(AE3595),AD3595&lt;&gt;0),1,0)</f>
        <v/>
      </c>
      <c r="AG3595" s="55">
        <f>IF(AF3595=1,EOMONTH(AE3595,0),"")</f>
        <v/>
      </c>
      <c r="AH3595" s="9">
        <f>IF(AF3595=1,UPPER(TRIM(IFERROR(INDEX($A3595:$AB3595,MATCH("Client",$A$1:$AB$1,0)),"")&amp;"")),"")</f>
        <v/>
      </c>
      <c r="AI3595" s="9">
        <f>IF(AF3595=1,IFERROR(INDEX($A3595:$AB3595,MATCH("Cost Centre",$A$1:$AB$1,0)),"")&amp;"","")</f>
        <v/>
      </c>
      <c r="AJ3595" s="54">
        <f>IF(AND(AF3595=1,AE3595&gt;=set_FYStart,AE3595&lt;=set_AsAt),1,0)</f>
        <v/>
      </c>
      <c r="AK3595" s="54">
        <f>IF(AND(AJ3595=1,AH3595&lt;&gt;"",COUNTIFS($AH$2:AH3595,AH3595,$AJ$2:AJ3595,1)=1),N(AL3594)+1,"")</f>
        <v/>
      </c>
      <c r="AL3595" s="54">
        <f>IF(AK3595&lt;&gt;"",AK3595,N(AL3594))</f>
        <v/>
      </c>
    </row>
    <row r="3596">
      <c r="A3596" t="inlineStr">
        <is>
          <t>ONS-1199</t>
        </is>
      </c>
      <c r="B3596" t="inlineStr">
        <is>
          <t>Onsite</t>
        </is>
      </c>
      <c r="AB3596" t="n">
        <v>1199</v>
      </c>
      <c r="AD3596" s="52">
        <f>IFERROR(N(IFERROR(INDEX($A3596:$AB3596,MATCH("Xero Invoiced Ex GST",$A$1:$AB$1,0)),"")),0)</f>
        <v/>
      </c>
      <c r="AE3596" s="53">
        <f>IFERROR(INDEX($A3596:$AB3596,MATCH("Xero Invoice Date",$A$1:$AB$1,0)),"")</f>
        <v/>
      </c>
      <c r="AF3596" s="54">
        <f>IF(AND(IFERROR(INDEX($A3596:$AB3596,MATCH("Xero Invoice No",$A$1:$AB$1,0)),"")&amp;""&lt;&gt;"",ISNUMBER(AE3596),AD3596&lt;&gt;0),1,0)</f>
        <v/>
      </c>
      <c r="AG3596" s="55">
        <f>IF(AF3596=1,EOMONTH(AE3596,0),"")</f>
        <v/>
      </c>
      <c r="AH3596" s="9">
        <f>IF(AF3596=1,UPPER(TRIM(IFERROR(INDEX($A3596:$AB3596,MATCH("Client",$A$1:$AB$1,0)),"")&amp;"")),"")</f>
        <v/>
      </c>
      <c r="AI3596" s="9">
        <f>IF(AF3596=1,IFERROR(INDEX($A3596:$AB3596,MATCH("Cost Centre",$A$1:$AB$1,0)),"")&amp;"","")</f>
        <v/>
      </c>
      <c r="AJ3596" s="54">
        <f>IF(AND(AF3596=1,AE3596&gt;=set_FYStart,AE3596&lt;=set_AsAt),1,0)</f>
        <v/>
      </c>
      <c r="AK3596" s="54">
        <f>IF(AND(AJ3596=1,AH3596&lt;&gt;"",COUNTIFS($AH$2:AH3596,AH3596,$AJ$2:AJ3596,1)=1),N(AL3595)+1,"")</f>
        <v/>
      </c>
      <c r="AL3596" s="54">
        <f>IF(AK3596&lt;&gt;"",AK3596,N(AL3595))</f>
        <v/>
      </c>
    </row>
    <row r="3597">
      <c r="A3597" t="inlineStr">
        <is>
          <t>PRD-1199</t>
        </is>
      </c>
      <c r="B3597" t="inlineStr">
        <is>
          <t>Production</t>
        </is>
      </c>
      <c r="AB3597" t="n">
        <v>1199</v>
      </c>
      <c r="AD3597" s="52">
        <f>IFERROR(N(IFERROR(INDEX($A3597:$AB3597,MATCH("Xero Invoiced Ex GST",$A$1:$AB$1,0)),"")),0)</f>
        <v/>
      </c>
      <c r="AE3597" s="53">
        <f>IFERROR(INDEX($A3597:$AB3597,MATCH("Xero Invoice Date",$A$1:$AB$1,0)),"")</f>
        <v/>
      </c>
      <c r="AF3597" s="54">
        <f>IF(AND(IFERROR(INDEX($A3597:$AB3597,MATCH("Xero Invoice No",$A$1:$AB$1,0)),"")&amp;""&lt;&gt;"",ISNUMBER(AE3597),AD3597&lt;&gt;0),1,0)</f>
        <v/>
      </c>
      <c r="AG3597" s="55">
        <f>IF(AF3597=1,EOMONTH(AE3597,0),"")</f>
        <v/>
      </c>
      <c r="AH3597" s="9">
        <f>IF(AF3597=1,UPPER(TRIM(IFERROR(INDEX($A3597:$AB3597,MATCH("Client",$A$1:$AB$1,0)),"")&amp;"")),"")</f>
        <v/>
      </c>
      <c r="AI3597" s="9">
        <f>IF(AF3597=1,IFERROR(INDEX($A3597:$AB3597,MATCH("Cost Centre",$A$1:$AB$1,0)),"")&amp;"","")</f>
        <v/>
      </c>
      <c r="AJ3597" s="54">
        <f>IF(AND(AF3597=1,AE3597&gt;=set_FYStart,AE3597&lt;=set_AsAt),1,0)</f>
        <v/>
      </c>
      <c r="AK3597" s="54">
        <f>IF(AND(AJ3597=1,AH3597&lt;&gt;"",COUNTIFS($AH$2:AH3597,AH3597,$AJ$2:AJ3597,1)=1),N(AL3596)+1,"")</f>
        <v/>
      </c>
      <c r="AL3597" s="54">
        <f>IF(AK3597&lt;&gt;"",AK3597,N(AL3596))</f>
        <v/>
      </c>
    </row>
    <row r="3598">
      <c r="A3598" t="inlineStr">
        <is>
          <t>CON-1199</t>
        </is>
      </c>
      <c r="B3598" t="inlineStr">
        <is>
          <t>Consulting</t>
        </is>
      </c>
      <c r="AB3598" t="n">
        <v>1199</v>
      </c>
      <c r="AD3598" s="52">
        <f>IFERROR(N(IFERROR(INDEX($A3598:$AB3598,MATCH("Xero Invoiced Ex GST",$A$1:$AB$1,0)),"")),0)</f>
        <v/>
      </c>
      <c r="AE3598" s="53">
        <f>IFERROR(INDEX($A3598:$AB3598,MATCH("Xero Invoice Date",$A$1:$AB$1,0)),"")</f>
        <v/>
      </c>
      <c r="AF3598" s="54">
        <f>IF(AND(IFERROR(INDEX($A3598:$AB3598,MATCH("Xero Invoice No",$A$1:$AB$1,0)),"")&amp;""&lt;&gt;"",ISNUMBER(AE3598),AD3598&lt;&gt;0),1,0)</f>
        <v/>
      </c>
      <c r="AG3598" s="55">
        <f>IF(AF3598=1,EOMONTH(AE3598,0),"")</f>
        <v/>
      </c>
      <c r="AH3598" s="9">
        <f>IF(AF3598=1,UPPER(TRIM(IFERROR(INDEX($A3598:$AB3598,MATCH("Client",$A$1:$AB$1,0)),"")&amp;"")),"")</f>
        <v/>
      </c>
      <c r="AI3598" s="9">
        <f>IF(AF3598=1,IFERROR(INDEX($A3598:$AB3598,MATCH("Cost Centre",$A$1:$AB$1,0)),"")&amp;"","")</f>
        <v/>
      </c>
      <c r="AJ3598" s="54">
        <f>IF(AND(AF3598=1,AE3598&gt;=set_FYStart,AE3598&lt;=set_AsAt),1,0)</f>
        <v/>
      </c>
      <c r="AK3598" s="54">
        <f>IF(AND(AJ3598=1,AH3598&lt;&gt;"",COUNTIFS($AH$2:AH3598,AH3598,$AJ$2:AJ3598,1)=1),N(AL3597)+1,"")</f>
        <v/>
      </c>
      <c r="AL3598" s="54">
        <f>IF(AK3598&lt;&gt;"",AK3598,N(AL3597))</f>
        <v/>
      </c>
    </row>
    <row r="3599">
      <c r="A3599" t="inlineStr">
        <is>
          <t>ONS-1200</t>
        </is>
      </c>
      <c r="B3599" t="inlineStr">
        <is>
          <t>Onsite</t>
        </is>
      </c>
      <c r="AB3599" t="n">
        <v>1200</v>
      </c>
      <c r="AD3599" s="52">
        <f>IFERROR(N(IFERROR(INDEX($A3599:$AB3599,MATCH("Xero Invoiced Ex GST",$A$1:$AB$1,0)),"")),0)</f>
        <v/>
      </c>
      <c r="AE3599" s="53">
        <f>IFERROR(INDEX($A3599:$AB3599,MATCH("Xero Invoice Date",$A$1:$AB$1,0)),"")</f>
        <v/>
      </c>
      <c r="AF3599" s="54">
        <f>IF(AND(IFERROR(INDEX($A3599:$AB3599,MATCH("Xero Invoice No",$A$1:$AB$1,0)),"")&amp;""&lt;&gt;"",ISNUMBER(AE3599),AD3599&lt;&gt;0),1,0)</f>
        <v/>
      </c>
      <c r="AG3599" s="55">
        <f>IF(AF3599=1,EOMONTH(AE3599,0),"")</f>
        <v/>
      </c>
      <c r="AH3599" s="9">
        <f>IF(AF3599=1,UPPER(TRIM(IFERROR(INDEX($A3599:$AB3599,MATCH("Client",$A$1:$AB$1,0)),"")&amp;"")),"")</f>
        <v/>
      </c>
      <c r="AI3599" s="9">
        <f>IF(AF3599=1,IFERROR(INDEX($A3599:$AB3599,MATCH("Cost Centre",$A$1:$AB$1,0)),"")&amp;"","")</f>
        <v/>
      </c>
      <c r="AJ3599" s="54">
        <f>IF(AND(AF3599=1,AE3599&gt;=set_FYStart,AE3599&lt;=set_AsAt),1,0)</f>
        <v/>
      </c>
      <c r="AK3599" s="54">
        <f>IF(AND(AJ3599=1,AH3599&lt;&gt;"",COUNTIFS($AH$2:AH3599,AH3599,$AJ$2:AJ3599,1)=1),N(AL3598)+1,"")</f>
        <v/>
      </c>
      <c r="AL3599" s="54">
        <f>IF(AK3599&lt;&gt;"",AK3599,N(AL3598))</f>
        <v/>
      </c>
    </row>
    <row r="3600">
      <c r="A3600" t="inlineStr">
        <is>
          <t>PRD-1200</t>
        </is>
      </c>
      <c r="B3600" t="inlineStr">
        <is>
          <t>Production</t>
        </is>
      </c>
      <c r="AB3600" t="n">
        <v>1200</v>
      </c>
      <c r="AD3600" s="52">
        <f>IFERROR(N(IFERROR(INDEX($A3600:$AB3600,MATCH("Xero Invoiced Ex GST",$A$1:$AB$1,0)),"")),0)</f>
        <v/>
      </c>
      <c r="AE3600" s="53">
        <f>IFERROR(INDEX($A3600:$AB3600,MATCH("Xero Invoice Date",$A$1:$AB$1,0)),"")</f>
        <v/>
      </c>
      <c r="AF3600" s="54">
        <f>IF(AND(IFERROR(INDEX($A3600:$AB3600,MATCH("Xero Invoice No",$A$1:$AB$1,0)),"")&amp;""&lt;&gt;"",ISNUMBER(AE3600),AD3600&lt;&gt;0),1,0)</f>
        <v/>
      </c>
      <c r="AG3600" s="55">
        <f>IF(AF3600=1,EOMONTH(AE3600,0),"")</f>
        <v/>
      </c>
      <c r="AH3600" s="9">
        <f>IF(AF3600=1,UPPER(TRIM(IFERROR(INDEX($A3600:$AB3600,MATCH("Client",$A$1:$AB$1,0)),"")&amp;"")),"")</f>
        <v/>
      </c>
      <c r="AI3600" s="9">
        <f>IF(AF3600=1,IFERROR(INDEX($A3600:$AB3600,MATCH("Cost Centre",$A$1:$AB$1,0)),"")&amp;"","")</f>
        <v/>
      </c>
      <c r="AJ3600" s="54">
        <f>IF(AND(AF3600=1,AE3600&gt;=set_FYStart,AE3600&lt;=set_AsAt),1,0)</f>
        <v/>
      </c>
      <c r="AK3600" s="54">
        <f>IF(AND(AJ3600=1,AH3600&lt;&gt;"",COUNTIFS($AH$2:AH3600,AH3600,$AJ$2:AJ3600,1)=1),N(AL3599)+1,"")</f>
        <v/>
      </c>
      <c r="AL3600" s="54">
        <f>IF(AK3600&lt;&gt;"",AK3600,N(AL3599))</f>
        <v/>
      </c>
    </row>
    <row r="3601">
      <c r="A3601" t="inlineStr">
        <is>
          <t>CON-1200</t>
        </is>
      </c>
      <c r="B3601" t="inlineStr">
        <is>
          <t>Consulting</t>
        </is>
      </c>
      <c r="AB3601" t="n">
        <v>1200</v>
      </c>
      <c r="AD3601" s="52">
        <f>IFERROR(N(IFERROR(INDEX($A3601:$AB3601,MATCH("Xero Invoiced Ex GST",$A$1:$AB$1,0)),"")),0)</f>
        <v/>
      </c>
      <c r="AE3601" s="53">
        <f>IFERROR(INDEX($A3601:$AB3601,MATCH("Xero Invoice Date",$A$1:$AB$1,0)),"")</f>
        <v/>
      </c>
      <c r="AF3601" s="54">
        <f>IF(AND(IFERROR(INDEX($A3601:$AB3601,MATCH("Xero Invoice No",$A$1:$AB$1,0)),"")&amp;""&lt;&gt;"",ISNUMBER(AE3601),AD3601&lt;&gt;0),1,0)</f>
        <v/>
      </c>
      <c r="AG3601" s="55">
        <f>IF(AF3601=1,EOMONTH(AE3601,0),"")</f>
        <v/>
      </c>
      <c r="AH3601" s="9">
        <f>IF(AF3601=1,UPPER(TRIM(IFERROR(INDEX($A3601:$AB3601,MATCH("Client",$A$1:$AB$1,0)),"")&amp;"")),"")</f>
        <v/>
      </c>
      <c r="AI3601" s="9">
        <f>IF(AF3601=1,IFERROR(INDEX($A3601:$AB3601,MATCH("Cost Centre",$A$1:$AB$1,0)),"")&amp;"","")</f>
        <v/>
      </c>
      <c r="AJ3601" s="54">
        <f>IF(AND(AF3601=1,AE3601&gt;=set_FYStart,AE3601&lt;=set_AsAt),1,0)</f>
        <v/>
      </c>
      <c r="AK3601" s="54">
        <f>IF(AND(AJ3601=1,AH3601&lt;&gt;"",COUNTIFS($AH$2:AH3601,AH3601,$AJ$2:AJ3601,1)=1),N(AL3600)+1,"")</f>
        <v/>
      </c>
      <c r="AL3601" s="54">
        <f>IF(AK3601&lt;&gt;"",AK3601,N(AL3600))</f>
        <v/>
      </c>
    </row>
    <row r="3602">
      <c r="A3602" t="inlineStr">
        <is>
          <t>ONS-1201</t>
        </is>
      </c>
      <c r="B3602" t="inlineStr">
        <is>
          <t>Onsite</t>
        </is>
      </c>
      <c r="AB3602" t="n">
        <v>1201</v>
      </c>
      <c r="AD3602" s="52">
        <f>IFERROR(N(IFERROR(INDEX($A3602:$AB3602,MATCH("Xero Invoiced Ex GST",$A$1:$AB$1,0)),"")),0)</f>
        <v/>
      </c>
      <c r="AE3602" s="53">
        <f>IFERROR(INDEX($A3602:$AB3602,MATCH("Xero Invoice Date",$A$1:$AB$1,0)),"")</f>
        <v/>
      </c>
      <c r="AF3602" s="54">
        <f>IF(AND(IFERROR(INDEX($A3602:$AB3602,MATCH("Xero Invoice No",$A$1:$AB$1,0)),"")&amp;""&lt;&gt;"",ISNUMBER(AE3602),AD3602&lt;&gt;0),1,0)</f>
        <v/>
      </c>
      <c r="AG3602" s="55">
        <f>IF(AF3602=1,EOMONTH(AE3602,0),"")</f>
        <v/>
      </c>
      <c r="AH3602" s="9">
        <f>IF(AF3602=1,UPPER(TRIM(IFERROR(INDEX($A3602:$AB3602,MATCH("Client",$A$1:$AB$1,0)),"")&amp;"")),"")</f>
        <v/>
      </c>
      <c r="AI3602" s="9">
        <f>IF(AF3602=1,IFERROR(INDEX($A3602:$AB3602,MATCH("Cost Centre",$A$1:$AB$1,0)),"")&amp;"","")</f>
        <v/>
      </c>
      <c r="AJ3602" s="54">
        <f>IF(AND(AF3602=1,AE3602&gt;=set_FYStart,AE3602&lt;=set_AsAt),1,0)</f>
        <v/>
      </c>
      <c r="AK3602" s="54">
        <f>IF(AND(AJ3602=1,AH3602&lt;&gt;"",COUNTIFS($AH$2:AH3602,AH3602,$AJ$2:AJ3602,1)=1),N(AL3601)+1,"")</f>
        <v/>
      </c>
      <c r="AL3602" s="54">
        <f>IF(AK3602&lt;&gt;"",AK3602,N(AL3601))</f>
        <v/>
      </c>
    </row>
    <row r="3603">
      <c r="A3603" t="inlineStr">
        <is>
          <t>PRD-1201</t>
        </is>
      </c>
      <c r="B3603" t="inlineStr">
        <is>
          <t>Production</t>
        </is>
      </c>
      <c r="AB3603" t="n">
        <v>1201</v>
      </c>
      <c r="AD3603" s="52">
        <f>IFERROR(N(IFERROR(INDEX($A3603:$AB3603,MATCH("Xero Invoiced Ex GST",$A$1:$AB$1,0)),"")),0)</f>
        <v/>
      </c>
      <c r="AE3603" s="53">
        <f>IFERROR(INDEX($A3603:$AB3603,MATCH("Xero Invoice Date",$A$1:$AB$1,0)),"")</f>
        <v/>
      </c>
      <c r="AF3603" s="54">
        <f>IF(AND(IFERROR(INDEX($A3603:$AB3603,MATCH("Xero Invoice No",$A$1:$AB$1,0)),"")&amp;""&lt;&gt;"",ISNUMBER(AE3603),AD3603&lt;&gt;0),1,0)</f>
        <v/>
      </c>
      <c r="AG3603" s="55">
        <f>IF(AF3603=1,EOMONTH(AE3603,0),"")</f>
        <v/>
      </c>
      <c r="AH3603" s="9">
        <f>IF(AF3603=1,UPPER(TRIM(IFERROR(INDEX($A3603:$AB3603,MATCH("Client",$A$1:$AB$1,0)),"")&amp;"")),"")</f>
        <v/>
      </c>
      <c r="AI3603" s="9">
        <f>IF(AF3603=1,IFERROR(INDEX($A3603:$AB3603,MATCH("Cost Centre",$A$1:$AB$1,0)),"")&amp;"","")</f>
        <v/>
      </c>
      <c r="AJ3603" s="54">
        <f>IF(AND(AF3603=1,AE3603&gt;=set_FYStart,AE3603&lt;=set_AsAt),1,0)</f>
        <v/>
      </c>
      <c r="AK3603" s="54">
        <f>IF(AND(AJ3603=1,AH3603&lt;&gt;"",COUNTIFS($AH$2:AH3603,AH3603,$AJ$2:AJ3603,1)=1),N(AL3602)+1,"")</f>
        <v/>
      </c>
      <c r="AL3603" s="54">
        <f>IF(AK3603&lt;&gt;"",AK3603,N(AL3602))</f>
        <v/>
      </c>
    </row>
    <row r="3604">
      <c r="A3604" t="inlineStr">
        <is>
          <t>CON-1201</t>
        </is>
      </c>
      <c r="B3604" t="inlineStr">
        <is>
          <t>Consulting</t>
        </is>
      </c>
      <c r="AB3604" t="n">
        <v>1201</v>
      </c>
      <c r="AD3604" s="52">
        <f>IFERROR(N(IFERROR(INDEX($A3604:$AB3604,MATCH("Xero Invoiced Ex GST",$A$1:$AB$1,0)),"")),0)</f>
        <v/>
      </c>
      <c r="AE3604" s="53">
        <f>IFERROR(INDEX($A3604:$AB3604,MATCH("Xero Invoice Date",$A$1:$AB$1,0)),"")</f>
        <v/>
      </c>
      <c r="AF3604" s="54">
        <f>IF(AND(IFERROR(INDEX($A3604:$AB3604,MATCH("Xero Invoice No",$A$1:$AB$1,0)),"")&amp;""&lt;&gt;"",ISNUMBER(AE3604),AD3604&lt;&gt;0),1,0)</f>
        <v/>
      </c>
      <c r="AG3604" s="55">
        <f>IF(AF3604=1,EOMONTH(AE3604,0),"")</f>
        <v/>
      </c>
      <c r="AH3604" s="9">
        <f>IF(AF3604=1,UPPER(TRIM(IFERROR(INDEX($A3604:$AB3604,MATCH("Client",$A$1:$AB$1,0)),"")&amp;"")),"")</f>
        <v/>
      </c>
      <c r="AI3604" s="9">
        <f>IF(AF3604=1,IFERROR(INDEX($A3604:$AB3604,MATCH("Cost Centre",$A$1:$AB$1,0)),"")&amp;"","")</f>
        <v/>
      </c>
      <c r="AJ3604" s="54">
        <f>IF(AND(AF3604=1,AE3604&gt;=set_FYStart,AE3604&lt;=set_AsAt),1,0)</f>
        <v/>
      </c>
      <c r="AK3604" s="54">
        <f>IF(AND(AJ3604=1,AH3604&lt;&gt;"",COUNTIFS($AH$2:AH3604,AH3604,$AJ$2:AJ3604,1)=1),N(AL3603)+1,"")</f>
        <v/>
      </c>
      <c r="AL3604" s="54">
        <f>IF(AK3604&lt;&gt;"",AK3604,N(AL3603))</f>
        <v/>
      </c>
    </row>
    <row r="3605">
      <c r="A3605" t="inlineStr">
        <is>
          <t>ONS-1202</t>
        </is>
      </c>
      <c r="B3605" t="inlineStr">
        <is>
          <t>Onsite</t>
        </is>
      </c>
      <c r="AB3605" t="n">
        <v>1202</v>
      </c>
      <c r="AD3605" s="52">
        <f>IFERROR(N(IFERROR(INDEX($A3605:$AB3605,MATCH("Xero Invoiced Ex GST",$A$1:$AB$1,0)),"")),0)</f>
        <v/>
      </c>
      <c r="AE3605" s="53">
        <f>IFERROR(INDEX($A3605:$AB3605,MATCH("Xero Invoice Date",$A$1:$AB$1,0)),"")</f>
        <v/>
      </c>
      <c r="AF3605" s="54">
        <f>IF(AND(IFERROR(INDEX($A3605:$AB3605,MATCH("Xero Invoice No",$A$1:$AB$1,0)),"")&amp;""&lt;&gt;"",ISNUMBER(AE3605),AD3605&lt;&gt;0),1,0)</f>
        <v/>
      </c>
      <c r="AG3605" s="55">
        <f>IF(AF3605=1,EOMONTH(AE3605,0),"")</f>
        <v/>
      </c>
      <c r="AH3605" s="9">
        <f>IF(AF3605=1,UPPER(TRIM(IFERROR(INDEX($A3605:$AB3605,MATCH("Client",$A$1:$AB$1,0)),"")&amp;"")),"")</f>
        <v/>
      </c>
      <c r="AI3605" s="9">
        <f>IF(AF3605=1,IFERROR(INDEX($A3605:$AB3605,MATCH("Cost Centre",$A$1:$AB$1,0)),"")&amp;"","")</f>
        <v/>
      </c>
      <c r="AJ3605" s="54">
        <f>IF(AND(AF3605=1,AE3605&gt;=set_FYStart,AE3605&lt;=set_AsAt),1,0)</f>
        <v/>
      </c>
      <c r="AK3605" s="54">
        <f>IF(AND(AJ3605=1,AH3605&lt;&gt;"",COUNTIFS($AH$2:AH3605,AH3605,$AJ$2:AJ3605,1)=1),N(AL3604)+1,"")</f>
        <v/>
      </c>
      <c r="AL3605" s="54">
        <f>IF(AK3605&lt;&gt;"",AK3605,N(AL3604))</f>
        <v/>
      </c>
    </row>
    <row r="3606">
      <c r="A3606" t="inlineStr">
        <is>
          <t>PRD-1202</t>
        </is>
      </c>
      <c r="B3606" t="inlineStr">
        <is>
          <t>Production</t>
        </is>
      </c>
      <c r="AB3606" t="n">
        <v>1202</v>
      </c>
      <c r="AD3606" s="52">
        <f>IFERROR(N(IFERROR(INDEX($A3606:$AB3606,MATCH("Xero Invoiced Ex GST",$A$1:$AB$1,0)),"")),0)</f>
        <v/>
      </c>
      <c r="AE3606" s="53">
        <f>IFERROR(INDEX($A3606:$AB3606,MATCH("Xero Invoice Date",$A$1:$AB$1,0)),"")</f>
        <v/>
      </c>
      <c r="AF3606" s="54">
        <f>IF(AND(IFERROR(INDEX($A3606:$AB3606,MATCH("Xero Invoice No",$A$1:$AB$1,0)),"")&amp;""&lt;&gt;"",ISNUMBER(AE3606),AD3606&lt;&gt;0),1,0)</f>
        <v/>
      </c>
      <c r="AG3606" s="55">
        <f>IF(AF3606=1,EOMONTH(AE3606,0),"")</f>
        <v/>
      </c>
      <c r="AH3606" s="9">
        <f>IF(AF3606=1,UPPER(TRIM(IFERROR(INDEX($A3606:$AB3606,MATCH("Client",$A$1:$AB$1,0)),"")&amp;"")),"")</f>
        <v/>
      </c>
      <c r="AI3606" s="9">
        <f>IF(AF3606=1,IFERROR(INDEX($A3606:$AB3606,MATCH("Cost Centre",$A$1:$AB$1,0)),"")&amp;"","")</f>
        <v/>
      </c>
      <c r="AJ3606" s="54">
        <f>IF(AND(AF3606=1,AE3606&gt;=set_FYStart,AE3606&lt;=set_AsAt),1,0)</f>
        <v/>
      </c>
      <c r="AK3606" s="54">
        <f>IF(AND(AJ3606=1,AH3606&lt;&gt;"",COUNTIFS($AH$2:AH3606,AH3606,$AJ$2:AJ3606,1)=1),N(AL3605)+1,"")</f>
        <v/>
      </c>
      <c r="AL3606" s="54">
        <f>IF(AK3606&lt;&gt;"",AK3606,N(AL3605))</f>
        <v/>
      </c>
    </row>
    <row r="3607">
      <c r="A3607" t="inlineStr">
        <is>
          <t>CON-1202</t>
        </is>
      </c>
      <c r="B3607" t="inlineStr">
        <is>
          <t>Consulting</t>
        </is>
      </c>
      <c r="AB3607" t="n">
        <v>1202</v>
      </c>
      <c r="AD3607" s="52">
        <f>IFERROR(N(IFERROR(INDEX($A3607:$AB3607,MATCH("Xero Invoiced Ex GST",$A$1:$AB$1,0)),"")),0)</f>
        <v/>
      </c>
      <c r="AE3607" s="53">
        <f>IFERROR(INDEX($A3607:$AB3607,MATCH("Xero Invoice Date",$A$1:$AB$1,0)),"")</f>
        <v/>
      </c>
      <c r="AF3607" s="54">
        <f>IF(AND(IFERROR(INDEX($A3607:$AB3607,MATCH("Xero Invoice No",$A$1:$AB$1,0)),"")&amp;""&lt;&gt;"",ISNUMBER(AE3607),AD3607&lt;&gt;0),1,0)</f>
        <v/>
      </c>
      <c r="AG3607" s="55">
        <f>IF(AF3607=1,EOMONTH(AE3607,0),"")</f>
        <v/>
      </c>
      <c r="AH3607" s="9">
        <f>IF(AF3607=1,UPPER(TRIM(IFERROR(INDEX($A3607:$AB3607,MATCH("Client",$A$1:$AB$1,0)),"")&amp;"")),"")</f>
        <v/>
      </c>
      <c r="AI3607" s="9">
        <f>IF(AF3607=1,IFERROR(INDEX($A3607:$AB3607,MATCH("Cost Centre",$A$1:$AB$1,0)),"")&amp;"","")</f>
        <v/>
      </c>
      <c r="AJ3607" s="54">
        <f>IF(AND(AF3607=1,AE3607&gt;=set_FYStart,AE3607&lt;=set_AsAt),1,0)</f>
        <v/>
      </c>
      <c r="AK3607" s="54">
        <f>IF(AND(AJ3607=1,AH3607&lt;&gt;"",COUNTIFS($AH$2:AH3607,AH3607,$AJ$2:AJ3607,1)=1),N(AL3606)+1,"")</f>
        <v/>
      </c>
      <c r="AL3607" s="54">
        <f>IF(AK3607&lt;&gt;"",AK3607,N(AL3606))</f>
        <v/>
      </c>
    </row>
    <row r="3608">
      <c r="A3608" t="inlineStr">
        <is>
          <t>ONS-1203</t>
        </is>
      </c>
      <c r="B3608" t="inlineStr">
        <is>
          <t>Onsite</t>
        </is>
      </c>
      <c r="AB3608" t="n">
        <v>1203</v>
      </c>
      <c r="AD3608" s="52">
        <f>IFERROR(N(IFERROR(INDEX($A3608:$AB3608,MATCH("Xero Invoiced Ex GST",$A$1:$AB$1,0)),"")),0)</f>
        <v/>
      </c>
      <c r="AE3608" s="53">
        <f>IFERROR(INDEX($A3608:$AB3608,MATCH("Xero Invoice Date",$A$1:$AB$1,0)),"")</f>
        <v/>
      </c>
      <c r="AF3608" s="54">
        <f>IF(AND(IFERROR(INDEX($A3608:$AB3608,MATCH("Xero Invoice No",$A$1:$AB$1,0)),"")&amp;""&lt;&gt;"",ISNUMBER(AE3608),AD3608&lt;&gt;0),1,0)</f>
        <v/>
      </c>
      <c r="AG3608" s="55">
        <f>IF(AF3608=1,EOMONTH(AE3608,0),"")</f>
        <v/>
      </c>
      <c r="AH3608" s="9">
        <f>IF(AF3608=1,UPPER(TRIM(IFERROR(INDEX($A3608:$AB3608,MATCH("Client",$A$1:$AB$1,0)),"")&amp;"")),"")</f>
        <v/>
      </c>
      <c r="AI3608" s="9">
        <f>IF(AF3608=1,IFERROR(INDEX($A3608:$AB3608,MATCH("Cost Centre",$A$1:$AB$1,0)),"")&amp;"","")</f>
        <v/>
      </c>
      <c r="AJ3608" s="54">
        <f>IF(AND(AF3608=1,AE3608&gt;=set_FYStart,AE3608&lt;=set_AsAt),1,0)</f>
        <v/>
      </c>
      <c r="AK3608" s="54">
        <f>IF(AND(AJ3608=1,AH3608&lt;&gt;"",COUNTIFS($AH$2:AH3608,AH3608,$AJ$2:AJ3608,1)=1),N(AL3607)+1,"")</f>
        <v/>
      </c>
      <c r="AL3608" s="54">
        <f>IF(AK3608&lt;&gt;"",AK3608,N(AL3607))</f>
        <v/>
      </c>
    </row>
    <row r="3609">
      <c r="A3609" t="inlineStr">
        <is>
          <t>PRD-1203</t>
        </is>
      </c>
      <c r="B3609" t="inlineStr">
        <is>
          <t>Production</t>
        </is>
      </c>
      <c r="AB3609" t="n">
        <v>1203</v>
      </c>
      <c r="AD3609" s="52">
        <f>IFERROR(N(IFERROR(INDEX($A3609:$AB3609,MATCH("Xero Invoiced Ex GST",$A$1:$AB$1,0)),"")),0)</f>
        <v/>
      </c>
      <c r="AE3609" s="53">
        <f>IFERROR(INDEX($A3609:$AB3609,MATCH("Xero Invoice Date",$A$1:$AB$1,0)),"")</f>
        <v/>
      </c>
      <c r="AF3609" s="54">
        <f>IF(AND(IFERROR(INDEX($A3609:$AB3609,MATCH("Xero Invoice No",$A$1:$AB$1,0)),"")&amp;""&lt;&gt;"",ISNUMBER(AE3609),AD3609&lt;&gt;0),1,0)</f>
        <v/>
      </c>
      <c r="AG3609" s="55">
        <f>IF(AF3609=1,EOMONTH(AE3609,0),"")</f>
        <v/>
      </c>
      <c r="AH3609" s="9">
        <f>IF(AF3609=1,UPPER(TRIM(IFERROR(INDEX($A3609:$AB3609,MATCH("Client",$A$1:$AB$1,0)),"")&amp;"")),"")</f>
        <v/>
      </c>
      <c r="AI3609" s="9">
        <f>IF(AF3609=1,IFERROR(INDEX($A3609:$AB3609,MATCH("Cost Centre",$A$1:$AB$1,0)),"")&amp;"","")</f>
        <v/>
      </c>
      <c r="AJ3609" s="54">
        <f>IF(AND(AF3609=1,AE3609&gt;=set_FYStart,AE3609&lt;=set_AsAt),1,0)</f>
        <v/>
      </c>
      <c r="AK3609" s="54">
        <f>IF(AND(AJ3609=1,AH3609&lt;&gt;"",COUNTIFS($AH$2:AH3609,AH3609,$AJ$2:AJ3609,1)=1),N(AL3608)+1,"")</f>
        <v/>
      </c>
      <c r="AL3609" s="54">
        <f>IF(AK3609&lt;&gt;"",AK3609,N(AL3608))</f>
        <v/>
      </c>
    </row>
    <row r="3610">
      <c r="A3610" t="inlineStr">
        <is>
          <t>CON-1203</t>
        </is>
      </c>
      <c r="B3610" t="inlineStr">
        <is>
          <t>Consulting</t>
        </is>
      </c>
      <c r="AB3610" t="n">
        <v>1203</v>
      </c>
      <c r="AD3610" s="52">
        <f>IFERROR(N(IFERROR(INDEX($A3610:$AB3610,MATCH("Xero Invoiced Ex GST",$A$1:$AB$1,0)),"")),0)</f>
        <v/>
      </c>
      <c r="AE3610" s="53">
        <f>IFERROR(INDEX($A3610:$AB3610,MATCH("Xero Invoice Date",$A$1:$AB$1,0)),"")</f>
        <v/>
      </c>
      <c r="AF3610" s="54">
        <f>IF(AND(IFERROR(INDEX($A3610:$AB3610,MATCH("Xero Invoice No",$A$1:$AB$1,0)),"")&amp;""&lt;&gt;"",ISNUMBER(AE3610),AD3610&lt;&gt;0),1,0)</f>
        <v/>
      </c>
      <c r="AG3610" s="55">
        <f>IF(AF3610=1,EOMONTH(AE3610,0),"")</f>
        <v/>
      </c>
      <c r="AH3610" s="9">
        <f>IF(AF3610=1,UPPER(TRIM(IFERROR(INDEX($A3610:$AB3610,MATCH("Client",$A$1:$AB$1,0)),"")&amp;"")),"")</f>
        <v/>
      </c>
      <c r="AI3610" s="9">
        <f>IF(AF3610=1,IFERROR(INDEX($A3610:$AB3610,MATCH("Cost Centre",$A$1:$AB$1,0)),"")&amp;"","")</f>
        <v/>
      </c>
      <c r="AJ3610" s="54">
        <f>IF(AND(AF3610=1,AE3610&gt;=set_FYStart,AE3610&lt;=set_AsAt),1,0)</f>
        <v/>
      </c>
      <c r="AK3610" s="54">
        <f>IF(AND(AJ3610=1,AH3610&lt;&gt;"",COUNTIFS($AH$2:AH3610,AH3610,$AJ$2:AJ3610,1)=1),N(AL3609)+1,"")</f>
        <v/>
      </c>
      <c r="AL3610" s="54">
        <f>IF(AK3610&lt;&gt;"",AK3610,N(AL3609))</f>
        <v/>
      </c>
    </row>
    <row r="3611">
      <c r="A3611" t="inlineStr">
        <is>
          <t>ONS-1204</t>
        </is>
      </c>
      <c r="B3611" t="inlineStr">
        <is>
          <t>Onsite</t>
        </is>
      </c>
      <c r="AB3611" t="n">
        <v>1204</v>
      </c>
      <c r="AD3611" s="52">
        <f>IFERROR(N(IFERROR(INDEX($A3611:$AB3611,MATCH("Xero Invoiced Ex GST",$A$1:$AB$1,0)),"")),0)</f>
        <v/>
      </c>
      <c r="AE3611" s="53">
        <f>IFERROR(INDEX($A3611:$AB3611,MATCH("Xero Invoice Date",$A$1:$AB$1,0)),"")</f>
        <v/>
      </c>
      <c r="AF3611" s="54">
        <f>IF(AND(IFERROR(INDEX($A3611:$AB3611,MATCH("Xero Invoice No",$A$1:$AB$1,0)),"")&amp;""&lt;&gt;"",ISNUMBER(AE3611),AD3611&lt;&gt;0),1,0)</f>
        <v/>
      </c>
      <c r="AG3611" s="55">
        <f>IF(AF3611=1,EOMONTH(AE3611,0),"")</f>
        <v/>
      </c>
      <c r="AH3611" s="9">
        <f>IF(AF3611=1,UPPER(TRIM(IFERROR(INDEX($A3611:$AB3611,MATCH("Client",$A$1:$AB$1,0)),"")&amp;"")),"")</f>
        <v/>
      </c>
      <c r="AI3611" s="9">
        <f>IF(AF3611=1,IFERROR(INDEX($A3611:$AB3611,MATCH("Cost Centre",$A$1:$AB$1,0)),"")&amp;"","")</f>
        <v/>
      </c>
      <c r="AJ3611" s="54">
        <f>IF(AND(AF3611=1,AE3611&gt;=set_FYStart,AE3611&lt;=set_AsAt),1,0)</f>
        <v/>
      </c>
      <c r="AK3611" s="54">
        <f>IF(AND(AJ3611=1,AH3611&lt;&gt;"",COUNTIFS($AH$2:AH3611,AH3611,$AJ$2:AJ3611,1)=1),N(AL3610)+1,"")</f>
        <v/>
      </c>
      <c r="AL3611" s="54">
        <f>IF(AK3611&lt;&gt;"",AK3611,N(AL3610))</f>
        <v/>
      </c>
    </row>
    <row r="3612">
      <c r="A3612" t="inlineStr">
        <is>
          <t>PRD-1204</t>
        </is>
      </c>
      <c r="B3612" t="inlineStr">
        <is>
          <t>Production</t>
        </is>
      </c>
      <c r="AB3612" t="n">
        <v>1204</v>
      </c>
      <c r="AD3612" s="52">
        <f>IFERROR(N(IFERROR(INDEX($A3612:$AB3612,MATCH("Xero Invoiced Ex GST",$A$1:$AB$1,0)),"")),0)</f>
        <v/>
      </c>
      <c r="AE3612" s="53">
        <f>IFERROR(INDEX($A3612:$AB3612,MATCH("Xero Invoice Date",$A$1:$AB$1,0)),"")</f>
        <v/>
      </c>
      <c r="AF3612" s="54">
        <f>IF(AND(IFERROR(INDEX($A3612:$AB3612,MATCH("Xero Invoice No",$A$1:$AB$1,0)),"")&amp;""&lt;&gt;"",ISNUMBER(AE3612),AD3612&lt;&gt;0),1,0)</f>
        <v/>
      </c>
      <c r="AG3612" s="55">
        <f>IF(AF3612=1,EOMONTH(AE3612,0),"")</f>
        <v/>
      </c>
      <c r="AH3612" s="9">
        <f>IF(AF3612=1,UPPER(TRIM(IFERROR(INDEX($A3612:$AB3612,MATCH("Client",$A$1:$AB$1,0)),"")&amp;"")),"")</f>
        <v/>
      </c>
      <c r="AI3612" s="9">
        <f>IF(AF3612=1,IFERROR(INDEX($A3612:$AB3612,MATCH("Cost Centre",$A$1:$AB$1,0)),"")&amp;"","")</f>
        <v/>
      </c>
      <c r="AJ3612" s="54">
        <f>IF(AND(AF3612=1,AE3612&gt;=set_FYStart,AE3612&lt;=set_AsAt),1,0)</f>
        <v/>
      </c>
      <c r="AK3612" s="54">
        <f>IF(AND(AJ3612=1,AH3612&lt;&gt;"",COUNTIFS($AH$2:AH3612,AH3612,$AJ$2:AJ3612,1)=1),N(AL3611)+1,"")</f>
        <v/>
      </c>
      <c r="AL3612" s="54">
        <f>IF(AK3612&lt;&gt;"",AK3612,N(AL3611))</f>
        <v/>
      </c>
    </row>
    <row r="3613">
      <c r="A3613" t="inlineStr">
        <is>
          <t>CON-1204</t>
        </is>
      </c>
      <c r="B3613" t="inlineStr">
        <is>
          <t>Consulting</t>
        </is>
      </c>
      <c r="AB3613" t="n">
        <v>1204</v>
      </c>
      <c r="AD3613" s="52">
        <f>IFERROR(N(IFERROR(INDEX($A3613:$AB3613,MATCH("Xero Invoiced Ex GST",$A$1:$AB$1,0)),"")),0)</f>
        <v/>
      </c>
      <c r="AE3613" s="53">
        <f>IFERROR(INDEX($A3613:$AB3613,MATCH("Xero Invoice Date",$A$1:$AB$1,0)),"")</f>
        <v/>
      </c>
      <c r="AF3613" s="54">
        <f>IF(AND(IFERROR(INDEX($A3613:$AB3613,MATCH("Xero Invoice No",$A$1:$AB$1,0)),"")&amp;""&lt;&gt;"",ISNUMBER(AE3613),AD3613&lt;&gt;0),1,0)</f>
        <v/>
      </c>
      <c r="AG3613" s="55">
        <f>IF(AF3613=1,EOMONTH(AE3613,0),"")</f>
        <v/>
      </c>
      <c r="AH3613" s="9">
        <f>IF(AF3613=1,UPPER(TRIM(IFERROR(INDEX($A3613:$AB3613,MATCH("Client",$A$1:$AB$1,0)),"")&amp;"")),"")</f>
        <v/>
      </c>
      <c r="AI3613" s="9">
        <f>IF(AF3613=1,IFERROR(INDEX($A3613:$AB3613,MATCH("Cost Centre",$A$1:$AB$1,0)),"")&amp;"","")</f>
        <v/>
      </c>
      <c r="AJ3613" s="54">
        <f>IF(AND(AF3613=1,AE3613&gt;=set_FYStart,AE3613&lt;=set_AsAt),1,0)</f>
        <v/>
      </c>
      <c r="AK3613" s="54">
        <f>IF(AND(AJ3613=1,AH3613&lt;&gt;"",COUNTIFS($AH$2:AH3613,AH3613,$AJ$2:AJ3613,1)=1),N(AL3612)+1,"")</f>
        <v/>
      </c>
      <c r="AL3613" s="54">
        <f>IF(AK3613&lt;&gt;"",AK3613,N(AL3612))</f>
        <v/>
      </c>
    </row>
    <row r="3614">
      <c r="A3614" t="inlineStr">
        <is>
          <t>ONS-1205</t>
        </is>
      </c>
      <c r="B3614" t="inlineStr">
        <is>
          <t>Onsite</t>
        </is>
      </c>
      <c r="AB3614" t="n">
        <v>1205</v>
      </c>
      <c r="AD3614" s="52">
        <f>IFERROR(N(IFERROR(INDEX($A3614:$AB3614,MATCH("Xero Invoiced Ex GST",$A$1:$AB$1,0)),"")),0)</f>
        <v/>
      </c>
      <c r="AE3614" s="53">
        <f>IFERROR(INDEX($A3614:$AB3614,MATCH("Xero Invoice Date",$A$1:$AB$1,0)),"")</f>
        <v/>
      </c>
      <c r="AF3614" s="54">
        <f>IF(AND(IFERROR(INDEX($A3614:$AB3614,MATCH("Xero Invoice No",$A$1:$AB$1,0)),"")&amp;""&lt;&gt;"",ISNUMBER(AE3614),AD3614&lt;&gt;0),1,0)</f>
        <v/>
      </c>
      <c r="AG3614" s="55">
        <f>IF(AF3614=1,EOMONTH(AE3614,0),"")</f>
        <v/>
      </c>
      <c r="AH3614" s="9">
        <f>IF(AF3614=1,UPPER(TRIM(IFERROR(INDEX($A3614:$AB3614,MATCH("Client",$A$1:$AB$1,0)),"")&amp;"")),"")</f>
        <v/>
      </c>
      <c r="AI3614" s="9">
        <f>IF(AF3614=1,IFERROR(INDEX($A3614:$AB3614,MATCH("Cost Centre",$A$1:$AB$1,0)),"")&amp;"","")</f>
        <v/>
      </c>
      <c r="AJ3614" s="54">
        <f>IF(AND(AF3614=1,AE3614&gt;=set_FYStart,AE3614&lt;=set_AsAt),1,0)</f>
        <v/>
      </c>
      <c r="AK3614" s="54">
        <f>IF(AND(AJ3614=1,AH3614&lt;&gt;"",COUNTIFS($AH$2:AH3614,AH3614,$AJ$2:AJ3614,1)=1),N(AL3613)+1,"")</f>
        <v/>
      </c>
      <c r="AL3614" s="54">
        <f>IF(AK3614&lt;&gt;"",AK3614,N(AL3613))</f>
        <v/>
      </c>
    </row>
    <row r="3615">
      <c r="A3615" t="inlineStr">
        <is>
          <t>PRD-1205</t>
        </is>
      </c>
      <c r="B3615" t="inlineStr">
        <is>
          <t>Production</t>
        </is>
      </c>
      <c r="AB3615" t="n">
        <v>1205</v>
      </c>
      <c r="AD3615" s="52">
        <f>IFERROR(N(IFERROR(INDEX($A3615:$AB3615,MATCH("Xero Invoiced Ex GST",$A$1:$AB$1,0)),"")),0)</f>
        <v/>
      </c>
      <c r="AE3615" s="53">
        <f>IFERROR(INDEX($A3615:$AB3615,MATCH("Xero Invoice Date",$A$1:$AB$1,0)),"")</f>
        <v/>
      </c>
      <c r="AF3615" s="54">
        <f>IF(AND(IFERROR(INDEX($A3615:$AB3615,MATCH("Xero Invoice No",$A$1:$AB$1,0)),"")&amp;""&lt;&gt;"",ISNUMBER(AE3615),AD3615&lt;&gt;0),1,0)</f>
        <v/>
      </c>
      <c r="AG3615" s="55">
        <f>IF(AF3615=1,EOMONTH(AE3615,0),"")</f>
        <v/>
      </c>
      <c r="AH3615" s="9">
        <f>IF(AF3615=1,UPPER(TRIM(IFERROR(INDEX($A3615:$AB3615,MATCH("Client",$A$1:$AB$1,0)),"")&amp;"")),"")</f>
        <v/>
      </c>
      <c r="AI3615" s="9">
        <f>IF(AF3615=1,IFERROR(INDEX($A3615:$AB3615,MATCH("Cost Centre",$A$1:$AB$1,0)),"")&amp;"","")</f>
        <v/>
      </c>
      <c r="AJ3615" s="54">
        <f>IF(AND(AF3615=1,AE3615&gt;=set_FYStart,AE3615&lt;=set_AsAt),1,0)</f>
        <v/>
      </c>
      <c r="AK3615" s="54">
        <f>IF(AND(AJ3615=1,AH3615&lt;&gt;"",COUNTIFS($AH$2:AH3615,AH3615,$AJ$2:AJ3615,1)=1),N(AL3614)+1,"")</f>
        <v/>
      </c>
      <c r="AL3615" s="54">
        <f>IF(AK3615&lt;&gt;"",AK3615,N(AL3614))</f>
        <v/>
      </c>
    </row>
    <row r="3616">
      <c r="A3616" t="inlineStr">
        <is>
          <t>CON-1205</t>
        </is>
      </c>
      <c r="B3616" t="inlineStr">
        <is>
          <t>Consulting</t>
        </is>
      </c>
      <c r="AB3616" t="n">
        <v>1205</v>
      </c>
      <c r="AD3616" s="52">
        <f>IFERROR(N(IFERROR(INDEX($A3616:$AB3616,MATCH("Xero Invoiced Ex GST",$A$1:$AB$1,0)),"")),0)</f>
        <v/>
      </c>
      <c r="AE3616" s="53">
        <f>IFERROR(INDEX($A3616:$AB3616,MATCH("Xero Invoice Date",$A$1:$AB$1,0)),"")</f>
        <v/>
      </c>
      <c r="AF3616" s="54">
        <f>IF(AND(IFERROR(INDEX($A3616:$AB3616,MATCH("Xero Invoice No",$A$1:$AB$1,0)),"")&amp;""&lt;&gt;"",ISNUMBER(AE3616),AD3616&lt;&gt;0),1,0)</f>
        <v/>
      </c>
      <c r="AG3616" s="55">
        <f>IF(AF3616=1,EOMONTH(AE3616,0),"")</f>
        <v/>
      </c>
      <c r="AH3616" s="9">
        <f>IF(AF3616=1,UPPER(TRIM(IFERROR(INDEX($A3616:$AB3616,MATCH("Client",$A$1:$AB$1,0)),"")&amp;"")),"")</f>
        <v/>
      </c>
      <c r="AI3616" s="9">
        <f>IF(AF3616=1,IFERROR(INDEX($A3616:$AB3616,MATCH("Cost Centre",$A$1:$AB$1,0)),"")&amp;"","")</f>
        <v/>
      </c>
      <c r="AJ3616" s="54">
        <f>IF(AND(AF3616=1,AE3616&gt;=set_FYStart,AE3616&lt;=set_AsAt),1,0)</f>
        <v/>
      </c>
      <c r="AK3616" s="54">
        <f>IF(AND(AJ3616=1,AH3616&lt;&gt;"",COUNTIFS($AH$2:AH3616,AH3616,$AJ$2:AJ3616,1)=1),N(AL3615)+1,"")</f>
        <v/>
      </c>
      <c r="AL3616" s="54">
        <f>IF(AK3616&lt;&gt;"",AK3616,N(AL3615))</f>
        <v/>
      </c>
    </row>
    <row r="3617">
      <c r="A3617" t="inlineStr">
        <is>
          <t>ONS-1206</t>
        </is>
      </c>
      <c r="B3617" t="inlineStr">
        <is>
          <t>Onsite</t>
        </is>
      </c>
      <c r="AB3617" t="n">
        <v>1206</v>
      </c>
      <c r="AD3617" s="52">
        <f>IFERROR(N(IFERROR(INDEX($A3617:$AB3617,MATCH("Xero Invoiced Ex GST",$A$1:$AB$1,0)),"")),0)</f>
        <v/>
      </c>
      <c r="AE3617" s="53">
        <f>IFERROR(INDEX($A3617:$AB3617,MATCH("Xero Invoice Date",$A$1:$AB$1,0)),"")</f>
        <v/>
      </c>
      <c r="AF3617" s="54">
        <f>IF(AND(IFERROR(INDEX($A3617:$AB3617,MATCH("Xero Invoice No",$A$1:$AB$1,0)),"")&amp;""&lt;&gt;"",ISNUMBER(AE3617),AD3617&lt;&gt;0),1,0)</f>
        <v/>
      </c>
      <c r="AG3617" s="55">
        <f>IF(AF3617=1,EOMONTH(AE3617,0),"")</f>
        <v/>
      </c>
      <c r="AH3617" s="9">
        <f>IF(AF3617=1,UPPER(TRIM(IFERROR(INDEX($A3617:$AB3617,MATCH("Client",$A$1:$AB$1,0)),"")&amp;"")),"")</f>
        <v/>
      </c>
      <c r="AI3617" s="9">
        <f>IF(AF3617=1,IFERROR(INDEX($A3617:$AB3617,MATCH("Cost Centre",$A$1:$AB$1,0)),"")&amp;"","")</f>
        <v/>
      </c>
      <c r="AJ3617" s="54">
        <f>IF(AND(AF3617=1,AE3617&gt;=set_FYStart,AE3617&lt;=set_AsAt),1,0)</f>
        <v/>
      </c>
      <c r="AK3617" s="54">
        <f>IF(AND(AJ3617=1,AH3617&lt;&gt;"",COUNTIFS($AH$2:AH3617,AH3617,$AJ$2:AJ3617,1)=1),N(AL3616)+1,"")</f>
        <v/>
      </c>
      <c r="AL3617" s="54">
        <f>IF(AK3617&lt;&gt;"",AK3617,N(AL3616))</f>
        <v/>
      </c>
    </row>
    <row r="3618">
      <c r="A3618" t="inlineStr">
        <is>
          <t>PRD-1206</t>
        </is>
      </c>
      <c r="B3618" t="inlineStr">
        <is>
          <t>Production</t>
        </is>
      </c>
      <c r="AB3618" t="n">
        <v>1206</v>
      </c>
      <c r="AD3618" s="52">
        <f>IFERROR(N(IFERROR(INDEX($A3618:$AB3618,MATCH("Xero Invoiced Ex GST",$A$1:$AB$1,0)),"")),0)</f>
        <v/>
      </c>
      <c r="AE3618" s="53">
        <f>IFERROR(INDEX($A3618:$AB3618,MATCH("Xero Invoice Date",$A$1:$AB$1,0)),"")</f>
        <v/>
      </c>
      <c r="AF3618" s="54">
        <f>IF(AND(IFERROR(INDEX($A3618:$AB3618,MATCH("Xero Invoice No",$A$1:$AB$1,0)),"")&amp;""&lt;&gt;"",ISNUMBER(AE3618),AD3618&lt;&gt;0),1,0)</f>
        <v/>
      </c>
      <c r="AG3618" s="55">
        <f>IF(AF3618=1,EOMONTH(AE3618,0),"")</f>
        <v/>
      </c>
      <c r="AH3618" s="9">
        <f>IF(AF3618=1,UPPER(TRIM(IFERROR(INDEX($A3618:$AB3618,MATCH("Client",$A$1:$AB$1,0)),"")&amp;"")),"")</f>
        <v/>
      </c>
      <c r="AI3618" s="9">
        <f>IF(AF3618=1,IFERROR(INDEX($A3618:$AB3618,MATCH("Cost Centre",$A$1:$AB$1,0)),"")&amp;"","")</f>
        <v/>
      </c>
      <c r="AJ3618" s="54">
        <f>IF(AND(AF3618=1,AE3618&gt;=set_FYStart,AE3618&lt;=set_AsAt),1,0)</f>
        <v/>
      </c>
      <c r="AK3618" s="54">
        <f>IF(AND(AJ3618=1,AH3618&lt;&gt;"",COUNTIFS($AH$2:AH3618,AH3618,$AJ$2:AJ3618,1)=1),N(AL3617)+1,"")</f>
        <v/>
      </c>
      <c r="AL3618" s="54">
        <f>IF(AK3618&lt;&gt;"",AK3618,N(AL3617))</f>
        <v/>
      </c>
    </row>
    <row r="3619">
      <c r="A3619" t="inlineStr">
        <is>
          <t>CON-1206</t>
        </is>
      </c>
      <c r="B3619" t="inlineStr">
        <is>
          <t>Consulting</t>
        </is>
      </c>
      <c r="AB3619" t="n">
        <v>1206</v>
      </c>
      <c r="AD3619" s="52">
        <f>IFERROR(N(IFERROR(INDEX($A3619:$AB3619,MATCH("Xero Invoiced Ex GST",$A$1:$AB$1,0)),"")),0)</f>
        <v/>
      </c>
      <c r="AE3619" s="53">
        <f>IFERROR(INDEX($A3619:$AB3619,MATCH("Xero Invoice Date",$A$1:$AB$1,0)),"")</f>
        <v/>
      </c>
      <c r="AF3619" s="54">
        <f>IF(AND(IFERROR(INDEX($A3619:$AB3619,MATCH("Xero Invoice No",$A$1:$AB$1,0)),"")&amp;""&lt;&gt;"",ISNUMBER(AE3619),AD3619&lt;&gt;0),1,0)</f>
        <v/>
      </c>
      <c r="AG3619" s="55">
        <f>IF(AF3619=1,EOMONTH(AE3619,0),"")</f>
        <v/>
      </c>
      <c r="AH3619" s="9">
        <f>IF(AF3619=1,UPPER(TRIM(IFERROR(INDEX($A3619:$AB3619,MATCH("Client",$A$1:$AB$1,0)),"")&amp;"")),"")</f>
        <v/>
      </c>
      <c r="AI3619" s="9">
        <f>IF(AF3619=1,IFERROR(INDEX($A3619:$AB3619,MATCH("Cost Centre",$A$1:$AB$1,0)),"")&amp;"","")</f>
        <v/>
      </c>
      <c r="AJ3619" s="54">
        <f>IF(AND(AF3619=1,AE3619&gt;=set_FYStart,AE3619&lt;=set_AsAt),1,0)</f>
        <v/>
      </c>
      <c r="AK3619" s="54">
        <f>IF(AND(AJ3619=1,AH3619&lt;&gt;"",COUNTIFS($AH$2:AH3619,AH3619,$AJ$2:AJ3619,1)=1),N(AL3618)+1,"")</f>
        <v/>
      </c>
      <c r="AL3619" s="54">
        <f>IF(AK3619&lt;&gt;"",AK3619,N(AL3618))</f>
        <v/>
      </c>
    </row>
    <row r="3620">
      <c r="A3620" t="inlineStr">
        <is>
          <t>ONS-1207</t>
        </is>
      </c>
      <c r="B3620" t="inlineStr">
        <is>
          <t>Onsite</t>
        </is>
      </c>
      <c r="AB3620" t="n">
        <v>1207</v>
      </c>
      <c r="AD3620" s="52">
        <f>IFERROR(N(IFERROR(INDEX($A3620:$AB3620,MATCH("Xero Invoiced Ex GST",$A$1:$AB$1,0)),"")),0)</f>
        <v/>
      </c>
      <c r="AE3620" s="53">
        <f>IFERROR(INDEX($A3620:$AB3620,MATCH("Xero Invoice Date",$A$1:$AB$1,0)),"")</f>
        <v/>
      </c>
      <c r="AF3620" s="54">
        <f>IF(AND(IFERROR(INDEX($A3620:$AB3620,MATCH("Xero Invoice No",$A$1:$AB$1,0)),"")&amp;""&lt;&gt;"",ISNUMBER(AE3620),AD3620&lt;&gt;0),1,0)</f>
        <v/>
      </c>
      <c r="AG3620" s="55">
        <f>IF(AF3620=1,EOMONTH(AE3620,0),"")</f>
        <v/>
      </c>
      <c r="AH3620" s="9">
        <f>IF(AF3620=1,UPPER(TRIM(IFERROR(INDEX($A3620:$AB3620,MATCH("Client",$A$1:$AB$1,0)),"")&amp;"")),"")</f>
        <v/>
      </c>
      <c r="AI3620" s="9">
        <f>IF(AF3620=1,IFERROR(INDEX($A3620:$AB3620,MATCH("Cost Centre",$A$1:$AB$1,0)),"")&amp;"","")</f>
        <v/>
      </c>
      <c r="AJ3620" s="54">
        <f>IF(AND(AF3620=1,AE3620&gt;=set_FYStart,AE3620&lt;=set_AsAt),1,0)</f>
        <v/>
      </c>
      <c r="AK3620" s="54">
        <f>IF(AND(AJ3620=1,AH3620&lt;&gt;"",COUNTIFS($AH$2:AH3620,AH3620,$AJ$2:AJ3620,1)=1),N(AL3619)+1,"")</f>
        <v/>
      </c>
      <c r="AL3620" s="54">
        <f>IF(AK3620&lt;&gt;"",AK3620,N(AL3619))</f>
        <v/>
      </c>
    </row>
    <row r="3621">
      <c r="A3621" t="inlineStr">
        <is>
          <t>PRD-1207</t>
        </is>
      </c>
      <c r="B3621" t="inlineStr">
        <is>
          <t>Production</t>
        </is>
      </c>
      <c r="AB3621" t="n">
        <v>1207</v>
      </c>
      <c r="AD3621" s="52">
        <f>IFERROR(N(IFERROR(INDEX($A3621:$AB3621,MATCH("Xero Invoiced Ex GST",$A$1:$AB$1,0)),"")),0)</f>
        <v/>
      </c>
      <c r="AE3621" s="53">
        <f>IFERROR(INDEX($A3621:$AB3621,MATCH("Xero Invoice Date",$A$1:$AB$1,0)),"")</f>
        <v/>
      </c>
      <c r="AF3621" s="54">
        <f>IF(AND(IFERROR(INDEX($A3621:$AB3621,MATCH("Xero Invoice No",$A$1:$AB$1,0)),"")&amp;""&lt;&gt;"",ISNUMBER(AE3621),AD3621&lt;&gt;0),1,0)</f>
        <v/>
      </c>
      <c r="AG3621" s="55">
        <f>IF(AF3621=1,EOMONTH(AE3621,0),"")</f>
        <v/>
      </c>
      <c r="AH3621" s="9">
        <f>IF(AF3621=1,UPPER(TRIM(IFERROR(INDEX($A3621:$AB3621,MATCH("Client",$A$1:$AB$1,0)),"")&amp;"")),"")</f>
        <v/>
      </c>
      <c r="AI3621" s="9">
        <f>IF(AF3621=1,IFERROR(INDEX($A3621:$AB3621,MATCH("Cost Centre",$A$1:$AB$1,0)),"")&amp;"","")</f>
        <v/>
      </c>
      <c r="AJ3621" s="54">
        <f>IF(AND(AF3621=1,AE3621&gt;=set_FYStart,AE3621&lt;=set_AsAt),1,0)</f>
        <v/>
      </c>
      <c r="AK3621" s="54">
        <f>IF(AND(AJ3621=1,AH3621&lt;&gt;"",COUNTIFS($AH$2:AH3621,AH3621,$AJ$2:AJ3621,1)=1),N(AL3620)+1,"")</f>
        <v/>
      </c>
      <c r="AL3621" s="54">
        <f>IF(AK3621&lt;&gt;"",AK3621,N(AL3620))</f>
        <v/>
      </c>
    </row>
    <row r="3622">
      <c r="A3622" t="inlineStr">
        <is>
          <t>CON-1207</t>
        </is>
      </c>
      <c r="B3622" t="inlineStr">
        <is>
          <t>Consulting</t>
        </is>
      </c>
      <c r="AB3622" t="n">
        <v>1207</v>
      </c>
      <c r="AD3622" s="52">
        <f>IFERROR(N(IFERROR(INDEX($A3622:$AB3622,MATCH("Xero Invoiced Ex GST",$A$1:$AB$1,0)),"")),0)</f>
        <v/>
      </c>
      <c r="AE3622" s="53">
        <f>IFERROR(INDEX($A3622:$AB3622,MATCH("Xero Invoice Date",$A$1:$AB$1,0)),"")</f>
        <v/>
      </c>
      <c r="AF3622" s="54">
        <f>IF(AND(IFERROR(INDEX($A3622:$AB3622,MATCH("Xero Invoice No",$A$1:$AB$1,0)),"")&amp;""&lt;&gt;"",ISNUMBER(AE3622),AD3622&lt;&gt;0),1,0)</f>
        <v/>
      </c>
      <c r="AG3622" s="55">
        <f>IF(AF3622=1,EOMONTH(AE3622,0),"")</f>
        <v/>
      </c>
      <c r="AH3622" s="9">
        <f>IF(AF3622=1,UPPER(TRIM(IFERROR(INDEX($A3622:$AB3622,MATCH("Client",$A$1:$AB$1,0)),"")&amp;"")),"")</f>
        <v/>
      </c>
      <c r="AI3622" s="9">
        <f>IF(AF3622=1,IFERROR(INDEX($A3622:$AB3622,MATCH("Cost Centre",$A$1:$AB$1,0)),"")&amp;"","")</f>
        <v/>
      </c>
      <c r="AJ3622" s="54">
        <f>IF(AND(AF3622=1,AE3622&gt;=set_FYStart,AE3622&lt;=set_AsAt),1,0)</f>
        <v/>
      </c>
      <c r="AK3622" s="54">
        <f>IF(AND(AJ3622=1,AH3622&lt;&gt;"",COUNTIFS($AH$2:AH3622,AH3622,$AJ$2:AJ3622,1)=1),N(AL3621)+1,"")</f>
        <v/>
      </c>
      <c r="AL3622" s="54">
        <f>IF(AK3622&lt;&gt;"",AK3622,N(AL3621))</f>
        <v/>
      </c>
    </row>
    <row r="3623">
      <c r="A3623" t="inlineStr">
        <is>
          <t>ONS-1208</t>
        </is>
      </c>
      <c r="B3623" t="inlineStr">
        <is>
          <t>Onsite</t>
        </is>
      </c>
      <c r="AB3623" t="n">
        <v>1208</v>
      </c>
      <c r="AD3623" s="52">
        <f>IFERROR(N(IFERROR(INDEX($A3623:$AB3623,MATCH("Xero Invoiced Ex GST",$A$1:$AB$1,0)),"")),0)</f>
        <v/>
      </c>
      <c r="AE3623" s="53">
        <f>IFERROR(INDEX($A3623:$AB3623,MATCH("Xero Invoice Date",$A$1:$AB$1,0)),"")</f>
        <v/>
      </c>
      <c r="AF3623" s="54">
        <f>IF(AND(IFERROR(INDEX($A3623:$AB3623,MATCH("Xero Invoice No",$A$1:$AB$1,0)),"")&amp;""&lt;&gt;"",ISNUMBER(AE3623),AD3623&lt;&gt;0),1,0)</f>
        <v/>
      </c>
      <c r="AG3623" s="55">
        <f>IF(AF3623=1,EOMONTH(AE3623,0),"")</f>
        <v/>
      </c>
      <c r="AH3623" s="9">
        <f>IF(AF3623=1,UPPER(TRIM(IFERROR(INDEX($A3623:$AB3623,MATCH("Client",$A$1:$AB$1,0)),"")&amp;"")),"")</f>
        <v/>
      </c>
      <c r="AI3623" s="9">
        <f>IF(AF3623=1,IFERROR(INDEX($A3623:$AB3623,MATCH("Cost Centre",$A$1:$AB$1,0)),"")&amp;"","")</f>
        <v/>
      </c>
      <c r="AJ3623" s="54">
        <f>IF(AND(AF3623=1,AE3623&gt;=set_FYStart,AE3623&lt;=set_AsAt),1,0)</f>
        <v/>
      </c>
      <c r="AK3623" s="54">
        <f>IF(AND(AJ3623=1,AH3623&lt;&gt;"",COUNTIFS($AH$2:AH3623,AH3623,$AJ$2:AJ3623,1)=1),N(AL3622)+1,"")</f>
        <v/>
      </c>
      <c r="AL3623" s="54">
        <f>IF(AK3623&lt;&gt;"",AK3623,N(AL3622))</f>
        <v/>
      </c>
    </row>
    <row r="3624">
      <c r="A3624" t="inlineStr">
        <is>
          <t>PRD-1208</t>
        </is>
      </c>
      <c r="B3624" t="inlineStr">
        <is>
          <t>Production</t>
        </is>
      </c>
      <c r="AB3624" t="n">
        <v>1208</v>
      </c>
      <c r="AD3624" s="52">
        <f>IFERROR(N(IFERROR(INDEX($A3624:$AB3624,MATCH("Xero Invoiced Ex GST",$A$1:$AB$1,0)),"")),0)</f>
        <v/>
      </c>
      <c r="AE3624" s="53">
        <f>IFERROR(INDEX($A3624:$AB3624,MATCH("Xero Invoice Date",$A$1:$AB$1,0)),"")</f>
        <v/>
      </c>
      <c r="AF3624" s="54">
        <f>IF(AND(IFERROR(INDEX($A3624:$AB3624,MATCH("Xero Invoice No",$A$1:$AB$1,0)),"")&amp;""&lt;&gt;"",ISNUMBER(AE3624),AD3624&lt;&gt;0),1,0)</f>
        <v/>
      </c>
      <c r="AG3624" s="55">
        <f>IF(AF3624=1,EOMONTH(AE3624,0),"")</f>
        <v/>
      </c>
      <c r="AH3624" s="9">
        <f>IF(AF3624=1,UPPER(TRIM(IFERROR(INDEX($A3624:$AB3624,MATCH("Client",$A$1:$AB$1,0)),"")&amp;"")),"")</f>
        <v/>
      </c>
      <c r="AI3624" s="9">
        <f>IF(AF3624=1,IFERROR(INDEX($A3624:$AB3624,MATCH("Cost Centre",$A$1:$AB$1,0)),"")&amp;"","")</f>
        <v/>
      </c>
      <c r="AJ3624" s="54">
        <f>IF(AND(AF3624=1,AE3624&gt;=set_FYStart,AE3624&lt;=set_AsAt),1,0)</f>
        <v/>
      </c>
      <c r="AK3624" s="54">
        <f>IF(AND(AJ3624=1,AH3624&lt;&gt;"",COUNTIFS($AH$2:AH3624,AH3624,$AJ$2:AJ3624,1)=1),N(AL3623)+1,"")</f>
        <v/>
      </c>
      <c r="AL3624" s="54">
        <f>IF(AK3624&lt;&gt;"",AK3624,N(AL3623))</f>
        <v/>
      </c>
    </row>
    <row r="3625">
      <c r="A3625" t="inlineStr">
        <is>
          <t>CON-1208</t>
        </is>
      </c>
      <c r="B3625" t="inlineStr">
        <is>
          <t>Consulting</t>
        </is>
      </c>
      <c r="AB3625" t="n">
        <v>1208</v>
      </c>
      <c r="AD3625" s="52">
        <f>IFERROR(N(IFERROR(INDEX($A3625:$AB3625,MATCH("Xero Invoiced Ex GST",$A$1:$AB$1,0)),"")),0)</f>
        <v/>
      </c>
      <c r="AE3625" s="53">
        <f>IFERROR(INDEX($A3625:$AB3625,MATCH("Xero Invoice Date",$A$1:$AB$1,0)),"")</f>
        <v/>
      </c>
      <c r="AF3625" s="54">
        <f>IF(AND(IFERROR(INDEX($A3625:$AB3625,MATCH("Xero Invoice No",$A$1:$AB$1,0)),"")&amp;""&lt;&gt;"",ISNUMBER(AE3625),AD3625&lt;&gt;0),1,0)</f>
        <v/>
      </c>
      <c r="AG3625" s="55">
        <f>IF(AF3625=1,EOMONTH(AE3625,0),"")</f>
        <v/>
      </c>
      <c r="AH3625" s="9">
        <f>IF(AF3625=1,UPPER(TRIM(IFERROR(INDEX($A3625:$AB3625,MATCH("Client",$A$1:$AB$1,0)),"")&amp;"")),"")</f>
        <v/>
      </c>
      <c r="AI3625" s="9">
        <f>IF(AF3625=1,IFERROR(INDEX($A3625:$AB3625,MATCH("Cost Centre",$A$1:$AB$1,0)),"")&amp;"","")</f>
        <v/>
      </c>
      <c r="AJ3625" s="54">
        <f>IF(AND(AF3625=1,AE3625&gt;=set_FYStart,AE3625&lt;=set_AsAt),1,0)</f>
        <v/>
      </c>
      <c r="AK3625" s="54">
        <f>IF(AND(AJ3625=1,AH3625&lt;&gt;"",COUNTIFS($AH$2:AH3625,AH3625,$AJ$2:AJ3625,1)=1),N(AL3624)+1,"")</f>
        <v/>
      </c>
      <c r="AL3625" s="54">
        <f>IF(AK3625&lt;&gt;"",AK3625,N(AL3624))</f>
        <v/>
      </c>
    </row>
    <row r="3626">
      <c r="A3626" t="inlineStr">
        <is>
          <t>ONS-1209</t>
        </is>
      </c>
      <c r="B3626" t="inlineStr">
        <is>
          <t>Onsite</t>
        </is>
      </c>
      <c r="AB3626" t="n">
        <v>1209</v>
      </c>
      <c r="AD3626" s="52">
        <f>IFERROR(N(IFERROR(INDEX($A3626:$AB3626,MATCH("Xero Invoiced Ex GST",$A$1:$AB$1,0)),"")),0)</f>
        <v/>
      </c>
      <c r="AE3626" s="53">
        <f>IFERROR(INDEX($A3626:$AB3626,MATCH("Xero Invoice Date",$A$1:$AB$1,0)),"")</f>
        <v/>
      </c>
      <c r="AF3626" s="54">
        <f>IF(AND(IFERROR(INDEX($A3626:$AB3626,MATCH("Xero Invoice No",$A$1:$AB$1,0)),"")&amp;""&lt;&gt;"",ISNUMBER(AE3626),AD3626&lt;&gt;0),1,0)</f>
        <v/>
      </c>
      <c r="AG3626" s="55">
        <f>IF(AF3626=1,EOMONTH(AE3626,0),"")</f>
        <v/>
      </c>
      <c r="AH3626" s="9">
        <f>IF(AF3626=1,UPPER(TRIM(IFERROR(INDEX($A3626:$AB3626,MATCH("Client",$A$1:$AB$1,0)),"")&amp;"")),"")</f>
        <v/>
      </c>
      <c r="AI3626" s="9">
        <f>IF(AF3626=1,IFERROR(INDEX($A3626:$AB3626,MATCH("Cost Centre",$A$1:$AB$1,0)),"")&amp;"","")</f>
        <v/>
      </c>
      <c r="AJ3626" s="54">
        <f>IF(AND(AF3626=1,AE3626&gt;=set_FYStart,AE3626&lt;=set_AsAt),1,0)</f>
        <v/>
      </c>
      <c r="AK3626" s="54">
        <f>IF(AND(AJ3626=1,AH3626&lt;&gt;"",COUNTIFS($AH$2:AH3626,AH3626,$AJ$2:AJ3626,1)=1),N(AL3625)+1,"")</f>
        <v/>
      </c>
      <c r="AL3626" s="54">
        <f>IF(AK3626&lt;&gt;"",AK3626,N(AL3625))</f>
        <v/>
      </c>
    </row>
    <row r="3627">
      <c r="A3627" t="inlineStr">
        <is>
          <t>PRD-1209</t>
        </is>
      </c>
      <c r="B3627" t="inlineStr">
        <is>
          <t>Production</t>
        </is>
      </c>
      <c r="AB3627" t="n">
        <v>1209</v>
      </c>
      <c r="AD3627" s="52">
        <f>IFERROR(N(IFERROR(INDEX($A3627:$AB3627,MATCH("Xero Invoiced Ex GST",$A$1:$AB$1,0)),"")),0)</f>
        <v/>
      </c>
      <c r="AE3627" s="53">
        <f>IFERROR(INDEX($A3627:$AB3627,MATCH("Xero Invoice Date",$A$1:$AB$1,0)),"")</f>
        <v/>
      </c>
      <c r="AF3627" s="54">
        <f>IF(AND(IFERROR(INDEX($A3627:$AB3627,MATCH("Xero Invoice No",$A$1:$AB$1,0)),"")&amp;""&lt;&gt;"",ISNUMBER(AE3627),AD3627&lt;&gt;0),1,0)</f>
        <v/>
      </c>
      <c r="AG3627" s="55">
        <f>IF(AF3627=1,EOMONTH(AE3627,0),"")</f>
        <v/>
      </c>
      <c r="AH3627" s="9">
        <f>IF(AF3627=1,UPPER(TRIM(IFERROR(INDEX($A3627:$AB3627,MATCH("Client",$A$1:$AB$1,0)),"")&amp;"")),"")</f>
        <v/>
      </c>
      <c r="AI3627" s="9">
        <f>IF(AF3627=1,IFERROR(INDEX($A3627:$AB3627,MATCH("Cost Centre",$A$1:$AB$1,0)),"")&amp;"","")</f>
        <v/>
      </c>
      <c r="AJ3627" s="54">
        <f>IF(AND(AF3627=1,AE3627&gt;=set_FYStart,AE3627&lt;=set_AsAt),1,0)</f>
        <v/>
      </c>
      <c r="AK3627" s="54">
        <f>IF(AND(AJ3627=1,AH3627&lt;&gt;"",COUNTIFS($AH$2:AH3627,AH3627,$AJ$2:AJ3627,1)=1),N(AL3626)+1,"")</f>
        <v/>
      </c>
      <c r="AL3627" s="54">
        <f>IF(AK3627&lt;&gt;"",AK3627,N(AL3626))</f>
        <v/>
      </c>
    </row>
    <row r="3628">
      <c r="A3628" t="inlineStr">
        <is>
          <t>CON-1209</t>
        </is>
      </c>
      <c r="B3628" t="inlineStr">
        <is>
          <t>Consulting</t>
        </is>
      </c>
      <c r="AB3628" t="n">
        <v>1209</v>
      </c>
      <c r="AD3628" s="52">
        <f>IFERROR(N(IFERROR(INDEX($A3628:$AB3628,MATCH("Xero Invoiced Ex GST",$A$1:$AB$1,0)),"")),0)</f>
        <v/>
      </c>
      <c r="AE3628" s="53">
        <f>IFERROR(INDEX($A3628:$AB3628,MATCH("Xero Invoice Date",$A$1:$AB$1,0)),"")</f>
        <v/>
      </c>
      <c r="AF3628" s="54">
        <f>IF(AND(IFERROR(INDEX($A3628:$AB3628,MATCH("Xero Invoice No",$A$1:$AB$1,0)),"")&amp;""&lt;&gt;"",ISNUMBER(AE3628),AD3628&lt;&gt;0),1,0)</f>
        <v/>
      </c>
      <c r="AG3628" s="55">
        <f>IF(AF3628=1,EOMONTH(AE3628,0),"")</f>
        <v/>
      </c>
      <c r="AH3628" s="9">
        <f>IF(AF3628=1,UPPER(TRIM(IFERROR(INDEX($A3628:$AB3628,MATCH("Client",$A$1:$AB$1,0)),"")&amp;"")),"")</f>
        <v/>
      </c>
      <c r="AI3628" s="9">
        <f>IF(AF3628=1,IFERROR(INDEX($A3628:$AB3628,MATCH("Cost Centre",$A$1:$AB$1,0)),"")&amp;"","")</f>
        <v/>
      </c>
      <c r="AJ3628" s="54">
        <f>IF(AND(AF3628=1,AE3628&gt;=set_FYStart,AE3628&lt;=set_AsAt),1,0)</f>
        <v/>
      </c>
      <c r="AK3628" s="54">
        <f>IF(AND(AJ3628=1,AH3628&lt;&gt;"",COUNTIFS($AH$2:AH3628,AH3628,$AJ$2:AJ3628,1)=1),N(AL3627)+1,"")</f>
        <v/>
      </c>
      <c r="AL3628" s="54">
        <f>IF(AK3628&lt;&gt;"",AK3628,N(AL3627))</f>
        <v/>
      </c>
    </row>
    <row r="3629">
      <c r="A3629" t="inlineStr">
        <is>
          <t>ONS-1210</t>
        </is>
      </c>
      <c r="B3629" t="inlineStr">
        <is>
          <t>Onsite</t>
        </is>
      </c>
      <c r="AB3629" t="n">
        <v>1210</v>
      </c>
      <c r="AD3629" s="52">
        <f>IFERROR(N(IFERROR(INDEX($A3629:$AB3629,MATCH("Xero Invoiced Ex GST",$A$1:$AB$1,0)),"")),0)</f>
        <v/>
      </c>
      <c r="AE3629" s="53">
        <f>IFERROR(INDEX($A3629:$AB3629,MATCH("Xero Invoice Date",$A$1:$AB$1,0)),"")</f>
        <v/>
      </c>
      <c r="AF3629" s="54">
        <f>IF(AND(IFERROR(INDEX($A3629:$AB3629,MATCH("Xero Invoice No",$A$1:$AB$1,0)),"")&amp;""&lt;&gt;"",ISNUMBER(AE3629),AD3629&lt;&gt;0),1,0)</f>
        <v/>
      </c>
      <c r="AG3629" s="55">
        <f>IF(AF3629=1,EOMONTH(AE3629,0),"")</f>
        <v/>
      </c>
      <c r="AH3629" s="9">
        <f>IF(AF3629=1,UPPER(TRIM(IFERROR(INDEX($A3629:$AB3629,MATCH("Client",$A$1:$AB$1,0)),"")&amp;"")),"")</f>
        <v/>
      </c>
      <c r="AI3629" s="9">
        <f>IF(AF3629=1,IFERROR(INDEX($A3629:$AB3629,MATCH("Cost Centre",$A$1:$AB$1,0)),"")&amp;"","")</f>
        <v/>
      </c>
      <c r="AJ3629" s="54">
        <f>IF(AND(AF3629=1,AE3629&gt;=set_FYStart,AE3629&lt;=set_AsAt),1,0)</f>
        <v/>
      </c>
      <c r="AK3629" s="54">
        <f>IF(AND(AJ3629=1,AH3629&lt;&gt;"",COUNTIFS($AH$2:AH3629,AH3629,$AJ$2:AJ3629,1)=1),N(AL3628)+1,"")</f>
        <v/>
      </c>
      <c r="AL3629" s="54">
        <f>IF(AK3629&lt;&gt;"",AK3629,N(AL3628))</f>
        <v/>
      </c>
    </row>
    <row r="3630">
      <c r="A3630" t="inlineStr">
        <is>
          <t>PRD-1210</t>
        </is>
      </c>
      <c r="B3630" t="inlineStr">
        <is>
          <t>Production</t>
        </is>
      </c>
      <c r="AB3630" t="n">
        <v>1210</v>
      </c>
      <c r="AD3630" s="52">
        <f>IFERROR(N(IFERROR(INDEX($A3630:$AB3630,MATCH("Xero Invoiced Ex GST",$A$1:$AB$1,0)),"")),0)</f>
        <v/>
      </c>
      <c r="AE3630" s="53">
        <f>IFERROR(INDEX($A3630:$AB3630,MATCH("Xero Invoice Date",$A$1:$AB$1,0)),"")</f>
        <v/>
      </c>
      <c r="AF3630" s="54">
        <f>IF(AND(IFERROR(INDEX($A3630:$AB3630,MATCH("Xero Invoice No",$A$1:$AB$1,0)),"")&amp;""&lt;&gt;"",ISNUMBER(AE3630),AD3630&lt;&gt;0),1,0)</f>
        <v/>
      </c>
      <c r="AG3630" s="55">
        <f>IF(AF3630=1,EOMONTH(AE3630,0),"")</f>
        <v/>
      </c>
      <c r="AH3630" s="9">
        <f>IF(AF3630=1,UPPER(TRIM(IFERROR(INDEX($A3630:$AB3630,MATCH("Client",$A$1:$AB$1,0)),"")&amp;"")),"")</f>
        <v/>
      </c>
      <c r="AI3630" s="9">
        <f>IF(AF3630=1,IFERROR(INDEX($A3630:$AB3630,MATCH("Cost Centre",$A$1:$AB$1,0)),"")&amp;"","")</f>
        <v/>
      </c>
      <c r="AJ3630" s="54">
        <f>IF(AND(AF3630=1,AE3630&gt;=set_FYStart,AE3630&lt;=set_AsAt),1,0)</f>
        <v/>
      </c>
      <c r="AK3630" s="54">
        <f>IF(AND(AJ3630=1,AH3630&lt;&gt;"",COUNTIFS($AH$2:AH3630,AH3630,$AJ$2:AJ3630,1)=1),N(AL3629)+1,"")</f>
        <v/>
      </c>
      <c r="AL3630" s="54">
        <f>IF(AK3630&lt;&gt;"",AK3630,N(AL3629))</f>
        <v/>
      </c>
    </row>
    <row r="3631">
      <c r="A3631" t="inlineStr">
        <is>
          <t>CON-1210</t>
        </is>
      </c>
      <c r="B3631" t="inlineStr">
        <is>
          <t>Consulting</t>
        </is>
      </c>
      <c r="AB3631" t="n">
        <v>1210</v>
      </c>
      <c r="AD3631" s="52">
        <f>IFERROR(N(IFERROR(INDEX($A3631:$AB3631,MATCH("Xero Invoiced Ex GST",$A$1:$AB$1,0)),"")),0)</f>
        <v/>
      </c>
      <c r="AE3631" s="53">
        <f>IFERROR(INDEX($A3631:$AB3631,MATCH("Xero Invoice Date",$A$1:$AB$1,0)),"")</f>
        <v/>
      </c>
      <c r="AF3631" s="54">
        <f>IF(AND(IFERROR(INDEX($A3631:$AB3631,MATCH("Xero Invoice No",$A$1:$AB$1,0)),"")&amp;""&lt;&gt;"",ISNUMBER(AE3631),AD3631&lt;&gt;0),1,0)</f>
        <v/>
      </c>
      <c r="AG3631" s="55">
        <f>IF(AF3631=1,EOMONTH(AE3631,0),"")</f>
        <v/>
      </c>
      <c r="AH3631" s="9">
        <f>IF(AF3631=1,UPPER(TRIM(IFERROR(INDEX($A3631:$AB3631,MATCH("Client",$A$1:$AB$1,0)),"")&amp;"")),"")</f>
        <v/>
      </c>
      <c r="AI3631" s="9">
        <f>IF(AF3631=1,IFERROR(INDEX($A3631:$AB3631,MATCH("Cost Centre",$A$1:$AB$1,0)),"")&amp;"","")</f>
        <v/>
      </c>
      <c r="AJ3631" s="54">
        <f>IF(AND(AF3631=1,AE3631&gt;=set_FYStart,AE3631&lt;=set_AsAt),1,0)</f>
        <v/>
      </c>
      <c r="AK3631" s="54">
        <f>IF(AND(AJ3631=1,AH3631&lt;&gt;"",COUNTIFS($AH$2:AH3631,AH3631,$AJ$2:AJ3631,1)=1),N(AL3630)+1,"")</f>
        <v/>
      </c>
      <c r="AL3631" s="54">
        <f>IF(AK3631&lt;&gt;"",AK3631,N(AL3630))</f>
        <v/>
      </c>
    </row>
    <row r="3632">
      <c r="A3632" t="inlineStr">
        <is>
          <t>ONS-1211</t>
        </is>
      </c>
      <c r="B3632" t="inlineStr">
        <is>
          <t>Onsite</t>
        </is>
      </c>
      <c r="AB3632" t="n">
        <v>1211</v>
      </c>
      <c r="AD3632" s="52">
        <f>IFERROR(N(IFERROR(INDEX($A3632:$AB3632,MATCH("Xero Invoiced Ex GST",$A$1:$AB$1,0)),"")),0)</f>
        <v/>
      </c>
      <c r="AE3632" s="53">
        <f>IFERROR(INDEX($A3632:$AB3632,MATCH("Xero Invoice Date",$A$1:$AB$1,0)),"")</f>
        <v/>
      </c>
      <c r="AF3632" s="54">
        <f>IF(AND(IFERROR(INDEX($A3632:$AB3632,MATCH("Xero Invoice No",$A$1:$AB$1,0)),"")&amp;""&lt;&gt;"",ISNUMBER(AE3632),AD3632&lt;&gt;0),1,0)</f>
        <v/>
      </c>
      <c r="AG3632" s="55">
        <f>IF(AF3632=1,EOMONTH(AE3632,0),"")</f>
        <v/>
      </c>
      <c r="AH3632" s="9">
        <f>IF(AF3632=1,UPPER(TRIM(IFERROR(INDEX($A3632:$AB3632,MATCH("Client",$A$1:$AB$1,0)),"")&amp;"")),"")</f>
        <v/>
      </c>
      <c r="AI3632" s="9">
        <f>IF(AF3632=1,IFERROR(INDEX($A3632:$AB3632,MATCH("Cost Centre",$A$1:$AB$1,0)),"")&amp;"","")</f>
        <v/>
      </c>
      <c r="AJ3632" s="54">
        <f>IF(AND(AF3632=1,AE3632&gt;=set_FYStart,AE3632&lt;=set_AsAt),1,0)</f>
        <v/>
      </c>
      <c r="AK3632" s="54">
        <f>IF(AND(AJ3632=1,AH3632&lt;&gt;"",COUNTIFS($AH$2:AH3632,AH3632,$AJ$2:AJ3632,1)=1),N(AL3631)+1,"")</f>
        <v/>
      </c>
      <c r="AL3632" s="54">
        <f>IF(AK3632&lt;&gt;"",AK3632,N(AL3631))</f>
        <v/>
      </c>
    </row>
    <row r="3633">
      <c r="A3633" t="inlineStr">
        <is>
          <t>PRD-1211</t>
        </is>
      </c>
      <c r="B3633" t="inlineStr">
        <is>
          <t>Production</t>
        </is>
      </c>
      <c r="AB3633" t="n">
        <v>1211</v>
      </c>
      <c r="AD3633" s="52">
        <f>IFERROR(N(IFERROR(INDEX($A3633:$AB3633,MATCH("Xero Invoiced Ex GST",$A$1:$AB$1,0)),"")),0)</f>
        <v/>
      </c>
      <c r="AE3633" s="53">
        <f>IFERROR(INDEX($A3633:$AB3633,MATCH("Xero Invoice Date",$A$1:$AB$1,0)),"")</f>
        <v/>
      </c>
      <c r="AF3633" s="54">
        <f>IF(AND(IFERROR(INDEX($A3633:$AB3633,MATCH("Xero Invoice No",$A$1:$AB$1,0)),"")&amp;""&lt;&gt;"",ISNUMBER(AE3633),AD3633&lt;&gt;0),1,0)</f>
        <v/>
      </c>
      <c r="AG3633" s="55">
        <f>IF(AF3633=1,EOMONTH(AE3633,0),"")</f>
        <v/>
      </c>
      <c r="AH3633" s="9">
        <f>IF(AF3633=1,UPPER(TRIM(IFERROR(INDEX($A3633:$AB3633,MATCH("Client",$A$1:$AB$1,0)),"")&amp;"")),"")</f>
        <v/>
      </c>
      <c r="AI3633" s="9">
        <f>IF(AF3633=1,IFERROR(INDEX($A3633:$AB3633,MATCH("Cost Centre",$A$1:$AB$1,0)),"")&amp;"","")</f>
        <v/>
      </c>
      <c r="AJ3633" s="54">
        <f>IF(AND(AF3633=1,AE3633&gt;=set_FYStart,AE3633&lt;=set_AsAt),1,0)</f>
        <v/>
      </c>
      <c r="AK3633" s="54">
        <f>IF(AND(AJ3633=1,AH3633&lt;&gt;"",COUNTIFS($AH$2:AH3633,AH3633,$AJ$2:AJ3633,1)=1),N(AL3632)+1,"")</f>
        <v/>
      </c>
      <c r="AL3633" s="54">
        <f>IF(AK3633&lt;&gt;"",AK3633,N(AL3632))</f>
        <v/>
      </c>
    </row>
    <row r="3634">
      <c r="A3634" t="inlineStr">
        <is>
          <t>CON-1211</t>
        </is>
      </c>
      <c r="B3634" t="inlineStr">
        <is>
          <t>Consulting</t>
        </is>
      </c>
      <c r="AB3634" t="n">
        <v>1211</v>
      </c>
      <c r="AD3634" s="52">
        <f>IFERROR(N(IFERROR(INDEX($A3634:$AB3634,MATCH("Xero Invoiced Ex GST",$A$1:$AB$1,0)),"")),0)</f>
        <v/>
      </c>
      <c r="AE3634" s="53">
        <f>IFERROR(INDEX($A3634:$AB3634,MATCH("Xero Invoice Date",$A$1:$AB$1,0)),"")</f>
        <v/>
      </c>
      <c r="AF3634" s="54">
        <f>IF(AND(IFERROR(INDEX($A3634:$AB3634,MATCH("Xero Invoice No",$A$1:$AB$1,0)),"")&amp;""&lt;&gt;"",ISNUMBER(AE3634),AD3634&lt;&gt;0),1,0)</f>
        <v/>
      </c>
      <c r="AG3634" s="55">
        <f>IF(AF3634=1,EOMONTH(AE3634,0),"")</f>
        <v/>
      </c>
      <c r="AH3634" s="9">
        <f>IF(AF3634=1,UPPER(TRIM(IFERROR(INDEX($A3634:$AB3634,MATCH("Client",$A$1:$AB$1,0)),"")&amp;"")),"")</f>
        <v/>
      </c>
      <c r="AI3634" s="9">
        <f>IF(AF3634=1,IFERROR(INDEX($A3634:$AB3634,MATCH("Cost Centre",$A$1:$AB$1,0)),"")&amp;"","")</f>
        <v/>
      </c>
      <c r="AJ3634" s="54">
        <f>IF(AND(AF3634=1,AE3634&gt;=set_FYStart,AE3634&lt;=set_AsAt),1,0)</f>
        <v/>
      </c>
      <c r="AK3634" s="54">
        <f>IF(AND(AJ3634=1,AH3634&lt;&gt;"",COUNTIFS($AH$2:AH3634,AH3634,$AJ$2:AJ3634,1)=1),N(AL3633)+1,"")</f>
        <v/>
      </c>
      <c r="AL3634" s="54">
        <f>IF(AK3634&lt;&gt;"",AK3634,N(AL3633))</f>
        <v/>
      </c>
    </row>
    <row r="3635">
      <c r="A3635" t="inlineStr">
        <is>
          <t>ONS-1212</t>
        </is>
      </c>
      <c r="B3635" t="inlineStr">
        <is>
          <t>Onsite</t>
        </is>
      </c>
      <c r="AB3635" t="n">
        <v>1212</v>
      </c>
      <c r="AD3635" s="52">
        <f>IFERROR(N(IFERROR(INDEX($A3635:$AB3635,MATCH("Xero Invoiced Ex GST",$A$1:$AB$1,0)),"")),0)</f>
        <v/>
      </c>
      <c r="AE3635" s="53">
        <f>IFERROR(INDEX($A3635:$AB3635,MATCH("Xero Invoice Date",$A$1:$AB$1,0)),"")</f>
        <v/>
      </c>
      <c r="AF3635" s="54">
        <f>IF(AND(IFERROR(INDEX($A3635:$AB3635,MATCH("Xero Invoice No",$A$1:$AB$1,0)),"")&amp;""&lt;&gt;"",ISNUMBER(AE3635),AD3635&lt;&gt;0),1,0)</f>
        <v/>
      </c>
      <c r="AG3635" s="55">
        <f>IF(AF3635=1,EOMONTH(AE3635,0),"")</f>
        <v/>
      </c>
      <c r="AH3635" s="9">
        <f>IF(AF3635=1,UPPER(TRIM(IFERROR(INDEX($A3635:$AB3635,MATCH("Client",$A$1:$AB$1,0)),"")&amp;"")),"")</f>
        <v/>
      </c>
      <c r="AI3635" s="9">
        <f>IF(AF3635=1,IFERROR(INDEX($A3635:$AB3635,MATCH("Cost Centre",$A$1:$AB$1,0)),"")&amp;"","")</f>
        <v/>
      </c>
      <c r="AJ3635" s="54">
        <f>IF(AND(AF3635=1,AE3635&gt;=set_FYStart,AE3635&lt;=set_AsAt),1,0)</f>
        <v/>
      </c>
      <c r="AK3635" s="54">
        <f>IF(AND(AJ3635=1,AH3635&lt;&gt;"",COUNTIFS($AH$2:AH3635,AH3635,$AJ$2:AJ3635,1)=1),N(AL3634)+1,"")</f>
        <v/>
      </c>
      <c r="AL3635" s="54">
        <f>IF(AK3635&lt;&gt;"",AK3635,N(AL3634))</f>
        <v/>
      </c>
    </row>
    <row r="3636">
      <c r="A3636" t="inlineStr">
        <is>
          <t>PRD-1212</t>
        </is>
      </c>
      <c r="B3636" t="inlineStr">
        <is>
          <t>Production</t>
        </is>
      </c>
      <c r="AB3636" t="n">
        <v>1212</v>
      </c>
      <c r="AD3636" s="52">
        <f>IFERROR(N(IFERROR(INDEX($A3636:$AB3636,MATCH("Xero Invoiced Ex GST",$A$1:$AB$1,0)),"")),0)</f>
        <v/>
      </c>
      <c r="AE3636" s="53">
        <f>IFERROR(INDEX($A3636:$AB3636,MATCH("Xero Invoice Date",$A$1:$AB$1,0)),"")</f>
        <v/>
      </c>
      <c r="AF3636" s="54">
        <f>IF(AND(IFERROR(INDEX($A3636:$AB3636,MATCH("Xero Invoice No",$A$1:$AB$1,0)),"")&amp;""&lt;&gt;"",ISNUMBER(AE3636),AD3636&lt;&gt;0),1,0)</f>
        <v/>
      </c>
      <c r="AG3636" s="55">
        <f>IF(AF3636=1,EOMONTH(AE3636,0),"")</f>
        <v/>
      </c>
      <c r="AH3636" s="9">
        <f>IF(AF3636=1,UPPER(TRIM(IFERROR(INDEX($A3636:$AB3636,MATCH("Client",$A$1:$AB$1,0)),"")&amp;"")),"")</f>
        <v/>
      </c>
      <c r="AI3636" s="9">
        <f>IF(AF3636=1,IFERROR(INDEX($A3636:$AB3636,MATCH("Cost Centre",$A$1:$AB$1,0)),"")&amp;"","")</f>
        <v/>
      </c>
      <c r="AJ3636" s="54">
        <f>IF(AND(AF3636=1,AE3636&gt;=set_FYStart,AE3636&lt;=set_AsAt),1,0)</f>
        <v/>
      </c>
      <c r="AK3636" s="54">
        <f>IF(AND(AJ3636=1,AH3636&lt;&gt;"",COUNTIFS($AH$2:AH3636,AH3636,$AJ$2:AJ3636,1)=1),N(AL3635)+1,"")</f>
        <v/>
      </c>
      <c r="AL3636" s="54">
        <f>IF(AK3636&lt;&gt;"",AK3636,N(AL3635))</f>
        <v/>
      </c>
    </row>
    <row r="3637">
      <c r="A3637" t="inlineStr">
        <is>
          <t>CON-1212</t>
        </is>
      </c>
      <c r="B3637" t="inlineStr">
        <is>
          <t>Consulting</t>
        </is>
      </c>
      <c r="AB3637" t="n">
        <v>1212</v>
      </c>
      <c r="AD3637" s="52">
        <f>IFERROR(N(IFERROR(INDEX($A3637:$AB3637,MATCH("Xero Invoiced Ex GST",$A$1:$AB$1,0)),"")),0)</f>
        <v/>
      </c>
      <c r="AE3637" s="53">
        <f>IFERROR(INDEX($A3637:$AB3637,MATCH("Xero Invoice Date",$A$1:$AB$1,0)),"")</f>
        <v/>
      </c>
      <c r="AF3637" s="54">
        <f>IF(AND(IFERROR(INDEX($A3637:$AB3637,MATCH("Xero Invoice No",$A$1:$AB$1,0)),"")&amp;""&lt;&gt;"",ISNUMBER(AE3637),AD3637&lt;&gt;0),1,0)</f>
        <v/>
      </c>
      <c r="AG3637" s="55">
        <f>IF(AF3637=1,EOMONTH(AE3637,0),"")</f>
        <v/>
      </c>
      <c r="AH3637" s="9">
        <f>IF(AF3637=1,UPPER(TRIM(IFERROR(INDEX($A3637:$AB3637,MATCH("Client",$A$1:$AB$1,0)),"")&amp;"")),"")</f>
        <v/>
      </c>
      <c r="AI3637" s="9">
        <f>IF(AF3637=1,IFERROR(INDEX($A3637:$AB3637,MATCH("Cost Centre",$A$1:$AB$1,0)),"")&amp;"","")</f>
        <v/>
      </c>
      <c r="AJ3637" s="54">
        <f>IF(AND(AF3637=1,AE3637&gt;=set_FYStart,AE3637&lt;=set_AsAt),1,0)</f>
        <v/>
      </c>
      <c r="AK3637" s="54">
        <f>IF(AND(AJ3637=1,AH3637&lt;&gt;"",COUNTIFS($AH$2:AH3637,AH3637,$AJ$2:AJ3637,1)=1),N(AL3636)+1,"")</f>
        <v/>
      </c>
      <c r="AL3637" s="54">
        <f>IF(AK3637&lt;&gt;"",AK3637,N(AL3636))</f>
        <v/>
      </c>
    </row>
    <row r="3638">
      <c r="A3638" t="inlineStr">
        <is>
          <t>ONS-1213</t>
        </is>
      </c>
      <c r="B3638" t="inlineStr">
        <is>
          <t>Onsite</t>
        </is>
      </c>
      <c r="AB3638" t="n">
        <v>1213</v>
      </c>
      <c r="AD3638" s="52">
        <f>IFERROR(N(IFERROR(INDEX($A3638:$AB3638,MATCH("Xero Invoiced Ex GST",$A$1:$AB$1,0)),"")),0)</f>
        <v/>
      </c>
      <c r="AE3638" s="53">
        <f>IFERROR(INDEX($A3638:$AB3638,MATCH("Xero Invoice Date",$A$1:$AB$1,0)),"")</f>
        <v/>
      </c>
      <c r="AF3638" s="54">
        <f>IF(AND(IFERROR(INDEX($A3638:$AB3638,MATCH("Xero Invoice No",$A$1:$AB$1,0)),"")&amp;""&lt;&gt;"",ISNUMBER(AE3638),AD3638&lt;&gt;0),1,0)</f>
        <v/>
      </c>
      <c r="AG3638" s="55">
        <f>IF(AF3638=1,EOMONTH(AE3638,0),"")</f>
        <v/>
      </c>
      <c r="AH3638" s="9">
        <f>IF(AF3638=1,UPPER(TRIM(IFERROR(INDEX($A3638:$AB3638,MATCH("Client",$A$1:$AB$1,0)),"")&amp;"")),"")</f>
        <v/>
      </c>
      <c r="AI3638" s="9">
        <f>IF(AF3638=1,IFERROR(INDEX($A3638:$AB3638,MATCH("Cost Centre",$A$1:$AB$1,0)),"")&amp;"","")</f>
        <v/>
      </c>
      <c r="AJ3638" s="54">
        <f>IF(AND(AF3638=1,AE3638&gt;=set_FYStart,AE3638&lt;=set_AsAt),1,0)</f>
        <v/>
      </c>
      <c r="AK3638" s="54">
        <f>IF(AND(AJ3638=1,AH3638&lt;&gt;"",COUNTIFS($AH$2:AH3638,AH3638,$AJ$2:AJ3638,1)=1),N(AL3637)+1,"")</f>
        <v/>
      </c>
      <c r="AL3638" s="54">
        <f>IF(AK3638&lt;&gt;"",AK3638,N(AL3637))</f>
        <v/>
      </c>
    </row>
    <row r="3639">
      <c r="A3639" t="inlineStr">
        <is>
          <t>PRD-1213</t>
        </is>
      </c>
      <c r="B3639" t="inlineStr">
        <is>
          <t>Production</t>
        </is>
      </c>
      <c r="AB3639" t="n">
        <v>1213</v>
      </c>
      <c r="AD3639" s="52">
        <f>IFERROR(N(IFERROR(INDEX($A3639:$AB3639,MATCH("Xero Invoiced Ex GST",$A$1:$AB$1,0)),"")),0)</f>
        <v/>
      </c>
      <c r="AE3639" s="53">
        <f>IFERROR(INDEX($A3639:$AB3639,MATCH("Xero Invoice Date",$A$1:$AB$1,0)),"")</f>
        <v/>
      </c>
      <c r="AF3639" s="54">
        <f>IF(AND(IFERROR(INDEX($A3639:$AB3639,MATCH("Xero Invoice No",$A$1:$AB$1,0)),"")&amp;""&lt;&gt;"",ISNUMBER(AE3639),AD3639&lt;&gt;0),1,0)</f>
        <v/>
      </c>
      <c r="AG3639" s="55">
        <f>IF(AF3639=1,EOMONTH(AE3639,0),"")</f>
        <v/>
      </c>
      <c r="AH3639" s="9">
        <f>IF(AF3639=1,UPPER(TRIM(IFERROR(INDEX($A3639:$AB3639,MATCH("Client",$A$1:$AB$1,0)),"")&amp;"")),"")</f>
        <v/>
      </c>
      <c r="AI3639" s="9">
        <f>IF(AF3639=1,IFERROR(INDEX($A3639:$AB3639,MATCH("Cost Centre",$A$1:$AB$1,0)),"")&amp;"","")</f>
        <v/>
      </c>
      <c r="AJ3639" s="54">
        <f>IF(AND(AF3639=1,AE3639&gt;=set_FYStart,AE3639&lt;=set_AsAt),1,0)</f>
        <v/>
      </c>
      <c r="AK3639" s="54">
        <f>IF(AND(AJ3639=1,AH3639&lt;&gt;"",COUNTIFS($AH$2:AH3639,AH3639,$AJ$2:AJ3639,1)=1),N(AL3638)+1,"")</f>
        <v/>
      </c>
      <c r="AL3639" s="54">
        <f>IF(AK3639&lt;&gt;"",AK3639,N(AL3638))</f>
        <v/>
      </c>
    </row>
    <row r="3640">
      <c r="A3640" t="inlineStr">
        <is>
          <t>CON-1213</t>
        </is>
      </c>
      <c r="B3640" t="inlineStr">
        <is>
          <t>Consulting</t>
        </is>
      </c>
      <c r="AB3640" t="n">
        <v>1213</v>
      </c>
      <c r="AD3640" s="52">
        <f>IFERROR(N(IFERROR(INDEX($A3640:$AB3640,MATCH("Xero Invoiced Ex GST",$A$1:$AB$1,0)),"")),0)</f>
        <v/>
      </c>
      <c r="AE3640" s="53">
        <f>IFERROR(INDEX($A3640:$AB3640,MATCH("Xero Invoice Date",$A$1:$AB$1,0)),"")</f>
        <v/>
      </c>
      <c r="AF3640" s="54">
        <f>IF(AND(IFERROR(INDEX($A3640:$AB3640,MATCH("Xero Invoice No",$A$1:$AB$1,0)),"")&amp;""&lt;&gt;"",ISNUMBER(AE3640),AD3640&lt;&gt;0),1,0)</f>
        <v/>
      </c>
      <c r="AG3640" s="55">
        <f>IF(AF3640=1,EOMONTH(AE3640,0),"")</f>
        <v/>
      </c>
      <c r="AH3640" s="9">
        <f>IF(AF3640=1,UPPER(TRIM(IFERROR(INDEX($A3640:$AB3640,MATCH("Client",$A$1:$AB$1,0)),"")&amp;"")),"")</f>
        <v/>
      </c>
      <c r="AI3640" s="9">
        <f>IF(AF3640=1,IFERROR(INDEX($A3640:$AB3640,MATCH("Cost Centre",$A$1:$AB$1,0)),"")&amp;"","")</f>
        <v/>
      </c>
      <c r="AJ3640" s="54">
        <f>IF(AND(AF3640=1,AE3640&gt;=set_FYStart,AE3640&lt;=set_AsAt),1,0)</f>
        <v/>
      </c>
      <c r="AK3640" s="54">
        <f>IF(AND(AJ3640=1,AH3640&lt;&gt;"",COUNTIFS($AH$2:AH3640,AH3640,$AJ$2:AJ3640,1)=1),N(AL3639)+1,"")</f>
        <v/>
      </c>
      <c r="AL3640" s="54">
        <f>IF(AK3640&lt;&gt;"",AK3640,N(AL3639))</f>
        <v/>
      </c>
    </row>
    <row r="3641">
      <c r="A3641" t="inlineStr">
        <is>
          <t>ONS-1214</t>
        </is>
      </c>
      <c r="B3641" t="inlineStr">
        <is>
          <t>Onsite</t>
        </is>
      </c>
      <c r="AB3641" t="n">
        <v>1214</v>
      </c>
      <c r="AD3641" s="52">
        <f>IFERROR(N(IFERROR(INDEX($A3641:$AB3641,MATCH("Xero Invoiced Ex GST",$A$1:$AB$1,0)),"")),0)</f>
        <v/>
      </c>
      <c r="AE3641" s="53">
        <f>IFERROR(INDEX($A3641:$AB3641,MATCH("Xero Invoice Date",$A$1:$AB$1,0)),"")</f>
        <v/>
      </c>
      <c r="AF3641" s="54">
        <f>IF(AND(IFERROR(INDEX($A3641:$AB3641,MATCH("Xero Invoice No",$A$1:$AB$1,0)),"")&amp;""&lt;&gt;"",ISNUMBER(AE3641),AD3641&lt;&gt;0),1,0)</f>
        <v/>
      </c>
      <c r="AG3641" s="55">
        <f>IF(AF3641=1,EOMONTH(AE3641,0),"")</f>
        <v/>
      </c>
      <c r="AH3641" s="9">
        <f>IF(AF3641=1,UPPER(TRIM(IFERROR(INDEX($A3641:$AB3641,MATCH("Client",$A$1:$AB$1,0)),"")&amp;"")),"")</f>
        <v/>
      </c>
      <c r="AI3641" s="9">
        <f>IF(AF3641=1,IFERROR(INDEX($A3641:$AB3641,MATCH("Cost Centre",$A$1:$AB$1,0)),"")&amp;"","")</f>
        <v/>
      </c>
      <c r="AJ3641" s="54">
        <f>IF(AND(AF3641=1,AE3641&gt;=set_FYStart,AE3641&lt;=set_AsAt),1,0)</f>
        <v/>
      </c>
      <c r="AK3641" s="54">
        <f>IF(AND(AJ3641=1,AH3641&lt;&gt;"",COUNTIFS($AH$2:AH3641,AH3641,$AJ$2:AJ3641,1)=1),N(AL3640)+1,"")</f>
        <v/>
      </c>
      <c r="AL3641" s="54">
        <f>IF(AK3641&lt;&gt;"",AK3641,N(AL3640))</f>
        <v/>
      </c>
    </row>
    <row r="3642">
      <c r="A3642" t="inlineStr">
        <is>
          <t>PRD-1214</t>
        </is>
      </c>
      <c r="B3642" t="inlineStr">
        <is>
          <t>Production</t>
        </is>
      </c>
      <c r="AB3642" t="n">
        <v>1214</v>
      </c>
      <c r="AD3642" s="52">
        <f>IFERROR(N(IFERROR(INDEX($A3642:$AB3642,MATCH("Xero Invoiced Ex GST",$A$1:$AB$1,0)),"")),0)</f>
        <v/>
      </c>
      <c r="AE3642" s="53">
        <f>IFERROR(INDEX($A3642:$AB3642,MATCH("Xero Invoice Date",$A$1:$AB$1,0)),"")</f>
        <v/>
      </c>
      <c r="AF3642" s="54">
        <f>IF(AND(IFERROR(INDEX($A3642:$AB3642,MATCH("Xero Invoice No",$A$1:$AB$1,0)),"")&amp;""&lt;&gt;"",ISNUMBER(AE3642),AD3642&lt;&gt;0),1,0)</f>
        <v/>
      </c>
      <c r="AG3642" s="55">
        <f>IF(AF3642=1,EOMONTH(AE3642,0),"")</f>
        <v/>
      </c>
      <c r="AH3642" s="9">
        <f>IF(AF3642=1,UPPER(TRIM(IFERROR(INDEX($A3642:$AB3642,MATCH("Client",$A$1:$AB$1,0)),"")&amp;"")),"")</f>
        <v/>
      </c>
      <c r="AI3642" s="9">
        <f>IF(AF3642=1,IFERROR(INDEX($A3642:$AB3642,MATCH("Cost Centre",$A$1:$AB$1,0)),"")&amp;"","")</f>
        <v/>
      </c>
      <c r="AJ3642" s="54">
        <f>IF(AND(AF3642=1,AE3642&gt;=set_FYStart,AE3642&lt;=set_AsAt),1,0)</f>
        <v/>
      </c>
      <c r="AK3642" s="54">
        <f>IF(AND(AJ3642=1,AH3642&lt;&gt;"",COUNTIFS($AH$2:AH3642,AH3642,$AJ$2:AJ3642,1)=1),N(AL3641)+1,"")</f>
        <v/>
      </c>
      <c r="AL3642" s="54">
        <f>IF(AK3642&lt;&gt;"",AK3642,N(AL3641))</f>
        <v/>
      </c>
    </row>
    <row r="3643">
      <c r="A3643" t="inlineStr">
        <is>
          <t>CON-1214</t>
        </is>
      </c>
      <c r="B3643" t="inlineStr">
        <is>
          <t>Consulting</t>
        </is>
      </c>
      <c r="AB3643" t="n">
        <v>1214</v>
      </c>
      <c r="AD3643" s="52">
        <f>IFERROR(N(IFERROR(INDEX($A3643:$AB3643,MATCH("Xero Invoiced Ex GST",$A$1:$AB$1,0)),"")),0)</f>
        <v/>
      </c>
      <c r="AE3643" s="53">
        <f>IFERROR(INDEX($A3643:$AB3643,MATCH("Xero Invoice Date",$A$1:$AB$1,0)),"")</f>
        <v/>
      </c>
      <c r="AF3643" s="54">
        <f>IF(AND(IFERROR(INDEX($A3643:$AB3643,MATCH("Xero Invoice No",$A$1:$AB$1,0)),"")&amp;""&lt;&gt;"",ISNUMBER(AE3643),AD3643&lt;&gt;0),1,0)</f>
        <v/>
      </c>
      <c r="AG3643" s="55">
        <f>IF(AF3643=1,EOMONTH(AE3643,0),"")</f>
        <v/>
      </c>
      <c r="AH3643" s="9">
        <f>IF(AF3643=1,UPPER(TRIM(IFERROR(INDEX($A3643:$AB3643,MATCH("Client",$A$1:$AB$1,0)),"")&amp;"")),"")</f>
        <v/>
      </c>
      <c r="AI3643" s="9">
        <f>IF(AF3643=1,IFERROR(INDEX($A3643:$AB3643,MATCH("Cost Centre",$A$1:$AB$1,0)),"")&amp;"","")</f>
        <v/>
      </c>
      <c r="AJ3643" s="54">
        <f>IF(AND(AF3643=1,AE3643&gt;=set_FYStart,AE3643&lt;=set_AsAt),1,0)</f>
        <v/>
      </c>
      <c r="AK3643" s="54">
        <f>IF(AND(AJ3643=1,AH3643&lt;&gt;"",COUNTIFS($AH$2:AH3643,AH3643,$AJ$2:AJ3643,1)=1),N(AL3642)+1,"")</f>
        <v/>
      </c>
      <c r="AL3643" s="54">
        <f>IF(AK3643&lt;&gt;"",AK3643,N(AL3642))</f>
        <v/>
      </c>
    </row>
    <row r="3644">
      <c r="A3644" t="inlineStr">
        <is>
          <t>ONS-1215</t>
        </is>
      </c>
      <c r="B3644" t="inlineStr">
        <is>
          <t>Onsite</t>
        </is>
      </c>
      <c r="AB3644" t="n">
        <v>1215</v>
      </c>
      <c r="AD3644" s="52">
        <f>IFERROR(N(IFERROR(INDEX($A3644:$AB3644,MATCH("Xero Invoiced Ex GST",$A$1:$AB$1,0)),"")),0)</f>
        <v/>
      </c>
      <c r="AE3644" s="53">
        <f>IFERROR(INDEX($A3644:$AB3644,MATCH("Xero Invoice Date",$A$1:$AB$1,0)),"")</f>
        <v/>
      </c>
      <c r="AF3644" s="54">
        <f>IF(AND(IFERROR(INDEX($A3644:$AB3644,MATCH("Xero Invoice No",$A$1:$AB$1,0)),"")&amp;""&lt;&gt;"",ISNUMBER(AE3644),AD3644&lt;&gt;0),1,0)</f>
        <v/>
      </c>
      <c r="AG3644" s="55">
        <f>IF(AF3644=1,EOMONTH(AE3644,0),"")</f>
        <v/>
      </c>
      <c r="AH3644" s="9">
        <f>IF(AF3644=1,UPPER(TRIM(IFERROR(INDEX($A3644:$AB3644,MATCH("Client",$A$1:$AB$1,0)),"")&amp;"")),"")</f>
        <v/>
      </c>
      <c r="AI3644" s="9">
        <f>IF(AF3644=1,IFERROR(INDEX($A3644:$AB3644,MATCH("Cost Centre",$A$1:$AB$1,0)),"")&amp;"","")</f>
        <v/>
      </c>
      <c r="AJ3644" s="54">
        <f>IF(AND(AF3644=1,AE3644&gt;=set_FYStart,AE3644&lt;=set_AsAt),1,0)</f>
        <v/>
      </c>
      <c r="AK3644" s="54">
        <f>IF(AND(AJ3644=1,AH3644&lt;&gt;"",COUNTIFS($AH$2:AH3644,AH3644,$AJ$2:AJ3644,1)=1),N(AL3643)+1,"")</f>
        <v/>
      </c>
      <c r="AL3644" s="54">
        <f>IF(AK3644&lt;&gt;"",AK3644,N(AL3643))</f>
        <v/>
      </c>
    </row>
    <row r="3645">
      <c r="A3645" t="inlineStr">
        <is>
          <t>PRD-1215</t>
        </is>
      </c>
      <c r="B3645" t="inlineStr">
        <is>
          <t>Production</t>
        </is>
      </c>
      <c r="AB3645" t="n">
        <v>1215</v>
      </c>
      <c r="AD3645" s="52">
        <f>IFERROR(N(IFERROR(INDEX($A3645:$AB3645,MATCH("Xero Invoiced Ex GST",$A$1:$AB$1,0)),"")),0)</f>
        <v/>
      </c>
      <c r="AE3645" s="53">
        <f>IFERROR(INDEX($A3645:$AB3645,MATCH("Xero Invoice Date",$A$1:$AB$1,0)),"")</f>
        <v/>
      </c>
      <c r="AF3645" s="54">
        <f>IF(AND(IFERROR(INDEX($A3645:$AB3645,MATCH("Xero Invoice No",$A$1:$AB$1,0)),"")&amp;""&lt;&gt;"",ISNUMBER(AE3645),AD3645&lt;&gt;0),1,0)</f>
        <v/>
      </c>
      <c r="AG3645" s="55">
        <f>IF(AF3645=1,EOMONTH(AE3645,0),"")</f>
        <v/>
      </c>
      <c r="AH3645" s="9">
        <f>IF(AF3645=1,UPPER(TRIM(IFERROR(INDEX($A3645:$AB3645,MATCH("Client",$A$1:$AB$1,0)),"")&amp;"")),"")</f>
        <v/>
      </c>
      <c r="AI3645" s="9">
        <f>IF(AF3645=1,IFERROR(INDEX($A3645:$AB3645,MATCH("Cost Centre",$A$1:$AB$1,0)),"")&amp;"","")</f>
        <v/>
      </c>
      <c r="AJ3645" s="54">
        <f>IF(AND(AF3645=1,AE3645&gt;=set_FYStart,AE3645&lt;=set_AsAt),1,0)</f>
        <v/>
      </c>
      <c r="AK3645" s="54">
        <f>IF(AND(AJ3645=1,AH3645&lt;&gt;"",COUNTIFS($AH$2:AH3645,AH3645,$AJ$2:AJ3645,1)=1),N(AL3644)+1,"")</f>
        <v/>
      </c>
      <c r="AL3645" s="54">
        <f>IF(AK3645&lt;&gt;"",AK3645,N(AL3644))</f>
        <v/>
      </c>
    </row>
    <row r="3646">
      <c r="A3646" t="inlineStr">
        <is>
          <t>CON-1215</t>
        </is>
      </c>
      <c r="B3646" t="inlineStr">
        <is>
          <t>Consulting</t>
        </is>
      </c>
      <c r="AB3646" t="n">
        <v>1215</v>
      </c>
      <c r="AD3646" s="52">
        <f>IFERROR(N(IFERROR(INDEX($A3646:$AB3646,MATCH("Xero Invoiced Ex GST",$A$1:$AB$1,0)),"")),0)</f>
        <v/>
      </c>
      <c r="AE3646" s="53">
        <f>IFERROR(INDEX($A3646:$AB3646,MATCH("Xero Invoice Date",$A$1:$AB$1,0)),"")</f>
        <v/>
      </c>
      <c r="AF3646" s="54">
        <f>IF(AND(IFERROR(INDEX($A3646:$AB3646,MATCH("Xero Invoice No",$A$1:$AB$1,0)),"")&amp;""&lt;&gt;"",ISNUMBER(AE3646),AD3646&lt;&gt;0),1,0)</f>
        <v/>
      </c>
      <c r="AG3646" s="55">
        <f>IF(AF3646=1,EOMONTH(AE3646,0),"")</f>
        <v/>
      </c>
      <c r="AH3646" s="9">
        <f>IF(AF3646=1,UPPER(TRIM(IFERROR(INDEX($A3646:$AB3646,MATCH("Client",$A$1:$AB$1,0)),"")&amp;"")),"")</f>
        <v/>
      </c>
      <c r="AI3646" s="9">
        <f>IF(AF3646=1,IFERROR(INDEX($A3646:$AB3646,MATCH("Cost Centre",$A$1:$AB$1,0)),"")&amp;"","")</f>
        <v/>
      </c>
      <c r="AJ3646" s="54">
        <f>IF(AND(AF3646=1,AE3646&gt;=set_FYStart,AE3646&lt;=set_AsAt),1,0)</f>
        <v/>
      </c>
      <c r="AK3646" s="54">
        <f>IF(AND(AJ3646=1,AH3646&lt;&gt;"",COUNTIFS($AH$2:AH3646,AH3646,$AJ$2:AJ3646,1)=1),N(AL3645)+1,"")</f>
        <v/>
      </c>
      <c r="AL3646" s="54">
        <f>IF(AK3646&lt;&gt;"",AK3646,N(AL3645))</f>
        <v/>
      </c>
    </row>
    <row r="3647">
      <c r="A3647" t="inlineStr">
        <is>
          <t>ONS-1216</t>
        </is>
      </c>
      <c r="B3647" t="inlineStr">
        <is>
          <t>Onsite</t>
        </is>
      </c>
      <c r="AB3647" t="n">
        <v>1216</v>
      </c>
      <c r="AD3647" s="52">
        <f>IFERROR(N(IFERROR(INDEX($A3647:$AB3647,MATCH("Xero Invoiced Ex GST",$A$1:$AB$1,0)),"")),0)</f>
        <v/>
      </c>
      <c r="AE3647" s="53">
        <f>IFERROR(INDEX($A3647:$AB3647,MATCH("Xero Invoice Date",$A$1:$AB$1,0)),"")</f>
        <v/>
      </c>
      <c r="AF3647" s="54">
        <f>IF(AND(IFERROR(INDEX($A3647:$AB3647,MATCH("Xero Invoice No",$A$1:$AB$1,0)),"")&amp;""&lt;&gt;"",ISNUMBER(AE3647),AD3647&lt;&gt;0),1,0)</f>
        <v/>
      </c>
      <c r="AG3647" s="55">
        <f>IF(AF3647=1,EOMONTH(AE3647,0),"")</f>
        <v/>
      </c>
      <c r="AH3647" s="9">
        <f>IF(AF3647=1,UPPER(TRIM(IFERROR(INDEX($A3647:$AB3647,MATCH("Client",$A$1:$AB$1,0)),"")&amp;"")),"")</f>
        <v/>
      </c>
      <c r="AI3647" s="9">
        <f>IF(AF3647=1,IFERROR(INDEX($A3647:$AB3647,MATCH("Cost Centre",$A$1:$AB$1,0)),"")&amp;"","")</f>
        <v/>
      </c>
      <c r="AJ3647" s="54">
        <f>IF(AND(AF3647=1,AE3647&gt;=set_FYStart,AE3647&lt;=set_AsAt),1,0)</f>
        <v/>
      </c>
      <c r="AK3647" s="54">
        <f>IF(AND(AJ3647=1,AH3647&lt;&gt;"",COUNTIFS($AH$2:AH3647,AH3647,$AJ$2:AJ3647,1)=1),N(AL3646)+1,"")</f>
        <v/>
      </c>
      <c r="AL3647" s="54">
        <f>IF(AK3647&lt;&gt;"",AK3647,N(AL3646))</f>
        <v/>
      </c>
    </row>
    <row r="3648">
      <c r="A3648" t="inlineStr">
        <is>
          <t>PRD-1216</t>
        </is>
      </c>
      <c r="B3648" t="inlineStr">
        <is>
          <t>Production</t>
        </is>
      </c>
      <c r="AB3648" t="n">
        <v>1216</v>
      </c>
      <c r="AD3648" s="52">
        <f>IFERROR(N(IFERROR(INDEX($A3648:$AB3648,MATCH("Xero Invoiced Ex GST",$A$1:$AB$1,0)),"")),0)</f>
        <v/>
      </c>
      <c r="AE3648" s="53">
        <f>IFERROR(INDEX($A3648:$AB3648,MATCH("Xero Invoice Date",$A$1:$AB$1,0)),"")</f>
        <v/>
      </c>
      <c r="AF3648" s="54">
        <f>IF(AND(IFERROR(INDEX($A3648:$AB3648,MATCH("Xero Invoice No",$A$1:$AB$1,0)),"")&amp;""&lt;&gt;"",ISNUMBER(AE3648),AD3648&lt;&gt;0),1,0)</f>
        <v/>
      </c>
      <c r="AG3648" s="55">
        <f>IF(AF3648=1,EOMONTH(AE3648,0),"")</f>
        <v/>
      </c>
      <c r="AH3648" s="9">
        <f>IF(AF3648=1,UPPER(TRIM(IFERROR(INDEX($A3648:$AB3648,MATCH("Client",$A$1:$AB$1,0)),"")&amp;"")),"")</f>
        <v/>
      </c>
      <c r="AI3648" s="9">
        <f>IF(AF3648=1,IFERROR(INDEX($A3648:$AB3648,MATCH("Cost Centre",$A$1:$AB$1,0)),"")&amp;"","")</f>
        <v/>
      </c>
      <c r="AJ3648" s="54">
        <f>IF(AND(AF3648=1,AE3648&gt;=set_FYStart,AE3648&lt;=set_AsAt),1,0)</f>
        <v/>
      </c>
      <c r="AK3648" s="54">
        <f>IF(AND(AJ3648=1,AH3648&lt;&gt;"",COUNTIFS($AH$2:AH3648,AH3648,$AJ$2:AJ3648,1)=1),N(AL3647)+1,"")</f>
        <v/>
      </c>
      <c r="AL3648" s="54">
        <f>IF(AK3648&lt;&gt;"",AK3648,N(AL3647))</f>
        <v/>
      </c>
    </row>
    <row r="3649">
      <c r="A3649" t="inlineStr">
        <is>
          <t>CON-1216</t>
        </is>
      </c>
      <c r="B3649" t="inlineStr">
        <is>
          <t>Consulting</t>
        </is>
      </c>
      <c r="AB3649" t="n">
        <v>1216</v>
      </c>
      <c r="AD3649" s="52">
        <f>IFERROR(N(IFERROR(INDEX($A3649:$AB3649,MATCH("Xero Invoiced Ex GST",$A$1:$AB$1,0)),"")),0)</f>
        <v/>
      </c>
      <c r="AE3649" s="53">
        <f>IFERROR(INDEX($A3649:$AB3649,MATCH("Xero Invoice Date",$A$1:$AB$1,0)),"")</f>
        <v/>
      </c>
      <c r="AF3649" s="54">
        <f>IF(AND(IFERROR(INDEX($A3649:$AB3649,MATCH("Xero Invoice No",$A$1:$AB$1,0)),"")&amp;""&lt;&gt;"",ISNUMBER(AE3649),AD3649&lt;&gt;0),1,0)</f>
        <v/>
      </c>
      <c r="AG3649" s="55">
        <f>IF(AF3649=1,EOMONTH(AE3649,0),"")</f>
        <v/>
      </c>
      <c r="AH3649" s="9">
        <f>IF(AF3649=1,UPPER(TRIM(IFERROR(INDEX($A3649:$AB3649,MATCH("Client",$A$1:$AB$1,0)),"")&amp;"")),"")</f>
        <v/>
      </c>
      <c r="AI3649" s="9">
        <f>IF(AF3649=1,IFERROR(INDEX($A3649:$AB3649,MATCH("Cost Centre",$A$1:$AB$1,0)),"")&amp;"","")</f>
        <v/>
      </c>
      <c r="AJ3649" s="54">
        <f>IF(AND(AF3649=1,AE3649&gt;=set_FYStart,AE3649&lt;=set_AsAt),1,0)</f>
        <v/>
      </c>
      <c r="AK3649" s="54">
        <f>IF(AND(AJ3649=1,AH3649&lt;&gt;"",COUNTIFS($AH$2:AH3649,AH3649,$AJ$2:AJ3649,1)=1),N(AL3648)+1,"")</f>
        <v/>
      </c>
      <c r="AL3649" s="54">
        <f>IF(AK3649&lt;&gt;"",AK3649,N(AL3648))</f>
        <v/>
      </c>
    </row>
    <row r="3650">
      <c r="A3650" t="inlineStr">
        <is>
          <t>ONS-1217</t>
        </is>
      </c>
      <c r="B3650" t="inlineStr">
        <is>
          <t>Onsite</t>
        </is>
      </c>
      <c r="AB3650" t="n">
        <v>1217</v>
      </c>
      <c r="AD3650" s="52">
        <f>IFERROR(N(IFERROR(INDEX($A3650:$AB3650,MATCH("Xero Invoiced Ex GST",$A$1:$AB$1,0)),"")),0)</f>
        <v/>
      </c>
      <c r="AE3650" s="53">
        <f>IFERROR(INDEX($A3650:$AB3650,MATCH("Xero Invoice Date",$A$1:$AB$1,0)),"")</f>
        <v/>
      </c>
      <c r="AF3650" s="54">
        <f>IF(AND(IFERROR(INDEX($A3650:$AB3650,MATCH("Xero Invoice No",$A$1:$AB$1,0)),"")&amp;""&lt;&gt;"",ISNUMBER(AE3650),AD3650&lt;&gt;0),1,0)</f>
        <v/>
      </c>
      <c r="AG3650" s="55">
        <f>IF(AF3650=1,EOMONTH(AE3650,0),"")</f>
        <v/>
      </c>
      <c r="AH3650" s="9">
        <f>IF(AF3650=1,UPPER(TRIM(IFERROR(INDEX($A3650:$AB3650,MATCH("Client",$A$1:$AB$1,0)),"")&amp;"")),"")</f>
        <v/>
      </c>
      <c r="AI3650" s="9">
        <f>IF(AF3650=1,IFERROR(INDEX($A3650:$AB3650,MATCH("Cost Centre",$A$1:$AB$1,0)),"")&amp;"","")</f>
        <v/>
      </c>
      <c r="AJ3650" s="54">
        <f>IF(AND(AF3650=1,AE3650&gt;=set_FYStart,AE3650&lt;=set_AsAt),1,0)</f>
        <v/>
      </c>
      <c r="AK3650" s="54">
        <f>IF(AND(AJ3650=1,AH3650&lt;&gt;"",COUNTIFS($AH$2:AH3650,AH3650,$AJ$2:AJ3650,1)=1),N(AL3649)+1,"")</f>
        <v/>
      </c>
      <c r="AL3650" s="54">
        <f>IF(AK3650&lt;&gt;"",AK3650,N(AL3649))</f>
        <v/>
      </c>
    </row>
    <row r="3651">
      <c r="A3651" t="inlineStr">
        <is>
          <t>PRD-1217</t>
        </is>
      </c>
      <c r="B3651" t="inlineStr">
        <is>
          <t>Production</t>
        </is>
      </c>
      <c r="AB3651" t="n">
        <v>1217</v>
      </c>
      <c r="AD3651" s="52">
        <f>IFERROR(N(IFERROR(INDEX($A3651:$AB3651,MATCH("Xero Invoiced Ex GST",$A$1:$AB$1,0)),"")),0)</f>
        <v/>
      </c>
      <c r="AE3651" s="53">
        <f>IFERROR(INDEX($A3651:$AB3651,MATCH("Xero Invoice Date",$A$1:$AB$1,0)),"")</f>
        <v/>
      </c>
      <c r="AF3651" s="54">
        <f>IF(AND(IFERROR(INDEX($A3651:$AB3651,MATCH("Xero Invoice No",$A$1:$AB$1,0)),"")&amp;""&lt;&gt;"",ISNUMBER(AE3651),AD3651&lt;&gt;0),1,0)</f>
        <v/>
      </c>
      <c r="AG3651" s="55">
        <f>IF(AF3651=1,EOMONTH(AE3651,0),"")</f>
        <v/>
      </c>
      <c r="AH3651" s="9">
        <f>IF(AF3651=1,UPPER(TRIM(IFERROR(INDEX($A3651:$AB3651,MATCH("Client",$A$1:$AB$1,0)),"")&amp;"")),"")</f>
        <v/>
      </c>
      <c r="AI3651" s="9">
        <f>IF(AF3651=1,IFERROR(INDEX($A3651:$AB3651,MATCH("Cost Centre",$A$1:$AB$1,0)),"")&amp;"","")</f>
        <v/>
      </c>
      <c r="AJ3651" s="54">
        <f>IF(AND(AF3651=1,AE3651&gt;=set_FYStart,AE3651&lt;=set_AsAt),1,0)</f>
        <v/>
      </c>
      <c r="AK3651" s="54">
        <f>IF(AND(AJ3651=1,AH3651&lt;&gt;"",COUNTIFS($AH$2:AH3651,AH3651,$AJ$2:AJ3651,1)=1),N(AL3650)+1,"")</f>
        <v/>
      </c>
      <c r="AL3651" s="54">
        <f>IF(AK3651&lt;&gt;"",AK3651,N(AL3650))</f>
        <v/>
      </c>
    </row>
    <row r="3652">
      <c r="A3652" t="inlineStr">
        <is>
          <t>CON-1217</t>
        </is>
      </c>
      <c r="B3652" t="inlineStr">
        <is>
          <t>Consulting</t>
        </is>
      </c>
      <c r="AB3652" t="n">
        <v>1217</v>
      </c>
      <c r="AD3652" s="52">
        <f>IFERROR(N(IFERROR(INDEX($A3652:$AB3652,MATCH("Xero Invoiced Ex GST",$A$1:$AB$1,0)),"")),0)</f>
        <v/>
      </c>
      <c r="AE3652" s="53">
        <f>IFERROR(INDEX($A3652:$AB3652,MATCH("Xero Invoice Date",$A$1:$AB$1,0)),"")</f>
        <v/>
      </c>
      <c r="AF3652" s="54">
        <f>IF(AND(IFERROR(INDEX($A3652:$AB3652,MATCH("Xero Invoice No",$A$1:$AB$1,0)),"")&amp;""&lt;&gt;"",ISNUMBER(AE3652),AD3652&lt;&gt;0),1,0)</f>
        <v/>
      </c>
      <c r="AG3652" s="55">
        <f>IF(AF3652=1,EOMONTH(AE3652,0),"")</f>
        <v/>
      </c>
      <c r="AH3652" s="9">
        <f>IF(AF3652=1,UPPER(TRIM(IFERROR(INDEX($A3652:$AB3652,MATCH("Client",$A$1:$AB$1,0)),"")&amp;"")),"")</f>
        <v/>
      </c>
      <c r="AI3652" s="9">
        <f>IF(AF3652=1,IFERROR(INDEX($A3652:$AB3652,MATCH("Cost Centre",$A$1:$AB$1,0)),"")&amp;"","")</f>
        <v/>
      </c>
      <c r="AJ3652" s="54">
        <f>IF(AND(AF3652=1,AE3652&gt;=set_FYStart,AE3652&lt;=set_AsAt),1,0)</f>
        <v/>
      </c>
      <c r="AK3652" s="54">
        <f>IF(AND(AJ3652=1,AH3652&lt;&gt;"",COUNTIFS($AH$2:AH3652,AH3652,$AJ$2:AJ3652,1)=1),N(AL3651)+1,"")</f>
        <v/>
      </c>
      <c r="AL3652" s="54">
        <f>IF(AK3652&lt;&gt;"",AK3652,N(AL3651))</f>
        <v/>
      </c>
    </row>
    <row r="3653">
      <c r="A3653" t="inlineStr">
        <is>
          <t>ONS-1218</t>
        </is>
      </c>
      <c r="B3653" t="inlineStr">
        <is>
          <t>Onsite</t>
        </is>
      </c>
      <c r="AB3653" t="n">
        <v>1218</v>
      </c>
      <c r="AD3653" s="52">
        <f>IFERROR(N(IFERROR(INDEX($A3653:$AB3653,MATCH("Xero Invoiced Ex GST",$A$1:$AB$1,0)),"")),0)</f>
        <v/>
      </c>
      <c r="AE3653" s="53">
        <f>IFERROR(INDEX($A3653:$AB3653,MATCH("Xero Invoice Date",$A$1:$AB$1,0)),"")</f>
        <v/>
      </c>
      <c r="AF3653" s="54">
        <f>IF(AND(IFERROR(INDEX($A3653:$AB3653,MATCH("Xero Invoice No",$A$1:$AB$1,0)),"")&amp;""&lt;&gt;"",ISNUMBER(AE3653),AD3653&lt;&gt;0),1,0)</f>
        <v/>
      </c>
      <c r="AG3653" s="55">
        <f>IF(AF3653=1,EOMONTH(AE3653,0),"")</f>
        <v/>
      </c>
      <c r="AH3653" s="9">
        <f>IF(AF3653=1,UPPER(TRIM(IFERROR(INDEX($A3653:$AB3653,MATCH("Client",$A$1:$AB$1,0)),"")&amp;"")),"")</f>
        <v/>
      </c>
      <c r="AI3653" s="9">
        <f>IF(AF3653=1,IFERROR(INDEX($A3653:$AB3653,MATCH("Cost Centre",$A$1:$AB$1,0)),"")&amp;"","")</f>
        <v/>
      </c>
      <c r="AJ3653" s="54">
        <f>IF(AND(AF3653=1,AE3653&gt;=set_FYStart,AE3653&lt;=set_AsAt),1,0)</f>
        <v/>
      </c>
      <c r="AK3653" s="54">
        <f>IF(AND(AJ3653=1,AH3653&lt;&gt;"",COUNTIFS($AH$2:AH3653,AH3653,$AJ$2:AJ3653,1)=1),N(AL3652)+1,"")</f>
        <v/>
      </c>
      <c r="AL3653" s="54">
        <f>IF(AK3653&lt;&gt;"",AK3653,N(AL3652))</f>
        <v/>
      </c>
    </row>
    <row r="3654">
      <c r="A3654" t="inlineStr">
        <is>
          <t>PRD-1218</t>
        </is>
      </c>
      <c r="B3654" t="inlineStr">
        <is>
          <t>Production</t>
        </is>
      </c>
      <c r="AB3654" t="n">
        <v>1218</v>
      </c>
      <c r="AD3654" s="52">
        <f>IFERROR(N(IFERROR(INDEX($A3654:$AB3654,MATCH("Xero Invoiced Ex GST",$A$1:$AB$1,0)),"")),0)</f>
        <v/>
      </c>
      <c r="AE3654" s="53">
        <f>IFERROR(INDEX($A3654:$AB3654,MATCH("Xero Invoice Date",$A$1:$AB$1,0)),"")</f>
        <v/>
      </c>
      <c r="AF3654" s="54">
        <f>IF(AND(IFERROR(INDEX($A3654:$AB3654,MATCH("Xero Invoice No",$A$1:$AB$1,0)),"")&amp;""&lt;&gt;"",ISNUMBER(AE3654),AD3654&lt;&gt;0),1,0)</f>
        <v/>
      </c>
      <c r="AG3654" s="55">
        <f>IF(AF3654=1,EOMONTH(AE3654,0),"")</f>
        <v/>
      </c>
      <c r="AH3654" s="9">
        <f>IF(AF3654=1,UPPER(TRIM(IFERROR(INDEX($A3654:$AB3654,MATCH("Client",$A$1:$AB$1,0)),"")&amp;"")),"")</f>
        <v/>
      </c>
      <c r="AI3654" s="9">
        <f>IF(AF3654=1,IFERROR(INDEX($A3654:$AB3654,MATCH("Cost Centre",$A$1:$AB$1,0)),"")&amp;"","")</f>
        <v/>
      </c>
      <c r="AJ3654" s="54">
        <f>IF(AND(AF3654=1,AE3654&gt;=set_FYStart,AE3654&lt;=set_AsAt),1,0)</f>
        <v/>
      </c>
      <c r="AK3654" s="54">
        <f>IF(AND(AJ3654=1,AH3654&lt;&gt;"",COUNTIFS($AH$2:AH3654,AH3654,$AJ$2:AJ3654,1)=1),N(AL3653)+1,"")</f>
        <v/>
      </c>
      <c r="AL3654" s="54">
        <f>IF(AK3654&lt;&gt;"",AK3654,N(AL3653))</f>
        <v/>
      </c>
    </row>
    <row r="3655">
      <c r="A3655" t="inlineStr">
        <is>
          <t>CON-1218</t>
        </is>
      </c>
      <c r="B3655" t="inlineStr">
        <is>
          <t>Consulting</t>
        </is>
      </c>
      <c r="AB3655" t="n">
        <v>1218</v>
      </c>
      <c r="AD3655" s="52">
        <f>IFERROR(N(IFERROR(INDEX($A3655:$AB3655,MATCH("Xero Invoiced Ex GST",$A$1:$AB$1,0)),"")),0)</f>
        <v/>
      </c>
      <c r="AE3655" s="53">
        <f>IFERROR(INDEX($A3655:$AB3655,MATCH("Xero Invoice Date",$A$1:$AB$1,0)),"")</f>
        <v/>
      </c>
      <c r="AF3655" s="54">
        <f>IF(AND(IFERROR(INDEX($A3655:$AB3655,MATCH("Xero Invoice No",$A$1:$AB$1,0)),"")&amp;""&lt;&gt;"",ISNUMBER(AE3655),AD3655&lt;&gt;0),1,0)</f>
        <v/>
      </c>
      <c r="AG3655" s="55">
        <f>IF(AF3655=1,EOMONTH(AE3655,0),"")</f>
        <v/>
      </c>
      <c r="AH3655" s="9">
        <f>IF(AF3655=1,UPPER(TRIM(IFERROR(INDEX($A3655:$AB3655,MATCH("Client",$A$1:$AB$1,0)),"")&amp;"")),"")</f>
        <v/>
      </c>
      <c r="AI3655" s="9">
        <f>IF(AF3655=1,IFERROR(INDEX($A3655:$AB3655,MATCH("Cost Centre",$A$1:$AB$1,0)),"")&amp;"","")</f>
        <v/>
      </c>
      <c r="AJ3655" s="54">
        <f>IF(AND(AF3655=1,AE3655&gt;=set_FYStart,AE3655&lt;=set_AsAt),1,0)</f>
        <v/>
      </c>
      <c r="AK3655" s="54">
        <f>IF(AND(AJ3655=1,AH3655&lt;&gt;"",COUNTIFS($AH$2:AH3655,AH3655,$AJ$2:AJ3655,1)=1),N(AL3654)+1,"")</f>
        <v/>
      </c>
      <c r="AL3655" s="54">
        <f>IF(AK3655&lt;&gt;"",AK3655,N(AL3654))</f>
        <v/>
      </c>
    </row>
    <row r="3656">
      <c r="A3656" t="inlineStr">
        <is>
          <t>ONS-1219</t>
        </is>
      </c>
      <c r="B3656" t="inlineStr">
        <is>
          <t>Onsite</t>
        </is>
      </c>
      <c r="AB3656" t="n">
        <v>1219</v>
      </c>
      <c r="AD3656" s="52">
        <f>IFERROR(N(IFERROR(INDEX($A3656:$AB3656,MATCH("Xero Invoiced Ex GST",$A$1:$AB$1,0)),"")),0)</f>
        <v/>
      </c>
      <c r="AE3656" s="53">
        <f>IFERROR(INDEX($A3656:$AB3656,MATCH("Xero Invoice Date",$A$1:$AB$1,0)),"")</f>
        <v/>
      </c>
      <c r="AF3656" s="54">
        <f>IF(AND(IFERROR(INDEX($A3656:$AB3656,MATCH("Xero Invoice No",$A$1:$AB$1,0)),"")&amp;""&lt;&gt;"",ISNUMBER(AE3656),AD3656&lt;&gt;0),1,0)</f>
        <v/>
      </c>
      <c r="AG3656" s="55">
        <f>IF(AF3656=1,EOMONTH(AE3656,0),"")</f>
        <v/>
      </c>
      <c r="AH3656" s="9">
        <f>IF(AF3656=1,UPPER(TRIM(IFERROR(INDEX($A3656:$AB3656,MATCH("Client",$A$1:$AB$1,0)),"")&amp;"")),"")</f>
        <v/>
      </c>
      <c r="AI3656" s="9">
        <f>IF(AF3656=1,IFERROR(INDEX($A3656:$AB3656,MATCH("Cost Centre",$A$1:$AB$1,0)),"")&amp;"","")</f>
        <v/>
      </c>
      <c r="AJ3656" s="54">
        <f>IF(AND(AF3656=1,AE3656&gt;=set_FYStart,AE3656&lt;=set_AsAt),1,0)</f>
        <v/>
      </c>
      <c r="AK3656" s="54">
        <f>IF(AND(AJ3656=1,AH3656&lt;&gt;"",COUNTIFS($AH$2:AH3656,AH3656,$AJ$2:AJ3656,1)=1),N(AL3655)+1,"")</f>
        <v/>
      </c>
      <c r="AL3656" s="54">
        <f>IF(AK3656&lt;&gt;"",AK3656,N(AL3655))</f>
        <v/>
      </c>
    </row>
    <row r="3657">
      <c r="A3657" t="inlineStr">
        <is>
          <t>PRD-1219</t>
        </is>
      </c>
      <c r="B3657" t="inlineStr">
        <is>
          <t>Production</t>
        </is>
      </c>
      <c r="AB3657" t="n">
        <v>1219</v>
      </c>
      <c r="AD3657" s="52">
        <f>IFERROR(N(IFERROR(INDEX($A3657:$AB3657,MATCH("Xero Invoiced Ex GST",$A$1:$AB$1,0)),"")),0)</f>
        <v/>
      </c>
      <c r="AE3657" s="53">
        <f>IFERROR(INDEX($A3657:$AB3657,MATCH("Xero Invoice Date",$A$1:$AB$1,0)),"")</f>
        <v/>
      </c>
      <c r="AF3657" s="54">
        <f>IF(AND(IFERROR(INDEX($A3657:$AB3657,MATCH("Xero Invoice No",$A$1:$AB$1,0)),"")&amp;""&lt;&gt;"",ISNUMBER(AE3657),AD3657&lt;&gt;0),1,0)</f>
        <v/>
      </c>
      <c r="AG3657" s="55">
        <f>IF(AF3657=1,EOMONTH(AE3657,0),"")</f>
        <v/>
      </c>
      <c r="AH3657" s="9">
        <f>IF(AF3657=1,UPPER(TRIM(IFERROR(INDEX($A3657:$AB3657,MATCH("Client",$A$1:$AB$1,0)),"")&amp;"")),"")</f>
        <v/>
      </c>
      <c r="AI3657" s="9">
        <f>IF(AF3657=1,IFERROR(INDEX($A3657:$AB3657,MATCH("Cost Centre",$A$1:$AB$1,0)),"")&amp;"","")</f>
        <v/>
      </c>
      <c r="AJ3657" s="54">
        <f>IF(AND(AF3657=1,AE3657&gt;=set_FYStart,AE3657&lt;=set_AsAt),1,0)</f>
        <v/>
      </c>
      <c r="AK3657" s="54">
        <f>IF(AND(AJ3657=1,AH3657&lt;&gt;"",COUNTIFS($AH$2:AH3657,AH3657,$AJ$2:AJ3657,1)=1),N(AL3656)+1,"")</f>
        <v/>
      </c>
      <c r="AL3657" s="54">
        <f>IF(AK3657&lt;&gt;"",AK3657,N(AL3656))</f>
        <v/>
      </c>
    </row>
    <row r="3658">
      <c r="A3658" t="inlineStr">
        <is>
          <t>CON-1219</t>
        </is>
      </c>
      <c r="B3658" t="inlineStr">
        <is>
          <t>Consulting</t>
        </is>
      </c>
      <c r="AB3658" t="n">
        <v>1219</v>
      </c>
      <c r="AD3658" s="52">
        <f>IFERROR(N(IFERROR(INDEX($A3658:$AB3658,MATCH("Xero Invoiced Ex GST",$A$1:$AB$1,0)),"")),0)</f>
        <v/>
      </c>
      <c r="AE3658" s="53">
        <f>IFERROR(INDEX($A3658:$AB3658,MATCH("Xero Invoice Date",$A$1:$AB$1,0)),"")</f>
        <v/>
      </c>
      <c r="AF3658" s="54">
        <f>IF(AND(IFERROR(INDEX($A3658:$AB3658,MATCH("Xero Invoice No",$A$1:$AB$1,0)),"")&amp;""&lt;&gt;"",ISNUMBER(AE3658),AD3658&lt;&gt;0),1,0)</f>
        <v/>
      </c>
      <c r="AG3658" s="55">
        <f>IF(AF3658=1,EOMONTH(AE3658,0),"")</f>
        <v/>
      </c>
      <c r="AH3658" s="9">
        <f>IF(AF3658=1,UPPER(TRIM(IFERROR(INDEX($A3658:$AB3658,MATCH("Client",$A$1:$AB$1,0)),"")&amp;"")),"")</f>
        <v/>
      </c>
      <c r="AI3658" s="9">
        <f>IF(AF3658=1,IFERROR(INDEX($A3658:$AB3658,MATCH("Cost Centre",$A$1:$AB$1,0)),"")&amp;"","")</f>
        <v/>
      </c>
      <c r="AJ3658" s="54">
        <f>IF(AND(AF3658=1,AE3658&gt;=set_FYStart,AE3658&lt;=set_AsAt),1,0)</f>
        <v/>
      </c>
      <c r="AK3658" s="54">
        <f>IF(AND(AJ3658=1,AH3658&lt;&gt;"",COUNTIFS($AH$2:AH3658,AH3658,$AJ$2:AJ3658,1)=1),N(AL3657)+1,"")</f>
        <v/>
      </c>
      <c r="AL3658" s="54">
        <f>IF(AK3658&lt;&gt;"",AK3658,N(AL3657))</f>
        <v/>
      </c>
    </row>
    <row r="3659">
      <c r="A3659" t="inlineStr">
        <is>
          <t>ONS-1220</t>
        </is>
      </c>
      <c r="B3659" t="inlineStr">
        <is>
          <t>Onsite</t>
        </is>
      </c>
      <c r="AB3659" t="n">
        <v>1220</v>
      </c>
      <c r="AD3659" s="52">
        <f>IFERROR(N(IFERROR(INDEX($A3659:$AB3659,MATCH("Xero Invoiced Ex GST",$A$1:$AB$1,0)),"")),0)</f>
        <v/>
      </c>
      <c r="AE3659" s="53">
        <f>IFERROR(INDEX($A3659:$AB3659,MATCH("Xero Invoice Date",$A$1:$AB$1,0)),"")</f>
        <v/>
      </c>
      <c r="AF3659" s="54">
        <f>IF(AND(IFERROR(INDEX($A3659:$AB3659,MATCH("Xero Invoice No",$A$1:$AB$1,0)),"")&amp;""&lt;&gt;"",ISNUMBER(AE3659),AD3659&lt;&gt;0),1,0)</f>
        <v/>
      </c>
      <c r="AG3659" s="55">
        <f>IF(AF3659=1,EOMONTH(AE3659,0),"")</f>
        <v/>
      </c>
      <c r="AH3659" s="9">
        <f>IF(AF3659=1,UPPER(TRIM(IFERROR(INDEX($A3659:$AB3659,MATCH("Client",$A$1:$AB$1,0)),"")&amp;"")),"")</f>
        <v/>
      </c>
      <c r="AI3659" s="9">
        <f>IF(AF3659=1,IFERROR(INDEX($A3659:$AB3659,MATCH("Cost Centre",$A$1:$AB$1,0)),"")&amp;"","")</f>
        <v/>
      </c>
      <c r="AJ3659" s="54">
        <f>IF(AND(AF3659=1,AE3659&gt;=set_FYStart,AE3659&lt;=set_AsAt),1,0)</f>
        <v/>
      </c>
      <c r="AK3659" s="54">
        <f>IF(AND(AJ3659=1,AH3659&lt;&gt;"",COUNTIFS($AH$2:AH3659,AH3659,$AJ$2:AJ3659,1)=1),N(AL3658)+1,"")</f>
        <v/>
      </c>
      <c r="AL3659" s="54">
        <f>IF(AK3659&lt;&gt;"",AK3659,N(AL3658))</f>
        <v/>
      </c>
    </row>
    <row r="3660">
      <c r="A3660" t="inlineStr">
        <is>
          <t>PRD-1220</t>
        </is>
      </c>
      <c r="B3660" t="inlineStr">
        <is>
          <t>Production</t>
        </is>
      </c>
      <c r="AB3660" t="n">
        <v>1220</v>
      </c>
      <c r="AD3660" s="52">
        <f>IFERROR(N(IFERROR(INDEX($A3660:$AB3660,MATCH("Xero Invoiced Ex GST",$A$1:$AB$1,0)),"")),0)</f>
        <v/>
      </c>
      <c r="AE3660" s="53">
        <f>IFERROR(INDEX($A3660:$AB3660,MATCH("Xero Invoice Date",$A$1:$AB$1,0)),"")</f>
        <v/>
      </c>
      <c r="AF3660" s="54">
        <f>IF(AND(IFERROR(INDEX($A3660:$AB3660,MATCH("Xero Invoice No",$A$1:$AB$1,0)),"")&amp;""&lt;&gt;"",ISNUMBER(AE3660),AD3660&lt;&gt;0),1,0)</f>
        <v/>
      </c>
      <c r="AG3660" s="55">
        <f>IF(AF3660=1,EOMONTH(AE3660,0),"")</f>
        <v/>
      </c>
      <c r="AH3660" s="9">
        <f>IF(AF3660=1,UPPER(TRIM(IFERROR(INDEX($A3660:$AB3660,MATCH("Client",$A$1:$AB$1,0)),"")&amp;"")),"")</f>
        <v/>
      </c>
      <c r="AI3660" s="9">
        <f>IF(AF3660=1,IFERROR(INDEX($A3660:$AB3660,MATCH("Cost Centre",$A$1:$AB$1,0)),"")&amp;"","")</f>
        <v/>
      </c>
      <c r="AJ3660" s="54">
        <f>IF(AND(AF3660=1,AE3660&gt;=set_FYStart,AE3660&lt;=set_AsAt),1,0)</f>
        <v/>
      </c>
      <c r="AK3660" s="54">
        <f>IF(AND(AJ3660=1,AH3660&lt;&gt;"",COUNTIFS($AH$2:AH3660,AH3660,$AJ$2:AJ3660,1)=1),N(AL3659)+1,"")</f>
        <v/>
      </c>
      <c r="AL3660" s="54">
        <f>IF(AK3660&lt;&gt;"",AK3660,N(AL3659))</f>
        <v/>
      </c>
    </row>
    <row r="3661">
      <c r="A3661" t="inlineStr">
        <is>
          <t>CON-1220</t>
        </is>
      </c>
      <c r="B3661" t="inlineStr">
        <is>
          <t>Consulting</t>
        </is>
      </c>
      <c r="AB3661" t="n">
        <v>1220</v>
      </c>
      <c r="AD3661" s="52">
        <f>IFERROR(N(IFERROR(INDEX($A3661:$AB3661,MATCH("Xero Invoiced Ex GST",$A$1:$AB$1,0)),"")),0)</f>
        <v/>
      </c>
      <c r="AE3661" s="53">
        <f>IFERROR(INDEX($A3661:$AB3661,MATCH("Xero Invoice Date",$A$1:$AB$1,0)),"")</f>
        <v/>
      </c>
      <c r="AF3661" s="54">
        <f>IF(AND(IFERROR(INDEX($A3661:$AB3661,MATCH("Xero Invoice No",$A$1:$AB$1,0)),"")&amp;""&lt;&gt;"",ISNUMBER(AE3661),AD3661&lt;&gt;0),1,0)</f>
        <v/>
      </c>
      <c r="AG3661" s="55">
        <f>IF(AF3661=1,EOMONTH(AE3661,0),"")</f>
        <v/>
      </c>
      <c r="AH3661" s="9">
        <f>IF(AF3661=1,UPPER(TRIM(IFERROR(INDEX($A3661:$AB3661,MATCH("Client",$A$1:$AB$1,0)),"")&amp;"")),"")</f>
        <v/>
      </c>
      <c r="AI3661" s="9">
        <f>IF(AF3661=1,IFERROR(INDEX($A3661:$AB3661,MATCH("Cost Centre",$A$1:$AB$1,0)),"")&amp;"","")</f>
        <v/>
      </c>
      <c r="AJ3661" s="54">
        <f>IF(AND(AF3661=1,AE3661&gt;=set_FYStart,AE3661&lt;=set_AsAt),1,0)</f>
        <v/>
      </c>
      <c r="AK3661" s="54">
        <f>IF(AND(AJ3661=1,AH3661&lt;&gt;"",COUNTIFS($AH$2:AH3661,AH3661,$AJ$2:AJ3661,1)=1),N(AL3660)+1,"")</f>
        <v/>
      </c>
      <c r="AL3661" s="54">
        <f>IF(AK3661&lt;&gt;"",AK3661,N(AL3660))</f>
        <v/>
      </c>
    </row>
    <row r="3662">
      <c r="A3662" t="inlineStr">
        <is>
          <t>ONS-1221</t>
        </is>
      </c>
      <c r="B3662" t="inlineStr">
        <is>
          <t>Onsite</t>
        </is>
      </c>
      <c r="AB3662" t="n">
        <v>1221</v>
      </c>
      <c r="AD3662" s="52">
        <f>IFERROR(N(IFERROR(INDEX($A3662:$AB3662,MATCH("Xero Invoiced Ex GST",$A$1:$AB$1,0)),"")),0)</f>
        <v/>
      </c>
      <c r="AE3662" s="53">
        <f>IFERROR(INDEX($A3662:$AB3662,MATCH("Xero Invoice Date",$A$1:$AB$1,0)),"")</f>
        <v/>
      </c>
      <c r="AF3662" s="54">
        <f>IF(AND(IFERROR(INDEX($A3662:$AB3662,MATCH("Xero Invoice No",$A$1:$AB$1,0)),"")&amp;""&lt;&gt;"",ISNUMBER(AE3662),AD3662&lt;&gt;0),1,0)</f>
        <v/>
      </c>
      <c r="AG3662" s="55">
        <f>IF(AF3662=1,EOMONTH(AE3662,0),"")</f>
        <v/>
      </c>
      <c r="AH3662" s="9">
        <f>IF(AF3662=1,UPPER(TRIM(IFERROR(INDEX($A3662:$AB3662,MATCH("Client",$A$1:$AB$1,0)),"")&amp;"")),"")</f>
        <v/>
      </c>
      <c r="AI3662" s="9">
        <f>IF(AF3662=1,IFERROR(INDEX($A3662:$AB3662,MATCH("Cost Centre",$A$1:$AB$1,0)),"")&amp;"","")</f>
        <v/>
      </c>
      <c r="AJ3662" s="54">
        <f>IF(AND(AF3662=1,AE3662&gt;=set_FYStart,AE3662&lt;=set_AsAt),1,0)</f>
        <v/>
      </c>
      <c r="AK3662" s="54">
        <f>IF(AND(AJ3662=1,AH3662&lt;&gt;"",COUNTIFS($AH$2:AH3662,AH3662,$AJ$2:AJ3662,1)=1),N(AL3661)+1,"")</f>
        <v/>
      </c>
      <c r="AL3662" s="54">
        <f>IF(AK3662&lt;&gt;"",AK3662,N(AL3661))</f>
        <v/>
      </c>
    </row>
    <row r="3663">
      <c r="A3663" t="inlineStr">
        <is>
          <t>PRD-1221</t>
        </is>
      </c>
      <c r="B3663" t="inlineStr">
        <is>
          <t>Production</t>
        </is>
      </c>
      <c r="AB3663" t="n">
        <v>1221</v>
      </c>
      <c r="AD3663" s="52">
        <f>IFERROR(N(IFERROR(INDEX($A3663:$AB3663,MATCH("Xero Invoiced Ex GST",$A$1:$AB$1,0)),"")),0)</f>
        <v/>
      </c>
      <c r="AE3663" s="53">
        <f>IFERROR(INDEX($A3663:$AB3663,MATCH("Xero Invoice Date",$A$1:$AB$1,0)),"")</f>
        <v/>
      </c>
      <c r="AF3663" s="54">
        <f>IF(AND(IFERROR(INDEX($A3663:$AB3663,MATCH("Xero Invoice No",$A$1:$AB$1,0)),"")&amp;""&lt;&gt;"",ISNUMBER(AE3663),AD3663&lt;&gt;0),1,0)</f>
        <v/>
      </c>
      <c r="AG3663" s="55">
        <f>IF(AF3663=1,EOMONTH(AE3663,0),"")</f>
        <v/>
      </c>
      <c r="AH3663" s="9">
        <f>IF(AF3663=1,UPPER(TRIM(IFERROR(INDEX($A3663:$AB3663,MATCH("Client",$A$1:$AB$1,0)),"")&amp;"")),"")</f>
        <v/>
      </c>
      <c r="AI3663" s="9">
        <f>IF(AF3663=1,IFERROR(INDEX($A3663:$AB3663,MATCH("Cost Centre",$A$1:$AB$1,0)),"")&amp;"","")</f>
        <v/>
      </c>
      <c r="AJ3663" s="54">
        <f>IF(AND(AF3663=1,AE3663&gt;=set_FYStart,AE3663&lt;=set_AsAt),1,0)</f>
        <v/>
      </c>
      <c r="AK3663" s="54">
        <f>IF(AND(AJ3663=1,AH3663&lt;&gt;"",COUNTIFS($AH$2:AH3663,AH3663,$AJ$2:AJ3663,1)=1),N(AL3662)+1,"")</f>
        <v/>
      </c>
      <c r="AL3663" s="54">
        <f>IF(AK3663&lt;&gt;"",AK3663,N(AL3662))</f>
        <v/>
      </c>
    </row>
    <row r="3664">
      <c r="A3664" t="inlineStr">
        <is>
          <t>CON-1221</t>
        </is>
      </c>
      <c r="B3664" t="inlineStr">
        <is>
          <t>Consulting</t>
        </is>
      </c>
      <c r="AB3664" t="n">
        <v>1221</v>
      </c>
      <c r="AD3664" s="52">
        <f>IFERROR(N(IFERROR(INDEX($A3664:$AB3664,MATCH("Xero Invoiced Ex GST",$A$1:$AB$1,0)),"")),0)</f>
        <v/>
      </c>
      <c r="AE3664" s="53">
        <f>IFERROR(INDEX($A3664:$AB3664,MATCH("Xero Invoice Date",$A$1:$AB$1,0)),"")</f>
        <v/>
      </c>
      <c r="AF3664" s="54">
        <f>IF(AND(IFERROR(INDEX($A3664:$AB3664,MATCH("Xero Invoice No",$A$1:$AB$1,0)),"")&amp;""&lt;&gt;"",ISNUMBER(AE3664),AD3664&lt;&gt;0),1,0)</f>
        <v/>
      </c>
      <c r="AG3664" s="55">
        <f>IF(AF3664=1,EOMONTH(AE3664,0),"")</f>
        <v/>
      </c>
      <c r="AH3664" s="9">
        <f>IF(AF3664=1,UPPER(TRIM(IFERROR(INDEX($A3664:$AB3664,MATCH("Client",$A$1:$AB$1,0)),"")&amp;"")),"")</f>
        <v/>
      </c>
      <c r="AI3664" s="9">
        <f>IF(AF3664=1,IFERROR(INDEX($A3664:$AB3664,MATCH("Cost Centre",$A$1:$AB$1,0)),"")&amp;"","")</f>
        <v/>
      </c>
      <c r="AJ3664" s="54">
        <f>IF(AND(AF3664=1,AE3664&gt;=set_FYStart,AE3664&lt;=set_AsAt),1,0)</f>
        <v/>
      </c>
      <c r="AK3664" s="54">
        <f>IF(AND(AJ3664=1,AH3664&lt;&gt;"",COUNTIFS($AH$2:AH3664,AH3664,$AJ$2:AJ3664,1)=1),N(AL3663)+1,"")</f>
        <v/>
      </c>
      <c r="AL3664" s="54">
        <f>IF(AK3664&lt;&gt;"",AK3664,N(AL3663))</f>
        <v/>
      </c>
    </row>
    <row r="3665">
      <c r="A3665" t="inlineStr">
        <is>
          <t>ONS-1222</t>
        </is>
      </c>
      <c r="B3665" t="inlineStr">
        <is>
          <t>Onsite</t>
        </is>
      </c>
      <c r="AB3665" t="n">
        <v>1222</v>
      </c>
      <c r="AD3665" s="52">
        <f>IFERROR(N(IFERROR(INDEX($A3665:$AB3665,MATCH("Xero Invoiced Ex GST",$A$1:$AB$1,0)),"")),0)</f>
        <v/>
      </c>
      <c r="AE3665" s="53">
        <f>IFERROR(INDEX($A3665:$AB3665,MATCH("Xero Invoice Date",$A$1:$AB$1,0)),"")</f>
        <v/>
      </c>
      <c r="AF3665" s="54">
        <f>IF(AND(IFERROR(INDEX($A3665:$AB3665,MATCH("Xero Invoice No",$A$1:$AB$1,0)),"")&amp;""&lt;&gt;"",ISNUMBER(AE3665),AD3665&lt;&gt;0),1,0)</f>
        <v/>
      </c>
      <c r="AG3665" s="55">
        <f>IF(AF3665=1,EOMONTH(AE3665,0),"")</f>
        <v/>
      </c>
      <c r="AH3665" s="9">
        <f>IF(AF3665=1,UPPER(TRIM(IFERROR(INDEX($A3665:$AB3665,MATCH("Client",$A$1:$AB$1,0)),"")&amp;"")),"")</f>
        <v/>
      </c>
      <c r="AI3665" s="9">
        <f>IF(AF3665=1,IFERROR(INDEX($A3665:$AB3665,MATCH("Cost Centre",$A$1:$AB$1,0)),"")&amp;"","")</f>
        <v/>
      </c>
      <c r="AJ3665" s="54">
        <f>IF(AND(AF3665=1,AE3665&gt;=set_FYStart,AE3665&lt;=set_AsAt),1,0)</f>
        <v/>
      </c>
      <c r="AK3665" s="54">
        <f>IF(AND(AJ3665=1,AH3665&lt;&gt;"",COUNTIFS($AH$2:AH3665,AH3665,$AJ$2:AJ3665,1)=1),N(AL3664)+1,"")</f>
        <v/>
      </c>
      <c r="AL3665" s="54">
        <f>IF(AK3665&lt;&gt;"",AK3665,N(AL3664))</f>
        <v/>
      </c>
    </row>
    <row r="3666">
      <c r="A3666" t="inlineStr">
        <is>
          <t>PRD-1222</t>
        </is>
      </c>
      <c r="B3666" t="inlineStr">
        <is>
          <t>Production</t>
        </is>
      </c>
      <c r="AB3666" t="n">
        <v>1222</v>
      </c>
      <c r="AD3666" s="52">
        <f>IFERROR(N(IFERROR(INDEX($A3666:$AB3666,MATCH("Xero Invoiced Ex GST",$A$1:$AB$1,0)),"")),0)</f>
        <v/>
      </c>
      <c r="AE3666" s="53">
        <f>IFERROR(INDEX($A3666:$AB3666,MATCH("Xero Invoice Date",$A$1:$AB$1,0)),"")</f>
        <v/>
      </c>
      <c r="AF3666" s="54">
        <f>IF(AND(IFERROR(INDEX($A3666:$AB3666,MATCH("Xero Invoice No",$A$1:$AB$1,0)),"")&amp;""&lt;&gt;"",ISNUMBER(AE3666),AD3666&lt;&gt;0),1,0)</f>
        <v/>
      </c>
      <c r="AG3666" s="55">
        <f>IF(AF3666=1,EOMONTH(AE3666,0),"")</f>
        <v/>
      </c>
      <c r="AH3666" s="9">
        <f>IF(AF3666=1,UPPER(TRIM(IFERROR(INDEX($A3666:$AB3666,MATCH("Client",$A$1:$AB$1,0)),"")&amp;"")),"")</f>
        <v/>
      </c>
      <c r="AI3666" s="9">
        <f>IF(AF3666=1,IFERROR(INDEX($A3666:$AB3666,MATCH("Cost Centre",$A$1:$AB$1,0)),"")&amp;"","")</f>
        <v/>
      </c>
      <c r="AJ3666" s="54">
        <f>IF(AND(AF3666=1,AE3666&gt;=set_FYStart,AE3666&lt;=set_AsAt),1,0)</f>
        <v/>
      </c>
      <c r="AK3666" s="54">
        <f>IF(AND(AJ3666=1,AH3666&lt;&gt;"",COUNTIFS($AH$2:AH3666,AH3666,$AJ$2:AJ3666,1)=1),N(AL3665)+1,"")</f>
        <v/>
      </c>
      <c r="AL3666" s="54">
        <f>IF(AK3666&lt;&gt;"",AK3666,N(AL3665))</f>
        <v/>
      </c>
    </row>
    <row r="3667">
      <c r="A3667" t="inlineStr">
        <is>
          <t>CON-1222</t>
        </is>
      </c>
      <c r="B3667" t="inlineStr">
        <is>
          <t>Consulting</t>
        </is>
      </c>
      <c r="AB3667" t="n">
        <v>1222</v>
      </c>
      <c r="AD3667" s="52">
        <f>IFERROR(N(IFERROR(INDEX($A3667:$AB3667,MATCH("Xero Invoiced Ex GST",$A$1:$AB$1,0)),"")),0)</f>
        <v/>
      </c>
      <c r="AE3667" s="53">
        <f>IFERROR(INDEX($A3667:$AB3667,MATCH("Xero Invoice Date",$A$1:$AB$1,0)),"")</f>
        <v/>
      </c>
      <c r="AF3667" s="54">
        <f>IF(AND(IFERROR(INDEX($A3667:$AB3667,MATCH("Xero Invoice No",$A$1:$AB$1,0)),"")&amp;""&lt;&gt;"",ISNUMBER(AE3667),AD3667&lt;&gt;0),1,0)</f>
        <v/>
      </c>
      <c r="AG3667" s="55">
        <f>IF(AF3667=1,EOMONTH(AE3667,0),"")</f>
        <v/>
      </c>
      <c r="AH3667" s="9">
        <f>IF(AF3667=1,UPPER(TRIM(IFERROR(INDEX($A3667:$AB3667,MATCH("Client",$A$1:$AB$1,0)),"")&amp;"")),"")</f>
        <v/>
      </c>
      <c r="AI3667" s="9">
        <f>IF(AF3667=1,IFERROR(INDEX($A3667:$AB3667,MATCH("Cost Centre",$A$1:$AB$1,0)),"")&amp;"","")</f>
        <v/>
      </c>
      <c r="AJ3667" s="54">
        <f>IF(AND(AF3667=1,AE3667&gt;=set_FYStart,AE3667&lt;=set_AsAt),1,0)</f>
        <v/>
      </c>
      <c r="AK3667" s="54">
        <f>IF(AND(AJ3667=1,AH3667&lt;&gt;"",COUNTIFS($AH$2:AH3667,AH3667,$AJ$2:AJ3667,1)=1),N(AL3666)+1,"")</f>
        <v/>
      </c>
      <c r="AL3667" s="54">
        <f>IF(AK3667&lt;&gt;"",AK3667,N(AL3666))</f>
        <v/>
      </c>
    </row>
    <row r="3668">
      <c r="A3668" t="inlineStr">
        <is>
          <t>ONS-1223</t>
        </is>
      </c>
      <c r="B3668" t="inlineStr">
        <is>
          <t>Onsite</t>
        </is>
      </c>
      <c r="AB3668" t="n">
        <v>1223</v>
      </c>
      <c r="AD3668" s="52">
        <f>IFERROR(N(IFERROR(INDEX($A3668:$AB3668,MATCH("Xero Invoiced Ex GST",$A$1:$AB$1,0)),"")),0)</f>
        <v/>
      </c>
      <c r="AE3668" s="53">
        <f>IFERROR(INDEX($A3668:$AB3668,MATCH("Xero Invoice Date",$A$1:$AB$1,0)),"")</f>
        <v/>
      </c>
      <c r="AF3668" s="54">
        <f>IF(AND(IFERROR(INDEX($A3668:$AB3668,MATCH("Xero Invoice No",$A$1:$AB$1,0)),"")&amp;""&lt;&gt;"",ISNUMBER(AE3668),AD3668&lt;&gt;0),1,0)</f>
        <v/>
      </c>
      <c r="AG3668" s="55">
        <f>IF(AF3668=1,EOMONTH(AE3668,0),"")</f>
        <v/>
      </c>
      <c r="AH3668" s="9">
        <f>IF(AF3668=1,UPPER(TRIM(IFERROR(INDEX($A3668:$AB3668,MATCH("Client",$A$1:$AB$1,0)),"")&amp;"")),"")</f>
        <v/>
      </c>
      <c r="AI3668" s="9">
        <f>IF(AF3668=1,IFERROR(INDEX($A3668:$AB3668,MATCH("Cost Centre",$A$1:$AB$1,0)),"")&amp;"","")</f>
        <v/>
      </c>
      <c r="AJ3668" s="54">
        <f>IF(AND(AF3668=1,AE3668&gt;=set_FYStart,AE3668&lt;=set_AsAt),1,0)</f>
        <v/>
      </c>
      <c r="AK3668" s="54">
        <f>IF(AND(AJ3668=1,AH3668&lt;&gt;"",COUNTIFS($AH$2:AH3668,AH3668,$AJ$2:AJ3668,1)=1),N(AL3667)+1,"")</f>
        <v/>
      </c>
      <c r="AL3668" s="54">
        <f>IF(AK3668&lt;&gt;"",AK3668,N(AL3667))</f>
        <v/>
      </c>
    </row>
    <row r="3669">
      <c r="A3669" t="inlineStr">
        <is>
          <t>PRD-1223</t>
        </is>
      </c>
      <c r="B3669" t="inlineStr">
        <is>
          <t>Production</t>
        </is>
      </c>
      <c r="AB3669" t="n">
        <v>1223</v>
      </c>
      <c r="AD3669" s="52">
        <f>IFERROR(N(IFERROR(INDEX($A3669:$AB3669,MATCH("Xero Invoiced Ex GST",$A$1:$AB$1,0)),"")),0)</f>
        <v/>
      </c>
      <c r="AE3669" s="53">
        <f>IFERROR(INDEX($A3669:$AB3669,MATCH("Xero Invoice Date",$A$1:$AB$1,0)),"")</f>
        <v/>
      </c>
      <c r="AF3669" s="54">
        <f>IF(AND(IFERROR(INDEX($A3669:$AB3669,MATCH("Xero Invoice No",$A$1:$AB$1,0)),"")&amp;""&lt;&gt;"",ISNUMBER(AE3669),AD3669&lt;&gt;0),1,0)</f>
        <v/>
      </c>
      <c r="AG3669" s="55">
        <f>IF(AF3669=1,EOMONTH(AE3669,0),"")</f>
        <v/>
      </c>
      <c r="AH3669" s="9">
        <f>IF(AF3669=1,UPPER(TRIM(IFERROR(INDEX($A3669:$AB3669,MATCH("Client",$A$1:$AB$1,0)),"")&amp;"")),"")</f>
        <v/>
      </c>
      <c r="AI3669" s="9">
        <f>IF(AF3669=1,IFERROR(INDEX($A3669:$AB3669,MATCH("Cost Centre",$A$1:$AB$1,0)),"")&amp;"","")</f>
        <v/>
      </c>
      <c r="AJ3669" s="54">
        <f>IF(AND(AF3669=1,AE3669&gt;=set_FYStart,AE3669&lt;=set_AsAt),1,0)</f>
        <v/>
      </c>
      <c r="AK3669" s="54">
        <f>IF(AND(AJ3669=1,AH3669&lt;&gt;"",COUNTIFS($AH$2:AH3669,AH3669,$AJ$2:AJ3669,1)=1),N(AL3668)+1,"")</f>
        <v/>
      </c>
      <c r="AL3669" s="54">
        <f>IF(AK3669&lt;&gt;"",AK3669,N(AL3668))</f>
        <v/>
      </c>
    </row>
    <row r="3670">
      <c r="A3670" t="inlineStr">
        <is>
          <t>CON-1223</t>
        </is>
      </c>
      <c r="B3670" t="inlineStr">
        <is>
          <t>Consulting</t>
        </is>
      </c>
      <c r="AB3670" t="n">
        <v>1223</v>
      </c>
      <c r="AD3670" s="52">
        <f>IFERROR(N(IFERROR(INDEX($A3670:$AB3670,MATCH("Xero Invoiced Ex GST",$A$1:$AB$1,0)),"")),0)</f>
        <v/>
      </c>
      <c r="AE3670" s="53">
        <f>IFERROR(INDEX($A3670:$AB3670,MATCH("Xero Invoice Date",$A$1:$AB$1,0)),"")</f>
        <v/>
      </c>
      <c r="AF3670" s="54">
        <f>IF(AND(IFERROR(INDEX($A3670:$AB3670,MATCH("Xero Invoice No",$A$1:$AB$1,0)),"")&amp;""&lt;&gt;"",ISNUMBER(AE3670),AD3670&lt;&gt;0),1,0)</f>
        <v/>
      </c>
      <c r="AG3670" s="55">
        <f>IF(AF3670=1,EOMONTH(AE3670,0),"")</f>
        <v/>
      </c>
      <c r="AH3670" s="9">
        <f>IF(AF3670=1,UPPER(TRIM(IFERROR(INDEX($A3670:$AB3670,MATCH("Client",$A$1:$AB$1,0)),"")&amp;"")),"")</f>
        <v/>
      </c>
      <c r="AI3670" s="9">
        <f>IF(AF3670=1,IFERROR(INDEX($A3670:$AB3670,MATCH("Cost Centre",$A$1:$AB$1,0)),"")&amp;"","")</f>
        <v/>
      </c>
      <c r="AJ3670" s="54">
        <f>IF(AND(AF3670=1,AE3670&gt;=set_FYStart,AE3670&lt;=set_AsAt),1,0)</f>
        <v/>
      </c>
      <c r="AK3670" s="54">
        <f>IF(AND(AJ3670=1,AH3670&lt;&gt;"",COUNTIFS($AH$2:AH3670,AH3670,$AJ$2:AJ3670,1)=1),N(AL3669)+1,"")</f>
        <v/>
      </c>
      <c r="AL3670" s="54">
        <f>IF(AK3670&lt;&gt;"",AK3670,N(AL3669))</f>
        <v/>
      </c>
    </row>
    <row r="3671">
      <c r="A3671" t="inlineStr">
        <is>
          <t>ONS-1224</t>
        </is>
      </c>
      <c r="B3671" t="inlineStr">
        <is>
          <t>Onsite</t>
        </is>
      </c>
      <c r="AB3671" t="n">
        <v>1224</v>
      </c>
      <c r="AD3671" s="52">
        <f>IFERROR(N(IFERROR(INDEX($A3671:$AB3671,MATCH("Xero Invoiced Ex GST",$A$1:$AB$1,0)),"")),0)</f>
        <v/>
      </c>
      <c r="AE3671" s="53">
        <f>IFERROR(INDEX($A3671:$AB3671,MATCH("Xero Invoice Date",$A$1:$AB$1,0)),"")</f>
        <v/>
      </c>
      <c r="AF3671" s="54">
        <f>IF(AND(IFERROR(INDEX($A3671:$AB3671,MATCH("Xero Invoice No",$A$1:$AB$1,0)),"")&amp;""&lt;&gt;"",ISNUMBER(AE3671),AD3671&lt;&gt;0),1,0)</f>
        <v/>
      </c>
      <c r="AG3671" s="55">
        <f>IF(AF3671=1,EOMONTH(AE3671,0),"")</f>
        <v/>
      </c>
      <c r="AH3671" s="9">
        <f>IF(AF3671=1,UPPER(TRIM(IFERROR(INDEX($A3671:$AB3671,MATCH("Client",$A$1:$AB$1,0)),"")&amp;"")),"")</f>
        <v/>
      </c>
      <c r="AI3671" s="9">
        <f>IF(AF3671=1,IFERROR(INDEX($A3671:$AB3671,MATCH("Cost Centre",$A$1:$AB$1,0)),"")&amp;"","")</f>
        <v/>
      </c>
      <c r="AJ3671" s="54">
        <f>IF(AND(AF3671=1,AE3671&gt;=set_FYStart,AE3671&lt;=set_AsAt),1,0)</f>
        <v/>
      </c>
      <c r="AK3671" s="54">
        <f>IF(AND(AJ3671=1,AH3671&lt;&gt;"",COUNTIFS($AH$2:AH3671,AH3671,$AJ$2:AJ3671,1)=1),N(AL3670)+1,"")</f>
        <v/>
      </c>
      <c r="AL3671" s="54">
        <f>IF(AK3671&lt;&gt;"",AK3671,N(AL3670))</f>
        <v/>
      </c>
    </row>
    <row r="3672">
      <c r="A3672" t="inlineStr">
        <is>
          <t>PRD-1224</t>
        </is>
      </c>
      <c r="B3672" t="inlineStr">
        <is>
          <t>Production</t>
        </is>
      </c>
      <c r="AB3672" t="n">
        <v>1224</v>
      </c>
      <c r="AD3672" s="52">
        <f>IFERROR(N(IFERROR(INDEX($A3672:$AB3672,MATCH("Xero Invoiced Ex GST",$A$1:$AB$1,0)),"")),0)</f>
        <v/>
      </c>
      <c r="AE3672" s="53">
        <f>IFERROR(INDEX($A3672:$AB3672,MATCH("Xero Invoice Date",$A$1:$AB$1,0)),"")</f>
        <v/>
      </c>
      <c r="AF3672" s="54">
        <f>IF(AND(IFERROR(INDEX($A3672:$AB3672,MATCH("Xero Invoice No",$A$1:$AB$1,0)),"")&amp;""&lt;&gt;"",ISNUMBER(AE3672),AD3672&lt;&gt;0),1,0)</f>
        <v/>
      </c>
      <c r="AG3672" s="55">
        <f>IF(AF3672=1,EOMONTH(AE3672,0),"")</f>
        <v/>
      </c>
      <c r="AH3672" s="9">
        <f>IF(AF3672=1,UPPER(TRIM(IFERROR(INDEX($A3672:$AB3672,MATCH("Client",$A$1:$AB$1,0)),"")&amp;"")),"")</f>
        <v/>
      </c>
      <c r="AI3672" s="9">
        <f>IF(AF3672=1,IFERROR(INDEX($A3672:$AB3672,MATCH("Cost Centre",$A$1:$AB$1,0)),"")&amp;"","")</f>
        <v/>
      </c>
      <c r="AJ3672" s="54">
        <f>IF(AND(AF3672=1,AE3672&gt;=set_FYStart,AE3672&lt;=set_AsAt),1,0)</f>
        <v/>
      </c>
      <c r="AK3672" s="54">
        <f>IF(AND(AJ3672=1,AH3672&lt;&gt;"",COUNTIFS($AH$2:AH3672,AH3672,$AJ$2:AJ3672,1)=1),N(AL3671)+1,"")</f>
        <v/>
      </c>
      <c r="AL3672" s="54">
        <f>IF(AK3672&lt;&gt;"",AK3672,N(AL3671))</f>
        <v/>
      </c>
    </row>
    <row r="3673">
      <c r="A3673" t="inlineStr">
        <is>
          <t>CON-1224</t>
        </is>
      </c>
      <c r="B3673" t="inlineStr">
        <is>
          <t>Consulting</t>
        </is>
      </c>
      <c r="AB3673" t="n">
        <v>1224</v>
      </c>
      <c r="AD3673" s="52">
        <f>IFERROR(N(IFERROR(INDEX($A3673:$AB3673,MATCH("Xero Invoiced Ex GST",$A$1:$AB$1,0)),"")),0)</f>
        <v/>
      </c>
      <c r="AE3673" s="53">
        <f>IFERROR(INDEX($A3673:$AB3673,MATCH("Xero Invoice Date",$A$1:$AB$1,0)),"")</f>
        <v/>
      </c>
      <c r="AF3673" s="54">
        <f>IF(AND(IFERROR(INDEX($A3673:$AB3673,MATCH("Xero Invoice No",$A$1:$AB$1,0)),"")&amp;""&lt;&gt;"",ISNUMBER(AE3673),AD3673&lt;&gt;0),1,0)</f>
        <v/>
      </c>
      <c r="AG3673" s="55">
        <f>IF(AF3673=1,EOMONTH(AE3673,0),"")</f>
        <v/>
      </c>
      <c r="AH3673" s="9">
        <f>IF(AF3673=1,UPPER(TRIM(IFERROR(INDEX($A3673:$AB3673,MATCH("Client",$A$1:$AB$1,0)),"")&amp;"")),"")</f>
        <v/>
      </c>
      <c r="AI3673" s="9">
        <f>IF(AF3673=1,IFERROR(INDEX($A3673:$AB3673,MATCH("Cost Centre",$A$1:$AB$1,0)),"")&amp;"","")</f>
        <v/>
      </c>
      <c r="AJ3673" s="54">
        <f>IF(AND(AF3673=1,AE3673&gt;=set_FYStart,AE3673&lt;=set_AsAt),1,0)</f>
        <v/>
      </c>
      <c r="AK3673" s="54">
        <f>IF(AND(AJ3673=1,AH3673&lt;&gt;"",COUNTIFS($AH$2:AH3673,AH3673,$AJ$2:AJ3673,1)=1),N(AL3672)+1,"")</f>
        <v/>
      </c>
      <c r="AL3673" s="54">
        <f>IF(AK3673&lt;&gt;"",AK3673,N(AL3672))</f>
        <v/>
      </c>
    </row>
    <row r="3674">
      <c r="A3674" t="inlineStr">
        <is>
          <t>ONS-1225</t>
        </is>
      </c>
      <c r="B3674" t="inlineStr">
        <is>
          <t>Onsite</t>
        </is>
      </c>
      <c r="AB3674" t="n">
        <v>1225</v>
      </c>
      <c r="AD3674" s="52">
        <f>IFERROR(N(IFERROR(INDEX($A3674:$AB3674,MATCH("Xero Invoiced Ex GST",$A$1:$AB$1,0)),"")),0)</f>
        <v/>
      </c>
      <c r="AE3674" s="53">
        <f>IFERROR(INDEX($A3674:$AB3674,MATCH("Xero Invoice Date",$A$1:$AB$1,0)),"")</f>
        <v/>
      </c>
      <c r="AF3674" s="54">
        <f>IF(AND(IFERROR(INDEX($A3674:$AB3674,MATCH("Xero Invoice No",$A$1:$AB$1,0)),"")&amp;""&lt;&gt;"",ISNUMBER(AE3674),AD3674&lt;&gt;0),1,0)</f>
        <v/>
      </c>
      <c r="AG3674" s="55">
        <f>IF(AF3674=1,EOMONTH(AE3674,0),"")</f>
        <v/>
      </c>
      <c r="AH3674" s="9">
        <f>IF(AF3674=1,UPPER(TRIM(IFERROR(INDEX($A3674:$AB3674,MATCH("Client",$A$1:$AB$1,0)),"")&amp;"")),"")</f>
        <v/>
      </c>
      <c r="AI3674" s="9">
        <f>IF(AF3674=1,IFERROR(INDEX($A3674:$AB3674,MATCH("Cost Centre",$A$1:$AB$1,0)),"")&amp;"","")</f>
        <v/>
      </c>
      <c r="AJ3674" s="54">
        <f>IF(AND(AF3674=1,AE3674&gt;=set_FYStart,AE3674&lt;=set_AsAt),1,0)</f>
        <v/>
      </c>
      <c r="AK3674" s="54">
        <f>IF(AND(AJ3674=1,AH3674&lt;&gt;"",COUNTIFS($AH$2:AH3674,AH3674,$AJ$2:AJ3674,1)=1),N(AL3673)+1,"")</f>
        <v/>
      </c>
      <c r="AL3674" s="54">
        <f>IF(AK3674&lt;&gt;"",AK3674,N(AL3673))</f>
        <v/>
      </c>
    </row>
    <row r="3675">
      <c r="A3675" t="inlineStr">
        <is>
          <t>PRD-1225</t>
        </is>
      </c>
      <c r="B3675" t="inlineStr">
        <is>
          <t>Production</t>
        </is>
      </c>
      <c r="AB3675" t="n">
        <v>1225</v>
      </c>
      <c r="AD3675" s="52">
        <f>IFERROR(N(IFERROR(INDEX($A3675:$AB3675,MATCH("Xero Invoiced Ex GST",$A$1:$AB$1,0)),"")),0)</f>
        <v/>
      </c>
      <c r="AE3675" s="53">
        <f>IFERROR(INDEX($A3675:$AB3675,MATCH("Xero Invoice Date",$A$1:$AB$1,0)),"")</f>
        <v/>
      </c>
      <c r="AF3675" s="54">
        <f>IF(AND(IFERROR(INDEX($A3675:$AB3675,MATCH("Xero Invoice No",$A$1:$AB$1,0)),"")&amp;""&lt;&gt;"",ISNUMBER(AE3675),AD3675&lt;&gt;0),1,0)</f>
        <v/>
      </c>
      <c r="AG3675" s="55">
        <f>IF(AF3675=1,EOMONTH(AE3675,0),"")</f>
        <v/>
      </c>
      <c r="AH3675" s="9">
        <f>IF(AF3675=1,UPPER(TRIM(IFERROR(INDEX($A3675:$AB3675,MATCH("Client",$A$1:$AB$1,0)),"")&amp;"")),"")</f>
        <v/>
      </c>
      <c r="AI3675" s="9">
        <f>IF(AF3675=1,IFERROR(INDEX($A3675:$AB3675,MATCH("Cost Centre",$A$1:$AB$1,0)),"")&amp;"","")</f>
        <v/>
      </c>
      <c r="AJ3675" s="54">
        <f>IF(AND(AF3675=1,AE3675&gt;=set_FYStart,AE3675&lt;=set_AsAt),1,0)</f>
        <v/>
      </c>
      <c r="AK3675" s="54">
        <f>IF(AND(AJ3675=1,AH3675&lt;&gt;"",COUNTIFS($AH$2:AH3675,AH3675,$AJ$2:AJ3675,1)=1),N(AL3674)+1,"")</f>
        <v/>
      </c>
      <c r="AL3675" s="54">
        <f>IF(AK3675&lt;&gt;"",AK3675,N(AL3674))</f>
        <v/>
      </c>
    </row>
    <row r="3676">
      <c r="A3676" t="inlineStr">
        <is>
          <t>CON-1225</t>
        </is>
      </c>
      <c r="B3676" t="inlineStr">
        <is>
          <t>Consulting</t>
        </is>
      </c>
      <c r="AB3676" t="n">
        <v>1225</v>
      </c>
      <c r="AD3676" s="52">
        <f>IFERROR(N(IFERROR(INDEX($A3676:$AB3676,MATCH("Xero Invoiced Ex GST",$A$1:$AB$1,0)),"")),0)</f>
        <v/>
      </c>
      <c r="AE3676" s="53">
        <f>IFERROR(INDEX($A3676:$AB3676,MATCH("Xero Invoice Date",$A$1:$AB$1,0)),"")</f>
        <v/>
      </c>
      <c r="AF3676" s="54">
        <f>IF(AND(IFERROR(INDEX($A3676:$AB3676,MATCH("Xero Invoice No",$A$1:$AB$1,0)),"")&amp;""&lt;&gt;"",ISNUMBER(AE3676),AD3676&lt;&gt;0),1,0)</f>
        <v/>
      </c>
      <c r="AG3676" s="55">
        <f>IF(AF3676=1,EOMONTH(AE3676,0),"")</f>
        <v/>
      </c>
      <c r="AH3676" s="9">
        <f>IF(AF3676=1,UPPER(TRIM(IFERROR(INDEX($A3676:$AB3676,MATCH("Client",$A$1:$AB$1,0)),"")&amp;"")),"")</f>
        <v/>
      </c>
      <c r="AI3676" s="9">
        <f>IF(AF3676=1,IFERROR(INDEX($A3676:$AB3676,MATCH("Cost Centre",$A$1:$AB$1,0)),"")&amp;"","")</f>
        <v/>
      </c>
      <c r="AJ3676" s="54">
        <f>IF(AND(AF3676=1,AE3676&gt;=set_FYStart,AE3676&lt;=set_AsAt),1,0)</f>
        <v/>
      </c>
      <c r="AK3676" s="54">
        <f>IF(AND(AJ3676=1,AH3676&lt;&gt;"",COUNTIFS($AH$2:AH3676,AH3676,$AJ$2:AJ3676,1)=1),N(AL3675)+1,"")</f>
        <v/>
      </c>
      <c r="AL3676" s="54">
        <f>IF(AK3676&lt;&gt;"",AK3676,N(AL3675))</f>
        <v/>
      </c>
    </row>
    <row r="3677">
      <c r="A3677" t="inlineStr">
        <is>
          <t>ONS-1226</t>
        </is>
      </c>
      <c r="B3677" t="inlineStr">
        <is>
          <t>Onsite</t>
        </is>
      </c>
      <c r="AB3677" t="n">
        <v>1226</v>
      </c>
      <c r="AD3677" s="52">
        <f>IFERROR(N(IFERROR(INDEX($A3677:$AB3677,MATCH("Xero Invoiced Ex GST",$A$1:$AB$1,0)),"")),0)</f>
        <v/>
      </c>
      <c r="AE3677" s="53">
        <f>IFERROR(INDEX($A3677:$AB3677,MATCH("Xero Invoice Date",$A$1:$AB$1,0)),"")</f>
        <v/>
      </c>
      <c r="AF3677" s="54">
        <f>IF(AND(IFERROR(INDEX($A3677:$AB3677,MATCH("Xero Invoice No",$A$1:$AB$1,0)),"")&amp;""&lt;&gt;"",ISNUMBER(AE3677),AD3677&lt;&gt;0),1,0)</f>
        <v/>
      </c>
      <c r="AG3677" s="55">
        <f>IF(AF3677=1,EOMONTH(AE3677,0),"")</f>
        <v/>
      </c>
      <c r="AH3677" s="9">
        <f>IF(AF3677=1,UPPER(TRIM(IFERROR(INDEX($A3677:$AB3677,MATCH("Client",$A$1:$AB$1,0)),"")&amp;"")),"")</f>
        <v/>
      </c>
      <c r="AI3677" s="9">
        <f>IF(AF3677=1,IFERROR(INDEX($A3677:$AB3677,MATCH("Cost Centre",$A$1:$AB$1,0)),"")&amp;"","")</f>
        <v/>
      </c>
      <c r="AJ3677" s="54">
        <f>IF(AND(AF3677=1,AE3677&gt;=set_FYStart,AE3677&lt;=set_AsAt),1,0)</f>
        <v/>
      </c>
      <c r="AK3677" s="54">
        <f>IF(AND(AJ3677=1,AH3677&lt;&gt;"",COUNTIFS($AH$2:AH3677,AH3677,$AJ$2:AJ3677,1)=1),N(AL3676)+1,"")</f>
        <v/>
      </c>
      <c r="AL3677" s="54">
        <f>IF(AK3677&lt;&gt;"",AK3677,N(AL3676))</f>
        <v/>
      </c>
    </row>
    <row r="3678">
      <c r="A3678" t="inlineStr">
        <is>
          <t>PRD-1226</t>
        </is>
      </c>
      <c r="B3678" t="inlineStr">
        <is>
          <t>Production</t>
        </is>
      </c>
      <c r="AB3678" t="n">
        <v>1226</v>
      </c>
      <c r="AD3678" s="52">
        <f>IFERROR(N(IFERROR(INDEX($A3678:$AB3678,MATCH("Xero Invoiced Ex GST",$A$1:$AB$1,0)),"")),0)</f>
        <v/>
      </c>
      <c r="AE3678" s="53">
        <f>IFERROR(INDEX($A3678:$AB3678,MATCH("Xero Invoice Date",$A$1:$AB$1,0)),"")</f>
        <v/>
      </c>
      <c r="AF3678" s="54">
        <f>IF(AND(IFERROR(INDEX($A3678:$AB3678,MATCH("Xero Invoice No",$A$1:$AB$1,0)),"")&amp;""&lt;&gt;"",ISNUMBER(AE3678),AD3678&lt;&gt;0),1,0)</f>
        <v/>
      </c>
      <c r="AG3678" s="55">
        <f>IF(AF3678=1,EOMONTH(AE3678,0),"")</f>
        <v/>
      </c>
      <c r="AH3678" s="9">
        <f>IF(AF3678=1,UPPER(TRIM(IFERROR(INDEX($A3678:$AB3678,MATCH("Client",$A$1:$AB$1,0)),"")&amp;"")),"")</f>
        <v/>
      </c>
      <c r="AI3678" s="9">
        <f>IF(AF3678=1,IFERROR(INDEX($A3678:$AB3678,MATCH("Cost Centre",$A$1:$AB$1,0)),"")&amp;"","")</f>
        <v/>
      </c>
      <c r="AJ3678" s="54">
        <f>IF(AND(AF3678=1,AE3678&gt;=set_FYStart,AE3678&lt;=set_AsAt),1,0)</f>
        <v/>
      </c>
      <c r="AK3678" s="54">
        <f>IF(AND(AJ3678=1,AH3678&lt;&gt;"",COUNTIFS($AH$2:AH3678,AH3678,$AJ$2:AJ3678,1)=1),N(AL3677)+1,"")</f>
        <v/>
      </c>
      <c r="AL3678" s="54">
        <f>IF(AK3678&lt;&gt;"",AK3678,N(AL3677))</f>
        <v/>
      </c>
    </row>
    <row r="3679">
      <c r="A3679" t="inlineStr">
        <is>
          <t>CON-1226</t>
        </is>
      </c>
      <c r="B3679" t="inlineStr">
        <is>
          <t>Consulting</t>
        </is>
      </c>
      <c r="AB3679" t="n">
        <v>1226</v>
      </c>
      <c r="AD3679" s="52">
        <f>IFERROR(N(IFERROR(INDEX($A3679:$AB3679,MATCH("Xero Invoiced Ex GST",$A$1:$AB$1,0)),"")),0)</f>
        <v/>
      </c>
      <c r="AE3679" s="53">
        <f>IFERROR(INDEX($A3679:$AB3679,MATCH("Xero Invoice Date",$A$1:$AB$1,0)),"")</f>
        <v/>
      </c>
      <c r="AF3679" s="54">
        <f>IF(AND(IFERROR(INDEX($A3679:$AB3679,MATCH("Xero Invoice No",$A$1:$AB$1,0)),"")&amp;""&lt;&gt;"",ISNUMBER(AE3679),AD3679&lt;&gt;0),1,0)</f>
        <v/>
      </c>
      <c r="AG3679" s="55">
        <f>IF(AF3679=1,EOMONTH(AE3679,0),"")</f>
        <v/>
      </c>
      <c r="AH3679" s="9">
        <f>IF(AF3679=1,UPPER(TRIM(IFERROR(INDEX($A3679:$AB3679,MATCH("Client",$A$1:$AB$1,0)),"")&amp;"")),"")</f>
        <v/>
      </c>
      <c r="AI3679" s="9">
        <f>IF(AF3679=1,IFERROR(INDEX($A3679:$AB3679,MATCH("Cost Centre",$A$1:$AB$1,0)),"")&amp;"","")</f>
        <v/>
      </c>
      <c r="AJ3679" s="54">
        <f>IF(AND(AF3679=1,AE3679&gt;=set_FYStart,AE3679&lt;=set_AsAt),1,0)</f>
        <v/>
      </c>
      <c r="AK3679" s="54">
        <f>IF(AND(AJ3679=1,AH3679&lt;&gt;"",COUNTIFS($AH$2:AH3679,AH3679,$AJ$2:AJ3679,1)=1),N(AL3678)+1,"")</f>
        <v/>
      </c>
      <c r="AL3679" s="54">
        <f>IF(AK3679&lt;&gt;"",AK3679,N(AL3678))</f>
        <v/>
      </c>
    </row>
    <row r="3680">
      <c r="A3680" t="inlineStr">
        <is>
          <t>ONS-1227</t>
        </is>
      </c>
      <c r="B3680" t="inlineStr">
        <is>
          <t>Onsite</t>
        </is>
      </c>
      <c r="AB3680" t="n">
        <v>1227</v>
      </c>
      <c r="AD3680" s="52">
        <f>IFERROR(N(IFERROR(INDEX($A3680:$AB3680,MATCH("Xero Invoiced Ex GST",$A$1:$AB$1,0)),"")),0)</f>
        <v/>
      </c>
      <c r="AE3680" s="53">
        <f>IFERROR(INDEX($A3680:$AB3680,MATCH("Xero Invoice Date",$A$1:$AB$1,0)),"")</f>
        <v/>
      </c>
      <c r="AF3680" s="54">
        <f>IF(AND(IFERROR(INDEX($A3680:$AB3680,MATCH("Xero Invoice No",$A$1:$AB$1,0)),"")&amp;""&lt;&gt;"",ISNUMBER(AE3680),AD3680&lt;&gt;0),1,0)</f>
        <v/>
      </c>
      <c r="AG3680" s="55">
        <f>IF(AF3680=1,EOMONTH(AE3680,0),"")</f>
        <v/>
      </c>
      <c r="AH3680" s="9">
        <f>IF(AF3680=1,UPPER(TRIM(IFERROR(INDEX($A3680:$AB3680,MATCH("Client",$A$1:$AB$1,0)),"")&amp;"")),"")</f>
        <v/>
      </c>
      <c r="AI3680" s="9">
        <f>IF(AF3680=1,IFERROR(INDEX($A3680:$AB3680,MATCH("Cost Centre",$A$1:$AB$1,0)),"")&amp;"","")</f>
        <v/>
      </c>
      <c r="AJ3680" s="54">
        <f>IF(AND(AF3680=1,AE3680&gt;=set_FYStart,AE3680&lt;=set_AsAt),1,0)</f>
        <v/>
      </c>
      <c r="AK3680" s="54">
        <f>IF(AND(AJ3680=1,AH3680&lt;&gt;"",COUNTIFS($AH$2:AH3680,AH3680,$AJ$2:AJ3680,1)=1),N(AL3679)+1,"")</f>
        <v/>
      </c>
      <c r="AL3680" s="54">
        <f>IF(AK3680&lt;&gt;"",AK3680,N(AL3679))</f>
        <v/>
      </c>
    </row>
    <row r="3681">
      <c r="A3681" t="inlineStr">
        <is>
          <t>PRD-1227</t>
        </is>
      </c>
      <c r="B3681" t="inlineStr">
        <is>
          <t>Production</t>
        </is>
      </c>
      <c r="AB3681" t="n">
        <v>1227</v>
      </c>
      <c r="AD3681" s="52">
        <f>IFERROR(N(IFERROR(INDEX($A3681:$AB3681,MATCH("Xero Invoiced Ex GST",$A$1:$AB$1,0)),"")),0)</f>
        <v/>
      </c>
      <c r="AE3681" s="53">
        <f>IFERROR(INDEX($A3681:$AB3681,MATCH("Xero Invoice Date",$A$1:$AB$1,0)),"")</f>
        <v/>
      </c>
      <c r="AF3681" s="54">
        <f>IF(AND(IFERROR(INDEX($A3681:$AB3681,MATCH("Xero Invoice No",$A$1:$AB$1,0)),"")&amp;""&lt;&gt;"",ISNUMBER(AE3681),AD3681&lt;&gt;0),1,0)</f>
        <v/>
      </c>
      <c r="AG3681" s="55">
        <f>IF(AF3681=1,EOMONTH(AE3681,0),"")</f>
        <v/>
      </c>
      <c r="AH3681" s="9">
        <f>IF(AF3681=1,UPPER(TRIM(IFERROR(INDEX($A3681:$AB3681,MATCH("Client",$A$1:$AB$1,0)),"")&amp;"")),"")</f>
        <v/>
      </c>
      <c r="AI3681" s="9">
        <f>IF(AF3681=1,IFERROR(INDEX($A3681:$AB3681,MATCH("Cost Centre",$A$1:$AB$1,0)),"")&amp;"","")</f>
        <v/>
      </c>
      <c r="AJ3681" s="54">
        <f>IF(AND(AF3681=1,AE3681&gt;=set_FYStart,AE3681&lt;=set_AsAt),1,0)</f>
        <v/>
      </c>
      <c r="AK3681" s="54">
        <f>IF(AND(AJ3681=1,AH3681&lt;&gt;"",COUNTIFS($AH$2:AH3681,AH3681,$AJ$2:AJ3681,1)=1),N(AL3680)+1,"")</f>
        <v/>
      </c>
      <c r="AL3681" s="54">
        <f>IF(AK3681&lt;&gt;"",AK3681,N(AL3680))</f>
        <v/>
      </c>
    </row>
    <row r="3682">
      <c r="A3682" t="inlineStr">
        <is>
          <t>CON-1227</t>
        </is>
      </c>
      <c r="B3682" t="inlineStr">
        <is>
          <t>Consulting</t>
        </is>
      </c>
      <c r="AB3682" t="n">
        <v>1227</v>
      </c>
      <c r="AD3682" s="52">
        <f>IFERROR(N(IFERROR(INDEX($A3682:$AB3682,MATCH("Xero Invoiced Ex GST",$A$1:$AB$1,0)),"")),0)</f>
        <v/>
      </c>
      <c r="AE3682" s="53">
        <f>IFERROR(INDEX($A3682:$AB3682,MATCH("Xero Invoice Date",$A$1:$AB$1,0)),"")</f>
        <v/>
      </c>
      <c r="AF3682" s="54">
        <f>IF(AND(IFERROR(INDEX($A3682:$AB3682,MATCH("Xero Invoice No",$A$1:$AB$1,0)),"")&amp;""&lt;&gt;"",ISNUMBER(AE3682),AD3682&lt;&gt;0),1,0)</f>
        <v/>
      </c>
      <c r="AG3682" s="55">
        <f>IF(AF3682=1,EOMONTH(AE3682,0),"")</f>
        <v/>
      </c>
      <c r="AH3682" s="9">
        <f>IF(AF3682=1,UPPER(TRIM(IFERROR(INDEX($A3682:$AB3682,MATCH("Client",$A$1:$AB$1,0)),"")&amp;"")),"")</f>
        <v/>
      </c>
      <c r="AI3682" s="9">
        <f>IF(AF3682=1,IFERROR(INDEX($A3682:$AB3682,MATCH("Cost Centre",$A$1:$AB$1,0)),"")&amp;"","")</f>
        <v/>
      </c>
      <c r="AJ3682" s="54">
        <f>IF(AND(AF3682=1,AE3682&gt;=set_FYStart,AE3682&lt;=set_AsAt),1,0)</f>
        <v/>
      </c>
      <c r="AK3682" s="54">
        <f>IF(AND(AJ3682=1,AH3682&lt;&gt;"",COUNTIFS($AH$2:AH3682,AH3682,$AJ$2:AJ3682,1)=1),N(AL3681)+1,"")</f>
        <v/>
      </c>
      <c r="AL3682" s="54">
        <f>IF(AK3682&lt;&gt;"",AK3682,N(AL3681))</f>
        <v/>
      </c>
    </row>
    <row r="3683">
      <c r="A3683" t="inlineStr">
        <is>
          <t>ONS-1228</t>
        </is>
      </c>
      <c r="B3683" t="inlineStr">
        <is>
          <t>Onsite</t>
        </is>
      </c>
      <c r="AB3683" t="n">
        <v>1228</v>
      </c>
      <c r="AD3683" s="52">
        <f>IFERROR(N(IFERROR(INDEX($A3683:$AB3683,MATCH("Xero Invoiced Ex GST",$A$1:$AB$1,0)),"")),0)</f>
        <v/>
      </c>
      <c r="AE3683" s="53">
        <f>IFERROR(INDEX($A3683:$AB3683,MATCH("Xero Invoice Date",$A$1:$AB$1,0)),"")</f>
        <v/>
      </c>
      <c r="AF3683" s="54">
        <f>IF(AND(IFERROR(INDEX($A3683:$AB3683,MATCH("Xero Invoice No",$A$1:$AB$1,0)),"")&amp;""&lt;&gt;"",ISNUMBER(AE3683),AD3683&lt;&gt;0),1,0)</f>
        <v/>
      </c>
      <c r="AG3683" s="55">
        <f>IF(AF3683=1,EOMONTH(AE3683,0),"")</f>
        <v/>
      </c>
      <c r="AH3683" s="9">
        <f>IF(AF3683=1,UPPER(TRIM(IFERROR(INDEX($A3683:$AB3683,MATCH("Client",$A$1:$AB$1,0)),"")&amp;"")),"")</f>
        <v/>
      </c>
      <c r="AI3683" s="9">
        <f>IF(AF3683=1,IFERROR(INDEX($A3683:$AB3683,MATCH("Cost Centre",$A$1:$AB$1,0)),"")&amp;"","")</f>
        <v/>
      </c>
      <c r="AJ3683" s="54">
        <f>IF(AND(AF3683=1,AE3683&gt;=set_FYStart,AE3683&lt;=set_AsAt),1,0)</f>
        <v/>
      </c>
      <c r="AK3683" s="54">
        <f>IF(AND(AJ3683=1,AH3683&lt;&gt;"",COUNTIFS($AH$2:AH3683,AH3683,$AJ$2:AJ3683,1)=1),N(AL3682)+1,"")</f>
        <v/>
      </c>
      <c r="AL3683" s="54">
        <f>IF(AK3683&lt;&gt;"",AK3683,N(AL3682))</f>
        <v/>
      </c>
    </row>
    <row r="3684">
      <c r="A3684" t="inlineStr">
        <is>
          <t>PRD-1228</t>
        </is>
      </c>
      <c r="B3684" t="inlineStr">
        <is>
          <t>Production</t>
        </is>
      </c>
      <c r="AB3684" t="n">
        <v>1228</v>
      </c>
      <c r="AD3684" s="52">
        <f>IFERROR(N(IFERROR(INDEX($A3684:$AB3684,MATCH("Xero Invoiced Ex GST",$A$1:$AB$1,0)),"")),0)</f>
        <v/>
      </c>
      <c r="AE3684" s="53">
        <f>IFERROR(INDEX($A3684:$AB3684,MATCH("Xero Invoice Date",$A$1:$AB$1,0)),"")</f>
        <v/>
      </c>
      <c r="AF3684" s="54">
        <f>IF(AND(IFERROR(INDEX($A3684:$AB3684,MATCH("Xero Invoice No",$A$1:$AB$1,0)),"")&amp;""&lt;&gt;"",ISNUMBER(AE3684),AD3684&lt;&gt;0),1,0)</f>
        <v/>
      </c>
      <c r="AG3684" s="55">
        <f>IF(AF3684=1,EOMONTH(AE3684,0),"")</f>
        <v/>
      </c>
      <c r="AH3684" s="9">
        <f>IF(AF3684=1,UPPER(TRIM(IFERROR(INDEX($A3684:$AB3684,MATCH("Client",$A$1:$AB$1,0)),"")&amp;"")),"")</f>
        <v/>
      </c>
      <c r="AI3684" s="9">
        <f>IF(AF3684=1,IFERROR(INDEX($A3684:$AB3684,MATCH("Cost Centre",$A$1:$AB$1,0)),"")&amp;"","")</f>
        <v/>
      </c>
      <c r="AJ3684" s="54">
        <f>IF(AND(AF3684=1,AE3684&gt;=set_FYStart,AE3684&lt;=set_AsAt),1,0)</f>
        <v/>
      </c>
      <c r="AK3684" s="54">
        <f>IF(AND(AJ3684=1,AH3684&lt;&gt;"",COUNTIFS($AH$2:AH3684,AH3684,$AJ$2:AJ3684,1)=1),N(AL3683)+1,"")</f>
        <v/>
      </c>
      <c r="AL3684" s="54">
        <f>IF(AK3684&lt;&gt;"",AK3684,N(AL3683))</f>
        <v/>
      </c>
    </row>
    <row r="3685">
      <c r="A3685" t="inlineStr">
        <is>
          <t>CON-1228</t>
        </is>
      </c>
      <c r="B3685" t="inlineStr">
        <is>
          <t>Consulting</t>
        </is>
      </c>
      <c r="AB3685" t="n">
        <v>1228</v>
      </c>
      <c r="AD3685" s="52">
        <f>IFERROR(N(IFERROR(INDEX($A3685:$AB3685,MATCH("Xero Invoiced Ex GST",$A$1:$AB$1,0)),"")),0)</f>
        <v/>
      </c>
      <c r="AE3685" s="53">
        <f>IFERROR(INDEX($A3685:$AB3685,MATCH("Xero Invoice Date",$A$1:$AB$1,0)),"")</f>
        <v/>
      </c>
      <c r="AF3685" s="54">
        <f>IF(AND(IFERROR(INDEX($A3685:$AB3685,MATCH("Xero Invoice No",$A$1:$AB$1,0)),"")&amp;""&lt;&gt;"",ISNUMBER(AE3685),AD3685&lt;&gt;0),1,0)</f>
        <v/>
      </c>
      <c r="AG3685" s="55">
        <f>IF(AF3685=1,EOMONTH(AE3685,0),"")</f>
        <v/>
      </c>
      <c r="AH3685" s="9">
        <f>IF(AF3685=1,UPPER(TRIM(IFERROR(INDEX($A3685:$AB3685,MATCH("Client",$A$1:$AB$1,0)),"")&amp;"")),"")</f>
        <v/>
      </c>
      <c r="AI3685" s="9">
        <f>IF(AF3685=1,IFERROR(INDEX($A3685:$AB3685,MATCH("Cost Centre",$A$1:$AB$1,0)),"")&amp;"","")</f>
        <v/>
      </c>
      <c r="AJ3685" s="54">
        <f>IF(AND(AF3685=1,AE3685&gt;=set_FYStart,AE3685&lt;=set_AsAt),1,0)</f>
        <v/>
      </c>
      <c r="AK3685" s="54">
        <f>IF(AND(AJ3685=1,AH3685&lt;&gt;"",COUNTIFS($AH$2:AH3685,AH3685,$AJ$2:AJ3685,1)=1),N(AL3684)+1,"")</f>
        <v/>
      </c>
      <c r="AL3685" s="54">
        <f>IF(AK3685&lt;&gt;"",AK3685,N(AL3684))</f>
        <v/>
      </c>
    </row>
    <row r="3686">
      <c r="A3686" t="inlineStr">
        <is>
          <t>ONS-1229</t>
        </is>
      </c>
      <c r="B3686" t="inlineStr">
        <is>
          <t>Onsite</t>
        </is>
      </c>
      <c r="AB3686" t="n">
        <v>1229</v>
      </c>
      <c r="AD3686" s="52">
        <f>IFERROR(N(IFERROR(INDEX($A3686:$AB3686,MATCH("Xero Invoiced Ex GST",$A$1:$AB$1,0)),"")),0)</f>
        <v/>
      </c>
      <c r="AE3686" s="53">
        <f>IFERROR(INDEX($A3686:$AB3686,MATCH("Xero Invoice Date",$A$1:$AB$1,0)),"")</f>
        <v/>
      </c>
      <c r="AF3686" s="54">
        <f>IF(AND(IFERROR(INDEX($A3686:$AB3686,MATCH("Xero Invoice No",$A$1:$AB$1,0)),"")&amp;""&lt;&gt;"",ISNUMBER(AE3686),AD3686&lt;&gt;0),1,0)</f>
        <v/>
      </c>
      <c r="AG3686" s="55">
        <f>IF(AF3686=1,EOMONTH(AE3686,0),"")</f>
        <v/>
      </c>
      <c r="AH3686" s="9">
        <f>IF(AF3686=1,UPPER(TRIM(IFERROR(INDEX($A3686:$AB3686,MATCH("Client",$A$1:$AB$1,0)),"")&amp;"")),"")</f>
        <v/>
      </c>
      <c r="AI3686" s="9">
        <f>IF(AF3686=1,IFERROR(INDEX($A3686:$AB3686,MATCH("Cost Centre",$A$1:$AB$1,0)),"")&amp;"","")</f>
        <v/>
      </c>
      <c r="AJ3686" s="54">
        <f>IF(AND(AF3686=1,AE3686&gt;=set_FYStart,AE3686&lt;=set_AsAt),1,0)</f>
        <v/>
      </c>
      <c r="AK3686" s="54">
        <f>IF(AND(AJ3686=1,AH3686&lt;&gt;"",COUNTIFS($AH$2:AH3686,AH3686,$AJ$2:AJ3686,1)=1),N(AL3685)+1,"")</f>
        <v/>
      </c>
      <c r="AL3686" s="54">
        <f>IF(AK3686&lt;&gt;"",AK3686,N(AL3685))</f>
        <v/>
      </c>
    </row>
    <row r="3687">
      <c r="A3687" t="inlineStr">
        <is>
          <t>PRD-1229</t>
        </is>
      </c>
      <c r="B3687" t="inlineStr">
        <is>
          <t>Production</t>
        </is>
      </c>
      <c r="AB3687" t="n">
        <v>1229</v>
      </c>
      <c r="AD3687" s="52">
        <f>IFERROR(N(IFERROR(INDEX($A3687:$AB3687,MATCH("Xero Invoiced Ex GST",$A$1:$AB$1,0)),"")),0)</f>
        <v/>
      </c>
      <c r="AE3687" s="53">
        <f>IFERROR(INDEX($A3687:$AB3687,MATCH("Xero Invoice Date",$A$1:$AB$1,0)),"")</f>
        <v/>
      </c>
      <c r="AF3687" s="54">
        <f>IF(AND(IFERROR(INDEX($A3687:$AB3687,MATCH("Xero Invoice No",$A$1:$AB$1,0)),"")&amp;""&lt;&gt;"",ISNUMBER(AE3687),AD3687&lt;&gt;0),1,0)</f>
        <v/>
      </c>
      <c r="AG3687" s="55">
        <f>IF(AF3687=1,EOMONTH(AE3687,0),"")</f>
        <v/>
      </c>
      <c r="AH3687" s="9">
        <f>IF(AF3687=1,UPPER(TRIM(IFERROR(INDEX($A3687:$AB3687,MATCH("Client",$A$1:$AB$1,0)),"")&amp;"")),"")</f>
        <v/>
      </c>
      <c r="AI3687" s="9">
        <f>IF(AF3687=1,IFERROR(INDEX($A3687:$AB3687,MATCH("Cost Centre",$A$1:$AB$1,0)),"")&amp;"","")</f>
        <v/>
      </c>
      <c r="AJ3687" s="54">
        <f>IF(AND(AF3687=1,AE3687&gt;=set_FYStart,AE3687&lt;=set_AsAt),1,0)</f>
        <v/>
      </c>
      <c r="AK3687" s="54">
        <f>IF(AND(AJ3687=1,AH3687&lt;&gt;"",COUNTIFS($AH$2:AH3687,AH3687,$AJ$2:AJ3687,1)=1),N(AL3686)+1,"")</f>
        <v/>
      </c>
      <c r="AL3687" s="54">
        <f>IF(AK3687&lt;&gt;"",AK3687,N(AL3686))</f>
        <v/>
      </c>
    </row>
    <row r="3688">
      <c r="A3688" t="inlineStr">
        <is>
          <t>CON-1229</t>
        </is>
      </c>
      <c r="B3688" t="inlineStr">
        <is>
          <t>Consulting</t>
        </is>
      </c>
      <c r="AB3688" t="n">
        <v>1229</v>
      </c>
      <c r="AD3688" s="52">
        <f>IFERROR(N(IFERROR(INDEX($A3688:$AB3688,MATCH("Xero Invoiced Ex GST",$A$1:$AB$1,0)),"")),0)</f>
        <v/>
      </c>
      <c r="AE3688" s="53">
        <f>IFERROR(INDEX($A3688:$AB3688,MATCH("Xero Invoice Date",$A$1:$AB$1,0)),"")</f>
        <v/>
      </c>
      <c r="AF3688" s="54">
        <f>IF(AND(IFERROR(INDEX($A3688:$AB3688,MATCH("Xero Invoice No",$A$1:$AB$1,0)),"")&amp;""&lt;&gt;"",ISNUMBER(AE3688),AD3688&lt;&gt;0),1,0)</f>
        <v/>
      </c>
      <c r="AG3688" s="55">
        <f>IF(AF3688=1,EOMONTH(AE3688,0),"")</f>
        <v/>
      </c>
      <c r="AH3688" s="9">
        <f>IF(AF3688=1,UPPER(TRIM(IFERROR(INDEX($A3688:$AB3688,MATCH("Client",$A$1:$AB$1,0)),"")&amp;"")),"")</f>
        <v/>
      </c>
      <c r="AI3688" s="9">
        <f>IF(AF3688=1,IFERROR(INDEX($A3688:$AB3688,MATCH("Cost Centre",$A$1:$AB$1,0)),"")&amp;"","")</f>
        <v/>
      </c>
      <c r="AJ3688" s="54">
        <f>IF(AND(AF3688=1,AE3688&gt;=set_FYStart,AE3688&lt;=set_AsAt),1,0)</f>
        <v/>
      </c>
      <c r="AK3688" s="54">
        <f>IF(AND(AJ3688=1,AH3688&lt;&gt;"",COUNTIFS($AH$2:AH3688,AH3688,$AJ$2:AJ3688,1)=1),N(AL3687)+1,"")</f>
        <v/>
      </c>
      <c r="AL3688" s="54">
        <f>IF(AK3688&lt;&gt;"",AK3688,N(AL3687))</f>
        <v/>
      </c>
    </row>
    <row r="3689">
      <c r="A3689" t="inlineStr">
        <is>
          <t>ONS-1230</t>
        </is>
      </c>
      <c r="B3689" t="inlineStr">
        <is>
          <t>Onsite</t>
        </is>
      </c>
      <c r="AB3689" t="n">
        <v>1230</v>
      </c>
      <c r="AD3689" s="52">
        <f>IFERROR(N(IFERROR(INDEX($A3689:$AB3689,MATCH("Xero Invoiced Ex GST",$A$1:$AB$1,0)),"")),0)</f>
        <v/>
      </c>
      <c r="AE3689" s="53">
        <f>IFERROR(INDEX($A3689:$AB3689,MATCH("Xero Invoice Date",$A$1:$AB$1,0)),"")</f>
        <v/>
      </c>
      <c r="AF3689" s="54">
        <f>IF(AND(IFERROR(INDEX($A3689:$AB3689,MATCH("Xero Invoice No",$A$1:$AB$1,0)),"")&amp;""&lt;&gt;"",ISNUMBER(AE3689),AD3689&lt;&gt;0),1,0)</f>
        <v/>
      </c>
      <c r="AG3689" s="55">
        <f>IF(AF3689=1,EOMONTH(AE3689,0),"")</f>
        <v/>
      </c>
      <c r="AH3689" s="9">
        <f>IF(AF3689=1,UPPER(TRIM(IFERROR(INDEX($A3689:$AB3689,MATCH("Client",$A$1:$AB$1,0)),"")&amp;"")),"")</f>
        <v/>
      </c>
      <c r="AI3689" s="9">
        <f>IF(AF3689=1,IFERROR(INDEX($A3689:$AB3689,MATCH("Cost Centre",$A$1:$AB$1,0)),"")&amp;"","")</f>
        <v/>
      </c>
      <c r="AJ3689" s="54">
        <f>IF(AND(AF3689=1,AE3689&gt;=set_FYStart,AE3689&lt;=set_AsAt),1,0)</f>
        <v/>
      </c>
      <c r="AK3689" s="54">
        <f>IF(AND(AJ3689=1,AH3689&lt;&gt;"",COUNTIFS($AH$2:AH3689,AH3689,$AJ$2:AJ3689,1)=1),N(AL3688)+1,"")</f>
        <v/>
      </c>
      <c r="AL3689" s="54">
        <f>IF(AK3689&lt;&gt;"",AK3689,N(AL3688))</f>
        <v/>
      </c>
    </row>
    <row r="3690">
      <c r="A3690" t="inlineStr">
        <is>
          <t>PRD-1230</t>
        </is>
      </c>
      <c r="B3690" t="inlineStr">
        <is>
          <t>Production</t>
        </is>
      </c>
      <c r="AB3690" t="n">
        <v>1230</v>
      </c>
      <c r="AD3690" s="52">
        <f>IFERROR(N(IFERROR(INDEX($A3690:$AB3690,MATCH("Xero Invoiced Ex GST",$A$1:$AB$1,0)),"")),0)</f>
        <v/>
      </c>
      <c r="AE3690" s="53">
        <f>IFERROR(INDEX($A3690:$AB3690,MATCH("Xero Invoice Date",$A$1:$AB$1,0)),"")</f>
        <v/>
      </c>
      <c r="AF3690" s="54">
        <f>IF(AND(IFERROR(INDEX($A3690:$AB3690,MATCH("Xero Invoice No",$A$1:$AB$1,0)),"")&amp;""&lt;&gt;"",ISNUMBER(AE3690),AD3690&lt;&gt;0),1,0)</f>
        <v/>
      </c>
      <c r="AG3690" s="55">
        <f>IF(AF3690=1,EOMONTH(AE3690,0),"")</f>
        <v/>
      </c>
      <c r="AH3690" s="9">
        <f>IF(AF3690=1,UPPER(TRIM(IFERROR(INDEX($A3690:$AB3690,MATCH("Client",$A$1:$AB$1,0)),"")&amp;"")),"")</f>
        <v/>
      </c>
      <c r="AI3690" s="9">
        <f>IF(AF3690=1,IFERROR(INDEX($A3690:$AB3690,MATCH("Cost Centre",$A$1:$AB$1,0)),"")&amp;"","")</f>
        <v/>
      </c>
      <c r="AJ3690" s="54">
        <f>IF(AND(AF3690=1,AE3690&gt;=set_FYStart,AE3690&lt;=set_AsAt),1,0)</f>
        <v/>
      </c>
      <c r="AK3690" s="54">
        <f>IF(AND(AJ3690=1,AH3690&lt;&gt;"",COUNTIFS($AH$2:AH3690,AH3690,$AJ$2:AJ3690,1)=1),N(AL3689)+1,"")</f>
        <v/>
      </c>
      <c r="AL3690" s="54">
        <f>IF(AK3690&lt;&gt;"",AK3690,N(AL3689))</f>
        <v/>
      </c>
    </row>
    <row r="3691">
      <c r="A3691" t="inlineStr">
        <is>
          <t>CON-1230</t>
        </is>
      </c>
      <c r="B3691" t="inlineStr">
        <is>
          <t>Consulting</t>
        </is>
      </c>
      <c r="AB3691" t="n">
        <v>1230</v>
      </c>
      <c r="AD3691" s="52">
        <f>IFERROR(N(IFERROR(INDEX($A3691:$AB3691,MATCH("Xero Invoiced Ex GST",$A$1:$AB$1,0)),"")),0)</f>
        <v/>
      </c>
      <c r="AE3691" s="53">
        <f>IFERROR(INDEX($A3691:$AB3691,MATCH("Xero Invoice Date",$A$1:$AB$1,0)),"")</f>
        <v/>
      </c>
      <c r="AF3691" s="54">
        <f>IF(AND(IFERROR(INDEX($A3691:$AB3691,MATCH("Xero Invoice No",$A$1:$AB$1,0)),"")&amp;""&lt;&gt;"",ISNUMBER(AE3691),AD3691&lt;&gt;0),1,0)</f>
        <v/>
      </c>
      <c r="AG3691" s="55">
        <f>IF(AF3691=1,EOMONTH(AE3691,0),"")</f>
        <v/>
      </c>
      <c r="AH3691" s="9">
        <f>IF(AF3691=1,UPPER(TRIM(IFERROR(INDEX($A3691:$AB3691,MATCH("Client",$A$1:$AB$1,0)),"")&amp;"")),"")</f>
        <v/>
      </c>
      <c r="AI3691" s="9">
        <f>IF(AF3691=1,IFERROR(INDEX($A3691:$AB3691,MATCH("Cost Centre",$A$1:$AB$1,0)),"")&amp;"","")</f>
        <v/>
      </c>
      <c r="AJ3691" s="54">
        <f>IF(AND(AF3691=1,AE3691&gt;=set_FYStart,AE3691&lt;=set_AsAt),1,0)</f>
        <v/>
      </c>
      <c r="AK3691" s="54">
        <f>IF(AND(AJ3691=1,AH3691&lt;&gt;"",COUNTIFS($AH$2:AH3691,AH3691,$AJ$2:AJ3691,1)=1),N(AL3690)+1,"")</f>
        <v/>
      </c>
      <c r="AL3691" s="54">
        <f>IF(AK3691&lt;&gt;"",AK3691,N(AL3690))</f>
        <v/>
      </c>
    </row>
    <row r="3692">
      <c r="A3692" t="inlineStr">
        <is>
          <t>ONS-1231</t>
        </is>
      </c>
      <c r="B3692" t="inlineStr">
        <is>
          <t>Onsite</t>
        </is>
      </c>
      <c r="AB3692" t="n">
        <v>1231</v>
      </c>
      <c r="AD3692" s="52">
        <f>IFERROR(N(IFERROR(INDEX($A3692:$AB3692,MATCH("Xero Invoiced Ex GST",$A$1:$AB$1,0)),"")),0)</f>
        <v/>
      </c>
      <c r="AE3692" s="53">
        <f>IFERROR(INDEX($A3692:$AB3692,MATCH("Xero Invoice Date",$A$1:$AB$1,0)),"")</f>
        <v/>
      </c>
      <c r="AF3692" s="54">
        <f>IF(AND(IFERROR(INDEX($A3692:$AB3692,MATCH("Xero Invoice No",$A$1:$AB$1,0)),"")&amp;""&lt;&gt;"",ISNUMBER(AE3692),AD3692&lt;&gt;0),1,0)</f>
        <v/>
      </c>
      <c r="AG3692" s="55">
        <f>IF(AF3692=1,EOMONTH(AE3692,0),"")</f>
        <v/>
      </c>
      <c r="AH3692" s="9">
        <f>IF(AF3692=1,UPPER(TRIM(IFERROR(INDEX($A3692:$AB3692,MATCH("Client",$A$1:$AB$1,0)),"")&amp;"")),"")</f>
        <v/>
      </c>
      <c r="AI3692" s="9">
        <f>IF(AF3692=1,IFERROR(INDEX($A3692:$AB3692,MATCH("Cost Centre",$A$1:$AB$1,0)),"")&amp;"","")</f>
        <v/>
      </c>
      <c r="AJ3692" s="54">
        <f>IF(AND(AF3692=1,AE3692&gt;=set_FYStart,AE3692&lt;=set_AsAt),1,0)</f>
        <v/>
      </c>
      <c r="AK3692" s="54">
        <f>IF(AND(AJ3692=1,AH3692&lt;&gt;"",COUNTIFS($AH$2:AH3692,AH3692,$AJ$2:AJ3692,1)=1),N(AL3691)+1,"")</f>
        <v/>
      </c>
      <c r="AL3692" s="54">
        <f>IF(AK3692&lt;&gt;"",AK3692,N(AL3691))</f>
        <v/>
      </c>
    </row>
    <row r="3693">
      <c r="A3693" t="inlineStr">
        <is>
          <t>PRD-1231</t>
        </is>
      </c>
      <c r="B3693" t="inlineStr">
        <is>
          <t>Production</t>
        </is>
      </c>
      <c r="AB3693" t="n">
        <v>1231</v>
      </c>
      <c r="AD3693" s="52">
        <f>IFERROR(N(IFERROR(INDEX($A3693:$AB3693,MATCH("Xero Invoiced Ex GST",$A$1:$AB$1,0)),"")),0)</f>
        <v/>
      </c>
      <c r="AE3693" s="53">
        <f>IFERROR(INDEX($A3693:$AB3693,MATCH("Xero Invoice Date",$A$1:$AB$1,0)),"")</f>
        <v/>
      </c>
      <c r="AF3693" s="54">
        <f>IF(AND(IFERROR(INDEX($A3693:$AB3693,MATCH("Xero Invoice No",$A$1:$AB$1,0)),"")&amp;""&lt;&gt;"",ISNUMBER(AE3693),AD3693&lt;&gt;0),1,0)</f>
        <v/>
      </c>
      <c r="AG3693" s="55">
        <f>IF(AF3693=1,EOMONTH(AE3693,0),"")</f>
        <v/>
      </c>
      <c r="AH3693" s="9">
        <f>IF(AF3693=1,UPPER(TRIM(IFERROR(INDEX($A3693:$AB3693,MATCH("Client",$A$1:$AB$1,0)),"")&amp;"")),"")</f>
        <v/>
      </c>
      <c r="AI3693" s="9">
        <f>IF(AF3693=1,IFERROR(INDEX($A3693:$AB3693,MATCH("Cost Centre",$A$1:$AB$1,0)),"")&amp;"","")</f>
        <v/>
      </c>
      <c r="AJ3693" s="54">
        <f>IF(AND(AF3693=1,AE3693&gt;=set_FYStart,AE3693&lt;=set_AsAt),1,0)</f>
        <v/>
      </c>
      <c r="AK3693" s="54">
        <f>IF(AND(AJ3693=1,AH3693&lt;&gt;"",COUNTIFS($AH$2:AH3693,AH3693,$AJ$2:AJ3693,1)=1),N(AL3692)+1,"")</f>
        <v/>
      </c>
      <c r="AL3693" s="54">
        <f>IF(AK3693&lt;&gt;"",AK3693,N(AL3692))</f>
        <v/>
      </c>
    </row>
    <row r="3694">
      <c r="A3694" t="inlineStr">
        <is>
          <t>CON-1231</t>
        </is>
      </c>
      <c r="B3694" t="inlineStr">
        <is>
          <t>Consulting</t>
        </is>
      </c>
      <c r="AB3694" t="n">
        <v>1231</v>
      </c>
      <c r="AD3694" s="52">
        <f>IFERROR(N(IFERROR(INDEX($A3694:$AB3694,MATCH("Xero Invoiced Ex GST",$A$1:$AB$1,0)),"")),0)</f>
        <v/>
      </c>
      <c r="AE3694" s="53">
        <f>IFERROR(INDEX($A3694:$AB3694,MATCH("Xero Invoice Date",$A$1:$AB$1,0)),"")</f>
        <v/>
      </c>
      <c r="AF3694" s="54">
        <f>IF(AND(IFERROR(INDEX($A3694:$AB3694,MATCH("Xero Invoice No",$A$1:$AB$1,0)),"")&amp;""&lt;&gt;"",ISNUMBER(AE3694),AD3694&lt;&gt;0),1,0)</f>
        <v/>
      </c>
      <c r="AG3694" s="55">
        <f>IF(AF3694=1,EOMONTH(AE3694,0),"")</f>
        <v/>
      </c>
      <c r="AH3694" s="9">
        <f>IF(AF3694=1,UPPER(TRIM(IFERROR(INDEX($A3694:$AB3694,MATCH("Client",$A$1:$AB$1,0)),"")&amp;"")),"")</f>
        <v/>
      </c>
      <c r="AI3694" s="9">
        <f>IF(AF3694=1,IFERROR(INDEX($A3694:$AB3694,MATCH("Cost Centre",$A$1:$AB$1,0)),"")&amp;"","")</f>
        <v/>
      </c>
      <c r="AJ3694" s="54">
        <f>IF(AND(AF3694=1,AE3694&gt;=set_FYStart,AE3694&lt;=set_AsAt),1,0)</f>
        <v/>
      </c>
      <c r="AK3694" s="54">
        <f>IF(AND(AJ3694=1,AH3694&lt;&gt;"",COUNTIFS($AH$2:AH3694,AH3694,$AJ$2:AJ3694,1)=1),N(AL3693)+1,"")</f>
        <v/>
      </c>
      <c r="AL3694" s="54">
        <f>IF(AK3694&lt;&gt;"",AK3694,N(AL3693))</f>
        <v/>
      </c>
    </row>
    <row r="3695">
      <c r="A3695" t="inlineStr">
        <is>
          <t>ONS-1232</t>
        </is>
      </c>
      <c r="B3695" t="inlineStr">
        <is>
          <t>Onsite</t>
        </is>
      </c>
      <c r="AB3695" t="n">
        <v>1232</v>
      </c>
      <c r="AD3695" s="52">
        <f>IFERROR(N(IFERROR(INDEX($A3695:$AB3695,MATCH("Xero Invoiced Ex GST",$A$1:$AB$1,0)),"")),0)</f>
        <v/>
      </c>
      <c r="AE3695" s="53">
        <f>IFERROR(INDEX($A3695:$AB3695,MATCH("Xero Invoice Date",$A$1:$AB$1,0)),"")</f>
        <v/>
      </c>
      <c r="AF3695" s="54">
        <f>IF(AND(IFERROR(INDEX($A3695:$AB3695,MATCH("Xero Invoice No",$A$1:$AB$1,0)),"")&amp;""&lt;&gt;"",ISNUMBER(AE3695),AD3695&lt;&gt;0),1,0)</f>
        <v/>
      </c>
      <c r="AG3695" s="55">
        <f>IF(AF3695=1,EOMONTH(AE3695,0),"")</f>
        <v/>
      </c>
      <c r="AH3695" s="9">
        <f>IF(AF3695=1,UPPER(TRIM(IFERROR(INDEX($A3695:$AB3695,MATCH("Client",$A$1:$AB$1,0)),"")&amp;"")),"")</f>
        <v/>
      </c>
      <c r="AI3695" s="9">
        <f>IF(AF3695=1,IFERROR(INDEX($A3695:$AB3695,MATCH("Cost Centre",$A$1:$AB$1,0)),"")&amp;"","")</f>
        <v/>
      </c>
      <c r="AJ3695" s="54">
        <f>IF(AND(AF3695=1,AE3695&gt;=set_FYStart,AE3695&lt;=set_AsAt),1,0)</f>
        <v/>
      </c>
      <c r="AK3695" s="54">
        <f>IF(AND(AJ3695=1,AH3695&lt;&gt;"",COUNTIFS($AH$2:AH3695,AH3695,$AJ$2:AJ3695,1)=1),N(AL3694)+1,"")</f>
        <v/>
      </c>
      <c r="AL3695" s="54">
        <f>IF(AK3695&lt;&gt;"",AK3695,N(AL3694))</f>
        <v/>
      </c>
    </row>
    <row r="3696">
      <c r="A3696" t="inlineStr">
        <is>
          <t>PRD-1232</t>
        </is>
      </c>
      <c r="B3696" t="inlineStr">
        <is>
          <t>Production</t>
        </is>
      </c>
      <c r="AB3696" t="n">
        <v>1232</v>
      </c>
      <c r="AD3696" s="52">
        <f>IFERROR(N(IFERROR(INDEX($A3696:$AB3696,MATCH("Xero Invoiced Ex GST",$A$1:$AB$1,0)),"")),0)</f>
        <v/>
      </c>
      <c r="AE3696" s="53">
        <f>IFERROR(INDEX($A3696:$AB3696,MATCH("Xero Invoice Date",$A$1:$AB$1,0)),"")</f>
        <v/>
      </c>
      <c r="AF3696" s="54">
        <f>IF(AND(IFERROR(INDEX($A3696:$AB3696,MATCH("Xero Invoice No",$A$1:$AB$1,0)),"")&amp;""&lt;&gt;"",ISNUMBER(AE3696),AD3696&lt;&gt;0),1,0)</f>
        <v/>
      </c>
      <c r="AG3696" s="55">
        <f>IF(AF3696=1,EOMONTH(AE3696,0),"")</f>
        <v/>
      </c>
      <c r="AH3696" s="9">
        <f>IF(AF3696=1,UPPER(TRIM(IFERROR(INDEX($A3696:$AB3696,MATCH("Client",$A$1:$AB$1,0)),"")&amp;"")),"")</f>
        <v/>
      </c>
      <c r="AI3696" s="9">
        <f>IF(AF3696=1,IFERROR(INDEX($A3696:$AB3696,MATCH("Cost Centre",$A$1:$AB$1,0)),"")&amp;"","")</f>
        <v/>
      </c>
      <c r="AJ3696" s="54">
        <f>IF(AND(AF3696=1,AE3696&gt;=set_FYStart,AE3696&lt;=set_AsAt),1,0)</f>
        <v/>
      </c>
      <c r="AK3696" s="54">
        <f>IF(AND(AJ3696=1,AH3696&lt;&gt;"",COUNTIFS($AH$2:AH3696,AH3696,$AJ$2:AJ3696,1)=1),N(AL3695)+1,"")</f>
        <v/>
      </c>
      <c r="AL3696" s="54">
        <f>IF(AK3696&lt;&gt;"",AK3696,N(AL3695))</f>
        <v/>
      </c>
    </row>
    <row r="3697">
      <c r="A3697" t="inlineStr">
        <is>
          <t>CON-1232</t>
        </is>
      </c>
      <c r="B3697" t="inlineStr">
        <is>
          <t>Consulting</t>
        </is>
      </c>
      <c r="AB3697" t="n">
        <v>1232</v>
      </c>
      <c r="AD3697" s="52">
        <f>IFERROR(N(IFERROR(INDEX($A3697:$AB3697,MATCH("Xero Invoiced Ex GST",$A$1:$AB$1,0)),"")),0)</f>
        <v/>
      </c>
      <c r="AE3697" s="53">
        <f>IFERROR(INDEX($A3697:$AB3697,MATCH("Xero Invoice Date",$A$1:$AB$1,0)),"")</f>
        <v/>
      </c>
      <c r="AF3697" s="54">
        <f>IF(AND(IFERROR(INDEX($A3697:$AB3697,MATCH("Xero Invoice No",$A$1:$AB$1,0)),"")&amp;""&lt;&gt;"",ISNUMBER(AE3697),AD3697&lt;&gt;0),1,0)</f>
        <v/>
      </c>
      <c r="AG3697" s="55">
        <f>IF(AF3697=1,EOMONTH(AE3697,0),"")</f>
        <v/>
      </c>
      <c r="AH3697" s="9">
        <f>IF(AF3697=1,UPPER(TRIM(IFERROR(INDEX($A3697:$AB3697,MATCH("Client",$A$1:$AB$1,0)),"")&amp;"")),"")</f>
        <v/>
      </c>
      <c r="AI3697" s="9">
        <f>IF(AF3697=1,IFERROR(INDEX($A3697:$AB3697,MATCH("Cost Centre",$A$1:$AB$1,0)),"")&amp;"","")</f>
        <v/>
      </c>
      <c r="AJ3697" s="54">
        <f>IF(AND(AF3697=1,AE3697&gt;=set_FYStart,AE3697&lt;=set_AsAt),1,0)</f>
        <v/>
      </c>
      <c r="AK3697" s="54">
        <f>IF(AND(AJ3697=1,AH3697&lt;&gt;"",COUNTIFS($AH$2:AH3697,AH3697,$AJ$2:AJ3697,1)=1),N(AL3696)+1,"")</f>
        <v/>
      </c>
      <c r="AL3697" s="54">
        <f>IF(AK3697&lt;&gt;"",AK3697,N(AL3696))</f>
        <v/>
      </c>
    </row>
    <row r="3698">
      <c r="A3698" t="inlineStr">
        <is>
          <t>ONS-1233</t>
        </is>
      </c>
      <c r="B3698" t="inlineStr">
        <is>
          <t>Onsite</t>
        </is>
      </c>
      <c r="AB3698" t="n">
        <v>1233</v>
      </c>
      <c r="AD3698" s="52">
        <f>IFERROR(N(IFERROR(INDEX($A3698:$AB3698,MATCH("Xero Invoiced Ex GST",$A$1:$AB$1,0)),"")),0)</f>
        <v/>
      </c>
      <c r="AE3698" s="53">
        <f>IFERROR(INDEX($A3698:$AB3698,MATCH("Xero Invoice Date",$A$1:$AB$1,0)),"")</f>
        <v/>
      </c>
      <c r="AF3698" s="54">
        <f>IF(AND(IFERROR(INDEX($A3698:$AB3698,MATCH("Xero Invoice No",$A$1:$AB$1,0)),"")&amp;""&lt;&gt;"",ISNUMBER(AE3698),AD3698&lt;&gt;0),1,0)</f>
        <v/>
      </c>
      <c r="AG3698" s="55">
        <f>IF(AF3698=1,EOMONTH(AE3698,0),"")</f>
        <v/>
      </c>
      <c r="AH3698" s="9">
        <f>IF(AF3698=1,UPPER(TRIM(IFERROR(INDEX($A3698:$AB3698,MATCH("Client",$A$1:$AB$1,0)),"")&amp;"")),"")</f>
        <v/>
      </c>
      <c r="AI3698" s="9">
        <f>IF(AF3698=1,IFERROR(INDEX($A3698:$AB3698,MATCH("Cost Centre",$A$1:$AB$1,0)),"")&amp;"","")</f>
        <v/>
      </c>
      <c r="AJ3698" s="54">
        <f>IF(AND(AF3698=1,AE3698&gt;=set_FYStart,AE3698&lt;=set_AsAt),1,0)</f>
        <v/>
      </c>
      <c r="AK3698" s="54">
        <f>IF(AND(AJ3698=1,AH3698&lt;&gt;"",COUNTIFS($AH$2:AH3698,AH3698,$AJ$2:AJ3698,1)=1),N(AL3697)+1,"")</f>
        <v/>
      </c>
      <c r="AL3698" s="54">
        <f>IF(AK3698&lt;&gt;"",AK3698,N(AL3697))</f>
        <v/>
      </c>
    </row>
    <row r="3699">
      <c r="A3699" t="inlineStr">
        <is>
          <t>PRD-1233</t>
        </is>
      </c>
      <c r="B3699" t="inlineStr">
        <is>
          <t>Production</t>
        </is>
      </c>
      <c r="AB3699" t="n">
        <v>1233</v>
      </c>
      <c r="AD3699" s="52">
        <f>IFERROR(N(IFERROR(INDEX($A3699:$AB3699,MATCH("Xero Invoiced Ex GST",$A$1:$AB$1,0)),"")),0)</f>
        <v/>
      </c>
      <c r="AE3699" s="53">
        <f>IFERROR(INDEX($A3699:$AB3699,MATCH("Xero Invoice Date",$A$1:$AB$1,0)),"")</f>
        <v/>
      </c>
      <c r="AF3699" s="54">
        <f>IF(AND(IFERROR(INDEX($A3699:$AB3699,MATCH("Xero Invoice No",$A$1:$AB$1,0)),"")&amp;""&lt;&gt;"",ISNUMBER(AE3699),AD3699&lt;&gt;0),1,0)</f>
        <v/>
      </c>
      <c r="AG3699" s="55">
        <f>IF(AF3699=1,EOMONTH(AE3699,0),"")</f>
        <v/>
      </c>
      <c r="AH3699" s="9">
        <f>IF(AF3699=1,UPPER(TRIM(IFERROR(INDEX($A3699:$AB3699,MATCH("Client",$A$1:$AB$1,0)),"")&amp;"")),"")</f>
        <v/>
      </c>
      <c r="AI3699" s="9">
        <f>IF(AF3699=1,IFERROR(INDEX($A3699:$AB3699,MATCH("Cost Centre",$A$1:$AB$1,0)),"")&amp;"","")</f>
        <v/>
      </c>
      <c r="AJ3699" s="54">
        <f>IF(AND(AF3699=1,AE3699&gt;=set_FYStart,AE3699&lt;=set_AsAt),1,0)</f>
        <v/>
      </c>
      <c r="AK3699" s="54">
        <f>IF(AND(AJ3699=1,AH3699&lt;&gt;"",COUNTIFS($AH$2:AH3699,AH3699,$AJ$2:AJ3699,1)=1),N(AL3698)+1,"")</f>
        <v/>
      </c>
      <c r="AL3699" s="54">
        <f>IF(AK3699&lt;&gt;"",AK3699,N(AL3698))</f>
        <v/>
      </c>
    </row>
    <row r="3700">
      <c r="A3700" t="inlineStr">
        <is>
          <t>CON-1233</t>
        </is>
      </c>
      <c r="B3700" t="inlineStr">
        <is>
          <t>Consulting</t>
        </is>
      </c>
      <c r="AB3700" t="n">
        <v>1233</v>
      </c>
      <c r="AD3700" s="52">
        <f>IFERROR(N(IFERROR(INDEX($A3700:$AB3700,MATCH("Xero Invoiced Ex GST",$A$1:$AB$1,0)),"")),0)</f>
        <v/>
      </c>
      <c r="AE3700" s="53">
        <f>IFERROR(INDEX($A3700:$AB3700,MATCH("Xero Invoice Date",$A$1:$AB$1,0)),"")</f>
        <v/>
      </c>
      <c r="AF3700" s="54">
        <f>IF(AND(IFERROR(INDEX($A3700:$AB3700,MATCH("Xero Invoice No",$A$1:$AB$1,0)),"")&amp;""&lt;&gt;"",ISNUMBER(AE3700),AD3700&lt;&gt;0),1,0)</f>
        <v/>
      </c>
      <c r="AG3700" s="55">
        <f>IF(AF3700=1,EOMONTH(AE3700,0),"")</f>
        <v/>
      </c>
      <c r="AH3700" s="9">
        <f>IF(AF3700=1,UPPER(TRIM(IFERROR(INDEX($A3700:$AB3700,MATCH("Client",$A$1:$AB$1,0)),"")&amp;"")),"")</f>
        <v/>
      </c>
      <c r="AI3700" s="9">
        <f>IF(AF3700=1,IFERROR(INDEX($A3700:$AB3700,MATCH("Cost Centre",$A$1:$AB$1,0)),"")&amp;"","")</f>
        <v/>
      </c>
      <c r="AJ3700" s="54">
        <f>IF(AND(AF3700=1,AE3700&gt;=set_FYStart,AE3700&lt;=set_AsAt),1,0)</f>
        <v/>
      </c>
      <c r="AK3700" s="54">
        <f>IF(AND(AJ3700=1,AH3700&lt;&gt;"",COUNTIFS($AH$2:AH3700,AH3700,$AJ$2:AJ3700,1)=1),N(AL3699)+1,"")</f>
        <v/>
      </c>
      <c r="AL3700" s="54">
        <f>IF(AK3700&lt;&gt;"",AK3700,N(AL3699))</f>
        <v/>
      </c>
    </row>
    <row r="3701">
      <c r="A3701" t="inlineStr">
        <is>
          <t>ONS-1234</t>
        </is>
      </c>
      <c r="B3701" t="inlineStr">
        <is>
          <t>Onsite</t>
        </is>
      </c>
      <c r="AB3701" t="n">
        <v>1234</v>
      </c>
      <c r="AD3701" s="52">
        <f>IFERROR(N(IFERROR(INDEX($A3701:$AB3701,MATCH("Xero Invoiced Ex GST",$A$1:$AB$1,0)),"")),0)</f>
        <v/>
      </c>
      <c r="AE3701" s="53">
        <f>IFERROR(INDEX($A3701:$AB3701,MATCH("Xero Invoice Date",$A$1:$AB$1,0)),"")</f>
        <v/>
      </c>
      <c r="AF3701" s="54">
        <f>IF(AND(IFERROR(INDEX($A3701:$AB3701,MATCH("Xero Invoice No",$A$1:$AB$1,0)),"")&amp;""&lt;&gt;"",ISNUMBER(AE3701),AD3701&lt;&gt;0),1,0)</f>
        <v/>
      </c>
      <c r="AG3701" s="55">
        <f>IF(AF3701=1,EOMONTH(AE3701,0),"")</f>
        <v/>
      </c>
      <c r="AH3701" s="9">
        <f>IF(AF3701=1,UPPER(TRIM(IFERROR(INDEX($A3701:$AB3701,MATCH("Client",$A$1:$AB$1,0)),"")&amp;"")),"")</f>
        <v/>
      </c>
      <c r="AI3701" s="9">
        <f>IF(AF3701=1,IFERROR(INDEX($A3701:$AB3701,MATCH("Cost Centre",$A$1:$AB$1,0)),"")&amp;"","")</f>
        <v/>
      </c>
      <c r="AJ3701" s="54">
        <f>IF(AND(AF3701=1,AE3701&gt;=set_FYStart,AE3701&lt;=set_AsAt),1,0)</f>
        <v/>
      </c>
      <c r="AK3701" s="54">
        <f>IF(AND(AJ3701=1,AH3701&lt;&gt;"",COUNTIFS($AH$2:AH3701,AH3701,$AJ$2:AJ3701,1)=1),N(AL3700)+1,"")</f>
        <v/>
      </c>
      <c r="AL3701" s="54">
        <f>IF(AK3701&lt;&gt;"",AK3701,N(AL3700))</f>
        <v/>
      </c>
    </row>
    <row r="3702">
      <c r="A3702" t="inlineStr">
        <is>
          <t>PRD-1234</t>
        </is>
      </c>
      <c r="B3702" t="inlineStr">
        <is>
          <t>Production</t>
        </is>
      </c>
      <c r="AB3702" t="n">
        <v>1234</v>
      </c>
      <c r="AD3702" s="52">
        <f>IFERROR(N(IFERROR(INDEX($A3702:$AB3702,MATCH("Xero Invoiced Ex GST",$A$1:$AB$1,0)),"")),0)</f>
        <v/>
      </c>
      <c r="AE3702" s="53">
        <f>IFERROR(INDEX($A3702:$AB3702,MATCH("Xero Invoice Date",$A$1:$AB$1,0)),"")</f>
        <v/>
      </c>
      <c r="AF3702" s="54">
        <f>IF(AND(IFERROR(INDEX($A3702:$AB3702,MATCH("Xero Invoice No",$A$1:$AB$1,0)),"")&amp;""&lt;&gt;"",ISNUMBER(AE3702),AD3702&lt;&gt;0),1,0)</f>
        <v/>
      </c>
      <c r="AG3702" s="55">
        <f>IF(AF3702=1,EOMONTH(AE3702,0),"")</f>
        <v/>
      </c>
      <c r="AH3702" s="9">
        <f>IF(AF3702=1,UPPER(TRIM(IFERROR(INDEX($A3702:$AB3702,MATCH("Client",$A$1:$AB$1,0)),"")&amp;"")),"")</f>
        <v/>
      </c>
      <c r="AI3702" s="9">
        <f>IF(AF3702=1,IFERROR(INDEX($A3702:$AB3702,MATCH("Cost Centre",$A$1:$AB$1,0)),"")&amp;"","")</f>
        <v/>
      </c>
      <c r="AJ3702" s="54">
        <f>IF(AND(AF3702=1,AE3702&gt;=set_FYStart,AE3702&lt;=set_AsAt),1,0)</f>
        <v/>
      </c>
      <c r="AK3702" s="54">
        <f>IF(AND(AJ3702=1,AH3702&lt;&gt;"",COUNTIFS($AH$2:AH3702,AH3702,$AJ$2:AJ3702,1)=1),N(AL3701)+1,"")</f>
        <v/>
      </c>
      <c r="AL3702" s="54">
        <f>IF(AK3702&lt;&gt;"",AK3702,N(AL3701))</f>
        <v/>
      </c>
    </row>
    <row r="3703">
      <c r="A3703" t="inlineStr">
        <is>
          <t>CON-1234</t>
        </is>
      </c>
      <c r="B3703" t="inlineStr">
        <is>
          <t>Consulting</t>
        </is>
      </c>
      <c r="AB3703" t="n">
        <v>1234</v>
      </c>
      <c r="AD3703" s="52">
        <f>IFERROR(N(IFERROR(INDEX($A3703:$AB3703,MATCH("Xero Invoiced Ex GST",$A$1:$AB$1,0)),"")),0)</f>
        <v/>
      </c>
      <c r="AE3703" s="53">
        <f>IFERROR(INDEX($A3703:$AB3703,MATCH("Xero Invoice Date",$A$1:$AB$1,0)),"")</f>
        <v/>
      </c>
      <c r="AF3703" s="54">
        <f>IF(AND(IFERROR(INDEX($A3703:$AB3703,MATCH("Xero Invoice No",$A$1:$AB$1,0)),"")&amp;""&lt;&gt;"",ISNUMBER(AE3703),AD3703&lt;&gt;0),1,0)</f>
        <v/>
      </c>
      <c r="AG3703" s="55">
        <f>IF(AF3703=1,EOMONTH(AE3703,0),"")</f>
        <v/>
      </c>
      <c r="AH3703" s="9">
        <f>IF(AF3703=1,UPPER(TRIM(IFERROR(INDEX($A3703:$AB3703,MATCH("Client",$A$1:$AB$1,0)),"")&amp;"")),"")</f>
        <v/>
      </c>
      <c r="AI3703" s="9">
        <f>IF(AF3703=1,IFERROR(INDEX($A3703:$AB3703,MATCH("Cost Centre",$A$1:$AB$1,0)),"")&amp;"","")</f>
        <v/>
      </c>
      <c r="AJ3703" s="54">
        <f>IF(AND(AF3703=1,AE3703&gt;=set_FYStart,AE3703&lt;=set_AsAt),1,0)</f>
        <v/>
      </c>
      <c r="AK3703" s="54">
        <f>IF(AND(AJ3703=1,AH3703&lt;&gt;"",COUNTIFS($AH$2:AH3703,AH3703,$AJ$2:AJ3703,1)=1),N(AL3702)+1,"")</f>
        <v/>
      </c>
      <c r="AL3703" s="54">
        <f>IF(AK3703&lt;&gt;"",AK3703,N(AL3702))</f>
        <v/>
      </c>
    </row>
    <row r="3704">
      <c r="A3704" t="inlineStr">
        <is>
          <t>ONS-1235</t>
        </is>
      </c>
      <c r="B3704" t="inlineStr">
        <is>
          <t>Onsite</t>
        </is>
      </c>
      <c r="AB3704" t="n">
        <v>1235</v>
      </c>
      <c r="AD3704" s="52">
        <f>IFERROR(N(IFERROR(INDEX($A3704:$AB3704,MATCH("Xero Invoiced Ex GST",$A$1:$AB$1,0)),"")),0)</f>
        <v/>
      </c>
      <c r="AE3704" s="53">
        <f>IFERROR(INDEX($A3704:$AB3704,MATCH("Xero Invoice Date",$A$1:$AB$1,0)),"")</f>
        <v/>
      </c>
      <c r="AF3704" s="54">
        <f>IF(AND(IFERROR(INDEX($A3704:$AB3704,MATCH("Xero Invoice No",$A$1:$AB$1,0)),"")&amp;""&lt;&gt;"",ISNUMBER(AE3704),AD3704&lt;&gt;0),1,0)</f>
        <v/>
      </c>
      <c r="AG3704" s="55">
        <f>IF(AF3704=1,EOMONTH(AE3704,0),"")</f>
        <v/>
      </c>
      <c r="AH3704" s="9">
        <f>IF(AF3704=1,UPPER(TRIM(IFERROR(INDEX($A3704:$AB3704,MATCH("Client",$A$1:$AB$1,0)),"")&amp;"")),"")</f>
        <v/>
      </c>
      <c r="AI3704" s="9">
        <f>IF(AF3704=1,IFERROR(INDEX($A3704:$AB3704,MATCH("Cost Centre",$A$1:$AB$1,0)),"")&amp;"","")</f>
        <v/>
      </c>
      <c r="AJ3704" s="54">
        <f>IF(AND(AF3704=1,AE3704&gt;=set_FYStart,AE3704&lt;=set_AsAt),1,0)</f>
        <v/>
      </c>
      <c r="AK3704" s="54">
        <f>IF(AND(AJ3704=1,AH3704&lt;&gt;"",COUNTIFS($AH$2:AH3704,AH3704,$AJ$2:AJ3704,1)=1),N(AL3703)+1,"")</f>
        <v/>
      </c>
      <c r="AL3704" s="54">
        <f>IF(AK3704&lt;&gt;"",AK3704,N(AL3703))</f>
        <v/>
      </c>
    </row>
    <row r="3705">
      <c r="A3705" t="inlineStr">
        <is>
          <t>PRD-1235</t>
        </is>
      </c>
      <c r="B3705" t="inlineStr">
        <is>
          <t>Production</t>
        </is>
      </c>
      <c r="AB3705" t="n">
        <v>1235</v>
      </c>
      <c r="AD3705" s="52">
        <f>IFERROR(N(IFERROR(INDEX($A3705:$AB3705,MATCH("Xero Invoiced Ex GST",$A$1:$AB$1,0)),"")),0)</f>
        <v/>
      </c>
      <c r="AE3705" s="53">
        <f>IFERROR(INDEX($A3705:$AB3705,MATCH("Xero Invoice Date",$A$1:$AB$1,0)),"")</f>
        <v/>
      </c>
      <c r="AF3705" s="54">
        <f>IF(AND(IFERROR(INDEX($A3705:$AB3705,MATCH("Xero Invoice No",$A$1:$AB$1,0)),"")&amp;""&lt;&gt;"",ISNUMBER(AE3705),AD3705&lt;&gt;0),1,0)</f>
        <v/>
      </c>
      <c r="AG3705" s="55">
        <f>IF(AF3705=1,EOMONTH(AE3705,0),"")</f>
        <v/>
      </c>
      <c r="AH3705" s="9">
        <f>IF(AF3705=1,UPPER(TRIM(IFERROR(INDEX($A3705:$AB3705,MATCH("Client",$A$1:$AB$1,0)),"")&amp;"")),"")</f>
        <v/>
      </c>
      <c r="AI3705" s="9">
        <f>IF(AF3705=1,IFERROR(INDEX($A3705:$AB3705,MATCH("Cost Centre",$A$1:$AB$1,0)),"")&amp;"","")</f>
        <v/>
      </c>
      <c r="AJ3705" s="54">
        <f>IF(AND(AF3705=1,AE3705&gt;=set_FYStart,AE3705&lt;=set_AsAt),1,0)</f>
        <v/>
      </c>
      <c r="AK3705" s="54">
        <f>IF(AND(AJ3705=1,AH3705&lt;&gt;"",COUNTIFS($AH$2:AH3705,AH3705,$AJ$2:AJ3705,1)=1),N(AL3704)+1,"")</f>
        <v/>
      </c>
      <c r="AL3705" s="54">
        <f>IF(AK3705&lt;&gt;"",AK3705,N(AL3704))</f>
        <v/>
      </c>
    </row>
    <row r="3706">
      <c r="A3706" t="inlineStr">
        <is>
          <t>CON-1235</t>
        </is>
      </c>
      <c r="B3706" t="inlineStr">
        <is>
          <t>Consulting</t>
        </is>
      </c>
      <c r="AB3706" t="n">
        <v>1235</v>
      </c>
      <c r="AD3706" s="52">
        <f>IFERROR(N(IFERROR(INDEX($A3706:$AB3706,MATCH("Xero Invoiced Ex GST",$A$1:$AB$1,0)),"")),0)</f>
        <v/>
      </c>
      <c r="AE3706" s="53">
        <f>IFERROR(INDEX($A3706:$AB3706,MATCH("Xero Invoice Date",$A$1:$AB$1,0)),"")</f>
        <v/>
      </c>
      <c r="AF3706" s="54">
        <f>IF(AND(IFERROR(INDEX($A3706:$AB3706,MATCH("Xero Invoice No",$A$1:$AB$1,0)),"")&amp;""&lt;&gt;"",ISNUMBER(AE3706),AD3706&lt;&gt;0),1,0)</f>
        <v/>
      </c>
      <c r="AG3706" s="55">
        <f>IF(AF3706=1,EOMONTH(AE3706,0),"")</f>
        <v/>
      </c>
      <c r="AH3706" s="9">
        <f>IF(AF3706=1,UPPER(TRIM(IFERROR(INDEX($A3706:$AB3706,MATCH("Client",$A$1:$AB$1,0)),"")&amp;"")),"")</f>
        <v/>
      </c>
      <c r="AI3706" s="9">
        <f>IF(AF3706=1,IFERROR(INDEX($A3706:$AB3706,MATCH("Cost Centre",$A$1:$AB$1,0)),"")&amp;"","")</f>
        <v/>
      </c>
      <c r="AJ3706" s="54">
        <f>IF(AND(AF3706=1,AE3706&gt;=set_FYStart,AE3706&lt;=set_AsAt),1,0)</f>
        <v/>
      </c>
      <c r="AK3706" s="54">
        <f>IF(AND(AJ3706=1,AH3706&lt;&gt;"",COUNTIFS($AH$2:AH3706,AH3706,$AJ$2:AJ3706,1)=1),N(AL3705)+1,"")</f>
        <v/>
      </c>
      <c r="AL3706" s="54">
        <f>IF(AK3706&lt;&gt;"",AK3706,N(AL3705))</f>
        <v/>
      </c>
    </row>
    <row r="3707">
      <c r="A3707" t="inlineStr">
        <is>
          <t>ONS-1236</t>
        </is>
      </c>
      <c r="B3707" t="inlineStr">
        <is>
          <t>Onsite</t>
        </is>
      </c>
      <c r="AB3707" t="n">
        <v>1236</v>
      </c>
      <c r="AD3707" s="52">
        <f>IFERROR(N(IFERROR(INDEX($A3707:$AB3707,MATCH("Xero Invoiced Ex GST",$A$1:$AB$1,0)),"")),0)</f>
        <v/>
      </c>
      <c r="AE3707" s="53">
        <f>IFERROR(INDEX($A3707:$AB3707,MATCH("Xero Invoice Date",$A$1:$AB$1,0)),"")</f>
        <v/>
      </c>
      <c r="AF3707" s="54">
        <f>IF(AND(IFERROR(INDEX($A3707:$AB3707,MATCH("Xero Invoice No",$A$1:$AB$1,0)),"")&amp;""&lt;&gt;"",ISNUMBER(AE3707),AD3707&lt;&gt;0),1,0)</f>
        <v/>
      </c>
      <c r="AG3707" s="55">
        <f>IF(AF3707=1,EOMONTH(AE3707,0),"")</f>
        <v/>
      </c>
      <c r="AH3707" s="9">
        <f>IF(AF3707=1,UPPER(TRIM(IFERROR(INDEX($A3707:$AB3707,MATCH("Client",$A$1:$AB$1,0)),"")&amp;"")),"")</f>
        <v/>
      </c>
      <c r="AI3707" s="9">
        <f>IF(AF3707=1,IFERROR(INDEX($A3707:$AB3707,MATCH("Cost Centre",$A$1:$AB$1,0)),"")&amp;"","")</f>
        <v/>
      </c>
      <c r="AJ3707" s="54">
        <f>IF(AND(AF3707=1,AE3707&gt;=set_FYStart,AE3707&lt;=set_AsAt),1,0)</f>
        <v/>
      </c>
      <c r="AK3707" s="54">
        <f>IF(AND(AJ3707=1,AH3707&lt;&gt;"",COUNTIFS($AH$2:AH3707,AH3707,$AJ$2:AJ3707,1)=1),N(AL3706)+1,"")</f>
        <v/>
      </c>
      <c r="AL3707" s="54">
        <f>IF(AK3707&lt;&gt;"",AK3707,N(AL3706))</f>
        <v/>
      </c>
    </row>
    <row r="3708">
      <c r="A3708" t="inlineStr">
        <is>
          <t>PRD-1236</t>
        </is>
      </c>
      <c r="B3708" t="inlineStr">
        <is>
          <t>Production</t>
        </is>
      </c>
      <c r="AB3708" t="n">
        <v>1236</v>
      </c>
      <c r="AD3708" s="52">
        <f>IFERROR(N(IFERROR(INDEX($A3708:$AB3708,MATCH("Xero Invoiced Ex GST",$A$1:$AB$1,0)),"")),0)</f>
        <v/>
      </c>
      <c r="AE3708" s="53">
        <f>IFERROR(INDEX($A3708:$AB3708,MATCH("Xero Invoice Date",$A$1:$AB$1,0)),"")</f>
        <v/>
      </c>
      <c r="AF3708" s="54">
        <f>IF(AND(IFERROR(INDEX($A3708:$AB3708,MATCH("Xero Invoice No",$A$1:$AB$1,0)),"")&amp;""&lt;&gt;"",ISNUMBER(AE3708),AD3708&lt;&gt;0),1,0)</f>
        <v/>
      </c>
      <c r="AG3708" s="55">
        <f>IF(AF3708=1,EOMONTH(AE3708,0),"")</f>
        <v/>
      </c>
      <c r="AH3708" s="9">
        <f>IF(AF3708=1,UPPER(TRIM(IFERROR(INDEX($A3708:$AB3708,MATCH("Client",$A$1:$AB$1,0)),"")&amp;"")),"")</f>
        <v/>
      </c>
      <c r="AI3708" s="9">
        <f>IF(AF3708=1,IFERROR(INDEX($A3708:$AB3708,MATCH("Cost Centre",$A$1:$AB$1,0)),"")&amp;"","")</f>
        <v/>
      </c>
      <c r="AJ3708" s="54">
        <f>IF(AND(AF3708=1,AE3708&gt;=set_FYStart,AE3708&lt;=set_AsAt),1,0)</f>
        <v/>
      </c>
      <c r="AK3708" s="54">
        <f>IF(AND(AJ3708=1,AH3708&lt;&gt;"",COUNTIFS($AH$2:AH3708,AH3708,$AJ$2:AJ3708,1)=1),N(AL3707)+1,"")</f>
        <v/>
      </c>
      <c r="AL3708" s="54">
        <f>IF(AK3708&lt;&gt;"",AK3708,N(AL3707))</f>
        <v/>
      </c>
    </row>
    <row r="3709">
      <c r="A3709" t="inlineStr">
        <is>
          <t>CON-1236</t>
        </is>
      </c>
      <c r="B3709" t="inlineStr">
        <is>
          <t>Consulting</t>
        </is>
      </c>
      <c r="AB3709" t="n">
        <v>1236</v>
      </c>
      <c r="AD3709" s="52">
        <f>IFERROR(N(IFERROR(INDEX($A3709:$AB3709,MATCH("Xero Invoiced Ex GST",$A$1:$AB$1,0)),"")),0)</f>
        <v/>
      </c>
      <c r="AE3709" s="53">
        <f>IFERROR(INDEX($A3709:$AB3709,MATCH("Xero Invoice Date",$A$1:$AB$1,0)),"")</f>
        <v/>
      </c>
      <c r="AF3709" s="54">
        <f>IF(AND(IFERROR(INDEX($A3709:$AB3709,MATCH("Xero Invoice No",$A$1:$AB$1,0)),"")&amp;""&lt;&gt;"",ISNUMBER(AE3709),AD3709&lt;&gt;0),1,0)</f>
        <v/>
      </c>
      <c r="AG3709" s="55">
        <f>IF(AF3709=1,EOMONTH(AE3709,0),"")</f>
        <v/>
      </c>
      <c r="AH3709" s="9">
        <f>IF(AF3709=1,UPPER(TRIM(IFERROR(INDEX($A3709:$AB3709,MATCH("Client",$A$1:$AB$1,0)),"")&amp;"")),"")</f>
        <v/>
      </c>
      <c r="AI3709" s="9">
        <f>IF(AF3709=1,IFERROR(INDEX($A3709:$AB3709,MATCH("Cost Centre",$A$1:$AB$1,0)),"")&amp;"","")</f>
        <v/>
      </c>
      <c r="AJ3709" s="54">
        <f>IF(AND(AF3709=1,AE3709&gt;=set_FYStart,AE3709&lt;=set_AsAt),1,0)</f>
        <v/>
      </c>
      <c r="AK3709" s="54">
        <f>IF(AND(AJ3709=1,AH3709&lt;&gt;"",COUNTIFS($AH$2:AH3709,AH3709,$AJ$2:AJ3709,1)=1),N(AL3708)+1,"")</f>
        <v/>
      </c>
      <c r="AL3709" s="54">
        <f>IF(AK3709&lt;&gt;"",AK3709,N(AL3708))</f>
        <v/>
      </c>
    </row>
    <row r="3710">
      <c r="A3710" t="inlineStr">
        <is>
          <t>ONS-1237</t>
        </is>
      </c>
      <c r="B3710" t="inlineStr">
        <is>
          <t>Onsite</t>
        </is>
      </c>
      <c r="AB3710" t="n">
        <v>1237</v>
      </c>
      <c r="AD3710" s="52">
        <f>IFERROR(N(IFERROR(INDEX($A3710:$AB3710,MATCH("Xero Invoiced Ex GST",$A$1:$AB$1,0)),"")),0)</f>
        <v/>
      </c>
      <c r="AE3710" s="53">
        <f>IFERROR(INDEX($A3710:$AB3710,MATCH("Xero Invoice Date",$A$1:$AB$1,0)),"")</f>
        <v/>
      </c>
      <c r="AF3710" s="54">
        <f>IF(AND(IFERROR(INDEX($A3710:$AB3710,MATCH("Xero Invoice No",$A$1:$AB$1,0)),"")&amp;""&lt;&gt;"",ISNUMBER(AE3710),AD3710&lt;&gt;0),1,0)</f>
        <v/>
      </c>
      <c r="AG3710" s="55">
        <f>IF(AF3710=1,EOMONTH(AE3710,0),"")</f>
        <v/>
      </c>
      <c r="AH3710" s="9">
        <f>IF(AF3710=1,UPPER(TRIM(IFERROR(INDEX($A3710:$AB3710,MATCH("Client",$A$1:$AB$1,0)),"")&amp;"")),"")</f>
        <v/>
      </c>
      <c r="AI3710" s="9">
        <f>IF(AF3710=1,IFERROR(INDEX($A3710:$AB3710,MATCH("Cost Centre",$A$1:$AB$1,0)),"")&amp;"","")</f>
        <v/>
      </c>
      <c r="AJ3710" s="54">
        <f>IF(AND(AF3710=1,AE3710&gt;=set_FYStart,AE3710&lt;=set_AsAt),1,0)</f>
        <v/>
      </c>
      <c r="AK3710" s="54">
        <f>IF(AND(AJ3710=1,AH3710&lt;&gt;"",COUNTIFS($AH$2:AH3710,AH3710,$AJ$2:AJ3710,1)=1),N(AL3709)+1,"")</f>
        <v/>
      </c>
      <c r="AL3710" s="54">
        <f>IF(AK3710&lt;&gt;"",AK3710,N(AL3709))</f>
        <v/>
      </c>
    </row>
    <row r="3711">
      <c r="A3711" t="inlineStr">
        <is>
          <t>PRD-1237</t>
        </is>
      </c>
      <c r="B3711" t="inlineStr">
        <is>
          <t>Production</t>
        </is>
      </c>
      <c r="AB3711" t="n">
        <v>1237</v>
      </c>
      <c r="AD3711" s="52">
        <f>IFERROR(N(IFERROR(INDEX($A3711:$AB3711,MATCH("Xero Invoiced Ex GST",$A$1:$AB$1,0)),"")),0)</f>
        <v/>
      </c>
      <c r="AE3711" s="53">
        <f>IFERROR(INDEX($A3711:$AB3711,MATCH("Xero Invoice Date",$A$1:$AB$1,0)),"")</f>
        <v/>
      </c>
      <c r="AF3711" s="54">
        <f>IF(AND(IFERROR(INDEX($A3711:$AB3711,MATCH("Xero Invoice No",$A$1:$AB$1,0)),"")&amp;""&lt;&gt;"",ISNUMBER(AE3711),AD3711&lt;&gt;0),1,0)</f>
        <v/>
      </c>
      <c r="AG3711" s="55">
        <f>IF(AF3711=1,EOMONTH(AE3711,0),"")</f>
        <v/>
      </c>
      <c r="AH3711" s="9">
        <f>IF(AF3711=1,UPPER(TRIM(IFERROR(INDEX($A3711:$AB3711,MATCH("Client",$A$1:$AB$1,0)),"")&amp;"")),"")</f>
        <v/>
      </c>
      <c r="AI3711" s="9">
        <f>IF(AF3711=1,IFERROR(INDEX($A3711:$AB3711,MATCH("Cost Centre",$A$1:$AB$1,0)),"")&amp;"","")</f>
        <v/>
      </c>
      <c r="AJ3711" s="54">
        <f>IF(AND(AF3711=1,AE3711&gt;=set_FYStart,AE3711&lt;=set_AsAt),1,0)</f>
        <v/>
      </c>
      <c r="AK3711" s="54">
        <f>IF(AND(AJ3711=1,AH3711&lt;&gt;"",COUNTIFS($AH$2:AH3711,AH3711,$AJ$2:AJ3711,1)=1),N(AL3710)+1,"")</f>
        <v/>
      </c>
      <c r="AL3711" s="54">
        <f>IF(AK3711&lt;&gt;"",AK3711,N(AL3710))</f>
        <v/>
      </c>
    </row>
    <row r="3712">
      <c r="A3712" t="inlineStr">
        <is>
          <t>CON-1237</t>
        </is>
      </c>
      <c r="B3712" t="inlineStr">
        <is>
          <t>Consulting</t>
        </is>
      </c>
      <c r="AB3712" t="n">
        <v>1237</v>
      </c>
      <c r="AD3712" s="52">
        <f>IFERROR(N(IFERROR(INDEX($A3712:$AB3712,MATCH("Xero Invoiced Ex GST",$A$1:$AB$1,0)),"")),0)</f>
        <v/>
      </c>
      <c r="AE3712" s="53">
        <f>IFERROR(INDEX($A3712:$AB3712,MATCH("Xero Invoice Date",$A$1:$AB$1,0)),"")</f>
        <v/>
      </c>
      <c r="AF3712" s="54">
        <f>IF(AND(IFERROR(INDEX($A3712:$AB3712,MATCH("Xero Invoice No",$A$1:$AB$1,0)),"")&amp;""&lt;&gt;"",ISNUMBER(AE3712),AD3712&lt;&gt;0),1,0)</f>
        <v/>
      </c>
      <c r="AG3712" s="55">
        <f>IF(AF3712=1,EOMONTH(AE3712,0),"")</f>
        <v/>
      </c>
      <c r="AH3712" s="9">
        <f>IF(AF3712=1,UPPER(TRIM(IFERROR(INDEX($A3712:$AB3712,MATCH("Client",$A$1:$AB$1,0)),"")&amp;"")),"")</f>
        <v/>
      </c>
      <c r="AI3712" s="9">
        <f>IF(AF3712=1,IFERROR(INDEX($A3712:$AB3712,MATCH("Cost Centre",$A$1:$AB$1,0)),"")&amp;"","")</f>
        <v/>
      </c>
      <c r="AJ3712" s="54">
        <f>IF(AND(AF3712=1,AE3712&gt;=set_FYStart,AE3712&lt;=set_AsAt),1,0)</f>
        <v/>
      </c>
      <c r="AK3712" s="54">
        <f>IF(AND(AJ3712=1,AH3712&lt;&gt;"",COUNTIFS($AH$2:AH3712,AH3712,$AJ$2:AJ3712,1)=1),N(AL3711)+1,"")</f>
        <v/>
      </c>
      <c r="AL3712" s="54">
        <f>IF(AK3712&lt;&gt;"",AK3712,N(AL3711))</f>
        <v/>
      </c>
    </row>
    <row r="3713">
      <c r="A3713" t="inlineStr">
        <is>
          <t>ONS-1238</t>
        </is>
      </c>
      <c r="B3713" t="inlineStr">
        <is>
          <t>Onsite</t>
        </is>
      </c>
      <c r="AB3713" t="n">
        <v>1238</v>
      </c>
      <c r="AD3713" s="52">
        <f>IFERROR(N(IFERROR(INDEX($A3713:$AB3713,MATCH("Xero Invoiced Ex GST",$A$1:$AB$1,0)),"")),0)</f>
        <v/>
      </c>
      <c r="AE3713" s="53">
        <f>IFERROR(INDEX($A3713:$AB3713,MATCH("Xero Invoice Date",$A$1:$AB$1,0)),"")</f>
        <v/>
      </c>
      <c r="AF3713" s="54">
        <f>IF(AND(IFERROR(INDEX($A3713:$AB3713,MATCH("Xero Invoice No",$A$1:$AB$1,0)),"")&amp;""&lt;&gt;"",ISNUMBER(AE3713),AD3713&lt;&gt;0),1,0)</f>
        <v/>
      </c>
      <c r="AG3713" s="55">
        <f>IF(AF3713=1,EOMONTH(AE3713,0),"")</f>
        <v/>
      </c>
      <c r="AH3713" s="9">
        <f>IF(AF3713=1,UPPER(TRIM(IFERROR(INDEX($A3713:$AB3713,MATCH("Client",$A$1:$AB$1,0)),"")&amp;"")),"")</f>
        <v/>
      </c>
      <c r="AI3713" s="9">
        <f>IF(AF3713=1,IFERROR(INDEX($A3713:$AB3713,MATCH("Cost Centre",$A$1:$AB$1,0)),"")&amp;"","")</f>
        <v/>
      </c>
      <c r="AJ3713" s="54">
        <f>IF(AND(AF3713=1,AE3713&gt;=set_FYStart,AE3713&lt;=set_AsAt),1,0)</f>
        <v/>
      </c>
      <c r="AK3713" s="54">
        <f>IF(AND(AJ3713=1,AH3713&lt;&gt;"",COUNTIFS($AH$2:AH3713,AH3713,$AJ$2:AJ3713,1)=1),N(AL3712)+1,"")</f>
        <v/>
      </c>
      <c r="AL3713" s="54">
        <f>IF(AK3713&lt;&gt;"",AK3713,N(AL3712))</f>
        <v/>
      </c>
    </row>
    <row r="3714">
      <c r="A3714" t="inlineStr">
        <is>
          <t>PRD-1238</t>
        </is>
      </c>
      <c r="B3714" t="inlineStr">
        <is>
          <t>Production</t>
        </is>
      </c>
      <c r="AB3714" t="n">
        <v>1238</v>
      </c>
      <c r="AD3714" s="52">
        <f>IFERROR(N(IFERROR(INDEX($A3714:$AB3714,MATCH("Xero Invoiced Ex GST",$A$1:$AB$1,0)),"")),0)</f>
        <v/>
      </c>
      <c r="AE3714" s="53">
        <f>IFERROR(INDEX($A3714:$AB3714,MATCH("Xero Invoice Date",$A$1:$AB$1,0)),"")</f>
        <v/>
      </c>
      <c r="AF3714" s="54">
        <f>IF(AND(IFERROR(INDEX($A3714:$AB3714,MATCH("Xero Invoice No",$A$1:$AB$1,0)),"")&amp;""&lt;&gt;"",ISNUMBER(AE3714),AD3714&lt;&gt;0),1,0)</f>
        <v/>
      </c>
      <c r="AG3714" s="55">
        <f>IF(AF3714=1,EOMONTH(AE3714,0),"")</f>
        <v/>
      </c>
      <c r="AH3714" s="9">
        <f>IF(AF3714=1,UPPER(TRIM(IFERROR(INDEX($A3714:$AB3714,MATCH("Client",$A$1:$AB$1,0)),"")&amp;"")),"")</f>
        <v/>
      </c>
      <c r="AI3714" s="9">
        <f>IF(AF3714=1,IFERROR(INDEX($A3714:$AB3714,MATCH("Cost Centre",$A$1:$AB$1,0)),"")&amp;"","")</f>
        <v/>
      </c>
      <c r="AJ3714" s="54">
        <f>IF(AND(AF3714=1,AE3714&gt;=set_FYStart,AE3714&lt;=set_AsAt),1,0)</f>
        <v/>
      </c>
      <c r="AK3714" s="54">
        <f>IF(AND(AJ3714=1,AH3714&lt;&gt;"",COUNTIFS($AH$2:AH3714,AH3714,$AJ$2:AJ3714,1)=1),N(AL3713)+1,"")</f>
        <v/>
      </c>
      <c r="AL3714" s="54">
        <f>IF(AK3714&lt;&gt;"",AK3714,N(AL3713))</f>
        <v/>
      </c>
    </row>
    <row r="3715">
      <c r="A3715" t="inlineStr">
        <is>
          <t>CON-1238</t>
        </is>
      </c>
      <c r="B3715" t="inlineStr">
        <is>
          <t>Consulting</t>
        </is>
      </c>
      <c r="AB3715" t="n">
        <v>1238</v>
      </c>
      <c r="AD3715" s="52">
        <f>IFERROR(N(IFERROR(INDEX($A3715:$AB3715,MATCH("Xero Invoiced Ex GST",$A$1:$AB$1,0)),"")),0)</f>
        <v/>
      </c>
      <c r="AE3715" s="53">
        <f>IFERROR(INDEX($A3715:$AB3715,MATCH("Xero Invoice Date",$A$1:$AB$1,0)),"")</f>
        <v/>
      </c>
      <c r="AF3715" s="54">
        <f>IF(AND(IFERROR(INDEX($A3715:$AB3715,MATCH("Xero Invoice No",$A$1:$AB$1,0)),"")&amp;""&lt;&gt;"",ISNUMBER(AE3715),AD3715&lt;&gt;0),1,0)</f>
        <v/>
      </c>
      <c r="AG3715" s="55">
        <f>IF(AF3715=1,EOMONTH(AE3715,0),"")</f>
        <v/>
      </c>
      <c r="AH3715" s="9">
        <f>IF(AF3715=1,UPPER(TRIM(IFERROR(INDEX($A3715:$AB3715,MATCH("Client",$A$1:$AB$1,0)),"")&amp;"")),"")</f>
        <v/>
      </c>
      <c r="AI3715" s="9">
        <f>IF(AF3715=1,IFERROR(INDEX($A3715:$AB3715,MATCH("Cost Centre",$A$1:$AB$1,0)),"")&amp;"","")</f>
        <v/>
      </c>
      <c r="AJ3715" s="54">
        <f>IF(AND(AF3715=1,AE3715&gt;=set_FYStart,AE3715&lt;=set_AsAt),1,0)</f>
        <v/>
      </c>
      <c r="AK3715" s="54">
        <f>IF(AND(AJ3715=1,AH3715&lt;&gt;"",COUNTIFS($AH$2:AH3715,AH3715,$AJ$2:AJ3715,1)=1),N(AL3714)+1,"")</f>
        <v/>
      </c>
      <c r="AL3715" s="54">
        <f>IF(AK3715&lt;&gt;"",AK3715,N(AL3714))</f>
        <v/>
      </c>
    </row>
    <row r="3716">
      <c r="A3716" t="inlineStr">
        <is>
          <t>ONS-1239</t>
        </is>
      </c>
      <c r="B3716" t="inlineStr">
        <is>
          <t>Onsite</t>
        </is>
      </c>
      <c r="AB3716" t="n">
        <v>1239</v>
      </c>
      <c r="AD3716" s="52">
        <f>IFERROR(N(IFERROR(INDEX($A3716:$AB3716,MATCH("Xero Invoiced Ex GST",$A$1:$AB$1,0)),"")),0)</f>
        <v/>
      </c>
      <c r="AE3716" s="53">
        <f>IFERROR(INDEX($A3716:$AB3716,MATCH("Xero Invoice Date",$A$1:$AB$1,0)),"")</f>
        <v/>
      </c>
      <c r="AF3716" s="54">
        <f>IF(AND(IFERROR(INDEX($A3716:$AB3716,MATCH("Xero Invoice No",$A$1:$AB$1,0)),"")&amp;""&lt;&gt;"",ISNUMBER(AE3716),AD3716&lt;&gt;0),1,0)</f>
        <v/>
      </c>
      <c r="AG3716" s="55">
        <f>IF(AF3716=1,EOMONTH(AE3716,0),"")</f>
        <v/>
      </c>
      <c r="AH3716" s="9">
        <f>IF(AF3716=1,UPPER(TRIM(IFERROR(INDEX($A3716:$AB3716,MATCH("Client",$A$1:$AB$1,0)),"")&amp;"")),"")</f>
        <v/>
      </c>
      <c r="AI3716" s="9">
        <f>IF(AF3716=1,IFERROR(INDEX($A3716:$AB3716,MATCH("Cost Centre",$A$1:$AB$1,0)),"")&amp;"","")</f>
        <v/>
      </c>
      <c r="AJ3716" s="54">
        <f>IF(AND(AF3716=1,AE3716&gt;=set_FYStart,AE3716&lt;=set_AsAt),1,0)</f>
        <v/>
      </c>
      <c r="AK3716" s="54">
        <f>IF(AND(AJ3716=1,AH3716&lt;&gt;"",COUNTIFS($AH$2:AH3716,AH3716,$AJ$2:AJ3716,1)=1),N(AL3715)+1,"")</f>
        <v/>
      </c>
      <c r="AL3716" s="54">
        <f>IF(AK3716&lt;&gt;"",AK3716,N(AL3715))</f>
        <v/>
      </c>
    </row>
    <row r="3717">
      <c r="A3717" t="inlineStr">
        <is>
          <t>PRD-1239</t>
        </is>
      </c>
      <c r="B3717" t="inlineStr">
        <is>
          <t>Production</t>
        </is>
      </c>
      <c r="AB3717" t="n">
        <v>1239</v>
      </c>
      <c r="AD3717" s="52">
        <f>IFERROR(N(IFERROR(INDEX($A3717:$AB3717,MATCH("Xero Invoiced Ex GST",$A$1:$AB$1,0)),"")),0)</f>
        <v/>
      </c>
      <c r="AE3717" s="53">
        <f>IFERROR(INDEX($A3717:$AB3717,MATCH("Xero Invoice Date",$A$1:$AB$1,0)),"")</f>
        <v/>
      </c>
      <c r="AF3717" s="54">
        <f>IF(AND(IFERROR(INDEX($A3717:$AB3717,MATCH("Xero Invoice No",$A$1:$AB$1,0)),"")&amp;""&lt;&gt;"",ISNUMBER(AE3717),AD3717&lt;&gt;0),1,0)</f>
        <v/>
      </c>
      <c r="AG3717" s="55">
        <f>IF(AF3717=1,EOMONTH(AE3717,0),"")</f>
        <v/>
      </c>
      <c r="AH3717" s="9">
        <f>IF(AF3717=1,UPPER(TRIM(IFERROR(INDEX($A3717:$AB3717,MATCH("Client",$A$1:$AB$1,0)),"")&amp;"")),"")</f>
        <v/>
      </c>
      <c r="AI3717" s="9">
        <f>IF(AF3717=1,IFERROR(INDEX($A3717:$AB3717,MATCH("Cost Centre",$A$1:$AB$1,0)),"")&amp;"","")</f>
        <v/>
      </c>
      <c r="AJ3717" s="54">
        <f>IF(AND(AF3717=1,AE3717&gt;=set_FYStart,AE3717&lt;=set_AsAt),1,0)</f>
        <v/>
      </c>
      <c r="AK3717" s="54">
        <f>IF(AND(AJ3717=1,AH3717&lt;&gt;"",COUNTIFS($AH$2:AH3717,AH3717,$AJ$2:AJ3717,1)=1),N(AL3716)+1,"")</f>
        <v/>
      </c>
      <c r="AL3717" s="54">
        <f>IF(AK3717&lt;&gt;"",AK3717,N(AL3716))</f>
        <v/>
      </c>
    </row>
    <row r="3718">
      <c r="A3718" t="inlineStr">
        <is>
          <t>CON-1239</t>
        </is>
      </c>
      <c r="B3718" t="inlineStr">
        <is>
          <t>Consulting</t>
        </is>
      </c>
      <c r="AB3718" t="n">
        <v>1239</v>
      </c>
      <c r="AD3718" s="52">
        <f>IFERROR(N(IFERROR(INDEX($A3718:$AB3718,MATCH("Xero Invoiced Ex GST",$A$1:$AB$1,0)),"")),0)</f>
        <v/>
      </c>
      <c r="AE3718" s="53">
        <f>IFERROR(INDEX($A3718:$AB3718,MATCH("Xero Invoice Date",$A$1:$AB$1,0)),"")</f>
        <v/>
      </c>
      <c r="AF3718" s="54">
        <f>IF(AND(IFERROR(INDEX($A3718:$AB3718,MATCH("Xero Invoice No",$A$1:$AB$1,0)),"")&amp;""&lt;&gt;"",ISNUMBER(AE3718),AD3718&lt;&gt;0),1,0)</f>
        <v/>
      </c>
      <c r="AG3718" s="55">
        <f>IF(AF3718=1,EOMONTH(AE3718,0),"")</f>
        <v/>
      </c>
      <c r="AH3718" s="9">
        <f>IF(AF3718=1,UPPER(TRIM(IFERROR(INDEX($A3718:$AB3718,MATCH("Client",$A$1:$AB$1,0)),"")&amp;"")),"")</f>
        <v/>
      </c>
      <c r="AI3718" s="9">
        <f>IF(AF3718=1,IFERROR(INDEX($A3718:$AB3718,MATCH("Cost Centre",$A$1:$AB$1,0)),"")&amp;"","")</f>
        <v/>
      </c>
      <c r="AJ3718" s="54">
        <f>IF(AND(AF3718=1,AE3718&gt;=set_FYStart,AE3718&lt;=set_AsAt),1,0)</f>
        <v/>
      </c>
      <c r="AK3718" s="54">
        <f>IF(AND(AJ3718=1,AH3718&lt;&gt;"",COUNTIFS($AH$2:AH3718,AH3718,$AJ$2:AJ3718,1)=1),N(AL3717)+1,"")</f>
        <v/>
      </c>
      <c r="AL3718" s="54">
        <f>IF(AK3718&lt;&gt;"",AK3718,N(AL3717))</f>
        <v/>
      </c>
    </row>
    <row r="3719">
      <c r="A3719" t="inlineStr">
        <is>
          <t>ONS-1240</t>
        </is>
      </c>
      <c r="B3719" t="inlineStr">
        <is>
          <t>Onsite</t>
        </is>
      </c>
      <c r="AB3719" t="n">
        <v>1240</v>
      </c>
      <c r="AD3719" s="52">
        <f>IFERROR(N(IFERROR(INDEX($A3719:$AB3719,MATCH("Xero Invoiced Ex GST",$A$1:$AB$1,0)),"")),0)</f>
        <v/>
      </c>
      <c r="AE3719" s="53">
        <f>IFERROR(INDEX($A3719:$AB3719,MATCH("Xero Invoice Date",$A$1:$AB$1,0)),"")</f>
        <v/>
      </c>
      <c r="AF3719" s="54">
        <f>IF(AND(IFERROR(INDEX($A3719:$AB3719,MATCH("Xero Invoice No",$A$1:$AB$1,0)),"")&amp;""&lt;&gt;"",ISNUMBER(AE3719),AD3719&lt;&gt;0),1,0)</f>
        <v/>
      </c>
      <c r="AG3719" s="55">
        <f>IF(AF3719=1,EOMONTH(AE3719,0),"")</f>
        <v/>
      </c>
      <c r="AH3719" s="9">
        <f>IF(AF3719=1,UPPER(TRIM(IFERROR(INDEX($A3719:$AB3719,MATCH("Client",$A$1:$AB$1,0)),"")&amp;"")),"")</f>
        <v/>
      </c>
      <c r="AI3719" s="9">
        <f>IF(AF3719=1,IFERROR(INDEX($A3719:$AB3719,MATCH("Cost Centre",$A$1:$AB$1,0)),"")&amp;"","")</f>
        <v/>
      </c>
      <c r="AJ3719" s="54">
        <f>IF(AND(AF3719=1,AE3719&gt;=set_FYStart,AE3719&lt;=set_AsAt),1,0)</f>
        <v/>
      </c>
      <c r="AK3719" s="54">
        <f>IF(AND(AJ3719=1,AH3719&lt;&gt;"",COUNTIFS($AH$2:AH3719,AH3719,$AJ$2:AJ3719,1)=1),N(AL3718)+1,"")</f>
        <v/>
      </c>
      <c r="AL3719" s="54">
        <f>IF(AK3719&lt;&gt;"",AK3719,N(AL3718))</f>
        <v/>
      </c>
    </row>
    <row r="3720">
      <c r="A3720" t="inlineStr">
        <is>
          <t>PRD-1240</t>
        </is>
      </c>
      <c r="B3720" t="inlineStr">
        <is>
          <t>Production</t>
        </is>
      </c>
      <c r="AB3720" t="n">
        <v>1240</v>
      </c>
      <c r="AD3720" s="52">
        <f>IFERROR(N(IFERROR(INDEX($A3720:$AB3720,MATCH("Xero Invoiced Ex GST",$A$1:$AB$1,0)),"")),0)</f>
        <v/>
      </c>
      <c r="AE3720" s="53">
        <f>IFERROR(INDEX($A3720:$AB3720,MATCH("Xero Invoice Date",$A$1:$AB$1,0)),"")</f>
        <v/>
      </c>
      <c r="AF3720" s="54">
        <f>IF(AND(IFERROR(INDEX($A3720:$AB3720,MATCH("Xero Invoice No",$A$1:$AB$1,0)),"")&amp;""&lt;&gt;"",ISNUMBER(AE3720),AD3720&lt;&gt;0),1,0)</f>
        <v/>
      </c>
      <c r="AG3720" s="55">
        <f>IF(AF3720=1,EOMONTH(AE3720,0),"")</f>
        <v/>
      </c>
      <c r="AH3720" s="9">
        <f>IF(AF3720=1,UPPER(TRIM(IFERROR(INDEX($A3720:$AB3720,MATCH("Client",$A$1:$AB$1,0)),"")&amp;"")),"")</f>
        <v/>
      </c>
      <c r="AI3720" s="9">
        <f>IF(AF3720=1,IFERROR(INDEX($A3720:$AB3720,MATCH("Cost Centre",$A$1:$AB$1,0)),"")&amp;"","")</f>
        <v/>
      </c>
      <c r="AJ3720" s="54">
        <f>IF(AND(AF3720=1,AE3720&gt;=set_FYStart,AE3720&lt;=set_AsAt),1,0)</f>
        <v/>
      </c>
      <c r="AK3720" s="54">
        <f>IF(AND(AJ3720=1,AH3720&lt;&gt;"",COUNTIFS($AH$2:AH3720,AH3720,$AJ$2:AJ3720,1)=1),N(AL3719)+1,"")</f>
        <v/>
      </c>
      <c r="AL3720" s="54">
        <f>IF(AK3720&lt;&gt;"",AK3720,N(AL3719))</f>
        <v/>
      </c>
    </row>
    <row r="3721">
      <c r="A3721" t="inlineStr">
        <is>
          <t>CON-1240</t>
        </is>
      </c>
      <c r="B3721" t="inlineStr">
        <is>
          <t>Consulting</t>
        </is>
      </c>
      <c r="AB3721" t="n">
        <v>1240</v>
      </c>
      <c r="AD3721" s="52">
        <f>IFERROR(N(IFERROR(INDEX($A3721:$AB3721,MATCH("Xero Invoiced Ex GST",$A$1:$AB$1,0)),"")),0)</f>
        <v/>
      </c>
      <c r="AE3721" s="53">
        <f>IFERROR(INDEX($A3721:$AB3721,MATCH("Xero Invoice Date",$A$1:$AB$1,0)),"")</f>
        <v/>
      </c>
      <c r="AF3721" s="54">
        <f>IF(AND(IFERROR(INDEX($A3721:$AB3721,MATCH("Xero Invoice No",$A$1:$AB$1,0)),"")&amp;""&lt;&gt;"",ISNUMBER(AE3721),AD3721&lt;&gt;0),1,0)</f>
        <v/>
      </c>
      <c r="AG3721" s="55">
        <f>IF(AF3721=1,EOMONTH(AE3721,0),"")</f>
        <v/>
      </c>
      <c r="AH3721" s="9">
        <f>IF(AF3721=1,UPPER(TRIM(IFERROR(INDEX($A3721:$AB3721,MATCH("Client",$A$1:$AB$1,0)),"")&amp;"")),"")</f>
        <v/>
      </c>
      <c r="AI3721" s="9">
        <f>IF(AF3721=1,IFERROR(INDEX($A3721:$AB3721,MATCH("Cost Centre",$A$1:$AB$1,0)),"")&amp;"","")</f>
        <v/>
      </c>
      <c r="AJ3721" s="54">
        <f>IF(AND(AF3721=1,AE3721&gt;=set_FYStart,AE3721&lt;=set_AsAt),1,0)</f>
        <v/>
      </c>
      <c r="AK3721" s="54">
        <f>IF(AND(AJ3721=1,AH3721&lt;&gt;"",COUNTIFS($AH$2:AH3721,AH3721,$AJ$2:AJ3721,1)=1),N(AL3720)+1,"")</f>
        <v/>
      </c>
      <c r="AL3721" s="54">
        <f>IF(AK3721&lt;&gt;"",AK3721,N(AL3720))</f>
        <v/>
      </c>
    </row>
    <row r="3722">
      <c r="A3722" t="inlineStr">
        <is>
          <t>ONS-1241</t>
        </is>
      </c>
      <c r="B3722" t="inlineStr">
        <is>
          <t>Onsite</t>
        </is>
      </c>
      <c r="AB3722" t="n">
        <v>1241</v>
      </c>
      <c r="AD3722" s="52">
        <f>IFERROR(N(IFERROR(INDEX($A3722:$AB3722,MATCH("Xero Invoiced Ex GST",$A$1:$AB$1,0)),"")),0)</f>
        <v/>
      </c>
      <c r="AE3722" s="53">
        <f>IFERROR(INDEX($A3722:$AB3722,MATCH("Xero Invoice Date",$A$1:$AB$1,0)),"")</f>
        <v/>
      </c>
      <c r="AF3722" s="54">
        <f>IF(AND(IFERROR(INDEX($A3722:$AB3722,MATCH("Xero Invoice No",$A$1:$AB$1,0)),"")&amp;""&lt;&gt;"",ISNUMBER(AE3722),AD3722&lt;&gt;0),1,0)</f>
        <v/>
      </c>
      <c r="AG3722" s="55">
        <f>IF(AF3722=1,EOMONTH(AE3722,0),"")</f>
        <v/>
      </c>
      <c r="AH3722" s="9">
        <f>IF(AF3722=1,UPPER(TRIM(IFERROR(INDEX($A3722:$AB3722,MATCH("Client",$A$1:$AB$1,0)),"")&amp;"")),"")</f>
        <v/>
      </c>
      <c r="AI3722" s="9">
        <f>IF(AF3722=1,IFERROR(INDEX($A3722:$AB3722,MATCH("Cost Centre",$A$1:$AB$1,0)),"")&amp;"","")</f>
        <v/>
      </c>
      <c r="AJ3722" s="54">
        <f>IF(AND(AF3722=1,AE3722&gt;=set_FYStart,AE3722&lt;=set_AsAt),1,0)</f>
        <v/>
      </c>
      <c r="AK3722" s="54">
        <f>IF(AND(AJ3722=1,AH3722&lt;&gt;"",COUNTIFS($AH$2:AH3722,AH3722,$AJ$2:AJ3722,1)=1),N(AL3721)+1,"")</f>
        <v/>
      </c>
      <c r="AL3722" s="54">
        <f>IF(AK3722&lt;&gt;"",AK3722,N(AL3721))</f>
        <v/>
      </c>
    </row>
    <row r="3723">
      <c r="A3723" t="inlineStr">
        <is>
          <t>PRD-1241</t>
        </is>
      </c>
      <c r="B3723" t="inlineStr">
        <is>
          <t>Production</t>
        </is>
      </c>
      <c r="AB3723" t="n">
        <v>1241</v>
      </c>
      <c r="AD3723" s="52">
        <f>IFERROR(N(IFERROR(INDEX($A3723:$AB3723,MATCH("Xero Invoiced Ex GST",$A$1:$AB$1,0)),"")),0)</f>
        <v/>
      </c>
      <c r="AE3723" s="53">
        <f>IFERROR(INDEX($A3723:$AB3723,MATCH("Xero Invoice Date",$A$1:$AB$1,0)),"")</f>
        <v/>
      </c>
      <c r="AF3723" s="54">
        <f>IF(AND(IFERROR(INDEX($A3723:$AB3723,MATCH("Xero Invoice No",$A$1:$AB$1,0)),"")&amp;""&lt;&gt;"",ISNUMBER(AE3723),AD3723&lt;&gt;0),1,0)</f>
        <v/>
      </c>
      <c r="AG3723" s="55">
        <f>IF(AF3723=1,EOMONTH(AE3723,0),"")</f>
        <v/>
      </c>
      <c r="AH3723" s="9">
        <f>IF(AF3723=1,UPPER(TRIM(IFERROR(INDEX($A3723:$AB3723,MATCH("Client",$A$1:$AB$1,0)),"")&amp;"")),"")</f>
        <v/>
      </c>
      <c r="AI3723" s="9">
        <f>IF(AF3723=1,IFERROR(INDEX($A3723:$AB3723,MATCH("Cost Centre",$A$1:$AB$1,0)),"")&amp;"","")</f>
        <v/>
      </c>
      <c r="AJ3723" s="54">
        <f>IF(AND(AF3723=1,AE3723&gt;=set_FYStart,AE3723&lt;=set_AsAt),1,0)</f>
        <v/>
      </c>
      <c r="AK3723" s="54">
        <f>IF(AND(AJ3723=1,AH3723&lt;&gt;"",COUNTIFS($AH$2:AH3723,AH3723,$AJ$2:AJ3723,1)=1),N(AL3722)+1,"")</f>
        <v/>
      </c>
      <c r="AL3723" s="54">
        <f>IF(AK3723&lt;&gt;"",AK3723,N(AL3722))</f>
        <v/>
      </c>
    </row>
    <row r="3724">
      <c r="A3724" t="inlineStr">
        <is>
          <t>CON-1241</t>
        </is>
      </c>
      <c r="B3724" t="inlineStr">
        <is>
          <t>Consulting</t>
        </is>
      </c>
      <c r="AB3724" t="n">
        <v>1241</v>
      </c>
      <c r="AD3724" s="52">
        <f>IFERROR(N(IFERROR(INDEX($A3724:$AB3724,MATCH("Xero Invoiced Ex GST",$A$1:$AB$1,0)),"")),0)</f>
        <v/>
      </c>
      <c r="AE3724" s="53">
        <f>IFERROR(INDEX($A3724:$AB3724,MATCH("Xero Invoice Date",$A$1:$AB$1,0)),"")</f>
        <v/>
      </c>
      <c r="AF3724" s="54">
        <f>IF(AND(IFERROR(INDEX($A3724:$AB3724,MATCH("Xero Invoice No",$A$1:$AB$1,0)),"")&amp;""&lt;&gt;"",ISNUMBER(AE3724),AD3724&lt;&gt;0),1,0)</f>
        <v/>
      </c>
      <c r="AG3724" s="55">
        <f>IF(AF3724=1,EOMONTH(AE3724,0),"")</f>
        <v/>
      </c>
      <c r="AH3724" s="9">
        <f>IF(AF3724=1,UPPER(TRIM(IFERROR(INDEX($A3724:$AB3724,MATCH("Client",$A$1:$AB$1,0)),"")&amp;"")),"")</f>
        <v/>
      </c>
      <c r="AI3724" s="9">
        <f>IF(AF3724=1,IFERROR(INDEX($A3724:$AB3724,MATCH("Cost Centre",$A$1:$AB$1,0)),"")&amp;"","")</f>
        <v/>
      </c>
      <c r="AJ3724" s="54">
        <f>IF(AND(AF3724=1,AE3724&gt;=set_FYStart,AE3724&lt;=set_AsAt),1,0)</f>
        <v/>
      </c>
      <c r="AK3724" s="54">
        <f>IF(AND(AJ3724=1,AH3724&lt;&gt;"",COUNTIFS($AH$2:AH3724,AH3724,$AJ$2:AJ3724,1)=1),N(AL3723)+1,"")</f>
        <v/>
      </c>
      <c r="AL3724" s="54">
        <f>IF(AK3724&lt;&gt;"",AK3724,N(AL3723))</f>
        <v/>
      </c>
    </row>
    <row r="3725">
      <c r="A3725" t="inlineStr">
        <is>
          <t>ONS-1242</t>
        </is>
      </c>
      <c r="B3725" t="inlineStr">
        <is>
          <t>Onsite</t>
        </is>
      </c>
      <c r="AB3725" t="n">
        <v>1242</v>
      </c>
      <c r="AD3725" s="52">
        <f>IFERROR(N(IFERROR(INDEX($A3725:$AB3725,MATCH("Xero Invoiced Ex GST",$A$1:$AB$1,0)),"")),0)</f>
        <v/>
      </c>
      <c r="AE3725" s="53">
        <f>IFERROR(INDEX($A3725:$AB3725,MATCH("Xero Invoice Date",$A$1:$AB$1,0)),"")</f>
        <v/>
      </c>
      <c r="AF3725" s="54">
        <f>IF(AND(IFERROR(INDEX($A3725:$AB3725,MATCH("Xero Invoice No",$A$1:$AB$1,0)),"")&amp;""&lt;&gt;"",ISNUMBER(AE3725),AD3725&lt;&gt;0),1,0)</f>
        <v/>
      </c>
      <c r="AG3725" s="55">
        <f>IF(AF3725=1,EOMONTH(AE3725,0),"")</f>
        <v/>
      </c>
      <c r="AH3725" s="9">
        <f>IF(AF3725=1,UPPER(TRIM(IFERROR(INDEX($A3725:$AB3725,MATCH("Client",$A$1:$AB$1,0)),"")&amp;"")),"")</f>
        <v/>
      </c>
      <c r="AI3725" s="9">
        <f>IF(AF3725=1,IFERROR(INDEX($A3725:$AB3725,MATCH("Cost Centre",$A$1:$AB$1,0)),"")&amp;"","")</f>
        <v/>
      </c>
      <c r="AJ3725" s="54">
        <f>IF(AND(AF3725=1,AE3725&gt;=set_FYStart,AE3725&lt;=set_AsAt),1,0)</f>
        <v/>
      </c>
      <c r="AK3725" s="54">
        <f>IF(AND(AJ3725=1,AH3725&lt;&gt;"",COUNTIFS($AH$2:AH3725,AH3725,$AJ$2:AJ3725,1)=1),N(AL3724)+1,"")</f>
        <v/>
      </c>
      <c r="AL3725" s="54">
        <f>IF(AK3725&lt;&gt;"",AK3725,N(AL3724))</f>
        <v/>
      </c>
    </row>
    <row r="3726">
      <c r="A3726" t="inlineStr">
        <is>
          <t>PRD-1242</t>
        </is>
      </c>
      <c r="B3726" t="inlineStr">
        <is>
          <t>Production</t>
        </is>
      </c>
      <c r="AB3726" t="n">
        <v>1242</v>
      </c>
      <c r="AD3726" s="52">
        <f>IFERROR(N(IFERROR(INDEX($A3726:$AB3726,MATCH("Xero Invoiced Ex GST",$A$1:$AB$1,0)),"")),0)</f>
        <v/>
      </c>
      <c r="AE3726" s="53">
        <f>IFERROR(INDEX($A3726:$AB3726,MATCH("Xero Invoice Date",$A$1:$AB$1,0)),"")</f>
        <v/>
      </c>
      <c r="AF3726" s="54">
        <f>IF(AND(IFERROR(INDEX($A3726:$AB3726,MATCH("Xero Invoice No",$A$1:$AB$1,0)),"")&amp;""&lt;&gt;"",ISNUMBER(AE3726),AD3726&lt;&gt;0),1,0)</f>
        <v/>
      </c>
      <c r="AG3726" s="55">
        <f>IF(AF3726=1,EOMONTH(AE3726,0),"")</f>
        <v/>
      </c>
      <c r="AH3726" s="9">
        <f>IF(AF3726=1,UPPER(TRIM(IFERROR(INDEX($A3726:$AB3726,MATCH("Client",$A$1:$AB$1,0)),"")&amp;"")),"")</f>
        <v/>
      </c>
      <c r="AI3726" s="9">
        <f>IF(AF3726=1,IFERROR(INDEX($A3726:$AB3726,MATCH("Cost Centre",$A$1:$AB$1,0)),"")&amp;"","")</f>
        <v/>
      </c>
      <c r="AJ3726" s="54">
        <f>IF(AND(AF3726=1,AE3726&gt;=set_FYStart,AE3726&lt;=set_AsAt),1,0)</f>
        <v/>
      </c>
      <c r="AK3726" s="54">
        <f>IF(AND(AJ3726=1,AH3726&lt;&gt;"",COUNTIFS($AH$2:AH3726,AH3726,$AJ$2:AJ3726,1)=1),N(AL3725)+1,"")</f>
        <v/>
      </c>
      <c r="AL3726" s="54">
        <f>IF(AK3726&lt;&gt;"",AK3726,N(AL3725))</f>
        <v/>
      </c>
    </row>
    <row r="3727">
      <c r="A3727" t="inlineStr">
        <is>
          <t>CON-1242</t>
        </is>
      </c>
      <c r="B3727" t="inlineStr">
        <is>
          <t>Consulting</t>
        </is>
      </c>
      <c r="AB3727" t="n">
        <v>1242</v>
      </c>
      <c r="AD3727" s="52">
        <f>IFERROR(N(IFERROR(INDEX($A3727:$AB3727,MATCH("Xero Invoiced Ex GST",$A$1:$AB$1,0)),"")),0)</f>
        <v/>
      </c>
      <c r="AE3727" s="53">
        <f>IFERROR(INDEX($A3727:$AB3727,MATCH("Xero Invoice Date",$A$1:$AB$1,0)),"")</f>
        <v/>
      </c>
      <c r="AF3727" s="54">
        <f>IF(AND(IFERROR(INDEX($A3727:$AB3727,MATCH("Xero Invoice No",$A$1:$AB$1,0)),"")&amp;""&lt;&gt;"",ISNUMBER(AE3727),AD3727&lt;&gt;0),1,0)</f>
        <v/>
      </c>
      <c r="AG3727" s="55">
        <f>IF(AF3727=1,EOMONTH(AE3727,0),"")</f>
        <v/>
      </c>
      <c r="AH3727" s="9">
        <f>IF(AF3727=1,UPPER(TRIM(IFERROR(INDEX($A3727:$AB3727,MATCH("Client",$A$1:$AB$1,0)),"")&amp;"")),"")</f>
        <v/>
      </c>
      <c r="AI3727" s="9">
        <f>IF(AF3727=1,IFERROR(INDEX($A3727:$AB3727,MATCH("Cost Centre",$A$1:$AB$1,0)),"")&amp;"","")</f>
        <v/>
      </c>
      <c r="AJ3727" s="54">
        <f>IF(AND(AF3727=1,AE3727&gt;=set_FYStart,AE3727&lt;=set_AsAt),1,0)</f>
        <v/>
      </c>
      <c r="AK3727" s="54">
        <f>IF(AND(AJ3727=1,AH3727&lt;&gt;"",COUNTIFS($AH$2:AH3727,AH3727,$AJ$2:AJ3727,1)=1),N(AL3726)+1,"")</f>
        <v/>
      </c>
      <c r="AL3727" s="54">
        <f>IF(AK3727&lt;&gt;"",AK3727,N(AL3726))</f>
        <v/>
      </c>
    </row>
    <row r="3728">
      <c r="A3728" t="inlineStr">
        <is>
          <t>ONS-1243</t>
        </is>
      </c>
      <c r="B3728" t="inlineStr">
        <is>
          <t>Onsite</t>
        </is>
      </c>
      <c r="AB3728" t="n">
        <v>1243</v>
      </c>
      <c r="AD3728" s="52">
        <f>IFERROR(N(IFERROR(INDEX($A3728:$AB3728,MATCH("Xero Invoiced Ex GST",$A$1:$AB$1,0)),"")),0)</f>
        <v/>
      </c>
      <c r="AE3728" s="53">
        <f>IFERROR(INDEX($A3728:$AB3728,MATCH("Xero Invoice Date",$A$1:$AB$1,0)),"")</f>
        <v/>
      </c>
      <c r="AF3728" s="54">
        <f>IF(AND(IFERROR(INDEX($A3728:$AB3728,MATCH("Xero Invoice No",$A$1:$AB$1,0)),"")&amp;""&lt;&gt;"",ISNUMBER(AE3728),AD3728&lt;&gt;0),1,0)</f>
        <v/>
      </c>
      <c r="AG3728" s="55">
        <f>IF(AF3728=1,EOMONTH(AE3728,0),"")</f>
        <v/>
      </c>
      <c r="AH3728" s="9">
        <f>IF(AF3728=1,UPPER(TRIM(IFERROR(INDEX($A3728:$AB3728,MATCH("Client",$A$1:$AB$1,0)),"")&amp;"")),"")</f>
        <v/>
      </c>
      <c r="AI3728" s="9">
        <f>IF(AF3728=1,IFERROR(INDEX($A3728:$AB3728,MATCH("Cost Centre",$A$1:$AB$1,0)),"")&amp;"","")</f>
        <v/>
      </c>
      <c r="AJ3728" s="54">
        <f>IF(AND(AF3728=1,AE3728&gt;=set_FYStart,AE3728&lt;=set_AsAt),1,0)</f>
        <v/>
      </c>
      <c r="AK3728" s="54">
        <f>IF(AND(AJ3728=1,AH3728&lt;&gt;"",COUNTIFS($AH$2:AH3728,AH3728,$AJ$2:AJ3728,1)=1),N(AL3727)+1,"")</f>
        <v/>
      </c>
      <c r="AL3728" s="54">
        <f>IF(AK3728&lt;&gt;"",AK3728,N(AL3727))</f>
        <v/>
      </c>
    </row>
    <row r="3729">
      <c r="A3729" t="inlineStr">
        <is>
          <t>PRD-1243</t>
        </is>
      </c>
      <c r="B3729" t="inlineStr">
        <is>
          <t>Production</t>
        </is>
      </c>
      <c r="AB3729" t="n">
        <v>1243</v>
      </c>
      <c r="AD3729" s="52">
        <f>IFERROR(N(IFERROR(INDEX($A3729:$AB3729,MATCH("Xero Invoiced Ex GST",$A$1:$AB$1,0)),"")),0)</f>
        <v/>
      </c>
      <c r="AE3729" s="53">
        <f>IFERROR(INDEX($A3729:$AB3729,MATCH("Xero Invoice Date",$A$1:$AB$1,0)),"")</f>
        <v/>
      </c>
      <c r="AF3729" s="54">
        <f>IF(AND(IFERROR(INDEX($A3729:$AB3729,MATCH("Xero Invoice No",$A$1:$AB$1,0)),"")&amp;""&lt;&gt;"",ISNUMBER(AE3729),AD3729&lt;&gt;0),1,0)</f>
        <v/>
      </c>
      <c r="AG3729" s="55">
        <f>IF(AF3729=1,EOMONTH(AE3729,0),"")</f>
        <v/>
      </c>
      <c r="AH3729" s="9">
        <f>IF(AF3729=1,UPPER(TRIM(IFERROR(INDEX($A3729:$AB3729,MATCH("Client",$A$1:$AB$1,0)),"")&amp;"")),"")</f>
        <v/>
      </c>
      <c r="AI3729" s="9">
        <f>IF(AF3729=1,IFERROR(INDEX($A3729:$AB3729,MATCH("Cost Centre",$A$1:$AB$1,0)),"")&amp;"","")</f>
        <v/>
      </c>
      <c r="AJ3729" s="54">
        <f>IF(AND(AF3729=1,AE3729&gt;=set_FYStart,AE3729&lt;=set_AsAt),1,0)</f>
        <v/>
      </c>
      <c r="AK3729" s="54">
        <f>IF(AND(AJ3729=1,AH3729&lt;&gt;"",COUNTIFS($AH$2:AH3729,AH3729,$AJ$2:AJ3729,1)=1),N(AL3728)+1,"")</f>
        <v/>
      </c>
      <c r="AL3729" s="54">
        <f>IF(AK3729&lt;&gt;"",AK3729,N(AL3728))</f>
        <v/>
      </c>
    </row>
    <row r="3730">
      <c r="A3730" t="inlineStr">
        <is>
          <t>CON-1243</t>
        </is>
      </c>
      <c r="B3730" t="inlineStr">
        <is>
          <t>Consulting</t>
        </is>
      </c>
      <c r="AB3730" t="n">
        <v>1243</v>
      </c>
      <c r="AD3730" s="52">
        <f>IFERROR(N(IFERROR(INDEX($A3730:$AB3730,MATCH("Xero Invoiced Ex GST",$A$1:$AB$1,0)),"")),0)</f>
        <v/>
      </c>
      <c r="AE3730" s="53">
        <f>IFERROR(INDEX($A3730:$AB3730,MATCH("Xero Invoice Date",$A$1:$AB$1,0)),"")</f>
        <v/>
      </c>
      <c r="AF3730" s="54">
        <f>IF(AND(IFERROR(INDEX($A3730:$AB3730,MATCH("Xero Invoice No",$A$1:$AB$1,0)),"")&amp;""&lt;&gt;"",ISNUMBER(AE3730),AD3730&lt;&gt;0),1,0)</f>
        <v/>
      </c>
      <c r="AG3730" s="55">
        <f>IF(AF3730=1,EOMONTH(AE3730,0),"")</f>
        <v/>
      </c>
      <c r="AH3730" s="9">
        <f>IF(AF3730=1,UPPER(TRIM(IFERROR(INDEX($A3730:$AB3730,MATCH("Client",$A$1:$AB$1,0)),"")&amp;"")),"")</f>
        <v/>
      </c>
      <c r="AI3730" s="9">
        <f>IF(AF3730=1,IFERROR(INDEX($A3730:$AB3730,MATCH("Cost Centre",$A$1:$AB$1,0)),"")&amp;"","")</f>
        <v/>
      </c>
      <c r="AJ3730" s="54">
        <f>IF(AND(AF3730=1,AE3730&gt;=set_FYStart,AE3730&lt;=set_AsAt),1,0)</f>
        <v/>
      </c>
      <c r="AK3730" s="54">
        <f>IF(AND(AJ3730=1,AH3730&lt;&gt;"",COUNTIFS($AH$2:AH3730,AH3730,$AJ$2:AJ3730,1)=1),N(AL3729)+1,"")</f>
        <v/>
      </c>
      <c r="AL3730" s="54">
        <f>IF(AK3730&lt;&gt;"",AK3730,N(AL3729))</f>
        <v/>
      </c>
    </row>
    <row r="3731">
      <c r="A3731" t="inlineStr">
        <is>
          <t>ONS-1244</t>
        </is>
      </c>
      <c r="B3731" t="inlineStr">
        <is>
          <t>Onsite</t>
        </is>
      </c>
      <c r="AB3731" t="n">
        <v>1244</v>
      </c>
      <c r="AD3731" s="52">
        <f>IFERROR(N(IFERROR(INDEX($A3731:$AB3731,MATCH("Xero Invoiced Ex GST",$A$1:$AB$1,0)),"")),0)</f>
        <v/>
      </c>
      <c r="AE3731" s="53">
        <f>IFERROR(INDEX($A3731:$AB3731,MATCH("Xero Invoice Date",$A$1:$AB$1,0)),"")</f>
        <v/>
      </c>
      <c r="AF3731" s="54">
        <f>IF(AND(IFERROR(INDEX($A3731:$AB3731,MATCH("Xero Invoice No",$A$1:$AB$1,0)),"")&amp;""&lt;&gt;"",ISNUMBER(AE3731),AD3731&lt;&gt;0),1,0)</f>
        <v/>
      </c>
      <c r="AG3731" s="55">
        <f>IF(AF3731=1,EOMONTH(AE3731,0),"")</f>
        <v/>
      </c>
      <c r="AH3731" s="9">
        <f>IF(AF3731=1,UPPER(TRIM(IFERROR(INDEX($A3731:$AB3731,MATCH("Client",$A$1:$AB$1,0)),"")&amp;"")),"")</f>
        <v/>
      </c>
      <c r="AI3731" s="9">
        <f>IF(AF3731=1,IFERROR(INDEX($A3731:$AB3731,MATCH("Cost Centre",$A$1:$AB$1,0)),"")&amp;"","")</f>
        <v/>
      </c>
      <c r="AJ3731" s="54">
        <f>IF(AND(AF3731=1,AE3731&gt;=set_FYStart,AE3731&lt;=set_AsAt),1,0)</f>
        <v/>
      </c>
      <c r="AK3731" s="54">
        <f>IF(AND(AJ3731=1,AH3731&lt;&gt;"",COUNTIFS($AH$2:AH3731,AH3731,$AJ$2:AJ3731,1)=1),N(AL3730)+1,"")</f>
        <v/>
      </c>
      <c r="AL3731" s="54">
        <f>IF(AK3731&lt;&gt;"",AK3731,N(AL3730))</f>
        <v/>
      </c>
    </row>
    <row r="3732">
      <c r="A3732" t="inlineStr">
        <is>
          <t>PRD-1244</t>
        </is>
      </c>
      <c r="B3732" t="inlineStr">
        <is>
          <t>Production</t>
        </is>
      </c>
      <c r="AB3732" t="n">
        <v>1244</v>
      </c>
      <c r="AD3732" s="52">
        <f>IFERROR(N(IFERROR(INDEX($A3732:$AB3732,MATCH("Xero Invoiced Ex GST",$A$1:$AB$1,0)),"")),0)</f>
        <v/>
      </c>
      <c r="AE3732" s="53">
        <f>IFERROR(INDEX($A3732:$AB3732,MATCH("Xero Invoice Date",$A$1:$AB$1,0)),"")</f>
        <v/>
      </c>
      <c r="AF3732" s="54">
        <f>IF(AND(IFERROR(INDEX($A3732:$AB3732,MATCH("Xero Invoice No",$A$1:$AB$1,0)),"")&amp;""&lt;&gt;"",ISNUMBER(AE3732),AD3732&lt;&gt;0),1,0)</f>
        <v/>
      </c>
      <c r="AG3732" s="55">
        <f>IF(AF3732=1,EOMONTH(AE3732,0),"")</f>
        <v/>
      </c>
      <c r="AH3732" s="9">
        <f>IF(AF3732=1,UPPER(TRIM(IFERROR(INDEX($A3732:$AB3732,MATCH("Client",$A$1:$AB$1,0)),"")&amp;"")),"")</f>
        <v/>
      </c>
      <c r="AI3732" s="9">
        <f>IF(AF3732=1,IFERROR(INDEX($A3732:$AB3732,MATCH("Cost Centre",$A$1:$AB$1,0)),"")&amp;"","")</f>
        <v/>
      </c>
      <c r="AJ3732" s="54">
        <f>IF(AND(AF3732=1,AE3732&gt;=set_FYStart,AE3732&lt;=set_AsAt),1,0)</f>
        <v/>
      </c>
      <c r="AK3732" s="54">
        <f>IF(AND(AJ3732=1,AH3732&lt;&gt;"",COUNTIFS($AH$2:AH3732,AH3732,$AJ$2:AJ3732,1)=1),N(AL3731)+1,"")</f>
        <v/>
      </c>
      <c r="AL3732" s="54">
        <f>IF(AK3732&lt;&gt;"",AK3732,N(AL3731))</f>
        <v/>
      </c>
    </row>
    <row r="3733">
      <c r="A3733" t="inlineStr">
        <is>
          <t>CON-1244</t>
        </is>
      </c>
      <c r="B3733" t="inlineStr">
        <is>
          <t>Consulting</t>
        </is>
      </c>
      <c r="AB3733" t="n">
        <v>1244</v>
      </c>
      <c r="AD3733" s="52">
        <f>IFERROR(N(IFERROR(INDEX($A3733:$AB3733,MATCH("Xero Invoiced Ex GST",$A$1:$AB$1,0)),"")),0)</f>
        <v/>
      </c>
      <c r="AE3733" s="53">
        <f>IFERROR(INDEX($A3733:$AB3733,MATCH("Xero Invoice Date",$A$1:$AB$1,0)),"")</f>
        <v/>
      </c>
      <c r="AF3733" s="54">
        <f>IF(AND(IFERROR(INDEX($A3733:$AB3733,MATCH("Xero Invoice No",$A$1:$AB$1,0)),"")&amp;""&lt;&gt;"",ISNUMBER(AE3733),AD3733&lt;&gt;0),1,0)</f>
        <v/>
      </c>
      <c r="AG3733" s="55">
        <f>IF(AF3733=1,EOMONTH(AE3733,0),"")</f>
        <v/>
      </c>
      <c r="AH3733" s="9">
        <f>IF(AF3733=1,UPPER(TRIM(IFERROR(INDEX($A3733:$AB3733,MATCH("Client",$A$1:$AB$1,0)),"")&amp;"")),"")</f>
        <v/>
      </c>
      <c r="AI3733" s="9">
        <f>IF(AF3733=1,IFERROR(INDEX($A3733:$AB3733,MATCH("Cost Centre",$A$1:$AB$1,0)),"")&amp;"","")</f>
        <v/>
      </c>
      <c r="AJ3733" s="54">
        <f>IF(AND(AF3733=1,AE3733&gt;=set_FYStart,AE3733&lt;=set_AsAt),1,0)</f>
        <v/>
      </c>
      <c r="AK3733" s="54">
        <f>IF(AND(AJ3733=1,AH3733&lt;&gt;"",COUNTIFS($AH$2:AH3733,AH3733,$AJ$2:AJ3733,1)=1),N(AL3732)+1,"")</f>
        <v/>
      </c>
      <c r="AL3733" s="54">
        <f>IF(AK3733&lt;&gt;"",AK3733,N(AL3732))</f>
        <v/>
      </c>
    </row>
    <row r="3734">
      <c r="A3734" t="inlineStr">
        <is>
          <t>ONS-1245</t>
        </is>
      </c>
      <c r="B3734" t="inlineStr">
        <is>
          <t>Onsite</t>
        </is>
      </c>
      <c r="AB3734" t="n">
        <v>1245</v>
      </c>
      <c r="AD3734" s="52">
        <f>IFERROR(N(IFERROR(INDEX($A3734:$AB3734,MATCH("Xero Invoiced Ex GST",$A$1:$AB$1,0)),"")),0)</f>
        <v/>
      </c>
      <c r="AE3734" s="53">
        <f>IFERROR(INDEX($A3734:$AB3734,MATCH("Xero Invoice Date",$A$1:$AB$1,0)),"")</f>
        <v/>
      </c>
      <c r="AF3734" s="54">
        <f>IF(AND(IFERROR(INDEX($A3734:$AB3734,MATCH("Xero Invoice No",$A$1:$AB$1,0)),"")&amp;""&lt;&gt;"",ISNUMBER(AE3734),AD3734&lt;&gt;0),1,0)</f>
        <v/>
      </c>
      <c r="AG3734" s="55">
        <f>IF(AF3734=1,EOMONTH(AE3734,0),"")</f>
        <v/>
      </c>
      <c r="AH3734" s="9">
        <f>IF(AF3734=1,UPPER(TRIM(IFERROR(INDEX($A3734:$AB3734,MATCH("Client",$A$1:$AB$1,0)),"")&amp;"")),"")</f>
        <v/>
      </c>
      <c r="AI3734" s="9">
        <f>IF(AF3734=1,IFERROR(INDEX($A3734:$AB3734,MATCH("Cost Centre",$A$1:$AB$1,0)),"")&amp;"","")</f>
        <v/>
      </c>
      <c r="AJ3734" s="54">
        <f>IF(AND(AF3734=1,AE3734&gt;=set_FYStart,AE3734&lt;=set_AsAt),1,0)</f>
        <v/>
      </c>
      <c r="AK3734" s="54">
        <f>IF(AND(AJ3734=1,AH3734&lt;&gt;"",COUNTIFS($AH$2:AH3734,AH3734,$AJ$2:AJ3734,1)=1),N(AL3733)+1,"")</f>
        <v/>
      </c>
      <c r="AL3734" s="54">
        <f>IF(AK3734&lt;&gt;"",AK3734,N(AL3733))</f>
        <v/>
      </c>
    </row>
    <row r="3735">
      <c r="A3735" t="inlineStr">
        <is>
          <t>PRD-1245</t>
        </is>
      </c>
      <c r="B3735" t="inlineStr">
        <is>
          <t>Production</t>
        </is>
      </c>
      <c r="AB3735" t="n">
        <v>1245</v>
      </c>
      <c r="AD3735" s="52">
        <f>IFERROR(N(IFERROR(INDEX($A3735:$AB3735,MATCH("Xero Invoiced Ex GST",$A$1:$AB$1,0)),"")),0)</f>
        <v/>
      </c>
      <c r="AE3735" s="53">
        <f>IFERROR(INDEX($A3735:$AB3735,MATCH("Xero Invoice Date",$A$1:$AB$1,0)),"")</f>
        <v/>
      </c>
      <c r="AF3735" s="54">
        <f>IF(AND(IFERROR(INDEX($A3735:$AB3735,MATCH("Xero Invoice No",$A$1:$AB$1,0)),"")&amp;""&lt;&gt;"",ISNUMBER(AE3735),AD3735&lt;&gt;0),1,0)</f>
        <v/>
      </c>
      <c r="AG3735" s="55">
        <f>IF(AF3735=1,EOMONTH(AE3735,0),"")</f>
        <v/>
      </c>
      <c r="AH3735" s="9">
        <f>IF(AF3735=1,UPPER(TRIM(IFERROR(INDEX($A3735:$AB3735,MATCH("Client",$A$1:$AB$1,0)),"")&amp;"")),"")</f>
        <v/>
      </c>
      <c r="AI3735" s="9">
        <f>IF(AF3735=1,IFERROR(INDEX($A3735:$AB3735,MATCH("Cost Centre",$A$1:$AB$1,0)),"")&amp;"","")</f>
        <v/>
      </c>
      <c r="AJ3735" s="54">
        <f>IF(AND(AF3735=1,AE3735&gt;=set_FYStart,AE3735&lt;=set_AsAt),1,0)</f>
        <v/>
      </c>
      <c r="AK3735" s="54">
        <f>IF(AND(AJ3735=1,AH3735&lt;&gt;"",COUNTIFS($AH$2:AH3735,AH3735,$AJ$2:AJ3735,1)=1),N(AL3734)+1,"")</f>
        <v/>
      </c>
      <c r="AL3735" s="54">
        <f>IF(AK3735&lt;&gt;"",AK3735,N(AL3734))</f>
        <v/>
      </c>
    </row>
    <row r="3736">
      <c r="A3736" t="inlineStr">
        <is>
          <t>CON-1245</t>
        </is>
      </c>
      <c r="B3736" t="inlineStr">
        <is>
          <t>Consulting</t>
        </is>
      </c>
      <c r="AB3736" t="n">
        <v>1245</v>
      </c>
      <c r="AD3736" s="52">
        <f>IFERROR(N(IFERROR(INDEX($A3736:$AB3736,MATCH("Xero Invoiced Ex GST",$A$1:$AB$1,0)),"")),0)</f>
        <v/>
      </c>
      <c r="AE3736" s="53">
        <f>IFERROR(INDEX($A3736:$AB3736,MATCH("Xero Invoice Date",$A$1:$AB$1,0)),"")</f>
        <v/>
      </c>
      <c r="AF3736" s="54">
        <f>IF(AND(IFERROR(INDEX($A3736:$AB3736,MATCH("Xero Invoice No",$A$1:$AB$1,0)),"")&amp;""&lt;&gt;"",ISNUMBER(AE3736),AD3736&lt;&gt;0),1,0)</f>
        <v/>
      </c>
      <c r="AG3736" s="55">
        <f>IF(AF3736=1,EOMONTH(AE3736,0),"")</f>
        <v/>
      </c>
      <c r="AH3736" s="9">
        <f>IF(AF3736=1,UPPER(TRIM(IFERROR(INDEX($A3736:$AB3736,MATCH("Client",$A$1:$AB$1,0)),"")&amp;"")),"")</f>
        <v/>
      </c>
      <c r="AI3736" s="9">
        <f>IF(AF3736=1,IFERROR(INDEX($A3736:$AB3736,MATCH("Cost Centre",$A$1:$AB$1,0)),"")&amp;"","")</f>
        <v/>
      </c>
      <c r="AJ3736" s="54">
        <f>IF(AND(AF3736=1,AE3736&gt;=set_FYStart,AE3736&lt;=set_AsAt),1,0)</f>
        <v/>
      </c>
      <c r="AK3736" s="54">
        <f>IF(AND(AJ3736=1,AH3736&lt;&gt;"",COUNTIFS($AH$2:AH3736,AH3736,$AJ$2:AJ3736,1)=1),N(AL3735)+1,"")</f>
        <v/>
      </c>
      <c r="AL3736" s="54">
        <f>IF(AK3736&lt;&gt;"",AK3736,N(AL3735))</f>
        <v/>
      </c>
    </row>
    <row r="3737">
      <c r="A3737" t="inlineStr">
        <is>
          <t>ONS-1246</t>
        </is>
      </c>
      <c r="B3737" t="inlineStr">
        <is>
          <t>Onsite</t>
        </is>
      </c>
      <c r="AB3737" t="n">
        <v>1246</v>
      </c>
      <c r="AD3737" s="52">
        <f>IFERROR(N(IFERROR(INDEX($A3737:$AB3737,MATCH("Xero Invoiced Ex GST",$A$1:$AB$1,0)),"")),0)</f>
        <v/>
      </c>
      <c r="AE3737" s="53">
        <f>IFERROR(INDEX($A3737:$AB3737,MATCH("Xero Invoice Date",$A$1:$AB$1,0)),"")</f>
        <v/>
      </c>
      <c r="AF3737" s="54">
        <f>IF(AND(IFERROR(INDEX($A3737:$AB3737,MATCH("Xero Invoice No",$A$1:$AB$1,0)),"")&amp;""&lt;&gt;"",ISNUMBER(AE3737),AD3737&lt;&gt;0),1,0)</f>
        <v/>
      </c>
      <c r="AG3737" s="55">
        <f>IF(AF3737=1,EOMONTH(AE3737,0),"")</f>
        <v/>
      </c>
      <c r="AH3737" s="9">
        <f>IF(AF3737=1,UPPER(TRIM(IFERROR(INDEX($A3737:$AB3737,MATCH("Client",$A$1:$AB$1,0)),"")&amp;"")),"")</f>
        <v/>
      </c>
      <c r="AI3737" s="9">
        <f>IF(AF3737=1,IFERROR(INDEX($A3737:$AB3737,MATCH("Cost Centre",$A$1:$AB$1,0)),"")&amp;"","")</f>
        <v/>
      </c>
      <c r="AJ3737" s="54">
        <f>IF(AND(AF3737=1,AE3737&gt;=set_FYStart,AE3737&lt;=set_AsAt),1,0)</f>
        <v/>
      </c>
      <c r="AK3737" s="54">
        <f>IF(AND(AJ3737=1,AH3737&lt;&gt;"",COUNTIFS($AH$2:AH3737,AH3737,$AJ$2:AJ3737,1)=1),N(AL3736)+1,"")</f>
        <v/>
      </c>
      <c r="AL3737" s="54">
        <f>IF(AK3737&lt;&gt;"",AK3737,N(AL3736))</f>
        <v/>
      </c>
    </row>
    <row r="3738">
      <c r="A3738" t="inlineStr">
        <is>
          <t>PRD-1246</t>
        </is>
      </c>
      <c r="B3738" t="inlineStr">
        <is>
          <t>Production</t>
        </is>
      </c>
      <c r="AB3738" t="n">
        <v>1246</v>
      </c>
      <c r="AD3738" s="52">
        <f>IFERROR(N(IFERROR(INDEX($A3738:$AB3738,MATCH("Xero Invoiced Ex GST",$A$1:$AB$1,0)),"")),0)</f>
        <v/>
      </c>
      <c r="AE3738" s="53">
        <f>IFERROR(INDEX($A3738:$AB3738,MATCH("Xero Invoice Date",$A$1:$AB$1,0)),"")</f>
        <v/>
      </c>
      <c r="AF3738" s="54">
        <f>IF(AND(IFERROR(INDEX($A3738:$AB3738,MATCH("Xero Invoice No",$A$1:$AB$1,0)),"")&amp;""&lt;&gt;"",ISNUMBER(AE3738),AD3738&lt;&gt;0),1,0)</f>
        <v/>
      </c>
      <c r="AG3738" s="55">
        <f>IF(AF3738=1,EOMONTH(AE3738,0),"")</f>
        <v/>
      </c>
      <c r="AH3738" s="9">
        <f>IF(AF3738=1,UPPER(TRIM(IFERROR(INDEX($A3738:$AB3738,MATCH("Client",$A$1:$AB$1,0)),"")&amp;"")),"")</f>
        <v/>
      </c>
      <c r="AI3738" s="9">
        <f>IF(AF3738=1,IFERROR(INDEX($A3738:$AB3738,MATCH("Cost Centre",$A$1:$AB$1,0)),"")&amp;"","")</f>
        <v/>
      </c>
      <c r="AJ3738" s="54">
        <f>IF(AND(AF3738=1,AE3738&gt;=set_FYStart,AE3738&lt;=set_AsAt),1,0)</f>
        <v/>
      </c>
      <c r="AK3738" s="54">
        <f>IF(AND(AJ3738=1,AH3738&lt;&gt;"",COUNTIFS($AH$2:AH3738,AH3738,$AJ$2:AJ3738,1)=1),N(AL3737)+1,"")</f>
        <v/>
      </c>
      <c r="AL3738" s="54">
        <f>IF(AK3738&lt;&gt;"",AK3738,N(AL3737))</f>
        <v/>
      </c>
    </row>
    <row r="3739">
      <c r="A3739" t="inlineStr">
        <is>
          <t>CON-1246</t>
        </is>
      </c>
      <c r="B3739" t="inlineStr">
        <is>
          <t>Consulting</t>
        </is>
      </c>
      <c r="AB3739" t="n">
        <v>1246</v>
      </c>
      <c r="AD3739" s="52">
        <f>IFERROR(N(IFERROR(INDEX($A3739:$AB3739,MATCH("Xero Invoiced Ex GST",$A$1:$AB$1,0)),"")),0)</f>
        <v/>
      </c>
      <c r="AE3739" s="53">
        <f>IFERROR(INDEX($A3739:$AB3739,MATCH("Xero Invoice Date",$A$1:$AB$1,0)),"")</f>
        <v/>
      </c>
      <c r="AF3739" s="54">
        <f>IF(AND(IFERROR(INDEX($A3739:$AB3739,MATCH("Xero Invoice No",$A$1:$AB$1,0)),"")&amp;""&lt;&gt;"",ISNUMBER(AE3739),AD3739&lt;&gt;0),1,0)</f>
        <v/>
      </c>
      <c r="AG3739" s="55">
        <f>IF(AF3739=1,EOMONTH(AE3739,0),"")</f>
        <v/>
      </c>
      <c r="AH3739" s="9">
        <f>IF(AF3739=1,UPPER(TRIM(IFERROR(INDEX($A3739:$AB3739,MATCH("Client",$A$1:$AB$1,0)),"")&amp;"")),"")</f>
        <v/>
      </c>
      <c r="AI3739" s="9">
        <f>IF(AF3739=1,IFERROR(INDEX($A3739:$AB3739,MATCH("Cost Centre",$A$1:$AB$1,0)),"")&amp;"","")</f>
        <v/>
      </c>
      <c r="AJ3739" s="54">
        <f>IF(AND(AF3739=1,AE3739&gt;=set_FYStart,AE3739&lt;=set_AsAt),1,0)</f>
        <v/>
      </c>
      <c r="AK3739" s="54">
        <f>IF(AND(AJ3739=1,AH3739&lt;&gt;"",COUNTIFS($AH$2:AH3739,AH3739,$AJ$2:AJ3739,1)=1),N(AL3738)+1,"")</f>
        <v/>
      </c>
      <c r="AL3739" s="54">
        <f>IF(AK3739&lt;&gt;"",AK3739,N(AL3738))</f>
        <v/>
      </c>
    </row>
    <row r="3740">
      <c r="A3740" t="inlineStr">
        <is>
          <t>ONS-1247</t>
        </is>
      </c>
      <c r="B3740" t="inlineStr">
        <is>
          <t>Onsite</t>
        </is>
      </c>
      <c r="AB3740" t="n">
        <v>1247</v>
      </c>
      <c r="AD3740" s="52">
        <f>IFERROR(N(IFERROR(INDEX($A3740:$AB3740,MATCH("Xero Invoiced Ex GST",$A$1:$AB$1,0)),"")),0)</f>
        <v/>
      </c>
      <c r="AE3740" s="53">
        <f>IFERROR(INDEX($A3740:$AB3740,MATCH("Xero Invoice Date",$A$1:$AB$1,0)),"")</f>
        <v/>
      </c>
      <c r="AF3740" s="54">
        <f>IF(AND(IFERROR(INDEX($A3740:$AB3740,MATCH("Xero Invoice No",$A$1:$AB$1,0)),"")&amp;""&lt;&gt;"",ISNUMBER(AE3740),AD3740&lt;&gt;0),1,0)</f>
        <v/>
      </c>
      <c r="AG3740" s="55">
        <f>IF(AF3740=1,EOMONTH(AE3740,0),"")</f>
        <v/>
      </c>
      <c r="AH3740" s="9">
        <f>IF(AF3740=1,UPPER(TRIM(IFERROR(INDEX($A3740:$AB3740,MATCH("Client",$A$1:$AB$1,0)),"")&amp;"")),"")</f>
        <v/>
      </c>
      <c r="AI3740" s="9">
        <f>IF(AF3740=1,IFERROR(INDEX($A3740:$AB3740,MATCH("Cost Centre",$A$1:$AB$1,0)),"")&amp;"","")</f>
        <v/>
      </c>
      <c r="AJ3740" s="54">
        <f>IF(AND(AF3740=1,AE3740&gt;=set_FYStart,AE3740&lt;=set_AsAt),1,0)</f>
        <v/>
      </c>
      <c r="AK3740" s="54">
        <f>IF(AND(AJ3740=1,AH3740&lt;&gt;"",COUNTIFS($AH$2:AH3740,AH3740,$AJ$2:AJ3740,1)=1),N(AL3739)+1,"")</f>
        <v/>
      </c>
      <c r="AL3740" s="54">
        <f>IF(AK3740&lt;&gt;"",AK3740,N(AL3739))</f>
        <v/>
      </c>
    </row>
    <row r="3741">
      <c r="A3741" t="inlineStr">
        <is>
          <t>PRD-1247</t>
        </is>
      </c>
      <c r="B3741" t="inlineStr">
        <is>
          <t>Production</t>
        </is>
      </c>
      <c r="AB3741" t="n">
        <v>1247</v>
      </c>
      <c r="AD3741" s="52">
        <f>IFERROR(N(IFERROR(INDEX($A3741:$AB3741,MATCH("Xero Invoiced Ex GST",$A$1:$AB$1,0)),"")),0)</f>
        <v/>
      </c>
      <c r="AE3741" s="53">
        <f>IFERROR(INDEX($A3741:$AB3741,MATCH("Xero Invoice Date",$A$1:$AB$1,0)),"")</f>
        <v/>
      </c>
      <c r="AF3741" s="54">
        <f>IF(AND(IFERROR(INDEX($A3741:$AB3741,MATCH("Xero Invoice No",$A$1:$AB$1,0)),"")&amp;""&lt;&gt;"",ISNUMBER(AE3741),AD3741&lt;&gt;0),1,0)</f>
        <v/>
      </c>
      <c r="AG3741" s="55">
        <f>IF(AF3741=1,EOMONTH(AE3741,0),"")</f>
        <v/>
      </c>
      <c r="AH3741" s="9">
        <f>IF(AF3741=1,UPPER(TRIM(IFERROR(INDEX($A3741:$AB3741,MATCH("Client",$A$1:$AB$1,0)),"")&amp;"")),"")</f>
        <v/>
      </c>
      <c r="AI3741" s="9">
        <f>IF(AF3741=1,IFERROR(INDEX($A3741:$AB3741,MATCH("Cost Centre",$A$1:$AB$1,0)),"")&amp;"","")</f>
        <v/>
      </c>
      <c r="AJ3741" s="54">
        <f>IF(AND(AF3741=1,AE3741&gt;=set_FYStart,AE3741&lt;=set_AsAt),1,0)</f>
        <v/>
      </c>
      <c r="AK3741" s="54">
        <f>IF(AND(AJ3741=1,AH3741&lt;&gt;"",COUNTIFS($AH$2:AH3741,AH3741,$AJ$2:AJ3741,1)=1),N(AL3740)+1,"")</f>
        <v/>
      </c>
      <c r="AL3741" s="54">
        <f>IF(AK3741&lt;&gt;"",AK3741,N(AL3740))</f>
        <v/>
      </c>
    </row>
    <row r="3742">
      <c r="A3742" t="inlineStr">
        <is>
          <t>CON-1247</t>
        </is>
      </c>
      <c r="B3742" t="inlineStr">
        <is>
          <t>Consulting</t>
        </is>
      </c>
      <c r="AB3742" t="n">
        <v>1247</v>
      </c>
      <c r="AD3742" s="52">
        <f>IFERROR(N(IFERROR(INDEX($A3742:$AB3742,MATCH("Xero Invoiced Ex GST",$A$1:$AB$1,0)),"")),0)</f>
        <v/>
      </c>
      <c r="AE3742" s="53">
        <f>IFERROR(INDEX($A3742:$AB3742,MATCH("Xero Invoice Date",$A$1:$AB$1,0)),"")</f>
        <v/>
      </c>
      <c r="AF3742" s="54">
        <f>IF(AND(IFERROR(INDEX($A3742:$AB3742,MATCH("Xero Invoice No",$A$1:$AB$1,0)),"")&amp;""&lt;&gt;"",ISNUMBER(AE3742),AD3742&lt;&gt;0),1,0)</f>
        <v/>
      </c>
      <c r="AG3742" s="55">
        <f>IF(AF3742=1,EOMONTH(AE3742,0),"")</f>
        <v/>
      </c>
      <c r="AH3742" s="9">
        <f>IF(AF3742=1,UPPER(TRIM(IFERROR(INDEX($A3742:$AB3742,MATCH("Client",$A$1:$AB$1,0)),"")&amp;"")),"")</f>
        <v/>
      </c>
      <c r="AI3742" s="9">
        <f>IF(AF3742=1,IFERROR(INDEX($A3742:$AB3742,MATCH("Cost Centre",$A$1:$AB$1,0)),"")&amp;"","")</f>
        <v/>
      </c>
      <c r="AJ3742" s="54">
        <f>IF(AND(AF3742=1,AE3742&gt;=set_FYStart,AE3742&lt;=set_AsAt),1,0)</f>
        <v/>
      </c>
      <c r="AK3742" s="54">
        <f>IF(AND(AJ3742=1,AH3742&lt;&gt;"",COUNTIFS($AH$2:AH3742,AH3742,$AJ$2:AJ3742,1)=1),N(AL3741)+1,"")</f>
        <v/>
      </c>
      <c r="AL3742" s="54">
        <f>IF(AK3742&lt;&gt;"",AK3742,N(AL3741))</f>
        <v/>
      </c>
    </row>
    <row r="3743">
      <c r="A3743" t="inlineStr">
        <is>
          <t>ONS-1248</t>
        </is>
      </c>
      <c r="B3743" t="inlineStr">
        <is>
          <t>Onsite</t>
        </is>
      </c>
      <c r="AB3743" t="n">
        <v>1248</v>
      </c>
      <c r="AD3743" s="52">
        <f>IFERROR(N(IFERROR(INDEX($A3743:$AB3743,MATCH("Xero Invoiced Ex GST",$A$1:$AB$1,0)),"")),0)</f>
        <v/>
      </c>
      <c r="AE3743" s="53">
        <f>IFERROR(INDEX($A3743:$AB3743,MATCH("Xero Invoice Date",$A$1:$AB$1,0)),"")</f>
        <v/>
      </c>
      <c r="AF3743" s="54">
        <f>IF(AND(IFERROR(INDEX($A3743:$AB3743,MATCH("Xero Invoice No",$A$1:$AB$1,0)),"")&amp;""&lt;&gt;"",ISNUMBER(AE3743),AD3743&lt;&gt;0),1,0)</f>
        <v/>
      </c>
      <c r="AG3743" s="55">
        <f>IF(AF3743=1,EOMONTH(AE3743,0),"")</f>
        <v/>
      </c>
      <c r="AH3743" s="9">
        <f>IF(AF3743=1,UPPER(TRIM(IFERROR(INDEX($A3743:$AB3743,MATCH("Client",$A$1:$AB$1,0)),"")&amp;"")),"")</f>
        <v/>
      </c>
      <c r="AI3743" s="9">
        <f>IF(AF3743=1,IFERROR(INDEX($A3743:$AB3743,MATCH("Cost Centre",$A$1:$AB$1,0)),"")&amp;"","")</f>
        <v/>
      </c>
      <c r="AJ3743" s="54">
        <f>IF(AND(AF3743=1,AE3743&gt;=set_FYStart,AE3743&lt;=set_AsAt),1,0)</f>
        <v/>
      </c>
      <c r="AK3743" s="54">
        <f>IF(AND(AJ3743=1,AH3743&lt;&gt;"",COUNTIFS($AH$2:AH3743,AH3743,$AJ$2:AJ3743,1)=1),N(AL3742)+1,"")</f>
        <v/>
      </c>
      <c r="AL3743" s="54">
        <f>IF(AK3743&lt;&gt;"",AK3743,N(AL3742))</f>
        <v/>
      </c>
    </row>
    <row r="3744">
      <c r="A3744" t="inlineStr">
        <is>
          <t>PRD-1248</t>
        </is>
      </c>
      <c r="B3744" t="inlineStr">
        <is>
          <t>Production</t>
        </is>
      </c>
      <c r="AB3744" t="n">
        <v>1248</v>
      </c>
      <c r="AD3744" s="52">
        <f>IFERROR(N(IFERROR(INDEX($A3744:$AB3744,MATCH("Xero Invoiced Ex GST",$A$1:$AB$1,0)),"")),0)</f>
        <v/>
      </c>
      <c r="AE3744" s="53">
        <f>IFERROR(INDEX($A3744:$AB3744,MATCH("Xero Invoice Date",$A$1:$AB$1,0)),"")</f>
        <v/>
      </c>
      <c r="AF3744" s="54">
        <f>IF(AND(IFERROR(INDEX($A3744:$AB3744,MATCH("Xero Invoice No",$A$1:$AB$1,0)),"")&amp;""&lt;&gt;"",ISNUMBER(AE3744),AD3744&lt;&gt;0),1,0)</f>
        <v/>
      </c>
      <c r="AG3744" s="55">
        <f>IF(AF3744=1,EOMONTH(AE3744,0),"")</f>
        <v/>
      </c>
      <c r="AH3744" s="9">
        <f>IF(AF3744=1,UPPER(TRIM(IFERROR(INDEX($A3744:$AB3744,MATCH("Client",$A$1:$AB$1,0)),"")&amp;"")),"")</f>
        <v/>
      </c>
      <c r="AI3744" s="9">
        <f>IF(AF3744=1,IFERROR(INDEX($A3744:$AB3744,MATCH("Cost Centre",$A$1:$AB$1,0)),"")&amp;"","")</f>
        <v/>
      </c>
      <c r="AJ3744" s="54">
        <f>IF(AND(AF3744=1,AE3744&gt;=set_FYStart,AE3744&lt;=set_AsAt),1,0)</f>
        <v/>
      </c>
      <c r="AK3744" s="54">
        <f>IF(AND(AJ3744=1,AH3744&lt;&gt;"",COUNTIFS($AH$2:AH3744,AH3744,$AJ$2:AJ3744,1)=1),N(AL3743)+1,"")</f>
        <v/>
      </c>
      <c r="AL3744" s="54">
        <f>IF(AK3744&lt;&gt;"",AK3744,N(AL3743))</f>
        <v/>
      </c>
    </row>
    <row r="3745">
      <c r="A3745" t="inlineStr">
        <is>
          <t>CON-1248</t>
        </is>
      </c>
      <c r="B3745" t="inlineStr">
        <is>
          <t>Consulting</t>
        </is>
      </c>
      <c r="AB3745" t="n">
        <v>1248</v>
      </c>
      <c r="AD3745" s="52">
        <f>IFERROR(N(IFERROR(INDEX($A3745:$AB3745,MATCH("Xero Invoiced Ex GST",$A$1:$AB$1,0)),"")),0)</f>
        <v/>
      </c>
      <c r="AE3745" s="53">
        <f>IFERROR(INDEX($A3745:$AB3745,MATCH("Xero Invoice Date",$A$1:$AB$1,0)),"")</f>
        <v/>
      </c>
      <c r="AF3745" s="54">
        <f>IF(AND(IFERROR(INDEX($A3745:$AB3745,MATCH("Xero Invoice No",$A$1:$AB$1,0)),"")&amp;""&lt;&gt;"",ISNUMBER(AE3745),AD3745&lt;&gt;0),1,0)</f>
        <v/>
      </c>
      <c r="AG3745" s="55">
        <f>IF(AF3745=1,EOMONTH(AE3745,0),"")</f>
        <v/>
      </c>
      <c r="AH3745" s="9">
        <f>IF(AF3745=1,UPPER(TRIM(IFERROR(INDEX($A3745:$AB3745,MATCH("Client",$A$1:$AB$1,0)),"")&amp;"")),"")</f>
        <v/>
      </c>
      <c r="AI3745" s="9">
        <f>IF(AF3745=1,IFERROR(INDEX($A3745:$AB3745,MATCH("Cost Centre",$A$1:$AB$1,0)),"")&amp;"","")</f>
        <v/>
      </c>
      <c r="AJ3745" s="54">
        <f>IF(AND(AF3745=1,AE3745&gt;=set_FYStart,AE3745&lt;=set_AsAt),1,0)</f>
        <v/>
      </c>
      <c r="AK3745" s="54">
        <f>IF(AND(AJ3745=1,AH3745&lt;&gt;"",COUNTIFS($AH$2:AH3745,AH3745,$AJ$2:AJ3745,1)=1),N(AL3744)+1,"")</f>
        <v/>
      </c>
      <c r="AL3745" s="54">
        <f>IF(AK3745&lt;&gt;"",AK3745,N(AL3744))</f>
        <v/>
      </c>
    </row>
    <row r="3746">
      <c r="A3746" t="inlineStr">
        <is>
          <t>ONS-1249</t>
        </is>
      </c>
      <c r="B3746" t="inlineStr">
        <is>
          <t>Onsite</t>
        </is>
      </c>
      <c r="AB3746" t="n">
        <v>1249</v>
      </c>
      <c r="AD3746" s="52">
        <f>IFERROR(N(IFERROR(INDEX($A3746:$AB3746,MATCH("Xero Invoiced Ex GST",$A$1:$AB$1,0)),"")),0)</f>
        <v/>
      </c>
      <c r="AE3746" s="53">
        <f>IFERROR(INDEX($A3746:$AB3746,MATCH("Xero Invoice Date",$A$1:$AB$1,0)),"")</f>
        <v/>
      </c>
      <c r="AF3746" s="54">
        <f>IF(AND(IFERROR(INDEX($A3746:$AB3746,MATCH("Xero Invoice No",$A$1:$AB$1,0)),"")&amp;""&lt;&gt;"",ISNUMBER(AE3746),AD3746&lt;&gt;0),1,0)</f>
        <v/>
      </c>
      <c r="AG3746" s="55">
        <f>IF(AF3746=1,EOMONTH(AE3746,0),"")</f>
        <v/>
      </c>
      <c r="AH3746" s="9">
        <f>IF(AF3746=1,UPPER(TRIM(IFERROR(INDEX($A3746:$AB3746,MATCH("Client",$A$1:$AB$1,0)),"")&amp;"")),"")</f>
        <v/>
      </c>
      <c r="AI3746" s="9">
        <f>IF(AF3746=1,IFERROR(INDEX($A3746:$AB3746,MATCH("Cost Centre",$A$1:$AB$1,0)),"")&amp;"","")</f>
        <v/>
      </c>
      <c r="AJ3746" s="54">
        <f>IF(AND(AF3746=1,AE3746&gt;=set_FYStart,AE3746&lt;=set_AsAt),1,0)</f>
        <v/>
      </c>
      <c r="AK3746" s="54">
        <f>IF(AND(AJ3746=1,AH3746&lt;&gt;"",COUNTIFS($AH$2:AH3746,AH3746,$AJ$2:AJ3746,1)=1),N(AL3745)+1,"")</f>
        <v/>
      </c>
      <c r="AL3746" s="54">
        <f>IF(AK3746&lt;&gt;"",AK3746,N(AL3745))</f>
        <v/>
      </c>
    </row>
    <row r="3747">
      <c r="A3747" t="inlineStr">
        <is>
          <t>PRD-1249</t>
        </is>
      </c>
      <c r="B3747" t="inlineStr">
        <is>
          <t>Production</t>
        </is>
      </c>
      <c r="AB3747" t="n">
        <v>1249</v>
      </c>
      <c r="AD3747" s="52">
        <f>IFERROR(N(IFERROR(INDEX($A3747:$AB3747,MATCH("Xero Invoiced Ex GST",$A$1:$AB$1,0)),"")),0)</f>
        <v/>
      </c>
      <c r="AE3747" s="53">
        <f>IFERROR(INDEX($A3747:$AB3747,MATCH("Xero Invoice Date",$A$1:$AB$1,0)),"")</f>
        <v/>
      </c>
      <c r="AF3747" s="54">
        <f>IF(AND(IFERROR(INDEX($A3747:$AB3747,MATCH("Xero Invoice No",$A$1:$AB$1,0)),"")&amp;""&lt;&gt;"",ISNUMBER(AE3747),AD3747&lt;&gt;0),1,0)</f>
        <v/>
      </c>
      <c r="AG3747" s="55">
        <f>IF(AF3747=1,EOMONTH(AE3747,0),"")</f>
        <v/>
      </c>
      <c r="AH3747" s="9">
        <f>IF(AF3747=1,UPPER(TRIM(IFERROR(INDEX($A3747:$AB3747,MATCH("Client",$A$1:$AB$1,0)),"")&amp;"")),"")</f>
        <v/>
      </c>
      <c r="AI3747" s="9">
        <f>IF(AF3747=1,IFERROR(INDEX($A3747:$AB3747,MATCH("Cost Centre",$A$1:$AB$1,0)),"")&amp;"","")</f>
        <v/>
      </c>
      <c r="AJ3747" s="54">
        <f>IF(AND(AF3747=1,AE3747&gt;=set_FYStart,AE3747&lt;=set_AsAt),1,0)</f>
        <v/>
      </c>
      <c r="AK3747" s="54">
        <f>IF(AND(AJ3747=1,AH3747&lt;&gt;"",COUNTIFS($AH$2:AH3747,AH3747,$AJ$2:AJ3747,1)=1),N(AL3746)+1,"")</f>
        <v/>
      </c>
      <c r="AL3747" s="54">
        <f>IF(AK3747&lt;&gt;"",AK3747,N(AL3746))</f>
        <v/>
      </c>
    </row>
    <row r="3748">
      <c r="A3748" t="inlineStr">
        <is>
          <t>CON-1249</t>
        </is>
      </c>
      <c r="B3748" t="inlineStr">
        <is>
          <t>Consulting</t>
        </is>
      </c>
      <c r="AB3748" t="n">
        <v>1249</v>
      </c>
      <c r="AD3748" s="52">
        <f>IFERROR(N(IFERROR(INDEX($A3748:$AB3748,MATCH("Xero Invoiced Ex GST",$A$1:$AB$1,0)),"")),0)</f>
        <v/>
      </c>
      <c r="AE3748" s="53">
        <f>IFERROR(INDEX($A3748:$AB3748,MATCH("Xero Invoice Date",$A$1:$AB$1,0)),"")</f>
        <v/>
      </c>
      <c r="AF3748" s="54">
        <f>IF(AND(IFERROR(INDEX($A3748:$AB3748,MATCH("Xero Invoice No",$A$1:$AB$1,0)),"")&amp;""&lt;&gt;"",ISNUMBER(AE3748),AD3748&lt;&gt;0),1,0)</f>
        <v/>
      </c>
      <c r="AG3748" s="55">
        <f>IF(AF3748=1,EOMONTH(AE3748,0),"")</f>
        <v/>
      </c>
      <c r="AH3748" s="9">
        <f>IF(AF3748=1,UPPER(TRIM(IFERROR(INDEX($A3748:$AB3748,MATCH("Client",$A$1:$AB$1,0)),"")&amp;"")),"")</f>
        <v/>
      </c>
      <c r="AI3748" s="9">
        <f>IF(AF3748=1,IFERROR(INDEX($A3748:$AB3748,MATCH("Cost Centre",$A$1:$AB$1,0)),"")&amp;"","")</f>
        <v/>
      </c>
      <c r="AJ3748" s="54">
        <f>IF(AND(AF3748=1,AE3748&gt;=set_FYStart,AE3748&lt;=set_AsAt),1,0)</f>
        <v/>
      </c>
      <c r="AK3748" s="54">
        <f>IF(AND(AJ3748=1,AH3748&lt;&gt;"",COUNTIFS($AH$2:AH3748,AH3748,$AJ$2:AJ3748,1)=1),N(AL3747)+1,"")</f>
        <v/>
      </c>
      <c r="AL3748" s="54">
        <f>IF(AK3748&lt;&gt;"",AK3748,N(AL3747))</f>
        <v/>
      </c>
    </row>
    <row r="3749">
      <c r="A3749" t="inlineStr">
        <is>
          <t>ONS-1250</t>
        </is>
      </c>
      <c r="B3749" t="inlineStr">
        <is>
          <t>Onsite</t>
        </is>
      </c>
      <c r="AB3749" t="n">
        <v>1250</v>
      </c>
      <c r="AD3749" s="52">
        <f>IFERROR(N(IFERROR(INDEX($A3749:$AB3749,MATCH("Xero Invoiced Ex GST",$A$1:$AB$1,0)),"")),0)</f>
        <v/>
      </c>
      <c r="AE3749" s="53">
        <f>IFERROR(INDEX($A3749:$AB3749,MATCH("Xero Invoice Date",$A$1:$AB$1,0)),"")</f>
        <v/>
      </c>
      <c r="AF3749" s="54">
        <f>IF(AND(IFERROR(INDEX($A3749:$AB3749,MATCH("Xero Invoice No",$A$1:$AB$1,0)),"")&amp;""&lt;&gt;"",ISNUMBER(AE3749),AD3749&lt;&gt;0),1,0)</f>
        <v/>
      </c>
      <c r="AG3749" s="55">
        <f>IF(AF3749=1,EOMONTH(AE3749,0),"")</f>
        <v/>
      </c>
      <c r="AH3749" s="9">
        <f>IF(AF3749=1,UPPER(TRIM(IFERROR(INDEX($A3749:$AB3749,MATCH("Client",$A$1:$AB$1,0)),"")&amp;"")),"")</f>
        <v/>
      </c>
      <c r="AI3749" s="9">
        <f>IF(AF3749=1,IFERROR(INDEX($A3749:$AB3749,MATCH("Cost Centre",$A$1:$AB$1,0)),"")&amp;"","")</f>
        <v/>
      </c>
      <c r="AJ3749" s="54">
        <f>IF(AND(AF3749=1,AE3749&gt;=set_FYStart,AE3749&lt;=set_AsAt),1,0)</f>
        <v/>
      </c>
      <c r="AK3749" s="54">
        <f>IF(AND(AJ3749=1,AH3749&lt;&gt;"",COUNTIFS($AH$2:AH3749,AH3749,$AJ$2:AJ3749,1)=1),N(AL3748)+1,"")</f>
        <v/>
      </c>
      <c r="AL3749" s="54">
        <f>IF(AK3749&lt;&gt;"",AK3749,N(AL3748))</f>
        <v/>
      </c>
    </row>
    <row r="3750">
      <c r="A3750" t="inlineStr">
        <is>
          <t>PRD-1250</t>
        </is>
      </c>
      <c r="B3750" t="inlineStr">
        <is>
          <t>Production</t>
        </is>
      </c>
      <c r="AB3750" t="n">
        <v>1250</v>
      </c>
      <c r="AD3750" s="52">
        <f>IFERROR(N(IFERROR(INDEX($A3750:$AB3750,MATCH("Xero Invoiced Ex GST",$A$1:$AB$1,0)),"")),0)</f>
        <v/>
      </c>
      <c r="AE3750" s="53">
        <f>IFERROR(INDEX($A3750:$AB3750,MATCH("Xero Invoice Date",$A$1:$AB$1,0)),"")</f>
        <v/>
      </c>
      <c r="AF3750" s="54">
        <f>IF(AND(IFERROR(INDEX($A3750:$AB3750,MATCH("Xero Invoice No",$A$1:$AB$1,0)),"")&amp;""&lt;&gt;"",ISNUMBER(AE3750),AD3750&lt;&gt;0),1,0)</f>
        <v/>
      </c>
      <c r="AG3750" s="55">
        <f>IF(AF3750=1,EOMONTH(AE3750,0),"")</f>
        <v/>
      </c>
      <c r="AH3750" s="9">
        <f>IF(AF3750=1,UPPER(TRIM(IFERROR(INDEX($A3750:$AB3750,MATCH("Client",$A$1:$AB$1,0)),"")&amp;"")),"")</f>
        <v/>
      </c>
      <c r="AI3750" s="9">
        <f>IF(AF3750=1,IFERROR(INDEX($A3750:$AB3750,MATCH("Cost Centre",$A$1:$AB$1,0)),"")&amp;"","")</f>
        <v/>
      </c>
      <c r="AJ3750" s="54">
        <f>IF(AND(AF3750=1,AE3750&gt;=set_FYStart,AE3750&lt;=set_AsAt),1,0)</f>
        <v/>
      </c>
      <c r="AK3750" s="54">
        <f>IF(AND(AJ3750=1,AH3750&lt;&gt;"",COUNTIFS($AH$2:AH3750,AH3750,$AJ$2:AJ3750,1)=1),N(AL3749)+1,"")</f>
        <v/>
      </c>
      <c r="AL3750" s="54">
        <f>IF(AK3750&lt;&gt;"",AK3750,N(AL3749))</f>
        <v/>
      </c>
    </row>
    <row r="3751">
      <c r="A3751" t="inlineStr">
        <is>
          <t>CON-1250</t>
        </is>
      </c>
      <c r="B3751" t="inlineStr">
        <is>
          <t>Consulting</t>
        </is>
      </c>
      <c r="AB3751" t="n">
        <v>1250</v>
      </c>
      <c r="AD3751" s="52">
        <f>IFERROR(N(IFERROR(INDEX($A3751:$AB3751,MATCH("Xero Invoiced Ex GST",$A$1:$AB$1,0)),"")),0)</f>
        <v/>
      </c>
      <c r="AE3751" s="53">
        <f>IFERROR(INDEX($A3751:$AB3751,MATCH("Xero Invoice Date",$A$1:$AB$1,0)),"")</f>
        <v/>
      </c>
      <c r="AF3751" s="54">
        <f>IF(AND(IFERROR(INDEX($A3751:$AB3751,MATCH("Xero Invoice No",$A$1:$AB$1,0)),"")&amp;""&lt;&gt;"",ISNUMBER(AE3751),AD3751&lt;&gt;0),1,0)</f>
        <v/>
      </c>
      <c r="AG3751" s="55">
        <f>IF(AF3751=1,EOMONTH(AE3751,0),"")</f>
        <v/>
      </c>
      <c r="AH3751" s="9">
        <f>IF(AF3751=1,UPPER(TRIM(IFERROR(INDEX($A3751:$AB3751,MATCH("Client",$A$1:$AB$1,0)),"")&amp;"")),"")</f>
        <v/>
      </c>
      <c r="AI3751" s="9">
        <f>IF(AF3751=1,IFERROR(INDEX($A3751:$AB3751,MATCH("Cost Centre",$A$1:$AB$1,0)),"")&amp;"","")</f>
        <v/>
      </c>
      <c r="AJ3751" s="54">
        <f>IF(AND(AF3751=1,AE3751&gt;=set_FYStart,AE3751&lt;=set_AsAt),1,0)</f>
        <v/>
      </c>
      <c r="AK3751" s="54">
        <f>IF(AND(AJ3751=1,AH3751&lt;&gt;"",COUNTIFS($AH$2:AH3751,AH3751,$AJ$2:AJ3751,1)=1),N(AL3750)+1,"")</f>
        <v/>
      </c>
      <c r="AL3751" s="54">
        <f>IF(AK3751&lt;&gt;"",AK3751,N(AL3750))</f>
        <v/>
      </c>
    </row>
    <row r="3752">
      <c r="A3752" t="inlineStr">
        <is>
          <t>ONS-1251</t>
        </is>
      </c>
      <c r="B3752" t="inlineStr">
        <is>
          <t>Onsite</t>
        </is>
      </c>
      <c r="AB3752" t="n">
        <v>1251</v>
      </c>
      <c r="AD3752" s="52">
        <f>IFERROR(N(IFERROR(INDEX($A3752:$AB3752,MATCH("Xero Invoiced Ex GST",$A$1:$AB$1,0)),"")),0)</f>
        <v/>
      </c>
      <c r="AE3752" s="53">
        <f>IFERROR(INDEX($A3752:$AB3752,MATCH("Xero Invoice Date",$A$1:$AB$1,0)),"")</f>
        <v/>
      </c>
      <c r="AF3752" s="54">
        <f>IF(AND(IFERROR(INDEX($A3752:$AB3752,MATCH("Xero Invoice No",$A$1:$AB$1,0)),"")&amp;""&lt;&gt;"",ISNUMBER(AE3752),AD3752&lt;&gt;0),1,0)</f>
        <v/>
      </c>
      <c r="AG3752" s="55">
        <f>IF(AF3752=1,EOMONTH(AE3752,0),"")</f>
        <v/>
      </c>
      <c r="AH3752" s="9">
        <f>IF(AF3752=1,UPPER(TRIM(IFERROR(INDEX($A3752:$AB3752,MATCH("Client",$A$1:$AB$1,0)),"")&amp;"")),"")</f>
        <v/>
      </c>
      <c r="AI3752" s="9">
        <f>IF(AF3752=1,IFERROR(INDEX($A3752:$AB3752,MATCH("Cost Centre",$A$1:$AB$1,0)),"")&amp;"","")</f>
        <v/>
      </c>
      <c r="AJ3752" s="54">
        <f>IF(AND(AF3752=1,AE3752&gt;=set_FYStart,AE3752&lt;=set_AsAt),1,0)</f>
        <v/>
      </c>
      <c r="AK3752" s="54">
        <f>IF(AND(AJ3752=1,AH3752&lt;&gt;"",COUNTIFS($AH$2:AH3752,AH3752,$AJ$2:AJ3752,1)=1),N(AL3751)+1,"")</f>
        <v/>
      </c>
      <c r="AL3752" s="54">
        <f>IF(AK3752&lt;&gt;"",AK3752,N(AL3751))</f>
        <v/>
      </c>
    </row>
    <row r="3753">
      <c r="A3753" t="inlineStr">
        <is>
          <t>PRD-1251</t>
        </is>
      </c>
      <c r="B3753" t="inlineStr">
        <is>
          <t>Production</t>
        </is>
      </c>
      <c r="AB3753" t="n">
        <v>1251</v>
      </c>
      <c r="AD3753" s="52">
        <f>IFERROR(N(IFERROR(INDEX($A3753:$AB3753,MATCH("Xero Invoiced Ex GST",$A$1:$AB$1,0)),"")),0)</f>
        <v/>
      </c>
      <c r="AE3753" s="53">
        <f>IFERROR(INDEX($A3753:$AB3753,MATCH("Xero Invoice Date",$A$1:$AB$1,0)),"")</f>
        <v/>
      </c>
      <c r="AF3753" s="54">
        <f>IF(AND(IFERROR(INDEX($A3753:$AB3753,MATCH("Xero Invoice No",$A$1:$AB$1,0)),"")&amp;""&lt;&gt;"",ISNUMBER(AE3753),AD3753&lt;&gt;0),1,0)</f>
        <v/>
      </c>
      <c r="AG3753" s="55">
        <f>IF(AF3753=1,EOMONTH(AE3753,0),"")</f>
        <v/>
      </c>
      <c r="AH3753" s="9">
        <f>IF(AF3753=1,UPPER(TRIM(IFERROR(INDEX($A3753:$AB3753,MATCH("Client",$A$1:$AB$1,0)),"")&amp;"")),"")</f>
        <v/>
      </c>
      <c r="AI3753" s="9">
        <f>IF(AF3753=1,IFERROR(INDEX($A3753:$AB3753,MATCH("Cost Centre",$A$1:$AB$1,0)),"")&amp;"","")</f>
        <v/>
      </c>
      <c r="AJ3753" s="54">
        <f>IF(AND(AF3753=1,AE3753&gt;=set_FYStart,AE3753&lt;=set_AsAt),1,0)</f>
        <v/>
      </c>
      <c r="AK3753" s="54">
        <f>IF(AND(AJ3753=1,AH3753&lt;&gt;"",COUNTIFS($AH$2:AH3753,AH3753,$AJ$2:AJ3753,1)=1),N(AL3752)+1,"")</f>
        <v/>
      </c>
      <c r="AL3753" s="54">
        <f>IF(AK3753&lt;&gt;"",AK3753,N(AL3752))</f>
        <v/>
      </c>
    </row>
    <row r="3754">
      <c r="A3754" t="inlineStr">
        <is>
          <t>CON-1251</t>
        </is>
      </c>
      <c r="B3754" t="inlineStr">
        <is>
          <t>Consulting</t>
        </is>
      </c>
      <c r="AB3754" t="n">
        <v>1251</v>
      </c>
      <c r="AD3754" s="52">
        <f>IFERROR(N(IFERROR(INDEX($A3754:$AB3754,MATCH("Xero Invoiced Ex GST",$A$1:$AB$1,0)),"")),0)</f>
        <v/>
      </c>
      <c r="AE3754" s="53">
        <f>IFERROR(INDEX($A3754:$AB3754,MATCH("Xero Invoice Date",$A$1:$AB$1,0)),"")</f>
        <v/>
      </c>
      <c r="AF3754" s="54">
        <f>IF(AND(IFERROR(INDEX($A3754:$AB3754,MATCH("Xero Invoice No",$A$1:$AB$1,0)),"")&amp;""&lt;&gt;"",ISNUMBER(AE3754),AD3754&lt;&gt;0),1,0)</f>
        <v/>
      </c>
      <c r="AG3754" s="55">
        <f>IF(AF3754=1,EOMONTH(AE3754,0),"")</f>
        <v/>
      </c>
      <c r="AH3754" s="9">
        <f>IF(AF3754=1,UPPER(TRIM(IFERROR(INDEX($A3754:$AB3754,MATCH("Client",$A$1:$AB$1,0)),"")&amp;"")),"")</f>
        <v/>
      </c>
      <c r="AI3754" s="9">
        <f>IF(AF3754=1,IFERROR(INDEX($A3754:$AB3754,MATCH("Cost Centre",$A$1:$AB$1,0)),"")&amp;"","")</f>
        <v/>
      </c>
      <c r="AJ3754" s="54">
        <f>IF(AND(AF3754=1,AE3754&gt;=set_FYStart,AE3754&lt;=set_AsAt),1,0)</f>
        <v/>
      </c>
      <c r="AK3754" s="54">
        <f>IF(AND(AJ3754=1,AH3754&lt;&gt;"",COUNTIFS($AH$2:AH3754,AH3754,$AJ$2:AJ3754,1)=1),N(AL3753)+1,"")</f>
        <v/>
      </c>
      <c r="AL3754" s="54">
        <f>IF(AK3754&lt;&gt;"",AK3754,N(AL3753))</f>
        <v/>
      </c>
    </row>
    <row r="3755">
      <c r="A3755" t="inlineStr">
        <is>
          <t>ONS-1252</t>
        </is>
      </c>
      <c r="B3755" t="inlineStr">
        <is>
          <t>Onsite</t>
        </is>
      </c>
      <c r="AB3755" t="n">
        <v>1252</v>
      </c>
      <c r="AD3755" s="52">
        <f>IFERROR(N(IFERROR(INDEX($A3755:$AB3755,MATCH("Xero Invoiced Ex GST",$A$1:$AB$1,0)),"")),0)</f>
        <v/>
      </c>
      <c r="AE3755" s="53">
        <f>IFERROR(INDEX($A3755:$AB3755,MATCH("Xero Invoice Date",$A$1:$AB$1,0)),"")</f>
        <v/>
      </c>
      <c r="AF3755" s="54">
        <f>IF(AND(IFERROR(INDEX($A3755:$AB3755,MATCH("Xero Invoice No",$A$1:$AB$1,0)),"")&amp;""&lt;&gt;"",ISNUMBER(AE3755),AD3755&lt;&gt;0),1,0)</f>
        <v/>
      </c>
      <c r="AG3755" s="55">
        <f>IF(AF3755=1,EOMONTH(AE3755,0),"")</f>
        <v/>
      </c>
      <c r="AH3755" s="9">
        <f>IF(AF3755=1,UPPER(TRIM(IFERROR(INDEX($A3755:$AB3755,MATCH("Client",$A$1:$AB$1,0)),"")&amp;"")),"")</f>
        <v/>
      </c>
      <c r="AI3755" s="9">
        <f>IF(AF3755=1,IFERROR(INDEX($A3755:$AB3755,MATCH("Cost Centre",$A$1:$AB$1,0)),"")&amp;"","")</f>
        <v/>
      </c>
      <c r="AJ3755" s="54">
        <f>IF(AND(AF3755=1,AE3755&gt;=set_FYStart,AE3755&lt;=set_AsAt),1,0)</f>
        <v/>
      </c>
      <c r="AK3755" s="54">
        <f>IF(AND(AJ3755=1,AH3755&lt;&gt;"",COUNTIFS($AH$2:AH3755,AH3755,$AJ$2:AJ3755,1)=1),N(AL3754)+1,"")</f>
        <v/>
      </c>
      <c r="AL3755" s="54">
        <f>IF(AK3755&lt;&gt;"",AK3755,N(AL3754))</f>
        <v/>
      </c>
    </row>
    <row r="3756">
      <c r="A3756" t="inlineStr">
        <is>
          <t>PRD-1252</t>
        </is>
      </c>
      <c r="B3756" t="inlineStr">
        <is>
          <t>Production</t>
        </is>
      </c>
      <c r="AB3756" t="n">
        <v>1252</v>
      </c>
      <c r="AD3756" s="52">
        <f>IFERROR(N(IFERROR(INDEX($A3756:$AB3756,MATCH("Xero Invoiced Ex GST",$A$1:$AB$1,0)),"")),0)</f>
        <v/>
      </c>
      <c r="AE3756" s="53">
        <f>IFERROR(INDEX($A3756:$AB3756,MATCH("Xero Invoice Date",$A$1:$AB$1,0)),"")</f>
        <v/>
      </c>
      <c r="AF3756" s="54">
        <f>IF(AND(IFERROR(INDEX($A3756:$AB3756,MATCH("Xero Invoice No",$A$1:$AB$1,0)),"")&amp;""&lt;&gt;"",ISNUMBER(AE3756),AD3756&lt;&gt;0),1,0)</f>
        <v/>
      </c>
      <c r="AG3756" s="55">
        <f>IF(AF3756=1,EOMONTH(AE3756,0),"")</f>
        <v/>
      </c>
      <c r="AH3756" s="9">
        <f>IF(AF3756=1,UPPER(TRIM(IFERROR(INDEX($A3756:$AB3756,MATCH("Client",$A$1:$AB$1,0)),"")&amp;"")),"")</f>
        <v/>
      </c>
      <c r="AI3756" s="9">
        <f>IF(AF3756=1,IFERROR(INDEX($A3756:$AB3756,MATCH("Cost Centre",$A$1:$AB$1,0)),"")&amp;"","")</f>
        <v/>
      </c>
      <c r="AJ3756" s="54">
        <f>IF(AND(AF3756=1,AE3756&gt;=set_FYStart,AE3756&lt;=set_AsAt),1,0)</f>
        <v/>
      </c>
      <c r="AK3756" s="54">
        <f>IF(AND(AJ3756=1,AH3756&lt;&gt;"",COUNTIFS($AH$2:AH3756,AH3756,$AJ$2:AJ3756,1)=1),N(AL3755)+1,"")</f>
        <v/>
      </c>
      <c r="AL3756" s="54">
        <f>IF(AK3756&lt;&gt;"",AK3756,N(AL3755))</f>
        <v/>
      </c>
    </row>
    <row r="3757">
      <c r="A3757" t="inlineStr">
        <is>
          <t>CON-1252</t>
        </is>
      </c>
      <c r="B3757" t="inlineStr">
        <is>
          <t>Consulting</t>
        </is>
      </c>
      <c r="AB3757" t="n">
        <v>1252</v>
      </c>
      <c r="AD3757" s="52">
        <f>IFERROR(N(IFERROR(INDEX($A3757:$AB3757,MATCH("Xero Invoiced Ex GST",$A$1:$AB$1,0)),"")),0)</f>
        <v/>
      </c>
      <c r="AE3757" s="53">
        <f>IFERROR(INDEX($A3757:$AB3757,MATCH("Xero Invoice Date",$A$1:$AB$1,0)),"")</f>
        <v/>
      </c>
      <c r="AF3757" s="54">
        <f>IF(AND(IFERROR(INDEX($A3757:$AB3757,MATCH("Xero Invoice No",$A$1:$AB$1,0)),"")&amp;""&lt;&gt;"",ISNUMBER(AE3757),AD3757&lt;&gt;0),1,0)</f>
        <v/>
      </c>
      <c r="AG3757" s="55">
        <f>IF(AF3757=1,EOMONTH(AE3757,0),"")</f>
        <v/>
      </c>
      <c r="AH3757" s="9">
        <f>IF(AF3757=1,UPPER(TRIM(IFERROR(INDEX($A3757:$AB3757,MATCH("Client",$A$1:$AB$1,0)),"")&amp;"")),"")</f>
        <v/>
      </c>
      <c r="AI3757" s="9">
        <f>IF(AF3757=1,IFERROR(INDEX($A3757:$AB3757,MATCH("Cost Centre",$A$1:$AB$1,0)),"")&amp;"","")</f>
        <v/>
      </c>
      <c r="AJ3757" s="54">
        <f>IF(AND(AF3757=1,AE3757&gt;=set_FYStart,AE3757&lt;=set_AsAt),1,0)</f>
        <v/>
      </c>
      <c r="AK3757" s="54">
        <f>IF(AND(AJ3757=1,AH3757&lt;&gt;"",COUNTIFS($AH$2:AH3757,AH3757,$AJ$2:AJ3757,1)=1),N(AL3756)+1,"")</f>
        <v/>
      </c>
      <c r="AL3757" s="54">
        <f>IF(AK3757&lt;&gt;"",AK3757,N(AL3756))</f>
        <v/>
      </c>
    </row>
    <row r="3758">
      <c r="A3758" t="inlineStr">
        <is>
          <t>ONS-1253</t>
        </is>
      </c>
      <c r="B3758" t="inlineStr">
        <is>
          <t>Onsite</t>
        </is>
      </c>
      <c r="AB3758" t="n">
        <v>1253</v>
      </c>
      <c r="AD3758" s="52">
        <f>IFERROR(N(IFERROR(INDEX($A3758:$AB3758,MATCH("Xero Invoiced Ex GST",$A$1:$AB$1,0)),"")),0)</f>
        <v/>
      </c>
      <c r="AE3758" s="53">
        <f>IFERROR(INDEX($A3758:$AB3758,MATCH("Xero Invoice Date",$A$1:$AB$1,0)),"")</f>
        <v/>
      </c>
      <c r="AF3758" s="54">
        <f>IF(AND(IFERROR(INDEX($A3758:$AB3758,MATCH("Xero Invoice No",$A$1:$AB$1,0)),"")&amp;""&lt;&gt;"",ISNUMBER(AE3758),AD3758&lt;&gt;0),1,0)</f>
        <v/>
      </c>
      <c r="AG3758" s="55">
        <f>IF(AF3758=1,EOMONTH(AE3758,0),"")</f>
        <v/>
      </c>
      <c r="AH3758" s="9">
        <f>IF(AF3758=1,UPPER(TRIM(IFERROR(INDEX($A3758:$AB3758,MATCH("Client",$A$1:$AB$1,0)),"")&amp;"")),"")</f>
        <v/>
      </c>
      <c r="AI3758" s="9">
        <f>IF(AF3758=1,IFERROR(INDEX($A3758:$AB3758,MATCH("Cost Centre",$A$1:$AB$1,0)),"")&amp;"","")</f>
        <v/>
      </c>
      <c r="AJ3758" s="54">
        <f>IF(AND(AF3758=1,AE3758&gt;=set_FYStart,AE3758&lt;=set_AsAt),1,0)</f>
        <v/>
      </c>
      <c r="AK3758" s="54">
        <f>IF(AND(AJ3758=1,AH3758&lt;&gt;"",COUNTIFS($AH$2:AH3758,AH3758,$AJ$2:AJ3758,1)=1),N(AL3757)+1,"")</f>
        <v/>
      </c>
      <c r="AL3758" s="54">
        <f>IF(AK3758&lt;&gt;"",AK3758,N(AL3757))</f>
        <v/>
      </c>
    </row>
    <row r="3759">
      <c r="A3759" t="inlineStr">
        <is>
          <t>PRD-1253</t>
        </is>
      </c>
      <c r="B3759" t="inlineStr">
        <is>
          <t>Production</t>
        </is>
      </c>
      <c r="AB3759" t="n">
        <v>1253</v>
      </c>
      <c r="AD3759" s="52">
        <f>IFERROR(N(IFERROR(INDEX($A3759:$AB3759,MATCH("Xero Invoiced Ex GST",$A$1:$AB$1,0)),"")),0)</f>
        <v/>
      </c>
      <c r="AE3759" s="53">
        <f>IFERROR(INDEX($A3759:$AB3759,MATCH("Xero Invoice Date",$A$1:$AB$1,0)),"")</f>
        <v/>
      </c>
      <c r="AF3759" s="54">
        <f>IF(AND(IFERROR(INDEX($A3759:$AB3759,MATCH("Xero Invoice No",$A$1:$AB$1,0)),"")&amp;""&lt;&gt;"",ISNUMBER(AE3759),AD3759&lt;&gt;0),1,0)</f>
        <v/>
      </c>
      <c r="AG3759" s="55">
        <f>IF(AF3759=1,EOMONTH(AE3759,0),"")</f>
        <v/>
      </c>
      <c r="AH3759" s="9">
        <f>IF(AF3759=1,UPPER(TRIM(IFERROR(INDEX($A3759:$AB3759,MATCH("Client",$A$1:$AB$1,0)),"")&amp;"")),"")</f>
        <v/>
      </c>
      <c r="AI3759" s="9">
        <f>IF(AF3759=1,IFERROR(INDEX($A3759:$AB3759,MATCH("Cost Centre",$A$1:$AB$1,0)),"")&amp;"","")</f>
        <v/>
      </c>
      <c r="AJ3759" s="54">
        <f>IF(AND(AF3759=1,AE3759&gt;=set_FYStart,AE3759&lt;=set_AsAt),1,0)</f>
        <v/>
      </c>
      <c r="AK3759" s="54">
        <f>IF(AND(AJ3759=1,AH3759&lt;&gt;"",COUNTIFS($AH$2:AH3759,AH3759,$AJ$2:AJ3759,1)=1),N(AL3758)+1,"")</f>
        <v/>
      </c>
      <c r="AL3759" s="54">
        <f>IF(AK3759&lt;&gt;"",AK3759,N(AL3758))</f>
        <v/>
      </c>
    </row>
    <row r="3760">
      <c r="A3760" t="inlineStr">
        <is>
          <t>CON-1253</t>
        </is>
      </c>
      <c r="B3760" t="inlineStr">
        <is>
          <t>Consulting</t>
        </is>
      </c>
      <c r="AB3760" t="n">
        <v>1253</v>
      </c>
      <c r="AD3760" s="52">
        <f>IFERROR(N(IFERROR(INDEX($A3760:$AB3760,MATCH("Xero Invoiced Ex GST",$A$1:$AB$1,0)),"")),0)</f>
        <v/>
      </c>
      <c r="AE3760" s="53">
        <f>IFERROR(INDEX($A3760:$AB3760,MATCH("Xero Invoice Date",$A$1:$AB$1,0)),"")</f>
        <v/>
      </c>
      <c r="AF3760" s="54">
        <f>IF(AND(IFERROR(INDEX($A3760:$AB3760,MATCH("Xero Invoice No",$A$1:$AB$1,0)),"")&amp;""&lt;&gt;"",ISNUMBER(AE3760),AD3760&lt;&gt;0),1,0)</f>
        <v/>
      </c>
      <c r="AG3760" s="55">
        <f>IF(AF3760=1,EOMONTH(AE3760,0),"")</f>
        <v/>
      </c>
      <c r="AH3760" s="9">
        <f>IF(AF3760=1,UPPER(TRIM(IFERROR(INDEX($A3760:$AB3760,MATCH("Client",$A$1:$AB$1,0)),"")&amp;"")),"")</f>
        <v/>
      </c>
      <c r="AI3760" s="9">
        <f>IF(AF3760=1,IFERROR(INDEX($A3760:$AB3760,MATCH("Cost Centre",$A$1:$AB$1,0)),"")&amp;"","")</f>
        <v/>
      </c>
      <c r="AJ3760" s="54">
        <f>IF(AND(AF3760=1,AE3760&gt;=set_FYStart,AE3760&lt;=set_AsAt),1,0)</f>
        <v/>
      </c>
      <c r="AK3760" s="54">
        <f>IF(AND(AJ3760=1,AH3760&lt;&gt;"",COUNTIFS($AH$2:AH3760,AH3760,$AJ$2:AJ3760,1)=1),N(AL3759)+1,"")</f>
        <v/>
      </c>
      <c r="AL3760" s="54">
        <f>IF(AK3760&lt;&gt;"",AK3760,N(AL3759))</f>
        <v/>
      </c>
    </row>
    <row r="3761">
      <c r="A3761" t="inlineStr">
        <is>
          <t>ONS-1254</t>
        </is>
      </c>
      <c r="B3761" t="inlineStr">
        <is>
          <t>Onsite</t>
        </is>
      </c>
      <c r="AB3761" t="n">
        <v>1254</v>
      </c>
      <c r="AD3761" s="52">
        <f>IFERROR(N(IFERROR(INDEX($A3761:$AB3761,MATCH("Xero Invoiced Ex GST",$A$1:$AB$1,0)),"")),0)</f>
        <v/>
      </c>
      <c r="AE3761" s="53">
        <f>IFERROR(INDEX($A3761:$AB3761,MATCH("Xero Invoice Date",$A$1:$AB$1,0)),"")</f>
        <v/>
      </c>
      <c r="AF3761" s="54">
        <f>IF(AND(IFERROR(INDEX($A3761:$AB3761,MATCH("Xero Invoice No",$A$1:$AB$1,0)),"")&amp;""&lt;&gt;"",ISNUMBER(AE3761),AD3761&lt;&gt;0),1,0)</f>
        <v/>
      </c>
      <c r="AG3761" s="55">
        <f>IF(AF3761=1,EOMONTH(AE3761,0),"")</f>
        <v/>
      </c>
      <c r="AH3761" s="9">
        <f>IF(AF3761=1,UPPER(TRIM(IFERROR(INDEX($A3761:$AB3761,MATCH("Client",$A$1:$AB$1,0)),"")&amp;"")),"")</f>
        <v/>
      </c>
      <c r="AI3761" s="9">
        <f>IF(AF3761=1,IFERROR(INDEX($A3761:$AB3761,MATCH("Cost Centre",$A$1:$AB$1,0)),"")&amp;"","")</f>
        <v/>
      </c>
      <c r="AJ3761" s="54">
        <f>IF(AND(AF3761=1,AE3761&gt;=set_FYStart,AE3761&lt;=set_AsAt),1,0)</f>
        <v/>
      </c>
      <c r="AK3761" s="54">
        <f>IF(AND(AJ3761=1,AH3761&lt;&gt;"",COUNTIFS($AH$2:AH3761,AH3761,$AJ$2:AJ3761,1)=1),N(AL3760)+1,"")</f>
        <v/>
      </c>
      <c r="AL3761" s="54">
        <f>IF(AK3761&lt;&gt;"",AK3761,N(AL3760))</f>
        <v/>
      </c>
    </row>
    <row r="3762">
      <c r="A3762" t="inlineStr">
        <is>
          <t>PRD-1254</t>
        </is>
      </c>
      <c r="B3762" t="inlineStr">
        <is>
          <t>Production</t>
        </is>
      </c>
      <c r="AB3762" t="n">
        <v>1254</v>
      </c>
      <c r="AD3762" s="52">
        <f>IFERROR(N(IFERROR(INDEX($A3762:$AB3762,MATCH("Xero Invoiced Ex GST",$A$1:$AB$1,0)),"")),0)</f>
        <v/>
      </c>
      <c r="AE3762" s="53">
        <f>IFERROR(INDEX($A3762:$AB3762,MATCH("Xero Invoice Date",$A$1:$AB$1,0)),"")</f>
        <v/>
      </c>
      <c r="AF3762" s="54">
        <f>IF(AND(IFERROR(INDEX($A3762:$AB3762,MATCH("Xero Invoice No",$A$1:$AB$1,0)),"")&amp;""&lt;&gt;"",ISNUMBER(AE3762),AD3762&lt;&gt;0),1,0)</f>
        <v/>
      </c>
      <c r="AG3762" s="55">
        <f>IF(AF3762=1,EOMONTH(AE3762,0),"")</f>
        <v/>
      </c>
      <c r="AH3762" s="9">
        <f>IF(AF3762=1,UPPER(TRIM(IFERROR(INDEX($A3762:$AB3762,MATCH("Client",$A$1:$AB$1,0)),"")&amp;"")),"")</f>
        <v/>
      </c>
      <c r="AI3762" s="9">
        <f>IF(AF3762=1,IFERROR(INDEX($A3762:$AB3762,MATCH("Cost Centre",$A$1:$AB$1,0)),"")&amp;"","")</f>
        <v/>
      </c>
      <c r="AJ3762" s="54">
        <f>IF(AND(AF3762=1,AE3762&gt;=set_FYStart,AE3762&lt;=set_AsAt),1,0)</f>
        <v/>
      </c>
      <c r="AK3762" s="54">
        <f>IF(AND(AJ3762=1,AH3762&lt;&gt;"",COUNTIFS($AH$2:AH3762,AH3762,$AJ$2:AJ3762,1)=1),N(AL3761)+1,"")</f>
        <v/>
      </c>
      <c r="AL3762" s="54">
        <f>IF(AK3762&lt;&gt;"",AK3762,N(AL3761))</f>
        <v/>
      </c>
    </row>
    <row r="3763">
      <c r="A3763" t="inlineStr">
        <is>
          <t>CON-1254</t>
        </is>
      </c>
      <c r="B3763" t="inlineStr">
        <is>
          <t>Consulting</t>
        </is>
      </c>
      <c r="AB3763" t="n">
        <v>1254</v>
      </c>
      <c r="AD3763" s="52">
        <f>IFERROR(N(IFERROR(INDEX($A3763:$AB3763,MATCH("Xero Invoiced Ex GST",$A$1:$AB$1,0)),"")),0)</f>
        <v/>
      </c>
      <c r="AE3763" s="53">
        <f>IFERROR(INDEX($A3763:$AB3763,MATCH("Xero Invoice Date",$A$1:$AB$1,0)),"")</f>
        <v/>
      </c>
      <c r="AF3763" s="54">
        <f>IF(AND(IFERROR(INDEX($A3763:$AB3763,MATCH("Xero Invoice No",$A$1:$AB$1,0)),"")&amp;""&lt;&gt;"",ISNUMBER(AE3763),AD3763&lt;&gt;0),1,0)</f>
        <v/>
      </c>
      <c r="AG3763" s="55">
        <f>IF(AF3763=1,EOMONTH(AE3763,0),"")</f>
        <v/>
      </c>
      <c r="AH3763" s="9">
        <f>IF(AF3763=1,UPPER(TRIM(IFERROR(INDEX($A3763:$AB3763,MATCH("Client",$A$1:$AB$1,0)),"")&amp;"")),"")</f>
        <v/>
      </c>
      <c r="AI3763" s="9">
        <f>IF(AF3763=1,IFERROR(INDEX($A3763:$AB3763,MATCH("Cost Centre",$A$1:$AB$1,0)),"")&amp;"","")</f>
        <v/>
      </c>
      <c r="AJ3763" s="54">
        <f>IF(AND(AF3763=1,AE3763&gt;=set_FYStart,AE3763&lt;=set_AsAt),1,0)</f>
        <v/>
      </c>
      <c r="AK3763" s="54">
        <f>IF(AND(AJ3763=1,AH3763&lt;&gt;"",COUNTIFS($AH$2:AH3763,AH3763,$AJ$2:AJ3763,1)=1),N(AL3762)+1,"")</f>
        <v/>
      </c>
      <c r="AL3763" s="54">
        <f>IF(AK3763&lt;&gt;"",AK3763,N(AL3762))</f>
        <v/>
      </c>
    </row>
    <row r="3764">
      <c r="A3764" t="inlineStr">
        <is>
          <t>ONS-1255</t>
        </is>
      </c>
      <c r="B3764" t="inlineStr">
        <is>
          <t>Onsite</t>
        </is>
      </c>
      <c r="AB3764" t="n">
        <v>1255</v>
      </c>
      <c r="AD3764" s="52">
        <f>IFERROR(N(IFERROR(INDEX($A3764:$AB3764,MATCH("Xero Invoiced Ex GST",$A$1:$AB$1,0)),"")),0)</f>
        <v/>
      </c>
      <c r="AE3764" s="53">
        <f>IFERROR(INDEX($A3764:$AB3764,MATCH("Xero Invoice Date",$A$1:$AB$1,0)),"")</f>
        <v/>
      </c>
      <c r="AF3764" s="54">
        <f>IF(AND(IFERROR(INDEX($A3764:$AB3764,MATCH("Xero Invoice No",$A$1:$AB$1,0)),"")&amp;""&lt;&gt;"",ISNUMBER(AE3764),AD3764&lt;&gt;0),1,0)</f>
        <v/>
      </c>
      <c r="AG3764" s="55">
        <f>IF(AF3764=1,EOMONTH(AE3764,0),"")</f>
        <v/>
      </c>
      <c r="AH3764" s="9">
        <f>IF(AF3764=1,UPPER(TRIM(IFERROR(INDEX($A3764:$AB3764,MATCH("Client",$A$1:$AB$1,0)),"")&amp;"")),"")</f>
        <v/>
      </c>
      <c r="AI3764" s="9">
        <f>IF(AF3764=1,IFERROR(INDEX($A3764:$AB3764,MATCH("Cost Centre",$A$1:$AB$1,0)),"")&amp;"","")</f>
        <v/>
      </c>
      <c r="AJ3764" s="54">
        <f>IF(AND(AF3764=1,AE3764&gt;=set_FYStart,AE3764&lt;=set_AsAt),1,0)</f>
        <v/>
      </c>
      <c r="AK3764" s="54">
        <f>IF(AND(AJ3764=1,AH3764&lt;&gt;"",COUNTIFS($AH$2:AH3764,AH3764,$AJ$2:AJ3764,1)=1),N(AL3763)+1,"")</f>
        <v/>
      </c>
      <c r="AL3764" s="54">
        <f>IF(AK3764&lt;&gt;"",AK3764,N(AL3763))</f>
        <v/>
      </c>
    </row>
    <row r="3765">
      <c r="A3765" t="inlineStr">
        <is>
          <t>PRD-1255</t>
        </is>
      </c>
      <c r="B3765" t="inlineStr">
        <is>
          <t>Production</t>
        </is>
      </c>
      <c r="AB3765" t="n">
        <v>1255</v>
      </c>
      <c r="AD3765" s="52">
        <f>IFERROR(N(IFERROR(INDEX($A3765:$AB3765,MATCH("Xero Invoiced Ex GST",$A$1:$AB$1,0)),"")),0)</f>
        <v/>
      </c>
      <c r="AE3765" s="53">
        <f>IFERROR(INDEX($A3765:$AB3765,MATCH("Xero Invoice Date",$A$1:$AB$1,0)),"")</f>
        <v/>
      </c>
      <c r="AF3765" s="54">
        <f>IF(AND(IFERROR(INDEX($A3765:$AB3765,MATCH("Xero Invoice No",$A$1:$AB$1,0)),"")&amp;""&lt;&gt;"",ISNUMBER(AE3765),AD3765&lt;&gt;0),1,0)</f>
        <v/>
      </c>
      <c r="AG3765" s="55">
        <f>IF(AF3765=1,EOMONTH(AE3765,0),"")</f>
        <v/>
      </c>
      <c r="AH3765" s="9">
        <f>IF(AF3765=1,UPPER(TRIM(IFERROR(INDEX($A3765:$AB3765,MATCH("Client",$A$1:$AB$1,0)),"")&amp;"")),"")</f>
        <v/>
      </c>
      <c r="AI3765" s="9">
        <f>IF(AF3765=1,IFERROR(INDEX($A3765:$AB3765,MATCH("Cost Centre",$A$1:$AB$1,0)),"")&amp;"","")</f>
        <v/>
      </c>
      <c r="AJ3765" s="54">
        <f>IF(AND(AF3765=1,AE3765&gt;=set_FYStart,AE3765&lt;=set_AsAt),1,0)</f>
        <v/>
      </c>
      <c r="AK3765" s="54">
        <f>IF(AND(AJ3765=1,AH3765&lt;&gt;"",COUNTIFS($AH$2:AH3765,AH3765,$AJ$2:AJ3765,1)=1),N(AL3764)+1,"")</f>
        <v/>
      </c>
      <c r="AL3765" s="54">
        <f>IF(AK3765&lt;&gt;"",AK3765,N(AL3764))</f>
        <v/>
      </c>
    </row>
    <row r="3766">
      <c r="A3766" t="inlineStr">
        <is>
          <t>CON-1255</t>
        </is>
      </c>
      <c r="B3766" t="inlineStr">
        <is>
          <t>Consulting</t>
        </is>
      </c>
      <c r="AB3766" t="n">
        <v>1255</v>
      </c>
      <c r="AD3766" s="52">
        <f>IFERROR(N(IFERROR(INDEX($A3766:$AB3766,MATCH("Xero Invoiced Ex GST",$A$1:$AB$1,0)),"")),0)</f>
        <v/>
      </c>
      <c r="AE3766" s="53">
        <f>IFERROR(INDEX($A3766:$AB3766,MATCH("Xero Invoice Date",$A$1:$AB$1,0)),"")</f>
        <v/>
      </c>
      <c r="AF3766" s="54">
        <f>IF(AND(IFERROR(INDEX($A3766:$AB3766,MATCH("Xero Invoice No",$A$1:$AB$1,0)),"")&amp;""&lt;&gt;"",ISNUMBER(AE3766),AD3766&lt;&gt;0),1,0)</f>
        <v/>
      </c>
      <c r="AG3766" s="55">
        <f>IF(AF3766=1,EOMONTH(AE3766,0),"")</f>
        <v/>
      </c>
      <c r="AH3766" s="9">
        <f>IF(AF3766=1,UPPER(TRIM(IFERROR(INDEX($A3766:$AB3766,MATCH("Client",$A$1:$AB$1,0)),"")&amp;"")),"")</f>
        <v/>
      </c>
      <c r="AI3766" s="9">
        <f>IF(AF3766=1,IFERROR(INDEX($A3766:$AB3766,MATCH("Cost Centre",$A$1:$AB$1,0)),"")&amp;"","")</f>
        <v/>
      </c>
      <c r="AJ3766" s="54">
        <f>IF(AND(AF3766=1,AE3766&gt;=set_FYStart,AE3766&lt;=set_AsAt),1,0)</f>
        <v/>
      </c>
      <c r="AK3766" s="54">
        <f>IF(AND(AJ3766=1,AH3766&lt;&gt;"",COUNTIFS($AH$2:AH3766,AH3766,$AJ$2:AJ3766,1)=1),N(AL3765)+1,"")</f>
        <v/>
      </c>
      <c r="AL3766" s="54">
        <f>IF(AK3766&lt;&gt;"",AK3766,N(AL3765))</f>
        <v/>
      </c>
    </row>
    <row r="3767">
      <c r="A3767" t="inlineStr">
        <is>
          <t>ONS-1256</t>
        </is>
      </c>
      <c r="B3767" t="inlineStr">
        <is>
          <t>Onsite</t>
        </is>
      </c>
      <c r="AB3767" t="n">
        <v>1256</v>
      </c>
      <c r="AD3767" s="52">
        <f>IFERROR(N(IFERROR(INDEX($A3767:$AB3767,MATCH("Xero Invoiced Ex GST",$A$1:$AB$1,0)),"")),0)</f>
        <v/>
      </c>
      <c r="AE3767" s="53">
        <f>IFERROR(INDEX($A3767:$AB3767,MATCH("Xero Invoice Date",$A$1:$AB$1,0)),"")</f>
        <v/>
      </c>
      <c r="AF3767" s="54">
        <f>IF(AND(IFERROR(INDEX($A3767:$AB3767,MATCH("Xero Invoice No",$A$1:$AB$1,0)),"")&amp;""&lt;&gt;"",ISNUMBER(AE3767),AD3767&lt;&gt;0),1,0)</f>
        <v/>
      </c>
      <c r="AG3767" s="55">
        <f>IF(AF3767=1,EOMONTH(AE3767,0),"")</f>
        <v/>
      </c>
      <c r="AH3767" s="9">
        <f>IF(AF3767=1,UPPER(TRIM(IFERROR(INDEX($A3767:$AB3767,MATCH("Client",$A$1:$AB$1,0)),"")&amp;"")),"")</f>
        <v/>
      </c>
      <c r="AI3767" s="9">
        <f>IF(AF3767=1,IFERROR(INDEX($A3767:$AB3767,MATCH("Cost Centre",$A$1:$AB$1,0)),"")&amp;"","")</f>
        <v/>
      </c>
      <c r="AJ3767" s="54">
        <f>IF(AND(AF3767=1,AE3767&gt;=set_FYStart,AE3767&lt;=set_AsAt),1,0)</f>
        <v/>
      </c>
      <c r="AK3767" s="54">
        <f>IF(AND(AJ3767=1,AH3767&lt;&gt;"",COUNTIFS($AH$2:AH3767,AH3767,$AJ$2:AJ3767,1)=1),N(AL3766)+1,"")</f>
        <v/>
      </c>
      <c r="AL3767" s="54">
        <f>IF(AK3767&lt;&gt;"",AK3767,N(AL3766))</f>
        <v/>
      </c>
    </row>
    <row r="3768">
      <c r="A3768" t="inlineStr">
        <is>
          <t>PRD-1256</t>
        </is>
      </c>
      <c r="B3768" t="inlineStr">
        <is>
          <t>Production</t>
        </is>
      </c>
      <c r="AB3768" t="n">
        <v>1256</v>
      </c>
      <c r="AD3768" s="52">
        <f>IFERROR(N(IFERROR(INDEX($A3768:$AB3768,MATCH("Xero Invoiced Ex GST",$A$1:$AB$1,0)),"")),0)</f>
        <v/>
      </c>
      <c r="AE3768" s="53">
        <f>IFERROR(INDEX($A3768:$AB3768,MATCH("Xero Invoice Date",$A$1:$AB$1,0)),"")</f>
        <v/>
      </c>
      <c r="AF3768" s="54">
        <f>IF(AND(IFERROR(INDEX($A3768:$AB3768,MATCH("Xero Invoice No",$A$1:$AB$1,0)),"")&amp;""&lt;&gt;"",ISNUMBER(AE3768),AD3768&lt;&gt;0),1,0)</f>
        <v/>
      </c>
      <c r="AG3768" s="55">
        <f>IF(AF3768=1,EOMONTH(AE3768,0),"")</f>
        <v/>
      </c>
      <c r="AH3768" s="9">
        <f>IF(AF3768=1,UPPER(TRIM(IFERROR(INDEX($A3768:$AB3768,MATCH("Client",$A$1:$AB$1,0)),"")&amp;"")),"")</f>
        <v/>
      </c>
      <c r="AI3768" s="9">
        <f>IF(AF3768=1,IFERROR(INDEX($A3768:$AB3768,MATCH("Cost Centre",$A$1:$AB$1,0)),"")&amp;"","")</f>
        <v/>
      </c>
      <c r="AJ3768" s="54">
        <f>IF(AND(AF3768=1,AE3768&gt;=set_FYStart,AE3768&lt;=set_AsAt),1,0)</f>
        <v/>
      </c>
      <c r="AK3768" s="54">
        <f>IF(AND(AJ3768=1,AH3768&lt;&gt;"",COUNTIFS($AH$2:AH3768,AH3768,$AJ$2:AJ3768,1)=1),N(AL3767)+1,"")</f>
        <v/>
      </c>
      <c r="AL3768" s="54">
        <f>IF(AK3768&lt;&gt;"",AK3768,N(AL3767))</f>
        <v/>
      </c>
    </row>
    <row r="3769">
      <c r="A3769" t="inlineStr">
        <is>
          <t>CON-1256</t>
        </is>
      </c>
      <c r="B3769" t="inlineStr">
        <is>
          <t>Consulting</t>
        </is>
      </c>
      <c r="AB3769" t="n">
        <v>1256</v>
      </c>
      <c r="AD3769" s="52">
        <f>IFERROR(N(IFERROR(INDEX($A3769:$AB3769,MATCH("Xero Invoiced Ex GST",$A$1:$AB$1,0)),"")),0)</f>
        <v/>
      </c>
      <c r="AE3769" s="53">
        <f>IFERROR(INDEX($A3769:$AB3769,MATCH("Xero Invoice Date",$A$1:$AB$1,0)),"")</f>
        <v/>
      </c>
      <c r="AF3769" s="54">
        <f>IF(AND(IFERROR(INDEX($A3769:$AB3769,MATCH("Xero Invoice No",$A$1:$AB$1,0)),"")&amp;""&lt;&gt;"",ISNUMBER(AE3769),AD3769&lt;&gt;0),1,0)</f>
        <v/>
      </c>
      <c r="AG3769" s="55">
        <f>IF(AF3769=1,EOMONTH(AE3769,0),"")</f>
        <v/>
      </c>
      <c r="AH3769" s="9">
        <f>IF(AF3769=1,UPPER(TRIM(IFERROR(INDEX($A3769:$AB3769,MATCH("Client",$A$1:$AB$1,0)),"")&amp;"")),"")</f>
        <v/>
      </c>
      <c r="AI3769" s="9">
        <f>IF(AF3769=1,IFERROR(INDEX($A3769:$AB3769,MATCH("Cost Centre",$A$1:$AB$1,0)),"")&amp;"","")</f>
        <v/>
      </c>
      <c r="AJ3769" s="54">
        <f>IF(AND(AF3769=1,AE3769&gt;=set_FYStart,AE3769&lt;=set_AsAt),1,0)</f>
        <v/>
      </c>
      <c r="AK3769" s="54">
        <f>IF(AND(AJ3769=1,AH3769&lt;&gt;"",COUNTIFS($AH$2:AH3769,AH3769,$AJ$2:AJ3769,1)=1),N(AL3768)+1,"")</f>
        <v/>
      </c>
      <c r="AL3769" s="54">
        <f>IF(AK3769&lt;&gt;"",AK3769,N(AL3768))</f>
        <v/>
      </c>
    </row>
    <row r="3770">
      <c r="A3770" t="inlineStr">
        <is>
          <t>ONS-1257</t>
        </is>
      </c>
      <c r="B3770" t="inlineStr">
        <is>
          <t>Onsite</t>
        </is>
      </c>
      <c r="AB3770" t="n">
        <v>1257</v>
      </c>
      <c r="AD3770" s="52">
        <f>IFERROR(N(IFERROR(INDEX($A3770:$AB3770,MATCH("Xero Invoiced Ex GST",$A$1:$AB$1,0)),"")),0)</f>
        <v/>
      </c>
      <c r="AE3770" s="53">
        <f>IFERROR(INDEX($A3770:$AB3770,MATCH("Xero Invoice Date",$A$1:$AB$1,0)),"")</f>
        <v/>
      </c>
      <c r="AF3770" s="54">
        <f>IF(AND(IFERROR(INDEX($A3770:$AB3770,MATCH("Xero Invoice No",$A$1:$AB$1,0)),"")&amp;""&lt;&gt;"",ISNUMBER(AE3770),AD3770&lt;&gt;0),1,0)</f>
        <v/>
      </c>
      <c r="AG3770" s="55">
        <f>IF(AF3770=1,EOMONTH(AE3770,0),"")</f>
        <v/>
      </c>
      <c r="AH3770" s="9">
        <f>IF(AF3770=1,UPPER(TRIM(IFERROR(INDEX($A3770:$AB3770,MATCH("Client",$A$1:$AB$1,0)),"")&amp;"")),"")</f>
        <v/>
      </c>
      <c r="AI3770" s="9">
        <f>IF(AF3770=1,IFERROR(INDEX($A3770:$AB3770,MATCH("Cost Centre",$A$1:$AB$1,0)),"")&amp;"","")</f>
        <v/>
      </c>
      <c r="AJ3770" s="54">
        <f>IF(AND(AF3770=1,AE3770&gt;=set_FYStart,AE3770&lt;=set_AsAt),1,0)</f>
        <v/>
      </c>
      <c r="AK3770" s="54">
        <f>IF(AND(AJ3770=1,AH3770&lt;&gt;"",COUNTIFS($AH$2:AH3770,AH3770,$AJ$2:AJ3770,1)=1),N(AL3769)+1,"")</f>
        <v/>
      </c>
      <c r="AL3770" s="54">
        <f>IF(AK3770&lt;&gt;"",AK3770,N(AL3769))</f>
        <v/>
      </c>
    </row>
    <row r="3771">
      <c r="A3771" t="inlineStr">
        <is>
          <t>PRD-1257</t>
        </is>
      </c>
      <c r="B3771" t="inlineStr">
        <is>
          <t>Production</t>
        </is>
      </c>
      <c r="AB3771" t="n">
        <v>1257</v>
      </c>
      <c r="AD3771" s="52">
        <f>IFERROR(N(IFERROR(INDEX($A3771:$AB3771,MATCH("Xero Invoiced Ex GST",$A$1:$AB$1,0)),"")),0)</f>
        <v/>
      </c>
      <c r="AE3771" s="53">
        <f>IFERROR(INDEX($A3771:$AB3771,MATCH("Xero Invoice Date",$A$1:$AB$1,0)),"")</f>
        <v/>
      </c>
      <c r="AF3771" s="54">
        <f>IF(AND(IFERROR(INDEX($A3771:$AB3771,MATCH("Xero Invoice No",$A$1:$AB$1,0)),"")&amp;""&lt;&gt;"",ISNUMBER(AE3771),AD3771&lt;&gt;0),1,0)</f>
        <v/>
      </c>
      <c r="AG3771" s="55">
        <f>IF(AF3771=1,EOMONTH(AE3771,0),"")</f>
        <v/>
      </c>
      <c r="AH3771" s="9">
        <f>IF(AF3771=1,UPPER(TRIM(IFERROR(INDEX($A3771:$AB3771,MATCH("Client",$A$1:$AB$1,0)),"")&amp;"")),"")</f>
        <v/>
      </c>
      <c r="AI3771" s="9">
        <f>IF(AF3771=1,IFERROR(INDEX($A3771:$AB3771,MATCH("Cost Centre",$A$1:$AB$1,0)),"")&amp;"","")</f>
        <v/>
      </c>
      <c r="AJ3771" s="54">
        <f>IF(AND(AF3771=1,AE3771&gt;=set_FYStart,AE3771&lt;=set_AsAt),1,0)</f>
        <v/>
      </c>
      <c r="AK3771" s="54">
        <f>IF(AND(AJ3771=1,AH3771&lt;&gt;"",COUNTIFS($AH$2:AH3771,AH3771,$AJ$2:AJ3771,1)=1),N(AL3770)+1,"")</f>
        <v/>
      </c>
      <c r="AL3771" s="54">
        <f>IF(AK3771&lt;&gt;"",AK3771,N(AL3770))</f>
        <v/>
      </c>
    </row>
    <row r="3772">
      <c r="A3772" t="inlineStr">
        <is>
          <t>CON-1257</t>
        </is>
      </c>
      <c r="B3772" t="inlineStr">
        <is>
          <t>Consulting</t>
        </is>
      </c>
      <c r="AB3772" t="n">
        <v>1257</v>
      </c>
      <c r="AD3772" s="52">
        <f>IFERROR(N(IFERROR(INDEX($A3772:$AB3772,MATCH("Xero Invoiced Ex GST",$A$1:$AB$1,0)),"")),0)</f>
        <v/>
      </c>
      <c r="AE3772" s="53">
        <f>IFERROR(INDEX($A3772:$AB3772,MATCH("Xero Invoice Date",$A$1:$AB$1,0)),"")</f>
        <v/>
      </c>
      <c r="AF3772" s="54">
        <f>IF(AND(IFERROR(INDEX($A3772:$AB3772,MATCH("Xero Invoice No",$A$1:$AB$1,0)),"")&amp;""&lt;&gt;"",ISNUMBER(AE3772),AD3772&lt;&gt;0),1,0)</f>
        <v/>
      </c>
      <c r="AG3772" s="55">
        <f>IF(AF3772=1,EOMONTH(AE3772,0),"")</f>
        <v/>
      </c>
      <c r="AH3772" s="9">
        <f>IF(AF3772=1,UPPER(TRIM(IFERROR(INDEX($A3772:$AB3772,MATCH("Client",$A$1:$AB$1,0)),"")&amp;"")),"")</f>
        <v/>
      </c>
      <c r="AI3772" s="9">
        <f>IF(AF3772=1,IFERROR(INDEX($A3772:$AB3772,MATCH("Cost Centre",$A$1:$AB$1,0)),"")&amp;"","")</f>
        <v/>
      </c>
      <c r="AJ3772" s="54">
        <f>IF(AND(AF3772=1,AE3772&gt;=set_FYStart,AE3772&lt;=set_AsAt),1,0)</f>
        <v/>
      </c>
      <c r="AK3772" s="54">
        <f>IF(AND(AJ3772=1,AH3772&lt;&gt;"",COUNTIFS($AH$2:AH3772,AH3772,$AJ$2:AJ3772,1)=1),N(AL3771)+1,"")</f>
        <v/>
      </c>
      <c r="AL3772" s="54">
        <f>IF(AK3772&lt;&gt;"",AK3772,N(AL3771))</f>
        <v/>
      </c>
    </row>
    <row r="3773">
      <c r="A3773" t="inlineStr">
        <is>
          <t>ONS-1258</t>
        </is>
      </c>
      <c r="B3773" t="inlineStr">
        <is>
          <t>Onsite</t>
        </is>
      </c>
      <c r="AB3773" t="n">
        <v>1258</v>
      </c>
      <c r="AD3773" s="52">
        <f>IFERROR(N(IFERROR(INDEX($A3773:$AB3773,MATCH("Xero Invoiced Ex GST",$A$1:$AB$1,0)),"")),0)</f>
        <v/>
      </c>
      <c r="AE3773" s="53">
        <f>IFERROR(INDEX($A3773:$AB3773,MATCH("Xero Invoice Date",$A$1:$AB$1,0)),"")</f>
        <v/>
      </c>
      <c r="AF3773" s="54">
        <f>IF(AND(IFERROR(INDEX($A3773:$AB3773,MATCH("Xero Invoice No",$A$1:$AB$1,0)),"")&amp;""&lt;&gt;"",ISNUMBER(AE3773),AD3773&lt;&gt;0),1,0)</f>
        <v/>
      </c>
      <c r="AG3773" s="55">
        <f>IF(AF3773=1,EOMONTH(AE3773,0),"")</f>
        <v/>
      </c>
      <c r="AH3773" s="9">
        <f>IF(AF3773=1,UPPER(TRIM(IFERROR(INDEX($A3773:$AB3773,MATCH("Client",$A$1:$AB$1,0)),"")&amp;"")),"")</f>
        <v/>
      </c>
      <c r="AI3773" s="9">
        <f>IF(AF3773=1,IFERROR(INDEX($A3773:$AB3773,MATCH("Cost Centre",$A$1:$AB$1,0)),"")&amp;"","")</f>
        <v/>
      </c>
      <c r="AJ3773" s="54">
        <f>IF(AND(AF3773=1,AE3773&gt;=set_FYStart,AE3773&lt;=set_AsAt),1,0)</f>
        <v/>
      </c>
      <c r="AK3773" s="54">
        <f>IF(AND(AJ3773=1,AH3773&lt;&gt;"",COUNTIFS($AH$2:AH3773,AH3773,$AJ$2:AJ3773,1)=1),N(AL3772)+1,"")</f>
        <v/>
      </c>
      <c r="AL3773" s="54">
        <f>IF(AK3773&lt;&gt;"",AK3773,N(AL3772))</f>
        <v/>
      </c>
    </row>
    <row r="3774">
      <c r="A3774" t="inlineStr">
        <is>
          <t>PRD-1258</t>
        </is>
      </c>
      <c r="B3774" t="inlineStr">
        <is>
          <t>Production</t>
        </is>
      </c>
      <c r="AB3774" t="n">
        <v>1258</v>
      </c>
      <c r="AD3774" s="52">
        <f>IFERROR(N(IFERROR(INDEX($A3774:$AB3774,MATCH("Xero Invoiced Ex GST",$A$1:$AB$1,0)),"")),0)</f>
        <v/>
      </c>
      <c r="AE3774" s="53">
        <f>IFERROR(INDEX($A3774:$AB3774,MATCH("Xero Invoice Date",$A$1:$AB$1,0)),"")</f>
        <v/>
      </c>
      <c r="AF3774" s="54">
        <f>IF(AND(IFERROR(INDEX($A3774:$AB3774,MATCH("Xero Invoice No",$A$1:$AB$1,0)),"")&amp;""&lt;&gt;"",ISNUMBER(AE3774),AD3774&lt;&gt;0),1,0)</f>
        <v/>
      </c>
      <c r="AG3774" s="55">
        <f>IF(AF3774=1,EOMONTH(AE3774,0),"")</f>
        <v/>
      </c>
      <c r="AH3774" s="9">
        <f>IF(AF3774=1,UPPER(TRIM(IFERROR(INDEX($A3774:$AB3774,MATCH("Client",$A$1:$AB$1,0)),"")&amp;"")),"")</f>
        <v/>
      </c>
      <c r="AI3774" s="9">
        <f>IF(AF3774=1,IFERROR(INDEX($A3774:$AB3774,MATCH("Cost Centre",$A$1:$AB$1,0)),"")&amp;"","")</f>
        <v/>
      </c>
      <c r="AJ3774" s="54">
        <f>IF(AND(AF3774=1,AE3774&gt;=set_FYStart,AE3774&lt;=set_AsAt),1,0)</f>
        <v/>
      </c>
      <c r="AK3774" s="54">
        <f>IF(AND(AJ3774=1,AH3774&lt;&gt;"",COUNTIFS($AH$2:AH3774,AH3774,$AJ$2:AJ3774,1)=1),N(AL3773)+1,"")</f>
        <v/>
      </c>
      <c r="AL3774" s="54">
        <f>IF(AK3774&lt;&gt;"",AK3774,N(AL3773))</f>
        <v/>
      </c>
    </row>
    <row r="3775">
      <c r="A3775" t="inlineStr">
        <is>
          <t>CON-1258</t>
        </is>
      </c>
      <c r="B3775" t="inlineStr">
        <is>
          <t>Consulting</t>
        </is>
      </c>
      <c r="AB3775" t="n">
        <v>1258</v>
      </c>
      <c r="AD3775" s="52">
        <f>IFERROR(N(IFERROR(INDEX($A3775:$AB3775,MATCH("Xero Invoiced Ex GST",$A$1:$AB$1,0)),"")),0)</f>
        <v/>
      </c>
      <c r="AE3775" s="53">
        <f>IFERROR(INDEX($A3775:$AB3775,MATCH("Xero Invoice Date",$A$1:$AB$1,0)),"")</f>
        <v/>
      </c>
      <c r="AF3775" s="54">
        <f>IF(AND(IFERROR(INDEX($A3775:$AB3775,MATCH("Xero Invoice No",$A$1:$AB$1,0)),"")&amp;""&lt;&gt;"",ISNUMBER(AE3775),AD3775&lt;&gt;0),1,0)</f>
        <v/>
      </c>
      <c r="AG3775" s="55">
        <f>IF(AF3775=1,EOMONTH(AE3775,0),"")</f>
        <v/>
      </c>
      <c r="AH3775" s="9">
        <f>IF(AF3775=1,UPPER(TRIM(IFERROR(INDEX($A3775:$AB3775,MATCH("Client",$A$1:$AB$1,0)),"")&amp;"")),"")</f>
        <v/>
      </c>
      <c r="AI3775" s="9">
        <f>IF(AF3775=1,IFERROR(INDEX($A3775:$AB3775,MATCH("Cost Centre",$A$1:$AB$1,0)),"")&amp;"","")</f>
        <v/>
      </c>
      <c r="AJ3775" s="54">
        <f>IF(AND(AF3775=1,AE3775&gt;=set_FYStart,AE3775&lt;=set_AsAt),1,0)</f>
        <v/>
      </c>
      <c r="AK3775" s="54">
        <f>IF(AND(AJ3775=1,AH3775&lt;&gt;"",COUNTIFS($AH$2:AH3775,AH3775,$AJ$2:AJ3775,1)=1),N(AL3774)+1,"")</f>
        <v/>
      </c>
      <c r="AL3775" s="54">
        <f>IF(AK3775&lt;&gt;"",AK3775,N(AL3774))</f>
        <v/>
      </c>
    </row>
    <row r="3776">
      <c r="A3776" t="inlineStr">
        <is>
          <t>ONS-1259</t>
        </is>
      </c>
      <c r="B3776" t="inlineStr">
        <is>
          <t>Onsite</t>
        </is>
      </c>
      <c r="AB3776" t="n">
        <v>1259</v>
      </c>
      <c r="AD3776" s="52">
        <f>IFERROR(N(IFERROR(INDEX($A3776:$AB3776,MATCH("Xero Invoiced Ex GST",$A$1:$AB$1,0)),"")),0)</f>
        <v/>
      </c>
      <c r="AE3776" s="53">
        <f>IFERROR(INDEX($A3776:$AB3776,MATCH("Xero Invoice Date",$A$1:$AB$1,0)),"")</f>
        <v/>
      </c>
      <c r="AF3776" s="54">
        <f>IF(AND(IFERROR(INDEX($A3776:$AB3776,MATCH("Xero Invoice No",$A$1:$AB$1,0)),"")&amp;""&lt;&gt;"",ISNUMBER(AE3776),AD3776&lt;&gt;0),1,0)</f>
        <v/>
      </c>
      <c r="AG3776" s="55">
        <f>IF(AF3776=1,EOMONTH(AE3776,0),"")</f>
        <v/>
      </c>
      <c r="AH3776" s="9">
        <f>IF(AF3776=1,UPPER(TRIM(IFERROR(INDEX($A3776:$AB3776,MATCH("Client",$A$1:$AB$1,0)),"")&amp;"")),"")</f>
        <v/>
      </c>
      <c r="AI3776" s="9">
        <f>IF(AF3776=1,IFERROR(INDEX($A3776:$AB3776,MATCH("Cost Centre",$A$1:$AB$1,0)),"")&amp;"","")</f>
        <v/>
      </c>
      <c r="AJ3776" s="54">
        <f>IF(AND(AF3776=1,AE3776&gt;=set_FYStart,AE3776&lt;=set_AsAt),1,0)</f>
        <v/>
      </c>
      <c r="AK3776" s="54">
        <f>IF(AND(AJ3776=1,AH3776&lt;&gt;"",COUNTIFS($AH$2:AH3776,AH3776,$AJ$2:AJ3776,1)=1),N(AL3775)+1,"")</f>
        <v/>
      </c>
      <c r="AL3776" s="54">
        <f>IF(AK3776&lt;&gt;"",AK3776,N(AL3775))</f>
        <v/>
      </c>
    </row>
    <row r="3777">
      <c r="A3777" t="inlineStr">
        <is>
          <t>PRD-1259</t>
        </is>
      </c>
      <c r="B3777" t="inlineStr">
        <is>
          <t>Production</t>
        </is>
      </c>
      <c r="AB3777" t="n">
        <v>1259</v>
      </c>
      <c r="AD3777" s="52">
        <f>IFERROR(N(IFERROR(INDEX($A3777:$AB3777,MATCH("Xero Invoiced Ex GST",$A$1:$AB$1,0)),"")),0)</f>
        <v/>
      </c>
      <c r="AE3777" s="53">
        <f>IFERROR(INDEX($A3777:$AB3777,MATCH("Xero Invoice Date",$A$1:$AB$1,0)),"")</f>
        <v/>
      </c>
      <c r="AF3777" s="54">
        <f>IF(AND(IFERROR(INDEX($A3777:$AB3777,MATCH("Xero Invoice No",$A$1:$AB$1,0)),"")&amp;""&lt;&gt;"",ISNUMBER(AE3777),AD3777&lt;&gt;0),1,0)</f>
        <v/>
      </c>
      <c r="AG3777" s="55">
        <f>IF(AF3777=1,EOMONTH(AE3777,0),"")</f>
        <v/>
      </c>
      <c r="AH3777" s="9">
        <f>IF(AF3777=1,UPPER(TRIM(IFERROR(INDEX($A3777:$AB3777,MATCH("Client",$A$1:$AB$1,0)),"")&amp;"")),"")</f>
        <v/>
      </c>
      <c r="AI3777" s="9">
        <f>IF(AF3777=1,IFERROR(INDEX($A3777:$AB3777,MATCH("Cost Centre",$A$1:$AB$1,0)),"")&amp;"","")</f>
        <v/>
      </c>
      <c r="AJ3777" s="54">
        <f>IF(AND(AF3777=1,AE3777&gt;=set_FYStart,AE3777&lt;=set_AsAt),1,0)</f>
        <v/>
      </c>
      <c r="AK3777" s="54">
        <f>IF(AND(AJ3777=1,AH3777&lt;&gt;"",COUNTIFS($AH$2:AH3777,AH3777,$AJ$2:AJ3777,1)=1),N(AL3776)+1,"")</f>
        <v/>
      </c>
      <c r="AL3777" s="54">
        <f>IF(AK3777&lt;&gt;"",AK3777,N(AL3776))</f>
        <v/>
      </c>
    </row>
    <row r="3778">
      <c r="A3778" t="inlineStr">
        <is>
          <t>CON-1259</t>
        </is>
      </c>
      <c r="B3778" t="inlineStr">
        <is>
          <t>Consulting</t>
        </is>
      </c>
      <c r="AB3778" t="n">
        <v>1259</v>
      </c>
      <c r="AD3778" s="52">
        <f>IFERROR(N(IFERROR(INDEX($A3778:$AB3778,MATCH("Xero Invoiced Ex GST",$A$1:$AB$1,0)),"")),0)</f>
        <v/>
      </c>
      <c r="AE3778" s="53">
        <f>IFERROR(INDEX($A3778:$AB3778,MATCH("Xero Invoice Date",$A$1:$AB$1,0)),"")</f>
        <v/>
      </c>
      <c r="AF3778" s="54">
        <f>IF(AND(IFERROR(INDEX($A3778:$AB3778,MATCH("Xero Invoice No",$A$1:$AB$1,0)),"")&amp;""&lt;&gt;"",ISNUMBER(AE3778),AD3778&lt;&gt;0),1,0)</f>
        <v/>
      </c>
      <c r="AG3778" s="55">
        <f>IF(AF3778=1,EOMONTH(AE3778,0),"")</f>
        <v/>
      </c>
      <c r="AH3778" s="9">
        <f>IF(AF3778=1,UPPER(TRIM(IFERROR(INDEX($A3778:$AB3778,MATCH("Client",$A$1:$AB$1,0)),"")&amp;"")),"")</f>
        <v/>
      </c>
      <c r="AI3778" s="9">
        <f>IF(AF3778=1,IFERROR(INDEX($A3778:$AB3778,MATCH("Cost Centre",$A$1:$AB$1,0)),"")&amp;"","")</f>
        <v/>
      </c>
      <c r="AJ3778" s="54">
        <f>IF(AND(AF3778=1,AE3778&gt;=set_FYStart,AE3778&lt;=set_AsAt),1,0)</f>
        <v/>
      </c>
      <c r="AK3778" s="54">
        <f>IF(AND(AJ3778=1,AH3778&lt;&gt;"",COUNTIFS($AH$2:AH3778,AH3778,$AJ$2:AJ3778,1)=1),N(AL3777)+1,"")</f>
        <v/>
      </c>
      <c r="AL3778" s="54">
        <f>IF(AK3778&lt;&gt;"",AK3778,N(AL3777))</f>
        <v/>
      </c>
    </row>
    <row r="3779">
      <c r="A3779" t="inlineStr">
        <is>
          <t>ONS-1260</t>
        </is>
      </c>
      <c r="B3779" t="inlineStr">
        <is>
          <t>Onsite</t>
        </is>
      </c>
      <c r="AB3779" t="n">
        <v>1260</v>
      </c>
      <c r="AD3779" s="52">
        <f>IFERROR(N(IFERROR(INDEX($A3779:$AB3779,MATCH("Xero Invoiced Ex GST",$A$1:$AB$1,0)),"")),0)</f>
        <v/>
      </c>
      <c r="AE3779" s="53">
        <f>IFERROR(INDEX($A3779:$AB3779,MATCH("Xero Invoice Date",$A$1:$AB$1,0)),"")</f>
        <v/>
      </c>
      <c r="AF3779" s="54">
        <f>IF(AND(IFERROR(INDEX($A3779:$AB3779,MATCH("Xero Invoice No",$A$1:$AB$1,0)),"")&amp;""&lt;&gt;"",ISNUMBER(AE3779),AD3779&lt;&gt;0),1,0)</f>
        <v/>
      </c>
      <c r="AG3779" s="55">
        <f>IF(AF3779=1,EOMONTH(AE3779,0),"")</f>
        <v/>
      </c>
      <c r="AH3779" s="9">
        <f>IF(AF3779=1,UPPER(TRIM(IFERROR(INDEX($A3779:$AB3779,MATCH("Client",$A$1:$AB$1,0)),"")&amp;"")),"")</f>
        <v/>
      </c>
      <c r="AI3779" s="9">
        <f>IF(AF3779=1,IFERROR(INDEX($A3779:$AB3779,MATCH("Cost Centre",$A$1:$AB$1,0)),"")&amp;"","")</f>
        <v/>
      </c>
      <c r="AJ3779" s="54">
        <f>IF(AND(AF3779=1,AE3779&gt;=set_FYStart,AE3779&lt;=set_AsAt),1,0)</f>
        <v/>
      </c>
      <c r="AK3779" s="54">
        <f>IF(AND(AJ3779=1,AH3779&lt;&gt;"",COUNTIFS($AH$2:AH3779,AH3779,$AJ$2:AJ3779,1)=1),N(AL3778)+1,"")</f>
        <v/>
      </c>
      <c r="AL3779" s="54">
        <f>IF(AK3779&lt;&gt;"",AK3779,N(AL3778))</f>
        <v/>
      </c>
    </row>
    <row r="3780">
      <c r="A3780" t="inlineStr">
        <is>
          <t>PRD-1260</t>
        </is>
      </c>
      <c r="B3780" t="inlineStr">
        <is>
          <t>Production</t>
        </is>
      </c>
      <c r="AB3780" t="n">
        <v>1260</v>
      </c>
      <c r="AD3780" s="52">
        <f>IFERROR(N(IFERROR(INDEX($A3780:$AB3780,MATCH("Xero Invoiced Ex GST",$A$1:$AB$1,0)),"")),0)</f>
        <v/>
      </c>
      <c r="AE3780" s="53">
        <f>IFERROR(INDEX($A3780:$AB3780,MATCH("Xero Invoice Date",$A$1:$AB$1,0)),"")</f>
        <v/>
      </c>
      <c r="AF3780" s="54">
        <f>IF(AND(IFERROR(INDEX($A3780:$AB3780,MATCH("Xero Invoice No",$A$1:$AB$1,0)),"")&amp;""&lt;&gt;"",ISNUMBER(AE3780),AD3780&lt;&gt;0),1,0)</f>
        <v/>
      </c>
      <c r="AG3780" s="55">
        <f>IF(AF3780=1,EOMONTH(AE3780,0),"")</f>
        <v/>
      </c>
      <c r="AH3780" s="9">
        <f>IF(AF3780=1,UPPER(TRIM(IFERROR(INDEX($A3780:$AB3780,MATCH("Client",$A$1:$AB$1,0)),"")&amp;"")),"")</f>
        <v/>
      </c>
      <c r="AI3780" s="9">
        <f>IF(AF3780=1,IFERROR(INDEX($A3780:$AB3780,MATCH("Cost Centre",$A$1:$AB$1,0)),"")&amp;"","")</f>
        <v/>
      </c>
      <c r="AJ3780" s="54">
        <f>IF(AND(AF3780=1,AE3780&gt;=set_FYStart,AE3780&lt;=set_AsAt),1,0)</f>
        <v/>
      </c>
      <c r="AK3780" s="54">
        <f>IF(AND(AJ3780=1,AH3780&lt;&gt;"",COUNTIFS($AH$2:AH3780,AH3780,$AJ$2:AJ3780,1)=1),N(AL3779)+1,"")</f>
        <v/>
      </c>
      <c r="AL3780" s="54">
        <f>IF(AK3780&lt;&gt;"",AK3780,N(AL3779))</f>
        <v/>
      </c>
    </row>
    <row r="3781">
      <c r="A3781" t="inlineStr">
        <is>
          <t>CON-1260</t>
        </is>
      </c>
      <c r="B3781" t="inlineStr">
        <is>
          <t>Consulting</t>
        </is>
      </c>
      <c r="AB3781" t="n">
        <v>1260</v>
      </c>
      <c r="AD3781" s="52">
        <f>IFERROR(N(IFERROR(INDEX($A3781:$AB3781,MATCH("Xero Invoiced Ex GST",$A$1:$AB$1,0)),"")),0)</f>
        <v/>
      </c>
      <c r="AE3781" s="53">
        <f>IFERROR(INDEX($A3781:$AB3781,MATCH("Xero Invoice Date",$A$1:$AB$1,0)),"")</f>
        <v/>
      </c>
      <c r="AF3781" s="54">
        <f>IF(AND(IFERROR(INDEX($A3781:$AB3781,MATCH("Xero Invoice No",$A$1:$AB$1,0)),"")&amp;""&lt;&gt;"",ISNUMBER(AE3781),AD3781&lt;&gt;0),1,0)</f>
        <v/>
      </c>
      <c r="AG3781" s="55">
        <f>IF(AF3781=1,EOMONTH(AE3781,0),"")</f>
        <v/>
      </c>
      <c r="AH3781" s="9">
        <f>IF(AF3781=1,UPPER(TRIM(IFERROR(INDEX($A3781:$AB3781,MATCH("Client",$A$1:$AB$1,0)),"")&amp;"")),"")</f>
        <v/>
      </c>
      <c r="AI3781" s="9">
        <f>IF(AF3781=1,IFERROR(INDEX($A3781:$AB3781,MATCH("Cost Centre",$A$1:$AB$1,0)),"")&amp;"","")</f>
        <v/>
      </c>
      <c r="AJ3781" s="54">
        <f>IF(AND(AF3781=1,AE3781&gt;=set_FYStart,AE3781&lt;=set_AsAt),1,0)</f>
        <v/>
      </c>
      <c r="AK3781" s="54">
        <f>IF(AND(AJ3781=1,AH3781&lt;&gt;"",COUNTIFS($AH$2:AH3781,AH3781,$AJ$2:AJ3781,1)=1),N(AL3780)+1,"")</f>
        <v/>
      </c>
      <c r="AL3781" s="54">
        <f>IF(AK3781&lt;&gt;"",AK3781,N(AL3780))</f>
        <v/>
      </c>
    </row>
    <row r="3782">
      <c r="A3782" t="inlineStr">
        <is>
          <t>ONS-1261</t>
        </is>
      </c>
      <c r="B3782" t="inlineStr">
        <is>
          <t>Onsite</t>
        </is>
      </c>
      <c r="AB3782" t="n">
        <v>1261</v>
      </c>
      <c r="AD3782" s="52">
        <f>IFERROR(N(IFERROR(INDEX($A3782:$AB3782,MATCH("Xero Invoiced Ex GST",$A$1:$AB$1,0)),"")),0)</f>
        <v/>
      </c>
      <c r="AE3782" s="53">
        <f>IFERROR(INDEX($A3782:$AB3782,MATCH("Xero Invoice Date",$A$1:$AB$1,0)),"")</f>
        <v/>
      </c>
      <c r="AF3782" s="54">
        <f>IF(AND(IFERROR(INDEX($A3782:$AB3782,MATCH("Xero Invoice No",$A$1:$AB$1,0)),"")&amp;""&lt;&gt;"",ISNUMBER(AE3782),AD3782&lt;&gt;0),1,0)</f>
        <v/>
      </c>
      <c r="AG3782" s="55">
        <f>IF(AF3782=1,EOMONTH(AE3782,0),"")</f>
        <v/>
      </c>
      <c r="AH3782" s="9">
        <f>IF(AF3782=1,UPPER(TRIM(IFERROR(INDEX($A3782:$AB3782,MATCH("Client",$A$1:$AB$1,0)),"")&amp;"")),"")</f>
        <v/>
      </c>
      <c r="AI3782" s="9">
        <f>IF(AF3782=1,IFERROR(INDEX($A3782:$AB3782,MATCH("Cost Centre",$A$1:$AB$1,0)),"")&amp;"","")</f>
        <v/>
      </c>
      <c r="AJ3782" s="54">
        <f>IF(AND(AF3782=1,AE3782&gt;=set_FYStart,AE3782&lt;=set_AsAt),1,0)</f>
        <v/>
      </c>
      <c r="AK3782" s="54">
        <f>IF(AND(AJ3782=1,AH3782&lt;&gt;"",COUNTIFS($AH$2:AH3782,AH3782,$AJ$2:AJ3782,1)=1),N(AL3781)+1,"")</f>
        <v/>
      </c>
      <c r="AL3782" s="54">
        <f>IF(AK3782&lt;&gt;"",AK3782,N(AL3781))</f>
        <v/>
      </c>
    </row>
    <row r="3783">
      <c r="A3783" t="inlineStr">
        <is>
          <t>PRD-1261</t>
        </is>
      </c>
      <c r="B3783" t="inlineStr">
        <is>
          <t>Production</t>
        </is>
      </c>
      <c r="AB3783" t="n">
        <v>1261</v>
      </c>
      <c r="AD3783" s="52">
        <f>IFERROR(N(IFERROR(INDEX($A3783:$AB3783,MATCH("Xero Invoiced Ex GST",$A$1:$AB$1,0)),"")),0)</f>
        <v/>
      </c>
      <c r="AE3783" s="53">
        <f>IFERROR(INDEX($A3783:$AB3783,MATCH("Xero Invoice Date",$A$1:$AB$1,0)),"")</f>
        <v/>
      </c>
      <c r="AF3783" s="54">
        <f>IF(AND(IFERROR(INDEX($A3783:$AB3783,MATCH("Xero Invoice No",$A$1:$AB$1,0)),"")&amp;""&lt;&gt;"",ISNUMBER(AE3783),AD3783&lt;&gt;0),1,0)</f>
        <v/>
      </c>
      <c r="AG3783" s="55">
        <f>IF(AF3783=1,EOMONTH(AE3783,0),"")</f>
        <v/>
      </c>
      <c r="AH3783" s="9">
        <f>IF(AF3783=1,UPPER(TRIM(IFERROR(INDEX($A3783:$AB3783,MATCH("Client",$A$1:$AB$1,0)),"")&amp;"")),"")</f>
        <v/>
      </c>
      <c r="AI3783" s="9">
        <f>IF(AF3783=1,IFERROR(INDEX($A3783:$AB3783,MATCH("Cost Centre",$A$1:$AB$1,0)),"")&amp;"","")</f>
        <v/>
      </c>
      <c r="AJ3783" s="54">
        <f>IF(AND(AF3783=1,AE3783&gt;=set_FYStart,AE3783&lt;=set_AsAt),1,0)</f>
        <v/>
      </c>
      <c r="AK3783" s="54">
        <f>IF(AND(AJ3783=1,AH3783&lt;&gt;"",COUNTIFS($AH$2:AH3783,AH3783,$AJ$2:AJ3783,1)=1),N(AL3782)+1,"")</f>
        <v/>
      </c>
      <c r="AL3783" s="54">
        <f>IF(AK3783&lt;&gt;"",AK3783,N(AL3782))</f>
        <v/>
      </c>
    </row>
    <row r="3784">
      <c r="A3784" t="inlineStr">
        <is>
          <t>CON-1261</t>
        </is>
      </c>
      <c r="B3784" t="inlineStr">
        <is>
          <t>Consulting</t>
        </is>
      </c>
      <c r="AB3784" t="n">
        <v>1261</v>
      </c>
      <c r="AD3784" s="52">
        <f>IFERROR(N(IFERROR(INDEX($A3784:$AB3784,MATCH("Xero Invoiced Ex GST",$A$1:$AB$1,0)),"")),0)</f>
        <v/>
      </c>
      <c r="AE3784" s="53">
        <f>IFERROR(INDEX($A3784:$AB3784,MATCH("Xero Invoice Date",$A$1:$AB$1,0)),"")</f>
        <v/>
      </c>
      <c r="AF3784" s="54">
        <f>IF(AND(IFERROR(INDEX($A3784:$AB3784,MATCH("Xero Invoice No",$A$1:$AB$1,0)),"")&amp;""&lt;&gt;"",ISNUMBER(AE3784),AD3784&lt;&gt;0),1,0)</f>
        <v/>
      </c>
      <c r="AG3784" s="55">
        <f>IF(AF3784=1,EOMONTH(AE3784,0),"")</f>
        <v/>
      </c>
      <c r="AH3784" s="9">
        <f>IF(AF3784=1,UPPER(TRIM(IFERROR(INDEX($A3784:$AB3784,MATCH("Client",$A$1:$AB$1,0)),"")&amp;"")),"")</f>
        <v/>
      </c>
      <c r="AI3784" s="9">
        <f>IF(AF3784=1,IFERROR(INDEX($A3784:$AB3784,MATCH("Cost Centre",$A$1:$AB$1,0)),"")&amp;"","")</f>
        <v/>
      </c>
      <c r="AJ3784" s="54">
        <f>IF(AND(AF3784=1,AE3784&gt;=set_FYStart,AE3784&lt;=set_AsAt),1,0)</f>
        <v/>
      </c>
      <c r="AK3784" s="54">
        <f>IF(AND(AJ3784=1,AH3784&lt;&gt;"",COUNTIFS($AH$2:AH3784,AH3784,$AJ$2:AJ3784,1)=1),N(AL3783)+1,"")</f>
        <v/>
      </c>
      <c r="AL3784" s="54">
        <f>IF(AK3784&lt;&gt;"",AK3784,N(AL3783))</f>
        <v/>
      </c>
    </row>
    <row r="3785">
      <c r="A3785" t="inlineStr">
        <is>
          <t>ONS-1262</t>
        </is>
      </c>
      <c r="B3785" t="inlineStr">
        <is>
          <t>Onsite</t>
        </is>
      </c>
      <c r="AB3785" t="n">
        <v>1262</v>
      </c>
      <c r="AD3785" s="52">
        <f>IFERROR(N(IFERROR(INDEX($A3785:$AB3785,MATCH("Xero Invoiced Ex GST",$A$1:$AB$1,0)),"")),0)</f>
        <v/>
      </c>
      <c r="AE3785" s="53">
        <f>IFERROR(INDEX($A3785:$AB3785,MATCH("Xero Invoice Date",$A$1:$AB$1,0)),"")</f>
        <v/>
      </c>
      <c r="AF3785" s="54">
        <f>IF(AND(IFERROR(INDEX($A3785:$AB3785,MATCH("Xero Invoice No",$A$1:$AB$1,0)),"")&amp;""&lt;&gt;"",ISNUMBER(AE3785),AD3785&lt;&gt;0),1,0)</f>
        <v/>
      </c>
      <c r="AG3785" s="55">
        <f>IF(AF3785=1,EOMONTH(AE3785,0),"")</f>
        <v/>
      </c>
      <c r="AH3785" s="9">
        <f>IF(AF3785=1,UPPER(TRIM(IFERROR(INDEX($A3785:$AB3785,MATCH("Client",$A$1:$AB$1,0)),"")&amp;"")),"")</f>
        <v/>
      </c>
      <c r="AI3785" s="9">
        <f>IF(AF3785=1,IFERROR(INDEX($A3785:$AB3785,MATCH("Cost Centre",$A$1:$AB$1,0)),"")&amp;"","")</f>
        <v/>
      </c>
      <c r="AJ3785" s="54">
        <f>IF(AND(AF3785=1,AE3785&gt;=set_FYStart,AE3785&lt;=set_AsAt),1,0)</f>
        <v/>
      </c>
      <c r="AK3785" s="54">
        <f>IF(AND(AJ3785=1,AH3785&lt;&gt;"",COUNTIFS($AH$2:AH3785,AH3785,$AJ$2:AJ3785,1)=1),N(AL3784)+1,"")</f>
        <v/>
      </c>
      <c r="AL3785" s="54">
        <f>IF(AK3785&lt;&gt;"",AK3785,N(AL3784))</f>
        <v/>
      </c>
    </row>
    <row r="3786">
      <c r="A3786" t="inlineStr">
        <is>
          <t>PRD-1262</t>
        </is>
      </c>
      <c r="B3786" t="inlineStr">
        <is>
          <t>Production</t>
        </is>
      </c>
      <c r="AB3786" t="n">
        <v>1262</v>
      </c>
      <c r="AD3786" s="52">
        <f>IFERROR(N(IFERROR(INDEX($A3786:$AB3786,MATCH("Xero Invoiced Ex GST",$A$1:$AB$1,0)),"")),0)</f>
        <v/>
      </c>
      <c r="AE3786" s="53">
        <f>IFERROR(INDEX($A3786:$AB3786,MATCH("Xero Invoice Date",$A$1:$AB$1,0)),"")</f>
        <v/>
      </c>
      <c r="AF3786" s="54">
        <f>IF(AND(IFERROR(INDEX($A3786:$AB3786,MATCH("Xero Invoice No",$A$1:$AB$1,0)),"")&amp;""&lt;&gt;"",ISNUMBER(AE3786),AD3786&lt;&gt;0),1,0)</f>
        <v/>
      </c>
      <c r="AG3786" s="55">
        <f>IF(AF3786=1,EOMONTH(AE3786,0),"")</f>
        <v/>
      </c>
      <c r="AH3786" s="9">
        <f>IF(AF3786=1,UPPER(TRIM(IFERROR(INDEX($A3786:$AB3786,MATCH("Client",$A$1:$AB$1,0)),"")&amp;"")),"")</f>
        <v/>
      </c>
      <c r="AI3786" s="9">
        <f>IF(AF3786=1,IFERROR(INDEX($A3786:$AB3786,MATCH("Cost Centre",$A$1:$AB$1,0)),"")&amp;"","")</f>
        <v/>
      </c>
      <c r="AJ3786" s="54">
        <f>IF(AND(AF3786=1,AE3786&gt;=set_FYStart,AE3786&lt;=set_AsAt),1,0)</f>
        <v/>
      </c>
      <c r="AK3786" s="54">
        <f>IF(AND(AJ3786=1,AH3786&lt;&gt;"",COUNTIFS($AH$2:AH3786,AH3786,$AJ$2:AJ3786,1)=1),N(AL3785)+1,"")</f>
        <v/>
      </c>
      <c r="AL3786" s="54">
        <f>IF(AK3786&lt;&gt;"",AK3786,N(AL3785))</f>
        <v/>
      </c>
    </row>
    <row r="3787">
      <c r="A3787" t="inlineStr">
        <is>
          <t>CON-1262</t>
        </is>
      </c>
      <c r="B3787" t="inlineStr">
        <is>
          <t>Consulting</t>
        </is>
      </c>
      <c r="AB3787" t="n">
        <v>1262</v>
      </c>
      <c r="AD3787" s="52">
        <f>IFERROR(N(IFERROR(INDEX($A3787:$AB3787,MATCH("Xero Invoiced Ex GST",$A$1:$AB$1,0)),"")),0)</f>
        <v/>
      </c>
      <c r="AE3787" s="53">
        <f>IFERROR(INDEX($A3787:$AB3787,MATCH("Xero Invoice Date",$A$1:$AB$1,0)),"")</f>
        <v/>
      </c>
      <c r="AF3787" s="54">
        <f>IF(AND(IFERROR(INDEX($A3787:$AB3787,MATCH("Xero Invoice No",$A$1:$AB$1,0)),"")&amp;""&lt;&gt;"",ISNUMBER(AE3787),AD3787&lt;&gt;0),1,0)</f>
        <v/>
      </c>
      <c r="AG3787" s="55">
        <f>IF(AF3787=1,EOMONTH(AE3787,0),"")</f>
        <v/>
      </c>
      <c r="AH3787" s="9">
        <f>IF(AF3787=1,UPPER(TRIM(IFERROR(INDEX($A3787:$AB3787,MATCH("Client",$A$1:$AB$1,0)),"")&amp;"")),"")</f>
        <v/>
      </c>
      <c r="AI3787" s="9">
        <f>IF(AF3787=1,IFERROR(INDEX($A3787:$AB3787,MATCH("Cost Centre",$A$1:$AB$1,0)),"")&amp;"","")</f>
        <v/>
      </c>
      <c r="AJ3787" s="54">
        <f>IF(AND(AF3787=1,AE3787&gt;=set_FYStart,AE3787&lt;=set_AsAt),1,0)</f>
        <v/>
      </c>
      <c r="AK3787" s="54">
        <f>IF(AND(AJ3787=1,AH3787&lt;&gt;"",COUNTIFS($AH$2:AH3787,AH3787,$AJ$2:AJ3787,1)=1),N(AL3786)+1,"")</f>
        <v/>
      </c>
      <c r="AL3787" s="54">
        <f>IF(AK3787&lt;&gt;"",AK3787,N(AL3786))</f>
        <v/>
      </c>
    </row>
    <row r="3788">
      <c r="A3788" t="inlineStr">
        <is>
          <t>ONS-1263</t>
        </is>
      </c>
      <c r="B3788" t="inlineStr">
        <is>
          <t>Onsite</t>
        </is>
      </c>
      <c r="AB3788" t="n">
        <v>1263</v>
      </c>
      <c r="AD3788" s="52">
        <f>IFERROR(N(IFERROR(INDEX($A3788:$AB3788,MATCH("Xero Invoiced Ex GST",$A$1:$AB$1,0)),"")),0)</f>
        <v/>
      </c>
      <c r="AE3788" s="53">
        <f>IFERROR(INDEX($A3788:$AB3788,MATCH("Xero Invoice Date",$A$1:$AB$1,0)),"")</f>
        <v/>
      </c>
      <c r="AF3788" s="54">
        <f>IF(AND(IFERROR(INDEX($A3788:$AB3788,MATCH("Xero Invoice No",$A$1:$AB$1,0)),"")&amp;""&lt;&gt;"",ISNUMBER(AE3788),AD3788&lt;&gt;0),1,0)</f>
        <v/>
      </c>
      <c r="AG3788" s="55">
        <f>IF(AF3788=1,EOMONTH(AE3788,0),"")</f>
        <v/>
      </c>
      <c r="AH3788" s="9">
        <f>IF(AF3788=1,UPPER(TRIM(IFERROR(INDEX($A3788:$AB3788,MATCH("Client",$A$1:$AB$1,0)),"")&amp;"")),"")</f>
        <v/>
      </c>
      <c r="AI3788" s="9">
        <f>IF(AF3788=1,IFERROR(INDEX($A3788:$AB3788,MATCH("Cost Centre",$A$1:$AB$1,0)),"")&amp;"","")</f>
        <v/>
      </c>
      <c r="AJ3788" s="54">
        <f>IF(AND(AF3788=1,AE3788&gt;=set_FYStart,AE3788&lt;=set_AsAt),1,0)</f>
        <v/>
      </c>
      <c r="AK3788" s="54">
        <f>IF(AND(AJ3788=1,AH3788&lt;&gt;"",COUNTIFS($AH$2:AH3788,AH3788,$AJ$2:AJ3788,1)=1),N(AL3787)+1,"")</f>
        <v/>
      </c>
      <c r="AL3788" s="54">
        <f>IF(AK3788&lt;&gt;"",AK3788,N(AL3787))</f>
        <v/>
      </c>
    </row>
    <row r="3789">
      <c r="A3789" t="inlineStr">
        <is>
          <t>PRD-1263</t>
        </is>
      </c>
      <c r="B3789" t="inlineStr">
        <is>
          <t>Production</t>
        </is>
      </c>
      <c r="AB3789" t="n">
        <v>1263</v>
      </c>
      <c r="AD3789" s="52">
        <f>IFERROR(N(IFERROR(INDEX($A3789:$AB3789,MATCH("Xero Invoiced Ex GST",$A$1:$AB$1,0)),"")),0)</f>
        <v/>
      </c>
      <c r="AE3789" s="53">
        <f>IFERROR(INDEX($A3789:$AB3789,MATCH("Xero Invoice Date",$A$1:$AB$1,0)),"")</f>
        <v/>
      </c>
      <c r="AF3789" s="54">
        <f>IF(AND(IFERROR(INDEX($A3789:$AB3789,MATCH("Xero Invoice No",$A$1:$AB$1,0)),"")&amp;""&lt;&gt;"",ISNUMBER(AE3789),AD3789&lt;&gt;0),1,0)</f>
        <v/>
      </c>
      <c r="AG3789" s="55">
        <f>IF(AF3789=1,EOMONTH(AE3789,0),"")</f>
        <v/>
      </c>
      <c r="AH3789" s="9">
        <f>IF(AF3789=1,UPPER(TRIM(IFERROR(INDEX($A3789:$AB3789,MATCH("Client",$A$1:$AB$1,0)),"")&amp;"")),"")</f>
        <v/>
      </c>
      <c r="AI3789" s="9">
        <f>IF(AF3789=1,IFERROR(INDEX($A3789:$AB3789,MATCH("Cost Centre",$A$1:$AB$1,0)),"")&amp;"","")</f>
        <v/>
      </c>
      <c r="AJ3789" s="54">
        <f>IF(AND(AF3789=1,AE3789&gt;=set_FYStart,AE3789&lt;=set_AsAt),1,0)</f>
        <v/>
      </c>
      <c r="AK3789" s="54">
        <f>IF(AND(AJ3789=1,AH3789&lt;&gt;"",COUNTIFS($AH$2:AH3789,AH3789,$AJ$2:AJ3789,1)=1),N(AL3788)+1,"")</f>
        <v/>
      </c>
      <c r="AL3789" s="54">
        <f>IF(AK3789&lt;&gt;"",AK3789,N(AL3788))</f>
        <v/>
      </c>
    </row>
    <row r="3790">
      <c r="A3790" t="inlineStr">
        <is>
          <t>CON-1263</t>
        </is>
      </c>
      <c r="B3790" t="inlineStr">
        <is>
          <t>Consulting</t>
        </is>
      </c>
      <c r="AB3790" t="n">
        <v>1263</v>
      </c>
      <c r="AD3790" s="52">
        <f>IFERROR(N(IFERROR(INDEX($A3790:$AB3790,MATCH("Xero Invoiced Ex GST",$A$1:$AB$1,0)),"")),0)</f>
        <v/>
      </c>
      <c r="AE3790" s="53">
        <f>IFERROR(INDEX($A3790:$AB3790,MATCH("Xero Invoice Date",$A$1:$AB$1,0)),"")</f>
        <v/>
      </c>
      <c r="AF3790" s="54">
        <f>IF(AND(IFERROR(INDEX($A3790:$AB3790,MATCH("Xero Invoice No",$A$1:$AB$1,0)),"")&amp;""&lt;&gt;"",ISNUMBER(AE3790),AD3790&lt;&gt;0),1,0)</f>
        <v/>
      </c>
      <c r="AG3790" s="55">
        <f>IF(AF3790=1,EOMONTH(AE3790,0),"")</f>
        <v/>
      </c>
      <c r="AH3790" s="9">
        <f>IF(AF3790=1,UPPER(TRIM(IFERROR(INDEX($A3790:$AB3790,MATCH("Client",$A$1:$AB$1,0)),"")&amp;"")),"")</f>
        <v/>
      </c>
      <c r="AI3790" s="9">
        <f>IF(AF3790=1,IFERROR(INDEX($A3790:$AB3790,MATCH("Cost Centre",$A$1:$AB$1,0)),"")&amp;"","")</f>
        <v/>
      </c>
      <c r="AJ3790" s="54">
        <f>IF(AND(AF3790=1,AE3790&gt;=set_FYStart,AE3790&lt;=set_AsAt),1,0)</f>
        <v/>
      </c>
      <c r="AK3790" s="54">
        <f>IF(AND(AJ3790=1,AH3790&lt;&gt;"",COUNTIFS($AH$2:AH3790,AH3790,$AJ$2:AJ3790,1)=1),N(AL3789)+1,"")</f>
        <v/>
      </c>
      <c r="AL3790" s="54">
        <f>IF(AK3790&lt;&gt;"",AK3790,N(AL3789))</f>
        <v/>
      </c>
    </row>
    <row r="3791">
      <c r="A3791" t="inlineStr">
        <is>
          <t>ONS-1264</t>
        </is>
      </c>
      <c r="B3791" t="inlineStr">
        <is>
          <t>Onsite</t>
        </is>
      </c>
      <c r="AB3791" t="n">
        <v>1264</v>
      </c>
      <c r="AD3791" s="52">
        <f>IFERROR(N(IFERROR(INDEX($A3791:$AB3791,MATCH("Xero Invoiced Ex GST",$A$1:$AB$1,0)),"")),0)</f>
        <v/>
      </c>
      <c r="AE3791" s="53">
        <f>IFERROR(INDEX($A3791:$AB3791,MATCH("Xero Invoice Date",$A$1:$AB$1,0)),"")</f>
        <v/>
      </c>
      <c r="AF3791" s="54">
        <f>IF(AND(IFERROR(INDEX($A3791:$AB3791,MATCH("Xero Invoice No",$A$1:$AB$1,0)),"")&amp;""&lt;&gt;"",ISNUMBER(AE3791),AD3791&lt;&gt;0),1,0)</f>
        <v/>
      </c>
      <c r="AG3791" s="55">
        <f>IF(AF3791=1,EOMONTH(AE3791,0),"")</f>
        <v/>
      </c>
      <c r="AH3791" s="9">
        <f>IF(AF3791=1,UPPER(TRIM(IFERROR(INDEX($A3791:$AB3791,MATCH("Client",$A$1:$AB$1,0)),"")&amp;"")),"")</f>
        <v/>
      </c>
      <c r="AI3791" s="9">
        <f>IF(AF3791=1,IFERROR(INDEX($A3791:$AB3791,MATCH("Cost Centre",$A$1:$AB$1,0)),"")&amp;"","")</f>
        <v/>
      </c>
      <c r="AJ3791" s="54">
        <f>IF(AND(AF3791=1,AE3791&gt;=set_FYStart,AE3791&lt;=set_AsAt),1,0)</f>
        <v/>
      </c>
      <c r="AK3791" s="54">
        <f>IF(AND(AJ3791=1,AH3791&lt;&gt;"",COUNTIFS($AH$2:AH3791,AH3791,$AJ$2:AJ3791,1)=1),N(AL3790)+1,"")</f>
        <v/>
      </c>
      <c r="AL3791" s="54">
        <f>IF(AK3791&lt;&gt;"",AK3791,N(AL3790))</f>
        <v/>
      </c>
    </row>
    <row r="3792">
      <c r="A3792" t="inlineStr">
        <is>
          <t>PRD-1264</t>
        </is>
      </c>
      <c r="B3792" t="inlineStr">
        <is>
          <t>Production</t>
        </is>
      </c>
      <c r="AB3792" t="n">
        <v>1264</v>
      </c>
      <c r="AD3792" s="52">
        <f>IFERROR(N(IFERROR(INDEX($A3792:$AB3792,MATCH("Xero Invoiced Ex GST",$A$1:$AB$1,0)),"")),0)</f>
        <v/>
      </c>
      <c r="AE3792" s="53">
        <f>IFERROR(INDEX($A3792:$AB3792,MATCH("Xero Invoice Date",$A$1:$AB$1,0)),"")</f>
        <v/>
      </c>
      <c r="AF3792" s="54">
        <f>IF(AND(IFERROR(INDEX($A3792:$AB3792,MATCH("Xero Invoice No",$A$1:$AB$1,0)),"")&amp;""&lt;&gt;"",ISNUMBER(AE3792),AD3792&lt;&gt;0),1,0)</f>
        <v/>
      </c>
      <c r="AG3792" s="55">
        <f>IF(AF3792=1,EOMONTH(AE3792,0),"")</f>
        <v/>
      </c>
      <c r="AH3792" s="9">
        <f>IF(AF3792=1,UPPER(TRIM(IFERROR(INDEX($A3792:$AB3792,MATCH("Client",$A$1:$AB$1,0)),"")&amp;"")),"")</f>
        <v/>
      </c>
      <c r="AI3792" s="9">
        <f>IF(AF3792=1,IFERROR(INDEX($A3792:$AB3792,MATCH("Cost Centre",$A$1:$AB$1,0)),"")&amp;"","")</f>
        <v/>
      </c>
      <c r="AJ3792" s="54">
        <f>IF(AND(AF3792=1,AE3792&gt;=set_FYStart,AE3792&lt;=set_AsAt),1,0)</f>
        <v/>
      </c>
      <c r="AK3792" s="54">
        <f>IF(AND(AJ3792=1,AH3792&lt;&gt;"",COUNTIFS($AH$2:AH3792,AH3792,$AJ$2:AJ3792,1)=1),N(AL3791)+1,"")</f>
        <v/>
      </c>
      <c r="AL3792" s="54">
        <f>IF(AK3792&lt;&gt;"",AK3792,N(AL3791))</f>
        <v/>
      </c>
    </row>
    <row r="3793">
      <c r="A3793" t="inlineStr">
        <is>
          <t>CON-1264</t>
        </is>
      </c>
      <c r="B3793" t="inlineStr">
        <is>
          <t>Consulting</t>
        </is>
      </c>
      <c r="AB3793" t="n">
        <v>1264</v>
      </c>
      <c r="AD3793" s="52">
        <f>IFERROR(N(IFERROR(INDEX($A3793:$AB3793,MATCH("Xero Invoiced Ex GST",$A$1:$AB$1,0)),"")),0)</f>
        <v/>
      </c>
      <c r="AE3793" s="53">
        <f>IFERROR(INDEX($A3793:$AB3793,MATCH("Xero Invoice Date",$A$1:$AB$1,0)),"")</f>
        <v/>
      </c>
      <c r="AF3793" s="54">
        <f>IF(AND(IFERROR(INDEX($A3793:$AB3793,MATCH("Xero Invoice No",$A$1:$AB$1,0)),"")&amp;""&lt;&gt;"",ISNUMBER(AE3793),AD3793&lt;&gt;0),1,0)</f>
        <v/>
      </c>
      <c r="AG3793" s="55">
        <f>IF(AF3793=1,EOMONTH(AE3793,0),"")</f>
        <v/>
      </c>
      <c r="AH3793" s="9">
        <f>IF(AF3793=1,UPPER(TRIM(IFERROR(INDEX($A3793:$AB3793,MATCH("Client",$A$1:$AB$1,0)),"")&amp;"")),"")</f>
        <v/>
      </c>
      <c r="AI3793" s="9">
        <f>IF(AF3793=1,IFERROR(INDEX($A3793:$AB3793,MATCH("Cost Centre",$A$1:$AB$1,0)),"")&amp;"","")</f>
        <v/>
      </c>
      <c r="AJ3793" s="54">
        <f>IF(AND(AF3793=1,AE3793&gt;=set_FYStart,AE3793&lt;=set_AsAt),1,0)</f>
        <v/>
      </c>
      <c r="AK3793" s="54">
        <f>IF(AND(AJ3793=1,AH3793&lt;&gt;"",COUNTIFS($AH$2:AH3793,AH3793,$AJ$2:AJ3793,1)=1),N(AL3792)+1,"")</f>
        <v/>
      </c>
      <c r="AL3793" s="54">
        <f>IF(AK3793&lt;&gt;"",AK3793,N(AL3792))</f>
        <v/>
      </c>
    </row>
    <row r="3794">
      <c r="A3794" t="inlineStr">
        <is>
          <t>ONS-1265</t>
        </is>
      </c>
      <c r="B3794" t="inlineStr">
        <is>
          <t>Onsite</t>
        </is>
      </c>
      <c r="AB3794" t="n">
        <v>1265</v>
      </c>
      <c r="AD3794" s="52">
        <f>IFERROR(N(IFERROR(INDEX($A3794:$AB3794,MATCH("Xero Invoiced Ex GST",$A$1:$AB$1,0)),"")),0)</f>
        <v/>
      </c>
      <c r="AE3794" s="53">
        <f>IFERROR(INDEX($A3794:$AB3794,MATCH("Xero Invoice Date",$A$1:$AB$1,0)),"")</f>
        <v/>
      </c>
      <c r="AF3794" s="54">
        <f>IF(AND(IFERROR(INDEX($A3794:$AB3794,MATCH("Xero Invoice No",$A$1:$AB$1,0)),"")&amp;""&lt;&gt;"",ISNUMBER(AE3794),AD3794&lt;&gt;0),1,0)</f>
        <v/>
      </c>
      <c r="AG3794" s="55">
        <f>IF(AF3794=1,EOMONTH(AE3794,0),"")</f>
        <v/>
      </c>
      <c r="AH3794" s="9">
        <f>IF(AF3794=1,UPPER(TRIM(IFERROR(INDEX($A3794:$AB3794,MATCH("Client",$A$1:$AB$1,0)),"")&amp;"")),"")</f>
        <v/>
      </c>
      <c r="AI3794" s="9">
        <f>IF(AF3794=1,IFERROR(INDEX($A3794:$AB3794,MATCH("Cost Centre",$A$1:$AB$1,0)),"")&amp;"","")</f>
        <v/>
      </c>
      <c r="AJ3794" s="54">
        <f>IF(AND(AF3794=1,AE3794&gt;=set_FYStart,AE3794&lt;=set_AsAt),1,0)</f>
        <v/>
      </c>
      <c r="AK3794" s="54">
        <f>IF(AND(AJ3794=1,AH3794&lt;&gt;"",COUNTIFS($AH$2:AH3794,AH3794,$AJ$2:AJ3794,1)=1),N(AL3793)+1,"")</f>
        <v/>
      </c>
      <c r="AL3794" s="54">
        <f>IF(AK3794&lt;&gt;"",AK3794,N(AL3793))</f>
        <v/>
      </c>
    </row>
    <row r="3795">
      <c r="A3795" t="inlineStr">
        <is>
          <t>PRD-1265</t>
        </is>
      </c>
      <c r="B3795" t="inlineStr">
        <is>
          <t>Production</t>
        </is>
      </c>
      <c r="AB3795" t="n">
        <v>1265</v>
      </c>
      <c r="AD3795" s="52">
        <f>IFERROR(N(IFERROR(INDEX($A3795:$AB3795,MATCH("Xero Invoiced Ex GST",$A$1:$AB$1,0)),"")),0)</f>
        <v/>
      </c>
      <c r="AE3795" s="53">
        <f>IFERROR(INDEX($A3795:$AB3795,MATCH("Xero Invoice Date",$A$1:$AB$1,0)),"")</f>
        <v/>
      </c>
      <c r="AF3795" s="54">
        <f>IF(AND(IFERROR(INDEX($A3795:$AB3795,MATCH("Xero Invoice No",$A$1:$AB$1,0)),"")&amp;""&lt;&gt;"",ISNUMBER(AE3795),AD3795&lt;&gt;0),1,0)</f>
        <v/>
      </c>
      <c r="AG3795" s="55">
        <f>IF(AF3795=1,EOMONTH(AE3795,0),"")</f>
        <v/>
      </c>
      <c r="AH3795" s="9">
        <f>IF(AF3795=1,UPPER(TRIM(IFERROR(INDEX($A3795:$AB3795,MATCH("Client",$A$1:$AB$1,0)),"")&amp;"")),"")</f>
        <v/>
      </c>
      <c r="AI3795" s="9">
        <f>IF(AF3795=1,IFERROR(INDEX($A3795:$AB3795,MATCH("Cost Centre",$A$1:$AB$1,0)),"")&amp;"","")</f>
        <v/>
      </c>
      <c r="AJ3795" s="54">
        <f>IF(AND(AF3795=1,AE3795&gt;=set_FYStart,AE3795&lt;=set_AsAt),1,0)</f>
        <v/>
      </c>
      <c r="AK3795" s="54">
        <f>IF(AND(AJ3795=1,AH3795&lt;&gt;"",COUNTIFS($AH$2:AH3795,AH3795,$AJ$2:AJ3795,1)=1),N(AL3794)+1,"")</f>
        <v/>
      </c>
      <c r="AL3795" s="54">
        <f>IF(AK3795&lt;&gt;"",AK3795,N(AL3794))</f>
        <v/>
      </c>
    </row>
    <row r="3796">
      <c r="A3796" t="inlineStr">
        <is>
          <t>CON-1265</t>
        </is>
      </c>
      <c r="B3796" t="inlineStr">
        <is>
          <t>Consulting</t>
        </is>
      </c>
      <c r="AB3796" t="n">
        <v>1265</v>
      </c>
      <c r="AD3796" s="52">
        <f>IFERROR(N(IFERROR(INDEX($A3796:$AB3796,MATCH("Xero Invoiced Ex GST",$A$1:$AB$1,0)),"")),0)</f>
        <v/>
      </c>
      <c r="AE3796" s="53">
        <f>IFERROR(INDEX($A3796:$AB3796,MATCH("Xero Invoice Date",$A$1:$AB$1,0)),"")</f>
        <v/>
      </c>
      <c r="AF3796" s="54">
        <f>IF(AND(IFERROR(INDEX($A3796:$AB3796,MATCH("Xero Invoice No",$A$1:$AB$1,0)),"")&amp;""&lt;&gt;"",ISNUMBER(AE3796),AD3796&lt;&gt;0),1,0)</f>
        <v/>
      </c>
      <c r="AG3796" s="55">
        <f>IF(AF3796=1,EOMONTH(AE3796,0),"")</f>
        <v/>
      </c>
      <c r="AH3796" s="9">
        <f>IF(AF3796=1,UPPER(TRIM(IFERROR(INDEX($A3796:$AB3796,MATCH("Client",$A$1:$AB$1,0)),"")&amp;"")),"")</f>
        <v/>
      </c>
      <c r="AI3796" s="9">
        <f>IF(AF3796=1,IFERROR(INDEX($A3796:$AB3796,MATCH("Cost Centre",$A$1:$AB$1,0)),"")&amp;"","")</f>
        <v/>
      </c>
      <c r="AJ3796" s="54">
        <f>IF(AND(AF3796=1,AE3796&gt;=set_FYStart,AE3796&lt;=set_AsAt),1,0)</f>
        <v/>
      </c>
      <c r="AK3796" s="54">
        <f>IF(AND(AJ3796=1,AH3796&lt;&gt;"",COUNTIFS($AH$2:AH3796,AH3796,$AJ$2:AJ3796,1)=1),N(AL3795)+1,"")</f>
        <v/>
      </c>
      <c r="AL3796" s="54">
        <f>IF(AK3796&lt;&gt;"",AK3796,N(AL3795))</f>
        <v/>
      </c>
    </row>
    <row r="3797">
      <c r="A3797" t="inlineStr">
        <is>
          <t>ONS-1266</t>
        </is>
      </c>
      <c r="B3797" t="inlineStr">
        <is>
          <t>Onsite</t>
        </is>
      </c>
      <c r="AB3797" t="n">
        <v>1266</v>
      </c>
      <c r="AD3797" s="52">
        <f>IFERROR(N(IFERROR(INDEX($A3797:$AB3797,MATCH("Xero Invoiced Ex GST",$A$1:$AB$1,0)),"")),0)</f>
        <v/>
      </c>
      <c r="AE3797" s="53">
        <f>IFERROR(INDEX($A3797:$AB3797,MATCH("Xero Invoice Date",$A$1:$AB$1,0)),"")</f>
        <v/>
      </c>
      <c r="AF3797" s="54">
        <f>IF(AND(IFERROR(INDEX($A3797:$AB3797,MATCH("Xero Invoice No",$A$1:$AB$1,0)),"")&amp;""&lt;&gt;"",ISNUMBER(AE3797),AD3797&lt;&gt;0),1,0)</f>
        <v/>
      </c>
      <c r="AG3797" s="55">
        <f>IF(AF3797=1,EOMONTH(AE3797,0),"")</f>
        <v/>
      </c>
      <c r="AH3797" s="9">
        <f>IF(AF3797=1,UPPER(TRIM(IFERROR(INDEX($A3797:$AB3797,MATCH("Client",$A$1:$AB$1,0)),"")&amp;"")),"")</f>
        <v/>
      </c>
      <c r="AI3797" s="9">
        <f>IF(AF3797=1,IFERROR(INDEX($A3797:$AB3797,MATCH("Cost Centre",$A$1:$AB$1,0)),"")&amp;"","")</f>
        <v/>
      </c>
      <c r="AJ3797" s="54">
        <f>IF(AND(AF3797=1,AE3797&gt;=set_FYStart,AE3797&lt;=set_AsAt),1,0)</f>
        <v/>
      </c>
      <c r="AK3797" s="54">
        <f>IF(AND(AJ3797=1,AH3797&lt;&gt;"",COUNTIFS($AH$2:AH3797,AH3797,$AJ$2:AJ3797,1)=1),N(AL3796)+1,"")</f>
        <v/>
      </c>
      <c r="AL3797" s="54">
        <f>IF(AK3797&lt;&gt;"",AK3797,N(AL3796))</f>
        <v/>
      </c>
    </row>
    <row r="3798">
      <c r="A3798" t="inlineStr">
        <is>
          <t>PRD-1266</t>
        </is>
      </c>
      <c r="B3798" t="inlineStr">
        <is>
          <t>Production</t>
        </is>
      </c>
      <c r="AB3798" t="n">
        <v>1266</v>
      </c>
      <c r="AD3798" s="52">
        <f>IFERROR(N(IFERROR(INDEX($A3798:$AB3798,MATCH("Xero Invoiced Ex GST",$A$1:$AB$1,0)),"")),0)</f>
        <v/>
      </c>
      <c r="AE3798" s="53">
        <f>IFERROR(INDEX($A3798:$AB3798,MATCH("Xero Invoice Date",$A$1:$AB$1,0)),"")</f>
        <v/>
      </c>
      <c r="AF3798" s="54">
        <f>IF(AND(IFERROR(INDEX($A3798:$AB3798,MATCH("Xero Invoice No",$A$1:$AB$1,0)),"")&amp;""&lt;&gt;"",ISNUMBER(AE3798),AD3798&lt;&gt;0),1,0)</f>
        <v/>
      </c>
      <c r="AG3798" s="55">
        <f>IF(AF3798=1,EOMONTH(AE3798,0),"")</f>
        <v/>
      </c>
      <c r="AH3798" s="9">
        <f>IF(AF3798=1,UPPER(TRIM(IFERROR(INDEX($A3798:$AB3798,MATCH("Client",$A$1:$AB$1,0)),"")&amp;"")),"")</f>
        <v/>
      </c>
      <c r="AI3798" s="9">
        <f>IF(AF3798=1,IFERROR(INDEX($A3798:$AB3798,MATCH("Cost Centre",$A$1:$AB$1,0)),"")&amp;"","")</f>
        <v/>
      </c>
      <c r="AJ3798" s="54">
        <f>IF(AND(AF3798=1,AE3798&gt;=set_FYStart,AE3798&lt;=set_AsAt),1,0)</f>
        <v/>
      </c>
      <c r="AK3798" s="54">
        <f>IF(AND(AJ3798=1,AH3798&lt;&gt;"",COUNTIFS($AH$2:AH3798,AH3798,$AJ$2:AJ3798,1)=1),N(AL3797)+1,"")</f>
        <v/>
      </c>
      <c r="AL3798" s="54">
        <f>IF(AK3798&lt;&gt;"",AK3798,N(AL3797))</f>
        <v/>
      </c>
    </row>
    <row r="3799">
      <c r="A3799" t="inlineStr">
        <is>
          <t>CON-1266</t>
        </is>
      </c>
      <c r="B3799" t="inlineStr">
        <is>
          <t>Consulting</t>
        </is>
      </c>
      <c r="AB3799" t="n">
        <v>1266</v>
      </c>
      <c r="AD3799" s="52">
        <f>IFERROR(N(IFERROR(INDEX($A3799:$AB3799,MATCH("Xero Invoiced Ex GST",$A$1:$AB$1,0)),"")),0)</f>
        <v/>
      </c>
      <c r="AE3799" s="53">
        <f>IFERROR(INDEX($A3799:$AB3799,MATCH("Xero Invoice Date",$A$1:$AB$1,0)),"")</f>
        <v/>
      </c>
      <c r="AF3799" s="54">
        <f>IF(AND(IFERROR(INDEX($A3799:$AB3799,MATCH("Xero Invoice No",$A$1:$AB$1,0)),"")&amp;""&lt;&gt;"",ISNUMBER(AE3799),AD3799&lt;&gt;0),1,0)</f>
        <v/>
      </c>
      <c r="AG3799" s="55">
        <f>IF(AF3799=1,EOMONTH(AE3799,0),"")</f>
        <v/>
      </c>
      <c r="AH3799" s="9">
        <f>IF(AF3799=1,UPPER(TRIM(IFERROR(INDEX($A3799:$AB3799,MATCH("Client",$A$1:$AB$1,0)),"")&amp;"")),"")</f>
        <v/>
      </c>
      <c r="AI3799" s="9">
        <f>IF(AF3799=1,IFERROR(INDEX($A3799:$AB3799,MATCH("Cost Centre",$A$1:$AB$1,0)),"")&amp;"","")</f>
        <v/>
      </c>
      <c r="AJ3799" s="54">
        <f>IF(AND(AF3799=1,AE3799&gt;=set_FYStart,AE3799&lt;=set_AsAt),1,0)</f>
        <v/>
      </c>
      <c r="AK3799" s="54">
        <f>IF(AND(AJ3799=1,AH3799&lt;&gt;"",COUNTIFS($AH$2:AH3799,AH3799,$AJ$2:AJ3799,1)=1),N(AL3798)+1,"")</f>
        <v/>
      </c>
      <c r="AL3799" s="54">
        <f>IF(AK3799&lt;&gt;"",AK3799,N(AL3798))</f>
        <v/>
      </c>
    </row>
    <row r="3800">
      <c r="A3800" t="inlineStr">
        <is>
          <t>ONS-1267</t>
        </is>
      </c>
      <c r="B3800" t="inlineStr">
        <is>
          <t>Onsite</t>
        </is>
      </c>
      <c r="AB3800" t="n">
        <v>1267</v>
      </c>
      <c r="AD3800" s="52">
        <f>IFERROR(N(IFERROR(INDEX($A3800:$AB3800,MATCH("Xero Invoiced Ex GST",$A$1:$AB$1,0)),"")),0)</f>
        <v/>
      </c>
      <c r="AE3800" s="53">
        <f>IFERROR(INDEX($A3800:$AB3800,MATCH("Xero Invoice Date",$A$1:$AB$1,0)),"")</f>
        <v/>
      </c>
      <c r="AF3800" s="54">
        <f>IF(AND(IFERROR(INDEX($A3800:$AB3800,MATCH("Xero Invoice No",$A$1:$AB$1,0)),"")&amp;""&lt;&gt;"",ISNUMBER(AE3800),AD3800&lt;&gt;0),1,0)</f>
        <v/>
      </c>
      <c r="AG3800" s="55">
        <f>IF(AF3800=1,EOMONTH(AE3800,0),"")</f>
        <v/>
      </c>
      <c r="AH3800" s="9">
        <f>IF(AF3800=1,UPPER(TRIM(IFERROR(INDEX($A3800:$AB3800,MATCH("Client",$A$1:$AB$1,0)),"")&amp;"")),"")</f>
        <v/>
      </c>
      <c r="AI3800" s="9">
        <f>IF(AF3800=1,IFERROR(INDEX($A3800:$AB3800,MATCH("Cost Centre",$A$1:$AB$1,0)),"")&amp;"","")</f>
        <v/>
      </c>
      <c r="AJ3800" s="54">
        <f>IF(AND(AF3800=1,AE3800&gt;=set_FYStart,AE3800&lt;=set_AsAt),1,0)</f>
        <v/>
      </c>
      <c r="AK3800" s="54">
        <f>IF(AND(AJ3800=1,AH3800&lt;&gt;"",COUNTIFS($AH$2:AH3800,AH3800,$AJ$2:AJ3800,1)=1),N(AL3799)+1,"")</f>
        <v/>
      </c>
      <c r="AL3800" s="54">
        <f>IF(AK3800&lt;&gt;"",AK3800,N(AL3799))</f>
        <v/>
      </c>
    </row>
    <row r="3801">
      <c r="A3801" t="inlineStr">
        <is>
          <t>PRD-1267</t>
        </is>
      </c>
      <c r="B3801" t="inlineStr">
        <is>
          <t>Production</t>
        </is>
      </c>
      <c r="AB3801" t="n">
        <v>1267</v>
      </c>
      <c r="AD3801" s="52">
        <f>IFERROR(N(IFERROR(INDEX($A3801:$AB3801,MATCH("Xero Invoiced Ex GST",$A$1:$AB$1,0)),"")),0)</f>
        <v/>
      </c>
      <c r="AE3801" s="53">
        <f>IFERROR(INDEX($A3801:$AB3801,MATCH("Xero Invoice Date",$A$1:$AB$1,0)),"")</f>
        <v/>
      </c>
      <c r="AF3801" s="54">
        <f>IF(AND(IFERROR(INDEX($A3801:$AB3801,MATCH("Xero Invoice No",$A$1:$AB$1,0)),"")&amp;""&lt;&gt;"",ISNUMBER(AE3801),AD3801&lt;&gt;0),1,0)</f>
        <v/>
      </c>
      <c r="AG3801" s="55">
        <f>IF(AF3801=1,EOMONTH(AE3801,0),"")</f>
        <v/>
      </c>
      <c r="AH3801" s="9">
        <f>IF(AF3801=1,UPPER(TRIM(IFERROR(INDEX($A3801:$AB3801,MATCH("Client",$A$1:$AB$1,0)),"")&amp;"")),"")</f>
        <v/>
      </c>
      <c r="AI3801" s="9">
        <f>IF(AF3801=1,IFERROR(INDEX($A3801:$AB3801,MATCH("Cost Centre",$A$1:$AB$1,0)),"")&amp;"","")</f>
        <v/>
      </c>
      <c r="AJ3801" s="54">
        <f>IF(AND(AF3801=1,AE3801&gt;=set_FYStart,AE3801&lt;=set_AsAt),1,0)</f>
        <v/>
      </c>
      <c r="AK3801" s="54">
        <f>IF(AND(AJ3801=1,AH3801&lt;&gt;"",COUNTIFS($AH$2:AH3801,AH3801,$AJ$2:AJ3801,1)=1),N(AL3800)+1,"")</f>
        <v/>
      </c>
      <c r="AL3801" s="54">
        <f>IF(AK3801&lt;&gt;"",AK3801,N(AL3800))</f>
        <v/>
      </c>
    </row>
    <row r="3802">
      <c r="A3802" t="inlineStr">
        <is>
          <t>CON-1267</t>
        </is>
      </c>
      <c r="B3802" t="inlineStr">
        <is>
          <t>Consulting</t>
        </is>
      </c>
      <c r="AB3802" t="n">
        <v>1267</v>
      </c>
      <c r="AD3802" s="52">
        <f>IFERROR(N(IFERROR(INDEX($A3802:$AB3802,MATCH("Xero Invoiced Ex GST",$A$1:$AB$1,0)),"")),0)</f>
        <v/>
      </c>
      <c r="AE3802" s="53">
        <f>IFERROR(INDEX($A3802:$AB3802,MATCH("Xero Invoice Date",$A$1:$AB$1,0)),"")</f>
        <v/>
      </c>
      <c r="AF3802" s="54">
        <f>IF(AND(IFERROR(INDEX($A3802:$AB3802,MATCH("Xero Invoice No",$A$1:$AB$1,0)),"")&amp;""&lt;&gt;"",ISNUMBER(AE3802),AD3802&lt;&gt;0),1,0)</f>
        <v/>
      </c>
      <c r="AG3802" s="55">
        <f>IF(AF3802=1,EOMONTH(AE3802,0),"")</f>
        <v/>
      </c>
      <c r="AH3802" s="9">
        <f>IF(AF3802=1,UPPER(TRIM(IFERROR(INDEX($A3802:$AB3802,MATCH("Client",$A$1:$AB$1,0)),"")&amp;"")),"")</f>
        <v/>
      </c>
      <c r="AI3802" s="9">
        <f>IF(AF3802=1,IFERROR(INDEX($A3802:$AB3802,MATCH("Cost Centre",$A$1:$AB$1,0)),"")&amp;"","")</f>
        <v/>
      </c>
      <c r="AJ3802" s="54">
        <f>IF(AND(AF3802=1,AE3802&gt;=set_FYStart,AE3802&lt;=set_AsAt),1,0)</f>
        <v/>
      </c>
      <c r="AK3802" s="54">
        <f>IF(AND(AJ3802=1,AH3802&lt;&gt;"",COUNTIFS($AH$2:AH3802,AH3802,$AJ$2:AJ3802,1)=1),N(AL3801)+1,"")</f>
        <v/>
      </c>
      <c r="AL3802" s="54">
        <f>IF(AK3802&lt;&gt;"",AK3802,N(AL3801))</f>
        <v/>
      </c>
    </row>
    <row r="3803">
      <c r="A3803" t="inlineStr">
        <is>
          <t>ONS-1268</t>
        </is>
      </c>
      <c r="B3803" t="inlineStr">
        <is>
          <t>Onsite</t>
        </is>
      </c>
      <c r="AB3803" t="n">
        <v>1268</v>
      </c>
      <c r="AD3803" s="52">
        <f>IFERROR(N(IFERROR(INDEX($A3803:$AB3803,MATCH("Xero Invoiced Ex GST",$A$1:$AB$1,0)),"")),0)</f>
        <v/>
      </c>
      <c r="AE3803" s="53">
        <f>IFERROR(INDEX($A3803:$AB3803,MATCH("Xero Invoice Date",$A$1:$AB$1,0)),"")</f>
        <v/>
      </c>
      <c r="AF3803" s="54">
        <f>IF(AND(IFERROR(INDEX($A3803:$AB3803,MATCH("Xero Invoice No",$A$1:$AB$1,0)),"")&amp;""&lt;&gt;"",ISNUMBER(AE3803),AD3803&lt;&gt;0),1,0)</f>
        <v/>
      </c>
      <c r="AG3803" s="55">
        <f>IF(AF3803=1,EOMONTH(AE3803,0),"")</f>
        <v/>
      </c>
      <c r="AH3803" s="9">
        <f>IF(AF3803=1,UPPER(TRIM(IFERROR(INDEX($A3803:$AB3803,MATCH("Client",$A$1:$AB$1,0)),"")&amp;"")),"")</f>
        <v/>
      </c>
      <c r="AI3803" s="9">
        <f>IF(AF3803=1,IFERROR(INDEX($A3803:$AB3803,MATCH("Cost Centre",$A$1:$AB$1,0)),"")&amp;"","")</f>
        <v/>
      </c>
      <c r="AJ3803" s="54">
        <f>IF(AND(AF3803=1,AE3803&gt;=set_FYStart,AE3803&lt;=set_AsAt),1,0)</f>
        <v/>
      </c>
      <c r="AK3803" s="54">
        <f>IF(AND(AJ3803=1,AH3803&lt;&gt;"",COUNTIFS($AH$2:AH3803,AH3803,$AJ$2:AJ3803,1)=1),N(AL3802)+1,"")</f>
        <v/>
      </c>
      <c r="AL3803" s="54">
        <f>IF(AK3803&lt;&gt;"",AK3803,N(AL3802))</f>
        <v/>
      </c>
    </row>
    <row r="3804">
      <c r="A3804" t="inlineStr">
        <is>
          <t>PRD-1268</t>
        </is>
      </c>
      <c r="B3804" t="inlineStr">
        <is>
          <t>Production</t>
        </is>
      </c>
      <c r="AB3804" t="n">
        <v>1268</v>
      </c>
      <c r="AD3804" s="52">
        <f>IFERROR(N(IFERROR(INDEX($A3804:$AB3804,MATCH("Xero Invoiced Ex GST",$A$1:$AB$1,0)),"")),0)</f>
        <v/>
      </c>
      <c r="AE3804" s="53">
        <f>IFERROR(INDEX($A3804:$AB3804,MATCH("Xero Invoice Date",$A$1:$AB$1,0)),"")</f>
        <v/>
      </c>
      <c r="AF3804" s="54">
        <f>IF(AND(IFERROR(INDEX($A3804:$AB3804,MATCH("Xero Invoice No",$A$1:$AB$1,0)),"")&amp;""&lt;&gt;"",ISNUMBER(AE3804),AD3804&lt;&gt;0),1,0)</f>
        <v/>
      </c>
      <c r="AG3804" s="55">
        <f>IF(AF3804=1,EOMONTH(AE3804,0),"")</f>
        <v/>
      </c>
      <c r="AH3804" s="9">
        <f>IF(AF3804=1,UPPER(TRIM(IFERROR(INDEX($A3804:$AB3804,MATCH("Client",$A$1:$AB$1,0)),"")&amp;"")),"")</f>
        <v/>
      </c>
      <c r="AI3804" s="9">
        <f>IF(AF3804=1,IFERROR(INDEX($A3804:$AB3804,MATCH("Cost Centre",$A$1:$AB$1,0)),"")&amp;"","")</f>
        <v/>
      </c>
      <c r="AJ3804" s="54">
        <f>IF(AND(AF3804=1,AE3804&gt;=set_FYStart,AE3804&lt;=set_AsAt),1,0)</f>
        <v/>
      </c>
      <c r="AK3804" s="54">
        <f>IF(AND(AJ3804=1,AH3804&lt;&gt;"",COUNTIFS($AH$2:AH3804,AH3804,$AJ$2:AJ3804,1)=1),N(AL3803)+1,"")</f>
        <v/>
      </c>
      <c r="AL3804" s="54">
        <f>IF(AK3804&lt;&gt;"",AK3804,N(AL3803))</f>
        <v/>
      </c>
    </row>
    <row r="3805">
      <c r="A3805" t="inlineStr">
        <is>
          <t>CON-1268</t>
        </is>
      </c>
      <c r="B3805" t="inlineStr">
        <is>
          <t>Consulting</t>
        </is>
      </c>
      <c r="AB3805" t="n">
        <v>1268</v>
      </c>
      <c r="AD3805" s="52">
        <f>IFERROR(N(IFERROR(INDEX($A3805:$AB3805,MATCH("Xero Invoiced Ex GST",$A$1:$AB$1,0)),"")),0)</f>
        <v/>
      </c>
      <c r="AE3805" s="53">
        <f>IFERROR(INDEX($A3805:$AB3805,MATCH("Xero Invoice Date",$A$1:$AB$1,0)),"")</f>
        <v/>
      </c>
      <c r="AF3805" s="54">
        <f>IF(AND(IFERROR(INDEX($A3805:$AB3805,MATCH("Xero Invoice No",$A$1:$AB$1,0)),"")&amp;""&lt;&gt;"",ISNUMBER(AE3805),AD3805&lt;&gt;0),1,0)</f>
        <v/>
      </c>
      <c r="AG3805" s="55">
        <f>IF(AF3805=1,EOMONTH(AE3805,0),"")</f>
        <v/>
      </c>
      <c r="AH3805" s="9">
        <f>IF(AF3805=1,UPPER(TRIM(IFERROR(INDEX($A3805:$AB3805,MATCH("Client",$A$1:$AB$1,0)),"")&amp;"")),"")</f>
        <v/>
      </c>
      <c r="AI3805" s="9">
        <f>IF(AF3805=1,IFERROR(INDEX($A3805:$AB3805,MATCH("Cost Centre",$A$1:$AB$1,0)),"")&amp;"","")</f>
        <v/>
      </c>
      <c r="AJ3805" s="54">
        <f>IF(AND(AF3805=1,AE3805&gt;=set_FYStart,AE3805&lt;=set_AsAt),1,0)</f>
        <v/>
      </c>
      <c r="AK3805" s="54">
        <f>IF(AND(AJ3805=1,AH3805&lt;&gt;"",COUNTIFS($AH$2:AH3805,AH3805,$AJ$2:AJ3805,1)=1),N(AL3804)+1,"")</f>
        <v/>
      </c>
      <c r="AL3805" s="54">
        <f>IF(AK3805&lt;&gt;"",AK3805,N(AL3804))</f>
        <v/>
      </c>
    </row>
    <row r="3806">
      <c r="A3806" t="inlineStr">
        <is>
          <t>ONS-1269</t>
        </is>
      </c>
      <c r="B3806" t="inlineStr">
        <is>
          <t>Onsite</t>
        </is>
      </c>
      <c r="AB3806" t="n">
        <v>1269</v>
      </c>
      <c r="AD3806" s="52">
        <f>IFERROR(N(IFERROR(INDEX($A3806:$AB3806,MATCH("Xero Invoiced Ex GST",$A$1:$AB$1,0)),"")),0)</f>
        <v/>
      </c>
      <c r="AE3806" s="53">
        <f>IFERROR(INDEX($A3806:$AB3806,MATCH("Xero Invoice Date",$A$1:$AB$1,0)),"")</f>
        <v/>
      </c>
      <c r="AF3806" s="54">
        <f>IF(AND(IFERROR(INDEX($A3806:$AB3806,MATCH("Xero Invoice No",$A$1:$AB$1,0)),"")&amp;""&lt;&gt;"",ISNUMBER(AE3806),AD3806&lt;&gt;0),1,0)</f>
        <v/>
      </c>
      <c r="AG3806" s="55">
        <f>IF(AF3806=1,EOMONTH(AE3806,0),"")</f>
        <v/>
      </c>
      <c r="AH3806" s="9">
        <f>IF(AF3806=1,UPPER(TRIM(IFERROR(INDEX($A3806:$AB3806,MATCH("Client",$A$1:$AB$1,0)),"")&amp;"")),"")</f>
        <v/>
      </c>
      <c r="AI3806" s="9">
        <f>IF(AF3806=1,IFERROR(INDEX($A3806:$AB3806,MATCH("Cost Centre",$A$1:$AB$1,0)),"")&amp;"","")</f>
        <v/>
      </c>
      <c r="AJ3806" s="54">
        <f>IF(AND(AF3806=1,AE3806&gt;=set_FYStart,AE3806&lt;=set_AsAt),1,0)</f>
        <v/>
      </c>
      <c r="AK3806" s="54">
        <f>IF(AND(AJ3806=1,AH3806&lt;&gt;"",COUNTIFS($AH$2:AH3806,AH3806,$AJ$2:AJ3806,1)=1),N(AL3805)+1,"")</f>
        <v/>
      </c>
      <c r="AL3806" s="54">
        <f>IF(AK3806&lt;&gt;"",AK3806,N(AL3805))</f>
        <v/>
      </c>
    </row>
    <row r="3807">
      <c r="A3807" t="inlineStr">
        <is>
          <t>PRD-1269</t>
        </is>
      </c>
      <c r="B3807" t="inlineStr">
        <is>
          <t>Production</t>
        </is>
      </c>
      <c r="AB3807" t="n">
        <v>1269</v>
      </c>
      <c r="AD3807" s="52">
        <f>IFERROR(N(IFERROR(INDEX($A3807:$AB3807,MATCH("Xero Invoiced Ex GST",$A$1:$AB$1,0)),"")),0)</f>
        <v/>
      </c>
      <c r="AE3807" s="53">
        <f>IFERROR(INDEX($A3807:$AB3807,MATCH("Xero Invoice Date",$A$1:$AB$1,0)),"")</f>
        <v/>
      </c>
      <c r="AF3807" s="54">
        <f>IF(AND(IFERROR(INDEX($A3807:$AB3807,MATCH("Xero Invoice No",$A$1:$AB$1,0)),"")&amp;""&lt;&gt;"",ISNUMBER(AE3807),AD3807&lt;&gt;0),1,0)</f>
        <v/>
      </c>
      <c r="AG3807" s="55">
        <f>IF(AF3807=1,EOMONTH(AE3807,0),"")</f>
        <v/>
      </c>
      <c r="AH3807" s="9">
        <f>IF(AF3807=1,UPPER(TRIM(IFERROR(INDEX($A3807:$AB3807,MATCH("Client",$A$1:$AB$1,0)),"")&amp;"")),"")</f>
        <v/>
      </c>
      <c r="AI3807" s="9">
        <f>IF(AF3807=1,IFERROR(INDEX($A3807:$AB3807,MATCH("Cost Centre",$A$1:$AB$1,0)),"")&amp;"","")</f>
        <v/>
      </c>
      <c r="AJ3807" s="54">
        <f>IF(AND(AF3807=1,AE3807&gt;=set_FYStart,AE3807&lt;=set_AsAt),1,0)</f>
        <v/>
      </c>
      <c r="AK3807" s="54">
        <f>IF(AND(AJ3807=1,AH3807&lt;&gt;"",COUNTIFS($AH$2:AH3807,AH3807,$AJ$2:AJ3807,1)=1),N(AL3806)+1,"")</f>
        <v/>
      </c>
      <c r="AL3807" s="54">
        <f>IF(AK3807&lt;&gt;"",AK3807,N(AL3806))</f>
        <v/>
      </c>
    </row>
    <row r="3808">
      <c r="A3808" t="inlineStr">
        <is>
          <t>CON-1269</t>
        </is>
      </c>
      <c r="B3808" t="inlineStr">
        <is>
          <t>Consulting</t>
        </is>
      </c>
      <c r="AB3808" t="n">
        <v>1269</v>
      </c>
      <c r="AD3808" s="52">
        <f>IFERROR(N(IFERROR(INDEX($A3808:$AB3808,MATCH("Xero Invoiced Ex GST",$A$1:$AB$1,0)),"")),0)</f>
        <v/>
      </c>
      <c r="AE3808" s="53">
        <f>IFERROR(INDEX($A3808:$AB3808,MATCH("Xero Invoice Date",$A$1:$AB$1,0)),"")</f>
        <v/>
      </c>
      <c r="AF3808" s="54">
        <f>IF(AND(IFERROR(INDEX($A3808:$AB3808,MATCH("Xero Invoice No",$A$1:$AB$1,0)),"")&amp;""&lt;&gt;"",ISNUMBER(AE3808),AD3808&lt;&gt;0),1,0)</f>
        <v/>
      </c>
      <c r="AG3808" s="55">
        <f>IF(AF3808=1,EOMONTH(AE3808,0),"")</f>
        <v/>
      </c>
      <c r="AH3808" s="9">
        <f>IF(AF3808=1,UPPER(TRIM(IFERROR(INDEX($A3808:$AB3808,MATCH("Client",$A$1:$AB$1,0)),"")&amp;"")),"")</f>
        <v/>
      </c>
      <c r="AI3808" s="9">
        <f>IF(AF3808=1,IFERROR(INDEX($A3808:$AB3808,MATCH("Cost Centre",$A$1:$AB$1,0)),"")&amp;"","")</f>
        <v/>
      </c>
      <c r="AJ3808" s="54">
        <f>IF(AND(AF3808=1,AE3808&gt;=set_FYStart,AE3808&lt;=set_AsAt),1,0)</f>
        <v/>
      </c>
      <c r="AK3808" s="54">
        <f>IF(AND(AJ3808=1,AH3808&lt;&gt;"",COUNTIFS($AH$2:AH3808,AH3808,$AJ$2:AJ3808,1)=1),N(AL3807)+1,"")</f>
        <v/>
      </c>
      <c r="AL3808" s="54">
        <f>IF(AK3808&lt;&gt;"",AK3808,N(AL3807))</f>
        <v/>
      </c>
    </row>
    <row r="3809">
      <c r="A3809" t="inlineStr">
        <is>
          <t>ONS-1270</t>
        </is>
      </c>
      <c r="B3809" t="inlineStr">
        <is>
          <t>Onsite</t>
        </is>
      </c>
      <c r="AB3809" t="n">
        <v>1270</v>
      </c>
      <c r="AD3809" s="52">
        <f>IFERROR(N(IFERROR(INDEX($A3809:$AB3809,MATCH("Xero Invoiced Ex GST",$A$1:$AB$1,0)),"")),0)</f>
        <v/>
      </c>
      <c r="AE3809" s="53">
        <f>IFERROR(INDEX($A3809:$AB3809,MATCH("Xero Invoice Date",$A$1:$AB$1,0)),"")</f>
        <v/>
      </c>
      <c r="AF3809" s="54">
        <f>IF(AND(IFERROR(INDEX($A3809:$AB3809,MATCH("Xero Invoice No",$A$1:$AB$1,0)),"")&amp;""&lt;&gt;"",ISNUMBER(AE3809),AD3809&lt;&gt;0),1,0)</f>
        <v/>
      </c>
      <c r="AG3809" s="55">
        <f>IF(AF3809=1,EOMONTH(AE3809,0),"")</f>
        <v/>
      </c>
      <c r="AH3809" s="9">
        <f>IF(AF3809=1,UPPER(TRIM(IFERROR(INDEX($A3809:$AB3809,MATCH("Client",$A$1:$AB$1,0)),"")&amp;"")),"")</f>
        <v/>
      </c>
      <c r="AI3809" s="9">
        <f>IF(AF3809=1,IFERROR(INDEX($A3809:$AB3809,MATCH("Cost Centre",$A$1:$AB$1,0)),"")&amp;"","")</f>
        <v/>
      </c>
      <c r="AJ3809" s="54">
        <f>IF(AND(AF3809=1,AE3809&gt;=set_FYStart,AE3809&lt;=set_AsAt),1,0)</f>
        <v/>
      </c>
      <c r="AK3809" s="54">
        <f>IF(AND(AJ3809=1,AH3809&lt;&gt;"",COUNTIFS($AH$2:AH3809,AH3809,$AJ$2:AJ3809,1)=1),N(AL3808)+1,"")</f>
        <v/>
      </c>
      <c r="AL3809" s="54">
        <f>IF(AK3809&lt;&gt;"",AK3809,N(AL3808))</f>
        <v/>
      </c>
    </row>
    <row r="3810">
      <c r="A3810" t="inlineStr">
        <is>
          <t>PRD-1270</t>
        </is>
      </c>
      <c r="B3810" t="inlineStr">
        <is>
          <t>Production</t>
        </is>
      </c>
      <c r="AB3810" t="n">
        <v>1270</v>
      </c>
      <c r="AD3810" s="52">
        <f>IFERROR(N(IFERROR(INDEX($A3810:$AB3810,MATCH("Xero Invoiced Ex GST",$A$1:$AB$1,0)),"")),0)</f>
        <v/>
      </c>
      <c r="AE3810" s="53">
        <f>IFERROR(INDEX($A3810:$AB3810,MATCH("Xero Invoice Date",$A$1:$AB$1,0)),"")</f>
        <v/>
      </c>
      <c r="AF3810" s="54">
        <f>IF(AND(IFERROR(INDEX($A3810:$AB3810,MATCH("Xero Invoice No",$A$1:$AB$1,0)),"")&amp;""&lt;&gt;"",ISNUMBER(AE3810),AD3810&lt;&gt;0),1,0)</f>
        <v/>
      </c>
      <c r="AG3810" s="55">
        <f>IF(AF3810=1,EOMONTH(AE3810,0),"")</f>
        <v/>
      </c>
      <c r="AH3810" s="9">
        <f>IF(AF3810=1,UPPER(TRIM(IFERROR(INDEX($A3810:$AB3810,MATCH("Client",$A$1:$AB$1,0)),"")&amp;"")),"")</f>
        <v/>
      </c>
      <c r="AI3810" s="9">
        <f>IF(AF3810=1,IFERROR(INDEX($A3810:$AB3810,MATCH("Cost Centre",$A$1:$AB$1,0)),"")&amp;"","")</f>
        <v/>
      </c>
      <c r="AJ3810" s="54">
        <f>IF(AND(AF3810=1,AE3810&gt;=set_FYStart,AE3810&lt;=set_AsAt),1,0)</f>
        <v/>
      </c>
      <c r="AK3810" s="54">
        <f>IF(AND(AJ3810=1,AH3810&lt;&gt;"",COUNTIFS($AH$2:AH3810,AH3810,$AJ$2:AJ3810,1)=1),N(AL3809)+1,"")</f>
        <v/>
      </c>
      <c r="AL3810" s="54">
        <f>IF(AK3810&lt;&gt;"",AK3810,N(AL3809))</f>
        <v/>
      </c>
    </row>
    <row r="3811">
      <c r="A3811" t="inlineStr">
        <is>
          <t>CON-1270</t>
        </is>
      </c>
      <c r="B3811" t="inlineStr">
        <is>
          <t>Consulting</t>
        </is>
      </c>
      <c r="AB3811" t="n">
        <v>1270</v>
      </c>
      <c r="AD3811" s="52">
        <f>IFERROR(N(IFERROR(INDEX($A3811:$AB3811,MATCH("Xero Invoiced Ex GST",$A$1:$AB$1,0)),"")),0)</f>
        <v/>
      </c>
      <c r="AE3811" s="53">
        <f>IFERROR(INDEX($A3811:$AB3811,MATCH("Xero Invoice Date",$A$1:$AB$1,0)),"")</f>
        <v/>
      </c>
      <c r="AF3811" s="54">
        <f>IF(AND(IFERROR(INDEX($A3811:$AB3811,MATCH("Xero Invoice No",$A$1:$AB$1,0)),"")&amp;""&lt;&gt;"",ISNUMBER(AE3811),AD3811&lt;&gt;0),1,0)</f>
        <v/>
      </c>
      <c r="AG3811" s="55">
        <f>IF(AF3811=1,EOMONTH(AE3811,0),"")</f>
        <v/>
      </c>
      <c r="AH3811" s="9">
        <f>IF(AF3811=1,UPPER(TRIM(IFERROR(INDEX($A3811:$AB3811,MATCH("Client",$A$1:$AB$1,0)),"")&amp;"")),"")</f>
        <v/>
      </c>
      <c r="AI3811" s="9">
        <f>IF(AF3811=1,IFERROR(INDEX($A3811:$AB3811,MATCH("Cost Centre",$A$1:$AB$1,0)),"")&amp;"","")</f>
        <v/>
      </c>
      <c r="AJ3811" s="54">
        <f>IF(AND(AF3811=1,AE3811&gt;=set_FYStart,AE3811&lt;=set_AsAt),1,0)</f>
        <v/>
      </c>
      <c r="AK3811" s="54">
        <f>IF(AND(AJ3811=1,AH3811&lt;&gt;"",COUNTIFS($AH$2:AH3811,AH3811,$AJ$2:AJ3811,1)=1),N(AL3810)+1,"")</f>
        <v/>
      </c>
      <c r="AL3811" s="54">
        <f>IF(AK3811&lt;&gt;"",AK3811,N(AL3810))</f>
        <v/>
      </c>
    </row>
    <row r="3812">
      <c r="A3812" t="inlineStr">
        <is>
          <t>ONS-1271</t>
        </is>
      </c>
      <c r="B3812" t="inlineStr">
        <is>
          <t>Onsite</t>
        </is>
      </c>
      <c r="AB3812" t="n">
        <v>1271</v>
      </c>
      <c r="AD3812" s="52">
        <f>IFERROR(N(IFERROR(INDEX($A3812:$AB3812,MATCH("Xero Invoiced Ex GST",$A$1:$AB$1,0)),"")),0)</f>
        <v/>
      </c>
      <c r="AE3812" s="53">
        <f>IFERROR(INDEX($A3812:$AB3812,MATCH("Xero Invoice Date",$A$1:$AB$1,0)),"")</f>
        <v/>
      </c>
      <c r="AF3812" s="54">
        <f>IF(AND(IFERROR(INDEX($A3812:$AB3812,MATCH("Xero Invoice No",$A$1:$AB$1,0)),"")&amp;""&lt;&gt;"",ISNUMBER(AE3812),AD3812&lt;&gt;0),1,0)</f>
        <v/>
      </c>
      <c r="AG3812" s="55">
        <f>IF(AF3812=1,EOMONTH(AE3812,0),"")</f>
        <v/>
      </c>
      <c r="AH3812" s="9">
        <f>IF(AF3812=1,UPPER(TRIM(IFERROR(INDEX($A3812:$AB3812,MATCH("Client",$A$1:$AB$1,0)),"")&amp;"")),"")</f>
        <v/>
      </c>
      <c r="AI3812" s="9">
        <f>IF(AF3812=1,IFERROR(INDEX($A3812:$AB3812,MATCH("Cost Centre",$A$1:$AB$1,0)),"")&amp;"","")</f>
        <v/>
      </c>
      <c r="AJ3812" s="54">
        <f>IF(AND(AF3812=1,AE3812&gt;=set_FYStart,AE3812&lt;=set_AsAt),1,0)</f>
        <v/>
      </c>
      <c r="AK3812" s="54">
        <f>IF(AND(AJ3812=1,AH3812&lt;&gt;"",COUNTIFS($AH$2:AH3812,AH3812,$AJ$2:AJ3812,1)=1),N(AL3811)+1,"")</f>
        <v/>
      </c>
      <c r="AL3812" s="54">
        <f>IF(AK3812&lt;&gt;"",AK3812,N(AL3811))</f>
        <v/>
      </c>
    </row>
    <row r="3813">
      <c r="A3813" t="inlineStr">
        <is>
          <t>PRD-1271</t>
        </is>
      </c>
      <c r="B3813" t="inlineStr">
        <is>
          <t>Production</t>
        </is>
      </c>
      <c r="AB3813" t="n">
        <v>1271</v>
      </c>
      <c r="AD3813" s="52">
        <f>IFERROR(N(IFERROR(INDEX($A3813:$AB3813,MATCH("Xero Invoiced Ex GST",$A$1:$AB$1,0)),"")),0)</f>
        <v/>
      </c>
      <c r="AE3813" s="53">
        <f>IFERROR(INDEX($A3813:$AB3813,MATCH("Xero Invoice Date",$A$1:$AB$1,0)),"")</f>
        <v/>
      </c>
      <c r="AF3813" s="54">
        <f>IF(AND(IFERROR(INDEX($A3813:$AB3813,MATCH("Xero Invoice No",$A$1:$AB$1,0)),"")&amp;""&lt;&gt;"",ISNUMBER(AE3813),AD3813&lt;&gt;0),1,0)</f>
        <v/>
      </c>
      <c r="AG3813" s="55">
        <f>IF(AF3813=1,EOMONTH(AE3813,0),"")</f>
        <v/>
      </c>
      <c r="AH3813" s="9">
        <f>IF(AF3813=1,UPPER(TRIM(IFERROR(INDEX($A3813:$AB3813,MATCH("Client",$A$1:$AB$1,0)),"")&amp;"")),"")</f>
        <v/>
      </c>
      <c r="AI3813" s="9">
        <f>IF(AF3813=1,IFERROR(INDEX($A3813:$AB3813,MATCH("Cost Centre",$A$1:$AB$1,0)),"")&amp;"","")</f>
        <v/>
      </c>
      <c r="AJ3813" s="54">
        <f>IF(AND(AF3813=1,AE3813&gt;=set_FYStart,AE3813&lt;=set_AsAt),1,0)</f>
        <v/>
      </c>
      <c r="AK3813" s="54">
        <f>IF(AND(AJ3813=1,AH3813&lt;&gt;"",COUNTIFS($AH$2:AH3813,AH3813,$AJ$2:AJ3813,1)=1),N(AL3812)+1,"")</f>
        <v/>
      </c>
      <c r="AL3813" s="54">
        <f>IF(AK3813&lt;&gt;"",AK3813,N(AL3812))</f>
        <v/>
      </c>
    </row>
    <row r="3814">
      <c r="A3814" t="inlineStr">
        <is>
          <t>CON-1271</t>
        </is>
      </c>
      <c r="B3814" t="inlineStr">
        <is>
          <t>Consulting</t>
        </is>
      </c>
      <c r="AB3814" t="n">
        <v>1271</v>
      </c>
      <c r="AD3814" s="52">
        <f>IFERROR(N(IFERROR(INDEX($A3814:$AB3814,MATCH("Xero Invoiced Ex GST",$A$1:$AB$1,0)),"")),0)</f>
        <v/>
      </c>
      <c r="AE3814" s="53">
        <f>IFERROR(INDEX($A3814:$AB3814,MATCH("Xero Invoice Date",$A$1:$AB$1,0)),"")</f>
        <v/>
      </c>
      <c r="AF3814" s="54">
        <f>IF(AND(IFERROR(INDEX($A3814:$AB3814,MATCH("Xero Invoice No",$A$1:$AB$1,0)),"")&amp;""&lt;&gt;"",ISNUMBER(AE3814),AD3814&lt;&gt;0),1,0)</f>
        <v/>
      </c>
      <c r="AG3814" s="55">
        <f>IF(AF3814=1,EOMONTH(AE3814,0),"")</f>
        <v/>
      </c>
      <c r="AH3814" s="9">
        <f>IF(AF3814=1,UPPER(TRIM(IFERROR(INDEX($A3814:$AB3814,MATCH("Client",$A$1:$AB$1,0)),"")&amp;"")),"")</f>
        <v/>
      </c>
      <c r="AI3814" s="9">
        <f>IF(AF3814=1,IFERROR(INDEX($A3814:$AB3814,MATCH("Cost Centre",$A$1:$AB$1,0)),"")&amp;"","")</f>
        <v/>
      </c>
      <c r="AJ3814" s="54">
        <f>IF(AND(AF3814=1,AE3814&gt;=set_FYStart,AE3814&lt;=set_AsAt),1,0)</f>
        <v/>
      </c>
      <c r="AK3814" s="54">
        <f>IF(AND(AJ3814=1,AH3814&lt;&gt;"",COUNTIFS($AH$2:AH3814,AH3814,$AJ$2:AJ3814,1)=1),N(AL3813)+1,"")</f>
        <v/>
      </c>
      <c r="AL3814" s="54">
        <f>IF(AK3814&lt;&gt;"",AK3814,N(AL3813))</f>
        <v/>
      </c>
    </row>
    <row r="3815">
      <c r="A3815" t="inlineStr">
        <is>
          <t>ONS-1272</t>
        </is>
      </c>
      <c r="B3815" t="inlineStr">
        <is>
          <t>Onsite</t>
        </is>
      </c>
      <c r="AB3815" t="n">
        <v>1272</v>
      </c>
      <c r="AD3815" s="52">
        <f>IFERROR(N(IFERROR(INDEX($A3815:$AB3815,MATCH("Xero Invoiced Ex GST",$A$1:$AB$1,0)),"")),0)</f>
        <v/>
      </c>
      <c r="AE3815" s="53">
        <f>IFERROR(INDEX($A3815:$AB3815,MATCH("Xero Invoice Date",$A$1:$AB$1,0)),"")</f>
        <v/>
      </c>
      <c r="AF3815" s="54">
        <f>IF(AND(IFERROR(INDEX($A3815:$AB3815,MATCH("Xero Invoice No",$A$1:$AB$1,0)),"")&amp;""&lt;&gt;"",ISNUMBER(AE3815),AD3815&lt;&gt;0),1,0)</f>
        <v/>
      </c>
      <c r="AG3815" s="55">
        <f>IF(AF3815=1,EOMONTH(AE3815,0),"")</f>
        <v/>
      </c>
      <c r="AH3815" s="9">
        <f>IF(AF3815=1,UPPER(TRIM(IFERROR(INDEX($A3815:$AB3815,MATCH("Client",$A$1:$AB$1,0)),"")&amp;"")),"")</f>
        <v/>
      </c>
      <c r="AI3815" s="9">
        <f>IF(AF3815=1,IFERROR(INDEX($A3815:$AB3815,MATCH("Cost Centre",$A$1:$AB$1,0)),"")&amp;"","")</f>
        <v/>
      </c>
      <c r="AJ3815" s="54">
        <f>IF(AND(AF3815=1,AE3815&gt;=set_FYStart,AE3815&lt;=set_AsAt),1,0)</f>
        <v/>
      </c>
      <c r="AK3815" s="54">
        <f>IF(AND(AJ3815=1,AH3815&lt;&gt;"",COUNTIFS($AH$2:AH3815,AH3815,$AJ$2:AJ3815,1)=1),N(AL3814)+1,"")</f>
        <v/>
      </c>
      <c r="AL3815" s="54">
        <f>IF(AK3815&lt;&gt;"",AK3815,N(AL3814))</f>
        <v/>
      </c>
    </row>
    <row r="3816">
      <c r="A3816" t="inlineStr">
        <is>
          <t>PRD-1272</t>
        </is>
      </c>
      <c r="B3816" t="inlineStr">
        <is>
          <t>Production</t>
        </is>
      </c>
      <c r="AB3816" t="n">
        <v>1272</v>
      </c>
      <c r="AD3816" s="52">
        <f>IFERROR(N(IFERROR(INDEX($A3816:$AB3816,MATCH("Xero Invoiced Ex GST",$A$1:$AB$1,0)),"")),0)</f>
        <v/>
      </c>
      <c r="AE3816" s="53">
        <f>IFERROR(INDEX($A3816:$AB3816,MATCH("Xero Invoice Date",$A$1:$AB$1,0)),"")</f>
        <v/>
      </c>
      <c r="AF3816" s="54">
        <f>IF(AND(IFERROR(INDEX($A3816:$AB3816,MATCH("Xero Invoice No",$A$1:$AB$1,0)),"")&amp;""&lt;&gt;"",ISNUMBER(AE3816),AD3816&lt;&gt;0),1,0)</f>
        <v/>
      </c>
      <c r="AG3816" s="55">
        <f>IF(AF3816=1,EOMONTH(AE3816,0),"")</f>
        <v/>
      </c>
      <c r="AH3816" s="9">
        <f>IF(AF3816=1,UPPER(TRIM(IFERROR(INDEX($A3816:$AB3816,MATCH("Client",$A$1:$AB$1,0)),"")&amp;"")),"")</f>
        <v/>
      </c>
      <c r="AI3816" s="9">
        <f>IF(AF3816=1,IFERROR(INDEX($A3816:$AB3816,MATCH("Cost Centre",$A$1:$AB$1,0)),"")&amp;"","")</f>
        <v/>
      </c>
      <c r="AJ3816" s="54">
        <f>IF(AND(AF3816=1,AE3816&gt;=set_FYStart,AE3816&lt;=set_AsAt),1,0)</f>
        <v/>
      </c>
      <c r="AK3816" s="54">
        <f>IF(AND(AJ3816=1,AH3816&lt;&gt;"",COUNTIFS($AH$2:AH3816,AH3816,$AJ$2:AJ3816,1)=1),N(AL3815)+1,"")</f>
        <v/>
      </c>
      <c r="AL3816" s="54">
        <f>IF(AK3816&lt;&gt;"",AK3816,N(AL3815))</f>
        <v/>
      </c>
    </row>
    <row r="3817">
      <c r="A3817" t="inlineStr">
        <is>
          <t>CON-1272</t>
        </is>
      </c>
      <c r="B3817" t="inlineStr">
        <is>
          <t>Consulting</t>
        </is>
      </c>
      <c r="AB3817" t="n">
        <v>1272</v>
      </c>
      <c r="AD3817" s="52">
        <f>IFERROR(N(IFERROR(INDEX($A3817:$AB3817,MATCH("Xero Invoiced Ex GST",$A$1:$AB$1,0)),"")),0)</f>
        <v/>
      </c>
      <c r="AE3817" s="53">
        <f>IFERROR(INDEX($A3817:$AB3817,MATCH("Xero Invoice Date",$A$1:$AB$1,0)),"")</f>
        <v/>
      </c>
      <c r="AF3817" s="54">
        <f>IF(AND(IFERROR(INDEX($A3817:$AB3817,MATCH("Xero Invoice No",$A$1:$AB$1,0)),"")&amp;""&lt;&gt;"",ISNUMBER(AE3817),AD3817&lt;&gt;0),1,0)</f>
        <v/>
      </c>
      <c r="AG3817" s="55">
        <f>IF(AF3817=1,EOMONTH(AE3817,0),"")</f>
        <v/>
      </c>
      <c r="AH3817" s="9">
        <f>IF(AF3817=1,UPPER(TRIM(IFERROR(INDEX($A3817:$AB3817,MATCH("Client",$A$1:$AB$1,0)),"")&amp;"")),"")</f>
        <v/>
      </c>
      <c r="AI3817" s="9">
        <f>IF(AF3817=1,IFERROR(INDEX($A3817:$AB3817,MATCH("Cost Centre",$A$1:$AB$1,0)),"")&amp;"","")</f>
        <v/>
      </c>
      <c r="AJ3817" s="54">
        <f>IF(AND(AF3817=1,AE3817&gt;=set_FYStart,AE3817&lt;=set_AsAt),1,0)</f>
        <v/>
      </c>
      <c r="AK3817" s="54">
        <f>IF(AND(AJ3817=1,AH3817&lt;&gt;"",COUNTIFS($AH$2:AH3817,AH3817,$AJ$2:AJ3817,1)=1),N(AL3816)+1,"")</f>
        <v/>
      </c>
      <c r="AL3817" s="54">
        <f>IF(AK3817&lt;&gt;"",AK3817,N(AL3816))</f>
        <v/>
      </c>
    </row>
    <row r="3818">
      <c r="A3818" t="inlineStr">
        <is>
          <t>ONS-1273</t>
        </is>
      </c>
      <c r="B3818" t="inlineStr">
        <is>
          <t>Onsite</t>
        </is>
      </c>
      <c r="AB3818" t="n">
        <v>1273</v>
      </c>
      <c r="AD3818" s="52">
        <f>IFERROR(N(IFERROR(INDEX($A3818:$AB3818,MATCH("Xero Invoiced Ex GST",$A$1:$AB$1,0)),"")),0)</f>
        <v/>
      </c>
      <c r="AE3818" s="53">
        <f>IFERROR(INDEX($A3818:$AB3818,MATCH("Xero Invoice Date",$A$1:$AB$1,0)),"")</f>
        <v/>
      </c>
      <c r="AF3818" s="54">
        <f>IF(AND(IFERROR(INDEX($A3818:$AB3818,MATCH("Xero Invoice No",$A$1:$AB$1,0)),"")&amp;""&lt;&gt;"",ISNUMBER(AE3818),AD3818&lt;&gt;0),1,0)</f>
        <v/>
      </c>
      <c r="AG3818" s="55">
        <f>IF(AF3818=1,EOMONTH(AE3818,0),"")</f>
        <v/>
      </c>
      <c r="AH3818" s="9">
        <f>IF(AF3818=1,UPPER(TRIM(IFERROR(INDEX($A3818:$AB3818,MATCH("Client",$A$1:$AB$1,0)),"")&amp;"")),"")</f>
        <v/>
      </c>
      <c r="AI3818" s="9">
        <f>IF(AF3818=1,IFERROR(INDEX($A3818:$AB3818,MATCH("Cost Centre",$A$1:$AB$1,0)),"")&amp;"","")</f>
        <v/>
      </c>
      <c r="AJ3818" s="54">
        <f>IF(AND(AF3818=1,AE3818&gt;=set_FYStart,AE3818&lt;=set_AsAt),1,0)</f>
        <v/>
      </c>
      <c r="AK3818" s="54">
        <f>IF(AND(AJ3818=1,AH3818&lt;&gt;"",COUNTIFS($AH$2:AH3818,AH3818,$AJ$2:AJ3818,1)=1),N(AL3817)+1,"")</f>
        <v/>
      </c>
      <c r="AL3818" s="54">
        <f>IF(AK3818&lt;&gt;"",AK3818,N(AL3817))</f>
        <v/>
      </c>
    </row>
    <row r="3819">
      <c r="A3819" t="inlineStr">
        <is>
          <t>PRD-1273</t>
        </is>
      </c>
      <c r="B3819" t="inlineStr">
        <is>
          <t>Production</t>
        </is>
      </c>
      <c r="AB3819" t="n">
        <v>1273</v>
      </c>
      <c r="AD3819" s="52">
        <f>IFERROR(N(IFERROR(INDEX($A3819:$AB3819,MATCH("Xero Invoiced Ex GST",$A$1:$AB$1,0)),"")),0)</f>
        <v/>
      </c>
      <c r="AE3819" s="53">
        <f>IFERROR(INDEX($A3819:$AB3819,MATCH("Xero Invoice Date",$A$1:$AB$1,0)),"")</f>
        <v/>
      </c>
      <c r="AF3819" s="54">
        <f>IF(AND(IFERROR(INDEX($A3819:$AB3819,MATCH("Xero Invoice No",$A$1:$AB$1,0)),"")&amp;""&lt;&gt;"",ISNUMBER(AE3819),AD3819&lt;&gt;0),1,0)</f>
        <v/>
      </c>
      <c r="AG3819" s="55">
        <f>IF(AF3819=1,EOMONTH(AE3819,0),"")</f>
        <v/>
      </c>
      <c r="AH3819" s="9">
        <f>IF(AF3819=1,UPPER(TRIM(IFERROR(INDEX($A3819:$AB3819,MATCH("Client",$A$1:$AB$1,0)),"")&amp;"")),"")</f>
        <v/>
      </c>
      <c r="AI3819" s="9">
        <f>IF(AF3819=1,IFERROR(INDEX($A3819:$AB3819,MATCH("Cost Centre",$A$1:$AB$1,0)),"")&amp;"","")</f>
        <v/>
      </c>
      <c r="AJ3819" s="54">
        <f>IF(AND(AF3819=1,AE3819&gt;=set_FYStart,AE3819&lt;=set_AsAt),1,0)</f>
        <v/>
      </c>
      <c r="AK3819" s="54">
        <f>IF(AND(AJ3819=1,AH3819&lt;&gt;"",COUNTIFS($AH$2:AH3819,AH3819,$AJ$2:AJ3819,1)=1),N(AL3818)+1,"")</f>
        <v/>
      </c>
      <c r="AL3819" s="54">
        <f>IF(AK3819&lt;&gt;"",AK3819,N(AL3818))</f>
        <v/>
      </c>
    </row>
    <row r="3820">
      <c r="A3820" t="inlineStr">
        <is>
          <t>CON-1273</t>
        </is>
      </c>
      <c r="B3820" t="inlineStr">
        <is>
          <t>Consulting</t>
        </is>
      </c>
      <c r="AB3820" t="n">
        <v>1273</v>
      </c>
      <c r="AD3820" s="52">
        <f>IFERROR(N(IFERROR(INDEX($A3820:$AB3820,MATCH("Xero Invoiced Ex GST",$A$1:$AB$1,0)),"")),0)</f>
        <v/>
      </c>
      <c r="AE3820" s="53">
        <f>IFERROR(INDEX($A3820:$AB3820,MATCH("Xero Invoice Date",$A$1:$AB$1,0)),"")</f>
        <v/>
      </c>
      <c r="AF3820" s="54">
        <f>IF(AND(IFERROR(INDEX($A3820:$AB3820,MATCH("Xero Invoice No",$A$1:$AB$1,0)),"")&amp;""&lt;&gt;"",ISNUMBER(AE3820),AD3820&lt;&gt;0),1,0)</f>
        <v/>
      </c>
      <c r="AG3820" s="55">
        <f>IF(AF3820=1,EOMONTH(AE3820,0),"")</f>
        <v/>
      </c>
      <c r="AH3820" s="9">
        <f>IF(AF3820=1,UPPER(TRIM(IFERROR(INDEX($A3820:$AB3820,MATCH("Client",$A$1:$AB$1,0)),"")&amp;"")),"")</f>
        <v/>
      </c>
      <c r="AI3820" s="9">
        <f>IF(AF3820=1,IFERROR(INDEX($A3820:$AB3820,MATCH("Cost Centre",$A$1:$AB$1,0)),"")&amp;"","")</f>
        <v/>
      </c>
      <c r="AJ3820" s="54">
        <f>IF(AND(AF3820=1,AE3820&gt;=set_FYStart,AE3820&lt;=set_AsAt),1,0)</f>
        <v/>
      </c>
      <c r="AK3820" s="54">
        <f>IF(AND(AJ3820=1,AH3820&lt;&gt;"",COUNTIFS($AH$2:AH3820,AH3820,$AJ$2:AJ3820,1)=1),N(AL3819)+1,"")</f>
        <v/>
      </c>
      <c r="AL3820" s="54">
        <f>IF(AK3820&lt;&gt;"",AK3820,N(AL3819))</f>
        <v/>
      </c>
    </row>
    <row r="3821">
      <c r="A3821" t="inlineStr">
        <is>
          <t>ONS-1274</t>
        </is>
      </c>
      <c r="B3821" t="inlineStr">
        <is>
          <t>Onsite</t>
        </is>
      </c>
      <c r="AB3821" t="n">
        <v>1274</v>
      </c>
      <c r="AD3821" s="52">
        <f>IFERROR(N(IFERROR(INDEX($A3821:$AB3821,MATCH("Xero Invoiced Ex GST",$A$1:$AB$1,0)),"")),0)</f>
        <v/>
      </c>
      <c r="AE3821" s="53">
        <f>IFERROR(INDEX($A3821:$AB3821,MATCH("Xero Invoice Date",$A$1:$AB$1,0)),"")</f>
        <v/>
      </c>
      <c r="AF3821" s="54">
        <f>IF(AND(IFERROR(INDEX($A3821:$AB3821,MATCH("Xero Invoice No",$A$1:$AB$1,0)),"")&amp;""&lt;&gt;"",ISNUMBER(AE3821),AD3821&lt;&gt;0),1,0)</f>
        <v/>
      </c>
      <c r="AG3821" s="55">
        <f>IF(AF3821=1,EOMONTH(AE3821,0),"")</f>
        <v/>
      </c>
      <c r="AH3821" s="9">
        <f>IF(AF3821=1,UPPER(TRIM(IFERROR(INDEX($A3821:$AB3821,MATCH("Client",$A$1:$AB$1,0)),"")&amp;"")),"")</f>
        <v/>
      </c>
      <c r="AI3821" s="9">
        <f>IF(AF3821=1,IFERROR(INDEX($A3821:$AB3821,MATCH("Cost Centre",$A$1:$AB$1,0)),"")&amp;"","")</f>
        <v/>
      </c>
      <c r="AJ3821" s="54">
        <f>IF(AND(AF3821=1,AE3821&gt;=set_FYStart,AE3821&lt;=set_AsAt),1,0)</f>
        <v/>
      </c>
      <c r="AK3821" s="54">
        <f>IF(AND(AJ3821=1,AH3821&lt;&gt;"",COUNTIFS($AH$2:AH3821,AH3821,$AJ$2:AJ3821,1)=1),N(AL3820)+1,"")</f>
        <v/>
      </c>
      <c r="AL3821" s="54">
        <f>IF(AK3821&lt;&gt;"",AK3821,N(AL3820))</f>
        <v/>
      </c>
    </row>
    <row r="3822">
      <c r="A3822" t="inlineStr">
        <is>
          <t>PRD-1274</t>
        </is>
      </c>
      <c r="B3822" t="inlineStr">
        <is>
          <t>Production</t>
        </is>
      </c>
      <c r="AB3822" t="n">
        <v>1274</v>
      </c>
      <c r="AD3822" s="52">
        <f>IFERROR(N(IFERROR(INDEX($A3822:$AB3822,MATCH("Xero Invoiced Ex GST",$A$1:$AB$1,0)),"")),0)</f>
        <v/>
      </c>
      <c r="AE3822" s="53">
        <f>IFERROR(INDEX($A3822:$AB3822,MATCH("Xero Invoice Date",$A$1:$AB$1,0)),"")</f>
        <v/>
      </c>
      <c r="AF3822" s="54">
        <f>IF(AND(IFERROR(INDEX($A3822:$AB3822,MATCH("Xero Invoice No",$A$1:$AB$1,0)),"")&amp;""&lt;&gt;"",ISNUMBER(AE3822),AD3822&lt;&gt;0),1,0)</f>
        <v/>
      </c>
      <c r="AG3822" s="55">
        <f>IF(AF3822=1,EOMONTH(AE3822,0),"")</f>
        <v/>
      </c>
      <c r="AH3822" s="9">
        <f>IF(AF3822=1,UPPER(TRIM(IFERROR(INDEX($A3822:$AB3822,MATCH("Client",$A$1:$AB$1,0)),"")&amp;"")),"")</f>
        <v/>
      </c>
      <c r="AI3822" s="9">
        <f>IF(AF3822=1,IFERROR(INDEX($A3822:$AB3822,MATCH("Cost Centre",$A$1:$AB$1,0)),"")&amp;"","")</f>
        <v/>
      </c>
      <c r="AJ3822" s="54">
        <f>IF(AND(AF3822=1,AE3822&gt;=set_FYStart,AE3822&lt;=set_AsAt),1,0)</f>
        <v/>
      </c>
      <c r="AK3822" s="54">
        <f>IF(AND(AJ3822=1,AH3822&lt;&gt;"",COUNTIFS($AH$2:AH3822,AH3822,$AJ$2:AJ3822,1)=1),N(AL3821)+1,"")</f>
        <v/>
      </c>
      <c r="AL3822" s="54">
        <f>IF(AK3822&lt;&gt;"",AK3822,N(AL3821))</f>
        <v/>
      </c>
    </row>
    <row r="3823">
      <c r="A3823" t="inlineStr">
        <is>
          <t>CON-1274</t>
        </is>
      </c>
      <c r="B3823" t="inlineStr">
        <is>
          <t>Consulting</t>
        </is>
      </c>
      <c r="AB3823" t="n">
        <v>1274</v>
      </c>
      <c r="AD3823" s="52">
        <f>IFERROR(N(IFERROR(INDEX($A3823:$AB3823,MATCH("Xero Invoiced Ex GST",$A$1:$AB$1,0)),"")),0)</f>
        <v/>
      </c>
      <c r="AE3823" s="53">
        <f>IFERROR(INDEX($A3823:$AB3823,MATCH("Xero Invoice Date",$A$1:$AB$1,0)),"")</f>
        <v/>
      </c>
      <c r="AF3823" s="54">
        <f>IF(AND(IFERROR(INDEX($A3823:$AB3823,MATCH("Xero Invoice No",$A$1:$AB$1,0)),"")&amp;""&lt;&gt;"",ISNUMBER(AE3823),AD3823&lt;&gt;0),1,0)</f>
        <v/>
      </c>
      <c r="AG3823" s="55">
        <f>IF(AF3823=1,EOMONTH(AE3823,0),"")</f>
        <v/>
      </c>
      <c r="AH3823" s="9">
        <f>IF(AF3823=1,UPPER(TRIM(IFERROR(INDEX($A3823:$AB3823,MATCH("Client",$A$1:$AB$1,0)),"")&amp;"")),"")</f>
        <v/>
      </c>
      <c r="AI3823" s="9">
        <f>IF(AF3823=1,IFERROR(INDEX($A3823:$AB3823,MATCH("Cost Centre",$A$1:$AB$1,0)),"")&amp;"","")</f>
        <v/>
      </c>
      <c r="AJ3823" s="54">
        <f>IF(AND(AF3823=1,AE3823&gt;=set_FYStart,AE3823&lt;=set_AsAt),1,0)</f>
        <v/>
      </c>
      <c r="AK3823" s="54">
        <f>IF(AND(AJ3823=1,AH3823&lt;&gt;"",COUNTIFS($AH$2:AH3823,AH3823,$AJ$2:AJ3823,1)=1),N(AL3822)+1,"")</f>
        <v/>
      </c>
      <c r="AL3823" s="54">
        <f>IF(AK3823&lt;&gt;"",AK3823,N(AL3822))</f>
        <v/>
      </c>
    </row>
    <row r="3824">
      <c r="A3824" t="inlineStr">
        <is>
          <t>ONS-1275</t>
        </is>
      </c>
      <c r="B3824" t="inlineStr">
        <is>
          <t>Onsite</t>
        </is>
      </c>
      <c r="AB3824" t="n">
        <v>1275</v>
      </c>
      <c r="AD3824" s="52">
        <f>IFERROR(N(IFERROR(INDEX($A3824:$AB3824,MATCH("Xero Invoiced Ex GST",$A$1:$AB$1,0)),"")),0)</f>
        <v/>
      </c>
      <c r="AE3824" s="53">
        <f>IFERROR(INDEX($A3824:$AB3824,MATCH("Xero Invoice Date",$A$1:$AB$1,0)),"")</f>
        <v/>
      </c>
      <c r="AF3824" s="54">
        <f>IF(AND(IFERROR(INDEX($A3824:$AB3824,MATCH("Xero Invoice No",$A$1:$AB$1,0)),"")&amp;""&lt;&gt;"",ISNUMBER(AE3824),AD3824&lt;&gt;0),1,0)</f>
        <v/>
      </c>
      <c r="AG3824" s="55">
        <f>IF(AF3824=1,EOMONTH(AE3824,0),"")</f>
        <v/>
      </c>
      <c r="AH3824" s="9">
        <f>IF(AF3824=1,UPPER(TRIM(IFERROR(INDEX($A3824:$AB3824,MATCH("Client",$A$1:$AB$1,0)),"")&amp;"")),"")</f>
        <v/>
      </c>
      <c r="AI3824" s="9">
        <f>IF(AF3824=1,IFERROR(INDEX($A3824:$AB3824,MATCH("Cost Centre",$A$1:$AB$1,0)),"")&amp;"","")</f>
        <v/>
      </c>
      <c r="AJ3824" s="54">
        <f>IF(AND(AF3824=1,AE3824&gt;=set_FYStart,AE3824&lt;=set_AsAt),1,0)</f>
        <v/>
      </c>
      <c r="AK3824" s="54">
        <f>IF(AND(AJ3824=1,AH3824&lt;&gt;"",COUNTIFS($AH$2:AH3824,AH3824,$AJ$2:AJ3824,1)=1),N(AL3823)+1,"")</f>
        <v/>
      </c>
      <c r="AL3824" s="54">
        <f>IF(AK3824&lt;&gt;"",AK3824,N(AL3823))</f>
        <v/>
      </c>
    </row>
    <row r="3825">
      <c r="A3825" t="inlineStr">
        <is>
          <t>PRD-1275</t>
        </is>
      </c>
      <c r="B3825" t="inlineStr">
        <is>
          <t>Production</t>
        </is>
      </c>
      <c r="AB3825" t="n">
        <v>1275</v>
      </c>
      <c r="AD3825" s="52">
        <f>IFERROR(N(IFERROR(INDEX($A3825:$AB3825,MATCH("Xero Invoiced Ex GST",$A$1:$AB$1,0)),"")),0)</f>
        <v/>
      </c>
      <c r="AE3825" s="53">
        <f>IFERROR(INDEX($A3825:$AB3825,MATCH("Xero Invoice Date",$A$1:$AB$1,0)),"")</f>
        <v/>
      </c>
      <c r="AF3825" s="54">
        <f>IF(AND(IFERROR(INDEX($A3825:$AB3825,MATCH("Xero Invoice No",$A$1:$AB$1,0)),"")&amp;""&lt;&gt;"",ISNUMBER(AE3825),AD3825&lt;&gt;0),1,0)</f>
        <v/>
      </c>
      <c r="AG3825" s="55">
        <f>IF(AF3825=1,EOMONTH(AE3825,0),"")</f>
        <v/>
      </c>
      <c r="AH3825" s="9">
        <f>IF(AF3825=1,UPPER(TRIM(IFERROR(INDEX($A3825:$AB3825,MATCH("Client",$A$1:$AB$1,0)),"")&amp;"")),"")</f>
        <v/>
      </c>
      <c r="AI3825" s="9">
        <f>IF(AF3825=1,IFERROR(INDEX($A3825:$AB3825,MATCH("Cost Centre",$A$1:$AB$1,0)),"")&amp;"","")</f>
        <v/>
      </c>
      <c r="AJ3825" s="54">
        <f>IF(AND(AF3825=1,AE3825&gt;=set_FYStart,AE3825&lt;=set_AsAt),1,0)</f>
        <v/>
      </c>
      <c r="AK3825" s="54">
        <f>IF(AND(AJ3825=1,AH3825&lt;&gt;"",COUNTIFS($AH$2:AH3825,AH3825,$AJ$2:AJ3825,1)=1),N(AL3824)+1,"")</f>
        <v/>
      </c>
      <c r="AL3825" s="54">
        <f>IF(AK3825&lt;&gt;"",AK3825,N(AL3824))</f>
        <v/>
      </c>
    </row>
    <row r="3826">
      <c r="A3826" t="inlineStr">
        <is>
          <t>CON-1275</t>
        </is>
      </c>
      <c r="B3826" t="inlineStr">
        <is>
          <t>Consulting</t>
        </is>
      </c>
      <c r="AB3826" t="n">
        <v>1275</v>
      </c>
      <c r="AD3826" s="52">
        <f>IFERROR(N(IFERROR(INDEX($A3826:$AB3826,MATCH("Xero Invoiced Ex GST",$A$1:$AB$1,0)),"")),0)</f>
        <v/>
      </c>
      <c r="AE3826" s="53">
        <f>IFERROR(INDEX($A3826:$AB3826,MATCH("Xero Invoice Date",$A$1:$AB$1,0)),"")</f>
        <v/>
      </c>
      <c r="AF3826" s="54">
        <f>IF(AND(IFERROR(INDEX($A3826:$AB3826,MATCH("Xero Invoice No",$A$1:$AB$1,0)),"")&amp;""&lt;&gt;"",ISNUMBER(AE3826),AD3826&lt;&gt;0),1,0)</f>
        <v/>
      </c>
      <c r="AG3826" s="55">
        <f>IF(AF3826=1,EOMONTH(AE3826,0),"")</f>
        <v/>
      </c>
      <c r="AH3826" s="9">
        <f>IF(AF3826=1,UPPER(TRIM(IFERROR(INDEX($A3826:$AB3826,MATCH("Client",$A$1:$AB$1,0)),"")&amp;"")),"")</f>
        <v/>
      </c>
      <c r="AI3826" s="9">
        <f>IF(AF3826=1,IFERROR(INDEX($A3826:$AB3826,MATCH("Cost Centre",$A$1:$AB$1,0)),"")&amp;"","")</f>
        <v/>
      </c>
      <c r="AJ3826" s="54">
        <f>IF(AND(AF3826=1,AE3826&gt;=set_FYStart,AE3826&lt;=set_AsAt),1,0)</f>
        <v/>
      </c>
      <c r="AK3826" s="54">
        <f>IF(AND(AJ3826=1,AH3826&lt;&gt;"",COUNTIFS($AH$2:AH3826,AH3826,$AJ$2:AJ3826,1)=1),N(AL3825)+1,"")</f>
        <v/>
      </c>
      <c r="AL3826" s="54">
        <f>IF(AK3826&lt;&gt;"",AK3826,N(AL3825))</f>
        <v/>
      </c>
    </row>
    <row r="3827">
      <c r="A3827" t="inlineStr">
        <is>
          <t>ONS-1276</t>
        </is>
      </c>
      <c r="B3827" t="inlineStr">
        <is>
          <t>Onsite</t>
        </is>
      </c>
      <c r="AB3827" t="n">
        <v>1276</v>
      </c>
      <c r="AD3827" s="52">
        <f>IFERROR(N(IFERROR(INDEX($A3827:$AB3827,MATCH("Xero Invoiced Ex GST",$A$1:$AB$1,0)),"")),0)</f>
        <v/>
      </c>
      <c r="AE3827" s="53">
        <f>IFERROR(INDEX($A3827:$AB3827,MATCH("Xero Invoice Date",$A$1:$AB$1,0)),"")</f>
        <v/>
      </c>
      <c r="AF3827" s="54">
        <f>IF(AND(IFERROR(INDEX($A3827:$AB3827,MATCH("Xero Invoice No",$A$1:$AB$1,0)),"")&amp;""&lt;&gt;"",ISNUMBER(AE3827),AD3827&lt;&gt;0),1,0)</f>
        <v/>
      </c>
      <c r="AG3827" s="55">
        <f>IF(AF3827=1,EOMONTH(AE3827,0),"")</f>
        <v/>
      </c>
      <c r="AH3827" s="9">
        <f>IF(AF3827=1,UPPER(TRIM(IFERROR(INDEX($A3827:$AB3827,MATCH("Client",$A$1:$AB$1,0)),"")&amp;"")),"")</f>
        <v/>
      </c>
      <c r="AI3827" s="9">
        <f>IF(AF3827=1,IFERROR(INDEX($A3827:$AB3827,MATCH("Cost Centre",$A$1:$AB$1,0)),"")&amp;"","")</f>
        <v/>
      </c>
      <c r="AJ3827" s="54">
        <f>IF(AND(AF3827=1,AE3827&gt;=set_FYStart,AE3827&lt;=set_AsAt),1,0)</f>
        <v/>
      </c>
      <c r="AK3827" s="54">
        <f>IF(AND(AJ3827=1,AH3827&lt;&gt;"",COUNTIFS($AH$2:AH3827,AH3827,$AJ$2:AJ3827,1)=1),N(AL3826)+1,"")</f>
        <v/>
      </c>
      <c r="AL3827" s="54">
        <f>IF(AK3827&lt;&gt;"",AK3827,N(AL3826))</f>
        <v/>
      </c>
    </row>
    <row r="3828">
      <c r="A3828" t="inlineStr">
        <is>
          <t>PRD-1276</t>
        </is>
      </c>
      <c r="B3828" t="inlineStr">
        <is>
          <t>Production</t>
        </is>
      </c>
      <c r="AB3828" t="n">
        <v>1276</v>
      </c>
      <c r="AD3828" s="52">
        <f>IFERROR(N(IFERROR(INDEX($A3828:$AB3828,MATCH("Xero Invoiced Ex GST",$A$1:$AB$1,0)),"")),0)</f>
        <v/>
      </c>
      <c r="AE3828" s="53">
        <f>IFERROR(INDEX($A3828:$AB3828,MATCH("Xero Invoice Date",$A$1:$AB$1,0)),"")</f>
        <v/>
      </c>
      <c r="AF3828" s="54">
        <f>IF(AND(IFERROR(INDEX($A3828:$AB3828,MATCH("Xero Invoice No",$A$1:$AB$1,0)),"")&amp;""&lt;&gt;"",ISNUMBER(AE3828),AD3828&lt;&gt;0),1,0)</f>
        <v/>
      </c>
      <c r="AG3828" s="55">
        <f>IF(AF3828=1,EOMONTH(AE3828,0),"")</f>
        <v/>
      </c>
      <c r="AH3828" s="9">
        <f>IF(AF3828=1,UPPER(TRIM(IFERROR(INDEX($A3828:$AB3828,MATCH("Client",$A$1:$AB$1,0)),"")&amp;"")),"")</f>
        <v/>
      </c>
      <c r="AI3828" s="9">
        <f>IF(AF3828=1,IFERROR(INDEX($A3828:$AB3828,MATCH("Cost Centre",$A$1:$AB$1,0)),"")&amp;"","")</f>
        <v/>
      </c>
      <c r="AJ3828" s="54">
        <f>IF(AND(AF3828=1,AE3828&gt;=set_FYStart,AE3828&lt;=set_AsAt),1,0)</f>
        <v/>
      </c>
      <c r="AK3828" s="54">
        <f>IF(AND(AJ3828=1,AH3828&lt;&gt;"",COUNTIFS($AH$2:AH3828,AH3828,$AJ$2:AJ3828,1)=1),N(AL3827)+1,"")</f>
        <v/>
      </c>
      <c r="AL3828" s="54">
        <f>IF(AK3828&lt;&gt;"",AK3828,N(AL3827))</f>
        <v/>
      </c>
    </row>
    <row r="3829">
      <c r="A3829" t="inlineStr">
        <is>
          <t>CON-1276</t>
        </is>
      </c>
      <c r="B3829" t="inlineStr">
        <is>
          <t>Consulting</t>
        </is>
      </c>
      <c r="AB3829" t="n">
        <v>1276</v>
      </c>
      <c r="AD3829" s="52">
        <f>IFERROR(N(IFERROR(INDEX($A3829:$AB3829,MATCH("Xero Invoiced Ex GST",$A$1:$AB$1,0)),"")),0)</f>
        <v/>
      </c>
      <c r="AE3829" s="53">
        <f>IFERROR(INDEX($A3829:$AB3829,MATCH("Xero Invoice Date",$A$1:$AB$1,0)),"")</f>
        <v/>
      </c>
      <c r="AF3829" s="54">
        <f>IF(AND(IFERROR(INDEX($A3829:$AB3829,MATCH("Xero Invoice No",$A$1:$AB$1,0)),"")&amp;""&lt;&gt;"",ISNUMBER(AE3829),AD3829&lt;&gt;0),1,0)</f>
        <v/>
      </c>
      <c r="AG3829" s="55">
        <f>IF(AF3829=1,EOMONTH(AE3829,0),"")</f>
        <v/>
      </c>
      <c r="AH3829" s="9">
        <f>IF(AF3829=1,UPPER(TRIM(IFERROR(INDEX($A3829:$AB3829,MATCH("Client",$A$1:$AB$1,0)),"")&amp;"")),"")</f>
        <v/>
      </c>
      <c r="AI3829" s="9">
        <f>IF(AF3829=1,IFERROR(INDEX($A3829:$AB3829,MATCH("Cost Centre",$A$1:$AB$1,0)),"")&amp;"","")</f>
        <v/>
      </c>
      <c r="AJ3829" s="54">
        <f>IF(AND(AF3829=1,AE3829&gt;=set_FYStart,AE3829&lt;=set_AsAt),1,0)</f>
        <v/>
      </c>
      <c r="AK3829" s="54">
        <f>IF(AND(AJ3829=1,AH3829&lt;&gt;"",COUNTIFS($AH$2:AH3829,AH3829,$AJ$2:AJ3829,1)=1),N(AL3828)+1,"")</f>
        <v/>
      </c>
      <c r="AL3829" s="54">
        <f>IF(AK3829&lt;&gt;"",AK3829,N(AL3828))</f>
        <v/>
      </c>
    </row>
    <row r="3830">
      <c r="A3830" t="inlineStr">
        <is>
          <t>ONS-1277</t>
        </is>
      </c>
      <c r="B3830" t="inlineStr">
        <is>
          <t>Onsite</t>
        </is>
      </c>
      <c r="AB3830" t="n">
        <v>1277</v>
      </c>
      <c r="AD3830" s="52">
        <f>IFERROR(N(IFERROR(INDEX($A3830:$AB3830,MATCH("Xero Invoiced Ex GST",$A$1:$AB$1,0)),"")),0)</f>
        <v/>
      </c>
      <c r="AE3830" s="53">
        <f>IFERROR(INDEX($A3830:$AB3830,MATCH("Xero Invoice Date",$A$1:$AB$1,0)),"")</f>
        <v/>
      </c>
      <c r="AF3830" s="54">
        <f>IF(AND(IFERROR(INDEX($A3830:$AB3830,MATCH("Xero Invoice No",$A$1:$AB$1,0)),"")&amp;""&lt;&gt;"",ISNUMBER(AE3830),AD3830&lt;&gt;0),1,0)</f>
        <v/>
      </c>
      <c r="AG3830" s="55">
        <f>IF(AF3830=1,EOMONTH(AE3830,0),"")</f>
        <v/>
      </c>
      <c r="AH3830" s="9">
        <f>IF(AF3830=1,UPPER(TRIM(IFERROR(INDEX($A3830:$AB3830,MATCH("Client",$A$1:$AB$1,0)),"")&amp;"")),"")</f>
        <v/>
      </c>
      <c r="AI3830" s="9">
        <f>IF(AF3830=1,IFERROR(INDEX($A3830:$AB3830,MATCH("Cost Centre",$A$1:$AB$1,0)),"")&amp;"","")</f>
        <v/>
      </c>
      <c r="AJ3830" s="54">
        <f>IF(AND(AF3830=1,AE3830&gt;=set_FYStart,AE3830&lt;=set_AsAt),1,0)</f>
        <v/>
      </c>
      <c r="AK3830" s="54">
        <f>IF(AND(AJ3830=1,AH3830&lt;&gt;"",COUNTIFS($AH$2:AH3830,AH3830,$AJ$2:AJ3830,1)=1),N(AL3829)+1,"")</f>
        <v/>
      </c>
      <c r="AL3830" s="54">
        <f>IF(AK3830&lt;&gt;"",AK3830,N(AL3829))</f>
        <v/>
      </c>
    </row>
    <row r="3831">
      <c r="A3831" t="inlineStr">
        <is>
          <t>PRD-1277</t>
        </is>
      </c>
      <c r="B3831" t="inlineStr">
        <is>
          <t>Production</t>
        </is>
      </c>
      <c r="AB3831" t="n">
        <v>1277</v>
      </c>
      <c r="AD3831" s="52">
        <f>IFERROR(N(IFERROR(INDEX($A3831:$AB3831,MATCH("Xero Invoiced Ex GST",$A$1:$AB$1,0)),"")),0)</f>
        <v/>
      </c>
      <c r="AE3831" s="53">
        <f>IFERROR(INDEX($A3831:$AB3831,MATCH("Xero Invoice Date",$A$1:$AB$1,0)),"")</f>
        <v/>
      </c>
      <c r="AF3831" s="54">
        <f>IF(AND(IFERROR(INDEX($A3831:$AB3831,MATCH("Xero Invoice No",$A$1:$AB$1,0)),"")&amp;""&lt;&gt;"",ISNUMBER(AE3831),AD3831&lt;&gt;0),1,0)</f>
        <v/>
      </c>
      <c r="AG3831" s="55">
        <f>IF(AF3831=1,EOMONTH(AE3831,0),"")</f>
        <v/>
      </c>
      <c r="AH3831" s="9">
        <f>IF(AF3831=1,UPPER(TRIM(IFERROR(INDEX($A3831:$AB3831,MATCH("Client",$A$1:$AB$1,0)),"")&amp;"")),"")</f>
        <v/>
      </c>
      <c r="AI3831" s="9">
        <f>IF(AF3831=1,IFERROR(INDEX($A3831:$AB3831,MATCH("Cost Centre",$A$1:$AB$1,0)),"")&amp;"","")</f>
        <v/>
      </c>
      <c r="AJ3831" s="54">
        <f>IF(AND(AF3831=1,AE3831&gt;=set_FYStart,AE3831&lt;=set_AsAt),1,0)</f>
        <v/>
      </c>
      <c r="AK3831" s="54">
        <f>IF(AND(AJ3831=1,AH3831&lt;&gt;"",COUNTIFS($AH$2:AH3831,AH3831,$AJ$2:AJ3831,1)=1),N(AL3830)+1,"")</f>
        <v/>
      </c>
      <c r="AL3831" s="54">
        <f>IF(AK3831&lt;&gt;"",AK3831,N(AL3830))</f>
        <v/>
      </c>
    </row>
    <row r="3832">
      <c r="A3832" t="inlineStr">
        <is>
          <t>CON-1277</t>
        </is>
      </c>
      <c r="B3832" t="inlineStr">
        <is>
          <t>Consulting</t>
        </is>
      </c>
      <c r="AB3832" t="n">
        <v>1277</v>
      </c>
      <c r="AD3832" s="52">
        <f>IFERROR(N(IFERROR(INDEX($A3832:$AB3832,MATCH("Xero Invoiced Ex GST",$A$1:$AB$1,0)),"")),0)</f>
        <v/>
      </c>
      <c r="AE3832" s="53">
        <f>IFERROR(INDEX($A3832:$AB3832,MATCH("Xero Invoice Date",$A$1:$AB$1,0)),"")</f>
        <v/>
      </c>
      <c r="AF3832" s="54">
        <f>IF(AND(IFERROR(INDEX($A3832:$AB3832,MATCH("Xero Invoice No",$A$1:$AB$1,0)),"")&amp;""&lt;&gt;"",ISNUMBER(AE3832),AD3832&lt;&gt;0),1,0)</f>
        <v/>
      </c>
      <c r="AG3832" s="55">
        <f>IF(AF3832=1,EOMONTH(AE3832,0),"")</f>
        <v/>
      </c>
      <c r="AH3832" s="9">
        <f>IF(AF3832=1,UPPER(TRIM(IFERROR(INDEX($A3832:$AB3832,MATCH("Client",$A$1:$AB$1,0)),"")&amp;"")),"")</f>
        <v/>
      </c>
      <c r="AI3832" s="9">
        <f>IF(AF3832=1,IFERROR(INDEX($A3832:$AB3832,MATCH("Cost Centre",$A$1:$AB$1,0)),"")&amp;"","")</f>
        <v/>
      </c>
      <c r="AJ3832" s="54">
        <f>IF(AND(AF3832=1,AE3832&gt;=set_FYStart,AE3832&lt;=set_AsAt),1,0)</f>
        <v/>
      </c>
      <c r="AK3832" s="54">
        <f>IF(AND(AJ3832=1,AH3832&lt;&gt;"",COUNTIFS($AH$2:AH3832,AH3832,$AJ$2:AJ3832,1)=1),N(AL3831)+1,"")</f>
        <v/>
      </c>
      <c r="AL3832" s="54">
        <f>IF(AK3832&lt;&gt;"",AK3832,N(AL3831))</f>
        <v/>
      </c>
    </row>
    <row r="3833">
      <c r="A3833" t="inlineStr">
        <is>
          <t>ONS-1278</t>
        </is>
      </c>
      <c r="B3833" t="inlineStr">
        <is>
          <t>Onsite</t>
        </is>
      </c>
      <c r="AB3833" t="n">
        <v>1278</v>
      </c>
      <c r="AD3833" s="52">
        <f>IFERROR(N(IFERROR(INDEX($A3833:$AB3833,MATCH("Xero Invoiced Ex GST",$A$1:$AB$1,0)),"")),0)</f>
        <v/>
      </c>
      <c r="AE3833" s="53">
        <f>IFERROR(INDEX($A3833:$AB3833,MATCH("Xero Invoice Date",$A$1:$AB$1,0)),"")</f>
        <v/>
      </c>
      <c r="AF3833" s="54">
        <f>IF(AND(IFERROR(INDEX($A3833:$AB3833,MATCH("Xero Invoice No",$A$1:$AB$1,0)),"")&amp;""&lt;&gt;"",ISNUMBER(AE3833),AD3833&lt;&gt;0),1,0)</f>
        <v/>
      </c>
      <c r="AG3833" s="55">
        <f>IF(AF3833=1,EOMONTH(AE3833,0),"")</f>
        <v/>
      </c>
      <c r="AH3833" s="9">
        <f>IF(AF3833=1,UPPER(TRIM(IFERROR(INDEX($A3833:$AB3833,MATCH("Client",$A$1:$AB$1,0)),"")&amp;"")),"")</f>
        <v/>
      </c>
      <c r="AI3833" s="9">
        <f>IF(AF3833=1,IFERROR(INDEX($A3833:$AB3833,MATCH("Cost Centre",$A$1:$AB$1,0)),"")&amp;"","")</f>
        <v/>
      </c>
      <c r="AJ3833" s="54">
        <f>IF(AND(AF3833=1,AE3833&gt;=set_FYStart,AE3833&lt;=set_AsAt),1,0)</f>
        <v/>
      </c>
      <c r="AK3833" s="54">
        <f>IF(AND(AJ3833=1,AH3833&lt;&gt;"",COUNTIFS($AH$2:AH3833,AH3833,$AJ$2:AJ3833,1)=1),N(AL3832)+1,"")</f>
        <v/>
      </c>
      <c r="AL3833" s="54">
        <f>IF(AK3833&lt;&gt;"",AK3833,N(AL3832))</f>
        <v/>
      </c>
    </row>
    <row r="3834">
      <c r="A3834" t="inlineStr">
        <is>
          <t>PRD-1278</t>
        </is>
      </c>
      <c r="B3834" t="inlineStr">
        <is>
          <t>Production</t>
        </is>
      </c>
      <c r="AB3834" t="n">
        <v>1278</v>
      </c>
      <c r="AD3834" s="52">
        <f>IFERROR(N(IFERROR(INDEX($A3834:$AB3834,MATCH("Xero Invoiced Ex GST",$A$1:$AB$1,0)),"")),0)</f>
        <v/>
      </c>
      <c r="AE3834" s="53">
        <f>IFERROR(INDEX($A3834:$AB3834,MATCH("Xero Invoice Date",$A$1:$AB$1,0)),"")</f>
        <v/>
      </c>
      <c r="AF3834" s="54">
        <f>IF(AND(IFERROR(INDEX($A3834:$AB3834,MATCH("Xero Invoice No",$A$1:$AB$1,0)),"")&amp;""&lt;&gt;"",ISNUMBER(AE3834),AD3834&lt;&gt;0),1,0)</f>
        <v/>
      </c>
      <c r="AG3834" s="55">
        <f>IF(AF3834=1,EOMONTH(AE3834,0),"")</f>
        <v/>
      </c>
      <c r="AH3834" s="9">
        <f>IF(AF3834=1,UPPER(TRIM(IFERROR(INDEX($A3834:$AB3834,MATCH("Client",$A$1:$AB$1,0)),"")&amp;"")),"")</f>
        <v/>
      </c>
      <c r="AI3834" s="9">
        <f>IF(AF3834=1,IFERROR(INDEX($A3834:$AB3834,MATCH("Cost Centre",$A$1:$AB$1,0)),"")&amp;"","")</f>
        <v/>
      </c>
      <c r="AJ3834" s="54">
        <f>IF(AND(AF3834=1,AE3834&gt;=set_FYStart,AE3834&lt;=set_AsAt),1,0)</f>
        <v/>
      </c>
      <c r="AK3834" s="54">
        <f>IF(AND(AJ3834=1,AH3834&lt;&gt;"",COUNTIFS($AH$2:AH3834,AH3834,$AJ$2:AJ3834,1)=1),N(AL3833)+1,"")</f>
        <v/>
      </c>
      <c r="AL3834" s="54">
        <f>IF(AK3834&lt;&gt;"",AK3834,N(AL3833))</f>
        <v/>
      </c>
    </row>
    <row r="3835">
      <c r="A3835" t="inlineStr">
        <is>
          <t>CON-1278</t>
        </is>
      </c>
      <c r="B3835" t="inlineStr">
        <is>
          <t>Consulting</t>
        </is>
      </c>
      <c r="AB3835" t="n">
        <v>1278</v>
      </c>
      <c r="AD3835" s="52">
        <f>IFERROR(N(IFERROR(INDEX($A3835:$AB3835,MATCH("Xero Invoiced Ex GST",$A$1:$AB$1,0)),"")),0)</f>
        <v/>
      </c>
      <c r="AE3835" s="53">
        <f>IFERROR(INDEX($A3835:$AB3835,MATCH("Xero Invoice Date",$A$1:$AB$1,0)),"")</f>
        <v/>
      </c>
      <c r="AF3835" s="54">
        <f>IF(AND(IFERROR(INDEX($A3835:$AB3835,MATCH("Xero Invoice No",$A$1:$AB$1,0)),"")&amp;""&lt;&gt;"",ISNUMBER(AE3835),AD3835&lt;&gt;0),1,0)</f>
        <v/>
      </c>
      <c r="AG3835" s="55">
        <f>IF(AF3835=1,EOMONTH(AE3835,0),"")</f>
        <v/>
      </c>
      <c r="AH3835" s="9">
        <f>IF(AF3835=1,UPPER(TRIM(IFERROR(INDEX($A3835:$AB3835,MATCH("Client",$A$1:$AB$1,0)),"")&amp;"")),"")</f>
        <v/>
      </c>
      <c r="AI3835" s="9">
        <f>IF(AF3835=1,IFERROR(INDEX($A3835:$AB3835,MATCH("Cost Centre",$A$1:$AB$1,0)),"")&amp;"","")</f>
        <v/>
      </c>
      <c r="AJ3835" s="54">
        <f>IF(AND(AF3835=1,AE3835&gt;=set_FYStart,AE3835&lt;=set_AsAt),1,0)</f>
        <v/>
      </c>
      <c r="AK3835" s="54">
        <f>IF(AND(AJ3835=1,AH3835&lt;&gt;"",COUNTIFS($AH$2:AH3835,AH3835,$AJ$2:AJ3835,1)=1),N(AL3834)+1,"")</f>
        <v/>
      </c>
      <c r="AL3835" s="54">
        <f>IF(AK3835&lt;&gt;"",AK3835,N(AL3834))</f>
        <v/>
      </c>
    </row>
    <row r="3836">
      <c r="A3836" t="inlineStr">
        <is>
          <t>ONS-1279</t>
        </is>
      </c>
      <c r="B3836" t="inlineStr">
        <is>
          <t>Onsite</t>
        </is>
      </c>
      <c r="AB3836" t="n">
        <v>1279</v>
      </c>
      <c r="AD3836" s="52">
        <f>IFERROR(N(IFERROR(INDEX($A3836:$AB3836,MATCH("Xero Invoiced Ex GST",$A$1:$AB$1,0)),"")),0)</f>
        <v/>
      </c>
      <c r="AE3836" s="53">
        <f>IFERROR(INDEX($A3836:$AB3836,MATCH("Xero Invoice Date",$A$1:$AB$1,0)),"")</f>
        <v/>
      </c>
      <c r="AF3836" s="54">
        <f>IF(AND(IFERROR(INDEX($A3836:$AB3836,MATCH("Xero Invoice No",$A$1:$AB$1,0)),"")&amp;""&lt;&gt;"",ISNUMBER(AE3836),AD3836&lt;&gt;0),1,0)</f>
        <v/>
      </c>
      <c r="AG3836" s="55">
        <f>IF(AF3836=1,EOMONTH(AE3836,0),"")</f>
        <v/>
      </c>
      <c r="AH3836" s="9">
        <f>IF(AF3836=1,UPPER(TRIM(IFERROR(INDEX($A3836:$AB3836,MATCH("Client",$A$1:$AB$1,0)),"")&amp;"")),"")</f>
        <v/>
      </c>
      <c r="AI3836" s="9">
        <f>IF(AF3836=1,IFERROR(INDEX($A3836:$AB3836,MATCH("Cost Centre",$A$1:$AB$1,0)),"")&amp;"","")</f>
        <v/>
      </c>
      <c r="AJ3836" s="54">
        <f>IF(AND(AF3836=1,AE3836&gt;=set_FYStart,AE3836&lt;=set_AsAt),1,0)</f>
        <v/>
      </c>
      <c r="AK3836" s="54">
        <f>IF(AND(AJ3836=1,AH3836&lt;&gt;"",COUNTIFS($AH$2:AH3836,AH3836,$AJ$2:AJ3836,1)=1),N(AL3835)+1,"")</f>
        <v/>
      </c>
      <c r="AL3836" s="54">
        <f>IF(AK3836&lt;&gt;"",AK3836,N(AL3835))</f>
        <v/>
      </c>
    </row>
    <row r="3837">
      <c r="A3837" t="inlineStr">
        <is>
          <t>PRD-1279</t>
        </is>
      </c>
      <c r="B3837" t="inlineStr">
        <is>
          <t>Production</t>
        </is>
      </c>
      <c r="AB3837" t="n">
        <v>1279</v>
      </c>
      <c r="AD3837" s="52">
        <f>IFERROR(N(IFERROR(INDEX($A3837:$AB3837,MATCH("Xero Invoiced Ex GST",$A$1:$AB$1,0)),"")),0)</f>
        <v/>
      </c>
      <c r="AE3837" s="53">
        <f>IFERROR(INDEX($A3837:$AB3837,MATCH("Xero Invoice Date",$A$1:$AB$1,0)),"")</f>
        <v/>
      </c>
      <c r="AF3837" s="54">
        <f>IF(AND(IFERROR(INDEX($A3837:$AB3837,MATCH("Xero Invoice No",$A$1:$AB$1,0)),"")&amp;""&lt;&gt;"",ISNUMBER(AE3837),AD3837&lt;&gt;0),1,0)</f>
        <v/>
      </c>
      <c r="AG3837" s="55">
        <f>IF(AF3837=1,EOMONTH(AE3837,0),"")</f>
        <v/>
      </c>
      <c r="AH3837" s="9">
        <f>IF(AF3837=1,UPPER(TRIM(IFERROR(INDEX($A3837:$AB3837,MATCH("Client",$A$1:$AB$1,0)),"")&amp;"")),"")</f>
        <v/>
      </c>
      <c r="AI3837" s="9">
        <f>IF(AF3837=1,IFERROR(INDEX($A3837:$AB3837,MATCH("Cost Centre",$A$1:$AB$1,0)),"")&amp;"","")</f>
        <v/>
      </c>
      <c r="AJ3837" s="54">
        <f>IF(AND(AF3837=1,AE3837&gt;=set_FYStart,AE3837&lt;=set_AsAt),1,0)</f>
        <v/>
      </c>
      <c r="AK3837" s="54">
        <f>IF(AND(AJ3837=1,AH3837&lt;&gt;"",COUNTIFS($AH$2:AH3837,AH3837,$AJ$2:AJ3837,1)=1),N(AL3836)+1,"")</f>
        <v/>
      </c>
      <c r="AL3837" s="54">
        <f>IF(AK3837&lt;&gt;"",AK3837,N(AL3836))</f>
        <v/>
      </c>
    </row>
    <row r="3838">
      <c r="A3838" t="inlineStr">
        <is>
          <t>CON-1279</t>
        </is>
      </c>
      <c r="B3838" t="inlineStr">
        <is>
          <t>Consulting</t>
        </is>
      </c>
      <c r="AB3838" t="n">
        <v>1279</v>
      </c>
      <c r="AD3838" s="52">
        <f>IFERROR(N(IFERROR(INDEX($A3838:$AB3838,MATCH("Xero Invoiced Ex GST",$A$1:$AB$1,0)),"")),0)</f>
        <v/>
      </c>
      <c r="AE3838" s="53">
        <f>IFERROR(INDEX($A3838:$AB3838,MATCH("Xero Invoice Date",$A$1:$AB$1,0)),"")</f>
        <v/>
      </c>
      <c r="AF3838" s="54">
        <f>IF(AND(IFERROR(INDEX($A3838:$AB3838,MATCH("Xero Invoice No",$A$1:$AB$1,0)),"")&amp;""&lt;&gt;"",ISNUMBER(AE3838),AD3838&lt;&gt;0),1,0)</f>
        <v/>
      </c>
      <c r="AG3838" s="55">
        <f>IF(AF3838=1,EOMONTH(AE3838,0),"")</f>
        <v/>
      </c>
      <c r="AH3838" s="9">
        <f>IF(AF3838=1,UPPER(TRIM(IFERROR(INDEX($A3838:$AB3838,MATCH("Client",$A$1:$AB$1,0)),"")&amp;"")),"")</f>
        <v/>
      </c>
      <c r="AI3838" s="9">
        <f>IF(AF3838=1,IFERROR(INDEX($A3838:$AB3838,MATCH("Cost Centre",$A$1:$AB$1,0)),"")&amp;"","")</f>
        <v/>
      </c>
      <c r="AJ3838" s="54">
        <f>IF(AND(AF3838=1,AE3838&gt;=set_FYStart,AE3838&lt;=set_AsAt),1,0)</f>
        <v/>
      </c>
      <c r="AK3838" s="54">
        <f>IF(AND(AJ3838=1,AH3838&lt;&gt;"",COUNTIFS($AH$2:AH3838,AH3838,$AJ$2:AJ3838,1)=1),N(AL3837)+1,"")</f>
        <v/>
      </c>
      <c r="AL3838" s="54">
        <f>IF(AK3838&lt;&gt;"",AK3838,N(AL3837))</f>
        <v/>
      </c>
    </row>
    <row r="3839">
      <c r="A3839" t="inlineStr">
        <is>
          <t>ONS-1280</t>
        </is>
      </c>
      <c r="B3839" t="inlineStr">
        <is>
          <t>Onsite</t>
        </is>
      </c>
      <c r="AB3839" t="n">
        <v>1280</v>
      </c>
      <c r="AD3839" s="52">
        <f>IFERROR(N(IFERROR(INDEX($A3839:$AB3839,MATCH("Xero Invoiced Ex GST",$A$1:$AB$1,0)),"")),0)</f>
        <v/>
      </c>
      <c r="AE3839" s="53">
        <f>IFERROR(INDEX($A3839:$AB3839,MATCH("Xero Invoice Date",$A$1:$AB$1,0)),"")</f>
        <v/>
      </c>
      <c r="AF3839" s="54">
        <f>IF(AND(IFERROR(INDEX($A3839:$AB3839,MATCH("Xero Invoice No",$A$1:$AB$1,0)),"")&amp;""&lt;&gt;"",ISNUMBER(AE3839),AD3839&lt;&gt;0),1,0)</f>
        <v/>
      </c>
      <c r="AG3839" s="55">
        <f>IF(AF3839=1,EOMONTH(AE3839,0),"")</f>
        <v/>
      </c>
      <c r="AH3839" s="9">
        <f>IF(AF3839=1,UPPER(TRIM(IFERROR(INDEX($A3839:$AB3839,MATCH("Client",$A$1:$AB$1,0)),"")&amp;"")),"")</f>
        <v/>
      </c>
      <c r="AI3839" s="9">
        <f>IF(AF3839=1,IFERROR(INDEX($A3839:$AB3839,MATCH("Cost Centre",$A$1:$AB$1,0)),"")&amp;"","")</f>
        <v/>
      </c>
      <c r="AJ3839" s="54">
        <f>IF(AND(AF3839=1,AE3839&gt;=set_FYStart,AE3839&lt;=set_AsAt),1,0)</f>
        <v/>
      </c>
      <c r="AK3839" s="54">
        <f>IF(AND(AJ3839=1,AH3839&lt;&gt;"",COUNTIFS($AH$2:AH3839,AH3839,$AJ$2:AJ3839,1)=1),N(AL3838)+1,"")</f>
        <v/>
      </c>
      <c r="AL3839" s="54">
        <f>IF(AK3839&lt;&gt;"",AK3839,N(AL3838))</f>
        <v/>
      </c>
    </row>
    <row r="3840">
      <c r="A3840" t="inlineStr">
        <is>
          <t>PRD-1280</t>
        </is>
      </c>
      <c r="B3840" t="inlineStr">
        <is>
          <t>Production</t>
        </is>
      </c>
      <c r="AB3840" t="n">
        <v>1280</v>
      </c>
      <c r="AD3840" s="52">
        <f>IFERROR(N(IFERROR(INDEX($A3840:$AB3840,MATCH("Xero Invoiced Ex GST",$A$1:$AB$1,0)),"")),0)</f>
        <v/>
      </c>
      <c r="AE3840" s="53">
        <f>IFERROR(INDEX($A3840:$AB3840,MATCH("Xero Invoice Date",$A$1:$AB$1,0)),"")</f>
        <v/>
      </c>
      <c r="AF3840" s="54">
        <f>IF(AND(IFERROR(INDEX($A3840:$AB3840,MATCH("Xero Invoice No",$A$1:$AB$1,0)),"")&amp;""&lt;&gt;"",ISNUMBER(AE3840),AD3840&lt;&gt;0),1,0)</f>
        <v/>
      </c>
      <c r="AG3840" s="55">
        <f>IF(AF3840=1,EOMONTH(AE3840,0),"")</f>
        <v/>
      </c>
      <c r="AH3840" s="9">
        <f>IF(AF3840=1,UPPER(TRIM(IFERROR(INDEX($A3840:$AB3840,MATCH("Client",$A$1:$AB$1,0)),"")&amp;"")),"")</f>
        <v/>
      </c>
      <c r="AI3840" s="9">
        <f>IF(AF3840=1,IFERROR(INDEX($A3840:$AB3840,MATCH("Cost Centre",$A$1:$AB$1,0)),"")&amp;"","")</f>
        <v/>
      </c>
      <c r="AJ3840" s="54">
        <f>IF(AND(AF3840=1,AE3840&gt;=set_FYStart,AE3840&lt;=set_AsAt),1,0)</f>
        <v/>
      </c>
      <c r="AK3840" s="54">
        <f>IF(AND(AJ3840=1,AH3840&lt;&gt;"",COUNTIFS($AH$2:AH3840,AH3840,$AJ$2:AJ3840,1)=1),N(AL3839)+1,"")</f>
        <v/>
      </c>
      <c r="AL3840" s="54">
        <f>IF(AK3840&lt;&gt;"",AK3840,N(AL3839))</f>
        <v/>
      </c>
    </row>
    <row r="3841">
      <c r="A3841" t="inlineStr">
        <is>
          <t>CON-1280</t>
        </is>
      </c>
      <c r="B3841" t="inlineStr">
        <is>
          <t>Consulting</t>
        </is>
      </c>
      <c r="AB3841" t="n">
        <v>1280</v>
      </c>
      <c r="AD3841" s="52">
        <f>IFERROR(N(IFERROR(INDEX($A3841:$AB3841,MATCH("Xero Invoiced Ex GST",$A$1:$AB$1,0)),"")),0)</f>
        <v/>
      </c>
      <c r="AE3841" s="53">
        <f>IFERROR(INDEX($A3841:$AB3841,MATCH("Xero Invoice Date",$A$1:$AB$1,0)),"")</f>
        <v/>
      </c>
      <c r="AF3841" s="54">
        <f>IF(AND(IFERROR(INDEX($A3841:$AB3841,MATCH("Xero Invoice No",$A$1:$AB$1,0)),"")&amp;""&lt;&gt;"",ISNUMBER(AE3841),AD3841&lt;&gt;0),1,0)</f>
        <v/>
      </c>
      <c r="AG3841" s="55">
        <f>IF(AF3841=1,EOMONTH(AE3841,0),"")</f>
        <v/>
      </c>
      <c r="AH3841" s="9">
        <f>IF(AF3841=1,UPPER(TRIM(IFERROR(INDEX($A3841:$AB3841,MATCH("Client",$A$1:$AB$1,0)),"")&amp;"")),"")</f>
        <v/>
      </c>
      <c r="AI3841" s="9">
        <f>IF(AF3841=1,IFERROR(INDEX($A3841:$AB3841,MATCH("Cost Centre",$A$1:$AB$1,0)),"")&amp;"","")</f>
        <v/>
      </c>
      <c r="AJ3841" s="54">
        <f>IF(AND(AF3841=1,AE3841&gt;=set_FYStart,AE3841&lt;=set_AsAt),1,0)</f>
        <v/>
      </c>
      <c r="AK3841" s="54">
        <f>IF(AND(AJ3841=1,AH3841&lt;&gt;"",COUNTIFS($AH$2:AH3841,AH3841,$AJ$2:AJ3841,1)=1),N(AL3840)+1,"")</f>
        <v/>
      </c>
      <c r="AL3841" s="54">
        <f>IF(AK3841&lt;&gt;"",AK3841,N(AL3840))</f>
        <v/>
      </c>
    </row>
    <row r="3842">
      <c r="A3842" t="inlineStr">
        <is>
          <t>ONS-1281</t>
        </is>
      </c>
      <c r="B3842" t="inlineStr">
        <is>
          <t>Onsite</t>
        </is>
      </c>
      <c r="AB3842" t="n">
        <v>1281</v>
      </c>
      <c r="AD3842" s="52">
        <f>IFERROR(N(IFERROR(INDEX($A3842:$AB3842,MATCH("Xero Invoiced Ex GST",$A$1:$AB$1,0)),"")),0)</f>
        <v/>
      </c>
      <c r="AE3842" s="53">
        <f>IFERROR(INDEX($A3842:$AB3842,MATCH("Xero Invoice Date",$A$1:$AB$1,0)),"")</f>
        <v/>
      </c>
      <c r="AF3842" s="54">
        <f>IF(AND(IFERROR(INDEX($A3842:$AB3842,MATCH("Xero Invoice No",$A$1:$AB$1,0)),"")&amp;""&lt;&gt;"",ISNUMBER(AE3842),AD3842&lt;&gt;0),1,0)</f>
        <v/>
      </c>
      <c r="AG3842" s="55">
        <f>IF(AF3842=1,EOMONTH(AE3842,0),"")</f>
        <v/>
      </c>
      <c r="AH3842" s="9">
        <f>IF(AF3842=1,UPPER(TRIM(IFERROR(INDEX($A3842:$AB3842,MATCH("Client",$A$1:$AB$1,0)),"")&amp;"")),"")</f>
        <v/>
      </c>
      <c r="AI3842" s="9">
        <f>IF(AF3842=1,IFERROR(INDEX($A3842:$AB3842,MATCH("Cost Centre",$A$1:$AB$1,0)),"")&amp;"","")</f>
        <v/>
      </c>
      <c r="AJ3842" s="54">
        <f>IF(AND(AF3842=1,AE3842&gt;=set_FYStart,AE3842&lt;=set_AsAt),1,0)</f>
        <v/>
      </c>
      <c r="AK3842" s="54">
        <f>IF(AND(AJ3842=1,AH3842&lt;&gt;"",COUNTIFS($AH$2:AH3842,AH3842,$AJ$2:AJ3842,1)=1),N(AL3841)+1,"")</f>
        <v/>
      </c>
      <c r="AL3842" s="54">
        <f>IF(AK3842&lt;&gt;"",AK3842,N(AL3841))</f>
        <v/>
      </c>
    </row>
    <row r="3843">
      <c r="A3843" t="inlineStr">
        <is>
          <t>PRD-1281</t>
        </is>
      </c>
      <c r="B3843" t="inlineStr">
        <is>
          <t>Production</t>
        </is>
      </c>
      <c r="AB3843" t="n">
        <v>1281</v>
      </c>
      <c r="AD3843" s="52">
        <f>IFERROR(N(IFERROR(INDEX($A3843:$AB3843,MATCH("Xero Invoiced Ex GST",$A$1:$AB$1,0)),"")),0)</f>
        <v/>
      </c>
      <c r="AE3843" s="53">
        <f>IFERROR(INDEX($A3843:$AB3843,MATCH("Xero Invoice Date",$A$1:$AB$1,0)),"")</f>
        <v/>
      </c>
      <c r="AF3843" s="54">
        <f>IF(AND(IFERROR(INDEX($A3843:$AB3843,MATCH("Xero Invoice No",$A$1:$AB$1,0)),"")&amp;""&lt;&gt;"",ISNUMBER(AE3843),AD3843&lt;&gt;0),1,0)</f>
        <v/>
      </c>
      <c r="AG3843" s="55">
        <f>IF(AF3843=1,EOMONTH(AE3843,0),"")</f>
        <v/>
      </c>
      <c r="AH3843" s="9">
        <f>IF(AF3843=1,UPPER(TRIM(IFERROR(INDEX($A3843:$AB3843,MATCH("Client",$A$1:$AB$1,0)),"")&amp;"")),"")</f>
        <v/>
      </c>
      <c r="AI3843" s="9">
        <f>IF(AF3843=1,IFERROR(INDEX($A3843:$AB3843,MATCH("Cost Centre",$A$1:$AB$1,0)),"")&amp;"","")</f>
        <v/>
      </c>
      <c r="AJ3843" s="54">
        <f>IF(AND(AF3843=1,AE3843&gt;=set_FYStart,AE3843&lt;=set_AsAt),1,0)</f>
        <v/>
      </c>
      <c r="AK3843" s="54">
        <f>IF(AND(AJ3843=1,AH3843&lt;&gt;"",COUNTIFS($AH$2:AH3843,AH3843,$AJ$2:AJ3843,1)=1),N(AL3842)+1,"")</f>
        <v/>
      </c>
      <c r="AL3843" s="54">
        <f>IF(AK3843&lt;&gt;"",AK3843,N(AL3842))</f>
        <v/>
      </c>
    </row>
    <row r="3844">
      <c r="A3844" t="inlineStr">
        <is>
          <t>CON-1281</t>
        </is>
      </c>
      <c r="B3844" t="inlineStr">
        <is>
          <t>Consulting</t>
        </is>
      </c>
      <c r="AB3844" t="n">
        <v>1281</v>
      </c>
      <c r="AD3844" s="52">
        <f>IFERROR(N(IFERROR(INDEX($A3844:$AB3844,MATCH("Xero Invoiced Ex GST",$A$1:$AB$1,0)),"")),0)</f>
        <v/>
      </c>
      <c r="AE3844" s="53">
        <f>IFERROR(INDEX($A3844:$AB3844,MATCH("Xero Invoice Date",$A$1:$AB$1,0)),"")</f>
        <v/>
      </c>
      <c r="AF3844" s="54">
        <f>IF(AND(IFERROR(INDEX($A3844:$AB3844,MATCH("Xero Invoice No",$A$1:$AB$1,0)),"")&amp;""&lt;&gt;"",ISNUMBER(AE3844),AD3844&lt;&gt;0),1,0)</f>
        <v/>
      </c>
      <c r="AG3844" s="55">
        <f>IF(AF3844=1,EOMONTH(AE3844,0),"")</f>
        <v/>
      </c>
      <c r="AH3844" s="9">
        <f>IF(AF3844=1,UPPER(TRIM(IFERROR(INDEX($A3844:$AB3844,MATCH("Client",$A$1:$AB$1,0)),"")&amp;"")),"")</f>
        <v/>
      </c>
      <c r="AI3844" s="9">
        <f>IF(AF3844=1,IFERROR(INDEX($A3844:$AB3844,MATCH("Cost Centre",$A$1:$AB$1,0)),"")&amp;"","")</f>
        <v/>
      </c>
      <c r="AJ3844" s="54">
        <f>IF(AND(AF3844=1,AE3844&gt;=set_FYStart,AE3844&lt;=set_AsAt),1,0)</f>
        <v/>
      </c>
      <c r="AK3844" s="54">
        <f>IF(AND(AJ3844=1,AH3844&lt;&gt;"",COUNTIFS($AH$2:AH3844,AH3844,$AJ$2:AJ3844,1)=1),N(AL3843)+1,"")</f>
        <v/>
      </c>
      <c r="AL3844" s="54">
        <f>IF(AK3844&lt;&gt;"",AK3844,N(AL3843))</f>
        <v/>
      </c>
    </row>
    <row r="3845">
      <c r="A3845" t="inlineStr">
        <is>
          <t>ONS-1282</t>
        </is>
      </c>
      <c r="B3845" t="inlineStr">
        <is>
          <t>Onsite</t>
        </is>
      </c>
      <c r="AB3845" t="n">
        <v>1282</v>
      </c>
      <c r="AD3845" s="52">
        <f>IFERROR(N(IFERROR(INDEX($A3845:$AB3845,MATCH("Xero Invoiced Ex GST",$A$1:$AB$1,0)),"")),0)</f>
        <v/>
      </c>
      <c r="AE3845" s="53">
        <f>IFERROR(INDEX($A3845:$AB3845,MATCH("Xero Invoice Date",$A$1:$AB$1,0)),"")</f>
        <v/>
      </c>
      <c r="AF3845" s="54">
        <f>IF(AND(IFERROR(INDEX($A3845:$AB3845,MATCH("Xero Invoice No",$A$1:$AB$1,0)),"")&amp;""&lt;&gt;"",ISNUMBER(AE3845),AD3845&lt;&gt;0),1,0)</f>
        <v/>
      </c>
      <c r="AG3845" s="55">
        <f>IF(AF3845=1,EOMONTH(AE3845,0),"")</f>
        <v/>
      </c>
      <c r="AH3845" s="9">
        <f>IF(AF3845=1,UPPER(TRIM(IFERROR(INDEX($A3845:$AB3845,MATCH("Client",$A$1:$AB$1,0)),"")&amp;"")),"")</f>
        <v/>
      </c>
      <c r="AI3845" s="9">
        <f>IF(AF3845=1,IFERROR(INDEX($A3845:$AB3845,MATCH("Cost Centre",$A$1:$AB$1,0)),"")&amp;"","")</f>
        <v/>
      </c>
      <c r="AJ3845" s="54">
        <f>IF(AND(AF3845=1,AE3845&gt;=set_FYStart,AE3845&lt;=set_AsAt),1,0)</f>
        <v/>
      </c>
      <c r="AK3845" s="54">
        <f>IF(AND(AJ3845=1,AH3845&lt;&gt;"",COUNTIFS($AH$2:AH3845,AH3845,$AJ$2:AJ3845,1)=1),N(AL3844)+1,"")</f>
        <v/>
      </c>
      <c r="AL3845" s="54">
        <f>IF(AK3845&lt;&gt;"",AK3845,N(AL3844))</f>
        <v/>
      </c>
    </row>
    <row r="3846">
      <c r="A3846" t="inlineStr">
        <is>
          <t>PRD-1282</t>
        </is>
      </c>
      <c r="B3846" t="inlineStr">
        <is>
          <t>Production</t>
        </is>
      </c>
      <c r="AB3846" t="n">
        <v>1282</v>
      </c>
      <c r="AD3846" s="52">
        <f>IFERROR(N(IFERROR(INDEX($A3846:$AB3846,MATCH("Xero Invoiced Ex GST",$A$1:$AB$1,0)),"")),0)</f>
        <v/>
      </c>
      <c r="AE3846" s="53">
        <f>IFERROR(INDEX($A3846:$AB3846,MATCH("Xero Invoice Date",$A$1:$AB$1,0)),"")</f>
        <v/>
      </c>
      <c r="AF3846" s="54">
        <f>IF(AND(IFERROR(INDEX($A3846:$AB3846,MATCH("Xero Invoice No",$A$1:$AB$1,0)),"")&amp;""&lt;&gt;"",ISNUMBER(AE3846),AD3846&lt;&gt;0),1,0)</f>
        <v/>
      </c>
      <c r="AG3846" s="55">
        <f>IF(AF3846=1,EOMONTH(AE3846,0),"")</f>
        <v/>
      </c>
      <c r="AH3846" s="9">
        <f>IF(AF3846=1,UPPER(TRIM(IFERROR(INDEX($A3846:$AB3846,MATCH("Client",$A$1:$AB$1,0)),"")&amp;"")),"")</f>
        <v/>
      </c>
      <c r="AI3846" s="9">
        <f>IF(AF3846=1,IFERROR(INDEX($A3846:$AB3846,MATCH("Cost Centre",$A$1:$AB$1,0)),"")&amp;"","")</f>
        <v/>
      </c>
      <c r="AJ3846" s="54">
        <f>IF(AND(AF3846=1,AE3846&gt;=set_FYStart,AE3846&lt;=set_AsAt),1,0)</f>
        <v/>
      </c>
      <c r="AK3846" s="54">
        <f>IF(AND(AJ3846=1,AH3846&lt;&gt;"",COUNTIFS($AH$2:AH3846,AH3846,$AJ$2:AJ3846,1)=1),N(AL3845)+1,"")</f>
        <v/>
      </c>
      <c r="AL3846" s="54">
        <f>IF(AK3846&lt;&gt;"",AK3846,N(AL3845))</f>
        <v/>
      </c>
    </row>
    <row r="3847">
      <c r="A3847" t="inlineStr">
        <is>
          <t>CON-1282</t>
        </is>
      </c>
      <c r="B3847" t="inlineStr">
        <is>
          <t>Consulting</t>
        </is>
      </c>
      <c r="AB3847" t="n">
        <v>1282</v>
      </c>
      <c r="AD3847" s="52">
        <f>IFERROR(N(IFERROR(INDEX($A3847:$AB3847,MATCH("Xero Invoiced Ex GST",$A$1:$AB$1,0)),"")),0)</f>
        <v/>
      </c>
      <c r="AE3847" s="53">
        <f>IFERROR(INDEX($A3847:$AB3847,MATCH("Xero Invoice Date",$A$1:$AB$1,0)),"")</f>
        <v/>
      </c>
      <c r="AF3847" s="54">
        <f>IF(AND(IFERROR(INDEX($A3847:$AB3847,MATCH("Xero Invoice No",$A$1:$AB$1,0)),"")&amp;""&lt;&gt;"",ISNUMBER(AE3847),AD3847&lt;&gt;0),1,0)</f>
        <v/>
      </c>
      <c r="AG3847" s="55">
        <f>IF(AF3847=1,EOMONTH(AE3847,0),"")</f>
        <v/>
      </c>
      <c r="AH3847" s="9">
        <f>IF(AF3847=1,UPPER(TRIM(IFERROR(INDEX($A3847:$AB3847,MATCH("Client",$A$1:$AB$1,0)),"")&amp;"")),"")</f>
        <v/>
      </c>
      <c r="AI3847" s="9">
        <f>IF(AF3847=1,IFERROR(INDEX($A3847:$AB3847,MATCH("Cost Centre",$A$1:$AB$1,0)),"")&amp;"","")</f>
        <v/>
      </c>
      <c r="AJ3847" s="54">
        <f>IF(AND(AF3847=1,AE3847&gt;=set_FYStart,AE3847&lt;=set_AsAt),1,0)</f>
        <v/>
      </c>
      <c r="AK3847" s="54">
        <f>IF(AND(AJ3847=1,AH3847&lt;&gt;"",COUNTIFS($AH$2:AH3847,AH3847,$AJ$2:AJ3847,1)=1),N(AL3846)+1,"")</f>
        <v/>
      </c>
      <c r="AL3847" s="54">
        <f>IF(AK3847&lt;&gt;"",AK3847,N(AL3846))</f>
        <v/>
      </c>
    </row>
    <row r="3848">
      <c r="A3848" t="inlineStr">
        <is>
          <t>ONS-1283</t>
        </is>
      </c>
      <c r="B3848" t="inlineStr">
        <is>
          <t>Onsite</t>
        </is>
      </c>
      <c r="AB3848" t="n">
        <v>1283</v>
      </c>
      <c r="AD3848" s="52">
        <f>IFERROR(N(IFERROR(INDEX($A3848:$AB3848,MATCH("Xero Invoiced Ex GST",$A$1:$AB$1,0)),"")),0)</f>
        <v/>
      </c>
      <c r="AE3848" s="53">
        <f>IFERROR(INDEX($A3848:$AB3848,MATCH("Xero Invoice Date",$A$1:$AB$1,0)),"")</f>
        <v/>
      </c>
      <c r="AF3848" s="54">
        <f>IF(AND(IFERROR(INDEX($A3848:$AB3848,MATCH("Xero Invoice No",$A$1:$AB$1,0)),"")&amp;""&lt;&gt;"",ISNUMBER(AE3848),AD3848&lt;&gt;0),1,0)</f>
        <v/>
      </c>
      <c r="AG3848" s="55">
        <f>IF(AF3848=1,EOMONTH(AE3848,0),"")</f>
        <v/>
      </c>
      <c r="AH3848" s="9">
        <f>IF(AF3848=1,UPPER(TRIM(IFERROR(INDEX($A3848:$AB3848,MATCH("Client",$A$1:$AB$1,0)),"")&amp;"")),"")</f>
        <v/>
      </c>
      <c r="AI3848" s="9">
        <f>IF(AF3848=1,IFERROR(INDEX($A3848:$AB3848,MATCH("Cost Centre",$A$1:$AB$1,0)),"")&amp;"","")</f>
        <v/>
      </c>
      <c r="AJ3848" s="54">
        <f>IF(AND(AF3848=1,AE3848&gt;=set_FYStart,AE3848&lt;=set_AsAt),1,0)</f>
        <v/>
      </c>
      <c r="AK3848" s="54">
        <f>IF(AND(AJ3848=1,AH3848&lt;&gt;"",COUNTIFS($AH$2:AH3848,AH3848,$AJ$2:AJ3848,1)=1),N(AL3847)+1,"")</f>
        <v/>
      </c>
      <c r="AL3848" s="54">
        <f>IF(AK3848&lt;&gt;"",AK3848,N(AL3847))</f>
        <v/>
      </c>
    </row>
    <row r="3849">
      <c r="A3849" t="inlineStr">
        <is>
          <t>PRD-1283</t>
        </is>
      </c>
      <c r="B3849" t="inlineStr">
        <is>
          <t>Production</t>
        </is>
      </c>
      <c r="AB3849" t="n">
        <v>1283</v>
      </c>
      <c r="AD3849" s="52">
        <f>IFERROR(N(IFERROR(INDEX($A3849:$AB3849,MATCH("Xero Invoiced Ex GST",$A$1:$AB$1,0)),"")),0)</f>
        <v/>
      </c>
      <c r="AE3849" s="53">
        <f>IFERROR(INDEX($A3849:$AB3849,MATCH("Xero Invoice Date",$A$1:$AB$1,0)),"")</f>
        <v/>
      </c>
      <c r="AF3849" s="54">
        <f>IF(AND(IFERROR(INDEX($A3849:$AB3849,MATCH("Xero Invoice No",$A$1:$AB$1,0)),"")&amp;""&lt;&gt;"",ISNUMBER(AE3849),AD3849&lt;&gt;0),1,0)</f>
        <v/>
      </c>
      <c r="AG3849" s="55">
        <f>IF(AF3849=1,EOMONTH(AE3849,0),"")</f>
        <v/>
      </c>
      <c r="AH3849" s="9">
        <f>IF(AF3849=1,UPPER(TRIM(IFERROR(INDEX($A3849:$AB3849,MATCH("Client",$A$1:$AB$1,0)),"")&amp;"")),"")</f>
        <v/>
      </c>
      <c r="AI3849" s="9">
        <f>IF(AF3849=1,IFERROR(INDEX($A3849:$AB3849,MATCH("Cost Centre",$A$1:$AB$1,0)),"")&amp;"","")</f>
        <v/>
      </c>
      <c r="AJ3849" s="54">
        <f>IF(AND(AF3849=1,AE3849&gt;=set_FYStart,AE3849&lt;=set_AsAt),1,0)</f>
        <v/>
      </c>
      <c r="AK3849" s="54">
        <f>IF(AND(AJ3849=1,AH3849&lt;&gt;"",COUNTIFS($AH$2:AH3849,AH3849,$AJ$2:AJ3849,1)=1),N(AL3848)+1,"")</f>
        <v/>
      </c>
      <c r="AL3849" s="54">
        <f>IF(AK3849&lt;&gt;"",AK3849,N(AL3848))</f>
        <v/>
      </c>
    </row>
    <row r="3850">
      <c r="A3850" t="inlineStr">
        <is>
          <t>CON-1283</t>
        </is>
      </c>
      <c r="B3850" t="inlineStr">
        <is>
          <t>Consulting</t>
        </is>
      </c>
      <c r="AB3850" t="n">
        <v>1283</v>
      </c>
      <c r="AD3850" s="52">
        <f>IFERROR(N(IFERROR(INDEX($A3850:$AB3850,MATCH("Xero Invoiced Ex GST",$A$1:$AB$1,0)),"")),0)</f>
        <v/>
      </c>
      <c r="AE3850" s="53">
        <f>IFERROR(INDEX($A3850:$AB3850,MATCH("Xero Invoice Date",$A$1:$AB$1,0)),"")</f>
        <v/>
      </c>
      <c r="AF3850" s="54">
        <f>IF(AND(IFERROR(INDEX($A3850:$AB3850,MATCH("Xero Invoice No",$A$1:$AB$1,0)),"")&amp;""&lt;&gt;"",ISNUMBER(AE3850),AD3850&lt;&gt;0),1,0)</f>
        <v/>
      </c>
      <c r="AG3850" s="55">
        <f>IF(AF3850=1,EOMONTH(AE3850,0),"")</f>
        <v/>
      </c>
      <c r="AH3850" s="9">
        <f>IF(AF3850=1,UPPER(TRIM(IFERROR(INDEX($A3850:$AB3850,MATCH("Client",$A$1:$AB$1,0)),"")&amp;"")),"")</f>
        <v/>
      </c>
      <c r="AI3850" s="9">
        <f>IF(AF3850=1,IFERROR(INDEX($A3850:$AB3850,MATCH("Cost Centre",$A$1:$AB$1,0)),"")&amp;"","")</f>
        <v/>
      </c>
      <c r="AJ3850" s="54">
        <f>IF(AND(AF3850=1,AE3850&gt;=set_FYStart,AE3850&lt;=set_AsAt),1,0)</f>
        <v/>
      </c>
      <c r="AK3850" s="54">
        <f>IF(AND(AJ3850=1,AH3850&lt;&gt;"",COUNTIFS($AH$2:AH3850,AH3850,$AJ$2:AJ3850,1)=1),N(AL3849)+1,"")</f>
        <v/>
      </c>
      <c r="AL3850" s="54">
        <f>IF(AK3850&lt;&gt;"",AK3850,N(AL3849))</f>
        <v/>
      </c>
    </row>
    <row r="3851">
      <c r="A3851" t="inlineStr">
        <is>
          <t>ONS-1284</t>
        </is>
      </c>
      <c r="B3851" t="inlineStr">
        <is>
          <t>Onsite</t>
        </is>
      </c>
      <c r="AB3851" t="n">
        <v>1284</v>
      </c>
      <c r="AD3851" s="52">
        <f>IFERROR(N(IFERROR(INDEX($A3851:$AB3851,MATCH("Xero Invoiced Ex GST",$A$1:$AB$1,0)),"")),0)</f>
        <v/>
      </c>
      <c r="AE3851" s="53">
        <f>IFERROR(INDEX($A3851:$AB3851,MATCH("Xero Invoice Date",$A$1:$AB$1,0)),"")</f>
        <v/>
      </c>
      <c r="AF3851" s="54">
        <f>IF(AND(IFERROR(INDEX($A3851:$AB3851,MATCH("Xero Invoice No",$A$1:$AB$1,0)),"")&amp;""&lt;&gt;"",ISNUMBER(AE3851),AD3851&lt;&gt;0),1,0)</f>
        <v/>
      </c>
      <c r="AG3851" s="55">
        <f>IF(AF3851=1,EOMONTH(AE3851,0),"")</f>
        <v/>
      </c>
      <c r="AH3851" s="9">
        <f>IF(AF3851=1,UPPER(TRIM(IFERROR(INDEX($A3851:$AB3851,MATCH("Client",$A$1:$AB$1,0)),"")&amp;"")),"")</f>
        <v/>
      </c>
      <c r="AI3851" s="9">
        <f>IF(AF3851=1,IFERROR(INDEX($A3851:$AB3851,MATCH("Cost Centre",$A$1:$AB$1,0)),"")&amp;"","")</f>
        <v/>
      </c>
      <c r="AJ3851" s="54">
        <f>IF(AND(AF3851=1,AE3851&gt;=set_FYStart,AE3851&lt;=set_AsAt),1,0)</f>
        <v/>
      </c>
      <c r="AK3851" s="54">
        <f>IF(AND(AJ3851=1,AH3851&lt;&gt;"",COUNTIFS($AH$2:AH3851,AH3851,$AJ$2:AJ3851,1)=1),N(AL3850)+1,"")</f>
        <v/>
      </c>
      <c r="AL3851" s="54">
        <f>IF(AK3851&lt;&gt;"",AK3851,N(AL3850))</f>
        <v/>
      </c>
    </row>
    <row r="3852">
      <c r="A3852" t="inlineStr">
        <is>
          <t>PRD-1284</t>
        </is>
      </c>
      <c r="B3852" t="inlineStr">
        <is>
          <t>Production</t>
        </is>
      </c>
      <c r="AB3852" t="n">
        <v>1284</v>
      </c>
      <c r="AD3852" s="52">
        <f>IFERROR(N(IFERROR(INDEX($A3852:$AB3852,MATCH("Xero Invoiced Ex GST",$A$1:$AB$1,0)),"")),0)</f>
        <v/>
      </c>
      <c r="AE3852" s="53">
        <f>IFERROR(INDEX($A3852:$AB3852,MATCH("Xero Invoice Date",$A$1:$AB$1,0)),"")</f>
        <v/>
      </c>
      <c r="AF3852" s="54">
        <f>IF(AND(IFERROR(INDEX($A3852:$AB3852,MATCH("Xero Invoice No",$A$1:$AB$1,0)),"")&amp;""&lt;&gt;"",ISNUMBER(AE3852),AD3852&lt;&gt;0),1,0)</f>
        <v/>
      </c>
      <c r="AG3852" s="55">
        <f>IF(AF3852=1,EOMONTH(AE3852,0),"")</f>
        <v/>
      </c>
      <c r="AH3852" s="9">
        <f>IF(AF3852=1,UPPER(TRIM(IFERROR(INDEX($A3852:$AB3852,MATCH("Client",$A$1:$AB$1,0)),"")&amp;"")),"")</f>
        <v/>
      </c>
      <c r="AI3852" s="9">
        <f>IF(AF3852=1,IFERROR(INDEX($A3852:$AB3852,MATCH("Cost Centre",$A$1:$AB$1,0)),"")&amp;"","")</f>
        <v/>
      </c>
      <c r="AJ3852" s="54">
        <f>IF(AND(AF3852=1,AE3852&gt;=set_FYStart,AE3852&lt;=set_AsAt),1,0)</f>
        <v/>
      </c>
      <c r="AK3852" s="54">
        <f>IF(AND(AJ3852=1,AH3852&lt;&gt;"",COUNTIFS($AH$2:AH3852,AH3852,$AJ$2:AJ3852,1)=1),N(AL3851)+1,"")</f>
        <v/>
      </c>
      <c r="AL3852" s="54">
        <f>IF(AK3852&lt;&gt;"",AK3852,N(AL3851))</f>
        <v/>
      </c>
    </row>
    <row r="3853">
      <c r="A3853" t="inlineStr">
        <is>
          <t>CON-1284</t>
        </is>
      </c>
      <c r="B3853" t="inlineStr">
        <is>
          <t>Consulting</t>
        </is>
      </c>
      <c r="AB3853" t="n">
        <v>1284</v>
      </c>
      <c r="AD3853" s="52">
        <f>IFERROR(N(IFERROR(INDEX($A3853:$AB3853,MATCH("Xero Invoiced Ex GST",$A$1:$AB$1,0)),"")),0)</f>
        <v/>
      </c>
      <c r="AE3853" s="53">
        <f>IFERROR(INDEX($A3853:$AB3853,MATCH("Xero Invoice Date",$A$1:$AB$1,0)),"")</f>
        <v/>
      </c>
      <c r="AF3853" s="54">
        <f>IF(AND(IFERROR(INDEX($A3853:$AB3853,MATCH("Xero Invoice No",$A$1:$AB$1,0)),"")&amp;""&lt;&gt;"",ISNUMBER(AE3853),AD3853&lt;&gt;0),1,0)</f>
        <v/>
      </c>
      <c r="AG3853" s="55">
        <f>IF(AF3853=1,EOMONTH(AE3853,0),"")</f>
        <v/>
      </c>
      <c r="AH3853" s="9">
        <f>IF(AF3853=1,UPPER(TRIM(IFERROR(INDEX($A3853:$AB3853,MATCH("Client",$A$1:$AB$1,0)),"")&amp;"")),"")</f>
        <v/>
      </c>
      <c r="AI3853" s="9">
        <f>IF(AF3853=1,IFERROR(INDEX($A3853:$AB3853,MATCH("Cost Centre",$A$1:$AB$1,0)),"")&amp;"","")</f>
        <v/>
      </c>
      <c r="AJ3853" s="54">
        <f>IF(AND(AF3853=1,AE3853&gt;=set_FYStart,AE3853&lt;=set_AsAt),1,0)</f>
        <v/>
      </c>
      <c r="AK3853" s="54">
        <f>IF(AND(AJ3853=1,AH3853&lt;&gt;"",COUNTIFS($AH$2:AH3853,AH3853,$AJ$2:AJ3853,1)=1),N(AL3852)+1,"")</f>
        <v/>
      </c>
      <c r="AL3853" s="54">
        <f>IF(AK3853&lt;&gt;"",AK3853,N(AL3852))</f>
        <v/>
      </c>
    </row>
    <row r="3854">
      <c r="A3854" t="inlineStr">
        <is>
          <t>ONS-1285</t>
        </is>
      </c>
      <c r="B3854" t="inlineStr">
        <is>
          <t>Onsite</t>
        </is>
      </c>
      <c r="AB3854" t="n">
        <v>1285</v>
      </c>
      <c r="AD3854" s="52">
        <f>IFERROR(N(IFERROR(INDEX($A3854:$AB3854,MATCH("Xero Invoiced Ex GST",$A$1:$AB$1,0)),"")),0)</f>
        <v/>
      </c>
      <c r="AE3854" s="53">
        <f>IFERROR(INDEX($A3854:$AB3854,MATCH("Xero Invoice Date",$A$1:$AB$1,0)),"")</f>
        <v/>
      </c>
      <c r="AF3854" s="54">
        <f>IF(AND(IFERROR(INDEX($A3854:$AB3854,MATCH("Xero Invoice No",$A$1:$AB$1,0)),"")&amp;""&lt;&gt;"",ISNUMBER(AE3854),AD3854&lt;&gt;0),1,0)</f>
        <v/>
      </c>
      <c r="AG3854" s="55">
        <f>IF(AF3854=1,EOMONTH(AE3854,0),"")</f>
        <v/>
      </c>
      <c r="AH3854" s="9">
        <f>IF(AF3854=1,UPPER(TRIM(IFERROR(INDEX($A3854:$AB3854,MATCH("Client",$A$1:$AB$1,0)),"")&amp;"")),"")</f>
        <v/>
      </c>
      <c r="AI3854" s="9">
        <f>IF(AF3854=1,IFERROR(INDEX($A3854:$AB3854,MATCH("Cost Centre",$A$1:$AB$1,0)),"")&amp;"","")</f>
        <v/>
      </c>
      <c r="AJ3854" s="54">
        <f>IF(AND(AF3854=1,AE3854&gt;=set_FYStart,AE3854&lt;=set_AsAt),1,0)</f>
        <v/>
      </c>
      <c r="AK3854" s="54">
        <f>IF(AND(AJ3854=1,AH3854&lt;&gt;"",COUNTIFS($AH$2:AH3854,AH3854,$AJ$2:AJ3854,1)=1),N(AL3853)+1,"")</f>
        <v/>
      </c>
      <c r="AL3854" s="54">
        <f>IF(AK3854&lt;&gt;"",AK3854,N(AL3853))</f>
        <v/>
      </c>
    </row>
    <row r="3855">
      <c r="A3855" t="inlineStr">
        <is>
          <t>PRD-1285</t>
        </is>
      </c>
      <c r="B3855" t="inlineStr">
        <is>
          <t>Production</t>
        </is>
      </c>
      <c r="AB3855" t="n">
        <v>1285</v>
      </c>
      <c r="AD3855" s="52">
        <f>IFERROR(N(IFERROR(INDEX($A3855:$AB3855,MATCH("Xero Invoiced Ex GST",$A$1:$AB$1,0)),"")),0)</f>
        <v/>
      </c>
      <c r="AE3855" s="53">
        <f>IFERROR(INDEX($A3855:$AB3855,MATCH("Xero Invoice Date",$A$1:$AB$1,0)),"")</f>
        <v/>
      </c>
      <c r="AF3855" s="54">
        <f>IF(AND(IFERROR(INDEX($A3855:$AB3855,MATCH("Xero Invoice No",$A$1:$AB$1,0)),"")&amp;""&lt;&gt;"",ISNUMBER(AE3855),AD3855&lt;&gt;0),1,0)</f>
        <v/>
      </c>
      <c r="AG3855" s="55">
        <f>IF(AF3855=1,EOMONTH(AE3855,0),"")</f>
        <v/>
      </c>
      <c r="AH3855" s="9">
        <f>IF(AF3855=1,UPPER(TRIM(IFERROR(INDEX($A3855:$AB3855,MATCH("Client",$A$1:$AB$1,0)),"")&amp;"")),"")</f>
        <v/>
      </c>
      <c r="AI3855" s="9">
        <f>IF(AF3855=1,IFERROR(INDEX($A3855:$AB3855,MATCH("Cost Centre",$A$1:$AB$1,0)),"")&amp;"","")</f>
        <v/>
      </c>
      <c r="AJ3855" s="54">
        <f>IF(AND(AF3855=1,AE3855&gt;=set_FYStart,AE3855&lt;=set_AsAt),1,0)</f>
        <v/>
      </c>
      <c r="AK3855" s="54">
        <f>IF(AND(AJ3855=1,AH3855&lt;&gt;"",COUNTIFS($AH$2:AH3855,AH3855,$AJ$2:AJ3855,1)=1),N(AL3854)+1,"")</f>
        <v/>
      </c>
      <c r="AL3855" s="54">
        <f>IF(AK3855&lt;&gt;"",AK3855,N(AL3854))</f>
        <v/>
      </c>
    </row>
    <row r="3856">
      <c r="A3856" t="inlineStr">
        <is>
          <t>CON-1285</t>
        </is>
      </c>
      <c r="B3856" t="inlineStr">
        <is>
          <t>Consulting</t>
        </is>
      </c>
      <c r="AB3856" t="n">
        <v>1285</v>
      </c>
      <c r="AD3856" s="52">
        <f>IFERROR(N(IFERROR(INDEX($A3856:$AB3856,MATCH("Xero Invoiced Ex GST",$A$1:$AB$1,0)),"")),0)</f>
        <v/>
      </c>
      <c r="AE3856" s="53">
        <f>IFERROR(INDEX($A3856:$AB3856,MATCH("Xero Invoice Date",$A$1:$AB$1,0)),"")</f>
        <v/>
      </c>
      <c r="AF3856" s="54">
        <f>IF(AND(IFERROR(INDEX($A3856:$AB3856,MATCH("Xero Invoice No",$A$1:$AB$1,0)),"")&amp;""&lt;&gt;"",ISNUMBER(AE3856),AD3856&lt;&gt;0),1,0)</f>
        <v/>
      </c>
      <c r="AG3856" s="55">
        <f>IF(AF3856=1,EOMONTH(AE3856,0),"")</f>
        <v/>
      </c>
      <c r="AH3856" s="9">
        <f>IF(AF3856=1,UPPER(TRIM(IFERROR(INDEX($A3856:$AB3856,MATCH("Client",$A$1:$AB$1,0)),"")&amp;"")),"")</f>
        <v/>
      </c>
      <c r="AI3856" s="9">
        <f>IF(AF3856=1,IFERROR(INDEX($A3856:$AB3856,MATCH("Cost Centre",$A$1:$AB$1,0)),"")&amp;"","")</f>
        <v/>
      </c>
      <c r="AJ3856" s="54">
        <f>IF(AND(AF3856=1,AE3856&gt;=set_FYStart,AE3856&lt;=set_AsAt),1,0)</f>
        <v/>
      </c>
      <c r="AK3856" s="54">
        <f>IF(AND(AJ3856=1,AH3856&lt;&gt;"",COUNTIFS($AH$2:AH3856,AH3856,$AJ$2:AJ3856,1)=1),N(AL3855)+1,"")</f>
        <v/>
      </c>
      <c r="AL3856" s="54">
        <f>IF(AK3856&lt;&gt;"",AK3856,N(AL3855))</f>
        <v/>
      </c>
    </row>
    <row r="3857">
      <c r="A3857" t="inlineStr">
        <is>
          <t>ONS-1286</t>
        </is>
      </c>
      <c r="B3857" t="inlineStr">
        <is>
          <t>Onsite</t>
        </is>
      </c>
      <c r="AB3857" t="n">
        <v>1286</v>
      </c>
      <c r="AD3857" s="52">
        <f>IFERROR(N(IFERROR(INDEX($A3857:$AB3857,MATCH("Xero Invoiced Ex GST",$A$1:$AB$1,0)),"")),0)</f>
        <v/>
      </c>
      <c r="AE3857" s="53">
        <f>IFERROR(INDEX($A3857:$AB3857,MATCH("Xero Invoice Date",$A$1:$AB$1,0)),"")</f>
        <v/>
      </c>
      <c r="AF3857" s="54">
        <f>IF(AND(IFERROR(INDEX($A3857:$AB3857,MATCH("Xero Invoice No",$A$1:$AB$1,0)),"")&amp;""&lt;&gt;"",ISNUMBER(AE3857),AD3857&lt;&gt;0),1,0)</f>
        <v/>
      </c>
      <c r="AG3857" s="55">
        <f>IF(AF3857=1,EOMONTH(AE3857,0),"")</f>
        <v/>
      </c>
      <c r="AH3857" s="9">
        <f>IF(AF3857=1,UPPER(TRIM(IFERROR(INDEX($A3857:$AB3857,MATCH("Client",$A$1:$AB$1,0)),"")&amp;"")),"")</f>
        <v/>
      </c>
      <c r="AI3857" s="9">
        <f>IF(AF3857=1,IFERROR(INDEX($A3857:$AB3857,MATCH("Cost Centre",$A$1:$AB$1,0)),"")&amp;"","")</f>
        <v/>
      </c>
      <c r="AJ3857" s="54">
        <f>IF(AND(AF3857=1,AE3857&gt;=set_FYStart,AE3857&lt;=set_AsAt),1,0)</f>
        <v/>
      </c>
      <c r="AK3857" s="54">
        <f>IF(AND(AJ3857=1,AH3857&lt;&gt;"",COUNTIFS($AH$2:AH3857,AH3857,$AJ$2:AJ3857,1)=1),N(AL3856)+1,"")</f>
        <v/>
      </c>
      <c r="AL3857" s="54">
        <f>IF(AK3857&lt;&gt;"",AK3857,N(AL3856))</f>
        <v/>
      </c>
    </row>
    <row r="3858">
      <c r="A3858" t="inlineStr">
        <is>
          <t>PRD-1286</t>
        </is>
      </c>
      <c r="B3858" t="inlineStr">
        <is>
          <t>Production</t>
        </is>
      </c>
      <c r="AB3858" t="n">
        <v>1286</v>
      </c>
      <c r="AD3858" s="52">
        <f>IFERROR(N(IFERROR(INDEX($A3858:$AB3858,MATCH("Xero Invoiced Ex GST",$A$1:$AB$1,0)),"")),0)</f>
        <v/>
      </c>
      <c r="AE3858" s="53">
        <f>IFERROR(INDEX($A3858:$AB3858,MATCH("Xero Invoice Date",$A$1:$AB$1,0)),"")</f>
        <v/>
      </c>
      <c r="AF3858" s="54">
        <f>IF(AND(IFERROR(INDEX($A3858:$AB3858,MATCH("Xero Invoice No",$A$1:$AB$1,0)),"")&amp;""&lt;&gt;"",ISNUMBER(AE3858),AD3858&lt;&gt;0),1,0)</f>
        <v/>
      </c>
      <c r="AG3858" s="55">
        <f>IF(AF3858=1,EOMONTH(AE3858,0),"")</f>
        <v/>
      </c>
      <c r="AH3858" s="9">
        <f>IF(AF3858=1,UPPER(TRIM(IFERROR(INDEX($A3858:$AB3858,MATCH("Client",$A$1:$AB$1,0)),"")&amp;"")),"")</f>
        <v/>
      </c>
      <c r="AI3858" s="9">
        <f>IF(AF3858=1,IFERROR(INDEX($A3858:$AB3858,MATCH("Cost Centre",$A$1:$AB$1,0)),"")&amp;"","")</f>
        <v/>
      </c>
      <c r="AJ3858" s="54">
        <f>IF(AND(AF3858=1,AE3858&gt;=set_FYStart,AE3858&lt;=set_AsAt),1,0)</f>
        <v/>
      </c>
      <c r="AK3858" s="54">
        <f>IF(AND(AJ3858=1,AH3858&lt;&gt;"",COUNTIFS($AH$2:AH3858,AH3858,$AJ$2:AJ3858,1)=1),N(AL3857)+1,"")</f>
        <v/>
      </c>
      <c r="AL3858" s="54">
        <f>IF(AK3858&lt;&gt;"",AK3858,N(AL3857))</f>
        <v/>
      </c>
    </row>
    <row r="3859">
      <c r="A3859" t="inlineStr">
        <is>
          <t>CON-1286</t>
        </is>
      </c>
      <c r="B3859" t="inlineStr">
        <is>
          <t>Consulting</t>
        </is>
      </c>
      <c r="AB3859" t="n">
        <v>1286</v>
      </c>
      <c r="AD3859" s="52">
        <f>IFERROR(N(IFERROR(INDEX($A3859:$AB3859,MATCH("Xero Invoiced Ex GST",$A$1:$AB$1,0)),"")),0)</f>
        <v/>
      </c>
      <c r="AE3859" s="53">
        <f>IFERROR(INDEX($A3859:$AB3859,MATCH("Xero Invoice Date",$A$1:$AB$1,0)),"")</f>
        <v/>
      </c>
      <c r="AF3859" s="54">
        <f>IF(AND(IFERROR(INDEX($A3859:$AB3859,MATCH("Xero Invoice No",$A$1:$AB$1,0)),"")&amp;""&lt;&gt;"",ISNUMBER(AE3859),AD3859&lt;&gt;0),1,0)</f>
        <v/>
      </c>
      <c r="AG3859" s="55">
        <f>IF(AF3859=1,EOMONTH(AE3859,0),"")</f>
        <v/>
      </c>
      <c r="AH3859" s="9">
        <f>IF(AF3859=1,UPPER(TRIM(IFERROR(INDEX($A3859:$AB3859,MATCH("Client",$A$1:$AB$1,0)),"")&amp;"")),"")</f>
        <v/>
      </c>
      <c r="AI3859" s="9">
        <f>IF(AF3859=1,IFERROR(INDEX($A3859:$AB3859,MATCH("Cost Centre",$A$1:$AB$1,0)),"")&amp;"","")</f>
        <v/>
      </c>
      <c r="AJ3859" s="54">
        <f>IF(AND(AF3859=1,AE3859&gt;=set_FYStart,AE3859&lt;=set_AsAt),1,0)</f>
        <v/>
      </c>
      <c r="AK3859" s="54">
        <f>IF(AND(AJ3859=1,AH3859&lt;&gt;"",COUNTIFS($AH$2:AH3859,AH3859,$AJ$2:AJ3859,1)=1),N(AL3858)+1,"")</f>
        <v/>
      </c>
      <c r="AL3859" s="54">
        <f>IF(AK3859&lt;&gt;"",AK3859,N(AL3858))</f>
        <v/>
      </c>
    </row>
    <row r="3860">
      <c r="A3860" t="inlineStr">
        <is>
          <t>ONS-1287</t>
        </is>
      </c>
      <c r="B3860" t="inlineStr">
        <is>
          <t>Onsite</t>
        </is>
      </c>
      <c r="AB3860" t="n">
        <v>1287</v>
      </c>
      <c r="AD3860" s="52">
        <f>IFERROR(N(IFERROR(INDEX($A3860:$AB3860,MATCH("Xero Invoiced Ex GST",$A$1:$AB$1,0)),"")),0)</f>
        <v/>
      </c>
      <c r="AE3860" s="53">
        <f>IFERROR(INDEX($A3860:$AB3860,MATCH("Xero Invoice Date",$A$1:$AB$1,0)),"")</f>
        <v/>
      </c>
      <c r="AF3860" s="54">
        <f>IF(AND(IFERROR(INDEX($A3860:$AB3860,MATCH("Xero Invoice No",$A$1:$AB$1,0)),"")&amp;""&lt;&gt;"",ISNUMBER(AE3860),AD3860&lt;&gt;0),1,0)</f>
        <v/>
      </c>
      <c r="AG3860" s="55">
        <f>IF(AF3860=1,EOMONTH(AE3860,0),"")</f>
        <v/>
      </c>
      <c r="AH3860" s="9">
        <f>IF(AF3860=1,UPPER(TRIM(IFERROR(INDEX($A3860:$AB3860,MATCH("Client",$A$1:$AB$1,0)),"")&amp;"")),"")</f>
        <v/>
      </c>
      <c r="AI3860" s="9">
        <f>IF(AF3860=1,IFERROR(INDEX($A3860:$AB3860,MATCH("Cost Centre",$A$1:$AB$1,0)),"")&amp;"","")</f>
        <v/>
      </c>
      <c r="AJ3860" s="54">
        <f>IF(AND(AF3860=1,AE3860&gt;=set_FYStart,AE3860&lt;=set_AsAt),1,0)</f>
        <v/>
      </c>
      <c r="AK3860" s="54">
        <f>IF(AND(AJ3860=1,AH3860&lt;&gt;"",COUNTIFS($AH$2:AH3860,AH3860,$AJ$2:AJ3860,1)=1),N(AL3859)+1,"")</f>
        <v/>
      </c>
      <c r="AL3860" s="54">
        <f>IF(AK3860&lt;&gt;"",AK3860,N(AL3859))</f>
        <v/>
      </c>
    </row>
    <row r="3861">
      <c r="A3861" t="inlineStr">
        <is>
          <t>PRD-1287</t>
        </is>
      </c>
      <c r="B3861" t="inlineStr">
        <is>
          <t>Production</t>
        </is>
      </c>
      <c r="AB3861" t="n">
        <v>1287</v>
      </c>
      <c r="AD3861" s="52">
        <f>IFERROR(N(IFERROR(INDEX($A3861:$AB3861,MATCH("Xero Invoiced Ex GST",$A$1:$AB$1,0)),"")),0)</f>
        <v/>
      </c>
      <c r="AE3861" s="53">
        <f>IFERROR(INDEX($A3861:$AB3861,MATCH("Xero Invoice Date",$A$1:$AB$1,0)),"")</f>
        <v/>
      </c>
      <c r="AF3861" s="54">
        <f>IF(AND(IFERROR(INDEX($A3861:$AB3861,MATCH("Xero Invoice No",$A$1:$AB$1,0)),"")&amp;""&lt;&gt;"",ISNUMBER(AE3861),AD3861&lt;&gt;0),1,0)</f>
        <v/>
      </c>
      <c r="AG3861" s="55">
        <f>IF(AF3861=1,EOMONTH(AE3861,0),"")</f>
        <v/>
      </c>
      <c r="AH3861" s="9">
        <f>IF(AF3861=1,UPPER(TRIM(IFERROR(INDEX($A3861:$AB3861,MATCH("Client",$A$1:$AB$1,0)),"")&amp;"")),"")</f>
        <v/>
      </c>
      <c r="AI3861" s="9">
        <f>IF(AF3861=1,IFERROR(INDEX($A3861:$AB3861,MATCH("Cost Centre",$A$1:$AB$1,0)),"")&amp;"","")</f>
        <v/>
      </c>
      <c r="AJ3861" s="54">
        <f>IF(AND(AF3861=1,AE3861&gt;=set_FYStart,AE3861&lt;=set_AsAt),1,0)</f>
        <v/>
      </c>
      <c r="AK3861" s="54">
        <f>IF(AND(AJ3861=1,AH3861&lt;&gt;"",COUNTIFS($AH$2:AH3861,AH3861,$AJ$2:AJ3861,1)=1),N(AL3860)+1,"")</f>
        <v/>
      </c>
      <c r="AL3861" s="54">
        <f>IF(AK3861&lt;&gt;"",AK3861,N(AL3860))</f>
        <v/>
      </c>
    </row>
    <row r="3862">
      <c r="A3862" t="inlineStr">
        <is>
          <t>CON-1287</t>
        </is>
      </c>
      <c r="B3862" t="inlineStr">
        <is>
          <t>Consulting</t>
        </is>
      </c>
      <c r="AB3862" t="n">
        <v>1287</v>
      </c>
      <c r="AD3862" s="52">
        <f>IFERROR(N(IFERROR(INDEX($A3862:$AB3862,MATCH("Xero Invoiced Ex GST",$A$1:$AB$1,0)),"")),0)</f>
        <v/>
      </c>
      <c r="AE3862" s="53">
        <f>IFERROR(INDEX($A3862:$AB3862,MATCH("Xero Invoice Date",$A$1:$AB$1,0)),"")</f>
        <v/>
      </c>
      <c r="AF3862" s="54">
        <f>IF(AND(IFERROR(INDEX($A3862:$AB3862,MATCH("Xero Invoice No",$A$1:$AB$1,0)),"")&amp;""&lt;&gt;"",ISNUMBER(AE3862),AD3862&lt;&gt;0),1,0)</f>
        <v/>
      </c>
      <c r="AG3862" s="55">
        <f>IF(AF3862=1,EOMONTH(AE3862,0),"")</f>
        <v/>
      </c>
      <c r="AH3862" s="9">
        <f>IF(AF3862=1,UPPER(TRIM(IFERROR(INDEX($A3862:$AB3862,MATCH("Client",$A$1:$AB$1,0)),"")&amp;"")),"")</f>
        <v/>
      </c>
      <c r="AI3862" s="9">
        <f>IF(AF3862=1,IFERROR(INDEX($A3862:$AB3862,MATCH("Cost Centre",$A$1:$AB$1,0)),"")&amp;"","")</f>
        <v/>
      </c>
      <c r="AJ3862" s="54">
        <f>IF(AND(AF3862=1,AE3862&gt;=set_FYStart,AE3862&lt;=set_AsAt),1,0)</f>
        <v/>
      </c>
      <c r="AK3862" s="54">
        <f>IF(AND(AJ3862=1,AH3862&lt;&gt;"",COUNTIFS($AH$2:AH3862,AH3862,$AJ$2:AJ3862,1)=1),N(AL3861)+1,"")</f>
        <v/>
      </c>
      <c r="AL3862" s="54">
        <f>IF(AK3862&lt;&gt;"",AK3862,N(AL3861))</f>
        <v/>
      </c>
    </row>
    <row r="3863">
      <c r="A3863" t="inlineStr">
        <is>
          <t>ONS-1288</t>
        </is>
      </c>
      <c r="B3863" t="inlineStr">
        <is>
          <t>Onsite</t>
        </is>
      </c>
      <c r="AB3863" t="n">
        <v>1288</v>
      </c>
      <c r="AD3863" s="52">
        <f>IFERROR(N(IFERROR(INDEX($A3863:$AB3863,MATCH("Xero Invoiced Ex GST",$A$1:$AB$1,0)),"")),0)</f>
        <v/>
      </c>
      <c r="AE3863" s="53">
        <f>IFERROR(INDEX($A3863:$AB3863,MATCH("Xero Invoice Date",$A$1:$AB$1,0)),"")</f>
        <v/>
      </c>
      <c r="AF3863" s="54">
        <f>IF(AND(IFERROR(INDEX($A3863:$AB3863,MATCH("Xero Invoice No",$A$1:$AB$1,0)),"")&amp;""&lt;&gt;"",ISNUMBER(AE3863),AD3863&lt;&gt;0),1,0)</f>
        <v/>
      </c>
      <c r="AG3863" s="55">
        <f>IF(AF3863=1,EOMONTH(AE3863,0),"")</f>
        <v/>
      </c>
      <c r="AH3863" s="9">
        <f>IF(AF3863=1,UPPER(TRIM(IFERROR(INDEX($A3863:$AB3863,MATCH("Client",$A$1:$AB$1,0)),"")&amp;"")),"")</f>
        <v/>
      </c>
      <c r="AI3863" s="9">
        <f>IF(AF3863=1,IFERROR(INDEX($A3863:$AB3863,MATCH("Cost Centre",$A$1:$AB$1,0)),"")&amp;"","")</f>
        <v/>
      </c>
      <c r="AJ3863" s="54">
        <f>IF(AND(AF3863=1,AE3863&gt;=set_FYStart,AE3863&lt;=set_AsAt),1,0)</f>
        <v/>
      </c>
      <c r="AK3863" s="54">
        <f>IF(AND(AJ3863=1,AH3863&lt;&gt;"",COUNTIFS($AH$2:AH3863,AH3863,$AJ$2:AJ3863,1)=1),N(AL3862)+1,"")</f>
        <v/>
      </c>
      <c r="AL3863" s="54">
        <f>IF(AK3863&lt;&gt;"",AK3863,N(AL3862))</f>
        <v/>
      </c>
    </row>
    <row r="3864">
      <c r="A3864" t="inlineStr">
        <is>
          <t>PRD-1288</t>
        </is>
      </c>
      <c r="B3864" t="inlineStr">
        <is>
          <t>Production</t>
        </is>
      </c>
      <c r="AB3864" t="n">
        <v>1288</v>
      </c>
      <c r="AD3864" s="52">
        <f>IFERROR(N(IFERROR(INDEX($A3864:$AB3864,MATCH("Xero Invoiced Ex GST",$A$1:$AB$1,0)),"")),0)</f>
        <v/>
      </c>
      <c r="AE3864" s="53">
        <f>IFERROR(INDEX($A3864:$AB3864,MATCH("Xero Invoice Date",$A$1:$AB$1,0)),"")</f>
        <v/>
      </c>
      <c r="AF3864" s="54">
        <f>IF(AND(IFERROR(INDEX($A3864:$AB3864,MATCH("Xero Invoice No",$A$1:$AB$1,0)),"")&amp;""&lt;&gt;"",ISNUMBER(AE3864),AD3864&lt;&gt;0),1,0)</f>
        <v/>
      </c>
      <c r="AG3864" s="55">
        <f>IF(AF3864=1,EOMONTH(AE3864,0),"")</f>
        <v/>
      </c>
      <c r="AH3864" s="9">
        <f>IF(AF3864=1,UPPER(TRIM(IFERROR(INDEX($A3864:$AB3864,MATCH("Client",$A$1:$AB$1,0)),"")&amp;"")),"")</f>
        <v/>
      </c>
      <c r="AI3864" s="9">
        <f>IF(AF3864=1,IFERROR(INDEX($A3864:$AB3864,MATCH("Cost Centre",$A$1:$AB$1,0)),"")&amp;"","")</f>
        <v/>
      </c>
      <c r="AJ3864" s="54">
        <f>IF(AND(AF3864=1,AE3864&gt;=set_FYStart,AE3864&lt;=set_AsAt),1,0)</f>
        <v/>
      </c>
      <c r="AK3864" s="54">
        <f>IF(AND(AJ3864=1,AH3864&lt;&gt;"",COUNTIFS($AH$2:AH3864,AH3864,$AJ$2:AJ3864,1)=1),N(AL3863)+1,"")</f>
        <v/>
      </c>
      <c r="AL3864" s="54">
        <f>IF(AK3864&lt;&gt;"",AK3864,N(AL3863))</f>
        <v/>
      </c>
    </row>
    <row r="3865">
      <c r="A3865" t="inlineStr">
        <is>
          <t>CON-1288</t>
        </is>
      </c>
      <c r="B3865" t="inlineStr">
        <is>
          <t>Consulting</t>
        </is>
      </c>
      <c r="AB3865" t="n">
        <v>1288</v>
      </c>
      <c r="AD3865" s="52">
        <f>IFERROR(N(IFERROR(INDEX($A3865:$AB3865,MATCH("Xero Invoiced Ex GST",$A$1:$AB$1,0)),"")),0)</f>
        <v/>
      </c>
      <c r="AE3865" s="53">
        <f>IFERROR(INDEX($A3865:$AB3865,MATCH("Xero Invoice Date",$A$1:$AB$1,0)),"")</f>
        <v/>
      </c>
      <c r="AF3865" s="54">
        <f>IF(AND(IFERROR(INDEX($A3865:$AB3865,MATCH("Xero Invoice No",$A$1:$AB$1,0)),"")&amp;""&lt;&gt;"",ISNUMBER(AE3865),AD3865&lt;&gt;0),1,0)</f>
        <v/>
      </c>
      <c r="AG3865" s="55">
        <f>IF(AF3865=1,EOMONTH(AE3865,0),"")</f>
        <v/>
      </c>
      <c r="AH3865" s="9">
        <f>IF(AF3865=1,UPPER(TRIM(IFERROR(INDEX($A3865:$AB3865,MATCH("Client",$A$1:$AB$1,0)),"")&amp;"")),"")</f>
        <v/>
      </c>
      <c r="AI3865" s="9">
        <f>IF(AF3865=1,IFERROR(INDEX($A3865:$AB3865,MATCH("Cost Centre",$A$1:$AB$1,0)),"")&amp;"","")</f>
        <v/>
      </c>
      <c r="AJ3865" s="54">
        <f>IF(AND(AF3865=1,AE3865&gt;=set_FYStart,AE3865&lt;=set_AsAt),1,0)</f>
        <v/>
      </c>
      <c r="AK3865" s="54">
        <f>IF(AND(AJ3865=1,AH3865&lt;&gt;"",COUNTIFS($AH$2:AH3865,AH3865,$AJ$2:AJ3865,1)=1),N(AL3864)+1,"")</f>
        <v/>
      </c>
      <c r="AL3865" s="54">
        <f>IF(AK3865&lt;&gt;"",AK3865,N(AL3864))</f>
        <v/>
      </c>
    </row>
    <row r="3866">
      <c r="A3866" t="inlineStr">
        <is>
          <t>ONS-1289</t>
        </is>
      </c>
      <c r="B3866" t="inlineStr">
        <is>
          <t>Onsite</t>
        </is>
      </c>
      <c r="AB3866" t="n">
        <v>1289</v>
      </c>
      <c r="AD3866" s="52">
        <f>IFERROR(N(IFERROR(INDEX($A3866:$AB3866,MATCH("Xero Invoiced Ex GST",$A$1:$AB$1,0)),"")),0)</f>
        <v/>
      </c>
      <c r="AE3866" s="53">
        <f>IFERROR(INDEX($A3866:$AB3866,MATCH("Xero Invoice Date",$A$1:$AB$1,0)),"")</f>
        <v/>
      </c>
      <c r="AF3866" s="54">
        <f>IF(AND(IFERROR(INDEX($A3866:$AB3866,MATCH("Xero Invoice No",$A$1:$AB$1,0)),"")&amp;""&lt;&gt;"",ISNUMBER(AE3866),AD3866&lt;&gt;0),1,0)</f>
        <v/>
      </c>
      <c r="AG3866" s="55">
        <f>IF(AF3866=1,EOMONTH(AE3866,0),"")</f>
        <v/>
      </c>
      <c r="AH3866" s="9">
        <f>IF(AF3866=1,UPPER(TRIM(IFERROR(INDEX($A3866:$AB3866,MATCH("Client",$A$1:$AB$1,0)),"")&amp;"")),"")</f>
        <v/>
      </c>
      <c r="AI3866" s="9">
        <f>IF(AF3866=1,IFERROR(INDEX($A3866:$AB3866,MATCH("Cost Centre",$A$1:$AB$1,0)),"")&amp;"","")</f>
        <v/>
      </c>
      <c r="AJ3866" s="54">
        <f>IF(AND(AF3866=1,AE3866&gt;=set_FYStart,AE3866&lt;=set_AsAt),1,0)</f>
        <v/>
      </c>
      <c r="AK3866" s="54">
        <f>IF(AND(AJ3866=1,AH3866&lt;&gt;"",COUNTIFS($AH$2:AH3866,AH3866,$AJ$2:AJ3866,1)=1),N(AL3865)+1,"")</f>
        <v/>
      </c>
      <c r="AL3866" s="54">
        <f>IF(AK3866&lt;&gt;"",AK3866,N(AL3865))</f>
        <v/>
      </c>
    </row>
    <row r="3867">
      <c r="A3867" t="inlineStr">
        <is>
          <t>PRD-1289</t>
        </is>
      </c>
      <c r="B3867" t="inlineStr">
        <is>
          <t>Production</t>
        </is>
      </c>
      <c r="AB3867" t="n">
        <v>1289</v>
      </c>
      <c r="AD3867" s="52">
        <f>IFERROR(N(IFERROR(INDEX($A3867:$AB3867,MATCH("Xero Invoiced Ex GST",$A$1:$AB$1,0)),"")),0)</f>
        <v/>
      </c>
      <c r="AE3867" s="53">
        <f>IFERROR(INDEX($A3867:$AB3867,MATCH("Xero Invoice Date",$A$1:$AB$1,0)),"")</f>
        <v/>
      </c>
      <c r="AF3867" s="54">
        <f>IF(AND(IFERROR(INDEX($A3867:$AB3867,MATCH("Xero Invoice No",$A$1:$AB$1,0)),"")&amp;""&lt;&gt;"",ISNUMBER(AE3867),AD3867&lt;&gt;0),1,0)</f>
        <v/>
      </c>
      <c r="AG3867" s="55">
        <f>IF(AF3867=1,EOMONTH(AE3867,0),"")</f>
        <v/>
      </c>
      <c r="AH3867" s="9">
        <f>IF(AF3867=1,UPPER(TRIM(IFERROR(INDEX($A3867:$AB3867,MATCH("Client",$A$1:$AB$1,0)),"")&amp;"")),"")</f>
        <v/>
      </c>
      <c r="AI3867" s="9">
        <f>IF(AF3867=1,IFERROR(INDEX($A3867:$AB3867,MATCH("Cost Centre",$A$1:$AB$1,0)),"")&amp;"","")</f>
        <v/>
      </c>
      <c r="AJ3867" s="54">
        <f>IF(AND(AF3867=1,AE3867&gt;=set_FYStart,AE3867&lt;=set_AsAt),1,0)</f>
        <v/>
      </c>
      <c r="AK3867" s="54">
        <f>IF(AND(AJ3867=1,AH3867&lt;&gt;"",COUNTIFS($AH$2:AH3867,AH3867,$AJ$2:AJ3867,1)=1),N(AL3866)+1,"")</f>
        <v/>
      </c>
      <c r="AL3867" s="54">
        <f>IF(AK3867&lt;&gt;"",AK3867,N(AL3866))</f>
        <v/>
      </c>
    </row>
    <row r="3868">
      <c r="A3868" t="inlineStr">
        <is>
          <t>CON-1289</t>
        </is>
      </c>
      <c r="B3868" t="inlineStr">
        <is>
          <t>Consulting</t>
        </is>
      </c>
      <c r="AB3868" t="n">
        <v>1289</v>
      </c>
      <c r="AD3868" s="52">
        <f>IFERROR(N(IFERROR(INDEX($A3868:$AB3868,MATCH("Xero Invoiced Ex GST",$A$1:$AB$1,0)),"")),0)</f>
        <v/>
      </c>
      <c r="AE3868" s="53">
        <f>IFERROR(INDEX($A3868:$AB3868,MATCH("Xero Invoice Date",$A$1:$AB$1,0)),"")</f>
        <v/>
      </c>
      <c r="AF3868" s="54">
        <f>IF(AND(IFERROR(INDEX($A3868:$AB3868,MATCH("Xero Invoice No",$A$1:$AB$1,0)),"")&amp;""&lt;&gt;"",ISNUMBER(AE3868),AD3868&lt;&gt;0),1,0)</f>
        <v/>
      </c>
      <c r="AG3868" s="55">
        <f>IF(AF3868=1,EOMONTH(AE3868,0),"")</f>
        <v/>
      </c>
      <c r="AH3868" s="9">
        <f>IF(AF3868=1,UPPER(TRIM(IFERROR(INDEX($A3868:$AB3868,MATCH("Client",$A$1:$AB$1,0)),"")&amp;"")),"")</f>
        <v/>
      </c>
      <c r="AI3868" s="9">
        <f>IF(AF3868=1,IFERROR(INDEX($A3868:$AB3868,MATCH("Cost Centre",$A$1:$AB$1,0)),"")&amp;"","")</f>
        <v/>
      </c>
      <c r="AJ3868" s="54">
        <f>IF(AND(AF3868=1,AE3868&gt;=set_FYStart,AE3868&lt;=set_AsAt),1,0)</f>
        <v/>
      </c>
      <c r="AK3868" s="54">
        <f>IF(AND(AJ3868=1,AH3868&lt;&gt;"",COUNTIFS($AH$2:AH3868,AH3868,$AJ$2:AJ3868,1)=1),N(AL3867)+1,"")</f>
        <v/>
      </c>
      <c r="AL3868" s="54">
        <f>IF(AK3868&lt;&gt;"",AK3868,N(AL3867))</f>
        <v/>
      </c>
    </row>
    <row r="3869">
      <c r="A3869" t="inlineStr">
        <is>
          <t>ONS-1290</t>
        </is>
      </c>
      <c r="B3869" t="inlineStr">
        <is>
          <t>Onsite</t>
        </is>
      </c>
      <c r="AB3869" t="n">
        <v>1290</v>
      </c>
      <c r="AD3869" s="52">
        <f>IFERROR(N(IFERROR(INDEX($A3869:$AB3869,MATCH("Xero Invoiced Ex GST",$A$1:$AB$1,0)),"")),0)</f>
        <v/>
      </c>
      <c r="AE3869" s="53">
        <f>IFERROR(INDEX($A3869:$AB3869,MATCH("Xero Invoice Date",$A$1:$AB$1,0)),"")</f>
        <v/>
      </c>
      <c r="AF3869" s="54">
        <f>IF(AND(IFERROR(INDEX($A3869:$AB3869,MATCH("Xero Invoice No",$A$1:$AB$1,0)),"")&amp;""&lt;&gt;"",ISNUMBER(AE3869),AD3869&lt;&gt;0),1,0)</f>
        <v/>
      </c>
      <c r="AG3869" s="55">
        <f>IF(AF3869=1,EOMONTH(AE3869,0),"")</f>
        <v/>
      </c>
      <c r="AH3869" s="9">
        <f>IF(AF3869=1,UPPER(TRIM(IFERROR(INDEX($A3869:$AB3869,MATCH("Client",$A$1:$AB$1,0)),"")&amp;"")),"")</f>
        <v/>
      </c>
      <c r="AI3869" s="9">
        <f>IF(AF3869=1,IFERROR(INDEX($A3869:$AB3869,MATCH("Cost Centre",$A$1:$AB$1,0)),"")&amp;"","")</f>
        <v/>
      </c>
      <c r="AJ3869" s="54">
        <f>IF(AND(AF3869=1,AE3869&gt;=set_FYStart,AE3869&lt;=set_AsAt),1,0)</f>
        <v/>
      </c>
      <c r="AK3869" s="54">
        <f>IF(AND(AJ3869=1,AH3869&lt;&gt;"",COUNTIFS($AH$2:AH3869,AH3869,$AJ$2:AJ3869,1)=1),N(AL3868)+1,"")</f>
        <v/>
      </c>
      <c r="AL3869" s="54">
        <f>IF(AK3869&lt;&gt;"",AK3869,N(AL3868))</f>
        <v/>
      </c>
    </row>
    <row r="3870">
      <c r="A3870" t="inlineStr">
        <is>
          <t>PRD-1290</t>
        </is>
      </c>
      <c r="B3870" t="inlineStr">
        <is>
          <t>Production</t>
        </is>
      </c>
      <c r="AB3870" t="n">
        <v>1290</v>
      </c>
      <c r="AD3870" s="52">
        <f>IFERROR(N(IFERROR(INDEX($A3870:$AB3870,MATCH("Xero Invoiced Ex GST",$A$1:$AB$1,0)),"")),0)</f>
        <v/>
      </c>
      <c r="AE3870" s="53">
        <f>IFERROR(INDEX($A3870:$AB3870,MATCH("Xero Invoice Date",$A$1:$AB$1,0)),"")</f>
        <v/>
      </c>
      <c r="AF3870" s="54">
        <f>IF(AND(IFERROR(INDEX($A3870:$AB3870,MATCH("Xero Invoice No",$A$1:$AB$1,0)),"")&amp;""&lt;&gt;"",ISNUMBER(AE3870),AD3870&lt;&gt;0),1,0)</f>
        <v/>
      </c>
      <c r="AG3870" s="55">
        <f>IF(AF3870=1,EOMONTH(AE3870,0),"")</f>
        <v/>
      </c>
      <c r="AH3870" s="9">
        <f>IF(AF3870=1,UPPER(TRIM(IFERROR(INDEX($A3870:$AB3870,MATCH("Client",$A$1:$AB$1,0)),"")&amp;"")),"")</f>
        <v/>
      </c>
      <c r="AI3870" s="9">
        <f>IF(AF3870=1,IFERROR(INDEX($A3870:$AB3870,MATCH("Cost Centre",$A$1:$AB$1,0)),"")&amp;"","")</f>
        <v/>
      </c>
      <c r="AJ3870" s="54">
        <f>IF(AND(AF3870=1,AE3870&gt;=set_FYStart,AE3870&lt;=set_AsAt),1,0)</f>
        <v/>
      </c>
      <c r="AK3870" s="54">
        <f>IF(AND(AJ3870=1,AH3870&lt;&gt;"",COUNTIFS($AH$2:AH3870,AH3870,$AJ$2:AJ3870,1)=1),N(AL3869)+1,"")</f>
        <v/>
      </c>
      <c r="AL3870" s="54">
        <f>IF(AK3870&lt;&gt;"",AK3870,N(AL3869))</f>
        <v/>
      </c>
    </row>
    <row r="3871">
      <c r="A3871" t="inlineStr">
        <is>
          <t>CON-1290</t>
        </is>
      </c>
      <c r="B3871" t="inlineStr">
        <is>
          <t>Consulting</t>
        </is>
      </c>
      <c r="AB3871" t="n">
        <v>1290</v>
      </c>
      <c r="AD3871" s="52">
        <f>IFERROR(N(IFERROR(INDEX($A3871:$AB3871,MATCH("Xero Invoiced Ex GST",$A$1:$AB$1,0)),"")),0)</f>
        <v/>
      </c>
      <c r="AE3871" s="53">
        <f>IFERROR(INDEX($A3871:$AB3871,MATCH("Xero Invoice Date",$A$1:$AB$1,0)),"")</f>
        <v/>
      </c>
      <c r="AF3871" s="54">
        <f>IF(AND(IFERROR(INDEX($A3871:$AB3871,MATCH("Xero Invoice No",$A$1:$AB$1,0)),"")&amp;""&lt;&gt;"",ISNUMBER(AE3871),AD3871&lt;&gt;0),1,0)</f>
        <v/>
      </c>
      <c r="AG3871" s="55">
        <f>IF(AF3871=1,EOMONTH(AE3871,0),"")</f>
        <v/>
      </c>
      <c r="AH3871" s="9">
        <f>IF(AF3871=1,UPPER(TRIM(IFERROR(INDEX($A3871:$AB3871,MATCH("Client",$A$1:$AB$1,0)),"")&amp;"")),"")</f>
        <v/>
      </c>
      <c r="AI3871" s="9">
        <f>IF(AF3871=1,IFERROR(INDEX($A3871:$AB3871,MATCH("Cost Centre",$A$1:$AB$1,0)),"")&amp;"","")</f>
        <v/>
      </c>
      <c r="AJ3871" s="54">
        <f>IF(AND(AF3871=1,AE3871&gt;=set_FYStart,AE3871&lt;=set_AsAt),1,0)</f>
        <v/>
      </c>
      <c r="AK3871" s="54">
        <f>IF(AND(AJ3871=1,AH3871&lt;&gt;"",COUNTIFS($AH$2:AH3871,AH3871,$AJ$2:AJ3871,1)=1),N(AL3870)+1,"")</f>
        <v/>
      </c>
      <c r="AL3871" s="54">
        <f>IF(AK3871&lt;&gt;"",AK3871,N(AL3870))</f>
        <v/>
      </c>
    </row>
    <row r="3872">
      <c r="A3872" t="inlineStr">
        <is>
          <t>ONS-1291</t>
        </is>
      </c>
      <c r="B3872" t="inlineStr">
        <is>
          <t>Onsite</t>
        </is>
      </c>
      <c r="AB3872" t="n">
        <v>1291</v>
      </c>
      <c r="AD3872" s="52">
        <f>IFERROR(N(IFERROR(INDEX($A3872:$AB3872,MATCH("Xero Invoiced Ex GST",$A$1:$AB$1,0)),"")),0)</f>
        <v/>
      </c>
      <c r="AE3872" s="53">
        <f>IFERROR(INDEX($A3872:$AB3872,MATCH("Xero Invoice Date",$A$1:$AB$1,0)),"")</f>
        <v/>
      </c>
      <c r="AF3872" s="54">
        <f>IF(AND(IFERROR(INDEX($A3872:$AB3872,MATCH("Xero Invoice No",$A$1:$AB$1,0)),"")&amp;""&lt;&gt;"",ISNUMBER(AE3872),AD3872&lt;&gt;0),1,0)</f>
        <v/>
      </c>
      <c r="AG3872" s="55">
        <f>IF(AF3872=1,EOMONTH(AE3872,0),"")</f>
        <v/>
      </c>
      <c r="AH3872" s="9">
        <f>IF(AF3872=1,UPPER(TRIM(IFERROR(INDEX($A3872:$AB3872,MATCH("Client",$A$1:$AB$1,0)),"")&amp;"")),"")</f>
        <v/>
      </c>
      <c r="AI3872" s="9">
        <f>IF(AF3872=1,IFERROR(INDEX($A3872:$AB3872,MATCH("Cost Centre",$A$1:$AB$1,0)),"")&amp;"","")</f>
        <v/>
      </c>
      <c r="AJ3872" s="54">
        <f>IF(AND(AF3872=1,AE3872&gt;=set_FYStart,AE3872&lt;=set_AsAt),1,0)</f>
        <v/>
      </c>
      <c r="AK3872" s="54">
        <f>IF(AND(AJ3872=1,AH3872&lt;&gt;"",COUNTIFS($AH$2:AH3872,AH3872,$AJ$2:AJ3872,1)=1),N(AL3871)+1,"")</f>
        <v/>
      </c>
      <c r="AL3872" s="54">
        <f>IF(AK3872&lt;&gt;"",AK3872,N(AL3871))</f>
        <v/>
      </c>
    </row>
    <row r="3873">
      <c r="A3873" t="inlineStr">
        <is>
          <t>PRD-1291</t>
        </is>
      </c>
      <c r="B3873" t="inlineStr">
        <is>
          <t>Production</t>
        </is>
      </c>
      <c r="AB3873" t="n">
        <v>1291</v>
      </c>
      <c r="AD3873" s="52">
        <f>IFERROR(N(IFERROR(INDEX($A3873:$AB3873,MATCH("Xero Invoiced Ex GST",$A$1:$AB$1,0)),"")),0)</f>
        <v/>
      </c>
      <c r="AE3873" s="53">
        <f>IFERROR(INDEX($A3873:$AB3873,MATCH("Xero Invoice Date",$A$1:$AB$1,0)),"")</f>
        <v/>
      </c>
      <c r="AF3873" s="54">
        <f>IF(AND(IFERROR(INDEX($A3873:$AB3873,MATCH("Xero Invoice No",$A$1:$AB$1,0)),"")&amp;""&lt;&gt;"",ISNUMBER(AE3873),AD3873&lt;&gt;0),1,0)</f>
        <v/>
      </c>
      <c r="AG3873" s="55">
        <f>IF(AF3873=1,EOMONTH(AE3873,0),"")</f>
        <v/>
      </c>
      <c r="AH3873" s="9">
        <f>IF(AF3873=1,UPPER(TRIM(IFERROR(INDEX($A3873:$AB3873,MATCH("Client",$A$1:$AB$1,0)),"")&amp;"")),"")</f>
        <v/>
      </c>
      <c r="AI3873" s="9">
        <f>IF(AF3873=1,IFERROR(INDEX($A3873:$AB3873,MATCH("Cost Centre",$A$1:$AB$1,0)),"")&amp;"","")</f>
        <v/>
      </c>
      <c r="AJ3873" s="54">
        <f>IF(AND(AF3873=1,AE3873&gt;=set_FYStart,AE3873&lt;=set_AsAt),1,0)</f>
        <v/>
      </c>
      <c r="AK3873" s="54">
        <f>IF(AND(AJ3873=1,AH3873&lt;&gt;"",COUNTIFS($AH$2:AH3873,AH3873,$AJ$2:AJ3873,1)=1),N(AL3872)+1,"")</f>
        <v/>
      </c>
      <c r="AL3873" s="54">
        <f>IF(AK3873&lt;&gt;"",AK3873,N(AL3872))</f>
        <v/>
      </c>
    </row>
    <row r="3874">
      <c r="A3874" t="inlineStr">
        <is>
          <t>CON-1291</t>
        </is>
      </c>
      <c r="B3874" t="inlineStr">
        <is>
          <t>Consulting</t>
        </is>
      </c>
      <c r="AB3874" t="n">
        <v>1291</v>
      </c>
      <c r="AD3874" s="52">
        <f>IFERROR(N(IFERROR(INDEX($A3874:$AB3874,MATCH("Xero Invoiced Ex GST",$A$1:$AB$1,0)),"")),0)</f>
        <v/>
      </c>
      <c r="AE3874" s="53">
        <f>IFERROR(INDEX($A3874:$AB3874,MATCH("Xero Invoice Date",$A$1:$AB$1,0)),"")</f>
        <v/>
      </c>
      <c r="AF3874" s="54">
        <f>IF(AND(IFERROR(INDEX($A3874:$AB3874,MATCH("Xero Invoice No",$A$1:$AB$1,0)),"")&amp;""&lt;&gt;"",ISNUMBER(AE3874),AD3874&lt;&gt;0),1,0)</f>
        <v/>
      </c>
      <c r="AG3874" s="55">
        <f>IF(AF3874=1,EOMONTH(AE3874,0),"")</f>
        <v/>
      </c>
      <c r="AH3874" s="9">
        <f>IF(AF3874=1,UPPER(TRIM(IFERROR(INDEX($A3874:$AB3874,MATCH("Client",$A$1:$AB$1,0)),"")&amp;"")),"")</f>
        <v/>
      </c>
      <c r="AI3874" s="9">
        <f>IF(AF3874=1,IFERROR(INDEX($A3874:$AB3874,MATCH("Cost Centre",$A$1:$AB$1,0)),"")&amp;"","")</f>
        <v/>
      </c>
      <c r="AJ3874" s="54">
        <f>IF(AND(AF3874=1,AE3874&gt;=set_FYStart,AE3874&lt;=set_AsAt),1,0)</f>
        <v/>
      </c>
      <c r="AK3874" s="54">
        <f>IF(AND(AJ3874=1,AH3874&lt;&gt;"",COUNTIFS($AH$2:AH3874,AH3874,$AJ$2:AJ3874,1)=1),N(AL3873)+1,"")</f>
        <v/>
      </c>
      <c r="AL3874" s="54">
        <f>IF(AK3874&lt;&gt;"",AK3874,N(AL3873))</f>
        <v/>
      </c>
    </row>
    <row r="3875">
      <c r="A3875" t="inlineStr">
        <is>
          <t>ONS-1292</t>
        </is>
      </c>
      <c r="B3875" t="inlineStr">
        <is>
          <t>Onsite</t>
        </is>
      </c>
      <c r="AB3875" t="n">
        <v>1292</v>
      </c>
      <c r="AD3875" s="52">
        <f>IFERROR(N(IFERROR(INDEX($A3875:$AB3875,MATCH("Xero Invoiced Ex GST",$A$1:$AB$1,0)),"")),0)</f>
        <v/>
      </c>
      <c r="AE3875" s="53">
        <f>IFERROR(INDEX($A3875:$AB3875,MATCH("Xero Invoice Date",$A$1:$AB$1,0)),"")</f>
        <v/>
      </c>
      <c r="AF3875" s="54">
        <f>IF(AND(IFERROR(INDEX($A3875:$AB3875,MATCH("Xero Invoice No",$A$1:$AB$1,0)),"")&amp;""&lt;&gt;"",ISNUMBER(AE3875),AD3875&lt;&gt;0),1,0)</f>
        <v/>
      </c>
      <c r="AG3875" s="55">
        <f>IF(AF3875=1,EOMONTH(AE3875,0),"")</f>
        <v/>
      </c>
      <c r="AH3875" s="9">
        <f>IF(AF3875=1,UPPER(TRIM(IFERROR(INDEX($A3875:$AB3875,MATCH("Client",$A$1:$AB$1,0)),"")&amp;"")),"")</f>
        <v/>
      </c>
      <c r="AI3875" s="9">
        <f>IF(AF3875=1,IFERROR(INDEX($A3875:$AB3875,MATCH("Cost Centre",$A$1:$AB$1,0)),"")&amp;"","")</f>
        <v/>
      </c>
      <c r="AJ3875" s="54">
        <f>IF(AND(AF3875=1,AE3875&gt;=set_FYStart,AE3875&lt;=set_AsAt),1,0)</f>
        <v/>
      </c>
      <c r="AK3875" s="54">
        <f>IF(AND(AJ3875=1,AH3875&lt;&gt;"",COUNTIFS($AH$2:AH3875,AH3875,$AJ$2:AJ3875,1)=1),N(AL3874)+1,"")</f>
        <v/>
      </c>
      <c r="AL3875" s="54">
        <f>IF(AK3875&lt;&gt;"",AK3875,N(AL3874))</f>
        <v/>
      </c>
    </row>
    <row r="3876">
      <c r="A3876" t="inlineStr">
        <is>
          <t>PRD-1292</t>
        </is>
      </c>
      <c r="B3876" t="inlineStr">
        <is>
          <t>Production</t>
        </is>
      </c>
      <c r="AB3876" t="n">
        <v>1292</v>
      </c>
      <c r="AD3876" s="52">
        <f>IFERROR(N(IFERROR(INDEX($A3876:$AB3876,MATCH("Xero Invoiced Ex GST",$A$1:$AB$1,0)),"")),0)</f>
        <v/>
      </c>
      <c r="AE3876" s="53">
        <f>IFERROR(INDEX($A3876:$AB3876,MATCH("Xero Invoice Date",$A$1:$AB$1,0)),"")</f>
        <v/>
      </c>
      <c r="AF3876" s="54">
        <f>IF(AND(IFERROR(INDEX($A3876:$AB3876,MATCH("Xero Invoice No",$A$1:$AB$1,0)),"")&amp;""&lt;&gt;"",ISNUMBER(AE3876),AD3876&lt;&gt;0),1,0)</f>
        <v/>
      </c>
      <c r="AG3876" s="55">
        <f>IF(AF3876=1,EOMONTH(AE3876,0),"")</f>
        <v/>
      </c>
      <c r="AH3876" s="9">
        <f>IF(AF3876=1,UPPER(TRIM(IFERROR(INDEX($A3876:$AB3876,MATCH("Client",$A$1:$AB$1,0)),"")&amp;"")),"")</f>
        <v/>
      </c>
      <c r="AI3876" s="9">
        <f>IF(AF3876=1,IFERROR(INDEX($A3876:$AB3876,MATCH("Cost Centre",$A$1:$AB$1,0)),"")&amp;"","")</f>
        <v/>
      </c>
      <c r="AJ3876" s="54">
        <f>IF(AND(AF3876=1,AE3876&gt;=set_FYStart,AE3876&lt;=set_AsAt),1,0)</f>
        <v/>
      </c>
      <c r="AK3876" s="54">
        <f>IF(AND(AJ3876=1,AH3876&lt;&gt;"",COUNTIFS($AH$2:AH3876,AH3876,$AJ$2:AJ3876,1)=1),N(AL3875)+1,"")</f>
        <v/>
      </c>
      <c r="AL3876" s="54">
        <f>IF(AK3876&lt;&gt;"",AK3876,N(AL3875))</f>
        <v/>
      </c>
    </row>
    <row r="3877">
      <c r="A3877" t="inlineStr">
        <is>
          <t>CON-1292</t>
        </is>
      </c>
      <c r="B3877" t="inlineStr">
        <is>
          <t>Consulting</t>
        </is>
      </c>
      <c r="AB3877" t="n">
        <v>1292</v>
      </c>
      <c r="AD3877" s="52">
        <f>IFERROR(N(IFERROR(INDEX($A3877:$AB3877,MATCH("Xero Invoiced Ex GST",$A$1:$AB$1,0)),"")),0)</f>
        <v/>
      </c>
      <c r="AE3877" s="53">
        <f>IFERROR(INDEX($A3877:$AB3877,MATCH("Xero Invoice Date",$A$1:$AB$1,0)),"")</f>
        <v/>
      </c>
      <c r="AF3877" s="54">
        <f>IF(AND(IFERROR(INDEX($A3877:$AB3877,MATCH("Xero Invoice No",$A$1:$AB$1,0)),"")&amp;""&lt;&gt;"",ISNUMBER(AE3877),AD3877&lt;&gt;0),1,0)</f>
        <v/>
      </c>
      <c r="AG3877" s="55">
        <f>IF(AF3877=1,EOMONTH(AE3877,0),"")</f>
        <v/>
      </c>
      <c r="AH3877" s="9">
        <f>IF(AF3877=1,UPPER(TRIM(IFERROR(INDEX($A3877:$AB3877,MATCH("Client",$A$1:$AB$1,0)),"")&amp;"")),"")</f>
        <v/>
      </c>
      <c r="AI3877" s="9">
        <f>IF(AF3877=1,IFERROR(INDEX($A3877:$AB3877,MATCH("Cost Centre",$A$1:$AB$1,0)),"")&amp;"","")</f>
        <v/>
      </c>
      <c r="AJ3877" s="54">
        <f>IF(AND(AF3877=1,AE3877&gt;=set_FYStart,AE3877&lt;=set_AsAt),1,0)</f>
        <v/>
      </c>
      <c r="AK3877" s="54">
        <f>IF(AND(AJ3877=1,AH3877&lt;&gt;"",COUNTIFS($AH$2:AH3877,AH3877,$AJ$2:AJ3877,1)=1),N(AL3876)+1,"")</f>
        <v/>
      </c>
      <c r="AL3877" s="54">
        <f>IF(AK3877&lt;&gt;"",AK3877,N(AL3876))</f>
        <v/>
      </c>
    </row>
    <row r="3878">
      <c r="A3878" t="inlineStr">
        <is>
          <t>ONS-1293</t>
        </is>
      </c>
      <c r="B3878" t="inlineStr">
        <is>
          <t>Onsite</t>
        </is>
      </c>
      <c r="AB3878" t="n">
        <v>1293</v>
      </c>
      <c r="AD3878" s="52">
        <f>IFERROR(N(IFERROR(INDEX($A3878:$AB3878,MATCH("Xero Invoiced Ex GST",$A$1:$AB$1,0)),"")),0)</f>
        <v/>
      </c>
      <c r="AE3878" s="53">
        <f>IFERROR(INDEX($A3878:$AB3878,MATCH("Xero Invoice Date",$A$1:$AB$1,0)),"")</f>
        <v/>
      </c>
      <c r="AF3878" s="54">
        <f>IF(AND(IFERROR(INDEX($A3878:$AB3878,MATCH("Xero Invoice No",$A$1:$AB$1,0)),"")&amp;""&lt;&gt;"",ISNUMBER(AE3878),AD3878&lt;&gt;0),1,0)</f>
        <v/>
      </c>
      <c r="AG3878" s="55">
        <f>IF(AF3878=1,EOMONTH(AE3878,0),"")</f>
        <v/>
      </c>
      <c r="AH3878" s="9">
        <f>IF(AF3878=1,UPPER(TRIM(IFERROR(INDEX($A3878:$AB3878,MATCH("Client",$A$1:$AB$1,0)),"")&amp;"")),"")</f>
        <v/>
      </c>
      <c r="AI3878" s="9">
        <f>IF(AF3878=1,IFERROR(INDEX($A3878:$AB3878,MATCH("Cost Centre",$A$1:$AB$1,0)),"")&amp;"","")</f>
        <v/>
      </c>
      <c r="AJ3878" s="54">
        <f>IF(AND(AF3878=1,AE3878&gt;=set_FYStart,AE3878&lt;=set_AsAt),1,0)</f>
        <v/>
      </c>
      <c r="AK3878" s="54">
        <f>IF(AND(AJ3878=1,AH3878&lt;&gt;"",COUNTIFS($AH$2:AH3878,AH3878,$AJ$2:AJ3878,1)=1),N(AL3877)+1,"")</f>
        <v/>
      </c>
      <c r="AL3878" s="54">
        <f>IF(AK3878&lt;&gt;"",AK3878,N(AL3877))</f>
        <v/>
      </c>
    </row>
    <row r="3879">
      <c r="A3879" t="inlineStr">
        <is>
          <t>PRD-1293</t>
        </is>
      </c>
      <c r="B3879" t="inlineStr">
        <is>
          <t>Production</t>
        </is>
      </c>
      <c r="AB3879" t="n">
        <v>1293</v>
      </c>
      <c r="AD3879" s="52">
        <f>IFERROR(N(IFERROR(INDEX($A3879:$AB3879,MATCH("Xero Invoiced Ex GST",$A$1:$AB$1,0)),"")),0)</f>
        <v/>
      </c>
      <c r="AE3879" s="53">
        <f>IFERROR(INDEX($A3879:$AB3879,MATCH("Xero Invoice Date",$A$1:$AB$1,0)),"")</f>
        <v/>
      </c>
      <c r="AF3879" s="54">
        <f>IF(AND(IFERROR(INDEX($A3879:$AB3879,MATCH("Xero Invoice No",$A$1:$AB$1,0)),"")&amp;""&lt;&gt;"",ISNUMBER(AE3879),AD3879&lt;&gt;0),1,0)</f>
        <v/>
      </c>
      <c r="AG3879" s="55">
        <f>IF(AF3879=1,EOMONTH(AE3879,0),"")</f>
        <v/>
      </c>
      <c r="AH3879" s="9">
        <f>IF(AF3879=1,UPPER(TRIM(IFERROR(INDEX($A3879:$AB3879,MATCH("Client",$A$1:$AB$1,0)),"")&amp;"")),"")</f>
        <v/>
      </c>
      <c r="AI3879" s="9">
        <f>IF(AF3879=1,IFERROR(INDEX($A3879:$AB3879,MATCH("Cost Centre",$A$1:$AB$1,0)),"")&amp;"","")</f>
        <v/>
      </c>
      <c r="AJ3879" s="54">
        <f>IF(AND(AF3879=1,AE3879&gt;=set_FYStart,AE3879&lt;=set_AsAt),1,0)</f>
        <v/>
      </c>
      <c r="AK3879" s="54">
        <f>IF(AND(AJ3879=1,AH3879&lt;&gt;"",COUNTIFS($AH$2:AH3879,AH3879,$AJ$2:AJ3879,1)=1),N(AL3878)+1,"")</f>
        <v/>
      </c>
      <c r="AL3879" s="54">
        <f>IF(AK3879&lt;&gt;"",AK3879,N(AL3878))</f>
        <v/>
      </c>
    </row>
    <row r="3880">
      <c r="A3880" t="inlineStr">
        <is>
          <t>CON-1293</t>
        </is>
      </c>
      <c r="B3880" t="inlineStr">
        <is>
          <t>Consulting</t>
        </is>
      </c>
      <c r="AB3880" t="n">
        <v>1293</v>
      </c>
      <c r="AD3880" s="52">
        <f>IFERROR(N(IFERROR(INDEX($A3880:$AB3880,MATCH("Xero Invoiced Ex GST",$A$1:$AB$1,0)),"")),0)</f>
        <v/>
      </c>
      <c r="AE3880" s="53">
        <f>IFERROR(INDEX($A3880:$AB3880,MATCH("Xero Invoice Date",$A$1:$AB$1,0)),"")</f>
        <v/>
      </c>
      <c r="AF3880" s="54">
        <f>IF(AND(IFERROR(INDEX($A3880:$AB3880,MATCH("Xero Invoice No",$A$1:$AB$1,0)),"")&amp;""&lt;&gt;"",ISNUMBER(AE3880),AD3880&lt;&gt;0),1,0)</f>
        <v/>
      </c>
      <c r="AG3880" s="55">
        <f>IF(AF3880=1,EOMONTH(AE3880,0),"")</f>
        <v/>
      </c>
      <c r="AH3880" s="9">
        <f>IF(AF3880=1,UPPER(TRIM(IFERROR(INDEX($A3880:$AB3880,MATCH("Client",$A$1:$AB$1,0)),"")&amp;"")),"")</f>
        <v/>
      </c>
      <c r="AI3880" s="9">
        <f>IF(AF3880=1,IFERROR(INDEX($A3880:$AB3880,MATCH("Cost Centre",$A$1:$AB$1,0)),"")&amp;"","")</f>
        <v/>
      </c>
      <c r="AJ3880" s="54">
        <f>IF(AND(AF3880=1,AE3880&gt;=set_FYStart,AE3880&lt;=set_AsAt),1,0)</f>
        <v/>
      </c>
      <c r="AK3880" s="54">
        <f>IF(AND(AJ3880=1,AH3880&lt;&gt;"",COUNTIFS($AH$2:AH3880,AH3880,$AJ$2:AJ3880,1)=1),N(AL3879)+1,"")</f>
        <v/>
      </c>
      <c r="AL3880" s="54">
        <f>IF(AK3880&lt;&gt;"",AK3880,N(AL3879))</f>
        <v/>
      </c>
    </row>
    <row r="3881">
      <c r="A3881" t="inlineStr">
        <is>
          <t>ONS-1294</t>
        </is>
      </c>
      <c r="B3881" t="inlineStr">
        <is>
          <t>Onsite</t>
        </is>
      </c>
      <c r="AB3881" t="n">
        <v>1294</v>
      </c>
      <c r="AD3881" s="52">
        <f>IFERROR(N(IFERROR(INDEX($A3881:$AB3881,MATCH("Xero Invoiced Ex GST",$A$1:$AB$1,0)),"")),0)</f>
        <v/>
      </c>
      <c r="AE3881" s="53">
        <f>IFERROR(INDEX($A3881:$AB3881,MATCH("Xero Invoice Date",$A$1:$AB$1,0)),"")</f>
        <v/>
      </c>
      <c r="AF3881" s="54">
        <f>IF(AND(IFERROR(INDEX($A3881:$AB3881,MATCH("Xero Invoice No",$A$1:$AB$1,0)),"")&amp;""&lt;&gt;"",ISNUMBER(AE3881),AD3881&lt;&gt;0),1,0)</f>
        <v/>
      </c>
      <c r="AG3881" s="55">
        <f>IF(AF3881=1,EOMONTH(AE3881,0),"")</f>
        <v/>
      </c>
      <c r="AH3881" s="9">
        <f>IF(AF3881=1,UPPER(TRIM(IFERROR(INDEX($A3881:$AB3881,MATCH("Client",$A$1:$AB$1,0)),"")&amp;"")),"")</f>
        <v/>
      </c>
      <c r="AI3881" s="9">
        <f>IF(AF3881=1,IFERROR(INDEX($A3881:$AB3881,MATCH("Cost Centre",$A$1:$AB$1,0)),"")&amp;"","")</f>
        <v/>
      </c>
      <c r="AJ3881" s="54">
        <f>IF(AND(AF3881=1,AE3881&gt;=set_FYStart,AE3881&lt;=set_AsAt),1,0)</f>
        <v/>
      </c>
      <c r="AK3881" s="54">
        <f>IF(AND(AJ3881=1,AH3881&lt;&gt;"",COUNTIFS($AH$2:AH3881,AH3881,$AJ$2:AJ3881,1)=1),N(AL3880)+1,"")</f>
        <v/>
      </c>
      <c r="AL3881" s="54">
        <f>IF(AK3881&lt;&gt;"",AK3881,N(AL3880))</f>
        <v/>
      </c>
    </row>
    <row r="3882">
      <c r="A3882" t="inlineStr">
        <is>
          <t>PRD-1294</t>
        </is>
      </c>
      <c r="B3882" t="inlineStr">
        <is>
          <t>Production</t>
        </is>
      </c>
      <c r="AB3882" t="n">
        <v>1294</v>
      </c>
      <c r="AD3882" s="52">
        <f>IFERROR(N(IFERROR(INDEX($A3882:$AB3882,MATCH("Xero Invoiced Ex GST",$A$1:$AB$1,0)),"")),0)</f>
        <v/>
      </c>
      <c r="AE3882" s="53">
        <f>IFERROR(INDEX($A3882:$AB3882,MATCH("Xero Invoice Date",$A$1:$AB$1,0)),"")</f>
        <v/>
      </c>
      <c r="AF3882" s="54">
        <f>IF(AND(IFERROR(INDEX($A3882:$AB3882,MATCH("Xero Invoice No",$A$1:$AB$1,0)),"")&amp;""&lt;&gt;"",ISNUMBER(AE3882),AD3882&lt;&gt;0),1,0)</f>
        <v/>
      </c>
      <c r="AG3882" s="55">
        <f>IF(AF3882=1,EOMONTH(AE3882,0),"")</f>
        <v/>
      </c>
      <c r="AH3882" s="9">
        <f>IF(AF3882=1,UPPER(TRIM(IFERROR(INDEX($A3882:$AB3882,MATCH("Client",$A$1:$AB$1,0)),"")&amp;"")),"")</f>
        <v/>
      </c>
      <c r="AI3882" s="9">
        <f>IF(AF3882=1,IFERROR(INDEX($A3882:$AB3882,MATCH("Cost Centre",$A$1:$AB$1,0)),"")&amp;"","")</f>
        <v/>
      </c>
      <c r="AJ3882" s="54">
        <f>IF(AND(AF3882=1,AE3882&gt;=set_FYStart,AE3882&lt;=set_AsAt),1,0)</f>
        <v/>
      </c>
      <c r="AK3882" s="54">
        <f>IF(AND(AJ3882=1,AH3882&lt;&gt;"",COUNTIFS($AH$2:AH3882,AH3882,$AJ$2:AJ3882,1)=1),N(AL3881)+1,"")</f>
        <v/>
      </c>
      <c r="AL3882" s="54">
        <f>IF(AK3882&lt;&gt;"",AK3882,N(AL3881))</f>
        <v/>
      </c>
    </row>
    <row r="3883">
      <c r="A3883" t="inlineStr">
        <is>
          <t>CON-1294</t>
        </is>
      </c>
      <c r="B3883" t="inlineStr">
        <is>
          <t>Consulting</t>
        </is>
      </c>
      <c r="AB3883" t="n">
        <v>1294</v>
      </c>
      <c r="AD3883" s="52">
        <f>IFERROR(N(IFERROR(INDEX($A3883:$AB3883,MATCH("Xero Invoiced Ex GST",$A$1:$AB$1,0)),"")),0)</f>
        <v/>
      </c>
      <c r="AE3883" s="53">
        <f>IFERROR(INDEX($A3883:$AB3883,MATCH("Xero Invoice Date",$A$1:$AB$1,0)),"")</f>
        <v/>
      </c>
      <c r="AF3883" s="54">
        <f>IF(AND(IFERROR(INDEX($A3883:$AB3883,MATCH("Xero Invoice No",$A$1:$AB$1,0)),"")&amp;""&lt;&gt;"",ISNUMBER(AE3883),AD3883&lt;&gt;0),1,0)</f>
        <v/>
      </c>
      <c r="AG3883" s="55">
        <f>IF(AF3883=1,EOMONTH(AE3883,0),"")</f>
        <v/>
      </c>
      <c r="AH3883" s="9">
        <f>IF(AF3883=1,UPPER(TRIM(IFERROR(INDEX($A3883:$AB3883,MATCH("Client",$A$1:$AB$1,0)),"")&amp;"")),"")</f>
        <v/>
      </c>
      <c r="AI3883" s="9">
        <f>IF(AF3883=1,IFERROR(INDEX($A3883:$AB3883,MATCH("Cost Centre",$A$1:$AB$1,0)),"")&amp;"","")</f>
        <v/>
      </c>
      <c r="AJ3883" s="54">
        <f>IF(AND(AF3883=1,AE3883&gt;=set_FYStart,AE3883&lt;=set_AsAt),1,0)</f>
        <v/>
      </c>
      <c r="AK3883" s="54">
        <f>IF(AND(AJ3883=1,AH3883&lt;&gt;"",COUNTIFS($AH$2:AH3883,AH3883,$AJ$2:AJ3883,1)=1),N(AL3882)+1,"")</f>
        <v/>
      </c>
      <c r="AL3883" s="54">
        <f>IF(AK3883&lt;&gt;"",AK3883,N(AL3882))</f>
        <v/>
      </c>
    </row>
    <row r="3884">
      <c r="A3884" t="inlineStr">
        <is>
          <t>ONS-1295</t>
        </is>
      </c>
      <c r="B3884" t="inlineStr">
        <is>
          <t>Onsite</t>
        </is>
      </c>
      <c r="AB3884" t="n">
        <v>1295</v>
      </c>
      <c r="AD3884" s="52">
        <f>IFERROR(N(IFERROR(INDEX($A3884:$AB3884,MATCH("Xero Invoiced Ex GST",$A$1:$AB$1,0)),"")),0)</f>
        <v/>
      </c>
      <c r="AE3884" s="53">
        <f>IFERROR(INDEX($A3884:$AB3884,MATCH("Xero Invoice Date",$A$1:$AB$1,0)),"")</f>
        <v/>
      </c>
      <c r="AF3884" s="54">
        <f>IF(AND(IFERROR(INDEX($A3884:$AB3884,MATCH("Xero Invoice No",$A$1:$AB$1,0)),"")&amp;""&lt;&gt;"",ISNUMBER(AE3884),AD3884&lt;&gt;0),1,0)</f>
        <v/>
      </c>
      <c r="AG3884" s="55">
        <f>IF(AF3884=1,EOMONTH(AE3884,0),"")</f>
        <v/>
      </c>
      <c r="AH3884" s="9">
        <f>IF(AF3884=1,UPPER(TRIM(IFERROR(INDEX($A3884:$AB3884,MATCH("Client",$A$1:$AB$1,0)),"")&amp;"")),"")</f>
        <v/>
      </c>
      <c r="AI3884" s="9">
        <f>IF(AF3884=1,IFERROR(INDEX($A3884:$AB3884,MATCH("Cost Centre",$A$1:$AB$1,0)),"")&amp;"","")</f>
        <v/>
      </c>
      <c r="AJ3884" s="54">
        <f>IF(AND(AF3884=1,AE3884&gt;=set_FYStart,AE3884&lt;=set_AsAt),1,0)</f>
        <v/>
      </c>
      <c r="AK3884" s="54">
        <f>IF(AND(AJ3884=1,AH3884&lt;&gt;"",COUNTIFS($AH$2:AH3884,AH3884,$AJ$2:AJ3884,1)=1),N(AL3883)+1,"")</f>
        <v/>
      </c>
      <c r="AL3884" s="54">
        <f>IF(AK3884&lt;&gt;"",AK3884,N(AL3883))</f>
        <v/>
      </c>
    </row>
    <row r="3885">
      <c r="A3885" t="inlineStr">
        <is>
          <t>PRD-1295</t>
        </is>
      </c>
      <c r="B3885" t="inlineStr">
        <is>
          <t>Production</t>
        </is>
      </c>
      <c r="AB3885" t="n">
        <v>1295</v>
      </c>
      <c r="AD3885" s="52">
        <f>IFERROR(N(IFERROR(INDEX($A3885:$AB3885,MATCH("Xero Invoiced Ex GST",$A$1:$AB$1,0)),"")),0)</f>
        <v/>
      </c>
      <c r="AE3885" s="53">
        <f>IFERROR(INDEX($A3885:$AB3885,MATCH("Xero Invoice Date",$A$1:$AB$1,0)),"")</f>
        <v/>
      </c>
      <c r="AF3885" s="54">
        <f>IF(AND(IFERROR(INDEX($A3885:$AB3885,MATCH("Xero Invoice No",$A$1:$AB$1,0)),"")&amp;""&lt;&gt;"",ISNUMBER(AE3885),AD3885&lt;&gt;0),1,0)</f>
        <v/>
      </c>
      <c r="AG3885" s="55">
        <f>IF(AF3885=1,EOMONTH(AE3885,0),"")</f>
        <v/>
      </c>
      <c r="AH3885" s="9">
        <f>IF(AF3885=1,UPPER(TRIM(IFERROR(INDEX($A3885:$AB3885,MATCH("Client",$A$1:$AB$1,0)),"")&amp;"")),"")</f>
        <v/>
      </c>
      <c r="AI3885" s="9">
        <f>IF(AF3885=1,IFERROR(INDEX($A3885:$AB3885,MATCH("Cost Centre",$A$1:$AB$1,0)),"")&amp;"","")</f>
        <v/>
      </c>
      <c r="AJ3885" s="54">
        <f>IF(AND(AF3885=1,AE3885&gt;=set_FYStart,AE3885&lt;=set_AsAt),1,0)</f>
        <v/>
      </c>
      <c r="AK3885" s="54">
        <f>IF(AND(AJ3885=1,AH3885&lt;&gt;"",COUNTIFS($AH$2:AH3885,AH3885,$AJ$2:AJ3885,1)=1),N(AL3884)+1,"")</f>
        <v/>
      </c>
      <c r="AL3885" s="54">
        <f>IF(AK3885&lt;&gt;"",AK3885,N(AL3884))</f>
        <v/>
      </c>
    </row>
    <row r="3886">
      <c r="A3886" t="inlineStr">
        <is>
          <t>CON-1295</t>
        </is>
      </c>
      <c r="B3886" t="inlineStr">
        <is>
          <t>Consulting</t>
        </is>
      </c>
      <c r="AB3886" t="n">
        <v>1295</v>
      </c>
      <c r="AD3886" s="52">
        <f>IFERROR(N(IFERROR(INDEX($A3886:$AB3886,MATCH("Xero Invoiced Ex GST",$A$1:$AB$1,0)),"")),0)</f>
        <v/>
      </c>
      <c r="AE3886" s="53">
        <f>IFERROR(INDEX($A3886:$AB3886,MATCH("Xero Invoice Date",$A$1:$AB$1,0)),"")</f>
        <v/>
      </c>
      <c r="AF3886" s="54">
        <f>IF(AND(IFERROR(INDEX($A3886:$AB3886,MATCH("Xero Invoice No",$A$1:$AB$1,0)),"")&amp;""&lt;&gt;"",ISNUMBER(AE3886),AD3886&lt;&gt;0),1,0)</f>
        <v/>
      </c>
      <c r="AG3886" s="55">
        <f>IF(AF3886=1,EOMONTH(AE3886,0),"")</f>
        <v/>
      </c>
      <c r="AH3886" s="9">
        <f>IF(AF3886=1,UPPER(TRIM(IFERROR(INDEX($A3886:$AB3886,MATCH("Client",$A$1:$AB$1,0)),"")&amp;"")),"")</f>
        <v/>
      </c>
      <c r="AI3886" s="9">
        <f>IF(AF3886=1,IFERROR(INDEX($A3886:$AB3886,MATCH("Cost Centre",$A$1:$AB$1,0)),"")&amp;"","")</f>
        <v/>
      </c>
      <c r="AJ3886" s="54">
        <f>IF(AND(AF3886=1,AE3886&gt;=set_FYStart,AE3886&lt;=set_AsAt),1,0)</f>
        <v/>
      </c>
      <c r="AK3886" s="54">
        <f>IF(AND(AJ3886=1,AH3886&lt;&gt;"",COUNTIFS($AH$2:AH3886,AH3886,$AJ$2:AJ3886,1)=1),N(AL3885)+1,"")</f>
        <v/>
      </c>
      <c r="AL3886" s="54">
        <f>IF(AK3886&lt;&gt;"",AK3886,N(AL3885))</f>
        <v/>
      </c>
    </row>
    <row r="3887">
      <c r="A3887" t="inlineStr">
        <is>
          <t>ONS-1296</t>
        </is>
      </c>
      <c r="B3887" t="inlineStr">
        <is>
          <t>Onsite</t>
        </is>
      </c>
      <c r="AB3887" t="n">
        <v>1296</v>
      </c>
      <c r="AD3887" s="52">
        <f>IFERROR(N(IFERROR(INDEX($A3887:$AB3887,MATCH("Xero Invoiced Ex GST",$A$1:$AB$1,0)),"")),0)</f>
        <v/>
      </c>
      <c r="AE3887" s="53">
        <f>IFERROR(INDEX($A3887:$AB3887,MATCH("Xero Invoice Date",$A$1:$AB$1,0)),"")</f>
        <v/>
      </c>
      <c r="AF3887" s="54">
        <f>IF(AND(IFERROR(INDEX($A3887:$AB3887,MATCH("Xero Invoice No",$A$1:$AB$1,0)),"")&amp;""&lt;&gt;"",ISNUMBER(AE3887),AD3887&lt;&gt;0),1,0)</f>
        <v/>
      </c>
      <c r="AG3887" s="55">
        <f>IF(AF3887=1,EOMONTH(AE3887,0),"")</f>
        <v/>
      </c>
      <c r="AH3887" s="9">
        <f>IF(AF3887=1,UPPER(TRIM(IFERROR(INDEX($A3887:$AB3887,MATCH("Client",$A$1:$AB$1,0)),"")&amp;"")),"")</f>
        <v/>
      </c>
      <c r="AI3887" s="9">
        <f>IF(AF3887=1,IFERROR(INDEX($A3887:$AB3887,MATCH("Cost Centre",$A$1:$AB$1,0)),"")&amp;"","")</f>
        <v/>
      </c>
      <c r="AJ3887" s="54">
        <f>IF(AND(AF3887=1,AE3887&gt;=set_FYStart,AE3887&lt;=set_AsAt),1,0)</f>
        <v/>
      </c>
      <c r="AK3887" s="54">
        <f>IF(AND(AJ3887=1,AH3887&lt;&gt;"",COUNTIFS($AH$2:AH3887,AH3887,$AJ$2:AJ3887,1)=1),N(AL3886)+1,"")</f>
        <v/>
      </c>
      <c r="AL3887" s="54">
        <f>IF(AK3887&lt;&gt;"",AK3887,N(AL3886))</f>
        <v/>
      </c>
    </row>
    <row r="3888">
      <c r="A3888" t="inlineStr">
        <is>
          <t>PRD-1296</t>
        </is>
      </c>
      <c r="B3888" t="inlineStr">
        <is>
          <t>Production</t>
        </is>
      </c>
      <c r="AB3888" t="n">
        <v>1296</v>
      </c>
      <c r="AD3888" s="52">
        <f>IFERROR(N(IFERROR(INDEX($A3888:$AB3888,MATCH("Xero Invoiced Ex GST",$A$1:$AB$1,0)),"")),0)</f>
        <v/>
      </c>
      <c r="AE3888" s="53">
        <f>IFERROR(INDEX($A3888:$AB3888,MATCH("Xero Invoice Date",$A$1:$AB$1,0)),"")</f>
        <v/>
      </c>
      <c r="AF3888" s="54">
        <f>IF(AND(IFERROR(INDEX($A3888:$AB3888,MATCH("Xero Invoice No",$A$1:$AB$1,0)),"")&amp;""&lt;&gt;"",ISNUMBER(AE3888),AD3888&lt;&gt;0),1,0)</f>
        <v/>
      </c>
      <c r="AG3888" s="55">
        <f>IF(AF3888=1,EOMONTH(AE3888,0),"")</f>
        <v/>
      </c>
      <c r="AH3888" s="9">
        <f>IF(AF3888=1,UPPER(TRIM(IFERROR(INDEX($A3888:$AB3888,MATCH("Client",$A$1:$AB$1,0)),"")&amp;"")),"")</f>
        <v/>
      </c>
      <c r="AI3888" s="9">
        <f>IF(AF3888=1,IFERROR(INDEX($A3888:$AB3888,MATCH("Cost Centre",$A$1:$AB$1,0)),"")&amp;"","")</f>
        <v/>
      </c>
      <c r="AJ3888" s="54">
        <f>IF(AND(AF3888=1,AE3888&gt;=set_FYStart,AE3888&lt;=set_AsAt),1,0)</f>
        <v/>
      </c>
      <c r="AK3888" s="54">
        <f>IF(AND(AJ3888=1,AH3888&lt;&gt;"",COUNTIFS($AH$2:AH3888,AH3888,$AJ$2:AJ3888,1)=1),N(AL3887)+1,"")</f>
        <v/>
      </c>
      <c r="AL3888" s="54">
        <f>IF(AK3888&lt;&gt;"",AK3888,N(AL3887))</f>
        <v/>
      </c>
    </row>
    <row r="3889">
      <c r="A3889" t="inlineStr">
        <is>
          <t>CON-1296</t>
        </is>
      </c>
      <c r="B3889" t="inlineStr">
        <is>
          <t>Consulting</t>
        </is>
      </c>
      <c r="AB3889" t="n">
        <v>1296</v>
      </c>
      <c r="AD3889" s="52">
        <f>IFERROR(N(IFERROR(INDEX($A3889:$AB3889,MATCH("Xero Invoiced Ex GST",$A$1:$AB$1,0)),"")),0)</f>
        <v/>
      </c>
      <c r="AE3889" s="53">
        <f>IFERROR(INDEX($A3889:$AB3889,MATCH("Xero Invoice Date",$A$1:$AB$1,0)),"")</f>
        <v/>
      </c>
      <c r="AF3889" s="54">
        <f>IF(AND(IFERROR(INDEX($A3889:$AB3889,MATCH("Xero Invoice No",$A$1:$AB$1,0)),"")&amp;""&lt;&gt;"",ISNUMBER(AE3889),AD3889&lt;&gt;0),1,0)</f>
        <v/>
      </c>
      <c r="AG3889" s="55">
        <f>IF(AF3889=1,EOMONTH(AE3889,0),"")</f>
        <v/>
      </c>
      <c r="AH3889" s="9">
        <f>IF(AF3889=1,UPPER(TRIM(IFERROR(INDEX($A3889:$AB3889,MATCH("Client",$A$1:$AB$1,0)),"")&amp;"")),"")</f>
        <v/>
      </c>
      <c r="AI3889" s="9">
        <f>IF(AF3889=1,IFERROR(INDEX($A3889:$AB3889,MATCH("Cost Centre",$A$1:$AB$1,0)),"")&amp;"","")</f>
        <v/>
      </c>
      <c r="AJ3889" s="54">
        <f>IF(AND(AF3889=1,AE3889&gt;=set_FYStart,AE3889&lt;=set_AsAt),1,0)</f>
        <v/>
      </c>
      <c r="AK3889" s="54">
        <f>IF(AND(AJ3889=1,AH3889&lt;&gt;"",COUNTIFS($AH$2:AH3889,AH3889,$AJ$2:AJ3889,1)=1),N(AL3888)+1,"")</f>
        <v/>
      </c>
      <c r="AL3889" s="54">
        <f>IF(AK3889&lt;&gt;"",AK3889,N(AL3888))</f>
        <v/>
      </c>
    </row>
    <row r="3890">
      <c r="A3890" t="inlineStr">
        <is>
          <t>ONS-1297</t>
        </is>
      </c>
      <c r="B3890" t="inlineStr">
        <is>
          <t>Onsite</t>
        </is>
      </c>
      <c r="AB3890" t="n">
        <v>1297</v>
      </c>
      <c r="AD3890" s="52">
        <f>IFERROR(N(IFERROR(INDEX($A3890:$AB3890,MATCH("Xero Invoiced Ex GST",$A$1:$AB$1,0)),"")),0)</f>
        <v/>
      </c>
      <c r="AE3890" s="53">
        <f>IFERROR(INDEX($A3890:$AB3890,MATCH("Xero Invoice Date",$A$1:$AB$1,0)),"")</f>
        <v/>
      </c>
      <c r="AF3890" s="54">
        <f>IF(AND(IFERROR(INDEX($A3890:$AB3890,MATCH("Xero Invoice No",$A$1:$AB$1,0)),"")&amp;""&lt;&gt;"",ISNUMBER(AE3890),AD3890&lt;&gt;0),1,0)</f>
        <v/>
      </c>
      <c r="AG3890" s="55">
        <f>IF(AF3890=1,EOMONTH(AE3890,0),"")</f>
        <v/>
      </c>
      <c r="AH3890" s="9">
        <f>IF(AF3890=1,UPPER(TRIM(IFERROR(INDEX($A3890:$AB3890,MATCH("Client",$A$1:$AB$1,0)),"")&amp;"")),"")</f>
        <v/>
      </c>
      <c r="AI3890" s="9">
        <f>IF(AF3890=1,IFERROR(INDEX($A3890:$AB3890,MATCH("Cost Centre",$A$1:$AB$1,0)),"")&amp;"","")</f>
        <v/>
      </c>
      <c r="AJ3890" s="54">
        <f>IF(AND(AF3890=1,AE3890&gt;=set_FYStart,AE3890&lt;=set_AsAt),1,0)</f>
        <v/>
      </c>
      <c r="AK3890" s="54">
        <f>IF(AND(AJ3890=1,AH3890&lt;&gt;"",COUNTIFS($AH$2:AH3890,AH3890,$AJ$2:AJ3890,1)=1),N(AL3889)+1,"")</f>
        <v/>
      </c>
      <c r="AL3890" s="54">
        <f>IF(AK3890&lt;&gt;"",AK3890,N(AL3889))</f>
        <v/>
      </c>
    </row>
    <row r="3891">
      <c r="A3891" t="inlineStr">
        <is>
          <t>PRD-1297</t>
        </is>
      </c>
      <c r="B3891" t="inlineStr">
        <is>
          <t>Production</t>
        </is>
      </c>
      <c r="AB3891" t="n">
        <v>1297</v>
      </c>
      <c r="AD3891" s="52">
        <f>IFERROR(N(IFERROR(INDEX($A3891:$AB3891,MATCH("Xero Invoiced Ex GST",$A$1:$AB$1,0)),"")),0)</f>
        <v/>
      </c>
      <c r="AE3891" s="53">
        <f>IFERROR(INDEX($A3891:$AB3891,MATCH("Xero Invoice Date",$A$1:$AB$1,0)),"")</f>
        <v/>
      </c>
      <c r="AF3891" s="54">
        <f>IF(AND(IFERROR(INDEX($A3891:$AB3891,MATCH("Xero Invoice No",$A$1:$AB$1,0)),"")&amp;""&lt;&gt;"",ISNUMBER(AE3891),AD3891&lt;&gt;0),1,0)</f>
        <v/>
      </c>
      <c r="AG3891" s="55">
        <f>IF(AF3891=1,EOMONTH(AE3891,0),"")</f>
        <v/>
      </c>
      <c r="AH3891" s="9">
        <f>IF(AF3891=1,UPPER(TRIM(IFERROR(INDEX($A3891:$AB3891,MATCH("Client",$A$1:$AB$1,0)),"")&amp;"")),"")</f>
        <v/>
      </c>
      <c r="AI3891" s="9">
        <f>IF(AF3891=1,IFERROR(INDEX($A3891:$AB3891,MATCH("Cost Centre",$A$1:$AB$1,0)),"")&amp;"","")</f>
        <v/>
      </c>
      <c r="AJ3891" s="54">
        <f>IF(AND(AF3891=1,AE3891&gt;=set_FYStart,AE3891&lt;=set_AsAt),1,0)</f>
        <v/>
      </c>
      <c r="AK3891" s="54">
        <f>IF(AND(AJ3891=1,AH3891&lt;&gt;"",COUNTIFS($AH$2:AH3891,AH3891,$AJ$2:AJ3891,1)=1),N(AL3890)+1,"")</f>
        <v/>
      </c>
      <c r="AL3891" s="54">
        <f>IF(AK3891&lt;&gt;"",AK3891,N(AL3890))</f>
        <v/>
      </c>
    </row>
    <row r="3892">
      <c r="A3892" t="inlineStr">
        <is>
          <t>CON-1297</t>
        </is>
      </c>
      <c r="B3892" t="inlineStr">
        <is>
          <t>Consulting</t>
        </is>
      </c>
      <c r="AB3892" t="n">
        <v>1297</v>
      </c>
      <c r="AD3892" s="52">
        <f>IFERROR(N(IFERROR(INDEX($A3892:$AB3892,MATCH("Xero Invoiced Ex GST",$A$1:$AB$1,0)),"")),0)</f>
        <v/>
      </c>
      <c r="AE3892" s="53">
        <f>IFERROR(INDEX($A3892:$AB3892,MATCH("Xero Invoice Date",$A$1:$AB$1,0)),"")</f>
        <v/>
      </c>
      <c r="AF3892" s="54">
        <f>IF(AND(IFERROR(INDEX($A3892:$AB3892,MATCH("Xero Invoice No",$A$1:$AB$1,0)),"")&amp;""&lt;&gt;"",ISNUMBER(AE3892),AD3892&lt;&gt;0),1,0)</f>
        <v/>
      </c>
      <c r="AG3892" s="55">
        <f>IF(AF3892=1,EOMONTH(AE3892,0),"")</f>
        <v/>
      </c>
      <c r="AH3892" s="9">
        <f>IF(AF3892=1,UPPER(TRIM(IFERROR(INDEX($A3892:$AB3892,MATCH("Client",$A$1:$AB$1,0)),"")&amp;"")),"")</f>
        <v/>
      </c>
      <c r="AI3892" s="9">
        <f>IF(AF3892=1,IFERROR(INDEX($A3892:$AB3892,MATCH("Cost Centre",$A$1:$AB$1,0)),"")&amp;"","")</f>
        <v/>
      </c>
      <c r="AJ3892" s="54">
        <f>IF(AND(AF3892=1,AE3892&gt;=set_FYStart,AE3892&lt;=set_AsAt),1,0)</f>
        <v/>
      </c>
      <c r="AK3892" s="54">
        <f>IF(AND(AJ3892=1,AH3892&lt;&gt;"",COUNTIFS($AH$2:AH3892,AH3892,$AJ$2:AJ3892,1)=1),N(AL3891)+1,"")</f>
        <v/>
      </c>
      <c r="AL3892" s="54">
        <f>IF(AK3892&lt;&gt;"",AK3892,N(AL3891))</f>
        <v/>
      </c>
    </row>
    <row r="3893">
      <c r="A3893" t="inlineStr">
        <is>
          <t>ONS-1298</t>
        </is>
      </c>
      <c r="B3893" t="inlineStr">
        <is>
          <t>Onsite</t>
        </is>
      </c>
      <c r="AB3893" t="n">
        <v>1298</v>
      </c>
      <c r="AD3893" s="52">
        <f>IFERROR(N(IFERROR(INDEX($A3893:$AB3893,MATCH("Xero Invoiced Ex GST",$A$1:$AB$1,0)),"")),0)</f>
        <v/>
      </c>
      <c r="AE3893" s="53">
        <f>IFERROR(INDEX($A3893:$AB3893,MATCH("Xero Invoice Date",$A$1:$AB$1,0)),"")</f>
        <v/>
      </c>
      <c r="AF3893" s="54">
        <f>IF(AND(IFERROR(INDEX($A3893:$AB3893,MATCH("Xero Invoice No",$A$1:$AB$1,0)),"")&amp;""&lt;&gt;"",ISNUMBER(AE3893),AD3893&lt;&gt;0),1,0)</f>
        <v/>
      </c>
      <c r="AG3893" s="55">
        <f>IF(AF3893=1,EOMONTH(AE3893,0),"")</f>
        <v/>
      </c>
      <c r="AH3893" s="9">
        <f>IF(AF3893=1,UPPER(TRIM(IFERROR(INDEX($A3893:$AB3893,MATCH("Client",$A$1:$AB$1,0)),"")&amp;"")),"")</f>
        <v/>
      </c>
      <c r="AI3893" s="9">
        <f>IF(AF3893=1,IFERROR(INDEX($A3893:$AB3893,MATCH("Cost Centre",$A$1:$AB$1,0)),"")&amp;"","")</f>
        <v/>
      </c>
      <c r="AJ3893" s="54">
        <f>IF(AND(AF3893=1,AE3893&gt;=set_FYStart,AE3893&lt;=set_AsAt),1,0)</f>
        <v/>
      </c>
      <c r="AK3893" s="54">
        <f>IF(AND(AJ3893=1,AH3893&lt;&gt;"",COUNTIFS($AH$2:AH3893,AH3893,$AJ$2:AJ3893,1)=1),N(AL3892)+1,"")</f>
        <v/>
      </c>
      <c r="AL3893" s="54">
        <f>IF(AK3893&lt;&gt;"",AK3893,N(AL3892))</f>
        <v/>
      </c>
    </row>
    <row r="3894">
      <c r="A3894" t="inlineStr">
        <is>
          <t>PRD-1298</t>
        </is>
      </c>
      <c r="B3894" t="inlineStr">
        <is>
          <t>Production</t>
        </is>
      </c>
      <c r="AB3894" t="n">
        <v>1298</v>
      </c>
      <c r="AD3894" s="52">
        <f>IFERROR(N(IFERROR(INDEX($A3894:$AB3894,MATCH("Xero Invoiced Ex GST",$A$1:$AB$1,0)),"")),0)</f>
        <v/>
      </c>
      <c r="AE3894" s="53">
        <f>IFERROR(INDEX($A3894:$AB3894,MATCH("Xero Invoice Date",$A$1:$AB$1,0)),"")</f>
        <v/>
      </c>
      <c r="AF3894" s="54">
        <f>IF(AND(IFERROR(INDEX($A3894:$AB3894,MATCH("Xero Invoice No",$A$1:$AB$1,0)),"")&amp;""&lt;&gt;"",ISNUMBER(AE3894),AD3894&lt;&gt;0),1,0)</f>
        <v/>
      </c>
      <c r="AG3894" s="55">
        <f>IF(AF3894=1,EOMONTH(AE3894,0),"")</f>
        <v/>
      </c>
      <c r="AH3894" s="9">
        <f>IF(AF3894=1,UPPER(TRIM(IFERROR(INDEX($A3894:$AB3894,MATCH("Client",$A$1:$AB$1,0)),"")&amp;"")),"")</f>
        <v/>
      </c>
      <c r="AI3894" s="9">
        <f>IF(AF3894=1,IFERROR(INDEX($A3894:$AB3894,MATCH("Cost Centre",$A$1:$AB$1,0)),"")&amp;"","")</f>
        <v/>
      </c>
      <c r="AJ3894" s="54">
        <f>IF(AND(AF3894=1,AE3894&gt;=set_FYStart,AE3894&lt;=set_AsAt),1,0)</f>
        <v/>
      </c>
      <c r="AK3894" s="54">
        <f>IF(AND(AJ3894=1,AH3894&lt;&gt;"",COUNTIFS($AH$2:AH3894,AH3894,$AJ$2:AJ3894,1)=1),N(AL3893)+1,"")</f>
        <v/>
      </c>
      <c r="AL3894" s="54">
        <f>IF(AK3894&lt;&gt;"",AK3894,N(AL3893))</f>
        <v/>
      </c>
    </row>
    <row r="3895">
      <c r="A3895" t="inlineStr">
        <is>
          <t>CON-1298</t>
        </is>
      </c>
      <c r="B3895" t="inlineStr">
        <is>
          <t>Consulting</t>
        </is>
      </c>
      <c r="AB3895" t="n">
        <v>1298</v>
      </c>
      <c r="AD3895" s="52">
        <f>IFERROR(N(IFERROR(INDEX($A3895:$AB3895,MATCH("Xero Invoiced Ex GST",$A$1:$AB$1,0)),"")),0)</f>
        <v/>
      </c>
      <c r="AE3895" s="53">
        <f>IFERROR(INDEX($A3895:$AB3895,MATCH("Xero Invoice Date",$A$1:$AB$1,0)),"")</f>
        <v/>
      </c>
      <c r="AF3895" s="54">
        <f>IF(AND(IFERROR(INDEX($A3895:$AB3895,MATCH("Xero Invoice No",$A$1:$AB$1,0)),"")&amp;""&lt;&gt;"",ISNUMBER(AE3895),AD3895&lt;&gt;0),1,0)</f>
        <v/>
      </c>
      <c r="AG3895" s="55">
        <f>IF(AF3895=1,EOMONTH(AE3895,0),"")</f>
        <v/>
      </c>
      <c r="AH3895" s="9">
        <f>IF(AF3895=1,UPPER(TRIM(IFERROR(INDEX($A3895:$AB3895,MATCH("Client",$A$1:$AB$1,0)),"")&amp;"")),"")</f>
        <v/>
      </c>
      <c r="AI3895" s="9">
        <f>IF(AF3895=1,IFERROR(INDEX($A3895:$AB3895,MATCH("Cost Centre",$A$1:$AB$1,0)),"")&amp;"","")</f>
        <v/>
      </c>
      <c r="AJ3895" s="54">
        <f>IF(AND(AF3895=1,AE3895&gt;=set_FYStart,AE3895&lt;=set_AsAt),1,0)</f>
        <v/>
      </c>
      <c r="AK3895" s="54">
        <f>IF(AND(AJ3895=1,AH3895&lt;&gt;"",COUNTIFS($AH$2:AH3895,AH3895,$AJ$2:AJ3895,1)=1),N(AL3894)+1,"")</f>
        <v/>
      </c>
      <c r="AL3895" s="54">
        <f>IF(AK3895&lt;&gt;"",AK3895,N(AL3894))</f>
        <v/>
      </c>
    </row>
    <row r="3896">
      <c r="A3896" t="inlineStr">
        <is>
          <t>ONS-1299</t>
        </is>
      </c>
      <c r="B3896" t="inlineStr">
        <is>
          <t>Onsite</t>
        </is>
      </c>
      <c r="AB3896" t="n">
        <v>1299</v>
      </c>
      <c r="AD3896" s="52">
        <f>IFERROR(N(IFERROR(INDEX($A3896:$AB3896,MATCH("Xero Invoiced Ex GST",$A$1:$AB$1,0)),"")),0)</f>
        <v/>
      </c>
      <c r="AE3896" s="53">
        <f>IFERROR(INDEX($A3896:$AB3896,MATCH("Xero Invoice Date",$A$1:$AB$1,0)),"")</f>
        <v/>
      </c>
      <c r="AF3896" s="54">
        <f>IF(AND(IFERROR(INDEX($A3896:$AB3896,MATCH("Xero Invoice No",$A$1:$AB$1,0)),"")&amp;""&lt;&gt;"",ISNUMBER(AE3896),AD3896&lt;&gt;0),1,0)</f>
        <v/>
      </c>
      <c r="AG3896" s="55">
        <f>IF(AF3896=1,EOMONTH(AE3896,0),"")</f>
        <v/>
      </c>
      <c r="AH3896" s="9">
        <f>IF(AF3896=1,UPPER(TRIM(IFERROR(INDEX($A3896:$AB3896,MATCH("Client",$A$1:$AB$1,0)),"")&amp;"")),"")</f>
        <v/>
      </c>
      <c r="AI3896" s="9">
        <f>IF(AF3896=1,IFERROR(INDEX($A3896:$AB3896,MATCH("Cost Centre",$A$1:$AB$1,0)),"")&amp;"","")</f>
        <v/>
      </c>
      <c r="AJ3896" s="54">
        <f>IF(AND(AF3896=1,AE3896&gt;=set_FYStart,AE3896&lt;=set_AsAt),1,0)</f>
        <v/>
      </c>
      <c r="AK3896" s="54">
        <f>IF(AND(AJ3896=1,AH3896&lt;&gt;"",COUNTIFS($AH$2:AH3896,AH3896,$AJ$2:AJ3896,1)=1),N(AL3895)+1,"")</f>
        <v/>
      </c>
      <c r="AL3896" s="54">
        <f>IF(AK3896&lt;&gt;"",AK3896,N(AL3895))</f>
        <v/>
      </c>
    </row>
    <row r="3897">
      <c r="A3897" t="inlineStr">
        <is>
          <t>PRD-1299</t>
        </is>
      </c>
      <c r="B3897" t="inlineStr">
        <is>
          <t>Production</t>
        </is>
      </c>
      <c r="AB3897" t="n">
        <v>1299</v>
      </c>
      <c r="AD3897" s="52">
        <f>IFERROR(N(IFERROR(INDEX($A3897:$AB3897,MATCH("Xero Invoiced Ex GST",$A$1:$AB$1,0)),"")),0)</f>
        <v/>
      </c>
      <c r="AE3897" s="53">
        <f>IFERROR(INDEX($A3897:$AB3897,MATCH("Xero Invoice Date",$A$1:$AB$1,0)),"")</f>
        <v/>
      </c>
      <c r="AF3897" s="54">
        <f>IF(AND(IFERROR(INDEX($A3897:$AB3897,MATCH("Xero Invoice No",$A$1:$AB$1,0)),"")&amp;""&lt;&gt;"",ISNUMBER(AE3897),AD3897&lt;&gt;0),1,0)</f>
        <v/>
      </c>
      <c r="AG3897" s="55">
        <f>IF(AF3897=1,EOMONTH(AE3897,0),"")</f>
        <v/>
      </c>
      <c r="AH3897" s="9">
        <f>IF(AF3897=1,UPPER(TRIM(IFERROR(INDEX($A3897:$AB3897,MATCH("Client",$A$1:$AB$1,0)),"")&amp;"")),"")</f>
        <v/>
      </c>
      <c r="AI3897" s="9">
        <f>IF(AF3897=1,IFERROR(INDEX($A3897:$AB3897,MATCH("Cost Centre",$A$1:$AB$1,0)),"")&amp;"","")</f>
        <v/>
      </c>
      <c r="AJ3897" s="54">
        <f>IF(AND(AF3897=1,AE3897&gt;=set_FYStart,AE3897&lt;=set_AsAt),1,0)</f>
        <v/>
      </c>
      <c r="AK3897" s="54">
        <f>IF(AND(AJ3897=1,AH3897&lt;&gt;"",COUNTIFS($AH$2:AH3897,AH3897,$AJ$2:AJ3897,1)=1),N(AL3896)+1,"")</f>
        <v/>
      </c>
      <c r="AL3897" s="54">
        <f>IF(AK3897&lt;&gt;"",AK3897,N(AL3896))</f>
        <v/>
      </c>
    </row>
    <row r="3898">
      <c r="A3898" t="inlineStr">
        <is>
          <t>CON-1299</t>
        </is>
      </c>
      <c r="B3898" t="inlineStr">
        <is>
          <t>Consulting</t>
        </is>
      </c>
      <c r="AB3898" t="n">
        <v>1299</v>
      </c>
      <c r="AD3898" s="52">
        <f>IFERROR(N(IFERROR(INDEX($A3898:$AB3898,MATCH("Xero Invoiced Ex GST",$A$1:$AB$1,0)),"")),0)</f>
        <v/>
      </c>
      <c r="AE3898" s="53">
        <f>IFERROR(INDEX($A3898:$AB3898,MATCH("Xero Invoice Date",$A$1:$AB$1,0)),"")</f>
        <v/>
      </c>
      <c r="AF3898" s="54">
        <f>IF(AND(IFERROR(INDEX($A3898:$AB3898,MATCH("Xero Invoice No",$A$1:$AB$1,0)),"")&amp;""&lt;&gt;"",ISNUMBER(AE3898),AD3898&lt;&gt;0),1,0)</f>
        <v/>
      </c>
      <c r="AG3898" s="55">
        <f>IF(AF3898=1,EOMONTH(AE3898,0),"")</f>
        <v/>
      </c>
      <c r="AH3898" s="9">
        <f>IF(AF3898=1,UPPER(TRIM(IFERROR(INDEX($A3898:$AB3898,MATCH("Client",$A$1:$AB$1,0)),"")&amp;"")),"")</f>
        <v/>
      </c>
      <c r="AI3898" s="9">
        <f>IF(AF3898=1,IFERROR(INDEX($A3898:$AB3898,MATCH("Cost Centre",$A$1:$AB$1,0)),"")&amp;"","")</f>
        <v/>
      </c>
      <c r="AJ3898" s="54">
        <f>IF(AND(AF3898=1,AE3898&gt;=set_FYStart,AE3898&lt;=set_AsAt),1,0)</f>
        <v/>
      </c>
      <c r="AK3898" s="54">
        <f>IF(AND(AJ3898=1,AH3898&lt;&gt;"",COUNTIFS($AH$2:AH3898,AH3898,$AJ$2:AJ3898,1)=1),N(AL3897)+1,"")</f>
        <v/>
      </c>
      <c r="AL3898" s="54">
        <f>IF(AK3898&lt;&gt;"",AK3898,N(AL3897))</f>
        <v/>
      </c>
    </row>
    <row r="3899">
      <c r="A3899" t="inlineStr">
        <is>
          <t>ONS-1300</t>
        </is>
      </c>
      <c r="B3899" t="inlineStr">
        <is>
          <t>Onsite</t>
        </is>
      </c>
      <c r="AB3899" t="n">
        <v>1300</v>
      </c>
      <c r="AD3899" s="52">
        <f>IFERROR(N(IFERROR(INDEX($A3899:$AB3899,MATCH("Xero Invoiced Ex GST",$A$1:$AB$1,0)),"")),0)</f>
        <v/>
      </c>
      <c r="AE3899" s="53">
        <f>IFERROR(INDEX($A3899:$AB3899,MATCH("Xero Invoice Date",$A$1:$AB$1,0)),"")</f>
        <v/>
      </c>
      <c r="AF3899" s="54">
        <f>IF(AND(IFERROR(INDEX($A3899:$AB3899,MATCH("Xero Invoice No",$A$1:$AB$1,0)),"")&amp;""&lt;&gt;"",ISNUMBER(AE3899),AD3899&lt;&gt;0),1,0)</f>
        <v/>
      </c>
      <c r="AG3899" s="55">
        <f>IF(AF3899=1,EOMONTH(AE3899,0),"")</f>
        <v/>
      </c>
      <c r="AH3899" s="9">
        <f>IF(AF3899=1,UPPER(TRIM(IFERROR(INDEX($A3899:$AB3899,MATCH("Client",$A$1:$AB$1,0)),"")&amp;"")),"")</f>
        <v/>
      </c>
      <c r="AI3899" s="9">
        <f>IF(AF3899=1,IFERROR(INDEX($A3899:$AB3899,MATCH("Cost Centre",$A$1:$AB$1,0)),"")&amp;"","")</f>
        <v/>
      </c>
      <c r="AJ3899" s="54">
        <f>IF(AND(AF3899=1,AE3899&gt;=set_FYStart,AE3899&lt;=set_AsAt),1,0)</f>
        <v/>
      </c>
      <c r="AK3899" s="54">
        <f>IF(AND(AJ3899=1,AH3899&lt;&gt;"",COUNTIFS($AH$2:AH3899,AH3899,$AJ$2:AJ3899,1)=1),N(AL3898)+1,"")</f>
        <v/>
      </c>
      <c r="AL3899" s="54">
        <f>IF(AK3899&lt;&gt;"",AK3899,N(AL3898))</f>
        <v/>
      </c>
    </row>
    <row r="3900">
      <c r="A3900" t="inlineStr">
        <is>
          <t>PRD-1300</t>
        </is>
      </c>
      <c r="B3900" t="inlineStr">
        <is>
          <t>Production</t>
        </is>
      </c>
      <c r="AB3900" t="n">
        <v>1300</v>
      </c>
      <c r="AD3900" s="52">
        <f>IFERROR(N(IFERROR(INDEX($A3900:$AB3900,MATCH("Xero Invoiced Ex GST",$A$1:$AB$1,0)),"")),0)</f>
        <v/>
      </c>
      <c r="AE3900" s="53">
        <f>IFERROR(INDEX($A3900:$AB3900,MATCH("Xero Invoice Date",$A$1:$AB$1,0)),"")</f>
        <v/>
      </c>
      <c r="AF3900" s="54">
        <f>IF(AND(IFERROR(INDEX($A3900:$AB3900,MATCH("Xero Invoice No",$A$1:$AB$1,0)),"")&amp;""&lt;&gt;"",ISNUMBER(AE3900),AD3900&lt;&gt;0),1,0)</f>
        <v/>
      </c>
      <c r="AG3900" s="55">
        <f>IF(AF3900=1,EOMONTH(AE3900,0),"")</f>
        <v/>
      </c>
      <c r="AH3900" s="9">
        <f>IF(AF3900=1,UPPER(TRIM(IFERROR(INDEX($A3900:$AB3900,MATCH("Client",$A$1:$AB$1,0)),"")&amp;"")),"")</f>
        <v/>
      </c>
      <c r="AI3900" s="9">
        <f>IF(AF3900=1,IFERROR(INDEX($A3900:$AB3900,MATCH("Cost Centre",$A$1:$AB$1,0)),"")&amp;"","")</f>
        <v/>
      </c>
      <c r="AJ3900" s="54">
        <f>IF(AND(AF3900=1,AE3900&gt;=set_FYStart,AE3900&lt;=set_AsAt),1,0)</f>
        <v/>
      </c>
      <c r="AK3900" s="54">
        <f>IF(AND(AJ3900=1,AH3900&lt;&gt;"",COUNTIFS($AH$2:AH3900,AH3900,$AJ$2:AJ3900,1)=1),N(AL3899)+1,"")</f>
        <v/>
      </c>
      <c r="AL3900" s="54">
        <f>IF(AK3900&lt;&gt;"",AK3900,N(AL3899))</f>
        <v/>
      </c>
    </row>
    <row r="3901">
      <c r="A3901" t="inlineStr">
        <is>
          <t>CON-1300</t>
        </is>
      </c>
      <c r="B3901" t="inlineStr">
        <is>
          <t>Consulting</t>
        </is>
      </c>
      <c r="AB3901" t="n">
        <v>1300</v>
      </c>
      <c r="AD3901" s="52">
        <f>IFERROR(N(IFERROR(INDEX($A3901:$AB3901,MATCH("Xero Invoiced Ex GST",$A$1:$AB$1,0)),"")),0)</f>
        <v/>
      </c>
      <c r="AE3901" s="53">
        <f>IFERROR(INDEX($A3901:$AB3901,MATCH("Xero Invoice Date",$A$1:$AB$1,0)),"")</f>
        <v/>
      </c>
      <c r="AF3901" s="54">
        <f>IF(AND(IFERROR(INDEX($A3901:$AB3901,MATCH("Xero Invoice No",$A$1:$AB$1,0)),"")&amp;""&lt;&gt;"",ISNUMBER(AE3901),AD3901&lt;&gt;0),1,0)</f>
        <v/>
      </c>
      <c r="AG3901" s="55">
        <f>IF(AF3901=1,EOMONTH(AE3901,0),"")</f>
        <v/>
      </c>
      <c r="AH3901" s="9">
        <f>IF(AF3901=1,UPPER(TRIM(IFERROR(INDEX($A3901:$AB3901,MATCH("Client",$A$1:$AB$1,0)),"")&amp;"")),"")</f>
        <v/>
      </c>
      <c r="AI3901" s="9">
        <f>IF(AF3901=1,IFERROR(INDEX($A3901:$AB3901,MATCH("Cost Centre",$A$1:$AB$1,0)),"")&amp;"","")</f>
        <v/>
      </c>
      <c r="AJ3901" s="54">
        <f>IF(AND(AF3901=1,AE3901&gt;=set_FYStart,AE3901&lt;=set_AsAt),1,0)</f>
        <v/>
      </c>
      <c r="AK3901" s="54">
        <f>IF(AND(AJ3901=1,AH3901&lt;&gt;"",COUNTIFS($AH$2:AH3901,AH3901,$AJ$2:AJ3901,1)=1),N(AL3900)+1,"")</f>
        <v/>
      </c>
      <c r="AL3901" s="54">
        <f>IF(AK3901&lt;&gt;"",AK3901,N(AL3900))</f>
        <v/>
      </c>
    </row>
    <row r="3902">
      <c r="A3902" t="inlineStr">
        <is>
          <t>ONS-1301</t>
        </is>
      </c>
      <c r="B3902" t="inlineStr">
        <is>
          <t>Onsite</t>
        </is>
      </c>
      <c r="AB3902" t="n">
        <v>1301</v>
      </c>
      <c r="AD3902" s="52">
        <f>IFERROR(N(IFERROR(INDEX($A3902:$AB3902,MATCH("Xero Invoiced Ex GST",$A$1:$AB$1,0)),"")),0)</f>
        <v/>
      </c>
      <c r="AE3902" s="53">
        <f>IFERROR(INDEX($A3902:$AB3902,MATCH("Xero Invoice Date",$A$1:$AB$1,0)),"")</f>
        <v/>
      </c>
      <c r="AF3902" s="54">
        <f>IF(AND(IFERROR(INDEX($A3902:$AB3902,MATCH("Xero Invoice No",$A$1:$AB$1,0)),"")&amp;""&lt;&gt;"",ISNUMBER(AE3902),AD3902&lt;&gt;0),1,0)</f>
        <v/>
      </c>
      <c r="AG3902" s="55">
        <f>IF(AF3902=1,EOMONTH(AE3902,0),"")</f>
        <v/>
      </c>
      <c r="AH3902" s="9">
        <f>IF(AF3902=1,UPPER(TRIM(IFERROR(INDEX($A3902:$AB3902,MATCH("Client",$A$1:$AB$1,0)),"")&amp;"")),"")</f>
        <v/>
      </c>
      <c r="AI3902" s="9">
        <f>IF(AF3902=1,IFERROR(INDEX($A3902:$AB3902,MATCH("Cost Centre",$A$1:$AB$1,0)),"")&amp;"","")</f>
        <v/>
      </c>
      <c r="AJ3902" s="54">
        <f>IF(AND(AF3902=1,AE3902&gt;=set_FYStart,AE3902&lt;=set_AsAt),1,0)</f>
        <v/>
      </c>
      <c r="AK3902" s="54">
        <f>IF(AND(AJ3902=1,AH3902&lt;&gt;"",COUNTIFS($AH$2:AH3902,AH3902,$AJ$2:AJ3902,1)=1),N(AL3901)+1,"")</f>
        <v/>
      </c>
      <c r="AL3902" s="54">
        <f>IF(AK3902&lt;&gt;"",AK3902,N(AL3901))</f>
        <v/>
      </c>
    </row>
    <row r="3903">
      <c r="A3903" t="inlineStr">
        <is>
          <t>PRD-1301</t>
        </is>
      </c>
      <c r="B3903" t="inlineStr">
        <is>
          <t>Production</t>
        </is>
      </c>
      <c r="AB3903" t="n">
        <v>1301</v>
      </c>
      <c r="AD3903" s="52">
        <f>IFERROR(N(IFERROR(INDEX($A3903:$AB3903,MATCH("Xero Invoiced Ex GST",$A$1:$AB$1,0)),"")),0)</f>
        <v/>
      </c>
      <c r="AE3903" s="53">
        <f>IFERROR(INDEX($A3903:$AB3903,MATCH("Xero Invoice Date",$A$1:$AB$1,0)),"")</f>
        <v/>
      </c>
      <c r="AF3903" s="54">
        <f>IF(AND(IFERROR(INDEX($A3903:$AB3903,MATCH("Xero Invoice No",$A$1:$AB$1,0)),"")&amp;""&lt;&gt;"",ISNUMBER(AE3903),AD3903&lt;&gt;0),1,0)</f>
        <v/>
      </c>
      <c r="AG3903" s="55">
        <f>IF(AF3903=1,EOMONTH(AE3903,0),"")</f>
        <v/>
      </c>
      <c r="AH3903" s="9">
        <f>IF(AF3903=1,UPPER(TRIM(IFERROR(INDEX($A3903:$AB3903,MATCH("Client",$A$1:$AB$1,0)),"")&amp;"")),"")</f>
        <v/>
      </c>
      <c r="AI3903" s="9">
        <f>IF(AF3903=1,IFERROR(INDEX($A3903:$AB3903,MATCH("Cost Centre",$A$1:$AB$1,0)),"")&amp;"","")</f>
        <v/>
      </c>
      <c r="AJ3903" s="54">
        <f>IF(AND(AF3903=1,AE3903&gt;=set_FYStart,AE3903&lt;=set_AsAt),1,0)</f>
        <v/>
      </c>
      <c r="AK3903" s="54">
        <f>IF(AND(AJ3903=1,AH3903&lt;&gt;"",COUNTIFS($AH$2:AH3903,AH3903,$AJ$2:AJ3903,1)=1),N(AL3902)+1,"")</f>
        <v/>
      </c>
      <c r="AL3903" s="54">
        <f>IF(AK3903&lt;&gt;"",AK3903,N(AL3902))</f>
        <v/>
      </c>
    </row>
    <row r="3904">
      <c r="A3904" t="inlineStr">
        <is>
          <t>CON-1301</t>
        </is>
      </c>
      <c r="B3904" t="inlineStr">
        <is>
          <t>Consulting</t>
        </is>
      </c>
      <c r="AB3904" t="n">
        <v>1301</v>
      </c>
      <c r="AD3904" s="52">
        <f>IFERROR(N(IFERROR(INDEX($A3904:$AB3904,MATCH("Xero Invoiced Ex GST",$A$1:$AB$1,0)),"")),0)</f>
        <v/>
      </c>
      <c r="AE3904" s="53">
        <f>IFERROR(INDEX($A3904:$AB3904,MATCH("Xero Invoice Date",$A$1:$AB$1,0)),"")</f>
        <v/>
      </c>
      <c r="AF3904" s="54">
        <f>IF(AND(IFERROR(INDEX($A3904:$AB3904,MATCH("Xero Invoice No",$A$1:$AB$1,0)),"")&amp;""&lt;&gt;"",ISNUMBER(AE3904),AD3904&lt;&gt;0),1,0)</f>
        <v/>
      </c>
      <c r="AG3904" s="55">
        <f>IF(AF3904=1,EOMONTH(AE3904,0),"")</f>
        <v/>
      </c>
      <c r="AH3904" s="9">
        <f>IF(AF3904=1,UPPER(TRIM(IFERROR(INDEX($A3904:$AB3904,MATCH("Client",$A$1:$AB$1,0)),"")&amp;"")),"")</f>
        <v/>
      </c>
      <c r="AI3904" s="9">
        <f>IF(AF3904=1,IFERROR(INDEX($A3904:$AB3904,MATCH("Cost Centre",$A$1:$AB$1,0)),"")&amp;"","")</f>
        <v/>
      </c>
      <c r="AJ3904" s="54">
        <f>IF(AND(AF3904=1,AE3904&gt;=set_FYStart,AE3904&lt;=set_AsAt),1,0)</f>
        <v/>
      </c>
      <c r="AK3904" s="54">
        <f>IF(AND(AJ3904=1,AH3904&lt;&gt;"",COUNTIFS($AH$2:AH3904,AH3904,$AJ$2:AJ3904,1)=1),N(AL3903)+1,"")</f>
        <v/>
      </c>
      <c r="AL3904" s="54">
        <f>IF(AK3904&lt;&gt;"",AK3904,N(AL3903))</f>
        <v/>
      </c>
    </row>
    <row r="3905">
      <c r="A3905" t="inlineStr">
        <is>
          <t>ONS-1302</t>
        </is>
      </c>
      <c r="B3905" t="inlineStr">
        <is>
          <t>Onsite</t>
        </is>
      </c>
      <c r="AB3905" t="n">
        <v>1302</v>
      </c>
      <c r="AD3905" s="52">
        <f>IFERROR(N(IFERROR(INDEX($A3905:$AB3905,MATCH("Xero Invoiced Ex GST",$A$1:$AB$1,0)),"")),0)</f>
        <v/>
      </c>
      <c r="AE3905" s="53">
        <f>IFERROR(INDEX($A3905:$AB3905,MATCH("Xero Invoice Date",$A$1:$AB$1,0)),"")</f>
        <v/>
      </c>
      <c r="AF3905" s="54">
        <f>IF(AND(IFERROR(INDEX($A3905:$AB3905,MATCH("Xero Invoice No",$A$1:$AB$1,0)),"")&amp;""&lt;&gt;"",ISNUMBER(AE3905),AD3905&lt;&gt;0),1,0)</f>
        <v/>
      </c>
      <c r="AG3905" s="55">
        <f>IF(AF3905=1,EOMONTH(AE3905,0),"")</f>
        <v/>
      </c>
      <c r="AH3905" s="9">
        <f>IF(AF3905=1,UPPER(TRIM(IFERROR(INDEX($A3905:$AB3905,MATCH("Client",$A$1:$AB$1,0)),"")&amp;"")),"")</f>
        <v/>
      </c>
      <c r="AI3905" s="9">
        <f>IF(AF3905=1,IFERROR(INDEX($A3905:$AB3905,MATCH("Cost Centre",$A$1:$AB$1,0)),"")&amp;"","")</f>
        <v/>
      </c>
      <c r="AJ3905" s="54">
        <f>IF(AND(AF3905=1,AE3905&gt;=set_FYStart,AE3905&lt;=set_AsAt),1,0)</f>
        <v/>
      </c>
      <c r="AK3905" s="54">
        <f>IF(AND(AJ3905=1,AH3905&lt;&gt;"",COUNTIFS($AH$2:AH3905,AH3905,$AJ$2:AJ3905,1)=1),N(AL3904)+1,"")</f>
        <v/>
      </c>
      <c r="AL3905" s="54">
        <f>IF(AK3905&lt;&gt;"",AK3905,N(AL3904))</f>
        <v/>
      </c>
    </row>
    <row r="3906">
      <c r="A3906" t="inlineStr">
        <is>
          <t>PRD-1302</t>
        </is>
      </c>
      <c r="B3906" t="inlineStr">
        <is>
          <t>Production</t>
        </is>
      </c>
      <c r="AB3906" t="n">
        <v>1302</v>
      </c>
      <c r="AD3906" s="52">
        <f>IFERROR(N(IFERROR(INDEX($A3906:$AB3906,MATCH("Xero Invoiced Ex GST",$A$1:$AB$1,0)),"")),0)</f>
        <v/>
      </c>
      <c r="AE3906" s="53">
        <f>IFERROR(INDEX($A3906:$AB3906,MATCH("Xero Invoice Date",$A$1:$AB$1,0)),"")</f>
        <v/>
      </c>
      <c r="AF3906" s="54">
        <f>IF(AND(IFERROR(INDEX($A3906:$AB3906,MATCH("Xero Invoice No",$A$1:$AB$1,0)),"")&amp;""&lt;&gt;"",ISNUMBER(AE3906),AD3906&lt;&gt;0),1,0)</f>
        <v/>
      </c>
      <c r="AG3906" s="55">
        <f>IF(AF3906=1,EOMONTH(AE3906,0),"")</f>
        <v/>
      </c>
      <c r="AH3906" s="9">
        <f>IF(AF3906=1,UPPER(TRIM(IFERROR(INDEX($A3906:$AB3906,MATCH("Client",$A$1:$AB$1,0)),"")&amp;"")),"")</f>
        <v/>
      </c>
      <c r="AI3906" s="9">
        <f>IF(AF3906=1,IFERROR(INDEX($A3906:$AB3906,MATCH("Cost Centre",$A$1:$AB$1,0)),"")&amp;"","")</f>
        <v/>
      </c>
      <c r="AJ3906" s="54">
        <f>IF(AND(AF3906=1,AE3906&gt;=set_FYStart,AE3906&lt;=set_AsAt),1,0)</f>
        <v/>
      </c>
      <c r="AK3906" s="54">
        <f>IF(AND(AJ3906=1,AH3906&lt;&gt;"",COUNTIFS($AH$2:AH3906,AH3906,$AJ$2:AJ3906,1)=1),N(AL3905)+1,"")</f>
        <v/>
      </c>
      <c r="AL3906" s="54">
        <f>IF(AK3906&lt;&gt;"",AK3906,N(AL3905))</f>
        <v/>
      </c>
    </row>
    <row r="3907">
      <c r="A3907" t="inlineStr">
        <is>
          <t>CON-1302</t>
        </is>
      </c>
      <c r="B3907" t="inlineStr">
        <is>
          <t>Consulting</t>
        </is>
      </c>
      <c r="AB3907" t="n">
        <v>1302</v>
      </c>
      <c r="AD3907" s="52">
        <f>IFERROR(N(IFERROR(INDEX($A3907:$AB3907,MATCH("Xero Invoiced Ex GST",$A$1:$AB$1,0)),"")),0)</f>
        <v/>
      </c>
      <c r="AE3907" s="53">
        <f>IFERROR(INDEX($A3907:$AB3907,MATCH("Xero Invoice Date",$A$1:$AB$1,0)),"")</f>
        <v/>
      </c>
      <c r="AF3907" s="54">
        <f>IF(AND(IFERROR(INDEX($A3907:$AB3907,MATCH("Xero Invoice No",$A$1:$AB$1,0)),"")&amp;""&lt;&gt;"",ISNUMBER(AE3907),AD3907&lt;&gt;0),1,0)</f>
        <v/>
      </c>
      <c r="AG3907" s="55">
        <f>IF(AF3907=1,EOMONTH(AE3907,0),"")</f>
        <v/>
      </c>
      <c r="AH3907" s="9">
        <f>IF(AF3907=1,UPPER(TRIM(IFERROR(INDEX($A3907:$AB3907,MATCH("Client",$A$1:$AB$1,0)),"")&amp;"")),"")</f>
        <v/>
      </c>
      <c r="AI3907" s="9">
        <f>IF(AF3907=1,IFERROR(INDEX($A3907:$AB3907,MATCH("Cost Centre",$A$1:$AB$1,0)),"")&amp;"","")</f>
        <v/>
      </c>
      <c r="AJ3907" s="54">
        <f>IF(AND(AF3907=1,AE3907&gt;=set_FYStart,AE3907&lt;=set_AsAt),1,0)</f>
        <v/>
      </c>
      <c r="AK3907" s="54">
        <f>IF(AND(AJ3907=1,AH3907&lt;&gt;"",COUNTIFS($AH$2:AH3907,AH3907,$AJ$2:AJ3907,1)=1),N(AL3906)+1,"")</f>
        <v/>
      </c>
      <c r="AL3907" s="54">
        <f>IF(AK3907&lt;&gt;"",AK3907,N(AL3906))</f>
        <v/>
      </c>
    </row>
    <row r="3908">
      <c r="A3908" t="inlineStr">
        <is>
          <t>ONS-1303</t>
        </is>
      </c>
      <c r="B3908" t="inlineStr">
        <is>
          <t>Onsite</t>
        </is>
      </c>
      <c r="AB3908" t="n">
        <v>1303</v>
      </c>
      <c r="AD3908" s="52">
        <f>IFERROR(N(IFERROR(INDEX($A3908:$AB3908,MATCH("Xero Invoiced Ex GST",$A$1:$AB$1,0)),"")),0)</f>
        <v/>
      </c>
      <c r="AE3908" s="53">
        <f>IFERROR(INDEX($A3908:$AB3908,MATCH("Xero Invoice Date",$A$1:$AB$1,0)),"")</f>
        <v/>
      </c>
      <c r="AF3908" s="54">
        <f>IF(AND(IFERROR(INDEX($A3908:$AB3908,MATCH("Xero Invoice No",$A$1:$AB$1,0)),"")&amp;""&lt;&gt;"",ISNUMBER(AE3908),AD3908&lt;&gt;0),1,0)</f>
        <v/>
      </c>
      <c r="AG3908" s="55">
        <f>IF(AF3908=1,EOMONTH(AE3908,0),"")</f>
        <v/>
      </c>
      <c r="AH3908" s="9">
        <f>IF(AF3908=1,UPPER(TRIM(IFERROR(INDEX($A3908:$AB3908,MATCH("Client",$A$1:$AB$1,0)),"")&amp;"")),"")</f>
        <v/>
      </c>
      <c r="AI3908" s="9">
        <f>IF(AF3908=1,IFERROR(INDEX($A3908:$AB3908,MATCH("Cost Centre",$A$1:$AB$1,0)),"")&amp;"","")</f>
        <v/>
      </c>
      <c r="AJ3908" s="54">
        <f>IF(AND(AF3908=1,AE3908&gt;=set_FYStart,AE3908&lt;=set_AsAt),1,0)</f>
        <v/>
      </c>
      <c r="AK3908" s="54">
        <f>IF(AND(AJ3908=1,AH3908&lt;&gt;"",COUNTIFS($AH$2:AH3908,AH3908,$AJ$2:AJ3908,1)=1),N(AL3907)+1,"")</f>
        <v/>
      </c>
      <c r="AL3908" s="54">
        <f>IF(AK3908&lt;&gt;"",AK3908,N(AL3907))</f>
        <v/>
      </c>
    </row>
    <row r="3909">
      <c r="A3909" t="inlineStr">
        <is>
          <t>PRD-1303</t>
        </is>
      </c>
      <c r="B3909" t="inlineStr">
        <is>
          <t>Production</t>
        </is>
      </c>
      <c r="AB3909" t="n">
        <v>1303</v>
      </c>
      <c r="AD3909" s="52">
        <f>IFERROR(N(IFERROR(INDEX($A3909:$AB3909,MATCH("Xero Invoiced Ex GST",$A$1:$AB$1,0)),"")),0)</f>
        <v/>
      </c>
      <c r="AE3909" s="53">
        <f>IFERROR(INDEX($A3909:$AB3909,MATCH("Xero Invoice Date",$A$1:$AB$1,0)),"")</f>
        <v/>
      </c>
      <c r="AF3909" s="54">
        <f>IF(AND(IFERROR(INDEX($A3909:$AB3909,MATCH("Xero Invoice No",$A$1:$AB$1,0)),"")&amp;""&lt;&gt;"",ISNUMBER(AE3909),AD3909&lt;&gt;0),1,0)</f>
        <v/>
      </c>
      <c r="AG3909" s="55">
        <f>IF(AF3909=1,EOMONTH(AE3909,0),"")</f>
        <v/>
      </c>
      <c r="AH3909" s="9">
        <f>IF(AF3909=1,UPPER(TRIM(IFERROR(INDEX($A3909:$AB3909,MATCH("Client",$A$1:$AB$1,0)),"")&amp;"")),"")</f>
        <v/>
      </c>
      <c r="AI3909" s="9">
        <f>IF(AF3909=1,IFERROR(INDEX($A3909:$AB3909,MATCH("Cost Centre",$A$1:$AB$1,0)),"")&amp;"","")</f>
        <v/>
      </c>
      <c r="AJ3909" s="54">
        <f>IF(AND(AF3909=1,AE3909&gt;=set_FYStart,AE3909&lt;=set_AsAt),1,0)</f>
        <v/>
      </c>
      <c r="AK3909" s="54">
        <f>IF(AND(AJ3909=1,AH3909&lt;&gt;"",COUNTIFS($AH$2:AH3909,AH3909,$AJ$2:AJ3909,1)=1),N(AL3908)+1,"")</f>
        <v/>
      </c>
      <c r="AL3909" s="54">
        <f>IF(AK3909&lt;&gt;"",AK3909,N(AL3908))</f>
        <v/>
      </c>
    </row>
    <row r="3910">
      <c r="A3910" t="inlineStr">
        <is>
          <t>CON-1303</t>
        </is>
      </c>
      <c r="B3910" t="inlineStr">
        <is>
          <t>Consulting</t>
        </is>
      </c>
      <c r="AB3910" t="n">
        <v>1303</v>
      </c>
      <c r="AD3910" s="52">
        <f>IFERROR(N(IFERROR(INDEX($A3910:$AB3910,MATCH("Xero Invoiced Ex GST",$A$1:$AB$1,0)),"")),0)</f>
        <v/>
      </c>
      <c r="AE3910" s="53">
        <f>IFERROR(INDEX($A3910:$AB3910,MATCH("Xero Invoice Date",$A$1:$AB$1,0)),"")</f>
        <v/>
      </c>
      <c r="AF3910" s="54">
        <f>IF(AND(IFERROR(INDEX($A3910:$AB3910,MATCH("Xero Invoice No",$A$1:$AB$1,0)),"")&amp;""&lt;&gt;"",ISNUMBER(AE3910),AD3910&lt;&gt;0),1,0)</f>
        <v/>
      </c>
      <c r="AG3910" s="55">
        <f>IF(AF3910=1,EOMONTH(AE3910,0),"")</f>
        <v/>
      </c>
      <c r="AH3910" s="9">
        <f>IF(AF3910=1,UPPER(TRIM(IFERROR(INDEX($A3910:$AB3910,MATCH("Client",$A$1:$AB$1,0)),"")&amp;"")),"")</f>
        <v/>
      </c>
      <c r="AI3910" s="9">
        <f>IF(AF3910=1,IFERROR(INDEX($A3910:$AB3910,MATCH("Cost Centre",$A$1:$AB$1,0)),"")&amp;"","")</f>
        <v/>
      </c>
      <c r="AJ3910" s="54">
        <f>IF(AND(AF3910=1,AE3910&gt;=set_FYStart,AE3910&lt;=set_AsAt),1,0)</f>
        <v/>
      </c>
      <c r="AK3910" s="54">
        <f>IF(AND(AJ3910=1,AH3910&lt;&gt;"",COUNTIFS($AH$2:AH3910,AH3910,$AJ$2:AJ3910,1)=1),N(AL3909)+1,"")</f>
        <v/>
      </c>
      <c r="AL3910" s="54">
        <f>IF(AK3910&lt;&gt;"",AK3910,N(AL3909))</f>
        <v/>
      </c>
    </row>
    <row r="3911">
      <c r="A3911" t="inlineStr">
        <is>
          <t>ONS-1304</t>
        </is>
      </c>
      <c r="B3911" t="inlineStr">
        <is>
          <t>Onsite</t>
        </is>
      </c>
      <c r="AB3911" t="n">
        <v>1304</v>
      </c>
      <c r="AD3911" s="52">
        <f>IFERROR(N(IFERROR(INDEX($A3911:$AB3911,MATCH("Xero Invoiced Ex GST",$A$1:$AB$1,0)),"")),0)</f>
        <v/>
      </c>
      <c r="AE3911" s="53">
        <f>IFERROR(INDEX($A3911:$AB3911,MATCH("Xero Invoice Date",$A$1:$AB$1,0)),"")</f>
        <v/>
      </c>
      <c r="AF3911" s="54">
        <f>IF(AND(IFERROR(INDEX($A3911:$AB3911,MATCH("Xero Invoice No",$A$1:$AB$1,0)),"")&amp;""&lt;&gt;"",ISNUMBER(AE3911),AD3911&lt;&gt;0),1,0)</f>
        <v/>
      </c>
      <c r="AG3911" s="55">
        <f>IF(AF3911=1,EOMONTH(AE3911,0),"")</f>
        <v/>
      </c>
      <c r="AH3911" s="9">
        <f>IF(AF3911=1,UPPER(TRIM(IFERROR(INDEX($A3911:$AB3911,MATCH("Client",$A$1:$AB$1,0)),"")&amp;"")),"")</f>
        <v/>
      </c>
      <c r="AI3911" s="9">
        <f>IF(AF3911=1,IFERROR(INDEX($A3911:$AB3911,MATCH("Cost Centre",$A$1:$AB$1,0)),"")&amp;"","")</f>
        <v/>
      </c>
      <c r="AJ3911" s="54">
        <f>IF(AND(AF3911=1,AE3911&gt;=set_FYStart,AE3911&lt;=set_AsAt),1,0)</f>
        <v/>
      </c>
      <c r="AK3911" s="54">
        <f>IF(AND(AJ3911=1,AH3911&lt;&gt;"",COUNTIFS($AH$2:AH3911,AH3911,$AJ$2:AJ3911,1)=1),N(AL3910)+1,"")</f>
        <v/>
      </c>
      <c r="AL3911" s="54">
        <f>IF(AK3911&lt;&gt;"",AK3911,N(AL3910))</f>
        <v/>
      </c>
    </row>
    <row r="3912">
      <c r="A3912" t="inlineStr">
        <is>
          <t>PRD-1304</t>
        </is>
      </c>
      <c r="B3912" t="inlineStr">
        <is>
          <t>Production</t>
        </is>
      </c>
      <c r="AB3912" t="n">
        <v>1304</v>
      </c>
      <c r="AD3912" s="52">
        <f>IFERROR(N(IFERROR(INDEX($A3912:$AB3912,MATCH("Xero Invoiced Ex GST",$A$1:$AB$1,0)),"")),0)</f>
        <v/>
      </c>
      <c r="AE3912" s="53">
        <f>IFERROR(INDEX($A3912:$AB3912,MATCH("Xero Invoice Date",$A$1:$AB$1,0)),"")</f>
        <v/>
      </c>
      <c r="AF3912" s="54">
        <f>IF(AND(IFERROR(INDEX($A3912:$AB3912,MATCH("Xero Invoice No",$A$1:$AB$1,0)),"")&amp;""&lt;&gt;"",ISNUMBER(AE3912),AD3912&lt;&gt;0),1,0)</f>
        <v/>
      </c>
      <c r="AG3912" s="55">
        <f>IF(AF3912=1,EOMONTH(AE3912,0),"")</f>
        <v/>
      </c>
      <c r="AH3912" s="9">
        <f>IF(AF3912=1,UPPER(TRIM(IFERROR(INDEX($A3912:$AB3912,MATCH("Client",$A$1:$AB$1,0)),"")&amp;"")),"")</f>
        <v/>
      </c>
      <c r="AI3912" s="9">
        <f>IF(AF3912=1,IFERROR(INDEX($A3912:$AB3912,MATCH("Cost Centre",$A$1:$AB$1,0)),"")&amp;"","")</f>
        <v/>
      </c>
      <c r="AJ3912" s="54">
        <f>IF(AND(AF3912=1,AE3912&gt;=set_FYStart,AE3912&lt;=set_AsAt),1,0)</f>
        <v/>
      </c>
      <c r="AK3912" s="54">
        <f>IF(AND(AJ3912=1,AH3912&lt;&gt;"",COUNTIFS($AH$2:AH3912,AH3912,$AJ$2:AJ3912,1)=1),N(AL3911)+1,"")</f>
        <v/>
      </c>
      <c r="AL3912" s="54">
        <f>IF(AK3912&lt;&gt;"",AK3912,N(AL3911))</f>
        <v/>
      </c>
    </row>
    <row r="3913">
      <c r="A3913" t="inlineStr">
        <is>
          <t>CON-1304</t>
        </is>
      </c>
      <c r="B3913" t="inlineStr">
        <is>
          <t>Consulting</t>
        </is>
      </c>
      <c r="AB3913" t="n">
        <v>1304</v>
      </c>
      <c r="AD3913" s="52">
        <f>IFERROR(N(IFERROR(INDEX($A3913:$AB3913,MATCH("Xero Invoiced Ex GST",$A$1:$AB$1,0)),"")),0)</f>
        <v/>
      </c>
      <c r="AE3913" s="53">
        <f>IFERROR(INDEX($A3913:$AB3913,MATCH("Xero Invoice Date",$A$1:$AB$1,0)),"")</f>
        <v/>
      </c>
      <c r="AF3913" s="54">
        <f>IF(AND(IFERROR(INDEX($A3913:$AB3913,MATCH("Xero Invoice No",$A$1:$AB$1,0)),"")&amp;""&lt;&gt;"",ISNUMBER(AE3913),AD3913&lt;&gt;0),1,0)</f>
        <v/>
      </c>
      <c r="AG3913" s="55">
        <f>IF(AF3913=1,EOMONTH(AE3913,0),"")</f>
        <v/>
      </c>
      <c r="AH3913" s="9">
        <f>IF(AF3913=1,UPPER(TRIM(IFERROR(INDEX($A3913:$AB3913,MATCH("Client",$A$1:$AB$1,0)),"")&amp;"")),"")</f>
        <v/>
      </c>
      <c r="AI3913" s="9">
        <f>IF(AF3913=1,IFERROR(INDEX($A3913:$AB3913,MATCH("Cost Centre",$A$1:$AB$1,0)),"")&amp;"","")</f>
        <v/>
      </c>
      <c r="AJ3913" s="54">
        <f>IF(AND(AF3913=1,AE3913&gt;=set_FYStart,AE3913&lt;=set_AsAt),1,0)</f>
        <v/>
      </c>
      <c r="AK3913" s="54">
        <f>IF(AND(AJ3913=1,AH3913&lt;&gt;"",COUNTIFS($AH$2:AH3913,AH3913,$AJ$2:AJ3913,1)=1),N(AL3912)+1,"")</f>
        <v/>
      </c>
      <c r="AL3913" s="54">
        <f>IF(AK3913&lt;&gt;"",AK3913,N(AL3912))</f>
        <v/>
      </c>
    </row>
    <row r="3914">
      <c r="A3914" t="inlineStr">
        <is>
          <t>ONS-1305</t>
        </is>
      </c>
      <c r="B3914" t="inlineStr">
        <is>
          <t>Onsite</t>
        </is>
      </c>
      <c r="AB3914" t="n">
        <v>1305</v>
      </c>
      <c r="AD3914" s="52">
        <f>IFERROR(N(IFERROR(INDEX($A3914:$AB3914,MATCH("Xero Invoiced Ex GST",$A$1:$AB$1,0)),"")),0)</f>
        <v/>
      </c>
      <c r="AE3914" s="53">
        <f>IFERROR(INDEX($A3914:$AB3914,MATCH("Xero Invoice Date",$A$1:$AB$1,0)),"")</f>
        <v/>
      </c>
      <c r="AF3914" s="54">
        <f>IF(AND(IFERROR(INDEX($A3914:$AB3914,MATCH("Xero Invoice No",$A$1:$AB$1,0)),"")&amp;""&lt;&gt;"",ISNUMBER(AE3914),AD3914&lt;&gt;0),1,0)</f>
        <v/>
      </c>
      <c r="AG3914" s="55">
        <f>IF(AF3914=1,EOMONTH(AE3914,0),"")</f>
        <v/>
      </c>
      <c r="AH3914" s="9">
        <f>IF(AF3914=1,UPPER(TRIM(IFERROR(INDEX($A3914:$AB3914,MATCH("Client",$A$1:$AB$1,0)),"")&amp;"")),"")</f>
        <v/>
      </c>
      <c r="AI3914" s="9">
        <f>IF(AF3914=1,IFERROR(INDEX($A3914:$AB3914,MATCH("Cost Centre",$A$1:$AB$1,0)),"")&amp;"","")</f>
        <v/>
      </c>
      <c r="AJ3914" s="54">
        <f>IF(AND(AF3914=1,AE3914&gt;=set_FYStart,AE3914&lt;=set_AsAt),1,0)</f>
        <v/>
      </c>
      <c r="AK3914" s="54">
        <f>IF(AND(AJ3914=1,AH3914&lt;&gt;"",COUNTIFS($AH$2:AH3914,AH3914,$AJ$2:AJ3914,1)=1),N(AL3913)+1,"")</f>
        <v/>
      </c>
      <c r="AL3914" s="54">
        <f>IF(AK3914&lt;&gt;"",AK3914,N(AL3913))</f>
        <v/>
      </c>
    </row>
    <row r="3915">
      <c r="A3915" t="inlineStr">
        <is>
          <t>PRD-1305</t>
        </is>
      </c>
      <c r="B3915" t="inlineStr">
        <is>
          <t>Production</t>
        </is>
      </c>
      <c r="AB3915" t="n">
        <v>1305</v>
      </c>
      <c r="AD3915" s="52">
        <f>IFERROR(N(IFERROR(INDEX($A3915:$AB3915,MATCH("Xero Invoiced Ex GST",$A$1:$AB$1,0)),"")),0)</f>
        <v/>
      </c>
      <c r="AE3915" s="53">
        <f>IFERROR(INDEX($A3915:$AB3915,MATCH("Xero Invoice Date",$A$1:$AB$1,0)),"")</f>
        <v/>
      </c>
      <c r="AF3915" s="54">
        <f>IF(AND(IFERROR(INDEX($A3915:$AB3915,MATCH("Xero Invoice No",$A$1:$AB$1,0)),"")&amp;""&lt;&gt;"",ISNUMBER(AE3915),AD3915&lt;&gt;0),1,0)</f>
        <v/>
      </c>
      <c r="AG3915" s="55">
        <f>IF(AF3915=1,EOMONTH(AE3915,0),"")</f>
        <v/>
      </c>
      <c r="AH3915" s="9">
        <f>IF(AF3915=1,UPPER(TRIM(IFERROR(INDEX($A3915:$AB3915,MATCH("Client",$A$1:$AB$1,0)),"")&amp;"")),"")</f>
        <v/>
      </c>
      <c r="AI3915" s="9">
        <f>IF(AF3915=1,IFERROR(INDEX($A3915:$AB3915,MATCH("Cost Centre",$A$1:$AB$1,0)),"")&amp;"","")</f>
        <v/>
      </c>
      <c r="AJ3915" s="54">
        <f>IF(AND(AF3915=1,AE3915&gt;=set_FYStart,AE3915&lt;=set_AsAt),1,0)</f>
        <v/>
      </c>
      <c r="AK3915" s="54">
        <f>IF(AND(AJ3915=1,AH3915&lt;&gt;"",COUNTIFS($AH$2:AH3915,AH3915,$AJ$2:AJ3915,1)=1),N(AL3914)+1,"")</f>
        <v/>
      </c>
      <c r="AL3915" s="54">
        <f>IF(AK3915&lt;&gt;"",AK3915,N(AL3914))</f>
        <v/>
      </c>
    </row>
    <row r="3916">
      <c r="A3916" t="inlineStr">
        <is>
          <t>CON-1305</t>
        </is>
      </c>
      <c r="B3916" t="inlineStr">
        <is>
          <t>Consulting</t>
        </is>
      </c>
      <c r="AB3916" t="n">
        <v>1305</v>
      </c>
      <c r="AD3916" s="52">
        <f>IFERROR(N(IFERROR(INDEX($A3916:$AB3916,MATCH("Xero Invoiced Ex GST",$A$1:$AB$1,0)),"")),0)</f>
        <v/>
      </c>
      <c r="AE3916" s="53">
        <f>IFERROR(INDEX($A3916:$AB3916,MATCH("Xero Invoice Date",$A$1:$AB$1,0)),"")</f>
        <v/>
      </c>
      <c r="AF3916" s="54">
        <f>IF(AND(IFERROR(INDEX($A3916:$AB3916,MATCH("Xero Invoice No",$A$1:$AB$1,0)),"")&amp;""&lt;&gt;"",ISNUMBER(AE3916),AD3916&lt;&gt;0),1,0)</f>
        <v/>
      </c>
      <c r="AG3916" s="55">
        <f>IF(AF3916=1,EOMONTH(AE3916,0),"")</f>
        <v/>
      </c>
      <c r="AH3916" s="9">
        <f>IF(AF3916=1,UPPER(TRIM(IFERROR(INDEX($A3916:$AB3916,MATCH("Client",$A$1:$AB$1,0)),"")&amp;"")),"")</f>
        <v/>
      </c>
      <c r="AI3916" s="9">
        <f>IF(AF3916=1,IFERROR(INDEX($A3916:$AB3916,MATCH("Cost Centre",$A$1:$AB$1,0)),"")&amp;"","")</f>
        <v/>
      </c>
      <c r="AJ3916" s="54">
        <f>IF(AND(AF3916=1,AE3916&gt;=set_FYStart,AE3916&lt;=set_AsAt),1,0)</f>
        <v/>
      </c>
      <c r="AK3916" s="54">
        <f>IF(AND(AJ3916=1,AH3916&lt;&gt;"",COUNTIFS($AH$2:AH3916,AH3916,$AJ$2:AJ3916,1)=1),N(AL3915)+1,"")</f>
        <v/>
      </c>
      <c r="AL3916" s="54">
        <f>IF(AK3916&lt;&gt;"",AK3916,N(AL3915))</f>
        <v/>
      </c>
    </row>
    <row r="3917">
      <c r="A3917" t="inlineStr">
        <is>
          <t>ONS-1306</t>
        </is>
      </c>
      <c r="B3917" t="inlineStr">
        <is>
          <t>Onsite</t>
        </is>
      </c>
      <c r="AB3917" t="n">
        <v>1306</v>
      </c>
      <c r="AD3917" s="52">
        <f>IFERROR(N(IFERROR(INDEX($A3917:$AB3917,MATCH("Xero Invoiced Ex GST",$A$1:$AB$1,0)),"")),0)</f>
        <v/>
      </c>
      <c r="AE3917" s="53">
        <f>IFERROR(INDEX($A3917:$AB3917,MATCH("Xero Invoice Date",$A$1:$AB$1,0)),"")</f>
        <v/>
      </c>
      <c r="AF3917" s="54">
        <f>IF(AND(IFERROR(INDEX($A3917:$AB3917,MATCH("Xero Invoice No",$A$1:$AB$1,0)),"")&amp;""&lt;&gt;"",ISNUMBER(AE3917),AD3917&lt;&gt;0),1,0)</f>
        <v/>
      </c>
      <c r="AG3917" s="55">
        <f>IF(AF3917=1,EOMONTH(AE3917,0),"")</f>
        <v/>
      </c>
      <c r="AH3917" s="9">
        <f>IF(AF3917=1,UPPER(TRIM(IFERROR(INDEX($A3917:$AB3917,MATCH("Client",$A$1:$AB$1,0)),"")&amp;"")),"")</f>
        <v/>
      </c>
      <c r="AI3917" s="9">
        <f>IF(AF3917=1,IFERROR(INDEX($A3917:$AB3917,MATCH("Cost Centre",$A$1:$AB$1,0)),"")&amp;"","")</f>
        <v/>
      </c>
      <c r="AJ3917" s="54">
        <f>IF(AND(AF3917=1,AE3917&gt;=set_FYStart,AE3917&lt;=set_AsAt),1,0)</f>
        <v/>
      </c>
      <c r="AK3917" s="54">
        <f>IF(AND(AJ3917=1,AH3917&lt;&gt;"",COUNTIFS($AH$2:AH3917,AH3917,$AJ$2:AJ3917,1)=1),N(AL3916)+1,"")</f>
        <v/>
      </c>
      <c r="AL3917" s="54">
        <f>IF(AK3917&lt;&gt;"",AK3917,N(AL3916))</f>
        <v/>
      </c>
    </row>
    <row r="3918">
      <c r="A3918" t="inlineStr">
        <is>
          <t>PRD-1306</t>
        </is>
      </c>
      <c r="B3918" t="inlineStr">
        <is>
          <t>Production</t>
        </is>
      </c>
      <c r="AB3918" t="n">
        <v>1306</v>
      </c>
      <c r="AD3918" s="52">
        <f>IFERROR(N(IFERROR(INDEX($A3918:$AB3918,MATCH("Xero Invoiced Ex GST",$A$1:$AB$1,0)),"")),0)</f>
        <v/>
      </c>
      <c r="AE3918" s="53">
        <f>IFERROR(INDEX($A3918:$AB3918,MATCH("Xero Invoice Date",$A$1:$AB$1,0)),"")</f>
        <v/>
      </c>
      <c r="AF3918" s="54">
        <f>IF(AND(IFERROR(INDEX($A3918:$AB3918,MATCH("Xero Invoice No",$A$1:$AB$1,0)),"")&amp;""&lt;&gt;"",ISNUMBER(AE3918),AD3918&lt;&gt;0),1,0)</f>
        <v/>
      </c>
      <c r="AG3918" s="55">
        <f>IF(AF3918=1,EOMONTH(AE3918,0),"")</f>
        <v/>
      </c>
      <c r="AH3918" s="9">
        <f>IF(AF3918=1,UPPER(TRIM(IFERROR(INDEX($A3918:$AB3918,MATCH("Client",$A$1:$AB$1,0)),"")&amp;"")),"")</f>
        <v/>
      </c>
      <c r="AI3918" s="9">
        <f>IF(AF3918=1,IFERROR(INDEX($A3918:$AB3918,MATCH("Cost Centre",$A$1:$AB$1,0)),"")&amp;"","")</f>
        <v/>
      </c>
      <c r="AJ3918" s="54">
        <f>IF(AND(AF3918=1,AE3918&gt;=set_FYStart,AE3918&lt;=set_AsAt),1,0)</f>
        <v/>
      </c>
      <c r="AK3918" s="54">
        <f>IF(AND(AJ3918=1,AH3918&lt;&gt;"",COUNTIFS($AH$2:AH3918,AH3918,$AJ$2:AJ3918,1)=1),N(AL3917)+1,"")</f>
        <v/>
      </c>
      <c r="AL3918" s="54">
        <f>IF(AK3918&lt;&gt;"",AK3918,N(AL3917))</f>
        <v/>
      </c>
    </row>
    <row r="3919">
      <c r="A3919" t="inlineStr">
        <is>
          <t>CON-1306</t>
        </is>
      </c>
      <c r="B3919" t="inlineStr">
        <is>
          <t>Consulting</t>
        </is>
      </c>
      <c r="AB3919" t="n">
        <v>1306</v>
      </c>
      <c r="AD3919" s="52">
        <f>IFERROR(N(IFERROR(INDEX($A3919:$AB3919,MATCH("Xero Invoiced Ex GST",$A$1:$AB$1,0)),"")),0)</f>
        <v/>
      </c>
      <c r="AE3919" s="53">
        <f>IFERROR(INDEX($A3919:$AB3919,MATCH("Xero Invoice Date",$A$1:$AB$1,0)),"")</f>
        <v/>
      </c>
      <c r="AF3919" s="54">
        <f>IF(AND(IFERROR(INDEX($A3919:$AB3919,MATCH("Xero Invoice No",$A$1:$AB$1,0)),"")&amp;""&lt;&gt;"",ISNUMBER(AE3919),AD3919&lt;&gt;0),1,0)</f>
        <v/>
      </c>
      <c r="AG3919" s="55">
        <f>IF(AF3919=1,EOMONTH(AE3919,0),"")</f>
        <v/>
      </c>
      <c r="AH3919" s="9">
        <f>IF(AF3919=1,UPPER(TRIM(IFERROR(INDEX($A3919:$AB3919,MATCH("Client",$A$1:$AB$1,0)),"")&amp;"")),"")</f>
        <v/>
      </c>
      <c r="AI3919" s="9">
        <f>IF(AF3919=1,IFERROR(INDEX($A3919:$AB3919,MATCH("Cost Centre",$A$1:$AB$1,0)),"")&amp;"","")</f>
        <v/>
      </c>
      <c r="AJ3919" s="54">
        <f>IF(AND(AF3919=1,AE3919&gt;=set_FYStart,AE3919&lt;=set_AsAt),1,0)</f>
        <v/>
      </c>
      <c r="AK3919" s="54">
        <f>IF(AND(AJ3919=1,AH3919&lt;&gt;"",COUNTIFS($AH$2:AH3919,AH3919,$AJ$2:AJ3919,1)=1),N(AL3918)+1,"")</f>
        <v/>
      </c>
      <c r="AL3919" s="54">
        <f>IF(AK3919&lt;&gt;"",AK3919,N(AL3918))</f>
        <v/>
      </c>
    </row>
    <row r="3920">
      <c r="A3920" t="inlineStr">
        <is>
          <t>ONS-1307</t>
        </is>
      </c>
      <c r="B3920" t="inlineStr">
        <is>
          <t>Onsite</t>
        </is>
      </c>
      <c r="AB3920" t="n">
        <v>1307</v>
      </c>
      <c r="AD3920" s="52">
        <f>IFERROR(N(IFERROR(INDEX($A3920:$AB3920,MATCH("Xero Invoiced Ex GST",$A$1:$AB$1,0)),"")),0)</f>
        <v/>
      </c>
      <c r="AE3920" s="53">
        <f>IFERROR(INDEX($A3920:$AB3920,MATCH("Xero Invoice Date",$A$1:$AB$1,0)),"")</f>
        <v/>
      </c>
      <c r="AF3920" s="54">
        <f>IF(AND(IFERROR(INDEX($A3920:$AB3920,MATCH("Xero Invoice No",$A$1:$AB$1,0)),"")&amp;""&lt;&gt;"",ISNUMBER(AE3920),AD3920&lt;&gt;0),1,0)</f>
        <v/>
      </c>
      <c r="AG3920" s="55">
        <f>IF(AF3920=1,EOMONTH(AE3920,0),"")</f>
        <v/>
      </c>
      <c r="AH3920" s="9">
        <f>IF(AF3920=1,UPPER(TRIM(IFERROR(INDEX($A3920:$AB3920,MATCH("Client",$A$1:$AB$1,0)),"")&amp;"")),"")</f>
        <v/>
      </c>
      <c r="AI3920" s="9">
        <f>IF(AF3920=1,IFERROR(INDEX($A3920:$AB3920,MATCH("Cost Centre",$A$1:$AB$1,0)),"")&amp;"","")</f>
        <v/>
      </c>
      <c r="AJ3920" s="54">
        <f>IF(AND(AF3920=1,AE3920&gt;=set_FYStart,AE3920&lt;=set_AsAt),1,0)</f>
        <v/>
      </c>
      <c r="AK3920" s="54">
        <f>IF(AND(AJ3920=1,AH3920&lt;&gt;"",COUNTIFS($AH$2:AH3920,AH3920,$AJ$2:AJ3920,1)=1),N(AL3919)+1,"")</f>
        <v/>
      </c>
      <c r="AL3920" s="54">
        <f>IF(AK3920&lt;&gt;"",AK3920,N(AL3919))</f>
        <v/>
      </c>
    </row>
    <row r="3921">
      <c r="A3921" t="inlineStr">
        <is>
          <t>PRD-1307</t>
        </is>
      </c>
      <c r="B3921" t="inlineStr">
        <is>
          <t>Production</t>
        </is>
      </c>
      <c r="AB3921" t="n">
        <v>1307</v>
      </c>
      <c r="AD3921" s="52">
        <f>IFERROR(N(IFERROR(INDEX($A3921:$AB3921,MATCH("Xero Invoiced Ex GST",$A$1:$AB$1,0)),"")),0)</f>
        <v/>
      </c>
      <c r="AE3921" s="53">
        <f>IFERROR(INDEX($A3921:$AB3921,MATCH("Xero Invoice Date",$A$1:$AB$1,0)),"")</f>
        <v/>
      </c>
      <c r="AF3921" s="54">
        <f>IF(AND(IFERROR(INDEX($A3921:$AB3921,MATCH("Xero Invoice No",$A$1:$AB$1,0)),"")&amp;""&lt;&gt;"",ISNUMBER(AE3921),AD3921&lt;&gt;0),1,0)</f>
        <v/>
      </c>
      <c r="AG3921" s="55">
        <f>IF(AF3921=1,EOMONTH(AE3921,0),"")</f>
        <v/>
      </c>
      <c r="AH3921" s="9">
        <f>IF(AF3921=1,UPPER(TRIM(IFERROR(INDEX($A3921:$AB3921,MATCH("Client",$A$1:$AB$1,0)),"")&amp;"")),"")</f>
        <v/>
      </c>
      <c r="AI3921" s="9">
        <f>IF(AF3921=1,IFERROR(INDEX($A3921:$AB3921,MATCH("Cost Centre",$A$1:$AB$1,0)),"")&amp;"","")</f>
        <v/>
      </c>
      <c r="AJ3921" s="54">
        <f>IF(AND(AF3921=1,AE3921&gt;=set_FYStart,AE3921&lt;=set_AsAt),1,0)</f>
        <v/>
      </c>
      <c r="AK3921" s="54">
        <f>IF(AND(AJ3921=1,AH3921&lt;&gt;"",COUNTIFS($AH$2:AH3921,AH3921,$AJ$2:AJ3921,1)=1),N(AL3920)+1,"")</f>
        <v/>
      </c>
      <c r="AL3921" s="54">
        <f>IF(AK3921&lt;&gt;"",AK3921,N(AL3920))</f>
        <v/>
      </c>
    </row>
    <row r="3922">
      <c r="A3922" t="inlineStr">
        <is>
          <t>CON-1307</t>
        </is>
      </c>
      <c r="B3922" t="inlineStr">
        <is>
          <t>Consulting</t>
        </is>
      </c>
      <c r="AB3922" t="n">
        <v>1307</v>
      </c>
      <c r="AD3922" s="52">
        <f>IFERROR(N(IFERROR(INDEX($A3922:$AB3922,MATCH("Xero Invoiced Ex GST",$A$1:$AB$1,0)),"")),0)</f>
        <v/>
      </c>
      <c r="AE3922" s="53">
        <f>IFERROR(INDEX($A3922:$AB3922,MATCH("Xero Invoice Date",$A$1:$AB$1,0)),"")</f>
        <v/>
      </c>
      <c r="AF3922" s="54">
        <f>IF(AND(IFERROR(INDEX($A3922:$AB3922,MATCH("Xero Invoice No",$A$1:$AB$1,0)),"")&amp;""&lt;&gt;"",ISNUMBER(AE3922),AD3922&lt;&gt;0),1,0)</f>
        <v/>
      </c>
      <c r="AG3922" s="55">
        <f>IF(AF3922=1,EOMONTH(AE3922,0),"")</f>
        <v/>
      </c>
      <c r="AH3922" s="9">
        <f>IF(AF3922=1,UPPER(TRIM(IFERROR(INDEX($A3922:$AB3922,MATCH("Client",$A$1:$AB$1,0)),"")&amp;"")),"")</f>
        <v/>
      </c>
      <c r="AI3922" s="9">
        <f>IF(AF3922=1,IFERROR(INDEX($A3922:$AB3922,MATCH("Cost Centre",$A$1:$AB$1,0)),"")&amp;"","")</f>
        <v/>
      </c>
      <c r="AJ3922" s="54">
        <f>IF(AND(AF3922=1,AE3922&gt;=set_FYStart,AE3922&lt;=set_AsAt),1,0)</f>
        <v/>
      </c>
      <c r="AK3922" s="54">
        <f>IF(AND(AJ3922=1,AH3922&lt;&gt;"",COUNTIFS($AH$2:AH3922,AH3922,$AJ$2:AJ3922,1)=1),N(AL3921)+1,"")</f>
        <v/>
      </c>
      <c r="AL3922" s="54">
        <f>IF(AK3922&lt;&gt;"",AK3922,N(AL3921))</f>
        <v/>
      </c>
    </row>
    <row r="3923">
      <c r="A3923" t="inlineStr">
        <is>
          <t>ONS-1308</t>
        </is>
      </c>
      <c r="B3923" t="inlineStr">
        <is>
          <t>Onsite</t>
        </is>
      </c>
      <c r="AB3923" t="n">
        <v>1308</v>
      </c>
      <c r="AD3923" s="52">
        <f>IFERROR(N(IFERROR(INDEX($A3923:$AB3923,MATCH("Xero Invoiced Ex GST",$A$1:$AB$1,0)),"")),0)</f>
        <v/>
      </c>
      <c r="AE3923" s="53">
        <f>IFERROR(INDEX($A3923:$AB3923,MATCH("Xero Invoice Date",$A$1:$AB$1,0)),"")</f>
        <v/>
      </c>
      <c r="AF3923" s="54">
        <f>IF(AND(IFERROR(INDEX($A3923:$AB3923,MATCH("Xero Invoice No",$A$1:$AB$1,0)),"")&amp;""&lt;&gt;"",ISNUMBER(AE3923),AD3923&lt;&gt;0),1,0)</f>
        <v/>
      </c>
      <c r="AG3923" s="55">
        <f>IF(AF3923=1,EOMONTH(AE3923,0),"")</f>
        <v/>
      </c>
      <c r="AH3923" s="9">
        <f>IF(AF3923=1,UPPER(TRIM(IFERROR(INDEX($A3923:$AB3923,MATCH("Client",$A$1:$AB$1,0)),"")&amp;"")),"")</f>
        <v/>
      </c>
      <c r="AI3923" s="9">
        <f>IF(AF3923=1,IFERROR(INDEX($A3923:$AB3923,MATCH("Cost Centre",$A$1:$AB$1,0)),"")&amp;"","")</f>
        <v/>
      </c>
      <c r="AJ3923" s="54">
        <f>IF(AND(AF3923=1,AE3923&gt;=set_FYStart,AE3923&lt;=set_AsAt),1,0)</f>
        <v/>
      </c>
      <c r="AK3923" s="54">
        <f>IF(AND(AJ3923=1,AH3923&lt;&gt;"",COUNTIFS($AH$2:AH3923,AH3923,$AJ$2:AJ3923,1)=1),N(AL3922)+1,"")</f>
        <v/>
      </c>
      <c r="AL3923" s="54">
        <f>IF(AK3923&lt;&gt;"",AK3923,N(AL3922))</f>
        <v/>
      </c>
    </row>
    <row r="3924">
      <c r="A3924" t="inlineStr">
        <is>
          <t>PRD-1308</t>
        </is>
      </c>
      <c r="B3924" t="inlineStr">
        <is>
          <t>Production</t>
        </is>
      </c>
      <c r="AB3924" t="n">
        <v>1308</v>
      </c>
      <c r="AD3924" s="52">
        <f>IFERROR(N(IFERROR(INDEX($A3924:$AB3924,MATCH("Xero Invoiced Ex GST",$A$1:$AB$1,0)),"")),0)</f>
        <v/>
      </c>
      <c r="AE3924" s="53">
        <f>IFERROR(INDEX($A3924:$AB3924,MATCH("Xero Invoice Date",$A$1:$AB$1,0)),"")</f>
        <v/>
      </c>
      <c r="AF3924" s="54">
        <f>IF(AND(IFERROR(INDEX($A3924:$AB3924,MATCH("Xero Invoice No",$A$1:$AB$1,0)),"")&amp;""&lt;&gt;"",ISNUMBER(AE3924),AD3924&lt;&gt;0),1,0)</f>
        <v/>
      </c>
      <c r="AG3924" s="55">
        <f>IF(AF3924=1,EOMONTH(AE3924,0),"")</f>
        <v/>
      </c>
      <c r="AH3924" s="9">
        <f>IF(AF3924=1,UPPER(TRIM(IFERROR(INDEX($A3924:$AB3924,MATCH("Client",$A$1:$AB$1,0)),"")&amp;"")),"")</f>
        <v/>
      </c>
      <c r="AI3924" s="9">
        <f>IF(AF3924=1,IFERROR(INDEX($A3924:$AB3924,MATCH("Cost Centre",$A$1:$AB$1,0)),"")&amp;"","")</f>
        <v/>
      </c>
      <c r="AJ3924" s="54">
        <f>IF(AND(AF3924=1,AE3924&gt;=set_FYStart,AE3924&lt;=set_AsAt),1,0)</f>
        <v/>
      </c>
      <c r="AK3924" s="54">
        <f>IF(AND(AJ3924=1,AH3924&lt;&gt;"",COUNTIFS($AH$2:AH3924,AH3924,$AJ$2:AJ3924,1)=1),N(AL3923)+1,"")</f>
        <v/>
      </c>
      <c r="AL3924" s="54">
        <f>IF(AK3924&lt;&gt;"",AK3924,N(AL3923))</f>
        <v/>
      </c>
    </row>
    <row r="3925">
      <c r="A3925" t="inlineStr">
        <is>
          <t>CON-1308</t>
        </is>
      </c>
      <c r="B3925" t="inlineStr">
        <is>
          <t>Consulting</t>
        </is>
      </c>
      <c r="AB3925" t="n">
        <v>1308</v>
      </c>
      <c r="AD3925" s="52">
        <f>IFERROR(N(IFERROR(INDEX($A3925:$AB3925,MATCH("Xero Invoiced Ex GST",$A$1:$AB$1,0)),"")),0)</f>
        <v/>
      </c>
      <c r="AE3925" s="53">
        <f>IFERROR(INDEX($A3925:$AB3925,MATCH("Xero Invoice Date",$A$1:$AB$1,0)),"")</f>
        <v/>
      </c>
      <c r="AF3925" s="54">
        <f>IF(AND(IFERROR(INDEX($A3925:$AB3925,MATCH("Xero Invoice No",$A$1:$AB$1,0)),"")&amp;""&lt;&gt;"",ISNUMBER(AE3925),AD3925&lt;&gt;0),1,0)</f>
        <v/>
      </c>
      <c r="AG3925" s="55">
        <f>IF(AF3925=1,EOMONTH(AE3925,0),"")</f>
        <v/>
      </c>
      <c r="AH3925" s="9">
        <f>IF(AF3925=1,UPPER(TRIM(IFERROR(INDEX($A3925:$AB3925,MATCH("Client",$A$1:$AB$1,0)),"")&amp;"")),"")</f>
        <v/>
      </c>
      <c r="AI3925" s="9">
        <f>IF(AF3925=1,IFERROR(INDEX($A3925:$AB3925,MATCH("Cost Centre",$A$1:$AB$1,0)),"")&amp;"","")</f>
        <v/>
      </c>
      <c r="AJ3925" s="54">
        <f>IF(AND(AF3925=1,AE3925&gt;=set_FYStart,AE3925&lt;=set_AsAt),1,0)</f>
        <v/>
      </c>
      <c r="AK3925" s="54">
        <f>IF(AND(AJ3925=1,AH3925&lt;&gt;"",COUNTIFS($AH$2:AH3925,AH3925,$AJ$2:AJ3925,1)=1),N(AL3924)+1,"")</f>
        <v/>
      </c>
      <c r="AL3925" s="54">
        <f>IF(AK3925&lt;&gt;"",AK3925,N(AL3924))</f>
        <v/>
      </c>
    </row>
    <row r="3926">
      <c r="A3926" t="inlineStr">
        <is>
          <t>ONS-1309</t>
        </is>
      </c>
      <c r="B3926" t="inlineStr">
        <is>
          <t>Onsite</t>
        </is>
      </c>
      <c r="AB3926" t="n">
        <v>1309</v>
      </c>
      <c r="AD3926" s="52">
        <f>IFERROR(N(IFERROR(INDEX($A3926:$AB3926,MATCH("Xero Invoiced Ex GST",$A$1:$AB$1,0)),"")),0)</f>
        <v/>
      </c>
      <c r="AE3926" s="53">
        <f>IFERROR(INDEX($A3926:$AB3926,MATCH("Xero Invoice Date",$A$1:$AB$1,0)),"")</f>
        <v/>
      </c>
      <c r="AF3926" s="54">
        <f>IF(AND(IFERROR(INDEX($A3926:$AB3926,MATCH("Xero Invoice No",$A$1:$AB$1,0)),"")&amp;""&lt;&gt;"",ISNUMBER(AE3926),AD3926&lt;&gt;0),1,0)</f>
        <v/>
      </c>
      <c r="AG3926" s="55">
        <f>IF(AF3926=1,EOMONTH(AE3926,0),"")</f>
        <v/>
      </c>
      <c r="AH3926" s="9">
        <f>IF(AF3926=1,UPPER(TRIM(IFERROR(INDEX($A3926:$AB3926,MATCH("Client",$A$1:$AB$1,0)),"")&amp;"")),"")</f>
        <v/>
      </c>
      <c r="AI3926" s="9">
        <f>IF(AF3926=1,IFERROR(INDEX($A3926:$AB3926,MATCH("Cost Centre",$A$1:$AB$1,0)),"")&amp;"","")</f>
        <v/>
      </c>
      <c r="AJ3926" s="54">
        <f>IF(AND(AF3926=1,AE3926&gt;=set_FYStart,AE3926&lt;=set_AsAt),1,0)</f>
        <v/>
      </c>
      <c r="AK3926" s="54">
        <f>IF(AND(AJ3926=1,AH3926&lt;&gt;"",COUNTIFS($AH$2:AH3926,AH3926,$AJ$2:AJ3926,1)=1),N(AL3925)+1,"")</f>
        <v/>
      </c>
      <c r="AL3926" s="54">
        <f>IF(AK3926&lt;&gt;"",AK3926,N(AL3925))</f>
        <v/>
      </c>
    </row>
    <row r="3927">
      <c r="A3927" t="inlineStr">
        <is>
          <t>PRD-1309</t>
        </is>
      </c>
      <c r="B3927" t="inlineStr">
        <is>
          <t>Production</t>
        </is>
      </c>
      <c r="AB3927" t="n">
        <v>1309</v>
      </c>
      <c r="AD3927" s="52">
        <f>IFERROR(N(IFERROR(INDEX($A3927:$AB3927,MATCH("Xero Invoiced Ex GST",$A$1:$AB$1,0)),"")),0)</f>
        <v/>
      </c>
      <c r="AE3927" s="53">
        <f>IFERROR(INDEX($A3927:$AB3927,MATCH("Xero Invoice Date",$A$1:$AB$1,0)),"")</f>
        <v/>
      </c>
      <c r="AF3927" s="54">
        <f>IF(AND(IFERROR(INDEX($A3927:$AB3927,MATCH("Xero Invoice No",$A$1:$AB$1,0)),"")&amp;""&lt;&gt;"",ISNUMBER(AE3927),AD3927&lt;&gt;0),1,0)</f>
        <v/>
      </c>
      <c r="AG3927" s="55">
        <f>IF(AF3927=1,EOMONTH(AE3927,0),"")</f>
        <v/>
      </c>
      <c r="AH3927" s="9">
        <f>IF(AF3927=1,UPPER(TRIM(IFERROR(INDEX($A3927:$AB3927,MATCH("Client",$A$1:$AB$1,0)),"")&amp;"")),"")</f>
        <v/>
      </c>
      <c r="AI3927" s="9">
        <f>IF(AF3927=1,IFERROR(INDEX($A3927:$AB3927,MATCH("Cost Centre",$A$1:$AB$1,0)),"")&amp;"","")</f>
        <v/>
      </c>
      <c r="AJ3927" s="54">
        <f>IF(AND(AF3927=1,AE3927&gt;=set_FYStart,AE3927&lt;=set_AsAt),1,0)</f>
        <v/>
      </c>
      <c r="AK3927" s="54">
        <f>IF(AND(AJ3927=1,AH3927&lt;&gt;"",COUNTIFS($AH$2:AH3927,AH3927,$AJ$2:AJ3927,1)=1),N(AL3926)+1,"")</f>
        <v/>
      </c>
      <c r="AL3927" s="54">
        <f>IF(AK3927&lt;&gt;"",AK3927,N(AL3926))</f>
        <v/>
      </c>
    </row>
    <row r="3928">
      <c r="A3928" t="inlineStr">
        <is>
          <t>CON-1309</t>
        </is>
      </c>
      <c r="B3928" t="inlineStr">
        <is>
          <t>Consulting</t>
        </is>
      </c>
      <c r="AB3928" t="n">
        <v>1309</v>
      </c>
      <c r="AD3928" s="52">
        <f>IFERROR(N(IFERROR(INDEX($A3928:$AB3928,MATCH("Xero Invoiced Ex GST",$A$1:$AB$1,0)),"")),0)</f>
        <v/>
      </c>
      <c r="AE3928" s="53">
        <f>IFERROR(INDEX($A3928:$AB3928,MATCH("Xero Invoice Date",$A$1:$AB$1,0)),"")</f>
        <v/>
      </c>
      <c r="AF3928" s="54">
        <f>IF(AND(IFERROR(INDEX($A3928:$AB3928,MATCH("Xero Invoice No",$A$1:$AB$1,0)),"")&amp;""&lt;&gt;"",ISNUMBER(AE3928),AD3928&lt;&gt;0),1,0)</f>
        <v/>
      </c>
      <c r="AG3928" s="55">
        <f>IF(AF3928=1,EOMONTH(AE3928,0),"")</f>
        <v/>
      </c>
      <c r="AH3928" s="9">
        <f>IF(AF3928=1,UPPER(TRIM(IFERROR(INDEX($A3928:$AB3928,MATCH("Client",$A$1:$AB$1,0)),"")&amp;"")),"")</f>
        <v/>
      </c>
      <c r="AI3928" s="9">
        <f>IF(AF3928=1,IFERROR(INDEX($A3928:$AB3928,MATCH("Cost Centre",$A$1:$AB$1,0)),"")&amp;"","")</f>
        <v/>
      </c>
      <c r="AJ3928" s="54">
        <f>IF(AND(AF3928=1,AE3928&gt;=set_FYStart,AE3928&lt;=set_AsAt),1,0)</f>
        <v/>
      </c>
      <c r="AK3928" s="54">
        <f>IF(AND(AJ3928=1,AH3928&lt;&gt;"",COUNTIFS($AH$2:AH3928,AH3928,$AJ$2:AJ3928,1)=1),N(AL3927)+1,"")</f>
        <v/>
      </c>
      <c r="AL3928" s="54">
        <f>IF(AK3928&lt;&gt;"",AK3928,N(AL3927))</f>
        <v/>
      </c>
    </row>
    <row r="3929">
      <c r="A3929" t="inlineStr">
        <is>
          <t>ONS-1310</t>
        </is>
      </c>
      <c r="B3929" t="inlineStr">
        <is>
          <t>Onsite</t>
        </is>
      </c>
      <c r="AB3929" t="n">
        <v>1310</v>
      </c>
      <c r="AD3929" s="52">
        <f>IFERROR(N(IFERROR(INDEX($A3929:$AB3929,MATCH("Xero Invoiced Ex GST",$A$1:$AB$1,0)),"")),0)</f>
        <v/>
      </c>
      <c r="AE3929" s="53">
        <f>IFERROR(INDEX($A3929:$AB3929,MATCH("Xero Invoice Date",$A$1:$AB$1,0)),"")</f>
        <v/>
      </c>
      <c r="AF3929" s="54">
        <f>IF(AND(IFERROR(INDEX($A3929:$AB3929,MATCH("Xero Invoice No",$A$1:$AB$1,0)),"")&amp;""&lt;&gt;"",ISNUMBER(AE3929),AD3929&lt;&gt;0),1,0)</f>
        <v/>
      </c>
      <c r="AG3929" s="55">
        <f>IF(AF3929=1,EOMONTH(AE3929,0),"")</f>
        <v/>
      </c>
      <c r="AH3929" s="9">
        <f>IF(AF3929=1,UPPER(TRIM(IFERROR(INDEX($A3929:$AB3929,MATCH("Client",$A$1:$AB$1,0)),"")&amp;"")),"")</f>
        <v/>
      </c>
      <c r="AI3929" s="9">
        <f>IF(AF3929=1,IFERROR(INDEX($A3929:$AB3929,MATCH("Cost Centre",$A$1:$AB$1,0)),"")&amp;"","")</f>
        <v/>
      </c>
      <c r="AJ3929" s="54">
        <f>IF(AND(AF3929=1,AE3929&gt;=set_FYStart,AE3929&lt;=set_AsAt),1,0)</f>
        <v/>
      </c>
      <c r="AK3929" s="54">
        <f>IF(AND(AJ3929=1,AH3929&lt;&gt;"",COUNTIFS($AH$2:AH3929,AH3929,$AJ$2:AJ3929,1)=1),N(AL3928)+1,"")</f>
        <v/>
      </c>
      <c r="AL3929" s="54">
        <f>IF(AK3929&lt;&gt;"",AK3929,N(AL3928))</f>
        <v/>
      </c>
    </row>
    <row r="3930">
      <c r="A3930" t="inlineStr">
        <is>
          <t>PRD-1310</t>
        </is>
      </c>
      <c r="B3930" t="inlineStr">
        <is>
          <t>Production</t>
        </is>
      </c>
      <c r="AB3930" t="n">
        <v>1310</v>
      </c>
      <c r="AD3930" s="52">
        <f>IFERROR(N(IFERROR(INDEX($A3930:$AB3930,MATCH("Xero Invoiced Ex GST",$A$1:$AB$1,0)),"")),0)</f>
        <v/>
      </c>
      <c r="AE3930" s="53">
        <f>IFERROR(INDEX($A3930:$AB3930,MATCH("Xero Invoice Date",$A$1:$AB$1,0)),"")</f>
        <v/>
      </c>
      <c r="AF3930" s="54">
        <f>IF(AND(IFERROR(INDEX($A3930:$AB3930,MATCH("Xero Invoice No",$A$1:$AB$1,0)),"")&amp;""&lt;&gt;"",ISNUMBER(AE3930),AD3930&lt;&gt;0),1,0)</f>
        <v/>
      </c>
      <c r="AG3930" s="55">
        <f>IF(AF3930=1,EOMONTH(AE3930,0),"")</f>
        <v/>
      </c>
      <c r="AH3930" s="9">
        <f>IF(AF3930=1,UPPER(TRIM(IFERROR(INDEX($A3930:$AB3930,MATCH("Client",$A$1:$AB$1,0)),"")&amp;"")),"")</f>
        <v/>
      </c>
      <c r="AI3930" s="9">
        <f>IF(AF3930=1,IFERROR(INDEX($A3930:$AB3930,MATCH("Cost Centre",$A$1:$AB$1,0)),"")&amp;"","")</f>
        <v/>
      </c>
      <c r="AJ3930" s="54">
        <f>IF(AND(AF3930=1,AE3930&gt;=set_FYStart,AE3930&lt;=set_AsAt),1,0)</f>
        <v/>
      </c>
      <c r="AK3930" s="54">
        <f>IF(AND(AJ3930=1,AH3930&lt;&gt;"",COUNTIFS($AH$2:AH3930,AH3930,$AJ$2:AJ3930,1)=1),N(AL3929)+1,"")</f>
        <v/>
      </c>
      <c r="AL3930" s="54">
        <f>IF(AK3930&lt;&gt;"",AK3930,N(AL3929))</f>
        <v/>
      </c>
    </row>
    <row r="3931">
      <c r="A3931" t="inlineStr">
        <is>
          <t>CON-1310</t>
        </is>
      </c>
      <c r="B3931" t="inlineStr">
        <is>
          <t>Consulting</t>
        </is>
      </c>
      <c r="AB3931" t="n">
        <v>1310</v>
      </c>
      <c r="AD3931" s="52">
        <f>IFERROR(N(IFERROR(INDEX($A3931:$AB3931,MATCH("Xero Invoiced Ex GST",$A$1:$AB$1,0)),"")),0)</f>
        <v/>
      </c>
      <c r="AE3931" s="53">
        <f>IFERROR(INDEX($A3931:$AB3931,MATCH("Xero Invoice Date",$A$1:$AB$1,0)),"")</f>
        <v/>
      </c>
      <c r="AF3931" s="54">
        <f>IF(AND(IFERROR(INDEX($A3931:$AB3931,MATCH("Xero Invoice No",$A$1:$AB$1,0)),"")&amp;""&lt;&gt;"",ISNUMBER(AE3931),AD3931&lt;&gt;0),1,0)</f>
        <v/>
      </c>
      <c r="AG3931" s="55">
        <f>IF(AF3931=1,EOMONTH(AE3931,0),"")</f>
        <v/>
      </c>
      <c r="AH3931" s="9">
        <f>IF(AF3931=1,UPPER(TRIM(IFERROR(INDEX($A3931:$AB3931,MATCH("Client",$A$1:$AB$1,0)),"")&amp;"")),"")</f>
        <v/>
      </c>
      <c r="AI3931" s="9">
        <f>IF(AF3931=1,IFERROR(INDEX($A3931:$AB3931,MATCH("Cost Centre",$A$1:$AB$1,0)),"")&amp;"","")</f>
        <v/>
      </c>
      <c r="AJ3931" s="54">
        <f>IF(AND(AF3931=1,AE3931&gt;=set_FYStart,AE3931&lt;=set_AsAt),1,0)</f>
        <v/>
      </c>
      <c r="AK3931" s="54">
        <f>IF(AND(AJ3931=1,AH3931&lt;&gt;"",COUNTIFS($AH$2:AH3931,AH3931,$AJ$2:AJ3931,1)=1),N(AL3930)+1,"")</f>
        <v/>
      </c>
      <c r="AL3931" s="54">
        <f>IF(AK3931&lt;&gt;"",AK3931,N(AL3930))</f>
        <v/>
      </c>
    </row>
    <row r="3932">
      <c r="A3932" t="inlineStr">
        <is>
          <t>ONS-1311</t>
        </is>
      </c>
      <c r="B3932" t="inlineStr">
        <is>
          <t>Onsite</t>
        </is>
      </c>
      <c r="AB3932" t="n">
        <v>1311</v>
      </c>
      <c r="AD3932" s="52">
        <f>IFERROR(N(IFERROR(INDEX($A3932:$AB3932,MATCH("Xero Invoiced Ex GST",$A$1:$AB$1,0)),"")),0)</f>
        <v/>
      </c>
      <c r="AE3932" s="53">
        <f>IFERROR(INDEX($A3932:$AB3932,MATCH("Xero Invoice Date",$A$1:$AB$1,0)),"")</f>
        <v/>
      </c>
      <c r="AF3932" s="54">
        <f>IF(AND(IFERROR(INDEX($A3932:$AB3932,MATCH("Xero Invoice No",$A$1:$AB$1,0)),"")&amp;""&lt;&gt;"",ISNUMBER(AE3932),AD3932&lt;&gt;0),1,0)</f>
        <v/>
      </c>
      <c r="AG3932" s="55">
        <f>IF(AF3932=1,EOMONTH(AE3932,0),"")</f>
        <v/>
      </c>
      <c r="AH3932" s="9">
        <f>IF(AF3932=1,UPPER(TRIM(IFERROR(INDEX($A3932:$AB3932,MATCH("Client",$A$1:$AB$1,0)),"")&amp;"")),"")</f>
        <v/>
      </c>
      <c r="AI3932" s="9">
        <f>IF(AF3932=1,IFERROR(INDEX($A3932:$AB3932,MATCH("Cost Centre",$A$1:$AB$1,0)),"")&amp;"","")</f>
        <v/>
      </c>
      <c r="AJ3932" s="54">
        <f>IF(AND(AF3932=1,AE3932&gt;=set_FYStart,AE3932&lt;=set_AsAt),1,0)</f>
        <v/>
      </c>
      <c r="AK3932" s="54">
        <f>IF(AND(AJ3932=1,AH3932&lt;&gt;"",COUNTIFS($AH$2:AH3932,AH3932,$AJ$2:AJ3932,1)=1),N(AL3931)+1,"")</f>
        <v/>
      </c>
      <c r="AL3932" s="54">
        <f>IF(AK3932&lt;&gt;"",AK3932,N(AL3931))</f>
        <v/>
      </c>
    </row>
    <row r="3933">
      <c r="A3933" t="inlineStr">
        <is>
          <t>PRD-1311</t>
        </is>
      </c>
      <c r="B3933" t="inlineStr">
        <is>
          <t>Production</t>
        </is>
      </c>
      <c r="AB3933" t="n">
        <v>1311</v>
      </c>
      <c r="AD3933" s="52">
        <f>IFERROR(N(IFERROR(INDEX($A3933:$AB3933,MATCH("Xero Invoiced Ex GST",$A$1:$AB$1,0)),"")),0)</f>
        <v/>
      </c>
      <c r="AE3933" s="53">
        <f>IFERROR(INDEX($A3933:$AB3933,MATCH("Xero Invoice Date",$A$1:$AB$1,0)),"")</f>
        <v/>
      </c>
      <c r="AF3933" s="54">
        <f>IF(AND(IFERROR(INDEX($A3933:$AB3933,MATCH("Xero Invoice No",$A$1:$AB$1,0)),"")&amp;""&lt;&gt;"",ISNUMBER(AE3933),AD3933&lt;&gt;0),1,0)</f>
        <v/>
      </c>
      <c r="AG3933" s="55">
        <f>IF(AF3933=1,EOMONTH(AE3933,0),"")</f>
        <v/>
      </c>
      <c r="AH3933" s="9">
        <f>IF(AF3933=1,UPPER(TRIM(IFERROR(INDEX($A3933:$AB3933,MATCH("Client",$A$1:$AB$1,0)),"")&amp;"")),"")</f>
        <v/>
      </c>
      <c r="AI3933" s="9">
        <f>IF(AF3933=1,IFERROR(INDEX($A3933:$AB3933,MATCH("Cost Centre",$A$1:$AB$1,0)),"")&amp;"","")</f>
        <v/>
      </c>
      <c r="AJ3933" s="54">
        <f>IF(AND(AF3933=1,AE3933&gt;=set_FYStart,AE3933&lt;=set_AsAt),1,0)</f>
        <v/>
      </c>
      <c r="AK3933" s="54">
        <f>IF(AND(AJ3933=1,AH3933&lt;&gt;"",COUNTIFS($AH$2:AH3933,AH3933,$AJ$2:AJ3933,1)=1),N(AL3932)+1,"")</f>
        <v/>
      </c>
      <c r="AL3933" s="54">
        <f>IF(AK3933&lt;&gt;"",AK3933,N(AL3932))</f>
        <v/>
      </c>
    </row>
    <row r="3934">
      <c r="A3934" t="inlineStr">
        <is>
          <t>CON-1311</t>
        </is>
      </c>
      <c r="B3934" t="inlineStr">
        <is>
          <t>Consulting</t>
        </is>
      </c>
      <c r="AB3934" t="n">
        <v>1311</v>
      </c>
      <c r="AD3934" s="52">
        <f>IFERROR(N(IFERROR(INDEX($A3934:$AB3934,MATCH("Xero Invoiced Ex GST",$A$1:$AB$1,0)),"")),0)</f>
        <v/>
      </c>
      <c r="AE3934" s="53">
        <f>IFERROR(INDEX($A3934:$AB3934,MATCH("Xero Invoice Date",$A$1:$AB$1,0)),"")</f>
        <v/>
      </c>
      <c r="AF3934" s="54">
        <f>IF(AND(IFERROR(INDEX($A3934:$AB3934,MATCH("Xero Invoice No",$A$1:$AB$1,0)),"")&amp;""&lt;&gt;"",ISNUMBER(AE3934),AD3934&lt;&gt;0),1,0)</f>
        <v/>
      </c>
      <c r="AG3934" s="55">
        <f>IF(AF3934=1,EOMONTH(AE3934,0),"")</f>
        <v/>
      </c>
      <c r="AH3934" s="9">
        <f>IF(AF3934=1,UPPER(TRIM(IFERROR(INDEX($A3934:$AB3934,MATCH("Client",$A$1:$AB$1,0)),"")&amp;"")),"")</f>
        <v/>
      </c>
      <c r="AI3934" s="9">
        <f>IF(AF3934=1,IFERROR(INDEX($A3934:$AB3934,MATCH("Cost Centre",$A$1:$AB$1,0)),"")&amp;"","")</f>
        <v/>
      </c>
      <c r="AJ3934" s="54">
        <f>IF(AND(AF3934=1,AE3934&gt;=set_FYStart,AE3934&lt;=set_AsAt),1,0)</f>
        <v/>
      </c>
      <c r="AK3934" s="54">
        <f>IF(AND(AJ3934=1,AH3934&lt;&gt;"",COUNTIFS($AH$2:AH3934,AH3934,$AJ$2:AJ3934,1)=1),N(AL3933)+1,"")</f>
        <v/>
      </c>
      <c r="AL3934" s="54">
        <f>IF(AK3934&lt;&gt;"",AK3934,N(AL3933))</f>
        <v/>
      </c>
    </row>
    <row r="3935">
      <c r="A3935" t="inlineStr">
        <is>
          <t>ONS-1312</t>
        </is>
      </c>
      <c r="B3935" t="inlineStr">
        <is>
          <t>Onsite</t>
        </is>
      </c>
      <c r="AB3935" t="n">
        <v>1312</v>
      </c>
      <c r="AD3935" s="52">
        <f>IFERROR(N(IFERROR(INDEX($A3935:$AB3935,MATCH("Xero Invoiced Ex GST",$A$1:$AB$1,0)),"")),0)</f>
        <v/>
      </c>
      <c r="AE3935" s="53">
        <f>IFERROR(INDEX($A3935:$AB3935,MATCH("Xero Invoice Date",$A$1:$AB$1,0)),"")</f>
        <v/>
      </c>
      <c r="AF3935" s="54">
        <f>IF(AND(IFERROR(INDEX($A3935:$AB3935,MATCH("Xero Invoice No",$A$1:$AB$1,0)),"")&amp;""&lt;&gt;"",ISNUMBER(AE3935),AD3935&lt;&gt;0),1,0)</f>
        <v/>
      </c>
      <c r="AG3935" s="55">
        <f>IF(AF3935=1,EOMONTH(AE3935,0),"")</f>
        <v/>
      </c>
      <c r="AH3935" s="9">
        <f>IF(AF3935=1,UPPER(TRIM(IFERROR(INDEX($A3935:$AB3935,MATCH("Client",$A$1:$AB$1,0)),"")&amp;"")),"")</f>
        <v/>
      </c>
      <c r="AI3935" s="9">
        <f>IF(AF3935=1,IFERROR(INDEX($A3935:$AB3935,MATCH("Cost Centre",$A$1:$AB$1,0)),"")&amp;"","")</f>
        <v/>
      </c>
      <c r="AJ3935" s="54">
        <f>IF(AND(AF3935=1,AE3935&gt;=set_FYStart,AE3935&lt;=set_AsAt),1,0)</f>
        <v/>
      </c>
      <c r="AK3935" s="54">
        <f>IF(AND(AJ3935=1,AH3935&lt;&gt;"",COUNTIFS($AH$2:AH3935,AH3935,$AJ$2:AJ3935,1)=1),N(AL3934)+1,"")</f>
        <v/>
      </c>
      <c r="AL3935" s="54">
        <f>IF(AK3935&lt;&gt;"",AK3935,N(AL3934))</f>
        <v/>
      </c>
    </row>
    <row r="3936">
      <c r="A3936" t="inlineStr">
        <is>
          <t>PRD-1312</t>
        </is>
      </c>
      <c r="B3936" t="inlineStr">
        <is>
          <t>Production</t>
        </is>
      </c>
      <c r="AB3936" t="n">
        <v>1312</v>
      </c>
      <c r="AD3936" s="52">
        <f>IFERROR(N(IFERROR(INDEX($A3936:$AB3936,MATCH("Xero Invoiced Ex GST",$A$1:$AB$1,0)),"")),0)</f>
        <v/>
      </c>
      <c r="AE3936" s="53">
        <f>IFERROR(INDEX($A3936:$AB3936,MATCH("Xero Invoice Date",$A$1:$AB$1,0)),"")</f>
        <v/>
      </c>
      <c r="AF3936" s="54">
        <f>IF(AND(IFERROR(INDEX($A3936:$AB3936,MATCH("Xero Invoice No",$A$1:$AB$1,0)),"")&amp;""&lt;&gt;"",ISNUMBER(AE3936),AD3936&lt;&gt;0),1,0)</f>
        <v/>
      </c>
      <c r="AG3936" s="55">
        <f>IF(AF3936=1,EOMONTH(AE3936,0),"")</f>
        <v/>
      </c>
      <c r="AH3936" s="9">
        <f>IF(AF3936=1,UPPER(TRIM(IFERROR(INDEX($A3936:$AB3936,MATCH("Client",$A$1:$AB$1,0)),"")&amp;"")),"")</f>
        <v/>
      </c>
      <c r="AI3936" s="9">
        <f>IF(AF3936=1,IFERROR(INDEX($A3936:$AB3936,MATCH("Cost Centre",$A$1:$AB$1,0)),"")&amp;"","")</f>
        <v/>
      </c>
      <c r="AJ3936" s="54">
        <f>IF(AND(AF3936=1,AE3936&gt;=set_FYStart,AE3936&lt;=set_AsAt),1,0)</f>
        <v/>
      </c>
      <c r="AK3936" s="54">
        <f>IF(AND(AJ3936=1,AH3936&lt;&gt;"",COUNTIFS($AH$2:AH3936,AH3936,$AJ$2:AJ3936,1)=1),N(AL3935)+1,"")</f>
        <v/>
      </c>
      <c r="AL3936" s="54">
        <f>IF(AK3936&lt;&gt;"",AK3936,N(AL3935))</f>
        <v/>
      </c>
    </row>
    <row r="3937">
      <c r="A3937" t="inlineStr">
        <is>
          <t>CON-1312</t>
        </is>
      </c>
      <c r="B3937" t="inlineStr">
        <is>
          <t>Consulting</t>
        </is>
      </c>
      <c r="AB3937" t="n">
        <v>1312</v>
      </c>
      <c r="AD3937" s="52">
        <f>IFERROR(N(IFERROR(INDEX($A3937:$AB3937,MATCH("Xero Invoiced Ex GST",$A$1:$AB$1,0)),"")),0)</f>
        <v/>
      </c>
      <c r="AE3937" s="53">
        <f>IFERROR(INDEX($A3937:$AB3937,MATCH("Xero Invoice Date",$A$1:$AB$1,0)),"")</f>
        <v/>
      </c>
      <c r="AF3937" s="54">
        <f>IF(AND(IFERROR(INDEX($A3937:$AB3937,MATCH("Xero Invoice No",$A$1:$AB$1,0)),"")&amp;""&lt;&gt;"",ISNUMBER(AE3937),AD3937&lt;&gt;0),1,0)</f>
        <v/>
      </c>
      <c r="AG3937" s="55">
        <f>IF(AF3937=1,EOMONTH(AE3937,0),"")</f>
        <v/>
      </c>
      <c r="AH3937" s="9">
        <f>IF(AF3937=1,UPPER(TRIM(IFERROR(INDEX($A3937:$AB3937,MATCH("Client",$A$1:$AB$1,0)),"")&amp;"")),"")</f>
        <v/>
      </c>
      <c r="AI3937" s="9">
        <f>IF(AF3937=1,IFERROR(INDEX($A3937:$AB3937,MATCH("Cost Centre",$A$1:$AB$1,0)),"")&amp;"","")</f>
        <v/>
      </c>
      <c r="AJ3937" s="54">
        <f>IF(AND(AF3937=1,AE3937&gt;=set_FYStart,AE3937&lt;=set_AsAt),1,0)</f>
        <v/>
      </c>
      <c r="AK3937" s="54">
        <f>IF(AND(AJ3937=1,AH3937&lt;&gt;"",COUNTIFS($AH$2:AH3937,AH3937,$AJ$2:AJ3937,1)=1),N(AL3936)+1,"")</f>
        <v/>
      </c>
      <c r="AL3937" s="54">
        <f>IF(AK3937&lt;&gt;"",AK3937,N(AL3936))</f>
        <v/>
      </c>
    </row>
    <row r="3938">
      <c r="A3938" t="inlineStr">
        <is>
          <t>ONS-1313</t>
        </is>
      </c>
      <c r="B3938" t="inlineStr">
        <is>
          <t>Onsite</t>
        </is>
      </c>
      <c r="AB3938" t="n">
        <v>1313</v>
      </c>
      <c r="AD3938" s="52">
        <f>IFERROR(N(IFERROR(INDEX($A3938:$AB3938,MATCH("Xero Invoiced Ex GST",$A$1:$AB$1,0)),"")),0)</f>
        <v/>
      </c>
      <c r="AE3938" s="53">
        <f>IFERROR(INDEX($A3938:$AB3938,MATCH("Xero Invoice Date",$A$1:$AB$1,0)),"")</f>
        <v/>
      </c>
      <c r="AF3938" s="54">
        <f>IF(AND(IFERROR(INDEX($A3938:$AB3938,MATCH("Xero Invoice No",$A$1:$AB$1,0)),"")&amp;""&lt;&gt;"",ISNUMBER(AE3938),AD3938&lt;&gt;0),1,0)</f>
        <v/>
      </c>
      <c r="AG3938" s="55">
        <f>IF(AF3938=1,EOMONTH(AE3938,0),"")</f>
        <v/>
      </c>
      <c r="AH3938" s="9">
        <f>IF(AF3938=1,UPPER(TRIM(IFERROR(INDEX($A3938:$AB3938,MATCH("Client",$A$1:$AB$1,0)),"")&amp;"")),"")</f>
        <v/>
      </c>
      <c r="AI3938" s="9">
        <f>IF(AF3938=1,IFERROR(INDEX($A3938:$AB3938,MATCH("Cost Centre",$A$1:$AB$1,0)),"")&amp;"","")</f>
        <v/>
      </c>
      <c r="AJ3938" s="54">
        <f>IF(AND(AF3938=1,AE3938&gt;=set_FYStart,AE3938&lt;=set_AsAt),1,0)</f>
        <v/>
      </c>
      <c r="AK3938" s="54">
        <f>IF(AND(AJ3938=1,AH3938&lt;&gt;"",COUNTIFS($AH$2:AH3938,AH3938,$AJ$2:AJ3938,1)=1),N(AL3937)+1,"")</f>
        <v/>
      </c>
      <c r="AL3938" s="54">
        <f>IF(AK3938&lt;&gt;"",AK3938,N(AL3937))</f>
        <v/>
      </c>
    </row>
    <row r="3939">
      <c r="A3939" t="inlineStr">
        <is>
          <t>PRD-1313</t>
        </is>
      </c>
      <c r="B3939" t="inlineStr">
        <is>
          <t>Production</t>
        </is>
      </c>
      <c r="AB3939" t="n">
        <v>1313</v>
      </c>
      <c r="AD3939" s="52">
        <f>IFERROR(N(IFERROR(INDEX($A3939:$AB3939,MATCH("Xero Invoiced Ex GST",$A$1:$AB$1,0)),"")),0)</f>
        <v/>
      </c>
      <c r="AE3939" s="53">
        <f>IFERROR(INDEX($A3939:$AB3939,MATCH("Xero Invoice Date",$A$1:$AB$1,0)),"")</f>
        <v/>
      </c>
      <c r="AF3939" s="54">
        <f>IF(AND(IFERROR(INDEX($A3939:$AB3939,MATCH("Xero Invoice No",$A$1:$AB$1,0)),"")&amp;""&lt;&gt;"",ISNUMBER(AE3939),AD3939&lt;&gt;0),1,0)</f>
        <v/>
      </c>
      <c r="AG3939" s="55">
        <f>IF(AF3939=1,EOMONTH(AE3939,0),"")</f>
        <v/>
      </c>
      <c r="AH3939" s="9">
        <f>IF(AF3939=1,UPPER(TRIM(IFERROR(INDEX($A3939:$AB3939,MATCH("Client",$A$1:$AB$1,0)),"")&amp;"")),"")</f>
        <v/>
      </c>
      <c r="AI3939" s="9">
        <f>IF(AF3939=1,IFERROR(INDEX($A3939:$AB3939,MATCH("Cost Centre",$A$1:$AB$1,0)),"")&amp;"","")</f>
        <v/>
      </c>
      <c r="AJ3939" s="54">
        <f>IF(AND(AF3939=1,AE3939&gt;=set_FYStart,AE3939&lt;=set_AsAt),1,0)</f>
        <v/>
      </c>
      <c r="AK3939" s="54">
        <f>IF(AND(AJ3939=1,AH3939&lt;&gt;"",COUNTIFS($AH$2:AH3939,AH3939,$AJ$2:AJ3939,1)=1),N(AL3938)+1,"")</f>
        <v/>
      </c>
      <c r="AL3939" s="54">
        <f>IF(AK3939&lt;&gt;"",AK3939,N(AL3938))</f>
        <v/>
      </c>
    </row>
    <row r="3940">
      <c r="A3940" t="inlineStr">
        <is>
          <t>CON-1313</t>
        </is>
      </c>
      <c r="B3940" t="inlineStr">
        <is>
          <t>Consulting</t>
        </is>
      </c>
      <c r="AB3940" t="n">
        <v>1313</v>
      </c>
      <c r="AD3940" s="52">
        <f>IFERROR(N(IFERROR(INDEX($A3940:$AB3940,MATCH("Xero Invoiced Ex GST",$A$1:$AB$1,0)),"")),0)</f>
        <v/>
      </c>
      <c r="AE3940" s="53">
        <f>IFERROR(INDEX($A3940:$AB3940,MATCH("Xero Invoice Date",$A$1:$AB$1,0)),"")</f>
        <v/>
      </c>
      <c r="AF3940" s="54">
        <f>IF(AND(IFERROR(INDEX($A3940:$AB3940,MATCH("Xero Invoice No",$A$1:$AB$1,0)),"")&amp;""&lt;&gt;"",ISNUMBER(AE3940),AD3940&lt;&gt;0),1,0)</f>
        <v/>
      </c>
      <c r="AG3940" s="55">
        <f>IF(AF3940=1,EOMONTH(AE3940,0),"")</f>
        <v/>
      </c>
      <c r="AH3940" s="9">
        <f>IF(AF3940=1,UPPER(TRIM(IFERROR(INDEX($A3940:$AB3940,MATCH("Client",$A$1:$AB$1,0)),"")&amp;"")),"")</f>
        <v/>
      </c>
      <c r="AI3940" s="9">
        <f>IF(AF3940=1,IFERROR(INDEX($A3940:$AB3940,MATCH("Cost Centre",$A$1:$AB$1,0)),"")&amp;"","")</f>
        <v/>
      </c>
      <c r="AJ3940" s="54">
        <f>IF(AND(AF3940=1,AE3940&gt;=set_FYStart,AE3940&lt;=set_AsAt),1,0)</f>
        <v/>
      </c>
      <c r="AK3940" s="54">
        <f>IF(AND(AJ3940=1,AH3940&lt;&gt;"",COUNTIFS($AH$2:AH3940,AH3940,$AJ$2:AJ3940,1)=1),N(AL3939)+1,"")</f>
        <v/>
      </c>
      <c r="AL3940" s="54">
        <f>IF(AK3940&lt;&gt;"",AK3940,N(AL3939))</f>
        <v/>
      </c>
    </row>
    <row r="3941">
      <c r="A3941" t="inlineStr">
        <is>
          <t>ONS-1314</t>
        </is>
      </c>
      <c r="B3941" t="inlineStr">
        <is>
          <t>Onsite</t>
        </is>
      </c>
      <c r="AB3941" t="n">
        <v>1314</v>
      </c>
      <c r="AD3941" s="52">
        <f>IFERROR(N(IFERROR(INDEX($A3941:$AB3941,MATCH("Xero Invoiced Ex GST",$A$1:$AB$1,0)),"")),0)</f>
        <v/>
      </c>
      <c r="AE3941" s="53">
        <f>IFERROR(INDEX($A3941:$AB3941,MATCH("Xero Invoice Date",$A$1:$AB$1,0)),"")</f>
        <v/>
      </c>
      <c r="AF3941" s="54">
        <f>IF(AND(IFERROR(INDEX($A3941:$AB3941,MATCH("Xero Invoice No",$A$1:$AB$1,0)),"")&amp;""&lt;&gt;"",ISNUMBER(AE3941),AD3941&lt;&gt;0),1,0)</f>
        <v/>
      </c>
      <c r="AG3941" s="55">
        <f>IF(AF3941=1,EOMONTH(AE3941,0),"")</f>
        <v/>
      </c>
      <c r="AH3941" s="9">
        <f>IF(AF3941=1,UPPER(TRIM(IFERROR(INDEX($A3941:$AB3941,MATCH("Client",$A$1:$AB$1,0)),"")&amp;"")),"")</f>
        <v/>
      </c>
      <c r="AI3941" s="9">
        <f>IF(AF3941=1,IFERROR(INDEX($A3941:$AB3941,MATCH("Cost Centre",$A$1:$AB$1,0)),"")&amp;"","")</f>
        <v/>
      </c>
      <c r="AJ3941" s="54">
        <f>IF(AND(AF3941=1,AE3941&gt;=set_FYStart,AE3941&lt;=set_AsAt),1,0)</f>
        <v/>
      </c>
      <c r="AK3941" s="54">
        <f>IF(AND(AJ3941=1,AH3941&lt;&gt;"",COUNTIFS($AH$2:AH3941,AH3941,$AJ$2:AJ3941,1)=1),N(AL3940)+1,"")</f>
        <v/>
      </c>
      <c r="AL3941" s="54">
        <f>IF(AK3941&lt;&gt;"",AK3941,N(AL3940))</f>
        <v/>
      </c>
    </row>
    <row r="3942">
      <c r="A3942" t="inlineStr">
        <is>
          <t>PRD-1314</t>
        </is>
      </c>
      <c r="B3942" t="inlineStr">
        <is>
          <t>Production</t>
        </is>
      </c>
      <c r="AB3942" t="n">
        <v>1314</v>
      </c>
      <c r="AD3942" s="52">
        <f>IFERROR(N(IFERROR(INDEX($A3942:$AB3942,MATCH("Xero Invoiced Ex GST",$A$1:$AB$1,0)),"")),0)</f>
        <v/>
      </c>
      <c r="AE3942" s="53">
        <f>IFERROR(INDEX($A3942:$AB3942,MATCH("Xero Invoice Date",$A$1:$AB$1,0)),"")</f>
        <v/>
      </c>
      <c r="AF3942" s="54">
        <f>IF(AND(IFERROR(INDEX($A3942:$AB3942,MATCH("Xero Invoice No",$A$1:$AB$1,0)),"")&amp;""&lt;&gt;"",ISNUMBER(AE3942),AD3942&lt;&gt;0),1,0)</f>
        <v/>
      </c>
      <c r="AG3942" s="55">
        <f>IF(AF3942=1,EOMONTH(AE3942,0),"")</f>
        <v/>
      </c>
      <c r="AH3942" s="9">
        <f>IF(AF3942=1,UPPER(TRIM(IFERROR(INDEX($A3942:$AB3942,MATCH("Client",$A$1:$AB$1,0)),"")&amp;"")),"")</f>
        <v/>
      </c>
      <c r="AI3942" s="9">
        <f>IF(AF3942=1,IFERROR(INDEX($A3942:$AB3942,MATCH("Cost Centre",$A$1:$AB$1,0)),"")&amp;"","")</f>
        <v/>
      </c>
      <c r="AJ3942" s="54">
        <f>IF(AND(AF3942=1,AE3942&gt;=set_FYStart,AE3942&lt;=set_AsAt),1,0)</f>
        <v/>
      </c>
      <c r="AK3942" s="54">
        <f>IF(AND(AJ3942=1,AH3942&lt;&gt;"",COUNTIFS($AH$2:AH3942,AH3942,$AJ$2:AJ3942,1)=1),N(AL3941)+1,"")</f>
        <v/>
      </c>
      <c r="AL3942" s="54">
        <f>IF(AK3942&lt;&gt;"",AK3942,N(AL3941))</f>
        <v/>
      </c>
    </row>
    <row r="3943">
      <c r="A3943" t="inlineStr">
        <is>
          <t>CON-1314</t>
        </is>
      </c>
      <c r="B3943" t="inlineStr">
        <is>
          <t>Consulting</t>
        </is>
      </c>
      <c r="AB3943" t="n">
        <v>1314</v>
      </c>
      <c r="AD3943" s="52">
        <f>IFERROR(N(IFERROR(INDEX($A3943:$AB3943,MATCH("Xero Invoiced Ex GST",$A$1:$AB$1,0)),"")),0)</f>
        <v/>
      </c>
      <c r="AE3943" s="53">
        <f>IFERROR(INDEX($A3943:$AB3943,MATCH("Xero Invoice Date",$A$1:$AB$1,0)),"")</f>
        <v/>
      </c>
      <c r="AF3943" s="54">
        <f>IF(AND(IFERROR(INDEX($A3943:$AB3943,MATCH("Xero Invoice No",$A$1:$AB$1,0)),"")&amp;""&lt;&gt;"",ISNUMBER(AE3943),AD3943&lt;&gt;0),1,0)</f>
        <v/>
      </c>
      <c r="AG3943" s="55">
        <f>IF(AF3943=1,EOMONTH(AE3943,0),"")</f>
        <v/>
      </c>
      <c r="AH3943" s="9">
        <f>IF(AF3943=1,UPPER(TRIM(IFERROR(INDEX($A3943:$AB3943,MATCH("Client",$A$1:$AB$1,0)),"")&amp;"")),"")</f>
        <v/>
      </c>
      <c r="AI3943" s="9">
        <f>IF(AF3943=1,IFERROR(INDEX($A3943:$AB3943,MATCH("Cost Centre",$A$1:$AB$1,0)),"")&amp;"","")</f>
        <v/>
      </c>
      <c r="AJ3943" s="54">
        <f>IF(AND(AF3943=1,AE3943&gt;=set_FYStart,AE3943&lt;=set_AsAt),1,0)</f>
        <v/>
      </c>
      <c r="AK3943" s="54">
        <f>IF(AND(AJ3943=1,AH3943&lt;&gt;"",COUNTIFS($AH$2:AH3943,AH3943,$AJ$2:AJ3943,1)=1),N(AL3942)+1,"")</f>
        <v/>
      </c>
      <c r="AL3943" s="54">
        <f>IF(AK3943&lt;&gt;"",AK3943,N(AL3942))</f>
        <v/>
      </c>
    </row>
    <row r="3944">
      <c r="A3944" t="inlineStr">
        <is>
          <t>ONS-1315</t>
        </is>
      </c>
      <c r="B3944" t="inlineStr">
        <is>
          <t>Onsite</t>
        </is>
      </c>
      <c r="AB3944" t="n">
        <v>1315</v>
      </c>
      <c r="AD3944" s="52">
        <f>IFERROR(N(IFERROR(INDEX($A3944:$AB3944,MATCH("Xero Invoiced Ex GST",$A$1:$AB$1,0)),"")),0)</f>
        <v/>
      </c>
      <c r="AE3944" s="53">
        <f>IFERROR(INDEX($A3944:$AB3944,MATCH("Xero Invoice Date",$A$1:$AB$1,0)),"")</f>
        <v/>
      </c>
      <c r="AF3944" s="54">
        <f>IF(AND(IFERROR(INDEX($A3944:$AB3944,MATCH("Xero Invoice No",$A$1:$AB$1,0)),"")&amp;""&lt;&gt;"",ISNUMBER(AE3944),AD3944&lt;&gt;0),1,0)</f>
        <v/>
      </c>
      <c r="AG3944" s="55">
        <f>IF(AF3944=1,EOMONTH(AE3944,0),"")</f>
        <v/>
      </c>
      <c r="AH3944" s="9">
        <f>IF(AF3944=1,UPPER(TRIM(IFERROR(INDEX($A3944:$AB3944,MATCH("Client",$A$1:$AB$1,0)),"")&amp;"")),"")</f>
        <v/>
      </c>
      <c r="AI3944" s="9">
        <f>IF(AF3944=1,IFERROR(INDEX($A3944:$AB3944,MATCH("Cost Centre",$A$1:$AB$1,0)),"")&amp;"","")</f>
        <v/>
      </c>
      <c r="AJ3944" s="54">
        <f>IF(AND(AF3944=1,AE3944&gt;=set_FYStart,AE3944&lt;=set_AsAt),1,0)</f>
        <v/>
      </c>
      <c r="AK3944" s="54">
        <f>IF(AND(AJ3944=1,AH3944&lt;&gt;"",COUNTIFS($AH$2:AH3944,AH3944,$AJ$2:AJ3944,1)=1),N(AL3943)+1,"")</f>
        <v/>
      </c>
      <c r="AL3944" s="54">
        <f>IF(AK3944&lt;&gt;"",AK3944,N(AL3943))</f>
        <v/>
      </c>
    </row>
    <row r="3945">
      <c r="A3945" t="inlineStr">
        <is>
          <t>PRD-1315</t>
        </is>
      </c>
      <c r="B3945" t="inlineStr">
        <is>
          <t>Production</t>
        </is>
      </c>
      <c r="AB3945" t="n">
        <v>1315</v>
      </c>
      <c r="AD3945" s="52">
        <f>IFERROR(N(IFERROR(INDEX($A3945:$AB3945,MATCH("Xero Invoiced Ex GST",$A$1:$AB$1,0)),"")),0)</f>
        <v/>
      </c>
      <c r="AE3945" s="53">
        <f>IFERROR(INDEX($A3945:$AB3945,MATCH("Xero Invoice Date",$A$1:$AB$1,0)),"")</f>
        <v/>
      </c>
      <c r="AF3945" s="54">
        <f>IF(AND(IFERROR(INDEX($A3945:$AB3945,MATCH("Xero Invoice No",$A$1:$AB$1,0)),"")&amp;""&lt;&gt;"",ISNUMBER(AE3945),AD3945&lt;&gt;0),1,0)</f>
        <v/>
      </c>
      <c r="AG3945" s="55">
        <f>IF(AF3945=1,EOMONTH(AE3945,0),"")</f>
        <v/>
      </c>
      <c r="AH3945" s="9">
        <f>IF(AF3945=1,UPPER(TRIM(IFERROR(INDEX($A3945:$AB3945,MATCH("Client",$A$1:$AB$1,0)),"")&amp;"")),"")</f>
        <v/>
      </c>
      <c r="AI3945" s="9">
        <f>IF(AF3945=1,IFERROR(INDEX($A3945:$AB3945,MATCH("Cost Centre",$A$1:$AB$1,0)),"")&amp;"","")</f>
        <v/>
      </c>
      <c r="AJ3945" s="54">
        <f>IF(AND(AF3945=1,AE3945&gt;=set_FYStart,AE3945&lt;=set_AsAt),1,0)</f>
        <v/>
      </c>
      <c r="AK3945" s="54">
        <f>IF(AND(AJ3945=1,AH3945&lt;&gt;"",COUNTIFS($AH$2:AH3945,AH3945,$AJ$2:AJ3945,1)=1),N(AL3944)+1,"")</f>
        <v/>
      </c>
      <c r="AL3945" s="54">
        <f>IF(AK3945&lt;&gt;"",AK3945,N(AL3944))</f>
        <v/>
      </c>
    </row>
    <row r="3946">
      <c r="A3946" t="inlineStr">
        <is>
          <t>CON-1315</t>
        </is>
      </c>
      <c r="B3946" t="inlineStr">
        <is>
          <t>Consulting</t>
        </is>
      </c>
      <c r="AB3946" t="n">
        <v>1315</v>
      </c>
      <c r="AD3946" s="52">
        <f>IFERROR(N(IFERROR(INDEX($A3946:$AB3946,MATCH("Xero Invoiced Ex GST",$A$1:$AB$1,0)),"")),0)</f>
        <v/>
      </c>
      <c r="AE3946" s="53">
        <f>IFERROR(INDEX($A3946:$AB3946,MATCH("Xero Invoice Date",$A$1:$AB$1,0)),"")</f>
        <v/>
      </c>
      <c r="AF3946" s="54">
        <f>IF(AND(IFERROR(INDEX($A3946:$AB3946,MATCH("Xero Invoice No",$A$1:$AB$1,0)),"")&amp;""&lt;&gt;"",ISNUMBER(AE3946),AD3946&lt;&gt;0),1,0)</f>
        <v/>
      </c>
      <c r="AG3946" s="55">
        <f>IF(AF3946=1,EOMONTH(AE3946,0),"")</f>
        <v/>
      </c>
      <c r="AH3946" s="9">
        <f>IF(AF3946=1,UPPER(TRIM(IFERROR(INDEX($A3946:$AB3946,MATCH("Client",$A$1:$AB$1,0)),"")&amp;"")),"")</f>
        <v/>
      </c>
      <c r="AI3946" s="9">
        <f>IF(AF3946=1,IFERROR(INDEX($A3946:$AB3946,MATCH("Cost Centre",$A$1:$AB$1,0)),"")&amp;"","")</f>
        <v/>
      </c>
      <c r="AJ3946" s="54">
        <f>IF(AND(AF3946=1,AE3946&gt;=set_FYStart,AE3946&lt;=set_AsAt),1,0)</f>
        <v/>
      </c>
      <c r="AK3946" s="54">
        <f>IF(AND(AJ3946=1,AH3946&lt;&gt;"",COUNTIFS($AH$2:AH3946,AH3946,$AJ$2:AJ3946,1)=1),N(AL3945)+1,"")</f>
        <v/>
      </c>
      <c r="AL3946" s="54">
        <f>IF(AK3946&lt;&gt;"",AK3946,N(AL3945))</f>
        <v/>
      </c>
    </row>
    <row r="3947">
      <c r="A3947" t="inlineStr">
        <is>
          <t>ONS-1316</t>
        </is>
      </c>
      <c r="B3947" t="inlineStr">
        <is>
          <t>Onsite</t>
        </is>
      </c>
      <c r="AB3947" t="n">
        <v>1316</v>
      </c>
      <c r="AD3947" s="52">
        <f>IFERROR(N(IFERROR(INDEX($A3947:$AB3947,MATCH("Xero Invoiced Ex GST",$A$1:$AB$1,0)),"")),0)</f>
        <v/>
      </c>
      <c r="AE3947" s="53">
        <f>IFERROR(INDEX($A3947:$AB3947,MATCH("Xero Invoice Date",$A$1:$AB$1,0)),"")</f>
        <v/>
      </c>
      <c r="AF3947" s="54">
        <f>IF(AND(IFERROR(INDEX($A3947:$AB3947,MATCH("Xero Invoice No",$A$1:$AB$1,0)),"")&amp;""&lt;&gt;"",ISNUMBER(AE3947),AD3947&lt;&gt;0),1,0)</f>
        <v/>
      </c>
      <c r="AG3947" s="55">
        <f>IF(AF3947=1,EOMONTH(AE3947,0),"")</f>
        <v/>
      </c>
      <c r="AH3947" s="9">
        <f>IF(AF3947=1,UPPER(TRIM(IFERROR(INDEX($A3947:$AB3947,MATCH("Client",$A$1:$AB$1,0)),"")&amp;"")),"")</f>
        <v/>
      </c>
      <c r="AI3947" s="9">
        <f>IF(AF3947=1,IFERROR(INDEX($A3947:$AB3947,MATCH("Cost Centre",$A$1:$AB$1,0)),"")&amp;"","")</f>
        <v/>
      </c>
      <c r="AJ3947" s="54">
        <f>IF(AND(AF3947=1,AE3947&gt;=set_FYStart,AE3947&lt;=set_AsAt),1,0)</f>
        <v/>
      </c>
      <c r="AK3947" s="54">
        <f>IF(AND(AJ3947=1,AH3947&lt;&gt;"",COUNTIFS($AH$2:AH3947,AH3947,$AJ$2:AJ3947,1)=1),N(AL3946)+1,"")</f>
        <v/>
      </c>
      <c r="AL3947" s="54">
        <f>IF(AK3947&lt;&gt;"",AK3947,N(AL3946))</f>
        <v/>
      </c>
    </row>
    <row r="3948">
      <c r="A3948" t="inlineStr">
        <is>
          <t>PRD-1316</t>
        </is>
      </c>
      <c r="B3948" t="inlineStr">
        <is>
          <t>Production</t>
        </is>
      </c>
      <c r="AB3948" t="n">
        <v>1316</v>
      </c>
      <c r="AD3948" s="52">
        <f>IFERROR(N(IFERROR(INDEX($A3948:$AB3948,MATCH("Xero Invoiced Ex GST",$A$1:$AB$1,0)),"")),0)</f>
        <v/>
      </c>
      <c r="AE3948" s="53">
        <f>IFERROR(INDEX($A3948:$AB3948,MATCH("Xero Invoice Date",$A$1:$AB$1,0)),"")</f>
        <v/>
      </c>
      <c r="AF3948" s="54">
        <f>IF(AND(IFERROR(INDEX($A3948:$AB3948,MATCH("Xero Invoice No",$A$1:$AB$1,0)),"")&amp;""&lt;&gt;"",ISNUMBER(AE3948),AD3948&lt;&gt;0),1,0)</f>
        <v/>
      </c>
      <c r="AG3948" s="55">
        <f>IF(AF3948=1,EOMONTH(AE3948,0),"")</f>
        <v/>
      </c>
      <c r="AH3948" s="9">
        <f>IF(AF3948=1,UPPER(TRIM(IFERROR(INDEX($A3948:$AB3948,MATCH("Client",$A$1:$AB$1,0)),"")&amp;"")),"")</f>
        <v/>
      </c>
      <c r="AI3948" s="9">
        <f>IF(AF3948=1,IFERROR(INDEX($A3948:$AB3948,MATCH("Cost Centre",$A$1:$AB$1,0)),"")&amp;"","")</f>
        <v/>
      </c>
      <c r="AJ3948" s="54">
        <f>IF(AND(AF3948=1,AE3948&gt;=set_FYStart,AE3948&lt;=set_AsAt),1,0)</f>
        <v/>
      </c>
      <c r="AK3948" s="54">
        <f>IF(AND(AJ3948=1,AH3948&lt;&gt;"",COUNTIFS($AH$2:AH3948,AH3948,$AJ$2:AJ3948,1)=1),N(AL3947)+1,"")</f>
        <v/>
      </c>
      <c r="AL3948" s="54">
        <f>IF(AK3948&lt;&gt;"",AK3948,N(AL3947))</f>
        <v/>
      </c>
    </row>
    <row r="3949">
      <c r="A3949" t="inlineStr">
        <is>
          <t>CON-1316</t>
        </is>
      </c>
      <c r="B3949" t="inlineStr">
        <is>
          <t>Consulting</t>
        </is>
      </c>
      <c r="AB3949" t="n">
        <v>1316</v>
      </c>
      <c r="AD3949" s="52">
        <f>IFERROR(N(IFERROR(INDEX($A3949:$AB3949,MATCH("Xero Invoiced Ex GST",$A$1:$AB$1,0)),"")),0)</f>
        <v/>
      </c>
      <c r="AE3949" s="53">
        <f>IFERROR(INDEX($A3949:$AB3949,MATCH("Xero Invoice Date",$A$1:$AB$1,0)),"")</f>
        <v/>
      </c>
      <c r="AF3949" s="54">
        <f>IF(AND(IFERROR(INDEX($A3949:$AB3949,MATCH("Xero Invoice No",$A$1:$AB$1,0)),"")&amp;""&lt;&gt;"",ISNUMBER(AE3949),AD3949&lt;&gt;0),1,0)</f>
        <v/>
      </c>
      <c r="AG3949" s="55">
        <f>IF(AF3949=1,EOMONTH(AE3949,0),"")</f>
        <v/>
      </c>
      <c r="AH3949" s="9">
        <f>IF(AF3949=1,UPPER(TRIM(IFERROR(INDEX($A3949:$AB3949,MATCH("Client",$A$1:$AB$1,0)),"")&amp;"")),"")</f>
        <v/>
      </c>
      <c r="AI3949" s="9">
        <f>IF(AF3949=1,IFERROR(INDEX($A3949:$AB3949,MATCH("Cost Centre",$A$1:$AB$1,0)),"")&amp;"","")</f>
        <v/>
      </c>
      <c r="AJ3949" s="54">
        <f>IF(AND(AF3949=1,AE3949&gt;=set_FYStart,AE3949&lt;=set_AsAt),1,0)</f>
        <v/>
      </c>
      <c r="AK3949" s="54">
        <f>IF(AND(AJ3949=1,AH3949&lt;&gt;"",COUNTIFS($AH$2:AH3949,AH3949,$AJ$2:AJ3949,1)=1),N(AL3948)+1,"")</f>
        <v/>
      </c>
      <c r="AL3949" s="54">
        <f>IF(AK3949&lt;&gt;"",AK3949,N(AL3948))</f>
        <v/>
      </c>
    </row>
    <row r="3950">
      <c r="A3950" t="inlineStr">
        <is>
          <t>ONS-1317</t>
        </is>
      </c>
      <c r="B3950" t="inlineStr">
        <is>
          <t>Onsite</t>
        </is>
      </c>
      <c r="AB3950" t="n">
        <v>1317</v>
      </c>
      <c r="AD3950" s="52">
        <f>IFERROR(N(IFERROR(INDEX($A3950:$AB3950,MATCH("Xero Invoiced Ex GST",$A$1:$AB$1,0)),"")),0)</f>
        <v/>
      </c>
      <c r="AE3950" s="53">
        <f>IFERROR(INDEX($A3950:$AB3950,MATCH("Xero Invoice Date",$A$1:$AB$1,0)),"")</f>
        <v/>
      </c>
      <c r="AF3950" s="54">
        <f>IF(AND(IFERROR(INDEX($A3950:$AB3950,MATCH("Xero Invoice No",$A$1:$AB$1,0)),"")&amp;""&lt;&gt;"",ISNUMBER(AE3950),AD3950&lt;&gt;0),1,0)</f>
        <v/>
      </c>
      <c r="AG3950" s="55">
        <f>IF(AF3950=1,EOMONTH(AE3950,0),"")</f>
        <v/>
      </c>
      <c r="AH3950" s="9">
        <f>IF(AF3950=1,UPPER(TRIM(IFERROR(INDEX($A3950:$AB3950,MATCH("Client",$A$1:$AB$1,0)),"")&amp;"")),"")</f>
        <v/>
      </c>
      <c r="AI3950" s="9">
        <f>IF(AF3950=1,IFERROR(INDEX($A3950:$AB3950,MATCH("Cost Centre",$A$1:$AB$1,0)),"")&amp;"","")</f>
        <v/>
      </c>
      <c r="AJ3950" s="54">
        <f>IF(AND(AF3950=1,AE3950&gt;=set_FYStart,AE3950&lt;=set_AsAt),1,0)</f>
        <v/>
      </c>
      <c r="AK3950" s="54">
        <f>IF(AND(AJ3950=1,AH3950&lt;&gt;"",COUNTIFS($AH$2:AH3950,AH3950,$AJ$2:AJ3950,1)=1),N(AL3949)+1,"")</f>
        <v/>
      </c>
      <c r="AL3950" s="54">
        <f>IF(AK3950&lt;&gt;"",AK3950,N(AL3949))</f>
        <v/>
      </c>
    </row>
    <row r="3951">
      <c r="A3951" t="inlineStr">
        <is>
          <t>PRD-1317</t>
        </is>
      </c>
      <c r="B3951" t="inlineStr">
        <is>
          <t>Production</t>
        </is>
      </c>
      <c r="AB3951" t="n">
        <v>1317</v>
      </c>
      <c r="AD3951" s="52">
        <f>IFERROR(N(IFERROR(INDEX($A3951:$AB3951,MATCH("Xero Invoiced Ex GST",$A$1:$AB$1,0)),"")),0)</f>
        <v/>
      </c>
      <c r="AE3951" s="53">
        <f>IFERROR(INDEX($A3951:$AB3951,MATCH("Xero Invoice Date",$A$1:$AB$1,0)),"")</f>
        <v/>
      </c>
      <c r="AF3951" s="54">
        <f>IF(AND(IFERROR(INDEX($A3951:$AB3951,MATCH("Xero Invoice No",$A$1:$AB$1,0)),"")&amp;""&lt;&gt;"",ISNUMBER(AE3951),AD3951&lt;&gt;0),1,0)</f>
        <v/>
      </c>
      <c r="AG3951" s="55">
        <f>IF(AF3951=1,EOMONTH(AE3951,0),"")</f>
        <v/>
      </c>
      <c r="AH3951" s="9">
        <f>IF(AF3951=1,UPPER(TRIM(IFERROR(INDEX($A3951:$AB3951,MATCH("Client",$A$1:$AB$1,0)),"")&amp;"")),"")</f>
        <v/>
      </c>
      <c r="AI3951" s="9">
        <f>IF(AF3951=1,IFERROR(INDEX($A3951:$AB3951,MATCH("Cost Centre",$A$1:$AB$1,0)),"")&amp;"","")</f>
        <v/>
      </c>
      <c r="AJ3951" s="54">
        <f>IF(AND(AF3951=1,AE3951&gt;=set_FYStart,AE3951&lt;=set_AsAt),1,0)</f>
        <v/>
      </c>
      <c r="AK3951" s="54">
        <f>IF(AND(AJ3951=1,AH3951&lt;&gt;"",COUNTIFS($AH$2:AH3951,AH3951,$AJ$2:AJ3951,1)=1),N(AL3950)+1,"")</f>
        <v/>
      </c>
      <c r="AL3951" s="54">
        <f>IF(AK3951&lt;&gt;"",AK3951,N(AL3950))</f>
        <v/>
      </c>
    </row>
    <row r="3952">
      <c r="A3952" t="inlineStr">
        <is>
          <t>CON-1317</t>
        </is>
      </c>
      <c r="B3952" t="inlineStr">
        <is>
          <t>Consulting</t>
        </is>
      </c>
      <c r="AB3952" t="n">
        <v>1317</v>
      </c>
      <c r="AD3952" s="52">
        <f>IFERROR(N(IFERROR(INDEX($A3952:$AB3952,MATCH("Xero Invoiced Ex GST",$A$1:$AB$1,0)),"")),0)</f>
        <v/>
      </c>
      <c r="AE3952" s="53">
        <f>IFERROR(INDEX($A3952:$AB3952,MATCH("Xero Invoice Date",$A$1:$AB$1,0)),"")</f>
        <v/>
      </c>
      <c r="AF3952" s="54">
        <f>IF(AND(IFERROR(INDEX($A3952:$AB3952,MATCH("Xero Invoice No",$A$1:$AB$1,0)),"")&amp;""&lt;&gt;"",ISNUMBER(AE3952),AD3952&lt;&gt;0),1,0)</f>
        <v/>
      </c>
      <c r="AG3952" s="55">
        <f>IF(AF3952=1,EOMONTH(AE3952,0),"")</f>
        <v/>
      </c>
      <c r="AH3952" s="9">
        <f>IF(AF3952=1,UPPER(TRIM(IFERROR(INDEX($A3952:$AB3952,MATCH("Client",$A$1:$AB$1,0)),"")&amp;"")),"")</f>
        <v/>
      </c>
      <c r="AI3952" s="9">
        <f>IF(AF3952=1,IFERROR(INDEX($A3952:$AB3952,MATCH("Cost Centre",$A$1:$AB$1,0)),"")&amp;"","")</f>
        <v/>
      </c>
      <c r="AJ3952" s="54">
        <f>IF(AND(AF3952=1,AE3952&gt;=set_FYStart,AE3952&lt;=set_AsAt),1,0)</f>
        <v/>
      </c>
      <c r="AK3952" s="54">
        <f>IF(AND(AJ3952=1,AH3952&lt;&gt;"",COUNTIFS($AH$2:AH3952,AH3952,$AJ$2:AJ3952,1)=1),N(AL3951)+1,"")</f>
        <v/>
      </c>
      <c r="AL3952" s="54">
        <f>IF(AK3952&lt;&gt;"",AK3952,N(AL3951))</f>
        <v/>
      </c>
    </row>
    <row r="3953">
      <c r="A3953" t="inlineStr">
        <is>
          <t>ONS-1318</t>
        </is>
      </c>
      <c r="B3953" t="inlineStr">
        <is>
          <t>Onsite</t>
        </is>
      </c>
      <c r="AB3953" t="n">
        <v>1318</v>
      </c>
      <c r="AD3953" s="52">
        <f>IFERROR(N(IFERROR(INDEX($A3953:$AB3953,MATCH("Xero Invoiced Ex GST",$A$1:$AB$1,0)),"")),0)</f>
        <v/>
      </c>
      <c r="AE3953" s="53">
        <f>IFERROR(INDEX($A3953:$AB3953,MATCH("Xero Invoice Date",$A$1:$AB$1,0)),"")</f>
        <v/>
      </c>
      <c r="AF3953" s="54">
        <f>IF(AND(IFERROR(INDEX($A3953:$AB3953,MATCH("Xero Invoice No",$A$1:$AB$1,0)),"")&amp;""&lt;&gt;"",ISNUMBER(AE3953),AD3953&lt;&gt;0),1,0)</f>
        <v/>
      </c>
      <c r="AG3953" s="55">
        <f>IF(AF3953=1,EOMONTH(AE3953,0),"")</f>
        <v/>
      </c>
      <c r="AH3953" s="9">
        <f>IF(AF3953=1,UPPER(TRIM(IFERROR(INDEX($A3953:$AB3953,MATCH("Client",$A$1:$AB$1,0)),"")&amp;"")),"")</f>
        <v/>
      </c>
      <c r="AI3953" s="9">
        <f>IF(AF3953=1,IFERROR(INDEX($A3953:$AB3953,MATCH("Cost Centre",$A$1:$AB$1,0)),"")&amp;"","")</f>
        <v/>
      </c>
      <c r="AJ3953" s="54">
        <f>IF(AND(AF3953=1,AE3953&gt;=set_FYStart,AE3953&lt;=set_AsAt),1,0)</f>
        <v/>
      </c>
      <c r="AK3953" s="54">
        <f>IF(AND(AJ3953=1,AH3953&lt;&gt;"",COUNTIFS($AH$2:AH3953,AH3953,$AJ$2:AJ3953,1)=1),N(AL3952)+1,"")</f>
        <v/>
      </c>
      <c r="AL3953" s="54">
        <f>IF(AK3953&lt;&gt;"",AK3953,N(AL3952))</f>
        <v/>
      </c>
    </row>
    <row r="3954">
      <c r="A3954" t="inlineStr">
        <is>
          <t>PRD-1318</t>
        </is>
      </c>
      <c r="B3954" t="inlineStr">
        <is>
          <t>Production</t>
        </is>
      </c>
      <c r="AB3954" t="n">
        <v>1318</v>
      </c>
      <c r="AD3954" s="52">
        <f>IFERROR(N(IFERROR(INDEX($A3954:$AB3954,MATCH("Xero Invoiced Ex GST",$A$1:$AB$1,0)),"")),0)</f>
        <v/>
      </c>
      <c r="AE3954" s="53">
        <f>IFERROR(INDEX($A3954:$AB3954,MATCH("Xero Invoice Date",$A$1:$AB$1,0)),"")</f>
        <v/>
      </c>
      <c r="AF3954" s="54">
        <f>IF(AND(IFERROR(INDEX($A3954:$AB3954,MATCH("Xero Invoice No",$A$1:$AB$1,0)),"")&amp;""&lt;&gt;"",ISNUMBER(AE3954),AD3954&lt;&gt;0),1,0)</f>
        <v/>
      </c>
      <c r="AG3954" s="55">
        <f>IF(AF3954=1,EOMONTH(AE3954,0),"")</f>
        <v/>
      </c>
      <c r="AH3954" s="9">
        <f>IF(AF3954=1,UPPER(TRIM(IFERROR(INDEX($A3954:$AB3954,MATCH("Client",$A$1:$AB$1,0)),"")&amp;"")),"")</f>
        <v/>
      </c>
      <c r="AI3954" s="9">
        <f>IF(AF3954=1,IFERROR(INDEX($A3954:$AB3954,MATCH("Cost Centre",$A$1:$AB$1,0)),"")&amp;"","")</f>
        <v/>
      </c>
      <c r="AJ3954" s="54">
        <f>IF(AND(AF3954=1,AE3954&gt;=set_FYStart,AE3954&lt;=set_AsAt),1,0)</f>
        <v/>
      </c>
      <c r="AK3954" s="54">
        <f>IF(AND(AJ3954=1,AH3954&lt;&gt;"",COUNTIFS($AH$2:AH3954,AH3954,$AJ$2:AJ3954,1)=1),N(AL3953)+1,"")</f>
        <v/>
      </c>
      <c r="AL3954" s="54">
        <f>IF(AK3954&lt;&gt;"",AK3954,N(AL3953))</f>
        <v/>
      </c>
    </row>
    <row r="3955">
      <c r="A3955" t="inlineStr">
        <is>
          <t>CON-1318</t>
        </is>
      </c>
      <c r="B3955" t="inlineStr">
        <is>
          <t>Consulting</t>
        </is>
      </c>
      <c r="AB3955" t="n">
        <v>1318</v>
      </c>
      <c r="AD3955" s="52">
        <f>IFERROR(N(IFERROR(INDEX($A3955:$AB3955,MATCH("Xero Invoiced Ex GST",$A$1:$AB$1,0)),"")),0)</f>
        <v/>
      </c>
      <c r="AE3955" s="53">
        <f>IFERROR(INDEX($A3955:$AB3955,MATCH("Xero Invoice Date",$A$1:$AB$1,0)),"")</f>
        <v/>
      </c>
      <c r="AF3955" s="54">
        <f>IF(AND(IFERROR(INDEX($A3955:$AB3955,MATCH("Xero Invoice No",$A$1:$AB$1,0)),"")&amp;""&lt;&gt;"",ISNUMBER(AE3955),AD3955&lt;&gt;0),1,0)</f>
        <v/>
      </c>
      <c r="AG3955" s="55">
        <f>IF(AF3955=1,EOMONTH(AE3955,0),"")</f>
        <v/>
      </c>
      <c r="AH3955" s="9">
        <f>IF(AF3955=1,UPPER(TRIM(IFERROR(INDEX($A3955:$AB3955,MATCH("Client",$A$1:$AB$1,0)),"")&amp;"")),"")</f>
        <v/>
      </c>
      <c r="AI3955" s="9">
        <f>IF(AF3955=1,IFERROR(INDEX($A3955:$AB3955,MATCH("Cost Centre",$A$1:$AB$1,0)),"")&amp;"","")</f>
        <v/>
      </c>
      <c r="AJ3955" s="54">
        <f>IF(AND(AF3955=1,AE3955&gt;=set_FYStart,AE3955&lt;=set_AsAt),1,0)</f>
        <v/>
      </c>
      <c r="AK3955" s="54">
        <f>IF(AND(AJ3955=1,AH3955&lt;&gt;"",COUNTIFS($AH$2:AH3955,AH3955,$AJ$2:AJ3955,1)=1),N(AL3954)+1,"")</f>
        <v/>
      </c>
      <c r="AL3955" s="54">
        <f>IF(AK3955&lt;&gt;"",AK3955,N(AL3954))</f>
        <v/>
      </c>
    </row>
    <row r="3956">
      <c r="A3956" t="inlineStr">
        <is>
          <t>ONS-1319</t>
        </is>
      </c>
      <c r="B3956" t="inlineStr">
        <is>
          <t>Onsite</t>
        </is>
      </c>
      <c r="AB3956" t="n">
        <v>1319</v>
      </c>
      <c r="AD3956" s="52">
        <f>IFERROR(N(IFERROR(INDEX($A3956:$AB3956,MATCH("Xero Invoiced Ex GST",$A$1:$AB$1,0)),"")),0)</f>
        <v/>
      </c>
      <c r="AE3956" s="53">
        <f>IFERROR(INDEX($A3956:$AB3956,MATCH("Xero Invoice Date",$A$1:$AB$1,0)),"")</f>
        <v/>
      </c>
      <c r="AF3956" s="54">
        <f>IF(AND(IFERROR(INDEX($A3956:$AB3956,MATCH("Xero Invoice No",$A$1:$AB$1,0)),"")&amp;""&lt;&gt;"",ISNUMBER(AE3956),AD3956&lt;&gt;0),1,0)</f>
        <v/>
      </c>
      <c r="AG3956" s="55">
        <f>IF(AF3956=1,EOMONTH(AE3956,0),"")</f>
        <v/>
      </c>
      <c r="AH3956" s="9">
        <f>IF(AF3956=1,UPPER(TRIM(IFERROR(INDEX($A3956:$AB3956,MATCH("Client",$A$1:$AB$1,0)),"")&amp;"")),"")</f>
        <v/>
      </c>
      <c r="AI3956" s="9">
        <f>IF(AF3956=1,IFERROR(INDEX($A3956:$AB3956,MATCH("Cost Centre",$A$1:$AB$1,0)),"")&amp;"","")</f>
        <v/>
      </c>
      <c r="AJ3956" s="54">
        <f>IF(AND(AF3956=1,AE3956&gt;=set_FYStart,AE3956&lt;=set_AsAt),1,0)</f>
        <v/>
      </c>
      <c r="AK3956" s="54">
        <f>IF(AND(AJ3956=1,AH3956&lt;&gt;"",COUNTIFS($AH$2:AH3956,AH3956,$AJ$2:AJ3956,1)=1),N(AL3955)+1,"")</f>
        <v/>
      </c>
      <c r="AL3956" s="54">
        <f>IF(AK3956&lt;&gt;"",AK3956,N(AL3955))</f>
        <v/>
      </c>
    </row>
    <row r="3957">
      <c r="A3957" t="inlineStr">
        <is>
          <t>PRD-1319</t>
        </is>
      </c>
      <c r="B3957" t="inlineStr">
        <is>
          <t>Production</t>
        </is>
      </c>
      <c r="AB3957" t="n">
        <v>1319</v>
      </c>
      <c r="AD3957" s="52">
        <f>IFERROR(N(IFERROR(INDEX($A3957:$AB3957,MATCH("Xero Invoiced Ex GST",$A$1:$AB$1,0)),"")),0)</f>
        <v/>
      </c>
      <c r="AE3957" s="53">
        <f>IFERROR(INDEX($A3957:$AB3957,MATCH("Xero Invoice Date",$A$1:$AB$1,0)),"")</f>
        <v/>
      </c>
      <c r="AF3957" s="54">
        <f>IF(AND(IFERROR(INDEX($A3957:$AB3957,MATCH("Xero Invoice No",$A$1:$AB$1,0)),"")&amp;""&lt;&gt;"",ISNUMBER(AE3957),AD3957&lt;&gt;0),1,0)</f>
        <v/>
      </c>
      <c r="AG3957" s="55">
        <f>IF(AF3957=1,EOMONTH(AE3957,0),"")</f>
        <v/>
      </c>
      <c r="AH3957" s="9">
        <f>IF(AF3957=1,UPPER(TRIM(IFERROR(INDEX($A3957:$AB3957,MATCH("Client",$A$1:$AB$1,0)),"")&amp;"")),"")</f>
        <v/>
      </c>
      <c r="AI3957" s="9">
        <f>IF(AF3957=1,IFERROR(INDEX($A3957:$AB3957,MATCH("Cost Centre",$A$1:$AB$1,0)),"")&amp;"","")</f>
        <v/>
      </c>
      <c r="AJ3957" s="54">
        <f>IF(AND(AF3957=1,AE3957&gt;=set_FYStart,AE3957&lt;=set_AsAt),1,0)</f>
        <v/>
      </c>
      <c r="AK3957" s="54">
        <f>IF(AND(AJ3957=1,AH3957&lt;&gt;"",COUNTIFS($AH$2:AH3957,AH3957,$AJ$2:AJ3957,1)=1),N(AL3956)+1,"")</f>
        <v/>
      </c>
      <c r="AL3957" s="54">
        <f>IF(AK3957&lt;&gt;"",AK3957,N(AL3956))</f>
        <v/>
      </c>
    </row>
    <row r="3958">
      <c r="A3958" t="inlineStr">
        <is>
          <t>CON-1319</t>
        </is>
      </c>
      <c r="B3958" t="inlineStr">
        <is>
          <t>Consulting</t>
        </is>
      </c>
      <c r="AB3958" t="n">
        <v>1319</v>
      </c>
      <c r="AD3958" s="52">
        <f>IFERROR(N(IFERROR(INDEX($A3958:$AB3958,MATCH("Xero Invoiced Ex GST",$A$1:$AB$1,0)),"")),0)</f>
        <v/>
      </c>
      <c r="AE3958" s="53">
        <f>IFERROR(INDEX($A3958:$AB3958,MATCH("Xero Invoice Date",$A$1:$AB$1,0)),"")</f>
        <v/>
      </c>
      <c r="AF3958" s="54">
        <f>IF(AND(IFERROR(INDEX($A3958:$AB3958,MATCH("Xero Invoice No",$A$1:$AB$1,0)),"")&amp;""&lt;&gt;"",ISNUMBER(AE3958),AD3958&lt;&gt;0),1,0)</f>
        <v/>
      </c>
      <c r="AG3958" s="55">
        <f>IF(AF3958=1,EOMONTH(AE3958,0),"")</f>
        <v/>
      </c>
      <c r="AH3958" s="9">
        <f>IF(AF3958=1,UPPER(TRIM(IFERROR(INDEX($A3958:$AB3958,MATCH("Client",$A$1:$AB$1,0)),"")&amp;"")),"")</f>
        <v/>
      </c>
      <c r="AI3958" s="9">
        <f>IF(AF3958=1,IFERROR(INDEX($A3958:$AB3958,MATCH("Cost Centre",$A$1:$AB$1,0)),"")&amp;"","")</f>
        <v/>
      </c>
      <c r="AJ3958" s="54">
        <f>IF(AND(AF3958=1,AE3958&gt;=set_FYStart,AE3958&lt;=set_AsAt),1,0)</f>
        <v/>
      </c>
      <c r="AK3958" s="54">
        <f>IF(AND(AJ3958=1,AH3958&lt;&gt;"",COUNTIFS($AH$2:AH3958,AH3958,$AJ$2:AJ3958,1)=1),N(AL3957)+1,"")</f>
        <v/>
      </c>
      <c r="AL3958" s="54">
        <f>IF(AK3958&lt;&gt;"",AK3958,N(AL3957))</f>
        <v/>
      </c>
    </row>
    <row r="3959">
      <c r="A3959" t="inlineStr">
        <is>
          <t>ONS-1320</t>
        </is>
      </c>
      <c r="B3959" t="inlineStr">
        <is>
          <t>Onsite</t>
        </is>
      </c>
      <c r="AB3959" t="n">
        <v>1320</v>
      </c>
      <c r="AD3959" s="52">
        <f>IFERROR(N(IFERROR(INDEX($A3959:$AB3959,MATCH("Xero Invoiced Ex GST",$A$1:$AB$1,0)),"")),0)</f>
        <v/>
      </c>
      <c r="AE3959" s="53">
        <f>IFERROR(INDEX($A3959:$AB3959,MATCH("Xero Invoice Date",$A$1:$AB$1,0)),"")</f>
        <v/>
      </c>
      <c r="AF3959" s="54">
        <f>IF(AND(IFERROR(INDEX($A3959:$AB3959,MATCH("Xero Invoice No",$A$1:$AB$1,0)),"")&amp;""&lt;&gt;"",ISNUMBER(AE3959),AD3959&lt;&gt;0),1,0)</f>
        <v/>
      </c>
      <c r="AG3959" s="55">
        <f>IF(AF3959=1,EOMONTH(AE3959,0),"")</f>
        <v/>
      </c>
      <c r="AH3959" s="9">
        <f>IF(AF3959=1,UPPER(TRIM(IFERROR(INDEX($A3959:$AB3959,MATCH("Client",$A$1:$AB$1,0)),"")&amp;"")),"")</f>
        <v/>
      </c>
      <c r="AI3959" s="9">
        <f>IF(AF3959=1,IFERROR(INDEX($A3959:$AB3959,MATCH("Cost Centre",$A$1:$AB$1,0)),"")&amp;"","")</f>
        <v/>
      </c>
      <c r="AJ3959" s="54">
        <f>IF(AND(AF3959=1,AE3959&gt;=set_FYStart,AE3959&lt;=set_AsAt),1,0)</f>
        <v/>
      </c>
      <c r="AK3959" s="54">
        <f>IF(AND(AJ3959=1,AH3959&lt;&gt;"",COUNTIFS($AH$2:AH3959,AH3959,$AJ$2:AJ3959,1)=1),N(AL3958)+1,"")</f>
        <v/>
      </c>
      <c r="AL3959" s="54">
        <f>IF(AK3959&lt;&gt;"",AK3959,N(AL3958))</f>
        <v/>
      </c>
    </row>
    <row r="3960">
      <c r="A3960" t="inlineStr">
        <is>
          <t>PRD-1320</t>
        </is>
      </c>
      <c r="B3960" t="inlineStr">
        <is>
          <t>Production</t>
        </is>
      </c>
      <c r="AB3960" t="n">
        <v>1320</v>
      </c>
      <c r="AD3960" s="52">
        <f>IFERROR(N(IFERROR(INDEX($A3960:$AB3960,MATCH("Xero Invoiced Ex GST",$A$1:$AB$1,0)),"")),0)</f>
        <v/>
      </c>
      <c r="AE3960" s="53">
        <f>IFERROR(INDEX($A3960:$AB3960,MATCH("Xero Invoice Date",$A$1:$AB$1,0)),"")</f>
        <v/>
      </c>
      <c r="AF3960" s="54">
        <f>IF(AND(IFERROR(INDEX($A3960:$AB3960,MATCH("Xero Invoice No",$A$1:$AB$1,0)),"")&amp;""&lt;&gt;"",ISNUMBER(AE3960),AD3960&lt;&gt;0),1,0)</f>
        <v/>
      </c>
      <c r="AG3960" s="55">
        <f>IF(AF3960=1,EOMONTH(AE3960,0),"")</f>
        <v/>
      </c>
      <c r="AH3960" s="9">
        <f>IF(AF3960=1,UPPER(TRIM(IFERROR(INDEX($A3960:$AB3960,MATCH("Client",$A$1:$AB$1,0)),"")&amp;"")),"")</f>
        <v/>
      </c>
      <c r="AI3960" s="9">
        <f>IF(AF3960=1,IFERROR(INDEX($A3960:$AB3960,MATCH("Cost Centre",$A$1:$AB$1,0)),"")&amp;"","")</f>
        <v/>
      </c>
      <c r="AJ3960" s="54">
        <f>IF(AND(AF3960=1,AE3960&gt;=set_FYStart,AE3960&lt;=set_AsAt),1,0)</f>
        <v/>
      </c>
      <c r="AK3960" s="54">
        <f>IF(AND(AJ3960=1,AH3960&lt;&gt;"",COUNTIFS($AH$2:AH3960,AH3960,$AJ$2:AJ3960,1)=1),N(AL3959)+1,"")</f>
        <v/>
      </c>
      <c r="AL3960" s="54">
        <f>IF(AK3960&lt;&gt;"",AK3960,N(AL3959))</f>
        <v/>
      </c>
    </row>
    <row r="3961">
      <c r="A3961" t="inlineStr">
        <is>
          <t>CON-1320</t>
        </is>
      </c>
      <c r="B3961" t="inlineStr">
        <is>
          <t>Consulting</t>
        </is>
      </c>
      <c r="AB3961" t="n">
        <v>1320</v>
      </c>
      <c r="AD3961" s="52">
        <f>IFERROR(N(IFERROR(INDEX($A3961:$AB3961,MATCH("Xero Invoiced Ex GST",$A$1:$AB$1,0)),"")),0)</f>
        <v/>
      </c>
      <c r="AE3961" s="53">
        <f>IFERROR(INDEX($A3961:$AB3961,MATCH("Xero Invoice Date",$A$1:$AB$1,0)),"")</f>
        <v/>
      </c>
      <c r="AF3961" s="54">
        <f>IF(AND(IFERROR(INDEX($A3961:$AB3961,MATCH("Xero Invoice No",$A$1:$AB$1,0)),"")&amp;""&lt;&gt;"",ISNUMBER(AE3961),AD3961&lt;&gt;0),1,0)</f>
        <v/>
      </c>
      <c r="AG3961" s="55">
        <f>IF(AF3961=1,EOMONTH(AE3961,0),"")</f>
        <v/>
      </c>
      <c r="AH3961" s="9">
        <f>IF(AF3961=1,UPPER(TRIM(IFERROR(INDEX($A3961:$AB3961,MATCH("Client",$A$1:$AB$1,0)),"")&amp;"")),"")</f>
        <v/>
      </c>
      <c r="AI3961" s="9">
        <f>IF(AF3961=1,IFERROR(INDEX($A3961:$AB3961,MATCH("Cost Centre",$A$1:$AB$1,0)),"")&amp;"","")</f>
        <v/>
      </c>
      <c r="AJ3961" s="54">
        <f>IF(AND(AF3961=1,AE3961&gt;=set_FYStart,AE3961&lt;=set_AsAt),1,0)</f>
        <v/>
      </c>
      <c r="AK3961" s="54">
        <f>IF(AND(AJ3961=1,AH3961&lt;&gt;"",COUNTIFS($AH$2:AH3961,AH3961,$AJ$2:AJ3961,1)=1),N(AL3960)+1,"")</f>
        <v/>
      </c>
      <c r="AL3961" s="54">
        <f>IF(AK3961&lt;&gt;"",AK3961,N(AL3960))</f>
        <v/>
      </c>
    </row>
    <row r="3962">
      <c r="A3962" t="inlineStr">
        <is>
          <t>ONS-1321</t>
        </is>
      </c>
      <c r="B3962" t="inlineStr">
        <is>
          <t>Onsite</t>
        </is>
      </c>
      <c r="AB3962" t="n">
        <v>1321</v>
      </c>
      <c r="AD3962" s="52">
        <f>IFERROR(N(IFERROR(INDEX($A3962:$AB3962,MATCH("Xero Invoiced Ex GST",$A$1:$AB$1,0)),"")),0)</f>
        <v/>
      </c>
      <c r="AE3962" s="53">
        <f>IFERROR(INDEX($A3962:$AB3962,MATCH("Xero Invoice Date",$A$1:$AB$1,0)),"")</f>
        <v/>
      </c>
      <c r="AF3962" s="54">
        <f>IF(AND(IFERROR(INDEX($A3962:$AB3962,MATCH("Xero Invoice No",$A$1:$AB$1,0)),"")&amp;""&lt;&gt;"",ISNUMBER(AE3962),AD3962&lt;&gt;0),1,0)</f>
        <v/>
      </c>
      <c r="AG3962" s="55">
        <f>IF(AF3962=1,EOMONTH(AE3962,0),"")</f>
        <v/>
      </c>
      <c r="AH3962" s="9">
        <f>IF(AF3962=1,UPPER(TRIM(IFERROR(INDEX($A3962:$AB3962,MATCH("Client",$A$1:$AB$1,0)),"")&amp;"")),"")</f>
        <v/>
      </c>
      <c r="AI3962" s="9">
        <f>IF(AF3962=1,IFERROR(INDEX($A3962:$AB3962,MATCH("Cost Centre",$A$1:$AB$1,0)),"")&amp;"","")</f>
        <v/>
      </c>
      <c r="AJ3962" s="54">
        <f>IF(AND(AF3962=1,AE3962&gt;=set_FYStart,AE3962&lt;=set_AsAt),1,0)</f>
        <v/>
      </c>
      <c r="AK3962" s="54">
        <f>IF(AND(AJ3962=1,AH3962&lt;&gt;"",COUNTIFS($AH$2:AH3962,AH3962,$AJ$2:AJ3962,1)=1),N(AL3961)+1,"")</f>
        <v/>
      </c>
      <c r="AL3962" s="54">
        <f>IF(AK3962&lt;&gt;"",AK3962,N(AL3961))</f>
        <v/>
      </c>
    </row>
    <row r="3963">
      <c r="A3963" t="inlineStr">
        <is>
          <t>PRD-1321</t>
        </is>
      </c>
      <c r="B3963" t="inlineStr">
        <is>
          <t>Production</t>
        </is>
      </c>
      <c r="AB3963" t="n">
        <v>1321</v>
      </c>
      <c r="AD3963" s="52">
        <f>IFERROR(N(IFERROR(INDEX($A3963:$AB3963,MATCH("Xero Invoiced Ex GST",$A$1:$AB$1,0)),"")),0)</f>
        <v/>
      </c>
      <c r="AE3963" s="53">
        <f>IFERROR(INDEX($A3963:$AB3963,MATCH("Xero Invoice Date",$A$1:$AB$1,0)),"")</f>
        <v/>
      </c>
      <c r="AF3963" s="54">
        <f>IF(AND(IFERROR(INDEX($A3963:$AB3963,MATCH("Xero Invoice No",$A$1:$AB$1,0)),"")&amp;""&lt;&gt;"",ISNUMBER(AE3963),AD3963&lt;&gt;0),1,0)</f>
        <v/>
      </c>
      <c r="AG3963" s="55">
        <f>IF(AF3963=1,EOMONTH(AE3963,0),"")</f>
        <v/>
      </c>
      <c r="AH3963" s="9">
        <f>IF(AF3963=1,UPPER(TRIM(IFERROR(INDEX($A3963:$AB3963,MATCH("Client",$A$1:$AB$1,0)),"")&amp;"")),"")</f>
        <v/>
      </c>
      <c r="AI3963" s="9">
        <f>IF(AF3963=1,IFERROR(INDEX($A3963:$AB3963,MATCH("Cost Centre",$A$1:$AB$1,0)),"")&amp;"","")</f>
        <v/>
      </c>
      <c r="AJ3963" s="54">
        <f>IF(AND(AF3963=1,AE3963&gt;=set_FYStart,AE3963&lt;=set_AsAt),1,0)</f>
        <v/>
      </c>
      <c r="AK3963" s="54">
        <f>IF(AND(AJ3963=1,AH3963&lt;&gt;"",COUNTIFS($AH$2:AH3963,AH3963,$AJ$2:AJ3963,1)=1),N(AL3962)+1,"")</f>
        <v/>
      </c>
      <c r="AL3963" s="54">
        <f>IF(AK3963&lt;&gt;"",AK3963,N(AL3962))</f>
        <v/>
      </c>
    </row>
    <row r="3964">
      <c r="A3964" t="inlineStr">
        <is>
          <t>CON-1321</t>
        </is>
      </c>
      <c r="B3964" t="inlineStr">
        <is>
          <t>Consulting</t>
        </is>
      </c>
      <c r="AB3964" t="n">
        <v>1321</v>
      </c>
      <c r="AD3964" s="52">
        <f>IFERROR(N(IFERROR(INDEX($A3964:$AB3964,MATCH("Xero Invoiced Ex GST",$A$1:$AB$1,0)),"")),0)</f>
        <v/>
      </c>
      <c r="AE3964" s="53">
        <f>IFERROR(INDEX($A3964:$AB3964,MATCH("Xero Invoice Date",$A$1:$AB$1,0)),"")</f>
        <v/>
      </c>
      <c r="AF3964" s="54">
        <f>IF(AND(IFERROR(INDEX($A3964:$AB3964,MATCH("Xero Invoice No",$A$1:$AB$1,0)),"")&amp;""&lt;&gt;"",ISNUMBER(AE3964),AD3964&lt;&gt;0),1,0)</f>
        <v/>
      </c>
      <c r="AG3964" s="55">
        <f>IF(AF3964=1,EOMONTH(AE3964,0),"")</f>
        <v/>
      </c>
      <c r="AH3964" s="9">
        <f>IF(AF3964=1,UPPER(TRIM(IFERROR(INDEX($A3964:$AB3964,MATCH("Client",$A$1:$AB$1,0)),"")&amp;"")),"")</f>
        <v/>
      </c>
      <c r="AI3964" s="9">
        <f>IF(AF3964=1,IFERROR(INDEX($A3964:$AB3964,MATCH("Cost Centre",$A$1:$AB$1,0)),"")&amp;"","")</f>
        <v/>
      </c>
      <c r="AJ3964" s="54">
        <f>IF(AND(AF3964=1,AE3964&gt;=set_FYStart,AE3964&lt;=set_AsAt),1,0)</f>
        <v/>
      </c>
      <c r="AK3964" s="54">
        <f>IF(AND(AJ3964=1,AH3964&lt;&gt;"",COUNTIFS($AH$2:AH3964,AH3964,$AJ$2:AJ3964,1)=1),N(AL3963)+1,"")</f>
        <v/>
      </c>
      <c r="AL3964" s="54">
        <f>IF(AK3964&lt;&gt;"",AK3964,N(AL3963))</f>
        <v/>
      </c>
    </row>
    <row r="3965">
      <c r="A3965" t="inlineStr">
        <is>
          <t>ONS-1322</t>
        </is>
      </c>
      <c r="B3965" t="inlineStr">
        <is>
          <t>Onsite</t>
        </is>
      </c>
      <c r="AB3965" t="n">
        <v>1322</v>
      </c>
      <c r="AD3965" s="52">
        <f>IFERROR(N(IFERROR(INDEX($A3965:$AB3965,MATCH("Xero Invoiced Ex GST",$A$1:$AB$1,0)),"")),0)</f>
        <v/>
      </c>
      <c r="AE3965" s="53">
        <f>IFERROR(INDEX($A3965:$AB3965,MATCH("Xero Invoice Date",$A$1:$AB$1,0)),"")</f>
        <v/>
      </c>
      <c r="AF3965" s="54">
        <f>IF(AND(IFERROR(INDEX($A3965:$AB3965,MATCH("Xero Invoice No",$A$1:$AB$1,0)),"")&amp;""&lt;&gt;"",ISNUMBER(AE3965),AD3965&lt;&gt;0),1,0)</f>
        <v/>
      </c>
      <c r="AG3965" s="55">
        <f>IF(AF3965=1,EOMONTH(AE3965,0),"")</f>
        <v/>
      </c>
      <c r="AH3965" s="9">
        <f>IF(AF3965=1,UPPER(TRIM(IFERROR(INDEX($A3965:$AB3965,MATCH("Client",$A$1:$AB$1,0)),"")&amp;"")),"")</f>
        <v/>
      </c>
      <c r="AI3965" s="9">
        <f>IF(AF3965=1,IFERROR(INDEX($A3965:$AB3965,MATCH("Cost Centre",$A$1:$AB$1,0)),"")&amp;"","")</f>
        <v/>
      </c>
      <c r="AJ3965" s="54">
        <f>IF(AND(AF3965=1,AE3965&gt;=set_FYStart,AE3965&lt;=set_AsAt),1,0)</f>
        <v/>
      </c>
      <c r="AK3965" s="54">
        <f>IF(AND(AJ3965=1,AH3965&lt;&gt;"",COUNTIFS($AH$2:AH3965,AH3965,$AJ$2:AJ3965,1)=1),N(AL3964)+1,"")</f>
        <v/>
      </c>
      <c r="AL3965" s="54">
        <f>IF(AK3965&lt;&gt;"",AK3965,N(AL3964))</f>
        <v/>
      </c>
    </row>
    <row r="3966">
      <c r="A3966" t="inlineStr">
        <is>
          <t>PRD-1322</t>
        </is>
      </c>
      <c r="B3966" t="inlineStr">
        <is>
          <t>Production</t>
        </is>
      </c>
      <c r="AB3966" t="n">
        <v>1322</v>
      </c>
      <c r="AD3966" s="52">
        <f>IFERROR(N(IFERROR(INDEX($A3966:$AB3966,MATCH("Xero Invoiced Ex GST",$A$1:$AB$1,0)),"")),0)</f>
        <v/>
      </c>
      <c r="AE3966" s="53">
        <f>IFERROR(INDEX($A3966:$AB3966,MATCH("Xero Invoice Date",$A$1:$AB$1,0)),"")</f>
        <v/>
      </c>
      <c r="AF3966" s="54">
        <f>IF(AND(IFERROR(INDEX($A3966:$AB3966,MATCH("Xero Invoice No",$A$1:$AB$1,0)),"")&amp;""&lt;&gt;"",ISNUMBER(AE3966),AD3966&lt;&gt;0),1,0)</f>
        <v/>
      </c>
      <c r="AG3966" s="55">
        <f>IF(AF3966=1,EOMONTH(AE3966,0),"")</f>
        <v/>
      </c>
      <c r="AH3966" s="9">
        <f>IF(AF3966=1,UPPER(TRIM(IFERROR(INDEX($A3966:$AB3966,MATCH("Client",$A$1:$AB$1,0)),"")&amp;"")),"")</f>
        <v/>
      </c>
      <c r="AI3966" s="9">
        <f>IF(AF3966=1,IFERROR(INDEX($A3966:$AB3966,MATCH("Cost Centre",$A$1:$AB$1,0)),"")&amp;"","")</f>
        <v/>
      </c>
      <c r="AJ3966" s="54">
        <f>IF(AND(AF3966=1,AE3966&gt;=set_FYStart,AE3966&lt;=set_AsAt),1,0)</f>
        <v/>
      </c>
      <c r="AK3966" s="54">
        <f>IF(AND(AJ3966=1,AH3966&lt;&gt;"",COUNTIFS($AH$2:AH3966,AH3966,$AJ$2:AJ3966,1)=1),N(AL3965)+1,"")</f>
        <v/>
      </c>
      <c r="AL3966" s="54">
        <f>IF(AK3966&lt;&gt;"",AK3966,N(AL3965))</f>
        <v/>
      </c>
    </row>
    <row r="3967">
      <c r="A3967" t="inlineStr">
        <is>
          <t>CON-1322</t>
        </is>
      </c>
      <c r="B3967" t="inlineStr">
        <is>
          <t>Consulting</t>
        </is>
      </c>
      <c r="AB3967" t="n">
        <v>1322</v>
      </c>
      <c r="AD3967" s="52">
        <f>IFERROR(N(IFERROR(INDEX($A3967:$AB3967,MATCH("Xero Invoiced Ex GST",$A$1:$AB$1,0)),"")),0)</f>
        <v/>
      </c>
      <c r="AE3967" s="53">
        <f>IFERROR(INDEX($A3967:$AB3967,MATCH("Xero Invoice Date",$A$1:$AB$1,0)),"")</f>
        <v/>
      </c>
      <c r="AF3967" s="54">
        <f>IF(AND(IFERROR(INDEX($A3967:$AB3967,MATCH("Xero Invoice No",$A$1:$AB$1,0)),"")&amp;""&lt;&gt;"",ISNUMBER(AE3967),AD3967&lt;&gt;0),1,0)</f>
        <v/>
      </c>
      <c r="AG3967" s="55">
        <f>IF(AF3967=1,EOMONTH(AE3967,0),"")</f>
        <v/>
      </c>
      <c r="AH3967" s="9">
        <f>IF(AF3967=1,UPPER(TRIM(IFERROR(INDEX($A3967:$AB3967,MATCH("Client",$A$1:$AB$1,0)),"")&amp;"")),"")</f>
        <v/>
      </c>
      <c r="AI3967" s="9">
        <f>IF(AF3967=1,IFERROR(INDEX($A3967:$AB3967,MATCH("Cost Centre",$A$1:$AB$1,0)),"")&amp;"","")</f>
        <v/>
      </c>
      <c r="AJ3967" s="54">
        <f>IF(AND(AF3967=1,AE3967&gt;=set_FYStart,AE3967&lt;=set_AsAt),1,0)</f>
        <v/>
      </c>
      <c r="AK3967" s="54">
        <f>IF(AND(AJ3967=1,AH3967&lt;&gt;"",COUNTIFS($AH$2:AH3967,AH3967,$AJ$2:AJ3967,1)=1),N(AL3966)+1,"")</f>
        <v/>
      </c>
      <c r="AL3967" s="54">
        <f>IF(AK3967&lt;&gt;"",AK3967,N(AL3966))</f>
        <v/>
      </c>
    </row>
    <row r="3968">
      <c r="A3968" t="inlineStr">
        <is>
          <t>ONS-1323</t>
        </is>
      </c>
      <c r="B3968" t="inlineStr">
        <is>
          <t>Onsite</t>
        </is>
      </c>
      <c r="AB3968" t="n">
        <v>1323</v>
      </c>
      <c r="AD3968" s="52">
        <f>IFERROR(N(IFERROR(INDEX($A3968:$AB3968,MATCH("Xero Invoiced Ex GST",$A$1:$AB$1,0)),"")),0)</f>
        <v/>
      </c>
      <c r="AE3968" s="53">
        <f>IFERROR(INDEX($A3968:$AB3968,MATCH("Xero Invoice Date",$A$1:$AB$1,0)),"")</f>
        <v/>
      </c>
      <c r="AF3968" s="54">
        <f>IF(AND(IFERROR(INDEX($A3968:$AB3968,MATCH("Xero Invoice No",$A$1:$AB$1,0)),"")&amp;""&lt;&gt;"",ISNUMBER(AE3968),AD3968&lt;&gt;0),1,0)</f>
        <v/>
      </c>
      <c r="AG3968" s="55">
        <f>IF(AF3968=1,EOMONTH(AE3968,0),"")</f>
        <v/>
      </c>
      <c r="AH3968" s="9">
        <f>IF(AF3968=1,UPPER(TRIM(IFERROR(INDEX($A3968:$AB3968,MATCH("Client",$A$1:$AB$1,0)),"")&amp;"")),"")</f>
        <v/>
      </c>
      <c r="AI3968" s="9">
        <f>IF(AF3968=1,IFERROR(INDEX($A3968:$AB3968,MATCH("Cost Centre",$A$1:$AB$1,0)),"")&amp;"","")</f>
        <v/>
      </c>
      <c r="AJ3968" s="54">
        <f>IF(AND(AF3968=1,AE3968&gt;=set_FYStart,AE3968&lt;=set_AsAt),1,0)</f>
        <v/>
      </c>
      <c r="AK3968" s="54">
        <f>IF(AND(AJ3968=1,AH3968&lt;&gt;"",COUNTIFS($AH$2:AH3968,AH3968,$AJ$2:AJ3968,1)=1),N(AL3967)+1,"")</f>
        <v/>
      </c>
      <c r="AL3968" s="54">
        <f>IF(AK3968&lt;&gt;"",AK3968,N(AL3967))</f>
        <v/>
      </c>
    </row>
    <row r="3969">
      <c r="A3969" t="inlineStr">
        <is>
          <t>PRD-1323</t>
        </is>
      </c>
      <c r="B3969" t="inlineStr">
        <is>
          <t>Production</t>
        </is>
      </c>
      <c r="AB3969" t="n">
        <v>1323</v>
      </c>
      <c r="AD3969" s="52">
        <f>IFERROR(N(IFERROR(INDEX($A3969:$AB3969,MATCH("Xero Invoiced Ex GST",$A$1:$AB$1,0)),"")),0)</f>
        <v/>
      </c>
      <c r="AE3969" s="53">
        <f>IFERROR(INDEX($A3969:$AB3969,MATCH("Xero Invoice Date",$A$1:$AB$1,0)),"")</f>
        <v/>
      </c>
      <c r="AF3969" s="54">
        <f>IF(AND(IFERROR(INDEX($A3969:$AB3969,MATCH("Xero Invoice No",$A$1:$AB$1,0)),"")&amp;""&lt;&gt;"",ISNUMBER(AE3969),AD3969&lt;&gt;0),1,0)</f>
        <v/>
      </c>
      <c r="AG3969" s="55">
        <f>IF(AF3969=1,EOMONTH(AE3969,0),"")</f>
        <v/>
      </c>
      <c r="AH3969" s="9">
        <f>IF(AF3969=1,UPPER(TRIM(IFERROR(INDEX($A3969:$AB3969,MATCH("Client",$A$1:$AB$1,0)),"")&amp;"")),"")</f>
        <v/>
      </c>
      <c r="AI3969" s="9">
        <f>IF(AF3969=1,IFERROR(INDEX($A3969:$AB3969,MATCH("Cost Centre",$A$1:$AB$1,0)),"")&amp;"","")</f>
        <v/>
      </c>
      <c r="AJ3969" s="54">
        <f>IF(AND(AF3969=1,AE3969&gt;=set_FYStart,AE3969&lt;=set_AsAt),1,0)</f>
        <v/>
      </c>
      <c r="AK3969" s="54">
        <f>IF(AND(AJ3969=1,AH3969&lt;&gt;"",COUNTIFS($AH$2:AH3969,AH3969,$AJ$2:AJ3969,1)=1),N(AL3968)+1,"")</f>
        <v/>
      </c>
      <c r="AL3969" s="54">
        <f>IF(AK3969&lt;&gt;"",AK3969,N(AL3968))</f>
        <v/>
      </c>
    </row>
    <row r="3970">
      <c r="A3970" t="inlineStr">
        <is>
          <t>CON-1323</t>
        </is>
      </c>
      <c r="B3970" t="inlineStr">
        <is>
          <t>Consulting</t>
        </is>
      </c>
      <c r="AB3970" t="n">
        <v>1323</v>
      </c>
      <c r="AD3970" s="52">
        <f>IFERROR(N(IFERROR(INDEX($A3970:$AB3970,MATCH("Xero Invoiced Ex GST",$A$1:$AB$1,0)),"")),0)</f>
        <v/>
      </c>
      <c r="AE3970" s="53">
        <f>IFERROR(INDEX($A3970:$AB3970,MATCH("Xero Invoice Date",$A$1:$AB$1,0)),"")</f>
        <v/>
      </c>
      <c r="AF3970" s="54">
        <f>IF(AND(IFERROR(INDEX($A3970:$AB3970,MATCH("Xero Invoice No",$A$1:$AB$1,0)),"")&amp;""&lt;&gt;"",ISNUMBER(AE3970),AD3970&lt;&gt;0),1,0)</f>
        <v/>
      </c>
      <c r="AG3970" s="55">
        <f>IF(AF3970=1,EOMONTH(AE3970,0),"")</f>
        <v/>
      </c>
      <c r="AH3970" s="9">
        <f>IF(AF3970=1,UPPER(TRIM(IFERROR(INDEX($A3970:$AB3970,MATCH("Client",$A$1:$AB$1,0)),"")&amp;"")),"")</f>
        <v/>
      </c>
      <c r="AI3970" s="9">
        <f>IF(AF3970=1,IFERROR(INDEX($A3970:$AB3970,MATCH("Cost Centre",$A$1:$AB$1,0)),"")&amp;"","")</f>
        <v/>
      </c>
      <c r="AJ3970" s="54">
        <f>IF(AND(AF3970=1,AE3970&gt;=set_FYStart,AE3970&lt;=set_AsAt),1,0)</f>
        <v/>
      </c>
      <c r="AK3970" s="54">
        <f>IF(AND(AJ3970=1,AH3970&lt;&gt;"",COUNTIFS($AH$2:AH3970,AH3970,$AJ$2:AJ3970,1)=1),N(AL3969)+1,"")</f>
        <v/>
      </c>
      <c r="AL3970" s="54">
        <f>IF(AK3970&lt;&gt;"",AK3970,N(AL3969))</f>
        <v/>
      </c>
    </row>
    <row r="3971">
      <c r="A3971" t="inlineStr">
        <is>
          <t>ONS-1324</t>
        </is>
      </c>
      <c r="B3971" t="inlineStr">
        <is>
          <t>Onsite</t>
        </is>
      </c>
      <c r="AB3971" t="n">
        <v>1324</v>
      </c>
      <c r="AD3971" s="52">
        <f>IFERROR(N(IFERROR(INDEX($A3971:$AB3971,MATCH("Xero Invoiced Ex GST",$A$1:$AB$1,0)),"")),0)</f>
        <v/>
      </c>
      <c r="AE3971" s="53">
        <f>IFERROR(INDEX($A3971:$AB3971,MATCH("Xero Invoice Date",$A$1:$AB$1,0)),"")</f>
        <v/>
      </c>
      <c r="AF3971" s="54">
        <f>IF(AND(IFERROR(INDEX($A3971:$AB3971,MATCH("Xero Invoice No",$A$1:$AB$1,0)),"")&amp;""&lt;&gt;"",ISNUMBER(AE3971),AD3971&lt;&gt;0),1,0)</f>
        <v/>
      </c>
      <c r="AG3971" s="55">
        <f>IF(AF3971=1,EOMONTH(AE3971,0),"")</f>
        <v/>
      </c>
      <c r="AH3971" s="9">
        <f>IF(AF3971=1,UPPER(TRIM(IFERROR(INDEX($A3971:$AB3971,MATCH("Client",$A$1:$AB$1,0)),"")&amp;"")),"")</f>
        <v/>
      </c>
      <c r="AI3971" s="9">
        <f>IF(AF3971=1,IFERROR(INDEX($A3971:$AB3971,MATCH("Cost Centre",$A$1:$AB$1,0)),"")&amp;"","")</f>
        <v/>
      </c>
      <c r="AJ3971" s="54">
        <f>IF(AND(AF3971=1,AE3971&gt;=set_FYStart,AE3971&lt;=set_AsAt),1,0)</f>
        <v/>
      </c>
      <c r="AK3971" s="54">
        <f>IF(AND(AJ3971=1,AH3971&lt;&gt;"",COUNTIFS($AH$2:AH3971,AH3971,$AJ$2:AJ3971,1)=1),N(AL3970)+1,"")</f>
        <v/>
      </c>
      <c r="AL3971" s="54">
        <f>IF(AK3971&lt;&gt;"",AK3971,N(AL3970))</f>
        <v/>
      </c>
    </row>
    <row r="3972">
      <c r="A3972" t="inlineStr">
        <is>
          <t>PRD-1324</t>
        </is>
      </c>
      <c r="B3972" t="inlineStr">
        <is>
          <t>Production</t>
        </is>
      </c>
      <c r="AB3972" t="n">
        <v>1324</v>
      </c>
      <c r="AD3972" s="52">
        <f>IFERROR(N(IFERROR(INDEX($A3972:$AB3972,MATCH("Xero Invoiced Ex GST",$A$1:$AB$1,0)),"")),0)</f>
        <v/>
      </c>
      <c r="AE3972" s="53">
        <f>IFERROR(INDEX($A3972:$AB3972,MATCH("Xero Invoice Date",$A$1:$AB$1,0)),"")</f>
        <v/>
      </c>
      <c r="AF3972" s="54">
        <f>IF(AND(IFERROR(INDEX($A3972:$AB3972,MATCH("Xero Invoice No",$A$1:$AB$1,0)),"")&amp;""&lt;&gt;"",ISNUMBER(AE3972),AD3972&lt;&gt;0),1,0)</f>
        <v/>
      </c>
      <c r="AG3972" s="55">
        <f>IF(AF3972=1,EOMONTH(AE3972,0),"")</f>
        <v/>
      </c>
      <c r="AH3972" s="9">
        <f>IF(AF3972=1,UPPER(TRIM(IFERROR(INDEX($A3972:$AB3972,MATCH("Client",$A$1:$AB$1,0)),"")&amp;"")),"")</f>
        <v/>
      </c>
      <c r="AI3972" s="9">
        <f>IF(AF3972=1,IFERROR(INDEX($A3972:$AB3972,MATCH("Cost Centre",$A$1:$AB$1,0)),"")&amp;"","")</f>
        <v/>
      </c>
      <c r="AJ3972" s="54">
        <f>IF(AND(AF3972=1,AE3972&gt;=set_FYStart,AE3972&lt;=set_AsAt),1,0)</f>
        <v/>
      </c>
      <c r="AK3972" s="54">
        <f>IF(AND(AJ3972=1,AH3972&lt;&gt;"",COUNTIFS($AH$2:AH3972,AH3972,$AJ$2:AJ3972,1)=1),N(AL3971)+1,"")</f>
        <v/>
      </c>
      <c r="AL3972" s="54">
        <f>IF(AK3972&lt;&gt;"",AK3972,N(AL3971))</f>
        <v/>
      </c>
    </row>
    <row r="3973">
      <c r="A3973" t="inlineStr">
        <is>
          <t>CON-1324</t>
        </is>
      </c>
      <c r="B3973" t="inlineStr">
        <is>
          <t>Consulting</t>
        </is>
      </c>
      <c r="AB3973" t="n">
        <v>1324</v>
      </c>
      <c r="AD3973" s="52">
        <f>IFERROR(N(IFERROR(INDEX($A3973:$AB3973,MATCH("Xero Invoiced Ex GST",$A$1:$AB$1,0)),"")),0)</f>
        <v/>
      </c>
      <c r="AE3973" s="53">
        <f>IFERROR(INDEX($A3973:$AB3973,MATCH("Xero Invoice Date",$A$1:$AB$1,0)),"")</f>
        <v/>
      </c>
      <c r="AF3973" s="54">
        <f>IF(AND(IFERROR(INDEX($A3973:$AB3973,MATCH("Xero Invoice No",$A$1:$AB$1,0)),"")&amp;""&lt;&gt;"",ISNUMBER(AE3973),AD3973&lt;&gt;0),1,0)</f>
        <v/>
      </c>
      <c r="AG3973" s="55">
        <f>IF(AF3973=1,EOMONTH(AE3973,0),"")</f>
        <v/>
      </c>
      <c r="AH3973" s="9">
        <f>IF(AF3973=1,UPPER(TRIM(IFERROR(INDEX($A3973:$AB3973,MATCH("Client",$A$1:$AB$1,0)),"")&amp;"")),"")</f>
        <v/>
      </c>
      <c r="AI3973" s="9">
        <f>IF(AF3973=1,IFERROR(INDEX($A3973:$AB3973,MATCH("Cost Centre",$A$1:$AB$1,0)),"")&amp;"","")</f>
        <v/>
      </c>
      <c r="AJ3973" s="54">
        <f>IF(AND(AF3973=1,AE3973&gt;=set_FYStart,AE3973&lt;=set_AsAt),1,0)</f>
        <v/>
      </c>
      <c r="AK3973" s="54">
        <f>IF(AND(AJ3973=1,AH3973&lt;&gt;"",COUNTIFS($AH$2:AH3973,AH3973,$AJ$2:AJ3973,1)=1),N(AL3972)+1,"")</f>
        <v/>
      </c>
      <c r="AL3973" s="54">
        <f>IF(AK3973&lt;&gt;"",AK3973,N(AL3972))</f>
        <v/>
      </c>
    </row>
    <row r="3974">
      <c r="A3974" t="inlineStr">
        <is>
          <t>ONS-1325</t>
        </is>
      </c>
      <c r="B3974" t="inlineStr">
        <is>
          <t>Onsite</t>
        </is>
      </c>
      <c r="AB3974" t="n">
        <v>1325</v>
      </c>
      <c r="AD3974" s="52">
        <f>IFERROR(N(IFERROR(INDEX($A3974:$AB3974,MATCH("Xero Invoiced Ex GST",$A$1:$AB$1,0)),"")),0)</f>
        <v/>
      </c>
      <c r="AE3974" s="53">
        <f>IFERROR(INDEX($A3974:$AB3974,MATCH("Xero Invoice Date",$A$1:$AB$1,0)),"")</f>
        <v/>
      </c>
      <c r="AF3974" s="54">
        <f>IF(AND(IFERROR(INDEX($A3974:$AB3974,MATCH("Xero Invoice No",$A$1:$AB$1,0)),"")&amp;""&lt;&gt;"",ISNUMBER(AE3974),AD3974&lt;&gt;0),1,0)</f>
        <v/>
      </c>
      <c r="AG3974" s="55">
        <f>IF(AF3974=1,EOMONTH(AE3974,0),"")</f>
        <v/>
      </c>
      <c r="AH3974" s="9">
        <f>IF(AF3974=1,UPPER(TRIM(IFERROR(INDEX($A3974:$AB3974,MATCH("Client",$A$1:$AB$1,0)),"")&amp;"")),"")</f>
        <v/>
      </c>
      <c r="AI3974" s="9">
        <f>IF(AF3974=1,IFERROR(INDEX($A3974:$AB3974,MATCH("Cost Centre",$A$1:$AB$1,0)),"")&amp;"","")</f>
        <v/>
      </c>
      <c r="AJ3974" s="54">
        <f>IF(AND(AF3974=1,AE3974&gt;=set_FYStart,AE3974&lt;=set_AsAt),1,0)</f>
        <v/>
      </c>
      <c r="AK3974" s="54">
        <f>IF(AND(AJ3974=1,AH3974&lt;&gt;"",COUNTIFS($AH$2:AH3974,AH3974,$AJ$2:AJ3974,1)=1),N(AL3973)+1,"")</f>
        <v/>
      </c>
      <c r="AL3974" s="54">
        <f>IF(AK3974&lt;&gt;"",AK3974,N(AL3973))</f>
        <v/>
      </c>
    </row>
    <row r="3975">
      <c r="A3975" t="inlineStr">
        <is>
          <t>PRD-1325</t>
        </is>
      </c>
      <c r="B3975" t="inlineStr">
        <is>
          <t>Production</t>
        </is>
      </c>
      <c r="AB3975" t="n">
        <v>1325</v>
      </c>
      <c r="AD3975" s="52">
        <f>IFERROR(N(IFERROR(INDEX($A3975:$AB3975,MATCH("Xero Invoiced Ex GST",$A$1:$AB$1,0)),"")),0)</f>
        <v/>
      </c>
      <c r="AE3975" s="53">
        <f>IFERROR(INDEX($A3975:$AB3975,MATCH("Xero Invoice Date",$A$1:$AB$1,0)),"")</f>
        <v/>
      </c>
      <c r="AF3975" s="54">
        <f>IF(AND(IFERROR(INDEX($A3975:$AB3975,MATCH("Xero Invoice No",$A$1:$AB$1,0)),"")&amp;""&lt;&gt;"",ISNUMBER(AE3975),AD3975&lt;&gt;0),1,0)</f>
        <v/>
      </c>
      <c r="AG3975" s="55">
        <f>IF(AF3975=1,EOMONTH(AE3975,0),"")</f>
        <v/>
      </c>
      <c r="AH3975" s="9">
        <f>IF(AF3975=1,UPPER(TRIM(IFERROR(INDEX($A3975:$AB3975,MATCH("Client",$A$1:$AB$1,0)),"")&amp;"")),"")</f>
        <v/>
      </c>
      <c r="AI3975" s="9">
        <f>IF(AF3975=1,IFERROR(INDEX($A3975:$AB3975,MATCH("Cost Centre",$A$1:$AB$1,0)),"")&amp;"","")</f>
        <v/>
      </c>
      <c r="AJ3975" s="54">
        <f>IF(AND(AF3975=1,AE3975&gt;=set_FYStart,AE3975&lt;=set_AsAt),1,0)</f>
        <v/>
      </c>
      <c r="AK3975" s="54">
        <f>IF(AND(AJ3975=1,AH3975&lt;&gt;"",COUNTIFS($AH$2:AH3975,AH3975,$AJ$2:AJ3975,1)=1),N(AL3974)+1,"")</f>
        <v/>
      </c>
      <c r="AL3975" s="54">
        <f>IF(AK3975&lt;&gt;"",AK3975,N(AL3974))</f>
        <v/>
      </c>
    </row>
    <row r="3976">
      <c r="A3976" t="inlineStr">
        <is>
          <t>CON-1325</t>
        </is>
      </c>
      <c r="B3976" t="inlineStr">
        <is>
          <t>Consulting</t>
        </is>
      </c>
      <c r="AB3976" t="n">
        <v>1325</v>
      </c>
      <c r="AD3976" s="52">
        <f>IFERROR(N(IFERROR(INDEX($A3976:$AB3976,MATCH("Xero Invoiced Ex GST",$A$1:$AB$1,0)),"")),0)</f>
        <v/>
      </c>
      <c r="AE3976" s="53">
        <f>IFERROR(INDEX($A3976:$AB3976,MATCH("Xero Invoice Date",$A$1:$AB$1,0)),"")</f>
        <v/>
      </c>
      <c r="AF3976" s="54">
        <f>IF(AND(IFERROR(INDEX($A3976:$AB3976,MATCH("Xero Invoice No",$A$1:$AB$1,0)),"")&amp;""&lt;&gt;"",ISNUMBER(AE3976),AD3976&lt;&gt;0),1,0)</f>
        <v/>
      </c>
      <c r="AG3976" s="55">
        <f>IF(AF3976=1,EOMONTH(AE3976,0),"")</f>
        <v/>
      </c>
      <c r="AH3976" s="9">
        <f>IF(AF3976=1,UPPER(TRIM(IFERROR(INDEX($A3976:$AB3976,MATCH("Client",$A$1:$AB$1,0)),"")&amp;"")),"")</f>
        <v/>
      </c>
      <c r="AI3976" s="9">
        <f>IF(AF3976=1,IFERROR(INDEX($A3976:$AB3976,MATCH("Cost Centre",$A$1:$AB$1,0)),"")&amp;"","")</f>
        <v/>
      </c>
      <c r="AJ3976" s="54">
        <f>IF(AND(AF3976=1,AE3976&gt;=set_FYStart,AE3976&lt;=set_AsAt),1,0)</f>
        <v/>
      </c>
      <c r="AK3976" s="54">
        <f>IF(AND(AJ3976=1,AH3976&lt;&gt;"",COUNTIFS($AH$2:AH3976,AH3976,$AJ$2:AJ3976,1)=1),N(AL3975)+1,"")</f>
        <v/>
      </c>
      <c r="AL3976" s="54">
        <f>IF(AK3976&lt;&gt;"",AK3976,N(AL3975))</f>
        <v/>
      </c>
    </row>
    <row r="3977">
      <c r="A3977" t="inlineStr">
        <is>
          <t>ONS-1326</t>
        </is>
      </c>
      <c r="B3977" t="inlineStr">
        <is>
          <t>Onsite</t>
        </is>
      </c>
      <c r="AB3977" t="n">
        <v>1326</v>
      </c>
      <c r="AD3977" s="52">
        <f>IFERROR(N(IFERROR(INDEX($A3977:$AB3977,MATCH("Xero Invoiced Ex GST",$A$1:$AB$1,0)),"")),0)</f>
        <v/>
      </c>
      <c r="AE3977" s="53">
        <f>IFERROR(INDEX($A3977:$AB3977,MATCH("Xero Invoice Date",$A$1:$AB$1,0)),"")</f>
        <v/>
      </c>
      <c r="AF3977" s="54">
        <f>IF(AND(IFERROR(INDEX($A3977:$AB3977,MATCH("Xero Invoice No",$A$1:$AB$1,0)),"")&amp;""&lt;&gt;"",ISNUMBER(AE3977),AD3977&lt;&gt;0),1,0)</f>
        <v/>
      </c>
      <c r="AG3977" s="55">
        <f>IF(AF3977=1,EOMONTH(AE3977,0),"")</f>
        <v/>
      </c>
      <c r="AH3977" s="9">
        <f>IF(AF3977=1,UPPER(TRIM(IFERROR(INDEX($A3977:$AB3977,MATCH("Client",$A$1:$AB$1,0)),"")&amp;"")),"")</f>
        <v/>
      </c>
      <c r="AI3977" s="9">
        <f>IF(AF3977=1,IFERROR(INDEX($A3977:$AB3977,MATCH("Cost Centre",$A$1:$AB$1,0)),"")&amp;"","")</f>
        <v/>
      </c>
      <c r="AJ3977" s="54">
        <f>IF(AND(AF3977=1,AE3977&gt;=set_FYStart,AE3977&lt;=set_AsAt),1,0)</f>
        <v/>
      </c>
      <c r="AK3977" s="54">
        <f>IF(AND(AJ3977=1,AH3977&lt;&gt;"",COUNTIFS($AH$2:AH3977,AH3977,$AJ$2:AJ3977,1)=1),N(AL3976)+1,"")</f>
        <v/>
      </c>
      <c r="AL3977" s="54">
        <f>IF(AK3977&lt;&gt;"",AK3977,N(AL3976))</f>
        <v/>
      </c>
    </row>
    <row r="3978">
      <c r="A3978" t="inlineStr">
        <is>
          <t>PRD-1326</t>
        </is>
      </c>
      <c r="B3978" t="inlineStr">
        <is>
          <t>Production</t>
        </is>
      </c>
      <c r="AB3978" t="n">
        <v>1326</v>
      </c>
      <c r="AD3978" s="52">
        <f>IFERROR(N(IFERROR(INDEX($A3978:$AB3978,MATCH("Xero Invoiced Ex GST",$A$1:$AB$1,0)),"")),0)</f>
        <v/>
      </c>
      <c r="AE3978" s="53">
        <f>IFERROR(INDEX($A3978:$AB3978,MATCH("Xero Invoice Date",$A$1:$AB$1,0)),"")</f>
        <v/>
      </c>
      <c r="AF3978" s="54">
        <f>IF(AND(IFERROR(INDEX($A3978:$AB3978,MATCH("Xero Invoice No",$A$1:$AB$1,0)),"")&amp;""&lt;&gt;"",ISNUMBER(AE3978),AD3978&lt;&gt;0),1,0)</f>
        <v/>
      </c>
      <c r="AG3978" s="55">
        <f>IF(AF3978=1,EOMONTH(AE3978,0),"")</f>
        <v/>
      </c>
      <c r="AH3978" s="9">
        <f>IF(AF3978=1,UPPER(TRIM(IFERROR(INDEX($A3978:$AB3978,MATCH("Client",$A$1:$AB$1,0)),"")&amp;"")),"")</f>
        <v/>
      </c>
      <c r="AI3978" s="9">
        <f>IF(AF3978=1,IFERROR(INDEX($A3978:$AB3978,MATCH("Cost Centre",$A$1:$AB$1,0)),"")&amp;"","")</f>
        <v/>
      </c>
      <c r="AJ3978" s="54">
        <f>IF(AND(AF3978=1,AE3978&gt;=set_FYStart,AE3978&lt;=set_AsAt),1,0)</f>
        <v/>
      </c>
      <c r="AK3978" s="54">
        <f>IF(AND(AJ3978=1,AH3978&lt;&gt;"",COUNTIFS($AH$2:AH3978,AH3978,$AJ$2:AJ3978,1)=1),N(AL3977)+1,"")</f>
        <v/>
      </c>
      <c r="AL3978" s="54">
        <f>IF(AK3978&lt;&gt;"",AK3978,N(AL3977))</f>
        <v/>
      </c>
    </row>
    <row r="3979">
      <c r="A3979" t="inlineStr">
        <is>
          <t>CON-1326</t>
        </is>
      </c>
      <c r="B3979" t="inlineStr">
        <is>
          <t>Consulting</t>
        </is>
      </c>
      <c r="AB3979" t="n">
        <v>1326</v>
      </c>
      <c r="AD3979" s="52">
        <f>IFERROR(N(IFERROR(INDEX($A3979:$AB3979,MATCH("Xero Invoiced Ex GST",$A$1:$AB$1,0)),"")),0)</f>
        <v/>
      </c>
      <c r="AE3979" s="53">
        <f>IFERROR(INDEX($A3979:$AB3979,MATCH("Xero Invoice Date",$A$1:$AB$1,0)),"")</f>
        <v/>
      </c>
      <c r="AF3979" s="54">
        <f>IF(AND(IFERROR(INDEX($A3979:$AB3979,MATCH("Xero Invoice No",$A$1:$AB$1,0)),"")&amp;""&lt;&gt;"",ISNUMBER(AE3979),AD3979&lt;&gt;0),1,0)</f>
        <v/>
      </c>
      <c r="AG3979" s="55">
        <f>IF(AF3979=1,EOMONTH(AE3979,0),"")</f>
        <v/>
      </c>
      <c r="AH3979" s="9">
        <f>IF(AF3979=1,UPPER(TRIM(IFERROR(INDEX($A3979:$AB3979,MATCH("Client",$A$1:$AB$1,0)),"")&amp;"")),"")</f>
        <v/>
      </c>
      <c r="AI3979" s="9">
        <f>IF(AF3979=1,IFERROR(INDEX($A3979:$AB3979,MATCH("Cost Centre",$A$1:$AB$1,0)),"")&amp;"","")</f>
        <v/>
      </c>
      <c r="AJ3979" s="54">
        <f>IF(AND(AF3979=1,AE3979&gt;=set_FYStart,AE3979&lt;=set_AsAt),1,0)</f>
        <v/>
      </c>
      <c r="AK3979" s="54">
        <f>IF(AND(AJ3979=1,AH3979&lt;&gt;"",COUNTIFS($AH$2:AH3979,AH3979,$AJ$2:AJ3979,1)=1),N(AL3978)+1,"")</f>
        <v/>
      </c>
      <c r="AL3979" s="54">
        <f>IF(AK3979&lt;&gt;"",AK3979,N(AL3978))</f>
        <v/>
      </c>
    </row>
    <row r="3980">
      <c r="A3980" t="inlineStr">
        <is>
          <t>ONS-1327</t>
        </is>
      </c>
      <c r="B3980" t="inlineStr">
        <is>
          <t>Onsite</t>
        </is>
      </c>
      <c r="AB3980" t="n">
        <v>1327</v>
      </c>
      <c r="AD3980" s="52">
        <f>IFERROR(N(IFERROR(INDEX($A3980:$AB3980,MATCH("Xero Invoiced Ex GST",$A$1:$AB$1,0)),"")),0)</f>
        <v/>
      </c>
      <c r="AE3980" s="53">
        <f>IFERROR(INDEX($A3980:$AB3980,MATCH("Xero Invoice Date",$A$1:$AB$1,0)),"")</f>
        <v/>
      </c>
      <c r="AF3980" s="54">
        <f>IF(AND(IFERROR(INDEX($A3980:$AB3980,MATCH("Xero Invoice No",$A$1:$AB$1,0)),"")&amp;""&lt;&gt;"",ISNUMBER(AE3980),AD3980&lt;&gt;0),1,0)</f>
        <v/>
      </c>
      <c r="AG3980" s="55">
        <f>IF(AF3980=1,EOMONTH(AE3980,0),"")</f>
        <v/>
      </c>
      <c r="AH3980" s="9">
        <f>IF(AF3980=1,UPPER(TRIM(IFERROR(INDEX($A3980:$AB3980,MATCH("Client",$A$1:$AB$1,0)),"")&amp;"")),"")</f>
        <v/>
      </c>
      <c r="AI3980" s="9">
        <f>IF(AF3980=1,IFERROR(INDEX($A3980:$AB3980,MATCH("Cost Centre",$A$1:$AB$1,0)),"")&amp;"","")</f>
        <v/>
      </c>
      <c r="AJ3980" s="54">
        <f>IF(AND(AF3980=1,AE3980&gt;=set_FYStart,AE3980&lt;=set_AsAt),1,0)</f>
        <v/>
      </c>
      <c r="AK3980" s="54">
        <f>IF(AND(AJ3980=1,AH3980&lt;&gt;"",COUNTIFS($AH$2:AH3980,AH3980,$AJ$2:AJ3980,1)=1),N(AL3979)+1,"")</f>
        <v/>
      </c>
      <c r="AL3980" s="54">
        <f>IF(AK3980&lt;&gt;"",AK3980,N(AL3979))</f>
        <v/>
      </c>
    </row>
    <row r="3981">
      <c r="A3981" t="inlineStr">
        <is>
          <t>PRD-1327</t>
        </is>
      </c>
      <c r="B3981" t="inlineStr">
        <is>
          <t>Production</t>
        </is>
      </c>
      <c r="AB3981" t="n">
        <v>1327</v>
      </c>
      <c r="AD3981" s="52">
        <f>IFERROR(N(IFERROR(INDEX($A3981:$AB3981,MATCH("Xero Invoiced Ex GST",$A$1:$AB$1,0)),"")),0)</f>
        <v/>
      </c>
      <c r="AE3981" s="53">
        <f>IFERROR(INDEX($A3981:$AB3981,MATCH("Xero Invoice Date",$A$1:$AB$1,0)),"")</f>
        <v/>
      </c>
      <c r="AF3981" s="54">
        <f>IF(AND(IFERROR(INDEX($A3981:$AB3981,MATCH("Xero Invoice No",$A$1:$AB$1,0)),"")&amp;""&lt;&gt;"",ISNUMBER(AE3981),AD3981&lt;&gt;0),1,0)</f>
        <v/>
      </c>
      <c r="AG3981" s="55">
        <f>IF(AF3981=1,EOMONTH(AE3981,0),"")</f>
        <v/>
      </c>
      <c r="AH3981" s="9">
        <f>IF(AF3981=1,UPPER(TRIM(IFERROR(INDEX($A3981:$AB3981,MATCH("Client",$A$1:$AB$1,0)),"")&amp;"")),"")</f>
        <v/>
      </c>
      <c r="AI3981" s="9">
        <f>IF(AF3981=1,IFERROR(INDEX($A3981:$AB3981,MATCH("Cost Centre",$A$1:$AB$1,0)),"")&amp;"","")</f>
        <v/>
      </c>
      <c r="AJ3981" s="54">
        <f>IF(AND(AF3981=1,AE3981&gt;=set_FYStart,AE3981&lt;=set_AsAt),1,0)</f>
        <v/>
      </c>
      <c r="AK3981" s="54">
        <f>IF(AND(AJ3981=1,AH3981&lt;&gt;"",COUNTIFS($AH$2:AH3981,AH3981,$AJ$2:AJ3981,1)=1),N(AL3980)+1,"")</f>
        <v/>
      </c>
      <c r="AL3981" s="54">
        <f>IF(AK3981&lt;&gt;"",AK3981,N(AL3980))</f>
        <v/>
      </c>
    </row>
    <row r="3982">
      <c r="A3982" t="inlineStr">
        <is>
          <t>CON-1327</t>
        </is>
      </c>
      <c r="B3982" t="inlineStr">
        <is>
          <t>Consulting</t>
        </is>
      </c>
      <c r="AB3982" t="n">
        <v>1327</v>
      </c>
      <c r="AD3982" s="52">
        <f>IFERROR(N(IFERROR(INDEX($A3982:$AB3982,MATCH("Xero Invoiced Ex GST",$A$1:$AB$1,0)),"")),0)</f>
        <v/>
      </c>
      <c r="AE3982" s="53">
        <f>IFERROR(INDEX($A3982:$AB3982,MATCH("Xero Invoice Date",$A$1:$AB$1,0)),"")</f>
        <v/>
      </c>
      <c r="AF3982" s="54">
        <f>IF(AND(IFERROR(INDEX($A3982:$AB3982,MATCH("Xero Invoice No",$A$1:$AB$1,0)),"")&amp;""&lt;&gt;"",ISNUMBER(AE3982),AD3982&lt;&gt;0),1,0)</f>
        <v/>
      </c>
      <c r="AG3982" s="55">
        <f>IF(AF3982=1,EOMONTH(AE3982,0),"")</f>
        <v/>
      </c>
      <c r="AH3982" s="9">
        <f>IF(AF3982=1,UPPER(TRIM(IFERROR(INDEX($A3982:$AB3982,MATCH("Client",$A$1:$AB$1,0)),"")&amp;"")),"")</f>
        <v/>
      </c>
      <c r="AI3982" s="9">
        <f>IF(AF3982=1,IFERROR(INDEX($A3982:$AB3982,MATCH("Cost Centre",$A$1:$AB$1,0)),"")&amp;"","")</f>
        <v/>
      </c>
      <c r="AJ3982" s="54">
        <f>IF(AND(AF3982=1,AE3982&gt;=set_FYStart,AE3982&lt;=set_AsAt),1,0)</f>
        <v/>
      </c>
      <c r="AK3982" s="54">
        <f>IF(AND(AJ3982=1,AH3982&lt;&gt;"",COUNTIFS($AH$2:AH3982,AH3982,$AJ$2:AJ3982,1)=1),N(AL3981)+1,"")</f>
        <v/>
      </c>
      <c r="AL3982" s="54">
        <f>IF(AK3982&lt;&gt;"",AK3982,N(AL3981))</f>
        <v/>
      </c>
    </row>
    <row r="3983">
      <c r="A3983" t="inlineStr">
        <is>
          <t>ONS-1328</t>
        </is>
      </c>
      <c r="B3983" t="inlineStr">
        <is>
          <t>Onsite</t>
        </is>
      </c>
      <c r="AB3983" t="n">
        <v>1328</v>
      </c>
      <c r="AD3983" s="52">
        <f>IFERROR(N(IFERROR(INDEX($A3983:$AB3983,MATCH("Xero Invoiced Ex GST",$A$1:$AB$1,0)),"")),0)</f>
        <v/>
      </c>
      <c r="AE3983" s="53">
        <f>IFERROR(INDEX($A3983:$AB3983,MATCH("Xero Invoice Date",$A$1:$AB$1,0)),"")</f>
        <v/>
      </c>
      <c r="AF3983" s="54">
        <f>IF(AND(IFERROR(INDEX($A3983:$AB3983,MATCH("Xero Invoice No",$A$1:$AB$1,0)),"")&amp;""&lt;&gt;"",ISNUMBER(AE3983),AD3983&lt;&gt;0),1,0)</f>
        <v/>
      </c>
      <c r="AG3983" s="55">
        <f>IF(AF3983=1,EOMONTH(AE3983,0),"")</f>
        <v/>
      </c>
      <c r="AH3983" s="9">
        <f>IF(AF3983=1,UPPER(TRIM(IFERROR(INDEX($A3983:$AB3983,MATCH("Client",$A$1:$AB$1,0)),"")&amp;"")),"")</f>
        <v/>
      </c>
      <c r="AI3983" s="9">
        <f>IF(AF3983=1,IFERROR(INDEX($A3983:$AB3983,MATCH("Cost Centre",$A$1:$AB$1,0)),"")&amp;"","")</f>
        <v/>
      </c>
      <c r="AJ3983" s="54">
        <f>IF(AND(AF3983=1,AE3983&gt;=set_FYStart,AE3983&lt;=set_AsAt),1,0)</f>
        <v/>
      </c>
      <c r="AK3983" s="54">
        <f>IF(AND(AJ3983=1,AH3983&lt;&gt;"",COUNTIFS($AH$2:AH3983,AH3983,$AJ$2:AJ3983,1)=1),N(AL3982)+1,"")</f>
        <v/>
      </c>
      <c r="AL3983" s="54">
        <f>IF(AK3983&lt;&gt;"",AK3983,N(AL3982))</f>
        <v/>
      </c>
    </row>
    <row r="3984">
      <c r="A3984" t="inlineStr">
        <is>
          <t>PRD-1328</t>
        </is>
      </c>
      <c r="B3984" t="inlineStr">
        <is>
          <t>Production</t>
        </is>
      </c>
      <c r="AB3984" t="n">
        <v>1328</v>
      </c>
      <c r="AD3984" s="52">
        <f>IFERROR(N(IFERROR(INDEX($A3984:$AB3984,MATCH("Xero Invoiced Ex GST",$A$1:$AB$1,0)),"")),0)</f>
        <v/>
      </c>
      <c r="AE3984" s="53">
        <f>IFERROR(INDEX($A3984:$AB3984,MATCH("Xero Invoice Date",$A$1:$AB$1,0)),"")</f>
        <v/>
      </c>
      <c r="AF3984" s="54">
        <f>IF(AND(IFERROR(INDEX($A3984:$AB3984,MATCH("Xero Invoice No",$A$1:$AB$1,0)),"")&amp;""&lt;&gt;"",ISNUMBER(AE3984),AD3984&lt;&gt;0),1,0)</f>
        <v/>
      </c>
      <c r="AG3984" s="55">
        <f>IF(AF3984=1,EOMONTH(AE3984,0),"")</f>
        <v/>
      </c>
      <c r="AH3984" s="9">
        <f>IF(AF3984=1,UPPER(TRIM(IFERROR(INDEX($A3984:$AB3984,MATCH("Client",$A$1:$AB$1,0)),"")&amp;"")),"")</f>
        <v/>
      </c>
      <c r="AI3984" s="9">
        <f>IF(AF3984=1,IFERROR(INDEX($A3984:$AB3984,MATCH("Cost Centre",$A$1:$AB$1,0)),"")&amp;"","")</f>
        <v/>
      </c>
      <c r="AJ3984" s="54">
        <f>IF(AND(AF3984=1,AE3984&gt;=set_FYStart,AE3984&lt;=set_AsAt),1,0)</f>
        <v/>
      </c>
      <c r="AK3984" s="54">
        <f>IF(AND(AJ3984=1,AH3984&lt;&gt;"",COUNTIFS($AH$2:AH3984,AH3984,$AJ$2:AJ3984,1)=1),N(AL3983)+1,"")</f>
        <v/>
      </c>
      <c r="AL3984" s="54">
        <f>IF(AK3984&lt;&gt;"",AK3984,N(AL3983))</f>
        <v/>
      </c>
    </row>
    <row r="3985">
      <c r="A3985" t="inlineStr">
        <is>
          <t>CON-1328</t>
        </is>
      </c>
      <c r="B3985" t="inlineStr">
        <is>
          <t>Consulting</t>
        </is>
      </c>
      <c r="AB3985" t="n">
        <v>1328</v>
      </c>
      <c r="AD3985" s="52">
        <f>IFERROR(N(IFERROR(INDEX($A3985:$AB3985,MATCH("Xero Invoiced Ex GST",$A$1:$AB$1,0)),"")),0)</f>
        <v/>
      </c>
      <c r="AE3985" s="53">
        <f>IFERROR(INDEX($A3985:$AB3985,MATCH("Xero Invoice Date",$A$1:$AB$1,0)),"")</f>
        <v/>
      </c>
      <c r="AF3985" s="54">
        <f>IF(AND(IFERROR(INDEX($A3985:$AB3985,MATCH("Xero Invoice No",$A$1:$AB$1,0)),"")&amp;""&lt;&gt;"",ISNUMBER(AE3985),AD3985&lt;&gt;0),1,0)</f>
        <v/>
      </c>
      <c r="AG3985" s="55">
        <f>IF(AF3985=1,EOMONTH(AE3985,0),"")</f>
        <v/>
      </c>
      <c r="AH3985" s="9">
        <f>IF(AF3985=1,UPPER(TRIM(IFERROR(INDEX($A3985:$AB3985,MATCH("Client",$A$1:$AB$1,0)),"")&amp;"")),"")</f>
        <v/>
      </c>
      <c r="AI3985" s="9">
        <f>IF(AF3985=1,IFERROR(INDEX($A3985:$AB3985,MATCH("Cost Centre",$A$1:$AB$1,0)),"")&amp;"","")</f>
        <v/>
      </c>
      <c r="AJ3985" s="54">
        <f>IF(AND(AF3985=1,AE3985&gt;=set_FYStart,AE3985&lt;=set_AsAt),1,0)</f>
        <v/>
      </c>
      <c r="AK3985" s="54">
        <f>IF(AND(AJ3985=1,AH3985&lt;&gt;"",COUNTIFS($AH$2:AH3985,AH3985,$AJ$2:AJ3985,1)=1),N(AL3984)+1,"")</f>
        <v/>
      </c>
      <c r="AL3985" s="54">
        <f>IF(AK3985&lt;&gt;"",AK3985,N(AL3984))</f>
        <v/>
      </c>
    </row>
    <row r="3986">
      <c r="A3986" t="inlineStr">
        <is>
          <t>ONS-1329</t>
        </is>
      </c>
      <c r="B3986" t="inlineStr">
        <is>
          <t>Onsite</t>
        </is>
      </c>
      <c r="AB3986" t="n">
        <v>1329</v>
      </c>
      <c r="AD3986" s="52">
        <f>IFERROR(N(IFERROR(INDEX($A3986:$AB3986,MATCH("Xero Invoiced Ex GST",$A$1:$AB$1,0)),"")),0)</f>
        <v/>
      </c>
      <c r="AE3986" s="53">
        <f>IFERROR(INDEX($A3986:$AB3986,MATCH("Xero Invoice Date",$A$1:$AB$1,0)),"")</f>
        <v/>
      </c>
      <c r="AF3986" s="54">
        <f>IF(AND(IFERROR(INDEX($A3986:$AB3986,MATCH("Xero Invoice No",$A$1:$AB$1,0)),"")&amp;""&lt;&gt;"",ISNUMBER(AE3986),AD3986&lt;&gt;0),1,0)</f>
        <v/>
      </c>
      <c r="AG3986" s="55">
        <f>IF(AF3986=1,EOMONTH(AE3986,0),"")</f>
        <v/>
      </c>
      <c r="AH3986" s="9">
        <f>IF(AF3986=1,UPPER(TRIM(IFERROR(INDEX($A3986:$AB3986,MATCH("Client",$A$1:$AB$1,0)),"")&amp;"")),"")</f>
        <v/>
      </c>
      <c r="AI3986" s="9">
        <f>IF(AF3986=1,IFERROR(INDEX($A3986:$AB3986,MATCH("Cost Centre",$A$1:$AB$1,0)),"")&amp;"","")</f>
        <v/>
      </c>
      <c r="AJ3986" s="54">
        <f>IF(AND(AF3986=1,AE3986&gt;=set_FYStart,AE3986&lt;=set_AsAt),1,0)</f>
        <v/>
      </c>
      <c r="AK3986" s="54">
        <f>IF(AND(AJ3986=1,AH3986&lt;&gt;"",COUNTIFS($AH$2:AH3986,AH3986,$AJ$2:AJ3986,1)=1),N(AL3985)+1,"")</f>
        <v/>
      </c>
      <c r="AL3986" s="54">
        <f>IF(AK3986&lt;&gt;"",AK3986,N(AL3985))</f>
        <v/>
      </c>
    </row>
    <row r="3987">
      <c r="A3987" t="inlineStr">
        <is>
          <t>PRD-1329</t>
        </is>
      </c>
      <c r="B3987" t="inlineStr">
        <is>
          <t>Production</t>
        </is>
      </c>
      <c r="AB3987" t="n">
        <v>1329</v>
      </c>
      <c r="AD3987" s="52">
        <f>IFERROR(N(IFERROR(INDEX($A3987:$AB3987,MATCH("Xero Invoiced Ex GST",$A$1:$AB$1,0)),"")),0)</f>
        <v/>
      </c>
      <c r="AE3987" s="53">
        <f>IFERROR(INDEX($A3987:$AB3987,MATCH("Xero Invoice Date",$A$1:$AB$1,0)),"")</f>
        <v/>
      </c>
      <c r="AF3987" s="54">
        <f>IF(AND(IFERROR(INDEX($A3987:$AB3987,MATCH("Xero Invoice No",$A$1:$AB$1,0)),"")&amp;""&lt;&gt;"",ISNUMBER(AE3987),AD3987&lt;&gt;0),1,0)</f>
        <v/>
      </c>
      <c r="AG3987" s="55">
        <f>IF(AF3987=1,EOMONTH(AE3987,0),"")</f>
        <v/>
      </c>
      <c r="AH3987" s="9">
        <f>IF(AF3987=1,UPPER(TRIM(IFERROR(INDEX($A3987:$AB3987,MATCH("Client",$A$1:$AB$1,0)),"")&amp;"")),"")</f>
        <v/>
      </c>
      <c r="AI3987" s="9">
        <f>IF(AF3987=1,IFERROR(INDEX($A3987:$AB3987,MATCH("Cost Centre",$A$1:$AB$1,0)),"")&amp;"","")</f>
        <v/>
      </c>
      <c r="AJ3987" s="54">
        <f>IF(AND(AF3987=1,AE3987&gt;=set_FYStart,AE3987&lt;=set_AsAt),1,0)</f>
        <v/>
      </c>
      <c r="AK3987" s="54">
        <f>IF(AND(AJ3987=1,AH3987&lt;&gt;"",COUNTIFS($AH$2:AH3987,AH3987,$AJ$2:AJ3987,1)=1),N(AL3986)+1,"")</f>
        <v/>
      </c>
      <c r="AL3987" s="54">
        <f>IF(AK3987&lt;&gt;"",AK3987,N(AL3986))</f>
        <v/>
      </c>
    </row>
    <row r="3988">
      <c r="A3988" t="inlineStr">
        <is>
          <t>CON-1329</t>
        </is>
      </c>
      <c r="B3988" t="inlineStr">
        <is>
          <t>Consulting</t>
        </is>
      </c>
      <c r="AB3988" t="n">
        <v>1329</v>
      </c>
      <c r="AD3988" s="52">
        <f>IFERROR(N(IFERROR(INDEX($A3988:$AB3988,MATCH("Xero Invoiced Ex GST",$A$1:$AB$1,0)),"")),0)</f>
        <v/>
      </c>
      <c r="AE3988" s="53">
        <f>IFERROR(INDEX($A3988:$AB3988,MATCH("Xero Invoice Date",$A$1:$AB$1,0)),"")</f>
        <v/>
      </c>
      <c r="AF3988" s="54">
        <f>IF(AND(IFERROR(INDEX($A3988:$AB3988,MATCH("Xero Invoice No",$A$1:$AB$1,0)),"")&amp;""&lt;&gt;"",ISNUMBER(AE3988),AD3988&lt;&gt;0),1,0)</f>
        <v/>
      </c>
      <c r="AG3988" s="55">
        <f>IF(AF3988=1,EOMONTH(AE3988,0),"")</f>
        <v/>
      </c>
      <c r="AH3988" s="9">
        <f>IF(AF3988=1,UPPER(TRIM(IFERROR(INDEX($A3988:$AB3988,MATCH("Client",$A$1:$AB$1,0)),"")&amp;"")),"")</f>
        <v/>
      </c>
      <c r="AI3988" s="9">
        <f>IF(AF3988=1,IFERROR(INDEX($A3988:$AB3988,MATCH("Cost Centre",$A$1:$AB$1,0)),"")&amp;"","")</f>
        <v/>
      </c>
      <c r="AJ3988" s="54">
        <f>IF(AND(AF3988=1,AE3988&gt;=set_FYStart,AE3988&lt;=set_AsAt),1,0)</f>
        <v/>
      </c>
      <c r="AK3988" s="54">
        <f>IF(AND(AJ3988=1,AH3988&lt;&gt;"",COUNTIFS($AH$2:AH3988,AH3988,$AJ$2:AJ3988,1)=1),N(AL3987)+1,"")</f>
        <v/>
      </c>
      <c r="AL3988" s="54">
        <f>IF(AK3988&lt;&gt;"",AK3988,N(AL3987))</f>
        <v/>
      </c>
    </row>
    <row r="3989">
      <c r="A3989" t="inlineStr">
        <is>
          <t>ONS-1330</t>
        </is>
      </c>
      <c r="B3989" t="inlineStr">
        <is>
          <t>Onsite</t>
        </is>
      </c>
      <c r="AB3989" t="n">
        <v>1330</v>
      </c>
      <c r="AD3989" s="52">
        <f>IFERROR(N(IFERROR(INDEX($A3989:$AB3989,MATCH("Xero Invoiced Ex GST",$A$1:$AB$1,0)),"")),0)</f>
        <v/>
      </c>
      <c r="AE3989" s="53">
        <f>IFERROR(INDEX($A3989:$AB3989,MATCH("Xero Invoice Date",$A$1:$AB$1,0)),"")</f>
        <v/>
      </c>
      <c r="AF3989" s="54">
        <f>IF(AND(IFERROR(INDEX($A3989:$AB3989,MATCH("Xero Invoice No",$A$1:$AB$1,0)),"")&amp;""&lt;&gt;"",ISNUMBER(AE3989),AD3989&lt;&gt;0),1,0)</f>
        <v/>
      </c>
      <c r="AG3989" s="55">
        <f>IF(AF3989=1,EOMONTH(AE3989,0),"")</f>
        <v/>
      </c>
      <c r="AH3989" s="9">
        <f>IF(AF3989=1,UPPER(TRIM(IFERROR(INDEX($A3989:$AB3989,MATCH("Client",$A$1:$AB$1,0)),"")&amp;"")),"")</f>
        <v/>
      </c>
      <c r="AI3989" s="9">
        <f>IF(AF3989=1,IFERROR(INDEX($A3989:$AB3989,MATCH("Cost Centre",$A$1:$AB$1,0)),"")&amp;"","")</f>
        <v/>
      </c>
      <c r="AJ3989" s="54">
        <f>IF(AND(AF3989=1,AE3989&gt;=set_FYStart,AE3989&lt;=set_AsAt),1,0)</f>
        <v/>
      </c>
      <c r="AK3989" s="54">
        <f>IF(AND(AJ3989=1,AH3989&lt;&gt;"",COUNTIFS($AH$2:AH3989,AH3989,$AJ$2:AJ3989,1)=1),N(AL3988)+1,"")</f>
        <v/>
      </c>
      <c r="AL3989" s="54">
        <f>IF(AK3989&lt;&gt;"",AK3989,N(AL3988))</f>
        <v/>
      </c>
    </row>
    <row r="3990">
      <c r="A3990" t="inlineStr">
        <is>
          <t>PRD-1330</t>
        </is>
      </c>
      <c r="B3990" t="inlineStr">
        <is>
          <t>Production</t>
        </is>
      </c>
      <c r="AB3990" t="n">
        <v>1330</v>
      </c>
      <c r="AD3990" s="52">
        <f>IFERROR(N(IFERROR(INDEX($A3990:$AB3990,MATCH("Xero Invoiced Ex GST",$A$1:$AB$1,0)),"")),0)</f>
        <v/>
      </c>
      <c r="AE3990" s="53">
        <f>IFERROR(INDEX($A3990:$AB3990,MATCH("Xero Invoice Date",$A$1:$AB$1,0)),"")</f>
        <v/>
      </c>
      <c r="AF3990" s="54">
        <f>IF(AND(IFERROR(INDEX($A3990:$AB3990,MATCH("Xero Invoice No",$A$1:$AB$1,0)),"")&amp;""&lt;&gt;"",ISNUMBER(AE3990),AD3990&lt;&gt;0),1,0)</f>
        <v/>
      </c>
      <c r="AG3990" s="55">
        <f>IF(AF3990=1,EOMONTH(AE3990,0),"")</f>
        <v/>
      </c>
      <c r="AH3990" s="9">
        <f>IF(AF3990=1,UPPER(TRIM(IFERROR(INDEX($A3990:$AB3990,MATCH("Client",$A$1:$AB$1,0)),"")&amp;"")),"")</f>
        <v/>
      </c>
      <c r="AI3990" s="9">
        <f>IF(AF3990=1,IFERROR(INDEX($A3990:$AB3990,MATCH("Cost Centre",$A$1:$AB$1,0)),"")&amp;"","")</f>
        <v/>
      </c>
      <c r="AJ3990" s="54">
        <f>IF(AND(AF3990=1,AE3990&gt;=set_FYStart,AE3990&lt;=set_AsAt),1,0)</f>
        <v/>
      </c>
      <c r="AK3990" s="54">
        <f>IF(AND(AJ3990=1,AH3990&lt;&gt;"",COUNTIFS($AH$2:AH3990,AH3990,$AJ$2:AJ3990,1)=1),N(AL3989)+1,"")</f>
        <v/>
      </c>
      <c r="AL3990" s="54">
        <f>IF(AK3990&lt;&gt;"",AK3990,N(AL3989))</f>
        <v/>
      </c>
    </row>
    <row r="3991">
      <c r="A3991" t="inlineStr">
        <is>
          <t>CON-1330</t>
        </is>
      </c>
      <c r="B3991" t="inlineStr">
        <is>
          <t>Consulting</t>
        </is>
      </c>
      <c r="AB3991" t="n">
        <v>1330</v>
      </c>
      <c r="AD3991" s="52">
        <f>IFERROR(N(IFERROR(INDEX($A3991:$AB3991,MATCH("Xero Invoiced Ex GST",$A$1:$AB$1,0)),"")),0)</f>
        <v/>
      </c>
      <c r="AE3991" s="53">
        <f>IFERROR(INDEX($A3991:$AB3991,MATCH("Xero Invoice Date",$A$1:$AB$1,0)),"")</f>
        <v/>
      </c>
      <c r="AF3991" s="54">
        <f>IF(AND(IFERROR(INDEX($A3991:$AB3991,MATCH("Xero Invoice No",$A$1:$AB$1,0)),"")&amp;""&lt;&gt;"",ISNUMBER(AE3991),AD3991&lt;&gt;0),1,0)</f>
        <v/>
      </c>
      <c r="AG3991" s="55">
        <f>IF(AF3991=1,EOMONTH(AE3991,0),"")</f>
        <v/>
      </c>
      <c r="AH3991" s="9">
        <f>IF(AF3991=1,UPPER(TRIM(IFERROR(INDEX($A3991:$AB3991,MATCH("Client",$A$1:$AB$1,0)),"")&amp;"")),"")</f>
        <v/>
      </c>
      <c r="AI3991" s="9">
        <f>IF(AF3991=1,IFERROR(INDEX($A3991:$AB3991,MATCH("Cost Centre",$A$1:$AB$1,0)),"")&amp;"","")</f>
        <v/>
      </c>
      <c r="AJ3991" s="54">
        <f>IF(AND(AF3991=1,AE3991&gt;=set_FYStart,AE3991&lt;=set_AsAt),1,0)</f>
        <v/>
      </c>
      <c r="AK3991" s="54">
        <f>IF(AND(AJ3991=1,AH3991&lt;&gt;"",COUNTIFS($AH$2:AH3991,AH3991,$AJ$2:AJ3991,1)=1),N(AL3990)+1,"")</f>
        <v/>
      </c>
      <c r="AL3991" s="54">
        <f>IF(AK3991&lt;&gt;"",AK3991,N(AL3990))</f>
        <v/>
      </c>
    </row>
    <row r="3992">
      <c r="A3992" t="inlineStr">
        <is>
          <t>ONS-1331</t>
        </is>
      </c>
      <c r="B3992" t="inlineStr">
        <is>
          <t>Onsite</t>
        </is>
      </c>
      <c r="AB3992" t="n">
        <v>1331</v>
      </c>
      <c r="AD3992" s="52">
        <f>IFERROR(N(IFERROR(INDEX($A3992:$AB3992,MATCH("Xero Invoiced Ex GST",$A$1:$AB$1,0)),"")),0)</f>
        <v/>
      </c>
      <c r="AE3992" s="53">
        <f>IFERROR(INDEX($A3992:$AB3992,MATCH("Xero Invoice Date",$A$1:$AB$1,0)),"")</f>
        <v/>
      </c>
      <c r="AF3992" s="54">
        <f>IF(AND(IFERROR(INDEX($A3992:$AB3992,MATCH("Xero Invoice No",$A$1:$AB$1,0)),"")&amp;""&lt;&gt;"",ISNUMBER(AE3992),AD3992&lt;&gt;0),1,0)</f>
        <v/>
      </c>
      <c r="AG3992" s="55">
        <f>IF(AF3992=1,EOMONTH(AE3992,0),"")</f>
        <v/>
      </c>
      <c r="AH3992" s="9">
        <f>IF(AF3992=1,UPPER(TRIM(IFERROR(INDEX($A3992:$AB3992,MATCH("Client",$A$1:$AB$1,0)),"")&amp;"")),"")</f>
        <v/>
      </c>
      <c r="AI3992" s="9">
        <f>IF(AF3992=1,IFERROR(INDEX($A3992:$AB3992,MATCH("Cost Centre",$A$1:$AB$1,0)),"")&amp;"","")</f>
        <v/>
      </c>
      <c r="AJ3992" s="54">
        <f>IF(AND(AF3992=1,AE3992&gt;=set_FYStart,AE3992&lt;=set_AsAt),1,0)</f>
        <v/>
      </c>
      <c r="AK3992" s="54">
        <f>IF(AND(AJ3992=1,AH3992&lt;&gt;"",COUNTIFS($AH$2:AH3992,AH3992,$AJ$2:AJ3992,1)=1),N(AL3991)+1,"")</f>
        <v/>
      </c>
      <c r="AL3992" s="54">
        <f>IF(AK3992&lt;&gt;"",AK3992,N(AL3991))</f>
        <v/>
      </c>
    </row>
    <row r="3993">
      <c r="A3993" t="inlineStr">
        <is>
          <t>PRD-1331</t>
        </is>
      </c>
      <c r="B3993" t="inlineStr">
        <is>
          <t>Production</t>
        </is>
      </c>
      <c r="AB3993" t="n">
        <v>1331</v>
      </c>
      <c r="AD3993" s="52">
        <f>IFERROR(N(IFERROR(INDEX($A3993:$AB3993,MATCH("Xero Invoiced Ex GST",$A$1:$AB$1,0)),"")),0)</f>
        <v/>
      </c>
      <c r="AE3993" s="53">
        <f>IFERROR(INDEX($A3993:$AB3993,MATCH("Xero Invoice Date",$A$1:$AB$1,0)),"")</f>
        <v/>
      </c>
      <c r="AF3993" s="54">
        <f>IF(AND(IFERROR(INDEX($A3993:$AB3993,MATCH("Xero Invoice No",$A$1:$AB$1,0)),"")&amp;""&lt;&gt;"",ISNUMBER(AE3993),AD3993&lt;&gt;0),1,0)</f>
        <v/>
      </c>
      <c r="AG3993" s="55">
        <f>IF(AF3993=1,EOMONTH(AE3993,0),"")</f>
        <v/>
      </c>
      <c r="AH3993" s="9">
        <f>IF(AF3993=1,UPPER(TRIM(IFERROR(INDEX($A3993:$AB3993,MATCH("Client",$A$1:$AB$1,0)),"")&amp;"")),"")</f>
        <v/>
      </c>
      <c r="AI3993" s="9">
        <f>IF(AF3993=1,IFERROR(INDEX($A3993:$AB3993,MATCH("Cost Centre",$A$1:$AB$1,0)),"")&amp;"","")</f>
        <v/>
      </c>
      <c r="AJ3993" s="54">
        <f>IF(AND(AF3993=1,AE3993&gt;=set_FYStart,AE3993&lt;=set_AsAt),1,0)</f>
        <v/>
      </c>
      <c r="AK3993" s="54">
        <f>IF(AND(AJ3993=1,AH3993&lt;&gt;"",COUNTIFS($AH$2:AH3993,AH3993,$AJ$2:AJ3993,1)=1),N(AL3992)+1,"")</f>
        <v/>
      </c>
      <c r="AL3993" s="54">
        <f>IF(AK3993&lt;&gt;"",AK3993,N(AL3992))</f>
        <v/>
      </c>
    </row>
    <row r="3994">
      <c r="A3994" t="inlineStr">
        <is>
          <t>CON-1331</t>
        </is>
      </c>
      <c r="B3994" t="inlineStr">
        <is>
          <t>Consulting</t>
        </is>
      </c>
      <c r="AB3994" t="n">
        <v>1331</v>
      </c>
      <c r="AD3994" s="52">
        <f>IFERROR(N(IFERROR(INDEX($A3994:$AB3994,MATCH("Xero Invoiced Ex GST",$A$1:$AB$1,0)),"")),0)</f>
        <v/>
      </c>
      <c r="AE3994" s="53">
        <f>IFERROR(INDEX($A3994:$AB3994,MATCH("Xero Invoice Date",$A$1:$AB$1,0)),"")</f>
        <v/>
      </c>
      <c r="AF3994" s="54">
        <f>IF(AND(IFERROR(INDEX($A3994:$AB3994,MATCH("Xero Invoice No",$A$1:$AB$1,0)),"")&amp;""&lt;&gt;"",ISNUMBER(AE3994),AD3994&lt;&gt;0),1,0)</f>
        <v/>
      </c>
      <c r="AG3994" s="55">
        <f>IF(AF3994=1,EOMONTH(AE3994,0),"")</f>
        <v/>
      </c>
      <c r="AH3994" s="9">
        <f>IF(AF3994=1,UPPER(TRIM(IFERROR(INDEX($A3994:$AB3994,MATCH("Client",$A$1:$AB$1,0)),"")&amp;"")),"")</f>
        <v/>
      </c>
      <c r="AI3994" s="9">
        <f>IF(AF3994=1,IFERROR(INDEX($A3994:$AB3994,MATCH("Cost Centre",$A$1:$AB$1,0)),"")&amp;"","")</f>
        <v/>
      </c>
      <c r="AJ3994" s="54">
        <f>IF(AND(AF3994=1,AE3994&gt;=set_FYStart,AE3994&lt;=set_AsAt),1,0)</f>
        <v/>
      </c>
      <c r="AK3994" s="54">
        <f>IF(AND(AJ3994=1,AH3994&lt;&gt;"",COUNTIFS($AH$2:AH3994,AH3994,$AJ$2:AJ3994,1)=1),N(AL3993)+1,"")</f>
        <v/>
      </c>
      <c r="AL3994" s="54">
        <f>IF(AK3994&lt;&gt;"",AK3994,N(AL3993))</f>
        <v/>
      </c>
    </row>
    <row r="3995">
      <c r="A3995" t="inlineStr">
        <is>
          <t>ONS-1332</t>
        </is>
      </c>
      <c r="B3995" t="inlineStr">
        <is>
          <t>Onsite</t>
        </is>
      </c>
      <c r="AB3995" t="n">
        <v>1332</v>
      </c>
      <c r="AD3995" s="52">
        <f>IFERROR(N(IFERROR(INDEX($A3995:$AB3995,MATCH("Xero Invoiced Ex GST",$A$1:$AB$1,0)),"")),0)</f>
        <v/>
      </c>
      <c r="AE3995" s="53">
        <f>IFERROR(INDEX($A3995:$AB3995,MATCH("Xero Invoice Date",$A$1:$AB$1,0)),"")</f>
        <v/>
      </c>
      <c r="AF3995" s="54">
        <f>IF(AND(IFERROR(INDEX($A3995:$AB3995,MATCH("Xero Invoice No",$A$1:$AB$1,0)),"")&amp;""&lt;&gt;"",ISNUMBER(AE3995),AD3995&lt;&gt;0),1,0)</f>
        <v/>
      </c>
      <c r="AG3995" s="55">
        <f>IF(AF3995=1,EOMONTH(AE3995,0),"")</f>
        <v/>
      </c>
      <c r="AH3995" s="9">
        <f>IF(AF3995=1,UPPER(TRIM(IFERROR(INDEX($A3995:$AB3995,MATCH("Client",$A$1:$AB$1,0)),"")&amp;"")),"")</f>
        <v/>
      </c>
      <c r="AI3995" s="9">
        <f>IF(AF3995=1,IFERROR(INDEX($A3995:$AB3995,MATCH("Cost Centre",$A$1:$AB$1,0)),"")&amp;"","")</f>
        <v/>
      </c>
      <c r="AJ3995" s="54">
        <f>IF(AND(AF3995=1,AE3995&gt;=set_FYStart,AE3995&lt;=set_AsAt),1,0)</f>
        <v/>
      </c>
      <c r="AK3995" s="54">
        <f>IF(AND(AJ3995=1,AH3995&lt;&gt;"",COUNTIFS($AH$2:AH3995,AH3995,$AJ$2:AJ3995,1)=1),N(AL3994)+1,"")</f>
        <v/>
      </c>
      <c r="AL3995" s="54">
        <f>IF(AK3995&lt;&gt;"",AK3995,N(AL3994))</f>
        <v/>
      </c>
    </row>
    <row r="3996">
      <c r="A3996" t="inlineStr">
        <is>
          <t>PRD-1332</t>
        </is>
      </c>
      <c r="B3996" t="inlineStr">
        <is>
          <t>Production</t>
        </is>
      </c>
      <c r="AB3996" t="n">
        <v>1332</v>
      </c>
      <c r="AD3996" s="52">
        <f>IFERROR(N(IFERROR(INDEX($A3996:$AB3996,MATCH("Xero Invoiced Ex GST",$A$1:$AB$1,0)),"")),0)</f>
        <v/>
      </c>
      <c r="AE3996" s="53">
        <f>IFERROR(INDEX($A3996:$AB3996,MATCH("Xero Invoice Date",$A$1:$AB$1,0)),"")</f>
        <v/>
      </c>
      <c r="AF3996" s="54">
        <f>IF(AND(IFERROR(INDEX($A3996:$AB3996,MATCH("Xero Invoice No",$A$1:$AB$1,0)),"")&amp;""&lt;&gt;"",ISNUMBER(AE3996),AD3996&lt;&gt;0),1,0)</f>
        <v/>
      </c>
      <c r="AG3996" s="55">
        <f>IF(AF3996=1,EOMONTH(AE3996,0),"")</f>
        <v/>
      </c>
      <c r="AH3996" s="9">
        <f>IF(AF3996=1,UPPER(TRIM(IFERROR(INDEX($A3996:$AB3996,MATCH("Client",$A$1:$AB$1,0)),"")&amp;"")),"")</f>
        <v/>
      </c>
      <c r="AI3996" s="9">
        <f>IF(AF3996=1,IFERROR(INDEX($A3996:$AB3996,MATCH("Cost Centre",$A$1:$AB$1,0)),"")&amp;"","")</f>
        <v/>
      </c>
      <c r="AJ3996" s="54">
        <f>IF(AND(AF3996=1,AE3996&gt;=set_FYStart,AE3996&lt;=set_AsAt),1,0)</f>
        <v/>
      </c>
      <c r="AK3996" s="54">
        <f>IF(AND(AJ3996=1,AH3996&lt;&gt;"",COUNTIFS($AH$2:AH3996,AH3996,$AJ$2:AJ3996,1)=1),N(AL3995)+1,"")</f>
        <v/>
      </c>
      <c r="AL3996" s="54">
        <f>IF(AK3996&lt;&gt;"",AK3996,N(AL3995))</f>
        <v/>
      </c>
    </row>
    <row r="3997">
      <c r="A3997" t="inlineStr">
        <is>
          <t>CON-1332</t>
        </is>
      </c>
      <c r="B3997" t="inlineStr">
        <is>
          <t>Consulting</t>
        </is>
      </c>
      <c r="AB3997" t="n">
        <v>1332</v>
      </c>
      <c r="AD3997" s="52">
        <f>IFERROR(N(IFERROR(INDEX($A3997:$AB3997,MATCH("Xero Invoiced Ex GST",$A$1:$AB$1,0)),"")),0)</f>
        <v/>
      </c>
      <c r="AE3997" s="53">
        <f>IFERROR(INDEX($A3997:$AB3997,MATCH("Xero Invoice Date",$A$1:$AB$1,0)),"")</f>
        <v/>
      </c>
      <c r="AF3997" s="54">
        <f>IF(AND(IFERROR(INDEX($A3997:$AB3997,MATCH("Xero Invoice No",$A$1:$AB$1,0)),"")&amp;""&lt;&gt;"",ISNUMBER(AE3997),AD3997&lt;&gt;0),1,0)</f>
        <v/>
      </c>
      <c r="AG3997" s="55">
        <f>IF(AF3997=1,EOMONTH(AE3997,0),"")</f>
        <v/>
      </c>
      <c r="AH3997" s="9">
        <f>IF(AF3997=1,UPPER(TRIM(IFERROR(INDEX($A3997:$AB3997,MATCH("Client",$A$1:$AB$1,0)),"")&amp;"")),"")</f>
        <v/>
      </c>
      <c r="AI3997" s="9">
        <f>IF(AF3997=1,IFERROR(INDEX($A3997:$AB3997,MATCH("Cost Centre",$A$1:$AB$1,0)),"")&amp;"","")</f>
        <v/>
      </c>
      <c r="AJ3997" s="54">
        <f>IF(AND(AF3997=1,AE3997&gt;=set_FYStart,AE3997&lt;=set_AsAt),1,0)</f>
        <v/>
      </c>
      <c r="AK3997" s="54">
        <f>IF(AND(AJ3997=1,AH3997&lt;&gt;"",COUNTIFS($AH$2:AH3997,AH3997,$AJ$2:AJ3997,1)=1),N(AL3996)+1,"")</f>
        <v/>
      </c>
      <c r="AL3997" s="54">
        <f>IF(AK3997&lt;&gt;"",AK3997,N(AL3996))</f>
        <v/>
      </c>
    </row>
    <row r="3998">
      <c r="A3998" t="inlineStr">
        <is>
          <t>ONS-1333</t>
        </is>
      </c>
      <c r="B3998" t="inlineStr">
        <is>
          <t>Onsite</t>
        </is>
      </c>
      <c r="AB3998" t="n">
        <v>1333</v>
      </c>
      <c r="AD3998" s="52">
        <f>IFERROR(N(IFERROR(INDEX($A3998:$AB3998,MATCH("Xero Invoiced Ex GST",$A$1:$AB$1,0)),"")),0)</f>
        <v/>
      </c>
      <c r="AE3998" s="53">
        <f>IFERROR(INDEX($A3998:$AB3998,MATCH("Xero Invoice Date",$A$1:$AB$1,0)),"")</f>
        <v/>
      </c>
      <c r="AF3998" s="54">
        <f>IF(AND(IFERROR(INDEX($A3998:$AB3998,MATCH("Xero Invoice No",$A$1:$AB$1,0)),"")&amp;""&lt;&gt;"",ISNUMBER(AE3998),AD3998&lt;&gt;0),1,0)</f>
        <v/>
      </c>
      <c r="AG3998" s="55">
        <f>IF(AF3998=1,EOMONTH(AE3998,0),"")</f>
        <v/>
      </c>
      <c r="AH3998" s="9">
        <f>IF(AF3998=1,UPPER(TRIM(IFERROR(INDEX($A3998:$AB3998,MATCH("Client",$A$1:$AB$1,0)),"")&amp;"")),"")</f>
        <v/>
      </c>
      <c r="AI3998" s="9">
        <f>IF(AF3998=1,IFERROR(INDEX($A3998:$AB3998,MATCH("Cost Centre",$A$1:$AB$1,0)),"")&amp;"","")</f>
        <v/>
      </c>
      <c r="AJ3998" s="54">
        <f>IF(AND(AF3998=1,AE3998&gt;=set_FYStart,AE3998&lt;=set_AsAt),1,0)</f>
        <v/>
      </c>
      <c r="AK3998" s="54">
        <f>IF(AND(AJ3998=1,AH3998&lt;&gt;"",COUNTIFS($AH$2:AH3998,AH3998,$AJ$2:AJ3998,1)=1),N(AL3997)+1,"")</f>
        <v/>
      </c>
      <c r="AL3998" s="54">
        <f>IF(AK3998&lt;&gt;"",AK3998,N(AL3997))</f>
        <v/>
      </c>
    </row>
    <row r="3999">
      <c r="A3999" t="inlineStr">
        <is>
          <t>PRD-1333</t>
        </is>
      </c>
      <c r="B3999" t="inlineStr">
        <is>
          <t>Production</t>
        </is>
      </c>
      <c r="AB3999" t="n">
        <v>1333</v>
      </c>
      <c r="AD3999" s="52">
        <f>IFERROR(N(IFERROR(INDEX($A3999:$AB3999,MATCH("Xero Invoiced Ex GST",$A$1:$AB$1,0)),"")),0)</f>
        <v/>
      </c>
      <c r="AE3999" s="53">
        <f>IFERROR(INDEX($A3999:$AB3999,MATCH("Xero Invoice Date",$A$1:$AB$1,0)),"")</f>
        <v/>
      </c>
      <c r="AF3999" s="54">
        <f>IF(AND(IFERROR(INDEX($A3999:$AB3999,MATCH("Xero Invoice No",$A$1:$AB$1,0)),"")&amp;""&lt;&gt;"",ISNUMBER(AE3999),AD3999&lt;&gt;0),1,0)</f>
        <v/>
      </c>
      <c r="AG3999" s="55">
        <f>IF(AF3999=1,EOMONTH(AE3999,0),"")</f>
        <v/>
      </c>
      <c r="AH3999" s="9">
        <f>IF(AF3999=1,UPPER(TRIM(IFERROR(INDEX($A3999:$AB3999,MATCH("Client",$A$1:$AB$1,0)),"")&amp;"")),"")</f>
        <v/>
      </c>
      <c r="AI3999" s="9">
        <f>IF(AF3999=1,IFERROR(INDEX($A3999:$AB3999,MATCH("Cost Centre",$A$1:$AB$1,0)),"")&amp;"","")</f>
        <v/>
      </c>
      <c r="AJ3999" s="54">
        <f>IF(AND(AF3999=1,AE3999&gt;=set_FYStart,AE3999&lt;=set_AsAt),1,0)</f>
        <v/>
      </c>
      <c r="AK3999" s="54">
        <f>IF(AND(AJ3999=1,AH3999&lt;&gt;"",COUNTIFS($AH$2:AH3999,AH3999,$AJ$2:AJ3999,1)=1),N(AL3998)+1,"")</f>
        <v/>
      </c>
      <c r="AL3999" s="54">
        <f>IF(AK3999&lt;&gt;"",AK3999,N(AL3998))</f>
        <v/>
      </c>
    </row>
    <row r="4000">
      <c r="A4000" t="inlineStr">
        <is>
          <t>CON-1333</t>
        </is>
      </c>
      <c r="B4000" t="inlineStr">
        <is>
          <t>Consulting</t>
        </is>
      </c>
      <c r="AB4000" t="n">
        <v>1333</v>
      </c>
      <c r="AD4000" s="52">
        <f>IFERROR(N(IFERROR(INDEX($A4000:$AB4000,MATCH("Xero Invoiced Ex GST",$A$1:$AB$1,0)),"")),0)</f>
        <v/>
      </c>
      <c r="AE4000" s="53">
        <f>IFERROR(INDEX($A4000:$AB4000,MATCH("Xero Invoice Date",$A$1:$AB$1,0)),"")</f>
        <v/>
      </c>
      <c r="AF4000" s="54">
        <f>IF(AND(IFERROR(INDEX($A4000:$AB4000,MATCH("Xero Invoice No",$A$1:$AB$1,0)),"")&amp;""&lt;&gt;"",ISNUMBER(AE4000),AD4000&lt;&gt;0),1,0)</f>
        <v/>
      </c>
      <c r="AG4000" s="55">
        <f>IF(AF4000=1,EOMONTH(AE4000,0),"")</f>
        <v/>
      </c>
      <c r="AH4000" s="9">
        <f>IF(AF4000=1,UPPER(TRIM(IFERROR(INDEX($A4000:$AB4000,MATCH("Client",$A$1:$AB$1,0)),"")&amp;"")),"")</f>
        <v/>
      </c>
      <c r="AI4000" s="9">
        <f>IF(AF4000=1,IFERROR(INDEX($A4000:$AB4000,MATCH("Cost Centre",$A$1:$AB$1,0)),"")&amp;"","")</f>
        <v/>
      </c>
      <c r="AJ4000" s="54">
        <f>IF(AND(AF4000=1,AE4000&gt;=set_FYStart,AE4000&lt;=set_AsAt),1,0)</f>
        <v/>
      </c>
      <c r="AK4000" s="54">
        <f>IF(AND(AJ4000=1,AH4000&lt;&gt;"",COUNTIFS($AH$2:AH4000,AH4000,$AJ$2:AJ4000,1)=1),N(AL3999)+1,"")</f>
        <v/>
      </c>
      <c r="AL4000" s="54">
        <f>IF(AK4000&lt;&gt;"",AK4000,N(AL3999))</f>
        <v/>
      </c>
    </row>
    <row r="4001">
      <c r="A4001" t="inlineStr">
        <is>
          <t>ONS-1334</t>
        </is>
      </c>
      <c r="B4001" t="inlineStr">
        <is>
          <t>Onsite</t>
        </is>
      </c>
      <c r="AB4001" t="n">
        <v>1334</v>
      </c>
      <c r="AD4001" s="52">
        <f>IFERROR(N(IFERROR(INDEX($A4001:$AB4001,MATCH("Xero Invoiced Ex GST",$A$1:$AB$1,0)),"")),0)</f>
        <v/>
      </c>
      <c r="AE4001" s="53">
        <f>IFERROR(INDEX($A4001:$AB4001,MATCH("Xero Invoice Date",$A$1:$AB$1,0)),"")</f>
        <v/>
      </c>
      <c r="AF4001" s="54">
        <f>IF(AND(IFERROR(INDEX($A4001:$AB4001,MATCH("Xero Invoice No",$A$1:$AB$1,0)),"")&amp;""&lt;&gt;"",ISNUMBER(AE4001),AD4001&lt;&gt;0),1,0)</f>
        <v/>
      </c>
      <c r="AG4001" s="55">
        <f>IF(AF4001=1,EOMONTH(AE4001,0),"")</f>
        <v/>
      </c>
      <c r="AH4001" s="9">
        <f>IF(AF4001=1,UPPER(TRIM(IFERROR(INDEX($A4001:$AB4001,MATCH("Client",$A$1:$AB$1,0)),"")&amp;"")),"")</f>
        <v/>
      </c>
      <c r="AI4001" s="9">
        <f>IF(AF4001=1,IFERROR(INDEX($A4001:$AB4001,MATCH("Cost Centre",$A$1:$AB$1,0)),"")&amp;"","")</f>
        <v/>
      </c>
      <c r="AJ4001" s="54">
        <f>IF(AND(AF4001=1,AE4001&gt;=set_FYStart,AE4001&lt;=set_AsAt),1,0)</f>
        <v/>
      </c>
      <c r="AK4001" s="54">
        <f>IF(AND(AJ4001=1,AH4001&lt;&gt;"",COUNTIFS($AH$2:AH4001,AH4001,$AJ$2:AJ4001,1)=1),N(AL4000)+1,"")</f>
        <v/>
      </c>
      <c r="AL4001" s="54">
        <f>IF(AK4001&lt;&gt;"",AK4001,N(AL4000))</f>
        <v/>
      </c>
    </row>
    <row r="4002">
      <c r="A4002" t="inlineStr">
        <is>
          <t>PRD-1334</t>
        </is>
      </c>
      <c r="B4002" t="inlineStr">
        <is>
          <t>Production</t>
        </is>
      </c>
      <c r="AB4002" t="n">
        <v>1334</v>
      </c>
      <c r="AD4002" s="52">
        <f>IFERROR(N(IFERROR(INDEX($A4002:$AB4002,MATCH("Xero Invoiced Ex GST",$A$1:$AB$1,0)),"")),0)</f>
        <v/>
      </c>
      <c r="AE4002" s="53">
        <f>IFERROR(INDEX($A4002:$AB4002,MATCH("Xero Invoice Date",$A$1:$AB$1,0)),"")</f>
        <v/>
      </c>
      <c r="AF4002" s="54">
        <f>IF(AND(IFERROR(INDEX($A4002:$AB4002,MATCH("Xero Invoice No",$A$1:$AB$1,0)),"")&amp;""&lt;&gt;"",ISNUMBER(AE4002),AD4002&lt;&gt;0),1,0)</f>
        <v/>
      </c>
      <c r="AG4002" s="55">
        <f>IF(AF4002=1,EOMONTH(AE4002,0),"")</f>
        <v/>
      </c>
      <c r="AH4002" s="9">
        <f>IF(AF4002=1,UPPER(TRIM(IFERROR(INDEX($A4002:$AB4002,MATCH("Client",$A$1:$AB$1,0)),"")&amp;"")),"")</f>
        <v/>
      </c>
      <c r="AI4002" s="9">
        <f>IF(AF4002=1,IFERROR(INDEX($A4002:$AB4002,MATCH("Cost Centre",$A$1:$AB$1,0)),"")&amp;"","")</f>
        <v/>
      </c>
      <c r="AJ4002" s="54">
        <f>IF(AND(AF4002=1,AE4002&gt;=set_FYStart,AE4002&lt;=set_AsAt),1,0)</f>
        <v/>
      </c>
      <c r="AK4002" s="54">
        <f>IF(AND(AJ4002=1,AH4002&lt;&gt;"",COUNTIFS($AH$2:AH4002,AH4002,$AJ$2:AJ4002,1)=1),N(AL4001)+1,"")</f>
        <v/>
      </c>
      <c r="AL4002" s="54">
        <f>IF(AK4002&lt;&gt;"",AK4002,N(AL4001))</f>
        <v/>
      </c>
    </row>
    <row r="4003">
      <c r="A4003" t="inlineStr">
        <is>
          <t>CON-1334</t>
        </is>
      </c>
      <c r="B4003" t="inlineStr">
        <is>
          <t>Consulting</t>
        </is>
      </c>
      <c r="AB4003" t="n">
        <v>1334</v>
      </c>
      <c r="AD4003" s="52">
        <f>IFERROR(N(IFERROR(INDEX($A4003:$AB4003,MATCH("Xero Invoiced Ex GST",$A$1:$AB$1,0)),"")),0)</f>
        <v/>
      </c>
      <c r="AE4003" s="53">
        <f>IFERROR(INDEX($A4003:$AB4003,MATCH("Xero Invoice Date",$A$1:$AB$1,0)),"")</f>
        <v/>
      </c>
      <c r="AF4003" s="54">
        <f>IF(AND(IFERROR(INDEX($A4003:$AB4003,MATCH("Xero Invoice No",$A$1:$AB$1,0)),"")&amp;""&lt;&gt;"",ISNUMBER(AE4003),AD4003&lt;&gt;0),1,0)</f>
        <v/>
      </c>
      <c r="AG4003" s="55">
        <f>IF(AF4003=1,EOMONTH(AE4003,0),"")</f>
        <v/>
      </c>
      <c r="AH4003" s="9">
        <f>IF(AF4003=1,UPPER(TRIM(IFERROR(INDEX($A4003:$AB4003,MATCH("Client",$A$1:$AB$1,0)),"")&amp;"")),"")</f>
        <v/>
      </c>
      <c r="AI4003" s="9">
        <f>IF(AF4003=1,IFERROR(INDEX($A4003:$AB4003,MATCH("Cost Centre",$A$1:$AB$1,0)),"")&amp;"","")</f>
        <v/>
      </c>
      <c r="AJ4003" s="54">
        <f>IF(AND(AF4003=1,AE4003&gt;=set_FYStart,AE4003&lt;=set_AsAt),1,0)</f>
        <v/>
      </c>
      <c r="AK4003" s="54">
        <f>IF(AND(AJ4003=1,AH4003&lt;&gt;"",COUNTIFS($AH$2:AH4003,AH4003,$AJ$2:AJ4003,1)=1),N(AL4002)+1,"")</f>
        <v/>
      </c>
      <c r="AL4003" s="54">
        <f>IF(AK4003&lt;&gt;"",AK4003,N(AL4002))</f>
        <v/>
      </c>
    </row>
    <row r="4004">
      <c r="A4004" t="inlineStr">
        <is>
          <t>ONS-1335</t>
        </is>
      </c>
      <c r="B4004" t="inlineStr">
        <is>
          <t>Onsite</t>
        </is>
      </c>
      <c r="AB4004" t="n">
        <v>1335</v>
      </c>
      <c r="AD4004" s="52">
        <f>IFERROR(N(IFERROR(INDEX($A4004:$AB4004,MATCH("Xero Invoiced Ex GST",$A$1:$AB$1,0)),"")),0)</f>
        <v/>
      </c>
      <c r="AE4004" s="53">
        <f>IFERROR(INDEX($A4004:$AB4004,MATCH("Xero Invoice Date",$A$1:$AB$1,0)),"")</f>
        <v/>
      </c>
      <c r="AF4004" s="54">
        <f>IF(AND(IFERROR(INDEX($A4004:$AB4004,MATCH("Xero Invoice No",$A$1:$AB$1,0)),"")&amp;""&lt;&gt;"",ISNUMBER(AE4004),AD4004&lt;&gt;0),1,0)</f>
        <v/>
      </c>
      <c r="AG4004" s="55">
        <f>IF(AF4004=1,EOMONTH(AE4004,0),"")</f>
        <v/>
      </c>
      <c r="AH4004" s="9">
        <f>IF(AF4004=1,UPPER(TRIM(IFERROR(INDEX($A4004:$AB4004,MATCH("Client",$A$1:$AB$1,0)),"")&amp;"")),"")</f>
        <v/>
      </c>
      <c r="AI4004" s="9">
        <f>IF(AF4004=1,IFERROR(INDEX($A4004:$AB4004,MATCH("Cost Centre",$A$1:$AB$1,0)),"")&amp;"","")</f>
        <v/>
      </c>
      <c r="AJ4004" s="54">
        <f>IF(AND(AF4004=1,AE4004&gt;=set_FYStart,AE4004&lt;=set_AsAt),1,0)</f>
        <v/>
      </c>
      <c r="AK4004" s="54">
        <f>IF(AND(AJ4004=1,AH4004&lt;&gt;"",COUNTIFS($AH$2:AH4004,AH4004,$AJ$2:AJ4004,1)=1),N(AL4003)+1,"")</f>
        <v/>
      </c>
      <c r="AL4004" s="54">
        <f>IF(AK4004&lt;&gt;"",AK4004,N(AL4003))</f>
        <v/>
      </c>
    </row>
    <row r="4005">
      <c r="A4005" t="inlineStr">
        <is>
          <t>PRD-1335</t>
        </is>
      </c>
      <c r="B4005" t="inlineStr">
        <is>
          <t>Production</t>
        </is>
      </c>
      <c r="AB4005" t="n">
        <v>1335</v>
      </c>
      <c r="AD4005" s="52">
        <f>IFERROR(N(IFERROR(INDEX($A4005:$AB4005,MATCH("Xero Invoiced Ex GST",$A$1:$AB$1,0)),"")),0)</f>
        <v/>
      </c>
      <c r="AE4005" s="53">
        <f>IFERROR(INDEX($A4005:$AB4005,MATCH("Xero Invoice Date",$A$1:$AB$1,0)),"")</f>
        <v/>
      </c>
      <c r="AF4005" s="54">
        <f>IF(AND(IFERROR(INDEX($A4005:$AB4005,MATCH("Xero Invoice No",$A$1:$AB$1,0)),"")&amp;""&lt;&gt;"",ISNUMBER(AE4005),AD4005&lt;&gt;0),1,0)</f>
        <v/>
      </c>
      <c r="AG4005" s="55">
        <f>IF(AF4005=1,EOMONTH(AE4005,0),"")</f>
        <v/>
      </c>
      <c r="AH4005" s="9">
        <f>IF(AF4005=1,UPPER(TRIM(IFERROR(INDEX($A4005:$AB4005,MATCH("Client",$A$1:$AB$1,0)),"")&amp;"")),"")</f>
        <v/>
      </c>
      <c r="AI4005" s="9">
        <f>IF(AF4005=1,IFERROR(INDEX($A4005:$AB4005,MATCH("Cost Centre",$A$1:$AB$1,0)),"")&amp;"","")</f>
        <v/>
      </c>
      <c r="AJ4005" s="54">
        <f>IF(AND(AF4005=1,AE4005&gt;=set_FYStart,AE4005&lt;=set_AsAt),1,0)</f>
        <v/>
      </c>
      <c r="AK4005" s="54">
        <f>IF(AND(AJ4005=1,AH4005&lt;&gt;"",COUNTIFS($AH$2:AH4005,AH4005,$AJ$2:AJ4005,1)=1),N(AL4004)+1,"")</f>
        <v/>
      </c>
      <c r="AL4005" s="54">
        <f>IF(AK4005&lt;&gt;"",AK4005,N(AL4004))</f>
        <v/>
      </c>
    </row>
    <row r="4006">
      <c r="A4006" t="inlineStr">
        <is>
          <t>CON-1335</t>
        </is>
      </c>
      <c r="B4006" t="inlineStr">
        <is>
          <t>Consulting</t>
        </is>
      </c>
      <c r="AB4006" t="n">
        <v>1335</v>
      </c>
      <c r="AD4006" s="52">
        <f>IFERROR(N(IFERROR(INDEX($A4006:$AB4006,MATCH("Xero Invoiced Ex GST",$A$1:$AB$1,0)),"")),0)</f>
        <v/>
      </c>
      <c r="AE4006" s="53">
        <f>IFERROR(INDEX($A4006:$AB4006,MATCH("Xero Invoice Date",$A$1:$AB$1,0)),"")</f>
        <v/>
      </c>
      <c r="AF4006" s="54">
        <f>IF(AND(IFERROR(INDEX($A4006:$AB4006,MATCH("Xero Invoice No",$A$1:$AB$1,0)),"")&amp;""&lt;&gt;"",ISNUMBER(AE4006),AD4006&lt;&gt;0),1,0)</f>
        <v/>
      </c>
      <c r="AG4006" s="55">
        <f>IF(AF4006=1,EOMONTH(AE4006,0),"")</f>
        <v/>
      </c>
      <c r="AH4006" s="9">
        <f>IF(AF4006=1,UPPER(TRIM(IFERROR(INDEX($A4006:$AB4006,MATCH("Client",$A$1:$AB$1,0)),"")&amp;"")),"")</f>
        <v/>
      </c>
      <c r="AI4006" s="9">
        <f>IF(AF4006=1,IFERROR(INDEX($A4006:$AB4006,MATCH("Cost Centre",$A$1:$AB$1,0)),"")&amp;"","")</f>
        <v/>
      </c>
      <c r="AJ4006" s="54">
        <f>IF(AND(AF4006=1,AE4006&gt;=set_FYStart,AE4006&lt;=set_AsAt),1,0)</f>
        <v/>
      </c>
      <c r="AK4006" s="54">
        <f>IF(AND(AJ4006=1,AH4006&lt;&gt;"",COUNTIFS($AH$2:AH4006,AH4006,$AJ$2:AJ4006,1)=1),N(AL4005)+1,"")</f>
        <v/>
      </c>
      <c r="AL4006" s="54">
        <f>IF(AK4006&lt;&gt;"",AK4006,N(AL4005))</f>
        <v/>
      </c>
    </row>
    <row r="4007">
      <c r="A4007" t="inlineStr">
        <is>
          <t>ONS-1336</t>
        </is>
      </c>
      <c r="B4007" t="inlineStr">
        <is>
          <t>Onsite</t>
        </is>
      </c>
      <c r="AB4007" t="n">
        <v>1336</v>
      </c>
      <c r="AD4007" s="52">
        <f>IFERROR(N(IFERROR(INDEX($A4007:$AB4007,MATCH("Xero Invoiced Ex GST",$A$1:$AB$1,0)),"")),0)</f>
        <v/>
      </c>
      <c r="AE4007" s="53">
        <f>IFERROR(INDEX($A4007:$AB4007,MATCH("Xero Invoice Date",$A$1:$AB$1,0)),"")</f>
        <v/>
      </c>
      <c r="AF4007" s="54">
        <f>IF(AND(IFERROR(INDEX($A4007:$AB4007,MATCH("Xero Invoice No",$A$1:$AB$1,0)),"")&amp;""&lt;&gt;"",ISNUMBER(AE4007),AD4007&lt;&gt;0),1,0)</f>
        <v/>
      </c>
      <c r="AG4007" s="55">
        <f>IF(AF4007=1,EOMONTH(AE4007,0),"")</f>
        <v/>
      </c>
      <c r="AH4007" s="9">
        <f>IF(AF4007=1,UPPER(TRIM(IFERROR(INDEX($A4007:$AB4007,MATCH("Client",$A$1:$AB$1,0)),"")&amp;"")),"")</f>
        <v/>
      </c>
      <c r="AI4007" s="9">
        <f>IF(AF4007=1,IFERROR(INDEX($A4007:$AB4007,MATCH("Cost Centre",$A$1:$AB$1,0)),"")&amp;"","")</f>
        <v/>
      </c>
      <c r="AJ4007" s="54">
        <f>IF(AND(AF4007=1,AE4007&gt;=set_FYStart,AE4007&lt;=set_AsAt),1,0)</f>
        <v/>
      </c>
      <c r="AK4007" s="54">
        <f>IF(AND(AJ4007=1,AH4007&lt;&gt;"",COUNTIFS($AH$2:AH4007,AH4007,$AJ$2:AJ4007,1)=1),N(AL4006)+1,"")</f>
        <v/>
      </c>
      <c r="AL4007" s="54">
        <f>IF(AK4007&lt;&gt;"",AK4007,N(AL4006))</f>
        <v/>
      </c>
    </row>
    <row r="4008">
      <c r="A4008" t="inlineStr">
        <is>
          <t>PRD-1336</t>
        </is>
      </c>
      <c r="B4008" t="inlineStr">
        <is>
          <t>Production</t>
        </is>
      </c>
      <c r="AB4008" t="n">
        <v>1336</v>
      </c>
      <c r="AD4008" s="52">
        <f>IFERROR(N(IFERROR(INDEX($A4008:$AB4008,MATCH("Xero Invoiced Ex GST",$A$1:$AB$1,0)),"")),0)</f>
        <v/>
      </c>
      <c r="AE4008" s="53">
        <f>IFERROR(INDEX($A4008:$AB4008,MATCH("Xero Invoice Date",$A$1:$AB$1,0)),"")</f>
        <v/>
      </c>
      <c r="AF4008" s="54">
        <f>IF(AND(IFERROR(INDEX($A4008:$AB4008,MATCH("Xero Invoice No",$A$1:$AB$1,0)),"")&amp;""&lt;&gt;"",ISNUMBER(AE4008),AD4008&lt;&gt;0),1,0)</f>
        <v/>
      </c>
      <c r="AG4008" s="55">
        <f>IF(AF4008=1,EOMONTH(AE4008,0),"")</f>
        <v/>
      </c>
      <c r="AH4008" s="9">
        <f>IF(AF4008=1,UPPER(TRIM(IFERROR(INDEX($A4008:$AB4008,MATCH("Client",$A$1:$AB$1,0)),"")&amp;"")),"")</f>
        <v/>
      </c>
      <c r="AI4008" s="9">
        <f>IF(AF4008=1,IFERROR(INDEX($A4008:$AB4008,MATCH("Cost Centre",$A$1:$AB$1,0)),"")&amp;"","")</f>
        <v/>
      </c>
      <c r="AJ4008" s="54">
        <f>IF(AND(AF4008=1,AE4008&gt;=set_FYStart,AE4008&lt;=set_AsAt),1,0)</f>
        <v/>
      </c>
      <c r="AK4008" s="54">
        <f>IF(AND(AJ4008=1,AH4008&lt;&gt;"",COUNTIFS($AH$2:AH4008,AH4008,$AJ$2:AJ4008,1)=1),N(AL4007)+1,"")</f>
        <v/>
      </c>
      <c r="AL4008" s="54">
        <f>IF(AK4008&lt;&gt;"",AK4008,N(AL4007))</f>
        <v/>
      </c>
    </row>
    <row r="4009">
      <c r="A4009" t="inlineStr">
        <is>
          <t>CON-1336</t>
        </is>
      </c>
      <c r="B4009" t="inlineStr">
        <is>
          <t>Consulting</t>
        </is>
      </c>
      <c r="AB4009" t="n">
        <v>1336</v>
      </c>
      <c r="AD4009" s="52">
        <f>IFERROR(N(IFERROR(INDEX($A4009:$AB4009,MATCH("Xero Invoiced Ex GST",$A$1:$AB$1,0)),"")),0)</f>
        <v/>
      </c>
      <c r="AE4009" s="53">
        <f>IFERROR(INDEX($A4009:$AB4009,MATCH("Xero Invoice Date",$A$1:$AB$1,0)),"")</f>
        <v/>
      </c>
      <c r="AF4009" s="54">
        <f>IF(AND(IFERROR(INDEX($A4009:$AB4009,MATCH("Xero Invoice No",$A$1:$AB$1,0)),"")&amp;""&lt;&gt;"",ISNUMBER(AE4009),AD4009&lt;&gt;0),1,0)</f>
        <v/>
      </c>
      <c r="AG4009" s="55">
        <f>IF(AF4009=1,EOMONTH(AE4009,0),"")</f>
        <v/>
      </c>
      <c r="AH4009" s="9">
        <f>IF(AF4009=1,UPPER(TRIM(IFERROR(INDEX($A4009:$AB4009,MATCH("Client",$A$1:$AB$1,0)),"")&amp;"")),"")</f>
        <v/>
      </c>
      <c r="AI4009" s="9">
        <f>IF(AF4009=1,IFERROR(INDEX($A4009:$AB4009,MATCH("Cost Centre",$A$1:$AB$1,0)),"")&amp;"","")</f>
        <v/>
      </c>
      <c r="AJ4009" s="54">
        <f>IF(AND(AF4009=1,AE4009&gt;=set_FYStart,AE4009&lt;=set_AsAt),1,0)</f>
        <v/>
      </c>
      <c r="AK4009" s="54">
        <f>IF(AND(AJ4009=1,AH4009&lt;&gt;"",COUNTIFS($AH$2:AH4009,AH4009,$AJ$2:AJ4009,1)=1),N(AL4008)+1,"")</f>
        <v/>
      </c>
      <c r="AL4009" s="54">
        <f>IF(AK4009&lt;&gt;"",AK4009,N(AL4008))</f>
        <v/>
      </c>
    </row>
    <row r="4010">
      <c r="A4010" t="inlineStr">
        <is>
          <t>ONS-1337</t>
        </is>
      </c>
      <c r="B4010" t="inlineStr">
        <is>
          <t>Onsite</t>
        </is>
      </c>
      <c r="AB4010" t="n">
        <v>1337</v>
      </c>
      <c r="AD4010" s="52">
        <f>IFERROR(N(IFERROR(INDEX($A4010:$AB4010,MATCH("Xero Invoiced Ex GST",$A$1:$AB$1,0)),"")),0)</f>
        <v/>
      </c>
      <c r="AE4010" s="53">
        <f>IFERROR(INDEX($A4010:$AB4010,MATCH("Xero Invoice Date",$A$1:$AB$1,0)),"")</f>
        <v/>
      </c>
      <c r="AF4010" s="54">
        <f>IF(AND(IFERROR(INDEX($A4010:$AB4010,MATCH("Xero Invoice No",$A$1:$AB$1,0)),"")&amp;""&lt;&gt;"",ISNUMBER(AE4010),AD4010&lt;&gt;0),1,0)</f>
        <v/>
      </c>
      <c r="AG4010" s="55">
        <f>IF(AF4010=1,EOMONTH(AE4010,0),"")</f>
        <v/>
      </c>
      <c r="AH4010" s="9">
        <f>IF(AF4010=1,UPPER(TRIM(IFERROR(INDEX($A4010:$AB4010,MATCH("Client",$A$1:$AB$1,0)),"")&amp;"")),"")</f>
        <v/>
      </c>
      <c r="AI4010" s="9">
        <f>IF(AF4010=1,IFERROR(INDEX($A4010:$AB4010,MATCH("Cost Centre",$A$1:$AB$1,0)),"")&amp;"","")</f>
        <v/>
      </c>
      <c r="AJ4010" s="54">
        <f>IF(AND(AF4010=1,AE4010&gt;=set_FYStart,AE4010&lt;=set_AsAt),1,0)</f>
        <v/>
      </c>
      <c r="AK4010" s="54">
        <f>IF(AND(AJ4010=1,AH4010&lt;&gt;"",COUNTIFS($AH$2:AH4010,AH4010,$AJ$2:AJ4010,1)=1),N(AL4009)+1,"")</f>
        <v/>
      </c>
      <c r="AL4010" s="54">
        <f>IF(AK4010&lt;&gt;"",AK4010,N(AL4009))</f>
        <v/>
      </c>
    </row>
    <row r="4011">
      <c r="A4011" t="inlineStr">
        <is>
          <t>PRD-1337</t>
        </is>
      </c>
      <c r="B4011" t="inlineStr">
        <is>
          <t>Production</t>
        </is>
      </c>
      <c r="AB4011" t="n">
        <v>1337</v>
      </c>
      <c r="AD4011" s="52">
        <f>IFERROR(N(IFERROR(INDEX($A4011:$AB4011,MATCH("Xero Invoiced Ex GST",$A$1:$AB$1,0)),"")),0)</f>
        <v/>
      </c>
      <c r="AE4011" s="53">
        <f>IFERROR(INDEX($A4011:$AB4011,MATCH("Xero Invoice Date",$A$1:$AB$1,0)),"")</f>
        <v/>
      </c>
      <c r="AF4011" s="54">
        <f>IF(AND(IFERROR(INDEX($A4011:$AB4011,MATCH("Xero Invoice No",$A$1:$AB$1,0)),"")&amp;""&lt;&gt;"",ISNUMBER(AE4011),AD4011&lt;&gt;0),1,0)</f>
        <v/>
      </c>
      <c r="AG4011" s="55">
        <f>IF(AF4011=1,EOMONTH(AE4011,0),"")</f>
        <v/>
      </c>
      <c r="AH4011" s="9">
        <f>IF(AF4011=1,UPPER(TRIM(IFERROR(INDEX($A4011:$AB4011,MATCH("Client",$A$1:$AB$1,0)),"")&amp;"")),"")</f>
        <v/>
      </c>
      <c r="AI4011" s="9">
        <f>IF(AF4011=1,IFERROR(INDEX($A4011:$AB4011,MATCH("Cost Centre",$A$1:$AB$1,0)),"")&amp;"","")</f>
        <v/>
      </c>
      <c r="AJ4011" s="54">
        <f>IF(AND(AF4011=1,AE4011&gt;=set_FYStart,AE4011&lt;=set_AsAt),1,0)</f>
        <v/>
      </c>
      <c r="AK4011" s="54">
        <f>IF(AND(AJ4011=1,AH4011&lt;&gt;"",COUNTIFS($AH$2:AH4011,AH4011,$AJ$2:AJ4011,1)=1),N(AL4010)+1,"")</f>
        <v/>
      </c>
      <c r="AL4011" s="54">
        <f>IF(AK4011&lt;&gt;"",AK4011,N(AL4010))</f>
        <v/>
      </c>
    </row>
    <row r="4012">
      <c r="A4012" t="inlineStr">
        <is>
          <t>CON-1337</t>
        </is>
      </c>
      <c r="B4012" t="inlineStr">
        <is>
          <t>Consulting</t>
        </is>
      </c>
      <c r="AB4012" t="n">
        <v>1337</v>
      </c>
      <c r="AD4012" s="52">
        <f>IFERROR(N(IFERROR(INDEX($A4012:$AB4012,MATCH("Xero Invoiced Ex GST",$A$1:$AB$1,0)),"")),0)</f>
        <v/>
      </c>
      <c r="AE4012" s="53">
        <f>IFERROR(INDEX($A4012:$AB4012,MATCH("Xero Invoice Date",$A$1:$AB$1,0)),"")</f>
        <v/>
      </c>
      <c r="AF4012" s="54">
        <f>IF(AND(IFERROR(INDEX($A4012:$AB4012,MATCH("Xero Invoice No",$A$1:$AB$1,0)),"")&amp;""&lt;&gt;"",ISNUMBER(AE4012),AD4012&lt;&gt;0),1,0)</f>
        <v/>
      </c>
      <c r="AG4012" s="55">
        <f>IF(AF4012=1,EOMONTH(AE4012,0),"")</f>
        <v/>
      </c>
      <c r="AH4012" s="9">
        <f>IF(AF4012=1,UPPER(TRIM(IFERROR(INDEX($A4012:$AB4012,MATCH("Client",$A$1:$AB$1,0)),"")&amp;"")),"")</f>
        <v/>
      </c>
      <c r="AI4012" s="9">
        <f>IF(AF4012=1,IFERROR(INDEX($A4012:$AB4012,MATCH("Cost Centre",$A$1:$AB$1,0)),"")&amp;"","")</f>
        <v/>
      </c>
      <c r="AJ4012" s="54">
        <f>IF(AND(AF4012=1,AE4012&gt;=set_FYStart,AE4012&lt;=set_AsAt),1,0)</f>
        <v/>
      </c>
      <c r="AK4012" s="54">
        <f>IF(AND(AJ4012=1,AH4012&lt;&gt;"",COUNTIFS($AH$2:AH4012,AH4012,$AJ$2:AJ4012,1)=1),N(AL4011)+1,"")</f>
        <v/>
      </c>
      <c r="AL4012" s="54">
        <f>IF(AK4012&lt;&gt;"",AK4012,N(AL4011))</f>
        <v/>
      </c>
    </row>
    <row r="4013">
      <c r="A4013" t="inlineStr">
        <is>
          <t>ONS-1338</t>
        </is>
      </c>
      <c r="B4013" t="inlineStr">
        <is>
          <t>Onsite</t>
        </is>
      </c>
      <c r="AB4013" t="n">
        <v>1338</v>
      </c>
      <c r="AD4013" s="52">
        <f>IFERROR(N(IFERROR(INDEX($A4013:$AB4013,MATCH("Xero Invoiced Ex GST",$A$1:$AB$1,0)),"")),0)</f>
        <v/>
      </c>
      <c r="AE4013" s="53">
        <f>IFERROR(INDEX($A4013:$AB4013,MATCH("Xero Invoice Date",$A$1:$AB$1,0)),"")</f>
        <v/>
      </c>
      <c r="AF4013" s="54">
        <f>IF(AND(IFERROR(INDEX($A4013:$AB4013,MATCH("Xero Invoice No",$A$1:$AB$1,0)),"")&amp;""&lt;&gt;"",ISNUMBER(AE4013),AD4013&lt;&gt;0),1,0)</f>
        <v/>
      </c>
      <c r="AG4013" s="55">
        <f>IF(AF4013=1,EOMONTH(AE4013,0),"")</f>
        <v/>
      </c>
      <c r="AH4013" s="9">
        <f>IF(AF4013=1,UPPER(TRIM(IFERROR(INDEX($A4013:$AB4013,MATCH("Client",$A$1:$AB$1,0)),"")&amp;"")),"")</f>
        <v/>
      </c>
      <c r="AI4013" s="9">
        <f>IF(AF4013=1,IFERROR(INDEX($A4013:$AB4013,MATCH("Cost Centre",$A$1:$AB$1,0)),"")&amp;"","")</f>
        <v/>
      </c>
      <c r="AJ4013" s="54">
        <f>IF(AND(AF4013=1,AE4013&gt;=set_FYStart,AE4013&lt;=set_AsAt),1,0)</f>
        <v/>
      </c>
      <c r="AK4013" s="54">
        <f>IF(AND(AJ4013=1,AH4013&lt;&gt;"",COUNTIFS($AH$2:AH4013,AH4013,$AJ$2:AJ4013,1)=1),N(AL4012)+1,"")</f>
        <v/>
      </c>
      <c r="AL4013" s="54">
        <f>IF(AK4013&lt;&gt;"",AK4013,N(AL4012))</f>
        <v/>
      </c>
    </row>
    <row r="4014">
      <c r="A4014" t="inlineStr">
        <is>
          <t>PRD-1338</t>
        </is>
      </c>
      <c r="B4014" t="inlineStr">
        <is>
          <t>Production</t>
        </is>
      </c>
      <c r="AB4014" t="n">
        <v>1338</v>
      </c>
      <c r="AD4014" s="52">
        <f>IFERROR(N(IFERROR(INDEX($A4014:$AB4014,MATCH("Xero Invoiced Ex GST",$A$1:$AB$1,0)),"")),0)</f>
        <v/>
      </c>
      <c r="AE4014" s="53">
        <f>IFERROR(INDEX($A4014:$AB4014,MATCH("Xero Invoice Date",$A$1:$AB$1,0)),"")</f>
        <v/>
      </c>
      <c r="AF4014" s="54">
        <f>IF(AND(IFERROR(INDEX($A4014:$AB4014,MATCH("Xero Invoice No",$A$1:$AB$1,0)),"")&amp;""&lt;&gt;"",ISNUMBER(AE4014),AD4014&lt;&gt;0),1,0)</f>
        <v/>
      </c>
      <c r="AG4014" s="55">
        <f>IF(AF4014=1,EOMONTH(AE4014,0),"")</f>
        <v/>
      </c>
      <c r="AH4014" s="9">
        <f>IF(AF4014=1,UPPER(TRIM(IFERROR(INDEX($A4014:$AB4014,MATCH("Client",$A$1:$AB$1,0)),"")&amp;"")),"")</f>
        <v/>
      </c>
      <c r="AI4014" s="9">
        <f>IF(AF4014=1,IFERROR(INDEX($A4014:$AB4014,MATCH("Cost Centre",$A$1:$AB$1,0)),"")&amp;"","")</f>
        <v/>
      </c>
      <c r="AJ4014" s="54">
        <f>IF(AND(AF4014=1,AE4014&gt;=set_FYStart,AE4014&lt;=set_AsAt),1,0)</f>
        <v/>
      </c>
      <c r="AK4014" s="54">
        <f>IF(AND(AJ4014=1,AH4014&lt;&gt;"",COUNTIFS($AH$2:AH4014,AH4014,$AJ$2:AJ4014,1)=1),N(AL4013)+1,"")</f>
        <v/>
      </c>
      <c r="AL4014" s="54">
        <f>IF(AK4014&lt;&gt;"",AK4014,N(AL4013))</f>
        <v/>
      </c>
    </row>
    <row r="4015">
      <c r="A4015" t="inlineStr">
        <is>
          <t>CON-1338</t>
        </is>
      </c>
      <c r="B4015" t="inlineStr">
        <is>
          <t>Consulting</t>
        </is>
      </c>
      <c r="AB4015" t="n">
        <v>1338</v>
      </c>
      <c r="AD4015" s="52">
        <f>IFERROR(N(IFERROR(INDEX($A4015:$AB4015,MATCH("Xero Invoiced Ex GST",$A$1:$AB$1,0)),"")),0)</f>
        <v/>
      </c>
      <c r="AE4015" s="53">
        <f>IFERROR(INDEX($A4015:$AB4015,MATCH("Xero Invoice Date",$A$1:$AB$1,0)),"")</f>
        <v/>
      </c>
      <c r="AF4015" s="54">
        <f>IF(AND(IFERROR(INDEX($A4015:$AB4015,MATCH("Xero Invoice No",$A$1:$AB$1,0)),"")&amp;""&lt;&gt;"",ISNUMBER(AE4015),AD4015&lt;&gt;0),1,0)</f>
        <v/>
      </c>
      <c r="AG4015" s="55">
        <f>IF(AF4015=1,EOMONTH(AE4015,0),"")</f>
        <v/>
      </c>
      <c r="AH4015" s="9">
        <f>IF(AF4015=1,UPPER(TRIM(IFERROR(INDEX($A4015:$AB4015,MATCH("Client",$A$1:$AB$1,0)),"")&amp;"")),"")</f>
        <v/>
      </c>
      <c r="AI4015" s="9">
        <f>IF(AF4015=1,IFERROR(INDEX($A4015:$AB4015,MATCH("Cost Centre",$A$1:$AB$1,0)),"")&amp;"","")</f>
        <v/>
      </c>
      <c r="AJ4015" s="54">
        <f>IF(AND(AF4015=1,AE4015&gt;=set_FYStart,AE4015&lt;=set_AsAt),1,0)</f>
        <v/>
      </c>
      <c r="AK4015" s="54">
        <f>IF(AND(AJ4015=1,AH4015&lt;&gt;"",COUNTIFS($AH$2:AH4015,AH4015,$AJ$2:AJ4015,1)=1),N(AL4014)+1,"")</f>
        <v/>
      </c>
      <c r="AL4015" s="54">
        <f>IF(AK4015&lt;&gt;"",AK4015,N(AL4014))</f>
        <v/>
      </c>
    </row>
    <row r="4016">
      <c r="A4016" t="inlineStr">
        <is>
          <t>ONS-1339</t>
        </is>
      </c>
      <c r="B4016" t="inlineStr">
        <is>
          <t>Onsite</t>
        </is>
      </c>
      <c r="AB4016" t="n">
        <v>1339</v>
      </c>
      <c r="AD4016" s="52">
        <f>IFERROR(N(IFERROR(INDEX($A4016:$AB4016,MATCH("Xero Invoiced Ex GST",$A$1:$AB$1,0)),"")),0)</f>
        <v/>
      </c>
      <c r="AE4016" s="53">
        <f>IFERROR(INDEX($A4016:$AB4016,MATCH("Xero Invoice Date",$A$1:$AB$1,0)),"")</f>
        <v/>
      </c>
      <c r="AF4016" s="54">
        <f>IF(AND(IFERROR(INDEX($A4016:$AB4016,MATCH("Xero Invoice No",$A$1:$AB$1,0)),"")&amp;""&lt;&gt;"",ISNUMBER(AE4016),AD4016&lt;&gt;0),1,0)</f>
        <v/>
      </c>
      <c r="AG4016" s="55">
        <f>IF(AF4016=1,EOMONTH(AE4016,0),"")</f>
        <v/>
      </c>
      <c r="AH4016" s="9">
        <f>IF(AF4016=1,UPPER(TRIM(IFERROR(INDEX($A4016:$AB4016,MATCH("Client",$A$1:$AB$1,0)),"")&amp;"")),"")</f>
        <v/>
      </c>
      <c r="AI4016" s="9">
        <f>IF(AF4016=1,IFERROR(INDEX($A4016:$AB4016,MATCH("Cost Centre",$A$1:$AB$1,0)),"")&amp;"","")</f>
        <v/>
      </c>
      <c r="AJ4016" s="54">
        <f>IF(AND(AF4016=1,AE4016&gt;=set_FYStart,AE4016&lt;=set_AsAt),1,0)</f>
        <v/>
      </c>
      <c r="AK4016" s="54">
        <f>IF(AND(AJ4016=1,AH4016&lt;&gt;"",COUNTIFS($AH$2:AH4016,AH4016,$AJ$2:AJ4016,1)=1),N(AL4015)+1,"")</f>
        <v/>
      </c>
      <c r="AL4016" s="54">
        <f>IF(AK4016&lt;&gt;"",AK4016,N(AL4015))</f>
        <v/>
      </c>
    </row>
    <row r="4017">
      <c r="A4017" t="inlineStr">
        <is>
          <t>PRD-1339</t>
        </is>
      </c>
      <c r="B4017" t="inlineStr">
        <is>
          <t>Production</t>
        </is>
      </c>
      <c r="AB4017" t="n">
        <v>1339</v>
      </c>
      <c r="AD4017" s="52">
        <f>IFERROR(N(IFERROR(INDEX($A4017:$AB4017,MATCH("Xero Invoiced Ex GST",$A$1:$AB$1,0)),"")),0)</f>
        <v/>
      </c>
      <c r="AE4017" s="53">
        <f>IFERROR(INDEX($A4017:$AB4017,MATCH("Xero Invoice Date",$A$1:$AB$1,0)),"")</f>
        <v/>
      </c>
      <c r="AF4017" s="54">
        <f>IF(AND(IFERROR(INDEX($A4017:$AB4017,MATCH("Xero Invoice No",$A$1:$AB$1,0)),"")&amp;""&lt;&gt;"",ISNUMBER(AE4017),AD4017&lt;&gt;0),1,0)</f>
        <v/>
      </c>
      <c r="AG4017" s="55">
        <f>IF(AF4017=1,EOMONTH(AE4017,0),"")</f>
        <v/>
      </c>
      <c r="AH4017" s="9">
        <f>IF(AF4017=1,UPPER(TRIM(IFERROR(INDEX($A4017:$AB4017,MATCH("Client",$A$1:$AB$1,0)),"")&amp;"")),"")</f>
        <v/>
      </c>
      <c r="AI4017" s="9">
        <f>IF(AF4017=1,IFERROR(INDEX($A4017:$AB4017,MATCH("Cost Centre",$A$1:$AB$1,0)),"")&amp;"","")</f>
        <v/>
      </c>
      <c r="AJ4017" s="54">
        <f>IF(AND(AF4017=1,AE4017&gt;=set_FYStart,AE4017&lt;=set_AsAt),1,0)</f>
        <v/>
      </c>
      <c r="AK4017" s="54">
        <f>IF(AND(AJ4017=1,AH4017&lt;&gt;"",COUNTIFS($AH$2:AH4017,AH4017,$AJ$2:AJ4017,1)=1),N(AL4016)+1,"")</f>
        <v/>
      </c>
      <c r="AL4017" s="54">
        <f>IF(AK4017&lt;&gt;"",AK4017,N(AL4016))</f>
        <v/>
      </c>
    </row>
    <row r="4018">
      <c r="A4018" t="inlineStr">
        <is>
          <t>CON-1339</t>
        </is>
      </c>
      <c r="B4018" t="inlineStr">
        <is>
          <t>Consulting</t>
        </is>
      </c>
      <c r="AB4018" t="n">
        <v>1339</v>
      </c>
      <c r="AD4018" s="52">
        <f>IFERROR(N(IFERROR(INDEX($A4018:$AB4018,MATCH("Xero Invoiced Ex GST",$A$1:$AB$1,0)),"")),0)</f>
        <v/>
      </c>
      <c r="AE4018" s="53">
        <f>IFERROR(INDEX($A4018:$AB4018,MATCH("Xero Invoice Date",$A$1:$AB$1,0)),"")</f>
        <v/>
      </c>
      <c r="AF4018" s="54">
        <f>IF(AND(IFERROR(INDEX($A4018:$AB4018,MATCH("Xero Invoice No",$A$1:$AB$1,0)),"")&amp;""&lt;&gt;"",ISNUMBER(AE4018),AD4018&lt;&gt;0),1,0)</f>
        <v/>
      </c>
      <c r="AG4018" s="55">
        <f>IF(AF4018=1,EOMONTH(AE4018,0),"")</f>
        <v/>
      </c>
      <c r="AH4018" s="9">
        <f>IF(AF4018=1,UPPER(TRIM(IFERROR(INDEX($A4018:$AB4018,MATCH("Client",$A$1:$AB$1,0)),"")&amp;"")),"")</f>
        <v/>
      </c>
      <c r="AI4018" s="9">
        <f>IF(AF4018=1,IFERROR(INDEX($A4018:$AB4018,MATCH("Cost Centre",$A$1:$AB$1,0)),"")&amp;"","")</f>
        <v/>
      </c>
      <c r="AJ4018" s="54">
        <f>IF(AND(AF4018=1,AE4018&gt;=set_FYStart,AE4018&lt;=set_AsAt),1,0)</f>
        <v/>
      </c>
      <c r="AK4018" s="54">
        <f>IF(AND(AJ4018=1,AH4018&lt;&gt;"",COUNTIFS($AH$2:AH4018,AH4018,$AJ$2:AJ4018,1)=1),N(AL4017)+1,"")</f>
        <v/>
      </c>
      <c r="AL4018" s="54">
        <f>IF(AK4018&lt;&gt;"",AK4018,N(AL4017))</f>
        <v/>
      </c>
    </row>
    <row r="4019">
      <c r="A4019" t="inlineStr">
        <is>
          <t>ONS-1340</t>
        </is>
      </c>
      <c r="B4019" t="inlineStr">
        <is>
          <t>Onsite</t>
        </is>
      </c>
      <c r="AB4019" t="n">
        <v>1340</v>
      </c>
      <c r="AD4019" s="52">
        <f>IFERROR(N(IFERROR(INDEX($A4019:$AB4019,MATCH("Xero Invoiced Ex GST",$A$1:$AB$1,0)),"")),0)</f>
        <v/>
      </c>
      <c r="AE4019" s="53">
        <f>IFERROR(INDEX($A4019:$AB4019,MATCH("Xero Invoice Date",$A$1:$AB$1,0)),"")</f>
        <v/>
      </c>
      <c r="AF4019" s="54">
        <f>IF(AND(IFERROR(INDEX($A4019:$AB4019,MATCH("Xero Invoice No",$A$1:$AB$1,0)),"")&amp;""&lt;&gt;"",ISNUMBER(AE4019),AD4019&lt;&gt;0),1,0)</f>
        <v/>
      </c>
      <c r="AG4019" s="55">
        <f>IF(AF4019=1,EOMONTH(AE4019,0),"")</f>
        <v/>
      </c>
      <c r="AH4019" s="9">
        <f>IF(AF4019=1,UPPER(TRIM(IFERROR(INDEX($A4019:$AB4019,MATCH("Client",$A$1:$AB$1,0)),"")&amp;"")),"")</f>
        <v/>
      </c>
      <c r="AI4019" s="9">
        <f>IF(AF4019=1,IFERROR(INDEX($A4019:$AB4019,MATCH("Cost Centre",$A$1:$AB$1,0)),"")&amp;"","")</f>
        <v/>
      </c>
      <c r="AJ4019" s="54">
        <f>IF(AND(AF4019=1,AE4019&gt;=set_FYStart,AE4019&lt;=set_AsAt),1,0)</f>
        <v/>
      </c>
      <c r="AK4019" s="54">
        <f>IF(AND(AJ4019=1,AH4019&lt;&gt;"",COUNTIFS($AH$2:AH4019,AH4019,$AJ$2:AJ4019,1)=1),N(AL4018)+1,"")</f>
        <v/>
      </c>
      <c r="AL4019" s="54">
        <f>IF(AK4019&lt;&gt;"",AK4019,N(AL4018))</f>
        <v/>
      </c>
    </row>
    <row r="4020">
      <c r="A4020" t="inlineStr">
        <is>
          <t>PRD-1340</t>
        </is>
      </c>
      <c r="B4020" t="inlineStr">
        <is>
          <t>Production</t>
        </is>
      </c>
      <c r="AB4020" t="n">
        <v>1340</v>
      </c>
      <c r="AD4020" s="52">
        <f>IFERROR(N(IFERROR(INDEX($A4020:$AB4020,MATCH("Xero Invoiced Ex GST",$A$1:$AB$1,0)),"")),0)</f>
        <v/>
      </c>
      <c r="AE4020" s="53">
        <f>IFERROR(INDEX($A4020:$AB4020,MATCH("Xero Invoice Date",$A$1:$AB$1,0)),"")</f>
        <v/>
      </c>
      <c r="AF4020" s="54">
        <f>IF(AND(IFERROR(INDEX($A4020:$AB4020,MATCH("Xero Invoice No",$A$1:$AB$1,0)),"")&amp;""&lt;&gt;"",ISNUMBER(AE4020),AD4020&lt;&gt;0),1,0)</f>
        <v/>
      </c>
      <c r="AG4020" s="55">
        <f>IF(AF4020=1,EOMONTH(AE4020,0),"")</f>
        <v/>
      </c>
      <c r="AH4020" s="9">
        <f>IF(AF4020=1,UPPER(TRIM(IFERROR(INDEX($A4020:$AB4020,MATCH("Client",$A$1:$AB$1,0)),"")&amp;"")),"")</f>
        <v/>
      </c>
      <c r="AI4020" s="9">
        <f>IF(AF4020=1,IFERROR(INDEX($A4020:$AB4020,MATCH("Cost Centre",$A$1:$AB$1,0)),"")&amp;"","")</f>
        <v/>
      </c>
      <c r="AJ4020" s="54">
        <f>IF(AND(AF4020=1,AE4020&gt;=set_FYStart,AE4020&lt;=set_AsAt),1,0)</f>
        <v/>
      </c>
      <c r="AK4020" s="54">
        <f>IF(AND(AJ4020=1,AH4020&lt;&gt;"",COUNTIFS($AH$2:AH4020,AH4020,$AJ$2:AJ4020,1)=1),N(AL4019)+1,"")</f>
        <v/>
      </c>
      <c r="AL4020" s="54">
        <f>IF(AK4020&lt;&gt;"",AK4020,N(AL4019))</f>
        <v/>
      </c>
    </row>
    <row r="4021">
      <c r="A4021" t="inlineStr">
        <is>
          <t>CON-1340</t>
        </is>
      </c>
      <c r="B4021" t="inlineStr">
        <is>
          <t>Consulting</t>
        </is>
      </c>
      <c r="AB4021" t="n">
        <v>1340</v>
      </c>
      <c r="AD4021" s="52">
        <f>IFERROR(N(IFERROR(INDEX($A4021:$AB4021,MATCH("Xero Invoiced Ex GST",$A$1:$AB$1,0)),"")),0)</f>
        <v/>
      </c>
      <c r="AE4021" s="53">
        <f>IFERROR(INDEX($A4021:$AB4021,MATCH("Xero Invoice Date",$A$1:$AB$1,0)),"")</f>
        <v/>
      </c>
      <c r="AF4021" s="54">
        <f>IF(AND(IFERROR(INDEX($A4021:$AB4021,MATCH("Xero Invoice No",$A$1:$AB$1,0)),"")&amp;""&lt;&gt;"",ISNUMBER(AE4021),AD4021&lt;&gt;0),1,0)</f>
        <v/>
      </c>
      <c r="AG4021" s="55">
        <f>IF(AF4021=1,EOMONTH(AE4021,0),"")</f>
        <v/>
      </c>
      <c r="AH4021" s="9">
        <f>IF(AF4021=1,UPPER(TRIM(IFERROR(INDEX($A4021:$AB4021,MATCH("Client",$A$1:$AB$1,0)),"")&amp;"")),"")</f>
        <v/>
      </c>
      <c r="AI4021" s="9">
        <f>IF(AF4021=1,IFERROR(INDEX($A4021:$AB4021,MATCH("Cost Centre",$A$1:$AB$1,0)),"")&amp;"","")</f>
        <v/>
      </c>
      <c r="AJ4021" s="54">
        <f>IF(AND(AF4021=1,AE4021&gt;=set_FYStart,AE4021&lt;=set_AsAt),1,0)</f>
        <v/>
      </c>
      <c r="AK4021" s="54">
        <f>IF(AND(AJ4021=1,AH4021&lt;&gt;"",COUNTIFS($AH$2:AH4021,AH4021,$AJ$2:AJ4021,1)=1),N(AL4020)+1,"")</f>
        <v/>
      </c>
      <c r="AL4021" s="54">
        <f>IF(AK4021&lt;&gt;"",AK4021,N(AL4020))</f>
        <v/>
      </c>
    </row>
    <row r="4022">
      <c r="A4022" t="inlineStr">
        <is>
          <t>ONS-1341</t>
        </is>
      </c>
      <c r="B4022" t="inlineStr">
        <is>
          <t>Onsite</t>
        </is>
      </c>
      <c r="AB4022" t="n">
        <v>1341</v>
      </c>
      <c r="AD4022" s="52">
        <f>IFERROR(N(IFERROR(INDEX($A4022:$AB4022,MATCH("Xero Invoiced Ex GST",$A$1:$AB$1,0)),"")),0)</f>
        <v/>
      </c>
      <c r="AE4022" s="53">
        <f>IFERROR(INDEX($A4022:$AB4022,MATCH("Xero Invoice Date",$A$1:$AB$1,0)),"")</f>
        <v/>
      </c>
      <c r="AF4022" s="54">
        <f>IF(AND(IFERROR(INDEX($A4022:$AB4022,MATCH("Xero Invoice No",$A$1:$AB$1,0)),"")&amp;""&lt;&gt;"",ISNUMBER(AE4022),AD4022&lt;&gt;0),1,0)</f>
        <v/>
      </c>
      <c r="AG4022" s="55">
        <f>IF(AF4022=1,EOMONTH(AE4022,0),"")</f>
        <v/>
      </c>
      <c r="AH4022" s="9">
        <f>IF(AF4022=1,UPPER(TRIM(IFERROR(INDEX($A4022:$AB4022,MATCH("Client",$A$1:$AB$1,0)),"")&amp;"")),"")</f>
        <v/>
      </c>
      <c r="AI4022" s="9">
        <f>IF(AF4022=1,IFERROR(INDEX($A4022:$AB4022,MATCH("Cost Centre",$A$1:$AB$1,0)),"")&amp;"","")</f>
        <v/>
      </c>
      <c r="AJ4022" s="54">
        <f>IF(AND(AF4022=1,AE4022&gt;=set_FYStart,AE4022&lt;=set_AsAt),1,0)</f>
        <v/>
      </c>
      <c r="AK4022" s="54">
        <f>IF(AND(AJ4022=1,AH4022&lt;&gt;"",COUNTIFS($AH$2:AH4022,AH4022,$AJ$2:AJ4022,1)=1),N(AL4021)+1,"")</f>
        <v/>
      </c>
      <c r="AL4022" s="54">
        <f>IF(AK4022&lt;&gt;"",AK4022,N(AL4021))</f>
        <v/>
      </c>
    </row>
    <row r="4023">
      <c r="A4023" t="inlineStr">
        <is>
          <t>PRD-1341</t>
        </is>
      </c>
      <c r="B4023" t="inlineStr">
        <is>
          <t>Production</t>
        </is>
      </c>
      <c r="AB4023" t="n">
        <v>1341</v>
      </c>
      <c r="AD4023" s="52">
        <f>IFERROR(N(IFERROR(INDEX($A4023:$AB4023,MATCH("Xero Invoiced Ex GST",$A$1:$AB$1,0)),"")),0)</f>
        <v/>
      </c>
      <c r="AE4023" s="53">
        <f>IFERROR(INDEX($A4023:$AB4023,MATCH("Xero Invoice Date",$A$1:$AB$1,0)),"")</f>
        <v/>
      </c>
      <c r="AF4023" s="54">
        <f>IF(AND(IFERROR(INDEX($A4023:$AB4023,MATCH("Xero Invoice No",$A$1:$AB$1,0)),"")&amp;""&lt;&gt;"",ISNUMBER(AE4023),AD4023&lt;&gt;0),1,0)</f>
        <v/>
      </c>
      <c r="AG4023" s="55">
        <f>IF(AF4023=1,EOMONTH(AE4023,0),"")</f>
        <v/>
      </c>
      <c r="AH4023" s="9">
        <f>IF(AF4023=1,UPPER(TRIM(IFERROR(INDEX($A4023:$AB4023,MATCH("Client",$A$1:$AB$1,0)),"")&amp;"")),"")</f>
        <v/>
      </c>
      <c r="AI4023" s="9">
        <f>IF(AF4023=1,IFERROR(INDEX($A4023:$AB4023,MATCH("Cost Centre",$A$1:$AB$1,0)),"")&amp;"","")</f>
        <v/>
      </c>
      <c r="AJ4023" s="54">
        <f>IF(AND(AF4023=1,AE4023&gt;=set_FYStart,AE4023&lt;=set_AsAt),1,0)</f>
        <v/>
      </c>
      <c r="AK4023" s="54">
        <f>IF(AND(AJ4023=1,AH4023&lt;&gt;"",COUNTIFS($AH$2:AH4023,AH4023,$AJ$2:AJ4023,1)=1),N(AL4022)+1,"")</f>
        <v/>
      </c>
      <c r="AL4023" s="54">
        <f>IF(AK4023&lt;&gt;"",AK4023,N(AL4022))</f>
        <v/>
      </c>
    </row>
    <row r="4024">
      <c r="A4024" t="inlineStr">
        <is>
          <t>CON-1341</t>
        </is>
      </c>
      <c r="B4024" t="inlineStr">
        <is>
          <t>Consulting</t>
        </is>
      </c>
      <c r="AB4024" t="n">
        <v>1341</v>
      </c>
      <c r="AD4024" s="52">
        <f>IFERROR(N(IFERROR(INDEX($A4024:$AB4024,MATCH("Xero Invoiced Ex GST",$A$1:$AB$1,0)),"")),0)</f>
        <v/>
      </c>
      <c r="AE4024" s="53">
        <f>IFERROR(INDEX($A4024:$AB4024,MATCH("Xero Invoice Date",$A$1:$AB$1,0)),"")</f>
        <v/>
      </c>
      <c r="AF4024" s="54">
        <f>IF(AND(IFERROR(INDEX($A4024:$AB4024,MATCH("Xero Invoice No",$A$1:$AB$1,0)),"")&amp;""&lt;&gt;"",ISNUMBER(AE4024),AD4024&lt;&gt;0),1,0)</f>
        <v/>
      </c>
      <c r="AG4024" s="55">
        <f>IF(AF4024=1,EOMONTH(AE4024,0),"")</f>
        <v/>
      </c>
      <c r="AH4024" s="9">
        <f>IF(AF4024=1,UPPER(TRIM(IFERROR(INDEX($A4024:$AB4024,MATCH("Client",$A$1:$AB$1,0)),"")&amp;"")),"")</f>
        <v/>
      </c>
      <c r="AI4024" s="9">
        <f>IF(AF4024=1,IFERROR(INDEX($A4024:$AB4024,MATCH("Cost Centre",$A$1:$AB$1,0)),"")&amp;"","")</f>
        <v/>
      </c>
      <c r="AJ4024" s="54">
        <f>IF(AND(AF4024=1,AE4024&gt;=set_FYStart,AE4024&lt;=set_AsAt),1,0)</f>
        <v/>
      </c>
      <c r="AK4024" s="54">
        <f>IF(AND(AJ4024=1,AH4024&lt;&gt;"",COUNTIFS($AH$2:AH4024,AH4024,$AJ$2:AJ4024,1)=1),N(AL4023)+1,"")</f>
        <v/>
      </c>
      <c r="AL4024" s="54">
        <f>IF(AK4024&lt;&gt;"",AK4024,N(AL4023))</f>
        <v/>
      </c>
    </row>
    <row r="4025">
      <c r="A4025" t="inlineStr">
        <is>
          <t>ONS-1342</t>
        </is>
      </c>
      <c r="B4025" t="inlineStr">
        <is>
          <t>Onsite</t>
        </is>
      </c>
      <c r="AB4025" t="n">
        <v>1342</v>
      </c>
      <c r="AD4025" s="52">
        <f>IFERROR(N(IFERROR(INDEX($A4025:$AB4025,MATCH("Xero Invoiced Ex GST",$A$1:$AB$1,0)),"")),0)</f>
        <v/>
      </c>
      <c r="AE4025" s="53">
        <f>IFERROR(INDEX($A4025:$AB4025,MATCH("Xero Invoice Date",$A$1:$AB$1,0)),"")</f>
        <v/>
      </c>
      <c r="AF4025" s="54">
        <f>IF(AND(IFERROR(INDEX($A4025:$AB4025,MATCH("Xero Invoice No",$A$1:$AB$1,0)),"")&amp;""&lt;&gt;"",ISNUMBER(AE4025),AD4025&lt;&gt;0),1,0)</f>
        <v/>
      </c>
      <c r="AG4025" s="55">
        <f>IF(AF4025=1,EOMONTH(AE4025,0),"")</f>
        <v/>
      </c>
      <c r="AH4025" s="9">
        <f>IF(AF4025=1,UPPER(TRIM(IFERROR(INDEX($A4025:$AB4025,MATCH("Client",$A$1:$AB$1,0)),"")&amp;"")),"")</f>
        <v/>
      </c>
      <c r="AI4025" s="9">
        <f>IF(AF4025=1,IFERROR(INDEX($A4025:$AB4025,MATCH("Cost Centre",$A$1:$AB$1,0)),"")&amp;"","")</f>
        <v/>
      </c>
      <c r="AJ4025" s="54">
        <f>IF(AND(AF4025=1,AE4025&gt;=set_FYStart,AE4025&lt;=set_AsAt),1,0)</f>
        <v/>
      </c>
      <c r="AK4025" s="54">
        <f>IF(AND(AJ4025=1,AH4025&lt;&gt;"",COUNTIFS($AH$2:AH4025,AH4025,$AJ$2:AJ4025,1)=1),N(AL4024)+1,"")</f>
        <v/>
      </c>
      <c r="AL4025" s="54">
        <f>IF(AK4025&lt;&gt;"",AK4025,N(AL4024))</f>
        <v/>
      </c>
    </row>
    <row r="4026">
      <c r="A4026" t="inlineStr">
        <is>
          <t>PRD-1342</t>
        </is>
      </c>
      <c r="B4026" t="inlineStr">
        <is>
          <t>Production</t>
        </is>
      </c>
      <c r="AB4026" t="n">
        <v>1342</v>
      </c>
      <c r="AD4026" s="52">
        <f>IFERROR(N(IFERROR(INDEX($A4026:$AB4026,MATCH("Xero Invoiced Ex GST",$A$1:$AB$1,0)),"")),0)</f>
        <v/>
      </c>
      <c r="AE4026" s="53">
        <f>IFERROR(INDEX($A4026:$AB4026,MATCH("Xero Invoice Date",$A$1:$AB$1,0)),"")</f>
        <v/>
      </c>
      <c r="AF4026" s="54">
        <f>IF(AND(IFERROR(INDEX($A4026:$AB4026,MATCH("Xero Invoice No",$A$1:$AB$1,0)),"")&amp;""&lt;&gt;"",ISNUMBER(AE4026),AD4026&lt;&gt;0),1,0)</f>
        <v/>
      </c>
      <c r="AG4026" s="55">
        <f>IF(AF4026=1,EOMONTH(AE4026,0),"")</f>
        <v/>
      </c>
      <c r="AH4026" s="9">
        <f>IF(AF4026=1,UPPER(TRIM(IFERROR(INDEX($A4026:$AB4026,MATCH("Client",$A$1:$AB$1,0)),"")&amp;"")),"")</f>
        <v/>
      </c>
      <c r="AI4026" s="9">
        <f>IF(AF4026=1,IFERROR(INDEX($A4026:$AB4026,MATCH("Cost Centre",$A$1:$AB$1,0)),"")&amp;"","")</f>
        <v/>
      </c>
      <c r="AJ4026" s="54">
        <f>IF(AND(AF4026=1,AE4026&gt;=set_FYStart,AE4026&lt;=set_AsAt),1,0)</f>
        <v/>
      </c>
      <c r="AK4026" s="54">
        <f>IF(AND(AJ4026=1,AH4026&lt;&gt;"",COUNTIFS($AH$2:AH4026,AH4026,$AJ$2:AJ4026,1)=1),N(AL4025)+1,"")</f>
        <v/>
      </c>
      <c r="AL4026" s="54">
        <f>IF(AK4026&lt;&gt;"",AK4026,N(AL4025))</f>
        <v/>
      </c>
    </row>
    <row r="4027">
      <c r="A4027" t="inlineStr">
        <is>
          <t>CON-1342</t>
        </is>
      </c>
      <c r="B4027" t="inlineStr">
        <is>
          <t>Consulting</t>
        </is>
      </c>
      <c r="AB4027" t="n">
        <v>1342</v>
      </c>
      <c r="AD4027" s="52">
        <f>IFERROR(N(IFERROR(INDEX($A4027:$AB4027,MATCH("Xero Invoiced Ex GST",$A$1:$AB$1,0)),"")),0)</f>
        <v/>
      </c>
      <c r="AE4027" s="53">
        <f>IFERROR(INDEX($A4027:$AB4027,MATCH("Xero Invoice Date",$A$1:$AB$1,0)),"")</f>
        <v/>
      </c>
      <c r="AF4027" s="54">
        <f>IF(AND(IFERROR(INDEX($A4027:$AB4027,MATCH("Xero Invoice No",$A$1:$AB$1,0)),"")&amp;""&lt;&gt;"",ISNUMBER(AE4027),AD4027&lt;&gt;0),1,0)</f>
        <v/>
      </c>
      <c r="AG4027" s="55">
        <f>IF(AF4027=1,EOMONTH(AE4027,0),"")</f>
        <v/>
      </c>
      <c r="AH4027" s="9">
        <f>IF(AF4027=1,UPPER(TRIM(IFERROR(INDEX($A4027:$AB4027,MATCH("Client",$A$1:$AB$1,0)),"")&amp;"")),"")</f>
        <v/>
      </c>
      <c r="AI4027" s="9">
        <f>IF(AF4027=1,IFERROR(INDEX($A4027:$AB4027,MATCH("Cost Centre",$A$1:$AB$1,0)),"")&amp;"","")</f>
        <v/>
      </c>
      <c r="AJ4027" s="54">
        <f>IF(AND(AF4027=1,AE4027&gt;=set_FYStart,AE4027&lt;=set_AsAt),1,0)</f>
        <v/>
      </c>
      <c r="AK4027" s="54">
        <f>IF(AND(AJ4027=1,AH4027&lt;&gt;"",COUNTIFS($AH$2:AH4027,AH4027,$AJ$2:AJ4027,1)=1),N(AL4026)+1,"")</f>
        <v/>
      </c>
      <c r="AL4027" s="54">
        <f>IF(AK4027&lt;&gt;"",AK4027,N(AL4026))</f>
        <v/>
      </c>
    </row>
    <row r="4028">
      <c r="A4028" t="inlineStr">
        <is>
          <t>ONS-1343</t>
        </is>
      </c>
      <c r="B4028" t="inlineStr">
        <is>
          <t>Onsite</t>
        </is>
      </c>
      <c r="AB4028" t="n">
        <v>1343</v>
      </c>
      <c r="AD4028" s="52">
        <f>IFERROR(N(IFERROR(INDEX($A4028:$AB4028,MATCH("Xero Invoiced Ex GST",$A$1:$AB$1,0)),"")),0)</f>
        <v/>
      </c>
      <c r="AE4028" s="53">
        <f>IFERROR(INDEX($A4028:$AB4028,MATCH("Xero Invoice Date",$A$1:$AB$1,0)),"")</f>
        <v/>
      </c>
      <c r="AF4028" s="54">
        <f>IF(AND(IFERROR(INDEX($A4028:$AB4028,MATCH("Xero Invoice No",$A$1:$AB$1,0)),"")&amp;""&lt;&gt;"",ISNUMBER(AE4028),AD4028&lt;&gt;0),1,0)</f>
        <v/>
      </c>
      <c r="AG4028" s="55">
        <f>IF(AF4028=1,EOMONTH(AE4028,0),"")</f>
        <v/>
      </c>
      <c r="AH4028" s="9">
        <f>IF(AF4028=1,UPPER(TRIM(IFERROR(INDEX($A4028:$AB4028,MATCH("Client",$A$1:$AB$1,0)),"")&amp;"")),"")</f>
        <v/>
      </c>
      <c r="AI4028" s="9">
        <f>IF(AF4028=1,IFERROR(INDEX($A4028:$AB4028,MATCH("Cost Centre",$A$1:$AB$1,0)),"")&amp;"","")</f>
        <v/>
      </c>
      <c r="AJ4028" s="54">
        <f>IF(AND(AF4028=1,AE4028&gt;=set_FYStart,AE4028&lt;=set_AsAt),1,0)</f>
        <v/>
      </c>
      <c r="AK4028" s="54">
        <f>IF(AND(AJ4028=1,AH4028&lt;&gt;"",COUNTIFS($AH$2:AH4028,AH4028,$AJ$2:AJ4028,1)=1),N(AL4027)+1,"")</f>
        <v/>
      </c>
      <c r="AL4028" s="54">
        <f>IF(AK4028&lt;&gt;"",AK4028,N(AL4027))</f>
        <v/>
      </c>
    </row>
    <row r="4029">
      <c r="A4029" t="inlineStr">
        <is>
          <t>PRD-1343</t>
        </is>
      </c>
      <c r="B4029" t="inlineStr">
        <is>
          <t>Production</t>
        </is>
      </c>
      <c r="AB4029" t="n">
        <v>1343</v>
      </c>
      <c r="AD4029" s="52">
        <f>IFERROR(N(IFERROR(INDEX($A4029:$AB4029,MATCH("Xero Invoiced Ex GST",$A$1:$AB$1,0)),"")),0)</f>
        <v/>
      </c>
      <c r="AE4029" s="53">
        <f>IFERROR(INDEX($A4029:$AB4029,MATCH("Xero Invoice Date",$A$1:$AB$1,0)),"")</f>
        <v/>
      </c>
      <c r="AF4029" s="54">
        <f>IF(AND(IFERROR(INDEX($A4029:$AB4029,MATCH("Xero Invoice No",$A$1:$AB$1,0)),"")&amp;""&lt;&gt;"",ISNUMBER(AE4029),AD4029&lt;&gt;0),1,0)</f>
        <v/>
      </c>
      <c r="AG4029" s="55">
        <f>IF(AF4029=1,EOMONTH(AE4029,0),"")</f>
        <v/>
      </c>
      <c r="AH4029" s="9">
        <f>IF(AF4029=1,UPPER(TRIM(IFERROR(INDEX($A4029:$AB4029,MATCH("Client",$A$1:$AB$1,0)),"")&amp;"")),"")</f>
        <v/>
      </c>
      <c r="AI4029" s="9">
        <f>IF(AF4029=1,IFERROR(INDEX($A4029:$AB4029,MATCH("Cost Centre",$A$1:$AB$1,0)),"")&amp;"","")</f>
        <v/>
      </c>
      <c r="AJ4029" s="54">
        <f>IF(AND(AF4029=1,AE4029&gt;=set_FYStart,AE4029&lt;=set_AsAt),1,0)</f>
        <v/>
      </c>
      <c r="AK4029" s="54">
        <f>IF(AND(AJ4029=1,AH4029&lt;&gt;"",COUNTIFS($AH$2:AH4029,AH4029,$AJ$2:AJ4029,1)=1),N(AL4028)+1,"")</f>
        <v/>
      </c>
      <c r="AL4029" s="54">
        <f>IF(AK4029&lt;&gt;"",AK4029,N(AL4028))</f>
        <v/>
      </c>
    </row>
    <row r="4030">
      <c r="A4030" t="inlineStr">
        <is>
          <t>CON-1343</t>
        </is>
      </c>
      <c r="B4030" t="inlineStr">
        <is>
          <t>Consulting</t>
        </is>
      </c>
      <c r="AB4030" t="n">
        <v>1343</v>
      </c>
      <c r="AD4030" s="52">
        <f>IFERROR(N(IFERROR(INDEX($A4030:$AB4030,MATCH("Xero Invoiced Ex GST",$A$1:$AB$1,0)),"")),0)</f>
        <v/>
      </c>
      <c r="AE4030" s="53">
        <f>IFERROR(INDEX($A4030:$AB4030,MATCH("Xero Invoice Date",$A$1:$AB$1,0)),"")</f>
        <v/>
      </c>
      <c r="AF4030" s="54">
        <f>IF(AND(IFERROR(INDEX($A4030:$AB4030,MATCH("Xero Invoice No",$A$1:$AB$1,0)),"")&amp;""&lt;&gt;"",ISNUMBER(AE4030),AD4030&lt;&gt;0),1,0)</f>
        <v/>
      </c>
      <c r="AG4030" s="55">
        <f>IF(AF4030=1,EOMONTH(AE4030,0),"")</f>
        <v/>
      </c>
      <c r="AH4030" s="9">
        <f>IF(AF4030=1,UPPER(TRIM(IFERROR(INDEX($A4030:$AB4030,MATCH("Client",$A$1:$AB$1,0)),"")&amp;"")),"")</f>
        <v/>
      </c>
      <c r="AI4030" s="9">
        <f>IF(AF4030=1,IFERROR(INDEX($A4030:$AB4030,MATCH("Cost Centre",$A$1:$AB$1,0)),"")&amp;"","")</f>
        <v/>
      </c>
      <c r="AJ4030" s="54">
        <f>IF(AND(AF4030=1,AE4030&gt;=set_FYStart,AE4030&lt;=set_AsAt),1,0)</f>
        <v/>
      </c>
      <c r="AK4030" s="54">
        <f>IF(AND(AJ4030=1,AH4030&lt;&gt;"",COUNTIFS($AH$2:AH4030,AH4030,$AJ$2:AJ4030,1)=1),N(AL4029)+1,"")</f>
        <v/>
      </c>
      <c r="AL4030" s="54">
        <f>IF(AK4030&lt;&gt;"",AK4030,N(AL4029))</f>
        <v/>
      </c>
    </row>
    <row r="4031">
      <c r="A4031" t="inlineStr">
        <is>
          <t>ONS-1344</t>
        </is>
      </c>
      <c r="B4031" t="inlineStr">
        <is>
          <t>Onsite</t>
        </is>
      </c>
      <c r="AB4031" t="n">
        <v>1344</v>
      </c>
      <c r="AD4031" s="52">
        <f>IFERROR(N(IFERROR(INDEX($A4031:$AB4031,MATCH("Xero Invoiced Ex GST",$A$1:$AB$1,0)),"")),0)</f>
        <v/>
      </c>
      <c r="AE4031" s="53">
        <f>IFERROR(INDEX($A4031:$AB4031,MATCH("Xero Invoice Date",$A$1:$AB$1,0)),"")</f>
        <v/>
      </c>
      <c r="AF4031" s="54">
        <f>IF(AND(IFERROR(INDEX($A4031:$AB4031,MATCH("Xero Invoice No",$A$1:$AB$1,0)),"")&amp;""&lt;&gt;"",ISNUMBER(AE4031),AD4031&lt;&gt;0),1,0)</f>
        <v/>
      </c>
      <c r="AG4031" s="55">
        <f>IF(AF4031=1,EOMONTH(AE4031,0),"")</f>
        <v/>
      </c>
      <c r="AH4031" s="9">
        <f>IF(AF4031=1,UPPER(TRIM(IFERROR(INDEX($A4031:$AB4031,MATCH("Client",$A$1:$AB$1,0)),"")&amp;"")),"")</f>
        <v/>
      </c>
      <c r="AI4031" s="9">
        <f>IF(AF4031=1,IFERROR(INDEX($A4031:$AB4031,MATCH("Cost Centre",$A$1:$AB$1,0)),"")&amp;"","")</f>
        <v/>
      </c>
      <c r="AJ4031" s="54">
        <f>IF(AND(AF4031=1,AE4031&gt;=set_FYStart,AE4031&lt;=set_AsAt),1,0)</f>
        <v/>
      </c>
      <c r="AK4031" s="54">
        <f>IF(AND(AJ4031=1,AH4031&lt;&gt;"",COUNTIFS($AH$2:AH4031,AH4031,$AJ$2:AJ4031,1)=1),N(AL4030)+1,"")</f>
        <v/>
      </c>
      <c r="AL4031" s="54">
        <f>IF(AK4031&lt;&gt;"",AK4031,N(AL4030))</f>
        <v/>
      </c>
    </row>
    <row r="4032">
      <c r="A4032" t="inlineStr">
        <is>
          <t>PRD-1344</t>
        </is>
      </c>
      <c r="B4032" t="inlineStr">
        <is>
          <t>Production</t>
        </is>
      </c>
      <c r="AB4032" t="n">
        <v>1344</v>
      </c>
      <c r="AD4032" s="52">
        <f>IFERROR(N(IFERROR(INDEX($A4032:$AB4032,MATCH("Xero Invoiced Ex GST",$A$1:$AB$1,0)),"")),0)</f>
        <v/>
      </c>
      <c r="AE4032" s="53">
        <f>IFERROR(INDEX($A4032:$AB4032,MATCH("Xero Invoice Date",$A$1:$AB$1,0)),"")</f>
        <v/>
      </c>
      <c r="AF4032" s="54">
        <f>IF(AND(IFERROR(INDEX($A4032:$AB4032,MATCH("Xero Invoice No",$A$1:$AB$1,0)),"")&amp;""&lt;&gt;"",ISNUMBER(AE4032),AD4032&lt;&gt;0),1,0)</f>
        <v/>
      </c>
      <c r="AG4032" s="55">
        <f>IF(AF4032=1,EOMONTH(AE4032,0),"")</f>
        <v/>
      </c>
      <c r="AH4032" s="9">
        <f>IF(AF4032=1,UPPER(TRIM(IFERROR(INDEX($A4032:$AB4032,MATCH("Client",$A$1:$AB$1,0)),"")&amp;"")),"")</f>
        <v/>
      </c>
      <c r="AI4032" s="9">
        <f>IF(AF4032=1,IFERROR(INDEX($A4032:$AB4032,MATCH("Cost Centre",$A$1:$AB$1,0)),"")&amp;"","")</f>
        <v/>
      </c>
      <c r="AJ4032" s="54">
        <f>IF(AND(AF4032=1,AE4032&gt;=set_FYStart,AE4032&lt;=set_AsAt),1,0)</f>
        <v/>
      </c>
      <c r="AK4032" s="54">
        <f>IF(AND(AJ4032=1,AH4032&lt;&gt;"",COUNTIFS($AH$2:AH4032,AH4032,$AJ$2:AJ4032,1)=1),N(AL4031)+1,"")</f>
        <v/>
      </c>
      <c r="AL4032" s="54">
        <f>IF(AK4032&lt;&gt;"",AK4032,N(AL4031))</f>
        <v/>
      </c>
    </row>
    <row r="4033">
      <c r="A4033" t="inlineStr">
        <is>
          <t>CON-1344</t>
        </is>
      </c>
      <c r="B4033" t="inlineStr">
        <is>
          <t>Consulting</t>
        </is>
      </c>
      <c r="AB4033" t="n">
        <v>1344</v>
      </c>
      <c r="AD4033" s="52">
        <f>IFERROR(N(IFERROR(INDEX($A4033:$AB4033,MATCH("Xero Invoiced Ex GST",$A$1:$AB$1,0)),"")),0)</f>
        <v/>
      </c>
      <c r="AE4033" s="53">
        <f>IFERROR(INDEX($A4033:$AB4033,MATCH("Xero Invoice Date",$A$1:$AB$1,0)),"")</f>
        <v/>
      </c>
      <c r="AF4033" s="54">
        <f>IF(AND(IFERROR(INDEX($A4033:$AB4033,MATCH("Xero Invoice No",$A$1:$AB$1,0)),"")&amp;""&lt;&gt;"",ISNUMBER(AE4033),AD4033&lt;&gt;0),1,0)</f>
        <v/>
      </c>
      <c r="AG4033" s="55">
        <f>IF(AF4033=1,EOMONTH(AE4033,0),"")</f>
        <v/>
      </c>
      <c r="AH4033" s="9">
        <f>IF(AF4033=1,UPPER(TRIM(IFERROR(INDEX($A4033:$AB4033,MATCH("Client",$A$1:$AB$1,0)),"")&amp;"")),"")</f>
        <v/>
      </c>
      <c r="AI4033" s="9">
        <f>IF(AF4033=1,IFERROR(INDEX($A4033:$AB4033,MATCH("Cost Centre",$A$1:$AB$1,0)),"")&amp;"","")</f>
        <v/>
      </c>
      <c r="AJ4033" s="54">
        <f>IF(AND(AF4033=1,AE4033&gt;=set_FYStart,AE4033&lt;=set_AsAt),1,0)</f>
        <v/>
      </c>
      <c r="AK4033" s="54">
        <f>IF(AND(AJ4033=1,AH4033&lt;&gt;"",COUNTIFS($AH$2:AH4033,AH4033,$AJ$2:AJ4033,1)=1),N(AL4032)+1,"")</f>
        <v/>
      </c>
      <c r="AL4033" s="54">
        <f>IF(AK4033&lt;&gt;"",AK4033,N(AL4032))</f>
        <v/>
      </c>
    </row>
    <row r="4034">
      <c r="A4034" t="inlineStr">
        <is>
          <t>ONS-1345</t>
        </is>
      </c>
      <c r="B4034" t="inlineStr">
        <is>
          <t>Onsite</t>
        </is>
      </c>
      <c r="AB4034" t="n">
        <v>1345</v>
      </c>
      <c r="AD4034" s="52">
        <f>IFERROR(N(IFERROR(INDEX($A4034:$AB4034,MATCH("Xero Invoiced Ex GST",$A$1:$AB$1,0)),"")),0)</f>
        <v/>
      </c>
      <c r="AE4034" s="53">
        <f>IFERROR(INDEX($A4034:$AB4034,MATCH("Xero Invoice Date",$A$1:$AB$1,0)),"")</f>
        <v/>
      </c>
      <c r="AF4034" s="54">
        <f>IF(AND(IFERROR(INDEX($A4034:$AB4034,MATCH("Xero Invoice No",$A$1:$AB$1,0)),"")&amp;""&lt;&gt;"",ISNUMBER(AE4034),AD4034&lt;&gt;0),1,0)</f>
        <v/>
      </c>
      <c r="AG4034" s="55">
        <f>IF(AF4034=1,EOMONTH(AE4034,0),"")</f>
        <v/>
      </c>
      <c r="AH4034" s="9">
        <f>IF(AF4034=1,UPPER(TRIM(IFERROR(INDEX($A4034:$AB4034,MATCH("Client",$A$1:$AB$1,0)),"")&amp;"")),"")</f>
        <v/>
      </c>
      <c r="AI4034" s="9">
        <f>IF(AF4034=1,IFERROR(INDEX($A4034:$AB4034,MATCH("Cost Centre",$A$1:$AB$1,0)),"")&amp;"","")</f>
        <v/>
      </c>
      <c r="AJ4034" s="54">
        <f>IF(AND(AF4034=1,AE4034&gt;=set_FYStart,AE4034&lt;=set_AsAt),1,0)</f>
        <v/>
      </c>
      <c r="AK4034" s="54">
        <f>IF(AND(AJ4034=1,AH4034&lt;&gt;"",COUNTIFS($AH$2:AH4034,AH4034,$AJ$2:AJ4034,1)=1),N(AL4033)+1,"")</f>
        <v/>
      </c>
      <c r="AL4034" s="54">
        <f>IF(AK4034&lt;&gt;"",AK4034,N(AL4033))</f>
        <v/>
      </c>
    </row>
    <row r="4035">
      <c r="A4035" t="inlineStr">
        <is>
          <t>PRD-1345</t>
        </is>
      </c>
      <c r="B4035" t="inlineStr">
        <is>
          <t>Production</t>
        </is>
      </c>
      <c r="AB4035" t="n">
        <v>1345</v>
      </c>
      <c r="AD4035" s="52">
        <f>IFERROR(N(IFERROR(INDEX($A4035:$AB4035,MATCH("Xero Invoiced Ex GST",$A$1:$AB$1,0)),"")),0)</f>
        <v/>
      </c>
      <c r="AE4035" s="53">
        <f>IFERROR(INDEX($A4035:$AB4035,MATCH("Xero Invoice Date",$A$1:$AB$1,0)),"")</f>
        <v/>
      </c>
      <c r="AF4035" s="54">
        <f>IF(AND(IFERROR(INDEX($A4035:$AB4035,MATCH("Xero Invoice No",$A$1:$AB$1,0)),"")&amp;""&lt;&gt;"",ISNUMBER(AE4035),AD4035&lt;&gt;0),1,0)</f>
        <v/>
      </c>
      <c r="AG4035" s="55">
        <f>IF(AF4035=1,EOMONTH(AE4035,0),"")</f>
        <v/>
      </c>
      <c r="AH4035" s="9">
        <f>IF(AF4035=1,UPPER(TRIM(IFERROR(INDEX($A4035:$AB4035,MATCH("Client",$A$1:$AB$1,0)),"")&amp;"")),"")</f>
        <v/>
      </c>
      <c r="AI4035" s="9">
        <f>IF(AF4035=1,IFERROR(INDEX($A4035:$AB4035,MATCH("Cost Centre",$A$1:$AB$1,0)),"")&amp;"","")</f>
        <v/>
      </c>
      <c r="AJ4035" s="54">
        <f>IF(AND(AF4035=1,AE4035&gt;=set_FYStart,AE4035&lt;=set_AsAt),1,0)</f>
        <v/>
      </c>
      <c r="AK4035" s="54">
        <f>IF(AND(AJ4035=1,AH4035&lt;&gt;"",COUNTIFS($AH$2:AH4035,AH4035,$AJ$2:AJ4035,1)=1),N(AL4034)+1,"")</f>
        <v/>
      </c>
      <c r="AL4035" s="54">
        <f>IF(AK4035&lt;&gt;"",AK4035,N(AL4034))</f>
        <v/>
      </c>
    </row>
    <row r="4036">
      <c r="A4036" t="inlineStr">
        <is>
          <t>CON-1345</t>
        </is>
      </c>
      <c r="B4036" t="inlineStr">
        <is>
          <t>Consulting</t>
        </is>
      </c>
      <c r="AB4036" t="n">
        <v>1345</v>
      </c>
      <c r="AD4036" s="52">
        <f>IFERROR(N(IFERROR(INDEX($A4036:$AB4036,MATCH("Xero Invoiced Ex GST",$A$1:$AB$1,0)),"")),0)</f>
        <v/>
      </c>
      <c r="AE4036" s="53">
        <f>IFERROR(INDEX($A4036:$AB4036,MATCH("Xero Invoice Date",$A$1:$AB$1,0)),"")</f>
        <v/>
      </c>
      <c r="AF4036" s="54">
        <f>IF(AND(IFERROR(INDEX($A4036:$AB4036,MATCH("Xero Invoice No",$A$1:$AB$1,0)),"")&amp;""&lt;&gt;"",ISNUMBER(AE4036),AD4036&lt;&gt;0),1,0)</f>
        <v/>
      </c>
      <c r="AG4036" s="55">
        <f>IF(AF4036=1,EOMONTH(AE4036,0),"")</f>
        <v/>
      </c>
      <c r="AH4036" s="9">
        <f>IF(AF4036=1,UPPER(TRIM(IFERROR(INDEX($A4036:$AB4036,MATCH("Client",$A$1:$AB$1,0)),"")&amp;"")),"")</f>
        <v/>
      </c>
      <c r="AI4036" s="9">
        <f>IF(AF4036=1,IFERROR(INDEX($A4036:$AB4036,MATCH("Cost Centre",$A$1:$AB$1,0)),"")&amp;"","")</f>
        <v/>
      </c>
      <c r="AJ4036" s="54">
        <f>IF(AND(AF4036=1,AE4036&gt;=set_FYStart,AE4036&lt;=set_AsAt),1,0)</f>
        <v/>
      </c>
      <c r="AK4036" s="54">
        <f>IF(AND(AJ4036=1,AH4036&lt;&gt;"",COUNTIFS($AH$2:AH4036,AH4036,$AJ$2:AJ4036,1)=1),N(AL4035)+1,"")</f>
        <v/>
      </c>
      <c r="AL4036" s="54">
        <f>IF(AK4036&lt;&gt;"",AK4036,N(AL4035))</f>
        <v/>
      </c>
    </row>
    <row r="4037">
      <c r="A4037" t="inlineStr">
        <is>
          <t>ONS-1346</t>
        </is>
      </c>
      <c r="B4037" t="inlineStr">
        <is>
          <t>Onsite</t>
        </is>
      </c>
      <c r="AB4037" t="n">
        <v>1346</v>
      </c>
      <c r="AD4037" s="52">
        <f>IFERROR(N(IFERROR(INDEX($A4037:$AB4037,MATCH("Xero Invoiced Ex GST",$A$1:$AB$1,0)),"")),0)</f>
        <v/>
      </c>
      <c r="AE4037" s="53">
        <f>IFERROR(INDEX($A4037:$AB4037,MATCH("Xero Invoice Date",$A$1:$AB$1,0)),"")</f>
        <v/>
      </c>
      <c r="AF4037" s="54">
        <f>IF(AND(IFERROR(INDEX($A4037:$AB4037,MATCH("Xero Invoice No",$A$1:$AB$1,0)),"")&amp;""&lt;&gt;"",ISNUMBER(AE4037),AD4037&lt;&gt;0),1,0)</f>
        <v/>
      </c>
      <c r="AG4037" s="55">
        <f>IF(AF4037=1,EOMONTH(AE4037,0),"")</f>
        <v/>
      </c>
      <c r="AH4037" s="9">
        <f>IF(AF4037=1,UPPER(TRIM(IFERROR(INDEX($A4037:$AB4037,MATCH("Client",$A$1:$AB$1,0)),"")&amp;"")),"")</f>
        <v/>
      </c>
      <c r="AI4037" s="9">
        <f>IF(AF4037=1,IFERROR(INDEX($A4037:$AB4037,MATCH("Cost Centre",$A$1:$AB$1,0)),"")&amp;"","")</f>
        <v/>
      </c>
      <c r="AJ4037" s="54">
        <f>IF(AND(AF4037=1,AE4037&gt;=set_FYStart,AE4037&lt;=set_AsAt),1,0)</f>
        <v/>
      </c>
      <c r="AK4037" s="54">
        <f>IF(AND(AJ4037=1,AH4037&lt;&gt;"",COUNTIFS($AH$2:AH4037,AH4037,$AJ$2:AJ4037,1)=1),N(AL4036)+1,"")</f>
        <v/>
      </c>
      <c r="AL4037" s="54">
        <f>IF(AK4037&lt;&gt;"",AK4037,N(AL4036))</f>
        <v/>
      </c>
    </row>
    <row r="4038">
      <c r="A4038" t="inlineStr">
        <is>
          <t>PRD-1346</t>
        </is>
      </c>
      <c r="B4038" t="inlineStr">
        <is>
          <t>Production</t>
        </is>
      </c>
      <c r="AB4038" t="n">
        <v>1346</v>
      </c>
      <c r="AD4038" s="52">
        <f>IFERROR(N(IFERROR(INDEX($A4038:$AB4038,MATCH("Xero Invoiced Ex GST",$A$1:$AB$1,0)),"")),0)</f>
        <v/>
      </c>
      <c r="AE4038" s="53">
        <f>IFERROR(INDEX($A4038:$AB4038,MATCH("Xero Invoice Date",$A$1:$AB$1,0)),"")</f>
        <v/>
      </c>
      <c r="AF4038" s="54">
        <f>IF(AND(IFERROR(INDEX($A4038:$AB4038,MATCH("Xero Invoice No",$A$1:$AB$1,0)),"")&amp;""&lt;&gt;"",ISNUMBER(AE4038),AD4038&lt;&gt;0),1,0)</f>
        <v/>
      </c>
      <c r="AG4038" s="55">
        <f>IF(AF4038=1,EOMONTH(AE4038,0),"")</f>
        <v/>
      </c>
      <c r="AH4038" s="9">
        <f>IF(AF4038=1,UPPER(TRIM(IFERROR(INDEX($A4038:$AB4038,MATCH("Client",$A$1:$AB$1,0)),"")&amp;"")),"")</f>
        <v/>
      </c>
      <c r="AI4038" s="9">
        <f>IF(AF4038=1,IFERROR(INDEX($A4038:$AB4038,MATCH("Cost Centre",$A$1:$AB$1,0)),"")&amp;"","")</f>
        <v/>
      </c>
      <c r="AJ4038" s="54">
        <f>IF(AND(AF4038=1,AE4038&gt;=set_FYStart,AE4038&lt;=set_AsAt),1,0)</f>
        <v/>
      </c>
      <c r="AK4038" s="54">
        <f>IF(AND(AJ4038=1,AH4038&lt;&gt;"",COUNTIFS($AH$2:AH4038,AH4038,$AJ$2:AJ4038,1)=1),N(AL4037)+1,"")</f>
        <v/>
      </c>
      <c r="AL4038" s="54">
        <f>IF(AK4038&lt;&gt;"",AK4038,N(AL4037))</f>
        <v/>
      </c>
    </row>
    <row r="4039">
      <c r="A4039" t="inlineStr">
        <is>
          <t>CON-1346</t>
        </is>
      </c>
      <c r="B4039" t="inlineStr">
        <is>
          <t>Consulting</t>
        </is>
      </c>
      <c r="AB4039" t="n">
        <v>1346</v>
      </c>
      <c r="AD4039" s="52">
        <f>IFERROR(N(IFERROR(INDEX($A4039:$AB4039,MATCH("Xero Invoiced Ex GST",$A$1:$AB$1,0)),"")),0)</f>
        <v/>
      </c>
      <c r="AE4039" s="53">
        <f>IFERROR(INDEX($A4039:$AB4039,MATCH("Xero Invoice Date",$A$1:$AB$1,0)),"")</f>
        <v/>
      </c>
      <c r="AF4039" s="54">
        <f>IF(AND(IFERROR(INDEX($A4039:$AB4039,MATCH("Xero Invoice No",$A$1:$AB$1,0)),"")&amp;""&lt;&gt;"",ISNUMBER(AE4039),AD4039&lt;&gt;0),1,0)</f>
        <v/>
      </c>
      <c r="AG4039" s="55">
        <f>IF(AF4039=1,EOMONTH(AE4039,0),"")</f>
        <v/>
      </c>
      <c r="AH4039" s="9">
        <f>IF(AF4039=1,UPPER(TRIM(IFERROR(INDEX($A4039:$AB4039,MATCH("Client",$A$1:$AB$1,0)),"")&amp;"")),"")</f>
        <v/>
      </c>
      <c r="AI4039" s="9">
        <f>IF(AF4039=1,IFERROR(INDEX($A4039:$AB4039,MATCH("Cost Centre",$A$1:$AB$1,0)),"")&amp;"","")</f>
        <v/>
      </c>
      <c r="AJ4039" s="54">
        <f>IF(AND(AF4039=1,AE4039&gt;=set_FYStart,AE4039&lt;=set_AsAt),1,0)</f>
        <v/>
      </c>
      <c r="AK4039" s="54">
        <f>IF(AND(AJ4039=1,AH4039&lt;&gt;"",COUNTIFS($AH$2:AH4039,AH4039,$AJ$2:AJ4039,1)=1),N(AL4038)+1,"")</f>
        <v/>
      </c>
      <c r="AL4039" s="54">
        <f>IF(AK4039&lt;&gt;"",AK4039,N(AL4038))</f>
        <v/>
      </c>
    </row>
    <row r="4040">
      <c r="A4040" t="inlineStr">
        <is>
          <t>ONS-1347</t>
        </is>
      </c>
      <c r="B4040" t="inlineStr">
        <is>
          <t>Onsite</t>
        </is>
      </c>
      <c r="AB4040" t="n">
        <v>1347</v>
      </c>
      <c r="AD4040" s="52">
        <f>IFERROR(N(IFERROR(INDEX($A4040:$AB4040,MATCH("Xero Invoiced Ex GST",$A$1:$AB$1,0)),"")),0)</f>
        <v/>
      </c>
      <c r="AE4040" s="53">
        <f>IFERROR(INDEX($A4040:$AB4040,MATCH("Xero Invoice Date",$A$1:$AB$1,0)),"")</f>
        <v/>
      </c>
      <c r="AF4040" s="54">
        <f>IF(AND(IFERROR(INDEX($A4040:$AB4040,MATCH("Xero Invoice No",$A$1:$AB$1,0)),"")&amp;""&lt;&gt;"",ISNUMBER(AE4040),AD4040&lt;&gt;0),1,0)</f>
        <v/>
      </c>
      <c r="AG4040" s="55">
        <f>IF(AF4040=1,EOMONTH(AE4040,0),"")</f>
        <v/>
      </c>
      <c r="AH4040" s="9">
        <f>IF(AF4040=1,UPPER(TRIM(IFERROR(INDEX($A4040:$AB4040,MATCH("Client",$A$1:$AB$1,0)),"")&amp;"")),"")</f>
        <v/>
      </c>
      <c r="AI4040" s="9">
        <f>IF(AF4040=1,IFERROR(INDEX($A4040:$AB4040,MATCH("Cost Centre",$A$1:$AB$1,0)),"")&amp;"","")</f>
        <v/>
      </c>
      <c r="AJ4040" s="54">
        <f>IF(AND(AF4040=1,AE4040&gt;=set_FYStart,AE4040&lt;=set_AsAt),1,0)</f>
        <v/>
      </c>
      <c r="AK4040" s="54">
        <f>IF(AND(AJ4040=1,AH4040&lt;&gt;"",COUNTIFS($AH$2:AH4040,AH4040,$AJ$2:AJ4040,1)=1),N(AL4039)+1,"")</f>
        <v/>
      </c>
      <c r="AL4040" s="54">
        <f>IF(AK4040&lt;&gt;"",AK4040,N(AL4039))</f>
        <v/>
      </c>
    </row>
    <row r="4041">
      <c r="A4041" t="inlineStr">
        <is>
          <t>PRD-1347</t>
        </is>
      </c>
      <c r="B4041" t="inlineStr">
        <is>
          <t>Production</t>
        </is>
      </c>
      <c r="AB4041" t="n">
        <v>1347</v>
      </c>
      <c r="AD4041" s="52">
        <f>IFERROR(N(IFERROR(INDEX($A4041:$AB4041,MATCH("Xero Invoiced Ex GST",$A$1:$AB$1,0)),"")),0)</f>
        <v/>
      </c>
      <c r="AE4041" s="53">
        <f>IFERROR(INDEX($A4041:$AB4041,MATCH("Xero Invoice Date",$A$1:$AB$1,0)),"")</f>
        <v/>
      </c>
      <c r="AF4041" s="54">
        <f>IF(AND(IFERROR(INDEX($A4041:$AB4041,MATCH("Xero Invoice No",$A$1:$AB$1,0)),"")&amp;""&lt;&gt;"",ISNUMBER(AE4041),AD4041&lt;&gt;0),1,0)</f>
        <v/>
      </c>
      <c r="AG4041" s="55">
        <f>IF(AF4041=1,EOMONTH(AE4041,0),"")</f>
        <v/>
      </c>
      <c r="AH4041" s="9">
        <f>IF(AF4041=1,UPPER(TRIM(IFERROR(INDEX($A4041:$AB4041,MATCH("Client",$A$1:$AB$1,0)),"")&amp;"")),"")</f>
        <v/>
      </c>
      <c r="AI4041" s="9">
        <f>IF(AF4041=1,IFERROR(INDEX($A4041:$AB4041,MATCH("Cost Centre",$A$1:$AB$1,0)),"")&amp;"","")</f>
        <v/>
      </c>
      <c r="AJ4041" s="54">
        <f>IF(AND(AF4041=1,AE4041&gt;=set_FYStart,AE4041&lt;=set_AsAt),1,0)</f>
        <v/>
      </c>
      <c r="AK4041" s="54">
        <f>IF(AND(AJ4041=1,AH4041&lt;&gt;"",COUNTIFS($AH$2:AH4041,AH4041,$AJ$2:AJ4041,1)=1),N(AL4040)+1,"")</f>
        <v/>
      </c>
      <c r="AL4041" s="54">
        <f>IF(AK4041&lt;&gt;"",AK4041,N(AL4040))</f>
        <v/>
      </c>
    </row>
    <row r="4042">
      <c r="A4042" t="inlineStr">
        <is>
          <t>CON-1347</t>
        </is>
      </c>
      <c r="B4042" t="inlineStr">
        <is>
          <t>Consulting</t>
        </is>
      </c>
      <c r="AB4042" t="n">
        <v>1347</v>
      </c>
      <c r="AD4042" s="52">
        <f>IFERROR(N(IFERROR(INDEX($A4042:$AB4042,MATCH("Xero Invoiced Ex GST",$A$1:$AB$1,0)),"")),0)</f>
        <v/>
      </c>
      <c r="AE4042" s="53">
        <f>IFERROR(INDEX($A4042:$AB4042,MATCH("Xero Invoice Date",$A$1:$AB$1,0)),"")</f>
        <v/>
      </c>
      <c r="AF4042" s="54">
        <f>IF(AND(IFERROR(INDEX($A4042:$AB4042,MATCH("Xero Invoice No",$A$1:$AB$1,0)),"")&amp;""&lt;&gt;"",ISNUMBER(AE4042),AD4042&lt;&gt;0),1,0)</f>
        <v/>
      </c>
      <c r="AG4042" s="55">
        <f>IF(AF4042=1,EOMONTH(AE4042,0),"")</f>
        <v/>
      </c>
      <c r="AH4042" s="9">
        <f>IF(AF4042=1,UPPER(TRIM(IFERROR(INDEX($A4042:$AB4042,MATCH("Client",$A$1:$AB$1,0)),"")&amp;"")),"")</f>
        <v/>
      </c>
      <c r="AI4042" s="9">
        <f>IF(AF4042=1,IFERROR(INDEX($A4042:$AB4042,MATCH("Cost Centre",$A$1:$AB$1,0)),"")&amp;"","")</f>
        <v/>
      </c>
      <c r="AJ4042" s="54">
        <f>IF(AND(AF4042=1,AE4042&gt;=set_FYStart,AE4042&lt;=set_AsAt),1,0)</f>
        <v/>
      </c>
      <c r="AK4042" s="54">
        <f>IF(AND(AJ4042=1,AH4042&lt;&gt;"",COUNTIFS($AH$2:AH4042,AH4042,$AJ$2:AJ4042,1)=1),N(AL4041)+1,"")</f>
        <v/>
      </c>
      <c r="AL4042" s="54">
        <f>IF(AK4042&lt;&gt;"",AK4042,N(AL4041))</f>
        <v/>
      </c>
    </row>
    <row r="4043">
      <c r="A4043" t="inlineStr">
        <is>
          <t>ONS-1348</t>
        </is>
      </c>
      <c r="B4043" t="inlineStr">
        <is>
          <t>Onsite</t>
        </is>
      </c>
      <c r="AB4043" t="n">
        <v>1348</v>
      </c>
      <c r="AD4043" s="52">
        <f>IFERROR(N(IFERROR(INDEX($A4043:$AB4043,MATCH("Xero Invoiced Ex GST",$A$1:$AB$1,0)),"")),0)</f>
        <v/>
      </c>
      <c r="AE4043" s="53">
        <f>IFERROR(INDEX($A4043:$AB4043,MATCH("Xero Invoice Date",$A$1:$AB$1,0)),"")</f>
        <v/>
      </c>
      <c r="AF4043" s="54">
        <f>IF(AND(IFERROR(INDEX($A4043:$AB4043,MATCH("Xero Invoice No",$A$1:$AB$1,0)),"")&amp;""&lt;&gt;"",ISNUMBER(AE4043),AD4043&lt;&gt;0),1,0)</f>
        <v/>
      </c>
      <c r="AG4043" s="55">
        <f>IF(AF4043=1,EOMONTH(AE4043,0),"")</f>
        <v/>
      </c>
      <c r="AH4043" s="9">
        <f>IF(AF4043=1,UPPER(TRIM(IFERROR(INDEX($A4043:$AB4043,MATCH("Client",$A$1:$AB$1,0)),"")&amp;"")),"")</f>
        <v/>
      </c>
      <c r="AI4043" s="9">
        <f>IF(AF4043=1,IFERROR(INDEX($A4043:$AB4043,MATCH("Cost Centre",$A$1:$AB$1,0)),"")&amp;"","")</f>
        <v/>
      </c>
      <c r="AJ4043" s="54">
        <f>IF(AND(AF4043=1,AE4043&gt;=set_FYStart,AE4043&lt;=set_AsAt),1,0)</f>
        <v/>
      </c>
      <c r="AK4043" s="54">
        <f>IF(AND(AJ4043=1,AH4043&lt;&gt;"",COUNTIFS($AH$2:AH4043,AH4043,$AJ$2:AJ4043,1)=1),N(AL4042)+1,"")</f>
        <v/>
      </c>
      <c r="AL4043" s="54">
        <f>IF(AK4043&lt;&gt;"",AK4043,N(AL4042))</f>
        <v/>
      </c>
    </row>
    <row r="4044">
      <c r="A4044" t="inlineStr">
        <is>
          <t>PRD-1348</t>
        </is>
      </c>
      <c r="B4044" t="inlineStr">
        <is>
          <t>Production</t>
        </is>
      </c>
      <c r="AB4044" t="n">
        <v>1348</v>
      </c>
      <c r="AD4044" s="52">
        <f>IFERROR(N(IFERROR(INDEX($A4044:$AB4044,MATCH("Xero Invoiced Ex GST",$A$1:$AB$1,0)),"")),0)</f>
        <v/>
      </c>
      <c r="AE4044" s="53">
        <f>IFERROR(INDEX($A4044:$AB4044,MATCH("Xero Invoice Date",$A$1:$AB$1,0)),"")</f>
        <v/>
      </c>
      <c r="AF4044" s="54">
        <f>IF(AND(IFERROR(INDEX($A4044:$AB4044,MATCH("Xero Invoice No",$A$1:$AB$1,0)),"")&amp;""&lt;&gt;"",ISNUMBER(AE4044),AD4044&lt;&gt;0),1,0)</f>
        <v/>
      </c>
      <c r="AG4044" s="55">
        <f>IF(AF4044=1,EOMONTH(AE4044,0),"")</f>
        <v/>
      </c>
      <c r="AH4044" s="9">
        <f>IF(AF4044=1,UPPER(TRIM(IFERROR(INDEX($A4044:$AB4044,MATCH("Client",$A$1:$AB$1,0)),"")&amp;"")),"")</f>
        <v/>
      </c>
      <c r="AI4044" s="9">
        <f>IF(AF4044=1,IFERROR(INDEX($A4044:$AB4044,MATCH("Cost Centre",$A$1:$AB$1,0)),"")&amp;"","")</f>
        <v/>
      </c>
      <c r="AJ4044" s="54">
        <f>IF(AND(AF4044=1,AE4044&gt;=set_FYStart,AE4044&lt;=set_AsAt),1,0)</f>
        <v/>
      </c>
      <c r="AK4044" s="54">
        <f>IF(AND(AJ4044=1,AH4044&lt;&gt;"",COUNTIFS($AH$2:AH4044,AH4044,$AJ$2:AJ4044,1)=1),N(AL4043)+1,"")</f>
        <v/>
      </c>
      <c r="AL4044" s="54">
        <f>IF(AK4044&lt;&gt;"",AK4044,N(AL4043))</f>
        <v/>
      </c>
    </row>
    <row r="4045">
      <c r="A4045" t="inlineStr">
        <is>
          <t>CON-1348</t>
        </is>
      </c>
      <c r="B4045" t="inlineStr">
        <is>
          <t>Consulting</t>
        </is>
      </c>
      <c r="AB4045" t="n">
        <v>1348</v>
      </c>
      <c r="AD4045" s="52">
        <f>IFERROR(N(IFERROR(INDEX($A4045:$AB4045,MATCH("Xero Invoiced Ex GST",$A$1:$AB$1,0)),"")),0)</f>
        <v/>
      </c>
      <c r="AE4045" s="53">
        <f>IFERROR(INDEX($A4045:$AB4045,MATCH("Xero Invoice Date",$A$1:$AB$1,0)),"")</f>
        <v/>
      </c>
      <c r="AF4045" s="54">
        <f>IF(AND(IFERROR(INDEX($A4045:$AB4045,MATCH("Xero Invoice No",$A$1:$AB$1,0)),"")&amp;""&lt;&gt;"",ISNUMBER(AE4045),AD4045&lt;&gt;0),1,0)</f>
        <v/>
      </c>
      <c r="AG4045" s="55">
        <f>IF(AF4045=1,EOMONTH(AE4045,0),"")</f>
        <v/>
      </c>
      <c r="AH4045" s="9">
        <f>IF(AF4045=1,UPPER(TRIM(IFERROR(INDEX($A4045:$AB4045,MATCH("Client",$A$1:$AB$1,0)),"")&amp;"")),"")</f>
        <v/>
      </c>
      <c r="AI4045" s="9">
        <f>IF(AF4045=1,IFERROR(INDEX($A4045:$AB4045,MATCH("Cost Centre",$A$1:$AB$1,0)),"")&amp;"","")</f>
        <v/>
      </c>
      <c r="AJ4045" s="54">
        <f>IF(AND(AF4045=1,AE4045&gt;=set_FYStart,AE4045&lt;=set_AsAt),1,0)</f>
        <v/>
      </c>
      <c r="AK4045" s="54">
        <f>IF(AND(AJ4045=1,AH4045&lt;&gt;"",COUNTIFS($AH$2:AH4045,AH4045,$AJ$2:AJ4045,1)=1),N(AL4044)+1,"")</f>
        <v/>
      </c>
      <c r="AL4045" s="54">
        <f>IF(AK4045&lt;&gt;"",AK4045,N(AL4044))</f>
        <v/>
      </c>
    </row>
    <row r="4046">
      <c r="A4046" t="inlineStr">
        <is>
          <t>ONS-1349</t>
        </is>
      </c>
      <c r="B4046" t="inlineStr">
        <is>
          <t>Onsite</t>
        </is>
      </c>
      <c r="AB4046" t="n">
        <v>1349</v>
      </c>
      <c r="AD4046" s="52">
        <f>IFERROR(N(IFERROR(INDEX($A4046:$AB4046,MATCH("Xero Invoiced Ex GST",$A$1:$AB$1,0)),"")),0)</f>
        <v/>
      </c>
      <c r="AE4046" s="53">
        <f>IFERROR(INDEX($A4046:$AB4046,MATCH("Xero Invoice Date",$A$1:$AB$1,0)),"")</f>
        <v/>
      </c>
      <c r="AF4046" s="54">
        <f>IF(AND(IFERROR(INDEX($A4046:$AB4046,MATCH("Xero Invoice No",$A$1:$AB$1,0)),"")&amp;""&lt;&gt;"",ISNUMBER(AE4046),AD4046&lt;&gt;0),1,0)</f>
        <v/>
      </c>
      <c r="AG4046" s="55">
        <f>IF(AF4046=1,EOMONTH(AE4046,0),"")</f>
        <v/>
      </c>
      <c r="AH4046" s="9">
        <f>IF(AF4046=1,UPPER(TRIM(IFERROR(INDEX($A4046:$AB4046,MATCH("Client",$A$1:$AB$1,0)),"")&amp;"")),"")</f>
        <v/>
      </c>
      <c r="AI4046" s="9">
        <f>IF(AF4046=1,IFERROR(INDEX($A4046:$AB4046,MATCH("Cost Centre",$A$1:$AB$1,0)),"")&amp;"","")</f>
        <v/>
      </c>
      <c r="AJ4046" s="54">
        <f>IF(AND(AF4046=1,AE4046&gt;=set_FYStart,AE4046&lt;=set_AsAt),1,0)</f>
        <v/>
      </c>
      <c r="AK4046" s="54">
        <f>IF(AND(AJ4046=1,AH4046&lt;&gt;"",COUNTIFS($AH$2:AH4046,AH4046,$AJ$2:AJ4046,1)=1),N(AL4045)+1,"")</f>
        <v/>
      </c>
      <c r="AL4046" s="54">
        <f>IF(AK4046&lt;&gt;"",AK4046,N(AL4045))</f>
        <v/>
      </c>
    </row>
    <row r="4047">
      <c r="A4047" t="inlineStr">
        <is>
          <t>PRD-1349</t>
        </is>
      </c>
      <c r="B4047" t="inlineStr">
        <is>
          <t>Production</t>
        </is>
      </c>
      <c r="AB4047" t="n">
        <v>1349</v>
      </c>
      <c r="AD4047" s="52">
        <f>IFERROR(N(IFERROR(INDEX($A4047:$AB4047,MATCH("Xero Invoiced Ex GST",$A$1:$AB$1,0)),"")),0)</f>
        <v/>
      </c>
      <c r="AE4047" s="53">
        <f>IFERROR(INDEX($A4047:$AB4047,MATCH("Xero Invoice Date",$A$1:$AB$1,0)),"")</f>
        <v/>
      </c>
      <c r="AF4047" s="54">
        <f>IF(AND(IFERROR(INDEX($A4047:$AB4047,MATCH("Xero Invoice No",$A$1:$AB$1,0)),"")&amp;""&lt;&gt;"",ISNUMBER(AE4047),AD4047&lt;&gt;0),1,0)</f>
        <v/>
      </c>
      <c r="AG4047" s="55">
        <f>IF(AF4047=1,EOMONTH(AE4047,0),"")</f>
        <v/>
      </c>
      <c r="AH4047" s="9">
        <f>IF(AF4047=1,UPPER(TRIM(IFERROR(INDEX($A4047:$AB4047,MATCH("Client",$A$1:$AB$1,0)),"")&amp;"")),"")</f>
        <v/>
      </c>
      <c r="AI4047" s="9">
        <f>IF(AF4047=1,IFERROR(INDEX($A4047:$AB4047,MATCH("Cost Centre",$A$1:$AB$1,0)),"")&amp;"","")</f>
        <v/>
      </c>
      <c r="AJ4047" s="54">
        <f>IF(AND(AF4047=1,AE4047&gt;=set_FYStart,AE4047&lt;=set_AsAt),1,0)</f>
        <v/>
      </c>
      <c r="AK4047" s="54">
        <f>IF(AND(AJ4047=1,AH4047&lt;&gt;"",COUNTIFS($AH$2:AH4047,AH4047,$AJ$2:AJ4047,1)=1),N(AL4046)+1,"")</f>
        <v/>
      </c>
      <c r="AL4047" s="54">
        <f>IF(AK4047&lt;&gt;"",AK4047,N(AL4046))</f>
        <v/>
      </c>
    </row>
    <row r="4048">
      <c r="A4048" t="inlineStr">
        <is>
          <t>CON-1349</t>
        </is>
      </c>
      <c r="B4048" t="inlineStr">
        <is>
          <t>Consulting</t>
        </is>
      </c>
      <c r="AB4048" t="n">
        <v>1349</v>
      </c>
      <c r="AD4048" s="52">
        <f>IFERROR(N(IFERROR(INDEX($A4048:$AB4048,MATCH("Xero Invoiced Ex GST",$A$1:$AB$1,0)),"")),0)</f>
        <v/>
      </c>
      <c r="AE4048" s="53">
        <f>IFERROR(INDEX($A4048:$AB4048,MATCH("Xero Invoice Date",$A$1:$AB$1,0)),"")</f>
        <v/>
      </c>
      <c r="AF4048" s="54">
        <f>IF(AND(IFERROR(INDEX($A4048:$AB4048,MATCH("Xero Invoice No",$A$1:$AB$1,0)),"")&amp;""&lt;&gt;"",ISNUMBER(AE4048),AD4048&lt;&gt;0),1,0)</f>
        <v/>
      </c>
      <c r="AG4048" s="55">
        <f>IF(AF4048=1,EOMONTH(AE4048,0),"")</f>
        <v/>
      </c>
      <c r="AH4048" s="9">
        <f>IF(AF4048=1,UPPER(TRIM(IFERROR(INDEX($A4048:$AB4048,MATCH("Client",$A$1:$AB$1,0)),"")&amp;"")),"")</f>
        <v/>
      </c>
      <c r="AI4048" s="9">
        <f>IF(AF4048=1,IFERROR(INDEX($A4048:$AB4048,MATCH("Cost Centre",$A$1:$AB$1,0)),"")&amp;"","")</f>
        <v/>
      </c>
      <c r="AJ4048" s="54">
        <f>IF(AND(AF4048=1,AE4048&gt;=set_FYStart,AE4048&lt;=set_AsAt),1,0)</f>
        <v/>
      </c>
      <c r="AK4048" s="54">
        <f>IF(AND(AJ4048=1,AH4048&lt;&gt;"",COUNTIFS($AH$2:AH4048,AH4048,$AJ$2:AJ4048,1)=1),N(AL4047)+1,"")</f>
        <v/>
      </c>
      <c r="AL4048" s="54">
        <f>IF(AK4048&lt;&gt;"",AK4048,N(AL4047))</f>
        <v/>
      </c>
    </row>
    <row r="4049">
      <c r="A4049" t="inlineStr">
        <is>
          <t>ONS-1350</t>
        </is>
      </c>
      <c r="B4049" t="inlineStr">
        <is>
          <t>Onsite</t>
        </is>
      </c>
      <c r="AB4049" t="n">
        <v>1350</v>
      </c>
      <c r="AD4049" s="52">
        <f>IFERROR(N(IFERROR(INDEX($A4049:$AB4049,MATCH("Xero Invoiced Ex GST",$A$1:$AB$1,0)),"")),0)</f>
        <v/>
      </c>
      <c r="AE4049" s="53">
        <f>IFERROR(INDEX($A4049:$AB4049,MATCH("Xero Invoice Date",$A$1:$AB$1,0)),"")</f>
        <v/>
      </c>
      <c r="AF4049" s="54">
        <f>IF(AND(IFERROR(INDEX($A4049:$AB4049,MATCH("Xero Invoice No",$A$1:$AB$1,0)),"")&amp;""&lt;&gt;"",ISNUMBER(AE4049),AD4049&lt;&gt;0),1,0)</f>
        <v/>
      </c>
      <c r="AG4049" s="55">
        <f>IF(AF4049=1,EOMONTH(AE4049,0),"")</f>
        <v/>
      </c>
      <c r="AH4049" s="9">
        <f>IF(AF4049=1,UPPER(TRIM(IFERROR(INDEX($A4049:$AB4049,MATCH("Client",$A$1:$AB$1,0)),"")&amp;"")),"")</f>
        <v/>
      </c>
      <c r="AI4049" s="9">
        <f>IF(AF4049=1,IFERROR(INDEX($A4049:$AB4049,MATCH("Cost Centre",$A$1:$AB$1,0)),"")&amp;"","")</f>
        <v/>
      </c>
      <c r="AJ4049" s="54">
        <f>IF(AND(AF4049=1,AE4049&gt;=set_FYStart,AE4049&lt;=set_AsAt),1,0)</f>
        <v/>
      </c>
      <c r="AK4049" s="54">
        <f>IF(AND(AJ4049=1,AH4049&lt;&gt;"",COUNTIFS($AH$2:AH4049,AH4049,$AJ$2:AJ4049,1)=1),N(AL4048)+1,"")</f>
        <v/>
      </c>
      <c r="AL4049" s="54">
        <f>IF(AK4049&lt;&gt;"",AK4049,N(AL4048))</f>
        <v/>
      </c>
    </row>
    <row r="4050">
      <c r="A4050" t="inlineStr">
        <is>
          <t>PRD-1350</t>
        </is>
      </c>
      <c r="B4050" t="inlineStr">
        <is>
          <t>Production</t>
        </is>
      </c>
      <c r="AB4050" t="n">
        <v>1350</v>
      </c>
      <c r="AD4050" s="52">
        <f>IFERROR(N(IFERROR(INDEX($A4050:$AB4050,MATCH("Xero Invoiced Ex GST",$A$1:$AB$1,0)),"")),0)</f>
        <v/>
      </c>
      <c r="AE4050" s="53">
        <f>IFERROR(INDEX($A4050:$AB4050,MATCH("Xero Invoice Date",$A$1:$AB$1,0)),"")</f>
        <v/>
      </c>
      <c r="AF4050" s="54">
        <f>IF(AND(IFERROR(INDEX($A4050:$AB4050,MATCH("Xero Invoice No",$A$1:$AB$1,0)),"")&amp;""&lt;&gt;"",ISNUMBER(AE4050),AD4050&lt;&gt;0),1,0)</f>
        <v/>
      </c>
      <c r="AG4050" s="55">
        <f>IF(AF4050=1,EOMONTH(AE4050,0),"")</f>
        <v/>
      </c>
      <c r="AH4050" s="9">
        <f>IF(AF4050=1,UPPER(TRIM(IFERROR(INDEX($A4050:$AB4050,MATCH("Client",$A$1:$AB$1,0)),"")&amp;"")),"")</f>
        <v/>
      </c>
      <c r="AI4050" s="9">
        <f>IF(AF4050=1,IFERROR(INDEX($A4050:$AB4050,MATCH("Cost Centre",$A$1:$AB$1,0)),"")&amp;"","")</f>
        <v/>
      </c>
      <c r="AJ4050" s="54">
        <f>IF(AND(AF4050=1,AE4050&gt;=set_FYStart,AE4050&lt;=set_AsAt),1,0)</f>
        <v/>
      </c>
      <c r="AK4050" s="54">
        <f>IF(AND(AJ4050=1,AH4050&lt;&gt;"",COUNTIFS($AH$2:AH4050,AH4050,$AJ$2:AJ4050,1)=1),N(AL4049)+1,"")</f>
        <v/>
      </c>
      <c r="AL4050" s="54">
        <f>IF(AK4050&lt;&gt;"",AK4050,N(AL4049))</f>
        <v/>
      </c>
    </row>
    <row r="4051">
      <c r="A4051" t="inlineStr">
        <is>
          <t>CON-1350</t>
        </is>
      </c>
      <c r="B4051" t="inlineStr">
        <is>
          <t>Consulting</t>
        </is>
      </c>
      <c r="AB4051" t="n">
        <v>1350</v>
      </c>
      <c r="AD4051" s="52">
        <f>IFERROR(N(IFERROR(INDEX($A4051:$AB4051,MATCH("Xero Invoiced Ex GST",$A$1:$AB$1,0)),"")),0)</f>
        <v/>
      </c>
      <c r="AE4051" s="53">
        <f>IFERROR(INDEX($A4051:$AB4051,MATCH("Xero Invoice Date",$A$1:$AB$1,0)),"")</f>
        <v/>
      </c>
      <c r="AF4051" s="54">
        <f>IF(AND(IFERROR(INDEX($A4051:$AB4051,MATCH("Xero Invoice No",$A$1:$AB$1,0)),"")&amp;""&lt;&gt;"",ISNUMBER(AE4051),AD4051&lt;&gt;0),1,0)</f>
        <v/>
      </c>
      <c r="AG4051" s="55">
        <f>IF(AF4051=1,EOMONTH(AE4051,0),"")</f>
        <v/>
      </c>
      <c r="AH4051" s="9">
        <f>IF(AF4051=1,UPPER(TRIM(IFERROR(INDEX($A4051:$AB4051,MATCH("Client",$A$1:$AB$1,0)),"")&amp;"")),"")</f>
        <v/>
      </c>
      <c r="AI4051" s="9">
        <f>IF(AF4051=1,IFERROR(INDEX($A4051:$AB4051,MATCH("Cost Centre",$A$1:$AB$1,0)),"")&amp;"","")</f>
        <v/>
      </c>
      <c r="AJ4051" s="54">
        <f>IF(AND(AF4051=1,AE4051&gt;=set_FYStart,AE4051&lt;=set_AsAt),1,0)</f>
        <v/>
      </c>
      <c r="AK4051" s="54">
        <f>IF(AND(AJ4051=1,AH4051&lt;&gt;"",COUNTIFS($AH$2:AH4051,AH4051,$AJ$2:AJ4051,1)=1),N(AL4050)+1,"")</f>
        <v/>
      </c>
      <c r="AL4051" s="54">
        <f>IF(AK4051&lt;&gt;"",AK4051,N(AL4050))</f>
        <v/>
      </c>
    </row>
    <row r="4052">
      <c r="A4052" t="inlineStr">
        <is>
          <t>ONS-1351</t>
        </is>
      </c>
      <c r="B4052" t="inlineStr">
        <is>
          <t>Onsite</t>
        </is>
      </c>
      <c r="AB4052" t="n">
        <v>1351</v>
      </c>
      <c r="AD4052" s="52">
        <f>IFERROR(N(IFERROR(INDEX($A4052:$AB4052,MATCH("Xero Invoiced Ex GST",$A$1:$AB$1,0)),"")),0)</f>
        <v/>
      </c>
      <c r="AE4052" s="53">
        <f>IFERROR(INDEX($A4052:$AB4052,MATCH("Xero Invoice Date",$A$1:$AB$1,0)),"")</f>
        <v/>
      </c>
      <c r="AF4052" s="54">
        <f>IF(AND(IFERROR(INDEX($A4052:$AB4052,MATCH("Xero Invoice No",$A$1:$AB$1,0)),"")&amp;""&lt;&gt;"",ISNUMBER(AE4052),AD4052&lt;&gt;0),1,0)</f>
        <v/>
      </c>
      <c r="AG4052" s="55">
        <f>IF(AF4052=1,EOMONTH(AE4052,0),"")</f>
        <v/>
      </c>
      <c r="AH4052" s="9">
        <f>IF(AF4052=1,UPPER(TRIM(IFERROR(INDEX($A4052:$AB4052,MATCH("Client",$A$1:$AB$1,0)),"")&amp;"")),"")</f>
        <v/>
      </c>
      <c r="AI4052" s="9">
        <f>IF(AF4052=1,IFERROR(INDEX($A4052:$AB4052,MATCH("Cost Centre",$A$1:$AB$1,0)),"")&amp;"","")</f>
        <v/>
      </c>
      <c r="AJ4052" s="54">
        <f>IF(AND(AF4052=1,AE4052&gt;=set_FYStart,AE4052&lt;=set_AsAt),1,0)</f>
        <v/>
      </c>
      <c r="AK4052" s="54">
        <f>IF(AND(AJ4052=1,AH4052&lt;&gt;"",COUNTIFS($AH$2:AH4052,AH4052,$AJ$2:AJ4052,1)=1),N(AL4051)+1,"")</f>
        <v/>
      </c>
      <c r="AL4052" s="54">
        <f>IF(AK4052&lt;&gt;"",AK4052,N(AL4051))</f>
        <v/>
      </c>
    </row>
    <row r="4053">
      <c r="A4053" t="inlineStr">
        <is>
          <t>PRD-1351</t>
        </is>
      </c>
      <c r="B4053" t="inlineStr">
        <is>
          <t>Production</t>
        </is>
      </c>
      <c r="AB4053" t="n">
        <v>1351</v>
      </c>
      <c r="AD4053" s="52">
        <f>IFERROR(N(IFERROR(INDEX($A4053:$AB4053,MATCH("Xero Invoiced Ex GST",$A$1:$AB$1,0)),"")),0)</f>
        <v/>
      </c>
      <c r="AE4053" s="53">
        <f>IFERROR(INDEX($A4053:$AB4053,MATCH("Xero Invoice Date",$A$1:$AB$1,0)),"")</f>
        <v/>
      </c>
      <c r="AF4053" s="54">
        <f>IF(AND(IFERROR(INDEX($A4053:$AB4053,MATCH("Xero Invoice No",$A$1:$AB$1,0)),"")&amp;""&lt;&gt;"",ISNUMBER(AE4053),AD4053&lt;&gt;0),1,0)</f>
        <v/>
      </c>
      <c r="AG4053" s="55">
        <f>IF(AF4053=1,EOMONTH(AE4053,0),"")</f>
        <v/>
      </c>
      <c r="AH4053" s="9">
        <f>IF(AF4053=1,UPPER(TRIM(IFERROR(INDEX($A4053:$AB4053,MATCH("Client",$A$1:$AB$1,0)),"")&amp;"")),"")</f>
        <v/>
      </c>
      <c r="AI4053" s="9">
        <f>IF(AF4053=1,IFERROR(INDEX($A4053:$AB4053,MATCH("Cost Centre",$A$1:$AB$1,0)),"")&amp;"","")</f>
        <v/>
      </c>
      <c r="AJ4053" s="54">
        <f>IF(AND(AF4053=1,AE4053&gt;=set_FYStart,AE4053&lt;=set_AsAt),1,0)</f>
        <v/>
      </c>
      <c r="AK4053" s="54">
        <f>IF(AND(AJ4053=1,AH4053&lt;&gt;"",COUNTIFS($AH$2:AH4053,AH4053,$AJ$2:AJ4053,1)=1),N(AL4052)+1,"")</f>
        <v/>
      </c>
      <c r="AL4053" s="54">
        <f>IF(AK4053&lt;&gt;"",AK4053,N(AL4052))</f>
        <v/>
      </c>
    </row>
    <row r="4054">
      <c r="A4054" t="inlineStr">
        <is>
          <t>CON-1351</t>
        </is>
      </c>
      <c r="B4054" t="inlineStr">
        <is>
          <t>Consulting</t>
        </is>
      </c>
      <c r="AB4054" t="n">
        <v>1351</v>
      </c>
      <c r="AD4054" s="52">
        <f>IFERROR(N(IFERROR(INDEX($A4054:$AB4054,MATCH("Xero Invoiced Ex GST",$A$1:$AB$1,0)),"")),0)</f>
        <v/>
      </c>
      <c r="AE4054" s="53">
        <f>IFERROR(INDEX($A4054:$AB4054,MATCH("Xero Invoice Date",$A$1:$AB$1,0)),"")</f>
        <v/>
      </c>
      <c r="AF4054" s="54">
        <f>IF(AND(IFERROR(INDEX($A4054:$AB4054,MATCH("Xero Invoice No",$A$1:$AB$1,0)),"")&amp;""&lt;&gt;"",ISNUMBER(AE4054),AD4054&lt;&gt;0),1,0)</f>
        <v/>
      </c>
      <c r="AG4054" s="55">
        <f>IF(AF4054=1,EOMONTH(AE4054,0),"")</f>
        <v/>
      </c>
      <c r="AH4054" s="9">
        <f>IF(AF4054=1,UPPER(TRIM(IFERROR(INDEX($A4054:$AB4054,MATCH("Client",$A$1:$AB$1,0)),"")&amp;"")),"")</f>
        <v/>
      </c>
      <c r="AI4054" s="9">
        <f>IF(AF4054=1,IFERROR(INDEX($A4054:$AB4054,MATCH("Cost Centre",$A$1:$AB$1,0)),"")&amp;"","")</f>
        <v/>
      </c>
      <c r="AJ4054" s="54">
        <f>IF(AND(AF4054=1,AE4054&gt;=set_FYStart,AE4054&lt;=set_AsAt),1,0)</f>
        <v/>
      </c>
      <c r="AK4054" s="54">
        <f>IF(AND(AJ4054=1,AH4054&lt;&gt;"",COUNTIFS($AH$2:AH4054,AH4054,$AJ$2:AJ4054,1)=1),N(AL4053)+1,"")</f>
        <v/>
      </c>
      <c r="AL4054" s="54">
        <f>IF(AK4054&lt;&gt;"",AK4054,N(AL4053))</f>
        <v/>
      </c>
    </row>
    <row r="4055">
      <c r="A4055" t="inlineStr">
        <is>
          <t>ONS-1352</t>
        </is>
      </c>
      <c r="B4055" t="inlineStr">
        <is>
          <t>Onsite</t>
        </is>
      </c>
      <c r="AB4055" t="n">
        <v>1352</v>
      </c>
      <c r="AD4055" s="52">
        <f>IFERROR(N(IFERROR(INDEX($A4055:$AB4055,MATCH("Xero Invoiced Ex GST",$A$1:$AB$1,0)),"")),0)</f>
        <v/>
      </c>
      <c r="AE4055" s="53">
        <f>IFERROR(INDEX($A4055:$AB4055,MATCH("Xero Invoice Date",$A$1:$AB$1,0)),"")</f>
        <v/>
      </c>
      <c r="AF4055" s="54">
        <f>IF(AND(IFERROR(INDEX($A4055:$AB4055,MATCH("Xero Invoice No",$A$1:$AB$1,0)),"")&amp;""&lt;&gt;"",ISNUMBER(AE4055),AD4055&lt;&gt;0),1,0)</f>
        <v/>
      </c>
      <c r="AG4055" s="55">
        <f>IF(AF4055=1,EOMONTH(AE4055,0),"")</f>
        <v/>
      </c>
      <c r="AH4055" s="9">
        <f>IF(AF4055=1,UPPER(TRIM(IFERROR(INDEX($A4055:$AB4055,MATCH("Client",$A$1:$AB$1,0)),"")&amp;"")),"")</f>
        <v/>
      </c>
      <c r="AI4055" s="9">
        <f>IF(AF4055=1,IFERROR(INDEX($A4055:$AB4055,MATCH("Cost Centre",$A$1:$AB$1,0)),"")&amp;"","")</f>
        <v/>
      </c>
      <c r="AJ4055" s="54">
        <f>IF(AND(AF4055=1,AE4055&gt;=set_FYStart,AE4055&lt;=set_AsAt),1,0)</f>
        <v/>
      </c>
      <c r="AK4055" s="54">
        <f>IF(AND(AJ4055=1,AH4055&lt;&gt;"",COUNTIFS($AH$2:AH4055,AH4055,$AJ$2:AJ4055,1)=1),N(AL4054)+1,"")</f>
        <v/>
      </c>
      <c r="AL4055" s="54">
        <f>IF(AK4055&lt;&gt;"",AK4055,N(AL4054))</f>
        <v/>
      </c>
    </row>
    <row r="4056">
      <c r="A4056" t="inlineStr">
        <is>
          <t>PRD-1352</t>
        </is>
      </c>
      <c r="B4056" t="inlineStr">
        <is>
          <t>Production</t>
        </is>
      </c>
      <c r="AB4056" t="n">
        <v>1352</v>
      </c>
      <c r="AD4056" s="52">
        <f>IFERROR(N(IFERROR(INDEX($A4056:$AB4056,MATCH("Xero Invoiced Ex GST",$A$1:$AB$1,0)),"")),0)</f>
        <v/>
      </c>
      <c r="AE4056" s="53">
        <f>IFERROR(INDEX($A4056:$AB4056,MATCH("Xero Invoice Date",$A$1:$AB$1,0)),"")</f>
        <v/>
      </c>
      <c r="AF4056" s="54">
        <f>IF(AND(IFERROR(INDEX($A4056:$AB4056,MATCH("Xero Invoice No",$A$1:$AB$1,0)),"")&amp;""&lt;&gt;"",ISNUMBER(AE4056),AD4056&lt;&gt;0),1,0)</f>
        <v/>
      </c>
      <c r="AG4056" s="55">
        <f>IF(AF4056=1,EOMONTH(AE4056,0),"")</f>
        <v/>
      </c>
      <c r="AH4056" s="9">
        <f>IF(AF4056=1,UPPER(TRIM(IFERROR(INDEX($A4056:$AB4056,MATCH("Client",$A$1:$AB$1,0)),"")&amp;"")),"")</f>
        <v/>
      </c>
      <c r="AI4056" s="9">
        <f>IF(AF4056=1,IFERROR(INDEX($A4056:$AB4056,MATCH("Cost Centre",$A$1:$AB$1,0)),"")&amp;"","")</f>
        <v/>
      </c>
      <c r="AJ4056" s="54">
        <f>IF(AND(AF4056=1,AE4056&gt;=set_FYStart,AE4056&lt;=set_AsAt),1,0)</f>
        <v/>
      </c>
      <c r="AK4056" s="54">
        <f>IF(AND(AJ4056=1,AH4056&lt;&gt;"",COUNTIFS($AH$2:AH4056,AH4056,$AJ$2:AJ4056,1)=1),N(AL4055)+1,"")</f>
        <v/>
      </c>
      <c r="AL4056" s="54">
        <f>IF(AK4056&lt;&gt;"",AK4056,N(AL4055))</f>
        <v/>
      </c>
    </row>
    <row r="4057">
      <c r="A4057" t="inlineStr">
        <is>
          <t>CON-1352</t>
        </is>
      </c>
      <c r="B4057" t="inlineStr">
        <is>
          <t>Consulting</t>
        </is>
      </c>
      <c r="AB4057" t="n">
        <v>1352</v>
      </c>
      <c r="AD4057" s="52">
        <f>IFERROR(N(IFERROR(INDEX($A4057:$AB4057,MATCH("Xero Invoiced Ex GST",$A$1:$AB$1,0)),"")),0)</f>
        <v/>
      </c>
      <c r="AE4057" s="53">
        <f>IFERROR(INDEX($A4057:$AB4057,MATCH("Xero Invoice Date",$A$1:$AB$1,0)),"")</f>
        <v/>
      </c>
      <c r="AF4057" s="54">
        <f>IF(AND(IFERROR(INDEX($A4057:$AB4057,MATCH("Xero Invoice No",$A$1:$AB$1,0)),"")&amp;""&lt;&gt;"",ISNUMBER(AE4057),AD4057&lt;&gt;0),1,0)</f>
        <v/>
      </c>
      <c r="AG4057" s="55">
        <f>IF(AF4057=1,EOMONTH(AE4057,0),"")</f>
        <v/>
      </c>
      <c r="AH4057" s="9">
        <f>IF(AF4057=1,UPPER(TRIM(IFERROR(INDEX($A4057:$AB4057,MATCH("Client",$A$1:$AB$1,0)),"")&amp;"")),"")</f>
        <v/>
      </c>
      <c r="AI4057" s="9">
        <f>IF(AF4057=1,IFERROR(INDEX($A4057:$AB4057,MATCH("Cost Centre",$A$1:$AB$1,0)),"")&amp;"","")</f>
        <v/>
      </c>
      <c r="AJ4057" s="54">
        <f>IF(AND(AF4057=1,AE4057&gt;=set_FYStart,AE4057&lt;=set_AsAt),1,0)</f>
        <v/>
      </c>
      <c r="AK4057" s="54">
        <f>IF(AND(AJ4057=1,AH4057&lt;&gt;"",COUNTIFS($AH$2:AH4057,AH4057,$AJ$2:AJ4057,1)=1),N(AL4056)+1,"")</f>
        <v/>
      </c>
      <c r="AL4057" s="54">
        <f>IF(AK4057&lt;&gt;"",AK4057,N(AL4056))</f>
        <v/>
      </c>
    </row>
    <row r="4058">
      <c r="A4058" t="inlineStr">
        <is>
          <t>ONS-1353</t>
        </is>
      </c>
      <c r="B4058" t="inlineStr">
        <is>
          <t>Onsite</t>
        </is>
      </c>
      <c r="AB4058" t="n">
        <v>1353</v>
      </c>
      <c r="AD4058" s="52">
        <f>IFERROR(N(IFERROR(INDEX($A4058:$AB4058,MATCH("Xero Invoiced Ex GST",$A$1:$AB$1,0)),"")),0)</f>
        <v/>
      </c>
      <c r="AE4058" s="53">
        <f>IFERROR(INDEX($A4058:$AB4058,MATCH("Xero Invoice Date",$A$1:$AB$1,0)),"")</f>
        <v/>
      </c>
      <c r="AF4058" s="54">
        <f>IF(AND(IFERROR(INDEX($A4058:$AB4058,MATCH("Xero Invoice No",$A$1:$AB$1,0)),"")&amp;""&lt;&gt;"",ISNUMBER(AE4058),AD4058&lt;&gt;0),1,0)</f>
        <v/>
      </c>
      <c r="AG4058" s="55">
        <f>IF(AF4058=1,EOMONTH(AE4058,0),"")</f>
        <v/>
      </c>
      <c r="AH4058" s="9">
        <f>IF(AF4058=1,UPPER(TRIM(IFERROR(INDEX($A4058:$AB4058,MATCH("Client",$A$1:$AB$1,0)),"")&amp;"")),"")</f>
        <v/>
      </c>
      <c r="AI4058" s="9">
        <f>IF(AF4058=1,IFERROR(INDEX($A4058:$AB4058,MATCH("Cost Centre",$A$1:$AB$1,0)),"")&amp;"","")</f>
        <v/>
      </c>
      <c r="AJ4058" s="54">
        <f>IF(AND(AF4058=1,AE4058&gt;=set_FYStart,AE4058&lt;=set_AsAt),1,0)</f>
        <v/>
      </c>
      <c r="AK4058" s="54">
        <f>IF(AND(AJ4058=1,AH4058&lt;&gt;"",COUNTIFS($AH$2:AH4058,AH4058,$AJ$2:AJ4058,1)=1),N(AL4057)+1,"")</f>
        <v/>
      </c>
      <c r="AL4058" s="54">
        <f>IF(AK4058&lt;&gt;"",AK4058,N(AL4057))</f>
        <v/>
      </c>
    </row>
    <row r="4059">
      <c r="A4059" t="inlineStr">
        <is>
          <t>PRD-1353</t>
        </is>
      </c>
      <c r="B4059" t="inlineStr">
        <is>
          <t>Production</t>
        </is>
      </c>
      <c r="AB4059" t="n">
        <v>1353</v>
      </c>
      <c r="AD4059" s="52">
        <f>IFERROR(N(IFERROR(INDEX($A4059:$AB4059,MATCH("Xero Invoiced Ex GST",$A$1:$AB$1,0)),"")),0)</f>
        <v/>
      </c>
      <c r="AE4059" s="53">
        <f>IFERROR(INDEX($A4059:$AB4059,MATCH("Xero Invoice Date",$A$1:$AB$1,0)),"")</f>
        <v/>
      </c>
      <c r="AF4059" s="54">
        <f>IF(AND(IFERROR(INDEX($A4059:$AB4059,MATCH("Xero Invoice No",$A$1:$AB$1,0)),"")&amp;""&lt;&gt;"",ISNUMBER(AE4059),AD4059&lt;&gt;0),1,0)</f>
        <v/>
      </c>
      <c r="AG4059" s="55">
        <f>IF(AF4059=1,EOMONTH(AE4059,0),"")</f>
        <v/>
      </c>
      <c r="AH4059" s="9">
        <f>IF(AF4059=1,UPPER(TRIM(IFERROR(INDEX($A4059:$AB4059,MATCH("Client",$A$1:$AB$1,0)),"")&amp;"")),"")</f>
        <v/>
      </c>
      <c r="AI4059" s="9">
        <f>IF(AF4059=1,IFERROR(INDEX($A4059:$AB4059,MATCH("Cost Centre",$A$1:$AB$1,0)),"")&amp;"","")</f>
        <v/>
      </c>
      <c r="AJ4059" s="54">
        <f>IF(AND(AF4059=1,AE4059&gt;=set_FYStart,AE4059&lt;=set_AsAt),1,0)</f>
        <v/>
      </c>
      <c r="AK4059" s="54">
        <f>IF(AND(AJ4059=1,AH4059&lt;&gt;"",COUNTIFS($AH$2:AH4059,AH4059,$AJ$2:AJ4059,1)=1),N(AL4058)+1,"")</f>
        <v/>
      </c>
      <c r="AL4059" s="54">
        <f>IF(AK4059&lt;&gt;"",AK4059,N(AL4058))</f>
        <v/>
      </c>
    </row>
    <row r="4060">
      <c r="A4060" t="inlineStr">
        <is>
          <t>CON-1353</t>
        </is>
      </c>
      <c r="B4060" t="inlineStr">
        <is>
          <t>Consulting</t>
        </is>
      </c>
      <c r="AB4060" t="n">
        <v>1353</v>
      </c>
      <c r="AD4060" s="52">
        <f>IFERROR(N(IFERROR(INDEX($A4060:$AB4060,MATCH("Xero Invoiced Ex GST",$A$1:$AB$1,0)),"")),0)</f>
        <v/>
      </c>
      <c r="AE4060" s="53">
        <f>IFERROR(INDEX($A4060:$AB4060,MATCH("Xero Invoice Date",$A$1:$AB$1,0)),"")</f>
        <v/>
      </c>
      <c r="AF4060" s="54">
        <f>IF(AND(IFERROR(INDEX($A4060:$AB4060,MATCH("Xero Invoice No",$A$1:$AB$1,0)),"")&amp;""&lt;&gt;"",ISNUMBER(AE4060),AD4060&lt;&gt;0),1,0)</f>
        <v/>
      </c>
      <c r="AG4060" s="55">
        <f>IF(AF4060=1,EOMONTH(AE4060,0),"")</f>
        <v/>
      </c>
      <c r="AH4060" s="9">
        <f>IF(AF4060=1,UPPER(TRIM(IFERROR(INDEX($A4060:$AB4060,MATCH("Client",$A$1:$AB$1,0)),"")&amp;"")),"")</f>
        <v/>
      </c>
      <c r="AI4060" s="9">
        <f>IF(AF4060=1,IFERROR(INDEX($A4060:$AB4060,MATCH("Cost Centre",$A$1:$AB$1,0)),"")&amp;"","")</f>
        <v/>
      </c>
      <c r="AJ4060" s="54">
        <f>IF(AND(AF4060=1,AE4060&gt;=set_FYStart,AE4060&lt;=set_AsAt),1,0)</f>
        <v/>
      </c>
      <c r="AK4060" s="54">
        <f>IF(AND(AJ4060=1,AH4060&lt;&gt;"",COUNTIFS($AH$2:AH4060,AH4060,$AJ$2:AJ4060,1)=1),N(AL4059)+1,"")</f>
        <v/>
      </c>
      <c r="AL4060" s="54">
        <f>IF(AK4060&lt;&gt;"",AK4060,N(AL4059))</f>
        <v/>
      </c>
    </row>
    <row r="4061">
      <c r="A4061" t="inlineStr">
        <is>
          <t>ONS-1354</t>
        </is>
      </c>
      <c r="B4061" t="inlineStr">
        <is>
          <t>Onsite</t>
        </is>
      </c>
      <c r="AB4061" t="n">
        <v>1354</v>
      </c>
      <c r="AD4061" s="52">
        <f>IFERROR(N(IFERROR(INDEX($A4061:$AB4061,MATCH("Xero Invoiced Ex GST",$A$1:$AB$1,0)),"")),0)</f>
        <v/>
      </c>
      <c r="AE4061" s="53">
        <f>IFERROR(INDEX($A4061:$AB4061,MATCH("Xero Invoice Date",$A$1:$AB$1,0)),"")</f>
        <v/>
      </c>
      <c r="AF4061" s="54">
        <f>IF(AND(IFERROR(INDEX($A4061:$AB4061,MATCH("Xero Invoice No",$A$1:$AB$1,0)),"")&amp;""&lt;&gt;"",ISNUMBER(AE4061),AD4061&lt;&gt;0),1,0)</f>
        <v/>
      </c>
      <c r="AG4061" s="55">
        <f>IF(AF4061=1,EOMONTH(AE4061,0),"")</f>
        <v/>
      </c>
      <c r="AH4061" s="9">
        <f>IF(AF4061=1,UPPER(TRIM(IFERROR(INDEX($A4061:$AB4061,MATCH("Client",$A$1:$AB$1,0)),"")&amp;"")),"")</f>
        <v/>
      </c>
      <c r="AI4061" s="9">
        <f>IF(AF4061=1,IFERROR(INDEX($A4061:$AB4061,MATCH("Cost Centre",$A$1:$AB$1,0)),"")&amp;"","")</f>
        <v/>
      </c>
      <c r="AJ4061" s="54">
        <f>IF(AND(AF4061=1,AE4061&gt;=set_FYStart,AE4061&lt;=set_AsAt),1,0)</f>
        <v/>
      </c>
      <c r="AK4061" s="54">
        <f>IF(AND(AJ4061=1,AH4061&lt;&gt;"",COUNTIFS($AH$2:AH4061,AH4061,$AJ$2:AJ4061,1)=1),N(AL4060)+1,"")</f>
        <v/>
      </c>
      <c r="AL4061" s="54">
        <f>IF(AK4061&lt;&gt;"",AK4061,N(AL4060))</f>
        <v/>
      </c>
    </row>
    <row r="4062">
      <c r="A4062" t="inlineStr">
        <is>
          <t>PRD-1354</t>
        </is>
      </c>
      <c r="B4062" t="inlineStr">
        <is>
          <t>Production</t>
        </is>
      </c>
      <c r="AB4062" t="n">
        <v>1354</v>
      </c>
      <c r="AD4062" s="52">
        <f>IFERROR(N(IFERROR(INDEX($A4062:$AB4062,MATCH("Xero Invoiced Ex GST",$A$1:$AB$1,0)),"")),0)</f>
        <v/>
      </c>
      <c r="AE4062" s="53">
        <f>IFERROR(INDEX($A4062:$AB4062,MATCH("Xero Invoice Date",$A$1:$AB$1,0)),"")</f>
        <v/>
      </c>
      <c r="AF4062" s="54">
        <f>IF(AND(IFERROR(INDEX($A4062:$AB4062,MATCH("Xero Invoice No",$A$1:$AB$1,0)),"")&amp;""&lt;&gt;"",ISNUMBER(AE4062),AD4062&lt;&gt;0),1,0)</f>
        <v/>
      </c>
      <c r="AG4062" s="55">
        <f>IF(AF4062=1,EOMONTH(AE4062,0),"")</f>
        <v/>
      </c>
      <c r="AH4062" s="9">
        <f>IF(AF4062=1,UPPER(TRIM(IFERROR(INDEX($A4062:$AB4062,MATCH("Client",$A$1:$AB$1,0)),"")&amp;"")),"")</f>
        <v/>
      </c>
      <c r="AI4062" s="9">
        <f>IF(AF4062=1,IFERROR(INDEX($A4062:$AB4062,MATCH("Cost Centre",$A$1:$AB$1,0)),"")&amp;"","")</f>
        <v/>
      </c>
      <c r="AJ4062" s="54">
        <f>IF(AND(AF4062=1,AE4062&gt;=set_FYStart,AE4062&lt;=set_AsAt),1,0)</f>
        <v/>
      </c>
      <c r="AK4062" s="54">
        <f>IF(AND(AJ4062=1,AH4062&lt;&gt;"",COUNTIFS($AH$2:AH4062,AH4062,$AJ$2:AJ4062,1)=1),N(AL4061)+1,"")</f>
        <v/>
      </c>
      <c r="AL4062" s="54">
        <f>IF(AK4062&lt;&gt;"",AK4062,N(AL4061))</f>
        <v/>
      </c>
    </row>
    <row r="4063">
      <c r="A4063" t="inlineStr">
        <is>
          <t>CON-1354</t>
        </is>
      </c>
      <c r="B4063" t="inlineStr">
        <is>
          <t>Consulting</t>
        </is>
      </c>
      <c r="AB4063" t="n">
        <v>1354</v>
      </c>
      <c r="AD4063" s="52">
        <f>IFERROR(N(IFERROR(INDEX($A4063:$AB4063,MATCH("Xero Invoiced Ex GST",$A$1:$AB$1,0)),"")),0)</f>
        <v/>
      </c>
      <c r="AE4063" s="53">
        <f>IFERROR(INDEX($A4063:$AB4063,MATCH("Xero Invoice Date",$A$1:$AB$1,0)),"")</f>
        <v/>
      </c>
      <c r="AF4063" s="54">
        <f>IF(AND(IFERROR(INDEX($A4063:$AB4063,MATCH("Xero Invoice No",$A$1:$AB$1,0)),"")&amp;""&lt;&gt;"",ISNUMBER(AE4063),AD4063&lt;&gt;0),1,0)</f>
        <v/>
      </c>
      <c r="AG4063" s="55">
        <f>IF(AF4063=1,EOMONTH(AE4063,0),"")</f>
        <v/>
      </c>
      <c r="AH4063" s="9">
        <f>IF(AF4063=1,UPPER(TRIM(IFERROR(INDEX($A4063:$AB4063,MATCH("Client",$A$1:$AB$1,0)),"")&amp;"")),"")</f>
        <v/>
      </c>
      <c r="AI4063" s="9">
        <f>IF(AF4063=1,IFERROR(INDEX($A4063:$AB4063,MATCH("Cost Centre",$A$1:$AB$1,0)),"")&amp;"","")</f>
        <v/>
      </c>
      <c r="AJ4063" s="54">
        <f>IF(AND(AF4063=1,AE4063&gt;=set_FYStart,AE4063&lt;=set_AsAt),1,0)</f>
        <v/>
      </c>
      <c r="AK4063" s="54">
        <f>IF(AND(AJ4063=1,AH4063&lt;&gt;"",COUNTIFS($AH$2:AH4063,AH4063,$AJ$2:AJ4063,1)=1),N(AL4062)+1,"")</f>
        <v/>
      </c>
      <c r="AL4063" s="54">
        <f>IF(AK4063&lt;&gt;"",AK4063,N(AL4062))</f>
        <v/>
      </c>
    </row>
    <row r="4064">
      <c r="A4064" t="inlineStr">
        <is>
          <t>ONS-1355</t>
        </is>
      </c>
      <c r="B4064" t="inlineStr">
        <is>
          <t>Onsite</t>
        </is>
      </c>
      <c r="AB4064" t="n">
        <v>1355</v>
      </c>
      <c r="AD4064" s="52">
        <f>IFERROR(N(IFERROR(INDEX($A4064:$AB4064,MATCH("Xero Invoiced Ex GST",$A$1:$AB$1,0)),"")),0)</f>
        <v/>
      </c>
      <c r="AE4064" s="53">
        <f>IFERROR(INDEX($A4064:$AB4064,MATCH("Xero Invoice Date",$A$1:$AB$1,0)),"")</f>
        <v/>
      </c>
      <c r="AF4064" s="54">
        <f>IF(AND(IFERROR(INDEX($A4064:$AB4064,MATCH("Xero Invoice No",$A$1:$AB$1,0)),"")&amp;""&lt;&gt;"",ISNUMBER(AE4064),AD4064&lt;&gt;0),1,0)</f>
        <v/>
      </c>
      <c r="AG4064" s="55">
        <f>IF(AF4064=1,EOMONTH(AE4064,0),"")</f>
        <v/>
      </c>
      <c r="AH4064" s="9">
        <f>IF(AF4064=1,UPPER(TRIM(IFERROR(INDEX($A4064:$AB4064,MATCH("Client",$A$1:$AB$1,0)),"")&amp;"")),"")</f>
        <v/>
      </c>
      <c r="AI4064" s="9">
        <f>IF(AF4064=1,IFERROR(INDEX($A4064:$AB4064,MATCH("Cost Centre",$A$1:$AB$1,0)),"")&amp;"","")</f>
        <v/>
      </c>
      <c r="AJ4064" s="54">
        <f>IF(AND(AF4064=1,AE4064&gt;=set_FYStart,AE4064&lt;=set_AsAt),1,0)</f>
        <v/>
      </c>
      <c r="AK4064" s="54">
        <f>IF(AND(AJ4064=1,AH4064&lt;&gt;"",COUNTIFS($AH$2:AH4064,AH4064,$AJ$2:AJ4064,1)=1),N(AL4063)+1,"")</f>
        <v/>
      </c>
      <c r="AL4064" s="54">
        <f>IF(AK4064&lt;&gt;"",AK4064,N(AL4063))</f>
        <v/>
      </c>
    </row>
    <row r="4065">
      <c r="A4065" t="inlineStr">
        <is>
          <t>PRD-1355</t>
        </is>
      </c>
      <c r="B4065" t="inlineStr">
        <is>
          <t>Production</t>
        </is>
      </c>
      <c r="AB4065" t="n">
        <v>1355</v>
      </c>
      <c r="AD4065" s="52">
        <f>IFERROR(N(IFERROR(INDEX($A4065:$AB4065,MATCH("Xero Invoiced Ex GST",$A$1:$AB$1,0)),"")),0)</f>
        <v/>
      </c>
      <c r="AE4065" s="53">
        <f>IFERROR(INDEX($A4065:$AB4065,MATCH("Xero Invoice Date",$A$1:$AB$1,0)),"")</f>
        <v/>
      </c>
      <c r="AF4065" s="54">
        <f>IF(AND(IFERROR(INDEX($A4065:$AB4065,MATCH("Xero Invoice No",$A$1:$AB$1,0)),"")&amp;""&lt;&gt;"",ISNUMBER(AE4065),AD4065&lt;&gt;0),1,0)</f>
        <v/>
      </c>
      <c r="AG4065" s="55">
        <f>IF(AF4065=1,EOMONTH(AE4065,0),"")</f>
        <v/>
      </c>
      <c r="AH4065" s="9">
        <f>IF(AF4065=1,UPPER(TRIM(IFERROR(INDEX($A4065:$AB4065,MATCH("Client",$A$1:$AB$1,0)),"")&amp;"")),"")</f>
        <v/>
      </c>
      <c r="AI4065" s="9">
        <f>IF(AF4065=1,IFERROR(INDEX($A4065:$AB4065,MATCH("Cost Centre",$A$1:$AB$1,0)),"")&amp;"","")</f>
        <v/>
      </c>
      <c r="AJ4065" s="54">
        <f>IF(AND(AF4065=1,AE4065&gt;=set_FYStart,AE4065&lt;=set_AsAt),1,0)</f>
        <v/>
      </c>
      <c r="AK4065" s="54">
        <f>IF(AND(AJ4065=1,AH4065&lt;&gt;"",COUNTIFS($AH$2:AH4065,AH4065,$AJ$2:AJ4065,1)=1),N(AL4064)+1,"")</f>
        <v/>
      </c>
      <c r="AL4065" s="54">
        <f>IF(AK4065&lt;&gt;"",AK4065,N(AL4064))</f>
        <v/>
      </c>
    </row>
    <row r="4066">
      <c r="A4066" t="inlineStr">
        <is>
          <t>CON-1355</t>
        </is>
      </c>
      <c r="B4066" t="inlineStr">
        <is>
          <t>Consulting</t>
        </is>
      </c>
      <c r="AB4066" t="n">
        <v>1355</v>
      </c>
      <c r="AD4066" s="52">
        <f>IFERROR(N(IFERROR(INDEX($A4066:$AB4066,MATCH("Xero Invoiced Ex GST",$A$1:$AB$1,0)),"")),0)</f>
        <v/>
      </c>
      <c r="AE4066" s="53">
        <f>IFERROR(INDEX($A4066:$AB4066,MATCH("Xero Invoice Date",$A$1:$AB$1,0)),"")</f>
        <v/>
      </c>
      <c r="AF4066" s="54">
        <f>IF(AND(IFERROR(INDEX($A4066:$AB4066,MATCH("Xero Invoice No",$A$1:$AB$1,0)),"")&amp;""&lt;&gt;"",ISNUMBER(AE4066),AD4066&lt;&gt;0),1,0)</f>
        <v/>
      </c>
      <c r="AG4066" s="55">
        <f>IF(AF4066=1,EOMONTH(AE4066,0),"")</f>
        <v/>
      </c>
      <c r="AH4066" s="9">
        <f>IF(AF4066=1,UPPER(TRIM(IFERROR(INDEX($A4066:$AB4066,MATCH("Client",$A$1:$AB$1,0)),"")&amp;"")),"")</f>
        <v/>
      </c>
      <c r="AI4066" s="9">
        <f>IF(AF4066=1,IFERROR(INDEX($A4066:$AB4066,MATCH("Cost Centre",$A$1:$AB$1,0)),"")&amp;"","")</f>
        <v/>
      </c>
      <c r="AJ4066" s="54">
        <f>IF(AND(AF4066=1,AE4066&gt;=set_FYStart,AE4066&lt;=set_AsAt),1,0)</f>
        <v/>
      </c>
      <c r="AK4066" s="54">
        <f>IF(AND(AJ4066=1,AH4066&lt;&gt;"",COUNTIFS($AH$2:AH4066,AH4066,$AJ$2:AJ4066,1)=1),N(AL4065)+1,"")</f>
        <v/>
      </c>
      <c r="AL4066" s="54">
        <f>IF(AK4066&lt;&gt;"",AK4066,N(AL4065))</f>
        <v/>
      </c>
    </row>
    <row r="4067">
      <c r="A4067" t="inlineStr">
        <is>
          <t>ONS-1356</t>
        </is>
      </c>
      <c r="B4067" t="inlineStr">
        <is>
          <t>Onsite</t>
        </is>
      </c>
      <c r="AB4067" t="n">
        <v>1356</v>
      </c>
      <c r="AD4067" s="52">
        <f>IFERROR(N(IFERROR(INDEX($A4067:$AB4067,MATCH("Xero Invoiced Ex GST",$A$1:$AB$1,0)),"")),0)</f>
        <v/>
      </c>
      <c r="AE4067" s="53">
        <f>IFERROR(INDEX($A4067:$AB4067,MATCH("Xero Invoice Date",$A$1:$AB$1,0)),"")</f>
        <v/>
      </c>
      <c r="AF4067" s="54">
        <f>IF(AND(IFERROR(INDEX($A4067:$AB4067,MATCH("Xero Invoice No",$A$1:$AB$1,0)),"")&amp;""&lt;&gt;"",ISNUMBER(AE4067),AD4067&lt;&gt;0),1,0)</f>
        <v/>
      </c>
      <c r="AG4067" s="55">
        <f>IF(AF4067=1,EOMONTH(AE4067,0),"")</f>
        <v/>
      </c>
      <c r="AH4067" s="9">
        <f>IF(AF4067=1,UPPER(TRIM(IFERROR(INDEX($A4067:$AB4067,MATCH("Client",$A$1:$AB$1,0)),"")&amp;"")),"")</f>
        <v/>
      </c>
      <c r="AI4067" s="9">
        <f>IF(AF4067=1,IFERROR(INDEX($A4067:$AB4067,MATCH("Cost Centre",$A$1:$AB$1,0)),"")&amp;"","")</f>
        <v/>
      </c>
      <c r="AJ4067" s="54">
        <f>IF(AND(AF4067=1,AE4067&gt;=set_FYStart,AE4067&lt;=set_AsAt),1,0)</f>
        <v/>
      </c>
      <c r="AK4067" s="54">
        <f>IF(AND(AJ4067=1,AH4067&lt;&gt;"",COUNTIFS($AH$2:AH4067,AH4067,$AJ$2:AJ4067,1)=1),N(AL4066)+1,"")</f>
        <v/>
      </c>
      <c r="AL4067" s="54">
        <f>IF(AK4067&lt;&gt;"",AK4067,N(AL4066))</f>
        <v/>
      </c>
    </row>
    <row r="4068">
      <c r="A4068" t="inlineStr">
        <is>
          <t>PRD-1356</t>
        </is>
      </c>
      <c r="B4068" t="inlineStr">
        <is>
          <t>Production</t>
        </is>
      </c>
      <c r="AB4068" t="n">
        <v>1356</v>
      </c>
      <c r="AD4068" s="52">
        <f>IFERROR(N(IFERROR(INDEX($A4068:$AB4068,MATCH("Xero Invoiced Ex GST",$A$1:$AB$1,0)),"")),0)</f>
        <v/>
      </c>
      <c r="AE4068" s="53">
        <f>IFERROR(INDEX($A4068:$AB4068,MATCH("Xero Invoice Date",$A$1:$AB$1,0)),"")</f>
        <v/>
      </c>
      <c r="AF4068" s="54">
        <f>IF(AND(IFERROR(INDEX($A4068:$AB4068,MATCH("Xero Invoice No",$A$1:$AB$1,0)),"")&amp;""&lt;&gt;"",ISNUMBER(AE4068),AD4068&lt;&gt;0),1,0)</f>
        <v/>
      </c>
      <c r="AG4068" s="55">
        <f>IF(AF4068=1,EOMONTH(AE4068,0),"")</f>
        <v/>
      </c>
      <c r="AH4068" s="9">
        <f>IF(AF4068=1,UPPER(TRIM(IFERROR(INDEX($A4068:$AB4068,MATCH("Client",$A$1:$AB$1,0)),"")&amp;"")),"")</f>
        <v/>
      </c>
      <c r="AI4068" s="9">
        <f>IF(AF4068=1,IFERROR(INDEX($A4068:$AB4068,MATCH("Cost Centre",$A$1:$AB$1,0)),"")&amp;"","")</f>
        <v/>
      </c>
      <c r="AJ4068" s="54">
        <f>IF(AND(AF4068=1,AE4068&gt;=set_FYStart,AE4068&lt;=set_AsAt),1,0)</f>
        <v/>
      </c>
      <c r="AK4068" s="54">
        <f>IF(AND(AJ4068=1,AH4068&lt;&gt;"",COUNTIFS($AH$2:AH4068,AH4068,$AJ$2:AJ4068,1)=1),N(AL4067)+1,"")</f>
        <v/>
      </c>
      <c r="AL4068" s="54">
        <f>IF(AK4068&lt;&gt;"",AK4068,N(AL4067))</f>
        <v/>
      </c>
    </row>
    <row r="4069">
      <c r="A4069" t="inlineStr">
        <is>
          <t>CON-1356</t>
        </is>
      </c>
      <c r="B4069" t="inlineStr">
        <is>
          <t>Consulting</t>
        </is>
      </c>
      <c r="AB4069" t="n">
        <v>1356</v>
      </c>
      <c r="AD4069" s="52">
        <f>IFERROR(N(IFERROR(INDEX($A4069:$AB4069,MATCH("Xero Invoiced Ex GST",$A$1:$AB$1,0)),"")),0)</f>
        <v/>
      </c>
      <c r="AE4069" s="53">
        <f>IFERROR(INDEX($A4069:$AB4069,MATCH("Xero Invoice Date",$A$1:$AB$1,0)),"")</f>
        <v/>
      </c>
      <c r="AF4069" s="54">
        <f>IF(AND(IFERROR(INDEX($A4069:$AB4069,MATCH("Xero Invoice No",$A$1:$AB$1,0)),"")&amp;""&lt;&gt;"",ISNUMBER(AE4069),AD4069&lt;&gt;0),1,0)</f>
        <v/>
      </c>
      <c r="AG4069" s="55">
        <f>IF(AF4069=1,EOMONTH(AE4069,0),"")</f>
        <v/>
      </c>
      <c r="AH4069" s="9">
        <f>IF(AF4069=1,UPPER(TRIM(IFERROR(INDEX($A4069:$AB4069,MATCH("Client",$A$1:$AB$1,0)),"")&amp;"")),"")</f>
        <v/>
      </c>
      <c r="AI4069" s="9">
        <f>IF(AF4069=1,IFERROR(INDEX($A4069:$AB4069,MATCH("Cost Centre",$A$1:$AB$1,0)),"")&amp;"","")</f>
        <v/>
      </c>
      <c r="AJ4069" s="54">
        <f>IF(AND(AF4069=1,AE4069&gt;=set_FYStart,AE4069&lt;=set_AsAt),1,0)</f>
        <v/>
      </c>
      <c r="AK4069" s="54">
        <f>IF(AND(AJ4069=1,AH4069&lt;&gt;"",COUNTIFS($AH$2:AH4069,AH4069,$AJ$2:AJ4069,1)=1),N(AL4068)+1,"")</f>
        <v/>
      </c>
      <c r="AL4069" s="54">
        <f>IF(AK4069&lt;&gt;"",AK4069,N(AL4068))</f>
        <v/>
      </c>
    </row>
    <row r="4070">
      <c r="A4070" t="inlineStr">
        <is>
          <t>ONS-1357</t>
        </is>
      </c>
      <c r="B4070" t="inlineStr">
        <is>
          <t>Onsite</t>
        </is>
      </c>
      <c r="AB4070" t="n">
        <v>1357</v>
      </c>
      <c r="AD4070" s="52">
        <f>IFERROR(N(IFERROR(INDEX($A4070:$AB4070,MATCH("Xero Invoiced Ex GST",$A$1:$AB$1,0)),"")),0)</f>
        <v/>
      </c>
      <c r="AE4070" s="53">
        <f>IFERROR(INDEX($A4070:$AB4070,MATCH("Xero Invoice Date",$A$1:$AB$1,0)),"")</f>
        <v/>
      </c>
      <c r="AF4070" s="54">
        <f>IF(AND(IFERROR(INDEX($A4070:$AB4070,MATCH("Xero Invoice No",$A$1:$AB$1,0)),"")&amp;""&lt;&gt;"",ISNUMBER(AE4070),AD4070&lt;&gt;0),1,0)</f>
        <v/>
      </c>
      <c r="AG4070" s="55">
        <f>IF(AF4070=1,EOMONTH(AE4070,0),"")</f>
        <v/>
      </c>
      <c r="AH4070" s="9">
        <f>IF(AF4070=1,UPPER(TRIM(IFERROR(INDEX($A4070:$AB4070,MATCH("Client",$A$1:$AB$1,0)),"")&amp;"")),"")</f>
        <v/>
      </c>
      <c r="AI4070" s="9">
        <f>IF(AF4070=1,IFERROR(INDEX($A4070:$AB4070,MATCH("Cost Centre",$A$1:$AB$1,0)),"")&amp;"","")</f>
        <v/>
      </c>
      <c r="AJ4070" s="54">
        <f>IF(AND(AF4070=1,AE4070&gt;=set_FYStart,AE4070&lt;=set_AsAt),1,0)</f>
        <v/>
      </c>
      <c r="AK4070" s="54">
        <f>IF(AND(AJ4070=1,AH4070&lt;&gt;"",COUNTIFS($AH$2:AH4070,AH4070,$AJ$2:AJ4070,1)=1),N(AL4069)+1,"")</f>
        <v/>
      </c>
      <c r="AL4070" s="54">
        <f>IF(AK4070&lt;&gt;"",AK4070,N(AL4069))</f>
        <v/>
      </c>
    </row>
    <row r="4071">
      <c r="A4071" t="inlineStr">
        <is>
          <t>PRD-1357</t>
        </is>
      </c>
      <c r="B4071" t="inlineStr">
        <is>
          <t>Production</t>
        </is>
      </c>
      <c r="AB4071" t="n">
        <v>1357</v>
      </c>
      <c r="AD4071" s="52">
        <f>IFERROR(N(IFERROR(INDEX($A4071:$AB4071,MATCH("Xero Invoiced Ex GST",$A$1:$AB$1,0)),"")),0)</f>
        <v/>
      </c>
      <c r="AE4071" s="53">
        <f>IFERROR(INDEX($A4071:$AB4071,MATCH("Xero Invoice Date",$A$1:$AB$1,0)),"")</f>
        <v/>
      </c>
      <c r="AF4071" s="54">
        <f>IF(AND(IFERROR(INDEX($A4071:$AB4071,MATCH("Xero Invoice No",$A$1:$AB$1,0)),"")&amp;""&lt;&gt;"",ISNUMBER(AE4071),AD4071&lt;&gt;0),1,0)</f>
        <v/>
      </c>
      <c r="AG4071" s="55">
        <f>IF(AF4071=1,EOMONTH(AE4071,0),"")</f>
        <v/>
      </c>
      <c r="AH4071" s="9">
        <f>IF(AF4071=1,UPPER(TRIM(IFERROR(INDEX($A4071:$AB4071,MATCH("Client",$A$1:$AB$1,0)),"")&amp;"")),"")</f>
        <v/>
      </c>
      <c r="AI4071" s="9">
        <f>IF(AF4071=1,IFERROR(INDEX($A4071:$AB4071,MATCH("Cost Centre",$A$1:$AB$1,0)),"")&amp;"","")</f>
        <v/>
      </c>
      <c r="AJ4071" s="54">
        <f>IF(AND(AF4071=1,AE4071&gt;=set_FYStart,AE4071&lt;=set_AsAt),1,0)</f>
        <v/>
      </c>
      <c r="AK4071" s="54">
        <f>IF(AND(AJ4071=1,AH4071&lt;&gt;"",COUNTIFS($AH$2:AH4071,AH4071,$AJ$2:AJ4071,1)=1),N(AL4070)+1,"")</f>
        <v/>
      </c>
      <c r="AL4071" s="54">
        <f>IF(AK4071&lt;&gt;"",AK4071,N(AL4070))</f>
        <v/>
      </c>
    </row>
    <row r="4072">
      <c r="A4072" t="inlineStr">
        <is>
          <t>CON-1357</t>
        </is>
      </c>
      <c r="B4072" t="inlineStr">
        <is>
          <t>Consulting</t>
        </is>
      </c>
      <c r="AB4072" t="n">
        <v>1357</v>
      </c>
      <c r="AD4072" s="52">
        <f>IFERROR(N(IFERROR(INDEX($A4072:$AB4072,MATCH("Xero Invoiced Ex GST",$A$1:$AB$1,0)),"")),0)</f>
        <v/>
      </c>
      <c r="AE4072" s="53">
        <f>IFERROR(INDEX($A4072:$AB4072,MATCH("Xero Invoice Date",$A$1:$AB$1,0)),"")</f>
        <v/>
      </c>
      <c r="AF4072" s="54">
        <f>IF(AND(IFERROR(INDEX($A4072:$AB4072,MATCH("Xero Invoice No",$A$1:$AB$1,0)),"")&amp;""&lt;&gt;"",ISNUMBER(AE4072),AD4072&lt;&gt;0),1,0)</f>
        <v/>
      </c>
      <c r="AG4072" s="55">
        <f>IF(AF4072=1,EOMONTH(AE4072,0),"")</f>
        <v/>
      </c>
      <c r="AH4072" s="9">
        <f>IF(AF4072=1,UPPER(TRIM(IFERROR(INDEX($A4072:$AB4072,MATCH("Client",$A$1:$AB$1,0)),"")&amp;"")),"")</f>
        <v/>
      </c>
      <c r="AI4072" s="9">
        <f>IF(AF4072=1,IFERROR(INDEX($A4072:$AB4072,MATCH("Cost Centre",$A$1:$AB$1,0)),"")&amp;"","")</f>
        <v/>
      </c>
      <c r="AJ4072" s="54">
        <f>IF(AND(AF4072=1,AE4072&gt;=set_FYStart,AE4072&lt;=set_AsAt),1,0)</f>
        <v/>
      </c>
      <c r="AK4072" s="54">
        <f>IF(AND(AJ4072=1,AH4072&lt;&gt;"",COUNTIFS($AH$2:AH4072,AH4072,$AJ$2:AJ4072,1)=1),N(AL4071)+1,"")</f>
        <v/>
      </c>
      <c r="AL4072" s="54">
        <f>IF(AK4072&lt;&gt;"",AK4072,N(AL4071))</f>
        <v/>
      </c>
    </row>
    <row r="4073">
      <c r="A4073" t="inlineStr">
        <is>
          <t>ONS-1358</t>
        </is>
      </c>
      <c r="B4073" t="inlineStr">
        <is>
          <t>Onsite</t>
        </is>
      </c>
      <c r="AB4073" t="n">
        <v>1358</v>
      </c>
      <c r="AD4073" s="52">
        <f>IFERROR(N(IFERROR(INDEX($A4073:$AB4073,MATCH("Xero Invoiced Ex GST",$A$1:$AB$1,0)),"")),0)</f>
        <v/>
      </c>
      <c r="AE4073" s="53">
        <f>IFERROR(INDEX($A4073:$AB4073,MATCH("Xero Invoice Date",$A$1:$AB$1,0)),"")</f>
        <v/>
      </c>
      <c r="AF4073" s="54">
        <f>IF(AND(IFERROR(INDEX($A4073:$AB4073,MATCH("Xero Invoice No",$A$1:$AB$1,0)),"")&amp;""&lt;&gt;"",ISNUMBER(AE4073),AD4073&lt;&gt;0),1,0)</f>
        <v/>
      </c>
      <c r="AG4073" s="55">
        <f>IF(AF4073=1,EOMONTH(AE4073,0),"")</f>
        <v/>
      </c>
      <c r="AH4073" s="9">
        <f>IF(AF4073=1,UPPER(TRIM(IFERROR(INDEX($A4073:$AB4073,MATCH("Client",$A$1:$AB$1,0)),"")&amp;"")),"")</f>
        <v/>
      </c>
      <c r="AI4073" s="9">
        <f>IF(AF4073=1,IFERROR(INDEX($A4073:$AB4073,MATCH("Cost Centre",$A$1:$AB$1,0)),"")&amp;"","")</f>
        <v/>
      </c>
      <c r="AJ4073" s="54">
        <f>IF(AND(AF4073=1,AE4073&gt;=set_FYStart,AE4073&lt;=set_AsAt),1,0)</f>
        <v/>
      </c>
      <c r="AK4073" s="54">
        <f>IF(AND(AJ4073=1,AH4073&lt;&gt;"",COUNTIFS($AH$2:AH4073,AH4073,$AJ$2:AJ4073,1)=1),N(AL4072)+1,"")</f>
        <v/>
      </c>
      <c r="AL4073" s="54">
        <f>IF(AK4073&lt;&gt;"",AK4073,N(AL4072))</f>
        <v/>
      </c>
    </row>
    <row r="4074">
      <c r="A4074" t="inlineStr">
        <is>
          <t>PRD-1358</t>
        </is>
      </c>
      <c r="B4074" t="inlineStr">
        <is>
          <t>Production</t>
        </is>
      </c>
      <c r="AB4074" t="n">
        <v>1358</v>
      </c>
      <c r="AD4074" s="52">
        <f>IFERROR(N(IFERROR(INDEX($A4074:$AB4074,MATCH("Xero Invoiced Ex GST",$A$1:$AB$1,0)),"")),0)</f>
        <v/>
      </c>
      <c r="AE4074" s="53">
        <f>IFERROR(INDEX($A4074:$AB4074,MATCH("Xero Invoice Date",$A$1:$AB$1,0)),"")</f>
        <v/>
      </c>
      <c r="AF4074" s="54">
        <f>IF(AND(IFERROR(INDEX($A4074:$AB4074,MATCH("Xero Invoice No",$A$1:$AB$1,0)),"")&amp;""&lt;&gt;"",ISNUMBER(AE4074),AD4074&lt;&gt;0),1,0)</f>
        <v/>
      </c>
      <c r="AG4074" s="55">
        <f>IF(AF4074=1,EOMONTH(AE4074,0),"")</f>
        <v/>
      </c>
      <c r="AH4074" s="9">
        <f>IF(AF4074=1,UPPER(TRIM(IFERROR(INDEX($A4074:$AB4074,MATCH("Client",$A$1:$AB$1,0)),"")&amp;"")),"")</f>
        <v/>
      </c>
      <c r="AI4074" s="9">
        <f>IF(AF4074=1,IFERROR(INDEX($A4074:$AB4074,MATCH("Cost Centre",$A$1:$AB$1,0)),"")&amp;"","")</f>
        <v/>
      </c>
      <c r="AJ4074" s="54">
        <f>IF(AND(AF4074=1,AE4074&gt;=set_FYStart,AE4074&lt;=set_AsAt),1,0)</f>
        <v/>
      </c>
      <c r="AK4074" s="54">
        <f>IF(AND(AJ4074=1,AH4074&lt;&gt;"",COUNTIFS($AH$2:AH4074,AH4074,$AJ$2:AJ4074,1)=1),N(AL4073)+1,"")</f>
        <v/>
      </c>
      <c r="AL4074" s="54">
        <f>IF(AK4074&lt;&gt;"",AK4074,N(AL4073))</f>
        <v/>
      </c>
    </row>
    <row r="4075">
      <c r="A4075" t="inlineStr">
        <is>
          <t>CON-1358</t>
        </is>
      </c>
      <c r="B4075" t="inlineStr">
        <is>
          <t>Consulting</t>
        </is>
      </c>
      <c r="AB4075" t="n">
        <v>1358</v>
      </c>
      <c r="AD4075" s="52">
        <f>IFERROR(N(IFERROR(INDEX($A4075:$AB4075,MATCH("Xero Invoiced Ex GST",$A$1:$AB$1,0)),"")),0)</f>
        <v/>
      </c>
      <c r="AE4075" s="53">
        <f>IFERROR(INDEX($A4075:$AB4075,MATCH("Xero Invoice Date",$A$1:$AB$1,0)),"")</f>
        <v/>
      </c>
      <c r="AF4075" s="54">
        <f>IF(AND(IFERROR(INDEX($A4075:$AB4075,MATCH("Xero Invoice No",$A$1:$AB$1,0)),"")&amp;""&lt;&gt;"",ISNUMBER(AE4075),AD4075&lt;&gt;0),1,0)</f>
        <v/>
      </c>
      <c r="AG4075" s="55">
        <f>IF(AF4075=1,EOMONTH(AE4075,0),"")</f>
        <v/>
      </c>
      <c r="AH4075" s="9">
        <f>IF(AF4075=1,UPPER(TRIM(IFERROR(INDEX($A4075:$AB4075,MATCH("Client",$A$1:$AB$1,0)),"")&amp;"")),"")</f>
        <v/>
      </c>
      <c r="AI4075" s="9">
        <f>IF(AF4075=1,IFERROR(INDEX($A4075:$AB4075,MATCH("Cost Centre",$A$1:$AB$1,0)),"")&amp;"","")</f>
        <v/>
      </c>
      <c r="AJ4075" s="54">
        <f>IF(AND(AF4075=1,AE4075&gt;=set_FYStart,AE4075&lt;=set_AsAt),1,0)</f>
        <v/>
      </c>
      <c r="AK4075" s="54">
        <f>IF(AND(AJ4075=1,AH4075&lt;&gt;"",COUNTIFS($AH$2:AH4075,AH4075,$AJ$2:AJ4075,1)=1),N(AL4074)+1,"")</f>
        <v/>
      </c>
      <c r="AL4075" s="54">
        <f>IF(AK4075&lt;&gt;"",AK4075,N(AL4074))</f>
        <v/>
      </c>
    </row>
    <row r="4076">
      <c r="A4076" t="inlineStr">
        <is>
          <t>ONS-1359</t>
        </is>
      </c>
      <c r="B4076" t="inlineStr">
        <is>
          <t>Onsite</t>
        </is>
      </c>
      <c r="AB4076" t="n">
        <v>1359</v>
      </c>
      <c r="AD4076" s="52">
        <f>IFERROR(N(IFERROR(INDEX($A4076:$AB4076,MATCH("Xero Invoiced Ex GST",$A$1:$AB$1,0)),"")),0)</f>
        <v/>
      </c>
      <c r="AE4076" s="53">
        <f>IFERROR(INDEX($A4076:$AB4076,MATCH("Xero Invoice Date",$A$1:$AB$1,0)),"")</f>
        <v/>
      </c>
      <c r="AF4076" s="54">
        <f>IF(AND(IFERROR(INDEX($A4076:$AB4076,MATCH("Xero Invoice No",$A$1:$AB$1,0)),"")&amp;""&lt;&gt;"",ISNUMBER(AE4076),AD4076&lt;&gt;0),1,0)</f>
        <v/>
      </c>
      <c r="AG4076" s="55">
        <f>IF(AF4076=1,EOMONTH(AE4076,0),"")</f>
        <v/>
      </c>
      <c r="AH4076" s="9">
        <f>IF(AF4076=1,UPPER(TRIM(IFERROR(INDEX($A4076:$AB4076,MATCH("Client",$A$1:$AB$1,0)),"")&amp;"")),"")</f>
        <v/>
      </c>
      <c r="AI4076" s="9">
        <f>IF(AF4076=1,IFERROR(INDEX($A4076:$AB4076,MATCH("Cost Centre",$A$1:$AB$1,0)),"")&amp;"","")</f>
        <v/>
      </c>
      <c r="AJ4076" s="54">
        <f>IF(AND(AF4076=1,AE4076&gt;=set_FYStart,AE4076&lt;=set_AsAt),1,0)</f>
        <v/>
      </c>
      <c r="AK4076" s="54">
        <f>IF(AND(AJ4076=1,AH4076&lt;&gt;"",COUNTIFS($AH$2:AH4076,AH4076,$AJ$2:AJ4076,1)=1),N(AL4075)+1,"")</f>
        <v/>
      </c>
      <c r="AL4076" s="54">
        <f>IF(AK4076&lt;&gt;"",AK4076,N(AL4075))</f>
        <v/>
      </c>
    </row>
    <row r="4077">
      <c r="A4077" t="inlineStr">
        <is>
          <t>PRD-1359</t>
        </is>
      </c>
      <c r="B4077" t="inlineStr">
        <is>
          <t>Production</t>
        </is>
      </c>
      <c r="AB4077" t="n">
        <v>1359</v>
      </c>
      <c r="AD4077" s="52">
        <f>IFERROR(N(IFERROR(INDEX($A4077:$AB4077,MATCH("Xero Invoiced Ex GST",$A$1:$AB$1,0)),"")),0)</f>
        <v/>
      </c>
      <c r="AE4077" s="53">
        <f>IFERROR(INDEX($A4077:$AB4077,MATCH("Xero Invoice Date",$A$1:$AB$1,0)),"")</f>
        <v/>
      </c>
      <c r="AF4077" s="54">
        <f>IF(AND(IFERROR(INDEX($A4077:$AB4077,MATCH("Xero Invoice No",$A$1:$AB$1,0)),"")&amp;""&lt;&gt;"",ISNUMBER(AE4077),AD4077&lt;&gt;0),1,0)</f>
        <v/>
      </c>
      <c r="AG4077" s="55">
        <f>IF(AF4077=1,EOMONTH(AE4077,0),"")</f>
        <v/>
      </c>
      <c r="AH4077" s="9">
        <f>IF(AF4077=1,UPPER(TRIM(IFERROR(INDEX($A4077:$AB4077,MATCH("Client",$A$1:$AB$1,0)),"")&amp;"")),"")</f>
        <v/>
      </c>
      <c r="AI4077" s="9">
        <f>IF(AF4077=1,IFERROR(INDEX($A4077:$AB4077,MATCH("Cost Centre",$A$1:$AB$1,0)),"")&amp;"","")</f>
        <v/>
      </c>
      <c r="AJ4077" s="54">
        <f>IF(AND(AF4077=1,AE4077&gt;=set_FYStart,AE4077&lt;=set_AsAt),1,0)</f>
        <v/>
      </c>
      <c r="AK4077" s="54">
        <f>IF(AND(AJ4077=1,AH4077&lt;&gt;"",COUNTIFS($AH$2:AH4077,AH4077,$AJ$2:AJ4077,1)=1),N(AL4076)+1,"")</f>
        <v/>
      </c>
      <c r="AL4077" s="54">
        <f>IF(AK4077&lt;&gt;"",AK4077,N(AL4076))</f>
        <v/>
      </c>
    </row>
    <row r="4078">
      <c r="A4078" t="inlineStr">
        <is>
          <t>CON-1359</t>
        </is>
      </c>
      <c r="B4078" t="inlineStr">
        <is>
          <t>Consulting</t>
        </is>
      </c>
      <c r="AB4078" t="n">
        <v>1359</v>
      </c>
      <c r="AD4078" s="52">
        <f>IFERROR(N(IFERROR(INDEX($A4078:$AB4078,MATCH("Xero Invoiced Ex GST",$A$1:$AB$1,0)),"")),0)</f>
        <v/>
      </c>
      <c r="AE4078" s="53">
        <f>IFERROR(INDEX($A4078:$AB4078,MATCH("Xero Invoice Date",$A$1:$AB$1,0)),"")</f>
        <v/>
      </c>
      <c r="AF4078" s="54">
        <f>IF(AND(IFERROR(INDEX($A4078:$AB4078,MATCH("Xero Invoice No",$A$1:$AB$1,0)),"")&amp;""&lt;&gt;"",ISNUMBER(AE4078),AD4078&lt;&gt;0),1,0)</f>
        <v/>
      </c>
      <c r="AG4078" s="55">
        <f>IF(AF4078=1,EOMONTH(AE4078,0),"")</f>
        <v/>
      </c>
      <c r="AH4078" s="9">
        <f>IF(AF4078=1,UPPER(TRIM(IFERROR(INDEX($A4078:$AB4078,MATCH("Client",$A$1:$AB$1,0)),"")&amp;"")),"")</f>
        <v/>
      </c>
      <c r="AI4078" s="9">
        <f>IF(AF4078=1,IFERROR(INDEX($A4078:$AB4078,MATCH("Cost Centre",$A$1:$AB$1,0)),"")&amp;"","")</f>
        <v/>
      </c>
      <c r="AJ4078" s="54">
        <f>IF(AND(AF4078=1,AE4078&gt;=set_FYStart,AE4078&lt;=set_AsAt),1,0)</f>
        <v/>
      </c>
      <c r="AK4078" s="54">
        <f>IF(AND(AJ4078=1,AH4078&lt;&gt;"",COUNTIFS($AH$2:AH4078,AH4078,$AJ$2:AJ4078,1)=1),N(AL4077)+1,"")</f>
        <v/>
      </c>
      <c r="AL4078" s="54">
        <f>IF(AK4078&lt;&gt;"",AK4078,N(AL4077))</f>
        <v/>
      </c>
    </row>
    <row r="4079">
      <c r="A4079" t="inlineStr">
        <is>
          <t>ONS-1360</t>
        </is>
      </c>
      <c r="B4079" t="inlineStr">
        <is>
          <t>Onsite</t>
        </is>
      </c>
      <c r="AB4079" t="n">
        <v>1360</v>
      </c>
      <c r="AD4079" s="52">
        <f>IFERROR(N(IFERROR(INDEX($A4079:$AB4079,MATCH("Xero Invoiced Ex GST",$A$1:$AB$1,0)),"")),0)</f>
        <v/>
      </c>
      <c r="AE4079" s="53">
        <f>IFERROR(INDEX($A4079:$AB4079,MATCH("Xero Invoice Date",$A$1:$AB$1,0)),"")</f>
        <v/>
      </c>
      <c r="AF4079" s="54">
        <f>IF(AND(IFERROR(INDEX($A4079:$AB4079,MATCH("Xero Invoice No",$A$1:$AB$1,0)),"")&amp;""&lt;&gt;"",ISNUMBER(AE4079),AD4079&lt;&gt;0),1,0)</f>
        <v/>
      </c>
      <c r="AG4079" s="55">
        <f>IF(AF4079=1,EOMONTH(AE4079,0),"")</f>
        <v/>
      </c>
      <c r="AH4079" s="9">
        <f>IF(AF4079=1,UPPER(TRIM(IFERROR(INDEX($A4079:$AB4079,MATCH("Client",$A$1:$AB$1,0)),"")&amp;"")),"")</f>
        <v/>
      </c>
      <c r="AI4079" s="9">
        <f>IF(AF4079=1,IFERROR(INDEX($A4079:$AB4079,MATCH("Cost Centre",$A$1:$AB$1,0)),"")&amp;"","")</f>
        <v/>
      </c>
      <c r="AJ4079" s="54">
        <f>IF(AND(AF4079=1,AE4079&gt;=set_FYStart,AE4079&lt;=set_AsAt),1,0)</f>
        <v/>
      </c>
      <c r="AK4079" s="54">
        <f>IF(AND(AJ4079=1,AH4079&lt;&gt;"",COUNTIFS($AH$2:AH4079,AH4079,$AJ$2:AJ4079,1)=1),N(AL4078)+1,"")</f>
        <v/>
      </c>
      <c r="AL4079" s="54">
        <f>IF(AK4079&lt;&gt;"",AK4079,N(AL4078))</f>
        <v/>
      </c>
    </row>
    <row r="4080">
      <c r="A4080" t="inlineStr">
        <is>
          <t>PRD-1360</t>
        </is>
      </c>
      <c r="B4080" t="inlineStr">
        <is>
          <t>Production</t>
        </is>
      </c>
      <c r="AB4080" t="n">
        <v>1360</v>
      </c>
      <c r="AD4080" s="52">
        <f>IFERROR(N(IFERROR(INDEX($A4080:$AB4080,MATCH("Xero Invoiced Ex GST",$A$1:$AB$1,0)),"")),0)</f>
        <v/>
      </c>
      <c r="AE4080" s="53">
        <f>IFERROR(INDEX($A4080:$AB4080,MATCH("Xero Invoice Date",$A$1:$AB$1,0)),"")</f>
        <v/>
      </c>
      <c r="AF4080" s="54">
        <f>IF(AND(IFERROR(INDEX($A4080:$AB4080,MATCH("Xero Invoice No",$A$1:$AB$1,0)),"")&amp;""&lt;&gt;"",ISNUMBER(AE4080),AD4080&lt;&gt;0),1,0)</f>
        <v/>
      </c>
      <c r="AG4080" s="55">
        <f>IF(AF4080=1,EOMONTH(AE4080,0),"")</f>
        <v/>
      </c>
      <c r="AH4080" s="9">
        <f>IF(AF4080=1,UPPER(TRIM(IFERROR(INDEX($A4080:$AB4080,MATCH("Client",$A$1:$AB$1,0)),"")&amp;"")),"")</f>
        <v/>
      </c>
      <c r="AI4080" s="9">
        <f>IF(AF4080=1,IFERROR(INDEX($A4080:$AB4080,MATCH("Cost Centre",$A$1:$AB$1,0)),"")&amp;"","")</f>
        <v/>
      </c>
      <c r="AJ4080" s="54">
        <f>IF(AND(AF4080=1,AE4080&gt;=set_FYStart,AE4080&lt;=set_AsAt),1,0)</f>
        <v/>
      </c>
      <c r="AK4080" s="54">
        <f>IF(AND(AJ4080=1,AH4080&lt;&gt;"",COUNTIFS($AH$2:AH4080,AH4080,$AJ$2:AJ4080,1)=1),N(AL4079)+1,"")</f>
        <v/>
      </c>
      <c r="AL4080" s="54">
        <f>IF(AK4080&lt;&gt;"",AK4080,N(AL4079))</f>
        <v/>
      </c>
    </row>
    <row r="4081">
      <c r="A4081" t="inlineStr">
        <is>
          <t>CON-1360</t>
        </is>
      </c>
      <c r="B4081" t="inlineStr">
        <is>
          <t>Consulting</t>
        </is>
      </c>
      <c r="AB4081" t="n">
        <v>1360</v>
      </c>
      <c r="AD4081" s="52">
        <f>IFERROR(N(IFERROR(INDEX($A4081:$AB4081,MATCH("Xero Invoiced Ex GST",$A$1:$AB$1,0)),"")),0)</f>
        <v/>
      </c>
      <c r="AE4081" s="53">
        <f>IFERROR(INDEX($A4081:$AB4081,MATCH("Xero Invoice Date",$A$1:$AB$1,0)),"")</f>
        <v/>
      </c>
      <c r="AF4081" s="54">
        <f>IF(AND(IFERROR(INDEX($A4081:$AB4081,MATCH("Xero Invoice No",$A$1:$AB$1,0)),"")&amp;""&lt;&gt;"",ISNUMBER(AE4081),AD4081&lt;&gt;0),1,0)</f>
        <v/>
      </c>
      <c r="AG4081" s="55">
        <f>IF(AF4081=1,EOMONTH(AE4081,0),"")</f>
        <v/>
      </c>
      <c r="AH4081" s="9">
        <f>IF(AF4081=1,UPPER(TRIM(IFERROR(INDEX($A4081:$AB4081,MATCH("Client",$A$1:$AB$1,0)),"")&amp;"")),"")</f>
        <v/>
      </c>
      <c r="AI4081" s="9">
        <f>IF(AF4081=1,IFERROR(INDEX($A4081:$AB4081,MATCH("Cost Centre",$A$1:$AB$1,0)),"")&amp;"","")</f>
        <v/>
      </c>
      <c r="AJ4081" s="54">
        <f>IF(AND(AF4081=1,AE4081&gt;=set_FYStart,AE4081&lt;=set_AsAt),1,0)</f>
        <v/>
      </c>
      <c r="AK4081" s="54">
        <f>IF(AND(AJ4081=1,AH4081&lt;&gt;"",COUNTIFS($AH$2:AH4081,AH4081,$AJ$2:AJ4081,1)=1),N(AL4080)+1,"")</f>
        <v/>
      </c>
      <c r="AL4081" s="54">
        <f>IF(AK4081&lt;&gt;"",AK4081,N(AL4080))</f>
        <v/>
      </c>
    </row>
    <row r="4082">
      <c r="A4082" t="inlineStr">
        <is>
          <t>ONS-1361</t>
        </is>
      </c>
      <c r="B4082" t="inlineStr">
        <is>
          <t>Onsite</t>
        </is>
      </c>
      <c r="AB4082" t="n">
        <v>1361</v>
      </c>
      <c r="AD4082" s="52">
        <f>IFERROR(N(IFERROR(INDEX($A4082:$AB4082,MATCH("Xero Invoiced Ex GST",$A$1:$AB$1,0)),"")),0)</f>
        <v/>
      </c>
      <c r="AE4082" s="53">
        <f>IFERROR(INDEX($A4082:$AB4082,MATCH("Xero Invoice Date",$A$1:$AB$1,0)),"")</f>
        <v/>
      </c>
      <c r="AF4082" s="54">
        <f>IF(AND(IFERROR(INDEX($A4082:$AB4082,MATCH("Xero Invoice No",$A$1:$AB$1,0)),"")&amp;""&lt;&gt;"",ISNUMBER(AE4082),AD4082&lt;&gt;0),1,0)</f>
        <v/>
      </c>
      <c r="AG4082" s="55">
        <f>IF(AF4082=1,EOMONTH(AE4082,0),"")</f>
        <v/>
      </c>
      <c r="AH4082" s="9">
        <f>IF(AF4082=1,UPPER(TRIM(IFERROR(INDEX($A4082:$AB4082,MATCH("Client",$A$1:$AB$1,0)),"")&amp;"")),"")</f>
        <v/>
      </c>
      <c r="AI4082" s="9">
        <f>IF(AF4082=1,IFERROR(INDEX($A4082:$AB4082,MATCH("Cost Centre",$A$1:$AB$1,0)),"")&amp;"","")</f>
        <v/>
      </c>
      <c r="AJ4082" s="54">
        <f>IF(AND(AF4082=1,AE4082&gt;=set_FYStart,AE4082&lt;=set_AsAt),1,0)</f>
        <v/>
      </c>
      <c r="AK4082" s="54">
        <f>IF(AND(AJ4082=1,AH4082&lt;&gt;"",COUNTIFS($AH$2:AH4082,AH4082,$AJ$2:AJ4082,1)=1),N(AL4081)+1,"")</f>
        <v/>
      </c>
      <c r="AL4082" s="54">
        <f>IF(AK4082&lt;&gt;"",AK4082,N(AL4081))</f>
        <v/>
      </c>
    </row>
    <row r="4083">
      <c r="A4083" t="inlineStr">
        <is>
          <t>PRD-1361</t>
        </is>
      </c>
      <c r="B4083" t="inlineStr">
        <is>
          <t>Production</t>
        </is>
      </c>
      <c r="AB4083" t="n">
        <v>1361</v>
      </c>
      <c r="AD4083" s="52">
        <f>IFERROR(N(IFERROR(INDEX($A4083:$AB4083,MATCH("Xero Invoiced Ex GST",$A$1:$AB$1,0)),"")),0)</f>
        <v/>
      </c>
      <c r="AE4083" s="53">
        <f>IFERROR(INDEX($A4083:$AB4083,MATCH("Xero Invoice Date",$A$1:$AB$1,0)),"")</f>
        <v/>
      </c>
      <c r="AF4083" s="54">
        <f>IF(AND(IFERROR(INDEX($A4083:$AB4083,MATCH("Xero Invoice No",$A$1:$AB$1,0)),"")&amp;""&lt;&gt;"",ISNUMBER(AE4083),AD4083&lt;&gt;0),1,0)</f>
        <v/>
      </c>
      <c r="AG4083" s="55">
        <f>IF(AF4083=1,EOMONTH(AE4083,0),"")</f>
        <v/>
      </c>
      <c r="AH4083" s="9">
        <f>IF(AF4083=1,UPPER(TRIM(IFERROR(INDEX($A4083:$AB4083,MATCH("Client",$A$1:$AB$1,0)),"")&amp;"")),"")</f>
        <v/>
      </c>
      <c r="AI4083" s="9">
        <f>IF(AF4083=1,IFERROR(INDEX($A4083:$AB4083,MATCH("Cost Centre",$A$1:$AB$1,0)),"")&amp;"","")</f>
        <v/>
      </c>
      <c r="AJ4083" s="54">
        <f>IF(AND(AF4083=1,AE4083&gt;=set_FYStart,AE4083&lt;=set_AsAt),1,0)</f>
        <v/>
      </c>
      <c r="AK4083" s="54">
        <f>IF(AND(AJ4083=1,AH4083&lt;&gt;"",COUNTIFS($AH$2:AH4083,AH4083,$AJ$2:AJ4083,1)=1),N(AL4082)+1,"")</f>
        <v/>
      </c>
      <c r="AL4083" s="54">
        <f>IF(AK4083&lt;&gt;"",AK4083,N(AL4082))</f>
        <v/>
      </c>
    </row>
    <row r="4084">
      <c r="A4084" t="inlineStr">
        <is>
          <t>CON-1361</t>
        </is>
      </c>
      <c r="B4084" t="inlineStr">
        <is>
          <t>Consulting</t>
        </is>
      </c>
      <c r="AB4084" t="n">
        <v>1361</v>
      </c>
      <c r="AD4084" s="52">
        <f>IFERROR(N(IFERROR(INDEX($A4084:$AB4084,MATCH("Xero Invoiced Ex GST",$A$1:$AB$1,0)),"")),0)</f>
        <v/>
      </c>
      <c r="AE4084" s="53">
        <f>IFERROR(INDEX($A4084:$AB4084,MATCH("Xero Invoice Date",$A$1:$AB$1,0)),"")</f>
        <v/>
      </c>
      <c r="AF4084" s="54">
        <f>IF(AND(IFERROR(INDEX($A4084:$AB4084,MATCH("Xero Invoice No",$A$1:$AB$1,0)),"")&amp;""&lt;&gt;"",ISNUMBER(AE4084),AD4084&lt;&gt;0),1,0)</f>
        <v/>
      </c>
      <c r="AG4084" s="55">
        <f>IF(AF4084=1,EOMONTH(AE4084,0),"")</f>
        <v/>
      </c>
      <c r="AH4084" s="9">
        <f>IF(AF4084=1,UPPER(TRIM(IFERROR(INDEX($A4084:$AB4084,MATCH("Client",$A$1:$AB$1,0)),"")&amp;"")),"")</f>
        <v/>
      </c>
      <c r="AI4084" s="9">
        <f>IF(AF4084=1,IFERROR(INDEX($A4084:$AB4084,MATCH("Cost Centre",$A$1:$AB$1,0)),"")&amp;"","")</f>
        <v/>
      </c>
      <c r="AJ4084" s="54">
        <f>IF(AND(AF4084=1,AE4084&gt;=set_FYStart,AE4084&lt;=set_AsAt),1,0)</f>
        <v/>
      </c>
      <c r="AK4084" s="54">
        <f>IF(AND(AJ4084=1,AH4084&lt;&gt;"",COUNTIFS($AH$2:AH4084,AH4084,$AJ$2:AJ4084,1)=1),N(AL4083)+1,"")</f>
        <v/>
      </c>
      <c r="AL4084" s="54">
        <f>IF(AK4084&lt;&gt;"",AK4084,N(AL4083))</f>
        <v/>
      </c>
    </row>
    <row r="4085">
      <c r="A4085" t="inlineStr">
        <is>
          <t>ONS-1362</t>
        </is>
      </c>
      <c r="B4085" t="inlineStr">
        <is>
          <t>Onsite</t>
        </is>
      </c>
      <c r="AB4085" t="n">
        <v>1362</v>
      </c>
      <c r="AD4085" s="52">
        <f>IFERROR(N(IFERROR(INDEX($A4085:$AB4085,MATCH("Xero Invoiced Ex GST",$A$1:$AB$1,0)),"")),0)</f>
        <v/>
      </c>
      <c r="AE4085" s="53">
        <f>IFERROR(INDEX($A4085:$AB4085,MATCH("Xero Invoice Date",$A$1:$AB$1,0)),"")</f>
        <v/>
      </c>
      <c r="AF4085" s="54">
        <f>IF(AND(IFERROR(INDEX($A4085:$AB4085,MATCH("Xero Invoice No",$A$1:$AB$1,0)),"")&amp;""&lt;&gt;"",ISNUMBER(AE4085),AD4085&lt;&gt;0),1,0)</f>
        <v/>
      </c>
      <c r="AG4085" s="55">
        <f>IF(AF4085=1,EOMONTH(AE4085,0),"")</f>
        <v/>
      </c>
      <c r="AH4085" s="9">
        <f>IF(AF4085=1,UPPER(TRIM(IFERROR(INDEX($A4085:$AB4085,MATCH("Client",$A$1:$AB$1,0)),"")&amp;"")),"")</f>
        <v/>
      </c>
      <c r="AI4085" s="9">
        <f>IF(AF4085=1,IFERROR(INDEX($A4085:$AB4085,MATCH("Cost Centre",$A$1:$AB$1,0)),"")&amp;"","")</f>
        <v/>
      </c>
      <c r="AJ4085" s="54">
        <f>IF(AND(AF4085=1,AE4085&gt;=set_FYStart,AE4085&lt;=set_AsAt),1,0)</f>
        <v/>
      </c>
      <c r="AK4085" s="54">
        <f>IF(AND(AJ4085=1,AH4085&lt;&gt;"",COUNTIFS($AH$2:AH4085,AH4085,$AJ$2:AJ4085,1)=1),N(AL4084)+1,"")</f>
        <v/>
      </c>
      <c r="AL4085" s="54">
        <f>IF(AK4085&lt;&gt;"",AK4085,N(AL4084))</f>
        <v/>
      </c>
    </row>
    <row r="4086">
      <c r="A4086" t="inlineStr">
        <is>
          <t>PRD-1362</t>
        </is>
      </c>
      <c r="B4086" t="inlineStr">
        <is>
          <t>Production</t>
        </is>
      </c>
      <c r="AB4086" t="n">
        <v>1362</v>
      </c>
      <c r="AD4086" s="52">
        <f>IFERROR(N(IFERROR(INDEX($A4086:$AB4086,MATCH("Xero Invoiced Ex GST",$A$1:$AB$1,0)),"")),0)</f>
        <v/>
      </c>
      <c r="AE4086" s="53">
        <f>IFERROR(INDEX($A4086:$AB4086,MATCH("Xero Invoice Date",$A$1:$AB$1,0)),"")</f>
        <v/>
      </c>
      <c r="AF4086" s="54">
        <f>IF(AND(IFERROR(INDEX($A4086:$AB4086,MATCH("Xero Invoice No",$A$1:$AB$1,0)),"")&amp;""&lt;&gt;"",ISNUMBER(AE4086),AD4086&lt;&gt;0),1,0)</f>
        <v/>
      </c>
      <c r="AG4086" s="55">
        <f>IF(AF4086=1,EOMONTH(AE4086,0),"")</f>
        <v/>
      </c>
      <c r="AH4086" s="9">
        <f>IF(AF4086=1,UPPER(TRIM(IFERROR(INDEX($A4086:$AB4086,MATCH("Client",$A$1:$AB$1,0)),"")&amp;"")),"")</f>
        <v/>
      </c>
      <c r="AI4086" s="9">
        <f>IF(AF4086=1,IFERROR(INDEX($A4086:$AB4086,MATCH("Cost Centre",$A$1:$AB$1,0)),"")&amp;"","")</f>
        <v/>
      </c>
      <c r="AJ4086" s="54">
        <f>IF(AND(AF4086=1,AE4086&gt;=set_FYStart,AE4086&lt;=set_AsAt),1,0)</f>
        <v/>
      </c>
      <c r="AK4086" s="54">
        <f>IF(AND(AJ4086=1,AH4086&lt;&gt;"",COUNTIFS($AH$2:AH4086,AH4086,$AJ$2:AJ4086,1)=1),N(AL4085)+1,"")</f>
        <v/>
      </c>
      <c r="AL4086" s="54">
        <f>IF(AK4086&lt;&gt;"",AK4086,N(AL4085))</f>
        <v/>
      </c>
    </row>
    <row r="4087">
      <c r="A4087" t="inlineStr">
        <is>
          <t>CON-1362</t>
        </is>
      </c>
      <c r="B4087" t="inlineStr">
        <is>
          <t>Consulting</t>
        </is>
      </c>
      <c r="AB4087" t="n">
        <v>1362</v>
      </c>
      <c r="AD4087" s="52">
        <f>IFERROR(N(IFERROR(INDEX($A4087:$AB4087,MATCH("Xero Invoiced Ex GST",$A$1:$AB$1,0)),"")),0)</f>
        <v/>
      </c>
      <c r="AE4087" s="53">
        <f>IFERROR(INDEX($A4087:$AB4087,MATCH("Xero Invoice Date",$A$1:$AB$1,0)),"")</f>
        <v/>
      </c>
      <c r="AF4087" s="54">
        <f>IF(AND(IFERROR(INDEX($A4087:$AB4087,MATCH("Xero Invoice No",$A$1:$AB$1,0)),"")&amp;""&lt;&gt;"",ISNUMBER(AE4087),AD4087&lt;&gt;0),1,0)</f>
        <v/>
      </c>
      <c r="AG4087" s="55">
        <f>IF(AF4087=1,EOMONTH(AE4087,0),"")</f>
        <v/>
      </c>
      <c r="AH4087" s="9">
        <f>IF(AF4087=1,UPPER(TRIM(IFERROR(INDEX($A4087:$AB4087,MATCH("Client",$A$1:$AB$1,0)),"")&amp;"")),"")</f>
        <v/>
      </c>
      <c r="AI4087" s="9">
        <f>IF(AF4087=1,IFERROR(INDEX($A4087:$AB4087,MATCH("Cost Centre",$A$1:$AB$1,0)),"")&amp;"","")</f>
        <v/>
      </c>
      <c r="AJ4087" s="54">
        <f>IF(AND(AF4087=1,AE4087&gt;=set_FYStart,AE4087&lt;=set_AsAt),1,0)</f>
        <v/>
      </c>
      <c r="AK4087" s="54">
        <f>IF(AND(AJ4087=1,AH4087&lt;&gt;"",COUNTIFS($AH$2:AH4087,AH4087,$AJ$2:AJ4087,1)=1),N(AL4086)+1,"")</f>
        <v/>
      </c>
      <c r="AL4087" s="54">
        <f>IF(AK4087&lt;&gt;"",AK4087,N(AL4086))</f>
        <v/>
      </c>
    </row>
    <row r="4088">
      <c r="A4088" t="inlineStr">
        <is>
          <t>ONS-1363</t>
        </is>
      </c>
      <c r="B4088" t="inlineStr">
        <is>
          <t>Onsite</t>
        </is>
      </c>
      <c r="AB4088" t="n">
        <v>1363</v>
      </c>
      <c r="AD4088" s="52">
        <f>IFERROR(N(IFERROR(INDEX($A4088:$AB4088,MATCH("Xero Invoiced Ex GST",$A$1:$AB$1,0)),"")),0)</f>
        <v/>
      </c>
      <c r="AE4088" s="53">
        <f>IFERROR(INDEX($A4088:$AB4088,MATCH("Xero Invoice Date",$A$1:$AB$1,0)),"")</f>
        <v/>
      </c>
      <c r="AF4088" s="54">
        <f>IF(AND(IFERROR(INDEX($A4088:$AB4088,MATCH("Xero Invoice No",$A$1:$AB$1,0)),"")&amp;""&lt;&gt;"",ISNUMBER(AE4088),AD4088&lt;&gt;0),1,0)</f>
        <v/>
      </c>
      <c r="AG4088" s="55">
        <f>IF(AF4088=1,EOMONTH(AE4088,0),"")</f>
        <v/>
      </c>
      <c r="AH4088" s="9">
        <f>IF(AF4088=1,UPPER(TRIM(IFERROR(INDEX($A4088:$AB4088,MATCH("Client",$A$1:$AB$1,0)),"")&amp;"")),"")</f>
        <v/>
      </c>
      <c r="AI4088" s="9">
        <f>IF(AF4088=1,IFERROR(INDEX($A4088:$AB4088,MATCH("Cost Centre",$A$1:$AB$1,0)),"")&amp;"","")</f>
        <v/>
      </c>
      <c r="AJ4088" s="54">
        <f>IF(AND(AF4088=1,AE4088&gt;=set_FYStart,AE4088&lt;=set_AsAt),1,0)</f>
        <v/>
      </c>
      <c r="AK4088" s="54">
        <f>IF(AND(AJ4088=1,AH4088&lt;&gt;"",COUNTIFS($AH$2:AH4088,AH4088,$AJ$2:AJ4088,1)=1),N(AL4087)+1,"")</f>
        <v/>
      </c>
      <c r="AL4088" s="54">
        <f>IF(AK4088&lt;&gt;"",AK4088,N(AL4087))</f>
        <v/>
      </c>
    </row>
    <row r="4089">
      <c r="A4089" t="inlineStr">
        <is>
          <t>PRD-1363</t>
        </is>
      </c>
      <c r="B4089" t="inlineStr">
        <is>
          <t>Production</t>
        </is>
      </c>
      <c r="AB4089" t="n">
        <v>1363</v>
      </c>
      <c r="AD4089" s="52">
        <f>IFERROR(N(IFERROR(INDEX($A4089:$AB4089,MATCH("Xero Invoiced Ex GST",$A$1:$AB$1,0)),"")),0)</f>
        <v/>
      </c>
      <c r="AE4089" s="53">
        <f>IFERROR(INDEX($A4089:$AB4089,MATCH("Xero Invoice Date",$A$1:$AB$1,0)),"")</f>
        <v/>
      </c>
      <c r="AF4089" s="54">
        <f>IF(AND(IFERROR(INDEX($A4089:$AB4089,MATCH("Xero Invoice No",$A$1:$AB$1,0)),"")&amp;""&lt;&gt;"",ISNUMBER(AE4089),AD4089&lt;&gt;0),1,0)</f>
        <v/>
      </c>
      <c r="AG4089" s="55">
        <f>IF(AF4089=1,EOMONTH(AE4089,0),"")</f>
        <v/>
      </c>
      <c r="AH4089" s="9">
        <f>IF(AF4089=1,UPPER(TRIM(IFERROR(INDEX($A4089:$AB4089,MATCH("Client",$A$1:$AB$1,0)),"")&amp;"")),"")</f>
        <v/>
      </c>
      <c r="AI4089" s="9">
        <f>IF(AF4089=1,IFERROR(INDEX($A4089:$AB4089,MATCH("Cost Centre",$A$1:$AB$1,0)),"")&amp;"","")</f>
        <v/>
      </c>
      <c r="AJ4089" s="54">
        <f>IF(AND(AF4089=1,AE4089&gt;=set_FYStart,AE4089&lt;=set_AsAt),1,0)</f>
        <v/>
      </c>
      <c r="AK4089" s="54">
        <f>IF(AND(AJ4089=1,AH4089&lt;&gt;"",COUNTIFS($AH$2:AH4089,AH4089,$AJ$2:AJ4089,1)=1),N(AL4088)+1,"")</f>
        <v/>
      </c>
      <c r="AL4089" s="54">
        <f>IF(AK4089&lt;&gt;"",AK4089,N(AL4088))</f>
        <v/>
      </c>
    </row>
    <row r="4090">
      <c r="A4090" t="inlineStr">
        <is>
          <t>CON-1363</t>
        </is>
      </c>
      <c r="B4090" t="inlineStr">
        <is>
          <t>Consulting</t>
        </is>
      </c>
      <c r="AB4090" t="n">
        <v>1363</v>
      </c>
      <c r="AD4090" s="52">
        <f>IFERROR(N(IFERROR(INDEX($A4090:$AB4090,MATCH("Xero Invoiced Ex GST",$A$1:$AB$1,0)),"")),0)</f>
        <v/>
      </c>
      <c r="AE4090" s="53">
        <f>IFERROR(INDEX($A4090:$AB4090,MATCH("Xero Invoice Date",$A$1:$AB$1,0)),"")</f>
        <v/>
      </c>
      <c r="AF4090" s="54">
        <f>IF(AND(IFERROR(INDEX($A4090:$AB4090,MATCH("Xero Invoice No",$A$1:$AB$1,0)),"")&amp;""&lt;&gt;"",ISNUMBER(AE4090),AD4090&lt;&gt;0),1,0)</f>
        <v/>
      </c>
      <c r="AG4090" s="55">
        <f>IF(AF4090=1,EOMONTH(AE4090,0),"")</f>
        <v/>
      </c>
      <c r="AH4090" s="9">
        <f>IF(AF4090=1,UPPER(TRIM(IFERROR(INDEX($A4090:$AB4090,MATCH("Client",$A$1:$AB$1,0)),"")&amp;"")),"")</f>
        <v/>
      </c>
      <c r="AI4090" s="9">
        <f>IF(AF4090=1,IFERROR(INDEX($A4090:$AB4090,MATCH("Cost Centre",$A$1:$AB$1,0)),"")&amp;"","")</f>
        <v/>
      </c>
      <c r="AJ4090" s="54">
        <f>IF(AND(AF4090=1,AE4090&gt;=set_FYStart,AE4090&lt;=set_AsAt),1,0)</f>
        <v/>
      </c>
      <c r="AK4090" s="54">
        <f>IF(AND(AJ4090=1,AH4090&lt;&gt;"",COUNTIFS($AH$2:AH4090,AH4090,$AJ$2:AJ4090,1)=1),N(AL4089)+1,"")</f>
        <v/>
      </c>
      <c r="AL4090" s="54">
        <f>IF(AK4090&lt;&gt;"",AK4090,N(AL4089))</f>
        <v/>
      </c>
    </row>
    <row r="4091">
      <c r="A4091" t="inlineStr">
        <is>
          <t>ONS-1364</t>
        </is>
      </c>
      <c r="B4091" t="inlineStr">
        <is>
          <t>Onsite</t>
        </is>
      </c>
      <c r="AB4091" t="n">
        <v>1364</v>
      </c>
      <c r="AD4091" s="52">
        <f>IFERROR(N(IFERROR(INDEX($A4091:$AB4091,MATCH("Xero Invoiced Ex GST",$A$1:$AB$1,0)),"")),0)</f>
        <v/>
      </c>
      <c r="AE4091" s="53">
        <f>IFERROR(INDEX($A4091:$AB4091,MATCH("Xero Invoice Date",$A$1:$AB$1,0)),"")</f>
        <v/>
      </c>
      <c r="AF4091" s="54">
        <f>IF(AND(IFERROR(INDEX($A4091:$AB4091,MATCH("Xero Invoice No",$A$1:$AB$1,0)),"")&amp;""&lt;&gt;"",ISNUMBER(AE4091),AD4091&lt;&gt;0),1,0)</f>
        <v/>
      </c>
      <c r="AG4091" s="55">
        <f>IF(AF4091=1,EOMONTH(AE4091,0),"")</f>
        <v/>
      </c>
      <c r="AH4091" s="9">
        <f>IF(AF4091=1,UPPER(TRIM(IFERROR(INDEX($A4091:$AB4091,MATCH("Client",$A$1:$AB$1,0)),"")&amp;"")),"")</f>
        <v/>
      </c>
      <c r="AI4091" s="9">
        <f>IF(AF4091=1,IFERROR(INDEX($A4091:$AB4091,MATCH("Cost Centre",$A$1:$AB$1,0)),"")&amp;"","")</f>
        <v/>
      </c>
      <c r="AJ4091" s="54">
        <f>IF(AND(AF4091=1,AE4091&gt;=set_FYStart,AE4091&lt;=set_AsAt),1,0)</f>
        <v/>
      </c>
      <c r="AK4091" s="54">
        <f>IF(AND(AJ4091=1,AH4091&lt;&gt;"",COUNTIFS($AH$2:AH4091,AH4091,$AJ$2:AJ4091,1)=1),N(AL4090)+1,"")</f>
        <v/>
      </c>
      <c r="AL4091" s="54">
        <f>IF(AK4091&lt;&gt;"",AK4091,N(AL4090))</f>
        <v/>
      </c>
    </row>
    <row r="4092">
      <c r="A4092" t="inlineStr">
        <is>
          <t>PRD-1364</t>
        </is>
      </c>
      <c r="B4092" t="inlineStr">
        <is>
          <t>Production</t>
        </is>
      </c>
      <c r="AB4092" t="n">
        <v>1364</v>
      </c>
      <c r="AD4092" s="52">
        <f>IFERROR(N(IFERROR(INDEX($A4092:$AB4092,MATCH("Xero Invoiced Ex GST",$A$1:$AB$1,0)),"")),0)</f>
        <v/>
      </c>
      <c r="AE4092" s="53">
        <f>IFERROR(INDEX($A4092:$AB4092,MATCH("Xero Invoice Date",$A$1:$AB$1,0)),"")</f>
        <v/>
      </c>
      <c r="AF4092" s="54">
        <f>IF(AND(IFERROR(INDEX($A4092:$AB4092,MATCH("Xero Invoice No",$A$1:$AB$1,0)),"")&amp;""&lt;&gt;"",ISNUMBER(AE4092),AD4092&lt;&gt;0),1,0)</f>
        <v/>
      </c>
      <c r="AG4092" s="55">
        <f>IF(AF4092=1,EOMONTH(AE4092,0),"")</f>
        <v/>
      </c>
      <c r="AH4092" s="9">
        <f>IF(AF4092=1,UPPER(TRIM(IFERROR(INDEX($A4092:$AB4092,MATCH("Client",$A$1:$AB$1,0)),"")&amp;"")),"")</f>
        <v/>
      </c>
      <c r="AI4092" s="9">
        <f>IF(AF4092=1,IFERROR(INDEX($A4092:$AB4092,MATCH("Cost Centre",$A$1:$AB$1,0)),"")&amp;"","")</f>
        <v/>
      </c>
      <c r="AJ4092" s="54">
        <f>IF(AND(AF4092=1,AE4092&gt;=set_FYStart,AE4092&lt;=set_AsAt),1,0)</f>
        <v/>
      </c>
      <c r="AK4092" s="54">
        <f>IF(AND(AJ4092=1,AH4092&lt;&gt;"",COUNTIFS($AH$2:AH4092,AH4092,$AJ$2:AJ4092,1)=1),N(AL4091)+1,"")</f>
        <v/>
      </c>
      <c r="AL4092" s="54">
        <f>IF(AK4092&lt;&gt;"",AK4092,N(AL4091))</f>
        <v/>
      </c>
    </row>
    <row r="4093">
      <c r="A4093" t="inlineStr">
        <is>
          <t>CON-1364</t>
        </is>
      </c>
      <c r="B4093" t="inlineStr">
        <is>
          <t>Consulting</t>
        </is>
      </c>
      <c r="AB4093" t="n">
        <v>1364</v>
      </c>
      <c r="AD4093" s="52">
        <f>IFERROR(N(IFERROR(INDEX($A4093:$AB4093,MATCH("Xero Invoiced Ex GST",$A$1:$AB$1,0)),"")),0)</f>
        <v/>
      </c>
      <c r="AE4093" s="53">
        <f>IFERROR(INDEX($A4093:$AB4093,MATCH("Xero Invoice Date",$A$1:$AB$1,0)),"")</f>
        <v/>
      </c>
      <c r="AF4093" s="54">
        <f>IF(AND(IFERROR(INDEX($A4093:$AB4093,MATCH("Xero Invoice No",$A$1:$AB$1,0)),"")&amp;""&lt;&gt;"",ISNUMBER(AE4093),AD4093&lt;&gt;0),1,0)</f>
        <v/>
      </c>
      <c r="AG4093" s="55">
        <f>IF(AF4093=1,EOMONTH(AE4093,0),"")</f>
        <v/>
      </c>
      <c r="AH4093" s="9">
        <f>IF(AF4093=1,UPPER(TRIM(IFERROR(INDEX($A4093:$AB4093,MATCH("Client",$A$1:$AB$1,0)),"")&amp;"")),"")</f>
        <v/>
      </c>
      <c r="AI4093" s="9">
        <f>IF(AF4093=1,IFERROR(INDEX($A4093:$AB4093,MATCH("Cost Centre",$A$1:$AB$1,0)),"")&amp;"","")</f>
        <v/>
      </c>
      <c r="AJ4093" s="54">
        <f>IF(AND(AF4093=1,AE4093&gt;=set_FYStart,AE4093&lt;=set_AsAt),1,0)</f>
        <v/>
      </c>
      <c r="AK4093" s="54">
        <f>IF(AND(AJ4093=1,AH4093&lt;&gt;"",COUNTIFS($AH$2:AH4093,AH4093,$AJ$2:AJ4093,1)=1),N(AL4092)+1,"")</f>
        <v/>
      </c>
      <c r="AL4093" s="54">
        <f>IF(AK4093&lt;&gt;"",AK4093,N(AL4092))</f>
        <v/>
      </c>
    </row>
    <row r="4094">
      <c r="A4094" t="inlineStr">
        <is>
          <t>ONS-1365</t>
        </is>
      </c>
      <c r="B4094" t="inlineStr">
        <is>
          <t>Onsite</t>
        </is>
      </c>
      <c r="AB4094" t="n">
        <v>1365</v>
      </c>
      <c r="AD4094" s="52">
        <f>IFERROR(N(IFERROR(INDEX($A4094:$AB4094,MATCH("Xero Invoiced Ex GST",$A$1:$AB$1,0)),"")),0)</f>
        <v/>
      </c>
      <c r="AE4094" s="53">
        <f>IFERROR(INDEX($A4094:$AB4094,MATCH("Xero Invoice Date",$A$1:$AB$1,0)),"")</f>
        <v/>
      </c>
      <c r="AF4094" s="54">
        <f>IF(AND(IFERROR(INDEX($A4094:$AB4094,MATCH("Xero Invoice No",$A$1:$AB$1,0)),"")&amp;""&lt;&gt;"",ISNUMBER(AE4094),AD4094&lt;&gt;0),1,0)</f>
        <v/>
      </c>
      <c r="AG4094" s="55">
        <f>IF(AF4094=1,EOMONTH(AE4094,0),"")</f>
        <v/>
      </c>
      <c r="AH4094" s="9">
        <f>IF(AF4094=1,UPPER(TRIM(IFERROR(INDEX($A4094:$AB4094,MATCH("Client",$A$1:$AB$1,0)),"")&amp;"")),"")</f>
        <v/>
      </c>
      <c r="AI4094" s="9">
        <f>IF(AF4094=1,IFERROR(INDEX($A4094:$AB4094,MATCH("Cost Centre",$A$1:$AB$1,0)),"")&amp;"","")</f>
        <v/>
      </c>
      <c r="AJ4094" s="54">
        <f>IF(AND(AF4094=1,AE4094&gt;=set_FYStart,AE4094&lt;=set_AsAt),1,0)</f>
        <v/>
      </c>
      <c r="AK4094" s="54">
        <f>IF(AND(AJ4094=1,AH4094&lt;&gt;"",COUNTIFS($AH$2:AH4094,AH4094,$AJ$2:AJ4094,1)=1),N(AL4093)+1,"")</f>
        <v/>
      </c>
      <c r="AL4094" s="54">
        <f>IF(AK4094&lt;&gt;"",AK4094,N(AL4093))</f>
        <v/>
      </c>
    </row>
    <row r="4095">
      <c r="A4095" t="inlineStr">
        <is>
          <t>PRD-1365</t>
        </is>
      </c>
      <c r="B4095" t="inlineStr">
        <is>
          <t>Production</t>
        </is>
      </c>
      <c r="AB4095" t="n">
        <v>1365</v>
      </c>
      <c r="AD4095" s="52">
        <f>IFERROR(N(IFERROR(INDEX($A4095:$AB4095,MATCH("Xero Invoiced Ex GST",$A$1:$AB$1,0)),"")),0)</f>
        <v/>
      </c>
      <c r="AE4095" s="53">
        <f>IFERROR(INDEX($A4095:$AB4095,MATCH("Xero Invoice Date",$A$1:$AB$1,0)),"")</f>
        <v/>
      </c>
      <c r="AF4095" s="54">
        <f>IF(AND(IFERROR(INDEX($A4095:$AB4095,MATCH("Xero Invoice No",$A$1:$AB$1,0)),"")&amp;""&lt;&gt;"",ISNUMBER(AE4095),AD4095&lt;&gt;0),1,0)</f>
        <v/>
      </c>
      <c r="AG4095" s="55">
        <f>IF(AF4095=1,EOMONTH(AE4095,0),"")</f>
        <v/>
      </c>
      <c r="AH4095" s="9">
        <f>IF(AF4095=1,UPPER(TRIM(IFERROR(INDEX($A4095:$AB4095,MATCH("Client",$A$1:$AB$1,0)),"")&amp;"")),"")</f>
        <v/>
      </c>
      <c r="AI4095" s="9">
        <f>IF(AF4095=1,IFERROR(INDEX($A4095:$AB4095,MATCH("Cost Centre",$A$1:$AB$1,0)),"")&amp;"","")</f>
        <v/>
      </c>
      <c r="AJ4095" s="54">
        <f>IF(AND(AF4095=1,AE4095&gt;=set_FYStart,AE4095&lt;=set_AsAt),1,0)</f>
        <v/>
      </c>
      <c r="AK4095" s="54">
        <f>IF(AND(AJ4095=1,AH4095&lt;&gt;"",COUNTIFS($AH$2:AH4095,AH4095,$AJ$2:AJ4095,1)=1),N(AL4094)+1,"")</f>
        <v/>
      </c>
      <c r="AL4095" s="54">
        <f>IF(AK4095&lt;&gt;"",AK4095,N(AL4094))</f>
        <v/>
      </c>
    </row>
    <row r="4096">
      <c r="A4096" t="inlineStr">
        <is>
          <t>CON-1365</t>
        </is>
      </c>
      <c r="B4096" t="inlineStr">
        <is>
          <t>Consulting</t>
        </is>
      </c>
      <c r="AB4096" t="n">
        <v>1365</v>
      </c>
      <c r="AD4096" s="52">
        <f>IFERROR(N(IFERROR(INDEX($A4096:$AB4096,MATCH("Xero Invoiced Ex GST",$A$1:$AB$1,0)),"")),0)</f>
        <v/>
      </c>
      <c r="AE4096" s="53">
        <f>IFERROR(INDEX($A4096:$AB4096,MATCH("Xero Invoice Date",$A$1:$AB$1,0)),"")</f>
        <v/>
      </c>
      <c r="AF4096" s="54">
        <f>IF(AND(IFERROR(INDEX($A4096:$AB4096,MATCH("Xero Invoice No",$A$1:$AB$1,0)),"")&amp;""&lt;&gt;"",ISNUMBER(AE4096),AD4096&lt;&gt;0),1,0)</f>
        <v/>
      </c>
      <c r="AG4096" s="55">
        <f>IF(AF4096=1,EOMONTH(AE4096,0),"")</f>
        <v/>
      </c>
      <c r="AH4096" s="9">
        <f>IF(AF4096=1,UPPER(TRIM(IFERROR(INDEX($A4096:$AB4096,MATCH("Client",$A$1:$AB$1,0)),"")&amp;"")),"")</f>
        <v/>
      </c>
      <c r="AI4096" s="9">
        <f>IF(AF4096=1,IFERROR(INDEX($A4096:$AB4096,MATCH("Cost Centre",$A$1:$AB$1,0)),"")&amp;"","")</f>
        <v/>
      </c>
      <c r="AJ4096" s="54">
        <f>IF(AND(AF4096=1,AE4096&gt;=set_FYStart,AE4096&lt;=set_AsAt),1,0)</f>
        <v/>
      </c>
      <c r="AK4096" s="54">
        <f>IF(AND(AJ4096=1,AH4096&lt;&gt;"",COUNTIFS($AH$2:AH4096,AH4096,$AJ$2:AJ4096,1)=1),N(AL4095)+1,"")</f>
        <v/>
      </c>
      <c r="AL4096" s="54">
        <f>IF(AK4096&lt;&gt;"",AK4096,N(AL4095))</f>
        <v/>
      </c>
    </row>
    <row r="4097">
      <c r="A4097" t="inlineStr">
        <is>
          <t>ONS-1366</t>
        </is>
      </c>
      <c r="B4097" t="inlineStr">
        <is>
          <t>Onsite</t>
        </is>
      </c>
      <c r="AB4097" t="n">
        <v>1366</v>
      </c>
      <c r="AD4097" s="52">
        <f>IFERROR(N(IFERROR(INDEX($A4097:$AB4097,MATCH("Xero Invoiced Ex GST",$A$1:$AB$1,0)),"")),0)</f>
        <v/>
      </c>
      <c r="AE4097" s="53">
        <f>IFERROR(INDEX($A4097:$AB4097,MATCH("Xero Invoice Date",$A$1:$AB$1,0)),"")</f>
        <v/>
      </c>
      <c r="AF4097" s="54">
        <f>IF(AND(IFERROR(INDEX($A4097:$AB4097,MATCH("Xero Invoice No",$A$1:$AB$1,0)),"")&amp;""&lt;&gt;"",ISNUMBER(AE4097),AD4097&lt;&gt;0),1,0)</f>
        <v/>
      </c>
      <c r="AG4097" s="55">
        <f>IF(AF4097=1,EOMONTH(AE4097,0),"")</f>
        <v/>
      </c>
      <c r="AH4097" s="9">
        <f>IF(AF4097=1,UPPER(TRIM(IFERROR(INDEX($A4097:$AB4097,MATCH("Client",$A$1:$AB$1,0)),"")&amp;"")),"")</f>
        <v/>
      </c>
      <c r="AI4097" s="9">
        <f>IF(AF4097=1,IFERROR(INDEX($A4097:$AB4097,MATCH("Cost Centre",$A$1:$AB$1,0)),"")&amp;"","")</f>
        <v/>
      </c>
      <c r="AJ4097" s="54">
        <f>IF(AND(AF4097=1,AE4097&gt;=set_FYStart,AE4097&lt;=set_AsAt),1,0)</f>
        <v/>
      </c>
      <c r="AK4097" s="54">
        <f>IF(AND(AJ4097=1,AH4097&lt;&gt;"",COUNTIFS($AH$2:AH4097,AH4097,$AJ$2:AJ4097,1)=1),N(AL4096)+1,"")</f>
        <v/>
      </c>
      <c r="AL4097" s="54">
        <f>IF(AK4097&lt;&gt;"",AK4097,N(AL4096))</f>
        <v/>
      </c>
    </row>
    <row r="4098">
      <c r="A4098" t="inlineStr">
        <is>
          <t>PRD-1366</t>
        </is>
      </c>
      <c r="B4098" t="inlineStr">
        <is>
          <t>Production</t>
        </is>
      </c>
      <c r="AB4098" t="n">
        <v>1366</v>
      </c>
      <c r="AD4098" s="52">
        <f>IFERROR(N(IFERROR(INDEX($A4098:$AB4098,MATCH("Xero Invoiced Ex GST",$A$1:$AB$1,0)),"")),0)</f>
        <v/>
      </c>
      <c r="AE4098" s="53">
        <f>IFERROR(INDEX($A4098:$AB4098,MATCH("Xero Invoice Date",$A$1:$AB$1,0)),"")</f>
        <v/>
      </c>
      <c r="AF4098" s="54">
        <f>IF(AND(IFERROR(INDEX($A4098:$AB4098,MATCH("Xero Invoice No",$A$1:$AB$1,0)),"")&amp;""&lt;&gt;"",ISNUMBER(AE4098),AD4098&lt;&gt;0),1,0)</f>
        <v/>
      </c>
      <c r="AG4098" s="55">
        <f>IF(AF4098=1,EOMONTH(AE4098,0),"")</f>
        <v/>
      </c>
      <c r="AH4098" s="9">
        <f>IF(AF4098=1,UPPER(TRIM(IFERROR(INDEX($A4098:$AB4098,MATCH("Client",$A$1:$AB$1,0)),"")&amp;"")),"")</f>
        <v/>
      </c>
      <c r="AI4098" s="9">
        <f>IF(AF4098=1,IFERROR(INDEX($A4098:$AB4098,MATCH("Cost Centre",$A$1:$AB$1,0)),"")&amp;"","")</f>
        <v/>
      </c>
      <c r="AJ4098" s="54">
        <f>IF(AND(AF4098=1,AE4098&gt;=set_FYStart,AE4098&lt;=set_AsAt),1,0)</f>
        <v/>
      </c>
      <c r="AK4098" s="54">
        <f>IF(AND(AJ4098=1,AH4098&lt;&gt;"",COUNTIFS($AH$2:AH4098,AH4098,$AJ$2:AJ4098,1)=1),N(AL4097)+1,"")</f>
        <v/>
      </c>
      <c r="AL4098" s="54">
        <f>IF(AK4098&lt;&gt;"",AK4098,N(AL4097))</f>
        <v/>
      </c>
    </row>
    <row r="4099">
      <c r="A4099" t="inlineStr">
        <is>
          <t>CON-1366</t>
        </is>
      </c>
      <c r="B4099" t="inlineStr">
        <is>
          <t>Consulting</t>
        </is>
      </c>
      <c r="AB4099" t="n">
        <v>1366</v>
      </c>
      <c r="AD4099" s="52">
        <f>IFERROR(N(IFERROR(INDEX($A4099:$AB4099,MATCH("Xero Invoiced Ex GST",$A$1:$AB$1,0)),"")),0)</f>
        <v/>
      </c>
      <c r="AE4099" s="53">
        <f>IFERROR(INDEX($A4099:$AB4099,MATCH("Xero Invoice Date",$A$1:$AB$1,0)),"")</f>
        <v/>
      </c>
      <c r="AF4099" s="54">
        <f>IF(AND(IFERROR(INDEX($A4099:$AB4099,MATCH("Xero Invoice No",$A$1:$AB$1,0)),"")&amp;""&lt;&gt;"",ISNUMBER(AE4099),AD4099&lt;&gt;0),1,0)</f>
        <v/>
      </c>
      <c r="AG4099" s="55">
        <f>IF(AF4099=1,EOMONTH(AE4099,0),"")</f>
        <v/>
      </c>
      <c r="AH4099" s="9">
        <f>IF(AF4099=1,UPPER(TRIM(IFERROR(INDEX($A4099:$AB4099,MATCH("Client",$A$1:$AB$1,0)),"")&amp;"")),"")</f>
        <v/>
      </c>
      <c r="AI4099" s="9">
        <f>IF(AF4099=1,IFERROR(INDEX($A4099:$AB4099,MATCH("Cost Centre",$A$1:$AB$1,0)),"")&amp;"","")</f>
        <v/>
      </c>
      <c r="AJ4099" s="54">
        <f>IF(AND(AF4099=1,AE4099&gt;=set_FYStart,AE4099&lt;=set_AsAt),1,0)</f>
        <v/>
      </c>
      <c r="AK4099" s="54">
        <f>IF(AND(AJ4099=1,AH4099&lt;&gt;"",COUNTIFS($AH$2:AH4099,AH4099,$AJ$2:AJ4099,1)=1),N(AL4098)+1,"")</f>
        <v/>
      </c>
      <c r="AL4099" s="54">
        <f>IF(AK4099&lt;&gt;"",AK4099,N(AL4098))</f>
        <v/>
      </c>
    </row>
    <row r="4100">
      <c r="A4100" t="inlineStr">
        <is>
          <t>ONS-1367</t>
        </is>
      </c>
      <c r="B4100" t="inlineStr">
        <is>
          <t>Onsite</t>
        </is>
      </c>
      <c r="AB4100" t="n">
        <v>1367</v>
      </c>
      <c r="AD4100" s="52">
        <f>IFERROR(N(IFERROR(INDEX($A4100:$AB4100,MATCH("Xero Invoiced Ex GST",$A$1:$AB$1,0)),"")),0)</f>
        <v/>
      </c>
      <c r="AE4100" s="53">
        <f>IFERROR(INDEX($A4100:$AB4100,MATCH("Xero Invoice Date",$A$1:$AB$1,0)),"")</f>
        <v/>
      </c>
      <c r="AF4100" s="54">
        <f>IF(AND(IFERROR(INDEX($A4100:$AB4100,MATCH("Xero Invoice No",$A$1:$AB$1,0)),"")&amp;""&lt;&gt;"",ISNUMBER(AE4100),AD4100&lt;&gt;0),1,0)</f>
        <v/>
      </c>
      <c r="AG4100" s="55">
        <f>IF(AF4100=1,EOMONTH(AE4100,0),"")</f>
        <v/>
      </c>
      <c r="AH4100" s="9">
        <f>IF(AF4100=1,UPPER(TRIM(IFERROR(INDEX($A4100:$AB4100,MATCH("Client",$A$1:$AB$1,0)),"")&amp;"")),"")</f>
        <v/>
      </c>
      <c r="AI4100" s="9">
        <f>IF(AF4100=1,IFERROR(INDEX($A4100:$AB4100,MATCH("Cost Centre",$A$1:$AB$1,0)),"")&amp;"","")</f>
        <v/>
      </c>
      <c r="AJ4100" s="54">
        <f>IF(AND(AF4100=1,AE4100&gt;=set_FYStart,AE4100&lt;=set_AsAt),1,0)</f>
        <v/>
      </c>
      <c r="AK4100" s="54">
        <f>IF(AND(AJ4100=1,AH4100&lt;&gt;"",COUNTIFS($AH$2:AH4100,AH4100,$AJ$2:AJ4100,1)=1),N(AL4099)+1,"")</f>
        <v/>
      </c>
      <c r="AL4100" s="54">
        <f>IF(AK4100&lt;&gt;"",AK4100,N(AL4099))</f>
        <v/>
      </c>
    </row>
    <row r="4101">
      <c r="A4101" t="inlineStr">
        <is>
          <t>PRD-1367</t>
        </is>
      </c>
      <c r="B4101" t="inlineStr">
        <is>
          <t>Production</t>
        </is>
      </c>
      <c r="AB4101" t="n">
        <v>1367</v>
      </c>
      <c r="AD4101" s="52">
        <f>IFERROR(N(IFERROR(INDEX($A4101:$AB4101,MATCH("Xero Invoiced Ex GST",$A$1:$AB$1,0)),"")),0)</f>
        <v/>
      </c>
      <c r="AE4101" s="53">
        <f>IFERROR(INDEX($A4101:$AB4101,MATCH("Xero Invoice Date",$A$1:$AB$1,0)),"")</f>
        <v/>
      </c>
      <c r="AF4101" s="54">
        <f>IF(AND(IFERROR(INDEX($A4101:$AB4101,MATCH("Xero Invoice No",$A$1:$AB$1,0)),"")&amp;""&lt;&gt;"",ISNUMBER(AE4101),AD4101&lt;&gt;0),1,0)</f>
        <v/>
      </c>
      <c r="AG4101" s="55">
        <f>IF(AF4101=1,EOMONTH(AE4101,0),"")</f>
        <v/>
      </c>
      <c r="AH4101" s="9">
        <f>IF(AF4101=1,UPPER(TRIM(IFERROR(INDEX($A4101:$AB4101,MATCH("Client",$A$1:$AB$1,0)),"")&amp;"")),"")</f>
        <v/>
      </c>
      <c r="AI4101" s="9">
        <f>IF(AF4101=1,IFERROR(INDEX($A4101:$AB4101,MATCH("Cost Centre",$A$1:$AB$1,0)),"")&amp;"","")</f>
        <v/>
      </c>
      <c r="AJ4101" s="54">
        <f>IF(AND(AF4101=1,AE4101&gt;=set_FYStart,AE4101&lt;=set_AsAt),1,0)</f>
        <v/>
      </c>
      <c r="AK4101" s="54">
        <f>IF(AND(AJ4101=1,AH4101&lt;&gt;"",COUNTIFS($AH$2:AH4101,AH4101,$AJ$2:AJ4101,1)=1),N(AL4100)+1,"")</f>
        <v/>
      </c>
      <c r="AL4101" s="54">
        <f>IF(AK4101&lt;&gt;"",AK4101,N(AL4100))</f>
        <v/>
      </c>
    </row>
    <row r="4102">
      <c r="A4102" t="inlineStr">
        <is>
          <t>CON-1367</t>
        </is>
      </c>
      <c r="B4102" t="inlineStr">
        <is>
          <t>Consulting</t>
        </is>
      </c>
      <c r="AB4102" t="n">
        <v>1367</v>
      </c>
      <c r="AD4102" s="52">
        <f>IFERROR(N(IFERROR(INDEX($A4102:$AB4102,MATCH("Xero Invoiced Ex GST",$A$1:$AB$1,0)),"")),0)</f>
        <v/>
      </c>
      <c r="AE4102" s="53">
        <f>IFERROR(INDEX($A4102:$AB4102,MATCH("Xero Invoice Date",$A$1:$AB$1,0)),"")</f>
        <v/>
      </c>
      <c r="AF4102" s="54">
        <f>IF(AND(IFERROR(INDEX($A4102:$AB4102,MATCH("Xero Invoice No",$A$1:$AB$1,0)),"")&amp;""&lt;&gt;"",ISNUMBER(AE4102),AD4102&lt;&gt;0),1,0)</f>
        <v/>
      </c>
      <c r="AG4102" s="55">
        <f>IF(AF4102=1,EOMONTH(AE4102,0),"")</f>
        <v/>
      </c>
      <c r="AH4102" s="9">
        <f>IF(AF4102=1,UPPER(TRIM(IFERROR(INDEX($A4102:$AB4102,MATCH("Client",$A$1:$AB$1,0)),"")&amp;"")),"")</f>
        <v/>
      </c>
      <c r="AI4102" s="9">
        <f>IF(AF4102=1,IFERROR(INDEX($A4102:$AB4102,MATCH("Cost Centre",$A$1:$AB$1,0)),"")&amp;"","")</f>
        <v/>
      </c>
      <c r="AJ4102" s="54">
        <f>IF(AND(AF4102=1,AE4102&gt;=set_FYStart,AE4102&lt;=set_AsAt),1,0)</f>
        <v/>
      </c>
      <c r="AK4102" s="54">
        <f>IF(AND(AJ4102=1,AH4102&lt;&gt;"",COUNTIFS($AH$2:AH4102,AH4102,$AJ$2:AJ4102,1)=1),N(AL4101)+1,"")</f>
        <v/>
      </c>
      <c r="AL4102" s="54">
        <f>IF(AK4102&lt;&gt;"",AK4102,N(AL4101))</f>
        <v/>
      </c>
    </row>
    <row r="4103">
      <c r="A4103" t="inlineStr">
        <is>
          <t>ONS-1368</t>
        </is>
      </c>
      <c r="B4103" t="inlineStr">
        <is>
          <t>Onsite</t>
        </is>
      </c>
      <c r="AB4103" t="n">
        <v>1368</v>
      </c>
      <c r="AD4103" s="52">
        <f>IFERROR(N(IFERROR(INDEX($A4103:$AB4103,MATCH("Xero Invoiced Ex GST",$A$1:$AB$1,0)),"")),0)</f>
        <v/>
      </c>
      <c r="AE4103" s="53">
        <f>IFERROR(INDEX($A4103:$AB4103,MATCH("Xero Invoice Date",$A$1:$AB$1,0)),"")</f>
        <v/>
      </c>
      <c r="AF4103" s="54">
        <f>IF(AND(IFERROR(INDEX($A4103:$AB4103,MATCH("Xero Invoice No",$A$1:$AB$1,0)),"")&amp;""&lt;&gt;"",ISNUMBER(AE4103),AD4103&lt;&gt;0),1,0)</f>
        <v/>
      </c>
      <c r="AG4103" s="55">
        <f>IF(AF4103=1,EOMONTH(AE4103,0),"")</f>
        <v/>
      </c>
      <c r="AH4103" s="9">
        <f>IF(AF4103=1,UPPER(TRIM(IFERROR(INDEX($A4103:$AB4103,MATCH("Client",$A$1:$AB$1,0)),"")&amp;"")),"")</f>
        <v/>
      </c>
      <c r="AI4103" s="9">
        <f>IF(AF4103=1,IFERROR(INDEX($A4103:$AB4103,MATCH("Cost Centre",$A$1:$AB$1,0)),"")&amp;"","")</f>
        <v/>
      </c>
      <c r="AJ4103" s="54">
        <f>IF(AND(AF4103=1,AE4103&gt;=set_FYStart,AE4103&lt;=set_AsAt),1,0)</f>
        <v/>
      </c>
      <c r="AK4103" s="54">
        <f>IF(AND(AJ4103=1,AH4103&lt;&gt;"",COUNTIFS($AH$2:AH4103,AH4103,$AJ$2:AJ4103,1)=1),N(AL4102)+1,"")</f>
        <v/>
      </c>
      <c r="AL4103" s="54">
        <f>IF(AK4103&lt;&gt;"",AK4103,N(AL4102))</f>
        <v/>
      </c>
    </row>
    <row r="4104">
      <c r="A4104" t="inlineStr">
        <is>
          <t>PRD-1368</t>
        </is>
      </c>
      <c r="B4104" t="inlineStr">
        <is>
          <t>Production</t>
        </is>
      </c>
      <c r="AB4104" t="n">
        <v>1368</v>
      </c>
      <c r="AD4104" s="52">
        <f>IFERROR(N(IFERROR(INDEX($A4104:$AB4104,MATCH("Xero Invoiced Ex GST",$A$1:$AB$1,0)),"")),0)</f>
        <v/>
      </c>
      <c r="AE4104" s="53">
        <f>IFERROR(INDEX($A4104:$AB4104,MATCH("Xero Invoice Date",$A$1:$AB$1,0)),"")</f>
        <v/>
      </c>
      <c r="AF4104" s="54">
        <f>IF(AND(IFERROR(INDEX($A4104:$AB4104,MATCH("Xero Invoice No",$A$1:$AB$1,0)),"")&amp;""&lt;&gt;"",ISNUMBER(AE4104),AD4104&lt;&gt;0),1,0)</f>
        <v/>
      </c>
      <c r="AG4104" s="55">
        <f>IF(AF4104=1,EOMONTH(AE4104,0),"")</f>
        <v/>
      </c>
      <c r="AH4104" s="9">
        <f>IF(AF4104=1,UPPER(TRIM(IFERROR(INDEX($A4104:$AB4104,MATCH("Client",$A$1:$AB$1,0)),"")&amp;"")),"")</f>
        <v/>
      </c>
      <c r="AI4104" s="9">
        <f>IF(AF4104=1,IFERROR(INDEX($A4104:$AB4104,MATCH("Cost Centre",$A$1:$AB$1,0)),"")&amp;"","")</f>
        <v/>
      </c>
      <c r="AJ4104" s="54">
        <f>IF(AND(AF4104=1,AE4104&gt;=set_FYStart,AE4104&lt;=set_AsAt),1,0)</f>
        <v/>
      </c>
      <c r="AK4104" s="54">
        <f>IF(AND(AJ4104=1,AH4104&lt;&gt;"",COUNTIFS($AH$2:AH4104,AH4104,$AJ$2:AJ4104,1)=1),N(AL4103)+1,"")</f>
        <v/>
      </c>
      <c r="AL4104" s="54">
        <f>IF(AK4104&lt;&gt;"",AK4104,N(AL4103))</f>
        <v/>
      </c>
    </row>
    <row r="4105">
      <c r="A4105" t="inlineStr">
        <is>
          <t>CON-1368</t>
        </is>
      </c>
      <c r="B4105" t="inlineStr">
        <is>
          <t>Consulting</t>
        </is>
      </c>
      <c r="AB4105" t="n">
        <v>1368</v>
      </c>
      <c r="AD4105" s="52">
        <f>IFERROR(N(IFERROR(INDEX($A4105:$AB4105,MATCH("Xero Invoiced Ex GST",$A$1:$AB$1,0)),"")),0)</f>
        <v/>
      </c>
      <c r="AE4105" s="53">
        <f>IFERROR(INDEX($A4105:$AB4105,MATCH("Xero Invoice Date",$A$1:$AB$1,0)),"")</f>
        <v/>
      </c>
      <c r="AF4105" s="54">
        <f>IF(AND(IFERROR(INDEX($A4105:$AB4105,MATCH("Xero Invoice No",$A$1:$AB$1,0)),"")&amp;""&lt;&gt;"",ISNUMBER(AE4105),AD4105&lt;&gt;0),1,0)</f>
        <v/>
      </c>
      <c r="AG4105" s="55">
        <f>IF(AF4105=1,EOMONTH(AE4105,0),"")</f>
        <v/>
      </c>
      <c r="AH4105" s="9">
        <f>IF(AF4105=1,UPPER(TRIM(IFERROR(INDEX($A4105:$AB4105,MATCH("Client",$A$1:$AB$1,0)),"")&amp;"")),"")</f>
        <v/>
      </c>
      <c r="AI4105" s="9">
        <f>IF(AF4105=1,IFERROR(INDEX($A4105:$AB4105,MATCH("Cost Centre",$A$1:$AB$1,0)),"")&amp;"","")</f>
        <v/>
      </c>
      <c r="AJ4105" s="54">
        <f>IF(AND(AF4105=1,AE4105&gt;=set_FYStart,AE4105&lt;=set_AsAt),1,0)</f>
        <v/>
      </c>
      <c r="AK4105" s="54">
        <f>IF(AND(AJ4105=1,AH4105&lt;&gt;"",COUNTIFS($AH$2:AH4105,AH4105,$AJ$2:AJ4105,1)=1),N(AL4104)+1,"")</f>
        <v/>
      </c>
      <c r="AL4105" s="54">
        <f>IF(AK4105&lt;&gt;"",AK4105,N(AL4104))</f>
        <v/>
      </c>
    </row>
    <row r="4106">
      <c r="A4106" t="inlineStr">
        <is>
          <t>ONS-1369</t>
        </is>
      </c>
      <c r="B4106" t="inlineStr">
        <is>
          <t>Onsite</t>
        </is>
      </c>
      <c r="AB4106" t="n">
        <v>1369</v>
      </c>
      <c r="AD4106" s="52">
        <f>IFERROR(N(IFERROR(INDEX($A4106:$AB4106,MATCH("Xero Invoiced Ex GST",$A$1:$AB$1,0)),"")),0)</f>
        <v/>
      </c>
      <c r="AE4106" s="53">
        <f>IFERROR(INDEX($A4106:$AB4106,MATCH("Xero Invoice Date",$A$1:$AB$1,0)),"")</f>
        <v/>
      </c>
      <c r="AF4106" s="54">
        <f>IF(AND(IFERROR(INDEX($A4106:$AB4106,MATCH("Xero Invoice No",$A$1:$AB$1,0)),"")&amp;""&lt;&gt;"",ISNUMBER(AE4106),AD4106&lt;&gt;0),1,0)</f>
        <v/>
      </c>
      <c r="AG4106" s="55">
        <f>IF(AF4106=1,EOMONTH(AE4106,0),"")</f>
        <v/>
      </c>
      <c r="AH4106" s="9">
        <f>IF(AF4106=1,UPPER(TRIM(IFERROR(INDEX($A4106:$AB4106,MATCH("Client",$A$1:$AB$1,0)),"")&amp;"")),"")</f>
        <v/>
      </c>
      <c r="AI4106" s="9">
        <f>IF(AF4106=1,IFERROR(INDEX($A4106:$AB4106,MATCH("Cost Centre",$A$1:$AB$1,0)),"")&amp;"","")</f>
        <v/>
      </c>
      <c r="AJ4106" s="54">
        <f>IF(AND(AF4106=1,AE4106&gt;=set_FYStart,AE4106&lt;=set_AsAt),1,0)</f>
        <v/>
      </c>
      <c r="AK4106" s="54">
        <f>IF(AND(AJ4106=1,AH4106&lt;&gt;"",COUNTIFS($AH$2:AH4106,AH4106,$AJ$2:AJ4106,1)=1),N(AL4105)+1,"")</f>
        <v/>
      </c>
      <c r="AL4106" s="54">
        <f>IF(AK4106&lt;&gt;"",AK4106,N(AL4105))</f>
        <v/>
      </c>
    </row>
    <row r="4107">
      <c r="A4107" t="inlineStr">
        <is>
          <t>PRD-1369</t>
        </is>
      </c>
      <c r="B4107" t="inlineStr">
        <is>
          <t>Production</t>
        </is>
      </c>
      <c r="AB4107" t="n">
        <v>1369</v>
      </c>
      <c r="AD4107" s="52">
        <f>IFERROR(N(IFERROR(INDEX($A4107:$AB4107,MATCH("Xero Invoiced Ex GST",$A$1:$AB$1,0)),"")),0)</f>
        <v/>
      </c>
      <c r="AE4107" s="53">
        <f>IFERROR(INDEX($A4107:$AB4107,MATCH("Xero Invoice Date",$A$1:$AB$1,0)),"")</f>
        <v/>
      </c>
      <c r="AF4107" s="54">
        <f>IF(AND(IFERROR(INDEX($A4107:$AB4107,MATCH("Xero Invoice No",$A$1:$AB$1,0)),"")&amp;""&lt;&gt;"",ISNUMBER(AE4107),AD4107&lt;&gt;0),1,0)</f>
        <v/>
      </c>
      <c r="AG4107" s="55">
        <f>IF(AF4107=1,EOMONTH(AE4107,0),"")</f>
        <v/>
      </c>
      <c r="AH4107" s="9">
        <f>IF(AF4107=1,UPPER(TRIM(IFERROR(INDEX($A4107:$AB4107,MATCH("Client",$A$1:$AB$1,0)),"")&amp;"")),"")</f>
        <v/>
      </c>
      <c r="AI4107" s="9">
        <f>IF(AF4107=1,IFERROR(INDEX($A4107:$AB4107,MATCH("Cost Centre",$A$1:$AB$1,0)),"")&amp;"","")</f>
        <v/>
      </c>
      <c r="AJ4107" s="54">
        <f>IF(AND(AF4107=1,AE4107&gt;=set_FYStart,AE4107&lt;=set_AsAt),1,0)</f>
        <v/>
      </c>
      <c r="AK4107" s="54">
        <f>IF(AND(AJ4107=1,AH4107&lt;&gt;"",COUNTIFS($AH$2:AH4107,AH4107,$AJ$2:AJ4107,1)=1),N(AL4106)+1,"")</f>
        <v/>
      </c>
      <c r="AL4107" s="54">
        <f>IF(AK4107&lt;&gt;"",AK4107,N(AL4106))</f>
        <v/>
      </c>
    </row>
    <row r="4108">
      <c r="A4108" t="inlineStr">
        <is>
          <t>CON-1369</t>
        </is>
      </c>
      <c r="B4108" t="inlineStr">
        <is>
          <t>Consulting</t>
        </is>
      </c>
      <c r="AB4108" t="n">
        <v>1369</v>
      </c>
      <c r="AD4108" s="52">
        <f>IFERROR(N(IFERROR(INDEX($A4108:$AB4108,MATCH("Xero Invoiced Ex GST",$A$1:$AB$1,0)),"")),0)</f>
        <v/>
      </c>
      <c r="AE4108" s="53">
        <f>IFERROR(INDEX($A4108:$AB4108,MATCH("Xero Invoice Date",$A$1:$AB$1,0)),"")</f>
        <v/>
      </c>
      <c r="AF4108" s="54">
        <f>IF(AND(IFERROR(INDEX($A4108:$AB4108,MATCH("Xero Invoice No",$A$1:$AB$1,0)),"")&amp;""&lt;&gt;"",ISNUMBER(AE4108),AD4108&lt;&gt;0),1,0)</f>
        <v/>
      </c>
      <c r="AG4108" s="55">
        <f>IF(AF4108=1,EOMONTH(AE4108,0),"")</f>
        <v/>
      </c>
      <c r="AH4108" s="9">
        <f>IF(AF4108=1,UPPER(TRIM(IFERROR(INDEX($A4108:$AB4108,MATCH("Client",$A$1:$AB$1,0)),"")&amp;"")),"")</f>
        <v/>
      </c>
      <c r="AI4108" s="9">
        <f>IF(AF4108=1,IFERROR(INDEX($A4108:$AB4108,MATCH("Cost Centre",$A$1:$AB$1,0)),"")&amp;"","")</f>
        <v/>
      </c>
      <c r="AJ4108" s="54">
        <f>IF(AND(AF4108=1,AE4108&gt;=set_FYStart,AE4108&lt;=set_AsAt),1,0)</f>
        <v/>
      </c>
      <c r="AK4108" s="54">
        <f>IF(AND(AJ4108=1,AH4108&lt;&gt;"",COUNTIFS($AH$2:AH4108,AH4108,$AJ$2:AJ4108,1)=1),N(AL4107)+1,"")</f>
        <v/>
      </c>
      <c r="AL4108" s="54">
        <f>IF(AK4108&lt;&gt;"",AK4108,N(AL4107))</f>
        <v/>
      </c>
    </row>
    <row r="4109">
      <c r="A4109" t="inlineStr">
        <is>
          <t>ONS-1370</t>
        </is>
      </c>
      <c r="B4109" t="inlineStr">
        <is>
          <t>Onsite</t>
        </is>
      </c>
      <c r="AB4109" t="n">
        <v>1370</v>
      </c>
      <c r="AD4109" s="52">
        <f>IFERROR(N(IFERROR(INDEX($A4109:$AB4109,MATCH("Xero Invoiced Ex GST",$A$1:$AB$1,0)),"")),0)</f>
        <v/>
      </c>
      <c r="AE4109" s="53">
        <f>IFERROR(INDEX($A4109:$AB4109,MATCH("Xero Invoice Date",$A$1:$AB$1,0)),"")</f>
        <v/>
      </c>
      <c r="AF4109" s="54">
        <f>IF(AND(IFERROR(INDEX($A4109:$AB4109,MATCH("Xero Invoice No",$A$1:$AB$1,0)),"")&amp;""&lt;&gt;"",ISNUMBER(AE4109),AD4109&lt;&gt;0),1,0)</f>
        <v/>
      </c>
      <c r="AG4109" s="55">
        <f>IF(AF4109=1,EOMONTH(AE4109,0),"")</f>
        <v/>
      </c>
      <c r="AH4109" s="9">
        <f>IF(AF4109=1,UPPER(TRIM(IFERROR(INDEX($A4109:$AB4109,MATCH("Client",$A$1:$AB$1,0)),"")&amp;"")),"")</f>
        <v/>
      </c>
      <c r="AI4109" s="9">
        <f>IF(AF4109=1,IFERROR(INDEX($A4109:$AB4109,MATCH("Cost Centre",$A$1:$AB$1,0)),"")&amp;"","")</f>
        <v/>
      </c>
      <c r="AJ4109" s="54">
        <f>IF(AND(AF4109=1,AE4109&gt;=set_FYStart,AE4109&lt;=set_AsAt),1,0)</f>
        <v/>
      </c>
      <c r="AK4109" s="54">
        <f>IF(AND(AJ4109=1,AH4109&lt;&gt;"",COUNTIFS($AH$2:AH4109,AH4109,$AJ$2:AJ4109,1)=1),N(AL4108)+1,"")</f>
        <v/>
      </c>
      <c r="AL4109" s="54">
        <f>IF(AK4109&lt;&gt;"",AK4109,N(AL4108))</f>
        <v/>
      </c>
    </row>
    <row r="4110">
      <c r="A4110" t="inlineStr">
        <is>
          <t>PRD-1370</t>
        </is>
      </c>
      <c r="B4110" t="inlineStr">
        <is>
          <t>Production</t>
        </is>
      </c>
      <c r="AB4110" t="n">
        <v>1370</v>
      </c>
      <c r="AD4110" s="52">
        <f>IFERROR(N(IFERROR(INDEX($A4110:$AB4110,MATCH("Xero Invoiced Ex GST",$A$1:$AB$1,0)),"")),0)</f>
        <v/>
      </c>
      <c r="AE4110" s="53">
        <f>IFERROR(INDEX($A4110:$AB4110,MATCH("Xero Invoice Date",$A$1:$AB$1,0)),"")</f>
        <v/>
      </c>
      <c r="AF4110" s="54">
        <f>IF(AND(IFERROR(INDEX($A4110:$AB4110,MATCH("Xero Invoice No",$A$1:$AB$1,0)),"")&amp;""&lt;&gt;"",ISNUMBER(AE4110),AD4110&lt;&gt;0),1,0)</f>
        <v/>
      </c>
      <c r="AG4110" s="55">
        <f>IF(AF4110=1,EOMONTH(AE4110,0),"")</f>
        <v/>
      </c>
      <c r="AH4110" s="9">
        <f>IF(AF4110=1,UPPER(TRIM(IFERROR(INDEX($A4110:$AB4110,MATCH("Client",$A$1:$AB$1,0)),"")&amp;"")),"")</f>
        <v/>
      </c>
      <c r="AI4110" s="9">
        <f>IF(AF4110=1,IFERROR(INDEX($A4110:$AB4110,MATCH("Cost Centre",$A$1:$AB$1,0)),"")&amp;"","")</f>
        <v/>
      </c>
      <c r="AJ4110" s="54">
        <f>IF(AND(AF4110=1,AE4110&gt;=set_FYStart,AE4110&lt;=set_AsAt),1,0)</f>
        <v/>
      </c>
      <c r="AK4110" s="54">
        <f>IF(AND(AJ4110=1,AH4110&lt;&gt;"",COUNTIFS($AH$2:AH4110,AH4110,$AJ$2:AJ4110,1)=1),N(AL4109)+1,"")</f>
        <v/>
      </c>
      <c r="AL4110" s="54">
        <f>IF(AK4110&lt;&gt;"",AK4110,N(AL4109))</f>
        <v/>
      </c>
    </row>
    <row r="4111">
      <c r="A4111" t="inlineStr">
        <is>
          <t>CON-1370</t>
        </is>
      </c>
      <c r="B4111" t="inlineStr">
        <is>
          <t>Consulting</t>
        </is>
      </c>
      <c r="AB4111" t="n">
        <v>1370</v>
      </c>
      <c r="AD4111" s="52">
        <f>IFERROR(N(IFERROR(INDEX($A4111:$AB4111,MATCH("Xero Invoiced Ex GST",$A$1:$AB$1,0)),"")),0)</f>
        <v/>
      </c>
      <c r="AE4111" s="53">
        <f>IFERROR(INDEX($A4111:$AB4111,MATCH("Xero Invoice Date",$A$1:$AB$1,0)),"")</f>
        <v/>
      </c>
      <c r="AF4111" s="54">
        <f>IF(AND(IFERROR(INDEX($A4111:$AB4111,MATCH("Xero Invoice No",$A$1:$AB$1,0)),"")&amp;""&lt;&gt;"",ISNUMBER(AE4111),AD4111&lt;&gt;0),1,0)</f>
        <v/>
      </c>
      <c r="AG4111" s="55">
        <f>IF(AF4111=1,EOMONTH(AE4111,0),"")</f>
        <v/>
      </c>
      <c r="AH4111" s="9">
        <f>IF(AF4111=1,UPPER(TRIM(IFERROR(INDEX($A4111:$AB4111,MATCH("Client",$A$1:$AB$1,0)),"")&amp;"")),"")</f>
        <v/>
      </c>
      <c r="AI4111" s="9">
        <f>IF(AF4111=1,IFERROR(INDEX($A4111:$AB4111,MATCH("Cost Centre",$A$1:$AB$1,0)),"")&amp;"","")</f>
        <v/>
      </c>
      <c r="AJ4111" s="54">
        <f>IF(AND(AF4111=1,AE4111&gt;=set_FYStart,AE4111&lt;=set_AsAt),1,0)</f>
        <v/>
      </c>
      <c r="AK4111" s="54">
        <f>IF(AND(AJ4111=1,AH4111&lt;&gt;"",COUNTIFS($AH$2:AH4111,AH4111,$AJ$2:AJ4111,1)=1),N(AL4110)+1,"")</f>
        <v/>
      </c>
      <c r="AL4111" s="54">
        <f>IF(AK4111&lt;&gt;"",AK4111,N(AL4110))</f>
        <v/>
      </c>
    </row>
    <row r="4112">
      <c r="A4112" t="inlineStr">
        <is>
          <t>ONS-1371</t>
        </is>
      </c>
      <c r="B4112" t="inlineStr">
        <is>
          <t>Onsite</t>
        </is>
      </c>
      <c r="AB4112" t="n">
        <v>1371</v>
      </c>
      <c r="AD4112" s="52">
        <f>IFERROR(N(IFERROR(INDEX($A4112:$AB4112,MATCH("Xero Invoiced Ex GST",$A$1:$AB$1,0)),"")),0)</f>
        <v/>
      </c>
      <c r="AE4112" s="53">
        <f>IFERROR(INDEX($A4112:$AB4112,MATCH("Xero Invoice Date",$A$1:$AB$1,0)),"")</f>
        <v/>
      </c>
      <c r="AF4112" s="54">
        <f>IF(AND(IFERROR(INDEX($A4112:$AB4112,MATCH("Xero Invoice No",$A$1:$AB$1,0)),"")&amp;""&lt;&gt;"",ISNUMBER(AE4112),AD4112&lt;&gt;0),1,0)</f>
        <v/>
      </c>
      <c r="AG4112" s="55">
        <f>IF(AF4112=1,EOMONTH(AE4112,0),"")</f>
        <v/>
      </c>
      <c r="AH4112" s="9">
        <f>IF(AF4112=1,UPPER(TRIM(IFERROR(INDEX($A4112:$AB4112,MATCH("Client",$A$1:$AB$1,0)),"")&amp;"")),"")</f>
        <v/>
      </c>
      <c r="AI4112" s="9">
        <f>IF(AF4112=1,IFERROR(INDEX($A4112:$AB4112,MATCH("Cost Centre",$A$1:$AB$1,0)),"")&amp;"","")</f>
        <v/>
      </c>
      <c r="AJ4112" s="54">
        <f>IF(AND(AF4112=1,AE4112&gt;=set_FYStart,AE4112&lt;=set_AsAt),1,0)</f>
        <v/>
      </c>
      <c r="AK4112" s="54">
        <f>IF(AND(AJ4112=1,AH4112&lt;&gt;"",COUNTIFS($AH$2:AH4112,AH4112,$AJ$2:AJ4112,1)=1),N(AL4111)+1,"")</f>
        <v/>
      </c>
      <c r="AL4112" s="54">
        <f>IF(AK4112&lt;&gt;"",AK4112,N(AL4111))</f>
        <v/>
      </c>
    </row>
    <row r="4113">
      <c r="A4113" t="inlineStr">
        <is>
          <t>PRD-1371</t>
        </is>
      </c>
      <c r="B4113" t="inlineStr">
        <is>
          <t>Production</t>
        </is>
      </c>
      <c r="AB4113" t="n">
        <v>1371</v>
      </c>
      <c r="AD4113" s="52">
        <f>IFERROR(N(IFERROR(INDEX($A4113:$AB4113,MATCH("Xero Invoiced Ex GST",$A$1:$AB$1,0)),"")),0)</f>
        <v/>
      </c>
      <c r="AE4113" s="53">
        <f>IFERROR(INDEX($A4113:$AB4113,MATCH("Xero Invoice Date",$A$1:$AB$1,0)),"")</f>
        <v/>
      </c>
      <c r="AF4113" s="54">
        <f>IF(AND(IFERROR(INDEX($A4113:$AB4113,MATCH("Xero Invoice No",$A$1:$AB$1,0)),"")&amp;""&lt;&gt;"",ISNUMBER(AE4113),AD4113&lt;&gt;0),1,0)</f>
        <v/>
      </c>
      <c r="AG4113" s="55">
        <f>IF(AF4113=1,EOMONTH(AE4113,0),"")</f>
        <v/>
      </c>
      <c r="AH4113" s="9">
        <f>IF(AF4113=1,UPPER(TRIM(IFERROR(INDEX($A4113:$AB4113,MATCH("Client",$A$1:$AB$1,0)),"")&amp;"")),"")</f>
        <v/>
      </c>
      <c r="AI4113" s="9">
        <f>IF(AF4113=1,IFERROR(INDEX($A4113:$AB4113,MATCH("Cost Centre",$A$1:$AB$1,0)),"")&amp;"","")</f>
        <v/>
      </c>
      <c r="AJ4113" s="54">
        <f>IF(AND(AF4113=1,AE4113&gt;=set_FYStart,AE4113&lt;=set_AsAt),1,0)</f>
        <v/>
      </c>
      <c r="AK4113" s="54">
        <f>IF(AND(AJ4113=1,AH4113&lt;&gt;"",COUNTIFS($AH$2:AH4113,AH4113,$AJ$2:AJ4113,1)=1),N(AL4112)+1,"")</f>
        <v/>
      </c>
      <c r="AL4113" s="54">
        <f>IF(AK4113&lt;&gt;"",AK4113,N(AL4112))</f>
        <v/>
      </c>
    </row>
    <row r="4114">
      <c r="A4114" t="inlineStr">
        <is>
          <t>CON-1371</t>
        </is>
      </c>
      <c r="B4114" t="inlineStr">
        <is>
          <t>Consulting</t>
        </is>
      </c>
      <c r="AB4114" t="n">
        <v>1371</v>
      </c>
      <c r="AD4114" s="52">
        <f>IFERROR(N(IFERROR(INDEX($A4114:$AB4114,MATCH("Xero Invoiced Ex GST",$A$1:$AB$1,0)),"")),0)</f>
        <v/>
      </c>
      <c r="AE4114" s="53">
        <f>IFERROR(INDEX($A4114:$AB4114,MATCH("Xero Invoice Date",$A$1:$AB$1,0)),"")</f>
        <v/>
      </c>
      <c r="AF4114" s="54">
        <f>IF(AND(IFERROR(INDEX($A4114:$AB4114,MATCH("Xero Invoice No",$A$1:$AB$1,0)),"")&amp;""&lt;&gt;"",ISNUMBER(AE4114),AD4114&lt;&gt;0),1,0)</f>
        <v/>
      </c>
      <c r="AG4114" s="55">
        <f>IF(AF4114=1,EOMONTH(AE4114,0),"")</f>
        <v/>
      </c>
      <c r="AH4114" s="9">
        <f>IF(AF4114=1,UPPER(TRIM(IFERROR(INDEX($A4114:$AB4114,MATCH("Client",$A$1:$AB$1,0)),"")&amp;"")),"")</f>
        <v/>
      </c>
      <c r="AI4114" s="9">
        <f>IF(AF4114=1,IFERROR(INDEX($A4114:$AB4114,MATCH("Cost Centre",$A$1:$AB$1,0)),"")&amp;"","")</f>
        <v/>
      </c>
      <c r="AJ4114" s="54">
        <f>IF(AND(AF4114=1,AE4114&gt;=set_FYStart,AE4114&lt;=set_AsAt),1,0)</f>
        <v/>
      </c>
      <c r="AK4114" s="54">
        <f>IF(AND(AJ4114=1,AH4114&lt;&gt;"",COUNTIFS($AH$2:AH4114,AH4114,$AJ$2:AJ4114,1)=1),N(AL4113)+1,"")</f>
        <v/>
      </c>
      <c r="AL4114" s="54">
        <f>IF(AK4114&lt;&gt;"",AK4114,N(AL4113))</f>
        <v/>
      </c>
    </row>
    <row r="4115">
      <c r="A4115" t="inlineStr">
        <is>
          <t>ONS-1372</t>
        </is>
      </c>
      <c r="B4115" t="inlineStr">
        <is>
          <t>Onsite</t>
        </is>
      </c>
      <c r="AB4115" t="n">
        <v>1372</v>
      </c>
      <c r="AD4115" s="52">
        <f>IFERROR(N(IFERROR(INDEX($A4115:$AB4115,MATCH("Xero Invoiced Ex GST",$A$1:$AB$1,0)),"")),0)</f>
        <v/>
      </c>
      <c r="AE4115" s="53">
        <f>IFERROR(INDEX($A4115:$AB4115,MATCH("Xero Invoice Date",$A$1:$AB$1,0)),"")</f>
        <v/>
      </c>
      <c r="AF4115" s="54">
        <f>IF(AND(IFERROR(INDEX($A4115:$AB4115,MATCH("Xero Invoice No",$A$1:$AB$1,0)),"")&amp;""&lt;&gt;"",ISNUMBER(AE4115),AD4115&lt;&gt;0),1,0)</f>
        <v/>
      </c>
      <c r="AG4115" s="55">
        <f>IF(AF4115=1,EOMONTH(AE4115,0),"")</f>
        <v/>
      </c>
      <c r="AH4115" s="9">
        <f>IF(AF4115=1,UPPER(TRIM(IFERROR(INDEX($A4115:$AB4115,MATCH("Client",$A$1:$AB$1,0)),"")&amp;"")),"")</f>
        <v/>
      </c>
      <c r="AI4115" s="9">
        <f>IF(AF4115=1,IFERROR(INDEX($A4115:$AB4115,MATCH("Cost Centre",$A$1:$AB$1,0)),"")&amp;"","")</f>
        <v/>
      </c>
      <c r="AJ4115" s="54">
        <f>IF(AND(AF4115=1,AE4115&gt;=set_FYStart,AE4115&lt;=set_AsAt),1,0)</f>
        <v/>
      </c>
      <c r="AK4115" s="54">
        <f>IF(AND(AJ4115=1,AH4115&lt;&gt;"",COUNTIFS($AH$2:AH4115,AH4115,$AJ$2:AJ4115,1)=1),N(AL4114)+1,"")</f>
        <v/>
      </c>
      <c r="AL4115" s="54">
        <f>IF(AK4115&lt;&gt;"",AK4115,N(AL4114))</f>
        <v/>
      </c>
    </row>
    <row r="4116">
      <c r="A4116" t="inlineStr">
        <is>
          <t>PRD-1372</t>
        </is>
      </c>
      <c r="B4116" t="inlineStr">
        <is>
          <t>Production</t>
        </is>
      </c>
      <c r="AB4116" t="n">
        <v>1372</v>
      </c>
      <c r="AD4116" s="52">
        <f>IFERROR(N(IFERROR(INDEX($A4116:$AB4116,MATCH("Xero Invoiced Ex GST",$A$1:$AB$1,0)),"")),0)</f>
        <v/>
      </c>
      <c r="AE4116" s="53">
        <f>IFERROR(INDEX($A4116:$AB4116,MATCH("Xero Invoice Date",$A$1:$AB$1,0)),"")</f>
        <v/>
      </c>
      <c r="AF4116" s="54">
        <f>IF(AND(IFERROR(INDEX($A4116:$AB4116,MATCH("Xero Invoice No",$A$1:$AB$1,0)),"")&amp;""&lt;&gt;"",ISNUMBER(AE4116),AD4116&lt;&gt;0),1,0)</f>
        <v/>
      </c>
      <c r="AG4116" s="55">
        <f>IF(AF4116=1,EOMONTH(AE4116,0),"")</f>
        <v/>
      </c>
      <c r="AH4116" s="9">
        <f>IF(AF4116=1,UPPER(TRIM(IFERROR(INDEX($A4116:$AB4116,MATCH("Client",$A$1:$AB$1,0)),"")&amp;"")),"")</f>
        <v/>
      </c>
      <c r="AI4116" s="9">
        <f>IF(AF4116=1,IFERROR(INDEX($A4116:$AB4116,MATCH("Cost Centre",$A$1:$AB$1,0)),"")&amp;"","")</f>
        <v/>
      </c>
      <c r="AJ4116" s="54">
        <f>IF(AND(AF4116=1,AE4116&gt;=set_FYStart,AE4116&lt;=set_AsAt),1,0)</f>
        <v/>
      </c>
      <c r="AK4116" s="54">
        <f>IF(AND(AJ4116=1,AH4116&lt;&gt;"",COUNTIFS($AH$2:AH4116,AH4116,$AJ$2:AJ4116,1)=1),N(AL4115)+1,"")</f>
        <v/>
      </c>
      <c r="AL4116" s="54">
        <f>IF(AK4116&lt;&gt;"",AK4116,N(AL4115))</f>
        <v/>
      </c>
    </row>
    <row r="4117">
      <c r="A4117" t="inlineStr">
        <is>
          <t>CON-1372</t>
        </is>
      </c>
      <c r="B4117" t="inlineStr">
        <is>
          <t>Consulting</t>
        </is>
      </c>
      <c r="AB4117" t="n">
        <v>1372</v>
      </c>
      <c r="AD4117" s="52">
        <f>IFERROR(N(IFERROR(INDEX($A4117:$AB4117,MATCH("Xero Invoiced Ex GST",$A$1:$AB$1,0)),"")),0)</f>
        <v/>
      </c>
      <c r="AE4117" s="53">
        <f>IFERROR(INDEX($A4117:$AB4117,MATCH("Xero Invoice Date",$A$1:$AB$1,0)),"")</f>
        <v/>
      </c>
      <c r="AF4117" s="54">
        <f>IF(AND(IFERROR(INDEX($A4117:$AB4117,MATCH("Xero Invoice No",$A$1:$AB$1,0)),"")&amp;""&lt;&gt;"",ISNUMBER(AE4117),AD4117&lt;&gt;0),1,0)</f>
        <v/>
      </c>
      <c r="AG4117" s="55">
        <f>IF(AF4117=1,EOMONTH(AE4117,0),"")</f>
        <v/>
      </c>
      <c r="AH4117" s="9">
        <f>IF(AF4117=1,UPPER(TRIM(IFERROR(INDEX($A4117:$AB4117,MATCH("Client",$A$1:$AB$1,0)),"")&amp;"")),"")</f>
        <v/>
      </c>
      <c r="AI4117" s="9">
        <f>IF(AF4117=1,IFERROR(INDEX($A4117:$AB4117,MATCH("Cost Centre",$A$1:$AB$1,0)),"")&amp;"","")</f>
        <v/>
      </c>
      <c r="AJ4117" s="54">
        <f>IF(AND(AF4117=1,AE4117&gt;=set_FYStart,AE4117&lt;=set_AsAt),1,0)</f>
        <v/>
      </c>
      <c r="AK4117" s="54">
        <f>IF(AND(AJ4117=1,AH4117&lt;&gt;"",COUNTIFS($AH$2:AH4117,AH4117,$AJ$2:AJ4117,1)=1),N(AL4116)+1,"")</f>
        <v/>
      </c>
      <c r="AL4117" s="54">
        <f>IF(AK4117&lt;&gt;"",AK4117,N(AL4116))</f>
        <v/>
      </c>
    </row>
    <row r="4118">
      <c r="A4118" t="inlineStr">
        <is>
          <t>ONS-1373</t>
        </is>
      </c>
      <c r="B4118" t="inlineStr">
        <is>
          <t>Onsite</t>
        </is>
      </c>
      <c r="AB4118" t="n">
        <v>1373</v>
      </c>
      <c r="AD4118" s="52">
        <f>IFERROR(N(IFERROR(INDEX($A4118:$AB4118,MATCH("Xero Invoiced Ex GST",$A$1:$AB$1,0)),"")),0)</f>
        <v/>
      </c>
      <c r="AE4118" s="53">
        <f>IFERROR(INDEX($A4118:$AB4118,MATCH("Xero Invoice Date",$A$1:$AB$1,0)),"")</f>
        <v/>
      </c>
      <c r="AF4118" s="54">
        <f>IF(AND(IFERROR(INDEX($A4118:$AB4118,MATCH("Xero Invoice No",$A$1:$AB$1,0)),"")&amp;""&lt;&gt;"",ISNUMBER(AE4118),AD4118&lt;&gt;0),1,0)</f>
        <v/>
      </c>
      <c r="AG4118" s="55">
        <f>IF(AF4118=1,EOMONTH(AE4118,0),"")</f>
        <v/>
      </c>
      <c r="AH4118" s="9">
        <f>IF(AF4118=1,UPPER(TRIM(IFERROR(INDEX($A4118:$AB4118,MATCH("Client",$A$1:$AB$1,0)),"")&amp;"")),"")</f>
        <v/>
      </c>
      <c r="AI4118" s="9">
        <f>IF(AF4118=1,IFERROR(INDEX($A4118:$AB4118,MATCH("Cost Centre",$A$1:$AB$1,0)),"")&amp;"","")</f>
        <v/>
      </c>
      <c r="AJ4118" s="54">
        <f>IF(AND(AF4118=1,AE4118&gt;=set_FYStart,AE4118&lt;=set_AsAt),1,0)</f>
        <v/>
      </c>
      <c r="AK4118" s="54">
        <f>IF(AND(AJ4118=1,AH4118&lt;&gt;"",COUNTIFS($AH$2:AH4118,AH4118,$AJ$2:AJ4118,1)=1),N(AL4117)+1,"")</f>
        <v/>
      </c>
      <c r="AL4118" s="54">
        <f>IF(AK4118&lt;&gt;"",AK4118,N(AL4117))</f>
        <v/>
      </c>
    </row>
    <row r="4119">
      <c r="A4119" t="inlineStr">
        <is>
          <t>PRD-1373</t>
        </is>
      </c>
      <c r="B4119" t="inlineStr">
        <is>
          <t>Production</t>
        </is>
      </c>
      <c r="AB4119" t="n">
        <v>1373</v>
      </c>
      <c r="AD4119" s="52">
        <f>IFERROR(N(IFERROR(INDEX($A4119:$AB4119,MATCH("Xero Invoiced Ex GST",$A$1:$AB$1,0)),"")),0)</f>
        <v/>
      </c>
      <c r="AE4119" s="53">
        <f>IFERROR(INDEX($A4119:$AB4119,MATCH("Xero Invoice Date",$A$1:$AB$1,0)),"")</f>
        <v/>
      </c>
      <c r="AF4119" s="54">
        <f>IF(AND(IFERROR(INDEX($A4119:$AB4119,MATCH("Xero Invoice No",$A$1:$AB$1,0)),"")&amp;""&lt;&gt;"",ISNUMBER(AE4119),AD4119&lt;&gt;0),1,0)</f>
        <v/>
      </c>
      <c r="AG4119" s="55">
        <f>IF(AF4119=1,EOMONTH(AE4119,0),"")</f>
        <v/>
      </c>
      <c r="AH4119" s="9">
        <f>IF(AF4119=1,UPPER(TRIM(IFERROR(INDEX($A4119:$AB4119,MATCH("Client",$A$1:$AB$1,0)),"")&amp;"")),"")</f>
        <v/>
      </c>
      <c r="AI4119" s="9">
        <f>IF(AF4119=1,IFERROR(INDEX($A4119:$AB4119,MATCH("Cost Centre",$A$1:$AB$1,0)),"")&amp;"","")</f>
        <v/>
      </c>
      <c r="AJ4119" s="54">
        <f>IF(AND(AF4119=1,AE4119&gt;=set_FYStart,AE4119&lt;=set_AsAt),1,0)</f>
        <v/>
      </c>
      <c r="AK4119" s="54">
        <f>IF(AND(AJ4119=1,AH4119&lt;&gt;"",COUNTIFS($AH$2:AH4119,AH4119,$AJ$2:AJ4119,1)=1),N(AL4118)+1,"")</f>
        <v/>
      </c>
      <c r="AL4119" s="54">
        <f>IF(AK4119&lt;&gt;"",AK4119,N(AL4118))</f>
        <v/>
      </c>
    </row>
    <row r="4120">
      <c r="A4120" t="inlineStr">
        <is>
          <t>CON-1373</t>
        </is>
      </c>
      <c r="B4120" t="inlineStr">
        <is>
          <t>Consulting</t>
        </is>
      </c>
      <c r="AB4120" t="n">
        <v>1373</v>
      </c>
      <c r="AD4120" s="52">
        <f>IFERROR(N(IFERROR(INDEX($A4120:$AB4120,MATCH("Xero Invoiced Ex GST",$A$1:$AB$1,0)),"")),0)</f>
        <v/>
      </c>
      <c r="AE4120" s="53">
        <f>IFERROR(INDEX($A4120:$AB4120,MATCH("Xero Invoice Date",$A$1:$AB$1,0)),"")</f>
        <v/>
      </c>
      <c r="AF4120" s="54">
        <f>IF(AND(IFERROR(INDEX($A4120:$AB4120,MATCH("Xero Invoice No",$A$1:$AB$1,0)),"")&amp;""&lt;&gt;"",ISNUMBER(AE4120),AD4120&lt;&gt;0),1,0)</f>
        <v/>
      </c>
      <c r="AG4120" s="55">
        <f>IF(AF4120=1,EOMONTH(AE4120,0),"")</f>
        <v/>
      </c>
      <c r="AH4120" s="9">
        <f>IF(AF4120=1,UPPER(TRIM(IFERROR(INDEX($A4120:$AB4120,MATCH("Client",$A$1:$AB$1,0)),"")&amp;"")),"")</f>
        <v/>
      </c>
      <c r="AI4120" s="9">
        <f>IF(AF4120=1,IFERROR(INDEX($A4120:$AB4120,MATCH("Cost Centre",$A$1:$AB$1,0)),"")&amp;"","")</f>
        <v/>
      </c>
      <c r="AJ4120" s="54">
        <f>IF(AND(AF4120=1,AE4120&gt;=set_FYStart,AE4120&lt;=set_AsAt),1,0)</f>
        <v/>
      </c>
      <c r="AK4120" s="54">
        <f>IF(AND(AJ4120=1,AH4120&lt;&gt;"",COUNTIFS($AH$2:AH4120,AH4120,$AJ$2:AJ4120,1)=1),N(AL4119)+1,"")</f>
        <v/>
      </c>
      <c r="AL4120" s="54">
        <f>IF(AK4120&lt;&gt;"",AK4120,N(AL4119))</f>
        <v/>
      </c>
    </row>
    <row r="4121">
      <c r="A4121" t="inlineStr">
        <is>
          <t>ONS-1374</t>
        </is>
      </c>
      <c r="B4121" t="inlineStr">
        <is>
          <t>Onsite</t>
        </is>
      </c>
      <c r="AB4121" t="n">
        <v>1374</v>
      </c>
      <c r="AD4121" s="52">
        <f>IFERROR(N(IFERROR(INDEX($A4121:$AB4121,MATCH("Xero Invoiced Ex GST",$A$1:$AB$1,0)),"")),0)</f>
        <v/>
      </c>
      <c r="AE4121" s="53">
        <f>IFERROR(INDEX($A4121:$AB4121,MATCH("Xero Invoice Date",$A$1:$AB$1,0)),"")</f>
        <v/>
      </c>
      <c r="AF4121" s="54">
        <f>IF(AND(IFERROR(INDEX($A4121:$AB4121,MATCH("Xero Invoice No",$A$1:$AB$1,0)),"")&amp;""&lt;&gt;"",ISNUMBER(AE4121),AD4121&lt;&gt;0),1,0)</f>
        <v/>
      </c>
      <c r="AG4121" s="55">
        <f>IF(AF4121=1,EOMONTH(AE4121,0),"")</f>
        <v/>
      </c>
      <c r="AH4121" s="9">
        <f>IF(AF4121=1,UPPER(TRIM(IFERROR(INDEX($A4121:$AB4121,MATCH("Client",$A$1:$AB$1,0)),"")&amp;"")),"")</f>
        <v/>
      </c>
      <c r="AI4121" s="9">
        <f>IF(AF4121=1,IFERROR(INDEX($A4121:$AB4121,MATCH("Cost Centre",$A$1:$AB$1,0)),"")&amp;"","")</f>
        <v/>
      </c>
      <c r="AJ4121" s="54">
        <f>IF(AND(AF4121=1,AE4121&gt;=set_FYStart,AE4121&lt;=set_AsAt),1,0)</f>
        <v/>
      </c>
      <c r="AK4121" s="54">
        <f>IF(AND(AJ4121=1,AH4121&lt;&gt;"",COUNTIFS($AH$2:AH4121,AH4121,$AJ$2:AJ4121,1)=1),N(AL4120)+1,"")</f>
        <v/>
      </c>
      <c r="AL4121" s="54">
        <f>IF(AK4121&lt;&gt;"",AK4121,N(AL4120))</f>
        <v/>
      </c>
    </row>
    <row r="4122">
      <c r="A4122" t="inlineStr">
        <is>
          <t>PRD-1374</t>
        </is>
      </c>
      <c r="B4122" t="inlineStr">
        <is>
          <t>Production</t>
        </is>
      </c>
      <c r="AB4122" t="n">
        <v>1374</v>
      </c>
      <c r="AD4122" s="52">
        <f>IFERROR(N(IFERROR(INDEX($A4122:$AB4122,MATCH("Xero Invoiced Ex GST",$A$1:$AB$1,0)),"")),0)</f>
        <v/>
      </c>
      <c r="AE4122" s="53">
        <f>IFERROR(INDEX($A4122:$AB4122,MATCH("Xero Invoice Date",$A$1:$AB$1,0)),"")</f>
        <v/>
      </c>
      <c r="AF4122" s="54">
        <f>IF(AND(IFERROR(INDEX($A4122:$AB4122,MATCH("Xero Invoice No",$A$1:$AB$1,0)),"")&amp;""&lt;&gt;"",ISNUMBER(AE4122),AD4122&lt;&gt;0),1,0)</f>
        <v/>
      </c>
      <c r="AG4122" s="55">
        <f>IF(AF4122=1,EOMONTH(AE4122,0),"")</f>
        <v/>
      </c>
      <c r="AH4122" s="9">
        <f>IF(AF4122=1,UPPER(TRIM(IFERROR(INDEX($A4122:$AB4122,MATCH("Client",$A$1:$AB$1,0)),"")&amp;"")),"")</f>
        <v/>
      </c>
      <c r="AI4122" s="9">
        <f>IF(AF4122=1,IFERROR(INDEX($A4122:$AB4122,MATCH("Cost Centre",$A$1:$AB$1,0)),"")&amp;"","")</f>
        <v/>
      </c>
      <c r="AJ4122" s="54">
        <f>IF(AND(AF4122=1,AE4122&gt;=set_FYStart,AE4122&lt;=set_AsAt),1,0)</f>
        <v/>
      </c>
      <c r="AK4122" s="54">
        <f>IF(AND(AJ4122=1,AH4122&lt;&gt;"",COUNTIFS($AH$2:AH4122,AH4122,$AJ$2:AJ4122,1)=1),N(AL4121)+1,"")</f>
        <v/>
      </c>
      <c r="AL4122" s="54">
        <f>IF(AK4122&lt;&gt;"",AK4122,N(AL4121))</f>
        <v/>
      </c>
    </row>
    <row r="4123">
      <c r="A4123" t="inlineStr">
        <is>
          <t>CON-1374</t>
        </is>
      </c>
      <c r="B4123" t="inlineStr">
        <is>
          <t>Consulting</t>
        </is>
      </c>
      <c r="AB4123" t="n">
        <v>1374</v>
      </c>
      <c r="AD4123" s="52">
        <f>IFERROR(N(IFERROR(INDEX($A4123:$AB4123,MATCH("Xero Invoiced Ex GST",$A$1:$AB$1,0)),"")),0)</f>
        <v/>
      </c>
      <c r="AE4123" s="53">
        <f>IFERROR(INDEX($A4123:$AB4123,MATCH("Xero Invoice Date",$A$1:$AB$1,0)),"")</f>
        <v/>
      </c>
      <c r="AF4123" s="54">
        <f>IF(AND(IFERROR(INDEX($A4123:$AB4123,MATCH("Xero Invoice No",$A$1:$AB$1,0)),"")&amp;""&lt;&gt;"",ISNUMBER(AE4123),AD4123&lt;&gt;0),1,0)</f>
        <v/>
      </c>
      <c r="AG4123" s="55">
        <f>IF(AF4123=1,EOMONTH(AE4123,0),"")</f>
        <v/>
      </c>
      <c r="AH4123" s="9">
        <f>IF(AF4123=1,UPPER(TRIM(IFERROR(INDEX($A4123:$AB4123,MATCH("Client",$A$1:$AB$1,0)),"")&amp;"")),"")</f>
        <v/>
      </c>
      <c r="AI4123" s="9">
        <f>IF(AF4123=1,IFERROR(INDEX($A4123:$AB4123,MATCH("Cost Centre",$A$1:$AB$1,0)),"")&amp;"","")</f>
        <v/>
      </c>
      <c r="AJ4123" s="54">
        <f>IF(AND(AF4123=1,AE4123&gt;=set_FYStart,AE4123&lt;=set_AsAt),1,0)</f>
        <v/>
      </c>
      <c r="AK4123" s="54">
        <f>IF(AND(AJ4123=1,AH4123&lt;&gt;"",COUNTIFS($AH$2:AH4123,AH4123,$AJ$2:AJ4123,1)=1),N(AL4122)+1,"")</f>
        <v/>
      </c>
      <c r="AL4123" s="54">
        <f>IF(AK4123&lt;&gt;"",AK4123,N(AL4122))</f>
        <v/>
      </c>
    </row>
    <row r="4124">
      <c r="A4124" t="inlineStr">
        <is>
          <t>ONS-1375</t>
        </is>
      </c>
      <c r="B4124" t="inlineStr">
        <is>
          <t>Onsite</t>
        </is>
      </c>
      <c r="AB4124" t="n">
        <v>1375</v>
      </c>
      <c r="AD4124" s="52">
        <f>IFERROR(N(IFERROR(INDEX($A4124:$AB4124,MATCH("Xero Invoiced Ex GST",$A$1:$AB$1,0)),"")),0)</f>
        <v/>
      </c>
      <c r="AE4124" s="53">
        <f>IFERROR(INDEX($A4124:$AB4124,MATCH("Xero Invoice Date",$A$1:$AB$1,0)),"")</f>
        <v/>
      </c>
      <c r="AF4124" s="54">
        <f>IF(AND(IFERROR(INDEX($A4124:$AB4124,MATCH("Xero Invoice No",$A$1:$AB$1,0)),"")&amp;""&lt;&gt;"",ISNUMBER(AE4124),AD4124&lt;&gt;0),1,0)</f>
        <v/>
      </c>
      <c r="AG4124" s="55">
        <f>IF(AF4124=1,EOMONTH(AE4124,0),"")</f>
        <v/>
      </c>
      <c r="AH4124" s="9">
        <f>IF(AF4124=1,UPPER(TRIM(IFERROR(INDEX($A4124:$AB4124,MATCH("Client",$A$1:$AB$1,0)),"")&amp;"")),"")</f>
        <v/>
      </c>
      <c r="AI4124" s="9">
        <f>IF(AF4124=1,IFERROR(INDEX($A4124:$AB4124,MATCH("Cost Centre",$A$1:$AB$1,0)),"")&amp;"","")</f>
        <v/>
      </c>
      <c r="AJ4124" s="54">
        <f>IF(AND(AF4124=1,AE4124&gt;=set_FYStart,AE4124&lt;=set_AsAt),1,0)</f>
        <v/>
      </c>
      <c r="AK4124" s="54">
        <f>IF(AND(AJ4124=1,AH4124&lt;&gt;"",COUNTIFS($AH$2:AH4124,AH4124,$AJ$2:AJ4124,1)=1),N(AL4123)+1,"")</f>
        <v/>
      </c>
      <c r="AL4124" s="54">
        <f>IF(AK4124&lt;&gt;"",AK4124,N(AL4123))</f>
        <v/>
      </c>
    </row>
    <row r="4125">
      <c r="A4125" t="inlineStr">
        <is>
          <t>PRD-1375</t>
        </is>
      </c>
      <c r="B4125" t="inlineStr">
        <is>
          <t>Production</t>
        </is>
      </c>
      <c r="AB4125" t="n">
        <v>1375</v>
      </c>
      <c r="AD4125" s="52">
        <f>IFERROR(N(IFERROR(INDEX($A4125:$AB4125,MATCH("Xero Invoiced Ex GST",$A$1:$AB$1,0)),"")),0)</f>
        <v/>
      </c>
      <c r="AE4125" s="53">
        <f>IFERROR(INDEX($A4125:$AB4125,MATCH("Xero Invoice Date",$A$1:$AB$1,0)),"")</f>
        <v/>
      </c>
      <c r="AF4125" s="54">
        <f>IF(AND(IFERROR(INDEX($A4125:$AB4125,MATCH("Xero Invoice No",$A$1:$AB$1,0)),"")&amp;""&lt;&gt;"",ISNUMBER(AE4125),AD4125&lt;&gt;0),1,0)</f>
        <v/>
      </c>
      <c r="AG4125" s="55">
        <f>IF(AF4125=1,EOMONTH(AE4125,0),"")</f>
        <v/>
      </c>
      <c r="AH4125" s="9">
        <f>IF(AF4125=1,UPPER(TRIM(IFERROR(INDEX($A4125:$AB4125,MATCH("Client",$A$1:$AB$1,0)),"")&amp;"")),"")</f>
        <v/>
      </c>
      <c r="AI4125" s="9">
        <f>IF(AF4125=1,IFERROR(INDEX($A4125:$AB4125,MATCH("Cost Centre",$A$1:$AB$1,0)),"")&amp;"","")</f>
        <v/>
      </c>
      <c r="AJ4125" s="54">
        <f>IF(AND(AF4125=1,AE4125&gt;=set_FYStart,AE4125&lt;=set_AsAt),1,0)</f>
        <v/>
      </c>
      <c r="AK4125" s="54">
        <f>IF(AND(AJ4125=1,AH4125&lt;&gt;"",COUNTIFS($AH$2:AH4125,AH4125,$AJ$2:AJ4125,1)=1),N(AL4124)+1,"")</f>
        <v/>
      </c>
      <c r="AL4125" s="54">
        <f>IF(AK4125&lt;&gt;"",AK4125,N(AL4124))</f>
        <v/>
      </c>
    </row>
    <row r="4126">
      <c r="A4126" t="inlineStr">
        <is>
          <t>CON-1375</t>
        </is>
      </c>
      <c r="B4126" t="inlineStr">
        <is>
          <t>Consulting</t>
        </is>
      </c>
      <c r="AB4126" t="n">
        <v>1375</v>
      </c>
      <c r="AD4126" s="52">
        <f>IFERROR(N(IFERROR(INDEX($A4126:$AB4126,MATCH("Xero Invoiced Ex GST",$A$1:$AB$1,0)),"")),0)</f>
        <v/>
      </c>
      <c r="AE4126" s="53">
        <f>IFERROR(INDEX($A4126:$AB4126,MATCH("Xero Invoice Date",$A$1:$AB$1,0)),"")</f>
        <v/>
      </c>
      <c r="AF4126" s="54">
        <f>IF(AND(IFERROR(INDEX($A4126:$AB4126,MATCH("Xero Invoice No",$A$1:$AB$1,0)),"")&amp;""&lt;&gt;"",ISNUMBER(AE4126),AD4126&lt;&gt;0),1,0)</f>
        <v/>
      </c>
      <c r="AG4126" s="55">
        <f>IF(AF4126=1,EOMONTH(AE4126,0),"")</f>
        <v/>
      </c>
      <c r="AH4126" s="9">
        <f>IF(AF4126=1,UPPER(TRIM(IFERROR(INDEX($A4126:$AB4126,MATCH("Client",$A$1:$AB$1,0)),"")&amp;"")),"")</f>
        <v/>
      </c>
      <c r="AI4126" s="9">
        <f>IF(AF4126=1,IFERROR(INDEX($A4126:$AB4126,MATCH("Cost Centre",$A$1:$AB$1,0)),"")&amp;"","")</f>
        <v/>
      </c>
      <c r="AJ4126" s="54">
        <f>IF(AND(AF4126=1,AE4126&gt;=set_FYStart,AE4126&lt;=set_AsAt),1,0)</f>
        <v/>
      </c>
      <c r="AK4126" s="54">
        <f>IF(AND(AJ4126=1,AH4126&lt;&gt;"",COUNTIFS($AH$2:AH4126,AH4126,$AJ$2:AJ4126,1)=1),N(AL4125)+1,"")</f>
        <v/>
      </c>
      <c r="AL4126" s="54">
        <f>IF(AK4126&lt;&gt;"",AK4126,N(AL4125))</f>
        <v/>
      </c>
    </row>
    <row r="4127">
      <c r="A4127" t="inlineStr">
        <is>
          <t>ONS-1376</t>
        </is>
      </c>
      <c r="B4127" t="inlineStr">
        <is>
          <t>Onsite</t>
        </is>
      </c>
      <c r="AB4127" t="n">
        <v>1376</v>
      </c>
      <c r="AD4127" s="52">
        <f>IFERROR(N(IFERROR(INDEX($A4127:$AB4127,MATCH("Xero Invoiced Ex GST",$A$1:$AB$1,0)),"")),0)</f>
        <v/>
      </c>
      <c r="AE4127" s="53">
        <f>IFERROR(INDEX($A4127:$AB4127,MATCH("Xero Invoice Date",$A$1:$AB$1,0)),"")</f>
        <v/>
      </c>
      <c r="AF4127" s="54">
        <f>IF(AND(IFERROR(INDEX($A4127:$AB4127,MATCH("Xero Invoice No",$A$1:$AB$1,0)),"")&amp;""&lt;&gt;"",ISNUMBER(AE4127),AD4127&lt;&gt;0),1,0)</f>
        <v/>
      </c>
      <c r="AG4127" s="55">
        <f>IF(AF4127=1,EOMONTH(AE4127,0),"")</f>
        <v/>
      </c>
      <c r="AH4127" s="9">
        <f>IF(AF4127=1,UPPER(TRIM(IFERROR(INDEX($A4127:$AB4127,MATCH("Client",$A$1:$AB$1,0)),"")&amp;"")),"")</f>
        <v/>
      </c>
      <c r="AI4127" s="9">
        <f>IF(AF4127=1,IFERROR(INDEX($A4127:$AB4127,MATCH("Cost Centre",$A$1:$AB$1,0)),"")&amp;"","")</f>
        <v/>
      </c>
      <c r="AJ4127" s="54">
        <f>IF(AND(AF4127=1,AE4127&gt;=set_FYStart,AE4127&lt;=set_AsAt),1,0)</f>
        <v/>
      </c>
      <c r="AK4127" s="54">
        <f>IF(AND(AJ4127=1,AH4127&lt;&gt;"",COUNTIFS($AH$2:AH4127,AH4127,$AJ$2:AJ4127,1)=1),N(AL4126)+1,"")</f>
        <v/>
      </c>
      <c r="AL4127" s="54">
        <f>IF(AK4127&lt;&gt;"",AK4127,N(AL4126))</f>
        <v/>
      </c>
    </row>
    <row r="4128">
      <c r="A4128" t="inlineStr">
        <is>
          <t>PRD-1376</t>
        </is>
      </c>
      <c r="B4128" t="inlineStr">
        <is>
          <t>Production</t>
        </is>
      </c>
      <c r="AB4128" t="n">
        <v>1376</v>
      </c>
      <c r="AD4128" s="52">
        <f>IFERROR(N(IFERROR(INDEX($A4128:$AB4128,MATCH("Xero Invoiced Ex GST",$A$1:$AB$1,0)),"")),0)</f>
        <v/>
      </c>
      <c r="AE4128" s="53">
        <f>IFERROR(INDEX($A4128:$AB4128,MATCH("Xero Invoice Date",$A$1:$AB$1,0)),"")</f>
        <v/>
      </c>
      <c r="AF4128" s="54">
        <f>IF(AND(IFERROR(INDEX($A4128:$AB4128,MATCH("Xero Invoice No",$A$1:$AB$1,0)),"")&amp;""&lt;&gt;"",ISNUMBER(AE4128),AD4128&lt;&gt;0),1,0)</f>
        <v/>
      </c>
      <c r="AG4128" s="55">
        <f>IF(AF4128=1,EOMONTH(AE4128,0),"")</f>
        <v/>
      </c>
      <c r="AH4128" s="9">
        <f>IF(AF4128=1,UPPER(TRIM(IFERROR(INDEX($A4128:$AB4128,MATCH("Client",$A$1:$AB$1,0)),"")&amp;"")),"")</f>
        <v/>
      </c>
      <c r="AI4128" s="9">
        <f>IF(AF4128=1,IFERROR(INDEX($A4128:$AB4128,MATCH("Cost Centre",$A$1:$AB$1,0)),"")&amp;"","")</f>
        <v/>
      </c>
      <c r="AJ4128" s="54">
        <f>IF(AND(AF4128=1,AE4128&gt;=set_FYStart,AE4128&lt;=set_AsAt),1,0)</f>
        <v/>
      </c>
      <c r="AK4128" s="54">
        <f>IF(AND(AJ4128=1,AH4128&lt;&gt;"",COUNTIFS($AH$2:AH4128,AH4128,$AJ$2:AJ4128,1)=1),N(AL4127)+1,"")</f>
        <v/>
      </c>
      <c r="AL4128" s="54">
        <f>IF(AK4128&lt;&gt;"",AK4128,N(AL4127))</f>
        <v/>
      </c>
    </row>
    <row r="4129">
      <c r="A4129" t="inlineStr">
        <is>
          <t>CON-1376</t>
        </is>
      </c>
      <c r="B4129" t="inlineStr">
        <is>
          <t>Consulting</t>
        </is>
      </c>
      <c r="AB4129" t="n">
        <v>1376</v>
      </c>
      <c r="AD4129" s="52">
        <f>IFERROR(N(IFERROR(INDEX($A4129:$AB4129,MATCH("Xero Invoiced Ex GST",$A$1:$AB$1,0)),"")),0)</f>
        <v/>
      </c>
      <c r="AE4129" s="53">
        <f>IFERROR(INDEX($A4129:$AB4129,MATCH("Xero Invoice Date",$A$1:$AB$1,0)),"")</f>
        <v/>
      </c>
      <c r="AF4129" s="54">
        <f>IF(AND(IFERROR(INDEX($A4129:$AB4129,MATCH("Xero Invoice No",$A$1:$AB$1,0)),"")&amp;""&lt;&gt;"",ISNUMBER(AE4129),AD4129&lt;&gt;0),1,0)</f>
        <v/>
      </c>
      <c r="AG4129" s="55">
        <f>IF(AF4129=1,EOMONTH(AE4129,0),"")</f>
        <v/>
      </c>
      <c r="AH4129" s="9">
        <f>IF(AF4129=1,UPPER(TRIM(IFERROR(INDEX($A4129:$AB4129,MATCH("Client",$A$1:$AB$1,0)),"")&amp;"")),"")</f>
        <v/>
      </c>
      <c r="AI4129" s="9">
        <f>IF(AF4129=1,IFERROR(INDEX($A4129:$AB4129,MATCH("Cost Centre",$A$1:$AB$1,0)),"")&amp;"","")</f>
        <v/>
      </c>
      <c r="AJ4129" s="54">
        <f>IF(AND(AF4129=1,AE4129&gt;=set_FYStart,AE4129&lt;=set_AsAt),1,0)</f>
        <v/>
      </c>
      <c r="AK4129" s="54">
        <f>IF(AND(AJ4129=1,AH4129&lt;&gt;"",COUNTIFS($AH$2:AH4129,AH4129,$AJ$2:AJ4129,1)=1),N(AL4128)+1,"")</f>
        <v/>
      </c>
      <c r="AL4129" s="54">
        <f>IF(AK4129&lt;&gt;"",AK4129,N(AL4128))</f>
        <v/>
      </c>
    </row>
    <row r="4130">
      <c r="A4130" t="inlineStr">
        <is>
          <t>ONS-1377</t>
        </is>
      </c>
      <c r="B4130" t="inlineStr">
        <is>
          <t>Onsite</t>
        </is>
      </c>
      <c r="AB4130" t="n">
        <v>1377</v>
      </c>
      <c r="AD4130" s="52">
        <f>IFERROR(N(IFERROR(INDEX($A4130:$AB4130,MATCH("Xero Invoiced Ex GST",$A$1:$AB$1,0)),"")),0)</f>
        <v/>
      </c>
      <c r="AE4130" s="53">
        <f>IFERROR(INDEX($A4130:$AB4130,MATCH("Xero Invoice Date",$A$1:$AB$1,0)),"")</f>
        <v/>
      </c>
      <c r="AF4130" s="54">
        <f>IF(AND(IFERROR(INDEX($A4130:$AB4130,MATCH("Xero Invoice No",$A$1:$AB$1,0)),"")&amp;""&lt;&gt;"",ISNUMBER(AE4130),AD4130&lt;&gt;0),1,0)</f>
        <v/>
      </c>
      <c r="AG4130" s="55">
        <f>IF(AF4130=1,EOMONTH(AE4130,0),"")</f>
        <v/>
      </c>
      <c r="AH4130" s="9">
        <f>IF(AF4130=1,UPPER(TRIM(IFERROR(INDEX($A4130:$AB4130,MATCH("Client",$A$1:$AB$1,0)),"")&amp;"")),"")</f>
        <v/>
      </c>
      <c r="AI4130" s="9">
        <f>IF(AF4130=1,IFERROR(INDEX($A4130:$AB4130,MATCH("Cost Centre",$A$1:$AB$1,0)),"")&amp;"","")</f>
        <v/>
      </c>
      <c r="AJ4130" s="54">
        <f>IF(AND(AF4130=1,AE4130&gt;=set_FYStart,AE4130&lt;=set_AsAt),1,0)</f>
        <v/>
      </c>
      <c r="AK4130" s="54">
        <f>IF(AND(AJ4130=1,AH4130&lt;&gt;"",COUNTIFS($AH$2:AH4130,AH4130,$AJ$2:AJ4130,1)=1),N(AL4129)+1,"")</f>
        <v/>
      </c>
      <c r="AL4130" s="54">
        <f>IF(AK4130&lt;&gt;"",AK4130,N(AL4129))</f>
        <v/>
      </c>
    </row>
    <row r="4131">
      <c r="A4131" t="inlineStr">
        <is>
          <t>PRD-1377</t>
        </is>
      </c>
      <c r="B4131" t="inlineStr">
        <is>
          <t>Production</t>
        </is>
      </c>
      <c r="AB4131" t="n">
        <v>1377</v>
      </c>
      <c r="AD4131" s="52">
        <f>IFERROR(N(IFERROR(INDEX($A4131:$AB4131,MATCH("Xero Invoiced Ex GST",$A$1:$AB$1,0)),"")),0)</f>
        <v/>
      </c>
      <c r="AE4131" s="53">
        <f>IFERROR(INDEX($A4131:$AB4131,MATCH("Xero Invoice Date",$A$1:$AB$1,0)),"")</f>
        <v/>
      </c>
      <c r="AF4131" s="54">
        <f>IF(AND(IFERROR(INDEX($A4131:$AB4131,MATCH("Xero Invoice No",$A$1:$AB$1,0)),"")&amp;""&lt;&gt;"",ISNUMBER(AE4131),AD4131&lt;&gt;0),1,0)</f>
        <v/>
      </c>
      <c r="AG4131" s="55">
        <f>IF(AF4131=1,EOMONTH(AE4131,0),"")</f>
        <v/>
      </c>
      <c r="AH4131" s="9">
        <f>IF(AF4131=1,UPPER(TRIM(IFERROR(INDEX($A4131:$AB4131,MATCH("Client",$A$1:$AB$1,0)),"")&amp;"")),"")</f>
        <v/>
      </c>
      <c r="AI4131" s="9">
        <f>IF(AF4131=1,IFERROR(INDEX($A4131:$AB4131,MATCH("Cost Centre",$A$1:$AB$1,0)),"")&amp;"","")</f>
        <v/>
      </c>
      <c r="AJ4131" s="54">
        <f>IF(AND(AF4131=1,AE4131&gt;=set_FYStart,AE4131&lt;=set_AsAt),1,0)</f>
        <v/>
      </c>
      <c r="AK4131" s="54">
        <f>IF(AND(AJ4131=1,AH4131&lt;&gt;"",COUNTIFS($AH$2:AH4131,AH4131,$AJ$2:AJ4131,1)=1),N(AL4130)+1,"")</f>
        <v/>
      </c>
      <c r="AL4131" s="54">
        <f>IF(AK4131&lt;&gt;"",AK4131,N(AL4130))</f>
        <v/>
      </c>
    </row>
    <row r="4132">
      <c r="A4132" t="inlineStr">
        <is>
          <t>CON-1377</t>
        </is>
      </c>
      <c r="B4132" t="inlineStr">
        <is>
          <t>Consulting</t>
        </is>
      </c>
      <c r="AB4132" t="n">
        <v>1377</v>
      </c>
      <c r="AD4132" s="52">
        <f>IFERROR(N(IFERROR(INDEX($A4132:$AB4132,MATCH("Xero Invoiced Ex GST",$A$1:$AB$1,0)),"")),0)</f>
        <v/>
      </c>
      <c r="AE4132" s="53">
        <f>IFERROR(INDEX($A4132:$AB4132,MATCH("Xero Invoice Date",$A$1:$AB$1,0)),"")</f>
        <v/>
      </c>
      <c r="AF4132" s="54">
        <f>IF(AND(IFERROR(INDEX($A4132:$AB4132,MATCH("Xero Invoice No",$A$1:$AB$1,0)),"")&amp;""&lt;&gt;"",ISNUMBER(AE4132),AD4132&lt;&gt;0),1,0)</f>
        <v/>
      </c>
      <c r="AG4132" s="55">
        <f>IF(AF4132=1,EOMONTH(AE4132,0),"")</f>
        <v/>
      </c>
      <c r="AH4132" s="9">
        <f>IF(AF4132=1,UPPER(TRIM(IFERROR(INDEX($A4132:$AB4132,MATCH("Client",$A$1:$AB$1,0)),"")&amp;"")),"")</f>
        <v/>
      </c>
      <c r="AI4132" s="9">
        <f>IF(AF4132=1,IFERROR(INDEX($A4132:$AB4132,MATCH("Cost Centre",$A$1:$AB$1,0)),"")&amp;"","")</f>
        <v/>
      </c>
      <c r="AJ4132" s="54">
        <f>IF(AND(AF4132=1,AE4132&gt;=set_FYStart,AE4132&lt;=set_AsAt),1,0)</f>
        <v/>
      </c>
      <c r="AK4132" s="54">
        <f>IF(AND(AJ4132=1,AH4132&lt;&gt;"",COUNTIFS($AH$2:AH4132,AH4132,$AJ$2:AJ4132,1)=1),N(AL4131)+1,"")</f>
        <v/>
      </c>
      <c r="AL4132" s="54">
        <f>IF(AK4132&lt;&gt;"",AK4132,N(AL4131))</f>
        <v/>
      </c>
    </row>
    <row r="4133">
      <c r="A4133" t="inlineStr">
        <is>
          <t>ONS-1378</t>
        </is>
      </c>
      <c r="B4133" t="inlineStr">
        <is>
          <t>Onsite</t>
        </is>
      </c>
      <c r="AB4133" t="n">
        <v>1378</v>
      </c>
      <c r="AD4133" s="52">
        <f>IFERROR(N(IFERROR(INDEX($A4133:$AB4133,MATCH("Xero Invoiced Ex GST",$A$1:$AB$1,0)),"")),0)</f>
        <v/>
      </c>
      <c r="AE4133" s="53">
        <f>IFERROR(INDEX($A4133:$AB4133,MATCH("Xero Invoice Date",$A$1:$AB$1,0)),"")</f>
        <v/>
      </c>
      <c r="AF4133" s="54">
        <f>IF(AND(IFERROR(INDEX($A4133:$AB4133,MATCH("Xero Invoice No",$A$1:$AB$1,0)),"")&amp;""&lt;&gt;"",ISNUMBER(AE4133),AD4133&lt;&gt;0),1,0)</f>
        <v/>
      </c>
      <c r="AG4133" s="55">
        <f>IF(AF4133=1,EOMONTH(AE4133,0),"")</f>
        <v/>
      </c>
      <c r="AH4133" s="9">
        <f>IF(AF4133=1,UPPER(TRIM(IFERROR(INDEX($A4133:$AB4133,MATCH("Client",$A$1:$AB$1,0)),"")&amp;"")),"")</f>
        <v/>
      </c>
      <c r="AI4133" s="9">
        <f>IF(AF4133=1,IFERROR(INDEX($A4133:$AB4133,MATCH("Cost Centre",$A$1:$AB$1,0)),"")&amp;"","")</f>
        <v/>
      </c>
      <c r="AJ4133" s="54">
        <f>IF(AND(AF4133=1,AE4133&gt;=set_FYStart,AE4133&lt;=set_AsAt),1,0)</f>
        <v/>
      </c>
      <c r="AK4133" s="54">
        <f>IF(AND(AJ4133=1,AH4133&lt;&gt;"",COUNTIFS($AH$2:AH4133,AH4133,$AJ$2:AJ4133,1)=1),N(AL4132)+1,"")</f>
        <v/>
      </c>
      <c r="AL4133" s="54">
        <f>IF(AK4133&lt;&gt;"",AK4133,N(AL4132))</f>
        <v/>
      </c>
    </row>
    <row r="4134">
      <c r="A4134" t="inlineStr">
        <is>
          <t>PRD-1378</t>
        </is>
      </c>
      <c r="B4134" t="inlineStr">
        <is>
          <t>Production</t>
        </is>
      </c>
      <c r="AB4134" t="n">
        <v>1378</v>
      </c>
      <c r="AD4134" s="52">
        <f>IFERROR(N(IFERROR(INDEX($A4134:$AB4134,MATCH("Xero Invoiced Ex GST",$A$1:$AB$1,0)),"")),0)</f>
        <v/>
      </c>
      <c r="AE4134" s="53">
        <f>IFERROR(INDEX($A4134:$AB4134,MATCH("Xero Invoice Date",$A$1:$AB$1,0)),"")</f>
        <v/>
      </c>
      <c r="AF4134" s="54">
        <f>IF(AND(IFERROR(INDEX($A4134:$AB4134,MATCH("Xero Invoice No",$A$1:$AB$1,0)),"")&amp;""&lt;&gt;"",ISNUMBER(AE4134),AD4134&lt;&gt;0),1,0)</f>
        <v/>
      </c>
      <c r="AG4134" s="55">
        <f>IF(AF4134=1,EOMONTH(AE4134,0),"")</f>
        <v/>
      </c>
      <c r="AH4134" s="9">
        <f>IF(AF4134=1,UPPER(TRIM(IFERROR(INDEX($A4134:$AB4134,MATCH("Client",$A$1:$AB$1,0)),"")&amp;"")),"")</f>
        <v/>
      </c>
      <c r="AI4134" s="9">
        <f>IF(AF4134=1,IFERROR(INDEX($A4134:$AB4134,MATCH("Cost Centre",$A$1:$AB$1,0)),"")&amp;"","")</f>
        <v/>
      </c>
      <c r="AJ4134" s="54">
        <f>IF(AND(AF4134=1,AE4134&gt;=set_FYStart,AE4134&lt;=set_AsAt),1,0)</f>
        <v/>
      </c>
      <c r="AK4134" s="54">
        <f>IF(AND(AJ4134=1,AH4134&lt;&gt;"",COUNTIFS($AH$2:AH4134,AH4134,$AJ$2:AJ4134,1)=1),N(AL4133)+1,"")</f>
        <v/>
      </c>
      <c r="AL4134" s="54">
        <f>IF(AK4134&lt;&gt;"",AK4134,N(AL4133))</f>
        <v/>
      </c>
    </row>
    <row r="4135">
      <c r="A4135" t="inlineStr">
        <is>
          <t>CON-1378</t>
        </is>
      </c>
      <c r="B4135" t="inlineStr">
        <is>
          <t>Consulting</t>
        </is>
      </c>
      <c r="AB4135" t="n">
        <v>1378</v>
      </c>
      <c r="AD4135" s="52">
        <f>IFERROR(N(IFERROR(INDEX($A4135:$AB4135,MATCH("Xero Invoiced Ex GST",$A$1:$AB$1,0)),"")),0)</f>
        <v/>
      </c>
      <c r="AE4135" s="53">
        <f>IFERROR(INDEX($A4135:$AB4135,MATCH("Xero Invoice Date",$A$1:$AB$1,0)),"")</f>
        <v/>
      </c>
      <c r="AF4135" s="54">
        <f>IF(AND(IFERROR(INDEX($A4135:$AB4135,MATCH("Xero Invoice No",$A$1:$AB$1,0)),"")&amp;""&lt;&gt;"",ISNUMBER(AE4135),AD4135&lt;&gt;0),1,0)</f>
        <v/>
      </c>
      <c r="AG4135" s="55">
        <f>IF(AF4135=1,EOMONTH(AE4135,0),"")</f>
        <v/>
      </c>
      <c r="AH4135" s="9">
        <f>IF(AF4135=1,UPPER(TRIM(IFERROR(INDEX($A4135:$AB4135,MATCH("Client",$A$1:$AB$1,0)),"")&amp;"")),"")</f>
        <v/>
      </c>
      <c r="AI4135" s="9">
        <f>IF(AF4135=1,IFERROR(INDEX($A4135:$AB4135,MATCH("Cost Centre",$A$1:$AB$1,0)),"")&amp;"","")</f>
        <v/>
      </c>
      <c r="AJ4135" s="54">
        <f>IF(AND(AF4135=1,AE4135&gt;=set_FYStart,AE4135&lt;=set_AsAt),1,0)</f>
        <v/>
      </c>
      <c r="AK4135" s="54">
        <f>IF(AND(AJ4135=1,AH4135&lt;&gt;"",COUNTIFS($AH$2:AH4135,AH4135,$AJ$2:AJ4135,1)=1),N(AL4134)+1,"")</f>
        <v/>
      </c>
      <c r="AL4135" s="54">
        <f>IF(AK4135&lt;&gt;"",AK4135,N(AL4134))</f>
        <v/>
      </c>
    </row>
    <row r="4136">
      <c r="A4136" t="inlineStr">
        <is>
          <t>ONS-1379</t>
        </is>
      </c>
      <c r="B4136" t="inlineStr">
        <is>
          <t>Onsite</t>
        </is>
      </c>
      <c r="AB4136" t="n">
        <v>1379</v>
      </c>
      <c r="AD4136" s="52">
        <f>IFERROR(N(IFERROR(INDEX($A4136:$AB4136,MATCH("Xero Invoiced Ex GST",$A$1:$AB$1,0)),"")),0)</f>
        <v/>
      </c>
      <c r="AE4136" s="53">
        <f>IFERROR(INDEX($A4136:$AB4136,MATCH("Xero Invoice Date",$A$1:$AB$1,0)),"")</f>
        <v/>
      </c>
      <c r="AF4136" s="54">
        <f>IF(AND(IFERROR(INDEX($A4136:$AB4136,MATCH("Xero Invoice No",$A$1:$AB$1,0)),"")&amp;""&lt;&gt;"",ISNUMBER(AE4136),AD4136&lt;&gt;0),1,0)</f>
        <v/>
      </c>
      <c r="AG4136" s="55">
        <f>IF(AF4136=1,EOMONTH(AE4136,0),"")</f>
        <v/>
      </c>
      <c r="AH4136" s="9">
        <f>IF(AF4136=1,UPPER(TRIM(IFERROR(INDEX($A4136:$AB4136,MATCH("Client",$A$1:$AB$1,0)),"")&amp;"")),"")</f>
        <v/>
      </c>
      <c r="AI4136" s="9">
        <f>IF(AF4136=1,IFERROR(INDEX($A4136:$AB4136,MATCH("Cost Centre",$A$1:$AB$1,0)),"")&amp;"","")</f>
        <v/>
      </c>
      <c r="AJ4136" s="54">
        <f>IF(AND(AF4136=1,AE4136&gt;=set_FYStart,AE4136&lt;=set_AsAt),1,0)</f>
        <v/>
      </c>
      <c r="AK4136" s="54">
        <f>IF(AND(AJ4136=1,AH4136&lt;&gt;"",COUNTIFS($AH$2:AH4136,AH4136,$AJ$2:AJ4136,1)=1),N(AL4135)+1,"")</f>
        <v/>
      </c>
      <c r="AL4136" s="54">
        <f>IF(AK4136&lt;&gt;"",AK4136,N(AL4135))</f>
        <v/>
      </c>
    </row>
    <row r="4137">
      <c r="A4137" t="inlineStr">
        <is>
          <t>PRD-1379</t>
        </is>
      </c>
      <c r="B4137" t="inlineStr">
        <is>
          <t>Production</t>
        </is>
      </c>
      <c r="AB4137" t="n">
        <v>1379</v>
      </c>
      <c r="AD4137" s="52">
        <f>IFERROR(N(IFERROR(INDEX($A4137:$AB4137,MATCH("Xero Invoiced Ex GST",$A$1:$AB$1,0)),"")),0)</f>
        <v/>
      </c>
      <c r="AE4137" s="53">
        <f>IFERROR(INDEX($A4137:$AB4137,MATCH("Xero Invoice Date",$A$1:$AB$1,0)),"")</f>
        <v/>
      </c>
      <c r="AF4137" s="54">
        <f>IF(AND(IFERROR(INDEX($A4137:$AB4137,MATCH("Xero Invoice No",$A$1:$AB$1,0)),"")&amp;""&lt;&gt;"",ISNUMBER(AE4137),AD4137&lt;&gt;0),1,0)</f>
        <v/>
      </c>
      <c r="AG4137" s="55">
        <f>IF(AF4137=1,EOMONTH(AE4137,0),"")</f>
        <v/>
      </c>
      <c r="AH4137" s="9">
        <f>IF(AF4137=1,UPPER(TRIM(IFERROR(INDEX($A4137:$AB4137,MATCH("Client",$A$1:$AB$1,0)),"")&amp;"")),"")</f>
        <v/>
      </c>
      <c r="AI4137" s="9">
        <f>IF(AF4137=1,IFERROR(INDEX($A4137:$AB4137,MATCH("Cost Centre",$A$1:$AB$1,0)),"")&amp;"","")</f>
        <v/>
      </c>
      <c r="AJ4137" s="54">
        <f>IF(AND(AF4137=1,AE4137&gt;=set_FYStart,AE4137&lt;=set_AsAt),1,0)</f>
        <v/>
      </c>
      <c r="AK4137" s="54">
        <f>IF(AND(AJ4137=1,AH4137&lt;&gt;"",COUNTIFS($AH$2:AH4137,AH4137,$AJ$2:AJ4137,1)=1),N(AL4136)+1,"")</f>
        <v/>
      </c>
      <c r="AL4137" s="54">
        <f>IF(AK4137&lt;&gt;"",AK4137,N(AL4136))</f>
        <v/>
      </c>
    </row>
    <row r="4138">
      <c r="A4138" t="inlineStr">
        <is>
          <t>CON-1379</t>
        </is>
      </c>
      <c r="B4138" t="inlineStr">
        <is>
          <t>Consulting</t>
        </is>
      </c>
      <c r="AB4138" t="n">
        <v>1379</v>
      </c>
      <c r="AD4138" s="52">
        <f>IFERROR(N(IFERROR(INDEX($A4138:$AB4138,MATCH("Xero Invoiced Ex GST",$A$1:$AB$1,0)),"")),0)</f>
        <v/>
      </c>
      <c r="AE4138" s="53">
        <f>IFERROR(INDEX($A4138:$AB4138,MATCH("Xero Invoice Date",$A$1:$AB$1,0)),"")</f>
        <v/>
      </c>
      <c r="AF4138" s="54">
        <f>IF(AND(IFERROR(INDEX($A4138:$AB4138,MATCH("Xero Invoice No",$A$1:$AB$1,0)),"")&amp;""&lt;&gt;"",ISNUMBER(AE4138),AD4138&lt;&gt;0),1,0)</f>
        <v/>
      </c>
      <c r="AG4138" s="55">
        <f>IF(AF4138=1,EOMONTH(AE4138,0),"")</f>
        <v/>
      </c>
      <c r="AH4138" s="9">
        <f>IF(AF4138=1,UPPER(TRIM(IFERROR(INDEX($A4138:$AB4138,MATCH("Client",$A$1:$AB$1,0)),"")&amp;"")),"")</f>
        <v/>
      </c>
      <c r="AI4138" s="9">
        <f>IF(AF4138=1,IFERROR(INDEX($A4138:$AB4138,MATCH("Cost Centre",$A$1:$AB$1,0)),"")&amp;"","")</f>
        <v/>
      </c>
      <c r="AJ4138" s="54">
        <f>IF(AND(AF4138=1,AE4138&gt;=set_FYStart,AE4138&lt;=set_AsAt),1,0)</f>
        <v/>
      </c>
      <c r="AK4138" s="54">
        <f>IF(AND(AJ4138=1,AH4138&lt;&gt;"",COUNTIFS($AH$2:AH4138,AH4138,$AJ$2:AJ4138,1)=1),N(AL4137)+1,"")</f>
        <v/>
      </c>
      <c r="AL4138" s="54">
        <f>IF(AK4138&lt;&gt;"",AK4138,N(AL4137))</f>
        <v/>
      </c>
    </row>
    <row r="4139">
      <c r="A4139" t="inlineStr">
        <is>
          <t>ONS-1380</t>
        </is>
      </c>
      <c r="B4139" t="inlineStr">
        <is>
          <t>Onsite</t>
        </is>
      </c>
      <c r="AB4139" t="n">
        <v>1380</v>
      </c>
      <c r="AD4139" s="52">
        <f>IFERROR(N(IFERROR(INDEX($A4139:$AB4139,MATCH("Xero Invoiced Ex GST",$A$1:$AB$1,0)),"")),0)</f>
        <v/>
      </c>
      <c r="AE4139" s="53">
        <f>IFERROR(INDEX($A4139:$AB4139,MATCH("Xero Invoice Date",$A$1:$AB$1,0)),"")</f>
        <v/>
      </c>
      <c r="AF4139" s="54">
        <f>IF(AND(IFERROR(INDEX($A4139:$AB4139,MATCH("Xero Invoice No",$A$1:$AB$1,0)),"")&amp;""&lt;&gt;"",ISNUMBER(AE4139),AD4139&lt;&gt;0),1,0)</f>
        <v/>
      </c>
      <c r="AG4139" s="55">
        <f>IF(AF4139=1,EOMONTH(AE4139,0),"")</f>
        <v/>
      </c>
      <c r="AH4139" s="9">
        <f>IF(AF4139=1,UPPER(TRIM(IFERROR(INDEX($A4139:$AB4139,MATCH("Client",$A$1:$AB$1,0)),"")&amp;"")),"")</f>
        <v/>
      </c>
      <c r="AI4139" s="9">
        <f>IF(AF4139=1,IFERROR(INDEX($A4139:$AB4139,MATCH("Cost Centre",$A$1:$AB$1,0)),"")&amp;"","")</f>
        <v/>
      </c>
      <c r="AJ4139" s="54">
        <f>IF(AND(AF4139=1,AE4139&gt;=set_FYStart,AE4139&lt;=set_AsAt),1,0)</f>
        <v/>
      </c>
      <c r="AK4139" s="54">
        <f>IF(AND(AJ4139=1,AH4139&lt;&gt;"",COUNTIFS($AH$2:AH4139,AH4139,$AJ$2:AJ4139,1)=1),N(AL4138)+1,"")</f>
        <v/>
      </c>
      <c r="AL4139" s="54">
        <f>IF(AK4139&lt;&gt;"",AK4139,N(AL4138))</f>
        <v/>
      </c>
    </row>
    <row r="4140">
      <c r="A4140" t="inlineStr">
        <is>
          <t>PRD-1380</t>
        </is>
      </c>
      <c r="B4140" t="inlineStr">
        <is>
          <t>Production</t>
        </is>
      </c>
      <c r="AB4140" t="n">
        <v>1380</v>
      </c>
      <c r="AD4140" s="52">
        <f>IFERROR(N(IFERROR(INDEX($A4140:$AB4140,MATCH("Xero Invoiced Ex GST",$A$1:$AB$1,0)),"")),0)</f>
        <v/>
      </c>
      <c r="AE4140" s="53">
        <f>IFERROR(INDEX($A4140:$AB4140,MATCH("Xero Invoice Date",$A$1:$AB$1,0)),"")</f>
        <v/>
      </c>
      <c r="AF4140" s="54">
        <f>IF(AND(IFERROR(INDEX($A4140:$AB4140,MATCH("Xero Invoice No",$A$1:$AB$1,0)),"")&amp;""&lt;&gt;"",ISNUMBER(AE4140),AD4140&lt;&gt;0),1,0)</f>
        <v/>
      </c>
      <c r="AG4140" s="55">
        <f>IF(AF4140=1,EOMONTH(AE4140,0),"")</f>
        <v/>
      </c>
      <c r="AH4140" s="9">
        <f>IF(AF4140=1,UPPER(TRIM(IFERROR(INDEX($A4140:$AB4140,MATCH("Client",$A$1:$AB$1,0)),"")&amp;"")),"")</f>
        <v/>
      </c>
      <c r="AI4140" s="9">
        <f>IF(AF4140=1,IFERROR(INDEX($A4140:$AB4140,MATCH("Cost Centre",$A$1:$AB$1,0)),"")&amp;"","")</f>
        <v/>
      </c>
      <c r="AJ4140" s="54">
        <f>IF(AND(AF4140=1,AE4140&gt;=set_FYStart,AE4140&lt;=set_AsAt),1,0)</f>
        <v/>
      </c>
      <c r="AK4140" s="54">
        <f>IF(AND(AJ4140=1,AH4140&lt;&gt;"",COUNTIFS($AH$2:AH4140,AH4140,$AJ$2:AJ4140,1)=1),N(AL4139)+1,"")</f>
        <v/>
      </c>
      <c r="AL4140" s="54">
        <f>IF(AK4140&lt;&gt;"",AK4140,N(AL4139))</f>
        <v/>
      </c>
    </row>
    <row r="4141">
      <c r="A4141" t="inlineStr">
        <is>
          <t>CON-1380</t>
        </is>
      </c>
      <c r="B4141" t="inlineStr">
        <is>
          <t>Consulting</t>
        </is>
      </c>
      <c r="AB4141" t="n">
        <v>1380</v>
      </c>
      <c r="AD4141" s="52">
        <f>IFERROR(N(IFERROR(INDEX($A4141:$AB4141,MATCH("Xero Invoiced Ex GST",$A$1:$AB$1,0)),"")),0)</f>
        <v/>
      </c>
      <c r="AE4141" s="53">
        <f>IFERROR(INDEX($A4141:$AB4141,MATCH("Xero Invoice Date",$A$1:$AB$1,0)),"")</f>
        <v/>
      </c>
      <c r="AF4141" s="54">
        <f>IF(AND(IFERROR(INDEX($A4141:$AB4141,MATCH("Xero Invoice No",$A$1:$AB$1,0)),"")&amp;""&lt;&gt;"",ISNUMBER(AE4141),AD4141&lt;&gt;0),1,0)</f>
        <v/>
      </c>
      <c r="AG4141" s="55">
        <f>IF(AF4141=1,EOMONTH(AE4141,0),"")</f>
        <v/>
      </c>
      <c r="AH4141" s="9">
        <f>IF(AF4141=1,UPPER(TRIM(IFERROR(INDEX($A4141:$AB4141,MATCH("Client",$A$1:$AB$1,0)),"")&amp;"")),"")</f>
        <v/>
      </c>
      <c r="AI4141" s="9">
        <f>IF(AF4141=1,IFERROR(INDEX($A4141:$AB4141,MATCH("Cost Centre",$A$1:$AB$1,0)),"")&amp;"","")</f>
        <v/>
      </c>
      <c r="AJ4141" s="54">
        <f>IF(AND(AF4141=1,AE4141&gt;=set_FYStart,AE4141&lt;=set_AsAt),1,0)</f>
        <v/>
      </c>
      <c r="AK4141" s="54">
        <f>IF(AND(AJ4141=1,AH4141&lt;&gt;"",COUNTIFS($AH$2:AH4141,AH4141,$AJ$2:AJ4141,1)=1),N(AL4140)+1,"")</f>
        <v/>
      </c>
      <c r="AL4141" s="54">
        <f>IF(AK4141&lt;&gt;"",AK4141,N(AL4140))</f>
        <v/>
      </c>
    </row>
    <row r="4142">
      <c r="A4142" t="inlineStr">
        <is>
          <t>ONS-1381</t>
        </is>
      </c>
      <c r="B4142" t="inlineStr">
        <is>
          <t>Onsite</t>
        </is>
      </c>
      <c r="AB4142" t="n">
        <v>1381</v>
      </c>
      <c r="AD4142" s="52">
        <f>IFERROR(N(IFERROR(INDEX($A4142:$AB4142,MATCH("Xero Invoiced Ex GST",$A$1:$AB$1,0)),"")),0)</f>
        <v/>
      </c>
      <c r="AE4142" s="53">
        <f>IFERROR(INDEX($A4142:$AB4142,MATCH("Xero Invoice Date",$A$1:$AB$1,0)),"")</f>
        <v/>
      </c>
      <c r="AF4142" s="54">
        <f>IF(AND(IFERROR(INDEX($A4142:$AB4142,MATCH("Xero Invoice No",$A$1:$AB$1,0)),"")&amp;""&lt;&gt;"",ISNUMBER(AE4142),AD4142&lt;&gt;0),1,0)</f>
        <v/>
      </c>
      <c r="AG4142" s="55">
        <f>IF(AF4142=1,EOMONTH(AE4142,0),"")</f>
        <v/>
      </c>
      <c r="AH4142" s="9">
        <f>IF(AF4142=1,UPPER(TRIM(IFERROR(INDEX($A4142:$AB4142,MATCH("Client",$A$1:$AB$1,0)),"")&amp;"")),"")</f>
        <v/>
      </c>
      <c r="AI4142" s="9">
        <f>IF(AF4142=1,IFERROR(INDEX($A4142:$AB4142,MATCH("Cost Centre",$A$1:$AB$1,0)),"")&amp;"","")</f>
        <v/>
      </c>
      <c r="AJ4142" s="54">
        <f>IF(AND(AF4142=1,AE4142&gt;=set_FYStart,AE4142&lt;=set_AsAt),1,0)</f>
        <v/>
      </c>
      <c r="AK4142" s="54">
        <f>IF(AND(AJ4142=1,AH4142&lt;&gt;"",COUNTIFS($AH$2:AH4142,AH4142,$AJ$2:AJ4142,1)=1),N(AL4141)+1,"")</f>
        <v/>
      </c>
      <c r="AL4142" s="54">
        <f>IF(AK4142&lt;&gt;"",AK4142,N(AL4141))</f>
        <v/>
      </c>
    </row>
    <row r="4143">
      <c r="A4143" t="inlineStr">
        <is>
          <t>PRD-1381</t>
        </is>
      </c>
      <c r="B4143" t="inlineStr">
        <is>
          <t>Production</t>
        </is>
      </c>
      <c r="AB4143" t="n">
        <v>1381</v>
      </c>
      <c r="AD4143" s="52">
        <f>IFERROR(N(IFERROR(INDEX($A4143:$AB4143,MATCH("Xero Invoiced Ex GST",$A$1:$AB$1,0)),"")),0)</f>
        <v/>
      </c>
      <c r="AE4143" s="53">
        <f>IFERROR(INDEX($A4143:$AB4143,MATCH("Xero Invoice Date",$A$1:$AB$1,0)),"")</f>
        <v/>
      </c>
      <c r="AF4143" s="54">
        <f>IF(AND(IFERROR(INDEX($A4143:$AB4143,MATCH("Xero Invoice No",$A$1:$AB$1,0)),"")&amp;""&lt;&gt;"",ISNUMBER(AE4143),AD4143&lt;&gt;0),1,0)</f>
        <v/>
      </c>
      <c r="AG4143" s="55">
        <f>IF(AF4143=1,EOMONTH(AE4143,0),"")</f>
        <v/>
      </c>
      <c r="AH4143" s="9">
        <f>IF(AF4143=1,UPPER(TRIM(IFERROR(INDEX($A4143:$AB4143,MATCH("Client",$A$1:$AB$1,0)),"")&amp;"")),"")</f>
        <v/>
      </c>
      <c r="AI4143" s="9">
        <f>IF(AF4143=1,IFERROR(INDEX($A4143:$AB4143,MATCH("Cost Centre",$A$1:$AB$1,0)),"")&amp;"","")</f>
        <v/>
      </c>
      <c r="AJ4143" s="54">
        <f>IF(AND(AF4143=1,AE4143&gt;=set_FYStart,AE4143&lt;=set_AsAt),1,0)</f>
        <v/>
      </c>
      <c r="AK4143" s="54">
        <f>IF(AND(AJ4143=1,AH4143&lt;&gt;"",COUNTIFS($AH$2:AH4143,AH4143,$AJ$2:AJ4143,1)=1),N(AL4142)+1,"")</f>
        <v/>
      </c>
      <c r="AL4143" s="54">
        <f>IF(AK4143&lt;&gt;"",AK4143,N(AL4142))</f>
        <v/>
      </c>
    </row>
    <row r="4144">
      <c r="A4144" t="inlineStr">
        <is>
          <t>CON-1381</t>
        </is>
      </c>
      <c r="B4144" t="inlineStr">
        <is>
          <t>Consulting</t>
        </is>
      </c>
      <c r="AB4144" t="n">
        <v>1381</v>
      </c>
      <c r="AD4144" s="52">
        <f>IFERROR(N(IFERROR(INDEX($A4144:$AB4144,MATCH("Xero Invoiced Ex GST",$A$1:$AB$1,0)),"")),0)</f>
        <v/>
      </c>
      <c r="AE4144" s="53">
        <f>IFERROR(INDEX($A4144:$AB4144,MATCH("Xero Invoice Date",$A$1:$AB$1,0)),"")</f>
        <v/>
      </c>
      <c r="AF4144" s="54">
        <f>IF(AND(IFERROR(INDEX($A4144:$AB4144,MATCH("Xero Invoice No",$A$1:$AB$1,0)),"")&amp;""&lt;&gt;"",ISNUMBER(AE4144),AD4144&lt;&gt;0),1,0)</f>
        <v/>
      </c>
      <c r="AG4144" s="55">
        <f>IF(AF4144=1,EOMONTH(AE4144,0),"")</f>
        <v/>
      </c>
      <c r="AH4144" s="9">
        <f>IF(AF4144=1,UPPER(TRIM(IFERROR(INDEX($A4144:$AB4144,MATCH("Client",$A$1:$AB$1,0)),"")&amp;"")),"")</f>
        <v/>
      </c>
      <c r="AI4144" s="9">
        <f>IF(AF4144=1,IFERROR(INDEX($A4144:$AB4144,MATCH("Cost Centre",$A$1:$AB$1,0)),"")&amp;"","")</f>
        <v/>
      </c>
      <c r="AJ4144" s="54">
        <f>IF(AND(AF4144=1,AE4144&gt;=set_FYStart,AE4144&lt;=set_AsAt),1,0)</f>
        <v/>
      </c>
      <c r="AK4144" s="54">
        <f>IF(AND(AJ4144=1,AH4144&lt;&gt;"",COUNTIFS($AH$2:AH4144,AH4144,$AJ$2:AJ4144,1)=1),N(AL4143)+1,"")</f>
        <v/>
      </c>
      <c r="AL4144" s="54">
        <f>IF(AK4144&lt;&gt;"",AK4144,N(AL4143))</f>
        <v/>
      </c>
    </row>
    <row r="4145">
      <c r="A4145" t="inlineStr">
        <is>
          <t>ONS-1382</t>
        </is>
      </c>
      <c r="B4145" t="inlineStr">
        <is>
          <t>Onsite</t>
        </is>
      </c>
      <c r="AB4145" t="n">
        <v>1382</v>
      </c>
      <c r="AD4145" s="52">
        <f>IFERROR(N(IFERROR(INDEX($A4145:$AB4145,MATCH("Xero Invoiced Ex GST",$A$1:$AB$1,0)),"")),0)</f>
        <v/>
      </c>
      <c r="AE4145" s="53">
        <f>IFERROR(INDEX($A4145:$AB4145,MATCH("Xero Invoice Date",$A$1:$AB$1,0)),"")</f>
        <v/>
      </c>
      <c r="AF4145" s="54">
        <f>IF(AND(IFERROR(INDEX($A4145:$AB4145,MATCH("Xero Invoice No",$A$1:$AB$1,0)),"")&amp;""&lt;&gt;"",ISNUMBER(AE4145),AD4145&lt;&gt;0),1,0)</f>
        <v/>
      </c>
      <c r="AG4145" s="55">
        <f>IF(AF4145=1,EOMONTH(AE4145,0),"")</f>
        <v/>
      </c>
      <c r="AH4145" s="9">
        <f>IF(AF4145=1,UPPER(TRIM(IFERROR(INDEX($A4145:$AB4145,MATCH("Client",$A$1:$AB$1,0)),"")&amp;"")),"")</f>
        <v/>
      </c>
      <c r="AI4145" s="9">
        <f>IF(AF4145=1,IFERROR(INDEX($A4145:$AB4145,MATCH("Cost Centre",$A$1:$AB$1,0)),"")&amp;"","")</f>
        <v/>
      </c>
      <c r="AJ4145" s="54">
        <f>IF(AND(AF4145=1,AE4145&gt;=set_FYStart,AE4145&lt;=set_AsAt),1,0)</f>
        <v/>
      </c>
      <c r="AK4145" s="54">
        <f>IF(AND(AJ4145=1,AH4145&lt;&gt;"",COUNTIFS($AH$2:AH4145,AH4145,$AJ$2:AJ4145,1)=1),N(AL4144)+1,"")</f>
        <v/>
      </c>
      <c r="AL4145" s="54">
        <f>IF(AK4145&lt;&gt;"",AK4145,N(AL4144))</f>
        <v/>
      </c>
    </row>
    <row r="4146">
      <c r="A4146" t="inlineStr">
        <is>
          <t>PRD-1382</t>
        </is>
      </c>
      <c r="B4146" t="inlineStr">
        <is>
          <t>Production</t>
        </is>
      </c>
      <c r="AB4146" t="n">
        <v>1382</v>
      </c>
      <c r="AD4146" s="52">
        <f>IFERROR(N(IFERROR(INDEX($A4146:$AB4146,MATCH("Xero Invoiced Ex GST",$A$1:$AB$1,0)),"")),0)</f>
        <v/>
      </c>
      <c r="AE4146" s="53">
        <f>IFERROR(INDEX($A4146:$AB4146,MATCH("Xero Invoice Date",$A$1:$AB$1,0)),"")</f>
        <v/>
      </c>
      <c r="AF4146" s="54">
        <f>IF(AND(IFERROR(INDEX($A4146:$AB4146,MATCH("Xero Invoice No",$A$1:$AB$1,0)),"")&amp;""&lt;&gt;"",ISNUMBER(AE4146),AD4146&lt;&gt;0),1,0)</f>
        <v/>
      </c>
      <c r="AG4146" s="55">
        <f>IF(AF4146=1,EOMONTH(AE4146,0),"")</f>
        <v/>
      </c>
      <c r="AH4146" s="9">
        <f>IF(AF4146=1,UPPER(TRIM(IFERROR(INDEX($A4146:$AB4146,MATCH("Client",$A$1:$AB$1,0)),"")&amp;"")),"")</f>
        <v/>
      </c>
      <c r="AI4146" s="9">
        <f>IF(AF4146=1,IFERROR(INDEX($A4146:$AB4146,MATCH("Cost Centre",$A$1:$AB$1,0)),"")&amp;"","")</f>
        <v/>
      </c>
      <c r="AJ4146" s="54">
        <f>IF(AND(AF4146=1,AE4146&gt;=set_FYStart,AE4146&lt;=set_AsAt),1,0)</f>
        <v/>
      </c>
      <c r="AK4146" s="54">
        <f>IF(AND(AJ4146=1,AH4146&lt;&gt;"",COUNTIFS($AH$2:AH4146,AH4146,$AJ$2:AJ4146,1)=1),N(AL4145)+1,"")</f>
        <v/>
      </c>
      <c r="AL4146" s="54">
        <f>IF(AK4146&lt;&gt;"",AK4146,N(AL4145))</f>
        <v/>
      </c>
    </row>
    <row r="4147">
      <c r="A4147" t="inlineStr">
        <is>
          <t>CON-1382</t>
        </is>
      </c>
      <c r="B4147" t="inlineStr">
        <is>
          <t>Consulting</t>
        </is>
      </c>
      <c r="AB4147" t="n">
        <v>1382</v>
      </c>
      <c r="AD4147" s="52">
        <f>IFERROR(N(IFERROR(INDEX($A4147:$AB4147,MATCH("Xero Invoiced Ex GST",$A$1:$AB$1,0)),"")),0)</f>
        <v/>
      </c>
      <c r="AE4147" s="53">
        <f>IFERROR(INDEX($A4147:$AB4147,MATCH("Xero Invoice Date",$A$1:$AB$1,0)),"")</f>
        <v/>
      </c>
      <c r="AF4147" s="54">
        <f>IF(AND(IFERROR(INDEX($A4147:$AB4147,MATCH("Xero Invoice No",$A$1:$AB$1,0)),"")&amp;""&lt;&gt;"",ISNUMBER(AE4147),AD4147&lt;&gt;0),1,0)</f>
        <v/>
      </c>
      <c r="AG4147" s="55">
        <f>IF(AF4147=1,EOMONTH(AE4147,0),"")</f>
        <v/>
      </c>
      <c r="AH4147" s="9">
        <f>IF(AF4147=1,UPPER(TRIM(IFERROR(INDEX($A4147:$AB4147,MATCH("Client",$A$1:$AB$1,0)),"")&amp;"")),"")</f>
        <v/>
      </c>
      <c r="AI4147" s="9">
        <f>IF(AF4147=1,IFERROR(INDEX($A4147:$AB4147,MATCH("Cost Centre",$A$1:$AB$1,0)),"")&amp;"","")</f>
        <v/>
      </c>
      <c r="AJ4147" s="54">
        <f>IF(AND(AF4147=1,AE4147&gt;=set_FYStart,AE4147&lt;=set_AsAt),1,0)</f>
        <v/>
      </c>
      <c r="AK4147" s="54">
        <f>IF(AND(AJ4147=1,AH4147&lt;&gt;"",COUNTIFS($AH$2:AH4147,AH4147,$AJ$2:AJ4147,1)=1),N(AL4146)+1,"")</f>
        <v/>
      </c>
      <c r="AL4147" s="54">
        <f>IF(AK4147&lt;&gt;"",AK4147,N(AL4146))</f>
        <v/>
      </c>
    </row>
    <row r="4148">
      <c r="A4148" t="inlineStr">
        <is>
          <t>ONS-1383</t>
        </is>
      </c>
      <c r="B4148" t="inlineStr">
        <is>
          <t>Onsite</t>
        </is>
      </c>
      <c r="AB4148" t="n">
        <v>1383</v>
      </c>
      <c r="AD4148" s="52">
        <f>IFERROR(N(IFERROR(INDEX($A4148:$AB4148,MATCH("Xero Invoiced Ex GST",$A$1:$AB$1,0)),"")),0)</f>
        <v/>
      </c>
      <c r="AE4148" s="53">
        <f>IFERROR(INDEX($A4148:$AB4148,MATCH("Xero Invoice Date",$A$1:$AB$1,0)),"")</f>
        <v/>
      </c>
      <c r="AF4148" s="54">
        <f>IF(AND(IFERROR(INDEX($A4148:$AB4148,MATCH("Xero Invoice No",$A$1:$AB$1,0)),"")&amp;""&lt;&gt;"",ISNUMBER(AE4148),AD4148&lt;&gt;0),1,0)</f>
        <v/>
      </c>
      <c r="AG4148" s="55">
        <f>IF(AF4148=1,EOMONTH(AE4148,0),"")</f>
        <v/>
      </c>
      <c r="AH4148" s="9">
        <f>IF(AF4148=1,UPPER(TRIM(IFERROR(INDEX($A4148:$AB4148,MATCH("Client",$A$1:$AB$1,0)),"")&amp;"")),"")</f>
        <v/>
      </c>
      <c r="AI4148" s="9">
        <f>IF(AF4148=1,IFERROR(INDEX($A4148:$AB4148,MATCH("Cost Centre",$A$1:$AB$1,0)),"")&amp;"","")</f>
        <v/>
      </c>
      <c r="AJ4148" s="54">
        <f>IF(AND(AF4148=1,AE4148&gt;=set_FYStart,AE4148&lt;=set_AsAt),1,0)</f>
        <v/>
      </c>
      <c r="AK4148" s="54">
        <f>IF(AND(AJ4148=1,AH4148&lt;&gt;"",COUNTIFS($AH$2:AH4148,AH4148,$AJ$2:AJ4148,1)=1),N(AL4147)+1,"")</f>
        <v/>
      </c>
      <c r="AL4148" s="54">
        <f>IF(AK4148&lt;&gt;"",AK4148,N(AL4147))</f>
        <v/>
      </c>
    </row>
    <row r="4149">
      <c r="A4149" t="inlineStr">
        <is>
          <t>PRD-1383</t>
        </is>
      </c>
      <c r="B4149" t="inlineStr">
        <is>
          <t>Production</t>
        </is>
      </c>
      <c r="AB4149" t="n">
        <v>1383</v>
      </c>
      <c r="AD4149" s="52">
        <f>IFERROR(N(IFERROR(INDEX($A4149:$AB4149,MATCH("Xero Invoiced Ex GST",$A$1:$AB$1,0)),"")),0)</f>
        <v/>
      </c>
      <c r="AE4149" s="53">
        <f>IFERROR(INDEX($A4149:$AB4149,MATCH("Xero Invoice Date",$A$1:$AB$1,0)),"")</f>
        <v/>
      </c>
      <c r="AF4149" s="54">
        <f>IF(AND(IFERROR(INDEX($A4149:$AB4149,MATCH("Xero Invoice No",$A$1:$AB$1,0)),"")&amp;""&lt;&gt;"",ISNUMBER(AE4149),AD4149&lt;&gt;0),1,0)</f>
        <v/>
      </c>
      <c r="AG4149" s="55">
        <f>IF(AF4149=1,EOMONTH(AE4149,0),"")</f>
        <v/>
      </c>
      <c r="AH4149" s="9">
        <f>IF(AF4149=1,UPPER(TRIM(IFERROR(INDEX($A4149:$AB4149,MATCH("Client",$A$1:$AB$1,0)),"")&amp;"")),"")</f>
        <v/>
      </c>
      <c r="AI4149" s="9">
        <f>IF(AF4149=1,IFERROR(INDEX($A4149:$AB4149,MATCH("Cost Centre",$A$1:$AB$1,0)),"")&amp;"","")</f>
        <v/>
      </c>
      <c r="AJ4149" s="54">
        <f>IF(AND(AF4149=1,AE4149&gt;=set_FYStart,AE4149&lt;=set_AsAt),1,0)</f>
        <v/>
      </c>
      <c r="AK4149" s="54">
        <f>IF(AND(AJ4149=1,AH4149&lt;&gt;"",COUNTIFS($AH$2:AH4149,AH4149,$AJ$2:AJ4149,1)=1),N(AL4148)+1,"")</f>
        <v/>
      </c>
      <c r="AL4149" s="54">
        <f>IF(AK4149&lt;&gt;"",AK4149,N(AL4148))</f>
        <v/>
      </c>
    </row>
    <row r="4150">
      <c r="A4150" t="inlineStr">
        <is>
          <t>CON-1383</t>
        </is>
      </c>
      <c r="B4150" t="inlineStr">
        <is>
          <t>Consulting</t>
        </is>
      </c>
      <c r="AB4150" t="n">
        <v>1383</v>
      </c>
      <c r="AD4150" s="52">
        <f>IFERROR(N(IFERROR(INDEX($A4150:$AB4150,MATCH("Xero Invoiced Ex GST",$A$1:$AB$1,0)),"")),0)</f>
        <v/>
      </c>
      <c r="AE4150" s="53">
        <f>IFERROR(INDEX($A4150:$AB4150,MATCH("Xero Invoice Date",$A$1:$AB$1,0)),"")</f>
        <v/>
      </c>
      <c r="AF4150" s="54">
        <f>IF(AND(IFERROR(INDEX($A4150:$AB4150,MATCH("Xero Invoice No",$A$1:$AB$1,0)),"")&amp;""&lt;&gt;"",ISNUMBER(AE4150),AD4150&lt;&gt;0),1,0)</f>
        <v/>
      </c>
      <c r="AG4150" s="55">
        <f>IF(AF4150=1,EOMONTH(AE4150,0),"")</f>
        <v/>
      </c>
      <c r="AH4150" s="9">
        <f>IF(AF4150=1,UPPER(TRIM(IFERROR(INDEX($A4150:$AB4150,MATCH("Client",$A$1:$AB$1,0)),"")&amp;"")),"")</f>
        <v/>
      </c>
      <c r="AI4150" s="9">
        <f>IF(AF4150=1,IFERROR(INDEX($A4150:$AB4150,MATCH("Cost Centre",$A$1:$AB$1,0)),"")&amp;"","")</f>
        <v/>
      </c>
      <c r="AJ4150" s="54">
        <f>IF(AND(AF4150=1,AE4150&gt;=set_FYStart,AE4150&lt;=set_AsAt),1,0)</f>
        <v/>
      </c>
      <c r="AK4150" s="54">
        <f>IF(AND(AJ4150=1,AH4150&lt;&gt;"",COUNTIFS($AH$2:AH4150,AH4150,$AJ$2:AJ4150,1)=1),N(AL4149)+1,"")</f>
        <v/>
      </c>
      <c r="AL4150" s="54">
        <f>IF(AK4150&lt;&gt;"",AK4150,N(AL4149))</f>
        <v/>
      </c>
    </row>
    <row r="4151">
      <c r="A4151" t="inlineStr">
        <is>
          <t>ONS-1384</t>
        </is>
      </c>
      <c r="B4151" t="inlineStr">
        <is>
          <t>Onsite</t>
        </is>
      </c>
      <c r="AB4151" t="n">
        <v>1384</v>
      </c>
      <c r="AD4151" s="52">
        <f>IFERROR(N(IFERROR(INDEX($A4151:$AB4151,MATCH("Xero Invoiced Ex GST",$A$1:$AB$1,0)),"")),0)</f>
        <v/>
      </c>
      <c r="AE4151" s="53">
        <f>IFERROR(INDEX($A4151:$AB4151,MATCH("Xero Invoice Date",$A$1:$AB$1,0)),"")</f>
        <v/>
      </c>
      <c r="AF4151" s="54">
        <f>IF(AND(IFERROR(INDEX($A4151:$AB4151,MATCH("Xero Invoice No",$A$1:$AB$1,0)),"")&amp;""&lt;&gt;"",ISNUMBER(AE4151),AD4151&lt;&gt;0),1,0)</f>
        <v/>
      </c>
      <c r="AG4151" s="55">
        <f>IF(AF4151=1,EOMONTH(AE4151,0),"")</f>
        <v/>
      </c>
      <c r="AH4151" s="9">
        <f>IF(AF4151=1,UPPER(TRIM(IFERROR(INDEX($A4151:$AB4151,MATCH("Client",$A$1:$AB$1,0)),"")&amp;"")),"")</f>
        <v/>
      </c>
      <c r="AI4151" s="9">
        <f>IF(AF4151=1,IFERROR(INDEX($A4151:$AB4151,MATCH("Cost Centre",$A$1:$AB$1,0)),"")&amp;"","")</f>
        <v/>
      </c>
      <c r="AJ4151" s="54">
        <f>IF(AND(AF4151=1,AE4151&gt;=set_FYStart,AE4151&lt;=set_AsAt),1,0)</f>
        <v/>
      </c>
      <c r="AK4151" s="54">
        <f>IF(AND(AJ4151=1,AH4151&lt;&gt;"",COUNTIFS($AH$2:AH4151,AH4151,$AJ$2:AJ4151,1)=1),N(AL4150)+1,"")</f>
        <v/>
      </c>
      <c r="AL4151" s="54">
        <f>IF(AK4151&lt;&gt;"",AK4151,N(AL4150))</f>
        <v/>
      </c>
    </row>
    <row r="4152">
      <c r="A4152" t="inlineStr">
        <is>
          <t>PRD-1384</t>
        </is>
      </c>
      <c r="B4152" t="inlineStr">
        <is>
          <t>Production</t>
        </is>
      </c>
      <c r="AB4152" t="n">
        <v>1384</v>
      </c>
      <c r="AD4152" s="52">
        <f>IFERROR(N(IFERROR(INDEX($A4152:$AB4152,MATCH("Xero Invoiced Ex GST",$A$1:$AB$1,0)),"")),0)</f>
        <v/>
      </c>
      <c r="AE4152" s="53">
        <f>IFERROR(INDEX($A4152:$AB4152,MATCH("Xero Invoice Date",$A$1:$AB$1,0)),"")</f>
        <v/>
      </c>
      <c r="AF4152" s="54">
        <f>IF(AND(IFERROR(INDEX($A4152:$AB4152,MATCH("Xero Invoice No",$A$1:$AB$1,0)),"")&amp;""&lt;&gt;"",ISNUMBER(AE4152),AD4152&lt;&gt;0),1,0)</f>
        <v/>
      </c>
      <c r="AG4152" s="55">
        <f>IF(AF4152=1,EOMONTH(AE4152,0),"")</f>
        <v/>
      </c>
      <c r="AH4152" s="9">
        <f>IF(AF4152=1,UPPER(TRIM(IFERROR(INDEX($A4152:$AB4152,MATCH("Client",$A$1:$AB$1,0)),"")&amp;"")),"")</f>
        <v/>
      </c>
      <c r="AI4152" s="9">
        <f>IF(AF4152=1,IFERROR(INDEX($A4152:$AB4152,MATCH("Cost Centre",$A$1:$AB$1,0)),"")&amp;"","")</f>
        <v/>
      </c>
      <c r="AJ4152" s="54">
        <f>IF(AND(AF4152=1,AE4152&gt;=set_FYStart,AE4152&lt;=set_AsAt),1,0)</f>
        <v/>
      </c>
      <c r="AK4152" s="54">
        <f>IF(AND(AJ4152=1,AH4152&lt;&gt;"",COUNTIFS($AH$2:AH4152,AH4152,$AJ$2:AJ4152,1)=1),N(AL4151)+1,"")</f>
        <v/>
      </c>
      <c r="AL4152" s="54">
        <f>IF(AK4152&lt;&gt;"",AK4152,N(AL4151))</f>
        <v/>
      </c>
    </row>
    <row r="4153">
      <c r="A4153" t="inlineStr">
        <is>
          <t>CON-1384</t>
        </is>
      </c>
      <c r="B4153" t="inlineStr">
        <is>
          <t>Consulting</t>
        </is>
      </c>
      <c r="AB4153" t="n">
        <v>1384</v>
      </c>
      <c r="AD4153" s="52">
        <f>IFERROR(N(IFERROR(INDEX($A4153:$AB4153,MATCH("Xero Invoiced Ex GST",$A$1:$AB$1,0)),"")),0)</f>
        <v/>
      </c>
      <c r="AE4153" s="53">
        <f>IFERROR(INDEX($A4153:$AB4153,MATCH("Xero Invoice Date",$A$1:$AB$1,0)),"")</f>
        <v/>
      </c>
      <c r="AF4153" s="54">
        <f>IF(AND(IFERROR(INDEX($A4153:$AB4153,MATCH("Xero Invoice No",$A$1:$AB$1,0)),"")&amp;""&lt;&gt;"",ISNUMBER(AE4153),AD4153&lt;&gt;0),1,0)</f>
        <v/>
      </c>
      <c r="AG4153" s="55">
        <f>IF(AF4153=1,EOMONTH(AE4153,0),"")</f>
        <v/>
      </c>
      <c r="AH4153" s="9">
        <f>IF(AF4153=1,UPPER(TRIM(IFERROR(INDEX($A4153:$AB4153,MATCH("Client",$A$1:$AB$1,0)),"")&amp;"")),"")</f>
        <v/>
      </c>
      <c r="AI4153" s="9">
        <f>IF(AF4153=1,IFERROR(INDEX($A4153:$AB4153,MATCH("Cost Centre",$A$1:$AB$1,0)),"")&amp;"","")</f>
        <v/>
      </c>
      <c r="AJ4153" s="54">
        <f>IF(AND(AF4153=1,AE4153&gt;=set_FYStart,AE4153&lt;=set_AsAt),1,0)</f>
        <v/>
      </c>
      <c r="AK4153" s="54">
        <f>IF(AND(AJ4153=1,AH4153&lt;&gt;"",COUNTIFS($AH$2:AH4153,AH4153,$AJ$2:AJ4153,1)=1),N(AL4152)+1,"")</f>
        <v/>
      </c>
      <c r="AL4153" s="54">
        <f>IF(AK4153&lt;&gt;"",AK4153,N(AL4152))</f>
        <v/>
      </c>
    </row>
    <row r="4154">
      <c r="A4154" t="inlineStr">
        <is>
          <t>ONS-1385</t>
        </is>
      </c>
      <c r="B4154" t="inlineStr">
        <is>
          <t>Onsite</t>
        </is>
      </c>
      <c r="AB4154" t="n">
        <v>1385</v>
      </c>
      <c r="AD4154" s="52">
        <f>IFERROR(N(IFERROR(INDEX($A4154:$AB4154,MATCH("Xero Invoiced Ex GST",$A$1:$AB$1,0)),"")),0)</f>
        <v/>
      </c>
      <c r="AE4154" s="53">
        <f>IFERROR(INDEX($A4154:$AB4154,MATCH("Xero Invoice Date",$A$1:$AB$1,0)),"")</f>
        <v/>
      </c>
      <c r="AF4154" s="54">
        <f>IF(AND(IFERROR(INDEX($A4154:$AB4154,MATCH("Xero Invoice No",$A$1:$AB$1,0)),"")&amp;""&lt;&gt;"",ISNUMBER(AE4154),AD4154&lt;&gt;0),1,0)</f>
        <v/>
      </c>
      <c r="AG4154" s="55">
        <f>IF(AF4154=1,EOMONTH(AE4154,0),"")</f>
        <v/>
      </c>
      <c r="AH4154" s="9">
        <f>IF(AF4154=1,UPPER(TRIM(IFERROR(INDEX($A4154:$AB4154,MATCH("Client",$A$1:$AB$1,0)),"")&amp;"")),"")</f>
        <v/>
      </c>
      <c r="AI4154" s="9">
        <f>IF(AF4154=1,IFERROR(INDEX($A4154:$AB4154,MATCH("Cost Centre",$A$1:$AB$1,0)),"")&amp;"","")</f>
        <v/>
      </c>
      <c r="AJ4154" s="54">
        <f>IF(AND(AF4154=1,AE4154&gt;=set_FYStart,AE4154&lt;=set_AsAt),1,0)</f>
        <v/>
      </c>
      <c r="AK4154" s="54">
        <f>IF(AND(AJ4154=1,AH4154&lt;&gt;"",COUNTIFS($AH$2:AH4154,AH4154,$AJ$2:AJ4154,1)=1),N(AL4153)+1,"")</f>
        <v/>
      </c>
      <c r="AL4154" s="54">
        <f>IF(AK4154&lt;&gt;"",AK4154,N(AL4153))</f>
        <v/>
      </c>
    </row>
    <row r="4155">
      <c r="A4155" t="inlineStr">
        <is>
          <t>PRD-1385</t>
        </is>
      </c>
      <c r="B4155" t="inlineStr">
        <is>
          <t>Production</t>
        </is>
      </c>
      <c r="AB4155" t="n">
        <v>1385</v>
      </c>
      <c r="AD4155" s="52">
        <f>IFERROR(N(IFERROR(INDEX($A4155:$AB4155,MATCH("Xero Invoiced Ex GST",$A$1:$AB$1,0)),"")),0)</f>
        <v/>
      </c>
      <c r="AE4155" s="53">
        <f>IFERROR(INDEX($A4155:$AB4155,MATCH("Xero Invoice Date",$A$1:$AB$1,0)),"")</f>
        <v/>
      </c>
      <c r="AF4155" s="54">
        <f>IF(AND(IFERROR(INDEX($A4155:$AB4155,MATCH("Xero Invoice No",$A$1:$AB$1,0)),"")&amp;""&lt;&gt;"",ISNUMBER(AE4155),AD4155&lt;&gt;0),1,0)</f>
        <v/>
      </c>
      <c r="AG4155" s="55">
        <f>IF(AF4155=1,EOMONTH(AE4155,0),"")</f>
        <v/>
      </c>
      <c r="AH4155" s="9">
        <f>IF(AF4155=1,UPPER(TRIM(IFERROR(INDEX($A4155:$AB4155,MATCH("Client",$A$1:$AB$1,0)),"")&amp;"")),"")</f>
        <v/>
      </c>
      <c r="AI4155" s="9">
        <f>IF(AF4155=1,IFERROR(INDEX($A4155:$AB4155,MATCH("Cost Centre",$A$1:$AB$1,0)),"")&amp;"","")</f>
        <v/>
      </c>
      <c r="AJ4155" s="54">
        <f>IF(AND(AF4155=1,AE4155&gt;=set_FYStart,AE4155&lt;=set_AsAt),1,0)</f>
        <v/>
      </c>
      <c r="AK4155" s="54">
        <f>IF(AND(AJ4155=1,AH4155&lt;&gt;"",COUNTIFS($AH$2:AH4155,AH4155,$AJ$2:AJ4155,1)=1),N(AL4154)+1,"")</f>
        <v/>
      </c>
      <c r="AL4155" s="54">
        <f>IF(AK4155&lt;&gt;"",AK4155,N(AL4154))</f>
        <v/>
      </c>
    </row>
    <row r="4156">
      <c r="A4156" t="inlineStr">
        <is>
          <t>CON-1385</t>
        </is>
      </c>
      <c r="B4156" t="inlineStr">
        <is>
          <t>Consulting</t>
        </is>
      </c>
      <c r="AB4156" t="n">
        <v>1385</v>
      </c>
      <c r="AD4156" s="52">
        <f>IFERROR(N(IFERROR(INDEX($A4156:$AB4156,MATCH("Xero Invoiced Ex GST",$A$1:$AB$1,0)),"")),0)</f>
        <v/>
      </c>
      <c r="AE4156" s="53">
        <f>IFERROR(INDEX($A4156:$AB4156,MATCH("Xero Invoice Date",$A$1:$AB$1,0)),"")</f>
        <v/>
      </c>
      <c r="AF4156" s="54">
        <f>IF(AND(IFERROR(INDEX($A4156:$AB4156,MATCH("Xero Invoice No",$A$1:$AB$1,0)),"")&amp;""&lt;&gt;"",ISNUMBER(AE4156),AD4156&lt;&gt;0),1,0)</f>
        <v/>
      </c>
      <c r="AG4156" s="55">
        <f>IF(AF4156=1,EOMONTH(AE4156,0),"")</f>
        <v/>
      </c>
      <c r="AH4156" s="9">
        <f>IF(AF4156=1,UPPER(TRIM(IFERROR(INDEX($A4156:$AB4156,MATCH("Client",$A$1:$AB$1,0)),"")&amp;"")),"")</f>
        <v/>
      </c>
      <c r="AI4156" s="9">
        <f>IF(AF4156=1,IFERROR(INDEX($A4156:$AB4156,MATCH("Cost Centre",$A$1:$AB$1,0)),"")&amp;"","")</f>
        <v/>
      </c>
      <c r="AJ4156" s="54">
        <f>IF(AND(AF4156=1,AE4156&gt;=set_FYStart,AE4156&lt;=set_AsAt),1,0)</f>
        <v/>
      </c>
      <c r="AK4156" s="54">
        <f>IF(AND(AJ4156=1,AH4156&lt;&gt;"",COUNTIFS($AH$2:AH4156,AH4156,$AJ$2:AJ4156,1)=1),N(AL4155)+1,"")</f>
        <v/>
      </c>
      <c r="AL4156" s="54">
        <f>IF(AK4156&lt;&gt;"",AK4156,N(AL4155))</f>
        <v/>
      </c>
    </row>
    <row r="4157">
      <c r="A4157" t="inlineStr">
        <is>
          <t>ONS-1386</t>
        </is>
      </c>
      <c r="B4157" t="inlineStr">
        <is>
          <t>Onsite</t>
        </is>
      </c>
      <c r="AB4157" t="n">
        <v>1386</v>
      </c>
      <c r="AD4157" s="52">
        <f>IFERROR(N(IFERROR(INDEX($A4157:$AB4157,MATCH("Xero Invoiced Ex GST",$A$1:$AB$1,0)),"")),0)</f>
        <v/>
      </c>
      <c r="AE4157" s="53">
        <f>IFERROR(INDEX($A4157:$AB4157,MATCH("Xero Invoice Date",$A$1:$AB$1,0)),"")</f>
        <v/>
      </c>
      <c r="AF4157" s="54">
        <f>IF(AND(IFERROR(INDEX($A4157:$AB4157,MATCH("Xero Invoice No",$A$1:$AB$1,0)),"")&amp;""&lt;&gt;"",ISNUMBER(AE4157),AD4157&lt;&gt;0),1,0)</f>
        <v/>
      </c>
      <c r="AG4157" s="55">
        <f>IF(AF4157=1,EOMONTH(AE4157,0),"")</f>
        <v/>
      </c>
      <c r="AH4157" s="9">
        <f>IF(AF4157=1,UPPER(TRIM(IFERROR(INDEX($A4157:$AB4157,MATCH("Client",$A$1:$AB$1,0)),"")&amp;"")),"")</f>
        <v/>
      </c>
      <c r="AI4157" s="9">
        <f>IF(AF4157=1,IFERROR(INDEX($A4157:$AB4157,MATCH("Cost Centre",$A$1:$AB$1,0)),"")&amp;"","")</f>
        <v/>
      </c>
      <c r="AJ4157" s="54">
        <f>IF(AND(AF4157=1,AE4157&gt;=set_FYStart,AE4157&lt;=set_AsAt),1,0)</f>
        <v/>
      </c>
      <c r="AK4157" s="54">
        <f>IF(AND(AJ4157=1,AH4157&lt;&gt;"",COUNTIFS($AH$2:AH4157,AH4157,$AJ$2:AJ4157,1)=1),N(AL4156)+1,"")</f>
        <v/>
      </c>
      <c r="AL4157" s="54">
        <f>IF(AK4157&lt;&gt;"",AK4157,N(AL4156))</f>
        <v/>
      </c>
    </row>
    <row r="4158">
      <c r="A4158" t="inlineStr">
        <is>
          <t>PRD-1386</t>
        </is>
      </c>
      <c r="B4158" t="inlineStr">
        <is>
          <t>Production</t>
        </is>
      </c>
      <c r="AB4158" t="n">
        <v>1386</v>
      </c>
      <c r="AD4158" s="52">
        <f>IFERROR(N(IFERROR(INDEX($A4158:$AB4158,MATCH("Xero Invoiced Ex GST",$A$1:$AB$1,0)),"")),0)</f>
        <v/>
      </c>
      <c r="AE4158" s="53">
        <f>IFERROR(INDEX($A4158:$AB4158,MATCH("Xero Invoice Date",$A$1:$AB$1,0)),"")</f>
        <v/>
      </c>
      <c r="AF4158" s="54">
        <f>IF(AND(IFERROR(INDEX($A4158:$AB4158,MATCH("Xero Invoice No",$A$1:$AB$1,0)),"")&amp;""&lt;&gt;"",ISNUMBER(AE4158),AD4158&lt;&gt;0),1,0)</f>
        <v/>
      </c>
      <c r="AG4158" s="55">
        <f>IF(AF4158=1,EOMONTH(AE4158,0),"")</f>
        <v/>
      </c>
      <c r="AH4158" s="9">
        <f>IF(AF4158=1,UPPER(TRIM(IFERROR(INDEX($A4158:$AB4158,MATCH("Client",$A$1:$AB$1,0)),"")&amp;"")),"")</f>
        <v/>
      </c>
      <c r="AI4158" s="9">
        <f>IF(AF4158=1,IFERROR(INDEX($A4158:$AB4158,MATCH("Cost Centre",$A$1:$AB$1,0)),"")&amp;"","")</f>
        <v/>
      </c>
      <c r="AJ4158" s="54">
        <f>IF(AND(AF4158=1,AE4158&gt;=set_FYStart,AE4158&lt;=set_AsAt),1,0)</f>
        <v/>
      </c>
      <c r="AK4158" s="54">
        <f>IF(AND(AJ4158=1,AH4158&lt;&gt;"",COUNTIFS($AH$2:AH4158,AH4158,$AJ$2:AJ4158,1)=1),N(AL4157)+1,"")</f>
        <v/>
      </c>
      <c r="AL4158" s="54">
        <f>IF(AK4158&lt;&gt;"",AK4158,N(AL4157))</f>
        <v/>
      </c>
    </row>
    <row r="4159">
      <c r="A4159" t="inlineStr">
        <is>
          <t>CON-1386</t>
        </is>
      </c>
      <c r="B4159" t="inlineStr">
        <is>
          <t>Consulting</t>
        </is>
      </c>
      <c r="AB4159" t="n">
        <v>1386</v>
      </c>
      <c r="AD4159" s="52">
        <f>IFERROR(N(IFERROR(INDEX($A4159:$AB4159,MATCH("Xero Invoiced Ex GST",$A$1:$AB$1,0)),"")),0)</f>
        <v/>
      </c>
      <c r="AE4159" s="53">
        <f>IFERROR(INDEX($A4159:$AB4159,MATCH("Xero Invoice Date",$A$1:$AB$1,0)),"")</f>
        <v/>
      </c>
      <c r="AF4159" s="54">
        <f>IF(AND(IFERROR(INDEX($A4159:$AB4159,MATCH("Xero Invoice No",$A$1:$AB$1,0)),"")&amp;""&lt;&gt;"",ISNUMBER(AE4159),AD4159&lt;&gt;0),1,0)</f>
        <v/>
      </c>
      <c r="AG4159" s="55">
        <f>IF(AF4159=1,EOMONTH(AE4159,0),"")</f>
        <v/>
      </c>
      <c r="AH4159" s="9">
        <f>IF(AF4159=1,UPPER(TRIM(IFERROR(INDEX($A4159:$AB4159,MATCH("Client",$A$1:$AB$1,0)),"")&amp;"")),"")</f>
        <v/>
      </c>
      <c r="AI4159" s="9">
        <f>IF(AF4159=1,IFERROR(INDEX($A4159:$AB4159,MATCH("Cost Centre",$A$1:$AB$1,0)),"")&amp;"","")</f>
        <v/>
      </c>
      <c r="AJ4159" s="54">
        <f>IF(AND(AF4159=1,AE4159&gt;=set_FYStart,AE4159&lt;=set_AsAt),1,0)</f>
        <v/>
      </c>
      <c r="AK4159" s="54">
        <f>IF(AND(AJ4159=1,AH4159&lt;&gt;"",COUNTIFS($AH$2:AH4159,AH4159,$AJ$2:AJ4159,1)=1),N(AL4158)+1,"")</f>
        <v/>
      </c>
      <c r="AL4159" s="54">
        <f>IF(AK4159&lt;&gt;"",AK4159,N(AL4158))</f>
        <v/>
      </c>
    </row>
    <row r="4160">
      <c r="A4160" t="inlineStr">
        <is>
          <t>ONS-1387</t>
        </is>
      </c>
      <c r="B4160" t="inlineStr">
        <is>
          <t>Onsite</t>
        </is>
      </c>
      <c r="AB4160" t="n">
        <v>1387</v>
      </c>
      <c r="AD4160" s="52">
        <f>IFERROR(N(IFERROR(INDEX($A4160:$AB4160,MATCH("Xero Invoiced Ex GST",$A$1:$AB$1,0)),"")),0)</f>
        <v/>
      </c>
      <c r="AE4160" s="53">
        <f>IFERROR(INDEX($A4160:$AB4160,MATCH("Xero Invoice Date",$A$1:$AB$1,0)),"")</f>
        <v/>
      </c>
      <c r="AF4160" s="54">
        <f>IF(AND(IFERROR(INDEX($A4160:$AB4160,MATCH("Xero Invoice No",$A$1:$AB$1,0)),"")&amp;""&lt;&gt;"",ISNUMBER(AE4160),AD4160&lt;&gt;0),1,0)</f>
        <v/>
      </c>
      <c r="AG4160" s="55">
        <f>IF(AF4160=1,EOMONTH(AE4160,0),"")</f>
        <v/>
      </c>
      <c r="AH4160" s="9">
        <f>IF(AF4160=1,UPPER(TRIM(IFERROR(INDEX($A4160:$AB4160,MATCH("Client",$A$1:$AB$1,0)),"")&amp;"")),"")</f>
        <v/>
      </c>
      <c r="AI4160" s="9">
        <f>IF(AF4160=1,IFERROR(INDEX($A4160:$AB4160,MATCH("Cost Centre",$A$1:$AB$1,0)),"")&amp;"","")</f>
        <v/>
      </c>
      <c r="AJ4160" s="54">
        <f>IF(AND(AF4160=1,AE4160&gt;=set_FYStart,AE4160&lt;=set_AsAt),1,0)</f>
        <v/>
      </c>
      <c r="AK4160" s="54">
        <f>IF(AND(AJ4160=1,AH4160&lt;&gt;"",COUNTIFS($AH$2:AH4160,AH4160,$AJ$2:AJ4160,1)=1),N(AL4159)+1,"")</f>
        <v/>
      </c>
      <c r="AL4160" s="54">
        <f>IF(AK4160&lt;&gt;"",AK4160,N(AL4159))</f>
        <v/>
      </c>
    </row>
    <row r="4161">
      <c r="A4161" t="inlineStr">
        <is>
          <t>PRD-1387</t>
        </is>
      </c>
      <c r="B4161" t="inlineStr">
        <is>
          <t>Production</t>
        </is>
      </c>
      <c r="AB4161" t="n">
        <v>1387</v>
      </c>
      <c r="AD4161" s="52">
        <f>IFERROR(N(IFERROR(INDEX($A4161:$AB4161,MATCH("Xero Invoiced Ex GST",$A$1:$AB$1,0)),"")),0)</f>
        <v/>
      </c>
      <c r="AE4161" s="53">
        <f>IFERROR(INDEX($A4161:$AB4161,MATCH("Xero Invoice Date",$A$1:$AB$1,0)),"")</f>
        <v/>
      </c>
      <c r="AF4161" s="54">
        <f>IF(AND(IFERROR(INDEX($A4161:$AB4161,MATCH("Xero Invoice No",$A$1:$AB$1,0)),"")&amp;""&lt;&gt;"",ISNUMBER(AE4161),AD4161&lt;&gt;0),1,0)</f>
        <v/>
      </c>
      <c r="AG4161" s="55">
        <f>IF(AF4161=1,EOMONTH(AE4161,0),"")</f>
        <v/>
      </c>
      <c r="AH4161" s="9">
        <f>IF(AF4161=1,UPPER(TRIM(IFERROR(INDEX($A4161:$AB4161,MATCH("Client",$A$1:$AB$1,0)),"")&amp;"")),"")</f>
        <v/>
      </c>
      <c r="AI4161" s="9">
        <f>IF(AF4161=1,IFERROR(INDEX($A4161:$AB4161,MATCH("Cost Centre",$A$1:$AB$1,0)),"")&amp;"","")</f>
        <v/>
      </c>
      <c r="AJ4161" s="54">
        <f>IF(AND(AF4161=1,AE4161&gt;=set_FYStart,AE4161&lt;=set_AsAt),1,0)</f>
        <v/>
      </c>
      <c r="AK4161" s="54">
        <f>IF(AND(AJ4161=1,AH4161&lt;&gt;"",COUNTIFS($AH$2:AH4161,AH4161,$AJ$2:AJ4161,1)=1),N(AL4160)+1,"")</f>
        <v/>
      </c>
      <c r="AL4161" s="54">
        <f>IF(AK4161&lt;&gt;"",AK4161,N(AL4160))</f>
        <v/>
      </c>
    </row>
    <row r="4162">
      <c r="A4162" t="inlineStr">
        <is>
          <t>CON-1387</t>
        </is>
      </c>
      <c r="B4162" t="inlineStr">
        <is>
          <t>Consulting</t>
        </is>
      </c>
      <c r="AB4162" t="n">
        <v>1387</v>
      </c>
      <c r="AD4162" s="52">
        <f>IFERROR(N(IFERROR(INDEX($A4162:$AB4162,MATCH("Xero Invoiced Ex GST",$A$1:$AB$1,0)),"")),0)</f>
        <v/>
      </c>
      <c r="AE4162" s="53">
        <f>IFERROR(INDEX($A4162:$AB4162,MATCH("Xero Invoice Date",$A$1:$AB$1,0)),"")</f>
        <v/>
      </c>
      <c r="AF4162" s="54">
        <f>IF(AND(IFERROR(INDEX($A4162:$AB4162,MATCH("Xero Invoice No",$A$1:$AB$1,0)),"")&amp;""&lt;&gt;"",ISNUMBER(AE4162),AD4162&lt;&gt;0),1,0)</f>
        <v/>
      </c>
      <c r="AG4162" s="55">
        <f>IF(AF4162=1,EOMONTH(AE4162,0),"")</f>
        <v/>
      </c>
      <c r="AH4162" s="9">
        <f>IF(AF4162=1,UPPER(TRIM(IFERROR(INDEX($A4162:$AB4162,MATCH("Client",$A$1:$AB$1,0)),"")&amp;"")),"")</f>
        <v/>
      </c>
      <c r="AI4162" s="9">
        <f>IF(AF4162=1,IFERROR(INDEX($A4162:$AB4162,MATCH("Cost Centre",$A$1:$AB$1,0)),"")&amp;"","")</f>
        <v/>
      </c>
      <c r="AJ4162" s="54">
        <f>IF(AND(AF4162=1,AE4162&gt;=set_FYStart,AE4162&lt;=set_AsAt),1,0)</f>
        <v/>
      </c>
      <c r="AK4162" s="54">
        <f>IF(AND(AJ4162=1,AH4162&lt;&gt;"",COUNTIFS($AH$2:AH4162,AH4162,$AJ$2:AJ4162,1)=1),N(AL4161)+1,"")</f>
        <v/>
      </c>
      <c r="AL4162" s="54">
        <f>IF(AK4162&lt;&gt;"",AK4162,N(AL4161))</f>
        <v/>
      </c>
    </row>
    <row r="4163">
      <c r="A4163" t="inlineStr">
        <is>
          <t>ONS-1388</t>
        </is>
      </c>
      <c r="B4163" t="inlineStr">
        <is>
          <t>Onsite</t>
        </is>
      </c>
      <c r="AB4163" t="n">
        <v>1388</v>
      </c>
      <c r="AD4163" s="52">
        <f>IFERROR(N(IFERROR(INDEX($A4163:$AB4163,MATCH("Xero Invoiced Ex GST",$A$1:$AB$1,0)),"")),0)</f>
        <v/>
      </c>
      <c r="AE4163" s="53">
        <f>IFERROR(INDEX($A4163:$AB4163,MATCH("Xero Invoice Date",$A$1:$AB$1,0)),"")</f>
        <v/>
      </c>
      <c r="AF4163" s="54">
        <f>IF(AND(IFERROR(INDEX($A4163:$AB4163,MATCH("Xero Invoice No",$A$1:$AB$1,0)),"")&amp;""&lt;&gt;"",ISNUMBER(AE4163),AD4163&lt;&gt;0),1,0)</f>
        <v/>
      </c>
      <c r="AG4163" s="55">
        <f>IF(AF4163=1,EOMONTH(AE4163,0),"")</f>
        <v/>
      </c>
      <c r="AH4163" s="9">
        <f>IF(AF4163=1,UPPER(TRIM(IFERROR(INDEX($A4163:$AB4163,MATCH("Client",$A$1:$AB$1,0)),"")&amp;"")),"")</f>
        <v/>
      </c>
      <c r="AI4163" s="9">
        <f>IF(AF4163=1,IFERROR(INDEX($A4163:$AB4163,MATCH("Cost Centre",$A$1:$AB$1,0)),"")&amp;"","")</f>
        <v/>
      </c>
      <c r="AJ4163" s="54">
        <f>IF(AND(AF4163=1,AE4163&gt;=set_FYStart,AE4163&lt;=set_AsAt),1,0)</f>
        <v/>
      </c>
      <c r="AK4163" s="54">
        <f>IF(AND(AJ4163=1,AH4163&lt;&gt;"",COUNTIFS($AH$2:AH4163,AH4163,$AJ$2:AJ4163,1)=1),N(AL4162)+1,"")</f>
        <v/>
      </c>
      <c r="AL4163" s="54">
        <f>IF(AK4163&lt;&gt;"",AK4163,N(AL4162))</f>
        <v/>
      </c>
    </row>
    <row r="4164">
      <c r="A4164" t="inlineStr">
        <is>
          <t>PRD-1388</t>
        </is>
      </c>
      <c r="B4164" t="inlineStr">
        <is>
          <t>Production</t>
        </is>
      </c>
      <c r="AB4164" t="n">
        <v>1388</v>
      </c>
      <c r="AD4164" s="52">
        <f>IFERROR(N(IFERROR(INDEX($A4164:$AB4164,MATCH("Xero Invoiced Ex GST",$A$1:$AB$1,0)),"")),0)</f>
        <v/>
      </c>
      <c r="AE4164" s="53">
        <f>IFERROR(INDEX($A4164:$AB4164,MATCH("Xero Invoice Date",$A$1:$AB$1,0)),"")</f>
        <v/>
      </c>
      <c r="AF4164" s="54">
        <f>IF(AND(IFERROR(INDEX($A4164:$AB4164,MATCH("Xero Invoice No",$A$1:$AB$1,0)),"")&amp;""&lt;&gt;"",ISNUMBER(AE4164),AD4164&lt;&gt;0),1,0)</f>
        <v/>
      </c>
      <c r="AG4164" s="55">
        <f>IF(AF4164=1,EOMONTH(AE4164,0),"")</f>
        <v/>
      </c>
      <c r="AH4164" s="9">
        <f>IF(AF4164=1,UPPER(TRIM(IFERROR(INDEX($A4164:$AB4164,MATCH("Client",$A$1:$AB$1,0)),"")&amp;"")),"")</f>
        <v/>
      </c>
      <c r="AI4164" s="9">
        <f>IF(AF4164=1,IFERROR(INDEX($A4164:$AB4164,MATCH("Cost Centre",$A$1:$AB$1,0)),"")&amp;"","")</f>
        <v/>
      </c>
      <c r="AJ4164" s="54">
        <f>IF(AND(AF4164=1,AE4164&gt;=set_FYStart,AE4164&lt;=set_AsAt),1,0)</f>
        <v/>
      </c>
      <c r="AK4164" s="54">
        <f>IF(AND(AJ4164=1,AH4164&lt;&gt;"",COUNTIFS($AH$2:AH4164,AH4164,$AJ$2:AJ4164,1)=1),N(AL4163)+1,"")</f>
        <v/>
      </c>
      <c r="AL4164" s="54">
        <f>IF(AK4164&lt;&gt;"",AK4164,N(AL4163))</f>
        <v/>
      </c>
    </row>
    <row r="4165">
      <c r="A4165" t="inlineStr">
        <is>
          <t>CON-1388</t>
        </is>
      </c>
      <c r="B4165" t="inlineStr">
        <is>
          <t>Consulting</t>
        </is>
      </c>
      <c r="AB4165" t="n">
        <v>1388</v>
      </c>
      <c r="AD4165" s="52">
        <f>IFERROR(N(IFERROR(INDEX($A4165:$AB4165,MATCH("Xero Invoiced Ex GST",$A$1:$AB$1,0)),"")),0)</f>
        <v/>
      </c>
      <c r="AE4165" s="53">
        <f>IFERROR(INDEX($A4165:$AB4165,MATCH("Xero Invoice Date",$A$1:$AB$1,0)),"")</f>
        <v/>
      </c>
      <c r="AF4165" s="54">
        <f>IF(AND(IFERROR(INDEX($A4165:$AB4165,MATCH("Xero Invoice No",$A$1:$AB$1,0)),"")&amp;""&lt;&gt;"",ISNUMBER(AE4165),AD4165&lt;&gt;0),1,0)</f>
        <v/>
      </c>
      <c r="AG4165" s="55">
        <f>IF(AF4165=1,EOMONTH(AE4165,0),"")</f>
        <v/>
      </c>
      <c r="AH4165" s="9">
        <f>IF(AF4165=1,UPPER(TRIM(IFERROR(INDEX($A4165:$AB4165,MATCH("Client",$A$1:$AB$1,0)),"")&amp;"")),"")</f>
        <v/>
      </c>
      <c r="AI4165" s="9">
        <f>IF(AF4165=1,IFERROR(INDEX($A4165:$AB4165,MATCH("Cost Centre",$A$1:$AB$1,0)),"")&amp;"","")</f>
        <v/>
      </c>
      <c r="AJ4165" s="54">
        <f>IF(AND(AF4165=1,AE4165&gt;=set_FYStart,AE4165&lt;=set_AsAt),1,0)</f>
        <v/>
      </c>
      <c r="AK4165" s="54">
        <f>IF(AND(AJ4165=1,AH4165&lt;&gt;"",COUNTIFS($AH$2:AH4165,AH4165,$AJ$2:AJ4165,1)=1),N(AL4164)+1,"")</f>
        <v/>
      </c>
      <c r="AL4165" s="54">
        <f>IF(AK4165&lt;&gt;"",AK4165,N(AL4164))</f>
        <v/>
      </c>
    </row>
    <row r="4166">
      <c r="A4166" t="inlineStr">
        <is>
          <t>ONS-1389</t>
        </is>
      </c>
      <c r="B4166" t="inlineStr">
        <is>
          <t>Onsite</t>
        </is>
      </c>
      <c r="AB4166" t="n">
        <v>1389</v>
      </c>
      <c r="AD4166" s="52">
        <f>IFERROR(N(IFERROR(INDEX($A4166:$AB4166,MATCH("Xero Invoiced Ex GST",$A$1:$AB$1,0)),"")),0)</f>
        <v/>
      </c>
      <c r="AE4166" s="53">
        <f>IFERROR(INDEX($A4166:$AB4166,MATCH("Xero Invoice Date",$A$1:$AB$1,0)),"")</f>
        <v/>
      </c>
      <c r="AF4166" s="54">
        <f>IF(AND(IFERROR(INDEX($A4166:$AB4166,MATCH("Xero Invoice No",$A$1:$AB$1,0)),"")&amp;""&lt;&gt;"",ISNUMBER(AE4166),AD4166&lt;&gt;0),1,0)</f>
        <v/>
      </c>
      <c r="AG4166" s="55">
        <f>IF(AF4166=1,EOMONTH(AE4166,0),"")</f>
        <v/>
      </c>
      <c r="AH4166" s="9">
        <f>IF(AF4166=1,UPPER(TRIM(IFERROR(INDEX($A4166:$AB4166,MATCH("Client",$A$1:$AB$1,0)),"")&amp;"")),"")</f>
        <v/>
      </c>
      <c r="AI4166" s="9">
        <f>IF(AF4166=1,IFERROR(INDEX($A4166:$AB4166,MATCH("Cost Centre",$A$1:$AB$1,0)),"")&amp;"","")</f>
        <v/>
      </c>
      <c r="AJ4166" s="54">
        <f>IF(AND(AF4166=1,AE4166&gt;=set_FYStart,AE4166&lt;=set_AsAt),1,0)</f>
        <v/>
      </c>
      <c r="AK4166" s="54">
        <f>IF(AND(AJ4166=1,AH4166&lt;&gt;"",COUNTIFS($AH$2:AH4166,AH4166,$AJ$2:AJ4166,1)=1),N(AL4165)+1,"")</f>
        <v/>
      </c>
      <c r="AL4166" s="54">
        <f>IF(AK4166&lt;&gt;"",AK4166,N(AL4165))</f>
        <v/>
      </c>
    </row>
    <row r="4167">
      <c r="A4167" t="inlineStr">
        <is>
          <t>PRD-1389</t>
        </is>
      </c>
      <c r="B4167" t="inlineStr">
        <is>
          <t>Production</t>
        </is>
      </c>
      <c r="AB4167" t="n">
        <v>1389</v>
      </c>
      <c r="AD4167" s="52">
        <f>IFERROR(N(IFERROR(INDEX($A4167:$AB4167,MATCH("Xero Invoiced Ex GST",$A$1:$AB$1,0)),"")),0)</f>
        <v/>
      </c>
      <c r="AE4167" s="53">
        <f>IFERROR(INDEX($A4167:$AB4167,MATCH("Xero Invoice Date",$A$1:$AB$1,0)),"")</f>
        <v/>
      </c>
      <c r="AF4167" s="54">
        <f>IF(AND(IFERROR(INDEX($A4167:$AB4167,MATCH("Xero Invoice No",$A$1:$AB$1,0)),"")&amp;""&lt;&gt;"",ISNUMBER(AE4167),AD4167&lt;&gt;0),1,0)</f>
        <v/>
      </c>
      <c r="AG4167" s="55">
        <f>IF(AF4167=1,EOMONTH(AE4167,0),"")</f>
        <v/>
      </c>
      <c r="AH4167" s="9">
        <f>IF(AF4167=1,UPPER(TRIM(IFERROR(INDEX($A4167:$AB4167,MATCH("Client",$A$1:$AB$1,0)),"")&amp;"")),"")</f>
        <v/>
      </c>
      <c r="AI4167" s="9">
        <f>IF(AF4167=1,IFERROR(INDEX($A4167:$AB4167,MATCH("Cost Centre",$A$1:$AB$1,0)),"")&amp;"","")</f>
        <v/>
      </c>
      <c r="AJ4167" s="54">
        <f>IF(AND(AF4167=1,AE4167&gt;=set_FYStart,AE4167&lt;=set_AsAt),1,0)</f>
        <v/>
      </c>
      <c r="AK4167" s="54">
        <f>IF(AND(AJ4167=1,AH4167&lt;&gt;"",COUNTIFS($AH$2:AH4167,AH4167,$AJ$2:AJ4167,1)=1),N(AL4166)+1,"")</f>
        <v/>
      </c>
      <c r="AL4167" s="54">
        <f>IF(AK4167&lt;&gt;"",AK4167,N(AL4166))</f>
        <v/>
      </c>
    </row>
    <row r="4168">
      <c r="A4168" t="inlineStr">
        <is>
          <t>CON-1389</t>
        </is>
      </c>
      <c r="B4168" t="inlineStr">
        <is>
          <t>Consulting</t>
        </is>
      </c>
      <c r="AB4168" t="n">
        <v>1389</v>
      </c>
      <c r="AD4168" s="52">
        <f>IFERROR(N(IFERROR(INDEX($A4168:$AB4168,MATCH("Xero Invoiced Ex GST",$A$1:$AB$1,0)),"")),0)</f>
        <v/>
      </c>
      <c r="AE4168" s="53">
        <f>IFERROR(INDEX($A4168:$AB4168,MATCH("Xero Invoice Date",$A$1:$AB$1,0)),"")</f>
        <v/>
      </c>
      <c r="AF4168" s="54">
        <f>IF(AND(IFERROR(INDEX($A4168:$AB4168,MATCH("Xero Invoice No",$A$1:$AB$1,0)),"")&amp;""&lt;&gt;"",ISNUMBER(AE4168),AD4168&lt;&gt;0),1,0)</f>
        <v/>
      </c>
      <c r="AG4168" s="55">
        <f>IF(AF4168=1,EOMONTH(AE4168,0),"")</f>
        <v/>
      </c>
      <c r="AH4168" s="9">
        <f>IF(AF4168=1,UPPER(TRIM(IFERROR(INDEX($A4168:$AB4168,MATCH("Client",$A$1:$AB$1,0)),"")&amp;"")),"")</f>
        <v/>
      </c>
      <c r="AI4168" s="9">
        <f>IF(AF4168=1,IFERROR(INDEX($A4168:$AB4168,MATCH("Cost Centre",$A$1:$AB$1,0)),"")&amp;"","")</f>
        <v/>
      </c>
      <c r="AJ4168" s="54">
        <f>IF(AND(AF4168=1,AE4168&gt;=set_FYStart,AE4168&lt;=set_AsAt),1,0)</f>
        <v/>
      </c>
      <c r="AK4168" s="54">
        <f>IF(AND(AJ4168=1,AH4168&lt;&gt;"",COUNTIFS($AH$2:AH4168,AH4168,$AJ$2:AJ4168,1)=1),N(AL4167)+1,"")</f>
        <v/>
      </c>
      <c r="AL4168" s="54">
        <f>IF(AK4168&lt;&gt;"",AK4168,N(AL4167))</f>
        <v/>
      </c>
    </row>
    <row r="4169">
      <c r="A4169" t="inlineStr">
        <is>
          <t>ONS-1390</t>
        </is>
      </c>
      <c r="B4169" t="inlineStr">
        <is>
          <t>Onsite</t>
        </is>
      </c>
      <c r="AB4169" t="n">
        <v>1390</v>
      </c>
      <c r="AD4169" s="52">
        <f>IFERROR(N(IFERROR(INDEX($A4169:$AB4169,MATCH("Xero Invoiced Ex GST",$A$1:$AB$1,0)),"")),0)</f>
        <v/>
      </c>
      <c r="AE4169" s="53">
        <f>IFERROR(INDEX($A4169:$AB4169,MATCH("Xero Invoice Date",$A$1:$AB$1,0)),"")</f>
        <v/>
      </c>
      <c r="AF4169" s="54">
        <f>IF(AND(IFERROR(INDEX($A4169:$AB4169,MATCH("Xero Invoice No",$A$1:$AB$1,0)),"")&amp;""&lt;&gt;"",ISNUMBER(AE4169),AD4169&lt;&gt;0),1,0)</f>
        <v/>
      </c>
      <c r="AG4169" s="55">
        <f>IF(AF4169=1,EOMONTH(AE4169,0),"")</f>
        <v/>
      </c>
      <c r="AH4169" s="9">
        <f>IF(AF4169=1,UPPER(TRIM(IFERROR(INDEX($A4169:$AB4169,MATCH("Client",$A$1:$AB$1,0)),"")&amp;"")),"")</f>
        <v/>
      </c>
      <c r="AI4169" s="9">
        <f>IF(AF4169=1,IFERROR(INDEX($A4169:$AB4169,MATCH("Cost Centre",$A$1:$AB$1,0)),"")&amp;"","")</f>
        <v/>
      </c>
      <c r="AJ4169" s="54">
        <f>IF(AND(AF4169=1,AE4169&gt;=set_FYStart,AE4169&lt;=set_AsAt),1,0)</f>
        <v/>
      </c>
      <c r="AK4169" s="54">
        <f>IF(AND(AJ4169=1,AH4169&lt;&gt;"",COUNTIFS($AH$2:AH4169,AH4169,$AJ$2:AJ4169,1)=1),N(AL4168)+1,"")</f>
        <v/>
      </c>
      <c r="AL4169" s="54">
        <f>IF(AK4169&lt;&gt;"",AK4169,N(AL4168))</f>
        <v/>
      </c>
    </row>
    <row r="4170">
      <c r="A4170" t="inlineStr">
        <is>
          <t>PRD-1390</t>
        </is>
      </c>
      <c r="B4170" t="inlineStr">
        <is>
          <t>Production</t>
        </is>
      </c>
      <c r="AB4170" t="n">
        <v>1390</v>
      </c>
      <c r="AD4170" s="52">
        <f>IFERROR(N(IFERROR(INDEX($A4170:$AB4170,MATCH("Xero Invoiced Ex GST",$A$1:$AB$1,0)),"")),0)</f>
        <v/>
      </c>
      <c r="AE4170" s="53">
        <f>IFERROR(INDEX($A4170:$AB4170,MATCH("Xero Invoice Date",$A$1:$AB$1,0)),"")</f>
        <v/>
      </c>
      <c r="AF4170" s="54">
        <f>IF(AND(IFERROR(INDEX($A4170:$AB4170,MATCH("Xero Invoice No",$A$1:$AB$1,0)),"")&amp;""&lt;&gt;"",ISNUMBER(AE4170),AD4170&lt;&gt;0),1,0)</f>
        <v/>
      </c>
      <c r="AG4170" s="55">
        <f>IF(AF4170=1,EOMONTH(AE4170,0),"")</f>
        <v/>
      </c>
      <c r="AH4170" s="9">
        <f>IF(AF4170=1,UPPER(TRIM(IFERROR(INDEX($A4170:$AB4170,MATCH("Client",$A$1:$AB$1,0)),"")&amp;"")),"")</f>
        <v/>
      </c>
      <c r="AI4170" s="9">
        <f>IF(AF4170=1,IFERROR(INDEX($A4170:$AB4170,MATCH("Cost Centre",$A$1:$AB$1,0)),"")&amp;"","")</f>
        <v/>
      </c>
      <c r="AJ4170" s="54">
        <f>IF(AND(AF4170=1,AE4170&gt;=set_FYStart,AE4170&lt;=set_AsAt),1,0)</f>
        <v/>
      </c>
      <c r="AK4170" s="54">
        <f>IF(AND(AJ4170=1,AH4170&lt;&gt;"",COUNTIFS($AH$2:AH4170,AH4170,$AJ$2:AJ4170,1)=1),N(AL4169)+1,"")</f>
        <v/>
      </c>
      <c r="AL4170" s="54">
        <f>IF(AK4170&lt;&gt;"",AK4170,N(AL4169))</f>
        <v/>
      </c>
    </row>
    <row r="4171">
      <c r="A4171" t="inlineStr">
        <is>
          <t>CON-1390</t>
        </is>
      </c>
      <c r="B4171" t="inlineStr">
        <is>
          <t>Consulting</t>
        </is>
      </c>
      <c r="AB4171" t="n">
        <v>1390</v>
      </c>
      <c r="AD4171" s="52">
        <f>IFERROR(N(IFERROR(INDEX($A4171:$AB4171,MATCH("Xero Invoiced Ex GST",$A$1:$AB$1,0)),"")),0)</f>
        <v/>
      </c>
      <c r="AE4171" s="53">
        <f>IFERROR(INDEX($A4171:$AB4171,MATCH("Xero Invoice Date",$A$1:$AB$1,0)),"")</f>
        <v/>
      </c>
      <c r="AF4171" s="54">
        <f>IF(AND(IFERROR(INDEX($A4171:$AB4171,MATCH("Xero Invoice No",$A$1:$AB$1,0)),"")&amp;""&lt;&gt;"",ISNUMBER(AE4171),AD4171&lt;&gt;0),1,0)</f>
        <v/>
      </c>
      <c r="AG4171" s="55">
        <f>IF(AF4171=1,EOMONTH(AE4171,0),"")</f>
        <v/>
      </c>
      <c r="AH4171" s="9">
        <f>IF(AF4171=1,UPPER(TRIM(IFERROR(INDEX($A4171:$AB4171,MATCH("Client",$A$1:$AB$1,0)),"")&amp;"")),"")</f>
        <v/>
      </c>
      <c r="AI4171" s="9">
        <f>IF(AF4171=1,IFERROR(INDEX($A4171:$AB4171,MATCH("Cost Centre",$A$1:$AB$1,0)),"")&amp;"","")</f>
        <v/>
      </c>
      <c r="AJ4171" s="54">
        <f>IF(AND(AF4171=1,AE4171&gt;=set_FYStart,AE4171&lt;=set_AsAt),1,0)</f>
        <v/>
      </c>
      <c r="AK4171" s="54">
        <f>IF(AND(AJ4171=1,AH4171&lt;&gt;"",COUNTIFS($AH$2:AH4171,AH4171,$AJ$2:AJ4171,1)=1),N(AL4170)+1,"")</f>
        <v/>
      </c>
      <c r="AL4171" s="54">
        <f>IF(AK4171&lt;&gt;"",AK4171,N(AL4170))</f>
        <v/>
      </c>
    </row>
    <row r="4172">
      <c r="A4172" t="inlineStr">
        <is>
          <t>ONS-1391</t>
        </is>
      </c>
      <c r="B4172" t="inlineStr">
        <is>
          <t>Onsite</t>
        </is>
      </c>
      <c r="AB4172" t="n">
        <v>1391</v>
      </c>
      <c r="AD4172" s="52">
        <f>IFERROR(N(IFERROR(INDEX($A4172:$AB4172,MATCH("Xero Invoiced Ex GST",$A$1:$AB$1,0)),"")),0)</f>
        <v/>
      </c>
      <c r="AE4172" s="53">
        <f>IFERROR(INDEX($A4172:$AB4172,MATCH("Xero Invoice Date",$A$1:$AB$1,0)),"")</f>
        <v/>
      </c>
      <c r="AF4172" s="54">
        <f>IF(AND(IFERROR(INDEX($A4172:$AB4172,MATCH("Xero Invoice No",$A$1:$AB$1,0)),"")&amp;""&lt;&gt;"",ISNUMBER(AE4172),AD4172&lt;&gt;0),1,0)</f>
        <v/>
      </c>
      <c r="AG4172" s="55">
        <f>IF(AF4172=1,EOMONTH(AE4172,0),"")</f>
        <v/>
      </c>
      <c r="AH4172" s="9">
        <f>IF(AF4172=1,UPPER(TRIM(IFERROR(INDEX($A4172:$AB4172,MATCH("Client",$A$1:$AB$1,0)),"")&amp;"")),"")</f>
        <v/>
      </c>
      <c r="AI4172" s="9">
        <f>IF(AF4172=1,IFERROR(INDEX($A4172:$AB4172,MATCH("Cost Centre",$A$1:$AB$1,0)),"")&amp;"","")</f>
        <v/>
      </c>
      <c r="AJ4172" s="54">
        <f>IF(AND(AF4172=1,AE4172&gt;=set_FYStart,AE4172&lt;=set_AsAt),1,0)</f>
        <v/>
      </c>
      <c r="AK4172" s="54">
        <f>IF(AND(AJ4172=1,AH4172&lt;&gt;"",COUNTIFS($AH$2:AH4172,AH4172,$AJ$2:AJ4172,1)=1),N(AL4171)+1,"")</f>
        <v/>
      </c>
      <c r="AL4172" s="54">
        <f>IF(AK4172&lt;&gt;"",AK4172,N(AL4171))</f>
        <v/>
      </c>
    </row>
    <row r="4173">
      <c r="A4173" t="inlineStr">
        <is>
          <t>PRD-1391</t>
        </is>
      </c>
      <c r="B4173" t="inlineStr">
        <is>
          <t>Production</t>
        </is>
      </c>
      <c r="AB4173" t="n">
        <v>1391</v>
      </c>
      <c r="AD4173" s="52">
        <f>IFERROR(N(IFERROR(INDEX($A4173:$AB4173,MATCH("Xero Invoiced Ex GST",$A$1:$AB$1,0)),"")),0)</f>
        <v/>
      </c>
      <c r="AE4173" s="53">
        <f>IFERROR(INDEX($A4173:$AB4173,MATCH("Xero Invoice Date",$A$1:$AB$1,0)),"")</f>
        <v/>
      </c>
      <c r="AF4173" s="54">
        <f>IF(AND(IFERROR(INDEX($A4173:$AB4173,MATCH("Xero Invoice No",$A$1:$AB$1,0)),"")&amp;""&lt;&gt;"",ISNUMBER(AE4173),AD4173&lt;&gt;0),1,0)</f>
        <v/>
      </c>
      <c r="AG4173" s="55">
        <f>IF(AF4173=1,EOMONTH(AE4173,0),"")</f>
        <v/>
      </c>
      <c r="AH4173" s="9">
        <f>IF(AF4173=1,UPPER(TRIM(IFERROR(INDEX($A4173:$AB4173,MATCH("Client",$A$1:$AB$1,0)),"")&amp;"")),"")</f>
        <v/>
      </c>
      <c r="AI4173" s="9">
        <f>IF(AF4173=1,IFERROR(INDEX($A4173:$AB4173,MATCH("Cost Centre",$A$1:$AB$1,0)),"")&amp;"","")</f>
        <v/>
      </c>
      <c r="AJ4173" s="54">
        <f>IF(AND(AF4173=1,AE4173&gt;=set_FYStart,AE4173&lt;=set_AsAt),1,0)</f>
        <v/>
      </c>
      <c r="AK4173" s="54">
        <f>IF(AND(AJ4173=1,AH4173&lt;&gt;"",COUNTIFS($AH$2:AH4173,AH4173,$AJ$2:AJ4173,1)=1),N(AL4172)+1,"")</f>
        <v/>
      </c>
      <c r="AL4173" s="54">
        <f>IF(AK4173&lt;&gt;"",AK4173,N(AL4172))</f>
        <v/>
      </c>
    </row>
    <row r="4174">
      <c r="A4174" t="inlineStr">
        <is>
          <t>CON-1391</t>
        </is>
      </c>
      <c r="B4174" t="inlineStr">
        <is>
          <t>Consulting</t>
        </is>
      </c>
      <c r="AB4174" t="n">
        <v>1391</v>
      </c>
      <c r="AD4174" s="52">
        <f>IFERROR(N(IFERROR(INDEX($A4174:$AB4174,MATCH("Xero Invoiced Ex GST",$A$1:$AB$1,0)),"")),0)</f>
        <v/>
      </c>
      <c r="AE4174" s="53">
        <f>IFERROR(INDEX($A4174:$AB4174,MATCH("Xero Invoice Date",$A$1:$AB$1,0)),"")</f>
        <v/>
      </c>
      <c r="AF4174" s="54">
        <f>IF(AND(IFERROR(INDEX($A4174:$AB4174,MATCH("Xero Invoice No",$A$1:$AB$1,0)),"")&amp;""&lt;&gt;"",ISNUMBER(AE4174),AD4174&lt;&gt;0),1,0)</f>
        <v/>
      </c>
      <c r="AG4174" s="55">
        <f>IF(AF4174=1,EOMONTH(AE4174,0),"")</f>
        <v/>
      </c>
      <c r="AH4174" s="9">
        <f>IF(AF4174=1,UPPER(TRIM(IFERROR(INDEX($A4174:$AB4174,MATCH("Client",$A$1:$AB$1,0)),"")&amp;"")),"")</f>
        <v/>
      </c>
      <c r="AI4174" s="9">
        <f>IF(AF4174=1,IFERROR(INDEX($A4174:$AB4174,MATCH("Cost Centre",$A$1:$AB$1,0)),"")&amp;"","")</f>
        <v/>
      </c>
      <c r="AJ4174" s="54">
        <f>IF(AND(AF4174=1,AE4174&gt;=set_FYStart,AE4174&lt;=set_AsAt),1,0)</f>
        <v/>
      </c>
      <c r="AK4174" s="54">
        <f>IF(AND(AJ4174=1,AH4174&lt;&gt;"",COUNTIFS($AH$2:AH4174,AH4174,$AJ$2:AJ4174,1)=1),N(AL4173)+1,"")</f>
        <v/>
      </c>
      <c r="AL4174" s="54">
        <f>IF(AK4174&lt;&gt;"",AK4174,N(AL4173))</f>
        <v/>
      </c>
    </row>
    <row r="4175">
      <c r="A4175" t="inlineStr">
        <is>
          <t>ONS-1392</t>
        </is>
      </c>
      <c r="B4175" t="inlineStr">
        <is>
          <t>Onsite</t>
        </is>
      </c>
      <c r="AB4175" t="n">
        <v>1392</v>
      </c>
      <c r="AD4175" s="52">
        <f>IFERROR(N(IFERROR(INDEX($A4175:$AB4175,MATCH("Xero Invoiced Ex GST",$A$1:$AB$1,0)),"")),0)</f>
        <v/>
      </c>
      <c r="AE4175" s="53">
        <f>IFERROR(INDEX($A4175:$AB4175,MATCH("Xero Invoice Date",$A$1:$AB$1,0)),"")</f>
        <v/>
      </c>
      <c r="AF4175" s="54">
        <f>IF(AND(IFERROR(INDEX($A4175:$AB4175,MATCH("Xero Invoice No",$A$1:$AB$1,0)),"")&amp;""&lt;&gt;"",ISNUMBER(AE4175),AD4175&lt;&gt;0),1,0)</f>
        <v/>
      </c>
      <c r="AG4175" s="55">
        <f>IF(AF4175=1,EOMONTH(AE4175,0),"")</f>
        <v/>
      </c>
      <c r="AH4175" s="9">
        <f>IF(AF4175=1,UPPER(TRIM(IFERROR(INDEX($A4175:$AB4175,MATCH("Client",$A$1:$AB$1,0)),"")&amp;"")),"")</f>
        <v/>
      </c>
      <c r="AI4175" s="9">
        <f>IF(AF4175=1,IFERROR(INDEX($A4175:$AB4175,MATCH("Cost Centre",$A$1:$AB$1,0)),"")&amp;"","")</f>
        <v/>
      </c>
      <c r="AJ4175" s="54">
        <f>IF(AND(AF4175=1,AE4175&gt;=set_FYStart,AE4175&lt;=set_AsAt),1,0)</f>
        <v/>
      </c>
      <c r="AK4175" s="54">
        <f>IF(AND(AJ4175=1,AH4175&lt;&gt;"",COUNTIFS($AH$2:AH4175,AH4175,$AJ$2:AJ4175,1)=1),N(AL4174)+1,"")</f>
        <v/>
      </c>
      <c r="AL4175" s="54">
        <f>IF(AK4175&lt;&gt;"",AK4175,N(AL4174))</f>
        <v/>
      </c>
    </row>
    <row r="4176">
      <c r="A4176" t="inlineStr">
        <is>
          <t>PRD-1392</t>
        </is>
      </c>
      <c r="B4176" t="inlineStr">
        <is>
          <t>Production</t>
        </is>
      </c>
      <c r="AB4176" t="n">
        <v>1392</v>
      </c>
      <c r="AD4176" s="52">
        <f>IFERROR(N(IFERROR(INDEX($A4176:$AB4176,MATCH("Xero Invoiced Ex GST",$A$1:$AB$1,0)),"")),0)</f>
        <v/>
      </c>
      <c r="AE4176" s="53">
        <f>IFERROR(INDEX($A4176:$AB4176,MATCH("Xero Invoice Date",$A$1:$AB$1,0)),"")</f>
        <v/>
      </c>
      <c r="AF4176" s="54">
        <f>IF(AND(IFERROR(INDEX($A4176:$AB4176,MATCH("Xero Invoice No",$A$1:$AB$1,0)),"")&amp;""&lt;&gt;"",ISNUMBER(AE4176),AD4176&lt;&gt;0),1,0)</f>
        <v/>
      </c>
      <c r="AG4176" s="55">
        <f>IF(AF4176=1,EOMONTH(AE4176,0),"")</f>
        <v/>
      </c>
      <c r="AH4176" s="9">
        <f>IF(AF4176=1,UPPER(TRIM(IFERROR(INDEX($A4176:$AB4176,MATCH("Client",$A$1:$AB$1,0)),"")&amp;"")),"")</f>
        <v/>
      </c>
      <c r="AI4176" s="9">
        <f>IF(AF4176=1,IFERROR(INDEX($A4176:$AB4176,MATCH("Cost Centre",$A$1:$AB$1,0)),"")&amp;"","")</f>
        <v/>
      </c>
      <c r="AJ4176" s="54">
        <f>IF(AND(AF4176=1,AE4176&gt;=set_FYStart,AE4176&lt;=set_AsAt),1,0)</f>
        <v/>
      </c>
      <c r="AK4176" s="54">
        <f>IF(AND(AJ4176=1,AH4176&lt;&gt;"",COUNTIFS($AH$2:AH4176,AH4176,$AJ$2:AJ4176,1)=1),N(AL4175)+1,"")</f>
        <v/>
      </c>
      <c r="AL4176" s="54">
        <f>IF(AK4176&lt;&gt;"",AK4176,N(AL4175))</f>
        <v/>
      </c>
    </row>
    <row r="4177">
      <c r="A4177" t="inlineStr">
        <is>
          <t>CON-1392</t>
        </is>
      </c>
      <c r="B4177" t="inlineStr">
        <is>
          <t>Consulting</t>
        </is>
      </c>
      <c r="AB4177" t="n">
        <v>1392</v>
      </c>
      <c r="AD4177" s="52">
        <f>IFERROR(N(IFERROR(INDEX($A4177:$AB4177,MATCH("Xero Invoiced Ex GST",$A$1:$AB$1,0)),"")),0)</f>
        <v/>
      </c>
      <c r="AE4177" s="53">
        <f>IFERROR(INDEX($A4177:$AB4177,MATCH("Xero Invoice Date",$A$1:$AB$1,0)),"")</f>
        <v/>
      </c>
      <c r="AF4177" s="54">
        <f>IF(AND(IFERROR(INDEX($A4177:$AB4177,MATCH("Xero Invoice No",$A$1:$AB$1,0)),"")&amp;""&lt;&gt;"",ISNUMBER(AE4177),AD4177&lt;&gt;0),1,0)</f>
        <v/>
      </c>
      <c r="AG4177" s="55">
        <f>IF(AF4177=1,EOMONTH(AE4177,0),"")</f>
        <v/>
      </c>
      <c r="AH4177" s="9">
        <f>IF(AF4177=1,UPPER(TRIM(IFERROR(INDEX($A4177:$AB4177,MATCH("Client",$A$1:$AB$1,0)),"")&amp;"")),"")</f>
        <v/>
      </c>
      <c r="AI4177" s="9">
        <f>IF(AF4177=1,IFERROR(INDEX($A4177:$AB4177,MATCH("Cost Centre",$A$1:$AB$1,0)),"")&amp;"","")</f>
        <v/>
      </c>
      <c r="AJ4177" s="54">
        <f>IF(AND(AF4177=1,AE4177&gt;=set_FYStart,AE4177&lt;=set_AsAt),1,0)</f>
        <v/>
      </c>
      <c r="AK4177" s="54">
        <f>IF(AND(AJ4177=1,AH4177&lt;&gt;"",COUNTIFS($AH$2:AH4177,AH4177,$AJ$2:AJ4177,1)=1),N(AL4176)+1,"")</f>
        <v/>
      </c>
      <c r="AL4177" s="54">
        <f>IF(AK4177&lt;&gt;"",AK4177,N(AL4176))</f>
        <v/>
      </c>
    </row>
    <row r="4178">
      <c r="A4178" t="inlineStr">
        <is>
          <t>ONS-1393</t>
        </is>
      </c>
      <c r="B4178" t="inlineStr">
        <is>
          <t>Onsite</t>
        </is>
      </c>
      <c r="AB4178" t="n">
        <v>1393</v>
      </c>
      <c r="AD4178" s="52">
        <f>IFERROR(N(IFERROR(INDEX($A4178:$AB4178,MATCH("Xero Invoiced Ex GST",$A$1:$AB$1,0)),"")),0)</f>
        <v/>
      </c>
      <c r="AE4178" s="53">
        <f>IFERROR(INDEX($A4178:$AB4178,MATCH("Xero Invoice Date",$A$1:$AB$1,0)),"")</f>
        <v/>
      </c>
      <c r="AF4178" s="54">
        <f>IF(AND(IFERROR(INDEX($A4178:$AB4178,MATCH("Xero Invoice No",$A$1:$AB$1,0)),"")&amp;""&lt;&gt;"",ISNUMBER(AE4178),AD4178&lt;&gt;0),1,0)</f>
        <v/>
      </c>
      <c r="AG4178" s="55">
        <f>IF(AF4178=1,EOMONTH(AE4178,0),"")</f>
        <v/>
      </c>
      <c r="AH4178" s="9">
        <f>IF(AF4178=1,UPPER(TRIM(IFERROR(INDEX($A4178:$AB4178,MATCH("Client",$A$1:$AB$1,0)),"")&amp;"")),"")</f>
        <v/>
      </c>
      <c r="AI4178" s="9">
        <f>IF(AF4178=1,IFERROR(INDEX($A4178:$AB4178,MATCH("Cost Centre",$A$1:$AB$1,0)),"")&amp;"","")</f>
        <v/>
      </c>
      <c r="AJ4178" s="54">
        <f>IF(AND(AF4178=1,AE4178&gt;=set_FYStart,AE4178&lt;=set_AsAt),1,0)</f>
        <v/>
      </c>
      <c r="AK4178" s="54">
        <f>IF(AND(AJ4178=1,AH4178&lt;&gt;"",COUNTIFS($AH$2:AH4178,AH4178,$AJ$2:AJ4178,1)=1),N(AL4177)+1,"")</f>
        <v/>
      </c>
      <c r="AL4178" s="54">
        <f>IF(AK4178&lt;&gt;"",AK4178,N(AL4177))</f>
        <v/>
      </c>
    </row>
    <row r="4179">
      <c r="A4179" t="inlineStr">
        <is>
          <t>PRD-1393</t>
        </is>
      </c>
      <c r="B4179" t="inlineStr">
        <is>
          <t>Production</t>
        </is>
      </c>
      <c r="AB4179" t="n">
        <v>1393</v>
      </c>
      <c r="AD4179" s="52">
        <f>IFERROR(N(IFERROR(INDEX($A4179:$AB4179,MATCH("Xero Invoiced Ex GST",$A$1:$AB$1,0)),"")),0)</f>
        <v/>
      </c>
      <c r="AE4179" s="53">
        <f>IFERROR(INDEX($A4179:$AB4179,MATCH("Xero Invoice Date",$A$1:$AB$1,0)),"")</f>
        <v/>
      </c>
      <c r="AF4179" s="54">
        <f>IF(AND(IFERROR(INDEX($A4179:$AB4179,MATCH("Xero Invoice No",$A$1:$AB$1,0)),"")&amp;""&lt;&gt;"",ISNUMBER(AE4179),AD4179&lt;&gt;0),1,0)</f>
        <v/>
      </c>
      <c r="AG4179" s="55">
        <f>IF(AF4179=1,EOMONTH(AE4179,0),"")</f>
        <v/>
      </c>
      <c r="AH4179" s="9">
        <f>IF(AF4179=1,UPPER(TRIM(IFERROR(INDEX($A4179:$AB4179,MATCH("Client",$A$1:$AB$1,0)),"")&amp;"")),"")</f>
        <v/>
      </c>
      <c r="AI4179" s="9">
        <f>IF(AF4179=1,IFERROR(INDEX($A4179:$AB4179,MATCH("Cost Centre",$A$1:$AB$1,0)),"")&amp;"","")</f>
        <v/>
      </c>
      <c r="AJ4179" s="54">
        <f>IF(AND(AF4179=1,AE4179&gt;=set_FYStart,AE4179&lt;=set_AsAt),1,0)</f>
        <v/>
      </c>
      <c r="AK4179" s="54">
        <f>IF(AND(AJ4179=1,AH4179&lt;&gt;"",COUNTIFS($AH$2:AH4179,AH4179,$AJ$2:AJ4179,1)=1),N(AL4178)+1,"")</f>
        <v/>
      </c>
      <c r="AL4179" s="54">
        <f>IF(AK4179&lt;&gt;"",AK4179,N(AL4178))</f>
        <v/>
      </c>
    </row>
    <row r="4180">
      <c r="A4180" t="inlineStr">
        <is>
          <t>CON-1393</t>
        </is>
      </c>
      <c r="B4180" t="inlineStr">
        <is>
          <t>Consulting</t>
        </is>
      </c>
      <c r="AB4180" t="n">
        <v>1393</v>
      </c>
      <c r="AD4180" s="52">
        <f>IFERROR(N(IFERROR(INDEX($A4180:$AB4180,MATCH("Xero Invoiced Ex GST",$A$1:$AB$1,0)),"")),0)</f>
        <v/>
      </c>
      <c r="AE4180" s="53">
        <f>IFERROR(INDEX($A4180:$AB4180,MATCH("Xero Invoice Date",$A$1:$AB$1,0)),"")</f>
        <v/>
      </c>
      <c r="AF4180" s="54">
        <f>IF(AND(IFERROR(INDEX($A4180:$AB4180,MATCH("Xero Invoice No",$A$1:$AB$1,0)),"")&amp;""&lt;&gt;"",ISNUMBER(AE4180),AD4180&lt;&gt;0),1,0)</f>
        <v/>
      </c>
      <c r="AG4180" s="55">
        <f>IF(AF4180=1,EOMONTH(AE4180,0),"")</f>
        <v/>
      </c>
      <c r="AH4180" s="9">
        <f>IF(AF4180=1,UPPER(TRIM(IFERROR(INDEX($A4180:$AB4180,MATCH("Client",$A$1:$AB$1,0)),"")&amp;"")),"")</f>
        <v/>
      </c>
      <c r="AI4180" s="9">
        <f>IF(AF4180=1,IFERROR(INDEX($A4180:$AB4180,MATCH("Cost Centre",$A$1:$AB$1,0)),"")&amp;"","")</f>
        <v/>
      </c>
      <c r="AJ4180" s="54">
        <f>IF(AND(AF4180=1,AE4180&gt;=set_FYStart,AE4180&lt;=set_AsAt),1,0)</f>
        <v/>
      </c>
      <c r="AK4180" s="54">
        <f>IF(AND(AJ4180=1,AH4180&lt;&gt;"",COUNTIFS($AH$2:AH4180,AH4180,$AJ$2:AJ4180,1)=1),N(AL4179)+1,"")</f>
        <v/>
      </c>
      <c r="AL4180" s="54">
        <f>IF(AK4180&lt;&gt;"",AK4180,N(AL4179))</f>
        <v/>
      </c>
    </row>
    <row r="4181">
      <c r="A4181" t="inlineStr">
        <is>
          <t>ONS-1394</t>
        </is>
      </c>
      <c r="B4181" t="inlineStr">
        <is>
          <t>Onsite</t>
        </is>
      </c>
      <c r="AB4181" t="n">
        <v>1394</v>
      </c>
      <c r="AD4181" s="52">
        <f>IFERROR(N(IFERROR(INDEX($A4181:$AB4181,MATCH("Xero Invoiced Ex GST",$A$1:$AB$1,0)),"")),0)</f>
        <v/>
      </c>
      <c r="AE4181" s="53">
        <f>IFERROR(INDEX($A4181:$AB4181,MATCH("Xero Invoice Date",$A$1:$AB$1,0)),"")</f>
        <v/>
      </c>
      <c r="AF4181" s="54">
        <f>IF(AND(IFERROR(INDEX($A4181:$AB4181,MATCH("Xero Invoice No",$A$1:$AB$1,0)),"")&amp;""&lt;&gt;"",ISNUMBER(AE4181),AD4181&lt;&gt;0),1,0)</f>
        <v/>
      </c>
      <c r="AG4181" s="55">
        <f>IF(AF4181=1,EOMONTH(AE4181,0),"")</f>
        <v/>
      </c>
      <c r="AH4181" s="9">
        <f>IF(AF4181=1,UPPER(TRIM(IFERROR(INDEX($A4181:$AB4181,MATCH("Client",$A$1:$AB$1,0)),"")&amp;"")),"")</f>
        <v/>
      </c>
      <c r="AI4181" s="9">
        <f>IF(AF4181=1,IFERROR(INDEX($A4181:$AB4181,MATCH("Cost Centre",$A$1:$AB$1,0)),"")&amp;"","")</f>
        <v/>
      </c>
      <c r="AJ4181" s="54">
        <f>IF(AND(AF4181=1,AE4181&gt;=set_FYStart,AE4181&lt;=set_AsAt),1,0)</f>
        <v/>
      </c>
      <c r="AK4181" s="54">
        <f>IF(AND(AJ4181=1,AH4181&lt;&gt;"",COUNTIFS($AH$2:AH4181,AH4181,$AJ$2:AJ4181,1)=1),N(AL4180)+1,"")</f>
        <v/>
      </c>
      <c r="AL4181" s="54">
        <f>IF(AK4181&lt;&gt;"",AK4181,N(AL4180))</f>
        <v/>
      </c>
    </row>
    <row r="4182">
      <c r="A4182" t="inlineStr">
        <is>
          <t>PRD-1394</t>
        </is>
      </c>
      <c r="B4182" t="inlineStr">
        <is>
          <t>Production</t>
        </is>
      </c>
      <c r="AB4182" t="n">
        <v>1394</v>
      </c>
      <c r="AD4182" s="52">
        <f>IFERROR(N(IFERROR(INDEX($A4182:$AB4182,MATCH("Xero Invoiced Ex GST",$A$1:$AB$1,0)),"")),0)</f>
        <v/>
      </c>
      <c r="AE4182" s="53">
        <f>IFERROR(INDEX($A4182:$AB4182,MATCH("Xero Invoice Date",$A$1:$AB$1,0)),"")</f>
        <v/>
      </c>
      <c r="AF4182" s="54">
        <f>IF(AND(IFERROR(INDEX($A4182:$AB4182,MATCH("Xero Invoice No",$A$1:$AB$1,0)),"")&amp;""&lt;&gt;"",ISNUMBER(AE4182),AD4182&lt;&gt;0),1,0)</f>
        <v/>
      </c>
      <c r="AG4182" s="55">
        <f>IF(AF4182=1,EOMONTH(AE4182,0),"")</f>
        <v/>
      </c>
      <c r="AH4182" s="9">
        <f>IF(AF4182=1,UPPER(TRIM(IFERROR(INDEX($A4182:$AB4182,MATCH("Client",$A$1:$AB$1,0)),"")&amp;"")),"")</f>
        <v/>
      </c>
      <c r="AI4182" s="9">
        <f>IF(AF4182=1,IFERROR(INDEX($A4182:$AB4182,MATCH("Cost Centre",$A$1:$AB$1,0)),"")&amp;"","")</f>
        <v/>
      </c>
      <c r="AJ4182" s="54">
        <f>IF(AND(AF4182=1,AE4182&gt;=set_FYStart,AE4182&lt;=set_AsAt),1,0)</f>
        <v/>
      </c>
      <c r="AK4182" s="54">
        <f>IF(AND(AJ4182=1,AH4182&lt;&gt;"",COUNTIFS($AH$2:AH4182,AH4182,$AJ$2:AJ4182,1)=1),N(AL4181)+1,"")</f>
        <v/>
      </c>
      <c r="AL4182" s="54">
        <f>IF(AK4182&lt;&gt;"",AK4182,N(AL4181))</f>
        <v/>
      </c>
    </row>
    <row r="4183">
      <c r="A4183" t="inlineStr">
        <is>
          <t>CON-1394</t>
        </is>
      </c>
      <c r="B4183" t="inlineStr">
        <is>
          <t>Consulting</t>
        </is>
      </c>
      <c r="AB4183" t="n">
        <v>1394</v>
      </c>
      <c r="AD4183" s="52">
        <f>IFERROR(N(IFERROR(INDEX($A4183:$AB4183,MATCH("Xero Invoiced Ex GST",$A$1:$AB$1,0)),"")),0)</f>
        <v/>
      </c>
      <c r="AE4183" s="53">
        <f>IFERROR(INDEX($A4183:$AB4183,MATCH("Xero Invoice Date",$A$1:$AB$1,0)),"")</f>
        <v/>
      </c>
      <c r="AF4183" s="54">
        <f>IF(AND(IFERROR(INDEX($A4183:$AB4183,MATCH("Xero Invoice No",$A$1:$AB$1,0)),"")&amp;""&lt;&gt;"",ISNUMBER(AE4183),AD4183&lt;&gt;0),1,0)</f>
        <v/>
      </c>
      <c r="AG4183" s="55">
        <f>IF(AF4183=1,EOMONTH(AE4183,0),"")</f>
        <v/>
      </c>
      <c r="AH4183" s="9">
        <f>IF(AF4183=1,UPPER(TRIM(IFERROR(INDEX($A4183:$AB4183,MATCH("Client",$A$1:$AB$1,0)),"")&amp;"")),"")</f>
        <v/>
      </c>
      <c r="AI4183" s="9">
        <f>IF(AF4183=1,IFERROR(INDEX($A4183:$AB4183,MATCH("Cost Centre",$A$1:$AB$1,0)),"")&amp;"","")</f>
        <v/>
      </c>
      <c r="AJ4183" s="54">
        <f>IF(AND(AF4183=1,AE4183&gt;=set_FYStart,AE4183&lt;=set_AsAt),1,0)</f>
        <v/>
      </c>
      <c r="AK4183" s="54">
        <f>IF(AND(AJ4183=1,AH4183&lt;&gt;"",COUNTIFS($AH$2:AH4183,AH4183,$AJ$2:AJ4183,1)=1),N(AL4182)+1,"")</f>
        <v/>
      </c>
      <c r="AL4183" s="54">
        <f>IF(AK4183&lt;&gt;"",AK4183,N(AL4182))</f>
        <v/>
      </c>
    </row>
    <row r="4184">
      <c r="A4184" t="inlineStr">
        <is>
          <t>ONS-1395</t>
        </is>
      </c>
      <c r="B4184" t="inlineStr">
        <is>
          <t>Onsite</t>
        </is>
      </c>
      <c r="AB4184" t="n">
        <v>1395</v>
      </c>
      <c r="AD4184" s="52">
        <f>IFERROR(N(IFERROR(INDEX($A4184:$AB4184,MATCH("Xero Invoiced Ex GST",$A$1:$AB$1,0)),"")),0)</f>
        <v/>
      </c>
      <c r="AE4184" s="53">
        <f>IFERROR(INDEX($A4184:$AB4184,MATCH("Xero Invoice Date",$A$1:$AB$1,0)),"")</f>
        <v/>
      </c>
      <c r="AF4184" s="54">
        <f>IF(AND(IFERROR(INDEX($A4184:$AB4184,MATCH("Xero Invoice No",$A$1:$AB$1,0)),"")&amp;""&lt;&gt;"",ISNUMBER(AE4184),AD4184&lt;&gt;0),1,0)</f>
        <v/>
      </c>
      <c r="AG4184" s="55">
        <f>IF(AF4184=1,EOMONTH(AE4184,0),"")</f>
        <v/>
      </c>
      <c r="AH4184" s="9">
        <f>IF(AF4184=1,UPPER(TRIM(IFERROR(INDEX($A4184:$AB4184,MATCH("Client",$A$1:$AB$1,0)),"")&amp;"")),"")</f>
        <v/>
      </c>
      <c r="AI4184" s="9">
        <f>IF(AF4184=1,IFERROR(INDEX($A4184:$AB4184,MATCH("Cost Centre",$A$1:$AB$1,0)),"")&amp;"","")</f>
        <v/>
      </c>
      <c r="AJ4184" s="54">
        <f>IF(AND(AF4184=1,AE4184&gt;=set_FYStart,AE4184&lt;=set_AsAt),1,0)</f>
        <v/>
      </c>
      <c r="AK4184" s="54">
        <f>IF(AND(AJ4184=1,AH4184&lt;&gt;"",COUNTIFS($AH$2:AH4184,AH4184,$AJ$2:AJ4184,1)=1),N(AL4183)+1,"")</f>
        <v/>
      </c>
      <c r="AL4184" s="54">
        <f>IF(AK4184&lt;&gt;"",AK4184,N(AL4183))</f>
        <v/>
      </c>
    </row>
    <row r="4185">
      <c r="A4185" t="inlineStr">
        <is>
          <t>PRD-1395</t>
        </is>
      </c>
      <c r="B4185" t="inlineStr">
        <is>
          <t>Production</t>
        </is>
      </c>
      <c r="AB4185" t="n">
        <v>1395</v>
      </c>
      <c r="AD4185" s="52">
        <f>IFERROR(N(IFERROR(INDEX($A4185:$AB4185,MATCH("Xero Invoiced Ex GST",$A$1:$AB$1,0)),"")),0)</f>
        <v/>
      </c>
      <c r="AE4185" s="53">
        <f>IFERROR(INDEX($A4185:$AB4185,MATCH("Xero Invoice Date",$A$1:$AB$1,0)),"")</f>
        <v/>
      </c>
      <c r="AF4185" s="54">
        <f>IF(AND(IFERROR(INDEX($A4185:$AB4185,MATCH("Xero Invoice No",$A$1:$AB$1,0)),"")&amp;""&lt;&gt;"",ISNUMBER(AE4185),AD4185&lt;&gt;0),1,0)</f>
        <v/>
      </c>
      <c r="AG4185" s="55">
        <f>IF(AF4185=1,EOMONTH(AE4185,0),"")</f>
        <v/>
      </c>
      <c r="AH4185" s="9">
        <f>IF(AF4185=1,UPPER(TRIM(IFERROR(INDEX($A4185:$AB4185,MATCH("Client",$A$1:$AB$1,0)),"")&amp;"")),"")</f>
        <v/>
      </c>
      <c r="AI4185" s="9">
        <f>IF(AF4185=1,IFERROR(INDEX($A4185:$AB4185,MATCH("Cost Centre",$A$1:$AB$1,0)),"")&amp;"","")</f>
        <v/>
      </c>
      <c r="AJ4185" s="54">
        <f>IF(AND(AF4185=1,AE4185&gt;=set_FYStart,AE4185&lt;=set_AsAt),1,0)</f>
        <v/>
      </c>
      <c r="AK4185" s="54">
        <f>IF(AND(AJ4185=1,AH4185&lt;&gt;"",COUNTIFS($AH$2:AH4185,AH4185,$AJ$2:AJ4185,1)=1),N(AL4184)+1,"")</f>
        <v/>
      </c>
      <c r="AL4185" s="54">
        <f>IF(AK4185&lt;&gt;"",AK4185,N(AL4184))</f>
        <v/>
      </c>
    </row>
    <row r="4186">
      <c r="A4186" t="inlineStr">
        <is>
          <t>CON-1395</t>
        </is>
      </c>
      <c r="B4186" t="inlineStr">
        <is>
          <t>Consulting</t>
        </is>
      </c>
      <c r="AB4186" t="n">
        <v>1395</v>
      </c>
      <c r="AD4186" s="52">
        <f>IFERROR(N(IFERROR(INDEX($A4186:$AB4186,MATCH("Xero Invoiced Ex GST",$A$1:$AB$1,0)),"")),0)</f>
        <v/>
      </c>
      <c r="AE4186" s="53">
        <f>IFERROR(INDEX($A4186:$AB4186,MATCH("Xero Invoice Date",$A$1:$AB$1,0)),"")</f>
        <v/>
      </c>
      <c r="AF4186" s="54">
        <f>IF(AND(IFERROR(INDEX($A4186:$AB4186,MATCH("Xero Invoice No",$A$1:$AB$1,0)),"")&amp;""&lt;&gt;"",ISNUMBER(AE4186),AD4186&lt;&gt;0),1,0)</f>
        <v/>
      </c>
      <c r="AG4186" s="55">
        <f>IF(AF4186=1,EOMONTH(AE4186,0),"")</f>
        <v/>
      </c>
      <c r="AH4186" s="9">
        <f>IF(AF4186=1,UPPER(TRIM(IFERROR(INDEX($A4186:$AB4186,MATCH("Client",$A$1:$AB$1,0)),"")&amp;"")),"")</f>
        <v/>
      </c>
      <c r="AI4186" s="9">
        <f>IF(AF4186=1,IFERROR(INDEX($A4186:$AB4186,MATCH("Cost Centre",$A$1:$AB$1,0)),"")&amp;"","")</f>
        <v/>
      </c>
      <c r="AJ4186" s="54">
        <f>IF(AND(AF4186=1,AE4186&gt;=set_FYStart,AE4186&lt;=set_AsAt),1,0)</f>
        <v/>
      </c>
      <c r="AK4186" s="54">
        <f>IF(AND(AJ4186=1,AH4186&lt;&gt;"",COUNTIFS($AH$2:AH4186,AH4186,$AJ$2:AJ4186,1)=1),N(AL4185)+1,"")</f>
        <v/>
      </c>
      <c r="AL4186" s="54">
        <f>IF(AK4186&lt;&gt;"",AK4186,N(AL4185))</f>
        <v/>
      </c>
    </row>
    <row r="4187">
      <c r="A4187" t="inlineStr">
        <is>
          <t>ONS-1396</t>
        </is>
      </c>
      <c r="B4187" t="inlineStr">
        <is>
          <t>Onsite</t>
        </is>
      </c>
      <c r="AB4187" t="n">
        <v>1396</v>
      </c>
      <c r="AD4187" s="52">
        <f>IFERROR(N(IFERROR(INDEX($A4187:$AB4187,MATCH("Xero Invoiced Ex GST",$A$1:$AB$1,0)),"")),0)</f>
        <v/>
      </c>
      <c r="AE4187" s="53">
        <f>IFERROR(INDEX($A4187:$AB4187,MATCH("Xero Invoice Date",$A$1:$AB$1,0)),"")</f>
        <v/>
      </c>
      <c r="AF4187" s="54">
        <f>IF(AND(IFERROR(INDEX($A4187:$AB4187,MATCH("Xero Invoice No",$A$1:$AB$1,0)),"")&amp;""&lt;&gt;"",ISNUMBER(AE4187),AD4187&lt;&gt;0),1,0)</f>
        <v/>
      </c>
      <c r="AG4187" s="55">
        <f>IF(AF4187=1,EOMONTH(AE4187,0),"")</f>
        <v/>
      </c>
      <c r="AH4187" s="9">
        <f>IF(AF4187=1,UPPER(TRIM(IFERROR(INDEX($A4187:$AB4187,MATCH("Client",$A$1:$AB$1,0)),"")&amp;"")),"")</f>
        <v/>
      </c>
      <c r="AI4187" s="9">
        <f>IF(AF4187=1,IFERROR(INDEX($A4187:$AB4187,MATCH("Cost Centre",$A$1:$AB$1,0)),"")&amp;"","")</f>
        <v/>
      </c>
      <c r="AJ4187" s="54">
        <f>IF(AND(AF4187=1,AE4187&gt;=set_FYStart,AE4187&lt;=set_AsAt),1,0)</f>
        <v/>
      </c>
      <c r="AK4187" s="54">
        <f>IF(AND(AJ4187=1,AH4187&lt;&gt;"",COUNTIFS($AH$2:AH4187,AH4187,$AJ$2:AJ4187,1)=1),N(AL4186)+1,"")</f>
        <v/>
      </c>
      <c r="AL4187" s="54">
        <f>IF(AK4187&lt;&gt;"",AK4187,N(AL4186))</f>
        <v/>
      </c>
    </row>
    <row r="4188">
      <c r="A4188" t="inlineStr">
        <is>
          <t>PRD-1396</t>
        </is>
      </c>
      <c r="B4188" t="inlineStr">
        <is>
          <t>Production</t>
        </is>
      </c>
      <c r="AB4188" t="n">
        <v>1396</v>
      </c>
      <c r="AD4188" s="52">
        <f>IFERROR(N(IFERROR(INDEX($A4188:$AB4188,MATCH("Xero Invoiced Ex GST",$A$1:$AB$1,0)),"")),0)</f>
        <v/>
      </c>
      <c r="AE4188" s="53">
        <f>IFERROR(INDEX($A4188:$AB4188,MATCH("Xero Invoice Date",$A$1:$AB$1,0)),"")</f>
        <v/>
      </c>
      <c r="AF4188" s="54">
        <f>IF(AND(IFERROR(INDEX($A4188:$AB4188,MATCH("Xero Invoice No",$A$1:$AB$1,0)),"")&amp;""&lt;&gt;"",ISNUMBER(AE4188),AD4188&lt;&gt;0),1,0)</f>
        <v/>
      </c>
      <c r="AG4188" s="55">
        <f>IF(AF4188=1,EOMONTH(AE4188,0),"")</f>
        <v/>
      </c>
      <c r="AH4188" s="9">
        <f>IF(AF4188=1,UPPER(TRIM(IFERROR(INDEX($A4188:$AB4188,MATCH("Client",$A$1:$AB$1,0)),"")&amp;"")),"")</f>
        <v/>
      </c>
      <c r="AI4188" s="9">
        <f>IF(AF4188=1,IFERROR(INDEX($A4188:$AB4188,MATCH("Cost Centre",$A$1:$AB$1,0)),"")&amp;"","")</f>
        <v/>
      </c>
      <c r="AJ4188" s="54">
        <f>IF(AND(AF4188=1,AE4188&gt;=set_FYStart,AE4188&lt;=set_AsAt),1,0)</f>
        <v/>
      </c>
      <c r="AK4188" s="54">
        <f>IF(AND(AJ4188=1,AH4188&lt;&gt;"",COUNTIFS($AH$2:AH4188,AH4188,$AJ$2:AJ4188,1)=1),N(AL4187)+1,"")</f>
        <v/>
      </c>
      <c r="AL4188" s="54">
        <f>IF(AK4188&lt;&gt;"",AK4188,N(AL4187))</f>
        <v/>
      </c>
    </row>
    <row r="4189">
      <c r="A4189" t="inlineStr">
        <is>
          <t>CON-1396</t>
        </is>
      </c>
      <c r="B4189" t="inlineStr">
        <is>
          <t>Consulting</t>
        </is>
      </c>
      <c r="AB4189" t="n">
        <v>1396</v>
      </c>
      <c r="AD4189" s="52">
        <f>IFERROR(N(IFERROR(INDEX($A4189:$AB4189,MATCH("Xero Invoiced Ex GST",$A$1:$AB$1,0)),"")),0)</f>
        <v/>
      </c>
      <c r="AE4189" s="53">
        <f>IFERROR(INDEX($A4189:$AB4189,MATCH("Xero Invoice Date",$A$1:$AB$1,0)),"")</f>
        <v/>
      </c>
      <c r="AF4189" s="54">
        <f>IF(AND(IFERROR(INDEX($A4189:$AB4189,MATCH("Xero Invoice No",$A$1:$AB$1,0)),"")&amp;""&lt;&gt;"",ISNUMBER(AE4189),AD4189&lt;&gt;0),1,0)</f>
        <v/>
      </c>
      <c r="AG4189" s="55">
        <f>IF(AF4189=1,EOMONTH(AE4189,0),"")</f>
        <v/>
      </c>
      <c r="AH4189" s="9">
        <f>IF(AF4189=1,UPPER(TRIM(IFERROR(INDEX($A4189:$AB4189,MATCH("Client",$A$1:$AB$1,0)),"")&amp;"")),"")</f>
        <v/>
      </c>
      <c r="AI4189" s="9">
        <f>IF(AF4189=1,IFERROR(INDEX($A4189:$AB4189,MATCH("Cost Centre",$A$1:$AB$1,0)),"")&amp;"","")</f>
        <v/>
      </c>
      <c r="AJ4189" s="54">
        <f>IF(AND(AF4189=1,AE4189&gt;=set_FYStart,AE4189&lt;=set_AsAt),1,0)</f>
        <v/>
      </c>
      <c r="AK4189" s="54">
        <f>IF(AND(AJ4189=1,AH4189&lt;&gt;"",COUNTIFS($AH$2:AH4189,AH4189,$AJ$2:AJ4189,1)=1),N(AL4188)+1,"")</f>
        <v/>
      </c>
      <c r="AL4189" s="54">
        <f>IF(AK4189&lt;&gt;"",AK4189,N(AL4188))</f>
        <v/>
      </c>
    </row>
    <row r="4190">
      <c r="A4190" t="inlineStr">
        <is>
          <t>ONS-1397</t>
        </is>
      </c>
      <c r="B4190" t="inlineStr">
        <is>
          <t>Onsite</t>
        </is>
      </c>
      <c r="AB4190" t="n">
        <v>1397</v>
      </c>
      <c r="AD4190" s="52">
        <f>IFERROR(N(IFERROR(INDEX($A4190:$AB4190,MATCH("Xero Invoiced Ex GST",$A$1:$AB$1,0)),"")),0)</f>
        <v/>
      </c>
      <c r="AE4190" s="53">
        <f>IFERROR(INDEX($A4190:$AB4190,MATCH("Xero Invoice Date",$A$1:$AB$1,0)),"")</f>
        <v/>
      </c>
      <c r="AF4190" s="54">
        <f>IF(AND(IFERROR(INDEX($A4190:$AB4190,MATCH("Xero Invoice No",$A$1:$AB$1,0)),"")&amp;""&lt;&gt;"",ISNUMBER(AE4190),AD4190&lt;&gt;0),1,0)</f>
        <v/>
      </c>
      <c r="AG4190" s="55">
        <f>IF(AF4190=1,EOMONTH(AE4190,0),"")</f>
        <v/>
      </c>
      <c r="AH4190" s="9">
        <f>IF(AF4190=1,UPPER(TRIM(IFERROR(INDEX($A4190:$AB4190,MATCH("Client",$A$1:$AB$1,0)),"")&amp;"")),"")</f>
        <v/>
      </c>
      <c r="AI4190" s="9">
        <f>IF(AF4190=1,IFERROR(INDEX($A4190:$AB4190,MATCH("Cost Centre",$A$1:$AB$1,0)),"")&amp;"","")</f>
        <v/>
      </c>
      <c r="AJ4190" s="54">
        <f>IF(AND(AF4190=1,AE4190&gt;=set_FYStart,AE4190&lt;=set_AsAt),1,0)</f>
        <v/>
      </c>
      <c r="AK4190" s="54">
        <f>IF(AND(AJ4190=1,AH4190&lt;&gt;"",COUNTIFS($AH$2:AH4190,AH4190,$AJ$2:AJ4190,1)=1),N(AL4189)+1,"")</f>
        <v/>
      </c>
      <c r="AL4190" s="54">
        <f>IF(AK4190&lt;&gt;"",AK4190,N(AL4189))</f>
        <v/>
      </c>
    </row>
    <row r="4191">
      <c r="A4191" t="inlineStr">
        <is>
          <t>PRD-1397</t>
        </is>
      </c>
      <c r="B4191" t="inlineStr">
        <is>
          <t>Production</t>
        </is>
      </c>
      <c r="AB4191" t="n">
        <v>1397</v>
      </c>
      <c r="AD4191" s="52">
        <f>IFERROR(N(IFERROR(INDEX($A4191:$AB4191,MATCH("Xero Invoiced Ex GST",$A$1:$AB$1,0)),"")),0)</f>
        <v/>
      </c>
      <c r="AE4191" s="53">
        <f>IFERROR(INDEX($A4191:$AB4191,MATCH("Xero Invoice Date",$A$1:$AB$1,0)),"")</f>
        <v/>
      </c>
      <c r="AF4191" s="54">
        <f>IF(AND(IFERROR(INDEX($A4191:$AB4191,MATCH("Xero Invoice No",$A$1:$AB$1,0)),"")&amp;""&lt;&gt;"",ISNUMBER(AE4191),AD4191&lt;&gt;0),1,0)</f>
        <v/>
      </c>
      <c r="AG4191" s="55">
        <f>IF(AF4191=1,EOMONTH(AE4191,0),"")</f>
        <v/>
      </c>
      <c r="AH4191" s="9">
        <f>IF(AF4191=1,UPPER(TRIM(IFERROR(INDEX($A4191:$AB4191,MATCH("Client",$A$1:$AB$1,0)),"")&amp;"")),"")</f>
        <v/>
      </c>
      <c r="AI4191" s="9">
        <f>IF(AF4191=1,IFERROR(INDEX($A4191:$AB4191,MATCH("Cost Centre",$A$1:$AB$1,0)),"")&amp;"","")</f>
        <v/>
      </c>
      <c r="AJ4191" s="54">
        <f>IF(AND(AF4191=1,AE4191&gt;=set_FYStart,AE4191&lt;=set_AsAt),1,0)</f>
        <v/>
      </c>
      <c r="AK4191" s="54">
        <f>IF(AND(AJ4191=1,AH4191&lt;&gt;"",COUNTIFS($AH$2:AH4191,AH4191,$AJ$2:AJ4191,1)=1),N(AL4190)+1,"")</f>
        <v/>
      </c>
      <c r="AL4191" s="54">
        <f>IF(AK4191&lt;&gt;"",AK4191,N(AL4190))</f>
        <v/>
      </c>
    </row>
    <row r="4192">
      <c r="A4192" t="inlineStr">
        <is>
          <t>CON-1397</t>
        </is>
      </c>
      <c r="B4192" t="inlineStr">
        <is>
          <t>Consulting</t>
        </is>
      </c>
      <c r="AB4192" t="n">
        <v>1397</v>
      </c>
      <c r="AD4192" s="52">
        <f>IFERROR(N(IFERROR(INDEX($A4192:$AB4192,MATCH("Xero Invoiced Ex GST",$A$1:$AB$1,0)),"")),0)</f>
        <v/>
      </c>
      <c r="AE4192" s="53">
        <f>IFERROR(INDEX($A4192:$AB4192,MATCH("Xero Invoice Date",$A$1:$AB$1,0)),"")</f>
        <v/>
      </c>
      <c r="AF4192" s="54">
        <f>IF(AND(IFERROR(INDEX($A4192:$AB4192,MATCH("Xero Invoice No",$A$1:$AB$1,0)),"")&amp;""&lt;&gt;"",ISNUMBER(AE4192),AD4192&lt;&gt;0),1,0)</f>
        <v/>
      </c>
      <c r="AG4192" s="55">
        <f>IF(AF4192=1,EOMONTH(AE4192,0),"")</f>
        <v/>
      </c>
      <c r="AH4192" s="9">
        <f>IF(AF4192=1,UPPER(TRIM(IFERROR(INDEX($A4192:$AB4192,MATCH("Client",$A$1:$AB$1,0)),"")&amp;"")),"")</f>
        <v/>
      </c>
      <c r="AI4192" s="9">
        <f>IF(AF4192=1,IFERROR(INDEX($A4192:$AB4192,MATCH("Cost Centre",$A$1:$AB$1,0)),"")&amp;"","")</f>
        <v/>
      </c>
      <c r="AJ4192" s="54">
        <f>IF(AND(AF4192=1,AE4192&gt;=set_FYStart,AE4192&lt;=set_AsAt),1,0)</f>
        <v/>
      </c>
      <c r="AK4192" s="54">
        <f>IF(AND(AJ4192=1,AH4192&lt;&gt;"",COUNTIFS($AH$2:AH4192,AH4192,$AJ$2:AJ4192,1)=1),N(AL4191)+1,"")</f>
        <v/>
      </c>
      <c r="AL4192" s="54">
        <f>IF(AK4192&lt;&gt;"",AK4192,N(AL4191))</f>
        <v/>
      </c>
    </row>
    <row r="4193">
      <c r="A4193" t="inlineStr">
        <is>
          <t>ONS-1398</t>
        </is>
      </c>
      <c r="B4193" t="inlineStr">
        <is>
          <t>Onsite</t>
        </is>
      </c>
      <c r="AB4193" t="n">
        <v>1398</v>
      </c>
      <c r="AD4193" s="52">
        <f>IFERROR(N(IFERROR(INDEX($A4193:$AB4193,MATCH("Xero Invoiced Ex GST",$A$1:$AB$1,0)),"")),0)</f>
        <v/>
      </c>
      <c r="AE4193" s="53">
        <f>IFERROR(INDEX($A4193:$AB4193,MATCH("Xero Invoice Date",$A$1:$AB$1,0)),"")</f>
        <v/>
      </c>
      <c r="AF4193" s="54">
        <f>IF(AND(IFERROR(INDEX($A4193:$AB4193,MATCH("Xero Invoice No",$A$1:$AB$1,0)),"")&amp;""&lt;&gt;"",ISNUMBER(AE4193),AD4193&lt;&gt;0),1,0)</f>
        <v/>
      </c>
      <c r="AG4193" s="55">
        <f>IF(AF4193=1,EOMONTH(AE4193,0),"")</f>
        <v/>
      </c>
      <c r="AH4193" s="9">
        <f>IF(AF4193=1,UPPER(TRIM(IFERROR(INDEX($A4193:$AB4193,MATCH("Client",$A$1:$AB$1,0)),"")&amp;"")),"")</f>
        <v/>
      </c>
      <c r="AI4193" s="9">
        <f>IF(AF4193=1,IFERROR(INDEX($A4193:$AB4193,MATCH("Cost Centre",$A$1:$AB$1,0)),"")&amp;"","")</f>
        <v/>
      </c>
      <c r="AJ4193" s="54">
        <f>IF(AND(AF4193=1,AE4193&gt;=set_FYStart,AE4193&lt;=set_AsAt),1,0)</f>
        <v/>
      </c>
      <c r="AK4193" s="54">
        <f>IF(AND(AJ4193=1,AH4193&lt;&gt;"",COUNTIFS($AH$2:AH4193,AH4193,$AJ$2:AJ4193,1)=1),N(AL4192)+1,"")</f>
        <v/>
      </c>
      <c r="AL4193" s="54">
        <f>IF(AK4193&lt;&gt;"",AK4193,N(AL4192))</f>
        <v/>
      </c>
    </row>
    <row r="4194">
      <c r="A4194" t="inlineStr">
        <is>
          <t>PRD-1398</t>
        </is>
      </c>
      <c r="B4194" t="inlineStr">
        <is>
          <t>Production</t>
        </is>
      </c>
      <c r="AB4194" t="n">
        <v>1398</v>
      </c>
      <c r="AD4194" s="52">
        <f>IFERROR(N(IFERROR(INDEX($A4194:$AB4194,MATCH("Xero Invoiced Ex GST",$A$1:$AB$1,0)),"")),0)</f>
        <v/>
      </c>
      <c r="AE4194" s="53">
        <f>IFERROR(INDEX($A4194:$AB4194,MATCH("Xero Invoice Date",$A$1:$AB$1,0)),"")</f>
        <v/>
      </c>
      <c r="AF4194" s="54">
        <f>IF(AND(IFERROR(INDEX($A4194:$AB4194,MATCH("Xero Invoice No",$A$1:$AB$1,0)),"")&amp;""&lt;&gt;"",ISNUMBER(AE4194),AD4194&lt;&gt;0),1,0)</f>
        <v/>
      </c>
      <c r="AG4194" s="55">
        <f>IF(AF4194=1,EOMONTH(AE4194,0),"")</f>
        <v/>
      </c>
      <c r="AH4194" s="9">
        <f>IF(AF4194=1,UPPER(TRIM(IFERROR(INDEX($A4194:$AB4194,MATCH("Client",$A$1:$AB$1,0)),"")&amp;"")),"")</f>
        <v/>
      </c>
      <c r="AI4194" s="9">
        <f>IF(AF4194=1,IFERROR(INDEX($A4194:$AB4194,MATCH("Cost Centre",$A$1:$AB$1,0)),"")&amp;"","")</f>
        <v/>
      </c>
      <c r="AJ4194" s="54">
        <f>IF(AND(AF4194=1,AE4194&gt;=set_FYStart,AE4194&lt;=set_AsAt),1,0)</f>
        <v/>
      </c>
      <c r="AK4194" s="54">
        <f>IF(AND(AJ4194=1,AH4194&lt;&gt;"",COUNTIFS($AH$2:AH4194,AH4194,$AJ$2:AJ4194,1)=1),N(AL4193)+1,"")</f>
        <v/>
      </c>
      <c r="AL4194" s="54">
        <f>IF(AK4194&lt;&gt;"",AK4194,N(AL4193))</f>
        <v/>
      </c>
    </row>
    <row r="4195">
      <c r="A4195" t="inlineStr">
        <is>
          <t>CON-1398</t>
        </is>
      </c>
      <c r="B4195" t="inlineStr">
        <is>
          <t>Consulting</t>
        </is>
      </c>
      <c r="AB4195" t="n">
        <v>1398</v>
      </c>
      <c r="AD4195" s="52">
        <f>IFERROR(N(IFERROR(INDEX($A4195:$AB4195,MATCH("Xero Invoiced Ex GST",$A$1:$AB$1,0)),"")),0)</f>
        <v/>
      </c>
      <c r="AE4195" s="53">
        <f>IFERROR(INDEX($A4195:$AB4195,MATCH("Xero Invoice Date",$A$1:$AB$1,0)),"")</f>
        <v/>
      </c>
      <c r="AF4195" s="54">
        <f>IF(AND(IFERROR(INDEX($A4195:$AB4195,MATCH("Xero Invoice No",$A$1:$AB$1,0)),"")&amp;""&lt;&gt;"",ISNUMBER(AE4195),AD4195&lt;&gt;0),1,0)</f>
        <v/>
      </c>
      <c r="AG4195" s="55">
        <f>IF(AF4195=1,EOMONTH(AE4195,0),"")</f>
        <v/>
      </c>
      <c r="AH4195" s="9">
        <f>IF(AF4195=1,UPPER(TRIM(IFERROR(INDEX($A4195:$AB4195,MATCH("Client",$A$1:$AB$1,0)),"")&amp;"")),"")</f>
        <v/>
      </c>
      <c r="AI4195" s="9">
        <f>IF(AF4195=1,IFERROR(INDEX($A4195:$AB4195,MATCH("Cost Centre",$A$1:$AB$1,0)),"")&amp;"","")</f>
        <v/>
      </c>
      <c r="AJ4195" s="54">
        <f>IF(AND(AF4195=1,AE4195&gt;=set_FYStart,AE4195&lt;=set_AsAt),1,0)</f>
        <v/>
      </c>
      <c r="AK4195" s="54">
        <f>IF(AND(AJ4195=1,AH4195&lt;&gt;"",COUNTIFS($AH$2:AH4195,AH4195,$AJ$2:AJ4195,1)=1),N(AL4194)+1,"")</f>
        <v/>
      </c>
      <c r="AL4195" s="54">
        <f>IF(AK4195&lt;&gt;"",AK4195,N(AL4194))</f>
        <v/>
      </c>
    </row>
    <row r="4196">
      <c r="A4196" t="inlineStr">
        <is>
          <t>ONS-1399</t>
        </is>
      </c>
      <c r="B4196" t="inlineStr">
        <is>
          <t>Onsite</t>
        </is>
      </c>
      <c r="AB4196" t="n">
        <v>1399</v>
      </c>
      <c r="AD4196" s="52">
        <f>IFERROR(N(IFERROR(INDEX($A4196:$AB4196,MATCH("Xero Invoiced Ex GST",$A$1:$AB$1,0)),"")),0)</f>
        <v/>
      </c>
      <c r="AE4196" s="53">
        <f>IFERROR(INDEX($A4196:$AB4196,MATCH("Xero Invoice Date",$A$1:$AB$1,0)),"")</f>
        <v/>
      </c>
      <c r="AF4196" s="54">
        <f>IF(AND(IFERROR(INDEX($A4196:$AB4196,MATCH("Xero Invoice No",$A$1:$AB$1,0)),"")&amp;""&lt;&gt;"",ISNUMBER(AE4196),AD4196&lt;&gt;0),1,0)</f>
        <v/>
      </c>
      <c r="AG4196" s="55">
        <f>IF(AF4196=1,EOMONTH(AE4196,0),"")</f>
        <v/>
      </c>
      <c r="AH4196" s="9">
        <f>IF(AF4196=1,UPPER(TRIM(IFERROR(INDEX($A4196:$AB4196,MATCH("Client",$A$1:$AB$1,0)),"")&amp;"")),"")</f>
        <v/>
      </c>
      <c r="AI4196" s="9">
        <f>IF(AF4196=1,IFERROR(INDEX($A4196:$AB4196,MATCH("Cost Centre",$A$1:$AB$1,0)),"")&amp;"","")</f>
        <v/>
      </c>
      <c r="AJ4196" s="54">
        <f>IF(AND(AF4196=1,AE4196&gt;=set_FYStart,AE4196&lt;=set_AsAt),1,0)</f>
        <v/>
      </c>
      <c r="AK4196" s="54">
        <f>IF(AND(AJ4196=1,AH4196&lt;&gt;"",COUNTIFS($AH$2:AH4196,AH4196,$AJ$2:AJ4196,1)=1),N(AL4195)+1,"")</f>
        <v/>
      </c>
      <c r="AL4196" s="54">
        <f>IF(AK4196&lt;&gt;"",AK4196,N(AL4195))</f>
        <v/>
      </c>
    </row>
    <row r="4197">
      <c r="A4197" t="inlineStr">
        <is>
          <t>PRD-1399</t>
        </is>
      </c>
      <c r="B4197" t="inlineStr">
        <is>
          <t>Production</t>
        </is>
      </c>
      <c r="AB4197" t="n">
        <v>1399</v>
      </c>
      <c r="AD4197" s="52">
        <f>IFERROR(N(IFERROR(INDEX($A4197:$AB4197,MATCH("Xero Invoiced Ex GST",$A$1:$AB$1,0)),"")),0)</f>
        <v/>
      </c>
      <c r="AE4197" s="53">
        <f>IFERROR(INDEX($A4197:$AB4197,MATCH("Xero Invoice Date",$A$1:$AB$1,0)),"")</f>
        <v/>
      </c>
      <c r="AF4197" s="54">
        <f>IF(AND(IFERROR(INDEX($A4197:$AB4197,MATCH("Xero Invoice No",$A$1:$AB$1,0)),"")&amp;""&lt;&gt;"",ISNUMBER(AE4197),AD4197&lt;&gt;0),1,0)</f>
        <v/>
      </c>
      <c r="AG4197" s="55">
        <f>IF(AF4197=1,EOMONTH(AE4197,0),"")</f>
        <v/>
      </c>
      <c r="AH4197" s="9">
        <f>IF(AF4197=1,UPPER(TRIM(IFERROR(INDEX($A4197:$AB4197,MATCH("Client",$A$1:$AB$1,0)),"")&amp;"")),"")</f>
        <v/>
      </c>
      <c r="AI4197" s="9">
        <f>IF(AF4197=1,IFERROR(INDEX($A4197:$AB4197,MATCH("Cost Centre",$A$1:$AB$1,0)),"")&amp;"","")</f>
        <v/>
      </c>
      <c r="AJ4197" s="54">
        <f>IF(AND(AF4197=1,AE4197&gt;=set_FYStart,AE4197&lt;=set_AsAt),1,0)</f>
        <v/>
      </c>
      <c r="AK4197" s="54">
        <f>IF(AND(AJ4197=1,AH4197&lt;&gt;"",COUNTIFS($AH$2:AH4197,AH4197,$AJ$2:AJ4197,1)=1),N(AL4196)+1,"")</f>
        <v/>
      </c>
      <c r="AL4197" s="54">
        <f>IF(AK4197&lt;&gt;"",AK4197,N(AL4196))</f>
        <v/>
      </c>
    </row>
    <row r="4198">
      <c r="A4198" t="inlineStr">
        <is>
          <t>CON-1399</t>
        </is>
      </c>
      <c r="B4198" t="inlineStr">
        <is>
          <t>Consulting</t>
        </is>
      </c>
      <c r="AB4198" t="n">
        <v>1399</v>
      </c>
      <c r="AD4198" s="52">
        <f>IFERROR(N(IFERROR(INDEX($A4198:$AB4198,MATCH("Xero Invoiced Ex GST",$A$1:$AB$1,0)),"")),0)</f>
        <v/>
      </c>
      <c r="AE4198" s="53">
        <f>IFERROR(INDEX($A4198:$AB4198,MATCH("Xero Invoice Date",$A$1:$AB$1,0)),"")</f>
        <v/>
      </c>
      <c r="AF4198" s="54">
        <f>IF(AND(IFERROR(INDEX($A4198:$AB4198,MATCH("Xero Invoice No",$A$1:$AB$1,0)),"")&amp;""&lt;&gt;"",ISNUMBER(AE4198),AD4198&lt;&gt;0),1,0)</f>
        <v/>
      </c>
      <c r="AG4198" s="55">
        <f>IF(AF4198=1,EOMONTH(AE4198,0),"")</f>
        <v/>
      </c>
      <c r="AH4198" s="9">
        <f>IF(AF4198=1,UPPER(TRIM(IFERROR(INDEX($A4198:$AB4198,MATCH("Client",$A$1:$AB$1,0)),"")&amp;"")),"")</f>
        <v/>
      </c>
      <c r="AI4198" s="9">
        <f>IF(AF4198=1,IFERROR(INDEX($A4198:$AB4198,MATCH("Cost Centre",$A$1:$AB$1,0)),"")&amp;"","")</f>
        <v/>
      </c>
      <c r="AJ4198" s="54">
        <f>IF(AND(AF4198=1,AE4198&gt;=set_FYStart,AE4198&lt;=set_AsAt),1,0)</f>
        <v/>
      </c>
      <c r="AK4198" s="54">
        <f>IF(AND(AJ4198=1,AH4198&lt;&gt;"",COUNTIFS($AH$2:AH4198,AH4198,$AJ$2:AJ4198,1)=1),N(AL4197)+1,"")</f>
        <v/>
      </c>
      <c r="AL4198" s="54">
        <f>IF(AK4198&lt;&gt;"",AK4198,N(AL4197))</f>
        <v/>
      </c>
    </row>
    <row r="4199">
      <c r="A4199" t="inlineStr">
        <is>
          <t>ONS-1400</t>
        </is>
      </c>
      <c r="B4199" t="inlineStr">
        <is>
          <t>Onsite</t>
        </is>
      </c>
      <c r="AB4199" t="n">
        <v>1400</v>
      </c>
      <c r="AD4199" s="52">
        <f>IFERROR(N(IFERROR(INDEX($A4199:$AB4199,MATCH("Xero Invoiced Ex GST",$A$1:$AB$1,0)),"")),0)</f>
        <v/>
      </c>
      <c r="AE4199" s="53">
        <f>IFERROR(INDEX($A4199:$AB4199,MATCH("Xero Invoice Date",$A$1:$AB$1,0)),"")</f>
        <v/>
      </c>
      <c r="AF4199" s="54">
        <f>IF(AND(IFERROR(INDEX($A4199:$AB4199,MATCH("Xero Invoice No",$A$1:$AB$1,0)),"")&amp;""&lt;&gt;"",ISNUMBER(AE4199),AD4199&lt;&gt;0),1,0)</f>
        <v/>
      </c>
      <c r="AG4199" s="55">
        <f>IF(AF4199=1,EOMONTH(AE4199,0),"")</f>
        <v/>
      </c>
      <c r="AH4199" s="9">
        <f>IF(AF4199=1,UPPER(TRIM(IFERROR(INDEX($A4199:$AB4199,MATCH("Client",$A$1:$AB$1,0)),"")&amp;"")),"")</f>
        <v/>
      </c>
      <c r="AI4199" s="9">
        <f>IF(AF4199=1,IFERROR(INDEX($A4199:$AB4199,MATCH("Cost Centre",$A$1:$AB$1,0)),"")&amp;"","")</f>
        <v/>
      </c>
      <c r="AJ4199" s="54">
        <f>IF(AND(AF4199=1,AE4199&gt;=set_FYStart,AE4199&lt;=set_AsAt),1,0)</f>
        <v/>
      </c>
      <c r="AK4199" s="54">
        <f>IF(AND(AJ4199=1,AH4199&lt;&gt;"",COUNTIFS($AH$2:AH4199,AH4199,$AJ$2:AJ4199,1)=1),N(AL4198)+1,"")</f>
        <v/>
      </c>
      <c r="AL4199" s="54">
        <f>IF(AK4199&lt;&gt;"",AK4199,N(AL4198))</f>
        <v/>
      </c>
    </row>
    <row r="4200">
      <c r="A4200" t="inlineStr">
        <is>
          <t>PRD-1400</t>
        </is>
      </c>
      <c r="B4200" t="inlineStr">
        <is>
          <t>Production</t>
        </is>
      </c>
      <c r="AB4200" t="n">
        <v>1400</v>
      </c>
      <c r="AD4200" s="52">
        <f>IFERROR(N(IFERROR(INDEX($A4200:$AB4200,MATCH("Xero Invoiced Ex GST",$A$1:$AB$1,0)),"")),0)</f>
        <v/>
      </c>
      <c r="AE4200" s="53">
        <f>IFERROR(INDEX($A4200:$AB4200,MATCH("Xero Invoice Date",$A$1:$AB$1,0)),"")</f>
        <v/>
      </c>
      <c r="AF4200" s="54">
        <f>IF(AND(IFERROR(INDEX($A4200:$AB4200,MATCH("Xero Invoice No",$A$1:$AB$1,0)),"")&amp;""&lt;&gt;"",ISNUMBER(AE4200),AD4200&lt;&gt;0),1,0)</f>
        <v/>
      </c>
      <c r="AG4200" s="55">
        <f>IF(AF4200=1,EOMONTH(AE4200,0),"")</f>
        <v/>
      </c>
      <c r="AH4200" s="9">
        <f>IF(AF4200=1,UPPER(TRIM(IFERROR(INDEX($A4200:$AB4200,MATCH("Client",$A$1:$AB$1,0)),"")&amp;"")),"")</f>
        <v/>
      </c>
      <c r="AI4200" s="9">
        <f>IF(AF4200=1,IFERROR(INDEX($A4200:$AB4200,MATCH("Cost Centre",$A$1:$AB$1,0)),"")&amp;"","")</f>
        <v/>
      </c>
      <c r="AJ4200" s="54">
        <f>IF(AND(AF4200=1,AE4200&gt;=set_FYStart,AE4200&lt;=set_AsAt),1,0)</f>
        <v/>
      </c>
      <c r="AK4200" s="54">
        <f>IF(AND(AJ4200=1,AH4200&lt;&gt;"",COUNTIFS($AH$2:AH4200,AH4200,$AJ$2:AJ4200,1)=1),N(AL4199)+1,"")</f>
        <v/>
      </c>
      <c r="AL4200" s="54">
        <f>IF(AK4200&lt;&gt;"",AK4200,N(AL4199))</f>
        <v/>
      </c>
    </row>
    <row r="4201">
      <c r="A4201" t="inlineStr">
        <is>
          <t>CON-1400</t>
        </is>
      </c>
      <c r="B4201" t="inlineStr">
        <is>
          <t>Consulting</t>
        </is>
      </c>
      <c r="AB4201" t="n">
        <v>1400</v>
      </c>
      <c r="AD4201" s="52">
        <f>IFERROR(N(IFERROR(INDEX($A4201:$AB4201,MATCH("Xero Invoiced Ex GST",$A$1:$AB$1,0)),"")),0)</f>
        <v/>
      </c>
      <c r="AE4201" s="53">
        <f>IFERROR(INDEX($A4201:$AB4201,MATCH("Xero Invoice Date",$A$1:$AB$1,0)),"")</f>
        <v/>
      </c>
      <c r="AF4201" s="54">
        <f>IF(AND(IFERROR(INDEX($A4201:$AB4201,MATCH("Xero Invoice No",$A$1:$AB$1,0)),"")&amp;""&lt;&gt;"",ISNUMBER(AE4201),AD4201&lt;&gt;0),1,0)</f>
        <v/>
      </c>
      <c r="AG4201" s="55">
        <f>IF(AF4201=1,EOMONTH(AE4201,0),"")</f>
        <v/>
      </c>
      <c r="AH4201" s="9">
        <f>IF(AF4201=1,UPPER(TRIM(IFERROR(INDEX($A4201:$AB4201,MATCH("Client",$A$1:$AB$1,0)),"")&amp;"")),"")</f>
        <v/>
      </c>
      <c r="AI4201" s="9">
        <f>IF(AF4201=1,IFERROR(INDEX($A4201:$AB4201,MATCH("Cost Centre",$A$1:$AB$1,0)),"")&amp;"","")</f>
        <v/>
      </c>
      <c r="AJ4201" s="54">
        <f>IF(AND(AF4201=1,AE4201&gt;=set_FYStart,AE4201&lt;=set_AsAt),1,0)</f>
        <v/>
      </c>
      <c r="AK4201" s="54">
        <f>IF(AND(AJ4201=1,AH4201&lt;&gt;"",COUNTIFS($AH$2:AH4201,AH4201,$AJ$2:AJ4201,1)=1),N(AL4200)+1,"")</f>
        <v/>
      </c>
      <c r="AL4201" s="54">
        <f>IF(AK4201&lt;&gt;"",AK4201,N(AL4200))</f>
        <v/>
      </c>
    </row>
    <row r="4202">
      <c r="A4202" t="inlineStr">
        <is>
          <t>ONS-1401</t>
        </is>
      </c>
      <c r="B4202" t="inlineStr">
        <is>
          <t>Onsite</t>
        </is>
      </c>
      <c r="AB4202" t="n">
        <v>1401</v>
      </c>
      <c r="AD4202" s="52">
        <f>IFERROR(N(IFERROR(INDEX($A4202:$AB4202,MATCH("Xero Invoiced Ex GST",$A$1:$AB$1,0)),"")),0)</f>
        <v/>
      </c>
      <c r="AE4202" s="53">
        <f>IFERROR(INDEX($A4202:$AB4202,MATCH("Xero Invoice Date",$A$1:$AB$1,0)),"")</f>
        <v/>
      </c>
      <c r="AF4202" s="54">
        <f>IF(AND(IFERROR(INDEX($A4202:$AB4202,MATCH("Xero Invoice No",$A$1:$AB$1,0)),"")&amp;""&lt;&gt;"",ISNUMBER(AE4202),AD4202&lt;&gt;0),1,0)</f>
        <v/>
      </c>
      <c r="AG4202" s="55">
        <f>IF(AF4202=1,EOMONTH(AE4202,0),"")</f>
        <v/>
      </c>
      <c r="AH4202" s="9">
        <f>IF(AF4202=1,UPPER(TRIM(IFERROR(INDEX($A4202:$AB4202,MATCH("Client",$A$1:$AB$1,0)),"")&amp;"")),"")</f>
        <v/>
      </c>
      <c r="AI4202" s="9">
        <f>IF(AF4202=1,IFERROR(INDEX($A4202:$AB4202,MATCH("Cost Centre",$A$1:$AB$1,0)),"")&amp;"","")</f>
        <v/>
      </c>
      <c r="AJ4202" s="54">
        <f>IF(AND(AF4202=1,AE4202&gt;=set_FYStart,AE4202&lt;=set_AsAt),1,0)</f>
        <v/>
      </c>
      <c r="AK4202" s="54">
        <f>IF(AND(AJ4202=1,AH4202&lt;&gt;"",COUNTIFS($AH$2:AH4202,AH4202,$AJ$2:AJ4202,1)=1),N(AL4201)+1,"")</f>
        <v/>
      </c>
      <c r="AL4202" s="54">
        <f>IF(AK4202&lt;&gt;"",AK4202,N(AL4201))</f>
        <v/>
      </c>
    </row>
    <row r="4203">
      <c r="A4203" t="inlineStr">
        <is>
          <t>PRD-1401</t>
        </is>
      </c>
      <c r="B4203" t="inlineStr">
        <is>
          <t>Production</t>
        </is>
      </c>
      <c r="AB4203" t="n">
        <v>1401</v>
      </c>
      <c r="AD4203" s="52">
        <f>IFERROR(N(IFERROR(INDEX($A4203:$AB4203,MATCH("Xero Invoiced Ex GST",$A$1:$AB$1,0)),"")),0)</f>
        <v/>
      </c>
      <c r="AE4203" s="53">
        <f>IFERROR(INDEX($A4203:$AB4203,MATCH("Xero Invoice Date",$A$1:$AB$1,0)),"")</f>
        <v/>
      </c>
      <c r="AF4203" s="54">
        <f>IF(AND(IFERROR(INDEX($A4203:$AB4203,MATCH("Xero Invoice No",$A$1:$AB$1,0)),"")&amp;""&lt;&gt;"",ISNUMBER(AE4203),AD4203&lt;&gt;0),1,0)</f>
        <v/>
      </c>
      <c r="AG4203" s="55">
        <f>IF(AF4203=1,EOMONTH(AE4203,0),"")</f>
        <v/>
      </c>
      <c r="AH4203" s="9">
        <f>IF(AF4203=1,UPPER(TRIM(IFERROR(INDEX($A4203:$AB4203,MATCH("Client",$A$1:$AB$1,0)),"")&amp;"")),"")</f>
        <v/>
      </c>
      <c r="AI4203" s="9">
        <f>IF(AF4203=1,IFERROR(INDEX($A4203:$AB4203,MATCH("Cost Centre",$A$1:$AB$1,0)),"")&amp;"","")</f>
        <v/>
      </c>
      <c r="AJ4203" s="54">
        <f>IF(AND(AF4203=1,AE4203&gt;=set_FYStart,AE4203&lt;=set_AsAt),1,0)</f>
        <v/>
      </c>
      <c r="AK4203" s="54">
        <f>IF(AND(AJ4203=1,AH4203&lt;&gt;"",COUNTIFS($AH$2:AH4203,AH4203,$AJ$2:AJ4203,1)=1),N(AL4202)+1,"")</f>
        <v/>
      </c>
      <c r="AL4203" s="54">
        <f>IF(AK4203&lt;&gt;"",AK4203,N(AL4202))</f>
        <v/>
      </c>
    </row>
    <row r="4204">
      <c r="A4204" t="inlineStr">
        <is>
          <t>CON-1401</t>
        </is>
      </c>
      <c r="B4204" t="inlineStr">
        <is>
          <t>Consulting</t>
        </is>
      </c>
      <c r="AB4204" t="n">
        <v>1401</v>
      </c>
      <c r="AD4204" s="52">
        <f>IFERROR(N(IFERROR(INDEX($A4204:$AB4204,MATCH("Xero Invoiced Ex GST",$A$1:$AB$1,0)),"")),0)</f>
        <v/>
      </c>
      <c r="AE4204" s="53">
        <f>IFERROR(INDEX($A4204:$AB4204,MATCH("Xero Invoice Date",$A$1:$AB$1,0)),"")</f>
        <v/>
      </c>
      <c r="AF4204" s="54">
        <f>IF(AND(IFERROR(INDEX($A4204:$AB4204,MATCH("Xero Invoice No",$A$1:$AB$1,0)),"")&amp;""&lt;&gt;"",ISNUMBER(AE4204),AD4204&lt;&gt;0),1,0)</f>
        <v/>
      </c>
      <c r="AG4204" s="55">
        <f>IF(AF4204=1,EOMONTH(AE4204,0),"")</f>
        <v/>
      </c>
      <c r="AH4204" s="9">
        <f>IF(AF4204=1,UPPER(TRIM(IFERROR(INDEX($A4204:$AB4204,MATCH("Client",$A$1:$AB$1,0)),"")&amp;"")),"")</f>
        <v/>
      </c>
      <c r="AI4204" s="9">
        <f>IF(AF4204=1,IFERROR(INDEX($A4204:$AB4204,MATCH("Cost Centre",$A$1:$AB$1,0)),"")&amp;"","")</f>
        <v/>
      </c>
      <c r="AJ4204" s="54">
        <f>IF(AND(AF4204=1,AE4204&gt;=set_FYStart,AE4204&lt;=set_AsAt),1,0)</f>
        <v/>
      </c>
      <c r="AK4204" s="54">
        <f>IF(AND(AJ4204=1,AH4204&lt;&gt;"",COUNTIFS($AH$2:AH4204,AH4204,$AJ$2:AJ4204,1)=1),N(AL4203)+1,"")</f>
        <v/>
      </c>
      <c r="AL4204" s="54">
        <f>IF(AK4204&lt;&gt;"",AK4204,N(AL4203))</f>
        <v/>
      </c>
    </row>
    <row r="4205">
      <c r="A4205" t="inlineStr">
        <is>
          <t>ONS-1402</t>
        </is>
      </c>
      <c r="B4205" t="inlineStr">
        <is>
          <t>Onsite</t>
        </is>
      </c>
      <c r="AB4205" t="n">
        <v>1402</v>
      </c>
      <c r="AD4205" s="52">
        <f>IFERROR(N(IFERROR(INDEX($A4205:$AB4205,MATCH("Xero Invoiced Ex GST",$A$1:$AB$1,0)),"")),0)</f>
        <v/>
      </c>
      <c r="AE4205" s="53">
        <f>IFERROR(INDEX($A4205:$AB4205,MATCH("Xero Invoice Date",$A$1:$AB$1,0)),"")</f>
        <v/>
      </c>
      <c r="AF4205" s="54">
        <f>IF(AND(IFERROR(INDEX($A4205:$AB4205,MATCH("Xero Invoice No",$A$1:$AB$1,0)),"")&amp;""&lt;&gt;"",ISNUMBER(AE4205),AD4205&lt;&gt;0),1,0)</f>
        <v/>
      </c>
      <c r="AG4205" s="55">
        <f>IF(AF4205=1,EOMONTH(AE4205,0),"")</f>
        <v/>
      </c>
      <c r="AH4205" s="9">
        <f>IF(AF4205=1,UPPER(TRIM(IFERROR(INDEX($A4205:$AB4205,MATCH("Client",$A$1:$AB$1,0)),"")&amp;"")),"")</f>
        <v/>
      </c>
      <c r="AI4205" s="9">
        <f>IF(AF4205=1,IFERROR(INDEX($A4205:$AB4205,MATCH("Cost Centre",$A$1:$AB$1,0)),"")&amp;"","")</f>
        <v/>
      </c>
      <c r="AJ4205" s="54">
        <f>IF(AND(AF4205=1,AE4205&gt;=set_FYStart,AE4205&lt;=set_AsAt),1,0)</f>
        <v/>
      </c>
      <c r="AK4205" s="54">
        <f>IF(AND(AJ4205=1,AH4205&lt;&gt;"",COUNTIFS($AH$2:AH4205,AH4205,$AJ$2:AJ4205,1)=1),N(AL4204)+1,"")</f>
        <v/>
      </c>
      <c r="AL4205" s="54">
        <f>IF(AK4205&lt;&gt;"",AK4205,N(AL4204))</f>
        <v/>
      </c>
    </row>
    <row r="4206">
      <c r="A4206" t="inlineStr">
        <is>
          <t>PRD-1402</t>
        </is>
      </c>
      <c r="B4206" t="inlineStr">
        <is>
          <t>Production</t>
        </is>
      </c>
      <c r="AB4206" t="n">
        <v>1402</v>
      </c>
      <c r="AD4206" s="52">
        <f>IFERROR(N(IFERROR(INDEX($A4206:$AB4206,MATCH("Xero Invoiced Ex GST",$A$1:$AB$1,0)),"")),0)</f>
        <v/>
      </c>
      <c r="AE4206" s="53">
        <f>IFERROR(INDEX($A4206:$AB4206,MATCH("Xero Invoice Date",$A$1:$AB$1,0)),"")</f>
        <v/>
      </c>
      <c r="AF4206" s="54">
        <f>IF(AND(IFERROR(INDEX($A4206:$AB4206,MATCH("Xero Invoice No",$A$1:$AB$1,0)),"")&amp;""&lt;&gt;"",ISNUMBER(AE4206),AD4206&lt;&gt;0),1,0)</f>
        <v/>
      </c>
      <c r="AG4206" s="55">
        <f>IF(AF4206=1,EOMONTH(AE4206,0),"")</f>
        <v/>
      </c>
      <c r="AH4206" s="9">
        <f>IF(AF4206=1,UPPER(TRIM(IFERROR(INDEX($A4206:$AB4206,MATCH("Client",$A$1:$AB$1,0)),"")&amp;"")),"")</f>
        <v/>
      </c>
      <c r="AI4206" s="9">
        <f>IF(AF4206=1,IFERROR(INDEX($A4206:$AB4206,MATCH("Cost Centre",$A$1:$AB$1,0)),"")&amp;"","")</f>
        <v/>
      </c>
      <c r="AJ4206" s="54">
        <f>IF(AND(AF4206=1,AE4206&gt;=set_FYStart,AE4206&lt;=set_AsAt),1,0)</f>
        <v/>
      </c>
      <c r="AK4206" s="54">
        <f>IF(AND(AJ4206=1,AH4206&lt;&gt;"",COUNTIFS($AH$2:AH4206,AH4206,$AJ$2:AJ4206,1)=1),N(AL4205)+1,"")</f>
        <v/>
      </c>
      <c r="AL4206" s="54">
        <f>IF(AK4206&lt;&gt;"",AK4206,N(AL4205))</f>
        <v/>
      </c>
    </row>
    <row r="4207">
      <c r="A4207" t="inlineStr">
        <is>
          <t>CON-1402</t>
        </is>
      </c>
      <c r="B4207" t="inlineStr">
        <is>
          <t>Consulting</t>
        </is>
      </c>
      <c r="AB4207" t="n">
        <v>1402</v>
      </c>
      <c r="AD4207" s="52">
        <f>IFERROR(N(IFERROR(INDEX($A4207:$AB4207,MATCH("Xero Invoiced Ex GST",$A$1:$AB$1,0)),"")),0)</f>
        <v/>
      </c>
      <c r="AE4207" s="53">
        <f>IFERROR(INDEX($A4207:$AB4207,MATCH("Xero Invoice Date",$A$1:$AB$1,0)),"")</f>
        <v/>
      </c>
      <c r="AF4207" s="54">
        <f>IF(AND(IFERROR(INDEX($A4207:$AB4207,MATCH("Xero Invoice No",$A$1:$AB$1,0)),"")&amp;""&lt;&gt;"",ISNUMBER(AE4207),AD4207&lt;&gt;0),1,0)</f>
        <v/>
      </c>
      <c r="AG4207" s="55">
        <f>IF(AF4207=1,EOMONTH(AE4207,0),"")</f>
        <v/>
      </c>
      <c r="AH4207" s="9">
        <f>IF(AF4207=1,UPPER(TRIM(IFERROR(INDEX($A4207:$AB4207,MATCH("Client",$A$1:$AB$1,0)),"")&amp;"")),"")</f>
        <v/>
      </c>
      <c r="AI4207" s="9">
        <f>IF(AF4207=1,IFERROR(INDEX($A4207:$AB4207,MATCH("Cost Centre",$A$1:$AB$1,0)),"")&amp;"","")</f>
        <v/>
      </c>
      <c r="AJ4207" s="54">
        <f>IF(AND(AF4207=1,AE4207&gt;=set_FYStart,AE4207&lt;=set_AsAt),1,0)</f>
        <v/>
      </c>
      <c r="AK4207" s="54">
        <f>IF(AND(AJ4207=1,AH4207&lt;&gt;"",COUNTIFS($AH$2:AH4207,AH4207,$AJ$2:AJ4207,1)=1),N(AL4206)+1,"")</f>
        <v/>
      </c>
      <c r="AL4207" s="54">
        <f>IF(AK4207&lt;&gt;"",AK4207,N(AL4206))</f>
        <v/>
      </c>
    </row>
    <row r="4208">
      <c r="A4208" t="inlineStr">
        <is>
          <t>ONS-1403</t>
        </is>
      </c>
      <c r="B4208" t="inlineStr">
        <is>
          <t>Onsite</t>
        </is>
      </c>
      <c r="AB4208" t="n">
        <v>1403</v>
      </c>
      <c r="AD4208" s="52">
        <f>IFERROR(N(IFERROR(INDEX($A4208:$AB4208,MATCH("Xero Invoiced Ex GST",$A$1:$AB$1,0)),"")),0)</f>
        <v/>
      </c>
      <c r="AE4208" s="53">
        <f>IFERROR(INDEX($A4208:$AB4208,MATCH("Xero Invoice Date",$A$1:$AB$1,0)),"")</f>
        <v/>
      </c>
      <c r="AF4208" s="54">
        <f>IF(AND(IFERROR(INDEX($A4208:$AB4208,MATCH("Xero Invoice No",$A$1:$AB$1,0)),"")&amp;""&lt;&gt;"",ISNUMBER(AE4208),AD4208&lt;&gt;0),1,0)</f>
        <v/>
      </c>
      <c r="AG4208" s="55">
        <f>IF(AF4208=1,EOMONTH(AE4208,0),"")</f>
        <v/>
      </c>
      <c r="AH4208" s="9">
        <f>IF(AF4208=1,UPPER(TRIM(IFERROR(INDEX($A4208:$AB4208,MATCH("Client",$A$1:$AB$1,0)),"")&amp;"")),"")</f>
        <v/>
      </c>
      <c r="AI4208" s="9">
        <f>IF(AF4208=1,IFERROR(INDEX($A4208:$AB4208,MATCH("Cost Centre",$A$1:$AB$1,0)),"")&amp;"","")</f>
        <v/>
      </c>
      <c r="AJ4208" s="54">
        <f>IF(AND(AF4208=1,AE4208&gt;=set_FYStart,AE4208&lt;=set_AsAt),1,0)</f>
        <v/>
      </c>
      <c r="AK4208" s="54">
        <f>IF(AND(AJ4208=1,AH4208&lt;&gt;"",COUNTIFS($AH$2:AH4208,AH4208,$AJ$2:AJ4208,1)=1),N(AL4207)+1,"")</f>
        <v/>
      </c>
      <c r="AL4208" s="54">
        <f>IF(AK4208&lt;&gt;"",AK4208,N(AL4207))</f>
        <v/>
      </c>
    </row>
    <row r="4209">
      <c r="A4209" t="inlineStr">
        <is>
          <t>PRD-1403</t>
        </is>
      </c>
      <c r="B4209" t="inlineStr">
        <is>
          <t>Production</t>
        </is>
      </c>
      <c r="AB4209" t="n">
        <v>1403</v>
      </c>
      <c r="AD4209" s="52">
        <f>IFERROR(N(IFERROR(INDEX($A4209:$AB4209,MATCH("Xero Invoiced Ex GST",$A$1:$AB$1,0)),"")),0)</f>
        <v/>
      </c>
      <c r="AE4209" s="53">
        <f>IFERROR(INDEX($A4209:$AB4209,MATCH("Xero Invoice Date",$A$1:$AB$1,0)),"")</f>
        <v/>
      </c>
      <c r="AF4209" s="54">
        <f>IF(AND(IFERROR(INDEX($A4209:$AB4209,MATCH("Xero Invoice No",$A$1:$AB$1,0)),"")&amp;""&lt;&gt;"",ISNUMBER(AE4209),AD4209&lt;&gt;0),1,0)</f>
        <v/>
      </c>
      <c r="AG4209" s="55">
        <f>IF(AF4209=1,EOMONTH(AE4209,0),"")</f>
        <v/>
      </c>
      <c r="AH4209" s="9">
        <f>IF(AF4209=1,UPPER(TRIM(IFERROR(INDEX($A4209:$AB4209,MATCH("Client",$A$1:$AB$1,0)),"")&amp;"")),"")</f>
        <v/>
      </c>
      <c r="AI4209" s="9">
        <f>IF(AF4209=1,IFERROR(INDEX($A4209:$AB4209,MATCH("Cost Centre",$A$1:$AB$1,0)),"")&amp;"","")</f>
        <v/>
      </c>
      <c r="AJ4209" s="54">
        <f>IF(AND(AF4209=1,AE4209&gt;=set_FYStart,AE4209&lt;=set_AsAt),1,0)</f>
        <v/>
      </c>
      <c r="AK4209" s="54">
        <f>IF(AND(AJ4209=1,AH4209&lt;&gt;"",COUNTIFS($AH$2:AH4209,AH4209,$AJ$2:AJ4209,1)=1),N(AL4208)+1,"")</f>
        <v/>
      </c>
      <c r="AL4209" s="54">
        <f>IF(AK4209&lt;&gt;"",AK4209,N(AL4208))</f>
        <v/>
      </c>
    </row>
    <row r="4210">
      <c r="A4210" t="inlineStr">
        <is>
          <t>CON-1403</t>
        </is>
      </c>
      <c r="B4210" t="inlineStr">
        <is>
          <t>Consulting</t>
        </is>
      </c>
      <c r="AB4210" t="n">
        <v>1403</v>
      </c>
      <c r="AD4210" s="52">
        <f>IFERROR(N(IFERROR(INDEX($A4210:$AB4210,MATCH("Xero Invoiced Ex GST",$A$1:$AB$1,0)),"")),0)</f>
        <v/>
      </c>
      <c r="AE4210" s="53">
        <f>IFERROR(INDEX($A4210:$AB4210,MATCH("Xero Invoice Date",$A$1:$AB$1,0)),"")</f>
        <v/>
      </c>
      <c r="AF4210" s="54">
        <f>IF(AND(IFERROR(INDEX($A4210:$AB4210,MATCH("Xero Invoice No",$A$1:$AB$1,0)),"")&amp;""&lt;&gt;"",ISNUMBER(AE4210),AD4210&lt;&gt;0),1,0)</f>
        <v/>
      </c>
      <c r="AG4210" s="55">
        <f>IF(AF4210=1,EOMONTH(AE4210,0),"")</f>
        <v/>
      </c>
      <c r="AH4210" s="9">
        <f>IF(AF4210=1,UPPER(TRIM(IFERROR(INDEX($A4210:$AB4210,MATCH("Client",$A$1:$AB$1,0)),"")&amp;"")),"")</f>
        <v/>
      </c>
      <c r="AI4210" s="9">
        <f>IF(AF4210=1,IFERROR(INDEX($A4210:$AB4210,MATCH("Cost Centre",$A$1:$AB$1,0)),"")&amp;"","")</f>
        <v/>
      </c>
      <c r="AJ4210" s="54">
        <f>IF(AND(AF4210=1,AE4210&gt;=set_FYStart,AE4210&lt;=set_AsAt),1,0)</f>
        <v/>
      </c>
      <c r="AK4210" s="54">
        <f>IF(AND(AJ4210=1,AH4210&lt;&gt;"",COUNTIFS($AH$2:AH4210,AH4210,$AJ$2:AJ4210,1)=1),N(AL4209)+1,"")</f>
        <v/>
      </c>
      <c r="AL4210" s="54">
        <f>IF(AK4210&lt;&gt;"",AK4210,N(AL4209))</f>
        <v/>
      </c>
    </row>
    <row r="4211">
      <c r="A4211" t="inlineStr">
        <is>
          <t>ONS-1404</t>
        </is>
      </c>
      <c r="B4211" t="inlineStr">
        <is>
          <t>Onsite</t>
        </is>
      </c>
      <c r="AB4211" t="n">
        <v>1404</v>
      </c>
      <c r="AD4211" s="52">
        <f>IFERROR(N(IFERROR(INDEX($A4211:$AB4211,MATCH("Xero Invoiced Ex GST",$A$1:$AB$1,0)),"")),0)</f>
        <v/>
      </c>
      <c r="AE4211" s="53">
        <f>IFERROR(INDEX($A4211:$AB4211,MATCH("Xero Invoice Date",$A$1:$AB$1,0)),"")</f>
        <v/>
      </c>
      <c r="AF4211" s="54">
        <f>IF(AND(IFERROR(INDEX($A4211:$AB4211,MATCH("Xero Invoice No",$A$1:$AB$1,0)),"")&amp;""&lt;&gt;"",ISNUMBER(AE4211),AD4211&lt;&gt;0),1,0)</f>
        <v/>
      </c>
      <c r="AG4211" s="55">
        <f>IF(AF4211=1,EOMONTH(AE4211,0),"")</f>
        <v/>
      </c>
      <c r="AH4211" s="9">
        <f>IF(AF4211=1,UPPER(TRIM(IFERROR(INDEX($A4211:$AB4211,MATCH("Client",$A$1:$AB$1,0)),"")&amp;"")),"")</f>
        <v/>
      </c>
      <c r="AI4211" s="9">
        <f>IF(AF4211=1,IFERROR(INDEX($A4211:$AB4211,MATCH("Cost Centre",$A$1:$AB$1,0)),"")&amp;"","")</f>
        <v/>
      </c>
      <c r="AJ4211" s="54">
        <f>IF(AND(AF4211=1,AE4211&gt;=set_FYStart,AE4211&lt;=set_AsAt),1,0)</f>
        <v/>
      </c>
      <c r="AK4211" s="54">
        <f>IF(AND(AJ4211=1,AH4211&lt;&gt;"",COUNTIFS($AH$2:AH4211,AH4211,$AJ$2:AJ4211,1)=1),N(AL4210)+1,"")</f>
        <v/>
      </c>
      <c r="AL4211" s="54">
        <f>IF(AK4211&lt;&gt;"",AK4211,N(AL4210))</f>
        <v/>
      </c>
    </row>
    <row r="4212">
      <c r="A4212" t="inlineStr">
        <is>
          <t>PRD-1404</t>
        </is>
      </c>
      <c r="B4212" t="inlineStr">
        <is>
          <t>Production</t>
        </is>
      </c>
      <c r="AB4212" t="n">
        <v>1404</v>
      </c>
      <c r="AD4212" s="52">
        <f>IFERROR(N(IFERROR(INDEX($A4212:$AB4212,MATCH("Xero Invoiced Ex GST",$A$1:$AB$1,0)),"")),0)</f>
        <v/>
      </c>
      <c r="AE4212" s="53">
        <f>IFERROR(INDEX($A4212:$AB4212,MATCH("Xero Invoice Date",$A$1:$AB$1,0)),"")</f>
        <v/>
      </c>
      <c r="AF4212" s="54">
        <f>IF(AND(IFERROR(INDEX($A4212:$AB4212,MATCH("Xero Invoice No",$A$1:$AB$1,0)),"")&amp;""&lt;&gt;"",ISNUMBER(AE4212),AD4212&lt;&gt;0),1,0)</f>
        <v/>
      </c>
      <c r="AG4212" s="55">
        <f>IF(AF4212=1,EOMONTH(AE4212,0),"")</f>
        <v/>
      </c>
      <c r="AH4212" s="9">
        <f>IF(AF4212=1,UPPER(TRIM(IFERROR(INDEX($A4212:$AB4212,MATCH("Client",$A$1:$AB$1,0)),"")&amp;"")),"")</f>
        <v/>
      </c>
      <c r="AI4212" s="9">
        <f>IF(AF4212=1,IFERROR(INDEX($A4212:$AB4212,MATCH("Cost Centre",$A$1:$AB$1,0)),"")&amp;"","")</f>
        <v/>
      </c>
      <c r="AJ4212" s="54">
        <f>IF(AND(AF4212=1,AE4212&gt;=set_FYStart,AE4212&lt;=set_AsAt),1,0)</f>
        <v/>
      </c>
      <c r="AK4212" s="54">
        <f>IF(AND(AJ4212=1,AH4212&lt;&gt;"",COUNTIFS($AH$2:AH4212,AH4212,$AJ$2:AJ4212,1)=1),N(AL4211)+1,"")</f>
        <v/>
      </c>
      <c r="AL4212" s="54">
        <f>IF(AK4212&lt;&gt;"",AK4212,N(AL4211))</f>
        <v/>
      </c>
    </row>
    <row r="4213">
      <c r="A4213" t="inlineStr">
        <is>
          <t>CON-1404</t>
        </is>
      </c>
      <c r="B4213" t="inlineStr">
        <is>
          <t>Consulting</t>
        </is>
      </c>
      <c r="AB4213" t="n">
        <v>1404</v>
      </c>
      <c r="AD4213" s="52">
        <f>IFERROR(N(IFERROR(INDEX($A4213:$AB4213,MATCH("Xero Invoiced Ex GST",$A$1:$AB$1,0)),"")),0)</f>
        <v/>
      </c>
      <c r="AE4213" s="53">
        <f>IFERROR(INDEX($A4213:$AB4213,MATCH("Xero Invoice Date",$A$1:$AB$1,0)),"")</f>
        <v/>
      </c>
      <c r="AF4213" s="54">
        <f>IF(AND(IFERROR(INDEX($A4213:$AB4213,MATCH("Xero Invoice No",$A$1:$AB$1,0)),"")&amp;""&lt;&gt;"",ISNUMBER(AE4213),AD4213&lt;&gt;0),1,0)</f>
        <v/>
      </c>
      <c r="AG4213" s="55">
        <f>IF(AF4213=1,EOMONTH(AE4213,0),"")</f>
        <v/>
      </c>
      <c r="AH4213" s="9">
        <f>IF(AF4213=1,UPPER(TRIM(IFERROR(INDEX($A4213:$AB4213,MATCH("Client",$A$1:$AB$1,0)),"")&amp;"")),"")</f>
        <v/>
      </c>
      <c r="AI4213" s="9">
        <f>IF(AF4213=1,IFERROR(INDEX($A4213:$AB4213,MATCH("Cost Centre",$A$1:$AB$1,0)),"")&amp;"","")</f>
        <v/>
      </c>
      <c r="AJ4213" s="54">
        <f>IF(AND(AF4213=1,AE4213&gt;=set_FYStart,AE4213&lt;=set_AsAt),1,0)</f>
        <v/>
      </c>
      <c r="AK4213" s="54">
        <f>IF(AND(AJ4213=1,AH4213&lt;&gt;"",COUNTIFS($AH$2:AH4213,AH4213,$AJ$2:AJ4213,1)=1),N(AL4212)+1,"")</f>
        <v/>
      </c>
      <c r="AL4213" s="54">
        <f>IF(AK4213&lt;&gt;"",AK4213,N(AL4212))</f>
        <v/>
      </c>
    </row>
    <row r="4214">
      <c r="A4214" t="inlineStr">
        <is>
          <t>ONS-1405</t>
        </is>
      </c>
      <c r="B4214" t="inlineStr">
        <is>
          <t>Onsite</t>
        </is>
      </c>
      <c r="AB4214" t="n">
        <v>1405</v>
      </c>
      <c r="AD4214" s="52">
        <f>IFERROR(N(IFERROR(INDEX($A4214:$AB4214,MATCH("Xero Invoiced Ex GST",$A$1:$AB$1,0)),"")),0)</f>
        <v/>
      </c>
      <c r="AE4214" s="53">
        <f>IFERROR(INDEX($A4214:$AB4214,MATCH("Xero Invoice Date",$A$1:$AB$1,0)),"")</f>
        <v/>
      </c>
      <c r="AF4214" s="54">
        <f>IF(AND(IFERROR(INDEX($A4214:$AB4214,MATCH("Xero Invoice No",$A$1:$AB$1,0)),"")&amp;""&lt;&gt;"",ISNUMBER(AE4214),AD4214&lt;&gt;0),1,0)</f>
        <v/>
      </c>
      <c r="AG4214" s="55">
        <f>IF(AF4214=1,EOMONTH(AE4214,0),"")</f>
        <v/>
      </c>
      <c r="AH4214" s="9">
        <f>IF(AF4214=1,UPPER(TRIM(IFERROR(INDEX($A4214:$AB4214,MATCH("Client",$A$1:$AB$1,0)),"")&amp;"")),"")</f>
        <v/>
      </c>
      <c r="AI4214" s="9">
        <f>IF(AF4214=1,IFERROR(INDEX($A4214:$AB4214,MATCH("Cost Centre",$A$1:$AB$1,0)),"")&amp;"","")</f>
        <v/>
      </c>
      <c r="AJ4214" s="54">
        <f>IF(AND(AF4214=1,AE4214&gt;=set_FYStart,AE4214&lt;=set_AsAt),1,0)</f>
        <v/>
      </c>
      <c r="AK4214" s="54">
        <f>IF(AND(AJ4214=1,AH4214&lt;&gt;"",COUNTIFS($AH$2:AH4214,AH4214,$AJ$2:AJ4214,1)=1),N(AL4213)+1,"")</f>
        <v/>
      </c>
      <c r="AL4214" s="54">
        <f>IF(AK4214&lt;&gt;"",AK4214,N(AL4213))</f>
        <v/>
      </c>
    </row>
    <row r="4215">
      <c r="A4215" t="inlineStr">
        <is>
          <t>PRD-1405</t>
        </is>
      </c>
      <c r="B4215" t="inlineStr">
        <is>
          <t>Production</t>
        </is>
      </c>
      <c r="AB4215" t="n">
        <v>1405</v>
      </c>
      <c r="AD4215" s="52">
        <f>IFERROR(N(IFERROR(INDEX($A4215:$AB4215,MATCH("Xero Invoiced Ex GST",$A$1:$AB$1,0)),"")),0)</f>
        <v/>
      </c>
      <c r="AE4215" s="53">
        <f>IFERROR(INDEX($A4215:$AB4215,MATCH("Xero Invoice Date",$A$1:$AB$1,0)),"")</f>
        <v/>
      </c>
      <c r="AF4215" s="54">
        <f>IF(AND(IFERROR(INDEX($A4215:$AB4215,MATCH("Xero Invoice No",$A$1:$AB$1,0)),"")&amp;""&lt;&gt;"",ISNUMBER(AE4215),AD4215&lt;&gt;0),1,0)</f>
        <v/>
      </c>
      <c r="AG4215" s="55">
        <f>IF(AF4215=1,EOMONTH(AE4215,0),"")</f>
        <v/>
      </c>
      <c r="AH4215" s="9">
        <f>IF(AF4215=1,UPPER(TRIM(IFERROR(INDEX($A4215:$AB4215,MATCH("Client",$A$1:$AB$1,0)),"")&amp;"")),"")</f>
        <v/>
      </c>
      <c r="AI4215" s="9">
        <f>IF(AF4215=1,IFERROR(INDEX($A4215:$AB4215,MATCH("Cost Centre",$A$1:$AB$1,0)),"")&amp;"","")</f>
        <v/>
      </c>
      <c r="AJ4215" s="54">
        <f>IF(AND(AF4215=1,AE4215&gt;=set_FYStart,AE4215&lt;=set_AsAt),1,0)</f>
        <v/>
      </c>
      <c r="AK4215" s="54">
        <f>IF(AND(AJ4215=1,AH4215&lt;&gt;"",COUNTIFS($AH$2:AH4215,AH4215,$AJ$2:AJ4215,1)=1),N(AL4214)+1,"")</f>
        <v/>
      </c>
      <c r="AL4215" s="54">
        <f>IF(AK4215&lt;&gt;"",AK4215,N(AL4214))</f>
        <v/>
      </c>
    </row>
    <row r="4216">
      <c r="A4216" t="inlineStr">
        <is>
          <t>CON-1405</t>
        </is>
      </c>
      <c r="B4216" t="inlineStr">
        <is>
          <t>Consulting</t>
        </is>
      </c>
      <c r="AB4216" t="n">
        <v>1405</v>
      </c>
      <c r="AD4216" s="52">
        <f>IFERROR(N(IFERROR(INDEX($A4216:$AB4216,MATCH("Xero Invoiced Ex GST",$A$1:$AB$1,0)),"")),0)</f>
        <v/>
      </c>
      <c r="AE4216" s="53">
        <f>IFERROR(INDEX($A4216:$AB4216,MATCH("Xero Invoice Date",$A$1:$AB$1,0)),"")</f>
        <v/>
      </c>
      <c r="AF4216" s="54">
        <f>IF(AND(IFERROR(INDEX($A4216:$AB4216,MATCH("Xero Invoice No",$A$1:$AB$1,0)),"")&amp;""&lt;&gt;"",ISNUMBER(AE4216),AD4216&lt;&gt;0),1,0)</f>
        <v/>
      </c>
      <c r="AG4216" s="55">
        <f>IF(AF4216=1,EOMONTH(AE4216,0),"")</f>
        <v/>
      </c>
      <c r="AH4216" s="9">
        <f>IF(AF4216=1,UPPER(TRIM(IFERROR(INDEX($A4216:$AB4216,MATCH("Client",$A$1:$AB$1,0)),"")&amp;"")),"")</f>
        <v/>
      </c>
      <c r="AI4216" s="9">
        <f>IF(AF4216=1,IFERROR(INDEX($A4216:$AB4216,MATCH("Cost Centre",$A$1:$AB$1,0)),"")&amp;"","")</f>
        <v/>
      </c>
      <c r="AJ4216" s="54">
        <f>IF(AND(AF4216=1,AE4216&gt;=set_FYStart,AE4216&lt;=set_AsAt),1,0)</f>
        <v/>
      </c>
      <c r="AK4216" s="54">
        <f>IF(AND(AJ4216=1,AH4216&lt;&gt;"",COUNTIFS($AH$2:AH4216,AH4216,$AJ$2:AJ4216,1)=1),N(AL4215)+1,"")</f>
        <v/>
      </c>
      <c r="AL4216" s="54">
        <f>IF(AK4216&lt;&gt;"",AK4216,N(AL4215))</f>
        <v/>
      </c>
    </row>
    <row r="4217">
      <c r="A4217" t="inlineStr">
        <is>
          <t>ONS-1406</t>
        </is>
      </c>
      <c r="B4217" t="inlineStr">
        <is>
          <t>Onsite</t>
        </is>
      </c>
      <c r="AB4217" t="n">
        <v>1406</v>
      </c>
      <c r="AD4217" s="52">
        <f>IFERROR(N(IFERROR(INDEX($A4217:$AB4217,MATCH("Xero Invoiced Ex GST",$A$1:$AB$1,0)),"")),0)</f>
        <v/>
      </c>
      <c r="AE4217" s="53">
        <f>IFERROR(INDEX($A4217:$AB4217,MATCH("Xero Invoice Date",$A$1:$AB$1,0)),"")</f>
        <v/>
      </c>
      <c r="AF4217" s="54">
        <f>IF(AND(IFERROR(INDEX($A4217:$AB4217,MATCH("Xero Invoice No",$A$1:$AB$1,0)),"")&amp;""&lt;&gt;"",ISNUMBER(AE4217),AD4217&lt;&gt;0),1,0)</f>
        <v/>
      </c>
      <c r="AG4217" s="55">
        <f>IF(AF4217=1,EOMONTH(AE4217,0),"")</f>
        <v/>
      </c>
      <c r="AH4217" s="9">
        <f>IF(AF4217=1,UPPER(TRIM(IFERROR(INDEX($A4217:$AB4217,MATCH("Client",$A$1:$AB$1,0)),"")&amp;"")),"")</f>
        <v/>
      </c>
      <c r="AI4217" s="9">
        <f>IF(AF4217=1,IFERROR(INDEX($A4217:$AB4217,MATCH("Cost Centre",$A$1:$AB$1,0)),"")&amp;"","")</f>
        <v/>
      </c>
      <c r="AJ4217" s="54">
        <f>IF(AND(AF4217=1,AE4217&gt;=set_FYStart,AE4217&lt;=set_AsAt),1,0)</f>
        <v/>
      </c>
      <c r="AK4217" s="54">
        <f>IF(AND(AJ4217=1,AH4217&lt;&gt;"",COUNTIFS($AH$2:AH4217,AH4217,$AJ$2:AJ4217,1)=1),N(AL4216)+1,"")</f>
        <v/>
      </c>
      <c r="AL4217" s="54">
        <f>IF(AK4217&lt;&gt;"",AK4217,N(AL4216))</f>
        <v/>
      </c>
    </row>
    <row r="4218">
      <c r="A4218" t="inlineStr">
        <is>
          <t>PRD-1406</t>
        </is>
      </c>
      <c r="B4218" t="inlineStr">
        <is>
          <t>Production</t>
        </is>
      </c>
      <c r="AB4218" t="n">
        <v>1406</v>
      </c>
      <c r="AD4218" s="52">
        <f>IFERROR(N(IFERROR(INDEX($A4218:$AB4218,MATCH("Xero Invoiced Ex GST",$A$1:$AB$1,0)),"")),0)</f>
        <v/>
      </c>
      <c r="AE4218" s="53">
        <f>IFERROR(INDEX($A4218:$AB4218,MATCH("Xero Invoice Date",$A$1:$AB$1,0)),"")</f>
        <v/>
      </c>
      <c r="AF4218" s="54">
        <f>IF(AND(IFERROR(INDEX($A4218:$AB4218,MATCH("Xero Invoice No",$A$1:$AB$1,0)),"")&amp;""&lt;&gt;"",ISNUMBER(AE4218),AD4218&lt;&gt;0),1,0)</f>
        <v/>
      </c>
      <c r="AG4218" s="55">
        <f>IF(AF4218=1,EOMONTH(AE4218,0),"")</f>
        <v/>
      </c>
      <c r="AH4218" s="9">
        <f>IF(AF4218=1,UPPER(TRIM(IFERROR(INDEX($A4218:$AB4218,MATCH("Client",$A$1:$AB$1,0)),"")&amp;"")),"")</f>
        <v/>
      </c>
      <c r="AI4218" s="9">
        <f>IF(AF4218=1,IFERROR(INDEX($A4218:$AB4218,MATCH("Cost Centre",$A$1:$AB$1,0)),"")&amp;"","")</f>
        <v/>
      </c>
      <c r="AJ4218" s="54">
        <f>IF(AND(AF4218=1,AE4218&gt;=set_FYStart,AE4218&lt;=set_AsAt),1,0)</f>
        <v/>
      </c>
      <c r="AK4218" s="54">
        <f>IF(AND(AJ4218=1,AH4218&lt;&gt;"",COUNTIFS($AH$2:AH4218,AH4218,$AJ$2:AJ4218,1)=1),N(AL4217)+1,"")</f>
        <v/>
      </c>
      <c r="AL4218" s="54">
        <f>IF(AK4218&lt;&gt;"",AK4218,N(AL4217))</f>
        <v/>
      </c>
    </row>
    <row r="4219">
      <c r="A4219" t="inlineStr">
        <is>
          <t>CON-1406</t>
        </is>
      </c>
      <c r="B4219" t="inlineStr">
        <is>
          <t>Consulting</t>
        </is>
      </c>
      <c r="AB4219" t="n">
        <v>1406</v>
      </c>
      <c r="AD4219" s="52">
        <f>IFERROR(N(IFERROR(INDEX($A4219:$AB4219,MATCH("Xero Invoiced Ex GST",$A$1:$AB$1,0)),"")),0)</f>
        <v/>
      </c>
      <c r="AE4219" s="53">
        <f>IFERROR(INDEX($A4219:$AB4219,MATCH("Xero Invoice Date",$A$1:$AB$1,0)),"")</f>
        <v/>
      </c>
      <c r="AF4219" s="54">
        <f>IF(AND(IFERROR(INDEX($A4219:$AB4219,MATCH("Xero Invoice No",$A$1:$AB$1,0)),"")&amp;""&lt;&gt;"",ISNUMBER(AE4219),AD4219&lt;&gt;0),1,0)</f>
        <v/>
      </c>
      <c r="AG4219" s="55">
        <f>IF(AF4219=1,EOMONTH(AE4219,0),"")</f>
        <v/>
      </c>
      <c r="AH4219" s="9">
        <f>IF(AF4219=1,UPPER(TRIM(IFERROR(INDEX($A4219:$AB4219,MATCH("Client",$A$1:$AB$1,0)),"")&amp;"")),"")</f>
        <v/>
      </c>
      <c r="AI4219" s="9">
        <f>IF(AF4219=1,IFERROR(INDEX($A4219:$AB4219,MATCH("Cost Centre",$A$1:$AB$1,0)),"")&amp;"","")</f>
        <v/>
      </c>
      <c r="AJ4219" s="54">
        <f>IF(AND(AF4219=1,AE4219&gt;=set_FYStart,AE4219&lt;=set_AsAt),1,0)</f>
        <v/>
      </c>
      <c r="AK4219" s="54">
        <f>IF(AND(AJ4219=1,AH4219&lt;&gt;"",COUNTIFS($AH$2:AH4219,AH4219,$AJ$2:AJ4219,1)=1),N(AL4218)+1,"")</f>
        <v/>
      </c>
      <c r="AL4219" s="54">
        <f>IF(AK4219&lt;&gt;"",AK4219,N(AL4218))</f>
        <v/>
      </c>
    </row>
    <row r="4220">
      <c r="A4220" t="inlineStr">
        <is>
          <t>ONS-1407</t>
        </is>
      </c>
      <c r="B4220" t="inlineStr">
        <is>
          <t>Onsite</t>
        </is>
      </c>
      <c r="AB4220" t="n">
        <v>1407</v>
      </c>
      <c r="AD4220" s="52">
        <f>IFERROR(N(IFERROR(INDEX($A4220:$AB4220,MATCH("Xero Invoiced Ex GST",$A$1:$AB$1,0)),"")),0)</f>
        <v/>
      </c>
      <c r="AE4220" s="53">
        <f>IFERROR(INDEX($A4220:$AB4220,MATCH("Xero Invoice Date",$A$1:$AB$1,0)),"")</f>
        <v/>
      </c>
      <c r="AF4220" s="54">
        <f>IF(AND(IFERROR(INDEX($A4220:$AB4220,MATCH("Xero Invoice No",$A$1:$AB$1,0)),"")&amp;""&lt;&gt;"",ISNUMBER(AE4220),AD4220&lt;&gt;0),1,0)</f>
        <v/>
      </c>
      <c r="AG4220" s="55">
        <f>IF(AF4220=1,EOMONTH(AE4220,0),"")</f>
        <v/>
      </c>
      <c r="AH4220" s="9">
        <f>IF(AF4220=1,UPPER(TRIM(IFERROR(INDEX($A4220:$AB4220,MATCH("Client",$A$1:$AB$1,0)),"")&amp;"")),"")</f>
        <v/>
      </c>
      <c r="AI4220" s="9">
        <f>IF(AF4220=1,IFERROR(INDEX($A4220:$AB4220,MATCH("Cost Centre",$A$1:$AB$1,0)),"")&amp;"","")</f>
        <v/>
      </c>
      <c r="AJ4220" s="54">
        <f>IF(AND(AF4220=1,AE4220&gt;=set_FYStart,AE4220&lt;=set_AsAt),1,0)</f>
        <v/>
      </c>
      <c r="AK4220" s="54">
        <f>IF(AND(AJ4220=1,AH4220&lt;&gt;"",COUNTIFS($AH$2:AH4220,AH4220,$AJ$2:AJ4220,1)=1),N(AL4219)+1,"")</f>
        <v/>
      </c>
      <c r="AL4220" s="54">
        <f>IF(AK4220&lt;&gt;"",AK4220,N(AL4219))</f>
        <v/>
      </c>
    </row>
    <row r="4221">
      <c r="A4221" t="inlineStr">
        <is>
          <t>PRD-1407</t>
        </is>
      </c>
      <c r="B4221" t="inlineStr">
        <is>
          <t>Production</t>
        </is>
      </c>
      <c r="AB4221" t="n">
        <v>1407</v>
      </c>
      <c r="AD4221" s="52">
        <f>IFERROR(N(IFERROR(INDEX($A4221:$AB4221,MATCH("Xero Invoiced Ex GST",$A$1:$AB$1,0)),"")),0)</f>
        <v/>
      </c>
      <c r="AE4221" s="53">
        <f>IFERROR(INDEX($A4221:$AB4221,MATCH("Xero Invoice Date",$A$1:$AB$1,0)),"")</f>
        <v/>
      </c>
      <c r="AF4221" s="54">
        <f>IF(AND(IFERROR(INDEX($A4221:$AB4221,MATCH("Xero Invoice No",$A$1:$AB$1,0)),"")&amp;""&lt;&gt;"",ISNUMBER(AE4221),AD4221&lt;&gt;0),1,0)</f>
        <v/>
      </c>
      <c r="AG4221" s="55">
        <f>IF(AF4221=1,EOMONTH(AE4221,0),"")</f>
        <v/>
      </c>
      <c r="AH4221" s="9">
        <f>IF(AF4221=1,UPPER(TRIM(IFERROR(INDEX($A4221:$AB4221,MATCH("Client",$A$1:$AB$1,0)),"")&amp;"")),"")</f>
        <v/>
      </c>
      <c r="AI4221" s="9">
        <f>IF(AF4221=1,IFERROR(INDEX($A4221:$AB4221,MATCH("Cost Centre",$A$1:$AB$1,0)),"")&amp;"","")</f>
        <v/>
      </c>
      <c r="AJ4221" s="54">
        <f>IF(AND(AF4221=1,AE4221&gt;=set_FYStart,AE4221&lt;=set_AsAt),1,0)</f>
        <v/>
      </c>
      <c r="AK4221" s="54">
        <f>IF(AND(AJ4221=1,AH4221&lt;&gt;"",COUNTIFS($AH$2:AH4221,AH4221,$AJ$2:AJ4221,1)=1),N(AL4220)+1,"")</f>
        <v/>
      </c>
      <c r="AL4221" s="54">
        <f>IF(AK4221&lt;&gt;"",AK4221,N(AL4220))</f>
        <v/>
      </c>
    </row>
    <row r="4222">
      <c r="A4222" t="inlineStr">
        <is>
          <t>CON-1407</t>
        </is>
      </c>
      <c r="B4222" t="inlineStr">
        <is>
          <t>Consulting</t>
        </is>
      </c>
      <c r="AB4222" t="n">
        <v>1407</v>
      </c>
      <c r="AD4222" s="52">
        <f>IFERROR(N(IFERROR(INDEX($A4222:$AB4222,MATCH("Xero Invoiced Ex GST",$A$1:$AB$1,0)),"")),0)</f>
        <v/>
      </c>
      <c r="AE4222" s="53">
        <f>IFERROR(INDEX($A4222:$AB4222,MATCH("Xero Invoice Date",$A$1:$AB$1,0)),"")</f>
        <v/>
      </c>
      <c r="AF4222" s="54">
        <f>IF(AND(IFERROR(INDEX($A4222:$AB4222,MATCH("Xero Invoice No",$A$1:$AB$1,0)),"")&amp;""&lt;&gt;"",ISNUMBER(AE4222),AD4222&lt;&gt;0),1,0)</f>
        <v/>
      </c>
      <c r="AG4222" s="55">
        <f>IF(AF4222=1,EOMONTH(AE4222,0),"")</f>
        <v/>
      </c>
      <c r="AH4222" s="9">
        <f>IF(AF4222=1,UPPER(TRIM(IFERROR(INDEX($A4222:$AB4222,MATCH("Client",$A$1:$AB$1,0)),"")&amp;"")),"")</f>
        <v/>
      </c>
      <c r="AI4222" s="9">
        <f>IF(AF4222=1,IFERROR(INDEX($A4222:$AB4222,MATCH("Cost Centre",$A$1:$AB$1,0)),"")&amp;"","")</f>
        <v/>
      </c>
      <c r="AJ4222" s="54">
        <f>IF(AND(AF4222=1,AE4222&gt;=set_FYStart,AE4222&lt;=set_AsAt),1,0)</f>
        <v/>
      </c>
      <c r="AK4222" s="54">
        <f>IF(AND(AJ4222=1,AH4222&lt;&gt;"",COUNTIFS($AH$2:AH4222,AH4222,$AJ$2:AJ4222,1)=1),N(AL4221)+1,"")</f>
        <v/>
      </c>
      <c r="AL4222" s="54">
        <f>IF(AK4222&lt;&gt;"",AK4222,N(AL4221))</f>
        <v/>
      </c>
    </row>
    <row r="4223">
      <c r="A4223" t="inlineStr">
        <is>
          <t>ONS-1408</t>
        </is>
      </c>
      <c r="B4223" t="inlineStr">
        <is>
          <t>Onsite</t>
        </is>
      </c>
      <c r="AB4223" t="n">
        <v>1408</v>
      </c>
      <c r="AD4223" s="52">
        <f>IFERROR(N(IFERROR(INDEX($A4223:$AB4223,MATCH("Xero Invoiced Ex GST",$A$1:$AB$1,0)),"")),0)</f>
        <v/>
      </c>
      <c r="AE4223" s="53">
        <f>IFERROR(INDEX($A4223:$AB4223,MATCH("Xero Invoice Date",$A$1:$AB$1,0)),"")</f>
        <v/>
      </c>
      <c r="AF4223" s="54">
        <f>IF(AND(IFERROR(INDEX($A4223:$AB4223,MATCH("Xero Invoice No",$A$1:$AB$1,0)),"")&amp;""&lt;&gt;"",ISNUMBER(AE4223),AD4223&lt;&gt;0),1,0)</f>
        <v/>
      </c>
      <c r="AG4223" s="55">
        <f>IF(AF4223=1,EOMONTH(AE4223,0),"")</f>
        <v/>
      </c>
      <c r="AH4223" s="9">
        <f>IF(AF4223=1,UPPER(TRIM(IFERROR(INDEX($A4223:$AB4223,MATCH("Client",$A$1:$AB$1,0)),"")&amp;"")),"")</f>
        <v/>
      </c>
      <c r="AI4223" s="9">
        <f>IF(AF4223=1,IFERROR(INDEX($A4223:$AB4223,MATCH("Cost Centre",$A$1:$AB$1,0)),"")&amp;"","")</f>
        <v/>
      </c>
      <c r="AJ4223" s="54">
        <f>IF(AND(AF4223=1,AE4223&gt;=set_FYStart,AE4223&lt;=set_AsAt),1,0)</f>
        <v/>
      </c>
      <c r="AK4223" s="54">
        <f>IF(AND(AJ4223=1,AH4223&lt;&gt;"",COUNTIFS($AH$2:AH4223,AH4223,$AJ$2:AJ4223,1)=1),N(AL4222)+1,"")</f>
        <v/>
      </c>
      <c r="AL4223" s="54">
        <f>IF(AK4223&lt;&gt;"",AK4223,N(AL4222))</f>
        <v/>
      </c>
    </row>
    <row r="4224">
      <c r="A4224" t="inlineStr">
        <is>
          <t>PRD-1408</t>
        </is>
      </c>
      <c r="B4224" t="inlineStr">
        <is>
          <t>Production</t>
        </is>
      </c>
      <c r="AB4224" t="n">
        <v>1408</v>
      </c>
      <c r="AD4224" s="52">
        <f>IFERROR(N(IFERROR(INDEX($A4224:$AB4224,MATCH("Xero Invoiced Ex GST",$A$1:$AB$1,0)),"")),0)</f>
        <v/>
      </c>
      <c r="AE4224" s="53">
        <f>IFERROR(INDEX($A4224:$AB4224,MATCH("Xero Invoice Date",$A$1:$AB$1,0)),"")</f>
        <v/>
      </c>
      <c r="AF4224" s="54">
        <f>IF(AND(IFERROR(INDEX($A4224:$AB4224,MATCH("Xero Invoice No",$A$1:$AB$1,0)),"")&amp;""&lt;&gt;"",ISNUMBER(AE4224),AD4224&lt;&gt;0),1,0)</f>
        <v/>
      </c>
      <c r="AG4224" s="55">
        <f>IF(AF4224=1,EOMONTH(AE4224,0),"")</f>
        <v/>
      </c>
      <c r="AH4224" s="9">
        <f>IF(AF4224=1,UPPER(TRIM(IFERROR(INDEX($A4224:$AB4224,MATCH("Client",$A$1:$AB$1,0)),"")&amp;"")),"")</f>
        <v/>
      </c>
      <c r="AI4224" s="9">
        <f>IF(AF4224=1,IFERROR(INDEX($A4224:$AB4224,MATCH("Cost Centre",$A$1:$AB$1,0)),"")&amp;"","")</f>
        <v/>
      </c>
      <c r="AJ4224" s="54">
        <f>IF(AND(AF4224=1,AE4224&gt;=set_FYStart,AE4224&lt;=set_AsAt),1,0)</f>
        <v/>
      </c>
      <c r="AK4224" s="54">
        <f>IF(AND(AJ4224=1,AH4224&lt;&gt;"",COUNTIFS($AH$2:AH4224,AH4224,$AJ$2:AJ4224,1)=1),N(AL4223)+1,"")</f>
        <v/>
      </c>
      <c r="AL4224" s="54">
        <f>IF(AK4224&lt;&gt;"",AK4224,N(AL4223))</f>
        <v/>
      </c>
    </row>
    <row r="4225">
      <c r="A4225" t="inlineStr">
        <is>
          <t>CON-1408</t>
        </is>
      </c>
      <c r="B4225" t="inlineStr">
        <is>
          <t>Consulting</t>
        </is>
      </c>
      <c r="AB4225" t="n">
        <v>1408</v>
      </c>
      <c r="AD4225" s="52">
        <f>IFERROR(N(IFERROR(INDEX($A4225:$AB4225,MATCH("Xero Invoiced Ex GST",$A$1:$AB$1,0)),"")),0)</f>
        <v/>
      </c>
      <c r="AE4225" s="53">
        <f>IFERROR(INDEX($A4225:$AB4225,MATCH("Xero Invoice Date",$A$1:$AB$1,0)),"")</f>
        <v/>
      </c>
      <c r="AF4225" s="54">
        <f>IF(AND(IFERROR(INDEX($A4225:$AB4225,MATCH("Xero Invoice No",$A$1:$AB$1,0)),"")&amp;""&lt;&gt;"",ISNUMBER(AE4225),AD4225&lt;&gt;0),1,0)</f>
        <v/>
      </c>
      <c r="AG4225" s="55">
        <f>IF(AF4225=1,EOMONTH(AE4225,0),"")</f>
        <v/>
      </c>
      <c r="AH4225" s="9">
        <f>IF(AF4225=1,UPPER(TRIM(IFERROR(INDEX($A4225:$AB4225,MATCH("Client",$A$1:$AB$1,0)),"")&amp;"")),"")</f>
        <v/>
      </c>
      <c r="AI4225" s="9">
        <f>IF(AF4225=1,IFERROR(INDEX($A4225:$AB4225,MATCH("Cost Centre",$A$1:$AB$1,0)),"")&amp;"","")</f>
        <v/>
      </c>
      <c r="AJ4225" s="54">
        <f>IF(AND(AF4225=1,AE4225&gt;=set_FYStart,AE4225&lt;=set_AsAt),1,0)</f>
        <v/>
      </c>
      <c r="AK4225" s="54">
        <f>IF(AND(AJ4225=1,AH4225&lt;&gt;"",COUNTIFS($AH$2:AH4225,AH4225,$AJ$2:AJ4225,1)=1),N(AL4224)+1,"")</f>
        <v/>
      </c>
      <c r="AL4225" s="54">
        <f>IF(AK4225&lt;&gt;"",AK4225,N(AL4224))</f>
        <v/>
      </c>
    </row>
    <row r="4226">
      <c r="A4226" t="inlineStr">
        <is>
          <t>ONS-1409</t>
        </is>
      </c>
      <c r="B4226" t="inlineStr">
        <is>
          <t>Onsite</t>
        </is>
      </c>
      <c r="AB4226" t="n">
        <v>1409</v>
      </c>
      <c r="AD4226" s="52">
        <f>IFERROR(N(IFERROR(INDEX($A4226:$AB4226,MATCH("Xero Invoiced Ex GST",$A$1:$AB$1,0)),"")),0)</f>
        <v/>
      </c>
      <c r="AE4226" s="53">
        <f>IFERROR(INDEX($A4226:$AB4226,MATCH("Xero Invoice Date",$A$1:$AB$1,0)),"")</f>
        <v/>
      </c>
      <c r="AF4226" s="54">
        <f>IF(AND(IFERROR(INDEX($A4226:$AB4226,MATCH("Xero Invoice No",$A$1:$AB$1,0)),"")&amp;""&lt;&gt;"",ISNUMBER(AE4226),AD4226&lt;&gt;0),1,0)</f>
        <v/>
      </c>
      <c r="AG4226" s="55">
        <f>IF(AF4226=1,EOMONTH(AE4226,0),"")</f>
        <v/>
      </c>
      <c r="AH4226" s="9">
        <f>IF(AF4226=1,UPPER(TRIM(IFERROR(INDEX($A4226:$AB4226,MATCH("Client",$A$1:$AB$1,0)),"")&amp;"")),"")</f>
        <v/>
      </c>
      <c r="AI4226" s="9">
        <f>IF(AF4226=1,IFERROR(INDEX($A4226:$AB4226,MATCH("Cost Centre",$A$1:$AB$1,0)),"")&amp;"","")</f>
        <v/>
      </c>
      <c r="AJ4226" s="54">
        <f>IF(AND(AF4226=1,AE4226&gt;=set_FYStart,AE4226&lt;=set_AsAt),1,0)</f>
        <v/>
      </c>
      <c r="AK4226" s="54">
        <f>IF(AND(AJ4226=1,AH4226&lt;&gt;"",COUNTIFS($AH$2:AH4226,AH4226,$AJ$2:AJ4226,1)=1),N(AL4225)+1,"")</f>
        <v/>
      </c>
      <c r="AL4226" s="54">
        <f>IF(AK4226&lt;&gt;"",AK4226,N(AL4225))</f>
        <v/>
      </c>
    </row>
    <row r="4227">
      <c r="A4227" t="inlineStr">
        <is>
          <t>PRD-1409</t>
        </is>
      </c>
      <c r="B4227" t="inlineStr">
        <is>
          <t>Production</t>
        </is>
      </c>
      <c r="AB4227" t="n">
        <v>1409</v>
      </c>
      <c r="AD4227" s="52">
        <f>IFERROR(N(IFERROR(INDEX($A4227:$AB4227,MATCH("Xero Invoiced Ex GST",$A$1:$AB$1,0)),"")),0)</f>
        <v/>
      </c>
      <c r="AE4227" s="53">
        <f>IFERROR(INDEX($A4227:$AB4227,MATCH("Xero Invoice Date",$A$1:$AB$1,0)),"")</f>
        <v/>
      </c>
      <c r="AF4227" s="54">
        <f>IF(AND(IFERROR(INDEX($A4227:$AB4227,MATCH("Xero Invoice No",$A$1:$AB$1,0)),"")&amp;""&lt;&gt;"",ISNUMBER(AE4227),AD4227&lt;&gt;0),1,0)</f>
        <v/>
      </c>
      <c r="AG4227" s="55">
        <f>IF(AF4227=1,EOMONTH(AE4227,0),"")</f>
        <v/>
      </c>
      <c r="AH4227" s="9">
        <f>IF(AF4227=1,UPPER(TRIM(IFERROR(INDEX($A4227:$AB4227,MATCH("Client",$A$1:$AB$1,0)),"")&amp;"")),"")</f>
        <v/>
      </c>
      <c r="AI4227" s="9">
        <f>IF(AF4227=1,IFERROR(INDEX($A4227:$AB4227,MATCH("Cost Centre",$A$1:$AB$1,0)),"")&amp;"","")</f>
        <v/>
      </c>
      <c r="AJ4227" s="54">
        <f>IF(AND(AF4227=1,AE4227&gt;=set_FYStart,AE4227&lt;=set_AsAt),1,0)</f>
        <v/>
      </c>
      <c r="AK4227" s="54">
        <f>IF(AND(AJ4227=1,AH4227&lt;&gt;"",COUNTIFS($AH$2:AH4227,AH4227,$AJ$2:AJ4227,1)=1),N(AL4226)+1,"")</f>
        <v/>
      </c>
      <c r="AL4227" s="54">
        <f>IF(AK4227&lt;&gt;"",AK4227,N(AL4226))</f>
        <v/>
      </c>
    </row>
    <row r="4228">
      <c r="A4228" t="inlineStr">
        <is>
          <t>CON-1409</t>
        </is>
      </c>
      <c r="B4228" t="inlineStr">
        <is>
          <t>Consulting</t>
        </is>
      </c>
      <c r="AB4228" t="n">
        <v>1409</v>
      </c>
      <c r="AD4228" s="52">
        <f>IFERROR(N(IFERROR(INDEX($A4228:$AB4228,MATCH("Xero Invoiced Ex GST",$A$1:$AB$1,0)),"")),0)</f>
        <v/>
      </c>
      <c r="AE4228" s="53">
        <f>IFERROR(INDEX($A4228:$AB4228,MATCH("Xero Invoice Date",$A$1:$AB$1,0)),"")</f>
        <v/>
      </c>
      <c r="AF4228" s="54">
        <f>IF(AND(IFERROR(INDEX($A4228:$AB4228,MATCH("Xero Invoice No",$A$1:$AB$1,0)),"")&amp;""&lt;&gt;"",ISNUMBER(AE4228),AD4228&lt;&gt;0),1,0)</f>
        <v/>
      </c>
      <c r="AG4228" s="55">
        <f>IF(AF4228=1,EOMONTH(AE4228,0),"")</f>
        <v/>
      </c>
      <c r="AH4228" s="9">
        <f>IF(AF4228=1,UPPER(TRIM(IFERROR(INDEX($A4228:$AB4228,MATCH("Client",$A$1:$AB$1,0)),"")&amp;"")),"")</f>
        <v/>
      </c>
      <c r="AI4228" s="9">
        <f>IF(AF4228=1,IFERROR(INDEX($A4228:$AB4228,MATCH("Cost Centre",$A$1:$AB$1,0)),"")&amp;"","")</f>
        <v/>
      </c>
      <c r="AJ4228" s="54">
        <f>IF(AND(AF4228=1,AE4228&gt;=set_FYStart,AE4228&lt;=set_AsAt),1,0)</f>
        <v/>
      </c>
      <c r="AK4228" s="54">
        <f>IF(AND(AJ4228=1,AH4228&lt;&gt;"",COUNTIFS($AH$2:AH4228,AH4228,$AJ$2:AJ4228,1)=1),N(AL4227)+1,"")</f>
        <v/>
      </c>
      <c r="AL4228" s="54">
        <f>IF(AK4228&lt;&gt;"",AK4228,N(AL4227))</f>
        <v/>
      </c>
    </row>
    <row r="4229">
      <c r="A4229" t="inlineStr">
        <is>
          <t>ONS-1410</t>
        </is>
      </c>
      <c r="B4229" t="inlineStr">
        <is>
          <t>Onsite</t>
        </is>
      </c>
      <c r="AB4229" t="n">
        <v>1410</v>
      </c>
      <c r="AD4229" s="52">
        <f>IFERROR(N(IFERROR(INDEX($A4229:$AB4229,MATCH("Xero Invoiced Ex GST",$A$1:$AB$1,0)),"")),0)</f>
        <v/>
      </c>
      <c r="AE4229" s="53">
        <f>IFERROR(INDEX($A4229:$AB4229,MATCH("Xero Invoice Date",$A$1:$AB$1,0)),"")</f>
        <v/>
      </c>
      <c r="AF4229" s="54">
        <f>IF(AND(IFERROR(INDEX($A4229:$AB4229,MATCH("Xero Invoice No",$A$1:$AB$1,0)),"")&amp;""&lt;&gt;"",ISNUMBER(AE4229),AD4229&lt;&gt;0),1,0)</f>
        <v/>
      </c>
      <c r="AG4229" s="55">
        <f>IF(AF4229=1,EOMONTH(AE4229,0),"")</f>
        <v/>
      </c>
      <c r="AH4229" s="9">
        <f>IF(AF4229=1,UPPER(TRIM(IFERROR(INDEX($A4229:$AB4229,MATCH("Client",$A$1:$AB$1,0)),"")&amp;"")),"")</f>
        <v/>
      </c>
      <c r="AI4229" s="9">
        <f>IF(AF4229=1,IFERROR(INDEX($A4229:$AB4229,MATCH("Cost Centre",$A$1:$AB$1,0)),"")&amp;"","")</f>
        <v/>
      </c>
      <c r="AJ4229" s="54">
        <f>IF(AND(AF4229=1,AE4229&gt;=set_FYStart,AE4229&lt;=set_AsAt),1,0)</f>
        <v/>
      </c>
      <c r="AK4229" s="54">
        <f>IF(AND(AJ4229=1,AH4229&lt;&gt;"",COUNTIFS($AH$2:AH4229,AH4229,$AJ$2:AJ4229,1)=1),N(AL4228)+1,"")</f>
        <v/>
      </c>
      <c r="AL4229" s="54">
        <f>IF(AK4229&lt;&gt;"",AK4229,N(AL4228))</f>
        <v/>
      </c>
    </row>
    <row r="4230">
      <c r="A4230" t="inlineStr">
        <is>
          <t>PRD-1410</t>
        </is>
      </c>
      <c r="B4230" t="inlineStr">
        <is>
          <t>Production</t>
        </is>
      </c>
      <c r="AB4230" t="n">
        <v>1410</v>
      </c>
      <c r="AD4230" s="52">
        <f>IFERROR(N(IFERROR(INDEX($A4230:$AB4230,MATCH("Xero Invoiced Ex GST",$A$1:$AB$1,0)),"")),0)</f>
        <v/>
      </c>
      <c r="AE4230" s="53">
        <f>IFERROR(INDEX($A4230:$AB4230,MATCH("Xero Invoice Date",$A$1:$AB$1,0)),"")</f>
        <v/>
      </c>
      <c r="AF4230" s="54">
        <f>IF(AND(IFERROR(INDEX($A4230:$AB4230,MATCH("Xero Invoice No",$A$1:$AB$1,0)),"")&amp;""&lt;&gt;"",ISNUMBER(AE4230),AD4230&lt;&gt;0),1,0)</f>
        <v/>
      </c>
      <c r="AG4230" s="55">
        <f>IF(AF4230=1,EOMONTH(AE4230,0),"")</f>
        <v/>
      </c>
      <c r="AH4230" s="9">
        <f>IF(AF4230=1,UPPER(TRIM(IFERROR(INDEX($A4230:$AB4230,MATCH("Client",$A$1:$AB$1,0)),"")&amp;"")),"")</f>
        <v/>
      </c>
      <c r="AI4230" s="9">
        <f>IF(AF4230=1,IFERROR(INDEX($A4230:$AB4230,MATCH("Cost Centre",$A$1:$AB$1,0)),"")&amp;"","")</f>
        <v/>
      </c>
      <c r="AJ4230" s="54">
        <f>IF(AND(AF4230=1,AE4230&gt;=set_FYStart,AE4230&lt;=set_AsAt),1,0)</f>
        <v/>
      </c>
      <c r="AK4230" s="54">
        <f>IF(AND(AJ4230=1,AH4230&lt;&gt;"",COUNTIFS($AH$2:AH4230,AH4230,$AJ$2:AJ4230,1)=1),N(AL4229)+1,"")</f>
        <v/>
      </c>
      <c r="AL4230" s="54">
        <f>IF(AK4230&lt;&gt;"",AK4230,N(AL4229))</f>
        <v/>
      </c>
    </row>
    <row r="4231">
      <c r="A4231" t="inlineStr">
        <is>
          <t>CON-1410</t>
        </is>
      </c>
      <c r="B4231" t="inlineStr">
        <is>
          <t>Consulting</t>
        </is>
      </c>
      <c r="AB4231" t="n">
        <v>1410</v>
      </c>
      <c r="AD4231" s="52">
        <f>IFERROR(N(IFERROR(INDEX($A4231:$AB4231,MATCH("Xero Invoiced Ex GST",$A$1:$AB$1,0)),"")),0)</f>
        <v/>
      </c>
      <c r="AE4231" s="53">
        <f>IFERROR(INDEX($A4231:$AB4231,MATCH("Xero Invoice Date",$A$1:$AB$1,0)),"")</f>
        <v/>
      </c>
      <c r="AF4231" s="54">
        <f>IF(AND(IFERROR(INDEX($A4231:$AB4231,MATCH("Xero Invoice No",$A$1:$AB$1,0)),"")&amp;""&lt;&gt;"",ISNUMBER(AE4231),AD4231&lt;&gt;0),1,0)</f>
        <v/>
      </c>
      <c r="AG4231" s="55">
        <f>IF(AF4231=1,EOMONTH(AE4231,0),"")</f>
        <v/>
      </c>
      <c r="AH4231" s="9">
        <f>IF(AF4231=1,UPPER(TRIM(IFERROR(INDEX($A4231:$AB4231,MATCH("Client",$A$1:$AB$1,0)),"")&amp;"")),"")</f>
        <v/>
      </c>
      <c r="AI4231" s="9">
        <f>IF(AF4231=1,IFERROR(INDEX($A4231:$AB4231,MATCH("Cost Centre",$A$1:$AB$1,0)),"")&amp;"","")</f>
        <v/>
      </c>
      <c r="AJ4231" s="54">
        <f>IF(AND(AF4231=1,AE4231&gt;=set_FYStart,AE4231&lt;=set_AsAt),1,0)</f>
        <v/>
      </c>
      <c r="AK4231" s="54">
        <f>IF(AND(AJ4231=1,AH4231&lt;&gt;"",COUNTIFS($AH$2:AH4231,AH4231,$AJ$2:AJ4231,1)=1),N(AL4230)+1,"")</f>
        <v/>
      </c>
      <c r="AL4231" s="54">
        <f>IF(AK4231&lt;&gt;"",AK4231,N(AL4230))</f>
        <v/>
      </c>
    </row>
    <row r="4232">
      <c r="A4232" t="inlineStr">
        <is>
          <t>ONS-1411</t>
        </is>
      </c>
      <c r="B4232" t="inlineStr">
        <is>
          <t>Onsite</t>
        </is>
      </c>
      <c r="AB4232" t="n">
        <v>1411</v>
      </c>
      <c r="AD4232" s="52">
        <f>IFERROR(N(IFERROR(INDEX($A4232:$AB4232,MATCH("Xero Invoiced Ex GST",$A$1:$AB$1,0)),"")),0)</f>
        <v/>
      </c>
      <c r="AE4232" s="53">
        <f>IFERROR(INDEX($A4232:$AB4232,MATCH("Xero Invoice Date",$A$1:$AB$1,0)),"")</f>
        <v/>
      </c>
      <c r="AF4232" s="54">
        <f>IF(AND(IFERROR(INDEX($A4232:$AB4232,MATCH("Xero Invoice No",$A$1:$AB$1,0)),"")&amp;""&lt;&gt;"",ISNUMBER(AE4232),AD4232&lt;&gt;0),1,0)</f>
        <v/>
      </c>
      <c r="AG4232" s="55">
        <f>IF(AF4232=1,EOMONTH(AE4232,0),"")</f>
        <v/>
      </c>
      <c r="AH4232" s="9">
        <f>IF(AF4232=1,UPPER(TRIM(IFERROR(INDEX($A4232:$AB4232,MATCH("Client",$A$1:$AB$1,0)),"")&amp;"")),"")</f>
        <v/>
      </c>
      <c r="AI4232" s="9">
        <f>IF(AF4232=1,IFERROR(INDEX($A4232:$AB4232,MATCH("Cost Centre",$A$1:$AB$1,0)),"")&amp;"","")</f>
        <v/>
      </c>
      <c r="AJ4232" s="54">
        <f>IF(AND(AF4232=1,AE4232&gt;=set_FYStart,AE4232&lt;=set_AsAt),1,0)</f>
        <v/>
      </c>
      <c r="AK4232" s="54">
        <f>IF(AND(AJ4232=1,AH4232&lt;&gt;"",COUNTIFS($AH$2:AH4232,AH4232,$AJ$2:AJ4232,1)=1),N(AL4231)+1,"")</f>
        <v/>
      </c>
      <c r="AL4232" s="54">
        <f>IF(AK4232&lt;&gt;"",AK4232,N(AL4231))</f>
        <v/>
      </c>
    </row>
    <row r="4233">
      <c r="A4233" t="inlineStr">
        <is>
          <t>PRD-1411</t>
        </is>
      </c>
      <c r="B4233" t="inlineStr">
        <is>
          <t>Production</t>
        </is>
      </c>
      <c r="AB4233" t="n">
        <v>1411</v>
      </c>
      <c r="AD4233" s="52">
        <f>IFERROR(N(IFERROR(INDEX($A4233:$AB4233,MATCH("Xero Invoiced Ex GST",$A$1:$AB$1,0)),"")),0)</f>
        <v/>
      </c>
      <c r="AE4233" s="53">
        <f>IFERROR(INDEX($A4233:$AB4233,MATCH("Xero Invoice Date",$A$1:$AB$1,0)),"")</f>
        <v/>
      </c>
      <c r="AF4233" s="54">
        <f>IF(AND(IFERROR(INDEX($A4233:$AB4233,MATCH("Xero Invoice No",$A$1:$AB$1,0)),"")&amp;""&lt;&gt;"",ISNUMBER(AE4233),AD4233&lt;&gt;0),1,0)</f>
        <v/>
      </c>
      <c r="AG4233" s="55">
        <f>IF(AF4233=1,EOMONTH(AE4233,0),"")</f>
        <v/>
      </c>
      <c r="AH4233" s="9">
        <f>IF(AF4233=1,UPPER(TRIM(IFERROR(INDEX($A4233:$AB4233,MATCH("Client",$A$1:$AB$1,0)),"")&amp;"")),"")</f>
        <v/>
      </c>
      <c r="AI4233" s="9">
        <f>IF(AF4233=1,IFERROR(INDEX($A4233:$AB4233,MATCH("Cost Centre",$A$1:$AB$1,0)),"")&amp;"","")</f>
        <v/>
      </c>
      <c r="AJ4233" s="54">
        <f>IF(AND(AF4233=1,AE4233&gt;=set_FYStart,AE4233&lt;=set_AsAt),1,0)</f>
        <v/>
      </c>
      <c r="AK4233" s="54">
        <f>IF(AND(AJ4233=1,AH4233&lt;&gt;"",COUNTIFS($AH$2:AH4233,AH4233,$AJ$2:AJ4233,1)=1),N(AL4232)+1,"")</f>
        <v/>
      </c>
      <c r="AL4233" s="54">
        <f>IF(AK4233&lt;&gt;"",AK4233,N(AL4232))</f>
        <v/>
      </c>
    </row>
    <row r="4234">
      <c r="A4234" t="inlineStr">
        <is>
          <t>CON-1411</t>
        </is>
      </c>
      <c r="B4234" t="inlineStr">
        <is>
          <t>Consulting</t>
        </is>
      </c>
      <c r="AB4234" t="n">
        <v>1411</v>
      </c>
      <c r="AD4234" s="52">
        <f>IFERROR(N(IFERROR(INDEX($A4234:$AB4234,MATCH("Xero Invoiced Ex GST",$A$1:$AB$1,0)),"")),0)</f>
        <v/>
      </c>
      <c r="AE4234" s="53">
        <f>IFERROR(INDEX($A4234:$AB4234,MATCH("Xero Invoice Date",$A$1:$AB$1,0)),"")</f>
        <v/>
      </c>
      <c r="AF4234" s="54">
        <f>IF(AND(IFERROR(INDEX($A4234:$AB4234,MATCH("Xero Invoice No",$A$1:$AB$1,0)),"")&amp;""&lt;&gt;"",ISNUMBER(AE4234),AD4234&lt;&gt;0),1,0)</f>
        <v/>
      </c>
      <c r="AG4234" s="55">
        <f>IF(AF4234=1,EOMONTH(AE4234,0),"")</f>
        <v/>
      </c>
      <c r="AH4234" s="9">
        <f>IF(AF4234=1,UPPER(TRIM(IFERROR(INDEX($A4234:$AB4234,MATCH("Client",$A$1:$AB$1,0)),"")&amp;"")),"")</f>
        <v/>
      </c>
      <c r="AI4234" s="9">
        <f>IF(AF4234=1,IFERROR(INDEX($A4234:$AB4234,MATCH("Cost Centre",$A$1:$AB$1,0)),"")&amp;"","")</f>
        <v/>
      </c>
      <c r="AJ4234" s="54">
        <f>IF(AND(AF4234=1,AE4234&gt;=set_FYStart,AE4234&lt;=set_AsAt),1,0)</f>
        <v/>
      </c>
      <c r="AK4234" s="54">
        <f>IF(AND(AJ4234=1,AH4234&lt;&gt;"",COUNTIFS($AH$2:AH4234,AH4234,$AJ$2:AJ4234,1)=1),N(AL4233)+1,"")</f>
        <v/>
      </c>
      <c r="AL4234" s="54">
        <f>IF(AK4234&lt;&gt;"",AK4234,N(AL4233))</f>
        <v/>
      </c>
    </row>
    <row r="4235">
      <c r="A4235" t="inlineStr">
        <is>
          <t>ONS-1412</t>
        </is>
      </c>
      <c r="B4235" t="inlineStr">
        <is>
          <t>Onsite</t>
        </is>
      </c>
      <c r="AB4235" t="n">
        <v>1412</v>
      </c>
      <c r="AD4235" s="52">
        <f>IFERROR(N(IFERROR(INDEX($A4235:$AB4235,MATCH("Xero Invoiced Ex GST",$A$1:$AB$1,0)),"")),0)</f>
        <v/>
      </c>
      <c r="AE4235" s="53">
        <f>IFERROR(INDEX($A4235:$AB4235,MATCH("Xero Invoice Date",$A$1:$AB$1,0)),"")</f>
        <v/>
      </c>
      <c r="AF4235" s="54">
        <f>IF(AND(IFERROR(INDEX($A4235:$AB4235,MATCH("Xero Invoice No",$A$1:$AB$1,0)),"")&amp;""&lt;&gt;"",ISNUMBER(AE4235),AD4235&lt;&gt;0),1,0)</f>
        <v/>
      </c>
      <c r="AG4235" s="55">
        <f>IF(AF4235=1,EOMONTH(AE4235,0),"")</f>
        <v/>
      </c>
      <c r="AH4235" s="9">
        <f>IF(AF4235=1,UPPER(TRIM(IFERROR(INDEX($A4235:$AB4235,MATCH("Client",$A$1:$AB$1,0)),"")&amp;"")),"")</f>
        <v/>
      </c>
      <c r="AI4235" s="9">
        <f>IF(AF4235=1,IFERROR(INDEX($A4235:$AB4235,MATCH("Cost Centre",$A$1:$AB$1,0)),"")&amp;"","")</f>
        <v/>
      </c>
      <c r="AJ4235" s="54">
        <f>IF(AND(AF4235=1,AE4235&gt;=set_FYStart,AE4235&lt;=set_AsAt),1,0)</f>
        <v/>
      </c>
      <c r="AK4235" s="54">
        <f>IF(AND(AJ4235=1,AH4235&lt;&gt;"",COUNTIFS($AH$2:AH4235,AH4235,$AJ$2:AJ4235,1)=1),N(AL4234)+1,"")</f>
        <v/>
      </c>
      <c r="AL4235" s="54">
        <f>IF(AK4235&lt;&gt;"",AK4235,N(AL4234))</f>
        <v/>
      </c>
    </row>
    <row r="4236">
      <c r="A4236" t="inlineStr">
        <is>
          <t>PRD-1412</t>
        </is>
      </c>
      <c r="B4236" t="inlineStr">
        <is>
          <t>Production</t>
        </is>
      </c>
      <c r="AB4236" t="n">
        <v>1412</v>
      </c>
      <c r="AD4236" s="52">
        <f>IFERROR(N(IFERROR(INDEX($A4236:$AB4236,MATCH("Xero Invoiced Ex GST",$A$1:$AB$1,0)),"")),0)</f>
        <v/>
      </c>
      <c r="AE4236" s="53">
        <f>IFERROR(INDEX($A4236:$AB4236,MATCH("Xero Invoice Date",$A$1:$AB$1,0)),"")</f>
        <v/>
      </c>
      <c r="AF4236" s="54">
        <f>IF(AND(IFERROR(INDEX($A4236:$AB4236,MATCH("Xero Invoice No",$A$1:$AB$1,0)),"")&amp;""&lt;&gt;"",ISNUMBER(AE4236),AD4236&lt;&gt;0),1,0)</f>
        <v/>
      </c>
      <c r="AG4236" s="55">
        <f>IF(AF4236=1,EOMONTH(AE4236,0),"")</f>
        <v/>
      </c>
      <c r="AH4236" s="9">
        <f>IF(AF4236=1,UPPER(TRIM(IFERROR(INDEX($A4236:$AB4236,MATCH("Client",$A$1:$AB$1,0)),"")&amp;"")),"")</f>
        <v/>
      </c>
      <c r="AI4236" s="9">
        <f>IF(AF4236=1,IFERROR(INDEX($A4236:$AB4236,MATCH("Cost Centre",$A$1:$AB$1,0)),"")&amp;"","")</f>
        <v/>
      </c>
      <c r="AJ4236" s="54">
        <f>IF(AND(AF4236=1,AE4236&gt;=set_FYStart,AE4236&lt;=set_AsAt),1,0)</f>
        <v/>
      </c>
      <c r="AK4236" s="54">
        <f>IF(AND(AJ4236=1,AH4236&lt;&gt;"",COUNTIFS($AH$2:AH4236,AH4236,$AJ$2:AJ4236,1)=1),N(AL4235)+1,"")</f>
        <v/>
      </c>
      <c r="AL4236" s="54">
        <f>IF(AK4236&lt;&gt;"",AK4236,N(AL4235))</f>
        <v/>
      </c>
    </row>
    <row r="4237">
      <c r="A4237" t="inlineStr">
        <is>
          <t>CON-1412</t>
        </is>
      </c>
      <c r="B4237" t="inlineStr">
        <is>
          <t>Consulting</t>
        </is>
      </c>
      <c r="AB4237" t="n">
        <v>1412</v>
      </c>
      <c r="AD4237" s="52">
        <f>IFERROR(N(IFERROR(INDEX($A4237:$AB4237,MATCH("Xero Invoiced Ex GST",$A$1:$AB$1,0)),"")),0)</f>
        <v/>
      </c>
      <c r="AE4237" s="53">
        <f>IFERROR(INDEX($A4237:$AB4237,MATCH("Xero Invoice Date",$A$1:$AB$1,0)),"")</f>
        <v/>
      </c>
      <c r="AF4237" s="54">
        <f>IF(AND(IFERROR(INDEX($A4237:$AB4237,MATCH("Xero Invoice No",$A$1:$AB$1,0)),"")&amp;""&lt;&gt;"",ISNUMBER(AE4237),AD4237&lt;&gt;0),1,0)</f>
        <v/>
      </c>
      <c r="AG4237" s="55">
        <f>IF(AF4237=1,EOMONTH(AE4237,0),"")</f>
        <v/>
      </c>
      <c r="AH4237" s="9">
        <f>IF(AF4237=1,UPPER(TRIM(IFERROR(INDEX($A4237:$AB4237,MATCH("Client",$A$1:$AB$1,0)),"")&amp;"")),"")</f>
        <v/>
      </c>
      <c r="AI4237" s="9">
        <f>IF(AF4237=1,IFERROR(INDEX($A4237:$AB4237,MATCH("Cost Centre",$A$1:$AB$1,0)),"")&amp;"","")</f>
        <v/>
      </c>
      <c r="AJ4237" s="54">
        <f>IF(AND(AF4237=1,AE4237&gt;=set_FYStart,AE4237&lt;=set_AsAt),1,0)</f>
        <v/>
      </c>
      <c r="AK4237" s="54">
        <f>IF(AND(AJ4237=1,AH4237&lt;&gt;"",COUNTIFS($AH$2:AH4237,AH4237,$AJ$2:AJ4237,1)=1),N(AL4236)+1,"")</f>
        <v/>
      </c>
      <c r="AL4237" s="54">
        <f>IF(AK4237&lt;&gt;"",AK4237,N(AL4236))</f>
        <v/>
      </c>
    </row>
    <row r="4238">
      <c r="A4238" t="inlineStr">
        <is>
          <t>ONS-1413</t>
        </is>
      </c>
      <c r="B4238" t="inlineStr">
        <is>
          <t>Onsite</t>
        </is>
      </c>
      <c r="AB4238" t="n">
        <v>1413</v>
      </c>
      <c r="AD4238" s="52">
        <f>IFERROR(N(IFERROR(INDEX($A4238:$AB4238,MATCH("Xero Invoiced Ex GST",$A$1:$AB$1,0)),"")),0)</f>
        <v/>
      </c>
      <c r="AE4238" s="53">
        <f>IFERROR(INDEX($A4238:$AB4238,MATCH("Xero Invoice Date",$A$1:$AB$1,0)),"")</f>
        <v/>
      </c>
      <c r="AF4238" s="54">
        <f>IF(AND(IFERROR(INDEX($A4238:$AB4238,MATCH("Xero Invoice No",$A$1:$AB$1,0)),"")&amp;""&lt;&gt;"",ISNUMBER(AE4238),AD4238&lt;&gt;0),1,0)</f>
        <v/>
      </c>
      <c r="AG4238" s="55">
        <f>IF(AF4238=1,EOMONTH(AE4238,0),"")</f>
        <v/>
      </c>
      <c r="AH4238" s="9">
        <f>IF(AF4238=1,UPPER(TRIM(IFERROR(INDEX($A4238:$AB4238,MATCH("Client",$A$1:$AB$1,0)),"")&amp;"")),"")</f>
        <v/>
      </c>
      <c r="AI4238" s="9">
        <f>IF(AF4238=1,IFERROR(INDEX($A4238:$AB4238,MATCH("Cost Centre",$A$1:$AB$1,0)),"")&amp;"","")</f>
        <v/>
      </c>
      <c r="AJ4238" s="54">
        <f>IF(AND(AF4238=1,AE4238&gt;=set_FYStart,AE4238&lt;=set_AsAt),1,0)</f>
        <v/>
      </c>
      <c r="AK4238" s="54">
        <f>IF(AND(AJ4238=1,AH4238&lt;&gt;"",COUNTIFS($AH$2:AH4238,AH4238,$AJ$2:AJ4238,1)=1),N(AL4237)+1,"")</f>
        <v/>
      </c>
      <c r="AL4238" s="54">
        <f>IF(AK4238&lt;&gt;"",AK4238,N(AL4237))</f>
        <v/>
      </c>
    </row>
    <row r="4239">
      <c r="A4239" t="inlineStr">
        <is>
          <t>PRD-1413</t>
        </is>
      </c>
      <c r="B4239" t="inlineStr">
        <is>
          <t>Production</t>
        </is>
      </c>
      <c r="AB4239" t="n">
        <v>1413</v>
      </c>
      <c r="AD4239" s="52">
        <f>IFERROR(N(IFERROR(INDEX($A4239:$AB4239,MATCH("Xero Invoiced Ex GST",$A$1:$AB$1,0)),"")),0)</f>
        <v/>
      </c>
      <c r="AE4239" s="53">
        <f>IFERROR(INDEX($A4239:$AB4239,MATCH("Xero Invoice Date",$A$1:$AB$1,0)),"")</f>
        <v/>
      </c>
      <c r="AF4239" s="54">
        <f>IF(AND(IFERROR(INDEX($A4239:$AB4239,MATCH("Xero Invoice No",$A$1:$AB$1,0)),"")&amp;""&lt;&gt;"",ISNUMBER(AE4239),AD4239&lt;&gt;0),1,0)</f>
        <v/>
      </c>
      <c r="AG4239" s="55">
        <f>IF(AF4239=1,EOMONTH(AE4239,0),"")</f>
        <v/>
      </c>
      <c r="AH4239" s="9">
        <f>IF(AF4239=1,UPPER(TRIM(IFERROR(INDEX($A4239:$AB4239,MATCH("Client",$A$1:$AB$1,0)),"")&amp;"")),"")</f>
        <v/>
      </c>
      <c r="AI4239" s="9">
        <f>IF(AF4239=1,IFERROR(INDEX($A4239:$AB4239,MATCH("Cost Centre",$A$1:$AB$1,0)),"")&amp;"","")</f>
        <v/>
      </c>
      <c r="AJ4239" s="54">
        <f>IF(AND(AF4239=1,AE4239&gt;=set_FYStart,AE4239&lt;=set_AsAt),1,0)</f>
        <v/>
      </c>
      <c r="AK4239" s="54">
        <f>IF(AND(AJ4239=1,AH4239&lt;&gt;"",COUNTIFS($AH$2:AH4239,AH4239,$AJ$2:AJ4239,1)=1),N(AL4238)+1,"")</f>
        <v/>
      </c>
      <c r="AL4239" s="54">
        <f>IF(AK4239&lt;&gt;"",AK4239,N(AL4238))</f>
        <v/>
      </c>
    </row>
    <row r="4240">
      <c r="A4240" t="inlineStr">
        <is>
          <t>CON-1413</t>
        </is>
      </c>
      <c r="B4240" t="inlineStr">
        <is>
          <t>Consulting</t>
        </is>
      </c>
      <c r="AB4240" t="n">
        <v>1413</v>
      </c>
      <c r="AD4240" s="52">
        <f>IFERROR(N(IFERROR(INDEX($A4240:$AB4240,MATCH("Xero Invoiced Ex GST",$A$1:$AB$1,0)),"")),0)</f>
        <v/>
      </c>
      <c r="AE4240" s="53">
        <f>IFERROR(INDEX($A4240:$AB4240,MATCH("Xero Invoice Date",$A$1:$AB$1,0)),"")</f>
        <v/>
      </c>
      <c r="AF4240" s="54">
        <f>IF(AND(IFERROR(INDEX($A4240:$AB4240,MATCH("Xero Invoice No",$A$1:$AB$1,0)),"")&amp;""&lt;&gt;"",ISNUMBER(AE4240),AD4240&lt;&gt;0),1,0)</f>
        <v/>
      </c>
      <c r="AG4240" s="55">
        <f>IF(AF4240=1,EOMONTH(AE4240,0),"")</f>
        <v/>
      </c>
      <c r="AH4240" s="9">
        <f>IF(AF4240=1,UPPER(TRIM(IFERROR(INDEX($A4240:$AB4240,MATCH("Client",$A$1:$AB$1,0)),"")&amp;"")),"")</f>
        <v/>
      </c>
      <c r="AI4240" s="9">
        <f>IF(AF4240=1,IFERROR(INDEX($A4240:$AB4240,MATCH("Cost Centre",$A$1:$AB$1,0)),"")&amp;"","")</f>
        <v/>
      </c>
      <c r="AJ4240" s="54">
        <f>IF(AND(AF4240=1,AE4240&gt;=set_FYStart,AE4240&lt;=set_AsAt),1,0)</f>
        <v/>
      </c>
      <c r="AK4240" s="54">
        <f>IF(AND(AJ4240=1,AH4240&lt;&gt;"",COUNTIFS($AH$2:AH4240,AH4240,$AJ$2:AJ4240,1)=1),N(AL4239)+1,"")</f>
        <v/>
      </c>
      <c r="AL4240" s="54">
        <f>IF(AK4240&lt;&gt;"",AK4240,N(AL4239))</f>
        <v/>
      </c>
    </row>
    <row r="4241">
      <c r="A4241" t="inlineStr">
        <is>
          <t>ONS-1414</t>
        </is>
      </c>
      <c r="B4241" t="inlineStr">
        <is>
          <t>Onsite</t>
        </is>
      </c>
      <c r="AB4241" t="n">
        <v>1414</v>
      </c>
      <c r="AD4241" s="52">
        <f>IFERROR(N(IFERROR(INDEX($A4241:$AB4241,MATCH("Xero Invoiced Ex GST",$A$1:$AB$1,0)),"")),0)</f>
        <v/>
      </c>
      <c r="AE4241" s="53">
        <f>IFERROR(INDEX($A4241:$AB4241,MATCH("Xero Invoice Date",$A$1:$AB$1,0)),"")</f>
        <v/>
      </c>
      <c r="AF4241" s="54">
        <f>IF(AND(IFERROR(INDEX($A4241:$AB4241,MATCH("Xero Invoice No",$A$1:$AB$1,0)),"")&amp;""&lt;&gt;"",ISNUMBER(AE4241),AD4241&lt;&gt;0),1,0)</f>
        <v/>
      </c>
      <c r="AG4241" s="55">
        <f>IF(AF4241=1,EOMONTH(AE4241,0),"")</f>
        <v/>
      </c>
      <c r="AH4241" s="9">
        <f>IF(AF4241=1,UPPER(TRIM(IFERROR(INDEX($A4241:$AB4241,MATCH("Client",$A$1:$AB$1,0)),"")&amp;"")),"")</f>
        <v/>
      </c>
      <c r="AI4241" s="9">
        <f>IF(AF4241=1,IFERROR(INDEX($A4241:$AB4241,MATCH("Cost Centre",$A$1:$AB$1,0)),"")&amp;"","")</f>
        <v/>
      </c>
      <c r="AJ4241" s="54">
        <f>IF(AND(AF4241=1,AE4241&gt;=set_FYStart,AE4241&lt;=set_AsAt),1,0)</f>
        <v/>
      </c>
      <c r="AK4241" s="54">
        <f>IF(AND(AJ4241=1,AH4241&lt;&gt;"",COUNTIFS($AH$2:AH4241,AH4241,$AJ$2:AJ4241,1)=1),N(AL4240)+1,"")</f>
        <v/>
      </c>
      <c r="AL4241" s="54">
        <f>IF(AK4241&lt;&gt;"",AK4241,N(AL4240))</f>
        <v/>
      </c>
    </row>
    <row r="4242">
      <c r="A4242" t="inlineStr">
        <is>
          <t>PRD-1414</t>
        </is>
      </c>
      <c r="B4242" t="inlineStr">
        <is>
          <t>Production</t>
        </is>
      </c>
      <c r="AB4242" t="n">
        <v>1414</v>
      </c>
      <c r="AD4242" s="52">
        <f>IFERROR(N(IFERROR(INDEX($A4242:$AB4242,MATCH("Xero Invoiced Ex GST",$A$1:$AB$1,0)),"")),0)</f>
        <v/>
      </c>
      <c r="AE4242" s="53">
        <f>IFERROR(INDEX($A4242:$AB4242,MATCH("Xero Invoice Date",$A$1:$AB$1,0)),"")</f>
        <v/>
      </c>
      <c r="AF4242" s="54">
        <f>IF(AND(IFERROR(INDEX($A4242:$AB4242,MATCH("Xero Invoice No",$A$1:$AB$1,0)),"")&amp;""&lt;&gt;"",ISNUMBER(AE4242),AD4242&lt;&gt;0),1,0)</f>
        <v/>
      </c>
      <c r="AG4242" s="55">
        <f>IF(AF4242=1,EOMONTH(AE4242,0),"")</f>
        <v/>
      </c>
      <c r="AH4242" s="9">
        <f>IF(AF4242=1,UPPER(TRIM(IFERROR(INDEX($A4242:$AB4242,MATCH("Client",$A$1:$AB$1,0)),"")&amp;"")),"")</f>
        <v/>
      </c>
      <c r="AI4242" s="9">
        <f>IF(AF4242=1,IFERROR(INDEX($A4242:$AB4242,MATCH("Cost Centre",$A$1:$AB$1,0)),"")&amp;"","")</f>
        <v/>
      </c>
      <c r="AJ4242" s="54">
        <f>IF(AND(AF4242=1,AE4242&gt;=set_FYStart,AE4242&lt;=set_AsAt),1,0)</f>
        <v/>
      </c>
      <c r="AK4242" s="54">
        <f>IF(AND(AJ4242=1,AH4242&lt;&gt;"",COUNTIFS($AH$2:AH4242,AH4242,$AJ$2:AJ4242,1)=1),N(AL4241)+1,"")</f>
        <v/>
      </c>
      <c r="AL4242" s="54">
        <f>IF(AK4242&lt;&gt;"",AK4242,N(AL4241))</f>
        <v/>
      </c>
    </row>
    <row r="4243">
      <c r="A4243" t="inlineStr">
        <is>
          <t>CON-1414</t>
        </is>
      </c>
      <c r="B4243" t="inlineStr">
        <is>
          <t>Consulting</t>
        </is>
      </c>
      <c r="AB4243" t="n">
        <v>1414</v>
      </c>
      <c r="AD4243" s="52">
        <f>IFERROR(N(IFERROR(INDEX($A4243:$AB4243,MATCH("Xero Invoiced Ex GST",$A$1:$AB$1,0)),"")),0)</f>
        <v/>
      </c>
      <c r="AE4243" s="53">
        <f>IFERROR(INDEX($A4243:$AB4243,MATCH("Xero Invoice Date",$A$1:$AB$1,0)),"")</f>
        <v/>
      </c>
      <c r="AF4243" s="54">
        <f>IF(AND(IFERROR(INDEX($A4243:$AB4243,MATCH("Xero Invoice No",$A$1:$AB$1,0)),"")&amp;""&lt;&gt;"",ISNUMBER(AE4243),AD4243&lt;&gt;0),1,0)</f>
        <v/>
      </c>
      <c r="AG4243" s="55">
        <f>IF(AF4243=1,EOMONTH(AE4243,0),"")</f>
        <v/>
      </c>
      <c r="AH4243" s="9">
        <f>IF(AF4243=1,UPPER(TRIM(IFERROR(INDEX($A4243:$AB4243,MATCH("Client",$A$1:$AB$1,0)),"")&amp;"")),"")</f>
        <v/>
      </c>
      <c r="AI4243" s="9">
        <f>IF(AF4243=1,IFERROR(INDEX($A4243:$AB4243,MATCH("Cost Centre",$A$1:$AB$1,0)),"")&amp;"","")</f>
        <v/>
      </c>
      <c r="AJ4243" s="54">
        <f>IF(AND(AF4243=1,AE4243&gt;=set_FYStart,AE4243&lt;=set_AsAt),1,0)</f>
        <v/>
      </c>
      <c r="AK4243" s="54">
        <f>IF(AND(AJ4243=1,AH4243&lt;&gt;"",COUNTIFS($AH$2:AH4243,AH4243,$AJ$2:AJ4243,1)=1),N(AL4242)+1,"")</f>
        <v/>
      </c>
      <c r="AL4243" s="54">
        <f>IF(AK4243&lt;&gt;"",AK4243,N(AL4242))</f>
        <v/>
      </c>
    </row>
    <row r="4244">
      <c r="A4244" t="inlineStr">
        <is>
          <t>ONS-1415</t>
        </is>
      </c>
      <c r="B4244" t="inlineStr">
        <is>
          <t>Onsite</t>
        </is>
      </c>
      <c r="AB4244" t="n">
        <v>1415</v>
      </c>
      <c r="AD4244" s="52">
        <f>IFERROR(N(IFERROR(INDEX($A4244:$AB4244,MATCH("Xero Invoiced Ex GST",$A$1:$AB$1,0)),"")),0)</f>
        <v/>
      </c>
      <c r="AE4244" s="53">
        <f>IFERROR(INDEX($A4244:$AB4244,MATCH("Xero Invoice Date",$A$1:$AB$1,0)),"")</f>
        <v/>
      </c>
      <c r="AF4244" s="54">
        <f>IF(AND(IFERROR(INDEX($A4244:$AB4244,MATCH("Xero Invoice No",$A$1:$AB$1,0)),"")&amp;""&lt;&gt;"",ISNUMBER(AE4244),AD4244&lt;&gt;0),1,0)</f>
        <v/>
      </c>
      <c r="AG4244" s="55">
        <f>IF(AF4244=1,EOMONTH(AE4244,0),"")</f>
        <v/>
      </c>
      <c r="AH4244" s="9">
        <f>IF(AF4244=1,UPPER(TRIM(IFERROR(INDEX($A4244:$AB4244,MATCH("Client",$A$1:$AB$1,0)),"")&amp;"")),"")</f>
        <v/>
      </c>
      <c r="AI4244" s="9">
        <f>IF(AF4244=1,IFERROR(INDEX($A4244:$AB4244,MATCH("Cost Centre",$A$1:$AB$1,0)),"")&amp;"","")</f>
        <v/>
      </c>
      <c r="AJ4244" s="54">
        <f>IF(AND(AF4244=1,AE4244&gt;=set_FYStart,AE4244&lt;=set_AsAt),1,0)</f>
        <v/>
      </c>
      <c r="AK4244" s="54">
        <f>IF(AND(AJ4244=1,AH4244&lt;&gt;"",COUNTIFS($AH$2:AH4244,AH4244,$AJ$2:AJ4244,1)=1),N(AL4243)+1,"")</f>
        <v/>
      </c>
      <c r="AL4244" s="54">
        <f>IF(AK4244&lt;&gt;"",AK4244,N(AL4243))</f>
        <v/>
      </c>
    </row>
    <row r="4245">
      <c r="A4245" t="inlineStr">
        <is>
          <t>PRD-1415</t>
        </is>
      </c>
      <c r="B4245" t="inlineStr">
        <is>
          <t>Production</t>
        </is>
      </c>
      <c r="AB4245" t="n">
        <v>1415</v>
      </c>
      <c r="AD4245" s="52">
        <f>IFERROR(N(IFERROR(INDEX($A4245:$AB4245,MATCH("Xero Invoiced Ex GST",$A$1:$AB$1,0)),"")),0)</f>
        <v/>
      </c>
      <c r="AE4245" s="53">
        <f>IFERROR(INDEX($A4245:$AB4245,MATCH("Xero Invoice Date",$A$1:$AB$1,0)),"")</f>
        <v/>
      </c>
      <c r="AF4245" s="54">
        <f>IF(AND(IFERROR(INDEX($A4245:$AB4245,MATCH("Xero Invoice No",$A$1:$AB$1,0)),"")&amp;""&lt;&gt;"",ISNUMBER(AE4245),AD4245&lt;&gt;0),1,0)</f>
        <v/>
      </c>
      <c r="AG4245" s="55">
        <f>IF(AF4245=1,EOMONTH(AE4245,0),"")</f>
        <v/>
      </c>
      <c r="AH4245" s="9">
        <f>IF(AF4245=1,UPPER(TRIM(IFERROR(INDEX($A4245:$AB4245,MATCH("Client",$A$1:$AB$1,0)),"")&amp;"")),"")</f>
        <v/>
      </c>
      <c r="AI4245" s="9">
        <f>IF(AF4245=1,IFERROR(INDEX($A4245:$AB4245,MATCH("Cost Centre",$A$1:$AB$1,0)),"")&amp;"","")</f>
        <v/>
      </c>
      <c r="AJ4245" s="54">
        <f>IF(AND(AF4245=1,AE4245&gt;=set_FYStart,AE4245&lt;=set_AsAt),1,0)</f>
        <v/>
      </c>
      <c r="AK4245" s="54">
        <f>IF(AND(AJ4245=1,AH4245&lt;&gt;"",COUNTIFS($AH$2:AH4245,AH4245,$AJ$2:AJ4245,1)=1),N(AL4244)+1,"")</f>
        <v/>
      </c>
      <c r="AL4245" s="54">
        <f>IF(AK4245&lt;&gt;"",AK4245,N(AL4244))</f>
        <v/>
      </c>
    </row>
    <row r="4246">
      <c r="A4246" t="inlineStr">
        <is>
          <t>CON-1415</t>
        </is>
      </c>
      <c r="B4246" t="inlineStr">
        <is>
          <t>Consulting</t>
        </is>
      </c>
      <c r="AB4246" t="n">
        <v>1415</v>
      </c>
      <c r="AD4246" s="52">
        <f>IFERROR(N(IFERROR(INDEX($A4246:$AB4246,MATCH("Xero Invoiced Ex GST",$A$1:$AB$1,0)),"")),0)</f>
        <v/>
      </c>
      <c r="AE4246" s="53">
        <f>IFERROR(INDEX($A4246:$AB4246,MATCH("Xero Invoice Date",$A$1:$AB$1,0)),"")</f>
        <v/>
      </c>
      <c r="AF4246" s="54">
        <f>IF(AND(IFERROR(INDEX($A4246:$AB4246,MATCH("Xero Invoice No",$A$1:$AB$1,0)),"")&amp;""&lt;&gt;"",ISNUMBER(AE4246),AD4246&lt;&gt;0),1,0)</f>
        <v/>
      </c>
      <c r="AG4246" s="55">
        <f>IF(AF4246=1,EOMONTH(AE4246,0),"")</f>
        <v/>
      </c>
      <c r="AH4246" s="9">
        <f>IF(AF4246=1,UPPER(TRIM(IFERROR(INDEX($A4246:$AB4246,MATCH("Client",$A$1:$AB$1,0)),"")&amp;"")),"")</f>
        <v/>
      </c>
      <c r="AI4246" s="9">
        <f>IF(AF4246=1,IFERROR(INDEX($A4246:$AB4246,MATCH("Cost Centre",$A$1:$AB$1,0)),"")&amp;"","")</f>
        <v/>
      </c>
      <c r="AJ4246" s="54">
        <f>IF(AND(AF4246=1,AE4246&gt;=set_FYStart,AE4246&lt;=set_AsAt),1,0)</f>
        <v/>
      </c>
      <c r="AK4246" s="54">
        <f>IF(AND(AJ4246=1,AH4246&lt;&gt;"",COUNTIFS($AH$2:AH4246,AH4246,$AJ$2:AJ4246,1)=1),N(AL4245)+1,"")</f>
        <v/>
      </c>
      <c r="AL4246" s="54">
        <f>IF(AK4246&lt;&gt;"",AK4246,N(AL4245))</f>
        <v/>
      </c>
    </row>
    <row r="4247">
      <c r="A4247" t="inlineStr">
        <is>
          <t>ONS-1416</t>
        </is>
      </c>
      <c r="B4247" t="inlineStr">
        <is>
          <t>Onsite</t>
        </is>
      </c>
      <c r="AB4247" t="n">
        <v>1416</v>
      </c>
      <c r="AD4247" s="52">
        <f>IFERROR(N(IFERROR(INDEX($A4247:$AB4247,MATCH("Xero Invoiced Ex GST",$A$1:$AB$1,0)),"")),0)</f>
        <v/>
      </c>
      <c r="AE4247" s="53">
        <f>IFERROR(INDEX($A4247:$AB4247,MATCH("Xero Invoice Date",$A$1:$AB$1,0)),"")</f>
        <v/>
      </c>
      <c r="AF4247" s="54">
        <f>IF(AND(IFERROR(INDEX($A4247:$AB4247,MATCH("Xero Invoice No",$A$1:$AB$1,0)),"")&amp;""&lt;&gt;"",ISNUMBER(AE4247),AD4247&lt;&gt;0),1,0)</f>
        <v/>
      </c>
      <c r="AG4247" s="55">
        <f>IF(AF4247=1,EOMONTH(AE4247,0),"")</f>
        <v/>
      </c>
      <c r="AH4247" s="9">
        <f>IF(AF4247=1,UPPER(TRIM(IFERROR(INDEX($A4247:$AB4247,MATCH("Client",$A$1:$AB$1,0)),"")&amp;"")),"")</f>
        <v/>
      </c>
      <c r="AI4247" s="9">
        <f>IF(AF4247=1,IFERROR(INDEX($A4247:$AB4247,MATCH("Cost Centre",$A$1:$AB$1,0)),"")&amp;"","")</f>
        <v/>
      </c>
      <c r="AJ4247" s="54">
        <f>IF(AND(AF4247=1,AE4247&gt;=set_FYStart,AE4247&lt;=set_AsAt),1,0)</f>
        <v/>
      </c>
      <c r="AK4247" s="54">
        <f>IF(AND(AJ4247=1,AH4247&lt;&gt;"",COUNTIFS($AH$2:AH4247,AH4247,$AJ$2:AJ4247,1)=1),N(AL4246)+1,"")</f>
        <v/>
      </c>
      <c r="AL4247" s="54">
        <f>IF(AK4247&lt;&gt;"",AK4247,N(AL4246))</f>
        <v/>
      </c>
    </row>
    <row r="4248">
      <c r="A4248" t="inlineStr">
        <is>
          <t>PRD-1416</t>
        </is>
      </c>
      <c r="B4248" t="inlineStr">
        <is>
          <t>Production</t>
        </is>
      </c>
      <c r="AB4248" t="n">
        <v>1416</v>
      </c>
      <c r="AD4248" s="52">
        <f>IFERROR(N(IFERROR(INDEX($A4248:$AB4248,MATCH("Xero Invoiced Ex GST",$A$1:$AB$1,0)),"")),0)</f>
        <v/>
      </c>
      <c r="AE4248" s="53">
        <f>IFERROR(INDEX($A4248:$AB4248,MATCH("Xero Invoice Date",$A$1:$AB$1,0)),"")</f>
        <v/>
      </c>
      <c r="AF4248" s="54">
        <f>IF(AND(IFERROR(INDEX($A4248:$AB4248,MATCH("Xero Invoice No",$A$1:$AB$1,0)),"")&amp;""&lt;&gt;"",ISNUMBER(AE4248),AD4248&lt;&gt;0),1,0)</f>
        <v/>
      </c>
      <c r="AG4248" s="55">
        <f>IF(AF4248=1,EOMONTH(AE4248,0),"")</f>
        <v/>
      </c>
      <c r="AH4248" s="9">
        <f>IF(AF4248=1,UPPER(TRIM(IFERROR(INDEX($A4248:$AB4248,MATCH("Client",$A$1:$AB$1,0)),"")&amp;"")),"")</f>
        <v/>
      </c>
      <c r="AI4248" s="9">
        <f>IF(AF4248=1,IFERROR(INDEX($A4248:$AB4248,MATCH("Cost Centre",$A$1:$AB$1,0)),"")&amp;"","")</f>
        <v/>
      </c>
      <c r="AJ4248" s="54">
        <f>IF(AND(AF4248=1,AE4248&gt;=set_FYStart,AE4248&lt;=set_AsAt),1,0)</f>
        <v/>
      </c>
      <c r="AK4248" s="54">
        <f>IF(AND(AJ4248=1,AH4248&lt;&gt;"",COUNTIFS($AH$2:AH4248,AH4248,$AJ$2:AJ4248,1)=1),N(AL4247)+1,"")</f>
        <v/>
      </c>
      <c r="AL4248" s="54">
        <f>IF(AK4248&lt;&gt;"",AK4248,N(AL4247))</f>
        <v/>
      </c>
    </row>
    <row r="4249">
      <c r="A4249" t="inlineStr">
        <is>
          <t>CON-1416</t>
        </is>
      </c>
      <c r="B4249" t="inlineStr">
        <is>
          <t>Consulting</t>
        </is>
      </c>
      <c r="AB4249" t="n">
        <v>1416</v>
      </c>
      <c r="AD4249" s="52">
        <f>IFERROR(N(IFERROR(INDEX($A4249:$AB4249,MATCH("Xero Invoiced Ex GST",$A$1:$AB$1,0)),"")),0)</f>
        <v/>
      </c>
      <c r="AE4249" s="53">
        <f>IFERROR(INDEX($A4249:$AB4249,MATCH("Xero Invoice Date",$A$1:$AB$1,0)),"")</f>
        <v/>
      </c>
      <c r="AF4249" s="54">
        <f>IF(AND(IFERROR(INDEX($A4249:$AB4249,MATCH("Xero Invoice No",$A$1:$AB$1,0)),"")&amp;""&lt;&gt;"",ISNUMBER(AE4249),AD4249&lt;&gt;0),1,0)</f>
        <v/>
      </c>
      <c r="AG4249" s="55">
        <f>IF(AF4249=1,EOMONTH(AE4249,0),"")</f>
        <v/>
      </c>
      <c r="AH4249" s="9">
        <f>IF(AF4249=1,UPPER(TRIM(IFERROR(INDEX($A4249:$AB4249,MATCH("Client",$A$1:$AB$1,0)),"")&amp;"")),"")</f>
        <v/>
      </c>
      <c r="AI4249" s="9">
        <f>IF(AF4249=1,IFERROR(INDEX($A4249:$AB4249,MATCH("Cost Centre",$A$1:$AB$1,0)),"")&amp;"","")</f>
        <v/>
      </c>
      <c r="AJ4249" s="54">
        <f>IF(AND(AF4249=1,AE4249&gt;=set_FYStart,AE4249&lt;=set_AsAt),1,0)</f>
        <v/>
      </c>
      <c r="AK4249" s="54">
        <f>IF(AND(AJ4249=1,AH4249&lt;&gt;"",COUNTIFS($AH$2:AH4249,AH4249,$AJ$2:AJ4249,1)=1),N(AL4248)+1,"")</f>
        <v/>
      </c>
      <c r="AL4249" s="54">
        <f>IF(AK4249&lt;&gt;"",AK4249,N(AL4248))</f>
        <v/>
      </c>
    </row>
    <row r="4250">
      <c r="A4250" t="inlineStr">
        <is>
          <t>ONS-1417</t>
        </is>
      </c>
      <c r="B4250" t="inlineStr">
        <is>
          <t>Onsite</t>
        </is>
      </c>
      <c r="AB4250" t="n">
        <v>1417</v>
      </c>
      <c r="AD4250" s="52">
        <f>IFERROR(N(IFERROR(INDEX($A4250:$AB4250,MATCH("Xero Invoiced Ex GST",$A$1:$AB$1,0)),"")),0)</f>
        <v/>
      </c>
      <c r="AE4250" s="53">
        <f>IFERROR(INDEX($A4250:$AB4250,MATCH("Xero Invoice Date",$A$1:$AB$1,0)),"")</f>
        <v/>
      </c>
      <c r="AF4250" s="54">
        <f>IF(AND(IFERROR(INDEX($A4250:$AB4250,MATCH("Xero Invoice No",$A$1:$AB$1,0)),"")&amp;""&lt;&gt;"",ISNUMBER(AE4250),AD4250&lt;&gt;0),1,0)</f>
        <v/>
      </c>
      <c r="AG4250" s="55">
        <f>IF(AF4250=1,EOMONTH(AE4250,0),"")</f>
        <v/>
      </c>
      <c r="AH4250" s="9">
        <f>IF(AF4250=1,UPPER(TRIM(IFERROR(INDEX($A4250:$AB4250,MATCH("Client",$A$1:$AB$1,0)),"")&amp;"")),"")</f>
        <v/>
      </c>
      <c r="AI4250" s="9">
        <f>IF(AF4250=1,IFERROR(INDEX($A4250:$AB4250,MATCH("Cost Centre",$A$1:$AB$1,0)),"")&amp;"","")</f>
        <v/>
      </c>
      <c r="AJ4250" s="54">
        <f>IF(AND(AF4250=1,AE4250&gt;=set_FYStart,AE4250&lt;=set_AsAt),1,0)</f>
        <v/>
      </c>
      <c r="AK4250" s="54">
        <f>IF(AND(AJ4250=1,AH4250&lt;&gt;"",COUNTIFS($AH$2:AH4250,AH4250,$AJ$2:AJ4250,1)=1),N(AL4249)+1,"")</f>
        <v/>
      </c>
      <c r="AL4250" s="54">
        <f>IF(AK4250&lt;&gt;"",AK4250,N(AL4249))</f>
        <v/>
      </c>
    </row>
    <row r="4251">
      <c r="A4251" t="inlineStr">
        <is>
          <t>PRD-1417</t>
        </is>
      </c>
      <c r="B4251" t="inlineStr">
        <is>
          <t>Production</t>
        </is>
      </c>
      <c r="AB4251" t="n">
        <v>1417</v>
      </c>
      <c r="AD4251" s="52">
        <f>IFERROR(N(IFERROR(INDEX($A4251:$AB4251,MATCH("Xero Invoiced Ex GST",$A$1:$AB$1,0)),"")),0)</f>
        <v/>
      </c>
      <c r="AE4251" s="53">
        <f>IFERROR(INDEX($A4251:$AB4251,MATCH("Xero Invoice Date",$A$1:$AB$1,0)),"")</f>
        <v/>
      </c>
      <c r="AF4251" s="54">
        <f>IF(AND(IFERROR(INDEX($A4251:$AB4251,MATCH("Xero Invoice No",$A$1:$AB$1,0)),"")&amp;""&lt;&gt;"",ISNUMBER(AE4251),AD4251&lt;&gt;0),1,0)</f>
        <v/>
      </c>
      <c r="AG4251" s="55">
        <f>IF(AF4251=1,EOMONTH(AE4251,0),"")</f>
        <v/>
      </c>
      <c r="AH4251" s="9">
        <f>IF(AF4251=1,UPPER(TRIM(IFERROR(INDEX($A4251:$AB4251,MATCH("Client",$A$1:$AB$1,0)),"")&amp;"")),"")</f>
        <v/>
      </c>
      <c r="AI4251" s="9">
        <f>IF(AF4251=1,IFERROR(INDEX($A4251:$AB4251,MATCH("Cost Centre",$A$1:$AB$1,0)),"")&amp;"","")</f>
        <v/>
      </c>
      <c r="AJ4251" s="54">
        <f>IF(AND(AF4251=1,AE4251&gt;=set_FYStart,AE4251&lt;=set_AsAt),1,0)</f>
        <v/>
      </c>
      <c r="AK4251" s="54">
        <f>IF(AND(AJ4251=1,AH4251&lt;&gt;"",COUNTIFS($AH$2:AH4251,AH4251,$AJ$2:AJ4251,1)=1),N(AL4250)+1,"")</f>
        <v/>
      </c>
      <c r="AL4251" s="54">
        <f>IF(AK4251&lt;&gt;"",AK4251,N(AL4250))</f>
        <v/>
      </c>
    </row>
    <row r="4252">
      <c r="A4252" t="inlineStr">
        <is>
          <t>CON-1417</t>
        </is>
      </c>
      <c r="B4252" t="inlineStr">
        <is>
          <t>Consulting</t>
        </is>
      </c>
      <c r="AB4252" t="n">
        <v>1417</v>
      </c>
      <c r="AD4252" s="52">
        <f>IFERROR(N(IFERROR(INDEX($A4252:$AB4252,MATCH("Xero Invoiced Ex GST",$A$1:$AB$1,0)),"")),0)</f>
        <v/>
      </c>
      <c r="AE4252" s="53">
        <f>IFERROR(INDEX($A4252:$AB4252,MATCH("Xero Invoice Date",$A$1:$AB$1,0)),"")</f>
        <v/>
      </c>
      <c r="AF4252" s="54">
        <f>IF(AND(IFERROR(INDEX($A4252:$AB4252,MATCH("Xero Invoice No",$A$1:$AB$1,0)),"")&amp;""&lt;&gt;"",ISNUMBER(AE4252),AD4252&lt;&gt;0),1,0)</f>
        <v/>
      </c>
      <c r="AG4252" s="55">
        <f>IF(AF4252=1,EOMONTH(AE4252,0),"")</f>
        <v/>
      </c>
      <c r="AH4252" s="9">
        <f>IF(AF4252=1,UPPER(TRIM(IFERROR(INDEX($A4252:$AB4252,MATCH("Client",$A$1:$AB$1,0)),"")&amp;"")),"")</f>
        <v/>
      </c>
      <c r="AI4252" s="9">
        <f>IF(AF4252=1,IFERROR(INDEX($A4252:$AB4252,MATCH("Cost Centre",$A$1:$AB$1,0)),"")&amp;"","")</f>
        <v/>
      </c>
      <c r="AJ4252" s="54">
        <f>IF(AND(AF4252=1,AE4252&gt;=set_FYStart,AE4252&lt;=set_AsAt),1,0)</f>
        <v/>
      </c>
      <c r="AK4252" s="54">
        <f>IF(AND(AJ4252=1,AH4252&lt;&gt;"",COUNTIFS($AH$2:AH4252,AH4252,$AJ$2:AJ4252,1)=1),N(AL4251)+1,"")</f>
        <v/>
      </c>
      <c r="AL4252" s="54">
        <f>IF(AK4252&lt;&gt;"",AK4252,N(AL4251))</f>
        <v/>
      </c>
    </row>
    <row r="4253">
      <c r="A4253" t="inlineStr">
        <is>
          <t>ONS-1418</t>
        </is>
      </c>
      <c r="B4253" t="inlineStr">
        <is>
          <t>Onsite</t>
        </is>
      </c>
      <c r="AB4253" t="n">
        <v>1418</v>
      </c>
      <c r="AD4253" s="52">
        <f>IFERROR(N(IFERROR(INDEX($A4253:$AB4253,MATCH("Xero Invoiced Ex GST",$A$1:$AB$1,0)),"")),0)</f>
        <v/>
      </c>
      <c r="AE4253" s="53">
        <f>IFERROR(INDEX($A4253:$AB4253,MATCH("Xero Invoice Date",$A$1:$AB$1,0)),"")</f>
        <v/>
      </c>
      <c r="AF4253" s="54">
        <f>IF(AND(IFERROR(INDEX($A4253:$AB4253,MATCH("Xero Invoice No",$A$1:$AB$1,0)),"")&amp;""&lt;&gt;"",ISNUMBER(AE4253),AD4253&lt;&gt;0),1,0)</f>
        <v/>
      </c>
      <c r="AG4253" s="55">
        <f>IF(AF4253=1,EOMONTH(AE4253,0),"")</f>
        <v/>
      </c>
      <c r="AH4253" s="9">
        <f>IF(AF4253=1,UPPER(TRIM(IFERROR(INDEX($A4253:$AB4253,MATCH("Client",$A$1:$AB$1,0)),"")&amp;"")),"")</f>
        <v/>
      </c>
      <c r="AI4253" s="9">
        <f>IF(AF4253=1,IFERROR(INDEX($A4253:$AB4253,MATCH("Cost Centre",$A$1:$AB$1,0)),"")&amp;"","")</f>
        <v/>
      </c>
      <c r="AJ4253" s="54">
        <f>IF(AND(AF4253=1,AE4253&gt;=set_FYStart,AE4253&lt;=set_AsAt),1,0)</f>
        <v/>
      </c>
      <c r="AK4253" s="54">
        <f>IF(AND(AJ4253=1,AH4253&lt;&gt;"",COUNTIFS($AH$2:AH4253,AH4253,$AJ$2:AJ4253,1)=1),N(AL4252)+1,"")</f>
        <v/>
      </c>
      <c r="AL4253" s="54">
        <f>IF(AK4253&lt;&gt;"",AK4253,N(AL4252))</f>
        <v/>
      </c>
    </row>
    <row r="4254">
      <c r="A4254" t="inlineStr">
        <is>
          <t>PRD-1418</t>
        </is>
      </c>
      <c r="B4254" t="inlineStr">
        <is>
          <t>Production</t>
        </is>
      </c>
      <c r="AB4254" t="n">
        <v>1418</v>
      </c>
      <c r="AD4254" s="52">
        <f>IFERROR(N(IFERROR(INDEX($A4254:$AB4254,MATCH("Xero Invoiced Ex GST",$A$1:$AB$1,0)),"")),0)</f>
        <v/>
      </c>
      <c r="AE4254" s="53">
        <f>IFERROR(INDEX($A4254:$AB4254,MATCH("Xero Invoice Date",$A$1:$AB$1,0)),"")</f>
        <v/>
      </c>
      <c r="AF4254" s="54">
        <f>IF(AND(IFERROR(INDEX($A4254:$AB4254,MATCH("Xero Invoice No",$A$1:$AB$1,0)),"")&amp;""&lt;&gt;"",ISNUMBER(AE4254),AD4254&lt;&gt;0),1,0)</f>
        <v/>
      </c>
      <c r="AG4254" s="55">
        <f>IF(AF4254=1,EOMONTH(AE4254,0),"")</f>
        <v/>
      </c>
      <c r="AH4254" s="9">
        <f>IF(AF4254=1,UPPER(TRIM(IFERROR(INDEX($A4254:$AB4254,MATCH("Client",$A$1:$AB$1,0)),"")&amp;"")),"")</f>
        <v/>
      </c>
      <c r="AI4254" s="9">
        <f>IF(AF4254=1,IFERROR(INDEX($A4254:$AB4254,MATCH("Cost Centre",$A$1:$AB$1,0)),"")&amp;"","")</f>
        <v/>
      </c>
      <c r="AJ4254" s="54">
        <f>IF(AND(AF4254=1,AE4254&gt;=set_FYStart,AE4254&lt;=set_AsAt),1,0)</f>
        <v/>
      </c>
      <c r="AK4254" s="54">
        <f>IF(AND(AJ4254=1,AH4254&lt;&gt;"",COUNTIFS($AH$2:AH4254,AH4254,$AJ$2:AJ4254,1)=1),N(AL4253)+1,"")</f>
        <v/>
      </c>
      <c r="AL4254" s="54">
        <f>IF(AK4254&lt;&gt;"",AK4254,N(AL4253))</f>
        <v/>
      </c>
    </row>
    <row r="4255">
      <c r="A4255" t="inlineStr">
        <is>
          <t>CON-1418</t>
        </is>
      </c>
      <c r="B4255" t="inlineStr">
        <is>
          <t>Consulting</t>
        </is>
      </c>
      <c r="AB4255" t="n">
        <v>1418</v>
      </c>
      <c r="AD4255" s="52">
        <f>IFERROR(N(IFERROR(INDEX($A4255:$AB4255,MATCH("Xero Invoiced Ex GST",$A$1:$AB$1,0)),"")),0)</f>
        <v/>
      </c>
      <c r="AE4255" s="53">
        <f>IFERROR(INDEX($A4255:$AB4255,MATCH("Xero Invoice Date",$A$1:$AB$1,0)),"")</f>
        <v/>
      </c>
      <c r="AF4255" s="54">
        <f>IF(AND(IFERROR(INDEX($A4255:$AB4255,MATCH("Xero Invoice No",$A$1:$AB$1,0)),"")&amp;""&lt;&gt;"",ISNUMBER(AE4255),AD4255&lt;&gt;0),1,0)</f>
        <v/>
      </c>
      <c r="AG4255" s="55">
        <f>IF(AF4255=1,EOMONTH(AE4255,0),"")</f>
        <v/>
      </c>
      <c r="AH4255" s="9">
        <f>IF(AF4255=1,UPPER(TRIM(IFERROR(INDEX($A4255:$AB4255,MATCH("Client",$A$1:$AB$1,0)),"")&amp;"")),"")</f>
        <v/>
      </c>
      <c r="AI4255" s="9">
        <f>IF(AF4255=1,IFERROR(INDEX($A4255:$AB4255,MATCH("Cost Centre",$A$1:$AB$1,0)),"")&amp;"","")</f>
        <v/>
      </c>
      <c r="AJ4255" s="54">
        <f>IF(AND(AF4255=1,AE4255&gt;=set_FYStart,AE4255&lt;=set_AsAt),1,0)</f>
        <v/>
      </c>
      <c r="AK4255" s="54">
        <f>IF(AND(AJ4255=1,AH4255&lt;&gt;"",COUNTIFS($AH$2:AH4255,AH4255,$AJ$2:AJ4255,1)=1),N(AL4254)+1,"")</f>
        <v/>
      </c>
      <c r="AL4255" s="54">
        <f>IF(AK4255&lt;&gt;"",AK4255,N(AL4254))</f>
        <v/>
      </c>
    </row>
    <row r="4256">
      <c r="A4256" t="inlineStr">
        <is>
          <t>ONS-1419</t>
        </is>
      </c>
      <c r="B4256" t="inlineStr">
        <is>
          <t>Onsite</t>
        </is>
      </c>
      <c r="AB4256" t="n">
        <v>1419</v>
      </c>
      <c r="AD4256" s="52">
        <f>IFERROR(N(IFERROR(INDEX($A4256:$AB4256,MATCH("Xero Invoiced Ex GST",$A$1:$AB$1,0)),"")),0)</f>
        <v/>
      </c>
      <c r="AE4256" s="53">
        <f>IFERROR(INDEX($A4256:$AB4256,MATCH("Xero Invoice Date",$A$1:$AB$1,0)),"")</f>
        <v/>
      </c>
      <c r="AF4256" s="54">
        <f>IF(AND(IFERROR(INDEX($A4256:$AB4256,MATCH("Xero Invoice No",$A$1:$AB$1,0)),"")&amp;""&lt;&gt;"",ISNUMBER(AE4256),AD4256&lt;&gt;0),1,0)</f>
        <v/>
      </c>
      <c r="AG4256" s="55">
        <f>IF(AF4256=1,EOMONTH(AE4256,0),"")</f>
        <v/>
      </c>
      <c r="AH4256" s="9">
        <f>IF(AF4256=1,UPPER(TRIM(IFERROR(INDEX($A4256:$AB4256,MATCH("Client",$A$1:$AB$1,0)),"")&amp;"")),"")</f>
        <v/>
      </c>
      <c r="AI4256" s="9">
        <f>IF(AF4256=1,IFERROR(INDEX($A4256:$AB4256,MATCH("Cost Centre",$A$1:$AB$1,0)),"")&amp;"","")</f>
        <v/>
      </c>
      <c r="AJ4256" s="54">
        <f>IF(AND(AF4256=1,AE4256&gt;=set_FYStart,AE4256&lt;=set_AsAt),1,0)</f>
        <v/>
      </c>
      <c r="AK4256" s="54">
        <f>IF(AND(AJ4256=1,AH4256&lt;&gt;"",COUNTIFS($AH$2:AH4256,AH4256,$AJ$2:AJ4256,1)=1),N(AL4255)+1,"")</f>
        <v/>
      </c>
      <c r="AL4256" s="54">
        <f>IF(AK4256&lt;&gt;"",AK4256,N(AL4255))</f>
        <v/>
      </c>
    </row>
    <row r="4257">
      <c r="A4257" t="inlineStr">
        <is>
          <t>PRD-1419</t>
        </is>
      </c>
      <c r="B4257" t="inlineStr">
        <is>
          <t>Production</t>
        </is>
      </c>
      <c r="AB4257" t="n">
        <v>1419</v>
      </c>
      <c r="AD4257" s="52">
        <f>IFERROR(N(IFERROR(INDEX($A4257:$AB4257,MATCH("Xero Invoiced Ex GST",$A$1:$AB$1,0)),"")),0)</f>
        <v/>
      </c>
      <c r="AE4257" s="53">
        <f>IFERROR(INDEX($A4257:$AB4257,MATCH("Xero Invoice Date",$A$1:$AB$1,0)),"")</f>
        <v/>
      </c>
      <c r="AF4257" s="54">
        <f>IF(AND(IFERROR(INDEX($A4257:$AB4257,MATCH("Xero Invoice No",$A$1:$AB$1,0)),"")&amp;""&lt;&gt;"",ISNUMBER(AE4257),AD4257&lt;&gt;0),1,0)</f>
        <v/>
      </c>
      <c r="AG4257" s="55">
        <f>IF(AF4257=1,EOMONTH(AE4257,0),"")</f>
        <v/>
      </c>
      <c r="AH4257" s="9">
        <f>IF(AF4257=1,UPPER(TRIM(IFERROR(INDEX($A4257:$AB4257,MATCH("Client",$A$1:$AB$1,0)),"")&amp;"")),"")</f>
        <v/>
      </c>
      <c r="AI4257" s="9">
        <f>IF(AF4257=1,IFERROR(INDEX($A4257:$AB4257,MATCH("Cost Centre",$A$1:$AB$1,0)),"")&amp;"","")</f>
        <v/>
      </c>
      <c r="AJ4257" s="54">
        <f>IF(AND(AF4257=1,AE4257&gt;=set_FYStart,AE4257&lt;=set_AsAt),1,0)</f>
        <v/>
      </c>
      <c r="AK4257" s="54">
        <f>IF(AND(AJ4257=1,AH4257&lt;&gt;"",COUNTIFS($AH$2:AH4257,AH4257,$AJ$2:AJ4257,1)=1),N(AL4256)+1,"")</f>
        <v/>
      </c>
      <c r="AL4257" s="54">
        <f>IF(AK4257&lt;&gt;"",AK4257,N(AL4256))</f>
        <v/>
      </c>
    </row>
    <row r="4258">
      <c r="A4258" t="inlineStr">
        <is>
          <t>CON-1419</t>
        </is>
      </c>
      <c r="B4258" t="inlineStr">
        <is>
          <t>Consulting</t>
        </is>
      </c>
      <c r="AB4258" t="n">
        <v>1419</v>
      </c>
      <c r="AD4258" s="52">
        <f>IFERROR(N(IFERROR(INDEX($A4258:$AB4258,MATCH("Xero Invoiced Ex GST",$A$1:$AB$1,0)),"")),0)</f>
        <v/>
      </c>
      <c r="AE4258" s="53">
        <f>IFERROR(INDEX($A4258:$AB4258,MATCH("Xero Invoice Date",$A$1:$AB$1,0)),"")</f>
        <v/>
      </c>
      <c r="AF4258" s="54">
        <f>IF(AND(IFERROR(INDEX($A4258:$AB4258,MATCH("Xero Invoice No",$A$1:$AB$1,0)),"")&amp;""&lt;&gt;"",ISNUMBER(AE4258),AD4258&lt;&gt;0),1,0)</f>
        <v/>
      </c>
      <c r="AG4258" s="55">
        <f>IF(AF4258=1,EOMONTH(AE4258,0),"")</f>
        <v/>
      </c>
      <c r="AH4258" s="9">
        <f>IF(AF4258=1,UPPER(TRIM(IFERROR(INDEX($A4258:$AB4258,MATCH("Client",$A$1:$AB$1,0)),"")&amp;"")),"")</f>
        <v/>
      </c>
      <c r="AI4258" s="9">
        <f>IF(AF4258=1,IFERROR(INDEX($A4258:$AB4258,MATCH("Cost Centre",$A$1:$AB$1,0)),"")&amp;"","")</f>
        <v/>
      </c>
      <c r="AJ4258" s="54">
        <f>IF(AND(AF4258=1,AE4258&gt;=set_FYStart,AE4258&lt;=set_AsAt),1,0)</f>
        <v/>
      </c>
      <c r="AK4258" s="54">
        <f>IF(AND(AJ4258=1,AH4258&lt;&gt;"",COUNTIFS($AH$2:AH4258,AH4258,$AJ$2:AJ4258,1)=1),N(AL4257)+1,"")</f>
        <v/>
      </c>
      <c r="AL4258" s="54">
        <f>IF(AK4258&lt;&gt;"",AK4258,N(AL4257))</f>
        <v/>
      </c>
    </row>
    <row r="4259">
      <c r="A4259" t="inlineStr">
        <is>
          <t>ONS-1420</t>
        </is>
      </c>
      <c r="B4259" t="inlineStr">
        <is>
          <t>Onsite</t>
        </is>
      </c>
      <c r="AB4259" t="n">
        <v>1420</v>
      </c>
      <c r="AD4259" s="52">
        <f>IFERROR(N(IFERROR(INDEX($A4259:$AB4259,MATCH("Xero Invoiced Ex GST",$A$1:$AB$1,0)),"")),0)</f>
        <v/>
      </c>
      <c r="AE4259" s="53">
        <f>IFERROR(INDEX($A4259:$AB4259,MATCH("Xero Invoice Date",$A$1:$AB$1,0)),"")</f>
        <v/>
      </c>
      <c r="AF4259" s="54">
        <f>IF(AND(IFERROR(INDEX($A4259:$AB4259,MATCH("Xero Invoice No",$A$1:$AB$1,0)),"")&amp;""&lt;&gt;"",ISNUMBER(AE4259),AD4259&lt;&gt;0),1,0)</f>
        <v/>
      </c>
      <c r="AG4259" s="55">
        <f>IF(AF4259=1,EOMONTH(AE4259,0),"")</f>
        <v/>
      </c>
      <c r="AH4259" s="9">
        <f>IF(AF4259=1,UPPER(TRIM(IFERROR(INDEX($A4259:$AB4259,MATCH("Client",$A$1:$AB$1,0)),"")&amp;"")),"")</f>
        <v/>
      </c>
      <c r="AI4259" s="9">
        <f>IF(AF4259=1,IFERROR(INDEX($A4259:$AB4259,MATCH("Cost Centre",$A$1:$AB$1,0)),"")&amp;"","")</f>
        <v/>
      </c>
      <c r="AJ4259" s="54">
        <f>IF(AND(AF4259=1,AE4259&gt;=set_FYStart,AE4259&lt;=set_AsAt),1,0)</f>
        <v/>
      </c>
      <c r="AK4259" s="54">
        <f>IF(AND(AJ4259=1,AH4259&lt;&gt;"",COUNTIFS($AH$2:AH4259,AH4259,$AJ$2:AJ4259,1)=1),N(AL4258)+1,"")</f>
        <v/>
      </c>
      <c r="AL4259" s="54">
        <f>IF(AK4259&lt;&gt;"",AK4259,N(AL4258))</f>
        <v/>
      </c>
    </row>
    <row r="4260">
      <c r="A4260" t="inlineStr">
        <is>
          <t>PRD-1420</t>
        </is>
      </c>
      <c r="B4260" t="inlineStr">
        <is>
          <t>Production</t>
        </is>
      </c>
      <c r="AB4260" t="n">
        <v>1420</v>
      </c>
      <c r="AD4260" s="52">
        <f>IFERROR(N(IFERROR(INDEX($A4260:$AB4260,MATCH("Xero Invoiced Ex GST",$A$1:$AB$1,0)),"")),0)</f>
        <v/>
      </c>
      <c r="AE4260" s="53">
        <f>IFERROR(INDEX($A4260:$AB4260,MATCH("Xero Invoice Date",$A$1:$AB$1,0)),"")</f>
        <v/>
      </c>
      <c r="AF4260" s="54">
        <f>IF(AND(IFERROR(INDEX($A4260:$AB4260,MATCH("Xero Invoice No",$A$1:$AB$1,0)),"")&amp;""&lt;&gt;"",ISNUMBER(AE4260),AD4260&lt;&gt;0),1,0)</f>
        <v/>
      </c>
      <c r="AG4260" s="55">
        <f>IF(AF4260=1,EOMONTH(AE4260,0),"")</f>
        <v/>
      </c>
      <c r="AH4260" s="9">
        <f>IF(AF4260=1,UPPER(TRIM(IFERROR(INDEX($A4260:$AB4260,MATCH("Client",$A$1:$AB$1,0)),"")&amp;"")),"")</f>
        <v/>
      </c>
      <c r="AI4260" s="9">
        <f>IF(AF4260=1,IFERROR(INDEX($A4260:$AB4260,MATCH("Cost Centre",$A$1:$AB$1,0)),"")&amp;"","")</f>
        <v/>
      </c>
      <c r="AJ4260" s="54">
        <f>IF(AND(AF4260=1,AE4260&gt;=set_FYStart,AE4260&lt;=set_AsAt),1,0)</f>
        <v/>
      </c>
      <c r="AK4260" s="54">
        <f>IF(AND(AJ4260=1,AH4260&lt;&gt;"",COUNTIFS($AH$2:AH4260,AH4260,$AJ$2:AJ4260,1)=1),N(AL4259)+1,"")</f>
        <v/>
      </c>
      <c r="AL4260" s="54">
        <f>IF(AK4260&lt;&gt;"",AK4260,N(AL4259))</f>
        <v/>
      </c>
    </row>
    <row r="4261">
      <c r="A4261" t="inlineStr">
        <is>
          <t>CON-1420</t>
        </is>
      </c>
      <c r="B4261" t="inlineStr">
        <is>
          <t>Consulting</t>
        </is>
      </c>
      <c r="AB4261" t="n">
        <v>1420</v>
      </c>
      <c r="AD4261" s="52">
        <f>IFERROR(N(IFERROR(INDEX($A4261:$AB4261,MATCH("Xero Invoiced Ex GST",$A$1:$AB$1,0)),"")),0)</f>
        <v/>
      </c>
      <c r="AE4261" s="53">
        <f>IFERROR(INDEX($A4261:$AB4261,MATCH("Xero Invoice Date",$A$1:$AB$1,0)),"")</f>
        <v/>
      </c>
      <c r="AF4261" s="54">
        <f>IF(AND(IFERROR(INDEX($A4261:$AB4261,MATCH("Xero Invoice No",$A$1:$AB$1,0)),"")&amp;""&lt;&gt;"",ISNUMBER(AE4261),AD4261&lt;&gt;0),1,0)</f>
        <v/>
      </c>
      <c r="AG4261" s="55">
        <f>IF(AF4261=1,EOMONTH(AE4261,0),"")</f>
        <v/>
      </c>
      <c r="AH4261" s="9">
        <f>IF(AF4261=1,UPPER(TRIM(IFERROR(INDEX($A4261:$AB4261,MATCH("Client",$A$1:$AB$1,0)),"")&amp;"")),"")</f>
        <v/>
      </c>
      <c r="AI4261" s="9">
        <f>IF(AF4261=1,IFERROR(INDEX($A4261:$AB4261,MATCH("Cost Centre",$A$1:$AB$1,0)),"")&amp;"","")</f>
        <v/>
      </c>
      <c r="AJ4261" s="54">
        <f>IF(AND(AF4261=1,AE4261&gt;=set_FYStart,AE4261&lt;=set_AsAt),1,0)</f>
        <v/>
      </c>
      <c r="AK4261" s="54">
        <f>IF(AND(AJ4261=1,AH4261&lt;&gt;"",COUNTIFS($AH$2:AH4261,AH4261,$AJ$2:AJ4261,1)=1),N(AL4260)+1,"")</f>
        <v/>
      </c>
      <c r="AL4261" s="54">
        <f>IF(AK4261&lt;&gt;"",AK4261,N(AL4260))</f>
        <v/>
      </c>
    </row>
    <row r="4262">
      <c r="A4262" t="inlineStr">
        <is>
          <t>ONS-1421</t>
        </is>
      </c>
      <c r="B4262" t="inlineStr">
        <is>
          <t>Onsite</t>
        </is>
      </c>
      <c r="AB4262" t="n">
        <v>1421</v>
      </c>
      <c r="AD4262" s="52">
        <f>IFERROR(N(IFERROR(INDEX($A4262:$AB4262,MATCH("Xero Invoiced Ex GST",$A$1:$AB$1,0)),"")),0)</f>
        <v/>
      </c>
      <c r="AE4262" s="53">
        <f>IFERROR(INDEX($A4262:$AB4262,MATCH("Xero Invoice Date",$A$1:$AB$1,0)),"")</f>
        <v/>
      </c>
      <c r="AF4262" s="54">
        <f>IF(AND(IFERROR(INDEX($A4262:$AB4262,MATCH("Xero Invoice No",$A$1:$AB$1,0)),"")&amp;""&lt;&gt;"",ISNUMBER(AE4262),AD4262&lt;&gt;0),1,0)</f>
        <v/>
      </c>
      <c r="AG4262" s="55">
        <f>IF(AF4262=1,EOMONTH(AE4262,0),"")</f>
        <v/>
      </c>
      <c r="AH4262" s="9">
        <f>IF(AF4262=1,UPPER(TRIM(IFERROR(INDEX($A4262:$AB4262,MATCH("Client",$A$1:$AB$1,0)),"")&amp;"")),"")</f>
        <v/>
      </c>
      <c r="AI4262" s="9">
        <f>IF(AF4262=1,IFERROR(INDEX($A4262:$AB4262,MATCH("Cost Centre",$A$1:$AB$1,0)),"")&amp;"","")</f>
        <v/>
      </c>
      <c r="AJ4262" s="54">
        <f>IF(AND(AF4262=1,AE4262&gt;=set_FYStart,AE4262&lt;=set_AsAt),1,0)</f>
        <v/>
      </c>
      <c r="AK4262" s="54">
        <f>IF(AND(AJ4262=1,AH4262&lt;&gt;"",COUNTIFS($AH$2:AH4262,AH4262,$AJ$2:AJ4262,1)=1),N(AL4261)+1,"")</f>
        <v/>
      </c>
      <c r="AL4262" s="54">
        <f>IF(AK4262&lt;&gt;"",AK4262,N(AL4261))</f>
        <v/>
      </c>
    </row>
    <row r="4263">
      <c r="A4263" t="inlineStr">
        <is>
          <t>PRD-1421</t>
        </is>
      </c>
      <c r="B4263" t="inlineStr">
        <is>
          <t>Production</t>
        </is>
      </c>
      <c r="AB4263" t="n">
        <v>1421</v>
      </c>
      <c r="AD4263" s="52">
        <f>IFERROR(N(IFERROR(INDEX($A4263:$AB4263,MATCH("Xero Invoiced Ex GST",$A$1:$AB$1,0)),"")),0)</f>
        <v/>
      </c>
      <c r="AE4263" s="53">
        <f>IFERROR(INDEX($A4263:$AB4263,MATCH("Xero Invoice Date",$A$1:$AB$1,0)),"")</f>
        <v/>
      </c>
      <c r="AF4263" s="54">
        <f>IF(AND(IFERROR(INDEX($A4263:$AB4263,MATCH("Xero Invoice No",$A$1:$AB$1,0)),"")&amp;""&lt;&gt;"",ISNUMBER(AE4263),AD4263&lt;&gt;0),1,0)</f>
        <v/>
      </c>
      <c r="AG4263" s="55">
        <f>IF(AF4263=1,EOMONTH(AE4263,0),"")</f>
        <v/>
      </c>
      <c r="AH4263" s="9">
        <f>IF(AF4263=1,UPPER(TRIM(IFERROR(INDEX($A4263:$AB4263,MATCH("Client",$A$1:$AB$1,0)),"")&amp;"")),"")</f>
        <v/>
      </c>
      <c r="AI4263" s="9">
        <f>IF(AF4263=1,IFERROR(INDEX($A4263:$AB4263,MATCH("Cost Centre",$A$1:$AB$1,0)),"")&amp;"","")</f>
        <v/>
      </c>
      <c r="AJ4263" s="54">
        <f>IF(AND(AF4263=1,AE4263&gt;=set_FYStart,AE4263&lt;=set_AsAt),1,0)</f>
        <v/>
      </c>
      <c r="AK4263" s="54">
        <f>IF(AND(AJ4263=1,AH4263&lt;&gt;"",COUNTIFS($AH$2:AH4263,AH4263,$AJ$2:AJ4263,1)=1),N(AL4262)+1,"")</f>
        <v/>
      </c>
      <c r="AL4263" s="54">
        <f>IF(AK4263&lt;&gt;"",AK4263,N(AL4262))</f>
        <v/>
      </c>
    </row>
    <row r="4264">
      <c r="A4264" t="inlineStr">
        <is>
          <t>CON-1421</t>
        </is>
      </c>
      <c r="B4264" t="inlineStr">
        <is>
          <t>Consulting</t>
        </is>
      </c>
      <c r="AB4264" t="n">
        <v>1421</v>
      </c>
      <c r="AD4264" s="52">
        <f>IFERROR(N(IFERROR(INDEX($A4264:$AB4264,MATCH("Xero Invoiced Ex GST",$A$1:$AB$1,0)),"")),0)</f>
        <v/>
      </c>
      <c r="AE4264" s="53">
        <f>IFERROR(INDEX($A4264:$AB4264,MATCH("Xero Invoice Date",$A$1:$AB$1,0)),"")</f>
        <v/>
      </c>
      <c r="AF4264" s="54">
        <f>IF(AND(IFERROR(INDEX($A4264:$AB4264,MATCH("Xero Invoice No",$A$1:$AB$1,0)),"")&amp;""&lt;&gt;"",ISNUMBER(AE4264),AD4264&lt;&gt;0),1,0)</f>
        <v/>
      </c>
      <c r="AG4264" s="55">
        <f>IF(AF4264=1,EOMONTH(AE4264,0),"")</f>
        <v/>
      </c>
      <c r="AH4264" s="9">
        <f>IF(AF4264=1,UPPER(TRIM(IFERROR(INDEX($A4264:$AB4264,MATCH("Client",$A$1:$AB$1,0)),"")&amp;"")),"")</f>
        <v/>
      </c>
      <c r="AI4264" s="9">
        <f>IF(AF4264=1,IFERROR(INDEX($A4264:$AB4264,MATCH("Cost Centre",$A$1:$AB$1,0)),"")&amp;"","")</f>
        <v/>
      </c>
      <c r="AJ4264" s="54">
        <f>IF(AND(AF4264=1,AE4264&gt;=set_FYStart,AE4264&lt;=set_AsAt),1,0)</f>
        <v/>
      </c>
      <c r="AK4264" s="54">
        <f>IF(AND(AJ4264=1,AH4264&lt;&gt;"",COUNTIFS($AH$2:AH4264,AH4264,$AJ$2:AJ4264,1)=1),N(AL4263)+1,"")</f>
        <v/>
      </c>
      <c r="AL4264" s="54">
        <f>IF(AK4264&lt;&gt;"",AK4264,N(AL4263))</f>
        <v/>
      </c>
    </row>
    <row r="4265">
      <c r="A4265" t="inlineStr">
        <is>
          <t>ONS-1422</t>
        </is>
      </c>
      <c r="B4265" t="inlineStr">
        <is>
          <t>Onsite</t>
        </is>
      </c>
      <c r="AB4265" t="n">
        <v>1422</v>
      </c>
      <c r="AD4265" s="52">
        <f>IFERROR(N(IFERROR(INDEX($A4265:$AB4265,MATCH("Xero Invoiced Ex GST",$A$1:$AB$1,0)),"")),0)</f>
        <v/>
      </c>
      <c r="AE4265" s="53">
        <f>IFERROR(INDEX($A4265:$AB4265,MATCH("Xero Invoice Date",$A$1:$AB$1,0)),"")</f>
        <v/>
      </c>
      <c r="AF4265" s="54">
        <f>IF(AND(IFERROR(INDEX($A4265:$AB4265,MATCH("Xero Invoice No",$A$1:$AB$1,0)),"")&amp;""&lt;&gt;"",ISNUMBER(AE4265),AD4265&lt;&gt;0),1,0)</f>
        <v/>
      </c>
      <c r="AG4265" s="55">
        <f>IF(AF4265=1,EOMONTH(AE4265,0),"")</f>
        <v/>
      </c>
      <c r="AH4265" s="9">
        <f>IF(AF4265=1,UPPER(TRIM(IFERROR(INDEX($A4265:$AB4265,MATCH("Client",$A$1:$AB$1,0)),"")&amp;"")),"")</f>
        <v/>
      </c>
      <c r="AI4265" s="9">
        <f>IF(AF4265=1,IFERROR(INDEX($A4265:$AB4265,MATCH("Cost Centre",$A$1:$AB$1,0)),"")&amp;"","")</f>
        <v/>
      </c>
      <c r="AJ4265" s="54">
        <f>IF(AND(AF4265=1,AE4265&gt;=set_FYStart,AE4265&lt;=set_AsAt),1,0)</f>
        <v/>
      </c>
      <c r="AK4265" s="54">
        <f>IF(AND(AJ4265=1,AH4265&lt;&gt;"",COUNTIFS($AH$2:AH4265,AH4265,$AJ$2:AJ4265,1)=1),N(AL4264)+1,"")</f>
        <v/>
      </c>
      <c r="AL4265" s="54">
        <f>IF(AK4265&lt;&gt;"",AK4265,N(AL4264))</f>
        <v/>
      </c>
    </row>
    <row r="4266">
      <c r="A4266" t="inlineStr">
        <is>
          <t>PRD-1422</t>
        </is>
      </c>
      <c r="B4266" t="inlineStr">
        <is>
          <t>Production</t>
        </is>
      </c>
      <c r="AB4266" t="n">
        <v>1422</v>
      </c>
      <c r="AD4266" s="52">
        <f>IFERROR(N(IFERROR(INDEX($A4266:$AB4266,MATCH("Xero Invoiced Ex GST",$A$1:$AB$1,0)),"")),0)</f>
        <v/>
      </c>
      <c r="AE4266" s="53">
        <f>IFERROR(INDEX($A4266:$AB4266,MATCH("Xero Invoice Date",$A$1:$AB$1,0)),"")</f>
        <v/>
      </c>
      <c r="AF4266" s="54">
        <f>IF(AND(IFERROR(INDEX($A4266:$AB4266,MATCH("Xero Invoice No",$A$1:$AB$1,0)),"")&amp;""&lt;&gt;"",ISNUMBER(AE4266),AD4266&lt;&gt;0),1,0)</f>
        <v/>
      </c>
      <c r="AG4266" s="55">
        <f>IF(AF4266=1,EOMONTH(AE4266,0),"")</f>
        <v/>
      </c>
      <c r="AH4266" s="9">
        <f>IF(AF4266=1,UPPER(TRIM(IFERROR(INDEX($A4266:$AB4266,MATCH("Client",$A$1:$AB$1,0)),"")&amp;"")),"")</f>
        <v/>
      </c>
      <c r="AI4266" s="9">
        <f>IF(AF4266=1,IFERROR(INDEX($A4266:$AB4266,MATCH("Cost Centre",$A$1:$AB$1,0)),"")&amp;"","")</f>
        <v/>
      </c>
      <c r="AJ4266" s="54">
        <f>IF(AND(AF4266=1,AE4266&gt;=set_FYStart,AE4266&lt;=set_AsAt),1,0)</f>
        <v/>
      </c>
      <c r="AK4266" s="54">
        <f>IF(AND(AJ4266=1,AH4266&lt;&gt;"",COUNTIFS($AH$2:AH4266,AH4266,$AJ$2:AJ4266,1)=1),N(AL4265)+1,"")</f>
        <v/>
      </c>
      <c r="AL4266" s="54">
        <f>IF(AK4266&lt;&gt;"",AK4266,N(AL4265))</f>
        <v/>
      </c>
    </row>
    <row r="4267">
      <c r="A4267" t="inlineStr">
        <is>
          <t>CON-1422</t>
        </is>
      </c>
      <c r="B4267" t="inlineStr">
        <is>
          <t>Consulting</t>
        </is>
      </c>
      <c r="AB4267" t="n">
        <v>1422</v>
      </c>
      <c r="AD4267" s="52">
        <f>IFERROR(N(IFERROR(INDEX($A4267:$AB4267,MATCH("Xero Invoiced Ex GST",$A$1:$AB$1,0)),"")),0)</f>
        <v/>
      </c>
      <c r="AE4267" s="53">
        <f>IFERROR(INDEX($A4267:$AB4267,MATCH("Xero Invoice Date",$A$1:$AB$1,0)),"")</f>
        <v/>
      </c>
      <c r="AF4267" s="54">
        <f>IF(AND(IFERROR(INDEX($A4267:$AB4267,MATCH("Xero Invoice No",$A$1:$AB$1,0)),"")&amp;""&lt;&gt;"",ISNUMBER(AE4267),AD4267&lt;&gt;0),1,0)</f>
        <v/>
      </c>
      <c r="AG4267" s="55">
        <f>IF(AF4267=1,EOMONTH(AE4267,0),"")</f>
        <v/>
      </c>
      <c r="AH4267" s="9">
        <f>IF(AF4267=1,UPPER(TRIM(IFERROR(INDEX($A4267:$AB4267,MATCH("Client",$A$1:$AB$1,0)),"")&amp;"")),"")</f>
        <v/>
      </c>
      <c r="AI4267" s="9">
        <f>IF(AF4267=1,IFERROR(INDEX($A4267:$AB4267,MATCH("Cost Centre",$A$1:$AB$1,0)),"")&amp;"","")</f>
        <v/>
      </c>
      <c r="AJ4267" s="54">
        <f>IF(AND(AF4267=1,AE4267&gt;=set_FYStart,AE4267&lt;=set_AsAt),1,0)</f>
        <v/>
      </c>
      <c r="AK4267" s="54">
        <f>IF(AND(AJ4267=1,AH4267&lt;&gt;"",COUNTIFS($AH$2:AH4267,AH4267,$AJ$2:AJ4267,1)=1),N(AL4266)+1,"")</f>
        <v/>
      </c>
      <c r="AL4267" s="54">
        <f>IF(AK4267&lt;&gt;"",AK4267,N(AL4266))</f>
        <v/>
      </c>
    </row>
    <row r="4268">
      <c r="A4268" t="inlineStr">
        <is>
          <t>ONS-1423</t>
        </is>
      </c>
      <c r="B4268" t="inlineStr">
        <is>
          <t>Onsite</t>
        </is>
      </c>
      <c r="AB4268" t="n">
        <v>1423</v>
      </c>
      <c r="AD4268" s="52">
        <f>IFERROR(N(IFERROR(INDEX($A4268:$AB4268,MATCH("Xero Invoiced Ex GST",$A$1:$AB$1,0)),"")),0)</f>
        <v/>
      </c>
      <c r="AE4268" s="53">
        <f>IFERROR(INDEX($A4268:$AB4268,MATCH("Xero Invoice Date",$A$1:$AB$1,0)),"")</f>
        <v/>
      </c>
      <c r="AF4268" s="54">
        <f>IF(AND(IFERROR(INDEX($A4268:$AB4268,MATCH("Xero Invoice No",$A$1:$AB$1,0)),"")&amp;""&lt;&gt;"",ISNUMBER(AE4268),AD4268&lt;&gt;0),1,0)</f>
        <v/>
      </c>
      <c r="AG4268" s="55">
        <f>IF(AF4268=1,EOMONTH(AE4268,0),"")</f>
        <v/>
      </c>
      <c r="AH4268" s="9">
        <f>IF(AF4268=1,UPPER(TRIM(IFERROR(INDEX($A4268:$AB4268,MATCH("Client",$A$1:$AB$1,0)),"")&amp;"")),"")</f>
        <v/>
      </c>
      <c r="AI4268" s="9">
        <f>IF(AF4268=1,IFERROR(INDEX($A4268:$AB4268,MATCH("Cost Centre",$A$1:$AB$1,0)),"")&amp;"","")</f>
        <v/>
      </c>
      <c r="AJ4268" s="54">
        <f>IF(AND(AF4268=1,AE4268&gt;=set_FYStart,AE4268&lt;=set_AsAt),1,0)</f>
        <v/>
      </c>
      <c r="AK4268" s="54">
        <f>IF(AND(AJ4268=1,AH4268&lt;&gt;"",COUNTIFS($AH$2:AH4268,AH4268,$AJ$2:AJ4268,1)=1),N(AL4267)+1,"")</f>
        <v/>
      </c>
      <c r="AL4268" s="54">
        <f>IF(AK4268&lt;&gt;"",AK4268,N(AL4267))</f>
        <v/>
      </c>
    </row>
    <row r="4269">
      <c r="A4269" t="inlineStr">
        <is>
          <t>PRD-1423</t>
        </is>
      </c>
      <c r="B4269" t="inlineStr">
        <is>
          <t>Production</t>
        </is>
      </c>
      <c r="AB4269" t="n">
        <v>1423</v>
      </c>
      <c r="AD4269" s="52">
        <f>IFERROR(N(IFERROR(INDEX($A4269:$AB4269,MATCH("Xero Invoiced Ex GST",$A$1:$AB$1,0)),"")),0)</f>
        <v/>
      </c>
      <c r="AE4269" s="53">
        <f>IFERROR(INDEX($A4269:$AB4269,MATCH("Xero Invoice Date",$A$1:$AB$1,0)),"")</f>
        <v/>
      </c>
      <c r="AF4269" s="54">
        <f>IF(AND(IFERROR(INDEX($A4269:$AB4269,MATCH("Xero Invoice No",$A$1:$AB$1,0)),"")&amp;""&lt;&gt;"",ISNUMBER(AE4269),AD4269&lt;&gt;0),1,0)</f>
        <v/>
      </c>
      <c r="AG4269" s="55">
        <f>IF(AF4269=1,EOMONTH(AE4269,0),"")</f>
        <v/>
      </c>
      <c r="AH4269" s="9">
        <f>IF(AF4269=1,UPPER(TRIM(IFERROR(INDEX($A4269:$AB4269,MATCH("Client",$A$1:$AB$1,0)),"")&amp;"")),"")</f>
        <v/>
      </c>
      <c r="AI4269" s="9">
        <f>IF(AF4269=1,IFERROR(INDEX($A4269:$AB4269,MATCH("Cost Centre",$A$1:$AB$1,0)),"")&amp;"","")</f>
        <v/>
      </c>
      <c r="AJ4269" s="54">
        <f>IF(AND(AF4269=1,AE4269&gt;=set_FYStart,AE4269&lt;=set_AsAt),1,0)</f>
        <v/>
      </c>
      <c r="AK4269" s="54">
        <f>IF(AND(AJ4269=1,AH4269&lt;&gt;"",COUNTIFS($AH$2:AH4269,AH4269,$AJ$2:AJ4269,1)=1),N(AL4268)+1,"")</f>
        <v/>
      </c>
      <c r="AL4269" s="54">
        <f>IF(AK4269&lt;&gt;"",AK4269,N(AL4268))</f>
        <v/>
      </c>
    </row>
    <row r="4270">
      <c r="A4270" t="inlineStr">
        <is>
          <t>CON-1423</t>
        </is>
      </c>
      <c r="B4270" t="inlineStr">
        <is>
          <t>Consulting</t>
        </is>
      </c>
      <c r="AB4270" t="n">
        <v>1423</v>
      </c>
      <c r="AD4270" s="52">
        <f>IFERROR(N(IFERROR(INDEX($A4270:$AB4270,MATCH("Xero Invoiced Ex GST",$A$1:$AB$1,0)),"")),0)</f>
        <v/>
      </c>
      <c r="AE4270" s="53">
        <f>IFERROR(INDEX($A4270:$AB4270,MATCH("Xero Invoice Date",$A$1:$AB$1,0)),"")</f>
        <v/>
      </c>
      <c r="AF4270" s="54">
        <f>IF(AND(IFERROR(INDEX($A4270:$AB4270,MATCH("Xero Invoice No",$A$1:$AB$1,0)),"")&amp;""&lt;&gt;"",ISNUMBER(AE4270),AD4270&lt;&gt;0),1,0)</f>
        <v/>
      </c>
      <c r="AG4270" s="55">
        <f>IF(AF4270=1,EOMONTH(AE4270,0),"")</f>
        <v/>
      </c>
      <c r="AH4270" s="9">
        <f>IF(AF4270=1,UPPER(TRIM(IFERROR(INDEX($A4270:$AB4270,MATCH("Client",$A$1:$AB$1,0)),"")&amp;"")),"")</f>
        <v/>
      </c>
      <c r="AI4270" s="9">
        <f>IF(AF4270=1,IFERROR(INDEX($A4270:$AB4270,MATCH("Cost Centre",$A$1:$AB$1,0)),"")&amp;"","")</f>
        <v/>
      </c>
      <c r="AJ4270" s="54">
        <f>IF(AND(AF4270=1,AE4270&gt;=set_FYStart,AE4270&lt;=set_AsAt),1,0)</f>
        <v/>
      </c>
      <c r="AK4270" s="54">
        <f>IF(AND(AJ4270=1,AH4270&lt;&gt;"",COUNTIFS($AH$2:AH4270,AH4270,$AJ$2:AJ4270,1)=1),N(AL4269)+1,"")</f>
        <v/>
      </c>
      <c r="AL4270" s="54">
        <f>IF(AK4270&lt;&gt;"",AK4270,N(AL4269))</f>
        <v/>
      </c>
    </row>
    <row r="4271">
      <c r="A4271" t="inlineStr">
        <is>
          <t>ONS-1424</t>
        </is>
      </c>
      <c r="B4271" t="inlineStr">
        <is>
          <t>Onsite</t>
        </is>
      </c>
      <c r="AB4271" t="n">
        <v>1424</v>
      </c>
      <c r="AD4271" s="52">
        <f>IFERROR(N(IFERROR(INDEX($A4271:$AB4271,MATCH("Xero Invoiced Ex GST",$A$1:$AB$1,0)),"")),0)</f>
        <v/>
      </c>
      <c r="AE4271" s="53">
        <f>IFERROR(INDEX($A4271:$AB4271,MATCH("Xero Invoice Date",$A$1:$AB$1,0)),"")</f>
        <v/>
      </c>
      <c r="AF4271" s="54">
        <f>IF(AND(IFERROR(INDEX($A4271:$AB4271,MATCH("Xero Invoice No",$A$1:$AB$1,0)),"")&amp;""&lt;&gt;"",ISNUMBER(AE4271),AD4271&lt;&gt;0),1,0)</f>
        <v/>
      </c>
      <c r="AG4271" s="55">
        <f>IF(AF4271=1,EOMONTH(AE4271,0),"")</f>
        <v/>
      </c>
      <c r="AH4271" s="9">
        <f>IF(AF4271=1,UPPER(TRIM(IFERROR(INDEX($A4271:$AB4271,MATCH("Client",$A$1:$AB$1,0)),"")&amp;"")),"")</f>
        <v/>
      </c>
      <c r="AI4271" s="9">
        <f>IF(AF4271=1,IFERROR(INDEX($A4271:$AB4271,MATCH("Cost Centre",$A$1:$AB$1,0)),"")&amp;"","")</f>
        <v/>
      </c>
      <c r="AJ4271" s="54">
        <f>IF(AND(AF4271=1,AE4271&gt;=set_FYStart,AE4271&lt;=set_AsAt),1,0)</f>
        <v/>
      </c>
      <c r="AK4271" s="54">
        <f>IF(AND(AJ4271=1,AH4271&lt;&gt;"",COUNTIFS($AH$2:AH4271,AH4271,$AJ$2:AJ4271,1)=1),N(AL4270)+1,"")</f>
        <v/>
      </c>
      <c r="AL4271" s="54">
        <f>IF(AK4271&lt;&gt;"",AK4271,N(AL4270))</f>
        <v/>
      </c>
    </row>
    <row r="4272">
      <c r="A4272" t="inlineStr">
        <is>
          <t>PRD-1424</t>
        </is>
      </c>
      <c r="B4272" t="inlineStr">
        <is>
          <t>Production</t>
        </is>
      </c>
      <c r="AB4272" t="n">
        <v>1424</v>
      </c>
      <c r="AD4272" s="52">
        <f>IFERROR(N(IFERROR(INDEX($A4272:$AB4272,MATCH("Xero Invoiced Ex GST",$A$1:$AB$1,0)),"")),0)</f>
        <v/>
      </c>
      <c r="AE4272" s="53">
        <f>IFERROR(INDEX($A4272:$AB4272,MATCH("Xero Invoice Date",$A$1:$AB$1,0)),"")</f>
        <v/>
      </c>
      <c r="AF4272" s="54">
        <f>IF(AND(IFERROR(INDEX($A4272:$AB4272,MATCH("Xero Invoice No",$A$1:$AB$1,0)),"")&amp;""&lt;&gt;"",ISNUMBER(AE4272),AD4272&lt;&gt;0),1,0)</f>
        <v/>
      </c>
      <c r="AG4272" s="55">
        <f>IF(AF4272=1,EOMONTH(AE4272,0),"")</f>
        <v/>
      </c>
      <c r="AH4272" s="9">
        <f>IF(AF4272=1,UPPER(TRIM(IFERROR(INDEX($A4272:$AB4272,MATCH("Client",$A$1:$AB$1,0)),"")&amp;"")),"")</f>
        <v/>
      </c>
      <c r="AI4272" s="9">
        <f>IF(AF4272=1,IFERROR(INDEX($A4272:$AB4272,MATCH("Cost Centre",$A$1:$AB$1,0)),"")&amp;"","")</f>
        <v/>
      </c>
      <c r="AJ4272" s="54">
        <f>IF(AND(AF4272=1,AE4272&gt;=set_FYStart,AE4272&lt;=set_AsAt),1,0)</f>
        <v/>
      </c>
      <c r="AK4272" s="54">
        <f>IF(AND(AJ4272=1,AH4272&lt;&gt;"",COUNTIFS($AH$2:AH4272,AH4272,$AJ$2:AJ4272,1)=1),N(AL4271)+1,"")</f>
        <v/>
      </c>
      <c r="AL4272" s="54">
        <f>IF(AK4272&lt;&gt;"",AK4272,N(AL4271))</f>
        <v/>
      </c>
    </row>
    <row r="4273">
      <c r="A4273" t="inlineStr">
        <is>
          <t>CON-1424</t>
        </is>
      </c>
      <c r="B4273" t="inlineStr">
        <is>
          <t>Consulting</t>
        </is>
      </c>
      <c r="AB4273" t="n">
        <v>1424</v>
      </c>
      <c r="AD4273" s="52">
        <f>IFERROR(N(IFERROR(INDEX($A4273:$AB4273,MATCH("Xero Invoiced Ex GST",$A$1:$AB$1,0)),"")),0)</f>
        <v/>
      </c>
      <c r="AE4273" s="53">
        <f>IFERROR(INDEX($A4273:$AB4273,MATCH("Xero Invoice Date",$A$1:$AB$1,0)),"")</f>
        <v/>
      </c>
      <c r="AF4273" s="54">
        <f>IF(AND(IFERROR(INDEX($A4273:$AB4273,MATCH("Xero Invoice No",$A$1:$AB$1,0)),"")&amp;""&lt;&gt;"",ISNUMBER(AE4273),AD4273&lt;&gt;0),1,0)</f>
        <v/>
      </c>
      <c r="AG4273" s="55">
        <f>IF(AF4273=1,EOMONTH(AE4273,0),"")</f>
        <v/>
      </c>
      <c r="AH4273" s="9">
        <f>IF(AF4273=1,UPPER(TRIM(IFERROR(INDEX($A4273:$AB4273,MATCH("Client",$A$1:$AB$1,0)),"")&amp;"")),"")</f>
        <v/>
      </c>
      <c r="AI4273" s="9">
        <f>IF(AF4273=1,IFERROR(INDEX($A4273:$AB4273,MATCH("Cost Centre",$A$1:$AB$1,0)),"")&amp;"","")</f>
        <v/>
      </c>
      <c r="AJ4273" s="54">
        <f>IF(AND(AF4273=1,AE4273&gt;=set_FYStart,AE4273&lt;=set_AsAt),1,0)</f>
        <v/>
      </c>
      <c r="AK4273" s="54">
        <f>IF(AND(AJ4273=1,AH4273&lt;&gt;"",COUNTIFS($AH$2:AH4273,AH4273,$AJ$2:AJ4273,1)=1),N(AL4272)+1,"")</f>
        <v/>
      </c>
      <c r="AL4273" s="54">
        <f>IF(AK4273&lt;&gt;"",AK4273,N(AL4272))</f>
        <v/>
      </c>
    </row>
    <row r="4274">
      <c r="A4274" t="inlineStr">
        <is>
          <t>ONS-1425</t>
        </is>
      </c>
      <c r="B4274" t="inlineStr">
        <is>
          <t>Onsite</t>
        </is>
      </c>
      <c r="AB4274" t="n">
        <v>1425</v>
      </c>
      <c r="AD4274" s="52">
        <f>IFERROR(N(IFERROR(INDEX($A4274:$AB4274,MATCH("Xero Invoiced Ex GST",$A$1:$AB$1,0)),"")),0)</f>
        <v/>
      </c>
      <c r="AE4274" s="53">
        <f>IFERROR(INDEX($A4274:$AB4274,MATCH("Xero Invoice Date",$A$1:$AB$1,0)),"")</f>
        <v/>
      </c>
      <c r="AF4274" s="54">
        <f>IF(AND(IFERROR(INDEX($A4274:$AB4274,MATCH("Xero Invoice No",$A$1:$AB$1,0)),"")&amp;""&lt;&gt;"",ISNUMBER(AE4274),AD4274&lt;&gt;0),1,0)</f>
        <v/>
      </c>
      <c r="AG4274" s="55">
        <f>IF(AF4274=1,EOMONTH(AE4274,0),"")</f>
        <v/>
      </c>
      <c r="AH4274" s="9">
        <f>IF(AF4274=1,UPPER(TRIM(IFERROR(INDEX($A4274:$AB4274,MATCH("Client",$A$1:$AB$1,0)),"")&amp;"")),"")</f>
        <v/>
      </c>
      <c r="AI4274" s="9">
        <f>IF(AF4274=1,IFERROR(INDEX($A4274:$AB4274,MATCH("Cost Centre",$A$1:$AB$1,0)),"")&amp;"","")</f>
        <v/>
      </c>
      <c r="AJ4274" s="54">
        <f>IF(AND(AF4274=1,AE4274&gt;=set_FYStart,AE4274&lt;=set_AsAt),1,0)</f>
        <v/>
      </c>
      <c r="AK4274" s="54">
        <f>IF(AND(AJ4274=1,AH4274&lt;&gt;"",COUNTIFS($AH$2:AH4274,AH4274,$AJ$2:AJ4274,1)=1),N(AL4273)+1,"")</f>
        <v/>
      </c>
      <c r="AL4274" s="54">
        <f>IF(AK4274&lt;&gt;"",AK4274,N(AL4273))</f>
        <v/>
      </c>
    </row>
    <row r="4275">
      <c r="A4275" t="inlineStr">
        <is>
          <t>PRD-1425</t>
        </is>
      </c>
      <c r="B4275" t="inlineStr">
        <is>
          <t>Production</t>
        </is>
      </c>
      <c r="AB4275" t="n">
        <v>1425</v>
      </c>
      <c r="AD4275" s="52">
        <f>IFERROR(N(IFERROR(INDEX($A4275:$AB4275,MATCH("Xero Invoiced Ex GST",$A$1:$AB$1,0)),"")),0)</f>
        <v/>
      </c>
      <c r="AE4275" s="53">
        <f>IFERROR(INDEX($A4275:$AB4275,MATCH("Xero Invoice Date",$A$1:$AB$1,0)),"")</f>
        <v/>
      </c>
      <c r="AF4275" s="54">
        <f>IF(AND(IFERROR(INDEX($A4275:$AB4275,MATCH("Xero Invoice No",$A$1:$AB$1,0)),"")&amp;""&lt;&gt;"",ISNUMBER(AE4275),AD4275&lt;&gt;0),1,0)</f>
        <v/>
      </c>
      <c r="AG4275" s="55">
        <f>IF(AF4275=1,EOMONTH(AE4275,0),"")</f>
        <v/>
      </c>
      <c r="AH4275" s="9">
        <f>IF(AF4275=1,UPPER(TRIM(IFERROR(INDEX($A4275:$AB4275,MATCH("Client",$A$1:$AB$1,0)),"")&amp;"")),"")</f>
        <v/>
      </c>
      <c r="AI4275" s="9">
        <f>IF(AF4275=1,IFERROR(INDEX($A4275:$AB4275,MATCH("Cost Centre",$A$1:$AB$1,0)),"")&amp;"","")</f>
        <v/>
      </c>
      <c r="AJ4275" s="54">
        <f>IF(AND(AF4275=1,AE4275&gt;=set_FYStart,AE4275&lt;=set_AsAt),1,0)</f>
        <v/>
      </c>
      <c r="AK4275" s="54">
        <f>IF(AND(AJ4275=1,AH4275&lt;&gt;"",COUNTIFS($AH$2:AH4275,AH4275,$AJ$2:AJ4275,1)=1),N(AL4274)+1,"")</f>
        <v/>
      </c>
      <c r="AL4275" s="54">
        <f>IF(AK4275&lt;&gt;"",AK4275,N(AL4274))</f>
        <v/>
      </c>
    </row>
    <row r="4276">
      <c r="A4276" t="inlineStr">
        <is>
          <t>CON-1425</t>
        </is>
      </c>
      <c r="B4276" t="inlineStr">
        <is>
          <t>Consulting</t>
        </is>
      </c>
      <c r="AB4276" t="n">
        <v>1425</v>
      </c>
      <c r="AD4276" s="52">
        <f>IFERROR(N(IFERROR(INDEX($A4276:$AB4276,MATCH("Xero Invoiced Ex GST",$A$1:$AB$1,0)),"")),0)</f>
        <v/>
      </c>
      <c r="AE4276" s="53">
        <f>IFERROR(INDEX($A4276:$AB4276,MATCH("Xero Invoice Date",$A$1:$AB$1,0)),"")</f>
        <v/>
      </c>
      <c r="AF4276" s="54">
        <f>IF(AND(IFERROR(INDEX($A4276:$AB4276,MATCH("Xero Invoice No",$A$1:$AB$1,0)),"")&amp;""&lt;&gt;"",ISNUMBER(AE4276),AD4276&lt;&gt;0),1,0)</f>
        <v/>
      </c>
      <c r="AG4276" s="55">
        <f>IF(AF4276=1,EOMONTH(AE4276,0),"")</f>
        <v/>
      </c>
      <c r="AH4276" s="9">
        <f>IF(AF4276=1,UPPER(TRIM(IFERROR(INDEX($A4276:$AB4276,MATCH("Client",$A$1:$AB$1,0)),"")&amp;"")),"")</f>
        <v/>
      </c>
      <c r="AI4276" s="9">
        <f>IF(AF4276=1,IFERROR(INDEX($A4276:$AB4276,MATCH("Cost Centre",$A$1:$AB$1,0)),"")&amp;"","")</f>
        <v/>
      </c>
      <c r="AJ4276" s="54">
        <f>IF(AND(AF4276=1,AE4276&gt;=set_FYStart,AE4276&lt;=set_AsAt),1,0)</f>
        <v/>
      </c>
      <c r="AK4276" s="54">
        <f>IF(AND(AJ4276=1,AH4276&lt;&gt;"",COUNTIFS($AH$2:AH4276,AH4276,$AJ$2:AJ4276,1)=1),N(AL4275)+1,"")</f>
        <v/>
      </c>
      <c r="AL4276" s="54">
        <f>IF(AK4276&lt;&gt;"",AK4276,N(AL4275))</f>
        <v/>
      </c>
    </row>
    <row r="4277">
      <c r="A4277" t="inlineStr">
        <is>
          <t>ONS-1426</t>
        </is>
      </c>
      <c r="B4277" t="inlineStr">
        <is>
          <t>Onsite</t>
        </is>
      </c>
      <c r="AB4277" t="n">
        <v>1426</v>
      </c>
      <c r="AD4277" s="52">
        <f>IFERROR(N(IFERROR(INDEX($A4277:$AB4277,MATCH("Xero Invoiced Ex GST",$A$1:$AB$1,0)),"")),0)</f>
        <v/>
      </c>
      <c r="AE4277" s="53">
        <f>IFERROR(INDEX($A4277:$AB4277,MATCH("Xero Invoice Date",$A$1:$AB$1,0)),"")</f>
        <v/>
      </c>
      <c r="AF4277" s="54">
        <f>IF(AND(IFERROR(INDEX($A4277:$AB4277,MATCH("Xero Invoice No",$A$1:$AB$1,0)),"")&amp;""&lt;&gt;"",ISNUMBER(AE4277),AD4277&lt;&gt;0),1,0)</f>
        <v/>
      </c>
      <c r="AG4277" s="55">
        <f>IF(AF4277=1,EOMONTH(AE4277,0),"")</f>
        <v/>
      </c>
      <c r="AH4277" s="9">
        <f>IF(AF4277=1,UPPER(TRIM(IFERROR(INDEX($A4277:$AB4277,MATCH("Client",$A$1:$AB$1,0)),"")&amp;"")),"")</f>
        <v/>
      </c>
      <c r="AI4277" s="9">
        <f>IF(AF4277=1,IFERROR(INDEX($A4277:$AB4277,MATCH("Cost Centre",$A$1:$AB$1,0)),"")&amp;"","")</f>
        <v/>
      </c>
      <c r="AJ4277" s="54">
        <f>IF(AND(AF4277=1,AE4277&gt;=set_FYStart,AE4277&lt;=set_AsAt),1,0)</f>
        <v/>
      </c>
      <c r="AK4277" s="54">
        <f>IF(AND(AJ4277=1,AH4277&lt;&gt;"",COUNTIFS($AH$2:AH4277,AH4277,$AJ$2:AJ4277,1)=1),N(AL4276)+1,"")</f>
        <v/>
      </c>
      <c r="AL4277" s="54">
        <f>IF(AK4277&lt;&gt;"",AK4277,N(AL4276))</f>
        <v/>
      </c>
    </row>
    <row r="4278">
      <c r="A4278" t="inlineStr">
        <is>
          <t>PRD-1426</t>
        </is>
      </c>
      <c r="B4278" t="inlineStr">
        <is>
          <t>Production</t>
        </is>
      </c>
      <c r="AB4278" t="n">
        <v>1426</v>
      </c>
      <c r="AD4278" s="52">
        <f>IFERROR(N(IFERROR(INDEX($A4278:$AB4278,MATCH("Xero Invoiced Ex GST",$A$1:$AB$1,0)),"")),0)</f>
        <v/>
      </c>
      <c r="AE4278" s="53">
        <f>IFERROR(INDEX($A4278:$AB4278,MATCH("Xero Invoice Date",$A$1:$AB$1,0)),"")</f>
        <v/>
      </c>
      <c r="AF4278" s="54">
        <f>IF(AND(IFERROR(INDEX($A4278:$AB4278,MATCH("Xero Invoice No",$A$1:$AB$1,0)),"")&amp;""&lt;&gt;"",ISNUMBER(AE4278),AD4278&lt;&gt;0),1,0)</f>
        <v/>
      </c>
      <c r="AG4278" s="55">
        <f>IF(AF4278=1,EOMONTH(AE4278,0),"")</f>
        <v/>
      </c>
      <c r="AH4278" s="9">
        <f>IF(AF4278=1,UPPER(TRIM(IFERROR(INDEX($A4278:$AB4278,MATCH("Client",$A$1:$AB$1,0)),"")&amp;"")),"")</f>
        <v/>
      </c>
      <c r="AI4278" s="9">
        <f>IF(AF4278=1,IFERROR(INDEX($A4278:$AB4278,MATCH("Cost Centre",$A$1:$AB$1,0)),"")&amp;"","")</f>
        <v/>
      </c>
      <c r="AJ4278" s="54">
        <f>IF(AND(AF4278=1,AE4278&gt;=set_FYStart,AE4278&lt;=set_AsAt),1,0)</f>
        <v/>
      </c>
      <c r="AK4278" s="54">
        <f>IF(AND(AJ4278=1,AH4278&lt;&gt;"",COUNTIFS($AH$2:AH4278,AH4278,$AJ$2:AJ4278,1)=1),N(AL4277)+1,"")</f>
        <v/>
      </c>
      <c r="AL4278" s="54">
        <f>IF(AK4278&lt;&gt;"",AK4278,N(AL4277))</f>
        <v/>
      </c>
    </row>
    <row r="4279">
      <c r="A4279" t="inlineStr">
        <is>
          <t>CON-1426</t>
        </is>
      </c>
      <c r="B4279" t="inlineStr">
        <is>
          <t>Consulting</t>
        </is>
      </c>
      <c r="AB4279" t="n">
        <v>1426</v>
      </c>
      <c r="AD4279" s="52">
        <f>IFERROR(N(IFERROR(INDEX($A4279:$AB4279,MATCH("Xero Invoiced Ex GST",$A$1:$AB$1,0)),"")),0)</f>
        <v/>
      </c>
      <c r="AE4279" s="53">
        <f>IFERROR(INDEX($A4279:$AB4279,MATCH("Xero Invoice Date",$A$1:$AB$1,0)),"")</f>
        <v/>
      </c>
      <c r="AF4279" s="54">
        <f>IF(AND(IFERROR(INDEX($A4279:$AB4279,MATCH("Xero Invoice No",$A$1:$AB$1,0)),"")&amp;""&lt;&gt;"",ISNUMBER(AE4279),AD4279&lt;&gt;0),1,0)</f>
        <v/>
      </c>
      <c r="AG4279" s="55">
        <f>IF(AF4279=1,EOMONTH(AE4279,0),"")</f>
        <v/>
      </c>
      <c r="AH4279" s="9">
        <f>IF(AF4279=1,UPPER(TRIM(IFERROR(INDEX($A4279:$AB4279,MATCH("Client",$A$1:$AB$1,0)),"")&amp;"")),"")</f>
        <v/>
      </c>
      <c r="AI4279" s="9">
        <f>IF(AF4279=1,IFERROR(INDEX($A4279:$AB4279,MATCH("Cost Centre",$A$1:$AB$1,0)),"")&amp;"","")</f>
        <v/>
      </c>
      <c r="AJ4279" s="54">
        <f>IF(AND(AF4279=1,AE4279&gt;=set_FYStart,AE4279&lt;=set_AsAt),1,0)</f>
        <v/>
      </c>
      <c r="AK4279" s="54">
        <f>IF(AND(AJ4279=1,AH4279&lt;&gt;"",COUNTIFS($AH$2:AH4279,AH4279,$AJ$2:AJ4279,1)=1),N(AL4278)+1,"")</f>
        <v/>
      </c>
      <c r="AL4279" s="54">
        <f>IF(AK4279&lt;&gt;"",AK4279,N(AL4278))</f>
        <v/>
      </c>
    </row>
    <row r="4280">
      <c r="A4280" t="inlineStr">
        <is>
          <t>ONS-1427</t>
        </is>
      </c>
      <c r="B4280" t="inlineStr">
        <is>
          <t>Onsite</t>
        </is>
      </c>
      <c r="AB4280" t="n">
        <v>1427</v>
      </c>
      <c r="AD4280" s="52">
        <f>IFERROR(N(IFERROR(INDEX($A4280:$AB4280,MATCH("Xero Invoiced Ex GST",$A$1:$AB$1,0)),"")),0)</f>
        <v/>
      </c>
      <c r="AE4280" s="53">
        <f>IFERROR(INDEX($A4280:$AB4280,MATCH("Xero Invoice Date",$A$1:$AB$1,0)),"")</f>
        <v/>
      </c>
      <c r="AF4280" s="54">
        <f>IF(AND(IFERROR(INDEX($A4280:$AB4280,MATCH("Xero Invoice No",$A$1:$AB$1,0)),"")&amp;""&lt;&gt;"",ISNUMBER(AE4280),AD4280&lt;&gt;0),1,0)</f>
        <v/>
      </c>
      <c r="AG4280" s="55">
        <f>IF(AF4280=1,EOMONTH(AE4280,0),"")</f>
        <v/>
      </c>
      <c r="AH4280" s="9">
        <f>IF(AF4280=1,UPPER(TRIM(IFERROR(INDEX($A4280:$AB4280,MATCH("Client",$A$1:$AB$1,0)),"")&amp;"")),"")</f>
        <v/>
      </c>
      <c r="AI4280" s="9">
        <f>IF(AF4280=1,IFERROR(INDEX($A4280:$AB4280,MATCH("Cost Centre",$A$1:$AB$1,0)),"")&amp;"","")</f>
        <v/>
      </c>
      <c r="AJ4280" s="54">
        <f>IF(AND(AF4280=1,AE4280&gt;=set_FYStart,AE4280&lt;=set_AsAt),1,0)</f>
        <v/>
      </c>
      <c r="AK4280" s="54">
        <f>IF(AND(AJ4280=1,AH4280&lt;&gt;"",COUNTIFS($AH$2:AH4280,AH4280,$AJ$2:AJ4280,1)=1),N(AL4279)+1,"")</f>
        <v/>
      </c>
      <c r="AL4280" s="54">
        <f>IF(AK4280&lt;&gt;"",AK4280,N(AL4279))</f>
        <v/>
      </c>
    </row>
    <row r="4281">
      <c r="A4281" t="inlineStr">
        <is>
          <t>PRD-1427</t>
        </is>
      </c>
      <c r="B4281" t="inlineStr">
        <is>
          <t>Production</t>
        </is>
      </c>
      <c r="AB4281" t="n">
        <v>1427</v>
      </c>
      <c r="AD4281" s="52">
        <f>IFERROR(N(IFERROR(INDEX($A4281:$AB4281,MATCH("Xero Invoiced Ex GST",$A$1:$AB$1,0)),"")),0)</f>
        <v/>
      </c>
      <c r="AE4281" s="53">
        <f>IFERROR(INDEX($A4281:$AB4281,MATCH("Xero Invoice Date",$A$1:$AB$1,0)),"")</f>
        <v/>
      </c>
      <c r="AF4281" s="54">
        <f>IF(AND(IFERROR(INDEX($A4281:$AB4281,MATCH("Xero Invoice No",$A$1:$AB$1,0)),"")&amp;""&lt;&gt;"",ISNUMBER(AE4281),AD4281&lt;&gt;0),1,0)</f>
        <v/>
      </c>
      <c r="AG4281" s="55">
        <f>IF(AF4281=1,EOMONTH(AE4281,0),"")</f>
        <v/>
      </c>
      <c r="AH4281" s="9">
        <f>IF(AF4281=1,UPPER(TRIM(IFERROR(INDEX($A4281:$AB4281,MATCH("Client",$A$1:$AB$1,0)),"")&amp;"")),"")</f>
        <v/>
      </c>
      <c r="AI4281" s="9">
        <f>IF(AF4281=1,IFERROR(INDEX($A4281:$AB4281,MATCH("Cost Centre",$A$1:$AB$1,0)),"")&amp;"","")</f>
        <v/>
      </c>
      <c r="AJ4281" s="54">
        <f>IF(AND(AF4281=1,AE4281&gt;=set_FYStart,AE4281&lt;=set_AsAt),1,0)</f>
        <v/>
      </c>
      <c r="AK4281" s="54">
        <f>IF(AND(AJ4281=1,AH4281&lt;&gt;"",COUNTIFS($AH$2:AH4281,AH4281,$AJ$2:AJ4281,1)=1),N(AL4280)+1,"")</f>
        <v/>
      </c>
      <c r="AL4281" s="54">
        <f>IF(AK4281&lt;&gt;"",AK4281,N(AL4280))</f>
        <v/>
      </c>
    </row>
    <row r="4282">
      <c r="A4282" t="inlineStr">
        <is>
          <t>CON-1427</t>
        </is>
      </c>
      <c r="B4282" t="inlineStr">
        <is>
          <t>Consulting</t>
        </is>
      </c>
      <c r="AB4282" t="n">
        <v>1427</v>
      </c>
      <c r="AD4282" s="52">
        <f>IFERROR(N(IFERROR(INDEX($A4282:$AB4282,MATCH("Xero Invoiced Ex GST",$A$1:$AB$1,0)),"")),0)</f>
        <v/>
      </c>
      <c r="AE4282" s="53">
        <f>IFERROR(INDEX($A4282:$AB4282,MATCH("Xero Invoice Date",$A$1:$AB$1,0)),"")</f>
        <v/>
      </c>
      <c r="AF4282" s="54">
        <f>IF(AND(IFERROR(INDEX($A4282:$AB4282,MATCH("Xero Invoice No",$A$1:$AB$1,0)),"")&amp;""&lt;&gt;"",ISNUMBER(AE4282),AD4282&lt;&gt;0),1,0)</f>
        <v/>
      </c>
      <c r="AG4282" s="55">
        <f>IF(AF4282=1,EOMONTH(AE4282,0),"")</f>
        <v/>
      </c>
      <c r="AH4282" s="9">
        <f>IF(AF4282=1,UPPER(TRIM(IFERROR(INDEX($A4282:$AB4282,MATCH("Client",$A$1:$AB$1,0)),"")&amp;"")),"")</f>
        <v/>
      </c>
      <c r="AI4282" s="9">
        <f>IF(AF4282=1,IFERROR(INDEX($A4282:$AB4282,MATCH("Cost Centre",$A$1:$AB$1,0)),"")&amp;"","")</f>
        <v/>
      </c>
      <c r="AJ4282" s="54">
        <f>IF(AND(AF4282=1,AE4282&gt;=set_FYStart,AE4282&lt;=set_AsAt),1,0)</f>
        <v/>
      </c>
      <c r="AK4282" s="54">
        <f>IF(AND(AJ4282=1,AH4282&lt;&gt;"",COUNTIFS($AH$2:AH4282,AH4282,$AJ$2:AJ4282,1)=1),N(AL4281)+1,"")</f>
        <v/>
      </c>
      <c r="AL4282" s="54">
        <f>IF(AK4282&lt;&gt;"",AK4282,N(AL4281))</f>
        <v/>
      </c>
    </row>
    <row r="4283">
      <c r="A4283" t="inlineStr">
        <is>
          <t>ONS-1428</t>
        </is>
      </c>
      <c r="B4283" t="inlineStr">
        <is>
          <t>Onsite</t>
        </is>
      </c>
      <c r="AB4283" t="n">
        <v>1428</v>
      </c>
      <c r="AD4283" s="52">
        <f>IFERROR(N(IFERROR(INDEX($A4283:$AB4283,MATCH("Xero Invoiced Ex GST",$A$1:$AB$1,0)),"")),0)</f>
        <v/>
      </c>
      <c r="AE4283" s="53">
        <f>IFERROR(INDEX($A4283:$AB4283,MATCH("Xero Invoice Date",$A$1:$AB$1,0)),"")</f>
        <v/>
      </c>
      <c r="AF4283" s="54">
        <f>IF(AND(IFERROR(INDEX($A4283:$AB4283,MATCH("Xero Invoice No",$A$1:$AB$1,0)),"")&amp;""&lt;&gt;"",ISNUMBER(AE4283),AD4283&lt;&gt;0),1,0)</f>
        <v/>
      </c>
      <c r="AG4283" s="55">
        <f>IF(AF4283=1,EOMONTH(AE4283,0),"")</f>
        <v/>
      </c>
      <c r="AH4283" s="9">
        <f>IF(AF4283=1,UPPER(TRIM(IFERROR(INDEX($A4283:$AB4283,MATCH("Client",$A$1:$AB$1,0)),"")&amp;"")),"")</f>
        <v/>
      </c>
      <c r="AI4283" s="9">
        <f>IF(AF4283=1,IFERROR(INDEX($A4283:$AB4283,MATCH("Cost Centre",$A$1:$AB$1,0)),"")&amp;"","")</f>
        <v/>
      </c>
      <c r="AJ4283" s="54">
        <f>IF(AND(AF4283=1,AE4283&gt;=set_FYStart,AE4283&lt;=set_AsAt),1,0)</f>
        <v/>
      </c>
      <c r="AK4283" s="54">
        <f>IF(AND(AJ4283=1,AH4283&lt;&gt;"",COUNTIFS($AH$2:AH4283,AH4283,$AJ$2:AJ4283,1)=1),N(AL4282)+1,"")</f>
        <v/>
      </c>
      <c r="AL4283" s="54">
        <f>IF(AK4283&lt;&gt;"",AK4283,N(AL4282))</f>
        <v/>
      </c>
    </row>
    <row r="4284">
      <c r="A4284" t="inlineStr">
        <is>
          <t>PRD-1428</t>
        </is>
      </c>
      <c r="B4284" t="inlineStr">
        <is>
          <t>Production</t>
        </is>
      </c>
      <c r="AB4284" t="n">
        <v>1428</v>
      </c>
      <c r="AD4284" s="52">
        <f>IFERROR(N(IFERROR(INDEX($A4284:$AB4284,MATCH("Xero Invoiced Ex GST",$A$1:$AB$1,0)),"")),0)</f>
        <v/>
      </c>
      <c r="AE4284" s="53">
        <f>IFERROR(INDEX($A4284:$AB4284,MATCH("Xero Invoice Date",$A$1:$AB$1,0)),"")</f>
        <v/>
      </c>
      <c r="AF4284" s="54">
        <f>IF(AND(IFERROR(INDEX($A4284:$AB4284,MATCH("Xero Invoice No",$A$1:$AB$1,0)),"")&amp;""&lt;&gt;"",ISNUMBER(AE4284),AD4284&lt;&gt;0),1,0)</f>
        <v/>
      </c>
      <c r="AG4284" s="55">
        <f>IF(AF4284=1,EOMONTH(AE4284,0),"")</f>
        <v/>
      </c>
      <c r="AH4284" s="9">
        <f>IF(AF4284=1,UPPER(TRIM(IFERROR(INDEX($A4284:$AB4284,MATCH("Client",$A$1:$AB$1,0)),"")&amp;"")),"")</f>
        <v/>
      </c>
      <c r="AI4284" s="9">
        <f>IF(AF4284=1,IFERROR(INDEX($A4284:$AB4284,MATCH("Cost Centre",$A$1:$AB$1,0)),"")&amp;"","")</f>
        <v/>
      </c>
      <c r="AJ4284" s="54">
        <f>IF(AND(AF4284=1,AE4284&gt;=set_FYStart,AE4284&lt;=set_AsAt),1,0)</f>
        <v/>
      </c>
      <c r="AK4284" s="54">
        <f>IF(AND(AJ4284=1,AH4284&lt;&gt;"",COUNTIFS($AH$2:AH4284,AH4284,$AJ$2:AJ4284,1)=1),N(AL4283)+1,"")</f>
        <v/>
      </c>
      <c r="AL4284" s="54">
        <f>IF(AK4284&lt;&gt;"",AK4284,N(AL4283))</f>
        <v/>
      </c>
    </row>
    <row r="4285">
      <c r="A4285" t="inlineStr">
        <is>
          <t>CON-1428</t>
        </is>
      </c>
      <c r="B4285" t="inlineStr">
        <is>
          <t>Consulting</t>
        </is>
      </c>
      <c r="AB4285" t="n">
        <v>1428</v>
      </c>
      <c r="AD4285" s="52">
        <f>IFERROR(N(IFERROR(INDEX($A4285:$AB4285,MATCH("Xero Invoiced Ex GST",$A$1:$AB$1,0)),"")),0)</f>
        <v/>
      </c>
      <c r="AE4285" s="53">
        <f>IFERROR(INDEX($A4285:$AB4285,MATCH("Xero Invoice Date",$A$1:$AB$1,0)),"")</f>
        <v/>
      </c>
      <c r="AF4285" s="54">
        <f>IF(AND(IFERROR(INDEX($A4285:$AB4285,MATCH("Xero Invoice No",$A$1:$AB$1,0)),"")&amp;""&lt;&gt;"",ISNUMBER(AE4285),AD4285&lt;&gt;0),1,0)</f>
        <v/>
      </c>
      <c r="AG4285" s="55">
        <f>IF(AF4285=1,EOMONTH(AE4285,0),"")</f>
        <v/>
      </c>
      <c r="AH4285" s="9">
        <f>IF(AF4285=1,UPPER(TRIM(IFERROR(INDEX($A4285:$AB4285,MATCH("Client",$A$1:$AB$1,0)),"")&amp;"")),"")</f>
        <v/>
      </c>
      <c r="AI4285" s="9">
        <f>IF(AF4285=1,IFERROR(INDEX($A4285:$AB4285,MATCH("Cost Centre",$A$1:$AB$1,0)),"")&amp;"","")</f>
        <v/>
      </c>
      <c r="AJ4285" s="54">
        <f>IF(AND(AF4285=1,AE4285&gt;=set_FYStart,AE4285&lt;=set_AsAt),1,0)</f>
        <v/>
      </c>
      <c r="AK4285" s="54">
        <f>IF(AND(AJ4285=1,AH4285&lt;&gt;"",COUNTIFS($AH$2:AH4285,AH4285,$AJ$2:AJ4285,1)=1),N(AL4284)+1,"")</f>
        <v/>
      </c>
      <c r="AL4285" s="54">
        <f>IF(AK4285&lt;&gt;"",AK4285,N(AL4284))</f>
        <v/>
      </c>
    </row>
    <row r="4286">
      <c r="A4286" t="inlineStr">
        <is>
          <t>ONS-1429</t>
        </is>
      </c>
      <c r="B4286" t="inlineStr">
        <is>
          <t>Onsite</t>
        </is>
      </c>
      <c r="AB4286" t="n">
        <v>1429</v>
      </c>
      <c r="AD4286" s="52">
        <f>IFERROR(N(IFERROR(INDEX($A4286:$AB4286,MATCH("Xero Invoiced Ex GST",$A$1:$AB$1,0)),"")),0)</f>
        <v/>
      </c>
      <c r="AE4286" s="53">
        <f>IFERROR(INDEX($A4286:$AB4286,MATCH("Xero Invoice Date",$A$1:$AB$1,0)),"")</f>
        <v/>
      </c>
      <c r="AF4286" s="54">
        <f>IF(AND(IFERROR(INDEX($A4286:$AB4286,MATCH("Xero Invoice No",$A$1:$AB$1,0)),"")&amp;""&lt;&gt;"",ISNUMBER(AE4286),AD4286&lt;&gt;0),1,0)</f>
        <v/>
      </c>
      <c r="AG4286" s="55">
        <f>IF(AF4286=1,EOMONTH(AE4286,0),"")</f>
        <v/>
      </c>
      <c r="AH4286" s="9">
        <f>IF(AF4286=1,UPPER(TRIM(IFERROR(INDEX($A4286:$AB4286,MATCH("Client",$A$1:$AB$1,0)),"")&amp;"")),"")</f>
        <v/>
      </c>
      <c r="AI4286" s="9">
        <f>IF(AF4286=1,IFERROR(INDEX($A4286:$AB4286,MATCH("Cost Centre",$A$1:$AB$1,0)),"")&amp;"","")</f>
        <v/>
      </c>
      <c r="AJ4286" s="54">
        <f>IF(AND(AF4286=1,AE4286&gt;=set_FYStart,AE4286&lt;=set_AsAt),1,0)</f>
        <v/>
      </c>
      <c r="AK4286" s="54">
        <f>IF(AND(AJ4286=1,AH4286&lt;&gt;"",COUNTIFS($AH$2:AH4286,AH4286,$AJ$2:AJ4286,1)=1),N(AL4285)+1,"")</f>
        <v/>
      </c>
      <c r="AL4286" s="54">
        <f>IF(AK4286&lt;&gt;"",AK4286,N(AL4285))</f>
        <v/>
      </c>
    </row>
    <row r="4287">
      <c r="A4287" t="inlineStr">
        <is>
          <t>PRD-1429</t>
        </is>
      </c>
      <c r="B4287" t="inlineStr">
        <is>
          <t>Production</t>
        </is>
      </c>
      <c r="AB4287" t="n">
        <v>1429</v>
      </c>
      <c r="AD4287" s="52">
        <f>IFERROR(N(IFERROR(INDEX($A4287:$AB4287,MATCH("Xero Invoiced Ex GST",$A$1:$AB$1,0)),"")),0)</f>
        <v/>
      </c>
      <c r="AE4287" s="53">
        <f>IFERROR(INDEX($A4287:$AB4287,MATCH("Xero Invoice Date",$A$1:$AB$1,0)),"")</f>
        <v/>
      </c>
      <c r="AF4287" s="54">
        <f>IF(AND(IFERROR(INDEX($A4287:$AB4287,MATCH("Xero Invoice No",$A$1:$AB$1,0)),"")&amp;""&lt;&gt;"",ISNUMBER(AE4287),AD4287&lt;&gt;0),1,0)</f>
        <v/>
      </c>
      <c r="AG4287" s="55">
        <f>IF(AF4287=1,EOMONTH(AE4287,0),"")</f>
        <v/>
      </c>
      <c r="AH4287" s="9">
        <f>IF(AF4287=1,UPPER(TRIM(IFERROR(INDEX($A4287:$AB4287,MATCH("Client",$A$1:$AB$1,0)),"")&amp;"")),"")</f>
        <v/>
      </c>
      <c r="AI4287" s="9">
        <f>IF(AF4287=1,IFERROR(INDEX($A4287:$AB4287,MATCH("Cost Centre",$A$1:$AB$1,0)),"")&amp;"","")</f>
        <v/>
      </c>
      <c r="AJ4287" s="54">
        <f>IF(AND(AF4287=1,AE4287&gt;=set_FYStart,AE4287&lt;=set_AsAt),1,0)</f>
        <v/>
      </c>
      <c r="AK4287" s="54">
        <f>IF(AND(AJ4287=1,AH4287&lt;&gt;"",COUNTIFS($AH$2:AH4287,AH4287,$AJ$2:AJ4287,1)=1),N(AL4286)+1,"")</f>
        <v/>
      </c>
      <c r="AL4287" s="54">
        <f>IF(AK4287&lt;&gt;"",AK4287,N(AL4286))</f>
        <v/>
      </c>
    </row>
    <row r="4288">
      <c r="A4288" t="inlineStr">
        <is>
          <t>CON-1429</t>
        </is>
      </c>
      <c r="B4288" t="inlineStr">
        <is>
          <t>Consulting</t>
        </is>
      </c>
      <c r="AB4288" t="n">
        <v>1429</v>
      </c>
      <c r="AD4288" s="52">
        <f>IFERROR(N(IFERROR(INDEX($A4288:$AB4288,MATCH("Xero Invoiced Ex GST",$A$1:$AB$1,0)),"")),0)</f>
        <v/>
      </c>
      <c r="AE4288" s="53">
        <f>IFERROR(INDEX($A4288:$AB4288,MATCH("Xero Invoice Date",$A$1:$AB$1,0)),"")</f>
        <v/>
      </c>
      <c r="AF4288" s="54">
        <f>IF(AND(IFERROR(INDEX($A4288:$AB4288,MATCH("Xero Invoice No",$A$1:$AB$1,0)),"")&amp;""&lt;&gt;"",ISNUMBER(AE4288),AD4288&lt;&gt;0),1,0)</f>
        <v/>
      </c>
      <c r="AG4288" s="55">
        <f>IF(AF4288=1,EOMONTH(AE4288,0),"")</f>
        <v/>
      </c>
      <c r="AH4288" s="9">
        <f>IF(AF4288=1,UPPER(TRIM(IFERROR(INDEX($A4288:$AB4288,MATCH("Client",$A$1:$AB$1,0)),"")&amp;"")),"")</f>
        <v/>
      </c>
      <c r="AI4288" s="9">
        <f>IF(AF4288=1,IFERROR(INDEX($A4288:$AB4288,MATCH("Cost Centre",$A$1:$AB$1,0)),"")&amp;"","")</f>
        <v/>
      </c>
      <c r="AJ4288" s="54">
        <f>IF(AND(AF4288=1,AE4288&gt;=set_FYStart,AE4288&lt;=set_AsAt),1,0)</f>
        <v/>
      </c>
      <c r="AK4288" s="54">
        <f>IF(AND(AJ4288=1,AH4288&lt;&gt;"",COUNTIFS($AH$2:AH4288,AH4288,$AJ$2:AJ4288,1)=1),N(AL4287)+1,"")</f>
        <v/>
      </c>
      <c r="AL4288" s="54">
        <f>IF(AK4288&lt;&gt;"",AK4288,N(AL4287))</f>
        <v/>
      </c>
    </row>
    <row r="4289">
      <c r="A4289" t="inlineStr">
        <is>
          <t>ONS-1430</t>
        </is>
      </c>
      <c r="B4289" t="inlineStr">
        <is>
          <t>Onsite</t>
        </is>
      </c>
      <c r="AB4289" t="n">
        <v>1430</v>
      </c>
      <c r="AD4289" s="52">
        <f>IFERROR(N(IFERROR(INDEX($A4289:$AB4289,MATCH("Xero Invoiced Ex GST",$A$1:$AB$1,0)),"")),0)</f>
        <v/>
      </c>
      <c r="AE4289" s="53">
        <f>IFERROR(INDEX($A4289:$AB4289,MATCH("Xero Invoice Date",$A$1:$AB$1,0)),"")</f>
        <v/>
      </c>
      <c r="AF4289" s="54">
        <f>IF(AND(IFERROR(INDEX($A4289:$AB4289,MATCH("Xero Invoice No",$A$1:$AB$1,0)),"")&amp;""&lt;&gt;"",ISNUMBER(AE4289),AD4289&lt;&gt;0),1,0)</f>
        <v/>
      </c>
      <c r="AG4289" s="55">
        <f>IF(AF4289=1,EOMONTH(AE4289,0),"")</f>
        <v/>
      </c>
      <c r="AH4289" s="9">
        <f>IF(AF4289=1,UPPER(TRIM(IFERROR(INDEX($A4289:$AB4289,MATCH("Client",$A$1:$AB$1,0)),"")&amp;"")),"")</f>
        <v/>
      </c>
      <c r="AI4289" s="9">
        <f>IF(AF4289=1,IFERROR(INDEX($A4289:$AB4289,MATCH("Cost Centre",$A$1:$AB$1,0)),"")&amp;"","")</f>
        <v/>
      </c>
      <c r="AJ4289" s="54">
        <f>IF(AND(AF4289=1,AE4289&gt;=set_FYStart,AE4289&lt;=set_AsAt),1,0)</f>
        <v/>
      </c>
      <c r="AK4289" s="54">
        <f>IF(AND(AJ4289=1,AH4289&lt;&gt;"",COUNTIFS($AH$2:AH4289,AH4289,$AJ$2:AJ4289,1)=1),N(AL4288)+1,"")</f>
        <v/>
      </c>
      <c r="AL4289" s="54">
        <f>IF(AK4289&lt;&gt;"",AK4289,N(AL4288))</f>
        <v/>
      </c>
    </row>
    <row r="4290">
      <c r="A4290" t="inlineStr">
        <is>
          <t>PRD-1430</t>
        </is>
      </c>
      <c r="B4290" t="inlineStr">
        <is>
          <t>Production</t>
        </is>
      </c>
      <c r="AB4290" t="n">
        <v>1430</v>
      </c>
      <c r="AD4290" s="52">
        <f>IFERROR(N(IFERROR(INDEX($A4290:$AB4290,MATCH("Xero Invoiced Ex GST",$A$1:$AB$1,0)),"")),0)</f>
        <v/>
      </c>
      <c r="AE4290" s="53">
        <f>IFERROR(INDEX($A4290:$AB4290,MATCH("Xero Invoice Date",$A$1:$AB$1,0)),"")</f>
        <v/>
      </c>
      <c r="AF4290" s="54">
        <f>IF(AND(IFERROR(INDEX($A4290:$AB4290,MATCH("Xero Invoice No",$A$1:$AB$1,0)),"")&amp;""&lt;&gt;"",ISNUMBER(AE4290),AD4290&lt;&gt;0),1,0)</f>
        <v/>
      </c>
      <c r="AG4290" s="55">
        <f>IF(AF4290=1,EOMONTH(AE4290,0),"")</f>
        <v/>
      </c>
      <c r="AH4290" s="9">
        <f>IF(AF4290=1,UPPER(TRIM(IFERROR(INDEX($A4290:$AB4290,MATCH("Client",$A$1:$AB$1,0)),"")&amp;"")),"")</f>
        <v/>
      </c>
      <c r="AI4290" s="9">
        <f>IF(AF4290=1,IFERROR(INDEX($A4290:$AB4290,MATCH("Cost Centre",$A$1:$AB$1,0)),"")&amp;"","")</f>
        <v/>
      </c>
      <c r="AJ4290" s="54">
        <f>IF(AND(AF4290=1,AE4290&gt;=set_FYStart,AE4290&lt;=set_AsAt),1,0)</f>
        <v/>
      </c>
      <c r="AK4290" s="54">
        <f>IF(AND(AJ4290=1,AH4290&lt;&gt;"",COUNTIFS($AH$2:AH4290,AH4290,$AJ$2:AJ4290,1)=1),N(AL4289)+1,"")</f>
        <v/>
      </c>
      <c r="AL4290" s="54">
        <f>IF(AK4290&lt;&gt;"",AK4290,N(AL4289))</f>
        <v/>
      </c>
    </row>
    <row r="4291">
      <c r="A4291" t="inlineStr">
        <is>
          <t>CON-1430</t>
        </is>
      </c>
      <c r="B4291" t="inlineStr">
        <is>
          <t>Consulting</t>
        </is>
      </c>
      <c r="AB4291" t="n">
        <v>1430</v>
      </c>
      <c r="AD4291" s="52">
        <f>IFERROR(N(IFERROR(INDEX($A4291:$AB4291,MATCH("Xero Invoiced Ex GST",$A$1:$AB$1,0)),"")),0)</f>
        <v/>
      </c>
      <c r="AE4291" s="53">
        <f>IFERROR(INDEX($A4291:$AB4291,MATCH("Xero Invoice Date",$A$1:$AB$1,0)),"")</f>
        <v/>
      </c>
      <c r="AF4291" s="54">
        <f>IF(AND(IFERROR(INDEX($A4291:$AB4291,MATCH("Xero Invoice No",$A$1:$AB$1,0)),"")&amp;""&lt;&gt;"",ISNUMBER(AE4291),AD4291&lt;&gt;0),1,0)</f>
        <v/>
      </c>
      <c r="AG4291" s="55">
        <f>IF(AF4291=1,EOMONTH(AE4291,0),"")</f>
        <v/>
      </c>
      <c r="AH4291" s="9">
        <f>IF(AF4291=1,UPPER(TRIM(IFERROR(INDEX($A4291:$AB4291,MATCH("Client",$A$1:$AB$1,0)),"")&amp;"")),"")</f>
        <v/>
      </c>
      <c r="AI4291" s="9">
        <f>IF(AF4291=1,IFERROR(INDEX($A4291:$AB4291,MATCH("Cost Centre",$A$1:$AB$1,0)),"")&amp;"","")</f>
        <v/>
      </c>
      <c r="AJ4291" s="54">
        <f>IF(AND(AF4291=1,AE4291&gt;=set_FYStart,AE4291&lt;=set_AsAt),1,0)</f>
        <v/>
      </c>
      <c r="AK4291" s="54">
        <f>IF(AND(AJ4291=1,AH4291&lt;&gt;"",COUNTIFS($AH$2:AH4291,AH4291,$AJ$2:AJ4291,1)=1),N(AL4290)+1,"")</f>
        <v/>
      </c>
      <c r="AL4291" s="54">
        <f>IF(AK4291&lt;&gt;"",AK4291,N(AL4290))</f>
        <v/>
      </c>
    </row>
    <row r="4292">
      <c r="A4292" t="inlineStr">
        <is>
          <t>ONS-1431</t>
        </is>
      </c>
      <c r="B4292" t="inlineStr">
        <is>
          <t>Onsite</t>
        </is>
      </c>
      <c r="AB4292" t="n">
        <v>1431</v>
      </c>
      <c r="AD4292" s="52">
        <f>IFERROR(N(IFERROR(INDEX($A4292:$AB4292,MATCH("Xero Invoiced Ex GST",$A$1:$AB$1,0)),"")),0)</f>
        <v/>
      </c>
      <c r="AE4292" s="53">
        <f>IFERROR(INDEX($A4292:$AB4292,MATCH("Xero Invoice Date",$A$1:$AB$1,0)),"")</f>
        <v/>
      </c>
      <c r="AF4292" s="54">
        <f>IF(AND(IFERROR(INDEX($A4292:$AB4292,MATCH("Xero Invoice No",$A$1:$AB$1,0)),"")&amp;""&lt;&gt;"",ISNUMBER(AE4292),AD4292&lt;&gt;0),1,0)</f>
        <v/>
      </c>
      <c r="AG4292" s="55">
        <f>IF(AF4292=1,EOMONTH(AE4292,0),"")</f>
        <v/>
      </c>
      <c r="AH4292" s="9">
        <f>IF(AF4292=1,UPPER(TRIM(IFERROR(INDEX($A4292:$AB4292,MATCH("Client",$A$1:$AB$1,0)),"")&amp;"")),"")</f>
        <v/>
      </c>
      <c r="AI4292" s="9">
        <f>IF(AF4292=1,IFERROR(INDEX($A4292:$AB4292,MATCH("Cost Centre",$A$1:$AB$1,0)),"")&amp;"","")</f>
        <v/>
      </c>
      <c r="AJ4292" s="54">
        <f>IF(AND(AF4292=1,AE4292&gt;=set_FYStart,AE4292&lt;=set_AsAt),1,0)</f>
        <v/>
      </c>
      <c r="AK4292" s="54">
        <f>IF(AND(AJ4292=1,AH4292&lt;&gt;"",COUNTIFS($AH$2:AH4292,AH4292,$AJ$2:AJ4292,1)=1),N(AL4291)+1,"")</f>
        <v/>
      </c>
      <c r="AL4292" s="54">
        <f>IF(AK4292&lt;&gt;"",AK4292,N(AL4291))</f>
        <v/>
      </c>
    </row>
    <row r="4293">
      <c r="A4293" t="inlineStr">
        <is>
          <t>PRD-1431</t>
        </is>
      </c>
      <c r="B4293" t="inlineStr">
        <is>
          <t>Production</t>
        </is>
      </c>
      <c r="AB4293" t="n">
        <v>1431</v>
      </c>
      <c r="AD4293" s="52">
        <f>IFERROR(N(IFERROR(INDEX($A4293:$AB4293,MATCH("Xero Invoiced Ex GST",$A$1:$AB$1,0)),"")),0)</f>
        <v/>
      </c>
      <c r="AE4293" s="53">
        <f>IFERROR(INDEX($A4293:$AB4293,MATCH("Xero Invoice Date",$A$1:$AB$1,0)),"")</f>
        <v/>
      </c>
      <c r="AF4293" s="54">
        <f>IF(AND(IFERROR(INDEX($A4293:$AB4293,MATCH("Xero Invoice No",$A$1:$AB$1,0)),"")&amp;""&lt;&gt;"",ISNUMBER(AE4293),AD4293&lt;&gt;0),1,0)</f>
        <v/>
      </c>
      <c r="AG4293" s="55">
        <f>IF(AF4293=1,EOMONTH(AE4293,0),"")</f>
        <v/>
      </c>
      <c r="AH4293" s="9">
        <f>IF(AF4293=1,UPPER(TRIM(IFERROR(INDEX($A4293:$AB4293,MATCH("Client",$A$1:$AB$1,0)),"")&amp;"")),"")</f>
        <v/>
      </c>
      <c r="AI4293" s="9">
        <f>IF(AF4293=1,IFERROR(INDEX($A4293:$AB4293,MATCH("Cost Centre",$A$1:$AB$1,0)),"")&amp;"","")</f>
        <v/>
      </c>
      <c r="AJ4293" s="54">
        <f>IF(AND(AF4293=1,AE4293&gt;=set_FYStart,AE4293&lt;=set_AsAt),1,0)</f>
        <v/>
      </c>
      <c r="AK4293" s="54">
        <f>IF(AND(AJ4293=1,AH4293&lt;&gt;"",COUNTIFS($AH$2:AH4293,AH4293,$AJ$2:AJ4293,1)=1),N(AL4292)+1,"")</f>
        <v/>
      </c>
      <c r="AL4293" s="54">
        <f>IF(AK4293&lt;&gt;"",AK4293,N(AL4292))</f>
        <v/>
      </c>
    </row>
    <row r="4294">
      <c r="A4294" t="inlineStr">
        <is>
          <t>CON-1431</t>
        </is>
      </c>
      <c r="B4294" t="inlineStr">
        <is>
          <t>Consulting</t>
        </is>
      </c>
      <c r="AB4294" t="n">
        <v>1431</v>
      </c>
      <c r="AD4294" s="52">
        <f>IFERROR(N(IFERROR(INDEX($A4294:$AB4294,MATCH("Xero Invoiced Ex GST",$A$1:$AB$1,0)),"")),0)</f>
        <v/>
      </c>
      <c r="AE4294" s="53">
        <f>IFERROR(INDEX($A4294:$AB4294,MATCH("Xero Invoice Date",$A$1:$AB$1,0)),"")</f>
        <v/>
      </c>
      <c r="AF4294" s="54">
        <f>IF(AND(IFERROR(INDEX($A4294:$AB4294,MATCH("Xero Invoice No",$A$1:$AB$1,0)),"")&amp;""&lt;&gt;"",ISNUMBER(AE4294),AD4294&lt;&gt;0),1,0)</f>
        <v/>
      </c>
      <c r="AG4294" s="55">
        <f>IF(AF4294=1,EOMONTH(AE4294,0),"")</f>
        <v/>
      </c>
      <c r="AH4294" s="9">
        <f>IF(AF4294=1,UPPER(TRIM(IFERROR(INDEX($A4294:$AB4294,MATCH("Client",$A$1:$AB$1,0)),"")&amp;"")),"")</f>
        <v/>
      </c>
      <c r="AI4294" s="9">
        <f>IF(AF4294=1,IFERROR(INDEX($A4294:$AB4294,MATCH("Cost Centre",$A$1:$AB$1,0)),"")&amp;"","")</f>
        <v/>
      </c>
      <c r="AJ4294" s="54">
        <f>IF(AND(AF4294=1,AE4294&gt;=set_FYStart,AE4294&lt;=set_AsAt),1,0)</f>
        <v/>
      </c>
      <c r="AK4294" s="54">
        <f>IF(AND(AJ4294=1,AH4294&lt;&gt;"",COUNTIFS($AH$2:AH4294,AH4294,$AJ$2:AJ4294,1)=1),N(AL4293)+1,"")</f>
        <v/>
      </c>
      <c r="AL4294" s="54">
        <f>IF(AK4294&lt;&gt;"",AK4294,N(AL4293))</f>
        <v/>
      </c>
    </row>
    <row r="4295">
      <c r="A4295" t="inlineStr">
        <is>
          <t>ONS-1432</t>
        </is>
      </c>
      <c r="B4295" t="inlineStr">
        <is>
          <t>Onsite</t>
        </is>
      </c>
      <c r="AB4295" t="n">
        <v>1432</v>
      </c>
      <c r="AD4295" s="52">
        <f>IFERROR(N(IFERROR(INDEX($A4295:$AB4295,MATCH("Xero Invoiced Ex GST",$A$1:$AB$1,0)),"")),0)</f>
        <v/>
      </c>
      <c r="AE4295" s="53">
        <f>IFERROR(INDEX($A4295:$AB4295,MATCH("Xero Invoice Date",$A$1:$AB$1,0)),"")</f>
        <v/>
      </c>
      <c r="AF4295" s="54">
        <f>IF(AND(IFERROR(INDEX($A4295:$AB4295,MATCH("Xero Invoice No",$A$1:$AB$1,0)),"")&amp;""&lt;&gt;"",ISNUMBER(AE4295),AD4295&lt;&gt;0),1,0)</f>
        <v/>
      </c>
      <c r="AG4295" s="55">
        <f>IF(AF4295=1,EOMONTH(AE4295,0),"")</f>
        <v/>
      </c>
      <c r="AH4295" s="9">
        <f>IF(AF4295=1,UPPER(TRIM(IFERROR(INDEX($A4295:$AB4295,MATCH("Client",$A$1:$AB$1,0)),"")&amp;"")),"")</f>
        <v/>
      </c>
      <c r="AI4295" s="9">
        <f>IF(AF4295=1,IFERROR(INDEX($A4295:$AB4295,MATCH("Cost Centre",$A$1:$AB$1,0)),"")&amp;"","")</f>
        <v/>
      </c>
      <c r="AJ4295" s="54">
        <f>IF(AND(AF4295=1,AE4295&gt;=set_FYStart,AE4295&lt;=set_AsAt),1,0)</f>
        <v/>
      </c>
      <c r="AK4295" s="54">
        <f>IF(AND(AJ4295=1,AH4295&lt;&gt;"",COUNTIFS($AH$2:AH4295,AH4295,$AJ$2:AJ4295,1)=1),N(AL4294)+1,"")</f>
        <v/>
      </c>
      <c r="AL4295" s="54">
        <f>IF(AK4295&lt;&gt;"",AK4295,N(AL4294))</f>
        <v/>
      </c>
    </row>
    <row r="4296">
      <c r="A4296" t="inlineStr">
        <is>
          <t>PRD-1432</t>
        </is>
      </c>
      <c r="B4296" t="inlineStr">
        <is>
          <t>Production</t>
        </is>
      </c>
      <c r="AB4296" t="n">
        <v>1432</v>
      </c>
      <c r="AD4296" s="52">
        <f>IFERROR(N(IFERROR(INDEX($A4296:$AB4296,MATCH("Xero Invoiced Ex GST",$A$1:$AB$1,0)),"")),0)</f>
        <v/>
      </c>
      <c r="AE4296" s="53">
        <f>IFERROR(INDEX($A4296:$AB4296,MATCH("Xero Invoice Date",$A$1:$AB$1,0)),"")</f>
        <v/>
      </c>
      <c r="AF4296" s="54">
        <f>IF(AND(IFERROR(INDEX($A4296:$AB4296,MATCH("Xero Invoice No",$A$1:$AB$1,0)),"")&amp;""&lt;&gt;"",ISNUMBER(AE4296),AD4296&lt;&gt;0),1,0)</f>
        <v/>
      </c>
      <c r="AG4296" s="55">
        <f>IF(AF4296=1,EOMONTH(AE4296,0),"")</f>
        <v/>
      </c>
      <c r="AH4296" s="9">
        <f>IF(AF4296=1,UPPER(TRIM(IFERROR(INDEX($A4296:$AB4296,MATCH("Client",$A$1:$AB$1,0)),"")&amp;"")),"")</f>
        <v/>
      </c>
      <c r="AI4296" s="9">
        <f>IF(AF4296=1,IFERROR(INDEX($A4296:$AB4296,MATCH("Cost Centre",$A$1:$AB$1,0)),"")&amp;"","")</f>
        <v/>
      </c>
      <c r="AJ4296" s="54">
        <f>IF(AND(AF4296=1,AE4296&gt;=set_FYStart,AE4296&lt;=set_AsAt),1,0)</f>
        <v/>
      </c>
      <c r="AK4296" s="54">
        <f>IF(AND(AJ4296=1,AH4296&lt;&gt;"",COUNTIFS($AH$2:AH4296,AH4296,$AJ$2:AJ4296,1)=1),N(AL4295)+1,"")</f>
        <v/>
      </c>
      <c r="AL4296" s="54">
        <f>IF(AK4296&lt;&gt;"",AK4296,N(AL4295))</f>
        <v/>
      </c>
    </row>
    <row r="4297">
      <c r="A4297" t="inlineStr">
        <is>
          <t>CON-1432</t>
        </is>
      </c>
      <c r="B4297" t="inlineStr">
        <is>
          <t>Consulting</t>
        </is>
      </c>
      <c r="AB4297" t="n">
        <v>1432</v>
      </c>
      <c r="AD4297" s="52">
        <f>IFERROR(N(IFERROR(INDEX($A4297:$AB4297,MATCH("Xero Invoiced Ex GST",$A$1:$AB$1,0)),"")),0)</f>
        <v/>
      </c>
      <c r="AE4297" s="53">
        <f>IFERROR(INDEX($A4297:$AB4297,MATCH("Xero Invoice Date",$A$1:$AB$1,0)),"")</f>
        <v/>
      </c>
      <c r="AF4297" s="54">
        <f>IF(AND(IFERROR(INDEX($A4297:$AB4297,MATCH("Xero Invoice No",$A$1:$AB$1,0)),"")&amp;""&lt;&gt;"",ISNUMBER(AE4297),AD4297&lt;&gt;0),1,0)</f>
        <v/>
      </c>
      <c r="AG4297" s="55">
        <f>IF(AF4297=1,EOMONTH(AE4297,0),"")</f>
        <v/>
      </c>
      <c r="AH4297" s="9">
        <f>IF(AF4297=1,UPPER(TRIM(IFERROR(INDEX($A4297:$AB4297,MATCH("Client",$A$1:$AB$1,0)),"")&amp;"")),"")</f>
        <v/>
      </c>
      <c r="AI4297" s="9">
        <f>IF(AF4297=1,IFERROR(INDEX($A4297:$AB4297,MATCH("Cost Centre",$A$1:$AB$1,0)),"")&amp;"","")</f>
        <v/>
      </c>
      <c r="AJ4297" s="54">
        <f>IF(AND(AF4297=1,AE4297&gt;=set_FYStart,AE4297&lt;=set_AsAt),1,0)</f>
        <v/>
      </c>
      <c r="AK4297" s="54">
        <f>IF(AND(AJ4297=1,AH4297&lt;&gt;"",COUNTIFS($AH$2:AH4297,AH4297,$AJ$2:AJ4297,1)=1),N(AL4296)+1,"")</f>
        <v/>
      </c>
      <c r="AL4297" s="54">
        <f>IF(AK4297&lt;&gt;"",AK4297,N(AL4296))</f>
        <v/>
      </c>
    </row>
    <row r="4298">
      <c r="A4298" t="inlineStr">
        <is>
          <t>ONS-1433</t>
        </is>
      </c>
      <c r="B4298" t="inlineStr">
        <is>
          <t>Onsite</t>
        </is>
      </c>
      <c r="AB4298" t="n">
        <v>1433</v>
      </c>
      <c r="AD4298" s="52">
        <f>IFERROR(N(IFERROR(INDEX($A4298:$AB4298,MATCH("Xero Invoiced Ex GST",$A$1:$AB$1,0)),"")),0)</f>
        <v/>
      </c>
      <c r="AE4298" s="53">
        <f>IFERROR(INDEX($A4298:$AB4298,MATCH("Xero Invoice Date",$A$1:$AB$1,0)),"")</f>
        <v/>
      </c>
      <c r="AF4298" s="54">
        <f>IF(AND(IFERROR(INDEX($A4298:$AB4298,MATCH("Xero Invoice No",$A$1:$AB$1,0)),"")&amp;""&lt;&gt;"",ISNUMBER(AE4298),AD4298&lt;&gt;0),1,0)</f>
        <v/>
      </c>
      <c r="AG4298" s="55">
        <f>IF(AF4298=1,EOMONTH(AE4298,0),"")</f>
        <v/>
      </c>
      <c r="AH4298" s="9">
        <f>IF(AF4298=1,UPPER(TRIM(IFERROR(INDEX($A4298:$AB4298,MATCH("Client",$A$1:$AB$1,0)),"")&amp;"")),"")</f>
        <v/>
      </c>
      <c r="AI4298" s="9">
        <f>IF(AF4298=1,IFERROR(INDEX($A4298:$AB4298,MATCH("Cost Centre",$A$1:$AB$1,0)),"")&amp;"","")</f>
        <v/>
      </c>
      <c r="AJ4298" s="54">
        <f>IF(AND(AF4298=1,AE4298&gt;=set_FYStart,AE4298&lt;=set_AsAt),1,0)</f>
        <v/>
      </c>
      <c r="AK4298" s="54">
        <f>IF(AND(AJ4298=1,AH4298&lt;&gt;"",COUNTIFS($AH$2:AH4298,AH4298,$AJ$2:AJ4298,1)=1),N(AL4297)+1,"")</f>
        <v/>
      </c>
      <c r="AL4298" s="54">
        <f>IF(AK4298&lt;&gt;"",AK4298,N(AL4297))</f>
        <v/>
      </c>
    </row>
    <row r="4299">
      <c r="A4299" t="inlineStr">
        <is>
          <t>PRD-1433</t>
        </is>
      </c>
      <c r="B4299" t="inlineStr">
        <is>
          <t>Production</t>
        </is>
      </c>
      <c r="AB4299" t="n">
        <v>1433</v>
      </c>
      <c r="AD4299" s="52">
        <f>IFERROR(N(IFERROR(INDEX($A4299:$AB4299,MATCH("Xero Invoiced Ex GST",$A$1:$AB$1,0)),"")),0)</f>
        <v/>
      </c>
      <c r="AE4299" s="53">
        <f>IFERROR(INDEX($A4299:$AB4299,MATCH("Xero Invoice Date",$A$1:$AB$1,0)),"")</f>
        <v/>
      </c>
      <c r="AF4299" s="54">
        <f>IF(AND(IFERROR(INDEX($A4299:$AB4299,MATCH("Xero Invoice No",$A$1:$AB$1,0)),"")&amp;""&lt;&gt;"",ISNUMBER(AE4299),AD4299&lt;&gt;0),1,0)</f>
        <v/>
      </c>
      <c r="AG4299" s="55">
        <f>IF(AF4299=1,EOMONTH(AE4299,0),"")</f>
        <v/>
      </c>
      <c r="AH4299" s="9">
        <f>IF(AF4299=1,UPPER(TRIM(IFERROR(INDEX($A4299:$AB4299,MATCH("Client",$A$1:$AB$1,0)),"")&amp;"")),"")</f>
        <v/>
      </c>
      <c r="AI4299" s="9">
        <f>IF(AF4299=1,IFERROR(INDEX($A4299:$AB4299,MATCH("Cost Centre",$A$1:$AB$1,0)),"")&amp;"","")</f>
        <v/>
      </c>
      <c r="AJ4299" s="54">
        <f>IF(AND(AF4299=1,AE4299&gt;=set_FYStart,AE4299&lt;=set_AsAt),1,0)</f>
        <v/>
      </c>
      <c r="AK4299" s="54">
        <f>IF(AND(AJ4299=1,AH4299&lt;&gt;"",COUNTIFS($AH$2:AH4299,AH4299,$AJ$2:AJ4299,1)=1),N(AL4298)+1,"")</f>
        <v/>
      </c>
      <c r="AL4299" s="54">
        <f>IF(AK4299&lt;&gt;"",AK4299,N(AL4298))</f>
        <v/>
      </c>
    </row>
    <row r="4300">
      <c r="A4300" t="inlineStr">
        <is>
          <t>CON-1433</t>
        </is>
      </c>
      <c r="B4300" t="inlineStr">
        <is>
          <t>Consulting</t>
        </is>
      </c>
      <c r="AB4300" t="n">
        <v>1433</v>
      </c>
      <c r="AD4300" s="52">
        <f>IFERROR(N(IFERROR(INDEX($A4300:$AB4300,MATCH("Xero Invoiced Ex GST",$A$1:$AB$1,0)),"")),0)</f>
        <v/>
      </c>
      <c r="AE4300" s="53">
        <f>IFERROR(INDEX($A4300:$AB4300,MATCH("Xero Invoice Date",$A$1:$AB$1,0)),"")</f>
        <v/>
      </c>
      <c r="AF4300" s="54">
        <f>IF(AND(IFERROR(INDEX($A4300:$AB4300,MATCH("Xero Invoice No",$A$1:$AB$1,0)),"")&amp;""&lt;&gt;"",ISNUMBER(AE4300),AD4300&lt;&gt;0),1,0)</f>
        <v/>
      </c>
      <c r="AG4300" s="55">
        <f>IF(AF4300=1,EOMONTH(AE4300,0),"")</f>
        <v/>
      </c>
      <c r="AH4300" s="9">
        <f>IF(AF4300=1,UPPER(TRIM(IFERROR(INDEX($A4300:$AB4300,MATCH("Client",$A$1:$AB$1,0)),"")&amp;"")),"")</f>
        <v/>
      </c>
      <c r="AI4300" s="9">
        <f>IF(AF4300=1,IFERROR(INDEX($A4300:$AB4300,MATCH("Cost Centre",$A$1:$AB$1,0)),"")&amp;"","")</f>
        <v/>
      </c>
      <c r="AJ4300" s="54">
        <f>IF(AND(AF4300=1,AE4300&gt;=set_FYStart,AE4300&lt;=set_AsAt),1,0)</f>
        <v/>
      </c>
      <c r="AK4300" s="54">
        <f>IF(AND(AJ4300=1,AH4300&lt;&gt;"",COUNTIFS($AH$2:AH4300,AH4300,$AJ$2:AJ4300,1)=1),N(AL4299)+1,"")</f>
        <v/>
      </c>
      <c r="AL4300" s="54">
        <f>IF(AK4300&lt;&gt;"",AK4300,N(AL4299))</f>
        <v/>
      </c>
    </row>
    <row r="4301">
      <c r="A4301" t="inlineStr">
        <is>
          <t>ONS-1434</t>
        </is>
      </c>
      <c r="B4301" t="inlineStr">
        <is>
          <t>Onsite</t>
        </is>
      </c>
      <c r="AB4301" t="n">
        <v>1434</v>
      </c>
      <c r="AD4301" s="52">
        <f>IFERROR(N(IFERROR(INDEX($A4301:$AB4301,MATCH("Xero Invoiced Ex GST",$A$1:$AB$1,0)),"")),0)</f>
        <v/>
      </c>
      <c r="AE4301" s="53">
        <f>IFERROR(INDEX($A4301:$AB4301,MATCH("Xero Invoice Date",$A$1:$AB$1,0)),"")</f>
        <v/>
      </c>
      <c r="AF4301" s="54">
        <f>IF(AND(IFERROR(INDEX($A4301:$AB4301,MATCH("Xero Invoice No",$A$1:$AB$1,0)),"")&amp;""&lt;&gt;"",ISNUMBER(AE4301),AD4301&lt;&gt;0),1,0)</f>
        <v/>
      </c>
      <c r="AG4301" s="55">
        <f>IF(AF4301=1,EOMONTH(AE4301,0),"")</f>
        <v/>
      </c>
      <c r="AH4301" s="9">
        <f>IF(AF4301=1,UPPER(TRIM(IFERROR(INDEX($A4301:$AB4301,MATCH("Client",$A$1:$AB$1,0)),"")&amp;"")),"")</f>
        <v/>
      </c>
      <c r="AI4301" s="9">
        <f>IF(AF4301=1,IFERROR(INDEX($A4301:$AB4301,MATCH("Cost Centre",$A$1:$AB$1,0)),"")&amp;"","")</f>
        <v/>
      </c>
      <c r="AJ4301" s="54">
        <f>IF(AND(AF4301=1,AE4301&gt;=set_FYStart,AE4301&lt;=set_AsAt),1,0)</f>
        <v/>
      </c>
      <c r="AK4301" s="54">
        <f>IF(AND(AJ4301=1,AH4301&lt;&gt;"",COUNTIFS($AH$2:AH4301,AH4301,$AJ$2:AJ4301,1)=1),N(AL4300)+1,"")</f>
        <v/>
      </c>
      <c r="AL4301" s="54">
        <f>IF(AK4301&lt;&gt;"",AK4301,N(AL4300))</f>
        <v/>
      </c>
    </row>
    <row r="4302">
      <c r="A4302" t="inlineStr">
        <is>
          <t>PRD-1434</t>
        </is>
      </c>
      <c r="B4302" t="inlineStr">
        <is>
          <t>Production</t>
        </is>
      </c>
      <c r="AB4302" t="n">
        <v>1434</v>
      </c>
      <c r="AD4302" s="52">
        <f>IFERROR(N(IFERROR(INDEX($A4302:$AB4302,MATCH("Xero Invoiced Ex GST",$A$1:$AB$1,0)),"")),0)</f>
        <v/>
      </c>
      <c r="AE4302" s="53">
        <f>IFERROR(INDEX($A4302:$AB4302,MATCH("Xero Invoice Date",$A$1:$AB$1,0)),"")</f>
        <v/>
      </c>
      <c r="AF4302" s="54">
        <f>IF(AND(IFERROR(INDEX($A4302:$AB4302,MATCH("Xero Invoice No",$A$1:$AB$1,0)),"")&amp;""&lt;&gt;"",ISNUMBER(AE4302),AD4302&lt;&gt;0),1,0)</f>
        <v/>
      </c>
      <c r="AG4302" s="55">
        <f>IF(AF4302=1,EOMONTH(AE4302,0),"")</f>
        <v/>
      </c>
      <c r="AH4302" s="9">
        <f>IF(AF4302=1,UPPER(TRIM(IFERROR(INDEX($A4302:$AB4302,MATCH("Client",$A$1:$AB$1,0)),"")&amp;"")),"")</f>
        <v/>
      </c>
      <c r="AI4302" s="9">
        <f>IF(AF4302=1,IFERROR(INDEX($A4302:$AB4302,MATCH("Cost Centre",$A$1:$AB$1,0)),"")&amp;"","")</f>
        <v/>
      </c>
      <c r="AJ4302" s="54">
        <f>IF(AND(AF4302=1,AE4302&gt;=set_FYStart,AE4302&lt;=set_AsAt),1,0)</f>
        <v/>
      </c>
      <c r="AK4302" s="54">
        <f>IF(AND(AJ4302=1,AH4302&lt;&gt;"",COUNTIFS($AH$2:AH4302,AH4302,$AJ$2:AJ4302,1)=1),N(AL4301)+1,"")</f>
        <v/>
      </c>
      <c r="AL4302" s="54">
        <f>IF(AK4302&lt;&gt;"",AK4302,N(AL4301))</f>
        <v/>
      </c>
    </row>
    <row r="4303">
      <c r="A4303" t="inlineStr">
        <is>
          <t>CON-1434</t>
        </is>
      </c>
      <c r="B4303" t="inlineStr">
        <is>
          <t>Consulting</t>
        </is>
      </c>
      <c r="AB4303" t="n">
        <v>1434</v>
      </c>
      <c r="AD4303" s="52">
        <f>IFERROR(N(IFERROR(INDEX($A4303:$AB4303,MATCH("Xero Invoiced Ex GST",$A$1:$AB$1,0)),"")),0)</f>
        <v/>
      </c>
      <c r="AE4303" s="53">
        <f>IFERROR(INDEX($A4303:$AB4303,MATCH("Xero Invoice Date",$A$1:$AB$1,0)),"")</f>
        <v/>
      </c>
      <c r="AF4303" s="54">
        <f>IF(AND(IFERROR(INDEX($A4303:$AB4303,MATCH("Xero Invoice No",$A$1:$AB$1,0)),"")&amp;""&lt;&gt;"",ISNUMBER(AE4303),AD4303&lt;&gt;0),1,0)</f>
        <v/>
      </c>
      <c r="AG4303" s="55">
        <f>IF(AF4303=1,EOMONTH(AE4303,0),"")</f>
        <v/>
      </c>
      <c r="AH4303" s="9">
        <f>IF(AF4303=1,UPPER(TRIM(IFERROR(INDEX($A4303:$AB4303,MATCH("Client",$A$1:$AB$1,0)),"")&amp;"")),"")</f>
        <v/>
      </c>
      <c r="AI4303" s="9">
        <f>IF(AF4303=1,IFERROR(INDEX($A4303:$AB4303,MATCH("Cost Centre",$A$1:$AB$1,0)),"")&amp;"","")</f>
        <v/>
      </c>
      <c r="AJ4303" s="54">
        <f>IF(AND(AF4303=1,AE4303&gt;=set_FYStart,AE4303&lt;=set_AsAt),1,0)</f>
        <v/>
      </c>
      <c r="AK4303" s="54">
        <f>IF(AND(AJ4303=1,AH4303&lt;&gt;"",COUNTIFS($AH$2:AH4303,AH4303,$AJ$2:AJ4303,1)=1),N(AL4302)+1,"")</f>
        <v/>
      </c>
      <c r="AL4303" s="54">
        <f>IF(AK4303&lt;&gt;"",AK4303,N(AL4302))</f>
        <v/>
      </c>
    </row>
    <row r="4304">
      <c r="A4304" t="inlineStr">
        <is>
          <t>ONS-1435</t>
        </is>
      </c>
      <c r="B4304" t="inlineStr">
        <is>
          <t>Onsite</t>
        </is>
      </c>
      <c r="AB4304" t="n">
        <v>1435</v>
      </c>
      <c r="AD4304" s="52">
        <f>IFERROR(N(IFERROR(INDEX($A4304:$AB4304,MATCH("Xero Invoiced Ex GST",$A$1:$AB$1,0)),"")),0)</f>
        <v/>
      </c>
      <c r="AE4304" s="53">
        <f>IFERROR(INDEX($A4304:$AB4304,MATCH("Xero Invoice Date",$A$1:$AB$1,0)),"")</f>
        <v/>
      </c>
      <c r="AF4304" s="54">
        <f>IF(AND(IFERROR(INDEX($A4304:$AB4304,MATCH("Xero Invoice No",$A$1:$AB$1,0)),"")&amp;""&lt;&gt;"",ISNUMBER(AE4304),AD4304&lt;&gt;0),1,0)</f>
        <v/>
      </c>
      <c r="AG4304" s="55">
        <f>IF(AF4304=1,EOMONTH(AE4304,0),"")</f>
        <v/>
      </c>
      <c r="AH4304" s="9">
        <f>IF(AF4304=1,UPPER(TRIM(IFERROR(INDEX($A4304:$AB4304,MATCH("Client",$A$1:$AB$1,0)),"")&amp;"")),"")</f>
        <v/>
      </c>
      <c r="AI4304" s="9">
        <f>IF(AF4304=1,IFERROR(INDEX($A4304:$AB4304,MATCH("Cost Centre",$A$1:$AB$1,0)),"")&amp;"","")</f>
        <v/>
      </c>
      <c r="AJ4304" s="54">
        <f>IF(AND(AF4304=1,AE4304&gt;=set_FYStart,AE4304&lt;=set_AsAt),1,0)</f>
        <v/>
      </c>
      <c r="AK4304" s="54">
        <f>IF(AND(AJ4304=1,AH4304&lt;&gt;"",COUNTIFS($AH$2:AH4304,AH4304,$AJ$2:AJ4304,1)=1),N(AL4303)+1,"")</f>
        <v/>
      </c>
      <c r="AL4304" s="54">
        <f>IF(AK4304&lt;&gt;"",AK4304,N(AL4303))</f>
        <v/>
      </c>
    </row>
    <row r="4305">
      <c r="A4305" t="inlineStr">
        <is>
          <t>PRD-1435</t>
        </is>
      </c>
      <c r="B4305" t="inlineStr">
        <is>
          <t>Production</t>
        </is>
      </c>
      <c r="AB4305" t="n">
        <v>1435</v>
      </c>
      <c r="AD4305" s="52">
        <f>IFERROR(N(IFERROR(INDEX($A4305:$AB4305,MATCH("Xero Invoiced Ex GST",$A$1:$AB$1,0)),"")),0)</f>
        <v/>
      </c>
      <c r="AE4305" s="53">
        <f>IFERROR(INDEX($A4305:$AB4305,MATCH("Xero Invoice Date",$A$1:$AB$1,0)),"")</f>
        <v/>
      </c>
      <c r="AF4305" s="54">
        <f>IF(AND(IFERROR(INDEX($A4305:$AB4305,MATCH("Xero Invoice No",$A$1:$AB$1,0)),"")&amp;""&lt;&gt;"",ISNUMBER(AE4305),AD4305&lt;&gt;0),1,0)</f>
        <v/>
      </c>
      <c r="AG4305" s="55">
        <f>IF(AF4305=1,EOMONTH(AE4305,0),"")</f>
        <v/>
      </c>
      <c r="AH4305" s="9">
        <f>IF(AF4305=1,UPPER(TRIM(IFERROR(INDEX($A4305:$AB4305,MATCH("Client",$A$1:$AB$1,0)),"")&amp;"")),"")</f>
        <v/>
      </c>
      <c r="AI4305" s="9">
        <f>IF(AF4305=1,IFERROR(INDEX($A4305:$AB4305,MATCH("Cost Centre",$A$1:$AB$1,0)),"")&amp;"","")</f>
        <v/>
      </c>
      <c r="AJ4305" s="54">
        <f>IF(AND(AF4305=1,AE4305&gt;=set_FYStart,AE4305&lt;=set_AsAt),1,0)</f>
        <v/>
      </c>
      <c r="AK4305" s="54">
        <f>IF(AND(AJ4305=1,AH4305&lt;&gt;"",COUNTIFS($AH$2:AH4305,AH4305,$AJ$2:AJ4305,1)=1),N(AL4304)+1,"")</f>
        <v/>
      </c>
      <c r="AL4305" s="54">
        <f>IF(AK4305&lt;&gt;"",AK4305,N(AL4304))</f>
        <v/>
      </c>
    </row>
    <row r="4306">
      <c r="A4306" t="inlineStr">
        <is>
          <t>CON-1435</t>
        </is>
      </c>
      <c r="B4306" t="inlineStr">
        <is>
          <t>Consulting</t>
        </is>
      </c>
      <c r="AB4306" t="n">
        <v>1435</v>
      </c>
      <c r="AD4306" s="52">
        <f>IFERROR(N(IFERROR(INDEX($A4306:$AB4306,MATCH("Xero Invoiced Ex GST",$A$1:$AB$1,0)),"")),0)</f>
        <v/>
      </c>
      <c r="AE4306" s="53">
        <f>IFERROR(INDEX($A4306:$AB4306,MATCH("Xero Invoice Date",$A$1:$AB$1,0)),"")</f>
        <v/>
      </c>
      <c r="AF4306" s="54">
        <f>IF(AND(IFERROR(INDEX($A4306:$AB4306,MATCH("Xero Invoice No",$A$1:$AB$1,0)),"")&amp;""&lt;&gt;"",ISNUMBER(AE4306),AD4306&lt;&gt;0),1,0)</f>
        <v/>
      </c>
      <c r="AG4306" s="55">
        <f>IF(AF4306=1,EOMONTH(AE4306,0),"")</f>
        <v/>
      </c>
      <c r="AH4306" s="9">
        <f>IF(AF4306=1,UPPER(TRIM(IFERROR(INDEX($A4306:$AB4306,MATCH("Client",$A$1:$AB$1,0)),"")&amp;"")),"")</f>
        <v/>
      </c>
      <c r="AI4306" s="9">
        <f>IF(AF4306=1,IFERROR(INDEX($A4306:$AB4306,MATCH("Cost Centre",$A$1:$AB$1,0)),"")&amp;"","")</f>
        <v/>
      </c>
      <c r="AJ4306" s="54">
        <f>IF(AND(AF4306=1,AE4306&gt;=set_FYStart,AE4306&lt;=set_AsAt),1,0)</f>
        <v/>
      </c>
      <c r="AK4306" s="54">
        <f>IF(AND(AJ4306=1,AH4306&lt;&gt;"",COUNTIFS($AH$2:AH4306,AH4306,$AJ$2:AJ4306,1)=1),N(AL4305)+1,"")</f>
        <v/>
      </c>
      <c r="AL4306" s="54">
        <f>IF(AK4306&lt;&gt;"",AK4306,N(AL4305))</f>
        <v/>
      </c>
    </row>
    <row r="4307">
      <c r="A4307" t="inlineStr">
        <is>
          <t>ONS-1436</t>
        </is>
      </c>
      <c r="B4307" t="inlineStr">
        <is>
          <t>Onsite</t>
        </is>
      </c>
      <c r="AB4307" t="n">
        <v>1436</v>
      </c>
      <c r="AD4307" s="52">
        <f>IFERROR(N(IFERROR(INDEX($A4307:$AB4307,MATCH("Xero Invoiced Ex GST",$A$1:$AB$1,0)),"")),0)</f>
        <v/>
      </c>
      <c r="AE4307" s="53">
        <f>IFERROR(INDEX($A4307:$AB4307,MATCH("Xero Invoice Date",$A$1:$AB$1,0)),"")</f>
        <v/>
      </c>
      <c r="AF4307" s="54">
        <f>IF(AND(IFERROR(INDEX($A4307:$AB4307,MATCH("Xero Invoice No",$A$1:$AB$1,0)),"")&amp;""&lt;&gt;"",ISNUMBER(AE4307),AD4307&lt;&gt;0),1,0)</f>
        <v/>
      </c>
      <c r="AG4307" s="55">
        <f>IF(AF4307=1,EOMONTH(AE4307,0),"")</f>
        <v/>
      </c>
      <c r="AH4307" s="9">
        <f>IF(AF4307=1,UPPER(TRIM(IFERROR(INDEX($A4307:$AB4307,MATCH("Client",$A$1:$AB$1,0)),"")&amp;"")),"")</f>
        <v/>
      </c>
      <c r="AI4307" s="9">
        <f>IF(AF4307=1,IFERROR(INDEX($A4307:$AB4307,MATCH("Cost Centre",$A$1:$AB$1,0)),"")&amp;"","")</f>
        <v/>
      </c>
      <c r="AJ4307" s="54">
        <f>IF(AND(AF4307=1,AE4307&gt;=set_FYStart,AE4307&lt;=set_AsAt),1,0)</f>
        <v/>
      </c>
      <c r="AK4307" s="54">
        <f>IF(AND(AJ4307=1,AH4307&lt;&gt;"",COUNTIFS($AH$2:AH4307,AH4307,$AJ$2:AJ4307,1)=1),N(AL4306)+1,"")</f>
        <v/>
      </c>
      <c r="AL4307" s="54">
        <f>IF(AK4307&lt;&gt;"",AK4307,N(AL4306))</f>
        <v/>
      </c>
    </row>
    <row r="4308">
      <c r="A4308" t="inlineStr">
        <is>
          <t>PRD-1436</t>
        </is>
      </c>
      <c r="B4308" t="inlineStr">
        <is>
          <t>Production</t>
        </is>
      </c>
      <c r="AB4308" t="n">
        <v>1436</v>
      </c>
      <c r="AD4308" s="52">
        <f>IFERROR(N(IFERROR(INDEX($A4308:$AB4308,MATCH("Xero Invoiced Ex GST",$A$1:$AB$1,0)),"")),0)</f>
        <v/>
      </c>
      <c r="AE4308" s="53">
        <f>IFERROR(INDEX($A4308:$AB4308,MATCH("Xero Invoice Date",$A$1:$AB$1,0)),"")</f>
        <v/>
      </c>
      <c r="AF4308" s="54">
        <f>IF(AND(IFERROR(INDEX($A4308:$AB4308,MATCH("Xero Invoice No",$A$1:$AB$1,0)),"")&amp;""&lt;&gt;"",ISNUMBER(AE4308),AD4308&lt;&gt;0),1,0)</f>
        <v/>
      </c>
      <c r="AG4308" s="55">
        <f>IF(AF4308=1,EOMONTH(AE4308,0),"")</f>
        <v/>
      </c>
      <c r="AH4308" s="9">
        <f>IF(AF4308=1,UPPER(TRIM(IFERROR(INDEX($A4308:$AB4308,MATCH("Client",$A$1:$AB$1,0)),"")&amp;"")),"")</f>
        <v/>
      </c>
      <c r="AI4308" s="9">
        <f>IF(AF4308=1,IFERROR(INDEX($A4308:$AB4308,MATCH("Cost Centre",$A$1:$AB$1,0)),"")&amp;"","")</f>
        <v/>
      </c>
      <c r="AJ4308" s="54">
        <f>IF(AND(AF4308=1,AE4308&gt;=set_FYStart,AE4308&lt;=set_AsAt),1,0)</f>
        <v/>
      </c>
      <c r="AK4308" s="54">
        <f>IF(AND(AJ4308=1,AH4308&lt;&gt;"",COUNTIFS($AH$2:AH4308,AH4308,$AJ$2:AJ4308,1)=1),N(AL4307)+1,"")</f>
        <v/>
      </c>
      <c r="AL4308" s="54">
        <f>IF(AK4308&lt;&gt;"",AK4308,N(AL4307))</f>
        <v/>
      </c>
    </row>
    <row r="4309">
      <c r="A4309" t="inlineStr">
        <is>
          <t>CON-1436</t>
        </is>
      </c>
      <c r="B4309" t="inlineStr">
        <is>
          <t>Consulting</t>
        </is>
      </c>
      <c r="AB4309" t="n">
        <v>1436</v>
      </c>
      <c r="AD4309" s="52">
        <f>IFERROR(N(IFERROR(INDEX($A4309:$AB4309,MATCH("Xero Invoiced Ex GST",$A$1:$AB$1,0)),"")),0)</f>
        <v/>
      </c>
      <c r="AE4309" s="53">
        <f>IFERROR(INDEX($A4309:$AB4309,MATCH("Xero Invoice Date",$A$1:$AB$1,0)),"")</f>
        <v/>
      </c>
      <c r="AF4309" s="54">
        <f>IF(AND(IFERROR(INDEX($A4309:$AB4309,MATCH("Xero Invoice No",$A$1:$AB$1,0)),"")&amp;""&lt;&gt;"",ISNUMBER(AE4309),AD4309&lt;&gt;0),1,0)</f>
        <v/>
      </c>
      <c r="AG4309" s="55">
        <f>IF(AF4309=1,EOMONTH(AE4309,0),"")</f>
        <v/>
      </c>
      <c r="AH4309" s="9">
        <f>IF(AF4309=1,UPPER(TRIM(IFERROR(INDEX($A4309:$AB4309,MATCH("Client",$A$1:$AB$1,0)),"")&amp;"")),"")</f>
        <v/>
      </c>
      <c r="AI4309" s="9">
        <f>IF(AF4309=1,IFERROR(INDEX($A4309:$AB4309,MATCH("Cost Centre",$A$1:$AB$1,0)),"")&amp;"","")</f>
        <v/>
      </c>
      <c r="AJ4309" s="54">
        <f>IF(AND(AF4309=1,AE4309&gt;=set_FYStart,AE4309&lt;=set_AsAt),1,0)</f>
        <v/>
      </c>
      <c r="AK4309" s="54">
        <f>IF(AND(AJ4309=1,AH4309&lt;&gt;"",COUNTIFS($AH$2:AH4309,AH4309,$AJ$2:AJ4309,1)=1),N(AL4308)+1,"")</f>
        <v/>
      </c>
      <c r="AL4309" s="54">
        <f>IF(AK4309&lt;&gt;"",AK4309,N(AL4308))</f>
        <v/>
      </c>
    </row>
    <row r="4310">
      <c r="A4310" t="inlineStr">
        <is>
          <t>ONS-1437</t>
        </is>
      </c>
      <c r="B4310" t="inlineStr">
        <is>
          <t>Onsite</t>
        </is>
      </c>
      <c r="AB4310" t="n">
        <v>1437</v>
      </c>
      <c r="AD4310" s="52">
        <f>IFERROR(N(IFERROR(INDEX($A4310:$AB4310,MATCH("Xero Invoiced Ex GST",$A$1:$AB$1,0)),"")),0)</f>
        <v/>
      </c>
      <c r="AE4310" s="53">
        <f>IFERROR(INDEX($A4310:$AB4310,MATCH("Xero Invoice Date",$A$1:$AB$1,0)),"")</f>
        <v/>
      </c>
      <c r="AF4310" s="54">
        <f>IF(AND(IFERROR(INDEX($A4310:$AB4310,MATCH("Xero Invoice No",$A$1:$AB$1,0)),"")&amp;""&lt;&gt;"",ISNUMBER(AE4310),AD4310&lt;&gt;0),1,0)</f>
        <v/>
      </c>
      <c r="AG4310" s="55">
        <f>IF(AF4310=1,EOMONTH(AE4310,0),"")</f>
        <v/>
      </c>
      <c r="AH4310" s="9">
        <f>IF(AF4310=1,UPPER(TRIM(IFERROR(INDEX($A4310:$AB4310,MATCH("Client",$A$1:$AB$1,0)),"")&amp;"")),"")</f>
        <v/>
      </c>
      <c r="AI4310" s="9">
        <f>IF(AF4310=1,IFERROR(INDEX($A4310:$AB4310,MATCH("Cost Centre",$A$1:$AB$1,0)),"")&amp;"","")</f>
        <v/>
      </c>
      <c r="AJ4310" s="54">
        <f>IF(AND(AF4310=1,AE4310&gt;=set_FYStart,AE4310&lt;=set_AsAt),1,0)</f>
        <v/>
      </c>
      <c r="AK4310" s="54">
        <f>IF(AND(AJ4310=1,AH4310&lt;&gt;"",COUNTIFS($AH$2:AH4310,AH4310,$AJ$2:AJ4310,1)=1),N(AL4309)+1,"")</f>
        <v/>
      </c>
      <c r="AL4310" s="54">
        <f>IF(AK4310&lt;&gt;"",AK4310,N(AL4309))</f>
        <v/>
      </c>
    </row>
    <row r="4311">
      <c r="A4311" t="inlineStr">
        <is>
          <t>PRD-1437</t>
        </is>
      </c>
      <c r="B4311" t="inlineStr">
        <is>
          <t>Production</t>
        </is>
      </c>
      <c r="AB4311" t="n">
        <v>1437</v>
      </c>
      <c r="AD4311" s="52">
        <f>IFERROR(N(IFERROR(INDEX($A4311:$AB4311,MATCH("Xero Invoiced Ex GST",$A$1:$AB$1,0)),"")),0)</f>
        <v/>
      </c>
      <c r="AE4311" s="53">
        <f>IFERROR(INDEX($A4311:$AB4311,MATCH("Xero Invoice Date",$A$1:$AB$1,0)),"")</f>
        <v/>
      </c>
      <c r="AF4311" s="54">
        <f>IF(AND(IFERROR(INDEX($A4311:$AB4311,MATCH("Xero Invoice No",$A$1:$AB$1,0)),"")&amp;""&lt;&gt;"",ISNUMBER(AE4311),AD4311&lt;&gt;0),1,0)</f>
        <v/>
      </c>
      <c r="AG4311" s="55">
        <f>IF(AF4311=1,EOMONTH(AE4311,0),"")</f>
        <v/>
      </c>
      <c r="AH4311" s="9">
        <f>IF(AF4311=1,UPPER(TRIM(IFERROR(INDEX($A4311:$AB4311,MATCH("Client",$A$1:$AB$1,0)),"")&amp;"")),"")</f>
        <v/>
      </c>
      <c r="AI4311" s="9">
        <f>IF(AF4311=1,IFERROR(INDEX($A4311:$AB4311,MATCH("Cost Centre",$A$1:$AB$1,0)),"")&amp;"","")</f>
        <v/>
      </c>
      <c r="AJ4311" s="54">
        <f>IF(AND(AF4311=1,AE4311&gt;=set_FYStart,AE4311&lt;=set_AsAt),1,0)</f>
        <v/>
      </c>
      <c r="AK4311" s="54">
        <f>IF(AND(AJ4311=1,AH4311&lt;&gt;"",COUNTIFS($AH$2:AH4311,AH4311,$AJ$2:AJ4311,1)=1),N(AL4310)+1,"")</f>
        <v/>
      </c>
      <c r="AL4311" s="54">
        <f>IF(AK4311&lt;&gt;"",AK4311,N(AL4310))</f>
        <v/>
      </c>
    </row>
    <row r="4312">
      <c r="A4312" t="inlineStr">
        <is>
          <t>CON-1437</t>
        </is>
      </c>
      <c r="B4312" t="inlineStr">
        <is>
          <t>Consulting</t>
        </is>
      </c>
      <c r="AB4312" t="n">
        <v>1437</v>
      </c>
      <c r="AD4312" s="52">
        <f>IFERROR(N(IFERROR(INDEX($A4312:$AB4312,MATCH("Xero Invoiced Ex GST",$A$1:$AB$1,0)),"")),0)</f>
        <v/>
      </c>
      <c r="AE4312" s="53">
        <f>IFERROR(INDEX($A4312:$AB4312,MATCH("Xero Invoice Date",$A$1:$AB$1,0)),"")</f>
        <v/>
      </c>
      <c r="AF4312" s="54">
        <f>IF(AND(IFERROR(INDEX($A4312:$AB4312,MATCH("Xero Invoice No",$A$1:$AB$1,0)),"")&amp;""&lt;&gt;"",ISNUMBER(AE4312),AD4312&lt;&gt;0),1,0)</f>
        <v/>
      </c>
      <c r="AG4312" s="55">
        <f>IF(AF4312=1,EOMONTH(AE4312,0),"")</f>
        <v/>
      </c>
      <c r="AH4312" s="9">
        <f>IF(AF4312=1,UPPER(TRIM(IFERROR(INDEX($A4312:$AB4312,MATCH("Client",$A$1:$AB$1,0)),"")&amp;"")),"")</f>
        <v/>
      </c>
      <c r="AI4312" s="9">
        <f>IF(AF4312=1,IFERROR(INDEX($A4312:$AB4312,MATCH("Cost Centre",$A$1:$AB$1,0)),"")&amp;"","")</f>
        <v/>
      </c>
      <c r="AJ4312" s="54">
        <f>IF(AND(AF4312=1,AE4312&gt;=set_FYStart,AE4312&lt;=set_AsAt),1,0)</f>
        <v/>
      </c>
      <c r="AK4312" s="54">
        <f>IF(AND(AJ4312=1,AH4312&lt;&gt;"",COUNTIFS($AH$2:AH4312,AH4312,$AJ$2:AJ4312,1)=1),N(AL4311)+1,"")</f>
        <v/>
      </c>
      <c r="AL4312" s="54">
        <f>IF(AK4312&lt;&gt;"",AK4312,N(AL4311))</f>
        <v/>
      </c>
    </row>
    <row r="4313">
      <c r="A4313" t="inlineStr">
        <is>
          <t>ONS-1438</t>
        </is>
      </c>
      <c r="B4313" t="inlineStr">
        <is>
          <t>Onsite</t>
        </is>
      </c>
      <c r="AB4313" t="n">
        <v>1438</v>
      </c>
      <c r="AD4313" s="52">
        <f>IFERROR(N(IFERROR(INDEX($A4313:$AB4313,MATCH("Xero Invoiced Ex GST",$A$1:$AB$1,0)),"")),0)</f>
        <v/>
      </c>
      <c r="AE4313" s="53">
        <f>IFERROR(INDEX($A4313:$AB4313,MATCH("Xero Invoice Date",$A$1:$AB$1,0)),"")</f>
        <v/>
      </c>
      <c r="AF4313" s="54">
        <f>IF(AND(IFERROR(INDEX($A4313:$AB4313,MATCH("Xero Invoice No",$A$1:$AB$1,0)),"")&amp;""&lt;&gt;"",ISNUMBER(AE4313),AD4313&lt;&gt;0),1,0)</f>
        <v/>
      </c>
      <c r="AG4313" s="55">
        <f>IF(AF4313=1,EOMONTH(AE4313,0),"")</f>
        <v/>
      </c>
      <c r="AH4313" s="9">
        <f>IF(AF4313=1,UPPER(TRIM(IFERROR(INDEX($A4313:$AB4313,MATCH("Client",$A$1:$AB$1,0)),"")&amp;"")),"")</f>
        <v/>
      </c>
      <c r="AI4313" s="9">
        <f>IF(AF4313=1,IFERROR(INDEX($A4313:$AB4313,MATCH("Cost Centre",$A$1:$AB$1,0)),"")&amp;"","")</f>
        <v/>
      </c>
      <c r="AJ4313" s="54">
        <f>IF(AND(AF4313=1,AE4313&gt;=set_FYStart,AE4313&lt;=set_AsAt),1,0)</f>
        <v/>
      </c>
      <c r="AK4313" s="54">
        <f>IF(AND(AJ4313=1,AH4313&lt;&gt;"",COUNTIFS($AH$2:AH4313,AH4313,$AJ$2:AJ4313,1)=1),N(AL4312)+1,"")</f>
        <v/>
      </c>
      <c r="AL4313" s="54">
        <f>IF(AK4313&lt;&gt;"",AK4313,N(AL4312))</f>
        <v/>
      </c>
    </row>
    <row r="4314">
      <c r="A4314" t="inlineStr">
        <is>
          <t>PRD-1438</t>
        </is>
      </c>
      <c r="B4314" t="inlineStr">
        <is>
          <t>Production</t>
        </is>
      </c>
      <c r="AB4314" t="n">
        <v>1438</v>
      </c>
      <c r="AD4314" s="52">
        <f>IFERROR(N(IFERROR(INDEX($A4314:$AB4314,MATCH("Xero Invoiced Ex GST",$A$1:$AB$1,0)),"")),0)</f>
        <v/>
      </c>
      <c r="AE4314" s="53">
        <f>IFERROR(INDEX($A4314:$AB4314,MATCH("Xero Invoice Date",$A$1:$AB$1,0)),"")</f>
        <v/>
      </c>
      <c r="AF4314" s="54">
        <f>IF(AND(IFERROR(INDEX($A4314:$AB4314,MATCH("Xero Invoice No",$A$1:$AB$1,0)),"")&amp;""&lt;&gt;"",ISNUMBER(AE4314),AD4314&lt;&gt;0),1,0)</f>
        <v/>
      </c>
      <c r="AG4314" s="55">
        <f>IF(AF4314=1,EOMONTH(AE4314,0),"")</f>
        <v/>
      </c>
      <c r="AH4314" s="9">
        <f>IF(AF4314=1,UPPER(TRIM(IFERROR(INDEX($A4314:$AB4314,MATCH("Client",$A$1:$AB$1,0)),"")&amp;"")),"")</f>
        <v/>
      </c>
      <c r="AI4314" s="9">
        <f>IF(AF4314=1,IFERROR(INDEX($A4314:$AB4314,MATCH("Cost Centre",$A$1:$AB$1,0)),"")&amp;"","")</f>
        <v/>
      </c>
      <c r="AJ4314" s="54">
        <f>IF(AND(AF4314=1,AE4314&gt;=set_FYStart,AE4314&lt;=set_AsAt),1,0)</f>
        <v/>
      </c>
      <c r="AK4314" s="54">
        <f>IF(AND(AJ4314=1,AH4314&lt;&gt;"",COUNTIFS($AH$2:AH4314,AH4314,$AJ$2:AJ4314,1)=1),N(AL4313)+1,"")</f>
        <v/>
      </c>
      <c r="AL4314" s="54">
        <f>IF(AK4314&lt;&gt;"",AK4314,N(AL4313))</f>
        <v/>
      </c>
    </row>
    <row r="4315">
      <c r="A4315" t="inlineStr">
        <is>
          <t>CON-1438</t>
        </is>
      </c>
      <c r="B4315" t="inlineStr">
        <is>
          <t>Consulting</t>
        </is>
      </c>
      <c r="AB4315" t="n">
        <v>1438</v>
      </c>
      <c r="AD4315" s="52">
        <f>IFERROR(N(IFERROR(INDEX($A4315:$AB4315,MATCH("Xero Invoiced Ex GST",$A$1:$AB$1,0)),"")),0)</f>
        <v/>
      </c>
      <c r="AE4315" s="53">
        <f>IFERROR(INDEX($A4315:$AB4315,MATCH("Xero Invoice Date",$A$1:$AB$1,0)),"")</f>
        <v/>
      </c>
      <c r="AF4315" s="54">
        <f>IF(AND(IFERROR(INDEX($A4315:$AB4315,MATCH("Xero Invoice No",$A$1:$AB$1,0)),"")&amp;""&lt;&gt;"",ISNUMBER(AE4315),AD4315&lt;&gt;0),1,0)</f>
        <v/>
      </c>
      <c r="AG4315" s="55">
        <f>IF(AF4315=1,EOMONTH(AE4315,0),"")</f>
        <v/>
      </c>
      <c r="AH4315" s="9">
        <f>IF(AF4315=1,UPPER(TRIM(IFERROR(INDEX($A4315:$AB4315,MATCH("Client",$A$1:$AB$1,0)),"")&amp;"")),"")</f>
        <v/>
      </c>
      <c r="AI4315" s="9">
        <f>IF(AF4315=1,IFERROR(INDEX($A4315:$AB4315,MATCH("Cost Centre",$A$1:$AB$1,0)),"")&amp;"","")</f>
        <v/>
      </c>
      <c r="AJ4315" s="54">
        <f>IF(AND(AF4315=1,AE4315&gt;=set_FYStart,AE4315&lt;=set_AsAt),1,0)</f>
        <v/>
      </c>
      <c r="AK4315" s="54">
        <f>IF(AND(AJ4315=1,AH4315&lt;&gt;"",COUNTIFS($AH$2:AH4315,AH4315,$AJ$2:AJ4315,1)=1),N(AL4314)+1,"")</f>
        <v/>
      </c>
      <c r="AL4315" s="54">
        <f>IF(AK4315&lt;&gt;"",AK4315,N(AL4314))</f>
        <v/>
      </c>
    </row>
    <row r="4316">
      <c r="A4316" t="inlineStr">
        <is>
          <t>ONS-1439</t>
        </is>
      </c>
      <c r="B4316" t="inlineStr">
        <is>
          <t>Onsite</t>
        </is>
      </c>
      <c r="AB4316" t="n">
        <v>1439</v>
      </c>
      <c r="AD4316" s="52">
        <f>IFERROR(N(IFERROR(INDEX($A4316:$AB4316,MATCH("Xero Invoiced Ex GST",$A$1:$AB$1,0)),"")),0)</f>
        <v/>
      </c>
      <c r="AE4316" s="53">
        <f>IFERROR(INDEX($A4316:$AB4316,MATCH("Xero Invoice Date",$A$1:$AB$1,0)),"")</f>
        <v/>
      </c>
      <c r="AF4316" s="54">
        <f>IF(AND(IFERROR(INDEX($A4316:$AB4316,MATCH("Xero Invoice No",$A$1:$AB$1,0)),"")&amp;""&lt;&gt;"",ISNUMBER(AE4316),AD4316&lt;&gt;0),1,0)</f>
        <v/>
      </c>
      <c r="AG4316" s="55">
        <f>IF(AF4316=1,EOMONTH(AE4316,0),"")</f>
        <v/>
      </c>
      <c r="AH4316" s="9">
        <f>IF(AF4316=1,UPPER(TRIM(IFERROR(INDEX($A4316:$AB4316,MATCH("Client",$A$1:$AB$1,0)),"")&amp;"")),"")</f>
        <v/>
      </c>
      <c r="AI4316" s="9">
        <f>IF(AF4316=1,IFERROR(INDEX($A4316:$AB4316,MATCH("Cost Centre",$A$1:$AB$1,0)),"")&amp;"","")</f>
        <v/>
      </c>
      <c r="AJ4316" s="54">
        <f>IF(AND(AF4316=1,AE4316&gt;=set_FYStart,AE4316&lt;=set_AsAt),1,0)</f>
        <v/>
      </c>
      <c r="AK4316" s="54">
        <f>IF(AND(AJ4316=1,AH4316&lt;&gt;"",COUNTIFS($AH$2:AH4316,AH4316,$AJ$2:AJ4316,1)=1),N(AL4315)+1,"")</f>
        <v/>
      </c>
      <c r="AL4316" s="54">
        <f>IF(AK4316&lt;&gt;"",AK4316,N(AL4315))</f>
        <v/>
      </c>
    </row>
    <row r="4317">
      <c r="A4317" t="inlineStr">
        <is>
          <t>PRD-1439</t>
        </is>
      </c>
      <c r="B4317" t="inlineStr">
        <is>
          <t>Production</t>
        </is>
      </c>
      <c r="AB4317" t="n">
        <v>1439</v>
      </c>
      <c r="AD4317" s="52">
        <f>IFERROR(N(IFERROR(INDEX($A4317:$AB4317,MATCH("Xero Invoiced Ex GST",$A$1:$AB$1,0)),"")),0)</f>
        <v/>
      </c>
      <c r="AE4317" s="53">
        <f>IFERROR(INDEX($A4317:$AB4317,MATCH("Xero Invoice Date",$A$1:$AB$1,0)),"")</f>
        <v/>
      </c>
      <c r="AF4317" s="54">
        <f>IF(AND(IFERROR(INDEX($A4317:$AB4317,MATCH("Xero Invoice No",$A$1:$AB$1,0)),"")&amp;""&lt;&gt;"",ISNUMBER(AE4317),AD4317&lt;&gt;0),1,0)</f>
        <v/>
      </c>
      <c r="AG4317" s="55">
        <f>IF(AF4317=1,EOMONTH(AE4317,0),"")</f>
        <v/>
      </c>
      <c r="AH4317" s="9">
        <f>IF(AF4317=1,UPPER(TRIM(IFERROR(INDEX($A4317:$AB4317,MATCH("Client",$A$1:$AB$1,0)),"")&amp;"")),"")</f>
        <v/>
      </c>
      <c r="AI4317" s="9">
        <f>IF(AF4317=1,IFERROR(INDEX($A4317:$AB4317,MATCH("Cost Centre",$A$1:$AB$1,0)),"")&amp;"","")</f>
        <v/>
      </c>
      <c r="AJ4317" s="54">
        <f>IF(AND(AF4317=1,AE4317&gt;=set_FYStart,AE4317&lt;=set_AsAt),1,0)</f>
        <v/>
      </c>
      <c r="AK4317" s="54">
        <f>IF(AND(AJ4317=1,AH4317&lt;&gt;"",COUNTIFS($AH$2:AH4317,AH4317,$AJ$2:AJ4317,1)=1),N(AL4316)+1,"")</f>
        <v/>
      </c>
      <c r="AL4317" s="54">
        <f>IF(AK4317&lt;&gt;"",AK4317,N(AL4316))</f>
        <v/>
      </c>
    </row>
    <row r="4318">
      <c r="A4318" t="inlineStr">
        <is>
          <t>CON-1439</t>
        </is>
      </c>
      <c r="B4318" t="inlineStr">
        <is>
          <t>Consulting</t>
        </is>
      </c>
      <c r="AB4318" t="n">
        <v>1439</v>
      </c>
      <c r="AD4318" s="52">
        <f>IFERROR(N(IFERROR(INDEX($A4318:$AB4318,MATCH("Xero Invoiced Ex GST",$A$1:$AB$1,0)),"")),0)</f>
        <v/>
      </c>
      <c r="AE4318" s="53">
        <f>IFERROR(INDEX($A4318:$AB4318,MATCH("Xero Invoice Date",$A$1:$AB$1,0)),"")</f>
        <v/>
      </c>
      <c r="AF4318" s="54">
        <f>IF(AND(IFERROR(INDEX($A4318:$AB4318,MATCH("Xero Invoice No",$A$1:$AB$1,0)),"")&amp;""&lt;&gt;"",ISNUMBER(AE4318),AD4318&lt;&gt;0),1,0)</f>
        <v/>
      </c>
      <c r="AG4318" s="55">
        <f>IF(AF4318=1,EOMONTH(AE4318,0),"")</f>
        <v/>
      </c>
      <c r="AH4318" s="9">
        <f>IF(AF4318=1,UPPER(TRIM(IFERROR(INDEX($A4318:$AB4318,MATCH("Client",$A$1:$AB$1,0)),"")&amp;"")),"")</f>
        <v/>
      </c>
      <c r="AI4318" s="9">
        <f>IF(AF4318=1,IFERROR(INDEX($A4318:$AB4318,MATCH("Cost Centre",$A$1:$AB$1,0)),"")&amp;"","")</f>
        <v/>
      </c>
      <c r="AJ4318" s="54">
        <f>IF(AND(AF4318=1,AE4318&gt;=set_FYStart,AE4318&lt;=set_AsAt),1,0)</f>
        <v/>
      </c>
      <c r="AK4318" s="54">
        <f>IF(AND(AJ4318=1,AH4318&lt;&gt;"",COUNTIFS($AH$2:AH4318,AH4318,$AJ$2:AJ4318,1)=1),N(AL4317)+1,"")</f>
        <v/>
      </c>
      <c r="AL4318" s="54">
        <f>IF(AK4318&lt;&gt;"",AK4318,N(AL4317))</f>
        <v/>
      </c>
    </row>
    <row r="4319">
      <c r="A4319" t="inlineStr">
        <is>
          <t>ONS-1440</t>
        </is>
      </c>
      <c r="B4319" t="inlineStr">
        <is>
          <t>Onsite</t>
        </is>
      </c>
      <c r="AB4319" t="n">
        <v>1440</v>
      </c>
      <c r="AD4319" s="52">
        <f>IFERROR(N(IFERROR(INDEX($A4319:$AB4319,MATCH("Xero Invoiced Ex GST",$A$1:$AB$1,0)),"")),0)</f>
        <v/>
      </c>
      <c r="AE4319" s="53">
        <f>IFERROR(INDEX($A4319:$AB4319,MATCH("Xero Invoice Date",$A$1:$AB$1,0)),"")</f>
        <v/>
      </c>
      <c r="AF4319" s="54">
        <f>IF(AND(IFERROR(INDEX($A4319:$AB4319,MATCH("Xero Invoice No",$A$1:$AB$1,0)),"")&amp;""&lt;&gt;"",ISNUMBER(AE4319),AD4319&lt;&gt;0),1,0)</f>
        <v/>
      </c>
      <c r="AG4319" s="55">
        <f>IF(AF4319=1,EOMONTH(AE4319,0),"")</f>
        <v/>
      </c>
      <c r="AH4319" s="9">
        <f>IF(AF4319=1,UPPER(TRIM(IFERROR(INDEX($A4319:$AB4319,MATCH("Client",$A$1:$AB$1,0)),"")&amp;"")),"")</f>
        <v/>
      </c>
      <c r="AI4319" s="9">
        <f>IF(AF4319=1,IFERROR(INDEX($A4319:$AB4319,MATCH("Cost Centre",$A$1:$AB$1,0)),"")&amp;"","")</f>
        <v/>
      </c>
      <c r="AJ4319" s="54">
        <f>IF(AND(AF4319=1,AE4319&gt;=set_FYStart,AE4319&lt;=set_AsAt),1,0)</f>
        <v/>
      </c>
      <c r="AK4319" s="54">
        <f>IF(AND(AJ4319=1,AH4319&lt;&gt;"",COUNTIFS($AH$2:AH4319,AH4319,$AJ$2:AJ4319,1)=1),N(AL4318)+1,"")</f>
        <v/>
      </c>
      <c r="AL4319" s="54">
        <f>IF(AK4319&lt;&gt;"",AK4319,N(AL4318))</f>
        <v/>
      </c>
    </row>
    <row r="4320">
      <c r="A4320" t="inlineStr">
        <is>
          <t>PRD-1440</t>
        </is>
      </c>
      <c r="B4320" t="inlineStr">
        <is>
          <t>Production</t>
        </is>
      </c>
      <c r="AB4320" t="n">
        <v>1440</v>
      </c>
      <c r="AD4320" s="52">
        <f>IFERROR(N(IFERROR(INDEX($A4320:$AB4320,MATCH("Xero Invoiced Ex GST",$A$1:$AB$1,0)),"")),0)</f>
        <v/>
      </c>
      <c r="AE4320" s="53">
        <f>IFERROR(INDEX($A4320:$AB4320,MATCH("Xero Invoice Date",$A$1:$AB$1,0)),"")</f>
        <v/>
      </c>
      <c r="AF4320" s="54">
        <f>IF(AND(IFERROR(INDEX($A4320:$AB4320,MATCH("Xero Invoice No",$A$1:$AB$1,0)),"")&amp;""&lt;&gt;"",ISNUMBER(AE4320),AD4320&lt;&gt;0),1,0)</f>
        <v/>
      </c>
      <c r="AG4320" s="55">
        <f>IF(AF4320=1,EOMONTH(AE4320,0),"")</f>
        <v/>
      </c>
      <c r="AH4320" s="9">
        <f>IF(AF4320=1,UPPER(TRIM(IFERROR(INDEX($A4320:$AB4320,MATCH("Client",$A$1:$AB$1,0)),"")&amp;"")),"")</f>
        <v/>
      </c>
      <c r="AI4320" s="9">
        <f>IF(AF4320=1,IFERROR(INDEX($A4320:$AB4320,MATCH("Cost Centre",$A$1:$AB$1,0)),"")&amp;"","")</f>
        <v/>
      </c>
      <c r="AJ4320" s="54">
        <f>IF(AND(AF4320=1,AE4320&gt;=set_FYStart,AE4320&lt;=set_AsAt),1,0)</f>
        <v/>
      </c>
      <c r="AK4320" s="54">
        <f>IF(AND(AJ4320=1,AH4320&lt;&gt;"",COUNTIFS($AH$2:AH4320,AH4320,$AJ$2:AJ4320,1)=1),N(AL4319)+1,"")</f>
        <v/>
      </c>
      <c r="AL4320" s="54">
        <f>IF(AK4320&lt;&gt;"",AK4320,N(AL4319))</f>
        <v/>
      </c>
    </row>
    <row r="4321">
      <c r="A4321" t="inlineStr">
        <is>
          <t>CON-1440</t>
        </is>
      </c>
      <c r="B4321" t="inlineStr">
        <is>
          <t>Consulting</t>
        </is>
      </c>
      <c r="AB4321" t="n">
        <v>1440</v>
      </c>
      <c r="AD4321" s="52">
        <f>IFERROR(N(IFERROR(INDEX($A4321:$AB4321,MATCH("Xero Invoiced Ex GST",$A$1:$AB$1,0)),"")),0)</f>
        <v/>
      </c>
      <c r="AE4321" s="53">
        <f>IFERROR(INDEX($A4321:$AB4321,MATCH("Xero Invoice Date",$A$1:$AB$1,0)),"")</f>
        <v/>
      </c>
      <c r="AF4321" s="54">
        <f>IF(AND(IFERROR(INDEX($A4321:$AB4321,MATCH("Xero Invoice No",$A$1:$AB$1,0)),"")&amp;""&lt;&gt;"",ISNUMBER(AE4321),AD4321&lt;&gt;0),1,0)</f>
        <v/>
      </c>
      <c r="AG4321" s="55">
        <f>IF(AF4321=1,EOMONTH(AE4321,0),"")</f>
        <v/>
      </c>
      <c r="AH4321" s="9">
        <f>IF(AF4321=1,UPPER(TRIM(IFERROR(INDEX($A4321:$AB4321,MATCH("Client",$A$1:$AB$1,0)),"")&amp;"")),"")</f>
        <v/>
      </c>
      <c r="AI4321" s="9">
        <f>IF(AF4321=1,IFERROR(INDEX($A4321:$AB4321,MATCH("Cost Centre",$A$1:$AB$1,0)),"")&amp;"","")</f>
        <v/>
      </c>
      <c r="AJ4321" s="54">
        <f>IF(AND(AF4321=1,AE4321&gt;=set_FYStart,AE4321&lt;=set_AsAt),1,0)</f>
        <v/>
      </c>
      <c r="AK4321" s="54">
        <f>IF(AND(AJ4321=1,AH4321&lt;&gt;"",COUNTIFS($AH$2:AH4321,AH4321,$AJ$2:AJ4321,1)=1),N(AL4320)+1,"")</f>
        <v/>
      </c>
      <c r="AL4321" s="54">
        <f>IF(AK4321&lt;&gt;"",AK4321,N(AL4320))</f>
        <v/>
      </c>
    </row>
    <row r="4322">
      <c r="A4322" t="inlineStr">
        <is>
          <t>ONS-1441</t>
        </is>
      </c>
      <c r="B4322" t="inlineStr">
        <is>
          <t>Onsite</t>
        </is>
      </c>
      <c r="AB4322" t="n">
        <v>1441</v>
      </c>
      <c r="AD4322" s="52">
        <f>IFERROR(N(IFERROR(INDEX($A4322:$AB4322,MATCH("Xero Invoiced Ex GST",$A$1:$AB$1,0)),"")),0)</f>
        <v/>
      </c>
      <c r="AE4322" s="53">
        <f>IFERROR(INDEX($A4322:$AB4322,MATCH("Xero Invoice Date",$A$1:$AB$1,0)),"")</f>
        <v/>
      </c>
      <c r="AF4322" s="54">
        <f>IF(AND(IFERROR(INDEX($A4322:$AB4322,MATCH("Xero Invoice No",$A$1:$AB$1,0)),"")&amp;""&lt;&gt;"",ISNUMBER(AE4322),AD4322&lt;&gt;0),1,0)</f>
        <v/>
      </c>
      <c r="AG4322" s="55">
        <f>IF(AF4322=1,EOMONTH(AE4322,0),"")</f>
        <v/>
      </c>
      <c r="AH4322" s="9">
        <f>IF(AF4322=1,UPPER(TRIM(IFERROR(INDEX($A4322:$AB4322,MATCH("Client",$A$1:$AB$1,0)),"")&amp;"")),"")</f>
        <v/>
      </c>
      <c r="AI4322" s="9">
        <f>IF(AF4322=1,IFERROR(INDEX($A4322:$AB4322,MATCH("Cost Centre",$A$1:$AB$1,0)),"")&amp;"","")</f>
        <v/>
      </c>
      <c r="AJ4322" s="54">
        <f>IF(AND(AF4322=1,AE4322&gt;=set_FYStart,AE4322&lt;=set_AsAt),1,0)</f>
        <v/>
      </c>
      <c r="AK4322" s="54">
        <f>IF(AND(AJ4322=1,AH4322&lt;&gt;"",COUNTIFS($AH$2:AH4322,AH4322,$AJ$2:AJ4322,1)=1),N(AL4321)+1,"")</f>
        <v/>
      </c>
      <c r="AL4322" s="54">
        <f>IF(AK4322&lt;&gt;"",AK4322,N(AL4321))</f>
        <v/>
      </c>
    </row>
    <row r="4323">
      <c r="A4323" t="inlineStr">
        <is>
          <t>PRD-1441</t>
        </is>
      </c>
      <c r="B4323" t="inlineStr">
        <is>
          <t>Production</t>
        </is>
      </c>
      <c r="AB4323" t="n">
        <v>1441</v>
      </c>
      <c r="AD4323" s="52">
        <f>IFERROR(N(IFERROR(INDEX($A4323:$AB4323,MATCH("Xero Invoiced Ex GST",$A$1:$AB$1,0)),"")),0)</f>
        <v/>
      </c>
      <c r="AE4323" s="53">
        <f>IFERROR(INDEX($A4323:$AB4323,MATCH("Xero Invoice Date",$A$1:$AB$1,0)),"")</f>
        <v/>
      </c>
      <c r="AF4323" s="54">
        <f>IF(AND(IFERROR(INDEX($A4323:$AB4323,MATCH("Xero Invoice No",$A$1:$AB$1,0)),"")&amp;""&lt;&gt;"",ISNUMBER(AE4323),AD4323&lt;&gt;0),1,0)</f>
        <v/>
      </c>
      <c r="AG4323" s="55">
        <f>IF(AF4323=1,EOMONTH(AE4323,0),"")</f>
        <v/>
      </c>
      <c r="AH4323" s="9">
        <f>IF(AF4323=1,UPPER(TRIM(IFERROR(INDEX($A4323:$AB4323,MATCH("Client",$A$1:$AB$1,0)),"")&amp;"")),"")</f>
        <v/>
      </c>
      <c r="AI4323" s="9">
        <f>IF(AF4323=1,IFERROR(INDEX($A4323:$AB4323,MATCH("Cost Centre",$A$1:$AB$1,0)),"")&amp;"","")</f>
        <v/>
      </c>
      <c r="AJ4323" s="54">
        <f>IF(AND(AF4323=1,AE4323&gt;=set_FYStart,AE4323&lt;=set_AsAt),1,0)</f>
        <v/>
      </c>
      <c r="AK4323" s="54">
        <f>IF(AND(AJ4323=1,AH4323&lt;&gt;"",COUNTIFS($AH$2:AH4323,AH4323,$AJ$2:AJ4323,1)=1),N(AL4322)+1,"")</f>
        <v/>
      </c>
      <c r="AL4323" s="54">
        <f>IF(AK4323&lt;&gt;"",AK4323,N(AL4322))</f>
        <v/>
      </c>
    </row>
    <row r="4324">
      <c r="A4324" t="inlineStr">
        <is>
          <t>CON-1441</t>
        </is>
      </c>
      <c r="B4324" t="inlineStr">
        <is>
          <t>Consulting</t>
        </is>
      </c>
      <c r="AB4324" t="n">
        <v>1441</v>
      </c>
      <c r="AD4324" s="52">
        <f>IFERROR(N(IFERROR(INDEX($A4324:$AB4324,MATCH("Xero Invoiced Ex GST",$A$1:$AB$1,0)),"")),0)</f>
        <v/>
      </c>
      <c r="AE4324" s="53">
        <f>IFERROR(INDEX($A4324:$AB4324,MATCH("Xero Invoice Date",$A$1:$AB$1,0)),"")</f>
        <v/>
      </c>
      <c r="AF4324" s="54">
        <f>IF(AND(IFERROR(INDEX($A4324:$AB4324,MATCH("Xero Invoice No",$A$1:$AB$1,0)),"")&amp;""&lt;&gt;"",ISNUMBER(AE4324),AD4324&lt;&gt;0),1,0)</f>
        <v/>
      </c>
      <c r="AG4324" s="55">
        <f>IF(AF4324=1,EOMONTH(AE4324,0),"")</f>
        <v/>
      </c>
      <c r="AH4324" s="9">
        <f>IF(AF4324=1,UPPER(TRIM(IFERROR(INDEX($A4324:$AB4324,MATCH("Client",$A$1:$AB$1,0)),"")&amp;"")),"")</f>
        <v/>
      </c>
      <c r="AI4324" s="9">
        <f>IF(AF4324=1,IFERROR(INDEX($A4324:$AB4324,MATCH("Cost Centre",$A$1:$AB$1,0)),"")&amp;"","")</f>
        <v/>
      </c>
      <c r="AJ4324" s="54">
        <f>IF(AND(AF4324=1,AE4324&gt;=set_FYStart,AE4324&lt;=set_AsAt),1,0)</f>
        <v/>
      </c>
      <c r="AK4324" s="54">
        <f>IF(AND(AJ4324=1,AH4324&lt;&gt;"",COUNTIFS($AH$2:AH4324,AH4324,$AJ$2:AJ4324,1)=1),N(AL4323)+1,"")</f>
        <v/>
      </c>
      <c r="AL4324" s="54">
        <f>IF(AK4324&lt;&gt;"",AK4324,N(AL4323))</f>
        <v/>
      </c>
    </row>
    <row r="4325">
      <c r="A4325" t="inlineStr">
        <is>
          <t>ONS-1442</t>
        </is>
      </c>
      <c r="B4325" t="inlineStr">
        <is>
          <t>Onsite</t>
        </is>
      </c>
      <c r="AB4325" t="n">
        <v>1442</v>
      </c>
      <c r="AD4325" s="52">
        <f>IFERROR(N(IFERROR(INDEX($A4325:$AB4325,MATCH("Xero Invoiced Ex GST",$A$1:$AB$1,0)),"")),0)</f>
        <v/>
      </c>
      <c r="AE4325" s="53">
        <f>IFERROR(INDEX($A4325:$AB4325,MATCH("Xero Invoice Date",$A$1:$AB$1,0)),"")</f>
        <v/>
      </c>
      <c r="AF4325" s="54">
        <f>IF(AND(IFERROR(INDEX($A4325:$AB4325,MATCH("Xero Invoice No",$A$1:$AB$1,0)),"")&amp;""&lt;&gt;"",ISNUMBER(AE4325),AD4325&lt;&gt;0),1,0)</f>
        <v/>
      </c>
      <c r="AG4325" s="55">
        <f>IF(AF4325=1,EOMONTH(AE4325,0),"")</f>
        <v/>
      </c>
      <c r="AH4325" s="9">
        <f>IF(AF4325=1,UPPER(TRIM(IFERROR(INDEX($A4325:$AB4325,MATCH("Client",$A$1:$AB$1,0)),"")&amp;"")),"")</f>
        <v/>
      </c>
      <c r="AI4325" s="9">
        <f>IF(AF4325=1,IFERROR(INDEX($A4325:$AB4325,MATCH("Cost Centre",$A$1:$AB$1,0)),"")&amp;"","")</f>
        <v/>
      </c>
      <c r="AJ4325" s="54">
        <f>IF(AND(AF4325=1,AE4325&gt;=set_FYStart,AE4325&lt;=set_AsAt),1,0)</f>
        <v/>
      </c>
      <c r="AK4325" s="54">
        <f>IF(AND(AJ4325=1,AH4325&lt;&gt;"",COUNTIFS($AH$2:AH4325,AH4325,$AJ$2:AJ4325,1)=1),N(AL4324)+1,"")</f>
        <v/>
      </c>
      <c r="AL4325" s="54">
        <f>IF(AK4325&lt;&gt;"",AK4325,N(AL4324))</f>
        <v/>
      </c>
    </row>
    <row r="4326">
      <c r="A4326" t="inlineStr">
        <is>
          <t>PRD-1442</t>
        </is>
      </c>
      <c r="B4326" t="inlineStr">
        <is>
          <t>Production</t>
        </is>
      </c>
      <c r="AB4326" t="n">
        <v>1442</v>
      </c>
      <c r="AD4326" s="52">
        <f>IFERROR(N(IFERROR(INDEX($A4326:$AB4326,MATCH("Xero Invoiced Ex GST",$A$1:$AB$1,0)),"")),0)</f>
        <v/>
      </c>
      <c r="AE4326" s="53">
        <f>IFERROR(INDEX($A4326:$AB4326,MATCH("Xero Invoice Date",$A$1:$AB$1,0)),"")</f>
        <v/>
      </c>
      <c r="AF4326" s="54">
        <f>IF(AND(IFERROR(INDEX($A4326:$AB4326,MATCH("Xero Invoice No",$A$1:$AB$1,0)),"")&amp;""&lt;&gt;"",ISNUMBER(AE4326),AD4326&lt;&gt;0),1,0)</f>
        <v/>
      </c>
      <c r="AG4326" s="55">
        <f>IF(AF4326=1,EOMONTH(AE4326,0),"")</f>
        <v/>
      </c>
      <c r="AH4326" s="9">
        <f>IF(AF4326=1,UPPER(TRIM(IFERROR(INDEX($A4326:$AB4326,MATCH("Client",$A$1:$AB$1,0)),"")&amp;"")),"")</f>
        <v/>
      </c>
      <c r="AI4326" s="9">
        <f>IF(AF4326=1,IFERROR(INDEX($A4326:$AB4326,MATCH("Cost Centre",$A$1:$AB$1,0)),"")&amp;"","")</f>
        <v/>
      </c>
      <c r="AJ4326" s="54">
        <f>IF(AND(AF4326=1,AE4326&gt;=set_FYStart,AE4326&lt;=set_AsAt),1,0)</f>
        <v/>
      </c>
      <c r="AK4326" s="54">
        <f>IF(AND(AJ4326=1,AH4326&lt;&gt;"",COUNTIFS($AH$2:AH4326,AH4326,$AJ$2:AJ4326,1)=1),N(AL4325)+1,"")</f>
        <v/>
      </c>
      <c r="AL4326" s="54">
        <f>IF(AK4326&lt;&gt;"",AK4326,N(AL4325))</f>
        <v/>
      </c>
    </row>
    <row r="4327">
      <c r="A4327" t="inlineStr">
        <is>
          <t>CON-1442</t>
        </is>
      </c>
      <c r="B4327" t="inlineStr">
        <is>
          <t>Consulting</t>
        </is>
      </c>
      <c r="AB4327" t="n">
        <v>1442</v>
      </c>
      <c r="AD4327" s="52">
        <f>IFERROR(N(IFERROR(INDEX($A4327:$AB4327,MATCH("Xero Invoiced Ex GST",$A$1:$AB$1,0)),"")),0)</f>
        <v/>
      </c>
      <c r="AE4327" s="53">
        <f>IFERROR(INDEX($A4327:$AB4327,MATCH("Xero Invoice Date",$A$1:$AB$1,0)),"")</f>
        <v/>
      </c>
      <c r="AF4327" s="54">
        <f>IF(AND(IFERROR(INDEX($A4327:$AB4327,MATCH("Xero Invoice No",$A$1:$AB$1,0)),"")&amp;""&lt;&gt;"",ISNUMBER(AE4327),AD4327&lt;&gt;0),1,0)</f>
        <v/>
      </c>
      <c r="AG4327" s="55">
        <f>IF(AF4327=1,EOMONTH(AE4327,0),"")</f>
        <v/>
      </c>
      <c r="AH4327" s="9">
        <f>IF(AF4327=1,UPPER(TRIM(IFERROR(INDEX($A4327:$AB4327,MATCH("Client",$A$1:$AB$1,0)),"")&amp;"")),"")</f>
        <v/>
      </c>
      <c r="AI4327" s="9">
        <f>IF(AF4327=1,IFERROR(INDEX($A4327:$AB4327,MATCH("Cost Centre",$A$1:$AB$1,0)),"")&amp;"","")</f>
        <v/>
      </c>
      <c r="AJ4327" s="54">
        <f>IF(AND(AF4327=1,AE4327&gt;=set_FYStart,AE4327&lt;=set_AsAt),1,0)</f>
        <v/>
      </c>
      <c r="AK4327" s="54">
        <f>IF(AND(AJ4327=1,AH4327&lt;&gt;"",COUNTIFS($AH$2:AH4327,AH4327,$AJ$2:AJ4327,1)=1),N(AL4326)+1,"")</f>
        <v/>
      </c>
      <c r="AL4327" s="54">
        <f>IF(AK4327&lt;&gt;"",AK4327,N(AL4326))</f>
        <v/>
      </c>
    </row>
    <row r="4328">
      <c r="A4328" t="inlineStr">
        <is>
          <t>ONS-1443</t>
        </is>
      </c>
      <c r="B4328" t="inlineStr">
        <is>
          <t>Onsite</t>
        </is>
      </c>
      <c r="AB4328" t="n">
        <v>1443</v>
      </c>
      <c r="AD4328" s="52">
        <f>IFERROR(N(IFERROR(INDEX($A4328:$AB4328,MATCH("Xero Invoiced Ex GST",$A$1:$AB$1,0)),"")),0)</f>
        <v/>
      </c>
      <c r="AE4328" s="53">
        <f>IFERROR(INDEX($A4328:$AB4328,MATCH("Xero Invoice Date",$A$1:$AB$1,0)),"")</f>
        <v/>
      </c>
      <c r="AF4328" s="54">
        <f>IF(AND(IFERROR(INDEX($A4328:$AB4328,MATCH("Xero Invoice No",$A$1:$AB$1,0)),"")&amp;""&lt;&gt;"",ISNUMBER(AE4328),AD4328&lt;&gt;0),1,0)</f>
        <v/>
      </c>
      <c r="AG4328" s="55">
        <f>IF(AF4328=1,EOMONTH(AE4328,0),"")</f>
        <v/>
      </c>
      <c r="AH4328" s="9">
        <f>IF(AF4328=1,UPPER(TRIM(IFERROR(INDEX($A4328:$AB4328,MATCH("Client",$A$1:$AB$1,0)),"")&amp;"")),"")</f>
        <v/>
      </c>
      <c r="AI4328" s="9">
        <f>IF(AF4328=1,IFERROR(INDEX($A4328:$AB4328,MATCH("Cost Centre",$A$1:$AB$1,0)),"")&amp;"","")</f>
        <v/>
      </c>
      <c r="AJ4328" s="54">
        <f>IF(AND(AF4328=1,AE4328&gt;=set_FYStart,AE4328&lt;=set_AsAt),1,0)</f>
        <v/>
      </c>
      <c r="AK4328" s="54">
        <f>IF(AND(AJ4328=1,AH4328&lt;&gt;"",COUNTIFS($AH$2:AH4328,AH4328,$AJ$2:AJ4328,1)=1),N(AL4327)+1,"")</f>
        <v/>
      </c>
      <c r="AL4328" s="54">
        <f>IF(AK4328&lt;&gt;"",AK4328,N(AL4327))</f>
        <v/>
      </c>
    </row>
    <row r="4329">
      <c r="A4329" t="inlineStr">
        <is>
          <t>PRD-1443</t>
        </is>
      </c>
      <c r="B4329" t="inlineStr">
        <is>
          <t>Production</t>
        </is>
      </c>
      <c r="AB4329" t="n">
        <v>1443</v>
      </c>
      <c r="AD4329" s="52">
        <f>IFERROR(N(IFERROR(INDEX($A4329:$AB4329,MATCH("Xero Invoiced Ex GST",$A$1:$AB$1,0)),"")),0)</f>
        <v/>
      </c>
      <c r="AE4329" s="53">
        <f>IFERROR(INDEX($A4329:$AB4329,MATCH("Xero Invoice Date",$A$1:$AB$1,0)),"")</f>
        <v/>
      </c>
      <c r="AF4329" s="54">
        <f>IF(AND(IFERROR(INDEX($A4329:$AB4329,MATCH("Xero Invoice No",$A$1:$AB$1,0)),"")&amp;""&lt;&gt;"",ISNUMBER(AE4329),AD4329&lt;&gt;0),1,0)</f>
        <v/>
      </c>
      <c r="AG4329" s="55">
        <f>IF(AF4329=1,EOMONTH(AE4329,0),"")</f>
        <v/>
      </c>
      <c r="AH4329" s="9">
        <f>IF(AF4329=1,UPPER(TRIM(IFERROR(INDEX($A4329:$AB4329,MATCH("Client",$A$1:$AB$1,0)),"")&amp;"")),"")</f>
        <v/>
      </c>
      <c r="AI4329" s="9">
        <f>IF(AF4329=1,IFERROR(INDEX($A4329:$AB4329,MATCH("Cost Centre",$A$1:$AB$1,0)),"")&amp;"","")</f>
        <v/>
      </c>
      <c r="AJ4329" s="54">
        <f>IF(AND(AF4329=1,AE4329&gt;=set_FYStart,AE4329&lt;=set_AsAt),1,0)</f>
        <v/>
      </c>
      <c r="AK4329" s="54">
        <f>IF(AND(AJ4329=1,AH4329&lt;&gt;"",COUNTIFS($AH$2:AH4329,AH4329,$AJ$2:AJ4329,1)=1),N(AL4328)+1,"")</f>
        <v/>
      </c>
      <c r="AL4329" s="54">
        <f>IF(AK4329&lt;&gt;"",AK4329,N(AL4328))</f>
        <v/>
      </c>
    </row>
    <row r="4330">
      <c r="A4330" t="inlineStr">
        <is>
          <t>CON-1443</t>
        </is>
      </c>
      <c r="B4330" t="inlineStr">
        <is>
          <t>Consulting</t>
        </is>
      </c>
      <c r="AB4330" t="n">
        <v>1443</v>
      </c>
      <c r="AD4330" s="52">
        <f>IFERROR(N(IFERROR(INDEX($A4330:$AB4330,MATCH("Xero Invoiced Ex GST",$A$1:$AB$1,0)),"")),0)</f>
        <v/>
      </c>
      <c r="AE4330" s="53">
        <f>IFERROR(INDEX($A4330:$AB4330,MATCH("Xero Invoice Date",$A$1:$AB$1,0)),"")</f>
        <v/>
      </c>
      <c r="AF4330" s="54">
        <f>IF(AND(IFERROR(INDEX($A4330:$AB4330,MATCH("Xero Invoice No",$A$1:$AB$1,0)),"")&amp;""&lt;&gt;"",ISNUMBER(AE4330),AD4330&lt;&gt;0),1,0)</f>
        <v/>
      </c>
      <c r="AG4330" s="55">
        <f>IF(AF4330=1,EOMONTH(AE4330,0),"")</f>
        <v/>
      </c>
      <c r="AH4330" s="9">
        <f>IF(AF4330=1,UPPER(TRIM(IFERROR(INDEX($A4330:$AB4330,MATCH("Client",$A$1:$AB$1,0)),"")&amp;"")),"")</f>
        <v/>
      </c>
      <c r="AI4330" s="9">
        <f>IF(AF4330=1,IFERROR(INDEX($A4330:$AB4330,MATCH("Cost Centre",$A$1:$AB$1,0)),"")&amp;"","")</f>
        <v/>
      </c>
      <c r="AJ4330" s="54">
        <f>IF(AND(AF4330=1,AE4330&gt;=set_FYStart,AE4330&lt;=set_AsAt),1,0)</f>
        <v/>
      </c>
      <c r="AK4330" s="54">
        <f>IF(AND(AJ4330=1,AH4330&lt;&gt;"",COUNTIFS($AH$2:AH4330,AH4330,$AJ$2:AJ4330,1)=1),N(AL4329)+1,"")</f>
        <v/>
      </c>
      <c r="AL4330" s="54">
        <f>IF(AK4330&lt;&gt;"",AK4330,N(AL4329))</f>
        <v/>
      </c>
    </row>
    <row r="4331">
      <c r="A4331" t="inlineStr">
        <is>
          <t>ONS-1444</t>
        </is>
      </c>
      <c r="B4331" t="inlineStr">
        <is>
          <t>Onsite</t>
        </is>
      </c>
      <c r="AB4331" t="n">
        <v>1444</v>
      </c>
      <c r="AD4331" s="52">
        <f>IFERROR(N(IFERROR(INDEX($A4331:$AB4331,MATCH("Xero Invoiced Ex GST",$A$1:$AB$1,0)),"")),0)</f>
        <v/>
      </c>
      <c r="AE4331" s="53">
        <f>IFERROR(INDEX($A4331:$AB4331,MATCH("Xero Invoice Date",$A$1:$AB$1,0)),"")</f>
        <v/>
      </c>
      <c r="AF4331" s="54">
        <f>IF(AND(IFERROR(INDEX($A4331:$AB4331,MATCH("Xero Invoice No",$A$1:$AB$1,0)),"")&amp;""&lt;&gt;"",ISNUMBER(AE4331),AD4331&lt;&gt;0),1,0)</f>
        <v/>
      </c>
      <c r="AG4331" s="55">
        <f>IF(AF4331=1,EOMONTH(AE4331,0),"")</f>
        <v/>
      </c>
      <c r="AH4331" s="9">
        <f>IF(AF4331=1,UPPER(TRIM(IFERROR(INDEX($A4331:$AB4331,MATCH("Client",$A$1:$AB$1,0)),"")&amp;"")),"")</f>
        <v/>
      </c>
      <c r="AI4331" s="9">
        <f>IF(AF4331=1,IFERROR(INDEX($A4331:$AB4331,MATCH("Cost Centre",$A$1:$AB$1,0)),"")&amp;"","")</f>
        <v/>
      </c>
      <c r="AJ4331" s="54">
        <f>IF(AND(AF4331=1,AE4331&gt;=set_FYStart,AE4331&lt;=set_AsAt),1,0)</f>
        <v/>
      </c>
      <c r="AK4331" s="54">
        <f>IF(AND(AJ4331=1,AH4331&lt;&gt;"",COUNTIFS($AH$2:AH4331,AH4331,$AJ$2:AJ4331,1)=1),N(AL4330)+1,"")</f>
        <v/>
      </c>
      <c r="AL4331" s="54">
        <f>IF(AK4331&lt;&gt;"",AK4331,N(AL4330))</f>
        <v/>
      </c>
    </row>
    <row r="4332">
      <c r="A4332" t="inlineStr">
        <is>
          <t>PRD-1444</t>
        </is>
      </c>
      <c r="B4332" t="inlineStr">
        <is>
          <t>Production</t>
        </is>
      </c>
      <c r="AB4332" t="n">
        <v>1444</v>
      </c>
      <c r="AD4332" s="52">
        <f>IFERROR(N(IFERROR(INDEX($A4332:$AB4332,MATCH("Xero Invoiced Ex GST",$A$1:$AB$1,0)),"")),0)</f>
        <v/>
      </c>
      <c r="AE4332" s="53">
        <f>IFERROR(INDEX($A4332:$AB4332,MATCH("Xero Invoice Date",$A$1:$AB$1,0)),"")</f>
        <v/>
      </c>
      <c r="AF4332" s="54">
        <f>IF(AND(IFERROR(INDEX($A4332:$AB4332,MATCH("Xero Invoice No",$A$1:$AB$1,0)),"")&amp;""&lt;&gt;"",ISNUMBER(AE4332),AD4332&lt;&gt;0),1,0)</f>
        <v/>
      </c>
      <c r="AG4332" s="55">
        <f>IF(AF4332=1,EOMONTH(AE4332,0),"")</f>
        <v/>
      </c>
      <c r="AH4332" s="9">
        <f>IF(AF4332=1,UPPER(TRIM(IFERROR(INDEX($A4332:$AB4332,MATCH("Client",$A$1:$AB$1,0)),"")&amp;"")),"")</f>
        <v/>
      </c>
      <c r="AI4332" s="9">
        <f>IF(AF4332=1,IFERROR(INDEX($A4332:$AB4332,MATCH("Cost Centre",$A$1:$AB$1,0)),"")&amp;"","")</f>
        <v/>
      </c>
      <c r="AJ4332" s="54">
        <f>IF(AND(AF4332=1,AE4332&gt;=set_FYStart,AE4332&lt;=set_AsAt),1,0)</f>
        <v/>
      </c>
      <c r="AK4332" s="54">
        <f>IF(AND(AJ4332=1,AH4332&lt;&gt;"",COUNTIFS($AH$2:AH4332,AH4332,$AJ$2:AJ4332,1)=1),N(AL4331)+1,"")</f>
        <v/>
      </c>
      <c r="AL4332" s="54">
        <f>IF(AK4332&lt;&gt;"",AK4332,N(AL4331))</f>
        <v/>
      </c>
    </row>
    <row r="4333">
      <c r="A4333" t="inlineStr">
        <is>
          <t>CON-1444</t>
        </is>
      </c>
      <c r="B4333" t="inlineStr">
        <is>
          <t>Consulting</t>
        </is>
      </c>
      <c r="AB4333" t="n">
        <v>1444</v>
      </c>
      <c r="AD4333" s="52">
        <f>IFERROR(N(IFERROR(INDEX($A4333:$AB4333,MATCH("Xero Invoiced Ex GST",$A$1:$AB$1,0)),"")),0)</f>
        <v/>
      </c>
      <c r="AE4333" s="53">
        <f>IFERROR(INDEX($A4333:$AB4333,MATCH("Xero Invoice Date",$A$1:$AB$1,0)),"")</f>
        <v/>
      </c>
      <c r="AF4333" s="54">
        <f>IF(AND(IFERROR(INDEX($A4333:$AB4333,MATCH("Xero Invoice No",$A$1:$AB$1,0)),"")&amp;""&lt;&gt;"",ISNUMBER(AE4333),AD4333&lt;&gt;0),1,0)</f>
        <v/>
      </c>
      <c r="AG4333" s="55">
        <f>IF(AF4333=1,EOMONTH(AE4333,0),"")</f>
        <v/>
      </c>
      <c r="AH4333" s="9">
        <f>IF(AF4333=1,UPPER(TRIM(IFERROR(INDEX($A4333:$AB4333,MATCH("Client",$A$1:$AB$1,0)),"")&amp;"")),"")</f>
        <v/>
      </c>
      <c r="AI4333" s="9">
        <f>IF(AF4333=1,IFERROR(INDEX($A4333:$AB4333,MATCH("Cost Centre",$A$1:$AB$1,0)),"")&amp;"","")</f>
        <v/>
      </c>
      <c r="AJ4333" s="54">
        <f>IF(AND(AF4333=1,AE4333&gt;=set_FYStart,AE4333&lt;=set_AsAt),1,0)</f>
        <v/>
      </c>
      <c r="AK4333" s="54">
        <f>IF(AND(AJ4333=1,AH4333&lt;&gt;"",COUNTIFS($AH$2:AH4333,AH4333,$AJ$2:AJ4333,1)=1),N(AL4332)+1,"")</f>
        <v/>
      </c>
      <c r="AL4333" s="54">
        <f>IF(AK4333&lt;&gt;"",AK4333,N(AL4332))</f>
        <v/>
      </c>
    </row>
    <row r="4334">
      <c r="A4334" t="inlineStr">
        <is>
          <t>ONS-1445</t>
        </is>
      </c>
      <c r="B4334" t="inlineStr">
        <is>
          <t>Onsite</t>
        </is>
      </c>
      <c r="AB4334" t="n">
        <v>1445</v>
      </c>
      <c r="AD4334" s="52">
        <f>IFERROR(N(IFERROR(INDEX($A4334:$AB4334,MATCH("Xero Invoiced Ex GST",$A$1:$AB$1,0)),"")),0)</f>
        <v/>
      </c>
      <c r="AE4334" s="53">
        <f>IFERROR(INDEX($A4334:$AB4334,MATCH("Xero Invoice Date",$A$1:$AB$1,0)),"")</f>
        <v/>
      </c>
      <c r="AF4334" s="54">
        <f>IF(AND(IFERROR(INDEX($A4334:$AB4334,MATCH("Xero Invoice No",$A$1:$AB$1,0)),"")&amp;""&lt;&gt;"",ISNUMBER(AE4334),AD4334&lt;&gt;0),1,0)</f>
        <v/>
      </c>
      <c r="AG4334" s="55">
        <f>IF(AF4334=1,EOMONTH(AE4334,0),"")</f>
        <v/>
      </c>
      <c r="AH4334" s="9">
        <f>IF(AF4334=1,UPPER(TRIM(IFERROR(INDEX($A4334:$AB4334,MATCH("Client",$A$1:$AB$1,0)),"")&amp;"")),"")</f>
        <v/>
      </c>
      <c r="AI4334" s="9">
        <f>IF(AF4334=1,IFERROR(INDEX($A4334:$AB4334,MATCH("Cost Centre",$A$1:$AB$1,0)),"")&amp;"","")</f>
        <v/>
      </c>
      <c r="AJ4334" s="54">
        <f>IF(AND(AF4334=1,AE4334&gt;=set_FYStart,AE4334&lt;=set_AsAt),1,0)</f>
        <v/>
      </c>
      <c r="AK4334" s="54">
        <f>IF(AND(AJ4334=1,AH4334&lt;&gt;"",COUNTIFS($AH$2:AH4334,AH4334,$AJ$2:AJ4334,1)=1),N(AL4333)+1,"")</f>
        <v/>
      </c>
      <c r="AL4334" s="54">
        <f>IF(AK4334&lt;&gt;"",AK4334,N(AL4333))</f>
        <v/>
      </c>
    </row>
    <row r="4335">
      <c r="A4335" t="inlineStr">
        <is>
          <t>PRD-1445</t>
        </is>
      </c>
      <c r="B4335" t="inlineStr">
        <is>
          <t>Production</t>
        </is>
      </c>
      <c r="AB4335" t="n">
        <v>1445</v>
      </c>
      <c r="AD4335" s="52">
        <f>IFERROR(N(IFERROR(INDEX($A4335:$AB4335,MATCH("Xero Invoiced Ex GST",$A$1:$AB$1,0)),"")),0)</f>
        <v/>
      </c>
      <c r="AE4335" s="53">
        <f>IFERROR(INDEX($A4335:$AB4335,MATCH("Xero Invoice Date",$A$1:$AB$1,0)),"")</f>
        <v/>
      </c>
      <c r="AF4335" s="54">
        <f>IF(AND(IFERROR(INDEX($A4335:$AB4335,MATCH("Xero Invoice No",$A$1:$AB$1,0)),"")&amp;""&lt;&gt;"",ISNUMBER(AE4335),AD4335&lt;&gt;0),1,0)</f>
        <v/>
      </c>
      <c r="AG4335" s="55">
        <f>IF(AF4335=1,EOMONTH(AE4335,0),"")</f>
        <v/>
      </c>
      <c r="AH4335" s="9">
        <f>IF(AF4335=1,UPPER(TRIM(IFERROR(INDEX($A4335:$AB4335,MATCH("Client",$A$1:$AB$1,0)),"")&amp;"")),"")</f>
        <v/>
      </c>
      <c r="AI4335" s="9">
        <f>IF(AF4335=1,IFERROR(INDEX($A4335:$AB4335,MATCH("Cost Centre",$A$1:$AB$1,0)),"")&amp;"","")</f>
        <v/>
      </c>
      <c r="AJ4335" s="54">
        <f>IF(AND(AF4335=1,AE4335&gt;=set_FYStart,AE4335&lt;=set_AsAt),1,0)</f>
        <v/>
      </c>
      <c r="AK4335" s="54">
        <f>IF(AND(AJ4335=1,AH4335&lt;&gt;"",COUNTIFS($AH$2:AH4335,AH4335,$AJ$2:AJ4335,1)=1),N(AL4334)+1,"")</f>
        <v/>
      </c>
      <c r="AL4335" s="54">
        <f>IF(AK4335&lt;&gt;"",AK4335,N(AL4334))</f>
        <v/>
      </c>
    </row>
    <row r="4336">
      <c r="A4336" t="inlineStr">
        <is>
          <t>CON-1445</t>
        </is>
      </c>
      <c r="B4336" t="inlineStr">
        <is>
          <t>Consulting</t>
        </is>
      </c>
      <c r="AB4336" t="n">
        <v>1445</v>
      </c>
      <c r="AD4336" s="52">
        <f>IFERROR(N(IFERROR(INDEX($A4336:$AB4336,MATCH("Xero Invoiced Ex GST",$A$1:$AB$1,0)),"")),0)</f>
        <v/>
      </c>
      <c r="AE4336" s="53">
        <f>IFERROR(INDEX($A4336:$AB4336,MATCH("Xero Invoice Date",$A$1:$AB$1,0)),"")</f>
        <v/>
      </c>
      <c r="AF4336" s="54">
        <f>IF(AND(IFERROR(INDEX($A4336:$AB4336,MATCH("Xero Invoice No",$A$1:$AB$1,0)),"")&amp;""&lt;&gt;"",ISNUMBER(AE4336),AD4336&lt;&gt;0),1,0)</f>
        <v/>
      </c>
      <c r="AG4336" s="55">
        <f>IF(AF4336=1,EOMONTH(AE4336,0),"")</f>
        <v/>
      </c>
      <c r="AH4336" s="9">
        <f>IF(AF4336=1,UPPER(TRIM(IFERROR(INDEX($A4336:$AB4336,MATCH("Client",$A$1:$AB$1,0)),"")&amp;"")),"")</f>
        <v/>
      </c>
      <c r="AI4336" s="9">
        <f>IF(AF4336=1,IFERROR(INDEX($A4336:$AB4336,MATCH("Cost Centre",$A$1:$AB$1,0)),"")&amp;"","")</f>
        <v/>
      </c>
      <c r="AJ4336" s="54">
        <f>IF(AND(AF4336=1,AE4336&gt;=set_FYStart,AE4336&lt;=set_AsAt),1,0)</f>
        <v/>
      </c>
      <c r="AK4336" s="54">
        <f>IF(AND(AJ4336=1,AH4336&lt;&gt;"",COUNTIFS($AH$2:AH4336,AH4336,$AJ$2:AJ4336,1)=1),N(AL4335)+1,"")</f>
        <v/>
      </c>
      <c r="AL4336" s="54">
        <f>IF(AK4336&lt;&gt;"",AK4336,N(AL4335))</f>
        <v/>
      </c>
    </row>
    <row r="4337">
      <c r="A4337" t="inlineStr">
        <is>
          <t>ONS-1446</t>
        </is>
      </c>
      <c r="B4337" t="inlineStr">
        <is>
          <t>Onsite</t>
        </is>
      </c>
      <c r="AB4337" t="n">
        <v>1446</v>
      </c>
      <c r="AD4337" s="52">
        <f>IFERROR(N(IFERROR(INDEX($A4337:$AB4337,MATCH("Xero Invoiced Ex GST",$A$1:$AB$1,0)),"")),0)</f>
        <v/>
      </c>
      <c r="AE4337" s="53">
        <f>IFERROR(INDEX($A4337:$AB4337,MATCH("Xero Invoice Date",$A$1:$AB$1,0)),"")</f>
        <v/>
      </c>
      <c r="AF4337" s="54">
        <f>IF(AND(IFERROR(INDEX($A4337:$AB4337,MATCH("Xero Invoice No",$A$1:$AB$1,0)),"")&amp;""&lt;&gt;"",ISNUMBER(AE4337),AD4337&lt;&gt;0),1,0)</f>
        <v/>
      </c>
      <c r="AG4337" s="55">
        <f>IF(AF4337=1,EOMONTH(AE4337,0),"")</f>
        <v/>
      </c>
      <c r="AH4337" s="9">
        <f>IF(AF4337=1,UPPER(TRIM(IFERROR(INDEX($A4337:$AB4337,MATCH("Client",$A$1:$AB$1,0)),"")&amp;"")),"")</f>
        <v/>
      </c>
      <c r="AI4337" s="9">
        <f>IF(AF4337=1,IFERROR(INDEX($A4337:$AB4337,MATCH("Cost Centre",$A$1:$AB$1,0)),"")&amp;"","")</f>
        <v/>
      </c>
      <c r="AJ4337" s="54">
        <f>IF(AND(AF4337=1,AE4337&gt;=set_FYStart,AE4337&lt;=set_AsAt),1,0)</f>
        <v/>
      </c>
      <c r="AK4337" s="54">
        <f>IF(AND(AJ4337=1,AH4337&lt;&gt;"",COUNTIFS($AH$2:AH4337,AH4337,$AJ$2:AJ4337,1)=1),N(AL4336)+1,"")</f>
        <v/>
      </c>
      <c r="AL4337" s="54">
        <f>IF(AK4337&lt;&gt;"",AK4337,N(AL4336))</f>
        <v/>
      </c>
    </row>
    <row r="4338">
      <c r="A4338" t="inlineStr">
        <is>
          <t>PRD-1446</t>
        </is>
      </c>
      <c r="B4338" t="inlineStr">
        <is>
          <t>Production</t>
        </is>
      </c>
      <c r="AB4338" t="n">
        <v>1446</v>
      </c>
      <c r="AD4338" s="52">
        <f>IFERROR(N(IFERROR(INDEX($A4338:$AB4338,MATCH("Xero Invoiced Ex GST",$A$1:$AB$1,0)),"")),0)</f>
        <v/>
      </c>
      <c r="AE4338" s="53">
        <f>IFERROR(INDEX($A4338:$AB4338,MATCH("Xero Invoice Date",$A$1:$AB$1,0)),"")</f>
        <v/>
      </c>
      <c r="AF4338" s="54">
        <f>IF(AND(IFERROR(INDEX($A4338:$AB4338,MATCH("Xero Invoice No",$A$1:$AB$1,0)),"")&amp;""&lt;&gt;"",ISNUMBER(AE4338),AD4338&lt;&gt;0),1,0)</f>
        <v/>
      </c>
      <c r="AG4338" s="55">
        <f>IF(AF4338=1,EOMONTH(AE4338,0),"")</f>
        <v/>
      </c>
      <c r="AH4338" s="9">
        <f>IF(AF4338=1,UPPER(TRIM(IFERROR(INDEX($A4338:$AB4338,MATCH("Client",$A$1:$AB$1,0)),"")&amp;"")),"")</f>
        <v/>
      </c>
      <c r="AI4338" s="9">
        <f>IF(AF4338=1,IFERROR(INDEX($A4338:$AB4338,MATCH("Cost Centre",$A$1:$AB$1,0)),"")&amp;"","")</f>
        <v/>
      </c>
      <c r="AJ4338" s="54">
        <f>IF(AND(AF4338=1,AE4338&gt;=set_FYStart,AE4338&lt;=set_AsAt),1,0)</f>
        <v/>
      </c>
      <c r="AK4338" s="54">
        <f>IF(AND(AJ4338=1,AH4338&lt;&gt;"",COUNTIFS($AH$2:AH4338,AH4338,$AJ$2:AJ4338,1)=1),N(AL4337)+1,"")</f>
        <v/>
      </c>
      <c r="AL4338" s="54">
        <f>IF(AK4338&lt;&gt;"",AK4338,N(AL4337))</f>
        <v/>
      </c>
    </row>
    <row r="4339">
      <c r="A4339" t="inlineStr">
        <is>
          <t>CON-1446</t>
        </is>
      </c>
      <c r="B4339" t="inlineStr">
        <is>
          <t>Consulting</t>
        </is>
      </c>
      <c r="AB4339" t="n">
        <v>1446</v>
      </c>
      <c r="AD4339" s="52">
        <f>IFERROR(N(IFERROR(INDEX($A4339:$AB4339,MATCH("Xero Invoiced Ex GST",$A$1:$AB$1,0)),"")),0)</f>
        <v/>
      </c>
      <c r="AE4339" s="53">
        <f>IFERROR(INDEX($A4339:$AB4339,MATCH("Xero Invoice Date",$A$1:$AB$1,0)),"")</f>
        <v/>
      </c>
      <c r="AF4339" s="54">
        <f>IF(AND(IFERROR(INDEX($A4339:$AB4339,MATCH("Xero Invoice No",$A$1:$AB$1,0)),"")&amp;""&lt;&gt;"",ISNUMBER(AE4339),AD4339&lt;&gt;0),1,0)</f>
        <v/>
      </c>
      <c r="AG4339" s="55">
        <f>IF(AF4339=1,EOMONTH(AE4339,0),"")</f>
        <v/>
      </c>
      <c r="AH4339" s="9">
        <f>IF(AF4339=1,UPPER(TRIM(IFERROR(INDEX($A4339:$AB4339,MATCH("Client",$A$1:$AB$1,0)),"")&amp;"")),"")</f>
        <v/>
      </c>
      <c r="AI4339" s="9">
        <f>IF(AF4339=1,IFERROR(INDEX($A4339:$AB4339,MATCH("Cost Centre",$A$1:$AB$1,0)),"")&amp;"","")</f>
        <v/>
      </c>
      <c r="AJ4339" s="54">
        <f>IF(AND(AF4339=1,AE4339&gt;=set_FYStart,AE4339&lt;=set_AsAt),1,0)</f>
        <v/>
      </c>
      <c r="AK4339" s="54">
        <f>IF(AND(AJ4339=1,AH4339&lt;&gt;"",COUNTIFS($AH$2:AH4339,AH4339,$AJ$2:AJ4339,1)=1),N(AL4338)+1,"")</f>
        <v/>
      </c>
      <c r="AL4339" s="54">
        <f>IF(AK4339&lt;&gt;"",AK4339,N(AL4338))</f>
        <v/>
      </c>
    </row>
    <row r="4340">
      <c r="A4340" t="inlineStr">
        <is>
          <t>ONS-1447</t>
        </is>
      </c>
      <c r="B4340" t="inlineStr">
        <is>
          <t>Onsite</t>
        </is>
      </c>
      <c r="AB4340" t="n">
        <v>1447</v>
      </c>
      <c r="AD4340" s="52">
        <f>IFERROR(N(IFERROR(INDEX($A4340:$AB4340,MATCH("Xero Invoiced Ex GST",$A$1:$AB$1,0)),"")),0)</f>
        <v/>
      </c>
      <c r="AE4340" s="53">
        <f>IFERROR(INDEX($A4340:$AB4340,MATCH("Xero Invoice Date",$A$1:$AB$1,0)),"")</f>
        <v/>
      </c>
      <c r="AF4340" s="54">
        <f>IF(AND(IFERROR(INDEX($A4340:$AB4340,MATCH("Xero Invoice No",$A$1:$AB$1,0)),"")&amp;""&lt;&gt;"",ISNUMBER(AE4340),AD4340&lt;&gt;0),1,0)</f>
        <v/>
      </c>
      <c r="AG4340" s="55">
        <f>IF(AF4340=1,EOMONTH(AE4340,0),"")</f>
        <v/>
      </c>
      <c r="AH4340" s="9">
        <f>IF(AF4340=1,UPPER(TRIM(IFERROR(INDEX($A4340:$AB4340,MATCH("Client",$A$1:$AB$1,0)),"")&amp;"")),"")</f>
        <v/>
      </c>
      <c r="AI4340" s="9">
        <f>IF(AF4340=1,IFERROR(INDEX($A4340:$AB4340,MATCH("Cost Centre",$A$1:$AB$1,0)),"")&amp;"","")</f>
        <v/>
      </c>
      <c r="AJ4340" s="54">
        <f>IF(AND(AF4340=1,AE4340&gt;=set_FYStart,AE4340&lt;=set_AsAt),1,0)</f>
        <v/>
      </c>
      <c r="AK4340" s="54">
        <f>IF(AND(AJ4340=1,AH4340&lt;&gt;"",COUNTIFS($AH$2:AH4340,AH4340,$AJ$2:AJ4340,1)=1),N(AL4339)+1,"")</f>
        <v/>
      </c>
      <c r="AL4340" s="54">
        <f>IF(AK4340&lt;&gt;"",AK4340,N(AL4339))</f>
        <v/>
      </c>
    </row>
    <row r="4341">
      <c r="A4341" t="inlineStr">
        <is>
          <t>PRD-1447</t>
        </is>
      </c>
      <c r="B4341" t="inlineStr">
        <is>
          <t>Production</t>
        </is>
      </c>
      <c r="AB4341" t="n">
        <v>1447</v>
      </c>
      <c r="AD4341" s="52">
        <f>IFERROR(N(IFERROR(INDEX($A4341:$AB4341,MATCH("Xero Invoiced Ex GST",$A$1:$AB$1,0)),"")),0)</f>
        <v/>
      </c>
      <c r="AE4341" s="53">
        <f>IFERROR(INDEX($A4341:$AB4341,MATCH("Xero Invoice Date",$A$1:$AB$1,0)),"")</f>
        <v/>
      </c>
      <c r="AF4341" s="54">
        <f>IF(AND(IFERROR(INDEX($A4341:$AB4341,MATCH("Xero Invoice No",$A$1:$AB$1,0)),"")&amp;""&lt;&gt;"",ISNUMBER(AE4341),AD4341&lt;&gt;0),1,0)</f>
        <v/>
      </c>
      <c r="AG4341" s="55">
        <f>IF(AF4341=1,EOMONTH(AE4341,0),"")</f>
        <v/>
      </c>
      <c r="AH4341" s="9">
        <f>IF(AF4341=1,UPPER(TRIM(IFERROR(INDEX($A4341:$AB4341,MATCH("Client",$A$1:$AB$1,0)),"")&amp;"")),"")</f>
        <v/>
      </c>
      <c r="AI4341" s="9">
        <f>IF(AF4341=1,IFERROR(INDEX($A4341:$AB4341,MATCH("Cost Centre",$A$1:$AB$1,0)),"")&amp;"","")</f>
        <v/>
      </c>
      <c r="AJ4341" s="54">
        <f>IF(AND(AF4341=1,AE4341&gt;=set_FYStart,AE4341&lt;=set_AsAt),1,0)</f>
        <v/>
      </c>
      <c r="AK4341" s="54">
        <f>IF(AND(AJ4341=1,AH4341&lt;&gt;"",COUNTIFS($AH$2:AH4341,AH4341,$AJ$2:AJ4341,1)=1),N(AL4340)+1,"")</f>
        <v/>
      </c>
      <c r="AL4341" s="54">
        <f>IF(AK4341&lt;&gt;"",AK4341,N(AL4340))</f>
        <v/>
      </c>
    </row>
    <row r="4342">
      <c r="A4342" t="inlineStr">
        <is>
          <t>CON-1447</t>
        </is>
      </c>
      <c r="B4342" t="inlineStr">
        <is>
          <t>Consulting</t>
        </is>
      </c>
      <c r="AB4342" t="n">
        <v>1447</v>
      </c>
      <c r="AD4342" s="52">
        <f>IFERROR(N(IFERROR(INDEX($A4342:$AB4342,MATCH("Xero Invoiced Ex GST",$A$1:$AB$1,0)),"")),0)</f>
        <v/>
      </c>
      <c r="AE4342" s="53">
        <f>IFERROR(INDEX($A4342:$AB4342,MATCH("Xero Invoice Date",$A$1:$AB$1,0)),"")</f>
        <v/>
      </c>
      <c r="AF4342" s="54">
        <f>IF(AND(IFERROR(INDEX($A4342:$AB4342,MATCH("Xero Invoice No",$A$1:$AB$1,0)),"")&amp;""&lt;&gt;"",ISNUMBER(AE4342),AD4342&lt;&gt;0),1,0)</f>
        <v/>
      </c>
      <c r="AG4342" s="55">
        <f>IF(AF4342=1,EOMONTH(AE4342,0),"")</f>
        <v/>
      </c>
      <c r="AH4342" s="9">
        <f>IF(AF4342=1,UPPER(TRIM(IFERROR(INDEX($A4342:$AB4342,MATCH("Client",$A$1:$AB$1,0)),"")&amp;"")),"")</f>
        <v/>
      </c>
      <c r="AI4342" s="9">
        <f>IF(AF4342=1,IFERROR(INDEX($A4342:$AB4342,MATCH("Cost Centre",$A$1:$AB$1,0)),"")&amp;"","")</f>
        <v/>
      </c>
      <c r="AJ4342" s="54">
        <f>IF(AND(AF4342=1,AE4342&gt;=set_FYStart,AE4342&lt;=set_AsAt),1,0)</f>
        <v/>
      </c>
      <c r="AK4342" s="54">
        <f>IF(AND(AJ4342=1,AH4342&lt;&gt;"",COUNTIFS($AH$2:AH4342,AH4342,$AJ$2:AJ4342,1)=1),N(AL4341)+1,"")</f>
        <v/>
      </c>
      <c r="AL4342" s="54">
        <f>IF(AK4342&lt;&gt;"",AK4342,N(AL4341))</f>
        <v/>
      </c>
    </row>
    <row r="4343">
      <c r="A4343" t="inlineStr">
        <is>
          <t>ONS-1448</t>
        </is>
      </c>
      <c r="B4343" t="inlineStr">
        <is>
          <t>Onsite</t>
        </is>
      </c>
      <c r="AB4343" t="n">
        <v>1448</v>
      </c>
      <c r="AD4343" s="52">
        <f>IFERROR(N(IFERROR(INDEX($A4343:$AB4343,MATCH("Xero Invoiced Ex GST",$A$1:$AB$1,0)),"")),0)</f>
        <v/>
      </c>
      <c r="AE4343" s="53">
        <f>IFERROR(INDEX($A4343:$AB4343,MATCH("Xero Invoice Date",$A$1:$AB$1,0)),"")</f>
        <v/>
      </c>
      <c r="AF4343" s="54">
        <f>IF(AND(IFERROR(INDEX($A4343:$AB4343,MATCH("Xero Invoice No",$A$1:$AB$1,0)),"")&amp;""&lt;&gt;"",ISNUMBER(AE4343),AD4343&lt;&gt;0),1,0)</f>
        <v/>
      </c>
      <c r="AG4343" s="55">
        <f>IF(AF4343=1,EOMONTH(AE4343,0),"")</f>
        <v/>
      </c>
      <c r="AH4343" s="9">
        <f>IF(AF4343=1,UPPER(TRIM(IFERROR(INDEX($A4343:$AB4343,MATCH("Client",$A$1:$AB$1,0)),"")&amp;"")),"")</f>
        <v/>
      </c>
      <c r="AI4343" s="9">
        <f>IF(AF4343=1,IFERROR(INDEX($A4343:$AB4343,MATCH("Cost Centre",$A$1:$AB$1,0)),"")&amp;"","")</f>
        <v/>
      </c>
      <c r="AJ4343" s="54">
        <f>IF(AND(AF4343=1,AE4343&gt;=set_FYStart,AE4343&lt;=set_AsAt),1,0)</f>
        <v/>
      </c>
      <c r="AK4343" s="54">
        <f>IF(AND(AJ4343=1,AH4343&lt;&gt;"",COUNTIFS($AH$2:AH4343,AH4343,$AJ$2:AJ4343,1)=1),N(AL4342)+1,"")</f>
        <v/>
      </c>
      <c r="AL4343" s="54">
        <f>IF(AK4343&lt;&gt;"",AK4343,N(AL4342))</f>
        <v/>
      </c>
    </row>
    <row r="4344">
      <c r="A4344" t="inlineStr">
        <is>
          <t>PRD-1448</t>
        </is>
      </c>
      <c r="B4344" t="inlineStr">
        <is>
          <t>Production</t>
        </is>
      </c>
      <c r="AB4344" t="n">
        <v>1448</v>
      </c>
      <c r="AD4344" s="52">
        <f>IFERROR(N(IFERROR(INDEX($A4344:$AB4344,MATCH("Xero Invoiced Ex GST",$A$1:$AB$1,0)),"")),0)</f>
        <v/>
      </c>
      <c r="AE4344" s="53">
        <f>IFERROR(INDEX($A4344:$AB4344,MATCH("Xero Invoice Date",$A$1:$AB$1,0)),"")</f>
        <v/>
      </c>
      <c r="AF4344" s="54">
        <f>IF(AND(IFERROR(INDEX($A4344:$AB4344,MATCH("Xero Invoice No",$A$1:$AB$1,0)),"")&amp;""&lt;&gt;"",ISNUMBER(AE4344),AD4344&lt;&gt;0),1,0)</f>
        <v/>
      </c>
      <c r="AG4344" s="55">
        <f>IF(AF4344=1,EOMONTH(AE4344,0),"")</f>
        <v/>
      </c>
      <c r="AH4344" s="9">
        <f>IF(AF4344=1,UPPER(TRIM(IFERROR(INDEX($A4344:$AB4344,MATCH("Client",$A$1:$AB$1,0)),"")&amp;"")),"")</f>
        <v/>
      </c>
      <c r="AI4344" s="9">
        <f>IF(AF4344=1,IFERROR(INDEX($A4344:$AB4344,MATCH("Cost Centre",$A$1:$AB$1,0)),"")&amp;"","")</f>
        <v/>
      </c>
      <c r="AJ4344" s="54">
        <f>IF(AND(AF4344=1,AE4344&gt;=set_FYStart,AE4344&lt;=set_AsAt),1,0)</f>
        <v/>
      </c>
      <c r="AK4344" s="54">
        <f>IF(AND(AJ4344=1,AH4344&lt;&gt;"",COUNTIFS($AH$2:AH4344,AH4344,$AJ$2:AJ4344,1)=1),N(AL4343)+1,"")</f>
        <v/>
      </c>
      <c r="AL4344" s="54">
        <f>IF(AK4344&lt;&gt;"",AK4344,N(AL4343))</f>
        <v/>
      </c>
    </row>
    <row r="4345">
      <c r="A4345" t="inlineStr">
        <is>
          <t>CON-1448</t>
        </is>
      </c>
      <c r="B4345" t="inlineStr">
        <is>
          <t>Consulting</t>
        </is>
      </c>
      <c r="AB4345" t="n">
        <v>1448</v>
      </c>
      <c r="AD4345" s="52">
        <f>IFERROR(N(IFERROR(INDEX($A4345:$AB4345,MATCH("Xero Invoiced Ex GST",$A$1:$AB$1,0)),"")),0)</f>
        <v/>
      </c>
      <c r="AE4345" s="53">
        <f>IFERROR(INDEX($A4345:$AB4345,MATCH("Xero Invoice Date",$A$1:$AB$1,0)),"")</f>
        <v/>
      </c>
      <c r="AF4345" s="54">
        <f>IF(AND(IFERROR(INDEX($A4345:$AB4345,MATCH("Xero Invoice No",$A$1:$AB$1,0)),"")&amp;""&lt;&gt;"",ISNUMBER(AE4345),AD4345&lt;&gt;0),1,0)</f>
        <v/>
      </c>
      <c r="AG4345" s="55">
        <f>IF(AF4345=1,EOMONTH(AE4345,0),"")</f>
        <v/>
      </c>
      <c r="AH4345" s="9">
        <f>IF(AF4345=1,UPPER(TRIM(IFERROR(INDEX($A4345:$AB4345,MATCH("Client",$A$1:$AB$1,0)),"")&amp;"")),"")</f>
        <v/>
      </c>
      <c r="AI4345" s="9">
        <f>IF(AF4345=1,IFERROR(INDEX($A4345:$AB4345,MATCH("Cost Centre",$A$1:$AB$1,0)),"")&amp;"","")</f>
        <v/>
      </c>
      <c r="AJ4345" s="54">
        <f>IF(AND(AF4345=1,AE4345&gt;=set_FYStart,AE4345&lt;=set_AsAt),1,0)</f>
        <v/>
      </c>
      <c r="AK4345" s="54">
        <f>IF(AND(AJ4345=1,AH4345&lt;&gt;"",COUNTIFS($AH$2:AH4345,AH4345,$AJ$2:AJ4345,1)=1),N(AL4344)+1,"")</f>
        <v/>
      </c>
      <c r="AL4345" s="54">
        <f>IF(AK4345&lt;&gt;"",AK4345,N(AL4344))</f>
        <v/>
      </c>
    </row>
    <row r="4346">
      <c r="A4346" t="inlineStr">
        <is>
          <t>ONS-1449</t>
        </is>
      </c>
      <c r="B4346" t="inlineStr">
        <is>
          <t>Onsite</t>
        </is>
      </c>
      <c r="AB4346" t="n">
        <v>1449</v>
      </c>
      <c r="AD4346" s="52">
        <f>IFERROR(N(IFERROR(INDEX($A4346:$AB4346,MATCH("Xero Invoiced Ex GST",$A$1:$AB$1,0)),"")),0)</f>
        <v/>
      </c>
      <c r="AE4346" s="53">
        <f>IFERROR(INDEX($A4346:$AB4346,MATCH("Xero Invoice Date",$A$1:$AB$1,0)),"")</f>
        <v/>
      </c>
      <c r="AF4346" s="54">
        <f>IF(AND(IFERROR(INDEX($A4346:$AB4346,MATCH("Xero Invoice No",$A$1:$AB$1,0)),"")&amp;""&lt;&gt;"",ISNUMBER(AE4346),AD4346&lt;&gt;0),1,0)</f>
        <v/>
      </c>
      <c r="AG4346" s="55">
        <f>IF(AF4346=1,EOMONTH(AE4346,0),"")</f>
        <v/>
      </c>
      <c r="AH4346" s="9">
        <f>IF(AF4346=1,UPPER(TRIM(IFERROR(INDEX($A4346:$AB4346,MATCH("Client",$A$1:$AB$1,0)),"")&amp;"")),"")</f>
        <v/>
      </c>
      <c r="AI4346" s="9">
        <f>IF(AF4346=1,IFERROR(INDEX($A4346:$AB4346,MATCH("Cost Centre",$A$1:$AB$1,0)),"")&amp;"","")</f>
        <v/>
      </c>
      <c r="AJ4346" s="54">
        <f>IF(AND(AF4346=1,AE4346&gt;=set_FYStart,AE4346&lt;=set_AsAt),1,0)</f>
        <v/>
      </c>
      <c r="AK4346" s="54">
        <f>IF(AND(AJ4346=1,AH4346&lt;&gt;"",COUNTIFS($AH$2:AH4346,AH4346,$AJ$2:AJ4346,1)=1),N(AL4345)+1,"")</f>
        <v/>
      </c>
      <c r="AL4346" s="54">
        <f>IF(AK4346&lt;&gt;"",AK4346,N(AL4345))</f>
        <v/>
      </c>
    </row>
    <row r="4347">
      <c r="A4347" t="inlineStr">
        <is>
          <t>PRD-1449</t>
        </is>
      </c>
      <c r="B4347" t="inlineStr">
        <is>
          <t>Production</t>
        </is>
      </c>
      <c r="AB4347" t="n">
        <v>1449</v>
      </c>
      <c r="AD4347" s="52">
        <f>IFERROR(N(IFERROR(INDEX($A4347:$AB4347,MATCH("Xero Invoiced Ex GST",$A$1:$AB$1,0)),"")),0)</f>
        <v/>
      </c>
      <c r="AE4347" s="53">
        <f>IFERROR(INDEX($A4347:$AB4347,MATCH("Xero Invoice Date",$A$1:$AB$1,0)),"")</f>
        <v/>
      </c>
      <c r="AF4347" s="54">
        <f>IF(AND(IFERROR(INDEX($A4347:$AB4347,MATCH("Xero Invoice No",$A$1:$AB$1,0)),"")&amp;""&lt;&gt;"",ISNUMBER(AE4347),AD4347&lt;&gt;0),1,0)</f>
        <v/>
      </c>
      <c r="AG4347" s="55">
        <f>IF(AF4347=1,EOMONTH(AE4347,0),"")</f>
        <v/>
      </c>
      <c r="AH4347" s="9">
        <f>IF(AF4347=1,UPPER(TRIM(IFERROR(INDEX($A4347:$AB4347,MATCH("Client",$A$1:$AB$1,0)),"")&amp;"")),"")</f>
        <v/>
      </c>
      <c r="AI4347" s="9">
        <f>IF(AF4347=1,IFERROR(INDEX($A4347:$AB4347,MATCH("Cost Centre",$A$1:$AB$1,0)),"")&amp;"","")</f>
        <v/>
      </c>
      <c r="AJ4347" s="54">
        <f>IF(AND(AF4347=1,AE4347&gt;=set_FYStart,AE4347&lt;=set_AsAt),1,0)</f>
        <v/>
      </c>
      <c r="AK4347" s="54">
        <f>IF(AND(AJ4347=1,AH4347&lt;&gt;"",COUNTIFS($AH$2:AH4347,AH4347,$AJ$2:AJ4347,1)=1),N(AL4346)+1,"")</f>
        <v/>
      </c>
      <c r="AL4347" s="54">
        <f>IF(AK4347&lt;&gt;"",AK4347,N(AL4346))</f>
        <v/>
      </c>
    </row>
    <row r="4348">
      <c r="A4348" t="inlineStr">
        <is>
          <t>CON-1449</t>
        </is>
      </c>
      <c r="B4348" t="inlineStr">
        <is>
          <t>Consulting</t>
        </is>
      </c>
      <c r="AB4348" t="n">
        <v>1449</v>
      </c>
      <c r="AD4348" s="52">
        <f>IFERROR(N(IFERROR(INDEX($A4348:$AB4348,MATCH("Xero Invoiced Ex GST",$A$1:$AB$1,0)),"")),0)</f>
        <v/>
      </c>
      <c r="AE4348" s="53">
        <f>IFERROR(INDEX($A4348:$AB4348,MATCH("Xero Invoice Date",$A$1:$AB$1,0)),"")</f>
        <v/>
      </c>
      <c r="AF4348" s="54">
        <f>IF(AND(IFERROR(INDEX($A4348:$AB4348,MATCH("Xero Invoice No",$A$1:$AB$1,0)),"")&amp;""&lt;&gt;"",ISNUMBER(AE4348),AD4348&lt;&gt;0),1,0)</f>
        <v/>
      </c>
      <c r="AG4348" s="55">
        <f>IF(AF4348=1,EOMONTH(AE4348,0),"")</f>
        <v/>
      </c>
      <c r="AH4348" s="9">
        <f>IF(AF4348=1,UPPER(TRIM(IFERROR(INDEX($A4348:$AB4348,MATCH("Client",$A$1:$AB$1,0)),"")&amp;"")),"")</f>
        <v/>
      </c>
      <c r="AI4348" s="9">
        <f>IF(AF4348=1,IFERROR(INDEX($A4348:$AB4348,MATCH("Cost Centre",$A$1:$AB$1,0)),"")&amp;"","")</f>
        <v/>
      </c>
      <c r="AJ4348" s="54">
        <f>IF(AND(AF4348=1,AE4348&gt;=set_FYStart,AE4348&lt;=set_AsAt),1,0)</f>
        <v/>
      </c>
      <c r="AK4348" s="54">
        <f>IF(AND(AJ4348=1,AH4348&lt;&gt;"",COUNTIFS($AH$2:AH4348,AH4348,$AJ$2:AJ4348,1)=1),N(AL4347)+1,"")</f>
        <v/>
      </c>
      <c r="AL4348" s="54">
        <f>IF(AK4348&lt;&gt;"",AK4348,N(AL4347))</f>
        <v/>
      </c>
    </row>
    <row r="4349">
      <c r="A4349" t="inlineStr">
        <is>
          <t>ONS-1450</t>
        </is>
      </c>
      <c r="B4349" t="inlineStr">
        <is>
          <t>Onsite</t>
        </is>
      </c>
      <c r="AB4349" t="n">
        <v>1450</v>
      </c>
      <c r="AD4349" s="52">
        <f>IFERROR(N(IFERROR(INDEX($A4349:$AB4349,MATCH("Xero Invoiced Ex GST",$A$1:$AB$1,0)),"")),0)</f>
        <v/>
      </c>
      <c r="AE4349" s="53">
        <f>IFERROR(INDEX($A4349:$AB4349,MATCH("Xero Invoice Date",$A$1:$AB$1,0)),"")</f>
        <v/>
      </c>
      <c r="AF4349" s="54">
        <f>IF(AND(IFERROR(INDEX($A4349:$AB4349,MATCH("Xero Invoice No",$A$1:$AB$1,0)),"")&amp;""&lt;&gt;"",ISNUMBER(AE4349),AD4349&lt;&gt;0),1,0)</f>
        <v/>
      </c>
      <c r="AG4349" s="55">
        <f>IF(AF4349=1,EOMONTH(AE4349,0),"")</f>
        <v/>
      </c>
      <c r="AH4349" s="9">
        <f>IF(AF4349=1,UPPER(TRIM(IFERROR(INDEX($A4349:$AB4349,MATCH("Client",$A$1:$AB$1,0)),"")&amp;"")),"")</f>
        <v/>
      </c>
      <c r="AI4349" s="9">
        <f>IF(AF4349=1,IFERROR(INDEX($A4349:$AB4349,MATCH("Cost Centre",$A$1:$AB$1,0)),"")&amp;"","")</f>
        <v/>
      </c>
      <c r="AJ4349" s="54">
        <f>IF(AND(AF4349=1,AE4349&gt;=set_FYStart,AE4349&lt;=set_AsAt),1,0)</f>
        <v/>
      </c>
      <c r="AK4349" s="54">
        <f>IF(AND(AJ4349=1,AH4349&lt;&gt;"",COUNTIFS($AH$2:AH4349,AH4349,$AJ$2:AJ4349,1)=1),N(AL4348)+1,"")</f>
        <v/>
      </c>
      <c r="AL4349" s="54">
        <f>IF(AK4349&lt;&gt;"",AK4349,N(AL4348))</f>
        <v/>
      </c>
    </row>
    <row r="4350">
      <c r="A4350" t="inlineStr">
        <is>
          <t>PRD-1450</t>
        </is>
      </c>
      <c r="B4350" t="inlineStr">
        <is>
          <t>Production</t>
        </is>
      </c>
      <c r="AB4350" t="n">
        <v>1450</v>
      </c>
      <c r="AD4350" s="52">
        <f>IFERROR(N(IFERROR(INDEX($A4350:$AB4350,MATCH("Xero Invoiced Ex GST",$A$1:$AB$1,0)),"")),0)</f>
        <v/>
      </c>
      <c r="AE4350" s="53">
        <f>IFERROR(INDEX($A4350:$AB4350,MATCH("Xero Invoice Date",$A$1:$AB$1,0)),"")</f>
        <v/>
      </c>
      <c r="AF4350" s="54">
        <f>IF(AND(IFERROR(INDEX($A4350:$AB4350,MATCH("Xero Invoice No",$A$1:$AB$1,0)),"")&amp;""&lt;&gt;"",ISNUMBER(AE4350),AD4350&lt;&gt;0),1,0)</f>
        <v/>
      </c>
      <c r="AG4350" s="55">
        <f>IF(AF4350=1,EOMONTH(AE4350,0),"")</f>
        <v/>
      </c>
      <c r="AH4350" s="9">
        <f>IF(AF4350=1,UPPER(TRIM(IFERROR(INDEX($A4350:$AB4350,MATCH("Client",$A$1:$AB$1,0)),"")&amp;"")),"")</f>
        <v/>
      </c>
      <c r="AI4350" s="9">
        <f>IF(AF4350=1,IFERROR(INDEX($A4350:$AB4350,MATCH("Cost Centre",$A$1:$AB$1,0)),"")&amp;"","")</f>
        <v/>
      </c>
      <c r="AJ4350" s="54">
        <f>IF(AND(AF4350=1,AE4350&gt;=set_FYStart,AE4350&lt;=set_AsAt),1,0)</f>
        <v/>
      </c>
      <c r="AK4350" s="54">
        <f>IF(AND(AJ4350=1,AH4350&lt;&gt;"",COUNTIFS($AH$2:AH4350,AH4350,$AJ$2:AJ4350,1)=1),N(AL4349)+1,"")</f>
        <v/>
      </c>
      <c r="AL4350" s="54">
        <f>IF(AK4350&lt;&gt;"",AK4350,N(AL4349))</f>
        <v/>
      </c>
    </row>
    <row r="4351">
      <c r="A4351" t="inlineStr">
        <is>
          <t>CON-1450</t>
        </is>
      </c>
      <c r="B4351" t="inlineStr">
        <is>
          <t>Consulting</t>
        </is>
      </c>
      <c r="AB4351" t="n">
        <v>1450</v>
      </c>
      <c r="AD4351" s="52">
        <f>IFERROR(N(IFERROR(INDEX($A4351:$AB4351,MATCH("Xero Invoiced Ex GST",$A$1:$AB$1,0)),"")),0)</f>
        <v/>
      </c>
      <c r="AE4351" s="53">
        <f>IFERROR(INDEX($A4351:$AB4351,MATCH("Xero Invoice Date",$A$1:$AB$1,0)),"")</f>
        <v/>
      </c>
      <c r="AF4351" s="54">
        <f>IF(AND(IFERROR(INDEX($A4351:$AB4351,MATCH("Xero Invoice No",$A$1:$AB$1,0)),"")&amp;""&lt;&gt;"",ISNUMBER(AE4351),AD4351&lt;&gt;0),1,0)</f>
        <v/>
      </c>
      <c r="AG4351" s="55">
        <f>IF(AF4351=1,EOMONTH(AE4351,0),"")</f>
        <v/>
      </c>
      <c r="AH4351" s="9">
        <f>IF(AF4351=1,UPPER(TRIM(IFERROR(INDEX($A4351:$AB4351,MATCH("Client",$A$1:$AB$1,0)),"")&amp;"")),"")</f>
        <v/>
      </c>
      <c r="AI4351" s="9">
        <f>IF(AF4351=1,IFERROR(INDEX($A4351:$AB4351,MATCH("Cost Centre",$A$1:$AB$1,0)),"")&amp;"","")</f>
        <v/>
      </c>
      <c r="AJ4351" s="54">
        <f>IF(AND(AF4351=1,AE4351&gt;=set_FYStart,AE4351&lt;=set_AsAt),1,0)</f>
        <v/>
      </c>
      <c r="AK4351" s="54">
        <f>IF(AND(AJ4351=1,AH4351&lt;&gt;"",COUNTIFS($AH$2:AH4351,AH4351,$AJ$2:AJ4351,1)=1),N(AL4350)+1,"")</f>
        <v/>
      </c>
      <c r="AL4351" s="54">
        <f>IF(AK4351&lt;&gt;"",AK4351,N(AL4350))</f>
        <v/>
      </c>
    </row>
    <row r="4352">
      <c r="A4352" t="inlineStr">
        <is>
          <t>ONS-1451</t>
        </is>
      </c>
      <c r="B4352" t="inlineStr">
        <is>
          <t>Onsite</t>
        </is>
      </c>
      <c r="AB4352" t="n">
        <v>1451</v>
      </c>
      <c r="AD4352" s="52">
        <f>IFERROR(N(IFERROR(INDEX($A4352:$AB4352,MATCH("Xero Invoiced Ex GST",$A$1:$AB$1,0)),"")),0)</f>
        <v/>
      </c>
      <c r="AE4352" s="53">
        <f>IFERROR(INDEX($A4352:$AB4352,MATCH("Xero Invoice Date",$A$1:$AB$1,0)),"")</f>
        <v/>
      </c>
      <c r="AF4352" s="54">
        <f>IF(AND(IFERROR(INDEX($A4352:$AB4352,MATCH("Xero Invoice No",$A$1:$AB$1,0)),"")&amp;""&lt;&gt;"",ISNUMBER(AE4352),AD4352&lt;&gt;0),1,0)</f>
        <v/>
      </c>
      <c r="AG4352" s="55">
        <f>IF(AF4352=1,EOMONTH(AE4352,0),"")</f>
        <v/>
      </c>
      <c r="AH4352" s="9">
        <f>IF(AF4352=1,UPPER(TRIM(IFERROR(INDEX($A4352:$AB4352,MATCH("Client",$A$1:$AB$1,0)),"")&amp;"")),"")</f>
        <v/>
      </c>
      <c r="AI4352" s="9">
        <f>IF(AF4352=1,IFERROR(INDEX($A4352:$AB4352,MATCH("Cost Centre",$A$1:$AB$1,0)),"")&amp;"","")</f>
        <v/>
      </c>
      <c r="AJ4352" s="54">
        <f>IF(AND(AF4352=1,AE4352&gt;=set_FYStart,AE4352&lt;=set_AsAt),1,0)</f>
        <v/>
      </c>
      <c r="AK4352" s="54">
        <f>IF(AND(AJ4352=1,AH4352&lt;&gt;"",COUNTIFS($AH$2:AH4352,AH4352,$AJ$2:AJ4352,1)=1),N(AL4351)+1,"")</f>
        <v/>
      </c>
      <c r="AL4352" s="54">
        <f>IF(AK4352&lt;&gt;"",AK4352,N(AL4351))</f>
        <v/>
      </c>
    </row>
    <row r="4353">
      <c r="A4353" t="inlineStr">
        <is>
          <t>PRD-1451</t>
        </is>
      </c>
      <c r="B4353" t="inlineStr">
        <is>
          <t>Production</t>
        </is>
      </c>
      <c r="AB4353" t="n">
        <v>1451</v>
      </c>
      <c r="AD4353" s="52">
        <f>IFERROR(N(IFERROR(INDEX($A4353:$AB4353,MATCH("Xero Invoiced Ex GST",$A$1:$AB$1,0)),"")),0)</f>
        <v/>
      </c>
      <c r="AE4353" s="53">
        <f>IFERROR(INDEX($A4353:$AB4353,MATCH("Xero Invoice Date",$A$1:$AB$1,0)),"")</f>
        <v/>
      </c>
      <c r="AF4353" s="54">
        <f>IF(AND(IFERROR(INDEX($A4353:$AB4353,MATCH("Xero Invoice No",$A$1:$AB$1,0)),"")&amp;""&lt;&gt;"",ISNUMBER(AE4353),AD4353&lt;&gt;0),1,0)</f>
        <v/>
      </c>
      <c r="AG4353" s="55">
        <f>IF(AF4353=1,EOMONTH(AE4353,0),"")</f>
        <v/>
      </c>
      <c r="AH4353" s="9">
        <f>IF(AF4353=1,UPPER(TRIM(IFERROR(INDEX($A4353:$AB4353,MATCH("Client",$A$1:$AB$1,0)),"")&amp;"")),"")</f>
        <v/>
      </c>
      <c r="AI4353" s="9">
        <f>IF(AF4353=1,IFERROR(INDEX($A4353:$AB4353,MATCH("Cost Centre",$A$1:$AB$1,0)),"")&amp;"","")</f>
        <v/>
      </c>
      <c r="AJ4353" s="54">
        <f>IF(AND(AF4353=1,AE4353&gt;=set_FYStart,AE4353&lt;=set_AsAt),1,0)</f>
        <v/>
      </c>
      <c r="AK4353" s="54">
        <f>IF(AND(AJ4353=1,AH4353&lt;&gt;"",COUNTIFS($AH$2:AH4353,AH4353,$AJ$2:AJ4353,1)=1),N(AL4352)+1,"")</f>
        <v/>
      </c>
      <c r="AL4353" s="54">
        <f>IF(AK4353&lt;&gt;"",AK4353,N(AL4352))</f>
        <v/>
      </c>
    </row>
    <row r="4354">
      <c r="A4354" t="inlineStr">
        <is>
          <t>CON-1451</t>
        </is>
      </c>
      <c r="B4354" t="inlineStr">
        <is>
          <t>Consulting</t>
        </is>
      </c>
      <c r="AB4354" t="n">
        <v>1451</v>
      </c>
      <c r="AD4354" s="52">
        <f>IFERROR(N(IFERROR(INDEX($A4354:$AB4354,MATCH("Xero Invoiced Ex GST",$A$1:$AB$1,0)),"")),0)</f>
        <v/>
      </c>
      <c r="AE4354" s="53">
        <f>IFERROR(INDEX($A4354:$AB4354,MATCH("Xero Invoice Date",$A$1:$AB$1,0)),"")</f>
        <v/>
      </c>
      <c r="AF4354" s="54">
        <f>IF(AND(IFERROR(INDEX($A4354:$AB4354,MATCH("Xero Invoice No",$A$1:$AB$1,0)),"")&amp;""&lt;&gt;"",ISNUMBER(AE4354),AD4354&lt;&gt;0),1,0)</f>
        <v/>
      </c>
      <c r="AG4354" s="55">
        <f>IF(AF4354=1,EOMONTH(AE4354,0),"")</f>
        <v/>
      </c>
      <c r="AH4354" s="9">
        <f>IF(AF4354=1,UPPER(TRIM(IFERROR(INDEX($A4354:$AB4354,MATCH("Client",$A$1:$AB$1,0)),"")&amp;"")),"")</f>
        <v/>
      </c>
      <c r="AI4354" s="9">
        <f>IF(AF4354=1,IFERROR(INDEX($A4354:$AB4354,MATCH("Cost Centre",$A$1:$AB$1,0)),"")&amp;"","")</f>
        <v/>
      </c>
      <c r="AJ4354" s="54">
        <f>IF(AND(AF4354=1,AE4354&gt;=set_FYStart,AE4354&lt;=set_AsAt),1,0)</f>
        <v/>
      </c>
      <c r="AK4354" s="54">
        <f>IF(AND(AJ4354=1,AH4354&lt;&gt;"",COUNTIFS($AH$2:AH4354,AH4354,$AJ$2:AJ4354,1)=1),N(AL4353)+1,"")</f>
        <v/>
      </c>
      <c r="AL4354" s="54">
        <f>IF(AK4354&lt;&gt;"",AK4354,N(AL4353))</f>
        <v/>
      </c>
    </row>
    <row r="4355">
      <c r="A4355" t="inlineStr">
        <is>
          <t>ONS-1452</t>
        </is>
      </c>
      <c r="B4355" t="inlineStr">
        <is>
          <t>Onsite</t>
        </is>
      </c>
      <c r="AB4355" t="n">
        <v>1452</v>
      </c>
      <c r="AD4355" s="52">
        <f>IFERROR(N(IFERROR(INDEX($A4355:$AB4355,MATCH("Xero Invoiced Ex GST",$A$1:$AB$1,0)),"")),0)</f>
        <v/>
      </c>
      <c r="AE4355" s="53">
        <f>IFERROR(INDEX($A4355:$AB4355,MATCH("Xero Invoice Date",$A$1:$AB$1,0)),"")</f>
        <v/>
      </c>
      <c r="AF4355" s="54">
        <f>IF(AND(IFERROR(INDEX($A4355:$AB4355,MATCH("Xero Invoice No",$A$1:$AB$1,0)),"")&amp;""&lt;&gt;"",ISNUMBER(AE4355),AD4355&lt;&gt;0),1,0)</f>
        <v/>
      </c>
      <c r="AG4355" s="55">
        <f>IF(AF4355=1,EOMONTH(AE4355,0),"")</f>
        <v/>
      </c>
      <c r="AH4355" s="9">
        <f>IF(AF4355=1,UPPER(TRIM(IFERROR(INDEX($A4355:$AB4355,MATCH("Client",$A$1:$AB$1,0)),"")&amp;"")),"")</f>
        <v/>
      </c>
      <c r="AI4355" s="9">
        <f>IF(AF4355=1,IFERROR(INDEX($A4355:$AB4355,MATCH("Cost Centre",$A$1:$AB$1,0)),"")&amp;"","")</f>
        <v/>
      </c>
      <c r="AJ4355" s="54">
        <f>IF(AND(AF4355=1,AE4355&gt;=set_FYStart,AE4355&lt;=set_AsAt),1,0)</f>
        <v/>
      </c>
      <c r="AK4355" s="54">
        <f>IF(AND(AJ4355=1,AH4355&lt;&gt;"",COUNTIFS($AH$2:AH4355,AH4355,$AJ$2:AJ4355,1)=1),N(AL4354)+1,"")</f>
        <v/>
      </c>
      <c r="AL4355" s="54">
        <f>IF(AK4355&lt;&gt;"",AK4355,N(AL4354))</f>
        <v/>
      </c>
    </row>
    <row r="4356">
      <c r="A4356" t="inlineStr">
        <is>
          <t>PRD-1452</t>
        </is>
      </c>
      <c r="B4356" t="inlineStr">
        <is>
          <t>Production</t>
        </is>
      </c>
      <c r="AB4356" t="n">
        <v>1452</v>
      </c>
      <c r="AD4356" s="52">
        <f>IFERROR(N(IFERROR(INDEX($A4356:$AB4356,MATCH("Xero Invoiced Ex GST",$A$1:$AB$1,0)),"")),0)</f>
        <v/>
      </c>
      <c r="AE4356" s="53">
        <f>IFERROR(INDEX($A4356:$AB4356,MATCH("Xero Invoice Date",$A$1:$AB$1,0)),"")</f>
        <v/>
      </c>
      <c r="AF4356" s="54">
        <f>IF(AND(IFERROR(INDEX($A4356:$AB4356,MATCH("Xero Invoice No",$A$1:$AB$1,0)),"")&amp;""&lt;&gt;"",ISNUMBER(AE4356),AD4356&lt;&gt;0),1,0)</f>
        <v/>
      </c>
      <c r="AG4356" s="55">
        <f>IF(AF4356=1,EOMONTH(AE4356,0),"")</f>
        <v/>
      </c>
      <c r="AH4356" s="9">
        <f>IF(AF4356=1,UPPER(TRIM(IFERROR(INDEX($A4356:$AB4356,MATCH("Client",$A$1:$AB$1,0)),"")&amp;"")),"")</f>
        <v/>
      </c>
      <c r="AI4356" s="9">
        <f>IF(AF4356=1,IFERROR(INDEX($A4356:$AB4356,MATCH("Cost Centre",$A$1:$AB$1,0)),"")&amp;"","")</f>
        <v/>
      </c>
      <c r="AJ4356" s="54">
        <f>IF(AND(AF4356=1,AE4356&gt;=set_FYStart,AE4356&lt;=set_AsAt),1,0)</f>
        <v/>
      </c>
      <c r="AK4356" s="54">
        <f>IF(AND(AJ4356=1,AH4356&lt;&gt;"",COUNTIFS($AH$2:AH4356,AH4356,$AJ$2:AJ4356,1)=1),N(AL4355)+1,"")</f>
        <v/>
      </c>
      <c r="AL4356" s="54">
        <f>IF(AK4356&lt;&gt;"",AK4356,N(AL4355))</f>
        <v/>
      </c>
    </row>
    <row r="4357">
      <c r="A4357" t="inlineStr">
        <is>
          <t>CON-1452</t>
        </is>
      </c>
      <c r="B4357" t="inlineStr">
        <is>
          <t>Consulting</t>
        </is>
      </c>
      <c r="AB4357" t="n">
        <v>1452</v>
      </c>
      <c r="AD4357" s="52">
        <f>IFERROR(N(IFERROR(INDEX($A4357:$AB4357,MATCH("Xero Invoiced Ex GST",$A$1:$AB$1,0)),"")),0)</f>
        <v/>
      </c>
      <c r="AE4357" s="53">
        <f>IFERROR(INDEX($A4357:$AB4357,MATCH("Xero Invoice Date",$A$1:$AB$1,0)),"")</f>
        <v/>
      </c>
      <c r="AF4357" s="54">
        <f>IF(AND(IFERROR(INDEX($A4357:$AB4357,MATCH("Xero Invoice No",$A$1:$AB$1,0)),"")&amp;""&lt;&gt;"",ISNUMBER(AE4357),AD4357&lt;&gt;0),1,0)</f>
        <v/>
      </c>
      <c r="AG4357" s="55">
        <f>IF(AF4357=1,EOMONTH(AE4357,0),"")</f>
        <v/>
      </c>
      <c r="AH4357" s="9">
        <f>IF(AF4357=1,UPPER(TRIM(IFERROR(INDEX($A4357:$AB4357,MATCH("Client",$A$1:$AB$1,0)),"")&amp;"")),"")</f>
        <v/>
      </c>
      <c r="AI4357" s="9">
        <f>IF(AF4357=1,IFERROR(INDEX($A4357:$AB4357,MATCH("Cost Centre",$A$1:$AB$1,0)),"")&amp;"","")</f>
        <v/>
      </c>
      <c r="AJ4357" s="54">
        <f>IF(AND(AF4357=1,AE4357&gt;=set_FYStart,AE4357&lt;=set_AsAt),1,0)</f>
        <v/>
      </c>
      <c r="AK4357" s="54">
        <f>IF(AND(AJ4357=1,AH4357&lt;&gt;"",COUNTIFS($AH$2:AH4357,AH4357,$AJ$2:AJ4357,1)=1),N(AL4356)+1,"")</f>
        <v/>
      </c>
      <c r="AL4357" s="54">
        <f>IF(AK4357&lt;&gt;"",AK4357,N(AL4356))</f>
        <v/>
      </c>
    </row>
    <row r="4358">
      <c r="A4358" t="inlineStr">
        <is>
          <t>ONS-1453</t>
        </is>
      </c>
      <c r="B4358" t="inlineStr">
        <is>
          <t>Onsite</t>
        </is>
      </c>
      <c r="AB4358" t="n">
        <v>1453</v>
      </c>
      <c r="AD4358" s="52">
        <f>IFERROR(N(IFERROR(INDEX($A4358:$AB4358,MATCH("Xero Invoiced Ex GST",$A$1:$AB$1,0)),"")),0)</f>
        <v/>
      </c>
      <c r="AE4358" s="53">
        <f>IFERROR(INDEX($A4358:$AB4358,MATCH("Xero Invoice Date",$A$1:$AB$1,0)),"")</f>
        <v/>
      </c>
      <c r="AF4358" s="54">
        <f>IF(AND(IFERROR(INDEX($A4358:$AB4358,MATCH("Xero Invoice No",$A$1:$AB$1,0)),"")&amp;""&lt;&gt;"",ISNUMBER(AE4358),AD4358&lt;&gt;0),1,0)</f>
        <v/>
      </c>
      <c r="AG4358" s="55">
        <f>IF(AF4358=1,EOMONTH(AE4358,0),"")</f>
        <v/>
      </c>
      <c r="AH4358" s="9">
        <f>IF(AF4358=1,UPPER(TRIM(IFERROR(INDEX($A4358:$AB4358,MATCH("Client",$A$1:$AB$1,0)),"")&amp;"")),"")</f>
        <v/>
      </c>
      <c r="AI4358" s="9">
        <f>IF(AF4358=1,IFERROR(INDEX($A4358:$AB4358,MATCH("Cost Centre",$A$1:$AB$1,0)),"")&amp;"","")</f>
        <v/>
      </c>
      <c r="AJ4358" s="54">
        <f>IF(AND(AF4358=1,AE4358&gt;=set_FYStart,AE4358&lt;=set_AsAt),1,0)</f>
        <v/>
      </c>
      <c r="AK4358" s="54">
        <f>IF(AND(AJ4358=1,AH4358&lt;&gt;"",COUNTIFS($AH$2:AH4358,AH4358,$AJ$2:AJ4358,1)=1),N(AL4357)+1,"")</f>
        <v/>
      </c>
      <c r="AL4358" s="54">
        <f>IF(AK4358&lt;&gt;"",AK4358,N(AL4357))</f>
        <v/>
      </c>
    </row>
    <row r="4359">
      <c r="A4359" t="inlineStr">
        <is>
          <t>PRD-1453</t>
        </is>
      </c>
      <c r="B4359" t="inlineStr">
        <is>
          <t>Production</t>
        </is>
      </c>
      <c r="AB4359" t="n">
        <v>1453</v>
      </c>
      <c r="AD4359" s="52">
        <f>IFERROR(N(IFERROR(INDEX($A4359:$AB4359,MATCH("Xero Invoiced Ex GST",$A$1:$AB$1,0)),"")),0)</f>
        <v/>
      </c>
      <c r="AE4359" s="53">
        <f>IFERROR(INDEX($A4359:$AB4359,MATCH("Xero Invoice Date",$A$1:$AB$1,0)),"")</f>
        <v/>
      </c>
      <c r="AF4359" s="54">
        <f>IF(AND(IFERROR(INDEX($A4359:$AB4359,MATCH("Xero Invoice No",$A$1:$AB$1,0)),"")&amp;""&lt;&gt;"",ISNUMBER(AE4359),AD4359&lt;&gt;0),1,0)</f>
        <v/>
      </c>
      <c r="AG4359" s="55">
        <f>IF(AF4359=1,EOMONTH(AE4359,0),"")</f>
        <v/>
      </c>
      <c r="AH4359" s="9">
        <f>IF(AF4359=1,UPPER(TRIM(IFERROR(INDEX($A4359:$AB4359,MATCH("Client",$A$1:$AB$1,0)),"")&amp;"")),"")</f>
        <v/>
      </c>
      <c r="AI4359" s="9">
        <f>IF(AF4359=1,IFERROR(INDEX($A4359:$AB4359,MATCH("Cost Centre",$A$1:$AB$1,0)),"")&amp;"","")</f>
        <v/>
      </c>
      <c r="AJ4359" s="54">
        <f>IF(AND(AF4359=1,AE4359&gt;=set_FYStart,AE4359&lt;=set_AsAt),1,0)</f>
        <v/>
      </c>
      <c r="AK4359" s="54">
        <f>IF(AND(AJ4359=1,AH4359&lt;&gt;"",COUNTIFS($AH$2:AH4359,AH4359,$AJ$2:AJ4359,1)=1),N(AL4358)+1,"")</f>
        <v/>
      </c>
      <c r="AL4359" s="54">
        <f>IF(AK4359&lt;&gt;"",AK4359,N(AL4358))</f>
        <v/>
      </c>
    </row>
    <row r="4360">
      <c r="A4360" t="inlineStr">
        <is>
          <t>CON-1453</t>
        </is>
      </c>
      <c r="B4360" t="inlineStr">
        <is>
          <t>Consulting</t>
        </is>
      </c>
      <c r="AB4360" t="n">
        <v>1453</v>
      </c>
      <c r="AD4360" s="52">
        <f>IFERROR(N(IFERROR(INDEX($A4360:$AB4360,MATCH("Xero Invoiced Ex GST",$A$1:$AB$1,0)),"")),0)</f>
        <v/>
      </c>
      <c r="AE4360" s="53">
        <f>IFERROR(INDEX($A4360:$AB4360,MATCH("Xero Invoice Date",$A$1:$AB$1,0)),"")</f>
        <v/>
      </c>
      <c r="AF4360" s="54">
        <f>IF(AND(IFERROR(INDEX($A4360:$AB4360,MATCH("Xero Invoice No",$A$1:$AB$1,0)),"")&amp;""&lt;&gt;"",ISNUMBER(AE4360),AD4360&lt;&gt;0),1,0)</f>
        <v/>
      </c>
      <c r="AG4360" s="55">
        <f>IF(AF4360=1,EOMONTH(AE4360,0),"")</f>
        <v/>
      </c>
      <c r="AH4360" s="9">
        <f>IF(AF4360=1,UPPER(TRIM(IFERROR(INDEX($A4360:$AB4360,MATCH("Client",$A$1:$AB$1,0)),"")&amp;"")),"")</f>
        <v/>
      </c>
      <c r="AI4360" s="9">
        <f>IF(AF4360=1,IFERROR(INDEX($A4360:$AB4360,MATCH("Cost Centre",$A$1:$AB$1,0)),"")&amp;"","")</f>
        <v/>
      </c>
      <c r="AJ4360" s="54">
        <f>IF(AND(AF4360=1,AE4360&gt;=set_FYStart,AE4360&lt;=set_AsAt),1,0)</f>
        <v/>
      </c>
      <c r="AK4360" s="54">
        <f>IF(AND(AJ4360=1,AH4360&lt;&gt;"",COUNTIFS($AH$2:AH4360,AH4360,$AJ$2:AJ4360,1)=1),N(AL4359)+1,"")</f>
        <v/>
      </c>
      <c r="AL4360" s="54">
        <f>IF(AK4360&lt;&gt;"",AK4360,N(AL4359))</f>
        <v/>
      </c>
    </row>
    <row r="4361">
      <c r="A4361" t="inlineStr">
        <is>
          <t>ONS-1454</t>
        </is>
      </c>
      <c r="B4361" t="inlineStr">
        <is>
          <t>Onsite</t>
        </is>
      </c>
      <c r="AB4361" t="n">
        <v>1454</v>
      </c>
      <c r="AD4361" s="52">
        <f>IFERROR(N(IFERROR(INDEX($A4361:$AB4361,MATCH("Xero Invoiced Ex GST",$A$1:$AB$1,0)),"")),0)</f>
        <v/>
      </c>
      <c r="AE4361" s="53">
        <f>IFERROR(INDEX($A4361:$AB4361,MATCH("Xero Invoice Date",$A$1:$AB$1,0)),"")</f>
        <v/>
      </c>
      <c r="AF4361" s="54">
        <f>IF(AND(IFERROR(INDEX($A4361:$AB4361,MATCH("Xero Invoice No",$A$1:$AB$1,0)),"")&amp;""&lt;&gt;"",ISNUMBER(AE4361),AD4361&lt;&gt;0),1,0)</f>
        <v/>
      </c>
      <c r="AG4361" s="55">
        <f>IF(AF4361=1,EOMONTH(AE4361,0),"")</f>
        <v/>
      </c>
      <c r="AH4361" s="9">
        <f>IF(AF4361=1,UPPER(TRIM(IFERROR(INDEX($A4361:$AB4361,MATCH("Client",$A$1:$AB$1,0)),"")&amp;"")),"")</f>
        <v/>
      </c>
      <c r="AI4361" s="9">
        <f>IF(AF4361=1,IFERROR(INDEX($A4361:$AB4361,MATCH("Cost Centre",$A$1:$AB$1,0)),"")&amp;"","")</f>
        <v/>
      </c>
      <c r="AJ4361" s="54">
        <f>IF(AND(AF4361=1,AE4361&gt;=set_FYStart,AE4361&lt;=set_AsAt),1,0)</f>
        <v/>
      </c>
      <c r="AK4361" s="54">
        <f>IF(AND(AJ4361=1,AH4361&lt;&gt;"",COUNTIFS($AH$2:AH4361,AH4361,$AJ$2:AJ4361,1)=1),N(AL4360)+1,"")</f>
        <v/>
      </c>
      <c r="AL4361" s="54">
        <f>IF(AK4361&lt;&gt;"",AK4361,N(AL4360))</f>
        <v/>
      </c>
    </row>
    <row r="4362">
      <c r="A4362" t="inlineStr">
        <is>
          <t>PRD-1454</t>
        </is>
      </c>
      <c r="B4362" t="inlineStr">
        <is>
          <t>Production</t>
        </is>
      </c>
      <c r="AB4362" t="n">
        <v>1454</v>
      </c>
      <c r="AD4362" s="52">
        <f>IFERROR(N(IFERROR(INDEX($A4362:$AB4362,MATCH("Xero Invoiced Ex GST",$A$1:$AB$1,0)),"")),0)</f>
        <v/>
      </c>
      <c r="AE4362" s="53">
        <f>IFERROR(INDEX($A4362:$AB4362,MATCH("Xero Invoice Date",$A$1:$AB$1,0)),"")</f>
        <v/>
      </c>
      <c r="AF4362" s="54">
        <f>IF(AND(IFERROR(INDEX($A4362:$AB4362,MATCH("Xero Invoice No",$A$1:$AB$1,0)),"")&amp;""&lt;&gt;"",ISNUMBER(AE4362),AD4362&lt;&gt;0),1,0)</f>
        <v/>
      </c>
      <c r="AG4362" s="55">
        <f>IF(AF4362=1,EOMONTH(AE4362,0),"")</f>
        <v/>
      </c>
      <c r="AH4362" s="9">
        <f>IF(AF4362=1,UPPER(TRIM(IFERROR(INDEX($A4362:$AB4362,MATCH("Client",$A$1:$AB$1,0)),"")&amp;"")),"")</f>
        <v/>
      </c>
      <c r="AI4362" s="9">
        <f>IF(AF4362=1,IFERROR(INDEX($A4362:$AB4362,MATCH("Cost Centre",$A$1:$AB$1,0)),"")&amp;"","")</f>
        <v/>
      </c>
      <c r="AJ4362" s="54">
        <f>IF(AND(AF4362=1,AE4362&gt;=set_FYStart,AE4362&lt;=set_AsAt),1,0)</f>
        <v/>
      </c>
      <c r="AK4362" s="54">
        <f>IF(AND(AJ4362=1,AH4362&lt;&gt;"",COUNTIFS($AH$2:AH4362,AH4362,$AJ$2:AJ4362,1)=1),N(AL4361)+1,"")</f>
        <v/>
      </c>
      <c r="AL4362" s="54">
        <f>IF(AK4362&lt;&gt;"",AK4362,N(AL4361))</f>
        <v/>
      </c>
    </row>
    <row r="4363">
      <c r="A4363" t="inlineStr">
        <is>
          <t>CON-1454</t>
        </is>
      </c>
      <c r="B4363" t="inlineStr">
        <is>
          <t>Consulting</t>
        </is>
      </c>
      <c r="AB4363" t="n">
        <v>1454</v>
      </c>
      <c r="AD4363" s="52">
        <f>IFERROR(N(IFERROR(INDEX($A4363:$AB4363,MATCH("Xero Invoiced Ex GST",$A$1:$AB$1,0)),"")),0)</f>
        <v/>
      </c>
      <c r="AE4363" s="53">
        <f>IFERROR(INDEX($A4363:$AB4363,MATCH("Xero Invoice Date",$A$1:$AB$1,0)),"")</f>
        <v/>
      </c>
      <c r="AF4363" s="54">
        <f>IF(AND(IFERROR(INDEX($A4363:$AB4363,MATCH("Xero Invoice No",$A$1:$AB$1,0)),"")&amp;""&lt;&gt;"",ISNUMBER(AE4363),AD4363&lt;&gt;0),1,0)</f>
        <v/>
      </c>
      <c r="AG4363" s="55">
        <f>IF(AF4363=1,EOMONTH(AE4363,0),"")</f>
        <v/>
      </c>
      <c r="AH4363" s="9">
        <f>IF(AF4363=1,UPPER(TRIM(IFERROR(INDEX($A4363:$AB4363,MATCH("Client",$A$1:$AB$1,0)),"")&amp;"")),"")</f>
        <v/>
      </c>
      <c r="AI4363" s="9">
        <f>IF(AF4363=1,IFERROR(INDEX($A4363:$AB4363,MATCH("Cost Centre",$A$1:$AB$1,0)),"")&amp;"","")</f>
        <v/>
      </c>
      <c r="AJ4363" s="54">
        <f>IF(AND(AF4363=1,AE4363&gt;=set_FYStart,AE4363&lt;=set_AsAt),1,0)</f>
        <v/>
      </c>
      <c r="AK4363" s="54">
        <f>IF(AND(AJ4363=1,AH4363&lt;&gt;"",COUNTIFS($AH$2:AH4363,AH4363,$AJ$2:AJ4363,1)=1),N(AL4362)+1,"")</f>
        <v/>
      </c>
      <c r="AL4363" s="54">
        <f>IF(AK4363&lt;&gt;"",AK4363,N(AL4362))</f>
        <v/>
      </c>
    </row>
    <row r="4364">
      <c r="A4364" t="inlineStr">
        <is>
          <t>ONS-1455</t>
        </is>
      </c>
      <c r="B4364" t="inlineStr">
        <is>
          <t>Onsite</t>
        </is>
      </c>
      <c r="AB4364" t="n">
        <v>1455</v>
      </c>
      <c r="AD4364" s="52">
        <f>IFERROR(N(IFERROR(INDEX($A4364:$AB4364,MATCH("Xero Invoiced Ex GST",$A$1:$AB$1,0)),"")),0)</f>
        <v/>
      </c>
      <c r="AE4364" s="53">
        <f>IFERROR(INDEX($A4364:$AB4364,MATCH("Xero Invoice Date",$A$1:$AB$1,0)),"")</f>
        <v/>
      </c>
      <c r="AF4364" s="54">
        <f>IF(AND(IFERROR(INDEX($A4364:$AB4364,MATCH("Xero Invoice No",$A$1:$AB$1,0)),"")&amp;""&lt;&gt;"",ISNUMBER(AE4364),AD4364&lt;&gt;0),1,0)</f>
        <v/>
      </c>
      <c r="AG4364" s="55">
        <f>IF(AF4364=1,EOMONTH(AE4364,0),"")</f>
        <v/>
      </c>
      <c r="AH4364" s="9">
        <f>IF(AF4364=1,UPPER(TRIM(IFERROR(INDEX($A4364:$AB4364,MATCH("Client",$A$1:$AB$1,0)),"")&amp;"")),"")</f>
        <v/>
      </c>
      <c r="AI4364" s="9">
        <f>IF(AF4364=1,IFERROR(INDEX($A4364:$AB4364,MATCH("Cost Centre",$A$1:$AB$1,0)),"")&amp;"","")</f>
        <v/>
      </c>
      <c r="AJ4364" s="54">
        <f>IF(AND(AF4364=1,AE4364&gt;=set_FYStart,AE4364&lt;=set_AsAt),1,0)</f>
        <v/>
      </c>
      <c r="AK4364" s="54">
        <f>IF(AND(AJ4364=1,AH4364&lt;&gt;"",COUNTIFS($AH$2:AH4364,AH4364,$AJ$2:AJ4364,1)=1),N(AL4363)+1,"")</f>
        <v/>
      </c>
      <c r="AL4364" s="54">
        <f>IF(AK4364&lt;&gt;"",AK4364,N(AL4363))</f>
        <v/>
      </c>
    </row>
    <row r="4365">
      <c r="A4365" t="inlineStr">
        <is>
          <t>PRD-1455</t>
        </is>
      </c>
      <c r="B4365" t="inlineStr">
        <is>
          <t>Production</t>
        </is>
      </c>
      <c r="AB4365" t="n">
        <v>1455</v>
      </c>
      <c r="AD4365" s="52">
        <f>IFERROR(N(IFERROR(INDEX($A4365:$AB4365,MATCH("Xero Invoiced Ex GST",$A$1:$AB$1,0)),"")),0)</f>
        <v/>
      </c>
      <c r="AE4365" s="53">
        <f>IFERROR(INDEX($A4365:$AB4365,MATCH("Xero Invoice Date",$A$1:$AB$1,0)),"")</f>
        <v/>
      </c>
      <c r="AF4365" s="54">
        <f>IF(AND(IFERROR(INDEX($A4365:$AB4365,MATCH("Xero Invoice No",$A$1:$AB$1,0)),"")&amp;""&lt;&gt;"",ISNUMBER(AE4365),AD4365&lt;&gt;0),1,0)</f>
        <v/>
      </c>
      <c r="AG4365" s="55">
        <f>IF(AF4365=1,EOMONTH(AE4365,0),"")</f>
        <v/>
      </c>
      <c r="AH4365" s="9">
        <f>IF(AF4365=1,UPPER(TRIM(IFERROR(INDEX($A4365:$AB4365,MATCH("Client",$A$1:$AB$1,0)),"")&amp;"")),"")</f>
        <v/>
      </c>
      <c r="AI4365" s="9">
        <f>IF(AF4365=1,IFERROR(INDEX($A4365:$AB4365,MATCH("Cost Centre",$A$1:$AB$1,0)),"")&amp;"","")</f>
        <v/>
      </c>
      <c r="AJ4365" s="54">
        <f>IF(AND(AF4365=1,AE4365&gt;=set_FYStart,AE4365&lt;=set_AsAt),1,0)</f>
        <v/>
      </c>
      <c r="AK4365" s="54">
        <f>IF(AND(AJ4365=1,AH4365&lt;&gt;"",COUNTIFS($AH$2:AH4365,AH4365,$AJ$2:AJ4365,1)=1),N(AL4364)+1,"")</f>
        <v/>
      </c>
      <c r="AL4365" s="54">
        <f>IF(AK4365&lt;&gt;"",AK4365,N(AL4364))</f>
        <v/>
      </c>
    </row>
    <row r="4366">
      <c r="A4366" t="inlineStr">
        <is>
          <t>CON-1455</t>
        </is>
      </c>
      <c r="B4366" t="inlineStr">
        <is>
          <t>Consulting</t>
        </is>
      </c>
      <c r="AB4366" t="n">
        <v>1455</v>
      </c>
      <c r="AD4366" s="52">
        <f>IFERROR(N(IFERROR(INDEX($A4366:$AB4366,MATCH("Xero Invoiced Ex GST",$A$1:$AB$1,0)),"")),0)</f>
        <v/>
      </c>
      <c r="AE4366" s="53">
        <f>IFERROR(INDEX($A4366:$AB4366,MATCH("Xero Invoice Date",$A$1:$AB$1,0)),"")</f>
        <v/>
      </c>
      <c r="AF4366" s="54">
        <f>IF(AND(IFERROR(INDEX($A4366:$AB4366,MATCH("Xero Invoice No",$A$1:$AB$1,0)),"")&amp;""&lt;&gt;"",ISNUMBER(AE4366),AD4366&lt;&gt;0),1,0)</f>
        <v/>
      </c>
      <c r="AG4366" s="55">
        <f>IF(AF4366=1,EOMONTH(AE4366,0),"")</f>
        <v/>
      </c>
      <c r="AH4366" s="9">
        <f>IF(AF4366=1,UPPER(TRIM(IFERROR(INDEX($A4366:$AB4366,MATCH("Client",$A$1:$AB$1,0)),"")&amp;"")),"")</f>
        <v/>
      </c>
      <c r="AI4366" s="9">
        <f>IF(AF4366=1,IFERROR(INDEX($A4366:$AB4366,MATCH("Cost Centre",$A$1:$AB$1,0)),"")&amp;"","")</f>
        <v/>
      </c>
      <c r="AJ4366" s="54">
        <f>IF(AND(AF4366=1,AE4366&gt;=set_FYStart,AE4366&lt;=set_AsAt),1,0)</f>
        <v/>
      </c>
      <c r="AK4366" s="54">
        <f>IF(AND(AJ4366=1,AH4366&lt;&gt;"",COUNTIFS($AH$2:AH4366,AH4366,$AJ$2:AJ4366,1)=1),N(AL4365)+1,"")</f>
        <v/>
      </c>
      <c r="AL4366" s="54">
        <f>IF(AK4366&lt;&gt;"",AK4366,N(AL4365))</f>
        <v/>
      </c>
    </row>
    <row r="4367">
      <c r="A4367" t="inlineStr">
        <is>
          <t>ONS-1456</t>
        </is>
      </c>
      <c r="B4367" t="inlineStr">
        <is>
          <t>Onsite</t>
        </is>
      </c>
      <c r="AB4367" t="n">
        <v>1456</v>
      </c>
      <c r="AD4367" s="52">
        <f>IFERROR(N(IFERROR(INDEX($A4367:$AB4367,MATCH("Xero Invoiced Ex GST",$A$1:$AB$1,0)),"")),0)</f>
        <v/>
      </c>
      <c r="AE4367" s="53">
        <f>IFERROR(INDEX($A4367:$AB4367,MATCH("Xero Invoice Date",$A$1:$AB$1,0)),"")</f>
        <v/>
      </c>
      <c r="AF4367" s="54">
        <f>IF(AND(IFERROR(INDEX($A4367:$AB4367,MATCH("Xero Invoice No",$A$1:$AB$1,0)),"")&amp;""&lt;&gt;"",ISNUMBER(AE4367),AD4367&lt;&gt;0),1,0)</f>
        <v/>
      </c>
      <c r="AG4367" s="55">
        <f>IF(AF4367=1,EOMONTH(AE4367,0),"")</f>
        <v/>
      </c>
      <c r="AH4367" s="9">
        <f>IF(AF4367=1,UPPER(TRIM(IFERROR(INDEX($A4367:$AB4367,MATCH("Client",$A$1:$AB$1,0)),"")&amp;"")),"")</f>
        <v/>
      </c>
      <c r="AI4367" s="9">
        <f>IF(AF4367=1,IFERROR(INDEX($A4367:$AB4367,MATCH("Cost Centre",$A$1:$AB$1,0)),"")&amp;"","")</f>
        <v/>
      </c>
      <c r="AJ4367" s="54">
        <f>IF(AND(AF4367=1,AE4367&gt;=set_FYStart,AE4367&lt;=set_AsAt),1,0)</f>
        <v/>
      </c>
      <c r="AK4367" s="54">
        <f>IF(AND(AJ4367=1,AH4367&lt;&gt;"",COUNTIFS($AH$2:AH4367,AH4367,$AJ$2:AJ4367,1)=1),N(AL4366)+1,"")</f>
        <v/>
      </c>
      <c r="AL4367" s="54">
        <f>IF(AK4367&lt;&gt;"",AK4367,N(AL4366))</f>
        <v/>
      </c>
    </row>
    <row r="4368">
      <c r="A4368" t="inlineStr">
        <is>
          <t>PRD-1456</t>
        </is>
      </c>
      <c r="B4368" t="inlineStr">
        <is>
          <t>Production</t>
        </is>
      </c>
      <c r="AB4368" t="n">
        <v>1456</v>
      </c>
      <c r="AD4368" s="52">
        <f>IFERROR(N(IFERROR(INDEX($A4368:$AB4368,MATCH("Xero Invoiced Ex GST",$A$1:$AB$1,0)),"")),0)</f>
        <v/>
      </c>
      <c r="AE4368" s="53">
        <f>IFERROR(INDEX($A4368:$AB4368,MATCH("Xero Invoice Date",$A$1:$AB$1,0)),"")</f>
        <v/>
      </c>
      <c r="AF4368" s="54">
        <f>IF(AND(IFERROR(INDEX($A4368:$AB4368,MATCH("Xero Invoice No",$A$1:$AB$1,0)),"")&amp;""&lt;&gt;"",ISNUMBER(AE4368),AD4368&lt;&gt;0),1,0)</f>
        <v/>
      </c>
      <c r="AG4368" s="55">
        <f>IF(AF4368=1,EOMONTH(AE4368,0),"")</f>
        <v/>
      </c>
      <c r="AH4368" s="9">
        <f>IF(AF4368=1,UPPER(TRIM(IFERROR(INDEX($A4368:$AB4368,MATCH("Client",$A$1:$AB$1,0)),"")&amp;"")),"")</f>
        <v/>
      </c>
      <c r="AI4368" s="9">
        <f>IF(AF4368=1,IFERROR(INDEX($A4368:$AB4368,MATCH("Cost Centre",$A$1:$AB$1,0)),"")&amp;"","")</f>
        <v/>
      </c>
      <c r="AJ4368" s="54">
        <f>IF(AND(AF4368=1,AE4368&gt;=set_FYStart,AE4368&lt;=set_AsAt),1,0)</f>
        <v/>
      </c>
      <c r="AK4368" s="54">
        <f>IF(AND(AJ4368=1,AH4368&lt;&gt;"",COUNTIFS($AH$2:AH4368,AH4368,$AJ$2:AJ4368,1)=1),N(AL4367)+1,"")</f>
        <v/>
      </c>
      <c r="AL4368" s="54">
        <f>IF(AK4368&lt;&gt;"",AK4368,N(AL4367))</f>
        <v/>
      </c>
    </row>
    <row r="4369">
      <c r="A4369" t="inlineStr">
        <is>
          <t>CON-1456</t>
        </is>
      </c>
      <c r="B4369" t="inlineStr">
        <is>
          <t>Consulting</t>
        </is>
      </c>
      <c r="AB4369" t="n">
        <v>1456</v>
      </c>
      <c r="AD4369" s="52">
        <f>IFERROR(N(IFERROR(INDEX($A4369:$AB4369,MATCH("Xero Invoiced Ex GST",$A$1:$AB$1,0)),"")),0)</f>
        <v/>
      </c>
      <c r="AE4369" s="53">
        <f>IFERROR(INDEX($A4369:$AB4369,MATCH("Xero Invoice Date",$A$1:$AB$1,0)),"")</f>
        <v/>
      </c>
      <c r="AF4369" s="54">
        <f>IF(AND(IFERROR(INDEX($A4369:$AB4369,MATCH("Xero Invoice No",$A$1:$AB$1,0)),"")&amp;""&lt;&gt;"",ISNUMBER(AE4369),AD4369&lt;&gt;0),1,0)</f>
        <v/>
      </c>
      <c r="AG4369" s="55">
        <f>IF(AF4369=1,EOMONTH(AE4369,0),"")</f>
        <v/>
      </c>
      <c r="AH4369" s="9">
        <f>IF(AF4369=1,UPPER(TRIM(IFERROR(INDEX($A4369:$AB4369,MATCH("Client",$A$1:$AB$1,0)),"")&amp;"")),"")</f>
        <v/>
      </c>
      <c r="AI4369" s="9">
        <f>IF(AF4369=1,IFERROR(INDEX($A4369:$AB4369,MATCH("Cost Centre",$A$1:$AB$1,0)),"")&amp;"","")</f>
        <v/>
      </c>
      <c r="AJ4369" s="54">
        <f>IF(AND(AF4369=1,AE4369&gt;=set_FYStart,AE4369&lt;=set_AsAt),1,0)</f>
        <v/>
      </c>
      <c r="AK4369" s="54">
        <f>IF(AND(AJ4369=1,AH4369&lt;&gt;"",COUNTIFS($AH$2:AH4369,AH4369,$AJ$2:AJ4369,1)=1),N(AL4368)+1,"")</f>
        <v/>
      </c>
      <c r="AL4369" s="54">
        <f>IF(AK4369&lt;&gt;"",AK4369,N(AL4368))</f>
        <v/>
      </c>
    </row>
    <row r="4370">
      <c r="A4370" t="inlineStr">
        <is>
          <t>ONS-1457</t>
        </is>
      </c>
      <c r="B4370" t="inlineStr">
        <is>
          <t>Onsite</t>
        </is>
      </c>
      <c r="AB4370" t="n">
        <v>1457</v>
      </c>
      <c r="AD4370" s="52">
        <f>IFERROR(N(IFERROR(INDEX($A4370:$AB4370,MATCH("Xero Invoiced Ex GST",$A$1:$AB$1,0)),"")),0)</f>
        <v/>
      </c>
      <c r="AE4370" s="53">
        <f>IFERROR(INDEX($A4370:$AB4370,MATCH("Xero Invoice Date",$A$1:$AB$1,0)),"")</f>
        <v/>
      </c>
      <c r="AF4370" s="54">
        <f>IF(AND(IFERROR(INDEX($A4370:$AB4370,MATCH("Xero Invoice No",$A$1:$AB$1,0)),"")&amp;""&lt;&gt;"",ISNUMBER(AE4370),AD4370&lt;&gt;0),1,0)</f>
        <v/>
      </c>
      <c r="AG4370" s="55">
        <f>IF(AF4370=1,EOMONTH(AE4370,0),"")</f>
        <v/>
      </c>
      <c r="AH4370" s="9">
        <f>IF(AF4370=1,UPPER(TRIM(IFERROR(INDEX($A4370:$AB4370,MATCH("Client",$A$1:$AB$1,0)),"")&amp;"")),"")</f>
        <v/>
      </c>
      <c r="AI4370" s="9">
        <f>IF(AF4370=1,IFERROR(INDEX($A4370:$AB4370,MATCH("Cost Centre",$A$1:$AB$1,0)),"")&amp;"","")</f>
        <v/>
      </c>
      <c r="AJ4370" s="54">
        <f>IF(AND(AF4370=1,AE4370&gt;=set_FYStart,AE4370&lt;=set_AsAt),1,0)</f>
        <v/>
      </c>
      <c r="AK4370" s="54">
        <f>IF(AND(AJ4370=1,AH4370&lt;&gt;"",COUNTIFS($AH$2:AH4370,AH4370,$AJ$2:AJ4370,1)=1),N(AL4369)+1,"")</f>
        <v/>
      </c>
      <c r="AL4370" s="54">
        <f>IF(AK4370&lt;&gt;"",AK4370,N(AL4369))</f>
        <v/>
      </c>
    </row>
    <row r="4371">
      <c r="A4371" t="inlineStr">
        <is>
          <t>PRD-1457</t>
        </is>
      </c>
      <c r="B4371" t="inlineStr">
        <is>
          <t>Production</t>
        </is>
      </c>
      <c r="AB4371" t="n">
        <v>1457</v>
      </c>
      <c r="AD4371" s="52">
        <f>IFERROR(N(IFERROR(INDEX($A4371:$AB4371,MATCH("Xero Invoiced Ex GST",$A$1:$AB$1,0)),"")),0)</f>
        <v/>
      </c>
      <c r="AE4371" s="53">
        <f>IFERROR(INDEX($A4371:$AB4371,MATCH("Xero Invoice Date",$A$1:$AB$1,0)),"")</f>
        <v/>
      </c>
      <c r="AF4371" s="54">
        <f>IF(AND(IFERROR(INDEX($A4371:$AB4371,MATCH("Xero Invoice No",$A$1:$AB$1,0)),"")&amp;""&lt;&gt;"",ISNUMBER(AE4371),AD4371&lt;&gt;0),1,0)</f>
        <v/>
      </c>
      <c r="AG4371" s="55">
        <f>IF(AF4371=1,EOMONTH(AE4371,0),"")</f>
        <v/>
      </c>
      <c r="AH4371" s="9">
        <f>IF(AF4371=1,UPPER(TRIM(IFERROR(INDEX($A4371:$AB4371,MATCH("Client",$A$1:$AB$1,0)),"")&amp;"")),"")</f>
        <v/>
      </c>
      <c r="AI4371" s="9">
        <f>IF(AF4371=1,IFERROR(INDEX($A4371:$AB4371,MATCH("Cost Centre",$A$1:$AB$1,0)),"")&amp;"","")</f>
        <v/>
      </c>
      <c r="AJ4371" s="54">
        <f>IF(AND(AF4371=1,AE4371&gt;=set_FYStart,AE4371&lt;=set_AsAt),1,0)</f>
        <v/>
      </c>
      <c r="AK4371" s="54">
        <f>IF(AND(AJ4371=1,AH4371&lt;&gt;"",COUNTIFS($AH$2:AH4371,AH4371,$AJ$2:AJ4371,1)=1),N(AL4370)+1,"")</f>
        <v/>
      </c>
      <c r="AL4371" s="54">
        <f>IF(AK4371&lt;&gt;"",AK4371,N(AL4370))</f>
        <v/>
      </c>
    </row>
    <row r="4372">
      <c r="A4372" t="inlineStr">
        <is>
          <t>CON-1457</t>
        </is>
      </c>
      <c r="B4372" t="inlineStr">
        <is>
          <t>Consulting</t>
        </is>
      </c>
      <c r="AB4372" t="n">
        <v>1457</v>
      </c>
      <c r="AD4372" s="52">
        <f>IFERROR(N(IFERROR(INDEX($A4372:$AB4372,MATCH("Xero Invoiced Ex GST",$A$1:$AB$1,0)),"")),0)</f>
        <v/>
      </c>
      <c r="AE4372" s="53">
        <f>IFERROR(INDEX($A4372:$AB4372,MATCH("Xero Invoice Date",$A$1:$AB$1,0)),"")</f>
        <v/>
      </c>
      <c r="AF4372" s="54">
        <f>IF(AND(IFERROR(INDEX($A4372:$AB4372,MATCH("Xero Invoice No",$A$1:$AB$1,0)),"")&amp;""&lt;&gt;"",ISNUMBER(AE4372),AD4372&lt;&gt;0),1,0)</f>
        <v/>
      </c>
      <c r="AG4372" s="55">
        <f>IF(AF4372=1,EOMONTH(AE4372,0),"")</f>
        <v/>
      </c>
      <c r="AH4372" s="9">
        <f>IF(AF4372=1,UPPER(TRIM(IFERROR(INDEX($A4372:$AB4372,MATCH("Client",$A$1:$AB$1,0)),"")&amp;"")),"")</f>
        <v/>
      </c>
      <c r="AI4372" s="9">
        <f>IF(AF4372=1,IFERROR(INDEX($A4372:$AB4372,MATCH("Cost Centre",$A$1:$AB$1,0)),"")&amp;"","")</f>
        <v/>
      </c>
      <c r="AJ4372" s="54">
        <f>IF(AND(AF4372=1,AE4372&gt;=set_FYStart,AE4372&lt;=set_AsAt),1,0)</f>
        <v/>
      </c>
      <c r="AK4372" s="54">
        <f>IF(AND(AJ4372=1,AH4372&lt;&gt;"",COUNTIFS($AH$2:AH4372,AH4372,$AJ$2:AJ4372,1)=1),N(AL4371)+1,"")</f>
        <v/>
      </c>
      <c r="AL4372" s="54">
        <f>IF(AK4372&lt;&gt;"",AK4372,N(AL4371))</f>
        <v/>
      </c>
    </row>
    <row r="4373">
      <c r="A4373" t="inlineStr">
        <is>
          <t>ONS-1458</t>
        </is>
      </c>
      <c r="B4373" t="inlineStr">
        <is>
          <t>Onsite</t>
        </is>
      </c>
      <c r="AB4373" t="n">
        <v>1458</v>
      </c>
      <c r="AD4373" s="52">
        <f>IFERROR(N(IFERROR(INDEX($A4373:$AB4373,MATCH("Xero Invoiced Ex GST",$A$1:$AB$1,0)),"")),0)</f>
        <v/>
      </c>
      <c r="AE4373" s="53">
        <f>IFERROR(INDEX($A4373:$AB4373,MATCH("Xero Invoice Date",$A$1:$AB$1,0)),"")</f>
        <v/>
      </c>
      <c r="AF4373" s="54">
        <f>IF(AND(IFERROR(INDEX($A4373:$AB4373,MATCH("Xero Invoice No",$A$1:$AB$1,0)),"")&amp;""&lt;&gt;"",ISNUMBER(AE4373),AD4373&lt;&gt;0),1,0)</f>
        <v/>
      </c>
      <c r="AG4373" s="55">
        <f>IF(AF4373=1,EOMONTH(AE4373,0),"")</f>
        <v/>
      </c>
      <c r="AH4373" s="9">
        <f>IF(AF4373=1,UPPER(TRIM(IFERROR(INDEX($A4373:$AB4373,MATCH("Client",$A$1:$AB$1,0)),"")&amp;"")),"")</f>
        <v/>
      </c>
      <c r="AI4373" s="9">
        <f>IF(AF4373=1,IFERROR(INDEX($A4373:$AB4373,MATCH("Cost Centre",$A$1:$AB$1,0)),"")&amp;"","")</f>
        <v/>
      </c>
      <c r="AJ4373" s="54">
        <f>IF(AND(AF4373=1,AE4373&gt;=set_FYStart,AE4373&lt;=set_AsAt),1,0)</f>
        <v/>
      </c>
      <c r="AK4373" s="54">
        <f>IF(AND(AJ4373=1,AH4373&lt;&gt;"",COUNTIFS($AH$2:AH4373,AH4373,$AJ$2:AJ4373,1)=1),N(AL4372)+1,"")</f>
        <v/>
      </c>
      <c r="AL4373" s="54">
        <f>IF(AK4373&lt;&gt;"",AK4373,N(AL4372))</f>
        <v/>
      </c>
    </row>
    <row r="4374">
      <c r="A4374" t="inlineStr">
        <is>
          <t>PRD-1458</t>
        </is>
      </c>
      <c r="B4374" t="inlineStr">
        <is>
          <t>Production</t>
        </is>
      </c>
      <c r="AB4374" t="n">
        <v>1458</v>
      </c>
      <c r="AD4374" s="52">
        <f>IFERROR(N(IFERROR(INDEX($A4374:$AB4374,MATCH("Xero Invoiced Ex GST",$A$1:$AB$1,0)),"")),0)</f>
        <v/>
      </c>
      <c r="AE4374" s="53">
        <f>IFERROR(INDEX($A4374:$AB4374,MATCH("Xero Invoice Date",$A$1:$AB$1,0)),"")</f>
        <v/>
      </c>
      <c r="AF4374" s="54">
        <f>IF(AND(IFERROR(INDEX($A4374:$AB4374,MATCH("Xero Invoice No",$A$1:$AB$1,0)),"")&amp;""&lt;&gt;"",ISNUMBER(AE4374),AD4374&lt;&gt;0),1,0)</f>
        <v/>
      </c>
      <c r="AG4374" s="55">
        <f>IF(AF4374=1,EOMONTH(AE4374,0),"")</f>
        <v/>
      </c>
      <c r="AH4374" s="9">
        <f>IF(AF4374=1,UPPER(TRIM(IFERROR(INDEX($A4374:$AB4374,MATCH("Client",$A$1:$AB$1,0)),"")&amp;"")),"")</f>
        <v/>
      </c>
      <c r="AI4374" s="9">
        <f>IF(AF4374=1,IFERROR(INDEX($A4374:$AB4374,MATCH("Cost Centre",$A$1:$AB$1,0)),"")&amp;"","")</f>
        <v/>
      </c>
      <c r="AJ4374" s="54">
        <f>IF(AND(AF4374=1,AE4374&gt;=set_FYStart,AE4374&lt;=set_AsAt),1,0)</f>
        <v/>
      </c>
      <c r="AK4374" s="54">
        <f>IF(AND(AJ4374=1,AH4374&lt;&gt;"",COUNTIFS($AH$2:AH4374,AH4374,$AJ$2:AJ4374,1)=1),N(AL4373)+1,"")</f>
        <v/>
      </c>
      <c r="AL4374" s="54">
        <f>IF(AK4374&lt;&gt;"",AK4374,N(AL4373))</f>
        <v/>
      </c>
    </row>
    <row r="4375">
      <c r="A4375" t="inlineStr">
        <is>
          <t>CON-1458</t>
        </is>
      </c>
      <c r="B4375" t="inlineStr">
        <is>
          <t>Consulting</t>
        </is>
      </c>
      <c r="AB4375" t="n">
        <v>1458</v>
      </c>
      <c r="AD4375" s="52">
        <f>IFERROR(N(IFERROR(INDEX($A4375:$AB4375,MATCH("Xero Invoiced Ex GST",$A$1:$AB$1,0)),"")),0)</f>
        <v/>
      </c>
      <c r="AE4375" s="53">
        <f>IFERROR(INDEX($A4375:$AB4375,MATCH("Xero Invoice Date",$A$1:$AB$1,0)),"")</f>
        <v/>
      </c>
      <c r="AF4375" s="54">
        <f>IF(AND(IFERROR(INDEX($A4375:$AB4375,MATCH("Xero Invoice No",$A$1:$AB$1,0)),"")&amp;""&lt;&gt;"",ISNUMBER(AE4375),AD4375&lt;&gt;0),1,0)</f>
        <v/>
      </c>
      <c r="AG4375" s="55">
        <f>IF(AF4375=1,EOMONTH(AE4375,0),"")</f>
        <v/>
      </c>
      <c r="AH4375" s="9">
        <f>IF(AF4375=1,UPPER(TRIM(IFERROR(INDEX($A4375:$AB4375,MATCH("Client",$A$1:$AB$1,0)),"")&amp;"")),"")</f>
        <v/>
      </c>
      <c r="AI4375" s="9">
        <f>IF(AF4375=1,IFERROR(INDEX($A4375:$AB4375,MATCH("Cost Centre",$A$1:$AB$1,0)),"")&amp;"","")</f>
        <v/>
      </c>
      <c r="AJ4375" s="54">
        <f>IF(AND(AF4375=1,AE4375&gt;=set_FYStart,AE4375&lt;=set_AsAt),1,0)</f>
        <v/>
      </c>
      <c r="AK4375" s="54">
        <f>IF(AND(AJ4375=1,AH4375&lt;&gt;"",COUNTIFS($AH$2:AH4375,AH4375,$AJ$2:AJ4375,1)=1),N(AL4374)+1,"")</f>
        <v/>
      </c>
      <c r="AL4375" s="54">
        <f>IF(AK4375&lt;&gt;"",AK4375,N(AL4374))</f>
        <v/>
      </c>
    </row>
    <row r="4376">
      <c r="A4376" t="inlineStr">
        <is>
          <t>ONS-1459</t>
        </is>
      </c>
      <c r="B4376" t="inlineStr">
        <is>
          <t>Onsite</t>
        </is>
      </c>
      <c r="AB4376" t="n">
        <v>1459</v>
      </c>
      <c r="AD4376" s="52">
        <f>IFERROR(N(IFERROR(INDEX($A4376:$AB4376,MATCH("Xero Invoiced Ex GST",$A$1:$AB$1,0)),"")),0)</f>
        <v/>
      </c>
      <c r="AE4376" s="53">
        <f>IFERROR(INDEX($A4376:$AB4376,MATCH("Xero Invoice Date",$A$1:$AB$1,0)),"")</f>
        <v/>
      </c>
      <c r="AF4376" s="54">
        <f>IF(AND(IFERROR(INDEX($A4376:$AB4376,MATCH("Xero Invoice No",$A$1:$AB$1,0)),"")&amp;""&lt;&gt;"",ISNUMBER(AE4376),AD4376&lt;&gt;0),1,0)</f>
        <v/>
      </c>
      <c r="AG4376" s="55">
        <f>IF(AF4376=1,EOMONTH(AE4376,0),"")</f>
        <v/>
      </c>
      <c r="AH4376" s="9">
        <f>IF(AF4376=1,UPPER(TRIM(IFERROR(INDEX($A4376:$AB4376,MATCH("Client",$A$1:$AB$1,0)),"")&amp;"")),"")</f>
        <v/>
      </c>
      <c r="AI4376" s="9">
        <f>IF(AF4376=1,IFERROR(INDEX($A4376:$AB4376,MATCH("Cost Centre",$A$1:$AB$1,0)),"")&amp;"","")</f>
        <v/>
      </c>
      <c r="AJ4376" s="54">
        <f>IF(AND(AF4376=1,AE4376&gt;=set_FYStart,AE4376&lt;=set_AsAt),1,0)</f>
        <v/>
      </c>
      <c r="AK4376" s="54">
        <f>IF(AND(AJ4376=1,AH4376&lt;&gt;"",COUNTIFS($AH$2:AH4376,AH4376,$AJ$2:AJ4376,1)=1),N(AL4375)+1,"")</f>
        <v/>
      </c>
      <c r="AL4376" s="54">
        <f>IF(AK4376&lt;&gt;"",AK4376,N(AL4375))</f>
        <v/>
      </c>
    </row>
    <row r="4377">
      <c r="A4377" t="inlineStr">
        <is>
          <t>PRD-1459</t>
        </is>
      </c>
      <c r="B4377" t="inlineStr">
        <is>
          <t>Production</t>
        </is>
      </c>
      <c r="AB4377" t="n">
        <v>1459</v>
      </c>
      <c r="AD4377" s="52">
        <f>IFERROR(N(IFERROR(INDEX($A4377:$AB4377,MATCH("Xero Invoiced Ex GST",$A$1:$AB$1,0)),"")),0)</f>
        <v/>
      </c>
      <c r="AE4377" s="53">
        <f>IFERROR(INDEX($A4377:$AB4377,MATCH("Xero Invoice Date",$A$1:$AB$1,0)),"")</f>
        <v/>
      </c>
      <c r="AF4377" s="54">
        <f>IF(AND(IFERROR(INDEX($A4377:$AB4377,MATCH("Xero Invoice No",$A$1:$AB$1,0)),"")&amp;""&lt;&gt;"",ISNUMBER(AE4377),AD4377&lt;&gt;0),1,0)</f>
        <v/>
      </c>
      <c r="AG4377" s="55">
        <f>IF(AF4377=1,EOMONTH(AE4377,0),"")</f>
        <v/>
      </c>
      <c r="AH4377" s="9">
        <f>IF(AF4377=1,UPPER(TRIM(IFERROR(INDEX($A4377:$AB4377,MATCH("Client",$A$1:$AB$1,0)),"")&amp;"")),"")</f>
        <v/>
      </c>
      <c r="AI4377" s="9">
        <f>IF(AF4377=1,IFERROR(INDEX($A4377:$AB4377,MATCH("Cost Centre",$A$1:$AB$1,0)),"")&amp;"","")</f>
        <v/>
      </c>
      <c r="AJ4377" s="54">
        <f>IF(AND(AF4377=1,AE4377&gt;=set_FYStart,AE4377&lt;=set_AsAt),1,0)</f>
        <v/>
      </c>
      <c r="AK4377" s="54">
        <f>IF(AND(AJ4377=1,AH4377&lt;&gt;"",COUNTIFS($AH$2:AH4377,AH4377,$AJ$2:AJ4377,1)=1),N(AL4376)+1,"")</f>
        <v/>
      </c>
      <c r="AL4377" s="54">
        <f>IF(AK4377&lt;&gt;"",AK4377,N(AL4376))</f>
        <v/>
      </c>
    </row>
    <row r="4378">
      <c r="A4378" t="inlineStr">
        <is>
          <t>CON-1459</t>
        </is>
      </c>
      <c r="B4378" t="inlineStr">
        <is>
          <t>Consulting</t>
        </is>
      </c>
      <c r="AB4378" t="n">
        <v>1459</v>
      </c>
      <c r="AD4378" s="52">
        <f>IFERROR(N(IFERROR(INDEX($A4378:$AB4378,MATCH("Xero Invoiced Ex GST",$A$1:$AB$1,0)),"")),0)</f>
        <v/>
      </c>
      <c r="AE4378" s="53">
        <f>IFERROR(INDEX($A4378:$AB4378,MATCH("Xero Invoice Date",$A$1:$AB$1,0)),"")</f>
        <v/>
      </c>
      <c r="AF4378" s="54">
        <f>IF(AND(IFERROR(INDEX($A4378:$AB4378,MATCH("Xero Invoice No",$A$1:$AB$1,0)),"")&amp;""&lt;&gt;"",ISNUMBER(AE4378),AD4378&lt;&gt;0),1,0)</f>
        <v/>
      </c>
      <c r="AG4378" s="55">
        <f>IF(AF4378=1,EOMONTH(AE4378,0),"")</f>
        <v/>
      </c>
      <c r="AH4378" s="9">
        <f>IF(AF4378=1,UPPER(TRIM(IFERROR(INDEX($A4378:$AB4378,MATCH("Client",$A$1:$AB$1,0)),"")&amp;"")),"")</f>
        <v/>
      </c>
      <c r="AI4378" s="9">
        <f>IF(AF4378=1,IFERROR(INDEX($A4378:$AB4378,MATCH("Cost Centre",$A$1:$AB$1,0)),"")&amp;"","")</f>
        <v/>
      </c>
      <c r="AJ4378" s="54">
        <f>IF(AND(AF4378=1,AE4378&gt;=set_FYStart,AE4378&lt;=set_AsAt),1,0)</f>
        <v/>
      </c>
      <c r="AK4378" s="54">
        <f>IF(AND(AJ4378=1,AH4378&lt;&gt;"",COUNTIFS($AH$2:AH4378,AH4378,$AJ$2:AJ4378,1)=1),N(AL4377)+1,"")</f>
        <v/>
      </c>
      <c r="AL4378" s="54">
        <f>IF(AK4378&lt;&gt;"",AK4378,N(AL4377))</f>
        <v/>
      </c>
    </row>
    <row r="4379">
      <c r="A4379" t="inlineStr">
        <is>
          <t>ONS-1460</t>
        </is>
      </c>
      <c r="B4379" t="inlineStr">
        <is>
          <t>Onsite</t>
        </is>
      </c>
      <c r="AB4379" t="n">
        <v>1460</v>
      </c>
      <c r="AD4379" s="52">
        <f>IFERROR(N(IFERROR(INDEX($A4379:$AB4379,MATCH("Xero Invoiced Ex GST",$A$1:$AB$1,0)),"")),0)</f>
        <v/>
      </c>
      <c r="AE4379" s="53">
        <f>IFERROR(INDEX($A4379:$AB4379,MATCH("Xero Invoice Date",$A$1:$AB$1,0)),"")</f>
        <v/>
      </c>
      <c r="AF4379" s="54">
        <f>IF(AND(IFERROR(INDEX($A4379:$AB4379,MATCH("Xero Invoice No",$A$1:$AB$1,0)),"")&amp;""&lt;&gt;"",ISNUMBER(AE4379),AD4379&lt;&gt;0),1,0)</f>
        <v/>
      </c>
      <c r="AG4379" s="55">
        <f>IF(AF4379=1,EOMONTH(AE4379,0),"")</f>
        <v/>
      </c>
      <c r="AH4379" s="9">
        <f>IF(AF4379=1,UPPER(TRIM(IFERROR(INDEX($A4379:$AB4379,MATCH("Client",$A$1:$AB$1,0)),"")&amp;"")),"")</f>
        <v/>
      </c>
      <c r="AI4379" s="9">
        <f>IF(AF4379=1,IFERROR(INDEX($A4379:$AB4379,MATCH("Cost Centre",$A$1:$AB$1,0)),"")&amp;"","")</f>
        <v/>
      </c>
      <c r="AJ4379" s="54">
        <f>IF(AND(AF4379=1,AE4379&gt;=set_FYStart,AE4379&lt;=set_AsAt),1,0)</f>
        <v/>
      </c>
      <c r="AK4379" s="54">
        <f>IF(AND(AJ4379=1,AH4379&lt;&gt;"",COUNTIFS($AH$2:AH4379,AH4379,$AJ$2:AJ4379,1)=1),N(AL4378)+1,"")</f>
        <v/>
      </c>
      <c r="AL4379" s="54">
        <f>IF(AK4379&lt;&gt;"",AK4379,N(AL4378))</f>
        <v/>
      </c>
    </row>
    <row r="4380">
      <c r="A4380" t="inlineStr">
        <is>
          <t>PRD-1460</t>
        </is>
      </c>
      <c r="B4380" t="inlineStr">
        <is>
          <t>Production</t>
        </is>
      </c>
      <c r="AB4380" t="n">
        <v>1460</v>
      </c>
      <c r="AD4380" s="52">
        <f>IFERROR(N(IFERROR(INDEX($A4380:$AB4380,MATCH("Xero Invoiced Ex GST",$A$1:$AB$1,0)),"")),0)</f>
        <v/>
      </c>
      <c r="AE4380" s="53">
        <f>IFERROR(INDEX($A4380:$AB4380,MATCH("Xero Invoice Date",$A$1:$AB$1,0)),"")</f>
        <v/>
      </c>
      <c r="AF4380" s="54">
        <f>IF(AND(IFERROR(INDEX($A4380:$AB4380,MATCH("Xero Invoice No",$A$1:$AB$1,0)),"")&amp;""&lt;&gt;"",ISNUMBER(AE4380),AD4380&lt;&gt;0),1,0)</f>
        <v/>
      </c>
      <c r="AG4380" s="55">
        <f>IF(AF4380=1,EOMONTH(AE4380,0),"")</f>
        <v/>
      </c>
      <c r="AH4380" s="9">
        <f>IF(AF4380=1,UPPER(TRIM(IFERROR(INDEX($A4380:$AB4380,MATCH("Client",$A$1:$AB$1,0)),"")&amp;"")),"")</f>
        <v/>
      </c>
      <c r="AI4380" s="9">
        <f>IF(AF4380=1,IFERROR(INDEX($A4380:$AB4380,MATCH("Cost Centre",$A$1:$AB$1,0)),"")&amp;"","")</f>
        <v/>
      </c>
      <c r="AJ4380" s="54">
        <f>IF(AND(AF4380=1,AE4380&gt;=set_FYStart,AE4380&lt;=set_AsAt),1,0)</f>
        <v/>
      </c>
      <c r="AK4380" s="54">
        <f>IF(AND(AJ4380=1,AH4380&lt;&gt;"",COUNTIFS($AH$2:AH4380,AH4380,$AJ$2:AJ4380,1)=1),N(AL4379)+1,"")</f>
        <v/>
      </c>
      <c r="AL4380" s="54">
        <f>IF(AK4380&lt;&gt;"",AK4380,N(AL4379))</f>
        <v/>
      </c>
    </row>
    <row r="4381">
      <c r="A4381" t="inlineStr">
        <is>
          <t>CON-1460</t>
        </is>
      </c>
      <c r="B4381" t="inlineStr">
        <is>
          <t>Consulting</t>
        </is>
      </c>
      <c r="AB4381" t="n">
        <v>1460</v>
      </c>
      <c r="AD4381" s="52">
        <f>IFERROR(N(IFERROR(INDEX($A4381:$AB4381,MATCH("Xero Invoiced Ex GST",$A$1:$AB$1,0)),"")),0)</f>
        <v/>
      </c>
      <c r="AE4381" s="53">
        <f>IFERROR(INDEX($A4381:$AB4381,MATCH("Xero Invoice Date",$A$1:$AB$1,0)),"")</f>
        <v/>
      </c>
      <c r="AF4381" s="54">
        <f>IF(AND(IFERROR(INDEX($A4381:$AB4381,MATCH("Xero Invoice No",$A$1:$AB$1,0)),"")&amp;""&lt;&gt;"",ISNUMBER(AE4381),AD4381&lt;&gt;0),1,0)</f>
        <v/>
      </c>
      <c r="AG4381" s="55">
        <f>IF(AF4381=1,EOMONTH(AE4381,0),"")</f>
        <v/>
      </c>
      <c r="AH4381" s="9">
        <f>IF(AF4381=1,UPPER(TRIM(IFERROR(INDEX($A4381:$AB4381,MATCH("Client",$A$1:$AB$1,0)),"")&amp;"")),"")</f>
        <v/>
      </c>
      <c r="AI4381" s="9">
        <f>IF(AF4381=1,IFERROR(INDEX($A4381:$AB4381,MATCH("Cost Centre",$A$1:$AB$1,0)),"")&amp;"","")</f>
        <v/>
      </c>
      <c r="AJ4381" s="54">
        <f>IF(AND(AF4381=1,AE4381&gt;=set_FYStart,AE4381&lt;=set_AsAt),1,0)</f>
        <v/>
      </c>
      <c r="AK4381" s="54">
        <f>IF(AND(AJ4381=1,AH4381&lt;&gt;"",COUNTIFS($AH$2:AH4381,AH4381,$AJ$2:AJ4381,1)=1),N(AL4380)+1,"")</f>
        <v/>
      </c>
      <c r="AL4381" s="54">
        <f>IF(AK4381&lt;&gt;"",AK4381,N(AL4380))</f>
        <v/>
      </c>
    </row>
    <row r="4382">
      <c r="A4382" t="inlineStr">
        <is>
          <t>ONS-1461</t>
        </is>
      </c>
      <c r="B4382" t="inlineStr">
        <is>
          <t>Onsite</t>
        </is>
      </c>
      <c r="AB4382" t="n">
        <v>1461</v>
      </c>
      <c r="AD4382" s="52">
        <f>IFERROR(N(IFERROR(INDEX($A4382:$AB4382,MATCH("Xero Invoiced Ex GST",$A$1:$AB$1,0)),"")),0)</f>
        <v/>
      </c>
      <c r="AE4382" s="53">
        <f>IFERROR(INDEX($A4382:$AB4382,MATCH("Xero Invoice Date",$A$1:$AB$1,0)),"")</f>
        <v/>
      </c>
      <c r="AF4382" s="54">
        <f>IF(AND(IFERROR(INDEX($A4382:$AB4382,MATCH("Xero Invoice No",$A$1:$AB$1,0)),"")&amp;""&lt;&gt;"",ISNUMBER(AE4382),AD4382&lt;&gt;0),1,0)</f>
        <v/>
      </c>
      <c r="AG4382" s="55">
        <f>IF(AF4382=1,EOMONTH(AE4382,0),"")</f>
        <v/>
      </c>
      <c r="AH4382" s="9">
        <f>IF(AF4382=1,UPPER(TRIM(IFERROR(INDEX($A4382:$AB4382,MATCH("Client",$A$1:$AB$1,0)),"")&amp;"")),"")</f>
        <v/>
      </c>
      <c r="AI4382" s="9">
        <f>IF(AF4382=1,IFERROR(INDEX($A4382:$AB4382,MATCH("Cost Centre",$A$1:$AB$1,0)),"")&amp;"","")</f>
        <v/>
      </c>
      <c r="AJ4382" s="54">
        <f>IF(AND(AF4382=1,AE4382&gt;=set_FYStart,AE4382&lt;=set_AsAt),1,0)</f>
        <v/>
      </c>
      <c r="AK4382" s="54">
        <f>IF(AND(AJ4382=1,AH4382&lt;&gt;"",COUNTIFS($AH$2:AH4382,AH4382,$AJ$2:AJ4382,1)=1),N(AL4381)+1,"")</f>
        <v/>
      </c>
      <c r="AL4382" s="54">
        <f>IF(AK4382&lt;&gt;"",AK4382,N(AL4381))</f>
        <v/>
      </c>
    </row>
    <row r="4383">
      <c r="A4383" t="inlineStr">
        <is>
          <t>PRD-1461</t>
        </is>
      </c>
      <c r="B4383" t="inlineStr">
        <is>
          <t>Production</t>
        </is>
      </c>
      <c r="AB4383" t="n">
        <v>1461</v>
      </c>
      <c r="AD4383" s="52">
        <f>IFERROR(N(IFERROR(INDEX($A4383:$AB4383,MATCH("Xero Invoiced Ex GST",$A$1:$AB$1,0)),"")),0)</f>
        <v/>
      </c>
      <c r="AE4383" s="53">
        <f>IFERROR(INDEX($A4383:$AB4383,MATCH("Xero Invoice Date",$A$1:$AB$1,0)),"")</f>
        <v/>
      </c>
      <c r="AF4383" s="54">
        <f>IF(AND(IFERROR(INDEX($A4383:$AB4383,MATCH("Xero Invoice No",$A$1:$AB$1,0)),"")&amp;""&lt;&gt;"",ISNUMBER(AE4383),AD4383&lt;&gt;0),1,0)</f>
        <v/>
      </c>
      <c r="AG4383" s="55">
        <f>IF(AF4383=1,EOMONTH(AE4383,0),"")</f>
        <v/>
      </c>
      <c r="AH4383" s="9">
        <f>IF(AF4383=1,UPPER(TRIM(IFERROR(INDEX($A4383:$AB4383,MATCH("Client",$A$1:$AB$1,0)),"")&amp;"")),"")</f>
        <v/>
      </c>
      <c r="AI4383" s="9">
        <f>IF(AF4383=1,IFERROR(INDEX($A4383:$AB4383,MATCH("Cost Centre",$A$1:$AB$1,0)),"")&amp;"","")</f>
        <v/>
      </c>
      <c r="AJ4383" s="54">
        <f>IF(AND(AF4383=1,AE4383&gt;=set_FYStart,AE4383&lt;=set_AsAt),1,0)</f>
        <v/>
      </c>
      <c r="AK4383" s="54">
        <f>IF(AND(AJ4383=1,AH4383&lt;&gt;"",COUNTIFS($AH$2:AH4383,AH4383,$AJ$2:AJ4383,1)=1),N(AL4382)+1,"")</f>
        <v/>
      </c>
      <c r="AL4383" s="54">
        <f>IF(AK4383&lt;&gt;"",AK4383,N(AL4382))</f>
        <v/>
      </c>
    </row>
    <row r="4384">
      <c r="A4384" t="inlineStr">
        <is>
          <t>CON-1461</t>
        </is>
      </c>
      <c r="B4384" t="inlineStr">
        <is>
          <t>Consulting</t>
        </is>
      </c>
      <c r="AB4384" t="n">
        <v>1461</v>
      </c>
      <c r="AD4384" s="52">
        <f>IFERROR(N(IFERROR(INDEX($A4384:$AB4384,MATCH("Xero Invoiced Ex GST",$A$1:$AB$1,0)),"")),0)</f>
        <v/>
      </c>
      <c r="AE4384" s="53">
        <f>IFERROR(INDEX($A4384:$AB4384,MATCH("Xero Invoice Date",$A$1:$AB$1,0)),"")</f>
        <v/>
      </c>
      <c r="AF4384" s="54">
        <f>IF(AND(IFERROR(INDEX($A4384:$AB4384,MATCH("Xero Invoice No",$A$1:$AB$1,0)),"")&amp;""&lt;&gt;"",ISNUMBER(AE4384),AD4384&lt;&gt;0),1,0)</f>
        <v/>
      </c>
      <c r="AG4384" s="55">
        <f>IF(AF4384=1,EOMONTH(AE4384,0),"")</f>
        <v/>
      </c>
      <c r="AH4384" s="9">
        <f>IF(AF4384=1,UPPER(TRIM(IFERROR(INDEX($A4384:$AB4384,MATCH("Client",$A$1:$AB$1,0)),"")&amp;"")),"")</f>
        <v/>
      </c>
      <c r="AI4384" s="9">
        <f>IF(AF4384=1,IFERROR(INDEX($A4384:$AB4384,MATCH("Cost Centre",$A$1:$AB$1,0)),"")&amp;"","")</f>
        <v/>
      </c>
      <c r="AJ4384" s="54">
        <f>IF(AND(AF4384=1,AE4384&gt;=set_FYStart,AE4384&lt;=set_AsAt),1,0)</f>
        <v/>
      </c>
      <c r="AK4384" s="54">
        <f>IF(AND(AJ4384=1,AH4384&lt;&gt;"",COUNTIFS($AH$2:AH4384,AH4384,$AJ$2:AJ4384,1)=1),N(AL4383)+1,"")</f>
        <v/>
      </c>
      <c r="AL4384" s="54">
        <f>IF(AK4384&lt;&gt;"",AK4384,N(AL4383))</f>
        <v/>
      </c>
    </row>
    <row r="4385">
      <c r="A4385" t="inlineStr">
        <is>
          <t>ONS-1462</t>
        </is>
      </c>
      <c r="B4385" t="inlineStr">
        <is>
          <t>Onsite</t>
        </is>
      </c>
      <c r="AB4385" t="n">
        <v>1462</v>
      </c>
      <c r="AD4385" s="52">
        <f>IFERROR(N(IFERROR(INDEX($A4385:$AB4385,MATCH("Xero Invoiced Ex GST",$A$1:$AB$1,0)),"")),0)</f>
        <v/>
      </c>
      <c r="AE4385" s="53">
        <f>IFERROR(INDEX($A4385:$AB4385,MATCH("Xero Invoice Date",$A$1:$AB$1,0)),"")</f>
        <v/>
      </c>
      <c r="AF4385" s="54">
        <f>IF(AND(IFERROR(INDEX($A4385:$AB4385,MATCH("Xero Invoice No",$A$1:$AB$1,0)),"")&amp;""&lt;&gt;"",ISNUMBER(AE4385),AD4385&lt;&gt;0),1,0)</f>
        <v/>
      </c>
      <c r="AG4385" s="55">
        <f>IF(AF4385=1,EOMONTH(AE4385,0),"")</f>
        <v/>
      </c>
      <c r="AH4385" s="9">
        <f>IF(AF4385=1,UPPER(TRIM(IFERROR(INDEX($A4385:$AB4385,MATCH("Client",$A$1:$AB$1,0)),"")&amp;"")),"")</f>
        <v/>
      </c>
      <c r="AI4385" s="9">
        <f>IF(AF4385=1,IFERROR(INDEX($A4385:$AB4385,MATCH("Cost Centre",$A$1:$AB$1,0)),"")&amp;"","")</f>
        <v/>
      </c>
      <c r="AJ4385" s="54">
        <f>IF(AND(AF4385=1,AE4385&gt;=set_FYStart,AE4385&lt;=set_AsAt),1,0)</f>
        <v/>
      </c>
      <c r="AK4385" s="54">
        <f>IF(AND(AJ4385=1,AH4385&lt;&gt;"",COUNTIFS($AH$2:AH4385,AH4385,$AJ$2:AJ4385,1)=1),N(AL4384)+1,"")</f>
        <v/>
      </c>
      <c r="AL4385" s="54">
        <f>IF(AK4385&lt;&gt;"",AK4385,N(AL4384))</f>
        <v/>
      </c>
    </row>
    <row r="4386">
      <c r="A4386" t="inlineStr">
        <is>
          <t>PRD-1462</t>
        </is>
      </c>
      <c r="B4386" t="inlineStr">
        <is>
          <t>Production</t>
        </is>
      </c>
      <c r="AB4386" t="n">
        <v>1462</v>
      </c>
      <c r="AD4386" s="52">
        <f>IFERROR(N(IFERROR(INDEX($A4386:$AB4386,MATCH("Xero Invoiced Ex GST",$A$1:$AB$1,0)),"")),0)</f>
        <v/>
      </c>
      <c r="AE4386" s="53">
        <f>IFERROR(INDEX($A4386:$AB4386,MATCH("Xero Invoice Date",$A$1:$AB$1,0)),"")</f>
        <v/>
      </c>
      <c r="AF4386" s="54">
        <f>IF(AND(IFERROR(INDEX($A4386:$AB4386,MATCH("Xero Invoice No",$A$1:$AB$1,0)),"")&amp;""&lt;&gt;"",ISNUMBER(AE4386),AD4386&lt;&gt;0),1,0)</f>
        <v/>
      </c>
      <c r="AG4386" s="55">
        <f>IF(AF4386=1,EOMONTH(AE4386,0),"")</f>
        <v/>
      </c>
      <c r="AH4386" s="9">
        <f>IF(AF4386=1,UPPER(TRIM(IFERROR(INDEX($A4386:$AB4386,MATCH("Client",$A$1:$AB$1,0)),"")&amp;"")),"")</f>
        <v/>
      </c>
      <c r="AI4386" s="9">
        <f>IF(AF4386=1,IFERROR(INDEX($A4386:$AB4386,MATCH("Cost Centre",$A$1:$AB$1,0)),"")&amp;"","")</f>
        <v/>
      </c>
      <c r="AJ4386" s="54">
        <f>IF(AND(AF4386=1,AE4386&gt;=set_FYStart,AE4386&lt;=set_AsAt),1,0)</f>
        <v/>
      </c>
      <c r="AK4386" s="54">
        <f>IF(AND(AJ4386=1,AH4386&lt;&gt;"",COUNTIFS($AH$2:AH4386,AH4386,$AJ$2:AJ4386,1)=1),N(AL4385)+1,"")</f>
        <v/>
      </c>
      <c r="AL4386" s="54">
        <f>IF(AK4386&lt;&gt;"",AK4386,N(AL4385))</f>
        <v/>
      </c>
    </row>
    <row r="4387">
      <c r="A4387" t="inlineStr">
        <is>
          <t>CON-1462</t>
        </is>
      </c>
      <c r="B4387" t="inlineStr">
        <is>
          <t>Consulting</t>
        </is>
      </c>
      <c r="AB4387" t="n">
        <v>1462</v>
      </c>
      <c r="AD4387" s="52">
        <f>IFERROR(N(IFERROR(INDEX($A4387:$AB4387,MATCH("Xero Invoiced Ex GST",$A$1:$AB$1,0)),"")),0)</f>
        <v/>
      </c>
      <c r="AE4387" s="53">
        <f>IFERROR(INDEX($A4387:$AB4387,MATCH("Xero Invoice Date",$A$1:$AB$1,0)),"")</f>
        <v/>
      </c>
      <c r="AF4387" s="54">
        <f>IF(AND(IFERROR(INDEX($A4387:$AB4387,MATCH("Xero Invoice No",$A$1:$AB$1,0)),"")&amp;""&lt;&gt;"",ISNUMBER(AE4387),AD4387&lt;&gt;0),1,0)</f>
        <v/>
      </c>
      <c r="AG4387" s="55">
        <f>IF(AF4387=1,EOMONTH(AE4387,0),"")</f>
        <v/>
      </c>
      <c r="AH4387" s="9">
        <f>IF(AF4387=1,UPPER(TRIM(IFERROR(INDEX($A4387:$AB4387,MATCH("Client",$A$1:$AB$1,0)),"")&amp;"")),"")</f>
        <v/>
      </c>
      <c r="AI4387" s="9">
        <f>IF(AF4387=1,IFERROR(INDEX($A4387:$AB4387,MATCH("Cost Centre",$A$1:$AB$1,0)),"")&amp;"","")</f>
        <v/>
      </c>
      <c r="AJ4387" s="54">
        <f>IF(AND(AF4387=1,AE4387&gt;=set_FYStart,AE4387&lt;=set_AsAt),1,0)</f>
        <v/>
      </c>
      <c r="AK4387" s="54">
        <f>IF(AND(AJ4387=1,AH4387&lt;&gt;"",COUNTIFS($AH$2:AH4387,AH4387,$AJ$2:AJ4387,1)=1),N(AL4386)+1,"")</f>
        <v/>
      </c>
      <c r="AL4387" s="54">
        <f>IF(AK4387&lt;&gt;"",AK4387,N(AL4386))</f>
        <v/>
      </c>
    </row>
    <row r="4388">
      <c r="A4388" t="inlineStr">
        <is>
          <t>ONS-1463</t>
        </is>
      </c>
      <c r="B4388" t="inlineStr">
        <is>
          <t>Onsite</t>
        </is>
      </c>
      <c r="AB4388" t="n">
        <v>1463</v>
      </c>
      <c r="AD4388" s="52">
        <f>IFERROR(N(IFERROR(INDEX($A4388:$AB4388,MATCH("Xero Invoiced Ex GST",$A$1:$AB$1,0)),"")),0)</f>
        <v/>
      </c>
      <c r="AE4388" s="53">
        <f>IFERROR(INDEX($A4388:$AB4388,MATCH("Xero Invoice Date",$A$1:$AB$1,0)),"")</f>
        <v/>
      </c>
      <c r="AF4388" s="54">
        <f>IF(AND(IFERROR(INDEX($A4388:$AB4388,MATCH("Xero Invoice No",$A$1:$AB$1,0)),"")&amp;""&lt;&gt;"",ISNUMBER(AE4388),AD4388&lt;&gt;0),1,0)</f>
        <v/>
      </c>
      <c r="AG4388" s="55">
        <f>IF(AF4388=1,EOMONTH(AE4388,0),"")</f>
        <v/>
      </c>
      <c r="AH4388" s="9">
        <f>IF(AF4388=1,UPPER(TRIM(IFERROR(INDEX($A4388:$AB4388,MATCH("Client",$A$1:$AB$1,0)),"")&amp;"")),"")</f>
        <v/>
      </c>
      <c r="AI4388" s="9">
        <f>IF(AF4388=1,IFERROR(INDEX($A4388:$AB4388,MATCH("Cost Centre",$A$1:$AB$1,0)),"")&amp;"","")</f>
        <v/>
      </c>
      <c r="AJ4388" s="54">
        <f>IF(AND(AF4388=1,AE4388&gt;=set_FYStart,AE4388&lt;=set_AsAt),1,0)</f>
        <v/>
      </c>
      <c r="AK4388" s="54">
        <f>IF(AND(AJ4388=1,AH4388&lt;&gt;"",COUNTIFS($AH$2:AH4388,AH4388,$AJ$2:AJ4388,1)=1),N(AL4387)+1,"")</f>
        <v/>
      </c>
      <c r="AL4388" s="54">
        <f>IF(AK4388&lt;&gt;"",AK4388,N(AL4387))</f>
        <v/>
      </c>
    </row>
    <row r="4389">
      <c r="A4389" t="inlineStr">
        <is>
          <t>PRD-1463</t>
        </is>
      </c>
      <c r="B4389" t="inlineStr">
        <is>
          <t>Production</t>
        </is>
      </c>
      <c r="AB4389" t="n">
        <v>1463</v>
      </c>
      <c r="AD4389" s="52">
        <f>IFERROR(N(IFERROR(INDEX($A4389:$AB4389,MATCH("Xero Invoiced Ex GST",$A$1:$AB$1,0)),"")),0)</f>
        <v/>
      </c>
      <c r="AE4389" s="53">
        <f>IFERROR(INDEX($A4389:$AB4389,MATCH("Xero Invoice Date",$A$1:$AB$1,0)),"")</f>
        <v/>
      </c>
      <c r="AF4389" s="54">
        <f>IF(AND(IFERROR(INDEX($A4389:$AB4389,MATCH("Xero Invoice No",$A$1:$AB$1,0)),"")&amp;""&lt;&gt;"",ISNUMBER(AE4389),AD4389&lt;&gt;0),1,0)</f>
        <v/>
      </c>
      <c r="AG4389" s="55">
        <f>IF(AF4389=1,EOMONTH(AE4389,0),"")</f>
        <v/>
      </c>
      <c r="AH4389" s="9">
        <f>IF(AF4389=1,UPPER(TRIM(IFERROR(INDEX($A4389:$AB4389,MATCH("Client",$A$1:$AB$1,0)),"")&amp;"")),"")</f>
        <v/>
      </c>
      <c r="AI4389" s="9">
        <f>IF(AF4389=1,IFERROR(INDEX($A4389:$AB4389,MATCH("Cost Centre",$A$1:$AB$1,0)),"")&amp;"","")</f>
        <v/>
      </c>
      <c r="AJ4389" s="54">
        <f>IF(AND(AF4389=1,AE4389&gt;=set_FYStart,AE4389&lt;=set_AsAt),1,0)</f>
        <v/>
      </c>
      <c r="AK4389" s="54">
        <f>IF(AND(AJ4389=1,AH4389&lt;&gt;"",COUNTIFS($AH$2:AH4389,AH4389,$AJ$2:AJ4389,1)=1),N(AL4388)+1,"")</f>
        <v/>
      </c>
      <c r="AL4389" s="54">
        <f>IF(AK4389&lt;&gt;"",AK4389,N(AL4388))</f>
        <v/>
      </c>
    </row>
    <row r="4390">
      <c r="A4390" t="inlineStr">
        <is>
          <t>CON-1463</t>
        </is>
      </c>
      <c r="B4390" t="inlineStr">
        <is>
          <t>Consulting</t>
        </is>
      </c>
      <c r="AB4390" t="n">
        <v>1463</v>
      </c>
      <c r="AD4390" s="52">
        <f>IFERROR(N(IFERROR(INDEX($A4390:$AB4390,MATCH("Xero Invoiced Ex GST",$A$1:$AB$1,0)),"")),0)</f>
        <v/>
      </c>
      <c r="AE4390" s="53">
        <f>IFERROR(INDEX($A4390:$AB4390,MATCH("Xero Invoice Date",$A$1:$AB$1,0)),"")</f>
        <v/>
      </c>
      <c r="AF4390" s="54">
        <f>IF(AND(IFERROR(INDEX($A4390:$AB4390,MATCH("Xero Invoice No",$A$1:$AB$1,0)),"")&amp;""&lt;&gt;"",ISNUMBER(AE4390),AD4390&lt;&gt;0),1,0)</f>
        <v/>
      </c>
      <c r="AG4390" s="55">
        <f>IF(AF4390=1,EOMONTH(AE4390,0),"")</f>
        <v/>
      </c>
      <c r="AH4390" s="9">
        <f>IF(AF4390=1,UPPER(TRIM(IFERROR(INDEX($A4390:$AB4390,MATCH("Client",$A$1:$AB$1,0)),"")&amp;"")),"")</f>
        <v/>
      </c>
      <c r="AI4390" s="9">
        <f>IF(AF4390=1,IFERROR(INDEX($A4390:$AB4390,MATCH("Cost Centre",$A$1:$AB$1,0)),"")&amp;"","")</f>
        <v/>
      </c>
      <c r="AJ4390" s="54">
        <f>IF(AND(AF4390=1,AE4390&gt;=set_FYStart,AE4390&lt;=set_AsAt),1,0)</f>
        <v/>
      </c>
      <c r="AK4390" s="54">
        <f>IF(AND(AJ4390=1,AH4390&lt;&gt;"",COUNTIFS($AH$2:AH4390,AH4390,$AJ$2:AJ4390,1)=1),N(AL4389)+1,"")</f>
        <v/>
      </c>
      <c r="AL4390" s="54">
        <f>IF(AK4390&lt;&gt;"",AK4390,N(AL4389))</f>
        <v/>
      </c>
    </row>
    <row r="4391">
      <c r="A4391" t="inlineStr">
        <is>
          <t>ONS-1464</t>
        </is>
      </c>
      <c r="B4391" t="inlineStr">
        <is>
          <t>Onsite</t>
        </is>
      </c>
      <c r="AB4391" t="n">
        <v>1464</v>
      </c>
      <c r="AD4391" s="52">
        <f>IFERROR(N(IFERROR(INDEX($A4391:$AB4391,MATCH("Xero Invoiced Ex GST",$A$1:$AB$1,0)),"")),0)</f>
        <v/>
      </c>
      <c r="AE4391" s="53">
        <f>IFERROR(INDEX($A4391:$AB4391,MATCH("Xero Invoice Date",$A$1:$AB$1,0)),"")</f>
        <v/>
      </c>
      <c r="AF4391" s="54">
        <f>IF(AND(IFERROR(INDEX($A4391:$AB4391,MATCH("Xero Invoice No",$A$1:$AB$1,0)),"")&amp;""&lt;&gt;"",ISNUMBER(AE4391),AD4391&lt;&gt;0),1,0)</f>
        <v/>
      </c>
      <c r="AG4391" s="55">
        <f>IF(AF4391=1,EOMONTH(AE4391,0),"")</f>
        <v/>
      </c>
      <c r="AH4391" s="9">
        <f>IF(AF4391=1,UPPER(TRIM(IFERROR(INDEX($A4391:$AB4391,MATCH("Client",$A$1:$AB$1,0)),"")&amp;"")),"")</f>
        <v/>
      </c>
      <c r="AI4391" s="9">
        <f>IF(AF4391=1,IFERROR(INDEX($A4391:$AB4391,MATCH("Cost Centre",$A$1:$AB$1,0)),"")&amp;"","")</f>
        <v/>
      </c>
      <c r="AJ4391" s="54">
        <f>IF(AND(AF4391=1,AE4391&gt;=set_FYStart,AE4391&lt;=set_AsAt),1,0)</f>
        <v/>
      </c>
      <c r="AK4391" s="54">
        <f>IF(AND(AJ4391=1,AH4391&lt;&gt;"",COUNTIFS($AH$2:AH4391,AH4391,$AJ$2:AJ4391,1)=1),N(AL4390)+1,"")</f>
        <v/>
      </c>
      <c r="AL4391" s="54">
        <f>IF(AK4391&lt;&gt;"",AK4391,N(AL4390))</f>
        <v/>
      </c>
    </row>
    <row r="4392">
      <c r="A4392" t="inlineStr">
        <is>
          <t>PRD-1464</t>
        </is>
      </c>
      <c r="B4392" t="inlineStr">
        <is>
          <t>Production</t>
        </is>
      </c>
      <c r="AB4392" t="n">
        <v>1464</v>
      </c>
      <c r="AD4392" s="52">
        <f>IFERROR(N(IFERROR(INDEX($A4392:$AB4392,MATCH("Xero Invoiced Ex GST",$A$1:$AB$1,0)),"")),0)</f>
        <v/>
      </c>
      <c r="AE4392" s="53">
        <f>IFERROR(INDEX($A4392:$AB4392,MATCH("Xero Invoice Date",$A$1:$AB$1,0)),"")</f>
        <v/>
      </c>
      <c r="AF4392" s="54">
        <f>IF(AND(IFERROR(INDEX($A4392:$AB4392,MATCH("Xero Invoice No",$A$1:$AB$1,0)),"")&amp;""&lt;&gt;"",ISNUMBER(AE4392),AD4392&lt;&gt;0),1,0)</f>
        <v/>
      </c>
      <c r="AG4392" s="55">
        <f>IF(AF4392=1,EOMONTH(AE4392,0),"")</f>
        <v/>
      </c>
      <c r="AH4392" s="9">
        <f>IF(AF4392=1,UPPER(TRIM(IFERROR(INDEX($A4392:$AB4392,MATCH("Client",$A$1:$AB$1,0)),"")&amp;"")),"")</f>
        <v/>
      </c>
      <c r="AI4392" s="9">
        <f>IF(AF4392=1,IFERROR(INDEX($A4392:$AB4392,MATCH("Cost Centre",$A$1:$AB$1,0)),"")&amp;"","")</f>
        <v/>
      </c>
      <c r="AJ4392" s="54">
        <f>IF(AND(AF4392=1,AE4392&gt;=set_FYStart,AE4392&lt;=set_AsAt),1,0)</f>
        <v/>
      </c>
      <c r="AK4392" s="54">
        <f>IF(AND(AJ4392=1,AH4392&lt;&gt;"",COUNTIFS($AH$2:AH4392,AH4392,$AJ$2:AJ4392,1)=1),N(AL4391)+1,"")</f>
        <v/>
      </c>
      <c r="AL4392" s="54">
        <f>IF(AK4392&lt;&gt;"",AK4392,N(AL4391))</f>
        <v/>
      </c>
    </row>
    <row r="4393">
      <c r="A4393" t="inlineStr">
        <is>
          <t>CON-1464</t>
        </is>
      </c>
      <c r="B4393" t="inlineStr">
        <is>
          <t>Consulting</t>
        </is>
      </c>
      <c r="AB4393" t="n">
        <v>1464</v>
      </c>
      <c r="AD4393" s="52">
        <f>IFERROR(N(IFERROR(INDEX($A4393:$AB4393,MATCH("Xero Invoiced Ex GST",$A$1:$AB$1,0)),"")),0)</f>
        <v/>
      </c>
      <c r="AE4393" s="53">
        <f>IFERROR(INDEX($A4393:$AB4393,MATCH("Xero Invoice Date",$A$1:$AB$1,0)),"")</f>
        <v/>
      </c>
      <c r="AF4393" s="54">
        <f>IF(AND(IFERROR(INDEX($A4393:$AB4393,MATCH("Xero Invoice No",$A$1:$AB$1,0)),"")&amp;""&lt;&gt;"",ISNUMBER(AE4393),AD4393&lt;&gt;0),1,0)</f>
        <v/>
      </c>
      <c r="AG4393" s="55">
        <f>IF(AF4393=1,EOMONTH(AE4393,0),"")</f>
        <v/>
      </c>
      <c r="AH4393" s="9">
        <f>IF(AF4393=1,UPPER(TRIM(IFERROR(INDEX($A4393:$AB4393,MATCH("Client",$A$1:$AB$1,0)),"")&amp;"")),"")</f>
        <v/>
      </c>
      <c r="AI4393" s="9">
        <f>IF(AF4393=1,IFERROR(INDEX($A4393:$AB4393,MATCH("Cost Centre",$A$1:$AB$1,0)),"")&amp;"","")</f>
        <v/>
      </c>
      <c r="AJ4393" s="54">
        <f>IF(AND(AF4393=1,AE4393&gt;=set_FYStart,AE4393&lt;=set_AsAt),1,0)</f>
        <v/>
      </c>
      <c r="AK4393" s="54">
        <f>IF(AND(AJ4393=1,AH4393&lt;&gt;"",COUNTIFS($AH$2:AH4393,AH4393,$AJ$2:AJ4393,1)=1),N(AL4392)+1,"")</f>
        <v/>
      </c>
      <c r="AL4393" s="54">
        <f>IF(AK4393&lt;&gt;"",AK4393,N(AL4392))</f>
        <v/>
      </c>
    </row>
    <row r="4394">
      <c r="A4394" t="inlineStr">
        <is>
          <t>ONS-1465</t>
        </is>
      </c>
      <c r="B4394" t="inlineStr">
        <is>
          <t>Onsite</t>
        </is>
      </c>
      <c r="AB4394" t="n">
        <v>1465</v>
      </c>
      <c r="AD4394" s="52">
        <f>IFERROR(N(IFERROR(INDEX($A4394:$AB4394,MATCH("Xero Invoiced Ex GST",$A$1:$AB$1,0)),"")),0)</f>
        <v/>
      </c>
      <c r="AE4394" s="53">
        <f>IFERROR(INDEX($A4394:$AB4394,MATCH("Xero Invoice Date",$A$1:$AB$1,0)),"")</f>
        <v/>
      </c>
      <c r="AF4394" s="54">
        <f>IF(AND(IFERROR(INDEX($A4394:$AB4394,MATCH("Xero Invoice No",$A$1:$AB$1,0)),"")&amp;""&lt;&gt;"",ISNUMBER(AE4394),AD4394&lt;&gt;0),1,0)</f>
        <v/>
      </c>
      <c r="AG4394" s="55">
        <f>IF(AF4394=1,EOMONTH(AE4394,0),"")</f>
        <v/>
      </c>
      <c r="AH4394" s="9">
        <f>IF(AF4394=1,UPPER(TRIM(IFERROR(INDEX($A4394:$AB4394,MATCH("Client",$A$1:$AB$1,0)),"")&amp;"")),"")</f>
        <v/>
      </c>
      <c r="AI4394" s="9">
        <f>IF(AF4394=1,IFERROR(INDEX($A4394:$AB4394,MATCH("Cost Centre",$A$1:$AB$1,0)),"")&amp;"","")</f>
        <v/>
      </c>
      <c r="AJ4394" s="54">
        <f>IF(AND(AF4394=1,AE4394&gt;=set_FYStart,AE4394&lt;=set_AsAt),1,0)</f>
        <v/>
      </c>
      <c r="AK4394" s="54">
        <f>IF(AND(AJ4394=1,AH4394&lt;&gt;"",COUNTIFS($AH$2:AH4394,AH4394,$AJ$2:AJ4394,1)=1),N(AL4393)+1,"")</f>
        <v/>
      </c>
      <c r="AL4394" s="54">
        <f>IF(AK4394&lt;&gt;"",AK4394,N(AL4393))</f>
        <v/>
      </c>
    </row>
    <row r="4395">
      <c r="A4395" t="inlineStr">
        <is>
          <t>PRD-1465</t>
        </is>
      </c>
      <c r="B4395" t="inlineStr">
        <is>
          <t>Production</t>
        </is>
      </c>
      <c r="AB4395" t="n">
        <v>1465</v>
      </c>
      <c r="AD4395" s="52">
        <f>IFERROR(N(IFERROR(INDEX($A4395:$AB4395,MATCH("Xero Invoiced Ex GST",$A$1:$AB$1,0)),"")),0)</f>
        <v/>
      </c>
      <c r="AE4395" s="53">
        <f>IFERROR(INDEX($A4395:$AB4395,MATCH("Xero Invoice Date",$A$1:$AB$1,0)),"")</f>
        <v/>
      </c>
      <c r="AF4395" s="54">
        <f>IF(AND(IFERROR(INDEX($A4395:$AB4395,MATCH("Xero Invoice No",$A$1:$AB$1,0)),"")&amp;""&lt;&gt;"",ISNUMBER(AE4395),AD4395&lt;&gt;0),1,0)</f>
        <v/>
      </c>
      <c r="AG4395" s="55">
        <f>IF(AF4395=1,EOMONTH(AE4395,0),"")</f>
        <v/>
      </c>
      <c r="AH4395" s="9">
        <f>IF(AF4395=1,UPPER(TRIM(IFERROR(INDEX($A4395:$AB4395,MATCH("Client",$A$1:$AB$1,0)),"")&amp;"")),"")</f>
        <v/>
      </c>
      <c r="AI4395" s="9">
        <f>IF(AF4395=1,IFERROR(INDEX($A4395:$AB4395,MATCH("Cost Centre",$A$1:$AB$1,0)),"")&amp;"","")</f>
        <v/>
      </c>
      <c r="AJ4395" s="54">
        <f>IF(AND(AF4395=1,AE4395&gt;=set_FYStart,AE4395&lt;=set_AsAt),1,0)</f>
        <v/>
      </c>
      <c r="AK4395" s="54">
        <f>IF(AND(AJ4395=1,AH4395&lt;&gt;"",COUNTIFS($AH$2:AH4395,AH4395,$AJ$2:AJ4395,1)=1),N(AL4394)+1,"")</f>
        <v/>
      </c>
      <c r="AL4395" s="54">
        <f>IF(AK4395&lt;&gt;"",AK4395,N(AL4394))</f>
        <v/>
      </c>
    </row>
    <row r="4396">
      <c r="A4396" t="inlineStr">
        <is>
          <t>CON-1465</t>
        </is>
      </c>
      <c r="B4396" t="inlineStr">
        <is>
          <t>Consulting</t>
        </is>
      </c>
      <c r="AB4396" t="n">
        <v>1465</v>
      </c>
      <c r="AD4396" s="52">
        <f>IFERROR(N(IFERROR(INDEX($A4396:$AB4396,MATCH("Xero Invoiced Ex GST",$A$1:$AB$1,0)),"")),0)</f>
        <v/>
      </c>
      <c r="AE4396" s="53">
        <f>IFERROR(INDEX($A4396:$AB4396,MATCH("Xero Invoice Date",$A$1:$AB$1,0)),"")</f>
        <v/>
      </c>
      <c r="AF4396" s="54">
        <f>IF(AND(IFERROR(INDEX($A4396:$AB4396,MATCH("Xero Invoice No",$A$1:$AB$1,0)),"")&amp;""&lt;&gt;"",ISNUMBER(AE4396),AD4396&lt;&gt;0),1,0)</f>
        <v/>
      </c>
      <c r="AG4396" s="55">
        <f>IF(AF4396=1,EOMONTH(AE4396,0),"")</f>
        <v/>
      </c>
      <c r="AH4396" s="9">
        <f>IF(AF4396=1,UPPER(TRIM(IFERROR(INDEX($A4396:$AB4396,MATCH("Client",$A$1:$AB$1,0)),"")&amp;"")),"")</f>
        <v/>
      </c>
      <c r="AI4396" s="9">
        <f>IF(AF4396=1,IFERROR(INDEX($A4396:$AB4396,MATCH("Cost Centre",$A$1:$AB$1,0)),"")&amp;"","")</f>
        <v/>
      </c>
      <c r="AJ4396" s="54">
        <f>IF(AND(AF4396=1,AE4396&gt;=set_FYStart,AE4396&lt;=set_AsAt),1,0)</f>
        <v/>
      </c>
      <c r="AK4396" s="54">
        <f>IF(AND(AJ4396=1,AH4396&lt;&gt;"",COUNTIFS($AH$2:AH4396,AH4396,$AJ$2:AJ4396,1)=1),N(AL4395)+1,"")</f>
        <v/>
      </c>
      <c r="AL4396" s="54">
        <f>IF(AK4396&lt;&gt;"",AK4396,N(AL4395))</f>
        <v/>
      </c>
    </row>
    <row r="4397">
      <c r="A4397" t="inlineStr">
        <is>
          <t>ONS-1466</t>
        </is>
      </c>
      <c r="B4397" t="inlineStr">
        <is>
          <t>Onsite</t>
        </is>
      </c>
      <c r="AB4397" t="n">
        <v>1466</v>
      </c>
      <c r="AD4397" s="52">
        <f>IFERROR(N(IFERROR(INDEX($A4397:$AB4397,MATCH("Xero Invoiced Ex GST",$A$1:$AB$1,0)),"")),0)</f>
        <v/>
      </c>
      <c r="AE4397" s="53">
        <f>IFERROR(INDEX($A4397:$AB4397,MATCH("Xero Invoice Date",$A$1:$AB$1,0)),"")</f>
        <v/>
      </c>
      <c r="AF4397" s="54">
        <f>IF(AND(IFERROR(INDEX($A4397:$AB4397,MATCH("Xero Invoice No",$A$1:$AB$1,0)),"")&amp;""&lt;&gt;"",ISNUMBER(AE4397),AD4397&lt;&gt;0),1,0)</f>
        <v/>
      </c>
      <c r="AG4397" s="55">
        <f>IF(AF4397=1,EOMONTH(AE4397,0),"")</f>
        <v/>
      </c>
      <c r="AH4397" s="9">
        <f>IF(AF4397=1,UPPER(TRIM(IFERROR(INDEX($A4397:$AB4397,MATCH("Client",$A$1:$AB$1,0)),"")&amp;"")),"")</f>
        <v/>
      </c>
      <c r="AI4397" s="9">
        <f>IF(AF4397=1,IFERROR(INDEX($A4397:$AB4397,MATCH("Cost Centre",$A$1:$AB$1,0)),"")&amp;"","")</f>
        <v/>
      </c>
      <c r="AJ4397" s="54">
        <f>IF(AND(AF4397=1,AE4397&gt;=set_FYStart,AE4397&lt;=set_AsAt),1,0)</f>
        <v/>
      </c>
      <c r="AK4397" s="54">
        <f>IF(AND(AJ4397=1,AH4397&lt;&gt;"",COUNTIFS($AH$2:AH4397,AH4397,$AJ$2:AJ4397,1)=1),N(AL4396)+1,"")</f>
        <v/>
      </c>
      <c r="AL4397" s="54">
        <f>IF(AK4397&lt;&gt;"",AK4397,N(AL4396))</f>
        <v/>
      </c>
    </row>
    <row r="4398">
      <c r="A4398" t="inlineStr">
        <is>
          <t>PRD-1466</t>
        </is>
      </c>
      <c r="B4398" t="inlineStr">
        <is>
          <t>Production</t>
        </is>
      </c>
      <c r="AB4398" t="n">
        <v>1466</v>
      </c>
      <c r="AD4398" s="52">
        <f>IFERROR(N(IFERROR(INDEX($A4398:$AB4398,MATCH("Xero Invoiced Ex GST",$A$1:$AB$1,0)),"")),0)</f>
        <v/>
      </c>
      <c r="AE4398" s="53">
        <f>IFERROR(INDEX($A4398:$AB4398,MATCH("Xero Invoice Date",$A$1:$AB$1,0)),"")</f>
        <v/>
      </c>
      <c r="AF4398" s="54">
        <f>IF(AND(IFERROR(INDEX($A4398:$AB4398,MATCH("Xero Invoice No",$A$1:$AB$1,0)),"")&amp;""&lt;&gt;"",ISNUMBER(AE4398),AD4398&lt;&gt;0),1,0)</f>
        <v/>
      </c>
      <c r="AG4398" s="55">
        <f>IF(AF4398=1,EOMONTH(AE4398,0),"")</f>
        <v/>
      </c>
      <c r="AH4398" s="9">
        <f>IF(AF4398=1,UPPER(TRIM(IFERROR(INDEX($A4398:$AB4398,MATCH("Client",$A$1:$AB$1,0)),"")&amp;"")),"")</f>
        <v/>
      </c>
      <c r="AI4398" s="9">
        <f>IF(AF4398=1,IFERROR(INDEX($A4398:$AB4398,MATCH("Cost Centre",$A$1:$AB$1,0)),"")&amp;"","")</f>
        <v/>
      </c>
      <c r="AJ4398" s="54">
        <f>IF(AND(AF4398=1,AE4398&gt;=set_FYStart,AE4398&lt;=set_AsAt),1,0)</f>
        <v/>
      </c>
      <c r="AK4398" s="54">
        <f>IF(AND(AJ4398=1,AH4398&lt;&gt;"",COUNTIFS($AH$2:AH4398,AH4398,$AJ$2:AJ4398,1)=1),N(AL4397)+1,"")</f>
        <v/>
      </c>
      <c r="AL4398" s="54">
        <f>IF(AK4398&lt;&gt;"",AK4398,N(AL4397))</f>
        <v/>
      </c>
    </row>
    <row r="4399">
      <c r="A4399" t="inlineStr">
        <is>
          <t>CON-1466</t>
        </is>
      </c>
      <c r="B4399" t="inlineStr">
        <is>
          <t>Consulting</t>
        </is>
      </c>
      <c r="AB4399" t="n">
        <v>1466</v>
      </c>
      <c r="AD4399" s="52">
        <f>IFERROR(N(IFERROR(INDEX($A4399:$AB4399,MATCH("Xero Invoiced Ex GST",$A$1:$AB$1,0)),"")),0)</f>
        <v/>
      </c>
      <c r="AE4399" s="53">
        <f>IFERROR(INDEX($A4399:$AB4399,MATCH("Xero Invoice Date",$A$1:$AB$1,0)),"")</f>
        <v/>
      </c>
      <c r="AF4399" s="54">
        <f>IF(AND(IFERROR(INDEX($A4399:$AB4399,MATCH("Xero Invoice No",$A$1:$AB$1,0)),"")&amp;""&lt;&gt;"",ISNUMBER(AE4399),AD4399&lt;&gt;0),1,0)</f>
        <v/>
      </c>
      <c r="AG4399" s="55">
        <f>IF(AF4399=1,EOMONTH(AE4399,0),"")</f>
        <v/>
      </c>
      <c r="AH4399" s="9">
        <f>IF(AF4399=1,UPPER(TRIM(IFERROR(INDEX($A4399:$AB4399,MATCH("Client",$A$1:$AB$1,0)),"")&amp;"")),"")</f>
        <v/>
      </c>
      <c r="AI4399" s="9">
        <f>IF(AF4399=1,IFERROR(INDEX($A4399:$AB4399,MATCH("Cost Centre",$A$1:$AB$1,0)),"")&amp;"","")</f>
        <v/>
      </c>
      <c r="AJ4399" s="54">
        <f>IF(AND(AF4399=1,AE4399&gt;=set_FYStart,AE4399&lt;=set_AsAt),1,0)</f>
        <v/>
      </c>
      <c r="AK4399" s="54">
        <f>IF(AND(AJ4399=1,AH4399&lt;&gt;"",COUNTIFS($AH$2:AH4399,AH4399,$AJ$2:AJ4399,1)=1),N(AL4398)+1,"")</f>
        <v/>
      </c>
      <c r="AL4399" s="54">
        <f>IF(AK4399&lt;&gt;"",AK4399,N(AL4398))</f>
        <v/>
      </c>
    </row>
    <row r="4400">
      <c r="A4400" t="inlineStr">
        <is>
          <t>ONS-1467</t>
        </is>
      </c>
      <c r="B4400" t="inlineStr">
        <is>
          <t>Onsite</t>
        </is>
      </c>
      <c r="AB4400" t="n">
        <v>1467</v>
      </c>
      <c r="AD4400" s="52">
        <f>IFERROR(N(IFERROR(INDEX($A4400:$AB4400,MATCH("Xero Invoiced Ex GST",$A$1:$AB$1,0)),"")),0)</f>
        <v/>
      </c>
      <c r="AE4400" s="53">
        <f>IFERROR(INDEX($A4400:$AB4400,MATCH("Xero Invoice Date",$A$1:$AB$1,0)),"")</f>
        <v/>
      </c>
      <c r="AF4400" s="54">
        <f>IF(AND(IFERROR(INDEX($A4400:$AB4400,MATCH("Xero Invoice No",$A$1:$AB$1,0)),"")&amp;""&lt;&gt;"",ISNUMBER(AE4400),AD4400&lt;&gt;0),1,0)</f>
        <v/>
      </c>
      <c r="AG4400" s="55">
        <f>IF(AF4400=1,EOMONTH(AE4400,0),"")</f>
        <v/>
      </c>
      <c r="AH4400" s="9">
        <f>IF(AF4400=1,UPPER(TRIM(IFERROR(INDEX($A4400:$AB4400,MATCH("Client",$A$1:$AB$1,0)),"")&amp;"")),"")</f>
        <v/>
      </c>
      <c r="AI4400" s="9">
        <f>IF(AF4400=1,IFERROR(INDEX($A4400:$AB4400,MATCH("Cost Centre",$A$1:$AB$1,0)),"")&amp;"","")</f>
        <v/>
      </c>
      <c r="AJ4400" s="54">
        <f>IF(AND(AF4400=1,AE4400&gt;=set_FYStart,AE4400&lt;=set_AsAt),1,0)</f>
        <v/>
      </c>
      <c r="AK4400" s="54">
        <f>IF(AND(AJ4400=1,AH4400&lt;&gt;"",COUNTIFS($AH$2:AH4400,AH4400,$AJ$2:AJ4400,1)=1),N(AL4399)+1,"")</f>
        <v/>
      </c>
      <c r="AL4400" s="54">
        <f>IF(AK4400&lt;&gt;"",AK4400,N(AL4399))</f>
        <v/>
      </c>
    </row>
    <row r="4401">
      <c r="A4401" t="inlineStr">
        <is>
          <t>PRD-1467</t>
        </is>
      </c>
      <c r="B4401" t="inlineStr">
        <is>
          <t>Production</t>
        </is>
      </c>
      <c r="AB4401" t="n">
        <v>1467</v>
      </c>
      <c r="AD4401" s="52">
        <f>IFERROR(N(IFERROR(INDEX($A4401:$AB4401,MATCH("Xero Invoiced Ex GST",$A$1:$AB$1,0)),"")),0)</f>
        <v/>
      </c>
      <c r="AE4401" s="53">
        <f>IFERROR(INDEX($A4401:$AB4401,MATCH("Xero Invoice Date",$A$1:$AB$1,0)),"")</f>
        <v/>
      </c>
      <c r="AF4401" s="54">
        <f>IF(AND(IFERROR(INDEX($A4401:$AB4401,MATCH("Xero Invoice No",$A$1:$AB$1,0)),"")&amp;""&lt;&gt;"",ISNUMBER(AE4401),AD4401&lt;&gt;0),1,0)</f>
        <v/>
      </c>
      <c r="AG4401" s="55">
        <f>IF(AF4401=1,EOMONTH(AE4401,0),"")</f>
        <v/>
      </c>
      <c r="AH4401" s="9">
        <f>IF(AF4401=1,UPPER(TRIM(IFERROR(INDEX($A4401:$AB4401,MATCH("Client",$A$1:$AB$1,0)),"")&amp;"")),"")</f>
        <v/>
      </c>
      <c r="AI4401" s="9">
        <f>IF(AF4401=1,IFERROR(INDEX($A4401:$AB4401,MATCH("Cost Centre",$A$1:$AB$1,0)),"")&amp;"","")</f>
        <v/>
      </c>
      <c r="AJ4401" s="54">
        <f>IF(AND(AF4401=1,AE4401&gt;=set_FYStart,AE4401&lt;=set_AsAt),1,0)</f>
        <v/>
      </c>
      <c r="AK4401" s="54">
        <f>IF(AND(AJ4401=1,AH4401&lt;&gt;"",COUNTIFS($AH$2:AH4401,AH4401,$AJ$2:AJ4401,1)=1),N(AL4400)+1,"")</f>
        <v/>
      </c>
      <c r="AL4401" s="54">
        <f>IF(AK4401&lt;&gt;"",AK4401,N(AL4400))</f>
        <v/>
      </c>
    </row>
    <row r="4402">
      <c r="A4402" t="inlineStr">
        <is>
          <t>CON-1467</t>
        </is>
      </c>
      <c r="B4402" t="inlineStr">
        <is>
          <t>Consulting</t>
        </is>
      </c>
      <c r="AB4402" t="n">
        <v>1467</v>
      </c>
      <c r="AD4402" s="52">
        <f>IFERROR(N(IFERROR(INDEX($A4402:$AB4402,MATCH("Xero Invoiced Ex GST",$A$1:$AB$1,0)),"")),0)</f>
        <v/>
      </c>
      <c r="AE4402" s="53">
        <f>IFERROR(INDEX($A4402:$AB4402,MATCH("Xero Invoice Date",$A$1:$AB$1,0)),"")</f>
        <v/>
      </c>
      <c r="AF4402" s="54">
        <f>IF(AND(IFERROR(INDEX($A4402:$AB4402,MATCH("Xero Invoice No",$A$1:$AB$1,0)),"")&amp;""&lt;&gt;"",ISNUMBER(AE4402),AD4402&lt;&gt;0),1,0)</f>
        <v/>
      </c>
      <c r="AG4402" s="55">
        <f>IF(AF4402=1,EOMONTH(AE4402,0),"")</f>
        <v/>
      </c>
      <c r="AH4402" s="9">
        <f>IF(AF4402=1,UPPER(TRIM(IFERROR(INDEX($A4402:$AB4402,MATCH("Client",$A$1:$AB$1,0)),"")&amp;"")),"")</f>
        <v/>
      </c>
      <c r="AI4402" s="9">
        <f>IF(AF4402=1,IFERROR(INDEX($A4402:$AB4402,MATCH("Cost Centre",$A$1:$AB$1,0)),"")&amp;"","")</f>
        <v/>
      </c>
      <c r="AJ4402" s="54">
        <f>IF(AND(AF4402=1,AE4402&gt;=set_FYStart,AE4402&lt;=set_AsAt),1,0)</f>
        <v/>
      </c>
      <c r="AK4402" s="54">
        <f>IF(AND(AJ4402=1,AH4402&lt;&gt;"",COUNTIFS($AH$2:AH4402,AH4402,$AJ$2:AJ4402,1)=1),N(AL4401)+1,"")</f>
        <v/>
      </c>
      <c r="AL4402" s="54">
        <f>IF(AK4402&lt;&gt;"",AK4402,N(AL4401))</f>
        <v/>
      </c>
    </row>
    <row r="4403">
      <c r="A4403" t="inlineStr">
        <is>
          <t>ONS-1468</t>
        </is>
      </c>
      <c r="B4403" t="inlineStr">
        <is>
          <t>Onsite</t>
        </is>
      </c>
      <c r="AB4403" t="n">
        <v>1468</v>
      </c>
      <c r="AD4403" s="52">
        <f>IFERROR(N(IFERROR(INDEX($A4403:$AB4403,MATCH("Xero Invoiced Ex GST",$A$1:$AB$1,0)),"")),0)</f>
        <v/>
      </c>
      <c r="AE4403" s="53">
        <f>IFERROR(INDEX($A4403:$AB4403,MATCH("Xero Invoice Date",$A$1:$AB$1,0)),"")</f>
        <v/>
      </c>
      <c r="AF4403" s="54">
        <f>IF(AND(IFERROR(INDEX($A4403:$AB4403,MATCH("Xero Invoice No",$A$1:$AB$1,0)),"")&amp;""&lt;&gt;"",ISNUMBER(AE4403),AD4403&lt;&gt;0),1,0)</f>
        <v/>
      </c>
      <c r="AG4403" s="55">
        <f>IF(AF4403=1,EOMONTH(AE4403,0),"")</f>
        <v/>
      </c>
      <c r="AH4403" s="9">
        <f>IF(AF4403=1,UPPER(TRIM(IFERROR(INDEX($A4403:$AB4403,MATCH("Client",$A$1:$AB$1,0)),"")&amp;"")),"")</f>
        <v/>
      </c>
      <c r="AI4403" s="9">
        <f>IF(AF4403=1,IFERROR(INDEX($A4403:$AB4403,MATCH("Cost Centre",$A$1:$AB$1,0)),"")&amp;"","")</f>
        <v/>
      </c>
      <c r="AJ4403" s="54">
        <f>IF(AND(AF4403=1,AE4403&gt;=set_FYStart,AE4403&lt;=set_AsAt),1,0)</f>
        <v/>
      </c>
      <c r="AK4403" s="54">
        <f>IF(AND(AJ4403=1,AH4403&lt;&gt;"",COUNTIFS($AH$2:AH4403,AH4403,$AJ$2:AJ4403,1)=1),N(AL4402)+1,"")</f>
        <v/>
      </c>
      <c r="AL4403" s="54">
        <f>IF(AK4403&lt;&gt;"",AK4403,N(AL4402))</f>
        <v/>
      </c>
    </row>
    <row r="4404">
      <c r="A4404" t="inlineStr">
        <is>
          <t>PRD-1468</t>
        </is>
      </c>
      <c r="B4404" t="inlineStr">
        <is>
          <t>Production</t>
        </is>
      </c>
      <c r="AB4404" t="n">
        <v>1468</v>
      </c>
      <c r="AD4404" s="52">
        <f>IFERROR(N(IFERROR(INDEX($A4404:$AB4404,MATCH("Xero Invoiced Ex GST",$A$1:$AB$1,0)),"")),0)</f>
        <v/>
      </c>
      <c r="AE4404" s="53">
        <f>IFERROR(INDEX($A4404:$AB4404,MATCH("Xero Invoice Date",$A$1:$AB$1,0)),"")</f>
        <v/>
      </c>
      <c r="AF4404" s="54">
        <f>IF(AND(IFERROR(INDEX($A4404:$AB4404,MATCH("Xero Invoice No",$A$1:$AB$1,0)),"")&amp;""&lt;&gt;"",ISNUMBER(AE4404),AD4404&lt;&gt;0),1,0)</f>
        <v/>
      </c>
      <c r="AG4404" s="55">
        <f>IF(AF4404=1,EOMONTH(AE4404,0),"")</f>
        <v/>
      </c>
      <c r="AH4404" s="9">
        <f>IF(AF4404=1,UPPER(TRIM(IFERROR(INDEX($A4404:$AB4404,MATCH("Client",$A$1:$AB$1,0)),"")&amp;"")),"")</f>
        <v/>
      </c>
      <c r="AI4404" s="9">
        <f>IF(AF4404=1,IFERROR(INDEX($A4404:$AB4404,MATCH("Cost Centre",$A$1:$AB$1,0)),"")&amp;"","")</f>
        <v/>
      </c>
      <c r="AJ4404" s="54">
        <f>IF(AND(AF4404=1,AE4404&gt;=set_FYStart,AE4404&lt;=set_AsAt),1,0)</f>
        <v/>
      </c>
      <c r="AK4404" s="54">
        <f>IF(AND(AJ4404=1,AH4404&lt;&gt;"",COUNTIFS($AH$2:AH4404,AH4404,$AJ$2:AJ4404,1)=1),N(AL4403)+1,"")</f>
        <v/>
      </c>
      <c r="AL4404" s="54">
        <f>IF(AK4404&lt;&gt;"",AK4404,N(AL4403))</f>
        <v/>
      </c>
    </row>
    <row r="4405">
      <c r="A4405" t="inlineStr">
        <is>
          <t>CON-1468</t>
        </is>
      </c>
      <c r="B4405" t="inlineStr">
        <is>
          <t>Consulting</t>
        </is>
      </c>
      <c r="AB4405" t="n">
        <v>1468</v>
      </c>
      <c r="AD4405" s="52">
        <f>IFERROR(N(IFERROR(INDEX($A4405:$AB4405,MATCH("Xero Invoiced Ex GST",$A$1:$AB$1,0)),"")),0)</f>
        <v/>
      </c>
      <c r="AE4405" s="53">
        <f>IFERROR(INDEX($A4405:$AB4405,MATCH("Xero Invoice Date",$A$1:$AB$1,0)),"")</f>
        <v/>
      </c>
      <c r="AF4405" s="54">
        <f>IF(AND(IFERROR(INDEX($A4405:$AB4405,MATCH("Xero Invoice No",$A$1:$AB$1,0)),"")&amp;""&lt;&gt;"",ISNUMBER(AE4405),AD4405&lt;&gt;0),1,0)</f>
        <v/>
      </c>
      <c r="AG4405" s="55">
        <f>IF(AF4405=1,EOMONTH(AE4405,0),"")</f>
        <v/>
      </c>
      <c r="AH4405" s="9">
        <f>IF(AF4405=1,UPPER(TRIM(IFERROR(INDEX($A4405:$AB4405,MATCH("Client",$A$1:$AB$1,0)),"")&amp;"")),"")</f>
        <v/>
      </c>
      <c r="AI4405" s="9">
        <f>IF(AF4405=1,IFERROR(INDEX($A4405:$AB4405,MATCH("Cost Centre",$A$1:$AB$1,0)),"")&amp;"","")</f>
        <v/>
      </c>
      <c r="AJ4405" s="54">
        <f>IF(AND(AF4405=1,AE4405&gt;=set_FYStart,AE4405&lt;=set_AsAt),1,0)</f>
        <v/>
      </c>
      <c r="AK4405" s="54">
        <f>IF(AND(AJ4405=1,AH4405&lt;&gt;"",COUNTIFS($AH$2:AH4405,AH4405,$AJ$2:AJ4405,1)=1),N(AL4404)+1,"")</f>
        <v/>
      </c>
      <c r="AL4405" s="54">
        <f>IF(AK4405&lt;&gt;"",AK4405,N(AL4404))</f>
        <v/>
      </c>
    </row>
    <row r="4406">
      <c r="A4406" t="inlineStr">
        <is>
          <t>ONS-1469</t>
        </is>
      </c>
      <c r="B4406" t="inlineStr">
        <is>
          <t>Onsite</t>
        </is>
      </c>
      <c r="AB4406" t="n">
        <v>1469</v>
      </c>
      <c r="AD4406" s="52">
        <f>IFERROR(N(IFERROR(INDEX($A4406:$AB4406,MATCH("Xero Invoiced Ex GST",$A$1:$AB$1,0)),"")),0)</f>
        <v/>
      </c>
      <c r="AE4406" s="53">
        <f>IFERROR(INDEX($A4406:$AB4406,MATCH("Xero Invoice Date",$A$1:$AB$1,0)),"")</f>
        <v/>
      </c>
      <c r="AF4406" s="54">
        <f>IF(AND(IFERROR(INDEX($A4406:$AB4406,MATCH("Xero Invoice No",$A$1:$AB$1,0)),"")&amp;""&lt;&gt;"",ISNUMBER(AE4406),AD4406&lt;&gt;0),1,0)</f>
        <v/>
      </c>
      <c r="AG4406" s="55">
        <f>IF(AF4406=1,EOMONTH(AE4406,0),"")</f>
        <v/>
      </c>
      <c r="AH4406" s="9">
        <f>IF(AF4406=1,UPPER(TRIM(IFERROR(INDEX($A4406:$AB4406,MATCH("Client",$A$1:$AB$1,0)),"")&amp;"")),"")</f>
        <v/>
      </c>
      <c r="AI4406" s="9">
        <f>IF(AF4406=1,IFERROR(INDEX($A4406:$AB4406,MATCH("Cost Centre",$A$1:$AB$1,0)),"")&amp;"","")</f>
        <v/>
      </c>
      <c r="AJ4406" s="54">
        <f>IF(AND(AF4406=1,AE4406&gt;=set_FYStart,AE4406&lt;=set_AsAt),1,0)</f>
        <v/>
      </c>
      <c r="AK4406" s="54">
        <f>IF(AND(AJ4406=1,AH4406&lt;&gt;"",COUNTIFS($AH$2:AH4406,AH4406,$AJ$2:AJ4406,1)=1),N(AL4405)+1,"")</f>
        <v/>
      </c>
      <c r="AL4406" s="54">
        <f>IF(AK4406&lt;&gt;"",AK4406,N(AL4405))</f>
        <v/>
      </c>
    </row>
    <row r="4407">
      <c r="A4407" t="inlineStr">
        <is>
          <t>PRD-1469</t>
        </is>
      </c>
      <c r="B4407" t="inlineStr">
        <is>
          <t>Production</t>
        </is>
      </c>
      <c r="AB4407" t="n">
        <v>1469</v>
      </c>
      <c r="AD4407" s="52">
        <f>IFERROR(N(IFERROR(INDEX($A4407:$AB4407,MATCH("Xero Invoiced Ex GST",$A$1:$AB$1,0)),"")),0)</f>
        <v/>
      </c>
      <c r="AE4407" s="53">
        <f>IFERROR(INDEX($A4407:$AB4407,MATCH("Xero Invoice Date",$A$1:$AB$1,0)),"")</f>
        <v/>
      </c>
      <c r="AF4407" s="54">
        <f>IF(AND(IFERROR(INDEX($A4407:$AB4407,MATCH("Xero Invoice No",$A$1:$AB$1,0)),"")&amp;""&lt;&gt;"",ISNUMBER(AE4407),AD4407&lt;&gt;0),1,0)</f>
        <v/>
      </c>
      <c r="AG4407" s="55">
        <f>IF(AF4407=1,EOMONTH(AE4407,0),"")</f>
        <v/>
      </c>
      <c r="AH4407" s="9">
        <f>IF(AF4407=1,UPPER(TRIM(IFERROR(INDEX($A4407:$AB4407,MATCH("Client",$A$1:$AB$1,0)),"")&amp;"")),"")</f>
        <v/>
      </c>
      <c r="AI4407" s="9">
        <f>IF(AF4407=1,IFERROR(INDEX($A4407:$AB4407,MATCH("Cost Centre",$A$1:$AB$1,0)),"")&amp;"","")</f>
        <v/>
      </c>
      <c r="AJ4407" s="54">
        <f>IF(AND(AF4407=1,AE4407&gt;=set_FYStart,AE4407&lt;=set_AsAt),1,0)</f>
        <v/>
      </c>
      <c r="AK4407" s="54">
        <f>IF(AND(AJ4407=1,AH4407&lt;&gt;"",COUNTIFS($AH$2:AH4407,AH4407,$AJ$2:AJ4407,1)=1),N(AL4406)+1,"")</f>
        <v/>
      </c>
      <c r="AL4407" s="54">
        <f>IF(AK4407&lt;&gt;"",AK4407,N(AL4406))</f>
        <v/>
      </c>
    </row>
    <row r="4408">
      <c r="A4408" t="inlineStr">
        <is>
          <t>CON-1469</t>
        </is>
      </c>
      <c r="B4408" t="inlineStr">
        <is>
          <t>Consulting</t>
        </is>
      </c>
      <c r="AB4408" t="n">
        <v>1469</v>
      </c>
      <c r="AD4408" s="52">
        <f>IFERROR(N(IFERROR(INDEX($A4408:$AB4408,MATCH("Xero Invoiced Ex GST",$A$1:$AB$1,0)),"")),0)</f>
        <v/>
      </c>
      <c r="AE4408" s="53">
        <f>IFERROR(INDEX($A4408:$AB4408,MATCH("Xero Invoice Date",$A$1:$AB$1,0)),"")</f>
        <v/>
      </c>
      <c r="AF4408" s="54">
        <f>IF(AND(IFERROR(INDEX($A4408:$AB4408,MATCH("Xero Invoice No",$A$1:$AB$1,0)),"")&amp;""&lt;&gt;"",ISNUMBER(AE4408),AD4408&lt;&gt;0),1,0)</f>
        <v/>
      </c>
      <c r="AG4408" s="55">
        <f>IF(AF4408=1,EOMONTH(AE4408,0),"")</f>
        <v/>
      </c>
      <c r="AH4408" s="9">
        <f>IF(AF4408=1,UPPER(TRIM(IFERROR(INDEX($A4408:$AB4408,MATCH("Client",$A$1:$AB$1,0)),"")&amp;"")),"")</f>
        <v/>
      </c>
      <c r="AI4408" s="9">
        <f>IF(AF4408=1,IFERROR(INDEX($A4408:$AB4408,MATCH("Cost Centre",$A$1:$AB$1,0)),"")&amp;"","")</f>
        <v/>
      </c>
      <c r="AJ4408" s="54">
        <f>IF(AND(AF4408=1,AE4408&gt;=set_FYStart,AE4408&lt;=set_AsAt),1,0)</f>
        <v/>
      </c>
      <c r="AK4408" s="54">
        <f>IF(AND(AJ4408=1,AH4408&lt;&gt;"",COUNTIFS($AH$2:AH4408,AH4408,$AJ$2:AJ4408,1)=1),N(AL4407)+1,"")</f>
        <v/>
      </c>
      <c r="AL4408" s="54">
        <f>IF(AK4408&lt;&gt;"",AK4408,N(AL4407))</f>
        <v/>
      </c>
    </row>
    <row r="4409">
      <c r="A4409" t="inlineStr">
        <is>
          <t>ONS-1470</t>
        </is>
      </c>
      <c r="B4409" t="inlineStr">
        <is>
          <t>Onsite</t>
        </is>
      </c>
      <c r="AB4409" t="n">
        <v>1470</v>
      </c>
      <c r="AD4409" s="52">
        <f>IFERROR(N(IFERROR(INDEX($A4409:$AB4409,MATCH("Xero Invoiced Ex GST",$A$1:$AB$1,0)),"")),0)</f>
        <v/>
      </c>
      <c r="AE4409" s="53">
        <f>IFERROR(INDEX($A4409:$AB4409,MATCH("Xero Invoice Date",$A$1:$AB$1,0)),"")</f>
        <v/>
      </c>
      <c r="AF4409" s="54">
        <f>IF(AND(IFERROR(INDEX($A4409:$AB4409,MATCH("Xero Invoice No",$A$1:$AB$1,0)),"")&amp;""&lt;&gt;"",ISNUMBER(AE4409),AD4409&lt;&gt;0),1,0)</f>
        <v/>
      </c>
      <c r="AG4409" s="55">
        <f>IF(AF4409=1,EOMONTH(AE4409,0),"")</f>
        <v/>
      </c>
      <c r="AH4409" s="9">
        <f>IF(AF4409=1,UPPER(TRIM(IFERROR(INDEX($A4409:$AB4409,MATCH("Client",$A$1:$AB$1,0)),"")&amp;"")),"")</f>
        <v/>
      </c>
      <c r="AI4409" s="9">
        <f>IF(AF4409=1,IFERROR(INDEX($A4409:$AB4409,MATCH("Cost Centre",$A$1:$AB$1,0)),"")&amp;"","")</f>
        <v/>
      </c>
      <c r="AJ4409" s="54">
        <f>IF(AND(AF4409=1,AE4409&gt;=set_FYStart,AE4409&lt;=set_AsAt),1,0)</f>
        <v/>
      </c>
      <c r="AK4409" s="54">
        <f>IF(AND(AJ4409=1,AH4409&lt;&gt;"",COUNTIFS($AH$2:AH4409,AH4409,$AJ$2:AJ4409,1)=1),N(AL4408)+1,"")</f>
        <v/>
      </c>
      <c r="AL4409" s="54">
        <f>IF(AK4409&lt;&gt;"",AK4409,N(AL4408))</f>
        <v/>
      </c>
    </row>
    <row r="4410">
      <c r="A4410" t="inlineStr">
        <is>
          <t>PRD-1470</t>
        </is>
      </c>
      <c r="B4410" t="inlineStr">
        <is>
          <t>Production</t>
        </is>
      </c>
      <c r="AB4410" t="n">
        <v>1470</v>
      </c>
      <c r="AD4410" s="52">
        <f>IFERROR(N(IFERROR(INDEX($A4410:$AB4410,MATCH("Xero Invoiced Ex GST",$A$1:$AB$1,0)),"")),0)</f>
        <v/>
      </c>
      <c r="AE4410" s="53">
        <f>IFERROR(INDEX($A4410:$AB4410,MATCH("Xero Invoice Date",$A$1:$AB$1,0)),"")</f>
        <v/>
      </c>
      <c r="AF4410" s="54">
        <f>IF(AND(IFERROR(INDEX($A4410:$AB4410,MATCH("Xero Invoice No",$A$1:$AB$1,0)),"")&amp;""&lt;&gt;"",ISNUMBER(AE4410),AD4410&lt;&gt;0),1,0)</f>
        <v/>
      </c>
      <c r="AG4410" s="55">
        <f>IF(AF4410=1,EOMONTH(AE4410,0),"")</f>
        <v/>
      </c>
      <c r="AH4410" s="9">
        <f>IF(AF4410=1,UPPER(TRIM(IFERROR(INDEX($A4410:$AB4410,MATCH("Client",$A$1:$AB$1,0)),"")&amp;"")),"")</f>
        <v/>
      </c>
      <c r="AI4410" s="9">
        <f>IF(AF4410=1,IFERROR(INDEX($A4410:$AB4410,MATCH("Cost Centre",$A$1:$AB$1,0)),"")&amp;"","")</f>
        <v/>
      </c>
      <c r="AJ4410" s="54">
        <f>IF(AND(AF4410=1,AE4410&gt;=set_FYStart,AE4410&lt;=set_AsAt),1,0)</f>
        <v/>
      </c>
      <c r="AK4410" s="54">
        <f>IF(AND(AJ4410=1,AH4410&lt;&gt;"",COUNTIFS($AH$2:AH4410,AH4410,$AJ$2:AJ4410,1)=1),N(AL4409)+1,"")</f>
        <v/>
      </c>
      <c r="AL4410" s="54">
        <f>IF(AK4410&lt;&gt;"",AK4410,N(AL4409))</f>
        <v/>
      </c>
    </row>
    <row r="4411">
      <c r="A4411" t="inlineStr">
        <is>
          <t>CON-1470</t>
        </is>
      </c>
      <c r="B4411" t="inlineStr">
        <is>
          <t>Consulting</t>
        </is>
      </c>
      <c r="AB4411" t="n">
        <v>1470</v>
      </c>
      <c r="AD4411" s="52">
        <f>IFERROR(N(IFERROR(INDEX($A4411:$AB4411,MATCH("Xero Invoiced Ex GST",$A$1:$AB$1,0)),"")),0)</f>
        <v/>
      </c>
      <c r="AE4411" s="53">
        <f>IFERROR(INDEX($A4411:$AB4411,MATCH("Xero Invoice Date",$A$1:$AB$1,0)),"")</f>
        <v/>
      </c>
      <c r="AF4411" s="54">
        <f>IF(AND(IFERROR(INDEX($A4411:$AB4411,MATCH("Xero Invoice No",$A$1:$AB$1,0)),"")&amp;""&lt;&gt;"",ISNUMBER(AE4411),AD4411&lt;&gt;0),1,0)</f>
        <v/>
      </c>
      <c r="AG4411" s="55">
        <f>IF(AF4411=1,EOMONTH(AE4411,0),"")</f>
        <v/>
      </c>
      <c r="AH4411" s="9">
        <f>IF(AF4411=1,UPPER(TRIM(IFERROR(INDEX($A4411:$AB4411,MATCH("Client",$A$1:$AB$1,0)),"")&amp;"")),"")</f>
        <v/>
      </c>
      <c r="AI4411" s="9">
        <f>IF(AF4411=1,IFERROR(INDEX($A4411:$AB4411,MATCH("Cost Centre",$A$1:$AB$1,0)),"")&amp;"","")</f>
        <v/>
      </c>
      <c r="AJ4411" s="54">
        <f>IF(AND(AF4411=1,AE4411&gt;=set_FYStart,AE4411&lt;=set_AsAt),1,0)</f>
        <v/>
      </c>
      <c r="AK4411" s="54">
        <f>IF(AND(AJ4411=1,AH4411&lt;&gt;"",COUNTIFS($AH$2:AH4411,AH4411,$AJ$2:AJ4411,1)=1),N(AL4410)+1,"")</f>
        <v/>
      </c>
      <c r="AL4411" s="54">
        <f>IF(AK4411&lt;&gt;"",AK4411,N(AL4410))</f>
        <v/>
      </c>
    </row>
    <row r="4412">
      <c r="A4412" t="inlineStr">
        <is>
          <t>ONS-1471</t>
        </is>
      </c>
      <c r="B4412" t="inlineStr">
        <is>
          <t>Onsite</t>
        </is>
      </c>
      <c r="AB4412" t="n">
        <v>1471</v>
      </c>
      <c r="AD4412" s="52">
        <f>IFERROR(N(IFERROR(INDEX($A4412:$AB4412,MATCH("Xero Invoiced Ex GST",$A$1:$AB$1,0)),"")),0)</f>
        <v/>
      </c>
      <c r="AE4412" s="53">
        <f>IFERROR(INDEX($A4412:$AB4412,MATCH("Xero Invoice Date",$A$1:$AB$1,0)),"")</f>
        <v/>
      </c>
      <c r="AF4412" s="54">
        <f>IF(AND(IFERROR(INDEX($A4412:$AB4412,MATCH("Xero Invoice No",$A$1:$AB$1,0)),"")&amp;""&lt;&gt;"",ISNUMBER(AE4412),AD4412&lt;&gt;0),1,0)</f>
        <v/>
      </c>
      <c r="AG4412" s="55">
        <f>IF(AF4412=1,EOMONTH(AE4412,0),"")</f>
        <v/>
      </c>
      <c r="AH4412" s="9">
        <f>IF(AF4412=1,UPPER(TRIM(IFERROR(INDEX($A4412:$AB4412,MATCH("Client",$A$1:$AB$1,0)),"")&amp;"")),"")</f>
        <v/>
      </c>
      <c r="AI4412" s="9">
        <f>IF(AF4412=1,IFERROR(INDEX($A4412:$AB4412,MATCH("Cost Centre",$A$1:$AB$1,0)),"")&amp;"","")</f>
        <v/>
      </c>
      <c r="AJ4412" s="54">
        <f>IF(AND(AF4412=1,AE4412&gt;=set_FYStart,AE4412&lt;=set_AsAt),1,0)</f>
        <v/>
      </c>
      <c r="AK4412" s="54">
        <f>IF(AND(AJ4412=1,AH4412&lt;&gt;"",COUNTIFS($AH$2:AH4412,AH4412,$AJ$2:AJ4412,1)=1),N(AL4411)+1,"")</f>
        <v/>
      </c>
      <c r="AL4412" s="54">
        <f>IF(AK4412&lt;&gt;"",AK4412,N(AL4411))</f>
        <v/>
      </c>
    </row>
    <row r="4413">
      <c r="A4413" t="inlineStr">
        <is>
          <t>PRD-1471</t>
        </is>
      </c>
      <c r="B4413" t="inlineStr">
        <is>
          <t>Production</t>
        </is>
      </c>
      <c r="AB4413" t="n">
        <v>1471</v>
      </c>
      <c r="AD4413" s="52">
        <f>IFERROR(N(IFERROR(INDEX($A4413:$AB4413,MATCH("Xero Invoiced Ex GST",$A$1:$AB$1,0)),"")),0)</f>
        <v/>
      </c>
      <c r="AE4413" s="53">
        <f>IFERROR(INDEX($A4413:$AB4413,MATCH("Xero Invoice Date",$A$1:$AB$1,0)),"")</f>
        <v/>
      </c>
      <c r="AF4413" s="54">
        <f>IF(AND(IFERROR(INDEX($A4413:$AB4413,MATCH("Xero Invoice No",$A$1:$AB$1,0)),"")&amp;""&lt;&gt;"",ISNUMBER(AE4413),AD4413&lt;&gt;0),1,0)</f>
        <v/>
      </c>
      <c r="AG4413" s="55">
        <f>IF(AF4413=1,EOMONTH(AE4413,0),"")</f>
        <v/>
      </c>
      <c r="AH4413" s="9">
        <f>IF(AF4413=1,UPPER(TRIM(IFERROR(INDEX($A4413:$AB4413,MATCH("Client",$A$1:$AB$1,0)),"")&amp;"")),"")</f>
        <v/>
      </c>
      <c r="AI4413" s="9">
        <f>IF(AF4413=1,IFERROR(INDEX($A4413:$AB4413,MATCH("Cost Centre",$A$1:$AB$1,0)),"")&amp;"","")</f>
        <v/>
      </c>
      <c r="AJ4413" s="54">
        <f>IF(AND(AF4413=1,AE4413&gt;=set_FYStart,AE4413&lt;=set_AsAt),1,0)</f>
        <v/>
      </c>
      <c r="AK4413" s="54">
        <f>IF(AND(AJ4413=1,AH4413&lt;&gt;"",COUNTIFS($AH$2:AH4413,AH4413,$AJ$2:AJ4413,1)=1),N(AL4412)+1,"")</f>
        <v/>
      </c>
      <c r="AL4413" s="54">
        <f>IF(AK4413&lt;&gt;"",AK4413,N(AL4412))</f>
        <v/>
      </c>
    </row>
    <row r="4414">
      <c r="A4414" t="inlineStr">
        <is>
          <t>CON-1471</t>
        </is>
      </c>
      <c r="B4414" t="inlineStr">
        <is>
          <t>Consulting</t>
        </is>
      </c>
      <c r="AB4414" t="n">
        <v>1471</v>
      </c>
      <c r="AD4414" s="52">
        <f>IFERROR(N(IFERROR(INDEX($A4414:$AB4414,MATCH("Xero Invoiced Ex GST",$A$1:$AB$1,0)),"")),0)</f>
        <v/>
      </c>
      <c r="AE4414" s="53">
        <f>IFERROR(INDEX($A4414:$AB4414,MATCH("Xero Invoice Date",$A$1:$AB$1,0)),"")</f>
        <v/>
      </c>
      <c r="AF4414" s="54">
        <f>IF(AND(IFERROR(INDEX($A4414:$AB4414,MATCH("Xero Invoice No",$A$1:$AB$1,0)),"")&amp;""&lt;&gt;"",ISNUMBER(AE4414),AD4414&lt;&gt;0),1,0)</f>
        <v/>
      </c>
      <c r="AG4414" s="55">
        <f>IF(AF4414=1,EOMONTH(AE4414,0),"")</f>
        <v/>
      </c>
      <c r="AH4414" s="9">
        <f>IF(AF4414=1,UPPER(TRIM(IFERROR(INDEX($A4414:$AB4414,MATCH("Client",$A$1:$AB$1,0)),"")&amp;"")),"")</f>
        <v/>
      </c>
      <c r="AI4414" s="9">
        <f>IF(AF4414=1,IFERROR(INDEX($A4414:$AB4414,MATCH("Cost Centre",$A$1:$AB$1,0)),"")&amp;"","")</f>
        <v/>
      </c>
      <c r="AJ4414" s="54">
        <f>IF(AND(AF4414=1,AE4414&gt;=set_FYStart,AE4414&lt;=set_AsAt),1,0)</f>
        <v/>
      </c>
      <c r="AK4414" s="54">
        <f>IF(AND(AJ4414=1,AH4414&lt;&gt;"",COUNTIFS($AH$2:AH4414,AH4414,$AJ$2:AJ4414,1)=1),N(AL4413)+1,"")</f>
        <v/>
      </c>
      <c r="AL4414" s="54">
        <f>IF(AK4414&lt;&gt;"",AK4414,N(AL4413))</f>
        <v/>
      </c>
    </row>
    <row r="4415">
      <c r="A4415" t="inlineStr">
        <is>
          <t>ONS-1472</t>
        </is>
      </c>
      <c r="B4415" t="inlineStr">
        <is>
          <t>Onsite</t>
        </is>
      </c>
      <c r="AB4415" t="n">
        <v>1472</v>
      </c>
      <c r="AD4415" s="52">
        <f>IFERROR(N(IFERROR(INDEX($A4415:$AB4415,MATCH("Xero Invoiced Ex GST",$A$1:$AB$1,0)),"")),0)</f>
        <v/>
      </c>
      <c r="AE4415" s="53">
        <f>IFERROR(INDEX($A4415:$AB4415,MATCH("Xero Invoice Date",$A$1:$AB$1,0)),"")</f>
        <v/>
      </c>
      <c r="AF4415" s="54">
        <f>IF(AND(IFERROR(INDEX($A4415:$AB4415,MATCH("Xero Invoice No",$A$1:$AB$1,0)),"")&amp;""&lt;&gt;"",ISNUMBER(AE4415),AD4415&lt;&gt;0),1,0)</f>
        <v/>
      </c>
      <c r="AG4415" s="55">
        <f>IF(AF4415=1,EOMONTH(AE4415,0),"")</f>
        <v/>
      </c>
      <c r="AH4415" s="9">
        <f>IF(AF4415=1,UPPER(TRIM(IFERROR(INDEX($A4415:$AB4415,MATCH("Client",$A$1:$AB$1,0)),"")&amp;"")),"")</f>
        <v/>
      </c>
      <c r="AI4415" s="9">
        <f>IF(AF4415=1,IFERROR(INDEX($A4415:$AB4415,MATCH("Cost Centre",$A$1:$AB$1,0)),"")&amp;"","")</f>
        <v/>
      </c>
      <c r="AJ4415" s="54">
        <f>IF(AND(AF4415=1,AE4415&gt;=set_FYStart,AE4415&lt;=set_AsAt),1,0)</f>
        <v/>
      </c>
      <c r="AK4415" s="54">
        <f>IF(AND(AJ4415=1,AH4415&lt;&gt;"",COUNTIFS($AH$2:AH4415,AH4415,$AJ$2:AJ4415,1)=1),N(AL4414)+1,"")</f>
        <v/>
      </c>
      <c r="AL4415" s="54">
        <f>IF(AK4415&lt;&gt;"",AK4415,N(AL4414))</f>
        <v/>
      </c>
    </row>
    <row r="4416">
      <c r="A4416" t="inlineStr">
        <is>
          <t>PRD-1472</t>
        </is>
      </c>
      <c r="B4416" t="inlineStr">
        <is>
          <t>Production</t>
        </is>
      </c>
      <c r="AB4416" t="n">
        <v>1472</v>
      </c>
      <c r="AD4416" s="52">
        <f>IFERROR(N(IFERROR(INDEX($A4416:$AB4416,MATCH("Xero Invoiced Ex GST",$A$1:$AB$1,0)),"")),0)</f>
        <v/>
      </c>
      <c r="AE4416" s="53">
        <f>IFERROR(INDEX($A4416:$AB4416,MATCH("Xero Invoice Date",$A$1:$AB$1,0)),"")</f>
        <v/>
      </c>
      <c r="AF4416" s="54">
        <f>IF(AND(IFERROR(INDEX($A4416:$AB4416,MATCH("Xero Invoice No",$A$1:$AB$1,0)),"")&amp;""&lt;&gt;"",ISNUMBER(AE4416),AD4416&lt;&gt;0),1,0)</f>
        <v/>
      </c>
      <c r="AG4416" s="55">
        <f>IF(AF4416=1,EOMONTH(AE4416,0),"")</f>
        <v/>
      </c>
      <c r="AH4416" s="9">
        <f>IF(AF4416=1,UPPER(TRIM(IFERROR(INDEX($A4416:$AB4416,MATCH("Client",$A$1:$AB$1,0)),"")&amp;"")),"")</f>
        <v/>
      </c>
      <c r="AI4416" s="9">
        <f>IF(AF4416=1,IFERROR(INDEX($A4416:$AB4416,MATCH("Cost Centre",$A$1:$AB$1,0)),"")&amp;"","")</f>
        <v/>
      </c>
      <c r="AJ4416" s="54">
        <f>IF(AND(AF4416=1,AE4416&gt;=set_FYStart,AE4416&lt;=set_AsAt),1,0)</f>
        <v/>
      </c>
      <c r="AK4416" s="54">
        <f>IF(AND(AJ4416=1,AH4416&lt;&gt;"",COUNTIFS($AH$2:AH4416,AH4416,$AJ$2:AJ4416,1)=1),N(AL4415)+1,"")</f>
        <v/>
      </c>
      <c r="AL4416" s="54">
        <f>IF(AK4416&lt;&gt;"",AK4416,N(AL4415))</f>
        <v/>
      </c>
    </row>
    <row r="4417">
      <c r="A4417" t="inlineStr">
        <is>
          <t>CON-1472</t>
        </is>
      </c>
      <c r="B4417" t="inlineStr">
        <is>
          <t>Consulting</t>
        </is>
      </c>
      <c r="AB4417" t="n">
        <v>1472</v>
      </c>
      <c r="AD4417" s="52">
        <f>IFERROR(N(IFERROR(INDEX($A4417:$AB4417,MATCH("Xero Invoiced Ex GST",$A$1:$AB$1,0)),"")),0)</f>
        <v/>
      </c>
      <c r="AE4417" s="53">
        <f>IFERROR(INDEX($A4417:$AB4417,MATCH("Xero Invoice Date",$A$1:$AB$1,0)),"")</f>
        <v/>
      </c>
      <c r="AF4417" s="54">
        <f>IF(AND(IFERROR(INDEX($A4417:$AB4417,MATCH("Xero Invoice No",$A$1:$AB$1,0)),"")&amp;""&lt;&gt;"",ISNUMBER(AE4417),AD4417&lt;&gt;0),1,0)</f>
        <v/>
      </c>
      <c r="AG4417" s="55">
        <f>IF(AF4417=1,EOMONTH(AE4417,0),"")</f>
        <v/>
      </c>
      <c r="AH4417" s="9">
        <f>IF(AF4417=1,UPPER(TRIM(IFERROR(INDEX($A4417:$AB4417,MATCH("Client",$A$1:$AB$1,0)),"")&amp;"")),"")</f>
        <v/>
      </c>
      <c r="AI4417" s="9">
        <f>IF(AF4417=1,IFERROR(INDEX($A4417:$AB4417,MATCH("Cost Centre",$A$1:$AB$1,0)),"")&amp;"","")</f>
        <v/>
      </c>
      <c r="AJ4417" s="54">
        <f>IF(AND(AF4417=1,AE4417&gt;=set_FYStart,AE4417&lt;=set_AsAt),1,0)</f>
        <v/>
      </c>
      <c r="AK4417" s="54">
        <f>IF(AND(AJ4417=1,AH4417&lt;&gt;"",COUNTIFS($AH$2:AH4417,AH4417,$AJ$2:AJ4417,1)=1),N(AL4416)+1,"")</f>
        <v/>
      </c>
      <c r="AL4417" s="54">
        <f>IF(AK4417&lt;&gt;"",AK4417,N(AL4416))</f>
        <v/>
      </c>
    </row>
    <row r="4418">
      <c r="A4418" t="inlineStr">
        <is>
          <t>ONS-1473</t>
        </is>
      </c>
      <c r="B4418" t="inlineStr">
        <is>
          <t>Onsite</t>
        </is>
      </c>
      <c r="AB4418" t="n">
        <v>1473</v>
      </c>
      <c r="AD4418" s="52">
        <f>IFERROR(N(IFERROR(INDEX($A4418:$AB4418,MATCH("Xero Invoiced Ex GST",$A$1:$AB$1,0)),"")),0)</f>
        <v/>
      </c>
      <c r="AE4418" s="53">
        <f>IFERROR(INDEX($A4418:$AB4418,MATCH("Xero Invoice Date",$A$1:$AB$1,0)),"")</f>
        <v/>
      </c>
      <c r="AF4418" s="54">
        <f>IF(AND(IFERROR(INDEX($A4418:$AB4418,MATCH("Xero Invoice No",$A$1:$AB$1,0)),"")&amp;""&lt;&gt;"",ISNUMBER(AE4418),AD4418&lt;&gt;0),1,0)</f>
        <v/>
      </c>
      <c r="AG4418" s="55">
        <f>IF(AF4418=1,EOMONTH(AE4418,0),"")</f>
        <v/>
      </c>
      <c r="AH4418" s="9">
        <f>IF(AF4418=1,UPPER(TRIM(IFERROR(INDEX($A4418:$AB4418,MATCH("Client",$A$1:$AB$1,0)),"")&amp;"")),"")</f>
        <v/>
      </c>
      <c r="AI4418" s="9">
        <f>IF(AF4418=1,IFERROR(INDEX($A4418:$AB4418,MATCH("Cost Centre",$A$1:$AB$1,0)),"")&amp;"","")</f>
        <v/>
      </c>
      <c r="AJ4418" s="54">
        <f>IF(AND(AF4418=1,AE4418&gt;=set_FYStart,AE4418&lt;=set_AsAt),1,0)</f>
        <v/>
      </c>
      <c r="AK4418" s="54">
        <f>IF(AND(AJ4418=1,AH4418&lt;&gt;"",COUNTIFS($AH$2:AH4418,AH4418,$AJ$2:AJ4418,1)=1),N(AL4417)+1,"")</f>
        <v/>
      </c>
      <c r="AL4418" s="54">
        <f>IF(AK4418&lt;&gt;"",AK4418,N(AL4417))</f>
        <v/>
      </c>
    </row>
    <row r="4419">
      <c r="A4419" t="inlineStr">
        <is>
          <t>PRD-1473</t>
        </is>
      </c>
      <c r="B4419" t="inlineStr">
        <is>
          <t>Production</t>
        </is>
      </c>
      <c r="AB4419" t="n">
        <v>1473</v>
      </c>
      <c r="AD4419" s="52">
        <f>IFERROR(N(IFERROR(INDEX($A4419:$AB4419,MATCH("Xero Invoiced Ex GST",$A$1:$AB$1,0)),"")),0)</f>
        <v/>
      </c>
      <c r="AE4419" s="53">
        <f>IFERROR(INDEX($A4419:$AB4419,MATCH("Xero Invoice Date",$A$1:$AB$1,0)),"")</f>
        <v/>
      </c>
      <c r="AF4419" s="54">
        <f>IF(AND(IFERROR(INDEX($A4419:$AB4419,MATCH("Xero Invoice No",$A$1:$AB$1,0)),"")&amp;""&lt;&gt;"",ISNUMBER(AE4419),AD4419&lt;&gt;0),1,0)</f>
        <v/>
      </c>
      <c r="AG4419" s="55">
        <f>IF(AF4419=1,EOMONTH(AE4419,0),"")</f>
        <v/>
      </c>
      <c r="AH4419" s="9">
        <f>IF(AF4419=1,UPPER(TRIM(IFERROR(INDEX($A4419:$AB4419,MATCH("Client",$A$1:$AB$1,0)),"")&amp;"")),"")</f>
        <v/>
      </c>
      <c r="AI4419" s="9">
        <f>IF(AF4419=1,IFERROR(INDEX($A4419:$AB4419,MATCH("Cost Centre",$A$1:$AB$1,0)),"")&amp;"","")</f>
        <v/>
      </c>
      <c r="AJ4419" s="54">
        <f>IF(AND(AF4419=1,AE4419&gt;=set_FYStart,AE4419&lt;=set_AsAt),1,0)</f>
        <v/>
      </c>
      <c r="AK4419" s="54">
        <f>IF(AND(AJ4419=1,AH4419&lt;&gt;"",COUNTIFS($AH$2:AH4419,AH4419,$AJ$2:AJ4419,1)=1),N(AL4418)+1,"")</f>
        <v/>
      </c>
      <c r="AL4419" s="54">
        <f>IF(AK4419&lt;&gt;"",AK4419,N(AL4418))</f>
        <v/>
      </c>
    </row>
    <row r="4420">
      <c r="A4420" t="inlineStr">
        <is>
          <t>CON-1473</t>
        </is>
      </c>
      <c r="B4420" t="inlineStr">
        <is>
          <t>Consulting</t>
        </is>
      </c>
      <c r="AB4420" t="n">
        <v>1473</v>
      </c>
      <c r="AD4420" s="52">
        <f>IFERROR(N(IFERROR(INDEX($A4420:$AB4420,MATCH("Xero Invoiced Ex GST",$A$1:$AB$1,0)),"")),0)</f>
        <v/>
      </c>
      <c r="AE4420" s="53">
        <f>IFERROR(INDEX($A4420:$AB4420,MATCH("Xero Invoice Date",$A$1:$AB$1,0)),"")</f>
        <v/>
      </c>
      <c r="AF4420" s="54">
        <f>IF(AND(IFERROR(INDEX($A4420:$AB4420,MATCH("Xero Invoice No",$A$1:$AB$1,0)),"")&amp;""&lt;&gt;"",ISNUMBER(AE4420),AD4420&lt;&gt;0),1,0)</f>
        <v/>
      </c>
      <c r="AG4420" s="55">
        <f>IF(AF4420=1,EOMONTH(AE4420,0),"")</f>
        <v/>
      </c>
      <c r="AH4420" s="9">
        <f>IF(AF4420=1,UPPER(TRIM(IFERROR(INDEX($A4420:$AB4420,MATCH("Client",$A$1:$AB$1,0)),"")&amp;"")),"")</f>
        <v/>
      </c>
      <c r="AI4420" s="9">
        <f>IF(AF4420=1,IFERROR(INDEX($A4420:$AB4420,MATCH("Cost Centre",$A$1:$AB$1,0)),"")&amp;"","")</f>
        <v/>
      </c>
      <c r="AJ4420" s="54">
        <f>IF(AND(AF4420=1,AE4420&gt;=set_FYStart,AE4420&lt;=set_AsAt),1,0)</f>
        <v/>
      </c>
      <c r="AK4420" s="54">
        <f>IF(AND(AJ4420=1,AH4420&lt;&gt;"",COUNTIFS($AH$2:AH4420,AH4420,$AJ$2:AJ4420,1)=1),N(AL4419)+1,"")</f>
        <v/>
      </c>
      <c r="AL4420" s="54">
        <f>IF(AK4420&lt;&gt;"",AK4420,N(AL4419))</f>
        <v/>
      </c>
    </row>
    <row r="4421">
      <c r="A4421" t="inlineStr">
        <is>
          <t>ONS-1474</t>
        </is>
      </c>
      <c r="B4421" t="inlineStr">
        <is>
          <t>Onsite</t>
        </is>
      </c>
      <c r="AB4421" t="n">
        <v>1474</v>
      </c>
      <c r="AD4421" s="52">
        <f>IFERROR(N(IFERROR(INDEX($A4421:$AB4421,MATCH("Xero Invoiced Ex GST",$A$1:$AB$1,0)),"")),0)</f>
        <v/>
      </c>
      <c r="AE4421" s="53">
        <f>IFERROR(INDEX($A4421:$AB4421,MATCH("Xero Invoice Date",$A$1:$AB$1,0)),"")</f>
        <v/>
      </c>
      <c r="AF4421" s="54">
        <f>IF(AND(IFERROR(INDEX($A4421:$AB4421,MATCH("Xero Invoice No",$A$1:$AB$1,0)),"")&amp;""&lt;&gt;"",ISNUMBER(AE4421),AD4421&lt;&gt;0),1,0)</f>
        <v/>
      </c>
      <c r="AG4421" s="55">
        <f>IF(AF4421=1,EOMONTH(AE4421,0),"")</f>
        <v/>
      </c>
      <c r="AH4421" s="9">
        <f>IF(AF4421=1,UPPER(TRIM(IFERROR(INDEX($A4421:$AB4421,MATCH("Client",$A$1:$AB$1,0)),"")&amp;"")),"")</f>
        <v/>
      </c>
      <c r="AI4421" s="9">
        <f>IF(AF4421=1,IFERROR(INDEX($A4421:$AB4421,MATCH("Cost Centre",$A$1:$AB$1,0)),"")&amp;"","")</f>
        <v/>
      </c>
      <c r="AJ4421" s="54">
        <f>IF(AND(AF4421=1,AE4421&gt;=set_FYStart,AE4421&lt;=set_AsAt),1,0)</f>
        <v/>
      </c>
      <c r="AK4421" s="54">
        <f>IF(AND(AJ4421=1,AH4421&lt;&gt;"",COUNTIFS($AH$2:AH4421,AH4421,$AJ$2:AJ4421,1)=1),N(AL4420)+1,"")</f>
        <v/>
      </c>
      <c r="AL4421" s="54">
        <f>IF(AK4421&lt;&gt;"",AK4421,N(AL4420))</f>
        <v/>
      </c>
    </row>
    <row r="4422">
      <c r="A4422" t="inlineStr">
        <is>
          <t>PRD-1474</t>
        </is>
      </c>
      <c r="B4422" t="inlineStr">
        <is>
          <t>Production</t>
        </is>
      </c>
      <c r="AB4422" t="n">
        <v>1474</v>
      </c>
      <c r="AD4422" s="52">
        <f>IFERROR(N(IFERROR(INDEX($A4422:$AB4422,MATCH("Xero Invoiced Ex GST",$A$1:$AB$1,0)),"")),0)</f>
        <v/>
      </c>
      <c r="AE4422" s="53">
        <f>IFERROR(INDEX($A4422:$AB4422,MATCH("Xero Invoice Date",$A$1:$AB$1,0)),"")</f>
        <v/>
      </c>
      <c r="AF4422" s="54">
        <f>IF(AND(IFERROR(INDEX($A4422:$AB4422,MATCH("Xero Invoice No",$A$1:$AB$1,0)),"")&amp;""&lt;&gt;"",ISNUMBER(AE4422),AD4422&lt;&gt;0),1,0)</f>
        <v/>
      </c>
      <c r="AG4422" s="55">
        <f>IF(AF4422=1,EOMONTH(AE4422,0),"")</f>
        <v/>
      </c>
      <c r="AH4422" s="9">
        <f>IF(AF4422=1,UPPER(TRIM(IFERROR(INDEX($A4422:$AB4422,MATCH("Client",$A$1:$AB$1,0)),"")&amp;"")),"")</f>
        <v/>
      </c>
      <c r="AI4422" s="9">
        <f>IF(AF4422=1,IFERROR(INDEX($A4422:$AB4422,MATCH("Cost Centre",$A$1:$AB$1,0)),"")&amp;"","")</f>
        <v/>
      </c>
      <c r="AJ4422" s="54">
        <f>IF(AND(AF4422=1,AE4422&gt;=set_FYStart,AE4422&lt;=set_AsAt),1,0)</f>
        <v/>
      </c>
      <c r="AK4422" s="54">
        <f>IF(AND(AJ4422=1,AH4422&lt;&gt;"",COUNTIFS($AH$2:AH4422,AH4422,$AJ$2:AJ4422,1)=1),N(AL4421)+1,"")</f>
        <v/>
      </c>
      <c r="AL4422" s="54">
        <f>IF(AK4422&lt;&gt;"",AK4422,N(AL4421))</f>
        <v/>
      </c>
    </row>
    <row r="4423">
      <c r="A4423" t="inlineStr">
        <is>
          <t>CON-1474</t>
        </is>
      </c>
      <c r="B4423" t="inlineStr">
        <is>
          <t>Consulting</t>
        </is>
      </c>
      <c r="AB4423" t="n">
        <v>1474</v>
      </c>
      <c r="AD4423" s="52">
        <f>IFERROR(N(IFERROR(INDEX($A4423:$AB4423,MATCH("Xero Invoiced Ex GST",$A$1:$AB$1,0)),"")),0)</f>
        <v/>
      </c>
      <c r="AE4423" s="53">
        <f>IFERROR(INDEX($A4423:$AB4423,MATCH("Xero Invoice Date",$A$1:$AB$1,0)),"")</f>
        <v/>
      </c>
      <c r="AF4423" s="54">
        <f>IF(AND(IFERROR(INDEX($A4423:$AB4423,MATCH("Xero Invoice No",$A$1:$AB$1,0)),"")&amp;""&lt;&gt;"",ISNUMBER(AE4423),AD4423&lt;&gt;0),1,0)</f>
        <v/>
      </c>
      <c r="AG4423" s="55">
        <f>IF(AF4423=1,EOMONTH(AE4423,0),"")</f>
        <v/>
      </c>
      <c r="AH4423" s="9">
        <f>IF(AF4423=1,UPPER(TRIM(IFERROR(INDEX($A4423:$AB4423,MATCH("Client",$A$1:$AB$1,0)),"")&amp;"")),"")</f>
        <v/>
      </c>
      <c r="AI4423" s="9">
        <f>IF(AF4423=1,IFERROR(INDEX($A4423:$AB4423,MATCH("Cost Centre",$A$1:$AB$1,0)),"")&amp;"","")</f>
        <v/>
      </c>
      <c r="AJ4423" s="54">
        <f>IF(AND(AF4423=1,AE4423&gt;=set_FYStart,AE4423&lt;=set_AsAt),1,0)</f>
        <v/>
      </c>
      <c r="AK4423" s="54">
        <f>IF(AND(AJ4423=1,AH4423&lt;&gt;"",COUNTIFS($AH$2:AH4423,AH4423,$AJ$2:AJ4423,1)=1),N(AL4422)+1,"")</f>
        <v/>
      </c>
      <c r="AL4423" s="54">
        <f>IF(AK4423&lt;&gt;"",AK4423,N(AL4422))</f>
        <v/>
      </c>
    </row>
    <row r="4424">
      <c r="A4424" t="inlineStr">
        <is>
          <t>ONS-1475</t>
        </is>
      </c>
      <c r="B4424" t="inlineStr">
        <is>
          <t>Onsite</t>
        </is>
      </c>
      <c r="AB4424" t="n">
        <v>1475</v>
      </c>
      <c r="AD4424" s="52">
        <f>IFERROR(N(IFERROR(INDEX($A4424:$AB4424,MATCH("Xero Invoiced Ex GST",$A$1:$AB$1,0)),"")),0)</f>
        <v/>
      </c>
      <c r="AE4424" s="53">
        <f>IFERROR(INDEX($A4424:$AB4424,MATCH("Xero Invoice Date",$A$1:$AB$1,0)),"")</f>
        <v/>
      </c>
      <c r="AF4424" s="54">
        <f>IF(AND(IFERROR(INDEX($A4424:$AB4424,MATCH("Xero Invoice No",$A$1:$AB$1,0)),"")&amp;""&lt;&gt;"",ISNUMBER(AE4424),AD4424&lt;&gt;0),1,0)</f>
        <v/>
      </c>
      <c r="AG4424" s="55">
        <f>IF(AF4424=1,EOMONTH(AE4424,0),"")</f>
        <v/>
      </c>
      <c r="AH4424" s="9">
        <f>IF(AF4424=1,UPPER(TRIM(IFERROR(INDEX($A4424:$AB4424,MATCH("Client",$A$1:$AB$1,0)),"")&amp;"")),"")</f>
        <v/>
      </c>
      <c r="AI4424" s="9">
        <f>IF(AF4424=1,IFERROR(INDEX($A4424:$AB4424,MATCH("Cost Centre",$A$1:$AB$1,0)),"")&amp;"","")</f>
        <v/>
      </c>
      <c r="AJ4424" s="54">
        <f>IF(AND(AF4424=1,AE4424&gt;=set_FYStart,AE4424&lt;=set_AsAt),1,0)</f>
        <v/>
      </c>
      <c r="AK4424" s="54">
        <f>IF(AND(AJ4424=1,AH4424&lt;&gt;"",COUNTIFS($AH$2:AH4424,AH4424,$AJ$2:AJ4424,1)=1),N(AL4423)+1,"")</f>
        <v/>
      </c>
      <c r="AL4424" s="54">
        <f>IF(AK4424&lt;&gt;"",AK4424,N(AL4423))</f>
        <v/>
      </c>
    </row>
    <row r="4425">
      <c r="A4425" t="inlineStr">
        <is>
          <t>PRD-1475</t>
        </is>
      </c>
      <c r="B4425" t="inlineStr">
        <is>
          <t>Production</t>
        </is>
      </c>
      <c r="AB4425" t="n">
        <v>1475</v>
      </c>
      <c r="AD4425" s="52">
        <f>IFERROR(N(IFERROR(INDEX($A4425:$AB4425,MATCH("Xero Invoiced Ex GST",$A$1:$AB$1,0)),"")),0)</f>
        <v/>
      </c>
      <c r="AE4425" s="53">
        <f>IFERROR(INDEX($A4425:$AB4425,MATCH("Xero Invoice Date",$A$1:$AB$1,0)),"")</f>
        <v/>
      </c>
      <c r="AF4425" s="54">
        <f>IF(AND(IFERROR(INDEX($A4425:$AB4425,MATCH("Xero Invoice No",$A$1:$AB$1,0)),"")&amp;""&lt;&gt;"",ISNUMBER(AE4425),AD4425&lt;&gt;0),1,0)</f>
        <v/>
      </c>
      <c r="AG4425" s="55">
        <f>IF(AF4425=1,EOMONTH(AE4425,0),"")</f>
        <v/>
      </c>
      <c r="AH4425" s="9">
        <f>IF(AF4425=1,UPPER(TRIM(IFERROR(INDEX($A4425:$AB4425,MATCH("Client",$A$1:$AB$1,0)),"")&amp;"")),"")</f>
        <v/>
      </c>
      <c r="AI4425" s="9">
        <f>IF(AF4425=1,IFERROR(INDEX($A4425:$AB4425,MATCH("Cost Centre",$A$1:$AB$1,0)),"")&amp;"","")</f>
        <v/>
      </c>
      <c r="AJ4425" s="54">
        <f>IF(AND(AF4425=1,AE4425&gt;=set_FYStart,AE4425&lt;=set_AsAt),1,0)</f>
        <v/>
      </c>
      <c r="AK4425" s="54">
        <f>IF(AND(AJ4425=1,AH4425&lt;&gt;"",COUNTIFS($AH$2:AH4425,AH4425,$AJ$2:AJ4425,1)=1),N(AL4424)+1,"")</f>
        <v/>
      </c>
      <c r="AL4425" s="54">
        <f>IF(AK4425&lt;&gt;"",AK4425,N(AL4424))</f>
        <v/>
      </c>
    </row>
    <row r="4426">
      <c r="A4426" t="inlineStr">
        <is>
          <t>CON-1475</t>
        </is>
      </c>
      <c r="B4426" t="inlineStr">
        <is>
          <t>Consulting</t>
        </is>
      </c>
      <c r="AB4426" t="n">
        <v>1475</v>
      </c>
      <c r="AD4426" s="52">
        <f>IFERROR(N(IFERROR(INDEX($A4426:$AB4426,MATCH("Xero Invoiced Ex GST",$A$1:$AB$1,0)),"")),0)</f>
        <v/>
      </c>
      <c r="AE4426" s="53">
        <f>IFERROR(INDEX($A4426:$AB4426,MATCH("Xero Invoice Date",$A$1:$AB$1,0)),"")</f>
        <v/>
      </c>
      <c r="AF4426" s="54">
        <f>IF(AND(IFERROR(INDEX($A4426:$AB4426,MATCH("Xero Invoice No",$A$1:$AB$1,0)),"")&amp;""&lt;&gt;"",ISNUMBER(AE4426),AD4426&lt;&gt;0),1,0)</f>
        <v/>
      </c>
      <c r="AG4426" s="55">
        <f>IF(AF4426=1,EOMONTH(AE4426,0),"")</f>
        <v/>
      </c>
      <c r="AH4426" s="9">
        <f>IF(AF4426=1,UPPER(TRIM(IFERROR(INDEX($A4426:$AB4426,MATCH("Client",$A$1:$AB$1,0)),"")&amp;"")),"")</f>
        <v/>
      </c>
      <c r="AI4426" s="9">
        <f>IF(AF4426=1,IFERROR(INDEX($A4426:$AB4426,MATCH("Cost Centre",$A$1:$AB$1,0)),"")&amp;"","")</f>
        <v/>
      </c>
      <c r="AJ4426" s="54">
        <f>IF(AND(AF4426=1,AE4426&gt;=set_FYStart,AE4426&lt;=set_AsAt),1,0)</f>
        <v/>
      </c>
      <c r="AK4426" s="54">
        <f>IF(AND(AJ4426=1,AH4426&lt;&gt;"",COUNTIFS($AH$2:AH4426,AH4426,$AJ$2:AJ4426,1)=1),N(AL4425)+1,"")</f>
        <v/>
      </c>
      <c r="AL4426" s="54">
        <f>IF(AK4426&lt;&gt;"",AK4426,N(AL4425))</f>
        <v/>
      </c>
    </row>
    <row r="4427">
      <c r="A4427" t="inlineStr">
        <is>
          <t>ONS-1476</t>
        </is>
      </c>
      <c r="B4427" t="inlineStr">
        <is>
          <t>Onsite</t>
        </is>
      </c>
      <c r="AB4427" t="n">
        <v>1476</v>
      </c>
      <c r="AD4427" s="52">
        <f>IFERROR(N(IFERROR(INDEX($A4427:$AB4427,MATCH("Xero Invoiced Ex GST",$A$1:$AB$1,0)),"")),0)</f>
        <v/>
      </c>
      <c r="AE4427" s="53">
        <f>IFERROR(INDEX($A4427:$AB4427,MATCH("Xero Invoice Date",$A$1:$AB$1,0)),"")</f>
        <v/>
      </c>
      <c r="AF4427" s="54">
        <f>IF(AND(IFERROR(INDEX($A4427:$AB4427,MATCH("Xero Invoice No",$A$1:$AB$1,0)),"")&amp;""&lt;&gt;"",ISNUMBER(AE4427),AD4427&lt;&gt;0),1,0)</f>
        <v/>
      </c>
      <c r="AG4427" s="55">
        <f>IF(AF4427=1,EOMONTH(AE4427,0),"")</f>
        <v/>
      </c>
      <c r="AH4427" s="9">
        <f>IF(AF4427=1,UPPER(TRIM(IFERROR(INDEX($A4427:$AB4427,MATCH("Client",$A$1:$AB$1,0)),"")&amp;"")),"")</f>
        <v/>
      </c>
      <c r="AI4427" s="9">
        <f>IF(AF4427=1,IFERROR(INDEX($A4427:$AB4427,MATCH("Cost Centre",$A$1:$AB$1,0)),"")&amp;"","")</f>
        <v/>
      </c>
      <c r="AJ4427" s="54">
        <f>IF(AND(AF4427=1,AE4427&gt;=set_FYStart,AE4427&lt;=set_AsAt),1,0)</f>
        <v/>
      </c>
      <c r="AK4427" s="54">
        <f>IF(AND(AJ4427=1,AH4427&lt;&gt;"",COUNTIFS($AH$2:AH4427,AH4427,$AJ$2:AJ4427,1)=1),N(AL4426)+1,"")</f>
        <v/>
      </c>
      <c r="AL4427" s="54">
        <f>IF(AK4427&lt;&gt;"",AK4427,N(AL4426))</f>
        <v/>
      </c>
    </row>
    <row r="4428">
      <c r="A4428" t="inlineStr">
        <is>
          <t>PRD-1476</t>
        </is>
      </c>
      <c r="B4428" t="inlineStr">
        <is>
          <t>Production</t>
        </is>
      </c>
      <c r="AB4428" t="n">
        <v>1476</v>
      </c>
      <c r="AD4428" s="52">
        <f>IFERROR(N(IFERROR(INDEX($A4428:$AB4428,MATCH("Xero Invoiced Ex GST",$A$1:$AB$1,0)),"")),0)</f>
        <v/>
      </c>
      <c r="AE4428" s="53">
        <f>IFERROR(INDEX($A4428:$AB4428,MATCH("Xero Invoice Date",$A$1:$AB$1,0)),"")</f>
        <v/>
      </c>
      <c r="AF4428" s="54">
        <f>IF(AND(IFERROR(INDEX($A4428:$AB4428,MATCH("Xero Invoice No",$A$1:$AB$1,0)),"")&amp;""&lt;&gt;"",ISNUMBER(AE4428),AD4428&lt;&gt;0),1,0)</f>
        <v/>
      </c>
      <c r="AG4428" s="55">
        <f>IF(AF4428=1,EOMONTH(AE4428,0),"")</f>
        <v/>
      </c>
      <c r="AH4428" s="9">
        <f>IF(AF4428=1,UPPER(TRIM(IFERROR(INDEX($A4428:$AB4428,MATCH("Client",$A$1:$AB$1,0)),"")&amp;"")),"")</f>
        <v/>
      </c>
      <c r="AI4428" s="9">
        <f>IF(AF4428=1,IFERROR(INDEX($A4428:$AB4428,MATCH("Cost Centre",$A$1:$AB$1,0)),"")&amp;"","")</f>
        <v/>
      </c>
      <c r="AJ4428" s="54">
        <f>IF(AND(AF4428=1,AE4428&gt;=set_FYStart,AE4428&lt;=set_AsAt),1,0)</f>
        <v/>
      </c>
      <c r="AK4428" s="54">
        <f>IF(AND(AJ4428=1,AH4428&lt;&gt;"",COUNTIFS($AH$2:AH4428,AH4428,$AJ$2:AJ4428,1)=1),N(AL4427)+1,"")</f>
        <v/>
      </c>
      <c r="AL4428" s="54">
        <f>IF(AK4428&lt;&gt;"",AK4428,N(AL4427))</f>
        <v/>
      </c>
    </row>
    <row r="4429">
      <c r="A4429" t="inlineStr">
        <is>
          <t>CON-1476</t>
        </is>
      </c>
      <c r="B4429" t="inlineStr">
        <is>
          <t>Consulting</t>
        </is>
      </c>
      <c r="AB4429" t="n">
        <v>1476</v>
      </c>
      <c r="AD4429" s="52">
        <f>IFERROR(N(IFERROR(INDEX($A4429:$AB4429,MATCH("Xero Invoiced Ex GST",$A$1:$AB$1,0)),"")),0)</f>
        <v/>
      </c>
      <c r="AE4429" s="53">
        <f>IFERROR(INDEX($A4429:$AB4429,MATCH("Xero Invoice Date",$A$1:$AB$1,0)),"")</f>
        <v/>
      </c>
      <c r="AF4429" s="54">
        <f>IF(AND(IFERROR(INDEX($A4429:$AB4429,MATCH("Xero Invoice No",$A$1:$AB$1,0)),"")&amp;""&lt;&gt;"",ISNUMBER(AE4429),AD4429&lt;&gt;0),1,0)</f>
        <v/>
      </c>
      <c r="AG4429" s="55">
        <f>IF(AF4429=1,EOMONTH(AE4429,0),"")</f>
        <v/>
      </c>
      <c r="AH4429" s="9">
        <f>IF(AF4429=1,UPPER(TRIM(IFERROR(INDEX($A4429:$AB4429,MATCH("Client",$A$1:$AB$1,0)),"")&amp;"")),"")</f>
        <v/>
      </c>
      <c r="AI4429" s="9">
        <f>IF(AF4429=1,IFERROR(INDEX($A4429:$AB4429,MATCH("Cost Centre",$A$1:$AB$1,0)),"")&amp;"","")</f>
        <v/>
      </c>
      <c r="AJ4429" s="54">
        <f>IF(AND(AF4429=1,AE4429&gt;=set_FYStart,AE4429&lt;=set_AsAt),1,0)</f>
        <v/>
      </c>
      <c r="AK4429" s="54">
        <f>IF(AND(AJ4429=1,AH4429&lt;&gt;"",COUNTIFS($AH$2:AH4429,AH4429,$AJ$2:AJ4429,1)=1),N(AL4428)+1,"")</f>
        <v/>
      </c>
      <c r="AL4429" s="54">
        <f>IF(AK4429&lt;&gt;"",AK4429,N(AL4428))</f>
        <v/>
      </c>
    </row>
    <row r="4430">
      <c r="A4430" t="inlineStr">
        <is>
          <t>ONS-1477</t>
        </is>
      </c>
      <c r="B4430" t="inlineStr">
        <is>
          <t>Onsite</t>
        </is>
      </c>
      <c r="AB4430" t="n">
        <v>1477</v>
      </c>
      <c r="AD4430" s="52">
        <f>IFERROR(N(IFERROR(INDEX($A4430:$AB4430,MATCH("Xero Invoiced Ex GST",$A$1:$AB$1,0)),"")),0)</f>
        <v/>
      </c>
      <c r="AE4430" s="53">
        <f>IFERROR(INDEX($A4430:$AB4430,MATCH("Xero Invoice Date",$A$1:$AB$1,0)),"")</f>
        <v/>
      </c>
      <c r="AF4430" s="54">
        <f>IF(AND(IFERROR(INDEX($A4430:$AB4430,MATCH("Xero Invoice No",$A$1:$AB$1,0)),"")&amp;""&lt;&gt;"",ISNUMBER(AE4430),AD4430&lt;&gt;0),1,0)</f>
        <v/>
      </c>
      <c r="AG4430" s="55">
        <f>IF(AF4430=1,EOMONTH(AE4430,0),"")</f>
        <v/>
      </c>
      <c r="AH4430" s="9">
        <f>IF(AF4430=1,UPPER(TRIM(IFERROR(INDEX($A4430:$AB4430,MATCH("Client",$A$1:$AB$1,0)),"")&amp;"")),"")</f>
        <v/>
      </c>
      <c r="AI4430" s="9">
        <f>IF(AF4430=1,IFERROR(INDEX($A4430:$AB4430,MATCH("Cost Centre",$A$1:$AB$1,0)),"")&amp;"","")</f>
        <v/>
      </c>
      <c r="AJ4430" s="54">
        <f>IF(AND(AF4430=1,AE4430&gt;=set_FYStart,AE4430&lt;=set_AsAt),1,0)</f>
        <v/>
      </c>
      <c r="AK4430" s="54">
        <f>IF(AND(AJ4430=1,AH4430&lt;&gt;"",COUNTIFS($AH$2:AH4430,AH4430,$AJ$2:AJ4430,1)=1),N(AL4429)+1,"")</f>
        <v/>
      </c>
      <c r="AL4430" s="54">
        <f>IF(AK4430&lt;&gt;"",AK4430,N(AL4429))</f>
        <v/>
      </c>
    </row>
    <row r="4431">
      <c r="A4431" t="inlineStr">
        <is>
          <t>PRD-1477</t>
        </is>
      </c>
      <c r="B4431" t="inlineStr">
        <is>
          <t>Production</t>
        </is>
      </c>
      <c r="AB4431" t="n">
        <v>1477</v>
      </c>
      <c r="AD4431" s="52">
        <f>IFERROR(N(IFERROR(INDEX($A4431:$AB4431,MATCH("Xero Invoiced Ex GST",$A$1:$AB$1,0)),"")),0)</f>
        <v/>
      </c>
      <c r="AE4431" s="53">
        <f>IFERROR(INDEX($A4431:$AB4431,MATCH("Xero Invoice Date",$A$1:$AB$1,0)),"")</f>
        <v/>
      </c>
      <c r="AF4431" s="54">
        <f>IF(AND(IFERROR(INDEX($A4431:$AB4431,MATCH("Xero Invoice No",$A$1:$AB$1,0)),"")&amp;""&lt;&gt;"",ISNUMBER(AE4431),AD4431&lt;&gt;0),1,0)</f>
        <v/>
      </c>
      <c r="AG4431" s="55">
        <f>IF(AF4431=1,EOMONTH(AE4431,0),"")</f>
        <v/>
      </c>
      <c r="AH4431" s="9">
        <f>IF(AF4431=1,UPPER(TRIM(IFERROR(INDEX($A4431:$AB4431,MATCH("Client",$A$1:$AB$1,0)),"")&amp;"")),"")</f>
        <v/>
      </c>
      <c r="AI4431" s="9">
        <f>IF(AF4431=1,IFERROR(INDEX($A4431:$AB4431,MATCH("Cost Centre",$A$1:$AB$1,0)),"")&amp;"","")</f>
        <v/>
      </c>
      <c r="AJ4431" s="54">
        <f>IF(AND(AF4431=1,AE4431&gt;=set_FYStart,AE4431&lt;=set_AsAt),1,0)</f>
        <v/>
      </c>
      <c r="AK4431" s="54">
        <f>IF(AND(AJ4431=1,AH4431&lt;&gt;"",COUNTIFS($AH$2:AH4431,AH4431,$AJ$2:AJ4431,1)=1),N(AL4430)+1,"")</f>
        <v/>
      </c>
      <c r="AL4431" s="54">
        <f>IF(AK4431&lt;&gt;"",AK4431,N(AL4430))</f>
        <v/>
      </c>
    </row>
    <row r="4432">
      <c r="A4432" t="inlineStr">
        <is>
          <t>CON-1477</t>
        </is>
      </c>
      <c r="B4432" t="inlineStr">
        <is>
          <t>Consulting</t>
        </is>
      </c>
      <c r="AB4432" t="n">
        <v>1477</v>
      </c>
      <c r="AD4432" s="52">
        <f>IFERROR(N(IFERROR(INDEX($A4432:$AB4432,MATCH("Xero Invoiced Ex GST",$A$1:$AB$1,0)),"")),0)</f>
        <v/>
      </c>
      <c r="AE4432" s="53">
        <f>IFERROR(INDEX($A4432:$AB4432,MATCH("Xero Invoice Date",$A$1:$AB$1,0)),"")</f>
        <v/>
      </c>
      <c r="AF4432" s="54">
        <f>IF(AND(IFERROR(INDEX($A4432:$AB4432,MATCH("Xero Invoice No",$A$1:$AB$1,0)),"")&amp;""&lt;&gt;"",ISNUMBER(AE4432),AD4432&lt;&gt;0),1,0)</f>
        <v/>
      </c>
      <c r="AG4432" s="55">
        <f>IF(AF4432=1,EOMONTH(AE4432,0),"")</f>
        <v/>
      </c>
      <c r="AH4432" s="9">
        <f>IF(AF4432=1,UPPER(TRIM(IFERROR(INDEX($A4432:$AB4432,MATCH("Client",$A$1:$AB$1,0)),"")&amp;"")),"")</f>
        <v/>
      </c>
      <c r="AI4432" s="9">
        <f>IF(AF4432=1,IFERROR(INDEX($A4432:$AB4432,MATCH("Cost Centre",$A$1:$AB$1,0)),"")&amp;"","")</f>
        <v/>
      </c>
      <c r="AJ4432" s="54">
        <f>IF(AND(AF4432=1,AE4432&gt;=set_FYStart,AE4432&lt;=set_AsAt),1,0)</f>
        <v/>
      </c>
      <c r="AK4432" s="54">
        <f>IF(AND(AJ4432=1,AH4432&lt;&gt;"",COUNTIFS($AH$2:AH4432,AH4432,$AJ$2:AJ4432,1)=1),N(AL4431)+1,"")</f>
        <v/>
      </c>
      <c r="AL4432" s="54">
        <f>IF(AK4432&lt;&gt;"",AK4432,N(AL4431))</f>
        <v/>
      </c>
    </row>
    <row r="4433">
      <c r="A4433" t="inlineStr">
        <is>
          <t>ONS-1478</t>
        </is>
      </c>
      <c r="B4433" t="inlineStr">
        <is>
          <t>Onsite</t>
        </is>
      </c>
      <c r="AB4433" t="n">
        <v>1478</v>
      </c>
      <c r="AD4433" s="52">
        <f>IFERROR(N(IFERROR(INDEX($A4433:$AB4433,MATCH("Xero Invoiced Ex GST",$A$1:$AB$1,0)),"")),0)</f>
        <v/>
      </c>
      <c r="AE4433" s="53">
        <f>IFERROR(INDEX($A4433:$AB4433,MATCH("Xero Invoice Date",$A$1:$AB$1,0)),"")</f>
        <v/>
      </c>
      <c r="AF4433" s="54">
        <f>IF(AND(IFERROR(INDEX($A4433:$AB4433,MATCH("Xero Invoice No",$A$1:$AB$1,0)),"")&amp;""&lt;&gt;"",ISNUMBER(AE4433),AD4433&lt;&gt;0),1,0)</f>
        <v/>
      </c>
      <c r="AG4433" s="55">
        <f>IF(AF4433=1,EOMONTH(AE4433,0),"")</f>
        <v/>
      </c>
      <c r="AH4433" s="9">
        <f>IF(AF4433=1,UPPER(TRIM(IFERROR(INDEX($A4433:$AB4433,MATCH("Client",$A$1:$AB$1,0)),"")&amp;"")),"")</f>
        <v/>
      </c>
      <c r="AI4433" s="9">
        <f>IF(AF4433=1,IFERROR(INDEX($A4433:$AB4433,MATCH("Cost Centre",$A$1:$AB$1,0)),"")&amp;"","")</f>
        <v/>
      </c>
      <c r="AJ4433" s="54">
        <f>IF(AND(AF4433=1,AE4433&gt;=set_FYStart,AE4433&lt;=set_AsAt),1,0)</f>
        <v/>
      </c>
      <c r="AK4433" s="54">
        <f>IF(AND(AJ4433=1,AH4433&lt;&gt;"",COUNTIFS($AH$2:AH4433,AH4433,$AJ$2:AJ4433,1)=1),N(AL4432)+1,"")</f>
        <v/>
      </c>
      <c r="AL4433" s="54">
        <f>IF(AK4433&lt;&gt;"",AK4433,N(AL4432))</f>
        <v/>
      </c>
    </row>
    <row r="4434">
      <c r="A4434" t="inlineStr">
        <is>
          <t>PRD-1478</t>
        </is>
      </c>
      <c r="B4434" t="inlineStr">
        <is>
          <t>Production</t>
        </is>
      </c>
      <c r="AB4434" t="n">
        <v>1478</v>
      </c>
      <c r="AD4434" s="52">
        <f>IFERROR(N(IFERROR(INDEX($A4434:$AB4434,MATCH("Xero Invoiced Ex GST",$A$1:$AB$1,0)),"")),0)</f>
        <v/>
      </c>
      <c r="AE4434" s="53">
        <f>IFERROR(INDEX($A4434:$AB4434,MATCH("Xero Invoice Date",$A$1:$AB$1,0)),"")</f>
        <v/>
      </c>
      <c r="AF4434" s="54">
        <f>IF(AND(IFERROR(INDEX($A4434:$AB4434,MATCH("Xero Invoice No",$A$1:$AB$1,0)),"")&amp;""&lt;&gt;"",ISNUMBER(AE4434),AD4434&lt;&gt;0),1,0)</f>
        <v/>
      </c>
      <c r="AG4434" s="55">
        <f>IF(AF4434=1,EOMONTH(AE4434,0),"")</f>
        <v/>
      </c>
      <c r="AH4434" s="9">
        <f>IF(AF4434=1,UPPER(TRIM(IFERROR(INDEX($A4434:$AB4434,MATCH("Client",$A$1:$AB$1,0)),"")&amp;"")),"")</f>
        <v/>
      </c>
      <c r="AI4434" s="9">
        <f>IF(AF4434=1,IFERROR(INDEX($A4434:$AB4434,MATCH("Cost Centre",$A$1:$AB$1,0)),"")&amp;"","")</f>
        <v/>
      </c>
      <c r="AJ4434" s="54">
        <f>IF(AND(AF4434=1,AE4434&gt;=set_FYStart,AE4434&lt;=set_AsAt),1,0)</f>
        <v/>
      </c>
      <c r="AK4434" s="54">
        <f>IF(AND(AJ4434=1,AH4434&lt;&gt;"",COUNTIFS($AH$2:AH4434,AH4434,$AJ$2:AJ4434,1)=1),N(AL4433)+1,"")</f>
        <v/>
      </c>
      <c r="AL4434" s="54">
        <f>IF(AK4434&lt;&gt;"",AK4434,N(AL4433))</f>
        <v/>
      </c>
    </row>
    <row r="4435">
      <c r="A4435" t="inlineStr">
        <is>
          <t>CON-1478</t>
        </is>
      </c>
      <c r="B4435" t="inlineStr">
        <is>
          <t>Consulting</t>
        </is>
      </c>
      <c r="AB4435" t="n">
        <v>1478</v>
      </c>
      <c r="AD4435" s="52">
        <f>IFERROR(N(IFERROR(INDEX($A4435:$AB4435,MATCH("Xero Invoiced Ex GST",$A$1:$AB$1,0)),"")),0)</f>
        <v/>
      </c>
      <c r="AE4435" s="53">
        <f>IFERROR(INDEX($A4435:$AB4435,MATCH("Xero Invoice Date",$A$1:$AB$1,0)),"")</f>
        <v/>
      </c>
      <c r="AF4435" s="54">
        <f>IF(AND(IFERROR(INDEX($A4435:$AB4435,MATCH("Xero Invoice No",$A$1:$AB$1,0)),"")&amp;""&lt;&gt;"",ISNUMBER(AE4435),AD4435&lt;&gt;0),1,0)</f>
        <v/>
      </c>
      <c r="AG4435" s="55">
        <f>IF(AF4435=1,EOMONTH(AE4435,0),"")</f>
        <v/>
      </c>
      <c r="AH4435" s="9">
        <f>IF(AF4435=1,UPPER(TRIM(IFERROR(INDEX($A4435:$AB4435,MATCH("Client",$A$1:$AB$1,0)),"")&amp;"")),"")</f>
        <v/>
      </c>
      <c r="AI4435" s="9">
        <f>IF(AF4435=1,IFERROR(INDEX($A4435:$AB4435,MATCH("Cost Centre",$A$1:$AB$1,0)),"")&amp;"","")</f>
        <v/>
      </c>
      <c r="AJ4435" s="54">
        <f>IF(AND(AF4435=1,AE4435&gt;=set_FYStart,AE4435&lt;=set_AsAt),1,0)</f>
        <v/>
      </c>
      <c r="AK4435" s="54">
        <f>IF(AND(AJ4435=1,AH4435&lt;&gt;"",COUNTIFS($AH$2:AH4435,AH4435,$AJ$2:AJ4435,1)=1),N(AL4434)+1,"")</f>
        <v/>
      </c>
      <c r="AL4435" s="54">
        <f>IF(AK4435&lt;&gt;"",AK4435,N(AL4434))</f>
        <v/>
      </c>
    </row>
    <row r="4436">
      <c r="A4436" t="inlineStr">
        <is>
          <t>ONS-1479</t>
        </is>
      </c>
      <c r="B4436" t="inlineStr">
        <is>
          <t>Onsite</t>
        </is>
      </c>
      <c r="AB4436" t="n">
        <v>1479</v>
      </c>
      <c r="AD4436" s="52">
        <f>IFERROR(N(IFERROR(INDEX($A4436:$AB4436,MATCH("Xero Invoiced Ex GST",$A$1:$AB$1,0)),"")),0)</f>
        <v/>
      </c>
      <c r="AE4436" s="53">
        <f>IFERROR(INDEX($A4436:$AB4436,MATCH("Xero Invoice Date",$A$1:$AB$1,0)),"")</f>
        <v/>
      </c>
      <c r="AF4436" s="54">
        <f>IF(AND(IFERROR(INDEX($A4436:$AB4436,MATCH("Xero Invoice No",$A$1:$AB$1,0)),"")&amp;""&lt;&gt;"",ISNUMBER(AE4436),AD4436&lt;&gt;0),1,0)</f>
        <v/>
      </c>
      <c r="AG4436" s="55">
        <f>IF(AF4436=1,EOMONTH(AE4436,0),"")</f>
        <v/>
      </c>
      <c r="AH4436" s="9">
        <f>IF(AF4436=1,UPPER(TRIM(IFERROR(INDEX($A4436:$AB4436,MATCH("Client",$A$1:$AB$1,0)),"")&amp;"")),"")</f>
        <v/>
      </c>
      <c r="AI4436" s="9">
        <f>IF(AF4436=1,IFERROR(INDEX($A4436:$AB4436,MATCH("Cost Centre",$A$1:$AB$1,0)),"")&amp;"","")</f>
        <v/>
      </c>
      <c r="AJ4436" s="54">
        <f>IF(AND(AF4436=1,AE4436&gt;=set_FYStart,AE4436&lt;=set_AsAt),1,0)</f>
        <v/>
      </c>
      <c r="AK4436" s="54">
        <f>IF(AND(AJ4436=1,AH4436&lt;&gt;"",COUNTIFS($AH$2:AH4436,AH4436,$AJ$2:AJ4436,1)=1),N(AL4435)+1,"")</f>
        <v/>
      </c>
      <c r="AL4436" s="54">
        <f>IF(AK4436&lt;&gt;"",AK4436,N(AL4435))</f>
        <v/>
      </c>
    </row>
    <row r="4437">
      <c r="A4437" t="inlineStr">
        <is>
          <t>PRD-1479</t>
        </is>
      </c>
      <c r="B4437" t="inlineStr">
        <is>
          <t>Production</t>
        </is>
      </c>
      <c r="AB4437" t="n">
        <v>1479</v>
      </c>
      <c r="AD4437" s="52">
        <f>IFERROR(N(IFERROR(INDEX($A4437:$AB4437,MATCH("Xero Invoiced Ex GST",$A$1:$AB$1,0)),"")),0)</f>
        <v/>
      </c>
      <c r="AE4437" s="53">
        <f>IFERROR(INDEX($A4437:$AB4437,MATCH("Xero Invoice Date",$A$1:$AB$1,0)),"")</f>
        <v/>
      </c>
      <c r="AF4437" s="54">
        <f>IF(AND(IFERROR(INDEX($A4437:$AB4437,MATCH("Xero Invoice No",$A$1:$AB$1,0)),"")&amp;""&lt;&gt;"",ISNUMBER(AE4437),AD4437&lt;&gt;0),1,0)</f>
        <v/>
      </c>
      <c r="AG4437" s="55">
        <f>IF(AF4437=1,EOMONTH(AE4437,0),"")</f>
        <v/>
      </c>
      <c r="AH4437" s="9">
        <f>IF(AF4437=1,UPPER(TRIM(IFERROR(INDEX($A4437:$AB4437,MATCH("Client",$A$1:$AB$1,0)),"")&amp;"")),"")</f>
        <v/>
      </c>
      <c r="AI4437" s="9">
        <f>IF(AF4437=1,IFERROR(INDEX($A4437:$AB4437,MATCH("Cost Centre",$A$1:$AB$1,0)),"")&amp;"","")</f>
        <v/>
      </c>
      <c r="AJ4437" s="54">
        <f>IF(AND(AF4437=1,AE4437&gt;=set_FYStart,AE4437&lt;=set_AsAt),1,0)</f>
        <v/>
      </c>
      <c r="AK4437" s="54">
        <f>IF(AND(AJ4437=1,AH4437&lt;&gt;"",COUNTIFS($AH$2:AH4437,AH4437,$AJ$2:AJ4437,1)=1),N(AL4436)+1,"")</f>
        <v/>
      </c>
      <c r="AL4437" s="54">
        <f>IF(AK4437&lt;&gt;"",AK4437,N(AL4436))</f>
        <v/>
      </c>
    </row>
    <row r="4438">
      <c r="A4438" t="inlineStr">
        <is>
          <t>CON-1479</t>
        </is>
      </c>
      <c r="B4438" t="inlineStr">
        <is>
          <t>Consulting</t>
        </is>
      </c>
      <c r="AB4438" t="n">
        <v>1479</v>
      </c>
      <c r="AD4438" s="52">
        <f>IFERROR(N(IFERROR(INDEX($A4438:$AB4438,MATCH("Xero Invoiced Ex GST",$A$1:$AB$1,0)),"")),0)</f>
        <v/>
      </c>
      <c r="AE4438" s="53">
        <f>IFERROR(INDEX($A4438:$AB4438,MATCH("Xero Invoice Date",$A$1:$AB$1,0)),"")</f>
        <v/>
      </c>
      <c r="AF4438" s="54">
        <f>IF(AND(IFERROR(INDEX($A4438:$AB4438,MATCH("Xero Invoice No",$A$1:$AB$1,0)),"")&amp;""&lt;&gt;"",ISNUMBER(AE4438),AD4438&lt;&gt;0),1,0)</f>
        <v/>
      </c>
      <c r="AG4438" s="55">
        <f>IF(AF4438=1,EOMONTH(AE4438,0),"")</f>
        <v/>
      </c>
      <c r="AH4438" s="9">
        <f>IF(AF4438=1,UPPER(TRIM(IFERROR(INDEX($A4438:$AB4438,MATCH("Client",$A$1:$AB$1,0)),"")&amp;"")),"")</f>
        <v/>
      </c>
      <c r="AI4438" s="9">
        <f>IF(AF4438=1,IFERROR(INDEX($A4438:$AB4438,MATCH("Cost Centre",$A$1:$AB$1,0)),"")&amp;"","")</f>
        <v/>
      </c>
      <c r="AJ4438" s="54">
        <f>IF(AND(AF4438=1,AE4438&gt;=set_FYStart,AE4438&lt;=set_AsAt),1,0)</f>
        <v/>
      </c>
      <c r="AK4438" s="54">
        <f>IF(AND(AJ4438=1,AH4438&lt;&gt;"",COUNTIFS($AH$2:AH4438,AH4438,$AJ$2:AJ4438,1)=1),N(AL4437)+1,"")</f>
        <v/>
      </c>
      <c r="AL4438" s="54">
        <f>IF(AK4438&lt;&gt;"",AK4438,N(AL4437))</f>
        <v/>
      </c>
    </row>
    <row r="4439">
      <c r="A4439" t="inlineStr">
        <is>
          <t>ONS-1480</t>
        </is>
      </c>
      <c r="B4439" t="inlineStr">
        <is>
          <t>Onsite</t>
        </is>
      </c>
      <c r="AB4439" t="n">
        <v>1480</v>
      </c>
      <c r="AD4439" s="52">
        <f>IFERROR(N(IFERROR(INDEX($A4439:$AB4439,MATCH("Xero Invoiced Ex GST",$A$1:$AB$1,0)),"")),0)</f>
        <v/>
      </c>
      <c r="AE4439" s="53">
        <f>IFERROR(INDEX($A4439:$AB4439,MATCH("Xero Invoice Date",$A$1:$AB$1,0)),"")</f>
        <v/>
      </c>
      <c r="AF4439" s="54">
        <f>IF(AND(IFERROR(INDEX($A4439:$AB4439,MATCH("Xero Invoice No",$A$1:$AB$1,0)),"")&amp;""&lt;&gt;"",ISNUMBER(AE4439),AD4439&lt;&gt;0),1,0)</f>
        <v/>
      </c>
      <c r="AG4439" s="55">
        <f>IF(AF4439=1,EOMONTH(AE4439,0),"")</f>
        <v/>
      </c>
      <c r="AH4439" s="9">
        <f>IF(AF4439=1,UPPER(TRIM(IFERROR(INDEX($A4439:$AB4439,MATCH("Client",$A$1:$AB$1,0)),"")&amp;"")),"")</f>
        <v/>
      </c>
      <c r="AI4439" s="9">
        <f>IF(AF4439=1,IFERROR(INDEX($A4439:$AB4439,MATCH("Cost Centre",$A$1:$AB$1,0)),"")&amp;"","")</f>
        <v/>
      </c>
      <c r="AJ4439" s="54">
        <f>IF(AND(AF4439=1,AE4439&gt;=set_FYStart,AE4439&lt;=set_AsAt),1,0)</f>
        <v/>
      </c>
      <c r="AK4439" s="54">
        <f>IF(AND(AJ4439=1,AH4439&lt;&gt;"",COUNTIFS($AH$2:AH4439,AH4439,$AJ$2:AJ4439,1)=1),N(AL4438)+1,"")</f>
        <v/>
      </c>
      <c r="AL4439" s="54">
        <f>IF(AK4439&lt;&gt;"",AK4439,N(AL4438))</f>
        <v/>
      </c>
    </row>
    <row r="4440">
      <c r="A4440" t="inlineStr">
        <is>
          <t>PRD-1480</t>
        </is>
      </c>
      <c r="B4440" t="inlineStr">
        <is>
          <t>Production</t>
        </is>
      </c>
      <c r="AB4440" t="n">
        <v>1480</v>
      </c>
      <c r="AD4440" s="52">
        <f>IFERROR(N(IFERROR(INDEX($A4440:$AB4440,MATCH("Xero Invoiced Ex GST",$A$1:$AB$1,0)),"")),0)</f>
        <v/>
      </c>
      <c r="AE4440" s="53">
        <f>IFERROR(INDEX($A4440:$AB4440,MATCH("Xero Invoice Date",$A$1:$AB$1,0)),"")</f>
        <v/>
      </c>
      <c r="AF4440" s="54">
        <f>IF(AND(IFERROR(INDEX($A4440:$AB4440,MATCH("Xero Invoice No",$A$1:$AB$1,0)),"")&amp;""&lt;&gt;"",ISNUMBER(AE4440),AD4440&lt;&gt;0),1,0)</f>
        <v/>
      </c>
      <c r="AG4440" s="55">
        <f>IF(AF4440=1,EOMONTH(AE4440,0),"")</f>
        <v/>
      </c>
      <c r="AH4440" s="9">
        <f>IF(AF4440=1,UPPER(TRIM(IFERROR(INDEX($A4440:$AB4440,MATCH("Client",$A$1:$AB$1,0)),"")&amp;"")),"")</f>
        <v/>
      </c>
      <c r="AI4440" s="9">
        <f>IF(AF4440=1,IFERROR(INDEX($A4440:$AB4440,MATCH("Cost Centre",$A$1:$AB$1,0)),"")&amp;"","")</f>
        <v/>
      </c>
      <c r="AJ4440" s="54">
        <f>IF(AND(AF4440=1,AE4440&gt;=set_FYStart,AE4440&lt;=set_AsAt),1,0)</f>
        <v/>
      </c>
      <c r="AK4440" s="54">
        <f>IF(AND(AJ4440=1,AH4440&lt;&gt;"",COUNTIFS($AH$2:AH4440,AH4440,$AJ$2:AJ4440,1)=1),N(AL4439)+1,"")</f>
        <v/>
      </c>
      <c r="AL4440" s="54">
        <f>IF(AK4440&lt;&gt;"",AK4440,N(AL4439))</f>
        <v/>
      </c>
    </row>
    <row r="4441">
      <c r="A4441" t="inlineStr">
        <is>
          <t>CON-1480</t>
        </is>
      </c>
      <c r="B4441" t="inlineStr">
        <is>
          <t>Consulting</t>
        </is>
      </c>
      <c r="AB4441" t="n">
        <v>1480</v>
      </c>
      <c r="AD4441" s="52">
        <f>IFERROR(N(IFERROR(INDEX($A4441:$AB4441,MATCH("Xero Invoiced Ex GST",$A$1:$AB$1,0)),"")),0)</f>
        <v/>
      </c>
      <c r="AE4441" s="53">
        <f>IFERROR(INDEX($A4441:$AB4441,MATCH("Xero Invoice Date",$A$1:$AB$1,0)),"")</f>
        <v/>
      </c>
      <c r="AF4441" s="54">
        <f>IF(AND(IFERROR(INDEX($A4441:$AB4441,MATCH("Xero Invoice No",$A$1:$AB$1,0)),"")&amp;""&lt;&gt;"",ISNUMBER(AE4441),AD4441&lt;&gt;0),1,0)</f>
        <v/>
      </c>
      <c r="AG4441" s="55">
        <f>IF(AF4441=1,EOMONTH(AE4441,0),"")</f>
        <v/>
      </c>
      <c r="AH4441" s="9">
        <f>IF(AF4441=1,UPPER(TRIM(IFERROR(INDEX($A4441:$AB4441,MATCH("Client",$A$1:$AB$1,0)),"")&amp;"")),"")</f>
        <v/>
      </c>
      <c r="AI4441" s="9">
        <f>IF(AF4441=1,IFERROR(INDEX($A4441:$AB4441,MATCH("Cost Centre",$A$1:$AB$1,0)),"")&amp;"","")</f>
        <v/>
      </c>
      <c r="AJ4441" s="54">
        <f>IF(AND(AF4441=1,AE4441&gt;=set_FYStart,AE4441&lt;=set_AsAt),1,0)</f>
        <v/>
      </c>
      <c r="AK4441" s="54">
        <f>IF(AND(AJ4441=1,AH4441&lt;&gt;"",COUNTIFS($AH$2:AH4441,AH4441,$AJ$2:AJ4441,1)=1),N(AL4440)+1,"")</f>
        <v/>
      </c>
      <c r="AL4441" s="54">
        <f>IF(AK4441&lt;&gt;"",AK4441,N(AL4440))</f>
        <v/>
      </c>
    </row>
    <row r="4442">
      <c r="A4442" t="inlineStr">
        <is>
          <t>ONS-1481</t>
        </is>
      </c>
      <c r="B4442" t="inlineStr">
        <is>
          <t>Onsite</t>
        </is>
      </c>
      <c r="AB4442" t="n">
        <v>1481</v>
      </c>
      <c r="AD4442" s="52">
        <f>IFERROR(N(IFERROR(INDEX($A4442:$AB4442,MATCH("Xero Invoiced Ex GST",$A$1:$AB$1,0)),"")),0)</f>
        <v/>
      </c>
      <c r="AE4442" s="53">
        <f>IFERROR(INDEX($A4442:$AB4442,MATCH("Xero Invoice Date",$A$1:$AB$1,0)),"")</f>
        <v/>
      </c>
      <c r="AF4442" s="54">
        <f>IF(AND(IFERROR(INDEX($A4442:$AB4442,MATCH("Xero Invoice No",$A$1:$AB$1,0)),"")&amp;""&lt;&gt;"",ISNUMBER(AE4442),AD4442&lt;&gt;0),1,0)</f>
        <v/>
      </c>
      <c r="AG4442" s="55">
        <f>IF(AF4442=1,EOMONTH(AE4442,0),"")</f>
        <v/>
      </c>
      <c r="AH4442" s="9">
        <f>IF(AF4442=1,UPPER(TRIM(IFERROR(INDEX($A4442:$AB4442,MATCH("Client",$A$1:$AB$1,0)),"")&amp;"")),"")</f>
        <v/>
      </c>
      <c r="AI4442" s="9">
        <f>IF(AF4442=1,IFERROR(INDEX($A4442:$AB4442,MATCH("Cost Centre",$A$1:$AB$1,0)),"")&amp;"","")</f>
        <v/>
      </c>
      <c r="AJ4442" s="54">
        <f>IF(AND(AF4442=1,AE4442&gt;=set_FYStart,AE4442&lt;=set_AsAt),1,0)</f>
        <v/>
      </c>
      <c r="AK4442" s="54">
        <f>IF(AND(AJ4442=1,AH4442&lt;&gt;"",COUNTIFS($AH$2:AH4442,AH4442,$AJ$2:AJ4442,1)=1),N(AL4441)+1,"")</f>
        <v/>
      </c>
      <c r="AL4442" s="54">
        <f>IF(AK4442&lt;&gt;"",AK4442,N(AL4441))</f>
        <v/>
      </c>
    </row>
    <row r="4443">
      <c r="A4443" t="inlineStr">
        <is>
          <t>PRD-1481</t>
        </is>
      </c>
      <c r="B4443" t="inlineStr">
        <is>
          <t>Production</t>
        </is>
      </c>
      <c r="AB4443" t="n">
        <v>1481</v>
      </c>
      <c r="AD4443" s="52">
        <f>IFERROR(N(IFERROR(INDEX($A4443:$AB4443,MATCH("Xero Invoiced Ex GST",$A$1:$AB$1,0)),"")),0)</f>
        <v/>
      </c>
      <c r="AE4443" s="53">
        <f>IFERROR(INDEX($A4443:$AB4443,MATCH("Xero Invoice Date",$A$1:$AB$1,0)),"")</f>
        <v/>
      </c>
      <c r="AF4443" s="54">
        <f>IF(AND(IFERROR(INDEX($A4443:$AB4443,MATCH("Xero Invoice No",$A$1:$AB$1,0)),"")&amp;""&lt;&gt;"",ISNUMBER(AE4443),AD4443&lt;&gt;0),1,0)</f>
        <v/>
      </c>
      <c r="AG4443" s="55">
        <f>IF(AF4443=1,EOMONTH(AE4443,0),"")</f>
        <v/>
      </c>
      <c r="AH4443" s="9">
        <f>IF(AF4443=1,UPPER(TRIM(IFERROR(INDEX($A4443:$AB4443,MATCH("Client",$A$1:$AB$1,0)),"")&amp;"")),"")</f>
        <v/>
      </c>
      <c r="AI4443" s="9">
        <f>IF(AF4443=1,IFERROR(INDEX($A4443:$AB4443,MATCH("Cost Centre",$A$1:$AB$1,0)),"")&amp;"","")</f>
        <v/>
      </c>
      <c r="AJ4443" s="54">
        <f>IF(AND(AF4443=1,AE4443&gt;=set_FYStart,AE4443&lt;=set_AsAt),1,0)</f>
        <v/>
      </c>
      <c r="AK4443" s="54">
        <f>IF(AND(AJ4443=1,AH4443&lt;&gt;"",COUNTIFS($AH$2:AH4443,AH4443,$AJ$2:AJ4443,1)=1),N(AL4442)+1,"")</f>
        <v/>
      </c>
      <c r="AL4443" s="54">
        <f>IF(AK4443&lt;&gt;"",AK4443,N(AL4442))</f>
        <v/>
      </c>
    </row>
    <row r="4444">
      <c r="A4444" t="inlineStr">
        <is>
          <t>CON-1481</t>
        </is>
      </c>
      <c r="B4444" t="inlineStr">
        <is>
          <t>Consulting</t>
        </is>
      </c>
      <c r="AB4444" t="n">
        <v>1481</v>
      </c>
      <c r="AD4444" s="52">
        <f>IFERROR(N(IFERROR(INDEX($A4444:$AB4444,MATCH("Xero Invoiced Ex GST",$A$1:$AB$1,0)),"")),0)</f>
        <v/>
      </c>
      <c r="AE4444" s="53">
        <f>IFERROR(INDEX($A4444:$AB4444,MATCH("Xero Invoice Date",$A$1:$AB$1,0)),"")</f>
        <v/>
      </c>
      <c r="AF4444" s="54">
        <f>IF(AND(IFERROR(INDEX($A4444:$AB4444,MATCH("Xero Invoice No",$A$1:$AB$1,0)),"")&amp;""&lt;&gt;"",ISNUMBER(AE4444),AD4444&lt;&gt;0),1,0)</f>
        <v/>
      </c>
      <c r="AG4444" s="55">
        <f>IF(AF4444=1,EOMONTH(AE4444,0),"")</f>
        <v/>
      </c>
      <c r="AH4444" s="9">
        <f>IF(AF4444=1,UPPER(TRIM(IFERROR(INDEX($A4444:$AB4444,MATCH("Client",$A$1:$AB$1,0)),"")&amp;"")),"")</f>
        <v/>
      </c>
      <c r="AI4444" s="9">
        <f>IF(AF4444=1,IFERROR(INDEX($A4444:$AB4444,MATCH("Cost Centre",$A$1:$AB$1,0)),"")&amp;"","")</f>
        <v/>
      </c>
      <c r="AJ4444" s="54">
        <f>IF(AND(AF4444=1,AE4444&gt;=set_FYStart,AE4444&lt;=set_AsAt),1,0)</f>
        <v/>
      </c>
      <c r="AK4444" s="54">
        <f>IF(AND(AJ4444=1,AH4444&lt;&gt;"",COUNTIFS($AH$2:AH4444,AH4444,$AJ$2:AJ4444,1)=1),N(AL4443)+1,"")</f>
        <v/>
      </c>
      <c r="AL4444" s="54">
        <f>IF(AK4444&lt;&gt;"",AK4444,N(AL4443))</f>
        <v/>
      </c>
    </row>
    <row r="4445">
      <c r="A4445" t="inlineStr">
        <is>
          <t>ONS-1482</t>
        </is>
      </c>
      <c r="B4445" t="inlineStr">
        <is>
          <t>Onsite</t>
        </is>
      </c>
      <c r="AB4445" t="n">
        <v>1482</v>
      </c>
      <c r="AD4445" s="52">
        <f>IFERROR(N(IFERROR(INDEX($A4445:$AB4445,MATCH("Xero Invoiced Ex GST",$A$1:$AB$1,0)),"")),0)</f>
        <v/>
      </c>
      <c r="AE4445" s="53">
        <f>IFERROR(INDEX($A4445:$AB4445,MATCH("Xero Invoice Date",$A$1:$AB$1,0)),"")</f>
        <v/>
      </c>
      <c r="AF4445" s="54">
        <f>IF(AND(IFERROR(INDEX($A4445:$AB4445,MATCH("Xero Invoice No",$A$1:$AB$1,0)),"")&amp;""&lt;&gt;"",ISNUMBER(AE4445),AD4445&lt;&gt;0),1,0)</f>
        <v/>
      </c>
      <c r="AG4445" s="55">
        <f>IF(AF4445=1,EOMONTH(AE4445,0),"")</f>
        <v/>
      </c>
      <c r="AH4445" s="9">
        <f>IF(AF4445=1,UPPER(TRIM(IFERROR(INDEX($A4445:$AB4445,MATCH("Client",$A$1:$AB$1,0)),"")&amp;"")),"")</f>
        <v/>
      </c>
      <c r="AI4445" s="9">
        <f>IF(AF4445=1,IFERROR(INDEX($A4445:$AB4445,MATCH("Cost Centre",$A$1:$AB$1,0)),"")&amp;"","")</f>
        <v/>
      </c>
      <c r="AJ4445" s="54">
        <f>IF(AND(AF4445=1,AE4445&gt;=set_FYStart,AE4445&lt;=set_AsAt),1,0)</f>
        <v/>
      </c>
      <c r="AK4445" s="54">
        <f>IF(AND(AJ4445=1,AH4445&lt;&gt;"",COUNTIFS($AH$2:AH4445,AH4445,$AJ$2:AJ4445,1)=1),N(AL4444)+1,"")</f>
        <v/>
      </c>
      <c r="AL4445" s="54">
        <f>IF(AK4445&lt;&gt;"",AK4445,N(AL4444))</f>
        <v/>
      </c>
    </row>
    <row r="4446">
      <c r="A4446" t="inlineStr">
        <is>
          <t>PRD-1482</t>
        </is>
      </c>
      <c r="B4446" t="inlineStr">
        <is>
          <t>Production</t>
        </is>
      </c>
      <c r="AB4446" t="n">
        <v>1482</v>
      </c>
      <c r="AD4446" s="52">
        <f>IFERROR(N(IFERROR(INDEX($A4446:$AB4446,MATCH("Xero Invoiced Ex GST",$A$1:$AB$1,0)),"")),0)</f>
        <v/>
      </c>
      <c r="AE4446" s="53">
        <f>IFERROR(INDEX($A4446:$AB4446,MATCH("Xero Invoice Date",$A$1:$AB$1,0)),"")</f>
        <v/>
      </c>
      <c r="AF4446" s="54">
        <f>IF(AND(IFERROR(INDEX($A4446:$AB4446,MATCH("Xero Invoice No",$A$1:$AB$1,0)),"")&amp;""&lt;&gt;"",ISNUMBER(AE4446),AD4446&lt;&gt;0),1,0)</f>
        <v/>
      </c>
      <c r="AG4446" s="55">
        <f>IF(AF4446=1,EOMONTH(AE4446,0),"")</f>
        <v/>
      </c>
      <c r="AH4446" s="9">
        <f>IF(AF4446=1,UPPER(TRIM(IFERROR(INDEX($A4446:$AB4446,MATCH("Client",$A$1:$AB$1,0)),"")&amp;"")),"")</f>
        <v/>
      </c>
      <c r="AI4446" s="9">
        <f>IF(AF4446=1,IFERROR(INDEX($A4446:$AB4446,MATCH("Cost Centre",$A$1:$AB$1,0)),"")&amp;"","")</f>
        <v/>
      </c>
      <c r="AJ4446" s="54">
        <f>IF(AND(AF4446=1,AE4446&gt;=set_FYStart,AE4446&lt;=set_AsAt),1,0)</f>
        <v/>
      </c>
      <c r="AK4446" s="54">
        <f>IF(AND(AJ4446=1,AH4446&lt;&gt;"",COUNTIFS($AH$2:AH4446,AH4446,$AJ$2:AJ4446,1)=1),N(AL4445)+1,"")</f>
        <v/>
      </c>
      <c r="AL4446" s="54">
        <f>IF(AK4446&lt;&gt;"",AK4446,N(AL4445))</f>
        <v/>
      </c>
    </row>
    <row r="4447">
      <c r="A4447" t="inlineStr">
        <is>
          <t>CON-1482</t>
        </is>
      </c>
      <c r="B4447" t="inlineStr">
        <is>
          <t>Consulting</t>
        </is>
      </c>
      <c r="AB4447" t="n">
        <v>1482</v>
      </c>
      <c r="AD4447" s="52">
        <f>IFERROR(N(IFERROR(INDEX($A4447:$AB4447,MATCH("Xero Invoiced Ex GST",$A$1:$AB$1,0)),"")),0)</f>
        <v/>
      </c>
      <c r="AE4447" s="53">
        <f>IFERROR(INDEX($A4447:$AB4447,MATCH("Xero Invoice Date",$A$1:$AB$1,0)),"")</f>
        <v/>
      </c>
      <c r="AF4447" s="54">
        <f>IF(AND(IFERROR(INDEX($A4447:$AB4447,MATCH("Xero Invoice No",$A$1:$AB$1,0)),"")&amp;""&lt;&gt;"",ISNUMBER(AE4447),AD4447&lt;&gt;0),1,0)</f>
        <v/>
      </c>
      <c r="AG4447" s="55">
        <f>IF(AF4447=1,EOMONTH(AE4447,0),"")</f>
        <v/>
      </c>
      <c r="AH4447" s="9">
        <f>IF(AF4447=1,UPPER(TRIM(IFERROR(INDEX($A4447:$AB4447,MATCH("Client",$A$1:$AB$1,0)),"")&amp;"")),"")</f>
        <v/>
      </c>
      <c r="AI4447" s="9">
        <f>IF(AF4447=1,IFERROR(INDEX($A4447:$AB4447,MATCH("Cost Centre",$A$1:$AB$1,0)),"")&amp;"","")</f>
        <v/>
      </c>
      <c r="AJ4447" s="54">
        <f>IF(AND(AF4447=1,AE4447&gt;=set_FYStart,AE4447&lt;=set_AsAt),1,0)</f>
        <v/>
      </c>
      <c r="AK4447" s="54">
        <f>IF(AND(AJ4447=1,AH4447&lt;&gt;"",COUNTIFS($AH$2:AH4447,AH4447,$AJ$2:AJ4447,1)=1),N(AL4446)+1,"")</f>
        <v/>
      </c>
      <c r="AL4447" s="54">
        <f>IF(AK4447&lt;&gt;"",AK4447,N(AL4446))</f>
        <v/>
      </c>
    </row>
    <row r="4448">
      <c r="A4448" t="inlineStr">
        <is>
          <t>ONS-1483</t>
        </is>
      </c>
      <c r="B4448" t="inlineStr">
        <is>
          <t>Onsite</t>
        </is>
      </c>
      <c r="AB4448" t="n">
        <v>1483</v>
      </c>
      <c r="AD4448" s="52">
        <f>IFERROR(N(IFERROR(INDEX($A4448:$AB4448,MATCH("Xero Invoiced Ex GST",$A$1:$AB$1,0)),"")),0)</f>
        <v/>
      </c>
      <c r="AE4448" s="53">
        <f>IFERROR(INDEX($A4448:$AB4448,MATCH("Xero Invoice Date",$A$1:$AB$1,0)),"")</f>
        <v/>
      </c>
      <c r="AF4448" s="54">
        <f>IF(AND(IFERROR(INDEX($A4448:$AB4448,MATCH("Xero Invoice No",$A$1:$AB$1,0)),"")&amp;""&lt;&gt;"",ISNUMBER(AE4448),AD4448&lt;&gt;0),1,0)</f>
        <v/>
      </c>
      <c r="AG4448" s="55">
        <f>IF(AF4448=1,EOMONTH(AE4448,0),"")</f>
        <v/>
      </c>
      <c r="AH4448" s="9">
        <f>IF(AF4448=1,UPPER(TRIM(IFERROR(INDEX($A4448:$AB4448,MATCH("Client",$A$1:$AB$1,0)),"")&amp;"")),"")</f>
        <v/>
      </c>
      <c r="AI4448" s="9">
        <f>IF(AF4448=1,IFERROR(INDEX($A4448:$AB4448,MATCH("Cost Centre",$A$1:$AB$1,0)),"")&amp;"","")</f>
        <v/>
      </c>
      <c r="AJ4448" s="54">
        <f>IF(AND(AF4448=1,AE4448&gt;=set_FYStart,AE4448&lt;=set_AsAt),1,0)</f>
        <v/>
      </c>
      <c r="AK4448" s="54">
        <f>IF(AND(AJ4448=1,AH4448&lt;&gt;"",COUNTIFS($AH$2:AH4448,AH4448,$AJ$2:AJ4448,1)=1),N(AL4447)+1,"")</f>
        <v/>
      </c>
      <c r="AL4448" s="54">
        <f>IF(AK4448&lt;&gt;"",AK4448,N(AL4447))</f>
        <v/>
      </c>
    </row>
    <row r="4449">
      <c r="A4449" t="inlineStr">
        <is>
          <t>PRD-1483</t>
        </is>
      </c>
      <c r="B4449" t="inlineStr">
        <is>
          <t>Production</t>
        </is>
      </c>
      <c r="AB4449" t="n">
        <v>1483</v>
      </c>
      <c r="AD4449" s="52">
        <f>IFERROR(N(IFERROR(INDEX($A4449:$AB4449,MATCH("Xero Invoiced Ex GST",$A$1:$AB$1,0)),"")),0)</f>
        <v/>
      </c>
      <c r="AE4449" s="53">
        <f>IFERROR(INDEX($A4449:$AB4449,MATCH("Xero Invoice Date",$A$1:$AB$1,0)),"")</f>
        <v/>
      </c>
      <c r="AF4449" s="54">
        <f>IF(AND(IFERROR(INDEX($A4449:$AB4449,MATCH("Xero Invoice No",$A$1:$AB$1,0)),"")&amp;""&lt;&gt;"",ISNUMBER(AE4449),AD4449&lt;&gt;0),1,0)</f>
        <v/>
      </c>
      <c r="AG4449" s="55">
        <f>IF(AF4449=1,EOMONTH(AE4449,0),"")</f>
        <v/>
      </c>
      <c r="AH4449" s="9">
        <f>IF(AF4449=1,UPPER(TRIM(IFERROR(INDEX($A4449:$AB4449,MATCH("Client",$A$1:$AB$1,0)),"")&amp;"")),"")</f>
        <v/>
      </c>
      <c r="AI4449" s="9">
        <f>IF(AF4449=1,IFERROR(INDEX($A4449:$AB4449,MATCH("Cost Centre",$A$1:$AB$1,0)),"")&amp;"","")</f>
        <v/>
      </c>
      <c r="AJ4449" s="54">
        <f>IF(AND(AF4449=1,AE4449&gt;=set_FYStart,AE4449&lt;=set_AsAt),1,0)</f>
        <v/>
      </c>
      <c r="AK4449" s="54">
        <f>IF(AND(AJ4449=1,AH4449&lt;&gt;"",COUNTIFS($AH$2:AH4449,AH4449,$AJ$2:AJ4449,1)=1),N(AL4448)+1,"")</f>
        <v/>
      </c>
      <c r="AL4449" s="54">
        <f>IF(AK4449&lt;&gt;"",AK4449,N(AL4448))</f>
        <v/>
      </c>
    </row>
    <row r="4450">
      <c r="A4450" t="inlineStr">
        <is>
          <t>CON-1483</t>
        </is>
      </c>
      <c r="B4450" t="inlineStr">
        <is>
          <t>Consulting</t>
        </is>
      </c>
      <c r="AB4450" t="n">
        <v>1483</v>
      </c>
      <c r="AD4450" s="52">
        <f>IFERROR(N(IFERROR(INDEX($A4450:$AB4450,MATCH("Xero Invoiced Ex GST",$A$1:$AB$1,0)),"")),0)</f>
        <v/>
      </c>
      <c r="AE4450" s="53">
        <f>IFERROR(INDEX($A4450:$AB4450,MATCH("Xero Invoice Date",$A$1:$AB$1,0)),"")</f>
        <v/>
      </c>
      <c r="AF4450" s="54">
        <f>IF(AND(IFERROR(INDEX($A4450:$AB4450,MATCH("Xero Invoice No",$A$1:$AB$1,0)),"")&amp;""&lt;&gt;"",ISNUMBER(AE4450),AD4450&lt;&gt;0),1,0)</f>
        <v/>
      </c>
      <c r="AG4450" s="55">
        <f>IF(AF4450=1,EOMONTH(AE4450,0),"")</f>
        <v/>
      </c>
      <c r="AH4450" s="9">
        <f>IF(AF4450=1,UPPER(TRIM(IFERROR(INDEX($A4450:$AB4450,MATCH("Client",$A$1:$AB$1,0)),"")&amp;"")),"")</f>
        <v/>
      </c>
      <c r="AI4450" s="9">
        <f>IF(AF4450=1,IFERROR(INDEX($A4450:$AB4450,MATCH("Cost Centre",$A$1:$AB$1,0)),"")&amp;"","")</f>
        <v/>
      </c>
      <c r="AJ4450" s="54">
        <f>IF(AND(AF4450=1,AE4450&gt;=set_FYStart,AE4450&lt;=set_AsAt),1,0)</f>
        <v/>
      </c>
      <c r="AK4450" s="54">
        <f>IF(AND(AJ4450=1,AH4450&lt;&gt;"",COUNTIFS($AH$2:AH4450,AH4450,$AJ$2:AJ4450,1)=1),N(AL4449)+1,"")</f>
        <v/>
      </c>
      <c r="AL4450" s="54">
        <f>IF(AK4450&lt;&gt;"",AK4450,N(AL4449))</f>
        <v/>
      </c>
    </row>
    <row r="4451">
      <c r="A4451" t="inlineStr">
        <is>
          <t>ONS-1484</t>
        </is>
      </c>
      <c r="B4451" t="inlineStr">
        <is>
          <t>Onsite</t>
        </is>
      </c>
      <c r="AB4451" t="n">
        <v>1484</v>
      </c>
      <c r="AD4451" s="52">
        <f>IFERROR(N(IFERROR(INDEX($A4451:$AB4451,MATCH("Xero Invoiced Ex GST",$A$1:$AB$1,0)),"")),0)</f>
        <v/>
      </c>
      <c r="AE4451" s="53">
        <f>IFERROR(INDEX($A4451:$AB4451,MATCH("Xero Invoice Date",$A$1:$AB$1,0)),"")</f>
        <v/>
      </c>
      <c r="AF4451" s="54">
        <f>IF(AND(IFERROR(INDEX($A4451:$AB4451,MATCH("Xero Invoice No",$A$1:$AB$1,0)),"")&amp;""&lt;&gt;"",ISNUMBER(AE4451),AD4451&lt;&gt;0),1,0)</f>
        <v/>
      </c>
      <c r="AG4451" s="55">
        <f>IF(AF4451=1,EOMONTH(AE4451,0),"")</f>
        <v/>
      </c>
      <c r="AH4451" s="9">
        <f>IF(AF4451=1,UPPER(TRIM(IFERROR(INDEX($A4451:$AB4451,MATCH("Client",$A$1:$AB$1,0)),"")&amp;"")),"")</f>
        <v/>
      </c>
      <c r="AI4451" s="9">
        <f>IF(AF4451=1,IFERROR(INDEX($A4451:$AB4451,MATCH("Cost Centre",$A$1:$AB$1,0)),"")&amp;"","")</f>
        <v/>
      </c>
      <c r="AJ4451" s="54">
        <f>IF(AND(AF4451=1,AE4451&gt;=set_FYStart,AE4451&lt;=set_AsAt),1,0)</f>
        <v/>
      </c>
      <c r="AK4451" s="54">
        <f>IF(AND(AJ4451=1,AH4451&lt;&gt;"",COUNTIFS($AH$2:AH4451,AH4451,$AJ$2:AJ4451,1)=1),N(AL4450)+1,"")</f>
        <v/>
      </c>
      <c r="AL4451" s="54">
        <f>IF(AK4451&lt;&gt;"",AK4451,N(AL4450))</f>
        <v/>
      </c>
    </row>
    <row r="4452">
      <c r="A4452" t="inlineStr">
        <is>
          <t>PRD-1484</t>
        </is>
      </c>
      <c r="B4452" t="inlineStr">
        <is>
          <t>Production</t>
        </is>
      </c>
      <c r="AB4452" t="n">
        <v>1484</v>
      </c>
      <c r="AD4452" s="52">
        <f>IFERROR(N(IFERROR(INDEX($A4452:$AB4452,MATCH("Xero Invoiced Ex GST",$A$1:$AB$1,0)),"")),0)</f>
        <v/>
      </c>
      <c r="AE4452" s="53">
        <f>IFERROR(INDEX($A4452:$AB4452,MATCH("Xero Invoice Date",$A$1:$AB$1,0)),"")</f>
        <v/>
      </c>
      <c r="AF4452" s="54">
        <f>IF(AND(IFERROR(INDEX($A4452:$AB4452,MATCH("Xero Invoice No",$A$1:$AB$1,0)),"")&amp;""&lt;&gt;"",ISNUMBER(AE4452),AD4452&lt;&gt;0),1,0)</f>
        <v/>
      </c>
      <c r="AG4452" s="55">
        <f>IF(AF4452=1,EOMONTH(AE4452,0),"")</f>
        <v/>
      </c>
      <c r="AH4452" s="9">
        <f>IF(AF4452=1,UPPER(TRIM(IFERROR(INDEX($A4452:$AB4452,MATCH("Client",$A$1:$AB$1,0)),"")&amp;"")),"")</f>
        <v/>
      </c>
      <c r="AI4452" s="9">
        <f>IF(AF4452=1,IFERROR(INDEX($A4452:$AB4452,MATCH("Cost Centre",$A$1:$AB$1,0)),"")&amp;"","")</f>
        <v/>
      </c>
      <c r="AJ4452" s="54">
        <f>IF(AND(AF4452=1,AE4452&gt;=set_FYStart,AE4452&lt;=set_AsAt),1,0)</f>
        <v/>
      </c>
      <c r="AK4452" s="54">
        <f>IF(AND(AJ4452=1,AH4452&lt;&gt;"",COUNTIFS($AH$2:AH4452,AH4452,$AJ$2:AJ4452,1)=1),N(AL4451)+1,"")</f>
        <v/>
      </c>
      <c r="AL4452" s="54">
        <f>IF(AK4452&lt;&gt;"",AK4452,N(AL4451))</f>
        <v/>
      </c>
    </row>
    <row r="4453">
      <c r="A4453" t="inlineStr">
        <is>
          <t>CON-1484</t>
        </is>
      </c>
      <c r="B4453" t="inlineStr">
        <is>
          <t>Consulting</t>
        </is>
      </c>
      <c r="AB4453" t="n">
        <v>1484</v>
      </c>
      <c r="AD4453" s="52">
        <f>IFERROR(N(IFERROR(INDEX($A4453:$AB4453,MATCH("Xero Invoiced Ex GST",$A$1:$AB$1,0)),"")),0)</f>
        <v/>
      </c>
      <c r="AE4453" s="53">
        <f>IFERROR(INDEX($A4453:$AB4453,MATCH("Xero Invoice Date",$A$1:$AB$1,0)),"")</f>
        <v/>
      </c>
      <c r="AF4453" s="54">
        <f>IF(AND(IFERROR(INDEX($A4453:$AB4453,MATCH("Xero Invoice No",$A$1:$AB$1,0)),"")&amp;""&lt;&gt;"",ISNUMBER(AE4453),AD4453&lt;&gt;0),1,0)</f>
        <v/>
      </c>
      <c r="AG4453" s="55">
        <f>IF(AF4453=1,EOMONTH(AE4453,0),"")</f>
        <v/>
      </c>
      <c r="AH4453" s="9">
        <f>IF(AF4453=1,UPPER(TRIM(IFERROR(INDEX($A4453:$AB4453,MATCH("Client",$A$1:$AB$1,0)),"")&amp;"")),"")</f>
        <v/>
      </c>
      <c r="AI4453" s="9">
        <f>IF(AF4453=1,IFERROR(INDEX($A4453:$AB4453,MATCH("Cost Centre",$A$1:$AB$1,0)),"")&amp;"","")</f>
        <v/>
      </c>
      <c r="AJ4453" s="54">
        <f>IF(AND(AF4453=1,AE4453&gt;=set_FYStart,AE4453&lt;=set_AsAt),1,0)</f>
        <v/>
      </c>
      <c r="AK4453" s="54">
        <f>IF(AND(AJ4453=1,AH4453&lt;&gt;"",COUNTIFS($AH$2:AH4453,AH4453,$AJ$2:AJ4453,1)=1),N(AL4452)+1,"")</f>
        <v/>
      </c>
      <c r="AL4453" s="54">
        <f>IF(AK4453&lt;&gt;"",AK4453,N(AL4452))</f>
        <v/>
      </c>
    </row>
    <row r="4454">
      <c r="A4454" t="inlineStr">
        <is>
          <t>ONS-1485</t>
        </is>
      </c>
      <c r="B4454" t="inlineStr">
        <is>
          <t>Onsite</t>
        </is>
      </c>
      <c r="AB4454" t="n">
        <v>1485</v>
      </c>
      <c r="AD4454" s="52">
        <f>IFERROR(N(IFERROR(INDEX($A4454:$AB4454,MATCH("Xero Invoiced Ex GST",$A$1:$AB$1,0)),"")),0)</f>
        <v/>
      </c>
      <c r="AE4454" s="53">
        <f>IFERROR(INDEX($A4454:$AB4454,MATCH("Xero Invoice Date",$A$1:$AB$1,0)),"")</f>
        <v/>
      </c>
      <c r="AF4454" s="54">
        <f>IF(AND(IFERROR(INDEX($A4454:$AB4454,MATCH("Xero Invoice No",$A$1:$AB$1,0)),"")&amp;""&lt;&gt;"",ISNUMBER(AE4454),AD4454&lt;&gt;0),1,0)</f>
        <v/>
      </c>
      <c r="AG4454" s="55">
        <f>IF(AF4454=1,EOMONTH(AE4454,0),"")</f>
        <v/>
      </c>
      <c r="AH4454" s="9">
        <f>IF(AF4454=1,UPPER(TRIM(IFERROR(INDEX($A4454:$AB4454,MATCH("Client",$A$1:$AB$1,0)),"")&amp;"")),"")</f>
        <v/>
      </c>
      <c r="AI4454" s="9">
        <f>IF(AF4454=1,IFERROR(INDEX($A4454:$AB4454,MATCH("Cost Centre",$A$1:$AB$1,0)),"")&amp;"","")</f>
        <v/>
      </c>
      <c r="AJ4454" s="54">
        <f>IF(AND(AF4454=1,AE4454&gt;=set_FYStart,AE4454&lt;=set_AsAt),1,0)</f>
        <v/>
      </c>
      <c r="AK4454" s="54">
        <f>IF(AND(AJ4454=1,AH4454&lt;&gt;"",COUNTIFS($AH$2:AH4454,AH4454,$AJ$2:AJ4454,1)=1),N(AL4453)+1,"")</f>
        <v/>
      </c>
      <c r="AL4454" s="54">
        <f>IF(AK4454&lt;&gt;"",AK4454,N(AL4453))</f>
        <v/>
      </c>
    </row>
    <row r="4455">
      <c r="A4455" t="inlineStr">
        <is>
          <t>PRD-1485</t>
        </is>
      </c>
      <c r="B4455" t="inlineStr">
        <is>
          <t>Production</t>
        </is>
      </c>
      <c r="AB4455" t="n">
        <v>1485</v>
      </c>
      <c r="AD4455" s="52">
        <f>IFERROR(N(IFERROR(INDEX($A4455:$AB4455,MATCH("Xero Invoiced Ex GST",$A$1:$AB$1,0)),"")),0)</f>
        <v/>
      </c>
      <c r="AE4455" s="53">
        <f>IFERROR(INDEX($A4455:$AB4455,MATCH("Xero Invoice Date",$A$1:$AB$1,0)),"")</f>
        <v/>
      </c>
      <c r="AF4455" s="54">
        <f>IF(AND(IFERROR(INDEX($A4455:$AB4455,MATCH("Xero Invoice No",$A$1:$AB$1,0)),"")&amp;""&lt;&gt;"",ISNUMBER(AE4455),AD4455&lt;&gt;0),1,0)</f>
        <v/>
      </c>
      <c r="AG4455" s="55">
        <f>IF(AF4455=1,EOMONTH(AE4455,0),"")</f>
        <v/>
      </c>
      <c r="AH4455" s="9">
        <f>IF(AF4455=1,UPPER(TRIM(IFERROR(INDEX($A4455:$AB4455,MATCH("Client",$A$1:$AB$1,0)),"")&amp;"")),"")</f>
        <v/>
      </c>
      <c r="AI4455" s="9">
        <f>IF(AF4455=1,IFERROR(INDEX($A4455:$AB4455,MATCH("Cost Centre",$A$1:$AB$1,0)),"")&amp;"","")</f>
        <v/>
      </c>
      <c r="AJ4455" s="54">
        <f>IF(AND(AF4455=1,AE4455&gt;=set_FYStart,AE4455&lt;=set_AsAt),1,0)</f>
        <v/>
      </c>
      <c r="AK4455" s="54">
        <f>IF(AND(AJ4455=1,AH4455&lt;&gt;"",COUNTIFS($AH$2:AH4455,AH4455,$AJ$2:AJ4455,1)=1),N(AL4454)+1,"")</f>
        <v/>
      </c>
      <c r="AL4455" s="54">
        <f>IF(AK4455&lt;&gt;"",AK4455,N(AL4454))</f>
        <v/>
      </c>
    </row>
    <row r="4456">
      <c r="A4456" t="inlineStr">
        <is>
          <t>CON-1485</t>
        </is>
      </c>
      <c r="B4456" t="inlineStr">
        <is>
          <t>Consulting</t>
        </is>
      </c>
      <c r="AB4456" t="n">
        <v>1485</v>
      </c>
      <c r="AD4456" s="52">
        <f>IFERROR(N(IFERROR(INDEX($A4456:$AB4456,MATCH("Xero Invoiced Ex GST",$A$1:$AB$1,0)),"")),0)</f>
        <v/>
      </c>
      <c r="AE4456" s="53">
        <f>IFERROR(INDEX($A4456:$AB4456,MATCH("Xero Invoice Date",$A$1:$AB$1,0)),"")</f>
        <v/>
      </c>
      <c r="AF4456" s="54">
        <f>IF(AND(IFERROR(INDEX($A4456:$AB4456,MATCH("Xero Invoice No",$A$1:$AB$1,0)),"")&amp;""&lt;&gt;"",ISNUMBER(AE4456),AD4456&lt;&gt;0),1,0)</f>
        <v/>
      </c>
      <c r="AG4456" s="55">
        <f>IF(AF4456=1,EOMONTH(AE4456,0),"")</f>
        <v/>
      </c>
      <c r="AH4456" s="9">
        <f>IF(AF4456=1,UPPER(TRIM(IFERROR(INDEX($A4456:$AB4456,MATCH("Client",$A$1:$AB$1,0)),"")&amp;"")),"")</f>
        <v/>
      </c>
      <c r="AI4456" s="9">
        <f>IF(AF4456=1,IFERROR(INDEX($A4456:$AB4456,MATCH("Cost Centre",$A$1:$AB$1,0)),"")&amp;"","")</f>
        <v/>
      </c>
      <c r="AJ4456" s="54">
        <f>IF(AND(AF4456=1,AE4456&gt;=set_FYStart,AE4456&lt;=set_AsAt),1,0)</f>
        <v/>
      </c>
      <c r="AK4456" s="54">
        <f>IF(AND(AJ4456=1,AH4456&lt;&gt;"",COUNTIFS($AH$2:AH4456,AH4456,$AJ$2:AJ4456,1)=1),N(AL4455)+1,"")</f>
        <v/>
      </c>
      <c r="AL4456" s="54">
        <f>IF(AK4456&lt;&gt;"",AK4456,N(AL4455))</f>
        <v/>
      </c>
    </row>
    <row r="4457">
      <c r="A4457" t="inlineStr">
        <is>
          <t>ONS-1486</t>
        </is>
      </c>
      <c r="B4457" t="inlineStr">
        <is>
          <t>Onsite</t>
        </is>
      </c>
      <c r="AB4457" t="n">
        <v>1486</v>
      </c>
      <c r="AD4457" s="52">
        <f>IFERROR(N(IFERROR(INDEX($A4457:$AB4457,MATCH("Xero Invoiced Ex GST",$A$1:$AB$1,0)),"")),0)</f>
        <v/>
      </c>
      <c r="AE4457" s="53">
        <f>IFERROR(INDEX($A4457:$AB4457,MATCH("Xero Invoice Date",$A$1:$AB$1,0)),"")</f>
        <v/>
      </c>
      <c r="AF4457" s="54">
        <f>IF(AND(IFERROR(INDEX($A4457:$AB4457,MATCH("Xero Invoice No",$A$1:$AB$1,0)),"")&amp;""&lt;&gt;"",ISNUMBER(AE4457),AD4457&lt;&gt;0),1,0)</f>
        <v/>
      </c>
      <c r="AG4457" s="55">
        <f>IF(AF4457=1,EOMONTH(AE4457,0),"")</f>
        <v/>
      </c>
      <c r="AH4457" s="9">
        <f>IF(AF4457=1,UPPER(TRIM(IFERROR(INDEX($A4457:$AB4457,MATCH("Client",$A$1:$AB$1,0)),"")&amp;"")),"")</f>
        <v/>
      </c>
      <c r="AI4457" s="9">
        <f>IF(AF4457=1,IFERROR(INDEX($A4457:$AB4457,MATCH("Cost Centre",$A$1:$AB$1,0)),"")&amp;"","")</f>
        <v/>
      </c>
      <c r="AJ4457" s="54">
        <f>IF(AND(AF4457=1,AE4457&gt;=set_FYStart,AE4457&lt;=set_AsAt),1,0)</f>
        <v/>
      </c>
      <c r="AK4457" s="54">
        <f>IF(AND(AJ4457=1,AH4457&lt;&gt;"",COUNTIFS($AH$2:AH4457,AH4457,$AJ$2:AJ4457,1)=1),N(AL4456)+1,"")</f>
        <v/>
      </c>
      <c r="AL4457" s="54">
        <f>IF(AK4457&lt;&gt;"",AK4457,N(AL4456))</f>
        <v/>
      </c>
    </row>
    <row r="4458">
      <c r="A4458" t="inlineStr">
        <is>
          <t>PRD-1486</t>
        </is>
      </c>
      <c r="B4458" t="inlineStr">
        <is>
          <t>Production</t>
        </is>
      </c>
      <c r="AB4458" t="n">
        <v>1486</v>
      </c>
      <c r="AD4458" s="52">
        <f>IFERROR(N(IFERROR(INDEX($A4458:$AB4458,MATCH("Xero Invoiced Ex GST",$A$1:$AB$1,0)),"")),0)</f>
        <v/>
      </c>
      <c r="AE4458" s="53">
        <f>IFERROR(INDEX($A4458:$AB4458,MATCH("Xero Invoice Date",$A$1:$AB$1,0)),"")</f>
        <v/>
      </c>
      <c r="AF4458" s="54">
        <f>IF(AND(IFERROR(INDEX($A4458:$AB4458,MATCH("Xero Invoice No",$A$1:$AB$1,0)),"")&amp;""&lt;&gt;"",ISNUMBER(AE4458),AD4458&lt;&gt;0),1,0)</f>
        <v/>
      </c>
      <c r="AG4458" s="55">
        <f>IF(AF4458=1,EOMONTH(AE4458,0),"")</f>
        <v/>
      </c>
      <c r="AH4458" s="9">
        <f>IF(AF4458=1,UPPER(TRIM(IFERROR(INDEX($A4458:$AB4458,MATCH("Client",$A$1:$AB$1,0)),"")&amp;"")),"")</f>
        <v/>
      </c>
      <c r="AI4458" s="9">
        <f>IF(AF4458=1,IFERROR(INDEX($A4458:$AB4458,MATCH("Cost Centre",$A$1:$AB$1,0)),"")&amp;"","")</f>
        <v/>
      </c>
      <c r="AJ4458" s="54">
        <f>IF(AND(AF4458=1,AE4458&gt;=set_FYStart,AE4458&lt;=set_AsAt),1,0)</f>
        <v/>
      </c>
      <c r="AK4458" s="54">
        <f>IF(AND(AJ4458=1,AH4458&lt;&gt;"",COUNTIFS($AH$2:AH4458,AH4458,$AJ$2:AJ4458,1)=1),N(AL4457)+1,"")</f>
        <v/>
      </c>
      <c r="AL4458" s="54">
        <f>IF(AK4458&lt;&gt;"",AK4458,N(AL4457))</f>
        <v/>
      </c>
    </row>
    <row r="4459">
      <c r="A4459" t="inlineStr">
        <is>
          <t>CON-1486</t>
        </is>
      </c>
      <c r="B4459" t="inlineStr">
        <is>
          <t>Consulting</t>
        </is>
      </c>
      <c r="AB4459" t="n">
        <v>1486</v>
      </c>
      <c r="AD4459" s="52">
        <f>IFERROR(N(IFERROR(INDEX($A4459:$AB4459,MATCH("Xero Invoiced Ex GST",$A$1:$AB$1,0)),"")),0)</f>
        <v/>
      </c>
      <c r="AE4459" s="53">
        <f>IFERROR(INDEX($A4459:$AB4459,MATCH("Xero Invoice Date",$A$1:$AB$1,0)),"")</f>
        <v/>
      </c>
      <c r="AF4459" s="54">
        <f>IF(AND(IFERROR(INDEX($A4459:$AB4459,MATCH("Xero Invoice No",$A$1:$AB$1,0)),"")&amp;""&lt;&gt;"",ISNUMBER(AE4459),AD4459&lt;&gt;0),1,0)</f>
        <v/>
      </c>
      <c r="AG4459" s="55">
        <f>IF(AF4459=1,EOMONTH(AE4459,0),"")</f>
        <v/>
      </c>
      <c r="AH4459" s="9">
        <f>IF(AF4459=1,UPPER(TRIM(IFERROR(INDEX($A4459:$AB4459,MATCH("Client",$A$1:$AB$1,0)),"")&amp;"")),"")</f>
        <v/>
      </c>
      <c r="AI4459" s="9">
        <f>IF(AF4459=1,IFERROR(INDEX($A4459:$AB4459,MATCH("Cost Centre",$A$1:$AB$1,0)),"")&amp;"","")</f>
        <v/>
      </c>
      <c r="AJ4459" s="54">
        <f>IF(AND(AF4459=1,AE4459&gt;=set_FYStart,AE4459&lt;=set_AsAt),1,0)</f>
        <v/>
      </c>
      <c r="AK4459" s="54">
        <f>IF(AND(AJ4459=1,AH4459&lt;&gt;"",COUNTIFS($AH$2:AH4459,AH4459,$AJ$2:AJ4459,1)=1),N(AL4458)+1,"")</f>
        <v/>
      </c>
      <c r="AL4459" s="54">
        <f>IF(AK4459&lt;&gt;"",AK4459,N(AL4458))</f>
        <v/>
      </c>
    </row>
    <row r="4460">
      <c r="A4460" t="inlineStr">
        <is>
          <t>ONS-1487</t>
        </is>
      </c>
      <c r="B4460" t="inlineStr">
        <is>
          <t>Onsite</t>
        </is>
      </c>
      <c r="AB4460" t="n">
        <v>1487</v>
      </c>
      <c r="AD4460" s="52">
        <f>IFERROR(N(IFERROR(INDEX($A4460:$AB4460,MATCH("Xero Invoiced Ex GST",$A$1:$AB$1,0)),"")),0)</f>
        <v/>
      </c>
      <c r="AE4460" s="53">
        <f>IFERROR(INDEX($A4460:$AB4460,MATCH("Xero Invoice Date",$A$1:$AB$1,0)),"")</f>
        <v/>
      </c>
      <c r="AF4460" s="54">
        <f>IF(AND(IFERROR(INDEX($A4460:$AB4460,MATCH("Xero Invoice No",$A$1:$AB$1,0)),"")&amp;""&lt;&gt;"",ISNUMBER(AE4460),AD4460&lt;&gt;0),1,0)</f>
        <v/>
      </c>
      <c r="AG4460" s="55">
        <f>IF(AF4460=1,EOMONTH(AE4460,0),"")</f>
        <v/>
      </c>
      <c r="AH4460" s="9">
        <f>IF(AF4460=1,UPPER(TRIM(IFERROR(INDEX($A4460:$AB4460,MATCH("Client",$A$1:$AB$1,0)),"")&amp;"")),"")</f>
        <v/>
      </c>
      <c r="AI4460" s="9">
        <f>IF(AF4460=1,IFERROR(INDEX($A4460:$AB4460,MATCH("Cost Centre",$A$1:$AB$1,0)),"")&amp;"","")</f>
        <v/>
      </c>
      <c r="AJ4460" s="54">
        <f>IF(AND(AF4460=1,AE4460&gt;=set_FYStart,AE4460&lt;=set_AsAt),1,0)</f>
        <v/>
      </c>
      <c r="AK4460" s="54">
        <f>IF(AND(AJ4460=1,AH4460&lt;&gt;"",COUNTIFS($AH$2:AH4460,AH4460,$AJ$2:AJ4460,1)=1),N(AL4459)+1,"")</f>
        <v/>
      </c>
      <c r="AL4460" s="54">
        <f>IF(AK4460&lt;&gt;"",AK4460,N(AL4459))</f>
        <v/>
      </c>
    </row>
    <row r="4461">
      <c r="A4461" t="inlineStr">
        <is>
          <t>PRD-1487</t>
        </is>
      </c>
      <c r="B4461" t="inlineStr">
        <is>
          <t>Production</t>
        </is>
      </c>
      <c r="AB4461" t="n">
        <v>1487</v>
      </c>
      <c r="AD4461" s="52">
        <f>IFERROR(N(IFERROR(INDEX($A4461:$AB4461,MATCH("Xero Invoiced Ex GST",$A$1:$AB$1,0)),"")),0)</f>
        <v/>
      </c>
      <c r="AE4461" s="53">
        <f>IFERROR(INDEX($A4461:$AB4461,MATCH("Xero Invoice Date",$A$1:$AB$1,0)),"")</f>
        <v/>
      </c>
      <c r="AF4461" s="54">
        <f>IF(AND(IFERROR(INDEX($A4461:$AB4461,MATCH("Xero Invoice No",$A$1:$AB$1,0)),"")&amp;""&lt;&gt;"",ISNUMBER(AE4461),AD4461&lt;&gt;0),1,0)</f>
        <v/>
      </c>
      <c r="AG4461" s="55">
        <f>IF(AF4461=1,EOMONTH(AE4461,0),"")</f>
        <v/>
      </c>
      <c r="AH4461" s="9">
        <f>IF(AF4461=1,UPPER(TRIM(IFERROR(INDEX($A4461:$AB4461,MATCH("Client",$A$1:$AB$1,0)),"")&amp;"")),"")</f>
        <v/>
      </c>
      <c r="AI4461" s="9">
        <f>IF(AF4461=1,IFERROR(INDEX($A4461:$AB4461,MATCH("Cost Centre",$A$1:$AB$1,0)),"")&amp;"","")</f>
        <v/>
      </c>
      <c r="AJ4461" s="54">
        <f>IF(AND(AF4461=1,AE4461&gt;=set_FYStart,AE4461&lt;=set_AsAt),1,0)</f>
        <v/>
      </c>
      <c r="AK4461" s="54">
        <f>IF(AND(AJ4461=1,AH4461&lt;&gt;"",COUNTIFS($AH$2:AH4461,AH4461,$AJ$2:AJ4461,1)=1),N(AL4460)+1,"")</f>
        <v/>
      </c>
      <c r="AL4461" s="54">
        <f>IF(AK4461&lt;&gt;"",AK4461,N(AL4460))</f>
        <v/>
      </c>
    </row>
    <row r="4462">
      <c r="A4462" t="inlineStr">
        <is>
          <t>CON-1487</t>
        </is>
      </c>
      <c r="B4462" t="inlineStr">
        <is>
          <t>Consulting</t>
        </is>
      </c>
      <c r="AB4462" t="n">
        <v>1487</v>
      </c>
      <c r="AD4462" s="52">
        <f>IFERROR(N(IFERROR(INDEX($A4462:$AB4462,MATCH("Xero Invoiced Ex GST",$A$1:$AB$1,0)),"")),0)</f>
        <v/>
      </c>
      <c r="AE4462" s="53">
        <f>IFERROR(INDEX($A4462:$AB4462,MATCH("Xero Invoice Date",$A$1:$AB$1,0)),"")</f>
        <v/>
      </c>
      <c r="AF4462" s="54">
        <f>IF(AND(IFERROR(INDEX($A4462:$AB4462,MATCH("Xero Invoice No",$A$1:$AB$1,0)),"")&amp;""&lt;&gt;"",ISNUMBER(AE4462),AD4462&lt;&gt;0),1,0)</f>
        <v/>
      </c>
      <c r="AG4462" s="55">
        <f>IF(AF4462=1,EOMONTH(AE4462,0),"")</f>
        <v/>
      </c>
      <c r="AH4462" s="9">
        <f>IF(AF4462=1,UPPER(TRIM(IFERROR(INDEX($A4462:$AB4462,MATCH("Client",$A$1:$AB$1,0)),"")&amp;"")),"")</f>
        <v/>
      </c>
      <c r="AI4462" s="9">
        <f>IF(AF4462=1,IFERROR(INDEX($A4462:$AB4462,MATCH("Cost Centre",$A$1:$AB$1,0)),"")&amp;"","")</f>
        <v/>
      </c>
      <c r="AJ4462" s="54">
        <f>IF(AND(AF4462=1,AE4462&gt;=set_FYStart,AE4462&lt;=set_AsAt),1,0)</f>
        <v/>
      </c>
      <c r="AK4462" s="54">
        <f>IF(AND(AJ4462=1,AH4462&lt;&gt;"",COUNTIFS($AH$2:AH4462,AH4462,$AJ$2:AJ4462,1)=1),N(AL4461)+1,"")</f>
        <v/>
      </c>
      <c r="AL4462" s="54">
        <f>IF(AK4462&lt;&gt;"",AK4462,N(AL4461))</f>
        <v/>
      </c>
    </row>
    <row r="4463">
      <c r="A4463" t="inlineStr">
        <is>
          <t>ONS-1488</t>
        </is>
      </c>
      <c r="B4463" t="inlineStr">
        <is>
          <t>Onsite</t>
        </is>
      </c>
      <c r="AB4463" t="n">
        <v>1488</v>
      </c>
      <c r="AD4463" s="52">
        <f>IFERROR(N(IFERROR(INDEX($A4463:$AB4463,MATCH("Xero Invoiced Ex GST",$A$1:$AB$1,0)),"")),0)</f>
        <v/>
      </c>
      <c r="AE4463" s="53">
        <f>IFERROR(INDEX($A4463:$AB4463,MATCH("Xero Invoice Date",$A$1:$AB$1,0)),"")</f>
        <v/>
      </c>
      <c r="AF4463" s="54">
        <f>IF(AND(IFERROR(INDEX($A4463:$AB4463,MATCH("Xero Invoice No",$A$1:$AB$1,0)),"")&amp;""&lt;&gt;"",ISNUMBER(AE4463),AD4463&lt;&gt;0),1,0)</f>
        <v/>
      </c>
      <c r="AG4463" s="55">
        <f>IF(AF4463=1,EOMONTH(AE4463,0),"")</f>
        <v/>
      </c>
      <c r="AH4463" s="9">
        <f>IF(AF4463=1,UPPER(TRIM(IFERROR(INDEX($A4463:$AB4463,MATCH("Client",$A$1:$AB$1,0)),"")&amp;"")),"")</f>
        <v/>
      </c>
      <c r="AI4463" s="9">
        <f>IF(AF4463=1,IFERROR(INDEX($A4463:$AB4463,MATCH("Cost Centre",$A$1:$AB$1,0)),"")&amp;"","")</f>
        <v/>
      </c>
      <c r="AJ4463" s="54">
        <f>IF(AND(AF4463=1,AE4463&gt;=set_FYStart,AE4463&lt;=set_AsAt),1,0)</f>
        <v/>
      </c>
      <c r="AK4463" s="54">
        <f>IF(AND(AJ4463=1,AH4463&lt;&gt;"",COUNTIFS($AH$2:AH4463,AH4463,$AJ$2:AJ4463,1)=1),N(AL4462)+1,"")</f>
        <v/>
      </c>
      <c r="AL4463" s="54">
        <f>IF(AK4463&lt;&gt;"",AK4463,N(AL4462))</f>
        <v/>
      </c>
    </row>
    <row r="4464">
      <c r="A4464" t="inlineStr">
        <is>
          <t>PRD-1488</t>
        </is>
      </c>
      <c r="B4464" t="inlineStr">
        <is>
          <t>Production</t>
        </is>
      </c>
      <c r="AB4464" t="n">
        <v>1488</v>
      </c>
      <c r="AD4464" s="52">
        <f>IFERROR(N(IFERROR(INDEX($A4464:$AB4464,MATCH("Xero Invoiced Ex GST",$A$1:$AB$1,0)),"")),0)</f>
        <v/>
      </c>
      <c r="AE4464" s="53">
        <f>IFERROR(INDEX($A4464:$AB4464,MATCH("Xero Invoice Date",$A$1:$AB$1,0)),"")</f>
        <v/>
      </c>
      <c r="AF4464" s="54">
        <f>IF(AND(IFERROR(INDEX($A4464:$AB4464,MATCH("Xero Invoice No",$A$1:$AB$1,0)),"")&amp;""&lt;&gt;"",ISNUMBER(AE4464),AD4464&lt;&gt;0),1,0)</f>
        <v/>
      </c>
      <c r="AG4464" s="55">
        <f>IF(AF4464=1,EOMONTH(AE4464,0),"")</f>
        <v/>
      </c>
      <c r="AH4464" s="9">
        <f>IF(AF4464=1,UPPER(TRIM(IFERROR(INDEX($A4464:$AB4464,MATCH("Client",$A$1:$AB$1,0)),"")&amp;"")),"")</f>
        <v/>
      </c>
      <c r="AI4464" s="9">
        <f>IF(AF4464=1,IFERROR(INDEX($A4464:$AB4464,MATCH("Cost Centre",$A$1:$AB$1,0)),"")&amp;"","")</f>
        <v/>
      </c>
      <c r="AJ4464" s="54">
        <f>IF(AND(AF4464=1,AE4464&gt;=set_FYStart,AE4464&lt;=set_AsAt),1,0)</f>
        <v/>
      </c>
      <c r="AK4464" s="54">
        <f>IF(AND(AJ4464=1,AH4464&lt;&gt;"",COUNTIFS($AH$2:AH4464,AH4464,$AJ$2:AJ4464,1)=1),N(AL4463)+1,"")</f>
        <v/>
      </c>
      <c r="AL4464" s="54">
        <f>IF(AK4464&lt;&gt;"",AK4464,N(AL4463))</f>
        <v/>
      </c>
    </row>
    <row r="4465">
      <c r="A4465" t="inlineStr">
        <is>
          <t>CON-1488</t>
        </is>
      </c>
      <c r="B4465" t="inlineStr">
        <is>
          <t>Consulting</t>
        </is>
      </c>
      <c r="AB4465" t="n">
        <v>1488</v>
      </c>
      <c r="AD4465" s="52">
        <f>IFERROR(N(IFERROR(INDEX($A4465:$AB4465,MATCH("Xero Invoiced Ex GST",$A$1:$AB$1,0)),"")),0)</f>
        <v/>
      </c>
      <c r="AE4465" s="53">
        <f>IFERROR(INDEX($A4465:$AB4465,MATCH("Xero Invoice Date",$A$1:$AB$1,0)),"")</f>
        <v/>
      </c>
      <c r="AF4465" s="54">
        <f>IF(AND(IFERROR(INDEX($A4465:$AB4465,MATCH("Xero Invoice No",$A$1:$AB$1,0)),"")&amp;""&lt;&gt;"",ISNUMBER(AE4465),AD4465&lt;&gt;0),1,0)</f>
        <v/>
      </c>
      <c r="AG4465" s="55">
        <f>IF(AF4465=1,EOMONTH(AE4465,0),"")</f>
        <v/>
      </c>
      <c r="AH4465" s="9">
        <f>IF(AF4465=1,UPPER(TRIM(IFERROR(INDEX($A4465:$AB4465,MATCH("Client",$A$1:$AB$1,0)),"")&amp;"")),"")</f>
        <v/>
      </c>
      <c r="AI4465" s="9">
        <f>IF(AF4465=1,IFERROR(INDEX($A4465:$AB4465,MATCH("Cost Centre",$A$1:$AB$1,0)),"")&amp;"","")</f>
        <v/>
      </c>
      <c r="AJ4465" s="54">
        <f>IF(AND(AF4465=1,AE4465&gt;=set_FYStart,AE4465&lt;=set_AsAt),1,0)</f>
        <v/>
      </c>
      <c r="AK4465" s="54">
        <f>IF(AND(AJ4465=1,AH4465&lt;&gt;"",COUNTIFS($AH$2:AH4465,AH4465,$AJ$2:AJ4465,1)=1),N(AL4464)+1,"")</f>
        <v/>
      </c>
      <c r="AL4465" s="54">
        <f>IF(AK4465&lt;&gt;"",AK4465,N(AL4464))</f>
        <v/>
      </c>
    </row>
    <row r="4466">
      <c r="A4466" t="inlineStr">
        <is>
          <t>ONS-1489</t>
        </is>
      </c>
      <c r="B4466" t="inlineStr">
        <is>
          <t>Onsite</t>
        </is>
      </c>
      <c r="AB4466" t="n">
        <v>1489</v>
      </c>
      <c r="AD4466" s="52">
        <f>IFERROR(N(IFERROR(INDEX($A4466:$AB4466,MATCH("Xero Invoiced Ex GST",$A$1:$AB$1,0)),"")),0)</f>
        <v/>
      </c>
      <c r="AE4466" s="53">
        <f>IFERROR(INDEX($A4466:$AB4466,MATCH("Xero Invoice Date",$A$1:$AB$1,0)),"")</f>
        <v/>
      </c>
      <c r="AF4466" s="54">
        <f>IF(AND(IFERROR(INDEX($A4466:$AB4466,MATCH("Xero Invoice No",$A$1:$AB$1,0)),"")&amp;""&lt;&gt;"",ISNUMBER(AE4466),AD4466&lt;&gt;0),1,0)</f>
        <v/>
      </c>
      <c r="AG4466" s="55">
        <f>IF(AF4466=1,EOMONTH(AE4466,0),"")</f>
        <v/>
      </c>
      <c r="AH4466" s="9">
        <f>IF(AF4466=1,UPPER(TRIM(IFERROR(INDEX($A4466:$AB4466,MATCH("Client",$A$1:$AB$1,0)),"")&amp;"")),"")</f>
        <v/>
      </c>
      <c r="AI4466" s="9">
        <f>IF(AF4466=1,IFERROR(INDEX($A4466:$AB4466,MATCH("Cost Centre",$A$1:$AB$1,0)),"")&amp;"","")</f>
        <v/>
      </c>
      <c r="AJ4466" s="54">
        <f>IF(AND(AF4466=1,AE4466&gt;=set_FYStart,AE4466&lt;=set_AsAt),1,0)</f>
        <v/>
      </c>
      <c r="AK4466" s="54">
        <f>IF(AND(AJ4466=1,AH4466&lt;&gt;"",COUNTIFS($AH$2:AH4466,AH4466,$AJ$2:AJ4466,1)=1),N(AL4465)+1,"")</f>
        <v/>
      </c>
      <c r="AL4466" s="54">
        <f>IF(AK4466&lt;&gt;"",AK4466,N(AL4465))</f>
        <v/>
      </c>
    </row>
    <row r="4467">
      <c r="A4467" t="inlineStr">
        <is>
          <t>PRD-1489</t>
        </is>
      </c>
      <c r="B4467" t="inlineStr">
        <is>
          <t>Production</t>
        </is>
      </c>
      <c r="AB4467" t="n">
        <v>1489</v>
      </c>
      <c r="AD4467" s="52">
        <f>IFERROR(N(IFERROR(INDEX($A4467:$AB4467,MATCH("Xero Invoiced Ex GST",$A$1:$AB$1,0)),"")),0)</f>
        <v/>
      </c>
      <c r="AE4467" s="53">
        <f>IFERROR(INDEX($A4467:$AB4467,MATCH("Xero Invoice Date",$A$1:$AB$1,0)),"")</f>
        <v/>
      </c>
      <c r="AF4467" s="54">
        <f>IF(AND(IFERROR(INDEX($A4467:$AB4467,MATCH("Xero Invoice No",$A$1:$AB$1,0)),"")&amp;""&lt;&gt;"",ISNUMBER(AE4467),AD4467&lt;&gt;0),1,0)</f>
        <v/>
      </c>
      <c r="AG4467" s="55">
        <f>IF(AF4467=1,EOMONTH(AE4467,0),"")</f>
        <v/>
      </c>
      <c r="AH4467" s="9">
        <f>IF(AF4467=1,UPPER(TRIM(IFERROR(INDEX($A4467:$AB4467,MATCH("Client",$A$1:$AB$1,0)),"")&amp;"")),"")</f>
        <v/>
      </c>
      <c r="AI4467" s="9">
        <f>IF(AF4467=1,IFERROR(INDEX($A4467:$AB4467,MATCH("Cost Centre",$A$1:$AB$1,0)),"")&amp;"","")</f>
        <v/>
      </c>
      <c r="AJ4467" s="54">
        <f>IF(AND(AF4467=1,AE4467&gt;=set_FYStart,AE4467&lt;=set_AsAt),1,0)</f>
        <v/>
      </c>
      <c r="AK4467" s="54">
        <f>IF(AND(AJ4467=1,AH4467&lt;&gt;"",COUNTIFS($AH$2:AH4467,AH4467,$AJ$2:AJ4467,1)=1),N(AL4466)+1,"")</f>
        <v/>
      </c>
      <c r="AL4467" s="54">
        <f>IF(AK4467&lt;&gt;"",AK4467,N(AL4466))</f>
        <v/>
      </c>
    </row>
    <row r="4468">
      <c r="A4468" t="inlineStr">
        <is>
          <t>CON-1489</t>
        </is>
      </c>
      <c r="B4468" t="inlineStr">
        <is>
          <t>Consulting</t>
        </is>
      </c>
      <c r="AB4468" t="n">
        <v>1489</v>
      </c>
      <c r="AD4468" s="52">
        <f>IFERROR(N(IFERROR(INDEX($A4468:$AB4468,MATCH("Xero Invoiced Ex GST",$A$1:$AB$1,0)),"")),0)</f>
        <v/>
      </c>
      <c r="AE4468" s="53">
        <f>IFERROR(INDEX($A4468:$AB4468,MATCH("Xero Invoice Date",$A$1:$AB$1,0)),"")</f>
        <v/>
      </c>
      <c r="AF4468" s="54">
        <f>IF(AND(IFERROR(INDEX($A4468:$AB4468,MATCH("Xero Invoice No",$A$1:$AB$1,0)),"")&amp;""&lt;&gt;"",ISNUMBER(AE4468),AD4468&lt;&gt;0),1,0)</f>
        <v/>
      </c>
      <c r="AG4468" s="55">
        <f>IF(AF4468=1,EOMONTH(AE4468,0),"")</f>
        <v/>
      </c>
      <c r="AH4468" s="9">
        <f>IF(AF4468=1,UPPER(TRIM(IFERROR(INDEX($A4468:$AB4468,MATCH("Client",$A$1:$AB$1,0)),"")&amp;"")),"")</f>
        <v/>
      </c>
      <c r="AI4468" s="9">
        <f>IF(AF4468=1,IFERROR(INDEX($A4468:$AB4468,MATCH("Cost Centre",$A$1:$AB$1,0)),"")&amp;"","")</f>
        <v/>
      </c>
      <c r="AJ4468" s="54">
        <f>IF(AND(AF4468=1,AE4468&gt;=set_FYStart,AE4468&lt;=set_AsAt),1,0)</f>
        <v/>
      </c>
      <c r="AK4468" s="54">
        <f>IF(AND(AJ4468=1,AH4468&lt;&gt;"",COUNTIFS($AH$2:AH4468,AH4468,$AJ$2:AJ4468,1)=1),N(AL4467)+1,"")</f>
        <v/>
      </c>
      <c r="AL4468" s="54">
        <f>IF(AK4468&lt;&gt;"",AK4468,N(AL4467))</f>
        <v/>
      </c>
    </row>
    <row r="4469">
      <c r="A4469" t="inlineStr">
        <is>
          <t>ONS-1490</t>
        </is>
      </c>
      <c r="B4469" t="inlineStr">
        <is>
          <t>Onsite</t>
        </is>
      </c>
      <c r="AB4469" t="n">
        <v>1490</v>
      </c>
      <c r="AD4469" s="52">
        <f>IFERROR(N(IFERROR(INDEX($A4469:$AB4469,MATCH("Xero Invoiced Ex GST",$A$1:$AB$1,0)),"")),0)</f>
        <v/>
      </c>
      <c r="AE4469" s="53">
        <f>IFERROR(INDEX($A4469:$AB4469,MATCH("Xero Invoice Date",$A$1:$AB$1,0)),"")</f>
        <v/>
      </c>
      <c r="AF4469" s="54">
        <f>IF(AND(IFERROR(INDEX($A4469:$AB4469,MATCH("Xero Invoice No",$A$1:$AB$1,0)),"")&amp;""&lt;&gt;"",ISNUMBER(AE4469),AD4469&lt;&gt;0),1,0)</f>
        <v/>
      </c>
      <c r="AG4469" s="55">
        <f>IF(AF4469=1,EOMONTH(AE4469,0),"")</f>
        <v/>
      </c>
      <c r="AH4469" s="9">
        <f>IF(AF4469=1,UPPER(TRIM(IFERROR(INDEX($A4469:$AB4469,MATCH("Client",$A$1:$AB$1,0)),"")&amp;"")),"")</f>
        <v/>
      </c>
      <c r="AI4469" s="9">
        <f>IF(AF4469=1,IFERROR(INDEX($A4469:$AB4469,MATCH("Cost Centre",$A$1:$AB$1,0)),"")&amp;"","")</f>
        <v/>
      </c>
      <c r="AJ4469" s="54">
        <f>IF(AND(AF4469=1,AE4469&gt;=set_FYStart,AE4469&lt;=set_AsAt),1,0)</f>
        <v/>
      </c>
      <c r="AK4469" s="54">
        <f>IF(AND(AJ4469=1,AH4469&lt;&gt;"",COUNTIFS($AH$2:AH4469,AH4469,$AJ$2:AJ4469,1)=1),N(AL4468)+1,"")</f>
        <v/>
      </c>
      <c r="AL4469" s="54">
        <f>IF(AK4469&lt;&gt;"",AK4469,N(AL4468))</f>
        <v/>
      </c>
    </row>
    <row r="4470">
      <c r="A4470" t="inlineStr">
        <is>
          <t>PRD-1490</t>
        </is>
      </c>
      <c r="B4470" t="inlineStr">
        <is>
          <t>Production</t>
        </is>
      </c>
      <c r="AB4470" t="n">
        <v>1490</v>
      </c>
      <c r="AD4470" s="52">
        <f>IFERROR(N(IFERROR(INDEX($A4470:$AB4470,MATCH("Xero Invoiced Ex GST",$A$1:$AB$1,0)),"")),0)</f>
        <v/>
      </c>
      <c r="AE4470" s="53">
        <f>IFERROR(INDEX($A4470:$AB4470,MATCH("Xero Invoice Date",$A$1:$AB$1,0)),"")</f>
        <v/>
      </c>
      <c r="AF4470" s="54">
        <f>IF(AND(IFERROR(INDEX($A4470:$AB4470,MATCH("Xero Invoice No",$A$1:$AB$1,0)),"")&amp;""&lt;&gt;"",ISNUMBER(AE4470),AD4470&lt;&gt;0),1,0)</f>
        <v/>
      </c>
      <c r="AG4470" s="55">
        <f>IF(AF4470=1,EOMONTH(AE4470,0),"")</f>
        <v/>
      </c>
      <c r="AH4470" s="9">
        <f>IF(AF4470=1,UPPER(TRIM(IFERROR(INDEX($A4470:$AB4470,MATCH("Client",$A$1:$AB$1,0)),"")&amp;"")),"")</f>
        <v/>
      </c>
      <c r="AI4470" s="9">
        <f>IF(AF4470=1,IFERROR(INDEX($A4470:$AB4470,MATCH("Cost Centre",$A$1:$AB$1,0)),"")&amp;"","")</f>
        <v/>
      </c>
      <c r="AJ4470" s="54">
        <f>IF(AND(AF4470=1,AE4470&gt;=set_FYStart,AE4470&lt;=set_AsAt),1,0)</f>
        <v/>
      </c>
      <c r="AK4470" s="54">
        <f>IF(AND(AJ4470=1,AH4470&lt;&gt;"",COUNTIFS($AH$2:AH4470,AH4470,$AJ$2:AJ4470,1)=1),N(AL4469)+1,"")</f>
        <v/>
      </c>
      <c r="AL4470" s="54">
        <f>IF(AK4470&lt;&gt;"",AK4470,N(AL4469))</f>
        <v/>
      </c>
    </row>
    <row r="4471">
      <c r="A4471" t="inlineStr">
        <is>
          <t>CON-1490</t>
        </is>
      </c>
      <c r="B4471" t="inlineStr">
        <is>
          <t>Consulting</t>
        </is>
      </c>
      <c r="AB4471" t="n">
        <v>1490</v>
      </c>
      <c r="AD4471" s="52">
        <f>IFERROR(N(IFERROR(INDEX($A4471:$AB4471,MATCH("Xero Invoiced Ex GST",$A$1:$AB$1,0)),"")),0)</f>
        <v/>
      </c>
      <c r="AE4471" s="53">
        <f>IFERROR(INDEX($A4471:$AB4471,MATCH("Xero Invoice Date",$A$1:$AB$1,0)),"")</f>
        <v/>
      </c>
      <c r="AF4471" s="54">
        <f>IF(AND(IFERROR(INDEX($A4471:$AB4471,MATCH("Xero Invoice No",$A$1:$AB$1,0)),"")&amp;""&lt;&gt;"",ISNUMBER(AE4471),AD4471&lt;&gt;0),1,0)</f>
        <v/>
      </c>
      <c r="AG4471" s="55">
        <f>IF(AF4471=1,EOMONTH(AE4471,0),"")</f>
        <v/>
      </c>
      <c r="AH4471" s="9">
        <f>IF(AF4471=1,UPPER(TRIM(IFERROR(INDEX($A4471:$AB4471,MATCH("Client",$A$1:$AB$1,0)),"")&amp;"")),"")</f>
        <v/>
      </c>
      <c r="AI4471" s="9">
        <f>IF(AF4471=1,IFERROR(INDEX($A4471:$AB4471,MATCH("Cost Centre",$A$1:$AB$1,0)),"")&amp;"","")</f>
        <v/>
      </c>
      <c r="AJ4471" s="54">
        <f>IF(AND(AF4471=1,AE4471&gt;=set_FYStart,AE4471&lt;=set_AsAt),1,0)</f>
        <v/>
      </c>
      <c r="AK4471" s="54">
        <f>IF(AND(AJ4471=1,AH4471&lt;&gt;"",COUNTIFS($AH$2:AH4471,AH4471,$AJ$2:AJ4471,1)=1),N(AL4470)+1,"")</f>
        <v/>
      </c>
      <c r="AL4471" s="54">
        <f>IF(AK4471&lt;&gt;"",AK4471,N(AL4470))</f>
        <v/>
      </c>
    </row>
    <row r="4472">
      <c r="A4472" t="inlineStr">
        <is>
          <t>ONS-1491</t>
        </is>
      </c>
      <c r="B4472" t="inlineStr">
        <is>
          <t>Onsite</t>
        </is>
      </c>
      <c r="AB4472" t="n">
        <v>1491</v>
      </c>
      <c r="AD4472" s="52">
        <f>IFERROR(N(IFERROR(INDEX($A4472:$AB4472,MATCH("Xero Invoiced Ex GST",$A$1:$AB$1,0)),"")),0)</f>
        <v/>
      </c>
      <c r="AE4472" s="53">
        <f>IFERROR(INDEX($A4472:$AB4472,MATCH("Xero Invoice Date",$A$1:$AB$1,0)),"")</f>
        <v/>
      </c>
      <c r="AF4472" s="54">
        <f>IF(AND(IFERROR(INDEX($A4472:$AB4472,MATCH("Xero Invoice No",$A$1:$AB$1,0)),"")&amp;""&lt;&gt;"",ISNUMBER(AE4472),AD4472&lt;&gt;0),1,0)</f>
        <v/>
      </c>
      <c r="AG4472" s="55">
        <f>IF(AF4472=1,EOMONTH(AE4472,0),"")</f>
        <v/>
      </c>
      <c r="AH4472" s="9">
        <f>IF(AF4472=1,UPPER(TRIM(IFERROR(INDEX($A4472:$AB4472,MATCH("Client",$A$1:$AB$1,0)),"")&amp;"")),"")</f>
        <v/>
      </c>
      <c r="AI4472" s="9">
        <f>IF(AF4472=1,IFERROR(INDEX($A4472:$AB4472,MATCH("Cost Centre",$A$1:$AB$1,0)),"")&amp;"","")</f>
        <v/>
      </c>
      <c r="AJ4472" s="54">
        <f>IF(AND(AF4472=1,AE4472&gt;=set_FYStart,AE4472&lt;=set_AsAt),1,0)</f>
        <v/>
      </c>
      <c r="AK4472" s="54">
        <f>IF(AND(AJ4472=1,AH4472&lt;&gt;"",COUNTIFS($AH$2:AH4472,AH4472,$AJ$2:AJ4472,1)=1),N(AL4471)+1,"")</f>
        <v/>
      </c>
      <c r="AL4472" s="54">
        <f>IF(AK4472&lt;&gt;"",AK4472,N(AL4471))</f>
        <v/>
      </c>
    </row>
    <row r="4473">
      <c r="A4473" t="inlineStr">
        <is>
          <t>PRD-1491</t>
        </is>
      </c>
      <c r="B4473" t="inlineStr">
        <is>
          <t>Production</t>
        </is>
      </c>
      <c r="AB4473" t="n">
        <v>1491</v>
      </c>
      <c r="AD4473" s="52">
        <f>IFERROR(N(IFERROR(INDEX($A4473:$AB4473,MATCH("Xero Invoiced Ex GST",$A$1:$AB$1,0)),"")),0)</f>
        <v/>
      </c>
      <c r="AE4473" s="53">
        <f>IFERROR(INDEX($A4473:$AB4473,MATCH("Xero Invoice Date",$A$1:$AB$1,0)),"")</f>
        <v/>
      </c>
      <c r="AF4473" s="54">
        <f>IF(AND(IFERROR(INDEX($A4473:$AB4473,MATCH("Xero Invoice No",$A$1:$AB$1,0)),"")&amp;""&lt;&gt;"",ISNUMBER(AE4473),AD4473&lt;&gt;0),1,0)</f>
        <v/>
      </c>
      <c r="AG4473" s="55">
        <f>IF(AF4473=1,EOMONTH(AE4473,0),"")</f>
        <v/>
      </c>
      <c r="AH4473" s="9">
        <f>IF(AF4473=1,UPPER(TRIM(IFERROR(INDEX($A4473:$AB4473,MATCH("Client",$A$1:$AB$1,0)),"")&amp;"")),"")</f>
        <v/>
      </c>
      <c r="AI4473" s="9">
        <f>IF(AF4473=1,IFERROR(INDEX($A4473:$AB4473,MATCH("Cost Centre",$A$1:$AB$1,0)),"")&amp;"","")</f>
        <v/>
      </c>
      <c r="AJ4473" s="54">
        <f>IF(AND(AF4473=1,AE4473&gt;=set_FYStart,AE4473&lt;=set_AsAt),1,0)</f>
        <v/>
      </c>
      <c r="AK4473" s="54">
        <f>IF(AND(AJ4473=1,AH4473&lt;&gt;"",COUNTIFS($AH$2:AH4473,AH4473,$AJ$2:AJ4473,1)=1),N(AL4472)+1,"")</f>
        <v/>
      </c>
      <c r="AL4473" s="54">
        <f>IF(AK4473&lt;&gt;"",AK4473,N(AL4472))</f>
        <v/>
      </c>
    </row>
    <row r="4474">
      <c r="A4474" t="inlineStr">
        <is>
          <t>CON-1491</t>
        </is>
      </c>
      <c r="B4474" t="inlineStr">
        <is>
          <t>Consulting</t>
        </is>
      </c>
      <c r="AB4474" t="n">
        <v>1491</v>
      </c>
      <c r="AD4474" s="52">
        <f>IFERROR(N(IFERROR(INDEX($A4474:$AB4474,MATCH("Xero Invoiced Ex GST",$A$1:$AB$1,0)),"")),0)</f>
        <v/>
      </c>
      <c r="AE4474" s="53">
        <f>IFERROR(INDEX($A4474:$AB4474,MATCH("Xero Invoice Date",$A$1:$AB$1,0)),"")</f>
        <v/>
      </c>
      <c r="AF4474" s="54">
        <f>IF(AND(IFERROR(INDEX($A4474:$AB4474,MATCH("Xero Invoice No",$A$1:$AB$1,0)),"")&amp;""&lt;&gt;"",ISNUMBER(AE4474),AD4474&lt;&gt;0),1,0)</f>
        <v/>
      </c>
      <c r="AG4474" s="55">
        <f>IF(AF4474=1,EOMONTH(AE4474,0),"")</f>
        <v/>
      </c>
      <c r="AH4474" s="9">
        <f>IF(AF4474=1,UPPER(TRIM(IFERROR(INDEX($A4474:$AB4474,MATCH("Client",$A$1:$AB$1,0)),"")&amp;"")),"")</f>
        <v/>
      </c>
      <c r="AI4474" s="9">
        <f>IF(AF4474=1,IFERROR(INDEX($A4474:$AB4474,MATCH("Cost Centre",$A$1:$AB$1,0)),"")&amp;"","")</f>
        <v/>
      </c>
      <c r="AJ4474" s="54">
        <f>IF(AND(AF4474=1,AE4474&gt;=set_FYStart,AE4474&lt;=set_AsAt),1,0)</f>
        <v/>
      </c>
      <c r="AK4474" s="54">
        <f>IF(AND(AJ4474=1,AH4474&lt;&gt;"",COUNTIFS($AH$2:AH4474,AH4474,$AJ$2:AJ4474,1)=1),N(AL4473)+1,"")</f>
        <v/>
      </c>
      <c r="AL4474" s="54">
        <f>IF(AK4474&lt;&gt;"",AK4474,N(AL4473))</f>
        <v/>
      </c>
    </row>
    <row r="4475">
      <c r="A4475" t="inlineStr">
        <is>
          <t>ONS-1492</t>
        </is>
      </c>
      <c r="B4475" t="inlineStr">
        <is>
          <t>Onsite</t>
        </is>
      </c>
      <c r="AB4475" t="n">
        <v>1492</v>
      </c>
      <c r="AD4475" s="52">
        <f>IFERROR(N(IFERROR(INDEX($A4475:$AB4475,MATCH("Xero Invoiced Ex GST",$A$1:$AB$1,0)),"")),0)</f>
        <v/>
      </c>
      <c r="AE4475" s="53">
        <f>IFERROR(INDEX($A4475:$AB4475,MATCH("Xero Invoice Date",$A$1:$AB$1,0)),"")</f>
        <v/>
      </c>
      <c r="AF4475" s="54">
        <f>IF(AND(IFERROR(INDEX($A4475:$AB4475,MATCH("Xero Invoice No",$A$1:$AB$1,0)),"")&amp;""&lt;&gt;"",ISNUMBER(AE4475),AD4475&lt;&gt;0),1,0)</f>
        <v/>
      </c>
      <c r="AG4475" s="55">
        <f>IF(AF4475=1,EOMONTH(AE4475,0),"")</f>
        <v/>
      </c>
      <c r="AH4475" s="9">
        <f>IF(AF4475=1,UPPER(TRIM(IFERROR(INDEX($A4475:$AB4475,MATCH("Client",$A$1:$AB$1,0)),"")&amp;"")),"")</f>
        <v/>
      </c>
      <c r="AI4475" s="9">
        <f>IF(AF4475=1,IFERROR(INDEX($A4475:$AB4475,MATCH("Cost Centre",$A$1:$AB$1,0)),"")&amp;"","")</f>
        <v/>
      </c>
      <c r="AJ4475" s="54">
        <f>IF(AND(AF4475=1,AE4475&gt;=set_FYStart,AE4475&lt;=set_AsAt),1,0)</f>
        <v/>
      </c>
      <c r="AK4475" s="54">
        <f>IF(AND(AJ4475=1,AH4475&lt;&gt;"",COUNTIFS($AH$2:AH4475,AH4475,$AJ$2:AJ4475,1)=1),N(AL4474)+1,"")</f>
        <v/>
      </c>
      <c r="AL4475" s="54">
        <f>IF(AK4475&lt;&gt;"",AK4475,N(AL4474))</f>
        <v/>
      </c>
    </row>
    <row r="4476">
      <c r="A4476" t="inlineStr">
        <is>
          <t>PRD-1492</t>
        </is>
      </c>
      <c r="B4476" t="inlineStr">
        <is>
          <t>Production</t>
        </is>
      </c>
      <c r="AB4476" t="n">
        <v>1492</v>
      </c>
      <c r="AD4476" s="52">
        <f>IFERROR(N(IFERROR(INDEX($A4476:$AB4476,MATCH("Xero Invoiced Ex GST",$A$1:$AB$1,0)),"")),0)</f>
        <v/>
      </c>
      <c r="AE4476" s="53">
        <f>IFERROR(INDEX($A4476:$AB4476,MATCH("Xero Invoice Date",$A$1:$AB$1,0)),"")</f>
        <v/>
      </c>
      <c r="AF4476" s="54">
        <f>IF(AND(IFERROR(INDEX($A4476:$AB4476,MATCH("Xero Invoice No",$A$1:$AB$1,0)),"")&amp;""&lt;&gt;"",ISNUMBER(AE4476),AD4476&lt;&gt;0),1,0)</f>
        <v/>
      </c>
      <c r="AG4476" s="55">
        <f>IF(AF4476=1,EOMONTH(AE4476,0),"")</f>
        <v/>
      </c>
      <c r="AH4476" s="9">
        <f>IF(AF4476=1,UPPER(TRIM(IFERROR(INDEX($A4476:$AB4476,MATCH("Client",$A$1:$AB$1,0)),"")&amp;"")),"")</f>
        <v/>
      </c>
      <c r="AI4476" s="9">
        <f>IF(AF4476=1,IFERROR(INDEX($A4476:$AB4476,MATCH("Cost Centre",$A$1:$AB$1,0)),"")&amp;"","")</f>
        <v/>
      </c>
      <c r="AJ4476" s="54">
        <f>IF(AND(AF4476=1,AE4476&gt;=set_FYStart,AE4476&lt;=set_AsAt),1,0)</f>
        <v/>
      </c>
      <c r="AK4476" s="54">
        <f>IF(AND(AJ4476=1,AH4476&lt;&gt;"",COUNTIFS($AH$2:AH4476,AH4476,$AJ$2:AJ4476,1)=1),N(AL4475)+1,"")</f>
        <v/>
      </c>
      <c r="AL4476" s="54">
        <f>IF(AK4476&lt;&gt;"",AK4476,N(AL4475))</f>
        <v/>
      </c>
    </row>
    <row r="4477">
      <c r="A4477" t="inlineStr">
        <is>
          <t>CON-1492</t>
        </is>
      </c>
      <c r="B4477" t="inlineStr">
        <is>
          <t>Consulting</t>
        </is>
      </c>
      <c r="AB4477" t="n">
        <v>1492</v>
      </c>
      <c r="AD4477" s="52">
        <f>IFERROR(N(IFERROR(INDEX($A4477:$AB4477,MATCH("Xero Invoiced Ex GST",$A$1:$AB$1,0)),"")),0)</f>
        <v/>
      </c>
      <c r="AE4477" s="53">
        <f>IFERROR(INDEX($A4477:$AB4477,MATCH("Xero Invoice Date",$A$1:$AB$1,0)),"")</f>
        <v/>
      </c>
      <c r="AF4477" s="54">
        <f>IF(AND(IFERROR(INDEX($A4477:$AB4477,MATCH("Xero Invoice No",$A$1:$AB$1,0)),"")&amp;""&lt;&gt;"",ISNUMBER(AE4477),AD4477&lt;&gt;0),1,0)</f>
        <v/>
      </c>
      <c r="AG4477" s="55">
        <f>IF(AF4477=1,EOMONTH(AE4477,0),"")</f>
        <v/>
      </c>
      <c r="AH4477" s="9">
        <f>IF(AF4477=1,UPPER(TRIM(IFERROR(INDEX($A4477:$AB4477,MATCH("Client",$A$1:$AB$1,0)),"")&amp;"")),"")</f>
        <v/>
      </c>
      <c r="AI4477" s="9">
        <f>IF(AF4477=1,IFERROR(INDEX($A4477:$AB4477,MATCH("Cost Centre",$A$1:$AB$1,0)),"")&amp;"","")</f>
        <v/>
      </c>
      <c r="AJ4477" s="54">
        <f>IF(AND(AF4477=1,AE4477&gt;=set_FYStart,AE4477&lt;=set_AsAt),1,0)</f>
        <v/>
      </c>
      <c r="AK4477" s="54">
        <f>IF(AND(AJ4477=1,AH4477&lt;&gt;"",COUNTIFS($AH$2:AH4477,AH4477,$AJ$2:AJ4477,1)=1),N(AL4476)+1,"")</f>
        <v/>
      </c>
      <c r="AL4477" s="54">
        <f>IF(AK4477&lt;&gt;"",AK4477,N(AL4476))</f>
        <v/>
      </c>
    </row>
    <row r="4478">
      <c r="A4478" t="inlineStr">
        <is>
          <t>ONS-1493</t>
        </is>
      </c>
      <c r="B4478" t="inlineStr">
        <is>
          <t>Onsite</t>
        </is>
      </c>
      <c r="AB4478" t="n">
        <v>1493</v>
      </c>
      <c r="AD4478" s="52">
        <f>IFERROR(N(IFERROR(INDEX($A4478:$AB4478,MATCH("Xero Invoiced Ex GST",$A$1:$AB$1,0)),"")),0)</f>
        <v/>
      </c>
      <c r="AE4478" s="53">
        <f>IFERROR(INDEX($A4478:$AB4478,MATCH("Xero Invoice Date",$A$1:$AB$1,0)),"")</f>
        <v/>
      </c>
      <c r="AF4478" s="54">
        <f>IF(AND(IFERROR(INDEX($A4478:$AB4478,MATCH("Xero Invoice No",$A$1:$AB$1,0)),"")&amp;""&lt;&gt;"",ISNUMBER(AE4478),AD4478&lt;&gt;0),1,0)</f>
        <v/>
      </c>
      <c r="AG4478" s="55">
        <f>IF(AF4478=1,EOMONTH(AE4478,0),"")</f>
        <v/>
      </c>
      <c r="AH4478" s="9">
        <f>IF(AF4478=1,UPPER(TRIM(IFERROR(INDEX($A4478:$AB4478,MATCH("Client",$A$1:$AB$1,0)),"")&amp;"")),"")</f>
        <v/>
      </c>
      <c r="AI4478" s="9">
        <f>IF(AF4478=1,IFERROR(INDEX($A4478:$AB4478,MATCH("Cost Centre",$A$1:$AB$1,0)),"")&amp;"","")</f>
        <v/>
      </c>
      <c r="AJ4478" s="54">
        <f>IF(AND(AF4478=1,AE4478&gt;=set_FYStart,AE4478&lt;=set_AsAt),1,0)</f>
        <v/>
      </c>
      <c r="AK4478" s="54">
        <f>IF(AND(AJ4478=1,AH4478&lt;&gt;"",COUNTIFS($AH$2:AH4478,AH4478,$AJ$2:AJ4478,1)=1),N(AL4477)+1,"")</f>
        <v/>
      </c>
      <c r="AL4478" s="54">
        <f>IF(AK4478&lt;&gt;"",AK4478,N(AL4477))</f>
        <v/>
      </c>
    </row>
    <row r="4479">
      <c r="A4479" t="inlineStr">
        <is>
          <t>PRD-1493</t>
        </is>
      </c>
      <c r="B4479" t="inlineStr">
        <is>
          <t>Production</t>
        </is>
      </c>
      <c r="AB4479" t="n">
        <v>1493</v>
      </c>
      <c r="AD4479" s="52">
        <f>IFERROR(N(IFERROR(INDEX($A4479:$AB4479,MATCH("Xero Invoiced Ex GST",$A$1:$AB$1,0)),"")),0)</f>
        <v/>
      </c>
      <c r="AE4479" s="53">
        <f>IFERROR(INDEX($A4479:$AB4479,MATCH("Xero Invoice Date",$A$1:$AB$1,0)),"")</f>
        <v/>
      </c>
      <c r="AF4479" s="54">
        <f>IF(AND(IFERROR(INDEX($A4479:$AB4479,MATCH("Xero Invoice No",$A$1:$AB$1,0)),"")&amp;""&lt;&gt;"",ISNUMBER(AE4479),AD4479&lt;&gt;0),1,0)</f>
        <v/>
      </c>
      <c r="AG4479" s="55">
        <f>IF(AF4479=1,EOMONTH(AE4479,0),"")</f>
        <v/>
      </c>
      <c r="AH4479" s="9">
        <f>IF(AF4479=1,UPPER(TRIM(IFERROR(INDEX($A4479:$AB4479,MATCH("Client",$A$1:$AB$1,0)),"")&amp;"")),"")</f>
        <v/>
      </c>
      <c r="AI4479" s="9">
        <f>IF(AF4479=1,IFERROR(INDEX($A4479:$AB4479,MATCH("Cost Centre",$A$1:$AB$1,0)),"")&amp;"","")</f>
        <v/>
      </c>
      <c r="AJ4479" s="54">
        <f>IF(AND(AF4479=1,AE4479&gt;=set_FYStart,AE4479&lt;=set_AsAt),1,0)</f>
        <v/>
      </c>
      <c r="AK4479" s="54">
        <f>IF(AND(AJ4479=1,AH4479&lt;&gt;"",COUNTIFS($AH$2:AH4479,AH4479,$AJ$2:AJ4479,1)=1),N(AL4478)+1,"")</f>
        <v/>
      </c>
      <c r="AL4479" s="54">
        <f>IF(AK4479&lt;&gt;"",AK4479,N(AL4478))</f>
        <v/>
      </c>
    </row>
    <row r="4480">
      <c r="A4480" t="inlineStr">
        <is>
          <t>CON-1493</t>
        </is>
      </c>
      <c r="B4480" t="inlineStr">
        <is>
          <t>Consulting</t>
        </is>
      </c>
      <c r="AB4480" t="n">
        <v>1493</v>
      </c>
      <c r="AD4480" s="52">
        <f>IFERROR(N(IFERROR(INDEX($A4480:$AB4480,MATCH("Xero Invoiced Ex GST",$A$1:$AB$1,0)),"")),0)</f>
        <v/>
      </c>
      <c r="AE4480" s="53">
        <f>IFERROR(INDEX($A4480:$AB4480,MATCH("Xero Invoice Date",$A$1:$AB$1,0)),"")</f>
        <v/>
      </c>
      <c r="AF4480" s="54">
        <f>IF(AND(IFERROR(INDEX($A4480:$AB4480,MATCH("Xero Invoice No",$A$1:$AB$1,0)),"")&amp;""&lt;&gt;"",ISNUMBER(AE4480),AD4480&lt;&gt;0),1,0)</f>
        <v/>
      </c>
      <c r="AG4480" s="55">
        <f>IF(AF4480=1,EOMONTH(AE4480,0),"")</f>
        <v/>
      </c>
      <c r="AH4480" s="9">
        <f>IF(AF4480=1,UPPER(TRIM(IFERROR(INDEX($A4480:$AB4480,MATCH("Client",$A$1:$AB$1,0)),"")&amp;"")),"")</f>
        <v/>
      </c>
      <c r="AI4480" s="9">
        <f>IF(AF4480=1,IFERROR(INDEX($A4480:$AB4480,MATCH("Cost Centre",$A$1:$AB$1,0)),"")&amp;"","")</f>
        <v/>
      </c>
      <c r="AJ4480" s="54">
        <f>IF(AND(AF4480=1,AE4480&gt;=set_FYStart,AE4480&lt;=set_AsAt),1,0)</f>
        <v/>
      </c>
      <c r="AK4480" s="54">
        <f>IF(AND(AJ4480=1,AH4480&lt;&gt;"",COUNTIFS($AH$2:AH4480,AH4480,$AJ$2:AJ4480,1)=1),N(AL4479)+1,"")</f>
        <v/>
      </c>
      <c r="AL4480" s="54">
        <f>IF(AK4480&lt;&gt;"",AK4480,N(AL4479))</f>
        <v/>
      </c>
    </row>
    <row r="4481">
      <c r="A4481" t="inlineStr">
        <is>
          <t>ONS-1494</t>
        </is>
      </c>
      <c r="B4481" t="inlineStr">
        <is>
          <t>Onsite</t>
        </is>
      </c>
      <c r="AB4481" t="n">
        <v>1494</v>
      </c>
      <c r="AD4481" s="52">
        <f>IFERROR(N(IFERROR(INDEX($A4481:$AB4481,MATCH("Xero Invoiced Ex GST",$A$1:$AB$1,0)),"")),0)</f>
        <v/>
      </c>
      <c r="AE4481" s="53">
        <f>IFERROR(INDEX($A4481:$AB4481,MATCH("Xero Invoice Date",$A$1:$AB$1,0)),"")</f>
        <v/>
      </c>
      <c r="AF4481" s="54">
        <f>IF(AND(IFERROR(INDEX($A4481:$AB4481,MATCH("Xero Invoice No",$A$1:$AB$1,0)),"")&amp;""&lt;&gt;"",ISNUMBER(AE4481),AD4481&lt;&gt;0),1,0)</f>
        <v/>
      </c>
      <c r="AG4481" s="55">
        <f>IF(AF4481=1,EOMONTH(AE4481,0),"")</f>
        <v/>
      </c>
      <c r="AH4481" s="9">
        <f>IF(AF4481=1,UPPER(TRIM(IFERROR(INDEX($A4481:$AB4481,MATCH("Client",$A$1:$AB$1,0)),"")&amp;"")),"")</f>
        <v/>
      </c>
      <c r="AI4481" s="9">
        <f>IF(AF4481=1,IFERROR(INDEX($A4481:$AB4481,MATCH("Cost Centre",$A$1:$AB$1,0)),"")&amp;"","")</f>
        <v/>
      </c>
      <c r="AJ4481" s="54">
        <f>IF(AND(AF4481=1,AE4481&gt;=set_FYStart,AE4481&lt;=set_AsAt),1,0)</f>
        <v/>
      </c>
      <c r="AK4481" s="54">
        <f>IF(AND(AJ4481=1,AH4481&lt;&gt;"",COUNTIFS($AH$2:AH4481,AH4481,$AJ$2:AJ4481,1)=1),N(AL4480)+1,"")</f>
        <v/>
      </c>
      <c r="AL4481" s="54">
        <f>IF(AK4481&lt;&gt;"",AK4481,N(AL4480))</f>
        <v/>
      </c>
    </row>
    <row r="4482">
      <c r="A4482" t="inlineStr">
        <is>
          <t>PRD-1494</t>
        </is>
      </c>
      <c r="B4482" t="inlineStr">
        <is>
          <t>Production</t>
        </is>
      </c>
      <c r="AB4482" t="n">
        <v>1494</v>
      </c>
      <c r="AD4482" s="52">
        <f>IFERROR(N(IFERROR(INDEX($A4482:$AB4482,MATCH("Xero Invoiced Ex GST",$A$1:$AB$1,0)),"")),0)</f>
        <v/>
      </c>
      <c r="AE4482" s="53">
        <f>IFERROR(INDEX($A4482:$AB4482,MATCH("Xero Invoice Date",$A$1:$AB$1,0)),"")</f>
        <v/>
      </c>
      <c r="AF4482" s="54">
        <f>IF(AND(IFERROR(INDEX($A4482:$AB4482,MATCH("Xero Invoice No",$A$1:$AB$1,0)),"")&amp;""&lt;&gt;"",ISNUMBER(AE4482),AD4482&lt;&gt;0),1,0)</f>
        <v/>
      </c>
      <c r="AG4482" s="55">
        <f>IF(AF4482=1,EOMONTH(AE4482,0),"")</f>
        <v/>
      </c>
      <c r="AH4482" s="9">
        <f>IF(AF4482=1,UPPER(TRIM(IFERROR(INDEX($A4482:$AB4482,MATCH("Client",$A$1:$AB$1,0)),"")&amp;"")),"")</f>
        <v/>
      </c>
      <c r="AI4482" s="9">
        <f>IF(AF4482=1,IFERROR(INDEX($A4482:$AB4482,MATCH("Cost Centre",$A$1:$AB$1,0)),"")&amp;"","")</f>
        <v/>
      </c>
      <c r="AJ4482" s="54">
        <f>IF(AND(AF4482=1,AE4482&gt;=set_FYStart,AE4482&lt;=set_AsAt),1,0)</f>
        <v/>
      </c>
      <c r="AK4482" s="54">
        <f>IF(AND(AJ4482=1,AH4482&lt;&gt;"",COUNTIFS($AH$2:AH4482,AH4482,$AJ$2:AJ4482,1)=1),N(AL4481)+1,"")</f>
        <v/>
      </c>
      <c r="AL4482" s="54">
        <f>IF(AK4482&lt;&gt;"",AK4482,N(AL4481))</f>
        <v/>
      </c>
    </row>
    <row r="4483">
      <c r="A4483" t="inlineStr">
        <is>
          <t>CON-1494</t>
        </is>
      </c>
      <c r="B4483" t="inlineStr">
        <is>
          <t>Consulting</t>
        </is>
      </c>
      <c r="AB4483" t="n">
        <v>1494</v>
      </c>
      <c r="AD4483" s="52">
        <f>IFERROR(N(IFERROR(INDEX($A4483:$AB4483,MATCH("Xero Invoiced Ex GST",$A$1:$AB$1,0)),"")),0)</f>
        <v/>
      </c>
      <c r="AE4483" s="53">
        <f>IFERROR(INDEX($A4483:$AB4483,MATCH("Xero Invoice Date",$A$1:$AB$1,0)),"")</f>
        <v/>
      </c>
      <c r="AF4483" s="54">
        <f>IF(AND(IFERROR(INDEX($A4483:$AB4483,MATCH("Xero Invoice No",$A$1:$AB$1,0)),"")&amp;""&lt;&gt;"",ISNUMBER(AE4483),AD4483&lt;&gt;0),1,0)</f>
        <v/>
      </c>
      <c r="AG4483" s="55">
        <f>IF(AF4483=1,EOMONTH(AE4483,0),"")</f>
        <v/>
      </c>
      <c r="AH4483" s="9">
        <f>IF(AF4483=1,UPPER(TRIM(IFERROR(INDEX($A4483:$AB4483,MATCH("Client",$A$1:$AB$1,0)),"")&amp;"")),"")</f>
        <v/>
      </c>
      <c r="AI4483" s="9">
        <f>IF(AF4483=1,IFERROR(INDEX($A4483:$AB4483,MATCH("Cost Centre",$A$1:$AB$1,0)),"")&amp;"","")</f>
        <v/>
      </c>
      <c r="AJ4483" s="54">
        <f>IF(AND(AF4483=1,AE4483&gt;=set_FYStart,AE4483&lt;=set_AsAt),1,0)</f>
        <v/>
      </c>
      <c r="AK4483" s="54">
        <f>IF(AND(AJ4483=1,AH4483&lt;&gt;"",COUNTIFS($AH$2:AH4483,AH4483,$AJ$2:AJ4483,1)=1),N(AL4482)+1,"")</f>
        <v/>
      </c>
      <c r="AL4483" s="54">
        <f>IF(AK4483&lt;&gt;"",AK4483,N(AL4482))</f>
        <v/>
      </c>
    </row>
    <row r="4484">
      <c r="A4484" t="inlineStr">
        <is>
          <t>ONS-1495</t>
        </is>
      </c>
      <c r="B4484" t="inlineStr">
        <is>
          <t>Onsite</t>
        </is>
      </c>
      <c r="AB4484" t="n">
        <v>1495</v>
      </c>
      <c r="AD4484" s="52">
        <f>IFERROR(N(IFERROR(INDEX($A4484:$AB4484,MATCH("Xero Invoiced Ex GST",$A$1:$AB$1,0)),"")),0)</f>
        <v/>
      </c>
      <c r="AE4484" s="53">
        <f>IFERROR(INDEX($A4484:$AB4484,MATCH("Xero Invoice Date",$A$1:$AB$1,0)),"")</f>
        <v/>
      </c>
      <c r="AF4484" s="54">
        <f>IF(AND(IFERROR(INDEX($A4484:$AB4484,MATCH("Xero Invoice No",$A$1:$AB$1,0)),"")&amp;""&lt;&gt;"",ISNUMBER(AE4484),AD4484&lt;&gt;0),1,0)</f>
        <v/>
      </c>
      <c r="AG4484" s="55">
        <f>IF(AF4484=1,EOMONTH(AE4484,0),"")</f>
        <v/>
      </c>
      <c r="AH4484" s="9">
        <f>IF(AF4484=1,UPPER(TRIM(IFERROR(INDEX($A4484:$AB4484,MATCH("Client",$A$1:$AB$1,0)),"")&amp;"")),"")</f>
        <v/>
      </c>
      <c r="AI4484" s="9">
        <f>IF(AF4484=1,IFERROR(INDEX($A4484:$AB4484,MATCH("Cost Centre",$A$1:$AB$1,0)),"")&amp;"","")</f>
        <v/>
      </c>
      <c r="AJ4484" s="54">
        <f>IF(AND(AF4484=1,AE4484&gt;=set_FYStart,AE4484&lt;=set_AsAt),1,0)</f>
        <v/>
      </c>
      <c r="AK4484" s="54">
        <f>IF(AND(AJ4484=1,AH4484&lt;&gt;"",COUNTIFS($AH$2:AH4484,AH4484,$AJ$2:AJ4484,1)=1),N(AL4483)+1,"")</f>
        <v/>
      </c>
      <c r="AL4484" s="54">
        <f>IF(AK4484&lt;&gt;"",AK4484,N(AL4483))</f>
        <v/>
      </c>
    </row>
    <row r="4485">
      <c r="A4485" t="inlineStr">
        <is>
          <t>PRD-1495</t>
        </is>
      </c>
      <c r="B4485" t="inlineStr">
        <is>
          <t>Production</t>
        </is>
      </c>
      <c r="AB4485" t="n">
        <v>1495</v>
      </c>
      <c r="AD4485" s="52">
        <f>IFERROR(N(IFERROR(INDEX($A4485:$AB4485,MATCH("Xero Invoiced Ex GST",$A$1:$AB$1,0)),"")),0)</f>
        <v/>
      </c>
      <c r="AE4485" s="53">
        <f>IFERROR(INDEX($A4485:$AB4485,MATCH("Xero Invoice Date",$A$1:$AB$1,0)),"")</f>
        <v/>
      </c>
      <c r="AF4485" s="54">
        <f>IF(AND(IFERROR(INDEX($A4485:$AB4485,MATCH("Xero Invoice No",$A$1:$AB$1,0)),"")&amp;""&lt;&gt;"",ISNUMBER(AE4485),AD4485&lt;&gt;0),1,0)</f>
        <v/>
      </c>
      <c r="AG4485" s="55">
        <f>IF(AF4485=1,EOMONTH(AE4485,0),"")</f>
        <v/>
      </c>
      <c r="AH4485" s="9">
        <f>IF(AF4485=1,UPPER(TRIM(IFERROR(INDEX($A4485:$AB4485,MATCH("Client",$A$1:$AB$1,0)),"")&amp;"")),"")</f>
        <v/>
      </c>
      <c r="AI4485" s="9">
        <f>IF(AF4485=1,IFERROR(INDEX($A4485:$AB4485,MATCH("Cost Centre",$A$1:$AB$1,0)),"")&amp;"","")</f>
        <v/>
      </c>
      <c r="AJ4485" s="54">
        <f>IF(AND(AF4485=1,AE4485&gt;=set_FYStart,AE4485&lt;=set_AsAt),1,0)</f>
        <v/>
      </c>
      <c r="AK4485" s="54">
        <f>IF(AND(AJ4485=1,AH4485&lt;&gt;"",COUNTIFS($AH$2:AH4485,AH4485,$AJ$2:AJ4485,1)=1),N(AL4484)+1,"")</f>
        <v/>
      </c>
      <c r="AL4485" s="54">
        <f>IF(AK4485&lt;&gt;"",AK4485,N(AL4484))</f>
        <v/>
      </c>
    </row>
    <row r="4486">
      <c r="A4486" t="inlineStr">
        <is>
          <t>CON-1495</t>
        </is>
      </c>
      <c r="B4486" t="inlineStr">
        <is>
          <t>Consulting</t>
        </is>
      </c>
      <c r="AB4486" t="n">
        <v>1495</v>
      </c>
      <c r="AD4486" s="52">
        <f>IFERROR(N(IFERROR(INDEX($A4486:$AB4486,MATCH("Xero Invoiced Ex GST",$A$1:$AB$1,0)),"")),0)</f>
        <v/>
      </c>
      <c r="AE4486" s="53">
        <f>IFERROR(INDEX($A4486:$AB4486,MATCH("Xero Invoice Date",$A$1:$AB$1,0)),"")</f>
        <v/>
      </c>
      <c r="AF4486" s="54">
        <f>IF(AND(IFERROR(INDEX($A4486:$AB4486,MATCH("Xero Invoice No",$A$1:$AB$1,0)),"")&amp;""&lt;&gt;"",ISNUMBER(AE4486),AD4486&lt;&gt;0),1,0)</f>
        <v/>
      </c>
      <c r="AG4486" s="55">
        <f>IF(AF4486=1,EOMONTH(AE4486,0),"")</f>
        <v/>
      </c>
      <c r="AH4486" s="9">
        <f>IF(AF4486=1,UPPER(TRIM(IFERROR(INDEX($A4486:$AB4486,MATCH("Client",$A$1:$AB$1,0)),"")&amp;"")),"")</f>
        <v/>
      </c>
      <c r="AI4486" s="9">
        <f>IF(AF4486=1,IFERROR(INDEX($A4486:$AB4486,MATCH("Cost Centre",$A$1:$AB$1,0)),"")&amp;"","")</f>
        <v/>
      </c>
      <c r="AJ4486" s="54">
        <f>IF(AND(AF4486=1,AE4486&gt;=set_FYStart,AE4486&lt;=set_AsAt),1,0)</f>
        <v/>
      </c>
      <c r="AK4486" s="54">
        <f>IF(AND(AJ4486=1,AH4486&lt;&gt;"",COUNTIFS($AH$2:AH4486,AH4486,$AJ$2:AJ4486,1)=1),N(AL4485)+1,"")</f>
        <v/>
      </c>
      <c r="AL4486" s="54">
        <f>IF(AK4486&lt;&gt;"",AK4486,N(AL4485))</f>
        <v/>
      </c>
    </row>
    <row r="4487">
      <c r="A4487" t="inlineStr">
        <is>
          <t>ONS-1496</t>
        </is>
      </c>
      <c r="B4487" t="inlineStr">
        <is>
          <t>Onsite</t>
        </is>
      </c>
      <c r="AB4487" t="n">
        <v>1496</v>
      </c>
      <c r="AD4487" s="52">
        <f>IFERROR(N(IFERROR(INDEX($A4487:$AB4487,MATCH("Xero Invoiced Ex GST",$A$1:$AB$1,0)),"")),0)</f>
        <v/>
      </c>
      <c r="AE4487" s="53">
        <f>IFERROR(INDEX($A4487:$AB4487,MATCH("Xero Invoice Date",$A$1:$AB$1,0)),"")</f>
        <v/>
      </c>
      <c r="AF4487" s="54">
        <f>IF(AND(IFERROR(INDEX($A4487:$AB4487,MATCH("Xero Invoice No",$A$1:$AB$1,0)),"")&amp;""&lt;&gt;"",ISNUMBER(AE4487),AD4487&lt;&gt;0),1,0)</f>
        <v/>
      </c>
      <c r="AG4487" s="55">
        <f>IF(AF4487=1,EOMONTH(AE4487,0),"")</f>
        <v/>
      </c>
      <c r="AH4487" s="9">
        <f>IF(AF4487=1,UPPER(TRIM(IFERROR(INDEX($A4487:$AB4487,MATCH("Client",$A$1:$AB$1,0)),"")&amp;"")),"")</f>
        <v/>
      </c>
      <c r="AI4487" s="9">
        <f>IF(AF4487=1,IFERROR(INDEX($A4487:$AB4487,MATCH("Cost Centre",$A$1:$AB$1,0)),"")&amp;"","")</f>
        <v/>
      </c>
      <c r="AJ4487" s="54">
        <f>IF(AND(AF4487=1,AE4487&gt;=set_FYStart,AE4487&lt;=set_AsAt),1,0)</f>
        <v/>
      </c>
      <c r="AK4487" s="54">
        <f>IF(AND(AJ4487=1,AH4487&lt;&gt;"",COUNTIFS($AH$2:AH4487,AH4487,$AJ$2:AJ4487,1)=1),N(AL4486)+1,"")</f>
        <v/>
      </c>
      <c r="AL4487" s="54">
        <f>IF(AK4487&lt;&gt;"",AK4487,N(AL4486))</f>
        <v/>
      </c>
    </row>
    <row r="4488">
      <c r="A4488" t="inlineStr">
        <is>
          <t>PRD-1496</t>
        </is>
      </c>
      <c r="B4488" t="inlineStr">
        <is>
          <t>Production</t>
        </is>
      </c>
      <c r="AB4488" t="n">
        <v>1496</v>
      </c>
      <c r="AD4488" s="52">
        <f>IFERROR(N(IFERROR(INDEX($A4488:$AB4488,MATCH("Xero Invoiced Ex GST",$A$1:$AB$1,0)),"")),0)</f>
        <v/>
      </c>
      <c r="AE4488" s="53">
        <f>IFERROR(INDEX($A4488:$AB4488,MATCH("Xero Invoice Date",$A$1:$AB$1,0)),"")</f>
        <v/>
      </c>
      <c r="AF4488" s="54">
        <f>IF(AND(IFERROR(INDEX($A4488:$AB4488,MATCH("Xero Invoice No",$A$1:$AB$1,0)),"")&amp;""&lt;&gt;"",ISNUMBER(AE4488),AD4488&lt;&gt;0),1,0)</f>
        <v/>
      </c>
      <c r="AG4488" s="55">
        <f>IF(AF4488=1,EOMONTH(AE4488,0),"")</f>
        <v/>
      </c>
      <c r="AH4488" s="9">
        <f>IF(AF4488=1,UPPER(TRIM(IFERROR(INDEX($A4488:$AB4488,MATCH("Client",$A$1:$AB$1,0)),"")&amp;"")),"")</f>
        <v/>
      </c>
      <c r="AI4488" s="9">
        <f>IF(AF4488=1,IFERROR(INDEX($A4488:$AB4488,MATCH("Cost Centre",$A$1:$AB$1,0)),"")&amp;"","")</f>
        <v/>
      </c>
      <c r="AJ4488" s="54">
        <f>IF(AND(AF4488=1,AE4488&gt;=set_FYStart,AE4488&lt;=set_AsAt),1,0)</f>
        <v/>
      </c>
      <c r="AK4488" s="54">
        <f>IF(AND(AJ4488=1,AH4488&lt;&gt;"",COUNTIFS($AH$2:AH4488,AH4488,$AJ$2:AJ4488,1)=1),N(AL4487)+1,"")</f>
        <v/>
      </c>
      <c r="AL4488" s="54">
        <f>IF(AK4488&lt;&gt;"",AK4488,N(AL4487))</f>
        <v/>
      </c>
    </row>
    <row r="4489">
      <c r="A4489" t="inlineStr">
        <is>
          <t>CON-1496</t>
        </is>
      </c>
      <c r="B4489" t="inlineStr">
        <is>
          <t>Consulting</t>
        </is>
      </c>
      <c r="AB4489" t="n">
        <v>1496</v>
      </c>
      <c r="AD4489" s="52">
        <f>IFERROR(N(IFERROR(INDEX($A4489:$AB4489,MATCH("Xero Invoiced Ex GST",$A$1:$AB$1,0)),"")),0)</f>
        <v/>
      </c>
      <c r="AE4489" s="53">
        <f>IFERROR(INDEX($A4489:$AB4489,MATCH("Xero Invoice Date",$A$1:$AB$1,0)),"")</f>
        <v/>
      </c>
      <c r="AF4489" s="54">
        <f>IF(AND(IFERROR(INDEX($A4489:$AB4489,MATCH("Xero Invoice No",$A$1:$AB$1,0)),"")&amp;""&lt;&gt;"",ISNUMBER(AE4489),AD4489&lt;&gt;0),1,0)</f>
        <v/>
      </c>
      <c r="AG4489" s="55">
        <f>IF(AF4489=1,EOMONTH(AE4489,0),"")</f>
        <v/>
      </c>
      <c r="AH4489" s="9">
        <f>IF(AF4489=1,UPPER(TRIM(IFERROR(INDEX($A4489:$AB4489,MATCH("Client",$A$1:$AB$1,0)),"")&amp;"")),"")</f>
        <v/>
      </c>
      <c r="AI4489" s="9">
        <f>IF(AF4489=1,IFERROR(INDEX($A4489:$AB4489,MATCH("Cost Centre",$A$1:$AB$1,0)),"")&amp;"","")</f>
        <v/>
      </c>
      <c r="AJ4489" s="54">
        <f>IF(AND(AF4489=1,AE4489&gt;=set_FYStart,AE4489&lt;=set_AsAt),1,0)</f>
        <v/>
      </c>
      <c r="AK4489" s="54">
        <f>IF(AND(AJ4489=1,AH4489&lt;&gt;"",COUNTIFS($AH$2:AH4489,AH4489,$AJ$2:AJ4489,1)=1),N(AL4488)+1,"")</f>
        <v/>
      </c>
      <c r="AL4489" s="54">
        <f>IF(AK4489&lt;&gt;"",AK4489,N(AL4488))</f>
        <v/>
      </c>
    </row>
    <row r="4490">
      <c r="A4490" t="inlineStr">
        <is>
          <t>ONS-1497</t>
        </is>
      </c>
      <c r="B4490" t="inlineStr">
        <is>
          <t>Onsite</t>
        </is>
      </c>
      <c r="AB4490" t="n">
        <v>1497</v>
      </c>
      <c r="AD4490" s="52">
        <f>IFERROR(N(IFERROR(INDEX($A4490:$AB4490,MATCH("Xero Invoiced Ex GST",$A$1:$AB$1,0)),"")),0)</f>
        <v/>
      </c>
      <c r="AE4490" s="53">
        <f>IFERROR(INDEX($A4490:$AB4490,MATCH("Xero Invoice Date",$A$1:$AB$1,0)),"")</f>
        <v/>
      </c>
      <c r="AF4490" s="54">
        <f>IF(AND(IFERROR(INDEX($A4490:$AB4490,MATCH("Xero Invoice No",$A$1:$AB$1,0)),"")&amp;""&lt;&gt;"",ISNUMBER(AE4490),AD4490&lt;&gt;0),1,0)</f>
        <v/>
      </c>
      <c r="AG4490" s="55">
        <f>IF(AF4490=1,EOMONTH(AE4490,0),"")</f>
        <v/>
      </c>
      <c r="AH4490" s="9">
        <f>IF(AF4490=1,UPPER(TRIM(IFERROR(INDEX($A4490:$AB4490,MATCH("Client",$A$1:$AB$1,0)),"")&amp;"")),"")</f>
        <v/>
      </c>
      <c r="AI4490" s="9">
        <f>IF(AF4490=1,IFERROR(INDEX($A4490:$AB4490,MATCH("Cost Centre",$A$1:$AB$1,0)),"")&amp;"","")</f>
        <v/>
      </c>
      <c r="AJ4490" s="54">
        <f>IF(AND(AF4490=1,AE4490&gt;=set_FYStart,AE4490&lt;=set_AsAt),1,0)</f>
        <v/>
      </c>
      <c r="AK4490" s="54">
        <f>IF(AND(AJ4490=1,AH4490&lt;&gt;"",COUNTIFS($AH$2:AH4490,AH4490,$AJ$2:AJ4490,1)=1),N(AL4489)+1,"")</f>
        <v/>
      </c>
      <c r="AL4490" s="54">
        <f>IF(AK4490&lt;&gt;"",AK4490,N(AL4489))</f>
        <v/>
      </c>
    </row>
    <row r="4491">
      <c r="A4491" t="inlineStr">
        <is>
          <t>PRD-1497</t>
        </is>
      </c>
      <c r="B4491" t="inlineStr">
        <is>
          <t>Production</t>
        </is>
      </c>
      <c r="AB4491" t="n">
        <v>1497</v>
      </c>
      <c r="AD4491" s="52">
        <f>IFERROR(N(IFERROR(INDEX($A4491:$AB4491,MATCH("Xero Invoiced Ex GST",$A$1:$AB$1,0)),"")),0)</f>
        <v/>
      </c>
      <c r="AE4491" s="53">
        <f>IFERROR(INDEX($A4491:$AB4491,MATCH("Xero Invoice Date",$A$1:$AB$1,0)),"")</f>
        <v/>
      </c>
      <c r="AF4491" s="54">
        <f>IF(AND(IFERROR(INDEX($A4491:$AB4491,MATCH("Xero Invoice No",$A$1:$AB$1,0)),"")&amp;""&lt;&gt;"",ISNUMBER(AE4491),AD4491&lt;&gt;0),1,0)</f>
        <v/>
      </c>
      <c r="AG4491" s="55">
        <f>IF(AF4491=1,EOMONTH(AE4491,0),"")</f>
        <v/>
      </c>
      <c r="AH4491" s="9">
        <f>IF(AF4491=1,UPPER(TRIM(IFERROR(INDEX($A4491:$AB4491,MATCH("Client",$A$1:$AB$1,0)),"")&amp;"")),"")</f>
        <v/>
      </c>
      <c r="AI4491" s="9">
        <f>IF(AF4491=1,IFERROR(INDEX($A4491:$AB4491,MATCH("Cost Centre",$A$1:$AB$1,0)),"")&amp;"","")</f>
        <v/>
      </c>
      <c r="AJ4491" s="54">
        <f>IF(AND(AF4491=1,AE4491&gt;=set_FYStart,AE4491&lt;=set_AsAt),1,0)</f>
        <v/>
      </c>
      <c r="AK4491" s="54">
        <f>IF(AND(AJ4491=1,AH4491&lt;&gt;"",COUNTIFS($AH$2:AH4491,AH4491,$AJ$2:AJ4491,1)=1),N(AL4490)+1,"")</f>
        <v/>
      </c>
      <c r="AL4491" s="54">
        <f>IF(AK4491&lt;&gt;"",AK4491,N(AL4490))</f>
        <v/>
      </c>
    </row>
    <row r="4492">
      <c r="A4492" t="inlineStr">
        <is>
          <t>CON-1497</t>
        </is>
      </c>
      <c r="B4492" t="inlineStr">
        <is>
          <t>Consulting</t>
        </is>
      </c>
      <c r="AB4492" t="n">
        <v>1497</v>
      </c>
      <c r="AD4492" s="52">
        <f>IFERROR(N(IFERROR(INDEX($A4492:$AB4492,MATCH("Xero Invoiced Ex GST",$A$1:$AB$1,0)),"")),0)</f>
        <v/>
      </c>
      <c r="AE4492" s="53">
        <f>IFERROR(INDEX($A4492:$AB4492,MATCH("Xero Invoice Date",$A$1:$AB$1,0)),"")</f>
        <v/>
      </c>
      <c r="AF4492" s="54">
        <f>IF(AND(IFERROR(INDEX($A4492:$AB4492,MATCH("Xero Invoice No",$A$1:$AB$1,0)),"")&amp;""&lt;&gt;"",ISNUMBER(AE4492),AD4492&lt;&gt;0),1,0)</f>
        <v/>
      </c>
      <c r="AG4492" s="55">
        <f>IF(AF4492=1,EOMONTH(AE4492,0),"")</f>
        <v/>
      </c>
      <c r="AH4492" s="9">
        <f>IF(AF4492=1,UPPER(TRIM(IFERROR(INDEX($A4492:$AB4492,MATCH("Client",$A$1:$AB$1,0)),"")&amp;"")),"")</f>
        <v/>
      </c>
      <c r="AI4492" s="9">
        <f>IF(AF4492=1,IFERROR(INDEX($A4492:$AB4492,MATCH("Cost Centre",$A$1:$AB$1,0)),"")&amp;"","")</f>
        <v/>
      </c>
      <c r="AJ4492" s="54">
        <f>IF(AND(AF4492=1,AE4492&gt;=set_FYStart,AE4492&lt;=set_AsAt),1,0)</f>
        <v/>
      </c>
      <c r="AK4492" s="54">
        <f>IF(AND(AJ4492=1,AH4492&lt;&gt;"",COUNTIFS($AH$2:AH4492,AH4492,$AJ$2:AJ4492,1)=1),N(AL4491)+1,"")</f>
        <v/>
      </c>
      <c r="AL4492" s="54">
        <f>IF(AK4492&lt;&gt;"",AK4492,N(AL4491))</f>
        <v/>
      </c>
    </row>
    <row r="4493">
      <c r="A4493" t="inlineStr">
        <is>
          <t>ONS-1498</t>
        </is>
      </c>
      <c r="B4493" t="inlineStr">
        <is>
          <t>Onsite</t>
        </is>
      </c>
      <c r="AB4493" t="n">
        <v>1498</v>
      </c>
      <c r="AD4493" s="52">
        <f>IFERROR(N(IFERROR(INDEX($A4493:$AB4493,MATCH("Xero Invoiced Ex GST",$A$1:$AB$1,0)),"")),0)</f>
        <v/>
      </c>
      <c r="AE4493" s="53">
        <f>IFERROR(INDEX($A4493:$AB4493,MATCH("Xero Invoice Date",$A$1:$AB$1,0)),"")</f>
        <v/>
      </c>
      <c r="AF4493" s="54">
        <f>IF(AND(IFERROR(INDEX($A4493:$AB4493,MATCH("Xero Invoice No",$A$1:$AB$1,0)),"")&amp;""&lt;&gt;"",ISNUMBER(AE4493),AD4493&lt;&gt;0),1,0)</f>
        <v/>
      </c>
      <c r="AG4493" s="55">
        <f>IF(AF4493=1,EOMONTH(AE4493,0),"")</f>
        <v/>
      </c>
      <c r="AH4493" s="9">
        <f>IF(AF4493=1,UPPER(TRIM(IFERROR(INDEX($A4493:$AB4493,MATCH("Client",$A$1:$AB$1,0)),"")&amp;"")),"")</f>
        <v/>
      </c>
      <c r="AI4493" s="9">
        <f>IF(AF4493=1,IFERROR(INDEX($A4493:$AB4493,MATCH("Cost Centre",$A$1:$AB$1,0)),"")&amp;"","")</f>
        <v/>
      </c>
      <c r="AJ4493" s="54">
        <f>IF(AND(AF4493=1,AE4493&gt;=set_FYStart,AE4493&lt;=set_AsAt),1,0)</f>
        <v/>
      </c>
      <c r="AK4493" s="54">
        <f>IF(AND(AJ4493=1,AH4493&lt;&gt;"",COUNTIFS($AH$2:AH4493,AH4493,$AJ$2:AJ4493,1)=1),N(AL4492)+1,"")</f>
        <v/>
      </c>
      <c r="AL4493" s="54">
        <f>IF(AK4493&lt;&gt;"",AK4493,N(AL4492))</f>
        <v/>
      </c>
    </row>
    <row r="4494">
      <c r="A4494" t="inlineStr">
        <is>
          <t>PRD-1498</t>
        </is>
      </c>
      <c r="B4494" t="inlineStr">
        <is>
          <t>Production</t>
        </is>
      </c>
      <c r="AB4494" t="n">
        <v>1498</v>
      </c>
      <c r="AD4494" s="52">
        <f>IFERROR(N(IFERROR(INDEX($A4494:$AB4494,MATCH("Xero Invoiced Ex GST",$A$1:$AB$1,0)),"")),0)</f>
        <v/>
      </c>
      <c r="AE4494" s="53">
        <f>IFERROR(INDEX($A4494:$AB4494,MATCH("Xero Invoice Date",$A$1:$AB$1,0)),"")</f>
        <v/>
      </c>
      <c r="AF4494" s="54">
        <f>IF(AND(IFERROR(INDEX($A4494:$AB4494,MATCH("Xero Invoice No",$A$1:$AB$1,0)),"")&amp;""&lt;&gt;"",ISNUMBER(AE4494),AD4494&lt;&gt;0),1,0)</f>
        <v/>
      </c>
      <c r="AG4494" s="55">
        <f>IF(AF4494=1,EOMONTH(AE4494,0),"")</f>
        <v/>
      </c>
      <c r="AH4494" s="9">
        <f>IF(AF4494=1,UPPER(TRIM(IFERROR(INDEX($A4494:$AB4494,MATCH("Client",$A$1:$AB$1,0)),"")&amp;"")),"")</f>
        <v/>
      </c>
      <c r="AI4494" s="9">
        <f>IF(AF4494=1,IFERROR(INDEX($A4494:$AB4494,MATCH("Cost Centre",$A$1:$AB$1,0)),"")&amp;"","")</f>
        <v/>
      </c>
      <c r="AJ4494" s="54">
        <f>IF(AND(AF4494=1,AE4494&gt;=set_FYStart,AE4494&lt;=set_AsAt),1,0)</f>
        <v/>
      </c>
      <c r="AK4494" s="54">
        <f>IF(AND(AJ4494=1,AH4494&lt;&gt;"",COUNTIFS($AH$2:AH4494,AH4494,$AJ$2:AJ4494,1)=1),N(AL4493)+1,"")</f>
        <v/>
      </c>
      <c r="AL4494" s="54">
        <f>IF(AK4494&lt;&gt;"",AK4494,N(AL4493))</f>
        <v/>
      </c>
    </row>
    <row r="4495">
      <c r="A4495" t="inlineStr">
        <is>
          <t>CON-1498</t>
        </is>
      </c>
      <c r="B4495" t="inlineStr">
        <is>
          <t>Consulting</t>
        </is>
      </c>
      <c r="AB4495" t="n">
        <v>1498</v>
      </c>
      <c r="AD4495" s="52">
        <f>IFERROR(N(IFERROR(INDEX($A4495:$AB4495,MATCH("Xero Invoiced Ex GST",$A$1:$AB$1,0)),"")),0)</f>
        <v/>
      </c>
      <c r="AE4495" s="53">
        <f>IFERROR(INDEX($A4495:$AB4495,MATCH("Xero Invoice Date",$A$1:$AB$1,0)),"")</f>
        <v/>
      </c>
      <c r="AF4495" s="54">
        <f>IF(AND(IFERROR(INDEX($A4495:$AB4495,MATCH("Xero Invoice No",$A$1:$AB$1,0)),"")&amp;""&lt;&gt;"",ISNUMBER(AE4495),AD4495&lt;&gt;0),1,0)</f>
        <v/>
      </c>
      <c r="AG4495" s="55">
        <f>IF(AF4495=1,EOMONTH(AE4495,0),"")</f>
        <v/>
      </c>
      <c r="AH4495" s="9">
        <f>IF(AF4495=1,UPPER(TRIM(IFERROR(INDEX($A4495:$AB4495,MATCH("Client",$A$1:$AB$1,0)),"")&amp;"")),"")</f>
        <v/>
      </c>
      <c r="AI4495" s="9">
        <f>IF(AF4495=1,IFERROR(INDEX($A4495:$AB4495,MATCH("Cost Centre",$A$1:$AB$1,0)),"")&amp;"","")</f>
        <v/>
      </c>
      <c r="AJ4495" s="54">
        <f>IF(AND(AF4495=1,AE4495&gt;=set_FYStart,AE4495&lt;=set_AsAt),1,0)</f>
        <v/>
      </c>
      <c r="AK4495" s="54">
        <f>IF(AND(AJ4495=1,AH4495&lt;&gt;"",COUNTIFS($AH$2:AH4495,AH4495,$AJ$2:AJ4495,1)=1),N(AL4494)+1,"")</f>
        <v/>
      </c>
      <c r="AL4495" s="54">
        <f>IF(AK4495&lt;&gt;"",AK4495,N(AL4494))</f>
        <v/>
      </c>
    </row>
    <row r="4496">
      <c r="A4496" t="inlineStr">
        <is>
          <t>ONS-1499</t>
        </is>
      </c>
      <c r="B4496" t="inlineStr">
        <is>
          <t>Onsite</t>
        </is>
      </c>
      <c r="AB4496" t="n">
        <v>1499</v>
      </c>
      <c r="AD4496" s="52">
        <f>IFERROR(N(IFERROR(INDEX($A4496:$AB4496,MATCH("Xero Invoiced Ex GST",$A$1:$AB$1,0)),"")),0)</f>
        <v/>
      </c>
      <c r="AE4496" s="53">
        <f>IFERROR(INDEX($A4496:$AB4496,MATCH("Xero Invoice Date",$A$1:$AB$1,0)),"")</f>
        <v/>
      </c>
      <c r="AF4496" s="54">
        <f>IF(AND(IFERROR(INDEX($A4496:$AB4496,MATCH("Xero Invoice No",$A$1:$AB$1,0)),"")&amp;""&lt;&gt;"",ISNUMBER(AE4496),AD4496&lt;&gt;0),1,0)</f>
        <v/>
      </c>
      <c r="AG4496" s="55">
        <f>IF(AF4496=1,EOMONTH(AE4496,0),"")</f>
        <v/>
      </c>
      <c r="AH4496" s="9">
        <f>IF(AF4496=1,UPPER(TRIM(IFERROR(INDEX($A4496:$AB4496,MATCH("Client",$A$1:$AB$1,0)),"")&amp;"")),"")</f>
        <v/>
      </c>
      <c r="AI4496" s="9">
        <f>IF(AF4496=1,IFERROR(INDEX($A4496:$AB4496,MATCH("Cost Centre",$A$1:$AB$1,0)),"")&amp;"","")</f>
        <v/>
      </c>
      <c r="AJ4496" s="54">
        <f>IF(AND(AF4496=1,AE4496&gt;=set_FYStart,AE4496&lt;=set_AsAt),1,0)</f>
        <v/>
      </c>
      <c r="AK4496" s="54">
        <f>IF(AND(AJ4496=1,AH4496&lt;&gt;"",COUNTIFS($AH$2:AH4496,AH4496,$AJ$2:AJ4496,1)=1),N(AL4495)+1,"")</f>
        <v/>
      </c>
      <c r="AL4496" s="54">
        <f>IF(AK4496&lt;&gt;"",AK4496,N(AL4495))</f>
        <v/>
      </c>
    </row>
    <row r="4497">
      <c r="A4497" t="inlineStr">
        <is>
          <t>PRD-1499</t>
        </is>
      </c>
      <c r="B4497" t="inlineStr">
        <is>
          <t>Production</t>
        </is>
      </c>
      <c r="AB4497" t="n">
        <v>1499</v>
      </c>
      <c r="AD4497" s="52">
        <f>IFERROR(N(IFERROR(INDEX($A4497:$AB4497,MATCH("Xero Invoiced Ex GST",$A$1:$AB$1,0)),"")),0)</f>
        <v/>
      </c>
      <c r="AE4497" s="53">
        <f>IFERROR(INDEX($A4497:$AB4497,MATCH("Xero Invoice Date",$A$1:$AB$1,0)),"")</f>
        <v/>
      </c>
      <c r="AF4497" s="54">
        <f>IF(AND(IFERROR(INDEX($A4497:$AB4497,MATCH("Xero Invoice No",$A$1:$AB$1,0)),"")&amp;""&lt;&gt;"",ISNUMBER(AE4497),AD4497&lt;&gt;0),1,0)</f>
        <v/>
      </c>
      <c r="AG4497" s="55">
        <f>IF(AF4497=1,EOMONTH(AE4497,0),"")</f>
        <v/>
      </c>
      <c r="AH4497" s="9">
        <f>IF(AF4497=1,UPPER(TRIM(IFERROR(INDEX($A4497:$AB4497,MATCH("Client",$A$1:$AB$1,0)),"")&amp;"")),"")</f>
        <v/>
      </c>
      <c r="AI4497" s="9">
        <f>IF(AF4497=1,IFERROR(INDEX($A4497:$AB4497,MATCH("Cost Centre",$A$1:$AB$1,0)),"")&amp;"","")</f>
        <v/>
      </c>
      <c r="AJ4497" s="54">
        <f>IF(AND(AF4497=1,AE4497&gt;=set_FYStart,AE4497&lt;=set_AsAt),1,0)</f>
        <v/>
      </c>
      <c r="AK4497" s="54">
        <f>IF(AND(AJ4497=1,AH4497&lt;&gt;"",COUNTIFS($AH$2:AH4497,AH4497,$AJ$2:AJ4497,1)=1),N(AL4496)+1,"")</f>
        <v/>
      </c>
      <c r="AL4497" s="54">
        <f>IF(AK4497&lt;&gt;"",AK4497,N(AL4496))</f>
        <v/>
      </c>
    </row>
    <row r="4498">
      <c r="A4498" t="inlineStr">
        <is>
          <t>CON-1499</t>
        </is>
      </c>
      <c r="B4498" t="inlineStr">
        <is>
          <t>Consulting</t>
        </is>
      </c>
      <c r="AB4498" t="n">
        <v>1499</v>
      </c>
      <c r="AD4498" s="52">
        <f>IFERROR(N(IFERROR(INDEX($A4498:$AB4498,MATCH("Xero Invoiced Ex GST",$A$1:$AB$1,0)),"")),0)</f>
        <v/>
      </c>
      <c r="AE4498" s="53">
        <f>IFERROR(INDEX($A4498:$AB4498,MATCH("Xero Invoice Date",$A$1:$AB$1,0)),"")</f>
        <v/>
      </c>
      <c r="AF4498" s="54">
        <f>IF(AND(IFERROR(INDEX($A4498:$AB4498,MATCH("Xero Invoice No",$A$1:$AB$1,0)),"")&amp;""&lt;&gt;"",ISNUMBER(AE4498),AD4498&lt;&gt;0),1,0)</f>
        <v/>
      </c>
      <c r="AG4498" s="55">
        <f>IF(AF4498=1,EOMONTH(AE4498,0),"")</f>
        <v/>
      </c>
      <c r="AH4498" s="9">
        <f>IF(AF4498=1,UPPER(TRIM(IFERROR(INDEX($A4498:$AB4498,MATCH("Client",$A$1:$AB$1,0)),"")&amp;"")),"")</f>
        <v/>
      </c>
      <c r="AI4498" s="9">
        <f>IF(AF4498=1,IFERROR(INDEX($A4498:$AB4498,MATCH("Cost Centre",$A$1:$AB$1,0)),"")&amp;"","")</f>
        <v/>
      </c>
      <c r="AJ4498" s="54">
        <f>IF(AND(AF4498=1,AE4498&gt;=set_FYStart,AE4498&lt;=set_AsAt),1,0)</f>
        <v/>
      </c>
      <c r="AK4498" s="54">
        <f>IF(AND(AJ4498=1,AH4498&lt;&gt;"",COUNTIFS($AH$2:AH4498,AH4498,$AJ$2:AJ4498,1)=1),N(AL4497)+1,"")</f>
        <v/>
      </c>
      <c r="AL4498" s="54">
        <f>IF(AK4498&lt;&gt;"",AK4498,N(AL4497))</f>
        <v/>
      </c>
    </row>
    <row r="4499">
      <c r="A4499" t="inlineStr">
        <is>
          <t>ONS-1500</t>
        </is>
      </c>
      <c r="B4499" t="inlineStr">
        <is>
          <t>Onsite</t>
        </is>
      </c>
      <c r="AB4499" t="n">
        <v>1500</v>
      </c>
      <c r="AD4499" s="52">
        <f>IFERROR(N(IFERROR(INDEX($A4499:$AB4499,MATCH("Xero Invoiced Ex GST",$A$1:$AB$1,0)),"")),0)</f>
        <v/>
      </c>
      <c r="AE4499" s="53">
        <f>IFERROR(INDEX($A4499:$AB4499,MATCH("Xero Invoice Date",$A$1:$AB$1,0)),"")</f>
        <v/>
      </c>
      <c r="AF4499" s="54">
        <f>IF(AND(IFERROR(INDEX($A4499:$AB4499,MATCH("Xero Invoice No",$A$1:$AB$1,0)),"")&amp;""&lt;&gt;"",ISNUMBER(AE4499),AD4499&lt;&gt;0),1,0)</f>
        <v/>
      </c>
      <c r="AG4499" s="55">
        <f>IF(AF4499=1,EOMONTH(AE4499,0),"")</f>
        <v/>
      </c>
      <c r="AH4499" s="9">
        <f>IF(AF4499=1,UPPER(TRIM(IFERROR(INDEX($A4499:$AB4499,MATCH("Client",$A$1:$AB$1,0)),"")&amp;"")),"")</f>
        <v/>
      </c>
      <c r="AI4499" s="9">
        <f>IF(AF4499=1,IFERROR(INDEX($A4499:$AB4499,MATCH("Cost Centre",$A$1:$AB$1,0)),"")&amp;"","")</f>
        <v/>
      </c>
      <c r="AJ4499" s="54">
        <f>IF(AND(AF4499=1,AE4499&gt;=set_FYStart,AE4499&lt;=set_AsAt),1,0)</f>
        <v/>
      </c>
      <c r="AK4499" s="54">
        <f>IF(AND(AJ4499=1,AH4499&lt;&gt;"",COUNTIFS($AH$2:AH4499,AH4499,$AJ$2:AJ4499,1)=1),N(AL4498)+1,"")</f>
        <v/>
      </c>
      <c r="AL4499" s="54">
        <f>IF(AK4499&lt;&gt;"",AK4499,N(AL4498))</f>
        <v/>
      </c>
    </row>
    <row r="4500">
      <c r="A4500" t="inlineStr">
        <is>
          <t>PRD-1500</t>
        </is>
      </c>
      <c r="B4500" t="inlineStr">
        <is>
          <t>Production</t>
        </is>
      </c>
      <c r="AB4500" t="n">
        <v>1500</v>
      </c>
      <c r="AD4500" s="52">
        <f>IFERROR(N(IFERROR(INDEX($A4500:$AB4500,MATCH("Xero Invoiced Ex GST",$A$1:$AB$1,0)),"")),0)</f>
        <v/>
      </c>
      <c r="AE4500" s="53">
        <f>IFERROR(INDEX($A4500:$AB4500,MATCH("Xero Invoice Date",$A$1:$AB$1,0)),"")</f>
        <v/>
      </c>
      <c r="AF4500" s="54">
        <f>IF(AND(IFERROR(INDEX($A4500:$AB4500,MATCH("Xero Invoice No",$A$1:$AB$1,0)),"")&amp;""&lt;&gt;"",ISNUMBER(AE4500),AD4500&lt;&gt;0),1,0)</f>
        <v/>
      </c>
      <c r="AG4500" s="55">
        <f>IF(AF4500=1,EOMONTH(AE4500,0),"")</f>
        <v/>
      </c>
      <c r="AH4500" s="9">
        <f>IF(AF4500=1,UPPER(TRIM(IFERROR(INDEX($A4500:$AB4500,MATCH("Client",$A$1:$AB$1,0)),"")&amp;"")),"")</f>
        <v/>
      </c>
      <c r="AI4500" s="9">
        <f>IF(AF4500=1,IFERROR(INDEX($A4500:$AB4500,MATCH("Cost Centre",$A$1:$AB$1,0)),"")&amp;"","")</f>
        <v/>
      </c>
      <c r="AJ4500" s="54">
        <f>IF(AND(AF4500=1,AE4500&gt;=set_FYStart,AE4500&lt;=set_AsAt),1,0)</f>
        <v/>
      </c>
      <c r="AK4500" s="54">
        <f>IF(AND(AJ4500=1,AH4500&lt;&gt;"",COUNTIFS($AH$2:AH4500,AH4500,$AJ$2:AJ4500,1)=1),N(AL4499)+1,"")</f>
        <v/>
      </c>
      <c r="AL4500" s="54">
        <f>IF(AK4500&lt;&gt;"",AK4500,N(AL4499))</f>
        <v/>
      </c>
    </row>
    <row r="4501">
      <c r="A4501" t="inlineStr">
        <is>
          <t>CON-1500</t>
        </is>
      </c>
      <c r="B4501" t="inlineStr">
        <is>
          <t>Consulting</t>
        </is>
      </c>
      <c r="AB4501" t="n">
        <v>1500</v>
      </c>
      <c r="AD4501" s="52">
        <f>IFERROR(N(IFERROR(INDEX($A4501:$AB4501,MATCH("Xero Invoiced Ex GST",$A$1:$AB$1,0)),"")),0)</f>
        <v/>
      </c>
      <c r="AE4501" s="53">
        <f>IFERROR(INDEX($A4501:$AB4501,MATCH("Xero Invoice Date",$A$1:$AB$1,0)),"")</f>
        <v/>
      </c>
      <c r="AF4501" s="54">
        <f>IF(AND(IFERROR(INDEX($A4501:$AB4501,MATCH("Xero Invoice No",$A$1:$AB$1,0)),"")&amp;""&lt;&gt;"",ISNUMBER(AE4501),AD4501&lt;&gt;0),1,0)</f>
        <v/>
      </c>
      <c r="AG4501" s="55">
        <f>IF(AF4501=1,EOMONTH(AE4501,0),"")</f>
        <v/>
      </c>
      <c r="AH4501" s="9">
        <f>IF(AF4501=1,UPPER(TRIM(IFERROR(INDEX($A4501:$AB4501,MATCH("Client",$A$1:$AB$1,0)),"")&amp;"")),"")</f>
        <v/>
      </c>
      <c r="AI4501" s="9">
        <f>IF(AF4501=1,IFERROR(INDEX($A4501:$AB4501,MATCH("Cost Centre",$A$1:$AB$1,0)),"")&amp;"","")</f>
        <v/>
      </c>
      <c r="AJ4501" s="54">
        <f>IF(AND(AF4501=1,AE4501&gt;=set_FYStart,AE4501&lt;=set_AsAt),1,0)</f>
        <v/>
      </c>
      <c r="AK4501" s="54">
        <f>IF(AND(AJ4501=1,AH4501&lt;&gt;"",COUNTIFS($AH$2:AH4501,AH4501,$AJ$2:AJ4501,1)=1),N(AL4500)+1,"")</f>
        <v/>
      </c>
      <c r="AL4501" s="54">
        <f>IF(AK4501&lt;&gt;"",AK4501,N(AL4500))</f>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Q601"/>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14" customWidth="1" min="40" max="40"/>
    <col width="14" customWidth="1" min="41" max="41"/>
    <col width="14" customWidth="1" min="42" max="42"/>
    <col width="14" customWidth="1" min="43" max="43"/>
  </cols>
  <sheetData>
    <row r="1">
      <c r="A1" s="50" t="inlineStr">
        <is>
          <t>Month</t>
        </is>
      </c>
      <c r="B1" s="50" t="inlineStr">
        <is>
          <t>Source</t>
        </is>
      </c>
      <c r="C1" s="50" t="inlineStr">
        <is>
          <t>Reference</t>
        </is>
      </c>
      <c r="D1" s="50" t="inlineStr">
        <is>
          <t>Client</t>
        </is>
      </c>
      <c r="E1" s="50" t="inlineStr">
        <is>
          <t>Job Number</t>
        </is>
      </c>
      <c r="F1" s="50" t="inlineStr">
        <is>
          <t>Job in Xero?</t>
        </is>
      </c>
      <c r="G1" s="50" t="inlineStr">
        <is>
          <t>Cost Centre</t>
        </is>
      </c>
      <c r="H1" s="50" t="inlineStr">
        <is>
          <t>Description</t>
        </is>
      </c>
      <c r="I1" s="50" t="inlineStr">
        <is>
          <t>Value Ex GST</t>
        </is>
      </c>
      <c r="J1" s="50" t="inlineStr">
        <is>
          <t>Status</t>
        </is>
      </c>
      <c r="K1" s="50" t="inlineStr">
        <is>
          <t>Date Won</t>
        </is>
      </c>
      <c r="L1" s="50" t="inlineStr">
        <is>
          <t>Expected Invoice Month</t>
        </is>
      </c>
      <c r="M1" s="50" t="inlineStr">
        <is>
          <t>On the Finance Sheet</t>
        </is>
      </c>
      <c r="N1" s="50" t="inlineStr">
        <is>
          <t>Still to Invoice</t>
        </is>
      </c>
      <c r="O1" s="50" t="inlineStr">
        <is>
          <t>Notes</t>
        </is>
      </c>
      <c r="P1" s="50" t="inlineStr">
        <is>
          <t>Pipeline Stage</t>
        </is>
      </c>
      <c r="Q1" s="50" t="inlineStr">
        <is>
          <t>Probability</t>
        </is>
      </c>
      <c r="R1" s="50" t="inlineStr">
        <is>
          <t>Weighted Value</t>
        </is>
      </c>
      <c r="T1" s="23" t="inlineStr">
        <is>
          <t>Status</t>
        </is>
      </c>
      <c r="U1" s="23" t="inlineStr">
        <is>
          <t>Value</t>
        </is>
      </c>
      <c r="V1" s="23" t="inlineStr">
        <is>
          <t>Has value</t>
        </is>
      </c>
      <c r="W1" s="23" t="inlineStr">
        <is>
          <t>Probability</t>
        </is>
      </c>
      <c r="X1" s="23" t="inlineStr">
        <is>
          <t>Weighted</t>
        </is>
      </c>
      <c r="Y1" s="23" t="inlineStr">
        <is>
          <t>Still to Invoice</t>
        </is>
      </c>
      <c r="Z1" s="23" t="inlineStr">
        <is>
          <t>Expected Month</t>
        </is>
      </c>
      <c r="AA1" s="23" t="inlineStr">
        <is>
          <t>Cost Centre</t>
        </is>
      </c>
      <c r="AB1" s="23" t="inlineStr">
        <is>
          <t>Stage</t>
        </is>
      </c>
      <c r="AC1" s="23" t="inlineStr">
        <is>
          <t>Client</t>
        </is>
      </c>
      <c r="AD1" s="23" t="inlineStr">
        <is>
          <t>Deal</t>
        </is>
      </c>
      <c r="AE1" s="23" t="inlineStr">
        <is>
          <t>Job</t>
        </is>
      </c>
      <c r="AF1" s="23" t="inlineStr">
        <is>
          <t>Stale</t>
        </is>
      </c>
      <c r="AG1" s="23" t="inlineStr">
        <is>
          <t>Concentration</t>
        </is>
      </c>
      <c r="AH1" s="23" t="inlineStr">
        <is>
          <t>Big and early</t>
        </is>
      </c>
      <c r="AI1" s="23" t="inlineStr">
        <is>
          <t>No value</t>
        </is>
      </c>
      <c r="AJ1" s="23" t="inlineStr">
        <is>
          <t>Won - billing overdue</t>
        </is>
      </c>
      <c r="AK1" s="23" t="inlineStr">
        <is>
          <t>Over-invoiced</t>
        </is>
      </c>
      <c r="AL1" s="23" t="inlineStr">
        <is>
          <t>Score</t>
        </is>
      </c>
      <c r="AM1" s="23" t="inlineStr">
        <is>
          <t>Rating</t>
        </is>
      </c>
      <c r="AN1" s="23" t="inlineStr">
        <is>
          <t>On register</t>
        </is>
      </c>
      <c r="AO1" s="23" t="inlineStr">
        <is>
          <t>At risk $</t>
        </is>
      </c>
      <c r="AP1" s="23" t="inlineStr">
        <is>
          <t>Sort key</t>
        </is>
      </c>
      <c r="AQ1" s="23" t="inlineStr">
        <is>
          <t>Flags</t>
        </is>
      </c>
    </row>
    <row r="2">
      <c r="A2" s="51" t="n">
        <v>46356</v>
      </c>
      <c r="B2" t="inlineStr">
        <is>
          <t>ZOHO</t>
        </is>
      </c>
      <c r="C2" t="inlineStr">
        <is>
          <t>2609803</t>
        </is>
      </c>
      <c r="D2" t="inlineStr">
        <is>
          <t>Automic Group</t>
        </is>
      </c>
      <c r="E2" t="inlineStr">
        <is>
          <t>2609803</t>
        </is>
      </c>
      <c r="G2" t="inlineStr">
        <is>
          <t>PRODUCTION</t>
        </is>
      </c>
      <c r="H2" t="inlineStr">
        <is>
          <t>Automic - Noumi LTD AGM - 5.11.26</t>
        </is>
      </c>
      <c r="I2" t="n">
        <v>9783</v>
      </c>
      <c r="J2" t="inlineStr">
        <is>
          <t>Open</t>
        </is>
      </c>
      <c r="L2" s="51" t="n">
        <v>46356</v>
      </c>
      <c r="M2" t="n">
        <v>0</v>
      </c>
      <c r="P2" t="inlineStr">
        <is>
          <t>Proposal Sent</t>
        </is>
      </c>
      <c r="Q2" t="n">
        <v>0.5</v>
      </c>
      <c r="R2" t="n">
        <v>4891.5</v>
      </c>
      <c r="T2" s="9">
        <f>IFERROR(INDEX($A2:$R2,MATCH("Status",$A$1:$R$1,0)),"")&amp;""</f>
        <v/>
      </c>
      <c r="U2" s="52">
        <f>IFERROR(N(IFERROR(INDEX($A2:$R2,MATCH("Value Ex GST",$A$1:$R$1,0)),"")),0)</f>
        <v/>
      </c>
      <c r="V2" s="54">
        <f>IF(AND(T2&lt;&gt;"",IFERROR(INDEX($A2:$R2,MATCH("Value Ex GST",$A$1:$R$1,0)),"")&amp;""&lt;&gt;""),1,0)</f>
        <v/>
      </c>
      <c r="W2" s="56">
        <f>IFERROR(N(IFERROR(INDEX($A2:$R2,MATCH("Probability",$A$1:$R$1,0)),"")),0)</f>
        <v/>
      </c>
      <c r="X2" s="52">
        <f>IF(T2="Open",U2*W2,0)</f>
        <v/>
      </c>
      <c r="Y2" s="52">
        <f>IF(T2="Won",IFERROR(N(IFERROR(INDEX($A2:$R2,MATCH("Still to Invoice",$A$1:$R$1,0)),"")),0),0)</f>
        <v/>
      </c>
      <c r="Z2" s="55">
        <f>IFERROR(EOMONTH(IFERROR(INDEX($A2:$R2,MATCH("Expected Invoice Month",$A$1:$R$1,0)),""),0),"")</f>
        <v/>
      </c>
      <c r="AA2" s="9">
        <f>IFERROR(INDEX($A2:$R2,MATCH("Cost Centre",$A$1:$R$1,0)),"")&amp;""</f>
        <v/>
      </c>
      <c r="AB2" s="9">
        <f>IFERROR(INDEX($A2:$R2,MATCH("Pipeline Stage",$A$1:$R$1,0)),"")&amp;""</f>
        <v/>
      </c>
      <c r="AC2" s="9">
        <f>IFERROR(INDEX($A2:$R2,MATCH("Client",$A$1:$R$1,0)),"")&amp;""</f>
        <v/>
      </c>
      <c r="AD2" s="9">
        <f>IFERROR(INDEX($A2:$R2,MATCH("Description",$A$1:$R$1,0)),"")&amp;""</f>
        <v/>
      </c>
      <c r="AE2" s="9">
        <f>IFERROR(INDEX($A2:$R2,MATCH("Job Number",$A$1:$R$1,0)),"")&amp;""</f>
        <v/>
      </c>
      <c r="AF2" s="54">
        <f>IF(AND(T2="Open",ISNUMBER(Z2),Z2&lt;EOMONTH(set_AsAt,-1)+1),3,0)</f>
        <v/>
      </c>
      <c r="AG2" s="54">
        <f>IF(AND(T2="Open",U2&gt;0,U2&gt;=set_DealShare*SUMIFS($U$2:$U$601,$T$2:$T$601,"Open")),3,0)</f>
        <v/>
      </c>
      <c r="AH2" s="54">
        <f>IF(AND(T2="Open",U2&gt;=set_BigValue,W2&lt;=set_EarlyProb),2,0)</f>
        <v/>
      </c>
      <c r="AI2" s="54">
        <f>IF(AND(OR(T2="Open",T2="Won"),V2=0),2,0)</f>
        <v/>
      </c>
      <c r="AJ2" s="54">
        <f>IF(AND(T2="Won",Y2&gt;0.5,ISNUMBER(Z2),Z2&lt;EOMONTH(set_AsAt,-1)+1),3,0)</f>
        <v/>
      </c>
      <c r="AK2" s="54">
        <f>IF(AND(T2="Won",Y2&lt;-1),1,0)</f>
        <v/>
      </c>
      <c r="AL2" s="54">
        <f>SUM(AF2:AK2)</f>
        <v/>
      </c>
      <c r="AM2" s="9">
        <f>IF(AL2&gt;=set_ScoreHigh,"High",IF(AL2&gt;=set_ScoreMed,"Medium",IF(AL2&gt;0,"Low","OK")))</f>
        <v/>
      </c>
      <c r="AN2" s="54">
        <f>IF(OR(T2="Open",AND(T2="Won",ABS(Y2)&gt;0.5)),1,0)</f>
        <v/>
      </c>
      <c r="AO2" s="52">
        <f>IF(T2="Open",IF(V2=0,0,X2),IF(T2="Won",MAX(0,Y2),0))</f>
        <v/>
      </c>
      <c r="AP2" s="54">
        <f>IF(AN2=1,AL2*1E+9+U2+ROW()/1E+6,"")</f>
        <v/>
      </c>
      <c r="AQ2" s="9">
        <f>MID(IF(AF2&gt;0,"; Expected month passed - update Zoho","")&amp;IF(AG2&gt;0,"; "&amp;TEXT(U2/MAX(1,SUMIFS($U$2:$U$601,$T$2:$T$601,"Open")),"0%")&amp;" of open pipeline in one deal","")&amp;IF(AH2&gt;0,"; Large deal at an early stage","")&amp;IF(AI2&gt;0,"; No amount in Zoho","")&amp;IF(AJ2&gt;0,"; Won, invoice month passed, not fully invoiced","")&amp;IF(AK2&gt;0,"; Xero invoiced more than the deal value",""),3,300)</f>
        <v/>
      </c>
    </row>
    <row r="3">
      <c r="A3" s="51" t="n">
        <v>46295</v>
      </c>
      <c r="B3" t="inlineStr">
        <is>
          <t>ZOHO</t>
        </is>
      </c>
      <c r="C3" t="inlineStr">
        <is>
          <t>2609601</t>
        </is>
      </c>
      <c r="D3" t="inlineStr">
        <is>
          <t>Deloitte Australia</t>
        </is>
      </c>
      <c r="E3" t="inlineStr">
        <is>
          <t>2609601</t>
        </is>
      </c>
      <c r="G3" t="inlineStr">
        <is>
          <t>INTEGRATION</t>
        </is>
      </c>
      <c r="H3" t="inlineStr">
        <is>
          <t>DTTL | SYD Good Rooms programming - 2609601</t>
        </is>
      </c>
      <c r="I3" t="n">
        <v>1025</v>
      </c>
      <c r="J3" t="inlineStr">
        <is>
          <t>Open</t>
        </is>
      </c>
      <c r="L3" s="51" t="n">
        <v>46295</v>
      </c>
      <c r="M3" t="n">
        <v>0</v>
      </c>
      <c r="P3" t="inlineStr">
        <is>
          <t>Proposal Sent</t>
        </is>
      </c>
      <c r="Q3" t="n">
        <v>0.5</v>
      </c>
      <c r="R3" t="n">
        <v>512.5</v>
      </c>
      <c r="T3" s="9">
        <f>IFERROR(INDEX($A3:$R3,MATCH("Status",$A$1:$R$1,0)),"")&amp;""</f>
        <v/>
      </c>
      <c r="U3" s="52">
        <f>IFERROR(N(IFERROR(INDEX($A3:$R3,MATCH("Value Ex GST",$A$1:$R$1,0)),"")),0)</f>
        <v/>
      </c>
      <c r="V3" s="54">
        <f>IF(AND(T3&lt;&gt;"",IFERROR(INDEX($A3:$R3,MATCH("Value Ex GST",$A$1:$R$1,0)),"")&amp;""&lt;&gt;""),1,0)</f>
        <v/>
      </c>
      <c r="W3" s="56">
        <f>IFERROR(N(IFERROR(INDEX($A3:$R3,MATCH("Probability",$A$1:$R$1,0)),"")),0)</f>
        <v/>
      </c>
      <c r="X3" s="52">
        <f>IF(T3="Open",U3*W3,0)</f>
        <v/>
      </c>
      <c r="Y3" s="52">
        <f>IF(T3="Won",IFERROR(N(IFERROR(INDEX($A3:$R3,MATCH("Still to Invoice",$A$1:$R$1,0)),"")),0),0)</f>
        <v/>
      </c>
      <c r="Z3" s="55">
        <f>IFERROR(EOMONTH(IFERROR(INDEX($A3:$R3,MATCH("Expected Invoice Month",$A$1:$R$1,0)),""),0),"")</f>
        <v/>
      </c>
      <c r="AA3" s="9">
        <f>IFERROR(INDEX($A3:$R3,MATCH("Cost Centre",$A$1:$R$1,0)),"")&amp;""</f>
        <v/>
      </c>
      <c r="AB3" s="9">
        <f>IFERROR(INDEX($A3:$R3,MATCH("Pipeline Stage",$A$1:$R$1,0)),"")&amp;""</f>
        <v/>
      </c>
      <c r="AC3" s="9">
        <f>IFERROR(INDEX($A3:$R3,MATCH("Client",$A$1:$R$1,0)),"")&amp;""</f>
        <v/>
      </c>
      <c r="AD3" s="9">
        <f>IFERROR(INDEX($A3:$R3,MATCH("Description",$A$1:$R$1,0)),"")&amp;""</f>
        <v/>
      </c>
      <c r="AE3" s="9">
        <f>IFERROR(INDEX($A3:$R3,MATCH("Job Number",$A$1:$R$1,0)),"")&amp;""</f>
        <v/>
      </c>
      <c r="AF3" s="54">
        <f>IF(AND(T3="Open",ISNUMBER(Z3),Z3&lt;EOMONTH(set_AsAt,-1)+1),3,0)</f>
        <v/>
      </c>
      <c r="AG3" s="54">
        <f>IF(AND(T3="Open",U3&gt;0,U3&gt;=set_DealShare*SUMIFS($U$2:$U$601,$T$2:$T$601,"Open")),3,0)</f>
        <v/>
      </c>
      <c r="AH3" s="54">
        <f>IF(AND(T3="Open",U3&gt;=set_BigValue,W3&lt;=set_EarlyProb),2,0)</f>
        <v/>
      </c>
      <c r="AI3" s="54">
        <f>IF(AND(OR(T3="Open",T3="Won"),V3=0),2,0)</f>
        <v/>
      </c>
      <c r="AJ3" s="54">
        <f>IF(AND(T3="Won",Y3&gt;0.5,ISNUMBER(Z3),Z3&lt;EOMONTH(set_AsAt,-1)+1),3,0)</f>
        <v/>
      </c>
      <c r="AK3" s="54">
        <f>IF(AND(T3="Won",Y3&lt;-1),1,0)</f>
        <v/>
      </c>
      <c r="AL3" s="54">
        <f>SUM(AF3:AK3)</f>
        <v/>
      </c>
      <c r="AM3" s="9">
        <f>IF(AL3&gt;=set_ScoreHigh,"High",IF(AL3&gt;=set_ScoreMed,"Medium",IF(AL3&gt;0,"Low","OK")))</f>
        <v/>
      </c>
      <c r="AN3" s="54">
        <f>IF(OR(T3="Open",AND(T3="Won",ABS(Y3)&gt;0.5)),1,0)</f>
        <v/>
      </c>
      <c r="AO3" s="52">
        <f>IF(T3="Open",IF(V3=0,0,X3),IF(T3="Won",MAX(0,Y3),0))</f>
        <v/>
      </c>
      <c r="AP3" s="54">
        <f>IF(AN3=1,AL3*1E+9+U3+ROW()/1E+6,"")</f>
        <v/>
      </c>
      <c r="AQ3" s="9">
        <f>MID(IF(AF3&gt;0,"; Expected month passed - update Zoho","")&amp;IF(AG3&gt;0,"; "&amp;TEXT(U3/MAX(1,SUMIFS($U$2:$U$601,$T$2:$T$601,"Open")),"0%")&amp;" of open pipeline in one deal","")&amp;IF(AH3&gt;0,"; Large deal at an early stage","")&amp;IF(AI3&gt;0,"; No amount in Zoho","")&amp;IF(AJ3&gt;0,"; Won, invoice month passed, not fully invoiced","")&amp;IF(AK3&gt;0,"; Xero invoiced more than the deal value",""),3,300)</f>
        <v/>
      </c>
    </row>
    <row r="4">
      <c r="A4" s="51" t="n">
        <v>46446</v>
      </c>
      <c r="B4" t="inlineStr">
        <is>
          <t>ZOHO</t>
        </is>
      </c>
      <c r="C4" t="inlineStr">
        <is>
          <t>26021901</t>
        </is>
      </c>
      <c r="D4" t="inlineStr">
        <is>
          <t>Investa</t>
        </is>
      </c>
      <c r="E4" t="inlineStr">
        <is>
          <t>26021901</t>
        </is>
      </c>
      <c r="G4" t="inlineStr">
        <is>
          <t>PRODUCTION</t>
        </is>
      </c>
      <c r="H4" t="inlineStr">
        <is>
          <t>Investa - Barrack Place Bingo - Feb 27'</t>
        </is>
      </c>
      <c r="I4" t="n">
        <v>2400</v>
      </c>
      <c r="J4" t="inlineStr">
        <is>
          <t>Open</t>
        </is>
      </c>
      <c r="L4" s="51" t="n">
        <v>46446</v>
      </c>
      <c r="M4" t="n">
        <v>0</v>
      </c>
      <c r="P4" t="inlineStr">
        <is>
          <t>Proposal Sent</t>
        </is>
      </c>
      <c r="Q4" t="n">
        <v>0.5</v>
      </c>
      <c r="R4" t="n">
        <v>1200</v>
      </c>
      <c r="T4" s="9">
        <f>IFERROR(INDEX($A4:$R4,MATCH("Status",$A$1:$R$1,0)),"")&amp;""</f>
        <v/>
      </c>
      <c r="U4" s="52">
        <f>IFERROR(N(IFERROR(INDEX($A4:$R4,MATCH("Value Ex GST",$A$1:$R$1,0)),"")),0)</f>
        <v/>
      </c>
      <c r="V4" s="54">
        <f>IF(AND(T4&lt;&gt;"",IFERROR(INDEX($A4:$R4,MATCH("Value Ex GST",$A$1:$R$1,0)),"")&amp;""&lt;&gt;""),1,0)</f>
        <v/>
      </c>
      <c r="W4" s="56">
        <f>IFERROR(N(IFERROR(INDEX($A4:$R4,MATCH("Probability",$A$1:$R$1,0)),"")),0)</f>
        <v/>
      </c>
      <c r="X4" s="52">
        <f>IF(T4="Open",U4*W4,0)</f>
        <v/>
      </c>
      <c r="Y4" s="52">
        <f>IF(T4="Won",IFERROR(N(IFERROR(INDEX($A4:$R4,MATCH("Still to Invoice",$A$1:$R$1,0)),"")),0),0)</f>
        <v/>
      </c>
      <c r="Z4" s="55">
        <f>IFERROR(EOMONTH(IFERROR(INDEX($A4:$R4,MATCH("Expected Invoice Month",$A$1:$R$1,0)),""),0),"")</f>
        <v/>
      </c>
      <c r="AA4" s="9">
        <f>IFERROR(INDEX($A4:$R4,MATCH("Cost Centre",$A$1:$R$1,0)),"")&amp;""</f>
        <v/>
      </c>
      <c r="AB4" s="9">
        <f>IFERROR(INDEX($A4:$R4,MATCH("Pipeline Stage",$A$1:$R$1,0)),"")&amp;""</f>
        <v/>
      </c>
      <c r="AC4" s="9">
        <f>IFERROR(INDEX($A4:$R4,MATCH("Client",$A$1:$R$1,0)),"")&amp;""</f>
        <v/>
      </c>
      <c r="AD4" s="9">
        <f>IFERROR(INDEX($A4:$R4,MATCH("Description",$A$1:$R$1,0)),"")&amp;""</f>
        <v/>
      </c>
      <c r="AE4" s="9">
        <f>IFERROR(INDEX($A4:$R4,MATCH("Job Number",$A$1:$R$1,0)),"")&amp;""</f>
        <v/>
      </c>
      <c r="AF4" s="54">
        <f>IF(AND(T4="Open",ISNUMBER(Z4),Z4&lt;EOMONTH(set_AsAt,-1)+1),3,0)</f>
        <v/>
      </c>
      <c r="AG4" s="54">
        <f>IF(AND(T4="Open",U4&gt;0,U4&gt;=set_DealShare*SUMIFS($U$2:$U$601,$T$2:$T$601,"Open")),3,0)</f>
        <v/>
      </c>
      <c r="AH4" s="54">
        <f>IF(AND(T4="Open",U4&gt;=set_BigValue,W4&lt;=set_EarlyProb),2,0)</f>
        <v/>
      </c>
      <c r="AI4" s="54">
        <f>IF(AND(OR(T4="Open",T4="Won"),V4=0),2,0)</f>
        <v/>
      </c>
      <c r="AJ4" s="54">
        <f>IF(AND(T4="Won",Y4&gt;0.5,ISNUMBER(Z4),Z4&lt;EOMONTH(set_AsAt,-1)+1),3,0)</f>
        <v/>
      </c>
      <c r="AK4" s="54">
        <f>IF(AND(T4="Won",Y4&lt;-1),1,0)</f>
        <v/>
      </c>
      <c r="AL4" s="54">
        <f>SUM(AF4:AK4)</f>
        <v/>
      </c>
      <c r="AM4" s="9">
        <f>IF(AL4&gt;=set_ScoreHigh,"High",IF(AL4&gt;=set_ScoreMed,"Medium",IF(AL4&gt;0,"Low","OK")))</f>
        <v/>
      </c>
      <c r="AN4" s="54">
        <f>IF(OR(T4="Open",AND(T4="Won",ABS(Y4)&gt;0.5)),1,0)</f>
        <v/>
      </c>
      <c r="AO4" s="52">
        <f>IF(T4="Open",IF(V4=0,0,X4),IF(T4="Won",MAX(0,Y4),0))</f>
        <v/>
      </c>
      <c r="AP4" s="54">
        <f>IF(AN4=1,AL4*1E+9+U4+ROW()/1E+6,"")</f>
        <v/>
      </c>
      <c r="AQ4" s="9">
        <f>MID(IF(AF4&gt;0,"; Expected month passed - update Zoho","")&amp;IF(AG4&gt;0,"; "&amp;TEXT(U4/MAX(1,SUMIFS($U$2:$U$601,$T$2:$T$601,"Open")),"0%")&amp;" of open pipeline in one deal","")&amp;IF(AH4&gt;0,"; Large deal at an early stage","")&amp;IF(AI4&gt;0,"; No amount in Zoho","")&amp;IF(AJ4&gt;0,"; Won, invoice month passed, not fully invoiced","")&amp;IF(AK4&gt;0,"; Xero invoiced more than the deal value",""),3,300)</f>
        <v/>
      </c>
    </row>
    <row r="5">
      <c r="A5" s="51" t="n">
        <v>46295</v>
      </c>
      <c r="B5" t="inlineStr">
        <is>
          <t>ZOHO</t>
        </is>
      </c>
      <c r="C5" t="inlineStr">
        <is>
          <t>2606201</t>
        </is>
      </c>
      <c r="D5" t="inlineStr">
        <is>
          <t>Stryker</t>
        </is>
      </c>
      <c r="E5" t="inlineStr">
        <is>
          <t>2606201</t>
        </is>
      </c>
      <c r="G5" t="inlineStr">
        <is>
          <t>INTEGRATION</t>
        </is>
      </c>
      <c r="H5" t="inlineStr">
        <is>
          <t>HP-Stryker | Multi-Site Device Replacement - 2606201</t>
        </is>
      </c>
      <c r="I5" t="n">
        <v>34068</v>
      </c>
      <c r="J5" t="inlineStr">
        <is>
          <t>Open</t>
        </is>
      </c>
      <c r="L5" s="51" t="n">
        <v>46295</v>
      </c>
      <c r="M5" t="n">
        <v>0</v>
      </c>
      <c r="P5" t="inlineStr">
        <is>
          <t>Proposal Sent</t>
        </is>
      </c>
      <c r="Q5" t="n">
        <v>0.5</v>
      </c>
      <c r="R5" t="n">
        <v>17034</v>
      </c>
      <c r="T5" s="9">
        <f>IFERROR(INDEX($A5:$R5,MATCH("Status",$A$1:$R$1,0)),"")&amp;""</f>
        <v/>
      </c>
      <c r="U5" s="52">
        <f>IFERROR(N(IFERROR(INDEX($A5:$R5,MATCH("Value Ex GST",$A$1:$R$1,0)),"")),0)</f>
        <v/>
      </c>
      <c r="V5" s="54">
        <f>IF(AND(T5&lt;&gt;"",IFERROR(INDEX($A5:$R5,MATCH("Value Ex GST",$A$1:$R$1,0)),"")&amp;""&lt;&gt;""),1,0)</f>
        <v/>
      </c>
      <c r="W5" s="56">
        <f>IFERROR(N(IFERROR(INDEX($A5:$R5,MATCH("Probability",$A$1:$R$1,0)),"")),0)</f>
        <v/>
      </c>
      <c r="X5" s="52">
        <f>IF(T5="Open",U5*W5,0)</f>
        <v/>
      </c>
      <c r="Y5" s="52">
        <f>IF(T5="Won",IFERROR(N(IFERROR(INDEX($A5:$R5,MATCH("Still to Invoice",$A$1:$R$1,0)),"")),0),0)</f>
        <v/>
      </c>
      <c r="Z5" s="55">
        <f>IFERROR(EOMONTH(IFERROR(INDEX($A5:$R5,MATCH("Expected Invoice Month",$A$1:$R$1,0)),""),0),"")</f>
        <v/>
      </c>
      <c r="AA5" s="9">
        <f>IFERROR(INDEX($A5:$R5,MATCH("Cost Centre",$A$1:$R$1,0)),"")&amp;""</f>
        <v/>
      </c>
      <c r="AB5" s="9">
        <f>IFERROR(INDEX($A5:$R5,MATCH("Pipeline Stage",$A$1:$R$1,0)),"")&amp;""</f>
        <v/>
      </c>
      <c r="AC5" s="9">
        <f>IFERROR(INDEX($A5:$R5,MATCH("Client",$A$1:$R$1,0)),"")&amp;""</f>
        <v/>
      </c>
      <c r="AD5" s="9">
        <f>IFERROR(INDEX($A5:$R5,MATCH("Description",$A$1:$R$1,0)),"")&amp;""</f>
        <v/>
      </c>
      <c r="AE5" s="9">
        <f>IFERROR(INDEX($A5:$R5,MATCH("Job Number",$A$1:$R$1,0)),"")&amp;""</f>
        <v/>
      </c>
      <c r="AF5" s="54">
        <f>IF(AND(T5="Open",ISNUMBER(Z5),Z5&lt;EOMONTH(set_AsAt,-1)+1),3,0)</f>
        <v/>
      </c>
      <c r="AG5" s="54">
        <f>IF(AND(T5="Open",U5&gt;0,U5&gt;=set_DealShare*SUMIFS($U$2:$U$601,$T$2:$T$601,"Open")),3,0)</f>
        <v/>
      </c>
      <c r="AH5" s="54">
        <f>IF(AND(T5="Open",U5&gt;=set_BigValue,W5&lt;=set_EarlyProb),2,0)</f>
        <v/>
      </c>
      <c r="AI5" s="54">
        <f>IF(AND(OR(T5="Open",T5="Won"),V5=0),2,0)</f>
        <v/>
      </c>
      <c r="AJ5" s="54">
        <f>IF(AND(T5="Won",Y5&gt;0.5,ISNUMBER(Z5),Z5&lt;EOMONTH(set_AsAt,-1)+1),3,0)</f>
        <v/>
      </c>
      <c r="AK5" s="54">
        <f>IF(AND(T5="Won",Y5&lt;-1),1,0)</f>
        <v/>
      </c>
      <c r="AL5" s="54">
        <f>SUM(AF5:AK5)</f>
        <v/>
      </c>
      <c r="AM5" s="9">
        <f>IF(AL5&gt;=set_ScoreHigh,"High",IF(AL5&gt;=set_ScoreMed,"Medium",IF(AL5&gt;0,"Low","OK")))</f>
        <v/>
      </c>
      <c r="AN5" s="54">
        <f>IF(OR(T5="Open",AND(T5="Won",ABS(Y5)&gt;0.5)),1,0)</f>
        <v/>
      </c>
      <c r="AO5" s="52">
        <f>IF(T5="Open",IF(V5=0,0,X5),IF(T5="Won",MAX(0,Y5),0))</f>
        <v/>
      </c>
      <c r="AP5" s="54">
        <f>IF(AN5=1,AL5*1E+9+U5+ROW()/1E+6,"")</f>
        <v/>
      </c>
      <c r="AQ5" s="9">
        <f>MID(IF(AF5&gt;0,"; Expected month passed - update Zoho","")&amp;IF(AG5&gt;0,"; "&amp;TEXT(U5/MAX(1,SUMIFS($U$2:$U$601,$T$2:$T$601,"Open")),"0%")&amp;" of open pipeline in one deal","")&amp;IF(AH5&gt;0,"; Large deal at an early stage","")&amp;IF(AI5&gt;0,"; No amount in Zoho","")&amp;IF(AJ5&gt;0,"; Won, invoice month passed, not fully invoiced","")&amp;IF(AK5&gt;0,"; Xero invoiced more than the deal value",""),3,300)</f>
        <v/>
      </c>
    </row>
    <row r="6">
      <c r="A6" s="51" t="n">
        <v>46295</v>
      </c>
      <c r="B6" t="inlineStr">
        <is>
          <t>ZOHO</t>
        </is>
      </c>
      <c r="C6" t="inlineStr">
        <is>
          <t>26091605</t>
        </is>
      </c>
      <c r="D6" t="inlineStr">
        <is>
          <t>DFAT</t>
        </is>
      </c>
      <c r="E6" t="inlineStr">
        <is>
          <t>26091605</t>
        </is>
      </c>
      <c r="G6" t="inlineStr">
        <is>
          <t>INTEGRATION</t>
        </is>
      </c>
      <c r="H6" t="inlineStr">
        <is>
          <t>HP-DFAT | Phone Mod x4 - 26091605</t>
        </is>
      </c>
      <c r="I6" t="n">
        <v>1851</v>
      </c>
      <c r="J6" t="inlineStr">
        <is>
          <t>Open</t>
        </is>
      </c>
      <c r="L6" s="51" t="n">
        <v>46295</v>
      </c>
      <c r="M6" t="n">
        <v>0</v>
      </c>
      <c r="P6" t="inlineStr">
        <is>
          <t>Proposal Sent</t>
        </is>
      </c>
      <c r="Q6" t="n">
        <v>0.5</v>
      </c>
      <c r="R6" t="n">
        <v>925.5</v>
      </c>
      <c r="T6" s="9">
        <f>IFERROR(INDEX($A6:$R6,MATCH("Status",$A$1:$R$1,0)),"")&amp;""</f>
        <v/>
      </c>
      <c r="U6" s="52">
        <f>IFERROR(N(IFERROR(INDEX($A6:$R6,MATCH("Value Ex GST",$A$1:$R$1,0)),"")),0)</f>
        <v/>
      </c>
      <c r="V6" s="54">
        <f>IF(AND(T6&lt;&gt;"",IFERROR(INDEX($A6:$R6,MATCH("Value Ex GST",$A$1:$R$1,0)),"")&amp;""&lt;&gt;""),1,0)</f>
        <v/>
      </c>
      <c r="W6" s="56">
        <f>IFERROR(N(IFERROR(INDEX($A6:$R6,MATCH("Probability",$A$1:$R$1,0)),"")),0)</f>
        <v/>
      </c>
      <c r="X6" s="52">
        <f>IF(T6="Open",U6*W6,0)</f>
        <v/>
      </c>
      <c r="Y6" s="52">
        <f>IF(T6="Won",IFERROR(N(IFERROR(INDEX($A6:$R6,MATCH("Still to Invoice",$A$1:$R$1,0)),"")),0),0)</f>
        <v/>
      </c>
      <c r="Z6" s="55">
        <f>IFERROR(EOMONTH(IFERROR(INDEX($A6:$R6,MATCH("Expected Invoice Month",$A$1:$R$1,0)),""),0),"")</f>
        <v/>
      </c>
      <c r="AA6" s="9">
        <f>IFERROR(INDEX($A6:$R6,MATCH("Cost Centre",$A$1:$R$1,0)),"")&amp;""</f>
        <v/>
      </c>
      <c r="AB6" s="9">
        <f>IFERROR(INDEX($A6:$R6,MATCH("Pipeline Stage",$A$1:$R$1,0)),"")&amp;""</f>
        <v/>
      </c>
      <c r="AC6" s="9">
        <f>IFERROR(INDEX($A6:$R6,MATCH("Client",$A$1:$R$1,0)),"")&amp;""</f>
        <v/>
      </c>
      <c r="AD6" s="9">
        <f>IFERROR(INDEX($A6:$R6,MATCH("Description",$A$1:$R$1,0)),"")&amp;""</f>
        <v/>
      </c>
      <c r="AE6" s="9">
        <f>IFERROR(INDEX($A6:$R6,MATCH("Job Number",$A$1:$R$1,0)),"")&amp;""</f>
        <v/>
      </c>
      <c r="AF6" s="54">
        <f>IF(AND(T6="Open",ISNUMBER(Z6),Z6&lt;EOMONTH(set_AsAt,-1)+1),3,0)</f>
        <v/>
      </c>
      <c r="AG6" s="54">
        <f>IF(AND(T6="Open",U6&gt;0,U6&gt;=set_DealShare*SUMIFS($U$2:$U$601,$T$2:$T$601,"Open")),3,0)</f>
        <v/>
      </c>
      <c r="AH6" s="54">
        <f>IF(AND(T6="Open",U6&gt;=set_BigValue,W6&lt;=set_EarlyProb),2,0)</f>
        <v/>
      </c>
      <c r="AI6" s="54">
        <f>IF(AND(OR(T6="Open",T6="Won"),V6=0),2,0)</f>
        <v/>
      </c>
      <c r="AJ6" s="54">
        <f>IF(AND(T6="Won",Y6&gt;0.5,ISNUMBER(Z6),Z6&lt;EOMONTH(set_AsAt,-1)+1),3,0)</f>
        <v/>
      </c>
      <c r="AK6" s="54">
        <f>IF(AND(T6="Won",Y6&lt;-1),1,0)</f>
        <v/>
      </c>
      <c r="AL6" s="54">
        <f>SUM(AF6:AK6)</f>
        <v/>
      </c>
      <c r="AM6" s="9">
        <f>IF(AL6&gt;=set_ScoreHigh,"High",IF(AL6&gt;=set_ScoreMed,"Medium",IF(AL6&gt;0,"Low","OK")))</f>
        <v/>
      </c>
      <c r="AN6" s="54">
        <f>IF(OR(T6="Open",AND(T6="Won",ABS(Y6)&gt;0.5)),1,0)</f>
        <v/>
      </c>
      <c r="AO6" s="52">
        <f>IF(T6="Open",IF(V6=0,0,X6),IF(T6="Won",MAX(0,Y6),0))</f>
        <v/>
      </c>
      <c r="AP6" s="54">
        <f>IF(AN6=1,AL6*1E+9+U6+ROW()/1E+6,"")</f>
        <v/>
      </c>
      <c r="AQ6" s="9">
        <f>MID(IF(AF6&gt;0,"; Expected month passed - update Zoho","")&amp;IF(AG6&gt;0,"; "&amp;TEXT(U6/MAX(1,SUMIFS($U$2:$U$601,$T$2:$T$601,"Open")),"0%")&amp;" of open pipeline in one deal","")&amp;IF(AH6&gt;0,"; Large deal at an early stage","")&amp;IF(AI6&gt;0,"; No amount in Zoho","")&amp;IF(AJ6&gt;0,"; Won, invoice month passed, not fully invoiced","")&amp;IF(AK6&gt;0,"; Xero invoiced more than the deal value",""),3,300)</f>
        <v/>
      </c>
    </row>
    <row r="7">
      <c r="A7" s="51" t="n">
        <v>46295</v>
      </c>
      <c r="B7" t="inlineStr">
        <is>
          <t>ZOHO</t>
        </is>
      </c>
      <c r="C7" t="inlineStr">
        <is>
          <t>26071502</t>
        </is>
      </c>
      <c r="D7" t="inlineStr">
        <is>
          <t>Remondis</t>
        </is>
      </c>
      <c r="E7" t="inlineStr">
        <is>
          <t>26071502</t>
        </is>
      </c>
      <c r="G7" t="inlineStr">
        <is>
          <t>CONSULTING</t>
        </is>
      </c>
      <c r="H7" t="inlineStr">
        <is>
          <t>Remondis | FPD Anti-Glare Recommendations - 26071502</t>
        </is>
      </c>
      <c r="I7" t="n">
        <v>15171</v>
      </c>
      <c r="J7" t="inlineStr">
        <is>
          <t>Open</t>
        </is>
      </c>
      <c r="L7" s="51" t="n">
        <v>46295</v>
      </c>
      <c r="M7" t="n">
        <v>0</v>
      </c>
      <c r="P7" t="inlineStr">
        <is>
          <t>Proposal Sent</t>
        </is>
      </c>
      <c r="Q7" t="n">
        <v>0.5</v>
      </c>
      <c r="R7" t="n">
        <v>7585.5</v>
      </c>
      <c r="T7" s="9">
        <f>IFERROR(INDEX($A7:$R7,MATCH("Status",$A$1:$R$1,0)),"")&amp;""</f>
        <v/>
      </c>
      <c r="U7" s="52">
        <f>IFERROR(N(IFERROR(INDEX($A7:$R7,MATCH("Value Ex GST",$A$1:$R$1,0)),"")),0)</f>
        <v/>
      </c>
      <c r="V7" s="54">
        <f>IF(AND(T7&lt;&gt;"",IFERROR(INDEX($A7:$R7,MATCH("Value Ex GST",$A$1:$R$1,0)),"")&amp;""&lt;&gt;""),1,0)</f>
        <v/>
      </c>
      <c r="W7" s="56">
        <f>IFERROR(N(IFERROR(INDEX($A7:$R7,MATCH("Probability",$A$1:$R$1,0)),"")),0)</f>
        <v/>
      </c>
      <c r="X7" s="52">
        <f>IF(T7="Open",U7*W7,0)</f>
        <v/>
      </c>
      <c r="Y7" s="52">
        <f>IF(T7="Won",IFERROR(N(IFERROR(INDEX($A7:$R7,MATCH("Still to Invoice",$A$1:$R$1,0)),"")),0),0)</f>
        <v/>
      </c>
      <c r="Z7" s="55">
        <f>IFERROR(EOMONTH(IFERROR(INDEX($A7:$R7,MATCH("Expected Invoice Month",$A$1:$R$1,0)),""),0),"")</f>
        <v/>
      </c>
      <c r="AA7" s="9">
        <f>IFERROR(INDEX($A7:$R7,MATCH("Cost Centre",$A$1:$R$1,0)),"")&amp;""</f>
        <v/>
      </c>
      <c r="AB7" s="9">
        <f>IFERROR(INDEX($A7:$R7,MATCH("Pipeline Stage",$A$1:$R$1,0)),"")&amp;""</f>
        <v/>
      </c>
      <c r="AC7" s="9">
        <f>IFERROR(INDEX($A7:$R7,MATCH("Client",$A$1:$R$1,0)),"")&amp;""</f>
        <v/>
      </c>
      <c r="AD7" s="9">
        <f>IFERROR(INDEX($A7:$R7,MATCH("Description",$A$1:$R$1,0)),"")&amp;""</f>
        <v/>
      </c>
      <c r="AE7" s="9">
        <f>IFERROR(INDEX($A7:$R7,MATCH("Job Number",$A$1:$R$1,0)),"")&amp;""</f>
        <v/>
      </c>
      <c r="AF7" s="54">
        <f>IF(AND(T7="Open",ISNUMBER(Z7),Z7&lt;EOMONTH(set_AsAt,-1)+1),3,0)</f>
        <v/>
      </c>
      <c r="AG7" s="54">
        <f>IF(AND(T7="Open",U7&gt;0,U7&gt;=set_DealShare*SUMIFS($U$2:$U$601,$T$2:$T$601,"Open")),3,0)</f>
        <v/>
      </c>
      <c r="AH7" s="54">
        <f>IF(AND(T7="Open",U7&gt;=set_BigValue,W7&lt;=set_EarlyProb),2,0)</f>
        <v/>
      </c>
      <c r="AI7" s="54">
        <f>IF(AND(OR(T7="Open",T7="Won"),V7=0),2,0)</f>
        <v/>
      </c>
      <c r="AJ7" s="54">
        <f>IF(AND(T7="Won",Y7&gt;0.5,ISNUMBER(Z7),Z7&lt;EOMONTH(set_AsAt,-1)+1),3,0)</f>
        <v/>
      </c>
      <c r="AK7" s="54">
        <f>IF(AND(T7="Won",Y7&lt;-1),1,0)</f>
        <v/>
      </c>
      <c r="AL7" s="54">
        <f>SUM(AF7:AK7)</f>
        <v/>
      </c>
      <c r="AM7" s="9">
        <f>IF(AL7&gt;=set_ScoreHigh,"High",IF(AL7&gt;=set_ScoreMed,"Medium",IF(AL7&gt;0,"Low","OK")))</f>
        <v/>
      </c>
      <c r="AN7" s="54">
        <f>IF(OR(T7="Open",AND(T7="Won",ABS(Y7)&gt;0.5)),1,0)</f>
        <v/>
      </c>
      <c r="AO7" s="52">
        <f>IF(T7="Open",IF(V7=0,0,X7),IF(T7="Won",MAX(0,Y7),0))</f>
        <v/>
      </c>
      <c r="AP7" s="54">
        <f>IF(AN7=1,AL7*1E+9+U7+ROW()/1E+6,"")</f>
        <v/>
      </c>
      <c r="AQ7" s="9">
        <f>MID(IF(AF7&gt;0,"; Expected month passed - update Zoho","")&amp;IF(AG7&gt;0,"; "&amp;TEXT(U7/MAX(1,SUMIFS($U$2:$U$601,$T$2:$T$601,"Open")),"0%")&amp;" of open pipeline in one deal","")&amp;IF(AH7&gt;0,"; Large deal at an early stage","")&amp;IF(AI7&gt;0,"; No amount in Zoho","")&amp;IF(AJ7&gt;0,"; Won, invoice month passed, not fully invoiced","")&amp;IF(AK7&gt;0,"; Xero invoiced more than the deal value",""),3,300)</f>
        <v/>
      </c>
    </row>
    <row r="8">
      <c r="A8" s="51" t="n">
        <v>46538</v>
      </c>
      <c r="B8" t="inlineStr">
        <is>
          <t>ZOHO</t>
        </is>
      </c>
      <c r="C8" t="inlineStr">
        <is>
          <t>26071406</t>
        </is>
      </c>
      <c r="D8" t="inlineStr">
        <is>
          <t>Automic Group</t>
        </is>
      </c>
      <c r="E8" t="inlineStr">
        <is>
          <t>26071406</t>
        </is>
      </c>
      <c r="G8" t="inlineStr">
        <is>
          <t>PRODUCTION</t>
        </is>
      </c>
      <c r="H8" t="inlineStr">
        <is>
          <t>Automic - AGM RFQ - May 27'</t>
        </is>
      </c>
      <c r="I8" t="n">
        <v>18500</v>
      </c>
      <c r="J8" t="inlineStr">
        <is>
          <t>Open</t>
        </is>
      </c>
      <c r="L8" s="51" t="n">
        <v>46538</v>
      </c>
      <c r="M8" t="n">
        <v>0</v>
      </c>
      <c r="P8" t="inlineStr">
        <is>
          <t>Proposal Sent</t>
        </is>
      </c>
      <c r="Q8" t="n">
        <v>0.5</v>
      </c>
      <c r="R8" t="n">
        <v>9250</v>
      </c>
      <c r="T8" s="9">
        <f>IFERROR(INDEX($A8:$R8,MATCH("Status",$A$1:$R$1,0)),"")&amp;""</f>
        <v/>
      </c>
      <c r="U8" s="52">
        <f>IFERROR(N(IFERROR(INDEX($A8:$R8,MATCH("Value Ex GST",$A$1:$R$1,0)),"")),0)</f>
        <v/>
      </c>
      <c r="V8" s="54">
        <f>IF(AND(T8&lt;&gt;"",IFERROR(INDEX($A8:$R8,MATCH("Value Ex GST",$A$1:$R$1,0)),"")&amp;""&lt;&gt;""),1,0)</f>
        <v/>
      </c>
      <c r="W8" s="56">
        <f>IFERROR(N(IFERROR(INDEX($A8:$R8,MATCH("Probability",$A$1:$R$1,0)),"")),0)</f>
        <v/>
      </c>
      <c r="X8" s="52">
        <f>IF(T8="Open",U8*W8,0)</f>
        <v/>
      </c>
      <c r="Y8" s="52">
        <f>IF(T8="Won",IFERROR(N(IFERROR(INDEX($A8:$R8,MATCH("Still to Invoice",$A$1:$R$1,0)),"")),0),0)</f>
        <v/>
      </c>
      <c r="Z8" s="55">
        <f>IFERROR(EOMONTH(IFERROR(INDEX($A8:$R8,MATCH("Expected Invoice Month",$A$1:$R$1,0)),""),0),"")</f>
        <v/>
      </c>
      <c r="AA8" s="9">
        <f>IFERROR(INDEX($A8:$R8,MATCH("Cost Centre",$A$1:$R$1,0)),"")&amp;""</f>
        <v/>
      </c>
      <c r="AB8" s="9">
        <f>IFERROR(INDEX($A8:$R8,MATCH("Pipeline Stage",$A$1:$R$1,0)),"")&amp;""</f>
        <v/>
      </c>
      <c r="AC8" s="9">
        <f>IFERROR(INDEX($A8:$R8,MATCH("Client",$A$1:$R$1,0)),"")&amp;""</f>
        <v/>
      </c>
      <c r="AD8" s="9">
        <f>IFERROR(INDEX($A8:$R8,MATCH("Description",$A$1:$R$1,0)),"")&amp;""</f>
        <v/>
      </c>
      <c r="AE8" s="9">
        <f>IFERROR(INDEX($A8:$R8,MATCH("Job Number",$A$1:$R$1,0)),"")&amp;""</f>
        <v/>
      </c>
      <c r="AF8" s="54">
        <f>IF(AND(T8="Open",ISNUMBER(Z8),Z8&lt;EOMONTH(set_AsAt,-1)+1),3,0)</f>
        <v/>
      </c>
      <c r="AG8" s="54">
        <f>IF(AND(T8="Open",U8&gt;0,U8&gt;=set_DealShare*SUMIFS($U$2:$U$601,$T$2:$T$601,"Open")),3,0)</f>
        <v/>
      </c>
      <c r="AH8" s="54">
        <f>IF(AND(T8="Open",U8&gt;=set_BigValue,W8&lt;=set_EarlyProb),2,0)</f>
        <v/>
      </c>
      <c r="AI8" s="54">
        <f>IF(AND(OR(T8="Open",T8="Won"),V8=0),2,0)</f>
        <v/>
      </c>
      <c r="AJ8" s="54">
        <f>IF(AND(T8="Won",Y8&gt;0.5,ISNUMBER(Z8),Z8&lt;EOMONTH(set_AsAt,-1)+1),3,0)</f>
        <v/>
      </c>
      <c r="AK8" s="54">
        <f>IF(AND(T8="Won",Y8&lt;-1),1,0)</f>
        <v/>
      </c>
      <c r="AL8" s="54">
        <f>SUM(AF8:AK8)</f>
        <v/>
      </c>
      <c r="AM8" s="9">
        <f>IF(AL8&gt;=set_ScoreHigh,"High",IF(AL8&gt;=set_ScoreMed,"Medium",IF(AL8&gt;0,"Low","OK")))</f>
        <v/>
      </c>
      <c r="AN8" s="54">
        <f>IF(OR(T8="Open",AND(T8="Won",ABS(Y8)&gt;0.5)),1,0)</f>
        <v/>
      </c>
      <c r="AO8" s="52">
        <f>IF(T8="Open",IF(V8=0,0,X8),IF(T8="Won",MAX(0,Y8),0))</f>
        <v/>
      </c>
      <c r="AP8" s="54">
        <f>IF(AN8=1,AL8*1E+9+U8+ROW()/1E+6,"")</f>
        <v/>
      </c>
      <c r="AQ8" s="9">
        <f>MID(IF(AF8&gt;0,"; Expected month passed - update Zoho","")&amp;IF(AG8&gt;0,"; "&amp;TEXT(U8/MAX(1,SUMIFS($U$2:$U$601,$T$2:$T$601,"Open")),"0%")&amp;" of open pipeline in one deal","")&amp;IF(AH8&gt;0,"; Large deal at an early stage","")&amp;IF(AI8&gt;0,"; No amount in Zoho","")&amp;IF(AJ8&gt;0,"; Won, invoice month passed, not fully invoiced","")&amp;IF(AK8&gt;0,"; Xero invoiced more than the deal value",""),3,300)</f>
        <v/>
      </c>
    </row>
    <row r="9">
      <c r="A9" s="51" t="n">
        <v>46265</v>
      </c>
      <c r="B9" t="inlineStr">
        <is>
          <t>ZOHO</t>
        </is>
      </c>
      <c r="C9" t="inlineStr">
        <is>
          <t>26073101</t>
        </is>
      </c>
      <c r="D9" t="inlineStr">
        <is>
          <t>PWC</t>
        </is>
      </c>
      <c r="E9" t="inlineStr">
        <is>
          <t>26073101</t>
        </is>
      </c>
      <c r="G9" t="inlineStr">
        <is>
          <t>ONSITE</t>
        </is>
      </c>
      <c r="H9" t="inlineStr">
        <is>
          <t>Melbourne Technician coverage -AUG/SEP</t>
        </is>
      </c>
      <c r="I9" t="n">
        <v>7650</v>
      </c>
      <c r="J9" t="inlineStr">
        <is>
          <t>Open</t>
        </is>
      </c>
      <c r="L9" s="51" t="n">
        <v>46265</v>
      </c>
      <c r="M9" t="n">
        <v>0</v>
      </c>
      <c r="O9" t="inlineStr">
        <is>
          <t>Closing date has passed - update Zoho</t>
        </is>
      </c>
      <c r="P9" t="inlineStr">
        <is>
          <t>Proposal Sent</t>
        </is>
      </c>
      <c r="Q9" t="n">
        <v>0.5</v>
      </c>
      <c r="R9" t="n">
        <v>3825</v>
      </c>
      <c r="T9" s="9">
        <f>IFERROR(INDEX($A9:$R9,MATCH("Status",$A$1:$R$1,0)),"")&amp;""</f>
        <v/>
      </c>
      <c r="U9" s="52">
        <f>IFERROR(N(IFERROR(INDEX($A9:$R9,MATCH("Value Ex GST",$A$1:$R$1,0)),"")),0)</f>
        <v/>
      </c>
      <c r="V9" s="54">
        <f>IF(AND(T9&lt;&gt;"",IFERROR(INDEX($A9:$R9,MATCH("Value Ex GST",$A$1:$R$1,0)),"")&amp;""&lt;&gt;""),1,0)</f>
        <v/>
      </c>
      <c r="W9" s="56">
        <f>IFERROR(N(IFERROR(INDEX($A9:$R9,MATCH("Probability",$A$1:$R$1,0)),"")),0)</f>
        <v/>
      </c>
      <c r="X9" s="52">
        <f>IF(T9="Open",U9*W9,0)</f>
        <v/>
      </c>
      <c r="Y9" s="52">
        <f>IF(T9="Won",IFERROR(N(IFERROR(INDEX($A9:$R9,MATCH("Still to Invoice",$A$1:$R$1,0)),"")),0),0)</f>
        <v/>
      </c>
      <c r="Z9" s="55">
        <f>IFERROR(EOMONTH(IFERROR(INDEX($A9:$R9,MATCH("Expected Invoice Month",$A$1:$R$1,0)),""),0),"")</f>
        <v/>
      </c>
      <c r="AA9" s="9">
        <f>IFERROR(INDEX($A9:$R9,MATCH("Cost Centre",$A$1:$R$1,0)),"")&amp;""</f>
        <v/>
      </c>
      <c r="AB9" s="9">
        <f>IFERROR(INDEX($A9:$R9,MATCH("Pipeline Stage",$A$1:$R$1,0)),"")&amp;""</f>
        <v/>
      </c>
      <c r="AC9" s="9">
        <f>IFERROR(INDEX($A9:$R9,MATCH("Client",$A$1:$R$1,0)),"")&amp;""</f>
        <v/>
      </c>
      <c r="AD9" s="9">
        <f>IFERROR(INDEX($A9:$R9,MATCH("Description",$A$1:$R$1,0)),"")&amp;""</f>
        <v/>
      </c>
      <c r="AE9" s="9">
        <f>IFERROR(INDEX($A9:$R9,MATCH("Job Number",$A$1:$R$1,0)),"")&amp;""</f>
        <v/>
      </c>
      <c r="AF9" s="54">
        <f>IF(AND(T9="Open",ISNUMBER(Z9),Z9&lt;EOMONTH(set_AsAt,-1)+1),3,0)</f>
        <v/>
      </c>
      <c r="AG9" s="54">
        <f>IF(AND(T9="Open",U9&gt;0,U9&gt;=set_DealShare*SUMIFS($U$2:$U$601,$T$2:$T$601,"Open")),3,0)</f>
        <v/>
      </c>
      <c r="AH9" s="54">
        <f>IF(AND(T9="Open",U9&gt;=set_BigValue,W9&lt;=set_EarlyProb),2,0)</f>
        <v/>
      </c>
      <c r="AI9" s="54">
        <f>IF(AND(OR(T9="Open",T9="Won"),V9=0),2,0)</f>
        <v/>
      </c>
      <c r="AJ9" s="54">
        <f>IF(AND(T9="Won",Y9&gt;0.5,ISNUMBER(Z9),Z9&lt;EOMONTH(set_AsAt,-1)+1),3,0)</f>
        <v/>
      </c>
      <c r="AK9" s="54">
        <f>IF(AND(T9="Won",Y9&lt;-1),1,0)</f>
        <v/>
      </c>
      <c r="AL9" s="54">
        <f>SUM(AF9:AK9)</f>
        <v/>
      </c>
      <c r="AM9" s="9">
        <f>IF(AL9&gt;=set_ScoreHigh,"High",IF(AL9&gt;=set_ScoreMed,"Medium",IF(AL9&gt;0,"Low","OK")))</f>
        <v/>
      </c>
      <c r="AN9" s="54">
        <f>IF(OR(T9="Open",AND(T9="Won",ABS(Y9)&gt;0.5)),1,0)</f>
        <v/>
      </c>
      <c r="AO9" s="52">
        <f>IF(T9="Open",IF(V9=0,0,X9),IF(T9="Won",MAX(0,Y9),0))</f>
        <v/>
      </c>
      <c r="AP9" s="54">
        <f>IF(AN9=1,AL9*1E+9+U9+ROW()/1E+6,"")</f>
        <v/>
      </c>
      <c r="AQ9" s="9">
        <f>MID(IF(AF9&gt;0,"; Expected month passed - update Zoho","")&amp;IF(AG9&gt;0,"; "&amp;TEXT(U9/MAX(1,SUMIFS($U$2:$U$601,$T$2:$T$601,"Open")),"0%")&amp;" of open pipeline in one deal","")&amp;IF(AH9&gt;0,"; Large deal at an early stage","")&amp;IF(AI9&gt;0,"; No amount in Zoho","")&amp;IF(AJ9&gt;0,"; Won, invoice month passed, not fully invoiced","")&amp;IF(AK9&gt;0,"; Xero invoiced more than the deal value",""),3,300)</f>
        <v/>
      </c>
    </row>
    <row r="10">
      <c r="A10" s="51" t="n">
        <v>46356</v>
      </c>
      <c r="B10" t="inlineStr">
        <is>
          <t>ZOHO</t>
        </is>
      </c>
      <c r="C10" t="inlineStr">
        <is>
          <t>2608401</t>
        </is>
      </c>
      <c r="D10" t="inlineStr">
        <is>
          <t>MUFG IR / Orient Capital</t>
        </is>
      </c>
      <c r="E10" t="inlineStr">
        <is>
          <t>2608401</t>
        </is>
      </c>
      <c r="G10" t="inlineStr">
        <is>
          <t>PRODUCTION</t>
        </is>
      </c>
      <c r="H10" t="inlineStr">
        <is>
          <t>MUFG - NXT DC AGM - 20.11.26</t>
        </is>
      </c>
      <c r="I10" t="n">
        <v>18415</v>
      </c>
      <c r="J10" t="inlineStr">
        <is>
          <t>Open</t>
        </is>
      </c>
      <c r="L10" s="51" t="n">
        <v>46356</v>
      </c>
      <c r="M10" t="n">
        <v>0</v>
      </c>
      <c r="P10" t="inlineStr">
        <is>
          <t>Proposal Sent</t>
        </is>
      </c>
      <c r="Q10" t="n">
        <v>0.5</v>
      </c>
      <c r="R10" t="n">
        <v>9207.5</v>
      </c>
      <c r="T10" s="9">
        <f>IFERROR(INDEX($A10:$R10,MATCH("Status",$A$1:$R$1,0)),"")&amp;""</f>
        <v/>
      </c>
      <c r="U10" s="52">
        <f>IFERROR(N(IFERROR(INDEX($A10:$R10,MATCH("Value Ex GST",$A$1:$R$1,0)),"")),0)</f>
        <v/>
      </c>
      <c r="V10" s="54">
        <f>IF(AND(T10&lt;&gt;"",IFERROR(INDEX($A10:$R10,MATCH("Value Ex GST",$A$1:$R$1,0)),"")&amp;""&lt;&gt;""),1,0)</f>
        <v/>
      </c>
      <c r="W10" s="56">
        <f>IFERROR(N(IFERROR(INDEX($A10:$R10,MATCH("Probability",$A$1:$R$1,0)),"")),0)</f>
        <v/>
      </c>
      <c r="X10" s="52">
        <f>IF(T10="Open",U10*W10,0)</f>
        <v/>
      </c>
      <c r="Y10" s="52">
        <f>IF(T10="Won",IFERROR(N(IFERROR(INDEX($A10:$R10,MATCH("Still to Invoice",$A$1:$R$1,0)),"")),0),0)</f>
        <v/>
      </c>
      <c r="Z10" s="55">
        <f>IFERROR(EOMONTH(IFERROR(INDEX($A10:$R10,MATCH("Expected Invoice Month",$A$1:$R$1,0)),""),0),"")</f>
        <v/>
      </c>
      <c r="AA10" s="9">
        <f>IFERROR(INDEX($A10:$R10,MATCH("Cost Centre",$A$1:$R$1,0)),"")&amp;""</f>
        <v/>
      </c>
      <c r="AB10" s="9">
        <f>IFERROR(INDEX($A10:$R10,MATCH("Pipeline Stage",$A$1:$R$1,0)),"")&amp;""</f>
        <v/>
      </c>
      <c r="AC10" s="9">
        <f>IFERROR(INDEX($A10:$R10,MATCH("Client",$A$1:$R$1,0)),"")&amp;""</f>
        <v/>
      </c>
      <c r="AD10" s="9">
        <f>IFERROR(INDEX($A10:$R10,MATCH("Description",$A$1:$R$1,0)),"")&amp;""</f>
        <v/>
      </c>
      <c r="AE10" s="9">
        <f>IFERROR(INDEX($A10:$R10,MATCH("Job Number",$A$1:$R$1,0)),"")&amp;""</f>
        <v/>
      </c>
      <c r="AF10" s="54">
        <f>IF(AND(T10="Open",ISNUMBER(Z10),Z10&lt;EOMONTH(set_AsAt,-1)+1),3,0)</f>
        <v/>
      </c>
      <c r="AG10" s="54">
        <f>IF(AND(T10="Open",U10&gt;0,U10&gt;=set_DealShare*SUMIFS($U$2:$U$601,$T$2:$T$601,"Open")),3,0)</f>
        <v/>
      </c>
      <c r="AH10" s="54">
        <f>IF(AND(T10="Open",U10&gt;=set_BigValue,W10&lt;=set_EarlyProb),2,0)</f>
        <v/>
      </c>
      <c r="AI10" s="54">
        <f>IF(AND(OR(T10="Open",T10="Won"),V10=0),2,0)</f>
        <v/>
      </c>
      <c r="AJ10" s="54">
        <f>IF(AND(T10="Won",Y10&gt;0.5,ISNUMBER(Z10),Z10&lt;EOMONTH(set_AsAt,-1)+1),3,0)</f>
        <v/>
      </c>
      <c r="AK10" s="54">
        <f>IF(AND(T10="Won",Y10&lt;-1),1,0)</f>
        <v/>
      </c>
      <c r="AL10" s="54">
        <f>SUM(AF10:AK10)</f>
        <v/>
      </c>
      <c r="AM10" s="9">
        <f>IF(AL10&gt;=set_ScoreHigh,"High",IF(AL10&gt;=set_ScoreMed,"Medium",IF(AL10&gt;0,"Low","OK")))</f>
        <v/>
      </c>
      <c r="AN10" s="54">
        <f>IF(OR(T10="Open",AND(T10="Won",ABS(Y10)&gt;0.5)),1,0)</f>
        <v/>
      </c>
      <c r="AO10" s="52">
        <f>IF(T10="Open",IF(V10=0,0,X10),IF(T10="Won",MAX(0,Y10),0))</f>
        <v/>
      </c>
      <c r="AP10" s="54">
        <f>IF(AN10=1,AL10*1E+9+U10+ROW()/1E+6,"")</f>
        <v/>
      </c>
      <c r="AQ10" s="9">
        <f>MID(IF(AF10&gt;0,"; Expected month passed - update Zoho","")&amp;IF(AG10&gt;0,"; "&amp;TEXT(U10/MAX(1,SUMIFS($U$2:$U$601,$T$2:$T$601,"Open")),"0%")&amp;" of open pipeline in one deal","")&amp;IF(AH10&gt;0,"; Large deal at an early stage","")&amp;IF(AI10&gt;0,"; No amount in Zoho","")&amp;IF(AJ10&gt;0,"; Won, invoice month passed, not fully invoiced","")&amp;IF(AK10&gt;0,"; Xero invoiced more than the deal value",""),3,300)</f>
        <v/>
      </c>
    </row>
    <row r="11">
      <c r="A11" s="51" t="n">
        <v>46295</v>
      </c>
      <c r="B11" t="inlineStr">
        <is>
          <t>ZOHO</t>
        </is>
      </c>
      <c r="C11" t="inlineStr">
        <is>
          <t>26072104</t>
        </is>
      </c>
      <c r="D11" t="inlineStr">
        <is>
          <t>Kirra Services</t>
        </is>
      </c>
      <c r="E11" t="inlineStr">
        <is>
          <t>26072104</t>
        </is>
      </c>
      <c r="G11" t="inlineStr">
        <is>
          <t>CONSULTING</t>
        </is>
      </c>
      <c r="H11" t="inlineStr">
        <is>
          <t>Kirra | WACHS Tender Support - 26072104</t>
        </is>
      </c>
      <c r="J11" t="inlineStr">
        <is>
          <t>Open</t>
        </is>
      </c>
      <c r="L11" s="51" t="n">
        <v>46295</v>
      </c>
      <c r="M11" t="n">
        <v>0</v>
      </c>
      <c r="O11" t="inlineStr">
        <is>
          <t>No amount in Zoho</t>
        </is>
      </c>
      <c r="P11" t="inlineStr">
        <is>
          <t>Proposal Sent</t>
        </is>
      </c>
      <c r="Q11" t="n">
        <v>0.5</v>
      </c>
      <c r="R11" t="n">
        <v>0</v>
      </c>
      <c r="T11" s="9">
        <f>IFERROR(INDEX($A11:$R11,MATCH("Status",$A$1:$R$1,0)),"")&amp;""</f>
        <v/>
      </c>
      <c r="U11" s="52">
        <f>IFERROR(N(IFERROR(INDEX($A11:$R11,MATCH("Value Ex GST",$A$1:$R$1,0)),"")),0)</f>
        <v/>
      </c>
      <c r="V11" s="54">
        <f>IF(AND(T11&lt;&gt;"",IFERROR(INDEX($A11:$R11,MATCH("Value Ex GST",$A$1:$R$1,0)),"")&amp;""&lt;&gt;""),1,0)</f>
        <v/>
      </c>
      <c r="W11" s="56">
        <f>IFERROR(N(IFERROR(INDEX($A11:$R11,MATCH("Probability",$A$1:$R$1,0)),"")),0)</f>
        <v/>
      </c>
      <c r="X11" s="52">
        <f>IF(T11="Open",U11*W11,0)</f>
        <v/>
      </c>
      <c r="Y11" s="52">
        <f>IF(T11="Won",IFERROR(N(IFERROR(INDEX($A11:$R11,MATCH("Still to Invoice",$A$1:$R$1,0)),"")),0),0)</f>
        <v/>
      </c>
      <c r="Z11" s="55">
        <f>IFERROR(EOMONTH(IFERROR(INDEX($A11:$R11,MATCH("Expected Invoice Month",$A$1:$R$1,0)),""),0),"")</f>
        <v/>
      </c>
      <c r="AA11" s="9">
        <f>IFERROR(INDEX($A11:$R11,MATCH("Cost Centre",$A$1:$R$1,0)),"")&amp;""</f>
        <v/>
      </c>
      <c r="AB11" s="9">
        <f>IFERROR(INDEX($A11:$R11,MATCH("Pipeline Stage",$A$1:$R$1,0)),"")&amp;""</f>
        <v/>
      </c>
      <c r="AC11" s="9">
        <f>IFERROR(INDEX($A11:$R11,MATCH("Client",$A$1:$R$1,0)),"")&amp;""</f>
        <v/>
      </c>
      <c r="AD11" s="9">
        <f>IFERROR(INDEX($A11:$R11,MATCH("Description",$A$1:$R$1,0)),"")&amp;""</f>
        <v/>
      </c>
      <c r="AE11" s="9">
        <f>IFERROR(INDEX($A11:$R11,MATCH("Job Number",$A$1:$R$1,0)),"")&amp;""</f>
        <v/>
      </c>
      <c r="AF11" s="54">
        <f>IF(AND(T11="Open",ISNUMBER(Z11),Z11&lt;EOMONTH(set_AsAt,-1)+1),3,0)</f>
        <v/>
      </c>
      <c r="AG11" s="54">
        <f>IF(AND(T11="Open",U11&gt;0,U11&gt;=set_DealShare*SUMIFS($U$2:$U$601,$T$2:$T$601,"Open")),3,0)</f>
        <v/>
      </c>
      <c r="AH11" s="54">
        <f>IF(AND(T11="Open",U11&gt;=set_BigValue,W11&lt;=set_EarlyProb),2,0)</f>
        <v/>
      </c>
      <c r="AI11" s="54">
        <f>IF(AND(OR(T11="Open",T11="Won"),V11=0),2,0)</f>
        <v/>
      </c>
      <c r="AJ11" s="54">
        <f>IF(AND(T11="Won",Y11&gt;0.5,ISNUMBER(Z11),Z11&lt;EOMONTH(set_AsAt,-1)+1),3,0)</f>
        <v/>
      </c>
      <c r="AK11" s="54">
        <f>IF(AND(T11="Won",Y11&lt;-1),1,0)</f>
        <v/>
      </c>
      <c r="AL11" s="54">
        <f>SUM(AF11:AK11)</f>
        <v/>
      </c>
      <c r="AM11" s="9">
        <f>IF(AL11&gt;=set_ScoreHigh,"High",IF(AL11&gt;=set_ScoreMed,"Medium",IF(AL11&gt;0,"Low","OK")))</f>
        <v/>
      </c>
      <c r="AN11" s="54">
        <f>IF(OR(T11="Open",AND(T11="Won",ABS(Y11)&gt;0.5)),1,0)</f>
        <v/>
      </c>
      <c r="AO11" s="52">
        <f>IF(T11="Open",IF(V11=0,0,X11),IF(T11="Won",MAX(0,Y11),0))</f>
        <v/>
      </c>
      <c r="AP11" s="54">
        <f>IF(AN11=1,AL11*1E+9+U11+ROW()/1E+6,"")</f>
        <v/>
      </c>
      <c r="AQ11" s="9">
        <f>MID(IF(AF11&gt;0,"; Expected month passed - update Zoho","")&amp;IF(AG11&gt;0,"; "&amp;TEXT(U11/MAX(1,SUMIFS($U$2:$U$601,$T$2:$T$601,"Open")),"0%")&amp;" of open pipeline in one deal","")&amp;IF(AH11&gt;0,"; Large deal at an early stage","")&amp;IF(AI11&gt;0,"; No amount in Zoho","")&amp;IF(AJ11&gt;0,"; Won, invoice month passed, not fully invoiced","")&amp;IF(AK11&gt;0,"; Xero invoiced more than the deal value",""),3,300)</f>
        <v/>
      </c>
    </row>
    <row r="12">
      <c r="A12" s="51" t="n">
        <v>46295</v>
      </c>
      <c r="B12" t="inlineStr">
        <is>
          <t>ZOHO</t>
        </is>
      </c>
      <c r="C12" t="inlineStr">
        <is>
          <t>26091603</t>
        </is>
      </c>
      <c r="D12" t="inlineStr">
        <is>
          <t>Amnesium</t>
        </is>
      </c>
      <c r="E12" t="inlineStr">
        <is>
          <t>26091603</t>
        </is>
      </c>
      <c r="G12" t="inlineStr">
        <is>
          <t>INTEGRATION</t>
        </is>
      </c>
      <c r="H12" t="inlineStr">
        <is>
          <t>HP-Amnesium | Austrade Phone Mod x12 - 26091603</t>
        </is>
      </c>
      <c r="I12" t="n">
        <v>6783</v>
      </c>
      <c r="J12" t="inlineStr">
        <is>
          <t>Open</t>
        </is>
      </c>
      <c r="L12" s="51" t="n">
        <v>46295</v>
      </c>
      <c r="M12" t="n">
        <v>0</v>
      </c>
      <c r="P12" t="inlineStr">
        <is>
          <t>Proposal Sent</t>
        </is>
      </c>
      <c r="Q12" t="n">
        <v>0.5</v>
      </c>
      <c r="R12" t="n">
        <v>3391.5</v>
      </c>
      <c r="T12" s="9">
        <f>IFERROR(INDEX($A12:$R12,MATCH("Status",$A$1:$R$1,0)),"")&amp;""</f>
        <v/>
      </c>
      <c r="U12" s="52">
        <f>IFERROR(N(IFERROR(INDEX($A12:$R12,MATCH("Value Ex GST",$A$1:$R$1,0)),"")),0)</f>
        <v/>
      </c>
      <c r="V12" s="54">
        <f>IF(AND(T12&lt;&gt;"",IFERROR(INDEX($A12:$R12,MATCH("Value Ex GST",$A$1:$R$1,0)),"")&amp;""&lt;&gt;""),1,0)</f>
        <v/>
      </c>
      <c r="W12" s="56">
        <f>IFERROR(N(IFERROR(INDEX($A12:$R12,MATCH("Probability",$A$1:$R$1,0)),"")),0)</f>
        <v/>
      </c>
      <c r="X12" s="52">
        <f>IF(T12="Open",U12*W12,0)</f>
        <v/>
      </c>
      <c r="Y12" s="52">
        <f>IF(T12="Won",IFERROR(N(IFERROR(INDEX($A12:$R12,MATCH("Still to Invoice",$A$1:$R$1,0)),"")),0),0)</f>
        <v/>
      </c>
      <c r="Z12" s="55">
        <f>IFERROR(EOMONTH(IFERROR(INDEX($A12:$R12,MATCH("Expected Invoice Month",$A$1:$R$1,0)),""),0),"")</f>
        <v/>
      </c>
      <c r="AA12" s="9">
        <f>IFERROR(INDEX($A12:$R12,MATCH("Cost Centre",$A$1:$R$1,0)),"")&amp;""</f>
        <v/>
      </c>
      <c r="AB12" s="9">
        <f>IFERROR(INDEX($A12:$R12,MATCH("Pipeline Stage",$A$1:$R$1,0)),"")&amp;""</f>
        <v/>
      </c>
      <c r="AC12" s="9">
        <f>IFERROR(INDEX($A12:$R12,MATCH("Client",$A$1:$R$1,0)),"")&amp;""</f>
        <v/>
      </c>
      <c r="AD12" s="9">
        <f>IFERROR(INDEX($A12:$R12,MATCH("Description",$A$1:$R$1,0)),"")&amp;""</f>
        <v/>
      </c>
      <c r="AE12" s="9">
        <f>IFERROR(INDEX($A12:$R12,MATCH("Job Number",$A$1:$R$1,0)),"")&amp;""</f>
        <v/>
      </c>
      <c r="AF12" s="54">
        <f>IF(AND(T12="Open",ISNUMBER(Z12),Z12&lt;EOMONTH(set_AsAt,-1)+1),3,0)</f>
        <v/>
      </c>
      <c r="AG12" s="54">
        <f>IF(AND(T12="Open",U12&gt;0,U12&gt;=set_DealShare*SUMIFS($U$2:$U$601,$T$2:$T$601,"Open")),3,0)</f>
        <v/>
      </c>
      <c r="AH12" s="54">
        <f>IF(AND(T12="Open",U12&gt;=set_BigValue,W12&lt;=set_EarlyProb),2,0)</f>
        <v/>
      </c>
      <c r="AI12" s="54">
        <f>IF(AND(OR(T12="Open",T12="Won"),V12=0),2,0)</f>
        <v/>
      </c>
      <c r="AJ12" s="54">
        <f>IF(AND(T12="Won",Y12&gt;0.5,ISNUMBER(Z12),Z12&lt;EOMONTH(set_AsAt,-1)+1),3,0)</f>
        <v/>
      </c>
      <c r="AK12" s="54">
        <f>IF(AND(T12="Won",Y12&lt;-1),1,0)</f>
        <v/>
      </c>
      <c r="AL12" s="54">
        <f>SUM(AF12:AK12)</f>
        <v/>
      </c>
      <c r="AM12" s="9">
        <f>IF(AL12&gt;=set_ScoreHigh,"High",IF(AL12&gt;=set_ScoreMed,"Medium",IF(AL12&gt;0,"Low","OK")))</f>
        <v/>
      </c>
      <c r="AN12" s="54">
        <f>IF(OR(T12="Open",AND(T12="Won",ABS(Y12)&gt;0.5)),1,0)</f>
        <v/>
      </c>
      <c r="AO12" s="52">
        <f>IF(T12="Open",IF(V12=0,0,X12),IF(T12="Won",MAX(0,Y12),0))</f>
        <v/>
      </c>
      <c r="AP12" s="54">
        <f>IF(AN12=1,AL12*1E+9+U12+ROW()/1E+6,"")</f>
        <v/>
      </c>
      <c r="AQ12" s="9">
        <f>MID(IF(AF12&gt;0,"; Expected month passed - update Zoho","")&amp;IF(AG12&gt;0,"; "&amp;TEXT(U12/MAX(1,SUMIFS($U$2:$U$601,$T$2:$T$601,"Open")),"0%")&amp;" of open pipeline in one deal","")&amp;IF(AH12&gt;0,"; Large deal at an early stage","")&amp;IF(AI12&gt;0,"; No amount in Zoho","")&amp;IF(AJ12&gt;0,"; Won, invoice month passed, not fully invoiced","")&amp;IF(AK12&gt;0,"; Xero invoiced more than the deal value",""),3,300)</f>
        <v/>
      </c>
    </row>
    <row r="13">
      <c r="A13" s="51" t="n">
        <v>46446</v>
      </c>
      <c r="B13" t="inlineStr">
        <is>
          <t>ZOHO</t>
        </is>
      </c>
      <c r="C13" t="inlineStr">
        <is>
          <t>26073104</t>
        </is>
      </c>
      <c r="D13" t="inlineStr">
        <is>
          <t>Deloitte Australia</t>
        </is>
      </c>
      <c r="E13" t="inlineStr">
        <is>
          <t>26073104</t>
        </is>
      </c>
      <c r="G13" t="inlineStr">
        <is>
          <t>ONSITE</t>
        </is>
      </c>
      <c r="H13" t="inlineStr">
        <is>
          <t>Perth AV &amp; Hospitality Technician (MAR27-AUG27)</t>
        </is>
      </c>
      <c r="I13" t="n">
        <v>75000</v>
      </c>
      <c r="J13" t="inlineStr">
        <is>
          <t>Open</t>
        </is>
      </c>
      <c r="L13" s="51" t="n">
        <v>46446</v>
      </c>
      <c r="M13" t="n">
        <v>0</v>
      </c>
      <c r="P13" t="inlineStr">
        <is>
          <t>Negotiation/Review</t>
        </is>
      </c>
      <c r="Q13" t="n">
        <v>0.75</v>
      </c>
      <c r="R13" t="n">
        <v>56250</v>
      </c>
      <c r="T13" s="9">
        <f>IFERROR(INDEX($A13:$R13,MATCH("Status",$A$1:$R$1,0)),"")&amp;""</f>
        <v/>
      </c>
      <c r="U13" s="52">
        <f>IFERROR(N(IFERROR(INDEX($A13:$R13,MATCH("Value Ex GST",$A$1:$R$1,0)),"")),0)</f>
        <v/>
      </c>
      <c r="V13" s="54">
        <f>IF(AND(T13&lt;&gt;"",IFERROR(INDEX($A13:$R13,MATCH("Value Ex GST",$A$1:$R$1,0)),"")&amp;""&lt;&gt;""),1,0)</f>
        <v/>
      </c>
      <c r="W13" s="56">
        <f>IFERROR(N(IFERROR(INDEX($A13:$R13,MATCH("Probability",$A$1:$R$1,0)),"")),0)</f>
        <v/>
      </c>
      <c r="X13" s="52">
        <f>IF(T13="Open",U13*W13,0)</f>
        <v/>
      </c>
      <c r="Y13" s="52">
        <f>IF(T13="Won",IFERROR(N(IFERROR(INDEX($A13:$R13,MATCH("Still to Invoice",$A$1:$R$1,0)),"")),0),0)</f>
        <v/>
      </c>
      <c r="Z13" s="55">
        <f>IFERROR(EOMONTH(IFERROR(INDEX($A13:$R13,MATCH("Expected Invoice Month",$A$1:$R$1,0)),""),0),"")</f>
        <v/>
      </c>
      <c r="AA13" s="9">
        <f>IFERROR(INDEX($A13:$R13,MATCH("Cost Centre",$A$1:$R$1,0)),"")&amp;""</f>
        <v/>
      </c>
      <c r="AB13" s="9">
        <f>IFERROR(INDEX($A13:$R13,MATCH("Pipeline Stage",$A$1:$R$1,0)),"")&amp;""</f>
        <v/>
      </c>
      <c r="AC13" s="9">
        <f>IFERROR(INDEX($A13:$R13,MATCH("Client",$A$1:$R$1,0)),"")&amp;""</f>
        <v/>
      </c>
      <c r="AD13" s="9">
        <f>IFERROR(INDEX($A13:$R13,MATCH("Description",$A$1:$R$1,0)),"")&amp;""</f>
        <v/>
      </c>
      <c r="AE13" s="9">
        <f>IFERROR(INDEX($A13:$R13,MATCH("Job Number",$A$1:$R$1,0)),"")&amp;""</f>
        <v/>
      </c>
      <c r="AF13" s="54">
        <f>IF(AND(T13="Open",ISNUMBER(Z13),Z13&lt;EOMONTH(set_AsAt,-1)+1),3,0)</f>
        <v/>
      </c>
      <c r="AG13" s="54">
        <f>IF(AND(T13="Open",U13&gt;0,U13&gt;=set_DealShare*SUMIFS($U$2:$U$601,$T$2:$T$601,"Open")),3,0)</f>
        <v/>
      </c>
      <c r="AH13" s="54">
        <f>IF(AND(T13="Open",U13&gt;=set_BigValue,W13&lt;=set_EarlyProb),2,0)</f>
        <v/>
      </c>
      <c r="AI13" s="54">
        <f>IF(AND(OR(T13="Open",T13="Won"),V13=0),2,0)</f>
        <v/>
      </c>
      <c r="AJ13" s="54">
        <f>IF(AND(T13="Won",Y13&gt;0.5,ISNUMBER(Z13),Z13&lt;EOMONTH(set_AsAt,-1)+1),3,0)</f>
        <v/>
      </c>
      <c r="AK13" s="54">
        <f>IF(AND(T13="Won",Y13&lt;-1),1,0)</f>
        <v/>
      </c>
      <c r="AL13" s="54">
        <f>SUM(AF13:AK13)</f>
        <v/>
      </c>
      <c r="AM13" s="9">
        <f>IF(AL13&gt;=set_ScoreHigh,"High",IF(AL13&gt;=set_ScoreMed,"Medium",IF(AL13&gt;0,"Low","OK")))</f>
        <v/>
      </c>
      <c r="AN13" s="54">
        <f>IF(OR(T13="Open",AND(T13="Won",ABS(Y13)&gt;0.5)),1,0)</f>
        <v/>
      </c>
      <c r="AO13" s="52">
        <f>IF(T13="Open",IF(V13=0,0,X13),IF(T13="Won",MAX(0,Y13),0))</f>
        <v/>
      </c>
      <c r="AP13" s="54">
        <f>IF(AN13=1,AL13*1E+9+U13+ROW()/1E+6,"")</f>
        <v/>
      </c>
      <c r="AQ13" s="9">
        <f>MID(IF(AF13&gt;0,"; Expected month passed - update Zoho","")&amp;IF(AG13&gt;0,"; "&amp;TEXT(U13/MAX(1,SUMIFS($U$2:$U$601,$T$2:$T$601,"Open")),"0%")&amp;" of open pipeline in one deal","")&amp;IF(AH13&gt;0,"; Large deal at an early stage","")&amp;IF(AI13&gt;0,"; No amount in Zoho","")&amp;IF(AJ13&gt;0,"; Won, invoice month passed, not fully invoiced","")&amp;IF(AK13&gt;0,"; Xero invoiced more than the deal value",""),3,300)</f>
        <v/>
      </c>
    </row>
    <row r="14">
      <c r="A14" s="51" t="n">
        <v>46356</v>
      </c>
      <c r="B14" t="inlineStr">
        <is>
          <t>ZOHO</t>
        </is>
      </c>
      <c r="C14" t="inlineStr">
        <is>
          <t>2608103</t>
        </is>
      </c>
      <c r="D14" t="inlineStr">
        <is>
          <t>Chorus Call</t>
        </is>
      </c>
      <c r="E14" t="inlineStr">
        <is>
          <t>2608103</t>
        </is>
      </c>
      <c r="G14" t="inlineStr">
        <is>
          <t>PRODUCTION</t>
        </is>
      </c>
      <c r="H14" t="inlineStr">
        <is>
          <t>Chorus Call - Nanosonics Investor Day - TBC.11.26</t>
        </is>
      </c>
      <c r="I14" t="n">
        <v>4706</v>
      </c>
      <c r="J14" t="inlineStr">
        <is>
          <t>Open</t>
        </is>
      </c>
      <c r="L14" s="51" t="n">
        <v>46356</v>
      </c>
      <c r="M14" t="n">
        <v>0</v>
      </c>
      <c r="P14" t="inlineStr">
        <is>
          <t>Negotiation/Review</t>
        </is>
      </c>
      <c r="Q14" t="n">
        <v>0.75</v>
      </c>
      <c r="R14" t="n">
        <v>3529.5</v>
      </c>
      <c r="T14" s="9">
        <f>IFERROR(INDEX($A14:$R14,MATCH("Status",$A$1:$R$1,0)),"")&amp;""</f>
        <v/>
      </c>
      <c r="U14" s="52">
        <f>IFERROR(N(IFERROR(INDEX($A14:$R14,MATCH("Value Ex GST",$A$1:$R$1,0)),"")),0)</f>
        <v/>
      </c>
      <c r="V14" s="54">
        <f>IF(AND(T14&lt;&gt;"",IFERROR(INDEX($A14:$R14,MATCH("Value Ex GST",$A$1:$R$1,0)),"")&amp;""&lt;&gt;""),1,0)</f>
        <v/>
      </c>
      <c r="W14" s="56">
        <f>IFERROR(N(IFERROR(INDEX($A14:$R14,MATCH("Probability",$A$1:$R$1,0)),"")),0)</f>
        <v/>
      </c>
      <c r="X14" s="52">
        <f>IF(T14="Open",U14*W14,0)</f>
        <v/>
      </c>
      <c r="Y14" s="52">
        <f>IF(T14="Won",IFERROR(N(IFERROR(INDEX($A14:$R14,MATCH("Still to Invoice",$A$1:$R$1,0)),"")),0),0)</f>
        <v/>
      </c>
      <c r="Z14" s="55">
        <f>IFERROR(EOMONTH(IFERROR(INDEX($A14:$R14,MATCH("Expected Invoice Month",$A$1:$R$1,0)),""),0),"")</f>
        <v/>
      </c>
      <c r="AA14" s="9">
        <f>IFERROR(INDEX($A14:$R14,MATCH("Cost Centre",$A$1:$R$1,0)),"")&amp;""</f>
        <v/>
      </c>
      <c r="AB14" s="9">
        <f>IFERROR(INDEX($A14:$R14,MATCH("Pipeline Stage",$A$1:$R$1,0)),"")&amp;""</f>
        <v/>
      </c>
      <c r="AC14" s="9">
        <f>IFERROR(INDEX($A14:$R14,MATCH("Client",$A$1:$R$1,0)),"")&amp;""</f>
        <v/>
      </c>
      <c r="AD14" s="9">
        <f>IFERROR(INDEX($A14:$R14,MATCH("Description",$A$1:$R$1,0)),"")&amp;""</f>
        <v/>
      </c>
      <c r="AE14" s="9">
        <f>IFERROR(INDEX($A14:$R14,MATCH("Job Number",$A$1:$R$1,0)),"")&amp;""</f>
        <v/>
      </c>
      <c r="AF14" s="54">
        <f>IF(AND(T14="Open",ISNUMBER(Z14),Z14&lt;EOMONTH(set_AsAt,-1)+1),3,0)</f>
        <v/>
      </c>
      <c r="AG14" s="54">
        <f>IF(AND(T14="Open",U14&gt;0,U14&gt;=set_DealShare*SUMIFS($U$2:$U$601,$T$2:$T$601,"Open")),3,0)</f>
        <v/>
      </c>
      <c r="AH14" s="54">
        <f>IF(AND(T14="Open",U14&gt;=set_BigValue,W14&lt;=set_EarlyProb),2,0)</f>
        <v/>
      </c>
      <c r="AI14" s="54">
        <f>IF(AND(OR(T14="Open",T14="Won"),V14=0),2,0)</f>
        <v/>
      </c>
      <c r="AJ14" s="54">
        <f>IF(AND(T14="Won",Y14&gt;0.5,ISNUMBER(Z14),Z14&lt;EOMONTH(set_AsAt,-1)+1),3,0)</f>
        <v/>
      </c>
      <c r="AK14" s="54">
        <f>IF(AND(T14="Won",Y14&lt;-1),1,0)</f>
        <v/>
      </c>
      <c r="AL14" s="54">
        <f>SUM(AF14:AK14)</f>
        <v/>
      </c>
      <c r="AM14" s="9">
        <f>IF(AL14&gt;=set_ScoreHigh,"High",IF(AL14&gt;=set_ScoreMed,"Medium",IF(AL14&gt;0,"Low","OK")))</f>
        <v/>
      </c>
      <c r="AN14" s="54">
        <f>IF(OR(T14="Open",AND(T14="Won",ABS(Y14)&gt;0.5)),1,0)</f>
        <v/>
      </c>
      <c r="AO14" s="52">
        <f>IF(T14="Open",IF(V14=0,0,X14),IF(T14="Won",MAX(0,Y14),0))</f>
        <v/>
      </c>
      <c r="AP14" s="54">
        <f>IF(AN14=1,AL14*1E+9+U14+ROW()/1E+6,"")</f>
        <v/>
      </c>
      <c r="AQ14" s="9">
        <f>MID(IF(AF14&gt;0,"; Expected month passed - update Zoho","")&amp;IF(AG14&gt;0,"; "&amp;TEXT(U14/MAX(1,SUMIFS($U$2:$U$601,$T$2:$T$601,"Open")),"0%")&amp;" of open pipeline in one deal","")&amp;IF(AH14&gt;0,"; Large deal at an early stage","")&amp;IF(AI14&gt;0,"; No amount in Zoho","")&amp;IF(AJ14&gt;0,"; Won, invoice month passed, not fully invoiced","")&amp;IF(AK14&gt;0,"; Xero invoiced more than the deal value",""),3,300)</f>
        <v/>
      </c>
    </row>
    <row r="15">
      <c r="A15" s="51" t="n">
        <v>46295</v>
      </c>
      <c r="B15" t="inlineStr">
        <is>
          <t>ZOHO</t>
        </is>
      </c>
      <c r="C15" t="inlineStr">
        <is>
          <t>26081903</t>
        </is>
      </c>
      <c r="D15" t="inlineStr">
        <is>
          <t>Commonwealth Bank Australia (CBA)</t>
        </is>
      </c>
      <c r="E15" t="inlineStr">
        <is>
          <t>26081903</t>
        </is>
      </c>
      <c r="G15" t="inlineStr">
        <is>
          <t>PRODUCTION</t>
        </is>
      </c>
      <c r="H15" t="inlineStr">
        <is>
          <t>CBA - Private Hosting Payments Webinar - Postponed to October</t>
        </is>
      </c>
      <c r="I15" t="n">
        <v>795</v>
      </c>
      <c r="J15" t="inlineStr">
        <is>
          <t>Open</t>
        </is>
      </c>
      <c r="L15" s="51" t="n">
        <v>46295</v>
      </c>
      <c r="M15" t="n">
        <v>0</v>
      </c>
      <c r="P15" t="inlineStr">
        <is>
          <t>Negotiation/Review</t>
        </is>
      </c>
      <c r="Q15" t="n">
        <v>0.75</v>
      </c>
      <c r="R15" t="n">
        <v>596.25</v>
      </c>
      <c r="T15" s="9">
        <f>IFERROR(INDEX($A15:$R15,MATCH("Status",$A$1:$R$1,0)),"")&amp;""</f>
        <v/>
      </c>
      <c r="U15" s="52">
        <f>IFERROR(N(IFERROR(INDEX($A15:$R15,MATCH("Value Ex GST",$A$1:$R$1,0)),"")),0)</f>
        <v/>
      </c>
      <c r="V15" s="54">
        <f>IF(AND(T15&lt;&gt;"",IFERROR(INDEX($A15:$R15,MATCH("Value Ex GST",$A$1:$R$1,0)),"")&amp;""&lt;&gt;""),1,0)</f>
        <v/>
      </c>
      <c r="W15" s="56">
        <f>IFERROR(N(IFERROR(INDEX($A15:$R15,MATCH("Probability",$A$1:$R$1,0)),"")),0)</f>
        <v/>
      </c>
      <c r="X15" s="52">
        <f>IF(T15="Open",U15*W15,0)</f>
        <v/>
      </c>
      <c r="Y15" s="52">
        <f>IF(T15="Won",IFERROR(N(IFERROR(INDEX($A15:$R15,MATCH("Still to Invoice",$A$1:$R$1,0)),"")),0),0)</f>
        <v/>
      </c>
      <c r="Z15" s="55">
        <f>IFERROR(EOMONTH(IFERROR(INDEX($A15:$R15,MATCH("Expected Invoice Month",$A$1:$R$1,0)),""),0),"")</f>
        <v/>
      </c>
      <c r="AA15" s="9">
        <f>IFERROR(INDEX($A15:$R15,MATCH("Cost Centre",$A$1:$R$1,0)),"")&amp;""</f>
        <v/>
      </c>
      <c r="AB15" s="9">
        <f>IFERROR(INDEX($A15:$R15,MATCH("Pipeline Stage",$A$1:$R$1,0)),"")&amp;""</f>
        <v/>
      </c>
      <c r="AC15" s="9">
        <f>IFERROR(INDEX($A15:$R15,MATCH("Client",$A$1:$R$1,0)),"")&amp;""</f>
        <v/>
      </c>
      <c r="AD15" s="9">
        <f>IFERROR(INDEX($A15:$R15,MATCH("Description",$A$1:$R$1,0)),"")&amp;""</f>
        <v/>
      </c>
      <c r="AE15" s="9">
        <f>IFERROR(INDEX($A15:$R15,MATCH("Job Number",$A$1:$R$1,0)),"")&amp;""</f>
        <v/>
      </c>
      <c r="AF15" s="54">
        <f>IF(AND(T15="Open",ISNUMBER(Z15),Z15&lt;EOMONTH(set_AsAt,-1)+1),3,0)</f>
        <v/>
      </c>
      <c r="AG15" s="54">
        <f>IF(AND(T15="Open",U15&gt;0,U15&gt;=set_DealShare*SUMIFS($U$2:$U$601,$T$2:$T$601,"Open")),3,0)</f>
        <v/>
      </c>
      <c r="AH15" s="54">
        <f>IF(AND(T15="Open",U15&gt;=set_BigValue,W15&lt;=set_EarlyProb),2,0)</f>
        <v/>
      </c>
      <c r="AI15" s="54">
        <f>IF(AND(OR(T15="Open",T15="Won"),V15=0),2,0)</f>
        <v/>
      </c>
      <c r="AJ15" s="54">
        <f>IF(AND(T15="Won",Y15&gt;0.5,ISNUMBER(Z15),Z15&lt;EOMONTH(set_AsAt,-1)+1),3,0)</f>
        <v/>
      </c>
      <c r="AK15" s="54">
        <f>IF(AND(T15="Won",Y15&lt;-1),1,0)</f>
        <v/>
      </c>
      <c r="AL15" s="54">
        <f>SUM(AF15:AK15)</f>
        <v/>
      </c>
      <c r="AM15" s="9">
        <f>IF(AL15&gt;=set_ScoreHigh,"High",IF(AL15&gt;=set_ScoreMed,"Medium",IF(AL15&gt;0,"Low","OK")))</f>
        <v/>
      </c>
      <c r="AN15" s="54">
        <f>IF(OR(T15="Open",AND(T15="Won",ABS(Y15)&gt;0.5)),1,0)</f>
        <v/>
      </c>
      <c r="AO15" s="52">
        <f>IF(T15="Open",IF(V15=0,0,X15),IF(T15="Won",MAX(0,Y15),0))</f>
        <v/>
      </c>
      <c r="AP15" s="54">
        <f>IF(AN15=1,AL15*1E+9+U15+ROW()/1E+6,"")</f>
        <v/>
      </c>
      <c r="AQ15" s="9">
        <f>MID(IF(AF15&gt;0,"; Expected month passed - update Zoho","")&amp;IF(AG15&gt;0,"; "&amp;TEXT(U15/MAX(1,SUMIFS($U$2:$U$601,$T$2:$T$601,"Open")),"0%")&amp;" of open pipeline in one deal","")&amp;IF(AH15&gt;0,"; Large deal at an early stage","")&amp;IF(AI15&gt;0,"; No amount in Zoho","")&amp;IF(AJ15&gt;0,"; Won, invoice month passed, not fully invoiced","")&amp;IF(AK15&gt;0,"; Xero invoiced more than the deal value",""),3,300)</f>
        <v/>
      </c>
    </row>
    <row r="16">
      <c r="A16" s="51" t="n">
        <v>46356</v>
      </c>
      <c r="B16" t="inlineStr">
        <is>
          <t>ZOHO</t>
        </is>
      </c>
      <c r="C16" t="inlineStr">
        <is>
          <t>26073109</t>
        </is>
      </c>
      <c r="D16" t="inlineStr">
        <is>
          <t>Chorus Call</t>
        </is>
      </c>
      <c r="E16" t="inlineStr">
        <is>
          <t>26073109</t>
        </is>
      </c>
      <c r="G16" t="inlineStr">
        <is>
          <t>PRODUCTION</t>
        </is>
      </c>
      <c r="H16" t="inlineStr">
        <is>
          <t>Chorus Call - Nanosonics AGM - 4.11.26</t>
        </is>
      </c>
      <c r="I16" t="n">
        <v>4516</v>
      </c>
      <c r="J16" t="inlineStr">
        <is>
          <t>Open</t>
        </is>
      </c>
      <c r="L16" s="51" t="n">
        <v>46356</v>
      </c>
      <c r="M16" t="n">
        <v>0</v>
      </c>
      <c r="P16" t="inlineStr">
        <is>
          <t>Negotiation/Review</t>
        </is>
      </c>
      <c r="Q16" t="n">
        <v>0.75</v>
      </c>
      <c r="R16" t="n">
        <v>3387</v>
      </c>
      <c r="T16" s="9">
        <f>IFERROR(INDEX($A16:$R16,MATCH("Status",$A$1:$R$1,0)),"")&amp;""</f>
        <v/>
      </c>
      <c r="U16" s="52">
        <f>IFERROR(N(IFERROR(INDEX($A16:$R16,MATCH("Value Ex GST",$A$1:$R$1,0)),"")),0)</f>
        <v/>
      </c>
      <c r="V16" s="54">
        <f>IF(AND(T16&lt;&gt;"",IFERROR(INDEX($A16:$R16,MATCH("Value Ex GST",$A$1:$R$1,0)),"")&amp;""&lt;&gt;""),1,0)</f>
        <v/>
      </c>
      <c r="W16" s="56">
        <f>IFERROR(N(IFERROR(INDEX($A16:$R16,MATCH("Probability",$A$1:$R$1,0)),"")),0)</f>
        <v/>
      </c>
      <c r="X16" s="52">
        <f>IF(T16="Open",U16*W16,0)</f>
        <v/>
      </c>
      <c r="Y16" s="52">
        <f>IF(T16="Won",IFERROR(N(IFERROR(INDEX($A16:$R16,MATCH("Still to Invoice",$A$1:$R$1,0)),"")),0),0)</f>
        <v/>
      </c>
      <c r="Z16" s="55">
        <f>IFERROR(EOMONTH(IFERROR(INDEX($A16:$R16,MATCH("Expected Invoice Month",$A$1:$R$1,0)),""),0),"")</f>
        <v/>
      </c>
      <c r="AA16" s="9">
        <f>IFERROR(INDEX($A16:$R16,MATCH("Cost Centre",$A$1:$R$1,0)),"")&amp;""</f>
        <v/>
      </c>
      <c r="AB16" s="9">
        <f>IFERROR(INDEX($A16:$R16,MATCH("Pipeline Stage",$A$1:$R$1,0)),"")&amp;""</f>
        <v/>
      </c>
      <c r="AC16" s="9">
        <f>IFERROR(INDEX($A16:$R16,MATCH("Client",$A$1:$R$1,0)),"")&amp;""</f>
        <v/>
      </c>
      <c r="AD16" s="9">
        <f>IFERROR(INDEX($A16:$R16,MATCH("Description",$A$1:$R$1,0)),"")&amp;""</f>
        <v/>
      </c>
      <c r="AE16" s="9">
        <f>IFERROR(INDEX($A16:$R16,MATCH("Job Number",$A$1:$R$1,0)),"")&amp;""</f>
        <v/>
      </c>
      <c r="AF16" s="54">
        <f>IF(AND(T16="Open",ISNUMBER(Z16),Z16&lt;EOMONTH(set_AsAt,-1)+1),3,0)</f>
        <v/>
      </c>
      <c r="AG16" s="54">
        <f>IF(AND(T16="Open",U16&gt;0,U16&gt;=set_DealShare*SUMIFS($U$2:$U$601,$T$2:$T$601,"Open")),3,0)</f>
        <v/>
      </c>
      <c r="AH16" s="54">
        <f>IF(AND(T16="Open",U16&gt;=set_BigValue,W16&lt;=set_EarlyProb),2,0)</f>
        <v/>
      </c>
      <c r="AI16" s="54">
        <f>IF(AND(OR(T16="Open",T16="Won"),V16=0),2,0)</f>
        <v/>
      </c>
      <c r="AJ16" s="54">
        <f>IF(AND(T16="Won",Y16&gt;0.5,ISNUMBER(Z16),Z16&lt;EOMONTH(set_AsAt,-1)+1),3,0)</f>
        <v/>
      </c>
      <c r="AK16" s="54">
        <f>IF(AND(T16="Won",Y16&lt;-1),1,0)</f>
        <v/>
      </c>
      <c r="AL16" s="54">
        <f>SUM(AF16:AK16)</f>
        <v/>
      </c>
      <c r="AM16" s="9">
        <f>IF(AL16&gt;=set_ScoreHigh,"High",IF(AL16&gt;=set_ScoreMed,"Medium",IF(AL16&gt;0,"Low","OK")))</f>
        <v/>
      </c>
      <c r="AN16" s="54">
        <f>IF(OR(T16="Open",AND(T16="Won",ABS(Y16)&gt;0.5)),1,0)</f>
        <v/>
      </c>
      <c r="AO16" s="52">
        <f>IF(T16="Open",IF(V16=0,0,X16),IF(T16="Won",MAX(0,Y16),0))</f>
        <v/>
      </c>
      <c r="AP16" s="54">
        <f>IF(AN16=1,AL16*1E+9+U16+ROW()/1E+6,"")</f>
        <v/>
      </c>
      <c r="AQ16" s="9">
        <f>MID(IF(AF16&gt;0,"; Expected month passed - update Zoho","")&amp;IF(AG16&gt;0,"; "&amp;TEXT(U16/MAX(1,SUMIFS($U$2:$U$601,$T$2:$T$601,"Open")),"0%")&amp;" of open pipeline in one deal","")&amp;IF(AH16&gt;0,"; Large deal at an early stage","")&amp;IF(AI16&gt;0,"; No amount in Zoho","")&amp;IF(AJ16&gt;0,"; Won, invoice month passed, not fully invoiced","")&amp;IF(AK16&gt;0,"; Xero invoiced more than the deal value",""),3,300)</f>
        <v/>
      </c>
    </row>
    <row r="17">
      <c r="A17" s="51" t="n">
        <v>46203</v>
      </c>
      <c r="B17" t="inlineStr">
        <is>
          <t>ZOHO</t>
        </is>
      </c>
      <c r="C17" t="inlineStr">
        <is>
          <t>25091601</t>
        </is>
      </c>
      <c r="D17" t="inlineStr">
        <is>
          <t>Ricoh</t>
        </is>
      </c>
      <c r="E17" t="inlineStr">
        <is>
          <t>25091601</t>
        </is>
      </c>
      <c r="G17" t="inlineStr">
        <is>
          <t>ONSITE</t>
        </is>
      </c>
      <c r="H17" t="inlineStr">
        <is>
          <t>Ricoh / Blackrock SYD</t>
        </is>
      </c>
      <c r="I17" t="n">
        <v>137200</v>
      </c>
      <c r="J17" t="inlineStr">
        <is>
          <t>Open</t>
        </is>
      </c>
      <c r="L17" s="51" t="n">
        <v>46203</v>
      </c>
      <c r="M17" t="n">
        <v>0</v>
      </c>
      <c r="O17" t="inlineStr">
        <is>
          <t>Closing date has passed - update Zoho</t>
        </is>
      </c>
      <c r="P17" t="inlineStr">
        <is>
          <t>Negotiation/Review</t>
        </is>
      </c>
      <c r="Q17" t="n">
        <v>0.75</v>
      </c>
      <c r="R17" t="n">
        <v>102900</v>
      </c>
      <c r="T17" s="9">
        <f>IFERROR(INDEX($A17:$R17,MATCH("Status",$A$1:$R$1,0)),"")&amp;""</f>
        <v/>
      </c>
      <c r="U17" s="52">
        <f>IFERROR(N(IFERROR(INDEX($A17:$R17,MATCH("Value Ex GST",$A$1:$R$1,0)),"")),0)</f>
        <v/>
      </c>
      <c r="V17" s="54">
        <f>IF(AND(T17&lt;&gt;"",IFERROR(INDEX($A17:$R17,MATCH("Value Ex GST",$A$1:$R$1,0)),"")&amp;""&lt;&gt;""),1,0)</f>
        <v/>
      </c>
      <c r="W17" s="56">
        <f>IFERROR(N(IFERROR(INDEX($A17:$R17,MATCH("Probability",$A$1:$R$1,0)),"")),0)</f>
        <v/>
      </c>
      <c r="X17" s="52">
        <f>IF(T17="Open",U17*W17,0)</f>
        <v/>
      </c>
      <c r="Y17" s="52">
        <f>IF(T17="Won",IFERROR(N(IFERROR(INDEX($A17:$R17,MATCH("Still to Invoice",$A$1:$R$1,0)),"")),0),0)</f>
        <v/>
      </c>
      <c r="Z17" s="55">
        <f>IFERROR(EOMONTH(IFERROR(INDEX($A17:$R17,MATCH("Expected Invoice Month",$A$1:$R$1,0)),""),0),"")</f>
        <v/>
      </c>
      <c r="AA17" s="9">
        <f>IFERROR(INDEX($A17:$R17,MATCH("Cost Centre",$A$1:$R$1,0)),"")&amp;""</f>
        <v/>
      </c>
      <c r="AB17" s="9">
        <f>IFERROR(INDEX($A17:$R17,MATCH("Pipeline Stage",$A$1:$R$1,0)),"")&amp;""</f>
        <v/>
      </c>
      <c r="AC17" s="9">
        <f>IFERROR(INDEX($A17:$R17,MATCH("Client",$A$1:$R$1,0)),"")&amp;""</f>
        <v/>
      </c>
      <c r="AD17" s="9">
        <f>IFERROR(INDEX($A17:$R17,MATCH("Description",$A$1:$R$1,0)),"")&amp;""</f>
        <v/>
      </c>
      <c r="AE17" s="9">
        <f>IFERROR(INDEX($A17:$R17,MATCH("Job Number",$A$1:$R$1,0)),"")&amp;""</f>
        <v/>
      </c>
      <c r="AF17" s="54">
        <f>IF(AND(T17="Open",ISNUMBER(Z17),Z17&lt;EOMONTH(set_AsAt,-1)+1),3,0)</f>
        <v/>
      </c>
      <c r="AG17" s="54">
        <f>IF(AND(T17="Open",U17&gt;0,U17&gt;=set_DealShare*SUMIFS($U$2:$U$601,$T$2:$T$601,"Open")),3,0)</f>
        <v/>
      </c>
      <c r="AH17" s="54">
        <f>IF(AND(T17="Open",U17&gt;=set_BigValue,W17&lt;=set_EarlyProb),2,0)</f>
        <v/>
      </c>
      <c r="AI17" s="54">
        <f>IF(AND(OR(T17="Open",T17="Won"),V17=0),2,0)</f>
        <v/>
      </c>
      <c r="AJ17" s="54">
        <f>IF(AND(T17="Won",Y17&gt;0.5,ISNUMBER(Z17),Z17&lt;EOMONTH(set_AsAt,-1)+1),3,0)</f>
        <v/>
      </c>
      <c r="AK17" s="54">
        <f>IF(AND(T17="Won",Y17&lt;-1),1,0)</f>
        <v/>
      </c>
      <c r="AL17" s="54">
        <f>SUM(AF17:AK17)</f>
        <v/>
      </c>
      <c r="AM17" s="9">
        <f>IF(AL17&gt;=set_ScoreHigh,"High",IF(AL17&gt;=set_ScoreMed,"Medium",IF(AL17&gt;0,"Low","OK")))</f>
        <v/>
      </c>
      <c r="AN17" s="54">
        <f>IF(OR(T17="Open",AND(T17="Won",ABS(Y17)&gt;0.5)),1,0)</f>
        <v/>
      </c>
      <c r="AO17" s="52">
        <f>IF(T17="Open",IF(V17=0,0,X17),IF(T17="Won",MAX(0,Y17),0))</f>
        <v/>
      </c>
      <c r="AP17" s="54">
        <f>IF(AN17=1,AL17*1E+9+U17+ROW()/1E+6,"")</f>
        <v/>
      </c>
      <c r="AQ17" s="9">
        <f>MID(IF(AF17&gt;0,"; Expected month passed - update Zoho","")&amp;IF(AG17&gt;0,"; "&amp;TEXT(U17/MAX(1,SUMIFS($U$2:$U$601,$T$2:$T$601,"Open")),"0%")&amp;" of open pipeline in one deal","")&amp;IF(AH17&gt;0,"; Large deal at an early stage","")&amp;IF(AI17&gt;0,"; No amount in Zoho","")&amp;IF(AJ17&gt;0,"; Won, invoice month passed, not fully invoiced","")&amp;IF(AK17&gt;0,"; Xero invoiced more than the deal value",""),3,300)</f>
        <v/>
      </c>
    </row>
    <row r="18">
      <c r="A18" s="51" t="n">
        <v>46326</v>
      </c>
      <c r="B18" t="inlineStr">
        <is>
          <t>ZOHO</t>
        </is>
      </c>
      <c r="C18" t="inlineStr">
        <is>
          <t>2608606</t>
        </is>
      </c>
      <c r="D18" t="inlineStr">
        <is>
          <t>Commonwealth Bank Australia (CBA)</t>
        </is>
      </c>
      <c r="E18" t="inlineStr">
        <is>
          <t>2608606</t>
        </is>
      </c>
      <c r="G18" t="inlineStr">
        <is>
          <t>PRODUCTION</t>
        </is>
      </c>
      <c r="H18" t="inlineStr">
        <is>
          <t>CBA - Lighting for Global Markets Conference - 19-21.10.26</t>
        </is>
      </c>
      <c r="I18" t="n">
        <v>25180</v>
      </c>
      <c r="J18" t="inlineStr">
        <is>
          <t>Open</t>
        </is>
      </c>
      <c r="L18" s="51" t="n">
        <v>46326</v>
      </c>
      <c r="M18" t="n">
        <v>0</v>
      </c>
      <c r="P18" t="inlineStr">
        <is>
          <t>Negotiation/Review</t>
        </is>
      </c>
      <c r="Q18" t="n">
        <v>0.75</v>
      </c>
      <c r="R18" t="n">
        <v>18885</v>
      </c>
      <c r="T18" s="9">
        <f>IFERROR(INDEX($A18:$R18,MATCH("Status",$A$1:$R$1,0)),"")&amp;""</f>
        <v/>
      </c>
      <c r="U18" s="52">
        <f>IFERROR(N(IFERROR(INDEX($A18:$R18,MATCH("Value Ex GST",$A$1:$R$1,0)),"")),0)</f>
        <v/>
      </c>
      <c r="V18" s="54">
        <f>IF(AND(T18&lt;&gt;"",IFERROR(INDEX($A18:$R18,MATCH("Value Ex GST",$A$1:$R$1,0)),"")&amp;""&lt;&gt;""),1,0)</f>
        <v/>
      </c>
      <c r="W18" s="56">
        <f>IFERROR(N(IFERROR(INDEX($A18:$R18,MATCH("Probability",$A$1:$R$1,0)),"")),0)</f>
        <v/>
      </c>
      <c r="X18" s="52">
        <f>IF(T18="Open",U18*W18,0)</f>
        <v/>
      </c>
      <c r="Y18" s="52">
        <f>IF(T18="Won",IFERROR(N(IFERROR(INDEX($A18:$R18,MATCH("Still to Invoice",$A$1:$R$1,0)),"")),0),0)</f>
        <v/>
      </c>
      <c r="Z18" s="55">
        <f>IFERROR(EOMONTH(IFERROR(INDEX($A18:$R18,MATCH("Expected Invoice Month",$A$1:$R$1,0)),""),0),"")</f>
        <v/>
      </c>
      <c r="AA18" s="9">
        <f>IFERROR(INDEX($A18:$R18,MATCH("Cost Centre",$A$1:$R$1,0)),"")&amp;""</f>
        <v/>
      </c>
      <c r="AB18" s="9">
        <f>IFERROR(INDEX($A18:$R18,MATCH("Pipeline Stage",$A$1:$R$1,0)),"")&amp;""</f>
        <v/>
      </c>
      <c r="AC18" s="9">
        <f>IFERROR(INDEX($A18:$R18,MATCH("Client",$A$1:$R$1,0)),"")&amp;""</f>
        <v/>
      </c>
      <c r="AD18" s="9">
        <f>IFERROR(INDEX($A18:$R18,MATCH("Description",$A$1:$R$1,0)),"")&amp;""</f>
        <v/>
      </c>
      <c r="AE18" s="9">
        <f>IFERROR(INDEX($A18:$R18,MATCH("Job Number",$A$1:$R$1,0)),"")&amp;""</f>
        <v/>
      </c>
      <c r="AF18" s="54">
        <f>IF(AND(T18="Open",ISNUMBER(Z18),Z18&lt;EOMONTH(set_AsAt,-1)+1),3,0)</f>
        <v/>
      </c>
      <c r="AG18" s="54">
        <f>IF(AND(T18="Open",U18&gt;0,U18&gt;=set_DealShare*SUMIFS($U$2:$U$601,$T$2:$T$601,"Open")),3,0)</f>
        <v/>
      </c>
      <c r="AH18" s="54">
        <f>IF(AND(T18="Open",U18&gt;=set_BigValue,W18&lt;=set_EarlyProb),2,0)</f>
        <v/>
      </c>
      <c r="AI18" s="54">
        <f>IF(AND(OR(T18="Open",T18="Won"),V18=0),2,0)</f>
        <v/>
      </c>
      <c r="AJ18" s="54">
        <f>IF(AND(T18="Won",Y18&gt;0.5,ISNUMBER(Z18),Z18&lt;EOMONTH(set_AsAt,-1)+1),3,0)</f>
        <v/>
      </c>
      <c r="AK18" s="54">
        <f>IF(AND(T18="Won",Y18&lt;-1),1,0)</f>
        <v/>
      </c>
      <c r="AL18" s="54">
        <f>SUM(AF18:AK18)</f>
        <v/>
      </c>
      <c r="AM18" s="9">
        <f>IF(AL18&gt;=set_ScoreHigh,"High",IF(AL18&gt;=set_ScoreMed,"Medium",IF(AL18&gt;0,"Low","OK")))</f>
        <v/>
      </c>
      <c r="AN18" s="54">
        <f>IF(OR(T18="Open",AND(T18="Won",ABS(Y18)&gt;0.5)),1,0)</f>
        <v/>
      </c>
      <c r="AO18" s="52">
        <f>IF(T18="Open",IF(V18=0,0,X18),IF(T18="Won",MAX(0,Y18),0))</f>
        <v/>
      </c>
      <c r="AP18" s="54">
        <f>IF(AN18=1,AL18*1E+9+U18+ROW()/1E+6,"")</f>
        <v/>
      </c>
      <c r="AQ18" s="9">
        <f>MID(IF(AF18&gt;0,"; Expected month passed - update Zoho","")&amp;IF(AG18&gt;0,"; "&amp;TEXT(U18/MAX(1,SUMIFS($U$2:$U$601,$T$2:$T$601,"Open")),"0%")&amp;" of open pipeline in one deal","")&amp;IF(AH18&gt;0,"; Large deal at an early stage","")&amp;IF(AI18&gt;0,"; No amount in Zoho","")&amp;IF(AJ18&gt;0,"; Won, invoice month passed, not fully invoiced","")&amp;IF(AK18&gt;0,"; Xero invoiced more than the deal value",""),3,300)</f>
        <v/>
      </c>
    </row>
    <row r="19">
      <c r="A19" s="51" t="n">
        <v>46234</v>
      </c>
      <c r="B19" t="inlineStr">
        <is>
          <t>ZOHO</t>
        </is>
      </c>
      <c r="C19" t="inlineStr">
        <is>
          <t>26073110</t>
        </is>
      </c>
      <c r="D19" t="inlineStr">
        <is>
          <t>Garvan Institute of Medical Research</t>
        </is>
      </c>
      <c r="E19" t="inlineStr">
        <is>
          <t>26073110</t>
        </is>
      </c>
      <c r="F19" t="inlineStr">
        <is>
          <t>OK</t>
        </is>
      </c>
      <c r="G19" t="inlineStr">
        <is>
          <t>PRODUCTION</t>
        </is>
      </c>
      <c r="H19" t="inlineStr">
        <is>
          <t>Garvan - Weizmann Dinner Event - 20.8.26</t>
        </is>
      </c>
      <c r="I19" t="n">
        <v>1055</v>
      </c>
      <c r="J19" t="inlineStr">
        <is>
          <t>Won</t>
        </is>
      </c>
      <c r="K19" s="51" t="n">
        <v>46219</v>
      </c>
      <c r="L19" s="51" t="n">
        <v>46265</v>
      </c>
      <c r="M19" t="n">
        <v>1055</v>
      </c>
      <c r="N19" t="n">
        <v>0</v>
      </c>
      <c r="O19" t="inlineStr">
        <is>
          <t>Invoice month taken from the event date in the deal name</t>
        </is>
      </c>
      <c r="P19" t="inlineStr">
        <is>
          <t>Closed Won</t>
        </is>
      </c>
      <c r="Q19" t="n">
        <v>1</v>
      </c>
      <c r="R19" t="n">
        <v>1055</v>
      </c>
      <c r="T19" s="9">
        <f>IFERROR(INDEX($A19:$R19,MATCH("Status",$A$1:$R$1,0)),"")&amp;""</f>
        <v/>
      </c>
      <c r="U19" s="52">
        <f>IFERROR(N(IFERROR(INDEX($A19:$R19,MATCH("Value Ex GST",$A$1:$R$1,0)),"")),0)</f>
        <v/>
      </c>
      <c r="V19" s="54">
        <f>IF(AND(T19&lt;&gt;"",IFERROR(INDEX($A19:$R19,MATCH("Value Ex GST",$A$1:$R$1,0)),"")&amp;""&lt;&gt;""),1,0)</f>
        <v/>
      </c>
      <c r="W19" s="56">
        <f>IFERROR(N(IFERROR(INDEX($A19:$R19,MATCH("Probability",$A$1:$R$1,0)),"")),0)</f>
        <v/>
      </c>
      <c r="X19" s="52">
        <f>IF(T19="Open",U19*W19,0)</f>
        <v/>
      </c>
      <c r="Y19" s="52">
        <f>IF(T19="Won",IFERROR(N(IFERROR(INDEX($A19:$R19,MATCH("Still to Invoice",$A$1:$R$1,0)),"")),0),0)</f>
        <v/>
      </c>
      <c r="Z19" s="55">
        <f>IFERROR(EOMONTH(IFERROR(INDEX($A19:$R19,MATCH("Expected Invoice Month",$A$1:$R$1,0)),""),0),"")</f>
        <v/>
      </c>
      <c r="AA19" s="9">
        <f>IFERROR(INDEX($A19:$R19,MATCH("Cost Centre",$A$1:$R$1,0)),"")&amp;""</f>
        <v/>
      </c>
      <c r="AB19" s="9">
        <f>IFERROR(INDEX($A19:$R19,MATCH("Pipeline Stage",$A$1:$R$1,0)),"")&amp;""</f>
        <v/>
      </c>
      <c r="AC19" s="9">
        <f>IFERROR(INDEX($A19:$R19,MATCH("Client",$A$1:$R$1,0)),"")&amp;""</f>
        <v/>
      </c>
      <c r="AD19" s="9">
        <f>IFERROR(INDEX($A19:$R19,MATCH("Description",$A$1:$R$1,0)),"")&amp;""</f>
        <v/>
      </c>
      <c r="AE19" s="9">
        <f>IFERROR(INDEX($A19:$R19,MATCH("Job Number",$A$1:$R$1,0)),"")&amp;""</f>
        <v/>
      </c>
      <c r="AF19" s="54">
        <f>IF(AND(T19="Open",ISNUMBER(Z19),Z19&lt;EOMONTH(set_AsAt,-1)+1),3,0)</f>
        <v/>
      </c>
      <c r="AG19" s="54">
        <f>IF(AND(T19="Open",U19&gt;0,U19&gt;=set_DealShare*SUMIFS($U$2:$U$601,$T$2:$T$601,"Open")),3,0)</f>
        <v/>
      </c>
      <c r="AH19" s="54">
        <f>IF(AND(T19="Open",U19&gt;=set_BigValue,W19&lt;=set_EarlyProb),2,0)</f>
        <v/>
      </c>
      <c r="AI19" s="54">
        <f>IF(AND(OR(T19="Open",T19="Won"),V19=0),2,0)</f>
        <v/>
      </c>
      <c r="AJ19" s="54">
        <f>IF(AND(T19="Won",Y19&gt;0.5,ISNUMBER(Z19),Z19&lt;EOMONTH(set_AsAt,-1)+1),3,0)</f>
        <v/>
      </c>
      <c r="AK19" s="54">
        <f>IF(AND(T19="Won",Y19&lt;-1),1,0)</f>
        <v/>
      </c>
      <c r="AL19" s="54">
        <f>SUM(AF19:AK19)</f>
        <v/>
      </c>
      <c r="AM19" s="9">
        <f>IF(AL19&gt;=set_ScoreHigh,"High",IF(AL19&gt;=set_ScoreMed,"Medium",IF(AL19&gt;0,"Low","OK")))</f>
        <v/>
      </c>
      <c r="AN19" s="54">
        <f>IF(OR(T19="Open",AND(T19="Won",ABS(Y19)&gt;0.5)),1,0)</f>
        <v/>
      </c>
      <c r="AO19" s="52">
        <f>IF(T19="Open",IF(V19=0,0,X19),IF(T19="Won",MAX(0,Y19),0))</f>
        <v/>
      </c>
      <c r="AP19" s="54">
        <f>IF(AN19=1,AL19*1E+9+U19+ROW()/1E+6,"")</f>
        <v/>
      </c>
      <c r="AQ19" s="9">
        <f>MID(IF(AF19&gt;0,"; Expected month passed - update Zoho","")&amp;IF(AG19&gt;0,"; "&amp;TEXT(U19/MAX(1,SUMIFS($U$2:$U$601,$T$2:$T$601,"Open")),"0%")&amp;" of open pipeline in one deal","")&amp;IF(AH19&gt;0,"; Large deal at an early stage","")&amp;IF(AI19&gt;0,"; No amount in Zoho","")&amp;IF(AJ19&gt;0,"; Won, invoice month passed, not fully invoiced","")&amp;IF(AK19&gt;0,"; Xero invoiced more than the deal value",""),3,300)</f>
        <v/>
      </c>
    </row>
    <row r="20">
      <c r="A20" s="51" t="n">
        <v>46265</v>
      </c>
      <c r="B20" t="inlineStr">
        <is>
          <t>ZOHO</t>
        </is>
      </c>
      <c r="C20" t="inlineStr">
        <is>
          <t>26061106</t>
        </is>
      </c>
      <c r="D20" t="inlineStr">
        <is>
          <t>The Lottery Corporation</t>
        </is>
      </c>
      <c r="E20" t="inlineStr">
        <is>
          <t>26061106</t>
        </is>
      </c>
      <c r="F20" t="inlineStr">
        <is>
          <t>OK</t>
        </is>
      </c>
      <c r="G20" t="inlineStr">
        <is>
          <t>PRODUCTION</t>
        </is>
      </c>
      <c r="H20" t="inlineStr">
        <is>
          <t>TLC - FYR26 (MEL) - 19.8.26</t>
        </is>
      </c>
      <c r="I20" t="n">
        <v>13661</v>
      </c>
      <c r="J20" t="inlineStr">
        <is>
          <t>Won</t>
        </is>
      </c>
      <c r="K20" s="51" t="n">
        <v>46239</v>
      </c>
      <c r="L20" s="51" t="n">
        <v>46265</v>
      </c>
      <c r="M20" t="n">
        <v>13661</v>
      </c>
      <c r="N20" t="n">
        <v>0</v>
      </c>
      <c r="P20" t="inlineStr">
        <is>
          <t>Closed Won</t>
        </is>
      </c>
      <c r="Q20" t="n">
        <v>1</v>
      </c>
      <c r="R20" t="n">
        <v>13661</v>
      </c>
      <c r="T20" s="9">
        <f>IFERROR(INDEX($A20:$R20,MATCH("Status",$A$1:$R$1,0)),"")&amp;""</f>
        <v/>
      </c>
      <c r="U20" s="52">
        <f>IFERROR(N(IFERROR(INDEX($A20:$R20,MATCH("Value Ex GST",$A$1:$R$1,0)),"")),0)</f>
        <v/>
      </c>
      <c r="V20" s="54">
        <f>IF(AND(T20&lt;&gt;"",IFERROR(INDEX($A20:$R20,MATCH("Value Ex GST",$A$1:$R$1,0)),"")&amp;""&lt;&gt;""),1,0)</f>
        <v/>
      </c>
      <c r="W20" s="56">
        <f>IFERROR(N(IFERROR(INDEX($A20:$R20,MATCH("Probability",$A$1:$R$1,0)),"")),0)</f>
        <v/>
      </c>
      <c r="X20" s="52">
        <f>IF(T20="Open",U20*W20,0)</f>
        <v/>
      </c>
      <c r="Y20" s="52">
        <f>IF(T20="Won",IFERROR(N(IFERROR(INDEX($A20:$R20,MATCH("Still to Invoice",$A$1:$R$1,0)),"")),0),0)</f>
        <v/>
      </c>
      <c r="Z20" s="55">
        <f>IFERROR(EOMONTH(IFERROR(INDEX($A20:$R20,MATCH("Expected Invoice Month",$A$1:$R$1,0)),""),0),"")</f>
        <v/>
      </c>
      <c r="AA20" s="9">
        <f>IFERROR(INDEX($A20:$R20,MATCH("Cost Centre",$A$1:$R$1,0)),"")&amp;""</f>
        <v/>
      </c>
      <c r="AB20" s="9">
        <f>IFERROR(INDEX($A20:$R20,MATCH("Pipeline Stage",$A$1:$R$1,0)),"")&amp;""</f>
        <v/>
      </c>
      <c r="AC20" s="9">
        <f>IFERROR(INDEX($A20:$R20,MATCH("Client",$A$1:$R$1,0)),"")&amp;""</f>
        <v/>
      </c>
      <c r="AD20" s="9">
        <f>IFERROR(INDEX($A20:$R20,MATCH("Description",$A$1:$R$1,0)),"")&amp;""</f>
        <v/>
      </c>
      <c r="AE20" s="9">
        <f>IFERROR(INDEX($A20:$R20,MATCH("Job Number",$A$1:$R$1,0)),"")&amp;""</f>
        <v/>
      </c>
      <c r="AF20" s="54">
        <f>IF(AND(T20="Open",ISNUMBER(Z20),Z20&lt;EOMONTH(set_AsAt,-1)+1),3,0)</f>
        <v/>
      </c>
      <c r="AG20" s="54">
        <f>IF(AND(T20="Open",U20&gt;0,U20&gt;=set_DealShare*SUMIFS($U$2:$U$601,$T$2:$T$601,"Open")),3,0)</f>
        <v/>
      </c>
      <c r="AH20" s="54">
        <f>IF(AND(T20="Open",U20&gt;=set_BigValue,W20&lt;=set_EarlyProb),2,0)</f>
        <v/>
      </c>
      <c r="AI20" s="54">
        <f>IF(AND(OR(T20="Open",T20="Won"),V20=0),2,0)</f>
        <v/>
      </c>
      <c r="AJ20" s="54">
        <f>IF(AND(T20="Won",Y20&gt;0.5,ISNUMBER(Z20),Z20&lt;EOMONTH(set_AsAt,-1)+1),3,0)</f>
        <v/>
      </c>
      <c r="AK20" s="54">
        <f>IF(AND(T20="Won",Y20&lt;-1),1,0)</f>
        <v/>
      </c>
      <c r="AL20" s="54">
        <f>SUM(AF20:AK20)</f>
        <v/>
      </c>
      <c r="AM20" s="9">
        <f>IF(AL20&gt;=set_ScoreHigh,"High",IF(AL20&gt;=set_ScoreMed,"Medium",IF(AL20&gt;0,"Low","OK")))</f>
        <v/>
      </c>
      <c r="AN20" s="54">
        <f>IF(OR(T20="Open",AND(T20="Won",ABS(Y20)&gt;0.5)),1,0)</f>
        <v/>
      </c>
      <c r="AO20" s="52">
        <f>IF(T20="Open",IF(V20=0,0,X20),IF(T20="Won",MAX(0,Y20),0))</f>
        <v/>
      </c>
      <c r="AP20" s="54">
        <f>IF(AN20=1,AL20*1E+9+U20+ROW()/1E+6,"")</f>
        <v/>
      </c>
      <c r="AQ20" s="9">
        <f>MID(IF(AF20&gt;0,"; Expected month passed - update Zoho","")&amp;IF(AG20&gt;0,"; "&amp;TEXT(U20/MAX(1,SUMIFS($U$2:$U$601,$T$2:$T$601,"Open")),"0%")&amp;" of open pipeline in one deal","")&amp;IF(AH20&gt;0,"; Large deal at an early stage","")&amp;IF(AI20&gt;0,"; No amount in Zoho","")&amp;IF(AJ20&gt;0,"; Won, invoice month passed, not fully invoiced","")&amp;IF(AK20&gt;0,"; Xero invoiced more than the deal value",""),3,300)</f>
        <v/>
      </c>
    </row>
    <row r="21">
      <c r="A21" s="51" t="n">
        <v>46234</v>
      </c>
      <c r="B21" t="inlineStr">
        <is>
          <t>ZOHO</t>
        </is>
      </c>
      <c r="C21" t="inlineStr">
        <is>
          <t>26061501</t>
        </is>
      </c>
      <c r="D21" t="inlineStr">
        <is>
          <t>Deloitte Australia</t>
        </is>
      </c>
      <c r="E21" t="inlineStr">
        <is>
          <t>26061501</t>
        </is>
      </c>
      <c r="F21" t="inlineStr">
        <is>
          <t>OK</t>
        </is>
      </c>
      <c r="G21" t="inlineStr">
        <is>
          <t>INTEGRATION</t>
        </is>
      </c>
      <c r="H21" t="inlineStr">
        <is>
          <t>DTTL | MEL Lv29 Display Supply - 26061501</t>
        </is>
      </c>
      <c r="I21" t="n">
        <v>3890</v>
      </c>
      <c r="J21" t="inlineStr">
        <is>
          <t>Won</t>
        </is>
      </c>
      <c r="K21" s="51" t="n">
        <v>46204</v>
      </c>
      <c r="L21" s="51" t="n">
        <v>46234</v>
      </c>
      <c r="M21" t="n">
        <v>3890</v>
      </c>
      <c r="N21" t="n">
        <v>0</v>
      </c>
      <c r="P21" t="inlineStr">
        <is>
          <t>Closed Won</t>
        </is>
      </c>
      <c r="Q21" t="n">
        <v>1</v>
      </c>
      <c r="R21" t="n">
        <v>3890</v>
      </c>
      <c r="T21" s="9">
        <f>IFERROR(INDEX($A21:$R21,MATCH("Status",$A$1:$R$1,0)),"")&amp;""</f>
        <v/>
      </c>
      <c r="U21" s="52">
        <f>IFERROR(N(IFERROR(INDEX($A21:$R21,MATCH("Value Ex GST",$A$1:$R$1,0)),"")),0)</f>
        <v/>
      </c>
      <c r="V21" s="54">
        <f>IF(AND(T21&lt;&gt;"",IFERROR(INDEX($A21:$R21,MATCH("Value Ex GST",$A$1:$R$1,0)),"")&amp;""&lt;&gt;""),1,0)</f>
        <v/>
      </c>
      <c r="W21" s="56">
        <f>IFERROR(N(IFERROR(INDEX($A21:$R21,MATCH("Probability",$A$1:$R$1,0)),"")),0)</f>
        <v/>
      </c>
      <c r="X21" s="52">
        <f>IF(T21="Open",U21*W21,0)</f>
        <v/>
      </c>
      <c r="Y21" s="52">
        <f>IF(T21="Won",IFERROR(N(IFERROR(INDEX($A21:$R21,MATCH("Still to Invoice",$A$1:$R$1,0)),"")),0),0)</f>
        <v/>
      </c>
      <c r="Z21" s="55">
        <f>IFERROR(EOMONTH(IFERROR(INDEX($A21:$R21,MATCH("Expected Invoice Month",$A$1:$R$1,0)),""),0),"")</f>
        <v/>
      </c>
      <c r="AA21" s="9">
        <f>IFERROR(INDEX($A21:$R21,MATCH("Cost Centre",$A$1:$R$1,0)),"")&amp;""</f>
        <v/>
      </c>
      <c r="AB21" s="9">
        <f>IFERROR(INDEX($A21:$R21,MATCH("Pipeline Stage",$A$1:$R$1,0)),"")&amp;""</f>
        <v/>
      </c>
      <c r="AC21" s="9">
        <f>IFERROR(INDEX($A21:$R21,MATCH("Client",$A$1:$R$1,0)),"")&amp;""</f>
        <v/>
      </c>
      <c r="AD21" s="9">
        <f>IFERROR(INDEX($A21:$R21,MATCH("Description",$A$1:$R$1,0)),"")&amp;""</f>
        <v/>
      </c>
      <c r="AE21" s="9">
        <f>IFERROR(INDEX($A21:$R21,MATCH("Job Number",$A$1:$R$1,0)),"")&amp;""</f>
        <v/>
      </c>
      <c r="AF21" s="54">
        <f>IF(AND(T21="Open",ISNUMBER(Z21),Z21&lt;EOMONTH(set_AsAt,-1)+1),3,0)</f>
        <v/>
      </c>
      <c r="AG21" s="54">
        <f>IF(AND(T21="Open",U21&gt;0,U21&gt;=set_DealShare*SUMIFS($U$2:$U$601,$T$2:$T$601,"Open")),3,0)</f>
        <v/>
      </c>
      <c r="AH21" s="54">
        <f>IF(AND(T21="Open",U21&gt;=set_BigValue,W21&lt;=set_EarlyProb),2,0)</f>
        <v/>
      </c>
      <c r="AI21" s="54">
        <f>IF(AND(OR(T21="Open",T21="Won"),V21=0),2,0)</f>
        <v/>
      </c>
      <c r="AJ21" s="54">
        <f>IF(AND(T21="Won",Y21&gt;0.5,ISNUMBER(Z21),Z21&lt;EOMONTH(set_AsAt,-1)+1),3,0)</f>
        <v/>
      </c>
      <c r="AK21" s="54">
        <f>IF(AND(T21="Won",Y21&lt;-1),1,0)</f>
        <v/>
      </c>
      <c r="AL21" s="54">
        <f>SUM(AF21:AK21)</f>
        <v/>
      </c>
      <c r="AM21" s="9">
        <f>IF(AL21&gt;=set_ScoreHigh,"High",IF(AL21&gt;=set_ScoreMed,"Medium",IF(AL21&gt;0,"Low","OK")))</f>
        <v/>
      </c>
      <c r="AN21" s="54">
        <f>IF(OR(T21="Open",AND(T21="Won",ABS(Y21)&gt;0.5)),1,0)</f>
        <v/>
      </c>
      <c r="AO21" s="52">
        <f>IF(T21="Open",IF(V21=0,0,X21),IF(T21="Won",MAX(0,Y21),0))</f>
        <v/>
      </c>
      <c r="AP21" s="54">
        <f>IF(AN21=1,AL21*1E+9+U21+ROW()/1E+6,"")</f>
        <v/>
      </c>
      <c r="AQ21" s="9">
        <f>MID(IF(AF21&gt;0,"; Expected month passed - update Zoho","")&amp;IF(AG21&gt;0,"; "&amp;TEXT(U21/MAX(1,SUMIFS($U$2:$U$601,$T$2:$T$601,"Open")),"0%")&amp;" of open pipeline in one deal","")&amp;IF(AH21&gt;0,"; Large deal at an early stage","")&amp;IF(AI21&gt;0,"; No amount in Zoho","")&amp;IF(AJ21&gt;0,"; Won, invoice month passed, not fully invoiced","")&amp;IF(AK21&gt;0,"; Xero invoiced more than the deal value",""),3,300)</f>
        <v/>
      </c>
    </row>
    <row r="22">
      <c r="A22" s="51" t="n">
        <v>46265</v>
      </c>
      <c r="B22" t="inlineStr">
        <is>
          <t>ZOHO</t>
        </is>
      </c>
      <c r="C22" t="inlineStr">
        <is>
          <t>26073111</t>
        </is>
      </c>
      <c r="D22" t="inlineStr">
        <is>
          <t>Downer EDI</t>
        </is>
      </c>
      <c r="E22" t="inlineStr">
        <is>
          <t>26073111</t>
        </is>
      </c>
      <c r="F22" t="inlineStr">
        <is>
          <t>OK</t>
        </is>
      </c>
      <c r="G22" t="inlineStr">
        <is>
          <t>PRODUCTION</t>
        </is>
      </c>
      <c r="H22" t="inlineStr">
        <is>
          <t>Downer - FYR &amp; Employee Webcast - 25.8.26</t>
        </is>
      </c>
      <c r="I22" t="n">
        <v>24414</v>
      </c>
      <c r="J22" t="inlineStr">
        <is>
          <t>Won</t>
        </is>
      </c>
      <c r="K22" s="51" t="n">
        <v>46259</v>
      </c>
      <c r="L22" s="51" t="n">
        <v>46265</v>
      </c>
      <c r="M22" t="n">
        <v>24413.75</v>
      </c>
      <c r="N22" t="n">
        <v>0.25</v>
      </c>
      <c r="P22" t="inlineStr">
        <is>
          <t>Closed Won</t>
        </is>
      </c>
      <c r="Q22" t="n">
        <v>1</v>
      </c>
      <c r="R22" t="n">
        <v>24414</v>
      </c>
      <c r="T22" s="9">
        <f>IFERROR(INDEX($A22:$R22,MATCH("Status",$A$1:$R$1,0)),"")&amp;""</f>
        <v/>
      </c>
      <c r="U22" s="52">
        <f>IFERROR(N(IFERROR(INDEX($A22:$R22,MATCH("Value Ex GST",$A$1:$R$1,0)),"")),0)</f>
        <v/>
      </c>
      <c r="V22" s="54">
        <f>IF(AND(T22&lt;&gt;"",IFERROR(INDEX($A22:$R22,MATCH("Value Ex GST",$A$1:$R$1,0)),"")&amp;""&lt;&gt;""),1,0)</f>
        <v/>
      </c>
      <c r="W22" s="56">
        <f>IFERROR(N(IFERROR(INDEX($A22:$R22,MATCH("Probability",$A$1:$R$1,0)),"")),0)</f>
        <v/>
      </c>
      <c r="X22" s="52">
        <f>IF(T22="Open",U22*W22,0)</f>
        <v/>
      </c>
      <c r="Y22" s="52">
        <f>IF(T22="Won",IFERROR(N(IFERROR(INDEX($A22:$R22,MATCH("Still to Invoice",$A$1:$R$1,0)),"")),0),0)</f>
        <v/>
      </c>
      <c r="Z22" s="55">
        <f>IFERROR(EOMONTH(IFERROR(INDEX($A22:$R22,MATCH("Expected Invoice Month",$A$1:$R$1,0)),""),0),"")</f>
        <v/>
      </c>
      <c r="AA22" s="9">
        <f>IFERROR(INDEX($A22:$R22,MATCH("Cost Centre",$A$1:$R$1,0)),"")&amp;""</f>
        <v/>
      </c>
      <c r="AB22" s="9">
        <f>IFERROR(INDEX($A22:$R22,MATCH("Pipeline Stage",$A$1:$R$1,0)),"")&amp;""</f>
        <v/>
      </c>
      <c r="AC22" s="9">
        <f>IFERROR(INDEX($A22:$R22,MATCH("Client",$A$1:$R$1,0)),"")&amp;""</f>
        <v/>
      </c>
      <c r="AD22" s="9">
        <f>IFERROR(INDEX($A22:$R22,MATCH("Description",$A$1:$R$1,0)),"")&amp;""</f>
        <v/>
      </c>
      <c r="AE22" s="9">
        <f>IFERROR(INDEX($A22:$R22,MATCH("Job Number",$A$1:$R$1,0)),"")&amp;""</f>
        <v/>
      </c>
      <c r="AF22" s="54">
        <f>IF(AND(T22="Open",ISNUMBER(Z22),Z22&lt;EOMONTH(set_AsAt,-1)+1),3,0)</f>
        <v/>
      </c>
      <c r="AG22" s="54">
        <f>IF(AND(T22="Open",U22&gt;0,U22&gt;=set_DealShare*SUMIFS($U$2:$U$601,$T$2:$T$601,"Open")),3,0)</f>
        <v/>
      </c>
      <c r="AH22" s="54">
        <f>IF(AND(T22="Open",U22&gt;=set_BigValue,W22&lt;=set_EarlyProb),2,0)</f>
        <v/>
      </c>
      <c r="AI22" s="54">
        <f>IF(AND(OR(T22="Open",T22="Won"),V22=0),2,0)</f>
        <v/>
      </c>
      <c r="AJ22" s="54">
        <f>IF(AND(T22="Won",Y22&gt;0.5,ISNUMBER(Z22),Z22&lt;EOMONTH(set_AsAt,-1)+1),3,0)</f>
        <v/>
      </c>
      <c r="AK22" s="54">
        <f>IF(AND(T22="Won",Y22&lt;-1),1,0)</f>
        <v/>
      </c>
      <c r="AL22" s="54">
        <f>SUM(AF22:AK22)</f>
        <v/>
      </c>
      <c r="AM22" s="9">
        <f>IF(AL22&gt;=set_ScoreHigh,"High",IF(AL22&gt;=set_ScoreMed,"Medium",IF(AL22&gt;0,"Low","OK")))</f>
        <v/>
      </c>
      <c r="AN22" s="54">
        <f>IF(OR(T22="Open",AND(T22="Won",ABS(Y22)&gt;0.5)),1,0)</f>
        <v/>
      </c>
      <c r="AO22" s="52">
        <f>IF(T22="Open",IF(V22=0,0,X22),IF(T22="Won",MAX(0,Y22),0))</f>
        <v/>
      </c>
      <c r="AP22" s="54">
        <f>IF(AN22=1,AL22*1E+9+U22+ROW()/1E+6,"")</f>
        <v/>
      </c>
      <c r="AQ22" s="9">
        <f>MID(IF(AF22&gt;0,"; Expected month passed - update Zoho","")&amp;IF(AG22&gt;0,"; "&amp;TEXT(U22/MAX(1,SUMIFS($U$2:$U$601,$T$2:$T$601,"Open")),"0%")&amp;" of open pipeline in one deal","")&amp;IF(AH22&gt;0,"; Large deal at an early stage","")&amp;IF(AI22&gt;0,"; No amount in Zoho","")&amp;IF(AJ22&gt;0,"; Won, invoice month passed, not fully invoiced","")&amp;IF(AK22&gt;0,"; Xero invoiced more than the deal value",""),3,300)</f>
        <v/>
      </c>
    </row>
    <row r="23">
      <c r="A23" s="51" t="n">
        <v>46265</v>
      </c>
      <c r="B23" t="inlineStr">
        <is>
          <t>ZOHO</t>
        </is>
      </c>
      <c r="C23" t="inlineStr">
        <is>
          <t>26061107</t>
        </is>
      </c>
      <c r="D23" t="inlineStr">
        <is>
          <t>Downer EDI</t>
        </is>
      </c>
      <c r="E23" t="inlineStr">
        <is>
          <t>26061107</t>
        </is>
      </c>
      <c r="F23" t="inlineStr">
        <is>
          <t>OK</t>
        </is>
      </c>
      <c r="G23" t="inlineStr">
        <is>
          <t>PRODUCTION</t>
        </is>
      </c>
      <c r="H23" t="inlineStr">
        <is>
          <t>Downer - FYR26 - 20.8.26</t>
        </is>
      </c>
      <c r="I23" t="n">
        <v>11644</v>
      </c>
      <c r="J23" t="inlineStr">
        <is>
          <t>Won</t>
        </is>
      </c>
      <c r="K23" s="51" t="n">
        <v>46247</v>
      </c>
      <c r="L23" s="51" t="n">
        <v>46265</v>
      </c>
      <c r="M23" t="n">
        <v>11644.25</v>
      </c>
      <c r="N23" t="n">
        <v>-0.25</v>
      </c>
      <c r="P23" t="inlineStr">
        <is>
          <t>Closed Won</t>
        </is>
      </c>
      <c r="Q23" t="n">
        <v>1</v>
      </c>
      <c r="R23" t="n">
        <v>11644</v>
      </c>
      <c r="T23" s="9">
        <f>IFERROR(INDEX($A23:$R23,MATCH("Status",$A$1:$R$1,0)),"")&amp;""</f>
        <v/>
      </c>
      <c r="U23" s="52">
        <f>IFERROR(N(IFERROR(INDEX($A23:$R23,MATCH("Value Ex GST",$A$1:$R$1,0)),"")),0)</f>
        <v/>
      </c>
      <c r="V23" s="54">
        <f>IF(AND(T23&lt;&gt;"",IFERROR(INDEX($A23:$R23,MATCH("Value Ex GST",$A$1:$R$1,0)),"")&amp;""&lt;&gt;""),1,0)</f>
        <v/>
      </c>
      <c r="W23" s="56">
        <f>IFERROR(N(IFERROR(INDEX($A23:$R23,MATCH("Probability",$A$1:$R$1,0)),"")),0)</f>
        <v/>
      </c>
      <c r="X23" s="52">
        <f>IF(T23="Open",U23*W23,0)</f>
        <v/>
      </c>
      <c r="Y23" s="52">
        <f>IF(T23="Won",IFERROR(N(IFERROR(INDEX($A23:$R23,MATCH("Still to Invoice",$A$1:$R$1,0)),"")),0),0)</f>
        <v/>
      </c>
      <c r="Z23" s="55">
        <f>IFERROR(EOMONTH(IFERROR(INDEX($A23:$R23,MATCH("Expected Invoice Month",$A$1:$R$1,0)),""),0),"")</f>
        <v/>
      </c>
      <c r="AA23" s="9">
        <f>IFERROR(INDEX($A23:$R23,MATCH("Cost Centre",$A$1:$R$1,0)),"")&amp;""</f>
        <v/>
      </c>
      <c r="AB23" s="9">
        <f>IFERROR(INDEX($A23:$R23,MATCH("Pipeline Stage",$A$1:$R$1,0)),"")&amp;""</f>
        <v/>
      </c>
      <c r="AC23" s="9">
        <f>IFERROR(INDEX($A23:$R23,MATCH("Client",$A$1:$R$1,0)),"")&amp;""</f>
        <v/>
      </c>
      <c r="AD23" s="9">
        <f>IFERROR(INDEX($A23:$R23,MATCH("Description",$A$1:$R$1,0)),"")&amp;""</f>
        <v/>
      </c>
      <c r="AE23" s="9">
        <f>IFERROR(INDEX($A23:$R23,MATCH("Job Number",$A$1:$R$1,0)),"")&amp;""</f>
        <v/>
      </c>
      <c r="AF23" s="54">
        <f>IF(AND(T23="Open",ISNUMBER(Z23),Z23&lt;EOMONTH(set_AsAt,-1)+1),3,0)</f>
        <v/>
      </c>
      <c r="AG23" s="54">
        <f>IF(AND(T23="Open",U23&gt;0,U23&gt;=set_DealShare*SUMIFS($U$2:$U$601,$T$2:$T$601,"Open")),3,0)</f>
        <v/>
      </c>
      <c r="AH23" s="54">
        <f>IF(AND(T23="Open",U23&gt;=set_BigValue,W23&lt;=set_EarlyProb),2,0)</f>
        <v/>
      </c>
      <c r="AI23" s="54">
        <f>IF(AND(OR(T23="Open",T23="Won"),V23=0),2,0)</f>
        <v/>
      </c>
      <c r="AJ23" s="54">
        <f>IF(AND(T23="Won",Y23&gt;0.5,ISNUMBER(Z23),Z23&lt;EOMONTH(set_AsAt,-1)+1),3,0)</f>
        <v/>
      </c>
      <c r="AK23" s="54">
        <f>IF(AND(T23="Won",Y23&lt;-1),1,0)</f>
        <v/>
      </c>
      <c r="AL23" s="54">
        <f>SUM(AF23:AK23)</f>
        <v/>
      </c>
      <c r="AM23" s="9">
        <f>IF(AL23&gt;=set_ScoreHigh,"High",IF(AL23&gt;=set_ScoreMed,"Medium",IF(AL23&gt;0,"Low","OK")))</f>
        <v/>
      </c>
      <c r="AN23" s="54">
        <f>IF(OR(T23="Open",AND(T23="Won",ABS(Y23)&gt;0.5)),1,0)</f>
        <v/>
      </c>
      <c r="AO23" s="52">
        <f>IF(T23="Open",IF(V23=0,0,X23),IF(T23="Won",MAX(0,Y23),0))</f>
        <v/>
      </c>
      <c r="AP23" s="54">
        <f>IF(AN23=1,AL23*1E+9+U23+ROW()/1E+6,"")</f>
        <v/>
      </c>
      <c r="AQ23" s="9">
        <f>MID(IF(AF23&gt;0,"; Expected month passed - update Zoho","")&amp;IF(AG23&gt;0,"; "&amp;TEXT(U23/MAX(1,SUMIFS($U$2:$U$601,$T$2:$T$601,"Open")),"0%")&amp;" of open pipeline in one deal","")&amp;IF(AH23&gt;0,"; Large deal at an early stage","")&amp;IF(AI23&gt;0,"; No amount in Zoho","")&amp;IF(AJ23&gt;0,"; Won, invoice month passed, not fully invoiced","")&amp;IF(AK23&gt;0,"; Xero invoiced more than the deal value",""),3,300)</f>
        <v/>
      </c>
    </row>
    <row r="24">
      <c r="A24" s="51" t="n">
        <v>46234</v>
      </c>
      <c r="B24" t="inlineStr">
        <is>
          <t>ZOHO</t>
        </is>
      </c>
      <c r="C24" t="inlineStr">
        <is>
          <t>26052703</t>
        </is>
      </c>
      <c r="D24" t="inlineStr">
        <is>
          <t>Microsoft</t>
        </is>
      </c>
      <c r="E24" t="inlineStr">
        <is>
          <t>26052703</t>
        </is>
      </c>
      <c r="F24" t="inlineStr">
        <is>
          <t>OK</t>
        </is>
      </c>
      <c r="G24" t="inlineStr">
        <is>
          <t>PRODUCTION</t>
        </is>
      </c>
      <c r="H24" t="inlineStr">
        <is>
          <t>Microsoft - Microsoft Town Hall - 21.7.26</t>
        </is>
      </c>
      <c r="I24" t="n">
        <v>12587</v>
      </c>
      <c r="J24" t="inlineStr">
        <is>
          <t>Won</t>
        </is>
      </c>
      <c r="K24" s="51" t="n">
        <v>46219</v>
      </c>
      <c r="L24" s="51" t="n">
        <v>46234</v>
      </c>
      <c r="M24" t="n">
        <v>12587</v>
      </c>
      <c r="N24" t="n">
        <v>0</v>
      </c>
      <c r="P24" t="inlineStr">
        <is>
          <t>Closed Won</t>
        </is>
      </c>
      <c r="Q24" t="n">
        <v>1</v>
      </c>
      <c r="R24" t="n">
        <v>12587</v>
      </c>
      <c r="T24" s="9">
        <f>IFERROR(INDEX($A24:$R24,MATCH("Status",$A$1:$R$1,0)),"")&amp;""</f>
        <v/>
      </c>
      <c r="U24" s="52">
        <f>IFERROR(N(IFERROR(INDEX($A24:$R24,MATCH("Value Ex GST",$A$1:$R$1,0)),"")),0)</f>
        <v/>
      </c>
      <c r="V24" s="54">
        <f>IF(AND(T24&lt;&gt;"",IFERROR(INDEX($A24:$R24,MATCH("Value Ex GST",$A$1:$R$1,0)),"")&amp;""&lt;&gt;""),1,0)</f>
        <v/>
      </c>
      <c r="W24" s="56">
        <f>IFERROR(N(IFERROR(INDEX($A24:$R24,MATCH("Probability",$A$1:$R$1,0)),"")),0)</f>
        <v/>
      </c>
      <c r="X24" s="52">
        <f>IF(T24="Open",U24*W24,0)</f>
        <v/>
      </c>
      <c r="Y24" s="52">
        <f>IF(T24="Won",IFERROR(N(IFERROR(INDEX($A24:$R24,MATCH("Still to Invoice",$A$1:$R$1,0)),"")),0),0)</f>
        <v/>
      </c>
      <c r="Z24" s="55">
        <f>IFERROR(EOMONTH(IFERROR(INDEX($A24:$R24,MATCH("Expected Invoice Month",$A$1:$R$1,0)),""),0),"")</f>
        <v/>
      </c>
      <c r="AA24" s="9">
        <f>IFERROR(INDEX($A24:$R24,MATCH("Cost Centre",$A$1:$R$1,0)),"")&amp;""</f>
        <v/>
      </c>
      <c r="AB24" s="9">
        <f>IFERROR(INDEX($A24:$R24,MATCH("Pipeline Stage",$A$1:$R$1,0)),"")&amp;""</f>
        <v/>
      </c>
      <c r="AC24" s="9">
        <f>IFERROR(INDEX($A24:$R24,MATCH("Client",$A$1:$R$1,0)),"")&amp;""</f>
        <v/>
      </c>
      <c r="AD24" s="9">
        <f>IFERROR(INDEX($A24:$R24,MATCH("Description",$A$1:$R$1,0)),"")&amp;""</f>
        <v/>
      </c>
      <c r="AE24" s="9">
        <f>IFERROR(INDEX($A24:$R24,MATCH("Job Number",$A$1:$R$1,0)),"")&amp;""</f>
        <v/>
      </c>
      <c r="AF24" s="54">
        <f>IF(AND(T24="Open",ISNUMBER(Z24),Z24&lt;EOMONTH(set_AsAt,-1)+1),3,0)</f>
        <v/>
      </c>
      <c r="AG24" s="54">
        <f>IF(AND(T24="Open",U24&gt;0,U24&gt;=set_DealShare*SUMIFS($U$2:$U$601,$T$2:$T$601,"Open")),3,0)</f>
        <v/>
      </c>
      <c r="AH24" s="54">
        <f>IF(AND(T24="Open",U24&gt;=set_BigValue,W24&lt;=set_EarlyProb),2,0)</f>
        <v/>
      </c>
      <c r="AI24" s="54">
        <f>IF(AND(OR(T24="Open",T24="Won"),V24=0),2,0)</f>
        <v/>
      </c>
      <c r="AJ24" s="54">
        <f>IF(AND(T24="Won",Y24&gt;0.5,ISNUMBER(Z24),Z24&lt;EOMONTH(set_AsAt,-1)+1),3,0)</f>
        <v/>
      </c>
      <c r="AK24" s="54">
        <f>IF(AND(T24="Won",Y24&lt;-1),1,0)</f>
        <v/>
      </c>
      <c r="AL24" s="54">
        <f>SUM(AF24:AK24)</f>
        <v/>
      </c>
      <c r="AM24" s="9">
        <f>IF(AL24&gt;=set_ScoreHigh,"High",IF(AL24&gt;=set_ScoreMed,"Medium",IF(AL24&gt;0,"Low","OK")))</f>
        <v/>
      </c>
      <c r="AN24" s="54">
        <f>IF(OR(T24="Open",AND(T24="Won",ABS(Y24)&gt;0.5)),1,0)</f>
        <v/>
      </c>
      <c r="AO24" s="52">
        <f>IF(T24="Open",IF(V24=0,0,X24),IF(T24="Won",MAX(0,Y24),0))</f>
        <v/>
      </c>
      <c r="AP24" s="54">
        <f>IF(AN24=1,AL24*1E+9+U24+ROW()/1E+6,"")</f>
        <v/>
      </c>
      <c r="AQ24" s="9">
        <f>MID(IF(AF24&gt;0,"; Expected month passed - update Zoho","")&amp;IF(AG24&gt;0,"; "&amp;TEXT(U24/MAX(1,SUMIFS($U$2:$U$601,$T$2:$T$601,"Open")),"0%")&amp;" of open pipeline in one deal","")&amp;IF(AH24&gt;0,"; Large deal at an early stage","")&amp;IF(AI24&gt;0,"; No amount in Zoho","")&amp;IF(AJ24&gt;0,"; Won, invoice month passed, not fully invoiced","")&amp;IF(AK24&gt;0,"; Xero invoiced more than the deal value",""),3,300)</f>
        <v/>
      </c>
    </row>
    <row r="25">
      <c r="A25" s="51" t="n">
        <v>46234</v>
      </c>
      <c r="B25" t="inlineStr">
        <is>
          <t>ZOHO</t>
        </is>
      </c>
      <c r="C25" t="inlineStr">
        <is>
          <t>2607701</t>
        </is>
      </c>
      <c r="D25" t="inlineStr">
        <is>
          <t>Litecard Pty Ltd</t>
        </is>
      </c>
      <c r="E25" t="inlineStr">
        <is>
          <t>2607701</t>
        </is>
      </c>
      <c r="F25" t="inlineStr">
        <is>
          <t>CHECK</t>
        </is>
      </c>
      <c r="G25" t="inlineStr">
        <is>
          <t>PRODUCTION</t>
        </is>
      </c>
      <c r="H25" t="inlineStr">
        <is>
          <t>Litecard - Event Hire - 16.7.26</t>
        </is>
      </c>
      <c r="I25" t="n">
        <v>500</v>
      </c>
      <c r="J25" t="inlineStr">
        <is>
          <t>Won</t>
        </is>
      </c>
      <c r="K25" s="51" t="n">
        <v>46209</v>
      </c>
      <c r="L25" s="51" t="n">
        <v>46234</v>
      </c>
      <c r="M25" t="n">
        <v>1050</v>
      </c>
      <c r="N25" t="n">
        <v>-550</v>
      </c>
      <c r="P25" t="inlineStr">
        <is>
          <t>Closed Won</t>
        </is>
      </c>
      <c r="Q25" t="n">
        <v>1</v>
      </c>
      <c r="R25" t="n">
        <v>500</v>
      </c>
      <c r="T25" s="9">
        <f>IFERROR(INDEX($A25:$R25,MATCH("Status",$A$1:$R$1,0)),"")&amp;""</f>
        <v/>
      </c>
      <c r="U25" s="52">
        <f>IFERROR(N(IFERROR(INDEX($A25:$R25,MATCH("Value Ex GST",$A$1:$R$1,0)),"")),0)</f>
        <v/>
      </c>
      <c r="V25" s="54">
        <f>IF(AND(T25&lt;&gt;"",IFERROR(INDEX($A25:$R25,MATCH("Value Ex GST",$A$1:$R$1,0)),"")&amp;""&lt;&gt;""),1,0)</f>
        <v/>
      </c>
      <c r="W25" s="56">
        <f>IFERROR(N(IFERROR(INDEX($A25:$R25,MATCH("Probability",$A$1:$R$1,0)),"")),0)</f>
        <v/>
      </c>
      <c r="X25" s="52">
        <f>IF(T25="Open",U25*W25,0)</f>
        <v/>
      </c>
      <c r="Y25" s="52">
        <f>IF(T25="Won",IFERROR(N(IFERROR(INDEX($A25:$R25,MATCH("Still to Invoice",$A$1:$R$1,0)),"")),0),0)</f>
        <v/>
      </c>
      <c r="Z25" s="55">
        <f>IFERROR(EOMONTH(IFERROR(INDEX($A25:$R25,MATCH("Expected Invoice Month",$A$1:$R$1,0)),""),0),"")</f>
        <v/>
      </c>
      <c r="AA25" s="9">
        <f>IFERROR(INDEX($A25:$R25,MATCH("Cost Centre",$A$1:$R$1,0)),"")&amp;""</f>
        <v/>
      </c>
      <c r="AB25" s="9">
        <f>IFERROR(INDEX($A25:$R25,MATCH("Pipeline Stage",$A$1:$R$1,0)),"")&amp;""</f>
        <v/>
      </c>
      <c r="AC25" s="9">
        <f>IFERROR(INDEX($A25:$R25,MATCH("Client",$A$1:$R$1,0)),"")&amp;""</f>
        <v/>
      </c>
      <c r="AD25" s="9">
        <f>IFERROR(INDEX($A25:$R25,MATCH("Description",$A$1:$R$1,0)),"")&amp;""</f>
        <v/>
      </c>
      <c r="AE25" s="9">
        <f>IFERROR(INDEX($A25:$R25,MATCH("Job Number",$A$1:$R$1,0)),"")&amp;""</f>
        <v/>
      </c>
      <c r="AF25" s="54">
        <f>IF(AND(T25="Open",ISNUMBER(Z25),Z25&lt;EOMONTH(set_AsAt,-1)+1),3,0)</f>
        <v/>
      </c>
      <c r="AG25" s="54">
        <f>IF(AND(T25="Open",U25&gt;0,U25&gt;=set_DealShare*SUMIFS($U$2:$U$601,$T$2:$T$601,"Open")),3,0)</f>
        <v/>
      </c>
      <c r="AH25" s="54">
        <f>IF(AND(T25="Open",U25&gt;=set_BigValue,W25&lt;=set_EarlyProb),2,0)</f>
        <v/>
      </c>
      <c r="AI25" s="54">
        <f>IF(AND(OR(T25="Open",T25="Won"),V25=0),2,0)</f>
        <v/>
      </c>
      <c r="AJ25" s="54">
        <f>IF(AND(T25="Won",Y25&gt;0.5,ISNUMBER(Z25),Z25&lt;EOMONTH(set_AsAt,-1)+1),3,0)</f>
        <v/>
      </c>
      <c r="AK25" s="54">
        <f>IF(AND(T25="Won",Y25&lt;-1),1,0)</f>
        <v/>
      </c>
      <c r="AL25" s="54">
        <f>SUM(AF25:AK25)</f>
        <v/>
      </c>
      <c r="AM25" s="9">
        <f>IF(AL25&gt;=set_ScoreHigh,"High",IF(AL25&gt;=set_ScoreMed,"Medium",IF(AL25&gt;0,"Low","OK")))</f>
        <v/>
      </c>
      <c r="AN25" s="54">
        <f>IF(OR(T25="Open",AND(T25="Won",ABS(Y25)&gt;0.5)),1,0)</f>
        <v/>
      </c>
      <c r="AO25" s="52">
        <f>IF(T25="Open",IF(V25=0,0,X25),IF(T25="Won",MAX(0,Y25),0))</f>
        <v/>
      </c>
      <c r="AP25" s="54">
        <f>IF(AN25=1,AL25*1E+9+U25+ROW()/1E+6,"")</f>
        <v/>
      </c>
      <c r="AQ25" s="9">
        <f>MID(IF(AF25&gt;0,"; Expected month passed - update Zoho","")&amp;IF(AG25&gt;0,"; "&amp;TEXT(U25/MAX(1,SUMIFS($U$2:$U$601,$T$2:$T$601,"Open")),"0%")&amp;" of open pipeline in one deal","")&amp;IF(AH25&gt;0,"; Large deal at an early stage","")&amp;IF(AI25&gt;0,"; No amount in Zoho","")&amp;IF(AJ25&gt;0,"; Won, invoice month passed, not fully invoiced","")&amp;IF(AK25&gt;0,"; Xero invoiced more than the deal value",""),3,300)</f>
        <v/>
      </c>
    </row>
    <row r="26">
      <c r="A26" s="51" t="n">
        <v>46356</v>
      </c>
      <c r="B26" t="inlineStr">
        <is>
          <t>ZOHO</t>
        </is>
      </c>
      <c r="C26" t="inlineStr">
        <is>
          <t>26011502</t>
        </is>
      </c>
      <c r="D26" t="inlineStr">
        <is>
          <t>ASX Refinitiv Charity Foundation Ltd</t>
        </is>
      </c>
      <c r="E26" t="inlineStr">
        <is>
          <t>26011502</t>
        </is>
      </c>
      <c r="F26" t="inlineStr">
        <is>
          <t>OK</t>
        </is>
      </c>
      <c r="G26" t="inlineStr">
        <is>
          <t>VIDEO</t>
        </is>
      </c>
      <c r="H26" t="inlineStr">
        <is>
          <t>Charity Regatta Highlights Video 2026</t>
        </is>
      </c>
      <c r="I26" t="n">
        <v>8831</v>
      </c>
      <c r="J26" t="inlineStr">
        <is>
          <t>Won</t>
        </is>
      </c>
      <c r="K26" s="51" t="n">
        <v>46346</v>
      </c>
      <c r="L26" s="51" t="n">
        <v>46356</v>
      </c>
      <c r="M26" t="n">
        <v>0</v>
      </c>
      <c r="N26" t="n">
        <v>8831</v>
      </c>
      <c r="P26" t="inlineStr">
        <is>
          <t>Closed Won</t>
        </is>
      </c>
      <c r="Q26" t="n">
        <v>1</v>
      </c>
      <c r="R26" t="n">
        <v>8831</v>
      </c>
      <c r="T26" s="9">
        <f>IFERROR(INDEX($A26:$R26,MATCH("Status",$A$1:$R$1,0)),"")&amp;""</f>
        <v/>
      </c>
      <c r="U26" s="52">
        <f>IFERROR(N(IFERROR(INDEX($A26:$R26,MATCH("Value Ex GST",$A$1:$R$1,0)),"")),0)</f>
        <v/>
      </c>
      <c r="V26" s="54">
        <f>IF(AND(T26&lt;&gt;"",IFERROR(INDEX($A26:$R26,MATCH("Value Ex GST",$A$1:$R$1,0)),"")&amp;""&lt;&gt;""),1,0)</f>
        <v/>
      </c>
      <c r="W26" s="56">
        <f>IFERROR(N(IFERROR(INDEX($A26:$R26,MATCH("Probability",$A$1:$R$1,0)),"")),0)</f>
        <v/>
      </c>
      <c r="X26" s="52">
        <f>IF(T26="Open",U26*W26,0)</f>
        <v/>
      </c>
      <c r="Y26" s="52">
        <f>IF(T26="Won",IFERROR(N(IFERROR(INDEX($A26:$R26,MATCH("Still to Invoice",$A$1:$R$1,0)),"")),0),0)</f>
        <v/>
      </c>
      <c r="Z26" s="55">
        <f>IFERROR(EOMONTH(IFERROR(INDEX($A26:$R26,MATCH("Expected Invoice Month",$A$1:$R$1,0)),""),0),"")</f>
        <v/>
      </c>
      <c r="AA26" s="9">
        <f>IFERROR(INDEX($A26:$R26,MATCH("Cost Centre",$A$1:$R$1,0)),"")&amp;""</f>
        <v/>
      </c>
      <c r="AB26" s="9">
        <f>IFERROR(INDEX($A26:$R26,MATCH("Pipeline Stage",$A$1:$R$1,0)),"")&amp;""</f>
        <v/>
      </c>
      <c r="AC26" s="9">
        <f>IFERROR(INDEX($A26:$R26,MATCH("Client",$A$1:$R$1,0)),"")&amp;""</f>
        <v/>
      </c>
      <c r="AD26" s="9">
        <f>IFERROR(INDEX($A26:$R26,MATCH("Description",$A$1:$R$1,0)),"")&amp;""</f>
        <v/>
      </c>
      <c r="AE26" s="9">
        <f>IFERROR(INDEX($A26:$R26,MATCH("Job Number",$A$1:$R$1,0)),"")&amp;""</f>
        <v/>
      </c>
      <c r="AF26" s="54">
        <f>IF(AND(T26="Open",ISNUMBER(Z26),Z26&lt;EOMONTH(set_AsAt,-1)+1),3,0)</f>
        <v/>
      </c>
      <c r="AG26" s="54">
        <f>IF(AND(T26="Open",U26&gt;0,U26&gt;=set_DealShare*SUMIFS($U$2:$U$601,$T$2:$T$601,"Open")),3,0)</f>
        <v/>
      </c>
      <c r="AH26" s="54">
        <f>IF(AND(T26="Open",U26&gt;=set_BigValue,W26&lt;=set_EarlyProb),2,0)</f>
        <v/>
      </c>
      <c r="AI26" s="54">
        <f>IF(AND(OR(T26="Open",T26="Won"),V26=0),2,0)</f>
        <v/>
      </c>
      <c r="AJ26" s="54">
        <f>IF(AND(T26="Won",Y26&gt;0.5,ISNUMBER(Z26),Z26&lt;EOMONTH(set_AsAt,-1)+1),3,0)</f>
        <v/>
      </c>
      <c r="AK26" s="54">
        <f>IF(AND(T26="Won",Y26&lt;-1),1,0)</f>
        <v/>
      </c>
      <c r="AL26" s="54">
        <f>SUM(AF26:AK26)</f>
        <v/>
      </c>
      <c r="AM26" s="9">
        <f>IF(AL26&gt;=set_ScoreHigh,"High",IF(AL26&gt;=set_ScoreMed,"Medium",IF(AL26&gt;0,"Low","OK")))</f>
        <v/>
      </c>
      <c r="AN26" s="54">
        <f>IF(OR(T26="Open",AND(T26="Won",ABS(Y26)&gt;0.5)),1,0)</f>
        <v/>
      </c>
      <c r="AO26" s="52">
        <f>IF(T26="Open",IF(V26=0,0,X26),IF(T26="Won",MAX(0,Y26),0))</f>
        <v/>
      </c>
      <c r="AP26" s="54">
        <f>IF(AN26=1,AL26*1E+9+U26+ROW()/1E+6,"")</f>
        <v/>
      </c>
      <c r="AQ26" s="9">
        <f>MID(IF(AF26&gt;0,"; Expected month passed - update Zoho","")&amp;IF(AG26&gt;0,"; "&amp;TEXT(U26/MAX(1,SUMIFS($U$2:$U$601,$T$2:$T$601,"Open")),"0%")&amp;" of open pipeline in one deal","")&amp;IF(AH26&gt;0,"; Large deal at an early stage","")&amp;IF(AI26&gt;0,"; No amount in Zoho","")&amp;IF(AJ26&gt;0,"; Won, invoice month passed, not fully invoiced","")&amp;IF(AK26&gt;0,"; Xero invoiced more than the deal value",""),3,300)</f>
        <v/>
      </c>
    </row>
    <row r="27">
      <c r="A27" s="51" t="n">
        <v>46234</v>
      </c>
      <c r="B27" t="inlineStr">
        <is>
          <t>ZOHO</t>
        </is>
      </c>
      <c r="C27" t="inlineStr">
        <is>
          <t>26071304</t>
        </is>
      </c>
      <c r="D27" t="inlineStr">
        <is>
          <t>YSG Studio</t>
        </is>
      </c>
      <c r="E27" t="inlineStr">
        <is>
          <t>26071304</t>
        </is>
      </c>
      <c r="F27" t="inlineStr">
        <is>
          <t>OK</t>
        </is>
      </c>
      <c r="G27" t="inlineStr">
        <is>
          <t>INTEGRATION</t>
        </is>
      </c>
      <c r="H27" t="inlineStr">
        <is>
          <t>YSG | Orange Room Upgrade INT - 26071304</t>
        </is>
      </c>
      <c r="I27" t="n">
        <v>9164</v>
      </c>
      <c r="J27" t="inlineStr">
        <is>
          <t>Won</t>
        </is>
      </c>
      <c r="K27" s="51" t="n">
        <v>46220</v>
      </c>
      <c r="L27" s="51" t="n">
        <v>46234</v>
      </c>
      <c r="M27" t="n">
        <v>9164</v>
      </c>
      <c r="N27" t="n">
        <v>0</v>
      </c>
      <c r="P27" t="inlineStr">
        <is>
          <t>Closed Won</t>
        </is>
      </c>
      <c r="Q27" t="n">
        <v>1</v>
      </c>
      <c r="R27" t="n">
        <v>9164</v>
      </c>
      <c r="T27" s="9">
        <f>IFERROR(INDEX($A27:$R27,MATCH("Status",$A$1:$R$1,0)),"")&amp;""</f>
        <v/>
      </c>
      <c r="U27" s="52">
        <f>IFERROR(N(IFERROR(INDEX($A27:$R27,MATCH("Value Ex GST",$A$1:$R$1,0)),"")),0)</f>
        <v/>
      </c>
      <c r="V27" s="54">
        <f>IF(AND(T27&lt;&gt;"",IFERROR(INDEX($A27:$R27,MATCH("Value Ex GST",$A$1:$R$1,0)),"")&amp;""&lt;&gt;""),1,0)</f>
        <v/>
      </c>
      <c r="W27" s="56">
        <f>IFERROR(N(IFERROR(INDEX($A27:$R27,MATCH("Probability",$A$1:$R$1,0)),"")),0)</f>
        <v/>
      </c>
      <c r="X27" s="52">
        <f>IF(T27="Open",U27*W27,0)</f>
        <v/>
      </c>
      <c r="Y27" s="52">
        <f>IF(T27="Won",IFERROR(N(IFERROR(INDEX($A27:$R27,MATCH("Still to Invoice",$A$1:$R$1,0)),"")),0),0)</f>
        <v/>
      </c>
      <c r="Z27" s="55">
        <f>IFERROR(EOMONTH(IFERROR(INDEX($A27:$R27,MATCH("Expected Invoice Month",$A$1:$R$1,0)),""),0),"")</f>
        <v/>
      </c>
      <c r="AA27" s="9">
        <f>IFERROR(INDEX($A27:$R27,MATCH("Cost Centre",$A$1:$R$1,0)),"")&amp;""</f>
        <v/>
      </c>
      <c r="AB27" s="9">
        <f>IFERROR(INDEX($A27:$R27,MATCH("Pipeline Stage",$A$1:$R$1,0)),"")&amp;""</f>
        <v/>
      </c>
      <c r="AC27" s="9">
        <f>IFERROR(INDEX($A27:$R27,MATCH("Client",$A$1:$R$1,0)),"")&amp;""</f>
        <v/>
      </c>
      <c r="AD27" s="9">
        <f>IFERROR(INDEX($A27:$R27,MATCH("Description",$A$1:$R$1,0)),"")&amp;""</f>
        <v/>
      </c>
      <c r="AE27" s="9">
        <f>IFERROR(INDEX($A27:$R27,MATCH("Job Number",$A$1:$R$1,0)),"")&amp;""</f>
        <v/>
      </c>
      <c r="AF27" s="54">
        <f>IF(AND(T27="Open",ISNUMBER(Z27),Z27&lt;EOMONTH(set_AsAt,-1)+1),3,0)</f>
        <v/>
      </c>
      <c r="AG27" s="54">
        <f>IF(AND(T27="Open",U27&gt;0,U27&gt;=set_DealShare*SUMIFS($U$2:$U$601,$T$2:$T$601,"Open")),3,0)</f>
        <v/>
      </c>
      <c r="AH27" s="54">
        <f>IF(AND(T27="Open",U27&gt;=set_BigValue,W27&lt;=set_EarlyProb),2,0)</f>
        <v/>
      </c>
      <c r="AI27" s="54">
        <f>IF(AND(OR(T27="Open",T27="Won"),V27=0),2,0)</f>
        <v/>
      </c>
      <c r="AJ27" s="54">
        <f>IF(AND(T27="Won",Y27&gt;0.5,ISNUMBER(Z27),Z27&lt;EOMONTH(set_AsAt,-1)+1),3,0)</f>
        <v/>
      </c>
      <c r="AK27" s="54">
        <f>IF(AND(T27="Won",Y27&lt;-1),1,0)</f>
        <v/>
      </c>
      <c r="AL27" s="54">
        <f>SUM(AF27:AK27)</f>
        <v/>
      </c>
      <c r="AM27" s="9">
        <f>IF(AL27&gt;=set_ScoreHigh,"High",IF(AL27&gt;=set_ScoreMed,"Medium",IF(AL27&gt;0,"Low","OK")))</f>
        <v/>
      </c>
      <c r="AN27" s="54">
        <f>IF(OR(T27="Open",AND(T27="Won",ABS(Y27)&gt;0.5)),1,0)</f>
        <v/>
      </c>
      <c r="AO27" s="52">
        <f>IF(T27="Open",IF(V27=0,0,X27),IF(T27="Won",MAX(0,Y27),0))</f>
        <v/>
      </c>
      <c r="AP27" s="54">
        <f>IF(AN27=1,AL27*1E+9+U27+ROW()/1E+6,"")</f>
        <v/>
      </c>
      <c r="AQ27" s="9">
        <f>MID(IF(AF27&gt;0,"; Expected month passed - update Zoho","")&amp;IF(AG27&gt;0,"; "&amp;TEXT(U27/MAX(1,SUMIFS($U$2:$U$601,$T$2:$T$601,"Open")),"0%")&amp;" of open pipeline in one deal","")&amp;IF(AH27&gt;0,"; Large deal at an early stage","")&amp;IF(AI27&gt;0,"; No amount in Zoho","")&amp;IF(AJ27&gt;0,"; Won, invoice month passed, not fully invoiced","")&amp;IF(AK27&gt;0,"; Xero invoiced more than the deal value",""),3,300)</f>
        <v/>
      </c>
    </row>
    <row r="28">
      <c r="A28" s="51" t="n">
        <v>46234</v>
      </c>
      <c r="B28" t="inlineStr">
        <is>
          <t>ZOHO</t>
        </is>
      </c>
      <c r="C28" t="inlineStr">
        <is>
          <t>26061612</t>
        </is>
      </c>
      <c r="D28" t="inlineStr">
        <is>
          <t>Chorus Call</t>
        </is>
      </c>
      <c r="E28" t="inlineStr">
        <is>
          <t>26061612</t>
        </is>
      </c>
      <c r="F28" t="inlineStr">
        <is>
          <t>OK</t>
        </is>
      </c>
      <c r="G28" t="inlineStr">
        <is>
          <t>PRODUCTION</t>
        </is>
      </c>
      <c r="H28" t="inlineStr">
        <is>
          <t>Chorus Call - Redox AGM - 7.10.26</t>
        </is>
      </c>
      <c r="I28" t="n">
        <v>4842</v>
      </c>
      <c r="J28" t="inlineStr">
        <is>
          <t>Won</t>
        </is>
      </c>
      <c r="K28" s="51" t="n">
        <v>46213</v>
      </c>
      <c r="L28" s="51" t="n">
        <v>46326</v>
      </c>
      <c r="M28" t="n">
        <v>0</v>
      </c>
      <c r="N28" t="n">
        <v>4842</v>
      </c>
      <c r="O28" t="inlineStr">
        <is>
          <t>Invoice month taken from the event date in the deal name</t>
        </is>
      </c>
      <c r="P28" t="inlineStr">
        <is>
          <t>Closed Won</t>
        </is>
      </c>
      <c r="Q28" t="n">
        <v>1</v>
      </c>
      <c r="R28" t="n">
        <v>4842</v>
      </c>
      <c r="T28" s="9">
        <f>IFERROR(INDEX($A28:$R28,MATCH("Status",$A$1:$R$1,0)),"")&amp;""</f>
        <v/>
      </c>
      <c r="U28" s="52">
        <f>IFERROR(N(IFERROR(INDEX($A28:$R28,MATCH("Value Ex GST",$A$1:$R$1,0)),"")),0)</f>
        <v/>
      </c>
      <c r="V28" s="54">
        <f>IF(AND(T28&lt;&gt;"",IFERROR(INDEX($A28:$R28,MATCH("Value Ex GST",$A$1:$R$1,0)),"")&amp;""&lt;&gt;""),1,0)</f>
        <v/>
      </c>
      <c r="W28" s="56">
        <f>IFERROR(N(IFERROR(INDEX($A28:$R28,MATCH("Probability",$A$1:$R$1,0)),"")),0)</f>
        <v/>
      </c>
      <c r="X28" s="52">
        <f>IF(T28="Open",U28*W28,0)</f>
        <v/>
      </c>
      <c r="Y28" s="52">
        <f>IF(T28="Won",IFERROR(N(IFERROR(INDEX($A28:$R28,MATCH("Still to Invoice",$A$1:$R$1,0)),"")),0),0)</f>
        <v/>
      </c>
      <c r="Z28" s="55">
        <f>IFERROR(EOMONTH(IFERROR(INDEX($A28:$R28,MATCH("Expected Invoice Month",$A$1:$R$1,0)),""),0),"")</f>
        <v/>
      </c>
      <c r="AA28" s="9">
        <f>IFERROR(INDEX($A28:$R28,MATCH("Cost Centre",$A$1:$R$1,0)),"")&amp;""</f>
        <v/>
      </c>
      <c r="AB28" s="9">
        <f>IFERROR(INDEX($A28:$R28,MATCH("Pipeline Stage",$A$1:$R$1,0)),"")&amp;""</f>
        <v/>
      </c>
      <c r="AC28" s="9">
        <f>IFERROR(INDEX($A28:$R28,MATCH("Client",$A$1:$R$1,0)),"")&amp;""</f>
        <v/>
      </c>
      <c r="AD28" s="9">
        <f>IFERROR(INDEX($A28:$R28,MATCH("Description",$A$1:$R$1,0)),"")&amp;""</f>
        <v/>
      </c>
      <c r="AE28" s="9">
        <f>IFERROR(INDEX($A28:$R28,MATCH("Job Number",$A$1:$R$1,0)),"")&amp;""</f>
        <v/>
      </c>
      <c r="AF28" s="54">
        <f>IF(AND(T28="Open",ISNUMBER(Z28),Z28&lt;EOMONTH(set_AsAt,-1)+1),3,0)</f>
        <v/>
      </c>
      <c r="AG28" s="54">
        <f>IF(AND(T28="Open",U28&gt;0,U28&gt;=set_DealShare*SUMIFS($U$2:$U$601,$T$2:$T$601,"Open")),3,0)</f>
        <v/>
      </c>
      <c r="AH28" s="54">
        <f>IF(AND(T28="Open",U28&gt;=set_BigValue,W28&lt;=set_EarlyProb),2,0)</f>
        <v/>
      </c>
      <c r="AI28" s="54">
        <f>IF(AND(OR(T28="Open",T28="Won"),V28=0),2,0)</f>
        <v/>
      </c>
      <c r="AJ28" s="54">
        <f>IF(AND(T28="Won",Y28&gt;0.5,ISNUMBER(Z28),Z28&lt;EOMONTH(set_AsAt,-1)+1),3,0)</f>
        <v/>
      </c>
      <c r="AK28" s="54">
        <f>IF(AND(T28="Won",Y28&lt;-1),1,0)</f>
        <v/>
      </c>
      <c r="AL28" s="54">
        <f>SUM(AF28:AK28)</f>
        <v/>
      </c>
      <c r="AM28" s="9">
        <f>IF(AL28&gt;=set_ScoreHigh,"High",IF(AL28&gt;=set_ScoreMed,"Medium",IF(AL28&gt;0,"Low","OK")))</f>
        <v/>
      </c>
      <c r="AN28" s="54">
        <f>IF(OR(T28="Open",AND(T28="Won",ABS(Y28)&gt;0.5)),1,0)</f>
        <v/>
      </c>
      <c r="AO28" s="52">
        <f>IF(T28="Open",IF(V28=0,0,X28),IF(T28="Won",MAX(0,Y28),0))</f>
        <v/>
      </c>
      <c r="AP28" s="54">
        <f>IF(AN28=1,AL28*1E+9+U28+ROW()/1E+6,"")</f>
        <v/>
      </c>
      <c r="AQ28" s="9">
        <f>MID(IF(AF28&gt;0,"; Expected month passed - update Zoho","")&amp;IF(AG28&gt;0,"; "&amp;TEXT(U28/MAX(1,SUMIFS($U$2:$U$601,$T$2:$T$601,"Open")),"0%")&amp;" of open pipeline in one deal","")&amp;IF(AH28&gt;0,"; Large deal at an early stage","")&amp;IF(AI28&gt;0,"; No amount in Zoho","")&amp;IF(AJ28&gt;0,"; Won, invoice month passed, not fully invoiced","")&amp;IF(AK28&gt;0,"; Xero invoiced more than the deal value",""),3,300)</f>
        <v/>
      </c>
    </row>
    <row r="29">
      <c r="A29" s="51" t="n">
        <v>46234</v>
      </c>
      <c r="B29" t="inlineStr">
        <is>
          <t>ZOHO</t>
        </is>
      </c>
      <c r="C29" t="inlineStr">
        <is>
          <t>26063001</t>
        </is>
      </c>
      <c r="D29" t="inlineStr">
        <is>
          <t>Skykick Ranger</t>
        </is>
      </c>
      <c r="E29" t="inlineStr">
        <is>
          <t>26063001</t>
        </is>
      </c>
      <c r="F29" t="inlineStr">
        <is>
          <t>CHECK</t>
        </is>
      </c>
      <c r="G29" t="inlineStr">
        <is>
          <t>PRODUCTION</t>
        </is>
      </c>
      <c r="H29" t="inlineStr">
        <is>
          <t>Skykick Ranger - Sydney Performance - 26.7.26</t>
        </is>
      </c>
      <c r="I29" t="n">
        <v>975</v>
      </c>
      <c r="J29" t="inlineStr">
        <is>
          <t>Won</t>
        </is>
      </c>
      <c r="K29" s="51" t="n">
        <v>46220</v>
      </c>
      <c r="L29" s="51" t="n">
        <v>46234</v>
      </c>
      <c r="M29" t="n">
        <v>975</v>
      </c>
      <c r="N29" t="n">
        <v>0</v>
      </c>
      <c r="P29" t="inlineStr">
        <is>
          <t>Closed Won</t>
        </is>
      </c>
      <c r="Q29" t="n">
        <v>1</v>
      </c>
      <c r="R29" t="n">
        <v>975</v>
      </c>
      <c r="T29" s="9">
        <f>IFERROR(INDEX($A29:$R29,MATCH("Status",$A$1:$R$1,0)),"")&amp;""</f>
        <v/>
      </c>
      <c r="U29" s="52">
        <f>IFERROR(N(IFERROR(INDEX($A29:$R29,MATCH("Value Ex GST",$A$1:$R$1,0)),"")),0)</f>
        <v/>
      </c>
      <c r="V29" s="54">
        <f>IF(AND(T29&lt;&gt;"",IFERROR(INDEX($A29:$R29,MATCH("Value Ex GST",$A$1:$R$1,0)),"")&amp;""&lt;&gt;""),1,0)</f>
        <v/>
      </c>
      <c r="W29" s="56">
        <f>IFERROR(N(IFERROR(INDEX($A29:$R29,MATCH("Probability",$A$1:$R$1,0)),"")),0)</f>
        <v/>
      </c>
      <c r="X29" s="52">
        <f>IF(T29="Open",U29*W29,0)</f>
        <v/>
      </c>
      <c r="Y29" s="52">
        <f>IF(T29="Won",IFERROR(N(IFERROR(INDEX($A29:$R29,MATCH("Still to Invoice",$A$1:$R$1,0)),"")),0),0)</f>
        <v/>
      </c>
      <c r="Z29" s="55">
        <f>IFERROR(EOMONTH(IFERROR(INDEX($A29:$R29,MATCH("Expected Invoice Month",$A$1:$R$1,0)),""),0),"")</f>
        <v/>
      </c>
      <c r="AA29" s="9">
        <f>IFERROR(INDEX($A29:$R29,MATCH("Cost Centre",$A$1:$R$1,0)),"")&amp;""</f>
        <v/>
      </c>
      <c r="AB29" s="9">
        <f>IFERROR(INDEX($A29:$R29,MATCH("Pipeline Stage",$A$1:$R$1,0)),"")&amp;""</f>
        <v/>
      </c>
      <c r="AC29" s="9">
        <f>IFERROR(INDEX($A29:$R29,MATCH("Client",$A$1:$R$1,0)),"")&amp;""</f>
        <v/>
      </c>
      <c r="AD29" s="9">
        <f>IFERROR(INDEX($A29:$R29,MATCH("Description",$A$1:$R$1,0)),"")&amp;""</f>
        <v/>
      </c>
      <c r="AE29" s="9">
        <f>IFERROR(INDEX($A29:$R29,MATCH("Job Number",$A$1:$R$1,0)),"")&amp;""</f>
        <v/>
      </c>
      <c r="AF29" s="54">
        <f>IF(AND(T29="Open",ISNUMBER(Z29),Z29&lt;EOMONTH(set_AsAt,-1)+1),3,0)</f>
        <v/>
      </c>
      <c r="AG29" s="54">
        <f>IF(AND(T29="Open",U29&gt;0,U29&gt;=set_DealShare*SUMIFS($U$2:$U$601,$T$2:$T$601,"Open")),3,0)</f>
        <v/>
      </c>
      <c r="AH29" s="54">
        <f>IF(AND(T29="Open",U29&gt;=set_BigValue,W29&lt;=set_EarlyProb),2,0)</f>
        <v/>
      </c>
      <c r="AI29" s="54">
        <f>IF(AND(OR(T29="Open",T29="Won"),V29=0),2,0)</f>
        <v/>
      </c>
      <c r="AJ29" s="54">
        <f>IF(AND(T29="Won",Y29&gt;0.5,ISNUMBER(Z29),Z29&lt;EOMONTH(set_AsAt,-1)+1),3,0)</f>
        <v/>
      </c>
      <c r="AK29" s="54">
        <f>IF(AND(T29="Won",Y29&lt;-1),1,0)</f>
        <v/>
      </c>
      <c r="AL29" s="54">
        <f>SUM(AF29:AK29)</f>
        <v/>
      </c>
      <c r="AM29" s="9">
        <f>IF(AL29&gt;=set_ScoreHigh,"High",IF(AL29&gt;=set_ScoreMed,"Medium",IF(AL29&gt;0,"Low","OK")))</f>
        <v/>
      </c>
      <c r="AN29" s="54">
        <f>IF(OR(T29="Open",AND(T29="Won",ABS(Y29)&gt;0.5)),1,0)</f>
        <v/>
      </c>
      <c r="AO29" s="52">
        <f>IF(T29="Open",IF(V29=0,0,X29),IF(T29="Won",MAX(0,Y29),0))</f>
        <v/>
      </c>
      <c r="AP29" s="54">
        <f>IF(AN29=1,AL29*1E+9+U29+ROW()/1E+6,"")</f>
        <v/>
      </c>
      <c r="AQ29" s="9">
        <f>MID(IF(AF29&gt;0,"; Expected month passed - update Zoho","")&amp;IF(AG29&gt;0,"; "&amp;TEXT(U29/MAX(1,SUMIFS($U$2:$U$601,$T$2:$T$601,"Open")),"0%")&amp;" of open pipeline in one deal","")&amp;IF(AH29&gt;0,"; Large deal at an early stage","")&amp;IF(AI29&gt;0,"; No amount in Zoho","")&amp;IF(AJ29&gt;0,"; Won, invoice month passed, not fully invoiced","")&amp;IF(AK29&gt;0,"; Xero invoiced more than the deal value",""),3,300)</f>
        <v/>
      </c>
    </row>
    <row r="30">
      <c r="A30" s="51" t="n">
        <v>46234</v>
      </c>
      <c r="B30" t="inlineStr">
        <is>
          <t>ZOHO</t>
        </is>
      </c>
      <c r="C30" t="inlineStr">
        <is>
          <t>26061701</t>
        </is>
      </c>
      <c r="D30" t="inlineStr">
        <is>
          <t>Commonwealth Bank Australia (CBA)</t>
        </is>
      </c>
      <c r="E30" t="inlineStr">
        <is>
          <t>26061701</t>
        </is>
      </c>
      <c r="F30" t="inlineStr">
        <is>
          <t>OK</t>
        </is>
      </c>
      <c r="G30" t="inlineStr">
        <is>
          <t>PRODUCTION</t>
        </is>
      </c>
      <c r="H30" t="inlineStr">
        <is>
          <t>CBA - LES - July 2026</t>
        </is>
      </c>
      <c r="I30" t="n">
        <v>8882</v>
      </c>
      <c r="J30" t="inlineStr">
        <is>
          <t>Won</t>
        </is>
      </c>
      <c r="K30" s="51" t="n">
        <v>46234</v>
      </c>
      <c r="L30" s="51" t="n">
        <v>46234</v>
      </c>
      <c r="M30" t="n">
        <v>8550</v>
      </c>
      <c r="N30" t="n">
        <v>332</v>
      </c>
      <c r="P30" t="inlineStr">
        <is>
          <t>Closed Won</t>
        </is>
      </c>
      <c r="Q30" t="n">
        <v>1</v>
      </c>
      <c r="R30" t="n">
        <v>8882</v>
      </c>
      <c r="T30" s="9">
        <f>IFERROR(INDEX($A30:$R30,MATCH("Status",$A$1:$R$1,0)),"")&amp;""</f>
        <v/>
      </c>
      <c r="U30" s="52">
        <f>IFERROR(N(IFERROR(INDEX($A30:$R30,MATCH("Value Ex GST",$A$1:$R$1,0)),"")),0)</f>
        <v/>
      </c>
      <c r="V30" s="54">
        <f>IF(AND(T30&lt;&gt;"",IFERROR(INDEX($A30:$R30,MATCH("Value Ex GST",$A$1:$R$1,0)),"")&amp;""&lt;&gt;""),1,0)</f>
        <v/>
      </c>
      <c r="W30" s="56">
        <f>IFERROR(N(IFERROR(INDEX($A30:$R30,MATCH("Probability",$A$1:$R$1,0)),"")),0)</f>
        <v/>
      </c>
      <c r="X30" s="52">
        <f>IF(T30="Open",U30*W30,0)</f>
        <v/>
      </c>
      <c r="Y30" s="52">
        <f>IF(T30="Won",IFERROR(N(IFERROR(INDEX($A30:$R30,MATCH("Still to Invoice",$A$1:$R$1,0)),"")),0),0)</f>
        <v/>
      </c>
      <c r="Z30" s="55">
        <f>IFERROR(EOMONTH(IFERROR(INDEX($A30:$R30,MATCH("Expected Invoice Month",$A$1:$R$1,0)),""),0),"")</f>
        <v/>
      </c>
      <c r="AA30" s="9">
        <f>IFERROR(INDEX($A30:$R30,MATCH("Cost Centre",$A$1:$R$1,0)),"")&amp;""</f>
        <v/>
      </c>
      <c r="AB30" s="9">
        <f>IFERROR(INDEX($A30:$R30,MATCH("Pipeline Stage",$A$1:$R$1,0)),"")&amp;""</f>
        <v/>
      </c>
      <c r="AC30" s="9">
        <f>IFERROR(INDEX($A30:$R30,MATCH("Client",$A$1:$R$1,0)),"")&amp;""</f>
        <v/>
      </c>
      <c r="AD30" s="9">
        <f>IFERROR(INDEX($A30:$R30,MATCH("Description",$A$1:$R$1,0)),"")&amp;""</f>
        <v/>
      </c>
      <c r="AE30" s="9">
        <f>IFERROR(INDEX($A30:$R30,MATCH("Job Number",$A$1:$R$1,0)),"")&amp;""</f>
        <v/>
      </c>
      <c r="AF30" s="54">
        <f>IF(AND(T30="Open",ISNUMBER(Z30),Z30&lt;EOMONTH(set_AsAt,-1)+1),3,0)</f>
        <v/>
      </c>
      <c r="AG30" s="54">
        <f>IF(AND(T30="Open",U30&gt;0,U30&gt;=set_DealShare*SUMIFS($U$2:$U$601,$T$2:$T$601,"Open")),3,0)</f>
        <v/>
      </c>
      <c r="AH30" s="54">
        <f>IF(AND(T30="Open",U30&gt;=set_BigValue,W30&lt;=set_EarlyProb),2,0)</f>
        <v/>
      </c>
      <c r="AI30" s="54">
        <f>IF(AND(OR(T30="Open",T30="Won"),V30=0),2,0)</f>
        <v/>
      </c>
      <c r="AJ30" s="54">
        <f>IF(AND(T30="Won",Y30&gt;0.5,ISNUMBER(Z30),Z30&lt;EOMONTH(set_AsAt,-1)+1),3,0)</f>
        <v/>
      </c>
      <c r="AK30" s="54">
        <f>IF(AND(T30="Won",Y30&lt;-1),1,0)</f>
        <v/>
      </c>
      <c r="AL30" s="54">
        <f>SUM(AF30:AK30)</f>
        <v/>
      </c>
      <c r="AM30" s="9">
        <f>IF(AL30&gt;=set_ScoreHigh,"High",IF(AL30&gt;=set_ScoreMed,"Medium",IF(AL30&gt;0,"Low","OK")))</f>
        <v/>
      </c>
      <c r="AN30" s="54">
        <f>IF(OR(T30="Open",AND(T30="Won",ABS(Y30)&gt;0.5)),1,0)</f>
        <v/>
      </c>
      <c r="AO30" s="52">
        <f>IF(T30="Open",IF(V30=0,0,X30),IF(T30="Won",MAX(0,Y30),0))</f>
        <v/>
      </c>
      <c r="AP30" s="54">
        <f>IF(AN30=1,AL30*1E+9+U30+ROW()/1E+6,"")</f>
        <v/>
      </c>
      <c r="AQ30" s="9">
        <f>MID(IF(AF30&gt;0,"; Expected month passed - update Zoho","")&amp;IF(AG30&gt;0,"; "&amp;TEXT(U30/MAX(1,SUMIFS($U$2:$U$601,$T$2:$T$601,"Open")),"0%")&amp;" of open pipeline in one deal","")&amp;IF(AH30&gt;0,"; Large deal at an early stage","")&amp;IF(AI30&gt;0,"; No amount in Zoho","")&amp;IF(AJ30&gt;0,"; Won, invoice month passed, not fully invoiced","")&amp;IF(AK30&gt;0,"; Xero invoiced more than the deal value",""),3,300)</f>
        <v/>
      </c>
    </row>
    <row r="31">
      <c r="A31" s="51" t="n">
        <v>46295</v>
      </c>
      <c r="B31" t="inlineStr">
        <is>
          <t>ZOHO</t>
        </is>
      </c>
      <c r="C31" t="inlineStr">
        <is>
          <t>26081701</t>
        </is>
      </c>
      <c r="D31" t="inlineStr">
        <is>
          <t>Department of Agriculture, Fisheries and Forestry (DAFF)</t>
        </is>
      </c>
      <c r="E31" t="inlineStr">
        <is>
          <t>26081701</t>
        </is>
      </c>
      <c r="F31" t="inlineStr">
        <is>
          <t>CHECK</t>
        </is>
      </c>
      <c r="G31" t="inlineStr">
        <is>
          <t>CONSULTING</t>
        </is>
      </c>
      <c r="H31" t="inlineStr">
        <is>
          <t>DAFF | Standards Package Drafting - 26081701</t>
        </is>
      </c>
      <c r="I31" t="n">
        <v>3500</v>
      </c>
      <c r="J31" t="inlineStr">
        <is>
          <t>Won</t>
        </is>
      </c>
      <c r="K31" s="51" t="n">
        <v>46281</v>
      </c>
      <c r="L31" s="51" t="n">
        <v>46295</v>
      </c>
      <c r="M31" t="n">
        <v>0</v>
      </c>
      <c r="N31" t="n">
        <v>3500</v>
      </c>
      <c r="P31" t="inlineStr">
        <is>
          <t>Closed Won</t>
        </is>
      </c>
      <c r="Q31" t="n">
        <v>1</v>
      </c>
      <c r="R31" t="n">
        <v>3500</v>
      </c>
      <c r="T31" s="9">
        <f>IFERROR(INDEX($A31:$R31,MATCH("Status",$A$1:$R$1,0)),"")&amp;""</f>
        <v/>
      </c>
      <c r="U31" s="52">
        <f>IFERROR(N(IFERROR(INDEX($A31:$R31,MATCH("Value Ex GST",$A$1:$R$1,0)),"")),0)</f>
        <v/>
      </c>
      <c r="V31" s="54">
        <f>IF(AND(T31&lt;&gt;"",IFERROR(INDEX($A31:$R31,MATCH("Value Ex GST",$A$1:$R$1,0)),"")&amp;""&lt;&gt;""),1,0)</f>
        <v/>
      </c>
      <c r="W31" s="56">
        <f>IFERROR(N(IFERROR(INDEX($A31:$R31,MATCH("Probability",$A$1:$R$1,0)),"")),0)</f>
        <v/>
      </c>
      <c r="X31" s="52">
        <f>IF(T31="Open",U31*W31,0)</f>
        <v/>
      </c>
      <c r="Y31" s="52">
        <f>IF(T31="Won",IFERROR(N(IFERROR(INDEX($A31:$R31,MATCH("Still to Invoice",$A$1:$R$1,0)),"")),0),0)</f>
        <v/>
      </c>
      <c r="Z31" s="55">
        <f>IFERROR(EOMONTH(IFERROR(INDEX($A31:$R31,MATCH("Expected Invoice Month",$A$1:$R$1,0)),""),0),"")</f>
        <v/>
      </c>
      <c r="AA31" s="9">
        <f>IFERROR(INDEX($A31:$R31,MATCH("Cost Centre",$A$1:$R$1,0)),"")&amp;""</f>
        <v/>
      </c>
      <c r="AB31" s="9">
        <f>IFERROR(INDEX($A31:$R31,MATCH("Pipeline Stage",$A$1:$R$1,0)),"")&amp;""</f>
        <v/>
      </c>
      <c r="AC31" s="9">
        <f>IFERROR(INDEX($A31:$R31,MATCH("Client",$A$1:$R$1,0)),"")&amp;""</f>
        <v/>
      </c>
      <c r="AD31" s="9">
        <f>IFERROR(INDEX($A31:$R31,MATCH("Description",$A$1:$R$1,0)),"")&amp;""</f>
        <v/>
      </c>
      <c r="AE31" s="9">
        <f>IFERROR(INDEX($A31:$R31,MATCH("Job Number",$A$1:$R$1,0)),"")&amp;""</f>
        <v/>
      </c>
      <c r="AF31" s="54">
        <f>IF(AND(T31="Open",ISNUMBER(Z31),Z31&lt;EOMONTH(set_AsAt,-1)+1),3,0)</f>
        <v/>
      </c>
      <c r="AG31" s="54">
        <f>IF(AND(T31="Open",U31&gt;0,U31&gt;=set_DealShare*SUMIFS($U$2:$U$601,$T$2:$T$601,"Open")),3,0)</f>
        <v/>
      </c>
      <c r="AH31" s="54">
        <f>IF(AND(T31="Open",U31&gt;=set_BigValue,W31&lt;=set_EarlyProb),2,0)</f>
        <v/>
      </c>
      <c r="AI31" s="54">
        <f>IF(AND(OR(T31="Open",T31="Won"),V31=0),2,0)</f>
        <v/>
      </c>
      <c r="AJ31" s="54">
        <f>IF(AND(T31="Won",Y31&gt;0.5,ISNUMBER(Z31),Z31&lt;EOMONTH(set_AsAt,-1)+1),3,0)</f>
        <v/>
      </c>
      <c r="AK31" s="54">
        <f>IF(AND(T31="Won",Y31&lt;-1),1,0)</f>
        <v/>
      </c>
      <c r="AL31" s="54">
        <f>SUM(AF31:AK31)</f>
        <v/>
      </c>
      <c r="AM31" s="9">
        <f>IF(AL31&gt;=set_ScoreHigh,"High",IF(AL31&gt;=set_ScoreMed,"Medium",IF(AL31&gt;0,"Low","OK")))</f>
        <v/>
      </c>
      <c r="AN31" s="54">
        <f>IF(OR(T31="Open",AND(T31="Won",ABS(Y31)&gt;0.5)),1,0)</f>
        <v/>
      </c>
      <c r="AO31" s="52">
        <f>IF(T31="Open",IF(V31=0,0,X31),IF(T31="Won",MAX(0,Y31),0))</f>
        <v/>
      </c>
      <c r="AP31" s="54">
        <f>IF(AN31=1,AL31*1E+9+U31+ROW()/1E+6,"")</f>
        <v/>
      </c>
      <c r="AQ31" s="9">
        <f>MID(IF(AF31&gt;0,"; Expected month passed - update Zoho","")&amp;IF(AG31&gt;0,"; "&amp;TEXT(U31/MAX(1,SUMIFS($U$2:$U$601,$T$2:$T$601,"Open")),"0%")&amp;" of open pipeline in one deal","")&amp;IF(AH31&gt;0,"; Large deal at an early stage","")&amp;IF(AI31&gt;0,"; No amount in Zoho","")&amp;IF(AJ31&gt;0,"; Won, invoice month passed, not fully invoiced","")&amp;IF(AK31&gt;0,"; Xero invoiced more than the deal value",""),3,300)</f>
        <v/>
      </c>
    </row>
    <row r="32">
      <c r="A32" s="51" t="n">
        <v>46234</v>
      </c>
      <c r="B32" t="inlineStr">
        <is>
          <t>ZOHO</t>
        </is>
      </c>
      <c r="C32" t="inlineStr">
        <is>
          <t>26061108</t>
        </is>
      </c>
      <c r="D32" t="inlineStr">
        <is>
          <t>APA</t>
        </is>
      </c>
      <c r="E32" t="inlineStr">
        <is>
          <t>26061108</t>
        </is>
      </c>
      <c r="F32" t="inlineStr">
        <is>
          <t>OK</t>
        </is>
      </c>
      <c r="G32" t="inlineStr">
        <is>
          <t>PRODUCTION</t>
        </is>
      </c>
      <c r="H32" t="inlineStr">
        <is>
          <t>APA - Qtly All Hands FYR26 - 20.8.26</t>
        </is>
      </c>
      <c r="I32" t="n">
        <v>12601</v>
      </c>
      <c r="J32" t="inlineStr">
        <is>
          <t>Won</t>
        </is>
      </c>
      <c r="K32" s="51" t="n">
        <v>46211</v>
      </c>
      <c r="L32" s="51" t="n">
        <v>46265</v>
      </c>
      <c r="M32" t="n">
        <v>0</v>
      </c>
      <c r="N32" t="n">
        <v>12601</v>
      </c>
      <c r="O32" t="inlineStr">
        <is>
          <t>Invoice month taken from the event date in the deal name</t>
        </is>
      </c>
      <c r="P32" t="inlineStr">
        <is>
          <t>Closed Won</t>
        </is>
      </c>
      <c r="Q32" t="n">
        <v>1</v>
      </c>
      <c r="R32" t="n">
        <v>12601</v>
      </c>
      <c r="T32" s="9">
        <f>IFERROR(INDEX($A32:$R32,MATCH("Status",$A$1:$R$1,0)),"")&amp;""</f>
        <v/>
      </c>
      <c r="U32" s="52">
        <f>IFERROR(N(IFERROR(INDEX($A32:$R32,MATCH("Value Ex GST",$A$1:$R$1,0)),"")),0)</f>
        <v/>
      </c>
      <c r="V32" s="54">
        <f>IF(AND(T32&lt;&gt;"",IFERROR(INDEX($A32:$R32,MATCH("Value Ex GST",$A$1:$R$1,0)),"")&amp;""&lt;&gt;""),1,0)</f>
        <v/>
      </c>
      <c r="W32" s="56">
        <f>IFERROR(N(IFERROR(INDEX($A32:$R32,MATCH("Probability",$A$1:$R$1,0)),"")),0)</f>
        <v/>
      </c>
      <c r="X32" s="52">
        <f>IF(T32="Open",U32*W32,0)</f>
        <v/>
      </c>
      <c r="Y32" s="52">
        <f>IF(T32="Won",IFERROR(N(IFERROR(INDEX($A32:$R32,MATCH("Still to Invoice",$A$1:$R$1,0)),"")),0),0)</f>
        <v/>
      </c>
      <c r="Z32" s="55">
        <f>IFERROR(EOMONTH(IFERROR(INDEX($A32:$R32,MATCH("Expected Invoice Month",$A$1:$R$1,0)),""),0),"")</f>
        <v/>
      </c>
      <c r="AA32" s="9">
        <f>IFERROR(INDEX($A32:$R32,MATCH("Cost Centre",$A$1:$R$1,0)),"")&amp;""</f>
        <v/>
      </c>
      <c r="AB32" s="9">
        <f>IFERROR(INDEX($A32:$R32,MATCH("Pipeline Stage",$A$1:$R$1,0)),"")&amp;""</f>
        <v/>
      </c>
      <c r="AC32" s="9">
        <f>IFERROR(INDEX($A32:$R32,MATCH("Client",$A$1:$R$1,0)),"")&amp;""</f>
        <v/>
      </c>
      <c r="AD32" s="9">
        <f>IFERROR(INDEX($A32:$R32,MATCH("Description",$A$1:$R$1,0)),"")&amp;""</f>
        <v/>
      </c>
      <c r="AE32" s="9">
        <f>IFERROR(INDEX($A32:$R32,MATCH("Job Number",$A$1:$R$1,0)),"")&amp;""</f>
        <v/>
      </c>
      <c r="AF32" s="54">
        <f>IF(AND(T32="Open",ISNUMBER(Z32),Z32&lt;EOMONTH(set_AsAt,-1)+1),3,0)</f>
        <v/>
      </c>
      <c r="AG32" s="54">
        <f>IF(AND(T32="Open",U32&gt;0,U32&gt;=set_DealShare*SUMIFS($U$2:$U$601,$T$2:$T$601,"Open")),3,0)</f>
        <v/>
      </c>
      <c r="AH32" s="54">
        <f>IF(AND(T32="Open",U32&gt;=set_BigValue,W32&lt;=set_EarlyProb),2,0)</f>
        <v/>
      </c>
      <c r="AI32" s="54">
        <f>IF(AND(OR(T32="Open",T32="Won"),V32=0),2,0)</f>
        <v/>
      </c>
      <c r="AJ32" s="54">
        <f>IF(AND(T32="Won",Y32&gt;0.5,ISNUMBER(Z32),Z32&lt;EOMONTH(set_AsAt,-1)+1),3,0)</f>
        <v/>
      </c>
      <c r="AK32" s="54">
        <f>IF(AND(T32="Won",Y32&lt;-1),1,0)</f>
        <v/>
      </c>
      <c r="AL32" s="54">
        <f>SUM(AF32:AK32)</f>
        <v/>
      </c>
      <c r="AM32" s="9">
        <f>IF(AL32&gt;=set_ScoreHigh,"High",IF(AL32&gt;=set_ScoreMed,"Medium",IF(AL32&gt;0,"Low","OK")))</f>
        <v/>
      </c>
      <c r="AN32" s="54">
        <f>IF(OR(T32="Open",AND(T32="Won",ABS(Y32)&gt;0.5)),1,0)</f>
        <v/>
      </c>
      <c r="AO32" s="52">
        <f>IF(T32="Open",IF(V32=0,0,X32),IF(T32="Won",MAX(0,Y32),0))</f>
        <v/>
      </c>
      <c r="AP32" s="54">
        <f>IF(AN32=1,AL32*1E+9+U32+ROW()/1E+6,"")</f>
        <v/>
      </c>
      <c r="AQ32" s="9">
        <f>MID(IF(AF32&gt;0,"; Expected month passed - update Zoho","")&amp;IF(AG32&gt;0,"; "&amp;TEXT(U32/MAX(1,SUMIFS($U$2:$U$601,$T$2:$T$601,"Open")),"0%")&amp;" of open pipeline in one deal","")&amp;IF(AH32&gt;0,"; Large deal at an early stage","")&amp;IF(AI32&gt;0,"; No amount in Zoho","")&amp;IF(AJ32&gt;0,"; Won, invoice month passed, not fully invoiced","")&amp;IF(AK32&gt;0,"; Xero invoiced more than the deal value",""),3,300)</f>
        <v/>
      </c>
    </row>
    <row r="33">
      <c r="A33" s="51" t="n">
        <v>46234</v>
      </c>
      <c r="B33" t="inlineStr">
        <is>
          <t>ZOHO</t>
        </is>
      </c>
      <c r="C33" t="inlineStr">
        <is>
          <t>2607301</t>
        </is>
      </c>
      <c r="D33" t="inlineStr">
        <is>
          <t>Australian Payments Network</t>
        </is>
      </c>
      <c r="E33" t="inlineStr">
        <is>
          <t>2607301</t>
        </is>
      </c>
      <c r="F33" t="inlineStr">
        <is>
          <t>CHECK</t>
        </is>
      </c>
      <c r="G33" t="inlineStr">
        <is>
          <t>ONSITE</t>
        </is>
      </c>
      <c r="H33" t="inlineStr">
        <is>
          <t>Event Bump-in/Bump-out</t>
        </is>
      </c>
      <c r="I33" t="n">
        <v>680</v>
      </c>
      <c r="J33" t="inlineStr">
        <is>
          <t>Won</t>
        </is>
      </c>
      <c r="K33" s="51" t="n">
        <v>46211</v>
      </c>
      <c r="L33" s="51" t="n">
        <v>46234</v>
      </c>
      <c r="M33" t="n">
        <v>0</v>
      </c>
      <c r="N33" t="n">
        <v>680</v>
      </c>
      <c r="P33" t="inlineStr">
        <is>
          <t>Closed Won</t>
        </is>
      </c>
      <c r="Q33" t="n">
        <v>1</v>
      </c>
      <c r="R33" t="n">
        <v>680</v>
      </c>
      <c r="T33" s="9">
        <f>IFERROR(INDEX($A33:$R33,MATCH("Status",$A$1:$R$1,0)),"")&amp;""</f>
        <v/>
      </c>
      <c r="U33" s="52">
        <f>IFERROR(N(IFERROR(INDEX($A33:$R33,MATCH("Value Ex GST",$A$1:$R$1,0)),"")),0)</f>
        <v/>
      </c>
      <c r="V33" s="54">
        <f>IF(AND(T33&lt;&gt;"",IFERROR(INDEX($A33:$R33,MATCH("Value Ex GST",$A$1:$R$1,0)),"")&amp;""&lt;&gt;""),1,0)</f>
        <v/>
      </c>
      <c r="W33" s="56">
        <f>IFERROR(N(IFERROR(INDEX($A33:$R33,MATCH("Probability",$A$1:$R$1,0)),"")),0)</f>
        <v/>
      </c>
      <c r="X33" s="52">
        <f>IF(T33="Open",U33*W33,0)</f>
        <v/>
      </c>
      <c r="Y33" s="52">
        <f>IF(T33="Won",IFERROR(N(IFERROR(INDEX($A33:$R33,MATCH("Still to Invoice",$A$1:$R$1,0)),"")),0),0)</f>
        <v/>
      </c>
      <c r="Z33" s="55">
        <f>IFERROR(EOMONTH(IFERROR(INDEX($A33:$R33,MATCH("Expected Invoice Month",$A$1:$R$1,0)),""),0),"")</f>
        <v/>
      </c>
      <c r="AA33" s="9">
        <f>IFERROR(INDEX($A33:$R33,MATCH("Cost Centre",$A$1:$R$1,0)),"")&amp;""</f>
        <v/>
      </c>
      <c r="AB33" s="9">
        <f>IFERROR(INDEX($A33:$R33,MATCH("Pipeline Stage",$A$1:$R$1,0)),"")&amp;""</f>
        <v/>
      </c>
      <c r="AC33" s="9">
        <f>IFERROR(INDEX($A33:$R33,MATCH("Client",$A$1:$R$1,0)),"")&amp;""</f>
        <v/>
      </c>
      <c r="AD33" s="9">
        <f>IFERROR(INDEX($A33:$R33,MATCH("Description",$A$1:$R$1,0)),"")&amp;""</f>
        <v/>
      </c>
      <c r="AE33" s="9">
        <f>IFERROR(INDEX($A33:$R33,MATCH("Job Number",$A$1:$R$1,0)),"")&amp;""</f>
        <v/>
      </c>
      <c r="AF33" s="54">
        <f>IF(AND(T33="Open",ISNUMBER(Z33),Z33&lt;EOMONTH(set_AsAt,-1)+1),3,0)</f>
        <v/>
      </c>
      <c r="AG33" s="54">
        <f>IF(AND(T33="Open",U33&gt;0,U33&gt;=set_DealShare*SUMIFS($U$2:$U$601,$T$2:$T$601,"Open")),3,0)</f>
        <v/>
      </c>
      <c r="AH33" s="54">
        <f>IF(AND(T33="Open",U33&gt;=set_BigValue,W33&lt;=set_EarlyProb),2,0)</f>
        <v/>
      </c>
      <c r="AI33" s="54">
        <f>IF(AND(OR(T33="Open",T33="Won"),V33=0),2,0)</f>
        <v/>
      </c>
      <c r="AJ33" s="54">
        <f>IF(AND(T33="Won",Y33&gt;0.5,ISNUMBER(Z33),Z33&lt;EOMONTH(set_AsAt,-1)+1),3,0)</f>
        <v/>
      </c>
      <c r="AK33" s="54">
        <f>IF(AND(T33="Won",Y33&lt;-1),1,0)</f>
        <v/>
      </c>
      <c r="AL33" s="54">
        <f>SUM(AF33:AK33)</f>
        <v/>
      </c>
      <c r="AM33" s="9">
        <f>IF(AL33&gt;=set_ScoreHigh,"High",IF(AL33&gt;=set_ScoreMed,"Medium",IF(AL33&gt;0,"Low","OK")))</f>
        <v/>
      </c>
      <c r="AN33" s="54">
        <f>IF(OR(T33="Open",AND(T33="Won",ABS(Y33)&gt;0.5)),1,0)</f>
        <v/>
      </c>
      <c r="AO33" s="52">
        <f>IF(T33="Open",IF(V33=0,0,X33),IF(T33="Won",MAX(0,Y33),0))</f>
        <v/>
      </c>
      <c r="AP33" s="54">
        <f>IF(AN33=1,AL33*1E+9+U33+ROW()/1E+6,"")</f>
        <v/>
      </c>
      <c r="AQ33" s="9">
        <f>MID(IF(AF33&gt;0,"; Expected month passed - update Zoho","")&amp;IF(AG33&gt;0,"; "&amp;TEXT(U33/MAX(1,SUMIFS($U$2:$U$601,$T$2:$T$601,"Open")),"0%")&amp;" of open pipeline in one deal","")&amp;IF(AH33&gt;0,"; Large deal at an early stage","")&amp;IF(AI33&gt;0,"; No amount in Zoho","")&amp;IF(AJ33&gt;0,"; Won, invoice month passed, not fully invoiced","")&amp;IF(AK33&gt;0,"; Xero invoiced more than the deal value",""),3,300)</f>
        <v/>
      </c>
    </row>
    <row r="34">
      <c r="A34" s="51" t="n">
        <v>46265</v>
      </c>
      <c r="B34" t="inlineStr">
        <is>
          <t>ZOHO</t>
        </is>
      </c>
      <c r="C34" t="inlineStr">
        <is>
          <t>26082702</t>
        </is>
      </c>
      <c r="D34" t="inlineStr">
        <is>
          <t>Garvan Institute of Medical Research</t>
        </is>
      </c>
      <c r="E34" t="inlineStr">
        <is>
          <t>26082702</t>
        </is>
      </c>
      <c r="F34" t="inlineStr">
        <is>
          <t>OK</t>
        </is>
      </c>
      <c r="G34" t="inlineStr">
        <is>
          <t>PRODUCTION</t>
        </is>
      </c>
      <c r="H34" t="inlineStr">
        <is>
          <t>Garvan - Breast Cancer Public Lecture - 1.10.26</t>
        </is>
      </c>
      <c r="I34" t="n">
        <v>380</v>
      </c>
      <c r="J34" t="inlineStr">
        <is>
          <t>Won</t>
        </is>
      </c>
      <c r="K34" s="51" t="n">
        <v>46261</v>
      </c>
      <c r="L34" s="51" t="n">
        <v>46326</v>
      </c>
      <c r="M34" t="n">
        <v>0</v>
      </c>
      <c r="N34" t="n">
        <v>380</v>
      </c>
      <c r="O34" t="inlineStr">
        <is>
          <t>Invoice month taken from the event date in the deal name</t>
        </is>
      </c>
      <c r="P34" t="inlineStr">
        <is>
          <t>Closed Won</t>
        </is>
      </c>
      <c r="Q34" t="n">
        <v>1</v>
      </c>
      <c r="R34" t="n">
        <v>380</v>
      </c>
      <c r="T34" s="9">
        <f>IFERROR(INDEX($A34:$R34,MATCH("Status",$A$1:$R$1,0)),"")&amp;""</f>
        <v/>
      </c>
      <c r="U34" s="52">
        <f>IFERROR(N(IFERROR(INDEX($A34:$R34,MATCH("Value Ex GST",$A$1:$R$1,0)),"")),0)</f>
        <v/>
      </c>
      <c r="V34" s="54">
        <f>IF(AND(T34&lt;&gt;"",IFERROR(INDEX($A34:$R34,MATCH("Value Ex GST",$A$1:$R$1,0)),"")&amp;""&lt;&gt;""),1,0)</f>
        <v/>
      </c>
      <c r="W34" s="56">
        <f>IFERROR(N(IFERROR(INDEX($A34:$R34,MATCH("Probability",$A$1:$R$1,0)),"")),0)</f>
        <v/>
      </c>
      <c r="X34" s="52">
        <f>IF(T34="Open",U34*W34,0)</f>
        <v/>
      </c>
      <c r="Y34" s="52">
        <f>IF(T34="Won",IFERROR(N(IFERROR(INDEX($A34:$R34,MATCH("Still to Invoice",$A$1:$R$1,0)),"")),0),0)</f>
        <v/>
      </c>
      <c r="Z34" s="55">
        <f>IFERROR(EOMONTH(IFERROR(INDEX($A34:$R34,MATCH("Expected Invoice Month",$A$1:$R$1,0)),""),0),"")</f>
        <v/>
      </c>
      <c r="AA34" s="9">
        <f>IFERROR(INDEX($A34:$R34,MATCH("Cost Centre",$A$1:$R$1,0)),"")&amp;""</f>
        <v/>
      </c>
      <c r="AB34" s="9">
        <f>IFERROR(INDEX($A34:$R34,MATCH("Pipeline Stage",$A$1:$R$1,0)),"")&amp;""</f>
        <v/>
      </c>
      <c r="AC34" s="9">
        <f>IFERROR(INDEX($A34:$R34,MATCH("Client",$A$1:$R$1,0)),"")&amp;""</f>
        <v/>
      </c>
      <c r="AD34" s="9">
        <f>IFERROR(INDEX($A34:$R34,MATCH("Description",$A$1:$R$1,0)),"")&amp;""</f>
        <v/>
      </c>
      <c r="AE34" s="9">
        <f>IFERROR(INDEX($A34:$R34,MATCH("Job Number",$A$1:$R$1,0)),"")&amp;""</f>
        <v/>
      </c>
      <c r="AF34" s="54">
        <f>IF(AND(T34="Open",ISNUMBER(Z34),Z34&lt;EOMONTH(set_AsAt,-1)+1),3,0)</f>
        <v/>
      </c>
      <c r="AG34" s="54">
        <f>IF(AND(T34="Open",U34&gt;0,U34&gt;=set_DealShare*SUMIFS($U$2:$U$601,$T$2:$T$601,"Open")),3,0)</f>
        <v/>
      </c>
      <c r="AH34" s="54">
        <f>IF(AND(T34="Open",U34&gt;=set_BigValue,W34&lt;=set_EarlyProb),2,0)</f>
        <v/>
      </c>
      <c r="AI34" s="54">
        <f>IF(AND(OR(T34="Open",T34="Won"),V34=0),2,0)</f>
        <v/>
      </c>
      <c r="AJ34" s="54">
        <f>IF(AND(T34="Won",Y34&gt;0.5,ISNUMBER(Z34),Z34&lt;EOMONTH(set_AsAt,-1)+1),3,0)</f>
        <v/>
      </c>
      <c r="AK34" s="54">
        <f>IF(AND(T34="Won",Y34&lt;-1),1,0)</f>
        <v/>
      </c>
      <c r="AL34" s="54">
        <f>SUM(AF34:AK34)</f>
        <v/>
      </c>
      <c r="AM34" s="9">
        <f>IF(AL34&gt;=set_ScoreHigh,"High",IF(AL34&gt;=set_ScoreMed,"Medium",IF(AL34&gt;0,"Low","OK")))</f>
        <v/>
      </c>
      <c r="AN34" s="54">
        <f>IF(OR(T34="Open",AND(T34="Won",ABS(Y34)&gt;0.5)),1,0)</f>
        <v/>
      </c>
      <c r="AO34" s="52">
        <f>IF(T34="Open",IF(V34=0,0,X34),IF(T34="Won",MAX(0,Y34),0))</f>
        <v/>
      </c>
      <c r="AP34" s="54">
        <f>IF(AN34=1,AL34*1E+9+U34+ROW()/1E+6,"")</f>
        <v/>
      </c>
      <c r="AQ34" s="9">
        <f>MID(IF(AF34&gt;0,"; Expected month passed - update Zoho","")&amp;IF(AG34&gt;0,"; "&amp;TEXT(U34/MAX(1,SUMIFS($U$2:$U$601,$T$2:$T$601,"Open")),"0%")&amp;" of open pipeline in one deal","")&amp;IF(AH34&gt;0,"; Large deal at an early stage","")&amp;IF(AI34&gt;0,"; No amount in Zoho","")&amp;IF(AJ34&gt;0,"; Won, invoice month passed, not fully invoiced","")&amp;IF(AK34&gt;0,"; Xero invoiced more than the deal value",""),3,300)</f>
        <v/>
      </c>
    </row>
    <row r="35">
      <c r="A35" s="51" t="n">
        <v>46326</v>
      </c>
      <c r="B35" t="inlineStr">
        <is>
          <t>ZOHO</t>
        </is>
      </c>
      <c r="C35" t="inlineStr">
        <is>
          <t>2512805</t>
        </is>
      </c>
      <c r="D35" t="inlineStr">
        <is>
          <t>The Royal Society of New South Wales</t>
        </is>
      </c>
      <c r="E35" t="inlineStr">
        <is>
          <t>2512805</t>
        </is>
      </c>
      <c r="F35" t="inlineStr">
        <is>
          <t>OK</t>
        </is>
      </c>
      <c r="G35" t="inlineStr">
        <is>
          <t>PRODUCTION</t>
        </is>
      </c>
      <c r="H35" t="inlineStr">
        <is>
          <t>RSNSW Ordinary General Meeting 7.10.2026</t>
        </is>
      </c>
      <c r="I35" t="n">
        <v>2881</v>
      </c>
      <c r="J35" t="inlineStr">
        <is>
          <t>Won</t>
        </is>
      </c>
      <c r="K35" s="51" t="n">
        <v>46302</v>
      </c>
      <c r="L35" s="51" t="n">
        <v>46326</v>
      </c>
      <c r="M35" t="n">
        <v>0</v>
      </c>
      <c r="N35" t="n">
        <v>2881</v>
      </c>
      <c r="P35" t="inlineStr">
        <is>
          <t>Closed Won</t>
        </is>
      </c>
      <c r="Q35" t="n">
        <v>1</v>
      </c>
      <c r="R35" t="n">
        <v>2881</v>
      </c>
      <c r="T35" s="9">
        <f>IFERROR(INDEX($A35:$R35,MATCH("Status",$A$1:$R$1,0)),"")&amp;""</f>
        <v/>
      </c>
      <c r="U35" s="52">
        <f>IFERROR(N(IFERROR(INDEX($A35:$R35,MATCH("Value Ex GST",$A$1:$R$1,0)),"")),0)</f>
        <v/>
      </c>
      <c r="V35" s="54">
        <f>IF(AND(T35&lt;&gt;"",IFERROR(INDEX($A35:$R35,MATCH("Value Ex GST",$A$1:$R$1,0)),"")&amp;""&lt;&gt;""),1,0)</f>
        <v/>
      </c>
      <c r="W35" s="56">
        <f>IFERROR(N(IFERROR(INDEX($A35:$R35,MATCH("Probability",$A$1:$R$1,0)),"")),0)</f>
        <v/>
      </c>
      <c r="X35" s="52">
        <f>IF(T35="Open",U35*W35,0)</f>
        <v/>
      </c>
      <c r="Y35" s="52">
        <f>IF(T35="Won",IFERROR(N(IFERROR(INDEX($A35:$R35,MATCH("Still to Invoice",$A$1:$R$1,0)),"")),0),0)</f>
        <v/>
      </c>
      <c r="Z35" s="55">
        <f>IFERROR(EOMONTH(IFERROR(INDEX($A35:$R35,MATCH("Expected Invoice Month",$A$1:$R$1,0)),""),0),"")</f>
        <v/>
      </c>
      <c r="AA35" s="9">
        <f>IFERROR(INDEX($A35:$R35,MATCH("Cost Centre",$A$1:$R$1,0)),"")&amp;""</f>
        <v/>
      </c>
      <c r="AB35" s="9">
        <f>IFERROR(INDEX($A35:$R35,MATCH("Pipeline Stage",$A$1:$R$1,0)),"")&amp;""</f>
        <v/>
      </c>
      <c r="AC35" s="9">
        <f>IFERROR(INDEX($A35:$R35,MATCH("Client",$A$1:$R$1,0)),"")&amp;""</f>
        <v/>
      </c>
      <c r="AD35" s="9">
        <f>IFERROR(INDEX($A35:$R35,MATCH("Description",$A$1:$R$1,0)),"")&amp;""</f>
        <v/>
      </c>
      <c r="AE35" s="9">
        <f>IFERROR(INDEX($A35:$R35,MATCH("Job Number",$A$1:$R$1,0)),"")&amp;""</f>
        <v/>
      </c>
      <c r="AF35" s="54">
        <f>IF(AND(T35="Open",ISNUMBER(Z35),Z35&lt;EOMONTH(set_AsAt,-1)+1),3,0)</f>
        <v/>
      </c>
      <c r="AG35" s="54">
        <f>IF(AND(T35="Open",U35&gt;0,U35&gt;=set_DealShare*SUMIFS($U$2:$U$601,$T$2:$T$601,"Open")),3,0)</f>
        <v/>
      </c>
      <c r="AH35" s="54">
        <f>IF(AND(T35="Open",U35&gt;=set_BigValue,W35&lt;=set_EarlyProb),2,0)</f>
        <v/>
      </c>
      <c r="AI35" s="54">
        <f>IF(AND(OR(T35="Open",T35="Won"),V35=0),2,0)</f>
        <v/>
      </c>
      <c r="AJ35" s="54">
        <f>IF(AND(T35="Won",Y35&gt;0.5,ISNUMBER(Z35),Z35&lt;EOMONTH(set_AsAt,-1)+1),3,0)</f>
        <v/>
      </c>
      <c r="AK35" s="54">
        <f>IF(AND(T35="Won",Y35&lt;-1),1,0)</f>
        <v/>
      </c>
      <c r="AL35" s="54">
        <f>SUM(AF35:AK35)</f>
        <v/>
      </c>
      <c r="AM35" s="9">
        <f>IF(AL35&gt;=set_ScoreHigh,"High",IF(AL35&gt;=set_ScoreMed,"Medium",IF(AL35&gt;0,"Low","OK")))</f>
        <v/>
      </c>
      <c r="AN35" s="54">
        <f>IF(OR(T35="Open",AND(T35="Won",ABS(Y35)&gt;0.5)),1,0)</f>
        <v/>
      </c>
      <c r="AO35" s="52">
        <f>IF(T35="Open",IF(V35=0,0,X35),IF(T35="Won",MAX(0,Y35),0))</f>
        <v/>
      </c>
      <c r="AP35" s="54">
        <f>IF(AN35=1,AL35*1E+9+U35+ROW()/1E+6,"")</f>
        <v/>
      </c>
      <c r="AQ35" s="9">
        <f>MID(IF(AF35&gt;0,"; Expected month passed - update Zoho","")&amp;IF(AG35&gt;0,"; "&amp;TEXT(U35/MAX(1,SUMIFS($U$2:$U$601,$T$2:$T$601,"Open")),"0%")&amp;" of open pipeline in one deal","")&amp;IF(AH35&gt;0,"; Large deal at an early stage","")&amp;IF(AI35&gt;0,"; No amount in Zoho","")&amp;IF(AJ35&gt;0,"; Won, invoice month passed, not fully invoiced","")&amp;IF(AK35&gt;0,"; Xero invoiced more than the deal value",""),3,300)</f>
        <v/>
      </c>
    </row>
    <row r="36">
      <c r="A36" s="51" t="n">
        <v>46295</v>
      </c>
      <c r="B36" t="inlineStr">
        <is>
          <t>ZOHO</t>
        </is>
      </c>
      <c r="C36" t="inlineStr">
        <is>
          <t>26091401</t>
        </is>
      </c>
      <c r="D36" t="inlineStr">
        <is>
          <t>Aware Super</t>
        </is>
      </c>
      <c r="E36" t="inlineStr">
        <is>
          <t>26091401</t>
        </is>
      </c>
      <c r="F36" t="inlineStr">
        <is>
          <t>OK</t>
        </is>
      </c>
      <c r="G36" t="inlineStr">
        <is>
          <t>INTEGRATION</t>
        </is>
      </c>
      <c r="H36" t="inlineStr">
        <is>
          <t>Appspace Subscription (12 Months)</t>
        </is>
      </c>
      <c r="I36" t="n">
        <v>21197</v>
      </c>
      <c r="J36" t="inlineStr">
        <is>
          <t>Won</t>
        </is>
      </c>
      <c r="K36" s="51" t="n">
        <v>46283</v>
      </c>
      <c r="L36" s="51" t="n">
        <v>46295</v>
      </c>
      <c r="M36" t="n">
        <v>21197.37</v>
      </c>
      <c r="N36" t="n">
        <v>-0.369999999998981</v>
      </c>
      <c r="P36" t="inlineStr">
        <is>
          <t>Closed Won</t>
        </is>
      </c>
      <c r="Q36" t="n">
        <v>1</v>
      </c>
      <c r="R36" t="n">
        <v>21197</v>
      </c>
      <c r="T36" s="9">
        <f>IFERROR(INDEX($A36:$R36,MATCH("Status",$A$1:$R$1,0)),"")&amp;""</f>
        <v/>
      </c>
      <c r="U36" s="52">
        <f>IFERROR(N(IFERROR(INDEX($A36:$R36,MATCH("Value Ex GST",$A$1:$R$1,0)),"")),0)</f>
        <v/>
      </c>
      <c r="V36" s="54">
        <f>IF(AND(T36&lt;&gt;"",IFERROR(INDEX($A36:$R36,MATCH("Value Ex GST",$A$1:$R$1,0)),"")&amp;""&lt;&gt;""),1,0)</f>
        <v/>
      </c>
      <c r="W36" s="56">
        <f>IFERROR(N(IFERROR(INDEX($A36:$R36,MATCH("Probability",$A$1:$R$1,0)),"")),0)</f>
        <v/>
      </c>
      <c r="X36" s="52">
        <f>IF(T36="Open",U36*W36,0)</f>
        <v/>
      </c>
      <c r="Y36" s="52">
        <f>IF(T36="Won",IFERROR(N(IFERROR(INDEX($A36:$R36,MATCH("Still to Invoice",$A$1:$R$1,0)),"")),0),0)</f>
        <v/>
      </c>
      <c r="Z36" s="55">
        <f>IFERROR(EOMONTH(IFERROR(INDEX($A36:$R36,MATCH("Expected Invoice Month",$A$1:$R$1,0)),""),0),"")</f>
        <v/>
      </c>
      <c r="AA36" s="9">
        <f>IFERROR(INDEX($A36:$R36,MATCH("Cost Centre",$A$1:$R$1,0)),"")&amp;""</f>
        <v/>
      </c>
      <c r="AB36" s="9">
        <f>IFERROR(INDEX($A36:$R36,MATCH("Pipeline Stage",$A$1:$R$1,0)),"")&amp;""</f>
        <v/>
      </c>
      <c r="AC36" s="9">
        <f>IFERROR(INDEX($A36:$R36,MATCH("Client",$A$1:$R$1,0)),"")&amp;""</f>
        <v/>
      </c>
      <c r="AD36" s="9">
        <f>IFERROR(INDEX($A36:$R36,MATCH("Description",$A$1:$R$1,0)),"")&amp;""</f>
        <v/>
      </c>
      <c r="AE36" s="9">
        <f>IFERROR(INDEX($A36:$R36,MATCH("Job Number",$A$1:$R$1,0)),"")&amp;""</f>
        <v/>
      </c>
      <c r="AF36" s="54">
        <f>IF(AND(T36="Open",ISNUMBER(Z36),Z36&lt;EOMONTH(set_AsAt,-1)+1),3,0)</f>
        <v/>
      </c>
      <c r="AG36" s="54">
        <f>IF(AND(T36="Open",U36&gt;0,U36&gt;=set_DealShare*SUMIFS($U$2:$U$601,$T$2:$T$601,"Open")),3,0)</f>
        <v/>
      </c>
      <c r="AH36" s="54">
        <f>IF(AND(T36="Open",U36&gt;=set_BigValue,W36&lt;=set_EarlyProb),2,0)</f>
        <v/>
      </c>
      <c r="AI36" s="54">
        <f>IF(AND(OR(T36="Open",T36="Won"),V36=0),2,0)</f>
        <v/>
      </c>
      <c r="AJ36" s="54">
        <f>IF(AND(T36="Won",Y36&gt;0.5,ISNUMBER(Z36),Z36&lt;EOMONTH(set_AsAt,-1)+1),3,0)</f>
        <v/>
      </c>
      <c r="AK36" s="54">
        <f>IF(AND(T36="Won",Y36&lt;-1),1,0)</f>
        <v/>
      </c>
      <c r="AL36" s="54">
        <f>SUM(AF36:AK36)</f>
        <v/>
      </c>
      <c r="AM36" s="9">
        <f>IF(AL36&gt;=set_ScoreHigh,"High",IF(AL36&gt;=set_ScoreMed,"Medium",IF(AL36&gt;0,"Low","OK")))</f>
        <v/>
      </c>
      <c r="AN36" s="54">
        <f>IF(OR(T36="Open",AND(T36="Won",ABS(Y36)&gt;0.5)),1,0)</f>
        <v/>
      </c>
      <c r="AO36" s="52">
        <f>IF(T36="Open",IF(V36=0,0,X36),IF(T36="Won",MAX(0,Y36),0))</f>
        <v/>
      </c>
      <c r="AP36" s="54">
        <f>IF(AN36=1,AL36*1E+9+U36+ROW()/1E+6,"")</f>
        <v/>
      </c>
      <c r="AQ36" s="9">
        <f>MID(IF(AF36&gt;0,"; Expected month passed - update Zoho","")&amp;IF(AG36&gt;0,"; "&amp;TEXT(U36/MAX(1,SUMIFS($U$2:$U$601,$T$2:$T$601,"Open")),"0%")&amp;" of open pipeline in one deal","")&amp;IF(AH36&gt;0,"; Large deal at an early stage","")&amp;IF(AI36&gt;0,"; No amount in Zoho","")&amp;IF(AJ36&gt;0,"; Won, invoice month passed, not fully invoiced","")&amp;IF(AK36&gt;0,"; Xero invoiced more than the deal value",""),3,300)</f>
        <v/>
      </c>
    </row>
    <row r="37">
      <c r="A37" s="51" t="n">
        <v>46265</v>
      </c>
      <c r="B37" t="inlineStr">
        <is>
          <t>ZOHO</t>
        </is>
      </c>
      <c r="C37" t="inlineStr">
        <is>
          <t>26061109</t>
        </is>
      </c>
      <c r="D37" t="inlineStr">
        <is>
          <t>Ventia</t>
        </is>
      </c>
      <c r="E37" t="inlineStr">
        <is>
          <t>26061109</t>
        </is>
      </c>
      <c r="F37" t="inlineStr">
        <is>
          <t>OK</t>
        </is>
      </c>
      <c r="G37" t="inlineStr">
        <is>
          <t>PRODUCTION</t>
        </is>
      </c>
      <c r="H37" t="inlineStr">
        <is>
          <t>Ventia - Employee HYR Town Hall - 24.8.26</t>
        </is>
      </c>
      <c r="I37" t="n">
        <v>13402</v>
      </c>
      <c r="J37" t="inlineStr">
        <is>
          <t>Won</t>
        </is>
      </c>
      <c r="K37" s="51" t="n">
        <v>46258</v>
      </c>
      <c r="L37" s="51" t="n">
        <v>46265</v>
      </c>
      <c r="M37" t="n">
        <v>13401.5</v>
      </c>
      <c r="N37" t="n">
        <v>0.5</v>
      </c>
      <c r="P37" t="inlineStr">
        <is>
          <t>Closed Won</t>
        </is>
      </c>
      <c r="Q37" t="n">
        <v>1</v>
      </c>
      <c r="R37" t="n">
        <v>13402</v>
      </c>
      <c r="T37" s="9">
        <f>IFERROR(INDEX($A37:$R37,MATCH("Status",$A$1:$R$1,0)),"")&amp;""</f>
        <v/>
      </c>
      <c r="U37" s="52">
        <f>IFERROR(N(IFERROR(INDEX($A37:$R37,MATCH("Value Ex GST",$A$1:$R$1,0)),"")),0)</f>
        <v/>
      </c>
      <c r="V37" s="54">
        <f>IF(AND(T37&lt;&gt;"",IFERROR(INDEX($A37:$R37,MATCH("Value Ex GST",$A$1:$R$1,0)),"")&amp;""&lt;&gt;""),1,0)</f>
        <v/>
      </c>
      <c r="W37" s="56">
        <f>IFERROR(N(IFERROR(INDEX($A37:$R37,MATCH("Probability",$A$1:$R$1,0)),"")),0)</f>
        <v/>
      </c>
      <c r="X37" s="52">
        <f>IF(T37="Open",U37*W37,0)</f>
        <v/>
      </c>
      <c r="Y37" s="52">
        <f>IF(T37="Won",IFERROR(N(IFERROR(INDEX($A37:$R37,MATCH("Still to Invoice",$A$1:$R$1,0)),"")),0),0)</f>
        <v/>
      </c>
      <c r="Z37" s="55">
        <f>IFERROR(EOMONTH(IFERROR(INDEX($A37:$R37,MATCH("Expected Invoice Month",$A$1:$R$1,0)),""),0),"")</f>
        <v/>
      </c>
      <c r="AA37" s="9">
        <f>IFERROR(INDEX($A37:$R37,MATCH("Cost Centre",$A$1:$R$1,0)),"")&amp;""</f>
        <v/>
      </c>
      <c r="AB37" s="9">
        <f>IFERROR(INDEX($A37:$R37,MATCH("Pipeline Stage",$A$1:$R$1,0)),"")&amp;""</f>
        <v/>
      </c>
      <c r="AC37" s="9">
        <f>IFERROR(INDEX($A37:$R37,MATCH("Client",$A$1:$R$1,0)),"")&amp;""</f>
        <v/>
      </c>
      <c r="AD37" s="9">
        <f>IFERROR(INDEX($A37:$R37,MATCH("Description",$A$1:$R$1,0)),"")&amp;""</f>
        <v/>
      </c>
      <c r="AE37" s="9">
        <f>IFERROR(INDEX($A37:$R37,MATCH("Job Number",$A$1:$R$1,0)),"")&amp;""</f>
        <v/>
      </c>
      <c r="AF37" s="54">
        <f>IF(AND(T37="Open",ISNUMBER(Z37),Z37&lt;EOMONTH(set_AsAt,-1)+1),3,0)</f>
        <v/>
      </c>
      <c r="AG37" s="54">
        <f>IF(AND(T37="Open",U37&gt;0,U37&gt;=set_DealShare*SUMIFS($U$2:$U$601,$T$2:$T$601,"Open")),3,0)</f>
        <v/>
      </c>
      <c r="AH37" s="54">
        <f>IF(AND(T37="Open",U37&gt;=set_BigValue,W37&lt;=set_EarlyProb),2,0)</f>
        <v/>
      </c>
      <c r="AI37" s="54">
        <f>IF(AND(OR(T37="Open",T37="Won"),V37=0),2,0)</f>
        <v/>
      </c>
      <c r="AJ37" s="54">
        <f>IF(AND(T37="Won",Y37&gt;0.5,ISNUMBER(Z37),Z37&lt;EOMONTH(set_AsAt,-1)+1),3,0)</f>
        <v/>
      </c>
      <c r="AK37" s="54">
        <f>IF(AND(T37="Won",Y37&lt;-1),1,0)</f>
        <v/>
      </c>
      <c r="AL37" s="54">
        <f>SUM(AF37:AK37)</f>
        <v/>
      </c>
      <c r="AM37" s="9">
        <f>IF(AL37&gt;=set_ScoreHigh,"High",IF(AL37&gt;=set_ScoreMed,"Medium",IF(AL37&gt;0,"Low","OK")))</f>
        <v/>
      </c>
      <c r="AN37" s="54">
        <f>IF(OR(T37="Open",AND(T37="Won",ABS(Y37)&gt;0.5)),1,0)</f>
        <v/>
      </c>
      <c r="AO37" s="52">
        <f>IF(T37="Open",IF(V37=0,0,X37),IF(T37="Won",MAX(0,Y37),0))</f>
        <v/>
      </c>
      <c r="AP37" s="54">
        <f>IF(AN37=1,AL37*1E+9+U37+ROW()/1E+6,"")</f>
        <v/>
      </c>
      <c r="AQ37" s="9">
        <f>MID(IF(AF37&gt;0,"; Expected month passed - update Zoho","")&amp;IF(AG37&gt;0,"; "&amp;TEXT(U37/MAX(1,SUMIFS($U$2:$U$601,$T$2:$T$601,"Open")),"0%")&amp;" of open pipeline in one deal","")&amp;IF(AH37&gt;0,"; Large deal at an early stage","")&amp;IF(AI37&gt;0,"; No amount in Zoho","")&amp;IF(AJ37&gt;0,"; Won, invoice month passed, not fully invoiced","")&amp;IF(AK37&gt;0,"; Xero invoiced more than the deal value",""),3,300)</f>
        <v/>
      </c>
    </row>
    <row r="38">
      <c r="A38" s="51" t="n">
        <v>46265</v>
      </c>
      <c r="B38" t="inlineStr">
        <is>
          <t>ZOHO</t>
        </is>
      </c>
      <c r="C38" t="inlineStr">
        <is>
          <t>26073107</t>
        </is>
      </c>
      <c r="D38" t="inlineStr">
        <is>
          <t>Deloitte Australia</t>
        </is>
      </c>
      <c r="E38" t="inlineStr">
        <is>
          <t>26073107</t>
        </is>
      </c>
      <c r="F38" t="inlineStr">
        <is>
          <t>OK</t>
        </is>
      </c>
      <c r="G38" t="inlineStr">
        <is>
          <t>ONSITE</t>
        </is>
      </c>
      <c r="H38" t="inlineStr">
        <is>
          <t>Technician Travel (ADL-HOB Return)</t>
        </is>
      </c>
      <c r="I38" t="n">
        <v>7145</v>
      </c>
      <c r="J38" t="inlineStr">
        <is>
          <t>Won</t>
        </is>
      </c>
      <c r="K38" s="51" t="n">
        <v>46241</v>
      </c>
      <c r="L38" s="51" t="n">
        <v>46265</v>
      </c>
      <c r="M38" t="n">
        <v>7145</v>
      </c>
      <c r="N38" t="n">
        <v>0</v>
      </c>
      <c r="P38" t="inlineStr">
        <is>
          <t>Closed Won</t>
        </is>
      </c>
      <c r="Q38" t="n">
        <v>1</v>
      </c>
      <c r="R38" t="n">
        <v>7145</v>
      </c>
      <c r="T38" s="9">
        <f>IFERROR(INDEX($A38:$R38,MATCH("Status",$A$1:$R$1,0)),"")&amp;""</f>
        <v/>
      </c>
      <c r="U38" s="52">
        <f>IFERROR(N(IFERROR(INDEX($A38:$R38,MATCH("Value Ex GST",$A$1:$R$1,0)),"")),0)</f>
        <v/>
      </c>
      <c r="V38" s="54">
        <f>IF(AND(T38&lt;&gt;"",IFERROR(INDEX($A38:$R38,MATCH("Value Ex GST",$A$1:$R$1,0)),"")&amp;""&lt;&gt;""),1,0)</f>
        <v/>
      </c>
      <c r="W38" s="56">
        <f>IFERROR(N(IFERROR(INDEX($A38:$R38,MATCH("Probability",$A$1:$R$1,0)),"")),0)</f>
        <v/>
      </c>
      <c r="X38" s="52">
        <f>IF(T38="Open",U38*W38,0)</f>
        <v/>
      </c>
      <c r="Y38" s="52">
        <f>IF(T38="Won",IFERROR(N(IFERROR(INDEX($A38:$R38,MATCH("Still to Invoice",$A$1:$R$1,0)),"")),0),0)</f>
        <v/>
      </c>
      <c r="Z38" s="55">
        <f>IFERROR(EOMONTH(IFERROR(INDEX($A38:$R38,MATCH("Expected Invoice Month",$A$1:$R$1,0)),""),0),"")</f>
        <v/>
      </c>
      <c r="AA38" s="9">
        <f>IFERROR(INDEX($A38:$R38,MATCH("Cost Centre",$A$1:$R$1,0)),"")&amp;""</f>
        <v/>
      </c>
      <c r="AB38" s="9">
        <f>IFERROR(INDEX($A38:$R38,MATCH("Pipeline Stage",$A$1:$R$1,0)),"")&amp;""</f>
        <v/>
      </c>
      <c r="AC38" s="9">
        <f>IFERROR(INDEX($A38:$R38,MATCH("Client",$A$1:$R$1,0)),"")&amp;""</f>
        <v/>
      </c>
      <c r="AD38" s="9">
        <f>IFERROR(INDEX($A38:$R38,MATCH("Description",$A$1:$R$1,0)),"")&amp;""</f>
        <v/>
      </c>
      <c r="AE38" s="9">
        <f>IFERROR(INDEX($A38:$R38,MATCH("Job Number",$A$1:$R$1,0)),"")&amp;""</f>
        <v/>
      </c>
      <c r="AF38" s="54">
        <f>IF(AND(T38="Open",ISNUMBER(Z38),Z38&lt;EOMONTH(set_AsAt,-1)+1),3,0)</f>
        <v/>
      </c>
      <c r="AG38" s="54">
        <f>IF(AND(T38="Open",U38&gt;0,U38&gt;=set_DealShare*SUMIFS($U$2:$U$601,$T$2:$T$601,"Open")),3,0)</f>
        <v/>
      </c>
      <c r="AH38" s="54">
        <f>IF(AND(T38="Open",U38&gt;=set_BigValue,W38&lt;=set_EarlyProb),2,0)</f>
        <v/>
      </c>
      <c r="AI38" s="54">
        <f>IF(AND(OR(T38="Open",T38="Won"),V38=0),2,0)</f>
        <v/>
      </c>
      <c r="AJ38" s="54">
        <f>IF(AND(T38="Won",Y38&gt;0.5,ISNUMBER(Z38),Z38&lt;EOMONTH(set_AsAt,-1)+1),3,0)</f>
        <v/>
      </c>
      <c r="AK38" s="54">
        <f>IF(AND(T38="Won",Y38&lt;-1),1,0)</f>
        <v/>
      </c>
      <c r="AL38" s="54">
        <f>SUM(AF38:AK38)</f>
        <v/>
      </c>
      <c r="AM38" s="9">
        <f>IF(AL38&gt;=set_ScoreHigh,"High",IF(AL38&gt;=set_ScoreMed,"Medium",IF(AL38&gt;0,"Low","OK")))</f>
        <v/>
      </c>
      <c r="AN38" s="54">
        <f>IF(OR(T38="Open",AND(T38="Won",ABS(Y38)&gt;0.5)),1,0)</f>
        <v/>
      </c>
      <c r="AO38" s="52">
        <f>IF(T38="Open",IF(V38=0,0,X38),IF(T38="Won",MAX(0,Y38),0))</f>
        <v/>
      </c>
      <c r="AP38" s="54">
        <f>IF(AN38=1,AL38*1E+9+U38+ROW()/1E+6,"")</f>
        <v/>
      </c>
      <c r="AQ38" s="9">
        <f>MID(IF(AF38&gt;0,"; Expected month passed - update Zoho","")&amp;IF(AG38&gt;0,"; "&amp;TEXT(U38/MAX(1,SUMIFS($U$2:$U$601,$T$2:$T$601,"Open")),"0%")&amp;" of open pipeline in one deal","")&amp;IF(AH38&gt;0,"; Large deal at an early stage","")&amp;IF(AI38&gt;0,"; No amount in Zoho","")&amp;IF(AJ38&gt;0,"; Won, invoice month passed, not fully invoiced","")&amp;IF(AK38&gt;0,"; Xero invoiced more than the deal value",""),3,300)</f>
        <v/>
      </c>
    </row>
    <row r="39">
      <c r="A39" s="51" t="n">
        <v>46265</v>
      </c>
      <c r="B39" t="inlineStr">
        <is>
          <t>ZOHO</t>
        </is>
      </c>
      <c r="C39" t="inlineStr">
        <is>
          <t>26071601</t>
        </is>
      </c>
      <c r="D39" t="inlineStr">
        <is>
          <t>Aware Super</t>
        </is>
      </c>
      <c r="E39" t="inlineStr">
        <is>
          <t>26071601</t>
        </is>
      </c>
      <c r="F39" t="inlineStr">
        <is>
          <t>OK</t>
        </is>
      </c>
      <c r="G39" t="inlineStr">
        <is>
          <t>INTEGRATION</t>
        </is>
      </c>
      <c r="H39" t="inlineStr">
        <is>
          <t>Aware | PER USB-C Cable Replacement - 26071601</t>
        </is>
      </c>
      <c r="I39" t="n">
        <v>2957</v>
      </c>
      <c r="J39" t="inlineStr">
        <is>
          <t>Won</t>
        </is>
      </c>
      <c r="K39" s="51" t="n">
        <v>46259</v>
      </c>
      <c r="L39" s="51" t="n">
        <v>46265</v>
      </c>
      <c r="M39" t="n">
        <v>2957</v>
      </c>
      <c r="N39" t="n">
        <v>0</v>
      </c>
      <c r="P39" t="inlineStr">
        <is>
          <t>Closed Won</t>
        </is>
      </c>
      <c r="Q39" t="n">
        <v>1</v>
      </c>
      <c r="R39" t="n">
        <v>2957</v>
      </c>
      <c r="T39" s="9">
        <f>IFERROR(INDEX($A39:$R39,MATCH("Status",$A$1:$R$1,0)),"")&amp;""</f>
        <v/>
      </c>
      <c r="U39" s="52">
        <f>IFERROR(N(IFERROR(INDEX($A39:$R39,MATCH("Value Ex GST",$A$1:$R$1,0)),"")),0)</f>
        <v/>
      </c>
      <c r="V39" s="54">
        <f>IF(AND(T39&lt;&gt;"",IFERROR(INDEX($A39:$R39,MATCH("Value Ex GST",$A$1:$R$1,0)),"")&amp;""&lt;&gt;""),1,0)</f>
        <v/>
      </c>
      <c r="W39" s="56">
        <f>IFERROR(N(IFERROR(INDEX($A39:$R39,MATCH("Probability",$A$1:$R$1,0)),"")),0)</f>
        <v/>
      </c>
      <c r="X39" s="52">
        <f>IF(T39="Open",U39*W39,0)</f>
        <v/>
      </c>
      <c r="Y39" s="52">
        <f>IF(T39="Won",IFERROR(N(IFERROR(INDEX($A39:$R39,MATCH("Still to Invoice",$A$1:$R$1,0)),"")),0),0)</f>
        <v/>
      </c>
      <c r="Z39" s="55">
        <f>IFERROR(EOMONTH(IFERROR(INDEX($A39:$R39,MATCH("Expected Invoice Month",$A$1:$R$1,0)),""),0),"")</f>
        <v/>
      </c>
      <c r="AA39" s="9">
        <f>IFERROR(INDEX($A39:$R39,MATCH("Cost Centre",$A$1:$R$1,0)),"")&amp;""</f>
        <v/>
      </c>
      <c r="AB39" s="9">
        <f>IFERROR(INDEX($A39:$R39,MATCH("Pipeline Stage",$A$1:$R$1,0)),"")&amp;""</f>
        <v/>
      </c>
      <c r="AC39" s="9">
        <f>IFERROR(INDEX($A39:$R39,MATCH("Client",$A$1:$R$1,0)),"")&amp;""</f>
        <v/>
      </c>
      <c r="AD39" s="9">
        <f>IFERROR(INDEX($A39:$R39,MATCH("Description",$A$1:$R$1,0)),"")&amp;""</f>
        <v/>
      </c>
      <c r="AE39" s="9">
        <f>IFERROR(INDEX($A39:$R39,MATCH("Job Number",$A$1:$R$1,0)),"")&amp;""</f>
        <v/>
      </c>
      <c r="AF39" s="54">
        <f>IF(AND(T39="Open",ISNUMBER(Z39),Z39&lt;EOMONTH(set_AsAt,-1)+1),3,0)</f>
        <v/>
      </c>
      <c r="AG39" s="54">
        <f>IF(AND(T39="Open",U39&gt;0,U39&gt;=set_DealShare*SUMIFS($U$2:$U$601,$T$2:$T$601,"Open")),3,0)</f>
        <v/>
      </c>
      <c r="AH39" s="54">
        <f>IF(AND(T39="Open",U39&gt;=set_BigValue,W39&lt;=set_EarlyProb),2,0)</f>
        <v/>
      </c>
      <c r="AI39" s="54">
        <f>IF(AND(OR(T39="Open",T39="Won"),V39=0),2,0)</f>
        <v/>
      </c>
      <c r="AJ39" s="54">
        <f>IF(AND(T39="Won",Y39&gt;0.5,ISNUMBER(Z39),Z39&lt;EOMONTH(set_AsAt,-1)+1),3,0)</f>
        <v/>
      </c>
      <c r="AK39" s="54">
        <f>IF(AND(T39="Won",Y39&lt;-1),1,0)</f>
        <v/>
      </c>
      <c r="AL39" s="54">
        <f>SUM(AF39:AK39)</f>
        <v/>
      </c>
      <c r="AM39" s="9">
        <f>IF(AL39&gt;=set_ScoreHigh,"High",IF(AL39&gt;=set_ScoreMed,"Medium",IF(AL39&gt;0,"Low","OK")))</f>
        <v/>
      </c>
      <c r="AN39" s="54">
        <f>IF(OR(T39="Open",AND(T39="Won",ABS(Y39)&gt;0.5)),1,0)</f>
        <v/>
      </c>
      <c r="AO39" s="52">
        <f>IF(T39="Open",IF(V39=0,0,X39),IF(T39="Won",MAX(0,Y39),0))</f>
        <v/>
      </c>
      <c r="AP39" s="54">
        <f>IF(AN39=1,AL39*1E+9+U39+ROW()/1E+6,"")</f>
        <v/>
      </c>
      <c r="AQ39" s="9">
        <f>MID(IF(AF39&gt;0,"; Expected month passed - update Zoho","")&amp;IF(AG39&gt;0,"; "&amp;TEXT(U39/MAX(1,SUMIFS($U$2:$U$601,$T$2:$T$601,"Open")),"0%")&amp;" of open pipeline in one deal","")&amp;IF(AH39&gt;0,"; Large deal at an early stage","")&amp;IF(AI39&gt;0,"; No amount in Zoho","")&amp;IF(AJ39&gt;0,"; Won, invoice month passed, not fully invoiced","")&amp;IF(AK39&gt;0,"; Xero invoiced more than the deal value",""),3,300)</f>
        <v/>
      </c>
    </row>
    <row r="40">
      <c r="A40" s="51" t="n">
        <v>46234</v>
      </c>
      <c r="B40" t="inlineStr">
        <is>
          <t>ZOHO</t>
        </is>
      </c>
      <c r="C40" t="inlineStr">
        <is>
          <t>26042001</t>
        </is>
      </c>
      <c r="D40" t="inlineStr">
        <is>
          <t>ASX Australian Securities Exchange</t>
        </is>
      </c>
      <c r="E40" t="inlineStr">
        <is>
          <t>26042001</t>
        </is>
      </c>
      <c r="F40" t="inlineStr">
        <is>
          <t>OK</t>
        </is>
      </c>
      <c r="G40" t="inlineStr">
        <is>
          <t>PRODUCTION</t>
        </is>
      </c>
      <c r="H40" t="inlineStr">
        <is>
          <t>ASX - AGM - 22.10.26</t>
        </is>
      </c>
      <c r="I40" t="n">
        <v>66463</v>
      </c>
      <c r="J40" t="inlineStr">
        <is>
          <t>Won</t>
        </is>
      </c>
      <c r="K40" s="51" t="n">
        <v>46218</v>
      </c>
      <c r="L40" s="51" t="n">
        <v>46326</v>
      </c>
      <c r="M40" t="n">
        <v>0</v>
      </c>
      <c r="N40" t="n">
        <v>66463</v>
      </c>
      <c r="O40" t="inlineStr">
        <is>
          <t>Invoice month taken from the event date in the deal name</t>
        </is>
      </c>
      <c r="P40" t="inlineStr">
        <is>
          <t>Closed Won</t>
        </is>
      </c>
      <c r="Q40" t="n">
        <v>1</v>
      </c>
      <c r="R40" t="n">
        <v>66463</v>
      </c>
      <c r="T40" s="9">
        <f>IFERROR(INDEX($A40:$R40,MATCH("Status",$A$1:$R$1,0)),"")&amp;""</f>
        <v/>
      </c>
      <c r="U40" s="52">
        <f>IFERROR(N(IFERROR(INDEX($A40:$R40,MATCH("Value Ex GST",$A$1:$R$1,0)),"")),0)</f>
        <v/>
      </c>
      <c r="V40" s="54">
        <f>IF(AND(T40&lt;&gt;"",IFERROR(INDEX($A40:$R40,MATCH("Value Ex GST",$A$1:$R$1,0)),"")&amp;""&lt;&gt;""),1,0)</f>
        <v/>
      </c>
      <c r="W40" s="56">
        <f>IFERROR(N(IFERROR(INDEX($A40:$R40,MATCH("Probability",$A$1:$R$1,0)),"")),0)</f>
        <v/>
      </c>
      <c r="X40" s="52">
        <f>IF(T40="Open",U40*W40,0)</f>
        <v/>
      </c>
      <c r="Y40" s="52">
        <f>IF(T40="Won",IFERROR(N(IFERROR(INDEX($A40:$R40,MATCH("Still to Invoice",$A$1:$R$1,0)),"")),0),0)</f>
        <v/>
      </c>
      <c r="Z40" s="55">
        <f>IFERROR(EOMONTH(IFERROR(INDEX($A40:$R40,MATCH("Expected Invoice Month",$A$1:$R$1,0)),""),0),"")</f>
        <v/>
      </c>
      <c r="AA40" s="9">
        <f>IFERROR(INDEX($A40:$R40,MATCH("Cost Centre",$A$1:$R$1,0)),"")&amp;""</f>
        <v/>
      </c>
      <c r="AB40" s="9">
        <f>IFERROR(INDEX($A40:$R40,MATCH("Pipeline Stage",$A$1:$R$1,0)),"")&amp;""</f>
        <v/>
      </c>
      <c r="AC40" s="9">
        <f>IFERROR(INDEX($A40:$R40,MATCH("Client",$A$1:$R$1,0)),"")&amp;""</f>
        <v/>
      </c>
      <c r="AD40" s="9">
        <f>IFERROR(INDEX($A40:$R40,MATCH("Description",$A$1:$R$1,0)),"")&amp;""</f>
        <v/>
      </c>
      <c r="AE40" s="9">
        <f>IFERROR(INDEX($A40:$R40,MATCH("Job Number",$A$1:$R$1,0)),"")&amp;""</f>
        <v/>
      </c>
      <c r="AF40" s="54">
        <f>IF(AND(T40="Open",ISNUMBER(Z40),Z40&lt;EOMONTH(set_AsAt,-1)+1),3,0)</f>
        <v/>
      </c>
      <c r="AG40" s="54">
        <f>IF(AND(T40="Open",U40&gt;0,U40&gt;=set_DealShare*SUMIFS($U$2:$U$601,$T$2:$T$601,"Open")),3,0)</f>
        <v/>
      </c>
      <c r="AH40" s="54">
        <f>IF(AND(T40="Open",U40&gt;=set_BigValue,W40&lt;=set_EarlyProb),2,0)</f>
        <v/>
      </c>
      <c r="AI40" s="54">
        <f>IF(AND(OR(T40="Open",T40="Won"),V40=0),2,0)</f>
        <v/>
      </c>
      <c r="AJ40" s="54">
        <f>IF(AND(T40="Won",Y40&gt;0.5,ISNUMBER(Z40),Z40&lt;EOMONTH(set_AsAt,-1)+1),3,0)</f>
        <v/>
      </c>
      <c r="AK40" s="54">
        <f>IF(AND(T40="Won",Y40&lt;-1),1,0)</f>
        <v/>
      </c>
      <c r="AL40" s="54">
        <f>SUM(AF40:AK40)</f>
        <v/>
      </c>
      <c r="AM40" s="9">
        <f>IF(AL40&gt;=set_ScoreHigh,"High",IF(AL40&gt;=set_ScoreMed,"Medium",IF(AL40&gt;0,"Low","OK")))</f>
        <v/>
      </c>
      <c r="AN40" s="54">
        <f>IF(OR(T40="Open",AND(T40="Won",ABS(Y40)&gt;0.5)),1,0)</f>
        <v/>
      </c>
      <c r="AO40" s="52">
        <f>IF(T40="Open",IF(V40=0,0,X40),IF(T40="Won",MAX(0,Y40),0))</f>
        <v/>
      </c>
      <c r="AP40" s="54">
        <f>IF(AN40=1,AL40*1E+9+U40+ROW()/1E+6,"")</f>
        <v/>
      </c>
      <c r="AQ40" s="9">
        <f>MID(IF(AF40&gt;0,"; Expected month passed - update Zoho","")&amp;IF(AG40&gt;0,"; "&amp;TEXT(U40/MAX(1,SUMIFS($U$2:$U$601,$T$2:$T$601,"Open")),"0%")&amp;" of open pipeline in one deal","")&amp;IF(AH40&gt;0,"; Large deal at an early stage","")&amp;IF(AI40&gt;0,"; No amount in Zoho","")&amp;IF(AJ40&gt;0,"; Won, invoice month passed, not fully invoiced","")&amp;IF(AK40&gt;0,"; Xero invoiced more than the deal value",""),3,300)</f>
        <v/>
      </c>
    </row>
    <row r="41">
      <c r="A41" s="51" t="n">
        <v>46295</v>
      </c>
      <c r="B41" t="inlineStr">
        <is>
          <t>ZOHO</t>
        </is>
      </c>
      <c r="C41" t="inlineStr">
        <is>
          <t>26082703</t>
        </is>
      </c>
      <c r="D41" t="inlineStr">
        <is>
          <t>APA</t>
        </is>
      </c>
      <c r="E41" t="inlineStr">
        <is>
          <t>26082703</t>
        </is>
      </c>
      <c r="F41" t="inlineStr">
        <is>
          <t>OK</t>
        </is>
      </c>
      <c r="G41" t="inlineStr">
        <is>
          <t>PRODUCTION</t>
        </is>
      </c>
      <c r="H41" t="inlineStr">
        <is>
          <t>APA - RUOK Day - 10.9.26</t>
        </is>
      </c>
      <c r="I41" t="n">
        <v>570</v>
      </c>
      <c r="J41" t="inlineStr">
        <is>
          <t>Won</t>
        </is>
      </c>
      <c r="K41" s="51" t="n">
        <v>46266</v>
      </c>
      <c r="L41" s="51" t="n">
        <v>46295</v>
      </c>
      <c r="M41" t="n">
        <v>570</v>
      </c>
      <c r="N41" t="n">
        <v>0</v>
      </c>
      <c r="P41" t="inlineStr">
        <is>
          <t>Closed Won</t>
        </is>
      </c>
      <c r="Q41" t="n">
        <v>1</v>
      </c>
      <c r="R41" t="n">
        <v>570</v>
      </c>
      <c r="T41" s="9">
        <f>IFERROR(INDEX($A41:$R41,MATCH("Status",$A$1:$R$1,0)),"")&amp;""</f>
        <v/>
      </c>
      <c r="U41" s="52">
        <f>IFERROR(N(IFERROR(INDEX($A41:$R41,MATCH("Value Ex GST",$A$1:$R$1,0)),"")),0)</f>
        <v/>
      </c>
      <c r="V41" s="54">
        <f>IF(AND(T41&lt;&gt;"",IFERROR(INDEX($A41:$R41,MATCH("Value Ex GST",$A$1:$R$1,0)),"")&amp;""&lt;&gt;""),1,0)</f>
        <v/>
      </c>
      <c r="W41" s="56">
        <f>IFERROR(N(IFERROR(INDEX($A41:$R41,MATCH("Probability",$A$1:$R$1,0)),"")),0)</f>
        <v/>
      </c>
      <c r="X41" s="52">
        <f>IF(T41="Open",U41*W41,0)</f>
        <v/>
      </c>
      <c r="Y41" s="52">
        <f>IF(T41="Won",IFERROR(N(IFERROR(INDEX($A41:$R41,MATCH("Still to Invoice",$A$1:$R$1,0)),"")),0),0)</f>
        <v/>
      </c>
      <c r="Z41" s="55">
        <f>IFERROR(EOMONTH(IFERROR(INDEX($A41:$R41,MATCH("Expected Invoice Month",$A$1:$R$1,0)),""),0),"")</f>
        <v/>
      </c>
      <c r="AA41" s="9">
        <f>IFERROR(INDEX($A41:$R41,MATCH("Cost Centre",$A$1:$R$1,0)),"")&amp;""</f>
        <v/>
      </c>
      <c r="AB41" s="9">
        <f>IFERROR(INDEX($A41:$R41,MATCH("Pipeline Stage",$A$1:$R$1,0)),"")&amp;""</f>
        <v/>
      </c>
      <c r="AC41" s="9">
        <f>IFERROR(INDEX($A41:$R41,MATCH("Client",$A$1:$R$1,0)),"")&amp;""</f>
        <v/>
      </c>
      <c r="AD41" s="9">
        <f>IFERROR(INDEX($A41:$R41,MATCH("Description",$A$1:$R$1,0)),"")&amp;""</f>
        <v/>
      </c>
      <c r="AE41" s="9">
        <f>IFERROR(INDEX($A41:$R41,MATCH("Job Number",$A$1:$R$1,0)),"")&amp;""</f>
        <v/>
      </c>
      <c r="AF41" s="54">
        <f>IF(AND(T41="Open",ISNUMBER(Z41),Z41&lt;EOMONTH(set_AsAt,-1)+1),3,0)</f>
        <v/>
      </c>
      <c r="AG41" s="54">
        <f>IF(AND(T41="Open",U41&gt;0,U41&gt;=set_DealShare*SUMIFS($U$2:$U$601,$T$2:$T$601,"Open")),3,0)</f>
        <v/>
      </c>
      <c r="AH41" s="54">
        <f>IF(AND(T41="Open",U41&gt;=set_BigValue,W41&lt;=set_EarlyProb),2,0)</f>
        <v/>
      </c>
      <c r="AI41" s="54">
        <f>IF(AND(OR(T41="Open",T41="Won"),V41=0),2,0)</f>
        <v/>
      </c>
      <c r="AJ41" s="54">
        <f>IF(AND(T41="Won",Y41&gt;0.5,ISNUMBER(Z41),Z41&lt;EOMONTH(set_AsAt,-1)+1),3,0)</f>
        <v/>
      </c>
      <c r="AK41" s="54">
        <f>IF(AND(T41="Won",Y41&lt;-1),1,0)</f>
        <v/>
      </c>
      <c r="AL41" s="54">
        <f>SUM(AF41:AK41)</f>
        <v/>
      </c>
      <c r="AM41" s="9">
        <f>IF(AL41&gt;=set_ScoreHigh,"High",IF(AL41&gt;=set_ScoreMed,"Medium",IF(AL41&gt;0,"Low","OK")))</f>
        <v/>
      </c>
      <c r="AN41" s="54">
        <f>IF(OR(T41="Open",AND(T41="Won",ABS(Y41)&gt;0.5)),1,0)</f>
        <v/>
      </c>
      <c r="AO41" s="52">
        <f>IF(T41="Open",IF(V41=0,0,X41),IF(T41="Won",MAX(0,Y41),0))</f>
        <v/>
      </c>
      <c r="AP41" s="54">
        <f>IF(AN41=1,AL41*1E+9+U41+ROW()/1E+6,"")</f>
        <v/>
      </c>
      <c r="AQ41" s="9">
        <f>MID(IF(AF41&gt;0,"; Expected month passed - update Zoho","")&amp;IF(AG41&gt;0,"; "&amp;TEXT(U41/MAX(1,SUMIFS($U$2:$U$601,$T$2:$T$601,"Open")),"0%")&amp;" of open pipeline in one deal","")&amp;IF(AH41&gt;0,"; Large deal at an early stage","")&amp;IF(AI41&gt;0,"; No amount in Zoho","")&amp;IF(AJ41&gt;0,"; Won, invoice month passed, not fully invoiced","")&amp;IF(AK41&gt;0,"; Xero invoiced more than the deal value",""),3,300)</f>
        <v/>
      </c>
    </row>
    <row r="42">
      <c r="A42" s="51" t="n">
        <v>46234</v>
      </c>
      <c r="B42" t="inlineStr">
        <is>
          <t>ZOHO</t>
        </is>
      </c>
      <c r="C42" t="inlineStr">
        <is>
          <t>26071301</t>
        </is>
      </c>
      <c r="D42" t="inlineStr">
        <is>
          <t>Litecard Pty Ltd</t>
        </is>
      </c>
      <c r="E42" t="inlineStr">
        <is>
          <t>26071301</t>
        </is>
      </c>
      <c r="F42" t="inlineStr">
        <is>
          <t>CHECK</t>
        </is>
      </c>
      <c r="G42" t="inlineStr">
        <is>
          <t>VIDEO</t>
        </is>
      </c>
      <c r="H42" t="inlineStr">
        <is>
          <t>Litecard - Event Photography - 16.7.26</t>
        </is>
      </c>
      <c r="I42" t="n">
        <v>550</v>
      </c>
      <c r="J42" t="inlineStr">
        <is>
          <t>Won</t>
        </is>
      </c>
      <c r="K42" s="51" t="n">
        <v>46219</v>
      </c>
      <c r="L42" s="51" t="n">
        <v>46234</v>
      </c>
      <c r="M42" t="n">
        <v>0</v>
      </c>
      <c r="N42" t="n">
        <v>550</v>
      </c>
      <c r="P42" t="inlineStr">
        <is>
          <t>Closed Won</t>
        </is>
      </c>
      <c r="Q42" t="n">
        <v>1</v>
      </c>
      <c r="R42" t="n">
        <v>550</v>
      </c>
      <c r="T42" s="9">
        <f>IFERROR(INDEX($A42:$R42,MATCH("Status",$A$1:$R$1,0)),"")&amp;""</f>
        <v/>
      </c>
      <c r="U42" s="52">
        <f>IFERROR(N(IFERROR(INDEX($A42:$R42,MATCH("Value Ex GST",$A$1:$R$1,0)),"")),0)</f>
        <v/>
      </c>
      <c r="V42" s="54">
        <f>IF(AND(T42&lt;&gt;"",IFERROR(INDEX($A42:$R42,MATCH("Value Ex GST",$A$1:$R$1,0)),"")&amp;""&lt;&gt;""),1,0)</f>
        <v/>
      </c>
      <c r="W42" s="56">
        <f>IFERROR(N(IFERROR(INDEX($A42:$R42,MATCH("Probability",$A$1:$R$1,0)),"")),0)</f>
        <v/>
      </c>
      <c r="X42" s="52">
        <f>IF(T42="Open",U42*W42,0)</f>
        <v/>
      </c>
      <c r="Y42" s="52">
        <f>IF(T42="Won",IFERROR(N(IFERROR(INDEX($A42:$R42,MATCH("Still to Invoice",$A$1:$R$1,0)),"")),0),0)</f>
        <v/>
      </c>
      <c r="Z42" s="55">
        <f>IFERROR(EOMONTH(IFERROR(INDEX($A42:$R42,MATCH("Expected Invoice Month",$A$1:$R$1,0)),""),0),"")</f>
        <v/>
      </c>
      <c r="AA42" s="9">
        <f>IFERROR(INDEX($A42:$R42,MATCH("Cost Centre",$A$1:$R$1,0)),"")&amp;""</f>
        <v/>
      </c>
      <c r="AB42" s="9">
        <f>IFERROR(INDEX($A42:$R42,MATCH("Pipeline Stage",$A$1:$R$1,0)),"")&amp;""</f>
        <v/>
      </c>
      <c r="AC42" s="9">
        <f>IFERROR(INDEX($A42:$R42,MATCH("Client",$A$1:$R$1,0)),"")&amp;""</f>
        <v/>
      </c>
      <c r="AD42" s="9">
        <f>IFERROR(INDEX($A42:$R42,MATCH("Description",$A$1:$R$1,0)),"")&amp;""</f>
        <v/>
      </c>
      <c r="AE42" s="9">
        <f>IFERROR(INDEX($A42:$R42,MATCH("Job Number",$A$1:$R$1,0)),"")&amp;""</f>
        <v/>
      </c>
      <c r="AF42" s="54">
        <f>IF(AND(T42="Open",ISNUMBER(Z42),Z42&lt;EOMONTH(set_AsAt,-1)+1),3,0)</f>
        <v/>
      </c>
      <c r="AG42" s="54">
        <f>IF(AND(T42="Open",U42&gt;0,U42&gt;=set_DealShare*SUMIFS($U$2:$U$601,$T$2:$T$601,"Open")),3,0)</f>
        <v/>
      </c>
      <c r="AH42" s="54">
        <f>IF(AND(T42="Open",U42&gt;=set_BigValue,W42&lt;=set_EarlyProb),2,0)</f>
        <v/>
      </c>
      <c r="AI42" s="54">
        <f>IF(AND(OR(T42="Open",T42="Won"),V42=0),2,0)</f>
        <v/>
      </c>
      <c r="AJ42" s="54">
        <f>IF(AND(T42="Won",Y42&gt;0.5,ISNUMBER(Z42),Z42&lt;EOMONTH(set_AsAt,-1)+1),3,0)</f>
        <v/>
      </c>
      <c r="AK42" s="54">
        <f>IF(AND(T42="Won",Y42&lt;-1),1,0)</f>
        <v/>
      </c>
      <c r="AL42" s="54">
        <f>SUM(AF42:AK42)</f>
        <v/>
      </c>
      <c r="AM42" s="9">
        <f>IF(AL42&gt;=set_ScoreHigh,"High",IF(AL42&gt;=set_ScoreMed,"Medium",IF(AL42&gt;0,"Low","OK")))</f>
        <v/>
      </c>
      <c r="AN42" s="54">
        <f>IF(OR(T42="Open",AND(T42="Won",ABS(Y42)&gt;0.5)),1,0)</f>
        <v/>
      </c>
      <c r="AO42" s="52">
        <f>IF(T42="Open",IF(V42=0,0,X42),IF(T42="Won",MAX(0,Y42),0))</f>
        <v/>
      </c>
      <c r="AP42" s="54">
        <f>IF(AN42=1,AL42*1E+9+U42+ROW()/1E+6,"")</f>
        <v/>
      </c>
      <c r="AQ42" s="9">
        <f>MID(IF(AF42&gt;0,"; Expected month passed - update Zoho","")&amp;IF(AG42&gt;0,"; "&amp;TEXT(U42/MAX(1,SUMIFS($U$2:$U$601,$T$2:$T$601,"Open")),"0%")&amp;" of open pipeline in one deal","")&amp;IF(AH42&gt;0,"; Large deal at an early stage","")&amp;IF(AI42&gt;0,"; No amount in Zoho","")&amp;IF(AJ42&gt;0,"; Won, invoice month passed, not fully invoiced","")&amp;IF(AK42&gt;0,"; Xero invoiced more than the deal value",""),3,300)</f>
        <v/>
      </c>
    </row>
    <row r="43">
      <c r="A43" s="51" t="n">
        <v>46265</v>
      </c>
      <c r="B43" t="inlineStr">
        <is>
          <t>ZOHO</t>
        </is>
      </c>
      <c r="C43" t="inlineStr">
        <is>
          <t>26052702</t>
        </is>
      </c>
      <c r="D43" t="inlineStr">
        <is>
          <t>ASX Australian Securities Exchange</t>
        </is>
      </c>
      <c r="E43" t="inlineStr">
        <is>
          <t>26052702</t>
        </is>
      </c>
      <c r="F43" t="inlineStr">
        <is>
          <t>OK</t>
        </is>
      </c>
      <c r="G43" t="inlineStr">
        <is>
          <t>PRODUCTION</t>
        </is>
      </c>
      <c r="H43" t="inlineStr">
        <is>
          <t>ASX - FYR - 13.8.26</t>
        </is>
      </c>
      <c r="I43" t="n">
        <v>37579</v>
      </c>
      <c r="J43" t="inlineStr">
        <is>
          <t>Won</t>
        </is>
      </c>
      <c r="K43" s="51" t="n">
        <v>46241</v>
      </c>
      <c r="L43" s="51" t="n">
        <v>46265</v>
      </c>
      <c r="M43" t="n">
        <v>37579</v>
      </c>
      <c r="N43" t="n">
        <v>0</v>
      </c>
      <c r="P43" t="inlineStr">
        <is>
          <t>Closed Won</t>
        </is>
      </c>
      <c r="Q43" t="n">
        <v>1</v>
      </c>
      <c r="R43" t="n">
        <v>37579</v>
      </c>
      <c r="T43" s="9">
        <f>IFERROR(INDEX($A43:$R43,MATCH("Status",$A$1:$R$1,0)),"")&amp;""</f>
        <v/>
      </c>
      <c r="U43" s="52">
        <f>IFERROR(N(IFERROR(INDEX($A43:$R43,MATCH("Value Ex GST",$A$1:$R$1,0)),"")),0)</f>
        <v/>
      </c>
      <c r="V43" s="54">
        <f>IF(AND(T43&lt;&gt;"",IFERROR(INDEX($A43:$R43,MATCH("Value Ex GST",$A$1:$R$1,0)),"")&amp;""&lt;&gt;""),1,0)</f>
        <v/>
      </c>
      <c r="W43" s="56">
        <f>IFERROR(N(IFERROR(INDEX($A43:$R43,MATCH("Probability",$A$1:$R$1,0)),"")),0)</f>
        <v/>
      </c>
      <c r="X43" s="52">
        <f>IF(T43="Open",U43*W43,0)</f>
        <v/>
      </c>
      <c r="Y43" s="52">
        <f>IF(T43="Won",IFERROR(N(IFERROR(INDEX($A43:$R43,MATCH("Still to Invoice",$A$1:$R$1,0)),"")),0),0)</f>
        <v/>
      </c>
      <c r="Z43" s="55">
        <f>IFERROR(EOMONTH(IFERROR(INDEX($A43:$R43,MATCH("Expected Invoice Month",$A$1:$R$1,0)),""),0),"")</f>
        <v/>
      </c>
      <c r="AA43" s="9">
        <f>IFERROR(INDEX($A43:$R43,MATCH("Cost Centre",$A$1:$R$1,0)),"")&amp;""</f>
        <v/>
      </c>
      <c r="AB43" s="9">
        <f>IFERROR(INDEX($A43:$R43,MATCH("Pipeline Stage",$A$1:$R$1,0)),"")&amp;""</f>
        <v/>
      </c>
      <c r="AC43" s="9">
        <f>IFERROR(INDEX($A43:$R43,MATCH("Client",$A$1:$R$1,0)),"")&amp;""</f>
        <v/>
      </c>
      <c r="AD43" s="9">
        <f>IFERROR(INDEX($A43:$R43,MATCH("Description",$A$1:$R$1,0)),"")&amp;""</f>
        <v/>
      </c>
      <c r="AE43" s="9">
        <f>IFERROR(INDEX($A43:$R43,MATCH("Job Number",$A$1:$R$1,0)),"")&amp;""</f>
        <v/>
      </c>
      <c r="AF43" s="54">
        <f>IF(AND(T43="Open",ISNUMBER(Z43),Z43&lt;EOMONTH(set_AsAt,-1)+1),3,0)</f>
        <v/>
      </c>
      <c r="AG43" s="54">
        <f>IF(AND(T43="Open",U43&gt;0,U43&gt;=set_DealShare*SUMIFS($U$2:$U$601,$T$2:$T$601,"Open")),3,0)</f>
        <v/>
      </c>
      <c r="AH43" s="54">
        <f>IF(AND(T43="Open",U43&gt;=set_BigValue,W43&lt;=set_EarlyProb),2,0)</f>
        <v/>
      </c>
      <c r="AI43" s="54">
        <f>IF(AND(OR(T43="Open",T43="Won"),V43=0),2,0)</f>
        <v/>
      </c>
      <c r="AJ43" s="54">
        <f>IF(AND(T43="Won",Y43&gt;0.5,ISNUMBER(Z43),Z43&lt;EOMONTH(set_AsAt,-1)+1),3,0)</f>
        <v/>
      </c>
      <c r="AK43" s="54">
        <f>IF(AND(T43="Won",Y43&lt;-1),1,0)</f>
        <v/>
      </c>
      <c r="AL43" s="54">
        <f>SUM(AF43:AK43)</f>
        <v/>
      </c>
      <c r="AM43" s="9">
        <f>IF(AL43&gt;=set_ScoreHigh,"High",IF(AL43&gt;=set_ScoreMed,"Medium",IF(AL43&gt;0,"Low","OK")))</f>
        <v/>
      </c>
      <c r="AN43" s="54">
        <f>IF(OR(T43="Open",AND(T43="Won",ABS(Y43)&gt;0.5)),1,0)</f>
        <v/>
      </c>
      <c r="AO43" s="52">
        <f>IF(T43="Open",IF(V43=0,0,X43),IF(T43="Won",MAX(0,Y43),0))</f>
        <v/>
      </c>
      <c r="AP43" s="54">
        <f>IF(AN43=1,AL43*1E+9+U43+ROW()/1E+6,"")</f>
        <v/>
      </c>
      <c r="AQ43" s="9">
        <f>MID(IF(AF43&gt;0,"; Expected month passed - update Zoho","")&amp;IF(AG43&gt;0,"; "&amp;TEXT(U43/MAX(1,SUMIFS($U$2:$U$601,$T$2:$T$601,"Open")),"0%")&amp;" of open pipeline in one deal","")&amp;IF(AH43&gt;0,"; Large deal at an early stage","")&amp;IF(AI43&gt;0,"; No amount in Zoho","")&amp;IF(AJ43&gt;0,"; Won, invoice month passed, not fully invoiced","")&amp;IF(AK43&gt;0,"; Xero invoiced more than the deal value",""),3,300)</f>
        <v/>
      </c>
    </row>
    <row r="44">
      <c r="A44" s="51" t="n">
        <v>46387</v>
      </c>
      <c r="B44" t="inlineStr">
        <is>
          <t>ZOHO</t>
        </is>
      </c>
      <c r="C44" t="inlineStr">
        <is>
          <t>2512806</t>
        </is>
      </c>
      <c r="D44" t="inlineStr">
        <is>
          <t>The Royal Society of New South Wales</t>
        </is>
      </c>
      <c r="E44" t="inlineStr">
        <is>
          <t>2512806</t>
        </is>
      </c>
      <c r="F44" t="inlineStr">
        <is>
          <t>OK</t>
        </is>
      </c>
      <c r="G44" t="inlineStr">
        <is>
          <t>PRODUCTION</t>
        </is>
      </c>
      <c r="H44" t="inlineStr">
        <is>
          <t>RSNSW Ordinary General Meeting 2.12.26</t>
        </is>
      </c>
      <c r="I44" t="n">
        <v>2881</v>
      </c>
      <c r="J44" t="inlineStr">
        <is>
          <t>Won</t>
        </is>
      </c>
      <c r="K44" s="51" t="n">
        <v>46358</v>
      </c>
      <c r="L44" s="51" t="n">
        <v>46387</v>
      </c>
      <c r="M44" t="n">
        <v>0</v>
      </c>
      <c r="N44" t="n">
        <v>2881</v>
      </c>
      <c r="P44" t="inlineStr">
        <is>
          <t>Closed Won</t>
        </is>
      </c>
      <c r="Q44" t="n">
        <v>1</v>
      </c>
      <c r="R44" t="n">
        <v>2881</v>
      </c>
      <c r="T44" s="9">
        <f>IFERROR(INDEX($A44:$R44,MATCH("Status",$A$1:$R$1,0)),"")&amp;""</f>
        <v/>
      </c>
      <c r="U44" s="52">
        <f>IFERROR(N(IFERROR(INDEX($A44:$R44,MATCH("Value Ex GST",$A$1:$R$1,0)),"")),0)</f>
        <v/>
      </c>
      <c r="V44" s="54">
        <f>IF(AND(T44&lt;&gt;"",IFERROR(INDEX($A44:$R44,MATCH("Value Ex GST",$A$1:$R$1,0)),"")&amp;""&lt;&gt;""),1,0)</f>
        <v/>
      </c>
      <c r="W44" s="56">
        <f>IFERROR(N(IFERROR(INDEX($A44:$R44,MATCH("Probability",$A$1:$R$1,0)),"")),0)</f>
        <v/>
      </c>
      <c r="X44" s="52">
        <f>IF(T44="Open",U44*W44,0)</f>
        <v/>
      </c>
      <c r="Y44" s="52">
        <f>IF(T44="Won",IFERROR(N(IFERROR(INDEX($A44:$R44,MATCH("Still to Invoice",$A$1:$R$1,0)),"")),0),0)</f>
        <v/>
      </c>
      <c r="Z44" s="55">
        <f>IFERROR(EOMONTH(IFERROR(INDEX($A44:$R44,MATCH("Expected Invoice Month",$A$1:$R$1,0)),""),0),"")</f>
        <v/>
      </c>
      <c r="AA44" s="9">
        <f>IFERROR(INDEX($A44:$R44,MATCH("Cost Centre",$A$1:$R$1,0)),"")&amp;""</f>
        <v/>
      </c>
      <c r="AB44" s="9">
        <f>IFERROR(INDEX($A44:$R44,MATCH("Pipeline Stage",$A$1:$R$1,0)),"")&amp;""</f>
        <v/>
      </c>
      <c r="AC44" s="9">
        <f>IFERROR(INDEX($A44:$R44,MATCH("Client",$A$1:$R$1,0)),"")&amp;""</f>
        <v/>
      </c>
      <c r="AD44" s="9">
        <f>IFERROR(INDEX($A44:$R44,MATCH("Description",$A$1:$R$1,0)),"")&amp;""</f>
        <v/>
      </c>
      <c r="AE44" s="9">
        <f>IFERROR(INDEX($A44:$R44,MATCH("Job Number",$A$1:$R$1,0)),"")&amp;""</f>
        <v/>
      </c>
      <c r="AF44" s="54">
        <f>IF(AND(T44="Open",ISNUMBER(Z44),Z44&lt;EOMONTH(set_AsAt,-1)+1),3,0)</f>
        <v/>
      </c>
      <c r="AG44" s="54">
        <f>IF(AND(T44="Open",U44&gt;0,U44&gt;=set_DealShare*SUMIFS($U$2:$U$601,$T$2:$T$601,"Open")),3,0)</f>
        <v/>
      </c>
      <c r="AH44" s="54">
        <f>IF(AND(T44="Open",U44&gt;=set_BigValue,W44&lt;=set_EarlyProb),2,0)</f>
        <v/>
      </c>
      <c r="AI44" s="54">
        <f>IF(AND(OR(T44="Open",T44="Won"),V44=0),2,0)</f>
        <v/>
      </c>
      <c r="AJ44" s="54">
        <f>IF(AND(T44="Won",Y44&gt;0.5,ISNUMBER(Z44),Z44&lt;EOMONTH(set_AsAt,-1)+1),3,0)</f>
        <v/>
      </c>
      <c r="AK44" s="54">
        <f>IF(AND(T44="Won",Y44&lt;-1),1,0)</f>
        <v/>
      </c>
      <c r="AL44" s="54">
        <f>SUM(AF44:AK44)</f>
        <v/>
      </c>
      <c r="AM44" s="9">
        <f>IF(AL44&gt;=set_ScoreHigh,"High",IF(AL44&gt;=set_ScoreMed,"Medium",IF(AL44&gt;0,"Low","OK")))</f>
        <v/>
      </c>
      <c r="AN44" s="54">
        <f>IF(OR(T44="Open",AND(T44="Won",ABS(Y44)&gt;0.5)),1,0)</f>
        <v/>
      </c>
      <c r="AO44" s="52">
        <f>IF(T44="Open",IF(V44=0,0,X44),IF(T44="Won",MAX(0,Y44),0))</f>
        <v/>
      </c>
      <c r="AP44" s="54">
        <f>IF(AN44=1,AL44*1E+9+U44+ROW()/1E+6,"")</f>
        <v/>
      </c>
      <c r="AQ44" s="9">
        <f>MID(IF(AF44&gt;0,"; Expected month passed - update Zoho","")&amp;IF(AG44&gt;0,"; "&amp;TEXT(U44/MAX(1,SUMIFS($U$2:$U$601,$T$2:$T$601,"Open")),"0%")&amp;" of open pipeline in one deal","")&amp;IF(AH44&gt;0,"; Large deal at an early stage","")&amp;IF(AI44&gt;0,"; No amount in Zoho","")&amp;IF(AJ44&gt;0,"; Won, invoice month passed, not fully invoiced","")&amp;IF(AK44&gt;0,"; Xero invoiced more than the deal value",""),3,300)</f>
        <v/>
      </c>
    </row>
    <row r="45">
      <c r="A45" s="51" t="n">
        <v>46356</v>
      </c>
      <c r="B45" t="inlineStr">
        <is>
          <t>ZOHO</t>
        </is>
      </c>
      <c r="C45" t="inlineStr">
        <is>
          <t>26041701</t>
        </is>
      </c>
      <c r="D45" t="inlineStr">
        <is>
          <t>N2 Dance Productions</t>
        </is>
      </c>
      <c r="E45" t="inlineStr">
        <is>
          <t>26041701</t>
        </is>
      </c>
      <c r="F45" t="inlineStr">
        <is>
          <t>OK</t>
        </is>
      </c>
      <c r="G45" t="inlineStr">
        <is>
          <t>VIDEO</t>
        </is>
      </c>
      <c r="H45" t="inlineStr">
        <is>
          <t>End of Year Concert Videos 2026</t>
        </is>
      </c>
      <c r="I45" t="n">
        <v>2511</v>
      </c>
      <c r="J45" t="inlineStr">
        <is>
          <t>Won</t>
        </is>
      </c>
      <c r="K45" s="51" t="n">
        <v>46353</v>
      </c>
      <c r="L45" s="51" t="n">
        <v>46356</v>
      </c>
      <c r="M45" t="n">
        <v>0</v>
      </c>
      <c r="N45" t="n">
        <v>2511</v>
      </c>
      <c r="P45" t="inlineStr">
        <is>
          <t>Closed Won</t>
        </is>
      </c>
      <c r="Q45" t="n">
        <v>1</v>
      </c>
      <c r="R45" t="n">
        <v>2511</v>
      </c>
      <c r="T45" s="9">
        <f>IFERROR(INDEX($A45:$R45,MATCH("Status",$A$1:$R$1,0)),"")&amp;""</f>
        <v/>
      </c>
      <c r="U45" s="52">
        <f>IFERROR(N(IFERROR(INDEX($A45:$R45,MATCH("Value Ex GST",$A$1:$R$1,0)),"")),0)</f>
        <v/>
      </c>
      <c r="V45" s="54">
        <f>IF(AND(T45&lt;&gt;"",IFERROR(INDEX($A45:$R45,MATCH("Value Ex GST",$A$1:$R$1,0)),"")&amp;""&lt;&gt;""),1,0)</f>
        <v/>
      </c>
      <c r="W45" s="56">
        <f>IFERROR(N(IFERROR(INDEX($A45:$R45,MATCH("Probability",$A$1:$R$1,0)),"")),0)</f>
        <v/>
      </c>
      <c r="X45" s="52">
        <f>IF(T45="Open",U45*W45,0)</f>
        <v/>
      </c>
      <c r="Y45" s="52">
        <f>IF(T45="Won",IFERROR(N(IFERROR(INDEX($A45:$R45,MATCH("Still to Invoice",$A$1:$R$1,0)),"")),0),0)</f>
        <v/>
      </c>
      <c r="Z45" s="55">
        <f>IFERROR(EOMONTH(IFERROR(INDEX($A45:$R45,MATCH("Expected Invoice Month",$A$1:$R$1,0)),""),0),"")</f>
        <v/>
      </c>
      <c r="AA45" s="9">
        <f>IFERROR(INDEX($A45:$R45,MATCH("Cost Centre",$A$1:$R$1,0)),"")&amp;""</f>
        <v/>
      </c>
      <c r="AB45" s="9">
        <f>IFERROR(INDEX($A45:$R45,MATCH("Pipeline Stage",$A$1:$R$1,0)),"")&amp;""</f>
        <v/>
      </c>
      <c r="AC45" s="9">
        <f>IFERROR(INDEX($A45:$R45,MATCH("Client",$A$1:$R$1,0)),"")&amp;""</f>
        <v/>
      </c>
      <c r="AD45" s="9">
        <f>IFERROR(INDEX($A45:$R45,MATCH("Description",$A$1:$R$1,0)),"")&amp;""</f>
        <v/>
      </c>
      <c r="AE45" s="9">
        <f>IFERROR(INDEX($A45:$R45,MATCH("Job Number",$A$1:$R$1,0)),"")&amp;""</f>
        <v/>
      </c>
      <c r="AF45" s="54">
        <f>IF(AND(T45="Open",ISNUMBER(Z45),Z45&lt;EOMONTH(set_AsAt,-1)+1),3,0)</f>
        <v/>
      </c>
      <c r="AG45" s="54">
        <f>IF(AND(T45="Open",U45&gt;0,U45&gt;=set_DealShare*SUMIFS($U$2:$U$601,$T$2:$T$601,"Open")),3,0)</f>
        <v/>
      </c>
      <c r="AH45" s="54">
        <f>IF(AND(T45="Open",U45&gt;=set_BigValue,W45&lt;=set_EarlyProb),2,0)</f>
        <v/>
      </c>
      <c r="AI45" s="54">
        <f>IF(AND(OR(T45="Open",T45="Won"),V45=0),2,0)</f>
        <v/>
      </c>
      <c r="AJ45" s="54">
        <f>IF(AND(T45="Won",Y45&gt;0.5,ISNUMBER(Z45),Z45&lt;EOMONTH(set_AsAt,-1)+1),3,0)</f>
        <v/>
      </c>
      <c r="AK45" s="54">
        <f>IF(AND(T45="Won",Y45&lt;-1),1,0)</f>
        <v/>
      </c>
      <c r="AL45" s="54">
        <f>SUM(AF45:AK45)</f>
        <v/>
      </c>
      <c r="AM45" s="9">
        <f>IF(AL45&gt;=set_ScoreHigh,"High",IF(AL45&gt;=set_ScoreMed,"Medium",IF(AL45&gt;0,"Low","OK")))</f>
        <v/>
      </c>
      <c r="AN45" s="54">
        <f>IF(OR(T45="Open",AND(T45="Won",ABS(Y45)&gt;0.5)),1,0)</f>
        <v/>
      </c>
      <c r="AO45" s="52">
        <f>IF(T45="Open",IF(V45=0,0,X45),IF(T45="Won",MAX(0,Y45),0))</f>
        <v/>
      </c>
      <c r="AP45" s="54">
        <f>IF(AN45=1,AL45*1E+9+U45+ROW()/1E+6,"")</f>
        <v/>
      </c>
      <c r="AQ45" s="9">
        <f>MID(IF(AF45&gt;0,"; Expected month passed - update Zoho","")&amp;IF(AG45&gt;0,"; "&amp;TEXT(U45/MAX(1,SUMIFS($U$2:$U$601,$T$2:$T$601,"Open")),"0%")&amp;" of open pipeline in one deal","")&amp;IF(AH45&gt;0,"; Large deal at an early stage","")&amp;IF(AI45&gt;0,"; No amount in Zoho","")&amp;IF(AJ45&gt;0,"; Won, invoice month passed, not fully invoiced","")&amp;IF(AK45&gt;0,"; Xero invoiced more than the deal value",""),3,300)</f>
        <v/>
      </c>
    </row>
    <row r="46">
      <c r="A46" s="51" t="n">
        <v>46295</v>
      </c>
      <c r="B46" t="inlineStr">
        <is>
          <t>ZOHO</t>
        </is>
      </c>
      <c r="C46" t="inlineStr">
        <is>
          <t>2609401</t>
        </is>
      </c>
      <c r="D46" t="inlineStr">
        <is>
          <t>PWC</t>
        </is>
      </c>
      <c r="E46" t="inlineStr">
        <is>
          <t>2609401</t>
        </is>
      </c>
      <c r="F46" t="inlineStr">
        <is>
          <t>CHECK</t>
        </is>
      </c>
      <c r="G46" t="inlineStr">
        <is>
          <t>ONSITE</t>
        </is>
      </c>
      <c r="H46" t="inlineStr">
        <is>
          <t>Pool of Hours - National AV / IT Support</t>
        </is>
      </c>
      <c r="I46" t="n">
        <v>8500</v>
      </c>
      <c r="J46" t="inlineStr">
        <is>
          <t>Won</t>
        </is>
      </c>
      <c r="K46" s="51" t="n">
        <v>46274</v>
      </c>
      <c r="L46" s="51" t="n">
        <v>46295</v>
      </c>
      <c r="M46" t="n">
        <v>8500</v>
      </c>
      <c r="N46" t="n">
        <v>0</v>
      </c>
      <c r="P46" t="inlineStr">
        <is>
          <t>Closed Won</t>
        </is>
      </c>
      <c r="Q46" t="n">
        <v>1</v>
      </c>
      <c r="R46" t="n">
        <v>8500</v>
      </c>
      <c r="T46" s="9">
        <f>IFERROR(INDEX($A46:$R46,MATCH("Status",$A$1:$R$1,0)),"")&amp;""</f>
        <v/>
      </c>
      <c r="U46" s="52">
        <f>IFERROR(N(IFERROR(INDEX($A46:$R46,MATCH("Value Ex GST",$A$1:$R$1,0)),"")),0)</f>
        <v/>
      </c>
      <c r="V46" s="54">
        <f>IF(AND(T46&lt;&gt;"",IFERROR(INDEX($A46:$R46,MATCH("Value Ex GST",$A$1:$R$1,0)),"")&amp;""&lt;&gt;""),1,0)</f>
        <v/>
      </c>
      <c r="W46" s="56">
        <f>IFERROR(N(IFERROR(INDEX($A46:$R46,MATCH("Probability",$A$1:$R$1,0)),"")),0)</f>
        <v/>
      </c>
      <c r="X46" s="52">
        <f>IF(T46="Open",U46*W46,0)</f>
        <v/>
      </c>
      <c r="Y46" s="52">
        <f>IF(T46="Won",IFERROR(N(IFERROR(INDEX($A46:$R46,MATCH("Still to Invoice",$A$1:$R$1,0)),"")),0),0)</f>
        <v/>
      </c>
      <c r="Z46" s="55">
        <f>IFERROR(EOMONTH(IFERROR(INDEX($A46:$R46,MATCH("Expected Invoice Month",$A$1:$R$1,0)),""),0),"")</f>
        <v/>
      </c>
      <c r="AA46" s="9">
        <f>IFERROR(INDEX($A46:$R46,MATCH("Cost Centre",$A$1:$R$1,0)),"")&amp;""</f>
        <v/>
      </c>
      <c r="AB46" s="9">
        <f>IFERROR(INDEX($A46:$R46,MATCH("Pipeline Stage",$A$1:$R$1,0)),"")&amp;""</f>
        <v/>
      </c>
      <c r="AC46" s="9">
        <f>IFERROR(INDEX($A46:$R46,MATCH("Client",$A$1:$R$1,0)),"")&amp;""</f>
        <v/>
      </c>
      <c r="AD46" s="9">
        <f>IFERROR(INDEX($A46:$R46,MATCH("Description",$A$1:$R$1,0)),"")&amp;""</f>
        <v/>
      </c>
      <c r="AE46" s="9">
        <f>IFERROR(INDEX($A46:$R46,MATCH("Job Number",$A$1:$R$1,0)),"")&amp;""</f>
        <v/>
      </c>
      <c r="AF46" s="54">
        <f>IF(AND(T46="Open",ISNUMBER(Z46),Z46&lt;EOMONTH(set_AsAt,-1)+1),3,0)</f>
        <v/>
      </c>
      <c r="AG46" s="54">
        <f>IF(AND(T46="Open",U46&gt;0,U46&gt;=set_DealShare*SUMIFS($U$2:$U$601,$T$2:$T$601,"Open")),3,0)</f>
        <v/>
      </c>
      <c r="AH46" s="54">
        <f>IF(AND(T46="Open",U46&gt;=set_BigValue,W46&lt;=set_EarlyProb),2,0)</f>
        <v/>
      </c>
      <c r="AI46" s="54">
        <f>IF(AND(OR(T46="Open",T46="Won"),V46=0),2,0)</f>
        <v/>
      </c>
      <c r="AJ46" s="54">
        <f>IF(AND(T46="Won",Y46&gt;0.5,ISNUMBER(Z46),Z46&lt;EOMONTH(set_AsAt,-1)+1),3,0)</f>
        <v/>
      </c>
      <c r="AK46" s="54">
        <f>IF(AND(T46="Won",Y46&lt;-1),1,0)</f>
        <v/>
      </c>
      <c r="AL46" s="54">
        <f>SUM(AF46:AK46)</f>
        <v/>
      </c>
      <c r="AM46" s="9">
        <f>IF(AL46&gt;=set_ScoreHigh,"High",IF(AL46&gt;=set_ScoreMed,"Medium",IF(AL46&gt;0,"Low","OK")))</f>
        <v/>
      </c>
      <c r="AN46" s="54">
        <f>IF(OR(T46="Open",AND(T46="Won",ABS(Y46)&gt;0.5)),1,0)</f>
        <v/>
      </c>
      <c r="AO46" s="52">
        <f>IF(T46="Open",IF(V46=0,0,X46),IF(T46="Won",MAX(0,Y46),0))</f>
        <v/>
      </c>
      <c r="AP46" s="54">
        <f>IF(AN46=1,AL46*1E+9+U46+ROW()/1E+6,"")</f>
        <v/>
      </c>
      <c r="AQ46" s="9">
        <f>MID(IF(AF46&gt;0,"; Expected month passed - update Zoho","")&amp;IF(AG46&gt;0,"; "&amp;TEXT(U46/MAX(1,SUMIFS($U$2:$U$601,$T$2:$T$601,"Open")),"0%")&amp;" of open pipeline in one deal","")&amp;IF(AH46&gt;0,"; Large deal at an early stage","")&amp;IF(AI46&gt;0,"; No amount in Zoho","")&amp;IF(AJ46&gt;0,"; Won, invoice month passed, not fully invoiced","")&amp;IF(AK46&gt;0,"; Xero invoiced more than the deal value",""),3,300)</f>
        <v/>
      </c>
    </row>
    <row r="47">
      <c r="A47" s="51" t="n">
        <v>46295</v>
      </c>
      <c r="B47" t="inlineStr">
        <is>
          <t>ZOHO</t>
        </is>
      </c>
      <c r="C47" t="inlineStr">
        <is>
          <t>26091702</t>
        </is>
      </c>
      <c r="D47" t="inlineStr">
        <is>
          <t>Australian Payments Network</t>
        </is>
      </c>
      <c r="E47" t="inlineStr">
        <is>
          <t>26091702</t>
        </is>
      </c>
      <c r="F47" t="inlineStr">
        <is>
          <t>OK</t>
        </is>
      </c>
      <c r="G47" t="inlineStr">
        <is>
          <t>PRODUCTION</t>
        </is>
      </c>
      <c r="H47" t="inlineStr">
        <is>
          <t>AusPayNet - Prod Support 21 &amp; 22.9.26</t>
        </is>
      </c>
      <c r="I47" t="n">
        <v>680</v>
      </c>
      <c r="J47" t="inlineStr">
        <is>
          <t>Won</t>
        </is>
      </c>
      <c r="K47" s="51" t="n">
        <v>46286</v>
      </c>
      <c r="L47" s="51" t="n">
        <v>46295</v>
      </c>
      <c r="M47" t="n">
        <v>0</v>
      </c>
      <c r="N47" t="n">
        <v>680</v>
      </c>
      <c r="P47" t="inlineStr">
        <is>
          <t>Closed Won</t>
        </is>
      </c>
      <c r="Q47" t="n">
        <v>1</v>
      </c>
      <c r="R47" t="n">
        <v>680</v>
      </c>
      <c r="T47" s="9">
        <f>IFERROR(INDEX($A47:$R47,MATCH("Status",$A$1:$R$1,0)),"")&amp;""</f>
        <v/>
      </c>
      <c r="U47" s="52">
        <f>IFERROR(N(IFERROR(INDEX($A47:$R47,MATCH("Value Ex GST",$A$1:$R$1,0)),"")),0)</f>
        <v/>
      </c>
      <c r="V47" s="54">
        <f>IF(AND(T47&lt;&gt;"",IFERROR(INDEX($A47:$R47,MATCH("Value Ex GST",$A$1:$R$1,0)),"")&amp;""&lt;&gt;""),1,0)</f>
        <v/>
      </c>
      <c r="W47" s="56">
        <f>IFERROR(N(IFERROR(INDEX($A47:$R47,MATCH("Probability",$A$1:$R$1,0)),"")),0)</f>
        <v/>
      </c>
      <c r="X47" s="52">
        <f>IF(T47="Open",U47*W47,0)</f>
        <v/>
      </c>
      <c r="Y47" s="52">
        <f>IF(T47="Won",IFERROR(N(IFERROR(INDEX($A47:$R47,MATCH("Still to Invoice",$A$1:$R$1,0)),"")),0),0)</f>
        <v/>
      </c>
      <c r="Z47" s="55">
        <f>IFERROR(EOMONTH(IFERROR(INDEX($A47:$R47,MATCH("Expected Invoice Month",$A$1:$R$1,0)),""),0),"")</f>
        <v/>
      </c>
      <c r="AA47" s="9">
        <f>IFERROR(INDEX($A47:$R47,MATCH("Cost Centre",$A$1:$R$1,0)),"")&amp;""</f>
        <v/>
      </c>
      <c r="AB47" s="9">
        <f>IFERROR(INDEX($A47:$R47,MATCH("Pipeline Stage",$A$1:$R$1,0)),"")&amp;""</f>
        <v/>
      </c>
      <c r="AC47" s="9">
        <f>IFERROR(INDEX($A47:$R47,MATCH("Client",$A$1:$R$1,0)),"")&amp;""</f>
        <v/>
      </c>
      <c r="AD47" s="9">
        <f>IFERROR(INDEX($A47:$R47,MATCH("Description",$A$1:$R$1,0)),"")&amp;""</f>
        <v/>
      </c>
      <c r="AE47" s="9">
        <f>IFERROR(INDEX($A47:$R47,MATCH("Job Number",$A$1:$R$1,0)),"")&amp;""</f>
        <v/>
      </c>
      <c r="AF47" s="54">
        <f>IF(AND(T47="Open",ISNUMBER(Z47),Z47&lt;EOMONTH(set_AsAt,-1)+1),3,0)</f>
        <v/>
      </c>
      <c r="AG47" s="54">
        <f>IF(AND(T47="Open",U47&gt;0,U47&gt;=set_DealShare*SUMIFS($U$2:$U$601,$T$2:$T$601,"Open")),3,0)</f>
        <v/>
      </c>
      <c r="AH47" s="54">
        <f>IF(AND(T47="Open",U47&gt;=set_BigValue,W47&lt;=set_EarlyProb),2,0)</f>
        <v/>
      </c>
      <c r="AI47" s="54">
        <f>IF(AND(OR(T47="Open",T47="Won"),V47=0),2,0)</f>
        <v/>
      </c>
      <c r="AJ47" s="54">
        <f>IF(AND(T47="Won",Y47&gt;0.5,ISNUMBER(Z47),Z47&lt;EOMONTH(set_AsAt,-1)+1),3,0)</f>
        <v/>
      </c>
      <c r="AK47" s="54">
        <f>IF(AND(T47="Won",Y47&lt;-1),1,0)</f>
        <v/>
      </c>
      <c r="AL47" s="54">
        <f>SUM(AF47:AK47)</f>
        <v/>
      </c>
      <c r="AM47" s="9">
        <f>IF(AL47&gt;=set_ScoreHigh,"High",IF(AL47&gt;=set_ScoreMed,"Medium",IF(AL47&gt;0,"Low","OK")))</f>
        <v/>
      </c>
      <c r="AN47" s="54">
        <f>IF(OR(T47="Open",AND(T47="Won",ABS(Y47)&gt;0.5)),1,0)</f>
        <v/>
      </c>
      <c r="AO47" s="52">
        <f>IF(T47="Open",IF(V47=0,0,X47),IF(T47="Won",MAX(0,Y47),0))</f>
        <v/>
      </c>
      <c r="AP47" s="54">
        <f>IF(AN47=1,AL47*1E+9+U47+ROW()/1E+6,"")</f>
        <v/>
      </c>
      <c r="AQ47" s="9">
        <f>MID(IF(AF47&gt;0,"; Expected month passed - update Zoho","")&amp;IF(AG47&gt;0,"; "&amp;TEXT(U47/MAX(1,SUMIFS($U$2:$U$601,$T$2:$T$601,"Open")),"0%")&amp;" of open pipeline in one deal","")&amp;IF(AH47&gt;0,"; Large deal at an early stage","")&amp;IF(AI47&gt;0,"; No amount in Zoho","")&amp;IF(AJ47&gt;0,"; Won, invoice month passed, not fully invoiced","")&amp;IF(AK47&gt;0,"; Xero invoiced more than the deal value",""),3,300)</f>
        <v/>
      </c>
    </row>
    <row r="48">
      <c r="A48" s="51" t="n">
        <v>46265</v>
      </c>
      <c r="B48" t="inlineStr">
        <is>
          <t>ZOHO</t>
        </is>
      </c>
      <c r="C48" t="inlineStr">
        <is>
          <t>26081901</t>
        </is>
      </c>
      <c r="D48" t="inlineStr">
        <is>
          <t>Australian Payments Network</t>
        </is>
      </c>
      <c r="E48" t="inlineStr">
        <is>
          <t>26081901</t>
        </is>
      </c>
      <c r="F48" t="inlineStr">
        <is>
          <t>OK</t>
        </is>
      </c>
      <c r="G48" t="inlineStr">
        <is>
          <t>INTEGRATION</t>
        </is>
      </c>
      <c r="H48" t="inlineStr">
        <is>
          <t>AusPayNet | Logi Subscription - 26081901</t>
        </is>
      </c>
      <c r="I48" t="n">
        <v>993</v>
      </c>
      <c r="J48" t="inlineStr">
        <is>
          <t>Won</t>
        </is>
      </c>
      <c r="K48" s="51" t="n">
        <v>46253</v>
      </c>
      <c r="L48" s="51" t="n">
        <v>46265</v>
      </c>
      <c r="M48" t="n">
        <v>993</v>
      </c>
      <c r="N48" t="n">
        <v>0</v>
      </c>
      <c r="P48" t="inlineStr">
        <is>
          <t>Closed Won</t>
        </is>
      </c>
      <c r="Q48" t="n">
        <v>1</v>
      </c>
      <c r="R48" t="n">
        <v>993</v>
      </c>
      <c r="T48" s="9">
        <f>IFERROR(INDEX($A48:$R48,MATCH("Status",$A$1:$R$1,0)),"")&amp;""</f>
        <v/>
      </c>
      <c r="U48" s="52">
        <f>IFERROR(N(IFERROR(INDEX($A48:$R48,MATCH("Value Ex GST",$A$1:$R$1,0)),"")),0)</f>
        <v/>
      </c>
      <c r="V48" s="54">
        <f>IF(AND(T48&lt;&gt;"",IFERROR(INDEX($A48:$R48,MATCH("Value Ex GST",$A$1:$R$1,0)),"")&amp;""&lt;&gt;""),1,0)</f>
        <v/>
      </c>
      <c r="W48" s="56">
        <f>IFERROR(N(IFERROR(INDEX($A48:$R48,MATCH("Probability",$A$1:$R$1,0)),"")),0)</f>
        <v/>
      </c>
      <c r="X48" s="52">
        <f>IF(T48="Open",U48*W48,0)</f>
        <v/>
      </c>
      <c r="Y48" s="52">
        <f>IF(T48="Won",IFERROR(N(IFERROR(INDEX($A48:$R48,MATCH("Still to Invoice",$A$1:$R$1,0)),"")),0),0)</f>
        <v/>
      </c>
      <c r="Z48" s="55">
        <f>IFERROR(EOMONTH(IFERROR(INDEX($A48:$R48,MATCH("Expected Invoice Month",$A$1:$R$1,0)),""),0),"")</f>
        <v/>
      </c>
      <c r="AA48" s="9">
        <f>IFERROR(INDEX($A48:$R48,MATCH("Cost Centre",$A$1:$R$1,0)),"")&amp;""</f>
        <v/>
      </c>
      <c r="AB48" s="9">
        <f>IFERROR(INDEX($A48:$R48,MATCH("Pipeline Stage",$A$1:$R$1,0)),"")&amp;""</f>
        <v/>
      </c>
      <c r="AC48" s="9">
        <f>IFERROR(INDEX($A48:$R48,MATCH("Client",$A$1:$R$1,0)),"")&amp;""</f>
        <v/>
      </c>
      <c r="AD48" s="9">
        <f>IFERROR(INDEX($A48:$R48,MATCH("Description",$A$1:$R$1,0)),"")&amp;""</f>
        <v/>
      </c>
      <c r="AE48" s="9">
        <f>IFERROR(INDEX($A48:$R48,MATCH("Job Number",$A$1:$R$1,0)),"")&amp;""</f>
        <v/>
      </c>
      <c r="AF48" s="54">
        <f>IF(AND(T48="Open",ISNUMBER(Z48),Z48&lt;EOMONTH(set_AsAt,-1)+1),3,0)</f>
        <v/>
      </c>
      <c r="AG48" s="54">
        <f>IF(AND(T48="Open",U48&gt;0,U48&gt;=set_DealShare*SUMIFS($U$2:$U$601,$T$2:$T$601,"Open")),3,0)</f>
        <v/>
      </c>
      <c r="AH48" s="54">
        <f>IF(AND(T48="Open",U48&gt;=set_BigValue,W48&lt;=set_EarlyProb),2,0)</f>
        <v/>
      </c>
      <c r="AI48" s="54">
        <f>IF(AND(OR(T48="Open",T48="Won"),V48=0),2,0)</f>
        <v/>
      </c>
      <c r="AJ48" s="54">
        <f>IF(AND(T48="Won",Y48&gt;0.5,ISNUMBER(Z48),Z48&lt;EOMONTH(set_AsAt,-1)+1),3,0)</f>
        <v/>
      </c>
      <c r="AK48" s="54">
        <f>IF(AND(T48="Won",Y48&lt;-1),1,0)</f>
        <v/>
      </c>
      <c r="AL48" s="54">
        <f>SUM(AF48:AK48)</f>
        <v/>
      </c>
      <c r="AM48" s="9">
        <f>IF(AL48&gt;=set_ScoreHigh,"High",IF(AL48&gt;=set_ScoreMed,"Medium",IF(AL48&gt;0,"Low","OK")))</f>
        <v/>
      </c>
      <c r="AN48" s="54">
        <f>IF(OR(T48="Open",AND(T48="Won",ABS(Y48)&gt;0.5)),1,0)</f>
        <v/>
      </c>
      <c r="AO48" s="52">
        <f>IF(T48="Open",IF(V48=0,0,X48),IF(T48="Won",MAX(0,Y48),0))</f>
        <v/>
      </c>
      <c r="AP48" s="54">
        <f>IF(AN48=1,AL48*1E+9+U48+ROW()/1E+6,"")</f>
        <v/>
      </c>
      <c r="AQ48" s="9">
        <f>MID(IF(AF48&gt;0,"; Expected month passed - update Zoho","")&amp;IF(AG48&gt;0,"; "&amp;TEXT(U48/MAX(1,SUMIFS($U$2:$U$601,$T$2:$T$601,"Open")),"0%")&amp;" of open pipeline in one deal","")&amp;IF(AH48&gt;0,"; Large deal at an early stage","")&amp;IF(AI48&gt;0,"; No amount in Zoho","")&amp;IF(AJ48&gt;0,"; Won, invoice month passed, not fully invoiced","")&amp;IF(AK48&gt;0,"; Xero invoiced more than the deal value",""),3,300)</f>
        <v/>
      </c>
    </row>
    <row r="49">
      <c r="A49" s="51" t="n">
        <v>46234</v>
      </c>
      <c r="B49" t="inlineStr">
        <is>
          <t>ZOHO</t>
        </is>
      </c>
      <c r="C49" t="inlineStr">
        <is>
          <t>2607703</t>
        </is>
      </c>
      <c r="D49" t="inlineStr">
        <is>
          <t>Garvan Institute of Medical Research</t>
        </is>
      </c>
      <c r="E49" t="inlineStr">
        <is>
          <t>2607703</t>
        </is>
      </c>
      <c r="F49" t="inlineStr">
        <is>
          <t>OK</t>
        </is>
      </c>
      <c r="G49" t="inlineStr">
        <is>
          <t>PRODUCTION</t>
        </is>
      </c>
      <c r="H49" t="inlineStr">
        <is>
          <t>Garvan - YPO Event - 6.8.26</t>
        </is>
      </c>
      <c r="I49" t="n">
        <v>2152</v>
      </c>
      <c r="J49" t="inlineStr">
        <is>
          <t>Won</t>
        </is>
      </c>
      <c r="K49" s="51" t="n">
        <v>46224</v>
      </c>
      <c r="L49" s="51" t="n">
        <v>46265</v>
      </c>
      <c r="M49" t="n">
        <v>2152.5</v>
      </c>
      <c r="N49" t="n">
        <v>-0.5</v>
      </c>
      <c r="O49" t="inlineStr">
        <is>
          <t>Invoice month taken from the event date in the deal name</t>
        </is>
      </c>
      <c r="P49" t="inlineStr">
        <is>
          <t>Closed Won</t>
        </is>
      </c>
      <c r="Q49" t="n">
        <v>1</v>
      </c>
      <c r="R49" t="n">
        <v>2152</v>
      </c>
      <c r="T49" s="9">
        <f>IFERROR(INDEX($A49:$R49,MATCH("Status",$A$1:$R$1,0)),"")&amp;""</f>
        <v/>
      </c>
      <c r="U49" s="52">
        <f>IFERROR(N(IFERROR(INDEX($A49:$R49,MATCH("Value Ex GST",$A$1:$R$1,0)),"")),0)</f>
        <v/>
      </c>
      <c r="V49" s="54">
        <f>IF(AND(T49&lt;&gt;"",IFERROR(INDEX($A49:$R49,MATCH("Value Ex GST",$A$1:$R$1,0)),"")&amp;""&lt;&gt;""),1,0)</f>
        <v/>
      </c>
      <c r="W49" s="56">
        <f>IFERROR(N(IFERROR(INDEX($A49:$R49,MATCH("Probability",$A$1:$R$1,0)),"")),0)</f>
        <v/>
      </c>
      <c r="X49" s="52">
        <f>IF(T49="Open",U49*W49,0)</f>
        <v/>
      </c>
      <c r="Y49" s="52">
        <f>IF(T49="Won",IFERROR(N(IFERROR(INDEX($A49:$R49,MATCH("Still to Invoice",$A$1:$R$1,0)),"")),0),0)</f>
        <v/>
      </c>
      <c r="Z49" s="55">
        <f>IFERROR(EOMONTH(IFERROR(INDEX($A49:$R49,MATCH("Expected Invoice Month",$A$1:$R$1,0)),""),0),"")</f>
        <v/>
      </c>
      <c r="AA49" s="9">
        <f>IFERROR(INDEX($A49:$R49,MATCH("Cost Centre",$A$1:$R$1,0)),"")&amp;""</f>
        <v/>
      </c>
      <c r="AB49" s="9">
        <f>IFERROR(INDEX($A49:$R49,MATCH("Pipeline Stage",$A$1:$R$1,0)),"")&amp;""</f>
        <v/>
      </c>
      <c r="AC49" s="9">
        <f>IFERROR(INDEX($A49:$R49,MATCH("Client",$A$1:$R$1,0)),"")&amp;""</f>
        <v/>
      </c>
      <c r="AD49" s="9">
        <f>IFERROR(INDEX($A49:$R49,MATCH("Description",$A$1:$R$1,0)),"")&amp;""</f>
        <v/>
      </c>
      <c r="AE49" s="9">
        <f>IFERROR(INDEX($A49:$R49,MATCH("Job Number",$A$1:$R$1,0)),"")&amp;""</f>
        <v/>
      </c>
      <c r="AF49" s="54">
        <f>IF(AND(T49="Open",ISNUMBER(Z49),Z49&lt;EOMONTH(set_AsAt,-1)+1),3,0)</f>
        <v/>
      </c>
      <c r="AG49" s="54">
        <f>IF(AND(T49="Open",U49&gt;0,U49&gt;=set_DealShare*SUMIFS($U$2:$U$601,$T$2:$T$601,"Open")),3,0)</f>
        <v/>
      </c>
      <c r="AH49" s="54">
        <f>IF(AND(T49="Open",U49&gt;=set_BigValue,W49&lt;=set_EarlyProb),2,0)</f>
        <v/>
      </c>
      <c r="AI49" s="54">
        <f>IF(AND(OR(T49="Open",T49="Won"),V49=0),2,0)</f>
        <v/>
      </c>
      <c r="AJ49" s="54">
        <f>IF(AND(T49="Won",Y49&gt;0.5,ISNUMBER(Z49),Z49&lt;EOMONTH(set_AsAt,-1)+1),3,0)</f>
        <v/>
      </c>
      <c r="AK49" s="54">
        <f>IF(AND(T49="Won",Y49&lt;-1),1,0)</f>
        <v/>
      </c>
      <c r="AL49" s="54">
        <f>SUM(AF49:AK49)</f>
        <v/>
      </c>
      <c r="AM49" s="9">
        <f>IF(AL49&gt;=set_ScoreHigh,"High",IF(AL49&gt;=set_ScoreMed,"Medium",IF(AL49&gt;0,"Low","OK")))</f>
        <v/>
      </c>
      <c r="AN49" s="54">
        <f>IF(OR(T49="Open",AND(T49="Won",ABS(Y49)&gt;0.5)),1,0)</f>
        <v/>
      </c>
      <c r="AO49" s="52">
        <f>IF(T49="Open",IF(V49=0,0,X49),IF(T49="Won",MAX(0,Y49),0))</f>
        <v/>
      </c>
      <c r="AP49" s="54">
        <f>IF(AN49=1,AL49*1E+9+U49+ROW()/1E+6,"")</f>
        <v/>
      </c>
      <c r="AQ49" s="9">
        <f>MID(IF(AF49&gt;0,"; Expected month passed - update Zoho","")&amp;IF(AG49&gt;0,"; "&amp;TEXT(U49/MAX(1,SUMIFS($U$2:$U$601,$T$2:$T$601,"Open")),"0%")&amp;" of open pipeline in one deal","")&amp;IF(AH49&gt;0,"; Large deal at an early stage","")&amp;IF(AI49&gt;0,"; No amount in Zoho","")&amp;IF(AJ49&gt;0,"; Won, invoice month passed, not fully invoiced","")&amp;IF(AK49&gt;0,"; Xero invoiced more than the deal value",""),3,300)</f>
        <v/>
      </c>
    </row>
    <row r="50">
      <c r="A50" s="51" t="n">
        <v>46234</v>
      </c>
      <c r="B50" t="inlineStr">
        <is>
          <t>ZOHO</t>
        </is>
      </c>
      <c r="C50" t="inlineStr">
        <is>
          <t>2605605</t>
        </is>
      </c>
      <c r="D50" t="inlineStr">
        <is>
          <t>Deloitte Australia</t>
        </is>
      </c>
      <c r="E50" t="inlineStr">
        <is>
          <t>2605605</t>
        </is>
      </c>
      <c r="F50" t="inlineStr">
        <is>
          <t>OK</t>
        </is>
      </c>
      <c r="G50" t="inlineStr">
        <is>
          <t>INTEGRATION</t>
        </is>
      </c>
      <c r="H50" t="inlineStr">
        <is>
          <t>DTTL | HBA AV Fitout - 2605605</t>
        </is>
      </c>
      <c r="I50" t="n">
        <v>60348</v>
      </c>
      <c r="J50" t="inlineStr">
        <is>
          <t>Won</t>
        </is>
      </c>
      <c r="K50" s="51" t="n">
        <v>46219</v>
      </c>
      <c r="L50" s="51" t="n">
        <v>46234</v>
      </c>
      <c r="M50" t="n">
        <v>60348</v>
      </c>
      <c r="N50" t="n">
        <v>0</v>
      </c>
      <c r="P50" t="inlineStr">
        <is>
          <t>Closed Won</t>
        </is>
      </c>
      <c r="Q50" t="n">
        <v>1</v>
      </c>
      <c r="R50" t="n">
        <v>60348</v>
      </c>
      <c r="T50" s="9">
        <f>IFERROR(INDEX($A50:$R50,MATCH("Status",$A$1:$R$1,0)),"")&amp;""</f>
        <v/>
      </c>
      <c r="U50" s="52">
        <f>IFERROR(N(IFERROR(INDEX($A50:$R50,MATCH("Value Ex GST",$A$1:$R$1,0)),"")),0)</f>
        <v/>
      </c>
      <c r="V50" s="54">
        <f>IF(AND(T50&lt;&gt;"",IFERROR(INDEX($A50:$R50,MATCH("Value Ex GST",$A$1:$R$1,0)),"")&amp;""&lt;&gt;""),1,0)</f>
        <v/>
      </c>
      <c r="W50" s="56">
        <f>IFERROR(N(IFERROR(INDEX($A50:$R50,MATCH("Probability",$A$1:$R$1,0)),"")),0)</f>
        <v/>
      </c>
      <c r="X50" s="52">
        <f>IF(T50="Open",U50*W50,0)</f>
        <v/>
      </c>
      <c r="Y50" s="52">
        <f>IF(T50="Won",IFERROR(N(IFERROR(INDEX($A50:$R50,MATCH("Still to Invoice",$A$1:$R$1,0)),"")),0),0)</f>
        <v/>
      </c>
      <c r="Z50" s="55">
        <f>IFERROR(EOMONTH(IFERROR(INDEX($A50:$R50,MATCH("Expected Invoice Month",$A$1:$R$1,0)),""),0),"")</f>
        <v/>
      </c>
      <c r="AA50" s="9">
        <f>IFERROR(INDEX($A50:$R50,MATCH("Cost Centre",$A$1:$R$1,0)),"")&amp;""</f>
        <v/>
      </c>
      <c r="AB50" s="9">
        <f>IFERROR(INDEX($A50:$R50,MATCH("Pipeline Stage",$A$1:$R$1,0)),"")&amp;""</f>
        <v/>
      </c>
      <c r="AC50" s="9">
        <f>IFERROR(INDEX($A50:$R50,MATCH("Client",$A$1:$R$1,0)),"")&amp;""</f>
        <v/>
      </c>
      <c r="AD50" s="9">
        <f>IFERROR(INDEX($A50:$R50,MATCH("Description",$A$1:$R$1,0)),"")&amp;""</f>
        <v/>
      </c>
      <c r="AE50" s="9">
        <f>IFERROR(INDEX($A50:$R50,MATCH("Job Number",$A$1:$R$1,0)),"")&amp;""</f>
        <v/>
      </c>
      <c r="AF50" s="54">
        <f>IF(AND(T50="Open",ISNUMBER(Z50),Z50&lt;EOMONTH(set_AsAt,-1)+1),3,0)</f>
        <v/>
      </c>
      <c r="AG50" s="54">
        <f>IF(AND(T50="Open",U50&gt;0,U50&gt;=set_DealShare*SUMIFS($U$2:$U$601,$T$2:$T$601,"Open")),3,0)</f>
        <v/>
      </c>
      <c r="AH50" s="54">
        <f>IF(AND(T50="Open",U50&gt;=set_BigValue,W50&lt;=set_EarlyProb),2,0)</f>
        <v/>
      </c>
      <c r="AI50" s="54">
        <f>IF(AND(OR(T50="Open",T50="Won"),V50=0),2,0)</f>
        <v/>
      </c>
      <c r="AJ50" s="54">
        <f>IF(AND(T50="Won",Y50&gt;0.5,ISNUMBER(Z50),Z50&lt;EOMONTH(set_AsAt,-1)+1),3,0)</f>
        <v/>
      </c>
      <c r="AK50" s="54">
        <f>IF(AND(T50="Won",Y50&lt;-1),1,0)</f>
        <v/>
      </c>
      <c r="AL50" s="54">
        <f>SUM(AF50:AK50)</f>
        <v/>
      </c>
      <c r="AM50" s="9">
        <f>IF(AL50&gt;=set_ScoreHigh,"High",IF(AL50&gt;=set_ScoreMed,"Medium",IF(AL50&gt;0,"Low","OK")))</f>
        <v/>
      </c>
      <c r="AN50" s="54">
        <f>IF(OR(T50="Open",AND(T50="Won",ABS(Y50)&gt;0.5)),1,0)</f>
        <v/>
      </c>
      <c r="AO50" s="52">
        <f>IF(T50="Open",IF(V50=0,0,X50),IF(T50="Won",MAX(0,Y50),0))</f>
        <v/>
      </c>
      <c r="AP50" s="54">
        <f>IF(AN50=1,AL50*1E+9+U50+ROW()/1E+6,"")</f>
        <v/>
      </c>
      <c r="AQ50" s="9">
        <f>MID(IF(AF50&gt;0,"; Expected month passed - update Zoho","")&amp;IF(AG50&gt;0,"; "&amp;TEXT(U50/MAX(1,SUMIFS($U$2:$U$601,$T$2:$T$601,"Open")),"0%")&amp;" of open pipeline in one deal","")&amp;IF(AH50&gt;0,"; Large deal at an early stage","")&amp;IF(AI50&gt;0,"; No amount in Zoho","")&amp;IF(AJ50&gt;0,"; Won, invoice month passed, not fully invoiced","")&amp;IF(AK50&gt;0,"; Xero invoiced more than the deal value",""),3,300)</f>
        <v/>
      </c>
    </row>
    <row r="51">
      <c r="A51" s="51" t="n">
        <v>46295</v>
      </c>
      <c r="B51" t="inlineStr">
        <is>
          <t>ZOHO</t>
        </is>
      </c>
      <c r="C51" t="inlineStr">
        <is>
          <t>2605704</t>
        </is>
      </c>
      <c r="D51" t="inlineStr">
        <is>
          <t>Commonwealth Bank of Australia - Sydney (CBP)</t>
        </is>
      </c>
      <c r="E51" t="inlineStr">
        <is>
          <t>2605704</t>
        </is>
      </c>
      <c r="F51" t="inlineStr">
        <is>
          <t>OK</t>
        </is>
      </c>
      <c r="G51" t="inlineStr">
        <is>
          <t>CONSULTING</t>
        </is>
      </c>
      <c r="H51" t="inlineStr">
        <is>
          <t>CBPS Auditorium Upgrade | 2605704</t>
        </is>
      </c>
      <c r="I51" t="n">
        <v>49969</v>
      </c>
      <c r="J51" t="inlineStr">
        <is>
          <t>Won</t>
        </is>
      </c>
      <c r="K51" s="51" t="n">
        <v>46267</v>
      </c>
      <c r="L51" s="51" t="n">
        <v>46295</v>
      </c>
      <c r="M51" t="n">
        <v>0</v>
      </c>
      <c r="N51" t="n">
        <v>49969</v>
      </c>
      <c r="P51" t="inlineStr">
        <is>
          <t>Closed Won</t>
        </is>
      </c>
      <c r="Q51" t="n">
        <v>1</v>
      </c>
      <c r="R51" t="n">
        <v>49969</v>
      </c>
      <c r="T51" s="9">
        <f>IFERROR(INDEX($A51:$R51,MATCH("Status",$A$1:$R$1,0)),"")&amp;""</f>
        <v/>
      </c>
      <c r="U51" s="52">
        <f>IFERROR(N(IFERROR(INDEX($A51:$R51,MATCH("Value Ex GST",$A$1:$R$1,0)),"")),0)</f>
        <v/>
      </c>
      <c r="V51" s="54">
        <f>IF(AND(T51&lt;&gt;"",IFERROR(INDEX($A51:$R51,MATCH("Value Ex GST",$A$1:$R$1,0)),"")&amp;""&lt;&gt;""),1,0)</f>
        <v/>
      </c>
      <c r="W51" s="56">
        <f>IFERROR(N(IFERROR(INDEX($A51:$R51,MATCH("Probability",$A$1:$R$1,0)),"")),0)</f>
        <v/>
      </c>
      <c r="X51" s="52">
        <f>IF(T51="Open",U51*W51,0)</f>
        <v/>
      </c>
      <c r="Y51" s="52">
        <f>IF(T51="Won",IFERROR(N(IFERROR(INDEX($A51:$R51,MATCH("Still to Invoice",$A$1:$R$1,0)),"")),0),0)</f>
        <v/>
      </c>
      <c r="Z51" s="55">
        <f>IFERROR(EOMONTH(IFERROR(INDEX($A51:$R51,MATCH("Expected Invoice Month",$A$1:$R$1,0)),""),0),"")</f>
        <v/>
      </c>
      <c r="AA51" s="9">
        <f>IFERROR(INDEX($A51:$R51,MATCH("Cost Centre",$A$1:$R$1,0)),"")&amp;""</f>
        <v/>
      </c>
      <c r="AB51" s="9">
        <f>IFERROR(INDEX($A51:$R51,MATCH("Pipeline Stage",$A$1:$R$1,0)),"")&amp;""</f>
        <v/>
      </c>
      <c r="AC51" s="9">
        <f>IFERROR(INDEX($A51:$R51,MATCH("Client",$A$1:$R$1,0)),"")&amp;""</f>
        <v/>
      </c>
      <c r="AD51" s="9">
        <f>IFERROR(INDEX($A51:$R51,MATCH("Description",$A$1:$R$1,0)),"")&amp;""</f>
        <v/>
      </c>
      <c r="AE51" s="9">
        <f>IFERROR(INDEX($A51:$R51,MATCH("Job Number",$A$1:$R$1,0)),"")&amp;""</f>
        <v/>
      </c>
      <c r="AF51" s="54">
        <f>IF(AND(T51="Open",ISNUMBER(Z51),Z51&lt;EOMONTH(set_AsAt,-1)+1),3,0)</f>
        <v/>
      </c>
      <c r="AG51" s="54">
        <f>IF(AND(T51="Open",U51&gt;0,U51&gt;=set_DealShare*SUMIFS($U$2:$U$601,$T$2:$T$601,"Open")),3,0)</f>
        <v/>
      </c>
      <c r="AH51" s="54">
        <f>IF(AND(T51="Open",U51&gt;=set_BigValue,W51&lt;=set_EarlyProb),2,0)</f>
        <v/>
      </c>
      <c r="AI51" s="54">
        <f>IF(AND(OR(T51="Open",T51="Won"),V51=0),2,0)</f>
        <v/>
      </c>
      <c r="AJ51" s="54">
        <f>IF(AND(T51="Won",Y51&gt;0.5,ISNUMBER(Z51),Z51&lt;EOMONTH(set_AsAt,-1)+1),3,0)</f>
        <v/>
      </c>
      <c r="AK51" s="54">
        <f>IF(AND(T51="Won",Y51&lt;-1),1,0)</f>
        <v/>
      </c>
      <c r="AL51" s="54">
        <f>SUM(AF51:AK51)</f>
        <v/>
      </c>
      <c r="AM51" s="9">
        <f>IF(AL51&gt;=set_ScoreHigh,"High",IF(AL51&gt;=set_ScoreMed,"Medium",IF(AL51&gt;0,"Low","OK")))</f>
        <v/>
      </c>
      <c r="AN51" s="54">
        <f>IF(OR(T51="Open",AND(T51="Won",ABS(Y51)&gt;0.5)),1,0)</f>
        <v/>
      </c>
      <c r="AO51" s="52">
        <f>IF(T51="Open",IF(V51=0,0,X51),IF(T51="Won",MAX(0,Y51),0))</f>
        <v/>
      </c>
      <c r="AP51" s="54">
        <f>IF(AN51=1,AL51*1E+9+U51+ROW()/1E+6,"")</f>
        <v/>
      </c>
      <c r="AQ51" s="9">
        <f>MID(IF(AF51&gt;0,"; Expected month passed - update Zoho","")&amp;IF(AG51&gt;0,"; "&amp;TEXT(U51/MAX(1,SUMIFS($U$2:$U$601,$T$2:$T$601,"Open")),"0%")&amp;" of open pipeline in one deal","")&amp;IF(AH51&gt;0,"; Large deal at an early stage","")&amp;IF(AI51&gt;0,"; No amount in Zoho","")&amp;IF(AJ51&gt;0,"; Won, invoice month passed, not fully invoiced","")&amp;IF(AK51&gt;0,"; Xero invoiced more than the deal value",""),3,300)</f>
        <v/>
      </c>
    </row>
    <row r="52">
      <c r="A52" s="51" t="n">
        <v>46265</v>
      </c>
      <c r="B52" t="inlineStr">
        <is>
          <t>ZOHO</t>
        </is>
      </c>
      <c r="C52" t="inlineStr">
        <is>
          <t>26071701</t>
        </is>
      </c>
      <c r="D52" t="inlineStr">
        <is>
          <t>ASX Australian Securities Exchange</t>
        </is>
      </c>
      <c r="E52" t="inlineStr">
        <is>
          <t>26071701</t>
        </is>
      </c>
      <c r="F52" t="inlineStr">
        <is>
          <t>OK</t>
        </is>
      </c>
      <c r="G52" t="inlineStr">
        <is>
          <t>PRODUCTION</t>
        </is>
      </c>
      <c r="H52" t="inlineStr">
        <is>
          <t>ASX - ASX Live - 1.9.26</t>
        </is>
      </c>
      <c r="I52" t="n">
        <v>7768</v>
      </c>
      <c r="J52" t="inlineStr">
        <is>
          <t>Won</t>
        </is>
      </c>
      <c r="K52" s="51" t="n">
        <v>46240</v>
      </c>
      <c r="L52" s="51" t="n">
        <v>46295</v>
      </c>
      <c r="M52" t="n">
        <v>7768</v>
      </c>
      <c r="N52" t="n">
        <v>0</v>
      </c>
      <c r="O52" t="inlineStr">
        <is>
          <t>Invoice month taken from the event date in the deal name</t>
        </is>
      </c>
      <c r="P52" t="inlineStr">
        <is>
          <t>Closed Won</t>
        </is>
      </c>
      <c r="Q52" t="n">
        <v>1</v>
      </c>
      <c r="R52" t="n">
        <v>7768</v>
      </c>
      <c r="T52" s="9">
        <f>IFERROR(INDEX($A52:$R52,MATCH("Status",$A$1:$R$1,0)),"")&amp;""</f>
        <v/>
      </c>
      <c r="U52" s="52">
        <f>IFERROR(N(IFERROR(INDEX($A52:$R52,MATCH("Value Ex GST",$A$1:$R$1,0)),"")),0)</f>
        <v/>
      </c>
      <c r="V52" s="54">
        <f>IF(AND(T52&lt;&gt;"",IFERROR(INDEX($A52:$R52,MATCH("Value Ex GST",$A$1:$R$1,0)),"")&amp;""&lt;&gt;""),1,0)</f>
        <v/>
      </c>
      <c r="W52" s="56">
        <f>IFERROR(N(IFERROR(INDEX($A52:$R52,MATCH("Probability",$A$1:$R$1,0)),"")),0)</f>
        <v/>
      </c>
      <c r="X52" s="52">
        <f>IF(T52="Open",U52*W52,0)</f>
        <v/>
      </c>
      <c r="Y52" s="52">
        <f>IF(T52="Won",IFERROR(N(IFERROR(INDEX($A52:$R52,MATCH("Still to Invoice",$A$1:$R$1,0)),"")),0),0)</f>
        <v/>
      </c>
      <c r="Z52" s="55">
        <f>IFERROR(EOMONTH(IFERROR(INDEX($A52:$R52,MATCH("Expected Invoice Month",$A$1:$R$1,0)),""),0),"")</f>
        <v/>
      </c>
      <c r="AA52" s="9">
        <f>IFERROR(INDEX($A52:$R52,MATCH("Cost Centre",$A$1:$R$1,0)),"")&amp;""</f>
        <v/>
      </c>
      <c r="AB52" s="9">
        <f>IFERROR(INDEX($A52:$R52,MATCH("Pipeline Stage",$A$1:$R$1,0)),"")&amp;""</f>
        <v/>
      </c>
      <c r="AC52" s="9">
        <f>IFERROR(INDEX($A52:$R52,MATCH("Client",$A$1:$R$1,0)),"")&amp;""</f>
        <v/>
      </c>
      <c r="AD52" s="9">
        <f>IFERROR(INDEX($A52:$R52,MATCH("Description",$A$1:$R$1,0)),"")&amp;""</f>
        <v/>
      </c>
      <c r="AE52" s="9">
        <f>IFERROR(INDEX($A52:$R52,MATCH("Job Number",$A$1:$R$1,0)),"")&amp;""</f>
        <v/>
      </c>
      <c r="AF52" s="54">
        <f>IF(AND(T52="Open",ISNUMBER(Z52),Z52&lt;EOMONTH(set_AsAt,-1)+1),3,0)</f>
        <v/>
      </c>
      <c r="AG52" s="54">
        <f>IF(AND(T52="Open",U52&gt;0,U52&gt;=set_DealShare*SUMIFS($U$2:$U$601,$T$2:$T$601,"Open")),3,0)</f>
        <v/>
      </c>
      <c r="AH52" s="54">
        <f>IF(AND(T52="Open",U52&gt;=set_BigValue,W52&lt;=set_EarlyProb),2,0)</f>
        <v/>
      </c>
      <c r="AI52" s="54">
        <f>IF(AND(OR(T52="Open",T52="Won"),V52=0),2,0)</f>
        <v/>
      </c>
      <c r="AJ52" s="54">
        <f>IF(AND(T52="Won",Y52&gt;0.5,ISNUMBER(Z52),Z52&lt;EOMONTH(set_AsAt,-1)+1),3,0)</f>
        <v/>
      </c>
      <c r="AK52" s="54">
        <f>IF(AND(T52="Won",Y52&lt;-1),1,0)</f>
        <v/>
      </c>
      <c r="AL52" s="54">
        <f>SUM(AF52:AK52)</f>
        <v/>
      </c>
      <c r="AM52" s="9">
        <f>IF(AL52&gt;=set_ScoreHigh,"High",IF(AL52&gt;=set_ScoreMed,"Medium",IF(AL52&gt;0,"Low","OK")))</f>
        <v/>
      </c>
      <c r="AN52" s="54">
        <f>IF(OR(T52="Open",AND(T52="Won",ABS(Y52)&gt;0.5)),1,0)</f>
        <v/>
      </c>
      <c r="AO52" s="52">
        <f>IF(T52="Open",IF(V52=0,0,X52),IF(T52="Won",MAX(0,Y52),0))</f>
        <v/>
      </c>
      <c r="AP52" s="54">
        <f>IF(AN52=1,AL52*1E+9+U52+ROW()/1E+6,"")</f>
        <v/>
      </c>
      <c r="AQ52" s="9">
        <f>MID(IF(AF52&gt;0,"; Expected month passed - update Zoho","")&amp;IF(AG52&gt;0,"; "&amp;TEXT(U52/MAX(1,SUMIFS($U$2:$U$601,$T$2:$T$601,"Open")),"0%")&amp;" of open pipeline in one deal","")&amp;IF(AH52&gt;0,"; Large deal at an early stage","")&amp;IF(AI52&gt;0,"; No amount in Zoho","")&amp;IF(AJ52&gt;0,"; Won, invoice month passed, not fully invoiced","")&amp;IF(AK52&gt;0,"; Xero invoiced more than the deal value",""),3,300)</f>
        <v/>
      </c>
    </row>
    <row r="53">
      <c r="A53" s="51" t="n">
        <v>46326</v>
      </c>
      <c r="B53" t="inlineStr">
        <is>
          <t>ZOHO</t>
        </is>
      </c>
      <c r="C53" t="inlineStr">
        <is>
          <t>26011407</t>
        </is>
      </c>
      <c r="D53" t="inlineStr">
        <is>
          <t>ASX Australian Securities Exchange</t>
        </is>
      </c>
      <c r="E53" t="inlineStr">
        <is>
          <t>26011407</t>
        </is>
      </c>
      <c r="F53" t="inlineStr">
        <is>
          <t>OK</t>
        </is>
      </c>
      <c r="G53" t="inlineStr">
        <is>
          <t>PRODUCTION</t>
        </is>
      </c>
      <c r="H53" t="inlineStr">
        <is>
          <t>ASX CEO Connect 27.10.26</t>
        </is>
      </c>
      <c r="I53" t="n">
        <v>3674</v>
      </c>
      <c r="J53" t="inlineStr">
        <is>
          <t>Won</t>
        </is>
      </c>
      <c r="K53" s="51" t="n">
        <v>46315</v>
      </c>
      <c r="L53" s="51" t="n">
        <v>46326</v>
      </c>
      <c r="M53" t="n">
        <v>0</v>
      </c>
      <c r="N53" t="n">
        <v>3674</v>
      </c>
      <c r="P53" t="inlineStr">
        <is>
          <t>Closed Won</t>
        </is>
      </c>
      <c r="Q53" t="n">
        <v>1</v>
      </c>
      <c r="R53" t="n">
        <v>3674</v>
      </c>
      <c r="T53" s="9">
        <f>IFERROR(INDEX($A53:$R53,MATCH("Status",$A$1:$R$1,0)),"")&amp;""</f>
        <v/>
      </c>
      <c r="U53" s="52">
        <f>IFERROR(N(IFERROR(INDEX($A53:$R53,MATCH("Value Ex GST",$A$1:$R$1,0)),"")),0)</f>
        <v/>
      </c>
      <c r="V53" s="54">
        <f>IF(AND(T53&lt;&gt;"",IFERROR(INDEX($A53:$R53,MATCH("Value Ex GST",$A$1:$R$1,0)),"")&amp;""&lt;&gt;""),1,0)</f>
        <v/>
      </c>
      <c r="W53" s="56">
        <f>IFERROR(N(IFERROR(INDEX($A53:$R53,MATCH("Probability",$A$1:$R$1,0)),"")),0)</f>
        <v/>
      </c>
      <c r="X53" s="52">
        <f>IF(T53="Open",U53*W53,0)</f>
        <v/>
      </c>
      <c r="Y53" s="52">
        <f>IF(T53="Won",IFERROR(N(IFERROR(INDEX($A53:$R53,MATCH("Still to Invoice",$A$1:$R$1,0)),"")),0),0)</f>
        <v/>
      </c>
      <c r="Z53" s="55">
        <f>IFERROR(EOMONTH(IFERROR(INDEX($A53:$R53,MATCH("Expected Invoice Month",$A$1:$R$1,0)),""),0),"")</f>
        <v/>
      </c>
      <c r="AA53" s="9">
        <f>IFERROR(INDEX($A53:$R53,MATCH("Cost Centre",$A$1:$R$1,0)),"")&amp;""</f>
        <v/>
      </c>
      <c r="AB53" s="9">
        <f>IFERROR(INDEX($A53:$R53,MATCH("Pipeline Stage",$A$1:$R$1,0)),"")&amp;""</f>
        <v/>
      </c>
      <c r="AC53" s="9">
        <f>IFERROR(INDEX($A53:$R53,MATCH("Client",$A$1:$R$1,0)),"")&amp;""</f>
        <v/>
      </c>
      <c r="AD53" s="9">
        <f>IFERROR(INDEX($A53:$R53,MATCH("Description",$A$1:$R$1,0)),"")&amp;""</f>
        <v/>
      </c>
      <c r="AE53" s="9">
        <f>IFERROR(INDEX($A53:$R53,MATCH("Job Number",$A$1:$R$1,0)),"")&amp;""</f>
        <v/>
      </c>
      <c r="AF53" s="54">
        <f>IF(AND(T53="Open",ISNUMBER(Z53),Z53&lt;EOMONTH(set_AsAt,-1)+1),3,0)</f>
        <v/>
      </c>
      <c r="AG53" s="54">
        <f>IF(AND(T53="Open",U53&gt;0,U53&gt;=set_DealShare*SUMIFS($U$2:$U$601,$T$2:$T$601,"Open")),3,0)</f>
        <v/>
      </c>
      <c r="AH53" s="54">
        <f>IF(AND(T53="Open",U53&gt;=set_BigValue,W53&lt;=set_EarlyProb),2,0)</f>
        <v/>
      </c>
      <c r="AI53" s="54">
        <f>IF(AND(OR(T53="Open",T53="Won"),V53=0),2,0)</f>
        <v/>
      </c>
      <c r="AJ53" s="54">
        <f>IF(AND(T53="Won",Y53&gt;0.5,ISNUMBER(Z53),Z53&lt;EOMONTH(set_AsAt,-1)+1),3,0)</f>
        <v/>
      </c>
      <c r="AK53" s="54">
        <f>IF(AND(T53="Won",Y53&lt;-1),1,0)</f>
        <v/>
      </c>
      <c r="AL53" s="54">
        <f>SUM(AF53:AK53)</f>
        <v/>
      </c>
      <c r="AM53" s="9">
        <f>IF(AL53&gt;=set_ScoreHigh,"High",IF(AL53&gt;=set_ScoreMed,"Medium",IF(AL53&gt;0,"Low","OK")))</f>
        <v/>
      </c>
      <c r="AN53" s="54">
        <f>IF(OR(T53="Open",AND(T53="Won",ABS(Y53)&gt;0.5)),1,0)</f>
        <v/>
      </c>
      <c r="AO53" s="52">
        <f>IF(T53="Open",IF(V53=0,0,X53),IF(T53="Won",MAX(0,Y53),0))</f>
        <v/>
      </c>
      <c r="AP53" s="54">
        <f>IF(AN53=1,AL53*1E+9+U53+ROW()/1E+6,"")</f>
        <v/>
      </c>
      <c r="AQ53" s="9">
        <f>MID(IF(AF53&gt;0,"; Expected month passed - update Zoho","")&amp;IF(AG53&gt;0,"; "&amp;TEXT(U53/MAX(1,SUMIFS($U$2:$U$601,$T$2:$T$601,"Open")),"0%")&amp;" of open pipeline in one deal","")&amp;IF(AH53&gt;0,"; Large deal at an early stage","")&amp;IF(AI53&gt;0,"; No amount in Zoho","")&amp;IF(AJ53&gt;0,"; Won, invoice month passed, not fully invoiced","")&amp;IF(AK53&gt;0,"; Xero invoiced more than the deal value",""),3,300)</f>
        <v/>
      </c>
    </row>
    <row r="54">
      <c r="A54" s="51" t="n">
        <v>46265</v>
      </c>
      <c r="B54" t="inlineStr">
        <is>
          <t>ZOHO</t>
        </is>
      </c>
      <c r="C54" t="inlineStr">
        <is>
          <t>2603104</t>
        </is>
      </c>
      <c r="D54" t="inlineStr">
        <is>
          <t>Cochlear</t>
        </is>
      </c>
      <c r="E54" t="inlineStr">
        <is>
          <t>2603104</t>
        </is>
      </c>
      <c r="F54" t="inlineStr">
        <is>
          <t>OK</t>
        </is>
      </c>
      <c r="G54" t="inlineStr">
        <is>
          <t>PRODUCTION</t>
        </is>
      </c>
      <c r="H54" t="inlineStr">
        <is>
          <t>Cochlear - FY26 Results - 18.8.26</t>
        </is>
      </c>
      <c r="I54" t="n">
        <v>9994</v>
      </c>
      <c r="J54" t="inlineStr">
        <is>
          <t>Won</t>
        </is>
      </c>
      <c r="K54" s="51" t="n">
        <v>46235</v>
      </c>
      <c r="L54" s="51" t="n">
        <v>46265</v>
      </c>
      <c r="M54" t="n">
        <v>10540.5</v>
      </c>
      <c r="N54" t="n">
        <v>-546.5</v>
      </c>
      <c r="P54" t="inlineStr">
        <is>
          <t>Closed Won</t>
        </is>
      </c>
      <c r="Q54" t="n">
        <v>1</v>
      </c>
      <c r="R54" t="n">
        <v>9994</v>
      </c>
      <c r="T54" s="9">
        <f>IFERROR(INDEX($A54:$R54,MATCH("Status",$A$1:$R$1,0)),"")&amp;""</f>
        <v/>
      </c>
      <c r="U54" s="52">
        <f>IFERROR(N(IFERROR(INDEX($A54:$R54,MATCH("Value Ex GST",$A$1:$R$1,0)),"")),0)</f>
        <v/>
      </c>
      <c r="V54" s="54">
        <f>IF(AND(T54&lt;&gt;"",IFERROR(INDEX($A54:$R54,MATCH("Value Ex GST",$A$1:$R$1,0)),"")&amp;""&lt;&gt;""),1,0)</f>
        <v/>
      </c>
      <c r="W54" s="56">
        <f>IFERROR(N(IFERROR(INDEX($A54:$R54,MATCH("Probability",$A$1:$R$1,0)),"")),0)</f>
        <v/>
      </c>
      <c r="X54" s="52">
        <f>IF(T54="Open",U54*W54,0)</f>
        <v/>
      </c>
      <c r="Y54" s="52">
        <f>IF(T54="Won",IFERROR(N(IFERROR(INDEX($A54:$R54,MATCH("Still to Invoice",$A$1:$R$1,0)),"")),0),0)</f>
        <v/>
      </c>
      <c r="Z54" s="55">
        <f>IFERROR(EOMONTH(IFERROR(INDEX($A54:$R54,MATCH("Expected Invoice Month",$A$1:$R$1,0)),""),0),"")</f>
        <v/>
      </c>
      <c r="AA54" s="9">
        <f>IFERROR(INDEX($A54:$R54,MATCH("Cost Centre",$A$1:$R$1,0)),"")&amp;""</f>
        <v/>
      </c>
      <c r="AB54" s="9">
        <f>IFERROR(INDEX($A54:$R54,MATCH("Pipeline Stage",$A$1:$R$1,0)),"")&amp;""</f>
        <v/>
      </c>
      <c r="AC54" s="9">
        <f>IFERROR(INDEX($A54:$R54,MATCH("Client",$A$1:$R$1,0)),"")&amp;""</f>
        <v/>
      </c>
      <c r="AD54" s="9">
        <f>IFERROR(INDEX($A54:$R54,MATCH("Description",$A$1:$R$1,0)),"")&amp;""</f>
        <v/>
      </c>
      <c r="AE54" s="9">
        <f>IFERROR(INDEX($A54:$R54,MATCH("Job Number",$A$1:$R$1,0)),"")&amp;""</f>
        <v/>
      </c>
      <c r="AF54" s="54">
        <f>IF(AND(T54="Open",ISNUMBER(Z54),Z54&lt;EOMONTH(set_AsAt,-1)+1),3,0)</f>
        <v/>
      </c>
      <c r="AG54" s="54">
        <f>IF(AND(T54="Open",U54&gt;0,U54&gt;=set_DealShare*SUMIFS($U$2:$U$601,$T$2:$T$601,"Open")),3,0)</f>
        <v/>
      </c>
      <c r="AH54" s="54">
        <f>IF(AND(T54="Open",U54&gt;=set_BigValue,W54&lt;=set_EarlyProb),2,0)</f>
        <v/>
      </c>
      <c r="AI54" s="54">
        <f>IF(AND(OR(T54="Open",T54="Won"),V54=0),2,0)</f>
        <v/>
      </c>
      <c r="AJ54" s="54">
        <f>IF(AND(T54="Won",Y54&gt;0.5,ISNUMBER(Z54),Z54&lt;EOMONTH(set_AsAt,-1)+1),3,0)</f>
        <v/>
      </c>
      <c r="AK54" s="54">
        <f>IF(AND(T54="Won",Y54&lt;-1),1,0)</f>
        <v/>
      </c>
      <c r="AL54" s="54">
        <f>SUM(AF54:AK54)</f>
        <v/>
      </c>
      <c r="AM54" s="9">
        <f>IF(AL54&gt;=set_ScoreHigh,"High",IF(AL54&gt;=set_ScoreMed,"Medium",IF(AL54&gt;0,"Low","OK")))</f>
        <v/>
      </c>
      <c r="AN54" s="54">
        <f>IF(OR(T54="Open",AND(T54="Won",ABS(Y54)&gt;0.5)),1,0)</f>
        <v/>
      </c>
      <c r="AO54" s="52">
        <f>IF(T54="Open",IF(V54=0,0,X54),IF(T54="Won",MAX(0,Y54),0))</f>
        <v/>
      </c>
      <c r="AP54" s="54">
        <f>IF(AN54=1,AL54*1E+9+U54+ROW()/1E+6,"")</f>
        <v/>
      </c>
      <c r="AQ54" s="9">
        <f>MID(IF(AF54&gt;0,"; Expected month passed - update Zoho","")&amp;IF(AG54&gt;0,"; "&amp;TEXT(U54/MAX(1,SUMIFS($U$2:$U$601,$T$2:$T$601,"Open")),"0%")&amp;" of open pipeline in one deal","")&amp;IF(AH54&gt;0,"; Large deal at an early stage","")&amp;IF(AI54&gt;0,"; No amount in Zoho","")&amp;IF(AJ54&gt;0,"; Won, invoice month passed, not fully invoiced","")&amp;IF(AK54&gt;0,"; Xero invoiced more than the deal value",""),3,300)</f>
        <v/>
      </c>
    </row>
    <row r="55">
      <c r="A55" s="51" t="n">
        <v>46234</v>
      </c>
      <c r="B55" t="inlineStr">
        <is>
          <t>ZOHO</t>
        </is>
      </c>
      <c r="C55" t="inlineStr">
        <is>
          <t>2602309</t>
        </is>
      </c>
      <c r="D55" t="inlineStr">
        <is>
          <t>Elkiem</t>
        </is>
      </c>
      <c r="E55" t="inlineStr">
        <is>
          <t>2602309</t>
        </is>
      </c>
      <c r="F55" t="inlineStr">
        <is>
          <t>CHECK</t>
        </is>
      </c>
      <c r="G55" t="inlineStr">
        <is>
          <t>PRODUCTION</t>
        </is>
      </c>
      <c r="H55" t="inlineStr">
        <is>
          <t>Elkiem Studio Support 1.7.26</t>
        </is>
      </c>
      <c r="I55" t="n">
        <v>380</v>
      </c>
      <c r="J55" t="inlineStr">
        <is>
          <t>Won</t>
        </is>
      </c>
      <c r="K55" s="51" t="n">
        <v>46204</v>
      </c>
      <c r="L55" s="51" t="n">
        <v>46234</v>
      </c>
      <c r="M55" t="n">
        <v>380</v>
      </c>
      <c r="N55" t="n">
        <v>0</v>
      </c>
      <c r="P55" t="inlineStr">
        <is>
          <t>Closed Won</t>
        </is>
      </c>
      <c r="Q55" t="n">
        <v>1</v>
      </c>
      <c r="R55" t="n">
        <v>380</v>
      </c>
      <c r="T55" s="9">
        <f>IFERROR(INDEX($A55:$R55,MATCH("Status",$A$1:$R$1,0)),"")&amp;""</f>
        <v/>
      </c>
      <c r="U55" s="52">
        <f>IFERROR(N(IFERROR(INDEX($A55:$R55,MATCH("Value Ex GST",$A$1:$R$1,0)),"")),0)</f>
        <v/>
      </c>
      <c r="V55" s="54">
        <f>IF(AND(T55&lt;&gt;"",IFERROR(INDEX($A55:$R55,MATCH("Value Ex GST",$A$1:$R$1,0)),"")&amp;""&lt;&gt;""),1,0)</f>
        <v/>
      </c>
      <c r="W55" s="56">
        <f>IFERROR(N(IFERROR(INDEX($A55:$R55,MATCH("Probability",$A$1:$R$1,0)),"")),0)</f>
        <v/>
      </c>
      <c r="X55" s="52">
        <f>IF(T55="Open",U55*W55,0)</f>
        <v/>
      </c>
      <c r="Y55" s="52">
        <f>IF(T55="Won",IFERROR(N(IFERROR(INDEX($A55:$R55,MATCH("Still to Invoice",$A$1:$R$1,0)),"")),0),0)</f>
        <v/>
      </c>
      <c r="Z55" s="55">
        <f>IFERROR(EOMONTH(IFERROR(INDEX($A55:$R55,MATCH("Expected Invoice Month",$A$1:$R$1,0)),""),0),"")</f>
        <v/>
      </c>
      <c r="AA55" s="9">
        <f>IFERROR(INDEX($A55:$R55,MATCH("Cost Centre",$A$1:$R$1,0)),"")&amp;""</f>
        <v/>
      </c>
      <c r="AB55" s="9">
        <f>IFERROR(INDEX($A55:$R55,MATCH("Pipeline Stage",$A$1:$R$1,0)),"")&amp;""</f>
        <v/>
      </c>
      <c r="AC55" s="9">
        <f>IFERROR(INDEX($A55:$R55,MATCH("Client",$A$1:$R$1,0)),"")&amp;""</f>
        <v/>
      </c>
      <c r="AD55" s="9">
        <f>IFERROR(INDEX($A55:$R55,MATCH("Description",$A$1:$R$1,0)),"")&amp;""</f>
        <v/>
      </c>
      <c r="AE55" s="9">
        <f>IFERROR(INDEX($A55:$R55,MATCH("Job Number",$A$1:$R$1,0)),"")&amp;""</f>
        <v/>
      </c>
      <c r="AF55" s="54">
        <f>IF(AND(T55="Open",ISNUMBER(Z55),Z55&lt;EOMONTH(set_AsAt,-1)+1),3,0)</f>
        <v/>
      </c>
      <c r="AG55" s="54">
        <f>IF(AND(T55="Open",U55&gt;0,U55&gt;=set_DealShare*SUMIFS($U$2:$U$601,$T$2:$T$601,"Open")),3,0)</f>
        <v/>
      </c>
      <c r="AH55" s="54">
        <f>IF(AND(T55="Open",U55&gt;=set_BigValue,W55&lt;=set_EarlyProb),2,0)</f>
        <v/>
      </c>
      <c r="AI55" s="54">
        <f>IF(AND(OR(T55="Open",T55="Won"),V55=0),2,0)</f>
        <v/>
      </c>
      <c r="AJ55" s="54">
        <f>IF(AND(T55="Won",Y55&gt;0.5,ISNUMBER(Z55),Z55&lt;EOMONTH(set_AsAt,-1)+1),3,0)</f>
        <v/>
      </c>
      <c r="AK55" s="54">
        <f>IF(AND(T55="Won",Y55&lt;-1),1,0)</f>
        <v/>
      </c>
      <c r="AL55" s="54">
        <f>SUM(AF55:AK55)</f>
        <v/>
      </c>
      <c r="AM55" s="9">
        <f>IF(AL55&gt;=set_ScoreHigh,"High",IF(AL55&gt;=set_ScoreMed,"Medium",IF(AL55&gt;0,"Low","OK")))</f>
        <v/>
      </c>
      <c r="AN55" s="54">
        <f>IF(OR(T55="Open",AND(T55="Won",ABS(Y55)&gt;0.5)),1,0)</f>
        <v/>
      </c>
      <c r="AO55" s="52">
        <f>IF(T55="Open",IF(V55=0,0,X55),IF(T55="Won",MAX(0,Y55),0))</f>
        <v/>
      </c>
      <c r="AP55" s="54">
        <f>IF(AN55=1,AL55*1E+9+U55+ROW()/1E+6,"")</f>
        <v/>
      </c>
      <c r="AQ55" s="9">
        <f>MID(IF(AF55&gt;0,"; Expected month passed - update Zoho","")&amp;IF(AG55&gt;0,"; "&amp;TEXT(U55/MAX(1,SUMIFS($U$2:$U$601,$T$2:$T$601,"Open")),"0%")&amp;" of open pipeline in one deal","")&amp;IF(AH55&gt;0,"; Large deal at an early stage","")&amp;IF(AI55&gt;0,"; No amount in Zoho","")&amp;IF(AJ55&gt;0,"; Won, invoice month passed, not fully invoiced","")&amp;IF(AK55&gt;0,"; Xero invoiced more than the deal value",""),3,300)</f>
        <v/>
      </c>
    </row>
    <row r="56">
      <c r="A56" s="51" t="n">
        <v>46234</v>
      </c>
      <c r="B56" t="inlineStr">
        <is>
          <t>ZOHO</t>
        </is>
      </c>
      <c r="C56" t="inlineStr">
        <is>
          <t>26071303</t>
        </is>
      </c>
      <c r="D56" t="inlineStr">
        <is>
          <t>Ventia</t>
        </is>
      </c>
      <c r="E56" t="inlineStr">
        <is>
          <t>26071303</t>
        </is>
      </c>
      <c r="F56" t="inlineStr">
        <is>
          <t>OK</t>
        </is>
      </c>
      <c r="G56" t="inlineStr">
        <is>
          <t>PRODUCTION</t>
        </is>
      </c>
      <c r="H56" t="inlineStr">
        <is>
          <t>Ventia - Melbourne Office Event - 30.7.26</t>
        </is>
      </c>
      <c r="I56" t="n">
        <v>11570</v>
      </c>
      <c r="J56" t="inlineStr">
        <is>
          <t>Won</t>
        </is>
      </c>
      <c r="K56" s="51" t="n">
        <v>46230</v>
      </c>
      <c r="L56" s="51" t="n">
        <v>46234</v>
      </c>
      <c r="M56" t="n">
        <v>11570</v>
      </c>
      <c r="N56" t="n">
        <v>0</v>
      </c>
      <c r="P56" t="inlineStr">
        <is>
          <t>Closed Won</t>
        </is>
      </c>
      <c r="Q56" t="n">
        <v>1</v>
      </c>
      <c r="R56" t="n">
        <v>11570</v>
      </c>
      <c r="T56" s="9">
        <f>IFERROR(INDEX($A56:$R56,MATCH("Status",$A$1:$R$1,0)),"")&amp;""</f>
        <v/>
      </c>
      <c r="U56" s="52">
        <f>IFERROR(N(IFERROR(INDEX($A56:$R56,MATCH("Value Ex GST",$A$1:$R$1,0)),"")),0)</f>
        <v/>
      </c>
      <c r="V56" s="54">
        <f>IF(AND(T56&lt;&gt;"",IFERROR(INDEX($A56:$R56,MATCH("Value Ex GST",$A$1:$R$1,0)),"")&amp;""&lt;&gt;""),1,0)</f>
        <v/>
      </c>
      <c r="W56" s="56">
        <f>IFERROR(N(IFERROR(INDEX($A56:$R56,MATCH("Probability",$A$1:$R$1,0)),"")),0)</f>
        <v/>
      </c>
      <c r="X56" s="52">
        <f>IF(T56="Open",U56*W56,0)</f>
        <v/>
      </c>
      <c r="Y56" s="52">
        <f>IF(T56="Won",IFERROR(N(IFERROR(INDEX($A56:$R56,MATCH("Still to Invoice",$A$1:$R$1,0)),"")),0),0)</f>
        <v/>
      </c>
      <c r="Z56" s="55">
        <f>IFERROR(EOMONTH(IFERROR(INDEX($A56:$R56,MATCH("Expected Invoice Month",$A$1:$R$1,0)),""),0),"")</f>
        <v/>
      </c>
      <c r="AA56" s="9">
        <f>IFERROR(INDEX($A56:$R56,MATCH("Cost Centre",$A$1:$R$1,0)),"")&amp;""</f>
        <v/>
      </c>
      <c r="AB56" s="9">
        <f>IFERROR(INDEX($A56:$R56,MATCH("Pipeline Stage",$A$1:$R$1,0)),"")&amp;""</f>
        <v/>
      </c>
      <c r="AC56" s="9">
        <f>IFERROR(INDEX($A56:$R56,MATCH("Client",$A$1:$R$1,0)),"")&amp;""</f>
        <v/>
      </c>
      <c r="AD56" s="9">
        <f>IFERROR(INDEX($A56:$R56,MATCH("Description",$A$1:$R$1,0)),"")&amp;""</f>
        <v/>
      </c>
      <c r="AE56" s="9">
        <f>IFERROR(INDEX($A56:$R56,MATCH("Job Number",$A$1:$R$1,0)),"")&amp;""</f>
        <v/>
      </c>
      <c r="AF56" s="54">
        <f>IF(AND(T56="Open",ISNUMBER(Z56),Z56&lt;EOMONTH(set_AsAt,-1)+1),3,0)</f>
        <v/>
      </c>
      <c r="AG56" s="54">
        <f>IF(AND(T56="Open",U56&gt;0,U56&gt;=set_DealShare*SUMIFS($U$2:$U$601,$T$2:$T$601,"Open")),3,0)</f>
        <v/>
      </c>
      <c r="AH56" s="54">
        <f>IF(AND(T56="Open",U56&gt;=set_BigValue,W56&lt;=set_EarlyProb),2,0)</f>
        <v/>
      </c>
      <c r="AI56" s="54">
        <f>IF(AND(OR(T56="Open",T56="Won"),V56=0),2,0)</f>
        <v/>
      </c>
      <c r="AJ56" s="54">
        <f>IF(AND(T56="Won",Y56&gt;0.5,ISNUMBER(Z56),Z56&lt;EOMONTH(set_AsAt,-1)+1),3,0)</f>
        <v/>
      </c>
      <c r="AK56" s="54">
        <f>IF(AND(T56="Won",Y56&lt;-1),1,0)</f>
        <v/>
      </c>
      <c r="AL56" s="54">
        <f>SUM(AF56:AK56)</f>
        <v/>
      </c>
      <c r="AM56" s="9">
        <f>IF(AL56&gt;=set_ScoreHigh,"High",IF(AL56&gt;=set_ScoreMed,"Medium",IF(AL56&gt;0,"Low","OK")))</f>
        <v/>
      </c>
      <c r="AN56" s="54">
        <f>IF(OR(T56="Open",AND(T56="Won",ABS(Y56)&gt;0.5)),1,0)</f>
        <v/>
      </c>
      <c r="AO56" s="52">
        <f>IF(T56="Open",IF(V56=0,0,X56),IF(T56="Won",MAX(0,Y56),0))</f>
        <v/>
      </c>
      <c r="AP56" s="54">
        <f>IF(AN56=1,AL56*1E+9+U56+ROW()/1E+6,"")</f>
        <v/>
      </c>
      <c r="AQ56" s="9">
        <f>MID(IF(AF56&gt;0,"; Expected month passed - update Zoho","")&amp;IF(AG56&gt;0,"; "&amp;TEXT(U56/MAX(1,SUMIFS($U$2:$U$601,$T$2:$T$601,"Open")),"0%")&amp;" of open pipeline in one deal","")&amp;IF(AH56&gt;0,"; Large deal at an early stage","")&amp;IF(AI56&gt;0,"; No amount in Zoho","")&amp;IF(AJ56&gt;0,"; Won, invoice month passed, not fully invoiced","")&amp;IF(AK56&gt;0,"; Xero invoiced more than the deal value",""),3,300)</f>
        <v/>
      </c>
    </row>
    <row r="57">
      <c r="A57" s="51" t="n">
        <v>46295</v>
      </c>
      <c r="B57" t="inlineStr">
        <is>
          <t>ZOHO</t>
        </is>
      </c>
      <c r="C57" t="inlineStr">
        <is>
          <t>26092104</t>
        </is>
      </c>
      <c r="D57" t="inlineStr">
        <is>
          <t>Dimensional Fund Advisors</t>
        </is>
      </c>
      <c r="E57" t="inlineStr">
        <is>
          <t>26092104</t>
        </is>
      </c>
      <c r="F57" t="inlineStr">
        <is>
          <t>OK</t>
        </is>
      </c>
      <c r="G57" t="inlineStr">
        <is>
          <t>PRODUCTION</t>
        </is>
      </c>
      <c r="H57" t="inlineStr">
        <is>
          <t>Dimensional - AV Support - 22.9.26</t>
        </is>
      </c>
      <c r="I57" t="n">
        <v>460</v>
      </c>
      <c r="J57" t="inlineStr">
        <is>
          <t>Won</t>
        </is>
      </c>
      <c r="K57" s="51" t="n">
        <v>46286</v>
      </c>
      <c r="L57" s="51" t="n">
        <v>46295</v>
      </c>
      <c r="M57" t="n">
        <v>0</v>
      </c>
      <c r="N57" t="n">
        <v>460</v>
      </c>
      <c r="P57" t="inlineStr">
        <is>
          <t>Closed Won</t>
        </is>
      </c>
      <c r="Q57" t="n">
        <v>1</v>
      </c>
      <c r="R57" t="n">
        <v>460</v>
      </c>
      <c r="T57" s="9">
        <f>IFERROR(INDEX($A57:$R57,MATCH("Status",$A$1:$R$1,0)),"")&amp;""</f>
        <v/>
      </c>
      <c r="U57" s="52">
        <f>IFERROR(N(IFERROR(INDEX($A57:$R57,MATCH("Value Ex GST",$A$1:$R$1,0)),"")),0)</f>
        <v/>
      </c>
      <c r="V57" s="54">
        <f>IF(AND(T57&lt;&gt;"",IFERROR(INDEX($A57:$R57,MATCH("Value Ex GST",$A$1:$R$1,0)),"")&amp;""&lt;&gt;""),1,0)</f>
        <v/>
      </c>
      <c r="W57" s="56">
        <f>IFERROR(N(IFERROR(INDEX($A57:$R57,MATCH("Probability",$A$1:$R$1,0)),"")),0)</f>
        <v/>
      </c>
      <c r="X57" s="52">
        <f>IF(T57="Open",U57*W57,0)</f>
        <v/>
      </c>
      <c r="Y57" s="52">
        <f>IF(T57="Won",IFERROR(N(IFERROR(INDEX($A57:$R57,MATCH("Still to Invoice",$A$1:$R$1,0)),"")),0),0)</f>
        <v/>
      </c>
      <c r="Z57" s="55">
        <f>IFERROR(EOMONTH(IFERROR(INDEX($A57:$R57,MATCH("Expected Invoice Month",$A$1:$R$1,0)),""),0),"")</f>
        <v/>
      </c>
      <c r="AA57" s="9">
        <f>IFERROR(INDEX($A57:$R57,MATCH("Cost Centre",$A$1:$R$1,0)),"")&amp;""</f>
        <v/>
      </c>
      <c r="AB57" s="9">
        <f>IFERROR(INDEX($A57:$R57,MATCH("Pipeline Stage",$A$1:$R$1,0)),"")&amp;""</f>
        <v/>
      </c>
      <c r="AC57" s="9">
        <f>IFERROR(INDEX($A57:$R57,MATCH("Client",$A$1:$R$1,0)),"")&amp;""</f>
        <v/>
      </c>
      <c r="AD57" s="9">
        <f>IFERROR(INDEX($A57:$R57,MATCH("Description",$A$1:$R$1,0)),"")&amp;""</f>
        <v/>
      </c>
      <c r="AE57" s="9">
        <f>IFERROR(INDEX($A57:$R57,MATCH("Job Number",$A$1:$R$1,0)),"")&amp;""</f>
        <v/>
      </c>
      <c r="AF57" s="54">
        <f>IF(AND(T57="Open",ISNUMBER(Z57),Z57&lt;EOMONTH(set_AsAt,-1)+1),3,0)</f>
        <v/>
      </c>
      <c r="AG57" s="54">
        <f>IF(AND(T57="Open",U57&gt;0,U57&gt;=set_DealShare*SUMIFS($U$2:$U$601,$T$2:$T$601,"Open")),3,0)</f>
        <v/>
      </c>
      <c r="AH57" s="54">
        <f>IF(AND(T57="Open",U57&gt;=set_BigValue,W57&lt;=set_EarlyProb),2,0)</f>
        <v/>
      </c>
      <c r="AI57" s="54">
        <f>IF(AND(OR(T57="Open",T57="Won"),V57=0),2,0)</f>
        <v/>
      </c>
      <c r="AJ57" s="54">
        <f>IF(AND(T57="Won",Y57&gt;0.5,ISNUMBER(Z57),Z57&lt;EOMONTH(set_AsAt,-1)+1),3,0)</f>
        <v/>
      </c>
      <c r="AK57" s="54">
        <f>IF(AND(T57="Won",Y57&lt;-1),1,0)</f>
        <v/>
      </c>
      <c r="AL57" s="54">
        <f>SUM(AF57:AK57)</f>
        <v/>
      </c>
      <c r="AM57" s="9">
        <f>IF(AL57&gt;=set_ScoreHigh,"High",IF(AL57&gt;=set_ScoreMed,"Medium",IF(AL57&gt;0,"Low","OK")))</f>
        <v/>
      </c>
      <c r="AN57" s="54">
        <f>IF(OR(T57="Open",AND(T57="Won",ABS(Y57)&gt;0.5)),1,0)</f>
        <v/>
      </c>
      <c r="AO57" s="52">
        <f>IF(T57="Open",IF(V57=0,0,X57),IF(T57="Won",MAX(0,Y57),0))</f>
        <v/>
      </c>
      <c r="AP57" s="54">
        <f>IF(AN57=1,AL57*1E+9+U57+ROW()/1E+6,"")</f>
        <v/>
      </c>
      <c r="AQ57" s="9">
        <f>MID(IF(AF57&gt;0,"; Expected month passed - update Zoho","")&amp;IF(AG57&gt;0,"; "&amp;TEXT(U57/MAX(1,SUMIFS($U$2:$U$601,$T$2:$T$601,"Open")),"0%")&amp;" of open pipeline in one deal","")&amp;IF(AH57&gt;0,"; Large deal at an early stage","")&amp;IF(AI57&gt;0,"; No amount in Zoho","")&amp;IF(AJ57&gt;0,"; Won, invoice month passed, not fully invoiced","")&amp;IF(AK57&gt;0,"; Xero invoiced more than the deal value",""),3,300)</f>
        <v/>
      </c>
    </row>
    <row r="58">
      <c r="A58" s="51" t="n">
        <v>46295</v>
      </c>
      <c r="B58" t="inlineStr">
        <is>
          <t>ZOHO</t>
        </is>
      </c>
      <c r="C58" t="inlineStr">
        <is>
          <t>26091002</t>
        </is>
      </c>
      <c r="D58" t="inlineStr">
        <is>
          <t>Global Philanthropic</t>
        </is>
      </c>
      <c r="E58" t="inlineStr">
        <is>
          <t>26091002</t>
        </is>
      </c>
      <c r="F58" t="inlineStr">
        <is>
          <t>OK</t>
        </is>
      </c>
      <c r="G58" t="inlineStr">
        <is>
          <t>VIDEO</t>
        </is>
      </c>
      <c r="H58" t="inlineStr">
        <is>
          <t>GP - Talking Philanthropy - Event Videography</t>
        </is>
      </c>
      <c r="I58" t="n">
        <v>1249</v>
      </c>
      <c r="J58" t="inlineStr">
        <is>
          <t>Won</t>
        </is>
      </c>
      <c r="K58" s="51" t="n">
        <v>46282</v>
      </c>
      <c r="L58" s="51" t="n">
        <v>46295</v>
      </c>
      <c r="M58" t="n">
        <v>0</v>
      </c>
      <c r="N58" t="n">
        <v>1249</v>
      </c>
      <c r="P58" t="inlineStr">
        <is>
          <t>Closed Won</t>
        </is>
      </c>
      <c r="Q58" t="n">
        <v>1</v>
      </c>
      <c r="R58" t="n">
        <v>1249</v>
      </c>
      <c r="T58" s="9">
        <f>IFERROR(INDEX($A58:$R58,MATCH("Status",$A$1:$R$1,0)),"")&amp;""</f>
        <v/>
      </c>
      <c r="U58" s="52">
        <f>IFERROR(N(IFERROR(INDEX($A58:$R58,MATCH("Value Ex GST",$A$1:$R$1,0)),"")),0)</f>
        <v/>
      </c>
      <c r="V58" s="54">
        <f>IF(AND(T58&lt;&gt;"",IFERROR(INDEX($A58:$R58,MATCH("Value Ex GST",$A$1:$R$1,0)),"")&amp;""&lt;&gt;""),1,0)</f>
        <v/>
      </c>
      <c r="W58" s="56">
        <f>IFERROR(N(IFERROR(INDEX($A58:$R58,MATCH("Probability",$A$1:$R$1,0)),"")),0)</f>
        <v/>
      </c>
      <c r="X58" s="52">
        <f>IF(T58="Open",U58*W58,0)</f>
        <v/>
      </c>
      <c r="Y58" s="52">
        <f>IF(T58="Won",IFERROR(N(IFERROR(INDEX($A58:$R58,MATCH("Still to Invoice",$A$1:$R$1,0)),"")),0),0)</f>
        <v/>
      </c>
      <c r="Z58" s="55">
        <f>IFERROR(EOMONTH(IFERROR(INDEX($A58:$R58,MATCH("Expected Invoice Month",$A$1:$R$1,0)),""),0),"")</f>
        <v/>
      </c>
      <c r="AA58" s="9">
        <f>IFERROR(INDEX($A58:$R58,MATCH("Cost Centre",$A$1:$R$1,0)),"")&amp;""</f>
        <v/>
      </c>
      <c r="AB58" s="9">
        <f>IFERROR(INDEX($A58:$R58,MATCH("Pipeline Stage",$A$1:$R$1,0)),"")&amp;""</f>
        <v/>
      </c>
      <c r="AC58" s="9">
        <f>IFERROR(INDEX($A58:$R58,MATCH("Client",$A$1:$R$1,0)),"")&amp;""</f>
        <v/>
      </c>
      <c r="AD58" s="9">
        <f>IFERROR(INDEX($A58:$R58,MATCH("Description",$A$1:$R$1,0)),"")&amp;""</f>
        <v/>
      </c>
      <c r="AE58" s="9">
        <f>IFERROR(INDEX($A58:$R58,MATCH("Job Number",$A$1:$R$1,0)),"")&amp;""</f>
        <v/>
      </c>
      <c r="AF58" s="54">
        <f>IF(AND(T58="Open",ISNUMBER(Z58),Z58&lt;EOMONTH(set_AsAt,-1)+1),3,0)</f>
        <v/>
      </c>
      <c r="AG58" s="54">
        <f>IF(AND(T58="Open",U58&gt;0,U58&gt;=set_DealShare*SUMIFS($U$2:$U$601,$T$2:$T$601,"Open")),3,0)</f>
        <v/>
      </c>
      <c r="AH58" s="54">
        <f>IF(AND(T58="Open",U58&gt;=set_BigValue,W58&lt;=set_EarlyProb),2,0)</f>
        <v/>
      </c>
      <c r="AI58" s="54">
        <f>IF(AND(OR(T58="Open",T58="Won"),V58=0),2,0)</f>
        <v/>
      </c>
      <c r="AJ58" s="54">
        <f>IF(AND(T58="Won",Y58&gt;0.5,ISNUMBER(Z58),Z58&lt;EOMONTH(set_AsAt,-1)+1),3,0)</f>
        <v/>
      </c>
      <c r="AK58" s="54">
        <f>IF(AND(T58="Won",Y58&lt;-1),1,0)</f>
        <v/>
      </c>
      <c r="AL58" s="54">
        <f>SUM(AF58:AK58)</f>
        <v/>
      </c>
      <c r="AM58" s="9">
        <f>IF(AL58&gt;=set_ScoreHigh,"High",IF(AL58&gt;=set_ScoreMed,"Medium",IF(AL58&gt;0,"Low","OK")))</f>
        <v/>
      </c>
      <c r="AN58" s="54">
        <f>IF(OR(T58="Open",AND(T58="Won",ABS(Y58)&gt;0.5)),1,0)</f>
        <v/>
      </c>
      <c r="AO58" s="52">
        <f>IF(T58="Open",IF(V58=0,0,X58),IF(T58="Won",MAX(0,Y58),0))</f>
        <v/>
      </c>
      <c r="AP58" s="54">
        <f>IF(AN58=1,AL58*1E+9+U58+ROW()/1E+6,"")</f>
        <v/>
      </c>
      <c r="AQ58" s="9">
        <f>MID(IF(AF58&gt;0,"; Expected month passed - update Zoho","")&amp;IF(AG58&gt;0,"; "&amp;TEXT(U58/MAX(1,SUMIFS($U$2:$U$601,$T$2:$T$601,"Open")),"0%")&amp;" of open pipeline in one deal","")&amp;IF(AH58&gt;0,"; Large deal at an early stage","")&amp;IF(AI58&gt;0,"; No amount in Zoho","")&amp;IF(AJ58&gt;0,"; Won, invoice month passed, not fully invoiced","")&amp;IF(AK58&gt;0,"; Xero invoiced more than the deal value",""),3,300)</f>
        <v/>
      </c>
    </row>
    <row r="59">
      <c r="A59" s="51" t="n">
        <v>46234</v>
      </c>
      <c r="B59" t="inlineStr">
        <is>
          <t>ZOHO</t>
        </is>
      </c>
      <c r="C59" t="inlineStr">
        <is>
          <t>26052701</t>
        </is>
      </c>
      <c r="D59" t="inlineStr">
        <is>
          <t>Aware Super</t>
        </is>
      </c>
      <c r="E59" t="inlineStr">
        <is>
          <t>26052701</t>
        </is>
      </c>
      <c r="F59" t="inlineStr">
        <is>
          <t>OK</t>
        </is>
      </c>
      <c r="G59" t="inlineStr">
        <is>
          <t>INTEGRATION</t>
        </is>
      </c>
      <c r="H59" t="inlineStr">
        <is>
          <t>Aware | SYD 28.06 Equipment - 26052701</t>
        </is>
      </c>
      <c r="I59" t="n">
        <v>12271</v>
      </c>
      <c r="J59" t="inlineStr">
        <is>
          <t>Won</t>
        </is>
      </c>
      <c r="K59" s="51" t="n">
        <v>46234</v>
      </c>
      <c r="L59" s="51" t="n">
        <v>46234</v>
      </c>
      <c r="M59" t="n">
        <v>12271</v>
      </c>
      <c r="N59" t="n">
        <v>0</v>
      </c>
      <c r="P59" t="inlineStr">
        <is>
          <t>Closed Won</t>
        </is>
      </c>
      <c r="Q59" t="n">
        <v>1</v>
      </c>
      <c r="R59" t="n">
        <v>12271</v>
      </c>
      <c r="T59" s="9">
        <f>IFERROR(INDEX($A59:$R59,MATCH("Status",$A$1:$R$1,0)),"")&amp;""</f>
        <v/>
      </c>
      <c r="U59" s="52">
        <f>IFERROR(N(IFERROR(INDEX($A59:$R59,MATCH("Value Ex GST",$A$1:$R$1,0)),"")),0)</f>
        <v/>
      </c>
      <c r="V59" s="54">
        <f>IF(AND(T59&lt;&gt;"",IFERROR(INDEX($A59:$R59,MATCH("Value Ex GST",$A$1:$R$1,0)),"")&amp;""&lt;&gt;""),1,0)</f>
        <v/>
      </c>
      <c r="W59" s="56">
        <f>IFERROR(N(IFERROR(INDEX($A59:$R59,MATCH("Probability",$A$1:$R$1,0)),"")),0)</f>
        <v/>
      </c>
      <c r="X59" s="52">
        <f>IF(T59="Open",U59*W59,0)</f>
        <v/>
      </c>
      <c r="Y59" s="52">
        <f>IF(T59="Won",IFERROR(N(IFERROR(INDEX($A59:$R59,MATCH("Still to Invoice",$A$1:$R$1,0)),"")),0),0)</f>
        <v/>
      </c>
      <c r="Z59" s="55">
        <f>IFERROR(EOMONTH(IFERROR(INDEX($A59:$R59,MATCH("Expected Invoice Month",$A$1:$R$1,0)),""),0),"")</f>
        <v/>
      </c>
      <c r="AA59" s="9">
        <f>IFERROR(INDEX($A59:$R59,MATCH("Cost Centre",$A$1:$R$1,0)),"")&amp;""</f>
        <v/>
      </c>
      <c r="AB59" s="9">
        <f>IFERROR(INDEX($A59:$R59,MATCH("Pipeline Stage",$A$1:$R$1,0)),"")&amp;""</f>
        <v/>
      </c>
      <c r="AC59" s="9">
        <f>IFERROR(INDEX($A59:$R59,MATCH("Client",$A$1:$R$1,0)),"")&amp;""</f>
        <v/>
      </c>
      <c r="AD59" s="9">
        <f>IFERROR(INDEX($A59:$R59,MATCH("Description",$A$1:$R$1,0)),"")&amp;""</f>
        <v/>
      </c>
      <c r="AE59" s="9">
        <f>IFERROR(INDEX($A59:$R59,MATCH("Job Number",$A$1:$R$1,0)),"")&amp;""</f>
        <v/>
      </c>
      <c r="AF59" s="54">
        <f>IF(AND(T59="Open",ISNUMBER(Z59),Z59&lt;EOMONTH(set_AsAt,-1)+1),3,0)</f>
        <v/>
      </c>
      <c r="AG59" s="54">
        <f>IF(AND(T59="Open",U59&gt;0,U59&gt;=set_DealShare*SUMIFS($U$2:$U$601,$T$2:$T$601,"Open")),3,0)</f>
        <v/>
      </c>
      <c r="AH59" s="54">
        <f>IF(AND(T59="Open",U59&gt;=set_BigValue,W59&lt;=set_EarlyProb),2,0)</f>
        <v/>
      </c>
      <c r="AI59" s="54">
        <f>IF(AND(OR(T59="Open",T59="Won"),V59=0),2,0)</f>
        <v/>
      </c>
      <c r="AJ59" s="54">
        <f>IF(AND(T59="Won",Y59&gt;0.5,ISNUMBER(Z59),Z59&lt;EOMONTH(set_AsAt,-1)+1),3,0)</f>
        <v/>
      </c>
      <c r="AK59" s="54">
        <f>IF(AND(T59="Won",Y59&lt;-1),1,0)</f>
        <v/>
      </c>
      <c r="AL59" s="54">
        <f>SUM(AF59:AK59)</f>
        <v/>
      </c>
      <c r="AM59" s="9">
        <f>IF(AL59&gt;=set_ScoreHigh,"High",IF(AL59&gt;=set_ScoreMed,"Medium",IF(AL59&gt;0,"Low","OK")))</f>
        <v/>
      </c>
      <c r="AN59" s="54">
        <f>IF(OR(T59="Open",AND(T59="Won",ABS(Y59)&gt;0.5)),1,0)</f>
        <v/>
      </c>
      <c r="AO59" s="52">
        <f>IF(T59="Open",IF(V59=0,0,X59),IF(T59="Won",MAX(0,Y59),0))</f>
        <v/>
      </c>
      <c r="AP59" s="54">
        <f>IF(AN59=1,AL59*1E+9+U59+ROW()/1E+6,"")</f>
        <v/>
      </c>
      <c r="AQ59" s="9">
        <f>MID(IF(AF59&gt;0,"; Expected month passed - update Zoho","")&amp;IF(AG59&gt;0,"; "&amp;TEXT(U59/MAX(1,SUMIFS($U$2:$U$601,$T$2:$T$601,"Open")),"0%")&amp;" of open pipeline in one deal","")&amp;IF(AH59&gt;0,"; Large deal at an early stage","")&amp;IF(AI59&gt;0,"; No amount in Zoho","")&amp;IF(AJ59&gt;0,"; Won, invoice month passed, not fully invoiced","")&amp;IF(AK59&gt;0,"; Xero invoiced more than the deal value",""),3,300)</f>
        <v/>
      </c>
    </row>
    <row r="60">
      <c r="A60" s="51" t="n">
        <v>46295</v>
      </c>
      <c r="B60" t="inlineStr">
        <is>
          <t>ZOHO</t>
        </is>
      </c>
      <c r="C60" t="inlineStr">
        <is>
          <t>26092101</t>
        </is>
      </c>
      <c r="D60" t="inlineStr">
        <is>
          <t>Bankwest</t>
        </is>
      </c>
      <c r="E60" t="inlineStr">
        <is>
          <t>26092101</t>
        </is>
      </c>
      <c r="F60" t="inlineStr">
        <is>
          <t>OK</t>
        </is>
      </c>
      <c r="G60" t="inlineStr">
        <is>
          <t>PRODUCTION</t>
        </is>
      </c>
      <c r="H60" t="inlineStr">
        <is>
          <t>Bankwest - BCEC WGEA Report Launch - 13.10.2026</t>
        </is>
      </c>
      <c r="I60" t="n">
        <v>950</v>
      </c>
      <c r="J60" t="inlineStr">
        <is>
          <t>Won</t>
        </is>
      </c>
      <c r="K60" s="51" t="n">
        <v>46286</v>
      </c>
      <c r="L60" s="51" t="n">
        <v>46326</v>
      </c>
      <c r="M60" t="n">
        <v>0</v>
      </c>
      <c r="N60" t="n">
        <v>950</v>
      </c>
      <c r="O60" t="inlineStr">
        <is>
          <t>Invoice month taken from the event date in the deal name</t>
        </is>
      </c>
      <c r="P60" t="inlineStr">
        <is>
          <t>Closed Won</t>
        </is>
      </c>
      <c r="Q60" t="n">
        <v>1</v>
      </c>
      <c r="R60" t="n">
        <v>950</v>
      </c>
      <c r="T60" s="9">
        <f>IFERROR(INDEX($A60:$R60,MATCH("Status",$A$1:$R$1,0)),"")&amp;""</f>
        <v/>
      </c>
      <c r="U60" s="52">
        <f>IFERROR(N(IFERROR(INDEX($A60:$R60,MATCH("Value Ex GST",$A$1:$R$1,0)),"")),0)</f>
        <v/>
      </c>
      <c r="V60" s="54">
        <f>IF(AND(T60&lt;&gt;"",IFERROR(INDEX($A60:$R60,MATCH("Value Ex GST",$A$1:$R$1,0)),"")&amp;""&lt;&gt;""),1,0)</f>
        <v/>
      </c>
      <c r="W60" s="56">
        <f>IFERROR(N(IFERROR(INDEX($A60:$R60,MATCH("Probability",$A$1:$R$1,0)),"")),0)</f>
        <v/>
      </c>
      <c r="X60" s="52">
        <f>IF(T60="Open",U60*W60,0)</f>
        <v/>
      </c>
      <c r="Y60" s="52">
        <f>IF(T60="Won",IFERROR(N(IFERROR(INDEX($A60:$R60,MATCH("Still to Invoice",$A$1:$R$1,0)),"")),0),0)</f>
        <v/>
      </c>
      <c r="Z60" s="55">
        <f>IFERROR(EOMONTH(IFERROR(INDEX($A60:$R60,MATCH("Expected Invoice Month",$A$1:$R$1,0)),""),0),"")</f>
        <v/>
      </c>
      <c r="AA60" s="9">
        <f>IFERROR(INDEX($A60:$R60,MATCH("Cost Centre",$A$1:$R$1,0)),"")&amp;""</f>
        <v/>
      </c>
      <c r="AB60" s="9">
        <f>IFERROR(INDEX($A60:$R60,MATCH("Pipeline Stage",$A$1:$R$1,0)),"")&amp;""</f>
        <v/>
      </c>
      <c r="AC60" s="9">
        <f>IFERROR(INDEX($A60:$R60,MATCH("Client",$A$1:$R$1,0)),"")&amp;""</f>
        <v/>
      </c>
      <c r="AD60" s="9">
        <f>IFERROR(INDEX($A60:$R60,MATCH("Description",$A$1:$R$1,0)),"")&amp;""</f>
        <v/>
      </c>
      <c r="AE60" s="9">
        <f>IFERROR(INDEX($A60:$R60,MATCH("Job Number",$A$1:$R$1,0)),"")&amp;""</f>
        <v/>
      </c>
      <c r="AF60" s="54">
        <f>IF(AND(T60="Open",ISNUMBER(Z60),Z60&lt;EOMONTH(set_AsAt,-1)+1),3,0)</f>
        <v/>
      </c>
      <c r="AG60" s="54">
        <f>IF(AND(T60="Open",U60&gt;0,U60&gt;=set_DealShare*SUMIFS($U$2:$U$601,$T$2:$T$601,"Open")),3,0)</f>
        <v/>
      </c>
      <c r="AH60" s="54">
        <f>IF(AND(T60="Open",U60&gt;=set_BigValue,W60&lt;=set_EarlyProb),2,0)</f>
        <v/>
      </c>
      <c r="AI60" s="54">
        <f>IF(AND(OR(T60="Open",T60="Won"),V60=0),2,0)</f>
        <v/>
      </c>
      <c r="AJ60" s="54">
        <f>IF(AND(T60="Won",Y60&gt;0.5,ISNUMBER(Z60),Z60&lt;EOMONTH(set_AsAt,-1)+1),3,0)</f>
        <v/>
      </c>
      <c r="AK60" s="54">
        <f>IF(AND(T60="Won",Y60&lt;-1),1,0)</f>
        <v/>
      </c>
      <c r="AL60" s="54">
        <f>SUM(AF60:AK60)</f>
        <v/>
      </c>
      <c r="AM60" s="9">
        <f>IF(AL60&gt;=set_ScoreHigh,"High",IF(AL60&gt;=set_ScoreMed,"Medium",IF(AL60&gt;0,"Low","OK")))</f>
        <v/>
      </c>
      <c r="AN60" s="54">
        <f>IF(OR(T60="Open",AND(T60="Won",ABS(Y60)&gt;0.5)),1,0)</f>
        <v/>
      </c>
      <c r="AO60" s="52">
        <f>IF(T60="Open",IF(V60=0,0,X60),IF(T60="Won",MAX(0,Y60),0))</f>
        <v/>
      </c>
      <c r="AP60" s="54">
        <f>IF(AN60=1,AL60*1E+9+U60+ROW()/1E+6,"")</f>
        <v/>
      </c>
      <c r="AQ60" s="9">
        <f>MID(IF(AF60&gt;0,"; Expected month passed - update Zoho","")&amp;IF(AG60&gt;0,"; "&amp;TEXT(U60/MAX(1,SUMIFS($U$2:$U$601,$T$2:$T$601,"Open")),"0%")&amp;" of open pipeline in one deal","")&amp;IF(AH60&gt;0,"; Large deal at an early stage","")&amp;IF(AI60&gt;0,"; No amount in Zoho","")&amp;IF(AJ60&gt;0,"; Won, invoice month passed, not fully invoiced","")&amp;IF(AK60&gt;0,"; Xero invoiced more than the deal value",""),3,300)</f>
        <v/>
      </c>
    </row>
    <row r="61">
      <c r="A61" s="51" t="n">
        <v>46234</v>
      </c>
      <c r="B61" t="inlineStr">
        <is>
          <t>ZOHO</t>
        </is>
      </c>
      <c r="C61" t="inlineStr">
        <is>
          <t>26072001</t>
        </is>
      </c>
      <c r="D61" t="inlineStr">
        <is>
          <t>PWC</t>
        </is>
      </c>
      <c r="E61" t="inlineStr">
        <is>
          <t>26072001</t>
        </is>
      </c>
      <c r="F61" t="inlineStr">
        <is>
          <t>CHECK</t>
        </is>
      </c>
      <c r="G61" t="inlineStr">
        <is>
          <t>ONSITE</t>
        </is>
      </c>
      <c r="H61" t="inlineStr">
        <is>
          <t>Pool of hours for National AV Support - 20JULY26</t>
        </is>
      </c>
      <c r="I61" t="n">
        <v>4250</v>
      </c>
      <c r="J61" t="inlineStr">
        <is>
          <t>Won</t>
        </is>
      </c>
      <c r="K61" s="51" t="n">
        <v>46234</v>
      </c>
      <c r="L61" s="51" t="n">
        <v>46234</v>
      </c>
      <c r="M61" t="n">
        <v>0</v>
      </c>
      <c r="N61" t="n">
        <v>4250</v>
      </c>
      <c r="P61" t="inlineStr">
        <is>
          <t>Closed Won</t>
        </is>
      </c>
      <c r="Q61" t="n">
        <v>1</v>
      </c>
      <c r="R61" t="n">
        <v>4250</v>
      </c>
      <c r="T61" s="9">
        <f>IFERROR(INDEX($A61:$R61,MATCH("Status",$A$1:$R$1,0)),"")&amp;""</f>
        <v/>
      </c>
      <c r="U61" s="52">
        <f>IFERROR(N(IFERROR(INDEX($A61:$R61,MATCH("Value Ex GST",$A$1:$R$1,0)),"")),0)</f>
        <v/>
      </c>
      <c r="V61" s="54">
        <f>IF(AND(T61&lt;&gt;"",IFERROR(INDEX($A61:$R61,MATCH("Value Ex GST",$A$1:$R$1,0)),"")&amp;""&lt;&gt;""),1,0)</f>
        <v/>
      </c>
      <c r="W61" s="56">
        <f>IFERROR(N(IFERROR(INDEX($A61:$R61,MATCH("Probability",$A$1:$R$1,0)),"")),0)</f>
        <v/>
      </c>
      <c r="X61" s="52">
        <f>IF(T61="Open",U61*W61,0)</f>
        <v/>
      </c>
      <c r="Y61" s="52">
        <f>IF(T61="Won",IFERROR(N(IFERROR(INDEX($A61:$R61,MATCH("Still to Invoice",$A$1:$R$1,0)),"")),0),0)</f>
        <v/>
      </c>
      <c r="Z61" s="55">
        <f>IFERROR(EOMONTH(IFERROR(INDEX($A61:$R61,MATCH("Expected Invoice Month",$A$1:$R$1,0)),""),0),"")</f>
        <v/>
      </c>
      <c r="AA61" s="9">
        <f>IFERROR(INDEX($A61:$R61,MATCH("Cost Centre",$A$1:$R$1,0)),"")&amp;""</f>
        <v/>
      </c>
      <c r="AB61" s="9">
        <f>IFERROR(INDEX($A61:$R61,MATCH("Pipeline Stage",$A$1:$R$1,0)),"")&amp;""</f>
        <v/>
      </c>
      <c r="AC61" s="9">
        <f>IFERROR(INDEX($A61:$R61,MATCH("Client",$A$1:$R$1,0)),"")&amp;""</f>
        <v/>
      </c>
      <c r="AD61" s="9">
        <f>IFERROR(INDEX($A61:$R61,MATCH("Description",$A$1:$R$1,0)),"")&amp;""</f>
        <v/>
      </c>
      <c r="AE61" s="9">
        <f>IFERROR(INDEX($A61:$R61,MATCH("Job Number",$A$1:$R$1,0)),"")&amp;""</f>
        <v/>
      </c>
      <c r="AF61" s="54">
        <f>IF(AND(T61="Open",ISNUMBER(Z61),Z61&lt;EOMONTH(set_AsAt,-1)+1),3,0)</f>
        <v/>
      </c>
      <c r="AG61" s="54">
        <f>IF(AND(T61="Open",U61&gt;0,U61&gt;=set_DealShare*SUMIFS($U$2:$U$601,$T$2:$T$601,"Open")),3,0)</f>
        <v/>
      </c>
      <c r="AH61" s="54">
        <f>IF(AND(T61="Open",U61&gt;=set_BigValue,W61&lt;=set_EarlyProb),2,0)</f>
        <v/>
      </c>
      <c r="AI61" s="54">
        <f>IF(AND(OR(T61="Open",T61="Won"),V61=0),2,0)</f>
        <v/>
      </c>
      <c r="AJ61" s="54">
        <f>IF(AND(T61="Won",Y61&gt;0.5,ISNUMBER(Z61),Z61&lt;EOMONTH(set_AsAt,-1)+1),3,0)</f>
        <v/>
      </c>
      <c r="AK61" s="54">
        <f>IF(AND(T61="Won",Y61&lt;-1),1,0)</f>
        <v/>
      </c>
      <c r="AL61" s="54">
        <f>SUM(AF61:AK61)</f>
        <v/>
      </c>
      <c r="AM61" s="9">
        <f>IF(AL61&gt;=set_ScoreHigh,"High",IF(AL61&gt;=set_ScoreMed,"Medium",IF(AL61&gt;0,"Low","OK")))</f>
        <v/>
      </c>
      <c r="AN61" s="54">
        <f>IF(OR(T61="Open",AND(T61="Won",ABS(Y61)&gt;0.5)),1,0)</f>
        <v/>
      </c>
      <c r="AO61" s="52">
        <f>IF(T61="Open",IF(V61=0,0,X61),IF(T61="Won",MAX(0,Y61),0))</f>
        <v/>
      </c>
      <c r="AP61" s="54">
        <f>IF(AN61=1,AL61*1E+9+U61+ROW()/1E+6,"")</f>
        <v/>
      </c>
      <c r="AQ61" s="9">
        <f>MID(IF(AF61&gt;0,"; Expected month passed - update Zoho","")&amp;IF(AG61&gt;0,"; "&amp;TEXT(U61/MAX(1,SUMIFS($U$2:$U$601,$T$2:$T$601,"Open")),"0%")&amp;" of open pipeline in one deal","")&amp;IF(AH61&gt;0,"; Large deal at an early stage","")&amp;IF(AI61&gt;0,"; No amount in Zoho","")&amp;IF(AJ61&gt;0,"; Won, invoice month passed, not fully invoiced","")&amp;IF(AK61&gt;0,"; Xero invoiced more than the deal value",""),3,300)</f>
        <v/>
      </c>
    </row>
    <row r="62">
      <c r="A62" s="51" t="n">
        <v>46265</v>
      </c>
      <c r="B62" t="inlineStr">
        <is>
          <t>ZOHO</t>
        </is>
      </c>
      <c r="C62" t="inlineStr">
        <is>
          <t>26081402</t>
        </is>
      </c>
      <c r="D62" t="inlineStr">
        <is>
          <t>Dimensional Fund Advisors</t>
        </is>
      </c>
      <c r="E62" t="inlineStr">
        <is>
          <t>26081402</t>
        </is>
      </c>
      <c r="F62" t="inlineStr">
        <is>
          <t>OK</t>
        </is>
      </c>
      <c r="G62" t="inlineStr">
        <is>
          <t>PRODUCTION</t>
        </is>
      </c>
      <c r="H62" t="inlineStr">
        <is>
          <t>Dimensional - AV Support - 19.8.26</t>
        </is>
      </c>
      <c r="I62" t="n">
        <v>460</v>
      </c>
      <c r="J62" t="inlineStr">
        <is>
          <t>Won</t>
        </is>
      </c>
      <c r="K62" s="51" t="n">
        <v>46248</v>
      </c>
      <c r="L62" s="51" t="n">
        <v>46265</v>
      </c>
      <c r="M62" t="n">
        <v>460</v>
      </c>
      <c r="N62" t="n">
        <v>0</v>
      </c>
      <c r="P62" t="inlineStr">
        <is>
          <t>Closed Won</t>
        </is>
      </c>
      <c r="Q62" t="n">
        <v>1</v>
      </c>
      <c r="R62" t="n">
        <v>460</v>
      </c>
      <c r="T62" s="9">
        <f>IFERROR(INDEX($A62:$R62,MATCH("Status",$A$1:$R$1,0)),"")&amp;""</f>
        <v/>
      </c>
      <c r="U62" s="52">
        <f>IFERROR(N(IFERROR(INDEX($A62:$R62,MATCH("Value Ex GST",$A$1:$R$1,0)),"")),0)</f>
        <v/>
      </c>
      <c r="V62" s="54">
        <f>IF(AND(T62&lt;&gt;"",IFERROR(INDEX($A62:$R62,MATCH("Value Ex GST",$A$1:$R$1,0)),"")&amp;""&lt;&gt;""),1,0)</f>
        <v/>
      </c>
      <c r="W62" s="56">
        <f>IFERROR(N(IFERROR(INDEX($A62:$R62,MATCH("Probability",$A$1:$R$1,0)),"")),0)</f>
        <v/>
      </c>
      <c r="X62" s="52">
        <f>IF(T62="Open",U62*W62,0)</f>
        <v/>
      </c>
      <c r="Y62" s="52">
        <f>IF(T62="Won",IFERROR(N(IFERROR(INDEX($A62:$R62,MATCH("Still to Invoice",$A$1:$R$1,0)),"")),0),0)</f>
        <v/>
      </c>
      <c r="Z62" s="55">
        <f>IFERROR(EOMONTH(IFERROR(INDEX($A62:$R62,MATCH("Expected Invoice Month",$A$1:$R$1,0)),""),0),"")</f>
        <v/>
      </c>
      <c r="AA62" s="9">
        <f>IFERROR(INDEX($A62:$R62,MATCH("Cost Centre",$A$1:$R$1,0)),"")&amp;""</f>
        <v/>
      </c>
      <c r="AB62" s="9">
        <f>IFERROR(INDEX($A62:$R62,MATCH("Pipeline Stage",$A$1:$R$1,0)),"")&amp;""</f>
        <v/>
      </c>
      <c r="AC62" s="9">
        <f>IFERROR(INDEX($A62:$R62,MATCH("Client",$A$1:$R$1,0)),"")&amp;""</f>
        <v/>
      </c>
      <c r="AD62" s="9">
        <f>IFERROR(INDEX($A62:$R62,MATCH("Description",$A$1:$R$1,0)),"")&amp;""</f>
        <v/>
      </c>
      <c r="AE62" s="9">
        <f>IFERROR(INDEX($A62:$R62,MATCH("Job Number",$A$1:$R$1,0)),"")&amp;""</f>
        <v/>
      </c>
      <c r="AF62" s="54">
        <f>IF(AND(T62="Open",ISNUMBER(Z62),Z62&lt;EOMONTH(set_AsAt,-1)+1),3,0)</f>
        <v/>
      </c>
      <c r="AG62" s="54">
        <f>IF(AND(T62="Open",U62&gt;0,U62&gt;=set_DealShare*SUMIFS($U$2:$U$601,$T$2:$T$601,"Open")),3,0)</f>
        <v/>
      </c>
      <c r="AH62" s="54">
        <f>IF(AND(T62="Open",U62&gt;=set_BigValue,W62&lt;=set_EarlyProb),2,0)</f>
        <v/>
      </c>
      <c r="AI62" s="54">
        <f>IF(AND(OR(T62="Open",T62="Won"),V62=0),2,0)</f>
        <v/>
      </c>
      <c r="AJ62" s="54">
        <f>IF(AND(T62="Won",Y62&gt;0.5,ISNUMBER(Z62),Z62&lt;EOMONTH(set_AsAt,-1)+1),3,0)</f>
        <v/>
      </c>
      <c r="AK62" s="54">
        <f>IF(AND(T62="Won",Y62&lt;-1),1,0)</f>
        <v/>
      </c>
      <c r="AL62" s="54">
        <f>SUM(AF62:AK62)</f>
        <v/>
      </c>
      <c r="AM62" s="9">
        <f>IF(AL62&gt;=set_ScoreHigh,"High",IF(AL62&gt;=set_ScoreMed,"Medium",IF(AL62&gt;0,"Low","OK")))</f>
        <v/>
      </c>
      <c r="AN62" s="54">
        <f>IF(OR(T62="Open",AND(T62="Won",ABS(Y62)&gt;0.5)),1,0)</f>
        <v/>
      </c>
      <c r="AO62" s="52">
        <f>IF(T62="Open",IF(V62=0,0,X62),IF(T62="Won",MAX(0,Y62),0))</f>
        <v/>
      </c>
      <c r="AP62" s="54">
        <f>IF(AN62=1,AL62*1E+9+U62+ROW()/1E+6,"")</f>
        <v/>
      </c>
      <c r="AQ62" s="9">
        <f>MID(IF(AF62&gt;0,"; Expected month passed - update Zoho","")&amp;IF(AG62&gt;0,"; "&amp;TEXT(U62/MAX(1,SUMIFS($U$2:$U$601,$T$2:$T$601,"Open")),"0%")&amp;" of open pipeline in one deal","")&amp;IF(AH62&gt;0,"; Large deal at an early stage","")&amp;IF(AI62&gt;0,"; No amount in Zoho","")&amp;IF(AJ62&gt;0,"; Won, invoice month passed, not fully invoiced","")&amp;IF(AK62&gt;0,"; Xero invoiced more than the deal value",""),3,300)</f>
        <v/>
      </c>
    </row>
    <row r="63">
      <c r="A63" s="51" t="n">
        <v>46295</v>
      </c>
      <c r="B63" t="inlineStr">
        <is>
          <t>ZOHO</t>
        </is>
      </c>
      <c r="C63" t="inlineStr">
        <is>
          <t>2608104</t>
        </is>
      </c>
      <c r="D63" t="inlineStr">
        <is>
          <t>Deloitte Australia</t>
        </is>
      </c>
      <c r="E63" t="inlineStr">
        <is>
          <t>2608104</t>
        </is>
      </c>
      <c r="F63" t="inlineStr">
        <is>
          <t>CHECK</t>
        </is>
      </c>
      <c r="G63" t="inlineStr">
        <is>
          <t>ONSITE</t>
        </is>
      </c>
      <c r="H63" t="inlineStr">
        <is>
          <t>Tech Support - ARC AI Symposium</t>
        </is>
      </c>
      <c r="I63" t="n">
        <v>638</v>
      </c>
      <c r="J63" t="inlineStr">
        <is>
          <t>Won</t>
        </is>
      </c>
      <c r="K63" s="51" t="n">
        <v>46273</v>
      </c>
      <c r="L63" s="51" t="n">
        <v>46295</v>
      </c>
      <c r="M63" t="n">
        <v>0</v>
      </c>
      <c r="N63" t="n">
        <v>638</v>
      </c>
      <c r="P63" t="inlineStr">
        <is>
          <t>Closed Won</t>
        </is>
      </c>
      <c r="Q63" t="n">
        <v>1</v>
      </c>
      <c r="R63" t="n">
        <v>638</v>
      </c>
      <c r="T63" s="9">
        <f>IFERROR(INDEX($A63:$R63,MATCH("Status",$A$1:$R$1,0)),"")&amp;""</f>
        <v/>
      </c>
      <c r="U63" s="52">
        <f>IFERROR(N(IFERROR(INDEX($A63:$R63,MATCH("Value Ex GST",$A$1:$R$1,0)),"")),0)</f>
        <v/>
      </c>
      <c r="V63" s="54">
        <f>IF(AND(T63&lt;&gt;"",IFERROR(INDEX($A63:$R63,MATCH("Value Ex GST",$A$1:$R$1,0)),"")&amp;""&lt;&gt;""),1,0)</f>
        <v/>
      </c>
      <c r="W63" s="56">
        <f>IFERROR(N(IFERROR(INDEX($A63:$R63,MATCH("Probability",$A$1:$R$1,0)),"")),0)</f>
        <v/>
      </c>
      <c r="X63" s="52">
        <f>IF(T63="Open",U63*W63,0)</f>
        <v/>
      </c>
      <c r="Y63" s="52">
        <f>IF(T63="Won",IFERROR(N(IFERROR(INDEX($A63:$R63,MATCH("Still to Invoice",$A$1:$R$1,0)),"")),0),0)</f>
        <v/>
      </c>
      <c r="Z63" s="55">
        <f>IFERROR(EOMONTH(IFERROR(INDEX($A63:$R63,MATCH("Expected Invoice Month",$A$1:$R$1,0)),""),0),"")</f>
        <v/>
      </c>
      <c r="AA63" s="9">
        <f>IFERROR(INDEX($A63:$R63,MATCH("Cost Centre",$A$1:$R$1,0)),"")&amp;""</f>
        <v/>
      </c>
      <c r="AB63" s="9">
        <f>IFERROR(INDEX($A63:$R63,MATCH("Pipeline Stage",$A$1:$R$1,0)),"")&amp;""</f>
        <v/>
      </c>
      <c r="AC63" s="9">
        <f>IFERROR(INDEX($A63:$R63,MATCH("Client",$A$1:$R$1,0)),"")&amp;""</f>
        <v/>
      </c>
      <c r="AD63" s="9">
        <f>IFERROR(INDEX($A63:$R63,MATCH("Description",$A$1:$R$1,0)),"")&amp;""</f>
        <v/>
      </c>
      <c r="AE63" s="9">
        <f>IFERROR(INDEX($A63:$R63,MATCH("Job Number",$A$1:$R$1,0)),"")&amp;""</f>
        <v/>
      </c>
      <c r="AF63" s="54">
        <f>IF(AND(T63="Open",ISNUMBER(Z63),Z63&lt;EOMONTH(set_AsAt,-1)+1),3,0)</f>
        <v/>
      </c>
      <c r="AG63" s="54">
        <f>IF(AND(T63="Open",U63&gt;0,U63&gt;=set_DealShare*SUMIFS($U$2:$U$601,$T$2:$T$601,"Open")),3,0)</f>
        <v/>
      </c>
      <c r="AH63" s="54">
        <f>IF(AND(T63="Open",U63&gt;=set_BigValue,W63&lt;=set_EarlyProb),2,0)</f>
        <v/>
      </c>
      <c r="AI63" s="54">
        <f>IF(AND(OR(T63="Open",T63="Won"),V63=0),2,0)</f>
        <v/>
      </c>
      <c r="AJ63" s="54">
        <f>IF(AND(T63="Won",Y63&gt;0.5,ISNUMBER(Z63),Z63&lt;EOMONTH(set_AsAt,-1)+1),3,0)</f>
        <v/>
      </c>
      <c r="AK63" s="54">
        <f>IF(AND(T63="Won",Y63&lt;-1),1,0)</f>
        <v/>
      </c>
      <c r="AL63" s="54">
        <f>SUM(AF63:AK63)</f>
        <v/>
      </c>
      <c r="AM63" s="9">
        <f>IF(AL63&gt;=set_ScoreHigh,"High",IF(AL63&gt;=set_ScoreMed,"Medium",IF(AL63&gt;0,"Low","OK")))</f>
        <v/>
      </c>
      <c r="AN63" s="54">
        <f>IF(OR(T63="Open",AND(T63="Won",ABS(Y63)&gt;0.5)),1,0)</f>
        <v/>
      </c>
      <c r="AO63" s="52">
        <f>IF(T63="Open",IF(V63=0,0,X63),IF(T63="Won",MAX(0,Y63),0))</f>
        <v/>
      </c>
      <c r="AP63" s="54">
        <f>IF(AN63=1,AL63*1E+9+U63+ROW()/1E+6,"")</f>
        <v/>
      </c>
      <c r="AQ63" s="9">
        <f>MID(IF(AF63&gt;0,"; Expected month passed - update Zoho","")&amp;IF(AG63&gt;0,"; "&amp;TEXT(U63/MAX(1,SUMIFS($U$2:$U$601,$T$2:$T$601,"Open")),"0%")&amp;" of open pipeline in one deal","")&amp;IF(AH63&gt;0,"; Large deal at an early stage","")&amp;IF(AI63&gt;0,"; No amount in Zoho","")&amp;IF(AJ63&gt;0,"; Won, invoice month passed, not fully invoiced","")&amp;IF(AK63&gt;0,"; Xero invoiced more than the deal value",""),3,300)</f>
        <v/>
      </c>
    </row>
    <row r="64">
      <c r="A64" s="51" t="n">
        <v>46356</v>
      </c>
      <c r="B64" t="inlineStr">
        <is>
          <t>ZOHO</t>
        </is>
      </c>
      <c r="C64" t="inlineStr">
        <is>
          <t>26011408</t>
        </is>
      </c>
      <c r="D64" t="inlineStr">
        <is>
          <t>ASX Australian Securities Exchange</t>
        </is>
      </c>
      <c r="E64" t="inlineStr">
        <is>
          <t>26011408</t>
        </is>
      </c>
      <c r="F64" t="inlineStr">
        <is>
          <t>OK</t>
        </is>
      </c>
      <c r="G64" t="inlineStr">
        <is>
          <t>PRODUCTION</t>
        </is>
      </c>
      <c r="H64" t="inlineStr">
        <is>
          <t>ASX CEO Connect 1.12.26</t>
        </is>
      </c>
      <c r="I64" t="n">
        <v>3674</v>
      </c>
      <c r="J64" t="inlineStr">
        <is>
          <t>Won</t>
        </is>
      </c>
      <c r="K64" s="51" t="n">
        <v>46350</v>
      </c>
      <c r="L64" s="51" t="n">
        <v>46387</v>
      </c>
      <c r="M64" t="n">
        <v>0</v>
      </c>
      <c r="N64" t="n">
        <v>3674</v>
      </c>
      <c r="O64" t="inlineStr">
        <is>
          <t>Invoice month taken from the event date in the deal name</t>
        </is>
      </c>
      <c r="P64" t="inlineStr">
        <is>
          <t>Closed Won</t>
        </is>
      </c>
      <c r="Q64" t="n">
        <v>1</v>
      </c>
      <c r="R64" t="n">
        <v>3674</v>
      </c>
      <c r="T64" s="9">
        <f>IFERROR(INDEX($A64:$R64,MATCH("Status",$A$1:$R$1,0)),"")&amp;""</f>
        <v/>
      </c>
      <c r="U64" s="52">
        <f>IFERROR(N(IFERROR(INDEX($A64:$R64,MATCH("Value Ex GST",$A$1:$R$1,0)),"")),0)</f>
        <v/>
      </c>
      <c r="V64" s="54">
        <f>IF(AND(T64&lt;&gt;"",IFERROR(INDEX($A64:$R64,MATCH("Value Ex GST",$A$1:$R$1,0)),"")&amp;""&lt;&gt;""),1,0)</f>
        <v/>
      </c>
      <c r="W64" s="56">
        <f>IFERROR(N(IFERROR(INDEX($A64:$R64,MATCH("Probability",$A$1:$R$1,0)),"")),0)</f>
        <v/>
      </c>
      <c r="X64" s="52">
        <f>IF(T64="Open",U64*W64,0)</f>
        <v/>
      </c>
      <c r="Y64" s="52">
        <f>IF(T64="Won",IFERROR(N(IFERROR(INDEX($A64:$R64,MATCH("Still to Invoice",$A$1:$R$1,0)),"")),0),0)</f>
        <v/>
      </c>
      <c r="Z64" s="55">
        <f>IFERROR(EOMONTH(IFERROR(INDEX($A64:$R64,MATCH("Expected Invoice Month",$A$1:$R$1,0)),""),0),"")</f>
        <v/>
      </c>
      <c r="AA64" s="9">
        <f>IFERROR(INDEX($A64:$R64,MATCH("Cost Centre",$A$1:$R$1,0)),"")&amp;""</f>
        <v/>
      </c>
      <c r="AB64" s="9">
        <f>IFERROR(INDEX($A64:$R64,MATCH("Pipeline Stage",$A$1:$R$1,0)),"")&amp;""</f>
        <v/>
      </c>
      <c r="AC64" s="9">
        <f>IFERROR(INDEX($A64:$R64,MATCH("Client",$A$1:$R$1,0)),"")&amp;""</f>
        <v/>
      </c>
      <c r="AD64" s="9">
        <f>IFERROR(INDEX($A64:$R64,MATCH("Description",$A$1:$R$1,0)),"")&amp;""</f>
        <v/>
      </c>
      <c r="AE64" s="9">
        <f>IFERROR(INDEX($A64:$R64,MATCH("Job Number",$A$1:$R$1,0)),"")&amp;""</f>
        <v/>
      </c>
      <c r="AF64" s="54">
        <f>IF(AND(T64="Open",ISNUMBER(Z64),Z64&lt;EOMONTH(set_AsAt,-1)+1),3,0)</f>
        <v/>
      </c>
      <c r="AG64" s="54">
        <f>IF(AND(T64="Open",U64&gt;0,U64&gt;=set_DealShare*SUMIFS($U$2:$U$601,$T$2:$T$601,"Open")),3,0)</f>
        <v/>
      </c>
      <c r="AH64" s="54">
        <f>IF(AND(T64="Open",U64&gt;=set_BigValue,W64&lt;=set_EarlyProb),2,0)</f>
        <v/>
      </c>
      <c r="AI64" s="54">
        <f>IF(AND(OR(T64="Open",T64="Won"),V64=0),2,0)</f>
        <v/>
      </c>
      <c r="AJ64" s="54">
        <f>IF(AND(T64="Won",Y64&gt;0.5,ISNUMBER(Z64),Z64&lt;EOMONTH(set_AsAt,-1)+1),3,0)</f>
        <v/>
      </c>
      <c r="AK64" s="54">
        <f>IF(AND(T64="Won",Y64&lt;-1),1,0)</f>
        <v/>
      </c>
      <c r="AL64" s="54">
        <f>SUM(AF64:AK64)</f>
        <v/>
      </c>
      <c r="AM64" s="9">
        <f>IF(AL64&gt;=set_ScoreHigh,"High",IF(AL64&gt;=set_ScoreMed,"Medium",IF(AL64&gt;0,"Low","OK")))</f>
        <v/>
      </c>
      <c r="AN64" s="54">
        <f>IF(OR(T64="Open",AND(T64="Won",ABS(Y64)&gt;0.5)),1,0)</f>
        <v/>
      </c>
      <c r="AO64" s="52">
        <f>IF(T64="Open",IF(V64=0,0,X64),IF(T64="Won",MAX(0,Y64),0))</f>
        <v/>
      </c>
      <c r="AP64" s="54">
        <f>IF(AN64=1,AL64*1E+9+U64+ROW()/1E+6,"")</f>
        <v/>
      </c>
      <c r="AQ64" s="9">
        <f>MID(IF(AF64&gt;0,"; Expected month passed - update Zoho","")&amp;IF(AG64&gt;0,"; "&amp;TEXT(U64/MAX(1,SUMIFS($U$2:$U$601,$T$2:$T$601,"Open")),"0%")&amp;" of open pipeline in one deal","")&amp;IF(AH64&gt;0,"; Large deal at an early stage","")&amp;IF(AI64&gt;0,"; No amount in Zoho","")&amp;IF(AJ64&gt;0,"; Won, invoice month passed, not fully invoiced","")&amp;IF(AK64&gt;0,"; Xero invoiced more than the deal value",""),3,300)</f>
        <v/>
      </c>
    </row>
    <row r="65">
      <c r="A65" s="51" t="n">
        <v>46265</v>
      </c>
      <c r="B65" t="inlineStr">
        <is>
          <t>ZOHO</t>
        </is>
      </c>
      <c r="C65" t="inlineStr">
        <is>
          <t>26062503</t>
        </is>
      </c>
      <c r="D65" t="inlineStr">
        <is>
          <t>Aware Super</t>
        </is>
      </c>
      <c r="E65" t="inlineStr">
        <is>
          <t>26062503</t>
        </is>
      </c>
      <c r="F65" t="inlineStr">
        <is>
          <t>OK</t>
        </is>
      </c>
      <c r="G65" t="inlineStr">
        <is>
          <t>INTEGRATION</t>
        </is>
      </c>
      <c r="H65" t="inlineStr">
        <is>
          <t>Aware Super | SYD 24.16 UC Engine Replacement - 26062503</t>
        </is>
      </c>
      <c r="I65" t="n">
        <v>2076</v>
      </c>
      <c r="J65" t="inlineStr">
        <is>
          <t>Won</t>
        </is>
      </c>
      <c r="K65" s="51" t="n">
        <v>46241</v>
      </c>
      <c r="L65" s="51" t="n">
        <v>46265</v>
      </c>
      <c r="M65" t="n">
        <v>671</v>
      </c>
      <c r="N65" t="n">
        <v>1405</v>
      </c>
      <c r="P65" t="inlineStr">
        <is>
          <t>Closed Won</t>
        </is>
      </c>
      <c r="Q65" t="n">
        <v>1</v>
      </c>
      <c r="R65" t="n">
        <v>2076</v>
      </c>
      <c r="T65" s="9">
        <f>IFERROR(INDEX($A65:$R65,MATCH("Status",$A$1:$R$1,0)),"")&amp;""</f>
        <v/>
      </c>
      <c r="U65" s="52">
        <f>IFERROR(N(IFERROR(INDEX($A65:$R65,MATCH("Value Ex GST",$A$1:$R$1,0)),"")),0)</f>
        <v/>
      </c>
      <c r="V65" s="54">
        <f>IF(AND(T65&lt;&gt;"",IFERROR(INDEX($A65:$R65,MATCH("Value Ex GST",$A$1:$R$1,0)),"")&amp;""&lt;&gt;""),1,0)</f>
        <v/>
      </c>
      <c r="W65" s="56">
        <f>IFERROR(N(IFERROR(INDEX($A65:$R65,MATCH("Probability",$A$1:$R$1,0)),"")),0)</f>
        <v/>
      </c>
      <c r="X65" s="52">
        <f>IF(T65="Open",U65*W65,0)</f>
        <v/>
      </c>
      <c r="Y65" s="52">
        <f>IF(T65="Won",IFERROR(N(IFERROR(INDEX($A65:$R65,MATCH("Still to Invoice",$A$1:$R$1,0)),"")),0),0)</f>
        <v/>
      </c>
      <c r="Z65" s="55">
        <f>IFERROR(EOMONTH(IFERROR(INDEX($A65:$R65,MATCH("Expected Invoice Month",$A$1:$R$1,0)),""),0),"")</f>
        <v/>
      </c>
      <c r="AA65" s="9">
        <f>IFERROR(INDEX($A65:$R65,MATCH("Cost Centre",$A$1:$R$1,0)),"")&amp;""</f>
        <v/>
      </c>
      <c r="AB65" s="9">
        <f>IFERROR(INDEX($A65:$R65,MATCH("Pipeline Stage",$A$1:$R$1,0)),"")&amp;""</f>
        <v/>
      </c>
      <c r="AC65" s="9">
        <f>IFERROR(INDEX($A65:$R65,MATCH("Client",$A$1:$R$1,0)),"")&amp;""</f>
        <v/>
      </c>
      <c r="AD65" s="9">
        <f>IFERROR(INDEX($A65:$R65,MATCH("Description",$A$1:$R$1,0)),"")&amp;""</f>
        <v/>
      </c>
      <c r="AE65" s="9">
        <f>IFERROR(INDEX($A65:$R65,MATCH("Job Number",$A$1:$R$1,0)),"")&amp;""</f>
        <v/>
      </c>
      <c r="AF65" s="54">
        <f>IF(AND(T65="Open",ISNUMBER(Z65),Z65&lt;EOMONTH(set_AsAt,-1)+1),3,0)</f>
        <v/>
      </c>
      <c r="AG65" s="54">
        <f>IF(AND(T65="Open",U65&gt;0,U65&gt;=set_DealShare*SUMIFS($U$2:$U$601,$T$2:$T$601,"Open")),3,0)</f>
        <v/>
      </c>
      <c r="AH65" s="54">
        <f>IF(AND(T65="Open",U65&gt;=set_BigValue,W65&lt;=set_EarlyProb),2,0)</f>
        <v/>
      </c>
      <c r="AI65" s="54">
        <f>IF(AND(OR(T65="Open",T65="Won"),V65=0),2,0)</f>
        <v/>
      </c>
      <c r="AJ65" s="54">
        <f>IF(AND(T65="Won",Y65&gt;0.5,ISNUMBER(Z65),Z65&lt;EOMONTH(set_AsAt,-1)+1),3,0)</f>
        <v/>
      </c>
      <c r="AK65" s="54">
        <f>IF(AND(T65="Won",Y65&lt;-1),1,0)</f>
        <v/>
      </c>
      <c r="AL65" s="54">
        <f>SUM(AF65:AK65)</f>
        <v/>
      </c>
      <c r="AM65" s="9">
        <f>IF(AL65&gt;=set_ScoreHigh,"High",IF(AL65&gt;=set_ScoreMed,"Medium",IF(AL65&gt;0,"Low","OK")))</f>
        <v/>
      </c>
      <c r="AN65" s="54">
        <f>IF(OR(T65="Open",AND(T65="Won",ABS(Y65)&gt;0.5)),1,0)</f>
        <v/>
      </c>
      <c r="AO65" s="52">
        <f>IF(T65="Open",IF(V65=0,0,X65),IF(T65="Won",MAX(0,Y65),0))</f>
        <v/>
      </c>
      <c r="AP65" s="54">
        <f>IF(AN65=1,AL65*1E+9+U65+ROW()/1E+6,"")</f>
        <v/>
      </c>
      <c r="AQ65" s="9">
        <f>MID(IF(AF65&gt;0,"; Expected month passed - update Zoho","")&amp;IF(AG65&gt;0,"; "&amp;TEXT(U65/MAX(1,SUMIFS($U$2:$U$601,$T$2:$T$601,"Open")),"0%")&amp;" of open pipeline in one deal","")&amp;IF(AH65&gt;0,"; Large deal at an early stage","")&amp;IF(AI65&gt;0,"; No amount in Zoho","")&amp;IF(AJ65&gt;0,"; Won, invoice month passed, not fully invoiced","")&amp;IF(AK65&gt;0,"; Xero invoiced more than the deal value",""),3,300)</f>
        <v/>
      </c>
    </row>
    <row r="66">
      <c r="A66" s="51" t="n">
        <v>46234</v>
      </c>
      <c r="B66" t="inlineStr">
        <is>
          <t>ZOHO</t>
        </is>
      </c>
      <c r="C66" t="inlineStr">
        <is>
          <t>2607901</t>
        </is>
      </c>
      <c r="D66" t="inlineStr">
        <is>
          <t>ON24</t>
        </is>
      </c>
      <c r="E66" t="inlineStr">
        <is>
          <t>2607901</t>
        </is>
      </c>
      <c r="F66" t="inlineStr">
        <is>
          <t>CHECK</t>
        </is>
      </c>
      <c r="G66" t="inlineStr">
        <is>
          <t>PRODUCTION</t>
        </is>
      </c>
      <c r="H66" t="inlineStr">
        <is>
          <t>ON24 - KWM Event - 23.7.26</t>
        </is>
      </c>
      <c r="I66" t="n">
        <v>2575</v>
      </c>
      <c r="J66" t="inlineStr">
        <is>
          <t>Won</t>
        </is>
      </c>
      <c r="K66" s="51" t="n">
        <v>46223</v>
      </c>
      <c r="L66" s="51" t="n">
        <v>46234</v>
      </c>
      <c r="M66" t="n">
        <v>2575</v>
      </c>
      <c r="N66" t="n">
        <v>0</v>
      </c>
      <c r="P66" t="inlineStr">
        <is>
          <t>Closed Won</t>
        </is>
      </c>
      <c r="Q66" t="n">
        <v>1</v>
      </c>
      <c r="R66" t="n">
        <v>2575</v>
      </c>
      <c r="T66" s="9">
        <f>IFERROR(INDEX($A66:$R66,MATCH("Status",$A$1:$R$1,0)),"")&amp;""</f>
        <v/>
      </c>
      <c r="U66" s="52">
        <f>IFERROR(N(IFERROR(INDEX($A66:$R66,MATCH("Value Ex GST",$A$1:$R$1,0)),"")),0)</f>
        <v/>
      </c>
      <c r="V66" s="54">
        <f>IF(AND(T66&lt;&gt;"",IFERROR(INDEX($A66:$R66,MATCH("Value Ex GST",$A$1:$R$1,0)),"")&amp;""&lt;&gt;""),1,0)</f>
        <v/>
      </c>
      <c r="W66" s="56">
        <f>IFERROR(N(IFERROR(INDEX($A66:$R66,MATCH("Probability",$A$1:$R$1,0)),"")),0)</f>
        <v/>
      </c>
      <c r="X66" s="52">
        <f>IF(T66="Open",U66*W66,0)</f>
        <v/>
      </c>
      <c r="Y66" s="52">
        <f>IF(T66="Won",IFERROR(N(IFERROR(INDEX($A66:$R66,MATCH("Still to Invoice",$A$1:$R$1,0)),"")),0),0)</f>
        <v/>
      </c>
      <c r="Z66" s="55">
        <f>IFERROR(EOMONTH(IFERROR(INDEX($A66:$R66,MATCH("Expected Invoice Month",$A$1:$R$1,0)),""),0),"")</f>
        <v/>
      </c>
      <c r="AA66" s="9">
        <f>IFERROR(INDEX($A66:$R66,MATCH("Cost Centre",$A$1:$R$1,0)),"")&amp;""</f>
        <v/>
      </c>
      <c r="AB66" s="9">
        <f>IFERROR(INDEX($A66:$R66,MATCH("Pipeline Stage",$A$1:$R$1,0)),"")&amp;""</f>
        <v/>
      </c>
      <c r="AC66" s="9">
        <f>IFERROR(INDEX($A66:$R66,MATCH("Client",$A$1:$R$1,0)),"")&amp;""</f>
        <v/>
      </c>
      <c r="AD66" s="9">
        <f>IFERROR(INDEX($A66:$R66,MATCH("Description",$A$1:$R$1,0)),"")&amp;""</f>
        <v/>
      </c>
      <c r="AE66" s="9">
        <f>IFERROR(INDEX($A66:$R66,MATCH("Job Number",$A$1:$R$1,0)),"")&amp;""</f>
        <v/>
      </c>
      <c r="AF66" s="54">
        <f>IF(AND(T66="Open",ISNUMBER(Z66),Z66&lt;EOMONTH(set_AsAt,-1)+1),3,0)</f>
        <v/>
      </c>
      <c r="AG66" s="54">
        <f>IF(AND(T66="Open",U66&gt;0,U66&gt;=set_DealShare*SUMIFS($U$2:$U$601,$T$2:$T$601,"Open")),3,0)</f>
        <v/>
      </c>
      <c r="AH66" s="54">
        <f>IF(AND(T66="Open",U66&gt;=set_BigValue,W66&lt;=set_EarlyProb),2,0)</f>
        <v/>
      </c>
      <c r="AI66" s="54">
        <f>IF(AND(OR(T66="Open",T66="Won"),V66=0),2,0)</f>
        <v/>
      </c>
      <c r="AJ66" s="54">
        <f>IF(AND(T66="Won",Y66&gt;0.5,ISNUMBER(Z66),Z66&lt;EOMONTH(set_AsAt,-1)+1),3,0)</f>
        <v/>
      </c>
      <c r="AK66" s="54">
        <f>IF(AND(T66="Won",Y66&lt;-1),1,0)</f>
        <v/>
      </c>
      <c r="AL66" s="54">
        <f>SUM(AF66:AK66)</f>
        <v/>
      </c>
      <c r="AM66" s="9">
        <f>IF(AL66&gt;=set_ScoreHigh,"High",IF(AL66&gt;=set_ScoreMed,"Medium",IF(AL66&gt;0,"Low","OK")))</f>
        <v/>
      </c>
      <c r="AN66" s="54">
        <f>IF(OR(T66="Open",AND(T66="Won",ABS(Y66)&gt;0.5)),1,0)</f>
        <v/>
      </c>
      <c r="AO66" s="52">
        <f>IF(T66="Open",IF(V66=0,0,X66),IF(T66="Won",MAX(0,Y66),0))</f>
        <v/>
      </c>
      <c r="AP66" s="54">
        <f>IF(AN66=1,AL66*1E+9+U66+ROW()/1E+6,"")</f>
        <v/>
      </c>
      <c r="AQ66" s="9">
        <f>MID(IF(AF66&gt;0,"; Expected month passed - update Zoho","")&amp;IF(AG66&gt;0,"; "&amp;TEXT(U66/MAX(1,SUMIFS($U$2:$U$601,$T$2:$T$601,"Open")),"0%")&amp;" of open pipeline in one deal","")&amp;IF(AH66&gt;0,"; Large deal at an early stage","")&amp;IF(AI66&gt;0,"; No amount in Zoho","")&amp;IF(AJ66&gt;0,"; Won, invoice month passed, not fully invoiced","")&amp;IF(AK66&gt;0,"; Xero invoiced more than the deal value",""),3,300)</f>
        <v/>
      </c>
    </row>
    <row r="67">
      <c r="A67" s="51" t="n">
        <v>46265</v>
      </c>
      <c r="B67" t="inlineStr">
        <is>
          <t>ZOHO</t>
        </is>
      </c>
      <c r="C67" t="inlineStr">
        <is>
          <t>2608502</t>
        </is>
      </c>
      <c r="D67" t="inlineStr">
        <is>
          <t>Deloitte Australia</t>
        </is>
      </c>
      <c r="E67" t="inlineStr">
        <is>
          <t>2608502</t>
        </is>
      </c>
      <c r="F67" t="inlineStr">
        <is>
          <t>CHECK</t>
        </is>
      </c>
      <c r="G67" t="inlineStr">
        <is>
          <t>ONSITE</t>
        </is>
      </c>
      <c r="H67" t="inlineStr">
        <is>
          <t>Tech Support - Change Maker</t>
        </is>
      </c>
      <c r="I67" t="n">
        <v>1275</v>
      </c>
      <c r="J67" t="inlineStr">
        <is>
          <t>Won</t>
        </is>
      </c>
      <c r="K67" s="51" t="n">
        <v>46241</v>
      </c>
      <c r="L67" s="51" t="n">
        <v>46265</v>
      </c>
      <c r="M67" t="n">
        <v>1275</v>
      </c>
      <c r="N67" t="n">
        <v>0</v>
      </c>
      <c r="P67" t="inlineStr">
        <is>
          <t>Closed Won</t>
        </is>
      </c>
      <c r="Q67" t="n">
        <v>1</v>
      </c>
      <c r="R67" t="n">
        <v>1275</v>
      </c>
      <c r="T67" s="9">
        <f>IFERROR(INDEX($A67:$R67,MATCH("Status",$A$1:$R$1,0)),"")&amp;""</f>
        <v/>
      </c>
      <c r="U67" s="52">
        <f>IFERROR(N(IFERROR(INDEX($A67:$R67,MATCH("Value Ex GST",$A$1:$R$1,0)),"")),0)</f>
        <v/>
      </c>
      <c r="V67" s="54">
        <f>IF(AND(T67&lt;&gt;"",IFERROR(INDEX($A67:$R67,MATCH("Value Ex GST",$A$1:$R$1,0)),"")&amp;""&lt;&gt;""),1,0)</f>
        <v/>
      </c>
      <c r="W67" s="56">
        <f>IFERROR(N(IFERROR(INDEX($A67:$R67,MATCH("Probability",$A$1:$R$1,0)),"")),0)</f>
        <v/>
      </c>
      <c r="X67" s="52">
        <f>IF(T67="Open",U67*W67,0)</f>
        <v/>
      </c>
      <c r="Y67" s="52">
        <f>IF(T67="Won",IFERROR(N(IFERROR(INDEX($A67:$R67,MATCH("Still to Invoice",$A$1:$R$1,0)),"")),0),0)</f>
        <v/>
      </c>
      <c r="Z67" s="55">
        <f>IFERROR(EOMONTH(IFERROR(INDEX($A67:$R67,MATCH("Expected Invoice Month",$A$1:$R$1,0)),""),0),"")</f>
        <v/>
      </c>
      <c r="AA67" s="9">
        <f>IFERROR(INDEX($A67:$R67,MATCH("Cost Centre",$A$1:$R$1,0)),"")&amp;""</f>
        <v/>
      </c>
      <c r="AB67" s="9">
        <f>IFERROR(INDEX($A67:$R67,MATCH("Pipeline Stage",$A$1:$R$1,0)),"")&amp;""</f>
        <v/>
      </c>
      <c r="AC67" s="9">
        <f>IFERROR(INDEX($A67:$R67,MATCH("Client",$A$1:$R$1,0)),"")&amp;""</f>
        <v/>
      </c>
      <c r="AD67" s="9">
        <f>IFERROR(INDEX($A67:$R67,MATCH("Description",$A$1:$R$1,0)),"")&amp;""</f>
        <v/>
      </c>
      <c r="AE67" s="9">
        <f>IFERROR(INDEX($A67:$R67,MATCH("Job Number",$A$1:$R$1,0)),"")&amp;""</f>
        <v/>
      </c>
      <c r="AF67" s="54">
        <f>IF(AND(T67="Open",ISNUMBER(Z67),Z67&lt;EOMONTH(set_AsAt,-1)+1),3,0)</f>
        <v/>
      </c>
      <c r="AG67" s="54">
        <f>IF(AND(T67="Open",U67&gt;0,U67&gt;=set_DealShare*SUMIFS($U$2:$U$601,$T$2:$T$601,"Open")),3,0)</f>
        <v/>
      </c>
      <c r="AH67" s="54">
        <f>IF(AND(T67="Open",U67&gt;=set_BigValue,W67&lt;=set_EarlyProb),2,0)</f>
        <v/>
      </c>
      <c r="AI67" s="54">
        <f>IF(AND(OR(T67="Open",T67="Won"),V67=0),2,0)</f>
        <v/>
      </c>
      <c r="AJ67" s="54">
        <f>IF(AND(T67="Won",Y67&gt;0.5,ISNUMBER(Z67),Z67&lt;EOMONTH(set_AsAt,-1)+1),3,0)</f>
        <v/>
      </c>
      <c r="AK67" s="54">
        <f>IF(AND(T67="Won",Y67&lt;-1),1,0)</f>
        <v/>
      </c>
      <c r="AL67" s="54">
        <f>SUM(AF67:AK67)</f>
        <v/>
      </c>
      <c r="AM67" s="9">
        <f>IF(AL67&gt;=set_ScoreHigh,"High",IF(AL67&gt;=set_ScoreMed,"Medium",IF(AL67&gt;0,"Low","OK")))</f>
        <v/>
      </c>
      <c r="AN67" s="54">
        <f>IF(OR(T67="Open",AND(T67="Won",ABS(Y67)&gt;0.5)),1,0)</f>
        <v/>
      </c>
      <c r="AO67" s="52">
        <f>IF(T67="Open",IF(V67=0,0,X67),IF(T67="Won",MAX(0,Y67),0))</f>
        <v/>
      </c>
      <c r="AP67" s="54">
        <f>IF(AN67=1,AL67*1E+9+U67+ROW()/1E+6,"")</f>
        <v/>
      </c>
      <c r="AQ67" s="9">
        <f>MID(IF(AF67&gt;0,"; Expected month passed - update Zoho","")&amp;IF(AG67&gt;0,"; "&amp;TEXT(U67/MAX(1,SUMIFS($U$2:$U$601,$T$2:$T$601,"Open")),"0%")&amp;" of open pipeline in one deal","")&amp;IF(AH67&gt;0,"; Large deal at an early stage","")&amp;IF(AI67&gt;0,"; No amount in Zoho","")&amp;IF(AJ67&gt;0,"; Won, invoice month passed, not fully invoiced","")&amp;IF(AK67&gt;0,"; Xero invoiced more than the deal value",""),3,300)</f>
        <v/>
      </c>
    </row>
    <row r="68">
      <c r="A68" s="51" t="n">
        <v>46295</v>
      </c>
      <c r="B68" t="inlineStr">
        <is>
          <t>ZOHO</t>
        </is>
      </c>
      <c r="C68" t="inlineStr">
        <is>
          <t>26082401</t>
        </is>
      </c>
      <c r="D68" t="inlineStr">
        <is>
          <t>CSIRO</t>
        </is>
      </c>
      <c r="E68" t="inlineStr">
        <is>
          <t>26082401</t>
        </is>
      </c>
      <c r="F68" t="inlineStr">
        <is>
          <t>OK</t>
        </is>
      </c>
      <c r="G68" t="inlineStr">
        <is>
          <t>INTEGRATION</t>
        </is>
      </c>
      <c r="H68" t="inlineStr">
        <is>
          <t>HP-CSIRO | Phone Mod x3 - 26082401</t>
        </is>
      </c>
      <c r="I68" t="n">
        <v>1792</v>
      </c>
      <c r="J68" t="inlineStr">
        <is>
          <t>Won</t>
        </is>
      </c>
      <c r="K68" s="51" t="n">
        <v>46281</v>
      </c>
      <c r="L68" s="51" t="n">
        <v>46295</v>
      </c>
      <c r="M68" t="n">
        <v>1792</v>
      </c>
      <c r="N68" t="n">
        <v>0</v>
      </c>
      <c r="P68" t="inlineStr">
        <is>
          <t>Closed Won</t>
        </is>
      </c>
      <c r="Q68" t="n">
        <v>1</v>
      </c>
      <c r="R68" t="n">
        <v>1792</v>
      </c>
      <c r="T68" s="9">
        <f>IFERROR(INDEX($A68:$R68,MATCH("Status",$A$1:$R$1,0)),"")&amp;""</f>
        <v/>
      </c>
      <c r="U68" s="52">
        <f>IFERROR(N(IFERROR(INDEX($A68:$R68,MATCH("Value Ex GST",$A$1:$R$1,0)),"")),0)</f>
        <v/>
      </c>
      <c r="V68" s="54">
        <f>IF(AND(T68&lt;&gt;"",IFERROR(INDEX($A68:$R68,MATCH("Value Ex GST",$A$1:$R$1,0)),"")&amp;""&lt;&gt;""),1,0)</f>
        <v/>
      </c>
      <c r="W68" s="56">
        <f>IFERROR(N(IFERROR(INDEX($A68:$R68,MATCH("Probability",$A$1:$R$1,0)),"")),0)</f>
        <v/>
      </c>
      <c r="X68" s="52">
        <f>IF(T68="Open",U68*W68,0)</f>
        <v/>
      </c>
      <c r="Y68" s="52">
        <f>IF(T68="Won",IFERROR(N(IFERROR(INDEX($A68:$R68,MATCH("Still to Invoice",$A$1:$R$1,0)),"")),0),0)</f>
        <v/>
      </c>
      <c r="Z68" s="55">
        <f>IFERROR(EOMONTH(IFERROR(INDEX($A68:$R68,MATCH("Expected Invoice Month",$A$1:$R$1,0)),""),0),"")</f>
        <v/>
      </c>
      <c r="AA68" s="9">
        <f>IFERROR(INDEX($A68:$R68,MATCH("Cost Centre",$A$1:$R$1,0)),"")&amp;""</f>
        <v/>
      </c>
      <c r="AB68" s="9">
        <f>IFERROR(INDEX($A68:$R68,MATCH("Pipeline Stage",$A$1:$R$1,0)),"")&amp;""</f>
        <v/>
      </c>
      <c r="AC68" s="9">
        <f>IFERROR(INDEX($A68:$R68,MATCH("Client",$A$1:$R$1,0)),"")&amp;""</f>
        <v/>
      </c>
      <c r="AD68" s="9">
        <f>IFERROR(INDEX($A68:$R68,MATCH("Description",$A$1:$R$1,0)),"")&amp;""</f>
        <v/>
      </c>
      <c r="AE68" s="9">
        <f>IFERROR(INDEX($A68:$R68,MATCH("Job Number",$A$1:$R$1,0)),"")&amp;""</f>
        <v/>
      </c>
      <c r="AF68" s="54">
        <f>IF(AND(T68="Open",ISNUMBER(Z68),Z68&lt;EOMONTH(set_AsAt,-1)+1),3,0)</f>
        <v/>
      </c>
      <c r="AG68" s="54">
        <f>IF(AND(T68="Open",U68&gt;0,U68&gt;=set_DealShare*SUMIFS($U$2:$U$601,$T$2:$T$601,"Open")),3,0)</f>
        <v/>
      </c>
      <c r="AH68" s="54">
        <f>IF(AND(T68="Open",U68&gt;=set_BigValue,W68&lt;=set_EarlyProb),2,0)</f>
        <v/>
      </c>
      <c r="AI68" s="54">
        <f>IF(AND(OR(T68="Open",T68="Won"),V68=0),2,0)</f>
        <v/>
      </c>
      <c r="AJ68" s="54">
        <f>IF(AND(T68="Won",Y68&gt;0.5,ISNUMBER(Z68),Z68&lt;EOMONTH(set_AsAt,-1)+1),3,0)</f>
        <v/>
      </c>
      <c r="AK68" s="54">
        <f>IF(AND(T68="Won",Y68&lt;-1),1,0)</f>
        <v/>
      </c>
      <c r="AL68" s="54">
        <f>SUM(AF68:AK68)</f>
        <v/>
      </c>
      <c r="AM68" s="9">
        <f>IF(AL68&gt;=set_ScoreHigh,"High",IF(AL68&gt;=set_ScoreMed,"Medium",IF(AL68&gt;0,"Low","OK")))</f>
        <v/>
      </c>
      <c r="AN68" s="54">
        <f>IF(OR(T68="Open",AND(T68="Won",ABS(Y68)&gt;0.5)),1,0)</f>
        <v/>
      </c>
      <c r="AO68" s="52">
        <f>IF(T68="Open",IF(V68=0,0,X68),IF(T68="Won",MAX(0,Y68),0))</f>
        <v/>
      </c>
      <c r="AP68" s="54">
        <f>IF(AN68=1,AL68*1E+9+U68+ROW()/1E+6,"")</f>
        <v/>
      </c>
      <c r="AQ68" s="9">
        <f>MID(IF(AF68&gt;0,"; Expected month passed - update Zoho","")&amp;IF(AG68&gt;0,"; "&amp;TEXT(U68/MAX(1,SUMIFS($U$2:$U$601,$T$2:$T$601,"Open")),"0%")&amp;" of open pipeline in one deal","")&amp;IF(AH68&gt;0,"; Large deal at an early stage","")&amp;IF(AI68&gt;0,"; No amount in Zoho","")&amp;IF(AJ68&gt;0,"; Won, invoice month passed, not fully invoiced","")&amp;IF(AK68&gt;0,"; Xero invoiced more than the deal value",""),3,300)</f>
        <v/>
      </c>
    </row>
    <row r="69">
      <c r="A69" s="51" t="n">
        <v>46295</v>
      </c>
      <c r="B69" t="inlineStr">
        <is>
          <t>ZOHO</t>
        </is>
      </c>
      <c r="C69" t="inlineStr">
        <is>
          <t>2608105</t>
        </is>
      </c>
      <c r="D69" t="inlineStr">
        <is>
          <t>Deloitte Australia</t>
        </is>
      </c>
      <c r="E69" t="inlineStr">
        <is>
          <t>2608105</t>
        </is>
      </c>
      <c r="F69" t="inlineStr">
        <is>
          <t>CHECK</t>
        </is>
      </c>
      <c r="G69" t="inlineStr">
        <is>
          <t>ONSITE</t>
        </is>
      </c>
      <c r="H69" t="inlineStr">
        <is>
          <t>Tech Support - Next Gen</t>
        </is>
      </c>
      <c r="I69" t="n">
        <v>765</v>
      </c>
      <c r="J69" t="inlineStr">
        <is>
          <t>Won</t>
        </is>
      </c>
      <c r="K69" s="51" t="n">
        <v>46290</v>
      </c>
      <c r="L69" s="51" t="n">
        <v>46295</v>
      </c>
      <c r="M69" t="n">
        <v>0</v>
      </c>
      <c r="N69" t="n">
        <v>765</v>
      </c>
      <c r="P69" t="inlineStr">
        <is>
          <t>Closed Won</t>
        </is>
      </c>
      <c r="Q69" t="n">
        <v>1</v>
      </c>
      <c r="R69" t="n">
        <v>765</v>
      </c>
      <c r="T69" s="9">
        <f>IFERROR(INDEX($A69:$R69,MATCH("Status",$A$1:$R$1,0)),"")&amp;""</f>
        <v/>
      </c>
      <c r="U69" s="52">
        <f>IFERROR(N(IFERROR(INDEX($A69:$R69,MATCH("Value Ex GST",$A$1:$R$1,0)),"")),0)</f>
        <v/>
      </c>
      <c r="V69" s="54">
        <f>IF(AND(T69&lt;&gt;"",IFERROR(INDEX($A69:$R69,MATCH("Value Ex GST",$A$1:$R$1,0)),"")&amp;""&lt;&gt;""),1,0)</f>
        <v/>
      </c>
      <c r="W69" s="56">
        <f>IFERROR(N(IFERROR(INDEX($A69:$R69,MATCH("Probability",$A$1:$R$1,0)),"")),0)</f>
        <v/>
      </c>
      <c r="X69" s="52">
        <f>IF(T69="Open",U69*W69,0)</f>
        <v/>
      </c>
      <c r="Y69" s="52">
        <f>IF(T69="Won",IFERROR(N(IFERROR(INDEX($A69:$R69,MATCH("Still to Invoice",$A$1:$R$1,0)),"")),0),0)</f>
        <v/>
      </c>
      <c r="Z69" s="55">
        <f>IFERROR(EOMONTH(IFERROR(INDEX($A69:$R69,MATCH("Expected Invoice Month",$A$1:$R$1,0)),""),0),"")</f>
        <v/>
      </c>
      <c r="AA69" s="9">
        <f>IFERROR(INDEX($A69:$R69,MATCH("Cost Centre",$A$1:$R$1,0)),"")&amp;""</f>
        <v/>
      </c>
      <c r="AB69" s="9">
        <f>IFERROR(INDEX($A69:$R69,MATCH("Pipeline Stage",$A$1:$R$1,0)),"")&amp;""</f>
        <v/>
      </c>
      <c r="AC69" s="9">
        <f>IFERROR(INDEX($A69:$R69,MATCH("Client",$A$1:$R$1,0)),"")&amp;""</f>
        <v/>
      </c>
      <c r="AD69" s="9">
        <f>IFERROR(INDEX($A69:$R69,MATCH("Description",$A$1:$R$1,0)),"")&amp;""</f>
        <v/>
      </c>
      <c r="AE69" s="9">
        <f>IFERROR(INDEX($A69:$R69,MATCH("Job Number",$A$1:$R$1,0)),"")&amp;""</f>
        <v/>
      </c>
      <c r="AF69" s="54">
        <f>IF(AND(T69="Open",ISNUMBER(Z69),Z69&lt;EOMONTH(set_AsAt,-1)+1),3,0)</f>
        <v/>
      </c>
      <c r="AG69" s="54">
        <f>IF(AND(T69="Open",U69&gt;0,U69&gt;=set_DealShare*SUMIFS($U$2:$U$601,$T$2:$T$601,"Open")),3,0)</f>
        <v/>
      </c>
      <c r="AH69" s="54">
        <f>IF(AND(T69="Open",U69&gt;=set_BigValue,W69&lt;=set_EarlyProb),2,0)</f>
        <v/>
      </c>
      <c r="AI69" s="54">
        <f>IF(AND(OR(T69="Open",T69="Won"),V69=0),2,0)</f>
        <v/>
      </c>
      <c r="AJ69" s="54">
        <f>IF(AND(T69="Won",Y69&gt;0.5,ISNUMBER(Z69),Z69&lt;EOMONTH(set_AsAt,-1)+1),3,0)</f>
        <v/>
      </c>
      <c r="AK69" s="54">
        <f>IF(AND(T69="Won",Y69&lt;-1),1,0)</f>
        <v/>
      </c>
      <c r="AL69" s="54">
        <f>SUM(AF69:AK69)</f>
        <v/>
      </c>
      <c r="AM69" s="9">
        <f>IF(AL69&gt;=set_ScoreHigh,"High",IF(AL69&gt;=set_ScoreMed,"Medium",IF(AL69&gt;0,"Low","OK")))</f>
        <v/>
      </c>
      <c r="AN69" s="54">
        <f>IF(OR(T69="Open",AND(T69="Won",ABS(Y69)&gt;0.5)),1,0)</f>
        <v/>
      </c>
      <c r="AO69" s="52">
        <f>IF(T69="Open",IF(V69=0,0,X69),IF(T69="Won",MAX(0,Y69),0))</f>
        <v/>
      </c>
      <c r="AP69" s="54">
        <f>IF(AN69=1,AL69*1E+9+U69+ROW()/1E+6,"")</f>
        <v/>
      </c>
      <c r="AQ69" s="9">
        <f>MID(IF(AF69&gt;0,"; Expected month passed - update Zoho","")&amp;IF(AG69&gt;0,"; "&amp;TEXT(U69/MAX(1,SUMIFS($U$2:$U$601,$T$2:$T$601,"Open")),"0%")&amp;" of open pipeline in one deal","")&amp;IF(AH69&gt;0,"; Large deal at an early stage","")&amp;IF(AI69&gt;0,"; No amount in Zoho","")&amp;IF(AJ69&gt;0,"; Won, invoice month passed, not fully invoiced","")&amp;IF(AK69&gt;0,"; Xero invoiced more than the deal value",""),3,300)</f>
        <v/>
      </c>
    </row>
    <row r="70">
      <c r="A70" s="51" t="n">
        <v>46234</v>
      </c>
      <c r="B70" t="inlineStr">
        <is>
          <t>ZOHO</t>
        </is>
      </c>
      <c r="C70" t="inlineStr">
        <is>
          <t>26063002</t>
        </is>
      </c>
      <c r="D70" t="inlineStr">
        <is>
          <t>CEO Institute</t>
        </is>
      </c>
      <c r="E70" t="inlineStr">
        <is>
          <t>26063002</t>
        </is>
      </c>
      <c r="F70" t="inlineStr">
        <is>
          <t>OK</t>
        </is>
      </c>
      <c r="G70" t="inlineStr">
        <is>
          <t>PRODUCTION</t>
        </is>
      </c>
      <c r="H70" t="inlineStr">
        <is>
          <t>CEOi - CEO Connect - 11.8.26</t>
        </is>
      </c>
      <c r="I70" t="n">
        <v>8260</v>
      </c>
      <c r="J70" t="inlineStr">
        <is>
          <t>Won</t>
        </is>
      </c>
      <c r="K70" s="51" t="n">
        <v>46232</v>
      </c>
      <c r="L70" s="51" t="n">
        <v>46265</v>
      </c>
      <c r="M70" t="n">
        <v>8260.35</v>
      </c>
      <c r="N70" t="n">
        <v>-0.350000000000364</v>
      </c>
      <c r="O70" t="inlineStr">
        <is>
          <t>Invoice month taken from the event date in the deal name</t>
        </is>
      </c>
      <c r="P70" t="inlineStr">
        <is>
          <t>Closed Won</t>
        </is>
      </c>
      <c r="Q70" t="n">
        <v>1</v>
      </c>
      <c r="R70" t="n">
        <v>8260</v>
      </c>
      <c r="T70" s="9">
        <f>IFERROR(INDEX($A70:$R70,MATCH("Status",$A$1:$R$1,0)),"")&amp;""</f>
        <v/>
      </c>
      <c r="U70" s="52">
        <f>IFERROR(N(IFERROR(INDEX($A70:$R70,MATCH("Value Ex GST",$A$1:$R$1,0)),"")),0)</f>
        <v/>
      </c>
      <c r="V70" s="54">
        <f>IF(AND(T70&lt;&gt;"",IFERROR(INDEX($A70:$R70,MATCH("Value Ex GST",$A$1:$R$1,0)),"")&amp;""&lt;&gt;""),1,0)</f>
        <v/>
      </c>
      <c r="W70" s="56">
        <f>IFERROR(N(IFERROR(INDEX($A70:$R70,MATCH("Probability",$A$1:$R$1,0)),"")),0)</f>
        <v/>
      </c>
      <c r="X70" s="52">
        <f>IF(T70="Open",U70*W70,0)</f>
        <v/>
      </c>
      <c r="Y70" s="52">
        <f>IF(T70="Won",IFERROR(N(IFERROR(INDEX($A70:$R70,MATCH("Still to Invoice",$A$1:$R$1,0)),"")),0),0)</f>
        <v/>
      </c>
      <c r="Z70" s="55">
        <f>IFERROR(EOMONTH(IFERROR(INDEX($A70:$R70,MATCH("Expected Invoice Month",$A$1:$R$1,0)),""),0),"")</f>
        <v/>
      </c>
      <c r="AA70" s="9">
        <f>IFERROR(INDEX($A70:$R70,MATCH("Cost Centre",$A$1:$R$1,0)),"")&amp;""</f>
        <v/>
      </c>
      <c r="AB70" s="9">
        <f>IFERROR(INDEX($A70:$R70,MATCH("Pipeline Stage",$A$1:$R$1,0)),"")&amp;""</f>
        <v/>
      </c>
      <c r="AC70" s="9">
        <f>IFERROR(INDEX($A70:$R70,MATCH("Client",$A$1:$R$1,0)),"")&amp;""</f>
        <v/>
      </c>
      <c r="AD70" s="9">
        <f>IFERROR(INDEX($A70:$R70,MATCH("Description",$A$1:$R$1,0)),"")&amp;""</f>
        <v/>
      </c>
      <c r="AE70" s="9">
        <f>IFERROR(INDEX($A70:$R70,MATCH("Job Number",$A$1:$R$1,0)),"")&amp;""</f>
        <v/>
      </c>
      <c r="AF70" s="54">
        <f>IF(AND(T70="Open",ISNUMBER(Z70),Z70&lt;EOMONTH(set_AsAt,-1)+1),3,0)</f>
        <v/>
      </c>
      <c r="AG70" s="54">
        <f>IF(AND(T70="Open",U70&gt;0,U70&gt;=set_DealShare*SUMIFS($U$2:$U$601,$T$2:$T$601,"Open")),3,0)</f>
        <v/>
      </c>
      <c r="AH70" s="54">
        <f>IF(AND(T70="Open",U70&gt;=set_BigValue,W70&lt;=set_EarlyProb),2,0)</f>
        <v/>
      </c>
      <c r="AI70" s="54">
        <f>IF(AND(OR(T70="Open",T70="Won"),V70=0),2,0)</f>
        <v/>
      </c>
      <c r="AJ70" s="54">
        <f>IF(AND(T70="Won",Y70&gt;0.5,ISNUMBER(Z70),Z70&lt;EOMONTH(set_AsAt,-1)+1),3,0)</f>
        <v/>
      </c>
      <c r="AK70" s="54">
        <f>IF(AND(T70="Won",Y70&lt;-1),1,0)</f>
        <v/>
      </c>
      <c r="AL70" s="54">
        <f>SUM(AF70:AK70)</f>
        <v/>
      </c>
      <c r="AM70" s="9">
        <f>IF(AL70&gt;=set_ScoreHigh,"High",IF(AL70&gt;=set_ScoreMed,"Medium",IF(AL70&gt;0,"Low","OK")))</f>
        <v/>
      </c>
      <c r="AN70" s="54">
        <f>IF(OR(T70="Open",AND(T70="Won",ABS(Y70)&gt;0.5)),1,0)</f>
        <v/>
      </c>
      <c r="AO70" s="52">
        <f>IF(T70="Open",IF(V70=0,0,X70),IF(T70="Won",MAX(0,Y70),0))</f>
        <v/>
      </c>
      <c r="AP70" s="54">
        <f>IF(AN70=1,AL70*1E+9+U70+ROW()/1E+6,"")</f>
        <v/>
      </c>
      <c r="AQ70" s="9">
        <f>MID(IF(AF70&gt;0,"; Expected month passed - update Zoho","")&amp;IF(AG70&gt;0,"; "&amp;TEXT(U70/MAX(1,SUMIFS($U$2:$U$601,$T$2:$T$601,"Open")),"0%")&amp;" of open pipeline in one deal","")&amp;IF(AH70&gt;0,"; Large deal at an early stage","")&amp;IF(AI70&gt;0,"; No amount in Zoho","")&amp;IF(AJ70&gt;0,"; Won, invoice month passed, not fully invoiced","")&amp;IF(AK70&gt;0,"; Xero invoiced more than the deal value",""),3,300)</f>
        <v/>
      </c>
    </row>
    <row r="71">
      <c r="A71" s="51" t="n">
        <v>46234</v>
      </c>
      <c r="B71" t="inlineStr">
        <is>
          <t>ZOHO</t>
        </is>
      </c>
      <c r="C71" t="inlineStr">
        <is>
          <t>26061704</t>
        </is>
      </c>
      <c r="D71" t="inlineStr">
        <is>
          <t>Ricoh</t>
        </is>
      </c>
      <c r="E71" t="inlineStr">
        <is>
          <t>26061704</t>
        </is>
      </c>
      <c r="F71" t="inlineStr">
        <is>
          <t>CHECK</t>
        </is>
      </c>
      <c r="G71" t="inlineStr">
        <is>
          <t>ONSITE</t>
        </is>
      </c>
      <c r="H71" t="inlineStr">
        <is>
          <t>Ricoh / Qantas Extension (2 Months)</t>
        </is>
      </c>
      <c r="I71" t="n">
        <v>23721</v>
      </c>
      <c r="J71" t="inlineStr">
        <is>
          <t>Won</t>
        </is>
      </c>
      <c r="K71" s="51" t="n">
        <v>46204</v>
      </c>
      <c r="L71" s="51" t="n">
        <v>46234</v>
      </c>
      <c r="M71" t="n">
        <v>0</v>
      </c>
      <c r="N71" t="n">
        <v>23721</v>
      </c>
      <c r="P71" t="inlineStr">
        <is>
          <t>Closed Won</t>
        </is>
      </c>
      <c r="Q71" t="n">
        <v>1</v>
      </c>
      <c r="R71" t="n">
        <v>23721</v>
      </c>
      <c r="T71" s="9">
        <f>IFERROR(INDEX($A71:$R71,MATCH("Status",$A$1:$R$1,0)),"")&amp;""</f>
        <v/>
      </c>
      <c r="U71" s="52">
        <f>IFERROR(N(IFERROR(INDEX($A71:$R71,MATCH("Value Ex GST",$A$1:$R$1,0)),"")),0)</f>
        <v/>
      </c>
      <c r="V71" s="54">
        <f>IF(AND(T71&lt;&gt;"",IFERROR(INDEX($A71:$R71,MATCH("Value Ex GST",$A$1:$R$1,0)),"")&amp;""&lt;&gt;""),1,0)</f>
        <v/>
      </c>
      <c r="W71" s="56">
        <f>IFERROR(N(IFERROR(INDEX($A71:$R71,MATCH("Probability",$A$1:$R$1,0)),"")),0)</f>
        <v/>
      </c>
      <c r="X71" s="52">
        <f>IF(T71="Open",U71*W71,0)</f>
        <v/>
      </c>
      <c r="Y71" s="52">
        <f>IF(T71="Won",IFERROR(N(IFERROR(INDEX($A71:$R71,MATCH("Still to Invoice",$A$1:$R$1,0)),"")),0),0)</f>
        <v/>
      </c>
      <c r="Z71" s="55">
        <f>IFERROR(EOMONTH(IFERROR(INDEX($A71:$R71,MATCH("Expected Invoice Month",$A$1:$R$1,0)),""),0),"")</f>
        <v/>
      </c>
      <c r="AA71" s="9">
        <f>IFERROR(INDEX($A71:$R71,MATCH("Cost Centre",$A$1:$R$1,0)),"")&amp;""</f>
        <v/>
      </c>
      <c r="AB71" s="9">
        <f>IFERROR(INDEX($A71:$R71,MATCH("Pipeline Stage",$A$1:$R$1,0)),"")&amp;""</f>
        <v/>
      </c>
      <c r="AC71" s="9">
        <f>IFERROR(INDEX($A71:$R71,MATCH("Client",$A$1:$R$1,0)),"")&amp;""</f>
        <v/>
      </c>
      <c r="AD71" s="9">
        <f>IFERROR(INDEX($A71:$R71,MATCH("Description",$A$1:$R$1,0)),"")&amp;""</f>
        <v/>
      </c>
      <c r="AE71" s="9">
        <f>IFERROR(INDEX($A71:$R71,MATCH("Job Number",$A$1:$R$1,0)),"")&amp;""</f>
        <v/>
      </c>
      <c r="AF71" s="54">
        <f>IF(AND(T71="Open",ISNUMBER(Z71),Z71&lt;EOMONTH(set_AsAt,-1)+1),3,0)</f>
        <v/>
      </c>
      <c r="AG71" s="54">
        <f>IF(AND(T71="Open",U71&gt;0,U71&gt;=set_DealShare*SUMIFS($U$2:$U$601,$T$2:$T$601,"Open")),3,0)</f>
        <v/>
      </c>
      <c r="AH71" s="54">
        <f>IF(AND(T71="Open",U71&gt;=set_BigValue,W71&lt;=set_EarlyProb),2,0)</f>
        <v/>
      </c>
      <c r="AI71" s="54">
        <f>IF(AND(OR(T71="Open",T71="Won"),V71=0),2,0)</f>
        <v/>
      </c>
      <c r="AJ71" s="54">
        <f>IF(AND(T71="Won",Y71&gt;0.5,ISNUMBER(Z71),Z71&lt;EOMONTH(set_AsAt,-1)+1),3,0)</f>
        <v/>
      </c>
      <c r="AK71" s="54">
        <f>IF(AND(T71="Won",Y71&lt;-1),1,0)</f>
        <v/>
      </c>
      <c r="AL71" s="54">
        <f>SUM(AF71:AK71)</f>
        <v/>
      </c>
      <c r="AM71" s="9">
        <f>IF(AL71&gt;=set_ScoreHigh,"High",IF(AL71&gt;=set_ScoreMed,"Medium",IF(AL71&gt;0,"Low","OK")))</f>
        <v/>
      </c>
      <c r="AN71" s="54">
        <f>IF(OR(T71="Open",AND(T71="Won",ABS(Y71)&gt;0.5)),1,0)</f>
        <v/>
      </c>
      <c r="AO71" s="52">
        <f>IF(T71="Open",IF(V71=0,0,X71),IF(T71="Won",MAX(0,Y71),0))</f>
        <v/>
      </c>
      <c r="AP71" s="54">
        <f>IF(AN71=1,AL71*1E+9+U71+ROW()/1E+6,"")</f>
        <v/>
      </c>
      <c r="AQ71" s="9">
        <f>MID(IF(AF71&gt;0,"; Expected month passed - update Zoho","")&amp;IF(AG71&gt;0,"; "&amp;TEXT(U71/MAX(1,SUMIFS($U$2:$U$601,$T$2:$T$601,"Open")),"0%")&amp;" of open pipeline in one deal","")&amp;IF(AH71&gt;0,"; Large deal at an early stage","")&amp;IF(AI71&gt;0,"; No amount in Zoho","")&amp;IF(AJ71&gt;0,"; Won, invoice month passed, not fully invoiced","")&amp;IF(AK71&gt;0,"; Xero invoiced more than the deal value",""),3,300)</f>
        <v/>
      </c>
    </row>
    <row r="72">
      <c r="A72" s="51" t="n">
        <v>46234</v>
      </c>
      <c r="B72" t="inlineStr">
        <is>
          <t>ZOHO</t>
        </is>
      </c>
      <c r="C72" t="inlineStr">
        <is>
          <t>26071404</t>
        </is>
      </c>
      <c r="D72" t="inlineStr">
        <is>
          <t>Elkiem</t>
        </is>
      </c>
      <c r="E72" t="inlineStr">
        <is>
          <t>26071404</t>
        </is>
      </c>
      <c r="F72" t="inlineStr">
        <is>
          <t>OK</t>
        </is>
      </c>
      <c r="G72" t="inlineStr">
        <is>
          <t>PRODUCTION</t>
        </is>
      </c>
      <c r="H72" t="inlineStr">
        <is>
          <t>Elkiem - Studio Support - 9.12.26</t>
        </is>
      </c>
      <c r="I72" t="n">
        <v>380</v>
      </c>
      <c r="J72" t="inlineStr">
        <is>
          <t>Won</t>
        </is>
      </c>
      <c r="K72" s="51" t="n">
        <v>46217</v>
      </c>
      <c r="L72" s="51" t="n">
        <v>46387</v>
      </c>
      <c r="M72" t="n">
        <v>0</v>
      </c>
      <c r="N72" t="n">
        <v>380</v>
      </c>
      <c r="O72" t="inlineStr">
        <is>
          <t>Invoice month taken from the event date in the deal name</t>
        </is>
      </c>
      <c r="P72" t="inlineStr">
        <is>
          <t>Closed Won</t>
        </is>
      </c>
      <c r="Q72" t="n">
        <v>1</v>
      </c>
      <c r="R72" t="n">
        <v>380</v>
      </c>
      <c r="T72" s="9">
        <f>IFERROR(INDEX($A72:$R72,MATCH("Status",$A$1:$R$1,0)),"")&amp;""</f>
        <v/>
      </c>
      <c r="U72" s="52">
        <f>IFERROR(N(IFERROR(INDEX($A72:$R72,MATCH("Value Ex GST",$A$1:$R$1,0)),"")),0)</f>
        <v/>
      </c>
      <c r="V72" s="54">
        <f>IF(AND(T72&lt;&gt;"",IFERROR(INDEX($A72:$R72,MATCH("Value Ex GST",$A$1:$R$1,0)),"")&amp;""&lt;&gt;""),1,0)</f>
        <v/>
      </c>
      <c r="W72" s="56">
        <f>IFERROR(N(IFERROR(INDEX($A72:$R72,MATCH("Probability",$A$1:$R$1,0)),"")),0)</f>
        <v/>
      </c>
      <c r="X72" s="52">
        <f>IF(T72="Open",U72*W72,0)</f>
        <v/>
      </c>
      <c r="Y72" s="52">
        <f>IF(T72="Won",IFERROR(N(IFERROR(INDEX($A72:$R72,MATCH("Still to Invoice",$A$1:$R$1,0)),"")),0),0)</f>
        <v/>
      </c>
      <c r="Z72" s="55">
        <f>IFERROR(EOMONTH(IFERROR(INDEX($A72:$R72,MATCH("Expected Invoice Month",$A$1:$R$1,0)),""),0),"")</f>
        <v/>
      </c>
      <c r="AA72" s="9">
        <f>IFERROR(INDEX($A72:$R72,MATCH("Cost Centre",$A$1:$R$1,0)),"")&amp;""</f>
        <v/>
      </c>
      <c r="AB72" s="9">
        <f>IFERROR(INDEX($A72:$R72,MATCH("Pipeline Stage",$A$1:$R$1,0)),"")&amp;""</f>
        <v/>
      </c>
      <c r="AC72" s="9">
        <f>IFERROR(INDEX($A72:$R72,MATCH("Client",$A$1:$R$1,0)),"")&amp;""</f>
        <v/>
      </c>
      <c r="AD72" s="9">
        <f>IFERROR(INDEX($A72:$R72,MATCH("Description",$A$1:$R$1,0)),"")&amp;""</f>
        <v/>
      </c>
      <c r="AE72" s="9">
        <f>IFERROR(INDEX($A72:$R72,MATCH("Job Number",$A$1:$R$1,0)),"")&amp;""</f>
        <v/>
      </c>
      <c r="AF72" s="54">
        <f>IF(AND(T72="Open",ISNUMBER(Z72),Z72&lt;EOMONTH(set_AsAt,-1)+1),3,0)</f>
        <v/>
      </c>
      <c r="AG72" s="54">
        <f>IF(AND(T72="Open",U72&gt;0,U72&gt;=set_DealShare*SUMIFS($U$2:$U$601,$T$2:$T$601,"Open")),3,0)</f>
        <v/>
      </c>
      <c r="AH72" s="54">
        <f>IF(AND(T72="Open",U72&gt;=set_BigValue,W72&lt;=set_EarlyProb),2,0)</f>
        <v/>
      </c>
      <c r="AI72" s="54">
        <f>IF(AND(OR(T72="Open",T72="Won"),V72=0),2,0)</f>
        <v/>
      </c>
      <c r="AJ72" s="54">
        <f>IF(AND(T72="Won",Y72&gt;0.5,ISNUMBER(Z72),Z72&lt;EOMONTH(set_AsAt,-1)+1),3,0)</f>
        <v/>
      </c>
      <c r="AK72" s="54">
        <f>IF(AND(T72="Won",Y72&lt;-1),1,0)</f>
        <v/>
      </c>
      <c r="AL72" s="54">
        <f>SUM(AF72:AK72)</f>
        <v/>
      </c>
      <c r="AM72" s="9">
        <f>IF(AL72&gt;=set_ScoreHigh,"High",IF(AL72&gt;=set_ScoreMed,"Medium",IF(AL72&gt;0,"Low","OK")))</f>
        <v/>
      </c>
      <c r="AN72" s="54">
        <f>IF(OR(T72="Open",AND(T72="Won",ABS(Y72)&gt;0.5)),1,0)</f>
        <v/>
      </c>
      <c r="AO72" s="52">
        <f>IF(T72="Open",IF(V72=0,0,X72),IF(T72="Won",MAX(0,Y72),0))</f>
        <v/>
      </c>
      <c r="AP72" s="54">
        <f>IF(AN72=1,AL72*1E+9+U72+ROW()/1E+6,"")</f>
        <v/>
      </c>
      <c r="AQ72" s="9">
        <f>MID(IF(AF72&gt;0,"; Expected month passed - update Zoho","")&amp;IF(AG72&gt;0,"; "&amp;TEXT(U72/MAX(1,SUMIFS($U$2:$U$601,$T$2:$T$601,"Open")),"0%")&amp;" of open pipeline in one deal","")&amp;IF(AH72&gt;0,"; Large deal at an early stage","")&amp;IF(AI72&gt;0,"; No amount in Zoho","")&amp;IF(AJ72&gt;0,"; Won, invoice month passed, not fully invoiced","")&amp;IF(AK72&gt;0,"; Xero invoiced more than the deal value",""),3,300)</f>
        <v/>
      </c>
    </row>
    <row r="73">
      <c r="A73" s="51" t="n">
        <v>46234</v>
      </c>
      <c r="B73" t="inlineStr">
        <is>
          <t>ZOHO</t>
        </is>
      </c>
      <c r="C73" t="inlineStr">
        <is>
          <t>26071901</t>
        </is>
      </c>
      <c r="D73" t="inlineStr">
        <is>
          <t>Elkiem</t>
        </is>
      </c>
      <c r="E73" t="inlineStr">
        <is>
          <t>26071901</t>
        </is>
      </c>
      <c r="F73" t="inlineStr">
        <is>
          <t>OK</t>
        </is>
      </c>
      <c r="G73" t="inlineStr">
        <is>
          <t>PRODUCTION</t>
        </is>
      </c>
      <c r="H73" t="inlineStr">
        <is>
          <t>Elkiem - Studio Support - 11.8.26</t>
        </is>
      </c>
      <c r="I73" t="n">
        <v>380</v>
      </c>
      <c r="J73" t="inlineStr">
        <is>
          <t>Won</t>
        </is>
      </c>
      <c r="K73" s="51" t="n">
        <v>46229</v>
      </c>
      <c r="L73" s="51" t="n">
        <v>46265</v>
      </c>
      <c r="M73" t="n">
        <v>380</v>
      </c>
      <c r="N73" t="n">
        <v>0</v>
      </c>
      <c r="O73" t="inlineStr">
        <is>
          <t>Invoice month taken from the event date in the deal name</t>
        </is>
      </c>
      <c r="P73" t="inlineStr">
        <is>
          <t>Closed Won</t>
        </is>
      </c>
      <c r="Q73" t="n">
        <v>1</v>
      </c>
      <c r="R73" t="n">
        <v>380</v>
      </c>
      <c r="T73" s="9">
        <f>IFERROR(INDEX($A73:$R73,MATCH("Status",$A$1:$R$1,0)),"")&amp;""</f>
        <v/>
      </c>
      <c r="U73" s="52">
        <f>IFERROR(N(IFERROR(INDEX($A73:$R73,MATCH("Value Ex GST",$A$1:$R$1,0)),"")),0)</f>
        <v/>
      </c>
      <c r="V73" s="54">
        <f>IF(AND(T73&lt;&gt;"",IFERROR(INDEX($A73:$R73,MATCH("Value Ex GST",$A$1:$R$1,0)),"")&amp;""&lt;&gt;""),1,0)</f>
        <v/>
      </c>
      <c r="W73" s="56">
        <f>IFERROR(N(IFERROR(INDEX($A73:$R73,MATCH("Probability",$A$1:$R$1,0)),"")),0)</f>
        <v/>
      </c>
      <c r="X73" s="52">
        <f>IF(T73="Open",U73*W73,0)</f>
        <v/>
      </c>
      <c r="Y73" s="52">
        <f>IF(T73="Won",IFERROR(N(IFERROR(INDEX($A73:$R73,MATCH("Still to Invoice",$A$1:$R$1,0)),"")),0),0)</f>
        <v/>
      </c>
      <c r="Z73" s="55">
        <f>IFERROR(EOMONTH(IFERROR(INDEX($A73:$R73,MATCH("Expected Invoice Month",$A$1:$R$1,0)),""),0),"")</f>
        <v/>
      </c>
      <c r="AA73" s="9">
        <f>IFERROR(INDEX($A73:$R73,MATCH("Cost Centre",$A$1:$R$1,0)),"")&amp;""</f>
        <v/>
      </c>
      <c r="AB73" s="9">
        <f>IFERROR(INDEX($A73:$R73,MATCH("Pipeline Stage",$A$1:$R$1,0)),"")&amp;""</f>
        <v/>
      </c>
      <c r="AC73" s="9">
        <f>IFERROR(INDEX($A73:$R73,MATCH("Client",$A$1:$R$1,0)),"")&amp;""</f>
        <v/>
      </c>
      <c r="AD73" s="9">
        <f>IFERROR(INDEX($A73:$R73,MATCH("Description",$A$1:$R$1,0)),"")&amp;""</f>
        <v/>
      </c>
      <c r="AE73" s="9">
        <f>IFERROR(INDEX($A73:$R73,MATCH("Job Number",$A$1:$R$1,0)),"")&amp;""</f>
        <v/>
      </c>
      <c r="AF73" s="54">
        <f>IF(AND(T73="Open",ISNUMBER(Z73),Z73&lt;EOMONTH(set_AsAt,-1)+1),3,0)</f>
        <v/>
      </c>
      <c r="AG73" s="54">
        <f>IF(AND(T73="Open",U73&gt;0,U73&gt;=set_DealShare*SUMIFS($U$2:$U$601,$T$2:$T$601,"Open")),3,0)</f>
        <v/>
      </c>
      <c r="AH73" s="54">
        <f>IF(AND(T73="Open",U73&gt;=set_BigValue,W73&lt;=set_EarlyProb),2,0)</f>
        <v/>
      </c>
      <c r="AI73" s="54">
        <f>IF(AND(OR(T73="Open",T73="Won"),V73=0),2,0)</f>
        <v/>
      </c>
      <c r="AJ73" s="54">
        <f>IF(AND(T73="Won",Y73&gt;0.5,ISNUMBER(Z73),Z73&lt;EOMONTH(set_AsAt,-1)+1),3,0)</f>
        <v/>
      </c>
      <c r="AK73" s="54">
        <f>IF(AND(T73="Won",Y73&lt;-1),1,0)</f>
        <v/>
      </c>
      <c r="AL73" s="54">
        <f>SUM(AF73:AK73)</f>
        <v/>
      </c>
      <c r="AM73" s="9">
        <f>IF(AL73&gt;=set_ScoreHigh,"High",IF(AL73&gt;=set_ScoreMed,"Medium",IF(AL73&gt;0,"Low","OK")))</f>
        <v/>
      </c>
      <c r="AN73" s="54">
        <f>IF(OR(T73="Open",AND(T73="Won",ABS(Y73)&gt;0.5)),1,0)</f>
        <v/>
      </c>
      <c r="AO73" s="52">
        <f>IF(T73="Open",IF(V73=0,0,X73),IF(T73="Won",MAX(0,Y73),0))</f>
        <v/>
      </c>
      <c r="AP73" s="54">
        <f>IF(AN73=1,AL73*1E+9+U73+ROW()/1E+6,"")</f>
        <v/>
      </c>
      <c r="AQ73" s="9">
        <f>MID(IF(AF73&gt;0,"; Expected month passed - update Zoho","")&amp;IF(AG73&gt;0,"; "&amp;TEXT(U73/MAX(1,SUMIFS($U$2:$U$601,$T$2:$T$601,"Open")),"0%")&amp;" of open pipeline in one deal","")&amp;IF(AH73&gt;0,"; Large deal at an early stage","")&amp;IF(AI73&gt;0,"; No amount in Zoho","")&amp;IF(AJ73&gt;0,"; Won, invoice month passed, not fully invoiced","")&amp;IF(AK73&gt;0,"; Xero invoiced more than the deal value",""),3,300)</f>
        <v/>
      </c>
    </row>
    <row r="74">
      <c r="A74" s="51" t="n">
        <v>46356</v>
      </c>
      <c r="B74" t="inlineStr">
        <is>
          <t>ZOHO</t>
        </is>
      </c>
      <c r="C74" t="inlineStr">
        <is>
          <t>26081302</t>
        </is>
      </c>
      <c r="D74" t="inlineStr">
        <is>
          <t>uBank</t>
        </is>
      </c>
      <c r="E74" t="inlineStr">
        <is>
          <t>26081302</t>
        </is>
      </c>
      <c r="F74" t="inlineStr">
        <is>
          <t>OK</t>
        </is>
      </c>
      <c r="G74" t="inlineStr">
        <is>
          <t>PRODUCTION</t>
        </is>
      </c>
      <c r="H74" t="inlineStr">
        <is>
          <t>Ubank - Volunteer Day - 11.11.26</t>
        </is>
      </c>
      <c r="I74" t="n">
        <v>9879</v>
      </c>
      <c r="J74" t="inlineStr">
        <is>
          <t>Won</t>
        </is>
      </c>
      <c r="K74" s="51" t="n">
        <v>46337</v>
      </c>
      <c r="L74" s="51" t="n">
        <v>46356</v>
      </c>
      <c r="M74" t="n">
        <v>0</v>
      </c>
      <c r="N74" t="n">
        <v>9879</v>
      </c>
      <c r="P74" t="inlineStr">
        <is>
          <t>Closed Won</t>
        </is>
      </c>
      <c r="Q74" t="n">
        <v>1</v>
      </c>
      <c r="R74" t="n">
        <v>9879</v>
      </c>
      <c r="T74" s="9">
        <f>IFERROR(INDEX($A74:$R74,MATCH("Status",$A$1:$R$1,0)),"")&amp;""</f>
        <v/>
      </c>
      <c r="U74" s="52">
        <f>IFERROR(N(IFERROR(INDEX($A74:$R74,MATCH("Value Ex GST",$A$1:$R$1,0)),"")),0)</f>
        <v/>
      </c>
      <c r="V74" s="54">
        <f>IF(AND(T74&lt;&gt;"",IFERROR(INDEX($A74:$R74,MATCH("Value Ex GST",$A$1:$R$1,0)),"")&amp;""&lt;&gt;""),1,0)</f>
        <v/>
      </c>
      <c r="W74" s="56">
        <f>IFERROR(N(IFERROR(INDEX($A74:$R74,MATCH("Probability",$A$1:$R$1,0)),"")),0)</f>
        <v/>
      </c>
      <c r="X74" s="52">
        <f>IF(T74="Open",U74*W74,0)</f>
        <v/>
      </c>
      <c r="Y74" s="52">
        <f>IF(T74="Won",IFERROR(N(IFERROR(INDEX($A74:$R74,MATCH("Still to Invoice",$A$1:$R$1,0)),"")),0),0)</f>
        <v/>
      </c>
      <c r="Z74" s="55">
        <f>IFERROR(EOMONTH(IFERROR(INDEX($A74:$R74,MATCH("Expected Invoice Month",$A$1:$R$1,0)),""),0),"")</f>
        <v/>
      </c>
      <c r="AA74" s="9">
        <f>IFERROR(INDEX($A74:$R74,MATCH("Cost Centre",$A$1:$R$1,0)),"")&amp;""</f>
        <v/>
      </c>
      <c r="AB74" s="9">
        <f>IFERROR(INDEX($A74:$R74,MATCH("Pipeline Stage",$A$1:$R$1,0)),"")&amp;""</f>
        <v/>
      </c>
      <c r="AC74" s="9">
        <f>IFERROR(INDEX($A74:$R74,MATCH("Client",$A$1:$R$1,0)),"")&amp;""</f>
        <v/>
      </c>
      <c r="AD74" s="9">
        <f>IFERROR(INDEX($A74:$R74,MATCH("Description",$A$1:$R$1,0)),"")&amp;""</f>
        <v/>
      </c>
      <c r="AE74" s="9">
        <f>IFERROR(INDEX($A74:$R74,MATCH("Job Number",$A$1:$R$1,0)),"")&amp;""</f>
        <v/>
      </c>
      <c r="AF74" s="54">
        <f>IF(AND(T74="Open",ISNUMBER(Z74),Z74&lt;EOMONTH(set_AsAt,-1)+1),3,0)</f>
        <v/>
      </c>
      <c r="AG74" s="54">
        <f>IF(AND(T74="Open",U74&gt;0,U74&gt;=set_DealShare*SUMIFS($U$2:$U$601,$T$2:$T$601,"Open")),3,0)</f>
        <v/>
      </c>
      <c r="AH74" s="54">
        <f>IF(AND(T74="Open",U74&gt;=set_BigValue,W74&lt;=set_EarlyProb),2,0)</f>
        <v/>
      </c>
      <c r="AI74" s="54">
        <f>IF(AND(OR(T74="Open",T74="Won"),V74=0),2,0)</f>
        <v/>
      </c>
      <c r="AJ74" s="54">
        <f>IF(AND(T74="Won",Y74&gt;0.5,ISNUMBER(Z74),Z74&lt;EOMONTH(set_AsAt,-1)+1),3,0)</f>
        <v/>
      </c>
      <c r="AK74" s="54">
        <f>IF(AND(T74="Won",Y74&lt;-1),1,0)</f>
        <v/>
      </c>
      <c r="AL74" s="54">
        <f>SUM(AF74:AK74)</f>
        <v/>
      </c>
      <c r="AM74" s="9">
        <f>IF(AL74&gt;=set_ScoreHigh,"High",IF(AL74&gt;=set_ScoreMed,"Medium",IF(AL74&gt;0,"Low","OK")))</f>
        <v/>
      </c>
      <c r="AN74" s="54">
        <f>IF(OR(T74="Open",AND(T74="Won",ABS(Y74)&gt;0.5)),1,0)</f>
        <v/>
      </c>
      <c r="AO74" s="52">
        <f>IF(T74="Open",IF(V74=0,0,X74),IF(T74="Won",MAX(0,Y74),0))</f>
        <v/>
      </c>
      <c r="AP74" s="54">
        <f>IF(AN74=1,AL74*1E+9+U74+ROW()/1E+6,"")</f>
        <v/>
      </c>
      <c r="AQ74" s="9">
        <f>MID(IF(AF74&gt;0,"; Expected month passed - update Zoho","")&amp;IF(AG74&gt;0,"; "&amp;TEXT(U74/MAX(1,SUMIFS($U$2:$U$601,$T$2:$T$601,"Open")),"0%")&amp;" of open pipeline in one deal","")&amp;IF(AH74&gt;0,"; Large deal at an early stage","")&amp;IF(AI74&gt;0,"; No amount in Zoho","")&amp;IF(AJ74&gt;0,"; Won, invoice month passed, not fully invoiced","")&amp;IF(AK74&gt;0,"; Xero invoiced more than the deal value",""),3,300)</f>
        <v/>
      </c>
    </row>
    <row r="75">
      <c r="A75" s="51" t="n">
        <v>46295</v>
      </c>
      <c r="B75" t="inlineStr">
        <is>
          <t>ZOHO</t>
        </is>
      </c>
      <c r="C75" t="inlineStr">
        <is>
          <t>26022601</t>
        </is>
      </c>
      <c r="D75" t="inlineStr">
        <is>
          <t>Australian Retirement Trust</t>
        </is>
      </c>
      <c r="E75" t="inlineStr">
        <is>
          <t>26022601</t>
        </is>
      </c>
      <c r="F75" t="inlineStr">
        <is>
          <t>OK</t>
        </is>
      </c>
      <c r="G75" t="inlineStr">
        <is>
          <t>PRODUCTION</t>
        </is>
      </c>
      <c r="H75" t="inlineStr">
        <is>
          <t>ART - AMM Briefing Notes System - 25.11.26</t>
        </is>
      </c>
      <c r="I75" t="n">
        <v>19965</v>
      </c>
      <c r="J75" t="inlineStr">
        <is>
          <t>Won</t>
        </is>
      </c>
      <c r="K75" s="51" t="n">
        <v>46266</v>
      </c>
      <c r="L75" s="51" t="n">
        <v>46356</v>
      </c>
      <c r="M75" t="n">
        <v>0</v>
      </c>
      <c r="N75" t="n">
        <v>19965</v>
      </c>
      <c r="O75" t="inlineStr">
        <is>
          <t>Invoice month taken from the event date in the deal name</t>
        </is>
      </c>
      <c r="P75" t="inlineStr">
        <is>
          <t>Closed Won</t>
        </is>
      </c>
      <c r="Q75" t="n">
        <v>1</v>
      </c>
      <c r="R75" t="n">
        <v>19965</v>
      </c>
      <c r="T75" s="9">
        <f>IFERROR(INDEX($A75:$R75,MATCH("Status",$A$1:$R$1,0)),"")&amp;""</f>
        <v/>
      </c>
      <c r="U75" s="52">
        <f>IFERROR(N(IFERROR(INDEX($A75:$R75,MATCH("Value Ex GST",$A$1:$R$1,0)),"")),0)</f>
        <v/>
      </c>
      <c r="V75" s="54">
        <f>IF(AND(T75&lt;&gt;"",IFERROR(INDEX($A75:$R75,MATCH("Value Ex GST",$A$1:$R$1,0)),"")&amp;""&lt;&gt;""),1,0)</f>
        <v/>
      </c>
      <c r="W75" s="56">
        <f>IFERROR(N(IFERROR(INDEX($A75:$R75,MATCH("Probability",$A$1:$R$1,0)),"")),0)</f>
        <v/>
      </c>
      <c r="X75" s="52">
        <f>IF(T75="Open",U75*W75,0)</f>
        <v/>
      </c>
      <c r="Y75" s="52">
        <f>IF(T75="Won",IFERROR(N(IFERROR(INDEX($A75:$R75,MATCH("Still to Invoice",$A$1:$R$1,0)),"")),0),0)</f>
        <v/>
      </c>
      <c r="Z75" s="55">
        <f>IFERROR(EOMONTH(IFERROR(INDEX($A75:$R75,MATCH("Expected Invoice Month",$A$1:$R$1,0)),""),0),"")</f>
        <v/>
      </c>
      <c r="AA75" s="9">
        <f>IFERROR(INDEX($A75:$R75,MATCH("Cost Centre",$A$1:$R$1,0)),"")&amp;""</f>
        <v/>
      </c>
      <c r="AB75" s="9">
        <f>IFERROR(INDEX($A75:$R75,MATCH("Pipeline Stage",$A$1:$R$1,0)),"")&amp;""</f>
        <v/>
      </c>
      <c r="AC75" s="9">
        <f>IFERROR(INDEX($A75:$R75,MATCH("Client",$A$1:$R$1,0)),"")&amp;""</f>
        <v/>
      </c>
      <c r="AD75" s="9">
        <f>IFERROR(INDEX($A75:$R75,MATCH("Description",$A$1:$R$1,0)),"")&amp;""</f>
        <v/>
      </c>
      <c r="AE75" s="9">
        <f>IFERROR(INDEX($A75:$R75,MATCH("Job Number",$A$1:$R$1,0)),"")&amp;""</f>
        <v/>
      </c>
      <c r="AF75" s="54">
        <f>IF(AND(T75="Open",ISNUMBER(Z75),Z75&lt;EOMONTH(set_AsAt,-1)+1),3,0)</f>
        <v/>
      </c>
      <c r="AG75" s="54">
        <f>IF(AND(T75="Open",U75&gt;0,U75&gt;=set_DealShare*SUMIFS($U$2:$U$601,$T$2:$T$601,"Open")),3,0)</f>
        <v/>
      </c>
      <c r="AH75" s="54">
        <f>IF(AND(T75="Open",U75&gt;=set_BigValue,W75&lt;=set_EarlyProb),2,0)</f>
        <v/>
      </c>
      <c r="AI75" s="54">
        <f>IF(AND(OR(T75="Open",T75="Won"),V75=0),2,0)</f>
        <v/>
      </c>
      <c r="AJ75" s="54">
        <f>IF(AND(T75="Won",Y75&gt;0.5,ISNUMBER(Z75),Z75&lt;EOMONTH(set_AsAt,-1)+1),3,0)</f>
        <v/>
      </c>
      <c r="AK75" s="54">
        <f>IF(AND(T75="Won",Y75&lt;-1),1,0)</f>
        <v/>
      </c>
      <c r="AL75" s="54">
        <f>SUM(AF75:AK75)</f>
        <v/>
      </c>
      <c r="AM75" s="9">
        <f>IF(AL75&gt;=set_ScoreHigh,"High",IF(AL75&gt;=set_ScoreMed,"Medium",IF(AL75&gt;0,"Low","OK")))</f>
        <v/>
      </c>
      <c r="AN75" s="54">
        <f>IF(OR(T75="Open",AND(T75="Won",ABS(Y75)&gt;0.5)),1,0)</f>
        <v/>
      </c>
      <c r="AO75" s="52">
        <f>IF(T75="Open",IF(V75=0,0,X75),IF(T75="Won",MAX(0,Y75),0))</f>
        <v/>
      </c>
      <c r="AP75" s="54">
        <f>IF(AN75=1,AL75*1E+9+U75+ROW()/1E+6,"")</f>
        <v/>
      </c>
      <c r="AQ75" s="9">
        <f>MID(IF(AF75&gt;0,"; Expected month passed - update Zoho","")&amp;IF(AG75&gt;0,"; "&amp;TEXT(U75/MAX(1,SUMIFS($U$2:$U$601,$T$2:$T$601,"Open")),"0%")&amp;" of open pipeline in one deal","")&amp;IF(AH75&gt;0,"; Large deal at an early stage","")&amp;IF(AI75&gt;0,"; No amount in Zoho","")&amp;IF(AJ75&gt;0,"; Won, invoice month passed, not fully invoiced","")&amp;IF(AK75&gt;0,"; Xero invoiced more than the deal value",""),3,300)</f>
        <v/>
      </c>
    </row>
    <row r="76">
      <c r="A76" s="51" t="n">
        <v>46234</v>
      </c>
      <c r="B76" t="inlineStr">
        <is>
          <t>ZOHO</t>
        </is>
      </c>
      <c r="C76" t="inlineStr">
        <is>
          <t>26071405</t>
        </is>
      </c>
      <c r="D76" t="inlineStr">
        <is>
          <t>PWC</t>
        </is>
      </c>
      <c r="E76" t="inlineStr">
        <is>
          <t>26071405</t>
        </is>
      </c>
      <c r="F76" t="inlineStr">
        <is>
          <t>OK</t>
        </is>
      </c>
      <c r="G76" t="inlineStr">
        <is>
          <t>ONSITE</t>
        </is>
      </c>
      <c r="H76" t="inlineStr">
        <is>
          <t>PWC - Event Technician - 29.7.26</t>
        </is>
      </c>
      <c r="I76" t="n">
        <v>340</v>
      </c>
      <c r="J76" t="inlineStr">
        <is>
          <t>Won</t>
        </is>
      </c>
      <c r="K76" s="51" t="n">
        <v>46227</v>
      </c>
      <c r="L76" s="51" t="n">
        <v>46234</v>
      </c>
      <c r="M76" t="n">
        <v>0</v>
      </c>
      <c r="N76" t="n">
        <v>340</v>
      </c>
      <c r="P76" t="inlineStr">
        <is>
          <t>Closed Won</t>
        </is>
      </c>
      <c r="Q76" t="n">
        <v>1</v>
      </c>
      <c r="R76" t="n">
        <v>340</v>
      </c>
      <c r="T76" s="9">
        <f>IFERROR(INDEX($A76:$R76,MATCH("Status",$A$1:$R$1,0)),"")&amp;""</f>
        <v/>
      </c>
      <c r="U76" s="52">
        <f>IFERROR(N(IFERROR(INDEX($A76:$R76,MATCH("Value Ex GST",$A$1:$R$1,0)),"")),0)</f>
        <v/>
      </c>
      <c r="V76" s="54">
        <f>IF(AND(T76&lt;&gt;"",IFERROR(INDEX($A76:$R76,MATCH("Value Ex GST",$A$1:$R$1,0)),"")&amp;""&lt;&gt;""),1,0)</f>
        <v/>
      </c>
      <c r="W76" s="56">
        <f>IFERROR(N(IFERROR(INDEX($A76:$R76,MATCH("Probability",$A$1:$R$1,0)),"")),0)</f>
        <v/>
      </c>
      <c r="X76" s="52">
        <f>IF(T76="Open",U76*W76,0)</f>
        <v/>
      </c>
      <c r="Y76" s="52">
        <f>IF(T76="Won",IFERROR(N(IFERROR(INDEX($A76:$R76,MATCH("Still to Invoice",$A$1:$R$1,0)),"")),0),0)</f>
        <v/>
      </c>
      <c r="Z76" s="55">
        <f>IFERROR(EOMONTH(IFERROR(INDEX($A76:$R76,MATCH("Expected Invoice Month",$A$1:$R$1,0)),""),0),"")</f>
        <v/>
      </c>
      <c r="AA76" s="9">
        <f>IFERROR(INDEX($A76:$R76,MATCH("Cost Centre",$A$1:$R$1,0)),"")&amp;""</f>
        <v/>
      </c>
      <c r="AB76" s="9">
        <f>IFERROR(INDEX($A76:$R76,MATCH("Pipeline Stage",$A$1:$R$1,0)),"")&amp;""</f>
        <v/>
      </c>
      <c r="AC76" s="9">
        <f>IFERROR(INDEX($A76:$R76,MATCH("Client",$A$1:$R$1,0)),"")&amp;""</f>
        <v/>
      </c>
      <c r="AD76" s="9">
        <f>IFERROR(INDEX($A76:$R76,MATCH("Description",$A$1:$R$1,0)),"")&amp;""</f>
        <v/>
      </c>
      <c r="AE76" s="9">
        <f>IFERROR(INDEX($A76:$R76,MATCH("Job Number",$A$1:$R$1,0)),"")&amp;""</f>
        <v/>
      </c>
      <c r="AF76" s="54">
        <f>IF(AND(T76="Open",ISNUMBER(Z76),Z76&lt;EOMONTH(set_AsAt,-1)+1),3,0)</f>
        <v/>
      </c>
      <c r="AG76" s="54">
        <f>IF(AND(T76="Open",U76&gt;0,U76&gt;=set_DealShare*SUMIFS($U$2:$U$601,$T$2:$T$601,"Open")),3,0)</f>
        <v/>
      </c>
      <c r="AH76" s="54">
        <f>IF(AND(T76="Open",U76&gt;=set_BigValue,W76&lt;=set_EarlyProb),2,0)</f>
        <v/>
      </c>
      <c r="AI76" s="54">
        <f>IF(AND(OR(T76="Open",T76="Won"),V76=0),2,0)</f>
        <v/>
      </c>
      <c r="AJ76" s="54">
        <f>IF(AND(T76="Won",Y76&gt;0.5,ISNUMBER(Z76),Z76&lt;EOMONTH(set_AsAt,-1)+1),3,0)</f>
        <v/>
      </c>
      <c r="AK76" s="54">
        <f>IF(AND(T76="Won",Y76&lt;-1),1,0)</f>
        <v/>
      </c>
      <c r="AL76" s="54">
        <f>SUM(AF76:AK76)</f>
        <v/>
      </c>
      <c r="AM76" s="9">
        <f>IF(AL76&gt;=set_ScoreHigh,"High",IF(AL76&gt;=set_ScoreMed,"Medium",IF(AL76&gt;0,"Low","OK")))</f>
        <v/>
      </c>
      <c r="AN76" s="54">
        <f>IF(OR(T76="Open",AND(T76="Won",ABS(Y76)&gt;0.5)),1,0)</f>
        <v/>
      </c>
      <c r="AO76" s="52">
        <f>IF(T76="Open",IF(V76=0,0,X76),IF(T76="Won",MAX(0,Y76),0))</f>
        <v/>
      </c>
      <c r="AP76" s="54">
        <f>IF(AN76=1,AL76*1E+9+U76+ROW()/1E+6,"")</f>
        <v/>
      </c>
      <c r="AQ76" s="9">
        <f>MID(IF(AF76&gt;0,"; Expected month passed - update Zoho","")&amp;IF(AG76&gt;0,"; "&amp;TEXT(U76/MAX(1,SUMIFS($U$2:$U$601,$T$2:$T$601,"Open")),"0%")&amp;" of open pipeline in one deal","")&amp;IF(AH76&gt;0,"; Large deal at an early stage","")&amp;IF(AI76&gt;0,"; No amount in Zoho","")&amp;IF(AJ76&gt;0,"; Won, invoice month passed, not fully invoiced","")&amp;IF(AK76&gt;0,"; Xero invoiced more than the deal value",""),3,300)</f>
        <v/>
      </c>
    </row>
    <row r="77">
      <c r="A77" s="51" t="n">
        <v>46234</v>
      </c>
      <c r="B77" t="inlineStr">
        <is>
          <t>ZOHO</t>
        </is>
      </c>
      <c r="C77" t="inlineStr">
        <is>
          <t>26073105</t>
        </is>
      </c>
      <c r="D77" t="inlineStr">
        <is>
          <t>Elkiem</t>
        </is>
      </c>
      <c r="E77" t="inlineStr">
        <is>
          <t>26073105</t>
        </is>
      </c>
      <c r="F77" t="inlineStr">
        <is>
          <t>OK</t>
        </is>
      </c>
      <c r="G77" t="inlineStr">
        <is>
          <t>PRODUCTION</t>
        </is>
      </c>
      <c r="H77" t="inlineStr">
        <is>
          <t>Elkiem - Studio Support - 25.8.26</t>
        </is>
      </c>
      <c r="I77" t="n">
        <v>380</v>
      </c>
      <c r="J77" t="inlineStr">
        <is>
          <t>Won</t>
        </is>
      </c>
      <c r="K77" s="51" t="n">
        <v>46233</v>
      </c>
      <c r="L77" s="51" t="n">
        <v>46265</v>
      </c>
      <c r="M77" t="n">
        <v>380</v>
      </c>
      <c r="N77" t="n">
        <v>0</v>
      </c>
      <c r="O77" t="inlineStr">
        <is>
          <t>Invoice month taken from the event date in the deal name</t>
        </is>
      </c>
      <c r="P77" t="inlineStr">
        <is>
          <t>Closed Won</t>
        </is>
      </c>
      <c r="Q77" t="n">
        <v>1</v>
      </c>
      <c r="R77" t="n">
        <v>380</v>
      </c>
      <c r="T77" s="9">
        <f>IFERROR(INDEX($A77:$R77,MATCH("Status",$A$1:$R$1,0)),"")&amp;""</f>
        <v/>
      </c>
      <c r="U77" s="52">
        <f>IFERROR(N(IFERROR(INDEX($A77:$R77,MATCH("Value Ex GST",$A$1:$R$1,0)),"")),0)</f>
        <v/>
      </c>
      <c r="V77" s="54">
        <f>IF(AND(T77&lt;&gt;"",IFERROR(INDEX($A77:$R77,MATCH("Value Ex GST",$A$1:$R$1,0)),"")&amp;""&lt;&gt;""),1,0)</f>
        <v/>
      </c>
      <c r="W77" s="56">
        <f>IFERROR(N(IFERROR(INDEX($A77:$R77,MATCH("Probability",$A$1:$R$1,0)),"")),0)</f>
        <v/>
      </c>
      <c r="X77" s="52">
        <f>IF(T77="Open",U77*W77,0)</f>
        <v/>
      </c>
      <c r="Y77" s="52">
        <f>IF(T77="Won",IFERROR(N(IFERROR(INDEX($A77:$R77,MATCH("Still to Invoice",$A$1:$R$1,0)),"")),0),0)</f>
        <v/>
      </c>
      <c r="Z77" s="55">
        <f>IFERROR(EOMONTH(IFERROR(INDEX($A77:$R77,MATCH("Expected Invoice Month",$A$1:$R$1,0)),""),0),"")</f>
        <v/>
      </c>
      <c r="AA77" s="9">
        <f>IFERROR(INDEX($A77:$R77,MATCH("Cost Centre",$A$1:$R$1,0)),"")&amp;""</f>
        <v/>
      </c>
      <c r="AB77" s="9">
        <f>IFERROR(INDEX($A77:$R77,MATCH("Pipeline Stage",$A$1:$R$1,0)),"")&amp;""</f>
        <v/>
      </c>
      <c r="AC77" s="9">
        <f>IFERROR(INDEX($A77:$R77,MATCH("Client",$A$1:$R$1,0)),"")&amp;""</f>
        <v/>
      </c>
      <c r="AD77" s="9">
        <f>IFERROR(INDEX($A77:$R77,MATCH("Description",$A$1:$R$1,0)),"")&amp;""</f>
        <v/>
      </c>
      <c r="AE77" s="9">
        <f>IFERROR(INDEX($A77:$R77,MATCH("Job Number",$A$1:$R$1,0)),"")&amp;""</f>
        <v/>
      </c>
      <c r="AF77" s="54">
        <f>IF(AND(T77="Open",ISNUMBER(Z77),Z77&lt;EOMONTH(set_AsAt,-1)+1),3,0)</f>
        <v/>
      </c>
      <c r="AG77" s="54">
        <f>IF(AND(T77="Open",U77&gt;0,U77&gt;=set_DealShare*SUMIFS($U$2:$U$601,$T$2:$T$601,"Open")),3,0)</f>
        <v/>
      </c>
      <c r="AH77" s="54">
        <f>IF(AND(T77="Open",U77&gt;=set_BigValue,W77&lt;=set_EarlyProb),2,0)</f>
        <v/>
      </c>
      <c r="AI77" s="54">
        <f>IF(AND(OR(T77="Open",T77="Won"),V77=0),2,0)</f>
        <v/>
      </c>
      <c r="AJ77" s="54">
        <f>IF(AND(T77="Won",Y77&gt;0.5,ISNUMBER(Z77),Z77&lt;EOMONTH(set_AsAt,-1)+1),3,0)</f>
        <v/>
      </c>
      <c r="AK77" s="54">
        <f>IF(AND(T77="Won",Y77&lt;-1),1,0)</f>
        <v/>
      </c>
      <c r="AL77" s="54">
        <f>SUM(AF77:AK77)</f>
        <v/>
      </c>
      <c r="AM77" s="9">
        <f>IF(AL77&gt;=set_ScoreHigh,"High",IF(AL77&gt;=set_ScoreMed,"Medium",IF(AL77&gt;0,"Low","OK")))</f>
        <v/>
      </c>
      <c r="AN77" s="54">
        <f>IF(OR(T77="Open",AND(T77="Won",ABS(Y77)&gt;0.5)),1,0)</f>
        <v/>
      </c>
      <c r="AO77" s="52">
        <f>IF(T77="Open",IF(V77=0,0,X77),IF(T77="Won",MAX(0,Y77),0))</f>
        <v/>
      </c>
      <c r="AP77" s="54">
        <f>IF(AN77=1,AL77*1E+9+U77+ROW()/1E+6,"")</f>
        <v/>
      </c>
      <c r="AQ77" s="9">
        <f>MID(IF(AF77&gt;0,"; Expected month passed - update Zoho","")&amp;IF(AG77&gt;0,"; "&amp;TEXT(U77/MAX(1,SUMIFS($U$2:$U$601,$T$2:$T$601,"Open")),"0%")&amp;" of open pipeline in one deal","")&amp;IF(AH77&gt;0,"; Large deal at an early stage","")&amp;IF(AI77&gt;0,"; No amount in Zoho","")&amp;IF(AJ77&gt;0,"; Won, invoice month passed, not fully invoiced","")&amp;IF(AK77&gt;0,"; Xero invoiced more than the deal value",""),3,300)</f>
        <v/>
      </c>
    </row>
    <row r="78">
      <c r="A78" s="51" t="n">
        <v>46265</v>
      </c>
      <c r="B78" t="inlineStr">
        <is>
          <t>ZOHO</t>
        </is>
      </c>
      <c r="C78" t="inlineStr">
        <is>
          <t>26081904</t>
        </is>
      </c>
      <c r="D78" t="inlineStr">
        <is>
          <t>Garvan Institute of Medical Research</t>
        </is>
      </c>
      <c r="E78" t="inlineStr">
        <is>
          <t>26081904</t>
        </is>
      </c>
      <c r="F78" t="inlineStr">
        <is>
          <t>OK</t>
        </is>
      </c>
      <c r="G78" t="inlineStr">
        <is>
          <t>PRODUCTION</t>
        </is>
      </c>
      <c r="H78" t="inlineStr">
        <is>
          <t>Garvan - AllClear Program Meeting - 2.9.26</t>
        </is>
      </c>
      <c r="I78" t="n">
        <v>865</v>
      </c>
      <c r="J78" t="inlineStr">
        <is>
          <t>Won</t>
        </is>
      </c>
      <c r="K78" s="51" t="n">
        <v>46258</v>
      </c>
      <c r="L78" s="51" t="n">
        <v>46295</v>
      </c>
      <c r="M78" t="n">
        <v>865</v>
      </c>
      <c r="N78" t="n">
        <v>0</v>
      </c>
      <c r="O78" t="inlineStr">
        <is>
          <t>Invoice month taken from the event date in the deal name</t>
        </is>
      </c>
      <c r="P78" t="inlineStr">
        <is>
          <t>Closed Won</t>
        </is>
      </c>
      <c r="Q78" t="n">
        <v>1</v>
      </c>
      <c r="R78" t="n">
        <v>865</v>
      </c>
      <c r="T78" s="9">
        <f>IFERROR(INDEX($A78:$R78,MATCH("Status",$A$1:$R$1,0)),"")&amp;""</f>
        <v/>
      </c>
      <c r="U78" s="52">
        <f>IFERROR(N(IFERROR(INDEX($A78:$R78,MATCH("Value Ex GST",$A$1:$R$1,0)),"")),0)</f>
        <v/>
      </c>
      <c r="V78" s="54">
        <f>IF(AND(T78&lt;&gt;"",IFERROR(INDEX($A78:$R78,MATCH("Value Ex GST",$A$1:$R$1,0)),"")&amp;""&lt;&gt;""),1,0)</f>
        <v/>
      </c>
      <c r="W78" s="56">
        <f>IFERROR(N(IFERROR(INDEX($A78:$R78,MATCH("Probability",$A$1:$R$1,0)),"")),0)</f>
        <v/>
      </c>
      <c r="X78" s="52">
        <f>IF(T78="Open",U78*W78,0)</f>
        <v/>
      </c>
      <c r="Y78" s="52">
        <f>IF(T78="Won",IFERROR(N(IFERROR(INDEX($A78:$R78,MATCH("Still to Invoice",$A$1:$R$1,0)),"")),0),0)</f>
        <v/>
      </c>
      <c r="Z78" s="55">
        <f>IFERROR(EOMONTH(IFERROR(INDEX($A78:$R78,MATCH("Expected Invoice Month",$A$1:$R$1,0)),""),0),"")</f>
        <v/>
      </c>
      <c r="AA78" s="9">
        <f>IFERROR(INDEX($A78:$R78,MATCH("Cost Centre",$A$1:$R$1,0)),"")&amp;""</f>
        <v/>
      </c>
      <c r="AB78" s="9">
        <f>IFERROR(INDEX($A78:$R78,MATCH("Pipeline Stage",$A$1:$R$1,0)),"")&amp;""</f>
        <v/>
      </c>
      <c r="AC78" s="9">
        <f>IFERROR(INDEX($A78:$R78,MATCH("Client",$A$1:$R$1,0)),"")&amp;""</f>
        <v/>
      </c>
      <c r="AD78" s="9">
        <f>IFERROR(INDEX($A78:$R78,MATCH("Description",$A$1:$R$1,0)),"")&amp;""</f>
        <v/>
      </c>
      <c r="AE78" s="9">
        <f>IFERROR(INDEX($A78:$R78,MATCH("Job Number",$A$1:$R$1,0)),"")&amp;""</f>
        <v/>
      </c>
      <c r="AF78" s="54">
        <f>IF(AND(T78="Open",ISNUMBER(Z78),Z78&lt;EOMONTH(set_AsAt,-1)+1),3,0)</f>
        <v/>
      </c>
      <c r="AG78" s="54">
        <f>IF(AND(T78="Open",U78&gt;0,U78&gt;=set_DealShare*SUMIFS($U$2:$U$601,$T$2:$T$601,"Open")),3,0)</f>
        <v/>
      </c>
      <c r="AH78" s="54">
        <f>IF(AND(T78="Open",U78&gt;=set_BigValue,W78&lt;=set_EarlyProb),2,0)</f>
        <v/>
      </c>
      <c r="AI78" s="54">
        <f>IF(AND(OR(T78="Open",T78="Won"),V78=0),2,0)</f>
        <v/>
      </c>
      <c r="AJ78" s="54">
        <f>IF(AND(T78="Won",Y78&gt;0.5,ISNUMBER(Z78),Z78&lt;EOMONTH(set_AsAt,-1)+1),3,0)</f>
        <v/>
      </c>
      <c r="AK78" s="54">
        <f>IF(AND(T78="Won",Y78&lt;-1),1,0)</f>
        <v/>
      </c>
      <c r="AL78" s="54">
        <f>SUM(AF78:AK78)</f>
        <v/>
      </c>
      <c r="AM78" s="9">
        <f>IF(AL78&gt;=set_ScoreHigh,"High",IF(AL78&gt;=set_ScoreMed,"Medium",IF(AL78&gt;0,"Low","OK")))</f>
        <v/>
      </c>
      <c r="AN78" s="54">
        <f>IF(OR(T78="Open",AND(T78="Won",ABS(Y78)&gt;0.5)),1,0)</f>
        <v/>
      </c>
      <c r="AO78" s="52">
        <f>IF(T78="Open",IF(V78=0,0,X78),IF(T78="Won",MAX(0,Y78),0))</f>
        <v/>
      </c>
      <c r="AP78" s="54">
        <f>IF(AN78=1,AL78*1E+9+U78+ROW()/1E+6,"")</f>
        <v/>
      </c>
      <c r="AQ78" s="9">
        <f>MID(IF(AF78&gt;0,"; Expected month passed - update Zoho","")&amp;IF(AG78&gt;0,"; "&amp;TEXT(U78/MAX(1,SUMIFS($U$2:$U$601,$T$2:$T$601,"Open")),"0%")&amp;" of open pipeline in one deal","")&amp;IF(AH78&gt;0,"; Large deal at an early stage","")&amp;IF(AI78&gt;0,"; No amount in Zoho","")&amp;IF(AJ78&gt;0,"; Won, invoice month passed, not fully invoiced","")&amp;IF(AK78&gt;0,"; Xero invoiced more than the deal value",""),3,300)</f>
        <v/>
      </c>
    </row>
    <row r="79">
      <c r="A79" s="51" t="n">
        <v>46265</v>
      </c>
      <c r="B79" t="inlineStr">
        <is>
          <t>ZOHO</t>
        </is>
      </c>
      <c r="C79" t="inlineStr">
        <is>
          <t>26052102</t>
        </is>
      </c>
      <c r="D79" t="inlineStr">
        <is>
          <t>Data#3</t>
        </is>
      </c>
      <c r="E79" t="inlineStr">
        <is>
          <t>26052102</t>
        </is>
      </c>
      <c r="F79" t="inlineStr">
        <is>
          <t>OK</t>
        </is>
      </c>
      <c r="G79" t="inlineStr">
        <is>
          <t>INTEGRATION</t>
        </is>
      </c>
      <c r="H79" t="inlineStr">
        <is>
          <t>HP-D3 | Austrac Phone Mods x100 - 26052102</t>
        </is>
      </c>
      <c r="I79" t="n">
        <v>45909</v>
      </c>
      <c r="J79" t="inlineStr">
        <is>
          <t>Won</t>
        </is>
      </c>
      <c r="K79" s="51" t="n">
        <v>46253</v>
      </c>
      <c r="L79" s="51" t="n">
        <v>46265</v>
      </c>
      <c r="M79" t="n">
        <v>45909</v>
      </c>
      <c r="N79" t="n">
        <v>0</v>
      </c>
      <c r="P79" t="inlineStr">
        <is>
          <t>Closed Won</t>
        </is>
      </c>
      <c r="Q79" t="n">
        <v>1</v>
      </c>
      <c r="R79" t="n">
        <v>45909</v>
      </c>
      <c r="T79" s="9">
        <f>IFERROR(INDEX($A79:$R79,MATCH("Status",$A$1:$R$1,0)),"")&amp;""</f>
        <v/>
      </c>
      <c r="U79" s="52">
        <f>IFERROR(N(IFERROR(INDEX($A79:$R79,MATCH("Value Ex GST",$A$1:$R$1,0)),"")),0)</f>
        <v/>
      </c>
      <c r="V79" s="54">
        <f>IF(AND(T79&lt;&gt;"",IFERROR(INDEX($A79:$R79,MATCH("Value Ex GST",$A$1:$R$1,0)),"")&amp;""&lt;&gt;""),1,0)</f>
        <v/>
      </c>
      <c r="W79" s="56">
        <f>IFERROR(N(IFERROR(INDEX($A79:$R79,MATCH("Probability",$A$1:$R$1,0)),"")),0)</f>
        <v/>
      </c>
      <c r="X79" s="52">
        <f>IF(T79="Open",U79*W79,0)</f>
        <v/>
      </c>
      <c r="Y79" s="52">
        <f>IF(T79="Won",IFERROR(N(IFERROR(INDEX($A79:$R79,MATCH("Still to Invoice",$A$1:$R$1,0)),"")),0),0)</f>
        <v/>
      </c>
      <c r="Z79" s="55">
        <f>IFERROR(EOMONTH(IFERROR(INDEX($A79:$R79,MATCH("Expected Invoice Month",$A$1:$R$1,0)),""),0),"")</f>
        <v/>
      </c>
      <c r="AA79" s="9">
        <f>IFERROR(INDEX($A79:$R79,MATCH("Cost Centre",$A$1:$R$1,0)),"")&amp;""</f>
        <v/>
      </c>
      <c r="AB79" s="9">
        <f>IFERROR(INDEX($A79:$R79,MATCH("Pipeline Stage",$A$1:$R$1,0)),"")&amp;""</f>
        <v/>
      </c>
      <c r="AC79" s="9">
        <f>IFERROR(INDEX($A79:$R79,MATCH("Client",$A$1:$R$1,0)),"")&amp;""</f>
        <v/>
      </c>
      <c r="AD79" s="9">
        <f>IFERROR(INDEX($A79:$R79,MATCH("Description",$A$1:$R$1,0)),"")&amp;""</f>
        <v/>
      </c>
      <c r="AE79" s="9">
        <f>IFERROR(INDEX($A79:$R79,MATCH("Job Number",$A$1:$R$1,0)),"")&amp;""</f>
        <v/>
      </c>
      <c r="AF79" s="54">
        <f>IF(AND(T79="Open",ISNUMBER(Z79),Z79&lt;EOMONTH(set_AsAt,-1)+1),3,0)</f>
        <v/>
      </c>
      <c r="AG79" s="54">
        <f>IF(AND(T79="Open",U79&gt;0,U79&gt;=set_DealShare*SUMIFS($U$2:$U$601,$T$2:$T$601,"Open")),3,0)</f>
        <v/>
      </c>
      <c r="AH79" s="54">
        <f>IF(AND(T79="Open",U79&gt;=set_BigValue,W79&lt;=set_EarlyProb),2,0)</f>
        <v/>
      </c>
      <c r="AI79" s="54">
        <f>IF(AND(OR(T79="Open",T79="Won"),V79=0),2,0)</f>
        <v/>
      </c>
      <c r="AJ79" s="54">
        <f>IF(AND(T79="Won",Y79&gt;0.5,ISNUMBER(Z79),Z79&lt;EOMONTH(set_AsAt,-1)+1),3,0)</f>
        <v/>
      </c>
      <c r="AK79" s="54">
        <f>IF(AND(T79="Won",Y79&lt;-1),1,0)</f>
        <v/>
      </c>
      <c r="AL79" s="54">
        <f>SUM(AF79:AK79)</f>
        <v/>
      </c>
      <c r="AM79" s="9">
        <f>IF(AL79&gt;=set_ScoreHigh,"High",IF(AL79&gt;=set_ScoreMed,"Medium",IF(AL79&gt;0,"Low","OK")))</f>
        <v/>
      </c>
      <c r="AN79" s="54">
        <f>IF(OR(T79="Open",AND(T79="Won",ABS(Y79)&gt;0.5)),1,0)</f>
        <v/>
      </c>
      <c r="AO79" s="52">
        <f>IF(T79="Open",IF(V79=0,0,X79),IF(T79="Won",MAX(0,Y79),0))</f>
        <v/>
      </c>
      <c r="AP79" s="54">
        <f>IF(AN79=1,AL79*1E+9+U79+ROW()/1E+6,"")</f>
        <v/>
      </c>
      <c r="AQ79" s="9">
        <f>MID(IF(AF79&gt;0,"; Expected month passed - update Zoho","")&amp;IF(AG79&gt;0,"; "&amp;TEXT(U79/MAX(1,SUMIFS($U$2:$U$601,$T$2:$T$601,"Open")),"0%")&amp;" of open pipeline in one deal","")&amp;IF(AH79&gt;0,"; Large deal at an early stage","")&amp;IF(AI79&gt;0,"; No amount in Zoho","")&amp;IF(AJ79&gt;0,"; Won, invoice month passed, not fully invoiced","")&amp;IF(AK79&gt;0,"; Xero invoiced more than the deal value",""),3,300)</f>
        <v/>
      </c>
    </row>
    <row r="80">
      <c r="A80" s="51" t="n">
        <v>46265</v>
      </c>
      <c r="B80" t="inlineStr">
        <is>
          <t>ZOHO</t>
        </is>
      </c>
      <c r="C80" t="inlineStr">
        <is>
          <t>2608701</t>
        </is>
      </c>
      <c r="D80" t="inlineStr">
        <is>
          <t>Elkiem</t>
        </is>
      </c>
      <c r="E80" t="inlineStr">
        <is>
          <t>2608701</t>
        </is>
      </c>
      <c r="F80" t="inlineStr">
        <is>
          <t>OK</t>
        </is>
      </c>
      <c r="G80" t="inlineStr">
        <is>
          <t>PRODUCTION</t>
        </is>
      </c>
      <c r="H80" t="inlineStr">
        <is>
          <t>Elkeim - Studio Support - 10.9.26</t>
        </is>
      </c>
      <c r="I80" t="n">
        <v>380</v>
      </c>
      <c r="J80" t="inlineStr">
        <is>
          <t>Won</t>
        </is>
      </c>
      <c r="K80" s="51" t="n">
        <v>46243</v>
      </c>
      <c r="L80" s="51" t="n">
        <v>46295</v>
      </c>
      <c r="M80" t="n">
        <v>380</v>
      </c>
      <c r="N80" t="n">
        <v>0</v>
      </c>
      <c r="O80" t="inlineStr">
        <is>
          <t>Invoice month taken from the event date in the deal name</t>
        </is>
      </c>
      <c r="P80" t="inlineStr">
        <is>
          <t>Closed Won</t>
        </is>
      </c>
      <c r="Q80" t="n">
        <v>1</v>
      </c>
      <c r="R80" t="n">
        <v>380</v>
      </c>
      <c r="T80" s="9">
        <f>IFERROR(INDEX($A80:$R80,MATCH("Status",$A$1:$R$1,0)),"")&amp;""</f>
        <v/>
      </c>
      <c r="U80" s="52">
        <f>IFERROR(N(IFERROR(INDEX($A80:$R80,MATCH("Value Ex GST",$A$1:$R$1,0)),"")),0)</f>
        <v/>
      </c>
      <c r="V80" s="54">
        <f>IF(AND(T80&lt;&gt;"",IFERROR(INDEX($A80:$R80,MATCH("Value Ex GST",$A$1:$R$1,0)),"")&amp;""&lt;&gt;""),1,0)</f>
        <v/>
      </c>
      <c r="W80" s="56">
        <f>IFERROR(N(IFERROR(INDEX($A80:$R80,MATCH("Probability",$A$1:$R$1,0)),"")),0)</f>
        <v/>
      </c>
      <c r="X80" s="52">
        <f>IF(T80="Open",U80*W80,0)</f>
        <v/>
      </c>
      <c r="Y80" s="52">
        <f>IF(T80="Won",IFERROR(N(IFERROR(INDEX($A80:$R80,MATCH("Still to Invoice",$A$1:$R$1,0)),"")),0),0)</f>
        <v/>
      </c>
      <c r="Z80" s="55">
        <f>IFERROR(EOMONTH(IFERROR(INDEX($A80:$R80,MATCH("Expected Invoice Month",$A$1:$R$1,0)),""),0),"")</f>
        <v/>
      </c>
      <c r="AA80" s="9">
        <f>IFERROR(INDEX($A80:$R80,MATCH("Cost Centre",$A$1:$R$1,0)),"")&amp;""</f>
        <v/>
      </c>
      <c r="AB80" s="9">
        <f>IFERROR(INDEX($A80:$R80,MATCH("Pipeline Stage",$A$1:$R$1,0)),"")&amp;""</f>
        <v/>
      </c>
      <c r="AC80" s="9">
        <f>IFERROR(INDEX($A80:$R80,MATCH("Client",$A$1:$R$1,0)),"")&amp;""</f>
        <v/>
      </c>
      <c r="AD80" s="9">
        <f>IFERROR(INDEX($A80:$R80,MATCH("Description",$A$1:$R$1,0)),"")&amp;""</f>
        <v/>
      </c>
      <c r="AE80" s="9">
        <f>IFERROR(INDEX($A80:$R80,MATCH("Job Number",$A$1:$R$1,0)),"")&amp;""</f>
        <v/>
      </c>
      <c r="AF80" s="54">
        <f>IF(AND(T80="Open",ISNUMBER(Z80),Z80&lt;EOMONTH(set_AsAt,-1)+1),3,0)</f>
        <v/>
      </c>
      <c r="AG80" s="54">
        <f>IF(AND(T80="Open",U80&gt;0,U80&gt;=set_DealShare*SUMIFS($U$2:$U$601,$T$2:$T$601,"Open")),3,0)</f>
        <v/>
      </c>
      <c r="AH80" s="54">
        <f>IF(AND(T80="Open",U80&gt;=set_BigValue,W80&lt;=set_EarlyProb),2,0)</f>
        <v/>
      </c>
      <c r="AI80" s="54">
        <f>IF(AND(OR(T80="Open",T80="Won"),V80=0),2,0)</f>
        <v/>
      </c>
      <c r="AJ80" s="54">
        <f>IF(AND(T80="Won",Y80&gt;0.5,ISNUMBER(Z80),Z80&lt;EOMONTH(set_AsAt,-1)+1),3,0)</f>
        <v/>
      </c>
      <c r="AK80" s="54">
        <f>IF(AND(T80="Won",Y80&lt;-1),1,0)</f>
        <v/>
      </c>
      <c r="AL80" s="54">
        <f>SUM(AF80:AK80)</f>
        <v/>
      </c>
      <c r="AM80" s="9">
        <f>IF(AL80&gt;=set_ScoreHigh,"High",IF(AL80&gt;=set_ScoreMed,"Medium",IF(AL80&gt;0,"Low","OK")))</f>
        <v/>
      </c>
      <c r="AN80" s="54">
        <f>IF(OR(T80="Open",AND(T80="Won",ABS(Y80)&gt;0.5)),1,0)</f>
        <v/>
      </c>
      <c r="AO80" s="52">
        <f>IF(T80="Open",IF(V80=0,0,X80),IF(T80="Won",MAX(0,Y80),0))</f>
        <v/>
      </c>
      <c r="AP80" s="54">
        <f>IF(AN80=1,AL80*1E+9+U80+ROW()/1E+6,"")</f>
        <v/>
      </c>
      <c r="AQ80" s="9">
        <f>MID(IF(AF80&gt;0,"; Expected month passed - update Zoho","")&amp;IF(AG80&gt;0,"; "&amp;TEXT(U80/MAX(1,SUMIFS($U$2:$U$601,$T$2:$T$601,"Open")),"0%")&amp;" of open pipeline in one deal","")&amp;IF(AH80&gt;0,"; Large deal at an early stage","")&amp;IF(AI80&gt;0,"; No amount in Zoho","")&amp;IF(AJ80&gt;0,"; Won, invoice month passed, not fully invoiced","")&amp;IF(AK80&gt;0,"; Xero invoiced more than the deal value",""),3,300)</f>
        <v/>
      </c>
    </row>
    <row r="81">
      <c r="A81" s="51" t="n">
        <v>46265</v>
      </c>
      <c r="B81" t="inlineStr">
        <is>
          <t>ZOHO</t>
        </is>
      </c>
      <c r="C81" t="inlineStr">
        <is>
          <t>26072902</t>
        </is>
      </c>
      <c r="D81" t="inlineStr">
        <is>
          <t>PWC</t>
        </is>
      </c>
      <c r="E81" t="inlineStr">
        <is>
          <t>26072902</t>
        </is>
      </c>
      <c r="F81" t="inlineStr">
        <is>
          <t>OK</t>
        </is>
      </c>
      <c r="G81" t="inlineStr">
        <is>
          <t>PRODUCTION</t>
        </is>
      </c>
      <c r="H81" t="inlineStr">
        <is>
          <t>PwC - AI Townhall - 6.8.26</t>
        </is>
      </c>
      <c r="I81" t="n">
        <v>1650</v>
      </c>
      <c r="J81" t="inlineStr">
        <is>
          <t>Won</t>
        </is>
      </c>
      <c r="K81" s="51" t="n">
        <v>46237</v>
      </c>
      <c r="L81" s="51" t="n">
        <v>46265</v>
      </c>
      <c r="M81" t="n">
        <v>1650</v>
      </c>
      <c r="N81" t="n">
        <v>0</v>
      </c>
      <c r="P81" t="inlineStr">
        <is>
          <t>Closed Won</t>
        </is>
      </c>
      <c r="Q81" t="n">
        <v>1</v>
      </c>
      <c r="R81" t="n">
        <v>1650</v>
      </c>
      <c r="T81" s="9">
        <f>IFERROR(INDEX($A81:$R81,MATCH("Status",$A$1:$R$1,0)),"")&amp;""</f>
        <v/>
      </c>
      <c r="U81" s="52">
        <f>IFERROR(N(IFERROR(INDEX($A81:$R81,MATCH("Value Ex GST",$A$1:$R$1,0)),"")),0)</f>
        <v/>
      </c>
      <c r="V81" s="54">
        <f>IF(AND(T81&lt;&gt;"",IFERROR(INDEX($A81:$R81,MATCH("Value Ex GST",$A$1:$R$1,0)),"")&amp;""&lt;&gt;""),1,0)</f>
        <v/>
      </c>
      <c r="W81" s="56">
        <f>IFERROR(N(IFERROR(INDEX($A81:$R81,MATCH("Probability",$A$1:$R$1,0)),"")),0)</f>
        <v/>
      </c>
      <c r="X81" s="52">
        <f>IF(T81="Open",U81*W81,0)</f>
        <v/>
      </c>
      <c r="Y81" s="52">
        <f>IF(T81="Won",IFERROR(N(IFERROR(INDEX($A81:$R81,MATCH("Still to Invoice",$A$1:$R$1,0)),"")),0),0)</f>
        <v/>
      </c>
      <c r="Z81" s="55">
        <f>IFERROR(EOMONTH(IFERROR(INDEX($A81:$R81,MATCH("Expected Invoice Month",$A$1:$R$1,0)),""),0),"")</f>
        <v/>
      </c>
      <c r="AA81" s="9">
        <f>IFERROR(INDEX($A81:$R81,MATCH("Cost Centre",$A$1:$R$1,0)),"")&amp;""</f>
        <v/>
      </c>
      <c r="AB81" s="9">
        <f>IFERROR(INDEX($A81:$R81,MATCH("Pipeline Stage",$A$1:$R$1,0)),"")&amp;""</f>
        <v/>
      </c>
      <c r="AC81" s="9">
        <f>IFERROR(INDEX($A81:$R81,MATCH("Client",$A$1:$R$1,0)),"")&amp;""</f>
        <v/>
      </c>
      <c r="AD81" s="9">
        <f>IFERROR(INDEX($A81:$R81,MATCH("Description",$A$1:$R$1,0)),"")&amp;""</f>
        <v/>
      </c>
      <c r="AE81" s="9">
        <f>IFERROR(INDEX($A81:$R81,MATCH("Job Number",$A$1:$R$1,0)),"")&amp;""</f>
        <v/>
      </c>
      <c r="AF81" s="54">
        <f>IF(AND(T81="Open",ISNUMBER(Z81),Z81&lt;EOMONTH(set_AsAt,-1)+1),3,0)</f>
        <v/>
      </c>
      <c r="AG81" s="54">
        <f>IF(AND(T81="Open",U81&gt;0,U81&gt;=set_DealShare*SUMIFS($U$2:$U$601,$T$2:$T$601,"Open")),3,0)</f>
        <v/>
      </c>
      <c r="AH81" s="54">
        <f>IF(AND(T81="Open",U81&gt;=set_BigValue,W81&lt;=set_EarlyProb),2,0)</f>
        <v/>
      </c>
      <c r="AI81" s="54">
        <f>IF(AND(OR(T81="Open",T81="Won"),V81=0),2,0)</f>
        <v/>
      </c>
      <c r="AJ81" s="54">
        <f>IF(AND(T81="Won",Y81&gt;0.5,ISNUMBER(Z81),Z81&lt;EOMONTH(set_AsAt,-1)+1),3,0)</f>
        <v/>
      </c>
      <c r="AK81" s="54">
        <f>IF(AND(T81="Won",Y81&lt;-1),1,0)</f>
        <v/>
      </c>
      <c r="AL81" s="54">
        <f>SUM(AF81:AK81)</f>
        <v/>
      </c>
      <c r="AM81" s="9">
        <f>IF(AL81&gt;=set_ScoreHigh,"High",IF(AL81&gt;=set_ScoreMed,"Medium",IF(AL81&gt;0,"Low","OK")))</f>
        <v/>
      </c>
      <c r="AN81" s="54">
        <f>IF(OR(T81="Open",AND(T81="Won",ABS(Y81)&gt;0.5)),1,0)</f>
        <v/>
      </c>
      <c r="AO81" s="52">
        <f>IF(T81="Open",IF(V81=0,0,X81),IF(T81="Won",MAX(0,Y81),0))</f>
        <v/>
      </c>
      <c r="AP81" s="54">
        <f>IF(AN81=1,AL81*1E+9+U81+ROW()/1E+6,"")</f>
        <v/>
      </c>
      <c r="AQ81" s="9">
        <f>MID(IF(AF81&gt;0,"; Expected month passed - update Zoho","")&amp;IF(AG81&gt;0,"; "&amp;TEXT(U81/MAX(1,SUMIFS($U$2:$U$601,$T$2:$T$601,"Open")),"0%")&amp;" of open pipeline in one deal","")&amp;IF(AH81&gt;0,"; Large deal at an early stage","")&amp;IF(AI81&gt;0,"; No amount in Zoho","")&amp;IF(AJ81&gt;0,"; Won, invoice month passed, not fully invoiced","")&amp;IF(AK81&gt;0,"; Xero invoiced more than the deal value",""),3,300)</f>
        <v/>
      </c>
    </row>
    <row r="82">
      <c r="A82" s="51" t="n">
        <v>46295</v>
      </c>
      <c r="B82" t="inlineStr">
        <is>
          <t>ZOHO</t>
        </is>
      </c>
      <c r="C82" t="inlineStr">
        <is>
          <t>2608101</t>
        </is>
      </c>
      <c r="D82" t="inlineStr">
        <is>
          <t>Australian Retirement Trust</t>
        </is>
      </c>
      <c r="E82" t="inlineStr">
        <is>
          <t>2608101</t>
        </is>
      </c>
      <c r="F82" t="inlineStr">
        <is>
          <t>OK</t>
        </is>
      </c>
      <c r="G82" t="inlineStr">
        <is>
          <t>PRODUCTION</t>
        </is>
      </c>
      <c r="H82" t="inlineStr">
        <is>
          <t>ART - AMM Captioning - 25.11.26</t>
        </is>
      </c>
      <c r="I82" t="n">
        <v>1303</v>
      </c>
      <c r="J82" t="inlineStr">
        <is>
          <t>Won</t>
        </is>
      </c>
      <c r="K82" s="51" t="n">
        <v>46274</v>
      </c>
      <c r="L82" s="51" t="n">
        <v>46356</v>
      </c>
      <c r="M82" t="n">
        <v>0</v>
      </c>
      <c r="N82" t="n">
        <v>1303</v>
      </c>
      <c r="O82" t="inlineStr">
        <is>
          <t>Invoice month taken from the event date in the deal name</t>
        </is>
      </c>
      <c r="P82" t="inlineStr">
        <is>
          <t>Closed Won</t>
        </is>
      </c>
      <c r="Q82" t="n">
        <v>1</v>
      </c>
      <c r="R82" t="n">
        <v>1303</v>
      </c>
      <c r="T82" s="9">
        <f>IFERROR(INDEX($A82:$R82,MATCH("Status",$A$1:$R$1,0)),"")&amp;""</f>
        <v/>
      </c>
      <c r="U82" s="52">
        <f>IFERROR(N(IFERROR(INDEX($A82:$R82,MATCH("Value Ex GST",$A$1:$R$1,0)),"")),0)</f>
        <v/>
      </c>
      <c r="V82" s="54">
        <f>IF(AND(T82&lt;&gt;"",IFERROR(INDEX($A82:$R82,MATCH("Value Ex GST",$A$1:$R$1,0)),"")&amp;""&lt;&gt;""),1,0)</f>
        <v/>
      </c>
      <c r="W82" s="56">
        <f>IFERROR(N(IFERROR(INDEX($A82:$R82,MATCH("Probability",$A$1:$R$1,0)),"")),0)</f>
        <v/>
      </c>
      <c r="X82" s="52">
        <f>IF(T82="Open",U82*W82,0)</f>
        <v/>
      </c>
      <c r="Y82" s="52">
        <f>IF(T82="Won",IFERROR(N(IFERROR(INDEX($A82:$R82,MATCH("Still to Invoice",$A$1:$R$1,0)),"")),0),0)</f>
        <v/>
      </c>
      <c r="Z82" s="55">
        <f>IFERROR(EOMONTH(IFERROR(INDEX($A82:$R82,MATCH("Expected Invoice Month",$A$1:$R$1,0)),""),0),"")</f>
        <v/>
      </c>
      <c r="AA82" s="9">
        <f>IFERROR(INDEX($A82:$R82,MATCH("Cost Centre",$A$1:$R$1,0)),"")&amp;""</f>
        <v/>
      </c>
      <c r="AB82" s="9">
        <f>IFERROR(INDEX($A82:$R82,MATCH("Pipeline Stage",$A$1:$R$1,0)),"")&amp;""</f>
        <v/>
      </c>
      <c r="AC82" s="9">
        <f>IFERROR(INDEX($A82:$R82,MATCH("Client",$A$1:$R$1,0)),"")&amp;""</f>
        <v/>
      </c>
      <c r="AD82" s="9">
        <f>IFERROR(INDEX($A82:$R82,MATCH("Description",$A$1:$R$1,0)),"")&amp;""</f>
        <v/>
      </c>
      <c r="AE82" s="9">
        <f>IFERROR(INDEX($A82:$R82,MATCH("Job Number",$A$1:$R$1,0)),"")&amp;""</f>
        <v/>
      </c>
      <c r="AF82" s="54">
        <f>IF(AND(T82="Open",ISNUMBER(Z82),Z82&lt;EOMONTH(set_AsAt,-1)+1),3,0)</f>
        <v/>
      </c>
      <c r="AG82" s="54">
        <f>IF(AND(T82="Open",U82&gt;0,U82&gt;=set_DealShare*SUMIFS($U$2:$U$601,$T$2:$T$601,"Open")),3,0)</f>
        <v/>
      </c>
      <c r="AH82" s="54">
        <f>IF(AND(T82="Open",U82&gt;=set_BigValue,W82&lt;=set_EarlyProb),2,0)</f>
        <v/>
      </c>
      <c r="AI82" s="54">
        <f>IF(AND(OR(T82="Open",T82="Won"),V82=0),2,0)</f>
        <v/>
      </c>
      <c r="AJ82" s="54">
        <f>IF(AND(T82="Won",Y82&gt;0.5,ISNUMBER(Z82),Z82&lt;EOMONTH(set_AsAt,-1)+1),3,0)</f>
        <v/>
      </c>
      <c r="AK82" s="54">
        <f>IF(AND(T82="Won",Y82&lt;-1),1,0)</f>
        <v/>
      </c>
      <c r="AL82" s="54">
        <f>SUM(AF82:AK82)</f>
        <v/>
      </c>
      <c r="AM82" s="9">
        <f>IF(AL82&gt;=set_ScoreHigh,"High",IF(AL82&gt;=set_ScoreMed,"Medium",IF(AL82&gt;0,"Low","OK")))</f>
        <v/>
      </c>
      <c r="AN82" s="54">
        <f>IF(OR(T82="Open",AND(T82="Won",ABS(Y82)&gt;0.5)),1,0)</f>
        <v/>
      </c>
      <c r="AO82" s="52">
        <f>IF(T82="Open",IF(V82=0,0,X82),IF(T82="Won",MAX(0,Y82),0))</f>
        <v/>
      </c>
      <c r="AP82" s="54">
        <f>IF(AN82=1,AL82*1E+9+U82+ROW()/1E+6,"")</f>
        <v/>
      </c>
      <c r="AQ82" s="9">
        <f>MID(IF(AF82&gt;0,"; Expected month passed - update Zoho","")&amp;IF(AG82&gt;0,"; "&amp;TEXT(U82/MAX(1,SUMIFS($U$2:$U$601,$T$2:$T$601,"Open")),"0%")&amp;" of open pipeline in one deal","")&amp;IF(AH82&gt;0,"; Large deal at an early stage","")&amp;IF(AI82&gt;0,"; No amount in Zoho","")&amp;IF(AJ82&gt;0,"; Won, invoice month passed, not fully invoiced","")&amp;IF(AK82&gt;0,"; Xero invoiced more than the deal value",""),3,300)</f>
        <v/>
      </c>
    </row>
    <row r="83">
      <c r="A83" s="51" t="n">
        <v>46265</v>
      </c>
      <c r="B83" t="inlineStr">
        <is>
          <t>ZOHO</t>
        </is>
      </c>
      <c r="C83" t="inlineStr">
        <is>
          <t>26082502</t>
        </is>
      </c>
      <c r="D83" t="inlineStr">
        <is>
          <t>ICC Sydney - International Convention &amp; Exhibition Centre</t>
        </is>
      </c>
      <c r="E83" t="inlineStr">
        <is>
          <t>26082502</t>
        </is>
      </c>
      <c r="F83" t="inlineStr">
        <is>
          <t>OK</t>
        </is>
      </c>
      <c r="G83" t="inlineStr">
        <is>
          <t>PRODUCTION</t>
        </is>
      </c>
      <c r="H83" t="inlineStr">
        <is>
          <t>ICC - Presenter &amp; Speaker Preparation - September 2026</t>
        </is>
      </c>
      <c r="I83" t="n">
        <v>13496</v>
      </c>
      <c r="J83" t="inlineStr">
        <is>
          <t>Won</t>
        </is>
      </c>
      <c r="K83" s="51" t="n">
        <v>46262</v>
      </c>
      <c r="L83" s="51" t="n">
        <v>46265</v>
      </c>
      <c r="M83" t="n">
        <v>4665</v>
      </c>
      <c r="N83" t="n">
        <v>8831</v>
      </c>
      <c r="P83" t="inlineStr">
        <is>
          <t>Closed Won</t>
        </is>
      </c>
      <c r="Q83" t="n">
        <v>1</v>
      </c>
      <c r="R83" t="n">
        <v>13496</v>
      </c>
      <c r="T83" s="9">
        <f>IFERROR(INDEX($A83:$R83,MATCH("Status",$A$1:$R$1,0)),"")&amp;""</f>
        <v/>
      </c>
      <c r="U83" s="52">
        <f>IFERROR(N(IFERROR(INDEX($A83:$R83,MATCH("Value Ex GST",$A$1:$R$1,0)),"")),0)</f>
        <v/>
      </c>
      <c r="V83" s="54">
        <f>IF(AND(T83&lt;&gt;"",IFERROR(INDEX($A83:$R83,MATCH("Value Ex GST",$A$1:$R$1,0)),"")&amp;""&lt;&gt;""),1,0)</f>
        <v/>
      </c>
      <c r="W83" s="56">
        <f>IFERROR(N(IFERROR(INDEX($A83:$R83,MATCH("Probability",$A$1:$R$1,0)),"")),0)</f>
        <v/>
      </c>
      <c r="X83" s="52">
        <f>IF(T83="Open",U83*W83,0)</f>
        <v/>
      </c>
      <c r="Y83" s="52">
        <f>IF(T83="Won",IFERROR(N(IFERROR(INDEX($A83:$R83,MATCH("Still to Invoice",$A$1:$R$1,0)),"")),0),0)</f>
        <v/>
      </c>
      <c r="Z83" s="55">
        <f>IFERROR(EOMONTH(IFERROR(INDEX($A83:$R83,MATCH("Expected Invoice Month",$A$1:$R$1,0)),""),0),"")</f>
        <v/>
      </c>
      <c r="AA83" s="9">
        <f>IFERROR(INDEX($A83:$R83,MATCH("Cost Centre",$A$1:$R$1,0)),"")&amp;""</f>
        <v/>
      </c>
      <c r="AB83" s="9">
        <f>IFERROR(INDEX($A83:$R83,MATCH("Pipeline Stage",$A$1:$R$1,0)),"")&amp;""</f>
        <v/>
      </c>
      <c r="AC83" s="9">
        <f>IFERROR(INDEX($A83:$R83,MATCH("Client",$A$1:$R$1,0)),"")&amp;""</f>
        <v/>
      </c>
      <c r="AD83" s="9">
        <f>IFERROR(INDEX($A83:$R83,MATCH("Description",$A$1:$R$1,0)),"")&amp;""</f>
        <v/>
      </c>
      <c r="AE83" s="9">
        <f>IFERROR(INDEX($A83:$R83,MATCH("Job Number",$A$1:$R$1,0)),"")&amp;""</f>
        <v/>
      </c>
      <c r="AF83" s="54">
        <f>IF(AND(T83="Open",ISNUMBER(Z83),Z83&lt;EOMONTH(set_AsAt,-1)+1),3,0)</f>
        <v/>
      </c>
      <c r="AG83" s="54">
        <f>IF(AND(T83="Open",U83&gt;0,U83&gt;=set_DealShare*SUMIFS($U$2:$U$601,$T$2:$T$601,"Open")),3,0)</f>
        <v/>
      </c>
      <c r="AH83" s="54">
        <f>IF(AND(T83="Open",U83&gt;=set_BigValue,W83&lt;=set_EarlyProb),2,0)</f>
        <v/>
      </c>
      <c r="AI83" s="54">
        <f>IF(AND(OR(T83="Open",T83="Won"),V83=0),2,0)</f>
        <v/>
      </c>
      <c r="AJ83" s="54">
        <f>IF(AND(T83="Won",Y83&gt;0.5,ISNUMBER(Z83),Z83&lt;EOMONTH(set_AsAt,-1)+1),3,0)</f>
        <v/>
      </c>
      <c r="AK83" s="54">
        <f>IF(AND(T83="Won",Y83&lt;-1),1,0)</f>
        <v/>
      </c>
      <c r="AL83" s="54">
        <f>SUM(AF83:AK83)</f>
        <v/>
      </c>
      <c r="AM83" s="9">
        <f>IF(AL83&gt;=set_ScoreHigh,"High",IF(AL83&gt;=set_ScoreMed,"Medium",IF(AL83&gt;0,"Low","OK")))</f>
        <v/>
      </c>
      <c r="AN83" s="54">
        <f>IF(OR(T83="Open",AND(T83="Won",ABS(Y83)&gt;0.5)),1,0)</f>
        <v/>
      </c>
      <c r="AO83" s="52">
        <f>IF(T83="Open",IF(V83=0,0,X83),IF(T83="Won",MAX(0,Y83),0))</f>
        <v/>
      </c>
      <c r="AP83" s="54">
        <f>IF(AN83=1,AL83*1E+9+U83+ROW()/1E+6,"")</f>
        <v/>
      </c>
      <c r="AQ83" s="9">
        <f>MID(IF(AF83&gt;0,"; Expected month passed - update Zoho","")&amp;IF(AG83&gt;0,"; "&amp;TEXT(U83/MAX(1,SUMIFS($U$2:$U$601,$T$2:$T$601,"Open")),"0%")&amp;" of open pipeline in one deal","")&amp;IF(AH83&gt;0,"; Large deal at an early stage","")&amp;IF(AI83&gt;0,"; No amount in Zoho","")&amp;IF(AJ83&gt;0,"; Won, invoice month passed, not fully invoiced","")&amp;IF(AK83&gt;0,"; Xero invoiced more than the deal value",""),3,300)</f>
        <v/>
      </c>
    </row>
    <row r="84">
      <c r="A84" s="51" t="n">
        <v>46295</v>
      </c>
      <c r="B84" t="inlineStr">
        <is>
          <t>ZOHO</t>
        </is>
      </c>
      <c r="C84" t="inlineStr">
        <is>
          <t>26081301</t>
        </is>
      </c>
      <c r="D84" t="inlineStr">
        <is>
          <t>EY</t>
        </is>
      </c>
      <c r="E84" t="inlineStr">
        <is>
          <t>26081301</t>
        </is>
      </c>
      <c r="F84" t="inlineStr">
        <is>
          <t>CHECK</t>
        </is>
      </c>
      <c r="G84" t="inlineStr">
        <is>
          <t>ONSITE</t>
        </is>
      </c>
      <c r="H84" t="inlineStr">
        <is>
          <t>EY - Support Technician BNE</t>
        </is>
      </c>
      <c r="I84" t="n">
        <v>3740</v>
      </c>
      <c r="J84" t="inlineStr">
        <is>
          <t>Won</t>
        </is>
      </c>
      <c r="K84" s="51" t="n">
        <v>46280</v>
      </c>
      <c r="L84" s="51" t="n">
        <v>46295</v>
      </c>
      <c r="M84" t="n">
        <v>0</v>
      </c>
      <c r="N84" t="n">
        <v>3740</v>
      </c>
      <c r="P84" t="inlineStr">
        <is>
          <t>Closed Won</t>
        </is>
      </c>
      <c r="Q84" t="n">
        <v>1</v>
      </c>
      <c r="R84" t="n">
        <v>3740</v>
      </c>
      <c r="T84" s="9">
        <f>IFERROR(INDEX($A84:$R84,MATCH("Status",$A$1:$R$1,0)),"")&amp;""</f>
        <v/>
      </c>
      <c r="U84" s="52">
        <f>IFERROR(N(IFERROR(INDEX($A84:$R84,MATCH("Value Ex GST",$A$1:$R$1,0)),"")),0)</f>
        <v/>
      </c>
      <c r="V84" s="54">
        <f>IF(AND(T84&lt;&gt;"",IFERROR(INDEX($A84:$R84,MATCH("Value Ex GST",$A$1:$R$1,0)),"")&amp;""&lt;&gt;""),1,0)</f>
        <v/>
      </c>
      <c r="W84" s="56">
        <f>IFERROR(N(IFERROR(INDEX($A84:$R84,MATCH("Probability",$A$1:$R$1,0)),"")),0)</f>
        <v/>
      </c>
      <c r="X84" s="52">
        <f>IF(T84="Open",U84*W84,0)</f>
        <v/>
      </c>
      <c r="Y84" s="52">
        <f>IF(T84="Won",IFERROR(N(IFERROR(INDEX($A84:$R84,MATCH("Still to Invoice",$A$1:$R$1,0)),"")),0),0)</f>
        <v/>
      </c>
      <c r="Z84" s="55">
        <f>IFERROR(EOMONTH(IFERROR(INDEX($A84:$R84,MATCH("Expected Invoice Month",$A$1:$R$1,0)),""),0),"")</f>
        <v/>
      </c>
      <c r="AA84" s="9">
        <f>IFERROR(INDEX($A84:$R84,MATCH("Cost Centre",$A$1:$R$1,0)),"")&amp;""</f>
        <v/>
      </c>
      <c r="AB84" s="9">
        <f>IFERROR(INDEX($A84:$R84,MATCH("Pipeline Stage",$A$1:$R$1,0)),"")&amp;""</f>
        <v/>
      </c>
      <c r="AC84" s="9">
        <f>IFERROR(INDEX($A84:$R84,MATCH("Client",$A$1:$R$1,0)),"")&amp;""</f>
        <v/>
      </c>
      <c r="AD84" s="9">
        <f>IFERROR(INDEX($A84:$R84,MATCH("Description",$A$1:$R$1,0)),"")&amp;""</f>
        <v/>
      </c>
      <c r="AE84" s="9">
        <f>IFERROR(INDEX($A84:$R84,MATCH("Job Number",$A$1:$R$1,0)),"")&amp;""</f>
        <v/>
      </c>
      <c r="AF84" s="54">
        <f>IF(AND(T84="Open",ISNUMBER(Z84),Z84&lt;EOMONTH(set_AsAt,-1)+1),3,0)</f>
        <v/>
      </c>
      <c r="AG84" s="54">
        <f>IF(AND(T84="Open",U84&gt;0,U84&gt;=set_DealShare*SUMIFS($U$2:$U$601,$T$2:$T$601,"Open")),3,0)</f>
        <v/>
      </c>
      <c r="AH84" s="54">
        <f>IF(AND(T84="Open",U84&gt;=set_BigValue,W84&lt;=set_EarlyProb),2,0)</f>
        <v/>
      </c>
      <c r="AI84" s="54">
        <f>IF(AND(OR(T84="Open",T84="Won"),V84=0),2,0)</f>
        <v/>
      </c>
      <c r="AJ84" s="54">
        <f>IF(AND(T84="Won",Y84&gt;0.5,ISNUMBER(Z84),Z84&lt;EOMONTH(set_AsAt,-1)+1),3,0)</f>
        <v/>
      </c>
      <c r="AK84" s="54">
        <f>IF(AND(T84="Won",Y84&lt;-1),1,0)</f>
        <v/>
      </c>
      <c r="AL84" s="54">
        <f>SUM(AF84:AK84)</f>
        <v/>
      </c>
      <c r="AM84" s="9">
        <f>IF(AL84&gt;=set_ScoreHigh,"High",IF(AL84&gt;=set_ScoreMed,"Medium",IF(AL84&gt;0,"Low","OK")))</f>
        <v/>
      </c>
      <c r="AN84" s="54">
        <f>IF(OR(T84="Open",AND(T84="Won",ABS(Y84)&gt;0.5)),1,0)</f>
        <v/>
      </c>
      <c r="AO84" s="52">
        <f>IF(T84="Open",IF(V84=0,0,X84),IF(T84="Won",MAX(0,Y84),0))</f>
        <v/>
      </c>
      <c r="AP84" s="54">
        <f>IF(AN84=1,AL84*1E+9+U84+ROW()/1E+6,"")</f>
        <v/>
      </c>
      <c r="AQ84" s="9">
        <f>MID(IF(AF84&gt;0,"; Expected month passed - update Zoho","")&amp;IF(AG84&gt;0,"; "&amp;TEXT(U84/MAX(1,SUMIFS($U$2:$U$601,$T$2:$T$601,"Open")),"0%")&amp;" of open pipeline in one deal","")&amp;IF(AH84&gt;0,"; Large deal at an early stage","")&amp;IF(AI84&gt;0,"; No amount in Zoho","")&amp;IF(AJ84&gt;0,"; Won, invoice month passed, not fully invoiced","")&amp;IF(AK84&gt;0,"; Xero invoiced more than the deal value",""),3,300)</f>
        <v/>
      </c>
    </row>
    <row r="85">
      <c r="A85" s="51" t="n">
        <v>46265</v>
      </c>
      <c r="B85" t="inlineStr">
        <is>
          <t>ZOHO</t>
        </is>
      </c>
      <c r="C85" t="inlineStr">
        <is>
          <t>26072903</t>
        </is>
      </c>
      <c r="D85" t="inlineStr">
        <is>
          <t>PWC</t>
        </is>
      </c>
      <c r="E85" t="inlineStr">
        <is>
          <t>26072903</t>
        </is>
      </c>
      <c r="F85" t="inlineStr">
        <is>
          <t>OK</t>
        </is>
      </c>
      <c r="G85" t="inlineStr">
        <is>
          <t>PRODUCTION</t>
        </is>
      </c>
      <c r="H85" t="inlineStr">
        <is>
          <t>PWC - GB Webcast - 11.8.26</t>
        </is>
      </c>
      <c r="I85" t="n">
        <v>4300</v>
      </c>
      <c r="J85" t="inlineStr">
        <is>
          <t>Won</t>
        </is>
      </c>
      <c r="K85" s="51" t="n">
        <v>46245</v>
      </c>
      <c r="L85" s="51" t="n">
        <v>46265</v>
      </c>
      <c r="M85" t="n">
        <v>4300</v>
      </c>
      <c r="N85" t="n">
        <v>0</v>
      </c>
      <c r="P85" t="inlineStr">
        <is>
          <t>Closed Won</t>
        </is>
      </c>
      <c r="Q85" t="n">
        <v>1</v>
      </c>
      <c r="R85" t="n">
        <v>4300</v>
      </c>
      <c r="T85" s="9">
        <f>IFERROR(INDEX($A85:$R85,MATCH("Status",$A$1:$R$1,0)),"")&amp;""</f>
        <v/>
      </c>
      <c r="U85" s="52">
        <f>IFERROR(N(IFERROR(INDEX($A85:$R85,MATCH("Value Ex GST",$A$1:$R$1,0)),"")),0)</f>
        <v/>
      </c>
      <c r="V85" s="54">
        <f>IF(AND(T85&lt;&gt;"",IFERROR(INDEX($A85:$R85,MATCH("Value Ex GST",$A$1:$R$1,0)),"")&amp;""&lt;&gt;""),1,0)</f>
        <v/>
      </c>
      <c r="W85" s="56">
        <f>IFERROR(N(IFERROR(INDEX($A85:$R85,MATCH("Probability",$A$1:$R$1,0)),"")),0)</f>
        <v/>
      </c>
      <c r="X85" s="52">
        <f>IF(T85="Open",U85*W85,0)</f>
        <v/>
      </c>
      <c r="Y85" s="52">
        <f>IF(T85="Won",IFERROR(N(IFERROR(INDEX($A85:$R85,MATCH("Still to Invoice",$A$1:$R$1,0)),"")),0),0)</f>
        <v/>
      </c>
      <c r="Z85" s="55">
        <f>IFERROR(EOMONTH(IFERROR(INDEX($A85:$R85,MATCH("Expected Invoice Month",$A$1:$R$1,0)),""),0),"")</f>
        <v/>
      </c>
      <c r="AA85" s="9">
        <f>IFERROR(INDEX($A85:$R85,MATCH("Cost Centre",$A$1:$R$1,0)),"")&amp;""</f>
        <v/>
      </c>
      <c r="AB85" s="9">
        <f>IFERROR(INDEX($A85:$R85,MATCH("Pipeline Stage",$A$1:$R$1,0)),"")&amp;""</f>
        <v/>
      </c>
      <c r="AC85" s="9">
        <f>IFERROR(INDEX($A85:$R85,MATCH("Client",$A$1:$R$1,0)),"")&amp;""</f>
        <v/>
      </c>
      <c r="AD85" s="9">
        <f>IFERROR(INDEX($A85:$R85,MATCH("Description",$A$1:$R$1,0)),"")&amp;""</f>
        <v/>
      </c>
      <c r="AE85" s="9">
        <f>IFERROR(INDEX($A85:$R85,MATCH("Job Number",$A$1:$R$1,0)),"")&amp;""</f>
        <v/>
      </c>
      <c r="AF85" s="54">
        <f>IF(AND(T85="Open",ISNUMBER(Z85),Z85&lt;EOMONTH(set_AsAt,-1)+1),3,0)</f>
        <v/>
      </c>
      <c r="AG85" s="54">
        <f>IF(AND(T85="Open",U85&gt;0,U85&gt;=set_DealShare*SUMIFS($U$2:$U$601,$T$2:$T$601,"Open")),3,0)</f>
        <v/>
      </c>
      <c r="AH85" s="54">
        <f>IF(AND(T85="Open",U85&gt;=set_BigValue,W85&lt;=set_EarlyProb),2,0)</f>
        <v/>
      </c>
      <c r="AI85" s="54">
        <f>IF(AND(OR(T85="Open",T85="Won"),V85=0),2,0)</f>
        <v/>
      </c>
      <c r="AJ85" s="54">
        <f>IF(AND(T85="Won",Y85&gt;0.5,ISNUMBER(Z85),Z85&lt;EOMONTH(set_AsAt,-1)+1),3,0)</f>
        <v/>
      </c>
      <c r="AK85" s="54">
        <f>IF(AND(T85="Won",Y85&lt;-1),1,0)</f>
        <v/>
      </c>
      <c r="AL85" s="54">
        <f>SUM(AF85:AK85)</f>
        <v/>
      </c>
      <c r="AM85" s="9">
        <f>IF(AL85&gt;=set_ScoreHigh,"High",IF(AL85&gt;=set_ScoreMed,"Medium",IF(AL85&gt;0,"Low","OK")))</f>
        <v/>
      </c>
      <c r="AN85" s="54">
        <f>IF(OR(T85="Open",AND(T85="Won",ABS(Y85)&gt;0.5)),1,0)</f>
        <v/>
      </c>
      <c r="AO85" s="52">
        <f>IF(T85="Open",IF(V85=0,0,X85),IF(T85="Won",MAX(0,Y85),0))</f>
        <v/>
      </c>
      <c r="AP85" s="54">
        <f>IF(AN85=1,AL85*1E+9+U85+ROW()/1E+6,"")</f>
        <v/>
      </c>
      <c r="AQ85" s="9">
        <f>MID(IF(AF85&gt;0,"; Expected month passed - update Zoho","")&amp;IF(AG85&gt;0,"; "&amp;TEXT(U85/MAX(1,SUMIFS($U$2:$U$601,$T$2:$T$601,"Open")),"0%")&amp;" of open pipeline in one deal","")&amp;IF(AH85&gt;0,"; Large deal at an early stage","")&amp;IF(AI85&gt;0,"; No amount in Zoho","")&amp;IF(AJ85&gt;0,"; Won, invoice month passed, not fully invoiced","")&amp;IF(AK85&gt;0,"; Xero invoiced more than the deal value",""),3,300)</f>
        <v/>
      </c>
    </row>
    <row r="86">
      <c r="A86" s="51" t="n">
        <v>46234</v>
      </c>
      <c r="B86" t="inlineStr">
        <is>
          <t>ZOHO</t>
        </is>
      </c>
      <c r="C86" t="inlineStr">
        <is>
          <t>26061607</t>
        </is>
      </c>
      <c r="D86" t="inlineStr">
        <is>
          <t>APA</t>
        </is>
      </c>
      <c r="E86" t="inlineStr">
        <is>
          <t>26061607</t>
        </is>
      </c>
      <c r="F86" t="inlineStr">
        <is>
          <t>OK</t>
        </is>
      </c>
      <c r="G86" t="inlineStr">
        <is>
          <t>PRODUCTION</t>
        </is>
      </c>
      <c r="H86" t="inlineStr">
        <is>
          <t>APA - Qtly All Hands (BNE) - 4.11.26</t>
        </is>
      </c>
      <c r="I86" t="n">
        <v>13981</v>
      </c>
      <c r="J86" t="inlineStr">
        <is>
          <t>Won</t>
        </is>
      </c>
      <c r="K86" s="51" t="n">
        <v>46211</v>
      </c>
      <c r="L86" s="51" t="n">
        <v>46356</v>
      </c>
      <c r="M86" t="n">
        <v>0</v>
      </c>
      <c r="N86" t="n">
        <v>13981</v>
      </c>
      <c r="O86" t="inlineStr">
        <is>
          <t>Invoice month taken from the event date in the deal name</t>
        </is>
      </c>
      <c r="P86" t="inlineStr">
        <is>
          <t>Closed Won</t>
        </is>
      </c>
      <c r="Q86" t="n">
        <v>1</v>
      </c>
      <c r="R86" t="n">
        <v>13981</v>
      </c>
      <c r="T86" s="9">
        <f>IFERROR(INDEX($A86:$R86,MATCH("Status",$A$1:$R$1,0)),"")&amp;""</f>
        <v/>
      </c>
      <c r="U86" s="52">
        <f>IFERROR(N(IFERROR(INDEX($A86:$R86,MATCH("Value Ex GST",$A$1:$R$1,0)),"")),0)</f>
        <v/>
      </c>
      <c r="V86" s="54">
        <f>IF(AND(T86&lt;&gt;"",IFERROR(INDEX($A86:$R86,MATCH("Value Ex GST",$A$1:$R$1,0)),"")&amp;""&lt;&gt;""),1,0)</f>
        <v/>
      </c>
      <c r="W86" s="56">
        <f>IFERROR(N(IFERROR(INDEX($A86:$R86,MATCH("Probability",$A$1:$R$1,0)),"")),0)</f>
        <v/>
      </c>
      <c r="X86" s="52">
        <f>IF(T86="Open",U86*W86,0)</f>
        <v/>
      </c>
      <c r="Y86" s="52">
        <f>IF(T86="Won",IFERROR(N(IFERROR(INDEX($A86:$R86,MATCH("Still to Invoice",$A$1:$R$1,0)),"")),0),0)</f>
        <v/>
      </c>
      <c r="Z86" s="55">
        <f>IFERROR(EOMONTH(IFERROR(INDEX($A86:$R86,MATCH("Expected Invoice Month",$A$1:$R$1,0)),""),0),"")</f>
        <v/>
      </c>
      <c r="AA86" s="9">
        <f>IFERROR(INDEX($A86:$R86,MATCH("Cost Centre",$A$1:$R$1,0)),"")&amp;""</f>
        <v/>
      </c>
      <c r="AB86" s="9">
        <f>IFERROR(INDEX($A86:$R86,MATCH("Pipeline Stage",$A$1:$R$1,0)),"")&amp;""</f>
        <v/>
      </c>
      <c r="AC86" s="9">
        <f>IFERROR(INDEX($A86:$R86,MATCH("Client",$A$1:$R$1,0)),"")&amp;""</f>
        <v/>
      </c>
      <c r="AD86" s="9">
        <f>IFERROR(INDEX($A86:$R86,MATCH("Description",$A$1:$R$1,0)),"")&amp;""</f>
        <v/>
      </c>
      <c r="AE86" s="9">
        <f>IFERROR(INDEX($A86:$R86,MATCH("Job Number",$A$1:$R$1,0)),"")&amp;""</f>
        <v/>
      </c>
      <c r="AF86" s="54">
        <f>IF(AND(T86="Open",ISNUMBER(Z86),Z86&lt;EOMONTH(set_AsAt,-1)+1),3,0)</f>
        <v/>
      </c>
      <c r="AG86" s="54">
        <f>IF(AND(T86="Open",U86&gt;0,U86&gt;=set_DealShare*SUMIFS($U$2:$U$601,$T$2:$T$601,"Open")),3,0)</f>
        <v/>
      </c>
      <c r="AH86" s="54">
        <f>IF(AND(T86="Open",U86&gt;=set_BigValue,W86&lt;=set_EarlyProb),2,0)</f>
        <v/>
      </c>
      <c r="AI86" s="54">
        <f>IF(AND(OR(T86="Open",T86="Won"),V86=0),2,0)</f>
        <v/>
      </c>
      <c r="AJ86" s="54">
        <f>IF(AND(T86="Won",Y86&gt;0.5,ISNUMBER(Z86),Z86&lt;EOMONTH(set_AsAt,-1)+1),3,0)</f>
        <v/>
      </c>
      <c r="AK86" s="54">
        <f>IF(AND(T86="Won",Y86&lt;-1),1,0)</f>
        <v/>
      </c>
      <c r="AL86" s="54">
        <f>SUM(AF86:AK86)</f>
        <v/>
      </c>
      <c r="AM86" s="9">
        <f>IF(AL86&gt;=set_ScoreHigh,"High",IF(AL86&gt;=set_ScoreMed,"Medium",IF(AL86&gt;0,"Low","OK")))</f>
        <v/>
      </c>
      <c r="AN86" s="54">
        <f>IF(OR(T86="Open",AND(T86="Won",ABS(Y86)&gt;0.5)),1,0)</f>
        <v/>
      </c>
      <c r="AO86" s="52">
        <f>IF(T86="Open",IF(V86=0,0,X86),IF(T86="Won",MAX(0,Y86),0))</f>
        <v/>
      </c>
      <c r="AP86" s="54">
        <f>IF(AN86=1,AL86*1E+9+U86+ROW()/1E+6,"")</f>
        <v/>
      </c>
      <c r="AQ86" s="9">
        <f>MID(IF(AF86&gt;0,"; Expected month passed - update Zoho","")&amp;IF(AG86&gt;0,"; "&amp;TEXT(U86/MAX(1,SUMIFS($U$2:$U$601,$T$2:$T$601,"Open")),"0%")&amp;" of open pipeline in one deal","")&amp;IF(AH86&gt;0,"; Large deal at an early stage","")&amp;IF(AI86&gt;0,"; No amount in Zoho","")&amp;IF(AJ86&gt;0,"; Won, invoice month passed, not fully invoiced","")&amp;IF(AK86&gt;0,"; Xero invoiced more than the deal value",""),3,300)</f>
        <v/>
      </c>
    </row>
    <row r="87">
      <c r="A87" s="51" t="n">
        <v>46234</v>
      </c>
      <c r="B87" t="inlineStr">
        <is>
          <t>ZOHO</t>
        </is>
      </c>
      <c r="C87" t="inlineStr">
        <is>
          <t>2606101</t>
        </is>
      </c>
      <c r="D87" t="inlineStr">
        <is>
          <t>APA</t>
        </is>
      </c>
      <c r="E87" t="inlineStr">
        <is>
          <t>2606101</t>
        </is>
      </c>
      <c r="F87" t="inlineStr">
        <is>
          <t>CHECK</t>
        </is>
      </c>
      <c r="G87" t="inlineStr">
        <is>
          <t>INTEGRATION</t>
        </is>
      </c>
      <c r="H87" t="inlineStr">
        <is>
          <t>APA | Young Eptura Proxyclick Licence Renewal - 2606101</t>
        </is>
      </c>
      <c r="I87" t="n">
        <v>4205</v>
      </c>
      <c r="J87" t="inlineStr">
        <is>
          <t>Won</t>
        </is>
      </c>
      <c r="K87" s="51" t="n">
        <v>46223</v>
      </c>
      <c r="L87" s="51" t="n">
        <v>46234</v>
      </c>
      <c r="M87" t="n">
        <v>4205</v>
      </c>
      <c r="N87" t="n">
        <v>0</v>
      </c>
      <c r="P87" t="inlineStr">
        <is>
          <t>Closed Won</t>
        </is>
      </c>
      <c r="Q87" t="n">
        <v>1</v>
      </c>
      <c r="R87" t="n">
        <v>4205</v>
      </c>
      <c r="T87" s="9">
        <f>IFERROR(INDEX($A87:$R87,MATCH("Status",$A$1:$R$1,0)),"")&amp;""</f>
        <v/>
      </c>
      <c r="U87" s="52">
        <f>IFERROR(N(IFERROR(INDEX($A87:$R87,MATCH("Value Ex GST",$A$1:$R$1,0)),"")),0)</f>
        <v/>
      </c>
      <c r="V87" s="54">
        <f>IF(AND(T87&lt;&gt;"",IFERROR(INDEX($A87:$R87,MATCH("Value Ex GST",$A$1:$R$1,0)),"")&amp;""&lt;&gt;""),1,0)</f>
        <v/>
      </c>
      <c r="W87" s="56">
        <f>IFERROR(N(IFERROR(INDEX($A87:$R87,MATCH("Probability",$A$1:$R$1,0)),"")),0)</f>
        <v/>
      </c>
      <c r="X87" s="52">
        <f>IF(T87="Open",U87*W87,0)</f>
        <v/>
      </c>
      <c r="Y87" s="52">
        <f>IF(T87="Won",IFERROR(N(IFERROR(INDEX($A87:$R87,MATCH("Still to Invoice",$A$1:$R$1,0)),"")),0),0)</f>
        <v/>
      </c>
      <c r="Z87" s="55">
        <f>IFERROR(EOMONTH(IFERROR(INDEX($A87:$R87,MATCH("Expected Invoice Month",$A$1:$R$1,0)),""),0),"")</f>
        <v/>
      </c>
      <c r="AA87" s="9">
        <f>IFERROR(INDEX($A87:$R87,MATCH("Cost Centre",$A$1:$R$1,0)),"")&amp;""</f>
        <v/>
      </c>
      <c r="AB87" s="9">
        <f>IFERROR(INDEX($A87:$R87,MATCH("Pipeline Stage",$A$1:$R$1,0)),"")&amp;""</f>
        <v/>
      </c>
      <c r="AC87" s="9">
        <f>IFERROR(INDEX($A87:$R87,MATCH("Client",$A$1:$R$1,0)),"")&amp;""</f>
        <v/>
      </c>
      <c r="AD87" s="9">
        <f>IFERROR(INDEX($A87:$R87,MATCH("Description",$A$1:$R$1,0)),"")&amp;""</f>
        <v/>
      </c>
      <c r="AE87" s="9">
        <f>IFERROR(INDEX($A87:$R87,MATCH("Job Number",$A$1:$R$1,0)),"")&amp;""</f>
        <v/>
      </c>
      <c r="AF87" s="54">
        <f>IF(AND(T87="Open",ISNUMBER(Z87),Z87&lt;EOMONTH(set_AsAt,-1)+1),3,0)</f>
        <v/>
      </c>
      <c r="AG87" s="54">
        <f>IF(AND(T87="Open",U87&gt;0,U87&gt;=set_DealShare*SUMIFS($U$2:$U$601,$T$2:$T$601,"Open")),3,0)</f>
        <v/>
      </c>
      <c r="AH87" s="54">
        <f>IF(AND(T87="Open",U87&gt;=set_BigValue,W87&lt;=set_EarlyProb),2,0)</f>
        <v/>
      </c>
      <c r="AI87" s="54">
        <f>IF(AND(OR(T87="Open",T87="Won"),V87=0),2,0)</f>
        <v/>
      </c>
      <c r="AJ87" s="54">
        <f>IF(AND(T87="Won",Y87&gt;0.5,ISNUMBER(Z87),Z87&lt;EOMONTH(set_AsAt,-1)+1),3,0)</f>
        <v/>
      </c>
      <c r="AK87" s="54">
        <f>IF(AND(T87="Won",Y87&lt;-1),1,0)</f>
        <v/>
      </c>
      <c r="AL87" s="54">
        <f>SUM(AF87:AK87)</f>
        <v/>
      </c>
      <c r="AM87" s="9">
        <f>IF(AL87&gt;=set_ScoreHigh,"High",IF(AL87&gt;=set_ScoreMed,"Medium",IF(AL87&gt;0,"Low","OK")))</f>
        <v/>
      </c>
      <c r="AN87" s="54">
        <f>IF(OR(T87="Open",AND(T87="Won",ABS(Y87)&gt;0.5)),1,0)</f>
        <v/>
      </c>
      <c r="AO87" s="52">
        <f>IF(T87="Open",IF(V87=0,0,X87),IF(T87="Won",MAX(0,Y87),0))</f>
        <v/>
      </c>
      <c r="AP87" s="54">
        <f>IF(AN87=1,AL87*1E+9+U87+ROW()/1E+6,"")</f>
        <v/>
      </c>
      <c r="AQ87" s="9">
        <f>MID(IF(AF87&gt;0,"; Expected month passed - update Zoho","")&amp;IF(AG87&gt;0,"; "&amp;TEXT(U87/MAX(1,SUMIFS($U$2:$U$601,$T$2:$T$601,"Open")),"0%")&amp;" of open pipeline in one deal","")&amp;IF(AH87&gt;0,"; Large deal at an early stage","")&amp;IF(AI87&gt;0,"; No amount in Zoho","")&amp;IF(AJ87&gt;0,"; Won, invoice month passed, not fully invoiced","")&amp;IF(AK87&gt;0,"; Xero invoiced more than the deal value",""),3,300)</f>
        <v/>
      </c>
    </row>
    <row r="88">
      <c r="A88" s="51" t="n">
        <v>46265</v>
      </c>
      <c r="B88" t="inlineStr">
        <is>
          <t>ZOHO</t>
        </is>
      </c>
      <c r="C88" t="inlineStr">
        <is>
          <t>2608603</t>
        </is>
      </c>
      <c r="D88" t="inlineStr">
        <is>
          <t>PWC</t>
        </is>
      </c>
      <c r="E88" t="inlineStr">
        <is>
          <t>2608603</t>
        </is>
      </c>
      <c r="F88" t="inlineStr">
        <is>
          <t>CHECK</t>
        </is>
      </c>
      <c r="G88" t="inlineStr">
        <is>
          <t>ONSITE</t>
        </is>
      </c>
      <c r="H88" t="inlineStr">
        <is>
          <t>Pool of Hours - National AV / IT Support</t>
        </is>
      </c>
      <c r="I88" t="n">
        <v>8500</v>
      </c>
      <c r="J88" t="inlineStr">
        <is>
          <t>Won</t>
        </is>
      </c>
      <c r="K88" s="51" t="n">
        <v>46253</v>
      </c>
      <c r="L88" s="51" t="n">
        <v>46265</v>
      </c>
      <c r="M88" t="n">
        <v>0</v>
      </c>
      <c r="N88" t="n">
        <v>8500</v>
      </c>
      <c r="P88" t="inlineStr">
        <is>
          <t>Closed Won</t>
        </is>
      </c>
      <c r="Q88" t="n">
        <v>1</v>
      </c>
      <c r="R88" t="n">
        <v>8500</v>
      </c>
      <c r="T88" s="9">
        <f>IFERROR(INDEX($A88:$R88,MATCH("Status",$A$1:$R$1,0)),"")&amp;""</f>
        <v/>
      </c>
      <c r="U88" s="52">
        <f>IFERROR(N(IFERROR(INDEX($A88:$R88,MATCH("Value Ex GST",$A$1:$R$1,0)),"")),0)</f>
        <v/>
      </c>
      <c r="V88" s="54">
        <f>IF(AND(T88&lt;&gt;"",IFERROR(INDEX($A88:$R88,MATCH("Value Ex GST",$A$1:$R$1,0)),"")&amp;""&lt;&gt;""),1,0)</f>
        <v/>
      </c>
      <c r="W88" s="56">
        <f>IFERROR(N(IFERROR(INDEX($A88:$R88,MATCH("Probability",$A$1:$R$1,0)),"")),0)</f>
        <v/>
      </c>
      <c r="X88" s="52">
        <f>IF(T88="Open",U88*W88,0)</f>
        <v/>
      </c>
      <c r="Y88" s="52">
        <f>IF(T88="Won",IFERROR(N(IFERROR(INDEX($A88:$R88,MATCH("Still to Invoice",$A$1:$R$1,0)),"")),0),0)</f>
        <v/>
      </c>
      <c r="Z88" s="55">
        <f>IFERROR(EOMONTH(IFERROR(INDEX($A88:$R88,MATCH("Expected Invoice Month",$A$1:$R$1,0)),""),0),"")</f>
        <v/>
      </c>
      <c r="AA88" s="9">
        <f>IFERROR(INDEX($A88:$R88,MATCH("Cost Centre",$A$1:$R$1,0)),"")&amp;""</f>
        <v/>
      </c>
      <c r="AB88" s="9">
        <f>IFERROR(INDEX($A88:$R88,MATCH("Pipeline Stage",$A$1:$R$1,0)),"")&amp;""</f>
        <v/>
      </c>
      <c r="AC88" s="9">
        <f>IFERROR(INDEX($A88:$R88,MATCH("Client",$A$1:$R$1,0)),"")&amp;""</f>
        <v/>
      </c>
      <c r="AD88" s="9">
        <f>IFERROR(INDEX($A88:$R88,MATCH("Description",$A$1:$R$1,0)),"")&amp;""</f>
        <v/>
      </c>
      <c r="AE88" s="9">
        <f>IFERROR(INDEX($A88:$R88,MATCH("Job Number",$A$1:$R$1,0)),"")&amp;""</f>
        <v/>
      </c>
      <c r="AF88" s="54">
        <f>IF(AND(T88="Open",ISNUMBER(Z88),Z88&lt;EOMONTH(set_AsAt,-1)+1),3,0)</f>
        <v/>
      </c>
      <c r="AG88" s="54">
        <f>IF(AND(T88="Open",U88&gt;0,U88&gt;=set_DealShare*SUMIFS($U$2:$U$601,$T$2:$T$601,"Open")),3,0)</f>
        <v/>
      </c>
      <c r="AH88" s="54">
        <f>IF(AND(T88="Open",U88&gt;=set_BigValue,W88&lt;=set_EarlyProb),2,0)</f>
        <v/>
      </c>
      <c r="AI88" s="54">
        <f>IF(AND(OR(T88="Open",T88="Won"),V88=0),2,0)</f>
        <v/>
      </c>
      <c r="AJ88" s="54">
        <f>IF(AND(T88="Won",Y88&gt;0.5,ISNUMBER(Z88),Z88&lt;EOMONTH(set_AsAt,-1)+1),3,0)</f>
        <v/>
      </c>
      <c r="AK88" s="54">
        <f>IF(AND(T88="Won",Y88&lt;-1),1,0)</f>
        <v/>
      </c>
      <c r="AL88" s="54">
        <f>SUM(AF88:AK88)</f>
        <v/>
      </c>
      <c r="AM88" s="9">
        <f>IF(AL88&gt;=set_ScoreHigh,"High",IF(AL88&gt;=set_ScoreMed,"Medium",IF(AL88&gt;0,"Low","OK")))</f>
        <v/>
      </c>
      <c r="AN88" s="54">
        <f>IF(OR(T88="Open",AND(T88="Won",ABS(Y88)&gt;0.5)),1,0)</f>
        <v/>
      </c>
      <c r="AO88" s="52">
        <f>IF(T88="Open",IF(V88=0,0,X88),IF(T88="Won",MAX(0,Y88),0))</f>
        <v/>
      </c>
      <c r="AP88" s="54">
        <f>IF(AN88=1,AL88*1E+9+U88+ROW()/1E+6,"")</f>
        <v/>
      </c>
      <c r="AQ88" s="9">
        <f>MID(IF(AF88&gt;0,"; Expected month passed - update Zoho","")&amp;IF(AG88&gt;0,"; "&amp;TEXT(U88/MAX(1,SUMIFS($U$2:$U$601,$T$2:$T$601,"Open")),"0%")&amp;" of open pipeline in one deal","")&amp;IF(AH88&gt;0,"; Large deal at an early stage","")&amp;IF(AI88&gt;0,"; No amount in Zoho","")&amp;IF(AJ88&gt;0,"; Won, invoice month passed, not fully invoiced","")&amp;IF(AK88&gt;0,"; Xero invoiced more than the deal value",""),3,300)</f>
        <v/>
      </c>
    </row>
    <row r="89">
      <c r="A89" s="51" t="n">
        <v>46295</v>
      </c>
      <c r="B89" t="inlineStr">
        <is>
          <t>ZOHO</t>
        </is>
      </c>
      <c r="C89" t="inlineStr">
        <is>
          <t>2608102</t>
        </is>
      </c>
      <c r="D89" t="inlineStr">
        <is>
          <t>Australian Retirement Trust</t>
        </is>
      </c>
      <c r="E89" t="inlineStr">
        <is>
          <t>2608102</t>
        </is>
      </c>
      <c r="F89" t="inlineStr">
        <is>
          <t>OK</t>
        </is>
      </c>
      <c r="G89" t="inlineStr">
        <is>
          <t>PRODUCTION</t>
        </is>
      </c>
      <c r="H89" t="inlineStr">
        <is>
          <t>ART - Education Session Captioning - 25.11.26</t>
        </is>
      </c>
      <c r="I89" t="n">
        <v>889</v>
      </c>
      <c r="J89" t="inlineStr">
        <is>
          <t>Won</t>
        </is>
      </c>
      <c r="K89" s="51" t="n">
        <v>46274</v>
      </c>
      <c r="L89" s="51" t="n">
        <v>46356</v>
      </c>
      <c r="M89" t="n">
        <v>0</v>
      </c>
      <c r="N89" t="n">
        <v>889</v>
      </c>
      <c r="O89" t="inlineStr">
        <is>
          <t>Invoice month taken from the event date in the deal name</t>
        </is>
      </c>
      <c r="P89" t="inlineStr">
        <is>
          <t>Closed Won</t>
        </is>
      </c>
      <c r="Q89" t="n">
        <v>1</v>
      </c>
      <c r="R89" t="n">
        <v>889</v>
      </c>
      <c r="T89" s="9">
        <f>IFERROR(INDEX($A89:$R89,MATCH("Status",$A$1:$R$1,0)),"")&amp;""</f>
        <v/>
      </c>
      <c r="U89" s="52">
        <f>IFERROR(N(IFERROR(INDEX($A89:$R89,MATCH("Value Ex GST",$A$1:$R$1,0)),"")),0)</f>
        <v/>
      </c>
      <c r="V89" s="54">
        <f>IF(AND(T89&lt;&gt;"",IFERROR(INDEX($A89:$R89,MATCH("Value Ex GST",$A$1:$R$1,0)),"")&amp;""&lt;&gt;""),1,0)</f>
        <v/>
      </c>
      <c r="W89" s="56">
        <f>IFERROR(N(IFERROR(INDEX($A89:$R89,MATCH("Probability",$A$1:$R$1,0)),"")),0)</f>
        <v/>
      </c>
      <c r="X89" s="52">
        <f>IF(T89="Open",U89*W89,0)</f>
        <v/>
      </c>
      <c r="Y89" s="52">
        <f>IF(T89="Won",IFERROR(N(IFERROR(INDEX($A89:$R89,MATCH("Still to Invoice",$A$1:$R$1,0)),"")),0),0)</f>
        <v/>
      </c>
      <c r="Z89" s="55">
        <f>IFERROR(EOMONTH(IFERROR(INDEX($A89:$R89,MATCH("Expected Invoice Month",$A$1:$R$1,0)),""),0),"")</f>
        <v/>
      </c>
      <c r="AA89" s="9">
        <f>IFERROR(INDEX($A89:$R89,MATCH("Cost Centre",$A$1:$R$1,0)),"")&amp;""</f>
        <v/>
      </c>
      <c r="AB89" s="9">
        <f>IFERROR(INDEX($A89:$R89,MATCH("Pipeline Stage",$A$1:$R$1,0)),"")&amp;""</f>
        <v/>
      </c>
      <c r="AC89" s="9">
        <f>IFERROR(INDEX($A89:$R89,MATCH("Client",$A$1:$R$1,0)),"")&amp;""</f>
        <v/>
      </c>
      <c r="AD89" s="9">
        <f>IFERROR(INDEX($A89:$R89,MATCH("Description",$A$1:$R$1,0)),"")&amp;""</f>
        <v/>
      </c>
      <c r="AE89" s="9">
        <f>IFERROR(INDEX($A89:$R89,MATCH("Job Number",$A$1:$R$1,0)),"")&amp;""</f>
        <v/>
      </c>
      <c r="AF89" s="54">
        <f>IF(AND(T89="Open",ISNUMBER(Z89),Z89&lt;EOMONTH(set_AsAt,-1)+1),3,0)</f>
        <v/>
      </c>
      <c r="AG89" s="54">
        <f>IF(AND(T89="Open",U89&gt;0,U89&gt;=set_DealShare*SUMIFS($U$2:$U$601,$T$2:$T$601,"Open")),3,0)</f>
        <v/>
      </c>
      <c r="AH89" s="54">
        <f>IF(AND(T89="Open",U89&gt;=set_BigValue,W89&lt;=set_EarlyProb),2,0)</f>
        <v/>
      </c>
      <c r="AI89" s="54">
        <f>IF(AND(OR(T89="Open",T89="Won"),V89=0),2,0)</f>
        <v/>
      </c>
      <c r="AJ89" s="54">
        <f>IF(AND(T89="Won",Y89&gt;0.5,ISNUMBER(Z89),Z89&lt;EOMONTH(set_AsAt,-1)+1),3,0)</f>
        <v/>
      </c>
      <c r="AK89" s="54">
        <f>IF(AND(T89="Won",Y89&lt;-1),1,0)</f>
        <v/>
      </c>
      <c r="AL89" s="54">
        <f>SUM(AF89:AK89)</f>
        <v/>
      </c>
      <c r="AM89" s="9">
        <f>IF(AL89&gt;=set_ScoreHigh,"High",IF(AL89&gt;=set_ScoreMed,"Medium",IF(AL89&gt;0,"Low","OK")))</f>
        <v/>
      </c>
      <c r="AN89" s="54">
        <f>IF(OR(T89="Open",AND(T89="Won",ABS(Y89)&gt;0.5)),1,0)</f>
        <v/>
      </c>
      <c r="AO89" s="52">
        <f>IF(T89="Open",IF(V89=0,0,X89),IF(T89="Won",MAX(0,Y89),0))</f>
        <v/>
      </c>
      <c r="AP89" s="54">
        <f>IF(AN89=1,AL89*1E+9+U89+ROW()/1E+6,"")</f>
        <v/>
      </c>
      <c r="AQ89" s="9">
        <f>MID(IF(AF89&gt;0,"; Expected month passed - update Zoho","")&amp;IF(AG89&gt;0,"; "&amp;TEXT(U89/MAX(1,SUMIFS($U$2:$U$601,$T$2:$T$601,"Open")),"0%")&amp;" of open pipeline in one deal","")&amp;IF(AH89&gt;0,"; Large deal at an early stage","")&amp;IF(AI89&gt;0,"; No amount in Zoho","")&amp;IF(AJ89&gt;0,"; Won, invoice month passed, not fully invoiced","")&amp;IF(AK89&gt;0,"; Xero invoiced more than the deal value",""),3,300)</f>
        <v/>
      </c>
    </row>
    <row r="90">
      <c r="A90" s="51" t="n">
        <v>46234</v>
      </c>
      <c r="B90" t="inlineStr">
        <is>
          <t>ZOHO</t>
        </is>
      </c>
      <c r="C90" t="inlineStr">
        <is>
          <t>2608404</t>
        </is>
      </c>
      <c r="D90" t="inlineStr">
        <is>
          <t>St Vincent's Public Hospital Sydney (SVHS)</t>
        </is>
      </c>
      <c r="E90" t="inlineStr">
        <is>
          <t>2608404</t>
        </is>
      </c>
      <c r="F90" t="inlineStr">
        <is>
          <t>OK</t>
        </is>
      </c>
      <c r="G90" t="inlineStr">
        <is>
          <t>PRODUCTION</t>
        </is>
      </c>
      <c r="H90" t="inlineStr">
        <is>
          <t>St Vincents Public Hospital - Awards Night - 26.8.25</t>
        </is>
      </c>
      <c r="I90" t="n">
        <v>495</v>
      </c>
      <c r="J90" t="inlineStr">
        <is>
          <t>Won</t>
        </is>
      </c>
      <c r="K90" s="51" t="n">
        <v>46220</v>
      </c>
      <c r="L90" s="51" t="n">
        <v>46234</v>
      </c>
      <c r="M90" t="n">
        <v>495</v>
      </c>
      <c r="N90" t="n">
        <v>0</v>
      </c>
      <c r="P90" t="inlineStr">
        <is>
          <t>Closed Won</t>
        </is>
      </c>
      <c r="Q90" t="n">
        <v>1</v>
      </c>
      <c r="R90" t="n">
        <v>495</v>
      </c>
      <c r="T90" s="9">
        <f>IFERROR(INDEX($A90:$R90,MATCH("Status",$A$1:$R$1,0)),"")&amp;""</f>
        <v/>
      </c>
      <c r="U90" s="52">
        <f>IFERROR(N(IFERROR(INDEX($A90:$R90,MATCH("Value Ex GST",$A$1:$R$1,0)),"")),0)</f>
        <v/>
      </c>
      <c r="V90" s="54">
        <f>IF(AND(T90&lt;&gt;"",IFERROR(INDEX($A90:$R90,MATCH("Value Ex GST",$A$1:$R$1,0)),"")&amp;""&lt;&gt;""),1,0)</f>
        <v/>
      </c>
      <c r="W90" s="56">
        <f>IFERROR(N(IFERROR(INDEX($A90:$R90,MATCH("Probability",$A$1:$R$1,0)),"")),0)</f>
        <v/>
      </c>
      <c r="X90" s="52">
        <f>IF(T90="Open",U90*W90,0)</f>
        <v/>
      </c>
      <c r="Y90" s="52">
        <f>IF(T90="Won",IFERROR(N(IFERROR(INDEX($A90:$R90,MATCH("Still to Invoice",$A$1:$R$1,0)),"")),0),0)</f>
        <v/>
      </c>
      <c r="Z90" s="55">
        <f>IFERROR(EOMONTH(IFERROR(INDEX($A90:$R90,MATCH("Expected Invoice Month",$A$1:$R$1,0)),""),0),"")</f>
        <v/>
      </c>
      <c r="AA90" s="9">
        <f>IFERROR(INDEX($A90:$R90,MATCH("Cost Centre",$A$1:$R$1,0)),"")&amp;""</f>
        <v/>
      </c>
      <c r="AB90" s="9">
        <f>IFERROR(INDEX($A90:$R90,MATCH("Pipeline Stage",$A$1:$R$1,0)),"")&amp;""</f>
        <v/>
      </c>
      <c r="AC90" s="9">
        <f>IFERROR(INDEX($A90:$R90,MATCH("Client",$A$1:$R$1,0)),"")&amp;""</f>
        <v/>
      </c>
      <c r="AD90" s="9">
        <f>IFERROR(INDEX($A90:$R90,MATCH("Description",$A$1:$R$1,0)),"")&amp;""</f>
        <v/>
      </c>
      <c r="AE90" s="9">
        <f>IFERROR(INDEX($A90:$R90,MATCH("Job Number",$A$1:$R$1,0)),"")&amp;""</f>
        <v/>
      </c>
      <c r="AF90" s="54">
        <f>IF(AND(T90="Open",ISNUMBER(Z90),Z90&lt;EOMONTH(set_AsAt,-1)+1),3,0)</f>
        <v/>
      </c>
      <c r="AG90" s="54">
        <f>IF(AND(T90="Open",U90&gt;0,U90&gt;=set_DealShare*SUMIFS($U$2:$U$601,$T$2:$T$601,"Open")),3,0)</f>
        <v/>
      </c>
      <c r="AH90" s="54">
        <f>IF(AND(T90="Open",U90&gt;=set_BigValue,W90&lt;=set_EarlyProb),2,0)</f>
        <v/>
      </c>
      <c r="AI90" s="54">
        <f>IF(AND(OR(T90="Open",T90="Won"),V90=0),2,0)</f>
        <v/>
      </c>
      <c r="AJ90" s="54">
        <f>IF(AND(T90="Won",Y90&gt;0.5,ISNUMBER(Z90),Z90&lt;EOMONTH(set_AsAt,-1)+1),3,0)</f>
        <v/>
      </c>
      <c r="AK90" s="54">
        <f>IF(AND(T90="Won",Y90&lt;-1),1,0)</f>
        <v/>
      </c>
      <c r="AL90" s="54">
        <f>SUM(AF90:AK90)</f>
        <v/>
      </c>
      <c r="AM90" s="9">
        <f>IF(AL90&gt;=set_ScoreHigh,"High",IF(AL90&gt;=set_ScoreMed,"Medium",IF(AL90&gt;0,"Low","OK")))</f>
        <v/>
      </c>
      <c r="AN90" s="54">
        <f>IF(OR(T90="Open",AND(T90="Won",ABS(Y90)&gt;0.5)),1,0)</f>
        <v/>
      </c>
      <c r="AO90" s="52">
        <f>IF(T90="Open",IF(V90=0,0,X90),IF(T90="Won",MAX(0,Y90),0))</f>
        <v/>
      </c>
      <c r="AP90" s="54">
        <f>IF(AN90=1,AL90*1E+9+U90+ROW()/1E+6,"")</f>
        <v/>
      </c>
      <c r="AQ90" s="9">
        <f>MID(IF(AF90&gt;0,"; Expected month passed - update Zoho","")&amp;IF(AG90&gt;0,"; "&amp;TEXT(U90/MAX(1,SUMIFS($U$2:$U$601,$T$2:$T$601,"Open")),"0%")&amp;" of open pipeline in one deal","")&amp;IF(AH90&gt;0,"; Large deal at an early stage","")&amp;IF(AI90&gt;0,"; No amount in Zoho","")&amp;IF(AJ90&gt;0,"; Won, invoice month passed, not fully invoiced","")&amp;IF(AK90&gt;0,"; Xero invoiced more than the deal value",""),3,300)</f>
        <v/>
      </c>
    </row>
    <row r="91">
      <c r="A91" s="51" t="n">
        <v>46265</v>
      </c>
      <c r="B91" t="inlineStr">
        <is>
          <t>ZOHO</t>
        </is>
      </c>
      <c r="C91" t="inlineStr">
        <is>
          <t>2608702</t>
        </is>
      </c>
      <c r="D91" t="inlineStr">
        <is>
          <t>APA</t>
        </is>
      </c>
      <c r="E91" t="inlineStr">
        <is>
          <t>2608702</t>
        </is>
      </c>
      <c r="F91" t="inlineStr">
        <is>
          <t>OK</t>
        </is>
      </c>
      <c r="G91" t="inlineStr">
        <is>
          <t>PRODUCTION</t>
        </is>
      </c>
      <c r="H91" t="inlineStr">
        <is>
          <t>APA - Qtly All Hands SYD Screen Hire - 20.8.26</t>
        </is>
      </c>
      <c r="I91" t="n">
        <v>830</v>
      </c>
      <c r="J91" t="inlineStr">
        <is>
          <t>Won</t>
        </is>
      </c>
      <c r="K91" s="51" t="n">
        <v>46241</v>
      </c>
      <c r="L91" s="51" t="n">
        <v>46265</v>
      </c>
      <c r="M91" t="n">
        <v>830</v>
      </c>
      <c r="N91" t="n">
        <v>0</v>
      </c>
      <c r="P91" t="inlineStr">
        <is>
          <t>Closed Won</t>
        </is>
      </c>
      <c r="Q91" t="n">
        <v>1</v>
      </c>
      <c r="R91" t="n">
        <v>830</v>
      </c>
      <c r="T91" s="9">
        <f>IFERROR(INDEX($A91:$R91,MATCH("Status",$A$1:$R$1,0)),"")&amp;""</f>
        <v/>
      </c>
      <c r="U91" s="52">
        <f>IFERROR(N(IFERROR(INDEX($A91:$R91,MATCH("Value Ex GST",$A$1:$R$1,0)),"")),0)</f>
        <v/>
      </c>
      <c r="V91" s="54">
        <f>IF(AND(T91&lt;&gt;"",IFERROR(INDEX($A91:$R91,MATCH("Value Ex GST",$A$1:$R$1,0)),"")&amp;""&lt;&gt;""),1,0)</f>
        <v/>
      </c>
      <c r="W91" s="56">
        <f>IFERROR(N(IFERROR(INDEX($A91:$R91,MATCH("Probability",$A$1:$R$1,0)),"")),0)</f>
        <v/>
      </c>
      <c r="X91" s="52">
        <f>IF(T91="Open",U91*W91,0)</f>
        <v/>
      </c>
      <c r="Y91" s="52">
        <f>IF(T91="Won",IFERROR(N(IFERROR(INDEX($A91:$R91,MATCH("Still to Invoice",$A$1:$R$1,0)),"")),0),0)</f>
        <v/>
      </c>
      <c r="Z91" s="55">
        <f>IFERROR(EOMONTH(IFERROR(INDEX($A91:$R91,MATCH("Expected Invoice Month",$A$1:$R$1,0)),""),0),"")</f>
        <v/>
      </c>
      <c r="AA91" s="9">
        <f>IFERROR(INDEX($A91:$R91,MATCH("Cost Centre",$A$1:$R$1,0)),"")&amp;""</f>
        <v/>
      </c>
      <c r="AB91" s="9">
        <f>IFERROR(INDEX($A91:$R91,MATCH("Pipeline Stage",$A$1:$R$1,0)),"")&amp;""</f>
        <v/>
      </c>
      <c r="AC91" s="9">
        <f>IFERROR(INDEX($A91:$R91,MATCH("Client",$A$1:$R$1,0)),"")&amp;""</f>
        <v/>
      </c>
      <c r="AD91" s="9">
        <f>IFERROR(INDEX($A91:$R91,MATCH("Description",$A$1:$R$1,0)),"")&amp;""</f>
        <v/>
      </c>
      <c r="AE91" s="9">
        <f>IFERROR(INDEX($A91:$R91,MATCH("Job Number",$A$1:$R$1,0)),"")&amp;""</f>
        <v/>
      </c>
      <c r="AF91" s="54">
        <f>IF(AND(T91="Open",ISNUMBER(Z91),Z91&lt;EOMONTH(set_AsAt,-1)+1),3,0)</f>
        <v/>
      </c>
      <c r="AG91" s="54">
        <f>IF(AND(T91="Open",U91&gt;0,U91&gt;=set_DealShare*SUMIFS($U$2:$U$601,$T$2:$T$601,"Open")),3,0)</f>
        <v/>
      </c>
      <c r="AH91" s="54">
        <f>IF(AND(T91="Open",U91&gt;=set_BigValue,W91&lt;=set_EarlyProb),2,0)</f>
        <v/>
      </c>
      <c r="AI91" s="54">
        <f>IF(AND(OR(T91="Open",T91="Won"),V91=0),2,0)</f>
        <v/>
      </c>
      <c r="AJ91" s="54">
        <f>IF(AND(T91="Won",Y91&gt;0.5,ISNUMBER(Z91),Z91&lt;EOMONTH(set_AsAt,-1)+1),3,0)</f>
        <v/>
      </c>
      <c r="AK91" s="54">
        <f>IF(AND(T91="Won",Y91&lt;-1),1,0)</f>
        <v/>
      </c>
      <c r="AL91" s="54">
        <f>SUM(AF91:AK91)</f>
        <v/>
      </c>
      <c r="AM91" s="9">
        <f>IF(AL91&gt;=set_ScoreHigh,"High",IF(AL91&gt;=set_ScoreMed,"Medium",IF(AL91&gt;0,"Low","OK")))</f>
        <v/>
      </c>
      <c r="AN91" s="54">
        <f>IF(OR(T91="Open",AND(T91="Won",ABS(Y91)&gt;0.5)),1,0)</f>
        <v/>
      </c>
      <c r="AO91" s="52">
        <f>IF(T91="Open",IF(V91=0,0,X91),IF(T91="Won",MAX(0,Y91),0))</f>
        <v/>
      </c>
      <c r="AP91" s="54">
        <f>IF(AN91=1,AL91*1E+9+U91+ROW()/1E+6,"")</f>
        <v/>
      </c>
      <c r="AQ91" s="9">
        <f>MID(IF(AF91&gt;0,"; Expected month passed - update Zoho","")&amp;IF(AG91&gt;0,"; "&amp;TEXT(U91/MAX(1,SUMIFS($U$2:$U$601,$T$2:$T$601,"Open")),"0%")&amp;" of open pipeline in one deal","")&amp;IF(AH91&gt;0,"; Large deal at an early stage","")&amp;IF(AI91&gt;0,"; No amount in Zoho","")&amp;IF(AJ91&gt;0,"; Won, invoice month passed, not fully invoiced","")&amp;IF(AK91&gt;0,"; Xero invoiced more than the deal value",""),3,300)</f>
        <v/>
      </c>
    </row>
    <row r="92">
      <c r="A92" s="51" t="n">
        <v>46234</v>
      </c>
      <c r="B92" t="inlineStr">
        <is>
          <t>ZOHO</t>
        </is>
      </c>
      <c r="C92" t="inlineStr">
        <is>
          <t>26061608</t>
        </is>
      </c>
      <c r="D92" t="inlineStr">
        <is>
          <t>APA</t>
        </is>
      </c>
      <c r="E92" t="inlineStr">
        <is>
          <t>26061608</t>
        </is>
      </c>
      <c r="F92" t="inlineStr">
        <is>
          <t>OK</t>
        </is>
      </c>
      <c r="G92" t="inlineStr">
        <is>
          <t>PRODUCTION</t>
        </is>
      </c>
      <c r="H92" t="inlineStr">
        <is>
          <t>APA - Qtly All Hands Sydney - Feb 27</t>
        </is>
      </c>
      <c r="I92" t="n">
        <v>12601</v>
      </c>
      <c r="J92" t="inlineStr">
        <is>
          <t>Won</t>
        </is>
      </c>
      <c r="K92" s="51" t="n">
        <v>46211</v>
      </c>
      <c r="L92" s="51" t="n">
        <v>46234</v>
      </c>
      <c r="M92" t="n">
        <v>0</v>
      </c>
      <c r="N92" t="n">
        <v>12601</v>
      </c>
      <c r="P92" t="inlineStr">
        <is>
          <t>Closed Won</t>
        </is>
      </c>
      <c r="Q92" t="n">
        <v>1</v>
      </c>
      <c r="R92" t="n">
        <v>12601</v>
      </c>
      <c r="T92" s="9">
        <f>IFERROR(INDEX($A92:$R92,MATCH("Status",$A$1:$R$1,0)),"")&amp;""</f>
        <v/>
      </c>
      <c r="U92" s="52">
        <f>IFERROR(N(IFERROR(INDEX($A92:$R92,MATCH("Value Ex GST",$A$1:$R$1,0)),"")),0)</f>
        <v/>
      </c>
      <c r="V92" s="54">
        <f>IF(AND(T92&lt;&gt;"",IFERROR(INDEX($A92:$R92,MATCH("Value Ex GST",$A$1:$R$1,0)),"")&amp;""&lt;&gt;""),1,0)</f>
        <v/>
      </c>
      <c r="W92" s="56">
        <f>IFERROR(N(IFERROR(INDEX($A92:$R92,MATCH("Probability",$A$1:$R$1,0)),"")),0)</f>
        <v/>
      </c>
      <c r="X92" s="52">
        <f>IF(T92="Open",U92*W92,0)</f>
        <v/>
      </c>
      <c r="Y92" s="52">
        <f>IF(T92="Won",IFERROR(N(IFERROR(INDEX($A92:$R92,MATCH("Still to Invoice",$A$1:$R$1,0)),"")),0),0)</f>
        <v/>
      </c>
      <c r="Z92" s="55">
        <f>IFERROR(EOMONTH(IFERROR(INDEX($A92:$R92,MATCH("Expected Invoice Month",$A$1:$R$1,0)),""),0),"")</f>
        <v/>
      </c>
      <c r="AA92" s="9">
        <f>IFERROR(INDEX($A92:$R92,MATCH("Cost Centre",$A$1:$R$1,0)),"")&amp;""</f>
        <v/>
      </c>
      <c r="AB92" s="9">
        <f>IFERROR(INDEX($A92:$R92,MATCH("Pipeline Stage",$A$1:$R$1,0)),"")&amp;""</f>
        <v/>
      </c>
      <c r="AC92" s="9">
        <f>IFERROR(INDEX($A92:$R92,MATCH("Client",$A$1:$R$1,0)),"")&amp;""</f>
        <v/>
      </c>
      <c r="AD92" s="9">
        <f>IFERROR(INDEX($A92:$R92,MATCH("Description",$A$1:$R$1,0)),"")&amp;""</f>
        <v/>
      </c>
      <c r="AE92" s="9">
        <f>IFERROR(INDEX($A92:$R92,MATCH("Job Number",$A$1:$R$1,0)),"")&amp;""</f>
        <v/>
      </c>
      <c r="AF92" s="54">
        <f>IF(AND(T92="Open",ISNUMBER(Z92),Z92&lt;EOMONTH(set_AsAt,-1)+1),3,0)</f>
        <v/>
      </c>
      <c r="AG92" s="54">
        <f>IF(AND(T92="Open",U92&gt;0,U92&gt;=set_DealShare*SUMIFS($U$2:$U$601,$T$2:$T$601,"Open")),3,0)</f>
        <v/>
      </c>
      <c r="AH92" s="54">
        <f>IF(AND(T92="Open",U92&gt;=set_BigValue,W92&lt;=set_EarlyProb),2,0)</f>
        <v/>
      </c>
      <c r="AI92" s="54">
        <f>IF(AND(OR(T92="Open",T92="Won"),V92=0),2,0)</f>
        <v/>
      </c>
      <c r="AJ92" s="54">
        <f>IF(AND(T92="Won",Y92&gt;0.5,ISNUMBER(Z92),Z92&lt;EOMONTH(set_AsAt,-1)+1),3,0)</f>
        <v/>
      </c>
      <c r="AK92" s="54">
        <f>IF(AND(T92="Won",Y92&lt;-1),1,0)</f>
        <v/>
      </c>
      <c r="AL92" s="54">
        <f>SUM(AF92:AK92)</f>
        <v/>
      </c>
      <c r="AM92" s="9">
        <f>IF(AL92&gt;=set_ScoreHigh,"High",IF(AL92&gt;=set_ScoreMed,"Medium",IF(AL92&gt;0,"Low","OK")))</f>
        <v/>
      </c>
      <c r="AN92" s="54">
        <f>IF(OR(T92="Open",AND(T92="Won",ABS(Y92)&gt;0.5)),1,0)</f>
        <v/>
      </c>
      <c r="AO92" s="52">
        <f>IF(T92="Open",IF(V92=0,0,X92),IF(T92="Won",MAX(0,Y92),0))</f>
        <v/>
      </c>
      <c r="AP92" s="54">
        <f>IF(AN92=1,AL92*1E+9+U92+ROW()/1E+6,"")</f>
        <v/>
      </c>
      <c r="AQ92" s="9">
        <f>MID(IF(AF92&gt;0,"; Expected month passed - update Zoho","")&amp;IF(AG92&gt;0,"; "&amp;TEXT(U92/MAX(1,SUMIFS($U$2:$U$601,$T$2:$T$601,"Open")),"0%")&amp;" of open pipeline in one deal","")&amp;IF(AH92&gt;0,"; Large deal at an early stage","")&amp;IF(AI92&gt;0,"; No amount in Zoho","")&amp;IF(AJ92&gt;0,"; Won, invoice month passed, not fully invoiced","")&amp;IF(AK92&gt;0,"; Xero invoiced more than the deal value",""),3,300)</f>
        <v/>
      </c>
    </row>
    <row r="93">
      <c r="A93" s="51" t="n">
        <v>46295</v>
      </c>
      <c r="B93" t="inlineStr">
        <is>
          <t>ZOHO</t>
        </is>
      </c>
      <c r="C93" t="inlineStr">
        <is>
          <t>26091601</t>
        </is>
      </c>
      <c r="D93" t="inlineStr">
        <is>
          <t>Automic Group</t>
        </is>
      </c>
      <c r="E93" t="inlineStr">
        <is>
          <t>26091601</t>
        </is>
      </c>
      <c r="F93" t="inlineStr">
        <is>
          <t>OK</t>
        </is>
      </c>
      <c r="G93" t="inlineStr">
        <is>
          <t>PRODUCTION</t>
        </is>
      </c>
      <c r="H93" t="inlineStr">
        <is>
          <t>Automic - September All Hands - 25.9.26</t>
        </is>
      </c>
      <c r="I93" t="n">
        <v>7978</v>
      </c>
      <c r="J93" t="inlineStr">
        <is>
          <t>Won</t>
        </is>
      </c>
      <c r="K93" s="51" t="n">
        <v>46290</v>
      </c>
      <c r="L93" s="51" t="n">
        <v>46295</v>
      </c>
      <c r="M93" t="n">
        <v>0</v>
      </c>
      <c r="N93" t="n">
        <v>7978</v>
      </c>
      <c r="P93" t="inlineStr">
        <is>
          <t>Closed Won</t>
        </is>
      </c>
      <c r="Q93" t="n">
        <v>1</v>
      </c>
      <c r="R93" t="n">
        <v>7978</v>
      </c>
      <c r="T93" s="9">
        <f>IFERROR(INDEX($A93:$R93,MATCH("Status",$A$1:$R$1,0)),"")&amp;""</f>
        <v/>
      </c>
      <c r="U93" s="52">
        <f>IFERROR(N(IFERROR(INDEX($A93:$R93,MATCH("Value Ex GST",$A$1:$R$1,0)),"")),0)</f>
        <v/>
      </c>
      <c r="V93" s="54">
        <f>IF(AND(T93&lt;&gt;"",IFERROR(INDEX($A93:$R93,MATCH("Value Ex GST",$A$1:$R$1,0)),"")&amp;""&lt;&gt;""),1,0)</f>
        <v/>
      </c>
      <c r="W93" s="56">
        <f>IFERROR(N(IFERROR(INDEX($A93:$R93,MATCH("Probability",$A$1:$R$1,0)),"")),0)</f>
        <v/>
      </c>
      <c r="X93" s="52">
        <f>IF(T93="Open",U93*W93,0)</f>
        <v/>
      </c>
      <c r="Y93" s="52">
        <f>IF(T93="Won",IFERROR(N(IFERROR(INDEX($A93:$R93,MATCH("Still to Invoice",$A$1:$R$1,0)),"")),0),0)</f>
        <v/>
      </c>
      <c r="Z93" s="55">
        <f>IFERROR(EOMONTH(IFERROR(INDEX($A93:$R93,MATCH("Expected Invoice Month",$A$1:$R$1,0)),""),0),"")</f>
        <v/>
      </c>
      <c r="AA93" s="9">
        <f>IFERROR(INDEX($A93:$R93,MATCH("Cost Centre",$A$1:$R$1,0)),"")&amp;""</f>
        <v/>
      </c>
      <c r="AB93" s="9">
        <f>IFERROR(INDEX($A93:$R93,MATCH("Pipeline Stage",$A$1:$R$1,0)),"")&amp;""</f>
        <v/>
      </c>
      <c r="AC93" s="9">
        <f>IFERROR(INDEX($A93:$R93,MATCH("Client",$A$1:$R$1,0)),"")&amp;""</f>
        <v/>
      </c>
      <c r="AD93" s="9">
        <f>IFERROR(INDEX($A93:$R93,MATCH("Description",$A$1:$R$1,0)),"")&amp;""</f>
        <v/>
      </c>
      <c r="AE93" s="9">
        <f>IFERROR(INDEX($A93:$R93,MATCH("Job Number",$A$1:$R$1,0)),"")&amp;""</f>
        <v/>
      </c>
      <c r="AF93" s="54">
        <f>IF(AND(T93="Open",ISNUMBER(Z93),Z93&lt;EOMONTH(set_AsAt,-1)+1),3,0)</f>
        <v/>
      </c>
      <c r="AG93" s="54">
        <f>IF(AND(T93="Open",U93&gt;0,U93&gt;=set_DealShare*SUMIFS($U$2:$U$601,$T$2:$T$601,"Open")),3,0)</f>
        <v/>
      </c>
      <c r="AH93" s="54">
        <f>IF(AND(T93="Open",U93&gt;=set_BigValue,W93&lt;=set_EarlyProb),2,0)</f>
        <v/>
      </c>
      <c r="AI93" s="54">
        <f>IF(AND(OR(T93="Open",T93="Won"),V93=0),2,0)</f>
        <v/>
      </c>
      <c r="AJ93" s="54">
        <f>IF(AND(T93="Won",Y93&gt;0.5,ISNUMBER(Z93),Z93&lt;EOMONTH(set_AsAt,-1)+1),3,0)</f>
        <v/>
      </c>
      <c r="AK93" s="54">
        <f>IF(AND(T93="Won",Y93&lt;-1),1,0)</f>
        <v/>
      </c>
      <c r="AL93" s="54">
        <f>SUM(AF93:AK93)</f>
        <v/>
      </c>
      <c r="AM93" s="9">
        <f>IF(AL93&gt;=set_ScoreHigh,"High",IF(AL93&gt;=set_ScoreMed,"Medium",IF(AL93&gt;0,"Low","OK")))</f>
        <v/>
      </c>
      <c r="AN93" s="54">
        <f>IF(OR(T93="Open",AND(T93="Won",ABS(Y93)&gt;0.5)),1,0)</f>
        <v/>
      </c>
      <c r="AO93" s="52">
        <f>IF(T93="Open",IF(V93=0,0,X93),IF(T93="Won",MAX(0,Y93),0))</f>
        <v/>
      </c>
      <c r="AP93" s="54">
        <f>IF(AN93=1,AL93*1E+9+U93+ROW()/1E+6,"")</f>
        <v/>
      </c>
      <c r="AQ93" s="9">
        <f>MID(IF(AF93&gt;0,"; Expected month passed - update Zoho","")&amp;IF(AG93&gt;0,"; "&amp;TEXT(U93/MAX(1,SUMIFS($U$2:$U$601,$T$2:$T$601,"Open")),"0%")&amp;" of open pipeline in one deal","")&amp;IF(AH93&gt;0,"; Large deal at an early stage","")&amp;IF(AI93&gt;0,"; No amount in Zoho","")&amp;IF(AJ93&gt;0,"; Won, invoice month passed, not fully invoiced","")&amp;IF(AK93&gt;0,"; Xero invoiced more than the deal value",""),3,300)</f>
        <v/>
      </c>
    </row>
    <row r="94">
      <c r="A94" s="51" t="n">
        <v>46234</v>
      </c>
      <c r="B94" t="inlineStr">
        <is>
          <t>ZOHO</t>
        </is>
      </c>
      <c r="C94" t="inlineStr">
        <is>
          <t>2604202</t>
        </is>
      </c>
      <c r="D94" t="inlineStr">
        <is>
          <t>Ventia</t>
        </is>
      </c>
      <c r="E94" t="inlineStr">
        <is>
          <t>2604202</t>
        </is>
      </c>
      <c r="F94" t="inlineStr">
        <is>
          <t>OK</t>
        </is>
      </c>
      <c r="G94" t="inlineStr">
        <is>
          <t>PRODUCTION</t>
        </is>
      </c>
      <c r="H94" t="inlineStr">
        <is>
          <t>Ventia - Ventia Awards - 30.7.26</t>
        </is>
      </c>
      <c r="I94" t="n">
        <v>52750</v>
      </c>
      <c r="J94" t="inlineStr">
        <is>
          <t>Won</t>
        </is>
      </c>
      <c r="K94" s="51" t="n">
        <v>46224</v>
      </c>
      <c r="L94" s="51" t="n">
        <v>46234</v>
      </c>
      <c r="M94" t="n">
        <v>52749.78</v>
      </c>
      <c r="N94" t="n">
        <v>0.220000000001164</v>
      </c>
      <c r="P94" t="inlineStr">
        <is>
          <t>Closed Won</t>
        </is>
      </c>
      <c r="Q94" t="n">
        <v>1</v>
      </c>
      <c r="R94" t="n">
        <v>52750</v>
      </c>
      <c r="T94" s="9">
        <f>IFERROR(INDEX($A94:$R94,MATCH("Status",$A$1:$R$1,0)),"")&amp;""</f>
        <v/>
      </c>
      <c r="U94" s="52">
        <f>IFERROR(N(IFERROR(INDEX($A94:$R94,MATCH("Value Ex GST",$A$1:$R$1,0)),"")),0)</f>
        <v/>
      </c>
      <c r="V94" s="54">
        <f>IF(AND(T94&lt;&gt;"",IFERROR(INDEX($A94:$R94,MATCH("Value Ex GST",$A$1:$R$1,0)),"")&amp;""&lt;&gt;""),1,0)</f>
        <v/>
      </c>
      <c r="W94" s="56">
        <f>IFERROR(N(IFERROR(INDEX($A94:$R94,MATCH("Probability",$A$1:$R$1,0)),"")),0)</f>
        <v/>
      </c>
      <c r="X94" s="52">
        <f>IF(T94="Open",U94*W94,0)</f>
        <v/>
      </c>
      <c r="Y94" s="52">
        <f>IF(T94="Won",IFERROR(N(IFERROR(INDEX($A94:$R94,MATCH("Still to Invoice",$A$1:$R$1,0)),"")),0),0)</f>
        <v/>
      </c>
      <c r="Z94" s="55">
        <f>IFERROR(EOMONTH(IFERROR(INDEX($A94:$R94,MATCH("Expected Invoice Month",$A$1:$R$1,0)),""),0),"")</f>
        <v/>
      </c>
      <c r="AA94" s="9">
        <f>IFERROR(INDEX($A94:$R94,MATCH("Cost Centre",$A$1:$R$1,0)),"")&amp;""</f>
        <v/>
      </c>
      <c r="AB94" s="9">
        <f>IFERROR(INDEX($A94:$R94,MATCH("Pipeline Stage",$A$1:$R$1,0)),"")&amp;""</f>
        <v/>
      </c>
      <c r="AC94" s="9">
        <f>IFERROR(INDEX($A94:$R94,MATCH("Client",$A$1:$R$1,0)),"")&amp;""</f>
        <v/>
      </c>
      <c r="AD94" s="9">
        <f>IFERROR(INDEX($A94:$R94,MATCH("Description",$A$1:$R$1,0)),"")&amp;""</f>
        <v/>
      </c>
      <c r="AE94" s="9">
        <f>IFERROR(INDEX($A94:$R94,MATCH("Job Number",$A$1:$R$1,0)),"")&amp;""</f>
        <v/>
      </c>
      <c r="AF94" s="54">
        <f>IF(AND(T94="Open",ISNUMBER(Z94),Z94&lt;EOMONTH(set_AsAt,-1)+1),3,0)</f>
        <v/>
      </c>
      <c r="AG94" s="54">
        <f>IF(AND(T94="Open",U94&gt;0,U94&gt;=set_DealShare*SUMIFS($U$2:$U$601,$T$2:$T$601,"Open")),3,0)</f>
        <v/>
      </c>
      <c r="AH94" s="54">
        <f>IF(AND(T94="Open",U94&gt;=set_BigValue,W94&lt;=set_EarlyProb),2,0)</f>
        <v/>
      </c>
      <c r="AI94" s="54">
        <f>IF(AND(OR(T94="Open",T94="Won"),V94=0),2,0)</f>
        <v/>
      </c>
      <c r="AJ94" s="54">
        <f>IF(AND(T94="Won",Y94&gt;0.5,ISNUMBER(Z94),Z94&lt;EOMONTH(set_AsAt,-1)+1),3,0)</f>
        <v/>
      </c>
      <c r="AK94" s="54">
        <f>IF(AND(T94="Won",Y94&lt;-1),1,0)</f>
        <v/>
      </c>
      <c r="AL94" s="54">
        <f>SUM(AF94:AK94)</f>
        <v/>
      </c>
      <c r="AM94" s="9">
        <f>IF(AL94&gt;=set_ScoreHigh,"High",IF(AL94&gt;=set_ScoreMed,"Medium",IF(AL94&gt;0,"Low","OK")))</f>
        <v/>
      </c>
      <c r="AN94" s="54">
        <f>IF(OR(T94="Open",AND(T94="Won",ABS(Y94)&gt;0.5)),1,0)</f>
        <v/>
      </c>
      <c r="AO94" s="52">
        <f>IF(T94="Open",IF(V94=0,0,X94),IF(T94="Won",MAX(0,Y94),0))</f>
        <v/>
      </c>
      <c r="AP94" s="54">
        <f>IF(AN94=1,AL94*1E+9+U94+ROW()/1E+6,"")</f>
        <v/>
      </c>
      <c r="AQ94" s="9">
        <f>MID(IF(AF94&gt;0,"; Expected month passed - update Zoho","")&amp;IF(AG94&gt;0,"; "&amp;TEXT(U94/MAX(1,SUMIFS($U$2:$U$601,$T$2:$T$601,"Open")),"0%")&amp;" of open pipeline in one deal","")&amp;IF(AH94&gt;0,"; Large deal at an early stage","")&amp;IF(AI94&gt;0,"; No amount in Zoho","")&amp;IF(AJ94&gt;0,"; Won, invoice month passed, not fully invoiced","")&amp;IF(AK94&gt;0,"; Xero invoiced more than the deal value",""),3,300)</f>
        <v/>
      </c>
    </row>
    <row r="95">
      <c r="A95" s="51" t="n">
        <v>46265</v>
      </c>
      <c r="B95" t="inlineStr">
        <is>
          <t>ZOHO</t>
        </is>
      </c>
      <c r="C95" t="inlineStr">
        <is>
          <t>26072802</t>
        </is>
      </c>
      <c r="D95" t="inlineStr">
        <is>
          <t>ON24</t>
        </is>
      </c>
      <c r="E95" t="inlineStr">
        <is>
          <t>26072802</t>
        </is>
      </c>
      <c r="F95" t="inlineStr">
        <is>
          <t>OK</t>
        </is>
      </c>
      <c r="G95" t="inlineStr">
        <is>
          <t>PRODUCTION</t>
        </is>
      </c>
      <c r="H95" t="inlineStr">
        <is>
          <t>ON24 - KWM Sydney Event - 18.08.2026</t>
        </is>
      </c>
      <c r="I95" t="n">
        <v>2732</v>
      </c>
      <c r="J95" t="inlineStr">
        <is>
          <t>Won</t>
        </is>
      </c>
      <c r="K95" s="51" t="n">
        <v>46249</v>
      </c>
      <c r="L95" s="51" t="n">
        <v>46265</v>
      </c>
      <c r="M95" t="n">
        <v>2732.5</v>
      </c>
      <c r="N95" t="n">
        <v>-0.5</v>
      </c>
      <c r="P95" t="inlineStr">
        <is>
          <t>Closed Won</t>
        </is>
      </c>
      <c r="Q95" t="n">
        <v>1</v>
      </c>
      <c r="R95" t="n">
        <v>2732</v>
      </c>
      <c r="T95" s="9">
        <f>IFERROR(INDEX($A95:$R95,MATCH("Status",$A$1:$R$1,0)),"")&amp;""</f>
        <v/>
      </c>
      <c r="U95" s="52">
        <f>IFERROR(N(IFERROR(INDEX($A95:$R95,MATCH("Value Ex GST",$A$1:$R$1,0)),"")),0)</f>
        <v/>
      </c>
      <c r="V95" s="54">
        <f>IF(AND(T95&lt;&gt;"",IFERROR(INDEX($A95:$R95,MATCH("Value Ex GST",$A$1:$R$1,0)),"")&amp;""&lt;&gt;""),1,0)</f>
        <v/>
      </c>
      <c r="W95" s="56">
        <f>IFERROR(N(IFERROR(INDEX($A95:$R95,MATCH("Probability",$A$1:$R$1,0)),"")),0)</f>
        <v/>
      </c>
      <c r="X95" s="52">
        <f>IF(T95="Open",U95*W95,0)</f>
        <v/>
      </c>
      <c r="Y95" s="52">
        <f>IF(T95="Won",IFERROR(N(IFERROR(INDEX($A95:$R95,MATCH("Still to Invoice",$A$1:$R$1,0)),"")),0),0)</f>
        <v/>
      </c>
      <c r="Z95" s="55">
        <f>IFERROR(EOMONTH(IFERROR(INDEX($A95:$R95,MATCH("Expected Invoice Month",$A$1:$R$1,0)),""),0),"")</f>
        <v/>
      </c>
      <c r="AA95" s="9">
        <f>IFERROR(INDEX($A95:$R95,MATCH("Cost Centre",$A$1:$R$1,0)),"")&amp;""</f>
        <v/>
      </c>
      <c r="AB95" s="9">
        <f>IFERROR(INDEX($A95:$R95,MATCH("Pipeline Stage",$A$1:$R$1,0)),"")&amp;""</f>
        <v/>
      </c>
      <c r="AC95" s="9">
        <f>IFERROR(INDEX($A95:$R95,MATCH("Client",$A$1:$R$1,0)),"")&amp;""</f>
        <v/>
      </c>
      <c r="AD95" s="9">
        <f>IFERROR(INDEX($A95:$R95,MATCH("Description",$A$1:$R$1,0)),"")&amp;""</f>
        <v/>
      </c>
      <c r="AE95" s="9">
        <f>IFERROR(INDEX($A95:$R95,MATCH("Job Number",$A$1:$R$1,0)),"")&amp;""</f>
        <v/>
      </c>
      <c r="AF95" s="54">
        <f>IF(AND(T95="Open",ISNUMBER(Z95),Z95&lt;EOMONTH(set_AsAt,-1)+1),3,0)</f>
        <v/>
      </c>
      <c r="AG95" s="54">
        <f>IF(AND(T95="Open",U95&gt;0,U95&gt;=set_DealShare*SUMIFS($U$2:$U$601,$T$2:$T$601,"Open")),3,0)</f>
        <v/>
      </c>
      <c r="AH95" s="54">
        <f>IF(AND(T95="Open",U95&gt;=set_BigValue,W95&lt;=set_EarlyProb),2,0)</f>
        <v/>
      </c>
      <c r="AI95" s="54">
        <f>IF(AND(OR(T95="Open",T95="Won"),V95=0),2,0)</f>
        <v/>
      </c>
      <c r="AJ95" s="54">
        <f>IF(AND(T95="Won",Y95&gt;0.5,ISNUMBER(Z95),Z95&lt;EOMONTH(set_AsAt,-1)+1),3,0)</f>
        <v/>
      </c>
      <c r="AK95" s="54">
        <f>IF(AND(T95="Won",Y95&lt;-1),1,0)</f>
        <v/>
      </c>
      <c r="AL95" s="54">
        <f>SUM(AF95:AK95)</f>
        <v/>
      </c>
      <c r="AM95" s="9">
        <f>IF(AL95&gt;=set_ScoreHigh,"High",IF(AL95&gt;=set_ScoreMed,"Medium",IF(AL95&gt;0,"Low","OK")))</f>
        <v/>
      </c>
      <c r="AN95" s="54">
        <f>IF(OR(T95="Open",AND(T95="Won",ABS(Y95)&gt;0.5)),1,0)</f>
        <v/>
      </c>
      <c r="AO95" s="52">
        <f>IF(T95="Open",IF(V95=0,0,X95),IF(T95="Won",MAX(0,Y95),0))</f>
        <v/>
      </c>
      <c r="AP95" s="54">
        <f>IF(AN95=1,AL95*1E+9+U95+ROW()/1E+6,"")</f>
        <v/>
      </c>
      <c r="AQ95" s="9">
        <f>MID(IF(AF95&gt;0,"; Expected month passed - update Zoho","")&amp;IF(AG95&gt;0,"; "&amp;TEXT(U95/MAX(1,SUMIFS($U$2:$U$601,$T$2:$T$601,"Open")),"0%")&amp;" of open pipeline in one deal","")&amp;IF(AH95&gt;0,"; Large deal at an early stage","")&amp;IF(AI95&gt;0,"; No amount in Zoho","")&amp;IF(AJ95&gt;0,"; Won, invoice month passed, not fully invoiced","")&amp;IF(AK95&gt;0,"; Xero invoiced more than the deal value",""),3,300)</f>
        <v/>
      </c>
    </row>
    <row r="96">
      <c r="A96" s="51" t="n">
        <v>46265</v>
      </c>
      <c r="B96" t="inlineStr">
        <is>
          <t>ZOHO</t>
        </is>
      </c>
      <c r="C96" t="inlineStr">
        <is>
          <t>26082704</t>
        </is>
      </c>
      <c r="D96" t="inlineStr">
        <is>
          <t>Deloitte Australia</t>
        </is>
      </c>
      <c r="E96" t="inlineStr">
        <is>
          <t>26082704</t>
        </is>
      </c>
      <c r="F96" t="inlineStr">
        <is>
          <t>OK</t>
        </is>
      </c>
      <c r="G96" t="inlineStr">
        <is>
          <t>ONSITE</t>
        </is>
      </c>
      <c r="H96" t="inlineStr">
        <is>
          <t>STL Travel (SYD-PER)</t>
        </is>
      </c>
      <c r="I96" t="n">
        <v>7735</v>
      </c>
      <c r="J96" t="inlineStr">
        <is>
          <t>Won</t>
        </is>
      </c>
      <c r="K96" s="51" t="n">
        <v>46262</v>
      </c>
      <c r="L96" s="51" t="n">
        <v>46265</v>
      </c>
      <c r="M96" t="n">
        <v>7735</v>
      </c>
      <c r="N96" t="n">
        <v>0</v>
      </c>
      <c r="P96" t="inlineStr">
        <is>
          <t>Closed Won</t>
        </is>
      </c>
      <c r="Q96" t="n">
        <v>1</v>
      </c>
      <c r="R96" t="n">
        <v>7735</v>
      </c>
      <c r="T96" s="9">
        <f>IFERROR(INDEX($A96:$R96,MATCH("Status",$A$1:$R$1,0)),"")&amp;""</f>
        <v/>
      </c>
      <c r="U96" s="52">
        <f>IFERROR(N(IFERROR(INDEX($A96:$R96,MATCH("Value Ex GST",$A$1:$R$1,0)),"")),0)</f>
        <v/>
      </c>
      <c r="V96" s="54">
        <f>IF(AND(T96&lt;&gt;"",IFERROR(INDEX($A96:$R96,MATCH("Value Ex GST",$A$1:$R$1,0)),"")&amp;""&lt;&gt;""),1,0)</f>
        <v/>
      </c>
      <c r="W96" s="56">
        <f>IFERROR(N(IFERROR(INDEX($A96:$R96,MATCH("Probability",$A$1:$R$1,0)),"")),0)</f>
        <v/>
      </c>
      <c r="X96" s="52">
        <f>IF(T96="Open",U96*W96,0)</f>
        <v/>
      </c>
      <c r="Y96" s="52">
        <f>IF(T96="Won",IFERROR(N(IFERROR(INDEX($A96:$R96,MATCH("Still to Invoice",$A$1:$R$1,0)),"")),0),0)</f>
        <v/>
      </c>
      <c r="Z96" s="55">
        <f>IFERROR(EOMONTH(IFERROR(INDEX($A96:$R96,MATCH("Expected Invoice Month",$A$1:$R$1,0)),""),0),"")</f>
        <v/>
      </c>
      <c r="AA96" s="9">
        <f>IFERROR(INDEX($A96:$R96,MATCH("Cost Centre",$A$1:$R$1,0)),"")&amp;""</f>
        <v/>
      </c>
      <c r="AB96" s="9">
        <f>IFERROR(INDEX($A96:$R96,MATCH("Pipeline Stage",$A$1:$R$1,0)),"")&amp;""</f>
        <v/>
      </c>
      <c r="AC96" s="9">
        <f>IFERROR(INDEX($A96:$R96,MATCH("Client",$A$1:$R$1,0)),"")&amp;""</f>
        <v/>
      </c>
      <c r="AD96" s="9">
        <f>IFERROR(INDEX($A96:$R96,MATCH("Description",$A$1:$R$1,0)),"")&amp;""</f>
        <v/>
      </c>
      <c r="AE96" s="9">
        <f>IFERROR(INDEX($A96:$R96,MATCH("Job Number",$A$1:$R$1,0)),"")&amp;""</f>
        <v/>
      </c>
      <c r="AF96" s="54">
        <f>IF(AND(T96="Open",ISNUMBER(Z96),Z96&lt;EOMONTH(set_AsAt,-1)+1),3,0)</f>
        <v/>
      </c>
      <c r="AG96" s="54">
        <f>IF(AND(T96="Open",U96&gt;0,U96&gt;=set_DealShare*SUMIFS($U$2:$U$601,$T$2:$T$601,"Open")),3,0)</f>
        <v/>
      </c>
      <c r="AH96" s="54">
        <f>IF(AND(T96="Open",U96&gt;=set_BigValue,W96&lt;=set_EarlyProb),2,0)</f>
        <v/>
      </c>
      <c r="AI96" s="54">
        <f>IF(AND(OR(T96="Open",T96="Won"),V96=0),2,0)</f>
        <v/>
      </c>
      <c r="AJ96" s="54">
        <f>IF(AND(T96="Won",Y96&gt;0.5,ISNUMBER(Z96),Z96&lt;EOMONTH(set_AsAt,-1)+1),3,0)</f>
        <v/>
      </c>
      <c r="AK96" s="54">
        <f>IF(AND(T96="Won",Y96&lt;-1),1,0)</f>
        <v/>
      </c>
      <c r="AL96" s="54">
        <f>SUM(AF96:AK96)</f>
        <v/>
      </c>
      <c r="AM96" s="9">
        <f>IF(AL96&gt;=set_ScoreHigh,"High",IF(AL96&gt;=set_ScoreMed,"Medium",IF(AL96&gt;0,"Low","OK")))</f>
        <v/>
      </c>
      <c r="AN96" s="54">
        <f>IF(OR(T96="Open",AND(T96="Won",ABS(Y96)&gt;0.5)),1,0)</f>
        <v/>
      </c>
      <c r="AO96" s="52">
        <f>IF(T96="Open",IF(V96=0,0,X96),IF(T96="Won",MAX(0,Y96),0))</f>
        <v/>
      </c>
      <c r="AP96" s="54">
        <f>IF(AN96=1,AL96*1E+9+U96+ROW()/1E+6,"")</f>
        <v/>
      </c>
      <c r="AQ96" s="9">
        <f>MID(IF(AF96&gt;0,"; Expected month passed - update Zoho","")&amp;IF(AG96&gt;0,"; "&amp;TEXT(U96/MAX(1,SUMIFS($U$2:$U$601,$T$2:$T$601,"Open")),"0%")&amp;" of open pipeline in one deal","")&amp;IF(AH96&gt;0,"; Large deal at an early stage","")&amp;IF(AI96&gt;0,"; No amount in Zoho","")&amp;IF(AJ96&gt;0,"; Won, invoice month passed, not fully invoiced","")&amp;IF(AK96&gt;0,"; Xero invoiced more than the deal value",""),3,300)</f>
        <v/>
      </c>
    </row>
    <row r="97">
      <c r="A97" s="51" t="n">
        <v>46265</v>
      </c>
      <c r="B97" t="inlineStr">
        <is>
          <t>ZOHO</t>
        </is>
      </c>
      <c r="C97" t="inlineStr">
        <is>
          <t>2608604</t>
        </is>
      </c>
      <c r="D97" t="inlineStr">
        <is>
          <t>ASX Australian Securities Exchange</t>
        </is>
      </c>
      <c r="E97" t="inlineStr">
        <is>
          <t>2608604</t>
        </is>
      </c>
      <c r="F97" t="inlineStr">
        <is>
          <t>OK</t>
        </is>
      </c>
      <c r="G97" t="inlineStr">
        <is>
          <t>PRODUCTION</t>
        </is>
      </c>
      <c r="H97" t="inlineStr">
        <is>
          <t>ASX -FYR Employee Town Hall - 13.8.26</t>
        </is>
      </c>
      <c r="I97" t="n">
        <v>1510</v>
      </c>
      <c r="J97" t="inlineStr">
        <is>
          <t>Won</t>
        </is>
      </c>
      <c r="K97" s="51" t="n">
        <v>46240</v>
      </c>
      <c r="L97" s="51" t="n">
        <v>46265</v>
      </c>
      <c r="M97" t="n">
        <v>1510</v>
      </c>
      <c r="N97" t="n">
        <v>0</v>
      </c>
      <c r="P97" t="inlineStr">
        <is>
          <t>Closed Won</t>
        </is>
      </c>
      <c r="Q97" t="n">
        <v>1</v>
      </c>
      <c r="R97" t="n">
        <v>1510</v>
      </c>
      <c r="T97" s="9">
        <f>IFERROR(INDEX($A97:$R97,MATCH("Status",$A$1:$R$1,0)),"")&amp;""</f>
        <v/>
      </c>
      <c r="U97" s="52">
        <f>IFERROR(N(IFERROR(INDEX($A97:$R97,MATCH("Value Ex GST",$A$1:$R$1,0)),"")),0)</f>
        <v/>
      </c>
      <c r="V97" s="54">
        <f>IF(AND(T97&lt;&gt;"",IFERROR(INDEX($A97:$R97,MATCH("Value Ex GST",$A$1:$R$1,0)),"")&amp;""&lt;&gt;""),1,0)</f>
        <v/>
      </c>
      <c r="W97" s="56">
        <f>IFERROR(N(IFERROR(INDEX($A97:$R97,MATCH("Probability",$A$1:$R$1,0)),"")),0)</f>
        <v/>
      </c>
      <c r="X97" s="52">
        <f>IF(T97="Open",U97*W97,0)</f>
        <v/>
      </c>
      <c r="Y97" s="52">
        <f>IF(T97="Won",IFERROR(N(IFERROR(INDEX($A97:$R97,MATCH("Still to Invoice",$A$1:$R$1,0)),"")),0),0)</f>
        <v/>
      </c>
      <c r="Z97" s="55">
        <f>IFERROR(EOMONTH(IFERROR(INDEX($A97:$R97,MATCH("Expected Invoice Month",$A$1:$R$1,0)),""),0),"")</f>
        <v/>
      </c>
      <c r="AA97" s="9">
        <f>IFERROR(INDEX($A97:$R97,MATCH("Cost Centre",$A$1:$R$1,0)),"")&amp;""</f>
        <v/>
      </c>
      <c r="AB97" s="9">
        <f>IFERROR(INDEX($A97:$R97,MATCH("Pipeline Stage",$A$1:$R$1,0)),"")&amp;""</f>
        <v/>
      </c>
      <c r="AC97" s="9">
        <f>IFERROR(INDEX($A97:$R97,MATCH("Client",$A$1:$R$1,0)),"")&amp;""</f>
        <v/>
      </c>
      <c r="AD97" s="9">
        <f>IFERROR(INDEX($A97:$R97,MATCH("Description",$A$1:$R$1,0)),"")&amp;""</f>
        <v/>
      </c>
      <c r="AE97" s="9">
        <f>IFERROR(INDEX($A97:$R97,MATCH("Job Number",$A$1:$R$1,0)),"")&amp;""</f>
        <v/>
      </c>
      <c r="AF97" s="54">
        <f>IF(AND(T97="Open",ISNUMBER(Z97),Z97&lt;EOMONTH(set_AsAt,-1)+1),3,0)</f>
        <v/>
      </c>
      <c r="AG97" s="54">
        <f>IF(AND(T97="Open",U97&gt;0,U97&gt;=set_DealShare*SUMIFS($U$2:$U$601,$T$2:$T$601,"Open")),3,0)</f>
        <v/>
      </c>
      <c r="AH97" s="54">
        <f>IF(AND(T97="Open",U97&gt;=set_BigValue,W97&lt;=set_EarlyProb),2,0)</f>
        <v/>
      </c>
      <c r="AI97" s="54">
        <f>IF(AND(OR(T97="Open",T97="Won"),V97=0),2,0)</f>
        <v/>
      </c>
      <c r="AJ97" s="54">
        <f>IF(AND(T97="Won",Y97&gt;0.5,ISNUMBER(Z97),Z97&lt;EOMONTH(set_AsAt,-1)+1),3,0)</f>
        <v/>
      </c>
      <c r="AK97" s="54">
        <f>IF(AND(T97="Won",Y97&lt;-1),1,0)</f>
        <v/>
      </c>
      <c r="AL97" s="54">
        <f>SUM(AF97:AK97)</f>
        <v/>
      </c>
      <c r="AM97" s="9">
        <f>IF(AL97&gt;=set_ScoreHigh,"High",IF(AL97&gt;=set_ScoreMed,"Medium",IF(AL97&gt;0,"Low","OK")))</f>
        <v/>
      </c>
      <c r="AN97" s="54">
        <f>IF(OR(T97="Open",AND(T97="Won",ABS(Y97)&gt;0.5)),1,0)</f>
        <v/>
      </c>
      <c r="AO97" s="52">
        <f>IF(T97="Open",IF(V97=0,0,X97),IF(T97="Won",MAX(0,Y97),0))</f>
        <v/>
      </c>
      <c r="AP97" s="54">
        <f>IF(AN97=1,AL97*1E+9+U97+ROW()/1E+6,"")</f>
        <v/>
      </c>
      <c r="AQ97" s="9">
        <f>MID(IF(AF97&gt;0,"; Expected month passed - update Zoho","")&amp;IF(AG97&gt;0,"; "&amp;TEXT(U97/MAX(1,SUMIFS($U$2:$U$601,$T$2:$T$601,"Open")),"0%")&amp;" of open pipeline in one deal","")&amp;IF(AH97&gt;0,"; Large deal at an early stage","")&amp;IF(AI97&gt;0,"; No amount in Zoho","")&amp;IF(AJ97&gt;0,"; Won, invoice month passed, not fully invoiced","")&amp;IF(AK97&gt;0,"; Xero invoiced more than the deal value",""),3,300)</f>
        <v/>
      </c>
    </row>
    <row r="98">
      <c r="A98" s="51" t="n">
        <v>46234</v>
      </c>
      <c r="B98" t="inlineStr">
        <is>
          <t>ZOHO</t>
        </is>
      </c>
      <c r="C98" t="inlineStr">
        <is>
          <t>26072102</t>
        </is>
      </c>
      <c r="D98" t="inlineStr">
        <is>
          <t>Ventia</t>
        </is>
      </c>
      <c r="E98" t="inlineStr">
        <is>
          <t>26072102</t>
        </is>
      </c>
      <c r="F98" t="inlineStr">
        <is>
          <t>OK</t>
        </is>
      </c>
      <c r="G98" t="inlineStr">
        <is>
          <t>PRODUCTION</t>
        </is>
      </c>
      <c r="H98" t="inlineStr">
        <is>
          <t>Ventia - RUOK? Day - 10.09.2026</t>
        </is>
      </c>
      <c r="I98" t="n">
        <v>9444</v>
      </c>
      <c r="J98" t="inlineStr">
        <is>
          <t>Won</t>
        </is>
      </c>
      <c r="K98" s="51" t="n">
        <v>46234</v>
      </c>
      <c r="L98" s="51" t="n">
        <v>46295</v>
      </c>
      <c r="M98" t="n">
        <v>9105.35</v>
      </c>
      <c r="N98" t="n">
        <v>338.65</v>
      </c>
      <c r="O98" t="inlineStr">
        <is>
          <t>Invoice month taken from the event date in the deal name</t>
        </is>
      </c>
      <c r="P98" t="inlineStr">
        <is>
          <t>Closed Won</t>
        </is>
      </c>
      <c r="Q98" t="n">
        <v>1</v>
      </c>
      <c r="R98" t="n">
        <v>9444</v>
      </c>
      <c r="T98" s="9">
        <f>IFERROR(INDEX($A98:$R98,MATCH("Status",$A$1:$R$1,0)),"")&amp;""</f>
        <v/>
      </c>
      <c r="U98" s="52">
        <f>IFERROR(N(IFERROR(INDEX($A98:$R98,MATCH("Value Ex GST",$A$1:$R$1,0)),"")),0)</f>
        <v/>
      </c>
      <c r="V98" s="54">
        <f>IF(AND(T98&lt;&gt;"",IFERROR(INDEX($A98:$R98,MATCH("Value Ex GST",$A$1:$R$1,0)),"")&amp;""&lt;&gt;""),1,0)</f>
        <v/>
      </c>
      <c r="W98" s="56">
        <f>IFERROR(N(IFERROR(INDEX($A98:$R98,MATCH("Probability",$A$1:$R$1,0)),"")),0)</f>
        <v/>
      </c>
      <c r="X98" s="52">
        <f>IF(T98="Open",U98*W98,0)</f>
        <v/>
      </c>
      <c r="Y98" s="52">
        <f>IF(T98="Won",IFERROR(N(IFERROR(INDEX($A98:$R98,MATCH("Still to Invoice",$A$1:$R$1,0)),"")),0),0)</f>
        <v/>
      </c>
      <c r="Z98" s="55">
        <f>IFERROR(EOMONTH(IFERROR(INDEX($A98:$R98,MATCH("Expected Invoice Month",$A$1:$R$1,0)),""),0),"")</f>
        <v/>
      </c>
      <c r="AA98" s="9">
        <f>IFERROR(INDEX($A98:$R98,MATCH("Cost Centre",$A$1:$R$1,0)),"")&amp;""</f>
        <v/>
      </c>
      <c r="AB98" s="9">
        <f>IFERROR(INDEX($A98:$R98,MATCH("Pipeline Stage",$A$1:$R$1,0)),"")&amp;""</f>
        <v/>
      </c>
      <c r="AC98" s="9">
        <f>IFERROR(INDEX($A98:$R98,MATCH("Client",$A$1:$R$1,0)),"")&amp;""</f>
        <v/>
      </c>
      <c r="AD98" s="9">
        <f>IFERROR(INDEX($A98:$R98,MATCH("Description",$A$1:$R$1,0)),"")&amp;""</f>
        <v/>
      </c>
      <c r="AE98" s="9">
        <f>IFERROR(INDEX($A98:$R98,MATCH("Job Number",$A$1:$R$1,0)),"")&amp;""</f>
        <v/>
      </c>
      <c r="AF98" s="54">
        <f>IF(AND(T98="Open",ISNUMBER(Z98),Z98&lt;EOMONTH(set_AsAt,-1)+1),3,0)</f>
        <v/>
      </c>
      <c r="AG98" s="54">
        <f>IF(AND(T98="Open",U98&gt;0,U98&gt;=set_DealShare*SUMIFS($U$2:$U$601,$T$2:$T$601,"Open")),3,0)</f>
        <v/>
      </c>
      <c r="AH98" s="54">
        <f>IF(AND(T98="Open",U98&gt;=set_BigValue,W98&lt;=set_EarlyProb),2,0)</f>
        <v/>
      </c>
      <c r="AI98" s="54">
        <f>IF(AND(OR(T98="Open",T98="Won"),V98=0),2,0)</f>
        <v/>
      </c>
      <c r="AJ98" s="54">
        <f>IF(AND(T98="Won",Y98&gt;0.5,ISNUMBER(Z98),Z98&lt;EOMONTH(set_AsAt,-1)+1),3,0)</f>
        <v/>
      </c>
      <c r="AK98" s="54">
        <f>IF(AND(T98="Won",Y98&lt;-1),1,0)</f>
        <v/>
      </c>
      <c r="AL98" s="54">
        <f>SUM(AF98:AK98)</f>
        <v/>
      </c>
      <c r="AM98" s="9">
        <f>IF(AL98&gt;=set_ScoreHigh,"High",IF(AL98&gt;=set_ScoreMed,"Medium",IF(AL98&gt;0,"Low","OK")))</f>
        <v/>
      </c>
      <c r="AN98" s="54">
        <f>IF(OR(T98="Open",AND(T98="Won",ABS(Y98)&gt;0.5)),1,0)</f>
        <v/>
      </c>
      <c r="AO98" s="52">
        <f>IF(T98="Open",IF(V98=0,0,X98),IF(T98="Won",MAX(0,Y98),0))</f>
        <v/>
      </c>
      <c r="AP98" s="54">
        <f>IF(AN98=1,AL98*1E+9+U98+ROW()/1E+6,"")</f>
        <v/>
      </c>
      <c r="AQ98" s="9">
        <f>MID(IF(AF98&gt;0,"; Expected month passed - update Zoho","")&amp;IF(AG98&gt;0,"; "&amp;TEXT(U98/MAX(1,SUMIFS($U$2:$U$601,$T$2:$T$601,"Open")),"0%")&amp;" of open pipeline in one deal","")&amp;IF(AH98&gt;0,"; Large deal at an early stage","")&amp;IF(AI98&gt;0,"; No amount in Zoho","")&amp;IF(AJ98&gt;0,"; Won, invoice month passed, not fully invoiced","")&amp;IF(AK98&gt;0,"; Xero invoiced more than the deal value",""),3,300)</f>
        <v/>
      </c>
    </row>
    <row r="99">
      <c r="A99" s="51" t="n">
        <v>46265</v>
      </c>
      <c r="B99" t="inlineStr">
        <is>
          <t>ZOHO</t>
        </is>
      </c>
      <c r="C99" t="inlineStr">
        <is>
          <t>26072003</t>
        </is>
      </c>
      <c r="D99" t="inlineStr">
        <is>
          <t>Commonwealth Bank Australia (CBA)</t>
        </is>
      </c>
      <c r="E99" t="inlineStr">
        <is>
          <t>26072003</t>
        </is>
      </c>
      <c r="F99" t="inlineStr">
        <is>
          <t>OK</t>
        </is>
      </c>
      <c r="G99" t="inlineStr">
        <is>
          <t>PRODUCTION</t>
        </is>
      </c>
      <c r="H99" t="inlineStr">
        <is>
          <t>CBA - LES - August 2026</t>
        </is>
      </c>
      <c r="I99" t="n">
        <v>3990</v>
      </c>
      <c r="J99" t="inlineStr">
        <is>
          <t>Won</t>
        </is>
      </c>
      <c r="K99" s="51" t="n">
        <v>46265</v>
      </c>
      <c r="L99" s="51" t="n">
        <v>46265</v>
      </c>
      <c r="M99" t="n">
        <v>3990</v>
      </c>
      <c r="N99" t="n">
        <v>0</v>
      </c>
      <c r="P99" t="inlineStr">
        <is>
          <t>Closed Won</t>
        </is>
      </c>
      <c r="Q99" t="n">
        <v>1</v>
      </c>
      <c r="R99" t="n">
        <v>3990</v>
      </c>
      <c r="T99" s="9">
        <f>IFERROR(INDEX($A99:$R99,MATCH("Status",$A$1:$R$1,0)),"")&amp;""</f>
        <v/>
      </c>
      <c r="U99" s="52">
        <f>IFERROR(N(IFERROR(INDEX($A99:$R99,MATCH("Value Ex GST",$A$1:$R$1,0)),"")),0)</f>
        <v/>
      </c>
      <c r="V99" s="54">
        <f>IF(AND(T99&lt;&gt;"",IFERROR(INDEX($A99:$R99,MATCH("Value Ex GST",$A$1:$R$1,0)),"")&amp;""&lt;&gt;""),1,0)</f>
        <v/>
      </c>
      <c r="W99" s="56">
        <f>IFERROR(N(IFERROR(INDEX($A99:$R99,MATCH("Probability",$A$1:$R$1,0)),"")),0)</f>
        <v/>
      </c>
      <c r="X99" s="52">
        <f>IF(T99="Open",U99*W99,0)</f>
        <v/>
      </c>
      <c r="Y99" s="52">
        <f>IF(T99="Won",IFERROR(N(IFERROR(INDEX($A99:$R99,MATCH("Still to Invoice",$A$1:$R$1,0)),"")),0),0)</f>
        <v/>
      </c>
      <c r="Z99" s="55">
        <f>IFERROR(EOMONTH(IFERROR(INDEX($A99:$R99,MATCH("Expected Invoice Month",$A$1:$R$1,0)),""),0),"")</f>
        <v/>
      </c>
      <c r="AA99" s="9">
        <f>IFERROR(INDEX($A99:$R99,MATCH("Cost Centre",$A$1:$R$1,0)),"")&amp;""</f>
        <v/>
      </c>
      <c r="AB99" s="9">
        <f>IFERROR(INDEX($A99:$R99,MATCH("Pipeline Stage",$A$1:$R$1,0)),"")&amp;""</f>
        <v/>
      </c>
      <c r="AC99" s="9">
        <f>IFERROR(INDEX($A99:$R99,MATCH("Client",$A$1:$R$1,0)),"")&amp;""</f>
        <v/>
      </c>
      <c r="AD99" s="9">
        <f>IFERROR(INDEX($A99:$R99,MATCH("Description",$A$1:$R$1,0)),"")&amp;""</f>
        <v/>
      </c>
      <c r="AE99" s="9">
        <f>IFERROR(INDEX($A99:$R99,MATCH("Job Number",$A$1:$R$1,0)),"")&amp;""</f>
        <v/>
      </c>
      <c r="AF99" s="54">
        <f>IF(AND(T99="Open",ISNUMBER(Z99),Z99&lt;EOMONTH(set_AsAt,-1)+1),3,0)</f>
        <v/>
      </c>
      <c r="AG99" s="54">
        <f>IF(AND(T99="Open",U99&gt;0,U99&gt;=set_DealShare*SUMIFS($U$2:$U$601,$T$2:$T$601,"Open")),3,0)</f>
        <v/>
      </c>
      <c r="AH99" s="54">
        <f>IF(AND(T99="Open",U99&gt;=set_BigValue,W99&lt;=set_EarlyProb),2,0)</f>
        <v/>
      </c>
      <c r="AI99" s="54">
        <f>IF(AND(OR(T99="Open",T99="Won"),V99=0),2,0)</f>
        <v/>
      </c>
      <c r="AJ99" s="54">
        <f>IF(AND(T99="Won",Y99&gt;0.5,ISNUMBER(Z99),Z99&lt;EOMONTH(set_AsAt,-1)+1),3,0)</f>
        <v/>
      </c>
      <c r="AK99" s="54">
        <f>IF(AND(T99="Won",Y99&lt;-1),1,0)</f>
        <v/>
      </c>
      <c r="AL99" s="54">
        <f>SUM(AF99:AK99)</f>
        <v/>
      </c>
      <c r="AM99" s="9">
        <f>IF(AL99&gt;=set_ScoreHigh,"High",IF(AL99&gt;=set_ScoreMed,"Medium",IF(AL99&gt;0,"Low","OK")))</f>
        <v/>
      </c>
      <c r="AN99" s="54">
        <f>IF(OR(T99="Open",AND(T99="Won",ABS(Y99)&gt;0.5)),1,0)</f>
        <v/>
      </c>
      <c r="AO99" s="52">
        <f>IF(T99="Open",IF(V99=0,0,X99),IF(T99="Won",MAX(0,Y99),0))</f>
        <v/>
      </c>
      <c r="AP99" s="54">
        <f>IF(AN99=1,AL99*1E+9+U99+ROW()/1E+6,"")</f>
        <v/>
      </c>
      <c r="AQ99" s="9">
        <f>MID(IF(AF99&gt;0,"; Expected month passed - update Zoho","")&amp;IF(AG99&gt;0,"; "&amp;TEXT(U99/MAX(1,SUMIFS($U$2:$U$601,$T$2:$T$601,"Open")),"0%")&amp;" of open pipeline in one deal","")&amp;IF(AH99&gt;0,"; Large deal at an early stage","")&amp;IF(AI99&gt;0,"; No amount in Zoho","")&amp;IF(AJ99&gt;0,"; Won, invoice month passed, not fully invoiced","")&amp;IF(AK99&gt;0,"; Xero invoiced more than the deal value",""),3,300)</f>
        <v/>
      </c>
    </row>
    <row r="100">
      <c r="A100" s="51" t="n">
        <v>46234</v>
      </c>
      <c r="B100" t="inlineStr">
        <is>
          <t>ZOHO</t>
        </is>
      </c>
      <c r="C100" t="inlineStr">
        <is>
          <t>26041603</t>
        </is>
      </c>
      <c r="D100" t="inlineStr">
        <is>
          <t>Optiver</t>
        </is>
      </c>
      <c r="E100" t="inlineStr">
        <is>
          <t>26041603</t>
        </is>
      </c>
      <c r="F100" t="inlineStr">
        <is>
          <t>OK</t>
        </is>
      </c>
      <c r="G100" t="inlineStr">
        <is>
          <t>PRODUCTION</t>
        </is>
      </c>
      <c r="H100" t="inlineStr">
        <is>
          <t>Optiver - Town Hall - 23.7.26</t>
        </is>
      </c>
      <c r="I100" t="n">
        <v>745</v>
      </c>
      <c r="J100" t="inlineStr">
        <is>
          <t>Won</t>
        </is>
      </c>
      <c r="K100" s="51" t="n">
        <v>46212</v>
      </c>
      <c r="L100" s="51" t="n">
        <v>46234</v>
      </c>
      <c r="M100" t="n">
        <v>745</v>
      </c>
      <c r="N100" t="n">
        <v>0</v>
      </c>
      <c r="P100" t="inlineStr">
        <is>
          <t>Closed Won</t>
        </is>
      </c>
      <c r="Q100" t="n">
        <v>1</v>
      </c>
      <c r="R100" t="n">
        <v>745</v>
      </c>
      <c r="T100" s="9">
        <f>IFERROR(INDEX($A100:$R100,MATCH("Status",$A$1:$R$1,0)),"")&amp;""</f>
        <v/>
      </c>
      <c r="U100" s="52">
        <f>IFERROR(N(IFERROR(INDEX($A100:$R100,MATCH("Value Ex GST",$A$1:$R$1,0)),"")),0)</f>
        <v/>
      </c>
      <c r="V100" s="54">
        <f>IF(AND(T100&lt;&gt;"",IFERROR(INDEX($A100:$R100,MATCH("Value Ex GST",$A$1:$R$1,0)),"")&amp;""&lt;&gt;""),1,0)</f>
        <v/>
      </c>
      <c r="W100" s="56">
        <f>IFERROR(N(IFERROR(INDEX($A100:$R100,MATCH("Probability",$A$1:$R$1,0)),"")),0)</f>
        <v/>
      </c>
      <c r="X100" s="52">
        <f>IF(T100="Open",U100*W100,0)</f>
        <v/>
      </c>
      <c r="Y100" s="52">
        <f>IF(T100="Won",IFERROR(N(IFERROR(INDEX($A100:$R100,MATCH("Still to Invoice",$A$1:$R$1,0)),"")),0),0)</f>
        <v/>
      </c>
      <c r="Z100" s="55">
        <f>IFERROR(EOMONTH(IFERROR(INDEX($A100:$R100,MATCH("Expected Invoice Month",$A$1:$R$1,0)),""),0),"")</f>
        <v/>
      </c>
      <c r="AA100" s="9">
        <f>IFERROR(INDEX($A100:$R100,MATCH("Cost Centre",$A$1:$R$1,0)),"")&amp;""</f>
        <v/>
      </c>
      <c r="AB100" s="9">
        <f>IFERROR(INDEX($A100:$R100,MATCH("Pipeline Stage",$A$1:$R$1,0)),"")&amp;""</f>
        <v/>
      </c>
      <c r="AC100" s="9">
        <f>IFERROR(INDEX($A100:$R100,MATCH("Client",$A$1:$R$1,0)),"")&amp;""</f>
        <v/>
      </c>
      <c r="AD100" s="9">
        <f>IFERROR(INDEX($A100:$R100,MATCH("Description",$A$1:$R$1,0)),"")&amp;""</f>
        <v/>
      </c>
      <c r="AE100" s="9">
        <f>IFERROR(INDEX($A100:$R100,MATCH("Job Number",$A$1:$R$1,0)),"")&amp;""</f>
        <v/>
      </c>
      <c r="AF100" s="54">
        <f>IF(AND(T100="Open",ISNUMBER(Z100),Z100&lt;EOMONTH(set_AsAt,-1)+1),3,0)</f>
        <v/>
      </c>
      <c r="AG100" s="54">
        <f>IF(AND(T100="Open",U100&gt;0,U100&gt;=set_DealShare*SUMIFS($U$2:$U$601,$T$2:$T$601,"Open")),3,0)</f>
        <v/>
      </c>
      <c r="AH100" s="54">
        <f>IF(AND(T100="Open",U100&gt;=set_BigValue,W100&lt;=set_EarlyProb),2,0)</f>
        <v/>
      </c>
      <c r="AI100" s="54">
        <f>IF(AND(OR(T100="Open",T100="Won"),V100=0),2,0)</f>
        <v/>
      </c>
      <c r="AJ100" s="54">
        <f>IF(AND(T100="Won",Y100&gt;0.5,ISNUMBER(Z100),Z100&lt;EOMONTH(set_AsAt,-1)+1),3,0)</f>
        <v/>
      </c>
      <c r="AK100" s="54">
        <f>IF(AND(T100="Won",Y100&lt;-1),1,0)</f>
        <v/>
      </c>
      <c r="AL100" s="54">
        <f>SUM(AF100:AK100)</f>
        <v/>
      </c>
      <c r="AM100" s="9">
        <f>IF(AL100&gt;=set_ScoreHigh,"High",IF(AL100&gt;=set_ScoreMed,"Medium",IF(AL100&gt;0,"Low","OK")))</f>
        <v/>
      </c>
      <c r="AN100" s="54">
        <f>IF(OR(T100="Open",AND(T100="Won",ABS(Y100)&gt;0.5)),1,0)</f>
        <v/>
      </c>
      <c r="AO100" s="52">
        <f>IF(T100="Open",IF(V100=0,0,X100),IF(T100="Won",MAX(0,Y100),0))</f>
        <v/>
      </c>
      <c r="AP100" s="54">
        <f>IF(AN100=1,AL100*1E+9+U100+ROW()/1E+6,"")</f>
        <v/>
      </c>
      <c r="AQ100" s="9">
        <f>MID(IF(AF100&gt;0,"; Expected month passed - update Zoho","")&amp;IF(AG100&gt;0,"; "&amp;TEXT(U100/MAX(1,SUMIFS($U$2:$U$601,$T$2:$T$601,"Open")),"0%")&amp;" of open pipeline in one deal","")&amp;IF(AH100&gt;0,"; Large deal at an early stage","")&amp;IF(AI100&gt;0,"; No amount in Zoho","")&amp;IF(AJ100&gt;0,"; Won, invoice month passed, not fully invoiced","")&amp;IF(AK100&gt;0,"; Xero invoiced more than the deal value",""),3,300)</f>
        <v/>
      </c>
    </row>
    <row r="101">
      <c r="A101" s="51" t="n">
        <v>46234</v>
      </c>
      <c r="B101" t="inlineStr">
        <is>
          <t>ZOHO</t>
        </is>
      </c>
      <c r="C101" t="inlineStr">
        <is>
          <t>26072901</t>
        </is>
      </c>
      <c r="D101" t="inlineStr">
        <is>
          <t>Deloitte Australia</t>
        </is>
      </c>
      <c r="E101" t="inlineStr">
        <is>
          <t>26072901</t>
        </is>
      </c>
      <c r="F101" t="inlineStr">
        <is>
          <t>CHECK</t>
        </is>
      </c>
      <c r="G101" t="inlineStr">
        <is>
          <t>ONSITE</t>
        </is>
      </c>
      <c r="H101" t="inlineStr">
        <is>
          <t>Market Shapers</t>
        </is>
      </c>
      <c r="I101" t="n">
        <v>850</v>
      </c>
      <c r="J101" t="inlineStr">
        <is>
          <t>Won</t>
        </is>
      </c>
      <c r="K101" s="51" t="n">
        <v>46232</v>
      </c>
      <c r="L101" s="51" t="n">
        <v>46234</v>
      </c>
      <c r="M101" t="n">
        <v>0</v>
      </c>
      <c r="N101" t="n">
        <v>850</v>
      </c>
      <c r="P101" t="inlineStr">
        <is>
          <t>Closed Won</t>
        </is>
      </c>
      <c r="Q101" t="n">
        <v>1</v>
      </c>
      <c r="R101" t="n">
        <v>850</v>
      </c>
      <c r="T101" s="9">
        <f>IFERROR(INDEX($A101:$R101,MATCH("Status",$A$1:$R$1,0)),"")&amp;""</f>
        <v/>
      </c>
      <c r="U101" s="52">
        <f>IFERROR(N(IFERROR(INDEX($A101:$R101,MATCH("Value Ex GST",$A$1:$R$1,0)),"")),0)</f>
        <v/>
      </c>
      <c r="V101" s="54">
        <f>IF(AND(T101&lt;&gt;"",IFERROR(INDEX($A101:$R101,MATCH("Value Ex GST",$A$1:$R$1,0)),"")&amp;""&lt;&gt;""),1,0)</f>
        <v/>
      </c>
      <c r="W101" s="56">
        <f>IFERROR(N(IFERROR(INDEX($A101:$R101,MATCH("Probability",$A$1:$R$1,0)),"")),0)</f>
        <v/>
      </c>
      <c r="X101" s="52">
        <f>IF(T101="Open",U101*W101,0)</f>
        <v/>
      </c>
      <c r="Y101" s="52">
        <f>IF(T101="Won",IFERROR(N(IFERROR(INDEX($A101:$R101,MATCH("Still to Invoice",$A$1:$R$1,0)),"")),0),0)</f>
        <v/>
      </c>
      <c r="Z101" s="55">
        <f>IFERROR(EOMONTH(IFERROR(INDEX($A101:$R101,MATCH("Expected Invoice Month",$A$1:$R$1,0)),""),0),"")</f>
        <v/>
      </c>
      <c r="AA101" s="9">
        <f>IFERROR(INDEX($A101:$R101,MATCH("Cost Centre",$A$1:$R$1,0)),"")&amp;""</f>
        <v/>
      </c>
      <c r="AB101" s="9">
        <f>IFERROR(INDEX($A101:$R101,MATCH("Pipeline Stage",$A$1:$R$1,0)),"")&amp;""</f>
        <v/>
      </c>
      <c r="AC101" s="9">
        <f>IFERROR(INDEX($A101:$R101,MATCH("Client",$A$1:$R$1,0)),"")&amp;""</f>
        <v/>
      </c>
      <c r="AD101" s="9">
        <f>IFERROR(INDEX($A101:$R101,MATCH("Description",$A$1:$R$1,0)),"")&amp;""</f>
        <v/>
      </c>
      <c r="AE101" s="9">
        <f>IFERROR(INDEX($A101:$R101,MATCH("Job Number",$A$1:$R$1,0)),"")&amp;""</f>
        <v/>
      </c>
      <c r="AF101" s="54">
        <f>IF(AND(T101="Open",ISNUMBER(Z101),Z101&lt;EOMONTH(set_AsAt,-1)+1),3,0)</f>
        <v/>
      </c>
      <c r="AG101" s="54">
        <f>IF(AND(T101="Open",U101&gt;0,U101&gt;=set_DealShare*SUMIFS($U$2:$U$601,$T$2:$T$601,"Open")),3,0)</f>
        <v/>
      </c>
      <c r="AH101" s="54">
        <f>IF(AND(T101="Open",U101&gt;=set_BigValue,W101&lt;=set_EarlyProb),2,0)</f>
        <v/>
      </c>
      <c r="AI101" s="54">
        <f>IF(AND(OR(T101="Open",T101="Won"),V101=0),2,0)</f>
        <v/>
      </c>
      <c r="AJ101" s="54">
        <f>IF(AND(T101="Won",Y101&gt;0.5,ISNUMBER(Z101),Z101&lt;EOMONTH(set_AsAt,-1)+1),3,0)</f>
        <v/>
      </c>
      <c r="AK101" s="54">
        <f>IF(AND(T101="Won",Y101&lt;-1),1,0)</f>
        <v/>
      </c>
      <c r="AL101" s="54">
        <f>SUM(AF101:AK101)</f>
        <v/>
      </c>
      <c r="AM101" s="9">
        <f>IF(AL101&gt;=set_ScoreHigh,"High",IF(AL101&gt;=set_ScoreMed,"Medium",IF(AL101&gt;0,"Low","OK")))</f>
        <v/>
      </c>
      <c r="AN101" s="54">
        <f>IF(OR(T101="Open",AND(T101="Won",ABS(Y101)&gt;0.5)),1,0)</f>
        <v/>
      </c>
      <c r="AO101" s="52">
        <f>IF(T101="Open",IF(V101=0,0,X101),IF(T101="Won",MAX(0,Y101),0))</f>
        <v/>
      </c>
      <c r="AP101" s="54">
        <f>IF(AN101=1,AL101*1E+9+U101+ROW()/1E+6,"")</f>
        <v/>
      </c>
      <c r="AQ101" s="9">
        <f>MID(IF(AF101&gt;0,"; Expected month passed - update Zoho","")&amp;IF(AG101&gt;0,"; "&amp;TEXT(U101/MAX(1,SUMIFS($U$2:$U$601,$T$2:$T$601,"Open")),"0%")&amp;" of open pipeline in one deal","")&amp;IF(AH101&gt;0,"; Large deal at an early stage","")&amp;IF(AI101&gt;0,"; No amount in Zoho","")&amp;IF(AJ101&gt;0,"; Won, invoice month passed, not fully invoiced","")&amp;IF(AK101&gt;0,"; Xero invoiced more than the deal value",""),3,300)</f>
        <v/>
      </c>
    </row>
    <row r="102">
      <c r="A102" s="51" t="n">
        <v>46265</v>
      </c>
      <c r="B102" t="inlineStr">
        <is>
          <t>ZOHO</t>
        </is>
      </c>
      <c r="C102" t="inlineStr">
        <is>
          <t>26062901</t>
        </is>
      </c>
      <c r="D102" t="inlineStr">
        <is>
          <t>Aware Super</t>
        </is>
      </c>
      <c r="E102" t="inlineStr">
        <is>
          <t>26062901</t>
        </is>
      </c>
      <c r="F102" t="inlineStr">
        <is>
          <t>OK</t>
        </is>
      </c>
      <c r="G102" t="inlineStr">
        <is>
          <t>INTEGRATION</t>
        </is>
      </c>
      <c r="H102" t="inlineStr">
        <is>
          <t>Aware | SYD 28.06 Services - 26062901</t>
        </is>
      </c>
      <c r="I102" t="n">
        <v>4631</v>
      </c>
      <c r="J102" t="inlineStr">
        <is>
          <t>Won</t>
        </is>
      </c>
      <c r="K102" s="51" t="n">
        <v>46237</v>
      </c>
      <c r="L102" s="51" t="n">
        <v>46265</v>
      </c>
      <c r="M102" t="n">
        <v>0</v>
      </c>
      <c r="N102" t="n">
        <v>4631</v>
      </c>
      <c r="P102" t="inlineStr">
        <is>
          <t>Closed Won</t>
        </is>
      </c>
      <c r="Q102" t="n">
        <v>1</v>
      </c>
      <c r="R102" t="n">
        <v>4631</v>
      </c>
      <c r="T102" s="9">
        <f>IFERROR(INDEX($A102:$R102,MATCH("Status",$A$1:$R$1,0)),"")&amp;""</f>
        <v/>
      </c>
      <c r="U102" s="52">
        <f>IFERROR(N(IFERROR(INDEX($A102:$R102,MATCH("Value Ex GST",$A$1:$R$1,0)),"")),0)</f>
        <v/>
      </c>
      <c r="V102" s="54">
        <f>IF(AND(T102&lt;&gt;"",IFERROR(INDEX($A102:$R102,MATCH("Value Ex GST",$A$1:$R$1,0)),"")&amp;""&lt;&gt;""),1,0)</f>
        <v/>
      </c>
      <c r="W102" s="56">
        <f>IFERROR(N(IFERROR(INDEX($A102:$R102,MATCH("Probability",$A$1:$R$1,0)),"")),0)</f>
        <v/>
      </c>
      <c r="X102" s="52">
        <f>IF(T102="Open",U102*W102,0)</f>
        <v/>
      </c>
      <c r="Y102" s="52">
        <f>IF(T102="Won",IFERROR(N(IFERROR(INDEX($A102:$R102,MATCH("Still to Invoice",$A$1:$R$1,0)),"")),0),0)</f>
        <v/>
      </c>
      <c r="Z102" s="55">
        <f>IFERROR(EOMONTH(IFERROR(INDEX($A102:$R102,MATCH("Expected Invoice Month",$A$1:$R$1,0)),""),0),"")</f>
        <v/>
      </c>
      <c r="AA102" s="9">
        <f>IFERROR(INDEX($A102:$R102,MATCH("Cost Centre",$A$1:$R$1,0)),"")&amp;""</f>
        <v/>
      </c>
      <c r="AB102" s="9">
        <f>IFERROR(INDEX($A102:$R102,MATCH("Pipeline Stage",$A$1:$R$1,0)),"")&amp;""</f>
        <v/>
      </c>
      <c r="AC102" s="9">
        <f>IFERROR(INDEX($A102:$R102,MATCH("Client",$A$1:$R$1,0)),"")&amp;""</f>
        <v/>
      </c>
      <c r="AD102" s="9">
        <f>IFERROR(INDEX($A102:$R102,MATCH("Description",$A$1:$R$1,0)),"")&amp;""</f>
        <v/>
      </c>
      <c r="AE102" s="9">
        <f>IFERROR(INDEX($A102:$R102,MATCH("Job Number",$A$1:$R$1,0)),"")&amp;""</f>
        <v/>
      </c>
      <c r="AF102" s="54">
        <f>IF(AND(T102="Open",ISNUMBER(Z102),Z102&lt;EOMONTH(set_AsAt,-1)+1),3,0)</f>
        <v/>
      </c>
      <c r="AG102" s="54">
        <f>IF(AND(T102="Open",U102&gt;0,U102&gt;=set_DealShare*SUMIFS($U$2:$U$601,$T$2:$T$601,"Open")),3,0)</f>
        <v/>
      </c>
      <c r="AH102" s="54">
        <f>IF(AND(T102="Open",U102&gt;=set_BigValue,W102&lt;=set_EarlyProb),2,0)</f>
        <v/>
      </c>
      <c r="AI102" s="54">
        <f>IF(AND(OR(T102="Open",T102="Won"),V102=0),2,0)</f>
        <v/>
      </c>
      <c r="AJ102" s="54">
        <f>IF(AND(T102="Won",Y102&gt;0.5,ISNUMBER(Z102),Z102&lt;EOMONTH(set_AsAt,-1)+1),3,0)</f>
        <v/>
      </c>
      <c r="AK102" s="54">
        <f>IF(AND(T102="Won",Y102&lt;-1),1,0)</f>
        <v/>
      </c>
      <c r="AL102" s="54">
        <f>SUM(AF102:AK102)</f>
        <v/>
      </c>
      <c r="AM102" s="9">
        <f>IF(AL102&gt;=set_ScoreHigh,"High",IF(AL102&gt;=set_ScoreMed,"Medium",IF(AL102&gt;0,"Low","OK")))</f>
        <v/>
      </c>
      <c r="AN102" s="54">
        <f>IF(OR(T102="Open",AND(T102="Won",ABS(Y102)&gt;0.5)),1,0)</f>
        <v/>
      </c>
      <c r="AO102" s="52">
        <f>IF(T102="Open",IF(V102=0,0,X102),IF(T102="Won",MAX(0,Y102),0))</f>
        <v/>
      </c>
      <c r="AP102" s="54">
        <f>IF(AN102=1,AL102*1E+9+U102+ROW()/1E+6,"")</f>
        <v/>
      </c>
      <c r="AQ102" s="9">
        <f>MID(IF(AF102&gt;0,"; Expected month passed - update Zoho","")&amp;IF(AG102&gt;0,"; "&amp;TEXT(U102/MAX(1,SUMIFS($U$2:$U$601,$T$2:$T$601,"Open")),"0%")&amp;" of open pipeline in one deal","")&amp;IF(AH102&gt;0,"; Large deal at an early stage","")&amp;IF(AI102&gt;0,"; No amount in Zoho","")&amp;IF(AJ102&gt;0,"; Won, invoice month passed, not fully invoiced","")&amp;IF(AK102&gt;0,"; Xero invoiced more than the deal value",""),3,300)</f>
        <v/>
      </c>
    </row>
    <row r="103">
      <c r="A103" s="51" t="n">
        <v>46265</v>
      </c>
      <c r="B103" t="inlineStr">
        <is>
          <t>ZOHO</t>
        </is>
      </c>
      <c r="C103" t="inlineStr">
        <is>
          <t>26071501</t>
        </is>
      </c>
      <c r="D103" t="inlineStr">
        <is>
          <t>Ventia</t>
        </is>
      </c>
      <c r="E103" t="inlineStr">
        <is>
          <t>26071501</t>
        </is>
      </c>
      <c r="F103" t="inlineStr">
        <is>
          <t>OK</t>
        </is>
      </c>
      <c r="G103" t="inlineStr">
        <is>
          <t>PRODUCTION</t>
        </is>
      </c>
      <c r="H103" t="inlineStr">
        <is>
          <t>Ventia - Half Year Results Briefing - 24.8.26</t>
        </is>
      </c>
      <c r="I103" t="n">
        <v>10150</v>
      </c>
      <c r="J103" t="inlineStr">
        <is>
          <t>Won</t>
        </is>
      </c>
      <c r="K103" s="51" t="n">
        <v>46258</v>
      </c>
      <c r="L103" s="51" t="n">
        <v>46265</v>
      </c>
      <c r="M103" t="n">
        <v>10835.49</v>
      </c>
      <c r="N103" t="n">
        <v>-685.49</v>
      </c>
      <c r="P103" t="inlineStr">
        <is>
          <t>Closed Won</t>
        </is>
      </c>
      <c r="Q103" t="n">
        <v>1</v>
      </c>
      <c r="R103" t="n">
        <v>10150</v>
      </c>
      <c r="T103" s="9">
        <f>IFERROR(INDEX($A103:$R103,MATCH("Status",$A$1:$R$1,0)),"")&amp;""</f>
        <v/>
      </c>
      <c r="U103" s="52">
        <f>IFERROR(N(IFERROR(INDEX($A103:$R103,MATCH("Value Ex GST",$A$1:$R$1,0)),"")),0)</f>
        <v/>
      </c>
      <c r="V103" s="54">
        <f>IF(AND(T103&lt;&gt;"",IFERROR(INDEX($A103:$R103,MATCH("Value Ex GST",$A$1:$R$1,0)),"")&amp;""&lt;&gt;""),1,0)</f>
        <v/>
      </c>
      <c r="W103" s="56">
        <f>IFERROR(N(IFERROR(INDEX($A103:$R103,MATCH("Probability",$A$1:$R$1,0)),"")),0)</f>
        <v/>
      </c>
      <c r="X103" s="52">
        <f>IF(T103="Open",U103*W103,0)</f>
        <v/>
      </c>
      <c r="Y103" s="52">
        <f>IF(T103="Won",IFERROR(N(IFERROR(INDEX($A103:$R103,MATCH("Still to Invoice",$A$1:$R$1,0)),"")),0),0)</f>
        <v/>
      </c>
      <c r="Z103" s="55">
        <f>IFERROR(EOMONTH(IFERROR(INDEX($A103:$R103,MATCH("Expected Invoice Month",$A$1:$R$1,0)),""),0),"")</f>
        <v/>
      </c>
      <c r="AA103" s="9">
        <f>IFERROR(INDEX($A103:$R103,MATCH("Cost Centre",$A$1:$R$1,0)),"")&amp;""</f>
        <v/>
      </c>
      <c r="AB103" s="9">
        <f>IFERROR(INDEX($A103:$R103,MATCH("Pipeline Stage",$A$1:$R$1,0)),"")&amp;""</f>
        <v/>
      </c>
      <c r="AC103" s="9">
        <f>IFERROR(INDEX($A103:$R103,MATCH("Client",$A$1:$R$1,0)),"")&amp;""</f>
        <v/>
      </c>
      <c r="AD103" s="9">
        <f>IFERROR(INDEX($A103:$R103,MATCH("Description",$A$1:$R$1,0)),"")&amp;""</f>
        <v/>
      </c>
      <c r="AE103" s="9">
        <f>IFERROR(INDEX($A103:$R103,MATCH("Job Number",$A$1:$R$1,0)),"")&amp;""</f>
        <v/>
      </c>
      <c r="AF103" s="54">
        <f>IF(AND(T103="Open",ISNUMBER(Z103),Z103&lt;EOMONTH(set_AsAt,-1)+1),3,0)</f>
        <v/>
      </c>
      <c r="AG103" s="54">
        <f>IF(AND(T103="Open",U103&gt;0,U103&gt;=set_DealShare*SUMIFS($U$2:$U$601,$T$2:$T$601,"Open")),3,0)</f>
        <v/>
      </c>
      <c r="AH103" s="54">
        <f>IF(AND(T103="Open",U103&gt;=set_BigValue,W103&lt;=set_EarlyProb),2,0)</f>
        <v/>
      </c>
      <c r="AI103" s="54">
        <f>IF(AND(OR(T103="Open",T103="Won"),V103=0),2,0)</f>
        <v/>
      </c>
      <c r="AJ103" s="54">
        <f>IF(AND(T103="Won",Y103&gt;0.5,ISNUMBER(Z103),Z103&lt;EOMONTH(set_AsAt,-1)+1),3,0)</f>
        <v/>
      </c>
      <c r="AK103" s="54">
        <f>IF(AND(T103="Won",Y103&lt;-1),1,0)</f>
        <v/>
      </c>
      <c r="AL103" s="54">
        <f>SUM(AF103:AK103)</f>
        <v/>
      </c>
      <c r="AM103" s="9">
        <f>IF(AL103&gt;=set_ScoreHigh,"High",IF(AL103&gt;=set_ScoreMed,"Medium",IF(AL103&gt;0,"Low","OK")))</f>
        <v/>
      </c>
      <c r="AN103" s="54">
        <f>IF(OR(T103="Open",AND(T103="Won",ABS(Y103)&gt;0.5)),1,0)</f>
        <v/>
      </c>
      <c r="AO103" s="52">
        <f>IF(T103="Open",IF(V103=0,0,X103),IF(T103="Won",MAX(0,Y103),0))</f>
        <v/>
      </c>
      <c r="AP103" s="54">
        <f>IF(AN103=1,AL103*1E+9+U103+ROW()/1E+6,"")</f>
        <v/>
      </c>
      <c r="AQ103" s="9">
        <f>MID(IF(AF103&gt;0,"; Expected month passed - update Zoho","")&amp;IF(AG103&gt;0,"; "&amp;TEXT(U103/MAX(1,SUMIFS($U$2:$U$601,$T$2:$T$601,"Open")),"0%")&amp;" of open pipeline in one deal","")&amp;IF(AH103&gt;0,"; Large deal at an early stage","")&amp;IF(AI103&gt;0,"; No amount in Zoho","")&amp;IF(AJ103&gt;0,"; Won, invoice month passed, not fully invoiced","")&amp;IF(AK103&gt;0,"; Xero invoiced more than the deal value",""),3,300)</f>
        <v/>
      </c>
    </row>
    <row r="104">
      <c r="A104" s="51" t="n">
        <v>46234</v>
      </c>
      <c r="B104" t="inlineStr">
        <is>
          <t>ZOHO</t>
        </is>
      </c>
      <c r="C104" t="inlineStr">
        <is>
          <t>26072101</t>
        </is>
      </c>
      <c r="D104" t="inlineStr">
        <is>
          <t>Aware Super</t>
        </is>
      </c>
      <c r="E104" t="inlineStr">
        <is>
          <t>26072101</t>
        </is>
      </c>
      <c r="F104" t="inlineStr">
        <is>
          <t>OK</t>
        </is>
      </c>
      <c r="G104" t="inlineStr">
        <is>
          <t>INTEGRATION</t>
        </is>
      </c>
      <c r="H104" t="inlineStr">
        <is>
          <t>Aware | MEL 17.02 Amp Replacement - 26072101</t>
        </is>
      </c>
      <c r="I104" t="n">
        <v>6217</v>
      </c>
      <c r="J104" t="inlineStr">
        <is>
          <t>Won</t>
        </is>
      </c>
      <c r="K104" s="51" t="n">
        <v>46234</v>
      </c>
      <c r="L104" s="51" t="n">
        <v>46234</v>
      </c>
      <c r="M104" t="n">
        <v>6137</v>
      </c>
      <c r="N104" t="n">
        <v>80</v>
      </c>
      <c r="P104" t="inlineStr">
        <is>
          <t>Closed Won</t>
        </is>
      </c>
      <c r="Q104" t="n">
        <v>1</v>
      </c>
      <c r="R104" t="n">
        <v>6217</v>
      </c>
      <c r="T104" s="9">
        <f>IFERROR(INDEX($A104:$R104,MATCH("Status",$A$1:$R$1,0)),"")&amp;""</f>
        <v/>
      </c>
      <c r="U104" s="52">
        <f>IFERROR(N(IFERROR(INDEX($A104:$R104,MATCH("Value Ex GST",$A$1:$R$1,0)),"")),0)</f>
        <v/>
      </c>
      <c r="V104" s="54">
        <f>IF(AND(T104&lt;&gt;"",IFERROR(INDEX($A104:$R104,MATCH("Value Ex GST",$A$1:$R$1,0)),"")&amp;""&lt;&gt;""),1,0)</f>
        <v/>
      </c>
      <c r="W104" s="56">
        <f>IFERROR(N(IFERROR(INDEX($A104:$R104,MATCH("Probability",$A$1:$R$1,0)),"")),0)</f>
        <v/>
      </c>
      <c r="X104" s="52">
        <f>IF(T104="Open",U104*W104,0)</f>
        <v/>
      </c>
      <c r="Y104" s="52">
        <f>IF(T104="Won",IFERROR(N(IFERROR(INDEX($A104:$R104,MATCH("Still to Invoice",$A$1:$R$1,0)),"")),0),0)</f>
        <v/>
      </c>
      <c r="Z104" s="55">
        <f>IFERROR(EOMONTH(IFERROR(INDEX($A104:$R104,MATCH("Expected Invoice Month",$A$1:$R$1,0)),""),0),"")</f>
        <v/>
      </c>
      <c r="AA104" s="9">
        <f>IFERROR(INDEX($A104:$R104,MATCH("Cost Centre",$A$1:$R$1,0)),"")&amp;""</f>
        <v/>
      </c>
      <c r="AB104" s="9">
        <f>IFERROR(INDEX($A104:$R104,MATCH("Pipeline Stage",$A$1:$R$1,0)),"")&amp;""</f>
        <v/>
      </c>
      <c r="AC104" s="9">
        <f>IFERROR(INDEX($A104:$R104,MATCH("Client",$A$1:$R$1,0)),"")&amp;""</f>
        <v/>
      </c>
      <c r="AD104" s="9">
        <f>IFERROR(INDEX($A104:$R104,MATCH("Description",$A$1:$R$1,0)),"")&amp;""</f>
        <v/>
      </c>
      <c r="AE104" s="9">
        <f>IFERROR(INDEX($A104:$R104,MATCH("Job Number",$A$1:$R$1,0)),"")&amp;""</f>
        <v/>
      </c>
      <c r="AF104" s="54">
        <f>IF(AND(T104="Open",ISNUMBER(Z104),Z104&lt;EOMONTH(set_AsAt,-1)+1),3,0)</f>
        <v/>
      </c>
      <c r="AG104" s="54">
        <f>IF(AND(T104="Open",U104&gt;0,U104&gt;=set_DealShare*SUMIFS($U$2:$U$601,$T$2:$T$601,"Open")),3,0)</f>
        <v/>
      </c>
      <c r="AH104" s="54">
        <f>IF(AND(T104="Open",U104&gt;=set_BigValue,W104&lt;=set_EarlyProb),2,0)</f>
        <v/>
      </c>
      <c r="AI104" s="54">
        <f>IF(AND(OR(T104="Open",T104="Won"),V104=0),2,0)</f>
        <v/>
      </c>
      <c r="AJ104" s="54">
        <f>IF(AND(T104="Won",Y104&gt;0.5,ISNUMBER(Z104),Z104&lt;EOMONTH(set_AsAt,-1)+1),3,0)</f>
        <v/>
      </c>
      <c r="AK104" s="54">
        <f>IF(AND(T104="Won",Y104&lt;-1),1,0)</f>
        <v/>
      </c>
      <c r="AL104" s="54">
        <f>SUM(AF104:AK104)</f>
        <v/>
      </c>
      <c r="AM104" s="9">
        <f>IF(AL104&gt;=set_ScoreHigh,"High",IF(AL104&gt;=set_ScoreMed,"Medium",IF(AL104&gt;0,"Low","OK")))</f>
        <v/>
      </c>
      <c r="AN104" s="54">
        <f>IF(OR(T104="Open",AND(T104="Won",ABS(Y104)&gt;0.5)),1,0)</f>
        <v/>
      </c>
      <c r="AO104" s="52">
        <f>IF(T104="Open",IF(V104=0,0,X104),IF(T104="Won",MAX(0,Y104),0))</f>
        <v/>
      </c>
      <c r="AP104" s="54">
        <f>IF(AN104=1,AL104*1E+9+U104+ROW()/1E+6,"")</f>
        <v/>
      </c>
      <c r="AQ104" s="9">
        <f>MID(IF(AF104&gt;0,"; Expected month passed - update Zoho","")&amp;IF(AG104&gt;0,"; "&amp;TEXT(U104/MAX(1,SUMIFS($U$2:$U$601,$T$2:$T$601,"Open")),"0%")&amp;" of open pipeline in one deal","")&amp;IF(AH104&gt;0,"; Large deal at an early stage","")&amp;IF(AI104&gt;0,"; No amount in Zoho","")&amp;IF(AJ104&gt;0,"; Won, invoice month passed, not fully invoiced","")&amp;IF(AK104&gt;0,"; Xero invoiced more than the deal value",""),3,300)</f>
        <v/>
      </c>
    </row>
    <row r="105">
      <c r="A105" s="51" t="n">
        <v>46265</v>
      </c>
      <c r="B105" t="inlineStr">
        <is>
          <t>ZOHO</t>
        </is>
      </c>
      <c r="C105" t="inlineStr">
        <is>
          <t>26082801</t>
        </is>
      </c>
      <c r="D105" t="inlineStr">
        <is>
          <t>Ricoh</t>
        </is>
      </c>
      <c r="E105" t="inlineStr">
        <is>
          <t>26082801</t>
        </is>
      </c>
      <c r="F105" t="inlineStr">
        <is>
          <t>OK</t>
        </is>
      </c>
      <c r="G105" t="inlineStr">
        <is>
          <t>ONSITE</t>
        </is>
      </c>
      <c r="H105" t="inlineStr">
        <is>
          <t>Event Support Technician</t>
        </is>
      </c>
      <c r="I105" t="n">
        <v>340</v>
      </c>
      <c r="J105" t="inlineStr">
        <is>
          <t>Won</t>
        </is>
      </c>
      <c r="K105" s="51" t="n">
        <v>46265</v>
      </c>
      <c r="L105" s="51" t="n">
        <v>46265</v>
      </c>
      <c r="M105" t="n">
        <v>340</v>
      </c>
      <c r="N105" t="n">
        <v>0</v>
      </c>
      <c r="P105" t="inlineStr">
        <is>
          <t>Closed Won</t>
        </is>
      </c>
      <c r="Q105" t="n">
        <v>1</v>
      </c>
      <c r="R105" t="n">
        <v>340</v>
      </c>
      <c r="T105" s="9">
        <f>IFERROR(INDEX($A105:$R105,MATCH("Status",$A$1:$R$1,0)),"")&amp;""</f>
        <v/>
      </c>
      <c r="U105" s="52">
        <f>IFERROR(N(IFERROR(INDEX($A105:$R105,MATCH("Value Ex GST",$A$1:$R$1,0)),"")),0)</f>
        <v/>
      </c>
      <c r="V105" s="54">
        <f>IF(AND(T105&lt;&gt;"",IFERROR(INDEX($A105:$R105,MATCH("Value Ex GST",$A$1:$R$1,0)),"")&amp;""&lt;&gt;""),1,0)</f>
        <v/>
      </c>
      <c r="W105" s="56">
        <f>IFERROR(N(IFERROR(INDEX($A105:$R105,MATCH("Probability",$A$1:$R$1,0)),"")),0)</f>
        <v/>
      </c>
      <c r="X105" s="52">
        <f>IF(T105="Open",U105*W105,0)</f>
        <v/>
      </c>
      <c r="Y105" s="52">
        <f>IF(T105="Won",IFERROR(N(IFERROR(INDEX($A105:$R105,MATCH("Still to Invoice",$A$1:$R$1,0)),"")),0),0)</f>
        <v/>
      </c>
      <c r="Z105" s="55">
        <f>IFERROR(EOMONTH(IFERROR(INDEX($A105:$R105,MATCH("Expected Invoice Month",$A$1:$R$1,0)),""),0),"")</f>
        <v/>
      </c>
      <c r="AA105" s="9">
        <f>IFERROR(INDEX($A105:$R105,MATCH("Cost Centre",$A$1:$R$1,0)),"")&amp;""</f>
        <v/>
      </c>
      <c r="AB105" s="9">
        <f>IFERROR(INDEX($A105:$R105,MATCH("Pipeline Stage",$A$1:$R$1,0)),"")&amp;""</f>
        <v/>
      </c>
      <c r="AC105" s="9">
        <f>IFERROR(INDEX($A105:$R105,MATCH("Client",$A$1:$R$1,0)),"")&amp;""</f>
        <v/>
      </c>
      <c r="AD105" s="9">
        <f>IFERROR(INDEX($A105:$R105,MATCH("Description",$A$1:$R$1,0)),"")&amp;""</f>
        <v/>
      </c>
      <c r="AE105" s="9">
        <f>IFERROR(INDEX($A105:$R105,MATCH("Job Number",$A$1:$R$1,0)),"")&amp;""</f>
        <v/>
      </c>
      <c r="AF105" s="54">
        <f>IF(AND(T105="Open",ISNUMBER(Z105),Z105&lt;EOMONTH(set_AsAt,-1)+1),3,0)</f>
        <v/>
      </c>
      <c r="AG105" s="54">
        <f>IF(AND(T105="Open",U105&gt;0,U105&gt;=set_DealShare*SUMIFS($U$2:$U$601,$T$2:$T$601,"Open")),3,0)</f>
        <v/>
      </c>
      <c r="AH105" s="54">
        <f>IF(AND(T105="Open",U105&gt;=set_BigValue,W105&lt;=set_EarlyProb),2,0)</f>
        <v/>
      </c>
      <c r="AI105" s="54">
        <f>IF(AND(OR(T105="Open",T105="Won"),V105=0),2,0)</f>
        <v/>
      </c>
      <c r="AJ105" s="54">
        <f>IF(AND(T105="Won",Y105&gt;0.5,ISNUMBER(Z105),Z105&lt;EOMONTH(set_AsAt,-1)+1),3,0)</f>
        <v/>
      </c>
      <c r="AK105" s="54">
        <f>IF(AND(T105="Won",Y105&lt;-1),1,0)</f>
        <v/>
      </c>
      <c r="AL105" s="54">
        <f>SUM(AF105:AK105)</f>
        <v/>
      </c>
      <c r="AM105" s="9">
        <f>IF(AL105&gt;=set_ScoreHigh,"High",IF(AL105&gt;=set_ScoreMed,"Medium",IF(AL105&gt;0,"Low","OK")))</f>
        <v/>
      </c>
      <c r="AN105" s="54">
        <f>IF(OR(T105="Open",AND(T105="Won",ABS(Y105)&gt;0.5)),1,0)</f>
        <v/>
      </c>
      <c r="AO105" s="52">
        <f>IF(T105="Open",IF(V105=0,0,X105),IF(T105="Won",MAX(0,Y105),0))</f>
        <v/>
      </c>
      <c r="AP105" s="54">
        <f>IF(AN105=1,AL105*1E+9+U105+ROW()/1E+6,"")</f>
        <v/>
      </c>
      <c r="AQ105" s="9">
        <f>MID(IF(AF105&gt;0,"; Expected month passed - update Zoho","")&amp;IF(AG105&gt;0,"; "&amp;TEXT(U105/MAX(1,SUMIFS($U$2:$U$601,$T$2:$T$601,"Open")),"0%")&amp;" of open pipeline in one deal","")&amp;IF(AH105&gt;0,"; Large deal at an early stage","")&amp;IF(AI105&gt;0,"; No amount in Zoho","")&amp;IF(AJ105&gt;0,"; Won, invoice month passed, not fully invoiced","")&amp;IF(AK105&gt;0,"; Xero invoiced more than the deal value",""),3,300)</f>
        <v/>
      </c>
    </row>
    <row r="106">
      <c r="A106" s="51" t="n">
        <v>46234</v>
      </c>
      <c r="B106" t="inlineStr">
        <is>
          <t>ZOHO</t>
        </is>
      </c>
      <c r="C106" t="inlineStr">
        <is>
          <t>26072904</t>
        </is>
      </c>
      <c r="D106" t="inlineStr">
        <is>
          <t>PWC</t>
        </is>
      </c>
      <c r="E106" t="inlineStr">
        <is>
          <t>26072904</t>
        </is>
      </c>
      <c r="F106" t="inlineStr">
        <is>
          <t>CHECK</t>
        </is>
      </c>
      <c r="G106" t="inlineStr">
        <is>
          <t>ONSITE</t>
        </is>
      </c>
      <c r="H106" t="inlineStr">
        <is>
          <t>PWC - Event Technician - 30.7.26</t>
        </is>
      </c>
      <c r="I106" t="n">
        <v>340</v>
      </c>
      <c r="J106" t="inlineStr">
        <is>
          <t>Won</t>
        </is>
      </c>
      <c r="K106" s="51" t="n">
        <v>46232</v>
      </c>
      <c r="L106" s="51" t="n">
        <v>46234</v>
      </c>
      <c r="M106" t="n">
        <v>0</v>
      </c>
      <c r="N106" t="n">
        <v>340</v>
      </c>
      <c r="P106" t="inlineStr">
        <is>
          <t>Closed Won</t>
        </is>
      </c>
      <c r="Q106" t="n">
        <v>1</v>
      </c>
      <c r="R106" t="n">
        <v>340</v>
      </c>
      <c r="T106" s="9">
        <f>IFERROR(INDEX($A106:$R106,MATCH("Status",$A$1:$R$1,0)),"")&amp;""</f>
        <v/>
      </c>
      <c r="U106" s="52">
        <f>IFERROR(N(IFERROR(INDEX($A106:$R106,MATCH("Value Ex GST",$A$1:$R$1,0)),"")),0)</f>
        <v/>
      </c>
      <c r="V106" s="54">
        <f>IF(AND(T106&lt;&gt;"",IFERROR(INDEX($A106:$R106,MATCH("Value Ex GST",$A$1:$R$1,0)),"")&amp;""&lt;&gt;""),1,0)</f>
        <v/>
      </c>
      <c r="W106" s="56">
        <f>IFERROR(N(IFERROR(INDEX($A106:$R106,MATCH("Probability",$A$1:$R$1,0)),"")),0)</f>
        <v/>
      </c>
      <c r="X106" s="52">
        <f>IF(T106="Open",U106*W106,0)</f>
        <v/>
      </c>
      <c r="Y106" s="52">
        <f>IF(T106="Won",IFERROR(N(IFERROR(INDEX($A106:$R106,MATCH("Still to Invoice",$A$1:$R$1,0)),"")),0),0)</f>
        <v/>
      </c>
      <c r="Z106" s="55">
        <f>IFERROR(EOMONTH(IFERROR(INDEX($A106:$R106,MATCH("Expected Invoice Month",$A$1:$R$1,0)),""),0),"")</f>
        <v/>
      </c>
      <c r="AA106" s="9">
        <f>IFERROR(INDEX($A106:$R106,MATCH("Cost Centre",$A$1:$R$1,0)),"")&amp;""</f>
        <v/>
      </c>
      <c r="AB106" s="9">
        <f>IFERROR(INDEX($A106:$R106,MATCH("Pipeline Stage",$A$1:$R$1,0)),"")&amp;""</f>
        <v/>
      </c>
      <c r="AC106" s="9">
        <f>IFERROR(INDEX($A106:$R106,MATCH("Client",$A$1:$R$1,0)),"")&amp;""</f>
        <v/>
      </c>
      <c r="AD106" s="9">
        <f>IFERROR(INDEX($A106:$R106,MATCH("Description",$A$1:$R$1,0)),"")&amp;""</f>
        <v/>
      </c>
      <c r="AE106" s="9">
        <f>IFERROR(INDEX($A106:$R106,MATCH("Job Number",$A$1:$R$1,0)),"")&amp;""</f>
        <v/>
      </c>
      <c r="AF106" s="54">
        <f>IF(AND(T106="Open",ISNUMBER(Z106),Z106&lt;EOMONTH(set_AsAt,-1)+1),3,0)</f>
        <v/>
      </c>
      <c r="AG106" s="54">
        <f>IF(AND(T106="Open",U106&gt;0,U106&gt;=set_DealShare*SUMIFS($U$2:$U$601,$T$2:$T$601,"Open")),3,0)</f>
        <v/>
      </c>
      <c r="AH106" s="54">
        <f>IF(AND(T106="Open",U106&gt;=set_BigValue,W106&lt;=set_EarlyProb),2,0)</f>
        <v/>
      </c>
      <c r="AI106" s="54">
        <f>IF(AND(OR(T106="Open",T106="Won"),V106=0),2,0)</f>
        <v/>
      </c>
      <c r="AJ106" s="54">
        <f>IF(AND(T106="Won",Y106&gt;0.5,ISNUMBER(Z106),Z106&lt;EOMONTH(set_AsAt,-1)+1),3,0)</f>
        <v/>
      </c>
      <c r="AK106" s="54">
        <f>IF(AND(T106="Won",Y106&lt;-1),1,0)</f>
        <v/>
      </c>
      <c r="AL106" s="54">
        <f>SUM(AF106:AK106)</f>
        <v/>
      </c>
      <c r="AM106" s="9">
        <f>IF(AL106&gt;=set_ScoreHigh,"High",IF(AL106&gt;=set_ScoreMed,"Medium",IF(AL106&gt;0,"Low","OK")))</f>
        <v/>
      </c>
      <c r="AN106" s="54">
        <f>IF(OR(T106="Open",AND(T106="Won",ABS(Y106)&gt;0.5)),1,0)</f>
        <v/>
      </c>
      <c r="AO106" s="52">
        <f>IF(T106="Open",IF(V106=0,0,X106),IF(T106="Won",MAX(0,Y106),0))</f>
        <v/>
      </c>
      <c r="AP106" s="54">
        <f>IF(AN106=1,AL106*1E+9+U106+ROW()/1E+6,"")</f>
        <v/>
      </c>
      <c r="AQ106" s="9">
        <f>MID(IF(AF106&gt;0,"; Expected month passed - update Zoho","")&amp;IF(AG106&gt;0,"; "&amp;TEXT(U106/MAX(1,SUMIFS($U$2:$U$601,$T$2:$T$601,"Open")),"0%")&amp;" of open pipeline in one deal","")&amp;IF(AH106&gt;0,"; Large deal at an early stage","")&amp;IF(AI106&gt;0,"; No amount in Zoho","")&amp;IF(AJ106&gt;0,"; Won, invoice month passed, not fully invoiced","")&amp;IF(AK106&gt;0,"; Xero invoiced more than the deal value",""),3,300)</f>
        <v/>
      </c>
    </row>
    <row r="107">
      <c r="A107" s="51" t="n">
        <v>46265</v>
      </c>
      <c r="B107" t="inlineStr">
        <is>
          <t>ZOHO</t>
        </is>
      </c>
      <c r="C107" t="inlineStr">
        <is>
          <t>26073102</t>
        </is>
      </c>
      <c r="D107" t="inlineStr">
        <is>
          <t>PWC</t>
        </is>
      </c>
      <c r="E107" t="inlineStr">
        <is>
          <t>26073102</t>
        </is>
      </c>
      <c r="F107" t="inlineStr">
        <is>
          <t>CHECK</t>
        </is>
      </c>
      <c r="G107" t="inlineStr">
        <is>
          <t>ONSITE</t>
        </is>
      </c>
      <c r="H107" t="inlineStr">
        <is>
          <t>Pool of Hours - National AV / IT Support</t>
        </is>
      </c>
      <c r="I107" t="n">
        <v>8500</v>
      </c>
      <c r="J107" t="inlineStr">
        <is>
          <t>Won</t>
        </is>
      </c>
      <c r="K107" s="51" t="n">
        <v>46238</v>
      </c>
      <c r="L107" s="51" t="n">
        <v>46265</v>
      </c>
      <c r="M107" t="n">
        <v>0</v>
      </c>
      <c r="N107" t="n">
        <v>8500</v>
      </c>
      <c r="P107" t="inlineStr">
        <is>
          <t>Closed Won</t>
        </is>
      </c>
      <c r="Q107" t="n">
        <v>1</v>
      </c>
      <c r="R107" t="n">
        <v>8500</v>
      </c>
      <c r="T107" s="9">
        <f>IFERROR(INDEX($A107:$R107,MATCH("Status",$A$1:$R$1,0)),"")&amp;""</f>
        <v/>
      </c>
      <c r="U107" s="52">
        <f>IFERROR(N(IFERROR(INDEX($A107:$R107,MATCH("Value Ex GST",$A$1:$R$1,0)),"")),0)</f>
        <v/>
      </c>
      <c r="V107" s="54">
        <f>IF(AND(T107&lt;&gt;"",IFERROR(INDEX($A107:$R107,MATCH("Value Ex GST",$A$1:$R$1,0)),"")&amp;""&lt;&gt;""),1,0)</f>
        <v/>
      </c>
      <c r="W107" s="56">
        <f>IFERROR(N(IFERROR(INDEX($A107:$R107,MATCH("Probability",$A$1:$R$1,0)),"")),0)</f>
        <v/>
      </c>
      <c r="X107" s="52">
        <f>IF(T107="Open",U107*W107,0)</f>
        <v/>
      </c>
      <c r="Y107" s="52">
        <f>IF(T107="Won",IFERROR(N(IFERROR(INDEX($A107:$R107,MATCH("Still to Invoice",$A$1:$R$1,0)),"")),0),0)</f>
        <v/>
      </c>
      <c r="Z107" s="55">
        <f>IFERROR(EOMONTH(IFERROR(INDEX($A107:$R107,MATCH("Expected Invoice Month",$A$1:$R$1,0)),""),0),"")</f>
        <v/>
      </c>
      <c r="AA107" s="9">
        <f>IFERROR(INDEX($A107:$R107,MATCH("Cost Centre",$A$1:$R$1,0)),"")&amp;""</f>
        <v/>
      </c>
      <c r="AB107" s="9">
        <f>IFERROR(INDEX($A107:$R107,MATCH("Pipeline Stage",$A$1:$R$1,0)),"")&amp;""</f>
        <v/>
      </c>
      <c r="AC107" s="9">
        <f>IFERROR(INDEX($A107:$R107,MATCH("Client",$A$1:$R$1,0)),"")&amp;""</f>
        <v/>
      </c>
      <c r="AD107" s="9">
        <f>IFERROR(INDEX($A107:$R107,MATCH("Description",$A$1:$R$1,0)),"")&amp;""</f>
        <v/>
      </c>
      <c r="AE107" s="9">
        <f>IFERROR(INDEX($A107:$R107,MATCH("Job Number",$A$1:$R$1,0)),"")&amp;""</f>
        <v/>
      </c>
      <c r="AF107" s="54">
        <f>IF(AND(T107="Open",ISNUMBER(Z107),Z107&lt;EOMONTH(set_AsAt,-1)+1),3,0)</f>
        <v/>
      </c>
      <c r="AG107" s="54">
        <f>IF(AND(T107="Open",U107&gt;0,U107&gt;=set_DealShare*SUMIFS($U$2:$U$601,$T$2:$T$601,"Open")),3,0)</f>
        <v/>
      </c>
      <c r="AH107" s="54">
        <f>IF(AND(T107="Open",U107&gt;=set_BigValue,W107&lt;=set_EarlyProb),2,0)</f>
        <v/>
      </c>
      <c r="AI107" s="54">
        <f>IF(AND(OR(T107="Open",T107="Won"),V107=0),2,0)</f>
        <v/>
      </c>
      <c r="AJ107" s="54">
        <f>IF(AND(T107="Won",Y107&gt;0.5,ISNUMBER(Z107),Z107&lt;EOMONTH(set_AsAt,-1)+1),3,0)</f>
        <v/>
      </c>
      <c r="AK107" s="54">
        <f>IF(AND(T107="Won",Y107&lt;-1),1,0)</f>
        <v/>
      </c>
      <c r="AL107" s="54">
        <f>SUM(AF107:AK107)</f>
        <v/>
      </c>
      <c r="AM107" s="9">
        <f>IF(AL107&gt;=set_ScoreHigh,"High",IF(AL107&gt;=set_ScoreMed,"Medium",IF(AL107&gt;0,"Low","OK")))</f>
        <v/>
      </c>
      <c r="AN107" s="54">
        <f>IF(OR(T107="Open",AND(T107="Won",ABS(Y107)&gt;0.5)),1,0)</f>
        <v/>
      </c>
      <c r="AO107" s="52">
        <f>IF(T107="Open",IF(V107=0,0,X107),IF(T107="Won",MAX(0,Y107),0))</f>
        <v/>
      </c>
      <c r="AP107" s="54">
        <f>IF(AN107=1,AL107*1E+9+U107+ROW()/1E+6,"")</f>
        <v/>
      </c>
      <c r="AQ107" s="9">
        <f>MID(IF(AF107&gt;0,"; Expected month passed - update Zoho","")&amp;IF(AG107&gt;0,"; "&amp;TEXT(U107/MAX(1,SUMIFS($U$2:$U$601,$T$2:$T$601,"Open")),"0%")&amp;" of open pipeline in one deal","")&amp;IF(AH107&gt;0,"; Large deal at an early stage","")&amp;IF(AI107&gt;0,"; No amount in Zoho","")&amp;IF(AJ107&gt;0,"; Won, invoice month passed, not fully invoiced","")&amp;IF(AK107&gt;0,"; Xero invoiced more than the deal value",""),3,300)</f>
        <v/>
      </c>
    </row>
    <row r="108">
      <c r="A108" s="51" t="n">
        <v>46265</v>
      </c>
      <c r="B108" t="inlineStr">
        <is>
          <t>ZOHO</t>
        </is>
      </c>
      <c r="C108" t="inlineStr">
        <is>
          <t>26062902</t>
        </is>
      </c>
      <c r="D108" t="inlineStr">
        <is>
          <t>Aware Super</t>
        </is>
      </c>
      <c r="E108" t="inlineStr">
        <is>
          <t>26062902</t>
        </is>
      </c>
      <c r="F108" t="inlineStr">
        <is>
          <t>OK</t>
        </is>
      </c>
      <c r="G108" t="inlineStr">
        <is>
          <t>INTEGRATION</t>
        </is>
      </c>
      <c r="H108" t="inlineStr">
        <is>
          <t>Aware | SYD Occupancy Sensors - 26062902</t>
        </is>
      </c>
      <c r="I108" t="n">
        <v>6196</v>
      </c>
      <c r="J108" t="inlineStr">
        <is>
          <t>Won</t>
        </is>
      </c>
      <c r="K108" s="51" t="n">
        <v>46238</v>
      </c>
      <c r="L108" s="51" t="n">
        <v>46265</v>
      </c>
      <c r="M108" t="n">
        <v>3489</v>
      </c>
      <c r="N108" t="n">
        <v>2707</v>
      </c>
      <c r="P108" t="inlineStr">
        <is>
          <t>Closed Won</t>
        </is>
      </c>
      <c r="Q108" t="n">
        <v>1</v>
      </c>
      <c r="R108" t="n">
        <v>6196</v>
      </c>
      <c r="T108" s="9">
        <f>IFERROR(INDEX($A108:$R108,MATCH("Status",$A$1:$R$1,0)),"")&amp;""</f>
        <v/>
      </c>
      <c r="U108" s="52">
        <f>IFERROR(N(IFERROR(INDEX($A108:$R108,MATCH("Value Ex GST",$A$1:$R$1,0)),"")),0)</f>
        <v/>
      </c>
      <c r="V108" s="54">
        <f>IF(AND(T108&lt;&gt;"",IFERROR(INDEX($A108:$R108,MATCH("Value Ex GST",$A$1:$R$1,0)),"")&amp;""&lt;&gt;""),1,0)</f>
        <v/>
      </c>
      <c r="W108" s="56">
        <f>IFERROR(N(IFERROR(INDEX($A108:$R108,MATCH("Probability",$A$1:$R$1,0)),"")),0)</f>
        <v/>
      </c>
      <c r="X108" s="52">
        <f>IF(T108="Open",U108*W108,0)</f>
        <v/>
      </c>
      <c r="Y108" s="52">
        <f>IF(T108="Won",IFERROR(N(IFERROR(INDEX($A108:$R108,MATCH("Still to Invoice",$A$1:$R$1,0)),"")),0),0)</f>
        <v/>
      </c>
      <c r="Z108" s="55">
        <f>IFERROR(EOMONTH(IFERROR(INDEX($A108:$R108,MATCH("Expected Invoice Month",$A$1:$R$1,0)),""),0),"")</f>
        <v/>
      </c>
      <c r="AA108" s="9">
        <f>IFERROR(INDEX($A108:$R108,MATCH("Cost Centre",$A$1:$R$1,0)),"")&amp;""</f>
        <v/>
      </c>
      <c r="AB108" s="9">
        <f>IFERROR(INDEX($A108:$R108,MATCH("Pipeline Stage",$A$1:$R$1,0)),"")&amp;""</f>
        <v/>
      </c>
      <c r="AC108" s="9">
        <f>IFERROR(INDEX($A108:$R108,MATCH("Client",$A$1:$R$1,0)),"")&amp;""</f>
        <v/>
      </c>
      <c r="AD108" s="9">
        <f>IFERROR(INDEX($A108:$R108,MATCH("Description",$A$1:$R$1,0)),"")&amp;""</f>
        <v/>
      </c>
      <c r="AE108" s="9">
        <f>IFERROR(INDEX($A108:$R108,MATCH("Job Number",$A$1:$R$1,0)),"")&amp;""</f>
        <v/>
      </c>
      <c r="AF108" s="54">
        <f>IF(AND(T108="Open",ISNUMBER(Z108),Z108&lt;EOMONTH(set_AsAt,-1)+1),3,0)</f>
        <v/>
      </c>
      <c r="AG108" s="54">
        <f>IF(AND(T108="Open",U108&gt;0,U108&gt;=set_DealShare*SUMIFS($U$2:$U$601,$T$2:$T$601,"Open")),3,0)</f>
        <v/>
      </c>
      <c r="AH108" s="54">
        <f>IF(AND(T108="Open",U108&gt;=set_BigValue,W108&lt;=set_EarlyProb),2,0)</f>
        <v/>
      </c>
      <c r="AI108" s="54">
        <f>IF(AND(OR(T108="Open",T108="Won"),V108=0),2,0)</f>
        <v/>
      </c>
      <c r="AJ108" s="54">
        <f>IF(AND(T108="Won",Y108&gt;0.5,ISNUMBER(Z108),Z108&lt;EOMONTH(set_AsAt,-1)+1),3,0)</f>
        <v/>
      </c>
      <c r="AK108" s="54">
        <f>IF(AND(T108="Won",Y108&lt;-1),1,0)</f>
        <v/>
      </c>
      <c r="AL108" s="54">
        <f>SUM(AF108:AK108)</f>
        <v/>
      </c>
      <c r="AM108" s="9">
        <f>IF(AL108&gt;=set_ScoreHigh,"High",IF(AL108&gt;=set_ScoreMed,"Medium",IF(AL108&gt;0,"Low","OK")))</f>
        <v/>
      </c>
      <c r="AN108" s="54">
        <f>IF(OR(T108="Open",AND(T108="Won",ABS(Y108)&gt;0.5)),1,0)</f>
        <v/>
      </c>
      <c r="AO108" s="52">
        <f>IF(T108="Open",IF(V108=0,0,X108),IF(T108="Won",MAX(0,Y108),0))</f>
        <v/>
      </c>
      <c r="AP108" s="54">
        <f>IF(AN108=1,AL108*1E+9+U108+ROW()/1E+6,"")</f>
        <v/>
      </c>
      <c r="AQ108" s="9">
        <f>MID(IF(AF108&gt;0,"; Expected month passed - update Zoho","")&amp;IF(AG108&gt;0,"; "&amp;TEXT(U108/MAX(1,SUMIFS($U$2:$U$601,$T$2:$T$601,"Open")),"0%")&amp;" of open pipeline in one deal","")&amp;IF(AH108&gt;0,"; Large deal at an early stage","")&amp;IF(AI108&gt;0,"; No amount in Zoho","")&amp;IF(AJ108&gt;0,"; Won, invoice month passed, not fully invoiced","")&amp;IF(AK108&gt;0,"; Xero invoiced more than the deal value",""),3,300)</f>
        <v/>
      </c>
    </row>
    <row r="109">
      <c r="A109" s="51" t="n">
        <v>46295</v>
      </c>
      <c r="B109" t="inlineStr">
        <is>
          <t>ZOHO</t>
        </is>
      </c>
      <c r="C109" t="inlineStr">
        <is>
          <t>2609801</t>
        </is>
      </c>
      <c r="D109" t="inlineStr">
        <is>
          <t>Elkiem</t>
        </is>
      </c>
      <c r="E109" t="inlineStr">
        <is>
          <t>2609801</t>
        </is>
      </c>
      <c r="F109" t="inlineStr">
        <is>
          <t>OK</t>
        </is>
      </c>
      <c r="G109" t="inlineStr">
        <is>
          <t>PRODUCTION</t>
        </is>
      </c>
      <c r="H109" t="inlineStr">
        <is>
          <t>Elkiem - Studio Support - 16.9.26</t>
        </is>
      </c>
      <c r="I109" t="n">
        <v>380</v>
      </c>
      <c r="J109" t="inlineStr">
        <is>
          <t>Won</t>
        </is>
      </c>
      <c r="K109" s="51" t="n">
        <v>46273</v>
      </c>
      <c r="L109" s="51" t="n">
        <v>46295</v>
      </c>
      <c r="M109" t="n">
        <v>380</v>
      </c>
      <c r="N109" t="n">
        <v>0</v>
      </c>
      <c r="P109" t="inlineStr">
        <is>
          <t>Closed Won</t>
        </is>
      </c>
      <c r="Q109" t="n">
        <v>1</v>
      </c>
      <c r="R109" t="n">
        <v>380</v>
      </c>
      <c r="T109" s="9">
        <f>IFERROR(INDEX($A109:$R109,MATCH("Status",$A$1:$R$1,0)),"")&amp;""</f>
        <v/>
      </c>
      <c r="U109" s="52">
        <f>IFERROR(N(IFERROR(INDEX($A109:$R109,MATCH("Value Ex GST",$A$1:$R$1,0)),"")),0)</f>
        <v/>
      </c>
      <c r="V109" s="54">
        <f>IF(AND(T109&lt;&gt;"",IFERROR(INDEX($A109:$R109,MATCH("Value Ex GST",$A$1:$R$1,0)),"")&amp;""&lt;&gt;""),1,0)</f>
        <v/>
      </c>
      <c r="W109" s="56">
        <f>IFERROR(N(IFERROR(INDEX($A109:$R109,MATCH("Probability",$A$1:$R$1,0)),"")),0)</f>
        <v/>
      </c>
      <c r="X109" s="52">
        <f>IF(T109="Open",U109*W109,0)</f>
        <v/>
      </c>
      <c r="Y109" s="52">
        <f>IF(T109="Won",IFERROR(N(IFERROR(INDEX($A109:$R109,MATCH("Still to Invoice",$A$1:$R$1,0)),"")),0),0)</f>
        <v/>
      </c>
      <c r="Z109" s="55">
        <f>IFERROR(EOMONTH(IFERROR(INDEX($A109:$R109,MATCH("Expected Invoice Month",$A$1:$R$1,0)),""),0),"")</f>
        <v/>
      </c>
      <c r="AA109" s="9">
        <f>IFERROR(INDEX($A109:$R109,MATCH("Cost Centre",$A$1:$R$1,0)),"")&amp;""</f>
        <v/>
      </c>
      <c r="AB109" s="9">
        <f>IFERROR(INDEX($A109:$R109,MATCH("Pipeline Stage",$A$1:$R$1,0)),"")&amp;""</f>
        <v/>
      </c>
      <c r="AC109" s="9">
        <f>IFERROR(INDEX($A109:$R109,MATCH("Client",$A$1:$R$1,0)),"")&amp;""</f>
        <v/>
      </c>
      <c r="AD109" s="9">
        <f>IFERROR(INDEX($A109:$R109,MATCH("Description",$A$1:$R$1,0)),"")&amp;""</f>
        <v/>
      </c>
      <c r="AE109" s="9">
        <f>IFERROR(INDEX($A109:$R109,MATCH("Job Number",$A$1:$R$1,0)),"")&amp;""</f>
        <v/>
      </c>
      <c r="AF109" s="54">
        <f>IF(AND(T109="Open",ISNUMBER(Z109),Z109&lt;EOMONTH(set_AsAt,-1)+1),3,0)</f>
        <v/>
      </c>
      <c r="AG109" s="54">
        <f>IF(AND(T109="Open",U109&gt;0,U109&gt;=set_DealShare*SUMIFS($U$2:$U$601,$T$2:$T$601,"Open")),3,0)</f>
        <v/>
      </c>
      <c r="AH109" s="54">
        <f>IF(AND(T109="Open",U109&gt;=set_BigValue,W109&lt;=set_EarlyProb),2,0)</f>
        <v/>
      </c>
      <c r="AI109" s="54">
        <f>IF(AND(OR(T109="Open",T109="Won"),V109=0),2,0)</f>
        <v/>
      </c>
      <c r="AJ109" s="54">
        <f>IF(AND(T109="Won",Y109&gt;0.5,ISNUMBER(Z109),Z109&lt;EOMONTH(set_AsAt,-1)+1),3,0)</f>
        <v/>
      </c>
      <c r="AK109" s="54">
        <f>IF(AND(T109="Won",Y109&lt;-1),1,0)</f>
        <v/>
      </c>
      <c r="AL109" s="54">
        <f>SUM(AF109:AK109)</f>
        <v/>
      </c>
      <c r="AM109" s="9">
        <f>IF(AL109&gt;=set_ScoreHigh,"High",IF(AL109&gt;=set_ScoreMed,"Medium",IF(AL109&gt;0,"Low","OK")))</f>
        <v/>
      </c>
      <c r="AN109" s="54">
        <f>IF(OR(T109="Open",AND(T109="Won",ABS(Y109)&gt;0.5)),1,0)</f>
        <v/>
      </c>
      <c r="AO109" s="52">
        <f>IF(T109="Open",IF(V109=0,0,X109),IF(T109="Won",MAX(0,Y109),0))</f>
        <v/>
      </c>
      <c r="AP109" s="54">
        <f>IF(AN109=1,AL109*1E+9+U109+ROW()/1E+6,"")</f>
        <v/>
      </c>
      <c r="AQ109" s="9">
        <f>MID(IF(AF109&gt;0,"; Expected month passed - update Zoho","")&amp;IF(AG109&gt;0,"; "&amp;TEXT(U109/MAX(1,SUMIFS($U$2:$U$601,$T$2:$T$601,"Open")),"0%")&amp;" of open pipeline in one deal","")&amp;IF(AH109&gt;0,"; Large deal at an early stage","")&amp;IF(AI109&gt;0,"; No amount in Zoho","")&amp;IF(AJ109&gt;0,"; Won, invoice month passed, not fully invoiced","")&amp;IF(AK109&gt;0,"; Xero invoiced more than the deal value",""),3,300)</f>
        <v/>
      </c>
    </row>
    <row r="110">
      <c r="A110" s="51" t="n">
        <v>46265</v>
      </c>
      <c r="B110" t="inlineStr">
        <is>
          <t>ZOHO</t>
        </is>
      </c>
      <c r="C110" t="inlineStr">
        <is>
          <t>26061104</t>
        </is>
      </c>
      <c r="D110" t="inlineStr">
        <is>
          <t>MUFG IR / Orient Capital</t>
        </is>
      </c>
      <c r="E110" t="inlineStr">
        <is>
          <t>26061104</t>
        </is>
      </c>
      <c r="F110" t="inlineStr">
        <is>
          <t>OK</t>
        </is>
      </c>
      <c r="G110" t="inlineStr">
        <is>
          <t>PRODUCTION</t>
        </is>
      </c>
      <c r="H110" t="inlineStr">
        <is>
          <t>MUFG -SUN FYR26 - 12.8.26</t>
        </is>
      </c>
      <c r="I110" t="n">
        <v>28652</v>
      </c>
      <c r="J110" t="inlineStr">
        <is>
          <t>Won</t>
        </is>
      </c>
      <c r="K110" s="51" t="n">
        <v>46246</v>
      </c>
      <c r="L110" s="51" t="n">
        <v>46265</v>
      </c>
      <c r="M110" t="n">
        <v>28652.25</v>
      </c>
      <c r="N110" t="n">
        <v>-0.25</v>
      </c>
      <c r="P110" t="inlineStr">
        <is>
          <t>Closed Won</t>
        </is>
      </c>
      <c r="Q110" t="n">
        <v>1</v>
      </c>
      <c r="R110" t="n">
        <v>28652</v>
      </c>
      <c r="T110" s="9">
        <f>IFERROR(INDEX($A110:$R110,MATCH("Status",$A$1:$R$1,0)),"")&amp;""</f>
        <v/>
      </c>
      <c r="U110" s="52">
        <f>IFERROR(N(IFERROR(INDEX($A110:$R110,MATCH("Value Ex GST",$A$1:$R$1,0)),"")),0)</f>
        <v/>
      </c>
      <c r="V110" s="54">
        <f>IF(AND(T110&lt;&gt;"",IFERROR(INDEX($A110:$R110,MATCH("Value Ex GST",$A$1:$R$1,0)),"")&amp;""&lt;&gt;""),1,0)</f>
        <v/>
      </c>
      <c r="W110" s="56">
        <f>IFERROR(N(IFERROR(INDEX($A110:$R110,MATCH("Probability",$A$1:$R$1,0)),"")),0)</f>
        <v/>
      </c>
      <c r="X110" s="52">
        <f>IF(T110="Open",U110*W110,0)</f>
        <v/>
      </c>
      <c r="Y110" s="52">
        <f>IF(T110="Won",IFERROR(N(IFERROR(INDEX($A110:$R110,MATCH("Still to Invoice",$A$1:$R$1,0)),"")),0),0)</f>
        <v/>
      </c>
      <c r="Z110" s="55">
        <f>IFERROR(EOMONTH(IFERROR(INDEX($A110:$R110,MATCH("Expected Invoice Month",$A$1:$R$1,0)),""),0),"")</f>
        <v/>
      </c>
      <c r="AA110" s="9">
        <f>IFERROR(INDEX($A110:$R110,MATCH("Cost Centre",$A$1:$R$1,0)),"")&amp;""</f>
        <v/>
      </c>
      <c r="AB110" s="9">
        <f>IFERROR(INDEX($A110:$R110,MATCH("Pipeline Stage",$A$1:$R$1,0)),"")&amp;""</f>
        <v/>
      </c>
      <c r="AC110" s="9">
        <f>IFERROR(INDEX($A110:$R110,MATCH("Client",$A$1:$R$1,0)),"")&amp;""</f>
        <v/>
      </c>
      <c r="AD110" s="9">
        <f>IFERROR(INDEX($A110:$R110,MATCH("Description",$A$1:$R$1,0)),"")&amp;""</f>
        <v/>
      </c>
      <c r="AE110" s="9">
        <f>IFERROR(INDEX($A110:$R110,MATCH("Job Number",$A$1:$R$1,0)),"")&amp;""</f>
        <v/>
      </c>
      <c r="AF110" s="54">
        <f>IF(AND(T110="Open",ISNUMBER(Z110),Z110&lt;EOMONTH(set_AsAt,-1)+1),3,0)</f>
        <v/>
      </c>
      <c r="AG110" s="54">
        <f>IF(AND(T110="Open",U110&gt;0,U110&gt;=set_DealShare*SUMIFS($U$2:$U$601,$T$2:$T$601,"Open")),3,0)</f>
        <v/>
      </c>
      <c r="AH110" s="54">
        <f>IF(AND(T110="Open",U110&gt;=set_BigValue,W110&lt;=set_EarlyProb),2,0)</f>
        <v/>
      </c>
      <c r="AI110" s="54">
        <f>IF(AND(OR(T110="Open",T110="Won"),V110=0),2,0)</f>
        <v/>
      </c>
      <c r="AJ110" s="54">
        <f>IF(AND(T110="Won",Y110&gt;0.5,ISNUMBER(Z110),Z110&lt;EOMONTH(set_AsAt,-1)+1),3,0)</f>
        <v/>
      </c>
      <c r="AK110" s="54">
        <f>IF(AND(T110="Won",Y110&lt;-1),1,0)</f>
        <v/>
      </c>
      <c r="AL110" s="54">
        <f>SUM(AF110:AK110)</f>
        <v/>
      </c>
      <c r="AM110" s="9">
        <f>IF(AL110&gt;=set_ScoreHigh,"High",IF(AL110&gt;=set_ScoreMed,"Medium",IF(AL110&gt;0,"Low","OK")))</f>
        <v/>
      </c>
      <c r="AN110" s="54">
        <f>IF(OR(T110="Open",AND(T110="Won",ABS(Y110)&gt;0.5)),1,0)</f>
        <v/>
      </c>
      <c r="AO110" s="52">
        <f>IF(T110="Open",IF(V110=0,0,X110),IF(T110="Won",MAX(0,Y110),0))</f>
        <v/>
      </c>
      <c r="AP110" s="54">
        <f>IF(AN110=1,AL110*1E+9+U110+ROW()/1E+6,"")</f>
        <v/>
      </c>
      <c r="AQ110" s="9">
        <f>MID(IF(AF110&gt;0,"; Expected month passed - update Zoho","")&amp;IF(AG110&gt;0,"; "&amp;TEXT(U110/MAX(1,SUMIFS($U$2:$U$601,$T$2:$T$601,"Open")),"0%")&amp;" of open pipeline in one deal","")&amp;IF(AH110&gt;0,"; Large deal at an early stage","")&amp;IF(AI110&gt;0,"; No amount in Zoho","")&amp;IF(AJ110&gt;0,"; Won, invoice month passed, not fully invoiced","")&amp;IF(AK110&gt;0,"; Xero invoiced more than the deal value",""),3,300)</f>
        <v/>
      </c>
    </row>
    <row r="111">
      <c r="A111" s="51" t="n">
        <v>46265</v>
      </c>
      <c r="B111" t="inlineStr">
        <is>
          <t>ZOHO</t>
        </is>
      </c>
      <c r="C111" t="inlineStr">
        <is>
          <t>26073103</t>
        </is>
      </c>
      <c r="D111" t="inlineStr">
        <is>
          <t>Deloitte Australia</t>
        </is>
      </c>
      <c r="E111" t="inlineStr">
        <is>
          <t>26073103</t>
        </is>
      </c>
      <c r="F111" t="inlineStr">
        <is>
          <t>OK</t>
        </is>
      </c>
      <c r="G111" t="inlineStr">
        <is>
          <t>ONSITE</t>
        </is>
      </c>
      <c r="H111" t="inlineStr">
        <is>
          <t>Perth AV &amp; Hospitality Technician (SEP26-FEB27)</t>
        </is>
      </c>
      <c r="I111" t="n">
        <v>81600</v>
      </c>
      <c r="J111" t="inlineStr">
        <is>
          <t>Won</t>
        </is>
      </c>
      <c r="K111" s="51" t="n">
        <v>46265</v>
      </c>
      <c r="L111" s="51" t="n">
        <v>46265</v>
      </c>
      <c r="M111" t="n">
        <v>0</v>
      </c>
      <c r="N111" t="n">
        <v>81600</v>
      </c>
      <c r="P111" t="inlineStr">
        <is>
          <t>Closed Won</t>
        </is>
      </c>
      <c r="Q111" t="n">
        <v>1</v>
      </c>
      <c r="R111" t="n">
        <v>81600</v>
      </c>
      <c r="T111" s="9">
        <f>IFERROR(INDEX($A111:$R111,MATCH("Status",$A$1:$R$1,0)),"")&amp;""</f>
        <v/>
      </c>
      <c r="U111" s="52">
        <f>IFERROR(N(IFERROR(INDEX($A111:$R111,MATCH("Value Ex GST",$A$1:$R$1,0)),"")),0)</f>
        <v/>
      </c>
      <c r="V111" s="54">
        <f>IF(AND(T111&lt;&gt;"",IFERROR(INDEX($A111:$R111,MATCH("Value Ex GST",$A$1:$R$1,0)),"")&amp;""&lt;&gt;""),1,0)</f>
        <v/>
      </c>
      <c r="W111" s="56">
        <f>IFERROR(N(IFERROR(INDEX($A111:$R111,MATCH("Probability",$A$1:$R$1,0)),"")),0)</f>
        <v/>
      </c>
      <c r="X111" s="52">
        <f>IF(T111="Open",U111*W111,0)</f>
        <v/>
      </c>
      <c r="Y111" s="52">
        <f>IF(T111="Won",IFERROR(N(IFERROR(INDEX($A111:$R111,MATCH("Still to Invoice",$A$1:$R$1,0)),"")),0),0)</f>
        <v/>
      </c>
      <c r="Z111" s="55">
        <f>IFERROR(EOMONTH(IFERROR(INDEX($A111:$R111,MATCH("Expected Invoice Month",$A$1:$R$1,0)),""),0),"")</f>
        <v/>
      </c>
      <c r="AA111" s="9">
        <f>IFERROR(INDEX($A111:$R111,MATCH("Cost Centre",$A$1:$R$1,0)),"")&amp;""</f>
        <v/>
      </c>
      <c r="AB111" s="9">
        <f>IFERROR(INDEX($A111:$R111,MATCH("Pipeline Stage",$A$1:$R$1,0)),"")&amp;""</f>
        <v/>
      </c>
      <c r="AC111" s="9">
        <f>IFERROR(INDEX($A111:$R111,MATCH("Client",$A$1:$R$1,0)),"")&amp;""</f>
        <v/>
      </c>
      <c r="AD111" s="9">
        <f>IFERROR(INDEX($A111:$R111,MATCH("Description",$A$1:$R$1,0)),"")&amp;""</f>
        <v/>
      </c>
      <c r="AE111" s="9">
        <f>IFERROR(INDEX($A111:$R111,MATCH("Job Number",$A$1:$R$1,0)),"")&amp;""</f>
        <v/>
      </c>
      <c r="AF111" s="54">
        <f>IF(AND(T111="Open",ISNUMBER(Z111),Z111&lt;EOMONTH(set_AsAt,-1)+1),3,0)</f>
        <v/>
      </c>
      <c r="AG111" s="54">
        <f>IF(AND(T111="Open",U111&gt;0,U111&gt;=set_DealShare*SUMIFS($U$2:$U$601,$T$2:$T$601,"Open")),3,0)</f>
        <v/>
      </c>
      <c r="AH111" s="54">
        <f>IF(AND(T111="Open",U111&gt;=set_BigValue,W111&lt;=set_EarlyProb),2,0)</f>
        <v/>
      </c>
      <c r="AI111" s="54">
        <f>IF(AND(OR(T111="Open",T111="Won"),V111=0),2,0)</f>
        <v/>
      </c>
      <c r="AJ111" s="54">
        <f>IF(AND(T111="Won",Y111&gt;0.5,ISNUMBER(Z111),Z111&lt;EOMONTH(set_AsAt,-1)+1),3,0)</f>
        <v/>
      </c>
      <c r="AK111" s="54">
        <f>IF(AND(T111="Won",Y111&lt;-1),1,0)</f>
        <v/>
      </c>
      <c r="AL111" s="54">
        <f>SUM(AF111:AK111)</f>
        <v/>
      </c>
      <c r="AM111" s="9">
        <f>IF(AL111&gt;=set_ScoreHigh,"High",IF(AL111&gt;=set_ScoreMed,"Medium",IF(AL111&gt;0,"Low","OK")))</f>
        <v/>
      </c>
      <c r="AN111" s="54">
        <f>IF(OR(T111="Open",AND(T111="Won",ABS(Y111)&gt;0.5)),1,0)</f>
        <v/>
      </c>
      <c r="AO111" s="52">
        <f>IF(T111="Open",IF(V111=0,0,X111),IF(T111="Won",MAX(0,Y111),0))</f>
        <v/>
      </c>
      <c r="AP111" s="54">
        <f>IF(AN111=1,AL111*1E+9+U111+ROW()/1E+6,"")</f>
        <v/>
      </c>
      <c r="AQ111" s="9">
        <f>MID(IF(AF111&gt;0,"; Expected month passed - update Zoho","")&amp;IF(AG111&gt;0,"; "&amp;TEXT(U111/MAX(1,SUMIFS($U$2:$U$601,$T$2:$T$601,"Open")),"0%")&amp;" of open pipeline in one deal","")&amp;IF(AH111&gt;0,"; Large deal at an early stage","")&amp;IF(AI111&gt;0,"; No amount in Zoho","")&amp;IF(AJ111&gt;0,"; Won, invoice month passed, not fully invoiced","")&amp;IF(AK111&gt;0,"; Xero invoiced more than the deal value",""),3,300)</f>
        <v/>
      </c>
    </row>
    <row r="112">
      <c r="A112" s="51" t="n">
        <v>46265</v>
      </c>
      <c r="B112" t="inlineStr">
        <is>
          <t>ZOHO</t>
        </is>
      </c>
      <c r="C112" t="inlineStr">
        <is>
          <t>26072906</t>
        </is>
      </c>
      <c r="D112" t="inlineStr">
        <is>
          <t>ASX Australian Securities Exchange</t>
        </is>
      </c>
      <c r="E112" t="inlineStr">
        <is>
          <t>26072906</t>
        </is>
      </c>
      <c r="F112" t="inlineStr">
        <is>
          <t>OK</t>
        </is>
      </c>
      <c r="G112" t="inlineStr">
        <is>
          <t>VIDEO</t>
        </is>
      </c>
      <c r="H112" t="inlineStr">
        <is>
          <t>ASX’s Advisory Group on Corporate Governance</t>
        </is>
      </c>
      <c r="I112" t="n">
        <v>4602</v>
      </c>
      <c r="J112" t="inlineStr">
        <is>
          <t>Won</t>
        </is>
      </c>
      <c r="K112" s="51" t="n">
        <v>46237</v>
      </c>
      <c r="L112" s="51" t="n">
        <v>46265</v>
      </c>
      <c r="M112" t="n">
        <v>4601.7</v>
      </c>
      <c r="N112" t="n">
        <v>0.300000000000182</v>
      </c>
      <c r="P112" t="inlineStr">
        <is>
          <t>Closed Won</t>
        </is>
      </c>
      <c r="Q112" t="n">
        <v>1</v>
      </c>
      <c r="R112" t="n">
        <v>4602</v>
      </c>
      <c r="T112" s="9">
        <f>IFERROR(INDEX($A112:$R112,MATCH("Status",$A$1:$R$1,0)),"")&amp;""</f>
        <v/>
      </c>
      <c r="U112" s="52">
        <f>IFERROR(N(IFERROR(INDEX($A112:$R112,MATCH("Value Ex GST",$A$1:$R$1,0)),"")),0)</f>
        <v/>
      </c>
      <c r="V112" s="54">
        <f>IF(AND(T112&lt;&gt;"",IFERROR(INDEX($A112:$R112,MATCH("Value Ex GST",$A$1:$R$1,0)),"")&amp;""&lt;&gt;""),1,0)</f>
        <v/>
      </c>
      <c r="W112" s="56">
        <f>IFERROR(N(IFERROR(INDEX($A112:$R112,MATCH("Probability",$A$1:$R$1,0)),"")),0)</f>
        <v/>
      </c>
      <c r="X112" s="52">
        <f>IF(T112="Open",U112*W112,0)</f>
        <v/>
      </c>
      <c r="Y112" s="52">
        <f>IF(T112="Won",IFERROR(N(IFERROR(INDEX($A112:$R112,MATCH("Still to Invoice",$A$1:$R$1,0)),"")),0),0)</f>
        <v/>
      </c>
      <c r="Z112" s="55">
        <f>IFERROR(EOMONTH(IFERROR(INDEX($A112:$R112,MATCH("Expected Invoice Month",$A$1:$R$1,0)),""),0),"")</f>
        <v/>
      </c>
      <c r="AA112" s="9">
        <f>IFERROR(INDEX($A112:$R112,MATCH("Cost Centre",$A$1:$R$1,0)),"")&amp;""</f>
        <v/>
      </c>
      <c r="AB112" s="9">
        <f>IFERROR(INDEX($A112:$R112,MATCH("Pipeline Stage",$A$1:$R$1,0)),"")&amp;""</f>
        <v/>
      </c>
      <c r="AC112" s="9">
        <f>IFERROR(INDEX($A112:$R112,MATCH("Client",$A$1:$R$1,0)),"")&amp;""</f>
        <v/>
      </c>
      <c r="AD112" s="9">
        <f>IFERROR(INDEX($A112:$R112,MATCH("Description",$A$1:$R$1,0)),"")&amp;""</f>
        <v/>
      </c>
      <c r="AE112" s="9">
        <f>IFERROR(INDEX($A112:$R112,MATCH("Job Number",$A$1:$R$1,0)),"")&amp;""</f>
        <v/>
      </c>
      <c r="AF112" s="54">
        <f>IF(AND(T112="Open",ISNUMBER(Z112),Z112&lt;EOMONTH(set_AsAt,-1)+1),3,0)</f>
        <v/>
      </c>
      <c r="AG112" s="54">
        <f>IF(AND(T112="Open",U112&gt;0,U112&gt;=set_DealShare*SUMIFS($U$2:$U$601,$T$2:$T$601,"Open")),3,0)</f>
        <v/>
      </c>
      <c r="AH112" s="54">
        <f>IF(AND(T112="Open",U112&gt;=set_BigValue,W112&lt;=set_EarlyProb),2,0)</f>
        <v/>
      </c>
      <c r="AI112" s="54">
        <f>IF(AND(OR(T112="Open",T112="Won"),V112=0),2,0)</f>
        <v/>
      </c>
      <c r="AJ112" s="54">
        <f>IF(AND(T112="Won",Y112&gt;0.5,ISNUMBER(Z112),Z112&lt;EOMONTH(set_AsAt,-1)+1),3,0)</f>
        <v/>
      </c>
      <c r="AK112" s="54">
        <f>IF(AND(T112="Won",Y112&lt;-1),1,0)</f>
        <v/>
      </c>
      <c r="AL112" s="54">
        <f>SUM(AF112:AK112)</f>
        <v/>
      </c>
      <c r="AM112" s="9">
        <f>IF(AL112&gt;=set_ScoreHigh,"High",IF(AL112&gt;=set_ScoreMed,"Medium",IF(AL112&gt;0,"Low","OK")))</f>
        <v/>
      </c>
      <c r="AN112" s="54">
        <f>IF(OR(T112="Open",AND(T112="Won",ABS(Y112)&gt;0.5)),1,0)</f>
        <v/>
      </c>
      <c r="AO112" s="52">
        <f>IF(T112="Open",IF(V112=0,0,X112),IF(T112="Won",MAX(0,Y112),0))</f>
        <v/>
      </c>
      <c r="AP112" s="54">
        <f>IF(AN112=1,AL112*1E+9+U112+ROW()/1E+6,"")</f>
        <v/>
      </c>
      <c r="AQ112" s="9">
        <f>MID(IF(AF112&gt;0,"; Expected month passed - update Zoho","")&amp;IF(AG112&gt;0,"; "&amp;TEXT(U112/MAX(1,SUMIFS($U$2:$U$601,$T$2:$T$601,"Open")),"0%")&amp;" of open pipeline in one deal","")&amp;IF(AH112&gt;0,"; Large deal at an early stage","")&amp;IF(AI112&gt;0,"; No amount in Zoho","")&amp;IF(AJ112&gt;0,"; Won, invoice month passed, not fully invoiced","")&amp;IF(AK112&gt;0,"; Xero invoiced more than the deal value",""),3,300)</f>
        <v/>
      </c>
    </row>
    <row r="113">
      <c r="A113" s="51" t="n">
        <v>46265</v>
      </c>
      <c r="B113" t="inlineStr">
        <is>
          <t>ZOHO</t>
        </is>
      </c>
      <c r="C113" t="inlineStr">
        <is>
          <t>26061105</t>
        </is>
      </c>
      <c r="D113" t="inlineStr">
        <is>
          <t>Commonwealth Bank Australia (CBA)</t>
        </is>
      </c>
      <c r="E113" t="inlineStr">
        <is>
          <t>26061105</t>
        </is>
      </c>
      <c r="F113" t="inlineStr">
        <is>
          <t>OK</t>
        </is>
      </c>
      <c r="G113" t="inlineStr">
        <is>
          <t>PRODUCTION</t>
        </is>
      </c>
      <c r="H113" t="inlineStr">
        <is>
          <t>CBA - FYR26 - 12.8.26</t>
        </is>
      </c>
      <c r="I113" t="n">
        <v>12170</v>
      </c>
      <c r="J113" t="inlineStr">
        <is>
          <t>Won</t>
        </is>
      </c>
      <c r="K113" s="51" t="n">
        <v>46246</v>
      </c>
      <c r="L113" s="51" t="n">
        <v>46265</v>
      </c>
      <c r="M113" t="n">
        <v>12170</v>
      </c>
      <c r="N113" t="n">
        <v>0</v>
      </c>
      <c r="P113" t="inlineStr">
        <is>
          <t>Closed Won</t>
        </is>
      </c>
      <c r="Q113" t="n">
        <v>1</v>
      </c>
      <c r="R113" t="n">
        <v>12170</v>
      </c>
      <c r="T113" s="9">
        <f>IFERROR(INDEX($A113:$R113,MATCH("Status",$A$1:$R$1,0)),"")&amp;""</f>
        <v/>
      </c>
      <c r="U113" s="52">
        <f>IFERROR(N(IFERROR(INDEX($A113:$R113,MATCH("Value Ex GST",$A$1:$R$1,0)),"")),0)</f>
        <v/>
      </c>
      <c r="V113" s="54">
        <f>IF(AND(T113&lt;&gt;"",IFERROR(INDEX($A113:$R113,MATCH("Value Ex GST",$A$1:$R$1,0)),"")&amp;""&lt;&gt;""),1,0)</f>
        <v/>
      </c>
      <c r="W113" s="56">
        <f>IFERROR(N(IFERROR(INDEX($A113:$R113,MATCH("Probability",$A$1:$R$1,0)),"")),0)</f>
        <v/>
      </c>
      <c r="X113" s="52">
        <f>IF(T113="Open",U113*W113,0)</f>
        <v/>
      </c>
      <c r="Y113" s="52">
        <f>IF(T113="Won",IFERROR(N(IFERROR(INDEX($A113:$R113,MATCH("Still to Invoice",$A$1:$R$1,0)),"")),0),0)</f>
        <v/>
      </c>
      <c r="Z113" s="55">
        <f>IFERROR(EOMONTH(IFERROR(INDEX($A113:$R113,MATCH("Expected Invoice Month",$A$1:$R$1,0)),""),0),"")</f>
        <v/>
      </c>
      <c r="AA113" s="9">
        <f>IFERROR(INDEX($A113:$R113,MATCH("Cost Centre",$A$1:$R$1,0)),"")&amp;""</f>
        <v/>
      </c>
      <c r="AB113" s="9">
        <f>IFERROR(INDEX($A113:$R113,MATCH("Pipeline Stage",$A$1:$R$1,0)),"")&amp;""</f>
        <v/>
      </c>
      <c r="AC113" s="9">
        <f>IFERROR(INDEX($A113:$R113,MATCH("Client",$A$1:$R$1,0)),"")&amp;""</f>
        <v/>
      </c>
      <c r="AD113" s="9">
        <f>IFERROR(INDEX($A113:$R113,MATCH("Description",$A$1:$R$1,0)),"")&amp;""</f>
        <v/>
      </c>
      <c r="AE113" s="9">
        <f>IFERROR(INDEX($A113:$R113,MATCH("Job Number",$A$1:$R$1,0)),"")&amp;""</f>
        <v/>
      </c>
      <c r="AF113" s="54">
        <f>IF(AND(T113="Open",ISNUMBER(Z113),Z113&lt;EOMONTH(set_AsAt,-1)+1),3,0)</f>
        <v/>
      </c>
      <c r="AG113" s="54">
        <f>IF(AND(T113="Open",U113&gt;0,U113&gt;=set_DealShare*SUMIFS($U$2:$U$601,$T$2:$T$601,"Open")),3,0)</f>
        <v/>
      </c>
      <c r="AH113" s="54">
        <f>IF(AND(T113="Open",U113&gt;=set_BigValue,W113&lt;=set_EarlyProb),2,0)</f>
        <v/>
      </c>
      <c r="AI113" s="54">
        <f>IF(AND(OR(T113="Open",T113="Won"),V113=0),2,0)</f>
        <v/>
      </c>
      <c r="AJ113" s="54">
        <f>IF(AND(T113="Won",Y113&gt;0.5,ISNUMBER(Z113),Z113&lt;EOMONTH(set_AsAt,-1)+1),3,0)</f>
        <v/>
      </c>
      <c r="AK113" s="54">
        <f>IF(AND(T113="Won",Y113&lt;-1),1,0)</f>
        <v/>
      </c>
      <c r="AL113" s="54">
        <f>SUM(AF113:AK113)</f>
        <v/>
      </c>
      <c r="AM113" s="9">
        <f>IF(AL113&gt;=set_ScoreHigh,"High",IF(AL113&gt;=set_ScoreMed,"Medium",IF(AL113&gt;0,"Low","OK")))</f>
        <v/>
      </c>
      <c r="AN113" s="54">
        <f>IF(OR(T113="Open",AND(T113="Won",ABS(Y113)&gt;0.5)),1,0)</f>
        <v/>
      </c>
      <c r="AO113" s="52">
        <f>IF(T113="Open",IF(V113=0,0,X113),IF(T113="Won",MAX(0,Y113),0))</f>
        <v/>
      </c>
      <c r="AP113" s="54">
        <f>IF(AN113=1,AL113*1E+9+U113+ROW()/1E+6,"")</f>
        <v/>
      </c>
      <c r="AQ113" s="9">
        <f>MID(IF(AF113&gt;0,"; Expected month passed - update Zoho","")&amp;IF(AG113&gt;0,"; "&amp;TEXT(U113/MAX(1,SUMIFS($U$2:$U$601,$T$2:$T$601,"Open")),"0%")&amp;" of open pipeline in one deal","")&amp;IF(AH113&gt;0,"; Large deal at an early stage","")&amp;IF(AI113&gt;0,"; No amount in Zoho","")&amp;IF(AJ113&gt;0,"; Won, invoice month passed, not fully invoiced","")&amp;IF(AK113&gt;0,"; Xero invoiced more than the deal value",""),3,300)</f>
        <v/>
      </c>
    </row>
    <row r="114">
      <c r="A114" s="51" t="n">
        <v>46265</v>
      </c>
      <c r="B114" t="inlineStr">
        <is>
          <t>ZOHO</t>
        </is>
      </c>
      <c r="C114" t="inlineStr">
        <is>
          <t>2608402</t>
        </is>
      </c>
      <c r="D114" t="inlineStr">
        <is>
          <t>Garvan Institute of Medical Research</t>
        </is>
      </c>
      <c r="E114" t="inlineStr">
        <is>
          <t>2608402</t>
        </is>
      </c>
      <c r="F114" t="inlineStr">
        <is>
          <t>OK</t>
        </is>
      </c>
      <c r="G114" t="inlineStr">
        <is>
          <t>PRODUCTION</t>
        </is>
      </c>
      <c r="H114" t="inlineStr">
        <is>
          <t>Garvan - Suttons Event - 15.10.26</t>
        </is>
      </c>
      <c r="I114" t="n">
        <v>940</v>
      </c>
      <c r="J114" t="inlineStr">
        <is>
          <t>Won</t>
        </is>
      </c>
      <c r="K114" s="51" t="n">
        <v>46239</v>
      </c>
      <c r="L114" s="51" t="n">
        <v>46326</v>
      </c>
      <c r="M114" t="n">
        <v>0</v>
      </c>
      <c r="N114" t="n">
        <v>940</v>
      </c>
      <c r="O114" t="inlineStr">
        <is>
          <t>Invoice month taken from the event date in the deal name</t>
        </is>
      </c>
      <c r="P114" t="inlineStr">
        <is>
          <t>Closed Won</t>
        </is>
      </c>
      <c r="Q114" t="n">
        <v>1</v>
      </c>
      <c r="R114" t="n">
        <v>940</v>
      </c>
      <c r="T114" s="9">
        <f>IFERROR(INDEX($A114:$R114,MATCH("Status",$A$1:$R$1,0)),"")&amp;""</f>
        <v/>
      </c>
      <c r="U114" s="52">
        <f>IFERROR(N(IFERROR(INDEX($A114:$R114,MATCH("Value Ex GST",$A$1:$R$1,0)),"")),0)</f>
        <v/>
      </c>
      <c r="V114" s="54">
        <f>IF(AND(T114&lt;&gt;"",IFERROR(INDEX($A114:$R114,MATCH("Value Ex GST",$A$1:$R$1,0)),"")&amp;""&lt;&gt;""),1,0)</f>
        <v/>
      </c>
      <c r="W114" s="56">
        <f>IFERROR(N(IFERROR(INDEX($A114:$R114,MATCH("Probability",$A$1:$R$1,0)),"")),0)</f>
        <v/>
      </c>
      <c r="X114" s="52">
        <f>IF(T114="Open",U114*W114,0)</f>
        <v/>
      </c>
      <c r="Y114" s="52">
        <f>IF(T114="Won",IFERROR(N(IFERROR(INDEX($A114:$R114,MATCH("Still to Invoice",$A$1:$R$1,0)),"")),0),0)</f>
        <v/>
      </c>
      <c r="Z114" s="55">
        <f>IFERROR(EOMONTH(IFERROR(INDEX($A114:$R114,MATCH("Expected Invoice Month",$A$1:$R$1,0)),""),0),"")</f>
        <v/>
      </c>
      <c r="AA114" s="9">
        <f>IFERROR(INDEX($A114:$R114,MATCH("Cost Centre",$A$1:$R$1,0)),"")&amp;""</f>
        <v/>
      </c>
      <c r="AB114" s="9">
        <f>IFERROR(INDEX($A114:$R114,MATCH("Pipeline Stage",$A$1:$R$1,0)),"")&amp;""</f>
        <v/>
      </c>
      <c r="AC114" s="9">
        <f>IFERROR(INDEX($A114:$R114,MATCH("Client",$A$1:$R$1,0)),"")&amp;""</f>
        <v/>
      </c>
      <c r="AD114" s="9">
        <f>IFERROR(INDEX($A114:$R114,MATCH("Description",$A$1:$R$1,0)),"")&amp;""</f>
        <v/>
      </c>
      <c r="AE114" s="9">
        <f>IFERROR(INDEX($A114:$R114,MATCH("Job Number",$A$1:$R$1,0)),"")&amp;""</f>
        <v/>
      </c>
      <c r="AF114" s="54">
        <f>IF(AND(T114="Open",ISNUMBER(Z114),Z114&lt;EOMONTH(set_AsAt,-1)+1),3,0)</f>
        <v/>
      </c>
      <c r="AG114" s="54">
        <f>IF(AND(T114="Open",U114&gt;0,U114&gt;=set_DealShare*SUMIFS($U$2:$U$601,$T$2:$T$601,"Open")),3,0)</f>
        <v/>
      </c>
      <c r="AH114" s="54">
        <f>IF(AND(T114="Open",U114&gt;=set_BigValue,W114&lt;=set_EarlyProb),2,0)</f>
        <v/>
      </c>
      <c r="AI114" s="54">
        <f>IF(AND(OR(T114="Open",T114="Won"),V114=0),2,0)</f>
        <v/>
      </c>
      <c r="AJ114" s="54">
        <f>IF(AND(T114="Won",Y114&gt;0.5,ISNUMBER(Z114),Z114&lt;EOMONTH(set_AsAt,-1)+1),3,0)</f>
        <v/>
      </c>
      <c r="AK114" s="54">
        <f>IF(AND(T114="Won",Y114&lt;-1),1,0)</f>
        <v/>
      </c>
      <c r="AL114" s="54">
        <f>SUM(AF114:AK114)</f>
        <v/>
      </c>
      <c r="AM114" s="9">
        <f>IF(AL114&gt;=set_ScoreHigh,"High",IF(AL114&gt;=set_ScoreMed,"Medium",IF(AL114&gt;0,"Low","OK")))</f>
        <v/>
      </c>
      <c r="AN114" s="54">
        <f>IF(OR(T114="Open",AND(T114="Won",ABS(Y114)&gt;0.5)),1,0)</f>
        <v/>
      </c>
      <c r="AO114" s="52">
        <f>IF(T114="Open",IF(V114=0,0,X114),IF(T114="Won",MAX(0,Y114),0))</f>
        <v/>
      </c>
      <c r="AP114" s="54">
        <f>IF(AN114=1,AL114*1E+9+U114+ROW()/1E+6,"")</f>
        <v/>
      </c>
      <c r="AQ114" s="9">
        <f>MID(IF(AF114&gt;0,"; Expected month passed - update Zoho","")&amp;IF(AG114&gt;0,"; "&amp;TEXT(U114/MAX(1,SUMIFS($U$2:$U$601,$T$2:$T$601,"Open")),"0%")&amp;" of open pipeline in one deal","")&amp;IF(AH114&gt;0,"; Large deal at an early stage","")&amp;IF(AI114&gt;0,"; No amount in Zoho","")&amp;IF(AJ114&gt;0,"; Won, invoice month passed, not fully invoiced","")&amp;IF(AK114&gt;0,"; Xero invoiced more than the deal value",""),3,300)</f>
        <v/>
      </c>
    </row>
    <row r="115">
      <c r="A115" s="51" t="n">
        <v>46295</v>
      </c>
      <c r="B115" t="inlineStr">
        <is>
          <t>ZOHO</t>
        </is>
      </c>
      <c r="C115" t="inlineStr">
        <is>
          <t>26011404</t>
        </is>
      </c>
      <c r="D115" t="inlineStr">
        <is>
          <t>ASX Australian Securities Exchange</t>
        </is>
      </c>
      <c r="E115" t="inlineStr">
        <is>
          <t>26011404</t>
        </is>
      </c>
      <c r="F115" t="inlineStr">
        <is>
          <t>OK</t>
        </is>
      </c>
      <c r="G115" t="inlineStr">
        <is>
          <t>PRODUCTION</t>
        </is>
      </c>
      <c r="H115" t="inlineStr">
        <is>
          <t>CEO Connect (Extended Results) 1.9.26</t>
        </is>
      </c>
      <c r="I115" t="n">
        <v>4174</v>
      </c>
      <c r="J115" t="inlineStr">
        <is>
          <t>Won</t>
        </is>
      </c>
      <c r="K115" s="51" t="n">
        <v>46266</v>
      </c>
      <c r="L115" s="51" t="n">
        <v>46295</v>
      </c>
      <c r="M115" t="n">
        <v>0</v>
      </c>
      <c r="N115" t="n">
        <v>4174</v>
      </c>
      <c r="P115" t="inlineStr">
        <is>
          <t>Closed Won</t>
        </is>
      </c>
      <c r="Q115" t="n">
        <v>1</v>
      </c>
      <c r="R115" t="n">
        <v>4174</v>
      </c>
      <c r="T115" s="9">
        <f>IFERROR(INDEX($A115:$R115,MATCH("Status",$A$1:$R$1,0)),"")&amp;""</f>
        <v/>
      </c>
      <c r="U115" s="52">
        <f>IFERROR(N(IFERROR(INDEX($A115:$R115,MATCH("Value Ex GST",$A$1:$R$1,0)),"")),0)</f>
        <v/>
      </c>
      <c r="V115" s="54">
        <f>IF(AND(T115&lt;&gt;"",IFERROR(INDEX($A115:$R115,MATCH("Value Ex GST",$A$1:$R$1,0)),"")&amp;""&lt;&gt;""),1,0)</f>
        <v/>
      </c>
      <c r="W115" s="56">
        <f>IFERROR(N(IFERROR(INDEX($A115:$R115,MATCH("Probability",$A$1:$R$1,0)),"")),0)</f>
        <v/>
      </c>
      <c r="X115" s="52">
        <f>IF(T115="Open",U115*W115,0)</f>
        <v/>
      </c>
      <c r="Y115" s="52">
        <f>IF(T115="Won",IFERROR(N(IFERROR(INDEX($A115:$R115,MATCH("Still to Invoice",$A$1:$R$1,0)),"")),0),0)</f>
        <v/>
      </c>
      <c r="Z115" s="55">
        <f>IFERROR(EOMONTH(IFERROR(INDEX($A115:$R115,MATCH("Expected Invoice Month",$A$1:$R$1,0)),""),0),"")</f>
        <v/>
      </c>
      <c r="AA115" s="9">
        <f>IFERROR(INDEX($A115:$R115,MATCH("Cost Centre",$A$1:$R$1,0)),"")&amp;""</f>
        <v/>
      </c>
      <c r="AB115" s="9">
        <f>IFERROR(INDEX($A115:$R115,MATCH("Pipeline Stage",$A$1:$R$1,0)),"")&amp;""</f>
        <v/>
      </c>
      <c r="AC115" s="9">
        <f>IFERROR(INDEX($A115:$R115,MATCH("Client",$A$1:$R$1,0)),"")&amp;""</f>
        <v/>
      </c>
      <c r="AD115" s="9">
        <f>IFERROR(INDEX($A115:$R115,MATCH("Description",$A$1:$R$1,0)),"")&amp;""</f>
        <v/>
      </c>
      <c r="AE115" s="9">
        <f>IFERROR(INDEX($A115:$R115,MATCH("Job Number",$A$1:$R$1,0)),"")&amp;""</f>
        <v/>
      </c>
      <c r="AF115" s="54">
        <f>IF(AND(T115="Open",ISNUMBER(Z115),Z115&lt;EOMONTH(set_AsAt,-1)+1),3,0)</f>
        <v/>
      </c>
      <c r="AG115" s="54">
        <f>IF(AND(T115="Open",U115&gt;0,U115&gt;=set_DealShare*SUMIFS($U$2:$U$601,$T$2:$T$601,"Open")),3,0)</f>
        <v/>
      </c>
      <c r="AH115" s="54">
        <f>IF(AND(T115="Open",U115&gt;=set_BigValue,W115&lt;=set_EarlyProb),2,0)</f>
        <v/>
      </c>
      <c r="AI115" s="54">
        <f>IF(AND(OR(T115="Open",T115="Won"),V115=0),2,0)</f>
        <v/>
      </c>
      <c r="AJ115" s="54">
        <f>IF(AND(T115="Won",Y115&gt;0.5,ISNUMBER(Z115),Z115&lt;EOMONTH(set_AsAt,-1)+1),3,0)</f>
        <v/>
      </c>
      <c r="AK115" s="54">
        <f>IF(AND(T115="Won",Y115&lt;-1),1,0)</f>
        <v/>
      </c>
      <c r="AL115" s="54">
        <f>SUM(AF115:AK115)</f>
        <v/>
      </c>
      <c r="AM115" s="9">
        <f>IF(AL115&gt;=set_ScoreHigh,"High",IF(AL115&gt;=set_ScoreMed,"Medium",IF(AL115&gt;0,"Low","OK")))</f>
        <v/>
      </c>
      <c r="AN115" s="54">
        <f>IF(OR(T115="Open",AND(T115="Won",ABS(Y115)&gt;0.5)),1,0)</f>
        <v/>
      </c>
      <c r="AO115" s="52">
        <f>IF(T115="Open",IF(V115=0,0,X115),IF(T115="Won",MAX(0,Y115),0))</f>
        <v/>
      </c>
      <c r="AP115" s="54">
        <f>IF(AN115=1,AL115*1E+9+U115+ROW()/1E+6,"")</f>
        <v/>
      </c>
      <c r="AQ115" s="9">
        <f>MID(IF(AF115&gt;0,"; Expected month passed - update Zoho","")&amp;IF(AG115&gt;0,"; "&amp;TEXT(U115/MAX(1,SUMIFS($U$2:$U$601,$T$2:$T$601,"Open")),"0%")&amp;" of open pipeline in one deal","")&amp;IF(AH115&gt;0,"; Large deal at an early stage","")&amp;IF(AI115&gt;0,"; No amount in Zoho","")&amp;IF(AJ115&gt;0,"; Won, invoice month passed, not fully invoiced","")&amp;IF(AK115&gt;0,"; Xero invoiced more than the deal value",""),3,300)</f>
        <v/>
      </c>
    </row>
    <row r="116">
      <c r="A116" s="51" t="n">
        <v>46295</v>
      </c>
      <c r="B116" t="inlineStr">
        <is>
          <t>ZOHO</t>
        </is>
      </c>
      <c r="C116" t="inlineStr">
        <is>
          <t>26081101</t>
        </is>
      </c>
      <c r="D116" t="inlineStr">
        <is>
          <t>Vega Global</t>
        </is>
      </c>
      <c r="E116" t="inlineStr">
        <is>
          <t>26081101</t>
        </is>
      </c>
      <c r="F116" t="inlineStr">
        <is>
          <t>OK</t>
        </is>
      </c>
      <c r="G116" t="inlineStr">
        <is>
          <t>PRODUCTION</t>
        </is>
      </c>
      <c r="H116" t="inlineStr">
        <is>
          <t>Vega Global - Payments Forum - 17.9.26</t>
        </is>
      </c>
      <c r="I116" t="n">
        <v>1790</v>
      </c>
      <c r="J116" t="inlineStr">
        <is>
          <t>Won</t>
        </is>
      </c>
      <c r="K116" s="51" t="n">
        <v>46274</v>
      </c>
      <c r="L116" s="51" t="n">
        <v>46295</v>
      </c>
      <c r="M116" t="n">
        <v>0</v>
      </c>
      <c r="N116" t="n">
        <v>1790</v>
      </c>
      <c r="P116" t="inlineStr">
        <is>
          <t>Closed Won</t>
        </is>
      </c>
      <c r="Q116" t="n">
        <v>1</v>
      </c>
      <c r="R116" t="n">
        <v>1790</v>
      </c>
      <c r="T116" s="9">
        <f>IFERROR(INDEX($A116:$R116,MATCH("Status",$A$1:$R$1,0)),"")&amp;""</f>
        <v/>
      </c>
      <c r="U116" s="52">
        <f>IFERROR(N(IFERROR(INDEX($A116:$R116,MATCH("Value Ex GST",$A$1:$R$1,0)),"")),0)</f>
        <v/>
      </c>
      <c r="V116" s="54">
        <f>IF(AND(T116&lt;&gt;"",IFERROR(INDEX($A116:$R116,MATCH("Value Ex GST",$A$1:$R$1,0)),"")&amp;""&lt;&gt;""),1,0)</f>
        <v/>
      </c>
      <c r="W116" s="56">
        <f>IFERROR(N(IFERROR(INDEX($A116:$R116,MATCH("Probability",$A$1:$R$1,0)),"")),0)</f>
        <v/>
      </c>
      <c r="X116" s="52">
        <f>IF(T116="Open",U116*W116,0)</f>
        <v/>
      </c>
      <c r="Y116" s="52">
        <f>IF(T116="Won",IFERROR(N(IFERROR(INDEX($A116:$R116,MATCH("Still to Invoice",$A$1:$R$1,0)),"")),0),0)</f>
        <v/>
      </c>
      <c r="Z116" s="55">
        <f>IFERROR(EOMONTH(IFERROR(INDEX($A116:$R116,MATCH("Expected Invoice Month",$A$1:$R$1,0)),""),0),"")</f>
        <v/>
      </c>
      <c r="AA116" s="9">
        <f>IFERROR(INDEX($A116:$R116,MATCH("Cost Centre",$A$1:$R$1,0)),"")&amp;""</f>
        <v/>
      </c>
      <c r="AB116" s="9">
        <f>IFERROR(INDEX($A116:$R116,MATCH("Pipeline Stage",$A$1:$R$1,0)),"")&amp;""</f>
        <v/>
      </c>
      <c r="AC116" s="9">
        <f>IFERROR(INDEX($A116:$R116,MATCH("Client",$A$1:$R$1,0)),"")&amp;""</f>
        <v/>
      </c>
      <c r="AD116" s="9">
        <f>IFERROR(INDEX($A116:$R116,MATCH("Description",$A$1:$R$1,0)),"")&amp;""</f>
        <v/>
      </c>
      <c r="AE116" s="9">
        <f>IFERROR(INDEX($A116:$R116,MATCH("Job Number",$A$1:$R$1,0)),"")&amp;""</f>
        <v/>
      </c>
      <c r="AF116" s="54">
        <f>IF(AND(T116="Open",ISNUMBER(Z116),Z116&lt;EOMONTH(set_AsAt,-1)+1),3,0)</f>
        <v/>
      </c>
      <c r="AG116" s="54">
        <f>IF(AND(T116="Open",U116&gt;0,U116&gt;=set_DealShare*SUMIFS($U$2:$U$601,$T$2:$T$601,"Open")),3,0)</f>
        <v/>
      </c>
      <c r="AH116" s="54">
        <f>IF(AND(T116="Open",U116&gt;=set_BigValue,W116&lt;=set_EarlyProb),2,0)</f>
        <v/>
      </c>
      <c r="AI116" s="54">
        <f>IF(AND(OR(T116="Open",T116="Won"),V116=0),2,0)</f>
        <v/>
      </c>
      <c r="AJ116" s="54">
        <f>IF(AND(T116="Won",Y116&gt;0.5,ISNUMBER(Z116),Z116&lt;EOMONTH(set_AsAt,-1)+1),3,0)</f>
        <v/>
      </c>
      <c r="AK116" s="54">
        <f>IF(AND(T116="Won",Y116&lt;-1),1,0)</f>
        <v/>
      </c>
      <c r="AL116" s="54">
        <f>SUM(AF116:AK116)</f>
        <v/>
      </c>
      <c r="AM116" s="9">
        <f>IF(AL116&gt;=set_ScoreHigh,"High",IF(AL116&gt;=set_ScoreMed,"Medium",IF(AL116&gt;0,"Low","OK")))</f>
        <v/>
      </c>
      <c r="AN116" s="54">
        <f>IF(OR(T116="Open",AND(T116="Won",ABS(Y116)&gt;0.5)),1,0)</f>
        <v/>
      </c>
      <c r="AO116" s="52">
        <f>IF(T116="Open",IF(V116=0,0,X116),IF(T116="Won",MAX(0,Y116),0))</f>
        <v/>
      </c>
      <c r="AP116" s="54">
        <f>IF(AN116=1,AL116*1E+9+U116+ROW()/1E+6,"")</f>
        <v/>
      </c>
      <c r="AQ116" s="9">
        <f>MID(IF(AF116&gt;0,"; Expected month passed - update Zoho","")&amp;IF(AG116&gt;0,"; "&amp;TEXT(U116/MAX(1,SUMIFS($U$2:$U$601,$T$2:$T$601,"Open")),"0%")&amp;" of open pipeline in one deal","")&amp;IF(AH116&gt;0,"; Large deal at an early stage","")&amp;IF(AI116&gt;0,"; No amount in Zoho","")&amp;IF(AJ116&gt;0,"; Won, invoice month passed, not fully invoiced","")&amp;IF(AK116&gt;0,"; Xero invoiced more than the deal value",""),3,300)</f>
        <v/>
      </c>
    </row>
    <row r="117">
      <c r="A117" s="51" t="n">
        <v>46265</v>
      </c>
      <c r="B117" t="inlineStr">
        <is>
          <t>ZOHO</t>
        </is>
      </c>
      <c r="C117" t="inlineStr">
        <is>
          <t>2608403</t>
        </is>
      </c>
      <c r="D117" t="inlineStr">
        <is>
          <t>PWC</t>
        </is>
      </c>
      <c r="E117" t="inlineStr">
        <is>
          <t>2608403</t>
        </is>
      </c>
      <c r="G117" t="inlineStr">
        <is>
          <t>PRODUCTION</t>
        </is>
      </c>
      <c r="H117" t="inlineStr">
        <is>
          <t>PWC - Firmwide Webcast - 20.8.26</t>
        </is>
      </c>
      <c r="I117" t="n">
        <v>2500</v>
      </c>
      <c r="J117" t="inlineStr">
        <is>
          <t>Lost</t>
        </is>
      </c>
      <c r="L117" s="51" t="n">
        <v>46265</v>
      </c>
      <c r="M117" t="n">
        <v>0</v>
      </c>
      <c r="P117" t="inlineStr">
        <is>
          <t>Closed Lost</t>
        </is>
      </c>
      <c r="Q117" t="n">
        <v>0</v>
      </c>
      <c r="R117" t="n">
        <v>0</v>
      </c>
      <c r="T117" s="9">
        <f>IFERROR(INDEX($A117:$R117,MATCH("Status",$A$1:$R$1,0)),"")&amp;""</f>
        <v/>
      </c>
      <c r="U117" s="52">
        <f>IFERROR(N(IFERROR(INDEX($A117:$R117,MATCH("Value Ex GST",$A$1:$R$1,0)),"")),0)</f>
        <v/>
      </c>
      <c r="V117" s="54">
        <f>IF(AND(T117&lt;&gt;"",IFERROR(INDEX($A117:$R117,MATCH("Value Ex GST",$A$1:$R$1,0)),"")&amp;""&lt;&gt;""),1,0)</f>
        <v/>
      </c>
      <c r="W117" s="56">
        <f>IFERROR(N(IFERROR(INDEX($A117:$R117,MATCH("Probability",$A$1:$R$1,0)),"")),0)</f>
        <v/>
      </c>
      <c r="X117" s="52">
        <f>IF(T117="Open",U117*W117,0)</f>
        <v/>
      </c>
      <c r="Y117" s="52">
        <f>IF(T117="Won",IFERROR(N(IFERROR(INDEX($A117:$R117,MATCH("Still to Invoice",$A$1:$R$1,0)),"")),0),0)</f>
        <v/>
      </c>
      <c r="Z117" s="55">
        <f>IFERROR(EOMONTH(IFERROR(INDEX($A117:$R117,MATCH("Expected Invoice Month",$A$1:$R$1,0)),""),0),"")</f>
        <v/>
      </c>
      <c r="AA117" s="9">
        <f>IFERROR(INDEX($A117:$R117,MATCH("Cost Centre",$A$1:$R$1,0)),"")&amp;""</f>
        <v/>
      </c>
      <c r="AB117" s="9">
        <f>IFERROR(INDEX($A117:$R117,MATCH("Pipeline Stage",$A$1:$R$1,0)),"")&amp;""</f>
        <v/>
      </c>
      <c r="AC117" s="9">
        <f>IFERROR(INDEX($A117:$R117,MATCH("Client",$A$1:$R$1,0)),"")&amp;""</f>
        <v/>
      </c>
      <c r="AD117" s="9">
        <f>IFERROR(INDEX($A117:$R117,MATCH("Description",$A$1:$R$1,0)),"")&amp;""</f>
        <v/>
      </c>
      <c r="AE117" s="9">
        <f>IFERROR(INDEX($A117:$R117,MATCH("Job Number",$A$1:$R$1,0)),"")&amp;""</f>
        <v/>
      </c>
      <c r="AF117" s="54">
        <f>IF(AND(T117="Open",ISNUMBER(Z117),Z117&lt;EOMONTH(set_AsAt,-1)+1),3,0)</f>
        <v/>
      </c>
      <c r="AG117" s="54">
        <f>IF(AND(T117="Open",U117&gt;0,U117&gt;=set_DealShare*SUMIFS($U$2:$U$601,$T$2:$T$601,"Open")),3,0)</f>
        <v/>
      </c>
      <c r="AH117" s="54">
        <f>IF(AND(T117="Open",U117&gt;=set_BigValue,W117&lt;=set_EarlyProb),2,0)</f>
        <v/>
      </c>
      <c r="AI117" s="54">
        <f>IF(AND(OR(T117="Open",T117="Won"),V117=0),2,0)</f>
        <v/>
      </c>
      <c r="AJ117" s="54">
        <f>IF(AND(T117="Won",Y117&gt;0.5,ISNUMBER(Z117),Z117&lt;EOMONTH(set_AsAt,-1)+1),3,0)</f>
        <v/>
      </c>
      <c r="AK117" s="54">
        <f>IF(AND(T117="Won",Y117&lt;-1),1,0)</f>
        <v/>
      </c>
      <c r="AL117" s="54">
        <f>SUM(AF117:AK117)</f>
        <v/>
      </c>
      <c r="AM117" s="9">
        <f>IF(AL117&gt;=set_ScoreHigh,"High",IF(AL117&gt;=set_ScoreMed,"Medium",IF(AL117&gt;0,"Low","OK")))</f>
        <v/>
      </c>
      <c r="AN117" s="54">
        <f>IF(OR(T117="Open",AND(T117="Won",ABS(Y117)&gt;0.5)),1,0)</f>
        <v/>
      </c>
      <c r="AO117" s="52">
        <f>IF(T117="Open",IF(V117=0,0,X117),IF(T117="Won",MAX(0,Y117),0))</f>
        <v/>
      </c>
      <c r="AP117" s="54">
        <f>IF(AN117=1,AL117*1E+9+U117+ROW()/1E+6,"")</f>
        <v/>
      </c>
      <c r="AQ117" s="9">
        <f>MID(IF(AF117&gt;0,"; Expected month passed - update Zoho","")&amp;IF(AG117&gt;0,"; "&amp;TEXT(U117/MAX(1,SUMIFS($U$2:$U$601,$T$2:$T$601,"Open")),"0%")&amp;" of open pipeline in one deal","")&amp;IF(AH117&gt;0,"; Large deal at an early stage","")&amp;IF(AI117&gt;0,"; No amount in Zoho","")&amp;IF(AJ117&gt;0,"; Won, invoice month passed, not fully invoiced","")&amp;IF(AK117&gt;0,"; Xero invoiced more than the deal value",""),3,300)</f>
        <v/>
      </c>
    </row>
    <row r="118">
      <c r="A118" s="51" t="n">
        <v>46234</v>
      </c>
      <c r="B118" t="inlineStr">
        <is>
          <t>ZOHO</t>
        </is>
      </c>
      <c r="C118" t="inlineStr">
        <is>
          <t>26031004</t>
        </is>
      </c>
      <c r="D118" t="inlineStr">
        <is>
          <t>HP</t>
        </is>
      </c>
      <c r="E118" t="inlineStr">
        <is>
          <t>26031004</t>
        </is>
      </c>
      <c r="G118" t="inlineStr">
        <is>
          <t>INTEGRATION</t>
        </is>
      </c>
      <c r="H118" t="inlineStr">
        <is>
          <t>HP-Calvary Flexi-Space AV Upgrade - (CA200305) - 26031004</t>
        </is>
      </c>
      <c r="I118" t="n">
        <v>49450</v>
      </c>
      <c r="J118" t="inlineStr">
        <is>
          <t>Lost</t>
        </is>
      </c>
      <c r="L118" s="51" t="n">
        <v>46234</v>
      </c>
      <c r="M118" t="n">
        <v>0</v>
      </c>
      <c r="P118" t="inlineStr">
        <is>
          <t>Closed Lost</t>
        </is>
      </c>
      <c r="Q118" t="n">
        <v>0</v>
      </c>
      <c r="R118" t="n">
        <v>0</v>
      </c>
      <c r="T118" s="9">
        <f>IFERROR(INDEX($A118:$R118,MATCH("Status",$A$1:$R$1,0)),"")&amp;""</f>
        <v/>
      </c>
      <c r="U118" s="52">
        <f>IFERROR(N(IFERROR(INDEX($A118:$R118,MATCH("Value Ex GST",$A$1:$R$1,0)),"")),0)</f>
        <v/>
      </c>
      <c r="V118" s="54">
        <f>IF(AND(T118&lt;&gt;"",IFERROR(INDEX($A118:$R118,MATCH("Value Ex GST",$A$1:$R$1,0)),"")&amp;""&lt;&gt;""),1,0)</f>
        <v/>
      </c>
      <c r="W118" s="56">
        <f>IFERROR(N(IFERROR(INDEX($A118:$R118,MATCH("Probability",$A$1:$R$1,0)),"")),0)</f>
        <v/>
      </c>
      <c r="X118" s="52">
        <f>IF(T118="Open",U118*W118,0)</f>
        <v/>
      </c>
      <c r="Y118" s="52">
        <f>IF(T118="Won",IFERROR(N(IFERROR(INDEX($A118:$R118,MATCH("Still to Invoice",$A$1:$R$1,0)),"")),0),0)</f>
        <v/>
      </c>
      <c r="Z118" s="55">
        <f>IFERROR(EOMONTH(IFERROR(INDEX($A118:$R118,MATCH("Expected Invoice Month",$A$1:$R$1,0)),""),0),"")</f>
        <v/>
      </c>
      <c r="AA118" s="9">
        <f>IFERROR(INDEX($A118:$R118,MATCH("Cost Centre",$A$1:$R$1,0)),"")&amp;""</f>
        <v/>
      </c>
      <c r="AB118" s="9">
        <f>IFERROR(INDEX($A118:$R118,MATCH("Pipeline Stage",$A$1:$R$1,0)),"")&amp;""</f>
        <v/>
      </c>
      <c r="AC118" s="9">
        <f>IFERROR(INDEX($A118:$R118,MATCH("Client",$A$1:$R$1,0)),"")&amp;""</f>
        <v/>
      </c>
      <c r="AD118" s="9">
        <f>IFERROR(INDEX($A118:$R118,MATCH("Description",$A$1:$R$1,0)),"")&amp;""</f>
        <v/>
      </c>
      <c r="AE118" s="9">
        <f>IFERROR(INDEX($A118:$R118,MATCH("Job Number",$A$1:$R$1,0)),"")&amp;""</f>
        <v/>
      </c>
      <c r="AF118" s="54">
        <f>IF(AND(T118="Open",ISNUMBER(Z118),Z118&lt;EOMONTH(set_AsAt,-1)+1),3,0)</f>
        <v/>
      </c>
      <c r="AG118" s="54">
        <f>IF(AND(T118="Open",U118&gt;0,U118&gt;=set_DealShare*SUMIFS($U$2:$U$601,$T$2:$T$601,"Open")),3,0)</f>
        <v/>
      </c>
      <c r="AH118" s="54">
        <f>IF(AND(T118="Open",U118&gt;=set_BigValue,W118&lt;=set_EarlyProb),2,0)</f>
        <v/>
      </c>
      <c r="AI118" s="54">
        <f>IF(AND(OR(T118="Open",T118="Won"),V118=0),2,0)</f>
        <v/>
      </c>
      <c r="AJ118" s="54">
        <f>IF(AND(T118="Won",Y118&gt;0.5,ISNUMBER(Z118),Z118&lt;EOMONTH(set_AsAt,-1)+1),3,0)</f>
        <v/>
      </c>
      <c r="AK118" s="54">
        <f>IF(AND(T118="Won",Y118&lt;-1),1,0)</f>
        <v/>
      </c>
      <c r="AL118" s="54">
        <f>SUM(AF118:AK118)</f>
        <v/>
      </c>
      <c r="AM118" s="9">
        <f>IF(AL118&gt;=set_ScoreHigh,"High",IF(AL118&gt;=set_ScoreMed,"Medium",IF(AL118&gt;0,"Low","OK")))</f>
        <v/>
      </c>
      <c r="AN118" s="54">
        <f>IF(OR(T118="Open",AND(T118="Won",ABS(Y118)&gt;0.5)),1,0)</f>
        <v/>
      </c>
      <c r="AO118" s="52">
        <f>IF(T118="Open",IF(V118=0,0,X118),IF(T118="Won",MAX(0,Y118),0))</f>
        <v/>
      </c>
      <c r="AP118" s="54">
        <f>IF(AN118=1,AL118*1E+9+U118+ROW()/1E+6,"")</f>
        <v/>
      </c>
      <c r="AQ118" s="9">
        <f>MID(IF(AF118&gt;0,"; Expected month passed - update Zoho","")&amp;IF(AG118&gt;0,"; "&amp;TEXT(U118/MAX(1,SUMIFS($U$2:$U$601,$T$2:$T$601,"Open")),"0%")&amp;" of open pipeline in one deal","")&amp;IF(AH118&gt;0,"; Large deal at an early stage","")&amp;IF(AI118&gt;0,"; No amount in Zoho","")&amp;IF(AJ118&gt;0,"; Won, invoice month passed, not fully invoiced","")&amp;IF(AK118&gt;0,"; Xero invoiced more than the deal value",""),3,300)</f>
        <v/>
      </c>
    </row>
    <row r="119">
      <c r="A119" s="51" t="n">
        <v>46234</v>
      </c>
      <c r="B119" t="inlineStr">
        <is>
          <t>ZOHO</t>
        </is>
      </c>
      <c r="C119" t="inlineStr">
        <is>
          <t>26072002</t>
        </is>
      </c>
      <c r="D119" t="inlineStr">
        <is>
          <t>ICC Sydney - International Convention &amp; Exhibition Centre</t>
        </is>
      </c>
      <c r="E119" t="inlineStr">
        <is>
          <t>26072002</t>
        </is>
      </c>
      <c r="G119" t="inlineStr">
        <is>
          <t>PRODUCTION</t>
        </is>
      </c>
      <c r="H119" t="inlineStr">
        <is>
          <t>ICC - AV Tech Support - 13.8.26</t>
        </is>
      </c>
      <c r="I119" t="n">
        <v>1000</v>
      </c>
      <c r="J119" t="inlineStr">
        <is>
          <t>Lost</t>
        </is>
      </c>
      <c r="L119" s="51" t="n">
        <v>46265</v>
      </c>
      <c r="M119" t="n">
        <v>0</v>
      </c>
      <c r="O119" t="inlineStr">
        <is>
          <t>Invoice month taken from the event date in the deal name</t>
        </is>
      </c>
      <c r="P119" t="inlineStr">
        <is>
          <t>Closed Lost</t>
        </is>
      </c>
      <c r="Q119" t="n">
        <v>0</v>
      </c>
      <c r="R119" t="n">
        <v>0</v>
      </c>
      <c r="T119" s="9">
        <f>IFERROR(INDEX($A119:$R119,MATCH("Status",$A$1:$R$1,0)),"")&amp;""</f>
        <v/>
      </c>
      <c r="U119" s="52">
        <f>IFERROR(N(IFERROR(INDEX($A119:$R119,MATCH("Value Ex GST",$A$1:$R$1,0)),"")),0)</f>
        <v/>
      </c>
      <c r="V119" s="54">
        <f>IF(AND(T119&lt;&gt;"",IFERROR(INDEX($A119:$R119,MATCH("Value Ex GST",$A$1:$R$1,0)),"")&amp;""&lt;&gt;""),1,0)</f>
        <v/>
      </c>
      <c r="W119" s="56">
        <f>IFERROR(N(IFERROR(INDEX($A119:$R119,MATCH("Probability",$A$1:$R$1,0)),"")),0)</f>
        <v/>
      </c>
      <c r="X119" s="52">
        <f>IF(T119="Open",U119*W119,0)</f>
        <v/>
      </c>
      <c r="Y119" s="52">
        <f>IF(T119="Won",IFERROR(N(IFERROR(INDEX($A119:$R119,MATCH("Still to Invoice",$A$1:$R$1,0)),"")),0),0)</f>
        <v/>
      </c>
      <c r="Z119" s="55">
        <f>IFERROR(EOMONTH(IFERROR(INDEX($A119:$R119,MATCH("Expected Invoice Month",$A$1:$R$1,0)),""),0),"")</f>
        <v/>
      </c>
      <c r="AA119" s="9">
        <f>IFERROR(INDEX($A119:$R119,MATCH("Cost Centre",$A$1:$R$1,0)),"")&amp;""</f>
        <v/>
      </c>
      <c r="AB119" s="9">
        <f>IFERROR(INDEX($A119:$R119,MATCH("Pipeline Stage",$A$1:$R$1,0)),"")&amp;""</f>
        <v/>
      </c>
      <c r="AC119" s="9">
        <f>IFERROR(INDEX($A119:$R119,MATCH("Client",$A$1:$R$1,0)),"")&amp;""</f>
        <v/>
      </c>
      <c r="AD119" s="9">
        <f>IFERROR(INDEX($A119:$R119,MATCH("Description",$A$1:$R$1,0)),"")&amp;""</f>
        <v/>
      </c>
      <c r="AE119" s="9">
        <f>IFERROR(INDEX($A119:$R119,MATCH("Job Number",$A$1:$R$1,0)),"")&amp;""</f>
        <v/>
      </c>
      <c r="AF119" s="54">
        <f>IF(AND(T119="Open",ISNUMBER(Z119),Z119&lt;EOMONTH(set_AsAt,-1)+1),3,0)</f>
        <v/>
      </c>
      <c r="AG119" s="54">
        <f>IF(AND(T119="Open",U119&gt;0,U119&gt;=set_DealShare*SUMIFS($U$2:$U$601,$T$2:$T$601,"Open")),3,0)</f>
        <v/>
      </c>
      <c r="AH119" s="54">
        <f>IF(AND(T119="Open",U119&gt;=set_BigValue,W119&lt;=set_EarlyProb),2,0)</f>
        <v/>
      </c>
      <c r="AI119" s="54">
        <f>IF(AND(OR(T119="Open",T119="Won"),V119=0),2,0)</f>
        <v/>
      </c>
      <c r="AJ119" s="54">
        <f>IF(AND(T119="Won",Y119&gt;0.5,ISNUMBER(Z119),Z119&lt;EOMONTH(set_AsAt,-1)+1),3,0)</f>
        <v/>
      </c>
      <c r="AK119" s="54">
        <f>IF(AND(T119="Won",Y119&lt;-1),1,0)</f>
        <v/>
      </c>
      <c r="AL119" s="54">
        <f>SUM(AF119:AK119)</f>
        <v/>
      </c>
      <c r="AM119" s="9">
        <f>IF(AL119&gt;=set_ScoreHigh,"High",IF(AL119&gt;=set_ScoreMed,"Medium",IF(AL119&gt;0,"Low","OK")))</f>
        <v/>
      </c>
      <c r="AN119" s="54">
        <f>IF(OR(T119="Open",AND(T119="Won",ABS(Y119)&gt;0.5)),1,0)</f>
        <v/>
      </c>
      <c r="AO119" s="52">
        <f>IF(T119="Open",IF(V119=0,0,X119),IF(T119="Won",MAX(0,Y119),0))</f>
        <v/>
      </c>
      <c r="AP119" s="54">
        <f>IF(AN119=1,AL119*1E+9+U119+ROW()/1E+6,"")</f>
        <v/>
      </c>
      <c r="AQ119" s="9">
        <f>MID(IF(AF119&gt;0,"; Expected month passed - update Zoho","")&amp;IF(AG119&gt;0,"; "&amp;TEXT(U119/MAX(1,SUMIFS($U$2:$U$601,$T$2:$T$601,"Open")),"0%")&amp;" of open pipeline in one deal","")&amp;IF(AH119&gt;0,"; Large deal at an early stage","")&amp;IF(AI119&gt;0,"; No amount in Zoho","")&amp;IF(AJ119&gt;0,"; Won, invoice month passed, not fully invoiced","")&amp;IF(AK119&gt;0,"; Xero invoiced more than the deal value",""),3,300)</f>
        <v/>
      </c>
    </row>
    <row r="120">
      <c r="A120" s="51" t="n">
        <v>46234</v>
      </c>
      <c r="B120" t="inlineStr">
        <is>
          <t>ZOHO</t>
        </is>
      </c>
      <c r="C120" t="inlineStr">
        <is>
          <t>26032601</t>
        </is>
      </c>
      <c r="D120" t="inlineStr">
        <is>
          <t>HP</t>
        </is>
      </c>
      <c r="E120" t="inlineStr">
        <is>
          <t>26032601</t>
        </is>
      </c>
      <c r="G120" t="inlineStr">
        <is>
          <t>INTEGRATION</t>
        </is>
      </c>
      <c r="H120" t="inlineStr">
        <is>
          <t>HP-PMI | Multiple Rooms MCS Install - 26032601</t>
        </is>
      </c>
      <c r="I120" t="n">
        <v>20610</v>
      </c>
      <c r="J120" t="inlineStr">
        <is>
          <t>Lost</t>
        </is>
      </c>
      <c r="L120" s="51" t="n">
        <v>46234</v>
      </c>
      <c r="M120" t="n">
        <v>0</v>
      </c>
      <c r="P120" t="inlineStr">
        <is>
          <t>Closed Lost</t>
        </is>
      </c>
      <c r="Q120" t="n">
        <v>0</v>
      </c>
      <c r="R120" t="n">
        <v>0</v>
      </c>
      <c r="T120" s="9">
        <f>IFERROR(INDEX($A120:$R120,MATCH("Status",$A$1:$R$1,0)),"")&amp;""</f>
        <v/>
      </c>
      <c r="U120" s="52">
        <f>IFERROR(N(IFERROR(INDEX($A120:$R120,MATCH("Value Ex GST",$A$1:$R$1,0)),"")),0)</f>
        <v/>
      </c>
      <c r="V120" s="54">
        <f>IF(AND(T120&lt;&gt;"",IFERROR(INDEX($A120:$R120,MATCH("Value Ex GST",$A$1:$R$1,0)),"")&amp;""&lt;&gt;""),1,0)</f>
        <v/>
      </c>
      <c r="W120" s="56">
        <f>IFERROR(N(IFERROR(INDEX($A120:$R120,MATCH("Probability",$A$1:$R$1,0)),"")),0)</f>
        <v/>
      </c>
      <c r="X120" s="52">
        <f>IF(T120="Open",U120*W120,0)</f>
        <v/>
      </c>
      <c r="Y120" s="52">
        <f>IF(T120="Won",IFERROR(N(IFERROR(INDEX($A120:$R120,MATCH("Still to Invoice",$A$1:$R$1,0)),"")),0),0)</f>
        <v/>
      </c>
      <c r="Z120" s="55">
        <f>IFERROR(EOMONTH(IFERROR(INDEX($A120:$R120,MATCH("Expected Invoice Month",$A$1:$R$1,0)),""),0),"")</f>
        <v/>
      </c>
      <c r="AA120" s="9">
        <f>IFERROR(INDEX($A120:$R120,MATCH("Cost Centre",$A$1:$R$1,0)),"")&amp;""</f>
        <v/>
      </c>
      <c r="AB120" s="9">
        <f>IFERROR(INDEX($A120:$R120,MATCH("Pipeline Stage",$A$1:$R$1,0)),"")&amp;""</f>
        <v/>
      </c>
      <c r="AC120" s="9">
        <f>IFERROR(INDEX($A120:$R120,MATCH("Client",$A$1:$R$1,0)),"")&amp;""</f>
        <v/>
      </c>
      <c r="AD120" s="9">
        <f>IFERROR(INDEX($A120:$R120,MATCH("Description",$A$1:$R$1,0)),"")&amp;""</f>
        <v/>
      </c>
      <c r="AE120" s="9">
        <f>IFERROR(INDEX($A120:$R120,MATCH("Job Number",$A$1:$R$1,0)),"")&amp;""</f>
        <v/>
      </c>
      <c r="AF120" s="54">
        <f>IF(AND(T120="Open",ISNUMBER(Z120),Z120&lt;EOMONTH(set_AsAt,-1)+1),3,0)</f>
        <v/>
      </c>
      <c r="AG120" s="54">
        <f>IF(AND(T120="Open",U120&gt;0,U120&gt;=set_DealShare*SUMIFS($U$2:$U$601,$T$2:$T$601,"Open")),3,0)</f>
        <v/>
      </c>
      <c r="AH120" s="54">
        <f>IF(AND(T120="Open",U120&gt;=set_BigValue,W120&lt;=set_EarlyProb),2,0)</f>
        <v/>
      </c>
      <c r="AI120" s="54">
        <f>IF(AND(OR(T120="Open",T120="Won"),V120=0),2,0)</f>
        <v/>
      </c>
      <c r="AJ120" s="54">
        <f>IF(AND(T120="Won",Y120&gt;0.5,ISNUMBER(Z120),Z120&lt;EOMONTH(set_AsAt,-1)+1),3,0)</f>
        <v/>
      </c>
      <c r="AK120" s="54">
        <f>IF(AND(T120="Won",Y120&lt;-1),1,0)</f>
        <v/>
      </c>
      <c r="AL120" s="54">
        <f>SUM(AF120:AK120)</f>
        <v/>
      </c>
      <c r="AM120" s="9">
        <f>IF(AL120&gt;=set_ScoreHigh,"High",IF(AL120&gt;=set_ScoreMed,"Medium",IF(AL120&gt;0,"Low","OK")))</f>
        <v/>
      </c>
      <c r="AN120" s="54">
        <f>IF(OR(T120="Open",AND(T120="Won",ABS(Y120)&gt;0.5)),1,0)</f>
        <v/>
      </c>
      <c r="AO120" s="52">
        <f>IF(T120="Open",IF(V120=0,0,X120),IF(T120="Won",MAX(0,Y120),0))</f>
        <v/>
      </c>
      <c r="AP120" s="54">
        <f>IF(AN120=1,AL120*1E+9+U120+ROW()/1E+6,"")</f>
        <v/>
      </c>
      <c r="AQ120" s="9">
        <f>MID(IF(AF120&gt;0,"; Expected month passed - update Zoho","")&amp;IF(AG120&gt;0,"; "&amp;TEXT(U120/MAX(1,SUMIFS($U$2:$U$601,$T$2:$T$601,"Open")),"0%")&amp;" of open pipeline in one deal","")&amp;IF(AH120&gt;0,"; Large deal at an early stage","")&amp;IF(AI120&gt;0,"; No amount in Zoho","")&amp;IF(AJ120&gt;0,"; Won, invoice month passed, not fully invoiced","")&amp;IF(AK120&gt;0,"; Xero invoiced more than the deal value",""),3,300)</f>
        <v/>
      </c>
    </row>
    <row r="121">
      <c r="A121" s="51" t="n">
        <v>46265</v>
      </c>
      <c r="B121" t="inlineStr">
        <is>
          <t>ZOHO</t>
        </is>
      </c>
      <c r="C121" t="inlineStr">
        <is>
          <t>2607702</t>
        </is>
      </c>
      <c r="D121" t="inlineStr">
        <is>
          <t>Garvan Institute of Medical Research</t>
        </is>
      </c>
      <c r="E121" t="inlineStr">
        <is>
          <t>2607702</t>
        </is>
      </c>
      <c r="G121" t="inlineStr">
        <is>
          <t>PRODUCTION</t>
        </is>
      </c>
      <c r="H121" t="inlineStr">
        <is>
          <t>Garvan - Forever Young Cocktail Event - 10.9.26</t>
        </is>
      </c>
      <c r="I121" t="n">
        <v>995</v>
      </c>
      <c r="J121" t="inlineStr">
        <is>
          <t>Lost</t>
        </is>
      </c>
      <c r="L121" s="51" t="n">
        <v>46295</v>
      </c>
      <c r="M121" t="n">
        <v>0</v>
      </c>
      <c r="O121" t="inlineStr">
        <is>
          <t>Invoice month taken from the event date in the deal name</t>
        </is>
      </c>
      <c r="P121" t="inlineStr">
        <is>
          <t>Closed Lost</t>
        </is>
      </c>
      <c r="Q121" t="n">
        <v>0</v>
      </c>
      <c r="R121" t="n">
        <v>0</v>
      </c>
      <c r="T121" s="9">
        <f>IFERROR(INDEX($A121:$R121,MATCH("Status",$A$1:$R$1,0)),"")&amp;""</f>
        <v/>
      </c>
      <c r="U121" s="52">
        <f>IFERROR(N(IFERROR(INDEX($A121:$R121,MATCH("Value Ex GST",$A$1:$R$1,0)),"")),0)</f>
        <v/>
      </c>
      <c r="V121" s="54">
        <f>IF(AND(T121&lt;&gt;"",IFERROR(INDEX($A121:$R121,MATCH("Value Ex GST",$A$1:$R$1,0)),"")&amp;""&lt;&gt;""),1,0)</f>
        <v/>
      </c>
      <c r="W121" s="56">
        <f>IFERROR(N(IFERROR(INDEX($A121:$R121,MATCH("Probability",$A$1:$R$1,0)),"")),0)</f>
        <v/>
      </c>
      <c r="X121" s="52">
        <f>IF(T121="Open",U121*W121,0)</f>
        <v/>
      </c>
      <c r="Y121" s="52">
        <f>IF(T121="Won",IFERROR(N(IFERROR(INDEX($A121:$R121,MATCH("Still to Invoice",$A$1:$R$1,0)),"")),0),0)</f>
        <v/>
      </c>
      <c r="Z121" s="55">
        <f>IFERROR(EOMONTH(IFERROR(INDEX($A121:$R121,MATCH("Expected Invoice Month",$A$1:$R$1,0)),""),0),"")</f>
        <v/>
      </c>
      <c r="AA121" s="9">
        <f>IFERROR(INDEX($A121:$R121,MATCH("Cost Centre",$A$1:$R$1,0)),"")&amp;""</f>
        <v/>
      </c>
      <c r="AB121" s="9">
        <f>IFERROR(INDEX($A121:$R121,MATCH("Pipeline Stage",$A$1:$R$1,0)),"")&amp;""</f>
        <v/>
      </c>
      <c r="AC121" s="9">
        <f>IFERROR(INDEX($A121:$R121,MATCH("Client",$A$1:$R$1,0)),"")&amp;""</f>
        <v/>
      </c>
      <c r="AD121" s="9">
        <f>IFERROR(INDEX($A121:$R121,MATCH("Description",$A$1:$R$1,0)),"")&amp;""</f>
        <v/>
      </c>
      <c r="AE121" s="9">
        <f>IFERROR(INDEX($A121:$R121,MATCH("Job Number",$A$1:$R$1,0)),"")&amp;""</f>
        <v/>
      </c>
      <c r="AF121" s="54">
        <f>IF(AND(T121="Open",ISNUMBER(Z121),Z121&lt;EOMONTH(set_AsAt,-1)+1),3,0)</f>
        <v/>
      </c>
      <c r="AG121" s="54">
        <f>IF(AND(T121="Open",U121&gt;0,U121&gt;=set_DealShare*SUMIFS($U$2:$U$601,$T$2:$T$601,"Open")),3,0)</f>
        <v/>
      </c>
      <c r="AH121" s="54">
        <f>IF(AND(T121="Open",U121&gt;=set_BigValue,W121&lt;=set_EarlyProb),2,0)</f>
        <v/>
      </c>
      <c r="AI121" s="54">
        <f>IF(AND(OR(T121="Open",T121="Won"),V121=0),2,0)</f>
        <v/>
      </c>
      <c r="AJ121" s="54">
        <f>IF(AND(T121="Won",Y121&gt;0.5,ISNUMBER(Z121),Z121&lt;EOMONTH(set_AsAt,-1)+1),3,0)</f>
        <v/>
      </c>
      <c r="AK121" s="54">
        <f>IF(AND(T121="Won",Y121&lt;-1),1,0)</f>
        <v/>
      </c>
      <c r="AL121" s="54">
        <f>SUM(AF121:AK121)</f>
        <v/>
      </c>
      <c r="AM121" s="9">
        <f>IF(AL121&gt;=set_ScoreHigh,"High",IF(AL121&gt;=set_ScoreMed,"Medium",IF(AL121&gt;0,"Low","OK")))</f>
        <v/>
      </c>
      <c r="AN121" s="54">
        <f>IF(OR(T121="Open",AND(T121="Won",ABS(Y121)&gt;0.5)),1,0)</f>
        <v/>
      </c>
      <c r="AO121" s="52">
        <f>IF(T121="Open",IF(V121=0,0,X121),IF(T121="Won",MAX(0,Y121),0))</f>
        <v/>
      </c>
      <c r="AP121" s="54">
        <f>IF(AN121=1,AL121*1E+9+U121+ROW()/1E+6,"")</f>
        <v/>
      </c>
      <c r="AQ121" s="9">
        <f>MID(IF(AF121&gt;0,"; Expected month passed - update Zoho","")&amp;IF(AG121&gt;0,"; "&amp;TEXT(U121/MAX(1,SUMIFS($U$2:$U$601,$T$2:$T$601,"Open")),"0%")&amp;" of open pipeline in one deal","")&amp;IF(AH121&gt;0,"; Large deal at an early stage","")&amp;IF(AI121&gt;0,"; No amount in Zoho","")&amp;IF(AJ121&gt;0,"; Won, invoice month passed, not fully invoiced","")&amp;IF(AK121&gt;0,"; Xero invoiced more than the deal value",""),3,300)</f>
        <v/>
      </c>
    </row>
    <row r="122">
      <c r="A122" s="51" t="n">
        <v>46234</v>
      </c>
      <c r="B122" t="inlineStr">
        <is>
          <t>ZOHO</t>
        </is>
      </c>
      <c r="C122" t="inlineStr">
        <is>
          <t>2603107</t>
        </is>
      </c>
      <c r="D122" t="inlineStr">
        <is>
          <t>Integrated Design Group</t>
        </is>
      </c>
      <c r="E122" t="inlineStr">
        <is>
          <t>2603107</t>
        </is>
      </c>
      <c r="G122" t="inlineStr">
        <is>
          <t>PRODUCTION</t>
        </is>
      </c>
      <c r="H122" t="inlineStr">
        <is>
          <t>IDG - Shell House Screen Hire - 25.7.26</t>
        </is>
      </c>
      <c r="I122" t="n">
        <v>2000</v>
      </c>
      <c r="J122" t="inlineStr">
        <is>
          <t>Lost</t>
        </is>
      </c>
      <c r="L122" s="51" t="n">
        <v>46234</v>
      </c>
      <c r="M122" t="n">
        <v>0</v>
      </c>
      <c r="P122" t="inlineStr">
        <is>
          <t>Closed Lost</t>
        </is>
      </c>
      <c r="Q122" t="n">
        <v>0</v>
      </c>
      <c r="R122" t="n">
        <v>0</v>
      </c>
      <c r="T122" s="9">
        <f>IFERROR(INDEX($A122:$R122,MATCH("Status",$A$1:$R$1,0)),"")&amp;""</f>
        <v/>
      </c>
      <c r="U122" s="52">
        <f>IFERROR(N(IFERROR(INDEX($A122:$R122,MATCH("Value Ex GST",$A$1:$R$1,0)),"")),0)</f>
        <v/>
      </c>
      <c r="V122" s="54">
        <f>IF(AND(T122&lt;&gt;"",IFERROR(INDEX($A122:$R122,MATCH("Value Ex GST",$A$1:$R$1,0)),"")&amp;""&lt;&gt;""),1,0)</f>
        <v/>
      </c>
      <c r="W122" s="56">
        <f>IFERROR(N(IFERROR(INDEX($A122:$R122,MATCH("Probability",$A$1:$R$1,0)),"")),0)</f>
        <v/>
      </c>
      <c r="X122" s="52">
        <f>IF(T122="Open",U122*W122,0)</f>
        <v/>
      </c>
      <c r="Y122" s="52">
        <f>IF(T122="Won",IFERROR(N(IFERROR(INDEX($A122:$R122,MATCH("Still to Invoice",$A$1:$R$1,0)),"")),0),0)</f>
        <v/>
      </c>
      <c r="Z122" s="55">
        <f>IFERROR(EOMONTH(IFERROR(INDEX($A122:$R122,MATCH("Expected Invoice Month",$A$1:$R$1,0)),""),0),"")</f>
        <v/>
      </c>
      <c r="AA122" s="9">
        <f>IFERROR(INDEX($A122:$R122,MATCH("Cost Centre",$A$1:$R$1,0)),"")&amp;""</f>
        <v/>
      </c>
      <c r="AB122" s="9">
        <f>IFERROR(INDEX($A122:$R122,MATCH("Pipeline Stage",$A$1:$R$1,0)),"")&amp;""</f>
        <v/>
      </c>
      <c r="AC122" s="9">
        <f>IFERROR(INDEX($A122:$R122,MATCH("Client",$A$1:$R$1,0)),"")&amp;""</f>
        <v/>
      </c>
      <c r="AD122" s="9">
        <f>IFERROR(INDEX($A122:$R122,MATCH("Description",$A$1:$R$1,0)),"")&amp;""</f>
        <v/>
      </c>
      <c r="AE122" s="9">
        <f>IFERROR(INDEX($A122:$R122,MATCH("Job Number",$A$1:$R$1,0)),"")&amp;""</f>
        <v/>
      </c>
      <c r="AF122" s="54">
        <f>IF(AND(T122="Open",ISNUMBER(Z122),Z122&lt;EOMONTH(set_AsAt,-1)+1),3,0)</f>
        <v/>
      </c>
      <c r="AG122" s="54">
        <f>IF(AND(T122="Open",U122&gt;0,U122&gt;=set_DealShare*SUMIFS($U$2:$U$601,$T$2:$T$601,"Open")),3,0)</f>
        <v/>
      </c>
      <c r="AH122" s="54">
        <f>IF(AND(T122="Open",U122&gt;=set_BigValue,W122&lt;=set_EarlyProb),2,0)</f>
        <v/>
      </c>
      <c r="AI122" s="54">
        <f>IF(AND(OR(T122="Open",T122="Won"),V122=0),2,0)</f>
        <v/>
      </c>
      <c r="AJ122" s="54">
        <f>IF(AND(T122="Won",Y122&gt;0.5,ISNUMBER(Z122),Z122&lt;EOMONTH(set_AsAt,-1)+1),3,0)</f>
        <v/>
      </c>
      <c r="AK122" s="54">
        <f>IF(AND(T122="Won",Y122&lt;-1),1,0)</f>
        <v/>
      </c>
      <c r="AL122" s="54">
        <f>SUM(AF122:AK122)</f>
        <v/>
      </c>
      <c r="AM122" s="9">
        <f>IF(AL122&gt;=set_ScoreHigh,"High",IF(AL122&gt;=set_ScoreMed,"Medium",IF(AL122&gt;0,"Low","OK")))</f>
        <v/>
      </c>
      <c r="AN122" s="54">
        <f>IF(OR(T122="Open",AND(T122="Won",ABS(Y122)&gt;0.5)),1,0)</f>
        <v/>
      </c>
      <c r="AO122" s="52">
        <f>IF(T122="Open",IF(V122=0,0,X122),IF(T122="Won",MAX(0,Y122),0))</f>
        <v/>
      </c>
      <c r="AP122" s="54">
        <f>IF(AN122=1,AL122*1E+9+U122+ROW()/1E+6,"")</f>
        <v/>
      </c>
      <c r="AQ122" s="9">
        <f>MID(IF(AF122&gt;0,"; Expected month passed - update Zoho","")&amp;IF(AG122&gt;0,"; "&amp;TEXT(U122/MAX(1,SUMIFS($U$2:$U$601,$T$2:$T$601,"Open")),"0%")&amp;" of open pipeline in one deal","")&amp;IF(AH122&gt;0,"; Large deal at an early stage","")&amp;IF(AI122&gt;0,"; No amount in Zoho","")&amp;IF(AJ122&gt;0,"; Won, invoice month passed, not fully invoiced","")&amp;IF(AK122&gt;0,"; Xero invoiced more than the deal value",""),3,300)</f>
        <v/>
      </c>
    </row>
    <row r="123">
      <c r="A123" s="51" t="n">
        <v>46234</v>
      </c>
      <c r="B123" t="inlineStr">
        <is>
          <t>ZOHO</t>
        </is>
      </c>
      <c r="C123" t="inlineStr">
        <is>
          <t>26071302</t>
        </is>
      </c>
      <c r="D123" t="inlineStr">
        <is>
          <t>Deloitte - Sydney</t>
        </is>
      </c>
      <c r="E123" t="inlineStr">
        <is>
          <t>26071302</t>
        </is>
      </c>
      <c r="G123" t="inlineStr">
        <is>
          <t>PRODUCTION</t>
        </is>
      </c>
      <c r="H123" t="inlineStr">
        <is>
          <t>DTTL - Naidoc Event - 23.7.26</t>
        </is>
      </c>
      <c r="I123" t="n">
        <v>5450</v>
      </c>
      <c r="J123" t="inlineStr">
        <is>
          <t>Lost</t>
        </is>
      </c>
      <c r="L123" s="51" t="n">
        <v>46234</v>
      </c>
      <c r="M123" t="n">
        <v>0</v>
      </c>
      <c r="P123" t="inlineStr">
        <is>
          <t>Closed Lost</t>
        </is>
      </c>
      <c r="Q123" t="n">
        <v>0</v>
      </c>
      <c r="R123" t="n">
        <v>0</v>
      </c>
      <c r="T123" s="9">
        <f>IFERROR(INDEX($A123:$R123,MATCH("Status",$A$1:$R$1,0)),"")&amp;""</f>
        <v/>
      </c>
      <c r="U123" s="52">
        <f>IFERROR(N(IFERROR(INDEX($A123:$R123,MATCH("Value Ex GST",$A$1:$R$1,0)),"")),0)</f>
        <v/>
      </c>
      <c r="V123" s="54">
        <f>IF(AND(T123&lt;&gt;"",IFERROR(INDEX($A123:$R123,MATCH("Value Ex GST",$A$1:$R$1,0)),"")&amp;""&lt;&gt;""),1,0)</f>
        <v/>
      </c>
      <c r="W123" s="56">
        <f>IFERROR(N(IFERROR(INDEX($A123:$R123,MATCH("Probability",$A$1:$R$1,0)),"")),0)</f>
        <v/>
      </c>
      <c r="X123" s="52">
        <f>IF(T123="Open",U123*W123,0)</f>
        <v/>
      </c>
      <c r="Y123" s="52">
        <f>IF(T123="Won",IFERROR(N(IFERROR(INDEX($A123:$R123,MATCH("Still to Invoice",$A$1:$R$1,0)),"")),0),0)</f>
        <v/>
      </c>
      <c r="Z123" s="55">
        <f>IFERROR(EOMONTH(IFERROR(INDEX($A123:$R123,MATCH("Expected Invoice Month",$A$1:$R$1,0)),""),0),"")</f>
        <v/>
      </c>
      <c r="AA123" s="9">
        <f>IFERROR(INDEX($A123:$R123,MATCH("Cost Centre",$A$1:$R$1,0)),"")&amp;""</f>
        <v/>
      </c>
      <c r="AB123" s="9">
        <f>IFERROR(INDEX($A123:$R123,MATCH("Pipeline Stage",$A$1:$R$1,0)),"")&amp;""</f>
        <v/>
      </c>
      <c r="AC123" s="9">
        <f>IFERROR(INDEX($A123:$R123,MATCH("Client",$A$1:$R$1,0)),"")&amp;""</f>
        <v/>
      </c>
      <c r="AD123" s="9">
        <f>IFERROR(INDEX($A123:$R123,MATCH("Description",$A$1:$R$1,0)),"")&amp;""</f>
        <v/>
      </c>
      <c r="AE123" s="9">
        <f>IFERROR(INDEX($A123:$R123,MATCH("Job Number",$A$1:$R$1,0)),"")&amp;""</f>
        <v/>
      </c>
      <c r="AF123" s="54">
        <f>IF(AND(T123="Open",ISNUMBER(Z123),Z123&lt;EOMONTH(set_AsAt,-1)+1),3,0)</f>
        <v/>
      </c>
      <c r="AG123" s="54">
        <f>IF(AND(T123="Open",U123&gt;0,U123&gt;=set_DealShare*SUMIFS($U$2:$U$601,$T$2:$T$601,"Open")),3,0)</f>
        <v/>
      </c>
      <c r="AH123" s="54">
        <f>IF(AND(T123="Open",U123&gt;=set_BigValue,W123&lt;=set_EarlyProb),2,0)</f>
        <v/>
      </c>
      <c r="AI123" s="54">
        <f>IF(AND(OR(T123="Open",T123="Won"),V123=0),2,0)</f>
        <v/>
      </c>
      <c r="AJ123" s="54">
        <f>IF(AND(T123="Won",Y123&gt;0.5,ISNUMBER(Z123),Z123&lt;EOMONTH(set_AsAt,-1)+1),3,0)</f>
        <v/>
      </c>
      <c r="AK123" s="54">
        <f>IF(AND(T123="Won",Y123&lt;-1),1,0)</f>
        <v/>
      </c>
      <c r="AL123" s="54">
        <f>SUM(AF123:AK123)</f>
        <v/>
      </c>
      <c r="AM123" s="9">
        <f>IF(AL123&gt;=set_ScoreHigh,"High",IF(AL123&gt;=set_ScoreMed,"Medium",IF(AL123&gt;0,"Low","OK")))</f>
        <v/>
      </c>
      <c r="AN123" s="54">
        <f>IF(OR(T123="Open",AND(T123="Won",ABS(Y123)&gt;0.5)),1,0)</f>
        <v/>
      </c>
      <c r="AO123" s="52">
        <f>IF(T123="Open",IF(V123=0,0,X123),IF(T123="Won",MAX(0,Y123),0))</f>
        <v/>
      </c>
      <c r="AP123" s="54">
        <f>IF(AN123=1,AL123*1E+9+U123+ROW()/1E+6,"")</f>
        <v/>
      </c>
      <c r="AQ123" s="9">
        <f>MID(IF(AF123&gt;0,"; Expected month passed - update Zoho","")&amp;IF(AG123&gt;0,"; "&amp;TEXT(U123/MAX(1,SUMIFS($U$2:$U$601,$T$2:$T$601,"Open")),"0%")&amp;" of open pipeline in one deal","")&amp;IF(AH123&gt;0,"; Large deal at an early stage","")&amp;IF(AI123&gt;0,"; No amount in Zoho","")&amp;IF(AJ123&gt;0,"; Won, invoice month passed, not fully invoiced","")&amp;IF(AK123&gt;0,"; Xero invoiced more than the deal value",""),3,300)</f>
        <v/>
      </c>
    </row>
    <row r="124">
      <c r="A124" s="51" t="n">
        <v>46234</v>
      </c>
      <c r="B124" t="inlineStr">
        <is>
          <t>ZOHO</t>
        </is>
      </c>
      <c r="C124" t="inlineStr">
        <is>
          <t>26032504</t>
        </is>
      </c>
      <c r="D124" t="inlineStr">
        <is>
          <t>CSIRO</t>
        </is>
      </c>
      <c r="E124" t="inlineStr">
        <is>
          <t>26032504</t>
        </is>
      </c>
      <c r="G124" t="inlineStr">
        <is>
          <t>PRODUCTION</t>
        </is>
      </c>
      <c r="H124" t="inlineStr">
        <is>
          <t>CSIRO - Careers Expo - 5.8.26</t>
        </is>
      </c>
      <c r="I124" t="n">
        <v>10000</v>
      </c>
      <c r="J124" t="inlineStr">
        <is>
          <t>Lost</t>
        </is>
      </c>
      <c r="L124" s="51" t="n">
        <v>46265</v>
      </c>
      <c r="M124" t="n">
        <v>0</v>
      </c>
      <c r="O124" t="inlineStr">
        <is>
          <t>Invoice month taken from the event date in the deal name</t>
        </is>
      </c>
      <c r="P124" t="inlineStr">
        <is>
          <t>Closed Lost</t>
        </is>
      </c>
      <c r="Q124" t="n">
        <v>0</v>
      </c>
      <c r="R124" t="n">
        <v>0</v>
      </c>
      <c r="T124" s="9">
        <f>IFERROR(INDEX($A124:$R124,MATCH("Status",$A$1:$R$1,0)),"")&amp;""</f>
        <v/>
      </c>
      <c r="U124" s="52">
        <f>IFERROR(N(IFERROR(INDEX($A124:$R124,MATCH("Value Ex GST",$A$1:$R$1,0)),"")),0)</f>
        <v/>
      </c>
      <c r="V124" s="54">
        <f>IF(AND(T124&lt;&gt;"",IFERROR(INDEX($A124:$R124,MATCH("Value Ex GST",$A$1:$R$1,0)),"")&amp;""&lt;&gt;""),1,0)</f>
        <v/>
      </c>
      <c r="W124" s="56">
        <f>IFERROR(N(IFERROR(INDEX($A124:$R124,MATCH("Probability",$A$1:$R$1,0)),"")),0)</f>
        <v/>
      </c>
      <c r="X124" s="52">
        <f>IF(T124="Open",U124*W124,0)</f>
        <v/>
      </c>
      <c r="Y124" s="52">
        <f>IF(T124="Won",IFERROR(N(IFERROR(INDEX($A124:$R124,MATCH("Still to Invoice",$A$1:$R$1,0)),"")),0),0)</f>
        <v/>
      </c>
      <c r="Z124" s="55">
        <f>IFERROR(EOMONTH(IFERROR(INDEX($A124:$R124,MATCH("Expected Invoice Month",$A$1:$R$1,0)),""),0),"")</f>
        <v/>
      </c>
      <c r="AA124" s="9">
        <f>IFERROR(INDEX($A124:$R124,MATCH("Cost Centre",$A$1:$R$1,0)),"")&amp;""</f>
        <v/>
      </c>
      <c r="AB124" s="9">
        <f>IFERROR(INDEX($A124:$R124,MATCH("Pipeline Stage",$A$1:$R$1,0)),"")&amp;""</f>
        <v/>
      </c>
      <c r="AC124" s="9">
        <f>IFERROR(INDEX($A124:$R124,MATCH("Client",$A$1:$R$1,0)),"")&amp;""</f>
        <v/>
      </c>
      <c r="AD124" s="9">
        <f>IFERROR(INDEX($A124:$R124,MATCH("Description",$A$1:$R$1,0)),"")&amp;""</f>
        <v/>
      </c>
      <c r="AE124" s="9">
        <f>IFERROR(INDEX($A124:$R124,MATCH("Job Number",$A$1:$R$1,0)),"")&amp;""</f>
        <v/>
      </c>
      <c r="AF124" s="54">
        <f>IF(AND(T124="Open",ISNUMBER(Z124),Z124&lt;EOMONTH(set_AsAt,-1)+1),3,0)</f>
        <v/>
      </c>
      <c r="AG124" s="54">
        <f>IF(AND(T124="Open",U124&gt;0,U124&gt;=set_DealShare*SUMIFS($U$2:$U$601,$T$2:$T$601,"Open")),3,0)</f>
        <v/>
      </c>
      <c r="AH124" s="54">
        <f>IF(AND(T124="Open",U124&gt;=set_BigValue,W124&lt;=set_EarlyProb),2,0)</f>
        <v/>
      </c>
      <c r="AI124" s="54">
        <f>IF(AND(OR(T124="Open",T124="Won"),V124=0),2,0)</f>
        <v/>
      </c>
      <c r="AJ124" s="54">
        <f>IF(AND(T124="Won",Y124&gt;0.5,ISNUMBER(Z124),Z124&lt;EOMONTH(set_AsAt,-1)+1),3,0)</f>
        <v/>
      </c>
      <c r="AK124" s="54">
        <f>IF(AND(T124="Won",Y124&lt;-1),1,0)</f>
        <v/>
      </c>
      <c r="AL124" s="54">
        <f>SUM(AF124:AK124)</f>
        <v/>
      </c>
      <c r="AM124" s="9">
        <f>IF(AL124&gt;=set_ScoreHigh,"High",IF(AL124&gt;=set_ScoreMed,"Medium",IF(AL124&gt;0,"Low","OK")))</f>
        <v/>
      </c>
      <c r="AN124" s="54">
        <f>IF(OR(T124="Open",AND(T124="Won",ABS(Y124)&gt;0.5)),1,0)</f>
        <v/>
      </c>
      <c r="AO124" s="52">
        <f>IF(T124="Open",IF(V124=0,0,X124),IF(T124="Won",MAX(0,Y124),0))</f>
        <v/>
      </c>
      <c r="AP124" s="54">
        <f>IF(AN124=1,AL124*1E+9+U124+ROW()/1E+6,"")</f>
        <v/>
      </c>
      <c r="AQ124" s="9">
        <f>MID(IF(AF124&gt;0,"; Expected month passed - update Zoho","")&amp;IF(AG124&gt;0,"; "&amp;TEXT(U124/MAX(1,SUMIFS($U$2:$U$601,$T$2:$T$601,"Open")),"0%")&amp;" of open pipeline in one deal","")&amp;IF(AH124&gt;0,"; Large deal at an early stage","")&amp;IF(AI124&gt;0,"; No amount in Zoho","")&amp;IF(AJ124&gt;0,"; Won, invoice month passed, not fully invoiced","")&amp;IF(AK124&gt;0,"; Xero invoiced more than the deal value",""),3,300)</f>
        <v/>
      </c>
    </row>
    <row r="125">
      <c r="A125" s="51" t="n">
        <v>46234</v>
      </c>
      <c r="B125" t="inlineStr">
        <is>
          <t>ZOHO</t>
        </is>
      </c>
      <c r="C125" t="inlineStr">
        <is>
          <t>2605805</t>
        </is>
      </c>
      <c r="D125" t="inlineStr">
        <is>
          <t>Aware Super</t>
        </is>
      </c>
      <c r="E125" t="inlineStr">
        <is>
          <t>2605805</t>
        </is>
      </c>
      <c r="G125" t="inlineStr">
        <is>
          <t>INTEGRATION</t>
        </is>
      </c>
      <c r="H125" t="inlineStr">
        <is>
          <t>Aware | SYD Seminar Rm - 2605805</t>
        </is>
      </c>
      <c r="I125" t="n">
        <v>0</v>
      </c>
      <c r="J125" t="inlineStr">
        <is>
          <t>Lost</t>
        </is>
      </c>
      <c r="L125" s="51" t="n">
        <v>46234</v>
      </c>
      <c r="M125" t="n">
        <v>0</v>
      </c>
      <c r="P125" t="inlineStr">
        <is>
          <t>Closed Lost</t>
        </is>
      </c>
      <c r="Q125" t="n">
        <v>0</v>
      </c>
      <c r="R125" t="n">
        <v>0</v>
      </c>
      <c r="T125" s="9">
        <f>IFERROR(INDEX($A125:$R125,MATCH("Status",$A$1:$R$1,0)),"")&amp;""</f>
        <v/>
      </c>
      <c r="U125" s="52">
        <f>IFERROR(N(IFERROR(INDEX($A125:$R125,MATCH("Value Ex GST",$A$1:$R$1,0)),"")),0)</f>
        <v/>
      </c>
      <c r="V125" s="54">
        <f>IF(AND(T125&lt;&gt;"",IFERROR(INDEX($A125:$R125,MATCH("Value Ex GST",$A$1:$R$1,0)),"")&amp;""&lt;&gt;""),1,0)</f>
        <v/>
      </c>
      <c r="W125" s="56">
        <f>IFERROR(N(IFERROR(INDEX($A125:$R125,MATCH("Probability",$A$1:$R$1,0)),"")),0)</f>
        <v/>
      </c>
      <c r="X125" s="52">
        <f>IF(T125="Open",U125*W125,0)</f>
        <v/>
      </c>
      <c r="Y125" s="52">
        <f>IF(T125="Won",IFERROR(N(IFERROR(INDEX($A125:$R125,MATCH("Still to Invoice",$A$1:$R$1,0)),"")),0),0)</f>
        <v/>
      </c>
      <c r="Z125" s="55">
        <f>IFERROR(EOMONTH(IFERROR(INDEX($A125:$R125,MATCH("Expected Invoice Month",$A$1:$R$1,0)),""),0),"")</f>
        <v/>
      </c>
      <c r="AA125" s="9">
        <f>IFERROR(INDEX($A125:$R125,MATCH("Cost Centre",$A$1:$R$1,0)),"")&amp;""</f>
        <v/>
      </c>
      <c r="AB125" s="9">
        <f>IFERROR(INDEX($A125:$R125,MATCH("Pipeline Stage",$A$1:$R$1,0)),"")&amp;""</f>
        <v/>
      </c>
      <c r="AC125" s="9">
        <f>IFERROR(INDEX($A125:$R125,MATCH("Client",$A$1:$R$1,0)),"")&amp;""</f>
        <v/>
      </c>
      <c r="AD125" s="9">
        <f>IFERROR(INDEX($A125:$R125,MATCH("Description",$A$1:$R$1,0)),"")&amp;""</f>
        <v/>
      </c>
      <c r="AE125" s="9">
        <f>IFERROR(INDEX($A125:$R125,MATCH("Job Number",$A$1:$R$1,0)),"")&amp;""</f>
        <v/>
      </c>
      <c r="AF125" s="54">
        <f>IF(AND(T125="Open",ISNUMBER(Z125),Z125&lt;EOMONTH(set_AsAt,-1)+1),3,0)</f>
        <v/>
      </c>
      <c r="AG125" s="54">
        <f>IF(AND(T125="Open",U125&gt;0,U125&gt;=set_DealShare*SUMIFS($U$2:$U$601,$T$2:$T$601,"Open")),3,0)</f>
        <v/>
      </c>
      <c r="AH125" s="54">
        <f>IF(AND(T125="Open",U125&gt;=set_BigValue,W125&lt;=set_EarlyProb),2,0)</f>
        <v/>
      </c>
      <c r="AI125" s="54">
        <f>IF(AND(OR(T125="Open",T125="Won"),V125=0),2,0)</f>
        <v/>
      </c>
      <c r="AJ125" s="54">
        <f>IF(AND(T125="Won",Y125&gt;0.5,ISNUMBER(Z125),Z125&lt;EOMONTH(set_AsAt,-1)+1),3,0)</f>
        <v/>
      </c>
      <c r="AK125" s="54">
        <f>IF(AND(T125="Won",Y125&lt;-1),1,0)</f>
        <v/>
      </c>
      <c r="AL125" s="54">
        <f>SUM(AF125:AK125)</f>
        <v/>
      </c>
      <c r="AM125" s="9">
        <f>IF(AL125&gt;=set_ScoreHigh,"High",IF(AL125&gt;=set_ScoreMed,"Medium",IF(AL125&gt;0,"Low","OK")))</f>
        <v/>
      </c>
      <c r="AN125" s="54">
        <f>IF(OR(T125="Open",AND(T125="Won",ABS(Y125)&gt;0.5)),1,0)</f>
        <v/>
      </c>
      <c r="AO125" s="52">
        <f>IF(T125="Open",IF(V125=0,0,X125),IF(T125="Won",MAX(0,Y125),0))</f>
        <v/>
      </c>
      <c r="AP125" s="54">
        <f>IF(AN125=1,AL125*1E+9+U125+ROW()/1E+6,"")</f>
        <v/>
      </c>
      <c r="AQ125" s="9">
        <f>MID(IF(AF125&gt;0,"; Expected month passed - update Zoho","")&amp;IF(AG125&gt;0,"; "&amp;TEXT(U125/MAX(1,SUMIFS($U$2:$U$601,$T$2:$T$601,"Open")),"0%")&amp;" of open pipeline in one deal","")&amp;IF(AH125&gt;0,"; Large deal at an early stage","")&amp;IF(AI125&gt;0,"; No amount in Zoho","")&amp;IF(AJ125&gt;0,"; Won, invoice month passed, not fully invoiced","")&amp;IF(AK125&gt;0,"; Xero invoiced more than the deal value",""),3,300)</f>
        <v/>
      </c>
    </row>
    <row r="126">
      <c r="A126" s="51" t="n">
        <v>46295</v>
      </c>
      <c r="B126" t="inlineStr">
        <is>
          <t>ZOHO</t>
        </is>
      </c>
      <c r="C126" t="inlineStr">
        <is>
          <t>26081902</t>
        </is>
      </c>
      <c r="D126" t="inlineStr">
        <is>
          <t>Chorus Call</t>
        </is>
      </c>
      <c r="E126" t="inlineStr">
        <is>
          <t>26081902</t>
        </is>
      </c>
      <c r="G126" t="inlineStr">
        <is>
          <t>PRODUCTION</t>
        </is>
      </c>
      <c r="H126" t="inlineStr">
        <is>
          <t>Chorus Call - IRL AGM - 25.11.26</t>
        </is>
      </c>
      <c r="I126" t="n">
        <v>6957</v>
      </c>
      <c r="J126" t="inlineStr">
        <is>
          <t>Lost</t>
        </is>
      </c>
      <c r="L126" s="51" t="n">
        <v>46356</v>
      </c>
      <c r="M126" t="n">
        <v>0</v>
      </c>
      <c r="O126" t="inlineStr">
        <is>
          <t>Invoice month taken from the event date in the deal name</t>
        </is>
      </c>
      <c r="P126" t="inlineStr">
        <is>
          <t>Closed Lost</t>
        </is>
      </c>
      <c r="Q126" t="n">
        <v>0</v>
      </c>
      <c r="R126" t="n">
        <v>0</v>
      </c>
      <c r="T126" s="9">
        <f>IFERROR(INDEX($A126:$R126,MATCH("Status",$A$1:$R$1,0)),"")&amp;""</f>
        <v/>
      </c>
      <c r="U126" s="52">
        <f>IFERROR(N(IFERROR(INDEX($A126:$R126,MATCH("Value Ex GST",$A$1:$R$1,0)),"")),0)</f>
        <v/>
      </c>
      <c r="V126" s="54">
        <f>IF(AND(T126&lt;&gt;"",IFERROR(INDEX($A126:$R126,MATCH("Value Ex GST",$A$1:$R$1,0)),"")&amp;""&lt;&gt;""),1,0)</f>
        <v/>
      </c>
      <c r="W126" s="56">
        <f>IFERROR(N(IFERROR(INDEX($A126:$R126,MATCH("Probability",$A$1:$R$1,0)),"")),0)</f>
        <v/>
      </c>
      <c r="X126" s="52">
        <f>IF(T126="Open",U126*W126,0)</f>
        <v/>
      </c>
      <c r="Y126" s="52">
        <f>IF(T126="Won",IFERROR(N(IFERROR(INDEX($A126:$R126,MATCH("Still to Invoice",$A$1:$R$1,0)),"")),0),0)</f>
        <v/>
      </c>
      <c r="Z126" s="55">
        <f>IFERROR(EOMONTH(IFERROR(INDEX($A126:$R126,MATCH("Expected Invoice Month",$A$1:$R$1,0)),""),0),"")</f>
        <v/>
      </c>
      <c r="AA126" s="9">
        <f>IFERROR(INDEX($A126:$R126,MATCH("Cost Centre",$A$1:$R$1,0)),"")&amp;""</f>
        <v/>
      </c>
      <c r="AB126" s="9">
        <f>IFERROR(INDEX($A126:$R126,MATCH("Pipeline Stage",$A$1:$R$1,0)),"")&amp;""</f>
        <v/>
      </c>
      <c r="AC126" s="9">
        <f>IFERROR(INDEX($A126:$R126,MATCH("Client",$A$1:$R$1,0)),"")&amp;""</f>
        <v/>
      </c>
      <c r="AD126" s="9">
        <f>IFERROR(INDEX($A126:$R126,MATCH("Description",$A$1:$R$1,0)),"")&amp;""</f>
        <v/>
      </c>
      <c r="AE126" s="9">
        <f>IFERROR(INDEX($A126:$R126,MATCH("Job Number",$A$1:$R$1,0)),"")&amp;""</f>
        <v/>
      </c>
      <c r="AF126" s="54">
        <f>IF(AND(T126="Open",ISNUMBER(Z126),Z126&lt;EOMONTH(set_AsAt,-1)+1),3,0)</f>
        <v/>
      </c>
      <c r="AG126" s="54">
        <f>IF(AND(T126="Open",U126&gt;0,U126&gt;=set_DealShare*SUMIFS($U$2:$U$601,$T$2:$T$601,"Open")),3,0)</f>
        <v/>
      </c>
      <c r="AH126" s="54">
        <f>IF(AND(T126="Open",U126&gt;=set_BigValue,W126&lt;=set_EarlyProb),2,0)</f>
        <v/>
      </c>
      <c r="AI126" s="54">
        <f>IF(AND(OR(T126="Open",T126="Won"),V126=0),2,0)</f>
        <v/>
      </c>
      <c r="AJ126" s="54">
        <f>IF(AND(T126="Won",Y126&gt;0.5,ISNUMBER(Z126),Z126&lt;EOMONTH(set_AsAt,-1)+1),3,0)</f>
        <v/>
      </c>
      <c r="AK126" s="54">
        <f>IF(AND(T126="Won",Y126&lt;-1),1,0)</f>
        <v/>
      </c>
      <c r="AL126" s="54">
        <f>SUM(AF126:AK126)</f>
        <v/>
      </c>
      <c r="AM126" s="9">
        <f>IF(AL126&gt;=set_ScoreHigh,"High",IF(AL126&gt;=set_ScoreMed,"Medium",IF(AL126&gt;0,"Low","OK")))</f>
        <v/>
      </c>
      <c r="AN126" s="54">
        <f>IF(OR(T126="Open",AND(T126="Won",ABS(Y126)&gt;0.5)),1,0)</f>
        <v/>
      </c>
      <c r="AO126" s="52">
        <f>IF(T126="Open",IF(V126=0,0,X126),IF(T126="Won",MAX(0,Y126),0))</f>
        <v/>
      </c>
      <c r="AP126" s="54">
        <f>IF(AN126=1,AL126*1E+9+U126+ROW()/1E+6,"")</f>
        <v/>
      </c>
      <c r="AQ126" s="9">
        <f>MID(IF(AF126&gt;0,"; Expected month passed - update Zoho","")&amp;IF(AG126&gt;0,"; "&amp;TEXT(U126/MAX(1,SUMIFS($U$2:$U$601,$T$2:$T$601,"Open")),"0%")&amp;" of open pipeline in one deal","")&amp;IF(AH126&gt;0,"; Large deal at an early stage","")&amp;IF(AI126&gt;0,"; No amount in Zoho","")&amp;IF(AJ126&gt;0,"; Won, invoice month passed, not fully invoiced","")&amp;IF(AK126&gt;0,"; Xero invoiced more than the deal value",""),3,300)</f>
        <v/>
      </c>
    </row>
    <row r="127">
      <c r="A127" s="51" t="n">
        <v>46265</v>
      </c>
      <c r="B127" t="inlineStr">
        <is>
          <t>ZOHO</t>
        </is>
      </c>
      <c r="C127" t="inlineStr">
        <is>
          <t>26061601</t>
        </is>
      </c>
      <c r="D127" t="inlineStr">
        <is>
          <t>Ventia</t>
        </is>
      </c>
      <c r="E127" t="inlineStr">
        <is>
          <t>26061601</t>
        </is>
      </c>
      <c r="G127" t="inlineStr">
        <is>
          <t>PRODUCTION</t>
        </is>
      </c>
      <c r="H127" t="inlineStr">
        <is>
          <t>Ventia - Next Leader Conference - 10.8.26</t>
        </is>
      </c>
      <c r="I127" t="n">
        <v>8500</v>
      </c>
      <c r="J127" t="inlineStr">
        <is>
          <t>Lost</t>
        </is>
      </c>
      <c r="L127" s="51" t="n">
        <v>46265</v>
      </c>
      <c r="M127" t="n">
        <v>0</v>
      </c>
      <c r="P127" t="inlineStr">
        <is>
          <t>Closed Lost</t>
        </is>
      </c>
      <c r="Q127" t="n">
        <v>0</v>
      </c>
      <c r="R127" t="n">
        <v>0</v>
      </c>
      <c r="T127" s="9">
        <f>IFERROR(INDEX($A127:$R127,MATCH("Status",$A$1:$R$1,0)),"")&amp;""</f>
        <v/>
      </c>
      <c r="U127" s="52">
        <f>IFERROR(N(IFERROR(INDEX($A127:$R127,MATCH("Value Ex GST",$A$1:$R$1,0)),"")),0)</f>
        <v/>
      </c>
      <c r="V127" s="54">
        <f>IF(AND(T127&lt;&gt;"",IFERROR(INDEX($A127:$R127,MATCH("Value Ex GST",$A$1:$R$1,0)),"")&amp;""&lt;&gt;""),1,0)</f>
        <v/>
      </c>
      <c r="W127" s="56">
        <f>IFERROR(N(IFERROR(INDEX($A127:$R127,MATCH("Probability",$A$1:$R$1,0)),"")),0)</f>
        <v/>
      </c>
      <c r="X127" s="52">
        <f>IF(T127="Open",U127*W127,0)</f>
        <v/>
      </c>
      <c r="Y127" s="52">
        <f>IF(T127="Won",IFERROR(N(IFERROR(INDEX($A127:$R127,MATCH("Still to Invoice",$A$1:$R$1,0)),"")),0),0)</f>
        <v/>
      </c>
      <c r="Z127" s="55">
        <f>IFERROR(EOMONTH(IFERROR(INDEX($A127:$R127,MATCH("Expected Invoice Month",$A$1:$R$1,0)),""),0),"")</f>
        <v/>
      </c>
      <c r="AA127" s="9">
        <f>IFERROR(INDEX($A127:$R127,MATCH("Cost Centre",$A$1:$R$1,0)),"")&amp;""</f>
        <v/>
      </c>
      <c r="AB127" s="9">
        <f>IFERROR(INDEX($A127:$R127,MATCH("Pipeline Stage",$A$1:$R$1,0)),"")&amp;""</f>
        <v/>
      </c>
      <c r="AC127" s="9">
        <f>IFERROR(INDEX($A127:$R127,MATCH("Client",$A$1:$R$1,0)),"")&amp;""</f>
        <v/>
      </c>
      <c r="AD127" s="9">
        <f>IFERROR(INDEX($A127:$R127,MATCH("Description",$A$1:$R$1,0)),"")&amp;""</f>
        <v/>
      </c>
      <c r="AE127" s="9">
        <f>IFERROR(INDEX($A127:$R127,MATCH("Job Number",$A$1:$R$1,0)),"")&amp;""</f>
        <v/>
      </c>
      <c r="AF127" s="54">
        <f>IF(AND(T127="Open",ISNUMBER(Z127),Z127&lt;EOMONTH(set_AsAt,-1)+1),3,0)</f>
        <v/>
      </c>
      <c r="AG127" s="54">
        <f>IF(AND(T127="Open",U127&gt;0,U127&gt;=set_DealShare*SUMIFS($U$2:$U$601,$T$2:$T$601,"Open")),3,0)</f>
        <v/>
      </c>
      <c r="AH127" s="54">
        <f>IF(AND(T127="Open",U127&gt;=set_BigValue,W127&lt;=set_EarlyProb),2,0)</f>
        <v/>
      </c>
      <c r="AI127" s="54">
        <f>IF(AND(OR(T127="Open",T127="Won"),V127=0),2,0)</f>
        <v/>
      </c>
      <c r="AJ127" s="54">
        <f>IF(AND(T127="Won",Y127&gt;0.5,ISNUMBER(Z127),Z127&lt;EOMONTH(set_AsAt,-1)+1),3,0)</f>
        <v/>
      </c>
      <c r="AK127" s="54">
        <f>IF(AND(T127="Won",Y127&lt;-1),1,0)</f>
        <v/>
      </c>
      <c r="AL127" s="54">
        <f>SUM(AF127:AK127)</f>
        <v/>
      </c>
      <c r="AM127" s="9">
        <f>IF(AL127&gt;=set_ScoreHigh,"High",IF(AL127&gt;=set_ScoreMed,"Medium",IF(AL127&gt;0,"Low","OK")))</f>
        <v/>
      </c>
      <c r="AN127" s="54">
        <f>IF(OR(T127="Open",AND(T127="Won",ABS(Y127)&gt;0.5)),1,0)</f>
        <v/>
      </c>
      <c r="AO127" s="52">
        <f>IF(T127="Open",IF(V127=0,0,X127),IF(T127="Won",MAX(0,Y127),0))</f>
        <v/>
      </c>
      <c r="AP127" s="54">
        <f>IF(AN127=1,AL127*1E+9+U127+ROW()/1E+6,"")</f>
        <v/>
      </c>
      <c r="AQ127" s="9">
        <f>MID(IF(AF127&gt;0,"; Expected month passed - update Zoho","")&amp;IF(AG127&gt;0,"; "&amp;TEXT(U127/MAX(1,SUMIFS($U$2:$U$601,$T$2:$T$601,"Open")),"0%")&amp;" of open pipeline in one deal","")&amp;IF(AH127&gt;0,"; Large deal at an early stage","")&amp;IF(AI127&gt;0,"; No amount in Zoho","")&amp;IF(AJ127&gt;0,"; Won, invoice month passed, not fully invoiced","")&amp;IF(AK127&gt;0,"; Xero invoiced more than the deal value",""),3,300)</f>
        <v/>
      </c>
    </row>
    <row r="128">
      <c r="A128" s="51" t="n">
        <v>46234</v>
      </c>
      <c r="B128" t="inlineStr">
        <is>
          <t>ZOHO</t>
        </is>
      </c>
      <c r="C128" t="inlineStr">
        <is>
          <t>26032603</t>
        </is>
      </c>
      <c r="D128" t="inlineStr">
        <is>
          <t>HP</t>
        </is>
      </c>
      <c r="E128" t="inlineStr">
        <is>
          <t>26032603</t>
        </is>
      </c>
      <c r="G128" t="inlineStr">
        <is>
          <t>INTEGRATION</t>
        </is>
      </c>
      <c r="H128" t="inlineStr">
        <is>
          <t>HP_CremorneVicMCS - 26032603</t>
        </is>
      </c>
      <c r="I128" t="n">
        <v>4930</v>
      </c>
      <c r="J128" t="inlineStr">
        <is>
          <t>Lost</t>
        </is>
      </c>
      <c r="L128" s="51" t="n">
        <v>46234</v>
      </c>
      <c r="M128" t="n">
        <v>0</v>
      </c>
      <c r="P128" t="inlineStr">
        <is>
          <t>Closed Lost</t>
        </is>
      </c>
      <c r="Q128" t="n">
        <v>0</v>
      </c>
      <c r="R128" t="n">
        <v>0</v>
      </c>
      <c r="T128" s="9">
        <f>IFERROR(INDEX($A128:$R128,MATCH("Status",$A$1:$R$1,0)),"")&amp;""</f>
        <v/>
      </c>
      <c r="U128" s="52">
        <f>IFERROR(N(IFERROR(INDEX($A128:$R128,MATCH("Value Ex GST",$A$1:$R$1,0)),"")),0)</f>
        <v/>
      </c>
      <c r="V128" s="54">
        <f>IF(AND(T128&lt;&gt;"",IFERROR(INDEX($A128:$R128,MATCH("Value Ex GST",$A$1:$R$1,0)),"")&amp;""&lt;&gt;""),1,0)</f>
        <v/>
      </c>
      <c r="W128" s="56">
        <f>IFERROR(N(IFERROR(INDEX($A128:$R128,MATCH("Probability",$A$1:$R$1,0)),"")),0)</f>
        <v/>
      </c>
      <c r="X128" s="52">
        <f>IF(T128="Open",U128*W128,0)</f>
        <v/>
      </c>
      <c r="Y128" s="52">
        <f>IF(T128="Won",IFERROR(N(IFERROR(INDEX($A128:$R128,MATCH("Still to Invoice",$A$1:$R$1,0)),"")),0),0)</f>
        <v/>
      </c>
      <c r="Z128" s="55">
        <f>IFERROR(EOMONTH(IFERROR(INDEX($A128:$R128,MATCH("Expected Invoice Month",$A$1:$R$1,0)),""),0),"")</f>
        <v/>
      </c>
      <c r="AA128" s="9">
        <f>IFERROR(INDEX($A128:$R128,MATCH("Cost Centre",$A$1:$R$1,0)),"")&amp;""</f>
        <v/>
      </c>
      <c r="AB128" s="9">
        <f>IFERROR(INDEX($A128:$R128,MATCH("Pipeline Stage",$A$1:$R$1,0)),"")&amp;""</f>
        <v/>
      </c>
      <c r="AC128" s="9">
        <f>IFERROR(INDEX($A128:$R128,MATCH("Client",$A$1:$R$1,0)),"")&amp;""</f>
        <v/>
      </c>
      <c r="AD128" s="9">
        <f>IFERROR(INDEX($A128:$R128,MATCH("Description",$A$1:$R$1,0)),"")&amp;""</f>
        <v/>
      </c>
      <c r="AE128" s="9">
        <f>IFERROR(INDEX($A128:$R128,MATCH("Job Number",$A$1:$R$1,0)),"")&amp;""</f>
        <v/>
      </c>
      <c r="AF128" s="54">
        <f>IF(AND(T128="Open",ISNUMBER(Z128),Z128&lt;EOMONTH(set_AsAt,-1)+1),3,0)</f>
        <v/>
      </c>
      <c r="AG128" s="54">
        <f>IF(AND(T128="Open",U128&gt;0,U128&gt;=set_DealShare*SUMIFS($U$2:$U$601,$T$2:$T$601,"Open")),3,0)</f>
        <v/>
      </c>
      <c r="AH128" s="54">
        <f>IF(AND(T128="Open",U128&gt;=set_BigValue,W128&lt;=set_EarlyProb),2,0)</f>
        <v/>
      </c>
      <c r="AI128" s="54">
        <f>IF(AND(OR(T128="Open",T128="Won"),V128=0),2,0)</f>
        <v/>
      </c>
      <c r="AJ128" s="54">
        <f>IF(AND(T128="Won",Y128&gt;0.5,ISNUMBER(Z128),Z128&lt;EOMONTH(set_AsAt,-1)+1),3,0)</f>
        <v/>
      </c>
      <c r="AK128" s="54">
        <f>IF(AND(T128="Won",Y128&lt;-1),1,0)</f>
        <v/>
      </c>
      <c r="AL128" s="54">
        <f>SUM(AF128:AK128)</f>
        <v/>
      </c>
      <c r="AM128" s="9">
        <f>IF(AL128&gt;=set_ScoreHigh,"High",IF(AL128&gt;=set_ScoreMed,"Medium",IF(AL128&gt;0,"Low","OK")))</f>
        <v/>
      </c>
      <c r="AN128" s="54">
        <f>IF(OR(T128="Open",AND(T128="Won",ABS(Y128)&gt;0.5)),1,0)</f>
        <v/>
      </c>
      <c r="AO128" s="52">
        <f>IF(T128="Open",IF(V128=0,0,X128),IF(T128="Won",MAX(0,Y128),0))</f>
        <v/>
      </c>
      <c r="AP128" s="54">
        <f>IF(AN128=1,AL128*1E+9+U128+ROW()/1E+6,"")</f>
        <v/>
      </c>
      <c r="AQ128" s="9">
        <f>MID(IF(AF128&gt;0,"; Expected month passed - update Zoho","")&amp;IF(AG128&gt;0,"; "&amp;TEXT(U128/MAX(1,SUMIFS($U$2:$U$601,$T$2:$T$601,"Open")),"0%")&amp;" of open pipeline in one deal","")&amp;IF(AH128&gt;0,"; Large deal at an early stage","")&amp;IF(AI128&gt;0,"; No amount in Zoho","")&amp;IF(AJ128&gt;0,"; Won, invoice month passed, not fully invoiced","")&amp;IF(AK128&gt;0,"; Xero invoiced more than the deal value",""),3,300)</f>
        <v/>
      </c>
    </row>
    <row r="129">
      <c r="A129" s="51" t="n">
        <v>46234</v>
      </c>
      <c r="B129" t="inlineStr">
        <is>
          <t>ZOHO</t>
        </is>
      </c>
      <c r="C129" t="inlineStr">
        <is>
          <t>26041404</t>
        </is>
      </c>
      <c r="D129" t="inlineStr">
        <is>
          <t>Wayflyer</t>
        </is>
      </c>
      <c r="E129" t="inlineStr">
        <is>
          <t>26041404</t>
        </is>
      </c>
      <c r="G129" t="inlineStr">
        <is>
          <t>INTEGRATION</t>
        </is>
      </c>
      <c r="H129" t="inlineStr">
        <is>
          <t>Wayflyer | AV Install - 26041404</t>
        </is>
      </c>
      <c r="I129" t="n">
        <v>58977</v>
      </c>
      <c r="J129" t="inlineStr">
        <is>
          <t>Lost</t>
        </is>
      </c>
      <c r="L129" s="51" t="n">
        <v>46234</v>
      </c>
      <c r="M129" t="n">
        <v>0</v>
      </c>
      <c r="P129" t="inlineStr">
        <is>
          <t>Closed Lost</t>
        </is>
      </c>
      <c r="Q129" t="n">
        <v>0</v>
      </c>
      <c r="R129" t="n">
        <v>0</v>
      </c>
      <c r="T129" s="9">
        <f>IFERROR(INDEX($A129:$R129,MATCH("Status",$A$1:$R$1,0)),"")&amp;""</f>
        <v/>
      </c>
      <c r="U129" s="52">
        <f>IFERROR(N(IFERROR(INDEX($A129:$R129,MATCH("Value Ex GST",$A$1:$R$1,0)),"")),0)</f>
        <v/>
      </c>
      <c r="V129" s="54">
        <f>IF(AND(T129&lt;&gt;"",IFERROR(INDEX($A129:$R129,MATCH("Value Ex GST",$A$1:$R$1,0)),"")&amp;""&lt;&gt;""),1,0)</f>
        <v/>
      </c>
      <c r="W129" s="56">
        <f>IFERROR(N(IFERROR(INDEX($A129:$R129,MATCH("Probability",$A$1:$R$1,0)),"")),0)</f>
        <v/>
      </c>
      <c r="X129" s="52">
        <f>IF(T129="Open",U129*W129,0)</f>
        <v/>
      </c>
      <c r="Y129" s="52">
        <f>IF(T129="Won",IFERROR(N(IFERROR(INDEX($A129:$R129,MATCH("Still to Invoice",$A$1:$R$1,0)),"")),0),0)</f>
        <v/>
      </c>
      <c r="Z129" s="55">
        <f>IFERROR(EOMONTH(IFERROR(INDEX($A129:$R129,MATCH("Expected Invoice Month",$A$1:$R$1,0)),""),0),"")</f>
        <v/>
      </c>
      <c r="AA129" s="9">
        <f>IFERROR(INDEX($A129:$R129,MATCH("Cost Centre",$A$1:$R$1,0)),"")&amp;""</f>
        <v/>
      </c>
      <c r="AB129" s="9">
        <f>IFERROR(INDEX($A129:$R129,MATCH("Pipeline Stage",$A$1:$R$1,0)),"")&amp;""</f>
        <v/>
      </c>
      <c r="AC129" s="9">
        <f>IFERROR(INDEX($A129:$R129,MATCH("Client",$A$1:$R$1,0)),"")&amp;""</f>
        <v/>
      </c>
      <c r="AD129" s="9">
        <f>IFERROR(INDEX($A129:$R129,MATCH("Description",$A$1:$R$1,0)),"")&amp;""</f>
        <v/>
      </c>
      <c r="AE129" s="9">
        <f>IFERROR(INDEX($A129:$R129,MATCH("Job Number",$A$1:$R$1,0)),"")&amp;""</f>
        <v/>
      </c>
      <c r="AF129" s="54">
        <f>IF(AND(T129="Open",ISNUMBER(Z129),Z129&lt;EOMONTH(set_AsAt,-1)+1),3,0)</f>
        <v/>
      </c>
      <c r="AG129" s="54">
        <f>IF(AND(T129="Open",U129&gt;0,U129&gt;=set_DealShare*SUMIFS($U$2:$U$601,$T$2:$T$601,"Open")),3,0)</f>
        <v/>
      </c>
      <c r="AH129" s="54">
        <f>IF(AND(T129="Open",U129&gt;=set_BigValue,W129&lt;=set_EarlyProb),2,0)</f>
        <v/>
      </c>
      <c r="AI129" s="54">
        <f>IF(AND(OR(T129="Open",T129="Won"),V129=0),2,0)</f>
        <v/>
      </c>
      <c r="AJ129" s="54">
        <f>IF(AND(T129="Won",Y129&gt;0.5,ISNUMBER(Z129),Z129&lt;EOMONTH(set_AsAt,-1)+1),3,0)</f>
        <v/>
      </c>
      <c r="AK129" s="54">
        <f>IF(AND(T129="Won",Y129&lt;-1),1,0)</f>
        <v/>
      </c>
      <c r="AL129" s="54">
        <f>SUM(AF129:AK129)</f>
        <v/>
      </c>
      <c r="AM129" s="9">
        <f>IF(AL129&gt;=set_ScoreHigh,"High",IF(AL129&gt;=set_ScoreMed,"Medium",IF(AL129&gt;0,"Low","OK")))</f>
        <v/>
      </c>
      <c r="AN129" s="54">
        <f>IF(OR(T129="Open",AND(T129="Won",ABS(Y129)&gt;0.5)),1,0)</f>
        <v/>
      </c>
      <c r="AO129" s="52">
        <f>IF(T129="Open",IF(V129=0,0,X129),IF(T129="Won",MAX(0,Y129),0))</f>
        <v/>
      </c>
      <c r="AP129" s="54">
        <f>IF(AN129=1,AL129*1E+9+U129+ROW()/1E+6,"")</f>
        <v/>
      </c>
      <c r="AQ129" s="9">
        <f>MID(IF(AF129&gt;0,"; Expected month passed - update Zoho","")&amp;IF(AG129&gt;0,"; "&amp;TEXT(U129/MAX(1,SUMIFS($U$2:$U$601,$T$2:$T$601,"Open")),"0%")&amp;" of open pipeline in one deal","")&amp;IF(AH129&gt;0,"; Large deal at an early stage","")&amp;IF(AI129&gt;0,"; No amount in Zoho","")&amp;IF(AJ129&gt;0,"; Won, invoice month passed, not fully invoiced","")&amp;IF(AK129&gt;0,"; Xero invoiced more than the deal value",""),3,300)</f>
        <v/>
      </c>
    </row>
    <row r="130">
      <c r="A130" s="51" t="n">
        <v>46295</v>
      </c>
      <c r="B130" t="inlineStr">
        <is>
          <t>ZOHO</t>
        </is>
      </c>
      <c r="C130" t="inlineStr">
        <is>
          <t>26072905</t>
        </is>
      </c>
      <c r="D130" t="inlineStr">
        <is>
          <t>EY</t>
        </is>
      </c>
      <c r="E130" t="inlineStr">
        <is>
          <t>26072905</t>
        </is>
      </c>
      <c r="G130" t="inlineStr">
        <is>
          <t>PRODUCTION</t>
        </is>
      </c>
      <c r="H130" t="inlineStr">
        <is>
          <t>EY - Event Support Tech (BNE) - 7.10.26</t>
        </is>
      </c>
      <c r="I130" t="n">
        <v>2185</v>
      </c>
      <c r="J130" t="inlineStr">
        <is>
          <t>Lost</t>
        </is>
      </c>
      <c r="L130" s="51" t="n">
        <v>46326</v>
      </c>
      <c r="M130" t="n">
        <v>0</v>
      </c>
      <c r="O130" t="inlineStr">
        <is>
          <t>Invoice month taken from the event date in the deal name</t>
        </is>
      </c>
      <c r="P130" t="inlineStr">
        <is>
          <t>Closed Lost</t>
        </is>
      </c>
      <c r="Q130" t="n">
        <v>0</v>
      </c>
      <c r="R130" t="n">
        <v>0</v>
      </c>
      <c r="T130" s="9">
        <f>IFERROR(INDEX($A130:$R130,MATCH("Status",$A$1:$R$1,0)),"")&amp;""</f>
        <v/>
      </c>
      <c r="U130" s="52">
        <f>IFERROR(N(IFERROR(INDEX($A130:$R130,MATCH("Value Ex GST",$A$1:$R$1,0)),"")),0)</f>
        <v/>
      </c>
      <c r="V130" s="54">
        <f>IF(AND(T130&lt;&gt;"",IFERROR(INDEX($A130:$R130,MATCH("Value Ex GST",$A$1:$R$1,0)),"")&amp;""&lt;&gt;""),1,0)</f>
        <v/>
      </c>
      <c r="W130" s="56">
        <f>IFERROR(N(IFERROR(INDEX($A130:$R130,MATCH("Probability",$A$1:$R$1,0)),"")),0)</f>
        <v/>
      </c>
      <c r="X130" s="52">
        <f>IF(T130="Open",U130*W130,0)</f>
        <v/>
      </c>
      <c r="Y130" s="52">
        <f>IF(T130="Won",IFERROR(N(IFERROR(INDEX($A130:$R130,MATCH("Still to Invoice",$A$1:$R$1,0)),"")),0),0)</f>
        <v/>
      </c>
      <c r="Z130" s="55">
        <f>IFERROR(EOMONTH(IFERROR(INDEX($A130:$R130,MATCH("Expected Invoice Month",$A$1:$R$1,0)),""),0),"")</f>
        <v/>
      </c>
      <c r="AA130" s="9">
        <f>IFERROR(INDEX($A130:$R130,MATCH("Cost Centre",$A$1:$R$1,0)),"")&amp;""</f>
        <v/>
      </c>
      <c r="AB130" s="9">
        <f>IFERROR(INDEX($A130:$R130,MATCH("Pipeline Stage",$A$1:$R$1,0)),"")&amp;""</f>
        <v/>
      </c>
      <c r="AC130" s="9">
        <f>IFERROR(INDEX($A130:$R130,MATCH("Client",$A$1:$R$1,0)),"")&amp;""</f>
        <v/>
      </c>
      <c r="AD130" s="9">
        <f>IFERROR(INDEX($A130:$R130,MATCH("Description",$A$1:$R$1,0)),"")&amp;""</f>
        <v/>
      </c>
      <c r="AE130" s="9">
        <f>IFERROR(INDEX($A130:$R130,MATCH("Job Number",$A$1:$R$1,0)),"")&amp;""</f>
        <v/>
      </c>
      <c r="AF130" s="54">
        <f>IF(AND(T130="Open",ISNUMBER(Z130),Z130&lt;EOMONTH(set_AsAt,-1)+1),3,0)</f>
        <v/>
      </c>
      <c r="AG130" s="54">
        <f>IF(AND(T130="Open",U130&gt;0,U130&gt;=set_DealShare*SUMIFS($U$2:$U$601,$T$2:$T$601,"Open")),3,0)</f>
        <v/>
      </c>
      <c r="AH130" s="54">
        <f>IF(AND(T130="Open",U130&gt;=set_BigValue,W130&lt;=set_EarlyProb),2,0)</f>
        <v/>
      </c>
      <c r="AI130" s="54">
        <f>IF(AND(OR(T130="Open",T130="Won"),V130=0),2,0)</f>
        <v/>
      </c>
      <c r="AJ130" s="54">
        <f>IF(AND(T130="Won",Y130&gt;0.5,ISNUMBER(Z130),Z130&lt;EOMONTH(set_AsAt,-1)+1),3,0)</f>
        <v/>
      </c>
      <c r="AK130" s="54">
        <f>IF(AND(T130="Won",Y130&lt;-1),1,0)</f>
        <v/>
      </c>
      <c r="AL130" s="54">
        <f>SUM(AF130:AK130)</f>
        <v/>
      </c>
      <c r="AM130" s="9">
        <f>IF(AL130&gt;=set_ScoreHigh,"High",IF(AL130&gt;=set_ScoreMed,"Medium",IF(AL130&gt;0,"Low","OK")))</f>
        <v/>
      </c>
      <c r="AN130" s="54">
        <f>IF(OR(T130="Open",AND(T130="Won",ABS(Y130)&gt;0.5)),1,0)</f>
        <v/>
      </c>
      <c r="AO130" s="52">
        <f>IF(T130="Open",IF(V130=0,0,X130),IF(T130="Won",MAX(0,Y130),0))</f>
        <v/>
      </c>
      <c r="AP130" s="54">
        <f>IF(AN130=1,AL130*1E+9+U130+ROW()/1E+6,"")</f>
        <v/>
      </c>
      <c r="AQ130" s="9">
        <f>MID(IF(AF130&gt;0,"; Expected month passed - update Zoho","")&amp;IF(AG130&gt;0,"; "&amp;TEXT(U130/MAX(1,SUMIFS($U$2:$U$601,$T$2:$T$601,"Open")),"0%")&amp;" of open pipeline in one deal","")&amp;IF(AH130&gt;0,"; Large deal at an early stage","")&amp;IF(AI130&gt;0,"; No amount in Zoho","")&amp;IF(AJ130&gt;0,"; Won, invoice month passed, not fully invoiced","")&amp;IF(AK130&gt;0,"; Xero invoiced more than the deal value",""),3,300)</f>
        <v/>
      </c>
    </row>
    <row r="131">
      <c r="A131" s="51" t="n">
        <v>46326</v>
      </c>
      <c r="B131" t="inlineStr">
        <is>
          <t>ZOHO</t>
        </is>
      </c>
      <c r="C131" t="inlineStr">
        <is>
          <t>26091003</t>
        </is>
      </c>
      <c r="D131" t="inlineStr">
        <is>
          <t>The Lottery Corporation</t>
        </is>
      </c>
      <c r="E131" t="inlineStr">
        <is>
          <t>26091003</t>
        </is>
      </c>
      <c r="G131" t="inlineStr">
        <is>
          <t>VIDEO</t>
        </is>
      </c>
      <c r="H131" t="inlineStr">
        <is>
          <t>TLC - 2026 AGM - Photography 13.10.2026</t>
        </is>
      </c>
      <c r="I131" t="n">
        <v>0</v>
      </c>
      <c r="J131" t="inlineStr">
        <is>
          <t>Lost</t>
        </is>
      </c>
      <c r="L131" s="51" t="n">
        <v>46326</v>
      </c>
      <c r="M131" t="n">
        <v>0</v>
      </c>
      <c r="P131" t="inlineStr">
        <is>
          <t>Closed Lost</t>
        </is>
      </c>
      <c r="Q131" t="n">
        <v>0</v>
      </c>
      <c r="R131" t="n">
        <v>0</v>
      </c>
      <c r="T131" s="9">
        <f>IFERROR(INDEX($A131:$R131,MATCH("Status",$A$1:$R$1,0)),"")&amp;""</f>
        <v/>
      </c>
      <c r="U131" s="52">
        <f>IFERROR(N(IFERROR(INDEX($A131:$R131,MATCH("Value Ex GST",$A$1:$R$1,0)),"")),0)</f>
        <v/>
      </c>
      <c r="V131" s="54">
        <f>IF(AND(T131&lt;&gt;"",IFERROR(INDEX($A131:$R131,MATCH("Value Ex GST",$A$1:$R$1,0)),"")&amp;""&lt;&gt;""),1,0)</f>
        <v/>
      </c>
      <c r="W131" s="56">
        <f>IFERROR(N(IFERROR(INDEX($A131:$R131,MATCH("Probability",$A$1:$R$1,0)),"")),0)</f>
        <v/>
      </c>
      <c r="X131" s="52">
        <f>IF(T131="Open",U131*W131,0)</f>
        <v/>
      </c>
      <c r="Y131" s="52">
        <f>IF(T131="Won",IFERROR(N(IFERROR(INDEX($A131:$R131,MATCH("Still to Invoice",$A$1:$R$1,0)),"")),0),0)</f>
        <v/>
      </c>
      <c r="Z131" s="55">
        <f>IFERROR(EOMONTH(IFERROR(INDEX($A131:$R131,MATCH("Expected Invoice Month",$A$1:$R$1,0)),""),0),"")</f>
        <v/>
      </c>
      <c r="AA131" s="9">
        <f>IFERROR(INDEX($A131:$R131,MATCH("Cost Centre",$A$1:$R$1,0)),"")&amp;""</f>
        <v/>
      </c>
      <c r="AB131" s="9">
        <f>IFERROR(INDEX($A131:$R131,MATCH("Pipeline Stage",$A$1:$R$1,0)),"")&amp;""</f>
        <v/>
      </c>
      <c r="AC131" s="9">
        <f>IFERROR(INDEX($A131:$R131,MATCH("Client",$A$1:$R$1,0)),"")&amp;""</f>
        <v/>
      </c>
      <c r="AD131" s="9">
        <f>IFERROR(INDEX($A131:$R131,MATCH("Description",$A$1:$R$1,0)),"")&amp;""</f>
        <v/>
      </c>
      <c r="AE131" s="9">
        <f>IFERROR(INDEX($A131:$R131,MATCH("Job Number",$A$1:$R$1,0)),"")&amp;""</f>
        <v/>
      </c>
      <c r="AF131" s="54">
        <f>IF(AND(T131="Open",ISNUMBER(Z131),Z131&lt;EOMONTH(set_AsAt,-1)+1),3,0)</f>
        <v/>
      </c>
      <c r="AG131" s="54">
        <f>IF(AND(T131="Open",U131&gt;0,U131&gt;=set_DealShare*SUMIFS($U$2:$U$601,$T$2:$T$601,"Open")),3,0)</f>
        <v/>
      </c>
      <c r="AH131" s="54">
        <f>IF(AND(T131="Open",U131&gt;=set_BigValue,W131&lt;=set_EarlyProb),2,0)</f>
        <v/>
      </c>
      <c r="AI131" s="54">
        <f>IF(AND(OR(T131="Open",T131="Won"),V131=0),2,0)</f>
        <v/>
      </c>
      <c r="AJ131" s="54">
        <f>IF(AND(T131="Won",Y131&gt;0.5,ISNUMBER(Z131),Z131&lt;EOMONTH(set_AsAt,-1)+1),3,0)</f>
        <v/>
      </c>
      <c r="AK131" s="54">
        <f>IF(AND(T131="Won",Y131&lt;-1),1,0)</f>
        <v/>
      </c>
      <c r="AL131" s="54">
        <f>SUM(AF131:AK131)</f>
        <v/>
      </c>
      <c r="AM131" s="9">
        <f>IF(AL131&gt;=set_ScoreHigh,"High",IF(AL131&gt;=set_ScoreMed,"Medium",IF(AL131&gt;0,"Low","OK")))</f>
        <v/>
      </c>
      <c r="AN131" s="54">
        <f>IF(OR(T131="Open",AND(T131="Won",ABS(Y131)&gt;0.5)),1,0)</f>
        <v/>
      </c>
      <c r="AO131" s="52">
        <f>IF(T131="Open",IF(V131=0,0,X131),IF(T131="Won",MAX(0,Y131),0))</f>
        <v/>
      </c>
      <c r="AP131" s="54">
        <f>IF(AN131=1,AL131*1E+9+U131+ROW()/1E+6,"")</f>
        <v/>
      </c>
      <c r="AQ131" s="9">
        <f>MID(IF(AF131&gt;0,"; Expected month passed - update Zoho","")&amp;IF(AG131&gt;0,"; "&amp;TEXT(U131/MAX(1,SUMIFS($U$2:$U$601,$T$2:$T$601,"Open")),"0%")&amp;" of open pipeline in one deal","")&amp;IF(AH131&gt;0,"; Large deal at an early stage","")&amp;IF(AI131&gt;0,"; No amount in Zoho","")&amp;IF(AJ131&gt;0,"; Won, invoice month passed, not fully invoiced","")&amp;IF(AK131&gt;0,"; Xero invoiced more than the deal value",""),3,300)</f>
        <v/>
      </c>
    </row>
    <row r="132">
      <c r="A132" s="51" t="n">
        <v>46265</v>
      </c>
      <c r="B132" t="inlineStr">
        <is>
          <t>ZOHO</t>
        </is>
      </c>
      <c r="C132" t="inlineStr">
        <is>
          <t>26071305</t>
        </is>
      </c>
      <c r="D132" t="inlineStr">
        <is>
          <t>Sydney AV Technoloies</t>
        </is>
      </c>
      <c r="E132" t="inlineStr">
        <is>
          <t>26071305</t>
        </is>
      </c>
      <c r="G132" t="inlineStr">
        <is>
          <t>PRODUCTION</t>
        </is>
      </c>
      <c r="H132" t="inlineStr">
        <is>
          <t>Sydney AV Technologies - OTIS Townhall - 15.8.26</t>
        </is>
      </c>
      <c r="I132" t="n">
        <v>8850</v>
      </c>
      <c r="J132" t="inlineStr">
        <is>
          <t>Lost</t>
        </is>
      </c>
      <c r="L132" s="51" t="n">
        <v>46265</v>
      </c>
      <c r="M132" t="n">
        <v>0</v>
      </c>
      <c r="P132" t="inlineStr">
        <is>
          <t>Closed Lost</t>
        </is>
      </c>
      <c r="Q132" t="n">
        <v>0</v>
      </c>
      <c r="R132" t="n">
        <v>0</v>
      </c>
      <c r="T132" s="9">
        <f>IFERROR(INDEX($A132:$R132,MATCH("Status",$A$1:$R$1,0)),"")&amp;""</f>
        <v/>
      </c>
      <c r="U132" s="52">
        <f>IFERROR(N(IFERROR(INDEX($A132:$R132,MATCH("Value Ex GST",$A$1:$R$1,0)),"")),0)</f>
        <v/>
      </c>
      <c r="V132" s="54">
        <f>IF(AND(T132&lt;&gt;"",IFERROR(INDEX($A132:$R132,MATCH("Value Ex GST",$A$1:$R$1,0)),"")&amp;""&lt;&gt;""),1,0)</f>
        <v/>
      </c>
      <c r="W132" s="56">
        <f>IFERROR(N(IFERROR(INDEX($A132:$R132,MATCH("Probability",$A$1:$R$1,0)),"")),0)</f>
        <v/>
      </c>
      <c r="X132" s="52">
        <f>IF(T132="Open",U132*W132,0)</f>
        <v/>
      </c>
      <c r="Y132" s="52">
        <f>IF(T132="Won",IFERROR(N(IFERROR(INDEX($A132:$R132,MATCH("Still to Invoice",$A$1:$R$1,0)),"")),0),0)</f>
        <v/>
      </c>
      <c r="Z132" s="55">
        <f>IFERROR(EOMONTH(IFERROR(INDEX($A132:$R132,MATCH("Expected Invoice Month",$A$1:$R$1,0)),""),0),"")</f>
        <v/>
      </c>
      <c r="AA132" s="9">
        <f>IFERROR(INDEX($A132:$R132,MATCH("Cost Centre",$A$1:$R$1,0)),"")&amp;""</f>
        <v/>
      </c>
      <c r="AB132" s="9">
        <f>IFERROR(INDEX($A132:$R132,MATCH("Pipeline Stage",$A$1:$R$1,0)),"")&amp;""</f>
        <v/>
      </c>
      <c r="AC132" s="9">
        <f>IFERROR(INDEX($A132:$R132,MATCH("Client",$A$1:$R$1,0)),"")&amp;""</f>
        <v/>
      </c>
      <c r="AD132" s="9">
        <f>IFERROR(INDEX($A132:$R132,MATCH("Description",$A$1:$R$1,0)),"")&amp;""</f>
        <v/>
      </c>
      <c r="AE132" s="9">
        <f>IFERROR(INDEX($A132:$R132,MATCH("Job Number",$A$1:$R$1,0)),"")&amp;""</f>
        <v/>
      </c>
      <c r="AF132" s="54">
        <f>IF(AND(T132="Open",ISNUMBER(Z132),Z132&lt;EOMONTH(set_AsAt,-1)+1),3,0)</f>
        <v/>
      </c>
      <c r="AG132" s="54">
        <f>IF(AND(T132="Open",U132&gt;0,U132&gt;=set_DealShare*SUMIFS($U$2:$U$601,$T$2:$T$601,"Open")),3,0)</f>
        <v/>
      </c>
      <c r="AH132" s="54">
        <f>IF(AND(T132="Open",U132&gt;=set_BigValue,W132&lt;=set_EarlyProb),2,0)</f>
        <v/>
      </c>
      <c r="AI132" s="54">
        <f>IF(AND(OR(T132="Open",T132="Won"),V132=0),2,0)</f>
        <v/>
      </c>
      <c r="AJ132" s="54">
        <f>IF(AND(T132="Won",Y132&gt;0.5,ISNUMBER(Z132),Z132&lt;EOMONTH(set_AsAt,-1)+1),3,0)</f>
        <v/>
      </c>
      <c r="AK132" s="54">
        <f>IF(AND(T132="Won",Y132&lt;-1),1,0)</f>
        <v/>
      </c>
      <c r="AL132" s="54">
        <f>SUM(AF132:AK132)</f>
        <v/>
      </c>
      <c r="AM132" s="9">
        <f>IF(AL132&gt;=set_ScoreHigh,"High",IF(AL132&gt;=set_ScoreMed,"Medium",IF(AL132&gt;0,"Low","OK")))</f>
        <v/>
      </c>
      <c r="AN132" s="54">
        <f>IF(OR(T132="Open",AND(T132="Won",ABS(Y132)&gt;0.5)),1,0)</f>
        <v/>
      </c>
      <c r="AO132" s="52">
        <f>IF(T132="Open",IF(V132=0,0,X132),IF(T132="Won",MAX(0,Y132),0))</f>
        <v/>
      </c>
      <c r="AP132" s="54">
        <f>IF(AN132=1,AL132*1E+9+U132+ROW()/1E+6,"")</f>
        <v/>
      </c>
      <c r="AQ132" s="9">
        <f>MID(IF(AF132&gt;0,"; Expected month passed - update Zoho","")&amp;IF(AG132&gt;0,"; "&amp;TEXT(U132/MAX(1,SUMIFS($U$2:$U$601,$T$2:$T$601,"Open")),"0%")&amp;" of open pipeline in one deal","")&amp;IF(AH132&gt;0,"; Large deal at an early stage","")&amp;IF(AI132&gt;0,"; No amount in Zoho","")&amp;IF(AJ132&gt;0,"; Won, invoice month passed, not fully invoiced","")&amp;IF(AK132&gt;0,"; Xero invoiced more than the deal value",""),3,300)</f>
        <v/>
      </c>
    </row>
    <row r="133">
      <c r="A133" s="51" t="n">
        <v>46265</v>
      </c>
      <c r="B133" t="inlineStr">
        <is>
          <t>ZOHO</t>
        </is>
      </c>
      <c r="C133" t="inlineStr">
        <is>
          <t>26071402</t>
        </is>
      </c>
      <c r="D133" t="inlineStr">
        <is>
          <t>Elkiem</t>
        </is>
      </c>
      <c r="E133" t="inlineStr">
        <is>
          <t>26071402</t>
        </is>
      </c>
      <c r="G133" t="inlineStr">
        <is>
          <t>PRODUCTION</t>
        </is>
      </c>
      <c r="H133" t="inlineStr">
        <is>
          <t>Elkiem - Studio Support - 9.9.26</t>
        </is>
      </c>
      <c r="I133" t="n">
        <v>380</v>
      </c>
      <c r="J133" t="inlineStr">
        <is>
          <t>Lost</t>
        </is>
      </c>
      <c r="L133" s="51" t="n">
        <v>46295</v>
      </c>
      <c r="M133" t="n">
        <v>0</v>
      </c>
      <c r="O133" t="inlineStr">
        <is>
          <t>Invoice month taken from the event date in the deal name</t>
        </is>
      </c>
      <c r="P133" t="inlineStr">
        <is>
          <t>Closed Lost</t>
        </is>
      </c>
      <c r="Q133" t="n">
        <v>0</v>
      </c>
      <c r="R133" t="n">
        <v>0</v>
      </c>
      <c r="T133" s="9">
        <f>IFERROR(INDEX($A133:$R133,MATCH("Status",$A$1:$R$1,0)),"")&amp;""</f>
        <v/>
      </c>
      <c r="U133" s="52">
        <f>IFERROR(N(IFERROR(INDEX($A133:$R133,MATCH("Value Ex GST",$A$1:$R$1,0)),"")),0)</f>
        <v/>
      </c>
      <c r="V133" s="54">
        <f>IF(AND(T133&lt;&gt;"",IFERROR(INDEX($A133:$R133,MATCH("Value Ex GST",$A$1:$R$1,0)),"")&amp;""&lt;&gt;""),1,0)</f>
        <v/>
      </c>
      <c r="W133" s="56">
        <f>IFERROR(N(IFERROR(INDEX($A133:$R133,MATCH("Probability",$A$1:$R$1,0)),"")),0)</f>
        <v/>
      </c>
      <c r="X133" s="52">
        <f>IF(T133="Open",U133*W133,0)</f>
        <v/>
      </c>
      <c r="Y133" s="52">
        <f>IF(T133="Won",IFERROR(N(IFERROR(INDEX($A133:$R133,MATCH("Still to Invoice",$A$1:$R$1,0)),"")),0),0)</f>
        <v/>
      </c>
      <c r="Z133" s="55">
        <f>IFERROR(EOMONTH(IFERROR(INDEX($A133:$R133,MATCH("Expected Invoice Month",$A$1:$R$1,0)),""),0),"")</f>
        <v/>
      </c>
      <c r="AA133" s="9">
        <f>IFERROR(INDEX($A133:$R133,MATCH("Cost Centre",$A$1:$R$1,0)),"")&amp;""</f>
        <v/>
      </c>
      <c r="AB133" s="9">
        <f>IFERROR(INDEX($A133:$R133,MATCH("Pipeline Stage",$A$1:$R$1,0)),"")&amp;""</f>
        <v/>
      </c>
      <c r="AC133" s="9">
        <f>IFERROR(INDEX($A133:$R133,MATCH("Client",$A$1:$R$1,0)),"")&amp;""</f>
        <v/>
      </c>
      <c r="AD133" s="9">
        <f>IFERROR(INDEX($A133:$R133,MATCH("Description",$A$1:$R$1,0)),"")&amp;""</f>
        <v/>
      </c>
      <c r="AE133" s="9">
        <f>IFERROR(INDEX($A133:$R133,MATCH("Job Number",$A$1:$R$1,0)),"")&amp;""</f>
        <v/>
      </c>
      <c r="AF133" s="54">
        <f>IF(AND(T133="Open",ISNUMBER(Z133),Z133&lt;EOMONTH(set_AsAt,-1)+1),3,0)</f>
        <v/>
      </c>
      <c r="AG133" s="54">
        <f>IF(AND(T133="Open",U133&gt;0,U133&gt;=set_DealShare*SUMIFS($U$2:$U$601,$T$2:$T$601,"Open")),3,0)</f>
        <v/>
      </c>
      <c r="AH133" s="54">
        <f>IF(AND(T133="Open",U133&gt;=set_BigValue,W133&lt;=set_EarlyProb),2,0)</f>
        <v/>
      </c>
      <c r="AI133" s="54">
        <f>IF(AND(OR(T133="Open",T133="Won"),V133=0),2,0)</f>
        <v/>
      </c>
      <c r="AJ133" s="54">
        <f>IF(AND(T133="Won",Y133&gt;0.5,ISNUMBER(Z133),Z133&lt;EOMONTH(set_AsAt,-1)+1),3,0)</f>
        <v/>
      </c>
      <c r="AK133" s="54">
        <f>IF(AND(T133="Won",Y133&lt;-1),1,0)</f>
        <v/>
      </c>
      <c r="AL133" s="54">
        <f>SUM(AF133:AK133)</f>
        <v/>
      </c>
      <c r="AM133" s="9">
        <f>IF(AL133&gt;=set_ScoreHigh,"High",IF(AL133&gt;=set_ScoreMed,"Medium",IF(AL133&gt;0,"Low","OK")))</f>
        <v/>
      </c>
      <c r="AN133" s="54">
        <f>IF(OR(T133="Open",AND(T133="Won",ABS(Y133)&gt;0.5)),1,0)</f>
        <v/>
      </c>
      <c r="AO133" s="52">
        <f>IF(T133="Open",IF(V133=0,0,X133),IF(T133="Won",MAX(0,Y133),0))</f>
        <v/>
      </c>
      <c r="AP133" s="54">
        <f>IF(AN133=1,AL133*1E+9+U133+ROW()/1E+6,"")</f>
        <v/>
      </c>
      <c r="AQ133" s="9">
        <f>MID(IF(AF133&gt;0,"; Expected month passed - update Zoho","")&amp;IF(AG133&gt;0,"; "&amp;TEXT(U133/MAX(1,SUMIFS($U$2:$U$601,$T$2:$T$601,"Open")),"0%")&amp;" of open pipeline in one deal","")&amp;IF(AH133&gt;0,"; Large deal at an early stage","")&amp;IF(AI133&gt;0,"; No amount in Zoho","")&amp;IF(AJ133&gt;0,"; Won, invoice month passed, not fully invoiced","")&amp;IF(AK133&gt;0,"; Xero invoiced more than the deal value",""),3,300)</f>
        <v/>
      </c>
    </row>
    <row r="134">
      <c r="A134" s="51" t="n">
        <v>46326</v>
      </c>
      <c r="B134" t="inlineStr">
        <is>
          <t>ZOHO</t>
        </is>
      </c>
      <c r="C134" t="inlineStr">
        <is>
          <t>26091004</t>
        </is>
      </c>
      <c r="D134" t="inlineStr">
        <is>
          <t>The Lottery Corporation</t>
        </is>
      </c>
      <c r="E134" t="inlineStr">
        <is>
          <t>26091004</t>
        </is>
      </c>
      <c r="G134" t="inlineStr">
        <is>
          <t>VIDEO</t>
        </is>
      </c>
      <c r="H134" t="inlineStr">
        <is>
          <t>TLC - 2026 AGM - Event Highlights Video 14.10.2026</t>
        </is>
      </c>
      <c r="I134" t="n">
        <v>0</v>
      </c>
      <c r="J134" t="inlineStr">
        <is>
          <t>Lost</t>
        </is>
      </c>
      <c r="L134" s="51" t="n">
        <v>46326</v>
      </c>
      <c r="M134" t="n">
        <v>0</v>
      </c>
      <c r="P134" t="inlineStr">
        <is>
          <t>Closed Lost</t>
        </is>
      </c>
      <c r="Q134" t="n">
        <v>0</v>
      </c>
      <c r="R134" t="n">
        <v>0</v>
      </c>
      <c r="T134" s="9">
        <f>IFERROR(INDEX($A134:$R134,MATCH("Status",$A$1:$R$1,0)),"")&amp;""</f>
        <v/>
      </c>
      <c r="U134" s="52">
        <f>IFERROR(N(IFERROR(INDEX($A134:$R134,MATCH("Value Ex GST",$A$1:$R$1,0)),"")),0)</f>
        <v/>
      </c>
      <c r="V134" s="54">
        <f>IF(AND(T134&lt;&gt;"",IFERROR(INDEX($A134:$R134,MATCH("Value Ex GST",$A$1:$R$1,0)),"")&amp;""&lt;&gt;""),1,0)</f>
        <v/>
      </c>
      <c r="W134" s="56">
        <f>IFERROR(N(IFERROR(INDEX($A134:$R134,MATCH("Probability",$A$1:$R$1,0)),"")),0)</f>
        <v/>
      </c>
      <c r="X134" s="52">
        <f>IF(T134="Open",U134*W134,0)</f>
        <v/>
      </c>
      <c r="Y134" s="52">
        <f>IF(T134="Won",IFERROR(N(IFERROR(INDEX($A134:$R134,MATCH("Still to Invoice",$A$1:$R$1,0)),"")),0),0)</f>
        <v/>
      </c>
      <c r="Z134" s="55">
        <f>IFERROR(EOMONTH(IFERROR(INDEX($A134:$R134,MATCH("Expected Invoice Month",$A$1:$R$1,0)),""),0),"")</f>
        <v/>
      </c>
      <c r="AA134" s="9">
        <f>IFERROR(INDEX($A134:$R134,MATCH("Cost Centre",$A$1:$R$1,0)),"")&amp;""</f>
        <v/>
      </c>
      <c r="AB134" s="9">
        <f>IFERROR(INDEX($A134:$R134,MATCH("Pipeline Stage",$A$1:$R$1,0)),"")&amp;""</f>
        <v/>
      </c>
      <c r="AC134" s="9">
        <f>IFERROR(INDEX($A134:$R134,MATCH("Client",$A$1:$R$1,0)),"")&amp;""</f>
        <v/>
      </c>
      <c r="AD134" s="9">
        <f>IFERROR(INDEX($A134:$R134,MATCH("Description",$A$1:$R$1,0)),"")&amp;""</f>
        <v/>
      </c>
      <c r="AE134" s="9">
        <f>IFERROR(INDEX($A134:$R134,MATCH("Job Number",$A$1:$R$1,0)),"")&amp;""</f>
        <v/>
      </c>
      <c r="AF134" s="54">
        <f>IF(AND(T134="Open",ISNUMBER(Z134),Z134&lt;EOMONTH(set_AsAt,-1)+1),3,0)</f>
        <v/>
      </c>
      <c r="AG134" s="54">
        <f>IF(AND(T134="Open",U134&gt;0,U134&gt;=set_DealShare*SUMIFS($U$2:$U$601,$T$2:$T$601,"Open")),3,0)</f>
        <v/>
      </c>
      <c r="AH134" s="54">
        <f>IF(AND(T134="Open",U134&gt;=set_BigValue,W134&lt;=set_EarlyProb),2,0)</f>
        <v/>
      </c>
      <c r="AI134" s="54">
        <f>IF(AND(OR(T134="Open",T134="Won"),V134=0),2,0)</f>
        <v/>
      </c>
      <c r="AJ134" s="54">
        <f>IF(AND(T134="Won",Y134&gt;0.5,ISNUMBER(Z134),Z134&lt;EOMONTH(set_AsAt,-1)+1),3,0)</f>
        <v/>
      </c>
      <c r="AK134" s="54">
        <f>IF(AND(T134="Won",Y134&lt;-1),1,0)</f>
        <v/>
      </c>
      <c r="AL134" s="54">
        <f>SUM(AF134:AK134)</f>
        <v/>
      </c>
      <c r="AM134" s="9">
        <f>IF(AL134&gt;=set_ScoreHigh,"High",IF(AL134&gt;=set_ScoreMed,"Medium",IF(AL134&gt;0,"Low","OK")))</f>
        <v/>
      </c>
      <c r="AN134" s="54">
        <f>IF(OR(T134="Open",AND(T134="Won",ABS(Y134)&gt;0.5)),1,0)</f>
        <v/>
      </c>
      <c r="AO134" s="52">
        <f>IF(T134="Open",IF(V134=0,0,X134),IF(T134="Won",MAX(0,Y134),0))</f>
        <v/>
      </c>
      <c r="AP134" s="54">
        <f>IF(AN134=1,AL134*1E+9+U134+ROW()/1E+6,"")</f>
        <v/>
      </c>
      <c r="AQ134" s="9">
        <f>MID(IF(AF134&gt;0,"; Expected month passed - update Zoho","")&amp;IF(AG134&gt;0,"; "&amp;TEXT(U134/MAX(1,SUMIFS($U$2:$U$601,$T$2:$T$601,"Open")),"0%")&amp;" of open pipeline in one deal","")&amp;IF(AH134&gt;0,"; Large deal at an early stage","")&amp;IF(AI134&gt;0,"; No amount in Zoho","")&amp;IF(AJ134&gt;0,"; Won, invoice month passed, not fully invoiced","")&amp;IF(AK134&gt;0,"; Xero invoiced more than the deal value",""),3,300)</f>
        <v/>
      </c>
    </row>
    <row r="135">
      <c r="A135" s="51" t="n">
        <v>46265</v>
      </c>
      <c r="B135" t="inlineStr">
        <is>
          <t>ZOHO</t>
        </is>
      </c>
      <c r="C135" t="inlineStr">
        <is>
          <t>26061603</t>
        </is>
      </c>
      <c r="D135" t="inlineStr">
        <is>
          <t>Ventia</t>
        </is>
      </c>
      <c r="E135" t="inlineStr">
        <is>
          <t>26061603</t>
        </is>
      </c>
      <c r="G135" t="inlineStr">
        <is>
          <t>PRODUCTION</t>
        </is>
      </c>
      <c r="H135" t="inlineStr">
        <is>
          <t>Ventia - Auckland Events Office - 14.9.26</t>
        </is>
      </c>
      <c r="I135" t="n">
        <v>8000</v>
      </c>
      <c r="J135" t="inlineStr">
        <is>
          <t>Lost</t>
        </is>
      </c>
      <c r="L135" s="51" t="n">
        <v>46295</v>
      </c>
      <c r="M135" t="n">
        <v>0</v>
      </c>
      <c r="O135" t="inlineStr">
        <is>
          <t>Invoice month taken from the event date in the deal name</t>
        </is>
      </c>
      <c r="P135" t="inlineStr">
        <is>
          <t>Closed Lost</t>
        </is>
      </c>
      <c r="Q135" t="n">
        <v>0</v>
      </c>
      <c r="R135" t="n">
        <v>0</v>
      </c>
      <c r="T135" s="9">
        <f>IFERROR(INDEX($A135:$R135,MATCH("Status",$A$1:$R$1,0)),"")&amp;""</f>
        <v/>
      </c>
      <c r="U135" s="52">
        <f>IFERROR(N(IFERROR(INDEX($A135:$R135,MATCH("Value Ex GST",$A$1:$R$1,0)),"")),0)</f>
        <v/>
      </c>
      <c r="V135" s="54">
        <f>IF(AND(T135&lt;&gt;"",IFERROR(INDEX($A135:$R135,MATCH("Value Ex GST",$A$1:$R$1,0)),"")&amp;""&lt;&gt;""),1,0)</f>
        <v/>
      </c>
      <c r="W135" s="56">
        <f>IFERROR(N(IFERROR(INDEX($A135:$R135,MATCH("Probability",$A$1:$R$1,0)),"")),0)</f>
        <v/>
      </c>
      <c r="X135" s="52">
        <f>IF(T135="Open",U135*W135,0)</f>
        <v/>
      </c>
      <c r="Y135" s="52">
        <f>IF(T135="Won",IFERROR(N(IFERROR(INDEX($A135:$R135,MATCH("Still to Invoice",$A$1:$R$1,0)),"")),0),0)</f>
        <v/>
      </c>
      <c r="Z135" s="55">
        <f>IFERROR(EOMONTH(IFERROR(INDEX($A135:$R135,MATCH("Expected Invoice Month",$A$1:$R$1,0)),""),0),"")</f>
        <v/>
      </c>
      <c r="AA135" s="9">
        <f>IFERROR(INDEX($A135:$R135,MATCH("Cost Centre",$A$1:$R$1,0)),"")&amp;""</f>
        <v/>
      </c>
      <c r="AB135" s="9">
        <f>IFERROR(INDEX($A135:$R135,MATCH("Pipeline Stage",$A$1:$R$1,0)),"")&amp;""</f>
        <v/>
      </c>
      <c r="AC135" s="9">
        <f>IFERROR(INDEX($A135:$R135,MATCH("Client",$A$1:$R$1,0)),"")&amp;""</f>
        <v/>
      </c>
      <c r="AD135" s="9">
        <f>IFERROR(INDEX($A135:$R135,MATCH("Description",$A$1:$R$1,0)),"")&amp;""</f>
        <v/>
      </c>
      <c r="AE135" s="9">
        <f>IFERROR(INDEX($A135:$R135,MATCH("Job Number",$A$1:$R$1,0)),"")&amp;""</f>
        <v/>
      </c>
      <c r="AF135" s="54">
        <f>IF(AND(T135="Open",ISNUMBER(Z135),Z135&lt;EOMONTH(set_AsAt,-1)+1),3,0)</f>
        <v/>
      </c>
      <c r="AG135" s="54">
        <f>IF(AND(T135="Open",U135&gt;0,U135&gt;=set_DealShare*SUMIFS($U$2:$U$601,$T$2:$T$601,"Open")),3,0)</f>
        <v/>
      </c>
      <c r="AH135" s="54">
        <f>IF(AND(T135="Open",U135&gt;=set_BigValue,W135&lt;=set_EarlyProb),2,0)</f>
        <v/>
      </c>
      <c r="AI135" s="54">
        <f>IF(AND(OR(T135="Open",T135="Won"),V135=0),2,0)</f>
        <v/>
      </c>
      <c r="AJ135" s="54">
        <f>IF(AND(T135="Won",Y135&gt;0.5,ISNUMBER(Z135),Z135&lt;EOMONTH(set_AsAt,-1)+1),3,0)</f>
        <v/>
      </c>
      <c r="AK135" s="54">
        <f>IF(AND(T135="Won",Y135&lt;-1),1,0)</f>
        <v/>
      </c>
      <c r="AL135" s="54">
        <f>SUM(AF135:AK135)</f>
        <v/>
      </c>
      <c r="AM135" s="9">
        <f>IF(AL135&gt;=set_ScoreHigh,"High",IF(AL135&gt;=set_ScoreMed,"Medium",IF(AL135&gt;0,"Low","OK")))</f>
        <v/>
      </c>
      <c r="AN135" s="54">
        <f>IF(OR(T135="Open",AND(T135="Won",ABS(Y135)&gt;0.5)),1,0)</f>
        <v/>
      </c>
      <c r="AO135" s="52">
        <f>IF(T135="Open",IF(V135=0,0,X135),IF(T135="Won",MAX(0,Y135),0))</f>
        <v/>
      </c>
      <c r="AP135" s="54">
        <f>IF(AN135=1,AL135*1E+9+U135+ROW()/1E+6,"")</f>
        <v/>
      </c>
      <c r="AQ135" s="9">
        <f>MID(IF(AF135&gt;0,"; Expected month passed - update Zoho","")&amp;IF(AG135&gt;0,"; "&amp;TEXT(U135/MAX(1,SUMIFS($U$2:$U$601,$T$2:$T$601,"Open")),"0%")&amp;" of open pipeline in one deal","")&amp;IF(AH135&gt;0,"; Large deal at an early stage","")&amp;IF(AI135&gt;0,"; No amount in Zoho","")&amp;IF(AJ135&gt;0,"; Won, invoice month passed, not fully invoiced","")&amp;IF(AK135&gt;0,"; Xero invoiced more than the deal value",""),3,300)</f>
        <v/>
      </c>
    </row>
    <row r="136">
      <c r="A136" s="51" t="n">
        <v>46295</v>
      </c>
      <c r="B136" t="inlineStr">
        <is>
          <t>ZOHO</t>
        </is>
      </c>
      <c r="C136" t="inlineStr">
        <is>
          <t>26071403</t>
        </is>
      </c>
      <c r="D136" t="inlineStr">
        <is>
          <t>Elkiem</t>
        </is>
      </c>
      <c r="E136" t="inlineStr">
        <is>
          <t>26071403</t>
        </is>
      </c>
      <c r="G136" t="inlineStr">
        <is>
          <t>PRODUCTION</t>
        </is>
      </c>
      <c r="H136" t="inlineStr">
        <is>
          <t>Elkiem - Studio Support - 4.11.26</t>
        </is>
      </c>
      <c r="I136" t="n">
        <v>380</v>
      </c>
      <c r="J136" t="inlineStr">
        <is>
          <t>Lost</t>
        </is>
      </c>
      <c r="L136" s="51" t="n">
        <v>46356</v>
      </c>
      <c r="M136" t="n">
        <v>0</v>
      </c>
      <c r="O136" t="inlineStr">
        <is>
          <t>Invoice month taken from the event date in the deal name</t>
        </is>
      </c>
      <c r="P136" t="inlineStr">
        <is>
          <t>Closed Lost</t>
        </is>
      </c>
      <c r="Q136" t="n">
        <v>0</v>
      </c>
      <c r="R136" t="n">
        <v>0</v>
      </c>
      <c r="T136" s="9">
        <f>IFERROR(INDEX($A136:$R136,MATCH("Status",$A$1:$R$1,0)),"")&amp;""</f>
        <v/>
      </c>
      <c r="U136" s="52">
        <f>IFERROR(N(IFERROR(INDEX($A136:$R136,MATCH("Value Ex GST",$A$1:$R$1,0)),"")),0)</f>
        <v/>
      </c>
      <c r="V136" s="54">
        <f>IF(AND(T136&lt;&gt;"",IFERROR(INDEX($A136:$R136,MATCH("Value Ex GST",$A$1:$R$1,0)),"")&amp;""&lt;&gt;""),1,0)</f>
        <v/>
      </c>
      <c r="W136" s="56">
        <f>IFERROR(N(IFERROR(INDEX($A136:$R136,MATCH("Probability",$A$1:$R$1,0)),"")),0)</f>
        <v/>
      </c>
      <c r="X136" s="52">
        <f>IF(T136="Open",U136*W136,0)</f>
        <v/>
      </c>
      <c r="Y136" s="52">
        <f>IF(T136="Won",IFERROR(N(IFERROR(INDEX($A136:$R136,MATCH("Still to Invoice",$A$1:$R$1,0)),"")),0),0)</f>
        <v/>
      </c>
      <c r="Z136" s="55">
        <f>IFERROR(EOMONTH(IFERROR(INDEX($A136:$R136,MATCH("Expected Invoice Month",$A$1:$R$1,0)),""),0),"")</f>
        <v/>
      </c>
      <c r="AA136" s="9">
        <f>IFERROR(INDEX($A136:$R136,MATCH("Cost Centre",$A$1:$R$1,0)),"")&amp;""</f>
        <v/>
      </c>
      <c r="AB136" s="9">
        <f>IFERROR(INDEX($A136:$R136,MATCH("Pipeline Stage",$A$1:$R$1,0)),"")&amp;""</f>
        <v/>
      </c>
      <c r="AC136" s="9">
        <f>IFERROR(INDEX($A136:$R136,MATCH("Client",$A$1:$R$1,0)),"")&amp;""</f>
        <v/>
      </c>
      <c r="AD136" s="9">
        <f>IFERROR(INDEX($A136:$R136,MATCH("Description",$A$1:$R$1,0)),"")&amp;""</f>
        <v/>
      </c>
      <c r="AE136" s="9">
        <f>IFERROR(INDEX($A136:$R136,MATCH("Job Number",$A$1:$R$1,0)),"")&amp;""</f>
        <v/>
      </c>
      <c r="AF136" s="54">
        <f>IF(AND(T136="Open",ISNUMBER(Z136),Z136&lt;EOMONTH(set_AsAt,-1)+1),3,0)</f>
        <v/>
      </c>
      <c r="AG136" s="54">
        <f>IF(AND(T136="Open",U136&gt;0,U136&gt;=set_DealShare*SUMIFS($U$2:$U$601,$T$2:$T$601,"Open")),3,0)</f>
        <v/>
      </c>
      <c r="AH136" s="54">
        <f>IF(AND(T136="Open",U136&gt;=set_BigValue,W136&lt;=set_EarlyProb),2,0)</f>
        <v/>
      </c>
      <c r="AI136" s="54">
        <f>IF(AND(OR(T136="Open",T136="Won"),V136=0),2,0)</f>
        <v/>
      </c>
      <c r="AJ136" s="54">
        <f>IF(AND(T136="Won",Y136&gt;0.5,ISNUMBER(Z136),Z136&lt;EOMONTH(set_AsAt,-1)+1),3,0)</f>
        <v/>
      </c>
      <c r="AK136" s="54">
        <f>IF(AND(T136="Won",Y136&lt;-1),1,0)</f>
        <v/>
      </c>
      <c r="AL136" s="54">
        <f>SUM(AF136:AK136)</f>
        <v/>
      </c>
      <c r="AM136" s="9">
        <f>IF(AL136&gt;=set_ScoreHigh,"High",IF(AL136&gt;=set_ScoreMed,"Medium",IF(AL136&gt;0,"Low","OK")))</f>
        <v/>
      </c>
      <c r="AN136" s="54">
        <f>IF(OR(T136="Open",AND(T136="Won",ABS(Y136)&gt;0.5)),1,0)</f>
        <v/>
      </c>
      <c r="AO136" s="52">
        <f>IF(T136="Open",IF(V136=0,0,X136),IF(T136="Won",MAX(0,Y136),0))</f>
        <v/>
      </c>
      <c r="AP136" s="54">
        <f>IF(AN136=1,AL136*1E+9+U136+ROW()/1E+6,"")</f>
        <v/>
      </c>
      <c r="AQ136" s="9">
        <f>MID(IF(AF136&gt;0,"; Expected month passed - update Zoho","")&amp;IF(AG136&gt;0,"; "&amp;TEXT(U136/MAX(1,SUMIFS($U$2:$U$601,$T$2:$T$601,"Open")),"0%")&amp;" of open pipeline in one deal","")&amp;IF(AH136&gt;0,"; Large deal at an early stage","")&amp;IF(AI136&gt;0,"; No amount in Zoho","")&amp;IF(AJ136&gt;0,"; Won, invoice month passed, not fully invoiced","")&amp;IF(AK136&gt;0,"; Xero invoiced more than the deal value",""),3,300)</f>
        <v/>
      </c>
    </row>
    <row r="137">
      <c r="A137" s="51" t="n">
        <v>46265</v>
      </c>
      <c r="B137" t="inlineStr">
        <is>
          <t>ZOHO</t>
        </is>
      </c>
      <c r="C137" t="inlineStr">
        <is>
          <t>2608703</t>
        </is>
      </c>
      <c r="D137" t="inlineStr">
        <is>
          <t>Brain Chip</t>
        </is>
      </c>
      <c r="E137" t="inlineStr">
        <is>
          <t>2608703</t>
        </is>
      </c>
      <c r="G137" t="inlineStr">
        <is>
          <t>PRODUCTION</t>
        </is>
      </c>
      <c r="H137" t="inlineStr">
        <is>
          <t>Brain Chip - Investor Day - Late August</t>
        </is>
      </c>
      <c r="I137" t="n">
        <v>4380</v>
      </c>
      <c r="J137" t="inlineStr">
        <is>
          <t>Lost</t>
        </is>
      </c>
      <c r="L137" s="51" t="n">
        <v>46265</v>
      </c>
      <c r="M137" t="n">
        <v>0</v>
      </c>
      <c r="P137" t="inlineStr">
        <is>
          <t>Closed Lost</t>
        </is>
      </c>
      <c r="Q137" t="n">
        <v>0</v>
      </c>
      <c r="R137" t="n">
        <v>0</v>
      </c>
      <c r="T137" s="9">
        <f>IFERROR(INDEX($A137:$R137,MATCH("Status",$A$1:$R$1,0)),"")&amp;""</f>
        <v/>
      </c>
      <c r="U137" s="52">
        <f>IFERROR(N(IFERROR(INDEX($A137:$R137,MATCH("Value Ex GST",$A$1:$R$1,0)),"")),0)</f>
        <v/>
      </c>
      <c r="V137" s="54">
        <f>IF(AND(T137&lt;&gt;"",IFERROR(INDEX($A137:$R137,MATCH("Value Ex GST",$A$1:$R$1,0)),"")&amp;""&lt;&gt;""),1,0)</f>
        <v/>
      </c>
      <c r="W137" s="56">
        <f>IFERROR(N(IFERROR(INDEX($A137:$R137,MATCH("Probability",$A$1:$R$1,0)),"")),0)</f>
        <v/>
      </c>
      <c r="X137" s="52">
        <f>IF(T137="Open",U137*W137,0)</f>
        <v/>
      </c>
      <c r="Y137" s="52">
        <f>IF(T137="Won",IFERROR(N(IFERROR(INDEX($A137:$R137,MATCH("Still to Invoice",$A$1:$R$1,0)),"")),0),0)</f>
        <v/>
      </c>
      <c r="Z137" s="55">
        <f>IFERROR(EOMONTH(IFERROR(INDEX($A137:$R137,MATCH("Expected Invoice Month",$A$1:$R$1,0)),""),0),"")</f>
        <v/>
      </c>
      <c r="AA137" s="9">
        <f>IFERROR(INDEX($A137:$R137,MATCH("Cost Centre",$A$1:$R$1,0)),"")&amp;""</f>
        <v/>
      </c>
      <c r="AB137" s="9">
        <f>IFERROR(INDEX($A137:$R137,MATCH("Pipeline Stage",$A$1:$R$1,0)),"")&amp;""</f>
        <v/>
      </c>
      <c r="AC137" s="9">
        <f>IFERROR(INDEX($A137:$R137,MATCH("Client",$A$1:$R$1,0)),"")&amp;""</f>
        <v/>
      </c>
      <c r="AD137" s="9">
        <f>IFERROR(INDEX($A137:$R137,MATCH("Description",$A$1:$R$1,0)),"")&amp;""</f>
        <v/>
      </c>
      <c r="AE137" s="9">
        <f>IFERROR(INDEX($A137:$R137,MATCH("Job Number",$A$1:$R$1,0)),"")&amp;""</f>
        <v/>
      </c>
      <c r="AF137" s="54">
        <f>IF(AND(T137="Open",ISNUMBER(Z137),Z137&lt;EOMONTH(set_AsAt,-1)+1),3,0)</f>
        <v/>
      </c>
      <c r="AG137" s="54">
        <f>IF(AND(T137="Open",U137&gt;0,U137&gt;=set_DealShare*SUMIFS($U$2:$U$601,$T$2:$T$601,"Open")),3,0)</f>
        <v/>
      </c>
      <c r="AH137" s="54">
        <f>IF(AND(T137="Open",U137&gt;=set_BigValue,W137&lt;=set_EarlyProb),2,0)</f>
        <v/>
      </c>
      <c r="AI137" s="54">
        <f>IF(AND(OR(T137="Open",T137="Won"),V137=0),2,0)</f>
        <v/>
      </c>
      <c r="AJ137" s="54">
        <f>IF(AND(T137="Won",Y137&gt;0.5,ISNUMBER(Z137),Z137&lt;EOMONTH(set_AsAt,-1)+1),3,0)</f>
        <v/>
      </c>
      <c r="AK137" s="54">
        <f>IF(AND(T137="Won",Y137&lt;-1),1,0)</f>
        <v/>
      </c>
      <c r="AL137" s="54">
        <f>SUM(AF137:AK137)</f>
        <v/>
      </c>
      <c r="AM137" s="9">
        <f>IF(AL137&gt;=set_ScoreHigh,"High",IF(AL137&gt;=set_ScoreMed,"Medium",IF(AL137&gt;0,"Low","OK")))</f>
        <v/>
      </c>
      <c r="AN137" s="54">
        <f>IF(OR(T137="Open",AND(T137="Won",ABS(Y137)&gt;0.5)),1,0)</f>
        <v/>
      </c>
      <c r="AO137" s="52">
        <f>IF(T137="Open",IF(V137=0,0,X137),IF(T137="Won",MAX(0,Y137),0))</f>
        <v/>
      </c>
      <c r="AP137" s="54">
        <f>IF(AN137=1,AL137*1E+9+U137+ROW()/1E+6,"")</f>
        <v/>
      </c>
      <c r="AQ137" s="9">
        <f>MID(IF(AF137&gt;0,"; Expected month passed - update Zoho","")&amp;IF(AG137&gt;0,"; "&amp;TEXT(U137/MAX(1,SUMIFS($U$2:$U$601,$T$2:$T$601,"Open")),"0%")&amp;" of open pipeline in one deal","")&amp;IF(AH137&gt;0,"; Large deal at an early stage","")&amp;IF(AI137&gt;0,"; No amount in Zoho","")&amp;IF(AJ137&gt;0,"; Won, invoice month passed, not fully invoiced","")&amp;IF(AK137&gt;0,"; Xero invoiced more than the deal value",""),3,300)</f>
        <v/>
      </c>
    </row>
    <row r="138">
      <c r="A138" s="51" t="n">
        <v>46295</v>
      </c>
      <c r="B138" t="inlineStr">
        <is>
          <t>ZOHO</t>
        </is>
      </c>
      <c r="C138" t="inlineStr">
        <is>
          <t>26061604</t>
        </is>
      </c>
      <c r="D138" t="inlineStr">
        <is>
          <t>Ventia</t>
        </is>
      </c>
      <c r="E138" t="inlineStr">
        <is>
          <t>26061604</t>
        </is>
      </c>
      <c r="G138" t="inlineStr">
        <is>
          <t>PRODUCTION</t>
        </is>
      </c>
      <c r="H138" t="inlineStr">
        <is>
          <t>Ventia - Brisbane Depot Event - 15.10.26</t>
        </is>
      </c>
      <c r="I138" t="n">
        <v>8500</v>
      </c>
      <c r="J138" t="inlineStr">
        <is>
          <t>Lost</t>
        </is>
      </c>
      <c r="L138" s="51" t="n">
        <v>46326</v>
      </c>
      <c r="M138" t="n">
        <v>0</v>
      </c>
      <c r="O138" t="inlineStr">
        <is>
          <t>Invoice month taken from the event date in the deal name</t>
        </is>
      </c>
      <c r="P138" t="inlineStr">
        <is>
          <t>Closed Lost</t>
        </is>
      </c>
      <c r="Q138" t="n">
        <v>0</v>
      </c>
      <c r="R138" t="n">
        <v>0</v>
      </c>
      <c r="T138" s="9">
        <f>IFERROR(INDEX($A138:$R138,MATCH("Status",$A$1:$R$1,0)),"")&amp;""</f>
        <v/>
      </c>
      <c r="U138" s="52">
        <f>IFERROR(N(IFERROR(INDEX($A138:$R138,MATCH("Value Ex GST",$A$1:$R$1,0)),"")),0)</f>
        <v/>
      </c>
      <c r="V138" s="54">
        <f>IF(AND(T138&lt;&gt;"",IFERROR(INDEX($A138:$R138,MATCH("Value Ex GST",$A$1:$R$1,0)),"")&amp;""&lt;&gt;""),1,0)</f>
        <v/>
      </c>
      <c r="W138" s="56">
        <f>IFERROR(N(IFERROR(INDEX($A138:$R138,MATCH("Probability",$A$1:$R$1,0)),"")),0)</f>
        <v/>
      </c>
      <c r="X138" s="52">
        <f>IF(T138="Open",U138*W138,0)</f>
        <v/>
      </c>
      <c r="Y138" s="52">
        <f>IF(T138="Won",IFERROR(N(IFERROR(INDEX($A138:$R138,MATCH("Still to Invoice",$A$1:$R$1,0)),"")),0),0)</f>
        <v/>
      </c>
      <c r="Z138" s="55">
        <f>IFERROR(EOMONTH(IFERROR(INDEX($A138:$R138,MATCH("Expected Invoice Month",$A$1:$R$1,0)),""),0),"")</f>
        <v/>
      </c>
      <c r="AA138" s="9">
        <f>IFERROR(INDEX($A138:$R138,MATCH("Cost Centre",$A$1:$R$1,0)),"")&amp;""</f>
        <v/>
      </c>
      <c r="AB138" s="9">
        <f>IFERROR(INDEX($A138:$R138,MATCH("Pipeline Stage",$A$1:$R$1,0)),"")&amp;""</f>
        <v/>
      </c>
      <c r="AC138" s="9">
        <f>IFERROR(INDEX($A138:$R138,MATCH("Client",$A$1:$R$1,0)),"")&amp;""</f>
        <v/>
      </c>
      <c r="AD138" s="9">
        <f>IFERROR(INDEX($A138:$R138,MATCH("Description",$A$1:$R$1,0)),"")&amp;""</f>
        <v/>
      </c>
      <c r="AE138" s="9">
        <f>IFERROR(INDEX($A138:$R138,MATCH("Job Number",$A$1:$R$1,0)),"")&amp;""</f>
        <v/>
      </c>
      <c r="AF138" s="54">
        <f>IF(AND(T138="Open",ISNUMBER(Z138),Z138&lt;EOMONTH(set_AsAt,-1)+1),3,0)</f>
        <v/>
      </c>
      <c r="AG138" s="54">
        <f>IF(AND(T138="Open",U138&gt;0,U138&gt;=set_DealShare*SUMIFS($U$2:$U$601,$T$2:$T$601,"Open")),3,0)</f>
        <v/>
      </c>
      <c r="AH138" s="54">
        <f>IF(AND(T138="Open",U138&gt;=set_BigValue,W138&lt;=set_EarlyProb),2,0)</f>
        <v/>
      </c>
      <c r="AI138" s="54">
        <f>IF(AND(OR(T138="Open",T138="Won"),V138=0),2,0)</f>
        <v/>
      </c>
      <c r="AJ138" s="54">
        <f>IF(AND(T138="Won",Y138&gt;0.5,ISNUMBER(Z138),Z138&lt;EOMONTH(set_AsAt,-1)+1),3,0)</f>
        <v/>
      </c>
      <c r="AK138" s="54">
        <f>IF(AND(T138="Won",Y138&lt;-1),1,0)</f>
        <v/>
      </c>
      <c r="AL138" s="54">
        <f>SUM(AF138:AK138)</f>
        <v/>
      </c>
      <c r="AM138" s="9">
        <f>IF(AL138&gt;=set_ScoreHigh,"High",IF(AL138&gt;=set_ScoreMed,"Medium",IF(AL138&gt;0,"Low","OK")))</f>
        <v/>
      </c>
      <c r="AN138" s="54">
        <f>IF(OR(T138="Open",AND(T138="Won",ABS(Y138)&gt;0.5)),1,0)</f>
        <v/>
      </c>
      <c r="AO138" s="52">
        <f>IF(T138="Open",IF(V138=0,0,X138),IF(T138="Won",MAX(0,Y138),0))</f>
        <v/>
      </c>
      <c r="AP138" s="54">
        <f>IF(AN138=1,AL138*1E+9+U138+ROW()/1E+6,"")</f>
        <v/>
      </c>
      <c r="AQ138" s="9">
        <f>MID(IF(AF138&gt;0,"; Expected month passed - update Zoho","")&amp;IF(AG138&gt;0,"; "&amp;TEXT(U138/MAX(1,SUMIFS($U$2:$U$601,$T$2:$T$601,"Open")),"0%")&amp;" of open pipeline in one deal","")&amp;IF(AH138&gt;0,"; Large deal at an early stage","")&amp;IF(AI138&gt;0,"; No amount in Zoho","")&amp;IF(AJ138&gt;0,"; Won, invoice month passed, not fully invoiced","")&amp;IF(AK138&gt;0,"; Xero invoiced more than the deal value",""),3,300)</f>
        <v/>
      </c>
    </row>
    <row r="139">
      <c r="A139" s="51" t="n">
        <v>46265</v>
      </c>
      <c r="B139" t="inlineStr">
        <is>
          <t>ZOHO</t>
        </is>
      </c>
      <c r="C139" t="inlineStr">
        <is>
          <t>26071401</t>
        </is>
      </c>
      <c r="D139" t="inlineStr">
        <is>
          <t>ASX Australian Securities Exchange</t>
        </is>
      </c>
      <c r="E139" t="inlineStr">
        <is>
          <t>26071401</t>
        </is>
      </c>
      <c r="G139" t="inlineStr">
        <is>
          <t>VIDEO</t>
        </is>
      </c>
      <c r="H139" t="inlineStr">
        <is>
          <t>ASX - FY26 Financial Results Pre-Recording</t>
        </is>
      </c>
      <c r="I139" t="n">
        <v>1423</v>
      </c>
      <c r="J139" t="inlineStr">
        <is>
          <t>Lost</t>
        </is>
      </c>
      <c r="L139" s="51" t="n">
        <v>46265</v>
      </c>
      <c r="M139" t="n">
        <v>0</v>
      </c>
      <c r="P139" t="inlineStr">
        <is>
          <t>Closed Lost</t>
        </is>
      </c>
      <c r="Q139" t="n">
        <v>0</v>
      </c>
      <c r="R139" t="n">
        <v>0</v>
      </c>
      <c r="T139" s="9">
        <f>IFERROR(INDEX($A139:$R139,MATCH("Status",$A$1:$R$1,0)),"")&amp;""</f>
        <v/>
      </c>
      <c r="U139" s="52">
        <f>IFERROR(N(IFERROR(INDEX($A139:$R139,MATCH("Value Ex GST",$A$1:$R$1,0)),"")),0)</f>
        <v/>
      </c>
      <c r="V139" s="54">
        <f>IF(AND(T139&lt;&gt;"",IFERROR(INDEX($A139:$R139,MATCH("Value Ex GST",$A$1:$R$1,0)),"")&amp;""&lt;&gt;""),1,0)</f>
        <v/>
      </c>
      <c r="W139" s="56">
        <f>IFERROR(N(IFERROR(INDEX($A139:$R139,MATCH("Probability",$A$1:$R$1,0)),"")),0)</f>
        <v/>
      </c>
      <c r="X139" s="52">
        <f>IF(T139="Open",U139*W139,0)</f>
        <v/>
      </c>
      <c r="Y139" s="52">
        <f>IF(T139="Won",IFERROR(N(IFERROR(INDEX($A139:$R139,MATCH("Still to Invoice",$A$1:$R$1,0)),"")),0),0)</f>
        <v/>
      </c>
      <c r="Z139" s="55">
        <f>IFERROR(EOMONTH(IFERROR(INDEX($A139:$R139,MATCH("Expected Invoice Month",$A$1:$R$1,0)),""),0),"")</f>
        <v/>
      </c>
      <c r="AA139" s="9">
        <f>IFERROR(INDEX($A139:$R139,MATCH("Cost Centre",$A$1:$R$1,0)),"")&amp;""</f>
        <v/>
      </c>
      <c r="AB139" s="9">
        <f>IFERROR(INDEX($A139:$R139,MATCH("Pipeline Stage",$A$1:$R$1,0)),"")&amp;""</f>
        <v/>
      </c>
      <c r="AC139" s="9">
        <f>IFERROR(INDEX($A139:$R139,MATCH("Client",$A$1:$R$1,0)),"")&amp;""</f>
        <v/>
      </c>
      <c r="AD139" s="9">
        <f>IFERROR(INDEX($A139:$R139,MATCH("Description",$A$1:$R$1,0)),"")&amp;""</f>
        <v/>
      </c>
      <c r="AE139" s="9">
        <f>IFERROR(INDEX($A139:$R139,MATCH("Job Number",$A$1:$R$1,0)),"")&amp;""</f>
        <v/>
      </c>
      <c r="AF139" s="54">
        <f>IF(AND(T139="Open",ISNUMBER(Z139),Z139&lt;EOMONTH(set_AsAt,-1)+1),3,0)</f>
        <v/>
      </c>
      <c r="AG139" s="54">
        <f>IF(AND(T139="Open",U139&gt;0,U139&gt;=set_DealShare*SUMIFS($U$2:$U$601,$T$2:$T$601,"Open")),3,0)</f>
        <v/>
      </c>
      <c r="AH139" s="54">
        <f>IF(AND(T139="Open",U139&gt;=set_BigValue,W139&lt;=set_EarlyProb),2,0)</f>
        <v/>
      </c>
      <c r="AI139" s="54">
        <f>IF(AND(OR(T139="Open",T139="Won"),V139=0),2,0)</f>
        <v/>
      </c>
      <c r="AJ139" s="54">
        <f>IF(AND(T139="Won",Y139&gt;0.5,ISNUMBER(Z139),Z139&lt;EOMONTH(set_AsAt,-1)+1),3,0)</f>
        <v/>
      </c>
      <c r="AK139" s="54">
        <f>IF(AND(T139="Won",Y139&lt;-1),1,0)</f>
        <v/>
      </c>
      <c r="AL139" s="54">
        <f>SUM(AF139:AK139)</f>
        <v/>
      </c>
      <c r="AM139" s="9">
        <f>IF(AL139&gt;=set_ScoreHigh,"High",IF(AL139&gt;=set_ScoreMed,"Medium",IF(AL139&gt;0,"Low","OK")))</f>
        <v/>
      </c>
      <c r="AN139" s="54">
        <f>IF(OR(T139="Open",AND(T139="Won",ABS(Y139)&gt;0.5)),1,0)</f>
        <v/>
      </c>
      <c r="AO139" s="52">
        <f>IF(T139="Open",IF(V139=0,0,X139),IF(T139="Won",MAX(0,Y139),0))</f>
        <v/>
      </c>
      <c r="AP139" s="54">
        <f>IF(AN139=1,AL139*1E+9+U139+ROW()/1E+6,"")</f>
        <v/>
      </c>
      <c r="AQ139" s="9">
        <f>MID(IF(AF139&gt;0,"; Expected month passed - update Zoho","")&amp;IF(AG139&gt;0,"; "&amp;TEXT(U139/MAX(1,SUMIFS($U$2:$U$601,$T$2:$T$601,"Open")),"0%")&amp;" of open pipeline in one deal","")&amp;IF(AH139&gt;0,"; Large deal at an early stage","")&amp;IF(AI139&gt;0,"; No amount in Zoho","")&amp;IF(AJ139&gt;0,"; Won, invoice month passed, not fully invoiced","")&amp;IF(AK139&gt;0,"; Xero invoiced more than the deal value",""),3,300)</f>
        <v/>
      </c>
    </row>
    <row r="140">
      <c r="A140" s="51" t="n">
        <v>46265</v>
      </c>
      <c r="B140" t="inlineStr">
        <is>
          <t>ZOHO</t>
        </is>
      </c>
      <c r="C140" t="inlineStr">
        <is>
          <t>2608601</t>
        </is>
      </c>
      <c r="D140" t="inlineStr">
        <is>
          <t>St Luke's LIverpool</t>
        </is>
      </c>
      <c r="E140" t="inlineStr">
        <is>
          <t>2608601</t>
        </is>
      </c>
      <c r="G140" t="inlineStr">
        <is>
          <t>INTEGRATION</t>
        </is>
      </c>
      <c r="H140" t="inlineStr">
        <is>
          <t>St Luke's | Audio Mixing Desk Supply - 2608601</t>
        </is>
      </c>
      <c r="J140" t="inlineStr">
        <is>
          <t>Lost</t>
        </is>
      </c>
      <c r="L140" s="51" t="n">
        <v>46265</v>
      </c>
      <c r="M140" t="n">
        <v>0</v>
      </c>
      <c r="O140" t="inlineStr">
        <is>
          <t>No amount in Zoho</t>
        </is>
      </c>
      <c r="P140" t="inlineStr">
        <is>
          <t>Closed Lost</t>
        </is>
      </c>
      <c r="Q140" t="n">
        <v>0</v>
      </c>
      <c r="R140" t="n">
        <v>0</v>
      </c>
      <c r="T140" s="9">
        <f>IFERROR(INDEX($A140:$R140,MATCH("Status",$A$1:$R$1,0)),"")&amp;""</f>
        <v/>
      </c>
      <c r="U140" s="52">
        <f>IFERROR(N(IFERROR(INDEX($A140:$R140,MATCH("Value Ex GST",$A$1:$R$1,0)),"")),0)</f>
        <v/>
      </c>
      <c r="V140" s="54">
        <f>IF(AND(T140&lt;&gt;"",IFERROR(INDEX($A140:$R140,MATCH("Value Ex GST",$A$1:$R$1,0)),"")&amp;""&lt;&gt;""),1,0)</f>
        <v/>
      </c>
      <c r="W140" s="56">
        <f>IFERROR(N(IFERROR(INDEX($A140:$R140,MATCH("Probability",$A$1:$R$1,0)),"")),0)</f>
        <v/>
      </c>
      <c r="X140" s="52">
        <f>IF(T140="Open",U140*W140,0)</f>
        <v/>
      </c>
      <c r="Y140" s="52">
        <f>IF(T140="Won",IFERROR(N(IFERROR(INDEX($A140:$R140,MATCH("Still to Invoice",$A$1:$R$1,0)),"")),0),0)</f>
        <v/>
      </c>
      <c r="Z140" s="55">
        <f>IFERROR(EOMONTH(IFERROR(INDEX($A140:$R140,MATCH("Expected Invoice Month",$A$1:$R$1,0)),""),0),"")</f>
        <v/>
      </c>
      <c r="AA140" s="9">
        <f>IFERROR(INDEX($A140:$R140,MATCH("Cost Centre",$A$1:$R$1,0)),"")&amp;""</f>
        <v/>
      </c>
      <c r="AB140" s="9">
        <f>IFERROR(INDEX($A140:$R140,MATCH("Pipeline Stage",$A$1:$R$1,0)),"")&amp;""</f>
        <v/>
      </c>
      <c r="AC140" s="9">
        <f>IFERROR(INDEX($A140:$R140,MATCH("Client",$A$1:$R$1,0)),"")&amp;""</f>
        <v/>
      </c>
      <c r="AD140" s="9">
        <f>IFERROR(INDEX($A140:$R140,MATCH("Description",$A$1:$R$1,0)),"")&amp;""</f>
        <v/>
      </c>
      <c r="AE140" s="9">
        <f>IFERROR(INDEX($A140:$R140,MATCH("Job Number",$A$1:$R$1,0)),"")&amp;""</f>
        <v/>
      </c>
      <c r="AF140" s="54">
        <f>IF(AND(T140="Open",ISNUMBER(Z140),Z140&lt;EOMONTH(set_AsAt,-1)+1),3,0)</f>
        <v/>
      </c>
      <c r="AG140" s="54">
        <f>IF(AND(T140="Open",U140&gt;0,U140&gt;=set_DealShare*SUMIFS($U$2:$U$601,$T$2:$T$601,"Open")),3,0)</f>
        <v/>
      </c>
      <c r="AH140" s="54">
        <f>IF(AND(T140="Open",U140&gt;=set_BigValue,W140&lt;=set_EarlyProb),2,0)</f>
        <v/>
      </c>
      <c r="AI140" s="54">
        <f>IF(AND(OR(T140="Open",T140="Won"),V140=0),2,0)</f>
        <v/>
      </c>
      <c r="AJ140" s="54">
        <f>IF(AND(T140="Won",Y140&gt;0.5,ISNUMBER(Z140),Z140&lt;EOMONTH(set_AsAt,-1)+1),3,0)</f>
        <v/>
      </c>
      <c r="AK140" s="54">
        <f>IF(AND(T140="Won",Y140&lt;-1),1,0)</f>
        <v/>
      </c>
      <c r="AL140" s="54">
        <f>SUM(AF140:AK140)</f>
        <v/>
      </c>
      <c r="AM140" s="9">
        <f>IF(AL140&gt;=set_ScoreHigh,"High",IF(AL140&gt;=set_ScoreMed,"Medium",IF(AL140&gt;0,"Low","OK")))</f>
        <v/>
      </c>
      <c r="AN140" s="54">
        <f>IF(OR(T140="Open",AND(T140="Won",ABS(Y140)&gt;0.5)),1,0)</f>
        <v/>
      </c>
      <c r="AO140" s="52">
        <f>IF(T140="Open",IF(V140=0,0,X140),IF(T140="Won",MAX(0,Y140),0))</f>
        <v/>
      </c>
      <c r="AP140" s="54">
        <f>IF(AN140=1,AL140*1E+9+U140+ROW()/1E+6,"")</f>
        <v/>
      </c>
      <c r="AQ140" s="9">
        <f>MID(IF(AF140&gt;0,"; Expected month passed - update Zoho","")&amp;IF(AG140&gt;0,"; "&amp;TEXT(U140/MAX(1,SUMIFS($U$2:$U$601,$T$2:$T$601,"Open")),"0%")&amp;" of open pipeline in one deal","")&amp;IF(AH140&gt;0,"; Large deal at an early stage","")&amp;IF(AI140&gt;0,"; No amount in Zoho","")&amp;IF(AJ140&gt;0,"; Won, invoice month passed, not fully invoiced","")&amp;IF(AK140&gt;0,"; Xero invoiced more than the deal value",""),3,300)</f>
        <v/>
      </c>
    </row>
    <row r="141">
      <c r="A141" s="51" t="n">
        <v>46234</v>
      </c>
      <c r="B141" t="inlineStr">
        <is>
          <t>ZOHO</t>
        </is>
      </c>
      <c r="C141" t="inlineStr">
        <is>
          <t>2606102</t>
        </is>
      </c>
      <c r="D141" t="inlineStr">
        <is>
          <t>Elkiem</t>
        </is>
      </c>
      <c r="E141" t="inlineStr">
        <is>
          <t>2606102</t>
        </is>
      </c>
      <c r="G141" t="inlineStr">
        <is>
          <t>PRODUCTION</t>
        </is>
      </c>
      <c r="H141" t="inlineStr">
        <is>
          <t>Elkiem - Studio Support - 9.7.26</t>
        </is>
      </c>
      <c r="I141" t="n">
        <v>380</v>
      </c>
      <c r="J141" t="inlineStr">
        <is>
          <t>Lost</t>
        </is>
      </c>
      <c r="L141" s="51" t="n">
        <v>46234</v>
      </c>
      <c r="M141" t="n">
        <v>0</v>
      </c>
      <c r="P141" t="inlineStr">
        <is>
          <t>Closed Lost</t>
        </is>
      </c>
      <c r="Q141" t="n">
        <v>0</v>
      </c>
      <c r="R141" t="n">
        <v>0</v>
      </c>
      <c r="T141" s="9">
        <f>IFERROR(INDEX($A141:$R141,MATCH("Status",$A$1:$R$1,0)),"")&amp;""</f>
        <v/>
      </c>
      <c r="U141" s="52">
        <f>IFERROR(N(IFERROR(INDEX($A141:$R141,MATCH("Value Ex GST",$A$1:$R$1,0)),"")),0)</f>
        <v/>
      </c>
      <c r="V141" s="54">
        <f>IF(AND(T141&lt;&gt;"",IFERROR(INDEX($A141:$R141,MATCH("Value Ex GST",$A$1:$R$1,0)),"")&amp;""&lt;&gt;""),1,0)</f>
        <v/>
      </c>
      <c r="W141" s="56">
        <f>IFERROR(N(IFERROR(INDEX($A141:$R141,MATCH("Probability",$A$1:$R$1,0)),"")),0)</f>
        <v/>
      </c>
      <c r="X141" s="52">
        <f>IF(T141="Open",U141*W141,0)</f>
        <v/>
      </c>
      <c r="Y141" s="52">
        <f>IF(T141="Won",IFERROR(N(IFERROR(INDEX($A141:$R141,MATCH("Still to Invoice",$A$1:$R$1,0)),"")),0),0)</f>
        <v/>
      </c>
      <c r="Z141" s="55">
        <f>IFERROR(EOMONTH(IFERROR(INDEX($A141:$R141,MATCH("Expected Invoice Month",$A$1:$R$1,0)),""),0),"")</f>
        <v/>
      </c>
      <c r="AA141" s="9">
        <f>IFERROR(INDEX($A141:$R141,MATCH("Cost Centre",$A$1:$R$1,0)),"")&amp;""</f>
        <v/>
      </c>
      <c r="AB141" s="9">
        <f>IFERROR(INDEX($A141:$R141,MATCH("Pipeline Stage",$A$1:$R$1,0)),"")&amp;""</f>
        <v/>
      </c>
      <c r="AC141" s="9">
        <f>IFERROR(INDEX($A141:$R141,MATCH("Client",$A$1:$R$1,0)),"")&amp;""</f>
        <v/>
      </c>
      <c r="AD141" s="9">
        <f>IFERROR(INDEX($A141:$R141,MATCH("Description",$A$1:$R$1,0)),"")&amp;""</f>
        <v/>
      </c>
      <c r="AE141" s="9">
        <f>IFERROR(INDEX($A141:$R141,MATCH("Job Number",$A$1:$R$1,0)),"")&amp;""</f>
        <v/>
      </c>
      <c r="AF141" s="54">
        <f>IF(AND(T141="Open",ISNUMBER(Z141),Z141&lt;EOMONTH(set_AsAt,-1)+1),3,0)</f>
        <v/>
      </c>
      <c r="AG141" s="54">
        <f>IF(AND(T141="Open",U141&gt;0,U141&gt;=set_DealShare*SUMIFS($U$2:$U$601,$T$2:$T$601,"Open")),3,0)</f>
        <v/>
      </c>
      <c r="AH141" s="54">
        <f>IF(AND(T141="Open",U141&gt;=set_BigValue,W141&lt;=set_EarlyProb),2,0)</f>
        <v/>
      </c>
      <c r="AI141" s="54">
        <f>IF(AND(OR(T141="Open",T141="Won"),V141=0),2,0)</f>
        <v/>
      </c>
      <c r="AJ141" s="54">
        <f>IF(AND(T141="Won",Y141&gt;0.5,ISNUMBER(Z141),Z141&lt;EOMONTH(set_AsAt,-1)+1),3,0)</f>
        <v/>
      </c>
      <c r="AK141" s="54">
        <f>IF(AND(T141="Won",Y141&lt;-1),1,0)</f>
        <v/>
      </c>
      <c r="AL141" s="54">
        <f>SUM(AF141:AK141)</f>
        <v/>
      </c>
      <c r="AM141" s="9">
        <f>IF(AL141&gt;=set_ScoreHigh,"High",IF(AL141&gt;=set_ScoreMed,"Medium",IF(AL141&gt;0,"Low","OK")))</f>
        <v/>
      </c>
      <c r="AN141" s="54">
        <f>IF(OR(T141="Open",AND(T141="Won",ABS(Y141)&gt;0.5)),1,0)</f>
        <v/>
      </c>
      <c r="AO141" s="52">
        <f>IF(T141="Open",IF(V141=0,0,X141),IF(T141="Won",MAX(0,Y141),0))</f>
        <v/>
      </c>
      <c r="AP141" s="54">
        <f>IF(AN141=1,AL141*1E+9+U141+ROW()/1E+6,"")</f>
        <v/>
      </c>
      <c r="AQ141" s="9">
        <f>MID(IF(AF141&gt;0,"; Expected month passed - update Zoho","")&amp;IF(AG141&gt;0,"; "&amp;TEXT(U141/MAX(1,SUMIFS($U$2:$U$601,$T$2:$T$601,"Open")),"0%")&amp;" of open pipeline in one deal","")&amp;IF(AH141&gt;0,"; Large deal at an early stage","")&amp;IF(AI141&gt;0,"; No amount in Zoho","")&amp;IF(AJ141&gt;0,"; Won, invoice month passed, not fully invoiced","")&amp;IF(AK141&gt;0,"; Xero invoiced more than the deal value",""),3,300)</f>
        <v/>
      </c>
    </row>
    <row r="142">
      <c r="A142" s="51" t="n">
        <v>46234</v>
      </c>
      <c r="B142" t="inlineStr">
        <is>
          <t>ZOHO</t>
        </is>
      </c>
      <c r="C142" t="inlineStr">
        <is>
          <t>26071306</t>
        </is>
      </c>
      <c r="D142" t="inlineStr">
        <is>
          <t>Elkiem</t>
        </is>
      </c>
      <c r="E142" t="inlineStr">
        <is>
          <t>26071306</t>
        </is>
      </c>
      <c r="G142" t="inlineStr">
        <is>
          <t>PRODUCTION</t>
        </is>
      </c>
      <c r="H142" t="inlineStr">
        <is>
          <t>Elkiem - Studio Support - 28.7.26</t>
        </is>
      </c>
      <c r="I142" t="n">
        <v>380</v>
      </c>
      <c r="J142" t="inlineStr">
        <is>
          <t>Lost</t>
        </is>
      </c>
      <c r="L142" s="51" t="n">
        <v>46234</v>
      </c>
      <c r="M142" t="n">
        <v>0</v>
      </c>
      <c r="P142" t="inlineStr">
        <is>
          <t>Closed Lost</t>
        </is>
      </c>
      <c r="Q142" t="n">
        <v>0</v>
      </c>
      <c r="R142" t="n">
        <v>0</v>
      </c>
      <c r="T142" s="9">
        <f>IFERROR(INDEX($A142:$R142,MATCH("Status",$A$1:$R$1,0)),"")&amp;""</f>
        <v/>
      </c>
      <c r="U142" s="52">
        <f>IFERROR(N(IFERROR(INDEX($A142:$R142,MATCH("Value Ex GST",$A$1:$R$1,0)),"")),0)</f>
        <v/>
      </c>
      <c r="V142" s="54">
        <f>IF(AND(T142&lt;&gt;"",IFERROR(INDEX($A142:$R142,MATCH("Value Ex GST",$A$1:$R$1,0)),"")&amp;""&lt;&gt;""),1,0)</f>
        <v/>
      </c>
      <c r="W142" s="56">
        <f>IFERROR(N(IFERROR(INDEX($A142:$R142,MATCH("Probability",$A$1:$R$1,0)),"")),0)</f>
        <v/>
      </c>
      <c r="X142" s="52">
        <f>IF(T142="Open",U142*W142,0)</f>
        <v/>
      </c>
      <c r="Y142" s="52">
        <f>IF(T142="Won",IFERROR(N(IFERROR(INDEX($A142:$R142,MATCH("Still to Invoice",$A$1:$R$1,0)),"")),0),0)</f>
        <v/>
      </c>
      <c r="Z142" s="55">
        <f>IFERROR(EOMONTH(IFERROR(INDEX($A142:$R142,MATCH("Expected Invoice Month",$A$1:$R$1,0)),""),0),"")</f>
        <v/>
      </c>
      <c r="AA142" s="9">
        <f>IFERROR(INDEX($A142:$R142,MATCH("Cost Centre",$A$1:$R$1,0)),"")&amp;""</f>
        <v/>
      </c>
      <c r="AB142" s="9">
        <f>IFERROR(INDEX($A142:$R142,MATCH("Pipeline Stage",$A$1:$R$1,0)),"")&amp;""</f>
        <v/>
      </c>
      <c r="AC142" s="9">
        <f>IFERROR(INDEX($A142:$R142,MATCH("Client",$A$1:$R$1,0)),"")&amp;""</f>
        <v/>
      </c>
      <c r="AD142" s="9">
        <f>IFERROR(INDEX($A142:$R142,MATCH("Description",$A$1:$R$1,0)),"")&amp;""</f>
        <v/>
      </c>
      <c r="AE142" s="9">
        <f>IFERROR(INDEX($A142:$R142,MATCH("Job Number",$A$1:$R$1,0)),"")&amp;""</f>
        <v/>
      </c>
      <c r="AF142" s="54">
        <f>IF(AND(T142="Open",ISNUMBER(Z142),Z142&lt;EOMONTH(set_AsAt,-1)+1),3,0)</f>
        <v/>
      </c>
      <c r="AG142" s="54">
        <f>IF(AND(T142="Open",U142&gt;0,U142&gt;=set_DealShare*SUMIFS($U$2:$U$601,$T$2:$T$601,"Open")),3,0)</f>
        <v/>
      </c>
      <c r="AH142" s="54">
        <f>IF(AND(T142="Open",U142&gt;=set_BigValue,W142&lt;=set_EarlyProb),2,0)</f>
        <v/>
      </c>
      <c r="AI142" s="54">
        <f>IF(AND(OR(T142="Open",T142="Won"),V142=0),2,0)</f>
        <v/>
      </c>
      <c r="AJ142" s="54">
        <f>IF(AND(T142="Won",Y142&gt;0.5,ISNUMBER(Z142),Z142&lt;EOMONTH(set_AsAt,-1)+1),3,0)</f>
        <v/>
      </c>
      <c r="AK142" s="54">
        <f>IF(AND(T142="Won",Y142&lt;-1),1,0)</f>
        <v/>
      </c>
      <c r="AL142" s="54">
        <f>SUM(AF142:AK142)</f>
        <v/>
      </c>
      <c r="AM142" s="9">
        <f>IF(AL142&gt;=set_ScoreHigh,"High",IF(AL142&gt;=set_ScoreMed,"Medium",IF(AL142&gt;0,"Low","OK")))</f>
        <v/>
      </c>
      <c r="AN142" s="54">
        <f>IF(OR(T142="Open",AND(T142="Won",ABS(Y142)&gt;0.5)),1,0)</f>
        <v/>
      </c>
      <c r="AO142" s="52">
        <f>IF(T142="Open",IF(V142=0,0,X142),IF(T142="Won",MAX(0,Y142),0))</f>
        <v/>
      </c>
      <c r="AP142" s="54">
        <f>IF(AN142=1,AL142*1E+9+U142+ROW()/1E+6,"")</f>
        <v/>
      </c>
      <c r="AQ142" s="9">
        <f>MID(IF(AF142&gt;0,"; Expected month passed - update Zoho","")&amp;IF(AG142&gt;0,"; "&amp;TEXT(U142/MAX(1,SUMIFS($U$2:$U$601,$T$2:$T$601,"Open")),"0%")&amp;" of open pipeline in one deal","")&amp;IF(AH142&gt;0,"; Large deal at an early stage","")&amp;IF(AI142&gt;0,"; No amount in Zoho","")&amp;IF(AJ142&gt;0,"; Won, invoice month passed, not fully invoiced","")&amp;IF(AK142&gt;0,"; Xero invoiced more than the deal value",""),3,300)</f>
        <v/>
      </c>
    </row>
    <row r="143">
      <c r="A143" s="51" t="n">
        <v>46295</v>
      </c>
      <c r="B143" t="inlineStr">
        <is>
          <t>ZOHO</t>
        </is>
      </c>
      <c r="C143" t="inlineStr">
        <is>
          <t>26091001</t>
        </is>
      </c>
      <c r="D143" t="inlineStr">
        <is>
          <t>Deloitte Australia</t>
        </is>
      </c>
      <c r="E143" t="inlineStr">
        <is>
          <t>26091001</t>
        </is>
      </c>
      <c r="G143" t="inlineStr">
        <is>
          <t>INTEGRATION</t>
        </is>
      </c>
      <c r="H143" t="inlineStr">
        <is>
          <t>Perth Display Decommissioning</t>
        </is>
      </c>
      <c r="I143" t="n">
        <v>1426</v>
      </c>
      <c r="J143" t="inlineStr">
        <is>
          <t>Lost</t>
        </is>
      </c>
      <c r="L143" s="51" t="n">
        <v>46295</v>
      </c>
      <c r="M143" t="n">
        <v>0</v>
      </c>
      <c r="P143" t="inlineStr">
        <is>
          <t>Closed Lost</t>
        </is>
      </c>
      <c r="Q143" t="n">
        <v>0</v>
      </c>
      <c r="R143" t="n">
        <v>0</v>
      </c>
      <c r="T143" s="9">
        <f>IFERROR(INDEX($A143:$R143,MATCH("Status",$A$1:$R$1,0)),"")&amp;""</f>
        <v/>
      </c>
      <c r="U143" s="52">
        <f>IFERROR(N(IFERROR(INDEX($A143:$R143,MATCH("Value Ex GST",$A$1:$R$1,0)),"")),0)</f>
        <v/>
      </c>
      <c r="V143" s="54">
        <f>IF(AND(T143&lt;&gt;"",IFERROR(INDEX($A143:$R143,MATCH("Value Ex GST",$A$1:$R$1,0)),"")&amp;""&lt;&gt;""),1,0)</f>
        <v/>
      </c>
      <c r="W143" s="56">
        <f>IFERROR(N(IFERROR(INDEX($A143:$R143,MATCH("Probability",$A$1:$R$1,0)),"")),0)</f>
        <v/>
      </c>
      <c r="X143" s="52">
        <f>IF(T143="Open",U143*W143,0)</f>
        <v/>
      </c>
      <c r="Y143" s="52">
        <f>IF(T143="Won",IFERROR(N(IFERROR(INDEX($A143:$R143,MATCH("Still to Invoice",$A$1:$R$1,0)),"")),0),0)</f>
        <v/>
      </c>
      <c r="Z143" s="55">
        <f>IFERROR(EOMONTH(IFERROR(INDEX($A143:$R143,MATCH("Expected Invoice Month",$A$1:$R$1,0)),""),0),"")</f>
        <v/>
      </c>
      <c r="AA143" s="9">
        <f>IFERROR(INDEX($A143:$R143,MATCH("Cost Centre",$A$1:$R$1,0)),"")&amp;""</f>
        <v/>
      </c>
      <c r="AB143" s="9">
        <f>IFERROR(INDEX($A143:$R143,MATCH("Pipeline Stage",$A$1:$R$1,0)),"")&amp;""</f>
        <v/>
      </c>
      <c r="AC143" s="9">
        <f>IFERROR(INDEX($A143:$R143,MATCH("Client",$A$1:$R$1,0)),"")&amp;""</f>
        <v/>
      </c>
      <c r="AD143" s="9">
        <f>IFERROR(INDEX($A143:$R143,MATCH("Description",$A$1:$R$1,0)),"")&amp;""</f>
        <v/>
      </c>
      <c r="AE143" s="9">
        <f>IFERROR(INDEX($A143:$R143,MATCH("Job Number",$A$1:$R$1,0)),"")&amp;""</f>
        <v/>
      </c>
      <c r="AF143" s="54">
        <f>IF(AND(T143="Open",ISNUMBER(Z143),Z143&lt;EOMONTH(set_AsAt,-1)+1),3,0)</f>
        <v/>
      </c>
      <c r="AG143" s="54">
        <f>IF(AND(T143="Open",U143&gt;0,U143&gt;=set_DealShare*SUMIFS($U$2:$U$601,$T$2:$T$601,"Open")),3,0)</f>
        <v/>
      </c>
      <c r="AH143" s="54">
        <f>IF(AND(T143="Open",U143&gt;=set_BigValue,W143&lt;=set_EarlyProb),2,0)</f>
        <v/>
      </c>
      <c r="AI143" s="54">
        <f>IF(AND(OR(T143="Open",T143="Won"),V143=0),2,0)</f>
        <v/>
      </c>
      <c r="AJ143" s="54">
        <f>IF(AND(T143="Won",Y143&gt;0.5,ISNUMBER(Z143),Z143&lt;EOMONTH(set_AsAt,-1)+1),3,0)</f>
        <v/>
      </c>
      <c r="AK143" s="54">
        <f>IF(AND(T143="Won",Y143&lt;-1),1,0)</f>
        <v/>
      </c>
      <c r="AL143" s="54">
        <f>SUM(AF143:AK143)</f>
        <v/>
      </c>
      <c r="AM143" s="9">
        <f>IF(AL143&gt;=set_ScoreHigh,"High",IF(AL143&gt;=set_ScoreMed,"Medium",IF(AL143&gt;0,"Low","OK")))</f>
        <v/>
      </c>
      <c r="AN143" s="54">
        <f>IF(OR(T143="Open",AND(T143="Won",ABS(Y143)&gt;0.5)),1,0)</f>
        <v/>
      </c>
      <c r="AO143" s="52">
        <f>IF(T143="Open",IF(V143=0,0,X143),IF(T143="Won",MAX(0,Y143),0))</f>
        <v/>
      </c>
      <c r="AP143" s="54">
        <f>IF(AN143=1,AL143*1E+9+U143+ROW()/1E+6,"")</f>
        <v/>
      </c>
      <c r="AQ143" s="9">
        <f>MID(IF(AF143&gt;0,"; Expected month passed - update Zoho","")&amp;IF(AG143&gt;0,"; "&amp;TEXT(U143/MAX(1,SUMIFS($U$2:$U$601,$T$2:$T$601,"Open")),"0%")&amp;" of open pipeline in one deal","")&amp;IF(AH143&gt;0,"; Large deal at an early stage","")&amp;IF(AI143&gt;0,"; No amount in Zoho","")&amp;IF(AJ143&gt;0,"; Won, invoice month passed, not fully invoiced","")&amp;IF(AK143&gt;0,"; Xero invoiced more than the deal value",""),3,300)</f>
        <v/>
      </c>
    </row>
    <row r="144">
      <c r="A144" s="51" t="n">
        <v>46234</v>
      </c>
      <c r="B144" t="inlineStr">
        <is>
          <t>ZOHO</t>
        </is>
      </c>
      <c r="C144" t="inlineStr">
        <is>
          <t>26071307</t>
        </is>
      </c>
      <c r="D144" t="inlineStr">
        <is>
          <t>Elkiem</t>
        </is>
      </c>
      <c r="E144" t="inlineStr">
        <is>
          <t>26071307</t>
        </is>
      </c>
      <c r="G144" t="inlineStr">
        <is>
          <t>PRODUCTION</t>
        </is>
      </c>
      <c r="H144" t="inlineStr">
        <is>
          <t>Elkiem - Studio Support - 29.7.26</t>
        </is>
      </c>
      <c r="I144" t="n">
        <v>380</v>
      </c>
      <c r="J144" t="inlineStr">
        <is>
          <t>Lost</t>
        </is>
      </c>
      <c r="L144" s="51" t="n">
        <v>46234</v>
      </c>
      <c r="M144" t="n">
        <v>0</v>
      </c>
      <c r="P144" t="inlineStr">
        <is>
          <t>Closed Lost</t>
        </is>
      </c>
      <c r="Q144" t="n">
        <v>0</v>
      </c>
      <c r="R144" t="n">
        <v>0</v>
      </c>
      <c r="T144" s="9">
        <f>IFERROR(INDEX($A144:$R144,MATCH("Status",$A$1:$R$1,0)),"")&amp;""</f>
        <v/>
      </c>
      <c r="U144" s="52">
        <f>IFERROR(N(IFERROR(INDEX($A144:$R144,MATCH("Value Ex GST",$A$1:$R$1,0)),"")),0)</f>
        <v/>
      </c>
      <c r="V144" s="54">
        <f>IF(AND(T144&lt;&gt;"",IFERROR(INDEX($A144:$R144,MATCH("Value Ex GST",$A$1:$R$1,0)),"")&amp;""&lt;&gt;""),1,0)</f>
        <v/>
      </c>
      <c r="W144" s="56">
        <f>IFERROR(N(IFERROR(INDEX($A144:$R144,MATCH("Probability",$A$1:$R$1,0)),"")),0)</f>
        <v/>
      </c>
      <c r="X144" s="52">
        <f>IF(T144="Open",U144*W144,0)</f>
        <v/>
      </c>
      <c r="Y144" s="52">
        <f>IF(T144="Won",IFERROR(N(IFERROR(INDEX($A144:$R144,MATCH("Still to Invoice",$A$1:$R$1,0)),"")),0),0)</f>
        <v/>
      </c>
      <c r="Z144" s="55">
        <f>IFERROR(EOMONTH(IFERROR(INDEX($A144:$R144,MATCH("Expected Invoice Month",$A$1:$R$1,0)),""),0),"")</f>
        <v/>
      </c>
      <c r="AA144" s="9">
        <f>IFERROR(INDEX($A144:$R144,MATCH("Cost Centre",$A$1:$R$1,0)),"")&amp;""</f>
        <v/>
      </c>
      <c r="AB144" s="9">
        <f>IFERROR(INDEX($A144:$R144,MATCH("Pipeline Stage",$A$1:$R$1,0)),"")&amp;""</f>
        <v/>
      </c>
      <c r="AC144" s="9">
        <f>IFERROR(INDEX($A144:$R144,MATCH("Client",$A$1:$R$1,0)),"")&amp;""</f>
        <v/>
      </c>
      <c r="AD144" s="9">
        <f>IFERROR(INDEX($A144:$R144,MATCH("Description",$A$1:$R$1,0)),"")&amp;""</f>
        <v/>
      </c>
      <c r="AE144" s="9">
        <f>IFERROR(INDEX($A144:$R144,MATCH("Job Number",$A$1:$R$1,0)),"")&amp;""</f>
        <v/>
      </c>
      <c r="AF144" s="54">
        <f>IF(AND(T144="Open",ISNUMBER(Z144),Z144&lt;EOMONTH(set_AsAt,-1)+1),3,0)</f>
        <v/>
      </c>
      <c r="AG144" s="54">
        <f>IF(AND(T144="Open",U144&gt;0,U144&gt;=set_DealShare*SUMIFS($U$2:$U$601,$T$2:$T$601,"Open")),3,0)</f>
        <v/>
      </c>
      <c r="AH144" s="54">
        <f>IF(AND(T144="Open",U144&gt;=set_BigValue,W144&lt;=set_EarlyProb),2,0)</f>
        <v/>
      </c>
      <c r="AI144" s="54">
        <f>IF(AND(OR(T144="Open",T144="Won"),V144=0),2,0)</f>
        <v/>
      </c>
      <c r="AJ144" s="54">
        <f>IF(AND(T144="Won",Y144&gt;0.5,ISNUMBER(Z144),Z144&lt;EOMONTH(set_AsAt,-1)+1),3,0)</f>
        <v/>
      </c>
      <c r="AK144" s="54">
        <f>IF(AND(T144="Won",Y144&lt;-1),1,0)</f>
        <v/>
      </c>
      <c r="AL144" s="54">
        <f>SUM(AF144:AK144)</f>
        <v/>
      </c>
      <c r="AM144" s="9">
        <f>IF(AL144&gt;=set_ScoreHigh,"High",IF(AL144&gt;=set_ScoreMed,"Medium",IF(AL144&gt;0,"Low","OK")))</f>
        <v/>
      </c>
      <c r="AN144" s="54">
        <f>IF(OR(T144="Open",AND(T144="Won",ABS(Y144)&gt;0.5)),1,0)</f>
        <v/>
      </c>
      <c r="AO144" s="52">
        <f>IF(T144="Open",IF(V144=0,0,X144),IF(T144="Won",MAX(0,Y144),0))</f>
        <v/>
      </c>
      <c r="AP144" s="54">
        <f>IF(AN144=1,AL144*1E+9+U144+ROW()/1E+6,"")</f>
        <v/>
      </c>
      <c r="AQ144" s="9">
        <f>MID(IF(AF144&gt;0,"; Expected month passed - update Zoho","")&amp;IF(AG144&gt;0,"; "&amp;TEXT(U144/MAX(1,SUMIFS($U$2:$U$601,$T$2:$T$601,"Open")),"0%")&amp;" of open pipeline in one deal","")&amp;IF(AH144&gt;0,"; Large deal at an early stage","")&amp;IF(AI144&gt;0,"; No amount in Zoho","")&amp;IF(AJ144&gt;0,"; Won, invoice month passed, not fully invoiced","")&amp;IF(AK144&gt;0,"; Xero invoiced more than the deal value",""),3,300)</f>
        <v/>
      </c>
    </row>
    <row r="145">
      <c r="A145" s="51" t="n">
        <v>46265</v>
      </c>
      <c r="B145" t="inlineStr">
        <is>
          <t>ZOHO</t>
        </is>
      </c>
      <c r="C145" t="inlineStr">
        <is>
          <t>2608602</t>
        </is>
      </c>
      <c r="D145" t="inlineStr">
        <is>
          <t>Architectus</t>
        </is>
      </c>
      <c r="E145" t="inlineStr">
        <is>
          <t>2608602</t>
        </is>
      </c>
      <c r="G145" t="inlineStr">
        <is>
          <t>CONSULTING</t>
        </is>
      </c>
      <c r="H145" t="inlineStr">
        <is>
          <t>Architectus | AV Drawings - 2608602</t>
        </is>
      </c>
      <c r="I145" t="n">
        <v>7540</v>
      </c>
      <c r="J145" t="inlineStr">
        <is>
          <t>Lost</t>
        </is>
      </c>
      <c r="L145" s="51" t="n">
        <v>46265</v>
      </c>
      <c r="M145" t="n">
        <v>0</v>
      </c>
      <c r="P145" t="inlineStr">
        <is>
          <t>Closed Lost</t>
        </is>
      </c>
      <c r="Q145" t="n">
        <v>0</v>
      </c>
      <c r="R145" t="n">
        <v>0</v>
      </c>
      <c r="T145" s="9">
        <f>IFERROR(INDEX($A145:$R145,MATCH("Status",$A$1:$R$1,0)),"")&amp;""</f>
        <v/>
      </c>
      <c r="U145" s="52">
        <f>IFERROR(N(IFERROR(INDEX($A145:$R145,MATCH("Value Ex GST",$A$1:$R$1,0)),"")),0)</f>
        <v/>
      </c>
      <c r="V145" s="54">
        <f>IF(AND(T145&lt;&gt;"",IFERROR(INDEX($A145:$R145,MATCH("Value Ex GST",$A$1:$R$1,0)),"")&amp;""&lt;&gt;""),1,0)</f>
        <v/>
      </c>
      <c r="W145" s="56">
        <f>IFERROR(N(IFERROR(INDEX($A145:$R145,MATCH("Probability",$A$1:$R$1,0)),"")),0)</f>
        <v/>
      </c>
      <c r="X145" s="52">
        <f>IF(T145="Open",U145*W145,0)</f>
        <v/>
      </c>
      <c r="Y145" s="52">
        <f>IF(T145="Won",IFERROR(N(IFERROR(INDEX($A145:$R145,MATCH("Still to Invoice",$A$1:$R$1,0)),"")),0),0)</f>
        <v/>
      </c>
      <c r="Z145" s="55">
        <f>IFERROR(EOMONTH(IFERROR(INDEX($A145:$R145,MATCH("Expected Invoice Month",$A$1:$R$1,0)),""),0),"")</f>
        <v/>
      </c>
      <c r="AA145" s="9">
        <f>IFERROR(INDEX($A145:$R145,MATCH("Cost Centre",$A$1:$R$1,0)),"")&amp;""</f>
        <v/>
      </c>
      <c r="AB145" s="9">
        <f>IFERROR(INDEX($A145:$R145,MATCH("Pipeline Stage",$A$1:$R$1,0)),"")&amp;""</f>
        <v/>
      </c>
      <c r="AC145" s="9">
        <f>IFERROR(INDEX($A145:$R145,MATCH("Client",$A$1:$R$1,0)),"")&amp;""</f>
        <v/>
      </c>
      <c r="AD145" s="9">
        <f>IFERROR(INDEX($A145:$R145,MATCH("Description",$A$1:$R$1,0)),"")&amp;""</f>
        <v/>
      </c>
      <c r="AE145" s="9">
        <f>IFERROR(INDEX($A145:$R145,MATCH("Job Number",$A$1:$R$1,0)),"")&amp;""</f>
        <v/>
      </c>
      <c r="AF145" s="54">
        <f>IF(AND(T145="Open",ISNUMBER(Z145),Z145&lt;EOMONTH(set_AsAt,-1)+1),3,0)</f>
        <v/>
      </c>
      <c r="AG145" s="54">
        <f>IF(AND(T145="Open",U145&gt;0,U145&gt;=set_DealShare*SUMIFS($U$2:$U$601,$T$2:$T$601,"Open")),3,0)</f>
        <v/>
      </c>
      <c r="AH145" s="54">
        <f>IF(AND(T145="Open",U145&gt;=set_BigValue,W145&lt;=set_EarlyProb),2,0)</f>
        <v/>
      </c>
      <c r="AI145" s="54">
        <f>IF(AND(OR(T145="Open",T145="Won"),V145=0),2,0)</f>
        <v/>
      </c>
      <c r="AJ145" s="54">
        <f>IF(AND(T145="Won",Y145&gt;0.5,ISNUMBER(Z145),Z145&lt;EOMONTH(set_AsAt,-1)+1),3,0)</f>
        <v/>
      </c>
      <c r="AK145" s="54">
        <f>IF(AND(T145="Won",Y145&lt;-1),1,0)</f>
        <v/>
      </c>
      <c r="AL145" s="54">
        <f>SUM(AF145:AK145)</f>
        <v/>
      </c>
      <c r="AM145" s="9">
        <f>IF(AL145&gt;=set_ScoreHigh,"High",IF(AL145&gt;=set_ScoreMed,"Medium",IF(AL145&gt;0,"Low","OK")))</f>
        <v/>
      </c>
      <c r="AN145" s="54">
        <f>IF(OR(T145="Open",AND(T145="Won",ABS(Y145)&gt;0.5)),1,0)</f>
        <v/>
      </c>
      <c r="AO145" s="52">
        <f>IF(T145="Open",IF(V145=0,0,X145),IF(T145="Won",MAX(0,Y145),0))</f>
        <v/>
      </c>
      <c r="AP145" s="54">
        <f>IF(AN145=1,AL145*1E+9+U145+ROW()/1E+6,"")</f>
        <v/>
      </c>
      <c r="AQ145" s="9">
        <f>MID(IF(AF145&gt;0,"; Expected month passed - update Zoho","")&amp;IF(AG145&gt;0,"; "&amp;TEXT(U145/MAX(1,SUMIFS($U$2:$U$601,$T$2:$T$601,"Open")),"0%")&amp;" of open pipeline in one deal","")&amp;IF(AH145&gt;0,"; Large deal at an early stage","")&amp;IF(AI145&gt;0,"; No amount in Zoho","")&amp;IF(AJ145&gt;0,"; Won, invoice month passed, not fully invoiced","")&amp;IF(AK145&gt;0,"; Xero invoiced more than the deal value",""),3,300)</f>
        <v/>
      </c>
    </row>
    <row r="146">
      <c r="A146" s="51" t="n">
        <v>46234</v>
      </c>
      <c r="B146" t="inlineStr">
        <is>
          <t>ZOHO</t>
        </is>
      </c>
      <c r="C146" t="inlineStr">
        <is>
          <t>2605608</t>
        </is>
      </c>
      <c r="D146" t="inlineStr">
        <is>
          <t>Wayflyer</t>
        </is>
      </c>
      <c r="E146" t="inlineStr">
        <is>
          <t>2605608</t>
        </is>
      </c>
      <c r="G146" t="inlineStr">
        <is>
          <t>INTEGRATION</t>
        </is>
      </c>
      <c r="H146" t="inlineStr">
        <is>
          <t>Wayflyer | Headset Purchase - 2605608</t>
        </is>
      </c>
      <c r="I146" t="n">
        <v>5388</v>
      </c>
      <c r="J146" t="inlineStr">
        <is>
          <t>Lost</t>
        </is>
      </c>
      <c r="L146" s="51" t="n">
        <v>46234</v>
      </c>
      <c r="M146" t="n">
        <v>0</v>
      </c>
      <c r="P146" t="inlineStr">
        <is>
          <t>Closed Lost</t>
        </is>
      </c>
      <c r="Q146" t="n">
        <v>0</v>
      </c>
      <c r="R146" t="n">
        <v>0</v>
      </c>
      <c r="T146" s="9">
        <f>IFERROR(INDEX($A146:$R146,MATCH("Status",$A$1:$R$1,0)),"")&amp;""</f>
        <v/>
      </c>
      <c r="U146" s="52">
        <f>IFERROR(N(IFERROR(INDEX($A146:$R146,MATCH("Value Ex GST",$A$1:$R$1,0)),"")),0)</f>
        <v/>
      </c>
      <c r="V146" s="54">
        <f>IF(AND(T146&lt;&gt;"",IFERROR(INDEX($A146:$R146,MATCH("Value Ex GST",$A$1:$R$1,0)),"")&amp;""&lt;&gt;""),1,0)</f>
        <v/>
      </c>
      <c r="W146" s="56">
        <f>IFERROR(N(IFERROR(INDEX($A146:$R146,MATCH("Probability",$A$1:$R$1,0)),"")),0)</f>
        <v/>
      </c>
      <c r="X146" s="52">
        <f>IF(T146="Open",U146*W146,0)</f>
        <v/>
      </c>
      <c r="Y146" s="52">
        <f>IF(T146="Won",IFERROR(N(IFERROR(INDEX($A146:$R146,MATCH("Still to Invoice",$A$1:$R$1,0)),"")),0),0)</f>
        <v/>
      </c>
      <c r="Z146" s="55">
        <f>IFERROR(EOMONTH(IFERROR(INDEX($A146:$R146,MATCH("Expected Invoice Month",$A$1:$R$1,0)),""),0),"")</f>
        <v/>
      </c>
      <c r="AA146" s="9">
        <f>IFERROR(INDEX($A146:$R146,MATCH("Cost Centre",$A$1:$R$1,0)),"")&amp;""</f>
        <v/>
      </c>
      <c r="AB146" s="9">
        <f>IFERROR(INDEX($A146:$R146,MATCH("Pipeline Stage",$A$1:$R$1,0)),"")&amp;""</f>
        <v/>
      </c>
      <c r="AC146" s="9">
        <f>IFERROR(INDEX($A146:$R146,MATCH("Client",$A$1:$R$1,0)),"")&amp;""</f>
        <v/>
      </c>
      <c r="AD146" s="9">
        <f>IFERROR(INDEX($A146:$R146,MATCH("Description",$A$1:$R$1,0)),"")&amp;""</f>
        <v/>
      </c>
      <c r="AE146" s="9">
        <f>IFERROR(INDEX($A146:$R146,MATCH("Job Number",$A$1:$R$1,0)),"")&amp;""</f>
        <v/>
      </c>
      <c r="AF146" s="54">
        <f>IF(AND(T146="Open",ISNUMBER(Z146),Z146&lt;EOMONTH(set_AsAt,-1)+1),3,0)</f>
        <v/>
      </c>
      <c r="AG146" s="54">
        <f>IF(AND(T146="Open",U146&gt;0,U146&gt;=set_DealShare*SUMIFS($U$2:$U$601,$T$2:$T$601,"Open")),3,0)</f>
        <v/>
      </c>
      <c r="AH146" s="54">
        <f>IF(AND(T146="Open",U146&gt;=set_BigValue,W146&lt;=set_EarlyProb),2,0)</f>
        <v/>
      </c>
      <c r="AI146" s="54">
        <f>IF(AND(OR(T146="Open",T146="Won"),V146=0),2,0)</f>
        <v/>
      </c>
      <c r="AJ146" s="54">
        <f>IF(AND(T146="Won",Y146&gt;0.5,ISNUMBER(Z146),Z146&lt;EOMONTH(set_AsAt,-1)+1),3,0)</f>
        <v/>
      </c>
      <c r="AK146" s="54">
        <f>IF(AND(T146="Won",Y146&lt;-1),1,0)</f>
        <v/>
      </c>
      <c r="AL146" s="54">
        <f>SUM(AF146:AK146)</f>
        <v/>
      </c>
      <c r="AM146" s="9">
        <f>IF(AL146&gt;=set_ScoreHigh,"High",IF(AL146&gt;=set_ScoreMed,"Medium",IF(AL146&gt;0,"Low","OK")))</f>
        <v/>
      </c>
      <c r="AN146" s="54">
        <f>IF(OR(T146="Open",AND(T146="Won",ABS(Y146)&gt;0.5)),1,0)</f>
        <v/>
      </c>
      <c r="AO146" s="52">
        <f>IF(T146="Open",IF(V146=0,0,X146),IF(T146="Won",MAX(0,Y146),0))</f>
        <v/>
      </c>
      <c r="AP146" s="54">
        <f>IF(AN146=1,AL146*1E+9+U146+ROW()/1E+6,"")</f>
        <v/>
      </c>
      <c r="AQ146" s="9">
        <f>MID(IF(AF146&gt;0,"; Expected month passed - update Zoho","")&amp;IF(AG146&gt;0,"; "&amp;TEXT(U146/MAX(1,SUMIFS($U$2:$U$601,$T$2:$T$601,"Open")),"0%")&amp;" of open pipeline in one deal","")&amp;IF(AH146&gt;0,"; Large deal at an early stage","")&amp;IF(AI146&gt;0,"; No amount in Zoho","")&amp;IF(AJ146&gt;0,"; Won, invoice month passed, not fully invoiced","")&amp;IF(AK146&gt;0,"; Xero invoiced more than the deal value",""),3,300)</f>
        <v/>
      </c>
    </row>
    <row r="147">
      <c r="A147" s="51" t="n">
        <v>46295</v>
      </c>
      <c r="B147" t="inlineStr">
        <is>
          <t>ZOHO</t>
        </is>
      </c>
      <c r="C147" t="inlineStr">
        <is>
          <t>26073106</t>
        </is>
      </c>
      <c r="D147" t="inlineStr">
        <is>
          <t>Elkiem</t>
        </is>
      </c>
      <c r="E147" t="inlineStr">
        <is>
          <t>26073106</t>
        </is>
      </c>
      <c r="G147" t="inlineStr">
        <is>
          <t>PRODUCTION</t>
        </is>
      </c>
      <c r="H147" t="inlineStr">
        <is>
          <t>Elkiem - Studio Support - 18.9.26</t>
        </is>
      </c>
      <c r="I147" t="n">
        <v>380</v>
      </c>
      <c r="J147" t="inlineStr">
        <is>
          <t>Lost</t>
        </is>
      </c>
      <c r="L147" s="51" t="n">
        <v>46295</v>
      </c>
      <c r="M147" t="n">
        <v>0</v>
      </c>
      <c r="P147" t="inlineStr">
        <is>
          <t>Closed Lost</t>
        </is>
      </c>
      <c r="Q147" t="n">
        <v>0</v>
      </c>
      <c r="R147" t="n">
        <v>0</v>
      </c>
      <c r="T147" s="9">
        <f>IFERROR(INDEX($A147:$R147,MATCH("Status",$A$1:$R$1,0)),"")&amp;""</f>
        <v/>
      </c>
      <c r="U147" s="52">
        <f>IFERROR(N(IFERROR(INDEX($A147:$R147,MATCH("Value Ex GST",$A$1:$R$1,0)),"")),0)</f>
        <v/>
      </c>
      <c r="V147" s="54">
        <f>IF(AND(T147&lt;&gt;"",IFERROR(INDEX($A147:$R147,MATCH("Value Ex GST",$A$1:$R$1,0)),"")&amp;""&lt;&gt;""),1,0)</f>
        <v/>
      </c>
      <c r="W147" s="56">
        <f>IFERROR(N(IFERROR(INDEX($A147:$R147,MATCH("Probability",$A$1:$R$1,0)),"")),0)</f>
        <v/>
      </c>
      <c r="X147" s="52">
        <f>IF(T147="Open",U147*W147,0)</f>
        <v/>
      </c>
      <c r="Y147" s="52">
        <f>IF(T147="Won",IFERROR(N(IFERROR(INDEX($A147:$R147,MATCH("Still to Invoice",$A$1:$R$1,0)),"")),0),0)</f>
        <v/>
      </c>
      <c r="Z147" s="55">
        <f>IFERROR(EOMONTH(IFERROR(INDEX($A147:$R147,MATCH("Expected Invoice Month",$A$1:$R$1,0)),""),0),"")</f>
        <v/>
      </c>
      <c r="AA147" s="9">
        <f>IFERROR(INDEX($A147:$R147,MATCH("Cost Centre",$A$1:$R$1,0)),"")&amp;""</f>
        <v/>
      </c>
      <c r="AB147" s="9">
        <f>IFERROR(INDEX($A147:$R147,MATCH("Pipeline Stage",$A$1:$R$1,0)),"")&amp;""</f>
        <v/>
      </c>
      <c r="AC147" s="9">
        <f>IFERROR(INDEX($A147:$R147,MATCH("Client",$A$1:$R$1,0)),"")&amp;""</f>
        <v/>
      </c>
      <c r="AD147" s="9">
        <f>IFERROR(INDEX($A147:$R147,MATCH("Description",$A$1:$R$1,0)),"")&amp;""</f>
        <v/>
      </c>
      <c r="AE147" s="9">
        <f>IFERROR(INDEX($A147:$R147,MATCH("Job Number",$A$1:$R$1,0)),"")&amp;""</f>
        <v/>
      </c>
      <c r="AF147" s="54">
        <f>IF(AND(T147="Open",ISNUMBER(Z147),Z147&lt;EOMONTH(set_AsAt,-1)+1),3,0)</f>
        <v/>
      </c>
      <c r="AG147" s="54">
        <f>IF(AND(T147="Open",U147&gt;0,U147&gt;=set_DealShare*SUMIFS($U$2:$U$601,$T$2:$T$601,"Open")),3,0)</f>
        <v/>
      </c>
      <c r="AH147" s="54">
        <f>IF(AND(T147="Open",U147&gt;=set_BigValue,W147&lt;=set_EarlyProb),2,0)</f>
        <v/>
      </c>
      <c r="AI147" s="54">
        <f>IF(AND(OR(T147="Open",T147="Won"),V147=0),2,0)</f>
        <v/>
      </c>
      <c r="AJ147" s="54">
        <f>IF(AND(T147="Won",Y147&gt;0.5,ISNUMBER(Z147),Z147&lt;EOMONTH(set_AsAt,-1)+1),3,0)</f>
        <v/>
      </c>
      <c r="AK147" s="54">
        <f>IF(AND(T147="Won",Y147&lt;-1),1,0)</f>
        <v/>
      </c>
      <c r="AL147" s="54">
        <f>SUM(AF147:AK147)</f>
        <v/>
      </c>
      <c r="AM147" s="9">
        <f>IF(AL147&gt;=set_ScoreHigh,"High",IF(AL147&gt;=set_ScoreMed,"Medium",IF(AL147&gt;0,"Low","OK")))</f>
        <v/>
      </c>
      <c r="AN147" s="54">
        <f>IF(OR(T147="Open",AND(T147="Won",ABS(Y147)&gt;0.5)),1,0)</f>
        <v/>
      </c>
      <c r="AO147" s="52">
        <f>IF(T147="Open",IF(V147=0,0,X147),IF(T147="Won",MAX(0,Y147),0))</f>
        <v/>
      </c>
      <c r="AP147" s="54">
        <f>IF(AN147=1,AL147*1E+9+U147+ROW()/1E+6,"")</f>
        <v/>
      </c>
      <c r="AQ147" s="9">
        <f>MID(IF(AF147&gt;0,"; Expected month passed - update Zoho","")&amp;IF(AG147&gt;0,"; "&amp;TEXT(U147/MAX(1,SUMIFS($U$2:$U$601,$T$2:$T$601,"Open")),"0%")&amp;" of open pipeline in one deal","")&amp;IF(AH147&gt;0,"; Large deal at an early stage","")&amp;IF(AI147&gt;0,"; No amount in Zoho","")&amp;IF(AJ147&gt;0,"; Won, invoice month passed, not fully invoiced","")&amp;IF(AK147&gt;0,"; Xero invoiced more than the deal value",""),3,300)</f>
        <v/>
      </c>
    </row>
    <row r="148">
      <c r="A148" s="51" t="n">
        <v>46234</v>
      </c>
      <c r="B148" t="inlineStr">
        <is>
          <t>ZOHO</t>
        </is>
      </c>
      <c r="C148" t="inlineStr">
        <is>
          <t>26032604</t>
        </is>
      </c>
      <c r="D148" t="inlineStr">
        <is>
          <t>HP</t>
        </is>
      </c>
      <c r="E148" t="inlineStr">
        <is>
          <t>26032604</t>
        </is>
      </c>
      <c r="G148" t="inlineStr">
        <is>
          <t>INTEGRATION</t>
        </is>
      </c>
      <c r="H148" t="inlineStr">
        <is>
          <t>HP-PMI_Custom Rooms Install - 26032604</t>
        </is>
      </c>
      <c r="I148" t="n">
        <v>38190</v>
      </c>
      <c r="J148" t="inlineStr">
        <is>
          <t>Lost</t>
        </is>
      </c>
      <c r="L148" s="51" t="n">
        <v>46234</v>
      </c>
      <c r="M148" t="n">
        <v>0</v>
      </c>
      <c r="P148" t="inlineStr">
        <is>
          <t>Closed Lost</t>
        </is>
      </c>
      <c r="Q148" t="n">
        <v>0</v>
      </c>
      <c r="R148" t="n">
        <v>0</v>
      </c>
      <c r="T148" s="9">
        <f>IFERROR(INDEX($A148:$R148,MATCH("Status",$A$1:$R$1,0)),"")&amp;""</f>
        <v/>
      </c>
      <c r="U148" s="52">
        <f>IFERROR(N(IFERROR(INDEX($A148:$R148,MATCH("Value Ex GST",$A$1:$R$1,0)),"")),0)</f>
        <v/>
      </c>
      <c r="V148" s="54">
        <f>IF(AND(T148&lt;&gt;"",IFERROR(INDEX($A148:$R148,MATCH("Value Ex GST",$A$1:$R$1,0)),"")&amp;""&lt;&gt;""),1,0)</f>
        <v/>
      </c>
      <c r="W148" s="56">
        <f>IFERROR(N(IFERROR(INDEX($A148:$R148,MATCH("Probability",$A$1:$R$1,0)),"")),0)</f>
        <v/>
      </c>
      <c r="X148" s="52">
        <f>IF(T148="Open",U148*W148,0)</f>
        <v/>
      </c>
      <c r="Y148" s="52">
        <f>IF(T148="Won",IFERROR(N(IFERROR(INDEX($A148:$R148,MATCH("Still to Invoice",$A$1:$R$1,0)),"")),0),0)</f>
        <v/>
      </c>
      <c r="Z148" s="55">
        <f>IFERROR(EOMONTH(IFERROR(INDEX($A148:$R148,MATCH("Expected Invoice Month",$A$1:$R$1,0)),""),0),"")</f>
        <v/>
      </c>
      <c r="AA148" s="9">
        <f>IFERROR(INDEX($A148:$R148,MATCH("Cost Centre",$A$1:$R$1,0)),"")&amp;""</f>
        <v/>
      </c>
      <c r="AB148" s="9">
        <f>IFERROR(INDEX($A148:$R148,MATCH("Pipeline Stage",$A$1:$R$1,0)),"")&amp;""</f>
        <v/>
      </c>
      <c r="AC148" s="9">
        <f>IFERROR(INDEX($A148:$R148,MATCH("Client",$A$1:$R$1,0)),"")&amp;""</f>
        <v/>
      </c>
      <c r="AD148" s="9">
        <f>IFERROR(INDEX($A148:$R148,MATCH("Description",$A$1:$R$1,0)),"")&amp;""</f>
        <v/>
      </c>
      <c r="AE148" s="9">
        <f>IFERROR(INDEX($A148:$R148,MATCH("Job Number",$A$1:$R$1,0)),"")&amp;""</f>
        <v/>
      </c>
      <c r="AF148" s="54">
        <f>IF(AND(T148="Open",ISNUMBER(Z148),Z148&lt;EOMONTH(set_AsAt,-1)+1),3,0)</f>
        <v/>
      </c>
      <c r="AG148" s="54">
        <f>IF(AND(T148="Open",U148&gt;0,U148&gt;=set_DealShare*SUMIFS($U$2:$U$601,$T$2:$T$601,"Open")),3,0)</f>
        <v/>
      </c>
      <c r="AH148" s="54">
        <f>IF(AND(T148="Open",U148&gt;=set_BigValue,W148&lt;=set_EarlyProb),2,0)</f>
        <v/>
      </c>
      <c r="AI148" s="54">
        <f>IF(AND(OR(T148="Open",T148="Won"),V148=0),2,0)</f>
        <v/>
      </c>
      <c r="AJ148" s="54">
        <f>IF(AND(T148="Won",Y148&gt;0.5,ISNUMBER(Z148),Z148&lt;EOMONTH(set_AsAt,-1)+1),3,0)</f>
        <v/>
      </c>
      <c r="AK148" s="54">
        <f>IF(AND(T148="Won",Y148&lt;-1),1,0)</f>
        <v/>
      </c>
      <c r="AL148" s="54">
        <f>SUM(AF148:AK148)</f>
        <v/>
      </c>
      <c r="AM148" s="9">
        <f>IF(AL148&gt;=set_ScoreHigh,"High",IF(AL148&gt;=set_ScoreMed,"Medium",IF(AL148&gt;0,"Low","OK")))</f>
        <v/>
      </c>
      <c r="AN148" s="54">
        <f>IF(OR(T148="Open",AND(T148="Won",ABS(Y148)&gt;0.5)),1,0)</f>
        <v/>
      </c>
      <c r="AO148" s="52">
        <f>IF(T148="Open",IF(V148=0,0,X148),IF(T148="Won",MAX(0,Y148),0))</f>
        <v/>
      </c>
      <c r="AP148" s="54">
        <f>IF(AN148=1,AL148*1E+9+U148+ROW()/1E+6,"")</f>
        <v/>
      </c>
      <c r="AQ148" s="9">
        <f>MID(IF(AF148&gt;0,"; Expected month passed - update Zoho","")&amp;IF(AG148&gt;0,"; "&amp;TEXT(U148/MAX(1,SUMIFS($U$2:$U$601,$T$2:$T$601,"Open")),"0%")&amp;" of open pipeline in one deal","")&amp;IF(AH148&gt;0,"; Large deal at an early stage","")&amp;IF(AI148&gt;0,"; No amount in Zoho","")&amp;IF(AJ148&gt;0,"; Won, invoice month passed, not fully invoiced","")&amp;IF(AK148&gt;0,"; Xero invoiced more than the deal value",""),3,300)</f>
        <v/>
      </c>
    </row>
    <row r="149">
      <c r="A149" s="51" t="n">
        <v>46265</v>
      </c>
      <c r="B149" t="inlineStr">
        <is>
          <t>ZOHO</t>
        </is>
      </c>
      <c r="C149" t="inlineStr">
        <is>
          <t>26061102</t>
        </is>
      </c>
      <c r="D149" t="inlineStr">
        <is>
          <t>Columbo Stock Exchange</t>
        </is>
      </c>
      <c r="E149" t="inlineStr">
        <is>
          <t>26061102</t>
        </is>
      </c>
      <c r="G149" t="inlineStr">
        <is>
          <t>PRODUCTION</t>
        </is>
      </c>
      <c r="H149" t="inlineStr">
        <is>
          <t>CSE - Sri Lanka Invest - 17.8.26</t>
        </is>
      </c>
      <c r="I149" t="n">
        <v>31000</v>
      </c>
      <c r="J149" t="inlineStr">
        <is>
          <t>Lost</t>
        </is>
      </c>
      <c r="L149" s="51" t="n">
        <v>46265</v>
      </c>
      <c r="M149" t="n">
        <v>0</v>
      </c>
      <c r="P149" t="inlineStr">
        <is>
          <t>Closed Lost</t>
        </is>
      </c>
      <c r="Q149" t="n">
        <v>0</v>
      </c>
      <c r="R149" t="n">
        <v>0</v>
      </c>
      <c r="T149" s="9">
        <f>IFERROR(INDEX($A149:$R149,MATCH("Status",$A$1:$R$1,0)),"")&amp;""</f>
        <v/>
      </c>
      <c r="U149" s="52">
        <f>IFERROR(N(IFERROR(INDEX($A149:$R149,MATCH("Value Ex GST",$A$1:$R$1,0)),"")),0)</f>
        <v/>
      </c>
      <c r="V149" s="54">
        <f>IF(AND(T149&lt;&gt;"",IFERROR(INDEX($A149:$R149,MATCH("Value Ex GST",$A$1:$R$1,0)),"")&amp;""&lt;&gt;""),1,0)</f>
        <v/>
      </c>
      <c r="W149" s="56">
        <f>IFERROR(N(IFERROR(INDEX($A149:$R149,MATCH("Probability",$A$1:$R$1,0)),"")),0)</f>
        <v/>
      </c>
      <c r="X149" s="52">
        <f>IF(T149="Open",U149*W149,0)</f>
        <v/>
      </c>
      <c r="Y149" s="52">
        <f>IF(T149="Won",IFERROR(N(IFERROR(INDEX($A149:$R149,MATCH("Still to Invoice",$A$1:$R$1,0)),"")),0),0)</f>
        <v/>
      </c>
      <c r="Z149" s="55">
        <f>IFERROR(EOMONTH(IFERROR(INDEX($A149:$R149,MATCH("Expected Invoice Month",$A$1:$R$1,0)),""),0),"")</f>
        <v/>
      </c>
      <c r="AA149" s="9">
        <f>IFERROR(INDEX($A149:$R149,MATCH("Cost Centre",$A$1:$R$1,0)),"")&amp;""</f>
        <v/>
      </c>
      <c r="AB149" s="9">
        <f>IFERROR(INDEX($A149:$R149,MATCH("Pipeline Stage",$A$1:$R$1,0)),"")&amp;""</f>
        <v/>
      </c>
      <c r="AC149" s="9">
        <f>IFERROR(INDEX($A149:$R149,MATCH("Client",$A$1:$R$1,0)),"")&amp;""</f>
        <v/>
      </c>
      <c r="AD149" s="9">
        <f>IFERROR(INDEX($A149:$R149,MATCH("Description",$A$1:$R$1,0)),"")&amp;""</f>
        <v/>
      </c>
      <c r="AE149" s="9">
        <f>IFERROR(INDEX($A149:$R149,MATCH("Job Number",$A$1:$R$1,0)),"")&amp;""</f>
        <v/>
      </c>
      <c r="AF149" s="54">
        <f>IF(AND(T149="Open",ISNUMBER(Z149),Z149&lt;EOMONTH(set_AsAt,-1)+1),3,0)</f>
        <v/>
      </c>
      <c r="AG149" s="54">
        <f>IF(AND(T149="Open",U149&gt;0,U149&gt;=set_DealShare*SUMIFS($U$2:$U$601,$T$2:$T$601,"Open")),3,0)</f>
        <v/>
      </c>
      <c r="AH149" s="54">
        <f>IF(AND(T149="Open",U149&gt;=set_BigValue,W149&lt;=set_EarlyProb),2,0)</f>
        <v/>
      </c>
      <c r="AI149" s="54">
        <f>IF(AND(OR(T149="Open",T149="Won"),V149=0),2,0)</f>
        <v/>
      </c>
      <c r="AJ149" s="54">
        <f>IF(AND(T149="Won",Y149&gt;0.5,ISNUMBER(Z149),Z149&lt;EOMONTH(set_AsAt,-1)+1),3,0)</f>
        <v/>
      </c>
      <c r="AK149" s="54">
        <f>IF(AND(T149="Won",Y149&lt;-1),1,0)</f>
        <v/>
      </c>
      <c r="AL149" s="54">
        <f>SUM(AF149:AK149)</f>
        <v/>
      </c>
      <c r="AM149" s="9">
        <f>IF(AL149&gt;=set_ScoreHigh,"High",IF(AL149&gt;=set_ScoreMed,"Medium",IF(AL149&gt;0,"Low","OK")))</f>
        <v/>
      </c>
      <c r="AN149" s="54">
        <f>IF(OR(T149="Open",AND(T149="Won",ABS(Y149)&gt;0.5)),1,0)</f>
        <v/>
      </c>
      <c r="AO149" s="52">
        <f>IF(T149="Open",IF(V149=0,0,X149),IF(T149="Won",MAX(0,Y149),0))</f>
        <v/>
      </c>
      <c r="AP149" s="54">
        <f>IF(AN149=1,AL149*1E+9+U149+ROW()/1E+6,"")</f>
        <v/>
      </c>
      <c r="AQ149" s="9">
        <f>MID(IF(AF149&gt;0,"; Expected month passed - update Zoho","")&amp;IF(AG149&gt;0,"; "&amp;TEXT(U149/MAX(1,SUMIFS($U$2:$U$601,$T$2:$T$601,"Open")),"0%")&amp;" of open pipeline in one deal","")&amp;IF(AH149&gt;0,"; Large deal at an early stage","")&amp;IF(AI149&gt;0,"; No amount in Zoho","")&amp;IF(AJ149&gt;0,"; Won, invoice month passed, not fully invoiced","")&amp;IF(AK149&gt;0,"; Xero invoiced more than the deal value",""),3,300)</f>
        <v/>
      </c>
    </row>
    <row r="150">
      <c r="A150" s="51" t="n">
        <v>46265</v>
      </c>
      <c r="B150" t="inlineStr">
        <is>
          <t>ZOHO</t>
        </is>
      </c>
      <c r="C150" t="inlineStr">
        <is>
          <t>26072803</t>
        </is>
      </c>
      <c r="D150" t="inlineStr">
        <is>
          <t>ON24</t>
        </is>
      </c>
      <c r="E150" t="inlineStr">
        <is>
          <t>26072803</t>
        </is>
      </c>
      <c r="G150" t="inlineStr">
        <is>
          <t>PRODUCTION</t>
        </is>
      </c>
      <c r="H150" t="inlineStr">
        <is>
          <t>KWM Melbourne Event - 26.8.2026</t>
        </is>
      </c>
      <c r="I150" t="n">
        <v>4055</v>
      </c>
      <c r="J150" t="inlineStr">
        <is>
          <t>Lost</t>
        </is>
      </c>
      <c r="L150" s="51" t="n">
        <v>46265</v>
      </c>
      <c r="M150" t="n">
        <v>0</v>
      </c>
      <c r="P150" t="inlineStr">
        <is>
          <t>Closed Lost</t>
        </is>
      </c>
      <c r="Q150" t="n">
        <v>0</v>
      </c>
      <c r="R150" t="n">
        <v>0</v>
      </c>
      <c r="T150" s="9">
        <f>IFERROR(INDEX($A150:$R150,MATCH("Status",$A$1:$R$1,0)),"")&amp;""</f>
        <v/>
      </c>
      <c r="U150" s="52">
        <f>IFERROR(N(IFERROR(INDEX($A150:$R150,MATCH("Value Ex GST",$A$1:$R$1,0)),"")),0)</f>
        <v/>
      </c>
      <c r="V150" s="54">
        <f>IF(AND(T150&lt;&gt;"",IFERROR(INDEX($A150:$R150,MATCH("Value Ex GST",$A$1:$R$1,0)),"")&amp;""&lt;&gt;""),1,0)</f>
        <v/>
      </c>
      <c r="W150" s="56">
        <f>IFERROR(N(IFERROR(INDEX($A150:$R150,MATCH("Probability",$A$1:$R$1,0)),"")),0)</f>
        <v/>
      </c>
      <c r="X150" s="52">
        <f>IF(T150="Open",U150*W150,0)</f>
        <v/>
      </c>
      <c r="Y150" s="52">
        <f>IF(T150="Won",IFERROR(N(IFERROR(INDEX($A150:$R150,MATCH("Still to Invoice",$A$1:$R$1,0)),"")),0),0)</f>
        <v/>
      </c>
      <c r="Z150" s="55">
        <f>IFERROR(EOMONTH(IFERROR(INDEX($A150:$R150,MATCH("Expected Invoice Month",$A$1:$R$1,0)),""),0),"")</f>
        <v/>
      </c>
      <c r="AA150" s="9">
        <f>IFERROR(INDEX($A150:$R150,MATCH("Cost Centre",$A$1:$R$1,0)),"")&amp;""</f>
        <v/>
      </c>
      <c r="AB150" s="9">
        <f>IFERROR(INDEX($A150:$R150,MATCH("Pipeline Stage",$A$1:$R$1,0)),"")&amp;""</f>
        <v/>
      </c>
      <c r="AC150" s="9">
        <f>IFERROR(INDEX($A150:$R150,MATCH("Client",$A$1:$R$1,0)),"")&amp;""</f>
        <v/>
      </c>
      <c r="AD150" s="9">
        <f>IFERROR(INDEX($A150:$R150,MATCH("Description",$A$1:$R$1,0)),"")&amp;""</f>
        <v/>
      </c>
      <c r="AE150" s="9">
        <f>IFERROR(INDEX($A150:$R150,MATCH("Job Number",$A$1:$R$1,0)),"")&amp;""</f>
        <v/>
      </c>
      <c r="AF150" s="54">
        <f>IF(AND(T150="Open",ISNUMBER(Z150),Z150&lt;EOMONTH(set_AsAt,-1)+1),3,0)</f>
        <v/>
      </c>
      <c r="AG150" s="54">
        <f>IF(AND(T150="Open",U150&gt;0,U150&gt;=set_DealShare*SUMIFS($U$2:$U$601,$T$2:$T$601,"Open")),3,0)</f>
        <v/>
      </c>
      <c r="AH150" s="54">
        <f>IF(AND(T150="Open",U150&gt;=set_BigValue,W150&lt;=set_EarlyProb),2,0)</f>
        <v/>
      </c>
      <c r="AI150" s="54">
        <f>IF(AND(OR(T150="Open",T150="Won"),V150=0),2,0)</f>
        <v/>
      </c>
      <c r="AJ150" s="54">
        <f>IF(AND(T150="Won",Y150&gt;0.5,ISNUMBER(Z150),Z150&lt;EOMONTH(set_AsAt,-1)+1),3,0)</f>
        <v/>
      </c>
      <c r="AK150" s="54">
        <f>IF(AND(T150="Won",Y150&lt;-1),1,0)</f>
        <v/>
      </c>
      <c r="AL150" s="54">
        <f>SUM(AF150:AK150)</f>
        <v/>
      </c>
      <c r="AM150" s="9">
        <f>IF(AL150&gt;=set_ScoreHigh,"High",IF(AL150&gt;=set_ScoreMed,"Medium",IF(AL150&gt;0,"Low","OK")))</f>
        <v/>
      </c>
      <c r="AN150" s="54">
        <f>IF(OR(T150="Open",AND(T150="Won",ABS(Y150)&gt;0.5)),1,0)</f>
        <v/>
      </c>
      <c r="AO150" s="52">
        <f>IF(T150="Open",IF(V150=0,0,X150),IF(T150="Won",MAX(0,Y150),0))</f>
        <v/>
      </c>
      <c r="AP150" s="54">
        <f>IF(AN150=1,AL150*1E+9+U150+ROW()/1E+6,"")</f>
        <v/>
      </c>
      <c r="AQ150" s="9">
        <f>MID(IF(AF150&gt;0,"; Expected month passed - update Zoho","")&amp;IF(AG150&gt;0,"; "&amp;TEXT(U150/MAX(1,SUMIFS($U$2:$U$601,$T$2:$T$601,"Open")),"0%")&amp;" of open pipeline in one deal","")&amp;IF(AH150&gt;0,"; Large deal at an early stage","")&amp;IF(AI150&gt;0,"; No amount in Zoho","")&amp;IF(AJ150&gt;0,"; Won, invoice month passed, not fully invoiced","")&amp;IF(AK150&gt;0,"; Xero invoiced more than the deal value",""),3,300)</f>
        <v/>
      </c>
    </row>
    <row r="151">
      <c r="A151" s="51" t="n">
        <v>46234</v>
      </c>
      <c r="B151" t="inlineStr">
        <is>
          <t>ZOHO</t>
        </is>
      </c>
      <c r="C151" t="inlineStr">
        <is>
          <t>26051403</t>
        </is>
      </c>
      <c r="D151" t="inlineStr">
        <is>
          <t>TRANSGRID</t>
        </is>
      </c>
      <c r="E151" t="inlineStr">
        <is>
          <t>26051403</t>
        </is>
      </c>
      <c r="G151" t="inlineStr">
        <is>
          <t>ONSITE</t>
        </is>
      </c>
      <c r="H151" t="inlineStr">
        <is>
          <t>AV Support Contract (3-years) | 26051403</t>
        </is>
      </c>
      <c r="J151" t="inlineStr">
        <is>
          <t>Lost</t>
        </is>
      </c>
      <c r="L151" s="51" t="n">
        <v>46234</v>
      </c>
      <c r="M151" t="n">
        <v>0</v>
      </c>
      <c r="O151" t="inlineStr">
        <is>
          <t>No amount in Zoho</t>
        </is>
      </c>
      <c r="P151" t="inlineStr">
        <is>
          <t>Closed Lost</t>
        </is>
      </c>
      <c r="Q151" t="n">
        <v>0</v>
      </c>
      <c r="R151" t="n">
        <v>0</v>
      </c>
      <c r="T151" s="9">
        <f>IFERROR(INDEX($A151:$R151,MATCH("Status",$A$1:$R$1,0)),"")&amp;""</f>
        <v/>
      </c>
      <c r="U151" s="52">
        <f>IFERROR(N(IFERROR(INDEX($A151:$R151,MATCH("Value Ex GST",$A$1:$R$1,0)),"")),0)</f>
        <v/>
      </c>
      <c r="V151" s="54">
        <f>IF(AND(T151&lt;&gt;"",IFERROR(INDEX($A151:$R151,MATCH("Value Ex GST",$A$1:$R$1,0)),"")&amp;""&lt;&gt;""),1,0)</f>
        <v/>
      </c>
      <c r="W151" s="56">
        <f>IFERROR(N(IFERROR(INDEX($A151:$R151,MATCH("Probability",$A$1:$R$1,0)),"")),0)</f>
        <v/>
      </c>
      <c r="X151" s="52">
        <f>IF(T151="Open",U151*W151,0)</f>
        <v/>
      </c>
      <c r="Y151" s="52">
        <f>IF(T151="Won",IFERROR(N(IFERROR(INDEX($A151:$R151,MATCH("Still to Invoice",$A$1:$R$1,0)),"")),0),0)</f>
        <v/>
      </c>
      <c r="Z151" s="55">
        <f>IFERROR(EOMONTH(IFERROR(INDEX($A151:$R151,MATCH("Expected Invoice Month",$A$1:$R$1,0)),""),0),"")</f>
        <v/>
      </c>
      <c r="AA151" s="9">
        <f>IFERROR(INDEX($A151:$R151,MATCH("Cost Centre",$A$1:$R$1,0)),"")&amp;""</f>
        <v/>
      </c>
      <c r="AB151" s="9">
        <f>IFERROR(INDEX($A151:$R151,MATCH("Pipeline Stage",$A$1:$R$1,0)),"")&amp;""</f>
        <v/>
      </c>
      <c r="AC151" s="9">
        <f>IFERROR(INDEX($A151:$R151,MATCH("Client",$A$1:$R$1,0)),"")&amp;""</f>
        <v/>
      </c>
      <c r="AD151" s="9">
        <f>IFERROR(INDEX($A151:$R151,MATCH("Description",$A$1:$R$1,0)),"")&amp;""</f>
        <v/>
      </c>
      <c r="AE151" s="9">
        <f>IFERROR(INDEX($A151:$R151,MATCH("Job Number",$A$1:$R$1,0)),"")&amp;""</f>
        <v/>
      </c>
      <c r="AF151" s="54">
        <f>IF(AND(T151="Open",ISNUMBER(Z151),Z151&lt;EOMONTH(set_AsAt,-1)+1),3,0)</f>
        <v/>
      </c>
      <c r="AG151" s="54">
        <f>IF(AND(T151="Open",U151&gt;0,U151&gt;=set_DealShare*SUMIFS($U$2:$U$601,$T$2:$T$601,"Open")),3,0)</f>
        <v/>
      </c>
      <c r="AH151" s="54">
        <f>IF(AND(T151="Open",U151&gt;=set_BigValue,W151&lt;=set_EarlyProb),2,0)</f>
        <v/>
      </c>
      <c r="AI151" s="54">
        <f>IF(AND(OR(T151="Open",T151="Won"),V151=0),2,0)</f>
        <v/>
      </c>
      <c r="AJ151" s="54">
        <f>IF(AND(T151="Won",Y151&gt;0.5,ISNUMBER(Z151),Z151&lt;EOMONTH(set_AsAt,-1)+1),3,0)</f>
        <v/>
      </c>
      <c r="AK151" s="54">
        <f>IF(AND(T151="Won",Y151&lt;-1),1,0)</f>
        <v/>
      </c>
      <c r="AL151" s="54">
        <f>SUM(AF151:AK151)</f>
        <v/>
      </c>
      <c r="AM151" s="9">
        <f>IF(AL151&gt;=set_ScoreHigh,"High",IF(AL151&gt;=set_ScoreMed,"Medium",IF(AL151&gt;0,"Low","OK")))</f>
        <v/>
      </c>
      <c r="AN151" s="54">
        <f>IF(OR(T151="Open",AND(T151="Won",ABS(Y151)&gt;0.5)),1,0)</f>
        <v/>
      </c>
      <c r="AO151" s="52">
        <f>IF(T151="Open",IF(V151=0,0,X151),IF(T151="Won",MAX(0,Y151),0))</f>
        <v/>
      </c>
      <c r="AP151" s="54">
        <f>IF(AN151=1,AL151*1E+9+U151+ROW()/1E+6,"")</f>
        <v/>
      </c>
      <c r="AQ151" s="9">
        <f>MID(IF(AF151&gt;0,"; Expected month passed - update Zoho","")&amp;IF(AG151&gt;0,"; "&amp;TEXT(U151/MAX(1,SUMIFS($U$2:$U$601,$T$2:$T$601,"Open")),"0%")&amp;" of open pipeline in one deal","")&amp;IF(AH151&gt;0,"; Large deal at an early stage","")&amp;IF(AI151&gt;0,"; No amount in Zoho","")&amp;IF(AJ151&gt;0,"; Won, invoice month passed, not fully invoiced","")&amp;IF(AK151&gt;0,"; Xero invoiced more than the deal value",""),3,300)</f>
        <v/>
      </c>
    </row>
    <row r="152">
      <c r="A152" s="51" t="n">
        <v>46234</v>
      </c>
      <c r="B152" t="inlineStr">
        <is>
          <t>ZOHO</t>
        </is>
      </c>
      <c r="C152" t="inlineStr">
        <is>
          <t>26042102</t>
        </is>
      </c>
      <c r="D152" t="inlineStr">
        <is>
          <t>HP</t>
        </is>
      </c>
      <c r="E152" t="inlineStr">
        <is>
          <t>26042102</t>
        </is>
      </c>
      <c r="G152" t="inlineStr">
        <is>
          <t>INTEGRATION</t>
        </is>
      </c>
      <c r="H152" t="inlineStr">
        <is>
          <t>HP-Calvary 36Month Support Rate Card - 26042102</t>
        </is>
      </c>
      <c r="I152" t="n">
        <v>450</v>
      </c>
      <c r="J152" t="inlineStr">
        <is>
          <t>Lost</t>
        </is>
      </c>
      <c r="L152" s="51" t="n">
        <v>46234</v>
      </c>
      <c r="M152" t="n">
        <v>0</v>
      </c>
      <c r="P152" t="inlineStr">
        <is>
          <t>Closed Lost</t>
        </is>
      </c>
      <c r="Q152" t="n">
        <v>0</v>
      </c>
      <c r="R152" t="n">
        <v>0</v>
      </c>
      <c r="T152" s="9">
        <f>IFERROR(INDEX($A152:$R152,MATCH("Status",$A$1:$R$1,0)),"")&amp;""</f>
        <v/>
      </c>
      <c r="U152" s="52">
        <f>IFERROR(N(IFERROR(INDEX($A152:$R152,MATCH("Value Ex GST",$A$1:$R$1,0)),"")),0)</f>
        <v/>
      </c>
      <c r="V152" s="54">
        <f>IF(AND(T152&lt;&gt;"",IFERROR(INDEX($A152:$R152,MATCH("Value Ex GST",$A$1:$R$1,0)),"")&amp;""&lt;&gt;""),1,0)</f>
        <v/>
      </c>
      <c r="W152" s="56">
        <f>IFERROR(N(IFERROR(INDEX($A152:$R152,MATCH("Probability",$A$1:$R$1,0)),"")),0)</f>
        <v/>
      </c>
      <c r="X152" s="52">
        <f>IF(T152="Open",U152*W152,0)</f>
        <v/>
      </c>
      <c r="Y152" s="52">
        <f>IF(T152="Won",IFERROR(N(IFERROR(INDEX($A152:$R152,MATCH("Still to Invoice",$A$1:$R$1,0)),"")),0),0)</f>
        <v/>
      </c>
      <c r="Z152" s="55">
        <f>IFERROR(EOMONTH(IFERROR(INDEX($A152:$R152,MATCH("Expected Invoice Month",$A$1:$R$1,0)),""),0),"")</f>
        <v/>
      </c>
      <c r="AA152" s="9">
        <f>IFERROR(INDEX($A152:$R152,MATCH("Cost Centre",$A$1:$R$1,0)),"")&amp;""</f>
        <v/>
      </c>
      <c r="AB152" s="9">
        <f>IFERROR(INDEX($A152:$R152,MATCH("Pipeline Stage",$A$1:$R$1,0)),"")&amp;""</f>
        <v/>
      </c>
      <c r="AC152" s="9">
        <f>IFERROR(INDEX($A152:$R152,MATCH("Client",$A$1:$R$1,0)),"")&amp;""</f>
        <v/>
      </c>
      <c r="AD152" s="9">
        <f>IFERROR(INDEX($A152:$R152,MATCH("Description",$A$1:$R$1,0)),"")&amp;""</f>
        <v/>
      </c>
      <c r="AE152" s="9">
        <f>IFERROR(INDEX($A152:$R152,MATCH("Job Number",$A$1:$R$1,0)),"")&amp;""</f>
        <v/>
      </c>
      <c r="AF152" s="54">
        <f>IF(AND(T152="Open",ISNUMBER(Z152),Z152&lt;EOMONTH(set_AsAt,-1)+1),3,0)</f>
        <v/>
      </c>
      <c r="AG152" s="54">
        <f>IF(AND(T152="Open",U152&gt;0,U152&gt;=set_DealShare*SUMIFS($U$2:$U$601,$T$2:$T$601,"Open")),3,0)</f>
        <v/>
      </c>
      <c r="AH152" s="54">
        <f>IF(AND(T152="Open",U152&gt;=set_BigValue,W152&lt;=set_EarlyProb),2,0)</f>
        <v/>
      </c>
      <c r="AI152" s="54">
        <f>IF(AND(OR(T152="Open",T152="Won"),V152=0),2,0)</f>
        <v/>
      </c>
      <c r="AJ152" s="54">
        <f>IF(AND(T152="Won",Y152&gt;0.5,ISNUMBER(Z152),Z152&lt;EOMONTH(set_AsAt,-1)+1),3,0)</f>
        <v/>
      </c>
      <c r="AK152" s="54">
        <f>IF(AND(T152="Won",Y152&lt;-1),1,0)</f>
        <v/>
      </c>
      <c r="AL152" s="54">
        <f>SUM(AF152:AK152)</f>
        <v/>
      </c>
      <c r="AM152" s="9">
        <f>IF(AL152&gt;=set_ScoreHigh,"High",IF(AL152&gt;=set_ScoreMed,"Medium",IF(AL152&gt;0,"Low","OK")))</f>
        <v/>
      </c>
      <c r="AN152" s="54">
        <f>IF(OR(T152="Open",AND(T152="Won",ABS(Y152)&gt;0.5)),1,0)</f>
        <v/>
      </c>
      <c r="AO152" s="52">
        <f>IF(T152="Open",IF(V152=0,0,X152),IF(T152="Won",MAX(0,Y152),0))</f>
        <v/>
      </c>
      <c r="AP152" s="54">
        <f>IF(AN152=1,AL152*1E+9+U152+ROW()/1E+6,"")</f>
        <v/>
      </c>
      <c r="AQ152" s="9">
        <f>MID(IF(AF152&gt;0,"; Expected month passed - update Zoho","")&amp;IF(AG152&gt;0,"; "&amp;TEXT(U152/MAX(1,SUMIFS($U$2:$U$601,$T$2:$T$601,"Open")),"0%")&amp;" of open pipeline in one deal","")&amp;IF(AH152&gt;0,"; Large deal at an early stage","")&amp;IF(AI152&gt;0,"; No amount in Zoho","")&amp;IF(AJ152&gt;0,"; Won, invoice month passed, not fully invoiced","")&amp;IF(AK152&gt;0,"; Xero invoiced more than the deal value",""),3,300)</f>
        <v/>
      </c>
    </row>
    <row r="153">
      <c r="A153" s="51" t="n">
        <v>46295</v>
      </c>
      <c r="B153" t="inlineStr">
        <is>
          <t>ZOHO</t>
        </is>
      </c>
      <c r="C153" t="inlineStr">
        <is>
          <t>26073108</t>
        </is>
      </c>
      <c r="D153" t="inlineStr">
        <is>
          <t>Sydney Custom Joinery</t>
        </is>
      </c>
      <c r="E153" t="inlineStr">
        <is>
          <t>26073108</t>
        </is>
      </c>
      <c r="G153" t="inlineStr">
        <is>
          <t>INTEGRATION</t>
        </is>
      </c>
      <c r="H153" t="inlineStr">
        <is>
          <t>SydCustomJoinery | Rack Quote - 26073108</t>
        </is>
      </c>
      <c r="I153" t="n">
        <v>720</v>
      </c>
      <c r="J153" t="inlineStr">
        <is>
          <t>Lost</t>
        </is>
      </c>
      <c r="L153" s="51" t="n">
        <v>46295</v>
      </c>
      <c r="M153" t="n">
        <v>0</v>
      </c>
      <c r="P153" t="inlineStr">
        <is>
          <t>Closed Lost</t>
        </is>
      </c>
      <c r="Q153" t="n">
        <v>0</v>
      </c>
      <c r="R153" t="n">
        <v>0</v>
      </c>
      <c r="T153" s="9">
        <f>IFERROR(INDEX($A153:$R153,MATCH("Status",$A$1:$R$1,0)),"")&amp;""</f>
        <v/>
      </c>
      <c r="U153" s="52">
        <f>IFERROR(N(IFERROR(INDEX($A153:$R153,MATCH("Value Ex GST",$A$1:$R$1,0)),"")),0)</f>
        <v/>
      </c>
      <c r="V153" s="54">
        <f>IF(AND(T153&lt;&gt;"",IFERROR(INDEX($A153:$R153,MATCH("Value Ex GST",$A$1:$R$1,0)),"")&amp;""&lt;&gt;""),1,0)</f>
        <v/>
      </c>
      <c r="W153" s="56">
        <f>IFERROR(N(IFERROR(INDEX($A153:$R153,MATCH("Probability",$A$1:$R$1,0)),"")),0)</f>
        <v/>
      </c>
      <c r="X153" s="52">
        <f>IF(T153="Open",U153*W153,0)</f>
        <v/>
      </c>
      <c r="Y153" s="52">
        <f>IF(T153="Won",IFERROR(N(IFERROR(INDEX($A153:$R153,MATCH("Still to Invoice",$A$1:$R$1,0)),"")),0),0)</f>
        <v/>
      </c>
      <c r="Z153" s="55">
        <f>IFERROR(EOMONTH(IFERROR(INDEX($A153:$R153,MATCH("Expected Invoice Month",$A$1:$R$1,0)),""),0),"")</f>
        <v/>
      </c>
      <c r="AA153" s="9">
        <f>IFERROR(INDEX($A153:$R153,MATCH("Cost Centre",$A$1:$R$1,0)),"")&amp;""</f>
        <v/>
      </c>
      <c r="AB153" s="9">
        <f>IFERROR(INDEX($A153:$R153,MATCH("Pipeline Stage",$A$1:$R$1,0)),"")&amp;""</f>
        <v/>
      </c>
      <c r="AC153" s="9">
        <f>IFERROR(INDEX($A153:$R153,MATCH("Client",$A$1:$R$1,0)),"")&amp;""</f>
        <v/>
      </c>
      <c r="AD153" s="9">
        <f>IFERROR(INDEX($A153:$R153,MATCH("Description",$A$1:$R$1,0)),"")&amp;""</f>
        <v/>
      </c>
      <c r="AE153" s="9">
        <f>IFERROR(INDEX($A153:$R153,MATCH("Job Number",$A$1:$R$1,0)),"")&amp;""</f>
        <v/>
      </c>
      <c r="AF153" s="54">
        <f>IF(AND(T153="Open",ISNUMBER(Z153),Z153&lt;EOMONTH(set_AsAt,-1)+1),3,0)</f>
        <v/>
      </c>
      <c r="AG153" s="54">
        <f>IF(AND(T153="Open",U153&gt;0,U153&gt;=set_DealShare*SUMIFS($U$2:$U$601,$T$2:$T$601,"Open")),3,0)</f>
        <v/>
      </c>
      <c r="AH153" s="54">
        <f>IF(AND(T153="Open",U153&gt;=set_BigValue,W153&lt;=set_EarlyProb),2,0)</f>
        <v/>
      </c>
      <c r="AI153" s="54">
        <f>IF(AND(OR(T153="Open",T153="Won"),V153=0),2,0)</f>
        <v/>
      </c>
      <c r="AJ153" s="54">
        <f>IF(AND(T153="Won",Y153&gt;0.5,ISNUMBER(Z153),Z153&lt;EOMONTH(set_AsAt,-1)+1),3,0)</f>
        <v/>
      </c>
      <c r="AK153" s="54">
        <f>IF(AND(T153="Won",Y153&lt;-1),1,0)</f>
        <v/>
      </c>
      <c r="AL153" s="54">
        <f>SUM(AF153:AK153)</f>
        <v/>
      </c>
      <c r="AM153" s="9">
        <f>IF(AL153&gt;=set_ScoreHigh,"High",IF(AL153&gt;=set_ScoreMed,"Medium",IF(AL153&gt;0,"Low","OK")))</f>
        <v/>
      </c>
      <c r="AN153" s="54">
        <f>IF(OR(T153="Open",AND(T153="Won",ABS(Y153)&gt;0.5)),1,0)</f>
        <v/>
      </c>
      <c r="AO153" s="52">
        <f>IF(T153="Open",IF(V153=0,0,X153),IF(T153="Won",MAX(0,Y153),0))</f>
        <v/>
      </c>
      <c r="AP153" s="54">
        <f>IF(AN153=1,AL153*1E+9+U153+ROW()/1E+6,"")</f>
        <v/>
      </c>
      <c r="AQ153" s="9">
        <f>MID(IF(AF153&gt;0,"; Expected month passed - update Zoho","")&amp;IF(AG153&gt;0,"; "&amp;TEXT(U153/MAX(1,SUMIFS($U$2:$U$601,$T$2:$T$601,"Open")),"0%")&amp;" of open pipeline in one deal","")&amp;IF(AH153&gt;0,"; Large deal at an early stage","")&amp;IF(AI153&gt;0,"; No amount in Zoho","")&amp;IF(AJ153&gt;0,"; Won, invoice month passed, not fully invoiced","")&amp;IF(AK153&gt;0,"; Xero invoiced more than the deal value",""),3,300)</f>
        <v/>
      </c>
    </row>
    <row r="154">
      <c r="A154" s="51" t="n">
        <v>46295</v>
      </c>
      <c r="B154" t="inlineStr">
        <is>
          <t>ZOHO</t>
        </is>
      </c>
      <c r="C154" t="inlineStr">
        <is>
          <t>2607902</t>
        </is>
      </c>
      <c r="D154" t="inlineStr">
        <is>
          <t>QBE</t>
        </is>
      </c>
      <c r="E154" t="inlineStr">
        <is>
          <t>2607902</t>
        </is>
      </c>
      <c r="G154" t="inlineStr">
        <is>
          <t>PRODUCTION</t>
        </is>
      </c>
      <c r="H154" t="inlineStr">
        <is>
          <t>QBE - AFL Grand Final Event - 25.9.26</t>
        </is>
      </c>
      <c r="I154" t="n">
        <v>6245</v>
      </c>
      <c r="J154" t="inlineStr">
        <is>
          <t>Lost</t>
        </is>
      </c>
      <c r="L154" s="51" t="n">
        <v>46295</v>
      </c>
      <c r="M154" t="n">
        <v>0</v>
      </c>
      <c r="P154" t="inlineStr">
        <is>
          <t>Closed Lost</t>
        </is>
      </c>
      <c r="Q154" t="n">
        <v>0</v>
      </c>
      <c r="R154" t="n">
        <v>0</v>
      </c>
      <c r="T154" s="9">
        <f>IFERROR(INDEX($A154:$R154,MATCH("Status",$A$1:$R$1,0)),"")&amp;""</f>
        <v/>
      </c>
      <c r="U154" s="52">
        <f>IFERROR(N(IFERROR(INDEX($A154:$R154,MATCH("Value Ex GST",$A$1:$R$1,0)),"")),0)</f>
        <v/>
      </c>
      <c r="V154" s="54">
        <f>IF(AND(T154&lt;&gt;"",IFERROR(INDEX($A154:$R154,MATCH("Value Ex GST",$A$1:$R$1,0)),"")&amp;""&lt;&gt;""),1,0)</f>
        <v/>
      </c>
      <c r="W154" s="56">
        <f>IFERROR(N(IFERROR(INDEX($A154:$R154,MATCH("Probability",$A$1:$R$1,0)),"")),0)</f>
        <v/>
      </c>
      <c r="X154" s="52">
        <f>IF(T154="Open",U154*W154,0)</f>
        <v/>
      </c>
      <c r="Y154" s="52">
        <f>IF(T154="Won",IFERROR(N(IFERROR(INDEX($A154:$R154,MATCH("Still to Invoice",$A$1:$R$1,0)),"")),0),0)</f>
        <v/>
      </c>
      <c r="Z154" s="55">
        <f>IFERROR(EOMONTH(IFERROR(INDEX($A154:$R154,MATCH("Expected Invoice Month",$A$1:$R$1,0)),""),0),"")</f>
        <v/>
      </c>
      <c r="AA154" s="9">
        <f>IFERROR(INDEX($A154:$R154,MATCH("Cost Centre",$A$1:$R$1,0)),"")&amp;""</f>
        <v/>
      </c>
      <c r="AB154" s="9">
        <f>IFERROR(INDEX($A154:$R154,MATCH("Pipeline Stage",$A$1:$R$1,0)),"")&amp;""</f>
        <v/>
      </c>
      <c r="AC154" s="9">
        <f>IFERROR(INDEX($A154:$R154,MATCH("Client",$A$1:$R$1,0)),"")&amp;""</f>
        <v/>
      </c>
      <c r="AD154" s="9">
        <f>IFERROR(INDEX($A154:$R154,MATCH("Description",$A$1:$R$1,0)),"")&amp;""</f>
        <v/>
      </c>
      <c r="AE154" s="9">
        <f>IFERROR(INDEX($A154:$R154,MATCH("Job Number",$A$1:$R$1,0)),"")&amp;""</f>
        <v/>
      </c>
      <c r="AF154" s="54">
        <f>IF(AND(T154="Open",ISNUMBER(Z154),Z154&lt;EOMONTH(set_AsAt,-1)+1),3,0)</f>
        <v/>
      </c>
      <c r="AG154" s="54">
        <f>IF(AND(T154="Open",U154&gt;0,U154&gt;=set_DealShare*SUMIFS($U$2:$U$601,$T$2:$T$601,"Open")),3,0)</f>
        <v/>
      </c>
      <c r="AH154" s="54">
        <f>IF(AND(T154="Open",U154&gt;=set_BigValue,W154&lt;=set_EarlyProb),2,0)</f>
        <v/>
      </c>
      <c r="AI154" s="54">
        <f>IF(AND(OR(T154="Open",T154="Won"),V154=0),2,0)</f>
        <v/>
      </c>
      <c r="AJ154" s="54">
        <f>IF(AND(T154="Won",Y154&gt;0.5,ISNUMBER(Z154),Z154&lt;EOMONTH(set_AsAt,-1)+1),3,0)</f>
        <v/>
      </c>
      <c r="AK154" s="54">
        <f>IF(AND(T154="Won",Y154&lt;-1),1,0)</f>
        <v/>
      </c>
      <c r="AL154" s="54">
        <f>SUM(AF154:AK154)</f>
        <v/>
      </c>
      <c r="AM154" s="9">
        <f>IF(AL154&gt;=set_ScoreHigh,"High",IF(AL154&gt;=set_ScoreMed,"Medium",IF(AL154&gt;0,"Low","OK")))</f>
        <v/>
      </c>
      <c r="AN154" s="54">
        <f>IF(OR(T154="Open",AND(T154="Won",ABS(Y154)&gt;0.5)),1,0)</f>
        <v/>
      </c>
      <c r="AO154" s="52">
        <f>IF(T154="Open",IF(V154=0,0,X154),IF(T154="Won",MAX(0,Y154),0))</f>
        <v/>
      </c>
      <c r="AP154" s="54">
        <f>IF(AN154=1,AL154*1E+9+U154+ROW()/1E+6,"")</f>
        <v/>
      </c>
      <c r="AQ154" s="9">
        <f>MID(IF(AF154&gt;0,"; Expected month passed - update Zoho","")&amp;IF(AG154&gt;0,"; "&amp;TEXT(U154/MAX(1,SUMIFS($U$2:$U$601,$T$2:$T$601,"Open")),"0%")&amp;" of open pipeline in one deal","")&amp;IF(AH154&gt;0,"; Large deal at an early stage","")&amp;IF(AI154&gt;0,"; No amount in Zoho","")&amp;IF(AJ154&gt;0,"; Won, invoice month passed, not fully invoiced","")&amp;IF(AK154&gt;0,"; Xero invoiced more than the deal value",""),3,300)</f>
        <v/>
      </c>
    </row>
    <row r="155">
      <c r="A155" s="51" t="n">
        <v>46234</v>
      </c>
      <c r="B155" t="inlineStr">
        <is>
          <t>ZOHO</t>
        </is>
      </c>
      <c r="C155" t="inlineStr">
        <is>
          <t>26062502</t>
        </is>
      </c>
      <c r="D155" t="inlineStr">
        <is>
          <t>SoundCredit.tv</t>
        </is>
      </c>
      <c r="E155" t="inlineStr">
        <is>
          <t>26062502</t>
        </is>
      </c>
      <c r="G155" t="inlineStr">
        <is>
          <t>VIDEO</t>
        </is>
      </c>
      <c r="H155" t="inlineStr">
        <is>
          <t>SoundCredit.TV - OnSite Edit - 28/29.7.26</t>
        </is>
      </c>
      <c r="I155" t="n">
        <v>2670</v>
      </c>
      <c r="J155" t="inlineStr">
        <is>
          <t>Lost</t>
        </is>
      </c>
      <c r="L155" s="51" t="n">
        <v>46234</v>
      </c>
      <c r="M155" t="n">
        <v>0</v>
      </c>
      <c r="P155" t="inlineStr">
        <is>
          <t>Closed Lost</t>
        </is>
      </c>
      <c r="Q155" t="n">
        <v>0</v>
      </c>
      <c r="R155" t="n">
        <v>0</v>
      </c>
      <c r="T155" s="9">
        <f>IFERROR(INDEX($A155:$R155,MATCH("Status",$A$1:$R$1,0)),"")&amp;""</f>
        <v/>
      </c>
      <c r="U155" s="52">
        <f>IFERROR(N(IFERROR(INDEX($A155:$R155,MATCH("Value Ex GST",$A$1:$R$1,0)),"")),0)</f>
        <v/>
      </c>
      <c r="V155" s="54">
        <f>IF(AND(T155&lt;&gt;"",IFERROR(INDEX($A155:$R155,MATCH("Value Ex GST",$A$1:$R$1,0)),"")&amp;""&lt;&gt;""),1,0)</f>
        <v/>
      </c>
      <c r="W155" s="56">
        <f>IFERROR(N(IFERROR(INDEX($A155:$R155,MATCH("Probability",$A$1:$R$1,0)),"")),0)</f>
        <v/>
      </c>
      <c r="X155" s="52">
        <f>IF(T155="Open",U155*W155,0)</f>
        <v/>
      </c>
      <c r="Y155" s="52">
        <f>IF(T155="Won",IFERROR(N(IFERROR(INDEX($A155:$R155,MATCH("Still to Invoice",$A$1:$R$1,0)),"")),0),0)</f>
        <v/>
      </c>
      <c r="Z155" s="55">
        <f>IFERROR(EOMONTH(IFERROR(INDEX($A155:$R155,MATCH("Expected Invoice Month",$A$1:$R$1,0)),""),0),"")</f>
        <v/>
      </c>
      <c r="AA155" s="9">
        <f>IFERROR(INDEX($A155:$R155,MATCH("Cost Centre",$A$1:$R$1,0)),"")&amp;""</f>
        <v/>
      </c>
      <c r="AB155" s="9">
        <f>IFERROR(INDEX($A155:$R155,MATCH("Pipeline Stage",$A$1:$R$1,0)),"")&amp;""</f>
        <v/>
      </c>
      <c r="AC155" s="9">
        <f>IFERROR(INDEX($A155:$R155,MATCH("Client",$A$1:$R$1,0)),"")&amp;""</f>
        <v/>
      </c>
      <c r="AD155" s="9">
        <f>IFERROR(INDEX($A155:$R155,MATCH("Description",$A$1:$R$1,0)),"")&amp;""</f>
        <v/>
      </c>
      <c r="AE155" s="9">
        <f>IFERROR(INDEX($A155:$R155,MATCH("Job Number",$A$1:$R$1,0)),"")&amp;""</f>
        <v/>
      </c>
      <c r="AF155" s="54">
        <f>IF(AND(T155="Open",ISNUMBER(Z155),Z155&lt;EOMONTH(set_AsAt,-1)+1),3,0)</f>
        <v/>
      </c>
      <c r="AG155" s="54">
        <f>IF(AND(T155="Open",U155&gt;0,U155&gt;=set_DealShare*SUMIFS($U$2:$U$601,$T$2:$T$601,"Open")),3,0)</f>
        <v/>
      </c>
      <c r="AH155" s="54">
        <f>IF(AND(T155="Open",U155&gt;=set_BigValue,W155&lt;=set_EarlyProb),2,0)</f>
        <v/>
      </c>
      <c r="AI155" s="54">
        <f>IF(AND(OR(T155="Open",T155="Won"),V155=0),2,0)</f>
        <v/>
      </c>
      <c r="AJ155" s="54">
        <f>IF(AND(T155="Won",Y155&gt;0.5,ISNUMBER(Z155),Z155&lt;EOMONTH(set_AsAt,-1)+1),3,0)</f>
        <v/>
      </c>
      <c r="AK155" s="54">
        <f>IF(AND(T155="Won",Y155&lt;-1),1,0)</f>
        <v/>
      </c>
      <c r="AL155" s="54">
        <f>SUM(AF155:AK155)</f>
        <v/>
      </c>
      <c r="AM155" s="9">
        <f>IF(AL155&gt;=set_ScoreHigh,"High",IF(AL155&gt;=set_ScoreMed,"Medium",IF(AL155&gt;0,"Low","OK")))</f>
        <v/>
      </c>
      <c r="AN155" s="54">
        <f>IF(OR(T155="Open",AND(T155="Won",ABS(Y155)&gt;0.5)),1,0)</f>
        <v/>
      </c>
      <c r="AO155" s="52">
        <f>IF(T155="Open",IF(V155=0,0,X155),IF(T155="Won",MAX(0,Y155),0))</f>
        <v/>
      </c>
      <c r="AP155" s="54">
        <f>IF(AN155=1,AL155*1E+9+U155+ROW()/1E+6,"")</f>
        <v/>
      </c>
      <c r="AQ155" s="9">
        <f>MID(IF(AF155&gt;0,"; Expected month passed - update Zoho","")&amp;IF(AG155&gt;0,"; "&amp;TEXT(U155/MAX(1,SUMIFS($U$2:$U$601,$T$2:$T$601,"Open")),"0%")&amp;" of open pipeline in one deal","")&amp;IF(AH155&gt;0,"; Large deal at an early stage","")&amp;IF(AI155&gt;0,"; No amount in Zoho","")&amp;IF(AJ155&gt;0,"; Won, invoice month passed, not fully invoiced","")&amp;IF(AK155&gt;0,"; Xero invoiced more than the deal value",""),3,300)</f>
        <v/>
      </c>
    </row>
    <row r="156">
      <c r="A156" s="51" t="n">
        <v>46234</v>
      </c>
      <c r="B156" t="inlineStr">
        <is>
          <t>ZOHO</t>
        </is>
      </c>
      <c r="C156" t="inlineStr">
        <is>
          <t>2605705</t>
        </is>
      </c>
      <c r="D156" t="inlineStr">
        <is>
          <t>Visagio</t>
        </is>
      </c>
      <c r="E156" t="inlineStr">
        <is>
          <t>2605705</t>
        </is>
      </c>
      <c r="G156" t="inlineStr">
        <is>
          <t>CONSULTING</t>
        </is>
      </c>
      <c r="H156" t="inlineStr">
        <is>
          <t>Visagio | VC Upgrade - 2605705</t>
        </is>
      </c>
      <c r="I156" t="n">
        <v>49555</v>
      </c>
      <c r="J156" t="inlineStr">
        <is>
          <t>Lost</t>
        </is>
      </c>
      <c r="L156" s="51" t="n">
        <v>46234</v>
      </c>
      <c r="M156" t="n">
        <v>0</v>
      </c>
      <c r="P156" t="inlineStr">
        <is>
          <t>Closed Lost</t>
        </is>
      </c>
      <c r="Q156" t="n">
        <v>0</v>
      </c>
      <c r="R156" t="n">
        <v>0</v>
      </c>
      <c r="T156" s="9">
        <f>IFERROR(INDEX($A156:$R156,MATCH("Status",$A$1:$R$1,0)),"")&amp;""</f>
        <v/>
      </c>
      <c r="U156" s="52">
        <f>IFERROR(N(IFERROR(INDEX($A156:$R156,MATCH("Value Ex GST",$A$1:$R$1,0)),"")),0)</f>
        <v/>
      </c>
      <c r="V156" s="54">
        <f>IF(AND(T156&lt;&gt;"",IFERROR(INDEX($A156:$R156,MATCH("Value Ex GST",$A$1:$R$1,0)),"")&amp;""&lt;&gt;""),1,0)</f>
        <v/>
      </c>
      <c r="W156" s="56">
        <f>IFERROR(N(IFERROR(INDEX($A156:$R156,MATCH("Probability",$A$1:$R$1,0)),"")),0)</f>
        <v/>
      </c>
      <c r="X156" s="52">
        <f>IF(T156="Open",U156*W156,0)</f>
        <v/>
      </c>
      <c r="Y156" s="52">
        <f>IF(T156="Won",IFERROR(N(IFERROR(INDEX($A156:$R156,MATCH("Still to Invoice",$A$1:$R$1,0)),"")),0),0)</f>
        <v/>
      </c>
      <c r="Z156" s="55">
        <f>IFERROR(EOMONTH(IFERROR(INDEX($A156:$R156,MATCH("Expected Invoice Month",$A$1:$R$1,0)),""),0),"")</f>
        <v/>
      </c>
      <c r="AA156" s="9">
        <f>IFERROR(INDEX($A156:$R156,MATCH("Cost Centre",$A$1:$R$1,0)),"")&amp;""</f>
        <v/>
      </c>
      <c r="AB156" s="9">
        <f>IFERROR(INDEX($A156:$R156,MATCH("Pipeline Stage",$A$1:$R$1,0)),"")&amp;""</f>
        <v/>
      </c>
      <c r="AC156" s="9">
        <f>IFERROR(INDEX($A156:$R156,MATCH("Client",$A$1:$R$1,0)),"")&amp;""</f>
        <v/>
      </c>
      <c r="AD156" s="9">
        <f>IFERROR(INDEX($A156:$R156,MATCH("Description",$A$1:$R$1,0)),"")&amp;""</f>
        <v/>
      </c>
      <c r="AE156" s="9">
        <f>IFERROR(INDEX($A156:$R156,MATCH("Job Number",$A$1:$R$1,0)),"")&amp;""</f>
        <v/>
      </c>
      <c r="AF156" s="54">
        <f>IF(AND(T156="Open",ISNUMBER(Z156),Z156&lt;EOMONTH(set_AsAt,-1)+1),3,0)</f>
        <v/>
      </c>
      <c r="AG156" s="54">
        <f>IF(AND(T156="Open",U156&gt;0,U156&gt;=set_DealShare*SUMIFS($U$2:$U$601,$T$2:$T$601,"Open")),3,0)</f>
        <v/>
      </c>
      <c r="AH156" s="54">
        <f>IF(AND(T156="Open",U156&gt;=set_BigValue,W156&lt;=set_EarlyProb),2,0)</f>
        <v/>
      </c>
      <c r="AI156" s="54">
        <f>IF(AND(OR(T156="Open",T156="Won"),V156=0),2,0)</f>
        <v/>
      </c>
      <c r="AJ156" s="54">
        <f>IF(AND(T156="Won",Y156&gt;0.5,ISNUMBER(Z156),Z156&lt;EOMONTH(set_AsAt,-1)+1),3,0)</f>
        <v/>
      </c>
      <c r="AK156" s="54">
        <f>IF(AND(T156="Won",Y156&lt;-1),1,0)</f>
        <v/>
      </c>
      <c r="AL156" s="54">
        <f>SUM(AF156:AK156)</f>
        <v/>
      </c>
      <c r="AM156" s="9">
        <f>IF(AL156&gt;=set_ScoreHigh,"High",IF(AL156&gt;=set_ScoreMed,"Medium",IF(AL156&gt;0,"Low","OK")))</f>
        <v/>
      </c>
      <c r="AN156" s="54">
        <f>IF(OR(T156="Open",AND(T156="Won",ABS(Y156)&gt;0.5)),1,0)</f>
        <v/>
      </c>
      <c r="AO156" s="52">
        <f>IF(T156="Open",IF(V156=0,0,X156),IF(T156="Won",MAX(0,Y156),0))</f>
        <v/>
      </c>
      <c r="AP156" s="54">
        <f>IF(AN156=1,AL156*1E+9+U156+ROW()/1E+6,"")</f>
        <v/>
      </c>
      <c r="AQ156" s="9">
        <f>MID(IF(AF156&gt;0,"; Expected month passed - update Zoho","")&amp;IF(AG156&gt;0,"; "&amp;TEXT(U156/MAX(1,SUMIFS($U$2:$U$601,$T$2:$T$601,"Open")),"0%")&amp;" of open pipeline in one deal","")&amp;IF(AH156&gt;0,"; Large deal at an early stage","")&amp;IF(AI156&gt;0,"; No amount in Zoho","")&amp;IF(AJ156&gt;0,"; Won, invoice month passed, not fully invoiced","")&amp;IF(AK156&gt;0,"; Xero invoiced more than the deal value",""),3,300)</f>
        <v/>
      </c>
    </row>
    <row r="157">
      <c r="A157" s="51" t="n">
        <v>46265</v>
      </c>
      <c r="B157" t="inlineStr">
        <is>
          <t>ZOHO</t>
        </is>
      </c>
      <c r="C157" t="inlineStr">
        <is>
          <t>2608605</t>
        </is>
      </c>
      <c r="D157" t="inlineStr">
        <is>
          <t>Commonwealth Bank Australia (CBA)</t>
        </is>
      </c>
      <c r="E157" t="inlineStr">
        <is>
          <t>2608605</t>
        </is>
      </c>
      <c r="G157" t="inlineStr">
        <is>
          <t>PRODUCTION</t>
        </is>
      </c>
      <c r="H157" t="inlineStr">
        <is>
          <t>CBA - L&amp;GS Forum - 25.8.26</t>
        </is>
      </c>
      <c r="I157" t="n">
        <v>3302</v>
      </c>
      <c r="J157" t="inlineStr">
        <is>
          <t>Lost</t>
        </is>
      </c>
      <c r="L157" s="51" t="n">
        <v>46265</v>
      </c>
      <c r="M157" t="n">
        <v>0</v>
      </c>
      <c r="P157" t="inlineStr">
        <is>
          <t>Closed Lost</t>
        </is>
      </c>
      <c r="Q157" t="n">
        <v>0</v>
      </c>
      <c r="R157" t="n">
        <v>0</v>
      </c>
      <c r="T157" s="9">
        <f>IFERROR(INDEX($A157:$R157,MATCH("Status",$A$1:$R$1,0)),"")&amp;""</f>
        <v/>
      </c>
      <c r="U157" s="52">
        <f>IFERROR(N(IFERROR(INDEX($A157:$R157,MATCH("Value Ex GST",$A$1:$R$1,0)),"")),0)</f>
        <v/>
      </c>
      <c r="V157" s="54">
        <f>IF(AND(T157&lt;&gt;"",IFERROR(INDEX($A157:$R157,MATCH("Value Ex GST",$A$1:$R$1,0)),"")&amp;""&lt;&gt;""),1,0)</f>
        <v/>
      </c>
      <c r="W157" s="56">
        <f>IFERROR(N(IFERROR(INDEX($A157:$R157,MATCH("Probability",$A$1:$R$1,0)),"")),0)</f>
        <v/>
      </c>
      <c r="X157" s="52">
        <f>IF(T157="Open",U157*W157,0)</f>
        <v/>
      </c>
      <c r="Y157" s="52">
        <f>IF(T157="Won",IFERROR(N(IFERROR(INDEX($A157:$R157,MATCH("Still to Invoice",$A$1:$R$1,0)),"")),0),0)</f>
        <v/>
      </c>
      <c r="Z157" s="55">
        <f>IFERROR(EOMONTH(IFERROR(INDEX($A157:$R157,MATCH("Expected Invoice Month",$A$1:$R$1,0)),""),0),"")</f>
        <v/>
      </c>
      <c r="AA157" s="9">
        <f>IFERROR(INDEX($A157:$R157,MATCH("Cost Centre",$A$1:$R$1,0)),"")&amp;""</f>
        <v/>
      </c>
      <c r="AB157" s="9">
        <f>IFERROR(INDEX($A157:$R157,MATCH("Pipeline Stage",$A$1:$R$1,0)),"")&amp;""</f>
        <v/>
      </c>
      <c r="AC157" s="9">
        <f>IFERROR(INDEX($A157:$R157,MATCH("Client",$A$1:$R$1,0)),"")&amp;""</f>
        <v/>
      </c>
      <c r="AD157" s="9">
        <f>IFERROR(INDEX($A157:$R157,MATCH("Description",$A$1:$R$1,0)),"")&amp;""</f>
        <v/>
      </c>
      <c r="AE157" s="9">
        <f>IFERROR(INDEX($A157:$R157,MATCH("Job Number",$A$1:$R$1,0)),"")&amp;""</f>
        <v/>
      </c>
      <c r="AF157" s="54">
        <f>IF(AND(T157="Open",ISNUMBER(Z157),Z157&lt;EOMONTH(set_AsAt,-1)+1),3,0)</f>
        <v/>
      </c>
      <c r="AG157" s="54">
        <f>IF(AND(T157="Open",U157&gt;0,U157&gt;=set_DealShare*SUMIFS($U$2:$U$601,$T$2:$T$601,"Open")),3,0)</f>
        <v/>
      </c>
      <c r="AH157" s="54">
        <f>IF(AND(T157="Open",U157&gt;=set_BigValue,W157&lt;=set_EarlyProb),2,0)</f>
        <v/>
      </c>
      <c r="AI157" s="54">
        <f>IF(AND(OR(T157="Open",T157="Won"),V157=0),2,0)</f>
        <v/>
      </c>
      <c r="AJ157" s="54">
        <f>IF(AND(T157="Won",Y157&gt;0.5,ISNUMBER(Z157),Z157&lt;EOMONTH(set_AsAt,-1)+1),3,0)</f>
        <v/>
      </c>
      <c r="AK157" s="54">
        <f>IF(AND(T157="Won",Y157&lt;-1),1,0)</f>
        <v/>
      </c>
      <c r="AL157" s="54">
        <f>SUM(AF157:AK157)</f>
        <v/>
      </c>
      <c r="AM157" s="9">
        <f>IF(AL157&gt;=set_ScoreHigh,"High",IF(AL157&gt;=set_ScoreMed,"Medium",IF(AL157&gt;0,"Low","OK")))</f>
        <v/>
      </c>
      <c r="AN157" s="54">
        <f>IF(OR(T157="Open",AND(T157="Won",ABS(Y157)&gt;0.5)),1,0)</f>
        <v/>
      </c>
      <c r="AO157" s="52">
        <f>IF(T157="Open",IF(V157=0,0,X157),IF(T157="Won",MAX(0,Y157),0))</f>
        <v/>
      </c>
      <c r="AP157" s="54">
        <f>IF(AN157=1,AL157*1E+9+U157+ROW()/1E+6,"")</f>
        <v/>
      </c>
      <c r="AQ157" s="9">
        <f>MID(IF(AF157&gt;0,"; Expected month passed - update Zoho","")&amp;IF(AG157&gt;0,"; "&amp;TEXT(U157/MAX(1,SUMIFS($U$2:$U$601,$T$2:$T$601,"Open")),"0%")&amp;" of open pipeline in one deal","")&amp;IF(AH157&gt;0,"; Large deal at an early stage","")&amp;IF(AI157&gt;0,"; No amount in Zoho","")&amp;IF(AJ157&gt;0,"; Won, invoice month passed, not fully invoiced","")&amp;IF(AK157&gt;0,"; Xero invoiced more than the deal value",""),3,300)</f>
        <v/>
      </c>
    </row>
    <row r="158">
      <c r="A158" s="51" t="n">
        <v>46234</v>
      </c>
      <c r="B158" t="inlineStr">
        <is>
          <t>ZOHO</t>
        </is>
      </c>
      <c r="C158" t="inlineStr">
        <is>
          <t>26052903</t>
        </is>
      </c>
      <c r="D158" t="inlineStr">
        <is>
          <t>PWC</t>
        </is>
      </c>
      <c r="E158" t="inlineStr">
        <is>
          <t>26052903</t>
        </is>
      </c>
      <c r="G158" t="inlineStr">
        <is>
          <t>INTEGRATION</t>
        </is>
      </c>
      <c r="H158" t="inlineStr">
        <is>
          <t>MultiFunction Room Upgrade x3 (MEL) | 26052903</t>
        </is>
      </c>
      <c r="I158" t="n">
        <v>671969</v>
      </c>
      <c r="J158" t="inlineStr">
        <is>
          <t>Lost</t>
        </is>
      </c>
      <c r="L158" s="51" t="n">
        <v>46234</v>
      </c>
      <c r="M158" t="n">
        <v>0</v>
      </c>
      <c r="P158" t="inlineStr">
        <is>
          <t>Closed Lost</t>
        </is>
      </c>
      <c r="Q158" t="n">
        <v>0</v>
      </c>
      <c r="R158" t="n">
        <v>0</v>
      </c>
      <c r="T158" s="9">
        <f>IFERROR(INDEX($A158:$R158,MATCH("Status",$A$1:$R$1,0)),"")&amp;""</f>
        <v/>
      </c>
      <c r="U158" s="52">
        <f>IFERROR(N(IFERROR(INDEX($A158:$R158,MATCH("Value Ex GST",$A$1:$R$1,0)),"")),0)</f>
        <v/>
      </c>
      <c r="V158" s="54">
        <f>IF(AND(T158&lt;&gt;"",IFERROR(INDEX($A158:$R158,MATCH("Value Ex GST",$A$1:$R$1,0)),"")&amp;""&lt;&gt;""),1,0)</f>
        <v/>
      </c>
      <c r="W158" s="56">
        <f>IFERROR(N(IFERROR(INDEX($A158:$R158,MATCH("Probability",$A$1:$R$1,0)),"")),0)</f>
        <v/>
      </c>
      <c r="X158" s="52">
        <f>IF(T158="Open",U158*W158,0)</f>
        <v/>
      </c>
      <c r="Y158" s="52">
        <f>IF(T158="Won",IFERROR(N(IFERROR(INDEX($A158:$R158,MATCH("Still to Invoice",$A$1:$R$1,0)),"")),0),0)</f>
        <v/>
      </c>
      <c r="Z158" s="55">
        <f>IFERROR(EOMONTH(IFERROR(INDEX($A158:$R158,MATCH("Expected Invoice Month",$A$1:$R$1,0)),""),0),"")</f>
        <v/>
      </c>
      <c r="AA158" s="9">
        <f>IFERROR(INDEX($A158:$R158,MATCH("Cost Centre",$A$1:$R$1,0)),"")&amp;""</f>
        <v/>
      </c>
      <c r="AB158" s="9">
        <f>IFERROR(INDEX($A158:$R158,MATCH("Pipeline Stage",$A$1:$R$1,0)),"")&amp;""</f>
        <v/>
      </c>
      <c r="AC158" s="9">
        <f>IFERROR(INDEX($A158:$R158,MATCH("Client",$A$1:$R$1,0)),"")&amp;""</f>
        <v/>
      </c>
      <c r="AD158" s="9">
        <f>IFERROR(INDEX($A158:$R158,MATCH("Description",$A$1:$R$1,0)),"")&amp;""</f>
        <v/>
      </c>
      <c r="AE158" s="9">
        <f>IFERROR(INDEX($A158:$R158,MATCH("Job Number",$A$1:$R$1,0)),"")&amp;""</f>
        <v/>
      </c>
      <c r="AF158" s="54">
        <f>IF(AND(T158="Open",ISNUMBER(Z158),Z158&lt;EOMONTH(set_AsAt,-1)+1),3,0)</f>
        <v/>
      </c>
      <c r="AG158" s="54">
        <f>IF(AND(T158="Open",U158&gt;0,U158&gt;=set_DealShare*SUMIFS($U$2:$U$601,$T$2:$T$601,"Open")),3,0)</f>
        <v/>
      </c>
      <c r="AH158" s="54">
        <f>IF(AND(T158="Open",U158&gt;=set_BigValue,W158&lt;=set_EarlyProb),2,0)</f>
        <v/>
      </c>
      <c r="AI158" s="54">
        <f>IF(AND(OR(T158="Open",T158="Won"),V158=0),2,0)</f>
        <v/>
      </c>
      <c r="AJ158" s="54">
        <f>IF(AND(T158="Won",Y158&gt;0.5,ISNUMBER(Z158),Z158&lt;EOMONTH(set_AsAt,-1)+1),3,0)</f>
        <v/>
      </c>
      <c r="AK158" s="54">
        <f>IF(AND(T158="Won",Y158&lt;-1),1,0)</f>
        <v/>
      </c>
      <c r="AL158" s="54">
        <f>SUM(AF158:AK158)</f>
        <v/>
      </c>
      <c r="AM158" s="9">
        <f>IF(AL158&gt;=set_ScoreHigh,"High",IF(AL158&gt;=set_ScoreMed,"Medium",IF(AL158&gt;0,"Low","OK")))</f>
        <v/>
      </c>
      <c r="AN158" s="54">
        <f>IF(OR(T158="Open",AND(T158="Won",ABS(Y158)&gt;0.5)),1,0)</f>
        <v/>
      </c>
      <c r="AO158" s="52">
        <f>IF(T158="Open",IF(V158=0,0,X158),IF(T158="Won",MAX(0,Y158),0))</f>
        <v/>
      </c>
      <c r="AP158" s="54">
        <f>IF(AN158=1,AL158*1E+9+U158+ROW()/1E+6,"")</f>
        <v/>
      </c>
      <c r="AQ158" s="9">
        <f>MID(IF(AF158&gt;0,"; Expected month passed - update Zoho","")&amp;IF(AG158&gt;0,"; "&amp;TEXT(U158/MAX(1,SUMIFS($U$2:$U$601,$T$2:$T$601,"Open")),"0%")&amp;" of open pipeline in one deal","")&amp;IF(AH158&gt;0,"; Large deal at an early stage","")&amp;IF(AI158&gt;0,"; No amount in Zoho","")&amp;IF(AJ158&gt;0,"; Won, invoice month passed, not fully invoiced","")&amp;IF(AK158&gt;0,"; Xero invoiced more than the deal value",""),3,300)</f>
        <v/>
      </c>
    </row>
    <row r="159">
      <c r="A159" s="51" t="n">
        <v>46234</v>
      </c>
      <c r="B159" t="inlineStr">
        <is>
          <t>ZOHO</t>
        </is>
      </c>
      <c r="C159" t="inlineStr">
        <is>
          <t>26062504</t>
        </is>
      </c>
      <c r="D159" t="inlineStr">
        <is>
          <t>Commonwealth Bank Australia (CBA)</t>
        </is>
      </c>
      <c r="E159" t="inlineStr">
        <is>
          <t>26062504</t>
        </is>
      </c>
      <c r="G159" t="inlineStr">
        <is>
          <t>PRODUCTION</t>
        </is>
      </c>
      <c r="H159" t="inlineStr">
        <is>
          <t>CBA - Matt Comyn Town Hall (Perth) - 15.7.26</t>
        </is>
      </c>
      <c r="I159" t="n">
        <v>7206</v>
      </c>
      <c r="J159" t="inlineStr">
        <is>
          <t>Lost</t>
        </is>
      </c>
      <c r="L159" s="51" t="n">
        <v>46234</v>
      </c>
      <c r="M159" t="n">
        <v>0</v>
      </c>
      <c r="P159" t="inlineStr">
        <is>
          <t>Closed Lost</t>
        </is>
      </c>
      <c r="Q159" t="n">
        <v>0</v>
      </c>
      <c r="R159" t="n">
        <v>0</v>
      </c>
      <c r="T159" s="9">
        <f>IFERROR(INDEX($A159:$R159,MATCH("Status",$A$1:$R$1,0)),"")&amp;""</f>
        <v/>
      </c>
      <c r="U159" s="52">
        <f>IFERROR(N(IFERROR(INDEX($A159:$R159,MATCH("Value Ex GST",$A$1:$R$1,0)),"")),0)</f>
        <v/>
      </c>
      <c r="V159" s="54">
        <f>IF(AND(T159&lt;&gt;"",IFERROR(INDEX($A159:$R159,MATCH("Value Ex GST",$A$1:$R$1,0)),"")&amp;""&lt;&gt;""),1,0)</f>
        <v/>
      </c>
      <c r="W159" s="56">
        <f>IFERROR(N(IFERROR(INDEX($A159:$R159,MATCH("Probability",$A$1:$R$1,0)),"")),0)</f>
        <v/>
      </c>
      <c r="X159" s="52">
        <f>IF(T159="Open",U159*W159,0)</f>
        <v/>
      </c>
      <c r="Y159" s="52">
        <f>IF(T159="Won",IFERROR(N(IFERROR(INDEX($A159:$R159,MATCH("Still to Invoice",$A$1:$R$1,0)),"")),0),0)</f>
        <v/>
      </c>
      <c r="Z159" s="55">
        <f>IFERROR(EOMONTH(IFERROR(INDEX($A159:$R159,MATCH("Expected Invoice Month",$A$1:$R$1,0)),""),0),"")</f>
        <v/>
      </c>
      <c r="AA159" s="9">
        <f>IFERROR(INDEX($A159:$R159,MATCH("Cost Centre",$A$1:$R$1,0)),"")&amp;""</f>
        <v/>
      </c>
      <c r="AB159" s="9">
        <f>IFERROR(INDEX($A159:$R159,MATCH("Pipeline Stage",$A$1:$R$1,0)),"")&amp;""</f>
        <v/>
      </c>
      <c r="AC159" s="9">
        <f>IFERROR(INDEX($A159:$R159,MATCH("Client",$A$1:$R$1,0)),"")&amp;""</f>
        <v/>
      </c>
      <c r="AD159" s="9">
        <f>IFERROR(INDEX($A159:$R159,MATCH("Description",$A$1:$R$1,0)),"")&amp;""</f>
        <v/>
      </c>
      <c r="AE159" s="9">
        <f>IFERROR(INDEX($A159:$R159,MATCH("Job Number",$A$1:$R$1,0)),"")&amp;""</f>
        <v/>
      </c>
      <c r="AF159" s="54">
        <f>IF(AND(T159="Open",ISNUMBER(Z159),Z159&lt;EOMONTH(set_AsAt,-1)+1),3,0)</f>
        <v/>
      </c>
      <c r="AG159" s="54">
        <f>IF(AND(T159="Open",U159&gt;0,U159&gt;=set_DealShare*SUMIFS($U$2:$U$601,$T$2:$T$601,"Open")),3,0)</f>
        <v/>
      </c>
      <c r="AH159" s="54">
        <f>IF(AND(T159="Open",U159&gt;=set_BigValue,W159&lt;=set_EarlyProb),2,0)</f>
        <v/>
      </c>
      <c r="AI159" s="54">
        <f>IF(AND(OR(T159="Open",T159="Won"),V159=0),2,0)</f>
        <v/>
      </c>
      <c r="AJ159" s="54">
        <f>IF(AND(T159="Won",Y159&gt;0.5,ISNUMBER(Z159),Z159&lt;EOMONTH(set_AsAt,-1)+1),3,0)</f>
        <v/>
      </c>
      <c r="AK159" s="54">
        <f>IF(AND(T159="Won",Y159&lt;-1),1,0)</f>
        <v/>
      </c>
      <c r="AL159" s="54">
        <f>SUM(AF159:AK159)</f>
        <v/>
      </c>
      <c r="AM159" s="9">
        <f>IF(AL159&gt;=set_ScoreHigh,"High",IF(AL159&gt;=set_ScoreMed,"Medium",IF(AL159&gt;0,"Low","OK")))</f>
        <v/>
      </c>
      <c r="AN159" s="54">
        <f>IF(OR(T159="Open",AND(T159="Won",ABS(Y159)&gt;0.5)),1,0)</f>
        <v/>
      </c>
      <c r="AO159" s="52">
        <f>IF(T159="Open",IF(V159=0,0,X159),IF(T159="Won",MAX(0,Y159),0))</f>
        <v/>
      </c>
      <c r="AP159" s="54">
        <f>IF(AN159=1,AL159*1E+9+U159+ROW()/1E+6,"")</f>
        <v/>
      </c>
      <c r="AQ159" s="9">
        <f>MID(IF(AF159&gt;0,"; Expected month passed - update Zoho","")&amp;IF(AG159&gt;0,"; "&amp;TEXT(U159/MAX(1,SUMIFS($U$2:$U$601,$T$2:$T$601,"Open")),"0%")&amp;" of open pipeline in one deal","")&amp;IF(AH159&gt;0,"; Large deal at an early stage","")&amp;IF(AI159&gt;0,"; No amount in Zoho","")&amp;IF(AJ159&gt;0,"; Won, invoice month passed, not fully invoiced","")&amp;IF(AK159&gt;0,"; Xero invoiced more than the deal value",""),3,300)</f>
        <v/>
      </c>
    </row>
    <row r="160">
      <c r="A160" s="51" t="n">
        <v>46326</v>
      </c>
      <c r="B160" t="inlineStr">
        <is>
          <t>ZOHO</t>
        </is>
      </c>
      <c r="C160" t="inlineStr">
        <is>
          <t>26022001</t>
        </is>
      </c>
      <c r="D160" t="inlineStr">
        <is>
          <t>ASX Australian Securities Exchange</t>
        </is>
      </c>
      <c r="E160" t="inlineStr">
        <is>
          <t>26022001</t>
        </is>
      </c>
      <c r="G160" t="inlineStr">
        <is>
          <t>VIDEO</t>
        </is>
      </c>
      <c r="H160" t="inlineStr">
        <is>
          <t>ASX Client Case Studies Videos FY27</t>
        </is>
      </c>
      <c r="I160" t="n">
        <v>10000</v>
      </c>
      <c r="J160" t="inlineStr">
        <is>
          <t>Lost</t>
        </is>
      </c>
      <c r="L160" s="51" t="n">
        <v>46326</v>
      </c>
      <c r="M160" t="n">
        <v>0</v>
      </c>
      <c r="P160" t="inlineStr">
        <is>
          <t>Closed Lost</t>
        </is>
      </c>
      <c r="Q160" t="n">
        <v>0</v>
      </c>
      <c r="R160" t="n">
        <v>0</v>
      </c>
      <c r="T160" s="9">
        <f>IFERROR(INDEX($A160:$R160,MATCH("Status",$A$1:$R$1,0)),"")&amp;""</f>
        <v/>
      </c>
      <c r="U160" s="52">
        <f>IFERROR(N(IFERROR(INDEX($A160:$R160,MATCH("Value Ex GST",$A$1:$R$1,0)),"")),0)</f>
        <v/>
      </c>
      <c r="V160" s="54">
        <f>IF(AND(T160&lt;&gt;"",IFERROR(INDEX($A160:$R160,MATCH("Value Ex GST",$A$1:$R$1,0)),"")&amp;""&lt;&gt;""),1,0)</f>
        <v/>
      </c>
      <c r="W160" s="56">
        <f>IFERROR(N(IFERROR(INDEX($A160:$R160,MATCH("Probability",$A$1:$R$1,0)),"")),0)</f>
        <v/>
      </c>
      <c r="X160" s="52">
        <f>IF(T160="Open",U160*W160,0)</f>
        <v/>
      </c>
      <c r="Y160" s="52">
        <f>IF(T160="Won",IFERROR(N(IFERROR(INDEX($A160:$R160,MATCH("Still to Invoice",$A$1:$R$1,0)),"")),0),0)</f>
        <v/>
      </c>
      <c r="Z160" s="55">
        <f>IFERROR(EOMONTH(IFERROR(INDEX($A160:$R160,MATCH("Expected Invoice Month",$A$1:$R$1,0)),""),0),"")</f>
        <v/>
      </c>
      <c r="AA160" s="9">
        <f>IFERROR(INDEX($A160:$R160,MATCH("Cost Centre",$A$1:$R$1,0)),"")&amp;""</f>
        <v/>
      </c>
      <c r="AB160" s="9">
        <f>IFERROR(INDEX($A160:$R160,MATCH("Pipeline Stage",$A$1:$R$1,0)),"")&amp;""</f>
        <v/>
      </c>
      <c r="AC160" s="9">
        <f>IFERROR(INDEX($A160:$R160,MATCH("Client",$A$1:$R$1,0)),"")&amp;""</f>
        <v/>
      </c>
      <c r="AD160" s="9">
        <f>IFERROR(INDEX($A160:$R160,MATCH("Description",$A$1:$R$1,0)),"")&amp;""</f>
        <v/>
      </c>
      <c r="AE160" s="9">
        <f>IFERROR(INDEX($A160:$R160,MATCH("Job Number",$A$1:$R$1,0)),"")&amp;""</f>
        <v/>
      </c>
      <c r="AF160" s="54">
        <f>IF(AND(T160="Open",ISNUMBER(Z160),Z160&lt;EOMONTH(set_AsAt,-1)+1),3,0)</f>
        <v/>
      </c>
      <c r="AG160" s="54">
        <f>IF(AND(T160="Open",U160&gt;0,U160&gt;=set_DealShare*SUMIFS($U$2:$U$601,$T$2:$T$601,"Open")),3,0)</f>
        <v/>
      </c>
      <c r="AH160" s="54">
        <f>IF(AND(T160="Open",U160&gt;=set_BigValue,W160&lt;=set_EarlyProb),2,0)</f>
        <v/>
      </c>
      <c r="AI160" s="54">
        <f>IF(AND(OR(T160="Open",T160="Won"),V160=0),2,0)</f>
        <v/>
      </c>
      <c r="AJ160" s="54">
        <f>IF(AND(T160="Won",Y160&gt;0.5,ISNUMBER(Z160),Z160&lt;EOMONTH(set_AsAt,-1)+1),3,0)</f>
        <v/>
      </c>
      <c r="AK160" s="54">
        <f>IF(AND(T160="Won",Y160&lt;-1),1,0)</f>
        <v/>
      </c>
      <c r="AL160" s="54">
        <f>SUM(AF160:AK160)</f>
        <v/>
      </c>
      <c r="AM160" s="9">
        <f>IF(AL160&gt;=set_ScoreHigh,"High",IF(AL160&gt;=set_ScoreMed,"Medium",IF(AL160&gt;0,"Low","OK")))</f>
        <v/>
      </c>
      <c r="AN160" s="54">
        <f>IF(OR(T160="Open",AND(T160="Won",ABS(Y160)&gt;0.5)),1,0)</f>
        <v/>
      </c>
      <c r="AO160" s="52">
        <f>IF(T160="Open",IF(V160=0,0,X160),IF(T160="Won",MAX(0,Y160),0))</f>
        <v/>
      </c>
      <c r="AP160" s="54">
        <f>IF(AN160=1,AL160*1E+9+U160+ROW()/1E+6,"")</f>
        <v/>
      </c>
      <c r="AQ160" s="9">
        <f>MID(IF(AF160&gt;0,"; Expected month passed - update Zoho","")&amp;IF(AG160&gt;0,"; "&amp;TEXT(U160/MAX(1,SUMIFS($U$2:$U$601,$T$2:$T$601,"Open")),"0%")&amp;" of open pipeline in one deal","")&amp;IF(AH160&gt;0,"; Large deal at an early stage","")&amp;IF(AI160&gt;0,"; No amount in Zoho","")&amp;IF(AJ160&gt;0,"; Won, invoice month passed, not fully invoiced","")&amp;IF(AK160&gt;0,"; Xero invoiced more than the deal value",""),3,300)</f>
        <v/>
      </c>
    </row>
    <row r="161">
      <c r="A161" s="51" t="n">
        <v>46295</v>
      </c>
      <c r="B161" t="inlineStr">
        <is>
          <t>ZOHO</t>
        </is>
      </c>
      <c r="C161" t="inlineStr">
        <is>
          <t>26073001</t>
        </is>
      </c>
      <c r="D161" t="inlineStr">
        <is>
          <t>Kirra Services</t>
        </is>
      </c>
      <c r="E161" t="inlineStr">
        <is>
          <t>26073001</t>
        </is>
      </c>
      <c r="G161" t="inlineStr">
        <is>
          <t>CONSULTING</t>
        </is>
      </c>
      <c r="H161" t="inlineStr">
        <is>
          <t>Kirra | AFP Tender Support - 26073001</t>
        </is>
      </c>
      <c r="I161" t="n">
        <v>58850</v>
      </c>
      <c r="J161" t="inlineStr">
        <is>
          <t>Lost</t>
        </is>
      </c>
      <c r="L161" s="51" t="n">
        <v>46295</v>
      </c>
      <c r="M161" t="n">
        <v>0</v>
      </c>
      <c r="P161" t="inlineStr">
        <is>
          <t>Closed Lost</t>
        </is>
      </c>
      <c r="Q161" t="n">
        <v>0</v>
      </c>
      <c r="R161" t="n">
        <v>0</v>
      </c>
      <c r="T161" s="9">
        <f>IFERROR(INDEX($A161:$R161,MATCH("Status",$A$1:$R$1,0)),"")&amp;""</f>
        <v/>
      </c>
      <c r="U161" s="52">
        <f>IFERROR(N(IFERROR(INDEX($A161:$R161,MATCH("Value Ex GST",$A$1:$R$1,0)),"")),0)</f>
        <v/>
      </c>
      <c r="V161" s="54">
        <f>IF(AND(T161&lt;&gt;"",IFERROR(INDEX($A161:$R161,MATCH("Value Ex GST",$A$1:$R$1,0)),"")&amp;""&lt;&gt;""),1,0)</f>
        <v/>
      </c>
      <c r="W161" s="56">
        <f>IFERROR(N(IFERROR(INDEX($A161:$R161,MATCH("Probability",$A$1:$R$1,0)),"")),0)</f>
        <v/>
      </c>
      <c r="X161" s="52">
        <f>IF(T161="Open",U161*W161,0)</f>
        <v/>
      </c>
      <c r="Y161" s="52">
        <f>IF(T161="Won",IFERROR(N(IFERROR(INDEX($A161:$R161,MATCH("Still to Invoice",$A$1:$R$1,0)),"")),0),0)</f>
        <v/>
      </c>
      <c r="Z161" s="55">
        <f>IFERROR(EOMONTH(IFERROR(INDEX($A161:$R161,MATCH("Expected Invoice Month",$A$1:$R$1,0)),""),0),"")</f>
        <v/>
      </c>
      <c r="AA161" s="9">
        <f>IFERROR(INDEX($A161:$R161,MATCH("Cost Centre",$A$1:$R$1,0)),"")&amp;""</f>
        <v/>
      </c>
      <c r="AB161" s="9">
        <f>IFERROR(INDEX($A161:$R161,MATCH("Pipeline Stage",$A$1:$R$1,0)),"")&amp;""</f>
        <v/>
      </c>
      <c r="AC161" s="9">
        <f>IFERROR(INDEX($A161:$R161,MATCH("Client",$A$1:$R$1,0)),"")&amp;""</f>
        <v/>
      </c>
      <c r="AD161" s="9">
        <f>IFERROR(INDEX($A161:$R161,MATCH("Description",$A$1:$R$1,0)),"")&amp;""</f>
        <v/>
      </c>
      <c r="AE161" s="9">
        <f>IFERROR(INDEX($A161:$R161,MATCH("Job Number",$A$1:$R$1,0)),"")&amp;""</f>
        <v/>
      </c>
      <c r="AF161" s="54">
        <f>IF(AND(T161="Open",ISNUMBER(Z161),Z161&lt;EOMONTH(set_AsAt,-1)+1),3,0)</f>
        <v/>
      </c>
      <c r="AG161" s="54">
        <f>IF(AND(T161="Open",U161&gt;0,U161&gt;=set_DealShare*SUMIFS($U$2:$U$601,$T$2:$T$601,"Open")),3,0)</f>
        <v/>
      </c>
      <c r="AH161" s="54">
        <f>IF(AND(T161="Open",U161&gt;=set_BigValue,W161&lt;=set_EarlyProb),2,0)</f>
        <v/>
      </c>
      <c r="AI161" s="54">
        <f>IF(AND(OR(T161="Open",T161="Won"),V161=0),2,0)</f>
        <v/>
      </c>
      <c r="AJ161" s="54">
        <f>IF(AND(T161="Won",Y161&gt;0.5,ISNUMBER(Z161),Z161&lt;EOMONTH(set_AsAt,-1)+1),3,0)</f>
        <v/>
      </c>
      <c r="AK161" s="54">
        <f>IF(AND(T161="Won",Y161&lt;-1),1,0)</f>
        <v/>
      </c>
      <c r="AL161" s="54">
        <f>SUM(AF161:AK161)</f>
        <v/>
      </c>
      <c r="AM161" s="9">
        <f>IF(AL161&gt;=set_ScoreHigh,"High",IF(AL161&gt;=set_ScoreMed,"Medium",IF(AL161&gt;0,"Low","OK")))</f>
        <v/>
      </c>
      <c r="AN161" s="54">
        <f>IF(OR(T161="Open",AND(T161="Won",ABS(Y161)&gt;0.5)),1,0)</f>
        <v/>
      </c>
      <c r="AO161" s="52">
        <f>IF(T161="Open",IF(V161=0,0,X161),IF(T161="Won",MAX(0,Y161),0))</f>
        <v/>
      </c>
      <c r="AP161" s="54">
        <f>IF(AN161=1,AL161*1E+9+U161+ROW()/1E+6,"")</f>
        <v/>
      </c>
      <c r="AQ161" s="9">
        <f>MID(IF(AF161&gt;0,"; Expected month passed - update Zoho","")&amp;IF(AG161&gt;0,"; "&amp;TEXT(U161/MAX(1,SUMIFS($U$2:$U$601,$T$2:$T$601,"Open")),"0%")&amp;" of open pipeline in one deal","")&amp;IF(AH161&gt;0,"; Large deal at an early stage","")&amp;IF(AI161&gt;0,"; No amount in Zoho","")&amp;IF(AJ161&gt;0,"; Won, invoice month passed, not fully invoiced","")&amp;IF(AK161&gt;0,"; Xero invoiced more than the deal value",""),3,300)</f>
        <v/>
      </c>
    </row>
    <row r="162">
      <c r="A162" s="51" t="n">
        <v>46265</v>
      </c>
      <c r="B162" t="inlineStr">
        <is>
          <t>ZOHO</t>
        </is>
      </c>
      <c r="C162" t="inlineStr">
        <is>
          <t>2608301</t>
        </is>
      </c>
      <c r="D162" t="inlineStr">
        <is>
          <t>Telstra Enterprise</t>
        </is>
      </c>
      <c r="E162" t="inlineStr">
        <is>
          <t>2608301</t>
        </is>
      </c>
      <c r="G162" t="inlineStr">
        <is>
          <t>INTEGRATION</t>
        </is>
      </c>
      <c r="H162" t="inlineStr">
        <is>
          <t>HP-Telstra | CSIRO Phone Mod - 2608301</t>
        </is>
      </c>
      <c r="I162" t="n">
        <v>0</v>
      </c>
      <c r="J162" t="inlineStr">
        <is>
          <t>Lost</t>
        </is>
      </c>
      <c r="L162" s="51" t="n">
        <v>46265</v>
      </c>
      <c r="M162" t="n">
        <v>0</v>
      </c>
      <c r="P162" t="inlineStr">
        <is>
          <t>Closed Lost</t>
        </is>
      </c>
      <c r="Q162" t="n">
        <v>0</v>
      </c>
      <c r="R162" t="n">
        <v>0</v>
      </c>
      <c r="T162" s="9">
        <f>IFERROR(INDEX($A162:$R162,MATCH("Status",$A$1:$R$1,0)),"")&amp;""</f>
        <v/>
      </c>
      <c r="U162" s="52">
        <f>IFERROR(N(IFERROR(INDEX($A162:$R162,MATCH("Value Ex GST",$A$1:$R$1,0)),"")),0)</f>
        <v/>
      </c>
      <c r="V162" s="54">
        <f>IF(AND(T162&lt;&gt;"",IFERROR(INDEX($A162:$R162,MATCH("Value Ex GST",$A$1:$R$1,0)),"")&amp;""&lt;&gt;""),1,0)</f>
        <v/>
      </c>
      <c r="W162" s="56">
        <f>IFERROR(N(IFERROR(INDEX($A162:$R162,MATCH("Probability",$A$1:$R$1,0)),"")),0)</f>
        <v/>
      </c>
      <c r="X162" s="52">
        <f>IF(T162="Open",U162*W162,0)</f>
        <v/>
      </c>
      <c r="Y162" s="52">
        <f>IF(T162="Won",IFERROR(N(IFERROR(INDEX($A162:$R162,MATCH("Still to Invoice",$A$1:$R$1,0)),"")),0),0)</f>
        <v/>
      </c>
      <c r="Z162" s="55">
        <f>IFERROR(EOMONTH(IFERROR(INDEX($A162:$R162,MATCH("Expected Invoice Month",$A$1:$R$1,0)),""),0),"")</f>
        <v/>
      </c>
      <c r="AA162" s="9">
        <f>IFERROR(INDEX($A162:$R162,MATCH("Cost Centre",$A$1:$R$1,0)),"")&amp;""</f>
        <v/>
      </c>
      <c r="AB162" s="9">
        <f>IFERROR(INDEX($A162:$R162,MATCH("Pipeline Stage",$A$1:$R$1,0)),"")&amp;""</f>
        <v/>
      </c>
      <c r="AC162" s="9">
        <f>IFERROR(INDEX($A162:$R162,MATCH("Client",$A$1:$R$1,0)),"")&amp;""</f>
        <v/>
      </c>
      <c r="AD162" s="9">
        <f>IFERROR(INDEX($A162:$R162,MATCH("Description",$A$1:$R$1,0)),"")&amp;""</f>
        <v/>
      </c>
      <c r="AE162" s="9">
        <f>IFERROR(INDEX($A162:$R162,MATCH("Job Number",$A$1:$R$1,0)),"")&amp;""</f>
        <v/>
      </c>
      <c r="AF162" s="54">
        <f>IF(AND(T162="Open",ISNUMBER(Z162),Z162&lt;EOMONTH(set_AsAt,-1)+1),3,0)</f>
        <v/>
      </c>
      <c r="AG162" s="54">
        <f>IF(AND(T162="Open",U162&gt;0,U162&gt;=set_DealShare*SUMIFS($U$2:$U$601,$T$2:$T$601,"Open")),3,0)</f>
        <v/>
      </c>
      <c r="AH162" s="54">
        <f>IF(AND(T162="Open",U162&gt;=set_BigValue,W162&lt;=set_EarlyProb),2,0)</f>
        <v/>
      </c>
      <c r="AI162" s="54">
        <f>IF(AND(OR(T162="Open",T162="Won"),V162=0),2,0)</f>
        <v/>
      </c>
      <c r="AJ162" s="54">
        <f>IF(AND(T162="Won",Y162&gt;0.5,ISNUMBER(Z162),Z162&lt;EOMONTH(set_AsAt,-1)+1),3,0)</f>
        <v/>
      </c>
      <c r="AK162" s="54">
        <f>IF(AND(T162="Won",Y162&lt;-1),1,0)</f>
        <v/>
      </c>
      <c r="AL162" s="54">
        <f>SUM(AF162:AK162)</f>
        <v/>
      </c>
      <c r="AM162" s="9">
        <f>IF(AL162&gt;=set_ScoreHigh,"High",IF(AL162&gt;=set_ScoreMed,"Medium",IF(AL162&gt;0,"Low","OK")))</f>
        <v/>
      </c>
      <c r="AN162" s="54">
        <f>IF(OR(T162="Open",AND(T162="Won",ABS(Y162)&gt;0.5)),1,0)</f>
        <v/>
      </c>
      <c r="AO162" s="52">
        <f>IF(T162="Open",IF(V162=0,0,X162),IF(T162="Won",MAX(0,Y162),0))</f>
        <v/>
      </c>
      <c r="AP162" s="54">
        <f>IF(AN162=1,AL162*1E+9+U162+ROW()/1E+6,"")</f>
        <v/>
      </c>
      <c r="AQ162" s="9">
        <f>MID(IF(AF162&gt;0,"; Expected month passed - update Zoho","")&amp;IF(AG162&gt;0,"; "&amp;TEXT(U162/MAX(1,SUMIFS($U$2:$U$601,$T$2:$T$601,"Open")),"0%")&amp;" of open pipeline in one deal","")&amp;IF(AH162&gt;0,"; Large deal at an early stage","")&amp;IF(AI162&gt;0,"; No amount in Zoho","")&amp;IF(AJ162&gt;0,"; Won, invoice month passed, not fully invoiced","")&amp;IF(AK162&gt;0,"; Xero invoiced more than the deal value",""),3,300)</f>
        <v/>
      </c>
    </row>
    <row r="163">
      <c r="A163" s="51" t="n">
        <v>46295</v>
      </c>
      <c r="B163" t="inlineStr">
        <is>
          <t>ZOHO</t>
        </is>
      </c>
      <c r="C163" t="inlineStr">
        <is>
          <t>26022302</t>
        </is>
      </c>
      <c r="D163" t="inlineStr">
        <is>
          <t>Global Philanthropic</t>
        </is>
      </c>
      <c r="E163" t="inlineStr">
        <is>
          <t>26022302</t>
        </is>
      </c>
      <c r="G163" t="inlineStr">
        <is>
          <t>PRODUCTION</t>
        </is>
      </c>
      <c r="H163" t="inlineStr">
        <is>
          <t>GP - Talking Philanthropy - 18.9.26</t>
        </is>
      </c>
      <c r="I163" t="n">
        <v>3949</v>
      </c>
      <c r="J163" t="inlineStr">
        <is>
          <t>Open</t>
        </is>
      </c>
      <c r="L163" s="51" t="n">
        <v>46295</v>
      </c>
      <c r="M163" t="n">
        <v>0</v>
      </c>
      <c r="P163" t="inlineStr">
        <is>
          <t>Verbal Approval</t>
        </is>
      </c>
      <c r="Q163" t="n">
        <v>0.9</v>
      </c>
      <c r="R163" t="n">
        <v>3554.1</v>
      </c>
      <c r="T163" s="9">
        <f>IFERROR(INDEX($A163:$R163,MATCH("Status",$A$1:$R$1,0)),"")&amp;""</f>
        <v/>
      </c>
      <c r="U163" s="52">
        <f>IFERROR(N(IFERROR(INDEX($A163:$R163,MATCH("Value Ex GST",$A$1:$R$1,0)),"")),0)</f>
        <v/>
      </c>
      <c r="V163" s="54">
        <f>IF(AND(T163&lt;&gt;"",IFERROR(INDEX($A163:$R163,MATCH("Value Ex GST",$A$1:$R$1,0)),"")&amp;""&lt;&gt;""),1,0)</f>
        <v/>
      </c>
      <c r="W163" s="56">
        <f>IFERROR(N(IFERROR(INDEX($A163:$R163,MATCH("Probability",$A$1:$R$1,0)),"")),0)</f>
        <v/>
      </c>
      <c r="X163" s="52">
        <f>IF(T163="Open",U163*W163,0)</f>
        <v/>
      </c>
      <c r="Y163" s="52">
        <f>IF(T163="Won",IFERROR(N(IFERROR(INDEX($A163:$R163,MATCH("Still to Invoice",$A$1:$R$1,0)),"")),0),0)</f>
        <v/>
      </c>
      <c r="Z163" s="55">
        <f>IFERROR(EOMONTH(IFERROR(INDEX($A163:$R163,MATCH("Expected Invoice Month",$A$1:$R$1,0)),""),0),"")</f>
        <v/>
      </c>
      <c r="AA163" s="9">
        <f>IFERROR(INDEX($A163:$R163,MATCH("Cost Centre",$A$1:$R$1,0)),"")&amp;""</f>
        <v/>
      </c>
      <c r="AB163" s="9">
        <f>IFERROR(INDEX($A163:$R163,MATCH("Pipeline Stage",$A$1:$R$1,0)),"")&amp;""</f>
        <v/>
      </c>
      <c r="AC163" s="9">
        <f>IFERROR(INDEX($A163:$R163,MATCH("Client",$A$1:$R$1,0)),"")&amp;""</f>
        <v/>
      </c>
      <c r="AD163" s="9">
        <f>IFERROR(INDEX($A163:$R163,MATCH("Description",$A$1:$R$1,0)),"")&amp;""</f>
        <v/>
      </c>
      <c r="AE163" s="9">
        <f>IFERROR(INDEX($A163:$R163,MATCH("Job Number",$A$1:$R$1,0)),"")&amp;""</f>
        <v/>
      </c>
      <c r="AF163" s="54">
        <f>IF(AND(T163="Open",ISNUMBER(Z163),Z163&lt;EOMONTH(set_AsAt,-1)+1),3,0)</f>
        <v/>
      </c>
      <c r="AG163" s="54">
        <f>IF(AND(T163="Open",U163&gt;0,U163&gt;=set_DealShare*SUMIFS($U$2:$U$601,$T$2:$T$601,"Open")),3,0)</f>
        <v/>
      </c>
      <c r="AH163" s="54">
        <f>IF(AND(T163="Open",U163&gt;=set_BigValue,W163&lt;=set_EarlyProb),2,0)</f>
        <v/>
      </c>
      <c r="AI163" s="54">
        <f>IF(AND(OR(T163="Open",T163="Won"),V163=0),2,0)</f>
        <v/>
      </c>
      <c r="AJ163" s="54">
        <f>IF(AND(T163="Won",Y163&gt;0.5,ISNUMBER(Z163),Z163&lt;EOMONTH(set_AsAt,-1)+1),3,0)</f>
        <v/>
      </c>
      <c r="AK163" s="54">
        <f>IF(AND(T163="Won",Y163&lt;-1),1,0)</f>
        <v/>
      </c>
      <c r="AL163" s="54">
        <f>SUM(AF163:AK163)</f>
        <v/>
      </c>
      <c r="AM163" s="9">
        <f>IF(AL163&gt;=set_ScoreHigh,"High",IF(AL163&gt;=set_ScoreMed,"Medium",IF(AL163&gt;0,"Low","OK")))</f>
        <v/>
      </c>
      <c r="AN163" s="54">
        <f>IF(OR(T163="Open",AND(T163="Won",ABS(Y163)&gt;0.5)),1,0)</f>
        <v/>
      </c>
      <c r="AO163" s="52">
        <f>IF(T163="Open",IF(V163=0,0,X163),IF(T163="Won",MAX(0,Y163),0))</f>
        <v/>
      </c>
      <c r="AP163" s="54">
        <f>IF(AN163=1,AL163*1E+9+U163+ROW()/1E+6,"")</f>
        <v/>
      </c>
      <c r="AQ163" s="9">
        <f>MID(IF(AF163&gt;0,"; Expected month passed - update Zoho","")&amp;IF(AG163&gt;0,"; "&amp;TEXT(U163/MAX(1,SUMIFS($U$2:$U$601,$T$2:$T$601,"Open")),"0%")&amp;" of open pipeline in one deal","")&amp;IF(AH163&gt;0,"; Large deal at an early stage","")&amp;IF(AI163&gt;0,"; No amount in Zoho","")&amp;IF(AJ163&gt;0,"; Won, invoice month passed, not fully invoiced","")&amp;IF(AK163&gt;0,"; Xero invoiced more than the deal value",""),3,300)</f>
        <v/>
      </c>
    </row>
    <row r="164">
      <c r="A164" s="51" t="n">
        <v>46295</v>
      </c>
      <c r="B164" t="inlineStr">
        <is>
          <t>ZOHO</t>
        </is>
      </c>
      <c r="C164" t="inlineStr">
        <is>
          <t>26082501</t>
        </is>
      </c>
      <c r="D164" t="inlineStr">
        <is>
          <t>Commonwealth Bank Australia (CBA)</t>
        </is>
      </c>
      <c r="E164" t="inlineStr">
        <is>
          <t>26082501</t>
        </is>
      </c>
      <c r="G164" t="inlineStr">
        <is>
          <t>PRODUCTION</t>
        </is>
      </c>
      <c r="H164" t="inlineStr">
        <is>
          <t>CBA - LES - September 2026</t>
        </is>
      </c>
      <c r="I164" t="n">
        <v>2500</v>
      </c>
      <c r="J164" t="inlineStr">
        <is>
          <t>Open</t>
        </is>
      </c>
      <c r="L164" s="51" t="n">
        <v>46295</v>
      </c>
      <c r="M164" t="n">
        <v>0</v>
      </c>
      <c r="P164" t="inlineStr">
        <is>
          <t>Verbal Approval</t>
        </is>
      </c>
      <c r="Q164" t="n">
        <v>0.9</v>
      </c>
      <c r="R164" t="n">
        <v>2250</v>
      </c>
      <c r="T164" s="9">
        <f>IFERROR(INDEX($A164:$R164,MATCH("Status",$A$1:$R$1,0)),"")&amp;""</f>
        <v/>
      </c>
      <c r="U164" s="52">
        <f>IFERROR(N(IFERROR(INDEX($A164:$R164,MATCH("Value Ex GST",$A$1:$R$1,0)),"")),0)</f>
        <v/>
      </c>
      <c r="V164" s="54">
        <f>IF(AND(T164&lt;&gt;"",IFERROR(INDEX($A164:$R164,MATCH("Value Ex GST",$A$1:$R$1,0)),"")&amp;""&lt;&gt;""),1,0)</f>
        <v/>
      </c>
      <c r="W164" s="56">
        <f>IFERROR(N(IFERROR(INDEX($A164:$R164,MATCH("Probability",$A$1:$R$1,0)),"")),0)</f>
        <v/>
      </c>
      <c r="X164" s="52">
        <f>IF(T164="Open",U164*W164,0)</f>
        <v/>
      </c>
      <c r="Y164" s="52">
        <f>IF(T164="Won",IFERROR(N(IFERROR(INDEX($A164:$R164,MATCH("Still to Invoice",$A$1:$R$1,0)),"")),0),0)</f>
        <v/>
      </c>
      <c r="Z164" s="55">
        <f>IFERROR(EOMONTH(IFERROR(INDEX($A164:$R164,MATCH("Expected Invoice Month",$A$1:$R$1,0)),""),0),"")</f>
        <v/>
      </c>
      <c r="AA164" s="9">
        <f>IFERROR(INDEX($A164:$R164,MATCH("Cost Centre",$A$1:$R$1,0)),"")&amp;""</f>
        <v/>
      </c>
      <c r="AB164" s="9">
        <f>IFERROR(INDEX($A164:$R164,MATCH("Pipeline Stage",$A$1:$R$1,0)),"")&amp;""</f>
        <v/>
      </c>
      <c r="AC164" s="9">
        <f>IFERROR(INDEX($A164:$R164,MATCH("Client",$A$1:$R$1,0)),"")&amp;""</f>
        <v/>
      </c>
      <c r="AD164" s="9">
        <f>IFERROR(INDEX($A164:$R164,MATCH("Description",$A$1:$R$1,0)),"")&amp;""</f>
        <v/>
      </c>
      <c r="AE164" s="9">
        <f>IFERROR(INDEX($A164:$R164,MATCH("Job Number",$A$1:$R$1,0)),"")&amp;""</f>
        <v/>
      </c>
      <c r="AF164" s="54">
        <f>IF(AND(T164="Open",ISNUMBER(Z164),Z164&lt;EOMONTH(set_AsAt,-1)+1),3,0)</f>
        <v/>
      </c>
      <c r="AG164" s="54">
        <f>IF(AND(T164="Open",U164&gt;0,U164&gt;=set_DealShare*SUMIFS($U$2:$U$601,$T$2:$T$601,"Open")),3,0)</f>
        <v/>
      </c>
      <c r="AH164" s="54">
        <f>IF(AND(T164="Open",U164&gt;=set_BigValue,W164&lt;=set_EarlyProb),2,0)</f>
        <v/>
      </c>
      <c r="AI164" s="54">
        <f>IF(AND(OR(T164="Open",T164="Won"),V164=0),2,0)</f>
        <v/>
      </c>
      <c r="AJ164" s="54">
        <f>IF(AND(T164="Won",Y164&gt;0.5,ISNUMBER(Z164),Z164&lt;EOMONTH(set_AsAt,-1)+1),3,0)</f>
        <v/>
      </c>
      <c r="AK164" s="54">
        <f>IF(AND(T164="Won",Y164&lt;-1),1,0)</f>
        <v/>
      </c>
      <c r="AL164" s="54">
        <f>SUM(AF164:AK164)</f>
        <v/>
      </c>
      <c r="AM164" s="9">
        <f>IF(AL164&gt;=set_ScoreHigh,"High",IF(AL164&gt;=set_ScoreMed,"Medium",IF(AL164&gt;0,"Low","OK")))</f>
        <v/>
      </c>
      <c r="AN164" s="54">
        <f>IF(OR(T164="Open",AND(T164="Won",ABS(Y164)&gt;0.5)),1,0)</f>
        <v/>
      </c>
      <c r="AO164" s="52">
        <f>IF(T164="Open",IF(V164=0,0,X164),IF(T164="Won",MAX(0,Y164),0))</f>
        <v/>
      </c>
      <c r="AP164" s="54">
        <f>IF(AN164=1,AL164*1E+9+U164+ROW()/1E+6,"")</f>
        <v/>
      </c>
      <c r="AQ164" s="9">
        <f>MID(IF(AF164&gt;0,"; Expected month passed - update Zoho","")&amp;IF(AG164&gt;0,"; "&amp;TEXT(U164/MAX(1,SUMIFS($U$2:$U$601,$T$2:$T$601,"Open")),"0%")&amp;" of open pipeline in one deal","")&amp;IF(AH164&gt;0,"; Large deal at an early stage","")&amp;IF(AI164&gt;0,"; No amount in Zoho","")&amp;IF(AJ164&gt;0,"; Won, invoice month passed, not fully invoiced","")&amp;IF(AK164&gt;0,"; Xero invoiced more than the deal value",""),3,300)</f>
        <v/>
      </c>
    </row>
    <row r="165">
      <c r="A165" s="51" t="n">
        <v>46326</v>
      </c>
      <c r="B165" t="inlineStr">
        <is>
          <t>ZOHO</t>
        </is>
      </c>
      <c r="C165" t="inlineStr">
        <is>
          <t>26091604</t>
        </is>
      </c>
      <c r="D165" t="inlineStr">
        <is>
          <t>The George Institute</t>
        </is>
      </c>
      <c r="E165" t="inlineStr">
        <is>
          <t>26091604</t>
        </is>
      </c>
      <c r="G165" t="inlineStr">
        <is>
          <t>PRODUCTION</t>
        </is>
      </c>
      <c r="H165" t="inlineStr">
        <is>
          <t>The George Institute - Sydney Cardiovascular Symposium - 29 &amp; 30.10.26</t>
        </is>
      </c>
      <c r="I165" t="n">
        <v>3360</v>
      </c>
      <c r="J165" t="inlineStr">
        <is>
          <t>Open</t>
        </is>
      </c>
      <c r="L165" s="51" t="n">
        <v>46326</v>
      </c>
      <c r="M165" t="n">
        <v>0</v>
      </c>
      <c r="P165" t="inlineStr">
        <is>
          <t>Verbal Approval</t>
        </is>
      </c>
      <c r="Q165" t="n">
        <v>0.9</v>
      </c>
      <c r="R165" t="n">
        <v>3024</v>
      </c>
      <c r="T165" s="9">
        <f>IFERROR(INDEX($A165:$R165,MATCH("Status",$A$1:$R$1,0)),"")&amp;""</f>
        <v/>
      </c>
      <c r="U165" s="52">
        <f>IFERROR(N(IFERROR(INDEX($A165:$R165,MATCH("Value Ex GST",$A$1:$R$1,0)),"")),0)</f>
        <v/>
      </c>
      <c r="V165" s="54">
        <f>IF(AND(T165&lt;&gt;"",IFERROR(INDEX($A165:$R165,MATCH("Value Ex GST",$A$1:$R$1,0)),"")&amp;""&lt;&gt;""),1,0)</f>
        <v/>
      </c>
      <c r="W165" s="56">
        <f>IFERROR(N(IFERROR(INDEX($A165:$R165,MATCH("Probability",$A$1:$R$1,0)),"")),0)</f>
        <v/>
      </c>
      <c r="X165" s="52">
        <f>IF(T165="Open",U165*W165,0)</f>
        <v/>
      </c>
      <c r="Y165" s="52">
        <f>IF(T165="Won",IFERROR(N(IFERROR(INDEX($A165:$R165,MATCH("Still to Invoice",$A$1:$R$1,0)),"")),0),0)</f>
        <v/>
      </c>
      <c r="Z165" s="55">
        <f>IFERROR(EOMONTH(IFERROR(INDEX($A165:$R165,MATCH("Expected Invoice Month",$A$1:$R$1,0)),""),0),"")</f>
        <v/>
      </c>
      <c r="AA165" s="9">
        <f>IFERROR(INDEX($A165:$R165,MATCH("Cost Centre",$A$1:$R$1,0)),"")&amp;""</f>
        <v/>
      </c>
      <c r="AB165" s="9">
        <f>IFERROR(INDEX($A165:$R165,MATCH("Pipeline Stage",$A$1:$R$1,0)),"")&amp;""</f>
        <v/>
      </c>
      <c r="AC165" s="9">
        <f>IFERROR(INDEX($A165:$R165,MATCH("Client",$A$1:$R$1,0)),"")&amp;""</f>
        <v/>
      </c>
      <c r="AD165" s="9">
        <f>IFERROR(INDEX($A165:$R165,MATCH("Description",$A$1:$R$1,0)),"")&amp;""</f>
        <v/>
      </c>
      <c r="AE165" s="9">
        <f>IFERROR(INDEX($A165:$R165,MATCH("Job Number",$A$1:$R$1,0)),"")&amp;""</f>
        <v/>
      </c>
      <c r="AF165" s="54">
        <f>IF(AND(T165="Open",ISNUMBER(Z165),Z165&lt;EOMONTH(set_AsAt,-1)+1),3,0)</f>
        <v/>
      </c>
      <c r="AG165" s="54">
        <f>IF(AND(T165="Open",U165&gt;0,U165&gt;=set_DealShare*SUMIFS($U$2:$U$601,$T$2:$T$601,"Open")),3,0)</f>
        <v/>
      </c>
      <c r="AH165" s="54">
        <f>IF(AND(T165="Open",U165&gt;=set_BigValue,W165&lt;=set_EarlyProb),2,0)</f>
        <v/>
      </c>
      <c r="AI165" s="54">
        <f>IF(AND(OR(T165="Open",T165="Won"),V165=0),2,0)</f>
        <v/>
      </c>
      <c r="AJ165" s="54">
        <f>IF(AND(T165="Won",Y165&gt;0.5,ISNUMBER(Z165),Z165&lt;EOMONTH(set_AsAt,-1)+1),3,0)</f>
        <v/>
      </c>
      <c r="AK165" s="54">
        <f>IF(AND(T165="Won",Y165&lt;-1),1,0)</f>
        <v/>
      </c>
      <c r="AL165" s="54">
        <f>SUM(AF165:AK165)</f>
        <v/>
      </c>
      <c r="AM165" s="9">
        <f>IF(AL165&gt;=set_ScoreHigh,"High",IF(AL165&gt;=set_ScoreMed,"Medium",IF(AL165&gt;0,"Low","OK")))</f>
        <v/>
      </c>
      <c r="AN165" s="54">
        <f>IF(OR(T165="Open",AND(T165="Won",ABS(Y165)&gt;0.5)),1,0)</f>
        <v/>
      </c>
      <c r="AO165" s="52">
        <f>IF(T165="Open",IF(V165=0,0,X165),IF(T165="Won",MAX(0,Y165),0))</f>
        <v/>
      </c>
      <c r="AP165" s="54">
        <f>IF(AN165=1,AL165*1E+9+U165+ROW()/1E+6,"")</f>
        <v/>
      </c>
      <c r="AQ165" s="9">
        <f>MID(IF(AF165&gt;0,"; Expected month passed - update Zoho","")&amp;IF(AG165&gt;0,"; "&amp;TEXT(U165/MAX(1,SUMIFS($U$2:$U$601,$T$2:$T$601,"Open")),"0%")&amp;" of open pipeline in one deal","")&amp;IF(AH165&gt;0,"; Large deal at an early stage","")&amp;IF(AI165&gt;0,"; No amount in Zoho","")&amp;IF(AJ165&gt;0,"; Won, invoice month passed, not fully invoiced","")&amp;IF(AK165&gt;0,"; Xero invoiced more than the deal value",""),3,300)</f>
        <v/>
      </c>
    </row>
    <row r="166">
      <c r="A166" s="51" t="n">
        <v>46295</v>
      </c>
      <c r="B166" t="inlineStr">
        <is>
          <t>ZOHO</t>
        </is>
      </c>
      <c r="C166" t="inlineStr">
        <is>
          <t>2603105</t>
        </is>
      </c>
      <c r="D166" t="inlineStr">
        <is>
          <t>Cochlear</t>
        </is>
      </c>
      <c r="E166" t="inlineStr">
        <is>
          <t>2603105</t>
        </is>
      </c>
      <c r="G166" t="inlineStr">
        <is>
          <t>PRODUCTION</t>
        </is>
      </c>
      <c r="H166" t="inlineStr">
        <is>
          <t>Cochlear - AGM - 26.10.26</t>
        </is>
      </c>
      <c r="I166" t="n">
        <v>60000</v>
      </c>
      <c r="J166" t="inlineStr">
        <is>
          <t>Open</t>
        </is>
      </c>
      <c r="L166" s="51" t="n">
        <v>46326</v>
      </c>
      <c r="M166" t="n">
        <v>0</v>
      </c>
      <c r="O166" t="inlineStr">
        <is>
          <t>Invoice month taken from the event date in the deal name</t>
        </is>
      </c>
      <c r="P166" t="inlineStr">
        <is>
          <t>Verbal Approval</t>
        </is>
      </c>
      <c r="Q166" t="n">
        <v>0.9</v>
      </c>
      <c r="R166" t="n">
        <v>54000</v>
      </c>
      <c r="T166" s="9">
        <f>IFERROR(INDEX($A166:$R166,MATCH("Status",$A$1:$R$1,0)),"")&amp;""</f>
        <v/>
      </c>
      <c r="U166" s="52">
        <f>IFERROR(N(IFERROR(INDEX($A166:$R166,MATCH("Value Ex GST",$A$1:$R$1,0)),"")),0)</f>
        <v/>
      </c>
      <c r="V166" s="54">
        <f>IF(AND(T166&lt;&gt;"",IFERROR(INDEX($A166:$R166,MATCH("Value Ex GST",$A$1:$R$1,0)),"")&amp;""&lt;&gt;""),1,0)</f>
        <v/>
      </c>
      <c r="W166" s="56">
        <f>IFERROR(N(IFERROR(INDEX($A166:$R166,MATCH("Probability",$A$1:$R$1,0)),"")),0)</f>
        <v/>
      </c>
      <c r="X166" s="52">
        <f>IF(T166="Open",U166*W166,0)</f>
        <v/>
      </c>
      <c r="Y166" s="52">
        <f>IF(T166="Won",IFERROR(N(IFERROR(INDEX($A166:$R166,MATCH("Still to Invoice",$A$1:$R$1,0)),"")),0),0)</f>
        <v/>
      </c>
      <c r="Z166" s="55">
        <f>IFERROR(EOMONTH(IFERROR(INDEX($A166:$R166,MATCH("Expected Invoice Month",$A$1:$R$1,0)),""),0),"")</f>
        <v/>
      </c>
      <c r="AA166" s="9">
        <f>IFERROR(INDEX($A166:$R166,MATCH("Cost Centre",$A$1:$R$1,0)),"")&amp;""</f>
        <v/>
      </c>
      <c r="AB166" s="9">
        <f>IFERROR(INDEX($A166:$R166,MATCH("Pipeline Stage",$A$1:$R$1,0)),"")&amp;""</f>
        <v/>
      </c>
      <c r="AC166" s="9">
        <f>IFERROR(INDEX($A166:$R166,MATCH("Client",$A$1:$R$1,0)),"")&amp;""</f>
        <v/>
      </c>
      <c r="AD166" s="9">
        <f>IFERROR(INDEX($A166:$R166,MATCH("Description",$A$1:$R$1,0)),"")&amp;""</f>
        <v/>
      </c>
      <c r="AE166" s="9">
        <f>IFERROR(INDEX($A166:$R166,MATCH("Job Number",$A$1:$R$1,0)),"")&amp;""</f>
        <v/>
      </c>
      <c r="AF166" s="54">
        <f>IF(AND(T166="Open",ISNUMBER(Z166),Z166&lt;EOMONTH(set_AsAt,-1)+1),3,0)</f>
        <v/>
      </c>
      <c r="AG166" s="54">
        <f>IF(AND(T166="Open",U166&gt;0,U166&gt;=set_DealShare*SUMIFS($U$2:$U$601,$T$2:$T$601,"Open")),3,0)</f>
        <v/>
      </c>
      <c r="AH166" s="54">
        <f>IF(AND(T166="Open",U166&gt;=set_BigValue,W166&lt;=set_EarlyProb),2,0)</f>
        <v/>
      </c>
      <c r="AI166" s="54">
        <f>IF(AND(OR(T166="Open",T166="Won"),V166=0),2,0)</f>
        <v/>
      </c>
      <c r="AJ166" s="54">
        <f>IF(AND(T166="Won",Y166&gt;0.5,ISNUMBER(Z166),Z166&lt;EOMONTH(set_AsAt,-1)+1),3,0)</f>
        <v/>
      </c>
      <c r="AK166" s="54">
        <f>IF(AND(T166="Won",Y166&lt;-1),1,0)</f>
        <v/>
      </c>
      <c r="AL166" s="54">
        <f>SUM(AF166:AK166)</f>
        <v/>
      </c>
      <c r="AM166" s="9">
        <f>IF(AL166&gt;=set_ScoreHigh,"High",IF(AL166&gt;=set_ScoreMed,"Medium",IF(AL166&gt;0,"Low","OK")))</f>
        <v/>
      </c>
      <c r="AN166" s="54">
        <f>IF(OR(T166="Open",AND(T166="Won",ABS(Y166)&gt;0.5)),1,0)</f>
        <v/>
      </c>
      <c r="AO166" s="52">
        <f>IF(T166="Open",IF(V166=0,0,X166),IF(T166="Won",MAX(0,Y166),0))</f>
        <v/>
      </c>
      <c r="AP166" s="54">
        <f>IF(AN166=1,AL166*1E+9+U166+ROW()/1E+6,"")</f>
        <v/>
      </c>
      <c r="AQ166" s="9">
        <f>MID(IF(AF166&gt;0,"; Expected month passed - update Zoho","")&amp;IF(AG166&gt;0,"; "&amp;TEXT(U166/MAX(1,SUMIFS($U$2:$U$601,$T$2:$T$601,"Open")),"0%")&amp;" of open pipeline in one deal","")&amp;IF(AH166&gt;0,"; Large deal at an early stage","")&amp;IF(AI166&gt;0,"; No amount in Zoho","")&amp;IF(AJ166&gt;0,"; Won, invoice month passed, not fully invoiced","")&amp;IF(AK166&gt;0,"; Xero invoiced more than the deal value",""),3,300)</f>
        <v/>
      </c>
    </row>
    <row r="167">
      <c r="A167" s="51" t="n">
        <v>46326</v>
      </c>
      <c r="B167" t="inlineStr">
        <is>
          <t>ZOHO</t>
        </is>
      </c>
      <c r="C167" t="inlineStr">
        <is>
          <t>26061605</t>
        </is>
      </c>
      <c r="D167" t="inlineStr">
        <is>
          <t>MUFG IR / Orient Capital</t>
        </is>
      </c>
      <c r="E167" t="inlineStr">
        <is>
          <t>26061605</t>
        </is>
      </c>
      <c r="G167" t="inlineStr">
        <is>
          <t>PRODUCTION</t>
        </is>
      </c>
      <c r="H167" t="inlineStr">
        <is>
          <t>MUFG - IBM Ltd AGM - 27.10.26</t>
        </is>
      </c>
      <c r="I167" t="n">
        <v>7847</v>
      </c>
      <c r="J167" t="inlineStr">
        <is>
          <t>Open</t>
        </is>
      </c>
      <c r="L167" s="51" t="n">
        <v>46326</v>
      </c>
      <c r="M167" t="n">
        <v>0</v>
      </c>
      <c r="P167" t="inlineStr">
        <is>
          <t>Verbal Approval</t>
        </is>
      </c>
      <c r="Q167" t="n">
        <v>0.9</v>
      </c>
      <c r="R167" t="n">
        <v>7062.3</v>
      </c>
      <c r="T167" s="9">
        <f>IFERROR(INDEX($A167:$R167,MATCH("Status",$A$1:$R$1,0)),"")&amp;""</f>
        <v/>
      </c>
      <c r="U167" s="52">
        <f>IFERROR(N(IFERROR(INDEX($A167:$R167,MATCH("Value Ex GST",$A$1:$R$1,0)),"")),0)</f>
        <v/>
      </c>
      <c r="V167" s="54">
        <f>IF(AND(T167&lt;&gt;"",IFERROR(INDEX($A167:$R167,MATCH("Value Ex GST",$A$1:$R$1,0)),"")&amp;""&lt;&gt;""),1,0)</f>
        <v/>
      </c>
      <c r="W167" s="56">
        <f>IFERROR(N(IFERROR(INDEX($A167:$R167,MATCH("Probability",$A$1:$R$1,0)),"")),0)</f>
        <v/>
      </c>
      <c r="X167" s="52">
        <f>IF(T167="Open",U167*W167,0)</f>
        <v/>
      </c>
      <c r="Y167" s="52">
        <f>IF(T167="Won",IFERROR(N(IFERROR(INDEX($A167:$R167,MATCH("Still to Invoice",$A$1:$R$1,0)),"")),0),0)</f>
        <v/>
      </c>
      <c r="Z167" s="55">
        <f>IFERROR(EOMONTH(IFERROR(INDEX($A167:$R167,MATCH("Expected Invoice Month",$A$1:$R$1,0)),""),0),"")</f>
        <v/>
      </c>
      <c r="AA167" s="9">
        <f>IFERROR(INDEX($A167:$R167,MATCH("Cost Centre",$A$1:$R$1,0)),"")&amp;""</f>
        <v/>
      </c>
      <c r="AB167" s="9">
        <f>IFERROR(INDEX($A167:$R167,MATCH("Pipeline Stage",$A$1:$R$1,0)),"")&amp;""</f>
        <v/>
      </c>
      <c r="AC167" s="9">
        <f>IFERROR(INDEX($A167:$R167,MATCH("Client",$A$1:$R$1,0)),"")&amp;""</f>
        <v/>
      </c>
      <c r="AD167" s="9">
        <f>IFERROR(INDEX($A167:$R167,MATCH("Description",$A$1:$R$1,0)),"")&amp;""</f>
        <v/>
      </c>
      <c r="AE167" s="9">
        <f>IFERROR(INDEX($A167:$R167,MATCH("Job Number",$A$1:$R$1,0)),"")&amp;""</f>
        <v/>
      </c>
      <c r="AF167" s="54">
        <f>IF(AND(T167="Open",ISNUMBER(Z167),Z167&lt;EOMONTH(set_AsAt,-1)+1),3,0)</f>
        <v/>
      </c>
      <c r="AG167" s="54">
        <f>IF(AND(T167="Open",U167&gt;0,U167&gt;=set_DealShare*SUMIFS($U$2:$U$601,$T$2:$T$601,"Open")),3,0)</f>
        <v/>
      </c>
      <c r="AH167" s="54">
        <f>IF(AND(T167="Open",U167&gt;=set_BigValue,W167&lt;=set_EarlyProb),2,0)</f>
        <v/>
      </c>
      <c r="AI167" s="54">
        <f>IF(AND(OR(T167="Open",T167="Won"),V167=0),2,0)</f>
        <v/>
      </c>
      <c r="AJ167" s="54">
        <f>IF(AND(T167="Won",Y167&gt;0.5,ISNUMBER(Z167),Z167&lt;EOMONTH(set_AsAt,-1)+1),3,0)</f>
        <v/>
      </c>
      <c r="AK167" s="54">
        <f>IF(AND(T167="Won",Y167&lt;-1),1,0)</f>
        <v/>
      </c>
      <c r="AL167" s="54">
        <f>SUM(AF167:AK167)</f>
        <v/>
      </c>
      <c r="AM167" s="9">
        <f>IF(AL167&gt;=set_ScoreHigh,"High",IF(AL167&gt;=set_ScoreMed,"Medium",IF(AL167&gt;0,"Low","OK")))</f>
        <v/>
      </c>
      <c r="AN167" s="54">
        <f>IF(OR(T167="Open",AND(T167="Won",ABS(Y167)&gt;0.5)),1,0)</f>
        <v/>
      </c>
      <c r="AO167" s="52">
        <f>IF(T167="Open",IF(V167=0,0,X167),IF(T167="Won",MAX(0,Y167),0))</f>
        <v/>
      </c>
      <c r="AP167" s="54">
        <f>IF(AN167=1,AL167*1E+9+U167+ROW()/1E+6,"")</f>
        <v/>
      </c>
      <c r="AQ167" s="9">
        <f>MID(IF(AF167&gt;0,"; Expected month passed - update Zoho","")&amp;IF(AG167&gt;0,"; "&amp;TEXT(U167/MAX(1,SUMIFS($U$2:$U$601,$T$2:$T$601,"Open")),"0%")&amp;" of open pipeline in one deal","")&amp;IF(AH167&gt;0,"; Large deal at an early stage","")&amp;IF(AI167&gt;0,"; No amount in Zoho","")&amp;IF(AJ167&gt;0,"; Won, invoice month passed, not fully invoiced","")&amp;IF(AK167&gt;0,"; Xero invoiced more than the deal value",""),3,300)</f>
        <v/>
      </c>
    </row>
    <row r="168">
      <c r="A168" s="51" t="n">
        <v>46326</v>
      </c>
      <c r="B168" t="inlineStr">
        <is>
          <t>ZOHO</t>
        </is>
      </c>
      <c r="C168" t="inlineStr">
        <is>
          <t>26081801</t>
        </is>
      </c>
      <c r="D168" t="inlineStr">
        <is>
          <t>Microsoft</t>
        </is>
      </c>
      <c r="E168" t="inlineStr">
        <is>
          <t>26081801</t>
        </is>
      </c>
      <c r="G168" t="inlineStr">
        <is>
          <t>PRODUCTION</t>
        </is>
      </c>
      <c r="H168" t="inlineStr">
        <is>
          <t>Microsoft - SME&amp;C Town Hall - Oct 26'</t>
        </is>
      </c>
      <c r="I168" t="n">
        <v>25005</v>
      </c>
      <c r="J168" t="inlineStr">
        <is>
          <t>Open</t>
        </is>
      </c>
      <c r="L168" s="51" t="n">
        <v>46326</v>
      </c>
      <c r="M168" t="n">
        <v>0</v>
      </c>
      <c r="P168" t="inlineStr">
        <is>
          <t>Verbal Approval</t>
        </is>
      </c>
      <c r="Q168" t="n">
        <v>0.9</v>
      </c>
      <c r="R168" t="n">
        <v>22504.5</v>
      </c>
      <c r="T168" s="9">
        <f>IFERROR(INDEX($A168:$R168,MATCH("Status",$A$1:$R$1,0)),"")&amp;""</f>
        <v/>
      </c>
      <c r="U168" s="52">
        <f>IFERROR(N(IFERROR(INDEX($A168:$R168,MATCH("Value Ex GST",$A$1:$R$1,0)),"")),0)</f>
        <v/>
      </c>
      <c r="V168" s="54">
        <f>IF(AND(T168&lt;&gt;"",IFERROR(INDEX($A168:$R168,MATCH("Value Ex GST",$A$1:$R$1,0)),"")&amp;""&lt;&gt;""),1,0)</f>
        <v/>
      </c>
      <c r="W168" s="56">
        <f>IFERROR(N(IFERROR(INDEX($A168:$R168,MATCH("Probability",$A$1:$R$1,0)),"")),0)</f>
        <v/>
      </c>
      <c r="X168" s="52">
        <f>IF(T168="Open",U168*W168,0)</f>
        <v/>
      </c>
      <c r="Y168" s="52">
        <f>IF(T168="Won",IFERROR(N(IFERROR(INDEX($A168:$R168,MATCH("Still to Invoice",$A$1:$R$1,0)),"")),0),0)</f>
        <v/>
      </c>
      <c r="Z168" s="55">
        <f>IFERROR(EOMONTH(IFERROR(INDEX($A168:$R168,MATCH("Expected Invoice Month",$A$1:$R$1,0)),""),0),"")</f>
        <v/>
      </c>
      <c r="AA168" s="9">
        <f>IFERROR(INDEX($A168:$R168,MATCH("Cost Centre",$A$1:$R$1,0)),"")&amp;""</f>
        <v/>
      </c>
      <c r="AB168" s="9">
        <f>IFERROR(INDEX($A168:$R168,MATCH("Pipeline Stage",$A$1:$R$1,0)),"")&amp;""</f>
        <v/>
      </c>
      <c r="AC168" s="9">
        <f>IFERROR(INDEX($A168:$R168,MATCH("Client",$A$1:$R$1,0)),"")&amp;""</f>
        <v/>
      </c>
      <c r="AD168" s="9">
        <f>IFERROR(INDEX($A168:$R168,MATCH("Description",$A$1:$R$1,0)),"")&amp;""</f>
        <v/>
      </c>
      <c r="AE168" s="9">
        <f>IFERROR(INDEX($A168:$R168,MATCH("Job Number",$A$1:$R$1,0)),"")&amp;""</f>
        <v/>
      </c>
      <c r="AF168" s="54">
        <f>IF(AND(T168="Open",ISNUMBER(Z168),Z168&lt;EOMONTH(set_AsAt,-1)+1),3,0)</f>
        <v/>
      </c>
      <c r="AG168" s="54">
        <f>IF(AND(T168="Open",U168&gt;0,U168&gt;=set_DealShare*SUMIFS($U$2:$U$601,$T$2:$T$601,"Open")),3,0)</f>
        <v/>
      </c>
      <c r="AH168" s="54">
        <f>IF(AND(T168="Open",U168&gt;=set_BigValue,W168&lt;=set_EarlyProb),2,0)</f>
        <v/>
      </c>
      <c r="AI168" s="54">
        <f>IF(AND(OR(T168="Open",T168="Won"),V168=0),2,0)</f>
        <v/>
      </c>
      <c r="AJ168" s="54">
        <f>IF(AND(T168="Won",Y168&gt;0.5,ISNUMBER(Z168),Z168&lt;EOMONTH(set_AsAt,-1)+1),3,0)</f>
        <v/>
      </c>
      <c r="AK168" s="54">
        <f>IF(AND(T168="Won",Y168&lt;-1),1,0)</f>
        <v/>
      </c>
      <c r="AL168" s="54">
        <f>SUM(AF168:AK168)</f>
        <v/>
      </c>
      <c r="AM168" s="9">
        <f>IF(AL168&gt;=set_ScoreHigh,"High",IF(AL168&gt;=set_ScoreMed,"Medium",IF(AL168&gt;0,"Low","OK")))</f>
        <v/>
      </c>
      <c r="AN168" s="54">
        <f>IF(OR(T168="Open",AND(T168="Won",ABS(Y168)&gt;0.5)),1,0)</f>
        <v/>
      </c>
      <c r="AO168" s="52">
        <f>IF(T168="Open",IF(V168=0,0,X168),IF(T168="Won",MAX(0,Y168),0))</f>
        <v/>
      </c>
      <c r="AP168" s="54">
        <f>IF(AN168=1,AL168*1E+9+U168+ROW()/1E+6,"")</f>
        <v/>
      </c>
      <c r="AQ168" s="9">
        <f>MID(IF(AF168&gt;0,"; Expected month passed - update Zoho","")&amp;IF(AG168&gt;0,"; "&amp;TEXT(U168/MAX(1,SUMIFS($U$2:$U$601,$T$2:$T$601,"Open")),"0%")&amp;" of open pipeline in one deal","")&amp;IF(AH168&gt;0,"; Large deal at an early stage","")&amp;IF(AI168&gt;0,"; No amount in Zoho","")&amp;IF(AJ168&gt;0,"; Won, invoice month passed, not fully invoiced","")&amp;IF(AK168&gt;0,"; Xero invoiced more than the deal value",""),3,300)</f>
        <v/>
      </c>
    </row>
    <row r="169">
      <c r="A169" s="51" t="n">
        <v>46326</v>
      </c>
      <c r="B169" t="inlineStr">
        <is>
          <t>ZOHO</t>
        </is>
      </c>
      <c r="C169" t="inlineStr">
        <is>
          <t>26061606</t>
        </is>
      </c>
      <c r="D169" t="inlineStr">
        <is>
          <t>MUFG IR / Orient Capital</t>
        </is>
      </c>
      <c r="E169" t="inlineStr">
        <is>
          <t>26061606</t>
        </is>
      </c>
      <c r="G169" t="inlineStr">
        <is>
          <t>PRODUCTION</t>
        </is>
      </c>
      <c r="H169" t="inlineStr">
        <is>
          <t>MUFG - Endeavour AGM - 30.10.26</t>
        </is>
      </c>
      <c r="I169" t="n">
        <v>26000</v>
      </c>
      <c r="J169" t="inlineStr">
        <is>
          <t>Open</t>
        </is>
      </c>
      <c r="L169" s="51" t="n">
        <v>46326</v>
      </c>
      <c r="M169" t="n">
        <v>0</v>
      </c>
      <c r="P169" t="inlineStr">
        <is>
          <t>Verbal Approval</t>
        </is>
      </c>
      <c r="Q169" t="n">
        <v>0.9</v>
      </c>
      <c r="R169" t="n">
        <v>23400</v>
      </c>
      <c r="T169" s="9">
        <f>IFERROR(INDEX($A169:$R169,MATCH("Status",$A$1:$R$1,0)),"")&amp;""</f>
        <v/>
      </c>
      <c r="U169" s="52">
        <f>IFERROR(N(IFERROR(INDEX($A169:$R169,MATCH("Value Ex GST",$A$1:$R$1,0)),"")),0)</f>
        <v/>
      </c>
      <c r="V169" s="54">
        <f>IF(AND(T169&lt;&gt;"",IFERROR(INDEX($A169:$R169,MATCH("Value Ex GST",$A$1:$R$1,0)),"")&amp;""&lt;&gt;""),1,0)</f>
        <v/>
      </c>
      <c r="W169" s="56">
        <f>IFERROR(N(IFERROR(INDEX($A169:$R169,MATCH("Probability",$A$1:$R$1,0)),"")),0)</f>
        <v/>
      </c>
      <c r="X169" s="52">
        <f>IF(T169="Open",U169*W169,0)</f>
        <v/>
      </c>
      <c r="Y169" s="52">
        <f>IF(T169="Won",IFERROR(N(IFERROR(INDEX($A169:$R169,MATCH("Still to Invoice",$A$1:$R$1,0)),"")),0),0)</f>
        <v/>
      </c>
      <c r="Z169" s="55">
        <f>IFERROR(EOMONTH(IFERROR(INDEX($A169:$R169,MATCH("Expected Invoice Month",$A$1:$R$1,0)),""),0),"")</f>
        <v/>
      </c>
      <c r="AA169" s="9">
        <f>IFERROR(INDEX($A169:$R169,MATCH("Cost Centre",$A$1:$R$1,0)),"")&amp;""</f>
        <v/>
      </c>
      <c r="AB169" s="9">
        <f>IFERROR(INDEX($A169:$R169,MATCH("Pipeline Stage",$A$1:$R$1,0)),"")&amp;""</f>
        <v/>
      </c>
      <c r="AC169" s="9">
        <f>IFERROR(INDEX($A169:$R169,MATCH("Client",$A$1:$R$1,0)),"")&amp;""</f>
        <v/>
      </c>
      <c r="AD169" s="9">
        <f>IFERROR(INDEX($A169:$R169,MATCH("Description",$A$1:$R$1,0)),"")&amp;""</f>
        <v/>
      </c>
      <c r="AE169" s="9">
        <f>IFERROR(INDEX($A169:$R169,MATCH("Job Number",$A$1:$R$1,0)),"")&amp;""</f>
        <v/>
      </c>
      <c r="AF169" s="54">
        <f>IF(AND(T169="Open",ISNUMBER(Z169),Z169&lt;EOMONTH(set_AsAt,-1)+1),3,0)</f>
        <v/>
      </c>
      <c r="AG169" s="54">
        <f>IF(AND(T169="Open",U169&gt;0,U169&gt;=set_DealShare*SUMIFS($U$2:$U$601,$T$2:$T$601,"Open")),3,0)</f>
        <v/>
      </c>
      <c r="AH169" s="54">
        <f>IF(AND(T169="Open",U169&gt;=set_BigValue,W169&lt;=set_EarlyProb),2,0)</f>
        <v/>
      </c>
      <c r="AI169" s="54">
        <f>IF(AND(OR(T169="Open",T169="Won"),V169=0),2,0)</f>
        <v/>
      </c>
      <c r="AJ169" s="54">
        <f>IF(AND(T169="Won",Y169&gt;0.5,ISNUMBER(Z169),Z169&lt;EOMONTH(set_AsAt,-1)+1),3,0)</f>
        <v/>
      </c>
      <c r="AK169" s="54">
        <f>IF(AND(T169="Won",Y169&lt;-1),1,0)</f>
        <v/>
      </c>
      <c r="AL169" s="54">
        <f>SUM(AF169:AK169)</f>
        <v/>
      </c>
      <c r="AM169" s="9">
        <f>IF(AL169&gt;=set_ScoreHigh,"High",IF(AL169&gt;=set_ScoreMed,"Medium",IF(AL169&gt;0,"Low","OK")))</f>
        <v/>
      </c>
      <c r="AN169" s="54">
        <f>IF(OR(T169="Open",AND(T169="Won",ABS(Y169)&gt;0.5)),1,0)</f>
        <v/>
      </c>
      <c r="AO169" s="52">
        <f>IF(T169="Open",IF(V169=0,0,X169),IF(T169="Won",MAX(0,Y169),0))</f>
        <v/>
      </c>
      <c r="AP169" s="54">
        <f>IF(AN169=1,AL169*1E+9+U169+ROW()/1E+6,"")</f>
        <v/>
      </c>
      <c r="AQ169" s="9">
        <f>MID(IF(AF169&gt;0,"; Expected month passed - update Zoho","")&amp;IF(AG169&gt;0,"; "&amp;TEXT(U169/MAX(1,SUMIFS($U$2:$U$601,$T$2:$T$601,"Open")),"0%")&amp;" of open pipeline in one deal","")&amp;IF(AH169&gt;0,"; Large deal at an early stage","")&amp;IF(AI169&gt;0,"; No amount in Zoho","")&amp;IF(AJ169&gt;0,"; Won, invoice month passed, not fully invoiced","")&amp;IF(AK169&gt;0,"; Xero invoiced more than the deal value",""),3,300)</f>
        <v/>
      </c>
    </row>
    <row r="170">
      <c r="A170" s="51" t="n">
        <v>46326</v>
      </c>
      <c r="B170" t="inlineStr">
        <is>
          <t>ZOHO</t>
        </is>
      </c>
      <c r="C170" t="inlineStr">
        <is>
          <t>26042302</t>
        </is>
      </c>
      <c r="D170" t="inlineStr">
        <is>
          <t>Ventia</t>
        </is>
      </c>
      <c r="E170" t="inlineStr">
        <is>
          <t>26042302</t>
        </is>
      </c>
      <c r="G170" t="inlineStr">
        <is>
          <t>INTEGRATION</t>
        </is>
      </c>
      <c r="H170" t="inlineStr">
        <is>
          <t>Ventia | Mobile Displays x2 - 26042302</t>
        </is>
      </c>
      <c r="I170" t="n">
        <v>9120</v>
      </c>
      <c r="J170" t="inlineStr">
        <is>
          <t>Open</t>
        </is>
      </c>
      <c r="L170" s="51" t="n">
        <v>46326</v>
      </c>
      <c r="M170" t="n">
        <v>0</v>
      </c>
      <c r="P170" t="inlineStr">
        <is>
          <t>Verbal Approval</t>
        </is>
      </c>
      <c r="Q170" t="n">
        <v>0.9</v>
      </c>
      <c r="R170" t="n">
        <v>8208</v>
      </c>
      <c r="T170" s="9">
        <f>IFERROR(INDEX($A170:$R170,MATCH("Status",$A$1:$R$1,0)),"")&amp;""</f>
        <v/>
      </c>
      <c r="U170" s="52">
        <f>IFERROR(N(IFERROR(INDEX($A170:$R170,MATCH("Value Ex GST",$A$1:$R$1,0)),"")),0)</f>
        <v/>
      </c>
      <c r="V170" s="54">
        <f>IF(AND(T170&lt;&gt;"",IFERROR(INDEX($A170:$R170,MATCH("Value Ex GST",$A$1:$R$1,0)),"")&amp;""&lt;&gt;""),1,0)</f>
        <v/>
      </c>
      <c r="W170" s="56">
        <f>IFERROR(N(IFERROR(INDEX($A170:$R170,MATCH("Probability",$A$1:$R$1,0)),"")),0)</f>
        <v/>
      </c>
      <c r="X170" s="52">
        <f>IF(T170="Open",U170*W170,0)</f>
        <v/>
      </c>
      <c r="Y170" s="52">
        <f>IF(T170="Won",IFERROR(N(IFERROR(INDEX($A170:$R170,MATCH("Still to Invoice",$A$1:$R$1,0)),"")),0),0)</f>
        <v/>
      </c>
      <c r="Z170" s="55">
        <f>IFERROR(EOMONTH(IFERROR(INDEX($A170:$R170,MATCH("Expected Invoice Month",$A$1:$R$1,0)),""),0),"")</f>
        <v/>
      </c>
      <c r="AA170" s="9">
        <f>IFERROR(INDEX($A170:$R170,MATCH("Cost Centre",$A$1:$R$1,0)),"")&amp;""</f>
        <v/>
      </c>
      <c r="AB170" s="9">
        <f>IFERROR(INDEX($A170:$R170,MATCH("Pipeline Stage",$A$1:$R$1,0)),"")&amp;""</f>
        <v/>
      </c>
      <c r="AC170" s="9">
        <f>IFERROR(INDEX($A170:$R170,MATCH("Client",$A$1:$R$1,0)),"")&amp;""</f>
        <v/>
      </c>
      <c r="AD170" s="9">
        <f>IFERROR(INDEX($A170:$R170,MATCH("Description",$A$1:$R$1,0)),"")&amp;""</f>
        <v/>
      </c>
      <c r="AE170" s="9">
        <f>IFERROR(INDEX($A170:$R170,MATCH("Job Number",$A$1:$R$1,0)),"")&amp;""</f>
        <v/>
      </c>
      <c r="AF170" s="54">
        <f>IF(AND(T170="Open",ISNUMBER(Z170),Z170&lt;EOMONTH(set_AsAt,-1)+1),3,0)</f>
        <v/>
      </c>
      <c r="AG170" s="54">
        <f>IF(AND(T170="Open",U170&gt;0,U170&gt;=set_DealShare*SUMIFS($U$2:$U$601,$T$2:$T$601,"Open")),3,0)</f>
        <v/>
      </c>
      <c r="AH170" s="54">
        <f>IF(AND(T170="Open",U170&gt;=set_BigValue,W170&lt;=set_EarlyProb),2,0)</f>
        <v/>
      </c>
      <c r="AI170" s="54">
        <f>IF(AND(OR(T170="Open",T170="Won"),V170=0),2,0)</f>
        <v/>
      </c>
      <c r="AJ170" s="54">
        <f>IF(AND(T170="Won",Y170&gt;0.5,ISNUMBER(Z170),Z170&lt;EOMONTH(set_AsAt,-1)+1),3,0)</f>
        <v/>
      </c>
      <c r="AK170" s="54">
        <f>IF(AND(T170="Won",Y170&lt;-1),1,0)</f>
        <v/>
      </c>
      <c r="AL170" s="54">
        <f>SUM(AF170:AK170)</f>
        <v/>
      </c>
      <c r="AM170" s="9">
        <f>IF(AL170&gt;=set_ScoreHigh,"High",IF(AL170&gt;=set_ScoreMed,"Medium",IF(AL170&gt;0,"Low","OK")))</f>
        <v/>
      </c>
      <c r="AN170" s="54">
        <f>IF(OR(T170="Open",AND(T170="Won",ABS(Y170)&gt;0.5)),1,0)</f>
        <v/>
      </c>
      <c r="AO170" s="52">
        <f>IF(T170="Open",IF(V170=0,0,X170),IF(T170="Won",MAX(0,Y170),0))</f>
        <v/>
      </c>
      <c r="AP170" s="54">
        <f>IF(AN170=1,AL170*1E+9+U170+ROW()/1E+6,"")</f>
        <v/>
      </c>
      <c r="AQ170" s="9">
        <f>MID(IF(AF170&gt;0,"; Expected month passed - update Zoho","")&amp;IF(AG170&gt;0,"; "&amp;TEXT(U170/MAX(1,SUMIFS($U$2:$U$601,$T$2:$T$601,"Open")),"0%")&amp;" of open pipeline in one deal","")&amp;IF(AH170&gt;0,"; Large deal at an early stage","")&amp;IF(AI170&gt;0,"; No amount in Zoho","")&amp;IF(AJ170&gt;0,"; Won, invoice month passed, not fully invoiced","")&amp;IF(AK170&gt;0,"; Xero invoiced more than the deal value",""),3,300)</f>
        <v/>
      </c>
    </row>
    <row r="171">
      <c r="A171" s="51" t="n">
        <v>46326</v>
      </c>
      <c r="B171" t="inlineStr">
        <is>
          <t>ZOHO</t>
        </is>
      </c>
      <c r="C171" t="inlineStr">
        <is>
          <t>26032502</t>
        </is>
      </c>
      <c r="D171" t="inlineStr">
        <is>
          <t>3YS Owls Pty Ltd</t>
        </is>
      </c>
      <c r="E171" t="inlineStr">
        <is>
          <t>26032502</t>
        </is>
      </c>
      <c r="G171" t="inlineStr">
        <is>
          <t>PRODUCTION</t>
        </is>
      </c>
      <c r="H171" t="inlineStr">
        <is>
          <t>3YS Owls - Governance Top 100 2026 - 30.10.26</t>
        </is>
      </c>
      <c r="I171" t="n">
        <v>12600</v>
      </c>
      <c r="J171" t="inlineStr">
        <is>
          <t>Open</t>
        </is>
      </c>
      <c r="L171" s="51" t="n">
        <v>46326</v>
      </c>
      <c r="M171" t="n">
        <v>0</v>
      </c>
      <c r="P171" t="inlineStr">
        <is>
          <t>Verbal Approval</t>
        </is>
      </c>
      <c r="Q171" t="n">
        <v>0.9</v>
      </c>
      <c r="R171" t="n">
        <v>11340</v>
      </c>
      <c r="T171" s="9">
        <f>IFERROR(INDEX($A171:$R171,MATCH("Status",$A$1:$R$1,0)),"")&amp;""</f>
        <v/>
      </c>
      <c r="U171" s="52">
        <f>IFERROR(N(IFERROR(INDEX($A171:$R171,MATCH("Value Ex GST",$A$1:$R$1,0)),"")),0)</f>
        <v/>
      </c>
      <c r="V171" s="54">
        <f>IF(AND(T171&lt;&gt;"",IFERROR(INDEX($A171:$R171,MATCH("Value Ex GST",$A$1:$R$1,0)),"")&amp;""&lt;&gt;""),1,0)</f>
        <v/>
      </c>
      <c r="W171" s="56">
        <f>IFERROR(N(IFERROR(INDEX($A171:$R171,MATCH("Probability",$A$1:$R$1,0)),"")),0)</f>
        <v/>
      </c>
      <c r="X171" s="52">
        <f>IF(T171="Open",U171*W171,0)</f>
        <v/>
      </c>
      <c r="Y171" s="52">
        <f>IF(T171="Won",IFERROR(N(IFERROR(INDEX($A171:$R171,MATCH("Still to Invoice",$A$1:$R$1,0)),"")),0),0)</f>
        <v/>
      </c>
      <c r="Z171" s="55">
        <f>IFERROR(EOMONTH(IFERROR(INDEX($A171:$R171,MATCH("Expected Invoice Month",$A$1:$R$1,0)),""),0),"")</f>
        <v/>
      </c>
      <c r="AA171" s="9">
        <f>IFERROR(INDEX($A171:$R171,MATCH("Cost Centre",$A$1:$R$1,0)),"")&amp;""</f>
        <v/>
      </c>
      <c r="AB171" s="9">
        <f>IFERROR(INDEX($A171:$R171,MATCH("Pipeline Stage",$A$1:$R$1,0)),"")&amp;""</f>
        <v/>
      </c>
      <c r="AC171" s="9">
        <f>IFERROR(INDEX($A171:$R171,MATCH("Client",$A$1:$R$1,0)),"")&amp;""</f>
        <v/>
      </c>
      <c r="AD171" s="9">
        <f>IFERROR(INDEX($A171:$R171,MATCH("Description",$A$1:$R$1,0)),"")&amp;""</f>
        <v/>
      </c>
      <c r="AE171" s="9">
        <f>IFERROR(INDEX($A171:$R171,MATCH("Job Number",$A$1:$R$1,0)),"")&amp;""</f>
        <v/>
      </c>
      <c r="AF171" s="54">
        <f>IF(AND(T171="Open",ISNUMBER(Z171),Z171&lt;EOMONTH(set_AsAt,-1)+1),3,0)</f>
        <v/>
      </c>
      <c r="AG171" s="54">
        <f>IF(AND(T171="Open",U171&gt;0,U171&gt;=set_DealShare*SUMIFS($U$2:$U$601,$T$2:$T$601,"Open")),3,0)</f>
        <v/>
      </c>
      <c r="AH171" s="54">
        <f>IF(AND(T171="Open",U171&gt;=set_BigValue,W171&lt;=set_EarlyProb),2,0)</f>
        <v/>
      </c>
      <c r="AI171" s="54">
        <f>IF(AND(OR(T171="Open",T171="Won"),V171=0),2,0)</f>
        <v/>
      </c>
      <c r="AJ171" s="54">
        <f>IF(AND(T171="Won",Y171&gt;0.5,ISNUMBER(Z171),Z171&lt;EOMONTH(set_AsAt,-1)+1),3,0)</f>
        <v/>
      </c>
      <c r="AK171" s="54">
        <f>IF(AND(T171="Won",Y171&lt;-1),1,0)</f>
        <v/>
      </c>
      <c r="AL171" s="54">
        <f>SUM(AF171:AK171)</f>
        <v/>
      </c>
      <c r="AM171" s="9">
        <f>IF(AL171&gt;=set_ScoreHigh,"High",IF(AL171&gt;=set_ScoreMed,"Medium",IF(AL171&gt;0,"Low","OK")))</f>
        <v/>
      </c>
      <c r="AN171" s="54">
        <f>IF(OR(T171="Open",AND(T171="Won",ABS(Y171)&gt;0.5)),1,0)</f>
        <v/>
      </c>
      <c r="AO171" s="52">
        <f>IF(T171="Open",IF(V171=0,0,X171),IF(T171="Won",MAX(0,Y171),0))</f>
        <v/>
      </c>
      <c r="AP171" s="54">
        <f>IF(AN171=1,AL171*1E+9+U171+ROW()/1E+6,"")</f>
        <v/>
      </c>
      <c r="AQ171" s="9">
        <f>MID(IF(AF171&gt;0,"; Expected month passed - update Zoho","")&amp;IF(AG171&gt;0,"; "&amp;TEXT(U171/MAX(1,SUMIFS($U$2:$U$601,$T$2:$T$601,"Open")),"0%")&amp;" of open pipeline in one deal","")&amp;IF(AH171&gt;0,"; Large deal at an early stage","")&amp;IF(AI171&gt;0,"; No amount in Zoho","")&amp;IF(AJ171&gt;0,"; Won, invoice month passed, not fully invoiced","")&amp;IF(AK171&gt;0,"; Xero invoiced more than the deal value",""),3,300)</f>
        <v/>
      </c>
    </row>
    <row r="172">
      <c r="A172" s="51" t="n">
        <v>46356</v>
      </c>
      <c r="B172" t="inlineStr">
        <is>
          <t>ZOHO</t>
        </is>
      </c>
      <c r="C172" t="inlineStr">
        <is>
          <t>26062301</t>
        </is>
      </c>
      <c r="D172" t="inlineStr">
        <is>
          <t>Garvan Institute of Medical Research</t>
        </is>
      </c>
      <c r="E172" t="inlineStr">
        <is>
          <t>26062301</t>
        </is>
      </c>
      <c r="G172" t="inlineStr">
        <is>
          <t>PRODUCTION</t>
        </is>
      </c>
      <c r="H172" t="inlineStr">
        <is>
          <t>Garvan - Morning Tea Event - 20.11.26</t>
        </is>
      </c>
      <c r="I172" t="n">
        <v>1120</v>
      </c>
      <c r="J172" t="inlineStr">
        <is>
          <t>Open</t>
        </is>
      </c>
      <c r="L172" s="51" t="n">
        <v>46356</v>
      </c>
      <c r="M172" t="n">
        <v>0</v>
      </c>
      <c r="P172" t="inlineStr">
        <is>
          <t>Verbal Approval</t>
        </is>
      </c>
      <c r="Q172" t="n">
        <v>0.9</v>
      </c>
      <c r="R172" t="n">
        <v>1008</v>
      </c>
      <c r="T172" s="9">
        <f>IFERROR(INDEX($A172:$R172,MATCH("Status",$A$1:$R$1,0)),"")&amp;""</f>
        <v/>
      </c>
      <c r="U172" s="52">
        <f>IFERROR(N(IFERROR(INDEX($A172:$R172,MATCH("Value Ex GST",$A$1:$R$1,0)),"")),0)</f>
        <v/>
      </c>
      <c r="V172" s="54">
        <f>IF(AND(T172&lt;&gt;"",IFERROR(INDEX($A172:$R172,MATCH("Value Ex GST",$A$1:$R$1,0)),"")&amp;""&lt;&gt;""),1,0)</f>
        <v/>
      </c>
      <c r="W172" s="56">
        <f>IFERROR(N(IFERROR(INDEX($A172:$R172,MATCH("Probability",$A$1:$R$1,0)),"")),0)</f>
        <v/>
      </c>
      <c r="X172" s="52">
        <f>IF(T172="Open",U172*W172,0)</f>
        <v/>
      </c>
      <c r="Y172" s="52">
        <f>IF(T172="Won",IFERROR(N(IFERROR(INDEX($A172:$R172,MATCH("Still to Invoice",$A$1:$R$1,0)),"")),0),0)</f>
        <v/>
      </c>
      <c r="Z172" s="55">
        <f>IFERROR(EOMONTH(IFERROR(INDEX($A172:$R172,MATCH("Expected Invoice Month",$A$1:$R$1,0)),""),0),"")</f>
        <v/>
      </c>
      <c r="AA172" s="9">
        <f>IFERROR(INDEX($A172:$R172,MATCH("Cost Centre",$A$1:$R$1,0)),"")&amp;""</f>
        <v/>
      </c>
      <c r="AB172" s="9">
        <f>IFERROR(INDEX($A172:$R172,MATCH("Pipeline Stage",$A$1:$R$1,0)),"")&amp;""</f>
        <v/>
      </c>
      <c r="AC172" s="9">
        <f>IFERROR(INDEX($A172:$R172,MATCH("Client",$A$1:$R$1,0)),"")&amp;""</f>
        <v/>
      </c>
      <c r="AD172" s="9">
        <f>IFERROR(INDEX($A172:$R172,MATCH("Description",$A$1:$R$1,0)),"")&amp;""</f>
        <v/>
      </c>
      <c r="AE172" s="9">
        <f>IFERROR(INDEX($A172:$R172,MATCH("Job Number",$A$1:$R$1,0)),"")&amp;""</f>
        <v/>
      </c>
      <c r="AF172" s="54">
        <f>IF(AND(T172="Open",ISNUMBER(Z172),Z172&lt;EOMONTH(set_AsAt,-1)+1),3,0)</f>
        <v/>
      </c>
      <c r="AG172" s="54">
        <f>IF(AND(T172="Open",U172&gt;0,U172&gt;=set_DealShare*SUMIFS($U$2:$U$601,$T$2:$T$601,"Open")),3,0)</f>
        <v/>
      </c>
      <c r="AH172" s="54">
        <f>IF(AND(T172="Open",U172&gt;=set_BigValue,W172&lt;=set_EarlyProb),2,0)</f>
        <v/>
      </c>
      <c r="AI172" s="54">
        <f>IF(AND(OR(T172="Open",T172="Won"),V172=0),2,0)</f>
        <v/>
      </c>
      <c r="AJ172" s="54">
        <f>IF(AND(T172="Won",Y172&gt;0.5,ISNUMBER(Z172),Z172&lt;EOMONTH(set_AsAt,-1)+1),3,0)</f>
        <v/>
      </c>
      <c r="AK172" s="54">
        <f>IF(AND(T172="Won",Y172&lt;-1),1,0)</f>
        <v/>
      </c>
      <c r="AL172" s="54">
        <f>SUM(AF172:AK172)</f>
        <v/>
      </c>
      <c r="AM172" s="9">
        <f>IF(AL172&gt;=set_ScoreHigh,"High",IF(AL172&gt;=set_ScoreMed,"Medium",IF(AL172&gt;0,"Low","OK")))</f>
        <v/>
      </c>
      <c r="AN172" s="54">
        <f>IF(OR(T172="Open",AND(T172="Won",ABS(Y172)&gt;0.5)),1,0)</f>
        <v/>
      </c>
      <c r="AO172" s="52">
        <f>IF(T172="Open",IF(V172=0,0,X172),IF(T172="Won",MAX(0,Y172),0))</f>
        <v/>
      </c>
      <c r="AP172" s="54">
        <f>IF(AN172=1,AL172*1E+9+U172+ROW()/1E+6,"")</f>
        <v/>
      </c>
      <c r="AQ172" s="9">
        <f>MID(IF(AF172&gt;0,"; Expected month passed - update Zoho","")&amp;IF(AG172&gt;0,"; "&amp;TEXT(U172/MAX(1,SUMIFS($U$2:$U$601,$T$2:$T$601,"Open")),"0%")&amp;" of open pipeline in one deal","")&amp;IF(AH172&gt;0,"; Large deal at an early stage","")&amp;IF(AI172&gt;0,"; No amount in Zoho","")&amp;IF(AJ172&gt;0,"; Won, invoice month passed, not fully invoiced","")&amp;IF(AK172&gt;0,"; Xero invoiced more than the deal value",""),3,300)</f>
        <v/>
      </c>
    </row>
    <row r="173">
      <c r="A173" s="51" t="n">
        <v>46538</v>
      </c>
      <c r="B173" t="inlineStr">
        <is>
          <t>ZOHO</t>
        </is>
      </c>
      <c r="C173" t="inlineStr">
        <is>
          <t>26061202</t>
        </is>
      </c>
      <c r="D173" t="inlineStr">
        <is>
          <t>Commonwealth Bank Australia (CBA)</t>
        </is>
      </c>
      <c r="E173" t="inlineStr">
        <is>
          <t>26061202</t>
        </is>
      </c>
      <c r="G173" t="inlineStr">
        <is>
          <t>PRODUCTION</t>
        </is>
      </c>
      <c r="H173" t="inlineStr">
        <is>
          <t>CBA - AGM 2027 -</t>
        </is>
      </c>
      <c r="I173" t="n">
        <v>450000</v>
      </c>
      <c r="J173" t="inlineStr">
        <is>
          <t>Open</t>
        </is>
      </c>
      <c r="L173" s="51" t="n">
        <v>46538</v>
      </c>
      <c r="M173" t="n">
        <v>0</v>
      </c>
      <c r="P173" t="inlineStr">
        <is>
          <t>Verbal Approval</t>
        </is>
      </c>
      <c r="Q173" t="n">
        <v>0.9</v>
      </c>
      <c r="R173" t="n">
        <v>405000</v>
      </c>
      <c r="T173" s="9">
        <f>IFERROR(INDEX($A173:$R173,MATCH("Status",$A$1:$R$1,0)),"")&amp;""</f>
        <v/>
      </c>
      <c r="U173" s="52">
        <f>IFERROR(N(IFERROR(INDEX($A173:$R173,MATCH("Value Ex GST",$A$1:$R$1,0)),"")),0)</f>
        <v/>
      </c>
      <c r="V173" s="54">
        <f>IF(AND(T173&lt;&gt;"",IFERROR(INDEX($A173:$R173,MATCH("Value Ex GST",$A$1:$R$1,0)),"")&amp;""&lt;&gt;""),1,0)</f>
        <v/>
      </c>
      <c r="W173" s="56">
        <f>IFERROR(N(IFERROR(INDEX($A173:$R173,MATCH("Probability",$A$1:$R$1,0)),"")),0)</f>
        <v/>
      </c>
      <c r="X173" s="52">
        <f>IF(T173="Open",U173*W173,0)</f>
        <v/>
      </c>
      <c r="Y173" s="52">
        <f>IF(T173="Won",IFERROR(N(IFERROR(INDEX($A173:$R173,MATCH("Still to Invoice",$A$1:$R$1,0)),"")),0),0)</f>
        <v/>
      </c>
      <c r="Z173" s="55">
        <f>IFERROR(EOMONTH(IFERROR(INDEX($A173:$R173,MATCH("Expected Invoice Month",$A$1:$R$1,0)),""),0),"")</f>
        <v/>
      </c>
      <c r="AA173" s="9">
        <f>IFERROR(INDEX($A173:$R173,MATCH("Cost Centre",$A$1:$R$1,0)),"")&amp;""</f>
        <v/>
      </c>
      <c r="AB173" s="9">
        <f>IFERROR(INDEX($A173:$R173,MATCH("Pipeline Stage",$A$1:$R$1,0)),"")&amp;""</f>
        <v/>
      </c>
      <c r="AC173" s="9">
        <f>IFERROR(INDEX($A173:$R173,MATCH("Client",$A$1:$R$1,0)),"")&amp;""</f>
        <v/>
      </c>
      <c r="AD173" s="9">
        <f>IFERROR(INDEX($A173:$R173,MATCH("Description",$A$1:$R$1,0)),"")&amp;""</f>
        <v/>
      </c>
      <c r="AE173" s="9">
        <f>IFERROR(INDEX($A173:$R173,MATCH("Job Number",$A$1:$R$1,0)),"")&amp;""</f>
        <v/>
      </c>
      <c r="AF173" s="54">
        <f>IF(AND(T173="Open",ISNUMBER(Z173),Z173&lt;EOMONTH(set_AsAt,-1)+1),3,0)</f>
        <v/>
      </c>
      <c r="AG173" s="54">
        <f>IF(AND(T173="Open",U173&gt;0,U173&gt;=set_DealShare*SUMIFS($U$2:$U$601,$T$2:$T$601,"Open")),3,0)</f>
        <v/>
      </c>
      <c r="AH173" s="54">
        <f>IF(AND(T173="Open",U173&gt;=set_BigValue,W173&lt;=set_EarlyProb),2,0)</f>
        <v/>
      </c>
      <c r="AI173" s="54">
        <f>IF(AND(OR(T173="Open",T173="Won"),V173=0),2,0)</f>
        <v/>
      </c>
      <c r="AJ173" s="54">
        <f>IF(AND(T173="Won",Y173&gt;0.5,ISNUMBER(Z173),Z173&lt;EOMONTH(set_AsAt,-1)+1),3,0)</f>
        <v/>
      </c>
      <c r="AK173" s="54">
        <f>IF(AND(T173="Won",Y173&lt;-1),1,0)</f>
        <v/>
      </c>
      <c r="AL173" s="54">
        <f>SUM(AF173:AK173)</f>
        <v/>
      </c>
      <c r="AM173" s="9">
        <f>IF(AL173&gt;=set_ScoreHigh,"High",IF(AL173&gt;=set_ScoreMed,"Medium",IF(AL173&gt;0,"Low","OK")))</f>
        <v/>
      </c>
      <c r="AN173" s="54">
        <f>IF(OR(T173="Open",AND(T173="Won",ABS(Y173)&gt;0.5)),1,0)</f>
        <v/>
      </c>
      <c r="AO173" s="52">
        <f>IF(T173="Open",IF(V173=0,0,X173),IF(T173="Won",MAX(0,Y173),0))</f>
        <v/>
      </c>
      <c r="AP173" s="54">
        <f>IF(AN173=1,AL173*1E+9+U173+ROW()/1E+6,"")</f>
        <v/>
      </c>
      <c r="AQ173" s="9">
        <f>MID(IF(AF173&gt;0,"; Expected month passed - update Zoho","")&amp;IF(AG173&gt;0,"; "&amp;TEXT(U173/MAX(1,SUMIFS($U$2:$U$601,$T$2:$T$601,"Open")),"0%")&amp;" of open pipeline in one deal","")&amp;IF(AH173&gt;0,"; Large deal at an early stage","")&amp;IF(AI173&gt;0,"; No amount in Zoho","")&amp;IF(AJ173&gt;0,"; Won, invoice month passed, not fully invoiced","")&amp;IF(AK173&gt;0,"; Xero invoiced more than the deal value",""),3,300)</f>
        <v/>
      </c>
    </row>
    <row r="174">
      <c r="A174" s="51" t="n">
        <v>46538</v>
      </c>
      <c r="B174" t="inlineStr">
        <is>
          <t>ZOHO</t>
        </is>
      </c>
      <c r="C174" t="inlineStr">
        <is>
          <t>26061609</t>
        </is>
      </c>
      <c r="D174" t="inlineStr">
        <is>
          <t>APA</t>
        </is>
      </c>
      <c r="E174" t="inlineStr">
        <is>
          <t>26061609</t>
        </is>
      </c>
      <c r="G174" t="inlineStr">
        <is>
          <t>PRODUCTION</t>
        </is>
      </c>
      <c r="H174" t="inlineStr">
        <is>
          <t>APA - Qtly All Hands (Perth) - May 27'</t>
        </is>
      </c>
      <c r="I174" t="n">
        <v>14870</v>
      </c>
      <c r="J174" t="inlineStr">
        <is>
          <t>Open</t>
        </is>
      </c>
      <c r="L174" s="51" t="n">
        <v>46538</v>
      </c>
      <c r="M174" t="n">
        <v>4308</v>
      </c>
      <c r="P174" t="inlineStr">
        <is>
          <t>Verbal Approval</t>
        </is>
      </c>
      <c r="Q174" t="n">
        <v>0.9</v>
      </c>
      <c r="R174" t="n">
        <v>13383</v>
      </c>
      <c r="T174" s="9">
        <f>IFERROR(INDEX($A174:$R174,MATCH("Status",$A$1:$R$1,0)),"")&amp;""</f>
        <v/>
      </c>
      <c r="U174" s="52">
        <f>IFERROR(N(IFERROR(INDEX($A174:$R174,MATCH("Value Ex GST",$A$1:$R$1,0)),"")),0)</f>
        <v/>
      </c>
      <c r="V174" s="54">
        <f>IF(AND(T174&lt;&gt;"",IFERROR(INDEX($A174:$R174,MATCH("Value Ex GST",$A$1:$R$1,0)),"")&amp;""&lt;&gt;""),1,0)</f>
        <v/>
      </c>
      <c r="W174" s="56">
        <f>IFERROR(N(IFERROR(INDEX($A174:$R174,MATCH("Probability",$A$1:$R$1,0)),"")),0)</f>
        <v/>
      </c>
      <c r="X174" s="52">
        <f>IF(T174="Open",U174*W174,0)</f>
        <v/>
      </c>
      <c r="Y174" s="52">
        <f>IF(T174="Won",IFERROR(N(IFERROR(INDEX($A174:$R174,MATCH("Still to Invoice",$A$1:$R$1,0)),"")),0),0)</f>
        <v/>
      </c>
      <c r="Z174" s="55">
        <f>IFERROR(EOMONTH(IFERROR(INDEX($A174:$R174,MATCH("Expected Invoice Month",$A$1:$R$1,0)),""),0),"")</f>
        <v/>
      </c>
      <c r="AA174" s="9">
        <f>IFERROR(INDEX($A174:$R174,MATCH("Cost Centre",$A$1:$R$1,0)),"")&amp;""</f>
        <v/>
      </c>
      <c r="AB174" s="9">
        <f>IFERROR(INDEX($A174:$R174,MATCH("Pipeline Stage",$A$1:$R$1,0)),"")&amp;""</f>
        <v/>
      </c>
      <c r="AC174" s="9">
        <f>IFERROR(INDEX($A174:$R174,MATCH("Client",$A$1:$R$1,0)),"")&amp;""</f>
        <v/>
      </c>
      <c r="AD174" s="9">
        <f>IFERROR(INDEX($A174:$R174,MATCH("Description",$A$1:$R$1,0)),"")&amp;""</f>
        <v/>
      </c>
      <c r="AE174" s="9">
        <f>IFERROR(INDEX($A174:$R174,MATCH("Job Number",$A$1:$R$1,0)),"")&amp;""</f>
        <v/>
      </c>
      <c r="AF174" s="54">
        <f>IF(AND(T174="Open",ISNUMBER(Z174),Z174&lt;EOMONTH(set_AsAt,-1)+1),3,0)</f>
        <v/>
      </c>
      <c r="AG174" s="54">
        <f>IF(AND(T174="Open",U174&gt;0,U174&gt;=set_DealShare*SUMIFS($U$2:$U$601,$T$2:$T$601,"Open")),3,0)</f>
        <v/>
      </c>
      <c r="AH174" s="54">
        <f>IF(AND(T174="Open",U174&gt;=set_BigValue,W174&lt;=set_EarlyProb),2,0)</f>
        <v/>
      </c>
      <c r="AI174" s="54">
        <f>IF(AND(OR(T174="Open",T174="Won"),V174=0),2,0)</f>
        <v/>
      </c>
      <c r="AJ174" s="54">
        <f>IF(AND(T174="Won",Y174&gt;0.5,ISNUMBER(Z174),Z174&lt;EOMONTH(set_AsAt,-1)+1),3,0)</f>
        <v/>
      </c>
      <c r="AK174" s="54">
        <f>IF(AND(T174="Won",Y174&lt;-1),1,0)</f>
        <v/>
      </c>
      <c r="AL174" s="54">
        <f>SUM(AF174:AK174)</f>
        <v/>
      </c>
      <c r="AM174" s="9">
        <f>IF(AL174&gt;=set_ScoreHigh,"High",IF(AL174&gt;=set_ScoreMed,"Medium",IF(AL174&gt;0,"Low","OK")))</f>
        <v/>
      </c>
      <c r="AN174" s="54">
        <f>IF(OR(T174="Open",AND(T174="Won",ABS(Y174)&gt;0.5)),1,0)</f>
        <v/>
      </c>
      <c r="AO174" s="52">
        <f>IF(T174="Open",IF(V174=0,0,X174),IF(T174="Won",MAX(0,Y174),0))</f>
        <v/>
      </c>
      <c r="AP174" s="54">
        <f>IF(AN174=1,AL174*1E+9+U174+ROW()/1E+6,"")</f>
        <v/>
      </c>
      <c r="AQ174" s="9">
        <f>MID(IF(AF174&gt;0,"; Expected month passed - update Zoho","")&amp;IF(AG174&gt;0,"; "&amp;TEXT(U174/MAX(1,SUMIFS($U$2:$U$601,$T$2:$T$601,"Open")),"0%")&amp;" of open pipeline in one deal","")&amp;IF(AH174&gt;0,"; Large deal at an early stage","")&amp;IF(AI174&gt;0,"; No amount in Zoho","")&amp;IF(AJ174&gt;0,"; Won, invoice month passed, not fully invoiced","")&amp;IF(AK174&gt;0,"; Xero invoiced more than the deal value",""),3,300)</f>
        <v/>
      </c>
    </row>
    <row r="175">
      <c r="A175" s="51" t="n">
        <v>46326</v>
      </c>
      <c r="B175" t="inlineStr">
        <is>
          <t>ZOHO</t>
        </is>
      </c>
      <c r="C175" t="inlineStr">
        <is>
          <t>26092105</t>
        </is>
      </c>
      <c r="D175" t="inlineStr">
        <is>
          <t>Commonwealth Bank Australia (CBA)</t>
        </is>
      </c>
      <c r="E175" t="inlineStr">
        <is>
          <t>26092105</t>
        </is>
      </c>
      <c r="G175" t="inlineStr">
        <is>
          <t>PRODUCTION</t>
        </is>
      </c>
      <c r="H175" t="inlineStr">
        <is>
          <t>CBA - LES - October 2026</t>
        </is>
      </c>
      <c r="I175" t="n">
        <v>7500</v>
      </c>
      <c r="J175" t="inlineStr">
        <is>
          <t>Open</t>
        </is>
      </c>
      <c r="L175" s="51" t="n">
        <v>46326</v>
      </c>
      <c r="M175" t="n">
        <v>0</v>
      </c>
      <c r="P175" t="inlineStr">
        <is>
          <t>Verbal Approval</t>
        </is>
      </c>
      <c r="Q175" t="n">
        <v>0.9</v>
      </c>
      <c r="R175" t="n">
        <v>6750</v>
      </c>
      <c r="T175" s="9">
        <f>IFERROR(INDEX($A175:$R175,MATCH("Status",$A$1:$R$1,0)),"")&amp;""</f>
        <v/>
      </c>
      <c r="U175" s="52">
        <f>IFERROR(N(IFERROR(INDEX($A175:$R175,MATCH("Value Ex GST",$A$1:$R$1,0)),"")),0)</f>
        <v/>
      </c>
      <c r="V175" s="54">
        <f>IF(AND(T175&lt;&gt;"",IFERROR(INDEX($A175:$R175,MATCH("Value Ex GST",$A$1:$R$1,0)),"")&amp;""&lt;&gt;""),1,0)</f>
        <v/>
      </c>
      <c r="W175" s="56">
        <f>IFERROR(N(IFERROR(INDEX($A175:$R175,MATCH("Probability",$A$1:$R$1,0)),"")),0)</f>
        <v/>
      </c>
      <c r="X175" s="52">
        <f>IF(T175="Open",U175*W175,0)</f>
        <v/>
      </c>
      <c r="Y175" s="52">
        <f>IF(T175="Won",IFERROR(N(IFERROR(INDEX($A175:$R175,MATCH("Still to Invoice",$A$1:$R$1,0)),"")),0),0)</f>
        <v/>
      </c>
      <c r="Z175" s="55">
        <f>IFERROR(EOMONTH(IFERROR(INDEX($A175:$R175,MATCH("Expected Invoice Month",$A$1:$R$1,0)),""),0),"")</f>
        <v/>
      </c>
      <c r="AA175" s="9">
        <f>IFERROR(INDEX($A175:$R175,MATCH("Cost Centre",$A$1:$R$1,0)),"")&amp;""</f>
        <v/>
      </c>
      <c r="AB175" s="9">
        <f>IFERROR(INDEX($A175:$R175,MATCH("Pipeline Stage",$A$1:$R$1,0)),"")&amp;""</f>
        <v/>
      </c>
      <c r="AC175" s="9">
        <f>IFERROR(INDEX($A175:$R175,MATCH("Client",$A$1:$R$1,0)),"")&amp;""</f>
        <v/>
      </c>
      <c r="AD175" s="9">
        <f>IFERROR(INDEX($A175:$R175,MATCH("Description",$A$1:$R$1,0)),"")&amp;""</f>
        <v/>
      </c>
      <c r="AE175" s="9">
        <f>IFERROR(INDEX($A175:$R175,MATCH("Job Number",$A$1:$R$1,0)),"")&amp;""</f>
        <v/>
      </c>
      <c r="AF175" s="54">
        <f>IF(AND(T175="Open",ISNUMBER(Z175),Z175&lt;EOMONTH(set_AsAt,-1)+1),3,0)</f>
        <v/>
      </c>
      <c r="AG175" s="54">
        <f>IF(AND(T175="Open",U175&gt;0,U175&gt;=set_DealShare*SUMIFS($U$2:$U$601,$T$2:$T$601,"Open")),3,0)</f>
        <v/>
      </c>
      <c r="AH175" s="54">
        <f>IF(AND(T175="Open",U175&gt;=set_BigValue,W175&lt;=set_EarlyProb),2,0)</f>
        <v/>
      </c>
      <c r="AI175" s="54">
        <f>IF(AND(OR(T175="Open",T175="Won"),V175=0),2,0)</f>
        <v/>
      </c>
      <c r="AJ175" s="54">
        <f>IF(AND(T175="Won",Y175&gt;0.5,ISNUMBER(Z175),Z175&lt;EOMONTH(set_AsAt,-1)+1),3,0)</f>
        <v/>
      </c>
      <c r="AK175" s="54">
        <f>IF(AND(T175="Won",Y175&lt;-1),1,0)</f>
        <v/>
      </c>
      <c r="AL175" s="54">
        <f>SUM(AF175:AK175)</f>
        <v/>
      </c>
      <c r="AM175" s="9">
        <f>IF(AL175&gt;=set_ScoreHigh,"High",IF(AL175&gt;=set_ScoreMed,"Medium",IF(AL175&gt;0,"Low","OK")))</f>
        <v/>
      </c>
      <c r="AN175" s="54">
        <f>IF(OR(T175="Open",AND(T175="Won",ABS(Y175)&gt;0.5)),1,0)</f>
        <v/>
      </c>
      <c r="AO175" s="52">
        <f>IF(T175="Open",IF(V175=0,0,X175),IF(T175="Won",MAX(0,Y175),0))</f>
        <v/>
      </c>
      <c r="AP175" s="54">
        <f>IF(AN175=1,AL175*1E+9+U175+ROW()/1E+6,"")</f>
        <v/>
      </c>
      <c r="AQ175" s="9">
        <f>MID(IF(AF175&gt;0,"; Expected month passed - update Zoho","")&amp;IF(AG175&gt;0,"; "&amp;TEXT(U175/MAX(1,SUMIFS($U$2:$U$601,$T$2:$T$601,"Open")),"0%")&amp;" of open pipeline in one deal","")&amp;IF(AH175&gt;0,"; Large deal at an early stage","")&amp;IF(AI175&gt;0,"; No amount in Zoho","")&amp;IF(AJ175&gt;0,"; Won, invoice month passed, not fully invoiced","")&amp;IF(AK175&gt;0,"; Xero invoiced more than the deal value",""),3,300)</f>
        <v/>
      </c>
    </row>
    <row r="176">
      <c r="A176" s="51" t="n">
        <v>46387</v>
      </c>
      <c r="B176" t="inlineStr">
        <is>
          <t>ZOHO</t>
        </is>
      </c>
      <c r="C176" t="inlineStr">
        <is>
          <t>2609301</t>
        </is>
      </c>
      <c r="D176" t="inlineStr">
        <is>
          <t>Sydney Local Health District</t>
        </is>
      </c>
      <c r="E176" t="inlineStr">
        <is>
          <t>2609301</t>
        </is>
      </c>
      <c r="G176" t="inlineStr">
        <is>
          <t>PRODUCTION</t>
        </is>
      </c>
      <c r="H176" t="inlineStr">
        <is>
          <t>SLHD - AGM - 2.12.26</t>
        </is>
      </c>
      <c r="I176" t="n">
        <v>16523</v>
      </c>
      <c r="J176" t="inlineStr">
        <is>
          <t>Open</t>
        </is>
      </c>
      <c r="L176" s="51" t="n">
        <v>46387</v>
      </c>
      <c r="M176" t="n">
        <v>0</v>
      </c>
      <c r="P176" t="inlineStr">
        <is>
          <t>Verbal Approval</t>
        </is>
      </c>
      <c r="Q176" t="n">
        <v>0.9</v>
      </c>
      <c r="R176" t="n">
        <v>14870.7</v>
      </c>
      <c r="T176" s="9">
        <f>IFERROR(INDEX($A176:$R176,MATCH("Status",$A$1:$R$1,0)),"")&amp;""</f>
        <v/>
      </c>
      <c r="U176" s="52">
        <f>IFERROR(N(IFERROR(INDEX($A176:$R176,MATCH("Value Ex GST",$A$1:$R$1,0)),"")),0)</f>
        <v/>
      </c>
      <c r="V176" s="54">
        <f>IF(AND(T176&lt;&gt;"",IFERROR(INDEX($A176:$R176,MATCH("Value Ex GST",$A$1:$R$1,0)),"")&amp;""&lt;&gt;""),1,0)</f>
        <v/>
      </c>
      <c r="W176" s="56">
        <f>IFERROR(N(IFERROR(INDEX($A176:$R176,MATCH("Probability",$A$1:$R$1,0)),"")),0)</f>
        <v/>
      </c>
      <c r="X176" s="52">
        <f>IF(T176="Open",U176*W176,0)</f>
        <v/>
      </c>
      <c r="Y176" s="52">
        <f>IF(T176="Won",IFERROR(N(IFERROR(INDEX($A176:$R176,MATCH("Still to Invoice",$A$1:$R$1,0)),"")),0),0)</f>
        <v/>
      </c>
      <c r="Z176" s="55">
        <f>IFERROR(EOMONTH(IFERROR(INDEX($A176:$R176,MATCH("Expected Invoice Month",$A$1:$R$1,0)),""),0),"")</f>
        <v/>
      </c>
      <c r="AA176" s="9">
        <f>IFERROR(INDEX($A176:$R176,MATCH("Cost Centre",$A$1:$R$1,0)),"")&amp;""</f>
        <v/>
      </c>
      <c r="AB176" s="9">
        <f>IFERROR(INDEX($A176:$R176,MATCH("Pipeline Stage",$A$1:$R$1,0)),"")&amp;""</f>
        <v/>
      </c>
      <c r="AC176" s="9">
        <f>IFERROR(INDEX($A176:$R176,MATCH("Client",$A$1:$R$1,0)),"")&amp;""</f>
        <v/>
      </c>
      <c r="AD176" s="9">
        <f>IFERROR(INDEX($A176:$R176,MATCH("Description",$A$1:$R$1,0)),"")&amp;""</f>
        <v/>
      </c>
      <c r="AE176" s="9">
        <f>IFERROR(INDEX($A176:$R176,MATCH("Job Number",$A$1:$R$1,0)),"")&amp;""</f>
        <v/>
      </c>
      <c r="AF176" s="54">
        <f>IF(AND(T176="Open",ISNUMBER(Z176),Z176&lt;EOMONTH(set_AsAt,-1)+1),3,0)</f>
        <v/>
      </c>
      <c r="AG176" s="54">
        <f>IF(AND(T176="Open",U176&gt;0,U176&gt;=set_DealShare*SUMIFS($U$2:$U$601,$T$2:$T$601,"Open")),3,0)</f>
        <v/>
      </c>
      <c r="AH176" s="54">
        <f>IF(AND(T176="Open",U176&gt;=set_BigValue,W176&lt;=set_EarlyProb),2,0)</f>
        <v/>
      </c>
      <c r="AI176" s="54">
        <f>IF(AND(OR(T176="Open",T176="Won"),V176=0),2,0)</f>
        <v/>
      </c>
      <c r="AJ176" s="54">
        <f>IF(AND(T176="Won",Y176&gt;0.5,ISNUMBER(Z176),Z176&lt;EOMONTH(set_AsAt,-1)+1),3,0)</f>
        <v/>
      </c>
      <c r="AK176" s="54">
        <f>IF(AND(T176="Won",Y176&lt;-1),1,0)</f>
        <v/>
      </c>
      <c r="AL176" s="54">
        <f>SUM(AF176:AK176)</f>
        <v/>
      </c>
      <c r="AM176" s="9">
        <f>IF(AL176&gt;=set_ScoreHigh,"High",IF(AL176&gt;=set_ScoreMed,"Medium",IF(AL176&gt;0,"Low","OK")))</f>
        <v/>
      </c>
      <c r="AN176" s="54">
        <f>IF(OR(T176="Open",AND(T176="Won",ABS(Y176)&gt;0.5)),1,0)</f>
        <v/>
      </c>
      <c r="AO176" s="52">
        <f>IF(T176="Open",IF(V176=0,0,X176),IF(T176="Won",MAX(0,Y176),0))</f>
        <v/>
      </c>
      <c r="AP176" s="54">
        <f>IF(AN176=1,AL176*1E+9+U176+ROW()/1E+6,"")</f>
        <v/>
      </c>
      <c r="AQ176" s="9">
        <f>MID(IF(AF176&gt;0,"; Expected month passed - update Zoho","")&amp;IF(AG176&gt;0,"; "&amp;TEXT(U176/MAX(1,SUMIFS($U$2:$U$601,$T$2:$T$601,"Open")),"0%")&amp;" of open pipeline in one deal","")&amp;IF(AH176&gt;0,"; Large deal at an early stage","")&amp;IF(AI176&gt;0,"; No amount in Zoho","")&amp;IF(AJ176&gt;0,"; Won, invoice month passed, not fully invoiced","")&amp;IF(AK176&gt;0,"; Xero invoiced more than the deal value",""),3,300)</f>
        <v/>
      </c>
    </row>
    <row r="177">
      <c r="A177" s="51" t="n">
        <v>46326</v>
      </c>
      <c r="B177" t="inlineStr">
        <is>
          <t>ZOHO</t>
        </is>
      </c>
      <c r="C177" t="inlineStr">
        <is>
          <t>2609402</t>
        </is>
      </c>
      <c r="D177" t="inlineStr">
        <is>
          <t>MUFG IR / Orient Capital</t>
        </is>
      </c>
      <c r="E177" t="inlineStr">
        <is>
          <t>2609402</t>
        </is>
      </c>
      <c r="G177" t="inlineStr">
        <is>
          <t>PRODUCTION</t>
        </is>
      </c>
      <c r="H177" t="inlineStr">
        <is>
          <t>MUFG - SUN Investor Day - 29.10.26</t>
        </is>
      </c>
      <c r="I177" t="n">
        <v>33424</v>
      </c>
      <c r="J177" t="inlineStr">
        <is>
          <t>Open</t>
        </is>
      </c>
      <c r="L177" s="51" t="n">
        <v>46326</v>
      </c>
      <c r="M177" t="n">
        <v>0</v>
      </c>
      <c r="P177" t="inlineStr">
        <is>
          <t>Verbal Approval</t>
        </is>
      </c>
      <c r="Q177" t="n">
        <v>0.9</v>
      </c>
      <c r="R177" t="n">
        <v>30081.6</v>
      </c>
      <c r="T177" s="9">
        <f>IFERROR(INDEX($A177:$R177,MATCH("Status",$A$1:$R$1,0)),"")&amp;""</f>
        <v/>
      </c>
      <c r="U177" s="52">
        <f>IFERROR(N(IFERROR(INDEX($A177:$R177,MATCH("Value Ex GST",$A$1:$R$1,0)),"")),0)</f>
        <v/>
      </c>
      <c r="V177" s="54">
        <f>IF(AND(T177&lt;&gt;"",IFERROR(INDEX($A177:$R177,MATCH("Value Ex GST",$A$1:$R$1,0)),"")&amp;""&lt;&gt;""),1,0)</f>
        <v/>
      </c>
      <c r="W177" s="56">
        <f>IFERROR(N(IFERROR(INDEX($A177:$R177,MATCH("Probability",$A$1:$R$1,0)),"")),0)</f>
        <v/>
      </c>
      <c r="X177" s="52">
        <f>IF(T177="Open",U177*W177,0)</f>
        <v/>
      </c>
      <c r="Y177" s="52">
        <f>IF(T177="Won",IFERROR(N(IFERROR(INDEX($A177:$R177,MATCH("Still to Invoice",$A$1:$R$1,0)),"")),0),0)</f>
        <v/>
      </c>
      <c r="Z177" s="55">
        <f>IFERROR(EOMONTH(IFERROR(INDEX($A177:$R177,MATCH("Expected Invoice Month",$A$1:$R$1,0)),""),0),"")</f>
        <v/>
      </c>
      <c r="AA177" s="9">
        <f>IFERROR(INDEX($A177:$R177,MATCH("Cost Centre",$A$1:$R$1,0)),"")&amp;""</f>
        <v/>
      </c>
      <c r="AB177" s="9">
        <f>IFERROR(INDEX($A177:$R177,MATCH("Pipeline Stage",$A$1:$R$1,0)),"")&amp;""</f>
        <v/>
      </c>
      <c r="AC177" s="9">
        <f>IFERROR(INDEX($A177:$R177,MATCH("Client",$A$1:$R$1,0)),"")&amp;""</f>
        <v/>
      </c>
      <c r="AD177" s="9">
        <f>IFERROR(INDEX($A177:$R177,MATCH("Description",$A$1:$R$1,0)),"")&amp;""</f>
        <v/>
      </c>
      <c r="AE177" s="9">
        <f>IFERROR(INDEX($A177:$R177,MATCH("Job Number",$A$1:$R$1,0)),"")&amp;""</f>
        <v/>
      </c>
      <c r="AF177" s="54">
        <f>IF(AND(T177="Open",ISNUMBER(Z177),Z177&lt;EOMONTH(set_AsAt,-1)+1),3,0)</f>
        <v/>
      </c>
      <c r="AG177" s="54">
        <f>IF(AND(T177="Open",U177&gt;0,U177&gt;=set_DealShare*SUMIFS($U$2:$U$601,$T$2:$T$601,"Open")),3,0)</f>
        <v/>
      </c>
      <c r="AH177" s="54">
        <f>IF(AND(T177="Open",U177&gt;=set_BigValue,W177&lt;=set_EarlyProb),2,0)</f>
        <v/>
      </c>
      <c r="AI177" s="54">
        <f>IF(AND(OR(T177="Open",T177="Won"),V177=0),2,0)</f>
        <v/>
      </c>
      <c r="AJ177" s="54">
        <f>IF(AND(T177="Won",Y177&gt;0.5,ISNUMBER(Z177),Z177&lt;EOMONTH(set_AsAt,-1)+1),3,0)</f>
        <v/>
      </c>
      <c r="AK177" s="54">
        <f>IF(AND(T177="Won",Y177&lt;-1),1,0)</f>
        <v/>
      </c>
      <c r="AL177" s="54">
        <f>SUM(AF177:AK177)</f>
        <v/>
      </c>
      <c r="AM177" s="9">
        <f>IF(AL177&gt;=set_ScoreHigh,"High",IF(AL177&gt;=set_ScoreMed,"Medium",IF(AL177&gt;0,"Low","OK")))</f>
        <v/>
      </c>
      <c r="AN177" s="54">
        <f>IF(OR(T177="Open",AND(T177="Won",ABS(Y177)&gt;0.5)),1,0)</f>
        <v/>
      </c>
      <c r="AO177" s="52">
        <f>IF(T177="Open",IF(V177=0,0,X177),IF(T177="Won",MAX(0,Y177),0))</f>
        <v/>
      </c>
      <c r="AP177" s="54">
        <f>IF(AN177=1,AL177*1E+9+U177+ROW()/1E+6,"")</f>
        <v/>
      </c>
      <c r="AQ177" s="9">
        <f>MID(IF(AF177&gt;0,"; Expected month passed - update Zoho","")&amp;IF(AG177&gt;0,"; "&amp;TEXT(U177/MAX(1,SUMIFS($U$2:$U$601,$T$2:$T$601,"Open")),"0%")&amp;" of open pipeline in one deal","")&amp;IF(AH177&gt;0,"; Large deal at an early stage","")&amp;IF(AI177&gt;0,"; No amount in Zoho","")&amp;IF(AJ177&gt;0,"; Won, invoice month passed, not fully invoiced","")&amp;IF(AK177&gt;0,"; Xero invoiced more than the deal value",""),3,300)</f>
        <v/>
      </c>
    </row>
    <row r="178">
      <c r="A178" s="51" t="n">
        <v>46326</v>
      </c>
      <c r="B178" t="inlineStr">
        <is>
          <t>ZOHO</t>
        </is>
      </c>
      <c r="C178" t="inlineStr">
        <is>
          <t>26082402</t>
        </is>
      </c>
      <c r="D178" t="inlineStr">
        <is>
          <t>The Lottery Corporation</t>
        </is>
      </c>
      <c r="E178" t="inlineStr">
        <is>
          <t>26082402</t>
        </is>
      </c>
      <c r="G178" t="inlineStr">
        <is>
          <t>PRODUCTION</t>
        </is>
      </c>
      <c r="H178" t="inlineStr">
        <is>
          <t>TLC - 2026 AGM - 14.10.26</t>
        </is>
      </c>
      <c r="I178" t="n">
        <v>26987</v>
      </c>
      <c r="J178" t="inlineStr">
        <is>
          <t>Open</t>
        </is>
      </c>
      <c r="L178" s="51" t="n">
        <v>46326</v>
      </c>
      <c r="M178" t="n">
        <v>0</v>
      </c>
      <c r="P178" t="inlineStr">
        <is>
          <t>Verbal Approval</t>
        </is>
      </c>
      <c r="Q178" t="n">
        <v>0.9</v>
      </c>
      <c r="R178" t="n">
        <v>24288.3</v>
      </c>
      <c r="T178" s="9">
        <f>IFERROR(INDEX($A178:$R178,MATCH("Status",$A$1:$R$1,0)),"")&amp;""</f>
        <v/>
      </c>
      <c r="U178" s="52">
        <f>IFERROR(N(IFERROR(INDEX($A178:$R178,MATCH("Value Ex GST",$A$1:$R$1,0)),"")),0)</f>
        <v/>
      </c>
      <c r="V178" s="54">
        <f>IF(AND(T178&lt;&gt;"",IFERROR(INDEX($A178:$R178,MATCH("Value Ex GST",$A$1:$R$1,0)),"")&amp;""&lt;&gt;""),1,0)</f>
        <v/>
      </c>
      <c r="W178" s="56">
        <f>IFERROR(N(IFERROR(INDEX($A178:$R178,MATCH("Probability",$A$1:$R$1,0)),"")),0)</f>
        <v/>
      </c>
      <c r="X178" s="52">
        <f>IF(T178="Open",U178*W178,0)</f>
        <v/>
      </c>
      <c r="Y178" s="52">
        <f>IF(T178="Won",IFERROR(N(IFERROR(INDEX($A178:$R178,MATCH("Still to Invoice",$A$1:$R$1,0)),"")),0),0)</f>
        <v/>
      </c>
      <c r="Z178" s="55">
        <f>IFERROR(EOMONTH(IFERROR(INDEX($A178:$R178,MATCH("Expected Invoice Month",$A$1:$R$1,0)),""),0),"")</f>
        <v/>
      </c>
      <c r="AA178" s="9">
        <f>IFERROR(INDEX($A178:$R178,MATCH("Cost Centre",$A$1:$R$1,0)),"")&amp;""</f>
        <v/>
      </c>
      <c r="AB178" s="9">
        <f>IFERROR(INDEX($A178:$R178,MATCH("Pipeline Stage",$A$1:$R$1,0)),"")&amp;""</f>
        <v/>
      </c>
      <c r="AC178" s="9">
        <f>IFERROR(INDEX($A178:$R178,MATCH("Client",$A$1:$R$1,0)),"")&amp;""</f>
        <v/>
      </c>
      <c r="AD178" s="9">
        <f>IFERROR(INDEX($A178:$R178,MATCH("Description",$A$1:$R$1,0)),"")&amp;""</f>
        <v/>
      </c>
      <c r="AE178" s="9">
        <f>IFERROR(INDEX($A178:$R178,MATCH("Job Number",$A$1:$R$1,0)),"")&amp;""</f>
        <v/>
      </c>
      <c r="AF178" s="54">
        <f>IF(AND(T178="Open",ISNUMBER(Z178),Z178&lt;EOMONTH(set_AsAt,-1)+1),3,0)</f>
        <v/>
      </c>
      <c r="AG178" s="54">
        <f>IF(AND(T178="Open",U178&gt;0,U178&gt;=set_DealShare*SUMIFS($U$2:$U$601,$T$2:$T$601,"Open")),3,0)</f>
        <v/>
      </c>
      <c r="AH178" s="54">
        <f>IF(AND(T178="Open",U178&gt;=set_BigValue,W178&lt;=set_EarlyProb),2,0)</f>
        <v/>
      </c>
      <c r="AI178" s="54">
        <f>IF(AND(OR(T178="Open",T178="Won"),V178=0),2,0)</f>
        <v/>
      </c>
      <c r="AJ178" s="54">
        <f>IF(AND(T178="Won",Y178&gt;0.5,ISNUMBER(Z178),Z178&lt;EOMONTH(set_AsAt,-1)+1),3,0)</f>
        <v/>
      </c>
      <c r="AK178" s="54">
        <f>IF(AND(T178="Won",Y178&lt;-1),1,0)</f>
        <v/>
      </c>
      <c r="AL178" s="54">
        <f>SUM(AF178:AK178)</f>
        <v/>
      </c>
      <c r="AM178" s="9">
        <f>IF(AL178&gt;=set_ScoreHigh,"High",IF(AL178&gt;=set_ScoreMed,"Medium",IF(AL178&gt;0,"Low","OK")))</f>
        <v/>
      </c>
      <c r="AN178" s="54">
        <f>IF(OR(T178="Open",AND(T178="Won",ABS(Y178)&gt;0.5)),1,0)</f>
        <v/>
      </c>
      <c r="AO178" s="52">
        <f>IF(T178="Open",IF(V178=0,0,X178),IF(T178="Won",MAX(0,Y178),0))</f>
        <v/>
      </c>
      <c r="AP178" s="54">
        <f>IF(AN178=1,AL178*1E+9+U178+ROW()/1E+6,"")</f>
        <v/>
      </c>
      <c r="AQ178" s="9">
        <f>MID(IF(AF178&gt;0,"; Expected month passed - update Zoho","")&amp;IF(AG178&gt;0,"; "&amp;TEXT(U178/MAX(1,SUMIFS($U$2:$U$601,$T$2:$T$601,"Open")),"0%")&amp;" of open pipeline in one deal","")&amp;IF(AH178&gt;0,"; Large deal at an early stage","")&amp;IF(AI178&gt;0,"; No amount in Zoho","")&amp;IF(AJ178&gt;0,"; Won, invoice month passed, not fully invoiced","")&amp;IF(AK178&gt;0,"; Xero invoiced more than the deal value",""),3,300)</f>
        <v/>
      </c>
    </row>
    <row r="179">
      <c r="A179" s="51" t="n">
        <v>46356</v>
      </c>
      <c r="B179" t="inlineStr">
        <is>
          <t>ZOHO</t>
        </is>
      </c>
      <c r="C179" t="inlineStr">
        <is>
          <t>26082403</t>
        </is>
      </c>
      <c r="D179" t="inlineStr">
        <is>
          <t>Downer EDI</t>
        </is>
      </c>
      <c r="E179" t="inlineStr">
        <is>
          <t>26082403</t>
        </is>
      </c>
      <c r="G179" t="inlineStr">
        <is>
          <t>PRODUCTION</t>
        </is>
      </c>
      <c r="H179" t="inlineStr">
        <is>
          <t>Downer - 2026 AGM - 11.11.26</t>
        </is>
      </c>
      <c r="I179" t="n">
        <v>18200</v>
      </c>
      <c r="J179" t="inlineStr">
        <is>
          <t>Open</t>
        </is>
      </c>
      <c r="L179" s="51" t="n">
        <v>46356</v>
      </c>
      <c r="M179" t="n">
        <v>0</v>
      </c>
      <c r="P179" t="inlineStr">
        <is>
          <t>Building Value Proposition</t>
        </is>
      </c>
      <c r="Q179" t="n">
        <v>0.25</v>
      </c>
      <c r="R179" t="n">
        <v>4550</v>
      </c>
      <c r="T179" s="9">
        <f>IFERROR(INDEX($A179:$R179,MATCH("Status",$A$1:$R$1,0)),"")&amp;""</f>
        <v/>
      </c>
      <c r="U179" s="52">
        <f>IFERROR(N(IFERROR(INDEX($A179:$R179,MATCH("Value Ex GST",$A$1:$R$1,0)),"")),0)</f>
        <v/>
      </c>
      <c r="V179" s="54">
        <f>IF(AND(T179&lt;&gt;"",IFERROR(INDEX($A179:$R179,MATCH("Value Ex GST",$A$1:$R$1,0)),"")&amp;""&lt;&gt;""),1,0)</f>
        <v/>
      </c>
      <c r="W179" s="56">
        <f>IFERROR(N(IFERROR(INDEX($A179:$R179,MATCH("Probability",$A$1:$R$1,0)),"")),0)</f>
        <v/>
      </c>
      <c r="X179" s="52">
        <f>IF(T179="Open",U179*W179,0)</f>
        <v/>
      </c>
      <c r="Y179" s="52">
        <f>IF(T179="Won",IFERROR(N(IFERROR(INDEX($A179:$R179,MATCH("Still to Invoice",$A$1:$R$1,0)),"")),0),0)</f>
        <v/>
      </c>
      <c r="Z179" s="55">
        <f>IFERROR(EOMONTH(IFERROR(INDEX($A179:$R179,MATCH("Expected Invoice Month",$A$1:$R$1,0)),""),0),"")</f>
        <v/>
      </c>
      <c r="AA179" s="9">
        <f>IFERROR(INDEX($A179:$R179,MATCH("Cost Centre",$A$1:$R$1,0)),"")&amp;""</f>
        <v/>
      </c>
      <c r="AB179" s="9">
        <f>IFERROR(INDEX($A179:$R179,MATCH("Pipeline Stage",$A$1:$R$1,0)),"")&amp;""</f>
        <v/>
      </c>
      <c r="AC179" s="9">
        <f>IFERROR(INDEX($A179:$R179,MATCH("Client",$A$1:$R$1,0)),"")&amp;""</f>
        <v/>
      </c>
      <c r="AD179" s="9">
        <f>IFERROR(INDEX($A179:$R179,MATCH("Description",$A$1:$R$1,0)),"")&amp;""</f>
        <v/>
      </c>
      <c r="AE179" s="9">
        <f>IFERROR(INDEX($A179:$R179,MATCH("Job Number",$A$1:$R$1,0)),"")&amp;""</f>
        <v/>
      </c>
      <c r="AF179" s="54">
        <f>IF(AND(T179="Open",ISNUMBER(Z179),Z179&lt;EOMONTH(set_AsAt,-1)+1),3,0)</f>
        <v/>
      </c>
      <c r="AG179" s="54">
        <f>IF(AND(T179="Open",U179&gt;0,U179&gt;=set_DealShare*SUMIFS($U$2:$U$601,$T$2:$T$601,"Open")),3,0)</f>
        <v/>
      </c>
      <c r="AH179" s="54">
        <f>IF(AND(T179="Open",U179&gt;=set_BigValue,W179&lt;=set_EarlyProb),2,0)</f>
        <v/>
      </c>
      <c r="AI179" s="54">
        <f>IF(AND(OR(T179="Open",T179="Won"),V179=0),2,0)</f>
        <v/>
      </c>
      <c r="AJ179" s="54">
        <f>IF(AND(T179="Won",Y179&gt;0.5,ISNUMBER(Z179),Z179&lt;EOMONTH(set_AsAt,-1)+1),3,0)</f>
        <v/>
      </c>
      <c r="AK179" s="54">
        <f>IF(AND(T179="Won",Y179&lt;-1),1,0)</f>
        <v/>
      </c>
      <c r="AL179" s="54">
        <f>SUM(AF179:AK179)</f>
        <v/>
      </c>
      <c r="AM179" s="9">
        <f>IF(AL179&gt;=set_ScoreHigh,"High",IF(AL179&gt;=set_ScoreMed,"Medium",IF(AL179&gt;0,"Low","OK")))</f>
        <v/>
      </c>
      <c r="AN179" s="54">
        <f>IF(OR(T179="Open",AND(T179="Won",ABS(Y179)&gt;0.5)),1,0)</f>
        <v/>
      </c>
      <c r="AO179" s="52">
        <f>IF(T179="Open",IF(V179=0,0,X179),IF(T179="Won",MAX(0,Y179),0))</f>
        <v/>
      </c>
      <c r="AP179" s="54">
        <f>IF(AN179=1,AL179*1E+9+U179+ROW()/1E+6,"")</f>
        <v/>
      </c>
      <c r="AQ179" s="9">
        <f>MID(IF(AF179&gt;0,"; Expected month passed - update Zoho","")&amp;IF(AG179&gt;0,"; "&amp;TEXT(U179/MAX(1,SUMIFS($U$2:$U$601,$T$2:$T$601,"Open")),"0%")&amp;" of open pipeline in one deal","")&amp;IF(AH179&gt;0,"; Large deal at an early stage","")&amp;IF(AI179&gt;0,"; No amount in Zoho","")&amp;IF(AJ179&gt;0,"; Won, invoice month passed, not fully invoiced","")&amp;IF(AK179&gt;0,"; Xero invoiced more than the deal value",""),3,300)</f>
        <v/>
      </c>
    </row>
    <row r="180">
      <c r="A180" s="51" t="n">
        <v>46326</v>
      </c>
      <c r="B180" t="inlineStr">
        <is>
          <t>ZOHO</t>
        </is>
      </c>
      <c r="C180" t="inlineStr">
        <is>
          <t>26051501</t>
        </is>
      </c>
      <c r="D180" t="inlineStr">
        <is>
          <t>Commonwealth Bank Australia (CBA)</t>
        </is>
      </c>
      <c r="E180" t="inlineStr">
        <is>
          <t>26051501</t>
        </is>
      </c>
      <c r="G180" t="inlineStr">
        <is>
          <t>ONSITE</t>
        </is>
      </c>
      <c r="H180" t="inlineStr">
        <is>
          <t>Audio-Visual Services for Client Services Events | 26051501</t>
        </is>
      </c>
      <c r="J180" t="inlineStr">
        <is>
          <t>Open</t>
        </is>
      </c>
      <c r="L180" s="51" t="n">
        <v>46326</v>
      </c>
      <c r="M180" t="n">
        <v>0</v>
      </c>
      <c r="O180" t="inlineStr">
        <is>
          <t>No amount in Zoho</t>
        </is>
      </c>
      <c r="P180" t="inlineStr">
        <is>
          <t>Building Value Proposition</t>
        </is>
      </c>
      <c r="Q180" t="n">
        <v>0.25</v>
      </c>
      <c r="R180" t="n">
        <v>0</v>
      </c>
      <c r="T180" s="9">
        <f>IFERROR(INDEX($A180:$R180,MATCH("Status",$A$1:$R$1,0)),"")&amp;""</f>
        <v/>
      </c>
      <c r="U180" s="52">
        <f>IFERROR(N(IFERROR(INDEX($A180:$R180,MATCH("Value Ex GST",$A$1:$R$1,0)),"")),0)</f>
        <v/>
      </c>
      <c r="V180" s="54">
        <f>IF(AND(T180&lt;&gt;"",IFERROR(INDEX($A180:$R180,MATCH("Value Ex GST",$A$1:$R$1,0)),"")&amp;""&lt;&gt;""),1,0)</f>
        <v/>
      </c>
      <c r="W180" s="56">
        <f>IFERROR(N(IFERROR(INDEX($A180:$R180,MATCH("Probability",$A$1:$R$1,0)),"")),0)</f>
        <v/>
      </c>
      <c r="X180" s="52">
        <f>IF(T180="Open",U180*W180,0)</f>
        <v/>
      </c>
      <c r="Y180" s="52">
        <f>IF(T180="Won",IFERROR(N(IFERROR(INDEX($A180:$R180,MATCH("Still to Invoice",$A$1:$R$1,0)),"")),0),0)</f>
        <v/>
      </c>
      <c r="Z180" s="55">
        <f>IFERROR(EOMONTH(IFERROR(INDEX($A180:$R180,MATCH("Expected Invoice Month",$A$1:$R$1,0)),""),0),"")</f>
        <v/>
      </c>
      <c r="AA180" s="9">
        <f>IFERROR(INDEX($A180:$R180,MATCH("Cost Centre",$A$1:$R$1,0)),"")&amp;""</f>
        <v/>
      </c>
      <c r="AB180" s="9">
        <f>IFERROR(INDEX($A180:$R180,MATCH("Pipeline Stage",$A$1:$R$1,0)),"")&amp;""</f>
        <v/>
      </c>
      <c r="AC180" s="9">
        <f>IFERROR(INDEX($A180:$R180,MATCH("Client",$A$1:$R$1,0)),"")&amp;""</f>
        <v/>
      </c>
      <c r="AD180" s="9">
        <f>IFERROR(INDEX($A180:$R180,MATCH("Description",$A$1:$R$1,0)),"")&amp;""</f>
        <v/>
      </c>
      <c r="AE180" s="9">
        <f>IFERROR(INDEX($A180:$R180,MATCH("Job Number",$A$1:$R$1,0)),"")&amp;""</f>
        <v/>
      </c>
      <c r="AF180" s="54">
        <f>IF(AND(T180="Open",ISNUMBER(Z180),Z180&lt;EOMONTH(set_AsAt,-1)+1),3,0)</f>
        <v/>
      </c>
      <c r="AG180" s="54">
        <f>IF(AND(T180="Open",U180&gt;0,U180&gt;=set_DealShare*SUMIFS($U$2:$U$601,$T$2:$T$601,"Open")),3,0)</f>
        <v/>
      </c>
      <c r="AH180" s="54">
        <f>IF(AND(T180="Open",U180&gt;=set_BigValue,W180&lt;=set_EarlyProb),2,0)</f>
        <v/>
      </c>
      <c r="AI180" s="54">
        <f>IF(AND(OR(T180="Open",T180="Won"),V180=0),2,0)</f>
        <v/>
      </c>
      <c r="AJ180" s="54">
        <f>IF(AND(T180="Won",Y180&gt;0.5,ISNUMBER(Z180),Z180&lt;EOMONTH(set_AsAt,-1)+1),3,0)</f>
        <v/>
      </c>
      <c r="AK180" s="54">
        <f>IF(AND(T180="Won",Y180&lt;-1),1,0)</f>
        <v/>
      </c>
      <c r="AL180" s="54">
        <f>SUM(AF180:AK180)</f>
        <v/>
      </c>
      <c r="AM180" s="9">
        <f>IF(AL180&gt;=set_ScoreHigh,"High",IF(AL180&gt;=set_ScoreMed,"Medium",IF(AL180&gt;0,"Low","OK")))</f>
        <v/>
      </c>
      <c r="AN180" s="54">
        <f>IF(OR(T180="Open",AND(T180="Won",ABS(Y180)&gt;0.5)),1,0)</f>
        <v/>
      </c>
      <c r="AO180" s="52">
        <f>IF(T180="Open",IF(V180=0,0,X180),IF(T180="Won",MAX(0,Y180),0))</f>
        <v/>
      </c>
      <c r="AP180" s="54">
        <f>IF(AN180=1,AL180*1E+9+U180+ROW()/1E+6,"")</f>
        <v/>
      </c>
      <c r="AQ180" s="9">
        <f>MID(IF(AF180&gt;0,"; Expected month passed - update Zoho","")&amp;IF(AG180&gt;0,"; "&amp;TEXT(U180/MAX(1,SUMIFS($U$2:$U$601,$T$2:$T$601,"Open")),"0%")&amp;" of open pipeline in one deal","")&amp;IF(AH180&gt;0,"; Large deal at an early stage","")&amp;IF(AI180&gt;0,"; No amount in Zoho","")&amp;IF(AJ180&gt;0,"; Won, invoice month passed, not fully invoiced","")&amp;IF(AK180&gt;0,"; Xero invoiced more than the deal value",""),3,300)</f>
        <v/>
      </c>
    </row>
    <row r="181">
      <c r="A181" s="51" t="n">
        <v>46387</v>
      </c>
      <c r="B181" t="inlineStr">
        <is>
          <t>ZOHO</t>
        </is>
      </c>
      <c r="C181" t="inlineStr">
        <is>
          <t>26082705</t>
        </is>
      </c>
      <c r="D181" t="inlineStr">
        <is>
          <t>Aware Super</t>
        </is>
      </c>
      <c r="E181" t="inlineStr">
        <is>
          <t>26082705</t>
        </is>
      </c>
      <c r="G181" t="inlineStr">
        <is>
          <t>PRODUCTION</t>
        </is>
      </c>
      <c r="H181" t="inlineStr">
        <is>
          <t>Aware Super - SLHD AGM - 2.12.26</t>
        </is>
      </c>
      <c r="I181" t="n">
        <v>10000</v>
      </c>
      <c r="J181" t="inlineStr">
        <is>
          <t>Open</t>
        </is>
      </c>
      <c r="L181" s="51" t="n">
        <v>46387</v>
      </c>
      <c r="M181" t="n">
        <v>0</v>
      </c>
      <c r="P181" t="inlineStr">
        <is>
          <t>Building Value Proposition</t>
        </is>
      </c>
      <c r="Q181" t="n">
        <v>0.25</v>
      </c>
      <c r="R181" t="n">
        <v>2500</v>
      </c>
      <c r="T181" s="9">
        <f>IFERROR(INDEX($A181:$R181,MATCH("Status",$A$1:$R$1,0)),"")&amp;""</f>
        <v/>
      </c>
      <c r="U181" s="52">
        <f>IFERROR(N(IFERROR(INDEX($A181:$R181,MATCH("Value Ex GST",$A$1:$R$1,0)),"")),0)</f>
        <v/>
      </c>
      <c r="V181" s="54">
        <f>IF(AND(T181&lt;&gt;"",IFERROR(INDEX($A181:$R181,MATCH("Value Ex GST",$A$1:$R$1,0)),"")&amp;""&lt;&gt;""),1,0)</f>
        <v/>
      </c>
      <c r="W181" s="56">
        <f>IFERROR(N(IFERROR(INDEX($A181:$R181,MATCH("Probability",$A$1:$R$1,0)),"")),0)</f>
        <v/>
      </c>
      <c r="X181" s="52">
        <f>IF(T181="Open",U181*W181,0)</f>
        <v/>
      </c>
      <c r="Y181" s="52">
        <f>IF(T181="Won",IFERROR(N(IFERROR(INDEX($A181:$R181,MATCH("Still to Invoice",$A$1:$R$1,0)),"")),0),0)</f>
        <v/>
      </c>
      <c r="Z181" s="55">
        <f>IFERROR(EOMONTH(IFERROR(INDEX($A181:$R181,MATCH("Expected Invoice Month",$A$1:$R$1,0)),""),0),"")</f>
        <v/>
      </c>
      <c r="AA181" s="9">
        <f>IFERROR(INDEX($A181:$R181,MATCH("Cost Centre",$A$1:$R$1,0)),"")&amp;""</f>
        <v/>
      </c>
      <c r="AB181" s="9">
        <f>IFERROR(INDEX($A181:$R181,MATCH("Pipeline Stage",$A$1:$R$1,0)),"")&amp;""</f>
        <v/>
      </c>
      <c r="AC181" s="9">
        <f>IFERROR(INDEX($A181:$R181,MATCH("Client",$A$1:$R$1,0)),"")&amp;""</f>
        <v/>
      </c>
      <c r="AD181" s="9">
        <f>IFERROR(INDEX($A181:$R181,MATCH("Description",$A$1:$R$1,0)),"")&amp;""</f>
        <v/>
      </c>
      <c r="AE181" s="9">
        <f>IFERROR(INDEX($A181:$R181,MATCH("Job Number",$A$1:$R$1,0)),"")&amp;""</f>
        <v/>
      </c>
      <c r="AF181" s="54">
        <f>IF(AND(T181="Open",ISNUMBER(Z181),Z181&lt;EOMONTH(set_AsAt,-1)+1),3,0)</f>
        <v/>
      </c>
      <c r="AG181" s="54">
        <f>IF(AND(T181="Open",U181&gt;0,U181&gt;=set_DealShare*SUMIFS($U$2:$U$601,$T$2:$T$601,"Open")),3,0)</f>
        <v/>
      </c>
      <c r="AH181" s="54">
        <f>IF(AND(T181="Open",U181&gt;=set_BigValue,W181&lt;=set_EarlyProb),2,0)</f>
        <v/>
      </c>
      <c r="AI181" s="54">
        <f>IF(AND(OR(T181="Open",T181="Won"),V181=0),2,0)</f>
        <v/>
      </c>
      <c r="AJ181" s="54">
        <f>IF(AND(T181="Won",Y181&gt;0.5,ISNUMBER(Z181),Z181&lt;EOMONTH(set_AsAt,-1)+1),3,0)</f>
        <v/>
      </c>
      <c r="AK181" s="54">
        <f>IF(AND(T181="Won",Y181&lt;-1),1,0)</f>
        <v/>
      </c>
      <c r="AL181" s="54">
        <f>SUM(AF181:AK181)</f>
        <v/>
      </c>
      <c r="AM181" s="9">
        <f>IF(AL181&gt;=set_ScoreHigh,"High",IF(AL181&gt;=set_ScoreMed,"Medium",IF(AL181&gt;0,"Low","OK")))</f>
        <v/>
      </c>
      <c r="AN181" s="54">
        <f>IF(OR(T181="Open",AND(T181="Won",ABS(Y181)&gt;0.5)),1,0)</f>
        <v/>
      </c>
      <c r="AO181" s="52">
        <f>IF(T181="Open",IF(V181=0,0,X181),IF(T181="Won",MAX(0,Y181),0))</f>
        <v/>
      </c>
      <c r="AP181" s="54">
        <f>IF(AN181=1,AL181*1E+9+U181+ROW()/1E+6,"")</f>
        <v/>
      </c>
      <c r="AQ181" s="9">
        <f>MID(IF(AF181&gt;0,"; Expected month passed - update Zoho","")&amp;IF(AG181&gt;0,"; "&amp;TEXT(U181/MAX(1,SUMIFS($U$2:$U$601,$T$2:$T$601,"Open")),"0%")&amp;" of open pipeline in one deal","")&amp;IF(AH181&gt;0,"; Large deal at an early stage","")&amp;IF(AI181&gt;0,"; No amount in Zoho","")&amp;IF(AJ181&gt;0,"; Won, invoice month passed, not fully invoiced","")&amp;IF(AK181&gt;0,"; Xero invoiced more than the deal value",""),3,300)</f>
        <v/>
      </c>
    </row>
    <row r="182">
      <c r="A182" s="51" t="n">
        <v>46356</v>
      </c>
      <c r="B182" t="inlineStr">
        <is>
          <t>ZOHO</t>
        </is>
      </c>
      <c r="C182" t="inlineStr">
        <is>
          <t>2603405</t>
        </is>
      </c>
      <c r="D182" t="inlineStr">
        <is>
          <t>Automic Group</t>
        </is>
      </c>
      <c r="E182" t="inlineStr">
        <is>
          <t>2603405</t>
        </is>
      </c>
      <c r="G182" t="inlineStr">
        <is>
          <t>PRODUCTION</t>
        </is>
      </c>
      <c r="H182" t="inlineStr">
        <is>
          <t>Automic - Capital Markets Forum - November 25-27</t>
        </is>
      </c>
      <c r="I182" t="n">
        <v>23507</v>
      </c>
      <c r="J182" t="inlineStr">
        <is>
          <t>Open</t>
        </is>
      </c>
      <c r="L182" s="51" t="n">
        <v>46356</v>
      </c>
      <c r="M182" t="n">
        <v>0</v>
      </c>
      <c r="P182" t="inlineStr">
        <is>
          <t>Building Value Proposition</t>
        </is>
      </c>
      <c r="Q182" t="n">
        <v>0.25</v>
      </c>
      <c r="R182" t="n">
        <v>5876.75</v>
      </c>
      <c r="T182" s="9">
        <f>IFERROR(INDEX($A182:$R182,MATCH("Status",$A$1:$R$1,0)),"")&amp;""</f>
        <v/>
      </c>
      <c r="U182" s="52">
        <f>IFERROR(N(IFERROR(INDEX($A182:$R182,MATCH("Value Ex GST",$A$1:$R$1,0)),"")),0)</f>
        <v/>
      </c>
      <c r="V182" s="54">
        <f>IF(AND(T182&lt;&gt;"",IFERROR(INDEX($A182:$R182,MATCH("Value Ex GST",$A$1:$R$1,0)),"")&amp;""&lt;&gt;""),1,0)</f>
        <v/>
      </c>
      <c r="W182" s="56">
        <f>IFERROR(N(IFERROR(INDEX($A182:$R182,MATCH("Probability",$A$1:$R$1,0)),"")),0)</f>
        <v/>
      </c>
      <c r="X182" s="52">
        <f>IF(T182="Open",U182*W182,0)</f>
        <v/>
      </c>
      <c r="Y182" s="52">
        <f>IF(T182="Won",IFERROR(N(IFERROR(INDEX($A182:$R182,MATCH("Still to Invoice",$A$1:$R$1,0)),"")),0),0)</f>
        <v/>
      </c>
      <c r="Z182" s="55">
        <f>IFERROR(EOMONTH(IFERROR(INDEX($A182:$R182,MATCH("Expected Invoice Month",$A$1:$R$1,0)),""),0),"")</f>
        <v/>
      </c>
      <c r="AA182" s="9">
        <f>IFERROR(INDEX($A182:$R182,MATCH("Cost Centre",$A$1:$R$1,0)),"")&amp;""</f>
        <v/>
      </c>
      <c r="AB182" s="9">
        <f>IFERROR(INDEX($A182:$R182,MATCH("Pipeline Stage",$A$1:$R$1,0)),"")&amp;""</f>
        <v/>
      </c>
      <c r="AC182" s="9">
        <f>IFERROR(INDEX($A182:$R182,MATCH("Client",$A$1:$R$1,0)),"")&amp;""</f>
        <v/>
      </c>
      <c r="AD182" s="9">
        <f>IFERROR(INDEX($A182:$R182,MATCH("Description",$A$1:$R$1,0)),"")&amp;""</f>
        <v/>
      </c>
      <c r="AE182" s="9">
        <f>IFERROR(INDEX($A182:$R182,MATCH("Job Number",$A$1:$R$1,0)),"")&amp;""</f>
        <v/>
      </c>
      <c r="AF182" s="54">
        <f>IF(AND(T182="Open",ISNUMBER(Z182),Z182&lt;EOMONTH(set_AsAt,-1)+1),3,0)</f>
        <v/>
      </c>
      <c r="AG182" s="54">
        <f>IF(AND(T182="Open",U182&gt;0,U182&gt;=set_DealShare*SUMIFS($U$2:$U$601,$T$2:$T$601,"Open")),3,0)</f>
        <v/>
      </c>
      <c r="AH182" s="54">
        <f>IF(AND(T182="Open",U182&gt;=set_BigValue,W182&lt;=set_EarlyProb),2,0)</f>
        <v/>
      </c>
      <c r="AI182" s="54">
        <f>IF(AND(OR(T182="Open",T182="Won"),V182=0),2,0)</f>
        <v/>
      </c>
      <c r="AJ182" s="54">
        <f>IF(AND(T182="Won",Y182&gt;0.5,ISNUMBER(Z182),Z182&lt;EOMONTH(set_AsAt,-1)+1),3,0)</f>
        <v/>
      </c>
      <c r="AK182" s="54">
        <f>IF(AND(T182="Won",Y182&lt;-1),1,0)</f>
        <v/>
      </c>
      <c r="AL182" s="54">
        <f>SUM(AF182:AK182)</f>
        <v/>
      </c>
      <c r="AM182" s="9">
        <f>IF(AL182&gt;=set_ScoreHigh,"High",IF(AL182&gt;=set_ScoreMed,"Medium",IF(AL182&gt;0,"Low","OK")))</f>
        <v/>
      </c>
      <c r="AN182" s="54">
        <f>IF(OR(T182="Open",AND(T182="Won",ABS(Y182)&gt;0.5)),1,0)</f>
        <v/>
      </c>
      <c r="AO182" s="52">
        <f>IF(T182="Open",IF(V182=0,0,X182),IF(T182="Won",MAX(0,Y182),0))</f>
        <v/>
      </c>
      <c r="AP182" s="54">
        <f>IF(AN182=1,AL182*1E+9+U182+ROW()/1E+6,"")</f>
        <v/>
      </c>
      <c r="AQ182" s="9">
        <f>MID(IF(AF182&gt;0,"; Expected month passed - update Zoho","")&amp;IF(AG182&gt;0,"; "&amp;TEXT(U182/MAX(1,SUMIFS($U$2:$U$601,$T$2:$T$601,"Open")),"0%")&amp;" of open pipeline in one deal","")&amp;IF(AH182&gt;0,"; Large deal at an early stage","")&amp;IF(AI182&gt;0,"; No amount in Zoho","")&amp;IF(AJ182&gt;0,"; Won, invoice month passed, not fully invoiced","")&amp;IF(AK182&gt;0,"; Xero invoiced more than the deal value",""),3,300)</f>
        <v/>
      </c>
    </row>
    <row r="183">
      <c r="A183" s="51" t="n">
        <v>46356</v>
      </c>
      <c r="B183" t="inlineStr">
        <is>
          <t>ZOHO</t>
        </is>
      </c>
      <c r="C183" t="inlineStr">
        <is>
          <t>26092302</t>
        </is>
      </c>
      <c r="D183" t="inlineStr">
        <is>
          <t>Hills Grammar</t>
        </is>
      </c>
      <c r="E183" t="inlineStr">
        <is>
          <t>26092302</t>
        </is>
      </c>
      <c r="G183" t="inlineStr">
        <is>
          <t>CONSULTING</t>
        </is>
      </c>
      <c r="H183" t="inlineStr">
        <is>
          <t>Innovation Centre</t>
        </is>
      </c>
      <c r="I183" t="n">
        <v>75000</v>
      </c>
      <c r="J183" t="inlineStr">
        <is>
          <t>Open</t>
        </is>
      </c>
      <c r="L183" s="51" t="n">
        <v>46356</v>
      </c>
      <c r="M183" t="n">
        <v>0</v>
      </c>
      <c r="P183" t="inlineStr">
        <is>
          <t>Building Value Proposition</t>
        </is>
      </c>
      <c r="Q183" t="n">
        <v>0.25</v>
      </c>
      <c r="R183" t="n">
        <v>18750</v>
      </c>
      <c r="T183" s="9">
        <f>IFERROR(INDEX($A183:$R183,MATCH("Status",$A$1:$R$1,0)),"")&amp;""</f>
        <v/>
      </c>
      <c r="U183" s="52">
        <f>IFERROR(N(IFERROR(INDEX($A183:$R183,MATCH("Value Ex GST",$A$1:$R$1,0)),"")),0)</f>
        <v/>
      </c>
      <c r="V183" s="54">
        <f>IF(AND(T183&lt;&gt;"",IFERROR(INDEX($A183:$R183,MATCH("Value Ex GST",$A$1:$R$1,0)),"")&amp;""&lt;&gt;""),1,0)</f>
        <v/>
      </c>
      <c r="W183" s="56">
        <f>IFERROR(N(IFERROR(INDEX($A183:$R183,MATCH("Probability",$A$1:$R$1,0)),"")),0)</f>
        <v/>
      </c>
      <c r="X183" s="52">
        <f>IF(T183="Open",U183*W183,0)</f>
        <v/>
      </c>
      <c r="Y183" s="52">
        <f>IF(T183="Won",IFERROR(N(IFERROR(INDEX($A183:$R183,MATCH("Still to Invoice",$A$1:$R$1,0)),"")),0),0)</f>
        <v/>
      </c>
      <c r="Z183" s="55">
        <f>IFERROR(EOMONTH(IFERROR(INDEX($A183:$R183,MATCH("Expected Invoice Month",$A$1:$R$1,0)),""),0),"")</f>
        <v/>
      </c>
      <c r="AA183" s="9">
        <f>IFERROR(INDEX($A183:$R183,MATCH("Cost Centre",$A$1:$R$1,0)),"")&amp;""</f>
        <v/>
      </c>
      <c r="AB183" s="9">
        <f>IFERROR(INDEX($A183:$R183,MATCH("Pipeline Stage",$A$1:$R$1,0)),"")&amp;""</f>
        <v/>
      </c>
      <c r="AC183" s="9">
        <f>IFERROR(INDEX($A183:$R183,MATCH("Client",$A$1:$R$1,0)),"")&amp;""</f>
        <v/>
      </c>
      <c r="AD183" s="9">
        <f>IFERROR(INDEX($A183:$R183,MATCH("Description",$A$1:$R$1,0)),"")&amp;""</f>
        <v/>
      </c>
      <c r="AE183" s="9">
        <f>IFERROR(INDEX($A183:$R183,MATCH("Job Number",$A$1:$R$1,0)),"")&amp;""</f>
        <v/>
      </c>
      <c r="AF183" s="54">
        <f>IF(AND(T183="Open",ISNUMBER(Z183),Z183&lt;EOMONTH(set_AsAt,-1)+1),3,0)</f>
        <v/>
      </c>
      <c r="AG183" s="54">
        <f>IF(AND(T183="Open",U183&gt;0,U183&gt;=set_DealShare*SUMIFS($U$2:$U$601,$T$2:$T$601,"Open")),3,0)</f>
        <v/>
      </c>
      <c r="AH183" s="54">
        <f>IF(AND(T183="Open",U183&gt;=set_BigValue,W183&lt;=set_EarlyProb),2,0)</f>
        <v/>
      </c>
      <c r="AI183" s="54">
        <f>IF(AND(OR(T183="Open",T183="Won"),V183=0),2,0)</f>
        <v/>
      </c>
      <c r="AJ183" s="54">
        <f>IF(AND(T183="Won",Y183&gt;0.5,ISNUMBER(Z183),Z183&lt;EOMONTH(set_AsAt,-1)+1),3,0)</f>
        <v/>
      </c>
      <c r="AK183" s="54">
        <f>IF(AND(T183="Won",Y183&lt;-1),1,0)</f>
        <v/>
      </c>
      <c r="AL183" s="54">
        <f>SUM(AF183:AK183)</f>
        <v/>
      </c>
      <c r="AM183" s="9">
        <f>IF(AL183&gt;=set_ScoreHigh,"High",IF(AL183&gt;=set_ScoreMed,"Medium",IF(AL183&gt;0,"Low","OK")))</f>
        <v/>
      </c>
      <c r="AN183" s="54">
        <f>IF(OR(T183="Open",AND(T183="Won",ABS(Y183)&gt;0.5)),1,0)</f>
        <v/>
      </c>
      <c r="AO183" s="52">
        <f>IF(T183="Open",IF(V183=0,0,X183),IF(T183="Won",MAX(0,Y183),0))</f>
        <v/>
      </c>
      <c r="AP183" s="54">
        <f>IF(AN183=1,AL183*1E+9+U183+ROW()/1E+6,"")</f>
        <v/>
      </c>
      <c r="AQ183" s="9">
        <f>MID(IF(AF183&gt;0,"; Expected month passed - update Zoho","")&amp;IF(AG183&gt;0,"; "&amp;TEXT(U183/MAX(1,SUMIFS($U$2:$U$601,$T$2:$T$601,"Open")),"0%")&amp;" of open pipeline in one deal","")&amp;IF(AH183&gt;0,"; Large deal at an early stage","")&amp;IF(AI183&gt;0,"; No amount in Zoho","")&amp;IF(AJ183&gt;0,"; Won, invoice month passed, not fully invoiced","")&amp;IF(AK183&gt;0,"; Xero invoiced more than the deal value",""),3,300)</f>
        <v/>
      </c>
    </row>
    <row r="184">
      <c r="A184" s="51" t="n">
        <v>46446</v>
      </c>
      <c r="B184" t="inlineStr">
        <is>
          <t>ZOHO</t>
        </is>
      </c>
      <c r="C184" t="inlineStr">
        <is>
          <t>26092301</t>
        </is>
      </c>
      <c r="D184" t="inlineStr">
        <is>
          <t>EY</t>
        </is>
      </c>
      <c r="E184" t="inlineStr">
        <is>
          <t>26092301</t>
        </is>
      </c>
      <c r="G184" t="inlineStr">
        <is>
          <t>PRODUCTION</t>
        </is>
      </c>
      <c r="H184" t="inlineStr">
        <is>
          <t>EY - Feb Event Support - 12.2.26</t>
        </is>
      </c>
      <c r="I184" t="n">
        <v>2000</v>
      </c>
      <c r="J184" t="inlineStr">
        <is>
          <t>Open</t>
        </is>
      </c>
      <c r="L184" s="51" t="n">
        <v>46446</v>
      </c>
      <c r="M184" t="n">
        <v>0</v>
      </c>
      <c r="P184" t="inlineStr">
        <is>
          <t>Building Value Proposition</t>
        </is>
      </c>
      <c r="Q184" t="n">
        <v>0.25</v>
      </c>
      <c r="R184" t="n">
        <v>500</v>
      </c>
      <c r="T184" s="9">
        <f>IFERROR(INDEX($A184:$R184,MATCH("Status",$A$1:$R$1,0)),"")&amp;""</f>
        <v/>
      </c>
      <c r="U184" s="52">
        <f>IFERROR(N(IFERROR(INDEX($A184:$R184,MATCH("Value Ex GST",$A$1:$R$1,0)),"")),0)</f>
        <v/>
      </c>
      <c r="V184" s="54">
        <f>IF(AND(T184&lt;&gt;"",IFERROR(INDEX($A184:$R184,MATCH("Value Ex GST",$A$1:$R$1,0)),"")&amp;""&lt;&gt;""),1,0)</f>
        <v/>
      </c>
      <c r="W184" s="56">
        <f>IFERROR(N(IFERROR(INDEX($A184:$R184,MATCH("Probability",$A$1:$R$1,0)),"")),0)</f>
        <v/>
      </c>
      <c r="X184" s="52">
        <f>IF(T184="Open",U184*W184,0)</f>
        <v/>
      </c>
      <c r="Y184" s="52">
        <f>IF(T184="Won",IFERROR(N(IFERROR(INDEX($A184:$R184,MATCH("Still to Invoice",$A$1:$R$1,0)),"")),0),0)</f>
        <v/>
      </c>
      <c r="Z184" s="55">
        <f>IFERROR(EOMONTH(IFERROR(INDEX($A184:$R184,MATCH("Expected Invoice Month",$A$1:$R$1,0)),""),0),"")</f>
        <v/>
      </c>
      <c r="AA184" s="9">
        <f>IFERROR(INDEX($A184:$R184,MATCH("Cost Centre",$A$1:$R$1,0)),"")&amp;""</f>
        <v/>
      </c>
      <c r="AB184" s="9">
        <f>IFERROR(INDEX($A184:$R184,MATCH("Pipeline Stage",$A$1:$R$1,0)),"")&amp;""</f>
        <v/>
      </c>
      <c r="AC184" s="9">
        <f>IFERROR(INDEX($A184:$R184,MATCH("Client",$A$1:$R$1,0)),"")&amp;""</f>
        <v/>
      </c>
      <c r="AD184" s="9">
        <f>IFERROR(INDEX($A184:$R184,MATCH("Description",$A$1:$R$1,0)),"")&amp;""</f>
        <v/>
      </c>
      <c r="AE184" s="9">
        <f>IFERROR(INDEX($A184:$R184,MATCH("Job Number",$A$1:$R$1,0)),"")&amp;""</f>
        <v/>
      </c>
      <c r="AF184" s="54">
        <f>IF(AND(T184="Open",ISNUMBER(Z184),Z184&lt;EOMONTH(set_AsAt,-1)+1),3,0)</f>
        <v/>
      </c>
      <c r="AG184" s="54">
        <f>IF(AND(T184="Open",U184&gt;0,U184&gt;=set_DealShare*SUMIFS($U$2:$U$601,$T$2:$T$601,"Open")),3,0)</f>
        <v/>
      </c>
      <c r="AH184" s="54">
        <f>IF(AND(T184="Open",U184&gt;=set_BigValue,W184&lt;=set_EarlyProb),2,0)</f>
        <v/>
      </c>
      <c r="AI184" s="54">
        <f>IF(AND(OR(T184="Open",T184="Won"),V184=0),2,0)</f>
        <v/>
      </c>
      <c r="AJ184" s="54">
        <f>IF(AND(T184="Won",Y184&gt;0.5,ISNUMBER(Z184),Z184&lt;EOMONTH(set_AsAt,-1)+1),3,0)</f>
        <v/>
      </c>
      <c r="AK184" s="54">
        <f>IF(AND(T184="Won",Y184&lt;-1),1,0)</f>
        <v/>
      </c>
      <c r="AL184" s="54">
        <f>SUM(AF184:AK184)</f>
        <v/>
      </c>
      <c r="AM184" s="9">
        <f>IF(AL184&gt;=set_ScoreHigh,"High",IF(AL184&gt;=set_ScoreMed,"Medium",IF(AL184&gt;0,"Low","OK")))</f>
        <v/>
      </c>
      <c r="AN184" s="54">
        <f>IF(OR(T184="Open",AND(T184="Won",ABS(Y184)&gt;0.5)),1,0)</f>
        <v/>
      </c>
      <c r="AO184" s="52">
        <f>IF(T184="Open",IF(V184=0,0,X184),IF(T184="Won",MAX(0,Y184),0))</f>
        <v/>
      </c>
      <c r="AP184" s="54">
        <f>IF(AN184=1,AL184*1E+9+U184+ROW()/1E+6,"")</f>
        <v/>
      </c>
      <c r="AQ184" s="9">
        <f>MID(IF(AF184&gt;0,"; Expected month passed - update Zoho","")&amp;IF(AG184&gt;0,"; "&amp;TEXT(U184/MAX(1,SUMIFS($U$2:$U$601,$T$2:$T$601,"Open")),"0%")&amp;" of open pipeline in one deal","")&amp;IF(AH184&gt;0,"; Large deal at an early stage","")&amp;IF(AI184&gt;0,"; No amount in Zoho","")&amp;IF(AJ184&gt;0,"; Won, invoice month passed, not fully invoiced","")&amp;IF(AK184&gt;0,"; Xero invoiced more than the deal value",""),3,300)</f>
        <v/>
      </c>
    </row>
    <row r="185">
      <c r="A185" s="51" t="n">
        <v>46356</v>
      </c>
      <c r="B185" t="inlineStr">
        <is>
          <t>ZOHO</t>
        </is>
      </c>
      <c r="C185" t="inlineStr">
        <is>
          <t>26091703</t>
        </is>
      </c>
      <c r="D185" t="inlineStr">
        <is>
          <t>Sequoia Financial Group Limited</t>
        </is>
      </c>
      <c r="E185" t="inlineStr">
        <is>
          <t>26091703</t>
        </is>
      </c>
      <c r="G185" t="inlineStr">
        <is>
          <t>PRODUCTION</t>
        </is>
      </c>
      <c r="H185" t="inlineStr">
        <is>
          <t>Sequoia - Client AGM - 26.11.26</t>
        </is>
      </c>
      <c r="J185" t="inlineStr">
        <is>
          <t>Open</t>
        </is>
      </c>
      <c r="L185" s="51" t="n">
        <v>46356</v>
      </c>
      <c r="M185" t="n">
        <v>0</v>
      </c>
      <c r="O185" t="inlineStr">
        <is>
          <t>No amount in Zoho</t>
        </is>
      </c>
      <c r="P185" t="inlineStr">
        <is>
          <t>Building Value Proposition</t>
        </is>
      </c>
      <c r="Q185" t="n">
        <v>0.25</v>
      </c>
      <c r="R185" t="n">
        <v>0</v>
      </c>
      <c r="T185" s="9">
        <f>IFERROR(INDEX($A185:$R185,MATCH("Status",$A$1:$R$1,0)),"")&amp;""</f>
        <v/>
      </c>
      <c r="U185" s="52">
        <f>IFERROR(N(IFERROR(INDEX($A185:$R185,MATCH("Value Ex GST",$A$1:$R$1,0)),"")),0)</f>
        <v/>
      </c>
      <c r="V185" s="54">
        <f>IF(AND(T185&lt;&gt;"",IFERROR(INDEX($A185:$R185,MATCH("Value Ex GST",$A$1:$R$1,0)),"")&amp;""&lt;&gt;""),1,0)</f>
        <v/>
      </c>
      <c r="W185" s="56">
        <f>IFERROR(N(IFERROR(INDEX($A185:$R185,MATCH("Probability",$A$1:$R$1,0)),"")),0)</f>
        <v/>
      </c>
      <c r="X185" s="52">
        <f>IF(T185="Open",U185*W185,0)</f>
        <v/>
      </c>
      <c r="Y185" s="52">
        <f>IF(T185="Won",IFERROR(N(IFERROR(INDEX($A185:$R185,MATCH("Still to Invoice",$A$1:$R$1,0)),"")),0),0)</f>
        <v/>
      </c>
      <c r="Z185" s="55">
        <f>IFERROR(EOMONTH(IFERROR(INDEX($A185:$R185,MATCH("Expected Invoice Month",$A$1:$R$1,0)),""),0),"")</f>
        <v/>
      </c>
      <c r="AA185" s="9">
        <f>IFERROR(INDEX($A185:$R185,MATCH("Cost Centre",$A$1:$R$1,0)),"")&amp;""</f>
        <v/>
      </c>
      <c r="AB185" s="9">
        <f>IFERROR(INDEX($A185:$R185,MATCH("Pipeline Stage",$A$1:$R$1,0)),"")&amp;""</f>
        <v/>
      </c>
      <c r="AC185" s="9">
        <f>IFERROR(INDEX($A185:$R185,MATCH("Client",$A$1:$R$1,0)),"")&amp;""</f>
        <v/>
      </c>
      <c r="AD185" s="9">
        <f>IFERROR(INDEX($A185:$R185,MATCH("Description",$A$1:$R$1,0)),"")&amp;""</f>
        <v/>
      </c>
      <c r="AE185" s="9">
        <f>IFERROR(INDEX($A185:$R185,MATCH("Job Number",$A$1:$R$1,0)),"")&amp;""</f>
        <v/>
      </c>
      <c r="AF185" s="54">
        <f>IF(AND(T185="Open",ISNUMBER(Z185),Z185&lt;EOMONTH(set_AsAt,-1)+1),3,0)</f>
        <v/>
      </c>
      <c r="AG185" s="54">
        <f>IF(AND(T185="Open",U185&gt;0,U185&gt;=set_DealShare*SUMIFS($U$2:$U$601,$T$2:$T$601,"Open")),3,0)</f>
        <v/>
      </c>
      <c r="AH185" s="54">
        <f>IF(AND(T185="Open",U185&gt;=set_BigValue,W185&lt;=set_EarlyProb),2,0)</f>
        <v/>
      </c>
      <c r="AI185" s="54">
        <f>IF(AND(OR(T185="Open",T185="Won"),V185=0),2,0)</f>
        <v/>
      </c>
      <c r="AJ185" s="54">
        <f>IF(AND(T185="Won",Y185&gt;0.5,ISNUMBER(Z185),Z185&lt;EOMONTH(set_AsAt,-1)+1),3,0)</f>
        <v/>
      </c>
      <c r="AK185" s="54">
        <f>IF(AND(T185="Won",Y185&lt;-1),1,0)</f>
        <v/>
      </c>
      <c r="AL185" s="54">
        <f>SUM(AF185:AK185)</f>
        <v/>
      </c>
      <c r="AM185" s="9">
        <f>IF(AL185&gt;=set_ScoreHigh,"High",IF(AL185&gt;=set_ScoreMed,"Medium",IF(AL185&gt;0,"Low","OK")))</f>
        <v/>
      </c>
      <c r="AN185" s="54">
        <f>IF(OR(T185="Open",AND(T185="Won",ABS(Y185)&gt;0.5)),1,0)</f>
        <v/>
      </c>
      <c r="AO185" s="52">
        <f>IF(T185="Open",IF(V185=0,0,X185),IF(T185="Won",MAX(0,Y185),0))</f>
        <v/>
      </c>
      <c r="AP185" s="54">
        <f>IF(AN185=1,AL185*1E+9+U185+ROW()/1E+6,"")</f>
        <v/>
      </c>
      <c r="AQ185" s="9">
        <f>MID(IF(AF185&gt;0,"; Expected month passed - update Zoho","")&amp;IF(AG185&gt;0,"; "&amp;TEXT(U185/MAX(1,SUMIFS($U$2:$U$601,$T$2:$T$601,"Open")),"0%")&amp;" of open pipeline in one deal","")&amp;IF(AH185&gt;0,"; Large deal at an early stage","")&amp;IF(AI185&gt;0,"; No amount in Zoho","")&amp;IF(AJ185&gt;0,"; Won, invoice month passed, not fully invoiced","")&amp;IF(AK185&gt;0,"; Xero invoiced more than the deal value",""),3,300)</f>
        <v/>
      </c>
    </row>
    <row r="186">
      <c r="A186" s="51" t="n">
        <v>46265</v>
      </c>
      <c r="B186" t="inlineStr">
        <is>
          <t>ZOHO</t>
        </is>
      </c>
      <c r="C186" t="inlineStr">
        <is>
          <t>26081401</t>
        </is>
      </c>
      <c r="D186" t="inlineStr">
        <is>
          <t>Department of Employment &amp; Workplace Relations (DEWR)</t>
        </is>
      </c>
      <c r="E186" t="inlineStr">
        <is>
          <t>26081401</t>
        </is>
      </c>
      <c r="G186" t="inlineStr">
        <is>
          <t>CONSULTING</t>
        </is>
      </c>
      <c r="H186" t="inlineStr">
        <is>
          <t>DEWR Theatre / Possum Room link</t>
        </is>
      </c>
      <c r="I186" t="n">
        <v>3000</v>
      </c>
      <c r="J186" t="inlineStr">
        <is>
          <t>Open</t>
        </is>
      </c>
      <c r="L186" s="51" t="n">
        <v>46265</v>
      </c>
      <c r="M186" t="n">
        <v>0</v>
      </c>
      <c r="O186" t="inlineStr">
        <is>
          <t>Closing date has passed - update Zoho</t>
        </is>
      </c>
      <c r="P186" t="inlineStr">
        <is>
          <t>Building Value Proposition</t>
        </is>
      </c>
      <c r="Q186" t="n">
        <v>0.25</v>
      </c>
      <c r="R186" t="n">
        <v>750</v>
      </c>
      <c r="T186" s="9">
        <f>IFERROR(INDEX($A186:$R186,MATCH("Status",$A$1:$R$1,0)),"")&amp;""</f>
        <v/>
      </c>
      <c r="U186" s="52">
        <f>IFERROR(N(IFERROR(INDEX($A186:$R186,MATCH("Value Ex GST",$A$1:$R$1,0)),"")),0)</f>
        <v/>
      </c>
      <c r="V186" s="54">
        <f>IF(AND(T186&lt;&gt;"",IFERROR(INDEX($A186:$R186,MATCH("Value Ex GST",$A$1:$R$1,0)),"")&amp;""&lt;&gt;""),1,0)</f>
        <v/>
      </c>
      <c r="W186" s="56">
        <f>IFERROR(N(IFERROR(INDEX($A186:$R186,MATCH("Probability",$A$1:$R$1,0)),"")),0)</f>
        <v/>
      </c>
      <c r="X186" s="52">
        <f>IF(T186="Open",U186*W186,0)</f>
        <v/>
      </c>
      <c r="Y186" s="52">
        <f>IF(T186="Won",IFERROR(N(IFERROR(INDEX($A186:$R186,MATCH("Still to Invoice",$A$1:$R$1,0)),"")),0),0)</f>
        <v/>
      </c>
      <c r="Z186" s="55">
        <f>IFERROR(EOMONTH(IFERROR(INDEX($A186:$R186,MATCH("Expected Invoice Month",$A$1:$R$1,0)),""),0),"")</f>
        <v/>
      </c>
      <c r="AA186" s="9">
        <f>IFERROR(INDEX($A186:$R186,MATCH("Cost Centre",$A$1:$R$1,0)),"")&amp;""</f>
        <v/>
      </c>
      <c r="AB186" s="9">
        <f>IFERROR(INDEX($A186:$R186,MATCH("Pipeline Stage",$A$1:$R$1,0)),"")&amp;""</f>
        <v/>
      </c>
      <c r="AC186" s="9">
        <f>IFERROR(INDEX($A186:$R186,MATCH("Client",$A$1:$R$1,0)),"")&amp;""</f>
        <v/>
      </c>
      <c r="AD186" s="9">
        <f>IFERROR(INDEX($A186:$R186,MATCH("Description",$A$1:$R$1,0)),"")&amp;""</f>
        <v/>
      </c>
      <c r="AE186" s="9">
        <f>IFERROR(INDEX($A186:$R186,MATCH("Job Number",$A$1:$R$1,0)),"")&amp;""</f>
        <v/>
      </c>
      <c r="AF186" s="54">
        <f>IF(AND(T186="Open",ISNUMBER(Z186),Z186&lt;EOMONTH(set_AsAt,-1)+1),3,0)</f>
        <v/>
      </c>
      <c r="AG186" s="54">
        <f>IF(AND(T186="Open",U186&gt;0,U186&gt;=set_DealShare*SUMIFS($U$2:$U$601,$T$2:$T$601,"Open")),3,0)</f>
        <v/>
      </c>
      <c r="AH186" s="54">
        <f>IF(AND(T186="Open",U186&gt;=set_BigValue,W186&lt;=set_EarlyProb),2,0)</f>
        <v/>
      </c>
      <c r="AI186" s="54">
        <f>IF(AND(OR(T186="Open",T186="Won"),V186=0),2,0)</f>
        <v/>
      </c>
      <c r="AJ186" s="54">
        <f>IF(AND(T186="Won",Y186&gt;0.5,ISNUMBER(Z186),Z186&lt;EOMONTH(set_AsAt,-1)+1),3,0)</f>
        <v/>
      </c>
      <c r="AK186" s="54">
        <f>IF(AND(T186="Won",Y186&lt;-1),1,0)</f>
        <v/>
      </c>
      <c r="AL186" s="54">
        <f>SUM(AF186:AK186)</f>
        <v/>
      </c>
      <c r="AM186" s="9">
        <f>IF(AL186&gt;=set_ScoreHigh,"High",IF(AL186&gt;=set_ScoreMed,"Medium",IF(AL186&gt;0,"Low","OK")))</f>
        <v/>
      </c>
      <c r="AN186" s="54">
        <f>IF(OR(T186="Open",AND(T186="Won",ABS(Y186)&gt;0.5)),1,0)</f>
        <v/>
      </c>
      <c r="AO186" s="52">
        <f>IF(T186="Open",IF(V186=0,0,X186),IF(T186="Won",MAX(0,Y186),0))</f>
        <v/>
      </c>
      <c r="AP186" s="54">
        <f>IF(AN186=1,AL186*1E+9+U186+ROW()/1E+6,"")</f>
        <v/>
      </c>
      <c r="AQ186" s="9">
        <f>MID(IF(AF186&gt;0,"; Expected month passed - update Zoho","")&amp;IF(AG186&gt;0,"; "&amp;TEXT(U186/MAX(1,SUMIFS($U$2:$U$601,$T$2:$T$601,"Open")),"0%")&amp;" of open pipeline in one deal","")&amp;IF(AH186&gt;0,"; Large deal at an early stage","")&amp;IF(AI186&gt;0,"; No amount in Zoho","")&amp;IF(AJ186&gt;0,"; Won, invoice month passed, not fully invoiced","")&amp;IF(AK186&gt;0,"; Xero invoiced more than the deal value",""),3,300)</f>
        <v/>
      </c>
    </row>
    <row r="187">
      <c r="A187" s="51" t="n">
        <v>46356</v>
      </c>
      <c r="B187" t="inlineStr">
        <is>
          <t>ZOHO</t>
        </is>
      </c>
      <c r="C187" t="inlineStr">
        <is>
          <t>26092201</t>
        </is>
      </c>
      <c r="D187" t="inlineStr">
        <is>
          <t>Phillip St Restaurant</t>
        </is>
      </c>
      <c r="E187" t="inlineStr">
        <is>
          <t>26092201</t>
        </is>
      </c>
      <c r="G187" t="inlineStr">
        <is>
          <t>PRODUCTION</t>
        </is>
      </c>
      <c r="H187" t="inlineStr">
        <is>
          <t>Phillip Street Resturaunt - Melbourne Cup Event - 3.11.26</t>
        </is>
      </c>
      <c r="I187" t="n">
        <v>3000</v>
      </c>
      <c r="J187" t="inlineStr">
        <is>
          <t>Open</t>
        </is>
      </c>
      <c r="L187" s="51" t="n">
        <v>46356</v>
      </c>
      <c r="M187" t="n">
        <v>0</v>
      </c>
      <c r="P187" t="inlineStr">
        <is>
          <t>Building Value Proposition</t>
        </is>
      </c>
      <c r="Q187" t="n">
        <v>0.25</v>
      </c>
      <c r="R187" t="n">
        <v>750</v>
      </c>
      <c r="T187" s="9">
        <f>IFERROR(INDEX($A187:$R187,MATCH("Status",$A$1:$R$1,0)),"")&amp;""</f>
        <v/>
      </c>
      <c r="U187" s="52">
        <f>IFERROR(N(IFERROR(INDEX($A187:$R187,MATCH("Value Ex GST",$A$1:$R$1,0)),"")),0)</f>
        <v/>
      </c>
      <c r="V187" s="54">
        <f>IF(AND(T187&lt;&gt;"",IFERROR(INDEX($A187:$R187,MATCH("Value Ex GST",$A$1:$R$1,0)),"")&amp;""&lt;&gt;""),1,0)</f>
        <v/>
      </c>
      <c r="W187" s="56">
        <f>IFERROR(N(IFERROR(INDEX($A187:$R187,MATCH("Probability",$A$1:$R$1,0)),"")),0)</f>
        <v/>
      </c>
      <c r="X187" s="52">
        <f>IF(T187="Open",U187*W187,0)</f>
        <v/>
      </c>
      <c r="Y187" s="52">
        <f>IF(T187="Won",IFERROR(N(IFERROR(INDEX($A187:$R187,MATCH("Still to Invoice",$A$1:$R$1,0)),"")),0),0)</f>
        <v/>
      </c>
      <c r="Z187" s="55">
        <f>IFERROR(EOMONTH(IFERROR(INDEX($A187:$R187,MATCH("Expected Invoice Month",$A$1:$R$1,0)),""),0),"")</f>
        <v/>
      </c>
      <c r="AA187" s="9">
        <f>IFERROR(INDEX($A187:$R187,MATCH("Cost Centre",$A$1:$R$1,0)),"")&amp;""</f>
        <v/>
      </c>
      <c r="AB187" s="9">
        <f>IFERROR(INDEX($A187:$R187,MATCH("Pipeline Stage",$A$1:$R$1,0)),"")&amp;""</f>
        <v/>
      </c>
      <c r="AC187" s="9">
        <f>IFERROR(INDEX($A187:$R187,MATCH("Client",$A$1:$R$1,0)),"")&amp;""</f>
        <v/>
      </c>
      <c r="AD187" s="9">
        <f>IFERROR(INDEX($A187:$R187,MATCH("Description",$A$1:$R$1,0)),"")&amp;""</f>
        <v/>
      </c>
      <c r="AE187" s="9">
        <f>IFERROR(INDEX($A187:$R187,MATCH("Job Number",$A$1:$R$1,0)),"")&amp;""</f>
        <v/>
      </c>
      <c r="AF187" s="54">
        <f>IF(AND(T187="Open",ISNUMBER(Z187),Z187&lt;EOMONTH(set_AsAt,-1)+1),3,0)</f>
        <v/>
      </c>
      <c r="AG187" s="54">
        <f>IF(AND(T187="Open",U187&gt;0,U187&gt;=set_DealShare*SUMIFS($U$2:$U$601,$T$2:$T$601,"Open")),3,0)</f>
        <v/>
      </c>
      <c r="AH187" s="54">
        <f>IF(AND(T187="Open",U187&gt;=set_BigValue,W187&lt;=set_EarlyProb),2,0)</f>
        <v/>
      </c>
      <c r="AI187" s="54">
        <f>IF(AND(OR(T187="Open",T187="Won"),V187=0),2,0)</f>
        <v/>
      </c>
      <c r="AJ187" s="54">
        <f>IF(AND(T187="Won",Y187&gt;0.5,ISNUMBER(Z187),Z187&lt;EOMONTH(set_AsAt,-1)+1),3,0)</f>
        <v/>
      </c>
      <c r="AK187" s="54">
        <f>IF(AND(T187="Won",Y187&lt;-1),1,0)</f>
        <v/>
      </c>
      <c r="AL187" s="54">
        <f>SUM(AF187:AK187)</f>
        <v/>
      </c>
      <c r="AM187" s="9">
        <f>IF(AL187&gt;=set_ScoreHigh,"High",IF(AL187&gt;=set_ScoreMed,"Medium",IF(AL187&gt;0,"Low","OK")))</f>
        <v/>
      </c>
      <c r="AN187" s="54">
        <f>IF(OR(T187="Open",AND(T187="Won",ABS(Y187)&gt;0.5)),1,0)</f>
        <v/>
      </c>
      <c r="AO187" s="52">
        <f>IF(T187="Open",IF(V187=0,0,X187),IF(T187="Won",MAX(0,Y187),0))</f>
        <v/>
      </c>
      <c r="AP187" s="54">
        <f>IF(AN187=1,AL187*1E+9+U187+ROW()/1E+6,"")</f>
        <v/>
      </c>
      <c r="AQ187" s="9">
        <f>MID(IF(AF187&gt;0,"; Expected month passed - update Zoho","")&amp;IF(AG187&gt;0,"; "&amp;TEXT(U187/MAX(1,SUMIFS($U$2:$U$601,$T$2:$T$601,"Open")),"0%")&amp;" of open pipeline in one deal","")&amp;IF(AH187&gt;0,"; Large deal at an early stage","")&amp;IF(AI187&gt;0,"; No amount in Zoho","")&amp;IF(AJ187&gt;0,"; Won, invoice month passed, not fully invoiced","")&amp;IF(AK187&gt;0,"; Xero invoiced more than the deal value",""),3,300)</f>
        <v/>
      </c>
    </row>
    <row r="188">
      <c r="A188" s="51" t="n">
        <v>46326</v>
      </c>
      <c r="B188" t="inlineStr">
        <is>
          <t>ZOHO</t>
        </is>
      </c>
      <c r="C188" t="inlineStr">
        <is>
          <t>26091402</t>
        </is>
      </c>
      <c r="D188" t="inlineStr">
        <is>
          <t>Emeco Group</t>
        </is>
      </c>
      <c r="E188" t="inlineStr">
        <is>
          <t>26091402</t>
        </is>
      </c>
      <c r="G188" t="inlineStr">
        <is>
          <t>PRODUCTION</t>
        </is>
      </c>
      <c r="H188" t="inlineStr">
        <is>
          <t>EHL - 2026 AGM - 19.11.26</t>
        </is>
      </c>
      <c r="I188" t="n">
        <v>4000</v>
      </c>
      <c r="J188" t="inlineStr">
        <is>
          <t>Open</t>
        </is>
      </c>
      <c r="L188" s="51" t="n">
        <v>46356</v>
      </c>
      <c r="M188" t="n">
        <v>0</v>
      </c>
      <c r="O188" t="inlineStr">
        <is>
          <t>Invoice month taken from the event date in the deal name</t>
        </is>
      </c>
      <c r="P188" t="inlineStr">
        <is>
          <t>Building Value Proposition</t>
        </is>
      </c>
      <c r="Q188" t="n">
        <v>0.25</v>
      </c>
      <c r="R188" t="n">
        <v>1000</v>
      </c>
      <c r="T188" s="9">
        <f>IFERROR(INDEX($A188:$R188,MATCH("Status",$A$1:$R$1,0)),"")&amp;""</f>
        <v/>
      </c>
      <c r="U188" s="52">
        <f>IFERROR(N(IFERROR(INDEX($A188:$R188,MATCH("Value Ex GST",$A$1:$R$1,0)),"")),0)</f>
        <v/>
      </c>
      <c r="V188" s="54">
        <f>IF(AND(T188&lt;&gt;"",IFERROR(INDEX($A188:$R188,MATCH("Value Ex GST",$A$1:$R$1,0)),"")&amp;""&lt;&gt;""),1,0)</f>
        <v/>
      </c>
      <c r="W188" s="56">
        <f>IFERROR(N(IFERROR(INDEX($A188:$R188,MATCH("Probability",$A$1:$R$1,0)),"")),0)</f>
        <v/>
      </c>
      <c r="X188" s="52">
        <f>IF(T188="Open",U188*W188,0)</f>
        <v/>
      </c>
      <c r="Y188" s="52">
        <f>IF(T188="Won",IFERROR(N(IFERROR(INDEX($A188:$R188,MATCH("Still to Invoice",$A$1:$R$1,0)),"")),0),0)</f>
        <v/>
      </c>
      <c r="Z188" s="55">
        <f>IFERROR(EOMONTH(IFERROR(INDEX($A188:$R188,MATCH("Expected Invoice Month",$A$1:$R$1,0)),""),0),"")</f>
        <v/>
      </c>
      <c r="AA188" s="9">
        <f>IFERROR(INDEX($A188:$R188,MATCH("Cost Centre",$A$1:$R$1,0)),"")&amp;""</f>
        <v/>
      </c>
      <c r="AB188" s="9">
        <f>IFERROR(INDEX($A188:$R188,MATCH("Pipeline Stage",$A$1:$R$1,0)),"")&amp;""</f>
        <v/>
      </c>
      <c r="AC188" s="9">
        <f>IFERROR(INDEX($A188:$R188,MATCH("Client",$A$1:$R$1,0)),"")&amp;""</f>
        <v/>
      </c>
      <c r="AD188" s="9">
        <f>IFERROR(INDEX($A188:$R188,MATCH("Description",$A$1:$R$1,0)),"")&amp;""</f>
        <v/>
      </c>
      <c r="AE188" s="9">
        <f>IFERROR(INDEX($A188:$R188,MATCH("Job Number",$A$1:$R$1,0)),"")&amp;""</f>
        <v/>
      </c>
      <c r="AF188" s="54">
        <f>IF(AND(T188="Open",ISNUMBER(Z188),Z188&lt;EOMONTH(set_AsAt,-1)+1),3,0)</f>
        <v/>
      </c>
      <c r="AG188" s="54">
        <f>IF(AND(T188="Open",U188&gt;0,U188&gt;=set_DealShare*SUMIFS($U$2:$U$601,$T$2:$T$601,"Open")),3,0)</f>
        <v/>
      </c>
      <c r="AH188" s="54">
        <f>IF(AND(T188="Open",U188&gt;=set_BigValue,W188&lt;=set_EarlyProb),2,0)</f>
        <v/>
      </c>
      <c r="AI188" s="54">
        <f>IF(AND(OR(T188="Open",T188="Won"),V188=0),2,0)</f>
        <v/>
      </c>
      <c r="AJ188" s="54">
        <f>IF(AND(T188="Won",Y188&gt;0.5,ISNUMBER(Z188),Z188&lt;EOMONTH(set_AsAt,-1)+1),3,0)</f>
        <v/>
      </c>
      <c r="AK188" s="54">
        <f>IF(AND(T188="Won",Y188&lt;-1),1,0)</f>
        <v/>
      </c>
      <c r="AL188" s="54">
        <f>SUM(AF188:AK188)</f>
        <v/>
      </c>
      <c r="AM188" s="9">
        <f>IF(AL188&gt;=set_ScoreHigh,"High",IF(AL188&gt;=set_ScoreMed,"Medium",IF(AL188&gt;0,"Low","OK")))</f>
        <v/>
      </c>
      <c r="AN188" s="54">
        <f>IF(OR(T188="Open",AND(T188="Won",ABS(Y188)&gt;0.5)),1,0)</f>
        <v/>
      </c>
      <c r="AO188" s="52">
        <f>IF(T188="Open",IF(V188=0,0,X188),IF(T188="Won",MAX(0,Y188),0))</f>
        <v/>
      </c>
      <c r="AP188" s="54">
        <f>IF(AN188=1,AL188*1E+9+U188+ROW()/1E+6,"")</f>
        <v/>
      </c>
      <c r="AQ188" s="9">
        <f>MID(IF(AF188&gt;0,"; Expected month passed - update Zoho","")&amp;IF(AG188&gt;0,"; "&amp;TEXT(U188/MAX(1,SUMIFS($U$2:$U$601,$T$2:$T$601,"Open")),"0%")&amp;" of open pipeline in one deal","")&amp;IF(AH188&gt;0,"; Large deal at an early stage","")&amp;IF(AI188&gt;0,"; No amount in Zoho","")&amp;IF(AJ188&gt;0,"; Won, invoice month passed, not fully invoiced","")&amp;IF(AK188&gt;0,"; Xero invoiced more than the deal value",""),3,300)</f>
        <v/>
      </c>
    </row>
    <row r="189">
      <c r="A189" s="51" t="n">
        <v>46295</v>
      </c>
      <c r="B189" t="inlineStr">
        <is>
          <t>ZOHO</t>
        </is>
      </c>
      <c r="C189" t="inlineStr">
        <is>
          <t>26091701</t>
        </is>
      </c>
      <c r="D189" t="inlineStr">
        <is>
          <t>PWC</t>
        </is>
      </c>
      <c r="E189" t="inlineStr">
        <is>
          <t>26091701</t>
        </is>
      </c>
      <c r="G189" t="inlineStr">
        <is>
          <t>INTEGRATION</t>
        </is>
      </c>
      <c r="H189" t="inlineStr">
        <is>
          <t>PwC | Parra Display Replacement - 26091701</t>
        </is>
      </c>
      <c r="I189" t="n">
        <v>8856</v>
      </c>
      <c r="J189" t="inlineStr">
        <is>
          <t>Open</t>
        </is>
      </c>
      <c r="L189" s="51" t="n">
        <v>46295</v>
      </c>
      <c r="M189" t="n">
        <v>0</v>
      </c>
      <c r="P189" t="inlineStr">
        <is>
          <t>Building Value Proposition</t>
        </is>
      </c>
      <c r="Q189" t="n">
        <v>0.25</v>
      </c>
      <c r="R189" t="n">
        <v>2214</v>
      </c>
      <c r="T189" s="9">
        <f>IFERROR(INDEX($A189:$R189,MATCH("Status",$A$1:$R$1,0)),"")&amp;""</f>
        <v/>
      </c>
      <c r="U189" s="52">
        <f>IFERROR(N(IFERROR(INDEX($A189:$R189,MATCH("Value Ex GST",$A$1:$R$1,0)),"")),0)</f>
        <v/>
      </c>
      <c r="V189" s="54">
        <f>IF(AND(T189&lt;&gt;"",IFERROR(INDEX($A189:$R189,MATCH("Value Ex GST",$A$1:$R$1,0)),"")&amp;""&lt;&gt;""),1,0)</f>
        <v/>
      </c>
      <c r="W189" s="56">
        <f>IFERROR(N(IFERROR(INDEX($A189:$R189,MATCH("Probability",$A$1:$R$1,0)),"")),0)</f>
        <v/>
      </c>
      <c r="X189" s="52">
        <f>IF(T189="Open",U189*W189,0)</f>
        <v/>
      </c>
      <c r="Y189" s="52">
        <f>IF(T189="Won",IFERROR(N(IFERROR(INDEX($A189:$R189,MATCH("Still to Invoice",$A$1:$R$1,0)),"")),0),0)</f>
        <v/>
      </c>
      <c r="Z189" s="55">
        <f>IFERROR(EOMONTH(IFERROR(INDEX($A189:$R189,MATCH("Expected Invoice Month",$A$1:$R$1,0)),""),0),"")</f>
        <v/>
      </c>
      <c r="AA189" s="9">
        <f>IFERROR(INDEX($A189:$R189,MATCH("Cost Centre",$A$1:$R$1,0)),"")&amp;""</f>
        <v/>
      </c>
      <c r="AB189" s="9">
        <f>IFERROR(INDEX($A189:$R189,MATCH("Pipeline Stage",$A$1:$R$1,0)),"")&amp;""</f>
        <v/>
      </c>
      <c r="AC189" s="9">
        <f>IFERROR(INDEX($A189:$R189,MATCH("Client",$A$1:$R$1,0)),"")&amp;""</f>
        <v/>
      </c>
      <c r="AD189" s="9">
        <f>IFERROR(INDEX($A189:$R189,MATCH("Description",$A$1:$R$1,0)),"")&amp;""</f>
        <v/>
      </c>
      <c r="AE189" s="9">
        <f>IFERROR(INDEX($A189:$R189,MATCH("Job Number",$A$1:$R$1,0)),"")&amp;""</f>
        <v/>
      </c>
      <c r="AF189" s="54">
        <f>IF(AND(T189="Open",ISNUMBER(Z189),Z189&lt;EOMONTH(set_AsAt,-1)+1),3,0)</f>
        <v/>
      </c>
      <c r="AG189" s="54">
        <f>IF(AND(T189="Open",U189&gt;0,U189&gt;=set_DealShare*SUMIFS($U$2:$U$601,$T$2:$T$601,"Open")),3,0)</f>
        <v/>
      </c>
      <c r="AH189" s="54">
        <f>IF(AND(T189="Open",U189&gt;=set_BigValue,W189&lt;=set_EarlyProb),2,0)</f>
        <v/>
      </c>
      <c r="AI189" s="54">
        <f>IF(AND(OR(T189="Open",T189="Won"),V189=0),2,0)</f>
        <v/>
      </c>
      <c r="AJ189" s="54">
        <f>IF(AND(T189="Won",Y189&gt;0.5,ISNUMBER(Z189),Z189&lt;EOMONTH(set_AsAt,-1)+1),3,0)</f>
        <v/>
      </c>
      <c r="AK189" s="54">
        <f>IF(AND(T189="Won",Y189&lt;-1),1,0)</f>
        <v/>
      </c>
      <c r="AL189" s="54">
        <f>SUM(AF189:AK189)</f>
        <v/>
      </c>
      <c r="AM189" s="9">
        <f>IF(AL189&gt;=set_ScoreHigh,"High",IF(AL189&gt;=set_ScoreMed,"Medium",IF(AL189&gt;0,"Low","OK")))</f>
        <v/>
      </c>
      <c r="AN189" s="54">
        <f>IF(OR(T189="Open",AND(T189="Won",ABS(Y189)&gt;0.5)),1,0)</f>
        <v/>
      </c>
      <c r="AO189" s="52">
        <f>IF(T189="Open",IF(V189=0,0,X189),IF(T189="Won",MAX(0,Y189),0))</f>
        <v/>
      </c>
      <c r="AP189" s="54">
        <f>IF(AN189=1,AL189*1E+9+U189+ROW()/1E+6,"")</f>
        <v/>
      </c>
      <c r="AQ189" s="9">
        <f>MID(IF(AF189&gt;0,"; Expected month passed - update Zoho","")&amp;IF(AG189&gt;0,"; "&amp;TEXT(U189/MAX(1,SUMIFS($U$2:$U$601,$T$2:$T$601,"Open")),"0%")&amp;" of open pipeline in one deal","")&amp;IF(AH189&gt;0,"; Large deal at an early stage","")&amp;IF(AI189&gt;0,"; No amount in Zoho","")&amp;IF(AJ189&gt;0,"; Won, invoice month passed, not fully invoiced","")&amp;IF(AK189&gt;0,"; Xero invoiced more than the deal value",""),3,300)</f>
        <v/>
      </c>
    </row>
    <row r="190">
      <c r="A190" s="51" t="n">
        <v>46173</v>
      </c>
      <c r="B190" t="inlineStr">
        <is>
          <t>ZOHO</t>
        </is>
      </c>
      <c r="C190" t="inlineStr">
        <is>
          <t>2604101</t>
        </is>
      </c>
      <c r="D190" t="inlineStr">
        <is>
          <t>Department of Agriculture, Fisheries and Forestry (DAFF)</t>
        </is>
      </c>
      <c r="E190" t="inlineStr">
        <is>
          <t>2604101</t>
        </is>
      </c>
      <c r="H190" t="inlineStr">
        <is>
          <t>AV &amp; VC Platform Services and Support - 2604101</t>
        </is>
      </c>
      <c r="J190" t="inlineStr">
        <is>
          <t>Open</t>
        </is>
      </c>
      <c r="L190" s="51" t="n">
        <v>46173</v>
      </c>
      <c r="M190" t="n">
        <v>0</v>
      </c>
      <c r="O190" t="inlineStr">
        <is>
          <t>Multi-Service - set the cost centre on Won Overrides; No amount in Zoho; Closing date has passed - update Zoho</t>
        </is>
      </c>
      <c r="P190" t="inlineStr">
        <is>
          <t>Building Value Proposition</t>
        </is>
      </c>
      <c r="Q190" t="n">
        <v>0.25</v>
      </c>
      <c r="R190" t="n">
        <v>0</v>
      </c>
      <c r="T190" s="9">
        <f>IFERROR(INDEX($A190:$R190,MATCH("Status",$A$1:$R$1,0)),"")&amp;""</f>
        <v/>
      </c>
      <c r="U190" s="52">
        <f>IFERROR(N(IFERROR(INDEX($A190:$R190,MATCH("Value Ex GST",$A$1:$R$1,0)),"")),0)</f>
        <v/>
      </c>
      <c r="V190" s="54">
        <f>IF(AND(T190&lt;&gt;"",IFERROR(INDEX($A190:$R190,MATCH("Value Ex GST",$A$1:$R$1,0)),"")&amp;""&lt;&gt;""),1,0)</f>
        <v/>
      </c>
      <c r="W190" s="56">
        <f>IFERROR(N(IFERROR(INDEX($A190:$R190,MATCH("Probability",$A$1:$R$1,0)),"")),0)</f>
        <v/>
      </c>
      <c r="X190" s="52">
        <f>IF(T190="Open",U190*W190,0)</f>
        <v/>
      </c>
      <c r="Y190" s="52">
        <f>IF(T190="Won",IFERROR(N(IFERROR(INDEX($A190:$R190,MATCH("Still to Invoice",$A$1:$R$1,0)),"")),0),0)</f>
        <v/>
      </c>
      <c r="Z190" s="55">
        <f>IFERROR(EOMONTH(IFERROR(INDEX($A190:$R190,MATCH("Expected Invoice Month",$A$1:$R$1,0)),""),0),"")</f>
        <v/>
      </c>
      <c r="AA190" s="9">
        <f>IFERROR(INDEX($A190:$R190,MATCH("Cost Centre",$A$1:$R$1,0)),"")&amp;""</f>
        <v/>
      </c>
      <c r="AB190" s="9">
        <f>IFERROR(INDEX($A190:$R190,MATCH("Pipeline Stage",$A$1:$R$1,0)),"")&amp;""</f>
        <v/>
      </c>
      <c r="AC190" s="9">
        <f>IFERROR(INDEX($A190:$R190,MATCH("Client",$A$1:$R$1,0)),"")&amp;""</f>
        <v/>
      </c>
      <c r="AD190" s="9">
        <f>IFERROR(INDEX($A190:$R190,MATCH("Description",$A$1:$R$1,0)),"")&amp;""</f>
        <v/>
      </c>
      <c r="AE190" s="9">
        <f>IFERROR(INDEX($A190:$R190,MATCH("Job Number",$A$1:$R$1,0)),"")&amp;""</f>
        <v/>
      </c>
      <c r="AF190" s="54">
        <f>IF(AND(T190="Open",ISNUMBER(Z190),Z190&lt;EOMONTH(set_AsAt,-1)+1),3,0)</f>
        <v/>
      </c>
      <c r="AG190" s="54">
        <f>IF(AND(T190="Open",U190&gt;0,U190&gt;=set_DealShare*SUMIFS($U$2:$U$601,$T$2:$T$601,"Open")),3,0)</f>
        <v/>
      </c>
      <c r="AH190" s="54">
        <f>IF(AND(T190="Open",U190&gt;=set_BigValue,W190&lt;=set_EarlyProb),2,0)</f>
        <v/>
      </c>
      <c r="AI190" s="54">
        <f>IF(AND(OR(T190="Open",T190="Won"),V190=0),2,0)</f>
        <v/>
      </c>
      <c r="AJ190" s="54">
        <f>IF(AND(T190="Won",Y190&gt;0.5,ISNUMBER(Z190),Z190&lt;EOMONTH(set_AsAt,-1)+1),3,0)</f>
        <v/>
      </c>
      <c r="AK190" s="54">
        <f>IF(AND(T190="Won",Y190&lt;-1),1,0)</f>
        <v/>
      </c>
      <c r="AL190" s="54">
        <f>SUM(AF190:AK190)</f>
        <v/>
      </c>
      <c r="AM190" s="9">
        <f>IF(AL190&gt;=set_ScoreHigh,"High",IF(AL190&gt;=set_ScoreMed,"Medium",IF(AL190&gt;0,"Low","OK")))</f>
        <v/>
      </c>
      <c r="AN190" s="54">
        <f>IF(OR(T190="Open",AND(T190="Won",ABS(Y190)&gt;0.5)),1,0)</f>
        <v/>
      </c>
      <c r="AO190" s="52">
        <f>IF(T190="Open",IF(V190=0,0,X190),IF(T190="Won",MAX(0,Y190),0))</f>
        <v/>
      </c>
      <c r="AP190" s="54">
        <f>IF(AN190=1,AL190*1E+9+U190+ROW()/1E+6,"")</f>
        <v/>
      </c>
      <c r="AQ190" s="9">
        <f>MID(IF(AF190&gt;0,"; Expected month passed - update Zoho","")&amp;IF(AG190&gt;0,"; "&amp;TEXT(U190/MAX(1,SUMIFS($U$2:$U$601,$T$2:$T$601,"Open")),"0%")&amp;" of open pipeline in one deal","")&amp;IF(AH190&gt;0,"; Large deal at an early stage","")&amp;IF(AI190&gt;0,"; No amount in Zoho","")&amp;IF(AJ190&gt;0,"; Won, invoice month passed, not fully invoiced","")&amp;IF(AK190&gt;0,"; Xero invoiced more than the deal value",""),3,300)</f>
        <v/>
      </c>
    </row>
    <row r="191">
      <c r="A191" s="51" t="n">
        <v>46356</v>
      </c>
      <c r="B191" t="inlineStr">
        <is>
          <t>ZOHO</t>
        </is>
      </c>
      <c r="C191" t="inlineStr">
        <is>
          <t>2608106</t>
        </is>
      </c>
      <c r="D191" t="inlineStr">
        <is>
          <t>ASX Australian Securities Exchange</t>
        </is>
      </c>
      <c r="E191" t="inlineStr">
        <is>
          <t>2608106</t>
        </is>
      </c>
      <c r="G191" t="inlineStr">
        <is>
          <t>PRODUCTION</t>
        </is>
      </c>
      <c r="H191" t="inlineStr">
        <is>
          <t>ASX - Investor Day - 14.11.26</t>
        </is>
      </c>
      <c r="J191" t="inlineStr">
        <is>
          <t>Open</t>
        </is>
      </c>
      <c r="L191" s="51" t="n">
        <v>46356</v>
      </c>
      <c r="M191" t="n">
        <v>0</v>
      </c>
      <c r="O191" t="inlineStr">
        <is>
          <t>No amount in Zoho</t>
        </is>
      </c>
      <c r="P191" t="inlineStr">
        <is>
          <t>Building Value Proposition</t>
        </is>
      </c>
      <c r="Q191" t="n">
        <v>0.25</v>
      </c>
      <c r="R191" t="n">
        <v>0</v>
      </c>
      <c r="T191" s="9">
        <f>IFERROR(INDEX($A191:$R191,MATCH("Status",$A$1:$R$1,0)),"")&amp;""</f>
        <v/>
      </c>
      <c r="U191" s="52">
        <f>IFERROR(N(IFERROR(INDEX($A191:$R191,MATCH("Value Ex GST",$A$1:$R$1,0)),"")),0)</f>
        <v/>
      </c>
      <c r="V191" s="54">
        <f>IF(AND(T191&lt;&gt;"",IFERROR(INDEX($A191:$R191,MATCH("Value Ex GST",$A$1:$R$1,0)),"")&amp;""&lt;&gt;""),1,0)</f>
        <v/>
      </c>
      <c r="W191" s="56">
        <f>IFERROR(N(IFERROR(INDEX($A191:$R191,MATCH("Probability",$A$1:$R$1,0)),"")),0)</f>
        <v/>
      </c>
      <c r="X191" s="52">
        <f>IF(T191="Open",U191*W191,0)</f>
        <v/>
      </c>
      <c r="Y191" s="52">
        <f>IF(T191="Won",IFERROR(N(IFERROR(INDEX($A191:$R191,MATCH("Still to Invoice",$A$1:$R$1,0)),"")),0),0)</f>
        <v/>
      </c>
      <c r="Z191" s="55">
        <f>IFERROR(EOMONTH(IFERROR(INDEX($A191:$R191,MATCH("Expected Invoice Month",$A$1:$R$1,0)),""),0),"")</f>
        <v/>
      </c>
      <c r="AA191" s="9">
        <f>IFERROR(INDEX($A191:$R191,MATCH("Cost Centre",$A$1:$R$1,0)),"")&amp;""</f>
        <v/>
      </c>
      <c r="AB191" s="9">
        <f>IFERROR(INDEX($A191:$R191,MATCH("Pipeline Stage",$A$1:$R$1,0)),"")&amp;""</f>
        <v/>
      </c>
      <c r="AC191" s="9">
        <f>IFERROR(INDEX($A191:$R191,MATCH("Client",$A$1:$R$1,0)),"")&amp;""</f>
        <v/>
      </c>
      <c r="AD191" s="9">
        <f>IFERROR(INDEX($A191:$R191,MATCH("Description",$A$1:$R$1,0)),"")&amp;""</f>
        <v/>
      </c>
      <c r="AE191" s="9">
        <f>IFERROR(INDEX($A191:$R191,MATCH("Job Number",$A$1:$R$1,0)),"")&amp;""</f>
        <v/>
      </c>
      <c r="AF191" s="54">
        <f>IF(AND(T191="Open",ISNUMBER(Z191),Z191&lt;EOMONTH(set_AsAt,-1)+1),3,0)</f>
        <v/>
      </c>
      <c r="AG191" s="54">
        <f>IF(AND(T191="Open",U191&gt;0,U191&gt;=set_DealShare*SUMIFS($U$2:$U$601,$T$2:$T$601,"Open")),3,0)</f>
        <v/>
      </c>
      <c r="AH191" s="54">
        <f>IF(AND(T191="Open",U191&gt;=set_BigValue,W191&lt;=set_EarlyProb),2,0)</f>
        <v/>
      </c>
      <c r="AI191" s="54">
        <f>IF(AND(OR(T191="Open",T191="Won"),V191=0),2,0)</f>
        <v/>
      </c>
      <c r="AJ191" s="54">
        <f>IF(AND(T191="Won",Y191&gt;0.5,ISNUMBER(Z191),Z191&lt;EOMONTH(set_AsAt,-1)+1),3,0)</f>
        <v/>
      </c>
      <c r="AK191" s="54">
        <f>IF(AND(T191="Won",Y191&lt;-1),1,0)</f>
        <v/>
      </c>
      <c r="AL191" s="54">
        <f>SUM(AF191:AK191)</f>
        <v/>
      </c>
      <c r="AM191" s="9">
        <f>IF(AL191&gt;=set_ScoreHigh,"High",IF(AL191&gt;=set_ScoreMed,"Medium",IF(AL191&gt;0,"Low","OK")))</f>
        <v/>
      </c>
      <c r="AN191" s="54">
        <f>IF(OR(T191="Open",AND(T191="Won",ABS(Y191)&gt;0.5)),1,0)</f>
        <v/>
      </c>
      <c r="AO191" s="52">
        <f>IF(T191="Open",IF(V191=0,0,X191),IF(T191="Won",MAX(0,Y191),0))</f>
        <v/>
      </c>
      <c r="AP191" s="54">
        <f>IF(AN191=1,AL191*1E+9+U191+ROW()/1E+6,"")</f>
        <v/>
      </c>
      <c r="AQ191" s="9">
        <f>MID(IF(AF191&gt;0,"; Expected month passed - update Zoho","")&amp;IF(AG191&gt;0,"; "&amp;TEXT(U191/MAX(1,SUMIFS($U$2:$U$601,$T$2:$T$601,"Open")),"0%")&amp;" of open pipeline in one deal","")&amp;IF(AH191&gt;0,"; Large deal at an early stage","")&amp;IF(AI191&gt;0,"; No amount in Zoho","")&amp;IF(AJ191&gt;0,"; Won, invoice month passed, not fully invoiced","")&amp;IF(AK191&gt;0,"; Xero invoiced more than the deal value",""),3,300)</f>
        <v/>
      </c>
    </row>
    <row r="192">
      <c r="A192" s="51" t="n">
        <v>46326</v>
      </c>
      <c r="B192" t="inlineStr">
        <is>
          <t>ZOHO</t>
        </is>
      </c>
      <c r="C192" t="inlineStr">
        <is>
          <t>2603106</t>
        </is>
      </c>
      <c r="D192" t="inlineStr">
        <is>
          <t>Cochlear</t>
        </is>
      </c>
      <c r="E192" t="inlineStr">
        <is>
          <t>2603106</t>
        </is>
      </c>
      <c r="G192" t="inlineStr">
        <is>
          <t>PRODUCTION</t>
        </is>
      </c>
      <c r="H192" t="inlineStr">
        <is>
          <t>Cochlear - Capital Markets Day - 13.11.26</t>
        </is>
      </c>
      <c r="I192" t="n">
        <v>24000</v>
      </c>
      <c r="J192" t="inlineStr">
        <is>
          <t>Open</t>
        </is>
      </c>
      <c r="L192" s="51" t="n">
        <v>46356</v>
      </c>
      <c r="M192" t="n">
        <v>0</v>
      </c>
      <c r="O192" t="inlineStr">
        <is>
          <t>Invoice month taken from the event date in the deal name</t>
        </is>
      </c>
      <c r="P192" t="inlineStr">
        <is>
          <t>Building Value Proposition</t>
        </is>
      </c>
      <c r="Q192" t="n">
        <v>0.25</v>
      </c>
      <c r="R192" t="n">
        <v>6000</v>
      </c>
      <c r="T192" s="9">
        <f>IFERROR(INDEX($A192:$R192,MATCH("Status",$A$1:$R$1,0)),"")&amp;""</f>
        <v/>
      </c>
      <c r="U192" s="52">
        <f>IFERROR(N(IFERROR(INDEX($A192:$R192,MATCH("Value Ex GST",$A$1:$R$1,0)),"")),0)</f>
        <v/>
      </c>
      <c r="V192" s="54">
        <f>IF(AND(T192&lt;&gt;"",IFERROR(INDEX($A192:$R192,MATCH("Value Ex GST",$A$1:$R$1,0)),"")&amp;""&lt;&gt;""),1,0)</f>
        <v/>
      </c>
      <c r="W192" s="56">
        <f>IFERROR(N(IFERROR(INDEX($A192:$R192,MATCH("Probability",$A$1:$R$1,0)),"")),0)</f>
        <v/>
      </c>
      <c r="X192" s="52">
        <f>IF(T192="Open",U192*W192,0)</f>
        <v/>
      </c>
      <c r="Y192" s="52">
        <f>IF(T192="Won",IFERROR(N(IFERROR(INDEX($A192:$R192,MATCH("Still to Invoice",$A$1:$R$1,0)),"")),0),0)</f>
        <v/>
      </c>
      <c r="Z192" s="55">
        <f>IFERROR(EOMONTH(IFERROR(INDEX($A192:$R192,MATCH("Expected Invoice Month",$A$1:$R$1,0)),""),0),"")</f>
        <v/>
      </c>
      <c r="AA192" s="9">
        <f>IFERROR(INDEX($A192:$R192,MATCH("Cost Centre",$A$1:$R$1,0)),"")&amp;""</f>
        <v/>
      </c>
      <c r="AB192" s="9">
        <f>IFERROR(INDEX($A192:$R192,MATCH("Pipeline Stage",$A$1:$R$1,0)),"")&amp;""</f>
        <v/>
      </c>
      <c r="AC192" s="9">
        <f>IFERROR(INDEX($A192:$R192,MATCH("Client",$A$1:$R$1,0)),"")&amp;""</f>
        <v/>
      </c>
      <c r="AD192" s="9">
        <f>IFERROR(INDEX($A192:$R192,MATCH("Description",$A$1:$R$1,0)),"")&amp;""</f>
        <v/>
      </c>
      <c r="AE192" s="9">
        <f>IFERROR(INDEX($A192:$R192,MATCH("Job Number",$A$1:$R$1,0)),"")&amp;""</f>
        <v/>
      </c>
      <c r="AF192" s="54">
        <f>IF(AND(T192="Open",ISNUMBER(Z192),Z192&lt;EOMONTH(set_AsAt,-1)+1),3,0)</f>
        <v/>
      </c>
      <c r="AG192" s="54">
        <f>IF(AND(T192="Open",U192&gt;0,U192&gt;=set_DealShare*SUMIFS($U$2:$U$601,$T$2:$T$601,"Open")),3,0)</f>
        <v/>
      </c>
      <c r="AH192" s="54">
        <f>IF(AND(T192="Open",U192&gt;=set_BigValue,W192&lt;=set_EarlyProb),2,0)</f>
        <v/>
      </c>
      <c r="AI192" s="54">
        <f>IF(AND(OR(T192="Open",T192="Won"),V192=0),2,0)</f>
        <v/>
      </c>
      <c r="AJ192" s="54">
        <f>IF(AND(T192="Won",Y192&gt;0.5,ISNUMBER(Z192),Z192&lt;EOMONTH(set_AsAt,-1)+1),3,0)</f>
        <v/>
      </c>
      <c r="AK192" s="54">
        <f>IF(AND(T192="Won",Y192&lt;-1),1,0)</f>
        <v/>
      </c>
      <c r="AL192" s="54">
        <f>SUM(AF192:AK192)</f>
        <v/>
      </c>
      <c r="AM192" s="9">
        <f>IF(AL192&gt;=set_ScoreHigh,"High",IF(AL192&gt;=set_ScoreMed,"Medium",IF(AL192&gt;0,"Low","OK")))</f>
        <v/>
      </c>
      <c r="AN192" s="54">
        <f>IF(OR(T192="Open",AND(T192="Won",ABS(Y192)&gt;0.5)),1,0)</f>
        <v/>
      </c>
      <c r="AO192" s="52">
        <f>IF(T192="Open",IF(V192=0,0,X192),IF(T192="Won",MAX(0,Y192),0))</f>
        <v/>
      </c>
      <c r="AP192" s="54">
        <f>IF(AN192=1,AL192*1E+9+U192+ROW()/1E+6,"")</f>
        <v/>
      </c>
      <c r="AQ192" s="9">
        <f>MID(IF(AF192&gt;0,"; Expected month passed - update Zoho","")&amp;IF(AG192&gt;0,"; "&amp;TEXT(U192/MAX(1,SUMIFS($U$2:$U$601,$T$2:$T$601,"Open")),"0%")&amp;" of open pipeline in one deal","")&amp;IF(AH192&gt;0,"; Large deal at an early stage","")&amp;IF(AI192&gt;0,"; No amount in Zoho","")&amp;IF(AJ192&gt;0,"; Won, invoice month passed, not fully invoiced","")&amp;IF(AK192&gt;0,"; Xero invoiced more than the deal value",""),3,300)</f>
        <v/>
      </c>
    </row>
    <row r="193">
      <c r="A193" s="51" t="n">
        <v>46356</v>
      </c>
      <c r="B193" t="inlineStr">
        <is>
          <t>ZOHO</t>
        </is>
      </c>
      <c r="C193" t="inlineStr">
        <is>
          <t>2608107</t>
        </is>
      </c>
      <c r="D193" t="inlineStr">
        <is>
          <t>ASX Australian Securities Exchange</t>
        </is>
      </c>
      <c r="E193" t="inlineStr">
        <is>
          <t>2608107</t>
        </is>
      </c>
      <c r="G193" t="inlineStr">
        <is>
          <t>PRODUCTION</t>
        </is>
      </c>
      <c r="H193" t="inlineStr">
        <is>
          <t>ASX - Investor Day - 21.11.26</t>
        </is>
      </c>
      <c r="J193" t="inlineStr">
        <is>
          <t>Open</t>
        </is>
      </c>
      <c r="L193" s="51" t="n">
        <v>46356</v>
      </c>
      <c r="M193" t="n">
        <v>0</v>
      </c>
      <c r="O193" t="inlineStr">
        <is>
          <t>No amount in Zoho</t>
        </is>
      </c>
      <c r="P193" t="inlineStr">
        <is>
          <t>Building Value Proposition</t>
        </is>
      </c>
      <c r="Q193" t="n">
        <v>0.25</v>
      </c>
      <c r="R193" t="n">
        <v>0</v>
      </c>
      <c r="T193" s="9">
        <f>IFERROR(INDEX($A193:$R193,MATCH("Status",$A$1:$R$1,0)),"")&amp;""</f>
        <v/>
      </c>
      <c r="U193" s="52">
        <f>IFERROR(N(IFERROR(INDEX($A193:$R193,MATCH("Value Ex GST",$A$1:$R$1,0)),"")),0)</f>
        <v/>
      </c>
      <c r="V193" s="54">
        <f>IF(AND(T193&lt;&gt;"",IFERROR(INDEX($A193:$R193,MATCH("Value Ex GST",$A$1:$R$1,0)),"")&amp;""&lt;&gt;""),1,0)</f>
        <v/>
      </c>
      <c r="W193" s="56">
        <f>IFERROR(N(IFERROR(INDEX($A193:$R193,MATCH("Probability",$A$1:$R$1,0)),"")),0)</f>
        <v/>
      </c>
      <c r="X193" s="52">
        <f>IF(T193="Open",U193*W193,0)</f>
        <v/>
      </c>
      <c r="Y193" s="52">
        <f>IF(T193="Won",IFERROR(N(IFERROR(INDEX($A193:$R193,MATCH("Still to Invoice",$A$1:$R$1,0)),"")),0),0)</f>
        <v/>
      </c>
      <c r="Z193" s="55">
        <f>IFERROR(EOMONTH(IFERROR(INDEX($A193:$R193,MATCH("Expected Invoice Month",$A$1:$R$1,0)),""),0),"")</f>
        <v/>
      </c>
      <c r="AA193" s="9">
        <f>IFERROR(INDEX($A193:$R193,MATCH("Cost Centre",$A$1:$R$1,0)),"")&amp;""</f>
        <v/>
      </c>
      <c r="AB193" s="9">
        <f>IFERROR(INDEX($A193:$R193,MATCH("Pipeline Stage",$A$1:$R$1,0)),"")&amp;""</f>
        <v/>
      </c>
      <c r="AC193" s="9">
        <f>IFERROR(INDEX($A193:$R193,MATCH("Client",$A$1:$R$1,0)),"")&amp;""</f>
        <v/>
      </c>
      <c r="AD193" s="9">
        <f>IFERROR(INDEX($A193:$R193,MATCH("Description",$A$1:$R$1,0)),"")&amp;""</f>
        <v/>
      </c>
      <c r="AE193" s="9">
        <f>IFERROR(INDEX($A193:$R193,MATCH("Job Number",$A$1:$R$1,0)),"")&amp;""</f>
        <v/>
      </c>
      <c r="AF193" s="54">
        <f>IF(AND(T193="Open",ISNUMBER(Z193),Z193&lt;EOMONTH(set_AsAt,-1)+1),3,0)</f>
        <v/>
      </c>
      <c r="AG193" s="54">
        <f>IF(AND(T193="Open",U193&gt;0,U193&gt;=set_DealShare*SUMIFS($U$2:$U$601,$T$2:$T$601,"Open")),3,0)</f>
        <v/>
      </c>
      <c r="AH193" s="54">
        <f>IF(AND(T193="Open",U193&gt;=set_BigValue,W193&lt;=set_EarlyProb),2,0)</f>
        <v/>
      </c>
      <c r="AI193" s="54">
        <f>IF(AND(OR(T193="Open",T193="Won"),V193=0),2,0)</f>
        <v/>
      </c>
      <c r="AJ193" s="54">
        <f>IF(AND(T193="Won",Y193&gt;0.5,ISNUMBER(Z193),Z193&lt;EOMONTH(set_AsAt,-1)+1),3,0)</f>
        <v/>
      </c>
      <c r="AK193" s="54">
        <f>IF(AND(T193="Won",Y193&lt;-1),1,0)</f>
        <v/>
      </c>
      <c r="AL193" s="54">
        <f>SUM(AF193:AK193)</f>
        <v/>
      </c>
      <c r="AM193" s="9">
        <f>IF(AL193&gt;=set_ScoreHigh,"High",IF(AL193&gt;=set_ScoreMed,"Medium",IF(AL193&gt;0,"Low","OK")))</f>
        <v/>
      </c>
      <c r="AN193" s="54">
        <f>IF(OR(T193="Open",AND(T193="Won",ABS(Y193)&gt;0.5)),1,0)</f>
        <v/>
      </c>
      <c r="AO193" s="52">
        <f>IF(T193="Open",IF(V193=0,0,X193),IF(T193="Won",MAX(0,Y193),0))</f>
        <v/>
      </c>
      <c r="AP193" s="54">
        <f>IF(AN193=1,AL193*1E+9+U193+ROW()/1E+6,"")</f>
        <v/>
      </c>
      <c r="AQ193" s="9">
        <f>MID(IF(AF193&gt;0,"; Expected month passed - update Zoho","")&amp;IF(AG193&gt;0,"; "&amp;TEXT(U193/MAX(1,SUMIFS($U$2:$U$601,$T$2:$T$601,"Open")),"0%")&amp;" of open pipeline in one deal","")&amp;IF(AH193&gt;0,"; Large deal at an early stage","")&amp;IF(AI193&gt;0,"; No amount in Zoho","")&amp;IF(AJ193&gt;0,"; Won, invoice month passed, not fully invoiced","")&amp;IF(AK193&gt;0,"; Xero invoiced more than the deal value",""),3,300)</f>
        <v/>
      </c>
    </row>
    <row r="194">
      <c r="A194" s="51" t="n">
        <v>46295</v>
      </c>
      <c r="B194" t="inlineStr">
        <is>
          <t>ZOHO</t>
        </is>
      </c>
      <c r="C194" t="inlineStr">
        <is>
          <t>26091501</t>
        </is>
      </c>
      <c r="D194" t="inlineStr">
        <is>
          <t>Novigi</t>
        </is>
      </c>
      <c r="E194" t="inlineStr">
        <is>
          <t>26091501</t>
        </is>
      </c>
      <c r="G194" t="inlineStr">
        <is>
          <t>ONSITE</t>
        </is>
      </c>
      <c r="H194" t="inlineStr">
        <is>
          <t>Novigi | Dharawal Maintenance - 26091501</t>
        </is>
      </c>
      <c r="J194" t="inlineStr">
        <is>
          <t>Open</t>
        </is>
      </c>
      <c r="L194" s="51" t="n">
        <v>46295</v>
      </c>
      <c r="M194" t="n">
        <v>0</v>
      </c>
      <c r="O194" t="inlineStr">
        <is>
          <t>No amount in Zoho</t>
        </is>
      </c>
      <c r="P194" t="inlineStr">
        <is>
          <t>Building Value Proposition</t>
        </is>
      </c>
      <c r="Q194" t="n">
        <v>0.25</v>
      </c>
      <c r="R194" t="n">
        <v>0</v>
      </c>
      <c r="T194" s="9">
        <f>IFERROR(INDEX($A194:$R194,MATCH("Status",$A$1:$R$1,0)),"")&amp;""</f>
        <v/>
      </c>
      <c r="U194" s="52">
        <f>IFERROR(N(IFERROR(INDEX($A194:$R194,MATCH("Value Ex GST",$A$1:$R$1,0)),"")),0)</f>
        <v/>
      </c>
      <c r="V194" s="54">
        <f>IF(AND(T194&lt;&gt;"",IFERROR(INDEX($A194:$R194,MATCH("Value Ex GST",$A$1:$R$1,0)),"")&amp;""&lt;&gt;""),1,0)</f>
        <v/>
      </c>
      <c r="W194" s="56">
        <f>IFERROR(N(IFERROR(INDEX($A194:$R194,MATCH("Probability",$A$1:$R$1,0)),"")),0)</f>
        <v/>
      </c>
      <c r="X194" s="52">
        <f>IF(T194="Open",U194*W194,0)</f>
        <v/>
      </c>
      <c r="Y194" s="52">
        <f>IF(T194="Won",IFERROR(N(IFERROR(INDEX($A194:$R194,MATCH("Still to Invoice",$A$1:$R$1,0)),"")),0),0)</f>
        <v/>
      </c>
      <c r="Z194" s="55">
        <f>IFERROR(EOMONTH(IFERROR(INDEX($A194:$R194,MATCH("Expected Invoice Month",$A$1:$R$1,0)),""),0),"")</f>
        <v/>
      </c>
      <c r="AA194" s="9">
        <f>IFERROR(INDEX($A194:$R194,MATCH("Cost Centre",$A$1:$R$1,0)),"")&amp;""</f>
        <v/>
      </c>
      <c r="AB194" s="9">
        <f>IFERROR(INDEX($A194:$R194,MATCH("Pipeline Stage",$A$1:$R$1,0)),"")&amp;""</f>
        <v/>
      </c>
      <c r="AC194" s="9">
        <f>IFERROR(INDEX($A194:$R194,MATCH("Client",$A$1:$R$1,0)),"")&amp;""</f>
        <v/>
      </c>
      <c r="AD194" s="9">
        <f>IFERROR(INDEX($A194:$R194,MATCH("Description",$A$1:$R$1,0)),"")&amp;""</f>
        <v/>
      </c>
      <c r="AE194" s="9">
        <f>IFERROR(INDEX($A194:$R194,MATCH("Job Number",$A$1:$R$1,0)),"")&amp;""</f>
        <v/>
      </c>
      <c r="AF194" s="54">
        <f>IF(AND(T194="Open",ISNUMBER(Z194),Z194&lt;EOMONTH(set_AsAt,-1)+1),3,0)</f>
        <v/>
      </c>
      <c r="AG194" s="54">
        <f>IF(AND(T194="Open",U194&gt;0,U194&gt;=set_DealShare*SUMIFS($U$2:$U$601,$T$2:$T$601,"Open")),3,0)</f>
        <v/>
      </c>
      <c r="AH194" s="54">
        <f>IF(AND(T194="Open",U194&gt;=set_BigValue,W194&lt;=set_EarlyProb),2,0)</f>
        <v/>
      </c>
      <c r="AI194" s="54">
        <f>IF(AND(OR(T194="Open",T194="Won"),V194=0),2,0)</f>
        <v/>
      </c>
      <c r="AJ194" s="54">
        <f>IF(AND(T194="Won",Y194&gt;0.5,ISNUMBER(Z194),Z194&lt;EOMONTH(set_AsAt,-1)+1),3,0)</f>
        <v/>
      </c>
      <c r="AK194" s="54">
        <f>IF(AND(T194="Won",Y194&lt;-1),1,0)</f>
        <v/>
      </c>
      <c r="AL194" s="54">
        <f>SUM(AF194:AK194)</f>
        <v/>
      </c>
      <c r="AM194" s="9">
        <f>IF(AL194&gt;=set_ScoreHigh,"High",IF(AL194&gt;=set_ScoreMed,"Medium",IF(AL194&gt;0,"Low","OK")))</f>
        <v/>
      </c>
      <c r="AN194" s="54">
        <f>IF(OR(T194="Open",AND(T194="Won",ABS(Y194)&gt;0.5)),1,0)</f>
        <v/>
      </c>
      <c r="AO194" s="52">
        <f>IF(T194="Open",IF(V194=0,0,X194),IF(T194="Won",MAX(0,Y194),0))</f>
        <v/>
      </c>
      <c r="AP194" s="54">
        <f>IF(AN194=1,AL194*1E+9+U194+ROW()/1E+6,"")</f>
        <v/>
      </c>
      <c r="AQ194" s="9">
        <f>MID(IF(AF194&gt;0,"; Expected month passed - update Zoho","")&amp;IF(AG194&gt;0,"; "&amp;TEXT(U194/MAX(1,SUMIFS($U$2:$U$601,$T$2:$T$601,"Open")),"0%")&amp;" of open pipeline in one deal","")&amp;IF(AH194&gt;0,"; Large deal at an early stage","")&amp;IF(AI194&gt;0,"; No amount in Zoho","")&amp;IF(AJ194&gt;0,"; Won, invoice month passed, not fully invoiced","")&amp;IF(AK194&gt;0,"; Xero invoiced more than the deal value",""),3,300)</f>
        <v/>
      </c>
    </row>
    <row r="195">
      <c r="A195" s="51" t="n">
        <v>46326</v>
      </c>
      <c r="B195" t="inlineStr">
        <is>
          <t>ZOHO</t>
        </is>
      </c>
      <c r="C195" t="inlineStr">
        <is>
          <t>2603407</t>
        </is>
      </c>
      <c r="D195" t="inlineStr">
        <is>
          <t>Ingenia Communities Group</t>
        </is>
      </c>
      <c r="E195" t="inlineStr">
        <is>
          <t>2603407</t>
        </is>
      </c>
      <c r="G195" t="inlineStr">
        <is>
          <t>VIDEO</t>
        </is>
      </c>
      <c r="H195" t="inlineStr">
        <is>
          <t>Ingenia Site Promotional Video</t>
        </is>
      </c>
      <c r="I195" t="n">
        <v>10500</v>
      </c>
      <c r="J195" t="inlineStr">
        <is>
          <t>Open</t>
        </is>
      </c>
      <c r="L195" s="51" t="n">
        <v>46326</v>
      </c>
      <c r="M195" t="n">
        <v>0</v>
      </c>
      <c r="P195" t="inlineStr">
        <is>
          <t>Building Value Proposition</t>
        </is>
      </c>
      <c r="Q195" t="n">
        <v>0.25</v>
      </c>
      <c r="R195" t="n">
        <v>2625</v>
      </c>
      <c r="T195" s="9">
        <f>IFERROR(INDEX($A195:$R195,MATCH("Status",$A$1:$R$1,0)),"")&amp;""</f>
        <v/>
      </c>
      <c r="U195" s="52">
        <f>IFERROR(N(IFERROR(INDEX($A195:$R195,MATCH("Value Ex GST",$A$1:$R$1,0)),"")),0)</f>
        <v/>
      </c>
      <c r="V195" s="54">
        <f>IF(AND(T195&lt;&gt;"",IFERROR(INDEX($A195:$R195,MATCH("Value Ex GST",$A$1:$R$1,0)),"")&amp;""&lt;&gt;""),1,0)</f>
        <v/>
      </c>
      <c r="W195" s="56">
        <f>IFERROR(N(IFERROR(INDEX($A195:$R195,MATCH("Probability",$A$1:$R$1,0)),"")),0)</f>
        <v/>
      </c>
      <c r="X195" s="52">
        <f>IF(T195="Open",U195*W195,0)</f>
        <v/>
      </c>
      <c r="Y195" s="52">
        <f>IF(T195="Won",IFERROR(N(IFERROR(INDEX($A195:$R195,MATCH("Still to Invoice",$A$1:$R$1,0)),"")),0),0)</f>
        <v/>
      </c>
      <c r="Z195" s="55">
        <f>IFERROR(EOMONTH(IFERROR(INDEX($A195:$R195,MATCH("Expected Invoice Month",$A$1:$R$1,0)),""),0),"")</f>
        <v/>
      </c>
      <c r="AA195" s="9">
        <f>IFERROR(INDEX($A195:$R195,MATCH("Cost Centre",$A$1:$R$1,0)),"")&amp;""</f>
        <v/>
      </c>
      <c r="AB195" s="9">
        <f>IFERROR(INDEX($A195:$R195,MATCH("Pipeline Stage",$A$1:$R$1,0)),"")&amp;""</f>
        <v/>
      </c>
      <c r="AC195" s="9">
        <f>IFERROR(INDEX($A195:$R195,MATCH("Client",$A$1:$R$1,0)),"")&amp;""</f>
        <v/>
      </c>
      <c r="AD195" s="9">
        <f>IFERROR(INDEX($A195:$R195,MATCH("Description",$A$1:$R$1,0)),"")&amp;""</f>
        <v/>
      </c>
      <c r="AE195" s="9">
        <f>IFERROR(INDEX($A195:$R195,MATCH("Job Number",$A$1:$R$1,0)),"")&amp;""</f>
        <v/>
      </c>
      <c r="AF195" s="54">
        <f>IF(AND(T195="Open",ISNUMBER(Z195),Z195&lt;EOMONTH(set_AsAt,-1)+1),3,0)</f>
        <v/>
      </c>
      <c r="AG195" s="54">
        <f>IF(AND(T195="Open",U195&gt;0,U195&gt;=set_DealShare*SUMIFS($U$2:$U$601,$T$2:$T$601,"Open")),3,0)</f>
        <v/>
      </c>
      <c r="AH195" s="54">
        <f>IF(AND(T195="Open",U195&gt;=set_BigValue,W195&lt;=set_EarlyProb),2,0)</f>
        <v/>
      </c>
      <c r="AI195" s="54">
        <f>IF(AND(OR(T195="Open",T195="Won"),V195=0),2,0)</f>
        <v/>
      </c>
      <c r="AJ195" s="54">
        <f>IF(AND(T195="Won",Y195&gt;0.5,ISNUMBER(Z195),Z195&lt;EOMONTH(set_AsAt,-1)+1),3,0)</f>
        <v/>
      </c>
      <c r="AK195" s="54">
        <f>IF(AND(T195="Won",Y195&lt;-1),1,0)</f>
        <v/>
      </c>
      <c r="AL195" s="54">
        <f>SUM(AF195:AK195)</f>
        <v/>
      </c>
      <c r="AM195" s="9">
        <f>IF(AL195&gt;=set_ScoreHigh,"High",IF(AL195&gt;=set_ScoreMed,"Medium",IF(AL195&gt;0,"Low","OK")))</f>
        <v/>
      </c>
      <c r="AN195" s="54">
        <f>IF(OR(T195="Open",AND(T195="Won",ABS(Y195)&gt;0.5)),1,0)</f>
        <v/>
      </c>
      <c r="AO195" s="52">
        <f>IF(T195="Open",IF(V195=0,0,X195),IF(T195="Won",MAX(0,Y195),0))</f>
        <v/>
      </c>
      <c r="AP195" s="54">
        <f>IF(AN195=1,AL195*1E+9+U195+ROW()/1E+6,"")</f>
        <v/>
      </c>
      <c r="AQ195" s="9">
        <f>MID(IF(AF195&gt;0,"; Expected month passed - update Zoho","")&amp;IF(AG195&gt;0,"; "&amp;TEXT(U195/MAX(1,SUMIFS($U$2:$U$601,$T$2:$T$601,"Open")),"0%")&amp;" of open pipeline in one deal","")&amp;IF(AH195&gt;0,"; Large deal at an early stage","")&amp;IF(AI195&gt;0,"; No amount in Zoho","")&amp;IF(AJ195&gt;0,"; Won, invoice month passed, not fully invoiced","")&amp;IF(AK195&gt;0,"; Xero invoiced more than the deal value",""),3,300)</f>
        <v/>
      </c>
    </row>
    <row r="196">
      <c r="A196" s="51" t="n">
        <v>46356</v>
      </c>
      <c r="B196" t="inlineStr">
        <is>
          <t>ZOHO</t>
        </is>
      </c>
      <c r="C196" t="inlineStr">
        <is>
          <t>26082701</t>
        </is>
      </c>
      <c r="D196" t="inlineStr">
        <is>
          <t>Aware Super</t>
        </is>
      </c>
      <c r="E196" t="inlineStr">
        <is>
          <t>26082701</t>
        </is>
      </c>
      <c r="G196" t="inlineStr">
        <is>
          <t>INTEGRATION</t>
        </is>
      </c>
      <c r="H196" t="inlineStr">
        <is>
          <t>Aware | Wollongong Boardroom Upgrade - 26082701</t>
        </is>
      </c>
      <c r="I196" t="n">
        <v>20000</v>
      </c>
      <c r="J196" t="inlineStr">
        <is>
          <t>Open</t>
        </is>
      </c>
      <c r="L196" s="51" t="n">
        <v>46356</v>
      </c>
      <c r="M196" t="n">
        <v>0</v>
      </c>
      <c r="P196" t="inlineStr">
        <is>
          <t>Building Value Proposition</t>
        </is>
      </c>
      <c r="Q196" t="n">
        <v>0.25</v>
      </c>
      <c r="R196" t="n">
        <v>5000</v>
      </c>
      <c r="T196" s="9">
        <f>IFERROR(INDEX($A196:$R196,MATCH("Status",$A$1:$R$1,0)),"")&amp;""</f>
        <v/>
      </c>
      <c r="U196" s="52">
        <f>IFERROR(N(IFERROR(INDEX($A196:$R196,MATCH("Value Ex GST",$A$1:$R$1,0)),"")),0)</f>
        <v/>
      </c>
      <c r="V196" s="54">
        <f>IF(AND(T196&lt;&gt;"",IFERROR(INDEX($A196:$R196,MATCH("Value Ex GST",$A$1:$R$1,0)),"")&amp;""&lt;&gt;""),1,0)</f>
        <v/>
      </c>
      <c r="W196" s="56">
        <f>IFERROR(N(IFERROR(INDEX($A196:$R196,MATCH("Probability",$A$1:$R$1,0)),"")),0)</f>
        <v/>
      </c>
      <c r="X196" s="52">
        <f>IF(T196="Open",U196*W196,0)</f>
        <v/>
      </c>
      <c r="Y196" s="52">
        <f>IF(T196="Won",IFERROR(N(IFERROR(INDEX($A196:$R196,MATCH("Still to Invoice",$A$1:$R$1,0)),"")),0),0)</f>
        <v/>
      </c>
      <c r="Z196" s="55">
        <f>IFERROR(EOMONTH(IFERROR(INDEX($A196:$R196,MATCH("Expected Invoice Month",$A$1:$R$1,0)),""),0),"")</f>
        <v/>
      </c>
      <c r="AA196" s="9">
        <f>IFERROR(INDEX($A196:$R196,MATCH("Cost Centre",$A$1:$R$1,0)),"")&amp;""</f>
        <v/>
      </c>
      <c r="AB196" s="9">
        <f>IFERROR(INDEX($A196:$R196,MATCH("Pipeline Stage",$A$1:$R$1,0)),"")&amp;""</f>
        <v/>
      </c>
      <c r="AC196" s="9">
        <f>IFERROR(INDEX($A196:$R196,MATCH("Client",$A$1:$R$1,0)),"")&amp;""</f>
        <v/>
      </c>
      <c r="AD196" s="9">
        <f>IFERROR(INDEX($A196:$R196,MATCH("Description",$A$1:$R$1,0)),"")&amp;""</f>
        <v/>
      </c>
      <c r="AE196" s="9">
        <f>IFERROR(INDEX($A196:$R196,MATCH("Job Number",$A$1:$R$1,0)),"")&amp;""</f>
        <v/>
      </c>
      <c r="AF196" s="54">
        <f>IF(AND(T196="Open",ISNUMBER(Z196),Z196&lt;EOMONTH(set_AsAt,-1)+1),3,0)</f>
        <v/>
      </c>
      <c r="AG196" s="54">
        <f>IF(AND(T196="Open",U196&gt;0,U196&gt;=set_DealShare*SUMIFS($U$2:$U$601,$T$2:$T$601,"Open")),3,0)</f>
        <v/>
      </c>
      <c r="AH196" s="54">
        <f>IF(AND(T196="Open",U196&gt;=set_BigValue,W196&lt;=set_EarlyProb),2,0)</f>
        <v/>
      </c>
      <c r="AI196" s="54">
        <f>IF(AND(OR(T196="Open",T196="Won"),V196=0),2,0)</f>
        <v/>
      </c>
      <c r="AJ196" s="54">
        <f>IF(AND(T196="Won",Y196&gt;0.5,ISNUMBER(Z196),Z196&lt;EOMONTH(set_AsAt,-1)+1),3,0)</f>
        <v/>
      </c>
      <c r="AK196" s="54">
        <f>IF(AND(T196="Won",Y196&lt;-1),1,0)</f>
        <v/>
      </c>
      <c r="AL196" s="54">
        <f>SUM(AF196:AK196)</f>
        <v/>
      </c>
      <c r="AM196" s="9">
        <f>IF(AL196&gt;=set_ScoreHigh,"High",IF(AL196&gt;=set_ScoreMed,"Medium",IF(AL196&gt;0,"Low","OK")))</f>
        <v/>
      </c>
      <c r="AN196" s="54">
        <f>IF(OR(T196="Open",AND(T196="Won",ABS(Y196)&gt;0.5)),1,0)</f>
        <v/>
      </c>
      <c r="AO196" s="52">
        <f>IF(T196="Open",IF(V196=0,0,X196),IF(T196="Won",MAX(0,Y196),0))</f>
        <v/>
      </c>
      <c r="AP196" s="54">
        <f>IF(AN196=1,AL196*1E+9+U196+ROW()/1E+6,"")</f>
        <v/>
      </c>
      <c r="AQ196" s="9">
        <f>MID(IF(AF196&gt;0,"; Expected month passed - update Zoho","")&amp;IF(AG196&gt;0,"; "&amp;TEXT(U196/MAX(1,SUMIFS($U$2:$U$601,$T$2:$T$601,"Open")),"0%")&amp;" of open pipeline in one deal","")&amp;IF(AH196&gt;0,"; Large deal at an early stage","")&amp;IF(AI196&gt;0,"; No amount in Zoho","")&amp;IF(AJ196&gt;0,"; Won, invoice month passed, not fully invoiced","")&amp;IF(AK196&gt;0,"; Xero invoiced more than the deal value",""),3,300)</f>
        <v/>
      </c>
    </row>
    <row r="197">
      <c r="A197" s="51" t="n">
        <v>46356</v>
      </c>
      <c r="B197" t="inlineStr">
        <is>
          <t>ZOHO</t>
        </is>
      </c>
      <c r="C197" t="inlineStr">
        <is>
          <t>26061502</t>
        </is>
      </c>
      <c r="D197" t="inlineStr">
        <is>
          <t>Automic Group</t>
        </is>
      </c>
      <c r="E197" t="inlineStr">
        <is>
          <t>26061502</t>
        </is>
      </c>
      <c r="G197" t="inlineStr">
        <is>
          <t>PRODUCTION</t>
        </is>
      </c>
      <c r="H197" t="inlineStr">
        <is>
          <t>Automic - HUB24 AGM - 19.11.26</t>
        </is>
      </c>
      <c r="I197" t="n">
        <v>15000</v>
      </c>
      <c r="J197" t="inlineStr">
        <is>
          <t>Open</t>
        </is>
      </c>
      <c r="L197" s="51" t="n">
        <v>46356</v>
      </c>
      <c r="M197" t="n">
        <v>0</v>
      </c>
      <c r="P197" t="inlineStr">
        <is>
          <t>Building Value Proposition</t>
        </is>
      </c>
      <c r="Q197" t="n">
        <v>0.25</v>
      </c>
      <c r="R197" t="n">
        <v>3750</v>
      </c>
      <c r="T197" s="9">
        <f>IFERROR(INDEX($A197:$R197,MATCH("Status",$A$1:$R$1,0)),"")&amp;""</f>
        <v/>
      </c>
      <c r="U197" s="52">
        <f>IFERROR(N(IFERROR(INDEX($A197:$R197,MATCH("Value Ex GST",$A$1:$R$1,0)),"")),0)</f>
        <v/>
      </c>
      <c r="V197" s="54">
        <f>IF(AND(T197&lt;&gt;"",IFERROR(INDEX($A197:$R197,MATCH("Value Ex GST",$A$1:$R$1,0)),"")&amp;""&lt;&gt;""),1,0)</f>
        <v/>
      </c>
      <c r="W197" s="56">
        <f>IFERROR(N(IFERROR(INDEX($A197:$R197,MATCH("Probability",$A$1:$R$1,0)),"")),0)</f>
        <v/>
      </c>
      <c r="X197" s="52">
        <f>IF(T197="Open",U197*W197,0)</f>
        <v/>
      </c>
      <c r="Y197" s="52">
        <f>IF(T197="Won",IFERROR(N(IFERROR(INDEX($A197:$R197,MATCH("Still to Invoice",$A$1:$R$1,0)),"")),0),0)</f>
        <v/>
      </c>
      <c r="Z197" s="55">
        <f>IFERROR(EOMONTH(IFERROR(INDEX($A197:$R197,MATCH("Expected Invoice Month",$A$1:$R$1,0)),""),0),"")</f>
        <v/>
      </c>
      <c r="AA197" s="9">
        <f>IFERROR(INDEX($A197:$R197,MATCH("Cost Centre",$A$1:$R$1,0)),"")&amp;""</f>
        <v/>
      </c>
      <c r="AB197" s="9">
        <f>IFERROR(INDEX($A197:$R197,MATCH("Pipeline Stage",$A$1:$R$1,0)),"")&amp;""</f>
        <v/>
      </c>
      <c r="AC197" s="9">
        <f>IFERROR(INDEX($A197:$R197,MATCH("Client",$A$1:$R$1,0)),"")&amp;""</f>
        <v/>
      </c>
      <c r="AD197" s="9">
        <f>IFERROR(INDEX($A197:$R197,MATCH("Description",$A$1:$R$1,0)),"")&amp;""</f>
        <v/>
      </c>
      <c r="AE197" s="9">
        <f>IFERROR(INDEX($A197:$R197,MATCH("Job Number",$A$1:$R$1,0)),"")&amp;""</f>
        <v/>
      </c>
      <c r="AF197" s="54">
        <f>IF(AND(T197="Open",ISNUMBER(Z197),Z197&lt;EOMONTH(set_AsAt,-1)+1),3,0)</f>
        <v/>
      </c>
      <c r="AG197" s="54">
        <f>IF(AND(T197="Open",U197&gt;0,U197&gt;=set_DealShare*SUMIFS($U$2:$U$601,$T$2:$T$601,"Open")),3,0)</f>
        <v/>
      </c>
      <c r="AH197" s="54">
        <f>IF(AND(T197="Open",U197&gt;=set_BigValue,W197&lt;=set_EarlyProb),2,0)</f>
        <v/>
      </c>
      <c r="AI197" s="54">
        <f>IF(AND(OR(T197="Open",T197="Won"),V197=0),2,0)</f>
        <v/>
      </c>
      <c r="AJ197" s="54">
        <f>IF(AND(T197="Won",Y197&gt;0.5,ISNUMBER(Z197),Z197&lt;EOMONTH(set_AsAt,-1)+1),3,0)</f>
        <v/>
      </c>
      <c r="AK197" s="54">
        <f>IF(AND(T197="Won",Y197&lt;-1),1,0)</f>
        <v/>
      </c>
      <c r="AL197" s="54">
        <f>SUM(AF197:AK197)</f>
        <v/>
      </c>
      <c r="AM197" s="9">
        <f>IF(AL197&gt;=set_ScoreHigh,"High",IF(AL197&gt;=set_ScoreMed,"Medium",IF(AL197&gt;0,"Low","OK")))</f>
        <v/>
      </c>
      <c r="AN197" s="54">
        <f>IF(OR(T197="Open",AND(T197="Won",ABS(Y197)&gt;0.5)),1,0)</f>
        <v/>
      </c>
      <c r="AO197" s="52">
        <f>IF(T197="Open",IF(V197=0,0,X197),IF(T197="Won",MAX(0,Y197),0))</f>
        <v/>
      </c>
      <c r="AP197" s="54">
        <f>IF(AN197=1,AL197*1E+9+U197+ROW()/1E+6,"")</f>
        <v/>
      </c>
      <c r="AQ197" s="9">
        <f>MID(IF(AF197&gt;0,"; Expected month passed - update Zoho","")&amp;IF(AG197&gt;0,"; "&amp;TEXT(U197/MAX(1,SUMIFS($U$2:$U$601,$T$2:$T$601,"Open")),"0%")&amp;" of open pipeline in one deal","")&amp;IF(AH197&gt;0,"; Large deal at an early stage","")&amp;IF(AI197&gt;0,"; No amount in Zoho","")&amp;IF(AJ197&gt;0,"; Won, invoice month passed, not fully invoiced","")&amp;IF(AK197&gt;0,"; Xero invoiced more than the deal value",""),3,300)</f>
        <v/>
      </c>
    </row>
    <row r="198">
      <c r="A198" s="51" t="n">
        <v>46418</v>
      </c>
      <c r="B198" t="inlineStr">
        <is>
          <t>ZOHO</t>
        </is>
      </c>
      <c r="C198" t="inlineStr">
        <is>
          <t>26062302</t>
        </is>
      </c>
      <c r="D198" t="inlineStr">
        <is>
          <t>Garvan Institute of Medical Research</t>
        </is>
      </c>
      <c r="E198" t="inlineStr">
        <is>
          <t>26062302</t>
        </is>
      </c>
      <c r="G198" t="inlineStr">
        <is>
          <t>PRODUCTION</t>
        </is>
      </c>
      <c r="H198" t="inlineStr">
        <is>
          <t>Garvan - Morning Tea Event - Jan' 27</t>
        </is>
      </c>
      <c r="I198" t="n">
        <v>1120</v>
      </c>
      <c r="J198" t="inlineStr">
        <is>
          <t>Open</t>
        </is>
      </c>
      <c r="L198" s="51" t="n">
        <v>46418</v>
      </c>
      <c r="M198" t="n">
        <v>0</v>
      </c>
      <c r="P198" t="inlineStr">
        <is>
          <t>Building Value Proposition</t>
        </is>
      </c>
      <c r="Q198" t="n">
        <v>0.25</v>
      </c>
      <c r="R198" t="n">
        <v>280</v>
      </c>
      <c r="T198" s="9">
        <f>IFERROR(INDEX($A198:$R198,MATCH("Status",$A$1:$R$1,0)),"")&amp;""</f>
        <v/>
      </c>
      <c r="U198" s="52">
        <f>IFERROR(N(IFERROR(INDEX($A198:$R198,MATCH("Value Ex GST",$A$1:$R$1,0)),"")),0)</f>
        <v/>
      </c>
      <c r="V198" s="54">
        <f>IF(AND(T198&lt;&gt;"",IFERROR(INDEX($A198:$R198,MATCH("Value Ex GST",$A$1:$R$1,0)),"")&amp;""&lt;&gt;""),1,0)</f>
        <v/>
      </c>
      <c r="W198" s="56">
        <f>IFERROR(N(IFERROR(INDEX($A198:$R198,MATCH("Probability",$A$1:$R$1,0)),"")),0)</f>
        <v/>
      </c>
      <c r="X198" s="52">
        <f>IF(T198="Open",U198*W198,0)</f>
        <v/>
      </c>
      <c r="Y198" s="52">
        <f>IF(T198="Won",IFERROR(N(IFERROR(INDEX($A198:$R198,MATCH("Still to Invoice",$A$1:$R$1,0)),"")),0),0)</f>
        <v/>
      </c>
      <c r="Z198" s="55">
        <f>IFERROR(EOMONTH(IFERROR(INDEX($A198:$R198,MATCH("Expected Invoice Month",$A$1:$R$1,0)),""),0),"")</f>
        <v/>
      </c>
      <c r="AA198" s="9">
        <f>IFERROR(INDEX($A198:$R198,MATCH("Cost Centre",$A$1:$R$1,0)),"")&amp;""</f>
        <v/>
      </c>
      <c r="AB198" s="9">
        <f>IFERROR(INDEX($A198:$R198,MATCH("Pipeline Stage",$A$1:$R$1,0)),"")&amp;""</f>
        <v/>
      </c>
      <c r="AC198" s="9">
        <f>IFERROR(INDEX($A198:$R198,MATCH("Client",$A$1:$R$1,0)),"")&amp;""</f>
        <v/>
      </c>
      <c r="AD198" s="9">
        <f>IFERROR(INDEX($A198:$R198,MATCH("Description",$A$1:$R$1,0)),"")&amp;""</f>
        <v/>
      </c>
      <c r="AE198" s="9">
        <f>IFERROR(INDEX($A198:$R198,MATCH("Job Number",$A$1:$R$1,0)),"")&amp;""</f>
        <v/>
      </c>
      <c r="AF198" s="54">
        <f>IF(AND(T198="Open",ISNUMBER(Z198),Z198&lt;EOMONTH(set_AsAt,-1)+1),3,0)</f>
        <v/>
      </c>
      <c r="AG198" s="54">
        <f>IF(AND(T198="Open",U198&gt;0,U198&gt;=set_DealShare*SUMIFS($U$2:$U$601,$T$2:$T$601,"Open")),3,0)</f>
        <v/>
      </c>
      <c r="AH198" s="54">
        <f>IF(AND(T198="Open",U198&gt;=set_BigValue,W198&lt;=set_EarlyProb),2,0)</f>
        <v/>
      </c>
      <c r="AI198" s="54">
        <f>IF(AND(OR(T198="Open",T198="Won"),V198=0),2,0)</f>
        <v/>
      </c>
      <c r="AJ198" s="54">
        <f>IF(AND(T198="Won",Y198&gt;0.5,ISNUMBER(Z198),Z198&lt;EOMONTH(set_AsAt,-1)+1),3,0)</f>
        <v/>
      </c>
      <c r="AK198" s="54">
        <f>IF(AND(T198="Won",Y198&lt;-1),1,0)</f>
        <v/>
      </c>
      <c r="AL198" s="54">
        <f>SUM(AF198:AK198)</f>
        <v/>
      </c>
      <c r="AM198" s="9">
        <f>IF(AL198&gt;=set_ScoreHigh,"High",IF(AL198&gt;=set_ScoreMed,"Medium",IF(AL198&gt;0,"Low","OK")))</f>
        <v/>
      </c>
      <c r="AN198" s="54">
        <f>IF(OR(T198="Open",AND(T198="Won",ABS(Y198)&gt;0.5)),1,0)</f>
        <v/>
      </c>
      <c r="AO198" s="52">
        <f>IF(T198="Open",IF(V198=0,0,X198),IF(T198="Won",MAX(0,Y198),0))</f>
        <v/>
      </c>
      <c r="AP198" s="54">
        <f>IF(AN198=1,AL198*1E+9+U198+ROW()/1E+6,"")</f>
        <v/>
      </c>
      <c r="AQ198" s="9">
        <f>MID(IF(AF198&gt;0,"; Expected month passed - update Zoho","")&amp;IF(AG198&gt;0,"; "&amp;TEXT(U198/MAX(1,SUMIFS($U$2:$U$601,$T$2:$T$601,"Open")),"0%")&amp;" of open pipeline in one deal","")&amp;IF(AH198&gt;0,"; Large deal at an early stage","")&amp;IF(AI198&gt;0,"; No amount in Zoho","")&amp;IF(AJ198&gt;0,"; Won, invoice month passed, not fully invoiced","")&amp;IF(AK198&gt;0,"; Xero invoiced more than the deal value",""),3,300)</f>
        <v/>
      </c>
    </row>
    <row r="199">
      <c r="A199" s="51" t="n">
        <v>46387</v>
      </c>
      <c r="B199" t="inlineStr">
        <is>
          <t>ZOHO</t>
        </is>
      </c>
      <c r="C199" t="inlineStr">
        <is>
          <t>2609802</t>
        </is>
      </c>
      <c r="D199" t="inlineStr">
        <is>
          <t>APA</t>
        </is>
      </c>
      <c r="E199" t="inlineStr">
        <is>
          <t>2609802</t>
        </is>
      </c>
      <c r="G199" t="inlineStr">
        <is>
          <t>INTEGRATION</t>
        </is>
      </c>
      <c r="H199" t="inlineStr">
        <is>
          <t>APA | Thomastown Proxyclick Renewal - 2609802</t>
        </is>
      </c>
      <c r="J199" t="inlineStr">
        <is>
          <t>Open</t>
        </is>
      </c>
      <c r="L199" s="51" t="n">
        <v>46387</v>
      </c>
      <c r="M199" t="n">
        <v>0</v>
      </c>
      <c r="O199" t="inlineStr">
        <is>
          <t>No amount in Zoho</t>
        </is>
      </c>
      <c r="P199" t="inlineStr">
        <is>
          <t>Building Value Proposition</t>
        </is>
      </c>
      <c r="Q199" t="n">
        <v>0.25</v>
      </c>
      <c r="R199" t="n">
        <v>0</v>
      </c>
      <c r="T199" s="9">
        <f>IFERROR(INDEX($A199:$R199,MATCH("Status",$A$1:$R$1,0)),"")&amp;""</f>
        <v/>
      </c>
      <c r="U199" s="52">
        <f>IFERROR(N(IFERROR(INDEX($A199:$R199,MATCH("Value Ex GST",$A$1:$R$1,0)),"")),0)</f>
        <v/>
      </c>
      <c r="V199" s="54">
        <f>IF(AND(T199&lt;&gt;"",IFERROR(INDEX($A199:$R199,MATCH("Value Ex GST",$A$1:$R$1,0)),"")&amp;""&lt;&gt;""),1,0)</f>
        <v/>
      </c>
      <c r="W199" s="56">
        <f>IFERROR(N(IFERROR(INDEX($A199:$R199,MATCH("Probability",$A$1:$R$1,0)),"")),0)</f>
        <v/>
      </c>
      <c r="X199" s="52">
        <f>IF(T199="Open",U199*W199,0)</f>
        <v/>
      </c>
      <c r="Y199" s="52">
        <f>IF(T199="Won",IFERROR(N(IFERROR(INDEX($A199:$R199,MATCH("Still to Invoice",$A$1:$R$1,0)),"")),0),0)</f>
        <v/>
      </c>
      <c r="Z199" s="55">
        <f>IFERROR(EOMONTH(IFERROR(INDEX($A199:$R199,MATCH("Expected Invoice Month",$A$1:$R$1,0)),""),0),"")</f>
        <v/>
      </c>
      <c r="AA199" s="9">
        <f>IFERROR(INDEX($A199:$R199,MATCH("Cost Centre",$A$1:$R$1,0)),"")&amp;""</f>
        <v/>
      </c>
      <c r="AB199" s="9">
        <f>IFERROR(INDEX($A199:$R199,MATCH("Pipeline Stage",$A$1:$R$1,0)),"")&amp;""</f>
        <v/>
      </c>
      <c r="AC199" s="9">
        <f>IFERROR(INDEX($A199:$R199,MATCH("Client",$A$1:$R$1,0)),"")&amp;""</f>
        <v/>
      </c>
      <c r="AD199" s="9">
        <f>IFERROR(INDEX($A199:$R199,MATCH("Description",$A$1:$R$1,0)),"")&amp;""</f>
        <v/>
      </c>
      <c r="AE199" s="9">
        <f>IFERROR(INDEX($A199:$R199,MATCH("Job Number",$A$1:$R$1,0)),"")&amp;""</f>
        <v/>
      </c>
      <c r="AF199" s="54">
        <f>IF(AND(T199="Open",ISNUMBER(Z199),Z199&lt;EOMONTH(set_AsAt,-1)+1),3,0)</f>
        <v/>
      </c>
      <c r="AG199" s="54">
        <f>IF(AND(T199="Open",U199&gt;0,U199&gt;=set_DealShare*SUMIFS($U$2:$U$601,$T$2:$T$601,"Open")),3,0)</f>
        <v/>
      </c>
      <c r="AH199" s="54">
        <f>IF(AND(T199="Open",U199&gt;=set_BigValue,W199&lt;=set_EarlyProb),2,0)</f>
        <v/>
      </c>
      <c r="AI199" s="54">
        <f>IF(AND(OR(T199="Open",T199="Won"),V199=0),2,0)</f>
        <v/>
      </c>
      <c r="AJ199" s="54">
        <f>IF(AND(T199="Won",Y199&gt;0.5,ISNUMBER(Z199),Z199&lt;EOMONTH(set_AsAt,-1)+1),3,0)</f>
        <v/>
      </c>
      <c r="AK199" s="54">
        <f>IF(AND(T199="Won",Y199&lt;-1),1,0)</f>
        <v/>
      </c>
      <c r="AL199" s="54">
        <f>SUM(AF199:AK199)</f>
        <v/>
      </c>
      <c r="AM199" s="9">
        <f>IF(AL199&gt;=set_ScoreHigh,"High",IF(AL199&gt;=set_ScoreMed,"Medium",IF(AL199&gt;0,"Low","OK")))</f>
        <v/>
      </c>
      <c r="AN199" s="54">
        <f>IF(OR(T199="Open",AND(T199="Won",ABS(Y199)&gt;0.5)),1,0)</f>
        <v/>
      </c>
      <c r="AO199" s="52">
        <f>IF(T199="Open",IF(V199=0,0,X199),IF(T199="Won",MAX(0,Y199),0))</f>
        <v/>
      </c>
      <c r="AP199" s="54">
        <f>IF(AN199=1,AL199*1E+9+U199+ROW()/1E+6,"")</f>
        <v/>
      </c>
      <c r="AQ199" s="9">
        <f>MID(IF(AF199&gt;0,"; Expected month passed - update Zoho","")&amp;IF(AG199&gt;0,"; "&amp;TEXT(U199/MAX(1,SUMIFS($U$2:$U$601,$T$2:$T$601,"Open")),"0%")&amp;" of open pipeline in one deal","")&amp;IF(AH199&gt;0,"; Large deal at an early stage","")&amp;IF(AI199&gt;0,"; No amount in Zoho","")&amp;IF(AJ199&gt;0,"; Won, invoice month passed, not fully invoiced","")&amp;IF(AK199&gt;0,"; Xero invoiced more than the deal value",""),3,300)</f>
        <v/>
      </c>
    </row>
    <row r="200">
      <c r="A200" s="51" t="n">
        <v>46507</v>
      </c>
      <c r="B200" t="inlineStr">
        <is>
          <t>ZOHO</t>
        </is>
      </c>
      <c r="C200" t="inlineStr">
        <is>
          <t>26062303</t>
        </is>
      </c>
      <c r="D200" t="inlineStr">
        <is>
          <t>Garvan Institute of Medical Research</t>
        </is>
      </c>
      <c r="E200" t="inlineStr">
        <is>
          <t>26062303</t>
        </is>
      </c>
      <c r="G200" t="inlineStr">
        <is>
          <t>PRODUCTION</t>
        </is>
      </c>
      <c r="H200" t="inlineStr">
        <is>
          <t>Garvan - Morning Tea Event - Apr' 27</t>
        </is>
      </c>
      <c r="I200" t="n">
        <v>1120</v>
      </c>
      <c r="J200" t="inlineStr">
        <is>
          <t>Open</t>
        </is>
      </c>
      <c r="L200" s="51" t="n">
        <v>46507</v>
      </c>
      <c r="M200" t="n">
        <v>0</v>
      </c>
      <c r="P200" t="inlineStr">
        <is>
          <t>Building Value Proposition</t>
        </is>
      </c>
      <c r="Q200" t="n">
        <v>0.25</v>
      </c>
      <c r="R200" t="n">
        <v>280</v>
      </c>
      <c r="T200" s="9">
        <f>IFERROR(INDEX($A200:$R200,MATCH("Status",$A$1:$R$1,0)),"")&amp;""</f>
        <v/>
      </c>
      <c r="U200" s="52">
        <f>IFERROR(N(IFERROR(INDEX($A200:$R200,MATCH("Value Ex GST",$A$1:$R$1,0)),"")),0)</f>
        <v/>
      </c>
      <c r="V200" s="54">
        <f>IF(AND(T200&lt;&gt;"",IFERROR(INDEX($A200:$R200,MATCH("Value Ex GST",$A$1:$R$1,0)),"")&amp;""&lt;&gt;""),1,0)</f>
        <v/>
      </c>
      <c r="W200" s="56">
        <f>IFERROR(N(IFERROR(INDEX($A200:$R200,MATCH("Probability",$A$1:$R$1,0)),"")),0)</f>
        <v/>
      </c>
      <c r="X200" s="52">
        <f>IF(T200="Open",U200*W200,0)</f>
        <v/>
      </c>
      <c r="Y200" s="52">
        <f>IF(T200="Won",IFERROR(N(IFERROR(INDEX($A200:$R200,MATCH("Still to Invoice",$A$1:$R$1,0)),"")),0),0)</f>
        <v/>
      </c>
      <c r="Z200" s="55">
        <f>IFERROR(EOMONTH(IFERROR(INDEX($A200:$R200,MATCH("Expected Invoice Month",$A$1:$R$1,0)),""),0),"")</f>
        <v/>
      </c>
      <c r="AA200" s="9">
        <f>IFERROR(INDEX($A200:$R200,MATCH("Cost Centre",$A$1:$R$1,0)),"")&amp;""</f>
        <v/>
      </c>
      <c r="AB200" s="9">
        <f>IFERROR(INDEX($A200:$R200,MATCH("Pipeline Stage",$A$1:$R$1,0)),"")&amp;""</f>
        <v/>
      </c>
      <c r="AC200" s="9">
        <f>IFERROR(INDEX($A200:$R200,MATCH("Client",$A$1:$R$1,0)),"")&amp;""</f>
        <v/>
      </c>
      <c r="AD200" s="9">
        <f>IFERROR(INDEX($A200:$R200,MATCH("Description",$A$1:$R$1,0)),"")&amp;""</f>
        <v/>
      </c>
      <c r="AE200" s="9">
        <f>IFERROR(INDEX($A200:$R200,MATCH("Job Number",$A$1:$R$1,0)),"")&amp;""</f>
        <v/>
      </c>
      <c r="AF200" s="54">
        <f>IF(AND(T200="Open",ISNUMBER(Z200),Z200&lt;EOMONTH(set_AsAt,-1)+1),3,0)</f>
        <v/>
      </c>
      <c r="AG200" s="54">
        <f>IF(AND(T200="Open",U200&gt;0,U200&gt;=set_DealShare*SUMIFS($U$2:$U$601,$T$2:$T$601,"Open")),3,0)</f>
        <v/>
      </c>
      <c r="AH200" s="54">
        <f>IF(AND(T200="Open",U200&gt;=set_BigValue,W200&lt;=set_EarlyProb),2,0)</f>
        <v/>
      </c>
      <c r="AI200" s="54">
        <f>IF(AND(OR(T200="Open",T200="Won"),V200=0),2,0)</f>
        <v/>
      </c>
      <c r="AJ200" s="54">
        <f>IF(AND(T200="Won",Y200&gt;0.5,ISNUMBER(Z200),Z200&lt;EOMONTH(set_AsAt,-1)+1),3,0)</f>
        <v/>
      </c>
      <c r="AK200" s="54">
        <f>IF(AND(T200="Won",Y200&lt;-1),1,0)</f>
        <v/>
      </c>
      <c r="AL200" s="54">
        <f>SUM(AF200:AK200)</f>
        <v/>
      </c>
      <c r="AM200" s="9">
        <f>IF(AL200&gt;=set_ScoreHigh,"High",IF(AL200&gt;=set_ScoreMed,"Medium",IF(AL200&gt;0,"Low","OK")))</f>
        <v/>
      </c>
      <c r="AN200" s="54">
        <f>IF(OR(T200="Open",AND(T200="Won",ABS(Y200)&gt;0.5)),1,0)</f>
        <v/>
      </c>
      <c r="AO200" s="52">
        <f>IF(T200="Open",IF(V200=0,0,X200),IF(T200="Won",MAX(0,Y200),0))</f>
        <v/>
      </c>
      <c r="AP200" s="54">
        <f>IF(AN200=1,AL200*1E+9+U200+ROW()/1E+6,"")</f>
        <v/>
      </c>
      <c r="AQ200" s="9">
        <f>MID(IF(AF200&gt;0,"; Expected month passed - update Zoho","")&amp;IF(AG200&gt;0,"; "&amp;TEXT(U200/MAX(1,SUMIFS($U$2:$U$601,$T$2:$T$601,"Open")),"0%")&amp;" of open pipeline in one deal","")&amp;IF(AH200&gt;0,"; Large deal at an early stage","")&amp;IF(AI200&gt;0,"; No amount in Zoho","")&amp;IF(AJ200&gt;0,"; Won, invoice month passed, not fully invoiced","")&amp;IF(AK200&gt;0,"; Xero invoiced more than the deal value",""),3,300)</f>
        <v/>
      </c>
    </row>
    <row r="201">
      <c r="A201" s="51" t="n">
        <v>46387</v>
      </c>
      <c r="B201" t="inlineStr">
        <is>
          <t>ZOHO</t>
        </is>
      </c>
      <c r="C201" t="inlineStr">
        <is>
          <t>26061610</t>
        </is>
      </c>
      <c r="D201" t="inlineStr">
        <is>
          <t>Ventia</t>
        </is>
      </c>
      <c r="E201" t="inlineStr">
        <is>
          <t>26061610</t>
        </is>
      </c>
      <c r="G201" t="inlineStr">
        <is>
          <t>PRODUCTION</t>
        </is>
      </c>
      <c r="H201" t="inlineStr">
        <is>
          <t>Ventia - CEO Townhall - 10.12.26</t>
        </is>
      </c>
      <c r="I201" t="n">
        <v>12000</v>
      </c>
      <c r="J201" t="inlineStr">
        <is>
          <t>Open</t>
        </is>
      </c>
      <c r="L201" s="51" t="n">
        <v>46387</v>
      </c>
      <c r="M201" t="n">
        <v>0</v>
      </c>
      <c r="P201" t="inlineStr">
        <is>
          <t>Building Value Proposition</t>
        </is>
      </c>
      <c r="Q201" t="n">
        <v>0.25</v>
      </c>
      <c r="R201" t="n">
        <v>3000</v>
      </c>
      <c r="T201" s="9">
        <f>IFERROR(INDEX($A201:$R201,MATCH("Status",$A$1:$R$1,0)),"")&amp;""</f>
        <v/>
      </c>
      <c r="U201" s="52">
        <f>IFERROR(N(IFERROR(INDEX($A201:$R201,MATCH("Value Ex GST",$A$1:$R$1,0)),"")),0)</f>
        <v/>
      </c>
      <c r="V201" s="54">
        <f>IF(AND(T201&lt;&gt;"",IFERROR(INDEX($A201:$R201,MATCH("Value Ex GST",$A$1:$R$1,0)),"")&amp;""&lt;&gt;""),1,0)</f>
        <v/>
      </c>
      <c r="W201" s="56">
        <f>IFERROR(N(IFERROR(INDEX($A201:$R201,MATCH("Probability",$A$1:$R$1,0)),"")),0)</f>
        <v/>
      </c>
      <c r="X201" s="52">
        <f>IF(T201="Open",U201*W201,0)</f>
        <v/>
      </c>
      <c r="Y201" s="52">
        <f>IF(T201="Won",IFERROR(N(IFERROR(INDEX($A201:$R201,MATCH("Still to Invoice",$A$1:$R$1,0)),"")),0),0)</f>
        <v/>
      </c>
      <c r="Z201" s="55">
        <f>IFERROR(EOMONTH(IFERROR(INDEX($A201:$R201,MATCH("Expected Invoice Month",$A$1:$R$1,0)),""),0),"")</f>
        <v/>
      </c>
      <c r="AA201" s="9">
        <f>IFERROR(INDEX($A201:$R201,MATCH("Cost Centre",$A$1:$R$1,0)),"")&amp;""</f>
        <v/>
      </c>
      <c r="AB201" s="9">
        <f>IFERROR(INDEX($A201:$R201,MATCH("Pipeline Stage",$A$1:$R$1,0)),"")&amp;""</f>
        <v/>
      </c>
      <c r="AC201" s="9">
        <f>IFERROR(INDEX($A201:$R201,MATCH("Client",$A$1:$R$1,0)),"")&amp;""</f>
        <v/>
      </c>
      <c r="AD201" s="9">
        <f>IFERROR(INDEX($A201:$R201,MATCH("Description",$A$1:$R$1,0)),"")&amp;""</f>
        <v/>
      </c>
      <c r="AE201" s="9">
        <f>IFERROR(INDEX($A201:$R201,MATCH("Job Number",$A$1:$R$1,0)),"")&amp;""</f>
        <v/>
      </c>
      <c r="AF201" s="54">
        <f>IF(AND(T201="Open",ISNUMBER(Z201),Z201&lt;EOMONTH(set_AsAt,-1)+1),3,0)</f>
        <v/>
      </c>
      <c r="AG201" s="54">
        <f>IF(AND(T201="Open",U201&gt;0,U201&gt;=set_DealShare*SUMIFS($U$2:$U$601,$T$2:$T$601,"Open")),3,0)</f>
        <v/>
      </c>
      <c r="AH201" s="54">
        <f>IF(AND(T201="Open",U201&gt;=set_BigValue,W201&lt;=set_EarlyProb),2,0)</f>
        <v/>
      </c>
      <c r="AI201" s="54">
        <f>IF(AND(OR(T201="Open",T201="Won"),V201=0),2,0)</f>
        <v/>
      </c>
      <c r="AJ201" s="54">
        <f>IF(AND(T201="Won",Y201&gt;0.5,ISNUMBER(Z201),Z201&lt;EOMONTH(set_AsAt,-1)+1),3,0)</f>
        <v/>
      </c>
      <c r="AK201" s="54">
        <f>IF(AND(T201="Won",Y201&lt;-1),1,0)</f>
        <v/>
      </c>
      <c r="AL201" s="54">
        <f>SUM(AF201:AK201)</f>
        <v/>
      </c>
      <c r="AM201" s="9">
        <f>IF(AL201&gt;=set_ScoreHigh,"High",IF(AL201&gt;=set_ScoreMed,"Medium",IF(AL201&gt;0,"Low","OK")))</f>
        <v/>
      </c>
      <c r="AN201" s="54">
        <f>IF(OR(T201="Open",AND(T201="Won",ABS(Y201)&gt;0.5)),1,0)</f>
        <v/>
      </c>
      <c r="AO201" s="52">
        <f>IF(T201="Open",IF(V201=0,0,X201),IF(T201="Won",MAX(0,Y201),0))</f>
        <v/>
      </c>
      <c r="AP201" s="54">
        <f>IF(AN201=1,AL201*1E+9+U201+ROW()/1E+6,"")</f>
        <v/>
      </c>
      <c r="AQ201" s="9">
        <f>MID(IF(AF201&gt;0,"; Expected month passed - update Zoho","")&amp;IF(AG201&gt;0,"; "&amp;TEXT(U201/MAX(1,SUMIFS($U$2:$U$601,$T$2:$T$601,"Open")),"0%")&amp;" of open pipeline in one deal","")&amp;IF(AH201&gt;0,"; Large deal at an early stage","")&amp;IF(AI201&gt;0,"; No amount in Zoho","")&amp;IF(AJ201&gt;0,"; Won, invoice month passed, not fully invoiced","")&amp;IF(AK201&gt;0,"; Xero invoiced more than the deal value",""),3,300)</f>
        <v/>
      </c>
    </row>
    <row r="202">
      <c r="A202" s="51" t="n">
        <v>46295</v>
      </c>
      <c r="B202" t="inlineStr">
        <is>
          <t>ZOHO</t>
        </is>
      </c>
      <c r="C202" t="inlineStr">
        <is>
          <t>26091602</t>
        </is>
      </c>
      <c r="D202" t="inlineStr">
        <is>
          <t>Data#3</t>
        </is>
      </c>
      <c r="E202" t="inlineStr">
        <is>
          <t>26091602</t>
        </is>
      </c>
      <c r="G202" t="inlineStr">
        <is>
          <t>INTEGRATION</t>
        </is>
      </c>
      <c r="H202" t="inlineStr">
        <is>
          <t>HP-D3 | Austrac Phone Mods x72 - 26091602</t>
        </is>
      </c>
      <c r="J202" t="inlineStr">
        <is>
          <t>Open</t>
        </is>
      </c>
      <c r="L202" s="51" t="n">
        <v>46295</v>
      </c>
      <c r="M202" t="n">
        <v>0</v>
      </c>
      <c r="O202" t="inlineStr">
        <is>
          <t>No amount in Zoho</t>
        </is>
      </c>
      <c r="P202" t="inlineStr">
        <is>
          <t>Building Value Proposition</t>
        </is>
      </c>
      <c r="Q202" t="n">
        <v>0.25</v>
      </c>
      <c r="R202" t="n">
        <v>0</v>
      </c>
      <c r="T202" s="9">
        <f>IFERROR(INDEX($A202:$R202,MATCH("Status",$A$1:$R$1,0)),"")&amp;""</f>
        <v/>
      </c>
      <c r="U202" s="52">
        <f>IFERROR(N(IFERROR(INDEX($A202:$R202,MATCH("Value Ex GST",$A$1:$R$1,0)),"")),0)</f>
        <v/>
      </c>
      <c r="V202" s="54">
        <f>IF(AND(T202&lt;&gt;"",IFERROR(INDEX($A202:$R202,MATCH("Value Ex GST",$A$1:$R$1,0)),"")&amp;""&lt;&gt;""),1,0)</f>
        <v/>
      </c>
      <c r="W202" s="56">
        <f>IFERROR(N(IFERROR(INDEX($A202:$R202,MATCH("Probability",$A$1:$R$1,0)),"")),0)</f>
        <v/>
      </c>
      <c r="X202" s="52">
        <f>IF(T202="Open",U202*W202,0)</f>
        <v/>
      </c>
      <c r="Y202" s="52">
        <f>IF(T202="Won",IFERROR(N(IFERROR(INDEX($A202:$R202,MATCH("Still to Invoice",$A$1:$R$1,0)),"")),0),0)</f>
        <v/>
      </c>
      <c r="Z202" s="55">
        <f>IFERROR(EOMONTH(IFERROR(INDEX($A202:$R202,MATCH("Expected Invoice Month",$A$1:$R$1,0)),""),0),"")</f>
        <v/>
      </c>
      <c r="AA202" s="9">
        <f>IFERROR(INDEX($A202:$R202,MATCH("Cost Centre",$A$1:$R$1,0)),"")&amp;""</f>
        <v/>
      </c>
      <c r="AB202" s="9">
        <f>IFERROR(INDEX($A202:$R202,MATCH("Pipeline Stage",$A$1:$R$1,0)),"")&amp;""</f>
        <v/>
      </c>
      <c r="AC202" s="9">
        <f>IFERROR(INDEX($A202:$R202,MATCH("Client",$A$1:$R$1,0)),"")&amp;""</f>
        <v/>
      </c>
      <c r="AD202" s="9">
        <f>IFERROR(INDEX($A202:$R202,MATCH("Description",$A$1:$R$1,0)),"")&amp;""</f>
        <v/>
      </c>
      <c r="AE202" s="9">
        <f>IFERROR(INDEX($A202:$R202,MATCH("Job Number",$A$1:$R$1,0)),"")&amp;""</f>
        <v/>
      </c>
      <c r="AF202" s="54">
        <f>IF(AND(T202="Open",ISNUMBER(Z202),Z202&lt;EOMONTH(set_AsAt,-1)+1),3,0)</f>
        <v/>
      </c>
      <c r="AG202" s="54">
        <f>IF(AND(T202="Open",U202&gt;0,U202&gt;=set_DealShare*SUMIFS($U$2:$U$601,$T$2:$T$601,"Open")),3,0)</f>
        <v/>
      </c>
      <c r="AH202" s="54">
        <f>IF(AND(T202="Open",U202&gt;=set_BigValue,W202&lt;=set_EarlyProb),2,0)</f>
        <v/>
      </c>
      <c r="AI202" s="54">
        <f>IF(AND(OR(T202="Open",T202="Won"),V202=0),2,0)</f>
        <v/>
      </c>
      <c r="AJ202" s="54">
        <f>IF(AND(T202="Won",Y202&gt;0.5,ISNUMBER(Z202),Z202&lt;EOMONTH(set_AsAt,-1)+1),3,0)</f>
        <v/>
      </c>
      <c r="AK202" s="54">
        <f>IF(AND(T202="Won",Y202&lt;-1),1,0)</f>
        <v/>
      </c>
      <c r="AL202" s="54">
        <f>SUM(AF202:AK202)</f>
        <v/>
      </c>
      <c r="AM202" s="9">
        <f>IF(AL202&gt;=set_ScoreHigh,"High",IF(AL202&gt;=set_ScoreMed,"Medium",IF(AL202&gt;0,"Low","OK")))</f>
        <v/>
      </c>
      <c r="AN202" s="54">
        <f>IF(OR(T202="Open",AND(T202="Won",ABS(Y202)&gt;0.5)),1,0)</f>
        <v/>
      </c>
      <c r="AO202" s="52">
        <f>IF(T202="Open",IF(V202=0,0,X202),IF(T202="Won",MAX(0,Y202),0))</f>
        <v/>
      </c>
      <c r="AP202" s="54">
        <f>IF(AN202=1,AL202*1E+9+U202+ROW()/1E+6,"")</f>
        <v/>
      </c>
      <c r="AQ202" s="9">
        <f>MID(IF(AF202&gt;0,"; Expected month passed - update Zoho","")&amp;IF(AG202&gt;0,"; "&amp;TEXT(U202/MAX(1,SUMIFS($U$2:$U$601,$T$2:$T$601,"Open")),"0%")&amp;" of open pipeline in one deal","")&amp;IF(AH202&gt;0,"; Large deal at an early stage","")&amp;IF(AI202&gt;0,"; No amount in Zoho","")&amp;IF(AJ202&gt;0,"; Won, invoice month passed, not fully invoiced","")&amp;IF(AK202&gt;0,"; Xero invoiced more than the deal value",""),3,300)</f>
        <v/>
      </c>
    </row>
    <row r="203">
      <c r="A203" s="51" t="n">
        <v>46356</v>
      </c>
      <c r="B203" t="inlineStr">
        <is>
          <t>ZOHO</t>
        </is>
      </c>
      <c r="C203" t="inlineStr">
        <is>
          <t>2608501</t>
        </is>
      </c>
      <c r="D203" t="inlineStr">
        <is>
          <t>MUFG IR / Orient Capital</t>
        </is>
      </c>
      <c r="E203" t="inlineStr">
        <is>
          <t>2608501</t>
        </is>
      </c>
      <c r="G203" t="inlineStr">
        <is>
          <t>PRODUCTION</t>
        </is>
      </c>
      <c r="H203" t="inlineStr">
        <is>
          <t>MUFG - Australian Wool Innovation AGM - 12.11.26</t>
        </is>
      </c>
      <c r="I203" t="n">
        <v>25000</v>
      </c>
      <c r="J203" t="inlineStr">
        <is>
          <t>Open</t>
        </is>
      </c>
      <c r="L203" s="51" t="n">
        <v>46356</v>
      </c>
      <c r="M203" t="n">
        <v>0</v>
      </c>
      <c r="P203" t="inlineStr">
        <is>
          <t>Building Value Proposition</t>
        </is>
      </c>
      <c r="Q203" t="n">
        <v>0.25</v>
      </c>
      <c r="R203" t="n">
        <v>6250</v>
      </c>
      <c r="T203" s="9">
        <f>IFERROR(INDEX($A203:$R203,MATCH("Status",$A$1:$R$1,0)),"")&amp;""</f>
        <v/>
      </c>
      <c r="U203" s="52">
        <f>IFERROR(N(IFERROR(INDEX($A203:$R203,MATCH("Value Ex GST",$A$1:$R$1,0)),"")),0)</f>
        <v/>
      </c>
      <c r="V203" s="54">
        <f>IF(AND(T203&lt;&gt;"",IFERROR(INDEX($A203:$R203,MATCH("Value Ex GST",$A$1:$R$1,0)),"")&amp;""&lt;&gt;""),1,0)</f>
        <v/>
      </c>
      <c r="W203" s="56">
        <f>IFERROR(N(IFERROR(INDEX($A203:$R203,MATCH("Probability",$A$1:$R$1,0)),"")),0)</f>
        <v/>
      </c>
      <c r="X203" s="52">
        <f>IF(T203="Open",U203*W203,0)</f>
        <v/>
      </c>
      <c r="Y203" s="52">
        <f>IF(T203="Won",IFERROR(N(IFERROR(INDEX($A203:$R203,MATCH("Still to Invoice",$A$1:$R$1,0)),"")),0),0)</f>
        <v/>
      </c>
      <c r="Z203" s="55">
        <f>IFERROR(EOMONTH(IFERROR(INDEX($A203:$R203,MATCH("Expected Invoice Month",$A$1:$R$1,0)),""),0),"")</f>
        <v/>
      </c>
      <c r="AA203" s="9">
        <f>IFERROR(INDEX($A203:$R203,MATCH("Cost Centre",$A$1:$R$1,0)),"")&amp;""</f>
        <v/>
      </c>
      <c r="AB203" s="9">
        <f>IFERROR(INDEX($A203:$R203,MATCH("Pipeline Stage",$A$1:$R$1,0)),"")&amp;""</f>
        <v/>
      </c>
      <c r="AC203" s="9">
        <f>IFERROR(INDEX($A203:$R203,MATCH("Client",$A$1:$R$1,0)),"")&amp;""</f>
        <v/>
      </c>
      <c r="AD203" s="9">
        <f>IFERROR(INDEX($A203:$R203,MATCH("Description",$A$1:$R$1,0)),"")&amp;""</f>
        <v/>
      </c>
      <c r="AE203" s="9">
        <f>IFERROR(INDEX($A203:$R203,MATCH("Job Number",$A$1:$R$1,0)),"")&amp;""</f>
        <v/>
      </c>
      <c r="AF203" s="54">
        <f>IF(AND(T203="Open",ISNUMBER(Z203),Z203&lt;EOMONTH(set_AsAt,-1)+1),3,0)</f>
        <v/>
      </c>
      <c r="AG203" s="54">
        <f>IF(AND(T203="Open",U203&gt;0,U203&gt;=set_DealShare*SUMIFS($U$2:$U$601,$T$2:$T$601,"Open")),3,0)</f>
        <v/>
      </c>
      <c r="AH203" s="54">
        <f>IF(AND(T203="Open",U203&gt;=set_BigValue,W203&lt;=set_EarlyProb),2,0)</f>
        <v/>
      </c>
      <c r="AI203" s="54">
        <f>IF(AND(OR(T203="Open",T203="Won"),V203=0),2,0)</f>
        <v/>
      </c>
      <c r="AJ203" s="54">
        <f>IF(AND(T203="Won",Y203&gt;0.5,ISNUMBER(Z203),Z203&lt;EOMONTH(set_AsAt,-1)+1),3,0)</f>
        <v/>
      </c>
      <c r="AK203" s="54">
        <f>IF(AND(T203="Won",Y203&lt;-1),1,0)</f>
        <v/>
      </c>
      <c r="AL203" s="54">
        <f>SUM(AF203:AK203)</f>
        <v/>
      </c>
      <c r="AM203" s="9">
        <f>IF(AL203&gt;=set_ScoreHigh,"High",IF(AL203&gt;=set_ScoreMed,"Medium",IF(AL203&gt;0,"Low","OK")))</f>
        <v/>
      </c>
      <c r="AN203" s="54">
        <f>IF(OR(T203="Open",AND(T203="Won",ABS(Y203)&gt;0.5)),1,0)</f>
        <v/>
      </c>
      <c r="AO203" s="52">
        <f>IF(T203="Open",IF(V203=0,0,X203),IF(T203="Won",MAX(0,Y203),0))</f>
        <v/>
      </c>
      <c r="AP203" s="54">
        <f>IF(AN203=1,AL203*1E+9+U203+ROW()/1E+6,"")</f>
        <v/>
      </c>
      <c r="AQ203" s="9">
        <f>MID(IF(AF203&gt;0,"; Expected month passed - update Zoho","")&amp;IF(AG203&gt;0,"; "&amp;TEXT(U203/MAX(1,SUMIFS($U$2:$U$601,$T$2:$T$601,"Open")),"0%")&amp;" of open pipeline in one deal","")&amp;IF(AH203&gt;0,"; Large deal at an early stage","")&amp;IF(AI203&gt;0,"; No amount in Zoho","")&amp;IF(AJ203&gt;0,"; Won, invoice month passed, not fully invoiced","")&amp;IF(AK203&gt;0,"; Xero invoiced more than the deal value",""),3,300)</f>
        <v/>
      </c>
    </row>
    <row r="204">
      <c r="A204" s="51" t="n">
        <v>46387</v>
      </c>
      <c r="B204" t="inlineStr">
        <is>
          <t>ZOHO</t>
        </is>
      </c>
      <c r="C204" t="inlineStr">
        <is>
          <t>26041604</t>
        </is>
      </c>
      <c r="D204" t="inlineStr">
        <is>
          <t>Optiver</t>
        </is>
      </c>
      <c r="E204" t="inlineStr">
        <is>
          <t>26041604</t>
        </is>
      </c>
      <c r="G204" t="inlineStr">
        <is>
          <t>PRODUCTION</t>
        </is>
      </c>
      <c r="H204" t="inlineStr">
        <is>
          <t>Optiver - Town Hall - 17.12.26</t>
        </is>
      </c>
      <c r="I204" t="n">
        <v>10000</v>
      </c>
      <c r="J204" t="inlineStr">
        <is>
          <t>Open</t>
        </is>
      </c>
      <c r="L204" s="51" t="n">
        <v>46387</v>
      </c>
      <c r="M204" t="n">
        <v>0</v>
      </c>
      <c r="P204" t="inlineStr">
        <is>
          <t>Building Value Proposition</t>
        </is>
      </c>
      <c r="Q204" t="n">
        <v>0.25</v>
      </c>
      <c r="R204" t="n">
        <v>2500</v>
      </c>
      <c r="T204" s="9">
        <f>IFERROR(INDEX($A204:$R204,MATCH("Status",$A$1:$R$1,0)),"")&amp;""</f>
        <v/>
      </c>
      <c r="U204" s="52">
        <f>IFERROR(N(IFERROR(INDEX($A204:$R204,MATCH("Value Ex GST",$A$1:$R$1,0)),"")),0)</f>
        <v/>
      </c>
      <c r="V204" s="54">
        <f>IF(AND(T204&lt;&gt;"",IFERROR(INDEX($A204:$R204,MATCH("Value Ex GST",$A$1:$R$1,0)),"")&amp;""&lt;&gt;""),1,0)</f>
        <v/>
      </c>
      <c r="W204" s="56">
        <f>IFERROR(N(IFERROR(INDEX($A204:$R204,MATCH("Probability",$A$1:$R$1,0)),"")),0)</f>
        <v/>
      </c>
      <c r="X204" s="52">
        <f>IF(T204="Open",U204*W204,0)</f>
        <v/>
      </c>
      <c r="Y204" s="52">
        <f>IF(T204="Won",IFERROR(N(IFERROR(INDEX($A204:$R204,MATCH("Still to Invoice",$A$1:$R$1,0)),"")),0),0)</f>
        <v/>
      </c>
      <c r="Z204" s="55">
        <f>IFERROR(EOMONTH(IFERROR(INDEX($A204:$R204,MATCH("Expected Invoice Month",$A$1:$R$1,0)),""),0),"")</f>
        <v/>
      </c>
      <c r="AA204" s="9">
        <f>IFERROR(INDEX($A204:$R204,MATCH("Cost Centre",$A$1:$R$1,0)),"")&amp;""</f>
        <v/>
      </c>
      <c r="AB204" s="9">
        <f>IFERROR(INDEX($A204:$R204,MATCH("Pipeline Stage",$A$1:$R$1,0)),"")&amp;""</f>
        <v/>
      </c>
      <c r="AC204" s="9">
        <f>IFERROR(INDEX($A204:$R204,MATCH("Client",$A$1:$R$1,0)),"")&amp;""</f>
        <v/>
      </c>
      <c r="AD204" s="9">
        <f>IFERROR(INDEX($A204:$R204,MATCH("Description",$A$1:$R$1,0)),"")&amp;""</f>
        <v/>
      </c>
      <c r="AE204" s="9">
        <f>IFERROR(INDEX($A204:$R204,MATCH("Job Number",$A$1:$R$1,0)),"")&amp;""</f>
        <v/>
      </c>
      <c r="AF204" s="54">
        <f>IF(AND(T204="Open",ISNUMBER(Z204),Z204&lt;EOMONTH(set_AsAt,-1)+1),3,0)</f>
        <v/>
      </c>
      <c r="AG204" s="54">
        <f>IF(AND(T204="Open",U204&gt;0,U204&gt;=set_DealShare*SUMIFS($U$2:$U$601,$T$2:$T$601,"Open")),3,0)</f>
        <v/>
      </c>
      <c r="AH204" s="54">
        <f>IF(AND(T204="Open",U204&gt;=set_BigValue,W204&lt;=set_EarlyProb),2,0)</f>
        <v/>
      </c>
      <c r="AI204" s="54">
        <f>IF(AND(OR(T204="Open",T204="Won"),V204=0),2,0)</f>
        <v/>
      </c>
      <c r="AJ204" s="54">
        <f>IF(AND(T204="Won",Y204&gt;0.5,ISNUMBER(Z204),Z204&lt;EOMONTH(set_AsAt,-1)+1),3,0)</f>
        <v/>
      </c>
      <c r="AK204" s="54">
        <f>IF(AND(T204="Won",Y204&lt;-1),1,0)</f>
        <v/>
      </c>
      <c r="AL204" s="54">
        <f>SUM(AF204:AK204)</f>
        <v/>
      </c>
      <c r="AM204" s="9">
        <f>IF(AL204&gt;=set_ScoreHigh,"High",IF(AL204&gt;=set_ScoreMed,"Medium",IF(AL204&gt;0,"Low","OK")))</f>
        <v/>
      </c>
      <c r="AN204" s="54">
        <f>IF(OR(T204="Open",AND(T204="Won",ABS(Y204)&gt;0.5)),1,0)</f>
        <v/>
      </c>
      <c r="AO204" s="52">
        <f>IF(T204="Open",IF(V204=0,0,X204),IF(T204="Won",MAX(0,Y204),0))</f>
        <v/>
      </c>
      <c r="AP204" s="54">
        <f>IF(AN204=1,AL204*1E+9+U204+ROW()/1E+6,"")</f>
        <v/>
      </c>
      <c r="AQ204" s="9">
        <f>MID(IF(AF204&gt;0,"; Expected month passed - update Zoho","")&amp;IF(AG204&gt;0,"; "&amp;TEXT(U204/MAX(1,SUMIFS($U$2:$U$601,$T$2:$T$601,"Open")),"0%")&amp;" of open pipeline in one deal","")&amp;IF(AH204&gt;0,"; Large deal at an early stage","")&amp;IF(AI204&gt;0,"; No amount in Zoho","")&amp;IF(AJ204&gt;0,"; Won, invoice month passed, not fully invoiced","")&amp;IF(AK204&gt;0,"; Xero invoiced more than the deal value",""),3,300)</f>
        <v/>
      </c>
    </row>
    <row r="205">
      <c r="A205" s="51" t="n">
        <v>46295</v>
      </c>
      <c r="B205" t="inlineStr">
        <is>
          <t>ZOHO</t>
        </is>
      </c>
      <c r="C205" t="inlineStr">
        <is>
          <t>26092102</t>
        </is>
      </c>
      <c r="D205" t="inlineStr">
        <is>
          <t>ASX Australian Securities Exchange</t>
        </is>
      </c>
      <c r="E205" t="inlineStr">
        <is>
          <t>26092102</t>
        </is>
      </c>
      <c r="G205" t="inlineStr">
        <is>
          <t>PRODUCTION</t>
        </is>
      </c>
      <c r="H205" t="inlineStr">
        <is>
          <t>ASX - Exchange Place External Listing Audio - 30.10.26</t>
        </is>
      </c>
      <c r="I205" t="n">
        <v>0</v>
      </c>
      <c r="J205" t="inlineStr">
        <is>
          <t>Open</t>
        </is>
      </c>
      <c r="L205" s="51" t="n">
        <v>46326</v>
      </c>
      <c r="M205" t="n">
        <v>0</v>
      </c>
      <c r="O205" t="inlineStr">
        <is>
          <t>Invoice month taken from the event date in the deal name</t>
        </is>
      </c>
      <c r="P205" t="inlineStr">
        <is>
          <t>Building Value Proposition</t>
        </is>
      </c>
      <c r="Q205" t="n">
        <v>0.25</v>
      </c>
      <c r="R205" t="n">
        <v>0</v>
      </c>
      <c r="T205" s="9">
        <f>IFERROR(INDEX($A205:$R205,MATCH("Status",$A$1:$R$1,0)),"")&amp;""</f>
        <v/>
      </c>
      <c r="U205" s="52">
        <f>IFERROR(N(IFERROR(INDEX($A205:$R205,MATCH("Value Ex GST",$A$1:$R$1,0)),"")),0)</f>
        <v/>
      </c>
      <c r="V205" s="54">
        <f>IF(AND(T205&lt;&gt;"",IFERROR(INDEX($A205:$R205,MATCH("Value Ex GST",$A$1:$R$1,0)),"")&amp;""&lt;&gt;""),1,0)</f>
        <v/>
      </c>
      <c r="W205" s="56">
        <f>IFERROR(N(IFERROR(INDEX($A205:$R205,MATCH("Probability",$A$1:$R$1,0)),"")),0)</f>
        <v/>
      </c>
      <c r="X205" s="52">
        <f>IF(T205="Open",U205*W205,0)</f>
        <v/>
      </c>
      <c r="Y205" s="52">
        <f>IF(T205="Won",IFERROR(N(IFERROR(INDEX($A205:$R205,MATCH("Still to Invoice",$A$1:$R$1,0)),"")),0),0)</f>
        <v/>
      </c>
      <c r="Z205" s="55">
        <f>IFERROR(EOMONTH(IFERROR(INDEX($A205:$R205,MATCH("Expected Invoice Month",$A$1:$R$1,0)),""),0),"")</f>
        <v/>
      </c>
      <c r="AA205" s="9">
        <f>IFERROR(INDEX($A205:$R205,MATCH("Cost Centre",$A$1:$R$1,0)),"")&amp;""</f>
        <v/>
      </c>
      <c r="AB205" s="9">
        <f>IFERROR(INDEX($A205:$R205,MATCH("Pipeline Stage",$A$1:$R$1,0)),"")&amp;""</f>
        <v/>
      </c>
      <c r="AC205" s="9">
        <f>IFERROR(INDEX($A205:$R205,MATCH("Client",$A$1:$R$1,0)),"")&amp;""</f>
        <v/>
      </c>
      <c r="AD205" s="9">
        <f>IFERROR(INDEX($A205:$R205,MATCH("Description",$A$1:$R$1,0)),"")&amp;""</f>
        <v/>
      </c>
      <c r="AE205" s="9">
        <f>IFERROR(INDEX($A205:$R205,MATCH("Job Number",$A$1:$R$1,0)),"")&amp;""</f>
        <v/>
      </c>
      <c r="AF205" s="54">
        <f>IF(AND(T205="Open",ISNUMBER(Z205),Z205&lt;EOMONTH(set_AsAt,-1)+1),3,0)</f>
        <v/>
      </c>
      <c r="AG205" s="54">
        <f>IF(AND(T205="Open",U205&gt;0,U205&gt;=set_DealShare*SUMIFS($U$2:$U$601,$T$2:$T$601,"Open")),3,0)</f>
        <v/>
      </c>
      <c r="AH205" s="54">
        <f>IF(AND(T205="Open",U205&gt;=set_BigValue,W205&lt;=set_EarlyProb),2,0)</f>
        <v/>
      </c>
      <c r="AI205" s="54">
        <f>IF(AND(OR(T205="Open",T205="Won"),V205=0),2,0)</f>
        <v/>
      </c>
      <c r="AJ205" s="54">
        <f>IF(AND(T205="Won",Y205&gt;0.5,ISNUMBER(Z205),Z205&lt;EOMONTH(set_AsAt,-1)+1),3,0)</f>
        <v/>
      </c>
      <c r="AK205" s="54">
        <f>IF(AND(T205="Won",Y205&lt;-1),1,0)</f>
        <v/>
      </c>
      <c r="AL205" s="54">
        <f>SUM(AF205:AK205)</f>
        <v/>
      </c>
      <c r="AM205" s="9">
        <f>IF(AL205&gt;=set_ScoreHigh,"High",IF(AL205&gt;=set_ScoreMed,"Medium",IF(AL205&gt;0,"Low","OK")))</f>
        <v/>
      </c>
      <c r="AN205" s="54">
        <f>IF(OR(T205="Open",AND(T205="Won",ABS(Y205)&gt;0.5)),1,0)</f>
        <v/>
      </c>
      <c r="AO205" s="52">
        <f>IF(T205="Open",IF(V205=0,0,X205),IF(T205="Won",MAX(0,Y205),0))</f>
        <v/>
      </c>
      <c r="AP205" s="54">
        <f>IF(AN205=1,AL205*1E+9+U205+ROW()/1E+6,"")</f>
        <v/>
      </c>
      <c r="AQ205" s="9">
        <f>MID(IF(AF205&gt;0,"; Expected month passed - update Zoho","")&amp;IF(AG205&gt;0,"; "&amp;TEXT(U205/MAX(1,SUMIFS($U$2:$U$601,$T$2:$T$601,"Open")),"0%")&amp;" of open pipeline in one deal","")&amp;IF(AH205&gt;0,"; Large deal at an early stage","")&amp;IF(AI205&gt;0,"; No amount in Zoho","")&amp;IF(AJ205&gt;0,"; Won, invoice month passed, not fully invoiced","")&amp;IF(AK205&gt;0,"; Xero invoiced more than the deal value",""),3,300)</f>
        <v/>
      </c>
    </row>
    <row r="206">
      <c r="A206" s="51" t="n">
        <v>46326</v>
      </c>
      <c r="B206" t="inlineStr">
        <is>
          <t>ZOHO</t>
        </is>
      </c>
      <c r="C206" t="inlineStr">
        <is>
          <t>26092103</t>
        </is>
      </c>
      <c r="D206" t="inlineStr">
        <is>
          <t>ASX Australian Securities Exchange</t>
        </is>
      </c>
      <c r="E206" t="inlineStr">
        <is>
          <t>26092103</t>
        </is>
      </c>
      <c r="G206" t="inlineStr">
        <is>
          <t>CONSULTING</t>
        </is>
      </c>
      <c r="H206" t="inlineStr">
        <is>
          <t>Exchange Place Permanent External Audio</t>
        </is>
      </c>
      <c r="I206" t="n">
        <v>0</v>
      </c>
      <c r="J206" t="inlineStr">
        <is>
          <t>Open</t>
        </is>
      </c>
      <c r="L206" s="51" t="n">
        <v>46326</v>
      </c>
      <c r="M206" t="n">
        <v>0</v>
      </c>
      <c r="P206" t="inlineStr">
        <is>
          <t>Building Value Proposition</t>
        </is>
      </c>
      <c r="Q206" t="n">
        <v>0.25</v>
      </c>
      <c r="R206" t="n">
        <v>0</v>
      </c>
      <c r="T206" s="9">
        <f>IFERROR(INDEX($A206:$R206,MATCH("Status",$A$1:$R$1,0)),"")&amp;""</f>
        <v/>
      </c>
      <c r="U206" s="52">
        <f>IFERROR(N(IFERROR(INDEX($A206:$R206,MATCH("Value Ex GST",$A$1:$R$1,0)),"")),0)</f>
        <v/>
      </c>
      <c r="V206" s="54">
        <f>IF(AND(T206&lt;&gt;"",IFERROR(INDEX($A206:$R206,MATCH("Value Ex GST",$A$1:$R$1,0)),"")&amp;""&lt;&gt;""),1,0)</f>
        <v/>
      </c>
      <c r="W206" s="56">
        <f>IFERROR(N(IFERROR(INDEX($A206:$R206,MATCH("Probability",$A$1:$R$1,0)),"")),0)</f>
        <v/>
      </c>
      <c r="X206" s="52">
        <f>IF(T206="Open",U206*W206,0)</f>
        <v/>
      </c>
      <c r="Y206" s="52">
        <f>IF(T206="Won",IFERROR(N(IFERROR(INDEX($A206:$R206,MATCH("Still to Invoice",$A$1:$R$1,0)),"")),0),0)</f>
        <v/>
      </c>
      <c r="Z206" s="55">
        <f>IFERROR(EOMONTH(IFERROR(INDEX($A206:$R206,MATCH("Expected Invoice Month",$A$1:$R$1,0)),""),0),"")</f>
        <v/>
      </c>
      <c r="AA206" s="9">
        <f>IFERROR(INDEX($A206:$R206,MATCH("Cost Centre",$A$1:$R$1,0)),"")&amp;""</f>
        <v/>
      </c>
      <c r="AB206" s="9">
        <f>IFERROR(INDEX($A206:$R206,MATCH("Pipeline Stage",$A$1:$R$1,0)),"")&amp;""</f>
        <v/>
      </c>
      <c r="AC206" s="9">
        <f>IFERROR(INDEX($A206:$R206,MATCH("Client",$A$1:$R$1,0)),"")&amp;""</f>
        <v/>
      </c>
      <c r="AD206" s="9">
        <f>IFERROR(INDEX($A206:$R206,MATCH("Description",$A$1:$R$1,0)),"")&amp;""</f>
        <v/>
      </c>
      <c r="AE206" s="9">
        <f>IFERROR(INDEX($A206:$R206,MATCH("Job Number",$A$1:$R$1,0)),"")&amp;""</f>
        <v/>
      </c>
      <c r="AF206" s="54">
        <f>IF(AND(T206="Open",ISNUMBER(Z206),Z206&lt;EOMONTH(set_AsAt,-1)+1),3,0)</f>
        <v/>
      </c>
      <c r="AG206" s="54">
        <f>IF(AND(T206="Open",U206&gt;0,U206&gt;=set_DealShare*SUMIFS($U$2:$U$601,$T$2:$T$601,"Open")),3,0)</f>
        <v/>
      </c>
      <c r="AH206" s="54">
        <f>IF(AND(T206="Open",U206&gt;=set_BigValue,W206&lt;=set_EarlyProb),2,0)</f>
        <v/>
      </c>
      <c r="AI206" s="54">
        <f>IF(AND(OR(T206="Open",T206="Won"),V206=0),2,0)</f>
        <v/>
      </c>
      <c r="AJ206" s="54">
        <f>IF(AND(T206="Won",Y206&gt;0.5,ISNUMBER(Z206),Z206&lt;EOMONTH(set_AsAt,-1)+1),3,0)</f>
        <v/>
      </c>
      <c r="AK206" s="54">
        <f>IF(AND(T206="Won",Y206&lt;-1),1,0)</f>
        <v/>
      </c>
      <c r="AL206" s="54">
        <f>SUM(AF206:AK206)</f>
        <v/>
      </c>
      <c r="AM206" s="9">
        <f>IF(AL206&gt;=set_ScoreHigh,"High",IF(AL206&gt;=set_ScoreMed,"Medium",IF(AL206&gt;0,"Low","OK")))</f>
        <v/>
      </c>
      <c r="AN206" s="54">
        <f>IF(OR(T206="Open",AND(T206="Won",ABS(Y206)&gt;0.5)),1,0)</f>
        <v/>
      </c>
      <c r="AO206" s="52">
        <f>IF(T206="Open",IF(V206=0,0,X206),IF(T206="Won",MAX(0,Y206),0))</f>
        <v/>
      </c>
      <c r="AP206" s="54">
        <f>IF(AN206=1,AL206*1E+9+U206+ROW()/1E+6,"")</f>
        <v/>
      </c>
      <c r="AQ206" s="9">
        <f>MID(IF(AF206&gt;0,"; Expected month passed - update Zoho","")&amp;IF(AG206&gt;0,"; "&amp;TEXT(U206/MAX(1,SUMIFS($U$2:$U$601,$T$2:$T$601,"Open")),"0%")&amp;" of open pipeline in one deal","")&amp;IF(AH206&gt;0,"; Large deal at an early stage","")&amp;IF(AI206&gt;0,"; No amount in Zoho","")&amp;IF(AJ206&gt;0,"; Won, invoice month passed, not fully invoiced","")&amp;IF(AK206&gt;0,"; Xero invoiced more than the deal value",""),3,300)</f>
        <v/>
      </c>
    </row>
    <row r="207">
      <c r="T207" s="9">
        <f>IFERROR(INDEX($A207:$R207,MATCH("Status",$A$1:$R$1,0)),"")&amp;""</f>
        <v/>
      </c>
      <c r="U207" s="52">
        <f>IFERROR(N(IFERROR(INDEX($A207:$R207,MATCH("Value Ex GST",$A$1:$R$1,0)),"")),0)</f>
        <v/>
      </c>
      <c r="V207" s="54">
        <f>IF(AND(T207&lt;&gt;"",IFERROR(INDEX($A207:$R207,MATCH("Value Ex GST",$A$1:$R$1,0)),"")&amp;""&lt;&gt;""),1,0)</f>
        <v/>
      </c>
      <c r="W207" s="56">
        <f>IFERROR(N(IFERROR(INDEX($A207:$R207,MATCH("Probability",$A$1:$R$1,0)),"")),0)</f>
        <v/>
      </c>
      <c r="X207" s="52">
        <f>IF(T207="Open",U207*W207,0)</f>
        <v/>
      </c>
      <c r="Y207" s="52">
        <f>IF(T207="Won",IFERROR(N(IFERROR(INDEX($A207:$R207,MATCH("Still to Invoice",$A$1:$R$1,0)),"")),0),0)</f>
        <v/>
      </c>
      <c r="Z207" s="55">
        <f>IFERROR(EOMONTH(IFERROR(INDEX($A207:$R207,MATCH("Expected Invoice Month",$A$1:$R$1,0)),""),0),"")</f>
        <v/>
      </c>
      <c r="AA207" s="9">
        <f>IFERROR(INDEX($A207:$R207,MATCH("Cost Centre",$A$1:$R$1,0)),"")&amp;""</f>
        <v/>
      </c>
      <c r="AB207" s="9">
        <f>IFERROR(INDEX($A207:$R207,MATCH("Pipeline Stage",$A$1:$R$1,0)),"")&amp;""</f>
        <v/>
      </c>
      <c r="AC207" s="9">
        <f>IFERROR(INDEX($A207:$R207,MATCH("Client",$A$1:$R$1,0)),"")&amp;""</f>
        <v/>
      </c>
      <c r="AD207" s="9">
        <f>IFERROR(INDEX($A207:$R207,MATCH("Description",$A$1:$R$1,0)),"")&amp;""</f>
        <v/>
      </c>
      <c r="AE207" s="9">
        <f>IFERROR(INDEX($A207:$R207,MATCH("Job Number",$A$1:$R$1,0)),"")&amp;""</f>
        <v/>
      </c>
      <c r="AF207" s="54">
        <f>IF(AND(T207="Open",ISNUMBER(Z207),Z207&lt;EOMONTH(set_AsAt,-1)+1),3,0)</f>
        <v/>
      </c>
      <c r="AG207" s="54">
        <f>IF(AND(T207="Open",U207&gt;0,U207&gt;=set_DealShare*SUMIFS($U$2:$U$601,$T$2:$T$601,"Open")),3,0)</f>
        <v/>
      </c>
      <c r="AH207" s="54">
        <f>IF(AND(T207="Open",U207&gt;=set_BigValue,W207&lt;=set_EarlyProb),2,0)</f>
        <v/>
      </c>
      <c r="AI207" s="54">
        <f>IF(AND(OR(T207="Open",T207="Won"),V207=0),2,0)</f>
        <v/>
      </c>
      <c r="AJ207" s="54">
        <f>IF(AND(T207="Won",Y207&gt;0.5,ISNUMBER(Z207),Z207&lt;EOMONTH(set_AsAt,-1)+1),3,0)</f>
        <v/>
      </c>
      <c r="AK207" s="54">
        <f>IF(AND(T207="Won",Y207&lt;-1),1,0)</f>
        <v/>
      </c>
      <c r="AL207" s="54">
        <f>SUM(AF207:AK207)</f>
        <v/>
      </c>
      <c r="AM207" s="9">
        <f>IF(AL207&gt;=set_ScoreHigh,"High",IF(AL207&gt;=set_ScoreMed,"Medium",IF(AL207&gt;0,"Low","OK")))</f>
        <v/>
      </c>
      <c r="AN207" s="54">
        <f>IF(OR(T207="Open",AND(T207="Won",ABS(Y207)&gt;0.5)),1,0)</f>
        <v/>
      </c>
      <c r="AO207" s="52">
        <f>IF(T207="Open",IF(V207=0,0,X207),IF(T207="Won",MAX(0,Y207),0))</f>
        <v/>
      </c>
      <c r="AP207" s="54">
        <f>IF(AN207=1,AL207*1E+9+U207+ROW()/1E+6,"")</f>
        <v/>
      </c>
      <c r="AQ207" s="9">
        <f>MID(IF(AF207&gt;0,"; Expected month passed - update Zoho","")&amp;IF(AG207&gt;0,"; "&amp;TEXT(U207/MAX(1,SUMIFS($U$2:$U$601,$T$2:$T$601,"Open")),"0%")&amp;" of open pipeline in one deal","")&amp;IF(AH207&gt;0,"; Large deal at an early stage","")&amp;IF(AI207&gt;0,"; No amount in Zoho","")&amp;IF(AJ207&gt;0,"; Won, invoice month passed, not fully invoiced","")&amp;IF(AK207&gt;0,"; Xero invoiced more than the deal value",""),3,300)</f>
        <v/>
      </c>
    </row>
    <row r="208">
      <c r="T208" s="9">
        <f>IFERROR(INDEX($A208:$R208,MATCH("Status",$A$1:$R$1,0)),"")&amp;""</f>
        <v/>
      </c>
      <c r="U208" s="52">
        <f>IFERROR(N(IFERROR(INDEX($A208:$R208,MATCH("Value Ex GST",$A$1:$R$1,0)),"")),0)</f>
        <v/>
      </c>
      <c r="V208" s="54">
        <f>IF(AND(T208&lt;&gt;"",IFERROR(INDEX($A208:$R208,MATCH("Value Ex GST",$A$1:$R$1,0)),"")&amp;""&lt;&gt;""),1,0)</f>
        <v/>
      </c>
      <c r="W208" s="56">
        <f>IFERROR(N(IFERROR(INDEX($A208:$R208,MATCH("Probability",$A$1:$R$1,0)),"")),0)</f>
        <v/>
      </c>
      <c r="X208" s="52">
        <f>IF(T208="Open",U208*W208,0)</f>
        <v/>
      </c>
      <c r="Y208" s="52">
        <f>IF(T208="Won",IFERROR(N(IFERROR(INDEX($A208:$R208,MATCH("Still to Invoice",$A$1:$R$1,0)),"")),0),0)</f>
        <v/>
      </c>
      <c r="Z208" s="55">
        <f>IFERROR(EOMONTH(IFERROR(INDEX($A208:$R208,MATCH("Expected Invoice Month",$A$1:$R$1,0)),""),0),"")</f>
        <v/>
      </c>
      <c r="AA208" s="9">
        <f>IFERROR(INDEX($A208:$R208,MATCH("Cost Centre",$A$1:$R$1,0)),"")&amp;""</f>
        <v/>
      </c>
      <c r="AB208" s="9">
        <f>IFERROR(INDEX($A208:$R208,MATCH("Pipeline Stage",$A$1:$R$1,0)),"")&amp;""</f>
        <v/>
      </c>
      <c r="AC208" s="9">
        <f>IFERROR(INDEX($A208:$R208,MATCH("Client",$A$1:$R$1,0)),"")&amp;""</f>
        <v/>
      </c>
      <c r="AD208" s="9">
        <f>IFERROR(INDEX($A208:$R208,MATCH("Description",$A$1:$R$1,0)),"")&amp;""</f>
        <v/>
      </c>
      <c r="AE208" s="9">
        <f>IFERROR(INDEX($A208:$R208,MATCH("Job Number",$A$1:$R$1,0)),"")&amp;""</f>
        <v/>
      </c>
      <c r="AF208" s="54">
        <f>IF(AND(T208="Open",ISNUMBER(Z208),Z208&lt;EOMONTH(set_AsAt,-1)+1),3,0)</f>
        <v/>
      </c>
      <c r="AG208" s="54">
        <f>IF(AND(T208="Open",U208&gt;0,U208&gt;=set_DealShare*SUMIFS($U$2:$U$601,$T$2:$T$601,"Open")),3,0)</f>
        <v/>
      </c>
      <c r="AH208" s="54">
        <f>IF(AND(T208="Open",U208&gt;=set_BigValue,W208&lt;=set_EarlyProb),2,0)</f>
        <v/>
      </c>
      <c r="AI208" s="54">
        <f>IF(AND(OR(T208="Open",T208="Won"),V208=0),2,0)</f>
        <v/>
      </c>
      <c r="AJ208" s="54">
        <f>IF(AND(T208="Won",Y208&gt;0.5,ISNUMBER(Z208),Z208&lt;EOMONTH(set_AsAt,-1)+1),3,0)</f>
        <v/>
      </c>
      <c r="AK208" s="54">
        <f>IF(AND(T208="Won",Y208&lt;-1),1,0)</f>
        <v/>
      </c>
      <c r="AL208" s="54">
        <f>SUM(AF208:AK208)</f>
        <v/>
      </c>
      <c r="AM208" s="9">
        <f>IF(AL208&gt;=set_ScoreHigh,"High",IF(AL208&gt;=set_ScoreMed,"Medium",IF(AL208&gt;0,"Low","OK")))</f>
        <v/>
      </c>
      <c r="AN208" s="54">
        <f>IF(OR(T208="Open",AND(T208="Won",ABS(Y208)&gt;0.5)),1,0)</f>
        <v/>
      </c>
      <c r="AO208" s="52">
        <f>IF(T208="Open",IF(V208=0,0,X208),IF(T208="Won",MAX(0,Y208),0))</f>
        <v/>
      </c>
      <c r="AP208" s="54">
        <f>IF(AN208=1,AL208*1E+9+U208+ROW()/1E+6,"")</f>
        <v/>
      </c>
      <c r="AQ208" s="9">
        <f>MID(IF(AF208&gt;0,"; Expected month passed - update Zoho","")&amp;IF(AG208&gt;0,"; "&amp;TEXT(U208/MAX(1,SUMIFS($U$2:$U$601,$T$2:$T$601,"Open")),"0%")&amp;" of open pipeline in one deal","")&amp;IF(AH208&gt;0,"; Large deal at an early stage","")&amp;IF(AI208&gt;0,"; No amount in Zoho","")&amp;IF(AJ208&gt;0,"; Won, invoice month passed, not fully invoiced","")&amp;IF(AK208&gt;0,"; Xero invoiced more than the deal value",""),3,300)</f>
        <v/>
      </c>
    </row>
    <row r="209">
      <c r="T209" s="9">
        <f>IFERROR(INDEX($A209:$R209,MATCH("Status",$A$1:$R$1,0)),"")&amp;""</f>
        <v/>
      </c>
      <c r="U209" s="52">
        <f>IFERROR(N(IFERROR(INDEX($A209:$R209,MATCH("Value Ex GST",$A$1:$R$1,0)),"")),0)</f>
        <v/>
      </c>
      <c r="V209" s="54">
        <f>IF(AND(T209&lt;&gt;"",IFERROR(INDEX($A209:$R209,MATCH("Value Ex GST",$A$1:$R$1,0)),"")&amp;""&lt;&gt;""),1,0)</f>
        <v/>
      </c>
      <c r="W209" s="56">
        <f>IFERROR(N(IFERROR(INDEX($A209:$R209,MATCH("Probability",$A$1:$R$1,0)),"")),0)</f>
        <v/>
      </c>
      <c r="X209" s="52">
        <f>IF(T209="Open",U209*W209,0)</f>
        <v/>
      </c>
      <c r="Y209" s="52">
        <f>IF(T209="Won",IFERROR(N(IFERROR(INDEX($A209:$R209,MATCH("Still to Invoice",$A$1:$R$1,0)),"")),0),0)</f>
        <v/>
      </c>
      <c r="Z209" s="55">
        <f>IFERROR(EOMONTH(IFERROR(INDEX($A209:$R209,MATCH("Expected Invoice Month",$A$1:$R$1,0)),""),0),"")</f>
        <v/>
      </c>
      <c r="AA209" s="9">
        <f>IFERROR(INDEX($A209:$R209,MATCH("Cost Centre",$A$1:$R$1,0)),"")&amp;""</f>
        <v/>
      </c>
      <c r="AB209" s="9">
        <f>IFERROR(INDEX($A209:$R209,MATCH("Pipeline Stage",$A$1:$R$1,0)),"")&amp;""</f>
        <v/>
      </c>
      <c r="AC209" s="9">
        <f>IFERROR(INDEX($A209:$R209,MATCH("Client",$A$1:$R$1,0)),"")&amp;""</f>
        <v/>
      </c>
      <c r="AD209" s="9">
        <f>IFERROR(INDEX($A209:$R209,MATCH("Description",$A$1:$R$1,0)),"")&amp;""</f>
        <v/>
      </c>
      <c r="AE209" s="9">
        <f>IFERROR(INDEX($A209:$R209,MATCH("Job Number",$A$1:$R$1,0)),"")&amp;""</f>
        <v/>
      </c>
      <c r="AF209" s="54">
        <f>IF(AND(T209="Open",ISNUMBER(Z209),Z209&lt;EOMONTH(set_AsAt,-1)+1),3,0)</f>
        <v/>
      </c>
      <c r="AG209" s="54">
        <f>IF(AND(T209="Open",U209&gt;0,U209&gt;=set_DealShare*SUMIFS($U$2:$U$601,$T$2:$T$601,"Open")),3,0)</f>
        <v/>
      </c>
      <c r="AH209" s="54">
        <f>IF(AND(T209="Open",U209&gt;=set_BigValue,W209&lt;=set_EarlyProb),2,0)</f>
        <v/>
      </c>
      <c r="AI209" s="54">
        <f>IF(AND(OR(T209="Open",T209="Won"),V209=0),2,0)</f>
        <v/>
      </c>
      <c r="AJ209" s="54">
        <f>IF(AND(T209="Won",Y209&gt;0.5,ISNUMBER(Z209),Z209&lt;EOMONTH(set_AsAt,-1)+1),3,0)</f>
        <v/>
      </c>
      <c r="AK209" s="54">
        <f>IF(AND(T209="Won",Y209&lt;-1),1,0)</f>
        <v/>
      </c>
      <c r="AL209" s="54">
        <f>SUM(AF209:AK209)</f>
        <v/>
      </c>
      <c r="AM209" s="9">
        <f>IF(AL209&gt;=set_ScoreHigh,"High",IF(AL209&gt;=set_ScoreMed,"Medium",IF(AL209&gt;0,"Low","OK")))</f>
        <v/>
      </c>
      <c r="AN209" s="54">
        <f>IF(OR(T209="Open",AND(T209="Won",ABS(Y209)&gt;0.5)),1,0)</f>
        <v/>
      </c>
      <c r="AO209" s="52">
        <f>IF(T209="Open",IF(V209=0,0,X209),IF(T209="Won",MAX(0,Y209),0))</f>
        <v/>
      </c>
      <c r="AP209" s="54">
        <f>IF(AN209=1,AL209*1E+9+U209+ROW()/1E+6,"")</f>
        <v/>
      </c>
      <c r="AQ209" s="9">
        <f>MID(IF(AF209&gt;0,"; Expected month passed - update Zoho","")&amp;IF(AG209&gt;0,"; "&amp;TEXT(U209/MAX(1,SUMIFS($U$2:$U$601,$T$2:$T$601,"Open")),"0%")&amp;" of open pipeline in one deal","")&amp;IF(AH209&gt;0,"; Large deal at an early stage","")&amp;IF(AI209&gt;0,"; No amount in Zoho","")&amp;IF(AJ209&gt;0,"; Won, invoice month passed, not fully invoiced","")&amp;IF(AK209&gt;0,"; Xero invoiced more than the deal value",""),3,300)</f>
        <v/>
      </c>
    </row>
    <row r="210">
      <c r="T210" s="9">
        <f>IFERROR(INDEX($A210:$R210,MATCH("Status",$A$1:$R$1,0)),"")&amp;""</f>
        <v/>
      </c>
      <c r="U210" s="52">
        <f>IFERROR(N(IFERROR(INDEX($A210:$R210,MATCH("Value Ex GST",$A$1:$R$1,0)),"")),0)</f>
        <v/>
      </c>
      <c r="V210" s="54">
        <f>IF(AND(T210&lt;&gt;"",IFERROR(INDEX($A210:$R210,MATCH("Value Ex GST",$A$1:$R$1,0)),"")&amp;""&lt;&gt;""),1,0)</f>
        <v/>
      </c>
      <c r="W210" s="56">
        <f>IFERROR(N(IFERROR(INDEX($A210:$R210,MATCH("Probability",$A$1:$R$1,0)),"")),0)</f>
        <v/>
      </c>
      <c r="X210" s="52">
        <f>IF(T210="Open",U210*W210,0)</f>
        <v/>
      </c>
      <c r="Y210" s="52">
        <f>IF(T210="Won",IFERROR(N(IFERROR(INDEX($A210:$R210,MATCH("Still to Invoice",$A$1:$R$1,0)),"")),0),0)</f>
        <v/>
      </c>
      <c r="Z210" s="55">
        <f>IFERROR(EOMONTH(IFERROR(INDEX($A210:$R210,MATCH("Expected Invoice Month",$A$1:$R$1,0)),""),0),"")</f>
        <v/>
      </c>
      <c r="AA210" s="9">
        <f>IFERROR(INDEX($A210:$R210,MATCH("Cost Centre",$A$1:$R$1,0)),"")&amp;""</f>
        <v/>
      </c>
      <c r="AB210" s="9">
        <f>IFERROR(INDEX($A210:$R210,MATCH("Pipeline Stage",$A$1:$R$1,0)),"")&amp;""</f>
        <v/>
      </c>
      <c r="AC210" s="9">
        <f>IFERROR(INDEX($A210:$R210,MATCH("Client",$A$1:$R$1,0)),"")&amp;""</f>
        <v/>
      </c>
      <c r="AD210" s="9">
        <f>IFERROR(INDEX($A210:$R210,MATCH("Description",$A$1:$R$1,0)),"")&amp;""</f>
        <v/>
      </c>
      <c r="AE210" s="9">
        <f>IFERROR(INDEX($A210:$R210,MATCH("Job Number",$A$1:$R$1,0)),"")&amp;""</f>
        <v/>
      </c>
      <c r="AF210" s="54">
        <f>IF(AND(T210="Open",ISNUMBER(Z210),Z210&lt;EOMONTH(set_AsAt,-1)+1),3,0)</f>
        <v/>
      </c>
      <c r="AG210" s="54">
        <f>IF(AND(T210="Open",U210&gt;0,U210&gt;=set_DealShare*SUMIFS($U$2:$U$601,$T$2:$T$601,"Open")),3,0)</f>
        <v/>
      </c>
      <c r="AH210" s="54">
        <f>IF(AND(T210="Open",U210&gt;=set_BigValue,W210&lt;=set_EarlyProb),2,0)</f>
        <v/>
      </c>
      <c r="AI210" s="54">
        <f>IF(AND(OR(T210="Open",T210="Won"),V210=0),2,0)</f>
        <v/>
      </c>
      <c r="AJ210" s="54">
        <f>IF(AND(T210="Won",Y210&gt;0.5,ISNUMBER(Z210),Z210&lt;EOMONTH(set_AsAt,-1)+1),3,0)</f>
        <v/>
      </c>
      <c r="AK210" s="54">
        <f>IF(AND(T210="Won",Y210&lt;-1),1,0)</f>
        <v/>
      </c>
      <c r="AL210" s="54">
        <f>SUM(AF210:AK210)</f>
        <v/>
      </c>
      <c r="AM210" s="9">
        <f>IF(AL210&gt;=set_ScoreHigh,"High",IF(AL210&gt;=set_ScoreMed,"Medium",IF(AL210&gt;0,"Low","OK")))</f>
        <v/>
      </c>
      <c r="AN210" s="54">
        <f>IF(OR(T210="Open",AND(T210="Won",ABS(Y210)&gt;0.5)),1,0)</f>
        <v/>
      </c>
      <c r="AO210" s="52">
        <f>IF(T210="Open",IF(V210=0,0,X210),IF(T210="Won",MAX(0,Y210),0))</f>
        <v/>
      </c>
      <c r="AP210" s="54">
        <f>IF(AN210=1,AL210*1E+9+U210+ROW()/1E+6,"")</f>
        <v/>
      </c>
      <c r="AQ210" s="9">
        <f>MID(IF(AF210&gt;0,"; Expected month passed - update Zoho","")&amp;IF(AG210&gt;0,"; "&amp;TEXT(U210/MAX(1,SUMIFS($U$2:$U$601,$T$2:$T$601,"Open")),"0%")&amp;" of open pipeline in one deal","")&amp;IF(AH210&gt;0,"; Large deal at an early stage","")&amp;IF(AI210&gt;0,"; No amount in Zoho","")&amp;IF(AJ210&gt;0,"; Won, invoice month passed, not fully invoiced","")&amp;IF(AK210&gt;0,"; Xero invoiced more than the deal value",""),3,300)</f>
        <v/>
      </c>
    </row>
    <row r="211">
      <c r="T211" s="9">
        <f>IFERROR(INDEX($A211:$R211,MATCH("Status",$A$1:$R$1,0)),"")&amp;""</f>
        <v/>
      </c>
      <c r="U211" s="52">
        <f>IFERROR(N(IFERROR(INDEX($A211:$R211,MATCH("Value Ex GST",$A$1:$R$1,0)),"")),0)</f>
        <v/>
      </c>
      <c r="V211" s="54">
        <f>IF(AND(T211&lt;&gt;"",IFERROR(INDEX($A211:$R211,MATCH("Value Ex GST",$A$1:$R$1,0)),"")&amp;""&lt;&gt;""),1,0)</f>
        <v/>
      </c>
      <c r="W211" s="56">
        <f>IFERROR(N(IFERROR(INDEX($A211:$R211,MATCH("Probability",$A$1:$R$1,0)),"")),0)</f>
        <v/>
      </c>
      <c r="X211" s="52">
        <f>IF(T211="Open",U211*W211,0)</f>
        <v/>
      </c>
      <c r="Y211" s="52">
        <f>IF(T211="Won",IFERROR(N(IFERROR(INDEX($A211:$R211,MATCH("Still to Invoice",$A$1:$R$1,0)),"")),0),0)</f>
        <v/>
      </c>
      <c r="Z211" s="55">
        <f>IFERROR(EOMONTH(IFERROR(INDEX($A211:$R211,MATCH("Expected Invoice Month",$A$1:$R$1,0)),""),0),"")</f>
        <v/>
      </c>
      <c r="AA211" s="9">
        <f>IFERROR(INDEX($A211:$R211,MATCH("Cost Centre",$A$1:$R$1,0)),"")&amp;""</f>
        <v/>
      </c>
      <c r="AB211" s="9">
        <f>IFERROR(INDEX($A211:$R211,MATCH("Pipeline Stage",$A$1:$R$1,0)),"")&amp;""</f>
        <v/>
      </c>
      <c r="AC211" s="9">
        <f>IFERROR(INDEX($A211:$R211,MATCH("Client",$A$1:$R$1,0)),"")&amp;""</f>
        <v/>
      </c>
      <c r="AD211" s="9">
        <f>IFERROR(INDEX($A211:$R211,MATCH("Description",$A$1:$R$1,0)),"")&amp;""</f>
        <v/>
      </c>
      <c r="AE211" s="9">
        <f>IFERROR(INDEX($A211:$R211,MATCH("Job Number",$A$1:$R$1,0)),"")&amp;""</f>
        <v/>
      </c>
      <c r="AF211" s="54">
        <f>IF(AND(T211="Open",ISNUMBER(Z211),Z211&lt;EOMONTH(set_AsAt,-1)+1),3,0)</f>
        <v/>
      </c>
      <c r="AG211" s="54">
        <f>IF(AND(T211="Open",U211&gt;0,U211&gt;=set_DealShare*SUMIFS($U$2:$U$601,$T$2:$T$601,"Open")),3,0)</f>
        <v/>
      </c>
      <c r="AH211" s="54">
        <f>IF(AND(T211="Open",U211&gt;=set_BigValue,W211&lt;=set_EarlyProb),2,0)</f>
        <v/>
      </c>
      <c r="AI211" s="54">
        <f>IF(AND(OR(T211="Open",T211="Won"),V211=0),2,0)</f>
        <v/>
      </c>
      <c r="AJ211" s="54">
        <f>IF(AND(T211="Won",Y211&gt;0.5,ISNUMBER(Z211),Z211&lt;EOMONTH(set_AsAt,-1)+1),3,0)</f>
        <v/>
      </c>
      <c r="AK211" s="54">
        <f>IF(AND(T211="Won",Y211&lt;-1),1,0)</f>
        <v/>
      </c>
      <c r="AL211" s="54">
        <f>SUM(AF211:AK211)</f>
        <v/>
      </c>
      <c r="AM211" s="9">
        <f>IF(AL211&gt;=set_ScoreHigh,"High",IF(AL211&gt;=set_ScoreMed,"Medium",IF(AL211&gt;0,"Low","OK")))</f>
        <v/>
      </c>
      <c r="AN211" s="54">
        <f>IF(OR(T211="Open",AND(T211="Won",ABS(Y211)&gt;0.5)),1,0)</f>
        <v/>
      </c>
      <c r="AO211" s="52">
        <f>IF(T211="Open",IF(V211=0,0,X211),IF(T211="Won",MAX(0,Y211),0))</f>
        <v/>
      </c>
      <c r="AP211" s="54">
        <f>IF(AN211=1,AL211*1E+9+U211+ROW()/1E+6,"")</f>
        <v/>
      </c>
      <c r="AQ211" s="9">
        <f>MID(IF(AF211&gt;0,"; Expected month passed - update Zoho","")&amp;IF(AG211&gt;0,"; "&amp;TEXT(U211/MAX(1,SUMIFS($U$2:$U$601,$T$2:$T$601,"Open")),"0%")&amp;" of open pipeline in one deal","")&amp;IF(AH211&gt;0,"; Large deal at an early stage","")&amp;IF(AI211&gt;0,"; No amount in Zoho","")&amp;IF(AJ211&gt;0,"; Won, invoice month passed, not fully invoiced","")&amp;IF(AK211&gt;0,"; Xero invoiced more than the deal value",""),3,300)</f>
        <v/>
      </c>
    </row>
    <row r="212">
      <c r="T212" s="9">
        <f>IFERROR(INDEX($A212:$R212,MATCH("Status",$A$1:$R$1,0)),"")&amp;""</f>
        <v/>
      </c>
      <c r="U212" s="52">
        <f>IFERROR(N(IFERROR(INDEX($A212:$R212,MATCH("Value Ex GST",$A$1:$R$1,0)),"")),0)</f>
        <v/>
      </c>
      <c r="V212" s="54">
        <f>IF(AND(T212&lt;&gt;"",IFERROR(INDEX($A212:$R212,MATCH("Value Ex GST",$A$1:$R$1,0)),"")&amp;""&lt;&gt;""),1,0)</f>
        <v/>
      </c>
      <c r="W212" s="56">
        <f>IFERROR(N(IFERROR(INDEX($A212:$R212,MATCH("Probability",$A$1:$R$1,0)),"")),0)</f>
        <v/>
      </c>
      <c r="X212" s="52">
        <f>IF(T212="Open",U212*W212,0)</f>
        <v/>
      </c>
      <c r="Y212" s="52">
        <f>IF(T212="Won",IFERROR(N(IFERROR(INDEX($A212:$R212,MATCH("Still to Invoice",$A$1:$R$1,0)),"")),0),0)</f>
        <v/>
      </c>
      <c r="Z212" s="55">
        <f>IFERROR(EOMONTH(IFERROR(INDEX($A212:$R212,MATCH("Expected Invoice Month",$A$1:$R$1,0)),""),0),"")</f>
        <v/>
      </c>
      <c r="AA212" s="9">
        <f>IFERROR(INDEX($A212:$R212,MATCH("Cost Centre",$A$1:$R$1,0)),"")&amp;""</f>
        <v/>
      </c>
      <c r="AB212" s="9">
        <f>IFERROR(INDEX($A212:$R212,MATCH("Pipeline Stage",$A$1:$R$1,0)),"")&amp;""</f>
        <v/>
      </c>
      <c r="AC212" s="9">
        <f>IFERROR(INDEX($A212:$R212,MATCH("Client",$A$1:$R$1,0)),"")&amp;""</f>
        <v/>
      </c>
      <c r="AD212" s="9">
        <f>IFERROR(INDEX($A212:$R212,MATCH("Description",$A$1:$R$1,0)),"")&amp;""</f>
        <v/>
      </c>
      <c r="AE212" s="9">
        <f>IFERROR(INDEX($A212:$R212,MATCH("Job Number",$A$1:$R$1,0)),"")&amp;""</f>
        <v/>
      </c>
      <c r="AF212" s="54">
        <f>IF(AND(T212="Open",ISNUMBER(Z212),Z212&lt;EOMONTH(set_AsAt,-1)+1),3,0)</f>
        <v/>
      </c>
      <c r="AG212" s="54">
        <f>IF(AND(T212="Open",U212&gt;0,U212&gt;=set_DealShare*SUMIFS($U$2:$U$601,$T$2:$T$601,"Open")),3,0)</f>
        <v/>
      </c>
      <c r="AH212" s="54">
        <f>IF(AND(T212="Open",U212&gt;=set_BigValue,W212&lt;=set_EarlyProb),2,0)</f>
        <v/>
      </c>
      <c r="AI212" s="54">
        <f>IF(AND(OR(T212="Open",T212="Won"),V212=0),2,0)</f>
        <v/>
      </c>
      <c r="AJ212" s="54">
        <f>IF(AND(T212="Won",Y212&gt;0.5,ISNUMBER(Z212),Z212&lt;EOMONTH(set_AsAt,-1)+1),3,0)</f>
        <v/>
      </c>
      <c r="AK212" s="54">
        <f>IF(AND(T212="Won",Y212&lt;-1),1,0)</f>
        <v/>
      </c>
      <c r="AL212" s="54">
        <f>SUM(AF212:AK212)</f>
        <v/>
      </c>
      <c r="AM212" s="9">
        <f>IF(AL212&gt;=set_ScoreHigh,"High",IF(AL212&gt;=set_ScoreMed,"Medium",IF(AL212&gt;0,"Low","OK")))</f>
        <v/>
      </c>
      <c r="AN212" s="54">
        <f>IF(OR(T212="Open",AND(T212="Won",ABS(Y212)&gt;0.5)),1,0)</f>
        <v/>
      </c>
      <c r="AO212" s="52">
        <f>IF(T212="Open",IF(V212=0,0,X212),IF(T212="Won",MAX(0,Y212),0))</f>
        <v/>
      </c>
      <c r="AP212" s="54">
        <f>IF(AN212=1,AL212*1E+9+U212+ROW()/1E+6,"")</f>
        <v/>
      </c>
      <c r="AQ212" s="9">
        <f>MID(IF(AF212&gt;0,"; Expected month passed - update Zoho","")&amp;IF(AG212&gt;0,"; "&amp;TEXT(U212/MAX(1,SUMIFS($U$2:$U$601,$T$2:$T$601,"Open")),"0%")&amp;" of open pipeline in one deal","")&amp;IF(AH212&gt;0,"; Large deal at an early stage","")&amp;IF(AI212&gt;0,"; No amount in Zoho","")&amp;IF(AJ212&gt;0,"; Won, invoice month passed, not fully invoiced","")&amp;IF(AK212&gt;0,"; Xero invoiced more than the deal value",""),3,300)</f>
        <v/>
      </c>
    </row>
    <row r="213">
      <c r="T213" s="9">
        <f>IFERROR(INDEX($A213:$R213,MATCH("Status",$A$1:$R$1,0)),"")&amp;""</f>
        <v/>
      </c>
      <c r="U213" s="52">
        <f>IFERROR(N(IFERROR(INDEX($A213:$R213,MATCH("Value Ex GST",$A$1:$R$1,0)),"")),0)</f>
        <v/>
      </c>
      <c r="V213" s="54">
        <f>IF(AND(T213&lt;&gt;"",IFERROR(INDEX($A213:$R213,MATCH("Value Ex GST",$A$1:$R$1,0)),"")&amp;""&lt;&gt;""),1,0)</f>
        <v/>
      </c>
      <c r="W213" s="56">
        <f>IFERROR(N(IFERROR(INDEX($A213:$R213,MATCH("Probability",$A$1:$R$1,0)),"")),0)</f>
        <v/>
      </c>
      <c r="X213" s="52">
        <f>IF(T213="Open",U213*W213,0)</f>
        <v/>
      </c>
      <c r="Y213" s="52">
        <f>IF(T213="Won",IFERROR(N(IFERROR(INDEX($A213:$R213,MATCH("Still to Invoice",$A$1:$R$1,0)),"")),0),0)</f>
        <v/>
      </c>
      <c r="Z213" s="55">
        <f>IFERROR(EOMONTH(IFERROR(INDEX($A213:$R213,MATCH("Expected Invoice Month",$A$1:$R$1,0)),""),0),"")</f>
        <v/>
      </c>
      <c r="AA213" s="9">
        <f>IFERROR(INDEX($A213:$R213,MATCH("Cost Centre",$A$1:$R$1,0)),"")&amp;""</f>
        <v/>
      </c>
      <c r="AB213" s="9">
        <f>IFERROR(INDEX($A213:$R213,MATCH("Pipeline Stage",$A$1:$R$1,0)),"")&amp;""</f>
        <v/>
      </c>
      <c r="AC213" s="9">
        <f>IFERROR(INDEX($A213:$R213,MATCH("Client",$A$1:$R$1,0)),"")&amp;""</f>
        <v/>
      </c>
      <c r="AD213" s="9">
        <f>IFERROR(INDEX($A213:$R213,MATCH("Description",$A$1:$R$1,0)),"")&amp;""</f>
        <v/>
      </c>
      <c r="AE213" s="9">
        <f>IFERROR(INDEX($A213:$R213,MATCH("Job Number",$A$1:$R$1,0)),"")&amp;""</f>
        <v/>
      </c>
      <c r="AF213" s="54">
        <f>IF(AND(T213="Open",ISNUMBER(Z213),Z213&lt;EOMONTH(set_AsAt,-1)+1),3,0)</f>
        <v/>
      </c>
      <c r="AG213" s="54">
        <f>IF(AND(T213="Open",U213&gt;0,U213&gt;=set_DealShare*SUMIFS($U$2:$U$601,$T$2:$T$601,"Open")),3,0)</f>
        <v/>
      </c>
      <c r="AH213" s="54">
        <f>IF(AND(T213="Open",U213&gt;=set_BigValue,W213&lt;=set_EarlyProb),2,0)</f>
        <v/>
      </c>
      <c r="AI213" s="54">
        <f>IF(AND(OR(T213="Open",T213="Won"),V213=0),2,0)</f>
        <v/>
      </c>
      <c r="AJ213" s="54">
        <f>IF(AND(T213="Won",Y213&gt;0.5,ISNUMBER(Z213),Z213&lt;EOMONTH(set_AsAt,-1)+1),3,0)</f>
        <v/>
      </c>
      <c r="AK213" s="54">
        <f>IF(AND(T213="Won",Y213&lt;-1),1,0)</f>
        <v/>
      </c>
      <c r="AL213" s="54">
        <f>SUM(AF213:AK213)</f>
        <v/>
      </c>
      <c r="AM213" s="9">
        <f>IF(AL213&gt;=set_ScoreHigh,"High",IF(AL213&gt;=set_ScoreMed,"Medium",IF(AL213&gt;0,"Low","OK")))</f>
        <v/>
      </c>
      <c r="AN213" s="54">
        <f>IF(OR(T213="Open",AND(T213="Won",ABS(Y213)&gt;0.5)),1,0)</f>
        <v/>
      </c>
      <c r="AO213" s="52">
        <f>IF(T213="Open",IF(V213=0,0,X213),IF(T213="Won",MAX(0,Y213),0))</f>
        <v/>
      </c>
      <c r="AP213" s="54">
        <f>IF(AN213=1,AL213*1E+9+U213+ROW()/1E+6,"")</f>
        <v/>
      </c>
      <c r="AQ213" s="9">
        <f>MID(IF(AF213&gt;0,"; Expected month passed - update Zoho","")&amp;IF(AG213&gt;0,"; "&amp;TEXT(U213/MAX(1,SUMIFS($U$2:$U$601,$T$2:$T$601,"Open")),"0%")&amp;" of open pipeline in one deal","")&amp;IF(AH213&gt;0,"; Large deal at an early stage","")&amp;IF(AI213&gt;0,"; No amount in Zoho","")&amp;IF(AJ213&gt;0,"; Won, invoice month passed, not fully invoiced","")&amp;IF(AK213&gt;0,"; Xero invoiced more than the deal value",""),3,300)</f>
        <v/>
      </c>
    </row>
    <row r="214">
      <c r="T214" s="9">
        <f>IFERROR(INDEX($A214:$R214,MATCH("Status",$A$1:$R$1,0)),"")&amp;""</f>
        <v/>
      </c>
      <c r="U214" s="52">
        <f>IFERROR(N(IFERROR(INDEX($A214:$R214,MATCH("Value Ex GST",$A$1:$R$1,0)),"")),0)</f>
        <v/>
      </c>
      <c r="V214" s="54">
        <f>IF(AND(T214&lt;&gt;"",IFERROR(INDEX($A214:$R214,MATCH("Value Ex GST",$A$1:$R$1,0)),"")&amp;""&lt;&gt;""),1,0)</f>
        <v/>
      </c>
      <c r="W214" s="56">
        <f>IFERROR(N(IFERROR(INDEX($A214:$R214,MATCH("Probability",$A$1:$R$1,0)),"")),0)</f>
        <v/>
      </c>
      <c r="X214" s="52">
        <f>IF(T214="Open",U214*W214,0)</f>
        <v/>
      </c>
      <c r="Y214" s="52">
        <f>IF(T214="Won",IFERROR(N(IFERROR(INDEX($A214:$R214,MATCH("Still to Invoice",$A$1:$R$1,0)),"")),0),0)</f>
        <v/>
      </c>
      <c r="Z214" s="55">
        <f>IFERROR(EOMONTH(IFERROR(INDEX($A214:$R214,MATCH("Expected Invoice Month",$A$1:$R$1,0)),""),0),"")</f>
        <v/>
      </c>
      <c r="AA214" s="9">
        <f>IFERROR(INDEX($A214:$R214,MATCH("Cost Centre",$A$1:$R$1,0)),"")&amp;""</f>
        <v/>
      </c>
      <c r="AB214" s="9">
        <f>IFERROR(INDEX($A214:$R214,MATCH("Pipeline Stage",$A$1:$R$1,0)),"")&amp;""</f>
        <v/>
      </c>
      <c r="AC214" s="9">
        <f>IFERROR(INDEX($A214:$R214,MATCH("Client",$A$1:$R$1,0)),"")&amp;""</f>
        <v/>
      </c>
      <c r="AD214" s="9">
        <f>IFERROR(INDEX($A214:$R214,MATCH("Description",$A$1:$R$1,0)),"")&amp;""</f>
        <v/>
      </c>
      <c r="AE214" s="9">
        <f>IFERROR(INDEX($A214:$R214,MATCH("Job Number",$A$1:$R$1,0)),"")&amp;""</f>
        <v/>
      </c>
      <c r="AF214" s="54">
        <f>IF(AND(T214="Open",ISNUMBER(Z214),Z214&lt;EOMONTH(set_AsAt,-1)+1),3,0)</f>
        <v/>
      </c>
      <c r="AG214" s="54">
        <f>IF(AND(T214="Open",U214&gt;0,U214&gt;=set_DealShare*SUMIFS($U$2:$U$601,$T$2:$T$601,"Open")),3,0)</f>
        <v/>
      </c>
      <c r="AH214" s="54">
        <f>IF(AND(T214="Open",U214&gt;=set_BigValue,W214&lt;=set_EarlyProb),2,0)</f>
        <v/>
      </c>
      <c r="AI214" s="54">
        <f>IF(AND(OR(T214="Open",T214="Won"),V214=0),2,0)</f>
        <v/>
      </c>
      <c r="AJ214" s="54">
        <f>IF(AND(T214="Won",Y214&gt;0.5,ISNUMBER(Z214),Z214&lt;EOMONTH(set_AsAt,-1)+1),3,0)</f>
        <v/>
      </c>
      <c r="AK214" s="54">
        <f>IF(AND(T214="Won",Y214&lt;-1),1,0)</f>
        <v/>
      </c>
      <c r="AL214" s="54">
        <f>SUM(AF214:AK214)</f>
        <v/>
      </c>
      <c r="AM214" s="9">
        <f>IF(AL214&gt;=set_ScoreHigh,"High",IF(AL214&gt;=set_ScoreMed,"Medium",IF(AL214&gt;0,"Low","OK")))</f>
        <v/>
      </c>
      <c r="AN214" s="54">
        <f>IF(OR(T214="Open",AND(T214="Won",ABS(Y214)&gt;0.5)),1,0)</f>
        <v/>
      </c>
      <c r="AO214" s="52">
        <f>IF(T214="Open",IF(V214=0,0,X214),IF(T214="Won",MAX(0,Y214),0))</f>
        <v/>
      </c>
      <c r="AP214" s="54">
        <f>IF(AN214=1,AL214*1E+9+U214+ROW()/1E+6,"")</f>
        <v/>
      </c>
      <c r="AQ214" s="9">
        <f>MID(IF(AF214&gt;0,"; Expected month passed - update Zoho","")&amp;IF(AG214&gt;0,"; "&amp;TEXT(U214/MAX(1,SUMIFS($U$2:$U$601,$T$2:$T$601,"Open")),"0%")&amp;" of open pipeline in one deal","")&amp;IF(AH214&gt;0,"; Large deal at an early stage","")&amp;IF(AI214&gt;0,"; No amount in Zoho","")&amp;IF(AJ214&gt;0,"; Won, invoice month passed, not fully invoiced","")&amp;IF(AK214&gt;0,"; Xero invoiced more than the deal value",""),3,300)</f>
        <v/>
      </c>
    </row>
    <row r="215">
      <c r="T215" s="9">
        <f>IFERROR(INDEX($A215:$R215,MATCH("Status",$A$1:$R$1,0)),"")&amp;""</f>
        <v/>
      </c>
      <c r="U215" s="52">
        <f>IFERROR(N(IFERROR(INDEX($A215:$R215,MATCH("Value Ex GST",$A$1:$R$1,0)),"")),0)</f>
        <v/>
      </c>
      <c r="V215" s="54">
        <f>IF(AND(T215&lt;&gt;"",IFERROR(INDEX($A215:$R215,MATCH("Value Ex GST",$A$1:$R$1,0)),"")&amp;""&lt;&gt;""),1,0)</f>
        <v/>
      </c>
      <c r="W215" s="56">
        <f>IFERROR(N(IFERROR(INDEX($A215:$R215,MATCH("Probability",$A$1:$R$1,0)),"")),0)</f>
        <v/>
      </c>
      <c r="X215" s="52">
        <f>IF(T215="Open",U215*W215,0)</f>
        <v/>
      </c>
      <c r="Y215" s="52">
        <f>IF(T215="Won",IFERROR(N(IFERROR(INDEX($A215:$R215,MATCH("Still to Invoice",$A$1:$R$1,0)),"")),0),0)</f>
        <v/>
      </c>
      <c r="Z215" s="55">
        <f>IFERROR(EOMONTH(IFERROR(INDEX($A215:$R215,MATCH("Expected Invoice Month",$A$1:$R$1,0)),""),0),"")</f>
        <v/>
      </c>
      <c r="AA215" s="9">
        <f>IFERROR(INDEX($A215:$R215,MATCH("Cost Centre",$A$1:$R$1,0)),"")&amp;""</f>
        <v/>
      </c>
      <c r="AB215" s="9">
        <f>IFERROR(INDEX($A215:$R215,MATCH("Pipeline Stage",$A$1:$R$1,0)),"")&amp;""</f>
        <v/>
      </c>
      <c r="AC215" s="9">
        <f>IFERROR(INDEX($A215:$R215,MATCH("Client",$A$1:$R$1,0)),"")&amp;""</f>
        <v/>
      </c>
      <c r="AD215" s="9">
        <f>IFERROR(INDEX($A215:$R215,MATCH("Description",$A$1:$R$1,0)),"")&amp;""</f>
        <v/>
      </c>
      <c r="AE215" s="9">
        <f>IFERROR(INDEX($A215:$R215,MATCH("Job Number",$A$1:$R$1,0)),"")&amp;""</f>
        <v/>
      </c>
      <c r="AF215" s="54">
        <f>IF(AND(T215="Open",ISNUMBER(Z215),Z215&lt;EOMONTH(set_AsAt,-1)+1),3,0)</f>
        <v/>
      </c>
      <c r="AG215" s="54">
        <f>IF(AND(T215="Open",U215&gt;0,U215&gt;=set_DealShare*SUMIFS($U$2:$U$601,$T$2:$T$601,"Open")),3,0)</f>
        <v/>
      </c>
      <c r="AH215" s="54">
        <f>IF(AND(T215="Open",U215&gt;=set_BigValue,W215&lt;=set_EarlyProb),2,0)</f>
        <v/>
      </c>
      <c r="AI215" s="54">
        <f>IF(AND(OR(T215="Open",T215="Won"),V215=0),2,0)</f>
        <v/>
      </c>
      <c r="AJ215" s="54">
        <f>IF(AND(T215="Won",Y215&gt;0.5,ISNUMBER(Z215),Z215&lt;EOMONTH(set_AsAt,-1)+1),3,0)</f>
        <v/>
      </c>
      <c r="AK215" s="54">
        <f>IF(AND(T215="Won",Y215&lt;-1),1,0)</f>
        <v/>
      </c>
      <c r="AL215" s="54">
        <f>SUM(AF215:AK215)</f>
        <v/>
      </c>
      <c r="AM215" s="9">
        <f>IF(AL215&gt;=set_ScoreHigh,"High",IF(AL215&gt;=set_ScoreMed,"Medium",IF(AL215&gt;0,"Low","OK")))</f>
        <v/>
      </c>
      <c r="AN215" s="54">
        <f>IF(OR(T215="Open",AND(T215="Won",ABS(Y215)&gt;0.5)),1,0)</f>
        <v/>
      </c>
      <c r="AO215" s="52">
        <f>IF(T215="Open",IF(V215=0,0,X215),IF(T215="Won",MAX(0,Y215),0))</f>
        <v/>
      </c>
      <c r="AP215" s="54">
        <f>IF(AN215=1,AL215*1E+9+U215+ROW()/1E+6,"")</f>
        <v/>
      </c>
      <c r="AQ215" s="9">
        <f>MID(IF(AF215&gt;0,"; Expected month passed - update Zoho","")&amp;IF(AG215&gt;0,"; "&amp;TEXT(U215/MAX(1,SUMIFS($U$2:$U$601,$T$2:$T$601,"Open")),"0%")&amp;" of open pipeline in one deal","")&amp;IF(AH215&gt;0,"; Large deal at an early stage","")&amp;IF(AI215&gt;0,"; No amount in Zoho","")&amp;IF(AJ215&gt;0,"; Won, invoice month passed, not fully invoiced","")&amp;IF(AK215&gt;0,"; Xero invoiced more than the deal value",""),3,300)</f>
        <v/>
      </c>
    </row>
    <row r="216">
      <c r="T216" s="9">
        <f>IFERROR(INDEX($A216:$R216,MATCH("Status",$A$1:$R$1,0)),"")&amp;""</f>
        <v/>
      </c>
      <c r="U216" s="52">
        <f>IFERROR(N(IFERROR(INDEX($A216:$R216,MATCH("Value Ex GST",$A$1:$R$1,0)),"")),0)</f>
        <v/>
      </c>
      <c r="V216" s="54">
        <f>IF(AND(T216&lt;&gt;"",IFERROR(INDEX($A216:$R216,MATCH("Value Ex GST",$A$1:$R$1,0)),"")&amp;""&lt;&gt;""),1,0)</f>
        <v/>
      </c>
      <c r="W216" s="56">
        <f>IFERROR(N(IFERROR(INDEX($A216:$R216,MATCH("Probability",$A$1:$R$1,0)),"")),0)</f>
        <v/>
      </c>
      <c r="X216" s="52">
        <f>IF(T216="Open",U216*W216,0)</f>
        <v/>
      </c>
      <c r="Y216" s="52">
        <f>IF(T216="Won",IFERROR(N(IFERROR(INDEX($A216:$R216,MATCH("Still to Invoice",$A$1:$R$1,0)),"")),0),0)</f>
        <v/>
      </c>
      <c r="Z216" s="55">
        <f>IFERROR(EOMONTH(IFERROR(INDEX($A216:$R216,MATCH("Expected Invoice Month",$A$1:$R$1,0)),""),0),"")</f>
        <v/>
      </c>
      <c r="AA216" s="9">
        <f>IFERROR(INDEX($A216:$R216,MATCH("Cost Centre",$A$1:$R$1,0)),"")&amp;""</f>
        <v/>
      </c>
      <c r="AB216" s="9">
        <f>IFERROR(INDEX($A216:$R216,MATCH("Pipeline Stage",$A$1:$R$1,0)),"")&amp;""</f>
        <v/>
      </c>
      <c r="AC216" s="9">
        <f>IFERROR(INDEX($A216:$R216,MATCH("Client",$A$1:$R$1,0)),"")&amp;""</f>
        <v/>
      </c>
      <c r="AD216" s="9">
        <f>IFERROR(INDEX($A216:$R216,MATCH("Description",$A$1:$R$1,0)),"")&amp;""</f>
        <v/>
      </c>
      <c r="AE216" s="9">
        <f>IFERROR(INDEX($A216:$R216,MATCH("Job Number",$A$1:$R$1,0)),"")&amp;""</f>
        <v/>
      </c>
      <c r="AF216" s="54">
        <f>IF(AND(T216="Open",ISNUMBER(Z216),Z216&lt;EOMONTH(set_AsAt,-1)+1),3,0)</f>
        <v/>
      </c>
      <c r="AG216" s="54">
        <f>IF(AND(T216="Open",U216&gt;0,U216&gt;=set_DealShare*SUMIFS($U$2:$U$601,$T$2:$T$601,"Open")),3,0)</f>
        <v/>
      </c>
      <c r="AH216" s="54">
        <f>IF(AND(T216="Open",U216&gt;=set_BigValue,W216&lt;=set_EarlyProb),2,0)</f>
        <v/>
      </c>
      <c r="AI216" s="54">
        <f>IF(AND(OR(T216="Open",T216="Won"),V216=0),2,0)</f>
        <v/>
      </c>
      <c r="AJ216" s="54">
        <f>IF(AND(T216="Won",Y216&gt;0.5,ISNUMBER(Z216),Z216&lt;EOMONTH(set_AsAt,-1)+1),3,0)</f>
        <v/>
      </c>
      <c r="AK216" s="54">
        <f>IF(AND(T216="Won",Y216&lt;-1),1,0)</f>
        <v/>
      </c>
      <c r="AL216" s="54">
        <f>SUM(AF216:AK216)</f>
        <v/>
      </c>
      <c r="AM216" s="9">
        <f>IF(AL216&gt;=set_ScoreHigh,"High",IF(AL216&gt;=set_ScoreMed,"Medium",IF(AL216&gt;0,"Low","OK")))</f>
        <v/>
      </c>
      <c r="AN216" s="54">
        <f>IF(OR(T216="Open",AND(T216="Won",ABS(Y216)&gt;0.5)),1,0)</f>
        <v/>
      </c>
      <c r="AO216" s="52">
        <f>IF(T216="Open",IF(V216=0,0,X216),IF(T216="Won",MAX(0,Y216),0))</f>
        <v/>
      </c>
      <c r="AP216" s="54">
        <f>IF(AN216=1,AL216*1E+9+U216+ROW()/1E+6,"")</f>
        <v/>
      </c>
      <c r="AQ216" s="9">
        <f>MID(IF(AF216&gt;0,"; Expected month passed - update Zoho","")&amp;IF(AG216&gt;0,"; "&amp;TEXT(U216/MAX(1,SUMIFS($U$2:$U$601,$T$2:$T$601,"Open")),"0%")&amp;" of open pipeline in one deal","")&amp;IF(AH216&gt;0,"; Large deal at an early stage","")&amp;IF(AI216&gt;0,"; No amount in Zoho","")&amp;IF(AJ216&gt;0,"; Won, invoice month passed, not fully invoiced","")&amp;IF(AK216&gt;0,"; Xero invoiced more than the deal value",""),3,300)</f>
        <v/>
      </c>
    </row>
    <row r="217">
      <c r="T217" s="9">
        <f>IFERROR(INDEX($A217:$R217,MATCH("Status",$A$1:$R$1,0)),"")&amp;""</f>
        <v/>
      </c>
      <c r="U217" s="52">
        <f>IFERROR(N(IFERROR(INDEX($A217:$R217,MATCH("Value Ex GST",$A$1:$R$1,0)),"")),0)</f>
        <v/>
      </c>
      <c r="V217" s="54">
        <f>IF(AND(T217&lt;&gt;"",IFERROR(INDEX($A217:$R217,MATCH("Value Ex GST",$A$1:$R$1,0)),"")&amp;""&lt;&gt;""),1,0)</f>
        <v/>
      </c>
      <c r="W217" s="56">
        <f>IFERROR(N(IFERROR(INDEX($A217:$R217,MATCH("Probability",$A$1:$R$1,0)),"")),0)</f>
        <v/>
      </c>
      <c r="X217" s="52">
        <f>IF(T217="Open",U217*W217,0)</f>
        <v/>
      </c>
      <c r="Y217" s="52">
        <f>IF(T217="Won",IFERROR(N(IFERROR(INDEX($A217:$R217,MATCH("Still to Invoice",$A$1:$R$1,0)),"")),0),0)</f>
        <v/>
      </c>
      <c r="Z217" s="55">
        <f>IFERROR(EOMONTH(IFERROR(INDEX($A217:$R217,MATCH("Expected Invoice Month",$A$1:$R$1,0)),""),0),"")</f>
        <v/>
      </c>
      <c r="AA217" s="9">
        <f>IFERROR(INDEX($A217:$R217,MATCH("Cost Centre",$A$1:$R$1,0)),"")&amp;""</f>
        <v/>
      </c>
      <c r="AB217" s="9">
        <f>IFERROR(INDEX($A217:$R217,MATCH("Pipeline Stage",$A$1:$R$1,0)),"")&amp;""</f>
        <v/>
      </c>
      <c r="AC217" s="9">
        <f>IFERROR(INDEX($A217:$R217,MATCH("Client",$A$1:$R$1,0)),"")&amp;""</f>
        <v/>
      </c>
      <c r="AD217" s="9">
        <f>IFERROR(INDEX($A217:$R217,MATCH("Description",$A$1:$R$1,0)),"")&amp;""</f>
        <v/>
      </c>
      <c r="AE217" s="9">
        <f>IFERROR(INDEX($A217:$R217,MATCH("Job Number",$A$1:$R$1,0)),"")&amp;""</f>
        <v/>
      </c>
      <c r="AF217" s="54">
        <f>IF(AND(T217="Open",ISNUMBER(Z217),Z217&lt;EOMONTH(set_AsAt,-1)+1),3,0)</f>
        <v/>
      </c>
      <c r="AG217" s="54">
        <f>IF(AND(T217="Open",U217&gt;0,U217&gt;=set_DealShare*SUMIFS($U$2:$U$601,$T$2:$T$601,"Open")),3,0)</f>
        <v/>
      </c>
      <c r="AH217" s="54">
        <f>IF(AND(T217="Open",U217&gt;=set_BigValue,W217&lt;=set_EarlyProb),2,0)</f>
        <v/>
      </c>
      <c r="AI217" s="54">
        <f>IF(AND(OR(T217="Open",T217="Won"),V217=0),2,0)</f>
        <v/>
      </c>
      <c r="AJ217" s="54">
        <f>IF(AND(T217="Won",Y217&gt;0.5,ISNUMBER(Z217),Z217&lt;EOMONTH(set_AsAt,-1)+1),3,0)</f>
        <v/>
      </c>
      <c r="AK217" s="54">
        <f>IF(AND(T217="Won",Y217&lt;-1),1,0)</f>
        <v/>
      </c>
      <c r="AL217" s="54">
        <f>SUM(AF217:AK217)</f>
        <v/>
      </c>
      <c r="AM217" s="9">
        <f>IF(AL217&gt;=set_ScoreHigh,"High",IF(AL217&gt;=set_ScoreMed,"Medium",IF(AL217&gt;0,"Low","OK")))</f>
        <v/>
      </c>
      <c r="AN217" s="54">
        <f>IF(OR(T217="Open",AND(T217="Won",ABS(Y217)&gt;0.5)),1,0)</f>
        <v/>
      </c>
      <c r="AO217" s="52">
        <f>IF(T217="Open",IF(V217=0,0,X217),IF(T217="Won",MAX(0,Y217),0))</f>
        <v/>
      </c>
      <c r="AP217" s="54">
        <f>IF(AN217=1,AL217*1E+9+U217+ROW()/1E+6,"")</f>
        <v/>
      </c>
      <c r="AQ217" s="9">
        <f>MID(IF(AF217&gt;0,"; Expected month passed - update Zoho","")&amp;IF(AG217&gt;0,"; "&amp;TEXT(U217/MAX(1,SUMIFS($U$2:$U$601,$T$2:$T$601,"Open")),"0%")&amp;" of open pipeline in one deal","")&amp;IF(AH217&gt;0,"; Large deal at an early stage","")&amp;IF(AI217&gt;0,"; No amount in Zoho","")&amp;IF(AJ217&gt;0,"; Won, invoice month passed, not fully invoiced","")&amp;IF(AK217&gt;0,"; Xero invoiced more than the deal value",""),3,300)</f>
        <v/>
      </c>
    </row>
    <row r="218">
      <c r="T218" s="9">
        <f>IFERROR(INDEX($A218:$R218,MATCH("Status",$A$1:$R$1,0)),"")&amp;""</f>
        <v/>
      </c>
      <c r="U218" s="52">
        <f>IFERROR(N(IFERROR(INDEX($A218:$R218,MATCH("Value Ex GST",$A$1:$R$1,0)),"")),0)</f>
        <v/>
      </c>
      <c r="V218" s="54">
        <f>IF(AND(T218&lt;&gt;"",IFERROR(INDEX($A218:$R218,MATCH("Value Ex GST",$A$1:$R$1,0)),"")&amp;""&lt;&gt;""),1,0)</f>
        <v/>
      </c>
      <c r="W218" s="56">
        <f>IFERROR(N(IFERROR(INDEX($A218:$R218,MATCH("Probability",$A$1:$R$1,0)),"")),0)</f>
        <v/>
      </c>
      <c r="X218" s="52">
        <f>IF(T218="Open",U218*W218,0)</f>
        <v/>
      </c>
      <c r="Y218" s="52">
        <f>IF(T218="Won",IFERROR(N(IFERROR(INDEX($A218:$R218,MATCH("Still to Invoice",$A$1:$R$1,0)),"")),0),0)</f>
        <v/>
      </c>
      <c r="Z218" s="55">
        <f>IFERROR(EOMONTH(IFERROR(INDEX($A218:$R218,MATCH("Expected Invoice Month",$A$1:$R$1,0)),""),0),"")</f>
        <v/>
      </c>
      <c r="AA218" s="9">
        <f>IFERROR(INDEX($A218:$R218,MATCH("Cost Centre",$A$1:$R$1,0)),"")&amp;""</f>
        <v/>
      </c>
      <c r="AB218" s="9">
        <f>IFERROR(INDEX($A218:$R218,MATCH("Pipeline Stage",$A$1:$R$1,0)),"")&amp;""</f>
        <v/>
      </c>
      <c r="AC218" s="9">
        <f>IFERROR(INDEX($A218:$R218,MATCH("Client",$A$1:$R$1,0)),"")&amp;""</f>
        <v/>
      </c>
      <c r="AD218" s="9">
        <f>IFERROR(INDEX($A218:$R218,MATCH("Description",$A$1:$R$1,0)),"")&amp;""</f>
        <v/>
      </c>
      <c r="AE218" s="9">
        <f>IFERROR(INDEX($A218:$R218,MATCH("Job Number",$A$1:$R$1,0)),"")&amp;""</f>
        <v/>
      </c>
      <c r="AF218" s="54">
        <f>IF(AND(T218="Open",ISNUMBER(Z218),Z218&lt;EOMONTH(set_AsAt,-1)+1),3,0)</f>
        <v/>
      </c>
      <c r="AG218" s="54">
        <f>IF(AND(T218="Open",U218&gt;0,U218&gt;=set_DealShare*SUMIFS($U$2:$U$601,$T$2:$T$601,"Open")),3,0)</f>
        <v/>
      </c>
      <c r="AH218" s="54">
        <f>IF(AND(T218="Open",U218&gt;=set_BigValue,W218&lt;=set_EarlyProb),2,0)</f>
        <v/>
      </c>
      <c r="AI218" s="54">
        <f>IF(AND(OR(T218="Open",T218="Won"),V218=0),2,0)</f>
        <v/>
      </c>
      <c r="AJ218" s="54">
        <f>IF(AND(T218="Won",Y218&gt;0.5,ISNUMBER(Z218),Z218&lt;EOMONTH(set_AsAt,-1)+1),3,0)</f>
        <v/>
      </c>
      <c r="AK218" s="54">
        <f>IF(AND(T218="Won",Y218&lt;-1),1,0)</f>
        <v/>
      </c>
      <c r="AL218" s="54">
        <f>SUM(AF218:AK218)</f>
        <v/>
      </c>
      <c r="AM218" s="9">
        <f>IF(AL218&gt;=set_ScoreHigh,"High",IF(AL218&gt;=set_ScoreMed,"Medium",IF(AL218&gt;0,"Low","OK")))</f>
        <v/>
      </c>
      <c r="AN218" s="54">
        <f>IF(OR(T218="Open",AND(T218="Won",ABS(Y218)&gt;0.5)),1,0)</f>
        <v/>
      </c>
      <c r="AO218" s="52">
        <f>IF(T218="Open",IF(V218=0,0,X218),IF(T218="Won",MAX(0,Y218),0))</f>
        <v/>
      </c>
      <c r="AP218" s="54">
        <f>IF(AN218=1,AL218*1E+9+U218+ROW()/1E+6,"")</f>
        <v/>
      </c>
      <c r="AQ218" s="9">
        <f>MID(IF(AF218&gt;0,"; Expected month passed - update Zoho","")&amp;IF(AG218&gt;0,"; "&amp;TEXT(U218/MAX(1,SUMIFS($U$2:$U$601,$T$2:$T$601,"Open")),"0%")&amp;" of open pipeline in one deal","")&amp;IF(AH218&gt;0,"; Large deal at an early stage","")&amp;IF(AI218&gt;0,"; No amount in Zoho","")&amp;IF(AJ218&gt;0,"; Won, invoice month passed, not fully invoiced","")&amp;IF(AK218&gt;0,"; Xero invoiced more than the deal value",""),3,300)</f>
        <v/>
      </c>
    </row>
    <row r="219">
      <c r="T219" s="9">
        <f>IFERROR(INDEX($A219:$R219,MATCH("Status",$A$1:$R$1,0)),"")&amp;""</f>
        <v/>
      </c>
      <c r="U219" s="52">
        <f>IFERROR(N(IFERROR(INDEX($A219:$R219,MATCH("Value Ex GST",$A$1:$R$1,0)),"")),0)</f>
        <v/>
      </c>
      <c r="V219" s="54">
        <f>IF(AND(T219&lt;&gt;"",IFERROR(INDEX($A219:$R219,MATCH("Value Ex GST",$A$1:$R$1,0)),"")&amp;""&lt;&gt;""),1,0)</f>
        <v/>
      </c>
      <c r="W219" s="56">
        <f>IFERROR(N(IFERROR(INDEX($A219:$R219,MATCH("Probability",$A$1:$R$1,0)),"")),0)</f>
        <v/>
      </c>
      <c r="X219" s="52">
        <f>IF(T219="Open",U219*W219,0)</f>
        <v/>
      </c>
      <c r="Y219" s="52">
        <f>IF(T219="Won",IFERROR(N(IFERROR(INDEX($A219:$R219,MATCH("Still to Invoice",$A$1:$R$1,0)),"")),0),0)</f>
        <v/>
      </c>
      <c r="Z219" s="55">
        <f>IFERROR(EOMONTH(IFERROR(INDEX($A219:$R219,MATCH("Expected Invoice Month",$A$1:$R$1,0)),""),0),"")</f>
        <v/>
      </c>
      <c r="AA219" s="9">
        <f>IFERROR(INDEX($A219:$R219,MATCH("Cost Centre",$A$1:$R$1,0)),"")&amp;""</f>
        <v/>
      </c>
      <c r="AB219" s="9">
        <f>IFERROR(INDEX($A219:$R219,MATCH("Pipeline Stage",$A$1:$R$1,0)),"")&amp;""</f>
        <v/>
      </c>
      <c r="AC219" s="9">
        <f>IFERROR(INDEX($A219:$R219,MATCH("Client",$A$1:$R$1,0)),"")&amp;""</f>
        <v/>
      </c>
      <c r="AD219" s="9">
        <f>IFERROR(INDEX($A219:$R219,MATCH("Description",$A$1:$R$1,0)),"")&amp;""</f>
        <v/>
      </c>
      <c r="AE219" s="9">
        <f>IFERROR(INDEX($A219:$R219,MATCH("Job Number",$A$1:$R$1,0)),"")&amp;""</f>
        <v/>
      </c>
      <c r="AF219" s="54">
        <f>IF(AND(T219="Open",ISNUMBER(Z219),Z219&lt;EOMONTH(set_AsAt,-1)+1),3,0)</f>
        <v/>
      </c>
      <c r="AG219" s="54">
        <f>IF(AND(T219="Open",U219&gt;0,U219&gt;=set_DealShare*SUMIFS($U$2:$U$601,$T$2:$T$601,"Open")),3,0)</f>
        <v/>
      </c>
      <c r="AH219" s="54">
        <f>IF(AND(T219="Open",U219&gt;=set_BigValue,W219&lt;=set_EarlyProb),2,0)</f>
        <v/>
      </c>
      <c r="AI219" s="54">
        <f>IF(AND(OR(T219="Open",T219="Won"),V219=0),2,0)</f>
        <v/>
      </c>
      <c r="AJ219" s="54">
        <f>IF(AND(T219="Won",Y219&gt;0.5,ISNUMBER(Z219),Z219&lt;EOMONTH(set_AsAt,-1)+1),3,0)</f>
        <v/>
      </c>
      <c r="AK219" s="54">
        <f>IF(AND(T219="Won",Y219&lt;-1),1,0)</f>
        <v/>
      </c>
      <c r="AL219" s="54">
        <f>SUM(AF219:AK219)</f>
        <v/>
      </c>
      <c r="AM219" s="9">
        <f>IF(AL219&gt;=set_ScoreHigh,"High",IF(AL219&gt;=set_ScoreMed,"Medium",IF(AL219&gt;0,"Low","OK")))</f>
        <v/>
      </c>
      <c r="AN219" s="54">
        <f>IF(OR(T219="Open",AND(T219="Won",ABS(Y219)&gt;0.5)),1,0)</f>
        <v/>
      </c>
      <c r="AO219" s="52">
        <f>IF(T219="Open",IF(V219=0,0,X219),IF(T219="Won",MAX(0,Y219),0))</f>
        <v/>
      </c>
      <c r="AP219" s="54">
        <f>IF(AN219=1,AL219*1E+9+U219+ROW()/1E+6,"")</f>
        <v/>
      </c>
      <c r="AQ219" s="9">
        <f>MID(IF(AF219&gt;0,"; Expected month passed - update Zoho","")&amp;IF(AG219&gt;0,"; "&amp;TEXT(U219/MAX(1,SUMIFS($U$2:$U$601,$T$2:$T$601,"Open")),"0%")&amp;" of open pipeline in one deal","")&amp;IF(AH219&gt;0,"; Large deal at an early stage","")&amp;IF(AI219&gt;0,"; No amount in Zoho","")&amp;IF(AJ219&gt;0,"; Won, invoice month passed, not fully invoiced","")&amp;IF(AK219&gt;0,"; Xero invoiced more than the deal value",""),3,300)</f>
        <v/>
      </c>
    </row>
    <row r="220">
      <c r="T220" s="9">
        <f>IFERROR(INDEX($A220:$R220,MATCH("Status",$A$1:$R$1,0)),"")&amp;""</f>
        <v/>
      </c>
      <c r="U220" s="52">
        <f>IFERROR(N(IFERROR(INDEX($A220:$R220,MATCH("Value Ex GST",$A$1:$R$1,0)),"")),0)</f>
        <v/>
      </c>
      <c r="V220" s="54">
        <f>IF(AND(T220&lt;&gt;"",IFERROR(INDEX($A220:$R220,MATCH("Value Ex GST",$A$1:$R$1,0)),"")&amp;""&lt;&gt;""),1,0)</f>
        <v/>
      </c>
      <c r="W220" s="56">
        <f>IFERROR(N(IFERROR(INDEX($A220:$R220,MATCH("Probability",$A$1:$R$1,0)),"")),0)</f>
        <v/>
      </c>
      <c r="X220" s="52">
        <f>IF(T220="Open",U220*W220,0)</f>
        <v/>
      </c>
      <c r="Y220" s="52">
        <f>IF(T220="Won",IFERROR(N(IFERROR(INDEX($A220:$R220,MATCH("Still to Invoice",$A$1:$R$1,0)),"")),0),0)</f>
        <v/>
      </c>
      <c r="Z220" s="55">
        <f>IFERROR(EOMONTH(IFERROR(INDEX($A220:$R220,MATCH("Expected Invoice Month",$A$1:$R$1,0)),""),0),"")</f>
        <v/>
      </c>
      <c r="AA220" s="9">
        <f>IFERROR(INDEX($A220:$R220,MATCH("Cost Centre",$A$1:$R$1,0)),"")&amp;""</f>
        <v/>
      </c>
      <c r="AB220" s="9">
        <f>IFERROR(INDEX($A220:$R220,MATCH("Pipeline Stage",$A$1:$R$1,0)),"")&amp;""</f>
        <v/>
      </c>
      <c r="AC220" s="9">
        <f>IFERROR(INDEX($A220:$R220,MATCH("Client",$A$1:$R$1,0)),"")&amp;""</f>
        <v/>
      </c>
      <c r="AD220" s="9">
        <f>IFERROR(INDEX($A220:$R220,MATCH("Description",$A$1:$R$1,0)),"")&amp;""</f>
        <v/>
      </c>
      <c r="AE220" s="9">
        <f>IFERROR(INDEX($A220:$R220,MATCH("Job Number",$A$1:$R$1,0)),"")&amp;""</f>
        <v/>
      </c>
      <c r="AF220" s="54">
        <f>IF(AND(T220="Open",ISNUMBER(Z220),Z220&lt;EOMONTH(set_AsAt,-1)+1),3,0)</f>
        <v/>
      </c>
      <c r="AG220" s="54">
        <f>IF(AND(T220="Open",U220&gt;0,U220&gt;=set_DealShare*SUMIFS($U$2:$U$601,$T$2:$T$601,"Open")),3,0)</f>
        <v/>
      </c>
      <c r="AH220" s="54">
        <f>IF(AND(T220="Open",U220&gt;=set_BigValue,W220&lt;=set_EarlyProb),2,0)</f>
        <v/>
      </c>
      <c r="AI220" s="54">
        <f>IF(AND(OR(T220="Open",T220="Won"),V220=0),2,0)</f>
        <v/>
      </c>
      <c r="AJ220" s="54">
        <f>IF(AND(T220="Won",Y220&gt;0.5,ISNUMBER(Z220),Z220&lt;EOMONTH(set_AsAt,-1)+1),3,0)</f>
        <v/>
      </c>
      <c r="AK220" s="54">
        <f>IF(AND(T220="Won",Y220&lt;-1),1,0)</f>
        <v/>
      </c>
      <c r="AL220" s="54">
        <f>SUM(AF220:AK220)</f>
        <v/>
      </c>
      <c r="AM220" s="9">
        <f>IF(AL220&gt;=set_ScoreHigh,"High",IF(AL220&gt;=set_ScoreMed,"Medium",IF(AL220&gt;0,"Low","OK")))</f>
        <v/>
      </c>
      <c r="AN220" s="54">
        <f>IF(OR(T220="Open",AND(T220="Won",ABS(Y220)&gt;0.5)),1,0)</f>
        <v/>
      </c>
      <c r="AO220" s="52">
        <f>IF(T220="Open",IF(V220=0,0,X220),IF(T220="Won",MAX(0,Y220),0))</f>
        <v/>
      </c>
      <c r="AP220" s="54">
        <f>IF(AN220=1,AL220*1E+9+U220+ROW()/1E+6,"")</f>
        <v/>
      </c>
      <c r="AQ220" s="9">
        <f>MID(IF(AF220&gt;0,"; Expected month passed - update Zoho","")&amp;IF(AG220&gt;0,"; "&amp;TEXT(U220/MAX(1,SUMIFS($U$2:$U$601,$T$2:$T$601,"Open")),"0%")&amp;" of open pipeline in one deal","")&amp;IF(AH220&gt;0,"; Large deal at an early stage","")&amp;IF(AI220&gt;0,"; No amount in Zoho","")&amp;IF(AJ220&gt;0,"; Won, invoice month passed, not fully invoiced","")&amp;IF(AK220&gt;0,"; Xero invoiced more than the deal value",""),3,300)</f>
        <v/>
      </c>
    </row>
    <row r="221">
      <c r="T221" s="9">
        <f>IFERROR(INDEX($A221:$R221,MATCH("Status",$A$1:$R$1,0)),"")&amp;""</f>
        <v/>
      </c>
      <c r="U221" s="52">
        <f>IFERROR(N(IFERROR(INDEX($A221:$R221,MATCH("Value Ex GST",$A$1:$R$1,0)),"")),0)</f>
        <v/>
      </c>
      <c r="V221" s="54">
        <f>IF(AND(T221&lt;&gt;"",IFERROR(INDEX($A221:$R221,MATCH("Value Ex GST",$A$1:$R$1,0)),"")&amp;""&lt;&gt;""),1,0)</f>
        <v/>
      </c>
      <c r="W221" s="56">
        <f>IFERROR(N(IFERROR(INDEX($A221:$R221,MATCH("Probability",$A$1:$R$1,0)),"")),0)</f>
        <v/>
      </c>
      <c r="X221" s="52">
        <f>IF(T221="Open",U221*W221,0)</f>
        <v/>
      </c>
      <c r="Y221" s="52">
        <f>IF(T221="Won",IFERROR(N(IFERROR(INDEX($A221:$R221,MATCH("Still to Invoice",$A$1:$R$1,0)),"")),0),0)</f>
        <v/>
      </c>
      <c r="Z221" s="55">
        <f>IFERROR(EOMONTH(IFERROR(INDEX($A221:$R221,MATCH("Expected Invoice Month",$A$1:$R$1,0)),""),0),"")</f>
        <v/>
      </c>
      <c r="AA221" s="9">
        <f>IFERROR(INDEX($A221:$R221,MATCH("Cost Centre",$A$1:$R$1,0)),"")&amp;""</f>
        <v/>
      </c>
      <c r="AB221" s="9">
        <f>IFERROR(INDEX($A221:$R221,MATCH("Pipeline Stage",$A$1:$R$1,0)),"")&amp;""</f>
        <v/>
      </c>
      <c r="AC221" s="9">
        <f>IFERROR(INDEX($A221:$R221,MATCH("Client",$A$1:$R$1,0)),"")&amp;""</f>
        <v/>
      </c>
      <c r="AD221" s="9">
        <f>IFERROR(INDEX($A221:$R221,MATCH("Description",$A$1:$R$1,0)),"")&amp;""</f>
        <v/>
      </c>
      <c r="AE221" s="9">
        <f>IFERROR(INDEX($A221:$R221,MATCH("Job Number",$A$1:$R$1,0)),"")&amp;""</f>
        <v/>
      </c>
      <c r="AF221" s="54">
        <f>IF(AND(T221="Open",ISNUMBER(Z221),Z221&lt;EOMONTH(set_AsAt,-1)+1),3,0)</f>
        <v/>
      </c>
      <c r="AG221" s="54">
        <f>IF(AND(T221="Open",U221&gt;0,U221&gt;=set_DealShare*SUMIFS($U$2:$U$601,$T$2:$T$601,"Open")),3,0)</f>
        <v/>
      </c>
      <c r="AH221" s="54">
        <f>IF(AND(T221="Open",U221&gt;=set_BigValue,W221&lt;=set_EarlyProb),2,0)</f>
        <v/>
      </c>
      <c r="AI221" s="54">
        <f>IF(AND(OR(T221="Open",T221="Won"),V221=0),2,0)</f>
        <v/>
      </c>
      <c r="AJ221" s="54">
        <f>IF(AND(T221="Won",Y221&gt;0.5,ISNUMBER(Z221),Z221&lt;EOMONTH(set_AsAt,-1)+1),3,0)</f>
        <v/>
      </c>
      <c r="AK221" s="54">
        <f>IF(AND(T221="Won",Y221&lt;-1),1,0)</f>
        <v/>
      </c>
      <c r="AL221" s="54">
        <f>SUM(AF221:AK221)</f>
        <v/>
      </c>
      <c r="AM221" s="9">
        <f>IF(AL221&gt;=set_ScoreHigh,"High",IF(AL221&gt;=set_ScoreMed,"Medium",IF(AL221&gt;0,"Low","OK")))</f>
        <v/>
      </c>
      <c r="AN221" s="54">
        <f>IF(OR(T221="Open",AND(T221="Won",ABS(Y221)&gt;0.5)),1,0)</f>
        <v/>
      </c>
      <c r="AO221" s="52">
        <f>IF(T221="Open",IF(V221=0,0,X221),IF(T221="Won",MAX(0,Y221),0))</f>
        <v/>
      </c>
      <c r="AP221" s="54">
        <f>IF(AN221=1,AL221*1E+9+U221+ROW()/1E+6,"")</f>
        <v/>
      </c>
      <c r="AQ221" s="9">
        <f>MID(IF(AF221&gt;0,"; Expected month passed - update Zoho","")&amp;IF(AG221&gt;0,"; "&amp;TEXT(U221/MAX(1,SUMIFS($U$2:$U$601,$T$2:$T$601,"Open")),"0%")&amp;" of open pipeline in one deal","")&amp;IF(AH221&gt;0,"; Large deal at an early stage","")&amp;IF(AI221&gt;0,"; No amount in Zoho","")&amp;IF(AJ221&gt;0,"; Won, invoice month passed, not fully invoiced","")&amp;IF(AK221&gt;0,"; Xero invoiced more than the deal value",""),3,300)</f>
        <v/>
      </c>
    </row>
    <row r="222">
      <c r="T222" s="9">
        <f>IFERROR(INDEX($A222:$R222,MATCH("Status",$A$1:$R$1,0)),"")&amp;""</f>
        <v/>
      </c>
      <c r="U222" s="52">
        <f>IFERROR(N(IFERROR(INDEX($A222:$R222,MATCH("Value Ex GST",$A$1:$R$1,0)),"")),0)</f>
        <v/>
      </c>
      <c r="V222" s="54">
        <f>IF(AND(T222&lt;&gt;"",IFERROR(INDEX($A222:$R222,MATCH("Value Ex GST",$A$1:$R$1,0)),"")&amp;""&lt;&gt;""),1,0)</f>
        <v/>
      </c>
      <c r="W222" s="56">
        <f>IFERROR(N(IFERROR(INDEX($A222:$R222,MATCH("Probability",$A$1:$R$1,0)),"")),0)</f>
        <v/>
      </c>
      <c r="X222" s="52">
        <f>IF(T222="Open",U222*W222,0)</f>
        <v/>
      </c>
      <c r="Y222" s="52">
        <f>IF(T222="Won",IFERROR(N(IFERROR(INDEX($A222:$R222,MATCH("Still to Invoice",$A$1:$R$1,0)),"")),0),0)</f>
        <v/>
      </c>
      <c r="Z222" s="55">
        <f>IFERROR(EOMONTH(IFERROR(INDEX($A222:$R222,MATCH("Expected Invoice Month",$A$1:$R$1,0)),""),0),"")</f>
        <v/>
      </c>
      <c r="AA222" s="9">
        <f>IFERROR(INDEX($A222:$R222,MATCH("Cost Centre",$A$1:$R$1,0)),"")&amp;""</f>
        <v/>
      </c>
      <c r="AB222" s="9">
        <f>IFERROR(INDEX($A222:$R222,MATCH("Pipeline Stage",$A$1:$R$1,0)),"")&amp;""</f>
        <v/>
      </c>
      <c r="AC222" s="9">
        <f>IFERROR(INDEX($A222:$R222,MATCH("Client",$A$1:$R$1,0)),"")&amp;""</f>
        <v/>
      </c>
      <c r="AD222" s="9">
        <f>IFERROR(INDEX($A222:$R222,MATCH("Description",$A$1:$R$1,0)),"")&amp;""</f>
        <v/>
      </c>
      <c r="AE222" s="9">
        <f>IFERROR(INDEX($A222:$R222,MATCH("Job Number",$A$1:$R$1,0)),"")&amp;""</f>
        <v/>
      </c>
      <c r="AF222" s="54">
        <f>IF(AND(T222="Open",ISNUMBER(Z222),Z222&lt;EOMONTH(set_AsAt,-1)+1),3,0)</f>
        <v/>
      </c>
      <c r="AG222" s="54">
        <f>IF(AND(T222="Open",U222&gt;0,U222&gt;=set_DealShare*SUMIFS($U$2:$U$601,$T$2:$T$601,"Open")),3,0)</f>
        <v/>
      </c>
      <c r="AH222" s="54">
        <f>IF(AND(T222="Open",U222&gt;=set_BigValue,W222&lt;=set_EarlyProb),2,0)</f>
        <v/>
      </c>
      <c r="AI222" s="54">
        <f>IF(AND(OR(T222="Open",T222="Won"),V222=0),2,0)</f>
        <v/>
      </c>
      <c r="AJ222" s="54">
        <f>IF(AND(T222="Won",Y222&gt;0.5,ISNUMBER(Z222),Z222&lt;EOMONTH(set_AsAt,-1)+1),3,0)</f>
        <v/>
      </c>
      <c r="AK222" s="54">
        <f>IF(AND(T222="Won",Y222&lt;-1),1,0)</f>
        <v/>
      </c>
      <c r="AL222" s="54">
        <f>SUM(AF222:AK222)</f>
        <v/>
      </c>
      <c r="AM222" s="9">
        <f>IF(AL222&gt;=set_ScoreHigh,"High",IF(AL222&gt;=set_ScoreMed,"Medium",IF(AL222&gt;0,"Low","OK")))</f>
        <v/>
      </c>
      <c r="AN222" s="54">
        <f>IF(OR(T222="Open",AND(T222="Won",ABS(Y222)&gt;0.5)),1,0)</f>
        <v/>
      </c>
      <c r="AO222" s="52">
        <f>IF(T222="Open",IF(V222=0,0,X222),IF(T222="Won",MAX(0,Y222),0))</f>
        <v/>
      </c>
      <c r="AP222" s="54">
        <f>IF(AN222=1,AL222*1E+9+U222+ROW()/1E+6,"")</f>
        <v/>
      </c>
      <c r="AQ222" s="9">
        <f>MID(IF(AF222&gt;0,"; Expected month passed - update Zoho","")&amp;IF(AG222&gt;0,"; "&amp;TEXT(U222/MAX(1,SUMIFS($U$2:$U$601,$T$2:$T$601,"Open")),"0%")&amp;" of open pipeline in one deal","")&amp;IF(AH222&gt;0,"; Large deal at an early stage","")&amp;IF(AI222&gt;0,"; No amount in Zoho","")&amp;IF(AJ222&gt;0,"; Won, invoice month passed, not fully invoiced","")&amp;IF(AK222&gt;0,"; Xero invoiced more than the deal value",""),3,300)</f>
        <v/>
      </c>
    </row>
    <row r="223">
      <c r="T223" s="9">
        <f>IFERROR(INDEX($A223:$R223,MATCH("Status",$A$1:$R$1,0)),"")&amp;""</f>
        <v/>
      </c>
      <c r="U223" s="52">
        <f>IFERROR(N(IFERROR(INDEX($A223:$R223,MATCH("Value Ex GST",$A$1:$R$1,0)),"")),0)</f>
        <v/>
      </c>
      <c r="V223" s="54">
        <f>IF(AND(T223&lt;&gt;"",IFERROR(INDEX($A223:$R223,MATCH("Value Ex GST",$A$1:$R$1,0)),"")&amp;""&lt;&gt;""),1,0)</f>
        <v/>
      </c>
      <c r="W223" s="56">
        <f>IFERROR(N(IFERROR(INDEX($A223:$R223,MATCH("Probability",$A$1:$R$1,0)),"")),0)</f>
        <v/>
      </c>
      <c r="X223" s="52">
        <f>IF(T223="Open",U223*W223,0)</f>
        <v/>
      </c>
      <c r="Y223" s="52">
        <f>IF(T223="Won",IFERROR(N(IFERROR(INDEX($A223:$R223,MATCH("Still to Invoice",$A$1:$R$1,0)),"")),0),0)</f>
        <v/>
      </c>
      <c r="Z223" s="55">
        <f>IFERROR(EOMONTH(IFERROR(INDEX($A223:$R223,MATCH("Expected Invoice Month",$A$1:$R$1,0)),""),0),"")</f>
        <v/>
      </c>
      <c r="AA223" s="9">
        <f>IFERROR(INDEX($A223:$R223,MATCH("Cost Centre",$A$1:$R$1,0)),"")&amp;""</f>
        <v/>
      </c>
      <c r="AB223" s="9">
        <f>IFERROR(INDEX($A223:$R223,MATCH("Pipeline Stage",$A$1:$R$1,0)),"")&amp;""</f>
        <v/>
      </c>
      <c r="AC223" s="9">
        <f>IFERROR(INDEX($A223:$R223,MATCH("Client",$A$1:$R$1,0)),"")&amp;""</f>
        <v/>
      </c>
      <c r="AD223" s="9">
        <f>IFERROR(INDEX($A223:$R223,MATCH("Description",$A$1:$R$1,0)),"")&amp;""</f>
        <v/>
      </c>
      <c r="AE223" s="9">
        <f>IFERROR(INDEX($A223:$R223,MATCH("Job Number",$A$1:$R$1,0)),"")&amp;""</f>
        <v/>
      </c>
      <c r="AF223" s="54">
        <f>IF(AND(T223="Open",ISNUMBER(Z223),Z223&lt;EOMONTH(set_AsAt,-1)+1),3,0)</f>
        <v/>
      </c>
      <c r="AG223" s="54">
        <f>IF(AND(T223="Open",U223&gt;0,U223&gt;=set_DealShare*SUMIFS($U$2:$U$601,$T$2:$T$601,"Open")),3,0)</f>
        <v/>
      </c>
      <c r="AH223" s="54">
        <f>IF(AND(T223="Open",U223&gt;=set_BigValue,W223&lt;=set_EarlyProb),2,0)</f>
        <v/>
      </c>
      <c r="AI223" s="54">
        <f>IF(AND(OR(T223="Open",T223="Won"),V223=0),2,0)</f>
        <v/>
      </c>
      <c r="AJ223" s="54">
        <f>IF(AND(T223="Won",Y223&gt;0.5,ISNUMBER(Z223),Z223&lt;EOMONTH(set_AsAt,-1)+1),3,0)</f>
        <v/>
      </c>
      <c r="AK223" s="54">
        <f>IF(AND(T223="Won",Y223&lt;-1),1,0)</f>
        <v/>
      </c>
      <c r="AL223" s="54">
        <f>SUM(AF223:AK223)</f>
        <v/>
      </c>
      <c r="AM223" s="9">
        <f>IF(AL223&gt;=set_ScoreHigh,"High",IF(AL223&gt;=set_ScoreMed,"Medium",IF(AL223&gt;0,"Low","OK")))</f>
        <v/>
      </c>
      <c r="AN223" s="54">
        <f>IF(OR(T223="Open",AND(T223="Won",ABS(Y223)&gt;0.5)),1,0)</f>
        <v/>
      </c>
      <c r="AO223" s="52">
        <f>IF(T223="Open",IF(V223=0,0,X223),IF(T223="Won",MAX(0,Y223),0))</f>
        <v/>
      </c>
      <c r="AP223" s="54">
        <f>IF(AN223=1,AL223*1E+9+U223+ROW()/1E+6,"")</f>
        <v/>
      </c>
      <c r="AQ223" s="9">
        <f>MID(IF(AF223&gt;0,"; Expected month passed - update Zoho","")&amp;IF(AG223&gt;0,"; "&amp;TEXT(U223/MAX(1,SUMIFS($U$2:$U$601,$T$2:$T$601,"Open")),"0%")&amp;" of open pipeline in one deal","")&amp;IF(AH223&gt;0,"; Large deal at an early stage","")&amp;IF(AI223&gt;0,"; No amount in Zoho","")&amp;IF(AJ223&gt;0,"; Won, invoice month passed, not fully invoiced","")&amp;IF(AK223&gt;0,"; Xero invoiced more than the deal value",""),3,300)</f>
        <v/>
      </c>
    </row>
    <row r="224">
      <c r="T224" s="9">
        <f>IFERROR(INDEX($A224:$R224,MATCH("Status",$A$1:$R$1,0)),"")&amp;""</f>
        <v/>
      </c>
      <c r="U224" s="52">
        <f>IFERROR(N(IFERROR(INDEX($A224:$R224,MATCH("Value Ex GST",$A$1:$R$1,0)),"")),0)</f>
        <v/>
      </c>
      <c r="V224" s="54">
        <f>IF(AND(T224&lt;&gt;"",IFERROR(INDEX($A224:$R224,MATCH("Value Ex GST",$A$1:$R$1,0)),"")&amp;""&lt;&gt;""),1,0)</f>
        <v/>
      </c>
      <c r="W224" s="56">
        <f>IFERROR(N(IFERROR(INDEX($A224:$R224,MATCH("Probability",$A$1:$R$1,0)),"")),0)</f>
        <v/>
      </c>
      <c r="X224" s="52">
        <f>IF(T224="Open",U224*W224,0)</f>
        <v/>
      </c>
      <c r="Y224" s="52">
        <f>IF(T224="Won",IFERROR(N(IFERROR(INDEX($A224:$R224,MATCH("Still to Invoice",$A$1:$R$1,0)),"")),0),0)</f>
        <v/>
      </c>
      <c r="Z224" s="55">
        <f>IFERROR(EOMONTH(IFERROR(INDEX($A224:$R224,MATCH("Expected Invoice Month",$A$1:$R$1,0)),""),0),"")</f>
        <v/>
      </c>
      <c r="AA224" s="9">
        <f>IFERROR(INDEX($A224:$R224,MATCH("Cost Centre",$A$1:$R$1,0)),"")&amp;""</f>
        <v/>
      </c>
      <c r="AB224" s="9">
        <f>IFERROR(INDEX($A224:$R224,MATCH("Pipeline Stage",$A$1:$R$1,0)),"")&amp;""</f>
        <v/>
      </c>
      <c r="AC224" s="9">
        <f>IFERROR(INDEX($A224:$R224,MATCH("Client",$A$1:$R$1,0)),"")&amp;""</f>
        <v/>
      </c>
      <c r="AD224" s="9">
        <f>IFERROR(INDEX($A224:$R224,MATCH("Description",$A$1:$R$1,0)),"")&amp;""</f>
        <v/>
      </c>
      <c r="AE224" s="9">
        <f>IFERROR(INDEX($A224:$R224,MATCH("Job Number",$A$1:$R$1,0)),"")&amp;""</f>
        <v/>
      </c>
      <c r="AF224" s="54">
        <f>IF(AND(T224="Open",ISNUMBER(Z224),Z224&lt;EOMONTH(set_AsAt,-1)+1),3,0)</f>
        <v/>
      </c>
      <c r="AG224" s="54">
        <f>IF(AND(T224="Open",U224&gt;0,U224&gt;=set_DealShare*SUMIFS($U$2:$U$601,$T$2:$T$601,"Open")),3,0)</f>
        <v/>
      </c>
      <c r="AH224" s="54">
        <f>IF(AND(T224="Open",U224&gt;=set_BigValue,W224&lt;=set_EarlyProb),2,0)</f>
        <v/>
      </c>
      <c r="AI224" s="54">
        <f>IF(AND(OR(T224="Open",T224="Won"),V224=0),2,0)</f>
        <v/>
      </c>
      <c r="AJ224" s="54">
        <f>IF(AND(T224="Won",Y224&gt;0.5,ISNUMBER(Z224),Z224&lt;EOMONTH(set_AsAt,-1)+1),3,0)</f>
        <v/>
      </c>
      <c r="AK224" s="54">
        <f>IF(AND(T224="Won",Y224&lt;-1),1,0)</f>
        <v/>
      </c>
      <c r="AL224" s="54">
        <f>SUM(AF224:AK224)</f>
        <v/>
      </c>
      <c r="AM224" s="9">
        <f>IF(AL224&gt;=set_ScoreHigh,"High",IF(AL224&gt;=set_ScoreMed,"Medium",IF(AL224&gt;0,"Low","OK")))</f>
        <v/>
      </c>
      <c r="AN224" s="54">
        <f>IF(OR(T224="Open",AND(T224="Won",ABS(Y224)&gt;0.5)),1,0)</f>
        <v/>
      </c>
      <c r="AO224" s="52">
        <f>IF(T224="Open",IF(V224=0,0,X224),IF(T224="Won",MAX(0,Y224),0))</f>
        <v/>
      </c>
      <c r="AP224" s="54">
        <f>IF(AN224=1,AL224*1E+9+U224+ROW()/1E+6,"")</f>
        <v/>
      </c>
      <c r="AQ224" s="9">
        <f>MID(IF(AF224&gt;0,"; Expected month passed - update Zoho","")&amp;IF(AG224&gt;0,"; "&amp;TEXT(U224/MAX(1,SUMIFS($U$2:$U$601,$T$2:$T$601,"Open")),"0%")&amp;" of open pipeline in one deal","")&amp;IF(AH224&gt;0,"; Large deal at an early stage","")&amp;IF(AI224&gt;0,"; No amount in Zoho","")&amp;IF(AJ224&gt;0,"; Won, invoice month passed, not fully invoiced","")&amp;IF(AK224&gt;0,"; Xero invoiced more than the deal value",""),3,300)</f>
        <v/>
      </c>
    </row>
    <row r="225">
      <c r="T225" s="9">
        <f>IFERROR(INDEX($A225:$R225,MATCH("Status",$A$1:$R$1,0)),"")&amp;""</f>
        <v/>
      </c>
      <c r="U225" s="52">
        <f>IFERROR(N(IFERROR(INDEX($A225:$R225,MATCH("Value Ex GST",$A$1:$R$1,0)),"")),0)</f>
        <v/>
      </c>
      <c r="V225" s="54">
        <f>IF(AND(T225&lt;&gt;"",IFERROR(INDEX($A225:$R225,MATCH("Value Ex GST",$A$1:$R$1,0)),"")&amp;""&lt;&gt;""),1,0)</f>
        <v/>
      </c>
      <c r="W225" s="56">
        <f>IFERROR(N(IFERROR(INDEX($A225:$R225,MATCH("Probability",$A$1:$R$1,0)),"")),0)</f>
        <v/>
      </c>
      <c r="X225" s="52">
        <f>IF(T225="Open",U225*W225,0)</f>
        <v/>
      </c>
      <c r="Y225" s="52">
        <f>IF(T225="Won",IFERROR(N(IFERROR(INDEX($A225:$R225,MATCH("Still to Invoice",$A$1:$R$1,0)),"")),0),0)</f>
        <v/>
      </c>
      <c r="Z225" s="55">
        <f>IFERROR(EOMONTH(IFERROR(INDEX($A225:$R225,MATCH("Expected Invoice Month",$A$1:$R$1,0)),""),0),"")</f>
        <v/>
      </c>
      <c r="AA225" s="9">
        <f>IFERROR(INDEX($A225:$R225,MATCH("Cost Centre",$A$1:$R$1,0)),"")&amp;""</f>
        <v/>
      </c>
      <c r="AB225" s="9">
        <f>IFERROR(INDEX($A225:$R225,MATCH("Pipeline Stage",$A$1:$R$1,0)),"")&amp;""</f>
        <v/>
      </c>
      <c r="AC225" s="9">
        <f>IFERROR(INDEX($A225:$R225,MATCH("Client",$A$1:$R$1,0)),"")&amp;""</f>
        <v/>
      </c>
      <c r="AD225" s="9">
        <f>IFERROR(INDEX($A225:$R225,MATCH("Description",$A$1:$R$1,0)),"")&amp;""</f>
        <v/>
      </c>
      <c r="AE225" s="9">
        <f>IFERROR(INDEX($A225:$R225,MATCH("Job Number",$A$1:$R$1,0)),"")&amp;""</f>
        <v/>
      </c>
      <c r="AF225" s="54">
        <f>IF(AND(T225="Open",ISNUMBER(Z225),Z225&lt;EOMONTH(set_AsAt,-1)+1),3,0)</f>
        <v/>
      </c>
      <c r="AG225" s="54">
        <f>IF(AND(T225="Open",U225&gt;0,U225&gt;=set_DealShare*SUMIFS($U$2:$U$601,$T$2:$T$601,"Open")),3,0)</f>
        <v/>
      </c>
      <c r="AH225" s="54">
        <f>IF(AND(T225="Open",U225&gt;=set_BigValue,W225&lt;=set_EarlyProb),2,0)</f>
        <v/>
      </c>
      <c r="AI225" s="54">
        <f>IF(AND(OR(T225="Open",T225="Won"),V225=0),2,0)</f>
        <v/>
      </c>
      <c r="AJ225" s="54">
        <f>IF(AND(T225="Won",Y225&gt;0.5,ISNUMBER(Z225),Z225&lt;EOMONTH(set_AsAt,-1)+1),3,0)</f>
        <v/>
      </c>
      <c r="AK225" s="54">
        <f>IF(AND(T225="Won",Y225&lt;-1),1,0)</f>
        <v/>
      </c>
      <c r="AL225" s="54">
        <f>SUM(AF225:AK225)</f>
        <v/>
      </c>
      <c r="AM225" s="9">
        <f>IF(AL225&gt;=set_ScoreHigh,"High",IF(AL225&gt;=set_ScoreMed,"Medium",IF(AL225&gt;0,"Low","OK")))</f>
        <v/>
      </c>
      <c r="AN225" s="54">
        <f>IF(OR(T225="Open",AND(T225="Won",ABS(Y225)&gt;0.5)),1,0)</f>
        <v/>
      </c>
      <c r="AO225" s="52">
        <f>IF(T225="Open",IF(V225=0,0,X225),IF(T225="Won",MAX(0,Y225),0))</f>
        <v/>
      </c>
      <c r="AP225" s="54">
        <f>IF(AN225=1,AL225*1E+9+U225+ROW()/1E+6,"")</f>
        <v/>
      </c>
      <c r="AQ225" s="9">
        <f>MID(IF(AF225&gt;0,"; Expected month passed - update Zoho","")&amp;IF(AG225&gt;0,"; "&amp;TEXT(U225/MAX(1,SUMIFS($U$2:$U$601,$T$2:$T$601,"Open")),"0%")&amp;" of open pipeline in one deal","")&amp;IF(AH225&gt;0,"; Large deal at an early stage","")&amp;IF(AI225&gt;0,"; No amount in Zoho","")&amp;IF(AJ225&gt;0,"; Won, invoice month passed, not fully invoiced","")&amp;IF(AK225&gt;0,"; Xero invoiced more than the deal value",""),3,300)</f>
        <v/>
      </c>
    </row>
    <row r="226">
      <c r="T226" s="9">
        <f>IFERROR(INDEX($A226:$R226,MATCH("Status",$A$1:$R$1,0)),"")&amp;""</f>
        <v/>
      </c>
      <c r="U226" s="52">
        <f>IFERROR(N(IFERROR(INDEX($A226:$R226,MATCH("Value Ex GST",$A$1:$R$1,0)),"")),0)</f>
        <v/>
      </c>
      <c r="V226" s="54">
        <f>IF(AND(T226&lt;&gt;"",IFERROR(INDEX($A226:$R226,MATCH("Value Ex GST",$A$1:$R$1,0)),"")&amp;""&lt;&gt;""),1,0)</f>
        <v/>
      </c>
      <c r="W226" s="56">
        <f>IFERROR(N(IFERROR(INDEX($A226:$R226,MATCH("Probability",$A$1:$R$1,0)),"")),0)</f>
        <v/>
      </c>
      <c r="X226" s="52">
        <f>IF(T226="Open",U226*W226,0)</f>
        <v/>
      </c>
      <c r="Y226" s="52">
        <f>IF(T226="Won",IFERROR(N(IFERROR(INDEX($A226:$R226,MATCH("Still to Invoice",$A$1:$R$1,0)),"")),0),0)</f>
        <v/>
      </c>
      <c r="Z226" s="55">
        <f>IFERROR(EOMONTH(IFERROR(INDEX($A226:$R226,MATCH("Expected Invoice Month",$A$1:$R$1,0)),""),0),"")</f>
        <v/>
      </c>
      <c r="AA226" s="9">
        <f>IFERROR(INDEX($A226:$R226,MATCH("Cost Centre",$A$1:$R$1,0)),"")&amp;""</f>
        <v/>
      </c>
      <c r="AB226" s="9">
        <f>IFERROR(INDEX($A226:$R226,MATCH("Pipeline Stage",$A$1:$R$1,0)),"")&amp;""</f>
        <v/>
      </c>
      <c r="AC226" s="9">
        <f>IFERROR(INDEX($A226:$R226,MATCH("Client",$A$1:$R$1,0)),"")&amp;""</f>
        <v/>
      </c>
      <c r="AD226" s="9">
        <f>IFERROR(INDEX($A226:$R226,MATCH("Description",$A$1:$R$1,0)),"")&amp;""</f>
        <v/>
      </c>
      <c r="AE226" s="9">
        <f>IFERROR(INDEX($A226:$R226,MATCH("Job Number",$A$1:$R$1,0)),"")&amp;""</f>
        <v/>
      </c>
      <c r="AF226" s="54">
        <f>IF(AND(T226="Open",ISNUMBER(Z226),Z226&lt;EOMONTH(set_AsAt,-1)+1),3,0)</f>
        <v/>
      </c>
      <c r="AG226" s="54">
        <f>IF(AND(T226="Open",U226&gt;0,U226&gt;=set_DealShare*SUMIFS($U$2:$U$601,$T$2:$T$601,"Open")),3,0)</f>
        <v/>
      </c>
      <c r="AH226" s="54">
        <f>IF(AND(T226="Open",U226&gt;=set_BigValue,W226&lt;=set_EarlyProb),2,0)</f>
        <v/>
      </c>
      <c r="AI226" s="54">
        <f>IF(AND(OR(T226="Open",T226="Won"),V226=0),2,0)</f>
        <v/>
      </c>
      <c r="AJ226" s="54">
        <f>IF(AND(T226="Won",Y226&gt;0.5,ISNUMBER(Z226),Z226&lt;EOMONTH(set_AsAt,-1)+1),3,0)</f>
        <v/>
      </c>
      <c r="AK226" s="54">
        <f>IF(AND(T226="Won",Y226&lt;-1),1,0)</f>
        <v/>
      </c>
      <c r="AL226" s="54">
        <f>SUM(AF226:AK226)</f>
        <v/>
      </c>
      <c r="AM226" s="9">
        <f>IF(AL226&gt;=set_ScoreHigh,"High",IF(AL226&gt;=set_ScoreMed,"Medium",IF(AL226&gt;0,"Low","OK")))</f>
        <v/>
      </c>
      <c r="AN226" s="54">
        <f>IF(OR(T226="Open",AND(T226="Won",ABS(Y226)&gt;0.5)),1,0)</f>
        <v/>
      </c>
      <c r="AO226" s="52">
        <f>IF(T226="Open",IF(V226=0,0,X226),IF(T226="Won",MAX(0,Y226),0))</f>
        <v/>
      </c>
      <c r="AP226" s="54">
        <f>IF(AN226=1,AL226*1E+9+U226+ROW()/1E+6,"")</f>
        <v/>
      </c>
      <c r="AQ226" s="9">
        <f>MID(IF(AF226&gt;0,"; Expected month passed - update Zoho","")&amp;IF(AG226&gt;0,"; "&amp;TEXT(U226/MAX(1,SUMIFS($U$2:$U$601,$T$2:$T$601,"Open")),"0%")&amp;" of open pipeline in one deal","")&amp;IF(AH226&gt;0,"; Large deal at an early stage","")&amp;IF(AI226&gt;0,"; No amount in Zoho","")&amp;IF(AJ226&gt;0,"; Won, invoice month passed, not fully invoiced","")&amp;IF(AK226&gt;0,"; Xero invoiced more than the deal value",""),3,300)</f>
        <v/>
      </c>
    </row>
    <row r="227">
      <c r="T227" s="9">
        <f>IFERROR(INDEX($A227:$R227,MATCH("Status",$A$1:$R$1,0)),"")&amp;""</f>
        <v/>
      </c>
      <c r="U227" s="52">
        <f>IFERROR(N(IFERROR(INDEX($A227:$R227,MATCH("Value Ex GST",$A$1:$R$1,0)),"")),0)</f>
        <v/>
      </c>
      <c r="V227" s="54">
        <f>IF(AND(T227&lt;&gt;"",IFERROR(INDEX($A227:$R227,MATCH("Value Ex GST",$A$1:$R$1,0)),"")&amp;""&lt;&gt;""),1,0)</f>
        <v/>
      </c>
      <c r="W227" s="56">
        <f>IFERROR(N(IFERROR(INDEX($A227:$R227,MATCH("Probability",$A$1:$R$1,0)),"")),0)</f>
        <v/>
      </c>
      <c r="X227" s="52">
        <f>IF(T227="Open",U227*W227,0)</f>
        <v/>
      </c>
      <c r="Y227" s="52">
        <f>IF(T227="Won",IFERROR(N(IFERROR(INDEX($A227:$R227,MATCH("Still to Invoice",$A$1:$R$1,0)),"")),0),0)</f>
        <v/>
      </c>
      <c r="Z227" s="55">
        <f>IFERROR(EOMONTH(IFERROR(INDEX($A227:$R227,MATCH("Expected Invoice Month",$A$1:$R$1,0)),""),0),"")</f>
        <v/>
      </c>
      <c r="AA227" s="9">
        <f>IFERROR(INDEX($A227:$R227,MATCH("Cost Centre",$A$1:$R$1,0)),"")&amp;""</f>
        <v/>
      </c>
      <c r="AB227" s="9">
        <f>IFERROR(INDEX($A227:$R227,MATCH("Pipeline Stage",$A$1:$R$1,0)),"")&amp;""</f>
        <v/>
      </c>
      <c r="AC227" s="9">
        <f>IFERROR(INDEX($A227:$R227,MATCH("Client",$A$1:$R$1,0)),"")&amp;""</f>
        <v/>
      </c>
      <c r="AD227" s="9">
        <f>IFERROR(INDEX($A227:$R227,MATCH("Description",$A$1:$R$1,0)),"")&amp;""</f>
        <v/>
      </c>
      <c r="AE227" s="9">
        <f>IFERROR(INDEX($A227:$R227,MATCH("Job Number",$A$1:$R$1,0)),"")&amp;""</f>
        <v/>
      </c>
      <c r="AF227" s="54">
        <f>IF(AND(T227="Open",ISNUMBER(Z227),Z227&lt;EOMONTH(set_AsAt,-1)+1),3,0)</f>
        <v/>
      </c>
      <c r="AG227" s="54">
        <f>IF(AND(T227="Open",U227&gt;0,U227&gt;=set_DealShare*SUMIFS($U$2:$U$601,$T$2:$T$601,"Open")),3,0)</f>
        <v/>
      </c>
      <c r="AH227" s="54">
        <f>IF(AND(T227="Open",U227&gt;=set_BigValue,W227&lt;=set_EarlyProb),2,0)</f>
        <v/>
      </c>
      <c r="AI227" s="54">
        <f>IF(AND(OR(T227="Open",T227="Won"),V227=0),2,0)</f>
        <v/>
      </c>
      <c r="AJ227" s="54">
        <f>IF(AND(T227="Won",Y227&gt;0.5,ISNUMBER(Z227),Z227&lt;EOMONTH(set_AsAt,-1)+1),3,0)</f>
        <v/>
      </c>
      <c r="AK227" s="54">
        <f>IF(AND(T227="Won",Y227&lt;-1),1,0)</f>
        <v/>
      </c>
      <c r="AL227" s="54">
        <f>SUM(AF227:AK227)</f>
        <v/>
      </c>
      <c r="AM227" s="9">
        <f>IF(AL227&gt;=set_ScoreHigh,"High",IF(AL227&gt;=set_ScoreMed,"Medium",IF(AL227&gt;0,"Low","OK")))</f>
        <v/>
      </c>
      <c r="AN227" s="54">
        <f>IF(OR(T227="Open",AND(T227="Won",ABS(Y227)&gt;0.5)),1,0)</f>
        <v/>
      </c>
      <c r="AO227" s="52">
        <f>IF(T227="Open",IF(V227=0,0,X227),IF(T227="Won",MAX(0,Y227),0))</f>
        <v/>
      </c>
      <c r="AP227" s="54">
        <f>IF(AN227=1,AL227*1E+9+U227+ROW()/1E+6,"")</f>
        <v/>
      </c>
      <c r="AQ227" s="9">
        <f>MID(IF(AF227&gt;0,"; Expected month passed - update Zoho","")&amp;IF(AG227&gt;0,"; "&amp;TEXT(U227/MAX(1,SUMIFS($U$2:$U$601,$T$2:$T$601,"Open")),"0%")&amp;" of open pipeline in one deal","")&amp;IF(AH227&gt;0,"; Large deal at an early stage","")&amp;IF(AI227&gt;0,"; No amount in Zoho","")&amp;IF(AJ227&gt;0,"; Won, invoice month passed, not fully invoiced","")&amp;IF(AK227&gt;0,"; Xero invoiced more than the deal value",""),3,300)</f>
        <v/>
      </c>
    </row>
    <row r="228">
      <c r="T228" s="9">
        <f>IFERROR(INDEX($A228:$R228,MATCH("Status",$A$1:$R$1,0)),"")&amp;""</f>
        <v/>
      </c>
      <c r="U228" s="52">
        <f>IFERROR(N(IFERROR(INDEX($A228:$R228,MATCH("Value Ex GST",$A$1:$R$1,0)),"")),0)</f>
        <v/>
      </c>
      <c r="V228" s="54">
        <f>IF(AND(T228&lt;&gt;"",IFERROR(INDEX($A228:$R228,MATCH("Value Ex GST",$A$1:$R$1,0)),"")&amp;""&lt;&gt;""),1,0)</f>
        <v/>
      </c>
      <c r="W228" s="56">
        <f>IFERROR(N(IFERROR(INDEX($A228:$R228,MATCH("Probability",$A$1:$R$1,0)),"")),0)</f>
        <v/>
      </c>
      <c r="X228" s="52">
        <f>IF(T228="Open",U228*W228,0)</f>
        <v/>
      </c>
      <c r="Y228" s="52">
        <f>IF(T228="Won",IFERROR(N(IFERROR(INDEX($A228:$R228,MATCH("Still to Invoice",$A$1:$R$1,0)),"")),0),0)</f>
        <v/>
      </c>
      <c r="Z228" s="55">
        <f>IFERROR(EOMONTH(IFERROR(INDEX($A228:$R228,MATCH("Expected Invoice Month",$A$1:$R$1,0)),""),0),"")</f>
        <v/>
      </c>
      <c r="AA228" s="9">
        <f>IFERROR(INDEX($A228:$R228,MATCH("Cost Centre",$A$1:$R$1,0)),"")&amp;""</f>
        <v/>
      </c>
      <c r="AB228" s="9">
        <f>IFERROR(INDEX($A228:$R228,MATCH("Pipeline Stage",$A$1:$R$1,0)),"")&amp;""</f>
        <v/>
      </c>
      <c r="AC228" s="9">
        <f>IFERROR(INDEX($A228:$R228,MATCH("Client",$A$1:$R$1,0)),"")&amp;""</f>
        <v/>
      </c>
      <c r="AD228" s="9">
        <f>IFERROR(INDEX($A228:$R228,MATCH("Description",$A$1:$R$1,0)),"")&amp;""</f>
        <v/>
      </c>
      <c r="AE228" s="9">
        <f>IFERROR(INDEX($A228:$R228,MATCH("Job Number",$A$1:$R$1,0)),"")&amp;""</f>
        <v/>
      </c>
      <c r="AF228" s="54">
        <f>IF(AND(T228="Open",ISNUMBER(Z228),Z228&lt;EOMONTH(set_AsAt,-1)+1),3,0)</f>
        <v/>
      </c>
      <c r="AG228" s="54">
        <f>IF(AND(T228="Open",U228&gt;0,U228&gt;=set_DealShare*SUMIFS($U$2:$U$601,$T$2:$T$601,"Open")),3,0)</f>
        <v/>
      </c>
      <c r="AH228" s="54">
        <f>IF(AND(T228="Open",U228&gt;=set_BigValue,W228&lt;=set_EarlyProb),2,0)</f>
        <v/>
      </c>
      <c r="AI228" s="54">
        <f>IF(AND(OR(T228="Open",T228="Won"),V228=0),2,0)</f>
        <v/>
      </c>
      <c r="AJ228" s="54">
        <f>IF(AND(T228="Won",Y228&gt;0.5,ISNUMBER(Z228),Z228&lt;EOMONTH(set_AsAt,-1)+1),3,0)</f>
        <v/>
      </c>
      <c r="AK228" s="54">
        <f>IF(AND(T228="Won",Y228&lt;-1),1,0)</f>
        <v/>
      </c>
      <c r="AL228" s="54">
        <f>SUM(AF228:AK228)</f>
        <v/>
      </c>
      <c r="AM228" s="9">
        <f>IF(AL228&gt;=set_ScoreHigh,"High",IF(AL228&gt;=set_ScoreMed,"Medium",IF(AL228&gt;0,"Low","OK")))</f>
        <v/>
      </c>
      <c r="AN228" s="54">
        <f>IF(OR(T228="Open",AND(T228="Won",ABS(Y228)&gt;0.5)),1,0)</f>
        <v/>
      </c>
      <c r="AO228" s="52">
        <f>IF(T228="Open",IF(V228=0,0,X228),IF(T228="Won",MAX(0,Y228),0))</f>
        <v/>
      </c>
      <c r="AP228" s="54">
        <f>IF(AN228=1,AL228*1E+9+U228+ROW()/1E+6,"")</f>
        <v/>
      </c>
      <c r="AQ228" s="9">
        <f>MID(IF(AF228&gt;0,"; Expected month passed - update Zoho","")&amp;IF(AG228&gt;0,"; "&amp;TEXT(U228/MAX(1,SUMIFS($U$2:$U$601,$T$2:$T$601,"Open")),"0%")&amp;" of open pipeline in one deal","")&amp;IF(AH228&gt;0,"; Large deal at an early stage","")&amp;IF(AI228&gt;0,"; No amount in Zoho","")&amp;IF(AJ228&gt;0,"; Won, invoice month passed, not fully invoiced","")&amp;IF(AK228&gt;0,"; Xero invoiced more than the deal value",""),3,300)</f>
        <v/>
      </c>
    </row>
    <row r="229">
      <c r="T229" s="9">
        <f>IFERROR(INDEX($A229:$R229,MATCH("Status",$A$1:$R$1,0)),"")&amp;""</f>
        <v/>
      </c>
      <c r="U229" s="52">
        <f>IFERROR(N(IFERROR(INDEX($A229:$R229,MATCH("Value Ex GST",$A$1:$R$1,0)),"")),0)</f>
        <v/>
      </c>
      <c r="V229" s="54">
        <f>IF(AND(T229&lt;&gt;"",IFERROR(INDEX($A229:$R229,MATCH("Value Ex GST",$A$1:$R$1,0)),"")&amp;""&lt;&gt;""),1,0)</f>
        <v/>
      </c>
      <c r="W229" s="56">
        <f>IFERROR(N(IFERROR(INDEX($A229:$R229,MATCH("Probability",$A$1:$R$1,0)),"")),0)</f>
        <v/>
      </c>
      <c r="X229" s="52">
        <f>IF(T229="Open",U229*W229,0)</f>
        <v/>
      </c>
      <c r="Y229" s="52">
        <f>IF(T229="Won",IFERROR(N(IFERROR(INDEX($A229:$R229,MATCH("Still to Invoice",$A$1:$R$1,0)),"")),0),0)</f>
        <v/>
      </c>
      <c r="Z229" s="55">
        <f>IFERROR(EOMONTH(IFERROR(INDEX($A229:$R229,MATCH("Expected Invoice Month",$A$1:$R$1,0)),""),0),"")</f>
        <v/>
      </c>
      <c r="AA229" s="9">
        <f>IFERROR(INDEX($A229:$R229,MATCH("Cost Centre",$A$1:$R$1,0)),"")&amp;""</f>
        <v/>
      </c>
      <c r="AB229" s="9">
        <f>IFERROR(INDEX($A229:$R229,MATCH("Pipeline Stage",$A$1:$R$1,0)),"")&amp;""</f>
        <v/>
      </c>
      <c r="AC229" s="9">
        <f>IFERROR(INDEX($A229:$R229,MATCH("Client",$A$1:$R$1,0)),"")&amp;""</f>
        <v/>
      </c>
      <c r="AD229" s="9">
        <f>IFERROR(INDEX($A229:$R229,MATCH("Description",$A$1:$R$1,0)),"")&amp;""</f>
        <v/>
      </c>
      <c r="AE229" s="9">
        <f>IFERROR(INDEX($A229:$R229,MATCH("Job Number",$A$1:$R$1,0)),"")&amp;""</f>
        <v/>
      </c>
      <c r="AF229" s="54">
        <f>IF(AND(T229="Open",ISNUMBER(Z229),Z229&lt;EOMONTH(set_AsAt,-1)+1),3,0)</f>
        <v/>
      </c>
      <c r="AG229" s="54">
        <f>IF(AND(T229="Open",U229&gt;0,U229&gt;=set_DealShare*SUMIFS($U$2:$U$601,$T$2:$T$601,"Open")),3,0)</f>
        <v/>
      </c>
      <c r="AH229" s="54">
        <f>IF(AND(T229="Open",U229&gt;=set_BigValue,W229&lt;=set_EarlyProb),2,0)</f>
        <v/>
      </c>
      <c r="AI229" s="54">
        <f>IF(AND(OR(T229="Open",T229="Won"),V229=0),2,0)</f>
        <v/>
      </c>
      <c r="AJ229" s="54">
        <f>IF(AND(T229="Won",Y229&gt;0.5,ISNUMBER(Z229),Z229&lt;EOMONTH(set_AsAt,-1)+1),3,0)</f>
        <v/>
      </c>
      <c r="AK229" s="54">
        <f>IF(AND(T229="Won",Y229&lt;-1),1,0)</f>
        <v/>
      </c>
      <c r="AL229" s="54">
        <f>SUM(AF229:AK229)</f>
        <v/>
      </c>
      <c r="AM229" s="9">
        <f>IF(AL229&gt;=set_ScoreHigh,"High",IF(AL229&gt;=set_ScoreMed,"Medium",IF(AL229&gt;0,"Low","OK")))</f>
        <v/>
      </c>
      <c r="AN229" s="54">
        <f>IF(OR(T229="Open",AND(T229="Won",ABS(Y229)&gt;0.5)),1,0)</f>
        <v/>
      </c>
      <c r="AO229" s="52">
        <f>IF(T229="Open",IF(V229=0,0,X229),IF(T229="Won",MAX(0,Y229),0))</f>
        <v/>
      </c>
      <c r="AP229" s="54">
        <f>IF(AN229=1,AL229*1E+9+U229+ROW()/1E+6,"")</f>
        <v/>
      </c>
      <c r="AQ229" s="9">
        <f>MID(IF(AF229&gt;0,"; Expected month passed - update Zoho","")&amp;IF(AG229&gt;0,"; "&amp;TEXT(U229/MAX(1,SUMIFS($U$2:$U$601,$T$2:$T$601,"Open")),"0%")&amp;" of open pipeline in one deal","")&amp;IF(AH229&gt;0,"; Large deal at an early stage","")&amp;IF(AI229&gt;0,"; No amount in Zoho","")&amp;IF(AJ229&gt;0,"; Won, invoice month passed, not fully invoiced","")&amp;IF(AK229&gt;0,"; Xero invoiced more than the deal value",""),3,300)</f>
        <v/>
      </c>
    </row>
    <row r="230">
      <c r="T230" s="9">
        <f>IFERROR(INDEX($A230:$R230,MATCH("Status",$A$1:$R$1,0)),"")&amp;""</f>
        <v/>
      </c>
      <c r="U230" s="52">
        <f>IFERROR(N(IFERROR(INDEX($A230:$R230,MATCH("Value Ex GST",$A$1:$R$1,0)),"")),0)</f>
        <v/>
      </c>
      <c r="V230" s="54">
        <f>IF(AND(T230&lt;&gt;"",IFERROR(INDEX($A230:$R230,MATCH("Value Ex GST",$A$1:$R$1,0)),"")&amp;""&lt;&gt;""),1,0)</f>
        <v/>
      </c>
      <c r="W230" s="56">
        <f>IFERROR(N(IFERROR(INDEX($A230:$R230,MATCH("Probability",$A$1:$R$1,0)),"")),0)</f>
        <v/>
      </c>
      <c r="X230" s="52">
        <f>IF(T230="Open",U230*W230,0)</f>
        <v/>
      </c>
      <c r="Y230" s="52">
        <f>IF(T230="Won",IFERROR(N(IFERROR(INDEX($A230:$R230,MATCH("Still to Invoice",$A$1:$R$1,0)),"")),0),0)</f>
        <v/>
      </c>
      <c r="Z230" s="55">
        <f>IFERROR(EOMONTH(IFERROR(INDEX($A230:$R230,MATCH("Expected Invoice Month",$A$1:$R$1,0)),""),0),"")</f>
        <v/>
      </c>
      <c r="AA230" s="9">
        <f>IFERROR(INDEX($A230:$R230,MATCH("Cost Centre",$A$1:$R$1,0)),"")&amp;""</f>
        <v/>
      </c>
      <c r="AB230" s="9">
        <f>IFERROR(INDEX($A230:$R230,MATCH("Pipeline Stage",$A$1:$R$1,0)),"")&amp;""</f>
        <v/>
      </c>
      <c r="AC230" s="9">
        <f>IFERROR(INDEX($A230:$R230,MATCH("Client",$A$1:$R$1,0)),"")&amp;""</f>
        <v/>
      </c>
      <c r="AD230" s="9">
        <f>IFERROR(INDEX($A230:$R230,MATCH("Description",$A$1:$R$1,0)),"")&amp;""</f>
        <v/>
      </c>
      <c r="AE230" s="9">
        <f>IFERROR(INDEX($A230:$R230,MATCH("Job Number",$A$1:$R$1,0)),"")&amp;""</f>
        <v/>
      </c>
      <c r="AF230" s="54">
        <f>IF(AND(T230="Open",ISNUMBER(Z230),Z230&lt;EOMONTH(set_AsAt,-1)+1),3,0)</f>
        <v/>
      </c>
      <c r="AG230" s="54">
        <f>IF(AND(T230="Open",U230&gt;0,U230&gt;=set_DealShare*SUMIFS($U$2:$U$601,$T$2:$T$601,"Open")),3,0)</f>
        <v/>
      </c>
      <c r="AH230" s="54">
        <f>IF(AND(T230="Open",U230&gt;=set_BigValue,W230&lt;=set_EarlyProb),2,0)</f>
        <v/>
      </c>
      <c r="AI230" s="54">
        <f>IF(AND(OR(T230="Open",T230="Won"),V230=0),2,0)</f>
        <v/>
      </c>
      <c r="AJ230" s="54">
        <f>IF(AND(T230="Won",Y230&gt;0.5,ISNUMBER(Z230),Z230&lt;EOMONTH(set_AsAt,-1)+1),3,0)</f>
        <v/>
      </c>
      <c r="AK230" s="54">
        <f>IF(AND(T230="Won",Y230&lt;-1),1,0)</f>
        <v/>
      </c>
      <c r="AL230" s="54">
        <f>SUM(AF230:AK230)</f>
        <v/>
      </c>
      <c r="AM230" s="9">
        <f>IF(AL230&gt;=set_ScoreHigh,"High",IF(AL230&gt;=set_ScoreMed,"Medium",IF(AL230&gt;0,"Low","OK")))</f>
        <v/>
      </c>
      <c r="AN230" s="54">
        <f>IF(OR(T230="Open",AND(T230="Won",ABS(Y230)&gt;0.5)),1,0)</f>
        <v/>
      </c>
      <c r="AO230" s="52">
        <f>IF(T230="Open",IF(V230=0,0,X230),IF(T230="Won",MAX(0,Y230),0))</f>
        <v/>
      </c>
      <c r="AP230" s="54">
        <f>IF(AN230=1,AL230*1E+9+U230+ROW()/1E+6,"")</f>
        <v/>
      </c>
      <c r="AQ230" s="9">
        <f>MID(IF(AF230&gt;0,"; Expected month passed - update Zoho","")&amp;IF(AG230&gt;0,"; "&amp;TEXT(U230/MAX(1,SUMIFS($U$2:$U$601,$T$2:$T$601,"Open")),"0%")&amp;" of open pipeline in one deal","")&amp;IF(AH230&gt;0,"; Large deal at an early stage","")&amp;IF(AI230&gt;0,"; No amount in Zoho","")&amp;IF(AJ230&gt;0,"; Won, invoice month passed, not fully invoiced","")&amp;IF(AK230&gt;0,"; Xero invoiced more than the deal value",""),3,300)</f>
        <v/>
      </c>
    </row>
    <row r="231">
      <c r="T231" s="9">
        <f>IFERROR(INDEX($A231:$R231,MATCH("Status",$A$1:$R$1,0)),"")&amp;""</f>
        <v/>
      </c>
      <c r="U231" s="52">
        <f>IFERROR(N(IFERROR(INDEX($A231:$R231,MATCH("Value Ex GST",$A$1:$R$1,0)),"")),0)</f>
        <v/>
      </c>
      <c r="V231" s="54">
        <f>IF(AND(T231&lt;&gt;"",IFERROR(INDEX($A231:$R231,MATCH("Value Ex GST",$A$1:$R$1,0)),"")&amp;""&lt;&gt;""),1,0)</f>
        <v/>
      </c>
      <c r="W231" s="56">
        <f>IFERROR(N(IFERROR(INDEX($A231:$R231,MATCH("Probability",$A$1:$R$1,0)),"")),0)</f>
        <v/>
      </c>
      <c r="X231" s="52">
        <f>IF(T231="Open",U231*W231,0)</f>
        <v/>
      </c>
      <c r="Y231" s="52">
        <f>IF(T231="Won",IFERROR(N(IFERROR(INDEX($A231:$R231,MATCH("Still to Invoice",$A$1:$R$1,0)),"")),0),0)</f>
        <v/>
      </c>
      <c r="Z231" s="55">
        <f>IFERROR(EOMONTH(IFERROR(INDEX($A231:$R231,MATCH("Expected Invoice Month",$A$1:$R$1,0)),""),0),"")</f>
        <v/>
      </c>
      <c r="AA231" s="9">
        <f>IFERROR(INDEX($A231:$R231,MATCH("Cost Centre",$A$1:$R$1,0)),"")&amp;""</f>
        <v/>
      </c>
      <c r="AB231" s="9">
        <f>IFERROR(INDEX($A231:$R231,MATCH("Pipeline Stage",$A$1:$R$1,0)),"")&amp;""</f>
        <v/>
      </c>
      <c r="AC231" s="9">
        <f>IFERROR(INDEX($A231:$R231,MATCH("Client",$A$1:$R$1,0)),"")&amp;""</f>
        <v/>
      </c>
      <c r="AD231" s="9">
        <f>IFERROR(INDEX($A231:$R231,MATCH("Description",$A$1:$R$1,0)),"")&amp;""</f>
        <v/>
      </c>
      <c r="AE231" s="9">
        <f>IFERROR(INDEX($A231:$R231,MATCH("Job Number",$A$1:$R$1,0)),"")&amp;""</f>
        <v/>
      </c>
      <c r="AF231" s="54">
        <f>IF(AND(T231="Open",ISNUMBER(Z231),Z231&lt;EOMONTH(set_AsAt,-1)+1),3,0)</f>
        <v/>
      </c>
      <c r="AG231" s="54">
        <f>IF(AND(T231="Open",U231&gt;0,U231&gt;=set_DealShare*SUMIFS($U$2:$U$601,$T$2:$T$601,"Open")),3,0)</f>
        <v/>
      </c>
      <c r="AH231" s="54">
        <f>IF(AND(T231="Open",U231&gt;=set_BigValue,W231&lt;=set_EarlyProb),2,0)</f>
        <v/>
      </c>
      <c r="AI231" s="54">
        <f>IF(AND(OR(T231="Open",T231="Won"),V231=0),2,0)</f>
        <v/>
      </c>
      <c r="AJ231" s="54">
        <f>IF(AND(T231="Won",Y231&gt;0.5,ISNUMBER(Z231),Z231&lt;EOMONTH(set_AsAt,-1)+1),3,0)</f>
        <v/>
      </c>
      <c r="AK231" s="54">
        <f>IF(AND(T231="Won",Y231&lt;-1),1,0)</f>
        <v/>
      </c>
      <c r="AL231" s="54">
        <f>SUM(AF231:AK231)</f>
        <v/>
      </c>
      <c r="AM231" s="9">
        <f>IF(AL231&gt;=set_ScoreHigh,"High",IF(AL231&gt;=set_ScoreMed,"Medium",IF(AL231&gt;0,"Low","OK")))</f>
        <v/>
      </c>
      <c r="AN231" s="54">
        <f>IF(OR(T231="Open",AND(T231="Won",ABS(Y231)&gt;0.5)),1,0)</f>
        <v/>
      </c>
      <c r="AO231" s="52">
        <f>IF(T231="Open",IF(V231=0,0,X231),IF(T231="Won",MAX(0,Y231),0))</f>
        <v/>
      </c>
      <c r="AP231" s="54">
        <f>IF(AN231=1,AL231*1E+9+U231+ROW()/1E+6,"")</f>
        <v/>
      </c>
      <c r="AQ231" s="9">
        <f>MID(IF(AF231&gt;0,"; Expected month passed - update Zoho","")&amp;IF(AG231&gt;0,"; "&amp;TEXT(U231/MAX(1,SUMIFS($U$2:$U$601,$T$2:$T$601,"Open")),"0%")&amp;" of open pipeline in one deal","")&amp;IF(AH231&gt;0,"; Large deal at an early stage","")&amp;IF(AI231&gt;0,"; No amount in Zoho","")&amp;IF(AJ231&gt;0,"; Won, invoice month passed, not fully invoiced","")&amp;IF(AK231&gt;0,"; Xero invoiced more than the deal value",""),3,300)</f>
        <v/>
      </c>
    </row>
    <row r="232">
      <c r="T232" s="9">
        <f>IFERROR(INDEX($A232:$R232,MATCH("Status",$A$1:$R$1,0)),"")&amp;""</f>
        <v/>
      </c>
      <c r="U232" s="52">
        <f>IFERROR(N(IFERROR(INDEX($A232:$R232,MATCH("Value Ex GST",$A$1:$R$1,0)),"")),0)</f>
        <v/>
      </c>
      <c r="V232" s="54">
        <f>IF(AND(T232&lt;&gt;"",IFERROR(INDEX($A232:$R232,MATCH("Value Ex GST",$A$1:$R$1,0)),"")&amp;""&lt;&gt;""),1,0)</f>
        <v/>
      </c>
      <c r="W232" s="56">
        <f>IFERROR(N(IFERROR(INDEX($A232:$R232,MATCH("Probability",$A$1:$R$1,0)),"")),0)</f>
        <v/>
      </c>
      <c r="X232" s="52">
        <f>IF(T232="Open",U232*W232,0)</f>
        <v/>
      </c>
      <c r="Y232" s="52">
        <f>IF(T232="Won",IFERROR(N(IFERROR(INDEX($A232:$R232,MATCH("Still to Invoice",$A$1:$R$1,0)),"")),0),0)</f>
        <v/>
      </c>
      <c r="Z232" s="55">
        <f>IFERROR(EOMONTH(IFERROR(INDEX($A232:$R232,MATCH("Expected Invoice Month",$A$1:$R$1,0)),""),0),"")</f>
        <v/>
      </c>
      <c r="AA232" s="9">
        <f>IFERROR(INDEX($A232:$R232,MATCH("Cost Centre",$A$1:$R$1,0)),"")&amp;""</f>
        <v/>
      </c>
      <c r="AB232" s="9">
        <f>IFERROR(INDEX($A232:$R232,MATCH("Pipeline Stage",$A$1:$R$1,0)),"")&amp;""</f>
        <v/>
      </c>
      <c r="AC232" s="9">
        <f>IFERROR(INDEX($A232:$R232,MATCH("Client",$A$1:$R$1,0)),"")&amp;""</f>
        <v/>
      </c>
      <c r="AD232" s="9">
        <f>IFERROR(INDEX($A232:$R232,MATCH("Description",$A$1:$R$1,0)),"")&amp;""</f>
        <v/>
      </c>
      <c r="AE232" s="9">
        <f>IFERROR(INDEX($A232:$R232,MATCH("Job Number",$A$1:$R$1,0)),"")&amp;""</f>
        <v/>
      </c>
      <c r="AF232" s="54">
        <f>IF(AND(T232="Open",ISNUMBER(Z232),Z232&lt;EOMONTH(set_AsAt,-1)+1),3,0)</f>
        <v/>
      </c>
      <c r="AG232" s="54">
        <f>IF(AND(T232="Open",U232&gt;0,U232&gt;=set_DealShare*SUMIFS($U$2:$U$601,$T$2:$T$601,"Open")),3,0)</f>
        <v/>
      </c>
      <c r="AH232" s="54">
        <f>IF(AND(T232="Open",U232&gt;=set_BigValue,W232&lt;=set_EarlyProb),2,0)</f>
        <v/>
      </c>
      <c r="AI232" s="54">
        <f>IF(AND(OR(T232="Open",T232="Won"),V232=0),2,0)</f>
        <v/>
      </c>
      <c r="AJ232" s="54">
        <f>IF(AND(T232="Won",Y232&gt;0.5,ISNUMBER(Z232),Z232&lt;EOMONTH(set_AsAt,-1)+1),3,0)</f>
        <v/>
      </c>
      <c r="AK232" s="54">
        <f>IF(AND(T232="Won",Y232&lt;-1),1,0)</f>
        <v/>
      </c>
      <c r="AL232" s="54">
        <f>SUM(AF232:AK232)</f>
        <v/>
      </c>
      <c r="AM232" s="9">
        <f>IF(AL232&gt;=set_ScoreHigh,"High",IF(AL232&gt;=set_ScoreMed,"Medium",IF(AL232&gt;0,"Low","OK")))</f>
        <v/>
      </c>
      <c r="AN232" s="54">
        <f>IF(OR(T232="Open",AND(T232="Won",ABS(Y232)&gt;0.5)),1,0)</f>
        <v/>
      </c>
      <c r="AO232" s="52">
        <f>IF(T232="Open",IF(V232=0,0,X232),IF(T232="Won",MAX(0,Y232),0))</f>
        <v/>
      </c>
      <c r="AP232" s="54">
        <f>IF(AN232=1,AL232*1E+9+U232+ROW()/1E+6,"")</f>
        <v/>
      </c>
      <c r="AQ232" s="9">
        <f>MID(IF(AF232&gt;0,"; Expected month passed - update Zoho","")&amp;IF(AG232&gt;0,"; "&amp;TEXT(U232/MAX(1,SUMIFS($U$2:$U$601,$T$2:$T$601,"Open")),"0%")&amp;" of open pipeline in one deal","")&amp;IF(AH232&gt;0,"; Large deal at an early stage","")&amp;IF(AI232&gt;0,"; No amount in Zoho","")&amp;IF(AJ232&gt;0,"; Won, invoice month passed, not fully invoiced","")&amp;IF(AK232&gt;0,"; Xero invoiced more than the deal value",""),3,300)</f>
        <v/>
      </c>
    </row>
    <row r="233">
      <c r="T233" s="9">
        <f>IFERROR(INDEX($A233:$R233,MATCH("Status",$A$1:$R$1,0)),"")&amp;""</f>
        <v/>
      </c>
      <c r="U233" s="52">
        <f>IFERROR(N(IFERROR(INDEX($A233:$R233,MATCH("Value Ex GST",$A$1:$R$1,0)),"")),0)</f>
        <v/>
      </c>
      <c r="V233" s="54">
        <f>IF(AND(T233&lt;&gt;"",IFERROR(INDEX($A233:$R233,MATCH("Value Ex GST",$A$1:$R$1,0)),"")&amp;""&lt;&gt;""),1,0)</f>
        <v/>
      </c>
      <c r="W233" s="56">
        <f>IFERROR(N(IFERROR(INDEX($A233:$R233,MATCH("Probability",$A$1:$R$1,0)),"")),0)</f>
        <v/>
      </c>
      <c r="X233" s="52">
        <f>IF(T233="Open",U233*W233,0)</f>
        <v/>
      </c>
      <c r="Y233" s="52">
        <f>IF(T233="Won",IFERROR(N(IFERROR(INDEX($A233:$R233,MATCH("Still to Invoice",$A$1:$R$1,0)),"")),0),0)</f>
        <v/>
      </c>
      <c r="Z233" s="55">
        <f>IFERROR(EOMONTH(IFERROR(INDEX($A233:$R233,MATCH("Expected Invoice Month",$A$1:$R$1,0)),""),0),"")</f>
        <v/>
      </c>
      <c r="AA233" s="9">
        <f>IFERROR(INDEX($A233:$R233,MATCH("Cost Centre",$A$1:$R$1,0)),"")&amp;""</f>
        <v/>
      </c>
      <c r="AB233" s="9">
        <f>IFERROR(INDEX($A233:$R233,MATCH("Pipeline Stage",$A$1:$R$1,0)),"")&amp;""</f>
        <v/>
      </c>
      <c r="AC233" s="9">
        <f>IFERROR(INDEX($A233:$R233,MATCH("Client",$A$1:$R$1,0)),"")&amp;""</f>
        <v/>
      </c>
      <c r="AD233" s="9">
        <f>IFERROR(INDEX($A233:$R233,MATCH("Description",$A$1:$R$1,0)),"")&amp;""</f>
        <v/>
      </c>
      <c r="AE233" s="9">
        <f>IFERROR(INDEX($A233:$R233,MATCH("Job Number",$A$1:$R$1,0)),"")&amp;""</f>
        <v/>
      </c>
      <c r="AF233" s="54">
        <f>IF(AND(T233="Open",ISNUMBER(Z233),Z233&lt;EOMONTH(set_AsAt,-1)+1),3,0)</f>
        <v/>
      </c>
      <c r="AG233" s="54">
        <f>IF(AND(T233="Open",U233&gt;0,U233&gt;=set_DealShare*SUMIFS($U$2:$U$601,$T$2:$T$601,"Open")),3,0)</f>
        <v/>
      </c>
      <c r="AH233" s="54">
        <f>IF(AND(T233="Open",U233&gt;=set_BigValue,W233&lt;=set_EarlyProb),2,0)</f>
        <v/>
      </c>
      <c r="AI233" s="54">
        <f>IF(AND(OR(T233="Open",T233="Won"),V233=0),2,0)</f>
        <v/>
      </c>
      <c r="AJ233" s="54">
        <f>IF(AND(T233="Won",Y233&gt;0.5,ISNUMBER(Z233),Z233&lt;EOMONTH(set_AsAt,-1)+1),3,0)</f>
        <v/>
      </c>
      <c r="AK233" s="54">
        <f>IF(AND(T233="Won",Y233&lt;-1),1,0)</f>
        <v/>
      </c>
      <c r="AL233" s="54">
        <f>SUM(AF233:AK233)</f>
        <v/>
      </c>
      <c r="AM233" s="9">
        <f>IF(AL233&gt;=set_ScoreHigh,"High",IF(AL233&gt;=set_ScoreMed,"Medium",IF(AL233&gt;0,"Low","OK")))</f>
        <v/>
      </c>
      <c r="AN233" s="54">
        <f>IF(OR(T233="Open",AND(T233="Won",ABS(Y233)&gt;0.5)),1,0)</f>
        <v/>
      </c>
      <c r="AO233" s="52">
        <f>IF(T233="Open",IF(V233=0,0,X233),IF(T233="Won",MAX(0,Y233),0))</f>
        <v/>
      </c>
      <c r="AP233" s="54">
        <f>IF(AN233=1,AL233*1E+9+U233+ROW()/1E+6,"")</f>
        <v/>
      </c>
      <c r="AQ233" s="9">
        <f>MID(IF(AF233&gt;0,"; Expected month passed - update Zoho","")&amp;IF(AG233&gt;0,"; "&amp;TEXT(U233/MAX(1,SUMIFS($U$2:$U$601,$T$2:$T$601,"Open")),"0%")&amp;" of open pipeline in one deal","")&amp;IF(AH233&gt;0,"; Large deal at an early stage","")&amp;IF(AI233&gt;0,"; No amount in Zoho","")&amp;IF(AJ233&gt;0,"; Won, invoice month passed, not fully invoiced","")&amp;IF(AK233&gt;0,"; Xero invoiced more than the deal value",""),3,300)</f>
        <v/>
      </c>
    </row>
    <row r="234">
      <c r="T234" s="9">
        <f>IFERROR(INDEX($A234:$R234,MATCH("Status",$A$1:$R$1,0)),"")&amp;""</f>
        <v/>
      </c>
      <c r="U234" s="52">
        <f>IFERROR(N(IFERROR(INDEX($A234:$R234,MATCH("Value Ex GST",$A$1:$R$1,0)),"")),0)</f>
        <v/>
      </c>
      <c r="V234" s="54">
        <f>IF(AND(T234&lt;&gt;"",IFERROR(INDEX($A234:$R234,MATCH("Value Ex GST",$A$1:$R$1,0)),"")&amp;""&lt;&gt;""),1,0)</f>
        <v/>
      </c>
      <c r="W234" s="56">
        <f>IFERROR(N(IFERROR(INDEX($A234:$R234,MATCH("Probability",$A$1:$R$1,0)),"")),0)</f>
        <v/>
      </c>
      <c r="X234" s="52">
        <f>IF(T234="Open",U234*W234,0)</f>
        <v/>
      </c>
      <c r="Y234" s="52">
        <f>IF(T234="Won",IFERROR(N(IFERROR(INDEX($A234:$R234,MATCH("Still to Invoice",$A$1:$R$1,0)),"")),0),0)</f>
        <v/>
      </c>
      <c r="Z234" s="55">
        <f>IFERROR(EOMONTH(IFERROR(INDEX($A234:$R234,MATCH("Expected Invoice Month",$A$1:$R$1,0)),""),0),"")</f>
        <v/>
      </c>
      <c r="AA234" s="9">
        <f>IFERROR(INDEX($A234:$R234,MATCH("Cost Centre",$A$1:$R$1,0)),"")&amp;""</f>
        <v/>
      </c>
      <c r="AB234" s="9">
        <f>IFERROR(INDEX($A234:$R234,MATCH("Pipeline Stage",$A$1:$R$1,0)),"")&amp;""</f>
        <v/>
      </c>
      <c r="AC234" s="9">
        <f>IFERROR(INDEX($A234:$R234,MATCH("Client",$A$1:$R$1,0)),"")&amp;""</f>
        <v/>
      </c>
      <c r="AD234" s="9">
        <f>IFERROR(INDEX($A234:$R234,MATCH("Description",$A$1:$R$1,0)),"")&amp;""</f>
        <v/>
      </c>
      <c r="AE234" s="9">
        <f>IFERROR(INDEX($A234:$R234,MATCH("Job Number",$A$1:$R$1,0)),"")&amp;""</f>
        <v/>
      </c>
      <c r="AF234" s="54">
        <f>IF(AND(T234="Open",ISNUMBER(Z234),Z234&lt;EOMONTH(set_AsAt,-1)+1),3,0)</f>
        <v/>
      </c>
      <c r="AG234" s="54">
        <f>IF(AND(T234="Open",U234&gt;0,U234&gt;=set_DealShare*SUMIFS($U$2:$U$601,$T$2:$T$601,"Open")),3,0)</f>
        <v/>
      </c>
      <c r="AH234" s="54">
        <f>IF(AND(T234="Open",U234&gt;=set_BigValue,W234&lt;=set_EarlyProb),2,0)</f>
        <v/>
      </c>
      <c r="AI234" s="54">
        <f>IF(AND(OR(T234="Open",T234="Won"),V234=0),2,0)</f>
        <v/>
      </c>
      <c r="AJ234" s="54">
        <f>IF(AND(T234="Won",Y234&gt;0.5,ISNUMBER(Z234),Z234&lt;EOMONTH(set_AsAt,-1)+1),3,0)</f>
        <v/>
      </c>
      <c r="AK234" s="54">
        <f>IF(AND(T234="Won",Y234&lt;-1),1,0)</f>
        <v/>
      </c>
      <c r="AL234" s="54">
        <f>SUM(AF234:AK234)</f>
        <v/>
      </c>
      <c r="AM234" s="9">
        <f>IF(AL234&gt;=set_ScoreHigh,"High",IF(AL234&gt;=set_ScoreMed,"Medium",IF(AL234&gt;0,"Low","OK")))</f>
        <v/>
      </c>
      <c r="AN234" s="54">
        <f>IF(OR(T234="Open",AND(T234="Won",ABS(Y234)&gt;0.5)),1,0)</f>
        <v/>
      </c>
      <c r="AO234" s="52">
        <f>IF(T234="Open",IF(V234=0,0,X234),IF(T234="Won",MAX(0,Y234),0))</f>
        <v/>
      </c>
      <c r="AP234" s="54">
        <f>IF(AN234=1,AL234*1E+9+U234+ROW()/1E+6,"")</f>
        <v/>
      </c>
      <c r="AQ234" s="9">
        <f>MID(IF(AF234&gt;0,"; Expected month passed - update Zoho","")&amp;IF(AG234&gt;0,"; "&amp;TEXT(U234/MAX(1,SUMIFS($U$2:$U$601,$T$2:$T$601,"Open")),"0%")&amp;" of open pipeline in one deal","")&amp;IF(AH234&gt;0,"; Large deal at an early stage","")&amp;IF(AI234&gt;0,"; No amount in Zoho","")&amp;IF(AJ234&gt;0,"; Won, invoice month passed, not fully invoiced","")&amp;IF(AK234&gt;0,"; Xero invoiced more than the deal value",""),3,300)</f>
        <v/>
      </c>
    </row>
    <row r="235">
      <c r="T235" s="9">
        <f>IFERROR(INDEX($A235:$R235,MATCH("Status",$A$1:$R$1,0)),"")&amp;""</f>
        <v/>
      </c>
      <c r="U235" s="52">
        <f>IFERROR(N(IFERROR(INDEX($A235:$R235,MATCH("Value Ex GST",$A$1:$R$1,0)),"")),0)</f>
        <v/>
      </c>
      <c r="V235" s="54">
        <f>IF(AND(T235&lt;&gt;"",IFERROR(INDEX($A235:$R235,MATCH("Value Ex GST",$A$1:$R$1,0)),"")&amp;""&lt;&gt;""),1,0)</f>
        <v/>
      </c>
      <c r="W235" s="56">
        <f>IFERROR(N(IFERROR(INDEX($A235:$R235,MATCH("Probability",$A$1:$R$1,0)),"")),0)</f>
        <v/>
      </c>
      <c r="X235" s="52">
        <f>IF(T235="Open",U235*W235,0)</f>
        <v/>
      </c>
      <c r="Y235" s="52">
        <f>IF(T235="Won",IFERROR(N(IFERROR(INDEX($A235:$R235,MATCH("Still to Invoice",$A$1:$R$1,0)),"")),0),0)</f>
        <v/>
      </c>
      <c r="Z235" s="55">
        <f>IFERROR(EOMONTH(IFERROR(INDEX($A235:$R235,MATCH("Expected Invoice Month",$A$1:$R$1,0)),""),0),"")</f>
        <v/>
      </c>
      <c r="AA235" s="9">
        <f>IFERROR(INDEX($A235:$R235,MATCH("Cost Centre",$A$1:$R$1,0)),"")&amp;""</f>
        <v/>
      </c>
      <c r="AB235" s="9">
        <f>IFERROR(INDEX($A235:$R235,MATCH("Pipeline Stage",$A$1:$R$1,0)),"")&amp;""</f>
        <v/>
      </c>
      <c r="AC235" s="9">
        <f>IFERROR(INDEX($A235:$R235,MATCH("Client",$A$1:$R$1,0)),"")&amp;""</f>
        <v/>
      </c>
      <c r="AD235" s="9">
        <f>IFERROR(INDEX($A235:$R235,MATCH("Description",$A$1:$R$1,0)),"")&amp;""</f>
        <v/>
      </c>
      <c r="AE235" s="9">
        <f>IFERROR(INDEX($A235:$R235,MATCH("Job Number",$A$1:$R$1,0)),"")&amp;""</f>
        <v/>
      </c>
      <c r="AF235" s="54">
        <f>IF(AND(T235="Open",ISNUMBER(Z235),Z235&lt;EOMONTH(set_AsAt,-1)+1),3,0)</f>
        <v/>
      </c>
      <c r="AG235" s="54">
        <f>IF(AND(T235="Open",U235&gt;0,U235&gt;=set_DealShare*SUMIFS($U$2:$U$601,$T$2:$T$601,"Open")),3,0)</f>
        <v/>
      </c>
      <c r="AH235" s="54">
        <f>IF(AND(T235="Open",U235&gt;=set_BigValue,W235&lt;=set_EarlyProb),2,0)</f>
        <v/>
      </c>
      <c r="AI235" s="54">
        <f>IF(AND(OR(T235="Open",T235="Won"),V235=0),2,0)</f>
        <v/>
      </c>
      <c r="AJ235" s="54">
        <f>IF(AND(T235="Won",Y235&gt;0.5,ISNUMBER(Z235),Z235&lt;EOMONTH(set_AsAt,-1)+1),3,0)</f>
        <v/>
      </c>
      <c r="AK235" s="54">
        <f>IF(AND(T235="Won",Y235&lt;-1),1,0)</f>
        <v/>
      </c>
      <c r="AL235" s="54">
        <f>SUM(AF235:AK235)</f>
        <v/>
      </c>
      <c r="AM235" s="9">
        <f>IF(AL235&gt;=set_ScoreHigh,"High",IF(AL235&gt;=set_ScoreMed,"Medium",IF(AL235&gt;0,"Low","OK")))</f>
        <v/>
      </c>
      <c r="AN235" s="54">
        <f>IF(OR(T235="Open",AND(T235="Won",ABS(Y235)&gt;0.5)),1,0)</f>
        <v/>
      </c>
      <c r="AO235" s="52">
        <f>IF(T235="Open",IF(V235=0,0,X235),IF(T235="Won",MAX(0,Y235),0))</f>
        <v/>
      </c>
      <c r="AP235" s="54">
        <f>IF(AN235=1,AL235*1E+9+U235+ROW()/1E+6,"")</f>
        <v/>
      </c>
      <c r="AQ235" s="9">
        <f>MID(IF(AF235&gt;0,"; Expected month passed - update Zoho","")&amp;IF(AG235&gt;0,"; "&amp;TEXT(U235/MAX(1,SUMIFS($U$2:$U$601,$T$2:$T$601,"Open")),"0%")&amp;" of open pipeline in one deal","")&amp;IF(AH235&gt;0,"; Large deal at an early stage","")&amp;IF(AI235&gt;0,"; No amount in Zoho","")&amp;IF(AJ235&gt;0,"; Won, invoice month passed, not fully invoiced","")&amp;IF(AK235&gt;0,"; Xero invoiced more than the deal value",""),3,300)</f>
        <v/>
      </c>
    </row>
    <row r="236">
      <c r="T236" s="9">
        <f>IFERROR(INDEX($A236:$R236,MATCH("Status",$A$1:$R$1,0)),"")&amp;""</f>
        <v/>
      </c>
      <c r="U236" s="52">
        <f>IFERROR(N(IFERROR(INDEX($A236:$R236,MATCH("Value Ex GST",$A$1:$R$1,0)),"")),0)</f>
        <v/>
      </c>
      <c r="V236" s="54">
        <f>IF(AND(T236&lt;&gt;"",IFERROR(INDEX($A236:$R236,MATCH("Value Ex GST",$A$1:$R$1,0)),"")&amp;""&lt;&gt;""),1,0)</f>
        <v/>
      </c>
      <c r="W236" s="56">
        <f>IFERROR(N(IFERROR(INDEX($A236:$R236,MATCH("Probability",$A$1:$R$1,0)),"")),0)</f>
        <v/>
      </c>
      <c r="X236" s="52">
        <f>IF(T236="Open",U236*W236,0)</f>
        <v/>
      </c>
      <c r="Y236" s="52">
        <f>IF(T236="Won",IFERROR(N(IFERROR(INDEX($A236:$R236,MATCH("Still to Invoice",$A$1:$R$1,0)),"")),0),0)</f>
        <v/>
      </c>
      <c r="Z236" s="55">
        <f>IFERROR(EOMONTH(IFERROR(INDEX($A236:$R236,MATCH("Expected Invoice Month",$A$1:$R$1,0)),""),0),"")</f>
        <v/>
      </c>
      <c r="AA236" s="9">
        <f>IFERROR(INDEX($A236:$R236,MATCH("Cost Centre",$A$1:$R$1,0)),"")&amp;""</f>
        <v/>
      </c>
      <c r="AB236" s="9">
        <f>IFERROR(INDEX($A236:$R236,MATCH("Pipeline Stage",$A$1:$R$1,0)),"")&amp;""</f>
        <v/>
      </c>
      <c r="AC236" s="9">
        <f>IFERROR(INDEX($A236:$R236,MATCH("Client",$A$1:$R$1,0)),"")&amp;""</f>
        <v/>
      </c>
      <c r="AD236" s="9">
        <f>IFERROR(INDEX($A236:$R236,MATCH("Description",$A$1:$R$1,0)),"")&amp;""</f>
        <v/>
      </c>
      <c r="AE236" s="9">
        <f>IFERROR(INDEX($A236:$R236,MATCH("Job Number",$A$1:$R$1,0)),"")&amp;""</f>
        <v/>
      </c>
      <c r="AF236" s="54">
        <f>IF(AND(T236="Open",ISNUMBER(Z236),Z236&lt;EOMONTH(set_AsAt,-1)+1),3,0)</f>
        <v/>
      </c>
      <c r="AG236" s="54">
        <f>IF(AND(T236="Open",U236&gt;0,U236&gt;=set_DealShare*SUMIFS($U$2:$U$601,$T$2:$T$601,"Open")),3,0)</f>
        <v/>
      </c>
      <c r="AH236" s="54">
        <f>IF(AND(T236="Open",U236&gt;=set_BigValue,W236&lt;=set_EarlyProb),2,0)</f>
        <v/>
      </c>
      <c r="AI236" s="54">
        <f>IF(AND(OR(T236="Open",T236="Won"),V236=0),2,0)</f>
        <v/>
      </c>
      <c r="AJ236" s="54">
        <f>IF(AND(T236="Won",Y236&gt;0.5,ISNUMBER(Z236),Z236&lt;EOMONTH(set_AsAt,-1)+1),3,0)</f>
        <v/>
      </c>
      <c r="AK236" s="54">
        <f>IF(AND(T236="Won",Y236&lt;-1),1,0)</f>
        <v/>
      </c>
      <c r="AL236" s="54">
        <f>SUM(AF236:AK236)</f>
        <v/>
      </c>
      <c r="AM236" s="9">
        <f>IF(AL236&gt;=set_ScoreHigh,"High",IF(AL236&gt;=set_ScoreMed,"Medium",IF(AL236&gt;0,"Low","OK")))</f>
        <v/>
      </c>
      <c r="AN236" s="54">
        <f>IF(OR(T236="Open",AND(T236="Won",ABS(Y236)&gt;0.5)),1,0)</f>
        <v/>
      </c>
      <c r="AO236" s="52">
        <f>IF(T236="Open",IF(V236=0,0,X236),IF(T236="Won",MAX(0,Y236),0))</f>
        <v/>
      </c>
      <c r="AP236" s="54">
        <f>IF(AN236=1,AL236*1E+9+U236+ROW()/1E+6,"")</f>
        <v/>
      </c>
      <c r="AQ236" s="9">
        <f>MID(IF(AF236&gt;0,"; Expected month passed - update Zoho","")&amp;IF(AG236&gt;0,"; "&amp;TEXT(U236/MAX(1,SUMIFS($U$2:$U$601,$T$2:$T$601,"Open")),"0%")&amp;" of open pipeline in one deal","")&amp;IF(AH236&gt;0,"; Large deal at an early stage","")&amp;IF(AI236&gt;0,"; No amount in Zoho","")&amp;IF(AJ236&gt;0,"; Won, invoice month passed, not fully invoiced","")&amp;IF(AK236&gt;0,"; Xero invoiced more than the deal value",""),3,300)</f>
        <v/>
      </c>
    </row>
    <row r="237">
      <c r="T237" s="9">
        <f>IFERROR(INDEX($A237:$R237,MATCH("Status",$A$1:$R$1,0)),"")&amp;""</f>
        <v/>
      </c>
      <c r="U237" s="52">
        <f>IFERROR(N(IFERROR(INDEX($A237:$R237,MATCH("Value Ex GST",$A$1:$R$1,0)),"")),0)</f>
        <v/>
      </c>
      <c r="V237" s="54">
        <f>IF(AND(T237&lt;&gt;"",IFERROR(INDEX($A237:$R237,MATCH("Value Ex GST",$A$1:$R$1,0)),"")&amp;""&lt;&gt;""),1,0)</f>
        <v/>
      </c>
      <c r="W237" s="56">
        <f>IFERROR(N(IFERROR(INDEX($A237:$R237,MATCH("Probability",$A$1:$R$1,0)),"")),0)</f>
        <v/>
      </c>
      <c r="X237" s="52">
        <f>IF(T237="Open",U237*W237,0)</f>
        <v/>
      </c>
      <c r="Y237" s="52">
        <f>IF(T237="Won",IFERROR(N(IFERROR(INDEX($A237:$R237,MATCH("Still to Invoice",$A$1:$R$1,0)),"")),0),0)</f>
        <v/>
      </c>
      <c r="Z237" s="55">
        <f>IFERROR(EOMONTH(IFERROR(INDEX($A237:$R237,MATCH("Expected Invoice Month",$A$1:$R$1,0)),""),0),"")</f>
        <v/>
      </c>
      <c r="AA237" s="9">
        <f>IFERROR(INDEX($A237:$R237,MATCH("Cost Centre",$A$1:$R$1,0)),"")&amp;""</f>
        <v/>
      </c>
      <c r="AB237" s="9">
        <f>IFERROR(INDEX($A237:$R237,MATCH("Pipeline Stage",$A$1:$R$1,0)),"")&amp;""</f>
        <v/>
      </c>
      <c r="AC237" s="9">
        <f>IFERROR(INDEX($A237:$R237,MATCH("Client",$A$1:$R$1,0)),"")&amp;""</f>
        <v/>
      </c>
      <c r="AD237" s="9">
        <f>IFERROR(INDEX($A237:$R237,MATCH("Description",$A$1:$R$1,0)),"")&amp;""</f>
        <v/>
      </c>
      <c r="AE237" s="9">
        <f>IFERROR(INDEX($A237:$R237,MATCH("Job Number",$A$1:$R$1,0)),"")&amp;""</f>
        <v/>
      </c>
      <c r="AF237" s="54">
        <f>IF(AND(T237="Open",ISNUMBER(Z237),Z237&lt;EOMONTH(set_AsAt,-1)+1),3,0)</f>
        <v/>
      </c>
      <c r="AG237" s="54">
        <f>IF(AND(T237="Open",U237&gt;0,U237&gt;=set_DealShare*SUMIFS($U$2:$U$601,$T$2:$T$601,"Open")),3,0)</f>
        <v/>
      </c>
      <c r="AH237" s="54">
        <f>IF(AND(T237="Open",U237&gt;=set_BigValue,W237&lt;=set_EarlyProb),2,0)</f>
        <v/>
      </c>
      <c r="AI237" s="54">
        <f>IF(AND(OR(T237="Open",T237="Won"),V237=0),2,0)</f>
        <v/>
      </c>
      <c r="AJ237" s="54">
        <f>IF(AND(T237="Won",Y237&gt;0.5,ISNUMBER(Z237),Z237&lt;EOMONTH(set_AsAt,-1)+1),3,0)</f>
        <v/>
      </c>
      <c r="AK237" s="54">
        <f>IF(AND(T237="Won",Y237&lt;-1),1,0)</f>
        <v/>
      </c>
      <c r="AL237" s="54">
        <f>SUM(AF237:AK237)</f>
        <v/>
      </c>
      <c r="AM237" s="9">
        <f>IF(AL237&gt;=set_ScoreHigh,"High",IF(AL237&gt;=set_ScoreMed,"Medium",IF(AL237&gt;0,"Low","OK")))</f>
        <v/>
      </c>
      <c r="AN237" s="54">
        <f>IF(OR(T237="Open",AND(T237="Won",ABS(Y237)&gt;0.5)),1,0)</f>
        <v/>
      </c>
      <c r="AO237" s="52">
        <f>IF(T237="Open",IF(V237=0,0,X237),IF(T237="Won",MAX(0,Y237),0))</f>
        <v/>
      </c>
      <c r="AP237" s="54">
        <f>IF(AN237=1,AL237*1E+9+U237+ROW()/1E+6,"")</f>
        <v/>
      </c>
      <c r="AQ237" s="9">
        <f>MID(IF(AF237&gt;0,"; Expected month passed - update Zoho","")&amp;IF(AG237&gt;0,"; "&amp;TEXT(U237/MAX(1,SUMIFS($U$2:$U$601,$T$2:$T$601,"Open")),"0%")&amp;" of open pipeline in one deal","")&amp;IF(AH237&gt;0,"; Large deal at an early stage","")&amp;IF(AI237&gt;0,"; No amount in Zoho","")&amp;IF(AJ237&gt;0,"; Won, invoice month passed, not fully invoiced","")&amp;IF(AK237&gt;0,"; Xero invoiced more than the deal value",""),3,300)</f>
        <v/>
      </c>
    </row>
    <row r="238">
      <c r="T238" s="9">
        <f>IFERROR(INDEX($A238:$R238,MATCH("Status",$A$1:$R$1,0)),"")&amp;""</f>
        <v/>
      </c>
      <c r="U238" s="52">
        <f>IFERROR(N(IFERROR(INDEX($A238:$R238,MATCH("Value Ex GST",$A$1:$R$1,0)),"")),0)</f>
        <v/>
      </c>
      <c r="V238" s="54">
        <f>IF(AND(T238&lt;&gt;"",IFERROR(INDEX($A238:$R238,MATCH("Value Ex GST",$A$1:$R$1,0)),"")&amp;""&lt;&gt;""),1,0)</f>
        <v/>
      </c>
      <c r="W238" s="56">
        <f>IFERROR(N(IFERROR(INDEX($A238:$R238,MATCH("Probability",$A$1:$R$1,0)),"")),0)</f>
        <v/>
      </c>
      <c r="X238" s="52">
        <f>IF(T238="Open",U238*W238,0)</f>
        <v/>
      </c>
      <c r="Y238" s="52">
        <f>IF(T238="Won",IFERROR(N(IFERROR(INDEX($A238:$R238,MATCH("Still to Invoice",$A$1:$R$1,0)),"")),0),0)</f>
        <v/>
      </c>
      <c r="Z238" s="55">
        <f>IFERROR(EOMONTH(IFERROR(INDEX($A238:$R238,MATCH("Expected Invoice Month",$A$1:$R$1,0)),""),0),"")</f>
        <v/>
      </c>
      <c r="AA238" s="9">
        <f>IFERROR(INDEX($A238:$R238,MATCH("Cost Centre",$A$1:$R$1,0)),"")&amp;""</f>
        <v/>
      </c>
      <c r="AB238" s="9">
        <f>IFERROR(INDEX($A238:$R238,MATCH("Pipeline Stage",$A$1:$R$1,0)),"")&amp;""</f>
        <v/>
      </c>
      <c r="AC238" s="9">
        <f>IFERROR(INDEX($A238:$R238,MATCH("Client",$A$1:$R$1,0)),"")&amp;""</f>
        <v/>
      </c>
      <c r="AD238" s="9">
        <f>IFERROR(INDEX($A238:$R238,MATCH("Description",$A$1:$R$1,0)),"")&amp;""</f>
        <v/>
      </c>
      <c r="AE238" s="9">
        <f>IFERROR(INDEX($A238:$R238,MATCH("Job Number",$A$1:$R$1,0)),"")&amp;""</f>
        <v/>
      </c>
      <c r="AF238" s="54">
        <f>IF(AND(T238="Open",ISNUMBER(Z238),Z238&lt;EOMONTH(set_AsAt,-1)+1),3,0)</f>
        <v/>
      </c>
      <c r="AG238" s="54">
        <f>IF(AND(T238="Open",U238&gt;0,U238&gt;=set_DealShare*SUMIFS($U$2:$U$601,$T$2:$T$601,"Open")),3,0)</f>
        <v/>
      </c>
      <c r="AH238" s="54">
        <f>IF(AND(T238="Open",U238&gt;=set_BigValue,W238&lt;=set_EarlyProb),2,0)</f>
        <v/>
      </c>
      <c r="AI238" s="54">
        <f>IF(AND(OR(T238="Open",T238="Won"),V238=0),2,0)</f>
        <v/>
      </c>
      <c r="AJ238" s="54">
        <f>IF(AND(T238="Won",Y238&gt;0.5,ISNUMBER(Z238),Z238&lt;EOMONTH(set_AsAt,-1)+1),3,0)</f>
        <v/>
      </c>
      <c r="AK238" s="54">
        <f>IF(AND(T238="Won",Y238&lt;-1),1,0)</f>
        <v/>
      </c>
      <c r="AL238" s="54">
        <f>SUM(AF238:AK238)</f>
        <v/>
      </c>
      <c r="AM238" s="9">
        <f>IF(AL238&gt;=set_ScoreHigh,"High",IF(AL238&gt;=set_ScoreMed,"Medium",IF(AL238&gt;0,"Low","OK")))</f>
        <v/>
      </c>
      <c r="AN238" s="54">
        <f>IF(OR(T238="Open",AND(T238="Won",ABS(Y238)&gt;0.5)),1,0)</f>
        <v/>
      </c>
      <c r="AO238" s="52">
        <f>IF(T238="Open",IF(V238=0,0,X238),IF(T238="Won",MAX(0,Y238),0))</f>
        <v/>
      </c>
      <c r="AP238" s="54">
        <f>IF(AN238=1,AL238*1E+9+U238+ROW()/1E+6,"")</f>
        <v/>
      </c>
      <c r="AQ238" s="9">
        <f>MID(IF(AF238&gt;0,"; Expected month passed - update Zoho","")&amp;IF(AG238&gt;0,"; "&amp;TEXT(U238/MAX(1,SUMIFS($U$2:$U$601,$T$2:$T$601,"Open")),"0%")&amp;" of open pipeline in one deal","")&amp;IF(AH238&gt;0,"; Large deal at an early stage","")&amp;IF(AI238&gt;0,"; No amount in Zoho","")&amp;IF(AJ238&gt;0,"; Won, invoice month passed, not fully invoiced","")&amp;IF(AK238&gt;0,"; Xero invoiced more than the deal value",""),3,300)</f>
        <v/>
      </c>
    </row>
    <row r="239">
      <c r="T239" s="9">
        <f>IFERROR(INDEX($A239:$R239,MATCH("Status",$A$1:$R$1,0)),"")&amp;""</f>
        <v/>
      </c>
      <c r="U239" s="52">
        <f>IFERROR(N(IFERROR(INDEX($A239:$R239,MATCH("Value Ex GST",$A$1:$R$1,0)),"")),0)</f>
        <v/>
      </c>
      <c r="V239" s="54">
        <f>IF(AND(T239&lt;&gt;"",IFERROR(INDEX($A239:$R239,MATCH("Value Ex GST",$A$1:$R$1,0)),"")&amp;""&lt;&gt;""),1,0)</f>
        <v/>
      </c>
      <c r="W239" s="56">
        <f>IFERROR(N(IFERROR(INDEX($A239:$R239,MATCH("Probability",$A$1:$R$1,0)),"")),0)</f>
        <v/>
      </c>
      <c r="X239" s="52">
        <f>IF(T239="Open",U239*W239,0)</f>
        <v/>
      </c>
      <c r="Y239" s="52">
        <f>IF(T239="Won",IFERROR(N(IFERROR(INDEX($A239:$R239,MATCH("Still to Invoice",$A$1:$R$1,0)),"")),0),0)</f>
        <v/>
      </c>
      <c r="Z239" s="55">
        <f>IFERROR(EOMONTH(IFERROR(INDEX($A239:$R239,MATCH("Expected Invoice Month",$A$1:$R$1,0)),""),0),"")</f>
        <v/>
      </c>
      <c r="AA239" s="9">
        <f>IFERROR(INDEX($A239:$R239,MATCH("Cost Centre",$A$1:$R$1,0)),"")&amp;""</f>
        <v/>
      </c>
      <c r="AB239" s="9">
        <f>IFERROR(INDEX($A239:$R239,MATCH("Pipeline Stage",$A$1:$R$1,0)),"")&amp;""</f>
        <v/>
      </c>
      <c r="AC239" s="9">
        <f>IFERROR(INDEX($A239:$R239,MATCH("Client",$A$1:$R$1,0)),"")&amp;""</f>
        <v/>
      </c>
      <c r="AD239" s="9">
        <f>IFERROR(INDEX($A239:$R239,MATCH("Description",$A$1:$R$1,0)),"")&amp;""</f>
        <v/>
      </c>
      <c r="AE239" s="9">
        <f>IFERROR(INDEX($A239:$R239,MATCH("Job Number",$A$1:$R$1,0)),"")&amp;""</f>
        <v/>
      </c>
      <c r="AF239" s="54">
        <f>IF(AND(T239="Open",ISNUMBER(Z239),Z239&lt;EOMONTH(set_AsAt,-1)+1),3,0)</f>
        <v/>
      </c>
      <c r="AG239" s="54">
        <f>IF(AND(T239="Open",U239&gt;0,U239&gt;=set_DealShare*SUMIFS($U$2:$U$601,$T$2:$T$601,"Open")),3,0)</f>
        <v/>
      </c>
      <c r="AH239" s="54">
        <f>IF(AND(T239="Open",U239&gt;=set_BigValue,W239&lt;=set_EarlyProb),2,0)</f>
        <v/>
      </c>
      <c r="AI239" s="54">
        <f>IF(AND(OR(T239="Open",T239="Won"),V239=0),2,0)</f>
        <v/>
      </c>
      <c r="AJ239" s="54">
        <f>IF(AND(T239="Won",Y239&gt;0.5,ISNUMBER(Z239),Z239&lt;EOMONTH(set_AsAt,-1)+1),3,0)</f>
        <v/>
      </c>
      <c r="AK239" s="54">
        <f>IF(AND(T239="Won",Y239&lt;-1),1,0)</f>
        <v/>
      </c>
      <c r="AL239" s="54">
        <f>SUM(AF239:AK239)</f>
        <v/>
      </c>
      <c r="AM239" s="9">
        <f>IF(AL239&gt;=set_ScoreHigh,"High",IF(AL239&gt;=set_ScoreMed,"Medium",IF(AL239&gt;0,"Low","OK")))</f>
        <v/>
      </c>
      <c r="AN239" s="54">
        <f>IF(OR(T239="Open",AND(T239="Won",ABS(Y239)&gt;0.5)),1,0)</f>
        <v/>
      </c>
      <c r="AO239" s="52">
        <f>IF(T239="Open",IF(V239=0,0,X239),IF(T239="Won",MAX(0,Y239),0))</f>
        <v/>
      </c>
      <c r="AP239" s="54">
        <f>IF(AN239=1,AL239*1E+9+U239+ROW()/1E+6,"")</f>
        <v/>
      </c>
      <c r="AQ239" s="9">
        <f>MID(IF(AF239&gt;0,"; Expected month passed - update Zoho","")&amp;IF(AG239&gt;0,"; "&amp;TEXT(U239/MAX(1,SUMIFS($U$2:$U$601,$T$2:$T$601,"Open")),"0%")&amp;" of open pipeline in one deal","")&amp;IF(AH239&gt;0,"; Large deal at an early stage","")&amp;IF(AI239&gt;0,"; No amount in Zoho","")&amp;IF(AJ239&gt;0,"; Won, invoice month passed, not fully invoiced","")&amp;IF(AK239&gt;0,"; Xero invoiced more than the deal value",""),3,300)</f>
        <v/>
      </c>
    </row>
    <row r="240">
      <c r="T240" s="9">
        <f>IFERROR(INDEX($A240:$R240,MATCH("Status",$A$1:$R$1,0)),"")&amp;""</f>
        <v/>
      </c>
      <c r="U240" s="52">
        <f>IFERROR(N(IFERROR(INDEX($A240:$R240,MATCH("Value Ex GST",$A$1:$R$1,0)),"")),0)</f>
        <v/>
      </c>
      <c r="V240" s="54">
        <f>IF(AND(T240&lt;&gt;"",IFERROR(INDEX($A240:$R240,MATCH("Value Ex GST",$A$1:$R$1,0)),"")&amp;""&lt;&gt;""),1,0)</f>
        <v/>
      </c>
      <c r="W240" s="56">
        <f>IFERROR(N(IFERROR(INDEX($A240:$R240,MATCH("Probability",$A$1:$R$1,0)),"")),0)</f>
        <v/>
      </c>
      <c r="X240" s="52">
        <f>IF(T240="Open",U240*W240,0)</f>
        <v/>
      </c>
      <c r="Y240" s="52">
        <f>IF(T240="Won",IFERROR(N(IFERROR(INDEX($A240:$R240,MATCH("Still to Invoice",$A$1:$R$1,0)),"")),0),0)</f>
        <v/>
      </c>
      <c r="Z240" s="55">
        <f>IFERROR(EOMONTH(IFERROR(INDEX($A240:$R240,MATCH("Expected Invoice Month",$A$1:$R$1,0)),""),0),"")</f>
        <v/>
      </c>
      <c r="AA240" s="9">
        <f>IFERROR(INDEX($A240:$R240,MATCH("Cost Centre",$A$1:$R$1,0)),"")&amp;""</f>
        <v/>
      </c>
      <c r="AB240" s="9">
        <f>IFERROR(INDEX($A240:$R240,MATCH("Pipeline Stage",$A$1:$R$1,0)),"")&amp;""</f>
        <v/>
      </c>
      <c r="AC240" s="9">
        <f>IFERROR(INDEX($A240:$R240,MATCH("Client",$A$1:$R$1,0)),"")&amp;""</f>
        <v/>
      </c>
      <c r="AD240" s="9">
        <f>IFERROR(INDEX($A240:$R240,MATCH("Description",$A$1:$R$1,0)),"")&amp;""</f>
        <v/>
      </c>
      <c r="AE240" s="9">
        <f>IFERROR(INDEX($A240:$R240,MATCH("Job Number",$A$1:$R$1,0)),"")&amp;""</f>
        <v/>
      </c>
      <c r="AF240" s="54">
        <f>IF(AND(T240="Open",ISNUMBER(Z240),Z240&lt;EOMONTH(set_AsAt,-1)+1),3,0)</f>
        <v/>
      </c>
      <c r="AG240" s="54">
        <f>IF(AND(T240="Open",U240&gt;0,U240&gt;=set_DealShare*SUMIFS($U$2:$U$601,$T$2:$T$601,"Open")),3,0)</f>
        <v/>
      </c>
      <c r="AH240" s="54">
        <f>IF(AND(T240="Open",U240&gt;=set_BigValue,W240&lt;=set_EarlyProb),2,0)</f>
        <v/>
      </c>
      <c r="AI240" s="54">
        <f>IF(AND(OR(T240="Open",T240="Won"),V240=0),2,0)</f>
        <v/>
      </c>
      <c r="AJ240" s="54">
        <f>IF(AND(T240="Won",Y240&gt;0.5,ISNUMBER(Z240),Z240&lt;EOMONTH(set_AsAt,-1)+1),3,0)</f>
        <v/>
      </c>
      <c r="AK240" s="54">
        <f>IF(AND(T240="Won",Y240&lt;-1),1,0)</f>
        <v/>
      </c>
      <c r="AL240" s="54">
        <f>SUM(AF240:AK240)</f>
        <v/>
      </c>
      <c r="AM240" s="9">
        <f>IF(AL240&gt;=set_ScoreHigh,"High",IF(AL240&gt;=set_ScoreMed,"Medium",IF(AL240&gt;0,"Low","OK")))</f>
        <v/>
      </c>
      <c r="AN240" s="54">
        <f>IF(OR(T240="Open",AND(T240="Won",ABS(Y240)&gt;0.5)),1,0)</f>
        <v/>
      </c>
      <c r="AO240" s="52">
        <f>IF(T240="Open",IF(V240=0,0,X240),IF(T240="Won",MAX(0,Y240),0))</f>
        <v/>
      </c>
      <c r="AP240" s="54">
        <f>IF(AN240=1,AL240*1E+9+U240+ROW()/1E+6,"")</f>
        <v/>
      </c>
      <c r="AQ240" s="9">
        <f>MID(IF(AF240&gt;0,"; Expected month passed - update Zoho","")&amp;IF(AG240&gt;0,"; "&amp;TEXT(U240/MAX(1,SUMIFS($U$2:$U$601,$T$2:$T$601,"Open")),"0%")&amp;" of open pipeline in one deal","")&amp;IF(AH240&gt;0,"; Large deal at an early stage","")&amp;IF(AI240&gt;0,"; No amount in Zoho","")&amp;IF(AJ240&gt;0,"; Won, invoice month passed, not fully invoiced","")&amp;IF(AK240&gt;0,"; Xero invoiced more than the deal value",""),3,300)</f>
        <v/>
      </c>
    </row>
    <row r="241">
      <c r="T241" s="9">
        <f>IFERROR(INDEX($A241:$R241,MATCH("Status",$A$1:$R$1,0)),"")&amp;""</f>
        <v/>
      </c>
      <c r="U241" s="52">
        <f>IFERROR(N(IFERROR(INDEX($A241:$R241,MATCH("Value Ex GST",$A$1:$R$1,0)),"")),0)</f>
        <v/>
      </c>
      <c r="V241" s="54">
        <f>IF(AND(T241&lt;&gt;"",IFERROR(INDEX($A241:$R241,MATCH("Value Ex GST",$A$1:$R$1,0)),"")&amp;""&lt;&gt;""),1,0)</f>
        <v/>
      </c>
      <c r="W241" s="56">
        <f>IFERROR(N(IFERROR(INDEX($A241:$R241,MATCH("Probability",$A$1:$R$1,0)),"")),0)</f>
        <v/>
      </c>
      <c r="X241" s="52">
        <f>IF(T241="Open",U241*W241,0)</f>
        <v/>
      </c>
      <c r="Y241" s="52">
        <f>IF(T241="Won",IFERROR(N(IFERROR(INDEX($A241:$R241,MATCH("Still to Invoice",$A$1:$R$1,0)),"")),0),0)</f>
        <v/>
      </c>
      <c r="Z241" s="55">
        <f>IFERROR(EOMONTH(IFERROR(INDEX($A241:$R241,MATCH("Expected Invoice Month",$A$1:$R$1,0)),""),0),"")</f>
        <v/>
      </c>
      <c r="AA241" s="9">
        <f>IFERROR(INDEX($A241:$R241,MATCH("Cost Centre",$A$1:$R$1,0)),"")&amp;""</f>
        <v/>
      </c>
      <c r="AB241" s="9">
        <f>IFERROR(INDEX($A241:$R241,MATCH("Pipeline Stage",$A$1:$R$1,0)),"")&amp;""</f>
        <v/>
      </c>
      <c r="AC241" s="9">
        <f>IFERROR(INDEX($A241:$R241,MATCH("Client",$A$1:$R$1,0)),"")&amp;""</f>
        <v/>
      </c>
      <c r="AD241" s="9">
        <f>IFERROR(INDEX($A241:$R241,MATCH("Description",$A$1:$R$1,0)),"")&amp;""</f>
        <v/>
      </c>
      <c r="AE241" s="9">
        <f>IFERROR(INDEX($A241:$R241,MATCH("Job Number",$A$1:$R$1,0)),"")&amp;""</f>
        <v/>
      </c>
      <c r="AF241" s="54">
        <f>IF(AND(T241="Open",ISNUMBER(Z241),Z241&lt;EOMONTH(set_AsAt,-1)+1),3,0)</f>
        <v/>
      </c>
      <c r="AG241" s="54">
        <f>IF(AND(T241="Open",U241&gt;0,U241&gt;=set_DealShare*SUMIFS($U$2:$U$601,$T$2:$T$601,"Open")),3,0)</f>
        <v/>
      </c>
      <c r="AH241" s="54">
        <f>IF(AND(T241="Open",U241&gt;=set_BigValue,W241&lt;=set_EarlyProb),2,0)</f>
        <v/>
      </c>
      <c r="AI241" s="54">
        <f>IF(AND(OR(T241="Open",T241="Won"),V241=0),2,0)</f>
        <v/>
      </c>
      <c r="AJ241" s="54">
        <f>IF(AND(T241="Won",Y241&gt;0.5,ISNUMBER(Z241),Z241&lt;EOMONTH(set_AsAt,-1)+1),3,0)</f>
        <v/>
      </c>
      <c r="AK241" s="54">
        <f>IF(AND(T241="Won",Y241&lt;-1),1,0)</f>
        <v/>
      </c>
      <c r="AL241" s="54">
        <f>SUM(AF241:AK241)</f>
        <v/>
      </c>
      <c r="AM241" s="9">
        <f>IF(AL241&gt;=set_ScoreHigh,"High",IF(AL241&gt;=set_ScoreMed,"Medium",IF(AL241&gt;0,"Low","OK")))</f>
        <v/>
      </c>
      <c r="AN241" s="54">
        <f>IF(OR(T241="Open",AND(T241="Won",ABS(Y241)&gt;0.5)),1,0)</f>
        <v/>
      </c>
      <c r="AO241" s="52">
        <f>IF(T241="Open",IF(V241=0,0,X241),IF(T241="Won",MAX(0,Y241),0))</f>
        <v/>
      </c>
      <c r="AP241" s="54">
        <f>IF(AN241=1,AL241*1E+9+U241+ROW()/1E+6,"")</f>
        <v/>
      </c>
      <c r="AQ241" s="9">
        <f>MID(IF(AF241&gt;0,"; Expected month passed - update Zoho","")&amp;IF(AG241&gt;0,"; "&amp;TEXT(U241/MAX(1,SUMIFS($U$2:$U$601,$T$2:$T$601,"Open")),"0%")&amp;" of open pipeline in one deal","")&amp;IF(AH241&gt;0,"; Large deal at an early stage","")&amp;IF(AI241&gt;0,"; No amount in Zoho","")&amp;IF(AJ241&gt;0,"; Won, invoice month passed, not fully invoiced","")&amp;IF(AK241&gt;0,"; Xero invoiced more than the deal value",""),3,300)</f>
        <v/>
      </c>
    </row>
    <row r="242">
      <c r="T242" s="9">
        <f>IFERROR(INDEX($A242:$R242,MATCH("Status",$A$1:$R$1,0)),"")&amp;""</f>
        <v/>
      </c>
      <c r="U242" s="52">
        <f>IFERROR(N(IFERROR(INDEX($A242:$R242,MATCH("Value Ex GST",$A$1:$R$1,0)),"")),0)</f>
        <v/>
      </c>
      <c r="V242" s="54">
        <f>IF(AND(T242&lt;&gt;"",IFERROR(INDEX($A242:$R242,MATCH("Value Ex GST",$A$1:$R$1,0)),"")&amp;""&lt;&gt;""),1,0)</f>
        <v/>
      </c>
      <c r="W242" s="56">
        <f>IFERROR(N(IFERROR(INDEX($A242:$R242,MATCH("Probability",$A$1:$R$1,0)),"")),0)</f>
        <v/>
      </c>
      <c r="X242" s="52">
        <f>IF(T242="Open",U242*W242,0)</f>
        <v/>
      </c>
      <c r="Y242" s="52">
        <f>IF(T242="Won",IFERROR(N(IFERROR(INDEX($A242:$R242,MATCH("Still to Invoice",$A$1:$R$1,0)),"")),0),0)</f>
        <v/>
      </c>
      <c r="Z242" s="55">
        <f>IFERROR(EOMONTH(IFERROR(INDEX($A242:$R242,MATCH("Expected Invoice Month",$A$1:$R$1,0)),""),0),"")</f>
        <v/>
      </c>
      <c r="AA242" s="9">
        <f>IFERROR(INDEX($A242:$R242,MATCH("Cost Centre",$A$1:$R$1,0)),"")&amp;""</f>
        <v/>
      </c>
      <c r="AB242" s="9">
        <f>IFERROR(INDEX($A242:$R242,MATCH("Pipeline Stage",$A$1:$R$1,0)),"")&amp;""</f>
        <v/>
      </c>
      <c r="AC242" s="9">
        <f>IFERROR(INDEX($A242:$R242,MATCH("Client",$A$1:$R$1,0)),"")&amp;""</f>
        <v/>
      </c>
      <c r="AD242" s="9">
        <f>IFERROR(INDEX($A242:$R242,MATCH("Description",$A$1:$R$1,0)),"")&amp;""</f>
        <v/>
      </c>
      <c r="AE242" s="9">
        <f>IFERROR(INDEX($A242:$R242,MATCH("Job Number",$A$1:$R$1,0)),"")&amp;""</f>
        <v/>
      </c>
      <c r="AF242" s="54">
        <f>IF(AND(T242="Open",ISNUMBER(Z242),Z242&lt;EOMONTH(set_AsAt,-1)+1),3,0)</f>
        <v/>
      </c>
      <c r="AG242" s="54">
        <f>IF(AND(T242="Open",U242&gt;0,U242&gt;=set_DealShare*SUMIFS($U$2:$U$601,$T$2:$T$601,"Open")),3,0)</f>
        <v/>
      </c>
      <c r="AH242" s="54">
        <f>IF(AND(T242="Open",U242&gt;=set_BigValue,W242&lt;=set_EarlyProb),2,0)</f>
        <v/>
      </c>
      <c r="AI242" s="54">
        <f>IF(AND(OR(T242="Open",T242="Won"),V242=0),2,0)</f>
        <v/>
      </c>
      <c r="AJ242" s="54">
        <f>IF(AND(T242="Won",Y242&gt;0.5,ISNUMBER(Z242),Z242&lt;EOMONTH(set_AsAt,-1)+1),3,0)</f>
        <v/>
      </c>
      <c r="AK242" s="54">
        <f>IF(AND(T242="Won",Y242&lt;-1),1,0)</f>
        <v/>
      </c>
      <c r="AL242" s="54">
        <f>SUM(AF242:AK242)</f>
        <v/>
      </c>
      <c r="AM242" s="9">
        <f>IF(AL242&gt;=set_ScoreHigh,"High",IF(AL242&gt;=set_ScoreMed,"Medium",IF(AL242&gt;0,"Low","OK")))</f>
        <v/>
      </c>
      <c r="AN242" s="54">
        <f>IF(OR(T242="Open",AND(T242="Won",ABS(Y242)&gt;0.5)),1,0)</f>
        <v/>
      </c>
      <c r="AO242" s="52">
        <f>IF(T242="Open",IF(V242=0,0,X242),IF(T242="Won",MAX(0,Y242),0))</f>
        <v/>
      </c>
      <c r="AP242" s="54">
        <f>IF(AN242=1,AL242*1E+9+U242+ROW()/1E+6,"")</f>
        <v/>
      </c>
      <c r="AQ242" s="9">
        <f>MID(IF(AF242&gt;0,"; Expected month passed - update Zoho","")&amp;IF(AG242&gt;0,"; "&amp;TEXT(U242/MAX(1,SUMIFS($U$2:$U$601,$T$2:$T$601,"Open")),"0%")&amp;" of open pipeline in one deal","")&amp;IF(AH242&gt;0,"; Large deal at an early stage","")&amp;IF(AI242&gt;0,"; No amount in Zoho","")&amp;IF(AJ242&gt;0,"; Won, invoice month passed, not fully invoiced","")&amp;IF(AK242&gt;0,"; Xero invoiced more than the deal value",""),3,300)</f>
        <v/>
      </c>
    </row>
    <row r="243">
      <c r="T243" s="9">
        <f>IFERROR(INDEX($A243:$R243,MATCH("Status",$A$1:$R$1,0)),"")&amp;""</f>
        <v/>
      </c>
      <c r="U243" s="52">
        <f>IFERROR(N(IFERROR(INDEX($A243:$R243,MATCH("Value Ex GST",$A$1:$R$1,0)),"")),0)</f>
        <v/>
      </c>
      <c r="V243" s="54">
        <f>IF(AND(T243&lt;&gt;"",IFERROR(INDEX($A243:$R243,MATCH("Value Ex GST",$A$1:$R$1,0)),"")&amp;""&lt;&gt;""),1,0)</f>
        <v/>
      </c>
      <c r="W243" s="56">
        <f>IFERROR(N(IFERROR(INDEX($A243:$R243,MATCH("Probability",$A$1:$R$1,0)),"")),0)</f>
        <v/>
      </c>
      <c r="X243" s="52">
        <f>IF(T243="Open",U243*W243,0)</f>
        <v/>
      </c>
      <c r="Y243" s="52">
        <f>IF(T243="Won",IFERROR(N(IFERROR(INDEX($A243:$R243,MATCH("Still to Invoice",$A$1:$R$1,0)),"")),0),0)</f>
        <v/>
      </c>
      <c r="Z243" s="55">
        <f>IFERROR(EOMONTH(IFERROR(INDEX($A243:$R243,MATCH("Expected Invoice Month",$A$1:$R$1,0)),""),0),"")</f>
        <v/>
      </c>
      <c r="AA243" s="9">
        <f>IFERROR(INDEX($A243:$R243,MATCH("Cost Centre",$A$1:$R$1,0)),"")&amp;""</f>
        <v/>
      </c>
      <c r="AB243" s="9">
        <f>IFERROR(INDEX($A243:$R243,MATCH("Pipeline Stage",$A$1:$R$1,0)),"")&amp;""</f>
        <v/>
      </c>
      <c r="AC243" s="9">
        <f>IFERROR(INDEX($A243:$R243,MATCH("Client",$A$1:$R$1,0)),"")&amp;""</f>
        <v/>
      </c>
      <c r="AD243" s="9">
        <f>IFERROR(INDEX($A243:$R243,MATCH("Description",$A$1:$R$1,0)),"")&amp;""</f>
        <v/>
      </c>
      <c r="AE243" s="9">
        <f>IFERROR(INDEX($A243:$R243,MATCH("Job Number",$A$1:$R$1,0)),"")&amp;""</f>
        <v/>
      </c>
      <c r="AF243" s="54">
        <f>IF(AND(T243="Open",ISNUMBER(Z243),Z243&lt;EOMONTH(set_AsAt,-1)+1),3,0)</f>
        <v/>
      </c>
      <c r="AG243" s="54">
        <f>IF(AND(T243="Open",U243&gt;0,U243&gt;=set_DealShare*SUMIFS($U$2:$U$601,$T$2:$T$601,"Open")),3,0)</f>
        <v/>
      </c>
      <c r="AH243" s="54">
        <f>IF(AND(T243="Open",U243&gt;=set_BigValue,W243&lt;=set_EarlyProb),2,0)</f>
        <v/>
      </c>
      <c r="AI243" s="54">
        <f>IF(AND(OR(T243="Open",T243="Won"),V243=0),2,0)</f>
        <v/>
      </c>
      <c r="AJ243" s="54">
        <f>IF(AND(T243="Won",Y243&gt;0.5,ISNUMBER(Z243),Z243&lt;EOMONTH(set_AsAt,-1)+1),3,0)</f>
        <v/>
      </c>
      <c r="AK243" s="54">
        <f>IF(AND(T243="Won",Y243&lt;-1),1,0)</f>
        <v/>
      </c>
      <c r="AL243" s="54">
        <f>SUM(AF243:AK243)</f>
        <v/>
      </c>
      <c r="AM243" s="9">
        <f>IF(AL243&gt;=set_ScoreHigh,"High",IF(AL243&gt;=set_ScoreMed,"Medium",IF(AL243&gt;0,"Low","OK")))</f>
        <v/>
      </c>
      <c r="AN243" s="54">
        <f>IF(OR(T243="Open",AND(T243="Won",ABS(Y243)&gt;0.5)),1,0)</f>
        <v/>
      </c>
      <c r="AO243" s="52">
        <f>IF(T243="Open",IF(V243=0,0,X243),IF(T243="Won",MAX(0,Y243),0))</f>
        <v/>
      </c>
      <c r="AP243" s="54">
        <f>IF(AN243=1,AL243*1E+9+U243+ROW()/1E+6,"")</f>
        <v/>
      </c>
      <c r="AQ243" s="9">
        <f>MID(IF(AF243&gt;0,"; Expected month passed - update Zoho","")&amp;IF(AG243&gt;0,"; "&amp;TEXT(U243/MAX(1,SUMIFS($U$2:$U$601,$T$2:$T$601,"Open")),"0%")&amp;" of open pipeline in one deal","")&amp;IF(AH243&gt;0,"; Large deal at an early stage","")&amp;IF(AI243&gt;0,"; No amount in Zoho","")&amp;IF(AJ243&gt;0,"; Won, invoice month passed, not fully invoiced","")&amp;IF(AK243&gt;0,"; Xero invoiced more than the deal value",""),3,300)</f>
        <v/>
      </c>
    </row>
    <row r="244">
      <c r="T244" s="9">
        <f>IFERROR(INDEX($A244:$R244,MATCH("Status",$A$1:$R$1,0)),"")&amp;""</f>
        <v/>
      </c>
      <c r="U244" s="52">
        <f>IFERROR(N(IFERROR(INDEX($A244:$R244,MATCH("Value Ex GST",$A$1:$R$1,0)),"")),0)</f>
        <v/>
      </c>
      <c r="V244" s="54">
        <f>IF(AND(T244&lt;&gt;"",IFERROR(INDEX($A244:$R244,MATCH("Value Ex GST",$A$1:$R$1,0)),"")&amp;""&lt;&gt;""),1,0)</f>
        <v/>
      </c>
      <c r="W244" s="56">
        <f>IFERROR(N(IFERROR(INDEX($A244:$R244,MATCH("Probability",$A$1:$R$1,0)),"")),0)</f>
        <v/>
      </c>
      <c r="X244" s="52">
        <f>IF(T244="Open",U244*W244,0)</f>
        <v/>
      </c>
      <c r="Y244" s="52">
        <f>IF(T244="Won",IFERROR(N(IFERROR(INDEX($A244:$R244,MATCH("Still to Invoice",$A$1:$R$1,0)),"")),0),0)</f>
        <v/>
      </c>
      <c r="Z244" s="55">
        <f>IFERROR(EOMONTH(IFERROR(INDEX($A244:$R244,MATCH("Expected Invoice Month",$A$1:$R$1,0)),""),0),"")</f>
        <v/>
      </c>
      <c r="AA244" s="9">
        <f>IFERROR(INDEX($A244:$R244,MATCH("Cost Centre",$A$1:$R$1,0)),"")&amp;""</f>
        <v/>
      </c>
      <c r="AB244" s="9">
        <f>IFERROR(INDEX($A244:$R244,MATCH("Pipeline Stage",$A$1:$R$1,0)),"")&amp;""</f>
        <v/>
      </c>
      <c r="AC244" s="9">
        <f>IFERROR(INDEX($A244:$R244,MATCH("Client",$A$1:$R$1,0)),"")&amp;""</f>
        <v/>
      </c>
      <c r="AD244" s="9">
        <f>IFERROR(INDEX($A244:$R244,MATCH("Description",$A$1:$R$1,0)),"")&amp;""</f>
        <v/>
      </c>
      <c r="AE244" s="9">
        <f>IFERROR(INDEX($A244:$R244,MATCH("Job Number",$A$1:$R$1,0)),"")&amp;""</f>
        <v/>
      </c>
      <c r="AF244" s="54">
        <f>IF(AND(T244="Open",ISNUMBER(Z244),Z244&lt;EOMONTH(set_AsAt,-1)+1),3,0)</f>
        <v/>
      </c>
      <c r="AG244" s="54">
        <f>IF(AND(T244="Open",U244&gt;0,U244&gt;=set_DealShare*SUMIFS($U$2:$U$601,$T$2:$T$601,"Open")),3,0)</f>
        <v/>
      </c>
      <c r="AH244" s="54">
        <f>IF(AND(T244="Open",U244&gt;=set_BigValue,W244&lt;=set_EarlyProb),2,0)</f>
        <v/>
      </c>
      <c r="AI244" s="54">
        <f>IF(AND(OR(T244="Open",T244="Won"),V244=0),2,0)</f>
        <v/>
      </c>
      <c r="AJ244" s="54">
        <f>IF(AND(T244="Won",Y244&gt;0.5,ISNUMBER(Z244),Z244&lt;EOMONTH(set_AsAt,-1)+1),3,0)</f>
        <v/>
      </c>
      <c r="AK244" s="54">
        <f>IF(AND(T244="Won",Y244&lt;-1),1,0)</f>
        <v/>
      </c>
      <c r="AL244" s="54">
        <f>SUM(AF244:AK244)</f>
        <v/>
      </c>
      <c r="AM244" s="9">
        <f>IF(AL244&gt;=set_ScoreHigh,"High",IF(AL244&gt;=set_ScoreMed,"Medium",IF(AL244&gt;0,"Low","OK")))</f>
        <v/>
      </c>
      <c r="AN244" s="54">
        <f>IF(OR(T244="Open",AND(T244="Won",ABS(Y244)&gt;0.5)),1,0)</f>
        <v/>
      </c>
      <c r="AO244" s="52">
        <f>IF(T244="Open",IF(V244=0,0,X244),IF(T244="Won",MAX(0,Y244),0))</f>
        <v/>
      </c>
      <c r="AP244" s="54">
        <f>IF(AN244=1,AL244*1E+9+U244+ROW()/1E+6,"")</f>
        <v/>
      </c>
      <c r="AQ244" s="9">
        <f>MID(IF(AF244&gt;0,"; Expected month passed - update Zoho","")&amp;IF(AG244&gt;0,"; "&amp;TEXT(U244/MAX(1,SUMIFS($U$2:$U$601,$T$2:$T$601,"Open")),"0%")&amp;" of open pipeline in one deal","")&amp;IF(AH244&gt;0,"; Large deal at an early stage","")&amp;IF(AI244&gt;0,"; No amount in Zoho","")&amp;IF(AJ244&gt;0,"; Won, invoice month passed, not fully invoiced","")&amp;IF(AK244&gt;0,"; Xero invoiced more than the deal value",""),3,300)</f>
        <v/>
      </c>
    </row>
    <row r="245">
      <c r="T245" s="9">
        <f>IFERROR(INDEX($A245:$R245,MATCH("Status",$A$1:$R$1,0)),"")&amp;""</f>
        <v/>
      </c>
      <c r="U245" s="52">
        <f>IFERROR(N(IFERROR(INDEX($A245:$R245,MATCH("Value Ex GST",$A$1:$R$1,0)),"")),0)</f>
        <v/>
      </c>
      <c r="V245" s="54">
        <f>IF(AND(T245&lt;&gt;"",IFERROR(INDEX($A245:$R245,MATCH("Value Ex GST",$A$1:$R$1,0)),"")&amp;""&lt;&gt;""),1,0)</f>
        <v/>
      </c>
      <c r="W245" s="56">
        <f>IFERROR(N(IFERROR(INDEX($A245:$R245,MATCH("Probability",$A$1:$R$1,0)),"")),0)</f>
        <v/>
      </c>
      <c r="X245" s="52">
        <f>IF(T245="Open",U245*W245,0)</f>
        <v/>
      </c>
      <c r="Y245" s="52">
        <f>IF(T245="Won",IFERROR(N(IFERROR(INDEX($A245:$R245,MATCH("Still to Invoice",$A$1:$R$1,0)),"")),0),0)</f>
        <v/>
      </c>
      <c r="Z245" s="55">
        <f>IFERROR(EOMONTH(IFERROR(INDEX($A245:$R245,MATCH("Expected Invoice Month",$A$1:$R$1,0)),""),0),"")</f>
        <v/>
      </c>
      <c r="AA245" s="9">
        <f>IFERROR(INDEX($A245:$R245,MATCH("Cost Centre",$A$1:$R$1,0)),"")&amp;""</f>
        <v/>
      </c>
      <c r="AB245" s="9">
        <f>IFERROR(INDEX($A245:$R245,MATCH("Pipeline Stage",$A$1:$R$1,0)),"")&amp;""</f>
        <v/>
      </c>
      <c r="AC245" s="9">
        <f>IFERROR(INDEX($A245:$R245,MATCH("Client",$A$1:$R$1,0)),"")&amp;""</f>
        <v/>
      </c>
      <c r="AD245" s="9">
        <f>IFERROR(INDEX($A245:$R245,MATCH("Description",$A$1:$R$1,0)),"")&amp;""</f>
        <v/>
      </c>
      <c r="AE245" s="9">
        <f>IFERROR(INDEX($A245:$R245,MATCH("Job Number",$A$1:$R$1,0)),"")&amp;""</f>
        <v/>
      </c>
      <c r="AF245" s="54">
        <f>IF(AND(T245="Open",ISNUMBER(Z245),Z245&lt;EOMONTH(set_AsAt,-1)+1),3,0)</f>
        <v/>
      </c>
      <c r="AG245" s="54">
        <f>IF(AND(T245="Open",U245&gt;0,U245&gt;=set_DealShare*SUMIFS($U$2:$U$601,$T$2:$T$601,"Open")),3,0)</f>
        <v/>
      </c>
      <c r="AH245" s="54">
        <f>IF(AND(T245="Open",U245&gt;=set_BigValue,W245&lt;=set_EarlyProb),2,0)</f>
        <v/>
      </c>
      <c r="AI245" s="54">
        <f>IF(AND(OR(T245="Open",T245="Won"),V245=0),2,0)</f>
        <v/>
      </c>
      <c r="AJ245" s="54">
        <f>IF(AND(T245="Won",Y245&gt;0.5,ISNUMBER(Z245),Z245&lt;EOMONTH(set_AsAt,-1)+1),3,0)</f>
        <v/>
      </c>
      <c r="AK245" s="54">
        <f>IF(AND(T245="Won",Y245&lt;-1),1,0)</f>
        <v/>
      </c>
      <c r="AL245" s="54">
        <f>SUM(AF245:AK245)</f>
        <v/>
      </c>
      <c r="AM245" s="9">
        <f>IF(AL245&gt;=set_ScoreHigh,"High",IF(AL245&gt;=set_ScoreMed,"Medium",IF(AL245&gt;0,"Low","OK")))</f>
        <v/>
      </c>
      <c r="AN245" s="54">
        <f>IF(OR(T245="Open",AND(T245="Won",ABS(Y245)&gt;0.5)),1,0)</f>
        <v/>
      </c>
      <c r="AO245" s="52">
        <f>IF(T245="Open",IF(V245=0,0,X245),IF(T245="Won",MAX(0,Y245),0))</f>
        <v/>
      </c>
      <c r="AP245" s="54">
        <f>IF(AN245=1,AL245*1E+9+U245+ROW()/1E+6,"")</f>
        <v/>
      </c>
      <c r="AQ245" s="9">
        <f>MID(IF(AF245&gt;0,"; Expected month passed - update Zoho","")&amp;IF(AG245&gt;0,"; "&amp;TEXT(U245/MAX(1,SUMIFS($U$2:$U$601,$T$2:$T$601,"Open")),"0%")&amp;" of open pipeline in one deal","")&amp;IF(AH245&gt;0,"; Large deal at an early stage","")&amp;IF(AI245&gt;0,"; No amount in Zoho","")&amp;IF(AJ245&gt;0,"; Won, invoice month passed, not fully invoiced","")&amp;IF(AK245&gt;0,"; Xero invoiced more than the deal value",""),3,300)</f>
        <v/>
      </c>
    </row>
    <row r="246">
      <c r="T246" s="9">
        <f>IFERROR(INDEX($A246:$R246,MATCH("Status",$A$1:$R$1,0)),"")&amp;""</f>
        <v/>
      </c>
      <c r="U246" s="52">
        <f>IFERROR(N(IFERROR(INDEX($A246:$R246,MATCH("Value Ex GST",$A$1:$R$1,0)),"")),0)</f>
        <v/>
      </c>
      <c r="V246" s="54">
        <f>IF(AND(T246&lt;&gt;"",IFERROR(INDEX($A246:$R246,MATCH("Value Ex GST",$A$1:$R$1,0)),"")&amp;""&lt;&gt;""),1,0)</f>
        <v/>
      </c>
      <c r="W246" s="56">
        <f>IFERROR(N(IFERROR(INDEX($A246:$R246,MATCH("Probability",$A$1:$R$1,0)),"")),0)</f>
        <v/>
      </c>
      <c r="X246" s="52">
        <f>IF(T246="Open",U246*W246,0)</f>
        <v/>
      </c>
      <c r="Y246" s="52">
        <f>IF(T246="Won",IFERROR(N(IFERROR(INDEX($A246:$R246,MATCH("Still to Invoice",$A$1:$R$1,0)),"")),0),0)</f>
        <v/>
      </c>
      <c r="Z246" s="55">
        <f>IFERROR(EOMONTH(IFERROR(INDEX($A246:$R246,MATCH("Expected Invoice Month",$A$1:$R$1,0)),""),0),"")</f>
        <v/>
      </c>
      <c r="AA246" s="9">
        <f>IFERROR(INDEX($A246:$R246,MATCH("Cost Centre",$A$1:$R$1,0)),"")&amp;""</f>
        <v/>
      </c>
      <c r="AB246" s="9">
        <f>IFERROR(INDEX($A246:$R246,MATCH("Pipeline Stage",$A$1:$R$1,0)),"")&amp;""</f>
        <v/>
      </c>
      <c r="AC246" s="9">
        <f>IFERROR(INDEX($A246:$R246,MATCH("Client",$A$1:$R$1,0)),"")&amp;""</f>
        <v/>
      </c>
      <c r="AD246" s="9">
        <f>IFERROR(INDEX($A246:$R246,MATCH("Description",$A$1:$R$1,0)),"")&amp;""</f>
        <v/>
      </c>
      <c r="AE246" s="9">
        <f>IFERROR(INDEX($A246:$R246,MATCH("Job Number",$A$1:$R$1,0)),"")&amp;""</f>
        <v/>
      </c>
      <c r="AF246" s="54">
        <f>IF(AND(T246="Open",ISNUMBER(Z246),Z246&lt;EOMONTH(set_AsAt,-1)+1),3,0)</f>
        <v/>
      </c>
      <c r="AG246" s="54">
        <f>IF(AND(T246="Open",U246&gt;0,U246&gt;=set_DealShare*SUMIFS($U$2:$U$601,$T$2:$T$601,"Open")),3,0)</f>
        <v/>
      </c>
      <c r="AH246" s="54">
        <f>IF(AND(T246="Open",U246&gt;=set_BigValue,W246&lt;=set_EarlyProb),2,0)</f>
        <v/>
      </c>
      <c r="AI246" s="54">
        <f>IF(AND(OR(T246="Open",T246="Won"),V246=0),2,0)</f>
        <v/>
      </c>
      <c r="AJ246" s="54">
        <f>IF(AND(T246="Won",Y246&gt;0.5,ISNUMBER(Z246),Z246&lt;EOMONTH(set_AsAt,-1)+1),3,0)</f>
        <v/>
      </c>
      <c r="AK246" s="54">
        <f>IF(AND(T246="Won",Y246&lt;-1),1,0)</f>
        <v/>
      </c>
      <c r="AL246" s="54">
        <f>SUM(AF246:AK246)</f>
        <v/>
      </c>
      <c r="AM246" s="9">
        <f>IF(AL246&gt;=set_ScoreHigh,"High",IF(AL246&gt;=set_ScoreMed,"Medium",IF(AL246&gt;0,"Low","OK")))</f>
        <v/>
      </c>
      <c r="AN246" s="54">
        <f>IF(OR(T246="Open",AND(T246="Won",ABS(Y246)&gt;0.5)),1,0)</f>
        <v/>
      </c>
      <c r="AO246" s="52">
        <f>IF(T246="Open",IF(V246=0,0,X246),IF(T246="Won",MAX(0,Y246),0))</f>
        <v/>
      </c>
      <c r="AP246" s="54">
        <f>IF(AN246=1,AL246*1E+9+U246+ROW()/1E+6,"")</f>
        <v/>
      </c>
      <c r="AQ246" s="9">
        <f>MID(IF(AF246&gt;0,"; Expected month passed - update Zoho","")&amp;IF(AG246&gt;0,"; "&amp;TEXT(U246/MAX(1,SUMIFS($U$2:$U$601,$T$2:$T$601,"Open")),"0%")&amp;" of open pipeline in one deal","")&amp;IF(AH246&gt;0,"; Large deal at an early stage","")&amp;IF(AI246&gt;0,"; No amount in Zoho","")&amp;IF(AJ246&gt;0,"; Won, invoice month passed, not fully invoiced","")&amp;IF(AK246&gt;0,"; Xero invoiced more than the deal value",""),3,300)</f>
        <v/>
      </c>
    </row>
    <row r="247">
      <c r="T247" s="9">
        <f>IFERROR(INDEX($A247:$R247,MATCH("Status",$A$1:$R$1,0)),"")&amp;""</f>
        <v/>
      </c>
      <c r="U247" s="52">
        <f>IFERROR(N(IFERROR(INDEX($A247:$R247,MATCH("Value Ex GST",$A$1:$R$1,0)),"")),0)</f>
        <v/>
      </c>
      <c r="V247" s="54">
        <f>IF(AND(T247&lt;&gt;"",IFERROR(INDEX($A247:$R247,MATCH("Value Ex GST",$A$1:$R$1,0)),"")&amp;""&lt;&gt;""),1,0)</f>
        <v/>
      </c>
      <c r="W247" s="56">
        <f>IFERROR(N(IFERROR(INDEX($A247:$R247,MATCH("Probability",$A$1:$R$1,0)),"")),0)</f>
        <v/>
      </c>
      <c r="X247" s="52">
        <f>IF(T247="Open",U247*W247,0)</f>
        <v/>
      </c>
      <c r="Y247" s="52">
        <f>IF(T247="Won",IFERROR(N(IFERROR(INDEX($A247:$R247,MATCH("Still to Invoice",$A$1:$R$1,0)),"")),0),0)</f>
        <v/>
      </c>
      <c r="Z247" s="55">
        <f>IFERROR(EOMONTH(IFERROR(INDEX($A247:$R247,MATCH("Expected Invoice Month",$A$1:$R$1,0)),""),0),"")</f>
        <v/>
      </c>
      <c r="AA247" s="9">
        <f>IFERROR(INDEX($A247:$R247,MATCH("Cost Centre",$A$1:$R$1,0)),"")&amp;""</f>
        <v/>
      </c>
      <c r="AB247" s="9">
        <f>IFERROR(INDEX($A247:$R247,MATCH("Pipeline Stage",$A$1:$R$1,0)),"")&amp;""</f>
        <v/>
      </c>
      <c r="AC247" s="9">
        <f>IFERROR(INDEX($A247:$R247,MATCH("Client",$A$1:$R$1,0)),"")&amp;""</f>
        <v/>
      </c>
      <c r="AD247" s="9">
        <f>IFERROR(INDEX($A247:$R247,MATCH("Description",$A$1:$R$1,0)),"")&amp;""</f>
        <v/>
      </c>
      <c r="AE247" s="9">
        <f>IFERROR(INDEX($A247:$R247,MATCH("Job Number",$A$1:$R$1,0)),"")&amp;""</f>
        <v/>
      </c>
      <c r="AF247" s="54">
        <f>IF(AND(T247="Open",ISNUMBER(Z247),Z247&lt;EOMONTH(set_AsAt,-1)+1),3,0)</f>
        <v/>
      </c>
      <c r="AG247" s="54">
        <f>IF(AND(T247="Open",U247&gt;0,U247&gt;=set_DealShare*SUMIFS($U$2:$U$601,$T$2:$T$601,"Open")),3,0)</f>
        <v/>
      </c>
      <c r="AH247" s="54">
        <f>IF(AND(T247="Open",U247&gt;=set_BigValue,W247&lt;=set_EarlyProb),2,0)</f>
        <v/>
      </c>
      <c r="AI247" s="54">
        <f>IF(AND(OR(T247="Open",T247="Won"),V247=0),2,0)</f>
        <v/>
      </c>
      <c r="AJ247" s="54">
        <f>IF(AND(T247="Won",Y247&gt;0.5,ISNUMBER(Z247),Z247&lt;EOMONTH(set_AsAt,-1)+1),3,0)</f>
        <v/>
      </c>
      <c r="AK247" s="54">
        <f>IF(AND(T247="Won",Y247&lt;-1),1,0)</f>
        <v/>
      </c>
      <c r="AL247" s="54">
        <f>SUM(AF247:AK247)</f>
        <v/>
      </c>
      <c r="AM247" s="9">
        <f>IF(AL247&gt;=set_ScoreHigh,"High",IF(AL247&gt;=set_ScoreMed,"Medium",IF(AL247&gt;0,"Low","OK")))</f>
        <v/>
      </c>
      <c r="AN247" s="54">
        <f>IF(OR(T247="Open",AND(T247="Won",ABS(Y247)&gt;0.5)),1,0)</f>
        <v/>
      </c>
      <c r="AO247" s="52">
        <f>IF(T247="Open",IF(V247=0,0,X247),IF(T247="Won",MAX(0,Y247),0))</f>
        <v/>
      </c>
      <c r="AP247" s="54">
        <f>IF(AN247=1,AL247*1E+9+U247+ROW()/1E+6,"")</f>
        <v/>
      </c>
      <c r="AQ247" s="9">
        <f>MID(IF(AF247&gt;0,"; Expected month passed - update Zoho","")&amp;IF(AG247&gt;0,"; "&amp;TEXT(U247/MAX(1,SUMIFS($U$2:$U$601,$T$2:$T$601,"Open")),"0%")&amp;" of open pipeline in one deal","")&amp;IF(AH247&gt;0,"; Large deal at an early stage","")&amp;IF(AI247&gt;0,"; No amount in Zoho","")&amp;IF(AJ247&gt;0,"; Won, invoice month passed, not fully invoiced","")&amp;IF(AK247&gt;0,"; Xero invoiced more than the deal value",""),3,300)</f>
        <v/>
      </c>
    </row>
    <row r="248">
      <c r="T248" s="9">
        <f>IFERROR(INDEX($A248:$R248,MATCH("Status",$A$1:$R$1,0)),"")&amp;""</f>
        <v/>
      </c>
      <c r="U248" s="52">
        <f>IFERROR(N(IFERROR(INDEX($A248:$R248,MATCH("Value Ex GST",$A$1:$R$1,0)),"")),0)</f>
        <v/>
      </c>
      <c r="V248" s="54">
        <f>IF(AND(T248&lt;&gt;"",IFERROR(INDEX($A248:$R248,MATCH("Value Ex GST",$A$1:$R$1,0)),"")&amp;""&lt;&gt;""),1,0)</f>
        <v/>
      </c>
      <c r="W248" s="56">
        <f>IFERROR(N(IFERROR(INDEX($A248:$R248,MATCH("Probability",$A$1:$R$1,0)),"")),0)</f>
        <v/>
      </c>
      <c r="X248" s="52">
        <f>IF(T248="Open",U248*W248,0)</f>
        <v/>
      </c>
      <c r="Y248" s="52">
        <f>IF(T248="Won",IFERROR(N(IFERROR(INDEX($A248:$R248,MATCH("Still to Invoice",$A$1:$R$1,0)),"")),0),0)</f>
        <v/>
      </c>
      <c r="Z248" s="55">
        <f>IFERROR(EOMONTH(IFERROR(INDEX($A248:$R248,MATCH("Expected Invoice Month",$A$1:$R$1,0)),""),0),"")</f>
        <v/>
      </c>
      <c r="AA248" s="9">
        <f>IFERROR(INDEX($A248:$R248,MATCH("Cost Centre",$A$1:$R$1,0)),"")&amp;""</f>
        <v/>
      </c>
      <c r="AB248" s="9">
        <f>IFERROR(INDEX($A248:$R248,MATCH("Pipeline Stage",$A$1:$R$1,0)),"")&amp;""</f>
        <v/>
      </c>
      <c r="AC248" s="9">
        <f>IFERROR(INDEX($A248:$R248,MATCH("Client",$A$1:$R$1,0)),"")&amp;""</f>
        <v/>
      </c>
      <c r="AD248" s="9">
        <f>IFERROR(INDEX($A248:$R248,MATCH("Description",$A$1:$R$1,0)),"")&amp;""</f>
        <v/>
      </c>
      <c r="AE248" s="9">
        <f>IFERROR(INDEX($A248:$R248,MATCH("Job Number",$A$1:$R$1,0)),"")&amp;""</f>
        <v/>
      </c>
      <c r="AF248" s="54">
        <f>IF(AND(T248="Open",ISNUMBER(Z248),Z248&lt;EOMONTH(set_AsAt,-1)+1),3,0)</f>
        <v/>
      </c>
      <c r="AG248" s="54">
        <f>IF(AND(T248="Open",U248&gt;0,U248&gt;=set_DealShare*SUMIFS($U$2:$U$601,$T$2:$T$601,"Open")),3,0)</f>
        <v/>
      </c>
      <c r="AH248" s="54">
        <f>IF(AND(T248="Open",U248&gt;=set_BigValue,W248&lt;=set_EarlyProb),2,0)</f>
        <v/>
      </c>
      <c r="AI248" s="54">
        <f>IF(AND(OR(T248="Open",T248="Won"),V248=0),2,0)</f>
        <v/>
      </c>
      <c r="AJ248" s="54">
        <f>IF(AND(T248="Won",Y248&gt;0.5,ISNUMBER(Z248),Z248&lt;EOMONTH(set_AsAt,-1)+1),3,0)</f>
        <v/>
      </c>
      <c r="AK248" s="54">
        <f>IF(AND(T248="Won",Y248&lt;-1),1,0)</f>
        <v/>
      </c>
      <c r="AL248" s="54">
        <f>SUM(AF248:AK248)</f>
        <v/>
      </c>
      <c r="AM248" s="9">
        <f>IF(AL248&gt;=set_ScoreHigh,"High",IF(AL248&gt;=set_ScoreMed,"Medium",IF(AL248&gt;0,"Low","OK")))</f>
        <v/>
      </c>
      <c r="AN248" s="54">
        <f>IF(OR(T248="Open",AND(T248="Won",ABS(Y248)&gt;0.5)),1,0)</f>
        <v/>
      </c>
      <c r="AO248" s="52">
        <f>IF(T248="Open",IF(V248=0,0,X248),IF(T248="Won",MAX(0,Y248),0))</f>
        <v/>
      </c>
      <c r="AP248" s="54">
        <f>IF(AN248=1,AL248*1E+9+U248+ROW()/1E+6,"")</f>
        <v/>
      </c>
      <c r="AQ248" s="9">
        <f>MID(IF(AF248&gt;0,"; Expected month passed - update Zoho","")&amp;IF(AG248&gt;0,"; "&amp;TEXT(U248/MAX(1,SUMIFS($U$2:$U$601,$T$2:$T$601,"Open")),"0%")&amp;" of open pipeline in one deal","")&amp;IF(AH248&gt;0,"; Large deal at an early stage","")&amp;IF(AI248&gt;0,"; No amount in Zoho","")&amp;IF(AJ248&gt;0,"; Won, invoice month passed, not fully invoiced","")&amp;IF(AK248&gt;0,"; Xero invoiced more than the deal value",""),3,300)</f>
        <v/>
      </c>
    </row>
    <row r="249">
      <c r="T249" s="9">
        <f>IFERROR(INDEX($A249:$R249,MATCH("Status",$A$1:$R$1,0)),"")&amp;""</f>
        <v/>
      </c>
      <c r="U249" s="52">
        <f>IFERROR(N(IFERROR(INDEX($A249:$R249,MATCH("Value Ex GST",$A$1:$R$1,0)),"")),0)</f>
        <v/>
      </c>
      <c r="V249" s="54">
        <f>IF(AND(T249&lt;&gt;"",IFERROR(INDEX($A249:$R249,MATCH("Value Ex GST",$A$1:$R$1,0)),"")&amp;""&lt;&gt;""),1,0)</f>
        <v/>
      </c>
      <c r="W249" s="56">
        <f>IFERROR(N(IFERROR(INDEX($A249:$R249,MATCH("Probability",$A$1:$R$1,0)),"")),0)</f>
        <v/>
      </c>
      <c r="X249" s="52">
        <f>IF(T249="Open",U249*W249,0)</f>
        <v/>
      </c>
      <c r="Y249" s="52">
        <f>IF(T249="Won",IFERROR(N(IFERROR(INDEX($A249:$R249,MATCH("Still to Invoice",$A$1:$R$1,0)),"")),0),0)</f>
        <v/>
      </c>
      <c r="Z249" s="55">
        <f>IFERROR(EOMONTH(IFERROR(INDEX($A249:$R249,MATCH("Expected Invoice Month",$A$1:$R$1,0)),""),0),"")</f>
        <v/>
      </c>
      <c r="AA249" s="9">
        <f>IFERROR(INDEX($A249:$R249,MATCH("Cost Centre",$A$1:$R$1,0)),"")&amp;""</f>
        <v/>
      </c>
      <c r="AB249" s="9">
        <f>IFERROR(INDEX($A249:$R249,MATCH("Pipeline Stage",$A$1:$R$1,0)),"")&amp;""</f>
        <v/>
      </c>
      <c r="AC249" s="9">
        <f>IFERROR(INDEX($A249:$R249,MATCH("Client",$A$1:$R$1,0)),"")&amp;""</f>
        <v/>
      </c>
      <c r="AD249" s="9">
        <f>IFERROR(INDEX($A249:$R249,MATCH("Description",$A$1:$R$1,0)),"")&amp;""</f>
        <v/>
      </c>
      <c r="AE249" s="9">
        <f>IFERROR(INDEX($A249:$R249,MATCH("Job Number",$A$1:$R$1,0)),"")&amp;""</f>
        <v/>
      </c>
      <c r="AF249" s="54">
        <f>IF(AND(T249="Open",ISNUMBER(Z249),Z249&lt;EOMONTH(set_AsAt,-1)+1),3,0)</f>
        <v/>
      </c>
      <c r="AG249" s="54">
        <f>IF(AND(T249="Open",U249&gt;0,U249&gt;=set_DealShare*SUMIFS($U$2:$U$601,$T$2:$T$601,"Open")),3,0)</f>
        <v/>
      </c>
      <c r="AH249" s="54">
        <f>IF(AND(T249="Open",U249&gt;=set_BigValue,W249&lt;=set_EarlyProb),2,0)</f>
        <v/>
      </c>
      <c r="AI249" s="54">
        <f>IF(AND(OR(T249="Open",T249="Won"),V249=0),2,0)</f>
        <v/>
      </c>
      <c r="AJ249" s="54">
        <f>IF(AND(T249="Won",Y249&gt;0.5,ISNUMBER(Z249),Z249&lt;EOMONTH(set_AsAt,-1)+1),3,0)</f>
        <v/>
      </c>
      <c r="AK249" s="54">
        <f>IF(AND(T249="Won",Y249&lt;-1),1,0)</f>
        <v/>
      </c>
      <c r="AL249" s="54">
        <f>SUM(AF249:AK249)</f>
        <v/>
      </c>
      <c r="AM249" s="9">
        <f>IF(AL249&gt;=set_ScoreHigh,"High",IF(AL249&gt;=set_ScoreMed,"Medium",IF(AL249&gt;0,"Low","OK")))</f>
        <v/>
      </c>
      <c r="AN249" s="54">
        <f>IF(OR(T249="Open",AND(T249="Won",ABS(Y249)&gt;0.5)),1,0)</f>
        <v/>
      </c>
      <c r="AO249" s="52">
        <f>IF(T249="Open",IF(V249=0,0,X249),IF(T249="Won",MAX(0,Y249),0))</f>
        <v/>
      </c>
      <c r="AP249" s="54">
        <f>IF(AN249=1,AL249*1E+9+U249+ROW()/1E+6,"")</f>
        <v/>
      </c>
      <c r="AQ249" s="9">
        <f>MID(IF(AF249&gt;0,"; Expected month passed - update Zoho","")&amp;IF(AG249&gt;0,"; "&amp;TEXT(U249/MAX(1,SUMIFS($U$2:$U$601,$T$2:$T$601,"Open")),"0%")&amp;" of open pipeline in one deal","")&amp;IF(AH249&gt;0,"; Large deal at an early stage","")&amp;IF(AI249&gt;0,"; No amount in Zoho","")&amp;IF(AJ249&gt;0,"; Won, invoice month passed, not fully invoiced","")&amp;IF(AK249&gt;0,"; Xero invoiced more than the deal value",""),3,300)</f>
        <v/>
      </c>
    </row>
    <row r="250">
      <c r="T250" s="9">
        <f>IFERROR(INDEX($A250:$R250,MATCH("Status",$A$1:$R$1,0)),"")&amp;""</f>
        <v/>
      </c>
      <c r="U250" s="52">
        <f>IFERROR(N(IFERROR(INDEX($A250:$R250,MATCH("Value Ex GST",$A$1:$R$1,0)),"")),0)</f>
        <v/>
      </c>
      <c r="V250" s="54">
        <f>IF(AND(T250&lt;&gt;"",IFERROR(INDEX($A250:$R250,MATCH("Value Ex GST",$A$1:$R$1,0)),"")&amp;""&lt;&gt;""),1,0)</f>
        <v/>
      </c>
      <c r="W250" s="56">
        <f>IFERROR(N(IFERROR(INDEX($A250:$R250,MATCH("Probability",$A$1:$R$1,0)),"")),0)</f>
        <v/>
      </c>
      <c r="X250" s="52">
        <f>IF(T250="Open",U250*W250,0)</f>
        <v/>
      </c>
      <c r="Y250" s="52">
        <f>IF(T250="Won",IFERROR(N(IFERROR(INDEX($A250:$R250,MATCH("Still to Invoice",$A$1:$R$1,0)),"")),0),0)</f>
        <v/>
      </c>
      <c r="Z250" s="55">
        <f>IFERROR(EOMONTH(IFERROR(INDEX($A250:$R250,MATCH("Expected Invoice Month",$A$1:$R$1,0)),""),0),"")</f>
        <v/>
      </c>
      <c r="AA250" s="9">
        <f>IFERROR(INDEX($A250:$R250,MATCH("Cost Centre",$A$1:$R$1,0)),"")&amp;""</f>
        <v/>
      </c>
      <c r="AB250" s="9">
        <f>IFERROR(INDEX($A250:$R250,MATCH("Pipeline Stage",$A$1:$R$1,0)),"")&amp;""</f>
        <v/>
      </c>
      <c r="AC250" s="9">
        <f>IFERROR(INDEX($A250:$R250,MATCH("Client",$A$1:$R$1,0)),"")&amp;""</f>
        <v/>
      </c>
      <c r="AD250" s="9">
        <f>IFERROR(INDEX($A250:$R250,MATCH("Description",$A$1:$R$1,0)),"")&amp;""</f>
        <v/>
      </c>
      <c r="AE250" s="9">
        <f>IFERROR(INDEX($A250:$R250,MATCH("Job Number",$A$1:$R$1,0)),"")&amp;""</f>
        <v/>
      </c>
      <c r="AF250" s="54">
        <f>IF(AND(T250="Open",ISNUMBER(Z250),Z250&lt;EOMONTH(set_AsAt,-1)+1),3,0)</f>
        <v/>
      </c>
      <c r="AG250" s="54">
        <f>IF(AND(T250="Open",U250&gt;0,U250&gt;=set_DealShare*SUMIFS($U$2:$U$601,$T$2:$T$601,"Open")),3,0)</f>
        <v/>
      </c>
      <c r="AH250" s="54">
        <f>IF(AND(T250="Open",U250&gt;=set_BigValue,W250&lt;=set_EarlyProb),2,0)</f>
        <v/>
      </c>
      <c r="AI250" s="54">
        <f>IF(AND(OR(T250="Open",T250="Won"),V250=0),2,0)</f>
        <v/>
      </c>
      <c r="AJ250" s="54">
        <f>IF(AND(T250="Won",Y250&gt;0.5,ISNUMBER(Z250),Z250&lt;EOMONTH(set_AsAt,-1)+1),3,0)</f>
        <v/>
      </c>
      <c r="AK250" s="54">
        <f>IF(AND(T250="Won",Y250&lt;-1),1,0)</f>
        <v/>
      </c>
      <c r="AL250" s="54">
        <f>SUM(AF250:AK250)</f>
        <v/>
      </c>
      <c r="AM250" s="9">
        <f>IF(AL250&gt;=set_ScoreHigh,"High",IF(AL250&gt;=set_ScoreMed,"Medium",IF(AL250&gt;0,"Low","OK")))</f>
        <v/>
      </c>
      <c r="AN250" s="54">
        <f>IF(OR(T250="Open",AND(T250="Won",ABS(Y250)&gt;0.5)),1,0)</f>
        <v/>
      </c>
      <c r="AO250" s="52">
        <f>IF(T250="Open",IF(V250=0,0,X250),IF(T250="Won",MAX(0,Y250),0))</f>
        <v/>
      </c>
      <c r="AP250" s="54">
        <f>IF(AN250=1,AL250*1E+9+U250+ROW()/1E+6,"")</f>
        <v/>
      </c>
      <c r="AQ250" s="9">
        <f>MID(IF(AF250&gt;0,"; Expected month passed - update Zoho","")&amp;IF(AG250&gt;0,"; "&amp;TEXT(U250/MAX(1,SUMIFS($U$2:$U$601,$T$2:$T$601,"Open")),"0%")&amp;" of open pipeline in one deal","")&amp;IF(AH250&gt;0,"; Large deal at an early stage","")&amp;IF(AI250&gt;0,"; No amount in Zoho","")&amp;IF(AJ250&gt;0,"; Won, invoice month passed, not fully invoiced","")&amp;IF(AK250&gt;0,"; Xero invoiced more than the deal value",""),3,300)</f>
        <v/>
      </c>
    </row>
    <row r="251">
      <c r="T251" s="9">
        <f>IFERROR(INDEX($A251:$R251,MATCH("Status",$A$1:$R$1,0)),"")&amp;""</f>
        <v/>
      </c>
      <c r="U251" s="52">
        <f>IFERROR(N(IFERROR(INDEX($A251:$R251,MATCH("Value Ex GST",$A$1:$R$1,0)),"")),0)</f>
        <v/>
      </c>
      <c r="V251" s="54">
        <f>IF(AND(T251&lt;&gt;"",IFERROR(INDEX($A251:$R251,MATCH("Value Ex GST",$A$1:$R$1,0)),"")&amp;""&lt;&gt;""),1,0)</f>
        <v/>
      </c>
      <c r="W251" s="56">
        <f>IFERROR(N(IFERROR(INDEX($A251:$R251,MATCH("Probability",$A$1:$R$1,0)),"")),0)</f>
        <v/>
      </c>
      <c r="X251" s="52">
        <f>IF(T251="Open",U251*W251,0)</f>
        <v/>
      </c>
      <c r="Y251" s="52">
        <f>IF(T251="Won",IFERROR(N(IFERROR(INDEX($A251:$R251,MATCH("Still to Invoice",$A$1:$R$1,0)),"")),0),0)</f>
        <v/>
      </c>
      <c r="Z251" s="55">
        <f>IFERROR(EOMONTH(IFERROR(INDEX($A251:$R251,MATCH("Expected Invoice Month",$A$1:$R$1,0)),""),0),"")</f>
        <v/>
      </c>
      <c r="AA251" s="9">
        <f>IFERROR(INDEX($A251:$R251,MATCH("Cost Centre",$A$1:$R$1,0)),"")&amp;""</f>
        <v/>
      </c>
      <c r="AB251" s="9">
        <f>IFERROR(INDEX($A251:$R251,MATCH("Pipeline Stage",$A$1:$R$1,0)),"")&amp;""</f>
        <v/>
      </c>
      <c r="AC251" s="9">
        <f>IFERROR(INDEX($A251:$R251,MATCH("Client",$A$1:$R$1,0)),"")&amp;""</f>
        <v/>
      </c>
      <c r="AD251" s="9">
        <f>IFERROR(INDEX($A251:$R251,MATCH("Description",$A$1:$R$1,0)),"")&amp;""</f>
        <v/>
      </c>
      <c r="AE251" s="9">
        <f>IFERROR(INDEX($A251:$R251,MATCH("Job Number",$A$1:$R$1,0)),"")&amp;""</f>
        <v/>
      </c>
      <c r="AF251" s="54">
        <f>IF(AND(T251="Open",ISNUMBER(Z251),Z251&lt;EOMONTH(set_AsAt,-1)+1),3,0)</f>
        <v/>
      </c>
      <c r="AG251" s="54">
        <f>IF(AND(T251="Open",U251&gt;0,U251&gt;=set_DealShare*SUMIFS($U$2:$U$601,$T$2:$T$601,"Open")),3,0)</f>
        <v/>
      </c>
      <c r="AH251" s="54">
        <f>IF(AND(T251="Open",U251&gt;=set_BigValue,W251&lt;=set_EarlyProb),2,0)</f>
        <v/>
      </c>
      <c r="AI251" s="54">
        <f>IF(AND(OR(T251="Open",T251="Won"),V251=0),2,0)</f>
        <v/>
      </c>
      <c r="AJ251" s="54">
        <f>IF(AND(T251="Won",Y251&gt;0.5,ISNUMBER(Z251),Z251&lt;EOMONTH(set_AsAt,-1)+1),3,0)</f>
        <v/>
      </c>
      <c r="AK251" s="54">
        <f>IF(AND(T251="Won",Y251&lt;-1),1,0)</f>
        <v/>
      </c>
      <c r="AL251" s="54">
        <f>SUM(AF251:AK251)</f>
        <v/>
      </c>
      <c r="AM251" s="9">
        <f>IF(AL251&gt;=set_ScoreHigh,"High",IF(AL251&gt;=set_ScoreMed,"Medium",IF(AL251&gt;0,"Low","OK")))</f>
        <v/>
      </c>
      <c r="AN251" s="54">
        <f>IF(OR(T251="Open",AND(T251="Won",ABS(Y251)&gt;0.5)),1,0)</f>
        <v/>
      </c>
      <c r="AO251" s="52">
        <f>IF(T251="Open",IF(V251=0,0,X251),IF(T251="Won",MAX(0,Y251),0))</f>
        <v/>
      </c>
      <c r="AP251" s="54">
        <f>IF(AN251=1,AL251*1E+9+U251+ROW()/1E+6,"")</f>
        <v/>
      </c>
      <c r="AQ251" s="9">
        <f>MID(IF(AF251&gt;0,"; Expected month passed - update Zoho","")&amp;IF(AG251&gt;0,"; "&amp;TEXT(U251/MAX(1,SUMIFS($U$2:$U$601,$T$2:$T$601,"Open")),"0%")&amp;" of open pipeline in one deal","")&amp;IF(AH251&gt;0,"; Large deal at an early stage","")&amp;IF(AI251&gt;0,"; No amount in Zoho","")&amp;IF(AJ251&gt;0,"; Won, invoice month passed, not fully invoiced","")&amp;IF(AK251&gt;0,"; Xero invoiced more than the deal value",""),3,300)</f>
        <v/>
      </c>
    </row>
    <row r="252">
      <c r="T252" s="9">
        <f>IFERROR(INDEX($A252:$R252,MATCH("Status",$A$1:$R$1,0)),"")&amp;""</f>
        <v/>
      </c>
      <c r="U252" s="52">
        <f>IFERROR(N(IFERROR(INDEX($A252:$R252,MATCH("Value Ex GST",$A$1:$R$1,0)),"")),0)</f>
        <v/>
      </c>
      <c r="V252" s="54">
        <f>IF(AND(T252&lt;&gt;"",IFERROR(INDEX($A252:$R252,MATCH("Value Ex GST",$A$1:$R$1,0)),"")&amp;""&lt;&gt;""),1,0)</f>
        <v/>
      </c>
      <c r="W252" s="56">
        <f>IFERROR(N(IFERROR(INDEX($A252:$R252,MATCH("Probability",$A$1:$R$1,0)),"")),0)</f>
        <v/>
      </c>
      <c r="X252" s="52">
        <f>IF(T252="Open",U252*W252,0)</f>
        <v/>
      </c>
      <c r="Y252" s="52">
        <f>IF(T252="Won",IFERROR(N(IFERROR(INDEX($A252:$R252,MATCH("Still to Invoice",$A$1:$R$1,0)),"")),0),0)</f>
        <v/>
      </c>
      <c r="Z252" s="55">
        <f>IFERROR(EOMONTH(IFERROR(INDEX($A252:$R252,MATCH("Expected Invoice Month",$A$1:$R$1,0)),""),0),"")</f>
        <v/>
      </c>
      <c r="AA252" s="9">
        <f>IFERROR(INDEX($A252:$R252,MATCH("Cost Centre",$A$1:$R$1,0)),"")&amp;""</f>
        <v/>
      </c>
      <c r="AB252" s="9">
        <f>IFERROR(INDEX($A252:$R252,MATCH("Pipeline Stage",$A$1:$R$1,0)),"")&amp;""</f>
        <v/>
      </c>
      <c r="AC252" s="9">
        <f>IFERROR(INDEX($A252:$R252,MATCH("Client",$A$1:$R$1,0)),"")&amp;""</f>
        <v/>
      </c>
      <c r="AD252" s="9">
        <f>IFERROR(INDEX($A252:$R252,MATCH("Description",$A$1:$R$1,0)),"")&amp;""</f>
        <v/>
      </c>
      <c r="AE252" s="9">
        <f>IFERROR(INDEX($A252:$R252,MATCH("Job Number",$A$1:$R$1,0)),"")&amp;""</f>
        <v/>
      </c>
      <c r="AF252" s="54">
        <f>IF(AND(T252="Open",ISNUMBER(Z252),Z252&lt;EOMONTH(set_AsAt,-1)+1),3,0)</f>
        <v/>
      </c>
      <c r="AG252" s="54">
        <f>IF(AND(T252="Open",U252&gt;0,U252&gt;=set_DealShare*SUMIFS($U$2:$U$601,$T$2:$T$601,"Open")),3,0)</f>
        <v/>
      </c>
      <c r="AH252" s="54">
        <f>IF(AND(T252="Open",U252&gt;=set_BigValue,W252&lt;=set_EarlyProb),2,0)</f>
        <v/>
      </c>
      <c r="AI252" s="54">
        <f>IF(AND(OR(T252="Open",T252="Won"),V252=0),2,0)</f>
        <v/>
      </c>
      <c r="AJ252" s="54">
        <f>IF(AND(T252="Won",Y252&gt;0.5,ISNUMBER(Z252),Z252&lt;EOMONTH(set_AsAt,-1)+1),3,0)</f>
        <v/>
      </c>
      <c r="AK252" s="54">
        <f>IF(AND(T252="Won",Y252&lt;-1),1,0)</f>
        <v/>
      </c>
      <c r="AL252" s="54">
        <f>SUM(AF252:AK252)</f>
        <v/>
      </c>
      <c r="AM252" s="9">
        <f>IF(AL252&gt;=set_ScoreHigh,"High",IF(AL252&gt;=set_ScoreMed,"Medium",IF(AL252&gt;0,"Low","OK")))</f>
        <v/>
      </c>
      <c r="AN252" s="54">
        <f>IF(OR(T252="Open",AND(T252="Won",ABS(Y252)&gt;0.5)),1,0)</f>
        <v/>
      </c>
      <c r="AO252" s="52">
        <f>IF(T252="Open",IF(V252=0,0,X252),IF(T252="Won",MAX(0,Y252),0))</f>
        <v/>
      </c>
      <c r="AP252" s="54">
        <f>IF(AN252=1,AL252*1E+9+U252+ROW()/1E+6,"")</f>
        <v/>
      </c>
      <c r="AQ252" s="9">
        <f>MID(IF(AF252&gt;0,"; Expected month passed - update Zoho","")&amp;IF(AG252&gt;0,"; "&amp;TEXT(U252/MAX(1,SUMIFS($U$2:$U$601,$T$2:$T$601,"Open")),"0%")&amp;" of open pipeline in one deal","")&amp;IF(AH252&gt;0,"; Large deal at an early stage","")&amp;IF(AI252&gt;0,"; No amount in Zoho","")&amp;IF(AJ252&gt;0,"; Won, invoice month passed, not fully invoiced","")&amp;IF(AK252&gt;0,"; Xero invoiced more than the deal value",""),3,300)</f>
        <v/>
      </c>
    </row>
    <row r="253">
      <c r="T253" s="9">
        <f>IFERROR(INDEX($A253:$R253,MATCH("Status",$A$1:$R$1,0)),"")&amp;""</f>
        <v/>
      </c>
      <c r="U253" s="52">
        <f>IFERROR(N(IFERROR(INDEX($A253:$R253,MATCH("Value Ex GST",$A$1:$R$1,0)),"")),0)</f>
        <v/>
      </c>
      <c r="V253" s="54">
        <f>IF(AND(T253&lt;&gt;"",IFERROR(INDEX($A253:$R253,MATCH("Value Ex GST",$A$1:$R$1,0)),"")&amp;""&lt;&gt;""),1,0)</f>
        <v/>
      </c>
      <c r="W253" s="56">
        <f>IFERROR(N(IFERROR(INDEX($A253:$R253,MATCH("Probability",$A$1:$R$1,0)),"")),0)</f>
        <v/>
      </c>
      <c r="X253" s="52">
        <f>IF(T253="Open",U253*W253,0)</f>
        <v/>
      </c>
      <c r="Y253" s="52">
        <f>IF(T253="Won",IFERROR(N(IFERROR(INDEX($A253:$R253,MATCH("Still to Invoice",$A$1:$R$1,0)),"")),0),0)</f>
        <v/>
      </c>
      <c r="Z253" s="55">
        <f>IFERROR(EOMONTH(IFERROR(INDEX($A253:$R253,MATCH("Expected Invoice Month",$A$1:$R$1,0)),""),0),"")</f>
        <v/>
      </c>
      <c r="AA253" s="9">
        <f>IFERROR(INDEX($A253:$R253,MATCH("Cost Centre",$A$1:$R$1,0)),"")&amp;""</f>
        <v/>
      </c>
      <c r="AB253" s="9">
        <f>IFERROR(INDEX($A253:$R253,MATCH("Pipeline Stage",$A$1:$R$1,0)),"")&amp;""</f>
        <v/>
      </c>
      <c r="AC253" s="9">
        <f>IFERROR(INDEX($A253:$R253,MATCH("Client",$A$1:$R$1,0)),"")&amp;""</f>
        <v/>
      </c>
      <c r="AD253" s="9">
        <f>IFERROR(INDEX($A253:$R253,MATCH("Description",$A$1:$R$1,0)),"")&amp;""</f>
        <v/>
      </c>
      <c r="AE253" s="9">
        <f>IFERROR(INDEX($A253:$R253,MATCH("Job Number",$A$1:$R$1,0)),"")&amp;""</f>
        <v/>
      </c>
      <c r="AF253" s="54">
        <f>IF(AND(T253="Open",ISNUMBER(Z253),Z253&lt;EOMONTH(set_AsAt,-1)+1),3,0)</f>
        <v/>
      </c>
      <c r="AG253" s="54">
        <f>IF(AND(T253="Open",U253&gt;0,U253&gt;=set_DealShare*SUMIFS($U$2:$U$601,$T$2:$T$601,"Open")),3,0)</f>
        <v/>
      </c>
      <c r="AH253" s="54">
        <f>IF(AND(T253="Open",U253&gt;=set_BigValue,W253&lt;=set_EarlyProb),2,0)</f>
        <v/>
      </c>
      <c r="AI253" s="54">
        <f>IF(AND(OR(T253="Open",T253="Won"),V253=0),2,0)</f>
        <v/>
      </c>
      <c r="AJ253" s="54">
        <f>IF(AND(T253="Won",Y253&gt;0.5,ISNUMBER(Z253),Z253&lt;EOMONTH(set_AsAt,-1)+1),3,0)</f>
        <v/>
      </c>
      <c r="AK253" s="54">
        <f>IF(AND(T253="Won",Y253&lt;-1),1,0)</f>
        <v/>
      </c>
      <c r="AL253" s="54">
        <f>SUM(AF253:AK253)</f>
        <v/>
      </c>
      <c r="AM253" s="9">
        <f>IF(AL253&gt;=set_ScoreHigh,"High",IF(AL253&gt;=set_ScoreMed,"Medium",IF(AL253&gt;0,"Low","OK")))</f>
        <v/>
      </c>
      <c r="AN253" s="54">
        <f>IF(OR(T253="Open",AND(T253="Won",ABS(Y253)&gt;0.5)),1,0)</f>
        <v/>
      </c>
      <c r="AO253" s="52">
        <f>IF(T253="Open",IF(V253=0,0,X253),IF(T253="Won",MAX(0,Y253),0))</f>
        <v/>
      </c>
      <c r="AP253" s="54">
        <f>IF(AN253=1,AL253*1E+9+U253+ROW()/1E+6,"")</f>
        <v/>
      </c>
      <c r="AQ253" s="9">
        <f>MID(IF(AF253&gt;0,"; Expected month passed - update Zoho","")&amp;IF(AG253&gt;0,"; "&amp;TEXT(U253/MAX(1,SUMIFS($U$2:$U$601,$T$2:$T$601,"Open")),"0%")&amp;" of open pipeline in one deal","")&amp;IF(AH253&gt;0,"; Large deal at an early stage","")&amp;IF(AI253&gt;0,"; No amount in Zoho","")&amp;IF(AJ253&gt;0,"; Won, invoice month passed, not fully invoiced","")&amp;IF(AK253&gt;0,"; Xero invoiced more than the deal value",""),3,300)</f>
        <v/>
      </c>
    </row>
    <row r="254">
      <c r="T254" s="9">
        <f>IFERROR(INDEX($A254:$R254,MATCH("Status",$A$1:$R$1,0)),"")&amp;""</f>
        <v/>
      </c>
      <c r="U254" s="52">
        <f>IFERROR(N(IFERROR(INDEX($A254:$R254,MATCH("Value Ex GST",$A$1:$R$1,0)),"")),0)</f>
        <v/>
      </c>
      <c r="V254" s="54">
        <f>IF(AND(T254&lt;&gt;"",IFERROR(INDEX($A254:$R254,MATCH("Value Ex GST",$A$1:$R$1,0)),"")&amp;""&lt;&gt;""),1,0)</f>
        <v/>
      </c>
      <c r="W254" s="56">
        <f>IFERROR(N(IFERROR(INDEX($A254:$R254,MATCH("Probability",$A$1:$R$1,0)),"")),0)</f>
        <v/>
      </c>
      <c r="X254" s="52">
        <f>IF(T254="Open",U254*W254,0)</f>
        <v/>
      </c>
      <c r="Y254" s="52">
        <f>IF(T254="Won",IFERROR(N(IFERROR(INDEX($A254:$R254,MATCH("Still to Invoice",$A$1:$R$1,0)),"")),0),0)</f>
        <v/>
      </c>
      <c r="Z254" s="55">
        <f>IFERROR(EOMONTH(IFERROR(INDEX($A254:$R254,MATCH("Expected Invoice Month",$A$1:$R$1,0)),""),0),"")</f>
        <v/>
      </c>
      <c r="AA254" s="9">
        <f>IFERROR(INDEX($A254:$R254,MATCH("Cost Centre",$A$1:$R$1,0)),"")&amp;""</f>
        <v/>
      </c>
      <c r="AB254" s="9">
        <f>IFERROR(INDEX($A254:$R254,MATCH("Pipeline Stage",$A$1:$R$1,0)),"")&amp;""</f>
        <v/>
      </c>
      <c r="AC254" s="9">
        <f>IFERROR(INDEX($A254:$R254,MATCH("Client",$A$1:$R$1,0)),"")&amp;""</f>
        <v/>
      </c>
      <c r="AD254" s="9">
        <f>IFERROR(INDEX($A254:$R254,MATCH("Description",$A$1:$R$1,0)),"")&amp;""</f>
        <v/>
      </c>
      <c r="AE254" s="9">
        <f>IFERROR(INDEX($A254:$R254,MATCH("Job Number",$A$1:$R$1,0)),"")&amp;""</f>
        <v/>
      </c>
      <c r="AF254" s="54">
        <f>IF(AND(T254="Open",ISNUMBER(Z254),Z254&lt;EOMONTH(set_AsAt,-1)+1),3,0)</f>
        <v/>
      </c>
      <c r="AG254" s="54">
        <f>IF(AND(T254="Open",U254&gt;0,U254&gt;=set_DealShare*SUMIFS($U$2:$U$601,$T$2:$T$601,"Open")),3,0)</f>
        <v/>
      </c>
      <c r="AH254" s="54">
        <f>IF(AND(T254="Open",U254&gt;=set_BigValue,W254&lt;=set_EarlyProb),2,0)</f>
        <v/>
      </c>
      <c r="AI254" s="54">
        <f>IF(AND(OR(T254="Open",T254="Won"),V254=0),2,0)</f>
        <v/>
      </c>
      <c r="AJ254" s="54">
        <f>IF(AND(T254="Won",Y254&gt;0.5,ISNUMBER(Z254),Z254&lt;EOMONTH(set_AsAt,-1)+1),3,0)</f>
        <v/>
      </c>
      <c r="AK254" s="54">
        <f>IF(AND(T254="Won",Y254&lt;-1),1,0)</f>
        <v/>
      </c>
      <c r="AL254" s="54">
        <f>SUM(AF254:AK254)</f>
        <v/>
      </c>
      <c r="AM254" s="9">
        <f>IF(AL254&gt;=set_ScoreHigh,"High",IF(AL254&gt;=set_ScoreMed,"Medium",IF(AL254&gt;0,"Low","OK")))</f>
        <v/>
      </c>
      <c r="AN254" s="54">
        <f>IF(OR(T254="Open",AND(T254="Won",ABS(Y254)&gt;0.5)),1,0)</f>
        <v/>
      </c>
      <c r="AO254" s="52">
        <f>IF(T254="Open",IF(V254=0,0,X254),IF(T254="Won",MAX(0,Y254),0))</f>
        <v/>
      </c>
      <c r="AP254" s="54">
        <f>IF(AN254=1,AL254*1E+9+U254+ROW()/1E+6,"")</f>
        <v/>
      </c>
      <c r="AQ254" s="9">
        <f>MID(IF(AF254&gt;0,"; Expected month passed - update Zoho","")&amp;IF(AG254&gt;0,"; "&amp;TEXT(U254/MAX(1,SUMIFS($U$2:$U$601,$T$2:$T$601,"Open")),"0%")&amp;" of open pipeline in one deal","")&amp;IF(AH254&gt;0,"; Large deal at an early stage","")&amp;IF(AI254&gt;0,"; No amount in Zoho","")&amp;IF(AJ254&gt;0,"; Won, invoice month passed, not fully invoiced","")&amp;IF(AK254&gt;0,"; Xero invoiced more than the deal value",""),3,300)</f>
        <v/>
      </c>
    </row>
    <row r="255">
      <c r="T255" s="9">
        <f>IFERROR(INDEX($A255:$R255,MATCH("Status",$A$1:$R$1,0)),"")&amp;""</f>
        <v/>
      </c>
      <c r="U255" s="52">
        <f>IFERROR(N(IFERROR(INDEX($A255:$R255,MATCH("Value Ex GST",$A$1:$R$1,0)),"")),0)</f>
        <v/>
      </c>
      <c r="V255" s="54">
        <f>IF(AND(T255&lt;&gt;"",IFERROR(INDEX($A255:$R255,MATCH("Value Ex GST",$A$1:$R$1,0)),"")&amp;""&lt;&gt;""),1,0)</f>
        <v/>
      </c>
      <c r="W255" s="56">
        <f>IFERROR(N(IFERROR(INDEX($A255:$R255,MATCH("Probability",$A$1:$R$1,0)),"")),0)</f>
        <v/>
      </c>
      <c r="X255" s="52">
        <f>IF(T255="Open",U255*W255,0)</f>
        <v/>
      </c>
      <c r="Y255" s="52">
        <f>IF(T255="Won",IFERROR(N(IFERROR(INDEX($A255:$R255,MATCH("Still to Invoice",$A$1:$R$1,0)),"")),0),0)</f>
        <v/>
      </c>
      <c r="Z255" s="55">
        <f>IFERROR(EOMONTH(IFERROR(INDEX($A255:$R255,MATCH("Expected Invoice Month",$A$1:$R$1,0)),""),0),"")</f>
        <v/>
      </c>
      <c r="AA255" s="9">
        <f>IFERROR(INDEX($A255:$R255,MATCH("Cost Centre",$A$1:$R$1,0)),"")&amp;""</f>
        <v/>
      </c>
      <c r="AB255" s="9">
        <f>IFERROR(INDEX($A255:$R255,MATCH("Pipeline Stage",$A$1:$R$1,0)),"")&amp;""</f>
        <v/>
      </c>
      <c r="AC255" s="9">
        <f>IFERROR(INDEX($A255:$R255,MATCH("Client",$A$1:$R$1,0)),"")&amp;""</f>
        <v/>
      </c>
      <c r="AD255" s="9">
        <f>IFERROR(INDEX($A255:$R255,MATCH("Description",$A$1:$R$1,0)),"")&amp;""</f>
        <v/>
      </c>
      <c r="AE255" s="9">
        <f>IFERROR(INDEX($A255:$R255,MATCH("Job Number",$A$1:$R$1,0)),"")&amp;""</f>
        <v/>
      </c>
      <c r="AF255" s="54">
        <f>IF(AND(T255="Open",ISNUMBER(Z255),Z255&lt;EOMONTH(set_AsAt,-1)+1),3,0)</f>
        <v/>
      </c>
      <c r="AG255" s="54">
        <f>IF(AND(T255="Open",U255&gt;0,U255&gt;=set_DealShare*SUMIFS($U$2:$U$601,$T$2:$T$601,"Open")),3,0)</f>
        <v/>
      </c>
      <c r="AH255" s="54">
        <f>IF(AND(T255="Open",U255&gt;=set_BigValue,W255&lt;=set_EarlyProb),2,0)</f>
        <v/>
      </c>
      <c r="AI255" s="54">
        <f>IF(AND(OR(T255="Open",T255="Won"),V255=0),2,0)</f>
        <v/>
      </c>
      <c r="AJ255" s="54">
        <f>IF(AND(T255="Won",Y255&gt;0.5,ISNUMBER(Z255),Z255&lt;EOMONTH(set_AsAt,-1)+1),3,0)</f>
        <v/>
      </c>
      <c r="AK255" s="54">
        <f>IF(AND(T255="Won",Y255&lt;-1),1,0)</f>
        <v/>
      </c>
      <c r="AL255" s="54">
        <f>SUM(AF255:AK255)</f>
        <v/>
      </c>
      <c r="AM255" s="9">
        <f>IF(AL255&gt;=set_ScoreHigh,"High",IF(AL255&gt;=set_ScoreMed,"Medium",IF(AL255&gt;0,"Low","OK")))</f>
        <v/>
      </c>
      <c r="AN255" s="54">
        <f>IF(OR(T255="Open",AND(T255="Won",ABS(Y255)&gt;0.5)),1,0)</f>
        <v/>
      </c>
      <c r="AO255" s="52">
        <f>IF(T255="Open",IF(V255=0,0,X255),IF(T255="Won",MAX(0,Y255),0))</f>
        <v/>
      </c>
      <c r="AP255" s="54">
        <f>IF(AN255=1,AL255*1E+9+U255+ROW()/1E+6,"")</f>
        <v/>
      </c>
      <c r="AQ255" s="9">
        <f>MID(IF(AF255&gt;0,"; Expected month passed - update Zoho","")&amp;IF(AG255&gt;0,"; "&amp;TEXT(U255/MAX(1,SUMIFS($U$2:$U$601,$T$2:$T$601,"Open")),"0%")&amp;" of open pipeline in one deal","")&amp;IF(AH255&gt;0,"; Large deal at an early stage","")&amp;IF(AI255&gt;0,"; No amount in Zoho","")&amp;IF(AJ255&gt;0,"; Won, invoice month passed, not fully invoiced","")&amp;IF(AK255&gt;0,"; Xero invoiced more than the deal value",""),3,300)</f>
        <v/>
      </c>
    </row>
    <row r="256">
      <c r="T256" s="9">
        <f>IFERROR(INDEX($A256:$R256,MATCH("Status",$A$1:$R$1,0)),"")&amp;""</f>
        <v/>
      </c>
      <c r="U256" s="52">
        <f>IFERROR(N(IFERROR(INDEX($A256:$R256,MATCH("Value Ex GST",$A$1:$R$1,0)),"")),0)</f>
        <v/>
      </c>
      <c r="V256" s="54">
        <f>IF(AND(T256&lt;&gt;"",IFERROR(INDEX($A256:$R256,MATCH("Value Ex GST",$A$1:$R$1,0)),"")&amp;""&lt;&gt;""),1,0)</f>
        <v/>
      </c>
      <c r="W256" s="56">
        <f>IFERROR(N(IFERROR(INDEX($A256:$R256,MATCH("Probability",$A$1:$R$1,0)),"")),0)</f>
        <v/>
      </c>
      <c r="X256" s="52">
        <f>IF(T256="Open",U256*W256,0)</f>
        <v/>
      </c>
      <c r="Y256" s="52">
        <f>IF(T256="Won",IFERROR(N(IFERROR(INDEX($A256:$R256,MATCH("Still to Invoice",$A$1:$R$1,0)),"")),0),0)</f>
        <v/>
      </c>
      <c r="Z256" s="55">
        <f>IFERROR(EOMONTH(IFERROR(INDEX($A256:$R256,MATCH("Expected Invoice Month",$A$1:$R$1,0)),""),0),"")</f>
        <v/>
      </c>
      <c r="AA256" s="9">
        <f>IFERROR(INDEX($A256:$R256,MATCH("Cost Centre",$A$1:$R$1,0)),"")&amp;""</f>
        <v/>
      </c>
      <c r="AB256" s="9">
        <f>IFERROR(INDEX($A256:$R256,MATCH("Pipeline Stage",$A$1:$R$1,0)),"")&amp;""</f>
        <v/>
      </c>
      <c r="AC256" s="9">
        <f>IFERROR(INDEX($A256:$R256,MATCH("Client",$A$1:$R$1,0)),"")&amp;""</f>
        <v/>
      </c>
      <c r="AD256" s="9">
        <f>IFERROR(INDEX($A256:$R256,MATCH("Description",$A$1:$R$1,0)),"")&amp;""</f>
        <v/>
      </c>
      <c r="AE256" s="9">
        <f>IFERROR(INDEX($A256:$R256,MATCH("Job Number",$A$1:$R$1,0)),"")&amp;""</f>
        <v/>
      </c>
      <c r="AF256" s="54">
        <f>IF(AND(T256="Open",ISNUMBER(Z256),Z256&lt;EOMONTH(set_AsAt,-1)+1),3,0)</f>
        <v/>
      </c>
      <c r="AG256" s="54">
        <f>IF(AND(T256="Open",U256&gt;0,U256&gt;=set_DealShare*SUMIFS($U$2:$U$601,$T$2:$T$601,"Open")),3,0)</f>
        <v/>
      </c>
      <c r="AH256" s="54">
        <f>IF(AND(T256="Open",U256&gt;=set_BigValue,W256&lt;=set_EarlyProb),2,0)</f>
        <v/>
      </c>
      <c r="AI256" s="54">
        <f>IF(AND(OR(T256="Open",T256="Won"),V256=0),2,0)</f>
        <v/>
      </c>
      <c r="AJ256" s="54">
        <f>IF(AND(T256="Won",Y256&gt;0.5,ISNUMBER(Z256),Z256&lt;EOMONTH(set_AsAt,-1)+1),3,0)</f>
        <v/>
      </c>
      <c r="AK256" s="54">
        <f>IF(AND(T256="Won",Y256&lt;-1),1,0)</f>
        <v/>
      </c>
      <c r="AL256" s="54">
        <f>SUM(AF256:AK256)</f>
        <v/>
      </c>
      <c r="AM256" s="9">
        <f>IF(AL256&gt;=set_ScoreHigh,"High",IF(AL256&gt;=set_ScoreMed,"Medium",IF(AL256&gt;0,"Low","OK")))</f>
        <v/>
      </c>
      <c r="AN256" s="54">
        <f>IF(OR(T256="Open",AND(T256="Won",ABS(Y256)&gt;0.5)),1,0)</f>
        <v/>
      </c>
      <c r="AO256" s="52">
        <f>IF(T256="Open",IF(V256=0,0,X256),IF(T256="Won",MAX(0,Y256),0))</f>
        <v/>
      </c>
      <c r="AP256" s="54">
        <f>IF(AN256=1,AL256*1E+9+U256+ROW()/1E+6,"")</f>
        <v/>
      </c>
      <c r="AQ256" s="9">
        <f>MID(IF(AF256&gt;0,"; Expected month passed - update Zoho","")&amp;IF(AG256&gt;0,"; "&amp;TEXT(U256/MAX(1,SUMIFS($U$2:$U$601,$T$2:$T$601,"Open")),"0%")&amp;" of open pipeline in one deal","")&amp;IF(AH256&gt;0,"; Large deal at an early stage","")&amp;IF(AI256&gt;0,"; No amount in Zoho","")&amp;IF(AJ256&gt;0,"; Won, invoice month passed, not fully invoiced","")&amp;IF(AK256&gt;0,"; Xero invoiced more than the deal value",""),3,300)</f>
        <v/>
      </c>
    </row>
    <row r="257">
      <c r="T257" s="9">
        <f>IFERROR(INDEX($A257:$R257,MATCH("Status",$A$1:$R$1,0)),"")&amp;""</f>
        <v/>
      </c>
      <c r="U257" s="52">
        <f>IFERROR(N(IFERROR(INDEX($A257:$R257,MATCH("Value Ex GST",$A$1:$R$1,0)),"")),0)</f>
        <v/>
      </c>
      <c r="V257" s="54">
        <f>IF(AND(T257&lt;&gt;"",IFERROR(INDEX($A257:$R257,MATCH("Value Ex GST",$A$1:$R$1,0)),"")&amp;""&lt;&gt;""),1,0)</f>
        <v/>
      </c>
      <c r="W257" s="56">
        <f>IFERROR(N(IFERROR(INDEX($A257:$R257,MATCH("Probability",$A$1:$R$1,0)),"")),0)</f>
        <v/>
      </c>
      <c r="X257" s="52">
        <f>IF(T257="Open",U257*W257,0)</f>
        <v/>
      </c>
      <c r="Y257" s="52">
        <f>IF(T257="Won",IFERROR(N(IFERROR(INDEX($A257:$R257,MATCH("Still to Invoice",$A$1:$R$1,0)),"")),0),0)</f>
        <v/>
      </c>
      <c r="Z257" s="55">
        <f>IFERROR(EOMONTH(IFERROR(INDEX($A257:$R257,MATCH("Expected Invoice Month",$A$1:$R$1,0)),""),0),"")</f>
        <v/>
      </c>
      <c r="AA257" s="9">
        <f>IFERROR(INDEX($A257:$R257,MATCH("Cost Centre",$A$1:$R$1,0)),"")&amp;""</f>
        <v/>
      </c>
      <c r="AB257" s="9">
        <f>IFERROR(INDEX($A257:$R257,MATCH("Pipeline Stage",$A$1:$R$1,0)),"")&amp;""</f>
        <v/>
      </c>
      <c r="AC257" s="9">
        <f>IFERROR(INDEX($A257:$R257,MATCH("Client",$A$1:$R$1,0)),"")&amp;""</f>
        <v/>
      </c>
      <c r="AD257" s="9">
        <f>IFERROR(INDEX($A257:$R257,MATCH("Description",$A$1:$R$1,0)),"")&amp;""</f>
        <v/>
      </c>
      <c r="AE257" s="9">
        <f>IFERROR(INDEX($A257:$R257,MATCH("Job Number",$A$1:$R$1,0)),"")&amp;""</f>
        <v/>
      </c>
      <c r="AF257" s="54">
        <f>IF(AND(T257="Open",ISNUMBER(Z257),Z257&lt;EOMONTH(set_AsAt,-1)+1),3,0)</f>
        <v/>
      </c>
      <c r="AG257" s="54">
        <f>IF(AND(T257="Open",U257&gt;0,U257&gt;=set_DealShare*SUMIFS($U$2:$U$601,$T$2:$T$601,"Open")),3,0)</f>
        <v/>
      </c>
      <c r="AH257" s="54">
        <f>IF(AND(T257="Open",U257&gt;=set_BigValue,W257&lt;=set_EarlyProb),2,0)</f>
        <v/>
      </c>
      <c r="AI257" s="54">
        <f>IF(AND(OR(T257="Open",T257="Won"),V257=0),2,0)</f>
        <v/>
      </c>
      <c r="AJ257" s="54">
        <f>IF(AND(T257="Won",Y257&gt;0.5,ISNUMBER(Z257),Z257&lt;EOMONTH(set_AsAt,-1)+1),3,0)</f>
        <v/>
      </c>
      <c r="AK257" s="54">
        <f>IF(AND(T257="Won",Y257&lt;-1),1,0)</f>
        <v/>
      </c>
      <c r="AL257" s="54">
        <f>SUM(AF257:AK257)</f>
        <v/>
      </c>
      <c r="AM257" s="9">
        <f>IF(AL257&gt;=set_ScoreHigh,"High",IF(AL257&gt;=set_ScoreMed,"Medium",IF(AL257&gt;0,"Low","OK")))</f>
        <v/>
      </c>
      <c r="AN257" s="54">
        <f>IF(OR(T257="Open",AND(T257="Won",ABS(Y257)&gt;0.5)),1,0)</f>
        <v/>
      </c>
      <c r="AO257" s="52">
        <f>IF(T257="Open",IF(V257=0,0,X257),IF(T257="Won",MAX(0,Y257),0))</f>
        <v/>
      </c>
      <c r="AP257" s="54">
        <f>IF(AN257=1,AL257*1E+9+U257+ROW()/1E+6,"")</f>
        <v/>
      </c>
      <c r="AQ257" s="9">
        <f>MID(IF(AF257&gt;0,"; Expected month passed - update Zoho","")&amp;IF(AG257&gt;0,"; "&amp;TEXT(U257/MAX(1,SUMIFS($U$2:$U$601,$T$2:$T$601,"Open")),"0%")&amp;" of open pipeline in one deal","")&amp;IF(AH257&gt;0,"; Large deal at an early stage","")&amp;IF(AI257&gt;0,"; No amount in Zoho","")&amp;IF(AJ257&gt;0,"; Won, invoice month passed, not fully invoiced","")&amp;IF(AK257&gt;0,"; Xero invoiced more than the deal value",""),3,300)</f>
        <v/>
      </c>
    </row>
    <row r="258">
      <c r="T258" s="9">
        <f>IFERROR(INDEX($A258:$R258,MATCH("Status",$A$1:$R$1,0)),"")&amp;""</f>
        <v/>
      </c>
      <c r="U258" s="52">
        <f>IFERROR(N(IFERROR(INDEX($A258:$R258,MATCH("Value Ex GST",$A$1:$R$1,0)),"")),0)</f>
        <v/>
      </c>
      <c r="V258" s="54">
        <f>IF(AND(T258&lt;&gt;"",IFERROR(INDEX($A258:$R258,MATCH("Value Ex GST",$A$1:$R$1,0)),"")&amp;""&lt;&gt;""),1,0)</f>
        <v/>
      </c>
      <c r="W258" s="56">
        <f>IFERROR(N(IFERROR(INDEX($A258:$R258,MATCH("Probability",$A$1:$R$1,0)),"")),0)</f>
        <v/>
      </c>
      <c r="X258" s="52">
        <f>IF(T258="Open",U258*W258,0)</f>
        <v/>
      </c>
      <c r="Y258" s="52">
        <f>IF(T258="Won",IFERROR(N(IFERROR(INDEX($A258:$R258,MATCH("Still to Invoice",$A$1:$R$1,0)),"")),0),0)</f>
        <v/>
      </c>
      <c r="Z258" s="55">
        <f>IFERROR(EOMONTH(IFERROR(INDEX($A258:$R258,MATCH("Expected Invoice Month",$A$1:$R$1,0)),""),0),"")</f>
        <v/>
      </c>
      <c r="AA258" s="9">
        <f>IFERROR(INDEX($A258:$R258,MATCH("Cost Centre",$A$1:$R$1,0)),"")&amp;""</f>
        <v/>
      </c>
      <c r="AB258" s="9">
        <f>IFERROR(INDEX($A258:$R258,MATCH("Pipeline Stage",$A$1:$R$1,0)),"")&amp;""</f>
        <v/>
      </c>
      <c r="AC258" s="9">
        <f>IFERROR(INDEX($A258:$R258,MATCH("Client",$A$1:$R$1,0)),"")&amp;""</f>
        <v/>
      </c>
      <c r="AD258" s="9">
        <f>IFERROR(INDEX($A258:$R258,MATCH("Description",$A$1:$R$1,0)),"")&amp;""</f>
        <v/>
      </c>
      <c r="AE258" s="9">
        <f>IFERROR(INDEX($A258:$R258,MATCH("Job Number",$A$1:$R$1,0)),"")&amp;""</f>
        <v/>
      </c>
      <c r="AF258" s="54">
        <f>IF(AND(T258="Open",ISNUMBER(Z258),Z258&lt;EOMONTH(set_AsAt,-1)+1),3,0)</f>
        <v/>
      </c>
      <c r="AG258" s="54">
        <f>IF(AND(T258="Open",U258&gt;0,U258&gt;=set_DealShare*SUMIFS($U$2:$U$601,$T$2:$T$601,"Open")),3,0)</f>
        <v/>
      </c>
      <c r="AH258" s="54">
        <f>IF(AND(T258="Open",U258&gt;=set_BigValue,W258&lt;=set_EarlyProb),2,0)</f>
        <v/>
      </c>
      <c r="AI258" s="54">
        <f>IF(AND(OR(T258="Open",T258="Won"),V258=0),2,0)</f>
        <v/>
      </c>
      <c r="AJ258" s="54">
        <f>IF(AND(T258="Won",Y258&gt;0.5,ISNUMBER(Z258),Z258&lt;EOMONTH(set_AsAt,-1)+1),3,0)</f>
        <v/>
      </c>
      <c r="AK258" s="54">
        <f>IF(AND(T258="Won",Y258&lt;-1),1,0)</f>
        <v/>
      </c>
      <c r="AL258" s="54">
        <f>SUM(AF258:AK258)</f>
        <v/>
      </c>
      <c r="AM258" s="9">
        <f>IF(AL258&gt;=set_ScoreHigh,"High",IF(AL258&gt;=set_ScoreMed,"Medium",IF(AL258&gt;0,"Low","OK")))</f>
        <v/>
      </c>
      <c r="AN258" s="54">
        <f>IF(OR(T258="Open",AND(T258="Won",ABS(Y258)&gt;0.5)),1,0)</f>
        <v/>
      </c>
      <c r="AO258" s="52">
        <f>IF(T258="Open",IF(V258=0,0,X258),IF(T258="Won",MAX(0,Y258),0))</f>
        <v/>
      </c>
      <c r="AP258" s="54">
        <f>IF(AN258=1,AL258*1E+9+U258+ROW()/1E+6,"")</f>
        <v/>
      </c>
      <c r="AQ258" s="9">
        <f>MID(IF(AF258&gt;0,"; Expected month passed - update Zoho","")&amp;IF(AG258&gt;0,"; "&amp;TEXT(U258/MAX(1,SUMIFS($U$2:$U$601,$T$2:$T$601,"Open")),"0%")&amp;" of open pipeline in one deal","")&amp;IF(AH258&gt;0,"; Large deal at an early stage","")&amp;IF(AI258&gt;0,"; No amount in Zoho","")&amp;IF(AJ258&gt;0,"; Won, invoice month passed, not fully invoiced","")&amp;IF(AK258&gt;0,"; Xero invoiced more than the deal value",""),3,300)</f>
        <v/>
      </c>
    </row>
    <row r="259">
      <c r="T259" s="9">
        <f>IFERROR(INDEX($A259:$R259,MATCH("Status",$A$1:$R$1,0)),"")&amp;""</f>
        <v/>
      </c>
      <c r="U259" s="52">
        <f>IFERROR(N(IFERROR(INDEX($A259:$R259,MATCH("Value Ex GST",$A$1:$R$1,0)),"")),0)</f>
        <v/>
      </c>
      <c r="V259" s="54">
        <f>IF(AND(T259&lt;&gt;"",IFERROR(INDEX($A259:$R259,MATCH("Value Ex GST",$A$1:$R$1,0)),"")&amp;""&lt;&gt;""),1,0)</f>
        <v/>
      </c>
      <c r="W259" s="56">
        <f>IFERROR(N(IFERROR(INDEX($A259:$R259,MATCH("Probability",$A$1:$R$1,0)),"")),0)</f>
        <v/>
      </c>
      <c r="X259" s="52">
        <f>IF(T259="Open",U259*W259,0)</f>
        <v/>
      </c>
      <c r="Y259" s="52">
        <f>IF(T259="Won",IFERROR(N(IFERROR(INDEX($A259:$R259,MATCH("Still to Invoice",$A$1:$R$1,0)),"")),0),0)</f>
        <v/>
      </c>
      <c r="Z259" s="55">
        <f>IFERROR(EOMONTH(IFERROR(INDEX($A259:$R259,MATCH("Expected Invoice Month",$A$1:$R$1,0)),""),0),"")</f>
        <v/>
      </c>
      <c r="AA259" s="9">
        <f>IFERROR(INDEX($A259:$R259,MATCH("Cost Centre",$A$1:$R$1,0)),"")&amp;""</f>
        <v/>
      </c>
      <c r="AB259" s="9">
        <f>IFERROR(INDEX($A259:$R259,MATCH("Pipeline Stage",$A$1:$R$1,0)),"")&amp;""</f>
        <v/>
      </c>
      <c r="AC259" s="9">
        <f>IFERROR(INDEX($A259:$R259,MATCH("Client",$A$1:$R$1,0)),"")&amp;""</f>
        <v/>
      </c>
      <c r="AD259" s="9">
        <f>IFERROR(INDEX($A259:$R259,MATCH("Description",$A$1:$R$1,0)),"")&amp;""</f>
        <v/>
      </c>
      <c r="AE259" s="9">
        <f>IFERROR(INDEX($A259:$R259,MATCH("Job Number",$A$1:$R$1,0)),"")&amp;""</f>
        <v/>
      </c>
      <c r="AF259" s="54">
        <f>IF(AND(T259="Open",ISNUMBER(Z259),Z259&lt;EOMONTH(set_AsAt,-1)+1),3,0)</f>
        <v/>
      </c>
      <c r="AG259" s="54">
        <f>IF(AND(T259="Open",U259&gt;0,U259&gt;=set_DealShare*SUMIFS($U$2:$U$601,$T$2:$T$601,"Open")),3,0)</f>
        <v/>
      </c>
      <c r="AH259" s="54">
        <f>IF(AND(T259="Open",U259&gt;=set_BigValue,W259&lt;=set_EarlyProb),2,0)</f>
        <v/>
      </c>
      <c r="AI259" s="54">
        <f>IF(AND(OR(T259="Open",T259="Won"),V259=0),2,0)</f>
        <v/>
      </c>
      <c r="AJ259" s="54">
        <f>IF(AND(T259="Won",Y259&gt;0.5,ISNUMBER(Z259),Z259&lt;EOMONTH(set_AsAt,-1)+1),3,0)</f>
        <v/>
      </c>
      <c r="AK259" s="54">
        <f>IF(AND(T259="Won",Y259&lt;-1),1,0)</f>
        <v/>
      </c>
      <c r="AL259" s="54">
        <f>SUM(AF259:AK259)</f>
        <v/>
      </c>
      <c r="AM259" s="9">
        <f>IF(AL259&gt;=set_ScoreHigh,"High",IF(AL259&gt;=set_ScoreMed,"Medium",IF(AL259&gt;0,"Low","OK")))</f>
        <v/>
      </c>
      <c r="AN259" s="54">
        <f>IF(OR(T259="Open",AND(T259="Won",ABS(Y259)&gt;0.5)),1,0)</f>
        <v/>
      </c>
      <c r="AO259" s="52">
        <f>IF(T259="Open",IF(V259=0,0,X259),IF(T259="Won",MAX(0,Y259),0))</f>
        <v/>
      </c>
      <c r="AP259" s="54">
        <f>IF(AN259=1,AL259*1E+9+U259+ROW()/1E+6,"")</f>
        <v/>
      </c>
      <c r="AQ259" s="9">
        <f>MID(IF(AF259&gt;0,"; Expected month passed - update Zoho","")&amp;IF(AG259&gt;0,"; "&amp;TEXT(U259/MAX(1,SUMIFS($U$2:$U$601,$T$2:$T$601,"Open")),"0%")&amp;" of open pipeline in one deal","")&amp;IF(AH259&gt;0,"; Large deal at an early stage","")&amp;IF(AI259&gt;0,"; No amount in Zoho","")&amp;IF(AJ259&gt;0,"; Won, invoice month passed, not fully invoiced","")&amp;IF(AK259&gt;0,"; Xero invoiced more than the deal value",""),3,300)</f>
        <v/>
      </c>
    </row>
    <row r="260">
      <c r="T260" s="9">
        <f>IFERROR(INDEX($A260:$R260,MATCH("Status",$A$1:$R$1,0)),"")&amp;""</f>
        <v/>
      </c>
      <c r="U260" s="52">
        <f>IFERROR(N(IFERROR(INDEX($A260:$R260,MATCH("Value Ex GST",$A$1:$R$1,0)),"")),0)</f>
        <v/>
      </c>
      <c r="V260" s="54">
        <f>IF(AND(T260&lt;&gt;"",IFERROR(INDEX($A260:$R260,MATCH("Value Ex GST",$A$1:$R$1,0)),"")&amp;""&lt;&gt;""),1,0)</f>
        <v/>
      </c>
      <c r="W260" s="56">
        <f>IFERROR(N(IFERROR(INDEX($A260:$R260,MATCH("Probability",$A$1:$R$1,0)),"")),0)</f>
        <v/>
      </c>
      <c r="X260" s="52">
        <f>IF(T260="Open",U260*W260,0)</f>
        <v/>
      </c>
      <c r="Y260" s="52">
        <f>IF(T260="Won",IFERROR(N(IFERROR(INDEX($A260:$R260,MATCH("Still to Invoice",$A$1:$R$1,0)),"")),0),0)</f>
        <v/>
      </c>
      <c r="Z260" s="55">
        <f>IFERROR(EOMONTH(IFERROR(INDEX($A260:$R260,MATCH("Expected Invoice Month",$A$1:$R$1,0)),""),0),"")</f>
        <v/>
      </c>
      <c r="AA260" s="9">
        <f>IFERROR(INDEX($A260:$R260,MATCH("Cost Centre",$A$1:$R$1,0)),"")&amp;""</f>
        <v/>
      </c>
      <c r="AB260" s="9">
        <f>IFERROR(INDEX($A260:$R260,MATCH("Pipeline Stage",$A$1:$R$1,0)),"")&amp;""</f>
        <v/>
      </c>
      <c r="AC260" s="9">
        <f>IFERROR(INDEX($A260:$R260,MATCH("Client",$A$1:$R$1,0)),"")&amp;""</f>
        <v/>
      </c>
      <c r="AD260" s="9">
        <f>IFERROR(INDEX($A260:$R260,MATCH("Description",$A$1:$R$1,0)),"")&amp;""</f>
        <v/>
      </c>
      <c r="AE260" s="9">
        <f>IFERROR(INDEX($A260:$R260,MATCH("Job Number",$A$1:$R$1,0)),"")&amp;""</f>
        <v/>
      </c>
      <c r="AF260" s="54">
        <f>IF(AND(T260="Open",ISNUMBER(Z260),Z260&lt;EOMONTH(set_AsAt,-1)+1),3,0)</f>
        <v/>
      </c>
      <c r="AG260" s="54">
        <f>IF(AND(T260="Open",U260&gt;0,U260&gt;=set_DealShare*SUMIFS($U$2:$U$601,$T$2:$T$601,"Open")),3,0)</f>
        <v/>
      </c>
      <c r="AH260" s="54">
        <f>IF(AND(T260="Open",U260&gt;=set_BigValue,W260&lt;=set_EarlyProb),2,0)</f>
        <v/>
      </c>
      <c r="AI260" s="54">
        <f>IF(AND(OR(T260="Open",T260="Won"),V260=0),2,0)</f>
        <v/>
      </c>
      <c r="AJ260" s="54">
        <f>IF(AND(T260="Won",Y260&gt;0.5,ISNUMBER(Z260),Z260&lt;EOMONTH(set_AsAt,-1)+1),3,0)</f>
        <v/>
      </c>
      <c r="AK260" s="54">
        <f>IF(AND(T260="Won",Y260&lt;-1),1,0)</f>
        <v/>
      </c>
      <c r="AL260" s="54">
        <f>SUM(AF260:AK260)</f>
        <v/>
      </c>
      <c r="AM260" s="9">
        <f>IF(AL260&gt;=set_ScoreHigh,"High",IF(AL260&gt;=set_ScoreMed,"Medium",IF(AL260&gt;0,"Low","OK")))</f>
        <v/>
      </c>
      <c r="AN260" s="54">
        <f>IF(OR(T260="Open",AND(T260="Won",ABS(Y260)&gt;0.5)),1,0)</f>
        <v/>
      </c>
      <c r="AO260" s="52">
        <f>IF(T260="Open",IF(V260=0,0,X260),IF(T260="Won",MAX(0,Y260),0))</f>
        <v/>
      </c>
      <c r="AP260" s="54">
        <f>IF(AN260=1,AL260*1E+9+U260+ROW()/1E+6,"")</f>
        <v/>
      </c>
      <c r="AQ260" s="9">
        <f>MID(IF(AF260&gt;0,"; Expected month passed - update Zoho","")&amp;IF(AG260&gt;0,"; "&amp;TEXT(U260/MAX(1,SUMIFS($U$2:$U$601,$T$2:$T$601,"Open")),"0%")&amp;" of open pipeline in one deal","")&amp;IF(AH260&gt;0,"; Large deal at an early stage","")&amp;IF(AI260&gt;0,"; No amount in Zoho","")&amp;IF(AJ260&gt;0,"; Won, invoice month passed, not fully invoiced","")&amp;IF(AK260&gt;0,"; Xero invoiced more than the deal value",""),3,300)</f>
        <v/>
      </c>
    </row>
    <row r="261">
      <c r="T261" s="9">
        <f>IFERROR(INDEX($A261:$R261,MATCH("Status",$A$1:$R$1,0)),"")&amp;""</f>
        <v/>
      </c>
      <c r="U261" s="52">
        <f>IFERROR(N(IFERROR(INDEX($A261:$R261,MATCH("Value Ex GST",$A$1:$R$1,0)),"")),0)</f>
        <v/>
      </c>
      <c r="V261" s="54">
        <f>IF(AND(T261&lt;&gt;"",IFERROR(INDEX($A261:$R261,MATCH("Value Ex GST",$A$1:$R$1,0)),"")&amp;""&lt;&gt;""),1,0)</f>
        <v/>
      </c>
      <c r="W261" s="56">
        <f>IFERROR(N(IFERROR(INDEX($A261:$R261,MATCH("Probability",$A$1:$R$1,0)),"")),0)</f>
        <v/>
      </c>
      <c r="X261" s="52">
        <f>IF(T261="Open",U261*W261,0)</f>
        <v/>
      </c>
      <c r="Y261" s="52">
        <f>IF(T261="Won",IFERROR(N(IFERROR(INDEX($A261:$R261,MATCH("Still to Invoice",$A$1:$R$1,0)),"")),0),0)</f>
        <v/>
      </c>
      <c r="Z261" s="55">
        <f>IFERROR(EOMONTH(IFERROR(INDEX($A261:$R261,MATCH("Expected Invoice Month",$A$1:$R$1,0)),""),0),"")</f>
        <v/>
      </c>
      <c r="AA261" s="9">
        <f>IFERROR(INDEX($A261:$R261,MATCH("Cost Centre",$A$1:$R$1,0)),"")&amp;""</f>
        <v/>
      </c>
      <c r="AB261" s="9">
        <f>IFERROR(INDEX($A261:$R261,MATCH("Pipeline Stage",$A$1:$R$1,0)),"")&amp;""</f>
        <v/>
      </c>
      <c r="AC261" s="9">
        <f>IFERROR(INDEX($A261:$R261,MATCH("Client",$A$1:$R$1,0)),"")&amp;""</f>
        <v/>
      </c>
      <c r="AD261" s="9">
        <f>IFERROR(INDEX($A261:$R261,MATCH("Description",$A$1:$R$1,0)),"")&amp;""</f>
        <v/>
      </c>
      <c r="AE261" s="9">
        <f>IFERROR(INDEX($A261:$R261,MATCH("Job Number",$A$1:$R$1,0)),"")&amp;""</f>
        <v/>
      </c>
      <c r="AF261" s="54">
        <f>IF(AND(T261="Open",ISNUMBER(Z261),Z261&lt;EOMONTH(set_AsAt,-1)+1),3,0)</f>
        <v/>
      </c>
      <c r="AG261" s="54">
        <f>IF(AND(T261="Open",U261&gt;0,U261&gt;=set_DealShare*SUMIFS($U$2:$U$601,$T$2:$T$601,"Open")),3,0)</f>
        <v/>
      </c>
      <c r="AH261" s="54">
        <f>IF(AND(T261="Open",U261&gt;=set_BigValue,W261&lt;=set_EarlyProb),2,0)</f>
        <v/>
      </c>
      <c r="AI261" s="54">
        <f>IF(AND(OR(T261="Open",T261="Won"),V261=0),2,0)</f>
        <v/>
      </c>
      <c r="AJ261" s="54">
        <f>IF(AND(T261="Won",Y261&gt;0.5,ISNUMBER(Z261),Z261&lt;EOMONTH(set_AsAt,-1)+1),3,0)</f>
        <v/>
      </c>
      <c r="AK261" s="54">
        <f>IF(AND(T261="Won",Y261&lt;-1),1,0)</f>
        <v/>
      </c>
      <c r="AL261" s="54">
        <f>SUM(AF261:AK261)</f>
        <v/>
      </c>
      <c r="AM261" s="9">
        <f>IF(AL261&gt;=set_ScoreHigh,"High",IF(AL261&gt;=set_ScoreMed,"Medium",IF(AL261&gt;0,"Low","OK")))</f>
        <v/>
      </c>
      <c r="AN261" s="54">
        <f>IF(OR(T261="Open",AND(T261="Won",ABS(Y261)&gt;0.5)),1,0)</f>
        <v/>
      </c>
      <c r="AO261" s="52">
        <f>IF(T261="Open",IF(V261=0,0,X261),IF(T261="Won",MAX(0,Y261),0))</f>
        <v/>
      </c>
      <c r="AP261" s="54">
        <f>IF(AN261=1,AL261*1E+9+U261+ROW()/1E+6,"")</f>
        <v/>
      </c>
      <c r="AQ261" s="9">
        <f>MID(IF(AF261&gt;0,"; Expected month passed - update Zoho","")&amp;IF(AG261&gt;0,"; "&amp;TEXT(U261/MAX(1,SUMIFS($U$2:$U$601,$T$2:$T$601,"Open")),"0%")&amp;" of open pipeline in one deal","")&amp;IF(AH261&gt;0,"; Large deal at an early stage","")&amp;IF(AI261&gt;0,"; No amount in Zoho","")&amp;IF(AJ261&gt;0,"; Won, invoice month passed, not fully invoiced","")&amp;IF(AK261&gt;0,"; Xero invoiced more than the deal value",""),3,300)</f>
        <v/>
      </c>
    </row>
    <row r="262">
      <c r="T262" s="9">
        <f>IFERROR(INDEX($A262:$R262,MATCH("Status",$A$1:$R$1,0)),"")&amp;""</f>
        <v/>
      </c>
      <c r="U262" s="52">
        <f>IFERROR(N(IFERROR(INDEX($A262:$R262,MATCH("Value Ex GST",$A$1:$R$1,0)),"")),0)</f>
        <v/>
      </c>
      <c r="V262" s="54">
        <f>IF(AND(T262&lt;&gt;"",IFERROR(INDEX($A262:$R262,MATCH("Value Ex GST",$A$1:$R$1,0)),"")&amp;""&lt;&gt;""),1,0)</f>
        <v/>
      </c>
      <c r="W262" s="56">
        <f>IFERROR(N(IFERROR(INDEX($A262:$R262,MATCH("Probability",$A$1:$R$1,0)),"")),0)</f>
        <v/>
      </c>
      <c r="X262" s="52">
        <f>IF(T262="Open",U262*W262,0)</f>
        <v/>
      </c>
      <c r="Y262" s="52">
        <f>IF(T262="Won",IFERROR(N(IFERROR(INDEX($A262:$R262,MATCH("Still to Invoice",$A$1:$R$1,0)),"")),0),0)</f>
        <v/>
      </c>
      <c r="Z262" s="55">
        <f>IFERROR(EOMONTH(IFERROR(INDEX($A262:$R262,MATCH("Expected Invoice Month",$A$1:$R$1,0)),""),0),"")</f>
        <v/>
      </c>
      <c r="AA262" s="9">
        <f>IFERROR(INDEX($A262:$R262,MATCH("Cost Centre",$A$1:$R$1,0)),"")&amp;""</f>
        <v/>
      </c>
      <c r="AB262" s="9">
        <f>IFERROR(INDEX($A262:$R262,MATCH("Pipeline Stage",$A$1:$R$1,0)),"")&amp;""</f>
        <v/>
      </c>
      <c r="AC262" s="9">
        <f>IFERROR(INDEX($A262:$R262,MATCH("Client",$A$1:$R$1,0)),"")&amp;""</f>
        <v/>
      </c>
      <c r="AD262" s="9">
        <f>IFERROR(INDEX($A262:$R262,MATCH("Description",$A$1:$R$1,0)),"")&amp;""</f>
        <v/>
      </c>
      <c r="AE262" s="9">
        <f>IFERROR(INDEX($A262:$R262,MATCH("Job Number",$A$1:$R$1,0)),"")&amp;""</f>
        <v/>
      </c>
      <c r="AF262" s="54">
        <f>IF(AND(T262="Open",ISNUMBER(Z262),Z262&lt;EOMONTH(set_AsAt,-1)+1),3,0)</f>
        <v/>
      </c>
      <c r="AG262" s="54">
        <f>IF(AND(T262="Open",U262&gt;0,U262&gt;=set_DealShare*SUMIFS($U$2:$U$601,$T$2:$T$601,"Open")),3,0)</f>
        <v/>
      </c>
      <c r="AH262" s="54">
        <f>IF(AND(T262="Open",U262&gt;=set_BigValue,W262&lt;=set_EarlyProb),2,0)</f>
        <v/>
      </c>
      <c r="AI262" s="54">
        <f>IF(AND(OR(T262="Open",T262="Won"),V262=0),2,0)</f>
        <v/>
      </c>
      <c r="AJ262" s="54">
        <f>IF(AND(T262="Won",Y262&gt;0.5,ISNUMBER(Z262),Z262&lt;EOMONTH(set_AsAt,-1)+1),3,0)</f>
        <v/>
      </c>
      <c r="AK262" s="54">
        <f>IF(AND(T262="Won",Y262&lt;-1),1,0)</f>
        <v/>
      </c>
      <c r="AL262" s="54">
        <f>SUM(AF262:AK262)</f>
        <v/>
      </c>
      <c r="AM262" s="9">
        <f>IF(AL262&gt;=set_ScoreHigh,"High",IF(AL262&gt;=set_ScoreMed,"Medium",IF(AL262&gt;0,"Low","OK")))</f>
        <v/>
      </c>
      <c r="AN262" s="54">
        <f>IF(OR(T262="Open",AND(T262="Won",ABS(Y262)&gt;0.5)),1,0)</f>
        <v/>
      </c>
      <c r="AO262" s="52">
        <f>IF(T262="Open",IF(V262=0,0,X262),IF(T262="Won",MAX(0,Y262),0))</f>
        <v/>
      </c>
      <c r="AP262" s="54">
        <f>IF(AN262=1,AL262*1E+9+U262+ROW()/1E+6,"")</f>
        <v/>
      </c>
      <c r="AQ262" s="9">
        <f>MID(IF(AF262&gt;0,"; Expected month passed - update Zoho","")&amp;IF(AG262&gt;0,"; "&amp;TEXT(U262/MAX(1,SUMIFS($U$2:$U$601,$T$2:$T$601,"Open")),"0%")&amp;" of open pipeline in one deal","")&amp;IF(AH262&gt;0,"; Large deal at an early stage","")&amp;IF(AI262&gt;0,"; No amount in Zoho","")&amp;IF(AJ262&gt;0,"; Won, invoice month passed, not fully invoiced","")&amp;IF(AK262&gt;0,"; Xero invoiced more than the deal value",""),3,300)</f>
        <v/>
      </c>
    </row>
    <row r="263">
      <c r="T263" s="9">
        <f>IFERROR(INDEX($A263:$R263,MATCH("Status",$A$1:$R$1,0)),"")&amp;""</f>
        <v/>
      </c>
      <c r="U263" s="52">
        <f>IFERROR(N(IFERROR(INDEX($A263:$R263,MATCH("Value Ex GST",$A$1:$R$1,0)),"")),0)</f>
        <v/>
      </c>
      <c r="V263" s="54">
        <f>IF(AND(T263&lt;&gt;"",IFERROR(INDEX($A263:$R263,MATCH("Value Ex GST",$A$1:$R$1,0)),"")&amp;""&lt;&gt;""),1,0)</f>
        <v/>
      </c>
      <c r="W263" s="56">
        <f>IFERROR(N(IFERROR(INDEX($A263:$R263,MATCH("Probability",$A$1:$R$1,0)),"")),0)</f>
        <v/>
      </c>
      <c r="X263" s="52">
        <f>IF(T263="Open",U263*W263,0)</f>
        <v/>
      </c>
      <c r="Y263" s="52">
        <f>IF(T263="Won",IFERROR(N(IFERROR(INDEX($A263:$R263,MATCH("Still to Invoice",$A$1:$R$1,0)),"")),0),0)</f>
        <v/>
      </c>
      <c r="Z263" s="55">
        <f>IFERROR(EOMONTH(IFERROR(INDEX($A263:$R263,MATCH("Expected Invoice Month",$A$1:$R$1,0)),""),0),"")</f>
        <v/>
      </c>
      <c r="AA263" s="9">
        <f>IFERROR(INDEX($A263:$R263,MATCH("Cost Centre",$A$1:$R$1,0)),"")&amp;""</f>
        <v/>
      </c>
      <c r="AB263" s="9">
        <f>IFERROR(INDEX($A263:$R263,MATCH("Pipeline Stage",$A$1:$R$1,0)),"")&amp;""</f>
        <v/>
      </c>
      <c r="AC263" s="9">
        <f>IFERROR(INDEX($A263:$R263,MATCH("Client",$A$1:$R$1,0)),"")&amp;""</f>
        <v/>
      </c>
      <c r="AD263" s="9">
        <f>IFERROR(INDEX($A263:$R263,MATCH("Description",$A$1:$R$1,0)),"")&amp;""</f>
        <v/>
      </c>
      <c r="AE263" s="9">
        <f>IFERROR(INDEX($A263:$R263,MATCH("Job Number",$A$1:$R$1,0)),"")&amp;""</f>
        <v/>
      </c>
      <c r="AF263" s="54">
        <f>IF(AND(T263="Open",ISNUMBER(Z263),Z263&lt;EOMONTH(set_AsAt,-1)+1),3,0)</f>
        <v/>
      </c>
      <c r="AG263" s="54">
        <f>IF(AND(T263="Open",U263&gt;0,U263&gt;=set_DealShare*SUMIFS($U$2:$U$601,$T$2:$T$601,"Open")),3,0)</f>
        <v/>
      </c>
      <c r="AH263" s="54">
        <f>IF(AND(T263="Open",U263&gt;=set_BigValue,W263&lt;=set_EarlyProb),2,0)</f>
        <v/>
      </c>
      <c r="AI263" s="54">
        <f>IF(AND(OR(T263="Open",T263="Won"),V263=0),2,0)</f>
        <v/>
      </c>
      <c r="AJ263" s="54">
        <f>IF(AND(T263="Won",Y263&gt;0.5,ISNUMBER(Z263),Z263&lt;EOMONTH(set_AsAt,-1)+1),3,0)</f>
        <v/>
      </c>
      <c r="AK263" s="54">
        <f>IF(AND(T263="Won",Y263&lt;-1),1,0)</f>
        <v/>
      </c>
      <c r="AL263" s="54">
        <f>SUM(AF263:AK263)</f>
        <v/>
      </c>
      <c r="AM263" s="9">
        <f>IF(AL263&gt;=set_ScoreHigh,"High",IF(AL263&gt;=set_ScoreMed,"Medium",IF(AL263&gt;0,"Low","OK")))</f>
        <v/>
      </c>
      <c r="AN263" s="54">
        <f>IF(OR(T263="Open",AND(T263="Won",ABS(Y263)&gt;0.5)),1,0)</f>
        <v/>
      </c>
      <c r="AO263" s="52">
        <f>IF(T263="Open",IF(V263=0,0,X263),IF(T263="Won",MAX(0,Y263),0))</f>
        <v/>
      </c>
      <c r="AP263" s="54">
        <f>IF(AN263=1,AL263*1E+9+U263+ROW()/1E+6,"")</f>
        <v/>
      </c>
      <c r="AQ263" s="9">
        <f>MID(IF(AF263&gt;0,"; Expected month passed - update Zoho","")&amp;IF(AG263&gt;0,"; "&amp;TEXT(U263/MAX(1,SUMIFS($U$2:$U$601,$T$2:$T$601,"Open")),"0%")&amp;" of open pipeline in one deal","")&amp;IF(AH263&gt;0,"; Large deal at an early stage","")&amp;IF(AI263&gt;0,"; No amount in Zoho","")&amp;IF(AJ263&gt;0,"; Won, invoice month passed, not fully invoiced","")&amp;IF(AK263&gt;0,"; Xero invoiced more than the deal value",""),3,300)</f>
        <v/>
      </c>
    </row>
    <row r="264">
      <c r="T264" s="9">
        <f>IFERROR(INDEX($A264:$R264,MATCH("Status",$A$1:$R$1,0)),"")&amp;""</f>
        <v/>
      </c>
      <c r="U264" s="52">
        <f>IFERROR(N(IFERROR(INDEX($A264:$R264,MATCH("Value Ex GST",$A$1:$R$1,0)),"")),0)</f>
        <v/>
      </c>
      <c r="V264" s="54">
        <f>IF(AND(T264&lt;&gt;"",IFERROR(INDEX($A264:$R264,MATCH("Value Ex GST",$A$1:$R$1,0)),"")&amp;""&lt;&gt;""),1,0)</f>
        <v/>
      </c>
      <c r="W264" s="56">
        <f>IFERROR(N(IFERROR(INDEX($A264:$R264,MATCH("Probability",$A$1:$R$1,0)),"")),0)</f>
        <v/>
      </c>
      <c r="X264" s="52">
        <f>IF(T264="Open",U264*W264,0)</f>
        <v/>
      </c>
      <c r="Y264" s="52">
        <f>IF(T264="Won",IFERROR(N(IFERROR(INDEX($A264:$R264,MATCH("Still to Invoice",$A$1:$R$1,0)),"")),0),0)</f>
        <v/>
      </c>
      <c r="Z264" s="55">
        <f>IFERROR(EOMONTH(IFERROR(INDEX($A264:$R264,MATCH("Expected Invoice Month",$A$1:$R$1,0)),""),0),"")</f>
        <v/>
      </c>
      <c r="AA264" s="9">
        <f>IFERROR(INDEX($A264:$R264,MATCH("Cost Centre",$A$1:$R$1,0)),"")&amp;""</f>
        <v/>
      </c>
      <c r="AB264" s="9">
        <f>IFERROR(INDEX($A264:$R264,MATCH("Pipeline Stage",$A$1:$R$1,0)),"")&amp;""</f>
        <v/>
      </c>
      <c r="AC264" s="9">
        <f>IFERROR(INDEX($A264:$R264,MATCH("Client",$A$1:$R$1,0)),"")&amp;""</f>
        <v/>
      </c>
      <c r="AD264" s="9">
        <f>IFERROR(INDEX($A264:$R264,MATCH("Description",$A$1:$R$1,0)),"")&amp;""</f>
        <v/>
      </c>
      <c r="AE264" s="9">
        <f>IFERROR(INDEX($A264:$R264,MATCH("Job Number",$A$1:$R$1,0)),"")&amp;""</f>
        <v/>
      </c>
      <c r="AF264" s="54">
        <f>IF(AND(T264="Open",ISNUMBER(Z264),Z264&lt;EOMONTH(set_AsAt,-1)+1),3,0)</f>
        <v/>
      </c>
      <c r="AG264" s="54">
        <f>IF(AND(T264="Open",U264&gt;0,U264&gt;=set_DealShare*SUMIFS($U$2:$U$601,$T$2:$T$601,"Open")),3,0)</f>
        <v/>
      </c>
      <c r="AH264" s="54">
        <f>IF(AND(T264="Open",U264&gt;=set_BigValue,W264&lt;=set_EarlyProb),2,0)</f>
        <v/>
      </c>
      <c r="AI264" s="54">
        <f>IF(AND(OR(T264="Open",T264="Won"),V264=0),2,0)</f>
        <v/>
      </c>
      <c r="AJ264" s="54">
        <f>IF(AND(T264="Won",Y264&gt;0.5,ISNUMBER(Z264),Z264&lt;EOMONTH(set_AsAt,-1)+1),3,0)</f>
        <v/>
      </c>
      <c r="AK264" s="54">
        <f>IF(AND(T264="Won",Y264&lt;-1),1,0)</f>
        <v/>
      </c>
      <c r="AL264" s="54">
        <f>SUM(AF264:AK264)</f>
        <v/>
      </c>
      <c r="AM264" s="9">
        <f>IF(AL264&gt;=set_ScoreHigh,"High",IF(AL264&gt;=set_ScoreMed,"Medium",IF(AL264&gt;0,"Low","OK")))</f>
        <v/>
      </c>
      <c r="AN264" s="54">
        <f>IF(OR(T264="Open",AND(T264="Won",ABS(Y264)&gt;0.5)),1,0)</f>
        <v/>
      </c>
      <c r="AO264" s="52">
        <f>IF(T264="Open",IF(V264=0,0,X264),IF(T264="Won",MAX(0,Y264),0))</f>
        <v/>
      </c>
      <c r="AP264" s="54">
        <f>IF(AN264=1,AL264*1E+9+U264+ROW()/1E+6,"")</f>
        <v/>
      </c>
      <c r="AQ264" s="9">
        <f>MID(IF(AF264&gt;0,"; Expected month passed - update Zoho","")&amp;IF(AG264&gt;0,"; "&amp;TEXT(U264/MAX(1,SUMIFS($U$2:$U$601,$T$2:$T$601,"Open")),"0%")&amp;" of open pipeline in one deal","")&amp;IF(AH264&gt;0,"; Large deal at an early stage","")&amp;IF(AI264&gt;0,"; No amount in Zoho","")&amp;IF(AJ264&gt;0,"; Won, invoice month passed, not fully invoiced","")&amp;IF(AK264&gt;0,"; Xero invoiced more than the deal value",""),3,300)</f>
        <v/>
      </c>
    </row>
    <row r="265">
      <c r="T265" s="9">
        <f>IFERROR(INDEX($A265:$R265,MATCH("Status",$A$1:$R$1,0)),"")&amp;""</f>
        <v/>
      </c>
      <c r="U265" s="52">
        <f>IFERROR(N(IFERROR(INDEX($A265:$R265,MATCH("Value Ex GST",$A$1:$R$1,0)),"")),0)</f>
        <v/>
      </c>
      <c r="V265" s="54">
        <f>IF(AND(T265&lt;&gt;"",IFERROR(INDEX($A265:$R265,MATCH("Value Ex GST",$A$1:$R$1,0)),"")&amp;""&lt;&gt;""),1,0)</f>
        <v/>
      </c>
      <c r="W265" s="56">
        <f>IFERROR(N(IFERROR(INDEX($A265:$R265,MATCH("Probability",$A$1:$R$1,0)),"")),0)</f>
        <v/>
      </c>
      <c r="X265" s="52">
        <f>IF(T265="Open",U265*W265,0)</f>
        <v/>
      </c>
      <c r="Y265" s="52">
        <f>IF(T265="Won",IFERROR(N(IFERROR(INDEX($A265:$R265,MATCH("Still to Invoice",$A$1:$R$1,0)),"")),0),0)</f>
        <v/>
      </c>
      <c r="Z265" s="55">
        <f>IFERROR(EOMONTH(IFERROR(INDEX($A265:$R265,MATCH("Expected Invoice Month",$A$1:$R$1,0)),""),0),"")</f>
        <v/>
      </c>
      <c r="AA265" s="9">
        <f>IFERROR(INDEX($A265:$R265,MATCH("Cost Centre",$A$1:$R$1,0)),"")&amp;""</f>
        <v/>
      </c>
      <c r="AB265" s="9">
        <f>IFERROR(INDEX($A265:$R265,MATCH("Pipeline Stage",$A$1:$R$1,0)),"")&amp;""</f>
        <v/>
      </c>
      <c r="AC265" s="9">
        <f>IFERROR(INDEX($A265:$R265,MATCH("Client",$A$1:$R$1,0)),"")&amp;""</f>
        <v/>
      </c>
      <c r="AD265" s="9">
        <f>IFERROR(INDEX($A265:$R265,MATCH("Description",$A$1:$R$1,0)),"")&amp;""</f>
        <v/>
      </c>
      <c r="AE265" s="9">
        <f>IFERROR(INDEX($A265:$R265,MATCH("Job Number",$A$1:$R$1,0)),"")&amp;""</f>
        <v/>
      </c>
      <c r="AF265" s="54">
        <f>IF(AND(T265="Open",ISNUMBER(Z265),Z265&lt;EOMONTH(set_AsAt,-1)+1),3,0)</f>
        <v/>
      </c>
      <c r="AG265" s="54">
        <f>IF(AND(T265="Open",U265&gt;0,U265&gt;=set_DealShare*SUMIFS($U$2:$U$601,$T$2:$T$601,"Open")),3,0)</f>
        <v/>
      </c>
      <c r="AH265" s="54">
        <f>IF(AND(T265="Open",U265&gt;=set_BigValue,W265&lt;=set_EarlyProb),2,0)</f>
        <v/>
      </c>
      <c r="AI265" s="54">
        <f>IF(AND(OR(T265="Open",T265="Won"),V265=0),2,0)</f>
        <v/>
      </c>
      <c r="AJ265" s="54">
        <f>IF(AND(T265="Won",Y265&gt;0.5,ISNUMBER(Z265),Z265&lt;EOMONTH(set_AsAt,-1)+1),3,0)</f>
        <v/>
      </c>
      <c r="AK265" s="54">
        <f>IF(AND(T265="Won",Y265&lt;-1),1,0)</f>
        <v/>
      </c>
      <c r="AL265" s="54">
        <f>SUM(AF265:AK265)</f>
        <v/>
      </c>
      <c r="AM265" s="9">
        <f>IF(AL265&gt;=set_ScoreHigh,"High",IF(AL265&gt;=set_ScoreMed,"Medium",IF(AL265&gt;0,"Low","OK")))</f>
        <v/>
      </c>
      <c r="AN265" s="54">
        <f>IF(OR(T265="Open",AND(T265="Won",ABS(Y265)&gt;0.5)),1,0)</f>
        <v/>
      </c>
      <c r="AO265" s="52">
        <f>IF(T265="Open",IF(V265=0,0,X265),IF(T265="Won",MAX(0,Y265),0))</f>
        <v/>
      </c>
      <c r="AP265" s="54">
        <f>IF(AN265=1,AL265*1E+9+U265+ROW()/1E+6,"")</f>
        <v/>
      </c>
      <c r="AQ265" s="9">
        <f>MID(IF(AF265&gt;0,"; Expected month passed - update Zoho","")&amp;IF(AG265&gt;0,"; "&amp;TEXT(U265/MAX(1,SUMIFS($U$2:$U$601,$T$2:$T$601,"Open")),"0%")&amp;" of open pipeline in one deal","")&amp;IF(AH265&gt;0,"; Large deal at an early stage","")&amp;IF(AI265&gt;0,"; No amount in Zoho","")&amp;IF(AJ265&gt;0,"; Won, invoice month passed, not fully invoiced","")&amp;IF(AK265&gt;0,"; Xero invoiced more than the deal value",""),3,300)</f>
        <v/>
      </c>
    </row>
    <row r="266">
      <c r="T266" s="9">
        <f>IFERROR(INDEX($A266:$R266,MATCH("Status",$A$1:$R$1,0)),"")&amp;""</f>
        <v/>
      </c>
      <c r="U266" s="52">
        <f>IFERROR(N(IFERROR(INDEX($A266:$R266,MATCH("Value Ex GST",$A$1:$R$1,0)),"")),0)</f>
        <v/>
      </c>
      <c r="V266" s="54">
        <f>IF(AND(T266&lt;&gt;"",IFERROR(INDEX($A266:$R266,MATCH("Value Ex GST",$A$1:$R$1,0)),"")&amp;""&lt;&gt;""),1,0)</f>
        <v/>
      </c>
      <c r="W266" s="56">
        <f>IFERROR(N(IFERROR(INDEX($A266:$R266,MATCH("Probability",$A$1:$R$1,0)),"")),0)</f>
        <v/>
      </c>
      <c r="X266" s="52">
        <f>IF(T266="Open",U266*W266,0)</f>
        <v/>
      </c>
      <c r="Y266" s="52">
        <f>IF(T266="Won",IFERROR(N(IFERROR(INDEX($A266:$R266,MATCH("Still to Invoice",$A$1:$R$1,0)),"")),0),0)</f>
        <v/>
      </c>
      <c r="Z266" s="55">
        <f>IFERROR(EOMONTH(IFERROR(INDEX($A266:$R266,MATCH("Expected Invoice Month",$A$1:$R$1,0)),""),0),"")</f>
        <v/>
      </c>
      <c r="AA266" s="9">
        <f>IFERROR(INDEX($A266:$R266,MATCH("Cost Centre",$A$1:$R$1,0)),"")&amp;""</f>
        <v/>
      </c>
      <c r="AB266" s="9">
        <f>IFERROR(INDEX($A266:$R266,MATCH("Pipeline Stage",$A$1:$R$1,0)),"")&amp;""</f>
        <v/>
      </c>
      <c r="AC266" s="9">
        <f>IFERROR(INDEX($A266:$R266,MATCH("Client",$A$1:$R$1,0)),"")&amp;""</f>
        <v/>
      </c>
      <c r="AD266" s="9">
        <f>IFERROR(INDEX($A266:$R266,MATCH("Description",$A$1:$R$1,0)),"")&amp;""</f>
        <v/>
      </c>
      <c r="AE266" s="9">
        <f>IFERROR(INDEX($A266:$R266,MATCH("Job Number",$A$1:$R$1,0)),"")&amp;""</f>
        <v/>
      </c>
      <c r="AF266" s="54">
        <f>IF(AND(T266="Open",ISNUMBER(Z266),Z266&lt;EOMONTH(set_AsAt,-1)+1),3,0)</f>
        <v/>
      </c>
      <c r="AG266" s="54">
        <f>IF(AND(T266="Open",U266&gt;0,U266&gt;=set_DealShare*SUMIFS($U$2:$U$601,$T$2:$T$601,"Open")),3,0)</f>
        <v/>
      </c>
      <c r="AH266" s="54">
        <f>IF(AND(T266="Open",U266&gt;=set_BigValue,W266&lt;=set_EarlyProb),2,0)</f>
        <v/>
      </c>
      <c r="AI266" s="54">
        <f>IF(AND(OR(T266="Open",T266="Won"),V266=0),2,0)</f>
        <v/>
      </c>
      <c r="AJ266" s="54">
        <f>IF(AND(T266="Won",Y266&gt;0.5,ISNUMBER(Z266),Z266&lt;EOMONTH(set_AsAt,-1)+1),3,0)</f>
        <v/>
      </c>
      <c r="AK266" s="54">
        <f>IF(AND(T266="Won",Y266&lt;-1),1,0)</f>
        <v/>
      </c>
      <c r="AL266" s="54">
        <f>SUM(AF266:AK266)</f>
        <v/>
      </c>
      <c r="AM266" s="9">
        <f>IF(AL266&gt;=set_ScoreHigh,"High",IF(AL266&gt;=set_ScoreMed,"Medium",IF(AL266&gt;0,"Low","OK")))</f>
        <v/>
      </c>
      <c r="AN266" s="54">
        <f>IF(OR(T266="Open",AND(T266="Won",ABS(Y266)&gt;0.5)),1,0)</f>
        <v/>
      </c>
      <c r="AO266" s="52">
        <f>IF(T266="Open",IF(V266=0,0,X266),IF(T266="Won",MAX(0,Y266),0))</f>
        <v/>
      </c>
      <c r="AP266" s="54">
        <f>IF(AN266=1,AL266*1E+9+U266+ROW()/1E+6,"")</f>
        <v/>
      </c>
      <c r="AQ266" s="9">
        <f>MID(IF(AF266&gt;0,"; Expected month passed - update Zoho","")&amp;IF(AG266&gt;0,"; "&amp;TEXT(U266/MAX(1,SUMIFS($U$2:$U$601,$T$2:$T$601,"Open")),"0%")&amp;" of open pipeline in one deal","")&amp;IF(AH266&gt;0,"; Large deal at an early stage","")&amp;IF(AI266&gt;0,"; No amount in Zoho","")&amp;IF(AJ266&gt;0,"; Won, invoice month passed, not fully invoiced","")&amp;IF(AK266&gt;0,"; Xero invoiced more than the deal value",""),3,300)</f>
        <v/>
      </c>
    </row>
    <row r="267">
      <c r="T267" s="9">
        <f>IFERROR(INDEX($A267:$R267,MATCH("Status",$A$1:$R$1,0)),"")&amp;""</f>
        <v/>
      </c>
      <c r="U267" s="52">
        <f>IFERROR(N(IFERROR(INDEX($A267:$R267,MATCH("Value Ex GST",$A$1:$R$1,0)),"")),0)</f>
        <v/>
      </c>
      <c r="V267" s="54">
        <f>IF(AND(T267&lt;&gt;"",IFERROR(INDEX($A267:$R267,MATCH("Value Ex GST",$A$1:$R$1,0)),"")&amp;""&lt;&gt;""),1,0)</f>
        <v/>
      </c>
      <c r="W267" s="56">
        <f>IFERROR(N(IFERROR(INDEX($A267:$R267,MATCH("Probability",$A$1:$R$1,0)),"")),0)</f>
        <v/>
      </c>
      <c r="X267" s="52">
        <f>IF(T267="Open",U267*W267,0)</f>
        <v/>
      </c>
      <c r="Y267" s="52">
        <f>IF(T267="Won",IFERROR(N(IFERROR(INDEX($A267:$R267,MATCH("Still to Invoice",$A$1:$R$1,0)),"")),0),0)</f>
        <v/>
      </c>
      <c r="Z267" s="55">
        <f>IFERROR(EOMONTH(IFERROR(INDEX($A267:$R267,MATCH("Expected Invoice Month",$A$1:$R$1,0)),""),0),"")</f>
        <v/>
      </c>
      <c r="AA267" s="9">
        <f>IFERROR(INDEX($A267:$R267,MATCH("Cost Centre",$A$1:$R$1,0)),"")&amp;""</f>
        <v/>
      </c>
      <c r="AB267" s="9">
        <f>IFERROR(INDEX($A267:$R267,MATCH("Pipeline Stage",$A$1:$R$1,0)),"")&amp;""</f>
        <v/>
      </c>
      <c r="AC267" s="9">
        <f>IFERROR(INDEX($A267:$R267,MATCH("Client",$A$1:$R$1,0)),"")&amp;""</f>
        <v/>
      </c>
      <c r="AD267" s="9">
        <f>IFERROR(INDEX($A267:$R267,MATCH("Description",$A$1:$R$1,0)),"")&amp;""</f>
        <v/>
      </c>
      <c r="AE267" s="9">
        <f>IFERROR(INDEX($A267:$R267,MATCH("Job Number",$A$1:$R$1,0)),"")&amp;""</f>
        <v/>
      </c>
      <c r="AF267" s="54">
        <f>IF(AND(T267="Open",ISNUMBER(Z267),Z267&lt;EOMONTH(set_AsAt,-1)+1),3,0)</f>
        <v/>
      </c>
      <c r="AG267" s="54">
        <f>IF(AND(T267="Open",U267&gt;0,U267&gt;=set_DealShare*SUMIFS($U$2:$U$601,$T$2:$T$601,"Open")),3,0)</f>
        <v/>
      </c>
      <c r="AH267" s="54">
        <f>IF(AND(T267="Open",U267&gt;=set_BigValue,W267&lt;=set_EarlyProb),2,0)</f>
        <v/>
      </c>
      <c r="AI267" s="54">
        <f>IF(AND(OR(T267="Open",T267="Won"),V267=0),2,0)</f>
        <v/>
      </c>
      <c r="AJ267" s="54">
        <f>IF(AND(T267="Won",Y267&gt;0.5,ISNUMBER(Z267),Z267&lt;EOMONTH(set_AsAt,-1)+1),3,0)</f>
        <v/>
      </c>
      <c r="AK267" s="54">
        <f>IF(AND(T267="Won",Y267&lt;-1),1,0)</f>
        <v/>
      </c>
      <c r="AL267" s="54">
        <f>SUM(AF267:AK267)</f>
        <v/>
      </c>
      <c r="AM267" s="9">
        <f>IF(AL267&gt;=set_ScoreHigh,"High",IF(AL267&gt;=set_ScoreMed,"Medium",IF(AL267&gt;0,"Low","OK")))</f>
        <v/>
      </c>
      <c r="AN267" s="54">
        <f>IF(OR(T267="Open",AND(T267="Won",ABS(Y267)&gt;0.5)),1,0)</f>
        <v/>
      </c>
      <c r="AO267" s="52">
        <f>IF(T267="Open",IF(V267=0,0,X267),IF(T267="Won",MAX(0,Y267),0))</f>
        <v/>
      </c>
      <c r="AP267" s="54">
        <f>IF(AN267=1,AL267*1E+9+U267+ROW()/1E+6,"")</f>
        <v/>
      </c>
      <c r="AQ267" s="9">
        <f>MID(IF(AF267&gt;0,"; Expected month passed - update Zoho","")&amp;IF(AG267&gt;0,"; "&amp;TEXT(U267/MAX(1,SUMIFS($U$2:$U$601,$T$2:$T$601,"Open")),"0%")&amp;" of open pipeline in one deal","")&amp;IF(AH267&gt;0,"; Large deal at an early stage","")&amp;IF(AI267&gt;0,"; No amount in Zoho","")&amp;IF(AJ267&gt;0,"; Won, invoice month passed, not fully invoiced","")&amp;IF(AK267&gt;0,"; Xero invoiced more than the deal value",""),3,300)</f>
        <v/>
      </c>
    </row>
    <row r="268">
      <c r="T268" s="9">
        <f>IFERROR(INDEX($A268:$R268,MATCH("Status",$A$1:$R$1,0)),"")&amp;""</f>
        <v/>
      </c>
      <c r="U268" s="52">
        <f>IFERROR(N(IFERROR(INDEX($A268:$R268,MATCH("Value Ex GST",$A$1:$R$1,0)),"")),0)</f>
        <v/>
      </c>
      <c r="V268" s="54">
        <f>IF(AND(T268&lt;&gt;"",IFERROR(INDEX($A268:$R268,MATCH("Value Ex GST",$A$1:$R$1,0)),"")&amp;""&lt;&gt;""),1,0)</f>
        <v/>
      </c>
      <c r="W268" s="56">
        <f>IFERROR(N(IFERROR(INDEX($A268:$R268,MATCH("Probability",$A$1:$R$1,0)),"")),0)</f>
        <v/>
      </c>
      <c r="X268" s="52">
        <f>IF(T268="Open",U268*W268,0)</f>
        <v/>
      </c>
      <c r="Y268" s="52">
        <f>IF(T268="Won",IFERROR(N(IFERROR(INDEX($A268:$R268,MATCH("Still to Invoice",$A$1:$R$1,0)),"")),0),0)</f>
        <v/>
      </c>
      <c r="Z268" s="55">
        <f>IFERROR(EOMONTH(IFERROR(INDEX($A268:$R268,MATCH("Expected Invoice Month",$A$1:$R$1,0)),""),0),"")</f>
        <v/>
      </c>
      <c r="AA268" s="9">
        <f>IFERROR(INDEX($A268:$R268,MATCH("Cost Centre",$A$1:$R$1,0)),"")&amp;""</f>
        <v/>
      </c>
      <c r="AB268" s="9">
        <f>IFERROR(INDEX($A268:$R268,MATCH("Pipeline Stage",$A$1:$R$1,0)),"")&amp;""</f>
        <v/>
      </c>
      <c r="AC268" s="9">
        <f>IFERROR(INDEX($A268:$R268,MATCH("Client",$A$1:$R$1,0)),"")&amp;""</f>
        <v/>
      </c>
      <c r="AD268" s="9">
        <f>IFERROR(INDEX($A268:$R268,MATCH("Description",$A$1:$R$1,0)),"")&amp;""</f>
        <v/>
      </c>
      <c r="AE268" s="9">
        <f>IFERROR(INDEX($A268:$R268,MATCH("Job Number",$A$1:$R$1,0)),"")&amp;""</f>
        <v/>
      </c>
      <c r="AF268" s="54">
        <f>IF(AND(T268="Open",ISNUMBER(Z268),Z268&lt;EOMONTH(set_AsAt,-1)+1),3,0)</f>
        <v/>
      </c>
      <c r="AG268" s="54">
        <f>IF(AND(T268="Open",U268&gt;0,U268&gt;=set_DealShare*SUMIFS($U$2:$U$601,$T$2:$T$601,"Open")),3,0)</f>
        <v/>
      </c>
      <c r="AH268" s="54">
        <f>IF(AND(T268="Open",U268&gt;=set_BigValue,W268&lt;=set_EarlyProb),2,0)</f>
        <v/>
      </c>
      <c r="AI268" s="54">
        <f>IF(AND(OR(T268="Open",T268="Won"),V268=0),2,0)</f>
        <v/>
      </c>
      <c r="AJ268" s="54">
        <f>IF(AND(T268="Won",Y268&gt;0.5,ISNUMBER(Z268),Z268&lt;EOMONTH(set_AsAt,-1)+1),3,0)</f>
        <v/>
      </c>
      <c r="AK268" s="54">
        <f>IF(AND(T268="Won",Y268&lt;-1),1,0)</f>
        <v/>
      </c>
      <c r="AL268" s="54">
        <f>SUM(AF268:AK268)</f>
        <v/>
      </c>
      <c r="AM268" s="9">
        <f>IF(AL268&gt;=set_ScoreHigh,"High",IF(AL268&gt;=set_ScoreMed,"Medium",IF(AL268&gt;0,"Low","OK")))</f>
        <v/>
      </c>
      <c r="AN268" s="54">
        <f>IF(OR(T268="Open",AND(T268="Won",ABS(Y268)&gt;0.5)),1,0)</f>
        <v/>
      </c>
      <c r="AO268" s="52">
        <f>IF(T268="Open",IF(V268=0,0,X268),IF(T268="Won",MAX(0,Y268),0))</f>
        <v/>
      </c>
      <c r="AP268" s="54">
        <f>IF(AN268=1,AL268*1E+9+U268+ROW()/1E+6,"")</f>
        <v/>
      </c>
      <c r="AQ268" s="9">
        <f>MID(IF(AF268&gt;0,"; Expected month passed - update Zoho","")&amp;IF(AG268&gt;0,"; "&amp;TEXT(U268/MAX(1,SUMIFS($U$2:$U$601,$T$2:$T$601,"Open")),"0%")&amp;" of open pipeline in one deal","")&amp;IF(AH268&gt;0,"; Large deal at an early stage","")&amp;IF(AI268&gt;0,"; No amount in Zoho","")&amp;IF(AJ268&gt;0,"; Won, invoice month passed, not fully invoiced","")&amp;IF(AK268&gt;0,"; Xero invoiced more than the deal value",""),3,300)</f>
        <v/>
      </c>
    </row>
    <row r="269">
      <c r="T269" s="9">
        <f>IFERROR(INDEX($A269:$R269,MATCH("Status",$A$1:$R$1,0)),"")&amp;""</f>
        <v/>
      </c>
      <c r="U269" s="52">
        <f>IFERROR(N(IFERROR(INDEX($A269:$R269,MATCH("Value Ex GST",$A$1:$R$1,0)),"")),0)</f>
        <v/>
      </c>
      <c r="V269" s="54">
        <f>IF(AND(T269&lt;&gt;"",IFERROR(INDEX($A269:$R269,MATCH("Value Ex GST",$A$1:$R$1,0)),"")&amp;""&lt;&gt;""),1,0)</f>
        <v/>
      </c>
      <c r="W269" s="56">
        <f>IFERROR(N(IFERROR(INDEX($A269:$R269,MATCH("Probability",$A$1:$R$1,0)),"")),0)</f>
        <v/>
      </c>
      <c r="X269" s="52">
        <f>IF(T269="Open",U269*W269,0)</f>
        <v/>
      </c>
      <c r="Y269" s="52">
        <f>IF(T269="Won",IFERROR(N(IFERROR(INDEX($A269:$R269,MATCH("Still to Invoice",$A$1:$R$1,0)),"")),0),0)</f>
        <v/>
      </c>
      <c r="Z269" s="55">
        <f>IFERROR(EOMONTH(IFERROR(INDEX($A269:$R269,MATCH("Expected Invoice Month",$A$1:$R$1,0)),""),0),"")</f>
        <v/>
      </c>
      <c r="AA269" s="9">
        <f>IFERROR(INDEX($A269:$R269,MATCH("Cost Centre",$A$1:$R$1,0)),"")&amp;""</f>
        <v/>
      </c>
      <c r="AB269" s="9">
        <f>IFERROR(INDEX($A269:$R269,MATCH("Pipeline Stage",$A$1:$R$1,0)),"")&amp;""</f>
        <v/>
      </c>
      <c r="AC269" s="9">
        <f>IFERROR(INDEX($A269:$R269,MATCH("Client",$A$1:$R$1,0)),"")&amp;""</f>
        <v/>
      </c>
      <c r="AD269" s="9">
        <f>IFERROR(INDEX($A269:$R269,MATCH("Description",$A$1:$R$1,0)),"")&amp;""</f>
        <v/>
      </c>
      <c r="AE269" s="9">
        <f>IFERROR(INDEX($A269:$R269,MATCH("Job Number",$A$1:$R$1,0)),"")&amp;""</f>
        <v/>
      </c>
      <c r="AF269" s="54">
        <f>IF(AND(T269="Open",ISNUMBER(Z269),Z269&lt;EOMONTH(set_AsAt,-1)+1),3,0)</f>
        <v/>
      </c>
      <c r="AG269" s="54">
        <f>IF(AND(T269="Open",U269&gt;0,U269&gt;=set_DealShare*SUMIFS($U$2:$U$601,$T$2:$T$601,"Open")),3,0)</f>
        <v/>
      </c>
      <c r="AH269" s="54">
        <f>IF(AND(T269="Open",U269&gt;=set_BigValue,W269&lt;=set_EarlyProb),2,0)</f>
        <v/>
      </c>
      <c r="AI269" s="54">
        <f>IF(AND(OR(T269="Open",T269="Won"),V269=0),2,0)</f>
        <v/>
      </c>
      <c r="AJ269" s="54">
        <f>IF(AND(T269="Won",Y269&gt;0.5,ISNUMBER(Z269),Z269&lt;EOMONTH(set_AsAt,-1)+1),3,0)</f>
        <v/>
      </c>
      <c r="AK269" s="54">
        <f>IF(AND(T269="Won",Y269&lt;-1),1,0)</f>
        <v/>
      </c>
      <c r="AL269" s="54">
        <f>SUM(AF269:AK269)</f>
        <v/>
      </c>
      <c r="AM269" s="9">
        <f>IF(AL269&gt;=set_ScoreHigh,"High",IF(AL269&gt;=set_ScoreMed,"Medium",IF(AL269&gt;0,"Low","OK")))</f>
        <v/>
      </c>
      <c r="AN269" s="54">
        <f>IF(OR(T269="Open",AND(T269="Won",ABS(Y269)&gt;0.5)),1,0)</f>
        <v/>
      </c>
      <c r="AO269" s="52">
        <f>IF(T269="Open",IF(V269=0,0,X269),IF(T269="Won",MAX(0,Y269),0))</f>
        <v/>
      </c>
      <c r="AP269" s="54">
        <f>IF(AN269=1,AL269*1E+9+U269+ROW()/1E+6,"")</f>
        <v/>
      </c>
      <c r="AQ269" s="9">
        <f>MID(IF(AF269&gt;0,"; Expected month passed - update Zoho","")&amp;IF(AG269&gt;0,"; "&amp;TEXT(U269/MAX(1,SUMIFS($U$2:$U$601,$T$2:$T$601,"Open")),"0%")&amp;" of open pipeline in one deal","")&amp;IF(AH269&gt;0,"; Large deal at an early stage","")&amp;IF(AI269&gt;0,"; No amount in Zoho","")&amp;IF(AJ269&gt;0,"; Won, invoice month passed, not fully invoiced","")&amp;IF(AK269&gt;0,"; Xero invoiced more than the deal value",""),3,300)</f>
        <v/>
      </c>
    </row>
    <row r="270">
      <c r="T270" s="9">
        <f>IFERROR(INDEX($A270:$R270,MATCH("Status",$A$1:$R$1,0)),"")&amp;""</f>
        <v/>
      </c>
      <c r="U270" s="52">
        <f>IFERROR(N(IFERROR(INDEX($A270:$R270,MATCH("Value Ex GST",$A$1:$R$1,0)),"")),0)</f>
        <v/>
      </c>
      <c r="V270" s="54">
        <f>IF(AND(T270&lt;&gt;"",IFERROR(INDEX($A270:$R270,MATCH("Value Ex GST",$A$1:$R$1,0)),"")&amp;""&lt;&gt;""),1,0)</f>
        <v/>
      </c>
      <c r="W270" s="56">
        <f>IFERROR(N(IFERROR(INDEX($A270:$R270,MATCH("Probability",$A$1:$R$1,0)),"")),0)</f>
        <v/>
      </c>
      <c r="X270" s="52">
        <f>IF(T270="Open",U270*W270,0)</f>
        <v/>
      </c>
      <c r="Y270" s="52">
        <f>IF(T270="Won",IFERROR(N(IFERROR(INDEX($A270:$R270,MATCH("Still to Invoice",$A$1:$R$1,0)),"")),0),0)</f>
        <v/>
      </c>
      <c r="Z270" s="55">
        <f>IFERROR(EOMONTH(IFERROR(INDEX($A270:$R270,MATCH("Expected Invoice Month",$A$1:$R$1,0)),""),0),"")</f>
        <v/>
      </c>
      <c r="AA270" s="9">
        <f>IFERROR(INDEX($A270:$R270,MATCH("Cost Centre",$A$1:$R$1,0)),"")&amp;""</f>
        <v/>
      </c>
      <c r="AB270" s="9">
        <f>IFERROR(INDEX($A270:$R270,MATCH("Pipeline Stage",$A$1:$R$1,0)),"")&amp;""</f>
        <v/>
      </c>
      <c r="AC270" s="9">
        <f>IFERROR(INDEX($A270:$R270,MATCH("Client",$A$1:$R$1,0)),"")&amp;""</f>
        <v/>
      </c>
      <c r="AD270" s="9">
        <f>IFERROR(INDEX($A270:$R270,MATCH("Description",$A$1:$R$1,0)),"")&amp;""</f>
        <v/>
      </c>
      <c r="AE270" s="9">
        <f>IFERROR(INDEX($A270:$R270,MATCH("Job Number",$A$1:$R$1,0)),"")&amp;""</f>
        <v/>
      </c>
      <c r="AF270" s="54">
        <f>IF(AND(T270="Open",ISNUMBER(Z270),Z270&lt;EOMONTH(set_AsAt,-1)+1),3,0)</f>
        <v/>
      </c>
      <c r="AG270" s="54">
        <f>IF(AND(T270="Open",U270&gt;0,U270&gt;=set_DealShare*SUMIFS($U$2:$U$601,$T$2:$T$601,"Open")),3,0)</f>
        <v/>
      </c>
      <c r="AH270" s="54">
        <f>IF(AND(T270="Open",U270&gt;=set_BigValue,W270&lt;=set_EarlyProb),2,0)</f>
        <v/>
      </c>
      <c r="AI270" s="54">
        <f>IF(AND(OR(T270="Open",T270="Won"),V270=0),2,0)</f>
        <v/>
      </c>
      <c r="AJ270" s="54">
        <f>IF(AND(T270="Won",Y270&gt;0.5,ISNUMBER(Z270),Z270&lt;EOMONTH(set_AsAt,-1)+1),3,0)</f>
        <v/>
      </c>
      <c r="AK270" s="54">
        <f>IF(AND(T270="Won",Y270&lt;-1),1,0)</f>
        <v/>
      </c>
      <c r="AL270" s="54">
        <f>SUM(AF270:AK270)</f>
        <v/>
      </c>
      <c r="AM270" s="9">
        <f>IF(AL270&gt;=set_ScoreHigh,"High",IF(AL270&gt;=set_ScoreMed,"Medium",IF(AL270&gt;0,"Low","OK")))</f>
        <v/>
      </c>
      <c r="AN270" s="54">
        <f>IF(OR(T270="Open",AND(T270="Won",ABS(Y270)&gt;0.5)),1,0)</f>
        <v/>
      </c>
      <c r="AO270" s="52">
        <f>IF(T270="Open",IF(V270=0,0,X270),IF(T270="Won",MAX(0,Y270),0))</f>
        <v/>
      </c>
      <c r="AP270" s="54">
        <f>IF(AN270=1,AL270*1E+9+U270+ROW()/1E+6,"")</f>
        <v/>
      </c>
      <c r="AQ270" s="9">
        <f>MID(IF(AF270&gt;0,"; Expected month passed - update Zoho","")&amp;IF(AG270&gt;0,"; "&amp;TEXT(U270/MAX(1,SUMIFS($U$2:$U$601,$T$2:$T$601,"Open")),"0%")&amp;" of open pipeline in one deal","")&amp;IF(AH270&gt;0,"; Large deal at an early stage","")&amp;IF(AI270&gt;0,"; No amount in Zoho","")&amp;IF(AJ270&gt;0,"; Won, invoice month passed, not fully invoiced","")&amp;IF(AK270&gt;0,"; Xero invoiced more than the deal value",""),3,300)</f>
        <v/>
      </c>
    </row>
    <row r="271">
      <c r="T271" s="9">
        <f>IFERROR(INDEX($A271:$R271,MATCH("Status",$A$1:$R$1,0)),"")&amp;""</f>
        <v/>
      </c>
      <c r="U271" s="52">
        <f>IFERROR(N(IFERROR(INDEX($A271:$R271,MATCH("Value Ex GST",$A$1:$R$1,0)),"")),0)</f>
        <v/>
      </c>
      <c r="V271" s="54">
        <f>IF(AND(T271&lt;&gt;"",IFERROR(INDEX($A271:$R271,MATCH("Value Ex GST",$A$1:$R$1,0)),"")&amp;""&lt;&gt;""),1,0)</f>
        <v/>
      </c>
      <c r="W271" s="56">
        <f>IFERROR(N(IFERROR(INDEX($A271:$R271,MATCH("Probability",$A$1:$R$1,0)),"")),0)</f>
        <v/>
      </c>
      <c r="X271" s="52">
        <f>IF(T271="Open",U271*W271,0)</f>
        <v/>
      </c>
      <c r="Y271" s="52">
        <f>IF(T271="Won",IFERROR(N(IFERROR(INDEX($A271:$R271,MATCH("Still to Invoice",$A$1:$R$1,0)),"")),0),0)</f>
        <v/>
      </c>
      <c r="Z271" s="55">
        <f>IFERROR(EOMONTH(IFERROR(INDEX($A271:$R271,MATCH("Expected Invoice Month",$A$1:$R$1,0)),""),0),"")</f>
        <v/>
      </c>
      <c r="AA271" s="9">
        <f>IFERROR(INDEX($A271:$R271,MATCH("Cost Centre",$A$1:$R$1,0)),"")&amp;""</f>
        <v/>
      </c>
      <c r="AB271" s="9">
        <f>IFERROR(INDEX($A271:$R271,MATCH("Pipeline Stage",$A$1:$R$1,0)),"")&amp;""</f>
        <v/>
      </c>
      <c r="AC271" s="9">
        <f>IFERROR(INDEX($A271:$R271,MATCH("Client",$A$1:$R$1,0)),"")&amp;""</f>
        <v/>
      </c>
      <c r="AD271" s="9">
        <f>IFERROR(INDEX($A271:$R271,MATCH("Description",$A$1:$R$1,0)),"")&amp;""</f>
        <v/>
      </c>
      <c r="AE271" s="9">
        <f>IFERROR(INDEX($A271:$R271,MATCH("Job Number",$A$1:$R$1,0)),"")&amp;""</f>
        <v/>
      </c>
      <c r="AF271" s="54">
        <f>IF(AND(T271="Open",ISNUMBER(Z271),Z271&lt;EOMONTH(set_AsAt,-1)+1),3,0)</f>
        <v/>
      </c>
      <c r="AG271" s="54">
        <f>IF(AND(T271="Open",U271&gt;0,U271&gt;=set_DealShare*SUMIFS($U$2:$U$601,$T$2:$T$601,"Open")),3,0)</f>
        <v/>
      </c>
      <c r="AH271" s="54">
        <f>IF(AND(T271="Open",U271&gt;=set_BigValue,W271&lt;=set_EarlyProb),2,0)</f>
        <v/>
      </c>
      <c r="AI271" s="54">
        <f>IF(AND(OR(T271="Open",T271="Won"),V271=0),2,0)</f>
        <v/>
      </c>
      <c r="AJ271" s="54">
        <f>IF(AND(T271="Won",Y271&gt;0.5,ISNUMBER(Z271),Z271&lt;EOMONTH(set_AsAt,-1)+1),3,0)</f>
        <v/>
      </c>
      <c r="AK271" s="54">
        <f>IF(AND(T271="Won",Y271&lt;-1),1,0)</f>
        <v/>
      </c>
      <c r="AL271" s="54">
        <f>SUM(AF271:AK271)</f>
        <v/>
      </c>
      <c r="AM271" s="9">
        <f>IF(AL271&gt;=set_ScoreHigh,"High",IF(AL271&gt;=set_ScoreMed,"Medium",IF(AL271&gt;0,"Low","OK")))</f>
        <v/>
      </c>
      <c r="AN271" s="54">
        <f>IF(OR(T271="Open",AND(T271="Won",ABS(Y271)&gt;0.5)),1,0)</f>
        <v/>
      </c>
      <c r="AO271" s="52">
        <f>IF(T271="Open",IF(V271=0,0,X271),IF(T271="Won",MAX(0,Y271),0))</f>
        <v/>
      </c>
      <c r="AP271" s="54">
        <f>IF(AN271=1,AL271*1E+9+U271+ROW()/1E+6,"")</f>
        <v/>
      </c>
      <c r="AQ271" s="9">
        <f>MID(IF(AF271&gt;0,"; Expected month passed - update Zoho","")&amp;IF(AG271&gt;0,"; "&amp;TEXT(U271/MAX(1,SUMIFS($U$2:$U$601,$T$2:$T$601,"Open")),"0%")&amp;" of open pipeline in one deal","")&amp;IF(AH271&gt;0,"; Large deal at an early stage","")&amp;IF(AI271&gt;0,"; No amount in Zoho","")&amp;IF(AJ271&gt;0,"; Won, invoice month passed, not fully invoiced","")&amp;IF(AK271&gt;0,"; Xero invoiced more than the deal value",""),3,300)</f>
        <v/>
      </c>
    </row>
    <row r="272">
      <c r="T272" s="9">
        <f>IFERROR(INDEX($A272:$R272,MATCH("Status",$A$1:$R$1,0)),"")&amp;""</f>
        <v/>
      </c>
      <c r="U272" s="52">
        <f>IFERROR(N(IFERROR(INDEX($A272:$R272,MATCH("Value Ex GST",$A$1:$R$1,0)),"")),0)</f>
        <v/>
      </c>
      <c r="V272" s="54">
        <f>IF(AND(T272&lt;&gt;"",IFERROR(INDEX($A272:$R272,MATCH("Value Ex GST",$A$1:$R$1,0)),"")&amp;""&lt;&gt;""),1,0)</f>
        <v/>
      </c>
      <c r="W272" s="56">
        <f>IFERROR(N(IFERROR(INDEX($A272:$R272,MATCH("Probability",$A$1:$R$1,0)),"")),0)</f>
        <v/>
      </c>
      <c r="X272" s="52">
        <f>IF(T272="Open",U272*W272,0)</f>
        <v/>
      </c>
      <c r="Y272" s="52">
        <f>IF(T272="Won",IFERROR(N(IFERROR(INDEX($A272:$R272,MATCH("Still to Invoice",$A$1:$R$1,0)),"")),0),0)</f>
        <v/>
      </c>
      <c r="Z272" s="55">
        <f>IFERROR(EOMONTH(IFERROR(INDEX($A272:$R272,MATCH("Expected Invoice Month",$A$1:$R$1,0)),""),0),"")</f>
        <v/>
      </c>
      <c r="AA272" s="9">
        <f>IFERROR(INDEX($A272:$R272,MATCH("Cost Centre",$A$1:$R$1,0)),"")&amp;""</f>
        <v/>
      </c>
      <c r="AB272" s="9">
        <f>IFERROR(INDEX($A272:$R272,MATCH("Pipeline Stage",$A$1:$R$1,0)),"")&amp;""</f>
        <v/>
      </c>
      <c r="AC272" s="9">
        <f>IFERROR(INDEX($A272:$R272,MATCH("Client",$A$1:$R$1,0)),"")&amp;""</f>
        <v/>
      </c>
      <c r="AD272" s="9">
        <f>IFERROR(INDEX($A272:$R272,MATCH("Description",$A$1:$R$1,0)),"")&amp;""</f>
        <v/>
      </c>
      <c r="AE272" s="9">
        <f>IFERROR(INDEX($A272:$R272,MATCH("Job Number",$A$1:$R$1,0)),"")&amp;""</f>
        <v/>
      </c>
      <c r="AF272" s="54">
        <f>IF(AND(T272="Open",ISNUMBER(Z272),Z272&lt;EOMONTH(set_AsAt,-1)+1),3,0)</f>
        <v/>
      </c>
      <c r="AG272" s="54">
        <f>IF(AND(T272="Open",U272&gt;0,U272&gt;=set_DealShare*SUMIFS($U$2:$U$601,$T$2:$T$601,"Open")),3,0)</f>
        <v/>
      </c>
      <c r="AH272" s="54">
        <f>IF(AND(T272="Open",U272&gt;=set_BigValue,W272&lt;=set_EarlyProb),2,0)</f>
        <v/>
      </c>
      <c r="AI272" s="54">
        <f>IF(AND(OR(T272="Open",T272="Won"),V272=0),2,0)</f>
        <v/>
      </c>
      <c r="AJ272" s="54">
        <f>IF(AND(T272="Won",Y272&gt;0.5,ISNUMBER(Z272),Z272&lt;EOMONTH(set_AsAt,-1)+1),3,0)</f>
        <v/>
      </c>
      <c r="AK272" s="54">
        <f>IF(AND(T272="Won",Y272&lt;-1),1,0)</f>
        <v/>
      </c>
      <c r="AL272" s="54">
        <f>SUM(AF272:AK272)</f>
        <v/>
      </c>
      <c r="AM272" s="9">
        <f>IF(AL272&gt;=set_ScoreHigh,"High",IF(AL272&gt;=set_ScoreMed,"Medium",IF(AL272&gt;0,"Low","OK")))</f>
        <v/>
      </c>
      <c r="AN272" s="54">
        <f>IF(OR(T272="Open",AND(T272="Won",ABS(Y272)&gt;0.5)),1,0)</f>
        <v/>
      </c>
      <c r="AO272" s="52">
        <f>IF(T272="Open",IF(V272=0,0,X272),IF(T272="Won",MAX(0,Y272),0))</f>
        <v/>
      </c>
      <c r="AP272" s="54">
        <f>IF(AN272=1,AL272*1E+9+U272+ROW()/1E+6,"")</f>
        <v/>
      </c>
      <c r="AQ272" s="9">
        <f>MID(IF(AF272&gt;0,"; Expected month passed - update Zoho","")&amp;IF(AG272&gt;0,"; "&amp;TEXT(U272/MAX(1,SUMIFS($U$2:$U$601,$T$2:$T$601,"Open")),"0%")&amp;" of open pipeline in one deal","")&amp;IF(AH272&gt;0,"; Large deal at an early stage","")&amp;IF(AI272&gt;0,"; No amount in Zoho","")&amp;IF(AJ272&gt;0,"; Won, invoice month passed, not fully invoiced","")&amp;IF(AK272&gt;0,"; Xero invoiced more than the deal value",""),3,300)</f>
        <v/>
      </c>
    </row>
    <row r="273">
      <c r="T273" s="9">
        <f>IFERROR(INDEX($A273:$R273,MATCH("Status",$A$1:$R$1,0)),"")&amp;""</f>
        <v/>
      </c>
      <c r="U273" s="52">
        <f>IFERROR(N(IFERROR(INDEX($A273:$R273,MATCH("Value Ex GST",$A$1:$R$1,0)),"")),0)</f>
        <v/>
      </c>
      <c r="V273" s="54">
        <f>IF(AND(T273&lt;&gt;"",IFERROR(INDEX($A273:$R273,MATCH("Value Ex GST",$A$1:$R$1,0)),"")&amp;""&lt;&gt;""),1,0)</f>
        <v/>
      </c>
      <c r="W273" s="56">
        <f>IFERROR(N(IFERROR(INDEX($A273:$R273,MATCH("Probability",$A$1:$R$1,0)),"")),0)</f>
        <v/>
      </c>
      <c r="X273" s="52">
        <f>IF(T273="Open",U273*W273,0)</f>
        <v/>
      </c>
      <c r="Y273" s="52">
        <f>IF(T273="Won",IFERROR(N(IFERROR(INDEX($A273:$R273,MATCH("Still to Invoice",$A$1:$R$1,0)),"")),0),0)</f>
        <v/>
      </c>
      <c r="Z273" s="55">
        <f>IFERROR(EOMONTH(IFERROR(INDEX($A273:$R273,MATCH("Expected Invoice Month",$A$1:$R$1,0)),""),0),"")</f>
        <v/>
      </c>
      <c r="AA273" s="9">
        <f>IFERROR(INDEX($A273:$R273,MATCH("Cost Centre",$A$1:$R$1,0)),"")&amp;""</f>
        <v/>
      </c>
      <c r="AB273" s="9">
        <f>IFERROR(INDEX($A273:$R273,MATCH("Pipeline Stage",$A$1:$R$1,0)),"")&amp;""</f>
        <v/>
      </c>
      <c r="AC273" s="9">
        <f>IFERROR(INDEX($A273:$R273,MATCH("Client",$A$1:$R$1,0)),"")&amp;""</f>
        <v/>
      </c>
      <c r="AD273" s="9">
        <f>IFERROR(INDEX($A273:$R273,MATCH("Description",$A$1:$R$1,0)),"")&amp;""</f>
        <v/>
      </c>
      <c r="AE273" s="9">
        <f>IFERROR(INDEX($A273:$R273,MATCH("Job Number",$A$1:$R$1,0)),"")&amp;""</f>
        <v/>
      </c>
      <c r="AF273" s="54">
        <f>IF(AND(T273="Open",ISNUMBER(Z273),Z273&lt;EOMONTH(set_AsAt,-1)+1),3,0)</f>
        <v/>
      </c>
      <c r="AG273" s="54">
        <f>IF(AND(T273="Open",U273&gt;0,U273&gt;=set_DealShare*SUMIFS($U$2:$U$601,$T$2:$T$601,"Open")),3,0)</f>
        <v/>
      </c>
      <c r="AH273" s="54">
        <f>IF(AND(T273="Open",U273&gt;=set_BigValue,W273&lt;=set_EarlyProb),2,0)</f>
        <v/>
      </c>
      <c r="AI273" s="54">
        <f>IF(AND(OR(T273="Open",T273="Won"),V273=0),2,0)</f>
        <v/>
      </c>
      <c r="AJ273" s="54">
        <f>IF(AND(T273="Won",Y273&gt;0.5,ISNUMBER(Z273),Z273&lt;EOMONTH(set_AsAt,-1)+1),3,0)</f>
        <v/>
      </c>
      <c r="AK273" s="54">
        <f>IF(AND(T273="Won",Y273&lt;-1),1,0)</f>
        <v/>
      </c>
      <c r="AL273" s="54">
        <f>SUM(AF273:AK273)</f>
        <v/>
      </c>
      <c r="AM273" s="9">
        <f>IF(AL273&gt;=set_ScoreHigh,"High",IF(AL273&gt;=set_ScoreMed,"Medium",IF(AL273&gt;0,"Low","OK")))</f>
        <v/>
      </c>
      <c r="AN273" s="54">
        <f>IF(OR(T273="Open",AND(T273="Won",ABS(Y273)&gt;0.5)),1,0)</f>
        <v/>
      </c>
      <c r="AO273" s="52">
        <f>IF(T273="Open",IF(V273=0,0,X273),IF(T273="Won",MAX(0,Y273),0))</f>
        <v/>
      </c>
      <c r="AP273" s="54">
        <f>IF(AN273=1,AL273*1E+9+U273+ROW()/1E+6,"")</f>
        <v/>
      </c>
      <c r="AQ273" s="9">
        <f>MID(IF(AF273&gt;0,"; Expected month passed - update Zoho","")&amp;IF(AG273&gt;0,"; "&amp;TEXT(U273/MAX(1,SUMIFS($U$2:$U$601,$T$2:$T$601,"Open")),"0%")&amp;" of open pipeline in one deal","")&amp;IF(AH273&gt;0,"; Large deal at an early stage","")&amp;IF(AI273&gt;0,"; No amount in Zoho","")&amp;IF(AJ273&gt;0,"; Won, invoice month passed, not fully invoiced","")&amp;IF(AK273&gt;0,"; Xero invoiced more than the deal value",""),3,300)</f>
        <v/>
      </c>
    </row>
    <row r="274">
      <c r="T274" s="9">
        <f>IFERROR(INDEX($A274:$R274,MATCH("Status",$A$1:$R$1,0)),"")&amp;""</f>
        <v/>
      </c>
      <c r="U274" s="52">
        <f>IFERROR(N(IFERROR(INDEX($A274:$R274,MATCH("Value Ex GST",$A$1:$R$1,0)),"")),0)</f>
        <v/>
      </c>
      <c r="V274" s="54">
        <f>IF(AND(T274&lt;&gt;"",IFERROR(INDEX($A274:$R274,MATCH("Value Ex GST",$A$1:$R$1,0)),"")&amp;""&lt;&gt;""),1,0)</f>
        <v/>
      </c>
      <c r="W274" s="56">
        <f>IFERROR(N(IFERROR(INDEX($A274:$R274,MATCH("Probability",$A$1:$R$1,0)),"")),0)</f>
        <v/>
      </c>
      <c r="X274" s="52">
        <f>IF(T274="Open",U274*W274,0)</f>
        <v/>
      </c>
      <c r="Y274" s="52">
        <f>IF(T274="Won",IFERROR(N(IFERROR(INDEX($A274:$R274,MATCH("Still to Invoice",$A$1:$R$1,0)),"")),0),0)</f>
        <v/>
      </c>
      <c r="Z274" s="55">
        <f>IFERROR(EOMONTH(IFERROR(INDEX($A274:$R274,MATCH("Expected Invoice Month",$A$1:$R$1,0)),""),0),"")</f>
        <v/>
      </c>
      <c r="AA274" s="9">
        <f>IFERROR(INDEX($A274:$R274,MATCH("Cost Centre",$A$1:$R$1,0)),"")&amp;""</f>
        <v/>
      </c>
      <c r="AB274" s="9">
        <f>IFERROR(INDEX($A274:$R274,MATCH("Pipeline Stage",$A$1:$R$1,0)),"")&amp;""</f>
        <v/>
      </c>
      <c r="AC274" s="9">
        <f>IFERROR(INDEX($A274:$R274,MATCH("Client",$A$1:$R$1,0)),"")&amp;""</f>
        <v/>
      </c>
      <c r="AD274" s="9">
        <f>IFERROR(INDEX($A274:$R274,MATCH("Description",$A$1:$R$1,0)),"")&amp;""</f>
        <v/>
      </c>
      <c r="AE274" s="9">
        <f>IFERROR(INDEX($A274:$R274,MATCH("Job Number",$A$1:$R$1,0)),"")&amp;""</f>
        <v/>
      </c>
      <c r="AF274" s="54">
        <f>IF(AND(T274="Open",ISNUMBER(Z274),Z274&lt;EOMONTH(set_AsAt,-1)+1),3,0)</f>
        <v/>
      </c>
      <c r="AG274" s="54">
        <f>IF(AND(T274="Open",U274&gt;0,U274&gt;=set_DealShare*SUMIFS($U$2:$U$601,$T$2:$T$601,"Open")),3,0)</f>
        <v/>
      </c>
      <c r="AH274" s="54">
        <f>IF(AND(T274="Open",U274&gt;=set_BigValue,W274&lt;=set_EarlyProb),2,0)</f>
        <v/>
      </c>
      <c r="AI274" s="54">
        <f>IF(AND(OR(T274="Open",T274="Won"),V274=0),2,0)</f>
        <v/>
      </c>
      <c r="AJ274" s="54">
        <f>IF(AND(T274="Won",Y274&gt;0.5,ISNUMBER(Z274),Z274&lt;EOMONTH(set_AsAt,-1)+1),3,0)</f>
        <v/>
      </c>
      <c r="AK274" s="54">
        <f>IF(AND(T274="Won",Y274&lt;-1),1,0)</f>
        <v/>
      </c>
      <c r="AL274" s="54">
        <f>SUM(AF274:AK274)</f>
        <v/>
      </c>
      <c r="AM274" s="9">
        <f>IF(AL274&gt;=set_ScoreHigh,"High",IF(AL274&gt;=set_ScoreMed,"Medium",IF(AL274&gt;0,"Low","OK")))</f>
        <v/>
      </c>
      <c r="AN274" s="54">
        <f>IF(OR(T274="Open",AND(T274="Won",ABS(Y274)&gt;0.5)),1,0)</f>
        <v/>
      </c>
      <c r="AO274" s="52">
        <f>IF(T274="Open",IF(V274=0,0,X274),IF(T274="Won",MAX(0,Y274),0))</f>
        <v/>
      </c>
      <c r="AP274" s="54">
        <f>IF(AN274=1,AL274*1E+9+U274+ROW()/1E+6,"")</f>
        <v/>
      </c>
      <c r="AQ274" s="9">
        <f>MID(IF(AF274&gt;0,"; Expected month passed - update Zoho","")&amp;IF(AG274&gt;0,"; "&amp;TEXT(U274/MAX(1,SUMIFS($U$2:$U$601,$T$2:$T$601,"Open")),"0%")&amp;" of open pipeline in one deal","")&amp;IF(AH274&gt;0,"; Large deal at an early stage","")&amp;IF(AI274&gt;0,"; No amount in Zoho","")&amp;IF(AJ274&gt;0,"; Won, invoice month passed, not fully invoiced","")&amp;IF(AK274&gt;0,"; Xero invoiced more than the deal value",""),3,300)</f>
        <v/>
      </c>
    </row>
    <row r="275">
      <c r="T275" s="9">
        <f>IFERROR(INDEX($A275:$R275,MATCH("Status",$A$1:$R$1,0)),"")&amp;""</f>
        <v/>
      </c>
      <c r="U275" s="52">
        <f>IFERROR(N(IFERROR(INDEX($A275:$R275,MATCH("Value Ex GST",$A$1:$R$1,0)),"")),0)</f>
        <v/>
      </c>
      <c r="V275" s="54">
        <f>IF(AND(T275&lt;&gt;"",IFERROR(INDEX($A275:$R275,MATCH("Value Ex GST",$A$1:$R$1,0)),"")&amp;""&lt;&gt;""),1,0)</f>
        <v/>
      </c>
      <c r="W275" s="56">
        <f>IFERROR(N(IFERROR(INDEX($A275:$R275,MATCH("Probability",$A$1:$R$1,0)),"")),0)</f>
        <v/>
      </c>
      <c r="X275" s="52">
        <f>IF(T275="Open",U275*W275,0)</f>
        <v/>
      </c>
      <c r="Y275" s="52">
        <f>IF(T275="Won",IFERROR(N(IFERROR(INDEX($A275:$R275,MATCH("Still to Invoice",$A$1:$R$1,0)),"")),0),0)</f>
        <v/>
      </c>
      <c r="Z275" s="55">
        <f>IFERROR(EOMONTH(IFERROR(INDEX($A275:$R275,MATCH("Expected Invoice Month",$A$1:$R$1,0)),""),0),"")</f>
        <v/>
      </c>
      <c r="AA275" s="9">
        <f>IFERROR(INDEX($A275:$R275,MATCH("Cost Centre",$A$1:$R$1,0)),"")&amp;""</f>
        <v/>
      </c>
      <c r="AB275" s="9">
        <f>IFERROR(INDEX($A275:$R275,MATCH("Pipeline Stage",$A$1:$R$1,0)),"")&amp;""</f>
        <v/>
      </c>
      <c r="AC275" s="9">
        <f>IFERROR(INDEX($A275:$R275,MATCH("Client",$A$1:$R$1,0)),"")&amp;""</f>
        <v/>
      </c>
      <c r="AD275" s="9">
        <f>IFERROR(INDEX($A275:$R275,MATCH("Description",$A$1:$R$1,0)),"")&amp;""</f>
        <v/>
      </c>
      <c r="AE275" s="9">
        <f>IFERROR(INDEX($A275:$R275,MATCH("Job Number",$A$1:$R$1,0)),"")&amp;""</f>
        <v/>
      </c>
      <c r="AF275" s="54">
        <f>IF(AND(T275="Open",ISNUMBER(Z275),Z275&lt;EOMONTH(set_AsAt,-1)+1),3,0)</f>
        <v/>
      </c>
      <c r="AG275" s="54">
        <f>IF(AND(T275="Open",U275&gt;0,U275&gt;=set_DealShare*SUMIFS($U$2:$U$601,$T$2:$T$601,"Open")),3,0)</f>
        <v/>
      </c>
      <c r="AH275" s="54">
        <f>IF(AND(T275="Open",U275&gt;=set_BigValue,W275&lt;=set_EarlyProb),2,0)</f>
        <v/>
      </c>
      <c r="AI275" s="54">
        <f>IF(AND(OR(T275="Open",T275="Won"),V275=0),2,0)</f>
        <v/>
      </c>
      <c r="AJ275" s="54">
        <f>IF(AND(T275="Won",Y275&gt;0.5,ISNUMBER(Z275),Z275&lt;EOMONTH(set_AsAt,-1)+1),3,0)</f>
        <v/>
      </c>
      <c r="AK275" s="54">
        <f>IF(AND(T275="Won",Y275&lt;-1),1,0)</f>
        <v/>
      </c>
      <c r="AL275" s="54">
        <f>SUM(AF275:AK275)</f>
        <v/>
      </c>
      <c r="AM275" s="9">
        <f>IF(AL275&gt;=set_ScoreHigh,"High",IF(AL275&gt;=set_ScoreMed,"Medium",IF(AL275&gt;0,"Low","OK")))</f>
        <v/>
      </c>
      <c r="AN275" s="54">
        <f>IF(OR(T275="Open",AND(T275="Won",ABS(Y275)&gt;0.5)),1,0)</f>
        <v/>
      </c>
      <c r="AO275" s="52">
        <f>IF(T275="Open",IF(V275=0,0,X275),IF(T275="Won",MAX(0,Y275),0))</f>
        <v/>
      </c>
      <c r="AP275" s="54">
        <f>IF(AN275=1,AL275*1E+9+U275+ROW()/1E+6,"")</f>
        <v/>
      </c>
      <c r="AQ275" s="9">
        <f>MID(IF(AF275&gt;0,"; Expected month passed - update Zoho","")&amp;IF(AG275&gt;0,"; "&amp;TEXT(U275/MAX(1,SUMIFS($U$2:$U$601,$T$2:$T$601,"Open")),"0%")&amp;" of open pipeline in one deal","")&amp;IF(AH275&gt;0,"; Large deal at an early stage","")&amp;IF(AI275&gt;0,"; No amount in Zoho","")&amp;IF(AJ275&gt;0,"; Won, invoice month passed, not fully invoiced","")&amp;IF(AK275&gt;0,"; Xero invoiced more than the deal value",""),3,300)</f>
        <v/>
      </c>
    </row>
    <row r="276">
      <c r="T276" s="9">
        <f>IFERROR(INDEX($A276:$R276,MATCH("Status",$A$1:$R$1,0)),"")&amp;""</f>
        <v/>
      </c>
      <c r="U276" s="52">
        <f>IFERROR(N(IFERROR(INDEX($A276:$R276,MATCH("Value Ex GST",$A$1:$R$1,0)),"")),0)</f>
        <v/>
      </c>
      <c r="V276" s="54">
        <f>IF(AND(T276&lt;&gt;"",IFERROR(INDEX($A276:$R276,MATCH("Value Ex GST",$A$1:$R$1,0)),"")&amp;""&lt;&gt;""),1,0)</f>
        <v/>
      </c>
      <c r="W276" s="56">
        <f>IFERROR(N(IFERROR(INDEX($A276:$R276,MATCH("Probability",$A$1:$R$1,0)),"")),0)</f>
        <v/>
      </c>
      <c r="X276" s="52">
        <f>IF(T276="Open",U276*W276,0)</f>
        <v/>
      </c>
      <c r="Y276" s="52">
        <f>IF(T276="Won",IFERROR(N(IFERROR(INDEX($A276:$R276,MATCH("Still to Invoice",$A$1:$R$1,0)),"")),0),0)</f>
        <v/>
      </c>
      <c r="Z276" s="55">
        <f>IFERROR(EOMONTH(IFERROR(INDEX($A276:$R276,MATCH("Expected Invoice Month",$A$1:$R$1,0)),""),0),"")</f>
        <v/>
      </c>
      <c r="AA276" s="9">
        <f>IFERROR(INDEX($A276:$R276,MATCH("Cost Centre",$A$1:$R$1,0)),"")&amp;""</f>
        <v/>
      </c>
      <c r="AB276" s="9">
        <f>IFERROR(INDEX($A276:$R276,MATCH("Pipeline Stage",$A$1:$R$1,0)),"")&amp;""</f>
        <v/>
      </c>
      <c r="AC276" s="9">
        <f>IFERROR(INDEX($A276:$R276,MATCH("Client",$A$1:$R$1,0)),"")&amp;""</f>
        <v/>
      </c>
      <c r="AD276" s="9">
        <f>IFERROR(INDEX($A276:$R276,MATCH("Description",$A$1:$R$1,0)),"")&amp;""</f>
        <v/>
      </c>
      <c r="AE276" s="9">
        <f>IFERROR(INDEX($A276:$R276,MATCH("Job Number",$A$1:$R$1,0)),"")&amp;""</f>
        <v/>
      </c>
      <c r="AF276" s="54">
        <f>IF(AND(T276="Open",ISNUMBER(Z276),Z276&lt;EOMONTH(set_AsAt,-1)+1),3,0)</f>
        <v/>
      </c>
      <c r="AG276" s="54">
        <f>IF(AND(T276="Open",U276&gt;0,U276&gt;=set_DealShare*SUMIFS($U$2:$U$601,$T$2:$T$601,"Open")),3,0)</f>
        <v/>
      </c>
      <c r="AH276" s="54">
        <f>IF(AND(T276="Open",U276&gt;=set_BigValue,W276&lt;=set_EarlyProb),2,0)</f>
        <v/>
      </c>
      <c r="AI276" s="54">
        <f>IF(AND(OR(T276="Open",T276="Won"),V276=0),2,0)</f>
        <v/>
      </c>
      <c r="AJ276" s="54">
        <f>IF(AND(T276="Won",Y276&gt;0.5,ISNUMBER(Z276),Z276&lt;EOMONTH(set_AsAt,-1)+1),3,0)</f>
        <v/>
      </c>
      <c r="AK276" s="54">
        <f>IF(AND(T276="Won",Y276&lt;-1),1,0)</f>
        <v/>
      </c>
      <c r="AL276" s="54">
        <f>SUM(AF276:AK276)</f>
        <v/>
      </c>
      <c r="AM276" s="9">
        <f>IF(AL276&gt;=set_ScoreHigh,"High",IF(AL276&gt;=set_ScoreMed,"Medium",IF(AL276&gt;0,"Low","OK")))</f>
        <v/>
      </c>
      <c r="AN276" s="54">
        <f>IF(OR(T276="Open",AND(T276="Won",ABS(Y276)&gt;0.5)),1,0)</f>
        <v/>
      </c>
      <c r="AO276" s="52">
        <f>IF(T276="Open",IF(V276=0,0,X276),IF(T276="Won",MAX(0,Y276),0))</f>
        <v/>
      </c>
      <c r="AP276" s="54">
        <f>IF(AN276=1,AL276*1E+9+U276+ROW()/1E+6,"")</f>
        <v/>
      </c>
      <c r="AQ276" s="9">
        <f>MID(IF(AF276&gt;0,"; Expected month passed - update Zoho","")&amp;IF(AG276&gt;0,"; "&amp;TEXT(U276/MAX(1,SUMIFS($U$2:$U$601,$T$2:$T$601,"Open")),"0%")&amp;" of open pipeline in one deal","")&amp;IF(AH276&gt;0,"; Large deal at an early stage","")&amp;IF(AI276&gt;0,"; No amount in Zoho","")&amp;IF(AJ276&gt;0,"; Won, invoice month passed, not fully invoiced","")&amp;IF(AK276&gt;0,"; Xero invoiced more than the deal value",""),3,300)</f>
        <v/>
      </c>
    </row>
    <row r="277">
      <c r="T277" s="9">
        <f>IFERROR(INDEX($A277:$R277,MATCH("Status",$A$1:$R$1,0)),"")&amp;""</f>
        <v/>
      </c>
      <c r="U277" s="52">
        <f>IFERROR(N(IFERROR(INDEX($A277:$R277,MATCH("Value Ex GST",$A$1:$R$1,0)),"")),0)</f>
        <v/>
      </c>
      <c r="V277" s="54">
        <f>IF(AND(T277&lt;&gt;"",IFERROR(INDEX($A277:$R277,MATCH("Value Ex GST",$A$1:$R$1,0)),"")&amp;""&lt;&gt;""),1,0)</f>
        <v/>
      </c>
      <c r="W277" s="56">
        <f>IFERROR(N(IFERROR(INDEX($A277:$R277,MATCH("Probability",$A$1:$R$1,0)),"")),0)</f>
        <v/>
      </c>
      <c r="X277" s="52">
        <f>IF(T277="Open",U277*W277,0)</f>
        <v/>
      </c>
      <c r="Y277" s="52">
        <f>IF(T277="Won",IFERROR(N(IFERROR(INDEX($A277:$R277,MATCH("Still to Invoice",$A$1:$R$1,0)),"")),0),0)</f>
        <v/>
      </c>
      <c r="Z277" s="55">
        <f>IFERROR(EOMONTH(IFERROR(INDEX($A277:$R277,MATCH("Expected Invoice Month",$A$1:$R$1,0)),""),0),"")</f>
        <v/>
      </c>
      <c r="AA277" s="9">
        <f>IFERROR(INDEX($A277:$R277,MATCH("Cost Centre",$A$1:$R$1,0)),"")&amp;""</f>
        <v/>
      </c>
      <c r="AB277" s="9">
        <f>IFERROR(INDEX($A277:$R277,MATCH("Pipeline Stage",$A$1:$R$1,0)),"")&amp;""</f>
        <v/>
      </c>
      <c r="AC277" s="9">
        <f>IFERROR(INDEX($A277:$R277,MATCH("Client",$A$1:$R$1,0)),"")&amp;""</f>
        <v/>
      </c>
      <c r="AD277" s="9">
        <f>IFERROR(INDEX($A277:$R277,MATCH("Description",$A$1:$R$1,0)),"")&amp;""</f>
        <v/>
      </c>
      <c r="AE277" s="9">
        <f>IFERROR(INDEX($A277:$R277,MATCH("Job Number",$A$1:$R$1,0)),"")&amp;""</f>
        <v/>
      </c>
      <c r="AF277" s="54">
        <f>IF(AND(T277="Open",ISNUMBER(Z277),Z277&lt;EOMONTH(set_AsAt,-1)+1),3,0)</f>
        <v/>
      </c>
      <c r="AG277" s="54">
        <f>IF(AND(T277="Open",U277&gt;0,U277&gt;=set_DealShare*SUMIFS($U$2:$U$601,$T$2:$T$601,"Open")),3,0)</f>
        <v/>
      </c>
      <c r="AH277" s="54">
        <f>IF(AND(T277="Open",U277&gt;=set_BigValue,W277&lt;=set_EarlyProb),2,0)</f>
        <v/>
      </c>
      <c r="AI277" s="54">
        <f>IF(AND(OR(T277="Open",T277="Won"),V277=0),2,0)</f>
        <v/>
      </c>
      <c r="AJ277" s="54">
        <f>IF(AND(T277="Won",Y277&gt;0.5,ISNUMBER(Z277),Z277&lt;EOMONTH(set_AsAt,-1)+1),3,0)</f>
        <v/>
      </c>
      <c r="AK277" s="54">
        <f>IF(AND(T277="Won",Y277&lt;-1),1,0)</f>
        <v/>
      </c>
      <c r="AL277" s="54">
        <f>SUM(AF277:AK277)</f>
        <v/>
      </c>
      <c r="AM277" s="9">
        <f>IF(AL277&gt;=set_ScoreHigh,"High",IF(AL277&gt;=set_ScoreMed,"Medium",IF(AL277&gt;0,"Low","OK")))</f>
        <v/>
      </c>
      <c r="AN277" s="54">
        <f>IF(OR(T277="Open",AND(T277="Won",ABS(Y277)&gt;0.5)),1,0)</f>
        <v/>
      </c>
      <c r="AO277" s="52">
        <f>IF(T277="Open",IF(V277=0,0,X277),IF(T277="Won",MAX(0,Y277),0))</f>
        <v/>
      </c>
      <c r="AP277" s="54">
        <f>IF(AN277=1,AL277*1E+9+U277+ROW()/1E+6,"")</f>
        <v/>
      </c>
      <c r="AQ277" s="9">
        <f>MID(IF(AF277&gt;0,"; Expected month passed - update Zoho","")&amp;IF(AG277&gt;0,"; "&amp;TEXT(U277/MAX(1,SUMIFS($U$2:$U$601,$T$2:$T$601,"Open")),"0%")&amp;" of open pipeline in one deal","")&amp;IF(AH277&gt;0,"; Large deal at an early stage","")&amp;IF(AI277&gt;0,"; No amount in Zoho","")&amp;IF(AJ277&gt;0,"; Won, invoice month passed, not fully invoiced","")&amp;IF(AK277&gt;0,"; Xero invoiced more than the deal value",""),3,300)</f>
        <v/>
      </c>
    </row>
    <row r="278">
      <c r="T278" s="9">
        <f>IFERROR(INDEX($A278:$R278,MATCH("Status",$A$1:$R$1,0)),"")&amp;""</f>
        <v/>
      </c>
      <c r="U278" s="52">
        <f>IFERROR(N(IFERROR(INDEX($A278:$R278,MATCH("Value Ex GST",$A$1:$R$1,0)),"")),0)</f>
        <v/>
      </c>
      <c r="V278" s="54">
        <f>IF(AND(T278&lt;&gt;"",IFERROR(INDEX($A278:$R278,MATCH("Value Ex GST",$A$1:$R$1,0)),"")&amp;""&lt;&gt;""),1,0)</f>
        <v/>
      </c>
      <c r="W278" s="56">
        <f>IFERROR(N(IFERROR(INDEX($A278:$R278,MATCH("Probability",$A$1:$R$1,0)),"")),0)</f>
        <v/>
      </c>
      <c r="X278" s="52">
        <f>IF(T278="Open",U278*W278,0)</f>
        <v/>
      </c>
      <c r="Y278" s="52">
        <f>IF(T278="Won",IFERROR(N(IFERROR(INDEX($A278:$R278,MATCH("Still to Invoice",$A$1:$R$1,0)),"")),0),0)</f>
        <v/>
      </c>
      <c r="Z278" s="55">
        <f>IFERROR(EOMONTH(IFERROR(INDEX($A278:$R278,MATCH("Expected Invoice Month",$A$1:$R$1,0)),""),0),"")</f>
        <v/>
      </c>
      <c r="AA278" s="9">
        <f>IFERROR(INDEX($A278:$R278,MATCH("Cost Centre",$A$1:$R$1,0)),"")&amp;""</f>
        <v/>
      </c>
      <c r="AB278" s="9">
        <f>IFERROR(INDEX($A278:$R278,MATCH("Pipeline Stage",$A$1:$R$1,0)),"")&amp;""</f>
        <v/>
      </c>
      <c r="AC278" s="9">
        <f>IFERROR(INDEX($A278:$R278,MATCH("Client",$A$1:$R$1,0)),"")&amp;""</f>
        <v/>
      </c>
      <c r="AD278" s="9">
        <f>IFERROR(INDEX($A278:$R278,MATCH("Description",$A$1:$R$1,0)),"")&amp;""</f>
        <v/>
      </c>
      <c r="AE278" s="9">
        <f>IFERROR(INDEX($A278:$R278,MATCH("Job Number",$A$1:$R$1,0)),"")&amp;""</f>
        <v/>
      </c>
      <c r="AF278" s="54">
        <f>IF(AND(T278="Open",ISNUMBER(Z278),Z278&lt;EOMONTH(set_AsAt,-1)+1),3,0)</f>
        <v/>
      </c>
      <c r="AG278" s="54">
        <f>IF(AND(T278="Open",U278&gt;0,U278&gt;=set_DealShare*SUMIFS($U$2:$U$601,$T$2:$T$601,"Open")),3,0)</f>
        <v/>
      </c>
      <c r="AH278" s="54">
        <f>IF(AND(T278="Open",U278&gt;=set_BigValue,W278&lt;=set_EarlyProb),2,0)</f>
        <v/>
      </c>
      <c r="AI278" s="54">
        <f>IF(AND(OR(T278="Open",T278="Won"),V278=0),2,0)</f>
        <v/>
      </c>
      <c r="AJ278" s="54">
        <f>IF(AND(T278="Won",Y278&gt;0.5,ISNUMBER(Z278),Z278&lt;EOMONTH(set_AsAt,-1)+1),3,0)</f>
        <v/>
      </c>
      <c r="AK278" s="54">
        <f>IF(AND(T278="Won",Y278&lt;-1),1,0)</f>
        <v/>
      </c>
      <c r="AL278" s="54">
        <f>SUM(AF278:AK278)</f>
        <v/>
      </c>
      <c r="AM278" s="9">
        <f>IF(AL278&gt;=set_ScoreHigh,"High",IF(AL278&gt;=set_ScoreMed,"Medium",IF(AL278&gt;0,"Low","OK")))</f>
        <v/>
      </c>
      <c r="AN278" s="54">
        <f>IF(OR(T278="Open",AND(T278="Won",ABS(Y278)&gt;0.5)),1,0)</f>
        <v/>
      </c>
      <c r="AO278" s="52">
        <f>IF(T278="Open",IF(V278=0,0,X278),IF(T278="Won",MAX(0,Y278),0))</f>
        <v/>
      </c>
      <c r="AP278" s="54">
        <f>IF(AN278=1,AL278*1E+9+U278+ROW()/1E+6,"")</f>
        <v/>
      </c>
      <c r="AQ278" s="9">
        <f>MID(IF(AF278&gt;0,"; Expected month passed - update Zoho","")&amp;IF(AG278&gt;0,"; "&amp;TEXT(U278/MAX(1,SUMIFS($U$2:$U$601,$T$2:$T$601,"Open")),"0%")&amp;" of open pipeline in one deal","")&amp;IF(AH278&gt;0,"; Large deal at an early stage","")&amp;IF(AI278&gt;0,"; No amount in Zoho","")&amp;IF(AJ278&gt;0,"; Won, invoice month passed, not fully invoiced","")&amp;IF(AK278&gt;0,"; Xero invoiced more than the deal value",""),3,300)</f>
        <v/>
      </c>
    </row>
    <row r="279">
      <c r="T279" s="9">
        <f>IFERROR(INDEX($A279:$R279,MATCH("Status",$A$1:$R$1,0)),"")&amp;""</f>
        <v/>
      </c>
      <c r="U279" s="52">
        <f>IFERROR(N(IFERROR(INDEX($A279:$R279,MATCH("Value Ex GST",$A$1:$R$1,0)),"")),0)</f>
        <v/>
      </c>
      <c r="V279" s="54">
        <f>IF(AND(T279&lt;&gt;"",IFERROR(INDEX($A279:$R279,MATCH("Value Ex GST",$A$1:$R$1,0)),"")&amp;""&lt;&gt;""),1,0)</f>
        <v/>
      </c>
      <c r="W279" s="56">
        <f>IFERROR(N(IFERROR(INDEX($A279:$R279,MATCH("Probability",$A$1:$R$1,0)),"")),0)</f>
        <v/>
      </c>
      <c r="X279" s="52">
        <f>IF(T279="Open",U279*W279,0)</f>
        <v/>
      </c>
      <c r="Y279" s="52">
        <f>IF(T279="Won",IFERROR(N(IFERROR(INDEX($A279:$R279,MATCH("Still to Invoice",$A$1:$R$1,0)),"")),0),0)</f>
        <v/>
      </c>
      <c r="Z279" s="55">
        <f>IFERROR(EOMONTH(IFERROR(INDEX($A279:$R279,MATCH("Expected Invoice Month",$A$1:$R$1,0)),""),0),"")</f>
        <v/>
      </c>
      <c r="AA279" s="9">
        <f>IFERROR(INDEX($A279:$R279,MATCH("Cost Centre",$A$1:$R$1,0)),"")&amp;""</f>
        <v/>
      </c>
      <c r="AB279" s="9">
        <f>IFERROR(INDEX($A279:$R279,MATCH("Pipeline Stage",$A$1:$R$1,0)),"")&amp;""</f>
        <v/>
      </c>
      <c r="AC279" s="9">
        <f>IFERROR(INDEX($A279:$R279,MATCH("Client",$A$1:$R$1,0)),"")&amp;""</f>
        <v/>
      </c>
      <c r="AD279" s="9">
        <f>IFERROR(INDEX($A279:$R279,MATCH("Description",$A$1:$R$1,0)),"")&amp;""</f>
        <v/>
      </c>
      <c r="AE279" s="9">
        <f>IFERROR(INDEX($A279:$R279,MATCH("Job Number",$A$1:$R$1,0)),"")&amp;""</f>
        <v/>
      </c>
      <c r="AF279" s="54">
        <f>IF(AND(T279="Open",ISNUMBER(Z279),Z279&lt;EOMONTH(set_AsAt,-1)+1),3,0)</f>
        <v/>
      </c>
      <c r="AG279" s="54">
        <f>IF(AND(T279="Open",U279&gt;0,U279&gt;=set_DealShare*SUMIFS($U$2:$U$601,$T$2:$T$601,"Open")),3,0)</f>
        <v/>
      </c>
      <c r="AH279" s="54">
        <f>IF(AND(T279="Open",U279&gt;=set_BigValue,W279&lt;=set_EarlyProb),2,0)</f>
        <v/>
      </c>
      <c r="AI279" s="54">
        <f>IF(AND(OR(T279="Open",T279="Won"),V279=0),2,0)</f>
        <v/>
      </c>
      <c r="AJ279" s="54">
        <f>IF(AND(T279="Won",Y279&gt;0.5,ISNUMBER(Z279),Z279&lt;EOMONTH(set_AsAt,-1)+1),3,0)</f>
        <v/>
      </c>
      <c r="AK279" s="54">
        <f>IF(AND(T279="Won",Y279&lt;-1),1,0)</f>
        <v/>
      </c>
      <c r="AL279" s="54">
        <f>SUM(AF279:AK279)</f>
        <v/>
      </c>
      <c r="AM279" s="9">
        <f>IF(AL279&gt;=set_ScoreHigh,"High",IF(AL279&gt;=set_ScoreMed,"Medium",IF(AL279&gt;0,"Low","OK")))</f>
        <v/>
      </c>
      <c r="AN279" s="54">
        <f>IF(OR(T279="Open",AND(T279="Won",ABS(Y279)&gt;0.5)),1,0)</f>
        <v/>
      </c>
      <c r="AO279" s="52">
        <f>IF(T279="Open",IF(V279=0,0,X279),IF(T279="Won",MAX(0,Y279),0))</f>
        <v/>
      </c>
      <c r="AP279" s="54">
        <f>IF(AN279=1,AL279*1E+9+U279+ROW()/1E+6,"")</f>
        <v/>
      </c>
      <c r="AQ279" s="9">
        <f>MID(IF(AF279&gt;0,"; Expected month passed - update Zoho","")&amp;IF(AG279&gt;0,"; "&amp;TEXT(U279/MAX(1,SUMIFS($U$2:$U$601,$T$2:$T$601,"Open")),"0%")&amp;" of open pipeline in one deal","")&amp;IF(AH279&gt;0,"; Large deal at an early stage","")&amp;IF(AI279&gt;0,"; No amount in Zoho","")&amp;IF(AJ279&gt;0,"; Won, invoice month passed, not fully invoiced","")&amp;IF(AK279&gt;0,"; Xero invoiced more than the deal value",""),3,300)</f>
        <v/>
      </c>
    </row>
    <row r="280">
      <c r="T280" s="9">
        <f>IFERROR(INDEX($A280:$R280,MATCH("Status",$A$1:$R$1,0)),"")&amp;""</f>
        <v/>
      </c>
      <c r="U280" s="52">
        <f>IFERROR(N(IFERROR(INDEX($A280:$R280,MATCH("Value Ex GST",$A$1:$R$1,0)),"")),0)</f>
        <v/>
      </c>
      <c r="V280" s="54">
        <f>IF(AND(T280&lt;&gt;"",IFERROR(INDEX($A280:$R280,MATCH("Value Ex GST",$A$1:$R$1,0)),"")&amp;""&lt;&gt;""),1,0)</f>
        <v/>
      </c>
      <c r="W280" s="56">
        <f>IFERROR(N(IFERROR(INDEX($A280:$R280,MATCH("Probability",$A$1:$R$1,0)),"")),0)</f>
        <v/>
      </c>
      <c r="X280" s="52">
        <f>IF(T280="Open",U280*W280,0)</f>
        <v/>
      </c>
      <c r="Y280" s="52">
        <f>IF(T280="Won",IFERROR(N(IFERROR(INDEX($A280:$R280,MATCH("Still to Invoice",$A$1:$R$1,0)),"")),0),0)</f>
        <v/>
      </c>
      <c r="Z280" s="55">
        <f>IFERROR(EOMONTH(IFERROR(INDEX($A280:$R280,MATCH("Expected Invoice Month",$A$1:$R$1,0)),""),0),"")</f>
        <v/>
      </c>
      <c r="AA280" s="9">
        <f>IFERROR(INDEX($A280:$R280,MATCH("Cost Centre",$A$1:$R$1,0)),"")&amp;""</f>
        <v/>
      </c>
      <c r="AB280" s="9">
        <f>IFERROR(INDEX($A280:$R280,MATCH("Pipeline Stage",$A$1:$R$1,0)),"")&amp;""</f>
        <v/>
      </c>
      <c r="AC280" s="9">
        <f>IFERROR(INDEX($A280:$R280,MATCH("Client",$A$1:$R$1,0)),"")&amp;""</f>
        <v/>
      </c>
      <c r="AD280" s="9">
        <f>IFERROR(INDEX($A280:$R280,MATCH("Description",$A$1:$R$1,0)),"")&amp;""</f>
        <v/>
      </c>
      <c r="AE280" s="9">
        <f>IFERROR(INDEX($A280:$R280,MATCH("Job Number",$A$1:$R$1,0)),"")&amp;""</f>
        <v/>
      </c>
      <c r="AF280" s="54">
        <f>IF(AND(T280="Open",ISNUMBER(Z280),Z280&lt;EOMONTH(set_AsAt,-1)+1),3,0)</f>
        <v/>
      </c>
      <c r="AG280" s="54">
        <f>IF(AND(T280="Open",U280&gt;0,U280&gt;=set_DealShare*SUMIFS($U$2:$U$601,$T$2:$T$601,"Open")),3,0)</f>
        <v/>
      </c>
      <c r="AH280" s="54">
        <f>IF(AND(T280="Open",U280&gt;=set_BigValue,W280&lt;=set_EarlyProb),2,0)</f>
        <v/>
      </c>
      <c r="AI280" s="54">
        <f>IF(AND(OR(T280="Open",T280="Won"),V280=0),2,0)</f>
        <v/>
      </c>
      <c r="AJ280" s="54">
        <f>IF(AND(T280="Won",Y280&gt;0.5,ISNUMBER(Z280),Z280&lt;EOMONTH(set_AsAt,-1)+1),3,0)</f>
        <v/>
      </c>
      <c r="AK280" s="54">
        <f>IF(AND(T280="Won",Y280&lt;-1),1,0)</f>
        <v/>
      </c>
      <c r="AL280" s="54">
        <f>SUM(AF280:AK280)</f>
        <v/>
      </c>
      <c r="AM280" s="9">
        <f>IF(AL280&gt;=set_ScoreHigh,"High",IF(AL280&gt;=set_ScoreMed,"Medium",IF(AL280&gt;0,"Low","OK")))</f>
        <v/>
      </c>
      <c r="AN280" s="54">
        <f>IF(OR(T280="Open",AND(T280="Won",ABS(Y280)&gt;0.5)),1,0)</f>
        <v/>
      </c>
      <c r="AO280" s="52">
        <f>IF(T280="Open",IF(V280=0,0,X280),IF(T280="Won",MAX(0,Y280),0))</f>
        <v/>
      </c>
      <c r="AP280" s="54">
        <f>IF(AN280=1,AL280*1E+9+U280+ROW()/1E+6,"")</f>
        <v/>
      </c>
      <c r="AQ280" s="9">
        <f>MID(IF(AF280&gt;0,"; Expected month passed - update Zoho","")&amp;IF(AG280&gt;0,"; "&amp;TEXT(U280/MAX(1,SUMIFS($U$2:$U$601,$T$2:$T$601,"Open")),"0%")&amp;" of open pipeline in one deal","")&amp;IF(AH280&gt;0,"; Large deal at an early stage","")&amp;IF(AI280&gt;0,"; No amount in Zoho","")&amp;IF(AJ280&gt;0,"; Won, invoice month passed, not fully invoiced","")&amp;IF(AK280&gt;0,"; Xero invoiced more than the deal value",""),3,300)</f>
        <v/>
      </c>
    </row>
    <row r="281">
      <c r="T281" s="9">
        <f>IFERROR(INDEX($A281:$R281,MATCH("Status",$A$1:$R$1,0)),"")&amp;""</f>
        <v/>
      </c>
      <c r="U281" s="52">
        <f>IFERROR(N(IFERROR(INDEX($A281:$R281,MATCH("Value Ex GST",$A$1:$R$1,0)),"")),0)</f>
        <v/>
      </c>
      <c r="V281" s="54">
        <f>IF(AND(T281&lt;&gt;"",IFERROR(INDEX($A281:$R281,MATCH("Value Ex GST",$A$1:$R$1,0)),"")&amp;""&lt;&gt;""),1,0)</f>
        <v/>
      </c>
      <c r="W281" s="56">
        <f>IFERROR(N(IFERROR(INDEX($A281:$R281,MATCH("Probability",$A$1:$R$1,0)),"")),0)</f>
        <v/>
      </c>
      <c r="X281" s="52">
        <f>IF(T281="Open",U281*W281,0)</f>
        <v/>
      </c>
      <c r="Y281" s="52">
        <f>IF(T281="Won",IFERROR(N(IFERROR(INDEX($A281:$R281,MATCH("Still to Invoice",$A$1:$R$1,0)),"")),0),0)</f>
        <v/>
      </c>
      <c r="Z281" s="55">
        <f>IFERROR(EOMONTH(IFERROR(INDEX($A281:$R281,MATCH("Expected Invoice Month",$A$1:$R$1,0)),""),0),"")</f>
        <v/>
      </c>
      <c r="AA281" s="9">
        <f>IFERROR(INDEX($A281:$R281,MATCH("Cost Centre",$A$1:$R$1,0)),"")&amp;""</f>
        <v/>
      </c>
      <c r="AB281" s="9">
        <f>IFERROR(INDEX($A281:$R281,MATCH("Pipeline Stage",$A$1:$R$1,0)),"")&amp;""</f>
        <v/>
      </c>
      <c r="AC281" s="9">
        <f>IFERROR(INDEX($A281:$R281,MATCH("Client",$A$1:$R$1,0)),"")&amp;""</f>
        <v/>
      </c>
      <c r="AD281" s="9">
        <f>IFERROR(INDEX($A281:$R281,MATCH("Description",$A$1:$R$1,0)),"")&amp;""</f>
        <v/>
      </c>
      <c r="AE281" s="9">
        <f>IFERROR(INDEX($A281:$R281,MATCH("Job Number",$A$1:$R$1,0)),"")&amp;""</f>
        <v/>
      </c>
      <c r="AF281" s="54">
        <f>IF(AND(T281="Open",ISNUMBER(Z281),Z281&lt;EOMONTH(set_AsAt,-1)+1),3,0)</f>
        <v/>
      </c>
      <c r="AG281" s="54">
        <f>IF(AND(T281="Open",U281&gt;0,U281&gt;=set_DealShare*SUMIFS($U$2:$U$601,$T$2:$T$601,"Open")),3,0)</f>
        <v/>
      </c>
      <c r="AH281" s="54">
        <f>IF(AND(T281="Open",U281&gt;=set_BigValue,W281&lt;=set_EarlyProb),2,0)</f>
        <v/>
      </c>
      <c r="AI281" s="54">
        <f>IF(AND(OR(T281="Open",T281="Won"),V281=0),2,0)</f>
        <v/>
      </c>
      <c r="AJ281" s="54">
        <f>IF(AND(T281="Won",Y281&gt;0.5,ISNUMBER(Z281),Z281&lt;EOMONTH(set_AsAt,-1)+1),3,0)</f>
        <v/>
      </c>
      <c r="AK281" s="54">
        <f>IF(AND(T281="Won",Y281&lt;-1),1,0)</f>
        <v/>
      </c>
      <c r="AL281" s="54">
        <f>SUM(AF281:AK281)</f>
        <v/>
      </c>
      <c r="AM281" s="9">
        <f>IF(AL281&gt;=set_ScoreHigh,"High",IF(AL281&gt;=set_ScoreMed,"Medium",IF(AL281&gt;0,"Low","OK")))</f>
        <v/>
      </c>
      <c r="AN281" s="54">
        <f>IF(OR(T281="Open",AND(T281="Won",ABS(Y281)&gt;0.5)),1,0)</f>
        <v/>
      </c>
      <c r="AO281" s="52">
        <f>IF(T281="Open",IF(V281=0,0,X281),IF(T281="Won",MAX(0,Y281),0))</f>
        <v/>
      </c>
      <c r="AP281" s="54">
        <f>IF(AN281=1,AL281*1E+9+U281+ROW()/1E+6,"")</f>
        <v/>
      </c>
      <c r="AQ281" s="9">
        <f>MID(IF(AF281&gt;0,"; Expected month passed - update Zoho","")&amp;IF(AG281&gt;0,"; "&amp;TEXT(U281/MAX(1,SUMIFS($U$2:$U$601,$T$2:$T$601,"Open")),"0%")&amp;" of open pipeline in one deal","")&amp;IF(AH281&gt;0,"; Large deal at an early stage","")&amp;IF(AI281&gt;0,"; No amount in Zoho","")&amp;IF(AJ281&gt;0,"; Won, invoice month passed, not fully invoiced","")&amp;IF(AK281&gt;0,"; Xero invoiced more than the deal value",""),3,300)</f>
        <v/>
      </c>
    </row>
    <row r="282">
      <c r="T282" s="9">
        <f>IFERROR(INDEX($A282:$R282,MATCH("Status",$A$1:$R$1,0)),"")&amp;""</f>
        <v/>
      </c>
      <c r="U282" s="52">
        <f>IFERROR(N(IFERROR(INDEX($A282:$R282,MATCH("Value Ex GST",$A$1:$R$1,0)),"")),0)</f>
        <v/>
      </c>
      <c r="V282" s="54">
        <f>IF(AND(T282&lt;&gt;"",IFERROR(INDEX($A282:$R282,MATCH("Value Ex GST",$A$1:$R$1,0)),"")&amp;""&lt;&gt;""),1,0)</f>
        <v/>
      </c>
      <c r="W282" s="56">
        <f>IFERROR(N(IFERROR(INDEX($A282:$R282,MATCH("Probability",$A$1:$R$1,0)),"")),0)</f>
        <v/>
      </c>
      <c r="X282" s="52">
        <f>IF(T282="Open",U282*W282,0)</f>
        <v/>
      </c>
      <c r="Y282" s="52">
        <f>IF(T282="Won",IFERROR(N(IFERROR(INDEX($A282:$R282,MATCH("Still to Invoice",$A$1:$R$1,0)),"")),0),0)</f>
        <v/>
      </c>
      <c r="Z282" s="55">
        <f>IFERROR(EOMONTH(IFERROR(INDEX($A282:$R282,MATCH("Expected Invoice Month",$A$1:$R$1,0)),""),0),"")</f>
        <v/>
      </c>
      <c r="AA282" s="9">
        <f>IFERROR(INDEX($A282:$R282,MATCH("Cost Centre",$A$1:$R$1,0)),"")&amp;""</f>
        <v/>
      </c>
      <c r="AB282" s="9">
        <f>IFERROR(INDEX($A282:$R282,MATCH("Pipeline Stage",$A$1:$R$1,0)),"")&amp;""</f>
        <v/>
      </c>
      <c r="AC282" s="9">
        <f>IFERROR(INDEX($A282:$R282,MATCH("Client",$A$1:$R$1,0)),"")&amp;""</f>
        <v/>
      </c>
      <c r="AD282" s="9">
        <f>IFERROR(INDEX($A282:$R282,MATCH("Description",$A$1:$R$1,0)),"")&amp;""</f>
        <v/>
      </c>
      <c r="AE282" s="9">
        <f>IFERROR(INDEX($A282:$R282,MATCH("Job Number",$A$1:$R$1,0)),"")&amp;""</f>
        <v/>
      </c>
      <c r="AF282" s="54">
        <f>IF(AND(T282="Open",ISNUMBER(Z282),Z282&lt;EOMONTH(set_AsAt,-1)+1),3,0)</f>
        <v/>
      </c>
      <c r="AG282" s="54">
        <f>IF(AND(T282="Open",U282&gt;0,U282&gt;=set_DealShare*SUMIFS($U$2:$U$601,$T$2:$T$601,"Open")),3,0)</f>
        <v/>
      </c>
      <c r="AH282" s="54">
        <f>IF(AND(T282="Open",U282&gt;=set_BigValue,W282&lt;=set_EarlyProb),2,0)</f>
        <v/>
      </c>
      <c r="AI282" s="54">
        <f>IF(AND(OR(T282="Open",T282="Won"),V282=0),2,0)</f>
        <v/>
      </c>
      <c r="AJ282" s="54">
        <f>IF(AND(T282="Won",Y282&gt;0.5,ISNUMBER(Z282),Z282&lt;EOMONTH(set_AsAt,-1)+1),3,0)</f>
        <v/>
      </c>
      <c r="AK282" s="54">
        <f>IF(AND(T282="Won",Y282&lt;-1),1,0)</f>
        <v/>
      </c>
      <c r="AL282" s="54">
        <f>SUM(AF282:AK282)</f>
        <v/>
      </c>
      <c r="AM282" s="9">
        <f>IF(AL282&gt;=set_ScoreHigh,"High",IF(AL282&gt;=set_ScoreMed,"Medium",IF(AL282&gt;0,"Low","OK")))</f>
        <v/>
      </c>
      <c r="AN282" s="54">
        <f>IF(OR(T282="Open",AND(T282="Won",ABS(Y282)&gt;0.5)),1,0)</f>
        <v/>
      </c>
      <c r="AO282" s="52">
        <f>IF(T282="Open",IF(V282=0,0,X282),IF(T282="Won",MAX(0,Y282),0))</f>
        <v/>
      </c>
      <c r="AP282" s="54">
        <f>IF(AN282=1,AL282*1E+9+U282+ROW()/1E+6,"")</f>
        <v/>
      </c>
      <c r="AQ282" s="9">
        <f>MID(IF(AF282&gt;0,"; Expected month passed - update Zoho","")&amp;IF(AG282&gt;0,"; "&amp;TEXT(U282/MAX(1,SUMIFS($U$2:$U$601,$T$2:$T$601,"Open")),"0%")&amp;" of open pipeline in one deal","")&amp;IF(AH282&gt;0,"; Large deal at an early stage","")&amp;IF(AI282&gt;0,"; No amount in Zoho","")&amp;IF(AJ282&gt;0,"; Won, invoice month passed, not fully invoiced","")&amp;IF(AK282&gt;0,"; Xero invoiced more than the deal value",""),3,300)</f>
        <v/>
      </c>
    </row>
    <row r="283">
      <c r="T283" s="9">
        <f>IFERROR(INDEX($A283:$R283,MATCH("Status",$A$1:$R$1,0)),"")&amp;""</f>
        <v/>
      </c>
      <c r="U283" s="52">
        <f>IFERROR(N(IFERROR(INDEX($A283:$R283,MATCH("Value Ex GST",$A$1:$R$1,0)),"")),0)</f>
        <v/>
      </c>
      <c r="V283" s="54">
        <f>IF(AND(T283&lt;&gt;"",IFERROR(INDEX($A283:$R283,MATCH("Value Ex GST",$A$1:$R$1,0)),"")&amp;""&lt;&gt;""),1,0)</f>
        <v/>
      </c>
      <c r="W283" s="56">
        <f>IFERROR(N(IFERROR(INDEX($A283:$R283,MATCH("Probability",$A$1:$R$1,0)),"")),0)</f>
        <v/>
      </c>
      <c r="X283" s="52">
        <f>IF(T283="Open",U283*W283,0)</f>
        <v/>
      </c>
      <c r="Y283" s="52">
        <f>IF(T283="Won",IFERROR(N(IFERROR(INDEX($A283:$R283,MATCH("Still to Invoice",$A$1:$R$1,0)),"")),0),0)</f>
        <v/>
      </c>
      <c r="Z283" s="55">
        <f>IFERROR(EOMONTH(IFERROR(INDEX($A283:$R283,MATCH("Expected Invoice Month",$A$1:$R$1,0)),""),0),"")</f>
        <v/>
      </c>
      <c r="AA283" s="9">
        <f>IFERROR(INDEX($A283:$R283,MATCH("Cost Centre",$A$1:$R$1,0)),"")&amp;""</f>
        <v/>
      </c>
      <c r="AB283" s="9">
        <f>IFERROR(INDEX($A283:$R283,MATCH("Pipeline Stage",$A$1:$R$1,0)),"")&amp;""</f>
        <v/>
      </c>
      <c r="AC283" s="9">
        <f>IFERROR(INDEX($A283:$R283,MATCH("Client",$A$1:$R$1,0)),"")&amp;""</f>
        <v/>
      </c>
      <c r="AD283" s="9">
        <f>IFERROR(INDEX($A283:$R283,MATCH("Description",$A$1:$R$1,0)),"")&amp;""</f>
        <v/>
      </c>
      <c r="AE283" s="9">
        <f>IFERROR(INDEX($A283:$R283,MATCH("Job Number",$A$1:$R$1,0)),"")&amp;""</f>
        <v/>
      </c>
      <c r="AF283" s="54">
        <f>IF(AND(T283="Open",ISNUMBER(Z283),Z283&lt;EOMONTH(set_AsAt,-1)+1),3,0)</f>
        <v/>
      </c>
      <c r="AG283" s="54">
        <f>IF(AND(T283="Open",U283&gt;0,U283&gt;=set_DealShare*SUMIFS($U$2:$U$601,$T$2:$T$601,"Open")),3,0)</f>
        <v/>
      </c>
      <c r="AH283" s="54">
        <f>IF(AND(T283="Open",U283&gt;=set_BigValue,W283&lt;=set_EarlyProb),2,0)</f>
        <v/>
      </c>
      <c r="AI283" s="54">
        <f>IF(AND(OR(T283="Open",T283="Won"),V283=0),2,0)</f>
        <v/>
      </c>
      <c r="AJ283" s="54">
        <f>IF(AND(T283="Won",Y283&gt;0.5,ISNUMBER(Z283),Z283&lt;EOMONTH(set_AsAt,-1)+1),3,0)</f>
        <v/>
      </c>
      <c r="AK283" s="54">
        <f>IF(AND(T283="Won",Y283&lt;-1),1,0)</f>
        <v/>
      </c>
      <c r="AL283" s="54">
        <f>SUM(AF283:AK283)</f>
        <v/>
      </c>
      <c r="AM283" s="9">
        <f>IF(AL283&gt;=set_ScoreHigh,"High",IF(AL283&gt;=set_ScoreMed,"Medium",IF(AL283&gt;0,"Low","OK")))</f>
        <v/>
      </c>
      <c r="AN283" s="54">
        <f>IF(OR(T283="Open",AND(T283="Won",ABS(Y283)&gt;0.5)),1,0)</f>
        <v/>
      </c>
      <c r="AO283" s="52">
        <f>IF(T283="Open",IF(V283=0,0,X283),IF(T283="Won",MAX(0,Y283),0))</f>
        <v/>
      </c>
      <c r="AP283" s="54">
        <f>IF(AN283=1,AL283*1E+9+U283+ROW()/1E+6,"")</f>
        <v/>
      </c>
      <c r="AQ283" s="9">
        <f>MID(IF(AF283&gt;0,"; Expected month passed - update Zoho","")&amp;IF(AG283&gt;0,"; "&amp;TEXT(U283/MAX(1,SUMIFS($U$2:$U$601,$T$2:$T$601,"Open")),"0%")&amp;" of open pipeline in one deal","")&amp;IF(AH283&gt;0,"; Large deal at an early stage","")&amp;IF(AI283&gt;0,"; No amount in Zoho","")&amp;IF(AJ283&gt;0,"; Won, invoice month passed, not fully invoiced","")&amp;IF(AK283&gt;0,"; Xero invoiced more than the deal value",""),3,300)</f>
        <v/>
      </c>
    </row>
    <row r="284">
      <c r="T284" s="9">
        <f>IFERROR(INDEX($A284:$R284,MATCH("Status",$A$1:$R$1,0)),"")&amp;""</f>
        <v/>
      </c>
      <c r="U284" s="52">
        <f>IFERROR(N(IFERROR(INDEX($A284:$R284,MATCH("Value Ex GST",$A$1:$R$1,0)),"")),0)</f>
        <v/>
      </c>
      <c r="V284" s="54">
        <f>IF(AND(T284&lt;&gt;"",IFERROR(INDEX($A284:$R284,MATCH("Value Ex GST",$A$1:$R$1,0)),"")&amp;""&lt;&gt;""),1,0)</f>
        <v/>
      </c>
      <c r="W284" s="56">
        <f>IFERROR(N(IFERROR(INDEX($A284:$R284,MATCH("Probability",$A$1:$R$1,0)),"")),0)</f>
        <v/>
      </c>
      <c r="X284" s="52">
        <f>IF(T284="Open",U284*W284,0)</f>
        <v/>
      </c>
      <c r="Y284" s="52">
        <f>IF(T284="Won",IFERROR(N(IFERROR(INDEX($A284:$R284,MATCH("Still to Invoice",$A$1:$R$1,0)),"")),0),0)</f>
        <v/>
      </c>
      <c r="Z284" s="55">
        <f>IFERROR(EOMONTH(IFERROR(INDEX($A284:$R284,MATCH("Expected Invoice Month",$A$1:$R$1,0)),""),0),"")</f>
        <v/>
      </c>
      <c r="AA284" s="9">
        <f>IFERROR(INDEX($A284:$R284,MATCH("Cost Centre",$A$1:$R$1,0)),"")&amp;""</f>
        <v/>
      </c>
      <c r="AB284" s="9">
        <f>IFERROR(INDEX($A284:$R284,MATCH("Pipeline Stage",$A$1:$R$1,0)),"")&amp;""</f>
        <v/>
      </c>
      <c r="AC284" s="9">
        <f>IFERROR(INDEX($A284:$R284,MATCH("Client",$A$1:$R$1,0)),"")&amp;""</f>
        <v/>
      </c>
      <c r="AD284" s="9">
        <f>IFERROR(INDEX($A284:$R284,MATCH("Description",$A$1:$R$1,0)),"")&amp;""</f>
        <v/>
      </c>
      <c r="AE284" s="9">
        <f>IFERROR(INDEX($A284:$R284,MATCH("Job Number",$A$1:$R$1,0)),"")&amp;""</f>
        <v/>
      </c>
      <c r="AF284" s="54">
        <f>IF(AND(T284="Open",ISNUMBER(Z284),Z284&lt;EOMONTH(set_AsAt,-1)+1),3,0)</f>
        <v/>
      </c>
      <c r="AG284" s="54">
        <f>IF(AND(T284="Open",U284&gt;0,U284&gt;=set_DealShare*SUMIFS($U$2:$U$601,$T$2:$T$601,"Open")),3,0)</f>
        <v/>
      </c>
      <c r="AH284" s="54">
        <f>IF(AND(T284="Open",U284&gt;=set_BigValue,W284&lt;=set_EarlyProb),2,0)</f>
        <v/>
      </c>
      <c r="AI284" s="54">
        <f>IF(AND(OR(T284="Open",T284="Won"),V284=0),2,0)</f>
        <v/>
      </c>
      <c r="AJ284" s="54">
        <f>IF(AND(T284="Won",Y284&gt;0.5,ISNUMBER(Z284),Z284&lt;EOMONTH(set_AsAt,-1)+1),3,0)</f>
        <v/>
      </c>
      <c r="AK284" s="54">
        <f>IF(AND(T284="Won",Y284&lt;-1),1,0)</f>
        <v/>
      </c>
      <c r="AL284" s="54">
        <f>SUM(AF284:AK284)</f>
        <v/>
      </c>
      <c r="AM284" s="9">
        <f>IF(AL284&gt;=set_ScoreHigh,"High",IF(AL284&gt;=set_ScoreMed,"Medium",IF(AL284&gt;0,"Low","OK")))</f>
        <v/>
      </c>
      <c r="AN284" s="54">
        <f>IF(OR(T284="Open",AND(T284="Won",ABS(Y284)&gt;0.5)),1,0)</f>
        <v/>
      </c>
      <c r="AO284" s="52">
        <f>IF(T284="Open",IF(V284=0,0,X284),IF(T284="Won",MAX(0,Y284),0))</f>
        <v/>
      </c>
      <c r="AP284" s="54">
        <f>IF(AN284=1,AL284*1E+9+U284+ROW()/1E+6,"")</f>
        <v/>
      </c>
      <c r="AQ284" s="9">
        <f>MID(IF(AF284&gt;0,"; Expected month passed - update Zoho","")&amp;IF(AG284&gt;0,"; "&amp;TEXT(U284/MAX(1,SUMIFS($U$2:$U$601,$T$2:$T$601,"Open")),"0%")&amp;" of open pipeline in one deal","")&amp;IF(AH284&gt;0,"; Large deal at an early stage","")&amp;IF(AI284&gt;0,"; No amount in Zoho","")&amp;IF(AJ284&gt;0,"; Won, invoice month passed, not fully invoiced","")&amp;IF(AK284&gt;0,"; Xero invoiced more than the deal value",""),3,300)</f>
        <v/>
      </c>
    </row>
    <row r="285">
      <c r="T285" s="9">
        <f>IFERROR(INDEX($A285:$R285,MATCH("Status",$A$1:$R$1,0)),"")&amp;""</f>
        <v/>
      </c>
      <c r="U285" s="52">
        <f>IFERROR(N(IFERROR(INDEX($A285:$R285,MATCH("Value Ex GST",$A$1:$R$1,0)),"")),0)</f>
        <v/>
      </c>
      <c r="V285" s="54">
        <f>IF(AND(T285&lt;&gt;"",IFERROR(INDEX($A285:$R285,MATCH("Value Ex GST",$A$1:$R$1,0)),"")&amp;""&lt;&gt;""),1,0)</f>
        <v/>
      </c>
      <c r="W285" s="56">
        <f>IFERROR(N(IFERROR(INDEX($A285:$R285,MATCH("Probability",$A$1:$R$1,0)),"")),0)</f>
        <v/>
      </c>
      <c r="X285" s="52">
        <f>IF(T285="Open",U285*W285,0)</f>
        <v/>
      </c>
      <c r="Y285" s="52">
        <f>IF(T285="Won",IFERROR(N(IFERROR(INDEX($A285:$R285,MATCH("Still to Invoice",$A$1:$R$1,0)),"")),0),0)</f>
        <v/>
      </c>
      <c r="Z285" s="55">
        <f>IFERROR(EOMONTH(IFERROR(INDEX($A285:$R285,MATCH("Expected Invoice Month",$A$1:$R$1,0)),""),0),"")</f>
        <v/>
      </c>
      <c r="AA285" s="9">
        <f>IFERROR(INDEX($A285:$R285,MATCH("Cost Centre",$A$1:$R$1,0)),"")&amp;""</f>
        <v/>
      </c>
      <c r="AB285" s="9">
        <f>IFERROR(INDEX($A285:$R285,MATCH("Pipeline Stage",$A$1:$R$1,0)),"")&amp;""</f>
        <v/>
      </c>
      <c r="AC285" s="9">
        <f>IFERROR(INDEX($A285:$R285,MATCH("Client",$A$1:$R$1,0)),"")&amp;""</f>
        <v/>
      </c>
      <c r="AD285" s="9">
        <f>IFERROR(INDEX($A285:$R285,MATCH("Description",$A$1:$R$1,0)),"")&amp;""</f>
        <v/>
      </c>
      <c r="AE285" s="9">
        <f>IFERROR(INDEX($A285:$R285,MATCH("Job Number",$A$1:$R$1,0)),"")&amp;""</f>
        <v/>
      </c>
      <c r="AF285" s="54">
        <f>IF(AND(T285="Open",ISNUMBER(Z285),Z285&lt;EOMONTH(set_AsAt,-1)+1),3,0)</f>
        <v/>
      </c>
      <c r="AG285" s="54">
        <f>IF(AND(T285="Open",U285&gt;0,U285&gt;=set_DealShare*SUMIFS($U$2:$U$601,$T$2:$T$601,"Open")),3,0)</f>
        <v/>
      </c>
      <c r="AH285" s="54">
        <f>IF(AND(T285="Open",U285&gt;=set_BigValue,W285&lt;=set_EarlyProb),2,0)</f>
        <v/>
      </c>
      <c r="AI285" s="54">
        <f>IF(AND(OR(T285="Open",T285="Won"),V285=0),2,0)</f>
        <v/>
      </c>
      <c r="AJ285" s="54">
        <f>IF(AND(T285="Won",Y285&gt;0.5,ISNUMBER(Z285),Z285&lt;EOMONTH(set_AsAt,-1)+1),3,0)</f>
        <v/>
      </c>
      <c r="AK285" s="54">
        <f>IF(AND(T285="Won",Y285&lt;-1),1,0)</f>
        <v/>
      </c>
      <c r="AL285" s="54">
        <f>SUM(AF285:AK285)</f>
        <v/>
      </c>
      <c r="AM285" s="9">
        <f>IF(AL285&gt;=set_ScoreHigh,"High",IF(AL285&gt;=set_ScoreMed,"Medium",IF(AL285&gt;0,"Low","OK")))</f>
        <v/>
      </c>
      <c r="AN285" s="54">
        <f>IF(OR(T285="Open",AND(T285="Won",ABS(Y285)&gt;0.5)),1,0)</f>
        <v/>
      </c>
      <c r="AO285" s="52">
        <f>IF(T285="Open",IF(V285=0,0,X285),IF(T285="Won",MAX(0,Y285),0))</f>
        <v/>
      </c>
      <c r="AP285" s="54">
        <f>IF(AN285=1,AL285*1E+9+U285+ROW()/1E+6,"")</f>
        <v/>
      </c>
      <c r="AQ285" s="9">
        <f>MID(IF(AF285&gt;0,"; Expected month passed - update Zoho","")&amp;IF(AG285&gt;0,"; "&amp;TEXT(U285/MAX(1,SUMIFS($U$2:$U$601,$T$2:$T$601,"Open")),"0%")&amp;" of open pipeline in one deal","")&amp;IF(AH285&gt;0,"; Large deal at an early stage","")&amp;IF(AI285&gt;0,"; No amount in Zoho","")&amp;IF(AJ285&gt;0,"; Won, invoice month passed, not fully invoiced","")&amp;IF(AK285&gt;0,"; Xero invoiced more than the deal value",""),3,300)</f>
        <v/>
      </c>
    </row>
    <row r="286">
      <c r="T286" s="9">
        <f>IFERROR(INDEX($A286:$R286,MATCH("Status",$A$1:$R$1,0)),"")&amp;""</f>
        <v/>
      </c>
      <c r="U286" s="52">
        <f>IFERROR(N(IFERROR(INDEX($A286:$R286,MATCH("Value Ex GST",$A$1:$R$1,0)),"")),0)</f>
        <v/>
      </c>
      <c r="V286" s="54">
        <f>IF(AND(T286&lt;&gt;"",IFERROR(INDEX($A286:$R286,MATCH("Value Ex GST",$A$1:$R$1,0)),"")&amp;""&lt;&gt;""),1,0)</f>
        <v/>
      </c>
      <c r="W286" s="56">
        <f>IFERROR(N(IFERROR(INDEX($A286:$R286,MATCH("Probability",$A$1:$R$1,0)),"")),0)</f>
        <v/>
      </c>
      <c r="X286" s="52">
        <f>IF(T286="Open",U286*W286,0)</f>
        <v/>
      </c>
      <c r="Y286" s="52">
        <f>IF(T286="Won",IFERROR(N(IFERROR(INDEX($A286:$R286,MATCH("Still to Invoice",$A$1:$R$1,0)),"")),0),0)</f>
        <v/>
      </c>
      <c r="Z286" s="55">
        <f>IFERROR(EOMONTH(IFERROR(INDEX($A286:$R286,MATCH("Expected Invoice Month",$A$1:$R$1,0)),""),0),"")</f>
        <v/>
      </c>
      <c r="AA286" s="9">
        <f>IFERROR(INDEX($A286:$R286,MATCH("Cost Centre",$A$1:$R$1,0)),"")&amp;""</f>
        <v/>
      </c>
      <c r="AB286" s="9">
        <f>IFERROR(INDEX($A286:$R286,MATCH("Pipeline Stage",$A$1:$R$1,0)),"")&amp;""</f>
        <v/>
      </c>
      <c r="AC286" s="9">
        <f>IFERROR(INDEX($A286:$R286,MATCH("Client",$A$1:$R$1,0)),"")&amp;""</f>
        <v/>
      </c>
      <c r="AD286" s="9">
        <f>IFERROR(INDEX($A286:$R286,MATCH("Description",$A$1:$R$1,0)),"")&amp;""</f>
        <v/>
      </c>
      <c r="AE286" s="9">
        <f>IFERROR(INDEX($A286:$R286,MATCH("Job Number",$A$1:$R$1,0)),"")&amp;""</f>
        <v/>
      </c>
      <c r="AF286" s="54">
        <f>IF(AND(T286="Open",ISNUMBER(Z286),Z286&lt;EOMONTH(set_AsAt,-1)+1),3,0)</f>
        <v/>
      </c>
      <c r="AG286" s="54">
        <f>IF(AND(T286="Open",U286&gt;0,U286&gt;=set_DealShare*SUMIFS($U$2:$U$601,$T$2:$T$601,"Open")),3,0)</f>
        <v/>
      </c>
      <c r="AH286" s="54">
        <f>IF(AND(T286="Open",U286&gt;=set_BigValue,W286&lt;=set_EarlyProb),2,0)</f>
        <v/>
      </c>
      <c r="AI286" s="54">
        <f>IF(AND(OR(T286="Open",T286="Won"),V286=0),2,0)</f>
        <v/>
      </c>
      <c r="AJ286" s="54">
        <f>IF(AND(T286="Won",Y286&gt;0.5,ISNUMBER(Z286),Z286&lt;EOMONTH(set_AsAt,-1)+1),3,0)</f>
        <v/>
      </c>
      <c r="AK286" s="54">
        <f>IF(AND(T286="Won",Y286&lt;-1),1,0)</f>
        <v/>
      </c>
      <c r="AL286" s="54">
        <f>SUM(AF286:AK286)</f>
        <v/>
      </c>
      <c r="AM286" s="9">
        <f>IF(AL286&gt;=set_ScoreHigh,"High",IF(AL286&gt;=set_ScoreMed,"Medium",IF(AL286&gt;0,"Low","OK")))</f>
        <v/>
      </c>
      <c r="AN286" s="54">
        <f>IF(OR(T286="Open",AND(T286="Won",ABS(Y286)&gt;0.5)),1,0)</f>
        <v/>
      </c>
      <c r="AO286" s="52">
        <f>IF(T286="Open",IF(V286=0,0,X286),IF(T286="Won",MAX(0,Y286),0))</f>
        <v/>
      </c>
      <c r="AP286" s="54">
        <f>IF(AN286=1,AL286*1E+9+U286+ROW()/1E+6,"")</f>
        <v/>
      </c>
      <c r="AQ286" s="9">
        <f>MID(IF(AF286&gt;0,"; Expected month passed - update Zoho","")&amp;IF(AG286&gt;0,"; "&amp;TEXT(U286/MAX(1,SUMIFS($U$2:$U$601,$T$2:$T$601,"Open")),"0%")&amp;" of open pipeline in one deal","")&amp;IF(AH286&gt;0,"; Large deal at an early stage","")&amp;IF(AI286&gt;0,"; No amount in Zoho","")&amp;IF(AJ286&gt;0,"; Won, invoice month passed, not fully invoiced","")&amp;IF(AK286&gt;0,"; Xero invoiced more than the deal value",""),3,300)</f>
        <v/>
      </c>
    </row>
    <row r="287">
      <c r="T287" s="9">
        <f>IFERROR(INDEX($A287:$R287,MATCH("Status",$A$1:$R$1,0)),"")&amp;""</f>
        <v/>
      </c>
      <c r="U287" s="52">
        <f>IFERROR(N(IFERROR(INDEX($A287:$R287,MATCH("Value Ex GST",$A$1:$R$1,0)),"")),0)</f>
        <v/>
      </c>
      <c r="V287" s="54">
        <f>IF(AND(T287&lt;&gt;"",IFERROR(INDEX($A287:$R287,MATCH("Value Ex GST",$A$1:$R$1,0)),"")&amp;""&lt;&gt;""),1,0)</f>
        <v/>
      </c>
      <c r="W287" s="56">
        <f>IFERROR(N(IFERROR(INDEX($A287:$R287,MATCH("Probability",$A$1:$R$1,0)),"")),0)</f>
        <v/>
      </c>
      <c r="X287" s="52">
        <f>IF(T287="Open",U287*W287,0)</f>
        <v/>
      </c>
      <c r="Y287" s="52">
        <f>IF(T287="Won",IFERROR(N(IFERROR(INDEX($A287:$R287,MATCH("Still to Invoice",$A$1:$R$1,0)),"")),0),0)</f>
        <v/>
      </c>
      <c r="Z287" s="55">
        <f>IFERROR(EOMONTH(IFERROR(INDEX($A287:$R287,MATCH("Expected Invoice Month",$A$1:$R$1,0)),""),0),"")</f>
        <v/>
      </c>
      <c r="AA287" s="9">
        <f>IFERROR(INDEX($A287:$R287,MATCH("Cost Centre",$A$1:$R$1,0)),"")&amp;""</f>
        <v/>
      </c>
      <c r="AB287" s="9">
        <f>IFERROR(INDEX($A287:$R287,MATCH("Pipeline Stage",$A$1:$R$1,0)),"")&amp;""</f>
        <v/>
      </c>
      <c r="AC287" s="9">
        <f>IFERROR(INDEX($A287:$R287,MATCH("Client",$A$1:$R$1,0)),"")&amp;""</f>
        <v/>
      </c>
      <c r="AD287" s="9">
        <f>IFERROR(INDEX($A287:$R287,MATCH("Description",$A$1:$R$1,0)),"")&amp;""</f>
        <v/>
      </c>
      <c r="AE287" s="9">
        <f>IFERROR(INDEX($A287:$R287,MATCH("Job Number",$A$1:$R$1,0)),"")&amp;""</f>
        <v/>
      </c>
      <c r="AF287" s="54">
        <f>IF(AND(T287="Open",ISNUMBER(Z287),Z287&lt;EOMONTH(set_AsAt,-1)+1),3,0)</f>
        <v/>
      </c>
      <c r="AG287" s="54">
        <f>IF(AND(T287="Open",U287&gt;0,U287&gt;=set_DealShare*SUMIFS($U$2:$U$601,$T$2:$T$601,"Open")),3,0)</f>
        <v/>
      </c>
      <c r="AH287" s="54">
        <f>IF(AND(T287="Open",U287&gt;=set_BigValue,W287&lt;=set_EarlyProb),2,0)</f>
        <v/>
      </c>
      <c r="AI287" s="54">
        <f>IF(AND(OR(T287="Open",T287="Won"),V287=0),2,0)</f>
        <v/>
      </c>
      <c r="AJ287" s="54">
        <f>IF(AND(T287="Won",Y287&gt;0.5,ISNUMBER(Z287),Z287&lt;EOMONTH(set_AsAt,-1)+1),3,0)</f>
        <v/>
      </c>
      <c r="AK287" s="54">
        <f>IF(AND(T287="Won",Y287&lt;-1),1,0)</f>
        <v/>
      </c>
      <c r="AL287" s="54">
        <f>SUM(AF287:AK287)</f>
        <v/>
      </c>
      <c r="AM287" s="9">
        <f>IF(AL287&gt;=set_ScoreHigh,"High",IF(AL287&gt;=set_ScoreMed,"Medium",IF(AL287&gt;0,"Low","OK")))</f>
        <v/>
      </c>
      <c r="AN287" s="54">
        <f>IF(OR(T287="Open",AND(T287="Won",ABS(Y287)&gt;0.5)),1,0)</f>
        <v/>
      </c>
      <c r="AO287" s="52">
        <f>IF(T287="Open",IF(V287=0,0,X287),IF(T287="Won",MAX(0,Y287),0))</f>
        <v/>
      </c>
      <c r="AP287" s="54">
        <f>IF(AN287=1,AL287*1E+9+U287+ROW()/1E+6,"")</f>
        <v/>
      </c>
      <c r="AQ287" s="9">
        <f>MID(IF(AF287&gt;0,"; Expected month passed - update Zoho","")&amp;IF(AG287&gt;0,"; "&amp;TEXT(U287/MAX(1,SUMIFS($U$2:$U$601,$T$2:$T$601,"Open")),"0%")&amp;" of open pipeline in one deal","")&amp;IF(AH287&gt;0,"; Large deal at an early stage","")&amp;IF(AI287&gt;0,"; No amount in Zoho","")&amp;IF(AJ287&gt;0,"; Won, invoice month passed, not fully invoiced","")&amp;IF(AK287&gt;0,"; Xero invoiced more than the deal value",""),3,300)</f>
        <v/>
      </c>
    </row>
    <row r="288">
      <c r="T288" s="9">
        <f>IFERROR(INDEX($A288:$R288,MATCH("Status",$A$1:$R$1,0)),"")&amp;""</f>
        <v/>
      </c>
      <c r="U288" s="52">
        <f>IFERROR(N(IFERROR(INDEX($A288:$R288,MATCH("Value Ex GST",$A$1:$R$1,0)),"")),0)</f>
        <v/>
      </c>
      <c r="V288" s="54">
        <f>IF(AND(T288&lt;&gt;"",IFERROR(INDEX($A288:$R288,MATCH("Value Ex GST",$A$1:$R$1,0)),"")&amp;""&lt;&gt;""),1,0)</f>
        <v/>
      </c>
      <c r="W288" s="56">
        <f>IFERROR(N(IFERROR(INDEX($A288:$R288,MATCH("Probability",$A$1:$R$1,0)),"")),0)</f>
        <v/>
      </c>
      <c r="X288" s="52">
        <f>IF(T288="Open",U288*W288,0)</f>
        <v/>
      </c>
      <c r="Y288" s="52">
        <f>IF(T288="Won",IFERROR(N(IFERROR(INDEX($A288:$R288,MATCH("Still to Invoice",$A$1:$R$1,0)),"")),0),0)</f>
        <v/>
      </c>
      <c r="Z288" s="55">
        <f>IFERROR(EOMONTH(IFERROR(INDEX($A288:$R288,MATCH("Expected Invoice Month",$A$1:$R$1,0)),""),0),"")</f>
        <v/>
      </c>
      <c r="AA288" s="9">
        <f>IFERROR(INDEX($A288:$R288,MATCH("Cost Centre",$A$1:$R$1,0)),"")&amp;""</f>
        <v/>
      </c>
      <c r="AB288" s="9">
        <f>IFERROR(INDEX($A288:$R288,MATCH("Pipeline Stage",$A$1:$R$1,0)),"")&amp;""</f>
        <v/>
      </c>
      <c r="AC288" s="9">
        <f>IFERROR(INDEX($A288:$R288,MATCH("Client",$A$1:$R$1,0)),"")&amp;""</f>
        <v/>
      </c>
      <c r="AD288" s="9">
        <f>IFERROR(INDEX($A288:$R288,MATCH("Description",$A$1:$R$1,0)),"")&amp;""</f>
        <v/>
      </c>
      <c r="AE288" s="9">
        <f>IFERROR(INDEX($A288:$R288,MATCH("Job Number",$A$1:$R$1,0)),"")&amp;""</f>
        <v/>
      </c>
      <c r="AF288" s="54">
        <f>IF(AND(T288="Open",ISNUMBER(Z288),Z288&lt;EOMONTH(set_AsAt,-1)+1),3,0)</f>
        <v/>
      </c>
      <c r="AG288" s="54">
        <f>IF(AND(T288="Open",U288&gt;0,U288&gt;=set_DealShare*SUMIFS($U$2:$U$601,$T$2:$T$601,"Open")),3,0)</f>
        <v/>
      </c>
      <c r="AH288" s="54">
        <f>IF(AND(T288="Open",U288&gt;=set_BigValue,W288&lt;=set_EarlyProb),2,0)</f>
        <v/>
      </c>
      <c r="AI288" s="54">
        <f>IF(AND(OR(T288="Open",T288="Won"),V288=0),2,0)</f>
        <v/>
      </c>
      <c r="AJ288" s="54">
        <f>IF(AND(T288="Won",Y288&gt;0.5,ISNUMBER(Z288),Z288&lt;EOMONTH(set_AsAt,-1)+1),3,0)</f>
        <v/>
      </c>
      <c r="AK288" s="54">
        <f>IF(AND(T288="Won",Y288&lt;-1),1,0)</f>
        <v/>
      </c>
      <c r="AL288" s="54">
        <f>SUM(AF288:AK288)</f>
        <v/>
      </c>
      <c r="AM288" s="9">
        <f>IF(AL288&gt;=set_ScoreHigh,"High",IF(AL288&gt;=set_ScoreMed,"Medium",IF(AL288&gt;0,"Low","OK")))</f>
        <v/>
      </c>
      <c r="AN288" s="54">
        <f>IF(OR(T288="Open",AND(T288="Won",ABS(Y288)&gt;0.5)),1,0)</f>
        <v/>
      </c>
      <c r="AO288" s="52">
        <f>IF(T288="Open",IF(V288=0,0,X288),IF(T288="Won",MAX(0,Y288),0))</f>
        <v/>
      </c>
      <c r="AP288" s="54">
        <f>IF(AN288=1,AL288*1E+9+U288+ROW()/1E+6,"")</f>
        <v/>
      </c>
      <c r="AQ288" s="9">
        <f>MID(IF(AF288&gt;0,"; Expected month passed - update Zoho","")&amp;IF(AG288&gt;0,"; "&amp;TEXT(U288/MAX(1,SUMIFS($U$2:$U$601,$T$2:$T$601,"Open")),"0%")&amp;" of open pipeline in one deal","")&amp;IF(AH288&gt;0,"; Large deal at an early stage","")&amp;IF(AI288&gt;0,"; No amount in Zoho","")&amp;IF(AJ288&gt;0,"; Won, invoice month passed, not fully invoiced","")&amp;IF(AK288&gt;0,"; Xero invoiced more than the deal value",""),3,300)</f>
        <v/>
      </c>
    </row>
    <row r="289">
      <c r="T289" s="9">
        <f>IFERROR(INDEX($A289:$R289,MATCH("Status",$A$1:$R$1,0)),"")&amp;""</f>
        <v/>
      </c>
      <c r="U289" s="52">
        <f>IFERROR(N(IFERROR(INDEX($A289:$R289,MATCH("Value Ex GST",$A$1:$R$1,0)),"")),0)</f>
        <v/>
      </c>
      <c r="V289" s="54">
        <f>IF(AND(T289&lt;&gt;"",IFERROR(INDEX($A289:$R289,MATCH("Value Ex GST",$A$1:$R$1,0)),"")&amp;""&lt;&gt;""),1,0)</f>
        <v/>
      </c>
      <c r="W289" s="56">
        <f>IFERROR(N(IFERROR(INDEX($A289:$R289,MATCH("Probability",$A$1:$R$1,0)),"")),0)</f>
        <v/>
      </c>
      <c r="X289" s="52">
        <f>IF(T289="Open",U289*W289,0)</f>
        <v/>
      </c>
      <c r="Y289" s="52">
        <f>IF(T289="Won",IFERROR(N(IFERROR(INDEX($A289:$R289,MATCH("Still to Invoice",$A$1:$R$1,0)),"")),0),0)</f>
        <v/>
      </c>
      <c r="Z289" s="55">
        <f>IFERROR(EOMONTH(IFERROR(INDEX($A289:$R289,MATCH("Expected Invoice Month",$A$1:$R$1,0)),""),0),"")</f>
        <v/>
      </c>
      <c r="AA289" s="9">
        <f>IFERROR(INDEX($A289:$R289,MATCH("Cost Centre",$A$1:$R$1,0)),"")&amp;""</f>
        <v/>
      </c>
      <c r="AB289" s="9">
        <f>IFERROR(INDEX($A289:$R289,MATCH("Pipeline Stage",$A$1:$R$1,0)),"")&amp;""</f>
        <v/>
      </c>
      <c r="AC289" s="9">
        <f>IFERROR(INDEX($A289:$R289,MATCH("Client",$A$1:$R$1,0)),"")&amp;""</f>
        <v/>
      </c>
      <c r="AD289" s="9">
        <f>IFERROR(INDEX($A289:$R289,MATCH("Description",$A$1:$R$1,0)),"")&amp;""</f>
        <v/>
      </c>
      <c r="AE289" s="9">
        <f>IFERROR(INDEX($A289:$R289,MATCH("Job Number",$A$1:$R$1,0)),"")&amp;""</f>
        <v/>
      </c>
      <c r="AF289" s="54">
        <f>IF(AND(T289="Open",ISNUMBER(Z289),Z289&lt;EOMONTH(set_AsAt,-1)+1),3,0)</f>
        <v/>
      </c>
      <c r="AG289" s="54">
        <f>IF(AND(T289="Open",U289&gt;0,U289&gt;=set_DealShare*SUMIFS($U$2:$U$601,$T$2:$T$601,"Open")),3,0)</f>
        <v/>
      </c>
      <c r="AH289" s="54">
        <f>IF(AND(T289="Open",U289&gt;=set_BigValue,W289&lt;=set_EarlyProb),2,0)</f>
        <v/>
      </c>
      <c r="AI289" s="54">
        <f>IF(AND(OR(T289="Open",T289="Won"),V289=0),2,0)</f>
        <v/>
      </c>
      <c r="AJ289" s="54">
        <f>IF(AND(T289="Won",Y289&gt;0.5,ISNUMBER(Z289),Z289&lt;EOMONTH(set_AsAt,-1)+1),3,0)</f>
        <v/>
      </c>
      <c r="AK289" s="54">
        <f>IF(AND(T289="Won",Y289&lt;-1),1,0)</f>
        <v/>
      </c>
      <c r="AL289" s="54">
        <f>SUM(AF289:AK289)</f>
        <v/>
      </c>
      <c r="AM289" s="9">
        <f>IF(AL289&gt;=set_ScoreHigh,"High",IF(AL289&gt;=set_ScoreMed,"Medium",IF(AL289&gt;0,"Low","OK")))</f>
        <v/>
      </c>
      <c r="AN289" s="54">
        <f>IF(OR(T289="Open",AND(T289="Won",ABS(Y289)&gt;0.5)),1,0)</f>
        <v/>
      </c>
      <c r="AO289" s="52">
        <f>IF(T289="Open",IF(V289=0,0,X289),IF(T289="Won",MAX(0,Y289),0))</f>
        <v/>
      </c>
      <c r="AP289" s="54">
        <f>IF(AN289=1,AL289*1E+9+U289+ROW()/1E+6,"")</f>
        <v/>
      </c>
      <c r="AQ289" s="9">
        <f>MID(IF(AF289&gt;0,"; Expected month passed - update Zoho","")&amp;IF(AG289&gt;0,"; "&amp;TEXT(U289/MAX(1,SUMIFS($U$2:$U$601,$T$2:$T$601,"Open")),"0%")&amp;" of open pipeline in one deal","")&amp;IF(AH289&gt;0,"; Large deal at an early stage","")&amp;IF(AI289&gt;0,"; No amount in Zoho","")&amp;IF(AJ289&gt;0,"; Won, invoice month passed, not fully invoiced","")&amp;IF(AK289&gt;0,"; Xero invoiced more than the deal value",""),3,300)</f>
        <v/>
      </c>
    </row>
    <row r="290">
      <c r="T290" s="9">
        <f>IFERROR(INDEX($A290:$R290,MATCH("Status",$A$1:$R$1,0)),"")&amp;""</f>
        <v/>
      </c>
      <c r="U290" s="52">
        <f>IFERROR(N(IFERROR(INDEX($A290:$R290,MATCH("Value Ex GST",$A$1:$R$1,0)),"")),0)</f>
        <v/>
      </c>
      <c r="V290" s="54">
        <f>IF(AND(T290&lt;&gt;"",IFERROR(INDEX($A290:$R290,MATCH("Value Ex GST",$A$1:$R$1,0)),"")&amp;""&lt;&gt;""),1,0)</f>
        <v/>
      </c>
      <c r="W290" s="56">
        <f>IFERROR(N(IFERROR(INDEX($A290:$R290,MATCH("Probability",$A$1:$R$1,0)),"")),0)</f>
        <v/>
      </c>
      <c r="X290" s="52">
        <f>IF(T290="Open",U290*W290,0)</f>
        <v/>
      </c>
      <c r="Y290" s="52">
        <f>IF(T290="Won",IFERROR(N(IFERROR(INDEX($A290:$R290,MATCH("Still to Invoice",$A$1:$R$1,0)),"")),0),0)</f>
        <v/>
      </c>
      <c r="Z290" s="55">
        <f>IFERROR(EOMONTH(IFERROR(INDEX($A290:$R290,MATCH("Expected Invoice Month",$A$1:$R$1,0)),""),0),"")</f>
        <v/>
      </c>
      <c r="AA290" s="9">
        <f>IFERROR(INDEX($A290:$R290,MATCH("Cost Centre",$A$1:$R$1,0)),"")&amp;""</f>
        <v/>
      </c>
      <c r="AB290" s="9">
        <f>IFERROR(INDEX($A290:$R290,MATCH("Pipeline Stage",$A$1:$R$1,0)),"")&amp;""</f>
        <v/>
      </c>
      <c r="AC290" s="9">
        <f>IFERROR(INDEX($A290:$R290,MATCH("Client",$A$1:$R$1,0)),"")&amp;""</f>
        <v/>
      </c>
      <c r="AD290" s="9">
        <f>IFERROR(INDEX($A290:$R290,MATCH("Description",$A$1:$R$1,0)),"")&amp;""</f>
        <v/>
      </c>
      <c r="AE290" s="9">
        <f>IFERROR(INDEX($A290:$R290,MATCH("Job Number",$A$1:$R$1,0)),"")&amp;""</f>
        <v/>
      </c>
      <c r="AF290" s="54">
        <f>IF(AND(T290="Open",ISNUMBER(Z290),Z290&lt;EOMONTH(set_AsAt,-1)+1),3,0)</f>
        <v/>
      </c>
      <c r="AG290" s="54">
        <f>IF(AND(T290="Open",U290&gt;0,U290&gt;=set_DealShare*SUMIFS($U$2:$U$601,$T$2:$T$601,"Open")),3,0)</f>
        <v/>
      </c>
      <c r="AH290" s="54">
        <f>IF(AND(T290="Open",U290&gt;=set_BigValue,W290&lt;=set_EarlyProb),2,0)</f>
        <v/>
      </c>
      <c r="AI290" s="54">
        <f>IF(AND(OR(T290="Open",T290="Won"),V290=0),2,0)</f>
        <v/>
      </c>
      <c r="AJ290" s="54">
        <f>IF(AND(T290="Won",Y290&gt;0.5,ISNUMBER(Z290),Z290&lt;EOMONTH(set_AsAt,-1)+1),3,0)</f>
        <v/>
      </c>
      <c r="AK290" s="54">
        <f>IF(AND(T290="Won",Y290&lt;-1),1,0)</f>
        <v/>
      </c>
      <c r="AL290" s="54">
        <f>SUM(AF290:AK290)</f>
        <v/>
      </c>
      <c r="AM290" s="9">
        <f>IF(AL290&gt;=set_ScoreHigh,"High",IF(AL290&gt;=set_ScoreMed,"Medium",IF(AL290&gt;0,"Low","OK")))</f>
        <v/>
      </c>
      <c r="AN290" s="54">
        <f>IF(OR(T290="Open",AND(T290="Won",ABS(Y290)&gt;0.5)),1,0)</f>
        <v/>
      </c>
      <c r="AO290" s="52">
        <f>IF(T290="Open",IF(V290=0,0,X290),IF(T290="Won",MAX(0,Y290),0))</f>
        <v/>
      </c>
      <c r="AP290" s="54">
        <f>IF(AN290=1,AL290*1E+9+U290+ROW()/1E+6,"")</f>
        <v/>
      </c>
      <c r="AQ290" s="9">
        <f>MID(IF(AF290&gt;0,"; Expected month passed - update Zoho","")&amp;IF(AG290&gt;0,"; "&amp;TEXT(U290/MAX(1,SUMIFS($U$2:$U$601,$T$2:$T$601,"Open")),"0%")&amp;" of open pipeline in one deal","")&amp;IF(AH290&gt;0,"; Large deal at an early stage","")&amp;IF(AI290&gt;0,"; No amount in Zoho","")&amp;IF(AJ290&gt;0,"; Won, invoice month passed, not fully invoiced","")&amp;IF(AK290&gt;0,"; Xero invoiced more than the deal value",""),3,300)</f>
        <v/>
      </c>
    </row>
    <row r="291">
      <c r="T291" s="9">
        <f>IFERROR(INDEX($A291:$R291,MATCH("Status",$A$1:$R$1,0)),"")&amp;""</f>
        <v/>
      </c>
      <c r="U291" s="52">
        <f>IFERROR(N(IFERROR(INDEX($A291:$R291,MATCH("Value Ex GST",$A$1:$R$1,0)),"")),0)</f>
        <v/>
      </c>
      <c r="V291" s="54">
        <f>IF(AND(T291&lt;&gt;"",IFERROR(INDEX($A291:$R291,MATCH("Value Ex GST",$A$1:$R$1,0)),"")&amp;""&lt;&gt;""),1,0)</f>
        <v/>
      </c>
      <c r="W291" s="56">
        <f>IFERROR(N(IFERROR(INDEX($A291:$R291,MATCH("Probability",$A$1:$R$1,0)),"")),0)</f>
        <v/>
      </c>
      <c r="X291" s="52">
        <f>IF(T291="Open",U291*W291,0)</f>
        <v/>
      </c>
      <c r="Y291" s="52">
        <f>IF(T291="Won",IFERROR(N(IFERROR(INDEX($A291:$R291,MATCH("Still to Invoice",$A$1:$R$1,0)),"")),0),0)</f>
        <v/>
      </c>
      <c r="Z291" s="55">
        <f>IFERROR(EOMONTH(IFERROR(INDEX($A291:$R291,MATCH("Expected Invoice Month",$A$1:$R$1,0)),""),0),"")</f>
        <v/>
      </c>
      <c r="AA291" s="9">
        <f>IFERROR(INDEX($A291:$R291,MATCH("Cost Centre",$A$1:$R$1,0)),"")&amp;""</f>
        <v/>
      </c>
      <c r="AB291" s="9">
        <f>IFERROR(INDEX($A291:$R291,MATCH("Pipeline Stage",$A$1:$R$1,0)),"")&amp;""</f>
        <v/>
      </c>
      <c r="AC291" s="9">
        <f>IFERROR(INDEX($A291:$R291,MATCH("Client",$A$1:$R$1,0)),"")&amp;""</f>
        <v/>
      </c>
      <c r="AD291" s="9">
        <f>IFERROR(INDEX($A291:$R291,MATCH("Description",$A$1:$R$1,0)),"")&amp;""</f>
        <v/>
      </c>
      <c r="AE291" s="9">
        <f>IFERROR(INDEX($A291:$R291,MATCH("Job Number",$A$1:$R$1,0)),"")&amp;""</f>
        <v/>
      </c>
      <c r="AF291" s="54">
        <f>IF(AND(T291="Open",ISNUMBER(Z291),Z291&lt;EOMONTH(set_AsAt,-1)+1),3,0)</f>
        <v/>
      </c>
      <c r="AG291" s="54">
        <f>IF(AND(T291="Open",U291&gt;0,U291&gt;=set_DealShare*SUMIFS($U$2:$U$601,$T$2:$T$601,"Open")),3,0)</f>
        <v/>
      </c>
      <c r="AH291" s="54">
        <f>IF(AND(T291="Open",U291&gt;=set_BigValue,W291&lt;=set_EarlyProb),2,0)</f>
        <v/>
      </c>
      <c r="AI291" s="54">
        <f>IF(AND(OR(T291="Open",T291="Won"),V291=0),2,0)</f>
        <v/>
      </c>
      <c r="AJ291" s="54">
        <f>IF(AND(T291="Won",Y291&gt;0.5,ISNUMBER(Z291),Z291&lt;EOMONTH(set_AsAt,-1)+1),3,0)</f>
        <v/>
      </c>
      <c r="AK291" s="54">
        <f>IF(AND(T291="Won",Y291&lt;-1),1,0)</f>
        <v/>
      </c>
      <c r="AL291" s="54">
        <f>SUM(AF291:AK291)</f>
        <v/>
      </c>
      <c r="AM291" s="9">
        <f>IF(AL291&gt;=set_ScoreHigh,"High",IF(AL291&gt;=set_ScoreMed,"Medium",IF(AL291&gt;0,"Low","OK")))</f>
        <v/>
      </c>
      <c r="AN291" s="54">
        <f>IF(OR(T291="Open",AND(T291="Won",ABS(Y291)&gt;0.5)),1,0)</f>
        <v/>
      </c>
      <c r="AO291" s="52">
        <f>IF(T291="Open",IF(V291=0,0,X291),IF(T291="Won",MAX(0,Y291),0))</f>
        <v/>
      </c>
      <c r="AP291" s="54">
        <f>IF(AN291=1,AL291*1E+9+U291+ROW()/1E+6,"")</f>
        <v/>
      </c>
      <c r="AQ291" s="9">
        <f>MID(IF(AF291&gt;0,"; Expected month passed - update Zoho","")&amp;IF(AG291&gt;0,"; "&amp;TEXT(U291/MAX(1,SUMIFS($U$2:$U$601,$T$2:$T$601,"Open")),"0%")&amp;" of open pipeline in one deal","")&amp;IF(AH291&gt;0,"; Large deal at an early stage","")&amp;IF(AI291&gt;0,"; No amount in Zoho","")&amp;IF(AJ291&gt;0,"; Won, invoice month passed, not fully invoiced","")&amp;IF(AK291&gt;0,"; Xero invoiced more than the deal value",""),3,300)</f>
        <v/>
      </c>
    </row>
    <row r="292">
      <c r="T292" s="9">
        <f>IFERROR(INDEX($A292:$R292,MATCH("Status",$A$1:$R$1,0)),"")&amp;""</f>
        <v/>
      </c>
      <c r="U292" s="52">
        <f>IFERROR(N(IFERROR(INDEX($A292:$R292,MATCH("Value Ex GST",$A$1:$R$1,0)),"")),0)</f>
        <v/>
      </c>
      <c r="V292" s="54">
        <f>IF(AND(T292&lt;&gt;"",IFERROR(INDEX($A292:$R292,MATCH("Value Ex GST",$A$1:$R$1,0)),"")&amp;""&lt;&gt;""),1,0)</f>
        <v/>
      </c>
      <c r="W292" s="56">
        <f>IFERROR(N(IFERROR(INDEX($A292:$R292,MATCH("Probability",$A$1:$R$1,0)),"")),0)</f>
        <v/>
      </c>
      <c r="X292" s="52">
        <f>IF(T292="Open",U292*W292,0)</f>
        <v/>
      </c>
      <c r="Y292" s="52">
        <f>IF(T292="Won",IFERROR(N(IFERROR(INDEX($A292:$R292,MATCH("Still to Invoice",$A$1:$R$1,0)),"")),0),0)</f>
        <v/>
      </c>
      <c r="Z292" s="55">
        <f>IFERROR(EOMONTH(IFERROR(INDEX($A292:$R292,MATCH("Expected Invoice Month",$A$1:$R$1,0)),""),0),"")</f>
        <v/>
      </c>
      <c r="AA292" s="9">
        <f>IFERROR(INDEX($A292:$R292,MATCH("Cost Centre",$A$1:$R$1,0)),"")&amp;""</f>
        <v/>
      </c>
      <c r="AB292" s="9">
        <f>IFERROR(INDEX($A292:$R292,MATCH("Pipeline Stage",$A$1:$R$1,0)),"")&amp;""</f>
        <v/>
      </c>
      <c r="AC292" s="9">
        <f>IFERROR(INDEX($A292:$R292,MATCH("Client",$A$1:$R$1,0)),"")&amp;""</f>
        <v/>
      </c>
      <c r="AD292" s="9">
        <f>IFERROR(INDEX($A292:$R292,MATCH("Description",$A$1:$R$1,0)),"")&amp;""</f>
        <v/>
      </c>
      <c r="AE292" s="9">
        <f>IFERROR(INDEX($A292:$R292,MATCH("Job Number",$A$1:$R$1,0)),"")&amp;""</f>
        <v/>
      </c>
      <c r="AF292" s="54">
        <f>IF(AND(T292="Open",ISNUMBER(Z292),Z292&lt;EOMONTH(set_AsAt,-1)+1),3,0)</f>
        <v/>
      </c>
      <c r="AG292" s="54">
        <f>IF(AND(T292="Open",U292&gt;0,U292&gt;=set_DealShare*SUMIFS($U$2:$U$601,$T$2:$T$601,"Open")),3,0)</f>
        <v/>
      </c>
      <c r="AH292" s="54">
        <f>IF(AND(T292="Open",U292&gt;=set_BigValue,W292&lt;=set_EarlyProb),2,0)</f>
        <v/>
      </c>
      <c r="AI292" s="54">
        <f>IF(AND(OR(T292="Open",T292="Won"),V292=0),2,0)</f>
        <v/>
      </c>
      <c r="AJ292" s="54">
        <f>IF(AND(T292="Won",Y292&gt;0.5,ISNUMBER(Z292),Z292&lt;EOMONTH(set_AsAt,-1)+1),3,0)</f>
        <v/>
      </c>
      <c r="AK292" s="54">
        <f>IF(AND(T292="Won",Y292&lt;-1),1,0)</f>
        <v/>
      </c>
      <c r="AL292" s="54">
        <f>SUM(AF292:AK292)</f>
        <v/>
      </c>
      <c r="AM292" s="9">
        <f>IF(AL292&gt;=set_ScoreHigh,"High",IF(AL292&gt;=set_ScoreMed,"Medium",IF(AL292&gt;0,"Low","OK")))</f>
        <v/>
      </c>
      <c r="AN292" s="54">
        <f>IF(OR(T292="Open",AND(T292="Won",ABS(Y292)&gt;0.5)),1,0)</f>
        <v/>
      </c>
      <c r="AO292" s="52">
        <f>IF(T292="Open",IF(V292=0,0,X292),IF(T292="Won",MAX(0,Y292),0))</f>
        <v/>
      </c>
      <c r="AP292" s="54">
        <f>IF(AN292=1,AL292*1E+9+U292+ROW()/1E+6,"")</f>
        <v/>
      </c>
      <c r="AQ292" s="9">
        <f>MID(IF(AF292&gt;0,"; Expected month passed - update Zoho","")&amp;IF(AG292&gt;0,"; "&amp;TEXT(U292/MAX(1,SUMIFS($U$2:$U$601,$T$2:$T$601,"Open")),"0%")&amp;" of open pipeline in one deal","")&amp;IF(AH292&gt;0,"; Large deal at an early stage","")&amp;IF(AI292&gt;0,"; No amount in Zoho","")&amp;IF(AJ292&gt;0,"; Won, invoice month passed, not fully invoiced","")&amp;IF(AK292&gt;0,"; Xero invoiced more than the deal value",""),3,300)</f>
        <v/>
      </c>
    </row>
    <row r="293">
      <c r="T293" s="9">
        <f>IFERROR(INDEX($A293:$R293,MATCH("Status",$A$1:$R$1,0)),"")&amp;""</f>
        <v/>
      </c>
      <c r="U293" s="52">
        <f>IFERROR(N(IFERROR(INDEX($A293:$R293,MATCH("Value Ex GST",$A$1:$R$1,0)),"")),0)</f>
        <v/>
      </c>
      <c r="V293" s="54">
        <f>IF(AND(T293&lt;&gt;"",IFERROR(INDEX($A293:$R293,MATCH("Value Ex GST",$A$1:$R$1,0)),"")&amp;""&lt;&gt;""),1,0)</f>
        <v/>
      </c>
      <c r="W293" s="56">
        <f>IFERROR(N(IFERROR(INDEX($A293:$R293,MATCH("Probability",$A$1:$R$1,0)),"")),0)</f>
        <v/>
      </c>
      <c r="X293" s="52">
        <f>IF(T293="Open",U293*W293,0)</f>
        <v/>
      </c>
      <c r="Y293" s="52">
        <f>IF(T293="Won",IFERROR(N(IFERROR(INDEX($A293:$R293,MATCH("Still to Invoice",$A$1:$R$1,0)),"")),0),0)</f>
        <v/>
      </c>
      <c r="Z293" s="55">
        <f>IFERROR(EOMONTH(IFERROR(INDEX($A293:$R293,MATCH("Expected Invoice Month",$A$1:$R$1,0)),""),0),"")</f>
        <v/>
      </c>
      <c r="AA293" s="9">
        <f>IFERROR(INDEX($A293:$R293,MATCH("Cost Centre",$A$1:$R$1,0)),"")&amp;""</f>
        <v/>
      </c>
      <c r="AB293" s="9">
        <f>IFERROR(INDEX($A293:$R293,MATCH("Pipeline Stage",$A$1:$R$1,0)),"")&amp;""</f>
        <v/>
      </c>
      <c r="AC293" s="9">
        <f>IFERROR(INDEX($A293:$R293,MATCH("Client",$A$1:$R$1,0)),"")&amp;""</f>
        <v/>
      </c>
      <c r="AD293" s="9">
        <f>IFERROR(INDEX($A293:$R293,MATCH("Description",$A$1:$R$1,0)),"")&amp;""</f>
        <v/>
      </c>
      <c r="AE293" s="9">
        <f>IFERROR(INDEX($A293:$R293,MATCH("Job Number",$A$1:$R$1,0)),"")&amp;""</f>
        <v/>
      </c>
      <c r="AF293" s="54">
        <f>IF(AND(T293="Open",ISNUMBER(Z293),Z293&lt;EOMONTH(set_AsAt,-1)+1),3,0)</f>
        <v/>
      </c>
      <c r="AG293" s="54">
        <f>IF(AND(T293="Open",U293&gt;0,U293&gt;=set_DealShare*SUMIFS($U$2:$U$601,$T$2:$T$601,"Open")),3,0)</f>
        <v/>
      </c>
      <c r="AH293" s="54">
        <f>IF(AND(T293="Open",U293&gt;=set_BigValue,W293&lt;=set_EarlyProb),2,0)</f>
        <v/>
      </c>
      <c r="AI293" s="54">
        <f>IF(AND(OR(T293="Open",T293="Won"),V293=0),2,0)</f>
        <v/>
      </c>
      <c r="AJ293" s="54">
        <f>IF(AND(T293="Won",Y293&gt;0.5,ISNUMBER(Z293),Z293&lt;EOMONTH(set_AsAt,-1)+1),3,0)</f>
        <v/>
      </c>
      <c r="AK293" s="54">
        <f>IF(AND(T293="Won",Y293&lt;-1),1,0)</f>
        <v/>
      </c>
      <c r="AL293" s="54">
        <f>SUM(AF293:AK293)</f>
        <v/>
      </c>
      <c r="AM293" s="9">
        <f>IF(AL293&gt;=set_ScoreHigh,"High",IF(AL293&gt;=set_ScoreMed,"Medium",IF(AL293&gt;0,"Low","OK")))</f>
        <v/>
      </c>
      <c r="AN293" s="54">
        <f>IF(OR(T293="Open",AND(T293="Won",ABS(Y293)&gt;0.5)),1,0)</f>
        <v/>
      </c>
      <c r="AO293" s="52">
        <f>IF(T293="Open",IF(V293=0,0,X293),IF(T293="Won",MAX(0,Y293),0))</f>
        <v/>
      </c>
      <c r="AP293" s="54">
        <f>IF(AN293=1,AL293*1E+9+U293+ROW()/1E+6,"")</f>
        <v/>
      </c>
      <c r="AQ293" s="9">
        <f>MID(IF(AF293&gt;0,"; Expected month passed - update Zoho","")&amp;IF(AG293&gt;0,"; "&amp;TEXT(U293/MAX(1,SUMIFS($U$2:$U$601,$T$2:$T$601,"Open")),"0%")&amp;" of open pipeline in one deal","")&amp;IF(AH293&gt;0,"; Large deal at an early stage","")&amp;IF(AI293&gt;0,"; No amount in Zoho","")&amp;IF(AJ293&gt;0,"; Won, invoice month passed, not fully invoiced","")&amp;IF(AK293&gt;0,"; Xero invoiced more than the deal value",""),3,300)</f>
        <v/>
      </c>
    </row>
    <row r="294">
      <c r="T294" s="9">
        <f>IFERROR(INDEX($A294:$R294,MATCH("Status",$A$1:$R$1,0)),"")&amp;""</f>
        <v/>
      </c>
      <c r="U294" s="52">
        <f>IFERROR(N(IFERROR(INDEX($A294:$R294,MATCH("Value Ex GST",$A$1:$R$1,0)),"")),0)</f>
        <v/>
      </c>
      <c r="V294" s="54">
        <f>IF(AND(T294&lt;&gt;"",IFERROR(INDEX($A294:$R294,MATCH("Value Ex GST",$A$1:$R$1,0)),"")&amp;""&lt;&gt;""),1,0)</f>
        <v/>
      </c>
      <c r="W294" s="56">
        <f>IFERROR(N(IFERROR(INDEX($A294:$R294,MATCH("Probability",$A$1:$R$1,0)),"")),0)</f>
        <v/>
      </c>
      <c r="X294" s="52">
        <f>IF(T294="Open",U294*W294,0)</f>
        <v/>
      </c>
      <c r="Y294" s="52">
        <f>IF(T294="Won",IFERROR(N(IFERROR(INDEX($A294:$R294,MATCH("Still to Invoice",$A$1:$R$1,0)),"")),0),0)</f>
        <v/>
      </c>
      <c r="Z294" s="55">
        <f>IFERROR(EOMONTH(IFERROR(INDEX($A294:$R294,MATCH("Expected Invoice Month",$A$1:$R$1,0)),""),0),"")</f>
        <v/>
      </c>
      <c r="AA294" s="9">
        <f>IFERROR(INDEX($A294:$R294,MATCH("Cost Centre",$A$1:$R$1,0)),"")&amp;""</f>
        <v/>
      </c>
      <c r="AB294" s="9">
        <f>IFERROR(INDEX($A294:$R294,MATCH("Pipeline Stage",$A$1:$R$1,0)),"")&amp;""</f>
        <v/>
      </c>
      <c r="AC294" s="9">
        <f>IFERROR(INDEX($A294:$R294,MATCH("Client",$A$1:$R$1,0)),"")&amp;""</f>
        <v/>
      </c>
      <c r="AD294" s="9">
        <f>IFERROR(INDEX($A294:$R294,MATCH("Description",$A$1:$R$1,0)),"")&amp;""</f>
        <v/>
      </c>
      <c r="AE294" s="9">
        <f>IFERROR(INDEX($A294:$R294,MATCH("Job Number",$A$1:$R$1,0)),"")&amp;""</f>
        <v/>
      </c>
      <c r="AF294" s="54">
        <f>IF(AND(T294="Open",ISNUMBER(Z294),Z294&lt;EOMONTH(set_AsAt,-1)+1),3,0)</f>
        <v/>
      </c>
      <c r="AG294" s="54">
        <f>IF(AND(T294="Open",U294&gt;0,U294&gt;=set_DealShare*SUMIFS($U$2:$U$601,$T$2:$T$601,"Open")),3,0)</f>
        <v/>
      </c>
      <c r="AH294" s="54">
        <f>IF(AND(T294="Open",U294&gt;=set_BigValue,W294&lt;=set_EarlyProb),2,0)</f>
        <v/>
      </c>
      <c r="AI294" s="54">
        <f>IF(AND(OR(T294="Open",T294="Won"),V294=0),2,0)</f>
        <v/>
      </c>
      <c r="AJ294" s="54">
        <f>IF(AND(T294="Won",Y294&gt;0.5,ISNUMBER(Z294),Z294&lt;EOMONTH(set_AsAt,-1)+1),3,0)</f>
        <v/>
      </c>
      <c r="AK294" s="54">
        <f>IF(AND(T294="Won",Y294&lt;-1),1,0)</f>
        <v/>
      </c>
      <c r="AL294" s="54">
        <f>SUM(AF294:AK294)</f>
        <v/>
      </c>
      <c r="AM294" s="9">
        <f>IF(AL294&gt;=set_ScoreHigh,"High",IF(AL294&gt;=set_ScoreMed,"Medium",IF(AL294&gt;0,"Low","OK")))</f>
        <v/>
      </c>
      <c r="AN294" s="54">
        <f>IF(OR(T294="Open",AND(T294="Won",ABS(Y294)&gt;0.5)),1,0)</f>
        <v/>
      </c>
      <c r="AO294" s="52">
        <f>IF(T294="Open",IF(V294=0,0,X294),IF(T294="Won",MAX(0,Y294),0))</f>
        <v/>
      </c>
      <c r="AP294" s="54">
        <f>IF(AN294=1,AL294*1E+9+U294+ROW()/1E+6,"")</f>
        <v/>
      </c>
      <c r="AQ294" s="9">
        <f>MID(IF(AF294&gt;0,"; Expected month passed - update Zoho","")&amp;IF(AG294&gt;0,"; "&amp;TEXT(U294/MAX(1,SUMIFS($U$2:$U$601,$T$2:$T$601,"Open")),"0%")&amp;" of open pipeline in one deal","")&amp;IF(AH294&gt;0,"; Large deal at an early stage","")&amp;IF(AI294&gt;0,"; No amount in Zoho","")&amp;IF(AJ294&gt;0,"; Won, invoice month passed, not fully invoiced","")&amp;IF(AK294&gt;0,"; Xero invoiced more than the deal value",""),3,300)</f>
        <v/>
      </c>
    </row>
    <row r="295">
      <c r="T295" s="9">
        <f>IFERROR(INDEX($A295:$R295,MATCH("Status",$A$1:$R$1,0)),"")&amp;""</f>
        <v/>
      </c>
      <c r="U295" s="52">
        <f>IFERROR(N(IFERROR(INDEX($A295:$R295,MATCH("Value Ex GST",$A$1:$R$1,0)),"")),0)</f>
        <v/>
      </c>
      <c r="V295" s="54">
        <f>IF(AND(T295&lt;&gt;"",IFERROR(INDEX($A295:$R295,MATCH("Value Ex GST",$A$1:$R$1,0)),"")&amp;""&lt;&gt;""),1,0)</f>
        <v/>
      </c>
      <c r="W295" s="56">
        <f>IFERROR(N(IFERROR(INDEX($A295:$R295,MATCH("Probability",$A$1:$R$1,0)),"")),0)</f>
        <v/>
      </c>
      <c r="X295" s="52">
        <f>IF(T295="Open",U295*W295,0)</f>
        <v/>
      </c>
      <c r="Y295" s="52">
        <f>IF(T295="Won",IFERROR(N(IFERROR(INDEX($A295:$R295,MATCH("Still to Invoice",$A$1:$R$1,0)),"")),0),0)</f>
        <v/>
      </c>
      <c r="Z295" s="55">
        <f>IFERROR(EOMONTH(IFERROR(INDEX($A295:$R295,MATCH("Expected Invoice Month",$A$1:$R$1,0)),""),0),"")</f>
        <v/>
      </c>
      <c r="AA295" s="9">
        <f>IFERROR(INDEX($A295:$R295,MATCH("Cost Centre",$A$1:$R$1,0)),"")&amp;""</f>
        <v/>
      </c>
      <c r="AB295" s="9">
        <f>IFERROR(INDEX($A295:$R295,MATCH("Pipeline Stage",$A$1:$R$1,0)),"")&amp;""</f>
        <v/>
      </c>
      <c r="AC295" s="9">
        <f>IFERROR(INDEX($A295:$R295,MATCH("Client",$A$1:$R$1,0)),"")&amp;""</f>
        <v/>
      </c>
      <c r="AD295" s="9">
        <f>IFERROR(INDEX($A295:$R295,MATCH("Description",$A$1:$R$1,0)),"")&amp;""</f>
        <v/>
      </c>
      <c r="AE295" s="9">
        <f>IFERROR(INDEX($A295:$R295,MATCH("Job Number",$A$1:$R$1,0)),"")&amp;""</f>
        <v/>
      </c>
      <c r="AF295" s="54">
        <f>IF(AND(T295="Open",ISNUMBER(Z295),Z295&lt;EOMONTH(set_AsAt,-1)+1),3,0)</f>
        <v/>
      </c>
      <c r="AG295" s="54">
        <f>IF(AND(T295="Open",U295&gt;0,U295&gt;=set_DealShare*SUMIFS($U$2:$U$601,$T$2:$T$601,"Open")),3,0)</f>
        <v/>
      </c>
      <c r="AH295" s="54">
        <f>IF(AND(T295="Open",U295&gt;=set_BigValue,W295&lt;=set_EarlyProb),2,0)</f>
        <v/>
      </c>
      <c r="AI295" s="54">
        <f>IF(AND(OR(T295="Open",T295="Won"),V295=0),2,0)</f>
        <v/>
      </c>
      <c r="AJ295" s="54">
        <f>IF(AND(T295="Won",Y295&gt;0.5,ISNUMBER(Z295),Z295&lt;EOMONTH(set_AsAt,-1)+1),3,0)</f>
        <v/>
      </c>
      <c r="AK295" s="54">
        <f>IF(AND(T295="Won",Y295&lt;-1),1,0)</f>
        <v/>
      </c>
      <c r="AL295" s="54">
        <f>SUM(AF295:AK295)</f>
        <v/>
      </c>
      <c r="AM295" s="9">
        <f>IF(AL295&gt;=set_ScoreHigh,"High",IF(AL295&gt;=set_ScoreMed,"Medium",IF(AL295&gt;0,"Low","OK")))</f>
        <v/>
      </c>
      <c r="AN295" s="54">
        <f>IF(OR(T295="Open",AND(T295="Won",ABS(Y295)&gt;0.5)),1,0)</f>
        <v/>
      </c>
      <c r="AO295" s="52">
        <f>IF(T295="Open",IF(V295=0,0,X295),IF(T295="Won",MAX(0,Y295),0))</f>
        <v/>
      </c>
      <c r="AP295" s="54">
        <f>IF(AN295=1,AL295*1E+9+U295+ROW()/1E+6,"")</f>
        <v/>
      </c>
      <c r="AQ295" s="9">
        <f>MID(IF(AF295&gt;0,"; Expected month passed - update Zoho","")&amp;IF(AG295&gt;0,"; "&amp;TEXT(U295/MAX(1,SUMIFS($U$2:$U$601,$T$2:$T$601,"Open")),"0%")&amp;" of open pipeline in one deal","")&amp;IF(AH295&gt;0,"; Large deal at an early stage","")&amp;IF(AI295&gt;0,"; No amount in Zoho","")&amp;IF(AJ295&gt;0,"; Won, invoice month passed, not fully invoiced","")&amp;IF(AK295&gt;0,"; Xero invoiced more than the deal value",""),3,300)</f>
        <v/>
      </c>
    </row>
    <row r="296">
      <c r="T296" s="9">
        <f>IFERROR(INDEX($A296:$R296,MATCH("Status",$A$1:$R$1,0)),"")&amp;""</f>
        <v/>
      </c>
      <c r="U296" s="52">
        <f>IFERROR(N(IFERROR(INDEX($A296:$R296,MATCH("Value Ex GST",$A$1:$R$1,0)),"")),0)</f>
        <v/>
      </c>
      <c r="V296" s="54">
        <f>IF(AND(T296&lt;&gt;"",IFERROR(INDEX($A296:$R296,MATCH("Value Ex GST",$A$1:$R$1,0)),"")&amp;""&lt;&gt;""),1,0)</f>
        <v/>
      </c>
      <c r="W296" s="56">
        <f>IFERROR(N(IFERROR(INDEX($A296:$R296,MATCH("Probability",$A$1:$R$1,0)),"")),0)</f>
        <v/>
      </c>
      <c r="X296" s="52">
        <f>IF(T296="Open",U296*W296,0)</f>
        <v/>
      </c>
      <c r="Y296" s="52">
        <f>IF(T296="Won",IFERROR(N(IFERROR(INDEX($A296:$R296,MATCH("Still to Invoice",$A$1:$R$1,0)),"")),0),0)</f>
        <v/>
      </c>
      <c r="Z296" s="55">
        <f>IFERROR(EOMONTH(IFERROR(INDEX($A296:$R296,MATCH("Expected Invoice Month",$A$1:$R$1,0)),""),0),"")</f>
        <v/>
      </c>
      <c r="AA296" s="9">
        <f>IFERROR(INDEX($A296:$R296,MATCH("Cost Centre",$A$1:$R$1,0)),"")&amp;""</f>
        <v/>
      </c>
      <c r="AB296" s="9">
        <f>IFERROR(INDEX($A296:$R296,MATCH("Pipeline Stage",$A$1:$R$1,0)),"")&amp;""</f>
        <v/>
      </c>
      <c r="AC296" s="9">
        <f>IFERROR(INDEX($A296:$R296,MATCH("Client",$A$1:$R$1,0)),"")&amp;""</f>
        <v/>
      </c>
      <c r="AD296" s="9">
        <f>IFERROR(INDEX($A296:$R296,MATCH("Description",$A$1:$R$1,0)),"")&amp;""</f>
        <v/>
      </c>
      <c r="AE296" s="9">
        <f>IFERROR(INDEX($A296:$R296,MATCH("Job Number",$A$1:$R$1,0)),"")&amp;""</f>
        <v/>
      </c>
      <c r="AF296" s="54">
        <f>IF(AND(T296="Open",ISNUMBER(Z296),Z296&lt;EOMONTH(set_AsAt,-1)+1),3,0)</f>
        <v/>
      </c>
      <c r="AG296" s="54">
        <f>IF(AND(T296="Open",U296&gt;0,U296&gt;=set_DealShare*SUMIFS($U$2:$U$601,$T$2:$T$601,"Open")),3,0)</f>
        <v/>
      </c>
      <c r="AH296" s="54">
        <f>IF(AND(T296="Open",U296&gt;=set_BigValue,W296&lt;=set_EarlyProb),2,0)</f>
        <v/>
      </c>
      <c r="AI296" s="54">
        <f>IF(AND(OR(T296="Open",T296="Won"),V296=0),2,0)</f>
        <v/>
      </c>
      <c r="AJ296" s="54">
        <f>IF(AND(T296="Won",Y296&gt;0.5,ISNUMBER(Z296),Z296&lt;EOMONTH(set_AsAt,-1)+1),3,0)</f>
        <v/>
      </c>
      <c r="AK296" s="54">
        <f>IF(AND(T296="Won",Y296&lt;-1),1,0)</f>
        <v/>
      </c>
      <c r="AL296" s="54">
        <f>SUM(AF296:AK296)</f>
        <v/>
      </c>
      <c r="AM296" s="9">
        <f>IF(AL296&gt;=set_ScoreHigh,"High",IF(AL296&gt;=set_ScoreMed,"Medium",IF(AL296&gt;0,"Low","OK")))</f>
        <v/>
      </c>
      <c r="AN296" s="54">
        <f>IF(OR(T296="Open",AND(T296="Won",ABS(Y296)&gt;0.5)),1,0)</f>
        <v/>
      </c>
      <c r="AO296" s="52">
        <f>IF(T296="Open",IF(V296=0,0,X296),IF(T296="Won",MAX(0,Y296),0))</f>
        <v/>
      </c>
      <c r="AP296" s="54">
        <f>IF(AN296=1,AL296*1E+9+U296+ROW()/1E+6,"")</f>
        <v/>
      </c>
      <c r="AQ296" s="9">
        <f>MID(IF(AF296&gt;0,"; Expected month passed - update Zoho","")&amp;IF(AG296&gt;0,"; "&amp;TEXT(U296/MAX(1,SUMIFS($U$2:$U$601,$T$2:$T$601,"Open")),"0%")&amp;" of open pipeline in one deal","")&amp;IF(AH296&gt;0,"; Large deal at an early stage","")&amp;IF(AI296&gt;0,"; No amount in Zoho","")&amp;IF(AJ296&gt;0,"; Won, invoice month passed, not fully invoiced","")&amp;IF(AK296&gt;0,"; Xero invoiced more than the deal value",""),3,300)</f>
        <v/>
      </c>
    </row>
    <row r="297">
      <c r="T297" s="9">
        <f>IFERROR(INDEX($A297:$R297,MATCH("Status",$A$1:$R$1,0)),"")&amp;""</f>
        <v/>
      </c>
      <c r="U297" s="52">
        <f>IFERROR(N(IFERROR(INDEX($A297:$R297,MATCH("Value Ex GST",$A$1:$R$1,0)),"")),0)</f>
        <v/>
      </c>
      <c r="V297" s="54">
        <f>IF(AND(T297&lt;&gt;"",IFERROR(INDEX($A297:$R297,MATCH("Value Ex GST",$A$1:$R$1,0)),"")&amp;""&lt;&gt;""),1,0)</f>
        <v/>
      </c>
      <c r="W297" s="56">
        <f>IFERROR(N(IFERROR(INDEX($A297:$R297,MATCH("Probability",$A$1:$R$1,0)),"")),0)</f>
        <v/>
      </c>
      <c r="X297" s="52">
        <f>IF(T297="Open",U297*W297,0)</f>
        <v/>
      </c>
      <c r="Y297" s="52">
        <f>IF(T297="Won",IFERROR(N(IFERROR(INDEX($A297:$R297,MATCH("Still to Invoice",$A$1:$R$1,0)),"")),0),0)</f>
        <v/>
      </c>
      <c r="Z297" s="55">
        <f>IFERROR(EOMONTH(IFERROR(INDEX($A297:$R297,MATCH("Expected Invoice Month",$A$1:$R$1,0)),""),0),"")</f>
        <v/>
      </c>
      <c r="AA297" s="9">
        <f>IFERROR(INDEX($A297:$R297,MATCH("Cost Centre",$A$1:$R$1,0)),"")&amp;""</f>
        <v/>
      </c>
      <c r="AB297" s="9">
        <f>IFERROR(INDEX($A297:$R297,MATCH("Pipeline Stage",$A$1:$R$1,0)),"")&amp;""</f>
        <v/>
      </c>
      <c r="AC297" s="9">
        <f>IFERROR(INDEX($A297:$R297,MATCH("Client",$A$1:$R$1,0)),"")&amp;""</f>
        <v/>
      </c>
      <c r="AD297" s="9">
        <f>IFERROR(INDEX($A297:$R297,MATCH("Description",$A$1:$R$1,0)),"")&amp;""</f>
        <v/>
      </c>
      <c r="AE297" s="9">
        <f>IFERROR(INDEX($A297:$R297,MATCH("Job Number",$A$1:$R$1,0)),"")&amp;""</f>
        <v/>
      </c>
      <c r="AF297" s="54">
        <f>IF(AND(T297="Open",ISNUMBER(Z297),Z297&lt;EOMONTH(set_AsAt,-1)+1),3,0)</f>
        <v/>
      </c>
      <c r="AG297" s="54">
        <f>IF(AND(T297="Open",U297&gt;0,U297&gt;=set_DealShare*SUMIFS($U$2:$U$601,$T$2:$T$601,"Open")),3,0)</f>
        <v/>
      </c>
      <c r="AH297" s="54">
        <f>IF(AND(T297="Open",U297&gt;=set_BigValue,W297&lt;=set_EarlyProb),2,0)</f>
        <v/>
      </c>
      <c r="AI297" s="54">
        <f>IF(AND(OR(T297="Open",T297="Won"),V297=0),2,0)</f>
        <v/>
      </c>
      <c r="AJ297" s="54">
        <f>IF(AND(T297="Won",Y297&gt;0.5,ISNUMBER(Z297),Z297&lt;EOMONTH(set_AsAt,-1)+1),3,0)</f>
        <v/>
      </c>
      <c r="AK297" s="54">
        <f>IF(AND(T297="Won",Y297&lt;-1),1,0)</f>
        <v/>
      </c>
      <c r="AL297" s="54">
        <f>SUM(AF297:AK297)</f>
        <v/>
      </c>
      <c r="AM297" s="9">
        <f>IF(AL297&gt;=set_ScoreHigh,"High",IF(AL297&gt;=set_ScoreMed,"Medium",IF(AL297&gt;0,"Low","OK")))</f>
        <v/>
      </c>
      <c r="AN297" s="54">
        <f>IF(OR(T297="Open",AND(T297="Won",ABS(Y297)&gt;0.5)),1,0)</f>
        <v/>
      </c>
      <c r="AO297" s="52">
        <f>IF(T297="Open",IF(V297=0,0,X297),IF(T297="Won",MAX(0,Y297),0))</f>
        <v/>
      </c>
      <c r="AP297" s="54">
        <f>IF(AN297=1,AL297*1E+9+U297+ROW()/1E+6,"")</f>
        <v/>
      </c>
      <c r="AQ297" s="9">
        <f>MID(IF(AF297&gt;0,"; Expected month passed - update Zoho","")&amp;IF(AG297&gt;0,"; "&amp;TEXT(U297/MAX(1,SUMIFS($U$2:$U$601,$T$2:$T$601,"Open")),"0%")&amp;" of open pipeline in one deal","")&amp;IF(AH297&gt;0,"; Large deal at an early stage","")&amp;IF(AI297&gt;0,"; No amount in Zoho","")&amp;IF(AJ297&gt;0,"; Won, invoice month passed, not fully invoiced","")&amp;IF(AK297&gt;0,"; Xero invoiced more than the deal value",""),3,300)</f>
        <v/>
      </c>
    </row>
    <row r="298">
      <c r="T298" s="9">
        <f>IFERROR(INDEX($A298:$R298,MATCH("Status",$A$1:$R$1,0)),"")&amp;""</f>
        <v/>
      </c>
      <c r="U298" s="52">
        <f>IFERROR(N(IFERROR(INDEX($A298:$R298,MATCH("Value Ex GST",$A$1:$R$1,0)),"")),0)</f>
        <v/>
      </c>
      <c r="V298" s="54">
        <f>IF(AND(T298&lt;&gt;"",IFERROR(INDEX($A298:$R298,MATCH("Value Ex GST",$A$1:$R$1,0)),"")&amp;""&lt;&gt;""),1,0)</f>
        <v/>
      </c>
      <c r="W298" s="56">
        <f>IFERROR(N(IFERROR(INDEX($A298:$R298,MATCH("Probability",$A$1:$R$1,0)),"")),0)</f>
        <v/>
      </c>
      <c r="X298" s="52">
        <f>IF(T298="Open",U298*W298,0)</f>
        <v/>
      </c>
      <c r="Y298" s="52">
        <f>IF(T298="Won",IFERROR(N(IFERROR(INDEX($A298:$R298,MATCH("Still to Invoice",$A$1:$R$1,0)),"")),0),0)</f>
        <v/>
      </c>
      <c r="Z298" s="55">
        <f>IFERROR(EOMONTH(IFERROR(INDEX($A298:$R298,MATCH("Expected Invoice Month",$A$1:$R$1,0)),""),0),"")</f>
        <v/>
      </c>
      <c r="AA298" s="9">
        <f>IFERROR(INDEX($A298:$R298,MATCH("Cost Centre",$A$1:$R$1,0)),"")&amp;""</f>
        <v/>
      </c>
      <c r="AB298" s="9">
        <f>IFERROR(INDEX($A298:$R298,MATCH("Pipeline Stage",$A$1:$R$1,0)),"")&amp;""</f>
        <v/>
      </c>
      <c r="AC298" s="9">
        <f>IFERROR(INDEX($A298:$R298,MATCH("Client",$A$1:$R$1,0)),"")&amp;""</f>
        <v/>
      </c>
      <c r="AD298" s="9">
        <f>IFERROR(INDEX($A298:$R298,MATCH("Description",$A$1:$R$1,0)),"")&amp;""</f>
        <v/>
      </c>
      <c r="AE298" s="9">
        <f>IFERROR(INDEX($A298:$R298,MATCH("Job Number",$A$1:$R$1,0)),"")&amp;""</f>
        <v/>
      </c>
      <c r="AF298" s="54">
        <f>IF(AND(T298="Open",ISNUMBER(Z298),Z298&lt;EOMONTH(set_AsAt,-1)+1),3,0)</f>
        <v/>
      </c>
      <c r="AG298" s="54">
        <f>IF(AND(T298="Open",U298&gt;0,U298&gt;=set_DealShare*SUMIFS($U$2:$U$601,$T$2:$T$601,"Open")),3,0)</f>
        <v/>
      </c>
      <c r="AH298" s="54">
        <f>IF(AND(T298="Open",U298&gt;=set_BigValue,W298&lt;=set_EarlyProb),2,0)</f>
        <v/>
      </c>
      <c r="AI298" s="54">
        <f>IF(AND(OR(T298="Open",T298="Won"),V298=0),2,0)</f>
        <v/>
      </c>
      <c r="AJ298" s="54">
        <f>IF(AND(T298="Won",Y298&gt;0.5,ISNUMBER(Z298),Z298&lt;EOMONTH(set_AsAt,-1)+1),3,0)</f>
        <v/>
      </c>
      <c r="AK298" s="54">
        <f>IF(AND(T298="Won",Y298&lt;-1),1,0)</f>
        <v/>
      </c>
      <c r="AL298" s="54">
        <f>SUM(AF298:AK298)</f>
        <v/>
      </c>
      <c r="AM298" s="9">
        <f>IF(AL298&gt;=set_ScoreHigh,"High",IF(AL298&gt;=set_ScoreMed,"Medium",IF(AL298&gt;0,"Low","OK")))</f>
        <v/>
      </c>
      <c r="AN298" s="54">
        <f>IF(OR(T298="Open",AND(T298="Won",ABS(Y298)&gt;0.5)),1,0)</f>
        <v/>
      </c>
      <c r="AO298" s="52">
        <f>IF(T298="Open",IF(V298=0,0,X298),IF(T298="Won",MAX(0,Y298),0))</f>
        <v/>
      </c>
      <c r="AP298" s="54">
        <f>IF(AN298=1,AL298*1E+9+U298+ROW()/1E+6,"")</f>
        <v/>
      </c>
      <c r="AQ298" s="9">
        <f>MID(IF(AF298&gt;0,"; Expected month passed - update Zoho","")&amp;IF(AG298&gt;0,"; "&amp;TEXT(U298/MAX(1,SUMIFS($U$2:$U$601,$T$2:$T$601,"Open")),"0%")&amp;" of open pipeline in one deal","")&amp;IF(AH298&gt;0,"; Large deal at an early stage","")&amp;IF(AI298&gt;0,"; No amount in Zoho","")&amp;IF(AJ298&gt;0,"; Won, invoice month passed, not fully invoiced","")&amp;IF(AK298&gt;0,"; Xero invoiced more than the deal value",""),3,300)</f>
        <v/>
      </c>
    </row>
    <row r="299">
      <c r="T299" s="9">
        <f>IFERROR(INDEX($A299:$R299,MATCH("Status",$A$1:$R$1,0)),"")&amp;""</f>
        <v/>
      </c>
      <c r="U299" s="52">
        <f>IFERROR(N(IFERROR(INDEX($A299:$R299,MATCH("Value Ex GST",$A$1:$R$1,0)),"")),0)</f>
        <v/>
      </c>
      <c r="V299" s="54">
        <f>IF(AND(T299&lt;&gt;"",IFERROR(INDEX($A299:$R299,MATCH("Value Ex GST",$A$1:$R$1,0)),"")&amp;""&lt;&gt;""),1,0)</f>
        <v/>
      </c>
      <c r="W299" s="56">
        <f>IFERROR(N(IFERROR(INDEX($A299:$R299,MATCH("Probability",$A$1:$R$1,0)),"")),0)</f>
        <v/>
      </c>
      <c r="X299" s="52">
        <f>IF(T299="Open",U299*W299,0)</f>
        <v/>
      </c>
      <c r="Y299" s="52">
        <f>IF(T299="Won",IFERROR(N(IFERROR(INDEX($A299:$R299,MATCH("Still to Invoice",$A$1:$R$1,0)),"")),0),0)</f>
        <v/>
      </c>
      <c r="Z299" s="55">
        <f>IFERROR(EOMONTH(IFERROR(INDEX($A299:$R299,MATCH("Expected Invoice Month",$A$1:$R$1,0)),""),0),"")</f>
        <v/>
      </c>
      <c r="AA299" s="9">
        <f>IFERROR(INDEX($A299:$R299,MATCH("Cost Centre",$A$1:$R$1,0)),"")&amp;""</f>
        <v/>
      </c>
      <c r="AB299" s="9">
        <f>IFERROR(INDEX($A299:$R299,MATCH("Pipeline Stage",$A$1:$R$1,0)),"")&amp;""</f>
        <v/>
      </c>
      <c r="AC299" s="9">
        <f>IFERROR(INDEX($A299:$R299,MATCH("Client",$A$1:$R$1,0)),"")&amp;""</f>
        <v/>
      </c>
      <c r="AD299" s="9">
        <f>IFERROR(INDEX($A299:$R299,MATCH("Description",$A$1:$R$1,0)),"")&amp;""</f>
        <v/>
      </c>
      <c r="AE299" s="9">
        <f>IFERROR(INDEX($A299:$R299,MATCH("Job Number",$A$1:$R$1,0)),"")&amp;""</f>
        <v/>
      </c>
      <c r="AF299" s="54">
        <f>IF(AND(T299="Open",ISNUMBER(Z299),Z299&lt;EOMONTH(set_AsAt,-1)+1),3,0)</f>
        <v/>
      </c>
      <c r="AG299" s="54">
        <f>IF(AND(T299="Open",U299&gt;0,U299&gt;=set_DealShare*SUMIFS($U$2:$U$601,$T$2:$T$601,"Open")),3,0)</f>
        <v/>
      </c>
      <c r="AH299" s="54">
        <f>IF(AND(T299="Open",U299&gt;=set_BigValue,W299&lt;=set_EarlyProb),2,0)</f>
        <v/>
      </c>
      <c r="AI299" s="54">
        <f>IF(AND(OR(T299="Open",T299="Won"),V299=0),2,0)</f>
        <v/>
      </c>
      <c r="AJ299" s="54">
        <f>IF(AND(T299="Won",Y299&gt;0.5,ISNUMBER(Z299),Z299&lt;EOMONTH(set_AsAt,-1)+1),3,0)</f>
        <v/>
      </c>
      <c r="AK299" s="54">
        <f>IF(AND(T299="Won",Y299&lt;-1),1,0)</f>
        <v/>
      </c>
      <c r="AL299" s="54">
        <f>SUM(AF299:AK299)</f>
        <v/>
      </c>
      <c r="AM299" s="9">
        <f>IF(AL299&gt;=set_ScoreHigh,"High",IF(AL299&gt;=set_ScoreMed,"Medium",IF(AL299&gt;0,"Low","OK")))</f>
        <v/>
      </c>
      <c r="AN299" s="54">
        <f>IF(OR(T299="Open",AND(T299="Won",ABS(Y299)&gt;0.5)),1,0)</f>
        <v/>
      </c>
      <c r="AO299" s="52">
        <f>IF(T299="Open",IF(V299=0,0,X299),IF(T299="Won",MAX(0,Y299),0))</f>
        <v/>
      </c>
      <c r="AP299" s="54">
        <f>IF(AN299=1,AL299*1E+9+U299+ROW()/1E+6,"")</f>
        <v/>
      </c>
      <c r="AQ299" s="9">
        <f>MID(IF(AF299&gt;0,"; Expected month passed - update Zoho","")&amp;IF(AG299&gt;0,"; "&amp;TEXT(U299/MAX(1,SUMIFS($U$2:$U$601,$T$2:$T$601,"Open")),"0%")&amp;" of open pipeline in one deal","")&amp;IF(AH299&gt;0,"; Large deal at an early stage","")&amp;IF(AI299&gt;0,"; No amount in Zoho","")&amp;IF(AJ299&gt;0,"; Won, invoice month passed, not fully invoiced","")&amp;IF(AK299&gt;0,"; Xero invoiced more than the deal value",""),3,300)</f>
        <v/>
      </c>
    </row>
    <row r="300">
      <c r="T300" s="9">
        <f>IFERROR(INDEX($A300:$R300,MATCH("Status",$A$1:$R$1,0)),"")&amp;""</f>
        <v/>
      </c>
      <c r="U300" s="52">
        <f>IFERROR(N(IFERROR(INDEX($A300:$R300,MATCH("Value Ex GST",$A$1:$R$1,0)),"")),0)</f>
        <v/>
      </c>
      <c r="V300" s="54">
        <f>IF(AND(T300&lt;&gt;"",IFERROR(INDEX($A300:$R300,MATCH("Value Ex GST",$A$1:$R$1,0)),"")&amp;""&lt;&gt;""),1,0)</f>
        <v/>
      </c>
      <c r="W300" s="56">
        <f>IFERROR(N(IFERROR(INDEX($A300:$R300,MATCH("Probability",$A$1:$R$1,0)),"")),0)</f>
        <v/>
      </c>
      <c r="X300" s="52">
        <f>IF(T300="Open",U300*W300,0)</f>
        <v/>
      </c>
      <c r="Y300" s="52">
        <f>IF(T300="Won",IFERROR(N(IFERROR(INDEX($A300:$R300,MATCH("Still to Invoice",$A$1:$R$1,0)),"")),0),0)</f>
        <v/>
      </c>
      <c r="Z300" s="55">
        <f>IFERROR(EOMONTH(IFERROR(INDEX($A300:$R300,MATCH("Expected Invoice Month",$A$1:$R$1,0)),""),0),"")</f>
        <v/>
      </c>
      <c r="AA300" s="9">
        <f>IFERROR(INDEX($A300:$R300,MATCH("Cost Centre",$A$1:$R$1,0)),"")&amp;""</f>
        <v/>
      </c>
      <c r="AB300" s="9">
        <f>IFERROR(INDEX($A300:$R300,MATCH("Pipeline Stage",$A$1:$R$1,0)),"")&amp;""</f>
        <v/>
      </c>
      <c r="AC300" s="9">
        <f>IFERROR(INDEX($A300:$R300,MATCH("Client",$A$1:$R$1,0)),"")&amp;""</f>
        <v/>
      </c>
      <c r="AD300" s="9">
        <f>IFERROR(INDEX($A300:$R300,MATCH("Description",$A$1:$R$1,0)),"")&amp;""</f>
        <v/>
      </c>
      <c r="AE300" s="9">
        <f>IFERROR(INDEX($A300:$R300,MATCH("Job Number",$A$1:$R$1,0)),"")&amp;""</f>
        <v/>
      </c>
      <c r="AF300" s="54">
        <f>IF(AND(T300="Open",ISNUMBER(Z300),Z300&lt;EOMONTH(set_AsAt,-1)+1),3,0)</f>
        <v/>
      </c>
      <c r="AG300" s="54">
        <f>IF(AND(T300="Open",U300&gt;0,U300&gt;=set_DealShare*SUMIFS($U$2:$U$601,$T$2:$T$601,"Open")),3,0)</f>
        <v/>
      </c>
      <c r="AH300" s="54">
        <f>IF(AND(T300="Open",U300&gt;=set_BigValue,W300&lt;=set_EarlyProb),2,0)</f>
        <v/>
      </c>
      <c r="AI300" s="54">
        <f>IF(AND(OR(T300="Open",T300="Won"),V300=0),2,0)</f>
        <v/>
      </c>
      <c r="AJ300" s="54">
        <f>IF(AND(T300="Won",Y300&gt;0.5,ISNUMBER(Z300),Z300&lt;EOMONTH(set_AsAt,-1)+1),3,0)</f>
        <v/>
      </c>
      <c r="AK300" s="54">
        <f>IF(AND(T300="Won",Y300&lt;-1),1,0)</f>
        <v/>
      </c>
      <c r="AL300" s="54">
        <f>SUM(AF300:AK300)</f>
        <v/>
      </c>
      <c r="AM300" s="9">
        <f>IF(AL300&gt;=set_ScoreHigh,"High",IF(AL300&gt;=set_ScoreMed,"Medium",IF(AL300&gt;0,"Low","OK")))</f>
        <v/>
      </c>
      <c r="AN300" s="54">
        <f>IF(OR(T300="Open",AND(T300="Won",ABS(Y300)&gt;0.5)),1,0)</f>
        <v/>
      </c>
      <c r="AO300" s="52">
        <f>IF(T300="Open",IF(V300=0,0,X300),IF(T300="Won",MAX(0,Y300),0))</f>
        <v/>
      </c>
      <c r="AP300" s="54">
        <f>IF(AN300=1,AL300*1E+9+U300+ROW()/1E+6,"")</f>
        <v/>
      </c>
      <c r="AQ300" s="9">
        <f>MID(IF(AF300&gt;0,"; Expected month passed - update Zoho","")&amp;IF(AG300&gt;0,"; "&amp;TEXT(U300/MAX(1,SUMIFS($U$2:$U$601,$T$2:$T$601,"Open")),"0%")&amp;" of open pipeline in one deal","")&amp;IF(AH300&gt;0,"; Large deal at an early stage","")&amp;IF(AI300&gt;0,"; No amount in Zoho","")&amp;IF(AJ300&gt;0,"; Won, invoice month passed, not fully invoiced","")&amp;IF(AK300&gt;0,"; Xero invoiced more than the deal value",""),3,300)</f>
        <v/>
      </c>
    </row>
    <row r="301">
      <c r="T301" s="9">
        <f>IFERROR(INDEX($A301:$R301,MATCH("Status",$A$1:$R$1,0)),"")&amp;""</f>
        <v/>
      </c>
      <c r="U301" s="52">
        <f>IFERROR(N(IFERROR(INDEX($A301:$R301,MATCH("Value Ex GST",$A$1:$R$1,0)),"")),0)</f>
        <v/>
      </c>
      <c r="V301" s="54">
        <f>IF(AND(T301&lt;&gt;"",IFERROR(INDEX($A301:$R301,MATCH("Value Ex GST",$A$1:$R$1,0)),"")&amp;""&lt;&gt;""),1,0)</f>
        <v/>
      </c>
      <c r="W301" s="56">
        <f>IFERROR(N(IFERROR(INDEX($A301:$R301,MATCH("Probability",$A$1:$R$1,0)),"")),0)</f>
        <v/>
      </c>
      <c r="X301" s="52">
        <f>IF(T301="Open",U301*W301,0)</f>
        <v/>
      </c>
      <c r="Y301" s="52">
        <f>IF(T301="Won",IFERROR(N(IFERROR(INDEX($A301:$R301,MATCH("Still to Invoice",$A$1:$R$1,0)),"")),0),0)</f>
        <v/>
      </c>
      <c r="Z301" s="55">
        <f>IFERROR(EOMONTH(IFERROR(INDEX($A301:$R301,MATCH("Expected Invoice Month",$A$1:$R$1,0)),""),0),"")</f>
        <v/>
      </c>
      <c r="AA301" s="9">
        <f>IFERROR(INDEX($A301:$R301,MATCH("Cost Centre",$A$1:$R$1,0)),"")&amp;""</f>
        <v/>
      </c>
      <c r="AB301" s="9">
        <f>IFERROR(INDEX($A301:$R301,MATCH("Pipeline Stage",$A$1:$R$1,0)),"")&amp;""</f>
        <v/>
      </c>
      <c r="AC301" s="9">
        <f>IFERROR(INDEX($A301:$R301,MATCH("Client",$A$1:$R$1,0)),"")&amp;""</f>
        <v/>
      </c>
      <c r="AD301" s="9">
        <f>IFERROR(INDEX($A301:$R301,MATCH("Description",$A$1:$R$1,0)),"")&amp;""</f>
        <v/>
      </c>
      <c r="AE301" s="9">
        <f>IFERROR(INDEX($A301:$R301,MATCH("Job Number",$A$1:$R$1,0)),"")&amp;""</f>
        <v/>
      </c>
      <c r="AF301" s="54">
        <f>IF(AND(T301="Open",ISNUMBER(Z301),Z301&lt;EOMONTH(set_AsAt,-1)+1),3,0)</f>
        <v/>
      </c>
      <c r="AG301" s="54">
        <f>IF(AND(T301="Open",U301&gt;0,U301&gt;=set_DealShare*SUMIFS($U$2:$U$601,$T$2:$T$601,"Open")),3,0)</f>
        <v/>
      </c>
      <c r="AH301" s="54">
        <f>IF(AND(T301="Open",U301&gt;=set_BigValue,W301&lt;=set_EarlyProb),2,0)</f>
        <v/>
      </c>
      <c r="AI301" s="54">
        <f>IF(AND(OR(T301="Open",T301="Won"),V301=0),2,0)</f>
        <v/>
      </c>
      <c r="AJ301" s="54">
        <f>IF(AND(T301="Won",Y301&gt;0.5,ISNUMBER(Z301),Z301&lt;EOMONTH(set_AsAt,-1)+1),3,0)</f>
        <v/>
      </c>
      <c r="AK301" s="54">
        <f>IF(AND(T301="Won",Y301&lt;-1),1,0)</f>
        <v/>
      </c>
      <c r="AL301" s="54">
        <f>SUM(AF301:AK301)</f>
        <v/>
      </c>
      <c r="AM301" s="9">
        <f>IF(AL301&gt;=set_ScoreHigh,"High",IF(AL301&gt;=set_ScoreMed,"Medium",IF(AL301&gt;0,"Low","OK")))</f>
        <v/>
      </c>
      <c r="AN301" s="54">
        <f>IF(OR(T301="Open",AND(T301="Won",ABS(Y301)&gt;0.5)),1,0)</f>
        <v/>
      </c>
      <c r="AO301" s="52">
        <f>IF(T301="Open",IF(V301=0,0,X301),IF(T301="Won",MAX(0,Y301),0))</f>
        <v/>
      </c>
      <c r="AP301" s="54">
        <f>IF(AN301=1,AL301*1E+9+U301+ROW()/1E+6,"")</f>
        <v/>
      </c>
      <c r="AQ301" s="9">
        <f>MID(IF(AF301&gt;0,"; Expected month passed - update Zoho","")&amp;IF(AG301&gt;0,"; "&amp;TEXT(U301/MAX(1,SUMIFS($U$2:$U$601,$T$2:$T$601,"Open")),"0%")&amp;" of open pipeline in one deal","")&amp;IF(AH301&gt;0,"; Large deal at an early stage","")&amp;IF(AI301&gt;0,"; No amount in Zoho","")&amp;IF(AJ301&gt;0,"; Won, invoice month passed, not fully invoiced","")&amp;IF(AK301&gt;0,"; Xero invoiced more than the deal value",""),3,300)</f>
        <v/>
      </c>
    </row>
    <row r="302">
      <c r="T302" s="9">
        <f>IFERROR(INDEX($A302:$R302,MATCH("Status",$A$1:$R$1,0)),"")&amp;""</f>
        <v/>
      </c>
      <c r="U302" s="52">
        <f>IFERROR(N(IFERROR(INDEX($A302:$R302,MATCH("Value Ex GST",$A$1:$R$1,0)),"")),0)</f>
        <v/>
      </c>
      <c r="V302" s="54">
        <f>IF(AND(T302&lt;&gt;"",IFERROR(INDEX($A302:$R302,MATCH("Value Ex GST",$A$1:$R$1,0)),"")&amp;""&lt;&gt;""),1,0)</f>
        <v/>
      </c>
      <c r="W302" s="56">
        <f>IFERROR(N(IFERROR(INDEX($A302:$R302,MATCH("Probability",$A$1:$R$1,0)),"")),0)</f>
        <v/>
      </c>
      <c r="X302" s="52">
        <f>IF(T302="Open",U302*W302,0)</f>
        <v/>
      </c>
      <c r="Y302" s="52">
        <f>IF(T302="Won",IFERROR(N(IFERROR(INDEX($A302:$R302,MATCH("Still to Invoice",$A$1:$R$1,0)),"")),0),0)</f>
        <v/>
      </c>
      <c r="Z302" s="55">
        <f>IFERROR(EOMONTH(IFERROR(INDEX($A302:$R302,MATCH("Expected Invoice Month",$A$1:$R$1,0)),""),0),"")</f>
        <v/>
      </c>
      <c r="AA302" s="9">
        <f>IFERROR(INDEX($A302:$R302,MATCH("Cost Centre",$A$1:$R$1,0)),"")&amp;""</f>
        <v/>
      </c>
      <c r="AB302" s="9">
        <f>IFERROR(INDEX($A302:$R302,MATCH("Pipeline Stage",$A$1:$R$1,0)),"")&amp;""</f>
        <v/>
      </c>
      <c r="AC302" s="9">
        <f>IFERROR(INDEX($A302:$R302,MATCH("Client",$A$1:$R$1,0)),"")&amp;""</f>
        <v/>
      </c>
      <c r="AD302" s="9">
        <f>IFERROR(INDEX($A302:$R302,MATCH("Description",$A$1:$R$1,0)),"")&amp;""</f>
        <v/>
      </c>
      <c r="AE302" s="9">
        <f>IFERROR(INDEX($A302:$R302,MATCH("Job Number",$A$1:$R$1,0)),"")&amp;""</f>
        <v/>
      </c>
      <c r="AF302" s="54">
        <f>IF(AND(T302="Open",ISNUMBER(Z302),Z302&lt;EOMONTH(set_AsAt,-1)+1),3,0)</f>
        <v/>
      </c>
      <c r="AG302" s="54">
        <f>IF(AND(T302="Open",U302&gt;0,U302&gt;=set_DealShare*SUMIFS($U$2:$U$601,$T$2:$T$601,"Open")),3,0)</f>
        <v/>
      </c>
      <c r="AH302" s="54">
        <f>IF(AND(T302="Open",U302&gt;=set_BigValue,W302&lt;=set_EarlyProb),2,0)</f>
        <v/>
      </c>
      <c r="AI302" s="54">
        <f>IF(AND(OR(T302="Open",T302="Won"),V302=0),2,0)</f>
        <v/>
      </c>
      <c r="AJ302" s="54">
        <f>IF(AND(T302="Won",Y302&gt;0.5,ISNUMBER(Z302),Z302&lt;EOMONTH(set_AsAt,-1)+1),3,0)</f>
        <v/>
      </c>
      <c r="AK302" s="54">
        <f>IF(AND(T302="Won",Y302&lt;-1),1,0)</f>
        <v/>
      </c>
      <c r="AL302" s="54">
        <f>SUM(AF302:AK302)</f>
        <v/>
      </c>
      <c r="AM302" s="9">
        <f>IF(AL302&gt;=set_ScoreHigh,"High",IF(AL302&gt;=set_ScoreMed,"Medium",IF(AL302&gt;0,"Low","OK")))</f>
        <v/>
      </c>
      <c r="AN302" s="54">
        <f>IF(OR(T302="Open",AND(T302="Won",ABS(Y302)&gt;0.5)),1,0)</f>
        <v/>
      </c>
      <c r="AO302" s="52">
        <f>IF(T302="Open",IF(V302=0,0,X302),IF(T302="Won",MAX(0,Y302),0))</f>
        <v/>
      </c>
      <c r="AP302" s="54">
        <f>IF(AN302=1,AL302*1E+9+U302+ROW()/1E+6,"")</f>
        <v/>
      </c>
      <c r="AQ302" s="9">
        <f>MID(IF(AF302&gt;0,"; Expected month passed - update Zoho","")&amp;IF(AG302&gt;0,"; "&amp;TEXT(U302/MAX(1,SUMIFS($U$2:$U$601,$T$2:$T$601,"Open")),"0%")&amp;" of open pipeline in one deal","")&amp;IF(AH302&gt;0,"; Large deal at an early stage","")&amp;IF(AI302&gt;0,"; No amount in Zoho","")&amp;IF(AJ302&gt;0,"; Won, invoice month passed, not fully invoiced","")&amp;IF(AK302&gt;0,"; Xero invoiced more than the deal value",""),3,300)</f>
        <v/>
      </c>
    </row>
    <row r="303">
      <c r="T303" s="9">
        <f>IFERROR(INDEX($A303:$R303,MATCH("Status",$A$1:$R$1,0)),"")&amp;""</f>
        <v/>
      </c>
      <c r="U303" s="52">
        <f>IFERROR(N(IFERROR(INDEX($A303:$R303,MATCH("Value Ex GST",$A$1:$R$1,0)),"")),0)</f>
        <v/>
      </c>
      <c r="V303" s="54">
        <f>IF(AND(T303&lt;&gt;"",IFERROR(INDEX($A303:$R303,MATCH("Value Ex GST",$A$1:$R$1,0)),"")&amp;""&lt;&gt;""),1,0)</f>
        <v/>
      </c>
      <c r="W303" s="56">
        <f>IFERROR(N(IFERROR(INDEX($A303:$R303,MATCH("Probability",$A$1:$R$1,0)),"")),0)</f>
        <v/>
      </c>
      <c r="X303" s="52">
        <f>IF(T303="Open",U303*W303,0)</f>
        <v/>
      </c>
      <c r="Y303" s="52">
        <f>IF(T303="Won",IFERROR(N(IFERROR(INDEX($A303:$R303,MATCH("Still to Invoice",$A$1:$R$1,0)),"")),0),0)</f>
        <v/>
      </c>
      <c r="Z303" s="55">
        <f>IFERROR(EOMONTH(IFERROR(INDEX($A303:$R303,MATCH("Expected Invoice Month",$A$1:$R$1,0)),""),0),"")</f>
        <v/>
      </c>
      <c r="AA303" s="9">
        <f>IFERROR(INDEX($A303:$R303,MATCH("Cost Centre",$A$1:$R$1,0)),"")&amp;""</f>
        <v/>
      </c>
      <c r="AB303" s="9">
        <f>IFERROR(INDEX($A303:$R303,MATCH("Pipeline Stage",$A$1:$R$1,0)),"")&amp;""</f>
        <v/>
      </c>
      <c r="AC303" s="9">
        <f>IFERROR(INDEX($A303:$R303,MATCH("Client",$A$1:$R$1,0)),"")&amp;""</f>
        <v/>
      </c>
      <c r="AD303" s="9">
        <f>IFERROR(INDEX($A303:$R303,MATCH("Description",$A$1:$R$1,0)),"")&amp;""</f>
        <v/>
      </c>
      <c r="AE303" s="9">
        <f>IFERROR(INDEX($A303:$R303,MATCH("Job Number",$A$1:$R$1,0)),"")&amp;""</f>
        <v/>
      </c>
      <c r="AF303" s="54">
        <f>IF(AND(T303="Open",ISNUMBER(Z303),Z303&lt;EOMONTH(set_AsAt,-1)+1),3,0)</f>
        <v/>
      </c>
      <c r="AG303" s="54">
        <f>IF(AND(T303="Open",U303&gt;0,U303&gt;=set_DealShare*SUMIFS($U$2:$U$601,$T$2:$T$601,"Open")),3,0)</f>
        <v/>
      </c>
      <c r="AH303" s="54">
        <f>IF(AND(T303="Open",U303&gt;=set_BigValue,W303&lt;=set_EarlyProb),2,0)</f>
        <v/>
      </c>
      <c r="AI303" s="54">
        <f>IF(AND(OR(T303="Open",T303="Won"),V303=0),2,0)</f>
        <v/>
      </c>
      <c r="AJ303" s="54">
        <f>IF(AND(T303="Won",Y303&gt;0.5,ISNUMBER(Z303),Z303&lt;EOMONTH(set_AsAt,-1)+1),3,0)</f>
        <v/>
      </c>
      <c r="AK303" s="54">
        <f>IF(AND(T303="Won",Y303&lt;-1),1,0)</f>
        <v/>
      </c>
      <c r="AL303" s="54">
        <f>SUM(AF303:AK303)</f>
        <v/>
      </c>
      <c r="AM303" s="9">
        <f>IF(AL303&gt;=set_ScoreHigh,"High",IF(AL303&gt;=set_ScoreMed,"Medium",IF(AL303&gt;0,"Low","OK")))</f>
        <v/>
      </c>
      <c r="AN303" s="54">
        <f>IF(OR(T303="Open",AND(T303="Won",ABS(Y303)&gt;0.5)),1,0)</f>
        <v/>
      </c>
      <c r="AO303" s="52">
        <f>IF(T303="Open",IF(V303=0,0,X303),IF(T303="Won",MAX(0,Y303),0))</f>
        <v/>
      </c>
      <c r="AP303" s="54">
        <f>IF(AN303=1,AL303*1E+9+U303+ROW()/1E+6,"")</f>
        <v/>
      </c>
      <c r="AQ303" s="9">
        <f>MID(IF(AF303&gt;0,"; Expected month passed - update Zoho","")&amp;IF(AG303&gt;0,"; "&amp;TEXT(U303/MAX(1,SUMIFS($U$2:$U$601,$T$2:$T$601,"Open")),"0%")&amp;" of open pipeline in one deal","")&amp;IF(AH303&gt;0,"; Large deal at an early stage","")&amp;IF(AI303&gt;0,"; No amount in Zoho","")&amp;IF(AJ303&gt;0,"; Won, invoice month passed, not fully invoiced","")&amp;IF(AK303&gt;0,"; Xero invoiced more than the deal value",""),3,300)</f>
        <v/>
      </c>
    </row>
    <row r="304">
      <c r="T304" s="9">
        <f>IFERROR(INDEX($A304:$R304,MATCH("Status",$A$1:$R$1,0)),"")&amp;""</f>
        <v/>
      </c>
      <c r="U304" s="52">
        <f>IFERROR(N(IFERROR(INDEX($A304:$R304,MATCH("Value Ex GST",$A$1:$R$1,0)),"")),0)</f>
        <v/>
      </c>
      <c r="V304" s="54">
        <f>IF(AND(T304&lt;&gt;"",IFERROR(INDEX($A304:$R304,MATCH("Value Ex GST",$A$1:$R$1,0)),"")&amp;""&lt;&gt;""),1,0)</f>
        <v/>
      </c>
      <c r="W304" s="56">
        <f>IFERROR(N(IFERROR(INDEX($A304:$R304,MATCH("Probability",$A$1:$R$1,0)),"")),0)</f>
        <v/>
      </c>
      <c r="X304" s="52">
        <f>IF(T304="Open",U304*W304,0)</f>
        <v/>
      </c>
      <c r="Y304" s="52">
        <f>IF(T304="Won",IFERROR(N(IFERROR(INDEX($A304:$R304,MATCH("Still to Invoice",$A$1:$R$1,0)),"")),0),0)</f>
        <v/>
      </c>
      <c r="Z304" s="55">
        <f>IFERROR(EOMONTH(IFERROR(INDEX($A304:$R304,MATCH("Expected Invoice Month",$A$1:$R$1,0)),""),0),"")</f>
        <v/>
      </c>
      <c r="AA304" s="9">
        <f>IFERROR(INDEX($A304:$R304,MATCH("Cost Centre",$A$1:$R$1,0)),"")&amp;""</f>
        <v/>
      </c>
      <c r="AB304" s="9">
        <f>IFERROR(INDEX($A304:$R304,MATCH("Pipeline Stage",$A$1:$R$1,0)),"")&amp;""</f>
        <v/>
      </c>
      <c r="AC304" s="9">
        <f>IFERROR(INDEX($A304:$R304,MATCH("Client",$A$1:$R$1,0)),"")&amp;""</f>
        <v/>
      </c>
      <c r="AD304" s="9">
        <f>IFERROR(INDEX($A304:$R304,MATCH("Description",$A$1:$R$1,0)),"")&amp;""</f>
        <v/>
      </c>
      <c r="AE304" s="9">
        <f>IFERROR(INDEX($A304:$R304,MATCH("Job Number",$A$1:$R$1,0)),"")&amp;""</f>
        <v/>
      </c>
      <c r="AF304" s="54">
        <f>IF(AND(T304="Open",ISNUMBER(Z304),Z304&lt;EOMONTH(set_AsAt,-1)+1),3,0)</f>
        <v/>
      </c>
      <c r="AG304" s="54">
        <f>IF(AND(T304="Open",U304&gt;0,U304&gt;=set_DealShare*SUMIFS($U$2:$U$601,$T$2:$T$601,"Open")),3,0)</f>
        <v/>
      </c>
      <c r="AH304" s="54">
        <f>IF(AND(T304="Open",U304&gt;=set_BigValue,W304&lt;=set_EarlyProb),2,0)</f>
        <v/>
      </c>
      <c r="AI304" s="54">
        <f>IF(AND(OR(T304="Open",T304="Won"),V304=0),2,0)</f>
        <v/>
      </c>
      <c r="AJ304" s="54">
        <f>IF(AND(T304="Won",Y304&gt;0.5,ISNUMBER(Z304),Z304&lt;EOMONTH(set_AsAt,-1)+1),3,0)</f>
        <v/>
      </c>
      <c r="AK304" s="54">
        <f>IF(AND(T304="Won",Y304&lt;-1),1,0)</f>
        <v/>
      </c>
      <c r="AL304" s="54">
        <f>SUM(AF304:AK304)</f>
        <v/>
      </c>
      <c r="AM304" s="9">
        <f>IF(AL304&gt;=set_ScoreHigh,"High",IF(AL304&gt;=set_ScoreMed,"Medium",IF(AL304&gt;0,"Low","OK")))</f>
        <v/>
      </c>
      <c r="AN304" s="54">
        <f>IF(OR(T304="Open",AND(T304="Won",ABS(Y304)&gt;0.5)),1,0)</f>
        <v/>
      </c>
      <c r="AO304" s="52">
        <f>IF(T304="Open",IF(V304=0,0,X304),IF(T304="Won",MAX(0,Y304),0))</f>
        <v/>
      </c>
      <c r="AP304" s="54">
        <f>IF(AN304=1,AL304*1E+9+U304+ROW()/1E+6,"")</f>
        <v/>
      </c>
      <c r="AQ304" s="9">
        <f>MID(IF(AF304&gt;0,"; Expected month passed - update Zoho","")&amp;IF(AG304&gt;0,"; "&amp;TEXT(U304/MAX(1,SUMIFS($U$2:$U$601,$T$2:$T$601,"Open")),"0%")&amp;" of open pipeline in one deal","")&amp;IF(AH304&gt;0,"; Large deal at an early stage","")&amp;IF(AI304&gt;0,"; No amount in Zoho","")&amp;IF(AJ304&gt;0,"; Won, invoice month passed, not fully invoiced","")&amp;IF(AK304&gt;0,"; Xero invoiced more than the deal value",""),3,300)</f>
        <v/>
      </c>
    </row>
    <row r="305">
      <c r="T305" s="9">
        <f>IFERROR(INDEX($A305:$R305,MATCH("Status",$A$1:$R$1,0)),"")&amp;""</f>
        <v/>
      </c>
      <c r="U305" s="52">
        <f>IFERROR(N(IFERROR(INDEX($A305:$R305,MATCH("Value Ex GST",$A$1:$R$1,0)),"")),0)</f>
        <v/>
      </c>
      <c r="V305" s="54">
        <f>IF(AND(T305&lt;&gt;"",IFERROR(INDEX($A305:$R305,MATCH("Value Ex GST",$A$1:$R$1,0)),"")&amp;""&lt;&gt;""),1,0)</f>
        <v/>
      </c>
      <c r="W305" s="56">
        <f>IFERROR(N(IFERROR(INDEX($A305:$R305,MATCH("Probability",$A$1:$R$1,0)),"")),0)</f>
        <v/>
      </c>
      <c r="X305" s="52">
        <f>IF(T305="Open",U305*W305,0)</f>
        <v/>
      </c>
      <c r="Y305" s="52">
        <f>IF(T305="Won",IFERROR(N(IFERROR(INDEX($A305:$R305,MATCH("Still to Invoice",$A$1:$R$1,0)),"")),0),0)</f>
        <v/>
      </c>
      <c r="Z305" s="55">
        <f>IFERROR(EOMONTH(IFERROR(INDEX($A305:$R305,MATCH("Expected Invoice Month",$A$1:$R$1,0)),""),0),"")</f>
        <v/>
      </c>
      <c r="AA305" s="9">
        <f>IFERROR(INDEX($A305:$R305,MATCH("Cost Centre",$A$1:$R$1,0)),"")&amp;""</f>
        <v/>
      </c>
      <c r="AB305" s="9">
        <f>IFERROR(INDEX($A305:$R305,MATCH("Pipeline Stage",$A$1:$R$1,0)),"")&amp;""</f>
        <v/>
      </c>
      <c r="AC305" s="9">
        <f>IFERROR(INDEX($A305:$R305,MATCH("Client",$A$1:$R$1,0)),"")&amp;""</f>
        <v/>
      </c>
      <c r="AD305" s="9">
        <f>IFERROR(INDEX($A305:$R305,MATCH("Description",$A$1:$R$1,0)),"")&amp;""</f>
        <v/>
      </c>
      <c r="AE305" s="9">
        <f>IFERROR(INDEX($A305:$R305,MATCH("Job Number",$A$1:$R$1,0)),"")&amp;""</f>
        <v/>
      </c>
      <c r="AF305" s="54">
        <f>IF(AND(T305="Open",ISNUMBER(Z305),Z305&lt;EOMONTH(set_AsAt,-1)+1),3,0)</f>
        <v/>
      </c>
      <c r="AG305" s="54">
        <f>IF(AND(T305="Open",U305&gt;0,U305&gt;=set_DealShare*SUMIFS($U$2:$U$601,$T$2:$T$601,"Open")),3,0)</f>
        <v/>
      </c>
      <c r="AH305" s="54">
        <f>IF(AND(T305="Open",U305&gt;=set_BigValue,W305&lt;=set_EarlyProb),2,0)</f>
        <v/>
      </c>
      <c r="AI305" s="54">
        <f>IF(AND(OR(T305="Open",T305="Won"),V305=0),2,0)</f>
        <v/>
      </c>
      <c r="AJ305" s="54">
        <f>IF(AND(T305="Won",Y305&gt;0.5,ISNUMBER(Z305),Z305&lt;EOMONTH(set_AsAt,-1)+1),3,0)</f>
        <v/>
      </c>
      <c r="AK305" s="54">
        <f>IF(AND(T305="Won",Y305&lt;-1),1,0)</f>
        <v/>
      </c>
      <c r="AL305" s="54">
        <f>SUM(AF305:AK305)</f>
        <v/>
      </c>
      <c r="AM305" s="9">
        <f>IF(AL305&gt;=set_ScoreHigh,"High",IF(AL305&gt;=set_ScoreMed,"Medium",IF(AL305&gt;0,"Low","OK")))</f>
        <v/>
      </c>
      <c r="AN305" s="54">
        <f>IF(OR(T305="Open",AND(T305="Won",ABS(Y305)&gt;0.5)),1,0)</f>
        <v/>
      </c>
      <c r="AO305" s="52">
        <f>IF(T305="Open",IF(V305=0,0,X305),IF(T305="Won",MAX(0,Y305),0))</f>
        <v/>
      </c>
      <c r="AP305" s="54">
        <f>IF(AN305=1,AL305*1E+9+U305+ROW()/1E+6,"")</f>
        <v/>
      </c>
      <c r="AQ305" s="9">
        <f>MID(IF(AF305&gt;0,"; Expected month passed - update Zoho","")&amp;IF(AG305&gt;0,"; "&amp;TEXT(U305/MAX(1,SUMIFS($U$2:$U$601,$T$2:$T$601,"Open")),"0%")&amp;" of open pipeline in one deal","")&amp;IF(AH305&gt;0,"; Large deal at an early stage","")&amp;IF(AI305&gt;0,"; No amount in Zoho","")&amp;IF(AJ305&gt;0,"; Won, invoice month passed, not fully invoiced","")&amp;IF(AK305&gt;0,"; Xero invoiced more than the deal value",""),3,300)</f>
        <v/>
      </c>
    </row>
    <row r="306">
      <c r="T306" s="9">
        <f>IFERROR(INDEX($A306:$R306,MATCH("Status",$A$1:$R$1,0)),"")&amp;""</f>
        <v/>
      </c>
      <c r="U306" s="52">
        <f>IFERROR(N(IFERROR(INDEX($A306:$R306,MATCH("Value Ex GST",$A$1:$R$1,0)),"")),0)</f>
        <v/>
      </c>
      <c r="V306" s="54">
        <f>IF(AND(T306&lt;&gt;"",IFERROR(INDEX($A306:$R306,MATCH("Value Ex GST",$A$1:$R$1,0)),"")&amp;""&lt;&gt;""),1,0)</f>
        <v/>
      </c>
      <c r="W306" s="56">
        <f>IFERROR(N(IFERROR(INDEX($A306:$R306,MATCH("Probability",$A$1:$R$1,0)),"")),0)</f>
        <v/>
      </c>
      <c r="X306" s="52">
        <f>IF(T306="Open",U306*W306,0)</f>
        <v/>
      </c>
      <c r="Y306" s="52">
        <f>IF(T306="Won",IFERROR(N(IFERROR(INDEX($A306:$R306,MATCH("Still to Invoice",$A$1:$R$1,0)),"")),0),0)</f>
        <v/>
      </c>
      <c r="Z306" s="55">
        <f>IFERROR(EOMONTH(IFERROR(INDEX($A306:$R306,MATCH("Expected Invoice Month",$A$1:$R$1,0)),""),0),"")</f>
        <v/>
      </c>
      <c r="AA306" s="9">
        <f>IFERROR(INDEX($A306:$R306,MATCH("Cost Centre",$A$1:$R$1,0)),"")&amp;""</f>
        <v/>
      </c>
      <c r="AB306" s="9">
        <f>IFERROR(INDEX($A306:$R306,MATCH("Pipeline Stage",$A$1:$R$1,0)),"")&amp;""</f>
        <v/>
      </c>
      <c r="AC306" s="9">
        <f>IFERROR(INDEX($A306:$R306,MATCH("Client",$A$1:$R$1,0)),"")&amp;""</f>
        <v/>
      </c>
      <c r="AD306" s="9">
        <f>IFERROR(INDEX($A306:$R306,MATCH("Description",$A$1:$R$1,0)),"")&amp;""</f>
        <v/>
      </c>
      <c r="AE306" s="9">
        <f>IFERROR(INDEX($A306:$R306,MATCH("Job Number",$A$1:$R$1,0)),"")&amp;""</f>
        <v/>
      </c>
      <c r="AF306" s="54">
        <f>IF(AND(T306="Open",ISNUMBER(Z306),Z306&lt;EOMONTH(set_AsAt,-1)+1),3,0)</f>
        <v/>
      </c>
      <c r="AG306" s="54">
        <f>IF(AND(T306="Open",U306&gt;0,U306&gt;=set_DealShare*SUMIFS($U$2:$U$601,$T$2:$T$601,"Open")),3,0)</f>
        <v/>
      </c>
      <c r="AH306" s="54">
        <f>IF(AND(T306="Open",U306&gt;=set_BigValue,W306&lt;=set_EarlyProb),2,0)</f>
        <v/>
      </c>
      <c r="AI306" s="54">
        <f>IF(AND(OR(T306="Open",T306="Won"),V306=0),2,0)</f>
        <v/>
      </c>
      <c r="AJ306" s="54">
        <f>IF(AND(T306="Won",Y306&gt;0.5,ISNUMBER(Z306),Z306&lt;EOMONTH(set_AsAt,-1)+1),3,0)</f>
        <v/>
      </c>
      <c r="AK306" s="54">
        <f>IF(AND(T306="Won",Y306&lt;-1),1,0)</f>
        <v/>
      </c>
      <c r="AL306" s="54">
        <f>SUM(AF306:AK306)</f>
        <v/>
      </c>
      <c r="AM306" s="9">
        <f>IF(AL306&gt;=set_ScoreHigh,"High",IF(AL306&gt;=set_ScoreMed,"Medium",IF(AL306&gt;0,"Low","OK")))</f>
        <v/>
      </c>
      <c r="AN306" s="54">
        <f>IF(OR(T306="Open",AND(T306="Won",ABS(Y306)&gt;0.5)),1,0)</f>
        <v/>
      </c>
      <c r="AO306" s="52">
        <f>IF(T306="Open",IF(V306=0,0,X306),IF(T306="Won",MAX(0,Y306),0))</f>
        <v/>
      </c>
      <c r="AP306" s="54">
        <f>IF(AN306=1,AL306*1E+9+U306+ROW()/1E+6,"")</f>
        <v/>
      </c>
      <c r="AQ306" s="9">
        <f>MID(IF(AF306&gt;0,"; Expected month passed - update Zoho","")&amp;IF(AG306&gt;0,"; "&amp;TEXT(U306/MAX(1,SUMIFS($U$2:$U$601,$T$2:$T$601,"Open")),"0%")&amp;" of open pipeline in one deal","")&amp;IF(AH306&gt;0,"; Large deal at an early stage","")&amp;IF(AI306&gt;0,"; No amount in Zoho","")&amp;IF(AJ306&gt;0,"; Won, invoice month passed, not fully invoiced","")&amp;IF(AK306&gt;0,"; Xero invoiced more than the deal value",""),3,300)</f>
        <v/>
      </c>
    </row>
    <row r="307">
      <c r="T307" s="9">
        <f>IFERROR(INDEX($A307:$R307,MATCH("Status",$A$1:$R$1,0)),"")&amp;""</f>
        <v/>
      </c>
      <c r="U307" s="52">
        <f>IFERROR(N(IFERROR(INDEX($A307:$R307,MATCH("Value Ex GST",$A$1:$R$1,0)),"")),0)</f>
        <v/>
      </c>
      <c r="V307" s="54">
        <f>IF(AND(T307&lt;&gt;"",IFERROR(INDEX($A307:$R307,MATCH("Value Ex GST",$A$1:$R$1,0)),"")&amp;""&lt;&gt;""),1,0)</f>
        <v/>
      </c>
      <c r="W307" s="56">
        <f>IFERROR(N(IFERROR(INDEX($A307:$R307,MATCH("Probability",$A$1:$R$1,0)),"")),0)</f>
        <v/>
      </c>
      <c r="X307" s="52">
        <f>IF(T307="Open",U307*W307,0)</f>
        <v/>
      </c>
      <c r="Y307" s="52">
        <f>IF(T307="Won",IFERROR(N(IFERROR(INDEX($A307:$R307,MATCH("Still to Invoice",$A$1:$R$1,0)),"")),0),0)</f>
        <v/>
      </c>
      <c r="Z307" s="55">
        <f>IFERROR(EOMONTH(IFERROR(INDEX($A307:$R307,MATCH("Expected Invoice Month",$A$1:$R$1,0)),""),0),"")</f>
        <v/>
      </c>
      <c r="AA307" s="9">
        <f>IFERROR(INDEX($A307:$R307,MATCH("Cost Centre",$A$1:$R$1,0)),"")&amp;""</f>
        <v/>
      </c>
      <c r="AB307" s="9">
        <f>IFERROR(INDEX($A307:$R307,MATCH("Pipeline Stage",$A$1:$R$1,0)),"")&amp;""</f>
        <v/>
      </c>
      <c r="AC307" s="9">
        <f>IFERROR(INDEX($A307:$R307,MATCH("Client",$A$1:$R$1,0)),"")&amp;""</f>
        <v/>
      </c>
      <c r="AD307" s="9">
        <f>IFERROR(INDEX($A307:$R307,MATCH("Description",$A$1:$R$1,0)),"")&amp;""</f>
        <v/>
      </c>
      <c r="AE307" s="9">
        <f>IFERROR(INDEX($A307:$R307,MATCH("Job Number",$A$1:$R$1,0)),"")&amp;""</f>
        <v/>
      </c>
      <c r="AF307" s="54">
        <f>IF(AND(T307="Open",ISNUMBER(Z307),Z307&lt;EOMONTH(set_AsAt,-1)+1),3,0)</f>
        <v/>
      </c>
      <c r="AG307" s="54">
        <f>IF(AND(T307="Open",U307&gt;0,U307&gt;=set_DealShare*SUMIFS($U$2:$U$601,$T$2:$T$601,"Open")),3,0)</f>
        <v/>
      </c>
      <c r="AH307" s="54">
        <f>IF(AND(T307="Open",U307&gt;=set_BigValue,W307&lt;=set_EarlyProb),2,0)</f>
        <v/>
      </c>
      <c r="AI307" s="54">
        <f>IF(AND(OR(T307="Open",T307="Won"),V307=0),2,0)</f>
        <v/>
      </c>
      <c r="AJ307" s="54">
        <f>IF(AND(T307="Won",Y307&gt;0.5,ISNUMBER(Z307),Z307&lt;EOMONTH(set_AsAt,-1)+1),3,0)</f>
        <v/>
      </c>
      <c r="AK307" s="54">
        <f>IF(AND(T307="Won",Y307&lt;-1),1,0)</f>
        <v/>
      </c>
      <c r="AL307" s="54">
        <f>SUM(AF307:AK307)</f>
        <v/>
      </c>
      <c r="AM307" s="9">
        <f>IF(AL307&gt;=set_ScoreHigh,"High",IF(AL307&gt;=set_ScoreMed,"Medium",IF(AL307&gt;0,"Low","OK")))</f>
        <v/>
      </c>
      <c r="AN307" s="54">
        <f>IF(OR(T307="Open",AND(T307="Won",ABS(Y307)&gt;0.5)),1,0)</f>
        <v/>
      </c>
      <c r="AO307" s="52">
        <f>IF(T307="Open",IF(V307=0,0,X307),IF(T307="Won",MAX(0,Y307),0))</f>
        <v/>
      </c>
      <c r="AP307" s="54">
        <f>IF(AN307=1,AL307*1E+9+U307+ROW()/1E+6,"")</f>
        <v/>
      </c>
      <c r="AQ307" s="9">
        <f>MID(IF(AF307&gt;0,"; Expected month passed - update Zoho","")&amp;IF(AG307&gt;0,"; "&amp;TEXT(U307/MAX(1,SUMIFS($U$2:$U$601,$T$2:$T$601,"Open")),"0%")&amp;" of open pipeline in one deal","")&amp;IF(AH307&gt;0,"; Large deal at an early stage","")&amp;IF(AI307&gt;0,"; No amount in Zoho","")&amp;IF(AJ307&gt;0,"; Won, invoice month passed, not fully invoiced","")&amp;IF(AK307&gt;0,"; Xero invoiced more than the deal value",""),3,300)</f>
        <v/>
      </c>
    </row>
    <row r="308">
      <c r="T308" s="9">
        <f>IFERROR(INDEX($A308:$R308,MATCH("Status",$A$1:$R$1,0)),"")&amp;""</f>
        <v/>
      </c>
      <c r="U308" s="52">
        <f>IFERROR(N(IFERROR(INDEX($A308:$R308,MATCH("Value Ex GST",$A$1:$R$1,0)),"")),0)</f>
        <v/>
      </c>
      <c r="V308" s="54">
        <f>IF(AND(T308&lt;&gt;"",IFERROR(INDEX($A308:$R308,MATCH("Value Ex GST",$A$1:$R$1,0)),"")&amp;""&lt;&gt;""),1,0)</f>
        <v/>
      </c>
      <c r="W308" s="56">
        <f>IFERROR(N(IFERROR(INDEX($A308:$R308,MATCH("Probability",$A$1:$R$1,0)),"")),0)</f>
        <v/>
      </c>
      <c r="X308" s="52">
        <f>IF(T308="Open",U308*W308,0)</f>
        <v/>
      </c>
      <c r="Y308" s="52">
        <f>IF(T308="Won",IFERROR(N(IFERROR(INDEX($A308:$R308,MATCH("Still to Invoice",$A$1:$R$1,0)),"")),0),0)</f>
        <v/>
      </c>
      <c r="Z308" s="55">
        <f>IFERROR(EOMONTH(IFERROR(INDEX($A308:$R308,MATCH("Expected Invoice Month",$A$1:$R$1,0)),""),0),"")</f>
        <v/>
      </c>
      <c r="AA308" s="9">
        <f>IFERROR(INDEX($A308:$R308,MATCH("Cost Centre",$A$1:$R$1,0)),"")&amp;""</f>
        <v/>
      </c>
      <c r="AB308" s="9">
        <f>IFERROR(INDEX($A308:$R308,MATCH("Pipeline Stage",$A$1:$R$1,0)),"")&amp;""</f>
        <v/>
      </c>
      <c r="AC308" s="9">
        <f>IFERROR(INDEX($A308:$R308,MATCH("Client",$A$1:$R$1,0)),"")&amp;""</f>
        <v/>
      </c>
      <c r="AD308" s="9">
        <f>IFERROR(INDEX($A308:$R308,MATCH("Description",$A$1:$R$1,0)),"")&amp;""</f>
        <v/>
      </c>
      <c r="AE308" s="9">
        <f>IFERROR(INDEX($A308:$R308,MATCH("Job Number",$A$1:$R$1,0)),"")&amp;""</f>
        <v/>
      </c>
      <c r="AF308" s="54">
        <f>IF(AND(T308="Open",ISNUMBER(Z308),Z308&lt;EOMONTH(set_AsAt,-1)+1),3,0)</f>
        <v/>
      </c>
      <c r="AG308" s="54">
        <f>IF(AND(T308="Open",U308&gt;0,U308&gt;=set_DealShare*SUMIFS($U$2:$U$601,$T$2:$T$601,"Open")),3,0)</f>
        <v/>
      </c>
      <c r="AH308" s="54">
        <f>IF(AND(T308="Open",U308&gt;=set_BigValue,W308&lt;=set_EarlyProb),2,0)</f>
        <v/>
      </c>
      <c r="AI308" s="54">
        <f>IF(AND(OR(T308="Open",T308="Won"),V308=0),2,0)</f>
        <v/>
      </c>
      <c r="AJ308" s="54">
        <f>IF(AND(T308="Won",Y308&gt;0.5,ISNUMBER(Z308),Z308&lt;EOMONTH(set_AsAt,-1)+1),3,0)</f>
        <v/>
      </c>
      <c r="AK308" s="54">
        <f>IF(AND(T308="Won",Y308&lt;-1),1,0)</f>
        <v/>
      </c>
      <c r="AL308" s="54">
        <f>SUM(AF308:AK308)</f>
        <v/>
      </c>
      <c r="AM308" s="9">
        <f>IF(AL308&gt;=set_ScoreHigh,"High",IF(AL308&gt;=set_ScoreMed,"Medium",IF(AL308&gt;0,"Low","OK")))</f>
        <v/>
      </c>
      <c r="AN308" s="54">
        <f>IF(OR(T308="Open",AND(T308="Won",ABS(Y308)&gt;0.5)),1,0)</f>
        <v/>
      </c>
      <c r="AO308" s="52">
        <f>IF(T308="Open",IF(V308=0,0,X308),IF(T308="Won",MAX(0,Y308),0))</f>
        <v/>
      </c>
      <c r="AP308" s="54">
        <f>IF(AN308=1,AL308*1E+9+U308+ROW()/1E+6,"")</f>
        <v/>
      </c>
      <c r="AQ308" s="9">
        <f>MID(IF(AF308&gt;0,"; Expected month passed - update Zoho","")&amp;IF(AG308&gt;0,"; "&amp;TEXT(U308/MAX(1,SUMIFS($U$2:$U$601,$T$2:$T$601,"Open")),"0%")&amp;" of open pipeline in one deal","")&amp;IF(AH308&gt;0,"; Large deal at an early stage","")&amp;IF(AI308&gt;0,"; No amount in Zoho","")&amp;IF(AJ308&gt;0,"; Won, invoice month passed, not fully invoiced","")&amp;IF(AK308&gt;0,"; Xero invoiced more than the deal value",""),3,300)</f>
        <v/>
      </c>
    </row>
    <row r="309">
      <c r="T309" s="9">
        <f>IFERROR(INDEX($A309:$R309,MATCH("Status",$A$1:$R$1,0)),"")&amp;""</f>
        <v/>
      </c>
      <c r="U309" s="52">
        <f>IFERROR(N(IFERROR(INDEX($A309:$R309,MATCH("Value Ex GST",$A$1:$R$1,0)),"")),0)</f>
        <v/>
      </c>
      <c r="V309" s="54">
        <f>IF(AND(T309&lt;&gt;"",IFERROR(INDEX($A309:$R309,MATCH("Value Ex GST",$A$1:$R$1,0)),"")&amp;""&lt;&gt;""),1,0)</f>
        <v/>
      </c>
      <c r="W309" s="56">
        <f>IFERROR(N(IFERROR(INDEX($A309:$R309,MATCH("Probability",$A$1:$R$1,0)),"")),0)</f>
        <v/>
      </c>
      <c r="X309" s="52">
        <f>IF(T309="Open",U309*W309,0)</f>
        <v/>
      </c>
      <c r="Y309" s="52">
        <f>IF(T309="Won",IFERROR(N(IFERROR(INDEX($A309:$R309,MATCH("Still to Invoice",$A$1:$R$1,0)),"")),0),0)</f>
        <v/>
      </c>
      <c r="Z309" s="55">
        <f>IFERROR(EOMONTH(IFERROR(INDEX($A309:$R309,MATCH("Expected Invoice Month",$A$1:$R$1,0)),""),0),"")</f>
        <v/>
      </c>
      <c r="AA309" s="9">
        <f>IFERROR(INDEX($A309:$R309,MATCH("Cost Centre",$A$1:$R$1,0)),"")&amp;""</f>
        <v/>
      </c>
      <c r="AB309" s="9">
        <f>IFERROR(INDEX($A309:$R309,MATCH("Pipeline Stage",$A$1:$R$1,0)),"")&amp;""</f>
        <v/>
      </c>
      <c r="AC309" s="9">
        <f>IFERROR(INDEX($A309:$R309,MATCH("Client",$A$1:$R$1,0)),"")&amp;""</f>
        <v/>
      </c>
      <c r="AD309" s="9">
        <f>IFERROR(INDEX($A309:$R309,MATCH("Description",$A$1:$R$1,0)),"")&amp;""</f>
        <v/>
      </c>
      <c r="AE309" s="9">
        <f>IFERROR(INDEX($A309:$R309,MATCH("Job Number",$A$1:$R$1,0)),"")&amp;""</f>
        <v/>
      </c>
      <c r="AF309" s="54">
        <f>IF(AND(T309="Open",ISNUMBER(Z309),Z309&lt;EOMONTH(set_AsAt,-1)+1),3,0)</f>
        <v/>
      </c>
      <c r="AG309" s="54">
        <f>IF(AND(T309="Open",U309&gt;0,U309&gt;=set_DealShare*SUMIFS($U$2:$U$601,$T$2:$T$601,"Open")),3,0)</f>
        <v/>
      </c>
      <c r="AH309" s="54">
        <f>IF(AND(T309="Open",U309&gt;=set_BigValue,W309&lt;=set_EarlyProb),2,0)</f>
        <v/>
      </c>
      <c r="AI309" s="54">
        <f>IF(AND(OR(T309="Open",T309="Won"),V309=0),2,0)</f>
        <v/>
      </c>
      <c r="AJ309" s="54">
        <f>IF(AND(T309="Won",Y309&gt;0.5,ISNUMBER(Z309),Z309&lt;EOMONTH(set_AsAt,-1)+1),3,0)</f>
        <v/>
      </c>
      <c r="AK309" s="54">
        <f>IF(AND(T309="Won",Y309&lt;-1),1,0)</f>
        <v/>
      </c>
      <c r="AL309" s="54">
        <f>SUM(AF309:AK309)</f>
        <v/>
      </c>
      <c r="AM309" s="9">
        <f>IF(AL309&gt;=set_ScoreHigh,"High",IF(AL309&gt;=set_ScoreMed,"Medium",IF(AL309&gt;0,"Low","OK")))</f>
        <v/>
      </c>
      <c r="AN309" s="54">
        <f>IF(OR(T309="Open",AND(T309="Won",ABS(Y309)&gt;0.5)),1,0)</f>
        <v/>
      </c>
      <c r="AO309" s="52">
        <f>IF(T309="Open",IF(V309=0,0,X309),IF(T309="Won",MAX(0,Y309),0))</f>
        <v/>
      </c>
      <c r="AP309" s="54">
        <f>IF(AN309=1,AL309*1E+9+U309+ROW()/1E+6,"")</f>
        <v/>
      </c>
      <c r="AQ309" s="9">
        <f>MID(IF(AF309&gt;0,"; Expected month passed - update Zoho","")&amp;IF(AG309&gt;0,"; "&amp;TEXT(U309/MAX(1,SUMIFS($U$2:$U$601,$T$2:$T$601,"Open")),"0%")&amp;" of open pipeline in one deal","")&amp;IF(AH309&gt;0,"; Large deal at an early stage","")&amp;IF(AI309&gt;0,"; No amount in Zoho","")&amp;IF(AJ309&gt;0,"; Won, invoice month passed, not fully invoiced","")&amp;IF(AK309&gt;0,"; Xero invoiced more than the deal value",""),3,300)</f>
        <v/>
      </c>
    </row>
    <row r="310">
      <c r="T310" s="9">
        <f>IFERROR(INDEX($A310:$R310,MATCH("Status",$A$1:$R$1,0)),"")&amp;""</f>
        <v/>
      </c>
      <c r="U310" s="52">
        <f>IFERROR(N(IFERROR(INDEX($A310:$R310,MATCH("Value Ex GST",$A$1:$R$1,0)),"")),0)</f>
        <v/>
      </c>
      <c r="V310" s="54">
        <f>IF(AND(T310&lt;&gt;"",IFERROR(INDEX($A310:$R310,MATCH("Value Ex GST",$A$1:$R$1,0)),"")&amp;""&lt;&gt;""),1,0)</f>
        <v/>
      </c>
      <c r="W310" s="56">
        <f>IFERROR(N(IFERROR(INDEX($A310:$R310,MATCH("Probability",$A$1:$R$1,0)),"")),0)</f>
        <v/>
      </c>
      <c r="X310" s="52">
        <f>IF(T310="Open",U310*W310,0)</f>
        <v/>
      </c>
      <c r="Y310" s="52">
        <f>IF(T310="Won",IFERROR(N(IFERROR(INDEX($A310:$R310,MATCH("Still to Invoice",$A$1:$R$1,0)),"")),0),0)</f>
        <v/>
      </c>
      <c r="Z310" s="55">
        <f>IFERROR(EOMONTH(IFERROR(INDEX($A310:$R310,MATCH("Expected Invoice Month",$A$1:$R$1,0)),""),0),"")</f>
        <v/>
      </c>
      <c r="AA310" s="9">
        <f>IFERROR(INDEX($A310:$R310,MATCH("Cost Centre",$A$1:$R$1,0)),"")&amp;""</f>
        <v/>
      </c>
      <c r="AB310" s="9">
        <f>IFERROR(INDEX($A310:$R310,MATCH("Pipeline Stage",$A$1:$R$1,0)),"")&amp;""</f>
        <v/>
      </c>
      <c r="AC310" s="9">
        <f>IFERROR(INDEX($A310:$R310,MATCH("Client",$A$1:$R$1,0)),"")&amp;""</f>
        <v/>
      </c>
      <c r="AD310" s="9">
        <f>IFERROR(INDEX($A310:$R310,MATCH("Description",$A$1:$R$1,0)),"")&amp;""</f>
        <v/>
      </c>
      <c r="AE310" s="9">
        <f>IFERROR(INDEX($A310:$R310,MATCH("Job Number",$A$1:$R$1,0)),"")&amp;""</f>
        <v/>
      </c>
      <c r="AF310" s="54">
        <f>IF(AND(T310="Open",ISNUMBER(Z310),Z310&lt;EOMONTH(set_AsAt,-1)+1),3,0)</f>
        <v/>
      </c>
      <c r="AG310" s="54">
        <f>IF(AND(T310="Open",U310&gt;0,U310&gt;=set_DealShare*SUMIFS($U$2:$U$601,$T$2:$T$601,"Open")),3,0)</f>
        <v/>
      </c>
      <c r="AH310" s="54">
        <f>IF(AND(T310="Open",U310&gt;=set_BigValue,W310&lt;=set_EarlyProb),2,0)</f>
        <v/>
      </c>
      <c r="AI310" s="54">
        <f>IF(AND(OR(T310="Open",T310="Won"),V310=0),2,0)</f>
        <v/>
      </c>
      <c r="AJ310" s="54">
        <f>IF(AND(T310="Won",Y310&gt;0.5,ISNUMBER(Z310),Z310&lt;EOMONTH(set_AsAt,-1)+1),3,0)</f>
        <v/>
      </c>
      <c r="AK310" s="54">
        <f>IF(AND(T310="Won",Y310&lt;-1),1,0)</f>
        <v/>
      </c>
      <c r="AL310" s="54">
        <f>SUM(AF310:AK310)</f>
        <v/>
      </c>
      <c r="AM310" s="9">
        <f>IF(AL310&gt;=set_ScoreHigh,"High",IF(AL310&gt;=set_ScoreMed,"Medium",IF(AL310&gt;0,"Low","OK")))</f>
        <v/>
      </c>
      <c r="AN310" s="54">
        <f>IF(OR(T310="Open",AND(T310="Won",ABS(Y310)&gt;0.5)),1,0)</f>
        <v/>
      </c>
      <c r="AO310" s="52">
        <f>IF(T310="Open",IF(V310=0,0,X310),IF(T310="Won",MAX(0,Y310),0))</f>
        <v/>
      </c>
      <c r="AP310" s="54">
        <f>IF(AN310=1,AL310*1E+9+U310+ROW()/1E+6,"")</f>
        <v/>
      </c>
      <c r="AQ310" s="9">
        <f>MID(IF(AF310&gt;0,"; Expected month passed - update Zoho","")&amp;IF(AG310&gt;0,"; "&amp;TEXT(U310/MAX(1,SUMIFS($U$2:$U$601,$T$2:$T$601,"Open")),"0%")&amp;" of open pipeline in one deal","")&amp;IF(AH310&gt;0,"; Large deal at an early stage","")&amp;IF(AI310&gt;0,"; No amount in Zoho","")&amp;IF(AJ310&gt;0,"; Won, invoice month passed, not fully invoiced","")&amp;IF(AK310&gt;0,"; Xero invoiced more than the deal value",""),3,300)</f>
        <v/>
      </c>
    </row>
    <row r="311">
      <c r="T311" s="9">
        <f>IFERROR(INDEX($A311:$R311,MATCH("Status",$A$1:$R$1,0)),"")&amp;""</f>
        <v/>
      </c>
      <c r="U311" s="52">
        <f>IFERROR(N(IFERROR(INDEX($A311:$R311,MATCH("Value Ex GST",$A$1:$R$1,0)),"")),0)</f>
        <v/>
      </c>
      <c r="V311" s="54">
        <f>IF(AND(T311&lt;&gt;"",IFERROR(INDEX($A311:$R311,MATCH("Value Ex GST",$A$1:$R$1,0)),"")&amp;""&lt;&gt;""),1,0)</f>
        <v/>
      </c>
      <c r="W311" s="56">
        <f>IFERROR(N(IFERROR(INDEX($A311:$R311,MATCH("Probability",$A$1:$R$1,0)),"")),0)</f>
        <v/>
      </c>
      <c r="X311" s="52">
        <f>IF(T311="Open",U311*W311,0)</f>
        <v/>
      </c>
      <c r="Y311" s="52">
        <f>IF(T311="Won",IFERROR(N(IFERROR(INDEX($A311:$R311,MATCH("Still to Invoice",$A$1:$R$1,0)),"")),0),0)</f>
        <v/>
      </c>
      <c r="Z311" s="55">
        <f>IFERROR(EOMONTH(IFERROR(INDEX($A311:$R311,MATCH("Expected Invoice Month",$A$1:$R$1,0)),""),0),"")</f>
        <v/>
      </c>
      <c r="AA311" s="9">
        <f>IFERROR(INDEX($A311:$R311,MATCH("Cost Centre",$A$1:$R$1,0)),"")&amp;""</f>
        <v/>
      </c>
      <c r="AB311" s="9">
        <f>IFERROR(INDEX($A311:$R311,MATCH("Pipeline Stage",$A$1:$R$1,0)),"")&amp;""</f>
        <v/>
      </c>
      <c r="AC311" s="9">
        <f>IFERROR(INDEX($A311:$R311,MATCH("Client",$A$1:$R$1,0)),"")&amp;""</f>
        <v/>
      </c>
      <c r="AD311" s="9">
        <f>IFERROR(INDEX($A311:$R311,MATCH("Description",$A$1:$R$1,0)),"")&amp;""</f>
        <v/>
      </c>
      <c r="AE311" s="9">
        <f>IFERROR(INDEX($A311:$R311,MATCH("Job Number",$A$1:$R$1,0)),"")&amp;""</f>
        <v/>
      </c>
      <c r="AF311" s="54">
        <f>IF(AND(T311="Open",ISNUMBER(Z311),Z311&lt;EOMONTH(set_AsAt,-1)+1),3,0)</f>
        <v/>
      </c>
      <c r="AG311" s="54">
        <f>IF(AND(T311="Open",U311&gt;0,U311&gt;=set_DealShare*SUMIFS($U$2:$U$601,$T$2:$T$601,"Open")),3,0)</f>
        <v/>
      </c>
      <c r="AH311" s="54">
        <f>IF(AND(T311="Open",U311&gt;=set_BigValue,W311&lt;=set_EarlyProb),2,0)</f>
        <v/>
      </c>
      <c r="AI311" s="54">
        <f>IF(AND(OR(T311="Open",T311="Won"),V311=0),2,0)</f>
        <v/>
      </c>
      <c r="AJ311" s="54">
        <f>IF(AND(T311="Won",Y311&gt;0.5,ISNUMBER(Z311),Z311&lt;EOMONTH(set_AsAt,-1)+1),3,0)</f>
        <v/>
      </c>
      <c r="AK311" s="54">
        <f>IF(AND(T311="Won",Y311&lt;-1),1,0)</f>
        <v/>
      </c>
      <c r="AL311" s="54">
        <f>SUM(AF311:AK311)</f>
        <v/>
      </c>
      <c r="AM311" s="9">
        <f>IF(AL311&gt;=set_ScoreHigh,"High",IF(AL311&gt;=set_ScoreMed,"Medium",IF(AL311&gt;0,"Low","OK")))</f>
        <v/>
      </c>
      <c r="AN311" s="54">
        <f>IF(OR(T311="Open",AND(T311="Won",ABS(Y311)&gt;0.5)),1,0)</f>
        <v/>
      </c>
      <c r="AO311" s="52">
        <f>IF(T311="Open",IF(V311=0,0,X311),IF(T311="Won",MAX(0,Y311),0))</f>
        <v/>
      </c>
      <c r="AP311" s="54">
        <f>IF(AN311=1,AL311*1E+9+U311+ROW()/1E+6,"")</f>
        <v/>
      </c>
      <c r="AQ311" s="9">
        <f>MID(IF(AF311&gt;0,"; Expected month passed - update Zoho","")&amp;IF(AG311&gt;0,"; "&amp;TEXT(U311/MAX(1,SUMIFS($U$2:$U$601,$T$2:$T$601,"Open")),"0%")&amp;" of open pipeline in one deal","")&amp;IF(AH311&gt;0,"; Large deal at an early stage","")&amp;IF(AI311&gt;0,"; No amount in Zoho","")&amp;IF(AJ311&gt;0,"; Won, invoice month passed, not fully invoiced","")&amp;IF(AK311&gt;0,"; Xero invoiced more than the deal value",""),3,300)</f>
        <v/>
      </c>
    </row>
    <row r="312">
      <c r="T312" s="9">
        <f>IFERROR(INDEX($A312:$R312,MATCH("Status",$A$1:$R$1,0)),"")&amp;""</f>
        <v/>
      </c>
      <c r="U312" s="52">
        <f>IFERROR(N(IFERROR(INDEX($A312:$R312,MATCH("Value Ex GST",$A$1:$R$1,0)),"")),0)</f>
        <v/>
      </c>
      <c r="V312" s="54">
        <f>IF(AND(T312&lt;&gt;"",IFERROR(INDEX($A312:$R312,MATCH("Value Ex GST",$A$1:$R$1,0)),"")&amp;""&lt;&gt;""),1,0)</f>
        <v/>
      </c>
      <c r="W312" s="56">
        <f>IFERROR(N(IFERROR(INDEX($A312:$R312,MATCH("Probability",$A$1:$R$1,0)),"")),0)</f>
        <v/>
      </c>
      <c r="X312" s="52">
        <f>IF(T312="Open",U312*W312,0)</f>
        <v/>
      </c>
      <c r="Y312" s="52">
        <f>IF(T312="Won",IFERROR(N(IFERROR(INDEX($A312:$R312,MATCH("Still to Invoice",$A$1:$R$1,0)),"")),0),0)</f>
        <v/>
      </c>
      <c r="Z312" s="55">
        <f>IFERROR(EOMONTH(IFERROR(INDEX($A312:$R312,MATCH("Expected Invoice Month",$A$1:$R$1,0)),""),0),"")</f>
        <v/>
      </c>
      <c r="AA312" s="9">
        <f>IFERROR(INDEX($A312:$R312,MATCH("Cost Centre",$A$1:$R$1,0)),"")&amp;""</f>
        <v/>
      </c>
      <c r="AB312" s="9">
        <f>IFERROR(INDEX($A312:$R312,MATCH("Pipeline Stage",$A$1:$R$1,0)),"")&amp;""</f>
        <v/>
      </c>
      <c r="AC312" s="9">
        <f>IFERROR(INDEX($A312:$R312,MATCH("Client",$A$1:$R$1,0)),"")&amp;""</f>
        <v/>
      </c>
      <c r="AD312" s="9">
        <f>IFERROR(INDEX($A312:$R312,MATCH("Description",$A$1:$R$1,0)),"")&amp;""</f>
        <v/>
      </c>
      <c r="AE312" s="9">
        <f>IFERROR(INDEX($A312:$R312,MATCH("Job Number",$A$1:$R$1,0)),"")&amp;""</f>
        <v/>
      </c>
      <c r="AF312" s="54">
        <f>IF(AND(T312="Open",ISNUMBER(Z312),Z312&lt;EOMONTH(set_AsAt,-1)+1),3,0)</f>
        <v/>
      </c>
      <c r="AG312" s="54">
        <f>IF(AND(T312="Open",U312&gt;0,U312&gt;=set_DealShare*SUMIFS($U$2:$U$601,$T$2:$T$601,"Open")),3,0)</f>
        <v/>
      </c>
      <c r="AH312" s="54">
        <f>IF(AND(T312="Open",U312&gt;=set_BigValue,W312&lt;=set_EarlyProb),2,0)</f>
        <v/>
      </c>
      <c r="AI312" s="54">
        <f>IF(AND(OR(T312="Open",T312="Won"),V312=0),2,0)</f>
        <v/>
      </c>
      <c r="AJ312" s="54">
        <f>IF(AND(T312="Won",Y312&gt;0.5,ISNUMBER(Z312),Z312&lt;EOMONTH(set_AsAt,-1)+1),3,0)</f>
        <v/>
      </c>
      <c r="AK312" s="54">
        <f>IF(AND(T312="Won",Y312&lt;-1),1,0)</f>
        <v/>
      </c>
      <c r="AL312" s="54">
        <f>SUM(AF312:AK312)</f>
        <v/>
      </c>
      <c r="AM312" s="9">
        <f>IF(AL312&gt;=set_ScoreHigh,"High",IF(AL312&gt;=set_ScoreMed,"Medium",IF(AL312&gt;0,"Low","OK")))</f>
        <v/>
      </c>
      <c r="AN312" s="54">
        <f>IF(OR(T312="Open",AND(T312="Won",ABS(Y312)&gt;0.5)),1,0)</f>
        <v/>
      </c>
      <c r="AO312" s="52">
        <f>IF(T312="Open",IF(V312=0,0,X312),IF(T312="Won",MAX(0,Y312),0))</f>
        <v/>
      </c>
      <c r="AP312" s="54">
        <f>IF(AN312=1,AL312*1E+9+U312+ROW()/1E+6,"")</f>
        <v/>
      </c>
      <c r="AQ312" s="9">
        <f>MID(IF(AF312&gt;0,"; Expected month passed - update Zoho","")&amp;IF(AG312&gt;0,"; "&amp;TEXT(U312/MAX(1,SUMIFS($U$2:$U$601,$T$2:$T$601,"Open")),"0%")&amp;" of open pipeline in one deal","")&amp;IF(AH312&gt;0,"; Large deal at an early stage","")&amp;IF(AI312&gt;0,"; No amount in Zoho","")&amp;IF(AJ312&gt;0,"; Won, invoice month passed, not fully invoiced","")&amp;IF(AK312&gt;0,"; Xero invoiced more than the deal value",""),3,300)</f>
        <v/>
      </c>
    </row>
    <row r="313">
      <c r="T313" s="9">
        <f>IFERROR(INDEX($A313:$R313,MATCH("Status",$A$1:$R$1,0)),"")&amp;""</f>
        <v/>
      </c>
      <c r="U313" s="52">
        <f>IFERROR(N(IFERROR(INDEX($A313:$R313,MATCH("Value Ex GST",$A$1:$R$1,0)),"")),0)</f>
        <v/>
      </c>
      <c r="V313" s="54">
        <f>IF(AND(T313&lt;&gt;"",IFERROR(INDEX($A313:$R313,MATCH("Value Ex GST",$A$1:$R$1,0)),"")&amp;""&lt;&gt;""),1,0)</f>
        <v/>
      </c>
      <c r="W313" s="56">
        <f>IFERROR(N(IFERROR(INDEX($A313:$R313,MATCH("Probability",$A$1:$R$1,0)),"")),0)</f>
        <v/>
      </c>
      <c r="X313" s="52">
        <f>IF(T313="Open",U313*W313,0)</f>
        <v/>
      </c>
      <c r="Y313" s="52">
        <f>IF(T313="Won",IFERROR(N(IFERROR(INDEX($A313:$R313,MATCH("Still to Invoice",$A$1:$R$1,0)),"")),0),0)</f>
        <v/>
      </c>
      <c r="Z313" s="55">
        <f>IFERROR(EOMONTH(IFERROR(INDEX($A313:$R313,MATCH("Expected Invoice Month",$A$1:$R$1,0)),""),0),"")</f>
        <v/>
      </c>
      <c r="AA313" s="9">
        <f>IFERROR(INDEX($A313:$R313,MATCH("Cost Centre",$A$1:$R$1,0)),"")&amp;""</f>
        <v/>
      </c>
      <c r="AB313" s="9">
        <f>IFERROR(INDEX($A313:$R313,MATCH("Pipeline Stage",$A$1:$R$1,0)),"")&amp;""</f>
        <v/>
      </c>
      <c r="AC313" s="9">
        <f>IFERROR(INDEX($A313:$R313,MATCH("Client",$A$1:$R$1,0)),"")&amp;""</f>
        <v/>
      </c>
      <c r="AD313" s="9">
        <f>IFERROR(INDEX($A313:$R313,MATCH("Description",$A$1:$R$1,0)),"")&amp;""</f>
        <v/>
      </c>
      <c r="AE313" s="9">
        <f>IFERROR(INDEX($A313:$R313,MATCH("Job Number",$A$1:$R$1,0)),"")&amp;""</f>
        <v/>
      </c>
      <c r="AF313" s="54">
        <f>IF(AND(T313="Open",ISNUMBER(Z313),Z313&lt;EOMONTH(set_AsAt,-1)+1),3,0)</f>
        <v/>
      </c>
      <c r="AG313" s="54">
        <f>IF(AND(T313="Open",U313&gt;0,U313&gt;=set_DealShare*SUMIFS($U$2:$U$601,$T$2:$T$601,"Open")),3,0)</f>
        <v/>
      </c>
      <c r="AH313" s="54">
        <f>IF(AND(T313="Open",U313&gt;=set_BigValue,W313&lt;=set_EarlyProb),2,0)</f>
        <v/>
      </c>
      <c r="AI313" s="54">
        <f>IF(AND(OR(T313="Open",T313="Won"),V313=0),2,0)</f>
        <v/>
      </c>
      <c r="AJ313" s="54">
        <f>IF(AND(T313="Won",Y313&gt;0.5,ISNUMBER(Z313),Z313&lt;EOMONTH(set_AsAt,-1)+1),3,0)</f>
        <v/>
      </c>
      <c r="AK313" s="54">
        <f>IF(AND(T313="Won",Y313&lt;-1),1,0)</f>
        <v/>
      </c>
      <c r="AL313" s="54">
        <f>SUM(AF313:AK313)</f>
        <v/>
      </c>
      <c r="AM313" s="9">
        <f>IF(AL313&gt;=set_ScoreHigh,"High",IF(AL313&gt;=set_ScoreMed,"Medium",IF(AL313&gt;0,"Low","OK")))</f>
        <v/>
      </c>
      <c r="AN313" s="54">
        <f>IF(OR(T313="Open",AND(T313="Won",ABS(Y313)&gt;0.5)),1,0)</f>
        <v/>
      </c>
      <c r="AO313" s="52">
        <f>IF(T313="Open",IF(V313=0,0,X313),IF(T313="Won",MAX(0,Y313),0))</f>
        <v/>
      </c>
      <c r="AP313" s="54">
        <f>IF(AN313=1,AL313*1E+9+U313+ROW()/1E+6,"")</f>
        <v/>
      </c>
      <c r="AQ313" s="9">
        <f>MID(IF(AF313&gt;0,"; Expected month passed - update Zoho","")&amp;IF(AG313&gt;0,"; "&amp;TEXT(U313/MAX(1,SUMIFS($U$2:$U$601,$T$2:$T$601,"Open")),"0%")&amp;" of open pipeline in one deal","")&amp;IF(AH313&gt;0,"; Large deal at an early stage","")&amp;IF(AI313&gt;0,"; No amount in Zoho","")&amp;IF(AJ313&gt;0,"; Won, invoice month passed, not fully invoiced","")&amp;IF(AK313&gt;0,"; Xero invoiced more than the deal value",""),3,300)</f>
        <v/>
      </c>
    </row>
    <row r="314">
      <c r="T314" s="9">
        <f>IFERROR(INDEX($A314:$R314,MATCH("Status",$A$1:$R$1,0)),"")&amp;""</f>
        <v/>
      </c>
      <c r="U314" s="52">
        <f>IFERROR(N(IFERROR(INDEX($A314:$R314,MATCH("Value Ex GST",$A$1:$R$1,0)),"")),0)</f>
        <v/>
      </c>
      <c r="V314" s="54">
        <f>IF(AND(T314&lt;&gt;"",IFERROR(INDEX($A314:$R314,MATCH("Value Ex GST",$A$1:$R$1,0)),"")&amp;""&lt;&gt;""),1,0)</f>
        <v/>
      </c>
      <c r="W314" s="56">
        <f>IFERROR(N(IFERROR(INDEX($A314:$R314,MATCH("Probability",$A$1:$R$1,0)),"")),0)</f>
        <v/>
      </c>
      <c r="X314" s="52">
        <f>IF(T314="Open",U314*W314,0)</f>
        <v/>
      </c>
      <c r="Y314" s="52">
        <f>IF(T314="Won",IFERROR(N(IFERROR(INDEX($A314:$R314,MATCH("Still to Invoice",$A$1:$R$1,0)),"")),0),0)</f>
        <v/>
      </c>
      <c r="Z314" s="55">
        <f>IFERROR(EOMONTH(IFERROR(INDEX($A314:$R314,MATCH("Expected Invoice Month",$A$1:$R$1,0)),""),0),"")</f>
        <v/>
      </c>
      <c r="AA314" s="9">
        <f>IFERROR(INDEX($A314:$R314,MATCH("Cost Centre",$A$1:$R$1,0)),"")&amp;""</f>
        <v/>
      </c>
      <c r="AB314" s="9">
        <f>IFERROR(INDEX($A314:$R314,MATCH("Pipeline Stage",$A$1:$R$1,0)),"")&amp;""</f>
        <v/>
      </c>
      <c r="AC314" s="9">
        <f>IFERROR(INDEX($A314:$R314,MATCH("Client",$A$1:$R$1,0)),"")&amp;""</f>
        <v/>
      </c>
      <c r="AD314" s="9">
        <f>IFERROR(INDEX($A314:$R314,MATCH("Description",$A$1:$R$1,0)),"")&amp;""</f>
        <v/>
      </c>
      <c r="AE314" s="9">
        <f>IFERROR(INDEX($A314:$R314,MATCH("Job Number",$A$1:$R$1,0)),"")&amp;""</f>
        <v/>
      </c>
      <c r="AF314" s="54">
        <f>IF(AND(T314="Open",ISNUMBER(Z314),Z314&lt;EOMONTH(set_AsAt,-1)+1),3,0)</f>
        <v/>
      </c>
      <c r="AG314" s="54">
        <f>IF(AND(T314="Open",U314&gt;0,U314&gt;=set_DealShare*SUMIFS($U$2:$U$601,$T$2:$T$601,"Open")),3,0)</f>
        <v/>
      </c>
      <c r="AH314" s="54">
        <f>IF(AND(T314="Open",U314&gt;=set_BigValue,W314&lt;=set_EarlyProb),2,0)</f>
        <v/>
      </c>
      <c r="AI314" s="54">
        <f>IF(AND(OR(T314="Open",T314="Won"),V314=0),2,0)</f>
        <v/>
      </c>
      <c r="AJ314" s="54">
        <f>IF(AND(T314="Won",Y314&gt;0.5,ISNUMBER(Z314),Z314&lt;EOMONTH(set_AsAt,-1)+1),3,0)</f>
        <v/>
      </c>
      <c r="AK314" s="54">
        <f>IF(AND(T314="Won",Y314&lt;-1),1,0)</f>
        <v/>
      </c>
      <c r="AL314" s="54">
        <f>SUM(AF314:AK314)</f>
        <v/>
      </c>
      <c r="AM314" s="9">
        <f>IF(AL314&gt;=set_ScoreHigh,"High",IF(AL314&gt;=set_ScoreMed,"Medium",IF(AL314&gt;0,"Low","OK")))</f>
        <v/>
      </c>
      <c r="AN314" s="54">
        <f>IF(OR(T314="Open",AND(T314="Won",ABS(Y314)&gt;0.5)),1,0)</f>
        <v/>
      </c>
      <c r="AO314" s="52">
        <f>IF(T314="Open",IF(V314=0,0,X314),IF(T314="Won",MAX(0,Y314),0))</f>
        <v/>
      </c>
      <c r="AP314" s="54">
        <f>IF(AN314=1,AL314*1E+9+U314+ROW()/1E+6,"")</f>
        <v/>
      </c>
      <c r="AQ314" s="9">
        <f>MID(IF(AF314&gt;0,"; Expected month passed - update Zoho","")&amp;IF(AG314&gt;0,"; "&amp;TEXT(U314/MAX(1,SUMIFS($U$2:$U$601,$T$2:$T$601,"Open")),"0%")&amp;" of open pipeline in one deal","")&amp;IF(AH314&gt;0,"; Large deal at an early stage","")&amp;IF(AI314&gt;0,"; No amount in Zoho","")&amp;IF(AJ314&gt;0,"; Won, invoice month passed, not fully invoiced","")&amp;IF(AK314&gt;0,"; Xero invoiced more than the deal value",""),3,300)</f>
        <v/>
      </c>
    </row>
    <row r="315">
      <c r="T315" s="9">
        <f>IFERROR(INDEX($A315:$R315,MATCH("Status",$A$1:$R$1,0)),"")&amp;""</f>
        <v/>
      </c>
      <c r="U315" s="52">
        <f>IFERROR(N(IFERROR(INDEX($A315:$R315,MATCH("Value Ex GST",$A$1:$R$1,0)),"")),0)</f>
        <v/>
      </c>
      <c r="V315" s="54">
        <f>IF(AND(T315&lt;&gt;"",IFERROR(INDEX($A315:$R315,MATCH("Value Ex GST",$A$1:$R$1,0)),"")&amp;""&lt;&gt;""),1,0)</f>
        <v/>
      </c>
      <c r="W315" s="56">
        <f>IFERROR(N(IFERROR(INDEX($A315:$R315,MATCH("Probability",$A$1:$R$1,0)),"")),0)</f>
        <v/>
      </c>
      <c r="X315" s="52">
        <f>IF(T315="Open",U315*W315,0)</f>
        <v/>
      </c>
      <c r="Y315" s="52">
        <f>IF(T315="Won",IFERROR(N(IFERROR(INDEX($A315:$R315,MATCH("Still to Invoice",$A$1:$R$1,0)),"")),0),0)</f>
        <v/>
      </c>
      <c r="Z315" s="55">
        <f>IFERROR(EOMONTH(IFERROR(INDEX($A315:$R315,MATCH("Expected Invoice Month",$A$1:$R$1,0)),""),0),"")</f>
        <v/>
      </c>
      <c r="AA315" s="9">
        <f>IFERROR(INDEX($A315:$R315,MATCH("Cost Centre",$A$1:$R$1,0)),"")&amp;""</f>
        <v/>
      </c>
      <c r="AB315" s="9">
        <f>IFERROR(INDEX($A315:$R315,MATCH("Pipeline Stage",$A$1:$R$1,0)),"")&amp;""</f>
        <v/>
      </c>
      <c r="AC315" s="9">
        <f>IFERROR(INDEX($A315:$R315,MATCH("Client",$A$1:$R$1,0)),"")&amp;""</f>
        <v/>
      </c>
      <c r="AD315" s="9">
        <f>IFERROR(INDEX($A315:$R315,MATCH("Description",$A$1:$R$1,0)),"")&amp;""</f>
        <v/>
      </c>
      <c r="AE315" s="9">
        <f>IFERROR(INDEX($A315:$R315,MATCH("Job Number",$A$1:$R$1,0)),"")&amp;""</f>
        <v/>
      </c>
      <c r="AF315" s="54">
        <f>IF(AND(T315="Open",ISNUMBER(Z315),Z315&lt;EOMONTH(set_AsAt,-1)+1),3,0)</f>
        <v/>
      </c>
      <c r="AG315" s="54">
        <f>IF(AND(T315="Open",U315&gt;0,U315&gt;=set_DealShare*SUMIFS($U$2:$U$601,$T$2:$T$601,"Open")),3,0)</f>
        <v/>
      </c>
      <c r="AH315" s="54">
        <f>IF(AND(T315="Open",U315&gt;=set_BigValue,W315&lt;=set_EarlyProb),2,0)</f>
        <v/>
      </c>
      <c r="AI315" s="54">
        <f>IF(AND(OR(T315="Open",T315="Won"),V315=0),2,0)</f>
        <v/>
      </c>
      <c r="AJ315" s="54">
        <f>IF(AND(T315="Won",Y315&gt;0.5,ISNUMBER(Z315),Z315&lt;EOMONTH(set_AsAt,-1)+1),3,0)</f>
        <v/>
      </c>
      <c r="AK315" s="54">
        <f>IF(AND(T315="Won",Y315&lt;-1),1,0)</f>
        <v/>
      </c>
      <c r="AL315" s="54">
        <f>SUM(AF315:AK315)</f>
        <v/>
      </c>
      <c r="AM315" s="9">
        <f>IF(AL315&gt;=set_ScoreHigh,"High",IF(AL315&gt;=set_ScoreMed,"Medium",IF(AL315&gt;0,"Low","OK")))</f>
        <v/>
      </c>
      <c r="AN315" s="54">
        <f>IF(OR(T315="Open",AND(T315="Won",ABS(Y315)&gt;0.5)),1,0)</f>
        <v/>
      </c>
      <c r="AO315" s="52">
        <f>IF(T315="Open",IF(V315=0,0,X315),IF(T315="Won",MAX(0,Y315),0))</f>
        <v/>
      </c>
      <c r="AP315" s="54">
        <f>IF(AN315=1,AL315*1E+9+U315+ROW()/1E+6,"")</f>
        <v/>
      </c>
      <c r="AQ315" s="9">
        <f>MID(IF(AF315&gt;0,"; Expected month passed - update Zoho","")&amp;IF(AG315&gt;0,"; "&amp;TEXT(U315/MAX(1,SUMIFS($U$2:$U$601,$T$2:$T$601,"Open")),"0%")&amp;" of open pipeline in one deal","")&amp;IF(AH315&gt;0,"; Large deal at an early stage","")&amp;IF(AI315&gt;0,"; No amount in Zoho","")&amp;IF(AJ315&gt;0,"; Won, invoice month passed, not fully invoiced","")&amp;IF(AK315&gt;0,"; Xero invoiced more than the deal value",""),3,300)</f>
        <v/>
      </c>
    </row>
    <row r="316">
      <c r="T316" s="9">
        <f>IFERROR(INDEX($A316:$R316,MATCH("Status",$A$1:$R$1,0)),"")&amp;""</f>
        <v/>
      </c>
      <c r="U316" s="52">
        <f>IFERROR(N(IFERROR(INDEX($A316:$R316,MATCH("Value Ex GST",$A$1:$R$1,0)),"")),0)</f>
        <v/>
      </c>
      <c r="V316" s="54">
        <f>IF(AND(T316&lt;&gt;"",IFERROR(INDEX($A316:$R316,MATCH("Value Ex GST",$A$1:$R$1,0)),"")&amp;""&lt;&gt;""),1,0)</f>
        <v/>
      </c>
      <c r="W316" s="56">
        <f>IFERROR(N(IFERROR(INDEX($A316:$R316,MATCH("Probability",$A$1:$R$1,0)),"")),0)</f>
        <v/>
      </c>
      <c r="X316" s="52">
        <f>IF(T316="Open",U316*W316,0)</f>
        <v/>
      </c>
      <c r="Y316" s="52">
        <f>IF(T316="Won",IFERROR(N(IFERROR(INDEX($A316:$R316,MATCH("Still to Invoice",$A$1:$R$1,0)),"")),0),0)</f>
        <v/>
      </c>
      <c r="Z316" s="55">
        <f>IFERROR(EOMONTH(IFERROR(INDEX($A316:$R316,MATCH("Expected Invoice Month",$A$1:$R$1,0)),""),0),"")</f>
        <v/>
      </c>
      <c r="AA316" s="9">
        <f>IFERROR(INDEX($A316:$R316,MATCH("Cost Centre",$A$1:$R$1,0)),"")&amp;""</f>
        <v/>
      </c>
      <c r="AB316" s="9">
        <f>IFERROR(INDEX($A316:$R316,MATCH("Pipeline Stage",$A$1:$R$1,0)),"")&amp;""</f>
        <v/>
      </c>
      <c r="AC316" s="9">
        <f>IFERROR(INDEX($A316:$R316,MATCH("Client",$A$1:$R$1,0)),"")&amp;""</f>
        <v/>
      </c>
      <c r="AD316" s="9">
        <f>IFERROR(INDEX($A316:$R316,MATCH("Description",$A$1:$R$1,0)),"")&amp;""</f>
        <v/>
      </c>
      <c r="AE316" s="9">
        <f>IFERROR(INDEX($A316:$R316,MATCH("Job Number",$A$1:$R$1,0)),"")&amp;""</f>
        <v/>
      </c>
      <c r="AF316" s="54">
        <f>IF(AND(T316="Open",ISNUMBER(Z316),Z316&lt;EOMONTH(set_AsAt,-1)+1),3,0)</f>
        <v/>
      </c>
      <c r="AG316" s="54">
        <f>IF(AND(T316="Open",U316&gt;0,U316&gt;=set_DealShare*SUMIFS($U$2:$U$601,$T$2:$T$601,"Open")),3,0)</f>
        <v/>
      </c>
      <c r="AH316" s="54">
        <f>IF(AND(T316="Open",U316&gt;=set_BigValue,W316&lt;=set_EarlyProb),2,0)</f>
        <v/>
      </c>
      <c r="AI316" s="54">
        <f>IF(AND(OR(T316="Open",T316="Won"),V316=0),2,0)</f>
        <v/>
      </c>
      <c r="AJ316" s="54">
        <f>IF(AND(T316="Won",Y316&gt;0.5,ISNUMBER(Z316),Z316&lt;EOMONTH(set_AsAt,-1)+1),3,0)</f>
        <v/>
      </c>
      <c r="AK316" s="54">
        <f>IF(AND(T316="Won",Y316&lt;-1),1,0)</f>
        <v/>
      </c>
      <c r="AL316" s="54">
        <f>SUM(AF316:AK316)</f>
        <v/>
      </c>
      <c r="AM316" s="9">
        <f>IF(AL316&gt;=set_ScoreHigh,"High",IF(AL316&gt;=set_ScoreMed,"Medium",IF(AL316&gt;0,"Low","OK")))</f>
        <v/>
      </c>
      <c r="AN316" s="54">
        <f>IF(OR(T316="Open",AND(T316="Won",ABS(Y316)&gt;0.5)),1,0)</f>
        <v/>
      </c>
      <c r="AO316" s="52">
        <f>IF(T316="Open",IF(V316=0,0,X316),IF(T316="Won",MAX(0,Y316),0))</f>
        <v/>
      </c>
      <c r="AP316" s="54">
        <f>IF(AN316=1,AL316*1E+9+U316+ROW()/1E+6,"")</f>
        <v/>
      </c>
      <c r="AQ316" s="9">
        <f>MID(IF(AF316&gt;0,"; Expected month passed - update Zoho","")&amp;IF(AG316&gt;0,"; "&amp;TEXT(U316/MAX(1,SUMIFS($U$2:$U$601,$T$2:$T$601,"Open")),"0%")&amp;" of open pipeline in one deal","")&amp;IF(AH316&gt;0,"; Large deal at an early stage","")&amp;IF(AI316&gt;0,"; No amount in Zoho","")&amp;IF(AJ316&gt;0,"; Won, invoice month passed, not fully invoiced","")&amp;IF(AK316&gt;0,"; Xero invoiced more than the deal value",""),3,300)</f>
        <v/>
      </c>
    </row>
    <row r="317">
      <c r="T317" s="9">
        <f>IFERROR(INDEX($A317:$R317,MATCH("Status",$A$1:$R$1,0)),"")&amp;""</f>
        <v/>
      </c>
      <c r="U317" s="52">
        <f>IFERROR(N(IFERROR(INDEX($A317:$R317,MATCH("Value Ex GST",$A$1:$R$1,0)),"")),0)</f>
        <v/>
      </c>
      <c r="V317" s="54">
        <f>IF(AND(T317&lt;&gt;"",IFERROR(INDEX($A317:$R317,MATCH("Value Ex GST",$A$1:$R$1,0)),"")&amp;""&lt;&gt;""),1,0)</f>
        <v/>
      </c>
      <c r="W317" s="56">
        <f>IFERROR(N(IFERROR(INDEX($A317:$R317,MATCH("Probability",$A$1:$R$1,0)),"")),0)</f>
        <v/>
      </c>
      <c r="X317" s="52">
        <f>IF(T317="Open",U317*W317,0)</f>
        <v/>
      </c>
      <c r="Y317" s="52">
        <f>IF(T317="Won",IFERROR(N(IFERROR(INDEX($A317:$R317,MATCH("Still to Invoice",$A$1:$R$1,0)),"")),0),0)</f>
        <v/>
      </c>
      <c r="Z317" s="55">
        <f>IFERROR(EOMONTH(IFERROR(INDEX($A317:$R317,MATCH("Expected Invoice Month",$A$1:$R$1,0)),""),0),"")</f>
        <v/>
      </c>
      <c r="AA317" s="9">
        <f>IFERROR(INDEX($A317:$R317,MATCH("Cost Centre",$A$1:$R$1,0)),"")&amp;""</f>
        <v/>
      </c>
      <c r="AB317" s="9">
        <f>IFERROR(INDEX($A317:$R317,MATCH("Pipeline Stage",$A$1:$R$1,0)),"")&amp;""</f>
        <v/>
      </c>
      <c r="AC317" s="9">
        <f>IFERROR(INDEX($A317:$R317,MATCH("Client",$A$1:$R$1,0)),"")&amp;""</f>
        <v/>
      </c>
      <c r="AD317" s="9">
        <f>IFERROR(INDEX($A317:$R317,MATCH("Description",$A$1:$R$1,0)),"")&amp;""</f>
        <v/>
      </c>
      <c r="AE317" s="9">
        <f>IFERROR(INDEX($A317:$R317,MATCH("Job Number",$A$1:$R$1,0)),"")&amp;""</f>
        <v/>
      </c>
      <c r="AF317" s="54">
        <f>IF(AND(T317="Open",ISNUMBER(Z317),Z317&lt;EOMONTH(set_AsAt,-1)+1),3,0)</f>
        <v/>
      </c>
      <c r="AG317" s="54">
        <f>IF(AND(T317="Open",U317&gt;0,U317&gt;=set_DealShare*SUMIFS($U$2:$U$601,$T$2:$T$601,"Open")),3,0)</f>
        <v/>
      </c>
      <c r="AH317" s="54">
        <f>IF(AND(T317="Open",U317&gt;=set_BigValue,W317&lt;=set_EarlyProb),2,0)</f>
        <v/>
      </c>
      <c r="AI317" s="54">
        <f>IF(AND(OR(T317="Open",T317="Won"),V317=0),2,0)</f>
        <v/>
      </c>
      <c r="AJ317" s="54">
        <f>IF(AND(T317="Won",Y317&gt;0.5,ISNUMBER(Z317),Z317&lt;EOMONTH(set_AsAt,-1)+1),3,0)</f>
        <v/>
      </c>
      <c r="AK317" s="54">
        <f>IF(AND(T317="Won",Y317&lt;-1),1,0)</f>
        <v/>
      </c>
      <c r="AL317" s="54">
        <f>SUM(AF317:AK317)</f>
        <v/>
      </c>
      <c r="AM317" s="9">
        <f>IF(AL317&gt;=set_ScoreHigh,"High",IF(AL317&gt;=set_ScoreMed,"Medium",IF(AL317&gt;0,"Low","OK")))</f>
        <v/>
      </c>
      <c r="AN317" s="54">
        <f>IF(OR(T317="Open",AND(T317="Won",ABS(Y317)&gt;0.5)),1,0)</f>
        <v/>
      </c>
      <c r="AO317" s="52">
        <f>IF(T317="Open",IF(V317=0,0,X317),IF(T317="Won",MAX(0,Y317),0))</f>
        <v/>
      </c>
      <c r="AP317" s="54">
        <f>IF(AN317=1,AL317*1E+9+U317+ROW()/1E+6,"")</f>
        <v/>
      </c>
      <c r="AQ317" s="9">
        <f>MID(IF(AF317&gt;0,"; Expected month passed - update Zoho","")&amp;IF(AG317&gt;0,"; "&amp;TEXT(U317/MAX(1,SUMIFS($U$2:$U$601,$T$2:$T$601,"Open")),"0%")&amp;" of open pipeline in one deal","")&amp;IF(AH317&gt;0,"; Large deal at an early stage","")&amp;IF(AI317&gt;0,"; No amount in Zoho","")&amp;IF(AJ317&gt;0,"; Won, invoice month passed, not fully invoiced","")&amp;IF(AK317&gt;0,"; Xero invoiced more than the deal value",""),3,300)</f>
        <v/>
      </c>
    </row>
    <row r="318">
      <c r="T318" s="9">
        <f>IFERROR(INDEX($A318:$R318,MATCH("Status",$A$1:$R$1,0)),"")&amp;""</f>
        <v/>
      </c>
      <c r="U318" s="52">
        <f>IFERROR(N(IFERROR(INDEX($A318:$R318,MATCH("Value Ex GST",$A$1:$R$1,0)),"")),0)</f>
        <v/>
      </c>
      <c r="V318" s="54">
        <f>IF(AND(T318&lt;&gt;"",IFERROR(INDEX($A318:$R318,MATCH("Value Ex GST",$A$1:$R$1,0)),"")&amp;""&lt;&gt;""),1,0)</f>
        <v/>
      </c>
      <c r="W318" s="56">
        <f>IFERROR(N(IFERROR(INDEX($A318:$R318,MATCH("Probability",$A$1:$R$1,0)),"")),0)</f>
        <v/>
      </c>
      <c r="X318" s="52">
        <f>IF(T318="Open",U318*W318,0)</f>
        <v/>
      </c>
      <c r="Y318" s="52">
        <f>IF(T318="Won",IFERROR(N(IFERROR(INDEX($A318:$R318,MATCH("Still to Invoice",$A$1:$R$1,0)),"")),0),0)</f>
        <v/>
      </c>
      <c r="Z318" s="55">
        <f>IFERROR(EOMONTH(IFERROR(INDEX($A318:$R318,MATCH("Expected Invoice Month",$A$1:$R$1,0)),""),0),"")</f>
        <v/>
      </c>
      <c r="AA318" s="9">
        <f>IFERROR(INDEX($A318:$R318,MATCH("Cost Centre",$A$1:$R$1,0)),"")&amp;""</f>
        <v/>
      </c>
      <c r="AB318" s="9">
        <f>IFERROR(INDEX($A318:$R318,MATCH("Pipeline Stage",$A$1:$R$1,0)),"")&amp;""</f>
        <v/>
      </c>
      <c r="AC318" s="9">
        <f>IFERROR(INDEX($A318:$R318,MATCH("Client",$A$1:$R$1,0)),"")&amp;""</f>
        <v/>
      </c>
      <c r="AD318" s="9">
        <f>IFERROR(INDEX($A318:$R318,MATCH("Description",$A$1:$R$1,0)),"")&amp;""</f>
        <v/>
      </c>
      <c r="AE318" s="9">
        <f>IFERROR(INDEX($A318:$R318,MATCH("Job Number",$A$1:$R$1,0)),"")&amp;""</f>
        <v/>
      </c>
      <c r="AF318" s="54">
        <f>IF(AND(T318="Open",ISNUMBER(Z318),Z318&lt;EOMONTH(set_AsAt,-1)+1),3,0)</f>
        <v/>
      </c>
      <c r="AG318" s="54">
        <f>IF(AND(T318="Open",U318&gt;0,U318&gt;=set_DealShare*SUMIFS($U$2:$U$601,$T$2:$T$601,"Open")),3,0)</f>
        <v/>
      </c>
      <c r="AH318" s="54">
        <f>IF(AND(T318="Open",U318&gt;=set_BigValue,W318&lt;=set_EarlyProb),2,0)</f>
        <v/>
      </c>
      <c r="AI318" s="54">
        <f>IF(AND(OR(T318="Open",T318="Won"),V318=0),2,0)</f>
        <v/>
      </c>
      <c r="AJ318" s="54">
        <f>IF(AND(T318="Won",Y318&gt;0.5,ISNUMBER(Z318),Z318&lt;EOMONTH(set_AsAt,-1)+1),3,0)</f>
        <v/>
      </c>
      <c r="AK318" s="54">
        <f>IF(AND(T318="Won",Y318&lt;-1),1,0)</f>
        <v/>
      </c>
      <c r="AL318" s="54">
        <f>SUM(AF318:AK318)</f>
        <v/>
      </c>
      <c r="AM318" s="9">
        <f>IF(AL318&gt;=set_ScoreHigh,"High",IF(AL318&gt;=set_ScoreMed,"Medium",IF(AL318&gt;0,"Low","OK")))</f>
        <v/>
      </c>
      <c r="AN318" s="54">
        <f>IF(OR(T318="Open",AND(T318="Won",ABS(Y318)&gt;0.5)),1,0)</f>
        <v/>
      </c>
      <c r="AO318" s="52">
        <f>IF(T318="Open",IF(V318=0,0,X318),IF(T318="Won",MAX(0,Y318),0))</f>
        <v/>
      </c>
      <c r="AP318" s="54">
        <f>IF(AN318=1,AL318*1E+9+U318+ROW()/1E+6,"")</f>
        <v/>
      </c>
      <c r="AQ318" s="9">
        <f>MID(IF(AF318&gt;0,"; Expected month passed - update Zoho","")&amp;IF(AG318&gt;0,"; "&amp;TEXT(U318/MAX(1,SUMIFS($U$2:$U$601,$T$2:$T$601,"Open")),"0%")&amp;" of open pipeline in one deal","")&amp;IF(AH318&gt;0,"; Large deal at an early stage","")&amp;IF(AI318&gt;0,"; No amount in Zoho","")&amp;IF(AJ318&gt;0,"; Won, invoice month passed, not fully invoiced","")&amp;IF(AK318&gt;0,"; Xero invoiced more than the deal value",""),3,300)</f>
        <v/>
      </c>
    </row>
    <row r="319">
      <c r="T319" s="9">
        <f>IFERROR(INDEX($A319:$R319,MATCH("Status",$A$1:$R$1,0)),"")&amp;""</f>
        <v/>
      </c>
      <c r="U319" s="52">
        <f>IFERROR(N(IFERROR(INDEX($A319:$R319,MATCH("Value Ex GST",$A$1:$R$1,0)),"")),0)</f>
        <v/>
      </c>
      <c r="V319" s="54">
        <f>IF(AND(T319&lt;&gt;"",IFERROR(INDEX($A319:$R319,MATCH("Value Ex GST",$A$1:$R$1,0)),"")&amp;""&lt;&gt;""),1,0)</f>
        <v/>
      </c>
      <c r="W319" s="56">
        <f>IFERROR(N(IFERROR(INDEX($A319:$R319,MATCH("Probability",$A$1:$R$1,0)),"")),0)</f>
        <v/>
      </c>
      <c r="X319" s="52">
        <f>IF(T319="Open",U319*W319,0)</f>
        <v/>
      </c>
      <c r="Y319" s="52">
        <f>IF(T319="Won",IFERROR(N(IFERROR(INDEX($A319:$R319,MATCH("Still to Invoice",$A$1:$R$1,0)),"")),0),0)</f>
        <v/>
      </c>
      <c r="Z319" s="55">
        <f>IFERROR(EOMONTH(IFERROR(INDEX($A319:$R319,MATCH("Expected Invoice Month",$A$1:$R$1,0)),""),0),"")</f>
        <v/>
      </c>
      <c r="AA319" s="9">
        <f>IFERROR(INDEX($A319:$R319,MATCH("Cost Centre",$A$1:$R$1,0)),"")&amp;""</f>
        <v/>
      </c>
      <c r="AB319" s="9">
        <f>IFERROR(INDEX($A319:$R319,MATCH("Pipeline Stage",$A$1:$R$1,0)),"")&amp;""</f>
        <v/>
      </c>
      <c r="AC319" s="9">
        <f>IFERROR(INDEX($A319:$R319,MATCH("Client",$A$1:$R$1,0)),"")&amp;""</f>
        <v/>
      </c>
      <c r="AD319" s="9">
        <f>IFERROR(INDEX($A319:$R319,MATCH("Description",$A$1:$R$1,0)),"")&amp;""</f>
        <v/>
      </c>
      <c r="AE319" s="9">
        <f>IFERROR(INDEX($A319:$R319,MATCH("Job Number",$A$1:$R$1,0)),"")&amp;""</f>
        <v/>
      </c>
      <c r="AF319" s="54">
        <f>IF(AND(T319="Open",ISNUMBER(Z319),Z319&lt;EOMONTH(set_AsAt,-1)+1),3,0)</f>
        <v/>
      </c>
      <c r="AG319" s="54">
        <f>IF(AND(T319="Open",U319&gt;0,U319&gt;=set_DealShare*SUMIFS($U$2:$U$601,$T$2:$T$601,"Open")),3,0)</f>
        <v/>
      </c>
      <c r="AH319" s="54">
        <f>IF(AND(T319="Open",U319&gt;=set_BigValue,W319&lt;=set_EarlyProb),2,0)</f>
        <v/>
      </c>
      <c r="AI319" s="54">
        <f>IF(AND(OR(T319="Open",T319="Won"),V319=0),2,0)</f>
        <v/>
      </c>
      <c r="AJ319" s="54">
        <f>IF(AND(T319="Won",Y319&gt;0.5,ISNUMBER(Z319),Z319&lt;EOMONTH(set_AsAt,-1)+1),3,0)</f>
        <v/>
      </c>
      <c r="AK319" s="54">
        <f>IF(AND(T319="Won",Y319&lt;-1),1,0)</f>
        <v/>
      </c>
      <c r="AL319" s="54">
        <f>SUM(AF319:AK319)</f>
        <v/>
      </c>
      <c r="AM319" s="9">
        <f>IF(AL319&gt;=set_ScoreHigh,"High",IF(AL319&gt;=set_ScoreMed,"Medium",IF(AL319&gt;0,"Low","OK")))</f>
        <v/>
      </c>
      <c r="AN319" s="54">
        <f>IF(OR(T319="Open",AND(T319="Won",ABS(Y319)&gt;0.5)),1,0)</f>
        <v/>
      </c>
      <c r="AO319" s="52">
        <f>IF(T319="Open",IF(V319=0,0,X319),IF(T319="Won",MAX(0,Y319),0))</f>
        <v/>
      </c>
      <c r="AP319" s="54">
        <f>IF(AN319=1,AL319*1E+9+U319+ROW()/1E+6,"")</f>
        <v/>
      </c>
      <c r="AQ319" s="9">
        <f>MID(IF(AF319&gt;0,"; Expected month passed - update Zoho","")&amp;IF(AG319&gt;0,"; "&amp;TEXT(U319/MAX(1,SUMIFS($U$2:$U$601,$T$2:$T$601,"Open")),"0%")&amp;" of open pipeline in one deal","")&amp;IF(AH319&gt;0,"; Large deal at an early stage","")&amp;IF(AI319&gt;0,"; No amount in Zoho","")&amp;IF(AJ319&gt;0,"; Won, invoice month passed, not fully invoiced","")&amp;IF(AK319&gt;0,"; Xero invoiced more than the deal value",""),3,300)</f>
        <v/>
      </c>
    </row>
    <row r="320">
      <c r="T320" s="9">
        <f>IFERROR(INDEX($A320:$R320,MATCH("Status",$A$1:$R$1,0)),"")&amp;""</f>
        <v/>
      </c>
      <c r="U320" s="52">
        <f>IFERROR(N(IFERROR(INDEX($A320:$R320,MATCH("Value Ex GST",$A$1:$R$1,0)),"")),0)</f>
        <v/>
      </c>
      <c r="V320" s="54">
        <f>IF(AND(T320&lt;&gt;"",IFERROR(INDEX($A320:$R320,MATCH("Value Ex GST",$A$1:$R$1,0)),"")&amp;""&lt;&gt;""),1,0)</f>
        <v/>
      </c>
      <c r="W320" s="56">
        <f>IFERROR(N(IFERROR(INDEX($A320:$R320,MATCH("Probability",$A$1:$R$1,0)),"")),0)</f>
        <v/>
      </c>
      <c r="X320" s="52">
        <f>IF(T320="Open",U320*W320,0)</f>
        <v/>
      </c>
      <c r="Y320" s="52">
        <f>IF(T320="Won",IFERROR(N(IFERROR(INDEX($A320:$R320,MATCH("Still to Invoice",$A$1:$R$1,0)),"")),0),0)</f>
        <v/>
      </c>
      <c r="Z320" s="55">
        <f>IFERROR(EOMONTH(IFERROR(INDEX($A320:$R320,MATCH("Expected Invoice Month",$A$1:$R$1,0)),""),0),"")</f>
        <v/>
      </c>
      <c r="AA320" s="9">
        <f>IFERROR(INDEX($A320:$R320,MATCH("Cost Centre",$A$1:$R$1,0)),"")&amp;""</f>
        <v/>
      </c>
      <c r="AB320" s="9">
        <f>IFERROR(INDEX($A320:$R320,MATCH("Pipeline Stage",$A$1:$R$1,0)),"")&amp;""</f>
        <v/>
      </c>
      <c r="AC320" s="9">
        <f>IFERROR(INDEX($A320:$R320,MATCH("Client",$A$1:$R$1,0)),"")&amp;""</f>
        <v/>
      </c>
      <c r="AD320" s="9">
        <f>IFERROR(INDEX($A320:$R320,MATCH("Description",$A$1:$R$1,0)),"")&amp;""</f>
        <v/>
      </c>
      <c r="AE320" s="9">
        <f>IFERROR(INDEX($A320:$R320,MATCH("Job Number",$A$1:$R$1,0)),"")&amp;""</f>
        <v/>
      </c>
      <c r="AF320" s="54">
        <f>IF(AND(T320="Open",ISNUMBER(Z320),Z320&lt;EOMONTH(set_AsAt,-1)+1),3,0)</f>
        <v/>
      </c>
      <c r="AG320" s="54">
        <f>IF(AND(T320="Open",U320&gt;0,U320&gt;=set_DealShare*SUMIFS($U$2:$U$601,$T$2:$T$601,"Open")),3,0)</f>
        <v/>
      </c>
      <c r="AH320" s="54">
        <f>IF(AND(T320="Open",U320&gt;=set_BigValue,W320&lt;=set_EarlyProb),2,0)</f>
        <v/>
      </c>
      <c r="AI320" s="54">
        <f>IF(AND(OR(T320="Open",T320="Won"),V320=0),2,0)</f>
        <v/>
      </c>
      <c r="AJ320" s="54">
        <f>IF(AND(T320="Won",Y320&gt;0.5,ISNUMBER(Z320),Z320&lt;EOMONTH(set_AsAt,-1)+1),3,0)</f>
        <v/>
      </c>
      <c r="AK320" s="54">
        <f>IF(AND(T320="Won",Y320&lt;-1),1,0)</f>
        <v/>
      </c>
      <c r="AL320" s="54">
        <f>SUM(AF320:AK320)</f>
        <v/>
      </c>
      <c r="AM320" s="9">
        <f>IF(AL320&gt;=set_ScoreHigh,"High",IF(AL320&gt;=set_ScoreMed,"Medium",IF(AL320&gt;0,"Low","OK")))</f>
        <v/>
      </c>
      <c r="AN320" s="54">
        <f>IF(OR(T320="Open",AND(T320="Won",ABS(Y320)&gt;0.5)),1,0)</f>
        <v/>
      </c>
      <c r="AO320" s="52">
        <f>IF(T320="Open",IF(V320=0,0,X320),IF(T320="Won",MAX(0,Y320),0))</f>
        <v/>
      </c>
      <c r="AP320" s="54">
        <f>IF(AN320=1,AL320*1E+9+U320+ROW()/1E+6,"")</f>
        <v/>
      </c>
      <c r="AQ320" s="9">
        <f>MID(IF(AF320&gt;0,"; Expected month passed - update Zoho","")&amp;IF(AG320&gt;0,"; "&amp;TEXT(U320/MAX(1,SUMIFS($U$2:$U$601,$T$2:$T$601,"Open")),"0%")&amp;" of open pipeline in one deal","")&amp;IF(AH320&gt;0,"; Large deal at an early stage","")&amp;IF(AI320&gt;0,"; No amount in Zoho","")&amp;IF(AJ320&gt;0,"; Won, invoice month passed, not fully invoiced","")&amp;IF(AK320&gt;0,"; Xero invoiced more than the deal value",""),3,300)</f>
        <v/>
      </c>
    </row>
    <row r="321">
      <c r="T321" s="9">
        <f>IFERROR(INDEX($A321:$R321,MATCH("Status",$A$1:$R$1,0)),"")&amp;""</f>
        <v/>
      </c>
      <c r="U321" s="52">
        <f>IFERROR(N(IFERROR(INDEX($A321:$R321,MATCH("Value Ex GST",$A$1:$R$1,0)),"")),0)</f>
        <v/>
      </c>
      <c r="V321" s="54">
        <f>IF(AND(T321&lt;&gt;"",IFERROR(INDEX($A321:$R321,MATCH("Value Ex GST",$A$1:$R$1,0)),"")&amp;""&lt;&gt;""),1,0)</f>
        <v/>
      </c>
      <c r="W321" s="56">
        <f>IFERROR(N(IFERROR(INDEX($A321:$R321,MATCH("Probability",$A$1:$R$1,0)),"")),0)</f>
        <v/>
      </c>
      <c r="X321" s="52">
        <f>IF(T321="Open",U321*W321,0)</f>
        <v/>
      </c>
      <c r="Y321" s="52">
        <f>IF(T321="Won",IFERROR(N(IFERROR(INDEX($A321:$R321,MATCH("Still to Invoice",$A$1:$R$1,0)),"")),0),0)</f>
        <v/>
      </c>
      <c r="Z321" s="55">
        <f>IFERROR(EOMONTH(IFERROR(INDEX($A321:$R321,MATCH("Expected Invoice Month",$A$1:$R$1,0)),""),0),"")</f>
        <v/>
      </c>
      <c r="AA321" s="9">
        <f>IFERROR(INDEX($A321:$R321,MATCH("Cost Centre",$A$1:$R$1,0)),"")&amp;""</f>
        <v/>
      </c>
      <c r="AB321" s="9">
        <f>IFERROR(INDEX($A321:$R321,MATCH("Pipeline Stage",$A$1:$R$1,0)),"")&amp;""</f>
        <v/>
      </c>
      <c r="AC321" s="9">
        <f>IFERROR(INDEX($A321:$R321,MATCH("Client",$A$1:$R$1,0)),"")&amp;""</f>
        <v/>
      </c>
      <c r="AD321" s="9">
        <f>IFERROR(INDEX($A321:$R321,MATCH("Description",$A$1:$R$1,0)),"")&amp;""</f>
        <v/>
      </c>
      <c r="AE321" s="9">
        <f>IFERROR(INDEX($A321:$R321,MATCH("Job Number",$A$1:$R$1,0)),"")&amp;""</f>
        <v/>
      </c>
      <c r="AF321" s="54">
        <f>IF(AND(T321="Open",ISNUMBER(Z321),Z321&lt;EOMONTH(set_AsAt,-1)+1),3,0)</f>
        <v/>
      </c>
      <c r="AG321" s="54">
        <f>IF(AND(T321="Open",U321&gt;0,U321&gt;=set_DealShare*SUMIFS($U$2:$U$601,$T$2:$T$601,"Open")),3,0)</f>
        <v/>
      </c>
      <c r="AH321" s="54">
        <f>IF(AND(T321="Open",U321&gt;=set_BigValue,W321&lt;=set_EarlyProb),2,0)</f>
        <v/>
      </c>
      <c r="AI321" s="54">
        <f>IF(AND(OR(T321="Open",T321="Won"),V321=0),2,0)</f>
        <v/>
      </c>
      <c r="AJ321" s="54">
        <f>IF(AND(T321="Won",Y321&gt;0.5,ISNUMBER(Z321),Z321&lt;EOMONTH(set_AsAt,-1)+1),3,0)</f>
        <v/>
      </c>
      <c r="AK321" s="54">
        <f>IF(AND(T321="Won",Y321&lt;-1),1,0)</f>
        <v/>
      </c>
      <c r="AL321" s="54">
        <f>SUM(AF321:AK321)</f>
        <v/>
      </c>
      <c r="AM321" s="9">
        <f>IF(AL321&gt;=set_ScoreHigh,"High",IF(AL321&gt;=set_ScoreMed,"Medium",IF(AL321&gt;0,"Low","OK")))</f>
        <v/>
      </c>
      <c r="AN321" s="54">
        <f>IF(OR(T321="Open",AND(T321="Won",ABS(Y321)&gt;0.5)),1,0)</f>
        <v/>
      </c>
      <c r="AO321" s="52">
        <f>IF(T321="Open",IF(V321=0,0,X321),IF(T321="Won",MAX(0,Y321),0))</f>
        <v/>
      </c>
      <c r="AP321" s="54">
        <f>IF(AN321=1,AL321*1E+9+U321+ROW()/1E+6,"")</f>
        <v/>
      </c>
      <c r="AQ321" s="9">
        <f>MID(IF(AF321&gt;0,"; Expected month passed - update Zoho","")&amp;IF(AG321&gt;0,"; "&amp;TEXT(U321/MAX(1,SUMIFS($U$2:$U$601,$T$2:$T$601,"Open")),"0%")&amp;" of open pipeline in one deal","")&amp;IF(AH321&gt;0,"; Large deal at an early stage","")&amp;IF(AI321&gt;0,"; No amount in Zoho","")&amp;IF(AJ321&gt;0,"; Won, invoice month passed, not fully invoiced","")&amp;IF(AK321&gt;0,"; Xero invoiced more than the deal value",""),3,300)</f>
        <v/>
      </c>
    </row>
    <row r="322">
      <c r="T322" s="9">
        <f>IFERROR(INDEX($A322:$R322,MATCH("Status",$A$1:$R$1,0)),"")&amp;""</f>
        <v/>
      </c>
      <c r="U322" s="52">
        <f>IFERROR(N(IFERROR(INDEX($A322:$R322,MATCH("Value Ex GST",$A$1:$R$1,0)),"")),0)</f>
        <v/>
      </c>
      <c r="V322" s="54">
        <f>IF(AND(T322&lt;&gt;"",IFERROR(INDEX($A322:$R322,MATCH("Value Ex GST",$A$1:$R$1,0)),"")&amp;""&lt;&gt;""),1,0)</f>
        <v/>
      </c>
      <c r="W322" s="56">
        <f>IFERROR(N(IFERROR(INDEX($A322:$R322,MATCH("Probability",$A$1:$R$1,0)),"")),0)</f>
        <v/>
      </c>
      <c r="X322" s="52">
        <f>IF(T322="Open",U322*W322,0)</f>
        <v/>
      </c>
      <c r="Y322" s="52">
        <f>IF(T322="Won",IFERROR(N(IFERROR(INDEX($A322:$R322,MATCH("Still to Invoice",$A$1:$R$1,0)),"")),0),0)</f>
        <v/>
      </c>
      <c r="Z322" s="55">
        <f>IFERROR(EOMONTH(IFERROR(INDEX($A322:$R322,MATCH("Expected Invoice Month",$A$1:$R$1,0)),""),0),"")</f>
        <v/>
      </c>
      <c r="AA322" s="9">
        <f>IFERROR(INDEX($A322:$R322,MATCH("Cost Centre",$A$1:$R$1,0)),"")&amp;""</f>
        <v/>
      </c>
      <c r="AB322" s="9">
        <f>IFERROR(INDEX($A322:$R322,MATCH("Pipeline Stage",$A$1:$R$1,0)),"")&amp;""</f>
        <v/>
      </c>
      <c r="AC322" s="9">
        <f>IFERROR(INDEX($A322:$R322,MATCH("Client",$A$1:$R$1,0)),"")&amp;""</f>
        <v/>
      </c>
      <c r="AD322" s="9">
        <f>IFERROR(INDEX($A322:$R322,MATCH("Description",$A$1:$R$1,0)),"")&amp;""</f>
        <v/>
      </c>
      <c r="AE322" s="9">
        <f>IFERROR(INDEX($A322:$R322,MATCH("Job Number",$A$1:$R$1,0)),"")&amp;""</f>
        <v/>
      </c>
      <c r="AF322" s="54">
        <f>IF(AND(T322="Open",ISNUMBER(Z322),Z322&lt;EOMONTH(set_AsAt,-1)+1),3,0)</f>
        <v/>
      </c>
      <c r="AG322" s="54">
        <f>IF(AND(T322="Open",U322&gt;0,U322&gt;=set_DealShare*SUMIFS($U$2:$U$601,$T$2:$T$601,"Open")),3,0)</f>
        <v/>
      </c>
      <c r="AH322" s="54">
        <f>IF(AND(T322="Open",U322&gt;=set_BigValue,W322&lt;=set_EarlyProb),2,0)</f>
        <v/>
      </c>
      <c r="AI322" s="54">
        <f>IF(AND(OR(T322="Open",T322="Won"),V322=0),2,0)</f>
        <v/>
      </c>
      <c r="AJ322" s="54">
        <f>IF(AND(T322="Won",Y322&gt;0.5,ISNUMBER(Z322),Z322&lt;EOMONTH(set_AsAt,-1)+1),3,0)</f>
        <v/>
      </c>
      <c r="AK322" s="54">
        <f>IF(AND(T322="Won",Y322&lt;-1),1,0)</f>
        <v/>
      </c>
      <c r="AL322" s="54">
        <f>SUM(AF322:AK322)</f>
        <v/>
      </c>
      <c r="AM322" s="9">
        <f>IF(AL322&gt;=set_ScoreHigh,"High",IF(AL322&gt;=set_ScoreMed,"Medium",IF(AL322&gt;0,"Low","OK")))</f>
        <v/>
      </c>
      <c r="AN322" s="54">
        <f>IF(OR(T322="Open",AND(T322="Won",ABS(Y322)&gt;0.5)),1,0)</f>
        <v/>
      </c>
      <c r="AO322" s="52">
        <f>IF(T322="Open",IF(V322=0,0,X322),IF(T322="Won",MAX(0,Y322),0))</f>
        <v/>
      </c>
      <c r="AP322" s="54">
        <f>IF(AN322=1,AL322*1E+9+U322+ROW()/1E+6,"")</f>
        <v/>
      </c>
      <c r="AQ322" s="9">
        <f>MID(IF(AF322&gt;0,"; Expected month passed - update Zoho","")&amp;IF(AG322&gt;0,"; "&amp;TEXT(U322/MAX(1,SUMIFS($U$2:$U$601,$T$2:$T$601,"Open")),"0%")&amp;" of open pipeline in one deal","")&amp;IF(AH322&gt;0,"; Large deal at an early stage","")&amp;IF(AI322&gt;0,"; No amount in Zoho","")&amp;IF(AJ322&gt;0,"; Won, invoice month passed, not fully invoiced","")&amp;IF(AK322&gt;0,"; Xero invoiced more than the deal value",""),3,300)</f>
        <v/>
      </c>
    </row>
    <row r="323">
      <c r="T323" s="9">
        <f>IFERROR(INDEX($A323:$R323,MATCH("Status",$A$1:$R$1,0)),"")&amp;""</f>
        <v/>
      </c>
      <c r="U323" s="52">
        <f>IFERROR(N(IFERROR(INDEX($A323:$R323,MATCH("Value Ex GST",$A$1:$R$1,0)),"")),0)</f>
        <v/>
      </c>
      <c r="V323" s="54">
        <f>IF(AND(T323&lt;&gt;"",IFERROR(INDEX($A323:$R323,MATCH("Value Ex GST",$A$1:$R$1,0)),"")&amp;""&lt;&gt;""),1,0)</f>
        <v/>
      </c>
      <c r="W323" s="56">
        <f>IFERROR(N(IFERROR(INDEX($A323:$R323,MATCH("Probability",$A$1:$R$1,0)),"")),0)</f>
        <v/>
      </c>
      <c r="X323" s="52">
        <f>IF(T323="Open",U323*W323,0)</f>
        <v/>
      </c>
      <c r="Y323" s="52">
        <f>IF(T323="Won",IFERROR(N(IFERROR(INDEX($A323:$R323,MATCH("Still to Invoice",$A$1:$R$1,0)),"")),0),0)</f>
        <v/>
      </c>
      <c r="Z323" s="55">
        <f>IFERROR(EOMONTH(IFERROR(INDEX($A323:$R323,MATCH("Expected Invoice Month",$A$1:$R$1,0)),""),0),"")</f>
        <v/>
      </c>
      <c r="AA323" s="9">
        <f>IFERROR(INDEX($A323:$R323,MATCH("Cost Centre",$A$1:$R$1,0)),"")&amp;""</f>
        <v/>
      </c>
      <c r="AB323" s="9">
        <f>IFERROR(INDEX($A323:$R323,MATCH("Pipeline Stage",$A$1:$R$1,0)),"")&amp;""</f>
        <v/>
      </c>
      <c r="AC323" s="9">
        <f>IFERROR(INDEX($A323:$R323,MATCH("Client",$A$1:$R$1,0)),"")&amp;""</f>
        <v/>
      </c>
      <c r="AD323" s="9">
        <f>IFERROR(INDEX($A323:$R323,MATCH("Description",$A$1:$R$1,0)),"")&amp;""</f>
        <v/>
      </c>
      <c r="AE323" s="9">
        <f>IFERROR(INDEX($A323:$R323,MATCH("Job Number",$A$1:$R$1,0)),"")&amp;""</f>
        <v/>
      </c>
      <c r="AF323" s="54">
        <f>IF(AND(T323="Open",ISNUMBER(Z323),Z323&lt;EOMONTH(set_AsAt,-1)+1),3,0)</f>
        <v/>
      </c>
      <c r="AG323" s="54">
        <f>IF(AND(T323="Open",U323&gt;0,U323&gt;=set_DealShare*SUMIFS($U$2:$U$601,$T$2:$T$601,"Open")),3,0)</f>
        <v/>
      </c>
      <c r="AH323" s="54">
        <f>IF(AND(T323="Open",U323&gt;=set_BigValue,W323&lt;=set_EarlyProb),2,0)</f>
        <v/>
      </c>
      <c r="AI323" s="54">
        <f>IF(AND(OR(T323="Open",T323="Won"),V323=0),2,0)</f>
        <v/>
      </c>
      <c r="AJ323" s="54">
        <f>IF(AND(T323="Won",Y323&gt;0.5,ISNUMBER(Z323),Z323&lt;EOMONTH(set_AsAt,-1)+1),3,0)</f>
        <v/>
      </c>
      <c r="AK323" s="54">
        <f>IF(AND(T323="Won",Y323&lt;-1),1,0)</f>
        <v/>
      </c>
      <c r="AL323" s="54">
        <f>SUM(AF323:AK323)</f>
        <v/>
      </c>
      <c r="AM323" s="9">
        <f>IF(AL323&gt;=set_ScoreHigh,"High",IF(AL323&gt;=set_ScoreMed,"Medium",IF(AL323&gt;0,"Low","OK")))</f>
        <v/>
      </c>
      <c r="AN323" s="54">
        <f>IF(OR(T323="Open",AND(T323="Won",ABS(Y323)&gt;0.5)),1,0)</f>
        <v/>
      </c>
      <c r="AO323" s="52">
        <f>IF(T323="Open",IF(V323=0,0,X323),IF(T323="Won",MAX(0,Y323),0))</f>
        <v/>
      </c>
      <c r="AP323" s="54">
        <f>IF(AN323=1,AL323*1E+9+U323+ROW()/1E+6,"")</f>
        <v/>
      </c>
      <c r="AQ323" s="9">
        <f>MID(IF(AF323&gt;0,"; Expected month passed - update Zoho","")&amp;IF(AG323&gt;0,"; "&amp;TEXT(U323/MAX(1,SUMIFS($U$2:$U$601,$T$2:$T$601,"Open")),"0%")&amp;" of open pipeline in one deal","")&amp;IF(AH323&gt;0,"; Large deal at an early stage","")&amp;IF(AI323&gt;0,"; No amount in Zoho","")&amp;IF(AJ323&gt;0,"; Won, invoice month passed, not fully invoiced","")&amp;IF(AK323&gt;0,"; Xero invoiced more than the deal value",""),3,300)</f>
        <v/>
      </c>
    </row>
    <row r="324">
      <c r="T324" s="9">
        <f>IFERROR(INDEX($A324:$R324,MATCH("Status",$A$1:$R$1,0)),"")&amp;""</f>
        <v/>
      </c>
      <c r="U324" s="52">
        <f>IFERROR(N(IFERROR(INDEX($A324:$R324,MATCH("Value Ex GST",$A$1:$R$1,0)),"")),0)</f>
        <v/>
      </c>
      <c r="V324" s="54">
        <f>IF(AND(T324&lt;&gt;"",IFERROR(INDEX($A324:$R324,MATCH("Value Ex GST",$A$1:$R$1,0)),"")&amp;""&lt;&gt;""),1,0)</f>
        <v/>
      </c>
      <c r="W324" s="56">
        <f>IFERROR(N(IFERROR(INDEX($A324:$R324,MATCH("Probability",$A$1:$R$1,0)),"")),0)</f>
        <v/>
      </c>
      <c r="X324" s="52">
        <f>IF(T324="Open",U324*W324,0)</f>
        <v/>
      </c>
      <c r="Y324" s="52">
        <f>IF(T324="Won",IFERROR(N(IFERROR(INDEX($A324:$R324,MATCH("Still to Invoice",$A$1:$R$1,0)),"")),0),0)</f>
        <v/>
      </c>
      <c r="Z324" s="55">
        <f>IFERROR(EOMONTH(IFERROR(INDEX($A324:$R324,MATCH("Expected Invoice Month",$A$1:$R$1,0)),""),0),"")</f>
        <v/>
      </c>
      <c r="AA324" s="9">
        <f>IFERROR(INDEX($A324:$R324,MATCH("Cost Centre",$A$1:$R$1,0)),"")&amp;""</f>
        <v/>
      </c>
      <c r="AB324" s="9">
        <f>IFERROR(INDEX($A324:$R324,MATCH("Pipeline Stage",$A$1:$R$1,0)),"")&amp;""</f>
        <v/>
      </c>
      <c r="AC324" s="9">
        <f>IFERROR(INDEX($A324:$R324,MATCH("Client",$A$1:$R$1,0)),"")&amp;""</f>
        <v/>
      </c>
      <c r="AD324" s="9">
        <f>IFERROR(INDEX($A324:$R324,MATCH("Description",$A$1:$R$1,0)),"")&amp;""</f>
        <v/>
      </c>
      <c r="AE324" s="9">
        <f>IFERROR(INDEX($A324:$R324,MATCH("Job Number",$A$1:$R$1,0)),"")&amp;""</f>
        <v/>
      </c>
      <c r="AF324" s="54">
        <f>IF(AND(T324="Open",ISNUMBER(Z324),Z324&lt;EOMONTH(set_AsAt,-1)+1),3,0)</f>
        <v/>
      </c>
      <c r="AG324" s="54">
        <f>IF(AND(T324="Open",U324&gt;0,U324&gt;=set_DealShare*SUMIFS($U$2:$U$601,$T$2:$T$601,"Open")),3,0)</f>
        <v/>
      </c>
      <c r="AH324" s="54">
        <f>IF(AND(T324="Open",U324&gt;=set_BigValue,W324&lt;=set_EarlyProb),2,0)</f>
        <v/>
      </c>
      <c r="AI324" s="54">
        <f>IF(AND(OR(T324="Open",T324="Won"),V324=0),2,0)</f>
        <v/>
      </c>
      <c r="AJ324" s="54">
        <f>IF(AND(T324="Won",Y324&gt;0.5,ISNUMBER(Z324),Z324&lt;EOMONTH(set_AsAt,-1)+1),3,0)</f>
        <v/>
      </c>
      <c r="AK324" s="54">
        <f>IF(AND(T324="Won",Y324&lt;-1),1,0)</f>
        <v/>
      </c>
      <c r="AL324" s="54">
        <f>SUM(AF324:AK324)</f>
        <v/>
      </c>
      <c r="AM324" s="9">
        <f>IF(AL324&gt;=set_ScoreHigh,"High",IF(AL324&gt;=set_ScoreMed,"Medium",IF(AL324&gt;0,"Low","OK")))</f>
        <v/>
      </c>
      <c r="AN324" s="54">
        <f>IF(OR(T324="Open",AND(T324="Won",ABS(Y324)&gt;0.5)),1,0)</f>
        <v/>
      </c>
      <c r="AO324" s="52">
        <f>IF(T324="Open",IF(V324=0,0,X324),IF(T324="Won",MAX(0,Y324),0))</f>
        <v/>
      </c>
      <c r="AP324" s="54">
        <f>IF(AN324=1,AL324*1E+9+U324+ROW()/1E+6,"")</f>
        <v/>
      </c>
      <c r="AQ324" s="9">
        <f>MID(IF(AF324&gt;0,"; Expected month passed - update Zoho","")&amp;IF(AG324&gt;0,"; "&amp;TEXT(U324/MAX(1,SUMIFS($U$2:$U$601,$T$2:$T$601,"Open")),"0%")&amp;" of open pipeline in one deal","")&amp;IF(AH324&gt;0,"; Large deal at an early stage","")&amp;IF(AI324&gt;0,"; No amount in Zoho","")&amp;IF(AJ324&gt;0,"; Won, invoice month passed, not fully invoiced","")&amp;IF(AK324&gt;0,"; Xero invoiced more than the deal value",""),3,300)</f>
        <v/>
      </c>
    </row>
    <row r="325">
      <c r="T325" s="9">
        <f>IFERROR(INDEX($A325:$R325,MATCH("Status",$A$1:$R$1,0)),"")&amp;""</f>
        <v/>
      </c>
      <c r="U325" s="52">
        <f>IFERROR(N(IFERROR(INDEX($A325:$R325,MATCH("Value Ex GST",$A$1:$R$1,0)),"")),0)</f>
        <v/>
      </c>
      <c r="V325" s="54">
        <f>IF(AND(T325&lt;&gt;"",IFERROR(INDEX($A325:$R325,MATCH("Value Ex GST",$A$1:$R$1,0)),"")&amp;""&lt;&gt;""),1,0)</f>
        <v/>
      </c>
      <c r="W325" s="56">
        <f>IFERROR(N(IFERROR(INDEX($A325:$R325,MATCH("Probability",$A$1:$R$1,0)),"")),0)</f>
        <v/>
      </c>
      <c r="X325" s="52">
        <f>IF(T325="Open",U325*W325,0)</f>
        <v/>
      </c>
      <c r="Y325" s="52">
        <f>IF(T325="Won",IFERROR(N(IFERROR(INDEX($A325:$R325,MATCH("Still to Invoice",$A$1:$R$1,0)),"")),0),0)</f>
        <v/>
      </c>
      <c r="Z325" s="55">
        <f>IFERROR(EOMONTH(IFERROR(INDEX($A325:$R325,MATCH("Expected Invoice Month",$A$1:$R$1,0)),""),0),"")</f>
        <v/>
      </c>
      <c r="AA325" s="9">
        <f>IFERROR(INDEX($A325:$R325,MATCH("Cost Centre",$A$1:$R$1,0)),"")&amp;""</f>
        <v/>
      </c>
      <c r="AB325" s="9">
        <f>IFERROR(INDEX($A325:$R325,MATCH("Pipeline Stage",$A$1:$R$1,0)),"")&amp;""</f>
        <v/>
      </c>
      <c r="AC325" s="9">
        <f>IFERROR(INDEX($A325:$R325,MATCH("Client",$A$1:$R$1,0)),"")&amp;""</f>
        <v/>
      </c>
      <c r="AD325" s="9">
        <f>IFERROR(INDEX($A325:$R325,MATCH("Description",$A$1:$R$1,0)),"")&amp;""</f>
        <v/>
      </c>
      <c r="AE325" s="9">
        <f>IFERROR(INDEX($A325:$R325,MATCH("Job Number",$A$1:$R$1,0)),"")&amp;""</f>
        <v/>
      </c>
      <c r="AF325" s="54">
        <f>IF(AND(T325="Open",ISNUMBER(Z325),Z325&lt;EOMONTH(set_AsAt,-1)+1),3,0)</f>
        <v/>
      </c>
      <c r="AG325" s="54">
        <f>IF(AND(T325="Open",U325&gt;0,U325&gt;=set_DealShare*SUMIFS($U$2:$U$601,$T$2:$T$601,"Open")),3,0)</f>
        <v/>
      </c>
      <c r="AH325" s="54">
        <f>IF(AND(T325="Open",U325&gt;=set_BigValue,W325&lt;=set_EarlyProb),2,0)</f>
        <v/>
      </c>
      <c r="AI325" s="54">
        <f>IF(AND(OR(T325="Open",T325="Won"),V325=0),2,0)</f>
        <v/>
      </c>
      <c r="AJ325" s="54">
        <f>IF(AND(T325="Won",Y325&gt;0.5,ISNUMBER(Z325),Z325&lt;EOMONTH(set_AsAt,-1)+1),3,0)</f>
        <v/>
      </c>
      <c r="AK325" s="54">
        <f>IF(AND(T325="Won",Y325&lt;-1),1,0)</f>
        <v/>
      </c>
      <c r="AL325" s="54">
        <f>SUM(AF325:AK325)</f>
        <v/>
      </c>
      <c r="AM325" s="9">
        <f>IF(AL325&gt;=set_ScoreHigh,"High",IF(AL325&gt;=set_ScoreMed,"Medium",IF(AL325&gt;0,"Low","OK")))</f>
        <v/>
      </c>
      <c r="AN325" s="54">
        <f>IF(OR(T325="Open",AND(T325="Won",ABS(Y325)&gt;0.5)),1,0)</f>
        <v/>
      </c>
      <c r="AO325" s="52">
        <f>IF(T325="Open",IF(V325=0,0,X325),IF(T325="Won",MAX(0,Y325),0))</f>
        <v/>
      </c>
      <c r="AP325" s="54">
        <f>IF(AN325=1,AL325*1E+9+U325+ROW()/1E+6,"")</f>
        <v/>
      </c>
      <c r="AQ325" s="9">
        <f>MID(IF(AF325&gt;0,"; Expected month passed - update Zoho","")&amp;IF(AG325&gt;0,"; "&amp;TEXT(U325/MAX(1,SUMIFS($U$2:$U$601,$T$2:$T$601,"Open")),"0%")&amp;" of open pipeline in one deal","")&amp;IF(AH325&gt;0,"; Large deal at an early stage","")&amp;IF(AI325&gt;0,"; No amount in Zoho","")&amp;IF(AJ325&gt;0,"; Won, invoice month passed, not fully invoiced","")&amp;IF(AK325&gt;0,"; Xero invoiced more than the deal value",""),3,300)</f>
        <v/>
      </c>
    </row>
    <row r="326">
      <c r="T326" s="9">
        <f>IFERROR(INDEX($A326:$R326,MATCH("Status",$A$1:$R$1,0)),"")&amp;""</f>
        <v/>
      </c>
      <c r="U326" s="52">
        <f>IFERROR(N(IFERROR(INDEX($A326:$R326,MATCH("Value Ex GST",$A$1:$R$1,0)),"")),0)</f>
        <v/>
      </c>
      <c r="V326" s="54">
        <f>IF(AND(T326&lt;&gt;"",IFERROR(INDEX($A326:$R326,MATCH("Value Ex GST",$A$1:$R$1,0)),"")&amp;""&lt;&gt;""),1,0)</f>
        <v/>
      </c>
      <c r="W326" s="56">
        <f>IFERROR(N(IFERROR(INDEX($A326:$R326,MATCH("Probability",$A$1:$R$1,0)),"")),0)</f>
        <v/>
      </c>
      <c r="X326" s="52">
        <f>IF(T326="Open",U326*W326,0)</f>
        <v/>
      </c>
      <c r="Y326" s="52">
        <f>IF(T326="Won",IFERROR(N(IFERROR(INDEX($A326:$R326,MATCH("Still to Invoice",$A$1:$R$1,0)),"")),0),0)</f>
        <v/>
      </c>
      <c r="Z326" s="55">
        <f>IFERROR(EOMONTH(IFERROR(INDEX($A326:$R326,MATCH("Expected Invoice Month",$A$1:$R$1,0)),""),0),"")</f>
        <v/>
      </c>
      <c r="AA326" s="9">
        <f>IFERROR(INDEX($A326:$R326,MATCH("Cost Centre",$A$1:$R$1,0)),"")&amp;""</f>
        <v/>
      </c>
      <c r="AB326" s="9">
        <f>IFERROR(INDEX($A326:$R326,MATCH("Pipeline Stage",$A$1:$R$1,0)),"")&amp;""</f>
        <v/>
      </c>
      <c r="AC326" s="9">
        <f>IFERROR(INDEX($A326:$R326,MATCH("Client",$A$1:$R$1,0)),"")&amp;""</f>
        <v/>
      </c>
      <c r="AD326" s="9">
        <f>IFERROR(INDEX($A326:$R326,MATCH("Description",$A$1:$R$1,0)),"")&amp;""</f>
        <v/>
      </c>
      <c r="AE326" s="9">
        <f>IFERROR(INDEX($A326:$R326,MATCH("Job Number",$A$1:$R$1,0)),"")&amp;""</f>
        <v/>
      </c>
      <c r="AF326" s="54">
        <f>IF(AND(T326="Open",ISNUMBER(Z326),Z326&lt;EOMONTH(set_AsAt,-1)+1),3,0)</f>
        <v/>
      </c>
      <c r="AG326" s="54">
        <f>IF(AND(T326="Open",U326&gt;0,U326&gt;=set_DealShare*SUMIFS($U$2:$U$601,$T$2:$T$601,"Open")),3,0)</f>
        <v/>
      </c>
      <c r="AH326" s="54">
        <f>IF(AND(T326="Open",U326&gt;=set_BigValue,W326&lt;=set_EarlyProb),2,0)</f>
        <v/>
      </c>
      <c r="AI326" s="54">
        <f>IF(AND(OR(T326="Open",T326="Won"),V326=0),2,0)</f>
        <v/>
      </c>
      <c r="AJ326" s="54">
        <f>IF(AND(T326="Won",Y326&gt;0.5,ISNUMBER(Z326),Z326&lt;EOMONTH(set_AsAt,-1)+1),3,0)</f>
        <v/>
      </c>
      <c r="AK326" s="54">
        <f>IF(AND(T326="Won",Y326&lt;-1),1,0)</f>
        <v/>
      </c>
      <c r="AL326" s="54">
        <f>SUM(AF326:AK326)</f>
        <v/>
      </c>
      <c r="AM326" s="9">
        <f>IF(AL326&gt;=set_ScoreHigh,"High",IF(AL326&gt;=set_ScoreMed,"Medium",IF(AL326&gt;0,"Low","OK")))</f>
        <v/>
      </c>
      <c r="AN326" s="54">
        <f>IF(OR(T326="Open",AND(T326="Won",ABS(Y326)&gt;0.5)),1,0)</f>
        <v/>
      </c>
      <c r="AO326" s="52">
        <f>IF(T326="Open",IF(V326=0,0,X326),IF(T326="Won",MAX(0,Y326),0))</f>
        <v/>
      </c>
      <c r="AP326" s="54">
        <f>IF(AN326=1,AL326*1E+9+U326+ROW()/1E+6,"")</f>
        <v/>
      </c>
      <c r="AQ326" s="9">
        <f>MID(IF(AF326&gt;0,"; Expected month passed - update Zoho","")&amp;IF(AG326&gt;0,"; "&amp;TEXT(U326/MAX(1,SUMIFS($U$2:$U$601,$T$2:$T$601,"Open")),"0%")&amp;" of open pipeline in one deal","")&amp;IF(AH326&gt;0,"; Large deal at an early stage","")&amp;IF(AI326&gt;0,"; No amount in Zoho","")&amp;IF(AJ326&gt;0,"; Won, invoice month passed, not fully invoiced","")&amp;IF(AK326&gt;0,"; Xero invoiced more than the deal value",""),3,300)</f>
        <v/>
      </c>
    </row>
    <row r="327">
      <c r="T327" s="9">
        <f>IFERROR(INDEX($A327:$R327,MATCH("Status",$A$1:$R$1,0)),"")&amp;""</f>
        <v/>
      </c>
      <c r="U327" s="52">
        <f>IFERROR(N(IFERROR(INDEX($A327:$R327,MATCH("Value Ex GST",$A$1:$R$1,0)),"")),0)</f>
        <v/>
      </c>
      <c r="V327" s="54">
        <f>IF(AND(T327&lt;&gt;"",IFERROR(INDEX($A327:$R327,MATCH("Value Ex GST",$A$1:$R$1,0)),"")&amp;""&lt;&gt;""),1,0)</f>
        <v/>
      </c>
      <c r="W327" s="56">
        <f>IFERROR(N(IFERROR(INDEX($A327:$R327,MATCH("Probability",$A$1:$R$1,0)),"")),0)</f>
        <v/>
      </c>
      <c r="X327" s="52">
        <f>IF(T327="Open",U327*W327,0)</f>
        <v/>
      </c>
      <c r="Y327" s="52">
        <f>IF(T327="Won",IFERROR(N(IFERROR(INDEX($A327:$R327,MATCH("Still to Invoice",$A$1:$R$1,0)),"")),0),0)</f>
        <v/>
      </c>
      <c r="Z327" s="55">
        <f>IFERROR(EOMONTH(IFERROR(INDEX($A327:$R327,MATCH("Expected Invoice Month",$A$1:$R$1,0)),""),0),"")</f>
        <v/>
      </c>
      <c r="AA327" s="9">
        <f>IFERROR(INDEX($A327:$R327,MATCH("Cost Centre",$A$1:$R$1,0)),"")&amp;""</f>
        <v/>
      </c>
      <c r="AB327" s="9">
        <f>IFERROR(INDEX($A327:$R327,MATCH("Pipeline Stage",$A$1:$R$1,0)),"")&amp;""</f>
        <v/>
      </c>
      <c r="AC327" s="9">
        <f>IFERROR(INDEX($A327:$R327,MATCH("Client",$A$1:$R$1,0)),"")&amp;""</f>
        <v/>
      </c>
      <c r="AD327" s="9">
        <f>IFERROR(INDEX($A327:$R327,MATCH("Description",$A$1:$R$1,0)),"")&amp;""</f>
        <v/>
      </c>
      <c r="AE327" s="9">
        <f>IFERROR(INDEX($A327:$R327,MATCH("Job Number",$A$1:$R$1,0)),"")&amp;""</f>
        <v/>
      </c>
      <c r="AF327" s="54">
        <f>IF(AND(T327="Open",ISNUMBER(Z327),Z327&lt;EOMONTH(set_AsAt,-1)+1),3,0)</f>
        <v/>
      </c>
      <c r="AG327" s="54">
        <f>IF(AND(T327="Open",U327&gt;0,U327&gt;=set_DealShare*SUMIFS($U$2:$U$601,$T$2:$T$601,"Open")),3,0)</f>
        <v/>
      </c>
      <c r="AH327" s="54">
        <f>IF(AND(T327="Open",U327&gt;=set_BigValue,W327&lt;=set_EarlyProb),2,0)</f>
        <v/>
      </c>
      <c r="AI327" s="54">
        <f>IF(AND(OR(T327="Open",T327="Won"),V327=0),2,0)</f>
        <v/>
      </c>
      <c r="AJ327" s="54">
        <f>IF(AND(T327="Won",Y327&gt;0.5,ISNUMBER(Z327),Z327&lt;EOMONTH(set_AsAt,-1)+1),3,0)</f>
        <v/>
      </c>
      <c r="AK327" s="54">
        <f>IF(AND(T327="Won",Y327&lt;-1),1,0)</f>
        <v/>
      </c>
      <c r="AL327" s="54">
        <f>SUM(AF327:AK327)</f>
        <v/>
      </c>
      <c r="AM327" s="9">
        <f>IF(AL327&gt;=set_ScoreHigh,"High",IF(AL327&gt;=set_ScoreMed,"Medium",IF(AL327&gt;0,"Low","OK")))</f>
        <v/>
      </c>
      <c r="AN327" s="54">
        <f>IF(OR(T327="Open",AND(T327="Won",ABS(Y327)&gt;0.5)),1,0)</f>
        <v/>
      </c>
      <c r="AO327" s="52">
        <f>IF(T327="Open",IF(V327=0,0,X327),IF(T327="Won",MAX(0,Y327),0))</f>
        <v/>
      </c>
      <c r="AP327" s="54">
        <f>IF(AN327=1,AL327*1E+9+U327+ROW()/1E+6,"")</f>
        <v/>
      </c>
      <c r="AQ327" s="9">
        <f>MID(IF(AF327&gt;0,"; Expected month passed - update Zoho","")&amp;IF(AG327&gt;0,"; "&amp;TEXT(U327/MAX(1,SUMIFS($U$2:$U$601,$T$2:$T$601,"Open")),"0%")&amp;" of open pipeline in one deal","")&amp;IF(AH327&gt;0,"; Large deal at an early stage","")&amp;IF(AI327&gt;0,"; No amount in Zoho","")&amp;IF(AJ327&gt;0,"; Won, invoice month passed, not fully invoiced","")&amp;IF(AK327&gt;0,"; Xero invoiced more than the deal value",""),3,300)</f>
        <v/>
      </c>
    </row>
    <row r="328">
      <c r="T328" s="9">
        <f>IFERROR(INDEX($A328:$R328,MATCH("Status",$A$1:$R$1,0)),"")&amp;""</f>
        <v/>
      </c>
      <c r="U328" s="52">
        <f>IFERROR(N(IFERROR(INDEX($A328:$R328,MATCH("Value Ex GST",$A$1:$R$1,0)),"")),0)</f>
        <v/>
      </c>
      <c r="V328" s="54">
        <f>IF(AND(T328&lt;&gt;"",IFERROR(INDEX($A328:$R328,MATCH("Value Ex GST",$A$1:$R$1,0)),"")&amp;""&lt;&gt;""),1,0)</f>
        <v/>
      </c>
      <c r="W328" s="56">
        <f>IFERROR(N(IFERROR(INDEX($A328:$R328,MATCH("Probability",$A$1:$R$1,0)),"")),0)</f>
        <v/>
      </c>
      <c r="X328" s="52">
        <f>IF(T328="Open",U328*W328,0)</f>
        <v/>
      </c>
      <c r="Y328" s="52">
        <f>IF(T328="Won",IFERROR(N(IFERROR(INDEX($A328:$R328,MATCH("Still to Invoice",$A$1:$R$1,0)),"")),0),0)</f>
        <v/>
      </c>
      <c r="Z328" s="55">
        <f>IFERROR(EOMONTH(IFERROR(INDEX($A328:$R328,MATCH("Expected Invoice Month",$A$1:$R$1,0)),""),0),"")</f>
        <v/>
      </c>
      <c r="AA328" s="9">
        <f>IFERROR(INDEX($A328:$R328,MATCH("Cost Centre",$A$1:$R$1,0)),"")&amp;""</f>
        <v/>
      </c>
      <c r="AB328" s="9">
        <f>IFERROR(INDEX($A328:$R328,MATCH("Pipeline Stage",$A$1:$R$1,0)),"")&amp;""</f>
        <v/>
      </c>
      <c r="AC328" s="9">
        <f>IFERROR(INDEX($A328:$R328,MATCH("Client",$A$1:$R$1,0)),"")&amp;""</f>
        <v/>
      </c>
      <c r="AD328" s="9">
        <f>IFERROR(INDEX($A328:$R328,MATCH("Description",$A$1:$R$1,0)),"")&amp;""</f>
        <v/>
      </c>
      <c r="AE328" s="9">
        <f>IFERROR(INDEX($A328:$R328,MATCH("Job Number",$A$1:$R$1,0)),"")&amp;""</f>
        <v/>
      </c>
      <c r="AF328" s="54">
        <f>IF(AND(T328="Open",ISNUMBER(Z328),Z328&lt;EOMONTH(set_AsAt,-1)+1),3,0)</f>
        <v/>
      </c>
      <c r="AG328" s="54">
        <f>IF(AND(T328="Open",U328&gt;0,U328&gt;=set_DealShare*SUMIFS($U$2:$U$601,$T$2:$T$601,"Open")),3,0)</f>
        <v/>
      </c>
      <c r="AH328" s="54">
        <f>IF(AND(T328="Open",U328&gt;=set_BigValue,W328&lt;=set_EarlyProb),2,0)</f>
        <v/>
      </c>
      <c r="AI328" s="54">
        <f>IF(AND(OR(T328="Open",T328="Won"),V328=0),2,0)</f>
        <v/>
      </c>
      <c r="AJ328" s="54">
        <f>IF(AND(T328="Won",Y328&gt;0.5,ISNUMBER(Z328),Z328&lt;EOMONTH(set_AsAt,-1)+1),3,0)</f>
        <v/>
      </c>
      <c r="AK328" s="54">
        <f>IF(AND(T328="Won",Y328&lt;-1),1,0)</f>
        <v/>
      </c>
      <c r="AL328" s="54">
        <f>SUM(AF328:AK328)</f>
        <v/>
      </c>
      <c r="AM328" s="9">
        <f>IF(AL328&gt;=set_ScoreHigh,"High",IF(AL328&gt;=set_ScoreMed,"Medium",IF(AL328&gt;0,"Low","OK")))</f>
        <v/>
      </c>
      <c r="AN328" s="54">
        <f>IF(OR(T328="Open",AND(T328="Won",ABS(Y328)&gt;0.5)),1,0)</f>
        <v/>
      </c>
      <c r="AO328" s="52">
        <f>IF(T328="Open",IF(V328=0,0,X328),IF(T328="Won",MAX(0,Y328),0))</f>
        <v/>
      </c>
      <c r="AP328" s="54">
        <f>IF(AN328=1,AL328*1E+9+U328+ROW()/1E+6,"")</f>
        <v/>
      </c>
      <c r="AQ328" s="9">
        <f>MID(IF(AF328&gt;0,"; Expected month passed - update Zoho","")&amp;IF(AG328&gt;0,"; "&amp;TEXT(U328/MAX(1,SUMIFS($U$2:$U$601,$T$2:$T$601,"Open")),"0%")&amp;" of open pipeline in one deal","")&amp;IF(AH328&gt;0,"; Large deal at an early stage","")&amp;IF(AI328&gt;0,"; No amount in Zoho","")&amp;IF(AJ328&gt;0,"; Won, invoice month passed, not fully invoiced","")&amp;IF(AK328&gt;0,"; Xero invoiced more than the deal value",""),3,300)</f>
        <v/>
      </c>
    </row>
    <row r="329">
      <c r="T329" s="9">
        <f>IFERROR(INDEX($A329:$R329,MATCH("Status",$A$1:$R$1,0)),"")&amp;""</f>
        <v/>
      </c>
      <c r="U329" s="52">
        <f>IFERROR(N(IFERROR(INDEX($A329:$R329,MATCH("Value Ex GST",$A$1:$R$1,0)),"")),0)</f>
        <v/>
      </c>
      <c r="V329" s="54">
        <f>IF(AND(T329&lt;&gt;"",IFERROR(INDEX($A329:$R329,MATCH("Value Ex GST",$A$1:$R$1,0)),"")&amp;""&lt;&gt;""),1,0)</f>
        <v/>
      </c>
      <c r="W329" s="56">
        <f>IFERROR(N(IFERROR(INDEX($A329:$R329,MATCH("Probability",$A$1:$R$1,0)),"")),0)</f>
        <v/>
      </c>
      <c r="X329" s="52">
        <f>IF(T329="Open",U329*W329,0)</f>
        <v/>
      </c>
      <c r="Y329" s="52">
        <f>IF(T329="Won",IFERROR(N(IFERROR(INDEX($A329:$R329,MATCH("Still to Invoice",$A$1:$R$1,0)),"")),0),0)</f>
        <v/>
      </c>
      <c r="Z329" s="55">
        <f>IFERROR(EOMONTH(IFERROR(INDEX($A329:$R329,MATCH("Expected Invoice Month",$A$1:$R$1,0)),""),0),"")</f>
        <v/>
      </c>
      <c r="AA329" s="9">
        <f>IFERROR(INDEX($A329:$R329,MATCH("Cost Centre",$A$1:$R$1,0)),"")&amp;""</f>
        <v/>
      </c>
      <c r="AB329" s="9">
        <f>IFERROR(INDEX($A329:$R329,MATCH("Pipeline Stage",$A$1:$R$1,0)),"")&amp;""</f>
        <v/>
      </c>
      <c r="AC329" s="9">
        <f>IFERROR(INDEX($A329:$R329,MATCH("Client",$A$1:$R$1,0)),"")&amp;""</f>
        <v/>
      </c>
      <c r="AD329" s="9">
        <f>IFERROR(INDEX($A329:$R329,MATCH("Description",$A$1:$R$1,0)),"")&amp;""</f>
        <v/>
      </c>
      <c r="AE329" s="9">
        <f>IFERROR(INDEX($A329:$R329,MATCH("Job Number",$A$1:$R$1,0)),"")&amp;""</f>
        <v/>
      </c>
      <c r="AF329" s="54">
        <f>IF(AND(T329="Open",ISNUMBER(Z329),Z329&lt;EOMONTH(set_AsAt,-1)+1),3,0)</f>
        <v/>
      </c>
      <c r="AG329" s="54">
        <f>IF(AND(T329="Open",U329&gt;0,U329&gt;=set_DealShare*SUMIFS($U$2:$U$601,$T$2:$T$601,"Open")),3,0)</f>
        <v/>
      </c>
      <c r="AH329" s="54">
        <f>IF(AND(T329="Open",U329&gt;=set_BigValue,W329&lt;=set_EarlyProb),2,0)</f>
        <v/>
      </c>
      <c r="AI329" s="54">
        <f>IF(AND(OR(T329="Open",T329="Won"),V329=0),2,0)</f>
        <v/>
      </c>
      <c r="AJ329" s="54">
        <f>IF(AND(T329="Won",Y329&gt;0.5,ISNUMBER(Z329),Z329&lt;EOMONTH(set_AsAt,-1)+1),3,0)</f>
        <v/>
      </c>
      <c r="AK329" s="54">
        <f>IF(AND(T329="Won",Y329&lt;-1),1,0)</f>
        <v/>
      </c>
      <c r="AL329" s="54">
        <f>SUM(AF329:AK329)</f>
        <v/>
      </c>
      <c r="AM329" s="9">
        <f>IF(AL329&gt;=set_ScoreHigh,"High",IF(AL329&gt;=set_ScoreMed,"Medium",IF(AL329&gt;0,"Low","OK")))</f>
        <v/>
      </c>
      <c r="AN329" s="54">
        <f>IF(OR(T329="Open",AND(T329="Won",ABS(Y329)&gt;0.5)),1,0)</f>
        <v/>
      </c>
      <c r="AO329" s="52">
        <f>IF(T329="Open",IF(V329=0,0,X329),IF(T329="Won",MAX(0,Y329),0))</f>
        <v/>
      </c>
      <c r="AP329" s="54">
        <f>IF(AN329=1,AL329*1E+9+U329+ROW()/1E+6,"")</f>
        <v/>
      </c>
      <c r="AQ329" s="9">
        <f>MID(IF(AF329&gt;0,"; Expected month passed - update Zoho","")&amp;IF(AG329&gt;0,"; "&amp;TEXT(U329/MAX(1,SUMIFS($U$2:$U$601,$T$2:$T$601,"Open")),"0%")&amp;" of open pipeline in one deal","")&amp;IF(AH329&gt;0,"; Large deal at an early stage","")&amp;IF(AI329&gt;0,"; No amount in Zoho","")&amp;IF(AJ329&gt;0,"; Won, invoice month passed, not fully invoiced","")&amp;IF(AK329&gt;0,"; Xero invoiced more than the deal value",""),3,300)</f>
        <v/>
      </c>
    </row>
    <row r="330">
      <c r="T330" s="9">
        <f>IFERROR(INDEX($A330:$R330,MATCH("Status",$A$1:$R$1,0)),"")&amp;""</f>
        <v/>
      </c>
      <c r="U330" s="52">
        <f>IFERROR(N(IFERROR(INDEX($A330:$R330,MATCH("Value Ex GST",$A$1:$R$1,0)),"")),0)</f>
        <v/>
      </c>
      <c r="V330" s="54">
        <f>IF(AND(T330&lt;&gt;"",IFERROR(INDEX($A330:$R330,MATCH("Value Ex GST",$A$1:$R$1,0)),"")&amp;""&lt;&gt;""),1,0)</f>
        <v/>
      </c>
      <c r="W330" s="56">
        <f>IFERROR(N(IFERROR(INDEX($A330:$R330,MATCH("Probability",$A$1:$R$1,0)),"")),0)</f>
        <v/>
      </c>
      <c r="X330" s="52">
        <f>IF(T330="Open",U330*W330,0)</f>
        <v/>
      </c>
      <c r="Y330" s="52">
        <f>IF(T330="Won",IFERROR(N(IFERROR(INDEX($A330:$R330,MATCH("Still to Invoice",$A$1:$R$1,0)),"")),0),0)</f>
        <v/>
      </c>
      <c r="Z330" s="55">
        <f>IFERROR(EOMONTH(IFERROR(INDEX($A330:$R330,MATCH("Expected Invoice Month",$A$1:$R$1,0)),""),0),"")</f>
        <v/>
      </c>
      <c r="AA330" s="9">
        <f>IFERROR(INDEX($A330:$R330,MATCH("Cost Centre",$A$1:$R$1,0)),"")&amp;""</f>
        <v/>
      </c>
      <c r="AB330" s="9">
        <f>IFERROR(INDEX($A330:$R330,MATCH("Pipeline Stage",$A$1:$R$1,0)),"")&amp;""</f>
        <v/>
      </c>
      <c r="AC330" s="9">
        <f>IFERROR(INDEX($A330:$R330,MATCH("Client",$A$1:$R$1,0)),"")&amp;""</f>
        <v/>
      </c>
      <c r="AD330" s="9">
        <f>IFERROR(INDEX($A330:$R330,MATCH("Description",$A$1:$R$1,0)),"")&amp;""</f>
        <v/>
      </c>
      <c r="AE330" s="9">
        <f>IFERROR(INDEX($A330:$R330,MATCH("Job Number",$A$1:$R$1,0)),"")&amp;""</f>
        <v/>
      </c>
      <c r="AF330" s="54">
        <f>IF(AND(T330="Open",ISNUMBER(Z330),Z330&lt;EOMONTH(set_AsAt,-1)+1),3,0)</f>
        <v/>
      </c>
      <c r="AG330" s="54">
        <f>IF(AND(T330="Open",U330&gt;0,U330&gt;=set_DealShare*SUMIFS($U$2:$U$601,$T$2:$T$601,"Open")),3,0)</f>
        <v/>
      </c>
      <c r="AH330" s="54">
        <f>IF(AND(T330="Open",U330&gt;=set_BigValue,W330&lt;=set_EarlyProb),2,0)</f>
        <v/>
      </c>
      <c r="AI330" s="54">
        <f>IF(AND(OR(T330="Open",T330="Won"),V330=0),2,0)</f>
        <v/>
      </c>
      <c r="AJ330" s="54">
        <f>IF(AND(T330="Won",Y330&gt;0.5,ISNUMBER(Z330),Z330&lt;EOMONTH(set_AsAt,-1)+1),3,0)</f>
        <v/>
      </c>
      <c r="AK330" s="54">
        <f>IF(AND(T330="Won",Y330&lt;-1),1,0)</f>
        <v/>
      </c>
      <c r="AL330" s="54">
        <f>SUM(AF330:AK330)</f>
        <v/>
      </c>
      <c r="AM330" s="9">
        <f>IF(AL330&gt;=set_ScoreHigh,"High",IF(AL330&gt;=set_ScoreMed,"Medium",IF(AL330&gt;0,"Low","OK")))</f>
        <v/>
      </c>
      <c r="AN330" s="54">
        <f>IF(OR(T330="Open",AND(T330="Won",ABS(Y330)&gt;0.5)),1,0)</f>
        <v/>
      </c>
      <c r="AO330" s="52">
        <f>IF(T330="Open",IF(V330=0,0,X330),IF(T330="Won",MAX(0,Y330),0))</f>
        <v/>
      </c>
      <c r="AP330" s="54">
        <f>IF(AN330=1,AL330*1E+9+U330+ROW()/1E+6,"")</f>
        <v/>
      </c>
      <c r="AQ330" s="9">
        <f>MID(IF(AF330&gt;0,"; Expected month passed - update Zoho","")&amp;IF(AG330&gt;0,"; "&amp;TEXT(U330/MAX(1,SUMIFS($U$2:$U$601,$T$2:$T$601,"Open")),"0%")&amp;" of open pipeline in one deal","")&amp;IF(AH330&gt;0,"; Large deal at an early stage","")&amp;IF(AI330&gt;0,"; No amount in Zoho","")&amp;IF(AJ330&gt;0,"; Won, invoice month passed, not fully invoiced","")&amp;IF(AK330&gt;0,"; Xero invoiced more than the deal value",""),3,300)</f>
        <v/>
      </c>
    </row>
    <row r="331">
      <c r="T331" s="9">
        <f>IFERROR(INDEX($A331:$R331,MATCH("Status",$A$1:$R$1,0)),"")&amp;""</f>
        <v/>
      </c>
      <c r="U331" s="52">
        <f>IFERROR(N(IFERROR(INDEX($A331:$R331,MATCH("Value Ex GST",$A$1:$R$1,0)),"")),0)</f>
        <v/>
      </c>
      <c r="V331" s="54">
        <f>IF(AND(T331&lt;&gt;"",IFERROR(INDEX($A331:$R331,MATCH("Value Ex GST",$A$1:$R$1,0)),"")&amp;""&lt;&gt;""),1,0)</f>
        <v/>
      </c>
      <c r="W331" s="56">
        <f>IFERROR(N(IFERROR(INDEX($A331:$R331,MATCH("Probability",$A$1:$R$1,0)),"")),0)</f>
        <v/>
      </c>
      <c r="X331" s="52">
        <f>IF(T331="Open",U331*W331,0)</f>
        <v/>
      </c>
      <c r="Y331" s="52">
        <f>IF(T331="Won",IFERROR(N(IFERROR(INDEX($A331:$R331,MATCH("Still to Invoice",$A$1:$R$1,0)),"")),0),0)</f>
        <v/>
      </c>
      <c r="Z331" s="55">
        <f>IFERROR(EOMONTH(IFERROR(INDEX($A331:$R331,MATCH("Expected Invoice Month",$A$1:$R$1,0)),""),0),"")</f>
        <v/>
      </c>
      <c r="AA331" s="9">
        <f>IFERROR(INDEX($A331:$R331,MATCH("Cost Centre",$A$1:$R$1,0)),"")&amp;""</f>
        <v/>
      </c>
      <c r="AB331" s="9">
        <f>IFERROR(INDEX($A331:$R331,MATCH("Pipeline Stage",$A$1:$R$1,0)),"")&amp;""</f>
        <v/>
      </c>
      <c r="AC331" s="9">
        <f>IFERROR(INDEX($A331:$R331,MATCH("Client",$A$1:$R$1,0)),"")&amp;""</f>
        <v/>
      </c>
      <c r="AD331" s="9">
        <f>IFERROR(INDEX($A331:$R331,MATCH("Description",$A$1:$R$1,0)),"")&amp;""</f>
        <v/>
      </c>
      <c r="AE331" s="9">
        <f>IFERROR(INDEX($A331:$R331,MATCH("Job Number",$A$1:$R$1,0)),"")&amp;""</f>
        <v/>
      </c>
      <c r="AF331" s="54">
        <f>IF(AND(T331="Open",ISNUMBER(Z331),Z331&lt;EOMONTH(set_AsAt,-1)+1),3,0)</f>
        <v/>
      </c>
      <c r="AG331" s="54">
        <f>IF(AND(T331="Open",U331&gt;0,U331&gt;=set_DealShare*SUMIFS($U$2:$U$601,$T$2:$T$601,"Open")),3,0)</f>
        <v/>
      </c>
      <c r="AH331" s="54">
        <f>IF(AND(T331="Open",U331&gt;=set_BigValue,W331&lt;=set_EarlyProb),2,0)</f>
        <v/>
      </c>
      <c r="AI331" s="54">
        <f>IF(AND(OR(T331="Open",T331="Won"),V331=0),2,0)</f>
        <v/>
      </c>
      <c r="AJ331" s="54">
        <f>IF(AND(T331="Won",Y331&gt;0.5,ISNUMBER(Z331),Z331&lt;EOMONTH(set_AsAt,-1)+1),3,0)</f>
        <v/>
      </c>
      <c r="AK331" s="54">
        <f>IF(AND(T331="Won",Y331&lt;-1),1,0)</f>
        <v/>
      </c>
      <c r="AL331" s="54">
        <f>SUM(AF331:AK331)</f>
        <v/>
      </c>
      <c r="AM331" s="9">
        <f>IF(AL331&gt;=set_ScoreHigh,"High",IF(AL331&gt;=set_ScoreMed,"Medium",IF(AL331&gt;0,"Low","OK")))</f>
        <v/>
      </c>
      <c r="AN331" s="54">
        <f>IF(OR(T331="Open",AND(T331="Won",ABS(Y331)&gt;0.5)),1,0)</f>
        <v/>
      </c>
      <c r="AO331" s="52">
        <f>IF(T331="Open",IF(V331=0,0,X331),IF(T331="Won",MAX(0,Y331),0))</f>
        <v/>
      </c>
      <c r="AP331" s="54">
        <f>IF(AN331=1,AL331*1E+9+U331+ROW()/1E+6,"")</f>
        <v/>
      </c>
      <c r="AQ331" s="9">
        <f>MID(IF(AF331&gt;0,"; Expected month passed - update Zoho","")&amp;IF(AG331&gt;0,"; "&amp;TEXT(U331/MAX(1,SUMIFS($U$2:$U$601,$T$2:$T$601,"Open")),"0%")&amp;" of open pipeline in one deal","")&amp;IF(AH331&gt;0,"; Large deal at an early stage","")&amp;IF(AI331&gt;0,"; No amount in Zoho","")&amp;IF(AJ331&gt;0,"; Won, invoice month passed, not fully invoiced","")&amp;IF(AK331&gt;0,"; Xero invoiced more than the deal value",""),3,300)</f>
        <v/>
      </c>
    </row>
    <row r="332">
      <c r="T332" s="9">
        <f>IFERROR(INDEX($A332:$R332,MATCH("Status",$A$1:$R$1,0)),"")&amp;""</f>
        <v/>
      </c>
      <c r="U332" s="52">
        <f>IFERROR(N(IFERROR(INDEX($A332:$R332,MATCH("Value Ex GST",$A$1:$R$1,0)),"")),0)</f>
        <v/>
      </c>
      <c r="V332" s="54">
        <f>IF(AND(T332&lt;&gt;"",IFERROR(INDEX($A332:$R332,MATCH("Value Ex GST",$A$1:$R$1,0)),"")&amp;""&lt;&gt;""),1,0)</f>
        <v/>
      </c>
      <c r="W332" s="56">
        <f>IFERROR(N(IFERROR(INDEX($A332:$R332,MATCH("Probability",$A$1:$R$1,0)),"")),0)</f>
        <v/>
      </c>
      <c r="X332" s="52">
        <f>IF(T332="Open",U332*W332,0)</f>
        <v/>
      </c>
      <c r="Y332" s="52">
        <f>IF(T332="Won",IFERROR(N(IFERROR(INDEX($A332:$R332,MATCH("Still to Invoice",$A$1:$R$1,0)),"")),0),0)</f>
        <v/>
      </c>
      <c r="Z332" s="55">
        <f>IFERROR(EOMONTH(IFERROR(INDEX($A332:$R332,MATCH("Expected Invoice Month",$A$1:$R$1,0)),""),0),"")</f>
        <v/>
      </c>
      <c r="AA332" s="9">
        <f>IFERROR(INDEX($A332:$R332,MATCH("Cost Centre",$A$1:$R$1,0)),"")&amp;""</f>
        <v/>
      </c>
      <c r="AB332" s="9">
        <f>IFERROR(INDEX($A332:$R332,MATCH("Pipeline Stage",$A$1:$R$1,0)),"")&amp;""</f>
        <v/>
      </c>
      <c r="AC332" s="9">
        <f>IFERROR(INDEX($A332:$R332,MATCH("Client",$A$1:$R$1,0)),"")&amp;""</f>
        <v/>
      </c>
      <c r="AD332" s="9">
        <f>IFERROR(INDEX($A332:$R332,MATCH("Description",$A$1:$R$1,0)),"")&amp;""</f>
        <v/>
      </c>
      <c r="AE332" s="9">
        <f>IFERROR(INDEX($A332:$R332,MATCH("Job Number",$A$1:$R$1,0)),"")&amp;""</f>
        <v/>
      </c>
      <c r="AF332" s="54">
        <f>IF(AND(T332="Open",ISNUMBER(Z332),Z332&lt;EOMONTH(set_AsAt,-1)+1),3,0)</f>
        <v/>
      </c>
      <c r="AG332" s="54">
        <f>IF(AND(T332="Open",U332&gt;0,U332&gt;=set_DealShare*SUMIFS($U$2:$U$601,$T$2:$T$601,"Open")),3,0)</f>
        <v/>
      </c>
      <c r="AH332" s="54">
        <f>IF(AND(T332="Open",U332&gt;=set_BigValue,W332&lt;=set_EarlyProb),2,0)</f>
        <v/>
      </c>
      <c r="AI332" s="54">
        <f>IF(AND(OR(T332="Open",T332="Won"),V332=0),2,0)</f>
        <v/>
      </c>
      <c r="AJ332" s="54">
        <f>IF(AND(T332="Won",Y332&gt;0.5,ISNUMBER(Z332),Z332&lt;EOMONTH(set_AsAt,-1)+1),3,0)</f>
        <v/>
      </c>
      <c r="AK332" s="54">
        <f>IF(AND(T332="Won",Y332&lt;-1),1,0)</f>
        <v/>
      </c>
      <c r="AL332" s="54">
        <f>SUM(AF332:AK332)</f>
        <v/>
      </c>
      <c r="AM332" s="9">
        <f>IF(AL332&gt;=set_ScoreHigh,"High",IF(AL332&gt;=set_ScoreMed,"Medium",IF(AL332&gt;0,"Low","OK")))</f>
        <v/>
      </c>
      <c r="AN332" s="54">
        <f>IF(OR(T332="Open",AND(T332="Won",ABS(Y332)&gt;0.5)),1,0)</f>
        <v/>
      </c>
      <c r="AO332" s="52">
        <f>IF(T332="Open",IF(V332=0,0,X332),IF(T332="Won",MAX(0,Y332),0))</f>
        <v/>
      </c>
      <c r="AP332" s="54">
        <f>IF(AN332=1,AL332*1E+9+U332+ROW()/1E+6,"")</f>
        <v/>
      </c>
      <c r="AQ332" s="9">
        <f>MID(IF(AF332&gt;0,"; Expected month passed - update Zoho","")&amp;IF(AG332&gt;0,"; "&amp;TEXT(U332/MAX(1,SUMIFS($U$2:$U$601,$T$2:$T$601,"Open")),"0%")&amp;" of open pipeline in one deal","")&amp;IF(AH332&gt;0,"; Large deal at an early stage","")&amp;IF(AI332&gt;0,"; No amount in Zoho","")&amp;IF(AJ332&gt;0,"; Won, invoice month passed, not fully invoiced","")&amp;IF(AK332&gt;0,"; Xero invoiced more than the deal value",""),3,300)</f>
        <v/>
      </c>
    </row>
    <row r="333">
      <c r="T333" s="9">
        <f>IFERROR(INDEX($A333:$R333,MATCH("Status",$A$1:$R$1,0)),"")&amp;""</f>
        <v/>
      </c>
      <c r="U333" s="52">
        <f>IFERROR(N(IFERROR(INDEX($A333:$R333,MATCH("Value Ex GST",$A$1:$R$1,0)),"")),0)</f>
        <v/>
      </c>
      <c r="V333" s="54">
        <f>IF(AND(T333&lt;&gt;"",IFERROR(INDEX($A333:$R333,MATCH("Value Ex GST",$A$1:$R$1,0)),"")&amp;""&lt;&gt;""),1,0)</f>
        <v/>
      </c>
      <c r="W333" s="56">
        <f>IFERROR(N(IFERROR(INDEX($A333:$R333,MATCH("Probability",$A$1:$R$1,0)),"")),0)</f>
        <v/>
      </c>
      <c r="X333" s="52">
        <f>IF(T333="Open",U333*W333,0)</f>
        <v/>
      </c>
      <c r="Y333" s="52">
        <f>IF(T333="Won",IFERROR(N(IFERROR(INDEX($A333:$R333,MATCH("Still to Invoice",$A$1:$R$1,0)),"")),0),0)</f>
        <v/>
      </c>
      <c r="Z333" s="55">
        <f>IFERROR(EOMONTH(IFERROR(INDEX($A333:$R333,MATCH("Expected Invoice Month",$A$1:$R$1,0)),""),0),"")</f>
        <v/>
      </c>
      <c r="AA333" s="9">
        <f>IFERROR(INDEX($A333:$R333,MATCH("Cost Centre",$A$1:$R$1,0)),"")&amp;""</f>
        <v/>
      </c>
      <c r="AB333" s="9">
        <f>IFERROR(INDEX($A333:$R333,MATCH("Pipeline Stage",$A$1:$R$1,0)),"")&amp;""</f>
        <v/>
      </c>
      <c r="AC333" s="9">
        <f>IFERROR(INDEX($A333:$R333,MATCH("Client",$A$1:$R$1,0)),"")&amp;""</f>
        <v/>
      </c>
      <c r="AD333" s="9">
        <f>IFERROR(INDEX($A333:$R333,MATCH("Description",$A$1:$R$1,0)),"")&amp;""</f>
        <v/>
      </c>
      <c r="AE333" s="9">
        <f>IFERROR(INDEX($A333:$R333,MATCH("Job Number",$A$1:$R$1,0)),"")&amp;""</f>
        <v/>
      </c>
      <c r="AF333" s="54">
        <f>IF(AND(T333="Open",ISNUMBER(Z333),Z333&lt;EOMONTH(set_AsAt,-1)+1),3,0)</f>
        <v/>
      </c>
      <c r="AG333" s="54">
        <f>IF(AND(T333="Open",U333&gt;0,U333&gt;=set_DealShare*SUMIFS($U$2:$U$601,$T$2:$T$601,"Open")),3,0)</f>
        <v/>
      </c>
      <c r="AH333" s="54">
        <f>IF(AND(T333="Open",U333&gt;=set_BigValue,W333&lt;=set_EarlyProb),2,0)</f>
        <v/>
      </c>
      <c r="AI333" s="54">
        <f>IF(AND(OR(T333="Open",T333="Won"),V333=0),2,0)</f>
        <v/>
      </c>
      <c r="AJ333" s="54">
        <f>IF(AND(T333="Won",Y333&gt;0.5,ISNUMBER(Z333),Z333&lt;EOMONTH(set_AsAt,-1)+1),3,0)</f>
        <v/>
      </c>
      <c r="AK333" s="54">
        <f>IF(AND(T333="Won",Y333&lt;-1),1,0)</f>
        <v/>
      </c>
      <c r="AL333" s="54">
        <f>SUM(AF333:AK333)</f>
        <v/>
      </c>
      <c r="AM333" s="9">
        <f>IF(AL333&gt;=set_ScoreHigh,"High",IF(AL333&gt;=set_ScoreMed,"Medium",IF(AL333&gt;0,"Low","OK")))</f>
        <v/>
      </c>
      <c r="AN333" s="54">
        <f>IF(OR(T333="Open",AND(T333="Won",ABS(Y333)&gt;0.5)),1,0)</f>
        <v/>
      </c>
      <c r="AO333" s="52">
        <f>IF(T333="Open",IF(V333=0,0,X333),IF(T333="Won",MAX(0,Y333),0))</f>
        <v/>
      </c>
      <c r="AP333" s="54">
        <f>IF(AN333=1,AL333*1E+9+U333+ROW()/1E+6,"")</f>
        <v/>
      </c>
      <c r="AQ333" s="9">
        <f>MID(IF(AF333&gt;0,"; Expected month passed - update Zoho","")&amp;IF(AG333&gt;0,"; "&amp;TEXT(U333/MAX(1,SUMIFS($U$2:$U$601,$T$2:$T$601,"Open")),"0%")&amp;" of open pipeline in one deal","")&amp;IF(AH333&gt;0,"; Large deal at an early stage","")&amp;IF(AI333&gt;0,"; No amount in Zoho","")&amp;IF(AJ333&gt;0,"; Won, invoice month passed, not fully invoiced","")&amp;IF(AK333&gt;0,"; Xero invoiced more than the deal value",""),3,300)</f>
        <v/>
      </c>
    </row>
    <row r="334">
      <c r="T334" s="9">
        <f>IFERROR(INDEX($A334:$R334,MATCH("Status",$A$1:$R$1,0)),"")&amp;""</f>
        <v/>
      </c>
      <c r="U334" s="52">
        <f>IFERROR(N(IFERROR(INDEX($A334:$R334,MATCH("Value Ex GST",$A$1:$R$1,0)),"")),0)</f>
        <v/>
      </c>
      <c r="V334" s="54">
        <f>IF(AND(T334&lt;&gt;"",IFERROR(INDEX($A334:$R334,MATCH("Value Ex GST",$A$1:$R$1,0)),"")&amp;""&lt;&gt;""),1,0)</f>
        <v/>
      </c>
      <c r="W334" s="56">
        <f>IFERROR(N(IFERROR(INDEX($A334:$R334,MATCH("Probability",$A$1:$R$1,0)),"")),0)</f>
        <v/>
      </c>
      <c r="X334" s="52">
        <f>IF(T334="Open",U334*W334,0)</f>
        <v/>
      </c>
      <c r="Y334" s="52">
        <f>IF(T334="Won",IFERROR(N(IFERROR(INDEX($A334:$R334,MATCH("Still to Invoice",$A$1:$R$1,0)),"")),0),0)</f>
        <v/>
      </c>
      <c r="Z334" s="55">
        <f>IFERROR(EOMONTH(IFERROR(INDEX($A334:$R334,MATCH("Expected Invoice Month",$A$1:$R$1,0)),""),0),"")</f>
        <v/>
      </c>
      <c r="AA334" s="9">
        <f>IFERROR(INDEX($A334:$R334,MATCH("Cost Centre",$A$1:$R$1,0)),"")&amp;""</f>
        <v/>
      </c>
      <c r="AB334" s="9">
        <f>IFERROR(INDEX($A334:$R334,MATCH("Pipeline Stage",$A$1:$R$1,0)),"")&amp;""</f>
        <v/>
      </c>
      <c r="AC334" s="9">
        <f>IFERROR(INDEX($A334:$R334,MATCH("Client",$A$1:$R$1,0)),"")&amp;""</f>
        <v/>
      </c>
      <c r="AD334" s="9">
        <f>IFERROR(INDEX($A334:$R334,MATCH("Description",$A$1:$R$1,0)),"")&amp;""</f>
        <v/>
      </c>
      <c r="AE334" s="9">
        <f>IFERROR(INDEX($A334:$R334,MATCH("Job Number",$A$1:$R$1,0)),"")&amp;""</f>
        <v/>
      </c>
      <c r="AF334" s="54">
        <f>IF(AND(T334="Open",ISNUMBER(Z334),Z334&lt;EOMONTH(set_AsAt,-1)+1),3,0)</f>
        <v/>
      </c>
      <c r="AG334" s="54">
        <f>IF(AND(T334="Open",U334&gt;0,U334&gt;=set_DealShare*SUMIFS($U$2:$U$601,$T$2:$T$601,"Open")),3,0)</f>
        <v/>
      </c>
      <c r="AH334" s="54">
        <f>IF(AND(T334="Open",U334&gt;=set_BigValue,W334&lt;=set_EarlyProb),2,0)</f>
        <v/>
      </c>
      <c r="AI334" s="54">
        <f>IF(AND(OR(T334="Open",T334="Won"),V334=0),2,0)</f>
        <v/>
      </c>
      <c r="AJ334" s="54">
        <f>IF(AND(T334="Won",Y334&gt;0.5,ISNUMBER(Z334),Z334&lt;EOMONTH(set_AsAt,-1)+1),3,0)</f>
        <v/>
      </c>
      <c r="AK334" s="54">
        <f>IF(AND(T334="Won",Y334&lt;-1),1,0)</f>
        <v/>
      </c>
      <c r="AL334" s="54">
        <f>SUM(AF334:AK334)</f>
        <v/>
      </c>
      <c r="AM334" s="9">
        <f>IF(AL334&gt;=set_ScoreHigh,"High",IF(AL334&gt;=set_ScoreMed,"Medium",IF(AL334&gt;0,"Low","OK")))</f>
        <v/>
      </c>
      <c r="AN334" s="54">
        <f>IF(OR(T334="Open",AND(T334="Won",ABS(Y334)&gt;0.5)),1,0)</f>
        <v/>
      </c>
      <c r="AO334" s="52">
        <f>IF(T334="Open",IF(V334=0,0,X334),IF(T334="Won",MAX(0,Y334),0))</f>
        <v/>
      </c>
      <c r="AP334" s="54">
        <f>IF(AN334=1,AL334*1E+9+U334+ROW()/1E+6,"")</f>
        <v/>
      </c>
      <c r="AQ334" s="9">
        <f>MID(IF(AF334&gt;0,"; Expected month passed - update Zoho","")&amp;IF(AG334&gt;0,"; "&amp;TEXT(U334/MAX(1,SUMIFS($U$2:$U$601,$T$2:$T$601,"Open")),"0%")&amp;" of open pipeline in one deal","")&amp;IF(AH334&gt;0,"; Large deal at an early stage","")&amp;IF(AI334&gt;0,"; No amount in Zoho","")&amp;IF(AJ334&gt;0,"; Won, invoice month passed, not fully invoiced","")&amp;IF(AK334&gt;0,"; Xero invoiced more than the deal value",""),3,300)</f>
        <v/>
      </c>
    </row>
    <row r="335">
      <c r="T335" s="9">
        <f>IFERROR(INDEX($A335:$R335,MATCH("Status",$A$1:$R$1,0)),"")&amp;""</f>
        <v/>
      </c>
      <c r="U335" s="52">
        <f>IFERROR(N(IFERROR(INDEX($A335:$R335,MATCH("Value Ex GST",$A$1:$R$1,0)),"")),0)</f>
        <v/>
      </c>
      <c r="V335" s="54">
        <f>IF(AND(T335&lt;&gt;"",IFERROR(INDEX($A335:$R335,MATCH("Value Ex GST",$A$1:$R$1,0)),"")&amp;""&lt;&gt;""),1,0)</f>
        <v/>
      </c>
      <c r="W335" s="56">
        <f>IFERROR(N(IFERROR(INDEX($A335:$R335,MATCH("Probability",$A$1:$R$1,0)),"")),0)</f>
        <v/>
      </c>
      <c r="X335" s="52">
        <f>IF(T335="Open",U335*W335,0)</f>
        <v/>
      </c>
      <c r="Y335" s="52">
        <f>IF(T335="Won",IFERROR(N(IFERROR(INDEX($A335:$R335,MATCH("Still to Invoice",$A$1:$R$1,0)),"")),0),0)</f>
        <v/>
      </c>
      <c r="Z335" s="55">
        <f>IFERROR(EOMONTH(IFERROR(INDEX($A335:$R335,MATCH("Expected Invoice Month",$A$1:$R$1,0)),""),0),"")</f>
        <v/>
      </c>
      <c r="AA335" s="9">
        <f>IFERROR(INDEX($A335:$R335,MATCH("Cost Centre",$A$1:$R$1,0)),"")&amp;""</f>
        <v/>
      </c>
      <c r="AB335" s="9">
        <f>IFERROR(INDEX($A335:$R335,MATCH("Pipeline Stage",$A$1:$R$1,0)),"")&amp;""</f>
        <v/>
      </c>
      <c r="AC335" s="9">
        <f>IFERROR(INDEX($A335:$R335,MATCH("Client",$A$1:$R$1,0)),"")&amp;""</f>
        <v/>
      </c>
      <c r="AD335" s="9">
        <f>IFERROR(INDEX($A335:$R335,MATCH("Description",$A$1:$R$1,0)),"")&amp;""</f>
        <v/>
      </c>
      <c r="AE335" s="9">
        <f>IFERROR(INDEX($A335:$R335,MATCH("Job Number",$A$1:$R$1,0)),"")&amp;""</f>
        <v/>
      </c>
      <c r="AF335" s="54">
        <f>IF(AND(T335="Open",ISNUMBER(Z335),Z335&lt;EOMONTH(set_AsAt,-1)+1),3,0)</f>
        <v/>
      </c>
      <c r="AG335" s="54">
        <f>IF(AND(T335="Open",U335&gt;0,U335&gt;=set_DealShare*SUMIFS($U$2:$U$601,$T$2:$T$601,"Open")),3,0)</f>
        <v/>
      </c>
      <c r="AH335" s="54">
        <f>IF(AND(T335="Open",U335&gt;=set_BigValue,W335&lt;=set_EarlyProb),2,0)</f>
        <v/>
      </c>
      <c r="AI335" s="54">
        <f>IF(AND(OR(T335="Open",T335="Won"),V335=0),2,0)</f>
        <v/>
      </c>
      <c r="AJ335" s="54">
        <f>IF(AND(T335="Won",Y335&gt;0.5,ISNUMBER(Z335),Z335&lt;EOMONTH(set_AsAt,-1)+1),3,0)</f>
        <v/>
      </c>
      <c r="AK335" s="54">
        <f>IF(AND(T335="Won",Y335&lt;-1),1,0)</f>
        <v/>
      </c>
      <c r="AL335" s="54">
        <f>SUM(AF335:AK335)</f>
        <v/>
      </c>
      <c r="AM335" s="9">
        <f>IF(AL335&gt;=set_ScoreHigh,"High",IF(AL335&gt;=set_ScoreMed,"Medium",IF(AL335&gt;0,"Low","OK")))</f>
        <v/>
      </c>
      <c r="AN335" s="54">
        <f>IF(OR(T335="Open",AND(T335="Won",ABS(Y335)&gt;0.5)),1,0)</f>
        <v/>
      </c>
      <c r="AO335" s="52">
        <f>IF(T335="Open",IF(V335=0,0,X335),IF(T335="Won",MAX(0,Y335),0))</f>
        <v/>
      </c>
      <c r="AP335" s="54">
        <f>IF(AN335=1,AL335*1E+9+U335+ROW()/1E+6,"")</f>
        <v/>
      </c>
      <c r="AQ335" s="9">
        <f>MID(IF(AF335&gt;0,"; Expected month passed - update Zoho","")&amp;IF(AG335&gt;0,"; "&amp;TEXT(U335/MAX(1,SUMIFS($U$2:$U$601,$T$2:$T$601,"Open")),"0%")&amp;" of open pipeline in one deal","")&amp;IF(AH335&gt;0,"; Large deal at an early stage","")&amp;IF(AI335&gt;0,"; No amount in Zoho","")&amp;IF(AJ335&gt;0,"; Won, invoice month passed, not fully invoiced","")&amp;IF(AK335&gt;0,"; Xero invoiced more than the deal value",""),3,300)</f>
        <v/>
      </c>
    </row>
    <row r="336">
      <c r="T336" s="9">
        <f>IFERROR(INDEX($A336:$R336,MATCH("Status",$A$1:$R$1,0)),"")&amp;""</f>
        <v/>
      </c>
      <c r="U336" s="52">
        <f>IFERROR(N(IFERROR(INDEX($A336:$R336,MATCH("Value Ex GST",$A$1:$R$1,0)),"")),0)</f>
        <v/>
      </c>
      <c r="V336" s="54">
        <f>IF(AND(T336&lt;&gt;"",IFERROR(INDEX($A336:$R336,MATCH("Value Ex GST",$A$1:$R$1,0)),"")&amp;""&lt;&gt;""),1,0)</f>
        <v/>
      </c>
      <c r="W336" s="56">
        <f>IFERROR(N(IFERROR(INDEX($A336:$R336,MATCH("Probability",$A$1:$R$1,0)),"")),0)</f>
        <v/>
      </c>
      <c r="X336" s="52">
        <f>IF(T336="Open",U336*W336,0)</f>
        <v/>
      </c>
      <c r="Y336" s="52">
        <f>IF(T336="Won",IFERROR(N(IFERROR(INDEX($A336:$R336,MATCH("Still to Invoice",$A$1:$R$1,0)),"")),0),0)</f>
        <v/>
      </c>
      <c r="Z336" s="55">
        <f>IFERROR(EOMONTH(IFERROR(INDEX($A336:$R336,MATCH("Expected Invoice Month",$A$1:$R$1,0)),""),0),"")</f>
        <v/>
      </c>
      <c r="AA336" s="9">
        <f>IFERROR(INDEX($A336:$R336,MATCH("Cost Centre",$A$1:$R$1,0)),"")&amp;""</f>
        <v/>
      </c>
      <c r="AB336" s="9">
        <f>IFERROR(INDEX($A336:$R336,MATCH("Pipeline Stage",$A$1:$R$1,0)),"")&amp;""</f>
        <v/>
      </c>
      <c r="AC336" s="9">
        <f>IFERROR(INDEX($A336:$R336,MATCH("Client",$A$1:$R$1,0)),"")&amp;""</f>
        <v/>
      </c>
      <c r="AD336" s="9">
        <f>IFERROR(INDEX($A336:$R336,MATCH("Description",$A$1:$R$1,0)),"")&amp;""</f>
        <v/>
      </c>
      <c r="AE336" s="9">
        <f>IFERROR(INDEX($A336:$R336,MATCH("Job Number",$A$1:$R$1,0)),"")&amp;""</f>
        <v/>
      </c>
      <c r="AF336" s="54">
        <f>IF(AND(T336="Open",ISNUMBER(Z336),Z336&lt;EOMONTH(set_AsAt,-1)+1),3,0)</f>
        <v/>
      </c>
      <c r="AG336" s="54">
        <f>IF(AND(T336="Open",U336&gt;0,U336&gt;=set_DealShare*SUMIFS($U$2:$U$601,$T$2:$T$601,"Open")),3,0)</f>
        <v/>
      </c>
      <c r="AH336" s="54">
        <f>IF(AND(T336="Open",U336&gt;=set_BigValue,W336&lt;=set_EarlyProb),2,0)</f>
        <v/>
      </c>
      <c r="AI336" s="54">
        <f>IF(AND(OR(T336="Open",T336="Won"),V336=0),2,0)</f>
        <v/>
      </c>
      <c r="AJ336" s="54">
        <f>IF(AND(T336="Won",Y336&gt;0.5,ISNUMBER(Z336),Z336&lt;EOMONTH(set_AsAt,-1)+1),3,0)</f>
        <v/>
      </c>
      <c r="AK336" s="54">
        <f>IF(AND(T336="Won",Y336&lt;-1),1,0)</f>
        <v/>
      </c>
      <c r="AL336" s="54">
        <f>SUM(AF336:AK336)</f>
        <v/>
      </c>
      <c r="AM336" s="9">
        <f>IF(AL336&gt;=set_ScoreHigh,"High",IF(AL336&gt;=set_ScoreMed,"Medium",IF(AL336&gt;0,"Low","OK")))</f>
        <v/>
      </c>
      <c r="AN336" s="54">
        <f>IF(OR(T336="Open",AND(T336="Won",ABS(Y336)&gt;0.5)),1,0)</f>
        <v/>
      </c>
      <c r="AO336" s="52">
        <f>IF(T336="Open",IF(V336=0,0,X336),IF(T336="Won",MAX(0,Y336),0))</f>
        <v/>
      </c>
      <c r="AP336" s="54">
        <f>IF(AN336=1,AL336*1E+9+U336+ROW()/1E+6,"")</f>
        <v/>
      </c>
      <c r="AQ336" s="9">
        <f>MID(IF(AF336&gt;0,"; Expected month passed - update Zoho","")&amp;IF(AG336&gt;0,"; "&amp;TEXT(U336/MAX(1,SUMIFS($U$2:$U$601,$T$2:$T$601,"Open")),"0%")&amp;" of open pipeline in one deal","")&amp;IF(AH336&gt;0,"; Large deal at an early stage","")&amp;IF(AI336&gt;0,"; No amount in Zoho","")&amp;IF(AJ336&gt;0,"; Won, invoice month passed, not fully invoiced","")&amp;IF(AK336&gt;0,"; Xero invoiced more than the deal value",""),3,300)</f>
        <v/>
      </c>
    </row>
    <row r="337">
      <c r="T337" s="9">
        <f>IFERROR(INDEX($A337:$R337,MATCH("Status",$A$1:$R$1,0)),"")&amp;""</f>
        <v/>
      </c>
      <c r="U337" s="52">
        <f>IFERROR(N(IFERROR(INDEX($A337:$R337,MATCH("Value Ex GST",$A$1:$R$1,0)),"")),0)</f>
        <v/>
      </c>
      <c r="V337" s="54">
        <f>IF(AND(T337&lt;&gt;"",IFERROR(INDEX($A337:$R337,MATCH("Value Ex GST",$A$1:$R$1,0)),"")&amp;""&lt;&gt;""),1,0)</f>
        <v/>
      </c>
      <c r="W337" s="56">
        <f>IFERROR(N(IFERROR(INDEX($A337:$R337,MATCH("Probability",$A$1:$R$1,0)),"")),0)</f>
        <v/>
      </c>
      <c r="X337" s="52">
        <f>IF(T337="Open",U337*W337,0)</f>
        <v/>
      </c>
      <c r="Y337" s="52">
        <f>IF(T337="Won",IFERROR(N(IFERROR(INDEX($A337:$R337,MATCH("Still to Invoice",$A$1:$R$1,0)),"")),0),0)</f>
        <v/>
      </c>
      <c r="Z337" s="55">
        <f>IFERROR(EOMONTH(IFERROR(INDEX($A337:$R337,MATCH("Expected Invoice Month",$A$1:$R$1,0)),""),0),"")</f>
        <v/>
      </c>
      <c r="AA337" s="9">
        <f>IFERROR(INDEX($A337:$R337,MATCH("Cost Centre",$A$1:$R$1,0)),"")&amp;""</f>
        <v/>
      </c>
      <c r="AB337" s="9">
        <f>IFERROR(INDEX($A337:$R337,MATCH("Pipeline Stage",$A$1:$R$1,0)),"")&amp;""</f>
        <v/>
      </c>
      <c r="AC337" s="9">
        <f>IFERROR(INDEX($A337:$R337,MATCH("Client",$A$1:$R$1,0)),"")&amp;""</f>
        <v/>
      </c>
      <c r="AD337" s="9">
        <f>IFERROR(INDEX($A337:$R337,MATCH("Description",$A$1:$R$1,0)),"")&amp;""</f>
        <v/>
      </c>
      <c r="AE337" s="9">
        <f>IFERROR(INDEX($A337:$R337,MATCH("Job Number",$A$1:$R$1,0)),"")&amp;""</f>
        <v/>
      </c>
      <c r="AF337" s="54">
        <f>IF(AND(T337="Open",ISNUMBER(Z337),Z337&lt;EOMONTH(set_AsAt,-1)+1),3,0)</f>
        <v/>
      </c>
      <c r="AG337" s="54">
        <f>IF(AND(T337="Open",U337&gt;0,U337&gt;=set_DealShare*SUMIFS($U$2:$U$601,$T$2:$T$601,"Open")),3,0)</f>
        <v/>
      </c>
      <c r="AH337" s="54">
        <f>IF(AND(T337="Open",U337&gt;=set_BigValue,W337&lt;=set_EarlyProb),2,0)</f>
        <v/>
      </c>
      <c r="AI337" s="54">
        <f>IF(AND(OR(T337="Open",T337="Won"),V337=0),2,0)</f>
        <v/>
      </c>
      <c r="AJ337" s="54">
        <f>IF(AND(T337="Won",Y337&gt;0.5,ISNUMBER(Z337),Z337&lt;EOMONTH(set_AsAt,-1)+1),3,0)</f>
        <v/>
      </c>
      <c r="AK337" s="54">
        <f>IF(AND(T337="Won",Y337&lt;-1),1,0)</f>
        <v/>
      </c>
      <c r="AL337" s="54">
        <f>SUM(AF337:AK337)</f>
        <v/>
      </c>
      <c r="AM337" s="9">
        <f>IF(AL337&gt;=set_ScoreHigh,"High",IF(AL337&gt;=set_ScoreMed,"Medium",IF(AL337&gt;0,"Low","OK")))</f>
        <v/>
      </c>
      <c r="AN337" s="54">
        <f>IF(OR(T337="Open",AND(T337="Won",ABS(Y337)&gt;0.5)),1,0)</f>
        <v/>
      </c>
      <c r="AO337" s="52">
        <f>IF(T337="Open",IF(V337=0,0,X337),IF(T337="Won",MAX(0,Y337),0))</f>
        <v/>
      </c>
      <c r="AP337" s="54">
        <f>IF(AN337=1,AL337*1E+9+U337+ROW()/1E+6,"")</f>
        <v/>
      </c>
      <c r="AQ337" s="9">
        <f>MID(IF(AF337&gt;0,"; Expected month passed - update Zoho","")&amp;IF(AG337&gt;0,"; "&amp;TEXT(U337/MAX(1,SUMIFS($U$2:$U$601,$T$2:$T$601,"Open")),"0%")&amp;" of open pipeline in one deal","")&amp;IF(AH337&gt;0,"; Large deal at an early stage","")&amp;IF(AI337&gt;0,"; No amount in Zoho","")&amp;IF(AJ337&gt;0,"; Won, invoice month passed, not fully invoiced","")&amp;IF(AK337&gt;0,"; Xero invoiced more than the deal value",""),3,300)</f>
        <v/>
      </c>
    </row>
    <row r="338">
      <c r="T338" s="9">
        <f>IFERROR(INDEX($A338:$R338,MATCH("Status",$A$1:$R$1,0)),"")&amp;""</f>
        <v/>
      </c>
      <c r="U338" s="52">
        <f>IFERROR(N(IFERROR(INDEX($A338:$R338,MATCH("Value Ex GST",$A$1:$R$1,0)),"")),0)</f>
        <v/>
      </c>
      <c r="V338" s="54">
        <f>IF(AND(T338&lt;&gt;"",IFERROR(INDEX($A338:$R338,MATCH("Value Ex GST",$A$1:$R$1,0)),"")&amp;""&lt;&gt;""),1,0)</f>
        <v/>
      </c>
      <c r="W338" s="56">
        <f>IFERROR(N(IFERROR(INDEX($A338:$R338,MATCH("Probability",$A$1:$R$1,0)),"")),0)</f>
        <v/>
      </c>
      <c r="X338" s="52">
        <f>IF(T338="Open",U338*W338,0)</f>
        <v/>
      </c>
      <c r="Y338" s="52">
        <f>IF(T338="Won",IFERROR(N(IFERROR(INDEX($A338:$R338,MATCH("Still to Invoice",$A$1:$R$1,0)),"")),0),0)</f>
        <v/>
      </c>
      <c r="Z338" s="55">
        <f>IFERROR(EOMONTH(IFERROR(INDEX($A338:$R338,MATCH("Expected Invoice Month",$A$1:$R$1,0)),""),0),"")</f>
        <v/>
      </c>
      <c r="AA338" s="9">
        <f>IFERROR(INDEX($A338:$R338,MATCH("Cost Centre",$A$1:$R$1,0)),"")&amp;""</f>
        <v/>
      </c>
      <c r="AB338" s="9">
        <f>IFERROR(INDEX($A338:$R338,MATCH("Pipeline Stage",$A$1:$R$1,0)),"")&amp;""</f>
        <v/>
      </c>
      <c r="AC338" s="9">
        <f>IFERROR(INDEX($A338:$R338,MATCH("Client",$A$1:$R$1,0)),"")&amp;""</f>
        <v/>
      </c>
      <c r="AD338" s="9">
        <f>IFERROR(INDEX($A338:$R338,MATCH("Description",$A$1:$R$1,0)),"")&amp;""</f>
        <v/>
      </c>
      <c r="AE338" s="9">
        <f>IFERROR(INDEX($A338:$R338,MATCH("Job Number",$A$1:$R$1,0)),"")&amp;""</f>
        <v/>
      </c>
      <c r="AF338" s="54">
        <f>IF(AND(T338="Open",ISNUMBER(Z338),Z338&lt;EOMONTH(set_AsAt,-1)+1),3,0)</f>
        <v/>
      </c>
      <c r="AG338" s="54">
        <f>IF(AND(T338="Open",U338&gt;0,U338&gt;=set_DealShare*SUMIFS($U$2:$U$601,$T$2:$T$601,"Open")),3,0)</f>
        <v/>
      </c>
      <c r="AH338" s="54">
        <f>IF(AND(T338="Open",U338&gt;=set_BigValue,W338&lt;=set_EarlyProb),2,0)</f>
        <v/>
      </c>
      <c r="AI338" s="54">
        <f>IF(AND(OR(T338="Open",T338="Won"),V338=0),2,0)</f>
        <v/>
      </c>
      <c r="AJ338" s="54">
        <f>IF(AND(T338="Won",Y338&gt;0.5,ISNUMBER(Z338),Z338&lt;EOMONTH(set_AsAt,-1)+1),3,0)</f>
        <v/>
      </c>
      <c r="AK338" s="54">
        <f>IF(AND(T338="Won",Y338&lt;-1),1,0)</f>
        <v/>
      </c>
      <c r="AL338" s="54">
        <f>SUM(AF338:AK338)</f>
        <v/>
      </c>
      <c r="AM338" s="9">
        <f>IF(AL338&gt;=set_ScoreHigh,"High",IF(AL338&gt;=set_ScoreMed,"Medium",IF(AL338&gt;0,"Low","OK")))</f>
        <v/>
      </c>
      <c r="AN338" s="54">
        <f>IF(OR(T338="Open",AND(T338="Won",ABS(Y338)&gt;0.5)),1,0)</f>
        <v/>
      </c>
      <c r="AO338" s="52">
        <f>IF(T338="Open",IF(V338=0,0,X338),IF(T338="Won",MAX(0,Y338),0))</f>
        <v/>
      </c>
      <c r="AP338" s="54">
        <f>IF(AN338=1,AL338*1E+9+U338+ROW()/1E+6,"")</f>
        <v/>
      </c>
      <c r="AQ338" s="9">
        <f>MID(IF(AF338&gt;0,"; Expected month passed - update Zoho","")&amp;IF(AG338&gt;0,"; "&amp;TEXT(U338/MAX(1,SUMIFS($U$2:$U$601,$T$2:$T$601,"Open")),"0%")&amp;" of open pipeline in one deal","")&amp;IF(AH338&gt;0,"; Large deal at an early stage","")&amp;IF(AI338&gt;0,"; No amount in Zoho","")&amp;IF(AJ338&gt;0,"; Won, invoice month passed, not fully invoiced","")&amp;IF(AK338&gt;0,"; Xero invoiced more than the deal value",""),3,300)</f>
        <v/>
      </c>
    </row>
    <row r="339">
      <c r="T339" s="9">
        <f>IFERROR(INDEX($A339:$R339,MATCH("Status",$A$1:$R$1,0)),"")&amp;""</f>
        <v/>
      </c>
      <c r="U339" s="52">
        <f>IFERROR(N(IFERROR(INDEX($A339:$R339,MATCH("Value Ex GST",$A$1:$R$1,0)),"")),0)</f>
        <v/>
      </c>
      <c r="V339" s="54">
        <f>IF(AND(T339&lt;&gt;"",IFERROR(INDEX($A339:$R339,MATCH("Value Ex GST",$A$1:$R$1,0)),"")&amp;""&lt;&gt;""),1,0)</f>
        <v/>
      </c>
      <c r="W339" s="56">
        <f>IFERROR(N(IFERROR(INDEX($A339:$R339,MATCH("Probability",$A$1:$R$1,0)),"")),0)</f>
        <v/>
      </c>
      <c r="X339" s="52">
        <f>IF(T339="Open",U339*W339,0)</f>
        <v/>
      </c>
      <c r="Y339" s="52">
        <f>IF(T339="Won",IFERROR(N(IFERROR(INDEX($A339:$R339,MATCH("Still to Invoice",$A$1:$R$1,0)),"")),0),0)</f>
        <v/>
      </c>
      <c r="Z339" s="55">
        <f>IFERROR(EOMONTH(IFERROR(INDEX($A339:$R339,MATCH("Expected Invoice Month",$A$1:$R$1,0)),""),0),"")</f>
        <v/>
      </c>
      <c r="AA339" s="9">
        <f>IFERROR(INDEX($A339:$R339,MATCH("Cost Centre",$A$1:$R$1,0)),"")&amp;""</f>
        <v/>
      </c>
      <c r="AB339" s="9">
        <f>IFERROR(INDEX($A339:$R339,MATCH("Pipeline Stage",$A$1:$R$1,0)),"")&amp;""</f>
        <v/>
      </c>
      <c r="AC339" s="9">
        <f>IFERROR(INDEX($A339:$R339,MATCH("Client",$A$1:$R$1,0)),"")&amp;""</f>
        <v/>
      </c>
      <c r="AD339" s="9">
        <f>IFERROR(INDEX($A339:$R339,MATCH("Description",$A$1:$R$1,0)),"")&amp;""</f>
        <v/>
      </c>
      <c r="AE339" s="9">
        <f>IFERROR(INDEX($A339:$R339,MATCH("Job Number",$A$1:$R$1,0)),"")&amp;""</f>
        <v/>
      </c>
      <c r="AF339" s="54">
        <f>IF(AND(T339="Open",ISNUMBER(Z339),Z339&lt;EOMONTH(set_AsAt,-1)+1),3,0)</f>
        <v/>
      </c>
      <c r="AG339" s="54">
        <f>IF(AND(T339="Open",U339&gt;0,U339&gt;=set_DealShare*SUMIFS($U$2:$U$601,$T$2:$T$601,"Open")),3,0)</f>
        <v/>
      </c>
      <c r="AH339" s="54">
        <f>IF(AND(T339="Open",U339&gt;=set_BigValue,W339&lt;=set_EarlyProb),2,0)</f>
        <v/>
      </c>
      <c r="AI339" s="54">
        <f>IF(AND(OR(T339="Open",T339="Won"),V339=0),2,0)</f>
        <v/>
      </c>
      <c r="AJ339" s="54">
        <f>IF(AND(T339="Won",Y339&gt;0.5,ISNUMBER(Z339),Z339&lt;EOMONTH(set_AsAt,-1)+1),3,0)</f>
        <v/>
      </c>
      <c r="AK339" s="54">
        <f>IF(AND(T339="Won",Y339&lt;-1),1,0)</f>
        <v/>
      </c>
      <c r="AL339" s="54">
        <f>SUM(AF339:AK339)</f>
        <v/>
      </c>
      <c r="AM339" s="9">
        <f>IF(AL339&gt;=set_ScoreHigh,"High",IF(AL339&gt;=set_ScoreMed,"Medium",IF(AL339&gt;0,"Low","OK")))</f>
        <v/>
      </c>
      <c r="AN339" s="54">
        <f>IF(OR(T339="Open",AND(T339="Won",ABS(Y339)&gt;0.5)),1,0)</f>
        <v/>
      </c>
      <c r="AO339" s="52">
        <f>IF(T339="Open",IF(V339=0,0,X339),IF(T339="Won",MAX(0,Y339),0))</f>
        <v/>
      </c>
      <c r="AP339" s="54">
        <f>IF(AN339=1,AL339*1E+9+U339+ROW()/1E+6,"")</f>
        <v/>
      </c>
      <c r="AQ339" s="9">
        <f>MID(IF(AF339&gt;0,"; Expected month passed - update Zoho","")&amp;IF(AG339&gt;0,"; "&amp;TEXT(U339/MAX(1,SUMIFS($U$2:$U$601,$T$2:$T$601,"Open")),"0%")&amp;" of open pipeline in one deal","")&amp;IF(AH339&gt;0,"; Large deal at an early stage","")&amp;IF(AI339&gt;0,"; No amount in Zoho","")&amp;IF(AJ339&gt;0,"; Won, invoice month passed, not fully invoiced","")&amp;IF(AK339&gt;0,"; Xero invoiced more than the deal value",""),3,300)</f>
        <v/>
      </c>
    </row>
    <row r="340">
      <c r="T340" s="9">
        <f>IFERROR(INDEX($A340:$R340,MATCH("Status",$A$1:$R$1,0)),"")&amp;""</f>
        <v/>
      </c>
      <c r="U340" s="52">
        <f>IFERROR(N(IFERROR(INDEX($A340:$R340,MATCH("Value Ex GST",$A$1:$R$1,0)),"")),0)</f>
        <v/>
      </c>
      <c r="V340" s="54">
        <f>IF(AND(T340&lt;&gt;"",IFERROR(INDEX($A340:$R340,MATCH("Value Ex GST",$A$1:$R$1,0)),"")&amp;""&lt;&gt;""),1,0)</f>
        <v/>
      </c>
      <c r="W340" s="56">
        <f>IFERROR(N(IFERROR(INDEX($A340:$R340,MATCH("Probability",$A$1:$R$1,0)),"")),0)</f>
        <v/>
      </c>
      <c r="X340" s="52">
        <f>IF(T340="Open",U340*W340,0)</f>
        <v/>
      </c>
      <c r="Y340" s="52">
        <f>IF(T340="Won",IFERROR(N(IFERROR(INDEX($A340:$R340,MATCH("Still to Invoice",$A$1:$R$1,0)),"")),0),0)</f>
        <v/>
      </c>
      <c r="Z340" s="55">
        <f>IFERROR(EOMONTH(IFERROR(INDEX($A340:$R340,MATCH("Expected Invoice Month",$A$1:$R$1,0)),""),0),"")</f>
        <v/>
      </c>
      <c r="AA340" s="9">
        <f>IFERROR(INDEX($A340:$R340,MATCH("Cost Centre",$A$1:$R$1,0)),"")&amp;""</f>
        <v/>
      </c>
      <c r="AB340" s="9">
        <f>IFERROR(INDEX($A340:$R340,MATCH("Pipeline Stage",$A$1:$R$1,0)),"")&amp;""</f>
        <v/>
      </c>
      <c r="AC340" s="9">
        <f>IFERROR(INDEX($A340:$R340,MATCH("Client",$A$1:$R$1,0)),"")&amp;""</f>
        <v/>
      </c>
      <c r="AD340" s="9">
        <f>IFERROR(INDEX($A340:$R340,MATCH("Description",$A$1:$R$1,0)),"")&amp;""</f>
        <v/>
      </c>
      <c r="AE340" s="9">
        <f>IFERROR(INDEX($A340:$R340,MATCH("Job Number",$A$1:$R$1,0)),"")&amp;""</f>
        <v/>
      </c>
      <c r="AF340" s="54">
        <f>IF(AND(T340="Open",ISNUMBER(Z340),Z340&lt;EOMONTH(set_AsAt,-1)+1),3,0)</f>
        <v/>
      </c>
      <c r="AG340" s="54">
        <f>IF(AND(T340="Open",U340&gt;0,U340&gt;=set_DealShare*SUMIFS($U$2:$U$601,$T$2:$T$601,"Open")),3,0)</f>
        <v/>
      </c>
      <c r="AH340" s="54">
        <f>IF(AND(T340="Open",U340&gt;=set_BigValue,W340&lt;=set_EarlyProb),2,0)</f>
        <v/>
      </c>
      <c r="AI340" s="54">
        <f>IF(AND(OR(T340="Open",T340="Won"),V340=0),2,0)</f>
        <v/>
      </c>
      <c r="AJ340" s="54">
        <f>IF(AND(T340="Won",Y340&gt;0.5,ISNUMBER(Z340),Z340&lt;EOMONTH(set_AsAt,-1)+1),3,0)</f>
        <v/>
      </c>
      <c r="AK340" s="54">
        <f>IF(AND(T340="Won",Y340&lt;-1),1,0)</f>
        <v/>
      </c>
      <c r="AL340" s="54">
        <f>SUM(AF340:AK340)</f>
        <v/>
      </c>
      <c r="AM340" s="9">
        <f>IF(AL340&gt;=set_ScoreHigh,"High",IF(AL340&gt;=set_ScoreMed,"Medium",IF(AL340&gt;0,"Low","OK")))</f>
        <v/>
      </c>
      <c r="AN340" s="54">
        <f>IF(OR(T340="Open",AND(T340="Won",ABS(Y340)&gt;0.5)),1,0)</f>
        <v/>
      </c>
      <c r="AO340" s="52">
        <f>IF(T340="Open",IF(V340=0,0,X340),IF(T340="Won",MAX(0,Y340),0))</f>
        <v/>
      </c>
      <c r="AP340" s="54">
        <f>IF(AN340=1,AL340*1E+9+U340+ROW()/1E+6,"")</f>
        <v/>
      </c>
      <c r="AQ340" s="9">
        <f>MID(IF(AF340&gt;0,"; Expected month passed - update Zoho","")&amp;IF(AG340&gt;0,"; "&amp;TEXT(U340/MAX(1,SUMIFS($U$2:$U$601,$T$2:$T$601,"Open")),"0%")&amp;" of open pipeline in one deal","")&amp;IF(AH340&gt;0,"; Large deal at an early stage","")&amp;IF(AI340&gt;0,"; No amount in Zoho","")&amp;IF(AJ340&gt;0,"; Won, invoice month passed, not fully invoiced","")&amp;IF(AK340&gt;0,"; Xero invoiced more than the deal value",""),3,300)</f>
        <v/>
      </c>
    </row>
    <row r="341">
      <c r="T341" s="9">
        <f>IFERROR(INDEX($A341:$R341,MATCH("Status",$A$1:$R$1,0)),"")&amp;""</f>
        <v/>
      </c>
      <c r="U341" s="52">
        <f>IFERROR(N(IFERROR(INDEX($A341:$R341,MATCH("Value Ex GST",$A$1:$R$1,0)),"")),0)</f>
        <v/>
      </c>
      <c r="V341" s="54">
        <f>IF(AND(T341&lt;&gt;"",IFERROR(INDEX($A341:$R341,MATCH("Value Ex GST",$A$1:$R$1,0)),"")&amp;""&lt;&gt;""),1,0)</f>
        <v/>
      </c>
      <c r="W341" s="56">
        <f>IFERROR(N(IFERROR(INDEX($A341:$R341,MATCH("Probability",$A$1:$R$1,0)),"")),0)</f>
        <v/>
      </c>
      <c r="X341" s="52">
        <f>IF(T341="Open",U341*W341,0)</f>
        <v/>
      </c>
      <c r="Y341" s="52">
        <f>IF(T341="Won",IFERROR(N(IFERROR(INDEX($A341:$R341,MATCH("Still to Invoice",$A$1:$R$1,0)),"")),0),0)</f>
        <v/>
      </c>
      <c r="Z341" s="55">
        <f>IFERROR(EOMONTH(IFERROR(INDEX($A341:$R341,MATCH("Expected Invoice Month",$A$1:$R$1,0)),""),0),"")</f>
        <v/>
      </c>
      <c r="AA341" s="9">
        <f>IFERROR(INDEX($A341:$R341,MATCH("Cost Centre",$A$1:$R$1,0)),"")&amp;""</f>
        <v/>
      </c>
      <c r="AB341" s="9">
        <f>IFERROR(INDEX($A341:$R341,MATCH("Pipeline Stage",$A$1:$R$1,0)),"")&amp;""</f>
        <v/>
      </c>
      <c r="AC341" s="9">
        <f>IFERROR(INDEX($A341:$R341,MATCH("Client",$A$1:$R$1,0)),"")&amp;""</f>
        <v/>
      </c>
      <c r="AD341" s="9">
        <f>IFERROR(INDEX($A341:$R341,MATCH("Description",$A$1:$R$1,0)),"")&amp;""</f>
        <v/>
      </c>
      <c r="AE341" s="9">
        <f>IFERROR(INDEX($A341:$R341,MATCH("Job Number",$A$1:$R$1,0)),"")&amp;""</f>
        <v/>
      </c>
      <c r="AF341" s="54">
        <f>IF(AND(T341="Open",ISNUMBER(Z341),Z341&lt;EOMONTH(set_AsAt,-1)+1),3,0)</f>
        <v/>
      </c>
      <c r="AG341" s="54">
        <f>IF(AND(T341="Open",U341&gt;0,U341&gt;=set_DealShare*SUMIFS($U$2:$U$601,$T$2:$T$601,"Open")),3,0)</f>
        <v/>
      </c>
      <c r="AH341" s="54">
        <f>IF(AND(T341="Open",U341&gt;=set_BigValue,W341&lt;=set_EarlyProb),2,0)</f>
        <v/>
      </c>
      <c r="AI341" s="54">
        <f>IF(AND(OR(T341="Open",T341="Won"),V341=0),2,0)</f>
        <v/>
      </c>
      <c r="AJ341" s="54">
        <f>IF(AND(T341="Won",Y341&gt;0.5,ISNUMBER(Z341),Z341&lt;EOMONTH(set_AsAt,-1)+1),3,0)</f>
        <v/>
      </c>
      <c r="AK341" s="54">
        <f>IF(AND(T341="Won",Y341&lt;-1),1,0)</f>
        <v/>
      </c>
      <c r="AL341" s="54">
        <f>SUM(AF341:AK341)</f>
        <v/>
      </c>
      <c r="AM341" s="9">
        <f>IF(AL341&gt;=set_ScoreHigh,"High",IF(AL341&gt;=set_ScoreMed,"Medium",IF(AL341&gt;0,"Low","OK")))</f>
        <v/>
      </c>
      <c r="AN341" s="54">
        <f>IF(OR(T341="Open",AND(T341="Won",ABS(Y341)&gt;0.5)),1,0)</f>
        <v/>
      </c>
      <c r="AO341" s="52">
        <f>IF(T341="Open",IF(V341=0,0,X341),IF(T341="Won",MAX(0,Y341),0))</f>
        <v/>
      </c>
      <c r="AP341" s="54">
        <f>IF(AN341=1,AL341*1E+9+U341+ROW()/1E+6,"")</f>
        <v/>
      </c>
      <c r="AQ341" s="9">
        <f>MID(IF(AF341&gt;0,"; Expected month passed - update Zoho","")&amp;IF(AG341&gt;0,"; "&amp;TEXT(U341/MAX(1,SUMIFS($U$2:$U$601,$T$2:$T$601,"Open")),"0%")&amp;" of open pipeline in one deal","")&amp;IF(AH341&gt;0,"; Large deal at an early stage","")&amp;IF(AI341&gt;0,"; No amount in Zoho","")&amp;IF(AJ341&gt;0,"; Won, invoice month passed, not fully invoiced","")&amp;IF(AK341&gt;0,"; Xero invoiced more than the deal value",""),3,300)</f>
        <v/>
      </c>
    </row>
    <row r="342">
      <c r="T342" s="9">
        <f>IFERROR(INDEX($A342:$R342,MATCH("Status",$A$1:$R$1,0)),"")&amp;""</f>
        <v/>
      </c>
      <c r="U342" s="52">
        <f>IFERROR(N(IFERROR(INDEX($A342:$R342,MATCH("Value Ex GST",$A$1:$R$1,0)),"")),0)</f>
        <v/>
      </c>
      <c r="V342" s="54">
        <f>IF(AND(T342&lt;&gt;"",IFERROR(INDEX($A342:$R342,MATCH("Value Ex GST",$A$1:$R$1,0)),"")&amp;""&lt;&gt;""),1,0)</f>
        <v/>
      </c>
      <c r="W342" s="56">
        <f>IFERROR(N(IFERROR(INDEX($A342:$R342,MATCH("Probability",$A$1:$R$1,0)),"")),0)</f>
        <v/>
      </c>
      <c r="X342" s="52">
        <f>IF(T342="Open",U342*W342,0)</f>
        <v/>
      </c>
      <c r="Y342" s="52">
        <f>IF(T342="Won",IFERROR(N(IFERROR(INDEX($A342:$R342,MATCH("Still to Invoice",$A$1:$R$1,0)),"")),0),0)</f>
        <v/>
      </c>
      <c r="Z342" s="55">
        <f>IFERROR(EOMONTH(IFERROR(INDEX($A342:$R342,MATCH("Expected Invoice Month",$A$1:$R$1,0)),""),0),"")</f>
        <v/>
      </c>
      <c r="AA342" s="9">
        <f>IFERROR(INDEX($A342:$R342,MATCH("Cost Centre",$A$1:$R$1,0)),"")&amp;""</f>
        <v/>
      </c>
      <c r="AB342" s="9">
        <f>IFERROR(INDEX($A342:$R342,MATCH("Pipeline Stage",$A$1:$R$1,0)),"")&amp;""</f>
        <v/>
      </c>
      <c r="AC342" s="9">
        <f>IFERROR(INDEX($A342:$R342,MATCH("Client",$A$1:$R$1,0)),"")&amp;""</f>
        <v/>
      </c>
      <c r="AD342" s="9">
        <f>IFERROR(INDEX($A342:$R342,MATCH("Description",$A$1:$R$1,0)),"")&amp;""</f>
        <v/>
      </c>
      <c r="AE342" s="9">
        <f>IFERROR(INDEX($A342:$R342,MATCH("Job Number",$A$1:$R$1,0)),"")&amp;""</f>
        <v/>
      </c>
      <c r="AF342" s="54">
        <f>IF(AND(T342="Open",ISNUMBER(Z342),Z342&lt;EOMONTH(set_AsAt,-1)+1),3,0)</f>
        <v/>
      </c>
      <c r="AG342" s="54">
        <f>IF(AND(T342="Open",U342&gt;0,U342&gt;=set_DealShare*SUMIFS($U$2:$U$601,$T$2:$T$601,"Open")),3,0)</f>
        <v/>
      </c>
      <c r="AH342" s="54">
        <f>IF(AND(T342="Open",U342&gt;=set_BigValue,W342&lt;=set_EarlyProb),2,0)</f>
        <v/>
      </c>
      <c r="AI342" s="54">
        <f>IF(AND(OR(T342="Open",T342="Won"),V342=0),2,0)</f>
        <v/>
      </c>
      <c r="AJ342" s="54">
        <f>IF(AND(T342="Won",Y342&gt;0.5,ISNUMBER(Z342),Z342&lt;EOMONTH(set_AsAt,-1)+1),3,0)</f>
        <v/>
      </c>
      <c r="AK342" s="54">
        <f>IF(AND(T342="Won",Y342&lt;-1),1,0)</f>
        <v/>
      </c>
      <c r="AL342" s="54">
        <f>SUM(AF342:AK342)</f>
        <v/>
      </c>
      <c r="AM342" s="9">
        <f>IF(AL342&gt;=set_ScoreHigh,"High",IF(AL342&gt;=set_ScoreMed,"Medium",IF(AL342&gt;0,"Low","OK")))</f>
        <v/>
      </c>
      <c r="AN342" s="54">
        <f>IF(OR(T342="Open",AND(T342="Won",ABS(Y342)&gt;0.5)),1,0)</f>
        <v/>
      </c>
      <c r="AO342" s="52">
        <f>IF(T342="Open",IF(V342=0,0,X342),IF(T342="Won",MAX(0,Y342),0))</f>
        <v/>
      </c>
      <c r="AP342" s="54">
        <f>IF(AN342=1,AL342*1E+9+U342+ROW()/1E+6,"")</f>
        <v/>
      </c>
      <c r="AQ342" s="9">
        <f>MID(IF(AF342&gt;0,"; Expected month passed - update Zoho","")&amp;IF(AG342&gt;0,"; "&amp;TEXT(U342/MAX(1,SUMIFS($U$2:$U$601,$T$2:$T$601,"Open")),"0%")&amp;" of open pipeline in one deal","")&amp;IF(AH342&gt;0,"; Large deal at an early stage","")&amp;IF(AI342&gt;0,"; No amount in Zoho","")&amp;IF(AJ342&gt;0,"; Won, invoice month passed, not fully invoiced","")&amp;IF(AK342&gt;0,"; Xero invoiced more than the deal value",""),3,300)</f>
        <v/>
      </c>
    </row>
    <row r="343">
      <c r="T343" s="9">
        <f>IFERROR(INDEX($A343:$R343,MATCH("Status",$A$1:$R$1,0)),"")&amp;""</f>
        <v/>
      </c>
      <c r="U343" s="52">
        <f>IFERROR(N(IFERROR(INDEX($A343:$R343,MATCH("Value Ex GST",$A$1:$R$1,0)),"")),0)</f>
        <v/>
      </c>
      <c r="V343" s="54">
        <f>IF(AND(T343&lt;&gt;"",IFERROR(INDEX($A343:$R343,MATCH("Value Ex GST",$A$1:$R$1,0)),"")&amp;""&lt;&gt;""),1,0)</f>
        <v/>
      </c>
      <c r="W343" s="56">
        <f>IFERROR(N(IFERROR(INDEX($A343:$R343,MATCH("Probability",$A$1:$R$1,0)),"")),0)</f>
        <v/>
      </c>
      <c r="X343" s="52">
        <f>IF(T343="Open",U343*W343,0)</f>
        <v/>
      </c>
      <c r="Y343" s="52">
        <f>IF(T343="Won",IFERROR(N(IFERROR(INDEX($A343:$R343,MATCH("Still to Invoice",$A$1:$R$1,0)),"")),0),0)</f>
        <v/>
      </c>
      <c r="Z343" s="55">
        <f>IFERROR(EOMONTH(IFERROR(INDEX($A343:$R343,MATCH("Expected Invoice Month",$A$1:$R$1,0)),""),0),"")</f>
        <v/>
      </c>
      <c r="AA343" s="9">
        <f>IFERROR(INDEX($A343:$R343,MATCH("Cost Centre",$A$1:$R$1,0)),"")&amp;""</f>
        <v/>
      </c>
      <c r="AB343" s="9">
        <f>IFERROR(INDEX($A343:$R343,MATCH("Pipeline Stage",$A$1:$R$1,0)),"")&amp;""</f>
        <v/>
      </c>
      <c r="AC343" s="9">
        <f>IFERROR(INDEX($A343:$R343,MATCH("Client",$A$1:$R$1,0)),"")&amp;""</f>
        <v/>
      </c>
      <c r="AD343" s="9">
        <f>IFERROR(INDEX($A343:$R343,MATCH("Description",$A$1:$R$1,0)),"")&amp;""</f>
        <v/>
      </c>
      <c r="AE343" s="9">
        <f>IFERROR(INDEX($A343:$R343,MATCH("Job Number",$A$1:$R$1,0)),"")&amp;""</f>
        <v/>
      </c>
      <c r="AF343" s="54">
        <f>IF(AND(T343="Open",ISNUMBER(Z343),Z343&lt;EOMONTH(set_AsAt,-1)+1),3,0)</f>
        <v/>
      </c>
      <c r="AG343" s="54">
        <f>IF(AND(T343="Open",U343&gt;0,U343&gt;=set_DealShare*SUMIFS($U$2:$U$601,$T$2:$T$601,"Open")),3,0)</f>
        <v/>
      </c>
      <c r="AH343" s="54">
        <f>IF(AND(T343="Open",U343&gt;=set_BigValue,W343&lt;=set_EarlyProb),2,0)</f>
        <v/>
      </c>
      <c r="AI343" s="54">
        <f>IF(AND(OR(T343="Open",T343="Won"),V343=0),2,0)</f>
        <v/>
      </c>
      <c r="AJ343" s="54">
        <f>IF(AND(T343="Won",Y343&gt;0.5,ISNUMBER(Z343),Z343&lt;EOMONTH(set_AsAt,-1)+1),3,0)</f>
        <v/>
      </c>
      <c r="AK343" s="54">
        <f>IF(AND(T343="Won",Y343&lt;-1),1,0)</f>
        <v/>
      </c>
      <c r="AL343" s="54">
        <f>SUM(AF343:AK343)</f>
        <v/>
      </c>
      <c r="AM343" s="9">
        <f>IF(AL343&gt;=set_ScoreHigh,"High",IF(AL343&gt;=set_ScoreMed,"Medium",IF(AL343&gt;0,"Low","OK")))</f>
        <v/>
      </c>
      <c r="AN343" s="54">
        <f>IF(OR(T343="Open",AND(T343="Won",ABS(Y343)&gt;0.5)),1,0)</f>
        <v/>
      </c>
      <c r="AO343" s="52">
        <f>IF(T343="Open",IF(V343=0,0,X343),IF(T343="Won",MAX(0,Y343),0))</f>
        <v/>
      </c>
      <c r="AP343" s="54">
        <f>IF(AN343=1,AL343*1E+9+U343+ROW()/1E+6,"")</f>
        <v/>
      </c>
      <c r="AQ343" s="9">
        <f>MID(IF(AF343&gt;0,"; Expected month passed - update Zoho","")&amp;IF(AG343&gt;0,"; "&amp;TEXT(U343/MAX(1,SUMIFS($U$2:$U$601,$T$2:$T$601,"Open")),"0%")&amp;" of open pipeline in one deal","")&amp;IF(AH343&gt;0,"; Large deal at an early stage","")&amp;IF(AI343&gt;0,"; No amount in Zoho","")&amp;IF(AJ343&gt;0,"; Won, invoice month passed, not fully invoiced","")&amp;IF(AK343&gt;0,"; Xero invoiced more than the deal value",""),3,300)</f>
        <v/>
      </c>
    </row>
    <row r="344">
      <c r="T344" s="9">
        <f>IFERROR(INDEX($A344:$R344,MATCH("Status",$A$1:$R$1,0)),"")&amp;""</f>
        <v/>
      </c>
      <c r="U344" s="52">
        <f>IFERROR(N(IFERROR(INDEX($A344:$R344,MATCH("Value Ex GST",$A$1:$R$1,0)),"")),0)</f>
        <v/>
      </c>
      <c r="V344" s="54">
        <f>IF(AND(T344&lt;&gt;"",IFERROR(INDEX($A344:$R344,MATCH("Value Ex GST",$A$1:$R$1,0)),"")&amp;""&lt;&gt;""),1,0)</f>
        <v/>
      </c>
      <c r="W344" s="56">
        <f>IFERROR(N(IFERROR(INDEX($A344:$R344,MATCH("Probability",$A$1:$R$1,0)),"")),0)</f>
        <v/>
      </c>
      <c r="X344" s="52">
        <f>IF(T344="Open",U344*W344,0)</f>
        <v/>
      </c>
      <c r="Y344" s="52">
        <f>IF(T344="Won",IFERROR(N(IFERROR(INDEX($A344:$R344,MATCH("Still to Invoice",$A$1:$R$1,0)),"")),0),0)</f>
        <v/>
      </c>
      <c r="Z344" s="55">
        <f>IFERROR(EOMONTH(IFERROR(INDEX($A344:$R344,MATCH("Expected Invoice Month",$A$1:$R$1,0)),""),0),"")</f>
        <v/>
      </c>
      <c r="AA344" s="9">
        <f>IFERROR(INDEX($A344:$R344,MATCH("Cost Centre",$A$1:$R$1,0)),"")&amp;""</f>
        <v/>
      </c>
      <c r="AB344" s="9">
        <f>IFERROR(INDEX($A344:$R344,MATCH("Pipeline Stage",$A$1:$R$1,0)),"")&amp;""</f>
        <v/>
      </c>
      <c r="AC344" s="9">
        <f>IFERROR(INDEX($A344:$R344,MATCH("Client",$A$1:$R$1,0)),"")&amp;""</f>
        <v/>
      </c>
      <c r="AD344" s="9">
        <f>IFERROR(INDEX($A344:$R344,MATCH("Description",$A$1:$R$1,0)),"")&amp;""</f>
        <v/>
      </c>
      <c r="AE344" s="9">
        <f>IFERROR(INDEX($A344:$R344,MATCH("Job Number",$A$1:$R$1,0)),"")&amp;""</f>
        <v/>
      </c>
      <c r="AF344" s="54">
        <f>IF(AND(T344="Open",ISNUMBER(Z344),Z344&lt;EOMONTH(set_AsAt,-1)+1),3,0)</f>
        <v/>
      </c>
      <c r="AG344" s="54">
        <f>IF(AND(T344="Open",U344&gt;0,U344&gt;=set_DealShare*SUMIFS($U$2:$U$601,$T$2:$T$601,"Open")),3,0)</f>
        <v/>
      </c>
      <c r="AH344" s="54">
        <f>IF(AND(T344="Open",U344&gt;=set_BigValue,W344&lt;=set_EarlyProb),2,0)</f>
        <v/>
      </c>
      <c r="AI344" s="54">
        <f>IF(AND(OR(T344="Open",T344="Won"),V344=0),2,0)</f>
        <v/>
      </c>
      <c r="AJ344" s="54">
        <f>IF(AND(T344="Won",Y344&gt;0.5,ISNUMBER(Z344),Z344&lt;EOMONTH(set_AsAt,-1)+1),3,0)</f>
        <v/>
      </c>
      <c r="AK344" s="54">
        <f>IF(AND(T344="Won",Y344&lt;-1),1,0)</f>
        <v/>
      </c>
      <c r="AL344" s="54">
        <f>SUM(AF344:AK344)</f>
        <v/>
      </c>
      <c r="AM344" s="9">
        <f>IF(AL344&gt;=set_ScoreHigh,"High",IF(AL344&gt;=set_ScoreMed,"Medium",IF(AL344&gt;0,"Low","OK")))</f>
        <v/>
      </c>
      <c r="AN344" s="54">
        <f>IF(OR(T344="Open",AND(T344="Won",ABS(Y344)&gt;0.5)),1,0)</f>
        <v/>
      </c>
      <c r="AO344" s="52">
        <f>IF(T344="Open",IF(V344=0,0,X344),IF(T344="Won",MAX(0,Y344),0))</f>
        <v/>
      </c>
      <c r="AP344" s="54">
        <f>IF(AN344=1,AL344*1E+9+U344+ROW()/1E+6,"")</f>
        <v/>
      </c>
      <c r="AQ344" s="9">
        <f>MID(IF(AF344&gt;0,"; Expected month passed - update Zoho","")&amp;IF(AG344&gt;0,"; "&amp;TEXT(U344/MAX(1,SUMIFS($U$2:$U$601,$T$2:$T$601,"Open")),"0%")&amp;" of open pipeline in one deal","")&amp;IF(AH344&gt;0,"; Large deal at an early stage","")&amp;IF(AI344&gt;0,"; No amount in Zoho","")&amp;IF(AJ344&gt;0,"; Won, invoice month passed, not fully invoiced","")&amp;IF(AK344&gt;0,"; Xero invoiced more than the deal value",""),3,300)</f>
        <v/>
      </c>
    </row>
    <row r="345">
      <c r="T345" s="9">
        <f>IFERROR(INDEX($A345:$R345,MATCH("Status",$A$1:$R$1,0)),"")&amp;""</f>
        <v/>
      </c>
      <c r="U345" s="52">
        <f>IFERROR(N(IFERROR(INDEX($A345:$R345,MATCH("Value Ex GST",$A$1:$R$1,0)),"")),0)</f>
        <v/>
      </c>
      <c r="V345" s="54">
        <f>IF(AND(T345&lt;&gt;"",IFERROR(INDEX($A345:$R345,MATCH("Value Ex GST",$A$1:$R$1,0)),"")&amp;""&lt;&gt;""),1,0)</f>
        <v/>
      </c>
      <c r="W345" s="56">
        <f>IFERROR(N(IFERROR(INDEX($A345:$R345,MATCH("Probability",$A$1:$R$1,0)),"")),0)</f>
        <v/>
      </c>
      <c r="X345" s="52">
        <f>IF(T345="Open",U345*W345,0)</f>
        <v/>
      </c>
      <c r="Y345" s="52">
        <f>IF(T345="Won",IFERROR(N(IFERROR(INDEX($A345:$R345,MATCH("Still to Invoice",$A$1:$R$1,0)),"")),0),0)</f>
        <v/>
      </c>
      <c r="Z345" s="55">
        <f>IFERROR(EOMONTH(IFERROR(INDEX($A345:$R345,MATCH("Expected Invoice Month",$A$1:$R$1,0)),""),0),"")</f>
        <v/>
      </c>
      <c r="AA345" s="9">
        <f>IFERROR(INDEX($A345:$R345,MATCH("Cost Centre",$A$1:$R$1,0)),"")&amp;""</f>
        <v/>
      </c>
      <c r="AB345" s="9">
        <f>IFERROR(INDEX($A345:$R345,MATCH("Pipeline Stage",$A$1:$R$1,0)),"")&amp;""</f>
        <v/>
      </c>
      <c r="AC345" s="9">
        <f>IFERROR(INDEX($A345:$R345,MATCH("Client",$A$1:$R$1,0)),"")&amp;""</f>
        <v/>
      </c>
      <c r="AD345" s="9">
        <f>IFERROR(INDEX($A345:$R345,MATCH("Description",$A$1:$R$1,0)),"")&amp;""</f>
        <v/>
      </c>
      <c r="AE345" s="9">
        <f>IFERROR(INDEX($A345:$R345,MATCH("Job Number",$A$1:$R$1,0)),"")&amp;""</f>
        <v/>
      </c>
      <c r="AF345" s="54">
        <f>IF(AND(T345="Open",ISNUMBER(Z345),Z345&lt;EOMONTH(set_AsAt,-1)+1),3,0)</f>
        <v/>
      </c>
      <c r="AG345" s="54">
        <f>IF(AND(T345="Open",U345&gt;0,U345&gt;=set_DealShare*SUMIFS($U$2:$U$601,$T$2:$T$601,"Open")),3,0)</f>
        <v/>
      </c>
      <c r="AH345" s="54">
        <f>IF(AND(T345="Open",U345&gt;=set_BigValue,W345&lt;=set_EarlyProb),2,0)</f>
        <v/>
      </c>
      <c r="AI345" s="54">
        <f>IF(AND(OR(T345="Open",T345="Won"),V345=0),2,0)</f>
        <v/>
      </c>
      <c r="AJ345" s="54">
        <f>IF(AND(T345="Won",Y345&gt;0.5,ISNUMBER(Z345),Z345&lt;EOMONTH(set_AsAt,-1)+1),3,0)</f>
        <v/>
      </c>
      <c r="AK345" s="54">
        <f>IF(AND(T345="Won",Y345&lt;-1),1,0)</f>
        <v/>
      </c>
      <c r="AL345" s="54">
        <f>SUM(AF345:AK345)</f>
        <v/>
      </c>
      <c r="AM345" s="9">
        <f>IF(AL345&gt;=set_ScoreHigh,"High",IF(AL345&gt;=set_ScoreMed,"Medium",IF(AL345&gt;0,"Low","OK")))</f>
        <v/>
      </c>
      <c r="AN345" s="54">
        <f>IF(OR(T345="Open",AND(T345="Won",ABS(Y345)&gt;0.5)),1,0)</f>
        <v/>
      </c>
      <c r="AO345" s="52">
        <f>IF(T345="Open",IF(V345=0,0,X345),IF(T345="Won",MAX(0,Y345),0))</f>
        <v/>
      </c>
      <c r="AP345" s="54">
        <f>IF(AN345=1,AL345*1E+9+U345+ROW()/1E+6,"")</f>
        <v/>
      </c>
      <c r="AQ345" s="9">
        <f>MID(IF(AF345&gt;0,"; Expected month passed - update Zoho","")&amp;IF(AG345&gt;0,"; "&amp;TEXT(U345/MAX(1,SUMIFS($U$2:$U$601,$T$2:$T$601,"Open")),"0%")&amp;" of open pipeline in one deal","")&amp;IF(AH345&gt;0,"; Large deal at an early stage","")&amp;IF(AI345&gt;0,"; No amount in Zoho","")&amp;IF(AJ345&gt;0,"; Won, invoice month passed, not fully invoiced","")&amp;IF(AK345&gt;0,"; Xero invoiced more than the deal value",""),3,300)</f>
        <v/>
      </c>
    </row>
    <row r="346">
      <c r="T346" s="9">
        <f>IFERROR(INDEX($A346:$R346,MATCH("Status",$A$1:$R$1,0)),"")&amp;""</f>
        <v/>
      </c>
      <c r="U346" s="52">
        <f>IFERROR(N(IFERROR(INDEX($A346:$R346,MATCH("Value Ex GST",$A$1:$R$1,0)),"")),0)</f>
        <v/>
      </c>
      <c r="V346" s="54">
        <f>IF(AND(T346&lt;&gt;"",IFERROR(INDEX($A346:$R346,MATCH("Value Ex GST",$A$1:$R$1,0)),"")&amp;""&lt;&gt;""),1,0)</f>
        <v/>
      </c>
      <c r="W346" s="56">
        <f>IFERROR(N(IFERROR(INDEX($A346:$R346,MATCH("Probability",$A$1:$R$1,0)),"")),0)</f>
        <v/>
      </c>
      <c r="X346" s="52">
        <f>IF(T346="Open",U346*W346,0)</f>
        <v/>
      </c>
      <c r="Y346" s="52">
        <f>IF(T346="Won",IFERROR(N(IFERROR(INDEX($A346:$R346,MATCH("Still to Invoice",$A$1:$R$1,0)),"")),0),0)</f>
        <v/>
      </c>
      <c r="Z346" s="55">
        <f>IFERROR(EOMONTH(IFERROR(INDEX($A346:$R346,MATCH("Expected Invoice Month",$A$1:$R$1,0)),""),0),"")</f>
        <v/>
      </c>
      <c r="AA346" s="9">
        <f>IFERROR(INDEX($A346:$R346,MATCH("Cost Centre",$A$1:$R$1,0)),"")&amp;""</f>
        <v/>
      </c>
      <c r="AB346" s="9">
        <f>IFERROR(INDEX($A346:$R346,MATCH("Pipeline Stage",$A$1:$R$1,0)),"")&amp;""</f>
        <v/>
      </c>
      <c r="AC346" s="9">
        <f>IFERROR(INDEX($A346:$R346,MATCH("Client",$A$1:$R$1,0)),"")&amp;""</f>
        <v/>
      </c>
      <c r="AD346" s="9">
        <f>IFERROR(INDEX($A346:$R346,MATCH("Description",$A$1:$R$1,0)),"")&amp;""</f>
        <v/>
      </c>
      <c r="AE346" s="9">
        <f>IFERROR(INDEX($A346:$R346,MATCH("Job Number",$A$1:$R$1,0)),"")&amp;""</f>
        <v/>
      </c>
      <c r="AF346" s="54">
        <f>IF(AND(T346="Open",ISNUMBER(Z346),Z346&lt;EOMONTH(set_AsAt,-1)+1),3,0)</f>
        <v/>
      </c>
      <c r="AG346" s="54">
        <f>IF(AND(T346="Open",U346&gt;0,U346&gt;=set_DealShare*SUMIFS($U$2:$U$601,$T$2:$T$601,"Open")),3,0)</f>
        <v/>
      </c>
      <c r="AH346" s="54">
        <f>IF(AND(T346="Open",U346&gt;=set_BigValue,W346&lt;=set_EarlyProb),2,0)</f>
        <v/>
      </c>
      <c r="AI346" s="54">
        <f>IF(AND(OR(T346="Open",T346="Won"),V346=0),2,0)</f>
        <v/>
      </c>
      <c r="AJ346" s="54">
        <f>IF(AND(T346="Won",Y346&gt;0.5,ISNUMBER(Z346),Z346&lt;EOMONTH(set_AsAt,-1)+1),3,0)</f>
        <v/>
      </c>
      <c r="AK346" s="54">
        <f>IF(AND(T346="Won",Y346&lt;-1),1,0)</f>
        <v/>
      </c>
      <c r="AL346" s="54">
        <f>SUM(AF346:AK346)</f>
        <v/>
      </c>
      <c r="AM346" s="9">
        <f>IF(AL346&gt;=set_ScoreHigh,"High",IF(AL346&gt;=set_ScoreMed,"Medium",IF(AL346&gt;0,"Low","OK")))</f>
        <v/>
      </c>
      <c r="AN346" s="54">
        <f>IF(OR(T346="Open",AND(T346="Won",ABS(Y346)&gt;0.5)),1,0)</f>
        <v/>
      </c>
      <c r="AO346" s="52">
        <f>IF(T346="Open",IF(V346=0,0,X346),IF(T346="Won",MAX(0,Y346),0))</f>
        <v/>
      </c>
      <c r="AP346" s="54">
        <f>IF(AN346=1,AL346*1E+9+U346+ROW()/1E+6,"")</f>
        <v/>
      </c>
      <c r="AQ346" s="9">
        <f>MID(IF(AF346&gt;0,"; Expected month passed - update Zoho","")&amp;IF(AG346&gt;0,"; "&amp;TEXT(U346/MAX(1,SUMIFS($U$2:$U$601,$T$2:$T$601,"Open")),"0%")&amp;" of open pipeline in one deal","")&amp;IF(AH346&gt;0,"; Large deal at an early stage","")&amp;IF(AI346&gt;0,"; No amount in Zoho","")&amp;IF(AJ346&gt;0,"; Won, invoice month passed, not fully invoiced","")&amp;IF(AK346&gt;0,"; Xero invoiced more than the deal value",""),3,300)</f>
        <v/>
      </c>
    </row>
    <row r="347">
      <c r="T347" s="9">
        <f>IFERROR(INDEX($A347:$R347,MATCH("Status",$A$1:$R$1,0)),"")&amp;""</f>
        <v/>
      </c>
      <c r="U347" s="52">
        <f>IFERROR(N(IFERROR(INDEX($A347:$R347,MATCH("Value Ex GST",$A$1:$R$1,0)),"")),0)</f>
        <v/>
      </c>
      <c r="V347" s="54">
        <f>IF(AND(T347&lt;&gt;"",IFERROR(INDEX($A347:$R347,MATCH("Value Ex GST",$A$1:$R$1,0)),"")&amp;""&lt;&gt;""),1,0)</f>
        <v/>
      </c>
      <c r="W347" s="56">
        <f>IFERROR(N(IFERROR(INDEX($A347:$R347,MATCH("Probability",$A$1:$R$1,0)),"")),0)</f>
        <v/>
      </c>
      <c r="X347" s="52">
        <f>IF(T347="Open",U347*W347,0)</f>
        <v/>
      </c>
      <c r="Y347" s="52">
        <f>IF(T347="Won",IFERROR(N(IFERROR(INDEX($A347:$R347,MATCH("Still to Invoice",$A$1:$R$1,0)),"")),0),0)</f>
        <v/>
      </c>
      <c r="Z347" s="55">
        <f>IFERROR(EOMONTH(IFERROR(INDEX($A347:$R347,MATCH("Expected Invoice Month",$A$1:$R$1,0)),""),0),"")</f>
        <v/>
      </c>
      <c r="AA347" s="9">
        <f>IFERROR(INDEX($A347:$R347,MATCH("Cost Centre",$A$1:$R$1,0)),"")&amp;""</f>
        <v/>
      </c>
      <c r="AB347" s="9">
        <f>IFERROR(INDEX($A347:$R347,MATCH("Pipeline Stage",$A$1:$R$1,0)),"")&amp;""</f>
        <v/>
      </c>
      <c r="AC347" s="9">
        <f>IFERROR(INDEX($A347:$R347,MATCH("Client",$A$1:$R$1,0)),"")&amp;""</f>
        <v/>
      </c>
      <c r="AD347" s="9">
        <f>IFERROR(INDEX($A347:$R347,MATCH("Description",$A$1:$R$1,0)),"")&amp;""</f>
        <v/>
      </c>
      <c r="AE347" s="9">
        <f>IFERROR(INDEX($A347:$R347,MATCH("Job Number",$A$1:$R$1,0)),"")&amp;""</f>
        <v/>
      </c>
      <c r="AF347" s="54">
        <f>IF(AND(T347="Open",ISNUMBER(Z347),Z347&lt;EOMONTH(set_AsAt,-1)+1),3,0)</f>
        <v/>
      </c>
      <c r="AG347" s="54">
        <f>IF(AND(T347="Open",U347&gt;0,U347&gt;=set_DealShare*SUMIFS($U$2:$U$601,$T$2:$T$601,"Open")),3,0)</f>
        <v/>
      </c>
      <c r="AH347" s="54">
        <f>IF(AND(T347="Open",U347&gt;=set_BigValue,W347&lt;=set_EarlyProb),2,0)</f>
        <v/>
      </c>
      <c r="AI347" s="54">
        <f>IF(AND(OR(T347="Open",T347="Won"),V347=0),2,0)</f>
        <v/>
      </c>
      <c r="AJ347" s="54">
        <f>IF(AND(T347="Won",Y347&gt;0.5,ISNUMBER(Z347),Z347&lt;EOMONTH(set_AsAt,-1)+1),3,0)</f>
        <v/>
      </c>
      <c r="AK347" s="54">
        <f>IF(AND(T347="Won",Y347&lt;-1),1,0)</f>
        <v/>
      </c>
      <c r="AL347" s="54">
        <f>SUM(AF347:AK347)</f>
        <v/>
      </c>
      <c r="AM347" s="9">
        <f>IF(AL347&gt;=set_ScoreHigh,"High",IF(AL347&gt;=set_ScoreMed,"Medium",IF(AL347&gt;0,"Low","OK")))</f>
        <v/>
      </c>
      <c r="AN347" s="54">
        <f>IF(OR(T347="Open",AND(T347="Won",ABS(Y347)&gt;0.5)),1,0)</f>
        <v/>
      </c>
      <c r="AO347" s="52">
        <f>IF(T347="Open",IF(V347=0,0,X347),IF(T347="Won",MAX(0,Y347),0))</f>
        <v/>
      </c>
      <c r="AP347" s="54">
        <f>IF(AN347=1,AL347*1E+9+U347+ROW()/1E+6,"")</f>
        <v/>
      </c>
      <c r="AQ347" s="9">
        <f>MID(IF(AF347&gt;0,"; Expected month passed - update Zoho","")&amp;IF(AG347&gt;0,"; "&amp;TEXT(U347/MAX(1,SUMIFS($U$2:$U$601,$T$2:$T$601,"Open")),"0%")&amp;" of open pipeline in one deal","")&amp;IF(AH347&gt;0,"; Large deal at an early stage","")&amp;IF(AI347&gt;0,"; No amount in Zoho","")&amp;IF(AJ347&gt;0,"; Won, invoice month passed, not fully invoiced","")&amp;IF(AK347&gt;0,"; Xero invoiced more than the deal value",""),3,300)</f>
        <v/>
      </c>
    </row>
    <row r="348">
      <c r="T348" s="9">
        <f>IFERROR(INDEX($A348:$R348,MATCH("Status",$A$1:$R$1,0)),"")&amp;""</f>
        <v/>
      </c>
      <c r="U348" s="52">
        <f>IFERROR(N(IFERROR(INDEX($A348:$R348,MATCH("Value Ex GST",$A$1:$R$1,0)),"")),0)</f>
        <v/>
      </c>
      <c r="V348" s="54">
        <f>IF(AND(T348&lt;&gt;"",IFERROR(INDEX($A348:$R348,MATCH("Value Ex GST",$A$1:$R$1,0)),"")&amp;""&lt;&gt;""),1,0)</f>
        <v/>
      </c>
      <c r="W348" s="56">
        <f>IFERROR(N(IFERROR(INDEX($A348:$R348,MATCH("Probability",$A$1:$R$1,0)),"")),0)</f>
        <v/>
      </c>
      <c r="X348" s="52">
        <f>IF(T348="Open",U348*W348,0)</f>
        <v/>
      </c>
      <c r="Y348" s="52">
        <f>IF(T348="Won",IFERROR(N(IFERROR(INDEX($A348:$R348,MATCH("Still to Invoice",$A$1:$R$1,0)),"")),0),0)</f>
        <v/>
      </c>
      <c r="Z348" s="55">
        <f>IFERROR(EOMONTH(IFERROR(INDEX($A348:$R348,MATCH("Expected Invoice Month",$A$1:$R$1,0)),""),0),"")</f>
        <v/>
      </c>
      <c r="AA348" s="9">
        <f>IFERROR(INDEX($A348:$R348,MATCH("Cost Centre",$A$1:$R$1,0)),"")&amp;""</f>
        <v/>
      </c>
      <c r="AB348" s="9">
        <f>IFERROR(INDEX($A348:$R348,MATCH("Pipeline Stage",$A$1:$R$1,0)),"")&amp;""</f>
        <v/>
      </c>
      <c r="AC348" s="9">
        <f>IFERROR(INDEX($A348:$R348,MATCH("Client",$A$1:$R$1,0)),"")&amp;""</f>
        <v/>
      </c>
      <c r="AD348" s="9">
        <f>IFERROR(INDEX($A348:$R348,MATCH("Description",$A$1:$R$1,0)),"")&amp;""</f>
        <v/>
      </c>
      <c r="AE348" s="9">
        <f>IFERROR(INDEX($A348:$R348,MATCH("Job Number",$A$1:$R$1,0)),"")&amp;""</f>
        <v/>
      </c>
      <c r="AF348" s="54">
        <f>IF(AND(T348="Open",ISNUMBER(Z348),Z348&lt;EOMONTH(set_AsAt,-1)+1),3,0)</f>
        <v/>
      </c>
      <c r="AG348" s="54">
        <f>IF(AND(T348="Open",U348&gt;0,U348&gt;=set_DealShare*SUMIFS($U$2:$U$601,$T$2:$T$601,"Open")),3,0)</f>
        <v/>
      </c>
      <c r="AH348" s="54">
        <f>IF(AND(T348="Open",U348&gt;=set_BigValue,W348&lt;=set_EarlyProb),2,0)</f>
        <v/>
      </c>
      <c r="AI348" s="54">
        <f>IF(AND(OR(T348="Open",T348="Won"),V348=0),2,0)</f>
        <v/>
      </c>
      <c r="AJ348" s="54">
        <f>IF(AND(T348="Won",Y348&gt;0.5,ISNUMBER(Z348),Z348&lt;EOMONTH(set_AsAt,-1)+1),3,0)</f>
        <v/>
      </c>
      <c r="AK348" s="54">
        <f>IF(AND(T348="Won",Y348&lt;-1),1,0)</f>
        <v/>
      </c>
      <c r="AL348" s="54">
        <f>SUM(AF348:AK348)</f>
        <v/>
      </c>
      <c r="AM348" s="9">
        <f>IF(AL348&gt;=set_ScoreHigh,"High",IF(AL348&gt;=set_ScoreMed,"Medium",IF(AL348&gt;0,"Low","OK")))</f>
        <v/>
      </c>
      <c r="AN348" s="54">
        <f>IF(OR(T348="Open",AND(T348="Won",ABS(Y348)&gt;0.5)),1,0)</f>
        <v/>
      </c>
      <c r="AO348" s="52">
        <f>IF(T348="Open",IF(V348=0,0,X348),IF(T348="Won",MAX(0,Y348),0))</f>
        <v/>
      </c>
      <c r="AP348" s="54">
        <f>IF(AN348=1,AL348*1E+9+U348+ROW()/1E+6,"")</f>
        <v/>
      </c>
      <c r="AQ348" s="9">
        <f>MID(IF(AF348&gt;0,"; Expected month passed - update Zoho","")&amp;IF(AG348&gt;0,"; "&amp;TEXT(U348/MAX(1,SUMIFS($U$2:$U$601,$T$2:$T$601,"Open")),"0%")&amp;" of open pipeline in one deal","")&amp;IF(AH348&gt;0,"; Large deal at an early stage","")&amp;IF(AI348&gt;0,"; No amount in Zoho","")&amp;IF(AJ348&gt;0,"; Won, invoice month passed, not fully invoiced","")&amp;IF(AK348&gt;0,"; Xero invoiced more than the deal value",""),3,300)</f>
        <v/>
      </c>
    </row>
    <row r="349">
      <c r="T349" s="9">
        <f>IFERROR(INDEX($A349:$R349,MATCH("Status",$A$1:$R$1,0)),"")&amp;""</f>
        <v/>
      </c>
      <c r="U349" s="52">
        <f>IFERROR(N(IFERROR(INDEX($A349:$R349,MATCH("Value Ex GST",$A$1:$R$1,0)),"")),0)</f>
        <v/>
      </c>
      <c r="V349" s="54">
        <f>IF(AND(T349&lt;&gt;"",IFERROR(INDEX($A349:$R349,MATCH("Value Ex GST",$A$1:$R$1,0)),"")&amp;""&lt;&gt;""),1,0)</f>
        <v/>
      </c>
      <c r="W349" s="56">
        <f>IFERROR(N(IFERROR(INDEX($A349:$R349,MATCH("Probability",$A$1:$R$1,0)),"")),0)</f>
        <v/>
      </c>
      <c r="X349" s="52">
        <f>IF(T349="Open",U349*W349,0)</f>
        <v/>
      </c>
      <c r="Y349" s="52">
        <f>IF(T349="Won",IFERROR(N(IFERROR(INDEX($A349:$R349,MATCH("Still to Invoice",$A$1:$R$1,0)),"")),0),0)</f>
        <v/>
      </c>
      <c r="Z349" s="55">
        <f>IFERROR(EOMONTH(IFERROR(INDEX($A349:$R349,MATCH("Expected Invoice Month",$A$1:$R$1,0)),""),0),"")</f>
        <v/>
      </c>
      <c r="AA349" s="9">
        <f>IFERROR(INDEX($A349:$R349,MATCH("Cost Centre",$A$1:$R$1,0)),"")&amp;""</f>
        <v/>
      </c>
      <c r="AB349" s="9">
        <f>IFERROR(INDEX($A349:$R349,MATCH("Pipeline Stage",$A$1:$R$1,0)),"")&amp;""</f>
        <v/>
      </c>
      <c r="AC349" s="9">
        <f>IFERROR(INDEX($A349:$R349,MATCH("Client",$A$1:$R$1,0)),"")&amp;""</f>
        <v/>
      </c>
      <c r="AD349" s="9">
        <f>IFERROR(INDEX($A349:$R349,MATCH("Description",$A$1:$R$1,0)),"")&amp;""</f>
        <v/>
      </c>
      <c r="AE349" s="9">
        <f>IFERROR(INDEX($A349:$R349,MATCH("Job Number",$A$1:$R$1,0)),"")&amp;""</f>
        <v/>
      </c>
      <c r="AF349" s="54">
        <f>IF(AND(T349="Open",ISNUMBER(Z349),Z349&lt;EOMONTH(set_AsAt,-1)+1),3,0)</f>
        <v/>
      </c>
      <c r="AG349" s="54">
        <f>IF(AND(T349="Open",U349&gt;0,U349&gt;=set_DealShare*SUMIFS($U$2:$U$601,$T$2:$T$601,"Open")),3,0)</f>
        <v/>
      </c>
      <c r="AH349" s="54">
        <f>IF(AND(T349="Open",U349&gt;=set_BigValue,W349&lt;=set_EarlyProb),2,0)</f>
        <v/>
      </c>
      <c r="AI349" s="54">
        <f>IF(AND(OR(T349="Open",T349="Won"),V349=0),2,0)</f>
        <v/>
      </c>
      <c r="AJ349" s="54">
        <f>IF(AND(T349="Won",Y349&gt;0.5,ISNUMBER(Z349),Z349&lt;EOMONTH(set_AsAt,-1)+1),3,0)</f>
        <v/>
      </c>
      <c r="AK349" s="54">
        <f>IF(AND(T349="Won",Y349&lt;-1),1,0)</f>
        <v/>
      </c>
      <c r="AL349" s="54">
        <f>SUM(AF349:AK349)</f>
        <v/>
      </c>
      <c r="AM349" s="9">
        <f>IF(AL349&gt;=set_ScoreHigh,"High",IF(AL349&gt;=set_ScoreMed,"Medium",IF(AL349&gt;0,"Low","OK")))</f>
        <v/>
      </c>
      <c r="AN349" s="54">
        <f>IF(OR(T349="Open",AND(T349="Won",ABS(Y349)&gt;0.5)),1,0)</f>
        <v/>
      </c>
      <c r="AO349" s="52">
        <f>IF(T349="Open",IF(V349=0,0,X349),IF(T349="Won",MAX(0,Y349),0))</f>
        <v/>
      </c>
      <c r="AP349" s="54">
        <f>IF(AN349=1,AL349*1E+9+U349+ROW()/1E+6,"")</f>
        <v/>
      </c>
      <c r="AQ349" s="9">
        <f>MID(IF(AF349&gt;0,"; Expected month passed - update Zoho","")&amp;IF(AG349&gt;0,"; "&amp;TEXT(U349/MAX(1,SUMIFS($U$2:$U$601,$T$2:$T$601,"Open")),"0%")&amp;" of open pipeline in one deal","")&amp;IF(AH349&gt;0,"; Large deal at an early stage","")&amp;IF(AI349&gt;0,"; No amount in Zoho","")&amp;IF(AJ349&gt;0,"; Won, invoice month passed, not fully invoiced","")&amp;IF(AK349&gt;0,"; Xero invoiced more than the deal value",""),3,300)</f>
        <v/>
      </c>
    </row>
    <row r="350">
      <c r="T350" s="9">
        <f>IFERROR(INDEX($A350:$R350,MATCH("Status",$A$1:$R$1,0)),"")&amp;""</f>
        <v/>
      </c>
      <c r="U350" s="52">
        <f>IFERROR(N(IFERROR(INDEX($A350:$R350,MATCH("Value Ex GST",$A$1:$R$1,0)),"")),0)</f>
        <v/>
      </c>
      <c r="V350" s="54">
        <f>IF(AND(T350&lt;&gt;"",IFERROR(INDEX($A350:$R350,MATCH("Value Ex GST",$A$1:$R$1,0)),"")&amp;""&lt;&gt;""),1,0)</f>
        <v/>
      </c>
      <c r="W350" s="56">
        <f>IFERROR(N(IFERROR(INDEX($A350:$R350,MATCH("Probability",$A$1:$R$1,0)),"")),0)</f>
        <v/>
      </c>
      <c r="X350" s="52">
        <f>IF(T350="Open",U350*W350,0)</f>
        <v/>
      </c>
      <c r="Y350" s="52">
        <f>IF(T350="Won",IFERROR(N(IFERROR(INDEX($A350:$R350,MATCH("Still to Invoice",$A$1:$R$1,0)),"")),0),0)</f>
        <v/>
      </c>
      <c r="Z350" s="55">
        <f>IFERROR(EOMONTH(IFERROR(INDEX($A350:$R350,MATCH("Expected Invoice Month",$A$1:$R$1,0)),""),0),"")</f>
        <v/>
      </c>
      <c r="AA350" s="9">
        <f>IFERROR(INDEX($A350:$R350,MATCH("Cost Centre",$A$1:$R$1,0)),"")&amp;""</f>
        <v/>
      </c>
      <c r="AB350" s="9">
        <f>IFERROR(INDEX($A350:$R350,MATCH("Pipeline Stage",$A$1:$R$1,0)),"")&amp;""</f>
        <v/>
      </c>
      <c r="AC350" s="9">
        <f>IFERROR(INDEX($A350:$R350,MATCH("Client",$A$1:$R$1,0)),"")&amp;""</f>
        <v/>
      </c>
      <c r="AD350" s="9">
        <f>IFERROR(INDEX($A350:$R350,MATCH("Description",$A$1:$R$1,0)),"")&amp;""</f>
        <v/>
      </c>
      <c r="AE350" s="9">
        <f>IFERROR(INDEX($A350:$R350,MATCH("Job Number",$A$1:$R$1,0)),"")&amp;""</f>
        <v/>
      </c>
      <c r="AF350" s="54">
        <f>IF(AND(T350="Open",ISNUMBER(Z350),Z350&lt;EOMONTH(set_AsAt,-1)+1),3,0)</f>
        <v/>
      </c>
      <c r="AG350" s="54">
        <f>IF(AND(T350="Open",U350&gt;0,U350&gt;=set_DealShare*SUMIFS($U$2:$U$601,$T$2:$T$601,"Open")),3,0)</f>
        <v/>
      </c>
      <c r="AH350" s="54">
        <f>IF(AND(T350="Open",U350&gt;=set_BigValue,W350&lt;=set_EarlyProb),2,0)</f>
        <v/>
      </c>
      <c r="AI350" s="54">
        <f>IF(AND(OR(T350="Open",T350="Won"),V350=0),2,0)</f>
        <v/>
      </c>
      <c r="AJ350" s="54">
        <f>IF(AND(T350="Won",Y350&gt;0.5,ISNUMBER(Z350),Z350&lt;EOMONTH(set_AsAt,-1)+1),3,0)</f>
        <v/>
      </c>
      <c r="AK350" s="54">
        <f>IF(AND(T350="Won",Y350&lt;-1),1,0)</f>
        <v/>
      </c>
      <c r="AL350" s="54">
        <f>SUM(AF350:AK350)</f>
        <v/>
      </c>
      <c r="AM350" s="9">
        <f>IF(AL350&gt;=set_ScoreHigh,"High",IF(AL350&gt;=set_ScoreMed,"Medium",IF(AL350&gt;0,"Low","OK")))</f>
        <v/>
      </c>
      <c r="AN350" s="54">
        <f>IF(OR(T350="Open",AND(T350="Won",ABS(Y350)&gt;0.5)),1,0)</f>
        <v/>
      </c>
      <c r="AO350" s="52">
        <f>IF(T350="Open",IF(V350=0,0,X350),IF(T350="Won",MAX(0,Y350),0))</f>
        <v/>
      </c>
      <c r="AP350" s="54">
        <f>IF(AN350=1,AL350*1E+9+U350+ROW()/1E+6,"")</f>
        <v/>
      </c>
      <c r="AQ350" s="9">
        <f>MID(IF(AF350&gt;0,"; Expected month passed - update Zoho","")&amp;IF(AG350&gt;0,"; "&amp;TEXT(U350/MAX(1,SUMIFS($U$2:$U$601,$T$2:$T$601,"Open")),"0%")&amp;" of open pipeline in one deal","")&amp;IF(AH350&gt;0,"; Large deal at an early stage","")&amp;IF(AI350&gt;0,"; No amount in Zoho","")&amp;IF(AJ350&gt;0,"; Won, invoice month passed, not fully invoiced","")&amp;IF(AK350&gt;0,"; Xero invoiced more than the deal value",""),3,300)</f>
        <v/>
      </c>
    </row>
    <row r="351">
      <c r="T351" s="9">
        <f>IFERROR(INDEX($A351:$R351,MATCH("Status",$A$1:$R$1,0)),"")&amp;""</f>
        <v/>
      </c>
      <c r="U351" s="52">
        <f>IFERROR(N(IFERROR(INDEX($A351:$R351,MATCH("Value Ex GST",$A$1:$R$1,0)),"")),0)</f>
        <v/>
      </c>
      <c r="V351" s="54">
        <f>IF(AND(T351&lt;&gt;"",IFERROR(INDEX($A351:$R351,MATCH("Value Ex GST",$A$1:$R$1,0)),"")&amp;""&lt;&gt;""),1,0)</f>
        <v/>
      </c>
      <c r="W351" s="56">
        <f>IFERROR(N(IFERROR(INDEX($A351:$R351,MATCH("Probability",$A$1:$R$1,0)),"")),0)</f>
        <v/>
      </c>
      <c r="X351" s="52">
        <f>IF(T351="Open",U351*W351,0)</f>
        <v/>
      </c>
      <c r="Y351" s="52">
        <f>IF(T351="Won",IFERROR(N(IFERROR(INDEX($A351:$R351,MATCH("Still to Invoice",$A$1:$R$1,0)),"")),0),0)</f>
        <v/>
      </c>
      <c r="Z351" s="55">
        <f>IFERROR(EOMONTH(IFERROR(INDEX($A351:$R351,MATCH("Expected Invoice Month",$A$1:$R$1,0)),""),0),"")</f>
        <v/>
      </c>
      <c r="AA351" s="9">
        <f>IFERROR(INDEX($A351:$R351,MATCH("Cost Centre",$A$1:$R$1,0)),"")&amp;""</f>
        <v/>
      </c>
      <c r="AB351" s="9">
        <f>IFERROR(INDEX($A351:$R351,MATCH("Pipeline Stage",$A$1:$R$1,0)),"")&amp;""</f>
        <v/>
      </c>
      <c r="AC351" s="9">
        <f>IFERROR(INDEX($A351:$R351,MATCH("Client",$A$1:$R$1,0)),"")&amp;""</f>
        <v/>
      </c>
      <c r="AD351" s="9">
        <f>IFERROR(INDEX($A351:$R351,MATCH("Description",$A$1:$R$1,0)),"")&amp;""</f>
        <v/>
      </c>
      <c r="AE351" s="9">
        <f>IFERROR(INDEX($A351:$R351,MATCH("Job Number",$A$1:$R$1,0)),"")&amp;""</f>
        <v/>
      </c>
      <c r="AF351" s="54">
        <f>IF(AND(T351="Open",ISNUMBER(Z351),Z351&lt;EOMONTH(set_AsAt,-1)+1),3,0)</f>
        <v/>
      </c>
      <c r="AG351" s="54">
        <f>IF(AND(T351="Open",U351&gt;0,U351&gt;=set_DealShare*SUMIFS($U$2:$U$601,$T$2:$T$601,"Open")),3,0)</f>
        <v/>
      </c>
      <c r="AH351" s="54">
        <f>IF(AND(T351="Open",U351&gt;=set_BigValue,W351&lt;=set_EarlyProb),2,0)</f>
        <v/>
      </c>
      <c r="AI351" s="54">
        <f>IF(AND(OR(T351="Open",T351="Won"),V351=0),2,0)</f>
        <v/>
      </c>
      <c r="AJ351" s="54">
        <f>IF(AND(T351="Won",Y351&gt;0.5,ISNUMBER(Z351),Z351&lt;EOMONTH(set_AsAt,-1)+1),3,0)</f>
        <v/>
      </c>
      <c r="AK351" s="54">
        <f>IF(AND(T351="Won",Y351&lt;-1),1,0)</f>
        <v/>
      </c>
      <c r="AL351" s="54">
        <f>SUM(AF351:AK351)</f>
        <v/>
      </c>
      <c r="AM351" s="9">
        <f>IF(AL351&gt;=set_ScoreHigh,"High",IF(AL351&gt;=set_ScoreMed,"Medium",IF(AL351&gt;0,"Low","OK")))</f>
        <v/>
      </c>
      <c r="AN351" s="54">
        <f>IF(OR(T351="Open",AND(T351="Won",ABS(Y351)&gt;0.5)),1,0)</f>
        <v/>
      </c>
      <c r="AO351" s="52">
        <f>IF(T351="Open",IF(V351=0,0,X351),IF(T351="Won",MAX(0,Y351),0))</f>
        <v/>
      </c>
      <c r="AP351" s="54">
        <f>IF(AN351=1,AL351*1E+9+U351+ROW()/1E+6,"")</f>
        <v/>
      </c>
      <c r="AQ351" s="9">
        <f>MID(IF(AF351&gt;0,"; Expected month passed - update Zoho","")&amp;IF(AG351&gt;0,"; "&amp;TEXT(U351/MAX(1,SUMIFS($U$2:$U$601,$T$2:$T$601,"Open")),"0%")&amp;" of open pipeline in one deal","")&amp;IF(AH351&gt;0,"; Large deal at an early stage","")&amp;IF(AI351&gt;0,"; No amount in Zoho","")&amp;IF(AJ351&gt;0,"; Won, invoice month passed, not fully invoiced","")&amp;IF(AK351&gt;0,"; Xero invoiced more than the deal value",""),3,300)</f>
        <v/>
      </c>
    </row>
    <row r="352">
      <c r="T352" s="9">
        <f>IFERROR(INDEX($A352:$R352,MATCH("Status",$A$1:$R$1,0)),"")&amp;""</f>
        <v/>
      </c>
      <c r="U352" s="52">
        <f>IFERROR(N(IFERROR(INDEX($A352:$R352,MATCH("Value Ex GST",$A$1:$R$1,0)),"")),0)</f>
        <v/>
      </c>
      <c r="V352" s="54">
        <f>IF(AND(T352&lt;&gt;"",IFERROR(INDEX($A352:$R352,MATCH("Value Ex GST",$A$1:$R$1,0)),"")&amp;""&lt;&gt;""),1,0)</f>
        <v/>
      </c>
      <c r="W352" s="56">
        <f>IFERROR(N(IFERROR(INDEX($A352:$R352,MATCH("Probability",$A$1:$R$1,0)),"")),0)</f>
        <v/>
      </c>
      <c r="X352" s="52">
        <f>IF(T352="Open",U352*W352,0)</f>
        <v/>
      </c>
      <c r="Y352" s="52">
        <f>IF(T352="Won",IFERROR(N(IFERROR(INDEX($A352:$R352,MATCH("Still to Invoice",$A$1:$R$1,0)),"")),0),0)</f>
        <v/>
      </c>
      <c r="Z352" s="55">
        <f>IFERROR(EOMONTH(IFERROR(INDEX($A352:$R352,MATCH("Expected Invoice Month",$A$1:$R$1,0)),""),0),"")</f>
        <v/>
      </c>
      <c r="AA352" s="9">
        <f>IFERROR(INDEX($A352:$R352,MATCH("Cost Centre",$A$1:$R$1,0)),"")&amp;""</f>
        <v/>
      </c>
      <c r="AB352" s="9">
        <f>IFERROR(INDEX($A352:$R352,MATCH("Pipeline Stage",$A$1:$R$1,0)),"")&amp;""</f>
        <v/>
      </c>
      <c r="AC352" s="9">
        <f>IFERROR(INDEX($A352:$R352,MATCH("Client",$A$1:$R$1,0)),"")&amp;""</f>
        <v/>
      </c>
      <c r="AD352" s="9">
        <f>IFERROR(INDEX($A352:$R352,MATCH("Description",$A$1:$R$1,0)),"")&amp;""</f>
        <v/>
      </c>
      <c r="AE352" s="9">
        <f>IFERROR(INDEX($A352:$R352,MATCH("Job Number",$A$1:$R$1,0)),"")&amp;""</f>
        <v/>
      </c>
      <c r="AF352" s="54">
        <f>IF(AND(T352="Open",ISNUMBER(Z352),Z352&lt;EOMONTH(set_AsAt,-1)+1),3,0)</f>
        <v/>
      </c>
      <c r="AG352" s="54">
        <f>IF(AND(T352="Open",U352&gt;0,U352&gt;=set_DealShare*SUMIFS($U$2:$U$601,$T$2:$T$601,"Open")),3,0)</f>
        <v/>
      </c>
      <c r="AH352" s="54">
        <f>IF(AND(T352="Open",U352&gt;=set_BigValue,W352&lt;=set_EarlyProb),2,0)</f>
        <v/>
      </c>
      <c r="AI352" s="54">
        <f>IF(AND(OR(T352="Open",T352="Won"),V352=0),2,0)</f>
        <v/>
      </c>
      <c r="AJ352" s="54">
        <f>IF(AND(T352="Won",Y352&gt;0.5,ISNUMBER(Z352),Z352&lt;EOMONTH(set_AsAt,-1)+1),3,0)</f>
        <v/>
      </c>
      <c r="AK352" s="54">
        <f>IF(AND(T352="Won",Y352&lt;-1),1,0)</f>
        <v/>
      </c>
      <c r="AL352" s="54">
        <f>SUM(AF352:AK352)</f>
        <v/>
      </c>
      <c r="AM352" s="9">
        <f>IF(AL352&gt;=set_ScoreHigh,"High",IF(AL352&gt;=set_ScoreMed,"Medium",IF(AL352&gt;0,"Low","OK")))</f>
        <v/>
      </c>
      <c r="AN352" s="54">
        <f>IF(OR(T352="Open",AND(T352="Won",ABS(Y352)&gt;0.5)),1,0)</f>
        <v/>
      </c>
      <c r="AO352" s="52">
        <f>IF(T352="Open",IF(V352=0,0,X352),IF(T352="Won",MAX(0,Y352),0))</f>
        <v/>
      </c>
      <c r="AP352" s="54">
        <f>IF(AN352=1,AL352*1E+9+U352+ROW()/1E+6,"")</f>
        <v/>
      </c>
      <c r="AQ352" s="9">
        <f>MID(IF(AF352&gt;0,"; Expected month passed - update Zoho","")&amp;IF(AG352&gt;0,"; "&amp;TEXT(U352/MAX(1,SUMIFS($U$2:$U$601,$T$2:$T$601,"Open")),"0%")&amp;" of open pipeline in one deal","")&amp;IF(AH352&gt;0,"; Large deal at an early stage","")&amp;IF(AI352&gt;0,"; No amount in Zoho","")&amp;IF(AJ352&gt;0,"; Won, invoice month passed, not fully invoiced","")&amp;IF(AK352&gt;0,"; Xero invoiced more than the deal value",""),3,300)</f>
        <v/>
      </c>
    </row>
    <row r="353">
      <c r="T353" s="9">
        <f>IFERROR(INDEX($A353:$R353,MATCH("Status",$A$1:$R$1,0)),"")&amp;""</f>
        <v/>
      </c>
      <c r="U353" s="52">
        <f>IFERROR(N(IFERROR(INDEX($A353:$R353,MATCH("Value Ex GST",$A$1:$R$1,0)),"")),0)</f>
        <v/>
      </c>
      <c r="V353" s="54">
        <f>IF(AND(T353&lt;&gt;"",IFERROR(INDEX($A353:$R353,MATCH("Value Ex GST",$A$1:$R$1,0)),"")&amp;""&lt;&gt;""),1,0)</f>
        <v/>
      </c>
      <c r="W353" s="56">
        <f>IFERROR(N(IFERROR(INDEX($A353:$R353,MATCH("Probability",$A$1:$R$1,0)),"")),0)</f>
        <v/>
      </c>
      <c r="X353" s="52">
        <f>IF(T353="Open",U353*W353,0)</f>
        <v/>
      </c>
      <c r="Y353" s="52">
        <f>IF(T353="Won",IFERROR(N(IFERROR(INDEX($A353:$R353,MATCH("Still to Invoice",$A$1:$R$1,0)),"")),0),0)</f>
        <v/>
      </c>
      <c r="Z353" s="55">
        <f>IFERROR(EOMONTH(IFERROR(INDEX($A353:$R353,MATCH("Expected Invoice Month",$A$1:$R$1,0)),""),0),"")</f>
        <v/>
      </c>
      <c r="AA353" s="9">
        <f>IFERROR(INDEX($A353:$R353,MATCH("Cost Centre",$A$1:$R$1,0)),"")&amp;""</f>
        <v/>
      </c>
      <c r="AB353" s="9">
        <f>IFERROR(INDEX($A353:$R353,MATCH("Pipeline Stage",$A$1:$R$1,0)),"")&amp;""</f>
        <v/>
      </c>
      <c r="AC353" s="9">
        <f>IFERROR(INDEX($A353:$R353,MATCH("Client",$A$1:$R$1,0)),"")&amp;""</f>
        <v/>
      </c>
      <c r="AD353" s="9">
        <f>IFERROR(INDEX($A353:$R353,MATCH("Description",$A$1:$R$1,0)),"")&amp;""</f>
        <v/>
      </c>
      <c r="AE353" s="9">
        <f>IFERROR(INDEX($A353:$R353,MATCH("Job Number",$A$1:$R$1,0)),"")&amp;""</f>
        <v/>
      </c>
      <c r="AF353" s="54">
        <f>IF(AND(T353="Open",ISNUMBER(Z353),Z353&lt;EOMONTH(set_AsAt,-1)+1),3,0)</f>
        <v/>
      </c>
      <c r="AG353" s="54">
        <f>IF(AND(T353="Open",U353&gt;0,U353&gt;=set_DealShare*SUMIFS($U$2:$U$601,$T$2:$T$601,"Open")),3,0)</f>
        <v/>
      </c>
      <c r="AH353" s="54">
        <f>IF(AND(T353="Open",U353&gt;=set_BigValue,W353&lt;=set_EarlyProb),2,0)</f>
        <v/>
      </c>
      <c r="AI353" s="54">
        <f>IF(AND(OR(T353="Open",T353="Won"),V353=0),2,0)</f>
        <v/>
      </c>
      <c r="AJ353" s="54">
        <f>IF(AND(T353="Won",Y353&gt;0.5,ISNUMBER(Z353),Z353&lt;EOMONTH(set_AsAt,-1)+1),3,0)</f>
        <v/>
      </c>
      <c r="AK353" s="54">
        <f>IF(AND(T353="Won",Y353&lt;-1),1,0)</f>
        <v/>
      </c>
      <c r="AL353" s="54">
        <f>SUM(AF353:AK353)</f>
        <v/>
      </c>
      <c r="AM353" s="9">
        <f>IF(AL353&gt;=set_ScoreHigh,"High",IF(AL353&gt;=set_ScoreMed,"Medium",IF(AL353&gt;0,"Low","OK")))</f>
        <v/>
      </c>
      <c r="AN353" s="54">
        <f>IF(OR(T353="Open",AND(T353="Won",ABS(Y353)&gt;0.5)),1,0)</f>
        <v/>
      </c>
      <c r="AO353" s="52">
        <f>IF(T353="Open",IF(V353=0,0,X353),IF(T353="Won",MAX(0,Y353),0))</f>
        <v/>
      </c>
      <c r="AP353" s="54">
        <f>IF(AN353=1,AL353*1E+9+U353+ROW()/1E+6,"")</f>
        <v/>
      </c>
      <c r="AQ353" s="9">
        <f>MID(IF(AF353&gt;0,"; Expected month passed - update Zoho","")&amp;IF(AG353&gt;0,"; "&amp;TEXT(U353/MAX(1,SUMIFS($U$2:$U$601,$T$2:$T$601,"Open")),"0%")&amp;" of open pipeline in one deal","")&amp;IF(AH353&gt;0,"; Large deal at an early stage","")&amp;IF(AI353&gt;0,"; No amount in Zoho","")&amp;IF(AJ353&gt;0,"; Won, invoice month passed, not fully invoiced","")&amp;IF(AK353&gt;0,"; Xero invoiced more than the deal value",""),3,300)</f>
        <v/>
      </c>
    </row>
    <row r="354">
      <c r="T354" s="9">
        <f>IFERROR(INDEX($A354:$R354,MATCH("Status",$A$1:$R$1,0)),"")&amp;""</f>
        <v/>
      </c>
      <c r="U354" s="52">
        <f>IFERROR(N(IFERROR(INDEX($A354:$R354,MATCH("Value Ex GST",$A$1:$R$1,0)),"")),0)</f>
        <v/>
      </c>
      <c r="V354" s="54">
        <f>IF(AND(T354&lt;&gt;"",IFERROR(INDEX($A354:$R354,MATCH("Value Ex GST",$A$1:$R$1,0)),"")&amp;""&lt;&gt;""),1,0)</f>
        <v/>
      </c>
      <c r="W354" s="56">
        <f>IFERROR(N(IFERROR(INDEX($A354:$R354,MATCH("Probability",$A$1:$R$1,0)),"")),0)</f>
        <v/>
      </c>
      <c r="X354" s="52">
        <f>IF(T354="Open",U354*W354,0)</f>
        <v/>
      </c>
      <c r="Y354" s="52">
        <f>IF(T354="Won",IFERROR(N(IFERROR(INDEX($A354:$R354,MATCH("Still to Invoice",$A$1:$R$1,0)),"")),0),0)</f>
        <v/>
      </c>
      <c r="Z354" s="55">
        <f>IFERROR(EOMONTH(IFERROR(INDEX($A354:$R354,MATCH("Expected Invoice Month",$A$1:$R$1,0)),""),0),"")</f>
        <v/>
      </c>
      <c r="AA354" s="9">
        <f>IFERROR(INDEX($A354:$R354,MATCH("Cost Centre",$A$1:$R$1,0)),"")&amp;""</f>
        <v/>
      </c>
      <c r="AB354" s="9">
        <f>IFERROR(INDEX($A354:$R354,MATCH("Pipeline Stage",$A$1:$R$1,0)),"")&amp;""</f>
        <v/>
      </c>
      <c r="AC354" s="9">
        <f>IFERROR(INDEX($A354:$R354,MATCH("Client",$A$1:$R$1,0)),"")&amp;""</f>
        <v/>
      </c>
      <c r="AD354" s="9">
        <f>IFERROR(INDEX($A354:$R354,MATCH("Description",$A$1:$R$1,0)),"")&amp;""</f>
        <v/>
      </c>
      <c r="AE354" s="9">
        <f>IFERROR(INDEX($A354:$R354,MATCH("Job Number",$A$1:$R$1,0)),"")&amp;""</f>
        <v/>
      </c>
      <c r="AF354" s="54">
        <f>IF(AND(T354="Open",ISNUMBER(Z354),Z354&lt;EOMONTH(set_AsAt,-1)+1),3,0)</f>
        <v/>
      </c>
      <c r="AG354" s="54">
        <f>IF(AND(T354="Open",U354&gt;0,U354&gt;=set_DealShare*SUMIFS($U$2:$U$601,$T$2:$T$601,"Open")),3,0)</f>
        <v/>
      </c>
      <c r="AH354" s="54">
        <f>IF(AND(T354="Open",U354&gt;=set_BigValue,W354&lt;=set_EarlyProb),2,0)</f>
        <v/>
      </c>
      <c r="AI354" s="54">
        <f>IF(AND(OR(T354="Open",T354="Won"),V354=0),2,0)</f>
        <v/>
      </c>
      <c r="AJ354" s="54">
        <f>IF(AND(T354="Won",Y354&gt;0.5,ISNUMBER(Z354),Z354&lt;EOMONTH(set_AsAt,-1)+1),3,0)</f>
        <v/>
      </c>
      <c r="AK354" s="54">
        <f>IF(AND(T354="Won",Y354&lt;-1),1,0)</f>
        <v/>
      </c>
      <c r="AL354" s="54">
        <f>SUM(AF354:AK354)</f>
        <v/>
      </c>
      <c r="AM354" s="9">
        <f>IF(AL354&gt;=set_ScoreHigh,"High",IF(AL354&gt;=set_ScoreMed,"Medium",IF(AL354&gt;0,"Low","OK")))</f>
        <v/>
      </c>
      <c r="AN354" s="54">
        <f>IF(OR(T354="Open",AND(T354="Won",ABS(Y354)&gt;0.5)),1,0)</f>
        <v/>
      </c>
      <c r="AO354" s="52">
        <f>IF(T354="Open",IF(V354=0,0,X354),IF(T354="Won",MAX(0,Y354),0))</f>
        <v/>
      </c>
      <c r="AP354" s="54">
        <f>IF(AN354=1,AL354*1E+9+U354+ROW()/1E+6,"")</f>
        <v/>
      </c>
      <c r="AQ354" s="9">
        <f>MID(IF(AF354&gt;0,"; Expected month passed - update Zoho","")&amp;IF(AG354&gt;0,"; "&amp;TEXT(U354/MAX(1,SUMIFS($U$2:$U$601,$T$2:$T$601,"Open")),"0%")&amp;" of open pipeline in one deal","")&amp;IF(AH354&gt;0,"; Large deal at an early stage","")&amp;IF(AI354&gt;0,"; No amount in Zoho","")&amp;IF(AJ354&gt;0,"; Won, invoice month passed, not fully invoiced","")&amp;IF(AK354&gt;0,"; Xero invoiced more than the deal value",""),3,300)</f>
        <v/>
      </c>
    </row>
    <row r="355">
      <c r="T355" s="9">
        <f>IFERROR(INDEX($A355:$R355,MATCH("Status",$A$1:$R$1,0)),"")&amp;""</f>
        <v/>
      </c>
      <c r="U355" s="52">
        <f>IFERROR(N(IFERROR(INDEX($A355:$R355,MATCH("Value Ex GST",$A$1:$R$1,0)),"")),0)</f>
        <v/>
      </c>
      <c r="V355" s="54">
        <f>IF(AND(T355&lt;&gt;"",IFERROR(INDEX($A355:$R355,MATCH("Value Ex GST",$A$1:$R$1,0)),"")&amp;""&lt;&gt;""),1,0)</f>
        <v/>
      </c>
      <c r="W355" s="56">
        <f>IFERROR(N(IFERROR(INDEX($A355:$R355,MATCH("Probability",$A$1:$R$1,0)),"")),0)</f>
        <v/>
      </c>
      <c r="X355" s="52">
        <f>IF(T355="Open",U355*W355,0)</f>
        <v/>
      </c>
      <c r="Y355" s="52">
        <f>IF(T355="Won",IFERROR(N(IFERROR(INDEX($A355:$R355,MATCH("Still to Invoice",$A$1:$R$1,0)),"")),0),0)</f>
        <v/>
      </c>
      <c r="Z355" s="55">
        <f>IFERROR(EOMONTH(IFERROR(INDEX($A355:$R355,MATCH("Expected Invoice Month",$A$1:$R$1,0)),""),0),"")</f>
        <v/>
      </c>
      <c r="AA355" s="9">
        <f>IFERROR(INDEX($A355:$R355,MATCH("Cost Centre",$A$1:$R$1,0)),"")&amp;""</f>
        <v/>
      </c>
      <c r="AB355" s="9">
        <f>IFERROR(INDEX($A355:$R355,MATCH("Pipeline Stage",$A$1:$R$1,0)),"")&amp;""</f>
        <v/>
      </c>
      <c r="AC355" s="9">
        <f>IFERROR(INDEX($A355:$R355,MATCH("Client",$A$1:$R$1,0)),"")&amp;""</f>
        <v/>
      </c>
      <c r="AD355" s="9">
        <f>IFERROR(INDEX($A355:$R355,MATCH("Description",$A$1:$R$1,0)),"")&amp;""</f>
        <v/>
      </c>
      <c r="AE355" s="9">
        <f>IFERROR(INDEX($A355:$R355,MATCH("Job Number",$A$1:$R$1,0)),"")&amp;""</f>
        <v/>
      </c>
      <c r="AF355" s="54">
        <f>IF(AND(T355="Open",ISNUMBER(Z355),Z355&lt;EOMONTH(set_AsAt,-1)+1),3,0)</f>
        <v/>
      </c>
      <c r="AG355" s="54">
        <f>IF(AND(T355="Open",U355&gt;0,U355&gt;=set_DealShare*SUMIFS($U$2:$U$601,$T$2:$T$601,"Open")),3,0)</f>
        <v/>
      </c>
      <c r="AH355" s="54">
        <f>IF(AND(T355="Open",U355&gt;=set_BigValue,W355&lt;=set_EarlyProb),2,0)</f>
        <v/>
      </c>
      <c r="AI355" s="54">
        <f>IF(AND(OR(T355="Open",T355="Won"),V355=0),2,0)</f>
        <v/>
      </c>
      <c r="AJ355" s="54">
        <f>IF(AND(T355="Won",Y355&gt;0.5,ISNUMBER(Z355),Z355&lt;EOMONTH(set_AsAt,-1)+1),3,0)</f>
        <v/>
      </c>
      <c r="AK355" s="54">
        <f>IF(AND(T355="Won",Y355&lt;-1),1,0)</f>
        <v/>
      </c>
      <c r="AL355" s="54">
        <f>SUM(AF355:AK355)</f>
        <v/>
      </c>
      <c r="AM355" s="9">
        <f>IF(AL355&gt;=set_ScoreHigh,"High",IF(AL355&gt;=set_ScoreMed,"Medium",IF(AL355&gt;0,"Low","OK")))</f>
        <v/>
      </c>
      <c r="AN355" s="54">
        <f>IF(OR(T355="Open",AND(T355="Won",ABS(Y355)&gt;0.5)),1,0)</f>
        <v/>
      </c>
      <c r="AO355" s="52">
        <f>IF(T355="Open",IF(V355=0,0,X355),IF(T355="Won",MAX(0,Y355),0))</f>
        <v/>
      </c>
      <c r="AP355" s="54">
        <f>IF(AN355=1,AL355*1E+9+U355+ROW()/1E+6,"")</f>
        <v/>
      </c>
      <c r="AQ355" s="9">
        <f>MID(IF(AF355&gt;0,"; Expected month passed - update Zoho","")&amp;IF(AG355&gt;0,"; "&amp;TEXT(U355/MAX(1,SUMIFS($U$2:$U$601,$T$2:$T$601,"Open")),"0%")&amp;" of open pipeline in one deal","")&amp;IF(AH355&gt;0,"; Large deal at an early stage","")&amp;IF(AI355&gt;0,"; No amount in Zoho","")&amp;IF(AJ355&gt;0,"; Won, invoice month passed, not fully invoiced","")&amp;IF(AK355&gt;0,"; Xero invoiced more than the deal value",""),3,300)</f>
        <v/>
      </c>
    </row>
    <row r="356">
      <c r="T356" s="9">
        <f>IFERROR(INDEX($A356:$R356,MATCH("Status",$A$1:$R$1,0)),"")&amp;""</f>
        <v/>
      </c>
      <c r="U356" s="52">
        <f>IFERROR(N(IFERROR(INDEX($A356:$R356,MATCH("Value Ex GST",$A$1:$R$1,0)),"")),0)</f>
        <v/>
      </c>
      <c r="V356" s="54">
        <f>IF(AND(T356&lt;&gt;"",IFERROR(INDEX($A356:$R356,MATCH("Value Ex GST",$A$1:$R$1,0)),"")&amp;""&lt;&gt;""),1,0)</f>
        <v/>
      </c>
      <c r="W356" s="56">
        <f>IFERROR(N(IFERROR(INDEX($A356:$R356,MATCH("Probability",$A$1:$R$1,0)),"")),0)</f>
        <v/>
      </c>
      <c r="X356" s="52">
        <f>IF(T356="Open",U356*W356,0)</f>
        <v/>
      </c>
      <c r="Y356" s="52">
        <f>IF(T356="Won",IFERROR(N(IFERROR(INDEX($A356:$R356,MATCH("Still to Invoice",$A$1:$R$1,0)),"")),0),0)</f>
        <v/>
      </c>
      <c r="Z356" s="55">
        <f>IFERROR(EOMONTH(IFERROR(INDEX($A356:$R356,MATCH("Expected Invoice Month",$A$1:$R$1,0)),""),0),"")</f>
        <v/>
      </c>
      <c r="AA356" s="9">
        <f>IFERROR(INDEX($A356:$R356,MATCH("Cost Centre",$A$1:$R$1,0)),"")&amp;""</f>
        <v/>
      </c>
      <c r="AB356" s="9">
        <f>IFERROR(INDEX($A356:$R356,MATCH("Pipeline Stage",$A$1:$R$1,0)),"")&amp;""</f>
        <v/>
      </c>
      <c r="AC356" s="9">
        <f>IFERROR(INDEX($A356:$R356,MATCH("Client",$A$1:$R$1,0)),"")&amp;""</f>
        <v/>
      </c>
      <c r="AD356" s="9">
        <f>IFERROR(INDEX($A356:$R356,MATCH("Description",$A$1:$R$1,0)),"")&amp;""</f>
        <v/>
      </c>
      <c r="AE356" s="9">
        <f>IFERROR(INDEX($A356:$R356,MATCH("Job Number",$A$1:$R$1,0)),"")&amp;""</f>
        <v/>
      </c>
      <c r="AF356" s="54">
        <f>IF(AND(T356="Open",ISNUMBER(Z356),Z356&lt;EOMONTH(set_AsAt,-1)+1),3,0)</f>
        <v/>
      </c>
      <c r="AG356" s="54">
        <f>IF(AND(T356="Open",U356&gt;0,U356&gt;=set_DealShare*SUMIFS($U$2:$U$601,$T$2:$T$601,"Open")),3,0)</f>
        <v/>
      </c>
      <c r="AH356" s="54">
        <f>IF(AND(T356="Open",U356&gt;=set_BigValue,W356&lt;=set_EarlyProb),2,0)</f>
        <v/>
      </c>
      <c r="AI356" s="54">
        <f>IF(AND(OR(T356="Open",T356="Won"),V356=0),2,0)</f>
        <v/>
      </c>
      <c r="AJ356" s="54">
        <f>IF(AND(T356="Won",Y356&gt;0.5,ISNUMBER(Z356),Z356&lt;EOMONTH(set_AsAt,-1)+1),3,0)</f>
        <v/>
      </c>
      <c r="AK356" s="54">
        <f>IF(AND(T356="Won",Y356&lt;-1),1,0)</f>
        <v/>
      </c>
      <c r="AL356" s="54">
        <f>SUM(AF356:AK356)</f>
        <v/>
      </c>
      <c r="AM356" s="9">
        <f>IF(AL356&gt;=set_ScoreHigh,"High",IF(AL356&gt;=set_ScoreMed,"Medium",IF(AL356&gt;0,"Low","OK")))</f>
        <v/>
      </c>
      <c r="AN356" s="54">
        <f>IF(OR(T356="Open",AND(T356="Won",ABS(Y356)&gt;0.5)),1,0)</f>
        <v/>
      </c>
      <c r="AO356" s="52">
        <f>IF(T356="Open",IF(V356=0,0,X356),IF(T356="Won",MAX(0,Y356),0))</f>
        <v/>
      </c>
      <c r="AP356" s="54">
        <f>IF(AN356=1,AL356*1E+9+U356+ROW()/1E+6,"")</f>
        <v/>
      </c>
      <c r="AQ356" s="9">
        <f>MID(IF(AF356&gt;0,"; Expected month passed - update Zoho","")&amp;IF(AG356&gt;0,"; "&amp;TEXT(U356/MAX(1,SUMIFS($U$2:$U$601,$T$2:$T$601,"Open")),"0%")&amp;" of open pipeline in one deal","")&amp;IF(AH356&gt;0,"; Large deal at an early stage","")&amp;IF(AI356&gt;0,"; No amount in Zoho","")&amp;IF(AJ356&gt;0,"; Won, invoice month passed, not fully invoiced","")&amp;IF(AK356&gt;0,"; Xero invoiced more than the deal value",""),3,300)</f>
        <v/>
      </c>
    </row>
    <row r="357">
      <c r="T357" s="9">
        <f>IFERROR(INDEX($A357:$R357,MATCH("Status",$A$1:$R$1,0)),"")&amp;""</f>
        <v/>
      </c>
      <c r="U357" s="52">
        <f>IFERROR(N(IFERROR(INDEX($A357:$R357,MATCH("Value Ex GST",$A$1:$R$1,0)),"")),0)</f>
        <v/>
      </c>
      <c r="V357" s="54">
        <f>IF(AND(T357&lt;&gt;"",IFERROR(INDEX($A357:$R357,MATCH("Value Ex GST",$A$1:$R$1,0)),"")&amp;""&lt;&gt;""),1,0)</f>
        <v/>
      </c>
      <c r="W357" s="56">
        <f>IFERROR(N(IFERROR(INDEX($A357:$R357,MATCH("Probability",$A$1:$R$1,0)),"")),0)</f>
        <v/>
      </c>
      <c r="X357" s="52">
        <f>IF(T357="Open",U357*W357,0)</f>
        <v/>
      </c>
      <c r="Y357" s="52">
        <f>IF(T357="Won",IFERROR(N(IFERROR(INDEX($A357:$R357,MATCH("Still to Invoice",$A$1:$R$1,0)),"")),0),0)</f>
        <v/>
      </c>
      <c r="Z357" s="55">
        <f>IFERROR(EOMONTH(IFERROR(INDEX($A357:$R357,MATCH("Expected Invoice Month",$A$1:$R$1,0)),""),0),"")</f>
        <v/>
      </c>
      <c r="AA357" s="9">
        <f>IFERROR(INDEX($A357:$R357,MATCH("Cost Centre",$A$1:$R$1,0)),"")&amp;""</f>
        <v/>
      </c>
      <c r="AB357" s="9">
        <f>IFERROR(INDEX($A357:$R357,MATCH("Pipeline Stage",$A$1:$R$1,0)),"")&amp;""</f>
        <v/>
      </c>
      <c r="AC357" s="9">
        <f>IFERROR(INDEX($A357:$R357,MATCH("Client",$A$1:$R$1,0)),"")&amp;""</f>
        <v/>
      </c>
      <c r="AD357" s="9">
        <f>IFERROR(INDEX($A357:$R357,MATCH("Description",$A$1:$R$1,0)),"")&amp;""</f>
        <v/>
      </c>
      <c r="AE357" s="9">
        <f>IFERROR(INDEX($A357:$R357,MATCH("Job Number",$A$1:$R$1,0)),"")&amp;""</f>
        <v/>
      </c>
      <c r="AF357" s="54">
        <f>IF(AND(T357="Open",ISNUMBER(Z357),Z357&lt;EOMONTH(set_AsAt,-1)+1),3,0)</f>
        <v/>
      </c>
      <c r="AG357" s="54">
        <f>IF(AND(T357="Open",U357&gt;0,U357&gt;=set_DealShare*SUMIFS($U$2:$U$601,$T$2:$T$601,"Open")),3,0)</f>
        <v/>
      </c>
      <c r="AH357" s="54">
        <f>IF(AND(T357="Open",U357&gt;=set_BigValue,W357&lt;=set_EarlyProb),2,0)</f>
        <v/>
      </c>
      <c r="AI357" s="54">
        <f>IF(AND(OR(T357="Open",T357="Won"),V357=0),2,0)</f>
        <v/>
      </c>
      <c r="AJ357" s="54">
        <f>IF(AND(T357="Won",Y357&gt;0.5,ISNUMBER(Z357),Z357&lt;EOMONTH(set_AsAt,-1)+1),3,0)</f>
        <v/>
      </c>
      <c r="AK357" s="54">
        <f>IF(AND(T357="Won",Y357&lt;-1),1,0)</f>
        <v/>
      </c>
      <c r="AL357" s="54">
        <f>SUM(AF357:AK357)</f>
        <v/>
      </c>
      <c r="AM357" s="9">
        <f>IF(AL357&gt;=set_ScoreHigh,"High",IF(AL357&gt;=set_ScoreMed,"Medium",IF(AL357&gt;0,"Low","OK")))</f>
        <v/>
      </c>
      <c r="AN357" s="54">
        <f>IF(OR(T357="Open",AND(T357="Won",ABS(Y357)&gt;0.5)),1,0)</f>
        <v/>
      </c>
      <c r="AO357" s="52">
        <f>IF(T357="Open",IF(V357=0,0,X357),IF(T357="Won",MAX(0,Y357),0))</f>
        <v/>
      </c>
      <c r="AP357" s="54">
        <f>IF(AN357=1,AL357*1E+9+U357+ROW()/1E+6,"")</f>
        <v/>
      </c>
      <c r="AQ357" s="9">
        <f>MID(IF(AF357&gt;0,"; Expected month passed - update Zoho","")&amp;IF(AG357&gt;0,"; "&amp;TEXT(U357/MAX(1,SUMIFS($U$2:$U$601,$T$2:$T$601,"Open")),"0%")&amp;" of open pipeline in one deal","")&amp;IF(AH357&gt;0,"; Large deal at an early stage","")&amp;IF(AI357&gt;0,"; No amount in Zoho","")&amp;IF(AJ357&gt;0,"; Won, invoice month passed, not fully invoiced","")&amp;IF(AK357&gt;0,"; Xero invoiced more than the deal value",""),3,300)</f>
        <v/>
      </c>
    </row>
    <row r="358">
      <c r="T358" s="9">
        <f>IFERROR(INDEX($A358:$R358,MATCH("Status",$A$1:$R$1,0)),"")&amp;""</f>
        <v/>
      </c>
      <c r="U358" s="52">
        <f>IFERROR(N(IFERROR(INDEX($A358:$R358,MATCH("Value Ex GST",$A$1:$R$1,0)),"")),0)</f>
        <v/>
      </c>
      <c r="V358" s="54">
        <f>IF(AND(T358&lt;&gt;"",IFERROR(INDEX($A358:$R358,MATCH("Value Ex GST",$A$1:$R$1,0)),"")&amp;""&lt;&gt;""),1,0)</f>
        <v/>
      </c>
      <c r="W358" s="56">
        <f>IFERROR(N(IFERROR(INDEX($A358:$R358,MATCH("Probability",$A$1:$R$1,0)),"")),0)</f>
        <v/>
      </c>
      <c r="X358" s="52">
        <f>IF(T358="Open",U358*W358,0)</f>
        <v/>
      </c>
      <c r="Y358" s="52">
        <f>IF(T358="Won",IFERROR(N(IFERROR(INDEX($A358:$R358,MATCH("Still to Invoice",$A$1:$R$1,0)),"")),0),0)</f>
        <v/>
      </c>
      <c r="Z358" s="55">
        <f>IFERROR(EOMONTH(IFERROR(INDEX($A358:$R358,MATCH("Expected Invoice Month",$A$1:$R$1,0)),""),0),"")</f>
        <v/>
      </c>
      <c r="AA358" s="9">
        <f>IFERROR(INDEX($A358:$R358,MATCH("Cost Centre",$A$1:$R$1,0)),"")&amp;""</f>
        <v/>
      </c>
      <c r="AB358" s="9">
        <f>IFERROR(INDEX($A358:$R358,MATCH("Pipeline Stage",$A$1:$R$1,0)),"")&amp;""</f>
        <v/>
      </c>
      <c r="AC358" s="9">
        <f>IFERROR(INDEX($A358:$R358,MATCH("Client",$A$1:$R$1,0)),"")&amp;""</f>
        <v/>
      </c>
      <c r="AD358" s="9">
        <f>IFERROR(INDEX($A358:$R358,MATCH("Description",$A$1:$R$1,0)),"")&amp;""</f>
        <v/>
      </c>
      <c r="AE358" s="9">
        <f>IFERROR(INDEX($A358:$R358,MATCH("Job Number",$A$1:$R$1,0)),"")&amp;""</f>
        <v/>
      </c>
      <c r="AF358" s="54">
        <f>IF(AND(T358="Open",ISNUMBER(Z358),Z358&lt;EOMONTH(set_AsAt,-1)+1),3,0)</f>
        <v/>
      </c>
      <c r="AG358" s="54">
        <f>IF(AND(T358="Open",U358&gt;0,U358&gt;=set_DealShare*SUMIFS($U$2:$U$601,$T$2:$T$601,"Open")),3,0)</f>
        <v/>
      </c>
      <c r="AH358" s="54">
        <f>IF(AND(T358="Open",U358&gt;=set_BigValue,W358&lt;=set_EarlyProb),2,0)</f>
        <v/>
      </c>
      <c r="AI358" s="54">
        <f>IF(AND(OR(T358="Open",T358="Won"),V358=0),2,0)</f>
        <v/>
      </c>
      <c r="AJ358" s="54">
        <f>IF(AND(T358="Won",Y358&gt;0.5,ISNUMBER(Z358),Z358&lt;EOMONTH(set_AsAt,-1)+1),3,0)</f>
        <v/>
      </c>
      <c r="AK358" s="54">
        <f>IF(AND(T358="Won",Y358&lt;-1),1,0)</f>
        <v/>
      </c>
      <c r="AL358" s="54">
        <f>SUM(AF358:AK358)</f>
        <v/>
      </c>
      <c r="AM358" s="9">
        <f>IF(AL358&gt;=set_ScoreHigh,"High",IF(AL358&gt;=set_ScoreMed,"Medium",IF(AL358&gt;0,"Low","OK")))</f>
        <v/>
      </c>
      <c r="AN358" s="54">
        <f>IF(OR(T358="Open",AND(T358="Won",ABS(Y358)&gt;0.5)),1,0)</f>
        <v/>
      </c>
      <c r="AO358" s="52">
        <f>IF(T358="Open",IF(V358=0,0,X358),IF(T358="Won",MAX(0,Y358),0))</f>
        <v/>
      </c>
      <c r="AP358" s="54">
        <f>IF(AN358=1,AL358*1E+9+U358+ROW()/1E+6,"")</f>
        <v/>
      </c>
      <c r="AQ358" s="9">
        <f>MID(IF(AF358&gt;0,"; Expected month passed - update Zoho","")&amp;IF(AG358&gt;0,"; "&amp;TEXT(U358/MAX(1,SUMIFS($U$2:$U$601,$T$2:$T$601,"Open")),"0%")&amp;" of open pipeline in one deal","")&amp;IF(AH358&gt;0,"; Large deal at an early stage","")&amp;IF(AI358&gt;0,"; No amount in Zoho","")&amp;IF(AJ358&gt;0,"; Won, invoice month passed, not fully invoiced","")&amp;IF(AK358&gt;0,"; Xero invoiced more than the deal value",""),3,300)</f>
        <v/>
      </c>
    </row>
    <row r="359">
      <c r="T359" s="9">
        <f>IFERROR(INDEX($A359:$R359,MATCH("Status",$A$1:$R$1,0)),"")&amp;""</f>
        <v/>
      </c>
      <c r="U359" s="52">
        <f>IFERROR(N(IFERROR(INDEX($A359:$R359,MATCH("Value Ex GST",$A$1:$R$1,0)),"")),0)</f>
        <v/>
      </c>
      <c r="V359" s="54">
        <f>IF(AND(T359&lt;&gt;"",IFERROR(INDEX($A359:$R359,MATCH("Value Ex GST",$A$1:$R$1,0)),"")&amp;""&lt;&gt;""),1,0)</f>
        <v/>
      </c>
      <c r="W359" s="56">
        <f>IFERROR(N(IFERROR(INDEX($A359:$R359,MATCH("Probability",$A$1:$R$1,0)),"")),0)</f>
        <v/>
      </c>
      <c r="X359" s="52">
        <f>IF(T359="Open",U359*W359,0)</f>
        <v/>
      </c>
      <c r="Y359" s="52">
        <f>IF(T359="Won",IFERROR(N(IFERROR(INDEX($A359:$R359,MATCH("Still to Invoice",$A$1:$R$1,0)),"")),0),0)</f>
        <v/>
      </c>
      <c r="Z359" s="55">
        <f>IFERROR(EOMONTH(IFERROR(INDEX($A359:$R359,MATCH("Expected Invoice Month",$A$1:$R$1,0)),""),0),"")</f>
        <v/>
      </c>
      <c r="AA359" s="9">
        <f>IFERROR(INDEX($A359:$R359,MATCH("Cost Centre",$A$1:$R$1,0)),"")&amp;""</f>
        <v/>
      </c>
      <c r="AB359" s="9">
        <f>IFERROR(INDEX($A359:$R359,MATCH("Pipeline Stage",$A$1:$R$1,0)),"")&amp;""</f>
        <v/>
      </c>
      <c r="AC359" s="9">
        <f>IFERROR(INDEX($A359:$R359,MATCH("Client",$A$1:$R$1,0)),"")&amp;""</f>
        <v/>
      </c>
      <c r="AD359" s="9">
        <f>IFERROR(INDEX($A359:$R359,MATCH("Description",$A$1:$R$1,0)),"")&amp;""</f>
        <v/>
      </c>
      <c r="AE359" s="9">
        <f>IFERROR(INDEX($A359:$R359,MATCH("Job Number",$A$1:$R$1,0)),"")&amp;""</f>
        <v/>
      </c>
      <c r="AF359" s="54">
        <f>IF(AND(T359="Open",ISNUMBER(Z359),Z359&lt;EOMONTH(set_AsAt,-1)+1),3,0)</f>
        <v/>
      </c>
      <c r="AG359" s="54">
        <f>IF(AND(T359="Open",U359&gt;0,U359&gt;=set_DealShare*SUMIFS($U$2:$U$601,$T$2:$T$601,"Open")),3,0)</f>
        <v/>
      </c>
      <c r="AH359" s="54">
        <f>IF(AND(T359="Open",U359&gt;=set_BigValue,W359&lt;=set_EarlyProb),2,0)</f>
        <v/>
      </c>
      <c r="AI359" s="54">
        <f>IF(AND(OR(T359="Open",T359="Won"),V359=0),2,0)</f>
        <v/>
      </c>
      <c r="AJ359" s="54">
        <f>IF(AND(T359="Won",Y359&gt;0.5,ISNUMBER(Z359),Z359&lt;EOMONTH(set_AsAt,-1)+1),3,0)</f>
        <v/>
      </c>
      <c r="AK359" s="54">
        <f>IF(AND(T359="Won",Y359&lt;-1),1,0)</f>
        <v/>
      </c>
      <c r="AL359" s="54">
        <f>SUM(AF359:AK359)</f>
        <v/>
      </c>
      <c r="AM359" s="9">
        <f>IF(AL359&gt;=set_ScoreHigh,"High",IF(AL359&gt;=set_ScoreMed,"Medium",IF(AL359&gt;0,"Low","OK")))</f>
        <v/>
      </c>
      <c r="AN359" s="54">
        <f>IF(OR(T359="Open",AND(T359="Won",ABS(Y359)&gt;0.5)),1,0)</f>
        <v/>
      </c>
      <c r="AO359" s="52">
        <f>IF(T359="Open",IF(V359=0,0,X359),IF(T359="Won",MAX(0,Y359),0))</f>
        <v/>
      </c>
      <c r="AP359" s="54">
        <f>IF(AN359=1,AL359*1E+9+U359+ROW()/1E+6,"")</f>
        <v/>
      </c>
      <c r="AQ359" s="9">
        <f>MID(IF(AF359&gt;0,"; Expected month passed - update Zoho","")&amp;IF(AG359&gt;0,"; "&amp;TEXT(U359/MAX(1,SUMIFS($U$2:$U$601,$T$2:$T$601,"Open")),"0%")&amp;" of open pipeline in one deal","")&amp;IF(AH359&gt;0,"; Large deal at an early stage","")&amp;IF(AI359&gt;0,"; No amount in Zoho","")&amp;IF(AJ359&gt;0,"; Won, invoice month passed, not fully invoiced","")&amp;IF(AK359&gt;0,"; Xero invoiced more than the deal value",""),3,300)</f>
        <v/>
      </c>
    </row>
    <row r="360">
      <c r="T360" s="9">
        <f>IFERROR(INDEX($A360:$R360,MATCH("Status",$A$1:$R$1,0)),"")&amp;""</f>
        <v/>
      </c>
      <c r="U360" s="52">
        <f>IFERROR(N(IFERROR(INDEX($A360:$R360,MATCH("Value Ex GST",$A$1:$R$1,0)),"")),0)</f>
        <v/>
      </c>
      <c r="V360" s="54">
        <f>IF(AND(T360&lt;&gt;"",IFERROR(INDEX($A360:$R360,MATCH("Value Ex GST",$A$1:$R$1,0)),"")&amp;""&lt;&gt;""),1,0)</f>
        <v/>
      </c>
      <c r="W360" s="56">
        <f>IFERROR(N(IFERROR(INDEX($A360:$R360,MATCH("Probability",$A$1:$R$1,0)),"")),0)</f>
        <v/>
      </c>
      <c r="X360" s="52">
        <f>IF(T360="Open",U360*W360,0)</f>
        <v/>
      </c>
      <c r="Y360" s="52">
        <f>IF(T360="Won",IFERROR(N(IFERROR(INDEX($A360:$R360,MATCH("Still to Invoice",$A$1:$R$1,0)),"")),0),0)</f>
        <v/>
      </c>
      <c r="Z360" s="55">
        <f>IFERROR(EOMONTH(IFERROR(INDEX($A360:$R360,MATCH("Expected Invoice Month",$A$1:$R$1,0)),""),0),"")</f>
        <v/>
      </c>
      <c r="AA360" s="9">
        <f>IFERROR(INDEX($A360:$R360,MATCH("Cost Centre",$A$1:$R$1,0)),"")&amp;""</f>
        <v/>
      </c>
      <c r="AB360" s="9">
        <f>IFERROR(INDEX($A360:$R360,MATCH("Pipeline Stage",$A$1:$R$1,0)),"")&amp;""</f>
        <v/>
      </c>
      <c r="AC360" s="9">
        <f>IFERROR(INDEX($A360:$R360,MATCH("Client",$A$1:$R$1,0)),"")&amp;""</f>
        <v/>
      </c>
      <c r="AD360" s="9">
        <f>IFERROR(INDEX($A360:$R360,MATCH("Description",$A$1:$R$1,0)),"")&amp;""</f>
        <v/>
      </c>
      <c r="AE360" s="9">
        <f>IFERROR(INDEX($A360:$R360,MATCH("Job Number",$A$1:$R$1,0)),"")&amp;""</f>
        <v/>
      </c>
      <c r="AF360" s="54">
        <f>IF(AND(T360="Open",ISNUMBER(Z360),Z360&lt;EOMONTH(set_AsAt,-1)+1),3,0)</f>
        <v/>
      </c>
      <c r="AG360" s="54">
        <f>IF(AND(T360="Open",U360&gt;0,U360&gt;=set_DealShare*SUMIFS($U$2:$U$601,$T$2:$T$601,"Open")),3,0)</f>
        <v/>
      </c>
      <c r="AH360" s="54">
        <f>IF(AND(T360="Open",U360&gt;=set_BigValue,W360&lt;=set_EarlyProb),2,0)</f>
        <v/>
      </c>
      <c r="AI360" s="54">
        <f>IF(AND(OR(T360="Open",T360="Won"),V360=0),2,0)</f>
        <v/>
      </c>
      <c r="AJ360" s="54">
        <f>IF(AND(T360="Won",Y360&gt;0.5,ISNUMBER(Z360),Z360&lt;EOMONTH(set_AsAt,-1)+1),3,0)</f>
        <v/>
      </c>
      <c r="AK360" s="54">
        <f>IF(AND(T360="Won",Y360&lt;-1),1,0)</f>
        <v/>
      </c>
      <c r="AL360" s="54">
        <f>SUM(AF360:AK360)</f>
        <v/>
      </c>
      <c r="AM360" s="9">
        <f>IF(AL360&gt;=set_ScoreHigh,"High",IF(AL360&gt;=set_ScoreMed,"Medium",IF(AL360&gt;0,"Low","OK")))</f>
        <v/>
      </c>
      <c r="AN360" s="54">
        <f>IF(OR(T360="Open",AND(T360="Won",ABS(Y360)&gt;0.5)),1,0)</f>
        <v/>
      </c>
      <c r="AO360" s="52">
        <f>IF(T360="Open",IF(V360=0,0,X360),IF(T360="Won",MAX(0,Y360),0))</f>
        <v/>
      </c>
      <c r="AP360" s="54">
        <f>IF(AN360=1,AL360*1E+9+U360+ROW()/1E+6,"")</f>
        <v/>
      </c>
      <c r="AQ360" s="9">
        <f>MID(IF(AF360&gt;0,"; Expected month passed - update Zoho","")&amp;IF(AG360&gt;0,"; "&amp;TEXT(U360/MAX(1,SUMIFS($U$2:$U$601,$T$2:$T$601,"Open")),"0%")&amp;" of open pipeline in one deal","")&amp;IF(AH360&gt;0,"; Large deal at an early stage","")&amp;IF(AI360&gt;0,"; No amount in Zoho","")&amp;IF(AJ360&gt;0,"; Won, invoice month passed, not fully invoiced","")&amp;IF(AK360&gt;0,"; Xero invoiced more than the deal value",""),3,300)</f>
        <v/>
      </c>
    </row>
    <row r="361">
      <c r="T361" s="9">
        <f>IFERROR(INDEX($A361:$R361,MATCH("Status",$A$1:$R$1,0)),"")&amp;""</f>
        <v/>
      </c>
      <c r="U361" s="52">
        <f>IFERROR(N(IFERROR(INDEX($A361:$R361,MATCH("Value Ex GST",$A$1:$R$1,0)),"")),0)</f>
        <v/>
      </c>
      <c r="V361" s="54">
        <f>IF(AND(T361&lt;&gt;"",IFERROR(INDEX($A361:$R361,MATCH("Value Ex GST",$A$1:$R$1,0)),"")&amp;""&lt;&gt;""),1,0)</f>
        <v/>
      </c>
      <c r="W361" s="56">
        <f>IFERROR(N(IFERROR(INDEX($A361:$R361,MATCH("Probability",$A$1:$R$1,0)),"")),0)</f>
        <v/>
      </c>
      <c r="X361" s="52">
        <f>IF(T361="Open",U361*W361,0)</f>
        <v/>
      </c>
      <c r="Y361" s="52">
        <f>IF(T361="Won",IFERROR(N(IFERROR(INDEX($A361:$R361,MATCH("Still to Invoice",$A$1:$R$1,0)),"")),0),0)</f>
        <v/>
      </c>
      <c r="Z361" s="55">
        <f>IFERROR(EOMONTH(IFERROR(INDEX($A361:$R361,MATCH("Expected Invoice Month",$A$1:$R$1,0)),""),0),"")</f>
        <v/>
      </c>
      <c r="AA361" s="9">
        <f>IFERROR(INDEX($A361:$R361,MATCH("Cost Centre",$A$1:$R$1,0)),"")&amp;""</f>
        <v/>
      </c>
      <c r="AB361" s="9">
        <f>IFERROR(INDEX($A361:$R361,MATCH("Pipeline Stage",$A$1:$R$1,0)),"")&amp;""</f>
        <v/>
      </c>
      <c r="AC361" s="9">
        <f>IFERROR(INDEX($A361:$R361,MATCH("Client",$A$1:$R$1,0)),"")&amp;""</f>
        <v/>
      </c>
      <c r="AD361" s="9">
        <f>IFERROR(INDEX($A361:$R361,MATCH("Description",$A$1:$R$1,0)),"")&amp;""</f>
        <v/>
      </c>
      <c r="AE361" s="9">
        <f>IFERROR(INDEX($A361:$R361,MATCH("Job Number",$A$1:$R$1,0)),"")&amp;""</f>
        <v/>
      </c>
      <c r="AF361" s="54">
        <f>IF(AND(T361="Open",ISNUMBER(Z361),Z361&lt;EOMONTH(set_AsAt,-1)+1),3,0)</f>
        <v/>
      </c>
      <c r="AG361" s="54">
        <f>IF(AND(T361="Open",U361&gt;0,U361&gt;=set_DealShare*SUMIFS($U$2:$U$601,$T$2:$T$601,"Open")),3,0)</f>
        <v/>
      </c>
      <c r="AH361" s="54">
        <f>IF(AND(T361="Open",U361&gt;=set_BigValue,W361&lt;=set_EarlyProb),2,0)</f>
        <v/>
      </c>
      <c r="AI361" s="54">
        <f>IF(AND(OR(T361="Open",T361="Won"),V361=0),2,0)</f>
        <v/>
      </c>
      <c r="AJ361" s="54">
        <f>IF(AND(T361="Won",Y361&gt;0.5,ISNUMBER(Z361),Z361&lt;EOMONTH(set_AsAt,-1)+1),3,0)</f>
        <v/>
      </c>
      <c r="AK361" s="54">
        <f>IF(AND(T361="Won",Y361&lt;-1),1,0)</f>
        <v/>
      </c>
      <c r="AL361" s="54">
        <f>SUM(AF361:AK361)</f>
        <v/>
      </c>
      <c r="AM361" s="9">
        <f>IF(AL361&gt;=set_ScoreHigh,"High",IF(AL361&gt;=set_ScoreMed,"Medium",IF(AL361&gt;0,"Low","OK")))</f>
        <v/>
      </c>
      <c r="AN361" s="54">
        <f>IF(OR(T361="Open",AND(T361="Won",ABS(Y361)&gt;0.5)),1,0)</f>
        <v/>
      </c>
      <c r="AO361" s="52">
        <f>IF(T361="Open",IF(V361=0,0,X361),IF(T361="Won",MAX(0,Y361),0))</f>
        <v/>
      </c>
      <c r="AP361" s="54">
        <f>IF(AN361=1,AL361*1E+9+U361+ROW()/1E+6,"")</f>
        <v/>
      </c>
      <c r="AQ361" s="9">
        <f>MID(IF(AF361&gt;0,"; Expected month passed - update Zoho","")&amp;IF(AG361&gt;0,"; "&amp;TEXT(U361/MAX(1,SUMIFS($U$2:$U$601,$T$2:$T$601,"Open")),"0%")&amp;" of open pipeline in one deal","")&amp;IF(AH361&gt;0,"; Large deal at an early stage","")&amp;IF(AI361&gt;0,"; No amount in Zoho","")&amp;IF(AJ361&gt;0,"; Won, invoice month passed, not fully invoiced","")&amp;IF(AK361&gt;0,"; Xero invoiced more than the deal value",""),3,300)</f>
        <v/>
      </c>
    </row>
    <row r="362">
      <c r="T362" s="9">
        <f>IFERROR(INDEX($A362:$R362,MATCH("Status",$A$1:$R$1,0)),"")&amp;""</f>
        <v/>
      </c>
      <c r="U362" s="52">
        <f>IFERROR(N(IFERROR(INDEX($A362:$R362,MATCH("Value Ex GST",$A$1:$R$1,0)),"")),0)</f>
        <v/>
      </c>
      <c r="V362" s="54">
        <f>IF(AND(T362&lt;&gt;"",IFERROR(INDEX($A362:$R362,MATCH("Value Ex GST",$A$1:$R$1,0)),"")&amp;""&lt;&gt;""),1,0)</f>
        <v/>
      </c>
      <c r="W362" s="56">
        <f>IFERROR(N(IFERROR(INDEX($A362:$R362,MATCH("Probability",$A$1:$R$1,0)),"")),0)</f>
        <v/>
      </c>
      <c r="X362" s="52">
        <f>IF(T362="Open",U362*W362,0)</f>
        <v/>
      </c>
      <c r="Y362" s="52">
        <f>IF(T362="Won",IFERROR(N(IFERROR(INDEX($A362:$R362,MATCH("Still to Invoice",$A$1:$R$1,0)),"")),0),0)</f>
        <v/>
      </c>
      <c r="Z362" s="55">
        <f>IFERROR(EOMONTH(IFERROR(INDEX($A362:$R362,MATCH("Expected Invoice Month",$A$1:$R$1,0)),""),0),"")</f>
        <v/>
      </c>
      <c r="AA362" s="9">
        <f>IFERROR(INDEX($A362:$R362,MATCH("Cost Centre",$A$1:$R$1,0)),"")&amp;""</f>
        <v/>
      </c>
      <c r="AB362" s="9">
        <f>IFERROR(INDEX($A362:$R362,MATCH("Pipeline Stage",$A$1:$R$1,0)),"")&amp;""</f>
        <v/>
      </c>
      <c r="AC362" s="9">
        <f>IFERROR(INDEX($A362:$R362,MATCH("Client",$A$1:$R$1,0)),"")&amp;""</f>
        <v/>
      </c>
      <c r="AD362" s="9">
        <f>IFERROR(INDEX($A362:$R362,MATCH("Description",$A$1:$R$1,0)),"")&amp;""</f>
        <v/>
      </c>
      <c r="AE362" s="9">
        <f>IFERROR(INDEX($A362:$R362,MATCH("Job Number",$A$1:$R$1,0)),"")&amp;""</f>
        <v/>
      </c>
      <c r="AF362" s="54">
        <f>IF(AND(T362="Open",ISNUMBER(Z362),Z362&lt;EOMONTH(set_AsAt,-1)+1),3,0)</f>
        <v/>
      </c>
      <c r="AG362" s="54">
        <f>IF(AND(T362="Open",U362&gt;0,U362&gt;=set_DealShare*SUMIFS($U$2:$U$601,$T$2:$T$601,"Open")),3,0)</f>
        <v/>
      </c>
      <c r="AH362" s="54">
        <f>IF(AND(T362="Open",U362&gt;=set_BigValue,W362&lt;=set_EarlyProb),2,0)</f>
        <v/>
      </c>
      <c r="AI362" s="54">
        <f>IF(AND(OR(T362="Open",T362="Won"),V362=0),2,0)</f>
        <v/>
      </c>
      <c r="AJ362" s="54">
        <f>IF(AND(T362="Won",Y362&gt;0.5,ISNUMBER(Z362),Z362&lt;EOMONTH(set_AsAt,-1)+1),3,0)</f>
        <v/>
      </c>
      <c r="AK362" s="54">
        <f>IF(AND(T362="Won",Y362&lt;-1),1,0)</f>
        <v/>
      </c>
      <c r="AL362" s="54">
        <f>SUM(AF362:AK362)</f>
        <v/>
      </c>
      <c r="AM362" s="9">
        <f>IF(AL362&gt;=set_ScoreHigh,"High",IF(AL362&gt;=set_ScoreMed,"Medium",IF(AL362&gt;0,"Low","OK")))</f>
        <v/>
      </c>
      <c r="AN362" s="54">
        <f>IF(OR(T362="Open",AND(T362="Won",ABS(Y362)&gt;0.5)),1,0)</f>
        <v/>
      </c>
      <c r="AO362" s="52">
        <f>IF(T362="Open",IF(V362=0,0,X362),IF(T362="Won",MAX(0,Y362),0))</f>
        <v/>
      </c>
      <c r="AP362" s="54">
        <f>IF(AN362=1,AL362*1E+9+U362+ROW()/1E+6,"")</f>
        <v/>
      </c>
      <c r="AQ362" s="9">
        <f>MID(IF(AF362&gt;0,"; Expected month passed - update Zoho","")&amp;IF(AG362&gt;0,"; "&amp;TEXT(U362/MAX(1,SUMIFS($U$2:$U$601,$T$2:$T$601,"Open")),"0%")&amp;" of open pipeline in one deal","")&amp;IF(AH362&gt;0,"; Large deal at an early stage","")&amp;IF(AI362&gt;0,"; No amount in Zoho","")&amp;IF(AJ362&gt;0,"; Won, invoice month passed, not fully invoiced","")&amp;IF(AK362&gt;0,"; Xero invoiced more than the deal value",""),3,300)</f>
        <v/>
      </c>
    </row>
    <row r="363">
      <c r="T363" s="9">
        <f>IFERROR(INDEX($A363:$R363,MATCH("Status",$A$1:$R$1,0)),"")&amp;""</f>
        <v/>
      </c>
      <c r="U363" s="52">
        <f>IFERROR(N(IFERROR(INDEX($A363:$R363,MATCH("Value Ex GST",$A$1:$R$1,0)),"")),0)</f>
        <v/>
      </c>
      <c r="V363" s="54">
        <f>IF(AND(T363&lt;&gt;"",IFERROR(INDEX($A363:$R363,MATCH("Value Ex GST",$A$1:$R$1,0)),"")&amp;""&lt;&gt;""),1,0)</f>
        <v/>
      </c>
      <c r="W363" s="56">
        <f>IFERROR(N(IFERROR(INDEX($A363:$R363,MATCH("Probability",$A$1:$R$1,0)),"")),0)</f>
        <v/>
      </c>
      <c r="X363" s="52">
        <f>IF(T363="Open",U363*W363,0)</f>
        <v/>
      </c>
      <c r="Y363" s="52">
        <f>IF(T363="Won",IFERROR(N(IFERROR(INDEX($A363:$R363,MATCH("Still to Invoice",$A$1:$R$1,0)),"")),0),0)</f>
        <v/>
      </c>
      <c r="Z363" s="55">
        <f>IFERROR(EOMONTH(IFERROR(INDEX($A363:$R363,MATCH("Expected Invoice Month",$A$1:$R$1,0)),""),0),"")</f>
        <v/>
      </c>
      <c r="AA363" s="9">
        <f>IFERROR(INDEX($A363:$R363,MATCH("Cost Centre",$A$1:$R$1,0)),"")&amp;""</f>
        <v/>
      </c>
      <c r="AB363" s="9">
        <f>IFERROR(INDEX($A363:$R363,MATCH("Pipeline Stage",$A$1:$R$1,0)),"")&amp;""</f>
        <v/>
      </c>
      <c r="AC363" s="9">
        <f>IFERROR(INDEX($A363:$R363,MATCH("Client",$A$1:$R$1,0)),"")&amp;""</f>
        <v/>
      </c>
      <c r="AD363" s="9">
        <f>IFERROR(INDEX($A363:$R363,MATCH("Description",$A$1:$R$1,0)),"")&amp;""</f>
        <v/>
      </c>
      <c r="AE363" s="9">
        <f>IFERROR(INDEX($A363:$R363,MATCH("Job Number",$A$1:$R$1,0)),"")&amp;""</f>
        <v/>
      </c>
      <c r="AF363" s="54">
        <f>IF(AND(T363="Open",ISNUMBER(Z363),Z363&lt;EOMONTH(set_AsAt,-1)+1),3,0)</f>
        <v/>
      </c>
      <c r="AG363" s="54">
        <f>IF(AND(T363="Open",U363&gt;0,U363&gt;=set_DealShare*SUMIFS($U$2:$U$601,$T$2:$T$601,"Open")),3,0)</f>
        <v/>
      </c>
      <c r="AH363" s="54">
        <f>IF(AND(T363="Open",U363&gt;=set_BigValue,W363&lt;=set_EarlyProb),2,0)</f>
        <v/>
      </c>
      <c r="AI363" s="54">
        <f>IF(AND(OR(T363="Open",T363="Won"),V363=0),2,0)</f>
        <v/>
      </c>
      <c r="AJ363" s="54">
        <f>IF(AND(T363="Won",Y363&gt;0.5,ISNUMBER(Z363),Z363&lt;EOMONTH(set_AsAt,-1)+1),3,0)</f>
        <v/>
      </c>
      <c r="AK363" s="54">
        <f>IF(AND(T363="Won",Y363&lt;-1),1,0)</f>
        <v/>
      </c>
      <c r="AL363" s="54">
        <f>SUM(AF363:AK363)</f>
        <v/>
      </c>
      <c r="AM363" s="9">
        <f>IF(AL363&gt;=set_ScoreHigh,"High",IF(AL363&gt;=set_ScoreMed,"Medium",IF(AL363&gt;0,"Low","OK")))</f>
        <v/>
      </c>
      <c r="AN363" s="54">
        <f>IF(OR(T363="Open",AND(T363="Won",ABS(Y363)&gt;0.5)),1,0)</f>
        <v/>
      </c>
      <c r="AO363" s="52">
        <f>IF(T363="Open",IF(V363=0,0,X363),IF(T363="Won",MAX(0,Y363),0))</f>
        <v/>
      </c>
      <c r="AP363" s="54">
        <f>IF(AN363=1,AL363*1E+9+U363+ROW()/1E+6,"")</f>
        <v/>
      </c>
      <c r="AQ363" s="9">
        <f>MID(IF(AF363&gt;0,"; Expected month passed - update Zoho","")&amp;IF(AG363&gt;0,"; "&amp;TEXT(U363/MAX(1,SUMIFS($U$2:$U$601,$T$2:$T$601,"Open")),"0%")&amp;" of open pipeline in one deal","")&amp;IF(AH363&gt;0,"; Large deal at an early stage","")&amp;IF(AI363&gt;0,"; No amount in Zoho","")&amp;IF(AJ363&gt;0,"; Won, invoice month passed, not fully invoiced","")&amp;IF(AK363&gt;0,"; Xero invoiced more than the deal value",""),3,300)</f>
        <v/>
      </c>
    </row>
    <row r="364">
      <c r="T364" s="9">
        <f>IFERROR(INDEX($A364:$R364,MATCH("Status",$A$1:$R$1,0)),"")&amp;""</f>
        <v/>
      </c>
      <c r="U364" s="52">
        <f>IFERROR(N(IFERROR(INDEX($A364:$R364,MATCH("Value Ex GST",$A$1:$R$1,0)),"")),0)</f>
        <v/>
      </c>
      <c r="V364" s="54">
        <f>IF(AND(T364&lt;&gt;"",IFERROR(INDEX($A364:$R364,MATCH("Value Ex GST",$A$1:$R$1,0)),"")&amp;""&lt;&gt;""),1,0)</f>
        <v/>
      </c>
      <c r="W364" s="56">
        <f>IFERROR(N(IFERROR(INDEX($A364:$R364,MATCH("Probability",$A$1:$R$1,0)),"")),0)</f>
        <v/>
      </c>
      <c r="X364" s="52">
        <f>IF(T364="Open",U364*W364,0)</f>
        <v/>
      </c>
      <c r="Y364" s="52">
        <f>IF(T364="Won",IFERROR(N(IFERROR(INDEX($A364:$R364,MATCH("Still to Invoice",$A$1:$R$1,0)),"")),0),0)</f>
        <v/>
      </c>
      <c r="Z364" s="55">
        <f>IFERROR(EOMONTH(IFERROR(INDEX($A364:$R364,MATCH("Expected Invoice Month",$A$1:$R$1,0)),""),0),"")</f>
        <v/>
      </c>
      <c r="AA364" s="9">
        <f>IFERROR(INDEX($A364:$R364,MATCH("Cost Centre",$A$1:$R$1,0)),"")&amp;""</f>
        <v/>
      </c>
      <c r="AB364" s="9">
        <f>IFERROR(INDEX($A364:$R364,MATCH("Pipeline Stage",$A$1:$R$1,0)),"")&amp;""</f>
        <v/>
      </c>
      <c r="AC364" s="9">
        <f>IFERROR(INDEX($A364:$R364,MATCH("Client",$A$1:$R$1,0)),"")&amp;""</f>
        <v/>
      </c>
      <c r="AD364" s="9">
        <f>IFERROR(INDEX($A364:$R364,MATCH("Description",$A$1:$R$1,0)),"")&amp;""</f>
        <v/>
      </c>
      <c r="AE364" s="9">
        <f>IFERROR(INDEX($A364:$R364,MATCH("Job Number",$A$1:$R$1,0)),"")&amp;""</f>
        <v/>
      </c>
      <c r="AF364" s="54">
        <f>IF(AND(T364="Open",ISNUMBER(Z364),Z364&lt;EOMONTH(set_AsAt,-1)+1),3,0)</f>
        <v/>
      </c>
      <c r="AG364" s="54">
        <f>IF(AND(T364="Open",U364&gt;0,U364&gt;=set_DealShare*SUMIFS($U$2:$U$601,$T$2:$T$601,"Open")),3,0)</f>
        <v/>
      </c>
      <c r="AH364" s="54">
        <f>IF(AND(T364="Open",U364&gt;=set_BigValue,W364&lt;=set_EarlyProb),2,0)</f>
        <v/>
      </c>
      <c r="AI364" s="54">
        <f>IF(AND(OR(T364="Open",T364="Won"),V364=0),2,0)</f>
        <v/>
      </c>
      <c r="AJ364" s="54">
        <f>IF(AND(T364="Won",Y364&gt;0.5,ISNUMBER(Z364),Z364&lt;EOMONTH(set_AsAt,-1)+1),3,0)</f>
        <v/>
      </c>
      <c r="AK364" s="54">
        <f>IF(AND(T364="Won",Y364&lt;-1),1,0)</f>
        <v/>
      </c>
      <c r="AL364" s="54">
        <f>SUM(AF364:AK364)</f>
        <v/>
      </c>
      <c r="AM364" s="9">
        <f>IF(AL364&gt;=set_ScoreHigh,"High",IF(AL364&gt;=set_ScoreMed,"Medium",IF(AL364&gt;0,"Low","OK")))</f>
        <v/>
      </c>
      <c r="AN364" s="54">
        <f>IF(OR(T364="Open",AND(T364="Won",ABS(Y364)&gt;0.5)),1,0)</f>
        <v/>
      </c>
      <c r="AO364" s="52">
        <f>IF(T364="Open",IF(V364=0,0,X364),IF(T364="Won",MAX(0,Y364),0))</f>
        <v/>
      </c>
      <c r="AP364" s="54">
        <f>IF(AN364=1,AL364*1E+9+U364+ROW()/1E+6,"")</f>
        <v/>
      </c>
      <c r="AQ364" s="9">
        <f>MID(IF(AF364&gt;0,"; Expected month passed - update Zoho","")&amp;IF(AG364&gt;0,"; "&amp;TEXT(U364/MAX(1,SUMIFS($U$2:$U$601,$T$2:$T$601,"Open")),"0%")&amp;" of open pipeline in one deal","")&amp;IF(AH364&gt;0,"; Large deal at an early stage","")&amp;IF(AI364&gt;0,"; No amount in Zoho","")&amp;IF(AJ364&gt;0,"; Won, invoice month passed, not fully invoiced","")&amp;IF(AK364&gt;0,"; Xero invoiced more than the deal value",""),3,300)</f>
        <v/>
      </c>
    </row>
    <row r="365">
      <c r="T365" s="9">
        <f>IFERROR(INDEX($A365:$R365,MATCH("Status",$A$1:$R$1,0)),"")&amp;""</f>
        <v/>
      </c>
      <c r="U365" s="52">
        <f>IFERROR(N(IFERROR(INDEX($A365:$R365,MATCH("Value Ex GST",$A$1:$R$1,0)),"")),0)</f>
        <v/>
      </c>
      <c r="V365" s="54">
        <f>IF(AND(T365&lt;&gt;"",IFERROR(INDEX($A365:$R365,MATCH("Value Ex GST",$A$1:$R$1,0)),"")&amp;""&lt;&gt;""),1,0)</f>
        <v/>
      </c>
      <c r="W365" s="56">
        <f>IFERROR(N(IFERROR(INDEX($A365:$R365,MATCH("Probability",$A$1:$R$1,0)),"")),0)</f>
        <v/>
      </c>
      <c r="X365" s="52">
        <f>IF(T365="Open",U365*W365,0)</f>
        <v/>
      </c>
      <c r="Y365" s="52">
        <f>IF(T365="Won",IFERROR(N(IFERROR(INDEX($A365:$R365,MATCH("Still to Invoice",$A$1:$R$1,0)),"")),0),0)</f>
        <v/>
      </c>
      <c r="Z365" s="55">
        <f>IFERROR(EOMONTH(IFERROR(INDEX($A365:$R365,MATCH("Expected Invoice Month",$A$1:$R$1,0)),""),0),"")</f>
        <v/>
      </c>
      <c r="AA365" s="9">
        <f>IFERROR(INDEX($A365:$R365,MATCH("Cost Centre",$A$1:$R$1,0)),"")&amp;""</f>
        <v/>
      </c>
      <c r="AB365" s="9">
        <f>IFERROR(INDEX($A365:$R365,MATCH("Pipeline Stage",$A$1:$R$1,0)),"")&amp;""</f>
        <v/>
      </c>
      <c r="AC365" s="9">
        <f>IFERROR(INDEX($A365:$R365,MATCH("Client",$A$1:$R$1,0)),"")&amp;""</f>
        <v/>
      </c>
      <c r="AD365" s="9">
        <f>IFERROR(INDEX($A365:$R365,MATCH("Description",$A$1:$R$1,0)),"")&amp;""</f>
        <v/>
      </c>
      <c r="AE365" s="9">
        <f>IFERROR(INDEX($A365:$R365,MATCH("Job Number",$A$1:$R$1,0)),"")&amp;""</f>
        <v/>
      </c>
      <c r="AF365" s="54">
        <f>IF(AND(T365="Open",ISNUMBER(Z365),Z365&lt;EOMONTH(set_AsAt,-1)+1),3,0)</f>
        <v/>
      </c>
      <c r="AG365" s="54">
        <f>IF(AND(T365="Open",U365&gt;0,U365&gt;=set_DealShare*SUMIFS($U$2:$U$601,$T$2:$T$601,"Open")),3,0)</f>
        <v/>
      </c>
      <c r="AH365" s="54">
        <f>IF(AND(T365="Open",U365&gt;=set_BigValue,W365&lt;=set_EarlyProb),2,0)</f>
        <v/>
      </c>
      <c r="AI365" s="54">
        <f>IF(AND(OR(T365="Open",T365="Won"),V365=0),2,0)</f>
        <v/>
      </c>
      <c r="AJ365" s="54">
        <f>IF(AND(T365="Won",Y365&gt;0.5,ISNUMBER(Z365),Z365&lt;EOMONTH(set_AsAt,-1)+1),3,0)</f>
        <v/>
      </c>
      <c r="AK365" s="54">
        <f>IF(AND(T365="Won",Y365&lt;-1),1,0)</f>
        <v/>
      </c>
      <c r="AL365" s="54">
        <f>SUM(AF365:AK365)</f>
        <v/>
      </c>
      <c r="AM365" s="9">
        <f>IF(AL365&gt;=set_ScoreHigh,"High",IF(AL365&gt;=set_ScoreMed,"Medium",IF(AL365&gt;0,"Low","OK")))</f>
        <v/>
      </c>
      <c r="AN365" s="54">
        <f>IF(OR(T365="Open",AND(T365="Won",ABS(Y365)&gt;0.5)),1,0)</f>
        <v/>
      </c>
      <c r="AO365" s="52">
        <f>IF(T365="Open",IF(V365=0,0,X365),IF(T365="Won",MAX(0,Y365),0))</f>
        <v/>
      </c>
      <c r="AP365" s="54">
        <f>IF(AN365=1,AL365*1E+9+U365+ROW()/1E+6,"")</f>
        <v/>
      </c>
      <c r="AQ365" s="9">
        <f>MID(IF(AF365&gt;0,"; Expected month passed - update Zoho","")&amp;IF(AG365&gt;0,"; "&amp;TEXT(U365/MAX(1,SUMIFS($U$2:$U$601,$T$2:$T$601,"Open")),"0%")&amp;" of open pipeline in one deal","")&amp;IF(AH365&gt;0,"; Large deal at an early stage","")&amp;IF(AI365&gt;0,"; No amount in Zoho","")&amp;IF(AJ365&gt;0,"; Won, invoice month passed, not fully invoiced","")&amp;IF(AK365&gt;0,"; Xero invoiced more than the deal value",""),3,300)</f>
        <v/>
      </c>
    </row>
    <row r="366">
      <c r="T366" s="9">
        <f>IFERROR(INDEX($A366:$R366,MATCH("Status",$A$1:$R$1,0)),"")&amp;""</f>
        <v/>
      </c>
      <c r="U366" s="52">
        <f>IFERROR(N(IFERROR(INDEX($A366:$R366,MATCH("Value Ex GST",$A$1:$R$1,0)),"")),0)</f>
        <v/>
      </c>
      <c r="V366" s="54">
        <f>IF(AND(T366&lt;&gt;"",IFERROR(INDEX($A366:$R366,MATCH("Value Ex GST",$A$1:$R$1,0)),"")&amp;""&lt;&gt;""),1,0)</f>
        <v/>
      </c>
      <c r="W366" s="56">
        <f>IFERROR(N(IFERROR(INDEX($A366:$R366,MATCH("Probability",$A$1:$R$1,0)),"")),0)</f>
        <v/>
      </c>
      <c r="X366" s="52">
        <f>IF(T366="Open",U366*W366,0)</f>
        <v/>
      </c>
      <c r="Y366" s="52">
        <f>IF(T366="Won",IFERROR(N(IFERROR(INDEX($A366:$R366,MATCH("Still to Invoice",$A$1:$R$1,0)),"")),0),0)</f>
        <v/>
      </c>
      <c r="Z366" s="55">
        <f>IFERROR(EOMONTH(IFERROR(INDEX($A366:$R366,MATCH("Expected Invoice Month",$A$1:$R$1,0)),""),0),"")</f>
        <v/>
      </c>
      <c r="AA366" s="9">
        <f>IFERROR(INDEX($A366:$R366,MATCH("Cost Centre",$A$1:$R$1,0)),"")&amp;""</f>
        <v/>
      </c>
      <c r="AB366" s="9">
        <f>IFERROR(INDEX($A366:$R366,MATCH("Pipeline Stage",$A$1:$R$1,0)),"")&amp;""</f>
        <v/>
      </c>
      <c r="AC366" s="9">
        <f>IFERROR(INDEX($A366:$R366,MATCH("Client",$A$1:$R$1,0)),"")&amp;""</f>
        <v/>
      </c>
      <c r="AD366" s="9">
        <f>IFERROR(INDEX($A366:$R366,MATCH("Description",$A$1:$R$1,0)),"")&amp;""</f>
        <v/>
      </c>
      <c r="AE366" s="9">
        <f>IFERROR(INDEX($A366:$R366,MATCH("Job Number",$A$1:$R$1,0)),"")&amp;""</f>
        <v/>
      </c>
      <c r="AF366" s="54">
        <f>IF(AND(T366="Open",ISNUMBER(Z366),Z366&lt;EOMONTH(set_AsAt,-1)+1),3,0)</f>
        <v/>
      </c>
      <c r="AG366" s="54">
        <f>IF(AND(T366="Open",U366&gt;0,U366&gt;=set_DealShare*SUMIFS($U$2:$U$601,$T$2:$T$601,"Open")),3,0)</f>
        <v/>
      </c>
      <c r="AH366" s="54">
        <f>IF(AND(T366="Open",U366&gt;=set_BigValue,W366&lt;=set_EarlyProb),2,0)</f>
        <v/>
      </c>
      <c r="AI366" s="54">
        <f>IF(AND(OR(T366="Open",T366="Won"),V366=0),2,0)</f>
        <v/>
      </c>
      <c r="AJ366" s="54">
        <f>IF(AND(T366="Won",Y366&gt;0.5,ISNUMBER(Z366),Z366&lt;EOMONTH(set_AsAt,-1)+1),3,0)</f>
        <v/>
      </c>
      <c r="AK366" s="54">
        <f>IF(AND(T366="Won",Y366&lt;-1),1,0)</f>
        <v/>
      </c>
      <c r="AL366" s="54">
        <f>SUM(AF366:AK366)</f>
        <v/>
      </c>
      <c r="AM366" s="9">
        <f>IF(AL366&gt;=set_ScoreHigh,"High",IF(AL366&gt;=set_ScoreMed,"Medium",IF(AL366&gt;0,"Low","OK")))</f>
        <v/>
      </c>
      <c r="AN366" s="54">
        <f>IF(OR(T366="Open",AND(T366="Won",ABS(Y366)&gt;0.5)),1,0)</f>
        <v/>
      </c>
      <c r="AO366" s="52">
        <f>IF(T366="Open",IF(V366=0,0,X366),IF(T366="Won",MAX(0,Y366),0))</f>
        <v/>
      </c>
      <c r="AP366" s="54">
        <f>IF(AN366=1,AL366*1E+9+U366+ROW()/1E+6,"")</f>
        <v/>
      </c>
      <c r="AQ366" s="9">
        <f>MID(IF(AF366&gt;0,"; Expected month passed - update Zoho","")&amp;IF(AG366&gt;0,"; "&amp;TEXT(U366/MAX(1,SUMIFS($U$2:$U$601,$T$2:$T$601,"Open")),"0%")&amp;" of open pipeline in one deal","")&amp;IF(AH366&gt;0,"; Large deal at an early stage","")&amp;IF(AI366&gt;0,"; No amount in Zoho","")&amp;IF(AJ366&gt;0,"; Won, invoice month passed, not fully invoiced","")&amp;IF(AK366&gt;0,"; Xero invoiced more than the deal value",""),3,300)</f>
        <v/>
      </c>
    </row>
    <row r="367">
      <c r="T367" s="9">
        <f>IFERROR(INDEX($A367:$R367,MATCH("Status",$A$1:$R$1,0)),"")&amp;""</f>
        <v/>
      </c>
      <c r="U367" s="52">
        <f>IFERROR(N(IFERROR(INDEX($A367:$R367,MATCH("Value Ex GST",$A$1:$R$1,0)),"")),0)</f>
        <v/>
      </c>
      <c r="V367" s="54">
        <f>IF(AND(T367&lt;&gt;"",IFERROR(INDEX($A367:$R367,MATCH("Value Ex GST",$A$1:$R$1,0)),"")&amp;""&lt;&gt;""),1,0)</f>
        <v/>
      </c>
      <c r="W367" s="56">
        <f>IFERROR(N(IFERROR(INDEX($A367:$R367,MATCH("Probability",$A$1:$R$1,0)),"")),0)</f>
        <v/>
      </c>
      <c r="X367" s="52">
        <f>IF(T367="Open",U367*W367,0)</f>
        <v/>
      </c>
      <c r="Y367" s="52">
        <f>IF(T367="Won",IFERROR(N(IFERROR(INDEX($A367:$R367,MATCH("Still to Invoice",$A$1:$R$1,0)),"")),0),0)</f>
        <v/>
      </c>
      <c r="Z367" s="55">
        <f>IFERROR(EOMONTH(IFERROR(INDEX($A367:$R367,MATCH("Expected Invoice Month",$A$1:$R$1,0)),""),0),"")</f>
        <v/>
      </c>
      <c r="AA367" s="9">
        <f>IFERROR(INDEX($A367:$R367,MATCH("Cost Centre",$A$1:$R$1,0)),"")&amp;""</f>
        <v/>
      </c>
      <c r="AB367" s="9">
        <f>IFERROR(INDEX($A367:$R367,MATCH("Pipeline Stage",$A$1:$R$1,0)),"")&amp;""</f>
        <v/>
      </c>
      <c r="AC367" s="9">
        <f>IFERROR(INDEX($A367:$R367,MATCH("Client",$A$1:$R$1,0)),"")&amp;""</f>
        <v/>
      </c>
      <c r="AD367" s="9">
        <f>IFERROR(INDEX($A367:$R367,MATCH("Description",$A$1:$R$1,0)),"")&amp;""</f>
        <v/>
      </c>
      <c r="AE367" s="9">
        <f>IFERROR(INDEX($A367:$R367,MATCH("Job Number",$A$1:$R$1,0)),"")&amp;""</f>
        <v/>
      </c>
      <c r="AF367" s="54">
        <f>IF(AND(T367="Open",ISNUMBER(Z367),Z367&lt;EOMONTH(set_AsAt,-1)+1),3,0)</f>
        <v/>
      </c>
      <c r="AG367" s="54">
        <f>IF(AND(T367="Open",U367&gt;0,U367&gt;=set_DealShare*SUMIFS($U$2:$U$601,$T$2:$T$601,"Open")),3,0)</f>
        <v/>
      </c>
      <c r="AH367" s="54">
        <f>IF(AND(T367="Open",U367&gt;=set_BigValue,W367&lt;=set_EarlyProb),2,0)</f>
        <v/>
      </c>
      <c r="AI367" s="54">
        <f>IF(AND(OR(T367="Open",T367="Won"),V367=0),2,0)</f>
        <v/>
      </c>
      <c r="AJ367" s="54">
        <f>IF(AND(T367="Won",Y367&gt;0.5,ISNUMBER(Z367),Z367&lt;EOMONTH(set_AsAt,-1)+1),3,0)</f>
        <v/>
      </c>
      <c r="AK367" s="54">
        <f>IF(AND(T367="Won",Y367&lt;-1),1,0)</f>
        <v/>
      </c>
      <c r="AL367" s="54">
        <f>SUM(AF367:AK367)</f>
        <v/>
      </c>
      <c r="AM367" s="9">
        <f>IF(AL367&gt;=set_ScoreHigh,"High",IF(AL367&gt;=set_ScoreMed,"Medium",IF(AL367&gt;0,"Low","OK")))</f>
        <v/>
      </c>
      <c r="AN367" s="54">
        <f>IF(OR(T367="Open",AND(T367="Won",ABS(Y367)&gt;0.5)),1,0)</f>
        <v/>
      </c>
      <c r="AO367" s="52">
        <f>IF(T367="Open",IF(V367=0,0,X367),IF(T367="Won",MAX(0,Y367),0))</f>
        <v/>
      </c>
      <c r="AP367" s="54">
        <f>IF(AN367=1,AL367*1E+9+U367+ROW()/1E+6,"")</f>
        <v/>
      </c>
      <c r="AQ367" s="9">
        <f>MID(IF(AF367&gt;0,"; Expected month passed - update Zoho","")&amp;IF(AG367&gt;0,"; "&amp;TEXT(U367/MAX(1,SUMIFS($U$2:$U$601,$T$2:$T$601,"Open")),"0%")&amp;" of open pipeline in one deal","")&amp;IF(AH367&gt;0,"; Large deal at an early stage","")&amp;IF(AI367&gt;0,"; No amount in Zoho","")&amp;IF(AJ367&gt;0,"; Won, invoice month passed, not fully invoiced","")&amp;IF(AK367&gt;0,"; Xero invoiced more than the deal value",""),3,300)</f>
        <v/>
      </c>
    </row>
    <row r="368">
      <c r="T368" s="9">
        <f>IFERROR(INDEX($A368:$R368,MATCH("Status",$A$1:$R$1,0)),"")&amp;""</f>
        <v/>
      </c>
      <c r="U368" s="52">
        <f>IFERROR(N(IFERROR(INDEX($A368:$R368,MATCH("Value Ex GST",$A$1:$R$1,0)),"")),0)</f>
        <v/>
      </c>
      <c r="V368" s="54">
        <f>IF(AND(T368&lt;&gt;"",IFERROR(INDEX($A368:$R368,MATCH("Value Ex GST",$A$1:$R$1,0)),"")&amp;""&lt;&gt;""),1,0)</f>
        <v/>
      </c>
      <c r="W368" s="56">
        <f>IFERROR(N(IFERROR(INDEX($A368:$R368,MATCH("Probability",$A$1:$R$1,0)),"")),0)</f>
        <v/>
      </c>
      <c r="X368" s="52">
        <f>IF(T368="Open",U368*W368,0)</f>
        <v/>
      </c>
      <c r="Y368" s="52">
        <f>IF(T368="Won",IFERROR(N(IFERROR(INDEX($A368:$R368,MATCH("Still to Invoice",$A$1:$R$1,0)),"")),0),0)</f>
        <v/>
      </c>
      <c r="Z368" s="55">
        <f>IFERROR(EOMONTH(IFERROR(INDEX($A368:$R368,MATCH("Expected Invoice Month",$A$1:$R$1,0)),""),0),"")</f>
        <v/>
      </c>
      <c r="AA368" s="9">
        <f>IFERROR(INDEX($A368:$R368,MATCH("Cost Centre",$A$1:$R$1,0)),"")&amp;""</f>
        <v/>
      </c>
      <c r="AB368" s="9">
        <f>IFERROR(INDEX($A368:$R368,MATCH("Pipeline Stage",$A$1:$R$1,0)),"")&amp;""</f>
        <v/>
      </c>
      <c r="AC368" s="9">
        <f>IFERROR(INDEX($A368:$R368,MATCH("Client",$A$1:$R$1,0)),"")&amp;""</f>
        <v/>
      </c>
      <c r="AD368" s="9">
        <f>IFERROR(INDEX($A368:$R368,MATCH("Description",$A$1:$R$1,0)),"")&amp;""</f>
        <v/>
      </c>
      <c r="AE368" s="9">
        <f>IFERROR(INDEX($A368:$R368,MATCH("Job Number",$A$1:$R$1,0)),"")&amp;""</f>
        <v/>
      </c>
      <c r="AF368" s="54">
        <f>IF(AND(T368="Open",ISNUMBER(Z368),Z368&lt;EOMONTH(set_AsAt,-1)+1),3,0)</f>
        <v/>
      </c>
      <c r="AG368" s="54">
        <f>IF(AND(T368="Open",U368&gt;0,U368&gt;=set_DealShare*SUMIFS($U$2:$U$601,$T$2:$T$601,"Open")),3,0)</f>
        <v/>
      </c>
      <c r="AH368" s="54">
        <f>IF(AND(T368="Open",U368&gt;=set_BigValue,W368&lt;=set_EarlyProb),2,0)</f>
        <v/>
      </c>
      <c r="AI368" s="54">
        <f>IF(AND(OR(T368="Open",T368="Won"),V368=0),2,0)</f>
        <v/>
      </c>
      <c r="AJ368" s="54">
        <f>IF(AND(T368="Won",Y368&gt;0.5,ISNUMBER(Z368),Z368&lt;EOMONTH(set_AsAt,-1)+1),3,0)</f>
        <v/>
      </c>
      <c r="AK368" s="54">
        <f>IF(AND(T368="Won",Y368&lt;-1),1,0)</f>
        <v/>
      </c>
      <c r="AL368" s="54">
        <f>SUM(AF368:AK368)</f>
        <v/>
      </c>
      <c r="AM368" s="9">
        <f>IF(AL368&gt;=set_ScoreHigh,"High",IF(AL368&gt;=set_ScoreMed,"Medium",IF(AL368&gt;0,"Low","OK")))</f>
        <v/>
      </c>
      <c r="AN368" s="54">
        <f>IF(OR(T368="Open",AND(T368="Won",ABS(Y368)&gt;0.5)),1,0)</f>
        <v/>
      </c>
      <c r="AO368" s="52">
        <f>IF(T368="Open",IF(V368=0,0,X368),IF(T368="Won",MAX(0,Y368),0))</f>
        <v/>
      </c>
      <c r="AP368" s="54">
        <f>IF(AN368=1,AL368*1E+9+U368+ROW()/1E+6,"")</f>
        <v/>
      </c>
      <c r="AQ368" s="9">
        <f>MID(IF(AF368&gt;0,"; Expected month passed - update Zoho","")&amp;IF(AG368&gt;0,"; "&amp;TEXT(U368/MAX(1,SUMIFS($U$2:$U$601,$T$2:$T$601,"Open")),"0%")&amp;" of open pipeline in one deal","")&amp;IF(AH368&gt;0,"; Large deal at an early stage","")&amp;IF(AI368&gt;0,"; No amount in Zoho","")&amp;IF(AJ368&gt;0,"; Won, invoice month passed, not fully invoiced","")&amp;IF(AK368&gt;0,"; Xero invoiced more than the deal value",""),3,300)</f>
        <v/>
      </c>
    </row>
    <row r="369">
      <c r="T369" s="9">
        <f>IFERROR(INDEX($A369:$R369,MATCH("Status",$A$1:$R$1,0)),"")&amp;""</f>
        <v/>
      </c>
      <c r="U369" s="52">
        <f>IFERROR(N(IFERROR(INDEX($A369:$R369,MATCH("Value Ex GST",$A$1:$R$1,0)),"")),0)</f>
        <v/>
      </c>
      <c r="V369" s="54">
        <f>IF(AND(T369&lt;&gt;"",IFERROR(INDEX($A369:$R369,MATCH("Value Ex GST",$A$1:$R$1,0)),"")&amp;""&lt;&gt;""),1,0)</f>
        <v/>
      </c>
      <c r="W369" s="56">
        <f>IFERROR(N(IFERROR(INDEX($A369:$R369,MATCH("Probability",$A$1:$R$1,0)),"")),0)</f>
        <v/>
      </c>
      <c r="X369" s="52">
        <f>IF(T369="Open",U369*W369,0)</f>
        <v/>
      </c>
      <c r="Y369" s="52">
        <f>IF(T369="Won",IFERROR(N(IFERROR(INDEX($A369:$R369,MATCH("Still to Invoice",$A$1:$R$1,0)),"")),0),0)</f>
        <v/>
      </c>
      <c r="Z369" s="55">
        <f>IFERROR(EOMONTH(IFERROR(INDEX($A369:$R369,MATCH("Expected Invoice Month",$A$1:$R$1,0)),""),0),"")</f>
        <v/>
      </c>
      <c r="AA369" s="9">
        <f>IFERROR(INDEX($A369:$R369,MATCH("Cost Centre",$A$1:$R$1,0)),"")&amp;""</f>
        <v/>
      </c>
      <c r="AB369" s="9">
        <f>IFERROR(INDEX($A369:$R369,MATCH("Pipeline Stage",$A$1:$R$1,0)),"")&amp;""</f>
        <v/>
      </c>
      <c r="AC369" s="9">
        <f>IFERROR(INDEX($A369:$R369,MATCH("Client",$A$1:$R$1,0)),"")&amp;""</f>
        <v/>
      </c>
      <c r="AD369" s="9">
        <f>IFERROR(INDEX($A369:$R369,MATCH("Description",$A$1:$R$1,0)),"")&amp;""</f>
        <v/>
      </c>
      <c r="AE369" s="9">
        <f>IFERROR(INDEX($A369:$R369,MATCH("Job Number",$A$1:$R$1,0)),"")&amp;""</f>
        <v/>
      </c>
      <c r="AF369" s="54">
        <f>IF(AND(T369="Open",ISNUMBER(Z369),Z369&lt;EOMONTH(set_AsAt,-1)+1),3,0)</f>
        <v/>
      </c>
      <c r="AG369" s="54">
        <f>IF(AND(T369="Open",U369&gt;0,U369&gt;=set_DealShare*SUMIFS($U$2:$U$601,$T$2:$T$601,"Open")),3,0)</f>
        <v/>
      </c>
      <c r="AH369" s="54">
        <f>IF(AND(T369="Open",U369&gt;=set_BigValue,W369&lt;=set_EarlyProb),2,0)</f>
        <v/>
      </c>
      <c r="AI369" s="54">
        <f>IF(AND(OR(T369="Open",T369="Won"),V369=0),2,0)</f>
        <v/>
      </c>
      <c r="AJ369" s="54">
        <f>IF(AND(T369="Won",Y369&gt;0.5,ISNUMBER(Z369),Z369&lt;EOMONTH(set_AsAt,-1)+1),3,0)</f>
        <v/>
      </c>
      <c r="AK369" s="54">
        <f>IF(AND(T369="Won",Y369&lt;-1),1,0)</f>
        <v/>
      </c>
      <c r="AL369" s="54">
        <f>SUM(AF369:AK369)</f>
        <v/>
      </c>
      <c r="AM369" s="9">
        <f>IF(AL369&gt;=set_ScoreHigh,"High",IF(AL369&gt;=set_ScoreMed,"Medium",IF(AL369&gt;0,"Low","OK")))</f>
        <v/>
      </c>
      <c r="AN369" s="54">
        <f>IF(OR(T369="Open",AND(T369="Won",ABS(Y369)&gt;0.5)),1,0)</f>
        <v/>
      </c>
      <c r="AO369" s="52">
        <f>IF(T369="Open",IF(V369=0,0,X369),IF(T369="Won",MAX(0,Y369),0))</f>
        <v/>
      </c>
      <c r="AP369" s="54">
        <f>IF(AN369=1,AL369*1E+9+U369+ROW()/1E+6,"")</f>
        <v/>
      </c>
      <c r="AQ369" s="9">
        <f>MID(IF(AF369&gt;0,"; Expected month passed - update Zoho","")&amp;IF(AG369&gt;0,"; "&amp;TEXT(U369/MAX(1,SUMIFS($U$2:$U$601,$T$2:$T$601,"Open")),"0%")&amp;" of open pipeline in one deal","")&amp;IF(AH369&gt;0,"; Large deal at an early stage","")&amp;IF(AI369&gt;0,"; No amount in Zoho","")&amp;IF(AJ369&gt;0,"; Won, invoice month passed, not fully invoiced","")&amp;IF(AK369&gt;0,"; Xero invoiced more than the deal value",""),3,300)</f>
        <v/>
      </c>
    </row>
    <row r="370">
      <c r="T370" s="9">
        <f>IFERROR(INDEX($A370:$R370,MATCH("Status",$A$1:$R$1,0)),"")&amp;""</f>
        <v/>
      </c>
      <c r="U370" s="52">
        <f>IFERROR(N(IFERROR(INDEX($A370:$R370,MATCH("Value Ex GST",$A$1:$R$1,0)),"")),0)</f>
        <v/>
      </c>
      <c r="V370" s="54">
        <f>IF(AND(T370&lt;&gt;"",IFERROR(INDEX($A370:$R370,MATCH("Value Ex GST",$A$1:$R$1,0)),"")&amp;""&lt;&gt;""),1,0)</f>
        <v/>
      </c>
      <c r="W370" s="56">
        <f>IFERROR(N(IFERROR(INDEX($A370:$R370,MATCH("Probability",$A$1:$R$1,0)),"")),0)</f>
        <v/>
      </c>
      <c r="X370" s="52">
        <f>IF(T370="Open",U370*W370,0)</f>
        <v/>
      </c>
      <c r="Y370" s="52">
        <f>IF(T370="Won",IFERROR(N(IFERROR(INDEX($A370:$R370,MATCH("Still to Invoice",$A$1:$R$1,0)),"")),0),0)</f>
        <v/>
      </c>
      <c r="Z370" s="55">
        <f>IFERROR(EOMONTH(IFERROR(INDEX($A370:$R370,MATCH("Expected Invoice Month",$A$1:$R$1,0)),""),0),"")</f>
        <v/>
      </c>
      <c r="AA370" s="9">
        <f>IFERROR(INDEX($A370:$R370,MATCH("Cost Centre",$A$1:$R$1,0)),"")&amp;""</f>
        <v/>
      </c>
      <c r="AB370" s="9">
        <f>IFERROR(INDEX($A370:$R370,MATCH("Pipeline Stage",$A$1:$R$1,0)),"")&amp;""</f>
        <v/>
      </c>
      <c r="AC370" s="9">
        <f>IFERROR(INDEX($A370:$R370,MATCH("Client",$A$1:$R$1,0)),"")&amp;""</f>
        <v/>
      </c>
      <c r="AD370" s="9">
        <f>IFERROR(INDEX($A370:$R370,MATCH("Description",$A$1:$R$1,0)),"")&amp;""</f>
        <v/>
      </c>
      <c r="AE370" s="9">
        <f>IFERROR(INDEX($A370:$R370,MATCH("Job Number",$A$1:$R$1,0)),"")&amp;""</f>
        <v/>
      </c>
      <c r="AF370" s="54">
        <f>IF(AND(T370="Open",ISNUMBER(Z370),Z370&lt;EOMONTH(set_AsAt,-1)+1),3,0)</f>
        <v/>
      </c>
      <c r="AG370" s="54">
        <f>IF(AND(T370="Open",U370&gt;0,U370&gt;=set_DealShare*SUMIFS($U$2:$U$601,$T$2:$T$601,"Open")),3,0)</f>
        <v/>
      </c>
      <c r="AH370" s="54">
        <f>IF(AND(T370="Open",U370&gt;=set_BigValue,W370&lt;=set_EarlyProb),2,0)</f>
        <v/>
      </c>
      <c r="AI370" s="54">
        <f>IF(AND(OR(T370="Open",T370="Won"),V370=0),2,0)</f>
        <v/>
      </c>
      <c r="AJ370" s="54">
        <f>IF(AND(T370="Won",Y370&gt;0.5,ISNUMBER(Z370),Z370&lt;EOMONTH(set_AsAt,-1)+1),3,0)</f>
        <v/>
      </c>
      <c r="AK370" s="54">
        <f>IF(AND(T370="Won",Y370&lt;-1),1,0)</f>
        <v/>
      </c>
      <c r="AL370" s="54">
        <f>SUM(AF370:AK370)</f>
        <v/>
      </c>
      <c r="AM370" s="9">
        <f>IF(AL370&gt;=set_ScoreHigh,"High",IF(AL370&gt;=set_ScoreMed,"Medium",IF(AL370&gt;0,"Low","OK")))</f>
        <v/>
      </c>
      <c r="AN370" s="54">
        <f>IF(OR(T370="Open",AND(T370="Won",ABS(Y370)&gt;0.5)),1,0)</f>
        <v/>
      </c>
      <c r="AO370" s="52">
        <f>IF(T370="Open",IF(V370=0,0,X370),IF(T370="Won",MAX(0,Y370),0))</f>
        <v/>
      </c>
      <c r="AP370" s="54">
        <f>IF(AN370=1,AL370*1E+9+U370+ROW()/1E+6,"")</f>
        <v/>
      </c>
      <c r="AQ370" s="9">
        <f>MID(IF(AF370&gt;0,"; Expected month passed - update Zoho","")&amp;IF(AG370&gt;0,"; "&amp;TEXT(U370/MAX(1,SUMIFS($U$2:$U$601,$T$2:$T$601,"Open")),"0%")&amp;" of open pipeline in one deal","")&amp;IF(AH370&gt;0,"; Large deal at an early stage","")&amp;IF(AI370&gt;0,"; No amount in Zoho","")&amp;IF(AJ370&gt;0,"; Won, invoice month passed, not fully invoiced","")&amp;IF(AK370&gt;0,"; Xero invoiced more than the deal value",""),3,300)</f>
        <v/>
      </c>
    </row>
    <row r="371">
      <c r="T371" s="9">
        <f>IFERROR(INDEX($A371:$R371,MATCH("Status",$A$1:$R$1,0)),"")&amp;""</f>
        <v/>
      </c>
      <c r="U371" s="52">
        <f>IFERROR(N(IFERROR(INDEX($A371:$R371,MATCH("Value Ex GST",$A$1:$R$1,0)),"")),0)</f>
        <v/>
      </c>
      <c r="V371" s="54">
        <f>IF(AND(T371&lt;&gt;"",IFERROR(INDEX($A371:$R371,MATCH("Value Ex GST",$A$1:$R$1,0)),"")&amp;""&lt;&gt;""),1,0)</f>
        <v/>
      </c>
      <c r="W371" s="56">
        <f>IFERROR(N(IFERROR(INDEX($A371:$R371,MATCH("Probability",$A$1:$R$1,0)),"")),0)</f>
        <v/>
      </c>
      <c r="X371" s="52">
        <f>IF(T371="Open",U371*W371,0)</f>
        <v/>
      </c>
      <c r="Y371" s="52">
        <f>IF(T371="Won",IFERROR(N(IFERROR(INDEX($A371:$R371,MATCH("Still to Invoice",$A$1:$R$1,0)),"")),0),0)</f>
        <v/>
      </c>
      <c r="Z371" s="55">
        <f>IFERROR(EOMONTH(IFERROR(INDEX($A371:$R371,MATCH("Expected Invoice Month",$A$1:$R$1,0)),""),0),"")</f>
        <v/>
      </c>
      <c r="AA371" s="9">
        <f>IFERROR(INDEX($A371:$R371,MATCH("Cost Centre",$A$1:$R$1,0)),"")&amp;""</f>
        <v/>
      </c>
      <c r="AB371" s="9">
        <f>IFERROR(INDEX($A371:$R371,MATCH("Pipeline Stage",$A$1:$R$1,0)),"")&amp;""</f>
        <v/>
      </c>
      <c r="AC371" s="9">
        <f>IFERROR(INDEX($A371:$R371,MATCH("Client",$A$1:$R$1,0)),"")&amp;""</f>
        <v/>
      </c>
      <c r="AD371" s="9">
        <f>IFERROR(INDEX($A371:$R371,MATCH("Description",$A$1:$R$1,0)),"")&amp;""</f>
        <v/>
      </c>
      <c r="AE371" s="9">
        <f>IFERROR(INDEX($A371:$R371,MATCH("Job Number",$A$1:$R$1,0)),"")&amp;""</f>
        <v/>
      </c>
      <c r="AF371" s="54">
        <f>IF(AND(T371="Open",ISNUMBER(Z371),Z371&lt;EOMONTH(set_AsAt,-1)+1),3,0)</f>
        <v/>
      </c>
      <c r="AG371" s="54">
        <f>IF(AND(T371="Open",U371&gt;0,U371&gt;=set_DealShare*SUMIFS($U$2:$U$601,$T$2:$T$601,"Open")),3,0)</f>
        <v/>
      </c>
      <c r="AH371" s="54">
        <f>IF(AND(T371="Open",U371&gt;=set_BigValue,W371&lt;=set_EarlyProb),2,0)</f>
        <v/>
      </c>
      <c r="AI371" s="54">
        <f>IF(AND(OR(T371="Open",T371="Won"),V371=0),2,0)</f>
        <v/>
      </c>
      <c r="AJ371" s="54">
        <f>IF(AND(T371="Won",Y371&gt;0.5,ISNUMBER(Z371),Z371&lt;EOMONTH(set_AsAt,-1)+1),3,0)</f>
        <v/>
      </c>
      <c r="AK371" s="54">
        <f>IF(AND(T371="Won",Y371&lt;-1),1,0)</f>
        <v/>
      </c>
      <c r="AL371" s="54">
        <f>SUM(AF371:AK371)</f>
        <v/>
      </c>
      <c r="AM371" s="9">
        <f>IF(AL371&gt;=set_ScoreHigh,"High",IF(AL371&gt;=set_ScoreMed,"Medium",IF(AL371&gt;0,"Low","OK")))</f>
        <v/>
      </c>
      <c r="AN371" s="54">
        <f>IF(OR(T371="Open",AND(T371="Won",ABS(Y371)&gt;0.5)),1,0)</f>
        <v/>
      </c>
      <c r="AO371" s="52">
        <f>IF(T371="Open",IF(V371=0,0,X371),IF(T371="Won",MAX(0,Y371),0))</f>
        <v/>
      </c>
      <c r="AP371" s="54">
        <f>IF(AN371=1,AL371*1E+9+U371+ROW()/1E+6,"")</f>
        <v/>
      </c>
      <c r="AQ371" s="9">
        <f>MID(IF(AF371&gt;0,"; Expected month passed - update Zoho","")&amp;IF(AG371&gt;0,"; "&amp;TEXT(U371/MAX(1,SUMIFS($U$2:$U$601,$T$2:$T$601,"Open")),"0%")&amp;" of open pipeline in one deal","")&amp;IF(AH371&gt;0,"; Large deal at an early stage","")&amp;IF(AI371&gt;0,"; No amount in Zoho","")&amp;IF(AJ371&gt;0,"; Won, invoice month passed, not fully invoiced","")&amp;IF(AK371&gt;0,"; Xero invoiced more than the deal value",""),3,300)</f>
        <v/>
      </c>
    </row>
    <row r="372">
      <c r="T372" s="9">
        <f>IFERROR(INDEX($A372:$R372,MATCH("Status",$A$1:$R$1,0)),"")&amp;""</f>
        <v/>
      </c>
      <c r="U372" s="52">
        <f>IFERROR(N(IFERROR(INDEX($A372:$R372,MATCH("Value Ex GST",$A$1:$R$1,0)),"")),0)</f>
        <v/>
      </c>
      <c r="V372" s="54">
        <f>IF(AND(T372&lt;&gt;"",IFERROR(INDEX($A372:$R372,MATCH("Value Ex GST",$A$1:$R$1,0)),"")&amp;""&lt;&gt;""),1,0)</f>
        <v/>
      </c>
      <c r="W372" s="56">
        <f>IFERROR(N(IFERROR(INDEX($A372:$R372,MATCH("Probability",$A$1:$R$1,0)),"")),0)</f>
        <v/>
      </c>
      <c r="X372" s="52">
        <f>IF(T372="Open",U372*W372,0)</f>
        <v/>
      </c>
      <c r="Y372" s="52">
        <f>IF(T372="Won",IFERROR(N(IFERROR(INDEX($A372:$R372,MATCH("Still to Invoice",$A$1:$R$1,0)),"")),0),0)</f>
        <v/>
      </c>
      <c r="Z372" s="55">
        <f>IFERROR(EOMONTH(IFERROR(INDEX($A372:$R372,MATCH("Expected Invoice Month",$A$1:$R$1,0)),""),0),"")</f>
        <v/>
      </c>
      <c r="AA372" s="9">
        <f>IFERROR(INDEX($A372:$R372,MATCH("Cost Centre",$A$1:$R$1,0)),"")&amp;""</f>
        <v/>
      </c>
      <c r="AB372" s="9">
        <f>IFERROR(INDEX($A372:$R372,MATCH("Pipeline Stage",$A$1:$R$1,0)),"")&amp;""</f>
        <v/>
      </c>
      <c r="AC372" s="9">
        <f>IFERROR(INDEX($A372:$R372,MATCH("Client",$A$1:$R$1,0)),"")&amp;""</f>
        <v/>
      </c>
      <c r="AD372" s="9">
        <f>IFERROR(INDEX($A372:$R372,MATCH("Description",$A$1:$R$1,0)),"")&amp;""</f>
        <v/>
      </c>
      <c r="AE372" s="9">
        <f>IFERROR(INDEX($A372:$R372,MATCH("Job Number",$A$1:$R$1,0)),"")&amp;""</f>
        <v/>
      </c>
      <c r="AF372" s="54">
        <f>IF(AND(T372="Open",ISNUMBER(Z372),Z372&lt;EOMONTH(set_AsAt,-1)+1),3,0)</f>
        <v/>
      </c>
      <c r="AG372" s="54">
        <f>IF(AND(T372="Open",U372&gt;0,U372&gt;=set_DealShare*SUMIFS($U$2:$U$601,$T$2:$T$601,"Open")),3,0)</f>
        <v/>
      </c>
      <c r="AH372" s="54">
        <f>IF(AND(T372="Open",U372&gt;=set_BigValue,W372&lt;=set_EarlyProb),2,0)</f>
        <v/>
      </c>
      <c r="AI372" s="54">
        <f>IF(AND(OR(T372="Open",T372="Won"),V372=0),2,0)</f>
        <v/>
      </c>
      <c r="AJ372" s="54">
        <f>IF(AND(T372="Won",Y372&gt;0.5,ISNUMBER(Z372),Z372&lt;EOMONTH(set_AsAt,-1)+1),3,0)</f>
        <v/>
      </c>
      <c r="AK372" s="54">
        <f>IF(AND(T372="Won",Y372&lt;-1),1,0)</f>
        <v/>
      </c>
      <c r="AL372" s="54">
        <f>SUM(AF372:AK372)</f>
        <v/>
      </c>
      <c r="AM372" s="9">
        <f>IF(AL372&gt;=set_ScoreHigh,"High",IF(AL372&gt;=set_ScoreMed,"Medium",IF(AL372&gt;0,"Low","OK")))</f>
        <v/>
      </c>
      <c r="AN372" s="54">
        <f>IF(OR(T372="Open",AND(T372="Won",ABS(Y372)&gt;0.5)),1,0)</f>
        <v/>
      </c>
      <c r="AO372" s="52">
        <f>IF(T372="Open",IF(V372=0,0,X372),IF(T372="Won",MAX(0,Y372),0))</f>
        <v/>
      </c>
      <c r="AP372" s="54">
        <f>IF(AN372=1,AL372*1E+9+U372+ROW()/1E+6,"")</f>
        <v/>
      </c>
      <c r="AQ372" s="9">
        <f>MID(IF(AF372&gt;0,"; Expected month passed - update Zoho","")&amp;IF(AG372&gt;0,"; "&amp;TEXT(U372/MAX(1,SUMIFS($U$2:$U$601,$T$2:$T$601,"Open")),"0%")&amp;" of open pipeline in one deal","")&amp;IF(AH372&gt;0,"; Large deal at an early stage","")&amp;IF(AI372&gt;0,"; No amount in Zoho","")&amp;IF(AJ372&gt;0,"; Won, invoice month passed, not fully invoiced","")&amp;IF(AK372&gt;0,"; Xero invoiced more than the deal value",""),3,300)</f>
        <v/>
      </c>
    </row>
    <row r="373">
      <c r="T373" s="9">
        <f>IFERROR(INDEX($A373:$R373,MATCH("Status",$A$1:$R$1,0)),"")&amp;""</f>
        <v/>
      </c>
      <c r="U373" s="52">
        <f>IFERROR(N(IFERROR(INDEX($A373:$R373,MATCH("Value Ex GST",$A$1:$R$1,0)),"")),0)</f>
        <v/>
      </c>
      <c r="V373" s="54">
        <f>IF(AND(T373&lt;&gt;"",IFERROR(INDEX($A373:$R373,MATCH("Value Ex GST",$A$1:$R$1,0)),"")&amp;""&lt;&gt;""),1,0)</f>
        <v/>
      </c>
      <c r="W373" s="56">
        <f>IFERROR(N(IFERROR(INDEX($A373:$R373,MATCH("Probability",$A$1:$R$1,0)),"")),0)</f>
        <v/>
      </c>
      <c r="X373" s="52">
        <f>IF(T373="Open",U373*W373,0)</f>
        <v/>
      </c>
      <c r="Y373" s="52">
        <f>IF(T373="Won",IFERROR(N(IFERROR(INDEX($A373:$R373,MATCH("Still to Invoice",$A$1:$R$1,0)),"")),0),0)</f>
        <v/>
      </c>
      <c r="Z373" s="55">
        <f>IFERROR(EOMONTH(IFERROR(INDEX($A373:$R373,MATCH("Expected Invoice Month",$A$1:$R$1,0)),""),0),"")</f>
        <v/>
      </c>
      <c r="AA373" s="9">
        <f>IFERROR(INDEX($A373:$R373,MATCH("Cost Centre",$A$1:$R$1,0)),"")&amp;""</f>
        <v/>
      </c>
      <c r="AB373" s="9">
        <f>IFERROR(INDEX($A373:$R373,MATCH("Pipeline Stage",$A$1:$R$1,0)),"")&amp;""</f>
        <v/>
      </c>
      <c r="AC373" s="9">
        <f>IFERROR(INDEX($A373:$R373,MATCH("Client",$A$1:$R$1,0)),"")&amp;""</f>
        <v/>
      </c>
      <c r="AD373" s="9">
        <f>IFERROR(INDEX($A373:$R373,MATCH("Description",$A$1:$R$1,0)),"")&amp;""</f>
        <v/>
      </c>
      <c r="AE373" s="9">
        <f>IFERROR(INDEX($A373:$R373,MATCH("Job Number",$A$1:$R$1,0)),"")&amp;""</f>
        <v/>
      </c>
      <c r="AF373" s="54">
        <f>IF(AND(T373="Open",ISNUMBER(Z373),Z373&lt;EOMONTH(set_AsAt,-1)+1),3,0)</f>
        <v/>
      </c>
      <c r="AG373" s="54">
        <f>IF(AND(T373="Open",U373&gt;0,U373&gt;=set_DealShare*SUMIFS($U$2:$U$601,$T$2:$T$601,"Open")),3,0)</f>
        <v/>
      </c>
      <c r="AH373" s="54">
        <f>IF(AND(T373="Open",U373&gt;=set_BigValue,W373&lt;=set_EarlyProb),2,0)</f>
        <v/>
      </c>
      <c r="AI373" s="54">
        <f>IF(AND(OR(T373="Open",T373="Won"),V373=0),2,0)</f>
        <v/>
      </c>
      <c r="AJ373" s="54">
        <f>IF(AND(T373="Won",Y373&gt;0.5,ISNUMBER(Z373),Z373&lt;EOMONTH(set_AsAt,-1)+1),3,0)</f>
        <v/>
      </c>
      <c r="AK373" s="54">
        <f>IF(AND(T373="Won",Y373&lt;-1),1,0)</f>
        <v/>
      </c>
      <c r="AL373" s="54">
        <f>SUM(AF373:AK373)</f>
        <v/>
      </c>
      <c r="AM373" s="9">
        <f>IF(AL373&gt;=set_ScoreHigh,"High",IF(AL373&gt;=set_ScoreMed,"Medium",IF(AL373&gt;0,"Low","OK")))</f>
        <v/>
      </c>
      <c r="AN373" s="54">
        <f>IF(OR(T373="Open",AND(T373="Won",ABS(Y373)&gt;0.5)),1,0)</f>
        <v/>
      </c>
      <c r="AO373" s="52">
        <f>IF(T373="Open",IF(V373=0,0,X373),IF(T373="Won",MAX(0,Y373),0))</f>
        <v/>
      </c>
      <c r="AP373" s="54">
        <f>IF(AN373=1,AL373*1E+9+U373+ROW()/1E+6,"")</f>
        <v/>
      </c>
      <c r="AQ373" s="9">
        <f>MID(IF(AF373&gt;0,"; Expected month passed - update Zoho","")&amp;IF(AG373&gt;0,"; "&amp;TEXT(U373/MAX(1,SUMIFS($U$2:$U$601,$T$2:$T$601,"Open")),"0%")&amp;" of open pipeline in one deal","")&amp;IF(AH373&gt;0,"; Large deal at an early stage","")&amp;IF(AI373&gt;0,"; No amount in Zoho","")&amp;IF(AJ373&gt;0,"; Won, invoice month passed, not fully invoiced","")&amp;IF(AK373&gt;0,"; Xero invoiced more than the deal value",""),3,300)</f>
        <v/>
      </c>
    </row>
    <row r="374">
      <c r="T374" s="9">
        <f>IFERROR(INDEX($A374:$R374,MATCH("Status",$A$1:$R$1,0)),"")&amp;""</f>
        <v/>
      </c>
      <c r="U374" s="52">
        <f>IFERROR(N(IFERROR(INDEX($A374:$R374,MATCH("Value Ex GST",$A$1:$R$1,0)),"")),0)</f>
        <v/>
      </c>
      <c r="V374" s="54">
        <f>IF(AND(T374&lt;&gt;"",IFERROR(INDEX($A374:$R374,MATCH("Value Ex GST",$A$1:$R$1,0)),"")&amp;""&lt;&gt;""),1,0)</f>
        <v/>
      </c>
      <c r="W374" s="56">
        <f>IFERROR(N(IFERROR(INDEX($A374:$R374,MATCH("Probability",$A$1:$R$1,0)),"")),0)</f>
        <v/>
      </c>
      <c r="X374" s="52">
        <f>IF(T374="Open",U374*W374,0)</f>
        <v/>
      </c>
      <c r="Y374" s="52">
        <f>IF(T374="Won",IFERROR(N(IFERROR(INDEX($A374:$R374,MATCH("Still to Invoice",$A$1:$R$1,0)),"")),0),0)</f>
        <v/>
      </c>
      <c r="Z374" s="55">
        <f>IFERROR(EOMONTH(IFERROR(INDEX($A374:$R374,MATCH("Expected Invoice Month",$A$1:$R$1,0)),""),0),"")</f>
        <v/>
      </c>
      <c r="AA374" s="9">
        <f>IFERROR(INDEX($A374:$R374,MATCH("Cost Centre",$A$1:$R$1,0)),"")&amp;""</f>
        <v/>
      </c>
      <c r="AB374" s="9">
        <f>IFERROR(INDEX($A374:$R374,MATCH("Pipeline Stage",$A$1:$R$1,0)),"")&amp;""</f>
        <v/>
      </c>
      <c r="AC374" s="9">
        <f>IFERROR(INDEX($A374:$R374,MATCH("Client",$A$1:$R$1,0)),"")&amp;""</f>
        <v/>
      </c>
      <c r="AD374" s="9">
        <f>IFERROR(INDEX($A374:$R374,MATCH("Description",$A$1:$R$1,0)),"")&amp;""</f>
        <v/>
      </c>
      <c r="AE374" s="9">
        <f>IFERROR(INDEX($A374:$R374,MATCH("Job Number",$A$1:$R$1,0)),"")&amp;""</f>
        <v/>
      </c>
      <c r="AF374" s="54">
        <f>IF(AND(T374="Open",ISNUMBER(Z374),Z374&lt;EOMONTH(set_AsAt,-1)+1),3,0)</f>
        <v/>
      </c>
      <c r="AG374" s="54">
        <f>IF(AND(T374="Open",U374&gt;0,U374&gt;=set_DealShare*SUMIFS($U$2:$U$601,$T$2:$T$601,"Open")),3,0)</f>
        <v/>
      </c>
      <c r="AH374" s="54">
        <f>IF(AND(T374="Open",U374&gt;=set_BigValue,W374&lt;=set_EarlyProb),2,0)</f>
        <v/>
      </c>
      <c r="AI374" s="54">
        <f>IF(AND(OR(T374="Open",T374="Won"),V374=0),2,0)</f>
        <v/>
      </c>
      <c r="AJ374" s="54">
        <f>IF(AND(T374="Won",Y374&gt;0.5,ISNUMBER(Z374),Z374&lt;EOMONTH(set_AsAt,-1)+1),3,0)</f>
        <v/>
      </c>
      <c r="AK374" s="54">
        <f>IF(AND(T374="Won",Y374&lt;-1),1,0)</f>
        <v/>
      </c>
      <c r="AL374" s="54">
        <f>SUM(AF374:AK374)</f>
        <v/>
      </c>
      <c r="AM374" s="9">
        <f>IF(AL374&gt;=set_ScoreHigh,"High",IF(AL374&gt;=set_ScoreMed,"Medium",IF(AL374&gt;0,"Low","OK")))</f>
        <v/>
      </c>
      <c r="AN374" s="54">
        <f>IF(OR(T374="Open",AND(T374="Won",ABS(Y374)&gt;0.5)),1,0)</f>
        <v/>
      </c>
      <c r="AO374" s="52">
        <f>IF(T374="Open",IF(V374=0,0,X374),IF(T374="Won",MAX(0,Y374),0))</f>
        <v/>
      </c>
      <c r="AP374" s="54">
        <f>IF(AN374=1,AL374*1E+9+U374+ROW()/1E+6,"")</f>
        <v/>
      </c>
      <c r="AQ374" s="9">
        <f>MID(IF(AF374&gt;0,"; Expected month passed - update Zoho","")&amp;IF(AG374&gt;0,"; "&amp;TEXT(U374/MAX(1,SUMIFS($U$2:$U$601,$T$2:$T$601,"Open")),"0%")&amp;" of open pipeline in one deal","")&amp;IF(AH374&gt;0,"; Large deal at an early stage","")&amp;IF(AI374&gt;0,"; No amount in Zoho","")&amp;IF(AJ374&gt;0,"; Won, invoice month passed, not fully invoiced","")&amp;IF(AK374&gt;0,"; Xero invoiced more than the deal value",""),3,300)</f>
        <v/>
      </c>
    </row>
    <row r="375">
      <c r="T375" s="9">
        <f>IFERROR(INDEX($A375:$R375,MATCH("Status",$A$1:$R$1,0)),"")&amp;""</f>
        <v/>
      </c>
      <c r="U375" s="52">
        <f>IFERROR(N(IFERROR(INDEX($A375:$R375,MATCH("Value Ex GST",$A$1:$R$1,0)),"")),0)</f>
        <v/>
      </c>
      <c r="V375" s="54">
        <f>IF(AND(T375&lt;&gt;"",IFERROR(INDEX($A375:$R375,MATCH("Value Ex GST",$A$1:$R$1,0)),"")&amp;""&lt;&gt;""),1,0)</f>
        <v/>
      </c>
      <c r="W375" s="56">
        <f>IFERROR(N(IFERROR(INDEX($A375:$R375,MATCH("Probability",$A$1:$R$1,0)),"")),0)</f>
        <v/>
      </c>
      <c r="X375" s="52">
        <f>IF(T375="Open",U375*W375,0)</f>
        <v/>
      </c>
      <c r="Y375" s="52">
        <f>IF(T375="Won",IFERROR(N(IFERROR(INDEX($A375:$R375,MATCH("Still to Invoice",$A$1:$R$1,0)),"")),0),0)</f>
        <v/>
      </c>
      <c r="Z375" s="55">
        <f>IFERROR(EOMONTH(IFERROR(INDEX($A375:$R375,MATCH("Expected Invoice Month",$A$1:$R$1,0)),""),0),"")</f>
        <v/>
      </c>
      <c r="AA375" s="9">
        <f>IFERROR(INDEX($A375:$R375,MATCH("Cost Centre",$A$1:$R$1,0)),"")&amp;""</f>
        <v/>
      </c>
      <c r="AB375" s="9">
        <f>IFERROR(INDEX($A375:$R375,MATCH("Pipeline Stage",$A$1:$R$1,0)),"")&amp;""</f>
        <v/>
      </c>
      <c r="AC375" s="9">
        <f>IFERROR(INDEX($A375:$R375,MATCH("Client",$A$1:$R$1,0)),"")&amp;""</f>
        <v/>
      </c>
      <c r="AD375" s="9">
        <f>IFERROR(INDEX($A375:$R375,MATCH("Description",$A$1:$R$1,0)),"")&amp;""</f>
        <v/>
      </c>
      <c r="AE375" s="9">
        <f>IFERROR(INDEX($A375:$R375,MATCH("Job Number",$A$1:$R$1,0)),"")&amp;""</f>
        <v/>
      </c>
      <c r="AF375" s="54">
        <f>IF(AND(T375="Open",ISNUMBER(Z375),Z375&lt;EOMONTH(set_AsAt,-1)+1),3,0)</f>
        <v/>
      </c>
      <c r="AG375" s="54">
        <f>IF(AND(T375="Open",U375&gt;0,U375&gt;=set_DealShare*SUMIFS($U$2:$U$601,$T$2:$T$601,"Open")),3,0)</f>
        <v/>
      </c>
      <c r="AH375" s="54">
        <f>IF(AND(T375="Open",U375&gt;=set_BigValue,W375&lt;=set_EarlyProb),2,0)</f>
        <v/>
      </c>
      <c r="AI375" s="54">
        <f>IF(AND(OR(T375="Open",T375="Won"),V375=0),2,0)</f>
        <v/>
      </c>
      <c r="AJ375" s="54">
        <f>IF(AND(T375="Won",Y375&gt;0.5,ISNUMBER(Z375),Z375&lt;EOMONTH(set_AsAt,-1)+1),3,0)</f>
        <v/>
      </c>
      <c r="AK375" s="54">
        <f>IF(AND(T375="Won",Y375&lt;-1),1,0)</f>
        <v/>
      </c>
      <c r="AL375" s="54">
        <f>SUM(AF375:AK375)</f>
        <v/>
      </c>
      <c r="AM375" s="9">
        <f>IF(AL375&gt;=set_ScoreHigh,"High",IF(AL375&gt;=set_ScoreMed,"Medium",IF(AL375&gt;0,"Low","OK")))</f>
        <v/>
      </c>
      <c r="AN375" s="54">
        <f>IF(OR(T375="Open",AND(T375="Won",ABS(Y375)&gt;0.5)),1,0)</f>
        <v/>
      </c>
      <c r="AO375" s="52">
        <f>IF(T375="Open",IF(V375=0,0,X375),IF(T375="Won",MAX(0,Y375),0))</f>
        <v/>
      </c>
      <c r="AP375" s="54">
        <f>IF(AN375=1,AL375*1E+9+U375+ROW()/1E+6,"")</f>
        <v/>
      </c>
      <c r="AQ375" s="9">
        <f>MID(IF(AF375&gt;0,"; Expected month passed - update Zoho","")&amp;IF(AG375&gt;0,"; "&amp;TEXT(U375/MAX(1,SUMIFS($U$2:$U$601,$T$2:$T$601,"Open")),"0%")&amp;" of open pipeline in one deal","")&amp;IF(AH375&gt;0,"; Large deal at an early stage","")&amp;IF(AI375&gt;0,"; No amount in Zoho","")&amp;IF(AJ375&gt;0,"; Won, invoice month passed, not fully invoiced","")&amp;IF(AK375&gt;0,"; Xero invoiced more than the deal value",""),3,300)</f>
        <v/>
      </c>
    </row>
    <row r="376">
      <c r="T376" s="9">
        <f>IFERROR(INDEX($A376:$R376,MATCH("Status",$A$1:$R$1,0)),"")&amp;""</f>
        <v/>
      </c>
      <c r="U376" s="52">
        <f>IFERROR(N(IFERROR(INDEX($A376:$R376,MATCH("Value Ex GST",$A$1:$R$1,0)),"")),0)</f>
        <v/>
      </c>
      <c r="V376" s="54">
        <f>IF(AND(T376&lt;&gt;"",IFERROR(INDEX($A376:$R376,MATCH("Value Ex GST",$A$1:$R$1,0)),"")&amp;""&lt;&gt;""),1,0)</f>
        <v/>
      </c>
      <c r="W376" s="56">
        <f>IFERROR(N(IFERROR(INDEX($A376:$R376,MATCH("Probability",$A$1:$R$1,0)),"")),0)</f>
        <v/>
      </c>
      <c r="X376" s="52">
        <f>IF(T376="Open",U376*W376,0)</f>
        <v/>
      </c>
      <c r="Y376" s="52">
        <f>IF(T376="Won",IFERROR(N(IFERROR(INDEX($A376:$R376,MATCH("Still to Invoice",$A$1:$R$1,0)),"")),0),0)</f>
        <v/>
      </c>
      <c r="Z376" s="55">
        <f>IFERROR(EOMONTH(IFERROR(INDEX($A376:$R376,MATCH("Expected Invoice Month",$A$1:$R$1,0)),""),0),"")</f>
        <v/>
      </c>
      <c r="AA376" s="9">
        <f>IFERROR(INDEX($A376:$R376,MATCH("Cost Centre",$A$1:$R$1,0)),"")&amp;""</f>
        <v/>
      </c>
      <c r="AB376" s="9">
        <f>IFERROR(INDEX($A376:$R376,MATCH("Pipeline Stage",$A$1:$R$1,0)),"")&amp;""</f>
        <v/>
      </c>
      <c r="AC376" s="9">
        <f>IFERROR(INDEX($A376:$R376,MATCH("Client",$A$1:$R$1,0)),"")&amp;""</f>
        <v/>
      </c>
      <c r="AD376" s="9">
        <f>IFERROR(INDEX($A376:$R376,MATCH("Description",$A$1:$R$1,0)),"")&amp;""</f>
        <v/>
      </c>
      <c r="AE376" s="9">
        <f>IFERROR(INDEX($A376:$R376,MATCH("Job Number",$A$1:$R$1,0)),"")&amp;""</f>
        <v/>
      </c>
      <c r="AF376" s="54">
        <f>IF(AND(T376="Open",ISNUMBER(Z376),Z376&lt;EOMONTH(set_AsAt,-1)+1),3,0)</f>
        <v/>
      </c>
      <c r="AG376" s="54">
        <f>IF(AND(T376="Open",U376&gt;0,U376&gt;=set_DealShare*SUMIFS($U$2:$U$601,$T$2:$T$601,"Open")),3,0)</f>
        <v/>
      </c>
      <c r="AH376" s="54">
        <f>IF(AND(T376="Open",U376&gt;=set_BigValue,W376&lt;=set_EarlyProb),2,0)</f>
        <v/>
      </c>
      <c r="AI376" s="54">
        <f>IF(AND(OR(T376="Open",T376="Won"),V376=0),2,0)</f>
        <v/>
      </c>
      <c r="AJ376" s="54">
        <f>IF(AND(T376="Won",Y376&gt;0.5,ISNUMBER(Z376),Z376&lt;EOMONTH(set_AsAt,-1)+1),3,0)</f>
        <v/>
      </c>
      <c r="AK376" s="54">
        <f>IF(AND(T376="Won",Y376&lt;-1),1,0)</f>
        <v/>
      </c>
      <c r="AL376" s="54">
        <f>SUM(AF376:AK376)</f>
        <v/>
      </c>
      <c r="AM376" s="9">
        <f>IF(AL376&gt;=set_ScoreHigh,"High",IF(AL376&gt;=set_ScoreMed,"Medium",IF(AL376&gt;0,"Low","OK")))</f>
        <v/>
      </c>
      <c r="AN376" s="54">
        <f>IF(OR(T376="Open",AND(T376="Won",ABS(Y376)&gt;0.5)),1,0)</f>
        <v/>
      </c>
      <c r="AO376" s="52">
        <f>IF(T376="Open",IF(V376=0,0,X376),IF(T376="Won",MAX(0,Y376),0))</f>
        <v/>
      </c>
      <c r="AP376" s="54">
        <f>IF(AN376=1,AL376*1E+9+U376+ROW()/1E+6,"")</f>
        <v/>
      </c>
      <c r="AQ376" s="9">
        <f>MID(IF(AF376&gt;0,"; Expected month passed - update Zoho","")&amp;IF(AG376&gt;0,"; "&amp;TEXT(U376/MAX(1,SUMIFS($U$2:$U$601,$T$2:$T$601,"Open")),"0%")&amp;" of open pipeline in one deal","")&amp;IF(AH376&gt;0,"; Large deal at an early stage","")&amp;IF(AI376&gt;0,"; No amount in Zoho","")&amp;IF(AJ376&gt;0,"; Won, invoice month passed, not fully invoiced","")&amp;IF(AK376&gt;0,"; Xero invoiced more than the deal value",""),3,300)</f>
        <v/>
      </c>
    </row>
    <row r="377">
      <c r="T377" s="9">
        <f>IFERROR(INDEX($A377:$R377,MATCH("Status",$A$1:$R$1,0)),"")&amp;""</f>
        <v/>
      </c>
      <c r="U377" s="52">
        <f>IFERROR(N(IFERROR(INDEX($A377:$R377,MATCH("Value Ex GST",$A$1:$R$1,0)),"")),0)</f>
        <v/>
      </c>
      <c r="V377" s="54">
        <f>IF(AND(T377&lt;&gt;"",IFERROR(INDEX($A377:$R377,MATCH("Value Ex GST",$A$1:$R$1,0)),"")&amp;""&lt;&gt;""),1,0)</f>
        <v/>
      </c>
      <c r="W377" s="56">
        <f>IFERROR(N(IFERROR(INDEX($A377:$R377,MATCH("Probability",$A$1:$R$1,0)),"")),0)</f>
        <v/>
      </c>
      <c r="X377" s="52">
        <f>IF(T377="Open",U377*W377,0)</f>
        <v/>
      </c>
      <c r="Y377" s="52">
        <f>IF(T377="Won",IFERROR(N(IFERROR(INDEX($A377:$R377,MATCH("Still to Invoice",$A$1:$R$1,0)),"")),0),0)</f>
        <v/>
      </c>
      <c r="Z377" s="55">
        <f>IFERROR(EOMONTH(IFERROR(INDEX($A377:$R377,MATCH("Expected Invoice Month",$A$1:$R$1,0)),""),0),"")</f>
        <v/>
      </c>
      <c r="AA377" s="9">
        <f>IFERROR(INDEX($A377:$R377,MATCH("Cost Centre",$A$1:$R$1,0)),"")&amp;""</f>
        <v/>
      </c>
      <c r="AB377" s="9">
        <f>IFERROR(INDEX($A377:$R377,MATCH("Pipeline Stage",$A$1:$R$1,0)),"")&amp;""</f>
        <v/>
      </c>
      <c r="AC377" s="9">
        <f>IFERROR(INDEX($A377:$R377,MATCH("Client",$A$1:$R$1,0)),"")&amp;""</f>
        <v/>
      </c>
      <c r="AD377" s="9">
        <f>IFERROR(INDEX($A377:$R377,MATCH("Description",$A$1:$R$1,0)),"")&amp;""</f>
        <v/>
      </c>
      <c r="AE377" s="9">
        <f>IFERROR(INDEX($A377:$R377,MATCH("Job Number",$A$1:$R$1,0)),"")&amp;""</f>
        <v/>
      </c>
      <c r="AF377" s="54">
        <f>IF(AND(T377="Open",ISNUMBER(Z377),Z377&lt;EOMONTH(set_AsAt,-1)+1),3,0)</f>
        <v/>
      </c>
      <c r="AG377" s="54">
        <f>IF(AND(T377="Open",U377&gt;0,U377&gt;=set_DealShare*SUMIFS($U$2:$U$601,$T$2:$T$601,"Open")),3,0)</f>
        <v/>
      </c>
      <c r="AH377" s="54">
        <f>IF(AND(T377="Open",U377&gt;=set_BigValue,W377&lt;=set_EarlyProb),2,0)</f>
        <v/>
      </c>
      <c r="AI377" s="54">
        <f>IF(AND(OR(T377="Open",T377="Won"),V377=0),2,0)</f>
        <v/>
      </c>
      <c r="AJ377" s="54">
        <f>IF(AND(T377="Won",Y377&gt;0.5,ISNUMBER(Z377),Z377&lt;EOMONTH(set_AsAt,-1)+1),3,0)</f>
        <v/>
      </c>
      <c r="AK377" s="54">
        <f>IF(AND(T377="Won",Y377&lt;-1),1,0)</f>
        <v/>
      </c>
      <c r="AL377" s="54">
        <f>SUM(AF377:AK377)</f>
        <v/>
      </c>
      <c r="AM377" s="9">
        <f>IF(AL377&gt;=set_ScoreHigh,"High",IF(AL377&gt;=set_ScoreMed,"Medium",IF(AL377&gt;0,"Low","OK")))</f>
        <v/>
      </c>
      <c r="AN377" s="54">
        <f>IF(OR(T377="Open",AND(T377="Won",ABS(Y377)&gt;0.5)),1,0)</f>
        <v/>
      </c>
      <c r="AO377" s="52">
        <f>IF(T377="Open",IF(V377=0,0,X377),IF(T377="Won",MAX(0,Y377),0))</f>
        <v/>
      </c>
      <c r="AP377" s="54">
        <f>IF(AN377=1,AL377*1E+9+U377+ROW()/1E+6,"")</f>
        <v/>
      </c>
      <c r="AQ377" s="9">
        <f>MID(IF(AF377&gt;0,"; Expected month passed - update Zoho","")&amp;IF(AG377&gt;0,"; "&amp;TEXT(U377/MAX(1,SUMIFS($U$2:$U$601,$T$2:$T$601,"Open")),"0%")&amp;" of open pipeline in one deal","")&amp;IF(AH377&gt;0,"; Large deal at an early stage","")&amp;IF(AI377&gt;0,"; No amount in Zoho","")&amp;IF(AJ377&gt;0,"; Won, invoice month passed, not fully invoiced","")&amp;IF(AK377&gt;0,"; Xero invoiced more than the deal value",""),3,300)</f>
        <v/>
      </c>
    </row>
    <row r="378">
      <c r="T378" s="9">
        <f>IFERROR(INDEX($A378:$R378,MATCH("Status",$A$1:$R$1,0)),"")&amp;""</f>
        <v/>
      </c>
      <c r="U378" s="52">
        <f>IFERROR(N(IFERROR(INDEX($A378:$R378,MATCH("Value Ex GST",$A$1:$R$1,0)),"")),0)</f>
        <v/>
      </c>
      <c r="V378" s="54">
        <f>IF(AND(T378&lt;&gt;"",IFERROR(INDEX($A378:$R378,MATCH("Value Ex GST",$A$1:$R$1,0)),"")&amp;""&lt;&gt;""),1,0)</f>
        <v/>
      </c>
      <c r="W378" s="56">
        <f>IFERROR(N(IFERROR(INDEX($A378:$R378,MATCH("Probability",$A$1:$R$1,0)),"")),0)</f>
        <v/>
      </c>
      <c r="X378" s="52">
        <f>IF(T378="Open",U378*W378,0)</f>
        <v/>
      </c>
      <c r="Y378" s="52">
        <f>IF(T378="Won",IFERROR(N(IFERROR(INDEX($A378:$R378,MATCH("Still to Invoice",$A$1:$R$1,0)),"")),0),0)</f>
        <v/>
      </c>
      <c r="Z378" s="55">
        <f>IFERROR(EOMONTH(IFERROR(INDEX($A378:$R378,MATCH("Expected Invoice Month",$A$1:$R$1,0)),""),0),"")</f>
        <v/>
      </c>
      <c r="AA378" s="9">
        <f>IFERROR(INDEX($A378:$R378,MATCH("Cost Centre",$A$1:$R$1,0)),"")&amp;""</f>
        <v/>
      </c>
      <c r="AB378" s="9">
        <f>IFERROR(INDEX($A378:$R378,MATCH("Pipeline Stage",$A$1:$R$1,0)),"")&amp;""</f>
        <v/>
      </c>
      <c r="AC378" s="9">
        <f>IFERROR(INDEX($A378:$R378,MATCH("Client",$A$1:$R$1,0)),"")&amp;""</f>
        <v/>
      </c>
      <c r="AD378" s="9">
        <f>IFERROR(INDEX($A378:$R378,MATCH("Description",$A$1:$R$1,0)),"")&amp;""</f>
        <v/>
      </c>
      <c r="AE378" s="9">
        <f>IFERROR(INDEX($A378:$R378,MATCH("Job Number",$A$1:$R$1,0)),"")&amp;""</f>
        <v/>
      </c>
      <c r="AF378" s="54">
        <f>IF(AND(T378="Open",ISNUMBER(Z378),Z378&lt;EOMONTH(set_AsAt,-1)+1),3,0)</f>
        <v/>
      </c>
      <c r="AG378" s="54">
        <f>IF(AND(T378="Open",U378&gt;0,U378&gt;=set_DealShare*SUMIFS($U$2:$U$601,$T$2:$T$601,"Open")),3,0)</f>
        <v/>
      </c>
      <c r="AH378" s="54">
        <f>IF(AND(T378="Open",U378&gt;=set_BigValue,W378&lt;=set_EarlyProb),2,0)</f>
        <v/>
      </c>
      <c r="AI378" s="54">
        <f>IF(AND(OR(T378="Open",T378="Won"),V378=0),2,0)</f>
        <v/>
      </c>
      <c r="AJ378" s="54">
        <f>IF(AND(T378="Won",Y378&gt;0.5,ISNUMBER(Z378),Z378&lt;EOMONTH(set_AsAt,-1)+1),3,0)</f>
        <v/>
      </c>
      <c r="AK378" s="54">
        <f>IF(AND(T378="Won",Y378&lt;-1),1,0)</f>
        <v/>
      </c>
      <c r="AL378" s="54">
        <f>SUM(AF378:AK378)</f>
        <v/>
      </c>
      <c r="AM378" s="9">
        <f>IF(AL378&gt;=set_ScoreHigh,"High",IF(AL378&gt;=set_ScoreMed,"Medium",IF(AL378&gt;0,"Low","OK")))</f>
        <v/>
      </c>
      <c r="AN378" s="54">
        <f>IF(OR(T378="Open",AND(T378="Won",ABS(Y378)&gt;0.5)),1,0)</f>
        <v/>
      </c>
      <c r="AO378" s="52">
        <f>IF(T378="Open",IF(V378=0,0,X378),IF(T378="Won",MAX(0,Y378),0))</f>
        <v/>
      </c>
      <c r="AP378" s="54">
        <f>IF(AN378=1,AL378*1E+9+U378+ROW()/1E+6,"")</f>
        <v/>
      </c>
      <c r="AQ378" s="9">
        <f>MID(IF(AF378&gt;0,"; Expected month passed - update Zoho","")&amp;IF(AG378&gt;0,"; "&amp;TEXT(U378/MAX(1,SUMIFS($U$2:$U$601,$T$2:$T$601,"Open")),"0%")&amp;" of open pipeline in one deal","")&amp;IF(AH378&gt;0,"; Large deal at an early stage","")&amp;IF(AI378&gt;0,"; No amount in Zoho","")&amp;IF(AJ378&gt;0,"; Won, invoice month passed, not fully invoiced","")&amp;IF(AK378&gt;0,"; Xero invoiced more than the deal value",""),3,300)</f>
        <v/>
      </c>
    </row>
    <row r="379">
      <c r="T379" s="9">
        <f>IFERROR(INDEX($A379:$R379,MATCH("Status",$A$1:$R$1,0)),"")&amp;""</f>
        <v/>
      </c>
      <c r="U379" s="52">
        <f>IFERROR(N(IFERROR(INDEX($A379:$R379,MATCH("Value Ex GST",$A$1:$R$1,0)),"")),0)</f>
        <v/>
      </c>
      <c r="V379" s="54">
        <f>IF(AND(T379&lt;&gt;"",IFERROR(INDEX($A379:$R379,MATCH("Value Ex GST",$A$1:$R$1,0)),"")&amp;""&lt;&gt;""),1,0)</f>
        <v/>
      </c>
      <c r="W379" s="56">
        <f>IFERROR(N(IFERROR(INDEX($A379:$R379,MATCH("Probability",$A$1:$R$1,0)),"")),0)</f>
        <v/>
      </c>
      <c r="X379" s="52">
        <f>IF(T379="Open",U379*W379,0)</f>
        <v/>
      </c>
      <c r="Y379" s="52">
        <f>IF(T379="Won",IFERROR(N(IFERROR(INDEX($A379:$R379,MATCH("Still to Invoice",$A$1:$R$1,0)),"")),0),0)</f>
        <v/>
      </c>
      <c r="Z379" s="55">
        <f>IFERROR(EOMONTH(IFERROR(INDEX($A379:$R379,MATCH("Expected Invoice Month",$A$1:$R$1,0)),""),0),"")</f>
        <v/>
      </c>
      <c r="AA379" s="9">
        <f>IFERROR(INDEX($A379:$R379,MATCH("Cost Centre",$A$1:$R$1,0)),"")&amp;""</f>
        <v/>
      </c>
      <c r="AB379" s="9">
        <f>IFERROR(INDEX($A379:$R379,MATCH("Pipeline Stage",$A$1:$R$1,0)),"")&amp;""</f>
        <v/>
      </c>
      <c r="AC379" s="9">
        <f>IFERROR(INDEX($A379:$R379,MATCH("Client",$A$1:$R$1,0)),"")&amp;""</f>
        <v/>
      </c>
      <c r="AD379" s="9">
        <f>IFERROR(INDEX($A379:$R379,MATCH("Description",$A$1:$R$1,0)),"")&amp;""</f>
        <v/>
      </c>
      <c r="AE379" s="9">
        <f>IFERROR(INDEX($A379:$R379,MATCH("Job Number",$A$1:$R$1,0)),"")&amp;""</f>
        <v/>
      </c>
      <c r="AF379" s="54">
        <f>IF(AND(T379="Open",ISNUMBER(Z379),Z379&lt;EOMONTH(set_AsAt,-1)+1),3,0)</f>
        <v/>
      </c>
      <c r="AG379" s="54">
        <f>IF(AND(T379="Open",U379&gt;0,U379&gt;=set_DealShare*SUMIFS($U$2:$U$601,$T$2:$T$601,"Open")),3,0)</f>
        <v/>
      </c>
      <c r="AH379" s="54">
        <f>IF(AND(T379="Open",U379&gt;=set_BigValue,W379&lt;=set_EarlyProb),2,0)</f>
        <v/>
      </c>
      <c r="AI379" s="54">
        <f>IF(AND(OR(T379="Open",T379="Won"),V379=0),2,0)</f>
        <v/>
      </c>
      <c r="AJ379" s="54">
        <f>IF(AND(T379="Won",Y379&gt;0.5,ISNUMBER(Z379),Z379&lt;EOMONTH(set_AsAt,-1)+1),3,0)</f>
        <v/>
      </c>
      <c r="AK379" s="54">
        <f>IF(AND(T379="Won",Y379&lt;-1),1,0)</f>
        <v/>
      </c>
      <c r="AL379" s="54">
        <f>SUM(AF379:AK379)</f>
        <v/>
      </c>
      <c r="AM379" s="9">
        <f>IF(AL379&gt;=set_ScoreHigh,"High",IF(AL379&gt;=set_ScoreMed,"Medium",IF(AL379&gt;0,"Low","OK")))</f>
        <v/>
      </c>
      <c r="AN379" s="54">
        <f>IF(OR(T379="Open",AND(T379="Won",ABS(Y379)&gt;0.5)),1,0)</f>
        <v/>
      </c>
      <c r="AO379" s="52">
        <f>IF(T379="Open",IF(V379=0,0,X379),IF(T379="Won",MAX(0,Y379),0))</f>
        <v/>
      </c>
      <c r="AP379" s="54">
        <f>IF(AN379=1,AL379*1E+9+U379+ROW()/1E+6,"")</f>
        <v/>
      </c>
      <c r="AQ379" s="9">
        <f>MID(IF(AF379&gt;0,"; Expected month passed - update Zoho","")&amp;IF(AG379&gt;0,"; "&amp;TEXT(U379/MAX(1,SUMIFS($U$2:$U$601,$T$2:$T$601,"Open")),"0%")&amp;" of open pipeline in one deal","")&amp;IF(AH379&gt;0,"; Large deal at an early stage","")&amp;IF(AI379&gt;0,"; No amount in Zoho","")&amp;IF(AJ379&gt;0,"; Won, invoice month passed, not fully invoiced","")&amp;IF(AK379&gt;0,"; Xero invoiced more than the deal value",""),3,300)</f>
        <v/>
      </c>
    </row>
    <row r="380">
      <c r="T380" s="9">
        <f>IFERROR(INDEX($A380:$R380,MATCH("Status",$A$1:$R$1,0)),"")&amp;""</f>
        <v/>
      </c>
      <c r="U380" s="52">
        <f>IFERROR(N(IFERROR(INDEX($A380:$R380,MATCH("Value Ex GST",$A$1:$R$1,0)),"")),0)</f>
        <v/>
      </c>
      <c r="V380" s="54">
        <f>IF(AND(T380&lt;&gt;"",IFERROR(INDEX($A380:$R380,MATCH("Value Ex GST",$A$1:$R$1,0)),"")&amp;""&lt;&gt;""),1,0)</f>
        <v/>
      </c>
      <c r="W380" s="56">
        <f>IFERROR(N(IFERROR(INDEX($A380:$R380,MATCH("Probability",$A$1:$R$1,0)),"")),0)</f>
        <v/>
      </c>
      <c r="X380" s="52">
        <f>IF(T380="Open",U380*W380,0)</f>
        <v/>
      </c>
      <c r="Y380" s="52">
        <f>IF(T380="Won",IFERROR(N(IFERROR(INDEX($A380:$R380,MATCH("Still to Invoice",$A$1:$R$1,0)),"")),0),0)</f>
        <v/>
      </c>
      <c r="Z380" s="55">
        <f>IFERROR(EOMONTH(IFERROR(INDEX($A380:$R380,MATCH("Expected Invoice Month",$A$1:$R$1,0)),""),0),"")</f>
        <v/>
      </c>
      <c r="AA380" s="9">
        <f>IFERROR(INDEX($A380:$R380,MATCH("Cost Centre",$A$1:$R$1,0)),"")&amp;""</f>
        <v/>
      </c>
      <c r="AB380" s="9">
        <f>IFERROR(INDEX($A380:$R380,MATCH("Pipeline Stage",$A$1:$R$1,0)),"")&amp;""</f>
        <v/>
      </c>
      <c r="AC380" s="9">
        <f>IFERROR(INDEX($A380:$R380,MATCH("Client",$A$1:$R$1,0)),"")&amp;""</f>
        <v/>
      </c>
      <c r="AD380" s="9">
        <f>IFERROR(INDEX($A380:$R380,MATCH("Description",$A$1:$R$1,0)),"")&amp;""</f>
        <v/>
      </c>
      <c r="AE380" s="9">
        <f>IFERROR(INDEX($A380:$R380,MATCH("Job Number",$A$1:$R$1,0)),"")&amp;""</f>
        <v/>
      </c>
      <c r="AF380" s="54">
        <f>IF(AND(T380="Open",ISNUMBER(Z380),Z380&lt;EOMONTH(set_AsAt,-1)+1),3,0)</f>
        <v/>
      </c>
      <c r="AG380" s="54">
        <f>IF(AND(T380="Open",U380&gt;0,U380&gt;=set_DealShare*SUMIFS($U$2:$U$601,$T$2:$T$601,"Open")),3,0)</f>
        <v/>
      </c>
      <c r="AH380" s="54">
        <f>IF(AND(T380="Open",U380&gt;=set_BigValue,W380&lt;=set_EarlyProb),2,0)</f>
        <v/>
      </c>
      <c r="AI380" s="54">
        <f>IF(AND(OR(T380="Open",T380="Won"),V380=0),2,0)</f>
        <v/>
      </c>
      <c r="AJ380" s="54">
        <f>IF(AND(T380="Won",Y380&gt;0.5,ISNUMBER(Z380),Z380&lt;EOMONTH(set_AsAt,-1)+1),3,0)</f>
        <v/>
      </c>
      <c r="AK380" s="54">
        <f>IF(AND(T380="Won",Y380&lt;-1),1,0)</f>
        <v/>
      </c>
      <c r="AL380" s="54">
        <f>SUM(AF380:AK380)</f>
        <v/>
      </c>
      <c r="AM380" s="9">
        <f>IF(AL380&gt;=set_ScoreHigh,"High",IF(AL380&gt;=set_ScoreMed,"Medium",IF(AL380&gt;0,"Low","OK")))</f>
        <v/>
      </c>
      <c r="AN380" s="54">
        <f>IF(OR(T380="Open",AND(T380="Won",ABS(Y380)&gt;0.5)),1,0)</f>
        <v/>
      </c>
      <c r="AO380" s="52">
        <f>IF(T380="Open",IF(V380=0,0,X380),IF(T380="Won",MAX(0,Y380),0))</f>
        <v/>
      </c>
      <c r="AP380" s="54">
        <f>IF(AN380=1,AL380*1E+9+U380+ROW()/1E+6,"")</f>
        <v/>
      </c>
      <c r="AQ380" s="9">
        <f>MID(IF(AF380&gt;0,"; Expected month passed - update Zoho","")&amp;IF(AG380&gt;0,"; "&amp;TEXT(U380/MAX(1,SUMIFS($U$2:$U$601,$T$2:$T$601,"Open")),"0%")&amp;" of open pipeline in one deal","")&amp;IF(AH380&gt;0,"; Large deal at an early stage","")&amp;IF(AI380&gt;0,"; No amount in Zoho","")&amp;IF(AJ380&gt;0,"; Won, invoice month passed, not fully invoiced","")&amp;IF(AK380&gt;0,"; Xero invoiced more than the deal value",""),3,300)</f>
        <v/>
      </c>
    </row>
    <row r="381">
      <c r="T381" s="9">
        <f>IFERROR(INDEX($A381:$R381,MATCH("Status",$A$1:$R$1,0)),"")&amp;""</f>
        <v/>
      </c>
      <c r="U381" s="52">
        <f>IFERROR(N(IFERROR(INDEX($A381:$R381,MATCH("Value Ex GST",$A$1:$R$1,0)),"")),0)</f>
        <v/>
      </c>
      <c r="V381" s="54">
        <f>IF(AND(T381&lt;&gt;"",IFERROR(INDEX($A381:$R381,MATCH("Value Ex GST",$A$1:$R$1,0)),"")&amp;""&lt;&gt;""),1,0)</f>
        <v/>
      </c>
      <c r="W381" s="56">
        <f>IFERROR(N(IFERROR(INDEX($A381:$R381,MATCH("Probability",$A$1:$R$1,0)),"")),0)</f>
        <v/>
      </c>
      <c r="X381" s="52">
        <f>IF(T381="Open",U381*W381,0)</f>
        <v/>
      </c>
      <c r="Y381" s="52">
        <f>IF(T381="Won",IFERROR(N(IFERROR(INDEX($A381:$R381,MATCH("Still to Invoice",$A$1:$R$1,0)),"")),0),0)</f>
        <v/>
      </c>
      <c r="Z381" s="55">
        <f>IFERROR(EOMONTH(IFERROR(INDEX($A381:$R381,MATCH("Expected Invoice Month",$A$1:$R$1,0)),""),0),"")</f>
        <v/>
      </c>
      <c r="AA381" s="9">
        <f>IFERROR(INDEX($A381:$R381,MATCH("Cost Centre",$A$1:$R$1,0)),"")&amp;""</f>
        <v/>
      </c>
      <c r="AB381" s="9">
        <f>IFERROR(INDEX($A381:$R381,MATCH("Pipeline Stage",$A$1:$R$1,0)),"")&amp;""</f>
        <v/>
      </c>
      <c r="AC381" s="9">
        <f>IFERROR(INDEX($A381:$R381,MATCH("Client",$A$1:$R$1,0)),"")&amp;""</f>
        <v/>
      </c>
      <c r="AD381" s="9">
        <f>IFERROR(INDEX($A381:$R381,MATCH("Description",$A$1:$R$1,0)),"")&amp;""</f>
        <v/>
      </c>
      <c r="AE381" s="9">
        <f>IFERROR(INDEX($A381:$R381,MATCH("Job Number",$A$1:$R$1,0)),"")&amp;""</f>
        <v/>
      </c>
      <c r="AF381" s="54">
        <f>IF(AND(T381="Open",ISNUMBER(Z381),Z381&lt;EOMONTH(set_AsAt,-1)+1),3,0)</f>
        <v/>
      </c>
      <c r="AG381" s="54">
        <f>IF(AND(T381="Open",U381&gt;0,U381&gt;=set_DealShare*SUMIFS($U$2:$U$601,$T$2:$T$601,"Open")),3,0)</f>
        <v/>
      </c>
      <c r="AH381" s="54">
        <f>IF(AND(T381="Open",U381&gt;=set_BigValue,W381&lt;=set_EarlyProb),2,0)</f>
        <v/>
      </c>
      <c r="AI381" s="54">
        <f>IF(AND(OR(T381="Open",T381="Won"),V381=0),2,0)</f>
        <v/>
      </c>
      <c r="AJ381" s="54">
        <f>IF(AND(T381="Won",Y381&gt;0.5,ISNUMBER(Z381),Z381&lt;EOMONTH(set_AsAt,-1)+1),3,0)</f>
        <v/>
      </c>
      <c r="AK381" s="54">
        <f>IF(AND(T381="Won",Y381&lt;-1),1,0)</f>
        <v/>
      </c>
      <c r="AL381" s="54">
        <f>SUM(AF381:AK381)</f>
        <v/>
      </c>
      <c r="AM381" s="9">
        <f>IF(AL381&gt;=set_ScoreHigh,"High",IF(AL381&gt;=set_ScoreMed,"Medium",IF(AL381&gt;0,"Low","OK")))</f>
        <v/>
      </c>
      <c r="AN381" s="54">
        <f>IF(OR(T381="Open",AND(T381="Won",ABS(Y381)&gt;0.5)),1,0)</f>
        <v/>
      </c>
      <c r="AO381" s="52">
        <f>IF(T381="Open",IF(V381=0,0,X381),IF(T381="Won",MAX(0,Y381),0))</f>
        <v/>
      </c>
      <c r="AP381" s="54">
        <f>IF(AN381=1,AL381*1E+9+U381+ROW()/1E+6,"")</f>
        <v/>
      </c>
      <c r="AQ381" s="9">
        <f>MID(IF(AF381&gt;0,"; Expected month passed - update Zoho","")&amp;IF(AG381&gt;0,"; "&amp;TEXT(U381/MAX(1,SUMIFS($U$2:$U$601,$T$2:$T$601,"Open")),"0%")&amp;" of open pipeline in one deal","")&amp;IF(AH381&gt;0,"; Large deal at an early stage","")&amp;IF(AI381&gt;0,"; No amount in Zoho","")&amp;IF(AJ381&gt;0,"; Won, invoice month passed, not fully invoiced","")&amp;IF(AK381&gt;0,"; Xero invoiced more than the deal value",""),3,300)</f>
        <v/>
      </c>
    </row>
    <row r="382">
      <c r="T382" s="9">
        <f>IFERROR(INDEX($A382:$R382,MATCH("Status",$A$1:$R$1,0)),"")&amp;""</f>
        <v/>
      </c>
      <c r="U382" s="52">
        <f>IFERROR(N(IFERROR(INDEX($A382:$R382,MATCH("Value Ex GST",$A$1:$R$1,0)),"")),0)</f>
        <v/>
      </c>
      <c r="V382" s="54">
        <f>IF(AND(T382&lt;&gt;"",IFERROR(INDEX($A382:$R382,MATCH("Value Ex GST",$A$1:$R$1,0)),"")&amp;""&lt;&gt;""),1,0)</f>
        <v/>
      </c>
      <c r="W382" s="56">
        <f>IFERROR(N(IFERROR(INDEX($A382:$R382,MATCH("Probability",$A$1:$R$1,0)),"")),0)</f>
        <v/>
      </c>
      <c r="X382" s="52">
        <f>IF(T382="Open",U382*W382,0)</f>
        <v/>
      </c>
      <c r="Y382" s="52">
        <f>IF(T382="Won",IFERROR(N(IFERROR(INDEX($A382:$R382,MATCH("Still to Invoice",$A$1:$R$1,0)),"")),0),0)</f>
        <v/>
      </c>
      <c r="Z382" s="55">
        <f>IFERROR(EOMONTH(IFERROR(INDEX($A382:$R382,MATCH("Expected Invoice Month",$A$1:$R$1,0)),""),0),"")</f>
        <v/>
      </c>
      <c r="AA382" s="9">
        <f>IFERROR(INDEX($A382:$R382,MATCH("Cost Centre",$A$1:$R$1,0)),"")&amp;""</f>
        <v/>
      </c>
      <c r="AB382" s="9">
        <f>IFERROR(INDEX($A382:$R382,MATCH("Pipeline Stage",$A$1:$R$1,0)),"")&amp;""</f>
        <v/>
      </c>
      <c r="AC382" s="9">
        <f>IFERROR(INDEX($A382:$R382,MATCH("Client",$A$1:$R$1,0)),"")&amp;""</f>
        <v/>
      </c>
      <c r="AD382" s="9">
        <f>IFERROR(INDEX($A382:$R382,MATCH("Description",$A$1:$R$1,0)),"")&amp;""</f>
        <v/>
      </c>
      <c r="AE382" s="9">
        <f>IFERROR(INDEX($A382:$R382,MATCH("Job Number",$A$1:$R$1,0)),"")&amp;""</f>
        <v/>
      </c>
      <c r="AF382" s="54">
        <f>IF(AND(T382="Open",ISNUMBER(Z382),Z382&lt;EOMONTH(set_AsAt,-1)+1),3,0)</f>
        <v/>
      </c>
      <c r="AG382" s="54">
        <f>IF(AND(T382="Open",U382&gt;0,U382&gt;=set_DealShare*SUMIFS($U$2:$U$601,$T$2:$T$601,"Open")),3,0)</f>
        <v/>
      </c>
      <c r="AH382" s="54">
        <f>IF(AND(T382="Open",U382&gt;=set_BigValue,W382&lt;=set_EarlyProb),2,0)</f>
        <v/>
      </c>
      <c r="AI382" s="54">
        <f>IF(AND(OR(T382="Open",T382="Won"),V382=0),2,0)</f>
        <v/>
      </c>
      <c r="AJ382" s="54">
        <f>IF(AND(T382="Won",Y382&gt;0.5,ISNUMBER(Z382),Z382&lt;EOMONTH(set_AsAt,-1)+1),3,0)</f>
        <v/>
      </c>
      <c r="AK382" s="54">
        <f>IF(AND(T382="Won",Y382&lt;-1),1,0)</f>
        <v/>
      </c>
      <c r="AL382" s="54">
        <f>SUM(AF382:AK382)</f>
        <v/>
      </c>
      <c r="AM382" s="9">
        <f>IF(AL382&gt;=set_ScoreHigh,"High",IF(AL382&gt;=set_ScoreMed,"Medium",IF(AL382&gt;0,"Low","OK")))</f>
        <v/>
      </c>
      <c r="AN382" s="54">
        <f>IF(OR(T382="Open",AND(T382="Won",ABS(Y382)&gt;0.5)),1,0)</f>
        <v/>
      </c>
      <c r="AO382" s="52">
        <f>IF(T382="Open",IF(V382=0,0,X382),IF(T382="Won",MAX(0,Y382),0))</f>
        <v/>
      </c>
      <c r="AP382" s="54">
        <f>IF(AN382=1,AL382*1E+9+U382+ROW()/1E+6,"")</f>
        <v/>
      </c>
      <c r="AQ382" s="9">
        <f>MID(IF(AF382&gt;0,"; Expected month passed - update Zoho","")&amp;IF(AG382&gt;0,"; "&amp;TEXT(U382/MAX(1,SUMIFS($U$2:$U$601,$T$2:$T$601,"Open")),"0%")&amp;" of open pipeline in one deal","")&amp;IF(AH382&gt;0,"; Large deal at an early stage","")&amp;IF(AI382&gt;0,"; No amount in Zoho","")&amp;IF(AJ382&gt;0,"; Won, invoice month passed, not fully invoiced","")&amp;IF(AK382&gt;0,"; Xero invoiced more than the deal value",""),3,300)</f>
        <v/>
      </c>
    </row>
    <row r="383">
      <c r="T383" s="9">
        <f>IFERROR(INDEX($A383:$R383,MATCH("Status",$A$1:$R$1,0)),"")&amp;""</f>
        <v/>
      </c>
      <c r="U383" s="52">
        <f>IFERROR(N(IFERROR(INDEX($A383:$R383,MATCH("Value Ex GST",$A$1:$R$1,0)),"")),0)</f>
        <v/>
      </c>
      <c r="V383" s="54">
        <f>IF(AND(T383&lt;&gt;"",IFERROR(INDEX($A383:$R383,MATCH("Value Ex GST",$A$1:$R$1,0)),"")&amp;""&lt;&gt;""),1,0)</f>
        <v/>
      </c>
      <c r="W383" s="56">
        <f>IFERROR(N(IFERROR(INDEX($A383:$R383,MATCH("Probability",$A$1:$R$1,0)),"")),0)</f>
        <v/>
      </c>
      <c r="X383" s="52">
        <f>IF(T383="Open",U383*W383,0)</f>
        <v/>
      </c>
      <c r="Y383" s="52">
        <f>IF(T383="Won",IFERROR(N(IFERROR(INDEX($A383:$R383,MATCH("Still to Invoice",$A$1:$R$1,0)),"")),0),0)</f>
        <v/>
      </c>
      <c r="Z383" s="55">
        <f>IFERROR(EOMONTH(IFERROR(INDEX($A383:$R383,MATCH("Expected Invoice Month",$A$1:$R$1,0)),""),0),"")</f>
        <v/>
      </c>
      <c r="AA383" s="9">
        <f>IFERROR(INDEX($A383:$R383,MATCH("Cost Centre",$A$1:$R$1,0)),"")&amp;""</f>
        <v/>
      </c>
      <c r="AB383" s="9">
        <f>IFERROR(INDEX($A383:$R383,MATCH("Pipeline Stage",$A$1:$R$1,0)),"")&amp;""</f>
        <v/>
      </c>
      <c r="AC383" s="9">
        <f>IFERROR(INDEX($A383:$R383,MATCH("Client",$A$1:$R$1,0)),"")&amp;""</f>
        <v/>
      </c>
      <c r="AD383" s="9">
        <f>IFERROR(INDEX($A383:$R383,MATCH("Description",$A$1:$R$1,0)),"")&amp;""</f>
        <v/>
      </c>
      <c r="AE383" s="9">
        <f>IFERROR(INDEX($A383:$R383,MATCH("Job Number",$A$1:$R$1,0)),"")&amp;""</f>
        <v/>
      </c>
      <c r="AF383" s="54">
        <f>IF(AND(T383="Open",ISNUMBER(Z383),Z383&lt;EOMONTH(set_AsAt,-1)+1),3,0)</f>
        <v/>
      </c>
      <c r="AG383" s="54">
        <f>IF(AND(T383="Open",U383&gt;0,U383&gt;=set_DealShare*SUMIFS($U$2:$U$601,$T$2:$T$601,"Open")),3,0)</f>
        <v/>
      </c>
      <c r="AH383" s="54">
        <f>IF(AND(T383="Open",U383&gt;=set_BigValue,W383&lt;=set_EarlyProb),2,0)</f>
        <v/>
      </c>
      <c r="AI383" s="54">
        <f>IF(AND(OR(T383="Open",T383="Won"),V383=0),2,0)</f>
        <v/>
      </c>
      <c r="AJ383" s="54">
        <f>IF(AND(T383="Won",Y383&gt;0.5,ISNUMBER(Z383),Z383&lt;EOMONTH(set_AsAt,-1)+1),3,0)</f>
        <v/>
      </c>
      <c r="AK383" s="54">
        <f>IF(AND(T383="Won",Y383&lt;-1),1,0)</f>
        <v/>
      </c>
      <c r="AL383" s="54">
        <f>SUM(AF383:AK383)</f>
        <v/>
      </c>
      <c r="AM383" s="9">
        <f>IF(AL383&gt;=set_ScoreHigh,"High",IF(AL383&gt;=set_ScoreMed,"Medium",IF(AL383&gt;0,"Low","OK")))</f>
        <v/>
      </c>
      <c r="AN383" s="54">
        <f>IF(OR(T383="Open",AND(T383="Won",ABS(Y383)&gt;0.5)),1,0)</f>
        <v/>
      </c>
      <c r="AO383" s="52">
        <f>IF(T383="Open",IF(V383=0,0,X383),IF(T383="Won",MAX(0,Y383),0))</f>
        <v/>
      </c>
      <c r="AP383" s="54">
        <f>IF(AN383=1,AL383*1E+9+U383+ROW()/1E+6,"")</f>
        <v/>
      </c>
      <c r="AQ383" s="9">
        <f>MID(IF(AF383&gt;0,"; Expected month passed - update Zoho","")&amp;IF(AG383&gt;0,"; "&amp;TEXT(U383/MAX(1,SUMIFS($U$2:$U$601,$T$2:$T$601,"Open")),"0%")&amp;" of open pipeline in one deal","")&amp;IF(AH383&gt;0,"; Large deal at an early stage","")&amp;IF(AI383&gt;0,"; No amount in Zoho","")&amp;IF(AJ383&gt;0,"; Won, invoice month passed, not fully invoiced","")&amp;IF(AK383&gt;0,"; Xero invoiced more than the deal value",""),3,300)</f>
        <v/>
      </c>
    </row>
    <row r="384">
      <c r="T384" s="9">
        <f>IFERROR(INDEX($A384:$R384,MATCH("Status",$A$1:$R$1,0)),"")&amp;""</f>
        <v/>
      </c>
      <c r="U384" s="52">
        <f>IFERROR(N(IFERROR(INDEX($A384:$R384,MATCH("Value Ex GST",$A$1:$R$1,0)),"")),0)</f>
        <v/>
      </c>
      <c r="V384" s="54">
        <f>IF(AND(T384&lt;&gt;"",IFERROR(INDEX($A384:$R384,MATCH("Value Ex GST",$A$1:$R$1,0)),"")&amp;""&lt;&gt;""),1,0)</f>
        <v/>
      </c>
      <c r="W384" s="56">
        <f>IFERROR(N(IFERROR(INDEX($A384:$R384,MATCH("Probability",$A$1:$R$1,0)),"")),0)</f>
        <v/>
      </c>
      <c r="X384" s="52">
        <f>IF(T384="Open",U384*W384,0)</f>
        <v/>
      </c>
      <c r="Y384" s="52">
        <f>IF(T384="Won",IFERROR(N(IFERROR(INDEX($A384:$R384,MATCH("Still to Invoice",$A$1:$R$1,0)),"")),0),0)</f>
        <v/>
      </c>
      <c r="Z384" s="55">
        <f>IFERROR(EOMONTH(IFERROR(INDEX($A384:$R384,MATCH("Expected Invoice Month",$A$1:$R$1,0)),""),0),"")</f>
        <v/>
      </c>
      <c r="AA384" s="9">
        <f>IFERROR(INDEX($A384:$R384,MATCH("Cost Centre",$A$1:$R$1,0)),"")&amp;""</f>
        <v/>
      </c>
      <c r="AB384" s="9">
        <f>IFERROR(INDEX($A384:$R384,MATCH("Pipeline Stage",$A$1:$R$1,0)),"")&amp;""</f>
        <v/>
      </c>
      <c r="AC384" s="9">
        <f>IFERROR(INDEX($A384:$R384,MATCH("Client",$A$1:$R$1,0)),"")&amp;""</f>
        <v/>
      </c>
      <c r="AD384" s="9">
        <f>IFERROR(INDEX($A384:$R384,MATCH("Description",$A$1:$R$1,0)),"")&amp;""</f>
        <v/>
      </c>
      <c r="AE384" s="9">
        <f>IFERROR(INDEX($A384:$R384,MATCH("Job Number",$A$1:$R$1,0)),"")&amp;""</f>
        <v/>
      </c>
      <c r="AF384" s="54">
        <f>IF(AND(T384="Open",ISNUMBER(Z384),Z384&lt;EOMONTH(set_AsAt,-1)+1),3,0)</f>
        <v/>
      </c>
      <c r="AG384" s="54">
        <f>IF(AND(T384="Open",U384&gt;0,U384&gt;=set_DealShare*SUMIFS($U$2:$U$601,$T$2:$T$601,"Open")),3,0)</f>
        <v/>
      </c>
      <c r="AH384" s="54">
        <f>IF(AND(T384="Open",U384&gt;=set_BigValue,W384&lt;=set_EarlyProb),2,0)</f>
        <v/>
      </c>
      <c r="AI384" s="54">
        <f>IF(AND(OR(T384="Open",T384="Won"),V384=0),2,0)</f>
        <v/>
      </c>
      <c r="AJ384" s="54">
        <f>IF(AND(T384="Won",Y384&gt;0.5,ISNUMBER(Z384),Z384&lt;EOMONTH(set_AsAt,-1)+1),3,0)</f>
        <v/>
      </c>
      <c r="AK384" s="54">
        <f>IF(AND(T384="Won",Y384&lt;-1),1,0)</f>
        <v/>
      </c>
      <c r="AL384" s="54">
        <f>SUM(AF384:AK384)</f>
        <v/>
      </c>
      <c r="AM384" s="9">
        <f>IF(AL384&gt;=set_ScoreHigh,"High",IF(AL384&gt;=set_ScoreMed,"Medium",IF(AL384&gt;0,"Low","OK")))</f>
        <v/>
      </c>
      <c r="AN384" s="54">
        <f>IF(OR(T384="Open",AND(T384="Won",ABS(Y384)&gt;0.5)),1,0)</f>
        <v/>
      </c>
      <c r="AO384" s="52">
        <f>IF(T384="Open",IF(V384=0,0,X384),IF(T384="Won",MAX(0,Y384),0))</f>
        <v/>
      </c>
      <c r="AP384" s="54">
        <f>IF(AN384=1,AL384*1E+9+U384+ROW()/1E+6,"")</f>
        <v/>
      </c>
      <c r="AQ384" s="9">
        <f>MID(IF(AF384&gt;0,"; Expected month passed - update Zoho","")&amp;IF(AG384&gt;0,"; "&amp;TEXT(U384/MAX(1,SUMIFS($U$2:$U$601,$T$2:$T$601,"Open")),"0%")&amp;" of open pipeline in one deal","")&amp;IF(AH384&gt;0,"; Large deal at an early stage","")&amp;IF(AI384&gt;0,"; No amount in Zoho","")&amp;IF(AJ384&gt;0,"; Won, invoice month passed, not fully invoiced","")&amp;IF(AK384&gt;0,"; Xero invoiced more than the deal value",""),3,300)</f>
        <v/>
      </c>
    </row>
    <row r="385">
      <c r="T385" s="9">
        <f>IFERROR(INDEX($A385:$R385,MATCH("Status",$A$1:$R$1,0)),"")&amp;""</f>
        <v/>
      </c>
      <c r="U385" s="52">
        <f>IFERROR(N(IFERROR(INDEX($A385:$R385,MATCH("Value Ex GST",$A$1:$R$1,0)),"")),0)</f>
        <v/>
      </c>
      <c r="V385" s="54">
        <f>IF(AND(T385&lt;&gt;"",IFERROR(INDEX($A385:$R385,MATCH("Value Ex GST",$A$1:$R$1,0)),"")&amp;""&lt;&gt;""),1,0)</f>
        <v/>
      </c>
      <c r="W385" s="56">
        <f>IFERROR(N(IFERROR(INDEX($A385:$R385,MATCH("Probability",$A$1:$R$1,0)),"")),0)</f>
        <v/>
      </c>
      <c r="X385" s="52">
        <f>IF(T385="Open",U385*W385,0)</f>
        <v/>
      </c>
      <c r="Y385" s="52">
        <f>IF(T385="Won",IFERROR(N(IFERROR(INDEX($A385:$R385,MATCH("Still to Invoice",$A$1:$R$1,0)),"")),0),0)</f>
        <v/>
      </c>
      <c r="Z385" s="55">
        <f>IFERROR(EOMONTH(IFERROR(INDEX($A385:$R385,MATCH("Expected Invoice Month",$A$1:$R$1,0)),""),0),"")</f>
        <v/>
      </c>
      <c r="AA385" s="9">
        <f>IFERROR(INDEX($A385:$R385,MATCH("Cost Centre",$A$1:$R$1,0)),"")&amp;""</f>
        <v/>
      </c>
      <c r="AB385" s="9">
        <f>IFERROR(INDEX($A385:$R385,MATCH("Pipeline Stage",$A$1:$R$1,0)),"")&amp;""</f>
        <v/>
      </c>
      <c r="AC385" s="9">
        <f>IFERROR(INDEX($A385:$R385,MATCH("Client",$A$1:$R$1,0)),"")&amp;""</f>
        <v/>
      </c>
      <c r="AD385" s="9">
        <f>IFERROR(INDEX($A385:$R385,MATCH("Description",$A$1:$R$1,0)),"")&amp;""</f>
        <v/>
      </c>
      <c r="AE385" s="9">
        <f>IFERROR(INDEX($A385:$R385,MATCH("Job Number",$A$1:$R$1,0)),"")&amp;""</f>
        <v/>
      </c>
      <c r="AF385" s="54">
        <f>IF(AND(T385="Open",ISNUMBER(Z385),Z385&lt;EOMONTH(set_AsAt,-1)+1),3,0)</f>
        <v/>
      </c>
      <c r="AG385" s="54">
        <f>IF(AND(T385="Open",U385&gt;0,U385&gt;=set_DealShare*SUMIFS($U$2:$U$601,$T$2:$T$601,"Open")),3,0)</f>
        <v/>
      </c>
      <c r="AH385" s="54">
        <f>IF(AND(T385="Open",U385&gt;=set_BigValue,W385&lt;=set_EarlyProb),2,0)</f>
        <v/>
      </c>
      <c r="AI385" s="54">
        <f>IF(AND(OR(T385="Open",T385="Won"),V385=0),2,0)</f>
        <v/>
      </c>
      <c r="AJ385" s="54">
        <f>IF(AND(T385="Won",Y385&gt;0.5,ISNUMBER(Z385),Z385&lt;EOMONTH(set_AsAt,-1)+1),3,0)</f>
        <v/>
      </c>
      <c r="AK385" s="54">
        <f>IF(AND(T385="Won",Y385&lt;-1),1,0)</f>
        <v/>
      </c>
      <c r="AL385" s="54">
        <f>SUM(AF385:AK385)</f>
        <v/>
      </c>
      <c r="AM385" s="9">
        <f>IF(AL385&gt;=set_ScoreHigh,"High",IF(AL385&gt;=set_ScoreMed,"Medium",IF(AL385&gt;0,"Low","OK")))</f>
        <v/>
      </c>
      <c r="AN385" s="54">
        <f>IF(OR(T385="Open",AND(T385="Won",ABS(Y385)&gt;0.5)),1,0)</f>
        <v/>
      </c>
      <c r="AO385" s="52">
        <f>IF(T385="Open",IF(V385=0,0,X385),IF(T385="Won",MAX(0,Y385),0))</f>
        <v/>
      </c>
      <c r="AP385" s="54">
        <f>IF(AN385=1,AL385*1E+9+U385+ROW()/1E+6,"")</f>
        <v/>
      </c>
      <c r="AQ385" s="9">
        <f>MID(IF(AF385&gt;0,"; Expected month passed - update Zoho","")&amp;IF(AG385&gt;0,"; "&amp;TEXT(U385/MAX(1,SUMIFS($U$2:$U$601,$T$2:$T$601,"Open")),"0%")&amp;" of open pipeline in one deal","")&amp;IF(AH385&gt;0,"; Large deal at an early stage","")&amp;IF(AI385&gt;0,"; No amount in Zoho","")&amp;IF(AJ385&gt;0,"; Won, invoice month passed, not fully invoiced","")&amp;IF(AK385&gt;0,"; Xero invoiced more than the deal value",""),3,300)</f>
        <v/>
      </c>
    </row>
    <row r="386">
      <c r="T386" s="9">
        <f>IFERROR(INDEX($A386:$R386,MATCH("Status",$A$1:$R$1,0)),"")&amp;""</f>
        <v/>
      </c>
      <c r="U386" s="52">
        <f>IFERROR(N(IFERROR(INDEX($A386:$R386,MATCH("Value Ex GST",$A$1:$R$1,0)),"")),0)</f>
        <v/>
      </c>
      <c r="V386" s="54">
        <f>IF(AND(T386&lt;&gt;"",IFERROR(INDEX($A386:$R386,MATCH("Value Ex GST",$A$1:$R$1,0)),"")&amp;""&lt;&gt;""),1,0)</f>
        <v/>
      </c>
      <c r="W386" s="56">
        <f>IFERROR(N(IFERROR(INDEX($A386:$R386,MATCH("Probability",$A$1:$R$1,0)),"")),0)</f>
        <v/>
      </c>
      <c r="X386" s="52">
        <f>IF(T386="Open",U386*W386,0)</f>
        <v/>
      </c>
      <c r="Y386" s="52">
        <f>IF(T386="Won",IFERROR(N(IFERROR(INDEX($A386:$R386,MATCH("Still to Invoice",$A$1:$R$1,0)),"")),0),0)</f>
        <v/>
      </c>
      <c r="Z386" s="55">
        <f>IFERROR(EOMONTH(IFERROR(INDEX($A386:$R386,MATCH("Expected Invoice Month",$A$1:$R$1,0)),""),0),"")</f>
        <v/>
      </c>
      <c r="AA386" s="9">
        <f>IFERROR(INDEX($A386:$R386,MATCH("Cost Centre",$A$1:$R$1,0)),"")&amp;""</f>
        <v/>
      </c>
      <c r="AB386" s="9">
        <f>IFERROR(INDEX($A386:$R386,MATCH("Pipeline Stage",$A$1:$R$1,0)),"")&amp;""</f>
        <v/>
      </c>
      <c r="AC386" s="9">
        <f>IFERROR(INDEX($A386:$R386,MATCH("Client",$A$1:$R$1,0)),"")&amp;""</f>
        <v/>
      </c>
      <c r="AD386" s="9">
        <f>IFERROR(INDEX($A386:$R386,MATCH("Description",$A$1:$R$1,0)),"")&amp;""</f>
        <v/>
      </c>
      <c r="AE386" s="9">
        <f>IFERROR(INDEX($A386:$R386,MATCH("Job Number",$A$1:$R$1,0)),"")&amp;""</f>
        <v/>
      </c>
      <c r="AF386" s="54">
        <f>IF(AND(T386="Open",ISNUMBER(Z386),Z386&lt;EOMONTH(set_AsAt,-1)+1),3,0)</f>
        <v/>
      </c>
      <c r="AG386" s="54">
        <f>IF(AND(T386="Open",U386&gt;0,U386&gt;=set_DealShare*SUMIFS($U$2:$U$601,$T$2:$T$601,"Open")),3,0)</f>
        <v/>
      </c>
      <c r="AH386" s="54">
        <f>IF(AND(T386="Open",U386&gt;=set_BigValue,W386&lt;=set_EarlyProb),2,0)</f>
        <v/>
      </c>
      <c r="AI386" s="54">
        <f>IF(AND(OR(T386="Open",T386="Won"),V386=0),2,0)</f>
        <v/>
      </c>
      <c r="AJ386" s="54">
        <f>IF(AND(T386="Won",Y386&gt;0.5,ISNUMBER(Z386),Z386&lt;EOMONTH(set_AsAt,-1)+1),3,0)</f>
        <v/>
      </c>
      <c r="AK386" s="54">
        <f>IF(AND(T386="Won",Y386&lt;-1),1,0)</f>
        <v/>
      </c>
      <c r="AL386" s="54">
        <f>SUM(AF386:AK386)</f>
        <v/>
      </c>
      <c r="AM386" s="9">
        <f>IF(AL386&gt;=set_ScoreHigh,"High",IF(AL386&gt;=set_ScoreMed,"Medium",IF(AL386&gt;0,"Low","OK")))</f>
        <v/>
      </c>
      <c r="AN386" s="54">
        <f>IF(OR(T386="Open",AND(T386="Won",ABS(Y386)&gt;0.5)),1,0)</f>
        <v/>
      </c>
      <c r="AO386" s="52">
        <f>IF(T386="Open",IF(V386=0,0,X386),IF(T386="Won",MAX(0,Y386),0))</f>
        <v/>
      </c>
      <c r="AP386" s="54">
        <f>IF(AN386=1,AL386*1E+9+U386+ROW()/1E+6,"")</f>
        <v/>
      </c>
      <c r="AQ386" s="9">
        <f>MID(IF(AF386&gt;0,"; Expected month passed - update Zoho","")&amp;IF(AG386&gt;0,"; "&amp;TEXT(U386/MAX(1,SUMIFS($U$2:$U$601,$T$2:$T$601,"Open")),"0%")&amp;" of open pipeline in one deal","")&amp;IF(AH386&gt;0,"; Large deal at an early stage","")&amp;IF(AI386&gt;0,"; No amount in Zoho","")&amp;IF(AJ386&gt;0,"; Won, invoice month passed, not fully invoiced","")&amp;IF(AK386&gt;0,"; Xero invoiced more than the deal value",""),3,300)</f>
        <v/>
      </c>
    </row>
    <row r="387">
      <c r="T387" s="9">
        <f>IFERROR(INDEX($A387:$R387,MATCH("Status",$A$1:$R$1,0)),"")&amp;""</f>
        <v/>
      </c>
      <c r="U387" s="52">
        <f>IFERROR(N(IFERROR(INDEX($A387:$R387,MATCH("Value Ex GST",$A$1:$R$1,0)),"")),0)</f>
        <v/>
      </c>
      <c r="V387" s="54">
        <f>IF(AND(T387&lt;&gt;"",IFERROR(INDEX($A387:$R387,MATCH("Value Ex GST",$A$1:$R$1,0)),"")&amp;""&lt;&gt;""),1,0)</f>
        <v/>
      </c>
      <c r="W387" s="56">
        <f>IFERROR(N(IFERROR(INDEX($A387:$R387,MATCH("Probability",$A$1:$R$1,0)),"")),0)</f>
        <v/>
      </c>
      <c r="X387" s="52">
        <f>IF(T387="Open",U387*W387,0)</f>
        <v/>
      </c>
      <c r="Y387" s="52">
        <f>IF(T387="Won",IFERROR(N(IFERROR(INDEX($A387:$R387,MATCH("Still to Invoice",$A$1:$R$1,0)),"")),0),0)</f>
        <v/>
      </c>
      <c r="Z387" s="55">
        <f>IFERROR(EOMONTH(IFERROR(INDEX($A387:$R387,MATCH("Expected Invoice Month",$A$1:$R$1,0)),""),0),"")</f>
        <v/>
      </c>
      <c r="AA387" s="9">
        <f>IFERROR(INDEX($A387:$R387,MATCH("Cost Centre",$A$1:$R$1,0)),"")&amp;""</f>
        <v/>
      </c>
      <c r="AB387" s="9">
        <f>IFERROR(INDEX($A387:$R387,MATCH("Pipeline Stage",$A$1:$R$1,0)),"")&amp;""</f>
        <v/>
      </c>
      <c r="AC387" s="9">
        <f>IFERROR(INDEX($A387:$R387,MATCH("Client",$A$1:$R$1,0)),"")&amp;""</f>
        <v/>
      </c>
      <c r="AD387" s="9">
        <f>IFERROR(INDEX($A387:$R387,MATCH("Description",$A$1:$R$1,0)),"")&amp;""</f>
        <v/>
      </c>
      <c r="AE387" s="9">
        <f>IFERROR(INDEX($A387:$R387,MATCH("Job Number",$A$1:$R$1,0)),"")&amp;""</f>
        <v/>
      </c>
      <c r="AF387" s="54">
        <f>IF(AND(T387="Open",ISNUMBER(Z387),Z387&lt;EOMONTH(set_AsAt,-1)+1),3,0)</f>
        <v/>
      </c>
      <c r="AG387" s="54">
        <f>IF(AND(T387="Open",U387&gt;0,U387&gt;=set_DealShare*SUMIFS($U$2:$U$601,$T$2:$T$601,"Open")),3,0)</f>
        <v/>
      </c>
      <c r="AH387" s="54">
        <f>IF(AND(T387="Open",U387&gt;=set_BigValue,W387&lt;=set_EarlyProb),2,0)</f>
        <v/>
      </c>
      <c r="AI387" s="54">
        <f>IF(AND(OR(T387="Open",T387="Won"),V387=0),2,0)</f>
        <v/>
      </c>
      <c r="AJ387" s="54">
        <f>IF(AND(T387="Won",Y387&gt;0.5,ISNUMBER(Z387),Z387&lt;EOMONTH(set_AsAt,-1)+1),3,0)</f>
        <v/>
      </c>
      <c r="AK387" s="54">
        <f>IF(AND(T387="Won",Y387&lt;-1),1,0)</f>
        <v/>
      </c>
      <c r="AL387" s="54">
        <f>SUM(AF387:AK387)</f>
        <v/>
      </c>
      <c r="AM387" s="9">
        <f>IF(AL387&gt;=set_ScoreHigh,"High",IF(AL387&gt;=set_ScoreMed,"Medium",IF(AL387&gt;0,"Low","OK")))</f>
        <v/>
      </c>
      <c r="AN387" s="54">
        <f>IF(OR(T387="Open",AND(T387="Won",ABS(Y387)&gt;0.5)),1,0)</f>
        <v/>
      </c>
      <c r="AO387" s="52">
        <f>IF(T387="Open",IF(V387=0,0,X387),IF(T387="Won",MAX(0,Y387),0))</f>
        <v/>
      </c>
      <c r="AP387" s="54">
        <f>IF(AN387=1,AL387*1E+9+U387+ROW()/1E+6,"")</f>
        <v/>
      </c>
      <c r="AQ387" s="9">
        <f>MID(IF(AF387&gt;0,"; Expected month passed - update Zoho","")&amp;IF(AG387&gt;0,"; "&amp;TEXT(U387/MAX(1,SUMIFS($U$2:$U$601,$T$2:$T$601,"Open")),"0%")&amp;" of open pipeline in one deal","")&amp;IF(AH387&gt;0,"; Large deal at an early stage","")&amp;IF(AI387&gt;0,"; No amount in Zoho","")&amp;IF(AJ387&gt;0,"; Won, invoice month passed, not fully invoiced","")&amp;IF(AK387&gt;0,"; Xero invoiced more than the deal value",""),3,300)</f>
        <v/>
      </c>
    </row>
    <row r="388">
      <c r="T388" s="9">
        <f>IFERROR(INDEX($A388:$R388,MATCH("Status",$A$1:$R$1,0)),"")&amp;""</f>
        <v/>
      </c>
      <c r="U388" s="52">
        <f>IFERROR(N(IFERROR(INDEX($A388:$R388,MATCH("Value Ex GST",$A$1:$R$1,0)),"")),0)</f>
        <v/>
      </c>
      <c r="V388" s="54">
        <f>IF(AND(T388&lt;&gt;"",IFERROR(INDEX($A388:$R388,MATCH("Value Ex GST",$A$1:$R$1,0)),"")&amp;""&lt;&gt;""),1,0)</f>
        <v/>
      </c>
      <c r="W388" s="56">
        <f>IFERROR(N(IFERROR(INDEX($A388:$R388,MATCH("Probability",$A$1:$R$1,0)),"")),0)</f>
        <v/>
      </c>
      <c r="X388" s="52">
        <f>IF(T388="Open",U388*W388,0)</f>
        <v/>
      </c>
      <c r="Y388" s="52">
        <f>IF(T388="Won",IFERROR(N(IFERROR(INDEX($A388:$R388,MATCH("Still to Invoice",$A$1:$R$1,0)),"")),0),0)</f>
        <v/>
      </c>
      <c r="Z388" s="55">
        <f>IFERROR(EOMONTH(IFERROR(INDEX($A388:$R388,MATCH("Expected Invoice Month",$A$1:$R$1,0)),""),0),"")</f>
        <v/>
      </c>
      <c r="AA388" s="9">
        <f>IFERROR(INDEX($A388:$R388,MATCH("Cost Centre",$A$1:$R$1,0)),"")&amp;""</f>
        <v/>
      </c>
      <c r="AB388" s="9">
        <f>IFERROR(INDEX($A388:$R388,MATCH("Pipeline Stage",$A$1:$R$1,0)),"")&amp;""</f>
        <v/>
      </c>
      <c r="AC388" s="9">
        <f>IFERROR(INDEX($A388:$R388,MATCH("Client",$A$1:$R$1,0)),"")&amp;""</f>
        <v/>
      </c>
      <c r="AD388" s="9">
        <f>IFERROR(INDEX($A388:$R388,MATCH("Description",$A$1:$R$1,0)),"")&amp;""</f>
        <v/>
      </c>
      <c r="AE388" s="9">
        <f>IFERROR(INDEX($A388:$R388,MATCH("Job Number",$A$1:$R$1,0)),"")&amp;""</f>
        <v/>
      </c>
      <c r="AF388" s="54">
        <f>IF(AND(T388="Open",ISNUMBER(Z388),Z388&lt;EOMONTH(set_AsAt,-1)+1),3,0)</f>
        <v/>
      </c>
      <c r="AG388" s="54">
        <f>IF(AND(T388="Open",U388&gt;0,U388&gt;=set_DealShare*SUMIFS($U$2:$U$601,$T$2:$T$601,"Open")),3,0)</f>
        <v/>
      </c>
      <c r="AH388" s="54">
        <f>IF(AND(T388="Open",U388&gt;=set_BigValue,W388&lt;=set_EarlyProb),2,0)</f>
        <v/>
      </c>
      <c r="AI388" s="54">
        <f>IF(AND(OR(T388="Open",T388="Won"),V388=0),2,0)</f>
        <v/>
      </c>
      <c r="AJ388" s="54">
        <f>IF(AND(T388="Won",Y388&gt;0.5,ISNUMBER(Z388),Z388&lt;EOMONTH(set_AsAt,-1)+1),3,0)</f>
        <v/>
      </c>
      <c r="AK388" s="54">
        <f>IF(AND(T388="Won",Y388&lt;-1),1,0)</f>
        <v/>
      </c>
      <c r="AL388" s="54">
        <f>SUM(AF388:AK388)</f>
        <v/>
      </c>
      <c r="AM388" s="9">
        <f>IF(AL388&gt;=set_ScoreHigh,"High",IF(AL388&gt;=set_ScoreMed,"Medium",IF(AL388&gt;0,"Low","OK")))</f>
        <v/>
      </c>
      <c r="AN388" s="54">
        <f>IF(OR(T388="Open",AND(T388="Won",ABS(Y388)&gt;0.5)),1,0)</f>
        <v/>
      </c>
      <c r="AO388" s="52">
        <f>IF(T388="Open",IF(V388=0,0,X388),IF(T388="Won",MAX(0,Y388),0))</f>
        <v/>
      </c>
      <c r="AP388" s="54">
        <f>IF(AN388=1,AL388*1E+9+U388+ROW()/1E+6,"")</f>
        <v/>
      </c>
      <c r="AQ388" s="9">
        <f>MID(IF(AF388&gt;0,"; Expected month passed - update Zoho","")&amp;IF(AG388&gt;0,"; "&amp;TEXT(U388/MAX(1,SUMIFS($U$2:$U$601,$T$2:$T$601,"Open")),"0%")&amp;" of open pipeline in one deal","")&amp;IF(AH388&gt;0,"; Large deal at an early stage","")&amp;IF(AI388&gt;0,"; No amount in Zoho","")&amp;IF(AJ388&gt;0,"; Won, invoice month passed, not fully invoiced","")&amp;IF(AK388&gt;0,"; Xero invoiced more than the deal value",""),3,300)</f>
        <v/>
      </c>
    </row>
    <row r="389">
      <c r="T389" s="9">
        <f>IFERROR(INDEX($A389:$R389,MATCH("Status",$A$1:$R$1,0)),"")&amp;""</f>
        <v/>
      </c>
      <c r="U389" s="52">
        <f>IFERROR(N(IFERROR(INDEX($A389:$R389,MATCH("Value Ex GST",$A$1:$R$1,0)),"")),0)</f>
        <v/>
      </c>
      <c r="V389" s="54">
        <f>IF(AND(T389&lt;&gt;"",IFERROR(INDEX($A389:$R389,MATCH("Value Ex GST",$A$1:$R$1,0)),"")&amp;""&lt;&gt;""),1,0)</f>
        <v/>
      </c>
      <c r="W389" s="56">
        <f>IFERROR(N(IFERROR(INDEX($A389:$R389,MATCH("Probability",$A$1:$R$1,0)),"")),0)</f>
        <v/>
      </c>
      <c r="X389" s="52">
        <f>IF(T389="Open",U389*W389,0)</f>
        <v/>
      </c>
      <c r="Y389" s="52">
        <f>IF(T389="Won",IFERROR(N(IFERROR(INDEX($A389:$R389,MATCH("Still to Invoice",$A$1:$R$1,0)),"")),0),0)</f>
        <v/>
      </c>
      <c r="Z389" s="55">
        <f>IFERROR(EOMONTH(IFERROR(INDEX($A389:$R389,MATCH("Expected Invoice Month",$A$1:$R$1,0)),""),0),"")</f>
        <v/>
      </c>
      <c r="AA389" s="9">
        <f>IFERROR(INDEX($A389:$R389,MATCH("Cost Centre",$A$1:$R$1,0)),"")&amp;""</f>
        <v/>
      </c>
      <c r="AB389" s="9">
        <f>IFERROR(INDEX($A389:$R389,MATCH("Pipeline Stage",$A$1:$R$1,0)),"")&amp;""</f>
        <v/>
      </c>
      <c r="AC389" s="9">
        <f>IFERROR(INDEX($A389:$R389,MATCH("Client",$A$1:$R$1,0)),"")&amp;""</f>
        <v/>
      </c>
      <c r="AD389" s="9">
        <f>IFERROR(INDEX($A389:$R389,MATCH("Description",$A$1:$R$1,0)),"")&amp;""</f>
        <v/>
      </c>
      <c r="AE389" s="9">
        <f>IFERROR(INDEX($A389:$R389,MATCH("Job Number",$A$1:$R$1,0)),"")&amp;""</f>
        <v/>
      </c>
      <c r="AF389" s="54">
        <f>IF(AND(T389="Open",ISNUMBER(Z389),Z389&lt;EOMONTH(set_AsAt,-1)+1),3,0)</f>
        <v/>
      </c>
      <c r="AG389" s="54">
        <f>IF(AND(T389="Open",U389&gt;0,U389&gt;=set_DealShare*SUMIFS($U$2:$U$601,$T$2:$T$601,"Open")),3,0)</f>
        <v/>
      </c>
      <c r="AH389" s="54">
        <f>IF(AND(T389="Open",U389&gt;=set_BigValue,W389&lt;=set_EarlyProb),2,0)</f>
        <v/>
      </c>
      <c r="AI389" s="54">
        <f>IF(AND(OR(T389="Open",T389="Won"),V389=0),2,0)</f>
        <v/>
      </c>
      <c r="AJ389" s="54">
        <f>IF(AND(T389="Won",Y389&gt;0.5,ISNUMBER(Z389),Z389&lt;EOMONTH(set_AsAt,-1)+1),3,0)</f>
        <v/>
      </c>
      <c r="AK389" s="54">
        <f>IF(AND(T389="Won",Y389&lt;-1),1,0)</f>
        <v/>
      </c>
      <c r="AL389" s="54">
        <f>SUM(AF389:AK389)</f>
        <v/>
      </c>
      <c r="AM389" s="9">
        <f>IF(AL389&gt;=set_ScoreHigh,"High",IF(AL389&gt;=set_ScoreMed,"Medium",IF(AL389&gt;0,"Low","OK")))</f>
        <v/>
      </c>
      <c r="AN389" s="54">
        <f>IF(OR(T389="Open",AND(T389="Won",ABS(Y389)&gt;0.5)),1,0)</f>
        <v/>
      </c>
      <c r="AO389" s="52">
        <f>IF(T389="Open",IF(V389=0,0,X389),IF(T389="Won",MAX(0,Y389),0))</f>
        <v/>
      </c>
      <c r="AP389" s="54">
        <f>IF(AN389=1,AL389*1E+9+U389+ROW()/1E+6,"")</f>
        <v/>
      </c>
      <c r="AQ389" s="9">
        <f>MID(IF(AF389&gt;0,"; Expected month passed - update Zoho","")&amp;IF(AG389&gt;0,"; "&amp;TEXT(U389/MAX(1,SUMIFS($U$2:$U$601,$T$2:$T$601,"Open")),"0%")&amp;" of open pipeline in one deal","")&amp;IF(AH389&gt;0,"; Large deal at an early stage","")&amp;IF(AI389&gt;0,"; No amount in Zoho","")&amp;IF(AJ389&gt;0,"; Won, invoice month passed, not fully invoiced","")&amp;IF(AK389&gt;0,"; Xero invoiced more than the deal value",""),3,300)</f>
        <v/>
      </c>
    </row>
    <row r="390">
      <c r="T390" s="9">
        <f>IFERROR(INDEX($A390:$R390,MATCH("Status",$A$1:$R$1,0)),"")&amp;""</f>
        <v/>
      </c>
      <c r="U390" s="52">
        <f>IFERROR(N(IFERROR(INDEX($A390:$R390,MATCH("Value Ex GST",$A$1:$R$1,0)),"")),0)</f>
        <v/>
      </c>
      <c r="V390" s="54">
        <f>IF(AND(T390&lt;&gt;"",IFERROR(INDEX($A390:$R390,MATCH("Value Ex GST",$A$1:$R$1,0)),"")&amp;""&lt;&gt;""),1,0)</f>
        <v/>
      </c>
      <c r="W390" s="56">
        <f>IFERROR(N(IFERROR(INDEX($A390:$R390,MATCH("Probability",$A$1:$R$1,0)),"")),0)</f>
        <v/>
      </c>
      <c r="X390" s="52">
        <f>IF(T390="Open",U390*W390,0)</f>
        <v/>
      </c>
      <c r="Y390" s="52">
        <f>IF(T390="Won",IFERROR(N(IFERROR(INDEX($A390:$R390,MATCH("Still to Invoice",$A$1:$R$1,0)),"")),0),0)</f>
        <v/>
      </c>
      <c r="Z390" s="55">
        <f>IFERROR(EOMONTH(IFERROR(INDEX($A390:$R390,MATCH("Expected Invoice Month",$A$1:$R$1,0)),""),0),"")</f>
        <v/>
      </c>
      <c r="AA390" s="9">
        <f>IFERROR(INDEX($A390:$R390,MATCH("Cost Centre",$A$1:$R$1,0)),"")&amp;""</f>
        <v/>
      </c>
      <c r="AB390" s="9">
        <f>IFERROR(INDEX($A390:$R390,MATCH("Pipeline Stage",$A$1:$R$1,0)),"")&amp;""</f>
        <v/>
      </c>
      <c r="AC390" s="9">
        <f>IFERROR(INDEX($A390:$R390,MATCH("Client",$A$1:$R$1,0)),"")&amp;""</f>
        <v/>
      </c>
      <c r="AD390" s="9">
        <f>IFERROR(INDEX($A390:$R390,MATCH("Description",$A$1:$R$1,0)),"")&amp;""</f>
        <v/>
      </c>
      <c r="AE390" s="9">
        <f>IFERROR(INDEX($A390:$R390,MATCH("Job Number",$A$1:$R$1,0)),"")&amp;""</f>
        <v/>
      </c>
      <c r="AF390" s="54">
        <f>IF(AND(T390="Open",ISNUMBER(Z390),Z390&lt;EOMONTH(set_AsAt,-1)+1),3,0)</f>
        <v/>
      </c>
      <c r="AG390" s="54">
        <f>IF(AND(T390="Open",U390&gt;0,U390&gt;=set_DealShare*SUMIFS($U$2:$U$601,$T$2:$T$601,"Open")),3,0)</f>
        <v/>
      </c>
      <c r="AH390" s="54">
        <f>IF(AND(T390="Open",U390&gt;=set_BigValue,W390&lt;=set_EarlyProb),2,0)</f>
        <v/>
      </c>
      <c r="AI390" s="54">
        <f>IF(AND(OR(T390="Open",T390="Won"),V390=0),2,0)</f>
        <v/>
      </c>
      <c r="AJ390" s="54">
        <f>IF(AND(T390="Won",Y390&gt;0.5,ISNUMBER(Z390),Z390&lt;EOMONTH(set_AsAt,-1)+1),3,0)</f>
        <v/>
      </c>
      <c r="AK390" s="54">
        <f>IF(AND(T390="Won",Y390&lt;-1),1,0)</f>
        <v/>
      </c>
      <c r="AL390" s="54">
        <f>SUM(AF390:AK390)</f>
        <v/>
      </c>
      <c r="AM390" s="9">
        <f>IF(AL390&gt;=set_ScoreHigh,"High",IF(AL390&gt;=set_ScoreMed,"Medium",IF(AL390&gt;0,"Low","OK")))</f>
        <v/>
      </c>
      <c r="AN390" s="54">
        <f>IF(OR(T390="Open",AND(T390="Won",ABS(Y390)&gt;0.5)),1,0)</f>
        <v/>
      </c>
      <c r="AO390" s="52">
        <f>IF(T390="Open",IF(V390=0,0,X390),IF(T390="Won",MAX(0,Y390),0))</f>
        <v/>
      </c>
      <c r="AP390" s="54">
        <f>IF(AN390=1,AL390*1E+9+U390+ROW()/1E+6,"")</f>
        <v/>
      </c>
      <c r="AQ390" s="9">
        <f>MID(IF(AF390&gt;0,"; Expected month passed - update Zoho","")&amp;IF(AG390&gt;0,"; "&amp;TEXT(U390/MAX(1,SUMIFS($U$2:$U$601,$T$2:$T$601,"Open")),"0%")&amp;" of open pipeline in one deal","")&amp;IF(AH390&gt;0,"; Large deal at an early stage","")&amp;IF(AI390&gt;0,"; No amount in Zoho","")&amp;IF(AJ390&gt;0,"; Won, invoice month passed, not fully invoiced","")&amp;IF(AK390&gt;0,"; Xero invoiced more than the deal value",""),3,300)</f>
        <v/>
      </c>
    </row>
    <row r="391">
      <c r="T391" s="9">
        <f>IFERROR(INDEX($A391:$R391,MATCH("Status",$A$1:$R$1,0)),"")&amp;""</f>
        <v/>
      </c>
      <c r="U391" s="52">
        <f>IFERROR(N(IFERROR(INDEX($A391:$R391,MATCH("Value Ex GST",$A$1:$R$1,0)),"")),0)</f>
        <v/>
      </c>
      <c r="V391" s="54">
        <f>IF(AND(T391&lt;&gt;"",IFERROR(INDEX($A391:$R391,MATCH("Value Ex GST",$A$1:$R$1,0)),"")&amp;""&lt;&gt;""),1,0)</f>
        <v/>
      </c>
      <c r="W391" s="56">
        <f>IFERROR(N(IFERROR(INDEX($A391:$R391,MATCH("Probability",$A$1:$R$1,0)),"")),0)</f>
        <v/>
      </c>
      <c r="X391" s="52">
        <f>IF(T391="Open",U391*W391,0)</f>
        <v/>
      </c>
      <c r="Y391" s="52">
        <f>IF(T391="Won",IFERROR(N(IFERROR(INDEX($A391:$R391,MATCH("Still to Invoice",$A$1:$R$1,0)),"")),0),0)</f>
        <v/>
      </c>
      <c r="Z391" s="55">
        <f>IFERROR(EOMONTH(IFERROR(INDEX($A391:$R391,MATCH("Expected Invoice Month",$A$1:$R$1,0)),""),0),"")</f>
        <v/>
      </c>
      <c r="AA391" s="9">
        <f>IFERROR(INDEX($A391:$R391,MATCH("Cost Centre",$A$1:$R$1,0)),"")&amp;""</f>
        <v/>
      </c>
      <c r="AB391" s="9">
        <f>IFERROR(INDEX($A391:$R391,MATCH("Pipeline Stage",$A$1:$R$1,0)),"")&amp;""</f>
        <v/>
      </c>
      <c r="AC391" s="9">
        <f>IFERROR(INDEX($A391:$R391,MATCH("Client",$A$1:$R$1,0)),"")&amp;""</f>
        <v/>
      </c>
      <c r="AD391" s="9">
        <f>IFERROR(INDEX($A391:$R391,MATCH("Description",$A$1:$R$1,0)),"")&amp;""</f>
        <v/>
      </c>
      <c r="AE391" s="9">
        <f>IFERROR(INDEX($A391:$R391,MATCH("Job Number",$A$1:$R$1,0)),"")&amp;""</f>
        <v/>
      </c>
      <c r="AF391" s="54">
        <f>IF(AND(T391="Open",ISNUMBER(Z391),Z391&lt;EOMONTH(set_AsAt,-1)+1),3,0)</f>
        <v/>
      </c>
      <c r="AG391" s="54">
        <f>IF(AND(T391="Open",U391&gt;0,U391&gt;=set_DealShare*SUMIFS($U$2:$U$601,$T$2:$T$601,"Open")),3,0)</f>
        <v/>
      </c>
      <c r="AH391" s="54">
        <f>IF(AND(T391="Open",U391&gt;=set_BigValue,W391&lt;=set_EarlyProb),2,0)</f>
        <v/>
      </c>
      <c r="AI391" s="54">
        <f>IF(AND(OR(T391="Open",T391="Won"),V391=0),2,0)</f>
        <v/>
      </c>
      <c r="AJ391" s="54">
        <f>IF(AND(T391="Won",Y391&gt;0.5,ISNUMBER(Z391),Z391&lt;EOMONTH(set_AsAt,-1)+1),3,0)</f>
        <v/>
      </c>
      <c r="AK391" s="54">
        <f>IF(AND(T391="Won",Y391&lt;-1),1,0)</f>
        <v/>
      </c>
      <c r="AL391" s="54">
        <f>SUM(AF391:AK391)</f>
        <v/>
      </c>
      <c r="AM391" s="9">
        <f>IF(AL391&gt;=set_ScoreHigh,"High",IF(AL391&gt;=set_ScoreMed,"Medium",IF(AL391&gt;0,"Low","OK")))</f>
        <v/>
      </c>
      <c r="AN391" s="54">
        <f>IF(OR(T391="Open",AND(T391="Won",ABS(Y391)&gt;0.5)),1,0)</f>
        <v/>
      </c>
      <c r="AO391" s="52">
        <f>IF(T391="Open",IF(V391=0,0,X391),IF(T391="Won",MAX(0,Y391),0))</f>
        <v/>
      </c>
      <c r="AP391" s="54">
        <f>IF(AN391=1,AL391*1E+9+U391+ROW()/1E+6,"")</f>
        <v/>
      </c>
      <c r="AQ391" s="9">
        <f>MID(IF(AF391&gt;0,"; Expected month passed - update Zoho","")&amp;IF(AG391&gt;0,"; "&amp;TEXT(U391/MAX(1,SUMIFS($U$2:$U$601,$T$2:$T$601,"Open")),"0%")&amp;" of open pipeline in one deal","")&amp;IF(AH391&gt;0,"; Large deal at an early stage","")&amp;IF(AI391&gt;0,"; No amount in Zoho","")&amp;IF(AJ391&gt;0,"; Won, invoice month passed, not fully invoiced","")&amp;IF(AK391&gt;0,"; Xero invoiced more than the deal value",""),3,300)</f>
        <v/>
      </c>
    </row>
    <row r="392">
      <c r="T392" s="9">
        <f>IFERROR(INDEX($A392:$R392,MATCH("Status",$A$1:$R$1,0)),"")&amp;""</f>
        <v/>
      </c>
      <c r="U392" s="52">
        <f>IFERROR(N(IFERROR(INDEX($A392:$R392,MATCH("Value Ex GST",$A$1:$R$1,0)),"")),0)</f>
        <v/>
      </c>
      <c r="V392" s="54">
        <f>IF(AND(T392&lt;&gt;"",IFERROR(INDEX($A392:$R392,MATCH("Value Ex GST",$A$1:$R$1,0)),"")&amp;""&lt;&gt;""),1,0)</f>
        <v/>
      </c>
      <c r="W392" s="56">
        <f>IFERROR(N(IFERROR(INDEX($A392:$R392,MATCH("Probability",$A$1:$R$1,0)),"")),0)</f>
        <v/>
      </c>
      <c r="X392" s="52">
        <f>IF(T392="Open",U392*W392,0)</f>
        <v/>
      </c>
      <c r="Y392" s="52">
        <f>IF(T392="Won",IFERROR(N(IFERROR(INDEX($A392:$R392,MATCH("Still to Invoice",$A$1:$R$1,0)),"")),0),0)</f>
        <v/>
      </c>
      <c r="Z392" s="55">
        <f>IFERROR(EOMONTH(IFERROR(INDEX($A392:$R392,MATCH("Expected Invoice Month",$A$1:$R$1,0)),""),0),"")</f>
        <v/>
      </c>
      <c r="AA392" s="9">
        <f>IFERROR(INDEX($A392:$R392,MATCH("Cost Centre",$A$1:$R$1,0)),"")&amp;""</f>
        <v/>
      </c>
      <c r="AB392" s="9">
        <f>IFERROR(INDEX($A392:$R392,MATCH("Pipeline Stage",$A$1:$R$1,0)),"")&amp;""</f>
        <v/>
      </c>
      <c r="AC392" s="9">
        <f>IFERROR(INDEX($A392:$R392,MATCH("Client",$A$1:$R$1,0)),"")&amp;""</f>
        <v/>
      </c>
      <c r="AD392" s="9">
        <f>IFERROR(INDEX($A392:$R392,MATCH("Description",$A$1:$R$1,0)),"")&amp;""</f>
        <v/>
      </c>
      <c r="AE392" s="9">
        <f>IFERROR(INDEX($A392:$R392,MATCH("Job Number",$A$1:$R$1,0)),"")&amp;""</f>
        <v/>
      </c>
      <c r="AF392" s="54">
        <f>IF(AND(T392="Open",ISNUMBER(Z392),Z392&lt;EOMONTH(set_AsAt,-1)+1),3,0)</f>
        <v/>
      </c>
      <c r="AG392" s="54">
        <f>IF(AND(T392="Open",U392&gt;0,U392&gt;=set_DealShare*SUMIFS($U$2:$U$601,$T$2:$T$601,"Open")),3,0)</f>
        <v/>
      </c>
      <c r="AH392" s="54">
        <f>IF(AND(T392="Open",U392&gt;=set_BigValue,W392&lt;=set_EarlyProb),2,0)</f>
        <v/>
      </c>
      <c r="AI392" s="54">
        <f>IF(AND(OR(T392="Open",T392="Won"),V392=0),2,0)</f>
        <v/>
      </c>
      <c r="AJ392" s="54">
        <f>IF(AND(T392="Won",Y392&gt;0.5,ISNUMBER(Z392),Z392&lt;EOMONTH(set_AsAt,-1)+1),3,0)</f>
        <v/>
      </c>
      <c r="AK392" s="54">
        <f>IF(AND(T392="Won",Y392&lt;-1),1,0)</f>
        <v/>
      </c>
      <c r="AL392" s="54">
        <f>SUM(AF392:AK392)</f>
        <v/>
      </c>
      <c r="AM392" s="9">
        <f>IF(AL392&gt;=set_ScoreHigh,"High",IF(AL392&gt;=set_ScoreMed,"Medium",IF(AL392&gt;0,"Low","OK")))</f>
        <v/>
      </c>
      <c r="AN392" s="54">
        <f>IF(OR(T392="Open",AND(T392="Won",ABS(Y392)&gt;0.5)),1,0)</f>
        <v/>
      </c>
      <c r="AO392" s="52">
        <f>IF(T392="Open",IF(V392=0,0,X392),IF(T392="Won",MAX(0,Y392),0))</f>
        <v/>
      </c>
      <c r="AP392" s="54">
        <f>IF(AN392=1,AL392*1E+9+U392+ROW()/1E+6,"")</f>
        <v/>
      </c>
      <c r="AQ392" s="9">
        <f>MID(IF(AF392&gt;0,"; Expected month passed - update Zoho","")&amp;IF(AG392&gt;0,"; "&amp;TEXT(U392/MAX(1,SUMIFS($U$2:$U$601,$T$2:$T$601,"Open")),"0%")&amp;" of open pipeline in one deal","")&amp;IF(AH392&gt;0,"; Large deal at an early stage","")&amp;IF(AI392&gt;0,"; No amount in Zoho","")&amp;IF(AJ392&gt;0,"; Won, invoice month passed, not fully invoiced","")&amp;IF(AK392&gt;0,"; Xero invoiced more than the deal value",""),3,300)</f>
        <v/>
      </c>
    </row>
    <row r="393">
      <c r="T393" s="9">
        <f>IFERROR(INDEX($A393:$R393,MATCH("Status",$A$1:$R$1,0)),"")&amp;""</f>
        <v/>
      </c>
      <c r="U393" s="52">
        <f>IFERROR(N(IFERROR(INDEX($A393:$R393,MATCH("Value Ex GST",$A$1:$R$1,0)),"")),0)</f>
        <v/>
      </c>
      <c r="V393" s="54">
        <f>IF(AND(T393&lt;&gt;"",IFERROR(INDEX($A393:$R393,MATCH("Value Ex GST",$A$1:$R$1,0)),"")&amp;""&lt;&gt;""),1,0)</f>
        <v/>
      </c>
      <c r="W393" s="56">
        <f>IFERROR(N(IFERROR(INDEX($A393:$R393,MATCH("Probability",$A$1:$R$1,0)),"")),0)</f>
        <v/>
      </c>
      <c r="X393" s="52">
        <f>IF(T393="Open",U393*W393,0)</f>
        <v/>
      </c>
      <c r="Y393" s="52">
        <f>IF(T393="Won",IFERROR(N(IFERROR(INDEX($A393:$R393,MATCH("Still to Invoice",$A$1:$R$1,0)),"")),0),0)</f>
        <v/>
      </c>
      <c r="Z393" s="55">
        <f>IFERROR(EOMONTH(IFERROR(INDEX($A393:$R393,MATCH("Expected Invoice Month",$A$1:$R$1,0)),""),0),"")</f>
        <v/>
      </c>
      <c r="AA393" s="9">
        <f>IFERROR(INDEX($A393:$R393,MATCH("Cost Centre",$A$1:$R$1,0)),"")&amp;""</f>
        <v/>
      </c>
      <c r="AB393" s="9">
        <f>IFERROR(INDEX($A393:$R393,MATCH("Pipeline Stage",$A$1:$R$1,0)),"")&amp;""</f>
        <v/>
      </c>
      <c r="AC393" s="9">
        <f>IFERROR(INDEX($A393:$R393,MATCH("Client",$A$1:$R$1,0)),"")&amp;""</f>
        <v/>
      </c>
      <c r="AD393" s="9">
        <f>IFERROR(INDEX($A393:$R393,MATCH("Description",$A$1:$R$1,0)),"")&amp;""</f>
        <v/>
      </c>
      <c r="AE393" s="9">
        <f>IFERROR(INDEX($A393:$R393,MATCH("Job Number",$A$1:$R$1,0)),"")&amp;""</f>
        <v/>
      </c>
      <c r="AF393" s="54">
        <f>IF(AND(T393="Open",ISNUMBER(Z393),Z393&lt;EOMONTH(set_AsAt,-1)+1),3,0)</f>
        <v/>
      </c>
      <c r="AG393" s="54">
        <f>IF(AND(T393="Open",U393&gt;0,U393&gt;=set_DealShare*SUMIFS($U$2:$U$601,$T$2:$T$601,"Open")),3,0)</f>
        <v/>
      </c>
      <c r="AH393" s="54">
        <f>IF(AND(T393="Open",U393&gt;=set_BigValue,W393&lt;=set_EarlyProb),2,0)</f>
        <v/>
      </c>
      <c r="AI393" s="54">
        <f>IF(AND(OR(T393="Open",T393="Won"),V393=0),2,0)</f>
        <v/>
      </c>
      <c r="AJ393" s="54">
        <f>IF(AND(T393="Won",Y393&gt;0.5,ISNUMBER(Z393),Z393&lt;EOMONTH(set_AsAt,-1)+1),3,0)</f>
        <v/>
      </c>
      <c r="AK393" s="54">
        <f>IF(AND(T393="Won",Y393&lt;-1),1,0)</f>
        <v/>
      </c>
      <c r="AL393" s="54">
        <f>SUM(AF393:AK393)</f>
        <v/>
      </c>
      <c r="AM393" s="9">
        <f>IF(AL393&gt;=set_ScoreHigh,"High",IF(AL393&gt;=set_ScoreMed,"Medium",IF(AL393&gt;0,"Low","OK")))</f>
        <v/>
      </c>
      <c r="AN393" s="54">
        <f>IF(OR(T393="Open",AND(T393="Won",ABS(Y393)&gt;0.5)),1,0)</f>
        <v/>
      </c>
      <c r="AO393" s="52">
        <f>IF(T393="Open",IF(V393=0,0,X393),IF(T393="Won",MAX(0,Y393),0))</f>
        <v/>
      </c>
      <c r="AP393" s="54">
        <f>IF(AN393=1,AL393*1E+9+U393+ROW()/1E+6,"")</f>
        <v/>
      </c>
      <c r="AQ393" s="9">
        <f>MID(IF(AF393&gt;0,"; Expected month passed - update Zoho","")&amp;IF(AG393&gt;0,"; "&amp;TEXT(U393/MAX(1,SUMIFS($U$2:$U$601,$T$2:$T$601,"Open")),"0%")&amp;" of open pipeline in one deal","")&amp;IF(AH393&gt;0,"; Large deal at an early stage","")&amp;IF(AI393&gt;0,"; No amount in Zoho","")&amp;IF(AJ393&gt;0,"; Won, invoice month passed, not fully invoiced","")&amp;IF(AK393&gt;0,"; Xero invoiced more than the deal value",""),3,300)</f>
        <v/>
      </c>
    </row>
    <row r="394">
      <c r="T394" s="9">
        <f>IFERROR(INDEX($A394:$R394,MATCH("Status",$A$1:$R$1,0)),"")&amp;""</f>
        <v/>
      </c>
      <c r="U394" s="52">
        <f>IFERROR(N(IFERROR(INDEX($A394:$R394,MATCH("Value Ex GST",$A$1:$R$1,0)),"")),0)</f>
        <v/>
      </c>
      <c r="V394" s="54">
        <f>IF(AND(T394&lt;&gt;"",IFERROR(INDEX($A394:$R394,MATCH("Value Ex GST",$A$1:$R$1,0)),"")&amp;""&lt;&gt;""),1,0)</f>
        <v/>
      </c>
      <c r="W394" s="56">
        <f>IFERROR(N(IFERROR(INDEX($A394:$R394,MATCH("Probability",$A$1:$R$1,0)),"")),0)</f>
        <v/>
      </c>
      <c r="X394" s="52">
        <f>IF(T394="Open",U394*W394,0)</f>
        <v/>
      </c>
      <c r="Y394" s="52">
        <f>IF(T394="Won",IFERROR(N(IFERROR(INDEX($A394:$R394,MATCH("Still to Invoice",$A$1:$R$1,0)),"")),0),0)</f>
        <v/>
      </c>
      <c r="Z394" s="55">
        <f>IFERROR(EOMONTH(IFERROR(INDEX($A394:$R394,MATCH("Expected Invoice Month",$A$1:$R$1,0)),""),0),"")</f>
        <v/>
      </c>
      <c r="AA394" s="9">
        <f>IFERROR(INDEX($A394:$R394,MATCH("Cost Centre",$A$1:$R$1,0)),"")&amp;""</f>
        <v/>
      </c>
      <c r="AB394" s="9">
        <f>IFERROR(INDEX($A394:$R394,MATCH("Pipeline Stage",$A$1:$R$1,0)),"")&amp;""</f>
        <v/>
      </c>
      <c r="AC394" s="9">
        <f>IFERROR(INDEX($A394:$R394,MATCH("Client",$A$1:$R$1,0)),"")&amp;""</f>
        <v/>
      </c>
      <c r="AD394" s="9">
        <f>IFERROR(INDEX($A394:$R394,MATCH("Description",$A$1:$R$1,0)),"")&amp;""</f>
        <v/>
      </c>
      <c r="AE394" s="9">
        <f>IFERROR(INDEX($A394:$R394,MATCH("Job Number",$A$1:$R$1,0)),"")&amp;""</f>
        <v/>
      </c>
      <c r="AF394" s="54">
        <f>IF(AND(T394="Open",ISNUMBER(Z394),Z394&lt;EOMONTH(set_AsAt,-1)+1),3,0)</f>
        <v/>
      </c>
      <c r="AG394" s="54">
        <f>IF(AND(T394="Open",U394&gt;0,U394&gt;=set_DealShare*SUMIFS($U$2:$U$601,$T$2:$T$601,"Open")),3,0)</f>
        <v/>
      </c>
      <c r="AH394" s="54">
        <f>IF(AND(T394="Open",U394&gt;=set_BigValue,W394&lt;=set_EarlyProb),2,0)</f>
        <v/>
      </c>
      <c r="AI394" s="54">
        <f>IF(AND(OR(T394="Open",T394="Won"),V394=0),2,0)</f>
        <v/>
      </c>
      <c r="AJ394" s="54">
        <f>IF(AND(T394="Won",Y394&gt;0.5,ISNUMBER(Z394),Z394&lt;EOMONTH(set_AsAt,-1)+1),3,0)</f>
        <v/>
      </c>
      <c r="AK394" s="54">
        <f>IF(AND(T394="Won",Y394&lt;-1),1,0)</f>
        <v/>
      </c>
      <c r="AL394" s="54">
        <f>SUM(AF394:AK394)</f>
        <v/>
      </c>
      <c r="AM394" s="9">
        <f>IF(AL394&gt;=set_ScoreHigh,"High",IF(AL394&gt;=set_ScoreMed,"Medium",IF(AL394&gt;0,"Low","OK")))</f>
        <v/>
      </c>
      <c r="AN394" s="54">
        <f>IF(OR(T394="Open",AND(T394="Won",ABS(Y394)&gt;0.5)),1,0)</f>
        <v/>
      </c>
      <c r="AO394" s="52">
        <f>IF(T394="Open",IF(V394=0,0,X394),IF(T394="Won",MAX(0,Y394),0))</f>
        <v/>
      </c>
      <c r="AP394" s="54">
        <f>IF(AN394=1,AL394*1E+9+U394+ROW()/1E+6,"")</f>
        <v/>
      </c>
      <c r="AQ394" s="9">
        <f>MID(IF(AF394&gt;0,"; Expected month passed - update Zoho","")&amp;IF(AG394&gt;0,"; "&amp;TEXT(U394/MAX(1,SUMIFS($U$2:$U$601,$T$2:$T$601,"Open")),"0%")&amp;" of open pipeline in one deal","")&amp;IF(AH394&gt;0,"; Large deal at an early stage","")&amp;IF(AI394&gt;0,"; No amount in Zoho","")&amp;IF(AJ394&gt;0,"; Won, invoice month passed, not fully invoiced","")&amp;IF(AK394&gt;0,"; Xero invoiced more than the deal value",""),3,300)</f>
        <v/>
      </c>
    </row>
    <row r="395">
      <c r="T395" s="9">
        <f>IFERROR(INDEX($A395:$R395,MATCH("Status",$A$1:$R$1,0)),"")&amp;""</f>
        <v/>
      </c>
      <c r="U395" s="52">
        <f>IFERROR(N(IFERROR(INDEX($A395:$R395,MATCH("Value Ex GST",$A$1:$R$1,0)),"")),0)</f>
        <v/>
      </c>
      <c r="V395" s="54">
        <f>IF(AND(T395&lt;&gt;"",IFERROR(INDEX($A395:$R395,MATCH("Value Ex GST",$A$1:$R$1,0)),"")&amp;""&lt;&gt;""),1,0)</f>
        <v/>
      </c>
      <c r="W395" s="56">
        <f>IFERROR(N(IFERROR(INDEX($A395:$R395,MATCH("Probability",$A$1:$R$1,0)),"")),0)</f>
        <v/>
      </c>
      <c r="X395" s="52">
        <f>IF(T395="Open",U395*W395,0)</f>
        <v/>
      </c>
      <c r="Y395" s="52">
        <f>IF(T395="Won",IFERROR(N(IFERROR(INDEX($A395:$R395,MATCH("Still to Invoice",$A$1:$R$1,0)),"")),0),0)</f>
        <v/>
      </c>
      <c r="Z395" s="55">
        <f>IFERROR(EOMONTH(IFERROR(INDEX($A395:$R395,MATCH("Expected Invoice Month",$A$1:$R$1,0)),""),0),"")</f>
        <v/>
      </c>
      <c r="AA395" s="9">
        <f>IFERROR(INDEX($A395:$R395,MATCH("Cost Centre",$A$1:$R$1,0)),"")&amp;""</f>
        <v/>
      </c>
      <c r="AB395" s="9">
        <f>IFERROR(INDEX($A395:$R395,MATCH("Pipeline Stage",$A$1:$R$1,0)),"")&amp;""</f>
        <v/>
      </c>
      <c r="AC395" s="9">
        <f>IFERROR(INDEX($A395:$R395,MATCH("Client",$A$1:$R$1,0)),"")&amp;""</f>
        <v/>
      </c>
      <c r="AD395" s="9">
        <f>IFERROR(INDEX($A395:$R395,MATCH("Description",$A$1:$R$1,0)),"")&amp;""</f>
        <v/>
      </c>
      <c r="AE395" s="9">
        <f>IFERROR(INDEX($A395:$R395,MATCH("Job Number",$A$1:$R$1,0)),"")&amp;""</f>
        <v/>
      </c>
      <c r="AF395" s="54">
        <f>IF(AND(T395="Open",ISNUMBER(Z395),Z395&lt;EOMONTH(set_AsAt,-1)+1),3,0)</f>
        <v/>
      </c>
      <c r="AG395" s="54">
        <f>IF(AND(T395="Open",U395&gt;0,U395&gt;=set_DealShare*SUMIFS($U$2:$U$601,$T$2:$T$601,"Open")),3,0)</f>
        <v/>
      </c>
      <c r="AH395" s="54">
        <f>IF(AND(T395="Open",U395&gt;=set_BigValue,W395&lt;=set_EarlyProb),2,0)</f>
        <v/>
      </c>
      <c r="AI395" s="54">
        <f>IF(AND(OR(T395="Open",T395="Won"),V395=0),2,0)</f>
        <v/>
      </c>
      <c r="AJ395" s="54">
        <f>IF(AND(T395="Won",Y395&gt;0.5,ISNUMBER(Z395),Z395&lt;EOMONTH(set_AsAt,-1)+1),3,0)</f>
        <v/>
      </c>
      <c r="AK395" s="54">
        <f>IF(AND(T395="Won",Y395&lt;-1),1,0)</f>
        <v/>
      </c>
      <c r="AL395" s="54">
        <f>SUM(AF395:AK395)</f>
        <v/>
      </c>
      <c r="AM395" s="9">
        <f>IF(AL395&gt;=set_ScoreHigh,"High",IF(AL395&gt;=set_ScoreMed,"Medium",IF(AL395&gt;0,"Low","OK")))</f>
        <v/>
      </c>
      <c r="AN395" s="54">
        <f>IF(OR(T395="Open",AND(T395="Won",ABS(Y395)&gt;0.5)),1,0)</f>
        <v/>
      </c>
      <c r="AO395" s="52">
        <f>IF(T395="Open",IF(V395=0,0,X395),IF(T395="Won",MAX(0,Y395),0))</f>
        <v/>
      </c>
      <c r="AP395" s="54">
        <f>IF(AN395=1,AL395*1E+9+U395+ROW()/1E+6,"")</f>
        <v/>
      </c>
      <c r="AQ395" s="9">
        <f>MID(IF(AF395&gt;0,"; Expected month passed - update Zoho","")&amp;IF(AG395&gt;0,"; "&amp;TEXT(U395/MAX(1,SUMIFS($U$2:$U$601,$T$2:$T$601,"Open")),"0%")&amp;" of open pipeline in one deal","")&amp;IF(AH395&gt;0,"; Large deal at an early stage","")&amp;IF(AI395&gt;0,"; No amount in Zoho","")&amp;IF(AJ395&gt;0,"; Won, invoice month passed, not fully invoiced","")&amp;IF(AK395&gt;0,"; Xero invoiced more than the deal value",""),3,300)</f>
        <v/>
      </c>
    </row>
    <row r="396">
      <c r="T396" s="9">
        <f>IFERROR(INDEX($A396:$R396,MATCH("Status",$A$1:$R$1,0)),"")&amp;""</f>
        <v/>
      </c>
      <c r="U396" s="52">
        <f>IFERROR(N(IFERROR(INDEX($A396:$R396,MATCH("Value Ex GST",$A$1:$R$1,0)),"")),0)</f>
        <v/>
      </c>
      <c r="V396" s="54">
        <f>IF(AND(T396&lt;&gt;"",IFERROR(INDEX($A396:$R396,MATCH("Value Ex GST",$A$1:$R$1,0)),"")&amp;""&lt;&gt;""),1,0)</f>
        <v/>
      </c>
      <c r="W396" s="56">
        <f>IFERROR(N(IFERROR(INDEX($A396:$R396,MATCH("Probability",$A$1:$R$1,0)),"")),0)</f>
        <v/>
      </c>
      <c r="X396" s="52">
        <f>IF(T396="Open",U396*W396,0)</f>
        <v/>
      </c>
      <c r="Y396" s="52">
        <f>IF(T396="Won",IFERROR(N(IFERROR(INDEX($A396:$R396,MATCH("Still to Invoice",$A$1:$R$1,0)),"")),0),0)</f>
        <v/>
      </c>
      <c r="Z396" s="55">
        <f>IFERROR(EOMONTH(IFERROR(INDEX($A396:$R396,MATCH("Expected Invoice Month",$A$1:$R$1,0)),""),0),"")</f>
        <v/>
      </c>
      <c r="AA396" s="9">
        <f>IFERROR(INDEX($A396:$R396,MATCH("Cost Centre",$A$1:$R$1,0)),"")&amp;""</f>
        <v/>
      </c>
      <c r="AB396" s="9">
        <f>IFERROR(INDEX($A396:$R396,MATCH("Pipeline Stage",$A$1:$R$1,0)),"")&amp;""</f>
        <v/>
      </c>
      <c r="AC396" s="9">
        <f>IFERROR(INDEX($A396:$R396,MATCH("Client",$A$1:$R$1,0)),"")&amp;""</f>
        <v/>
      </c>
      <c r="AD396" s="9">
        <f>IFERROR(INDEX($A396:$R396,MATCH("Description",$A$1:$R$1,0)),"")&amp;""</f>
        <v/>
      </c>
      <c r="AE396" s="9">
        <f>IFERROR(INDEX($A396:$R396,MATCH("Job Number",$A$1:$R$1,0)),"")&amp;""</f>
        <v/>
      </c>
      <c r="AF396" s="54">
        <f>IF(AND(T396="Open",ISNUMBER(Z396),Z396&lt;EOMONTH(set_AsAt,-1)+1),3,0)</f>
        <v/>
      </c>
      <c r="AG396" s="54">
        <f>IF(AND(T396="Open",U396&gt;0,U396&gt;=set_DealShare*SUMIFS($U$2:$U$601,$T$2:$T$601,"Open")),3,0)</f>
        <v/>
      </c>
      <c r="AH396" s="54">
        <f>IF(AND(T396="Open",U396&gt;=set_BigValue,W396&lt;=set_EarlyProb),2,0)</f>
        <v/>
      </c>
      <c r="AI396" s="54">
        <f>IF(AND(OR(T396="Open",T396="Won"),V396=0),2,0)</f>
        <v/>
      </c>
      <c r="AJ396" s="54">
        <f>IF(AND(T396="Won",Y396&gt;0.5,ISNUMBER(Z396),Z396&lt;EOMONTH(set_AsAt,-1)+1),3,0)</f>
        <v/>
      </c>
      <c r="AK396" s="54">
        <f>IF(AND(T396="Won",Y396&lt;-1),1,0)</f>
        <v/>
      </c>
      <c r="AL396" s="54">
        <f>SUM(AF396:AK396)</f>
        <v/>
      </c>
      <c r="AM396" s="9">
        <f>IF(AL396&gt;=set_ScoreHigh,"High",IF(AL396&gt;=set_ScoreMed,"Medium",IF(AL396&gt;0,"Low","OK")))</f>
        <v/>
      </c>
      <c r="AN396" s="54">
        <f>IF(OR(T396="Open",AND(T396="Won",ABS(Y396)&gt;0.5)),1,0)</f>
        <v/>
      </c>
      <c r="AO396" s="52">
        <f>IF(T396="Open",IF(V396=0,0,X396),IF(T396="Won",MAX(0,Y396),0))</f>
        <v/>
      </c>
      <c r="AP396" s="54">
        <f>IF(AN396=1,AL396*1E+9+U396+ROW()/1E+6,"")</f>
        <v/>
      </c>
      <c r="AQ396" s="9">
        <f>MID(IF(AF396&gt;0,"; Expected month passed - update Zoho","")&amp;IF(AG396&gt;0,"; "&amp;TEXT(U396/MAX(1,SUMIFS($U$2:$U$601,$T$2:$T$601,"Open")),"0%")&amp;" of open pipeline in one deal","")&amp;IF(AH396&gt;0,"; Large deal at an early stage","")&amp;IF(AI396&gt;0,"; No amount in Zoho","")&amp;IF(AJ396&gt;0,"; Won, invoice month passed, not fully invoiced","")&amp;IF(AK396&gt;0,"; Xero invoiced more than the deal value",""),3,300)</f>
        <v/>
      </c>
    </row>
    <row r="397">
      <c r="T397" s="9">
        <f>IFERROR(INDEX($A397:$R397,MATCH("Status",$A$1:$R$1,0)),"")&amp;""</f>
        <v/>
      </c>
      <c r="U397" s="52">
        <f>IFERROR(N(IFERROR(INDEX($A397:$R397,MATCH("Value Ex GST",$A$1:$R$1,0)),"")),0)</f>
        <v/>
      </c>
      <c r="V397" s="54">
        <f>IF(AND(T397&lt;&gt;"",IFERROR(INDEX($A397:$R397,MATCH("Value Ex GST",$A$1:$R$1,0)),"")&amp;""&lt;&gt;""),1,0)</f>
        <v/>
      </c>
      <c r="W397" s="56">
        <f>IFERROR(N(IFERROR(INDEX($A397:$R397,MATCH("Probability",$A$1:$R$1,0)),"")),0)</f>
        <v/>
      </c>
      <c r="X397" s="52">
        <f>IF(T397="Open",U397*W397,0)</f>
        <v/>
      </c>
      <c r="Y397" s="52">
        <f>IF(T397="Won",IFERROR(N(IFERROR(INDEX($A397:$R397,MATCH("Still to Invoice",$A$1:$R$1,0)),"")),0),0)</f>
        <v/>
      </c>
      <c r="Z397" s="55">
        <f>IFERROR(EOMONTH(IFERROR(INDEX($A397:$R397,MATCH("Expected Invoice Month",$A$1:$R$1,0)),""),0),"")</f>
        <v/>
      </c>
      <c r="AA397" s="9">
        <f>IFERROR(INDEX($A397:$R397,MATCH("Cost Centre",$A$1:$R$1,0)),"")&amp;""</f>
        <v/>
      </c>
      <c r="AB397" s="9">
        <f>IFERROR(INDEX($A397:$R397,MATCH("Pipeline Stage",$A$1:$R$1,0)),"")&amp;""</f>
        <v/>
      </c>
      <c r="AC397" s="9">
        <f>IFERROR(INDEX($A397:$R397,MATCH("Client",$A$1:$R$1,0)),"")&amp;""</f>
        <v/>
      </c>
      <c r="AD397" s="9">
        <f>IFERROR(INDEX($A397:$R397,MATCH("Description",$A$1:$R$1,0)),"")&amp;""</f>
        <v/>
      </c>
      <c r="AE397" s="9">
        <f>IFERROR(INDEX($A397:$R397,MATCH("Job Number",$A$1:$R$1,0)),"")&amp;""</f>
        <v/>
      </c>
      <c r="AF397" s="54">
        <f>IF(AND(T397="Open",ISNUMBER(Z397),Z397&lt;EOMONTH(set_AsAt,-1)+1),3,0)</f>
        <v/>
      </c>
      <c r="AG397" s="54">
        <f>IF(AND(T397="Open",U397&gt;0,U397&gt;=set_DealShare*SUMIFS($U$2:$U$601,$T$2:$T$601,"Open")),3,0)</f>
        <v/>
      </c>
      <c r="AH397" s="54">
        <f>IF(AND(T397="Open",U397&gt;=set_BigValue,W397&lt;=set_EarlyProb),2,0)</f>
        <v/>
      </c>
      <c r="AI397" s="54">
        <f>IF(AND(OR(T397="Open",T397="Won"),V397=0),2,0)</f>
        <v/>
      </c>
      <c r="AJ397" s="54">
        <f>IF(AND(T397="Won",Y397&gt;0.5,ISNUMBER(Z397),Z397&lt;EOMONTH(set_AsAt,-1)+1),3,0)</f>
        <v/>
      </c>
      <c r="AK397" s="54">
        <f>IF(AND(T397="Won",Y397&lt;-1),1,0)</f>
        <v/>
      </c>
      <c r="AL397" s="54">
        <f>SUM(AF397:AK397)</f>
        <v/>
      </c>
      <c r="AM397" s="9">
        <f>IF(AL397&gt;=set_ScoreHigh,"High",IF(AL397&gt;=set_ScoreMed,"Medium",IF(AL397&gt;0,"Low","OK")))</f>
        <v/>
      </c>
      <c r="AN397" s="54">
        <f>IF(OR(T397="Open",AND(T397="Won",ABS(Y397)&gt;0.5)),1,0)</f>
        <v/>
      </c>
      <c r="AO397" s="52">
        <f>IF(T397="Open",IF(V397=0,0,X397),IF(T397="Won",MAX(0,Y397),0))</f>
        <v/>
      </c>
      <c r="AP397" s="54">
        <f>IF(AN397=1,AL397*1E+9+U397+ROW()/1E+6,"")</f>
        <v/>
      </c>
      <c r="AQ397" s="9">
        <f>MID(IF(AF397&gt;0,"; Expected month passed - update Zoho","")&amp;IF(AG397&gt;0,"; "&amp;TEXT(U397/MAX(1,SUMIFS($U$2:$U$601,$T$2:$T$601,"Open")),"0%")&amp;" of open pipeline in one deal","")&amp;IF(AH397&gt;0,"; Large deal at an early stage","")&amp;IF(AI397&gt;0,"; No amount in Zoho","")&amp;IF(AJ397&gt;0,"; Won, invoice month passed, not fully invoiced","")&amp;IF(AK397&gt;0,"; Xero invoiced more than the deal value",""),3,300)</f>
        <v/>
      </c>
    </row>
    <row r="398">
      <c r="T398" s="9">
        <f>IFERROR(INDEX($A398:$R398,MATCH("Status",$A$1:$R$1,0)),"")&amp;""</f>
        <v/>
      </c>
      <c r="U398" s="52">
        <f>IFERROR(N(IFERROR(INDEX($A398:$R398,MATCH("Value Ex GST",$A$1:$R$1,0)),"")),0)</f>
        <v/>
      </c>
      <c r="V398" s="54">
        <f>IF(AND(T398&lt;&gt;"",IFERROR(INDEX($A398:$R398,MATCH("Value Ex GST",$A$1:$R$1,0)),"")&amp;""&lt;&gt;""),1,0)</f>
        <v/>
      </c>
      <c r="W398" s="56">
        <f>IFERROR(N(IFERROR(INDEX($A398:$R398,MATCH("Probability",$A$1:$R$1,0)),"")),0)</f>
        <v/>
      </c>
      <c r="X398" s="52">
        <f>IF(T398="Open",U398*W398,0)</f>
        <v/>
      </c>
      <c r="Y398" s="52">
        <f>IF(T398="Won",IFERROR(N(IFERROR(INDEX($A398:$R398,MATCH("Still to Invoice",$A$1:$R$1,0)),"")),0),0)</f>
        <v/>
      </c>
      <c r="Z398" s="55">
        <f>IFERROR(EOMONTH(IFERROR(INDEX($A398:$R398,MATCH("Expected Invoice Month",$A$1:$R$1,0)),""),0),"")</f>
        <v/>
      </c>
      <c r="AA398" s="9">
        <f>IFERROR(INDEX($A398:$R398,MATCH("Cost Centre",$A$1:$R$1,0)),"")&amp;""</f>
        <v/>
      </c>
      <c r="AB398" s="9">
        <f>IFERROR(INDEX($A398:$R398,MATCH("Pipeline Stage",$A$1:$R$1,0)),"")&amp;""</f>
        <v/>
      </c>
      <c r="AC398" s="9">
        <f>IFERROR(INDEX($A398:$R398,MATCH("Client",$A$1:$R$1,0)),"")&amp;""</f>
        <v/>
      </c>
      <c r="AD398" s="9">
        <f>IFERROR(INDEX($A398:$R398,MATCH("Description",$A$1:$R$1,0)),"")&amp;""</f>
        <v/>
      </c>
      <c r="AE398" s="9">
        <f>IFERROR(INDEX($A398:$R398,MATCH("Job Number",$A$1:$R$1,0)),"")&amp;""</f>
        <v/>
      </c>
      <c r="AF398" s="54">
        <f>IF(AND(T398="Open",ISNUMBER(Z398),Z398&lt;EOMONTH(set_AsAt,-1)+1),3,0)</f>
        <v/>
      </c>
      <c r="AG398" s="54">
        <f>IF(AND(T398="Open",U398&gt;0,U398&gt;=set_DealShare*SUMIFS($U$2:$U$601,$T$2:$T$601,"Open")),3,0)</f>
        <v/>
      </c>
      <c r="AH398" s="54">
        <f>IF(AND(T398="Open",U398&gt;=set_BigValue,W398&lt;=set_EarlyProb),2,0)</f>
        <v/>
      </c>
      <c r="AI398" s="54">
        <f>IF(AND(OR(T398="Open",T398="Won"),V398=0),2,0)</f>
        <v/>
      </c>
      <c r="AJ398" s="54">
        <f>IF(AND(T398="Won",Y398&gt;0.5,ISNUMBER(Z398),Z398&lt;EOMONTH(set_AsAt,-1)+1),3,0)</f>
        <v/>
      </c>
      <c r="AK398" s="54">
        <f>IF(AND(T398="Won",Y398&lt;-1),1,0)</f>
        <v/>
      </c>
      <c r="AL398" s="54">
        <f>SUM(AF398:AK398)</f>
        <v/>
      </c>
      <c r="AM398" s="9">
        <f>IF(AL398&gt;=set_ScoreHigh,"High",IF(AL398&gt;=set_ScoreMed,"Medium",IF(AL398&gt;0,"Low","OK")))</f>
        <v/>
      </c>
      <c r="AN398" s="54">
        <f>IF(OR(T398="Open",AND(T398="Won",ABS(Y398)&gt;0.5)),1,0)</f>
        <v/>
      </c>
      <c r="AO398" s="52">
        <f>IF(T398="Open",IF(V398=0,0,X398),IF(T398="Won",MAX(0,Y398),0))</f>
        <v/>
      </c>
      <c r="AP398" s="54">
        <f>IF(AN398=1,AL398*1E+9+U398+ROW()/1E+6,"")</f>
        <v/>
      </c>
      <c r="AQ398" s="9">
        <f>MID(IF(AF398&gt;0,"; Expected month passed - update Zoho","")&amp;IF(AG398&gt;0,"; "&amp;TEXT(U398/MAX(1,SUMIFS($U$2:$U$601,$T$2:$T$601,"Open")),"0%")&amp;" of open pipeline in one deal","")&amp;IF(AH398&gt;0,"; Large deal at an early stage","")&amp;IF(AI398&gt;0,"; No amount in Zoho","")&amp;IF(AJ398&gt;0,"; Won, invoice month passed, not fully invoiced","")&amp;IF(AK398&gt;0,"; Xero invoiced more than the deal value",""),3,300)</f>
        <v/>
      </c>
    </row>
    <row r="399">
      <c r="T399" s="9">
        <f>IFERROR(INDEX($A399:$R399,MATCH("Status",$A$1:$R$1,0)),"")&amp;""</f>
        <v/>
      </c>
      <c r="U399" s="52">
        <f>IFERROR(N(IFERROR(INDEX($A399:$R399,MATCH("Value Ex GST",$A$1:$R$1,0)),"")),0)</f>
        <v/>
      </c>
      <c r="V399" s="54">
        <f>IF(AND(T399&lt;&gt;"",IFERROR(INDEX($A399:$R399,MATCH("Value Ex GST",$A$1:$R$1,0)),"")&amp;""&lt;&gt;""),1,0)</f>
        <v/>
      </c>
      <c r="W399" s="56">
        <f>IFERROR(N(IFERROR(INDEX($A399:$R399,MATCH("Probability",$A$1:$R$1,0)),"")),0)</f>
        <v/>
      </c>
      <c r="X399" s="52">
        <f>IF(T399="Open",U399*W399,0)</f>
        <v/>
      </c>
      <c r="Y399" s="52">
        <f>IF(T399="Won",IFERROR(N(IFERROR(INDEX($A399:$R399,MATCH("Still to Invoice",$A$1:$R$1,0)),"")),0),0)</f>
        <v/>
      </c>
      <c r="Z399" s="55">
        <f>IFERROR(EOMONTH(IFERROR(INDEX($A399:$R399,MATCH("Expected Invoice Month",$A$1:$R$1,0)),""),0),"")</f>
        <v/>
      </c>
      <c r="AA399" s="9">
        <f>IFERROR(INDEX($A399:$R399,MATCH("Cost Centre",$A$1:$R$1,0)),"")&amp;""</f>
        <v/>
      </c>
      <c r="AB399" s="9">
        <f>IFERROR(INDEX($A399:$R399,MATCH("Pipeline Stage",$A$1:$R$1,0)),"")&amp;""</f>
        <v/>
      </c>
      <c r="AC399" s="9">
        <f>IFERROR(INDEX($A399:$R399,MATCH("Client",$A$1:$R$1,0)),"")&amp;""</f>
        <v/>
      </c>
      <c r="AD399" s="9">
        <f>IFERROR(INDEX($A399:$R399,MATCH("Description",$A$1:$R$1,0)),"")&amp;""</f>
        <v/>
      </c>
      <c r="AE399" s="9">
        <f>IFERROR(INDEX($A399:$R399,MATCH("Job Number",$A$1:$R$1,0)),"")&amp;""</f>
        <v/>
      </c>
      <c r="AF399" s="54">
        <f>IF(AND(T399="Open",ISNUMBER(Z399),Z399&lt;EOMONTH(set_AsAt,-1)+1),3,0)</f>
        <v/>
      </c>
      <c r="AG399" s="54">
        <f>IF(AND(T399="Open",U399&gt;0,U399&gt;=set_DealShare*SUMIFS($U$2:$U$601,$T$2:$T$601,"Open")),3,0)</f>
        <v/>
      </c>
      <c r="AH399" s="54">
        <f>IF(AND(T399="Open",U399&gt;=set_BigValue,W399&lt;=set_EarlyProb),2,0)</f>
        <v/>
      </c>
      <c r="AI399" s="54">
        <f>IF(AND(OR(T399="Open",T399="Won"),V399=0),2,0)</f>
        <v/>
      </c>
      <c r="AJ399" s="54">
        <f>IF(AND(T399="Won",Y399&gt;0.5,ISNUMBER(Z399),Z399&lt;EOMONTH(set_AsAt,-1)+1),3,0)</f>
        <v/>
      </c>
      <c r="AK399" s="54">
        <f>IF(AND(T399="Won",Y399&lt;-1),1,0)</f>
        <v/>
      </c>
      <c r="AL399" s="54">
        <f>SUM(AF399:AK399)</f>
        <v/>
      </c>
      <c r="AM399" s="9">
        <f>IF(AL399&gt;=set_ScoreHigh,"High",IF(AL399&gt;=set_ScoreMed,"Medium",IF(AL399&gt;0,"Low","OK")))</f>
        <v/>
      </c>
      <c r="AN399" s="54">
        <f>IF(OR(T399="Open",AND(T399="Won",ABS(Y399)&gt;0.5)),1,0)</f>
        <v/>
      </c>
      <c r="AO399" s="52">
        <f>IF(T399="Open",IF(V399=0,0,X399),IF(T399="Won",MAX(0,Y399),0))</f>
        <v/>
      </c>
      <c r="AP399" s="54">
        <f>IF(AN399=1,AL399*1E+9+U399+ROW()/1E+6,"")</f>
        <v/>
      </c>
      <c r="AQ399" s="9">
        <f>MID(IF(AF399&gt;0,"; Expected month passed - update Zoho","")&amp;IF(AG399&gt;0,"; "&amp;TEXT(U399/MAX(1,SUMIFS($U$2:$U$601,$T$2:$T$601,"Open")),"0%")&amp;" of open pipeline in one deal","")&amp;IF(AH399&gt;0,"; Large deal at an early stage","")&amp;IF(AI399&gt;0,"; No amount in Zoho","")&amp;IF(AJ399&gt;0,"; Won, invoice month passed, not fully invoiced","")&amp;IF(AK399&gt;0,"; Xero invoiced more than the deal value",""),3,300)</f>
        <v/>
      </c>
    </row>
    <row r="400">
      <c r="T400" s="9">
        <f>IFERROR(INDEX($A400:$R400,MATCH("Status",$A$1:$R$1,0)),"")&amp;""</f>
        <v/>
      </c>
      <c r="U400" s="52">
        <f>IFERROR(N(IFERROR(INDEX($A400:$R400,MATCH("Value Ex GST",$A$1:$R$1,0)),"")),0)</f>
        <v/>
      </c>
      <c r="V400" s="54">
        <f>IF(AND(T400&lt;&gt;"",IFERROR(INDEX($A400:$R400,MATCH("Value Ex GST",$A$1:$R$1,0)),"")&amp;""&lt;&gt;""),1,0)</f>
        <v/>
      </c>
      <c r="W400" s="56">
        <f>IFERROR(N(IFERROR(INDEX($A400:$R400,MATCH("Probability",$A$1:$R$1,0)),"")),0)</f>
        <v/>
      </c>
      <c r="X400" s="52">
        <f>IF(T400="Open",U400*W400,0)</f>
        <v/>
      </c>
      <c r="Y400" s="52">
        <f>IF(T400="Won",IFERROR(N(IFERROR(INDEX($A400:$R400,MATCH("Still to Invoice",$A$1:$R$1,0)),"")),0),0)</f>
        <v/>
      </c>
      <c r="Z400" s="55">
        <f>IFERROR(EOMONTH(IFERROR(INDEX($A400:$R400,MATCH("Expected Invoice Month",$A$1:$R$1,0)),""),0),"")</f>
        <v/>
      </c>
      <c r="AA400" s="9">
        <f>IFERROR(INDEX($A400:$R400,MATCH("Cost Centre",$A$1:$R$1,0)),"")&amp;""</f>
        <v/>
      </c>
      <c r="AB400" s="9">
        <f>IFERROR(INDEX($A400:$R400,MATCH("Pipeline Stage",$A$1:$R$1,0)),"")&amp;""</f>
        <v/>
      </c>
      <c r="AC400" s="9">
        <f>IFERROR(INDEX($A400:$R400,MATCH("Client",$A$1:$R$1,0)),"")&amp;""</f>
        <v/>
      </c>
      <c r="AD400" s="9">
        <f>IFERROR(INDEX($A400:$R400,MATCH("Description",$A$1:$R$1,0)),"")&amp;""</f>
        <v/>
      </c>
      <c r="AE400" s="9">
        <f>IFERROR(INDEX($A400:$R400,MATCH("Job Number",$A$1:$R$1,0)),"")&amp;""</f>
        <v/>
      </c>
      <c r="AF400" s="54">
        <f>IF(AND(T400="Open",ISNUMBER(Z400),Z400&lt;EOMONTH(set_AsAt,-1)+1),3,0)</f>
        <v/>
      </c>
      <c r="AG400" s="54">
        <f>IF(AND(T400="Open",U400&gt;0,U400&gt;=set_DealShare*SUMIFS($U$2:$U$601,$T$2:$T$601,"Open")),3,0)</f>
        <v/>
      </c>
      <c r="AH400" s="54">
        <f>IF(AND(T400="Open",U400&gt;=set_BigValue,W400&lt;=set_EarlyProb),2,0)</f>
        <v/>
      </c>
      <c r="AI400" s="54">
        <f>IF(AND(OR(T400="Open",T400="Won"),V400=0),2,0)</f>
        <v/>
      </c>
      <c r="AJ400" s="54">
        <f>IF(AND(T400="Won",Y400&gt;0.5,ISNUMBER(Z400),Z400&lt;EOMONTH(set_AsAt,-1)+1),3,0)</f>
        <v/>
      </c>
      <c r="AK400" s="54">
        <f>IF(AND(T400="Won",Y400&lt;-1),1,0)</f>
        <v/>
      </c>
      <c r="AL400" s="54">
        <f>SUM(AF400:AK400)</f>
        <v/>
      </c>
      <c r="AM400" s="9">
        <f>IF(AL400&gt;=set_ScoreHigh,"High",IF(AL400&gt;=set_ScoreMed,"Medium",IF(AL400&gt;0,"Low","OK")))</f>
        <v/>
      </c>
      <c r="AN400" s="54">
        <f>IF(OR(T400="Open",AND(T400="Won",ABS(Y400)&gt;0.5)),1,0)</f>
        <v/>
      </c>
      <c r="AO400" s="52">
        <f>IF(T400="Open",IF(V400=0,0,X400),IF(T400="Won",MAX(0,Y400),0))</f>
        <v/>
      </c>
      <c r="AP400" s="54">
        <f>IF(AN400=1,AL400*1E+9+U400+ROW()/1E+6,"")</f>
        <v/>
      </c>
      <c r="AQ400" s="9">
        <f>MID(IF(AF400&gt;0,"; Expected month passed - update Zoho","")&amp;IF(AG400&gt;0,"; "&amp;TEXT(U400/MAX(1,SUMIFS($U$2:$U$601,$T$2:$T$601,"Open")),"0%")&amp;" of open pipeline in one deal","")&amp;IF(AH400&gt;0,"; Large deal at an early stage","")&amp;IF(AI400&gt;0,"; No amount in Zoho","")&amp;IF(AJ400&gt;0,"; Won, invoice month passed, not fully invoiced","")&amp;IF(AK400&gt;0,"; Xero invoiced more than the deal value",""),3,300)</f>
        <v/>
      </c>
    </row>
    <row r="401">
      <c r="T401" s="9">
        <f>IFERROR(INDEX($A401:$R401,MATCH("Status",$A$1:$R$1,0)),"")&amp;""</f>
        <v/>
      </c>
      <c r="U401" s="52">
        <f>IFERROR(N(IFERROR(INDEX($A401:$R401,MATCH("Value Ex GST",$A$1:$R$1,0)),"")),0)</f>
        <v/>
      </c>
      <c r="V401" s="54">
        <f>IF(AND(T401&lt;&gt;"",IFERROR(INDEX($A401:$R401,MATCH("Value Ex GST",$A$1:$R$1,0)),"")&amp;""&lt;&gt;""),1,0)</f>
        <v/>
      </c>
      <c r="W401" s="56">
        <f>IFERROR(N(IFERROR(INDEX($A401:$R401,MATCH("Probability",$A$1:$R$1,0)),"")),0)</f>
        <v/>
      </c>
      <c r="X401" s="52">
        <f>IF(T401="Open",U401*W401,0)</f>
        <v/>
      </c>
      <c r="Y401" s="52">
        <f>IF(T401="Won",IFERROR(N(IFERROR(INDEX($A401:$R401,MATCH("Still to Invoice",$A$1:$R$1,0)),"")),0),0)</f>
        <v/>
      </c>
      <c r="Z401" s="55">
        <f>IFERROR(EOMONTH(IFERROR(INDEX($A401:$R401,MATCH("Expected Invoice Month",$A$1:$R$1,0)),""),0),"")</f>
        <v/>
      </c>
      <c r="AA401" s="9">
        <f>IFERROR(INDEX($A401:$R401,MATCH("Cost Centre",$A$1:$R$1,0)),"")&amp;""</f>
        <v/>
      </c>
      <c r="AB401" s="9">
        <f>IFERROR(INDEX($A401:$R401,MATCH("Pipeline Stage",$A$1:$R$1,0)),"")&amp;""</f>
        <v/>
      </c>
      <c r="AC401" s="9">
        <f>IFERROR(INDEX($A401:$R401,MATCH("Client",$A$1:$R$1,0)),"")&amp;""</f>
        <v/>
      </c>
      <c r="AD401" s="9">
        <f>IFERROR(INDEX($A401:$R401,MATCH("Description",$A$1:$R$1,0)),"")&amp;""</f>
        <v/>
      </c>
      <c r="AE401" s="9">
        <f>IFERROR(INDEX($A401:$R401,MATCH("Job Number",$A$1:$R$1,0)),"")&amp;""</f>
        <v/>
      </c>
      <c r="AF401" s="54">
        <f>IF(AND(T401="Open",ISNUMBER(Z401),Z401&lt;EOMONTH(set_AsAt,-1)+1),3,0)</f>
        <v/>
      </c>
      <c r="AG401" s="54">
        <f>IF(AND(T401="Open",U401&gt;0,U401&gt;=set_DealShare*SUMIFS($U$2:$U$601,$T$2:$T$601,"Open")),3,0)</f>
        <v/>
      </c>
      <c r="AH401" s="54">
        <f>IF(AND(T401="Open",U401&gt;=set_BigValue,W401&lt;=set_EarlyProb),2,0)</f>
        <v/>
      </c>
      <c r="AI401" s="54">
        <f>IF(AND(OR(T401="Open",T401="Won"),V401=0),2,0)</f>
        <v/>
      </c>
      <c r="AJ401" s="54">
        <f>IF(AND(T401="Won",Y401&gt;0.5,ISNUMBER(Z401),Z401&lt;EOMONTH(set_AsAt,-1)+1),3,0)</f>
        <v/>
      </c>
      <c r="AK401" s="54">
        <f>IF(AND(T401="Won",Y401&lt;-1),1,0)</f>
        <v/>
      </c>
      <c r="AL401" s="54">
        <f>SUM(AF401:AK401)</f>
        <v/>
      </c>
      <c r="AM401" s="9">
        <f>IF(AL401&gt;=set_ScoreHigh,"High",IF(AL401&gt;=set_ScoreMed,"Medium",IF(AL401&gt;0,"Low","OK")))</f>
        <v/>
      </c>
      <c r="AN401" s="54">
        <f>IF(OR(T401="Open",AND(T401="Won",ABS(Y401)&gt;0.5)),1,0)</f>
        <v/>
      </c>
      <c r="AO401" s="52">
        <f>IF(T401="Open",IF(V401=0,0,X401),IF(T401="Won",MAX(0,Y401),0))</f>
        <v/>
      </c>
      <c r="AP401" s="54">
        <f>IF(AN401=1,AL401*1E+9+U401+ROW()/1E+6,"")</f>
        <v/>
      </c>
      <c r="AQ401" s="9">
        <f>MID(IF(AF401&gt;0,"; Expected month passed - update Zoho","")&amp;IF(AG401&gt;0,"; "&amp;TEXT(U401/MAX(1,SUMIFS($U$2:$U$601,$T$2:$T$601,"Open")),"0%")&amp;" of open pipeline in one deal","")&amp;IF(AH401&gt;0,"; Large deal at an early stage","")&amp;IF(AI401&gt;0,"; No amount in Zoho","")&amp;IF(AJ401&gt;0,"; Won, invoice month passed, not fully invoiced","")&amp;IF(AK401&gt;0,"; Xero invoiced more than the deal value",""),3,300)</f>
        <v/>
      </c>
    </row>
    <row r="402">
      <c r="T402" s="9">
        <f>IFERROR(INDEX($A402:$R402,MATCH("Status",$A$1:$R$1,0)),"")&amp;""</f>
        <v/>
      </c>
      <c r="U402" s="52">
        <f>IFERROR(N(IFERROR(INDEX($A402:$R402,MATCH("Value Ex GST",$A$1:$R$1,0)),"")),0)</f>
        <v/>
      </c>
      <c r="V402" s="54">
        <f>IF(AND(T402&lt;&gt;"",IFERROR(INDEX($A402:$R402,MATCH("Value Ex GST",$A$1:$R$1,0)),"")&amp;""&lt;&gt;""),1,0)</f>
        <v/>
      </c>
      <c r="W402" s="56">
        <f>IFERROR(N(IFERROR(INDEX($A402:$R402,MATCH("Probability",$A$1:$R$1,0)),"")),0)</f>
        <v/>
      </c>
      <c r="X402" s="52">
        <f>IF(T402="Open",U402*W402,0)</f>
        <v/>
      </c>
      <c r="Y402" s="52">
        <f>IF(T402="Won",IFERROR(N(IFERROR(INDEX($A402:$R402,MATCH("Still to Invoice",$A$1:$R$1,0)),"")),0),0)</f>
        <v/>
      </c>
      <c r="Z402" s="55">
        <f>IFERROR(EOMONTH(IFERROR(INDEX($A402:$R402,MATCH("Expected Invoice Month",$A$1:$R$1,0)),""),0),"")</f>
        <v/>
      </c>
      <c r="AA402" s="9">
        <f>IFERROR(INDEX($A402:$R402,MATCH("Cost Centre",$A$1:$R$1,0)),"")&amp;""</f>
        <v/>
      </c>
      <c r="AB402" s="9">
        <f>IFERROR(INDEX($A402:$R402,MATCH("Pipeline Stage",$A$1:$R$1,0)),"")&amp;""</f>
        <v/>
      </c>
      <c r="AC402" s="9">
        <f>IFERROR(INDEX($A402:$R402,MATCH("Client",$A$1:$R$1,0)),"")&amp;""</f>
        <v/>
      </c>
      <c r="AD402" s="9">
        <f>IFERROR(INDEX($A402:$R402,MATCH("Description",$A$1:$R$1,0)),"")&amp;""</f>
        <v/>
      </c>
      <c r="AE402" s="9">
        <f>IFERROR(INDEX($A402:$R402,MATCH("Job Number",$A$1:$R$1,0)),"")&amp;""</f>
        <v/>
      </c>
      <c r="AF402" s="54">
        <f>IF(AND(T402="Open",ISNUMBER(Z402),Z402&lt;EOMONTH(set_AsAt,-1)+1),3,0)</f>
        <v/>
      </c>
      <c r="AG402" s="54">
        <f>IF(AND(T402="Open",U402&gt;0,U402&gt;=set_DealShare*SUMIFS($U$2:$U$601,$T$2:$T$601,"Open")),3,0)</f>
        <v/>
      </c>
      <c r="AH402" s="54">
        <f>IF(AND(T402="Open",U402&gt;=set_BigValue,W402&lt;=set_EarlyProb),2,0)</f>
        <v/>
      </c>
      <c r="AI402" s="54">
        <f>IF(AND(OR(T402="Open",T402="Won"),V402=0),2,0)</f>
        <v/>
      </c>
      <c r="AJ402" s="54">
        <f>IF(AND(T402="Won",Y402&gt;0.5,ISNUMBER(Z402),Z402&lt;EOMONTH(set_AsAt,-1)+1),3,0)</f>
        <v/>
      </c>
      <c r="AK402" s="54">
        <f>IF(AND(T402="Won",Y402&lt;-1),1,0)</f>
        <v/>
      </c>
      <c r="AL402" s="54">
        <f>SUM(AF402:AK402)</f>
        <v/>
      </c>
      <c r="AM402" s="9">
        <f>IF(AL402&gt;=set_ScoreHigh,"High",IF(AL402&gt;=set_ScoreMed,"Medium",IF(AL402&gt;0,"Low","OK")))</f>
        <v/>
      </c>
      <c r="AN402" s="54">
        <f>IF(OR(T402="Open",AND(T402="Won",ABS(Y402)&gt;0.5)),1,0)</f>
        <v/>
      </c>
      <c r="AO402" s="52">
        <f>IF(T402="Open",IF(V402=0,0,X402),IF(T402="Won",MAX(0,Y402),0))</f>
        <v/>
      </c>
      <c r="AP402" s="54">
        <f>IF(AN402=1,AL402*1E+9+U402+ROW()/1E+6,"")</f>
        <v/>
      </c>
      <c r="AQ402" s="9">
        <f>MID(IF(AF402&gt;0,"; Expected month passed - update Zoho","")&amp;IF(AG402&gt;0,"; "&amp;TEXT(U402/MAX(1,SUMIFS($U$2:$U$601,$T$2:$T$601,"Open")),"0%")&amp;" of open pipeline in one deal","")&amp;IF(AH402&gt;0,"; Large deal at an early stage","")&amp;IF(AI402&gt;0,"; No amount in Zoho","")&amp;IF(AJ402&gt;0,"; Won, invoice month passed, not fully invoiced","")&amp;IF(AK402&gt;0,"; Xero invoiced more than the deal value",""),3,300)</f>
        <v/>
      </c>
    </row>
    <row r="403">
      <c r="T403" s="9">
        <f>IFERROR(INDEX($A403:$R403,MATCH("Status",$A$1:$R$1,0)),"")&amp;""</f>
        <v/>
      </c>
      <c r="U403" s="52">
        <f>IFERROR(N(IFERROR(INDEX($A403:$R403,MATCH("Value Ex GST",$A$1:$R$1,0)),"")),0)</f>
        <v/>
      </c>
      <c r="V403" s="54">
        <f>IF(AND(T403&lt;&gt;"",IFERROR(INDEX($A403:$R403,MATCH("Value Ex GST",$A$1:$R$1,0)),"")&amp;""&lt;&gt;""),1,0)</f>
        <v/>
      </c>
      <c r="W403" s="56">
        <f>IFERROR(N(IFERROR(INDEX($A403:$R403,MATCH("Probability",$A$1:$R$1,0)),"")),0)</f>
        <v/>
      </c>
      <c r="X403" s="52">
        <f>IF(T403="Open",U403*W403,0)</f>
        <v/>
      </c>
      <c r="Y403" s="52">
        <f>IF(T403="Won",IFERROR(N(IFERROR(INDEX($A403:$R403,MATCH("Still to Invoice",$A$1:$R$1,0)),"")),0),0)</f>
        <v/>
      </c>
      <c r="Z403" s="55">
        <f>IFERROR(EOMONTH(IFERROR(INDEX($A403:$R403,MATCH("Expected Invoice Month",$A$1:$R$1,0)),""),0),"")</f>
        <v/>
      </c>
      <c r="AA403" s="9">
        <f>IFERROR(INDEX($A403:$R403,MATCH("Cost Centre",$A$1:$R$1,0)),"")&amp;""</f>
        <v/>
      </c>
      <c r="AB403" s="9">
        <f>IFERROR(INDEX($A403:$R403,MATCH("Pipeline Stage",$A$1:$R$1,0)),"")&amp;""</f>
        <v/>
      </c>
      <c r="AC403" s="9">
        <f>IFERROR(INDEX($A403:$R403,MATCH("Client",$A$1:$R$1,0)),"")&amp;""</f>
        <v/>
      </c>
      <c r="AD403" s="9">
        <f>IFERROR(INDEX($A403:$R403,MATCH("Description",$A$1:$R$1,0)),"")&amp;""</f>
        <v/>
      </c>
      <c r="AE403" s="9">
        <f>IFERROR(INDEX($A403:$R403,MATCH("Job Number",$A$1:$R$1,0)),"")&amp;""</f>
        <v/>
      </c>
      <c r="AF403" s="54">
        <f>IF(AND(T403="Open",ISNUMBER(Z403),Z403&lt;EOMONTH(set_AsAt,-1)+1),3,0)</f>
        <v/>
      </c>
      <c r="AG403" s="54">
        <f>IF(AND(T403="Open",U403&gt;0,U403&gt;=set_DealShare*SUMIFS($U$2:$U$601,$T$2:$T$601,"Open")),3,0)</f>
        <v/>
      </c>
      <c r="AH403" s="54">
        <f>IF(AND(T403="Open",U403&gt;=set_BigValue,W403&lt;=set_EarlyProb),2,0)</f>
        <v/>
      </c>
      <c r="AI403" s="54">
        <f>IF(AND(OR(T403="Open",T403="Won"),V403=0),2,0)</f>
        <v/>
      </c>
      <c r="AJ403" s="54">
        <f>IF(AND(T403="Won",Y403&gt;0.5,ISNUMBER(Z403),Z403&lt;EOMONTH(set_AsAt,-1)+1),3,0)</f>
        <v/>
      </c>
      <c r="AK403" s="54">
        <f>IF(AND(T403="Won",Y403&lt;-1),1,0)</f>
        <v/>
      </c>
      <c r="AL403" s="54">
        <f>SUM(AF403:AK403)</f>
        <v/>
      </c>
      <c r="AM403" s="9">
        <f>IF(AL403&gt;=set_ScoreHigh,"High",IF(AL403&gt;=set_ScoreMed,"Medium",IF(AL403&gt;0,"Low","OK")))</f>
        <v/>
      </c>
      <c r="AN403" s="54">
        <f>IF(OR(T403="Open",AND(T403="Won",ABS(Y403)&gt;0.5)),1,0)</f>
        <v/>
      </c>
      <c r="AO403" s="52">
        <f>IF(T403="Open",IF(V403=0,0,X403),IF(T403="Won",MAX(0,Y403),0))</f>
        <v/>
      </c>
      <c r="AP403" s="54">
        <f>IF(AN403=1,AL403*1E+9+U403+ROW()/1E+6,"")</f>
        <v/>
      </c>
      <c r="AQ403" s="9">
        <f>MID(IF(AF403&gt;0,"; Expected month passed - update Zoho","")&amp;IF(AG403&gt;0,"; "&amp;TEXT(U403/MAX(1,SUMIFS($U$2:$U$601,$T$2:$T$601,"Open")),"0%")&amp;" of open pipeline in one deal","")&amp;IF(AH403&gt;0,"; Large deal at an early stage","")&amp;IF(AI403&gt;0,"; No amount in Zoho","")&amp;IF(AJ403&gt;0,"; Won, invoice month passed, not fully invoiced","")&amp;IF(AK403&gt;0,"; Xero invoiced more than the deal value",""),3,300)</f>
        <v/>
      </c>
    </row>
    <row r="404">
      <c r="T404" s="9">
        <f>IFERROR(INDEX($A404:$R404,MATCH("Status",$A$1:$R$1,0)),"")&amp;""</f>
        <v/>
      </c>
      <c r="U404" s="52">
        <f>IFERROR(N(IFERROR(INDEX($A404:$R404,MATCH("Value Ex GST",$A$1:$R$1,0)),"")),0)</f>
        <v/>
      </c>
      <c r="V404" s="54">
        <f>IF(AND(T404&lt;&gt;"",IFERROR(INDEX($A404:$R404,MATCH("Value Ex GST",$A$1:$R$1,0)),"")&amp;""&lt;&gt;""),1,0)</f>
        <v/>
      </c>
      <c r="W404" s="56">
        <f>IFERROR(N(IFERROR(INDEX($A404:$R404,MATCH("Probability",$A$1:$R$1,0)),"")),0)</f>
        <v/>
      </c>
      <c r="X404" s="52">
        <f>IF(T404="Open",U404*W404,0)</f>
        <v/>
      </c>
      <c r="Y404" s="52">
        <f>IF(T404="Won",IFERROR(N(IFERROR(INDEX($A404:$R404,MATCH("Still to Invoice",$A$1:$R$1,0)),"")),0),0)</f>
        <v/>
      </c>
      <c r="Z404" s="55">
        <f>IFERROR(EOMONTH(IFERROR(INDEX($A404:$R404,MATCH("Expected Invoice Month",$A$1:$R$1,0)),""),0),"")</f>
        <v/>
      </c>
      <c r="AA404" s="9">
        <f>IFERROR(INDEX($A404:$R404,MATCH("Cost Centre",$A$1:$R$1,0)),"")&amp;""</f>
        <v/>
      </c>
      <c r="AB404" s="9">
        <f>IFERROR(INDEX($A404:$R404,MATCH("Pipeline Stage",$A$1:$R$1,0)),"")&amp;""</f>
        <v/>
      </c>
      <c r="AC404" s="9">
        <f>IFERROR(INDEX($A404:$R404,MATCH("Client",$A$1:$R$1,0)),"")&amp;""</f>
        <v/>
      </c>
      <c r="AD404" s="9">
        <f>IFERROR(INDEX($A404:$R404,MATCH("Description",$A$1:$R$1,0)),"")&amp;""</f>
        <v/>
      </c>
      <c r="AE404" s="9">
        <f>IFERROR(INDEX($A404:$R404,MATCH("Job Number",$A$1:$R$1,0)),"")&amp;""</f>
        <v/>
      </c>
      <c r="AF404" s="54">
        <f>IF(AND(T404="Open",ISNUMBER(Z404),Z404&lt;EOMONTH(set_AsAt,-1)+1),3,0)</f>
        <v/>
      </c>
      <c r="AG404" s="54">
        <f>IF(AND(T404="Open",U404&gt;0,U404&gt;=set_DealShare*SUMIFS($U$2:$U$601,$T$2:$T$601,"Open")),3,0)</f>
        <v/>
      </c>
      <c r="AH404" s="54">
        <f>IF(AND(T404="Open",U404&gt;=set_BigValue,W404&lt;=set_EarlyProb),2,0)</f>
        <v/>
      </c>
      <c r="AI404" s="54">
        <f>IF(AND(OR(T404="Open",T404="Won"),V404=0),2,0)</f>
        <v/>
      </c>
      <c r="AJ404" s="54">
        <f>IF(AND(T404="Won",Y404&gt;0.5,ISNUMBER(Z404),Z404&lt;EOMONTH(set_AsAt,-1)+1),3,0)</f>
        <v/>
      </c>
      <c r="AK404" s="54">
        <f>IF(AND(T404="Won",Y404&lt;-1),1,0)</f>
        <v/>
      </c>
      <c r="AL404" s="54">
        <f>SUM(AF404:AK404)</f>
        <v/>
      </c>
      <c r="AM404" s="9">
        <f>IF(AL404&gt;=set_ScoreHigh,"High",IF(AL404&gt;=set_ScoreMed,"Medium",IF(AL404&gt;0,"Low","OK")))</f>
        <v/>
      </c>
      <c r="AN404" s="54">
        <f>IF(OR(T404="Open",AND(T404="Won",ABS(Y404)&gt;0.5)),1,0)</f>
        <v/>
      </c>
      <c r="AO404" s="52">
        <f>IF(T404="Open",IF(V404=0,0,X404),IF(T404="Won",MAX(0,Y404),0))</f>
        <v/>
      </c>
      <c r="AP404" s="54">
        <f>IF(AN404=1,AL404*1E+9+U404+ROW()/1E+6,"")</f>
        <v/>
      </c>
      <c r="AQ404" s="9">
        <f>MID(IF(AF404&gt;0,"; Expected month passed - update Zoho","")&amp;IF(AG404&gt;0,"; "&amp;TEXT(U404/MAX(1,SUMIFS($U$2:$U$601,$T$2:$T$601,"Open")),"0%")&amp;" of open pipeline in one deal","")&amp;IF(AH404&gt;0,"; Large deal at an early stage","")&amp;IF(AI404&gt;0,"; No amount in Zoho","")&amp;IF(AJ404&gt;0,"; Won, invoice month passed, not fully invoiced","")&amp;IF(AK404&gt;0,"; Xero invoiced more than the deal value",""),3,300)</f>
        <v/>
      </c>
    </row>
    <row r="405">
      <c r="T405" s="9">
        <f>IFERROR(INDEX($A405:$R405,MATCH("Status",$A$1:$R$1,0)),"")&amp;""</f>
        <v/>
      </c>
      <c r="U405" s="52">
        <f>IFERROR(N(IFERROR(INDEX($A405:$R405,MATCH("Value Ex GST",$A$1:$R$1,0)),"")),0)</f>
        <v/>
      </c>
      <c r="V405" s="54">
        <f>IF(AND(T405&lt;&gt;"",IFERROR(INDEX($A405:$R405,MATCH("Value Ex GST",$A$1:$R$1,0)),"")&amp;""&lt;&gt;""),1,0)</f>
        <v/>
      </c>
      <c r="W405" s="56">
        <f>IFERROR(N(IFERROR(INDEX($A405:$R405,MATCH("Probability",$A$1:$R$1,0)),"")),0)</f>
        <v/>
      </c>
      <c r="X405" s="52">
        <f>IF(T405="Open",U405*W405,0)</f>
        <v/>
      </c>
      <c r="Y405" s="52">
        <f>IF(T405="Won",IFERROR(N(IFERROR(INDEX($A405:$R405,MATCH("Still to Invoice",$A$1:$R$1,0)),"")),0),0)</f>
        <v/>
      </c>
      <c r="Z405" s="55">
        <f>IFERROR(EOMONTH(IFERROR(INDEX($A405:$R405,MATCH("Expected Invoice Month",$A$1:$R$1,0)),""),0),"")</f>
        <v/>
      </c>
      <c r="AA405" s="9">
        <f>IFERROR(INDEX($A405:$R405,MATCH("Cost Centre",$A$1:$R$1,0)),"")&amp;""</f>
        <v/>
      </c>
      <c r="AB405" s="9">
        <f>IFERROR(INDEX($A405:$R405,MATCH("Pipeline Stage",$A$1:$R$1,0)),"")&amp;""</f>
        <v/>
      </c>
      <c r="AC405" s="9">
        <f>IFERROR(INDEX($A405:$R405,MATCH("Client",$A$1:$R$1,0)),"")&amp;""</f>
        <v/>
      </c>
      <c r="AD405" s="9">
        <f>IFERROR(INDEX($A405:$R405,MATCH("Description",$A$1:$R$1,0)),"")&amp;""</f>
        <v/>
      </c>
      <c r="AE405" s="9">
        <f>IFERROR(INDEX($A405:$R405,MATCH("Job Number",$A$1:$R$1,0)),"")&amp;""</f>
        <v/>
      </c>
      <c r="AF405" s="54">
        <f>IF(AND(T405="Open",ISNUMBER(Z405),Z405&lt;EOMONTH(set_AsAt,-1)+1),3,0)</f>
        <v/>
      </c>
      <c r="AG405" s="54">
        <f>IF(AND(T405="Open",U405&gt;0,U405&gt;=set_DealShare*SUMIFS($U$2:$U$601,$T$2:$T$601,"Open")),3,0)</f>
        <v/>
      </c>
      <c r="AH405" s="54">
        <f>IF(AND(T405="Open",U405&gt;=set_BigValue,W405&lt;=set_EarlyProb),2,0)</f>
        <v/>
      </c>
      <c r="AI405" s="54">
        <f>IF(AND(OR(T405="Open",T405="Won"),V405=0),2,0)</f>
        <v/>
      </c>
      <c r="AJ405" s="54">
        <f>IF(AND(T405="Won",Y405&gt;0.5,ISNUMBER(Z405),Z405&lt;EOMONTH(set_AsAt,-1)+1),3,0)</f>
        <v/>
      </c>
      <c r="AK405" s="54">
        <f>IF(AND(T405="Won",Y405&lt;-1),1,0)</f>
        <v/>
      </c>
      <c r="AL405" s="54">
        <f>SUM(AF405:AK405)</f>
        <v/>
      </c>
      <c r="AM405" s="9">
        <f>IF(AL405&gt;=set_ScoreHigh,"High",IF(AL405&gt;=set_ScoreMed,"Medium",IF(AL405&gt;0,"Low","OK")))</f>
        <v/>
      </c>
      <c r="AN405" s="54">
        <f>IF(OR(T405="Open",AND(T405="Won",ABS(Y405)&gt;0.5)),1,0)</f>
        <v/>
      </c>
      <c r="AO405" s="52">
        <f>IF(T405="Open",IF(V405=0,0,X405),IF(T405="Won",MAX(0,Y405),0))</f>
        <v/>
      </c>
      <c r="AP405" s="54">
        <f>IF(AN405=1,AL405*1E+9+U405+ROW()/1E+6,"")</f>
        <v/>
      </c>
      <c r="AQ405" s="9">
        <f>MID(IF(AF405&gt;0,"; Expected month passed - update Zoho","")&amp;IF(AG405&gt;0,"; "&amp;TEXT(U405/MAX(1,SUMIFS($U$2:$U$601,$T$2:$T$601,"Open")),"0%")&amp;" of open pipeline in one deal","")&amp;IF(AH405&gt;0,"; Large deal at an early stage","")&amp;IF(AI405&gt;0,"; No amount in Zoho","")&amp;IF(AJ405&gt;0,"; Won, invoice month passed, not fully invoiced","")&amp;IF(AK405&gt;0,"; Xero invoiced more than the deal value",""),3,300)</f>
        <v/>
      </c>
    </row>
    <row r="406">
      <c r="T406" s="9">
        <f>IFERROR(INDEX($A406:$R406,MATCH("Status",$A$1:$R$1,0)),"")&amp;""</f>
        <v/>
      </c>
      <c r="U406" s="52">
        <f>IFERROR(N(IFERROR(INDEX($A406:$R406,MATCH("Value Ex GST",$A$1:$R$1,0)),"")),0)</f>
        <v/>
      </c>
      <c r="V406" s="54">
        <f>IF(AND(T406&lt;&gt;"",IFERROR(INDEX($A406:$R406,MATCH("Value Ex GST",$A$1:$R$1,0)),"")&amp;""&lt;&gt;""),1,0)</f>
        <v/>
      </c>
      <c r="W406" s="56">
        <f>IFERROR(N(IFERROR(INDEX($A406:$R406,MATCH("Probability",$A$1:$R$1,0)),"")),0)</f>
        <v/>
      </c>
      <c r="X406" s="52">
        <f>IF(T406="Open",U406*W406,0)</f>
        <v/>
      </c>
      <c r="Y406" s="52">
        <f>IF(T406="Won",IFERROR(N(IFERROR(INDEX($A406:$R406,MATCH("Still to Invoice",$A$1:$R$1,0)),"")),0),0)</f>
        <v/>
      </c>
      <c r="Z406" s="55">
        <f>IFERROR(EOMONTH(IFERROR(INDEX($A406:$R406,MATCH("Expected Invoice Month",$A$1:$R$1,0)),""),0),"")</f>
        <v/>
      </c>
      <c r="AA406" s="9">
        <f>IFERROR(INDEX($A406:$R406,MATCH("Cost Centre",$A$1:$R$1,0)),"")&amp;""</f>
        <v/>
      </c>
      <c r="AB406" s="9">
        <f>IFERROR(INDEX($A406:$R406,MATCH("Pipeline Stage",$A$1:$R$1,0)),"")&amp;""</f>
        <v/>
      </c>
      <c r="AC406" s="9">
        <f>IFERROR(INDEX($A406:$R406,MATCH("Client",$A$1:$R$1,0)),"")&amp;""</f>
        <v/>
      </c>
      <c r="AD406" s="9">
        <f>IFERROR(INDEX($A406:$R406,MATCH("Description",$A$1:$R$1,0)),"")&amp;""</f>
        <v/>
      </c>
      <c r="AE406" s="9">
        <f>IFERROR(INDEX($A406:$R406,MATCH("Job Number",$A$1:$R$1,0)),"")&amp;""</f>
        <v/>
      </c>
      <c r="AF406" s="54">
        <f>IF(AND(T406="Open",ISNUMBER(Z406),Z406&lt;EOMONTH(set_AsAt,-1)+1),3,0)</f>
        <v/>
      </c>
      <c r="AG406" s="54">
        <f>IF(AND(T406="Open",U406&gt;0,U406&gt;=set_DealShare*SUMIFS($U$2:$U$601,$T$2:$T$601,"Open")),3,0)</f>
        <v/>
      </c>
      <c r="AH406" s="54">
        <f>IF(AND(T406="Open",U406&gt;=set_BigValue,W406&lt;=set_EarlyProb),2,0)</f>
        <v/>
      </c>
      <c r="AI406" s="54">
        <f>IF(AND(OR(T406="Open",T406="Won"),V406=0),2,0)</f>
        <v/>
      </c>
      <c r="AJ406" s="54">
        <f>IF(AND(T406="Won",Y406&gt;0.5,ISNUMBER(Z406),Z406&lt;EOMONTH(set_AsAt,-1)+1),3,0)</f>
        <v/>
      </c>
      <c r="AK406" s="54">
        <f>IF(AND(T406="Won",Y406&lt;-1),1,0)</f>
        <v/>
      </c>
      <c r="AL406" s="54">
        <f>SUM(AF406:AK406)</f>
        <v/>
      </c>
      <c r="AM406" s="9">
        <f>IF(AL406&gt;=set_ScoreHigh,"High",IF(AL406&gt;=set_ScoreMed,"Medium",IF(AL406&gt;0,"Low","OK")))</f>
        <v/>
      </c>
      <c r="AN406" s="54">
        <f>IF(OR(T406="Open",AND(T406="Won",ABS(Y406)&gt;0.5)),1,0)</f>
        <v/>
      </c>
      <c r="AO406" s="52">
        <f>IF(T406="Open",IF(V406=0,0,X406),IF(T406="Won",MAX(0,Y406),0))</f>
        <v/>
      </c>
      <c r="AP406" s="54">
        <f>IF(AN406=1,AL406*1E+9+U406+ROW()/1E+6,"")</f>
        <v/>
      </c>
      <c r="AQ406" s="9">
        <f>MID(IF(AF406&gt;0,"; Expected month passed - update Zoho","")&amp;IF(AG406&gt;0,"; "&amp;TEXT(U406/MAX(1,SUMIFS($U$2:$U$601,$T$2:$T$601,"Open")),"0%")&amp;" of open pipeline in one deal","")&amp;IF(AH406&gt;0,"; Large deal at an early stage","")&amp;IF(AI406&gt;0,"; No amount in Zoho","")&amp;IF(AJ406&gt;0,"; Won, invoice month passed, not fully invoiced","")&amp;IF(AK406&gt;0,"; Xero invoiced more than the deal value",""),3,300)</f>
        <v/>
      </c>
    </row>
    <row r="407">
      <c r="T407" s="9">
        <f>IFERROR(INDEX($A407:$R407,MATCH("Status",$A$1:$R$1,0)),"")&amp;""</f>
        <v/>
      </c>
      <c r="U407" s="52">
        <f>IFERROR(N(IFERROR(INDEX($A407:$R407,MATCH("Value Ex GST",$A$1:$R$1,0)),"")),0)</f>
        <v/>
      </c>
      <c r="V407" s="54">
        <f>IF(AND(T407&lt;&gt;"",IFERROR(INDEX($A407:$R407,MATCH("Value Ex GST",$A$1:$R$1,0)),"")&amp;""&lt;&gt;""),1,0)</f>
        <v/>
      </c>
      <c r="W407" s="56">
        <f>IFERROR(N(IFERROR(INDEX($A407:$R407,MATCH("Probability",$A$1:$R$1,0)),"")),0)</f>
        <v/>
      </c>
      <c r="X407" s="52">
        <f>IF(T407="Open",U407*W407,0)</f>
        <v/>
      </c>
      <c r="Y407" s="52">
        <f>IF(T407="Won",IFERROR(N(IFERROR(INDEX($A407:$R407,MATCH("Still to Invoice",$A$1:$R$1,0)),"")),0),0)</f>
        <v/>
      </c>
      <c r="Z407" s="55">
        <f>IFERROR(EOMONTH(IFERROR(INDEX($A407:$R407,MATCH("Expected Invoice Month",$A$1:$R$1,0)),""),0),"")</f>
        <v/>
      </c>
      <c r="AA407" s="9">
        <f>IFERROR(INDEX($A407:$R407,MATCH("Cost Centre",$A$1:$R$1,0)),"")&amp;""</f>
        <v/>
      </c>
      <c r="AB407" s="9">
        <f>IFERROR(INDEX($A407:$R407,MATCH("Pipeline Stage",$A$1:$R$1,0)),"")&amp;""</f>
        <v/>
      </c>
      <c r="AC407" s="9">
        <f>IFERROR(INDEX($A407:$R407,MATCH("Client",$A$1:$R$1,0)),"")&amp;""</f>
        <v/>
      </c>
      <c r="AD407" s="9">
        <f>IFERROR(INDEX($A407:$R407,MATCH("Description",$A$1:$R$1,0)),"")&amp;""</f>
        <v/>
      </c>
      <c r="AE407" s="9">
        <f>IFERROR(INDEX($A407:$R407,MATCH("Job Number",$A$1:$R$1,0)),"")&amp;""</f>
        <v/>
      </c>
      <c r="AF407" s="54">
        <f>IF(AND(T407="Open",ISNUMBER(Z407),Z407&lt;EOMONTH(set_AsAt,-1)+1),3,0)</f>
        <v/>
      </c>
      <c r="AG407" s="54">
        <f>IF(AND(T407="Open",U407&gt;0,U407&gt;=set_DealShare*SUMIFS($U$2:$U$601,$T$2:$T$601,"Open")),3,0)</f>
        <v/>
      </c>
      <c r="AH407" s="54">
        <f>IF(AND(T407="Open",U407&gt;=set_BigValue,W407&lt;=set_EarlyProb),2,0)</f>
        <v/>
      </c>
      <c r="AI407" s="54">
        <f>IF(AND(OR(T407="Open",T407="Won"),V407=0),2,0)</f>
        <v/>
      </c>
      <c r="AJ407" s="54">
        <f>IF(AND(T407="Won",Y407&gt;0.5,ISNUMBER(Z407),Z407&lt;EOMONTH(set_AsAt,-1)+1),3,0)</f>
        <v/>
      </c>
      <c r="AK407" s="54">
        <f>IF(AND(T407="Won",Y407&lt;-1),1,0)</f>
        <v/>
      </c>
      <c r="AL407" s="54">
        <f>SUM(AF407:AK407)</f>
        <v/>
      </c>
      <c r="AM407" s="9">
        <f>IF(AL407&gt;=set_ScoreHigh,"High",IF(AL407&gt;=set_ScoreMed,"Medium",IF(AL407&gt;0,"Low","OK")))</f>
        <v/>
      </c>
      <c r="AN407" s="54">
        <f>IF(OR(T407="Open",AND(T407="Won",ABS(Y407)&gt;0.5)),1,0)</f>
        <v/>
      </c>
      <c r="AO407" s="52">
        <f>IF(T407="Open",IF(V407=0,0,X407),IF(T407="Won",MAX(0,Y407),0))</f>
        <v/>
      </c>
      <c r="AP407" s="54">
        <f>IF(AN407=1,AL407*1E+9+U407+ROW()/1E+6,"")</f>
        <v/>
      </c>
      <c r="AQ407" s="9">
        <f>MID(IF(AF407&gt;0,"; Expected month passed - update Zoho","")&amp;IF(AG407&gt;0,"; "&amp;TEXT(U407/MAX(1,SUMIFS($U$2:$U$601,$T$2:$T$601,"Open")),"0%")&amp;" of open pipeline in one deal","")&amp;IF(AH407&gt;0,"; Large deal at an early stage","")&amp;IF(AI407&gt;0,"; No amount in Zoho","")&amp;IF(AJ407&gt;0,"; Won, invoice month passed, not fully invoiced","")&amp;IF(AK407&gt;0,"; Xero invoiced more than the deal value",""),3,300)</f>
        <v/>
      </c>
    </row>
    <row r="408">
      <c r="T408" s="9">
        <f>IFERROR(INDEX($A408:$R408,MATCH("Status",$A$1:$R$1,0)),"")&amp;""</f>
        <v/>
      </c>
      <c r="U408" s="52">
        <f>IFERROR(N(IFERROR(INDEX($A408:$R408,MATCH("Value Ex GST",$A$1:$R$1,0)),"")),0)</f>
        <v/>
      </c>
      <c r="V408" s="54">
        <f>IF(AND(T408&lt;&gt;"",IFERROR(INDEX($A408:$R408,MATCH("Value Ex GST",$A$1:$R$1,0)),"")&amp;""&lt;&gt;""),1,0)</f>
        <v/>
      </c>
      <c r="W408" s="56">
        <f>IFERROR(N(IFERROR(INDEX($A408:$R408,MATCH("Probability",$A$1:$R$1,0)),"")),0)</f>
        <v/>
      </c>
      <c r="X408" s="52">
        <f>IF(T408="Open",U408*W408,0)</f>
        <v/>
      </c>
      <c r="Y408" s="52">
        <f>IF(T408="Won",IFERROR(N(IFERROR(INDEX($A408:$R408,MATCH("Still to Invoice",$A$1:$R$1,0)),"")),0),0)</f>
        <v/>
      </c>
      <c r="Z408" s="55">
        <f>IFERROR(EOMONTH(IFERROR(INDEX($A408:$R408,MATCH("Expected Invoice Month",$A$1:$R$1,0)),""),0),"")</f>
        <v/>
      </c>
      <c r="AA408" s="9">
        <f>IFERROR(INDEX($A408:$R408,MATCH("Cost Centre",$A$1:$R$1,0)),"")&amp;""</f>
        <v/>
      </c>
      <c r="AB408" s="9">
        <f>IFERROR(INDEX($A408:$R408,MATCH("Pipeline Stage",$A$1:$R$1,0)),"")&amp;""</f>
        <v/>
      </c>
      <c r="AC408" s="9">
        <f>IFERROR(INDEX($A408:$R408,MATCH("Client",$A$1:$R$1,0)),"")&amp;""</f>
        <v/>
      </c>
      <c r="AD408" s="9">
        <f>IFERROR(INDEX($A408:$R408,MATCH("Description",$A$1:$R$1,0)),"")&amp;""</f>
        <v/>
      </c>
      <c r="AE408" s="9">
        <f>IFERROR(INDEX($A408:$R408,MATCH("Job Number",$A$1:$R$1,0)),"")&amp;""</f>
        <v/>
      </c>
      <c r="AF408" s="54">
        <f>IF(AND(T408="Open",ISNUMBER(Z408),Z408&lt;EOMONTH(set_AsAt,-1)+1),3,0)</f>
        <v/>
      </c>
      <c r="AG408" s="54">
        <f>IF(AND(T408="Open",U408&gt;0,U408&gt;=set_DealShare*SUMIFS($U$2:$U$601,$T$2:$T$601,"Open")),3,0)</f>
        <v/>
      </c>
      <c r="AH408" s="54">
        <f>IF(AND(T408="Open",U408&gt;=set_BigValue,W408&lt;=set_EarlyProb),2,0)</f>
        <v/>
      </c>
      <c r="AI408" s="54">
        <f>IF(AND(OR(T408="Open",T408="Won"),V408=0),2,0)</f>
        <v/>
      </c>
      <c r="AJ408" s="54">
        <f>IF(AND(T408="Won",Y408&gt;0.5,ISNUMBER(Z408),Z408&lt;EOMONTH(set_AsAt,-1)+1),3,0)</f>
        <v/>
      </c>
      <c r="AK408" s="54">
        <f>IF(AND(T408="Won",Y408&lt;-1),1,0)</f>
        <v/>
      </c>
      <c r="AL408" s="54">
        <f>SUM(AF408:AK408)</f>
        <v/>
      </c>
      <c r="AM408" s="9">
        <f>IF(AL408&gt;=set_ScoreHigh,"High",IF(AL408&gt;=set_ScoreMed,"Medium",IF(AL408&gt;0,"Low","OK")))</f>
        <v/>
      </c>
      <c r="AN408" s="54">
        <f>IF(OR(T408="Open",AND(T408="Won",ABS(Y408)&gt;0.5)),1,0)</f>
        <v/>
      </c>
      <c r="AO408" s="52">
        <f>IF(T408="Open",IF(V408=0,0,X408),IF(T408="Won",MAX(0,Y408),0))</f>
        <v/>
      </c>
      <c r="AP408" s="54">
        <f>IF(AN408=1,AL408*1E+9+U408+ROW()/1E+6,"")</f>
        <v/>
      </c>
      <c r="AQ408" s="9">
        <f>MID(IF(AF408&gt;0,"; Expected month passed - update Zoho","")&amp;IF(AG408&gt;0,"; "&amp;TEXT(U408/MAX(1,SUMIFS($U$2:$U$601,$T$2:$T$601,"Open")),"0%")&amp;" of open pipeline in one deal","")&amp;IF(AH408&gt;0,"; Large deal at an early stage","")&amp;IF(AI408&gt;0,"; No amount in Zoho","")&amp;IF(AJ408&gt;0,"; Won, invoice month passed, not fully invoiced","")&amp;IF(AK408&gt;0,"; Xero invoiced more than the deal value",""),3,300)</f>
        <v/>
      </c>
    </row>
    <row r="409">
      <c r="T409" s="9">
        <f>IFERROR(INDEX($A409:$R409,MATCH("Status",$A$1:$R$1,0)),"")&amp;""</f>
        <v/>
      </c>
      <c r="U409" s="52">
        <f>IFERROR(N(IFERROR(INDEX($A409:$R409,MATCH("Value Ex GST",$A$1:$R$1,0)),"")),0)</f>
        <v/>
      </c>
      <c r="V409" s="54">
        <f>IF(AND(T409&lt;&gt;"",IFERROR(INDEX($A409:$R409,MATCH("Value Ex GST",$A$1:$R$1,0)),"")&amp;""&lt;&gt;""),1,0)</f>
        <v/>
      </c>
      <c r="W409" s="56">
        <f>IFERROR(N(IFERROR(INDEX($A409:$R409,MATCH("Probability",$A$1:$R$1,0)),"")),0)</f>
        <v/>
      </c>
      <c r="X409" s="52">
        <f>IF(T409="Open",U409*W409,0)</f>
        <v/>
      </c>
      <c r="Y409" s="52">
        <f>IF(T409="Won",IFERROR(N(IFERROR(INDEX($A409:$R409,MATCH("Still to Invoice",$A$1:$R$1,0)),"")),0),0)</f>
        <v/>
      </c>
      <c r="Z409" s="55">
        <f>IFERROR(EOMONTH(IFERROR(INDEX($A409:$R409,MATCH("Expected Invoice Month",$A$1:$R$1,0)),""),0),"")</f>
        <v/>
      </c>
      <c r="AA409" s="9">
        <f>IFERROR(INDEX($A409:$R409,MATCH("Cost Centre",$A$1:$R$1,0)),"")&amp;""</f>
        <v/>
      </c>
      <c r="AB409" s="9">
        <f>IFERROR(INDEX($A409:$R409,MATCH("Pipeline Stage",$A$1:$R$1,0)),"")&amp;""</f>
        <v/>
      </c>
      <c r="AC409" s="9">
        <f>IFERROR(INDEX($A409:$R409,MATCH("Client",$A$1:$R$1,0)),"")&amp;""</f>
        <v/>
      </c>
      <c r="AD409" s="9">
        <f>IFERROR(INDEX($A409:$R409,MATCH("Description",$A$1:$R$1,0)),"")&amp;""</f>
        <v/>
      </c>
      <c r="AE409" s="9">
        <f>IFERROR(INDEX($A409:$R409,MATCH("Job Number",$A$1:$R$1,0)),"")&amp;""</f>
        <v/>
      </c>
      <c r="AF409" s="54">
        <f>IF(AND(T409="Open",ISNUMBER(Z409),Z409&lt;EOMONTH(set_AsAt,-1)+1),3,0)</f>
        <v/>
      </c>
      <c r="AG409" s="54">
        <f>IF(AND(T409="Open",U409&gt;0,U409&gt;=set_DealShare*SUMIFS($U$2:$U$601,$T$2:$T$601,"Open")),3,0)</f>
        <v/>
      </c>
      <c r="AH409" s="54">
        <f>IF(AND(T409="Open",U409&gt;=set_BigValue,W409&lt;=set_EarlyProb),2,0)</f>
        <v/>
      </c>
      <c r="AI409" s="54">
        <f>IF(AND(OR(T409="Open",T409="Won"),V409=0),2,0)</f>
        <v/>
      </c>
      <c r="AJ409" s="54">
        <f>IF(AND(T409="Won",Y409&gt;0.5,ISNUMBER(Z409),Z409&lt;EOMONTH(set_AsAt,-1)+1),3,0)</f>
        <v/>
      </c>
      <c r="AK409" s="54">
        <f>IF(AND(T409="Won",Y409&lt;-1),1,0)</f>
        <v/>
      </c>
      <c r="AL409" s="54">
        <f>SUM(AF409:AK409)</f>
        <v/>
      </c>
      <c r="AM409" s="9">
        <f>IF(AL409&gt;=set_ScoreHigh,"High",IF(AL409&gt;=set_ScoreMed,"Medium",IF(AL409&gt;0,"Low","OK")))</f>
        <v/>
      </c>
      <c r="AN409" s="54">
        <f>IF(OR(T409="Open",AND(T409="Won",ABS(Y409)&gt;0.5)),1,0)</f>
        <v/>
      </c>
      <c r="AO409" s="52">
        <f>IF(T409="Open",IF(V409=0,0,X409),IF(T409="Won",MAX(0,Y409),0))</f>
        <v/>
      </c>
      <c r="AP409" s="54">
        <f>IF(AN409=1,AL409*1E+9+U409+ROW()/1E+6,"")</f>
        <v/>
      </c>
      <c r="AQ409" s="9">
        <f>MID(IF(AF409&gt;0,"; Expected month passed - update Zoho","")&amp;IF(AG409&gt;0,"; "&amp;TEXT(U409/MAX(1,SUMIFS($U$2:$U$601,$T$2:$T$601,"Open")),"0%")&amp;" of open pipeline in one deal","")&amp;IF(AH409&gt;0,"; Large deal at an early stage","")&amp;IF(AI409&gt;0,"; No amount in Zoho","")&amp;IF(AJ409&gt;0,"; Won, invoice month passed, not fully invoiced","")&amp;IF(AK409&gt;0,"; Xero invoiced more than the deal value",""),3,300)</f>
        <v/>
      </c>
    </row>
    <row r="410">
      <c r="T410" s="9">
        <f>IFERROR(INDEX($A410:$R410,MATCH("Status",$A$1:$R$1,0)),"")&amp;""</f>
        <v/>
      </c>
      <c r="U410" s="52">
        <f>IFERROR(N(IFERROR(INDEX($A410:$R410,MATCH("Value Ex GST",$A$1:$R$1,0)),"")),0)</f>
        <v/>
      </c>
      <c r="V410" s="54">
        <f>IF(AND(T410&lt;&gt;"",IFERROR(INDEX($A410:$R410,MATCH("Value Ex GST",$A$1:$R$1,0)),"")&amp;""&lt;&gt;""),1,0)</f>
        <v/>
      </c>
      <c r="W410" s="56">
        <f>IFERROR(N(IFERROR(INDEX($A410:$R410,MATCH("Probability",$A$1:$R$1,0)),"")),0)</f>
        <v/>
      </c>
      <c r="X410" s="52">
        <f>IF(T410="Open",U410*W410,0)</f>
        <v/>
      </c>
      <c r="Y410" s="52">
        <f>IF(T410="Won",IFERROR(N(IFERROR(INDEX($A410:$R410,MATCH("Still to Invoice",$A$1:$R$1,0)),"")),0),0)</f>
        <v/>
      </c>
      <c r="Z410" s="55">
        <f>IFERROR(EOMONTH(IFERROR(INDEX($A410:$R410,MATCH("Expected Invoice Month",$A$1:$R$1,0)),""),0),"")</f>
        <v/>
      </c>
      <c r="AA410" s="9">
        <f>IFERROR(INDEX($A410:$R410,MATCH("Cost Centre",$A$1:$R$1,0)),"")&amp;""</f>
        <v/>
      </c>
      <c r="AB410" s="9">
        <f>IFERROR(INDEX($A410:$R410,MATCH("Pipeline Stage",$A$1:$R$1,0)),"")&amp;""</f>
        <v/>
      </c>
      <c r="AC410" s="9">
        <f>IFERROR(INDEX($A410:$R410,MATCH("Client",$A$1:$R$1,0)),"")&amp;""</f>
        <v/>
      </c>
      <c r="AD410" s="9">
        <f>IFERROR(INDEX($A410:$R410,MATCH("Description",$A$1:$R$1,0)),"")&amp;""</f>
        <v/>
      </c>
      <c r="AE410" s="9">
        <f>IFERROR(INDEX($A410:$R410,MATCH("Job Number",$A$1:$R$1,0)),"")&amp;""</f>
        <v/>
      </c>
      <c r="AF410" s="54">
        <f>IF(AND(T410="Open",ISNUMBER(Z410),Z410&lt;EOMONTH(set_AsAt,-1)+1),3,0)</f>
        <v/>
      </c>
      <c r="AG410" s="54">
        <f>IF(AND(T410="Open",U410&gt;0,U410&gt;=set_DealShare*SUMIFS($U$2:$U$601,$T$2:$T$601,"Open")),3,0)</f>
        <v/>
      </c>
      <c r="AH410" s="54">
        <f>IF(AND(T410="Open",U410&gt;=set_BigValue,W410&lt;=set_EarlyProb),2,0)</f>
        <v/>
      </c>
      <c r="AI410" s="54">
        <f>IF(AND(OR(T410="Open",T410="Won"),V410=0),2,0)</f>
        <v/>
      </c>
      <c r="AJ410" s="54">
        <f>IF(AND(T410="Won",Y410&gt;0.5,ISNUMBER(Z410),Z410&lt;EOMONTH(set_AsAt,-1)+1),3,0)</f>
        <v/>
      </c>
      <c r="AK410" s="54">
        <f>IF(AND(T410="Won",Y410&lt;-1),1,0)</f>
        <v/>
      </c>
      <c r="AL410" s="54">
        <f>SUM(AF410:AK410)</f>
        <v/>
      </c>
      <c r="AM410" s="9">
        <f>IF(AL410&gt;=set_ScoreHigh,"High",IF(AL410&gt;=set_ScoreMed,"Medium",IF(AL410&gt;0,"Low","OK")))</f>
        <v/>
      </c>
      <c r="AN410" s="54">
        <f>IF(OR(T410="Open",AND(T410="Won",ABS(Y410)&gt;0.5)),1,0)</f>
        <v/>
      </c>
      <c r="AO410" s="52">
        <f>IF(T410="Open",IF(V410=0,0,X410),IF(T410="Won",MAX(0,Y410),0))</f>
        <v/>
      </c>
      <c r="AP410" s="54">
        <f>IF(AN410=1,AL410*1E+9+U410+ROW()/1E+6,"")</f>
        <v/>
      </c>
      <c r="AQ410" s="9">
        <f>MID(IF(AF410&gt;0,"; Expected month passed - update Zoho","")&amp;IF(AG410&gt;0,"; "&amp;TEXT(U410/MAX(1,SUMIFS($U$2:$U$601,$T$2:$T$601,"Open")),"0%")&amp;" of open pipeline in one deal","")&amp;IF(AH410&gt;0,"; Large deal at an early stage","")&amp;IF(AI410&gt;0,"; No amount in Zoho","")&amp;IF(AJ410&gt;0,"; Won, invoice month passed, not fully invoiced","")&amp;IF(AK410&gt;0,"; Xero invoiced more than the deal value",""),3,300)</f>
        <v/>
      </c>
    </row>
    <row r="411">
      <c r="T411" s="9">
        <f>IFERROR(INDEX($A411:$R411,MATCH("Status",$A$1:$R$1,0)),"")&amp;""</f>
        <v/>
      </c>
      <c r="U411" s="52">
        <f>IFERROR(N(IFERROR(INDEX($A411:$R411,MATCH("Value Ex GST",$A$1:$R$1,0)),"")),0)</f>
        <v/>
      </c>
      <c r="V411" s="54">
        <f>IF(AND(T411&lt;&gt;"",IFERROR(INDEX($A411:$R411,MATCH("Value Ex GST",$A$1:$R$1,0)),"")&amp;""&lt;&gt;""),1,0)</f>
        <v/>
      </c>
      <c r="W411" s="56">
        <f>IFERROR(N(IFERROR(INDEX($A411:$R411,MATCH("Probability",$A$1:$R$1,0)),"")),0)</f>
        <v/>
      </c>
      <c r="X411" s="52">
        <f>IF(T411="Open",U411*W411,0)</f>
        <v/>
      </c>
      <c r="Y411" s="52">
        <f>IF(T411="Won",IFERROR(N(IFERROR(INDEX($A411:$R411,MATCH("Still to Invoice",$A$1:$R$1,0)),"")),0),0)</f>
        <v/>
      </c>
      <c r="Z411" s="55">
        <f>IFERROR(EOMONTH(IFERROR(INDEX($A411:$R411,MATCH("Expected Invoice Month",$A$1:$R$1,0)),""),0),"")</f>
        <v/>
      </c>
      <c r="AA411" s="9">
        <f>IFERROR(INDEX($A411:$R411,MATCH("Cost Centre",$A$1:$R$1,0)),"")&amp;""</f>
        <v/>
      </c>
      <c r="AB411" s="9">
        <f>IFERROR(INDEX($A411:$R411,MATCH("Pipeline Stage",$A$1:$R$1,0)),"")&amp;""</f>
        <v/>
      </c>
      <c r="AC411" s="9">
        <f>IFERROR(INDEX($A411:$R411,MATCH("Client",$A$1:$R$1,0)),"")&amp;""</f>
        <v/>
      </c>
      <c r="AD411" s="9">
        <f>IFERROR(INDEX($A411:$R411,MATCH("Description",$A$1:$R$1,0)),"")&amp;""</f>
        <v/>
      </c>
      <c r="AE411" s="9">
        <f>IFERROR(INDEX($A411:$R411,MATCH("Job Number",$A$1:$R$1,0)),"")&amp;""</f>
        <v/>
      </c>
      <c r="AF411" s="54">
        <f>IF(AND(T411="Open",ISNUMBER(Z411),Z411&lt;EOMONTH(set_AsAt,-1)+1),3,0)</f>
        <v/>
      </c>
      <c r="AG411" s="54">
        <f>IF(AND(T411="Open",U411&gt;0,U411&gt;=set_DealShare*SUMIFS($U$2:$U$601,$T$2:$T$601,"Open")),3,0)</f>
        <v/>
      </c>
      <c r="AH411" s="54">
        <f>IF(AND(T411="Open",U411&gt;=set_BigValue,W411&lt;=set_EarlyProb),2,0)</f>
        <v/>
      </c>
      <c r="AI411" s="54">
        <f>IF(AND(OR(T411="Open",T411="Won"),V411=0),2,0)</f>
        <v/>
      </c>
      <c r="AJ411" s="54">
        <f>IF(AND(T411="Won",Y411&gt;0.5,ISNUMBER(Z411),Z411&lt;EOMONTH(set_AsAt,-1)+1),3,0)</f>
        <v/>
      </c>
      <c r="AK411" s="54">
        <f>IF(AND(T411="Won",Y411&lt;-1),1,0)</f>
        <v/>
      </c>
      <c r="AL411" s="54">
        <f>SUM(AF411:AK411)</f>
        <v/>
      </c>
      <c r="AM411" s="9">
        <f>IF(AL411&gt;=set_ScoreHigh,"High",IF(AL411&gt;=set_ScoreMed,"Medium",IF(AL411&gt;0,"Low","OK")))</f>
        <v/>
      </c>
      <c r="AN411" s="54">
        <f>IF(OR(T411="Open",AND(T411="Won",ABS(Y411)&gt;0.5)),1,0)</f>
        <v/>
      </c>
      <c r="AO411" s="52">
        <f>IF(T411="Open",IF(V411=0,0,X411),IF(T411="Won",MAX(0,Y411),0))</f>
        <v/>
      </c>
      <c r="AP411" s="54">
        <f>IF(AN411=1,AL411*1E+9+U411+ROW()/1E+6,"")</f>
        <v/>
      </c>
      <c r="AQ411" s="9">
        <f>MID(IF(AF411&gt;0,"; Expected month passed - update Zoho","")&amp;IF(AG411&gt;0,"; "&amp;TEXT(U411/MAX(1,SUMIFS($U$2:$U$601,$T$2:$T$601,"Open")),"0%")&amp;" of open pipeline in one deal","")&amp;IF(AH411&gt;0,"; Large deal at an early stage","")&amp;IF(AI411&gt;0,"; No amount in Zoho","")&amp;IF(AJ411&gt;0,"; Won, invoice month passed, not fully invoiced","")&amp;IF(AK411&gt;0,"; Xero invoiced more than the deal value",""),3,300)</f>
        <v/>
      </c>
    </row>
    <row r="412">
      <c r="T412" s="9">
        <f>IFERROR(INDEX($A412:$R412,MATCH("Status",$A$1:$R$1,0)),"")&amp;""</f>
        <v/>
      </c>
      <c r="U412" s="52">
        <f>IFERROR(N(IFERROR(INDEX($A412:$R412,MATCH("Value Ex GST",$A$1:$R$1,0)),"")),0)</f>
        <v/>
      </c>
      <c r="V412" s="54">
        <f>IF(AND(T412&lt;&gt;"",IFERROR(INDEX($A412:$R412,MATCH("Value Ex GST",$A$1:$R$1,0)),"")&amp;""&lt;&gt;""),1,0)</f>
        <v/>
      </c>
      <c r="W412" s="56">
        <f>IFERROR(N(IFERROR(INDEX($A412:$R412,MATCH("Probability",$A$1:$R$1,0)),"")),0)</f>
        <v/>
      </c>
      <c r="X412" s="52">
        <f>IF(T412="Open",U412*W412,0)</f>
        <v/>
      </c>
      <c r="Y412" s="52">
        <f>IF(T412="Won",IFERROR(N(IFERROR(INDEX($A412:$R412,MATCH("Still to Invoice",$A$1:$R$1,0)),"")),0),0)</f>
        <v/>
      </c>
      <c r="Z412" s="55">
        <f>IFERROR(EOMONTH(IFERROR(INDEX($A412:$R412,MATCH("Expected Invoice Month",$A$1:$R$1,0)),""),0),"")</f>
        <v/>
      </c>
      <c r="AA412" s="9">
        <f>IFERROR(INDEX($A412:$R412,MATCH("Cost Centre",$A$1:$R$1,0)),"")&amp;""</f>
        <v/>
      </c>
      <c r="AB412" s="9">
        <f>IFERROR(INDEX($A412:$R412,MATCH("Pipeline Stage",$A$1:$R$1,0)),"")&amp;""</f>
        <v/>
      </c>
      <c r="AC412" s="9">
        <f>IFERROR(INDEX($A412:$R412,MATCH("Client",$A$1:$R$1,0)),"")&amp;""</f>
        <v/>
      </c>
      <c r="AD412" s="9">
        <f>IFERROR(INDEX($A412:$R412,MATCH("Description",$A$1:$R$1,0)),"")&amp;""</f>
        <v/>
      </c>
      <c r="AE412" s="9">
        <f>IFERROR(INDEX($A412:$R412,MATCH("Job Number",$A$1:$R$1,0)),"")&amp;""</f>
        <v/>
      </c>
      <c r="AF412" s="54">
        <f>IF(AND(T412="Open",ISNUMBER(Z412),Z412&lt;EOMONTH(set_AsAt,-1)+1),3,0)</f>
        <v/>
      </c>
      <c r="AG412" s="54">
        <f>IF(AND(T412="Open",U412&gt;0,U412&gt;=set_DealShare*SUMIFS($U$2:$U$601,$T$2:$T$601,"Open")),3,0)</f>
        <v/>
      </c>
      <c r="AH412" s="54">
        <f>IF(AND(T412="Open",U412&gt;=set_BigValue,W412&lt;=set_EarlyProb),2,0)</f>
        <v/>
      </c>
      <c r="AI412" s="54">
        <f>IF(AND(OR(T412="Open",T412="Won"),V412=0),2,0)</f>
        <v/>
      </c>
      <c r="AJ412" s="54">
        <f>IF(AND(T412="Won",Y412&gt;0.5,ISNUMBER(Z412),Z412&lt;EOMONTH(set_AsAt,-1)+1),3,0)</f>
        <v/>
      </c>
      <c r="AK412" s="54">
        <f>IF(AND(T412="Won",Y412&lt;-1),1,0)</f>
        <v/>
      </c>
      <c r="AL412" s="54">
        <f>SUM(AF412:AK412)</f>
        <v/>
      </c>
      <c r="AM412" s="9">
        <f>IF(AL412&gt;=set_ScoreHigh,"High",IF(AL412&gt;=set_ScoreMed,"Medium",IF(AL412&gt;0,"Low","OK")))</f>
        <v/>
      </c>
      <c r="AN412" s="54">
        <f>IF(OR(T412="Open",AND(T412="Won",ABS(Y412)&gt;0.5)),1,0)</f>
        <v/>
      </c>
      <c r="AO412" s="52">
        <f>IF(T412="Open",IF(V412=0,0,X412),IF(T412="Won",MAX(0,Y412),0))</f>
        <v/>
      </c>
      <c r="AP412" s="54">
        <f>IF(AN412=1,AL412*1E+9+U412+ROW()/1E+6,"")</f>
        <v/>
      </c>
      <c r="AQ412" s="9">
        <f>MID(IF(AF412&gt;0,"; Expected month passed - update Zoho","")&amp;IF(AG412&gt;0,"; "&amp;TEXT(U412/MAX(1,SUMIFS($U$2:$U$601,$T$2:$T$601,"Open")),"0%")&amp;" of open pipeline in one deal","")&amp;IF(AH412&gt;0,"; Large deal at an early stage","")&amp;IF(AI412&gt;0,"; No amount in Zoho","")&amp;IF(AJ412&gt;0,"; Won, invoice month passed, not fully invoiced","")&amp;IF(AK412&gt;0,"; Xero invoiced more than the deal value",""),3,300)</f>
        <v/>
      </c>
    </row>
    <row r="413">
      <c r="T413" s="9">
        <f>IFERROR(INDEX($A413:$R413,MATCH("Status",$A$1:$R$1,0)),"")&amp;""</f>
        <v/>
      </c>
      <c r="U413" s="52">
        <f>IFERROR(N(IFERROR(INDEX($A413:$R413,MATCH("Value Ex GST",$A$1:$R$1,0)),"")),0)</f>
        <v/>
      </c>
      <c r="V413" s="54">
        <f>IF(AND(T413&lt;&gt;"",IFERROR(INDEX($A413:$R413,MATCH("Value Ex GST",$A$1:$R$1,0)),"")&amp;""&lt;&gt;""),1,0)</f>
        <v/>
      </c>
      <c r="W413" s="56">
        <f>IFERROR(N(IFERROR(INDEX($A413:$R413,MATCH("Probability",$A$1:$R$1,0)),"")),0)</f>
        <v/>
      </c>
      <c r="X413" s="52">
        <f>IF(T413="Open",U413*W413,0)</f>
        <v/>
      </c>
      <c r="Y413" s="52">
        <f>IF(T413="Won",IFERROR(N(IFERROR(INDEX($A413:$R413,MATCH("Still to Invoice",$A$1:$R$1,0)),"")),0),0)</f>
        <v/>
      </c>
      <c r="Z413" s="55">
        <f>IFERROR(EOMONTH(IFERROR(INDEX($A413:$R413,MATCH("Expected Invoice Month",$A$1:$R$1,0)),""),0),"")</f>
        <v/>
      </c>
      <c r="AA413" s="9">
        <f>IFERROR(INDEX($A413:$R413,MATCH("Cost Centre",$A$1:$R$1,0)),"")&amp;""</f>
        <v/>
      </c>
      <c r="AB413" s="9">
        <f>IFERROR(INDEX($A413:$R413,MATCH("Pipeline Stage",$A$1:$R$1,0)),"")&amp;""</f>
        <v/>
      </c>
      <c r="AC413" s="9">
        <f>IFERROR(INDEX($A413:$R413,MATCH("Client",$A$1:$R$1,0)),"")&amp;""</f>
        <v/>
      </c>
      <c r="AD413" s="9">
        <f>IFERROR(INDEX($A413:$R413,MATCH("Description",$A$1:$R$1,0)),"")&amp;""</f>
        <v/>
      </c>
      <c r="AE413" s="9">
        <f>IFERROR(INDEX($A413:$R413,MATCH("Job Number",$A$1:$R$1,0)),"")&amp;""</f>
        <v/>
      </c>
      <c r="AF413" s="54">
        <f>IF(AND(T413="Open",ISNUMBER(Z413),Z413&lt;EOMONTH(set_AsAt,-1)+1),3,0)</f>
        <v/>
      </c>
      <c r="AG413" s="54">
        <f>IF(AND(T413="Open",U413&gt;0,U413&gt;=set_DealShare*SUMIFS($U$2:$U$601,$T$2:$T$601,"Open")),3,0)</f>
        <v/>
      </c>
      <c r="AH413" s="54">
        <f>IF(AND(T413="Open",U413&gt;=set_BigValue,W413&lt;=set_EarlyProb),2,0)</f>
        <v/>
      </c>
      <c r="AI413" s="54">
        <f>IF(AND(OR(T413="Open",T413="Won"),V413=0),2,0)</f>
        <v/>
      </c>
      <c r="AJ413" s="54">
        <f>IF(AND(T413="Won",Y413&gt;0.5,ISNUMBER(Z413),Z413&lt;EOMONTH(set_AsAt,-1)+1),3,0)</f>
        <v/>
      </c>
      <c r="AK413" s="54">
        <f>IF(AND(T413="Won",Y413&lt;-1),1,0)</f>
        <v/>
      </c>
      <c r="AL413" s="54">
        <f>SUM(AF413:AK413)</f>
        <v/>
      </c>
      <c r="AM413" s="9">
        <f>IF(AL413&gt;=set_ScoreHigh,"High",IF(AL413&gt;=set_ScoreMed,"Medium",IF(AL413&gt;0,"Low","OK")))</f>
        <v/>
      </c>
      <c r="AN413" s="54">
        <f>IF(OR(T413="Open",AND(T413="Won",ABS(Y413)&gt;0.5)),1,0)</f>
        <v/>
      </c>
      <c r="AO413" s="52">
        <f>IF(T413="Open",IF(V413=0,0,X413),IF(T413="Won",MAX(0,Y413),0))</f>
        <v/>
      </c>
      <c r="AP413" s="54">
        <f>IF(AN413=1,AL413*1E+9+U413+ROW()/1E+6,"")</f>
        <v/>
      </c>
      <c r="AQ413" s="9">
        <f>MID(IF(AF413&gt;0,"; Expected month passed - update Zoho","")&amp;IF(AG413&gt;0,"; "&amp;TEXT(U413/MAX(1,SUMIFS($U$2:$U$601,$T$2:$T$601,"Open")),"0%")&amp;" of open pipeline in one deal","")&amp;IF(AH413&gt;0,"; Large deal at an early stage","")&amp;IF(AI413&gt;0,"; No amount in Zoho","")&amp;IF(AJ413&gt;0,"; Won, invoice month passed, not fully invoiced","")&amp;IF(AK413&gt;0,"; Xero invoiced more than the deal value",""),3,300)</f>
        <v/>
      </c>
    </row>
    <row r="414">
      <c r="T414" s="9">
        <f>IFERROR(INDEX($A414:$R414,MATCH("Status",$A$1:$R$1,0)),"")&amp;""</f>
        <v/>
      </c>
      <c r="U414" s="52">
        <f>IFERROR(N(IFERROR(INDEX($A414:$R414,MATCH("Value Ex GST",$A$1:$R$1,0)),"")),0)</f>
        <v/>
      </c>
      <c r="V414" s="54">
        <f>IF(AND(T414&lt;&gt;"",IFERROR(INDEX($A414:$R414,MATCH("Value Ex GST",$A$1:$R$1,0)),"")&amp;""&lt;&gt;""),1,0)</f>
        <v/>
      </c>
      <c r="W414" s="56">
        <f>IFERROR(N(IFERROR(INDEX($A414:$R414,MATCH("Probability",$A$1:$R$1,0)),"")),0)</f>
        <v/>
      </c>
      <c r="X414" s="52">
        <f>IF(T414="Open",U414*W414,0)</f>
        <v/>
      </c>
      <c r="Y414" s="52">
        <f>IF(T414="Won",IFERROR(N(IFERROR(INDEX($A414:$R414,MATCH("Still to Invoice",$A$1:$R$1,0)),"")),0),0)</f>
        <v/>
      </c>
      <c r="Z414" s="55">
        <f>IFERROR(EOMONTH(IFERROR(INDEX($A414:$R414,MATCH("Expected Invoice Month",$A$1:$R$1,0)),""),0),"")</f>
        <v/>
      </c>
      <c r="AA414" s="9">
        <f>IFERROR(INDEX($A414:$R414,MATCH("Cost Centre",$A$1:$R$1,0)),"")&amp;""</f>
        <v/>
      </c>
      <c r="AB414" s="9">
        <f>IFERROR(INDEX($A414:$R414,MATCH("Pipeline Stage",$A$1:$R$1,0)),"")&amp;""</f>
        <v/>
      </c>
      <c r="AC414" s="9">
        <f>IFERROR(INDEX($A414:$R414,MATCH("Client",$A$1:$R$1,0)),"")&amp;""</f>
        <v/>
      </c>
      <c r="AD414" s="9">
        <f>IFERROR(INDEX($A414:$R414,MATCH("Description",$A$1:$R$1,0)),"")&amp;""</f>
        <v/>
      </c>
      <c r="AE414" s="9">
        <f>IFERROR(INDEX($A414:$R414,MATCH("Job Number",$A$1:$R$1,0)),"")&amp;""</f>
        <v/>
      </c>
      <c r="AF414" s="54">
        <f>IF(AND(T414="Open",ISNUMBER(Z414),Z414&lt;EOMONTH(set_AsAt,-1)+1),3,0)</f>
        <v/>
      </c>
      <c r="AG414" s="54">
        <f>IF(AND(T414="Open",U414&gt;0,U414&gt;=set_DealShare*SUMIFS($U$2:$U$601,$T$2:$T$601,"Open")),3,0)</f>
        <v/>
      </c>
      <c r="AH414" s="54">
        <f>IF(AND(T414="Open",U414&gt;=set_BigValue,W414&lt;=set_EarlyProb),2,0)</f>
        <v/>
      </c>
      <c r="AI414" s="54">
        <f>IF(AND(OR(T414="Open",T414="Won"),V414=0),2,0)</f>
        <v/>
      </c>
      <c r="AJ414" s="54">
        <f>IF(AND(T414="Won",Y414&gt;0.5,ISNUMBER(Z414),Z414&lt;EOMONTH(set_AsAt,-1)+1),3,0)</f>
        <v/>
      </c>
      <c r="AK414" s="54">
        <f>IF(AND(T414="Won",Y414&lt;-1),1,0)</f>
        <v/>
      </c>
      <c r="AL414" s="54">
        <f>SUM(AF414:AK414)</f>
        <v/>
      </c>
      <c r="AM414" s="9">
        <f>IF(AL414&gt;=set_ScoreHigh,"High",IF(AL414&gt;=set_ScoreMed,"Medium",IF(AL414&gt;0,"Low","OK")))</f>
        <v/>
      </c>
      <c r="AN414" s="54">
        <f>IF(OR(T414="Open",AND(T414="Won",ABS(Y414)&gt;0.5)),1,0)</f>
        <v/>
      </c>
      <c r="AO414" s="52">
        <f>IF(T414="Open",IF(V414=0,0,X414),IF(T414="Won",MAX(0,Y414),0))</f>
        <v/>
      </c>
      <c r="AP414" s="54">
        <f>IF(AN414=1,AL414*1E+9+U414+ROW()/1E+6,"")</f>
        <v/>
      </c>
      <c r="AQ414" s="9">
        <f>MID(IF(AF414&gt;0,"; Expected month passed - update Zoho","")&amp;IF(AG414&gt;0,"; "&amp;TEXT(U414/MAX(1,SUMIFS($U$2:$U$601,$T$2:$T$601,"Open")),"0%")&amp;" of open pipeline in one deal","")&amp;IF(AH414&gt;0,"; Large deal at an early stage","")&amp;IF(AI414&gt;0,"; No amount in Zoho","")&amp;IF(AJ414&gt;0,"; Won, invoice month passed, not fully invoiced","")&amp;IF(AK414&gt;0,"; Xero invoiced more than the deal value",""),3,300)</f>
        <v/>
      </c>
    </row>
    <row r="415">
      <c r="T415" s="9">
        <f>IFERROR(INDEX($A415:$R415,MATCH("Status",$A$1:$R$1,0)),"")&amp;""</f>
        <v/>
      </c>
      <c r="U415" s="52">
        <f>IFERROR(N(IFERROR(INDEX($A415:$R415,MATCH("Value Ex GST",$A$1:$R$1,0)),"")),0)</f>
        <v/>
      </c>
      <c r="V415" s="54">
        <f>IF(AND(T415&lt;&gt;"",IFERROR(INDEX($A415:$R415,MATCH("Value Ex GST",$A$1:$R$1,0)),"")&amp;""&lt;&gt;""),1,0)</f>
        <v/>
      </c>
      <c r="W415" s="56">
        <f>IFERROR(N(IFERROR(INDEX($A415:$R415,MATCH("Probability",$A$1:$R$1,0)),"")),0)</f>
        <v/>
      </c>
      <c r="X415" s="52">
        <f>IF(T415="Open",U415*W415,0)</f>
        <v/>
      </c>
      <c r="Y415" s="52">
        <f>IF(T415="Won",IFERROR(N(IFERROR(INDEX($A415:$R415,MATCH("Still to Invoice",$A$1:$R$1,0)),"")),0),0)</f>
        <v/>
      </c>
      <c r="Z415" s="55">
        <f>IFERROR(EOMONTH(IFERROR(INDEX($A415:$R415,MATCH("Expected Invoice Month",$A$1:$R$1,0)),""),0),"")</f>
        <v/>
      </c>
      <c r="AA415" s="9">
        <f>IFERROR(INDEX($A415:$R415,MATCH("Cost Centre",$A$1:$R$1,0)),"")&amp;""</f>
        <v/>
      </c>
      <c r="AB415" s="9">
        <f>IFERROR(INDEX($A415:$R415,MATCH("Pipeline Stage",$A$1:$R$1,0)),"")&amp;""</f>
        <v/>
      </c>
      <c r="AC415" s="9">
        <f>IFERROR(INDEX($A415:$R415,MATCH("Client",$A$1:$R$1,0)),"")&amp;""</f>
        <v/>
      </c>
      <c r="AD415" s="9">
        <f>IFERROR(INDEX($A415:$R415,MATCH("Description",$A$1:$R$1,0)),"")&amp;""</f>
        <v/>
      </c>
      <c r="AE415" s="9">
        <f>IFERROR(INDEX($A415:$R415,MATCH("Job Number",$A$1:$R$1,0)),"")&amp;""</f>
        <v/>
      </c>
      <c r="AF415" s="54">
        <f>IF(AND(T415="Open",ISNUMBER(Z415),Z415&lt;EOMONTH(set_AsAt,-1)+1),3,0)</f>
        <v/>
      </c>
      <c r="AG415" s="54">
        <f>IF(AND(T415="Open",U415&gt;0,U415&gt;=set_DealShare*SUMIFS($U$2:$U$601,$T$2:$T$601,"Open")),3,0)</f>
        <v/>
      </c>
      <c r="AH415" s="54">
        <f>IF(AND(T415="Open",U415&gt;=set_BigValue,W415&lt;=set_EarlyProb),2,0)</f>
        <v/>
      </c>
      <c r="AI415" s="54">
        <f>IF(AND(OR(T415="Open",T415="Won"),V415=0),2,0)</f>
        <v/>
      </c>
      <c r="AJ415" s="54">
        <f>IF(AND(T415="Won",Y415&gt;0.5,ISNUMBER(Z415),Z415&lt;EOMONTH(set_AsAt,-1)+1),3,0)</f>
        <v/>
      </c>
      <c r="AK415" s="54">
        <f>IF(AND(T415="Won",Y415&lt;-1),1,0)</f>
        <v/>
      </c>
      <c r="AL415" s="54">
        <f>SUM(AF415:AK415)</f>
        <v/>
      </c>
      <c r="AM415" s="9">
        <f>IF(AL415&gt;=set_ScoreHigh,"High",IF(AL415&gt;=set_ScoreMed,"Medium",IF(AL415&gt;0,"Low","OK")))</f>
        <v/>
      </c>
      <c r="AN415" s="54">
        <f>IF(OR(T415="Open",AND(T415="Won",ABS(Y415)&gt;0.5)),1,0)</f>
        <v/>
      </c>
      <c r="AO415" s="52">
        <f>IF(T415="Open",IF(V415=0,0,X415),IF(T415="Won",MAX(0,Y415),0))</f>
        <v/>
      </c>
      <c r="AP415" s="54">
        <f>IF(AN415=1,AL415*1E+9+U415+ROW()/1E+6,"")</f>
        <v/>
      </c>
      <c r="AQ415" s="9">
        <f>MID(IF(AF415&gt;0,"; Expected month passed - update Zoho","")&amp;IF(AG415&gt;0,"; "&amp;TEXT(U415/MAX(1,SUMIFS($U$2:$U$601,$T$2:$T$601,"Open")),"0%")&amp;" of open pipeline in one deal","")&amp;IF(AH415&gt;0,"; Large deal at an early stage","")&amp;IF(AI415&gt;0,"; No amount in Zoho","")&amp;IF(AJ415&gt;0,"; Won, invoice month passed, not fully invoiced","")&amp;IF(AK415&gt;0,"; Xero invoiced more than the deal value",""),3,300)</f>
        <v/>
      </c>
    </row>
    <row r="416">
      <c r="T416" s="9">
        <f>IFERROR(INDEX($A416:$R416,MATCH("Status",$A$1:$R$1,0)),"")&amp;""</f>
        <v/>
      </c>
      <c r="U416" s="52">
        <f>IFERROR(N(IFERROR(INDEX($A416:$R416,MATCH("Value Ex GST",$A$1:$R$1,0)),"")),0)</f>
        <v/>
      </c>
      <c r="V416" s="54">
        <f>IF(AND(T416&lt;&gt;"",IFERROR(INDEX($A416:$R416,MATCH("Value Ex GST",$A$1:$R$1,0)),"")&amp;""&lt;&gt;""),1,0)</f>
        <v/>
      </c>
      <c r="W416" s="56">
        <f>IFERROR(N(IFERROR(INDEX($A416:$R416,MATCH("Probability",$A$1:$R$1,0)),"")),0)</f>
        <v/>
      </c>
      <c r="X416" s="52">
        <f>IF(T416="Open",U416*W416,0)</f>
        <v/>
      </c>
      <c r="Y416" s="52">
        <f>IF(T416="Won",IFERROR(N(IFERROR(INDEX($A416:$R416,MATCH("Still to Invoice",$A$1:$R$1,0)),"")),0),0)</f>
        <v/>
      </c>
      <c r="Z416" s="55">
        <f>IFERROR(EOMONTH(IFERROR(INDEX($A416:$R416,MATCH("Expected Invoice Month",$A$1:$R$1,0)),""),0),"")</f>
        <v/>
      </c>
      <c r="AA416" s="9">
        <f>IFERROR(INDEX($A416:$R416,MATCH("Cost Centre",$A$1:$R$1,0)),"")&amp;""</f>
        <v/>
      </c>
      <c r="AB416" s="9">
        <f>IFERROR(INDEX($A416:$R416,MATCH("Pipeline Stage",$A$1:$R$1,0)),"")&amp;""</f>
        <v/>
      </c>
      <c r="AC416" s="9">
        <f>IFERROR(INDEX($A416:$R416,MATCH("Client",$A$1:$R$1,0)),"")&amp;""</f>
        <v/>
      </c>
      <c r="AD416" s="9">
        <f>IFERROR(INDEX($A416:$R416,MATCH("Description",$A$1:$R$1,0)),"")&amp;""</f>
        <v/>
      </c>
      <c r="AE416" s="9">
        <f>IFERROR(INDEX($A416:$R416,MATCH("Job Number",$A$1:$R$1,0)),"")&amp;""</f>
        <v/>
      </c>
      <c r="AF416" s="54">
        <f>IF(AND(T416="Open",ISNUMBER(Z416),Z416&lt;EOMONTH(set_AsAt,-1)+1),3,0)</f>
        <v/>
      </c>
      <c r="AG416" s="54">
        <f>IF(AND(T416="Open",U416&gt;0,U416&gt;=set_DealShare*SUMIFS($U$2:$U$601,$T$2:$T$601,"Open")),3,0)</f>
        <v/>
      </c>
      <c r="AH416" s="54">
        <f>IF(AND(T416="Open",U416&gt;=set_BigValue,W416&lt;=set_EarlyProb),2,0)</f>
        <v/>
      </c>
      <c r="AI416" s="54">
        <f>IF(AND(OR(T416="Open",T416="Won"),V416=0),2,0)</f>
        <v/>
      </c>
      <c r="AJ416" s="54">
        <f>IF(AND(T416="Won",Y416&gt;0.5,ISNUMBER(Z416),Z416&lt;EOMONTH(set_AsAt,-1)+1),3,0)</f>
        <v/>
      </c>
      <c r="AK416" s="54">
        <f>IF(AND(T416="Won",Y416&lt;-1),1,0)</f>
        <v/>
      </c>
      <c r="AL416" s="54">
        <f>SUM(AF416:AK416)</f>
        <v/>
      </c>
      <c r="AM416" s="9">
        <f>IF(AL416&gt;=set_ScoreHigh,"High",IF(AL416&gt;=set_ScoreMed,"Medium",IF(AL416&gt;0,"Low","OK")))</f>
        <v/>
      </c>
      <c r="AN416" s="54">
        <f>IF(OR(T416="Open",AND(T416="Won",ABS(Y416)&gt;0.5)),1,0)</f>
        <v/>
      </c>
      <c r="AO416" s="52">
        <f>IF(T416="Open",IF(V416=0,0,X416),IF(T416="Won",MAX(0,Y416),0))</f>
        <v/>
      </c>
      <c r="AP416" s="54">
        <f>IF(AN416=1,AL416*1E+9+U416+ROW()/1E+6,"")</f>
        <v/>
      </c>
      <c r="AQ416" s="9">
        <f>MID(IF(AF416&gt;0,"; Expected month passed - update Zoho","")&amp;IF(AG416&gt;0,"; "&amp;TEXT(U416/MAX(1,SUMIFS($U$2:$U$601,$T$2:$T$601,"Open")),"0%")&amp;" of open pipeline in one deal","")&amp;IF(AH416&gt;0,"; Large deal at an early stage","")&amp;IF(AI416&gt;0,"; No amount in Zoho","")&amp;IF(AJ416&gt;0,"; Won, invoice month passed, not fully invoiced","")&amp;IF(AK416&gt;0,"; Xero invoiced more than the deal value",""),3,300)</f>
        <v/>
      </c>
    </row>
    <row r="417">
      <c r="T417" s="9">
        <f>IFERROR(INDEX($A417:$R417,MATCH("Status",$A$1:$R$1,0)),"")&amp;""</f>
        <v/>
      </c>
      <c r="U417" s="52">
        <f>IFERROR(N(IFERROR(INDEX($A417:$R417,MATCH("Value Ex GST",$A$1:$R$1,0)),"")),0)</f>
        <v/>
      </c>
      <c r="V417" s="54">
        <f>IF(AND(T417&lt;&gt;"",IFERROR(INDEX($A417:$R417,MATCH("Value Ex GST",$A$1:$R$1,0)),"")&amp;""&lt;&gt;""),1,0)</f>
        <v/>
      </c>
      <c r="W417" s="56">
        <f>IFERROR(N(IFERROR(INDEX($A417:$R417,MATCH("Probability",$A$1:$R$1,0)),"")),0)</f>
        <v/>
      </c>
      <c r="X417" s="52">
        <f>IF(T417="Open",U417*W417,0)</f>
        <v/>
      </c>
      <c r="Y417" s="52">
        <f>IF(T417="Won",IFERROR(N(IFERROR(INDEX($A417:$R417,MATCH("Still to Invoice",$A$1:$R$1,0)),"")),0),0)</f>
        <v/>
      </c>
      <c r="Z417" s="55">
        <f>IFERROR(EOMONTH(IFERROR(INDEX($A417:$R417,MATCH("Expected Invoice Month",$A$1:$R$1,0)),""),0),"")</f>
        <v/>
      </c>
      <c r="AA417" s="9">
        <f>IFERROR(INDEX($A417:$R417,MATCH("Cost Centre",$A$1:$R$1,0)),"")&amp;""</f>
        <v/>
      </c>
      <c r="AB417" s="9">
        <f>IFERROR(INDEX($A417:$R417,MATCH("Pipeline Stage",$A$1:$R$1,0)),"")&amp;""</f>
        <v/>
      </c>
      <c r="AC417" s="9">
        <f>IFERROR(INDEX($A417:$R417,MATCH("Client",$A$1:$R$1,0)),"")&amp;""</f>
        <v/>
      </c>
      <c r="AD417" s="9">
        <f>IFERROR(INDEX($A417:$R417,MATCH("Description",$A$1:$R$1,0)),"")&amp;""</f>
        <v/>
      </c>
      <c r="AE417" s="9">
        <f>IFERROR(INDEX($A417:$R417,MATCH("Job Number",$A$1:$R$1,0)),"")&amp;""</f>
        <v/>
      </c>
      <c r="AF417" s="54">
        <f>IF(AND(T417="Open",ISNUMBER(Z417),Z417&lt;EOMONTH(set_AsAt,-1)+1),3,0)</f>
        <v/>
      </c>
      <c r="AG417" s="54">
        <f>IF(AND(T417="Open",U417&gt;0,U417&gt;=set_DealShare*SUMIFS($U$2:$U$601,$T$2:$T$601,"Open")),3,0)</f>
        <v/>
      </c>
      <c r="AH417" s="54">
        <f>IF(AND(T417="Open",U417&gt;=set_BigValue,W417&lt;=set_EarlyProb),2,0)</f>
        <v/>
      </c>
      <c r="AI417" s="54">
        <f>IF(AND(OR(T417="Open",T417="Won"),V417=0),2,0)</f>
        <v/>
      </c>
      <c r="AJ417" s="54">
        <f>IF(AND(T417="Won",Y417&gt;0.5,ISNUMBER(Z417),Z417&lt;EOMONTH(set_AsAt,-1)+1),3,0)</f>
        <v/>
      </c>
      <c r="AK417" s="54">
        <f>IF(AND(T417="Won",Y417&lt;-1),1,0)</f>
        <v/>
      </c>
      <c r="AL417" s="54">
        <f>SUM(AF417:AK417)</f>
        <v/>
      </c>
      <c r="AM417" s="9">
        <f>IF(AL417&gt;=set_ScoreHigh,"High",IF(AL417&gt;=set_ScoreMed,"Medium",IF(AL417&gt;0,"Low","OK")))</f>
        <v/>
      </c>
      <c r="AN417" s="54">
        <f>IF(OR(T417="Open",AND(T417="Won",ABS(Y417)&gt;0.5)),1,0)</f>
        <v/>
      </c>
      <c r="AO417" s="52">
        <f>IF(T417="Open",IF(V417=0,0,X417),IF(T417="Won",MAX(0,Y417),0))</f>
        <v/>
      </c>
      <c r="AP417" s="54">
        <f>IF(AN417=1,AL417*1E+9+U417+ROW()/1E+6,"")</f>
        <v/>
      </c>
      <c r="AQ417" s="9">
        <f>MID(IF(AF417&gt;0,"; Expected month passed - update Zoho","")&amp;IF(AG417&gt;0,"; "&amp;TEXT(U417/MAX(1,SUMIFS($U$2:$U$601,$T$2:$T$601,"Open")),"0%")&amp;" of open pipeline in one deal","")&amp;IF(AH417&gt;0,"; Large deal at an early stage","")&amp;IF(AI417&gt;0,"; No amount in Zoho","")&amp;IF(AJ417&gt;0,"; Won, invoice month passed, not fully invoiced","")&amp;IF(AK417&gt;0,"; Xero invoiced more than the deal value",""),3,300)</f>
        <v/>
      </c>
    </row>
    <row r="418">
      <c r="T418" s="9">
        <f>IFERROR(INDEX($A418:$R418,MATCH("Status",$A$1:$R$1,0)),"")&amp;""</f>
        <v/>
      </c>
      <c r="U418" s="52">
        <f>IFERROR(N(IFERROR(INDEX($A418:$R418,MATCH("Value Ex GST",$A$1:$R$1,0)),"")),0)</f>
        <v/>
      </c>
      <c r="V418" s="54">
        <f>IF(AND(T418&lt;&gt;"",IFERROR(INDEX($A418:$R418,MATCH("Value Ex GST",$A$1:$R$1,0)),"")&amp;""&lt;&gt;""),1,0)</f>
        <v/>
      </c>
      <c r="W418" s="56">
        <f>IFERROR(N(IFERROR(INDEX($A418:$R418,MATCH("Probability",$A$1:$R$1,0)),"")),0)</f>
        <v/>
      </c>
      <c r="X418" s="52">
        <f>IF(T418="Open",U418*W418,0)</f>
        <v/>
      </c>
      <c r="Y418" s="52">
        <f>IF(T418="Won",IFERROR(N(IFERROR(INDEX($A418:$R418,MATCH("Still to Invoice",$A$1:$R$1,0)),"")),0),0)</f>
        <v/>
      </c>
      <c r="Z418" s="55">
        <f>IFERROR(EOMONTH(IFERROR(INDEX($A418:$R418,MATCH("Expected Invoice Month",$A$1:$R$1,0)),""),0),"")</f>
        <v/>
      </c>
      <c r="AA418" s="9">
        <f>IFERROR(INDEX($A418:$R418,MATCH("Cost Centre",$A$1:$R$1,0)),"")&amp;""</f>
        <v/>
      </c>
      <c r="AB418" s="9">
        <f>IFERROR(INDEX($A418:$R418,MATCH("Pipeline Stage",$A$1:$R$1,0)),"")&amp;""</f>
        <v/>
      </c>
      <c r="AC418" s="9">
        <f>IFERROR(INDEX($A418:$R418,MATCH("Client",$A$1:$R$1,0)),"")&amp;""</f>
        <v/>
      </c>
      <c r="AD418" s="9">
        <f>IFERROR(INDEX($A418:$R418,MATCH("Description",$A$1:$R$1,0)),"")&amp;""</f>
        <v/>
      </c>
      <c r="AE418" s="9">
        <f>IFERROR(INDEX($A418:$R418,MATCH("Job Number",$A$1:$R$1,0)),"")&amp;""</f>
        <v/>
      </c>
      <c r="AF418" s="54">
        <f>IF(AND(T418="Open",ISNUMBER(Z418),Z418&lt;EOMONTH(set_AsAt,-1)+1),3,0)</f>
        <v/>
      </c>
      <c r="AG418" s="54">
        <f>IF(AND(T418="Open",U418&gt;0,U418&gt;=set_DealShare*SUMIFS($U$2:$U$601,$T$2:$T$601,"Open")),3,0)</f>
        <v/>
      </c>
      <c r="AH418" s="54">
        <f>IF(AND(T418="Open",U418&gt;=set_BigValue,W418&lt;=set_EarlyProb),2,0)</f>
        <v/>
      </c>
      <c r="AI418" s="54">
        <f>IF(AND(OR(T418="Open",T418="Won"),V418=0),2,0)</f>
        <v/>
      </c>
      <c r="AJ418" s="54">
        <f>IF(AND(T418="Won",Y418&gt;0.5,ISNUMBER(Z418),Z418&lt;EOMONTH(set_AsAt,-1)+1),3,0)</f>
        <v/>
      </c>
      <c r="AK418" s="54">
        <f>IF(AND(T418="Won",Y418&lt;-1),1,0)</f>
        <v/>
      </c>
      <c r="AL418" s="54">
        <f>SUM(AF418:AK418)</f>
        <v/>
      </c>
      <c r="AM418" s="9">
        <f>IF(AL418&gt;=set_ScoreHigh,"High",IF(AL418&gt;=set_ScoreMed,"Medium",IF(AL418&gt;0,"Low","OK")))</f>
        <v/>
      </c>
      <c r="AN418" s="54">
        <f>IF(OR(T418="Open",AND(T418="Won",ABS(Y418)&gt;0.5)),1,0)</f>
        <v/>
      </c>
      <c r="AO418" s="52">
        <f>IF(T418="Open",IF(V418=0,0,X418),IF(T418="Won",MAX(0,Y418),0))</f>
        <v/>
      </c>
      <c r="AP418" s="54">
        <f>IF(AN418=1,AL418*1E+9+U418+ROW()/1E+6,"")</f>
        <v/>
      </c>
      <c r="AQ418" s="9">
        <f>MID(IF(AF418&gt;0,"; Expected month passed - update Zoho","")&amp;IF(AG418&gt;0,"; "&amp;TEXT(U418/MAX(1,SUMIFS($U$2:$U$601,$T$2:$T$601,"Open")),"0%")&amp;" of open pipeline in one deal","")&amp;IF(AH418&gt;0,"; Large deal at an early stage","")&amp;IF(AI418&gt;0,"; No amount in Zoho","")&amp;IF(AJ418&gt;0,"; Won, invoice month passed, not fully invoiced","")&amp;IF(AK418&gt;0,"; Xero invoiced more than the deal value",""),3,300)</f>
        <v/>
      </c>
    </row>
    <row r="419">
      <c r="T419" s="9">
        <f>IFERROR(INDEX($A419:$R419,MATCH("Status",$A$1:$R$1,0)),"")&amp;""</f>
        <v/>
      </c>
      <c r="U419" s="52">
        <f>IFERROR(N(IFERROR(INDEX($A419:$R419,MATCH("Value Ex GST",$A$1:$R$1,0)),"")),0)</f>
        <v/>
      </c>
      <c r="V419" s="54">
        <f>IF(AND(T419&lt;&gt;"",IFERROR(INDEX($A419:$R419,MATCH("Value Ex GST",$A$1:$R$1,0)),"")&amp;""&lt;&gt;""),1,0)</f>
        <v/>
      </c>
      <c r="W419" s="56">
        <f>IFERROR(N(IFERROR(INDEX($A419:$R419,MATCH("Probability",$A$1:$R$1,0)),"")),0)</f>
        <v/>
      </c>
      <c r="X419" s="52">
        <f>IF(T419="Open",U419*W419,0)</f>
        <v/>
      </c>
      <c r="Y419" s="52">
        <f>IF(T419="Won",IFERROR(N(IFERROR(INDEX($A419:$R419,MATCH("Still to Invoice",$A$1:$R$1,0)),"")),0),0)</f>
        <v/>
      </c>
      <c r="Z419" s="55">
        <f>IFERROR(EOMONTH(IFERROR(INDEX($A419:$R419,MATCH("Expected Invoice Month",$A$1:$R$1,0)),""),0),"")</f>
        <v/>
      </c>
      <c r="AA419" s="9">
        <f>IFERROR(INDEX($A419:$R419,MATCH("Cost Centre",$A$1:$R$1,0)),"")&amp;""</f>
        <v/>
      </c>
      <c r="AB419" s="9">
        <f>IFERROR(INDEX($A419:$R419,MATCH("Pipeline Stage",$A$1:$R$1,0)),"")&amp;""</f>
        <v/>
      </c>
      <c r="AC419" s="9">
        <f>IFERROR(INDEX($A419:$R419,MATCH("Client",$A$1:$R$1,0)),"")&amp;""</f>
        <v/>
      </c>
      <c r="AD419" s="9">
        <f>IFERROR(INDEX($A419:$R419,MATCH("Description",$A$1:$R$1,0)),"")&amp;""</f>
        <v/>
      </c>
      <c r="AE419" s="9">
        <f>IFERROR(INDEX($A419:$R419,MATCH("Job Number",$A$1:$R$1,0)),"")&amp;""</f>
        <v/>
      </c>
      <c r="AF419" s="54">
        <f>IF(AND(T419="Open",ISNUMBER(Z419),Z419&lt;EOMONTH(set_AsAt,-1)+1),3,0)</f>
        <v/>
      </c>
      <c r="AG419" s="54">
        <f>IF(AND(T419="Open",U419&gt;0,U419&gt;=set_DealShare*SUMIFS($U$2:$U$601,$T$2:$T$601,"Open")),3,0)</f>
        <v/>
      </c>
      <c r="AH419" s="54">
        <f>IF(AND(T419="Open",U419&gt;=set_BigValue,W419&lt;=set_EarlyProb),2,0)</f>
        <v/>
      </c>
      <c r="AI419" s="54">
        <f>IF(AND(OR(T419="Open",T419="Won"),V419=0),2,0)</f>
        <v/>
      </c>
      <c r="AJ419" s="54">
        <f>IF(AND(T419="Won",Y419&gt;0.5,ISNUMBER(Z419),Z419&lt;EOMONTH(set_AsAt,-1)+1),3,0)</f>
        <v/>
      </c>
      <c r="AK419" s="54">
        <f>IF(AND(T419="Won",Y419&lt;-1),1,0)</f>
        <v/>
      </c>
      <c r="AL419" s="54">
        <f>SUM(AF419:AK419)</f>
        <v/>
      </c>
      <c r="AM419" s="9">
        <f>IF(AL419&gt;=set_ScoreHigh,"High",IF(AL419&gt;=set_ScoreMed,"Medium",IF(AL419&gt;0,"Low","OK")))</f>
        <v/>
      </c>
      <c r="AN419" s="54">
        <f>IF(OR(T419="Open",AND(T419="Won",ABS(Y419)&gt;0.5)),1,0)</f>
        <v/>
      </c>
      <c r="AO419" s="52">
        <f>IF(T419="Open",IF(V419=0,0,X419),IF(T419="Won",MAX(0,Y419),0))</f>
        <v/>
      </c>
      <c r="AP419" s="54">
        <f>IF(AN419=1,AL419*1E+9+U419+ROW()/1E+6,"")</f>
        <v/>
      </c>
      <c r="AQ419" s="9">
        <f>MID(IF(AF419&gt;0,"; Expected month passed - update Zoho","")&amp;IF(AG419&gt;0,"; "&amp;TEXT(U419/MAX(1,SUMIFS($U$2:$U$601,$T$2:$T$601,"Open")),"0%")&amp;" of open pipeline in one deal","")&amp;IF(AH419&gt;0,"; Large deal at an early stage","")&amp;IF(AI419&gt;0,"; No amount in Zoho","")&amp;IF(AJ419&gt;0,"; Won, invoice month passed, not fully invoiced","")&amp;IF(AK419&gt;0,"; Xero invoiced more than the deal value",""),3,300)</f>
        <v/>
      </c>
    </row>
    <row r="420">
      <c r="T420" s="9">
        <f>IFERROR(INDEX($A420:$R420,MATCH("Status",$A$1:$R$1,0)),"")&amp;""</f>
        <v/>
      </c>
      <c r="U420" s="52">
        <f>IFERROR(N(IFERROR(INDEX($A420:$R420,MATCH("Value Ex GST",$A$1:$R$1,0)),"")),0)</f>
        <v/>
      </c>
      <c r="V420" s="54">
        <f>IF(AND(T420&lt;&gt;"",IFERROR(INDEX($A420:$R420,MATCH("Value Ex GST",$A$1:$R$1,0)),"")&amp;""&lt;&gt;""),1,0)</f>
        <v/>
      </c>
      <c r="W420" s="56">
        <f>IFERROR(N(IFERROR(INDEX($A420:$R420,MATCH("Probability",$A$1:$R$1,0)),"")),0)</f>
        <v/>
      </c>
      <c r="X420" s="52">
        <f>IF(T420="Open",U420*W420,0)</f>
        <v/>
      </c>
      <c r="Y420" s="52">
        <f>IF(T420="Won",IFERROR(N(IFERROR(INDEX($A420:$R420,MATCH("Still to Invoice",$A$1:$R$1,0)),"")),0),0)</f>
        <v/>
      </c>
      <c r="Z420" s="55">
        <f>IFERROR(EOMONTH(IFERROR(INDEX($A420:$R420,MATCH("Expected Invoice Month",$A$1:$R$1,0)),""),0),"")</f>
        <v/>
      </c>
      <c r="AA420" s="9">
        <f>IFERROR(INDEX($A420:$R420,MATCH("Cost Centre",$A$1:$R$1,0)),"")&amp;""</f>
        <v/>
      </c>
      <c r="AB420" s="9">
        <f>IFERROR(INDEX($A420:$R420,MATCH("Pipeline Stage",$A$1:$R$1,0)),"")&amp;""</f>
        <v/>
      </c>
      <c r="AC420" s="9">
        <f>IFERROR(INDEX($A420:$R420,MATCH("Client",$A$1:$R$1,0)),"")&amp;""</f>
        <v/>
      </c>
      <c r="AD420" s="9">
        <f>IFERROR(INDEX($A420:$R420,MATCH("Description",$A$1:$R$1,0)),"")&amp;""</f>
        <v/>
      </c>
      <c r="AE420" s="9">
        <f>IFERROR(INDEX($A420:$R420,MATCH("Job Number",$A$1:$R$1,0)),"")&amp;""</f>
        <v/>
      </c>
      <c r="AF420" s="54">
        <f>IF(AND(T420="Open",ISNUMBER(Z420),Z420&lt;EOMONTH(set_AsAt,-1)+1),3,0)</f>
        <v/>
      </c>
      <c r="AG420" s="54">
        <f>IF(AND(T420="Open",U420&gt;0,U420&gt;=set_DealShare*SUMIFS($U$2:$U$601,$T$2:$T$601,"Open")),3,0)</f>
        <v/>
      </c>
      <c r="AH420" s="54">
        <f>IF(AND(T420="Open",U420&gt;=set_BigValue,W420&lt;=set_EarlyProb),2,0)</f>
        <v/>
      </c>
      <c r="AI420" s="54">
        <f>IF(AND(OR(T420="Open",T420="Won"),V420=0),2,0)</f>
        <v/>
      </c>
      <c r="AJ420" s="54">
        <f>IF(AND(T420="Won",Y420&gt;0.5,ISNUMBER(Z420),Z420&lt;EOMONTH(set_AsAt,-1)+1),3,0)</f>
        <v/>
      </c>
      <c r="AK420" s="54">
        <f>IF(AND(T420="Won",Y420&lt;-1),1,0)</f>
        <v/>
      </c>
      <c r="AL420" s="54">
        <f>SUM(AF420:AK420)</f>
        <v/>
      </c>
      <c r="AM420" s="9">
        <f>IF(AL420&gt;=set_ScoreHigh,"High",IF(AL420&gt;=set_ScoreMed,"Medium",IF(AL420&gt;0,"Low","OK")))</f>
        <v/>
      </c>
      <c r="AN420" s="54">
        <f>IF(OR(T420="Open",AND(T420="Won",ABS(Y420)&gt;0.5)),1,0)</f>
        <v/>
      </c>
      <c r="AO420" s="52">
        <f>IF(T420="Open",IF(V420=0,0,X420),IF(T420="Won",MAX(0,Y420),0))</f>
        <v/>
      </c>
      <c r="AP420" s="54">
        <f>IF(AN420=1,AL420*1E+9+U420+ROW()/1E+6,"")</f>
        <v/>
      </c>
      <c r="AQ420" s="9">
        <f>MID(IF(AF420&gt;0,"; Expected month passed - update Zoho","")&amp;IF(AG420&gt;0,"; "&amp;TEXT(U420/MAX(1,SUMIFS($U$2:$U$601,$T$2:$T$601,"Open")),"0%")&amp;" of open pipeline in one deal","")&amp;IF(AH420&gt;0,"; Large deal at an early stage","")&amp;IF(AI420&gt;0,"; No amount in Zoho","")&amp;IF(AJ420&gt;0,"; Won, invoice month passed, not fully invoiced","")&amp;IF(AK420&gt;0,"; Xero invoiced more than the deal value",""),3,300)</f>
        <v/>
      </c>
    </row>
    <row r="421">
      <c r="T421" s="9">
        <f>IFERROR(INDEX($A421:$R421,MATCH("Status",$A$1:$R$1,0)),"")&amp;""</f>
        <v/>
      </c>
      <c r="U421" s="52">
        <f>IFERROR(N(IFERROR(INDEX($A421:$R421,MATCH("Value Ex GST",$A$1:$R$1,0)),"")),0)</f>
        <v/>
      </c>
      <c r="V421" s="54">
        <f>IF(AND(T421&lt;&gt;"",IFERROR(INDEX($A421:$R421,MATCH("Value Ex GST",$A$1:$R$1,0)),"")&amp;""&lt;&gt;""),1,0)</f>
        <v/>
      </c>
      <c r="W421" s="56">
        <f>IFERROR(N(IFERROR(INDEX($A421:$R421,MATCH("Probability",$A$1:$R$1,0)),"")),0)</f>
        <v/>
      </c>
      <c r="X421" s="52">
        <f>IF(T421="Open",U421*W421,0)</f>
        <v/>
      </c>
      <c r="Y421" s="52">
        <f>IF(T421="Won",IFERROR(N(IFERROR(INDEX($A421:$R421,MATCH("Still to Invoice",$A$1:$R$1,0)),"")),0),0)</f>
        <v/>
      </c>
      <c r="Z421" s="55">
        <f>IFERROR(EOMONTH(IFERROR(INDEX($A421:$R421,MATCH("Expected Invoice Month",$A$1:$R$1,0)),""),0),"")</f>
        <v/>
      </c>
      <c r="AA421" s="9">
        <f>IFERROR(INDEX($A421:$R421,MATCH("Cost Centre",$A$1:$R$1,0)),"")&amp;""</f>
        <v/>
      </c>
      <c r="AB421" s="9">
        <f>IFERROR(INDEX($A421:$R421,MATCH("Pipeline Stage",$A$1:$R$1,0)),"")&amp;""</f>
        <v/>
      </c>
      <c r="AC421" s="9">
        <f>IFERROR(INDEX($A421:$R421,MATCH("Client",$A$1:$R$1,0)),"")&amp;""</f>
        <v/>
      </c>
      <c r="AD421" s="9">
        <f>IFERROR(INDEX($A421:$R421,MATCH("Description",$A$1:$R$1,0)),"")&amp;""</f>
        <v/>
      </c>
      <c r="AE421" s="9">
        <f>IFERROR(INDEX($A421:$R421,MATCH("Job Number",$A$1:$R$1,0)),"")&amp;""</f>
        <v/>
      </c>
      <c r="AF421" s="54">
        <f>IF(AND(T421="Open",ISNUMBER(Z421),Z421&lt;EOMONTH(set_AsAt,-1)+1),3,0)</f>
        <v/>
      </c>
      <c r="AG421" s="54">
        <f>IF(AND(T421="Open",U421&gt;0,U421&gt;=set_DealShare*SUMIFS($U$2:$U$601,$T$2:$T$601,"Open")),3,0)</f>
        <v/>
      </c>
      <c r="AH421" s="54">
        <f>IF(AND(T421="Open",U421&gt;=set_BigValue,W421&lt;=set_EarlyProb),2,0)</f>
        <v/>
      </c>
      <c r="AI421" s="54">
        <f>IF(AND(OR(T421="Open",T421="Won"),V421=0),2,0)</f>
        <v/>
      </c>
      <c r="AJ421" s="54">
        <f>IF(AND(T421="Won",Y421&gt;0.5,ISNUMBER(Z421),Z421&lt;EOMONTH(set_AsAt,-1)+1),3,0)</f>
        <v/>
      </c>
      <c r="AK421" s="54">
        <f>IF(AND(T421="Won",Y421&lt;-1),1,0)</f>
        <v/>
      </c>
      <c r="AL421" s="54">
        <f>SUM(AF421:AK421)</f>
        <v/>
      </c>
      <c r="AM421" s="9">
        <f>IF(AL421&gt;=set_ScoreHigh,"High",IF(AL421&gt;=set_ScoreMed,"Medium",IF(AL421&gt;0,"Low","OK")))</f>
        <v/>
      </c>
      <c r="AN421" s="54">
        <f>IF(OR(T421="Open",AND(T421="Won",ABS(Y421)&gt;0.5)),1,0)</f>
        <v/>
      </c>
      <c r="AO421" s="52">
        <f>IF(T421="Open",IF(V421=0,0,X421),IF(T421="Won",MAX(0,Y421),0))</f>
        <v/>
      </c>
      <c r="AP421" s="54">
        <f>IF(AN421=1,AL421*1E+9+U421+ROW()/1E+6,"")</f>
        <v/>
      </c>
      <c r="AQ421" s="9">
        <f>MID(IF(AF421&gt;0,"; Expected month passed - update Zoho","")&amp;IF(AG421&gt;0,"; "&amp;TEXT(U421/MAX(1,SUMIFS($U$2:$U$601,$T$2:$T$601,"Open")),"0%")&amp;" of open pipeline in one deal","")&amp;IF(AH421&gt;0,"; Large deal at an early stage","")&amp;IF(AI421&gt;0,"; No amount in Zoho","")&amp;IF(AJ421&gt;0,"; Won, invoice month passed, not fully invoiced","")&amp;IF(AK421&gt;0,"; Xero invoiced more than the deal value",""),3,300)</f>
        <v/>
      </c>
    </row>
    <row r="422">
      <c r="T422" s="9">
        <f>IFERROR(INDEX($A422:$R422,MATCH("Status",$A$1:$R$1,0)),"")&amp;""</f>
        <v/>
      </c>
      <c r="U422" s="52">
        <f>IFERROR(N(IFERROR(INDEX($A422:$R422,MATCH("Value Ex GST",$A$1:$R$1,0)),"")),0)</f>
        <v/>
      </c>
      <c r="V422" s="54">
        <f>IF(AND(T422&lt;&gt;"",IFERROR(INDEX($A422:$R422,MATCH("Value Ex GST",$A$1:$R$1,0)),"")&amp;""&lt;&gt;""),1,0)</f>
        <v/>
      </c>
      <c r="W422" s="56">
        <f>IFERROR(N(IFERROR(INDEX($A422:$R422,MATCH("Probability",$A$1:$R$1,0)),"")),0)</f>
        <v/>
      </c>
      <c r="X422" s="52">
        <f>IF(T422="Open",U422*W422,0)</f>
        <v/>
      </c>
      <c r="Y422" s="52">
        <f>IF(T422="Won",IFERROR(N(IFERROR(INDEX($A422:$R422,MATCH("Still to Invoice",$A$1:$R$1,0)),"")),0),0)</f>
        <v/>
      </c>
      <c r="Z422" s="55">
        <f>IFERROR(EOMONTH(IFERROR(INDEX($A422:$R422,MATCH("Expected Invoice Month",$A$1:$R$1,0)),""),0),"")</f>
        <v/>
      </c>
      <c r="AA422" s="9">
        <f>IFERROR(INDEX($A422:$R422,MATCH("Cost Centre",$A$1:$R$1,0)),"")&amp;""</f>
        <v/>
      </c>
      <c r="AB422" s="9">
        <f>IFERROR(INDEX($A422:$R422,MATCH("Pipeline Stage",$A$1:$R$1,0)),"")&amp;""</f>
        <v/>
      </c>
      <c r="AC422" s="9">
        <f>IFERROR(INDEX($A422:$R422,MATCH("Client",$A$1:$R$1,0)),"")&amp;""</f>
        <v/>
      </c>
      <c r="AD422" s="9">
        <f>IFERROR(INDEX($A422:$R422,MATCH("Description",$A$1:$R$1,0)),"")&amp;""</f>
        <v/>
      </c>
      <c r="AE422" s="9">
        <f>IFERROR(INDEX($A422:$R422,MATCH("Job Number",$A$1:$R$1,0)),"")&amp;""</f>
        <v/>
      </c>
      <c r="AF422" s="54">
        <f>IF(AND(T422="Open",ISNUMBER(Z422),Z422&lt;EOMONTH(set_AsAt,-1)+1),3,0)</f>
        <v/>
      </c>
      <c r="AG422" s="54">
        <f>IF(AND(T422="Open",U422&gt;0,U422&gt;=set_DealShare*SUMIFS($U$2:$U$601,$T$2:$T$601,"Open")),3,0)</f>
        <v/>
      </c>
      <c r="AH422" s="54">
        <f>IF(AND(T422="Open",U422&gt;=set_BigValue,W422&lt;=set_EarlyProb),2,0)</f>
        <v/>
      </c>
      <c r="AI422" s="54">
        <f>IF(AND(OR(T422="Open",T422="Won"),V422=0),2,0)</f>
        <v/>
      </c>
      <c r="AJ422" s="54">
        <f>IF(AND(T422="Won",Y422&gt;0.5,ISNUMBER(Z422),Z422&lt;EOMONTH(set_AsAt,-1)+1),3,0)</f>
        <v/>
      </c>
      <c r="AK422" s="54">
        <f>IF(AND(T422="Won",Y422&lt;-1),1,0)</f>
        <v/>
      </c>
      <c r="AL422" s="54">
        <f>SUM(AF422:AK422)</f>
        <v/>
      </c>
      <c r="AM422" s="9">
        <f>IF(AL422&gt;=set_ScoreHigh,"High",IF(AL422&gt;=set_ScoreMed,"Medium",IF(AL422&gt;0,"Low","OK")))</f>
        <v/>
      </c>
      <c r="AN422" s="54">
        <f>IF(OR(T422="Open",AND(T422="Won",ABS(Y422)&gt;0.5)),1,0)</f>
        <v/>
      </c>
      <c r="AO422" s="52">
        <f>IF(T422="Open",IF(V422=0,0,X422),IF(T422="Won",MAX(0,Y422),0))</f>
        <v/>
      </c>
      <c r="AP422" s="54">
        <f>IF(AN422=1,AL422*1E+9+U422+ROW()/1E+6,"")</f>
        <v/>
      </c>
      <c r="AQ422" s="9">
        <f>MID(IF(AF422&gt;0,"; Expected month passed - update Zoho","")&amp;IF(AG422&gt;0,"; "&amp;TEXT(U422/MAX(1,SUMIFS($U$2:$U$601,$T$2:$T$601,"Open")),"0%")&amp;" of open pipeline in one deal","")&amp;IF(AH422&gt;0,"; Large deal at an early stage","")&amp;IF(AI422&gt;0,"; No amount in Zoho","")&amp;IF(AJ422&gt;0,"; Won, invoice month passed, not fully invoiced","")&amp;IF(AK422&gt;0,"; Xero invoiced more than the deal value",""),3,300)</f>
        <v/>
      </c>
    </row>
    <row r="423">
      <c r="T423" s="9">
        <f>IFERROR(INDEX($A423:$R423,MATCH("Status",$A$1:$R$1,0)),"")&amp;""</f>
        <v/>
      </c>
      <c r="U423" s="52">
        <f>IFERROR(N(IFERROR(INDEX($A423:$R423,MATCH("Value Ex GST",$A$1:$R$1,0)),"")),0)</f>
        <v/>
      </c>
      <c r="V423" s="54">
        <f>IF(AND(T423&lt;&gt;"",IFERROR(INDEX($A423:$R423,MATCH("Value Ex GST",$A$1:$R$1,0)),"")&amp;""&lt;&gt;""),1,0)</f>
        <v/>
      </c>
      <c r="W423" s="56">
        <f>IFERROR(N(IFERROR(INDEX($A423:$R423,MATCH("Probability",$A$1:$R$1,0)),"")),0)</f>
        <v/>
      </c>
      <c r="X423" s="52">
        <f>IF(T423="Open",U423*W423,0)</f>
        <v/>
      </c>
      <c r="Y423" s="52">
        <f>IF(T423="Won",IFERROR(N(IFERROR(INDEX($A423:$R423,MATCH("Still to Invoice",$A$1:$R$1,0)),"")),0),0)</f>
        <v/>
      </c>
      <c r="Z423" s="55">
        <f>IFERROR(EOMONTH(IFERROR(INDEX($A423:$R423,MATCH("Expected Invoice Month",$A$1:$R$1,0)),""),0),"")</f>
        <v/>
      </c>
      <c r="AA423" s="9">
        <f>IFERROR(INDEX($A423:$R423,MATCH("Cost Centre",$A$1:$R$1,0)),"")&amp;""</f>
        <v/>
      </c>
      <c r="AB423" s="9">
        <f>IFERROR(INDEX($A423:$R423,MATCH("Pipeline Stage",$A$1:$R$1,0)),"")&amp;""</f>
        <v/>
      </c>
      <c r="AC423" s="9">
        <f>IFERROR(INDEX($A423:$R423,MATCH("Client",$A$1:$R$1,0)),"")&amp;""</f>
        <v/>
      </c>
      <c r="AD423" s="9">
        <f>IFERROR(INDEX($A423:$R423,MATCH("Description",$A$1:$R$1,0)),"")&amp;""</f>
        <v/>
      </c>
      <c r="AE423" s="9">
        <f>IFERROR(INDEX($A423:$R423,MATCH("Job Number",$A$1:$R$1,0)),"")&amp;""</f>
        <v/>
      </c>
      <c r="AF423" s="54">
        <f>IF(AND(T423="Open",ISNUMBER(Z423),Z423&lt;EOMONTH(set_AsAt,-1)+1),3,0)</f>
        <v/>
      </c>
      <c r="AG423" s="54">
        <f>IF(AND(T423="Open",U423&gt;0,U423&gt;=set_DealShare*SUMIFS($U$2:$U$601,$T$2:$T$601,"Open")),3,0)</f>
        <v/>
      </c>
      <c r="AH423" s="54">
        <f>IF(AND(T423="Open",U423&gt;=set_BigValue,W423&lt;=set_EarlyProb),2,0)</f>
        <v/>
      </c>
      <c r="AI423" s="54">
        <f>IF(AND(OR(T423="Open",T423="Won"),V423=0),2,0)</f>
        <v/>
      </c>
      <c r="AJ423" s="54">
        <f>IF(AND(T423="Won",Y423&gt;0.5,ISNUMBER(Z423),Z423&lt;EOMONTH(set_AsAt,-1)+1),3,0)</f>
        <v/>
      </c>
      <c r="AK423" s="54">
        <f>IF(AND(T423="Won",Y423&lt;-1),1,0)</f>
        <v/>
      </c>
      <c r="AL423" s="54">
        <f>SUM(AF423:AK423)</f>
        <v/>
      </c>
      <c r="AM423" s="9">
        <f>IF(AL423&gt;=set_ScoreHigh,"High",IF(AL423&gt;=set_ScoreMed,"Medium",IF(AL423&gt;0,"Low","OK")))</f>
        <v/>
      </c>
      <c r="AN423" s="54">
        <f>IF(OR(T423="Open",AND(T423="Won",ABS(Y423)&gt;0.5)),1,0)</f>
        <v/>
      </c>
      <c r="AO423" s="52">
        <f>IF(T423="Open",IF(V423=0,0,X423),IF(T423="Won",MAX(0,Y423),0))</f>
        <v/>
      </c>
      <c r="AP423" s="54">
        <f>IF(AN423=1,AL423*1E+9+U423+ROW()/1E+6,"")</f>
        <v/>
      </c>
      <c r="AQ423" s="9">
        <f>MID(IF(AF423&gt;0,"; Expected month passed - update Zoho","")&amp;IF(AG423&gt;0,"; "&amp;TEXT(U423/MAX(1,SUMIFS($U$2:$U$601,$T$2:$T$601,"Open")),"0%")&amp;" of open pipeline in one deal","")&amp;IF(AH423&gt;0,"; Large deal at an early stage","")&amp;IF(AI423&gt;0,"; No amount in Zoho","")&amp;IF(AJ423&gt;0,"; Won, invoice month passed, not fully invoiced","")&amp;IF(AK423&gt;0,"; Xero invoiced more than the deal value",""),3,300)</f>
        <v/>
      </c>
    </row>
    <row r="424">
      <c r="T424" s="9">
        <f>IFERROR(INDEX($A424:$R424,MATCH("Status",$A$1:$R$1,0)),"")&amp;""</f>
        <v/>
      </c>
      <c r="U424" s="52">
        <f>IFERROR(N(IFERROR(INDEX($A424:$R424,MATCH("Value Ex GST",$A$1:$R$1,0)),"")),0)</f>
        <v/>
      </c>
      <c r="V424" s="54">
        <f>IF(AND(T424&lt;&gt;"",IFERROR(INDEX($A424:$R424,MATCH("Value Ex GST",$A$1:$R$1,0)),"")&amp;""&lt;&gt;""),1,0)</f>
        <v/>
      </c>
      <c r="W424" s="56">
        <f>IFERROR(N(IFERROR(INDEX($A424:$R424,MATCH("Probability",$A$1:$R$1,0)),"")),0)</f>
        <v/>
      </c>
      <c r="X424" s="52">
        <f>IF(T424="Open",U424*W424,0)</f>
        <v/>
      </c>
      <c r="Y424" s="52">
        <f>IF(T424="Won",IFERROR(N(IFERROR(INDEX($A424:$R424,MATCH("Still to Invoice",$A$1:$R$1,0)),"")),0),0)</f>
        <v/>
      </c>
      <c r="Z424" s="55">
        <f>IFERROR(EOMONTH(IFERROR(INDEX($A424:$R424,MATCH("Expected Invoice Month",$A$1:$R$1,0)),""),0),"")</f>
        <v/>
      </c>
      <c r="AA424" s="9">
        <f>IFERROR(INDEX($A424:$R424,MATCH("Cost Centre",$A$1:$R$1,0)),"")&amp;""</f>
        <v/>
      </c>
      <c r="AB424" s="9">
        <f>IFERROR(INDEX($A424:$R424,MATCH("Pipeline Stage",$A$1:$R$1,0)),"")&amp;""</f>
        <v/>
      </c>
      <c r="AC424" s="9">
        <f>IFERROR(INDEX($A424:$R424,MATCH("Client",$A$1:$R$1,0)),"")&amp;""</f>
        <v/>
      </c>
      <c r="AD424" s="9">
        <f>IFERROR(INDEX($A424:$R424,MATCH("Description",$A$1:$R$1,0)),"")&amp;""</f>
        <v/>
      </c>
      <c r="AE424" s="9">
        <f>IFERROR(INDEX($A424:$R424,MATCH("Job Number",$A$1:$R$1,0)),"")&amp;""</f>
        <v/>
      </c>
      <c r="AF424" s="54">
        <f>IF(AND(T424="Open",ISNUMBER(Z424),Z424&lt;EOMONTH(set_AsAt,-1)+1),3,0)</f>
        <v/>
      </c>
      <c r="AG424" s="54">
        <f>IF(AND(T424="Open",U424&gt;0,U424&gt;=set_DealShare*SUMIFS($U$2:$U$601,$T$2:$T$601,"Open")),3,0)</f>
        <v/>
      </c>
      <c r="AH424" s="54">
        <f>IF(AND(T424="Open",U424&gt;=set_BigValue,W424&lt;=set_EarlyProb),2,0)</f>
        <v/>
      </c>
      <c r="AI424" s="54">
        <f>IF(AND(OR(T424="Open",T424="Won"),V424=0),2,0)</f>
        <v/>
      </c>
      <c r="AJ424" s="54">
        <f>IF(AND(T424="Won",Y424&gt;0.5,ISNUMBER(Z424),Z424&lt;EOMONTH(set_AsAt,-1)+1),3,0)</f>
        <v/>
      </c>
      <c r="AK424" s="54">
        <f>IF(AND(T424="Won",Y424&lt;-1),1,0)</f>
        <v/>
      </c>
      <c r="AL424" s="54">
        <f>SUM(AF424:AK424)</f>
        <v/>
      </c>
      <c r="AM424" s="9">
        <f>IF(AL424&gt;=set_ScoreHigh,"High",IF(AL424&gt;=set_ScoreMed,"Medium",IF(AL424&gt;0,"Low","OK")))</f>
        <v/>
      </c>
      <c r="AN424" s="54">
        <f>IF(OR(T424="Open",AND(T424="Won",ABS(Y424)&gt;0.5)),1,0)</f>
        <v/>
      </c>
      <c r="AO424" s="52">
        <f>IF(T424="Open",IF(V424=0,0,X424),IF(T424="Won",MAX(0,Y424),0))</f>
        <v/>
      </c>
      <c r="AP424" s="54">
        <f>IF(AN424=1,AL424*1E+9+U424+ROW()/1E+6,"")</f>
        <v/>
      </c>
      <c r="AQ424" s="9">
        <f>MID(IF(AF424&gt;0,"; Expected month passed - update Zoho","")&amp;IF(AG424&gt;0,"; "&amp;TEXT(U424/MAX(1,SUMIFS($U$2:$U$601,$T$2:$T$601,"Open")),"0%")&amp;" of open pipeline in one deal","")&amp;IF(AH424&gt;0,"; Large deal at an early stage","")&amp;IF(AI424&gt;0,"; No amount in Zoho","")&amp;IF(AJ424&gt;0,"; Won, invoice month passed, not fully invoiced","")&amp;IF(AK424&gt;0,"; Xero invoiced more than the deal value",""),3,300)</f>
        <v/>
      </c>
    </row>
    <row r="425">
      <c r="T425" s="9">
        <f>IFERROR(INDEX($A425:$R425,MATCH("Status",$A$1:$R$1,0)),"")&amp;""</f>
        <v/>
      </c>
      <c r="U425" s="52">
        <f>IFERROR(N(IFERROR(INDEX($A425:$R425,MATCH("Value Ex GST",$A$1:$R$1,0)),"")),0)</f>
        <v/>
      </c>
      <c r="V425" s="54">
        <f>IF(AND(T425&lt;&gt;"",IFERROR(INDEX($A425:$R425,MATCH("Value Ex GST",$A$1:$R$1,0)),"")&amp;""&lt;&gt;""),1,0)</f>
        <v/>
      </c>
      <c r="W425" s="56">
        <f>IFERROR(N(IFERROR(INDEX($A425:$R425,MATCH("Probability",$A$1:$R$1,0)),"")),0)</f>
        <v/>
      </c>
      <c r="X425" s="52">
        <f>IF(T425="Open",U425*W425,0)</f>
        <v/>
      </c>
      <c r="Y425" s="52">
        <f>IF(T425="Won",IFERROR(N(IFERROR(INDEX($A425:$R425,MATCH("Still to Invoice",$A$1:$R$1,0)),"")),0),0)</f>
        <v/>
      </c>
      <c r="Z425" s="55">
        <f>IFERROR(EOMONTH(IFERROR(INDEX($A425:$R425,MATCH("Expected Invoice Month",$A$1:$R$1,0)),""),0),"")</f>
        <v/>
      </c>
      <c r="AA425" s="9">
        <f>IFERROR(INDEX($A425:$R425,MATCH("Cost Centre",$A$1:$R$1,0)),"")&amp;""</f>
        <v/>
      </c>
      <c r="AB425" s="9">
        <f>IFERROR(INDEX($A425:$R425,MATCH("Pipeline Stage",$A$1:$R$1,0)),"")&amp;""</f>
        <v/>
      </c>
      <c r="AC425" s="9">
        <f>IFERROR(INDEX($A425:$R425,MATCH("Client",$A$1:$R$1,0)),"")&amp;""</f>
        <v/>
      </c>
      <c r="AD425" s="9">
        <f>IFERROR(INDEX($A425:$R425,MATCH("Description",$A$1:$R$1,0)),"")&amp;""</f>
        <v/>
      </c>
      <c r="AE425" s="9">
        <f>IFERROR(INDEX($A425:$R425,MATCH("Job Number",$A$1:$R$1,0)),"")&amp;""</f>
        <v/>
      </c>
      <c r="AF425" s="54">
        <f>IF(AND(T425="Open",ISNUMBER(Z425),Z425&lt;EOMONTH(set_AsAt,-1)+1),3,0)</f>
        <v/>
      </c>
      <c r="AG425" s="54">
        <f>IF(AND(T425="Open",U425&gt;0,U425&gt;=set_DealShare*SUMIFS($U$2:$U$601,$T$2:$T$601,"Open")),3,0)</f>
        <v/>
      </c>
      <c r="AH425" s="54">
        <f>IF(AND(T425="Open",U425&gt;=set_BigValue,W425&lt;=set_EarlyProb),2,0)</f>
        <v/>
      </c>
      <c r="AI425" s="54">
        <f>IF(AND(OR(T425="Open",T425="Won"),V425=0),2,0)</f>
        <v/>
      </c>
      <c r="AJ425" s="54">
        <f>IF(AND(T425="Won",Y425&gt;0.5,ISNUMBER(Z425),Z425&lt;EOMONTH(set_AsAt,-1)+1),3,0)</f>
        <v/>
      </c>
      <c r="AK425" s="54">
        <f>IF(AND(T425="Won",Y425&lt;-1),1,0)</f>
        <v/>
      </c>
      <c r="AL425" s="54">
        <f>SUM(AF425:AK425)</f>
        <v/>
      </c>
      <c r="AM425" s="9">
        <f>IF(AL425&gt;=set_ScoreHigh,"High",IF(AL425&gt;=set_ScoreMed,"Medium",IF(AL425&gt;0,"Low","OK")))</f>
        <v/>
      </c>
      <c r="AN425" s="54">
        <f>IF(OR(T425="Open",AND(T425="Won",ABS(Y425)&gt;0.5)),1,0)</f>
        <v/>
      </c>
      <c r="AO425" s="52">
        <f>IF(T425="Open",IF(V425=0,0,X425),IF(T425="Won",MAX(0,Y425),0))</f>
        <v/>
      </c>
      <c r="AP425" s="54">
        <f>IF(AN425=1,AL425*1E+9+U425+ROW()/1E+6,"")</f>
        <v/>
      </c>
      <c r="AQ425" s="9">
        <f>MID(IF(AF425&gt;0,"; Expected month passed - update Zoho","")&amp;IF(AG425&gt;0,"; "&amp;TEXT(U425/MAX(1,SUMIFS($U$2:$U$601,$T$2:$T$601,"Open")),"0%")&amp;" of open pipeline in one deal","")&amp;IF(AH425&gt;0,"; Large deal at an early stage","")&amp;IF(AI425&gt;0,"; No amount in Zoho","")&amp;IF(AJ425&gt;0,"; Won, invoice month passed, not fully invoiced","")&amp;IF(AK425&gt;0,"; Xero invoiced more than the deal value",""),3,300)</f>
        <v/>
      </c>
    </row>
    <row r="426">
      <c r="T426" s="9">
        <f>IFERROR(INDEX($A426:$R426,MATCH("Status",$A$1:$R$1,0)),"")&amp;""</f>
        <v/>
      </c>
      <c r="U426" s="52">
        <f>IFERROR(N(IFERROR(INDEX($A426:$R426,MATCH("Value Ex GST",$A$1:$R$1,0)),"")),0)</f>
        <v/>
      </c>
      <c r="V426" s="54">
        <f>IF(AND(T426&lt;&gt;"",IFERROR(INDEX($A426:$R426,MATCH("Value Ex GST",$A$1:$R$1,0)),"")&amp;""&lt;&gt;""),1,0)</f>
        <v/>
      </c>
      <c r="W426" s="56">
        <f>IFERROR(N(IFERROR(INDEX($A426:$R426,MATCH("Probability",$A$1:$R$1,0)),"")),0)</f>
        <v/>
      </c>
      <c r="X426" s="52">
        <f>IF(T426="Open",U426*W426,0)</f>
        <v/>
      </c>
      <c r="Y426" s="52">
        <f>IF(T426="Won",IFERROR(N(IFERROR(INDEX($A426:$R426,MATCH("Still to Invoice",$A$1:$R$1,0)),"")),0),0)</f>
        <v/>
      </c>
      <c r="Z426" s="55">
        <f>IFERROR(EOMONTH(IFERROR(INDEX($A426:$R426,MATCH("Expected Invoice Month",$A$1:$R$1,0)),""),0),"")</f>
        <v/>
      </c>
      <c r="AA426" s="9">
        <f>IFERROR(INDEX($A426:$R426,MATCH("Cost Centre",$A$1:$R$1,0)),"")&amp;""</f>
        <v/>
      </c>
      <c r="AB426" s="9">
        <f>IFERROR(INDEX($A426:$R426,MATCH("Pipeline Stage",$A$1:$R$1,0)),"")&amp;""</f>
        <v/>
      </c>
      <c r="AC426" s="9">
        <f>IFERROR(INDEX($A426:$R426,MATCH("Client",$A$1:$R$1,0)),"")&amp;""</f>
        <v/>
      </c>
      <c r="AD426" s="9">
        <f>IFERROR(INDEX($A426:$R426,MATCH("Description",$A$1:$R$1,0)),"")&amp;""</f>
        <v/>
      </c>
      <c r="AE426" s="9">
        <f>IFERROR(INDEX($A426:$R426,MATCH("Job Number",$A$1:$R$1,0)),"")&amp;""</f>
        <v/>
      </c>
      <c r="AF426" s="54">
        <f>IF(AND(T426="Open",ISNUMBER(Z426),Z426&lt;EOMONTH(set_AsAt,-1)+1),3,0)</f>
        <v/>
      </c>
      <c r="AG426" s="54">
        <f>IF(AND(T426="Open",U426&gt;0,U426&gt;=set_DealShare*SUMIFS($U$2:$U$601,$T$2:$T$601,"Open")),3,0)</f>
        <v/>
      </c>
      <c r="AH426" s="54">
        <f>IF(AND(T426="Open",U426&gt;=set_BigValue,W426&lt;=set_EarlyProb),2,0)</f>
        <v/>
      </c>
      <c r="AI426" s="54">
        <f>IF(AND(OR(T426="Open",T426="Won"),V426=0),2,0)</f>
        <v/>
      </c>
      <c r="AJ426" s="54">
        <f>IF(AND(T426="Won",Y426&gt;0.5,ISNUMBER(Z426),Z426&lt;EOMONTH(set_AsAt,-1)+1),3,0)</f>
        <v/>
      </c>
      <c r="AK426" s="54">
        <f>IF(AND(T426="Won",Y426&lt;-1),1,0)</f>
        <v/>
      </c>
      <c r="AL426" s="54">
        <f>SUM(AF426:AK426)</f>
        <v/>
      </c>
      <c r="AM426" s="9">
        <f>IF(AL426&gt;=set_ScoreHigh,"High",IF(AL426&gt;=set_ScoreMed,"Medium",IF(AL426&gt;0,"Low","OK")))</f>
        <v/>
      </c>
      <c r="AN426" s="54">
        <f>IF(OR(T426="Open",AND(T426="Won",ABS(Y426)&gt;0.5)),1,0)</f>
        <v/>
      </c>
      <c r="AO426" s="52">
        <f>IF(T426="Open",IF(V426=0,0,X426),IF(T426="Won",MAX(0,Y426),0))</f>
        <v/>
      </c>
      <c r="AP426" s="54">
        <f>IF(AN426=1,AL426*1E+9+U426+ROW()/1E+6,"")</f>
        <v/>
      </c>
      <c r="AQ426" s="9">
        <f>MID(IF(AF426&gt;0,"; Expected month passed - update Zoho","")&amp;IF(AG426&gt;0,"; "&amp;TEXT(U426/MAX(1,SUMIFS($U$2:$U$601,$T$2:$T$601,"Open")),"0%")&amp;" of open pipeline in one deal","")&amp;IF(AH426&gt;0,"; Large deal at an early stage","")&amp;IF(AI426&gt;0,"; No amount in Zoho","")&amp;IF(AJ426&gt;0,"; Won, invoice month passed, not fully invoiced","")&amp;IF(AK426&gt;0,"; Xero invoiced more than the deal value",""),3,300)</f>
        <v/>
      </c>
    </row>
    <row r="427">
      <c r="T427" s="9">
        <f>IFERROR(INDEX($A427:$R427,MATCH("Status",$A$1:$R$1,0)),"")&amp;""</f>
        <v/>
      </c>
      <c r="U427" s="52">
        <f>IFERROR(N(IFERROR(INDEX($A427:$R427,MATCH("Value Ex GST",$A$1:$R$1,0)),"")),0)</f>
        <v/>
      </c>
      <c r="V427" s="54">
        <f>IF(AND(T427&lt;&gt;"",IFERROR(INDEX($A427:$R427,MATCH("Value Ex GST",$A$1:$R$1,0)),"")&amp;""&lt;&gt;""),1,0)</f>
        <v/>
      </c>
      <c r="W427" s="56">
        <f>IFERROR(N(IFERROR(INDEX($A427:$R427,MATCH("Probability",$A$1:$R$1,0)),"")),0)</f>
        <v/>
      </c>
      <c r="X427" s="52">
        <f>IF(T427="Open",U427*W427,0)</f>
        <v/>
      </c>
      <c r="Y427" s="52">
        <f>IF(T427="Won",IFERROR(N(IFERROR(INDEX($A427:$R427,MATCH("Still to Invoice",$A$1:$R$1,0)),"")),0),0)</f>
        <v/>
      </c>
      <c r="Z427" s="55">
        <f>IFERROR(EOMONTH(IFERROR(INDEX($A427:$R427,MATCH("Expected Invoice Month",$A$1:$R$1,0)),""),0),"")</f>
        <v/>
      </c>
      <c r="AA427" s="9">
        <f>IFERROR(INDEX($A427:$R427,MATCH("Cost Centre",$A$1:$R$1,0)),"")&amp;""</f>
        <v/>
      </c>
      <c r="AB427" s="9">
        <f>IFERROR(INDEX($A427:$R427,MATCH("Pipeline Stage",$A$1:$R$1,0)),"")&amp;""</f>
        <v/>
      </c>
      <c r="AC427" s="9">
        <f>IFERROR(INDEX($A427:$R427,MATCH("Client",$A$1:$R$1,0)),"")&amp;""</f>
        <v/>
      </c>
      <c r="AD427" s="9">
        <f>IFERROR(INDEX($A427:$R427,MATCH("Description",$A$1:$R$1,0)),"")&amp;""</f>
        <v/>
      </c>
      <c r="AE427" s="9">
        <f>IFERROR(INDEX($A427:$R427,MATCH("Job Number",$A$1:$R$1,0)),"")&amp;""</f>
        <v/>
      </c>
      <c r="AF427" s="54">
        <f>IF(AND(T427="Open",ISNUMBER(Z427),Z427&lt;EOMONTH(set_AsAt,-1)+1),3,0)</f>
        <v/>
      </c>
      <c r="AG427" s="54">
        <f>IF(AND(T427="Open",U427&gt;0,U427&gt;=set_DealShare*SUMIFS($U$2:$U$601,$T$2:$T$601,"Open")),3,0)</f>
        <v/>
      </c>
      <c r="AH427" s="54">
        <f>IF(AND(T427="Open",U427&gt;=set_BigValue,W427&lt;=set_EarlyProb),2,0)</f>
        <v/>
      </c>
      <c r="AI427" s="54">
        <f>IF(AND(OR(T427="Open",T427="Won"),V427=0),2,0)</f>
        <v/>
      </c>
      <c r="AJ427" s="54">
        <f>IF(AND(T427="Won",Y427&gt;0.5,ISNUMBER(Z427),Z427&lt;EOMONTH(set_AsAt,-1)+1),3,0)</f>
        <v/>
      </c>
      <c r="AK427" s="54">
        <f>IF(AND(T427="Won",Y427&lt;-1),1,0)</f>
        <v/>
      </c>
      <c r="AL427" s="54">
        <f>SUM(AF427:AK427)</f>
        <v/>
      </c>
      <c r="AM427" s="9">
        <f>IF(AL427&gt;=set_ScoreHigh,"High",IF(AL427&gt;=set_ScoreMed,"Medium",IF(AL427&gt;0,"Low","OK")))</f>
        <v/>
      </c>
      <c r="AN427" s="54">
        <f>IF(OR(T427="Open",AND(T427="Won",ABS(Y427)&gt;0.5)),1,0)</f>
        <v/>
      </c>
      <c r="AO427" s="52">
        <f>IF(T427="Open",IF(V427=0,0,X427),IF(T427="Won",MAX(0,Y427),0))</f>
        <v/>
      </c>
      <c r="AP427" s="54">
        <f>IF(AN427=1,AL427*1E+9+U427+ROW()/1E+6,"")</f>
        <v/>
      </c>
      <c r="AQ427" s="9">
        <f>MID(IF(AF427&gt;0,"; Expected month passed - update Zoho","")&amp;IF(AG427&gt;0,"; "&amp;TEXT(U427/MAX(1,SUMIFS($U$2:$U$601,$T$2:$T$601,"Open")),"0%")&amp;" of open pipeline in one deal","")&amp;IF(AH427&gt;0,"; Large deal at an early stage","")&amp;IF(AI427&gt;0,"; No amount in Zoho","")&amp;IF(AJ427&gt;0,"; Won, invoice month passed, not fully invoiced","")&amp;IF(AK427&gt;0,"; Xero invoiced more than the deal value",""),3,300)</f>
        <v/>
      </c>
    </row>
    <row r="428">
      <c r="T428" s="9">
        <f>IFERROR(INDEX($A428:$R428,MATCH("Status",$A$1:$R$1,0)),"")&amp;""</f>
        <v/>
      </c>
      <c r="U428" s="52">
        <f>IFERROR(N(IFERROR(INDEX($A428:$R428,MATCH("Value Ex GST",$A$1:$R$1,0)),"")),0)</f>
        <v/>
      </c>
      <c r="V428" s="54">
        <f>IF(AND(T428&lt;&gt;"",IFERROR(INDEX($A428:$R428,MATCH("Value Ex GST",$A$1:$R$1,0)),"")&amp;""&lt;&gt;""),1,0)</f>
        <v/>
      </c>
      <c r="W428" s="56">
        <f>IFERROR(N(IFERROR(INDEX($A428:$R428,MATCH("Probability",$A$1:$R$1,0)),"")),0)</f>
        <v/>
      </c>
      <c r="X428" s="52">
        <f>IF(T428="Open",U428*W428,0)</f>
        <v/>
      </c>
      <c r="Y428" s="52">
        <f>IF(T428="Won",IFERROR(N(IFERROR(INDEX($A428:$R428,MATCH("Still to Invoice",$A$1:$R$1,0)),"")),0),0)</f>
        <v/>
      </c>
      <c r="Z428" s="55">
        <f>IFERROR(EOMONTH(IFERROR(INDEX($A428:$R428,MATCH("Expected Invoice Month",$A$1:$R$1,0)),""),0),"")</f>
        <v/>
      </c>
      <c r="AA428" s="9">
        <f>IFERROR(INDEX($A428:$R428,MATCH("Cost Centre",$A$1:$R$1,0)),"")&amp;""</f>
        <v/>
      </c>
      <c r="AB428" s="9">
        <f>IFERROR(INDEX($A428:$R428,MATCH("Pipeline Stage",$A$1:$R$1,0)),"")&amp;""</f>
        <v/>
      </c>
      <c r="AC428" s="9">
        <f>IFERROR(INDEX($A428:$R428,MATCH("Client",$A$1:$R$1,0)),"")&amp;""</f>
        <v/>
      </c>
      <c r="AD428" s="9">
        <f>IFERROR(INDEX($A428:$R428,MATCH("Description",$A$1:$R$1,0)),"")&amp;""</f>
        <v/>
      </c>
      <c r="AE428" s="9">
        <f>IFERROR(INDEX($A428:$R428,MATCH("Job Number",$A$1:$R$1,0)),"")&amp;""</f>
        <v/>
      </c>
      <c r="AF428" s="54">
        <f>IF(AND(T428="Open",ISNUMBER(Z428),Z428&lt;EOMONTH(set_AsAt,-1)+1),3,0)</f>
        <v/>
      </c>
      <c r="AG428" s="54">
        <f>IF(AND(T428="Open",U428&gt;0,U428&gt;=set_DealShare*SUMIFS($U$2:$U$601,$T$2:$T$601,"Open")),3,0)</f>
        <v/>
      </c>
      <c r="AH428" s="54">
        <f>IF(AND(T428="Open",U428&gt;=set_BigValue,W428&lt;=set_EarlyProb),2,0)</f>
        <v/>
      </c>
      <c r="AI428" s="54">
        <f>IF(AND(OR(T428="Open",T428="Won"),V428=0),2,0)</f>
        <v/>
      </c>
      <c r="AJ428" s="54">
        <f>IF(AND(T428="Won",Y428&gt;0.5,ISNUMBER(Z428),Z428&lt;EOMONTH(set_AsAt,-1)+1),3,0)</f>
        <v/>
      </c>
      <c r="AK428" s="54">
        <f>IF(AND(T428="Won",Y428&lt;-1),1,0)</f>
        <v/>
      </c>
      <c r="AL428" s="54">
        <f>SUM(AF428:AK428)</f>
        <v/>
      </c>
      <c r="AM428" s="9">
        <f>IF(AL428&gt;=set_ScoreHigh,"High",IF(AL428&gt;=set_ScoreMed,"Medium",IF(AL428&gt;0,"Low","OK")))</f>
        <v/>
      </c>
      <c r="AN428" s="54">
        <f>IF(OR(T428="Open",AND(T428="Won",ABS(Y428)&gt;0.5)),1,0)</f>
        <v/>
      </c>
      <c r="AO428" s="52">
        <f>IF(T428="Open",IF(V428=0,0,X428),IF(T428="Won",MAX(0,Y428),0))</f>
        <v/>
      </c>
      <c r="AP428" s="54">
        <f>IF(AN428=1,AL428*1E+9+U428+ROW()/1E+6,"")</f>
        <v/>
      </c>
      <c r="AQ428" s="9">
        <f>MID(IF(AF428&gt;0,"; Expected month passed - update Zoho","")&amp;IF(AG428&gt;0,"; "&amp;TEXT(U428/MAX(1,SUMIFS($U$2:$U$601,$T$2:$T$601,"Open")),"0%")&amp;" of open pipeline in one deal","")&amp;IF(AH428&gt;0,"; Large deal at an early stage","")&amp;IF(AI428&gt;0,"; No amount in Zoho","")&amp;IF(AJ428&gt;0,"; Won, invoice month passed, not fully invoiced","")&amp;IF(AK428&gt;0,"; Xero invoiced more than the deal value",""),3,300)</f>
        <v/>
      </c>
    </row>
    <row r="429">
      <c r="T429" s="9">
        <f>IFERROR(INDEX($A429:$R429,MATCH("Status",$A$1:$R$1,0)),"")&amp;""</f>
        <v/>
      </c>
      <c r="U429" s="52">
        <f>IFERROR(N(IFERROR(INDEX($A429:$R429,MATCH("Value Ex GST",$A$1:$R$1,0)),"")),0)</f>
        <v/>
      </c>
      <c r="V429" s="54">
        <f>IF(AND(T429&lt;&gt;"",IFERROR(INDEX($A429:$R429,MATCH("Value Ex GST",$A$1:$R$1,0)),"")&amp;""&lt;&gt;""),1,0)</f>
        <v/>
      </c>
      <c r="W429" s="56">
        <f>IFERROR(N(IFERROR(INDEX($A429:$R429,MATCH("Probability",$A$1:$R$1,0)),"")),0)</f>
        <v/>
      </c>
      <c r="X429" s="52">
        <f>IF(T429="Open",U429*W429,0)</f>
        <v/>
      </c>
      <c r="Y429" s="52">
        <f>IF(T429="Won",IFERROR(N(IFERROR(INDEX($A429:$R429,MATCH("Still to Invoice",$A$1:$R$1,0)),"")),0),0)</f>
        <v/>
      </c>
      <c r="Z429" s="55">
        <f>IFERROR(EOMONTH(IFERROR(INDEX($A429:$R429,MATCH("Expected Invoice Month",$A$1:$R$1,0)),""),0),"")</f>
        <v/>
      </c>
      <c r="AA429" s="9">
        <f>IFERROR(INDEX($A429:$R429,MATCH("Cost Centre",$A$1:$R$1,0)),"")&amp;""</f>
        <v/>
      </c>
      <c r="AB429" s="9">
        <f>IFERROR(INDEX($A429:$R429,MATCH("Pipeline Stage",$A$1:$R$1,0)),"")&amp;""</f>
        <v/>
      </c>
      <c r="AC429" s="9">
        <f>IFERROR(INDEX($A429:$R429,MATCH("Client",$A$1:$R$1,0)),"")&amp;""</f>
        <v/>
      </c>
      <c r="AD429" s="9">
        <f>IFERROR(INDEX($A429:$R429,MATCH("Description",$A$1:$R$1,0)),"")&amp;""</f>
        <v/>
      </c>
      <c r="AE429" s="9">
        <f>IFERROR(INDEX($A429:$R429,MATCH("Job Number",$A$1:$R$1,0)),"")&amp;""</f>
        <v/>
      </c>
      <c r="AF429" s="54">
        <f>IF(AND(T429="Open",ISNUMBER(Z429),Z429&lt;EOMONTH(set_AsAt,-1)+1),3,0)</f>
        <v/>
      </c>
      <c r="AG429" s="54">
        <f>IF(AND(T429="Open",U429&gt;0,U429&gt;=set_DealShare*SUMIFS($U$2:$U$601,$T$2:$T$601,"Open")),3,0)</f>
        <v/>
      </c>
      <c r="AH429" s="54">
        <f>IF(AND(T429="Open",U429&gt;=set_BigValue,W429&lt;=set_EarlyProb),2,0)</f>
        <v/>
      </c>
      <c r="AI429" s="54">
        <f>IF(AND(OR(T429="Open",T429="Won"),V429=0),2,0)</f>
        <v/>
      </c>
      <c r="AJ429" s="54">
        <f>IF(AND(T429="Won",Y429&gt;0.5,ISNUMBER(Z429),Z429&lt;EOMONTH(set_AsAt,-1)+1),3,0)</f>
        <v/>
      </c>
      <c r="AK429" s="54">
        <f>IF(AND(T429="Won",Y429&lt;-1),1,0)</f>
        <v/>
      </c>
      <c r="AL429" s="54">
        <f>SUM(AF429:AK429)</f>
        <v/>
      </c>
      <c r="AM429" s="9">
        <f>IF(AL429&gt;=set_ScoreHigh,"High",IF(AL429&gt;=set_ScoreMed,"Medium",IF(AL429&gt;0,"Low","OK")))</f>
        <v/>
      </c>
      <c r="AN429" s="54">
        <f>IF(OR(T429="Open",AND(T429="Won",ABS(Y429)&gt;0.5)),1,0)</f>
        <v/>
      </c>
      <c r="AO429" s="52">
        <f>IF(T429="Open",IF(V429=0,0,X429),IF(T429="Won",MAX(0,Y429),0))</f>
        <v/>
      </c>
      <c r="AP429" s="54">
        <f>IF(AN429=1,AL429*1E+9+U429+ROW()/1E+6,"")</f>
        <v/>
      </c>
      <c r="AQ429" s="9">
        <f>MID(IF(AF429&gt;0,"; Expected month passed - update Zoho","")&amp;IF(AG429&gt;0,"; "&amp;TEXT(U429/MAX(1,SUMIFS($U$2:$U$601,$T$2:$T$601,"Open")),"0%")&amp;" of open pipeline in one deal","")&amp;IF(AH429&gt;0,"; Large deal at an early stage","")&amp;IF(AI429&gt;0,"; No amount in Zoho","")&amp;IF(AJ429&gt;0,"; Won, invoice month passed, not fully invoiced","")&amp;IF(AK429&gt;0,"; Xero invoiced more than the deal value",""),3,300)</f>
        <v/>
      </c>
    </row>
    <row r="430">
      <c r="T430" s="9">
        <f>IFERROR(INDEX($A430:$R430,MATCH("Status",$A$1:$R$1,0)),"")&amp;""</f>
        <v/>
      </c>
      <c r="U430" s="52">
        <f>IFERROR(N(IFERROR(INDEX($A430:$R430,MATCH("Value Ex GST",$A$1:$R$1,0)),"")),0)</f>
        <v/>
      </c>
      <c r="V430" s="54">
        <f>IF(AND(T430&lt;&gt;"",IFERROR(INDEX($A430:$R430,MATCH("Value Ex GST",$A$1:$R$1,0)),"")&amp;""&lt;&gt;""),1,0)</f>
        <v/>
      </c>
      <c r="W430" s="56">
        <f>IFERROR(N(IFERROR(INDEX($A430:$R430,MATCH("Probability",$A$1:$R$1,0)),"")),0)</f>
        <v/>
      </c>
      <c r="X430" s="52">
        <f>IF(T430="Open",U430*W430,0)</f>
        <v/>
      </c>
      <c r="Y430" s="52">
        <f>IF(T430="Won",IFERROR(N(IFERROR(INDEX($A430:$R430,MATCH("Still to Invoice",$A$1:$R$1,0)),"")),0),0)</f>
        <v/>
      </c>
      <c r="Z430" s="55">
        <f>IFERROR(EOMONTH(IFERROR(INDEX($A430:$R430,MATCH("Expected Invoice Month",$A$1:$R$1,0)),""),0),"")</f>
        <v/>
      </c>
      <c r="AA430" s="9">
        <f>IFERROR(INDEX($A430:$R430,MATCH("Cost Centre",$A$1:$R$1,0)),"")&amp;""</f>
        <v/>
      </c>
      <c r="AB430" s="9">
        <f>IFERROR(INDEX($A430:$R430,MATCH("Pipeline Stage",$A$1:$R$1,0)),"")&amp;""</f>
        <v/>
      </c>
      <c r="AC430" s="9">
        <f>IFERROR(INDEX($A430:$R430,MATCH("Client",$A$1:$R$1,0)),"")&amp;""</f>
        <v/>
      </c>
      <c r="AD430" s="9">
        <f>IFERROR(INDEX($A430:$R430,MATCH("Description",$A$1:$R$1,0)),"")&amp;""</f>
        <v/>
      </c>
      <c r="AE430" s="9">
        <f>IFERROR(INDEX($A430:$R430,MATCH("Job Number",$A$1:$R$1,0)),"")&amp;""</f>
        <v/>
      </c>
      <c r="AF430" s="54">
        <f>IF(AND(T430="Open",ISNUMBER(Z430),Z430&lt;EOMONTH(set_AsAt,-1)+1),3,0)</f>
        <v/>
      </c>
      <c r="AG430" s="54">
        <f>IF(AND(T430="Open",U430&gt;0,U430&gt;=set_DealShare*SUMIFS($U$2:$U$601,$T$2:$T$601,"Open")),3,0)</f>
        <v/>
      </c>
      <c r="AH430" s="54">
        <f>IF(AND(T430="Open",U430&gt;=set_BigValue,W430&lt;=set_EarlyProb),2,0)</f>
        <v/>
      </c>
      <c r="AI430" s="54">
        <f>IF(AND(OR(T430="Open",T430="Won"),V430=0),2,0)</f>
        <v/>
      </c>
      <c r="AJ430" s="54">
        <f>IF(AND(T430="Won",Y430&gt;0.5,ISNUMBER(Z430),Z430&lt;EOMONTH(set_AsAt,-1)+1),3,0)</f>
        <v/>
      </c>
      <c r="AK430" s="54">
        <f>IF(AND(T430="Won",Y430&lt;-1),1,0)</f>
        <v/>
      </c>
      <c r="AL430" s="54">
        <f>SUM(AF430:AK430)</f>
        <v/>
      </c>
      <c r="AM430" s="9">
        <f>IF(AL430&gt;=set_ScoreHigh,"High",IF(AL430&gt;=set_ScoreMed,"Medium",IF(AL430&gt;0,"Low","OK")))</f>
        <v/>
      </c>
      <c r="AN430" s="54">
        <f>IF(OR(T430="Open",AND(T430="Won",ABS(Y430)&gt;0.5)),1,0)</f>
        <v/>
      </c>
      <c r="AO430" s="52">
        <f>IF(T430="Open",IF(V430=0,0,X430),IF(T430="Won",MAX(0,Y430),0))</f>
        <v/>
      </c>
      <c r="AP430" s="54">
        <f>IF(AN430=1,AL430*1E+9+U430+ROW()/1E+6,"")</f>
        <v/>
      </c>
      <c r="AQ430" s="9">
        <f>MID(IF(AF430&gt;0,"; Expected month passed - update Zoho","")&amp;IF(AG430&gt;0,"; "&amp;TEXT(U430/MAX(1,SUMIFS($U$2:$U$601,$T$2:$T$601,"Open")),"0%")&amp;" of open pipeline in one deal","")&amp;IF(AH430&gt;0,"; Large deal at an early stage","")&amp;IF(AI430&gt;0,"; No amount in Zoho","")&amp;IF(AJ430&gt;0,"; Won, invoice month passed, not fully invoiced","")&amp;IF(AK430&gt;0,"; Xero invoiced more than the deal value",""),3,300)</f>
        <v/>
      </c>
    </row>
    <row r="431">
      <c r="T431" s="9">
        <f>IFERROR(INDEX($A431:$R431,MATCH("Status",$A$1:$R$1,0)),"")&amp;""</f>
        <v/>
      </c>
      <c r="U431" s="52">
        <f>IFERROR(N(IFERROR(INDEX($A431:$R431,MATCH("Value Ex GST",$A$1:$R$1,0)),"")),0)</f>
        <v/>
      </c>
      <c r="V431" s="54">
        <f>IF(AND(T431&lt;&gt;"",IFERROR(INDEX($A431:$R431,MATCH("Value Ex GST",$A$1:$R$1,0)),"")&amp;""&lt;&gt;""),1,0)</f>
        <v/>
      </c>
      <c r="W431" s="56">
        <f>IFERROR(N(IFERROR(INDEX($A431:$R431,MATCH("Probability",$A$1:$R$1,0)),"")),0)</f>
        <v/>
      </c>
      <c r="X431" s="52">
        <f>IF(T431="Open",U431*W431,0)</f>
        <v/>
      </c>
      <c r="Y431" s="52">
        <f>IF(T431="Won",IFERROR(N(IFERROR(INDEX($A431:$R431,MATCH("Still to Invoice",$A$1:$R$1,0)),"")),0),0)</f>
        <v/>
      </c>
      <c r="Z431" s="55">
        <f>IFERROR(EOMONTH(IFERROR(INDEX($A431:$R431,MATCH("Expected Invoice Month",$A$1:$R$1,0)),""),0),"")</f>
        <v/>
      </c>
      <c r="AA431" s="9">
        <f>IFERROR(INDEX($A431:$R431,MATCH("Cost Centre",$A$1:$R$1,0)),"")&amp;""</f>
        <v/>
      </c>
      <c r="AB431" s="9">
        <f>IFERROR(INDEX($A431:$R431,MATCH("Pipeline Stage",$A$1:$R$1,0)),"")&amp;""</f>
        <v/>
      </c>
      <c r="AC431" s="9">
        <f>IFERROR(INDEX($A431:$R431,MATCH("Client",$A$1:$R$1,0)),"")&amp;""</f>
        <v/>
      </c>
      <c r="AD431" s="9">
        <f>IFERROR(INDEX($A431:$R431,MATCH("Description",$A$1:$R$1,0)),"")&amp;""</f>
        <v/>
      </c>
      <c r="AE431" s="9">
        <f>IFERROR(INDEX($A431:$R431,MATCH("Job Number",$A$1:$R$1,0)),"")&amp;""</f>
        <v/>
      </c>
      <c r="AF431" s="54">
        <f>IF(AND(T431="Open",ISNUMBER(Z431),Z431&lt;EOMONTH(set_AsAt,-1)+1),3,0)</f>
        <v/>
      </c>
      <c r="AG431" s="54">
        <f>IF(AND(T431="Open",U431&gt;0,U431&gt;=set_DealShare*SUMIFS($U$2:$U$601,$T$2:$T$601,"Open")),3,0)</f>
        <v/>
      </c>
      <c r="AH431" s="54">
        <f>IF(AND(T431="Open",U431&gt;=set_BigValue,W431&lt;=set_EarlyProb),2,0)</f>
        <v/>
      </c>
      <c r="AI431" s="54">
        <f>IF(AND(OR(T431="Open",T431="Won"),V431=0),2,0)</f>
        <v/>
      </c>
      <c r="AJ431" s="54">
        <f>IF(AND(T431="Won",Y431&gt;0.5,ISNUMBER(Z431),Z431&lt;EOMONTH(set_AsAt,-1)+1),3,0)</f>
        <v/>
      </c>
      <c r="AK431" s="54">
        <f>IF(AND(T431="Won",Y431&lt;-1),1,0)</f>
        <v/>
      </c>
      <c r="AL431" s="54">
        <f>SUM(AF431:AK431)</f>
        <v/>
      </c>
      <c r="AM431" s="9">
        <f>IF(AL431&gt;=set_ScoreHigh,"High",IF(AL431&gt;=set_ScoreMed,"Medium",IF(AL431&gt;0,"Low","OK")))</f>
        <v/>
      </c>
      <c r="AN431" s="54">
        <f>IF(OR(T431="Open",AND(T431="Won",ABS(Y431)&gt;0.5)),1,0)</f>
        <v/>
      </c>
      <c r="AO431" s="52">
        <f>IF(T431="Open",IF(V431=0,0,X431),IF(T431="Won",MAX(0,Y431),0))</f>
        <v/>
      </c>
      <c r="AP431" s="54">
        <f>IF(AN431=1,AL431*1E+9+U431+ROW()/1E+6,"")</f>
        <v/>
      </c>
      <c r="AQ431" s="9">
        <f>MID(IF(AF431&gt;0,"; Expected month passed - update Zoho","")&amp;IF(AG431&gt;0,"; "&amp;TEXT(U431/MAX(1,SUMIFS($U$2:$U$601,$T$2:$T$601,"Open")),"0%")&amp;" of open pipeline in one deal","")&amp;IF(AH431&gt;0,"; Large deal at an early stage","")&amp;IF(AI431&gt;0,"; No amount in Zoho","")&amp;IF(AJ431&gt;0,"; Won, invoice month passed, not fully invoiced","")&amp;IF(AK431&gt;0,"; Xero invoiced more than the deal value",""),3,300)</f>
        <v/>
      </c>
    </row>
    <row r="432">
      <c r="T432" s="9">
        <f>IFERROR(INDEX($A432:$R432,MATCH("Status",$A$1:$R$1,0)),"")&amp;""</f>
        <v/>
      </c>
      <c r="U432" s="52">
        <f>IFERROR(N(IFERROR(INDEX($A432:$R432,MATCH("Value Ex GST",$A$1:$R$1,0)),"")),0)</f>
        <v/>
      </c>
      <c r="V432" s="54">
        <f>IF(AND(T432&lt;&gt;"",IFERROR(INDEX($A432:$R432,MATCH("Value Ex GST",$A$1:$R$1,0)),"")&amp;""&lt;&gt;""),1,0)</f>
        <v/>
      </c>
      <c r="W432" s="56">
        <f>IFERROR(N(IFERROR(INDEX($A432:$R432,MATCH("Probability",$A$1:$R$1,0)),"")),0)</f>
        <v/>
      </c>
      <c r="X432" s="52">
        <f>IF(T432="Open",U432*W432,0)</f>
        <v/>
      </c>
      <c r="Y432" s="52">
        <f>IF(T432="Won",IFERROR(N(IFERROR(INDEX($A432:$R432,MATCH("Still to Invoice",$A$1:$R$1,0)),"")),0),0)</f>
        <v/>
      </c>
      <c r="Z432" s="55">
        <f>IFERROR(EOMONTH(IFERROR(INDEX($A432:$R432,MATCH("Expected Invoice Month",$A$1:$R$1,0)),""),0),"")</f>
        <v/>
      </c>
      <c r="AA432" s="9">
        <f>IFERROR(INDEX($A432:$R432,MATCH("Cost Centre",$A$1:$R$1,0)),"")&amp;""</f>
        <v/>
      </c>
      <c r="AB432" s="9">
        <f>IFERROR(INDEX($A432:$R432,MATCH("Pipeline Stage",$A$1:$R$1,0)),"")&amp;""</f>
        <v/>
      </c>
      <c r="AC432" s="9">
        <f>IFERROR(INDEX($A432:$R432,MATCH("Client",$A$1:$R$1,0)),"")&amp;""</f>
        <v/>
      </c>
      <c r="AD432" s="9">
        <f>IFERROR(INDEX($A432:$R432,MATCH("Description",$A$1:$R$1,0)),"")&amp;""</f>
        <v/>
      </c>
      <c r="AE432" s="9">
        <f>IFERROR(INDEX($A432:$R432,MATCH("Job Number",$A$1:$R$1,0)),"")&amp;""</f>
        <v/>
      </c>
      <c r="AF432" s="54">
        <f>IF(AND(T432="Open",ISNUMBER(Z432),Z432&lt;EOMONTH(set_AsAt,-1)+1),3,0)</f>
        <v/>
      </c>
      <c r="AG432" s="54">
        <f>IF(AND(T432="Open",U432&gt;0,U432&gt;=set_DealShare*SUMIFS($U$2:$U$601,$T$2:$T$601,"Open")),3,0)</f>
        <v/>
      </c>
      <c r="AH432" s="54">
        <f>IF(AND(T432="Open",U432&gt;=set_BigValue,W432&lt;=set_EarlyProb),2,0)</f>
        <v/>
      </c>
      <c r="AI432" s="54">
        <f>IF(AND(OR(T432="Open",T432="Won"),V432=0),2,0)</f>
        <v/>
      </c>
      <c r="AJ432" s="54">
        <f>IF(AND(T432="Won",Y432&gt;0.5,ISNUMBER(Z432),Z432&lt;EOMONTH(set_AsAt,-1)+1),3,0)</f>
        <v/>
      </c>
      <c r="AK432" s="54">
        <f>IF(AND(T432="Won",Y432&lt;-1),1,0)</f>
        <v/>
      </c>
      <c r="AL432" s="54">
        <f>SUM(AF432:AK432)</f>
        <v/>
      </c>
      <c r="AM432" s="9">
        <f>IF(AL432&gt;=set_ScoreHigh,"High",IF(AL432&gt;=set_ScoreMed,"Medium",IF(AL432&gt;0,"Low","OK")))</f>
        <v/>
      </c>
      <c r="AN432" s="54">
        <f>IF(OR(T432="Open",AND(T432="Won",ABS(Y432)&gt;0.5)),1,0)</f>
        <v/>
      </c>
      <c r="AO432" s="52">
        <f>IF(T432="Open",IF(V432=0,0,X432),IF(T432="Won",MAX(0,Y432),0))</f>
        <v/>
      </c>
      <c r="AP432" s="54">
        <f>IF(AN432=1,AL432*1E+9+U432+ROW()/1E+6,"")</f>
        <v/>
      </c>
      <c r="AQ432" s="9">
        <f>MID(IF(AF432&gt;0,"; Expected month passed - update Zoho","")&amp;IF(AG432&gt;0,"; "&amp;TEXT(U432/MAX(1,SUMIFS($U$2:$U$601,$T$2:$T$601,"Open")),"0%")&amp;" of open pipeline in one deal","")&amp;IF(AH432&gt;0,"; Large deal at an early stage","")&amp;IF(AI432&gt;0,"; No amount in Zoho","")&amp;IF(AJ432&gt;0,"; Won, invoice month passed, not fully invoiced","")&amp;IF(AK432&gt;0,"; Xero invoiced more than the deal value",""),3,300)</f>
        <v/>
      </c>
    </row>
    <row r="433">
      <c r="T433" s="9">
        <f>IFERROR(INDEX($A433:$R433,MATCH("Status",$A$1:$R$1,0)),"")&amp;""</f>
        <v/>
      </c>
      <c r="U433" s="52">
        <f>IFERROR(N(IFERROR(INDEX($A433:$R433,MATCH("Value Ex GST",$A$1:$R$1,0)),"")),0)</f>
        <v/>
      </c>
      <c r="V433" s="54">
        <f>IF(AND(T433&lt;&gt;"",IFERROR(INDEX($A433:$R433,MATCH("Value Ex GST",$A$1:$R$1,0)),"")&amp;""&lt;&gt;""),1,0)</f>
        <v/>
      </c>
      <c r="W433" s="56">
        <f>IFERROR(N(IFERROR(INDEX($A433:$R433,MATCH("Probability",$A$1:$R$1,0)),"")),0)</f>
        <v/>
      </c>
      <c r="X433" s="52">
        <f>IF(T433="Open",U433*W433,0)</f>
        <v/>
      </c>
      <c r="Y433" s="52">
        <f>IF(T433="Won",IFERROR(N(IFERROR(INDEX($A433:$R433,MATCH("Still to Invoice",$A$1:$R$1,0)),"")),0),0)</f>
        <v/>
      </c>
      <c r="Z433" s="55">
        <f>IFERROR(EOMONTH(IFERROR(INDEX($A433:$R433,MATCH("Expected Invoice Month",$A$1:$R$1,0)),""),0),"")</f>
        <v/>
      </c>
      <c r="AA433" s="9">
        <f>IFERROR(INDEX($A433:$R433,MATCH("Cost Centre",$A$1:$R$1,0)),"")&amp;""</f>
        <v/>
      </c>
      <c r="AB433" s="9">
        <f>IFERROR(INDEX($A433:$R433,MATCH("Pipeline Stage",$A$1:$R$1,0)),"")&amp;""</f>
        <v/>
      </c>
      <c r="AC433" s="9">
        <f>IFERROR(INDEX($A433:$R433,MATCH("Client",$A$1:$R$1,0)),"")&amp;""</f>
        <v/>
      </c>
      <c r="AD433" s="9">
        <f>IFERROR(INDEX($A433:$R433,MATCH("Description",$A$1:$R$1,0)),"")&amp;""</f>
        <v/>
      </c>
      <c r="AE433" s="9">
        <f>IFERROR(INDEX($A433:$R433,MATCH("Job Number",$A$1:$R$1,0)),"")&amp;""</f>
        <v/>
      </c>
      <c r="AF433" s="54">
        <f>IF(AND(T433="Open",ISNUMBER(Z433),Z433&lt;EOMONTH(set_AsAt,-1)+1),3,0)</f>
        <v/>
      </c>
      <c r="AG433" s="54">
        <f>IF(AND(T433="Open",U433&gt;0,U433&gt;=set_DealShare*SUMIFS($U$2:$U$601,$T$2:$T$601,"Open")),3,0)</f>
        <v/>
      </c>
      <c r="AH433" s="54">
        <f>IF(AND(T433="Open",U433&gt;=set_BigValue,W433&lt;=set_EarlyProb),2,0)</f>
        <v/>
      </c>
      <c r="AI433" s="54">
        <f>IF(AND(OR(T433="Open",T433="Won"),V433=0),2,0)</f>
        <v/>
      </c>
      <c r="AJ433" s="54">
        <f>IF(AND(T433="Won",Y433&gt;0.5,ISNUMBER(Z433),Z433&lt;EOMONTH(set_AsAt,-1)+1),3,0)</f>
        <v/>
      </c>
      <c r="AK433" s="54">
        <f>IF(AND(T433="Won",Y433&lt;-1),1,0)</f>
        <v/>
      </c>
      <c r="AL433" s="54">
        <f>SUM(AF433:AK433)</f>
        <v/>
      </c>
      <c r="AM433" s="9">
        <f>IF(AL433&gt;=set_ScoreHigh,"High",IF(AL433&gt;=set_ScoreMed,"Medium",IF(AL433&gt;0,"Low","OK")))</f>
        <v/>
      </c>
      <c r="AN433" s="54">
        <f>IF(OR(T433="Open",AND(T433="Won",ABS(Y433)&gt;0.5)),1,0)</f>
        <v/>
      </c>
      <c r="AO433" s="52">
        <f>IF(T433="Open",IF(V433=0,0,X433),IF(T433="Won",MAX(0,Y433),0))</f>
        <v/>
      </c>
      <c r="AP433" s="54">
        <f>IF(AN433=1,AL433*1E+9+U433+ROW()/1E+6,"")</f>
        <v/>
      </c>
      <c r="AQ433" s="9">
        <f>MID(IF(AF433&gt;0,"; Expected month passed - update Zoho","")&amp;IF(AG433&gt;0,"; "&amp;TEXT(U433/MAX(1,SUMIFS($U$2:$U$601,$T$2:$T$601,"Open")),"0%")&amp;" of open pipeline in one deal","")&amp;IF(AH433&gt;0,"; Large deal at an early stage","")&amp;IF(AI433&gt;0,"; No amount in Zoho","")&amp;IF(AJ433&gt;0,"; Won, invoice month passed, not fully invoiced","")&amp;IF(AK433&gt;0,"; Xero invoiced more than the deal value",""),3,300)</f>
        <v/>
      </c>
    </row>
    <row r="434">
      <c r="T434" s="9">
        <f>IFERROR(INDEX($A434:$R434,MATCH("Status",$A$1:$R$1,0)),"")&amp;""</f>
        <v/>
      </c>
      <c r="U434" s="52">
        <f>IFERROR(N(IFERROR(INDEX($A434:$R434,MATCH("Value Ex GST",$A$1:$R$1,0)),"")),0)</f>
        <v/>
      </c>
      <c r="V434" s="54">
        <f>IF(AND(T434&lt;&gt;"",IFERROR(INDEX($A434:$R434,MATCH("Value Ex GST",$A$1:$R$1,0)),"")&amp;""&lt;&gt;""),1,0)</f>
        <v/>
      </c>
      <c r="W434" s="56">
        <f>IFERROR(N(IFERROR(INDEX($A434:$R434,MATCH("Probability",$A$1:$R$1,0)),"")),0)</f>
        <v/>
      </c>
      <c r="X434" s="52">
        <f>IF(T434="Open",U434*W434,0)</f>
        <v/>
      </c>
      <c r="Y434" s="52">
        <f>IF(T434="Won",IFERROR(N(IFERROR(INDEX($A434:$R434,MATCH("Still to Invoice",$A$1:$R$1,0)),"")),0),0)</f>
        <v/>
      </c>
      <c r="Z434" s="55">
        <f>IFERROR(EOMONTH(IFERROR(INDEX($A434:$R434,MATCH("Expected Invoice Month",$A$1:$R$1,0)),""),0),"")</f>
        <v/>
      </c>
      <c r="AA434" s="9">
        <f>IFERROR(INDEX($A434:$R434,MATCH("Cost Centre",$A$1:$R$1,0)),"")&amp;""</f>
        <v/>
      </c>
      <c r="AB434" s="9">
        <f>IFERROR(INDEX($A434:$R434,MATCH("Pipeline Stage",$A$1:$R$1,0)),"")&amp;""</f>
        <v/>
      </c>
      <c r="AC434" s="9">
        <f>IFERROR(INDEX($A434:$R434,MATCH("Client",$A$1:$R$1,0)),"")&amp;""</f>
        <v/>
      </c>
      <c r="AD434" s="9">
        <f>IFERROR(INDEX($A434:$R434,MATCH("Description",$A$1:$R$1,0)),"")&amp;""</f>
        <v/>
      </c>
      <c r="AE434" s="9">
        <f>IFERROR(INDEX($A434:$R434,MATCH("Job Number",$A$1:$R$1,0)),"")&amp;""</f>
        <v/>
      </c>
      <c r="AF434" s="54">
        <f>IF(AND(T434="Open",ISNUMBER(Z434),Z434&lt;EOMONTH(set_AsAt,-1)+1),3,0)</f>
        <v/>
      </c>
      <c r="AG434" s="54">
        <f>IF(AND(T434="Open",U434&gt;0,U434&gt;=set_DealShare*SUMIFS($U$2:$U$601,$T$2:$T$601,"Open")),3,0)</f>
        <v/>
      </c>
      <c r="AH434" s="54">
        <f>IF(AND(T434="Open",U434&gt;=set_BigValue,W434&lt;=set_EarlyProb),2,0)</f>
        <v/>
      </c>
      <c r="AI434" s="54">
        <f>IF(AND(OR(T434="Open",T434="Won"),V434=0),2,0)</f>
        <v/>
      </c>
      <c r="AJ434" s="54">
        <f>IF(AND(T434="Won",Y434&gt;0.5,ISNUMBER(Z434),Z434&lt;EOMONTH(set_AsAt,-1)+1),3,0)</f>
        <v/>
      </c>
      <c r="AK434" s="54">
        <f>IF(AND(T434="Won",Y434&lt;-1),1,0)</f>
        <v/>
      </c>
      <c r="AL434" s="54">
        <f>SUM(AF434:AK434)</f>
        <v/>
      </c>
      <c r="AM434" s="9">
        <f>IF(AL434&gt;=set_ScoreHigh,"High",IF(AL434&gt;=set_ScoreMed,"Medium",IF(AL434&gt;0,"Low","OK")))</f>
        <v/>
      </c>
      <c r="AN434" s="54">
        <f>IF(OR(T434="Open",AND(T434="Won",ABS(Y434)&gt;0.5)),1,0)</f>
        <v/>
      </c>
      <c r="AO434" s="52">
        <f>IF(T434="Open",IF(V434=0,0,X434),IF(T434="Won",MAX(0,Y434),0))</f>
        <v/>
      </c>
      <c r="AP434" s="54">
        <f>IF(AN434=1,AL434*1E+9+U434+ROW()/1E+6,"")</f>
        <v/>
      </c>
      <c r="AQ434" s="9">
        <f>MID(IF(AF434&gt;0,"; Expected month passed - update Zoho","")&amp;IF(AG434&gt;0,"; "&amp;TEXT(U434/MAX(1,SUMIFS($U$2:$U$601,$T$2:$T$601,"Open")),"0%")&amp;" of open pipeline in one deal","")&amp;IF(AH434&gt;0,"; Large deal at an early stage","")&amp;IF(AI434&gt;0,"; No amount in Zoho","")&amp;IF(AJ434&gt;0,"; Won, invoice month passed, not fully invoiced","")&amp;IF(AK434&gt;0,"; Xero invoiced more than the deal value",""),3,300)</f>
        <v/>
      </c>
    </row>
    <row r="435">
      <c r="T435" s="9">
        <f>IFERROR(INDEX($A435:$R435,MATCH("Status",$A$1:$R$1,0)),"")&amp;""</f>
        <v/>
      </c>
      <c r="U435" s="52">
        <f>IFERROR(N(IFERROR(INDEX($A435:$R435,MATCH("Value Ex GST",$A$1:$R$1,0)),"")),0)</f>
        <v/>
      </c>
      <c r="V435" s="54">
        <f>IF(AND(T435&lt;&gt;"",IFERROR(INDEX($A435:$R435,MATCH("Value Ex GST",$A$1:$R$1,0)),"")&amp;""&lt;&gt;""),1,0)</f>
        <v/>
      </c>
      <c r="W435" s="56">
        <f>IFERROR(N(IFERROR(INDEX($A435:$R435,MATCH("Probability",$A$1:$R$1,0)),"")),0)</f>
        <v/>
      </c>
      <c r="X435" s="52">
        <f>IF(T435="Open",U435*W435,0)</f>
        <v/>
      </c>
      <c r="Y435" s="52">
        <f>IF(T435="Won",IFERROR(N(IFERROR(INDEX($A435:$R435,MATCH("Still to Invoice",$A$1:$R$1,0)),"")),0),0)</f>
        <v/>
      </c>
      <c r="Z435" s="55">
        <f>IFERROR(EOMONTH(IFERROR(INDEX($A435:$R435,MATCH("Expected Invoice Month",$A$1:$R$1,0)),""),0),"")</f>
        <v/>
      </c>
      <c r="AA435" s="9">
        <f>IFERROR(INDEX($A435:$R435,MATCH("Cost Centre",$A$1:$R$1,0)),"")&amp;""</f>
        <v/>
      </c>
      <c r="AB435" s="9">
        <f>IFERROR(INDEX($A435:$R435,MATCH("Pipeline Stage",$A$1:$R$1,0)),"")&amp;""</f>
        <v/>
      </c>
      <c r="AC435" s="9">
        <f>IFERROR(INDEX($A435:$R435,MATCH("Client",$A$1:$R$1,0)),"")&amp;""</f>
        <v/>
      </c>
      <c r="AD435" s="9">
        <f>IFERROR(INDEX($A435:$R435,MATCH("Description",$A$1:$R$1,0)),"")&amp;""</f>
        <v/>
      </c>
      <c r="AE435" s="9">
        <f>IFERROR(INDEX($A435:$R435,MATCH("Job Number",$A$1:$R$1,0)),"")&amp;""</f>
        <v/>
      </c>
      <c r="AF435" s="54">
        <f>IF(AND(T435="Open",ISNUMBER(Z435),Z435&lt;EOMONTH(set_AsAt,-1)+1),3,0)</f>
        <v/>
      </c>
      <c r="AG435" s="54">
        <f>IF(AND(T435="Open",U435&gt;0,U435&gt;=set_DealShare*SUMIFS($U$2:$U$601,$T$2:$T$601,"Open")),3,0)</f>
        <v/>
      </c>
      <c r="AH435" s="54">
        <f>IF(AND(T435="Open",U435&gt;=set_BigValue,W435&lt;=set_EarlyProb),2,0)</f>
        <v/>
      </c>
      <c r="AI435" s="54">
        <f>IF(AND(OR(T435="Open",T435="Won"),V435=0),2,0)</f>
        <v/>
      </c>
      <c r="AJ435" s="54">
        <f>IF(AND(T435="Won",Y435&gt;0.5,ISNUMBER(Z435),Z435&lt;EOMONTH(set_AsAt,-1)+1),3,0)</f>
        <v/>
      </c>
      <c r="AK435" s="54">
        <f>IF(AND(T435="Won",Y435&lt;-1),1,0)</f>
        <v/>
      </c>
      <c r="AL435" s="54">
        <f>SUM(AF435:AK435)</f>
        <v/>
      </c>
      <c r="AM435" s="9">
        <f>IF(AL435&gt;=set_ScoreHigh,"High",IF(AL435&gt;=set_ScoreMed,"Medium",IF(AL435&gt;0,"Low","OK")))</f>
        <v/>
      </c>
      <c r="AN435" s="54">
        <f>IF(OR(T435="Open",AND(T435="Won",ABS(Y435)&gt;0.5)),1,0)</f>
        <v/>
      </c>
      <c r="AO435" s="52">
        <f>IF(T435="Open",IF(V435=0,0,X435),IF(T435="Won",MAX(0,Y435),0))</f>
        <v/>
      </c>
      <c r="AP435" s="54">
        <f>IF(AN435=1,AL435*1E+9+U435+ROW()/1E+6,"")</f>
        <v/>
      </c>
      <c r="AQ435" s="9">
        <f>MID(IF(AF435&gt;0,"; Expected month passed - update Zoho","")&amp;IF(AG435&gt;0,"; "&amp;TEXT(U435/MAX(1,SUMIFS($U$2:$U$601,$T$2:$T$601,"Open")),"0%")&amp;" of open pipeline in one deal","")&amp;IF(AH435&gt;0,"; Large deal at an early stage","")&amp;IF(AI435&gt;0,"; No amount in Zoho","")&amp;IF(AJ435&gt;0,"; Won, invoice month passed, not fully invoiced","")&amp;IF(AK435&gt;0,"; Xero invoiced more than the deal value",""),3,300)</f>
        <v/>
      </c>
    </row>
    <row r="436">
      <c r="T436" s="9">
        <f>IFERROR(INDEX($A436:$R436,MATCH("Status",$A$1:$R$1,0)),"")&amp;""</f>
        <v/>
      </c>
      <c r="U436" s="52">
        <f>IFERROR(N(IFERROR(INDEX($A436:$R436,MATCH("Value Ex GST",$A$1:$R$1,0)),"")),0)</f>
        <v/>
      </c>
      <c r="V436" s="54">
        <f>IF(AND(T436&lt;&gt;"",IFERROR(INDEX($A436:$R436,MATCH("Value Ex GST",$A$1:$R$1,0)),"")&amp;""&lt;&gt;""),1,0)</f>
        <v/>
      </c>
      <c r="W436" s="56">
        <f>IFERROR(N(IFERROR(INDEX($A436:$R436,MATCH("Probability",$A$1:$R$1,0)),"")),0)</f>
        <v/>
      </c>
      <c r="X436" s="52">
        <f>IF(T436="Open",U436*W436,0)</f>
        <v/>
      </c>
      <c r="Y436" s="52">
        <f>IF(T436="Won",IFERROR(N(IFERROR(INDEX($A436:$R436,MATCH("Still to Invoice",$A$1:$R$1,0)),"")),0),0)</f>
        <v/>
      </c>
      <c r="Z436" s="55">
        <f>IFERROR(EOMONTH(IFERROR(INDEX($A436:$R436,MATCH("Expected Invoice Month",$A$1:$R$1,0)),""),0),"")</f>
        <v/>
      </c>
      <c r="AA436" s="9">
        <f>IFERROR(INDEX($A436:$R436,MATCH("Cost Centre",$A$1:$R$1,0)),"")&amp;""</f>
        <v/>
      </c>
      <c r="AB436" s="9">
        <f>IFERROR(INDEX($A436:$R436,MATCH("Pipeline Stage",$A$1:$R$1,0)),"")&amp;""</f>
        <v/>
      </c>
      <c r="AC436" s="9">
        <f>IFERROR(INDEX($A436:$R436,MATCH("Client",$A$1:$R$1,0)),"")&amp;""</f>
        <v/>
      </c>
      <c r="AD436" s="9">
        <f>IFERROR(INDEX($A436:$R436,MATCH("Description",$A$1:$R$1,0)),"")&amp;""</f>
        <v/>
      </c>
      <c r="AE436" s="9">
        <f>IFERROR(INDEX($A436:$R436,MATCH("Job Number",$A$1:$R$1,0)),"")&amp;""</f>
        <v/>
      </c>
      <c r="AF436" s="54">
        <f>IF(AND(T436="Open",ISNUMBER(Z436),Z436&lt;EOMONTH(set_AsAt,-1)+1),3,0)</f>
        <v/>
      </c>
      <c r="AG436" s="54">
        <f>IF(AND(T436="Open",U436&gt;0,U436&gt;=set_DealShare*SUMIFS($U$2:$U$601,$T$2:$T$601,"Open")),3,0)</f>
        <v/>
      </c>
      <c r="AH436" s="54">
        <f>IF(AND(T436="Open",U436&gt;=set_BigValue,W436&lt;=set_EarlyProb),2,0)</f>
        <v/>
      </c>
      <c r="AI436" s="54">
        <f>IF(AND(OR(T436="Open",T436="Won"),V436=0),2,0)</f>
        <v/>
      </c>
      <c r="AJ436" s="54">
        <f>IF(AND(T436="Won",Y436&gt;0.5,ISNUMBER(Z436),Z436&lt;EOMONTH(set_AsAt,-1)+1),3,0)</f>
        <v/>
      </c>
      <c r="AK436" s="54">
        <f>IF(AND(T436="Won",Y436&lt;-1),1,0)</f>
        <v/>
      </c>
      <c r="AL436" s="54">
        <f>SUM(AF436:AK436)</f>
        <v/>
      </c>
      <c r="AM436" s="9">
        <f>IF(AL436&gt;=set_ScoreHigh,"High",IF(AL436&gt;=set_ScoreMed,"Medium",IF(AL436&gt;0,"Low","OK")))</f>
        <v/>
      </c>
      <c r="AN436" s="54">
        <f>IF(OR(T436="Open",AND(T436="Won",ABS(Y436)&gt;0.5)),1,0)</f>
        <v/>
      </c>
      <c r="AO436" s="52">
        <f>IF(T436="Open",IF(V436=0,0,X436),IF(T436="Won",MAX(0,Y436),0))</f>
        <v/>
      </c>
      <c r="AP436" s="54">
        <f>IF(AN436=1,AL436*1E+9+U436+ROW()/1E+6,"")</f>
        <v/>
      </c>
      <c r="AQ436" s="9">
        <f>MID(IF(AF436&gt;0,"; Expected month passed - update Zoho","")&amp;IF(AG436&gt;0,"; "&amp;TEXT(U436/MAX(1,SUMIFS($U$2:$U$601,$T$2:$T$601,"Open")),"0%")&amp;" of open pipeline in one deal","")&amp;IF(AH436&gt;0,"; Large deal at an early stage","")&amp;IF(AI436&gt;0,"; No amount in Zoho","")&amp;IF(AJ436&gt;0,"; Won, invoice month passed, not fully invoiced","")&amp;IF(AK436&gt;0,"; Xero invoiced more than the deal value",""),3,300)</f>
        <v/>
      </c>
    </row>
    <row r="437">
      <c r="T437" s="9">
        <f>IFERROR(INDEX($A437:$R437,MATCH("Status",$A$1:$R$1,0)),"")&amp;""</f>
        <v/>
      </c>
      <c r="U437" s="52">
        <f>IFERROR(N(IFERROR(INDEX($A437:$R437,MATCH("Value Ex GST",$A$1:$R$1,0)),"")),0)</f>
        <v/>
      </c>
      <c r="V437" s="54">
        <f>IF(AND(T437&lt;&gt;"",IFERROR(INDEX($A437:$R437,MATCH("Value Ex GST",$A$1:$R$1,0)),"")&amp;""&lt;&gt;""),1,0)</f>
        <v/>
      </c>
      <c r="W437" s="56">
        <f>IFERROR(N(IFERROR(INDEX($A437:$R437,MATCH("Probability",$A$1:$R$1,0)),"")),0)</f>
        <v/>
      </c>
      <c r="X437" s="52">
        <f>IF(T437="Open",U437*W437,0)</f>
        <v/>
      </c>
      <c r="Y437" s="52">
        <f>IF(T437="Won",IFERROR(N(IFERROR(INDEX($A437:$R437,MATCH("Still to Invoice",$A$1:$R$1,0)),"")),0),0)</f>
        <v/>
      </c>
      <c r="Z437" s="55">
        <f>IFERROR(EOMONTH(IFERROR(INDEX($A437:$R437,MATCH("Expected Invoice Month",$A$1:$R$1,0)),""),0),"")</f>
        <v/>
      </c>
      <c r="AA437" s="9">
        <f>IFERROR(INDEX($A437:$R437,MATCH("Cost Centre",$A$1:$R$1,0)),"")&amp;""</f>
        <v/>
      </c>
      <c r="AB437" s="9">
        <f>IFERROR(INDEX($A437:$R437,MATCH("Pipeline Stage",$A$1:$R$1,0)),"")&amp;""</f>
        <v/>
      </c>
      <c r="AC437" s="9">
        <f>IFERROR(INDEX($A437:$R437,MATCH("Client",$A$1:$R$1,0)),"")&amp;""</f>
        <v/>
      </c>
      <c r="AD437" s="9">
        <f>IFERROR(INDEX($A437:$R437,MATCH("Description",$A$1:$R$1,0)),"")&amp;""</f>
        <v/>
      </c>
      <c r="AE437" s="9">
        <f>IFERROR(INDEX($A437:$R437,MATCH("Job Number",$A$1:$R$1,0)),"")&amp;""</f>
        <v/>
      </c>
      <c r="AF437" s="54">
        <f>IF(AND(T437="Open",ISNUMBER(Z437),Z437&lt;EOMONTH(set_AsAt,-1)+1),3,0)</f>
        <v/>
      </c>
      <c r="AG437" s="54">
        <f>IF(AND(T437="Open",U437&gt;0,U437&gt;=set_DealShare*SUMIFS($U$2:$U$601,$T$2:$T$601,"Open")),3,0)</f>
        <v/>
      </c>
      <c r="AH437" s="54">
        <f>IF(AND(T437="Open",U437&gt;=set_BigValue,W437&lt;=set_EarlyProb),2,0)</f>
        <v/>
      </c>
      <c r="AI437" s="54">
        <f>IF(AND(OR(T437="Open",T437="Won"),V437=0),2,0)</f>
        <v/>
      </c>
      <c r="AJ437" s="54">
        <f>IF(AND(T437="Won",Y437&gt;0.5,ISNUMBER(Z437),Z437&lt;EOMONTH(set_AsAt,-1)+1),3,0)</f>
        <v/>
      </c>
      <c r="AK437" s="54">
        <f>IF(AND(T437="Won",Y437&lt;-1),1,0)</f>
        <v/>
      </c>
      <c r="AL437" s="54">
        <f>SUM(AF437:AK437)</f>
        <v/>
      </c>
      <c r="AM437" s="9">
        <f>IF(AL437&gt;=set_ScoreHigh,"High",IF(AL437&gt;=set_ScoreMed,"Medium",IF(AL437&gt;0,"Low","OK")))</f>
        <v/>
      </c>
      <c r="AN437" s="54">
        <f>IF(OR(T437="Open",AND(T437="Won",ABS(Y437)&gt;0.5)),1,0)</f>
        <v/>
      </c>
      <c r="AO437" s="52">
        <f>IF(T437="Open",IF(V437=0,0,X437),IF(T437="Won",MAX(0,Y437),0))</f>
        <v/>
      </c>
      <c r="AP437" s="54">
        <f>IF(AN437=1,AL437*1E+9+U437+ROW()/1E+6,"")</f>
        <v/>
      </c>
      <c r="AQ437" s="9">
        <f>MID(IF(AF437&gt;0,"; Expected month passed - update Zoho","")&amp;IF(AG437&gt;0,"; "&amp;TEXT(U437/MAX(1,SUMIFS($U$2:$U$601,$T$2:$T$601,"Open")),"0%")&amp;" of open pipeline in one deal","")&amp;IF(AH437&gt;0,"; Large deal at an early stage","")&amp;IF(AI437&gt;0,"; No amount in Zoho","")&amp;IF(AJ437&gt;0,"; Won, invoice month passed, not fully invoiced","")&amp;IF(AK437&gt;0,"; Xero invoiced more than the deal value",""),3,300)</f>
        <v/>
      </c>
    </row>
    <row r="438">
      <c r="T438" s="9">
        <f>IFERROR(INDEX($A438:$R438,MATCH("Status",$A$1:$R$1,0)),"")&amp;""</f>
        <v/>
      </c>
      <c r="U438" s="52">
        <f>IFERROR(N(IFERROR(INDEX($A438:$R438,MATCH("Value Ex GST",$A$1:$R$1,0)),"")),0)</f>
        <v/>
      </c>
      <c r="V438" s="54">
        <f>IF(AND(T438&lt;&gt;"",IFERROR(INDEX($A438:$R438,MATCH("Value Ex GST",$A$1:$R$1,0)),"")&amp;""&lt;&gt;""),1,0)</f>
        <v/>
      </c>
      <c r="W438" s="56">
        <f>IFERROR(N(IFERROR(INDEX($A438:$R438,MATCH("Probability",$A$1:$R$1,0)),"")),0)</f>
        <v/>
      </c>
      <c r="X438" s="52">
        <f>IF(T438="Open",U438*W438,0)</f>
        <v/>
      </c>
      <c r="Y438" s="52">
        <f>IF(T438="Won",IFERROR(N(IFERROR(INDEX($A438:$R438,MATCH("Still to Invoice",$A$1:$R$1,0)),"")),0),0)</f>
        <v/>
      </c>
      <c r="Z438" s="55">
        <f>IFERROR(EOMONTH(IFERROR(INDEX($A438:$R438,MATCH("Expected Invoice Month",$A$1:$R$1,0)),""),0),"")</f>
        <v/>
      </c>
      <c r="AA438" s="9">
        <f>IFERROR(INDEX($A438:$R438,MATCH("Cost Centre",$A$1:$R$1,0)),"")&amp;""</f>
        <v/>
      </c>
      <c r="AB438" s="9">
        <f>IFERROR(INDEX($A438:$R438,MATCH("Pipeline Stage",$A$1:$R$1,0)),"")&amp;""</f>
        <v/>
      </c>
      <c r="AC438" s="9">
        <f>IFERROR(INDEX($A438:$R438,MATCH("Client",$A$1:$R$1,0)),"")&amp;""</f>
        <v/>
      </c>
      <c r="AD438" s="9">
        <f>IFERROR(INDEX($A438:$R438,MATCH("Description",$A$1:$R$1,0)),"")&amp;""</f>
        <v/>
      </c>
      <c r="AE438" s="9">
        <f>IFERROR(INDEX($A438:$R438,MATCH("Job Number",$A$1:$R$1,0)),"")&amp;""</f>
        <v/>
      </c>
      <c r="AF438" s="54">
        <f>IF(AND(T438="Open",ISNUMBER(Z438),Z438&lt;EOMONTH(set_AsAt,-1)+1),3,0)</f>
        <v/>
      </c>
      <c r="AG438" s="54">
        <f>IF(AND(T438="Open",U438&gt;0,U438&gt;=set_DealShare*SUMIFS($U$2:$U$601,$T$2:$T$601,"Open")),3,0)</f>
        <v/>
      </c>
      <c r="AH438" s="54">
        <f>IF(AND(T438="Open",U438&gt;=set_BigValue,W438&lt;=set_EarlyProb),2,0)</f>
        <v/>
      </c>
      <c r="AI438" s="54">
        <f>IF(AND(OR(T438="Open",T438="Won"),V438=0),2,0)</f>
        <v/>
      </c>
      <c r="AJ438" s="54">
        <f>IF(AND(T438="Won",Y438&gt;0.5,ISNUMBER(Z438),Z438&lt;EOMONTH(set_AsAt,-1)+1),3,0)</f>
        <v/>
      </c>
      <c r="AK438" s="54">
        <f>IF(AND(T438="Won",Y438&lt;-1),1,0)</f>
        <v/>
      </c>
      <c r="AL438" s="54">
        <f>SUM(AF438:AK438)</f>
        <v/>
      </c>
      <c r="AM438" s="9">
        <f>IF(AL438&gt;=set_ScoreHigh,"High",IF(AL438&gt;=set_ScoreMed,"Medium",IF(AL438&gt;0,"Low","OK")))</f>
        <v/>
      </c>
      <c r="AN438" s="54">
        <f>IF(OR(T438="Open",AND(T438="Won",ABS(Y438)&gt;0.5)),1,0)</f>
        <v/>
      </c>
      <c r="AO438" s="52">
        <f>IF(T438="Open",IF(V438=0,0,X438),IF(T438="Won",MAX(0,Y438),0))</f>
        <v/>
      </c>
      <c r="AP438" s="54">
        <f>IF(AN438=1,AL438*1E+9+U438+ROW()/1E+6,"")</f>
        <v/>
      </c>
      <c r="AQ438" s="9">
        <f>MID(IF(AF438&gt;0,"; Expected month passed - update Zoho","")&amp;IF(AG438&gt;0,"; "&amp;TEXT(U438/MAX(1,SUMIFS($U$2:$U$601,$T$2:$T$601,"Open")),"0%")&amp;" of open pipeline in one deal","")&amp;IF(AH438&gt;0,"; Large deal at an early stage","")&amp;IF(AI438&gt;0,"; No amount in Zoho","")&amp;IF(AJ438&gt;0,"; Won, invoice month passed, not fully invoiced","")&amp;IF(AK438&gt;0,"; Xero invoiced more than the deal value",""),3,300)</f>
        <v/>
      </c>
    </row>
    <row r="439">
      <c r="T439" s="9">
        <f>IFERROR(INDEX($A439:$R439,MATCH("Status",$A$1:$R$1,0)),"")&amp;""</f>
        <v/>
      </c>
      <c r="U439" s="52">
        <f>IFERROR(N(IFERROR(INDEX($A439:$R439,MATCH("Value Ex GST",$A$1:$R$1,0)),"")),0)</f>
        <v/>
      </c>
      <c r="V439" s="54">
        <f>IF(AND(T439&lt;&gt;"",IFERROR(INDEX($A439:$R439,MATCH("Value Ex GST",$A$1:$R$1,0)),"")&amp;""&lt;&gt;""),1,0)</f>
        <v/>
      </c>
      <c r="W439" s="56">
        <f>IFERROR(N(IFERROR(INDEX($A439:$R439,MATCH("Probability",$A$1:$R$1,0)),"")),0)</f>
        <v/>
      </c>
      <c r="X439" s="52">
        <f>IF(T439="Open",U439*W439,0)</f>
        <v/>
      </c>
      <c r="Y439" s="52">
        <f>IF(T439="Won",IFERROR(N(IFERROR(INDEX($A439:$R439,MATCH("Still to Invoice",$A$1:$R$1,0)),"")),0),0)</f>
        <v/>
      </c>
      <c r="Z439" s="55">
        <f>IFERROR(EOMONTH(IFERROR(INDEX($A439:$R439,MATCH("Expected Invoice Month",$A$1:$R$1,0)),""),0),"")</f>
        <v/>
      </c>
      <c r="AA439" s="9">
        <f>IFERROR(INDEX($A439:$R439,MATCH("Cost Centre",$A$1:$R$1,0)),"")&amp;""</f>
        <v/>
      </c>
      <c r="AB439" s="9">
        <f>IFERROR(INDEX($A439:$R439,MATCH("Pipeline Stage",$A$1:$R$1,0)),"")&amp;""</f>
        <v/>
      </c>
      <c r="AC439" s="9">
        <f>IFERROR(INDEX($A439:$R439,MATCH("Client",$A$1:$R$1,0)),"")&amp;""</f>
        <v/>
      </c>
      <c r="AD439" s="9">
        <f>IFERROR(INDEX($A439:$R439,MATCH("Description",$A$1:$R$1,0)),"")&amp;""</f>
        <v/>
      </c>
      <c r="AE439" s="9">
        <f>IFERROR(INDEX($A439:$R439,MATCH("Job Number",$A$1:$R$1,0)),"")&amp;""</f>
        <v/>
      </c>
      <c r="AF439" s="54">
        <f>IF(AND(T439="Open",ISNUMBER(Z439),Z439&lt;EOMONTH(set_AsAt,-1)+1),3,0)</f>
        <v/>
      </c>
      <c r="AG439" s="54">
        <f>IF(AND(T439="Open",U439&gt;0,U439&gt;=set_DealShare*SUMIFS($U$2:$U$601,$T$2:$T$601,"Open")),3,0)</f>
        <v/>
      </c>
      <c r="AH439" s="54">
        <f>IF(AND(T439="Open",U439&gt;=set_BigValue,W439&lt;=set_EarlyProb),2,0)</f>
        <v/>
      </c>
      <c r="AI439" s="54">
        <f>IF(AND(OR(T439="Open",T439="Won"),V439=0),2,0)</f>
        <v/>
      </c>
      <c r="AJ439" s="54">
        <f>IF(AND(T439="Won",Y439&gt;0.5,ISNUMBER(Z439),Z439&lt;EOMONTH(set_AsAt,-1)+1),3,0)</f>
        <v/>
      </c>
      <c r="AK439" s="54">
        <f>IF(AND(T439="Won",Y439&lt;-1),1,0)</f>
        <v/>
      </c>
      <c r="AL439" s="54">
        <f>SUM(AF439:AK439)</f>
        <v/>
      </c>
      <c r="AM439" s="9">
        <f>IF(AL439&gt;=set_ScoreHigh,"High",IF(AL439&gt;=set_ScoreMed,"Medium",IF(AL439&gt;0,"Low","OK")))</f>
        <v/>
      </c>
      <c r="AN439" s="54">
        <f>IF(OR(T439="Open",AND(T439="Won",ABS(Y439)&gt;0.5)),1,0)</f>
        <v/>
      </c>
      <c r="AO439" s="52">
        <f>IF(T439="Open",IF(V439=0,0,X439),IF(T439="Won",MAX(0,Y439),0))</f>
        <v/>
      </c>
      <c r="AP439" s="54">
        <f>IF(AN439=1,AL439*1E+9+U439+ROW()/1E+6,"")</f>
        <v/>
      </c>
      <c r="AQ439" s="9">
        <f>MID(IF(AF439&gt;0,"; Expected month passed - update Zoho","")&amp;IF(AG439&gt;0,"; "&amp;TEXT(U439/MAX(1,SUMIFS($U$2:$U$601,$T$2:$T$601,"Open")),"0%")&amp;" of open pipeline in one deal","")&amp;IF(AH439&gt;0,"; Large deal at an early stage","")&amp;IF(AI439&gt;0,"; No amount in Zoho","")&amp;IF(AJ439&gt;0,"; Won, invoice month passed, not fully invoiced","")&amp;IF(AK439&gt;0,"; Xero invoiced more than the deal value",""),3,300)</f>
        <v/>
      </c>
    </row>
    <row r="440">
      <c r="T440" s="9">
        <f>IFERROR(INDEX($A440:$R440,MATCH("Status",$A$1:$R$1,0)),"")&amp;""</f>
        <v/>
      </c>
      <c r="U440" s="52">
        <f>IFERROR(N(IFERROR(INDEX($A440:$R440,MATCH("Value Ex GST",$A$1:$R$1,0)),"")),0)</f>
        <v/>
      </c>
      <c r="V440" s="54">
        <f>IF(AND(T440&lt;&gt;"",IFERROR(INDEX($A440:$R440,MATCH("Value Ex GST",$A$1:$R$1,0)),"")&amp;""&lt;&gt;""),1,0)</f>
        <v/>
      </c>
      <c r="W440" s="56">
        <f>IFERROR(N(IFERROR(INDEX($A440:$R440,MATCH("Probability",$A$1:$R$1,0)),"")),0)</f>
        <v/>
      </c>
      <c r="X440" s="52">
        <f>IF(T440="Open",U440*W440,0)</f>
        <v/>
      </c>
      <c r="Y440" s="52">
        <f>IF(T440="Won",IFERROR(N(IFERROR(INDEX($A440:$R440,MATCH("Still to Invoice",$A$1:$R$1,0)),"")),0),0)</f>
        <v/>
      </c>
      <c r="Z440" s="55">
        <f>IFERROR(EOMONTH(IFERROR(INDEX($A440:$R440,MATCH("Expected Invoice Month",$A$1:$R$1,0)),""),0),"")</f>
        <v/>
      </c>
      <c r="AA440" s="9">
        <f>IFERROR(INDEX($A440:$R440,MATCH("Cost Centre",$A$1:$R$1,0)),"")&amp;""</f>
        <v/>
      </c>
      <c r="AB440" s="9">
        <f>IFERROR(INDEX($A440:$R440,MATCH("Pipeline Stage",$A$1:$R$1,0)),"")&amp;""</f>
        <v/>
      </c>
      <c r="AC440" s="9">
        <f>IFERROR(INDEX($A440:$R440,MATCH("Client",$A$1:$R$1,0)),"")&amp;""</f>
        <v/>
      </c>
      <c r="AD440" s="9">
        <f>IFERROR(INDEX($A440:$R440,MATCH("Description",$A$1:$R$1,0)),"")&amp;""</f>
        <v/>
      </c>
      <c r="AE440" s="9">
        <f>IFERROR(INDEX($A440:$R440,MATCH("Job Number",$A$1:$R$1,0)),"")&amp;""</f>
        <v/>
      </c>
      <c r="AF440" s="54">
        <f>IF(AND(T440="Open",ISNUMBER(Z440),Z440&lt;EOMONTH(set_AsAt,-1)+1),3,0)</f>
        <v/>
      </c>
      <c r="AG440" s="54">
        <f>IF(AND(T440="Open",U440&gt;0,U440&gt;=set_DealShare*SUMIFS($U$2:$U$601,$T$2:$T$601,"Open")),3,0)</f>
        <v/>
      </c>
      <c r="AH440" s="54">
        <f>IF(AND(T440="Open",U440&gt;=set_BigValue,W440&lt;=set_EarlyProb),2,0)</f>
        <v/>
      </c>
      <c r="AI440" s="54">
        <f>IF(AND(OR(T440="Open",T440="Won"),V440=0),2,0)</f>
        <v/>
      </c>
      <c r="AJ440" s="54">
        <f>IF(AND(T440="Won",Y440&gt;0.5,ISNUMBER(Z440),Z440&lt;EOMONTH(set_AsAt,-1)+1),3,0)</f>
        <v/>
      </c>
      <c r="AK440" s="54">
        <f>IF(AND(T440="Won",Y440&lt;-1),1,0)</f>
        <v/>
      </c>
      <c r="AL440" s="54">
        <f>SUM(AF440:AK440)</f>
        <v/>
      </c>
      <c r="AM440" s="9">
        <f>IF(AL440&gt;=set_ScoreHigh,"High",IF(AL440&gt;=set_ScoreMed,"Medium",IF(AL440&gt;0,"Low","OK")))</f>
        <v/>
      </c>
      <c r="AN440" s="54">
        <f>IF(OR(T440="Open",AND(T440="Won",ABS(Y440)&gt;0.5)),1,0)</f>
        <v/>
      </c>
      <c r="AO440" s="52">
        <f>IF(T440="Open",IF(V440=0,0,X440),IF(T440="Won",MAX(0,Y440),0))</f>
        <v/>
      </c>
      <c r="AP440" s="54">
        <f>IF(AN440=1,AL440*1E+9+U440+ROW()/1E+6,"")</f>
        <v/>
      </c>
      <c r="AQ440" s="9">
        <f>MID(IF(AF440&gt;0,"; Expected month passed - update Zoho","")&amp;IF(AG440&gt;0,"; "&amp;TEXT(U440/MAX(1,SUMIFS($U$2:$U$601,$T$2:$T$601,"Open")),"0%")&amp;" of open pipeline in one deal","")&amp;IF(AH440&gt;0,"; Large deal at an early stage","")&amp;IF(AI440&gt;0,"; No amount in Zoho","")&amp;IF(AJ440&gt;0,"; Won, invoice month passed, not fully invoiced","")&amp;IF(AK440&gt;0,"; Xero invoiced more than the deal value",""),3,300)</f>
        <v/>
      </c>
    </row>
    <row r="441">
      <c r="T441" s="9">
        <f>IFERROR(INDEX($A441:$R441,MATCH("Status",$A$1:$R$1,0)),"")&amp;""</f>
        <v/>
      </c>
      <c r="U441" s="52">
        <f>IFERROR(N(IFERROR(INDEX($A441:$R441,MATCH("Value Ex GST",$A$1:$R$1,0)),"")),0)</f>
        <v/>
      </c>
      <c r="V441" s="54">
        <f>IF(AND(T441&lt;&gt;"",IFERROR(INDEX($A441:$R441,MATCH("Value Ex GST",$A$1:$R$1,0)),"")&amp;""&lt;&gt;""),1,0)</f>
        <v/>
      </c>
      <c r="W441" s="56">
        <f>IFERROR(N(IFERROR(INDEX($A441:$R441,MATCH("Probability",$A$1:$R$1,0)),"")),0)</f>
        <v/>
      </c>
      <c r="X441" s="52">
        <f>IF(T441="Open",U441*W441,0)</f>
        <v/>
      </c>
      <c r="Y441" s="52">
        <f>IF(T441="Won",IFERROR(N(IFERROR(INDEX($A441:$R441,MATCH("Still to Invoice",$A$1:$R$1,0)),"")),0),0)</f>
        <v/>
      </c>
      <c r="Z441" s="55">
        <f>IFERROR(EOMONTH(IFERROR(INDEX($A441:$R441,MATCH("Expected Invoice Month",$A$1:$R$1,0)),""),0),"")</f>
        <v/>
      </c>
      <c r="AA441" s="9">
        <f>IFERROR(INDEX($A441:$R441,MATCH("Cost Centre",$A$1:$R$1,0)),"")&amp;""</f>
        <v/>
      </c>
      <c r="AB441" s="9">
        <f>IFERROR(INDEX($A441:$R441,MATCH("Pipeline Stage",$A$1:$R$1,0)),"")&amp;""</f>
        <v/>
      </c>
      <c r="AC441" s="9">
        <f>IFERROR(INDEX($A441:$R441,MATCH("Client",$A$1:$R$1,0)),"")&amp;""</f>
        <v/>
      </c>
      <c r="AD441" s="9">
        <f>IFERROR(INDEX($A441:$R441,MATCH("Description",$A$1:$R$1,0)),"")&amp;""</f>
        <v/>
      </c>
      <c r="AE441" s="9">
        <f>IFERROR(INDEX($A441:$R441,MATCH("Job Number",$A$1:$R$1,0)),"")&amp;""</f>
        <v/>
      </c>
      <c r="AF441" s="54">
        <f>IF(AND(T441="Open",ISNUMBER(Z441),Z441&lt;EOMONTH(set_AsAt,-1)+1),3,0)</f>
        <v/>
      </c>
      <c r="AG441" s="54">
        <f>IF(AND(T441="Open",U441&gt;0,U441&gt;=set_DealShare*SUMIFS($U$2:$U$601,$T$2:$T$601,"Open")),3,0)</f>
        <v/>
      </c>
      <c r="AH441" s="54">
        <f>IF(AND(T441="Open",U441&gt;=set_BigValue,W441&lt;=set_EarlyProb),2,0)</f>
        <v/>
      </c>
      <c r="AI441" s="54">
        <f>IF(AND(OR(T441="Open",T441="Won"),V441=0),2,0)</f>
        <v/>
      </c>
      <c r="AJ441" s="54">
        <f>IF(AND(T441="Won",Y441&gt;0.5,ISNUMBER(Z441),Z441&lt;EOMONTH(set_AsAt,-1)+1),3,0)</f>
        <v/>
      </c>
      <c r="AK441" s="54">
        <f>IF(AND(T441="Won",Y441&lt;-1),1,0)</f>
        <v/>
      </c>
      <c r="AL441" s="54">
        <f>SUM(AF441:AK441)</f>
        <v/>
      </c>
      <c r="AM441" s="9">
        <f>IF(AL441&gt;=set_ScoreHigh,"High",IF(AL441&gt;=set_ScoreMed,"Medium",IF(AL441&gt;0,"Low","OK")))</f>
        <v/>
      </c>
      <c r="AN441" s="54">
        <f>IF(OR(T441="Open",AND(T441="Won",ABS(Y441)&gt;0.5)),1,0)</f>
        <v/>
      </c>
      <c r="AO441" s="52">
        <f>IF(T441="Open",IF(V441=0,0,X441),IF(T441="Won",MAX(0,Y441),0))</f>
        <v/>
      </c>
      <c r="AP441" s="54">
        <f>IF(AN441=1,AL441*1E+9+U441+ROW()/1E+6,"")</f>
        <v/>
      </c>
      <c r="AQ441" s="9">
        <f>MID(IF(AF441&gt;0,"; Expected month passed - update Zoho","")&amp;IF(AG441&gt;0,"; "&amp;TEXT(U441/MAX(1,SUMIFS($U$2:$U$601,$T$2:$T$601,"Open")),"0%")&amp;" of open pipeline in one deal","")&amp;IF(AH441&gt;0,"; Large deal at an early stage","")&amp;IF(AI441&gt;0,"; No amount in Zoho","")&amp;IF(AJ441&gt;0,"; Won, invoice month passed, not fully invoiced","")&amp;IF(AK441&gt;0,"; Xero invoiced more than the deal value",""),3,300)</f>
        <v/>
      </c>
    </row>
    <row r="442">
      <c r="T442" s="9">
        <f>IFERROR(INDEX($A442:$R442,MATCH("Status",$A$1:$R$1,0)),"")&amp;""</f>
        <v/>
      </c>
      <c r="U442" s="52">
        <f>IFERROR(N(IFERROR(INDEX($A442:$R442,MATCH("Value Ex GST",$A$1:$R$1,0)),"")),0)</f>
        <v/>
      </c>
      <c r="V442" s="54">
        <f>IF(AND(T442&lt;&gt;"",IFERROR(INDEX($A442:$R442,MATCH("Value Ex GST",$A$1:$R$1,0)),"")&amp;""&lt;&gt;""),1,0)</f>
        <v/>
      </c>
      <c r="W442" s="56">
        <f>IFERROR(N(IFERROR(INDEX($A442:$R442,MATCH("Probability",$A$1:$R$1,0)),"")),0)</f>
        <v/>
      </c>
      <c r="X442" s="52">
        <f>IF(T442="Open",U442*W442,0)</f>
        <v/>
      </c>
      <c r="Y442" s="52">
        <f>IF(T442="Won",IFERROR(N(IFERROR(INDEX($A442:$R442,MATCH("Still to Invoice",$A$1:$R$1,0)),"")),0),0)</f>
        <v/>
      </c>
      <c r="Z442" s="55">
        <f>IFERROR(EOMONTH(IFERROR(INDEX($A442:$R442,MATCH("Expected Invoice Month",$A$1:$R$1,0)),""),0),"")</f>
        <v/>
      </c>
      <c r="AA442" s="9">
        <f>IFERROR(INDEX($A442:$R442,MATCH("Cost Centre",$A$1:$R$1,0)),"")&amp;""</f>
        <v/>
      </c>
      <c r="AB442" s="9">
        <f>IFERROR(INDEX($A442:$R442,MATCH("Pipeline Stage",$A$1:$R$1,0)),"")&amp;""</f>
        <v/>
      </c>
      <c r="AC442" s="9">
        <f>IFERROR(INDEX($A442:$R442,MATCH("Client",$A$1:$R$1,0)),"")&amp;""</f>
        <v/>
      </c>
      <c r="AD442" s="9">
        <f>IFERROR(INDEX($A442:$R442,MATCH("Description",$A$1:$R$1,0)),"")&amp;""</f>
        <v/>
      </c>
      <c r="AE442" s="9">
        <f>IFERROR(INDEX($A442:$R442,MATCH("Job Number",$A$1:$R$1,0)),"")&amp;""</f>
        <v/>
      </c>
      <c r="AF442" s="54">
        <f>IF(AND(T442="Open",ISNUMBER(Z442),Z442&lt;EOMONTH(set_AsAt,-1)+1),3,0)</f>
        <v/>
      </c>
      <c r="AG442" s="54">
        <f>IF(AND(T442="Open",U442&gt;0,U442&gt;=set_DealShare*SUMIFS($U$2:$U$601,$T$2:$T$601,"Open")),3,0)</f>
        <v/>
      </c>
      <c r="AH442" s="54">
        <f>IF(AND(T442="Open",U442&gt;=set_BigValue,W442&lt;=set_EarlyProb),2,0)</f>
        <v/>
      </c>
      <c r="AI442" s="54">
        <f>IF(AND(OR(T442="Open",T442="Won"),V442=0),2,0)</f>
        <v/>
      </c>
      <c r="AJ442" s="54">
        <f>IF(AND(T442="Won",Y442&gt;0.5,ISNUMBER(Z442),Z442&lt;EOMONTH(set_AsAt,-1)+1),3,0)</f>
        <v/>
      </c>
      <c r="AK442" s="54">
        <f>IF(AND(T442="Won",Y442&lt;-1),1,0)</f>
        <v/>
      </c>
      <c r="AL442" s="54">
        <f>SUM(AF442:AK442)</f>
        <v/>
      </c>
      <c r="AM442" s="9">
        <f>IF(AL442&gt;=set_ScoreHigh,"High",IF(AL442&gt;=set_ScoreMed,"Medium",IF(AL442&gt;0,"Low","OK")))</f>
        <v/>
      </c>
      <c r="AN442" s="54">
        <f>IF(OR(T442="Open",AND(T442="Won",ABS(Y442)&gt;0.5)),1,0)</f>
        <v/>
      </c>
      <c r="AO442" s="52">
        <f>IF(T442="Open",IF(V442=0,0,X442),IF(T442="Won",MAX(0,Y442),0))</f>
        <v/>
      </c>
      <c r="AP442" s="54">
        <f>IF(AN442=1,AL442*1E+9+U442+ROW()/1E+6,"")</f>
        <v/>
      </c>
      <c r="AQ442" s="9">
        <f>MID(IF(AF442&gt;0,"; Expected month passed - update Zoho","")&amp;IF(AG442&gt;0,"; "&amp;TEXT(U442/MAX(1,SUMIFS($U$2:$U$601,$T$2:$T$601,"Open")),"0%")&amp;" of open pipeline in one deal","")&amp;IF(AH442&gt;0,"; Large deal at an early stage","")&amp;IF(AI442&gt;0,"; No amount in Zoho","")&amp;IF(AJ442&gt;0,"; Won, invoice month passed, not fully invoiced","")&amp;IF(AK442&gt;0,"; Xero invoiced more than the deal value",""),3,300)</f>
        <v/>
      </c>
    </row>
    <row r="443">
      <c r="T443" s="9">
        <f>IFERROR(INDEX($A443:$R443,MATCH("Status",$A$1:$R$1,0)),"")&amp;""</f>
        <v/>
      </c>
      <c r="U443" s="52">
        <f>IFERROR(N(IFERROR(INDEX($A443:$R443,MATCH("Value Ex GST",$A$1:$R$1,0)),"")),0)</f>
        <v/>
      </c>
      <c r="V443" s="54">
        <f>IF(AND(T443&lt;&gt;"",IFERROR(INDEX($A443:$R443,MATCH("Value Ex GST",$A$1:$R$1,0)),"")&amp;""&lt;&gt;""),1,0)</f>
        <v/>
      </c>
      <c r="W443" s="56">
        <f>IFERROR(N(IFERROR(INDEX($A443:$R443,MATCH("Probability",$A$1:$R$1,0)),"")),0)</f>
        <v/>
      </c>
      <c r="X443" s="52">
        <f>IF(T443="Open",U443*W443,0)</f>
        <v/>
      </c>
      <c r="Y443" s="52">
        <f>IF(T443="Won",IFERROR(N(IFERROR(INDEX($A443:$R443,MATCH("Still to Invoice",$A$1:$R$1,0)),"")),0),0)</f>
        <v/>
      </c>
      <c r="Z443" s="55">
        <f>IFERROR(EOMONTH(IFERROR(INDEX($A443:$R443,MATCH("Expected Invoice Month",$A$1:$R$1,0)),""),0),"")</f>
        <v/>
      </c>
      <c r="AA443" s="9">
        <f>IFERROR(INDEX($A443:$R443,MATCH("Cost Centre",$A$1:$R$1,0)),"")&amp;""</f>
        <v/>
      </c>
      <c r="AB443" s="9">
        <f>IFERROR(INDEX($A443:$R443,MATCH("Pipeline Stage",$A$1:$R$1,0)),"")&amp;""</f>
        <v/>
      </c>
      <c r="AC443" s="9">
        <f>IFERROR(INDEX($A443:$R443,MATCH("Client",$A$1:$R$1,0)),"")&amp;""</f>
        <v/>
      </c>
      <c r="AD443" s="9">
        <f>IFERROR(INDEX($A443:$R443,MATCH("Description",$A$1:$R$1,0)),"")&amp;""</f>
        <v/>
      </c>
      <c r="AE443" s="9">
        <f>IFERROR(INDEX($A443:$R443,MATCH("Job Number",$A$1:$R$1,0)),"")&amp;""</f>
        <v/>
      </c>
      <c r="AF443" s="54">
        <f>IF(AND(T443="Open",ISNUMBER(Z443),Z443&lt;EOMONTH(set_AsAt,-1)+1),3,0)</f>
        <v/>
      </c>
      <c r="AG443" s="54">
        <f>IF(AND(T443="Open",U443&gt;0,U443&gt;=set_DealShare*SUMIFS($U$2:$U$601,$T$2:$T$601,"Open")),3,0)</f>
        <v/>
      </c>
      <c r="AH443" s="54">
        <f>IF(AND(T443="Open",U443&gt;=set_BigValue,W443&lt;=set_EarlyProb),2,0)</f>
        <v/>
      </c>
      <c r="AI443" s="54">
        <f>IF(AND(OR(T443="Open",T443="Won"),V443=0),2,0)</f>
        <v/>
      </c>
      <c r="AJ443" s="54">
        <f>IF(AND(T443="Won",Y443&gt;0.5,ISNUMBER(Z443),Z443&lt;EOMONTH(set_AsAt,-1)+1),3,0)</f>
        <v/>
      </c>
      <c r="AK443" s="54">
        <f>IF(AND(T443="Won",Y443&lt;-1),1,0)</f>
        <v/>
      </c>
      <c r="AL443" s="54">
        <f>SUM(AF443:AK443)</f>
        <v/>
      </c>
      <c r="AM443" s="9">
        <f>IF(AL443&gt;=set_ScoreHigh,"High",IF(AL443&gt;=set_ScoreMed,"Medium",IF(AL443&gt;0,"Low","OK")))</f>
        <v/>
      </c>
      <c r="AN443" s="54">
        <f>IF(OR(T443="Open",AND(T443="Won",ABS(Y443)&gt;0.5)),1,0)</f>
        <v/>
      </c>
      <c r="AO443" s="52">
        <f>IF(T443="Open",IF(V443=0,0,X443),IF(T443="Won",MAX(0,Y443),0))</f>
        <v/>
      </c>
      <c r="AP443" s="54">
        <f>IF(AN443=1,AL443*1E+9+U443+ROW()/1E+6,"")</f>
        <v/>
      </c>
      <c r="AQ443" s="9">
        <f>MID(IF(AF443&gt;0,"; Expected month passed - update Zoho","")&amp;IF(AG443&gt;0,"; "&amp;TEXT(U443/MAX(1,SUMIFS($U$2:$U$601,$T$2:$T$601,"Open")),"0%")&amp;" of open pipeline in one deal","")&amp;IF(AH443&gt;0,"; Large deal at an early stage","")&amp;IF(AI443&gt;0,"; No amount in Zoho","")&amp;IF(AJ443&gt;0,"; Won, invoice month passed, not fully invoiced","")&amp;IF(AK443&gt;0,"; Xero invoiced more than the deal value",""),3,300)</f>
        <v/>
      </c>
    </row>
    <row r="444">
      <c r="T444" s="9">
        <f>IFERROR(INDEX($A444:$R444,MATCH("Status",$A$1:$R$1,0)),"")&amp;""</f>
        <v/>
      </c>
      <c r="U444" s="52">
        <f>IFERROR(N(IFERROR(INDEX($A444:$R444,MATCH("Value Ex GST",$A$1:$R$1,0)),"")),0)</f>
        <v/>
      </c>
      <c r="V444" s="54">
        <f>IF(AND(T444&lt;&gt;"",IFERROR(INDEX($A444:$R444,MATCH("Value Ex GST",$A$1:$R$1,0)),"")&amp;""&lt;&gt;""),1,0)</f>
        <v/>
      </c>
      <c r="W444" s="56">
        <f>IFERROR(N(IFERROR(INDEX($A444:$R444,MATCH("Probability",$A$1:$R$1,0)),"")),0)</f>
        <v/>
      </c>
      <c r="X444" s="52">
        <f>IF(T444="Open",U444*W444,0)</f>
        <v/>
      </c>
      <c r="Y444" s="52">
        <f>IF(T444="Won",IFERROR(N(IFERROR(INDEX($A444:$R444,MATCH("Still to Invoice",$A$1:$R$1,0)),"")),0),0)</f>
        <v/>
      </c>
      <c r="Z444" s="55">
        <f>IFERROR(EOMONTH(IFERROR(INDEX($A444:$R444,MATCH("Expected Invoice Month",$A$1:$R$1,0)),""),0),"")</f>
        <v/>
      </c>
      <c r="AA444" s="9">
        <f>IFERROR(INDEX($A444:$R444,MATCH("Cost Centre",$A$1:$R$1,0)),"")&amp;""</f>
        <v/>
      </c>
      <c r="AB444" s="9">
        <f>IFERROR(INDEX($A444:$R444,MATCH("Pipeline Stage",$A$1:$R$1,0)),"")&amp;""</f>
        <v/>
      </c>
      <c r="AC444" s="9">
        <f>IFERROR(INDEX($A444:$R444,MATCH("Client",$A$1:$R$1,0)),"")&amp;""</f>
        <v/>
      </c>
      <c r="AD444" s="9">
        <f>IFERROR(INDEX($A444:$R444,MATCH("Description",$A$1:$R$1,0)),"")&amp;""</f>
        <v/>
      </c>
      <c r="AE444" s="9">
        <f>IFERROR(INDEX($A444:$R444,MATCH("Job Number",$A$1:$R$1,0)),"")&amp;""</f>
        <v/>
      </c>
      <c r="AF444" s="54">
        <f>IF(AND(T444="Open",ISNUMBER(Z444),Z444&lt;EOMONTH(set_AsAt,-1)+1),3,0)</f>
        <v/>
      </c>
      <c r="AG444" s="54">
        <f>IF(AND(T444="Open",U444&gt;0,U444&gt;=set_DealShare*SUMIFS($U$2:$U$601,$T$2:$T$601,"Open")),3,0)</f>
        <v/>
      </c>
      <c r="AH444" s="54">
        <f>IF(AND(T444="Open",U444&gt;=set_BigValue,W444&lt;=set_EarlyProb),2,0)</f>
        <v/>
      </c>
      <c r="AI444" s="54">
        <f>IF(AND(OR(T444="Open",T444="Won"),V444=0),2,0)</f>
        <v/>
      </c>
      <c r="AJ444" s="54">
        <f>IF(AND(T444="Won",Y444&gt;0.5,ISNUMBER(Z444),Z444&lt;EOMONTH(set_AsAt,-1)+1),3,0)</f>
        <v/>
      </c>
      <c r="AK444" s="54">
        <f>IF(AND(T444="Won",Y444&lt;-1),1,0)</f>
        <v/>
      </c>
      <c r="AL444" s="54">
        <f>SUM(AF444:AK444)</f>
        <v/>
      </c>
      <c r="AM444" s="9">
        <f>IF(AL444&gt;=set_ScoreHigh,"High",IF(AL444&gt;=set_ScoreMed,"Medium",IF(AL444&gt;0,"Low","OK")))</f>
        <v/>
      </c>
      <c r="AN444" s="54">
        <f>IF(OR(T444="Open",AND(T444="Won",ABS(Y444)&gt;0.5)),1,0)</f>
        <v/>
      </c>
      <c r="AO444" s="52">
        <f>IF(T444="Open",IF(V444=0,0,X444),IF(T444="Won",MAX(0,Y444),0))</f>
        <v/>
      </c>
      <c r="AP444" s="54">
        <f>IF(AN444=1,AL444*1E+9+U444+ROW()/1E+6,"")</f>
        <v/>
      </c>
      <c r="AQ444" s="9">
        <f>MID(IF(AF444&gt;0,"; Expected month passed - update Zoho","")&amp;IF(AG444&gt;0,"; "&amp;TEXT(U444/MAX(1,SUMIFS($U$2:$U$601,$T$2:$T$601,"Open")),"0%")&amp;" of open pipeline in one deal","")&amp;IF(AH444&gt;0,"; Large deal at an early stage","")&amp;IF(AI444&gt;0,"; No amount in Zoho","")&amp;IF(AJ444&gt;0,"; Won, invoice month passed, not fully invoiced","")&amp;IF(AK444&gt;0,"; Xero invoiced more than the deal value",""),3,300)</f>
        <v/>
      </c>
    </row>
    <row r="445">
      <c r="T445" s="9">
        <f>IFERROR(INDEX($A445:$R445,MATCH("Status",$A$1:$R$1,0)),"")&amp;""</f>
        <v/>
      </c>
      <c r="U445" s="52">
        <f>IFERROR(N(IFERROR(INDEX($A445:$R445,MATCH("Value Ex GST",$A$1:$R$1,0)),"")),0)</f>
        <v/>
      </c>
      <c r="V445" s="54">
        <f>IF(AND(T445&lt;&gt;"",IFERROR(INDEX($A445:$R445,MATCH("Value Ex GST",$A$1:$R$1,0)),"")&amp;""&lt;&gt;""),1,0)</f>
        <v/>
      </c>
      <c r="W445" s="56">
        <f>IFERROR(N(IFERROR(INDEX($A445:$R445,MATCH("Probability",$A$1:$R$1,0)),"")),0)</f>
        <v/>
      </c>
      <c r="X445" s="52">
        <f>IF(T445="Open",U445*W445,0)</f>
        <v/>
      </c>
      <c r="Y445" s="52">
        <f>IF(T445="Won",IFERROR(N(IFERROR(INDEX($A445:$R445,MATCH("Still to Invoice",$A$1:$R$1,0)),"")),0),0)</f>
        <v/>
      </c>
      <c r="Z445" s="55">
        <f>IFERROR(EOMONTH(IFERROR(INDEX($A445:$R445,MATCH("Expected Invoice Month",$A$1:$R$1,0)),""),0),"")</f>
        <v/>
      </c>
      <c r="AA445" s="9">
        <f>IFERROR(INDEX($A445:$R445,MATCH("Cost Centre",$A$1:$R$1,0)),"")&amp;""</f>
        <v/>
      </c>
      <c r="AB445" s="9">
        <f>IFERROR(INDEX($A445:$R445,MATCH("Pipeline Stage",$A$1:$R$1,0)),"")&amp;""</f>
        <v/>
      </c>
      <c r="AC445" s="9">
        <f>IFERROR(INDEX($A445:$R445,MATCH("Client",$A$1:$R$1,0)),"")&amp;""</f>
        <v/>
      </c>
      <c r="AD445" s="9">
        <f>IFERROR(INDEX($A445:$R445,MATCH("Description",$A$1:$R$1,0)),"")&amp;""</f>
        <v/>
      </c>
      <c r="AE445" s="9">
        <f>IFERROR(INDEX($A445:$R445,MATCH("Job Number",$A$1:$R$1,0)),"")&amp;""</f>
        <v/>
      </c>
      <c r="AF445" s="54">
        <f>IF(AND(T445="Open",ISNUMBER(Z445),Z445&lt;EOMONTH(set_AsAt,-1)+1),3,0)</f>
        <v/>
      </c>
      <c r="AG445" s="54">
        <f>IF(AND(T445="Open",U445&gt;0,U445&gt;=set_DealShare*SUMIFS($U$2:$U$601,$T$2:$T$601,"Open")),3,0)</f>
        <v/>
      </c>
      <c r="AH445" s="54">
        <f>IF(AND(T445="Open",U445&gt;=set_BigValue,W445&lt;=set_EarlyProb),2,0)</f>
        <v/>
      </c>
      <c r="AI445" s="54">
        <f>IF(AND(OR(T445="Open",T445="Won"),V445=0),2,0)</f>
        <v/>
      </c>
      <c r="AJ445" s="54">
        <f>IF(AND(T445="Won",Y445&gt;0.5,ISNUMBER(Z445),Z445&lt;EOMONTH(set_AsAt,-1)+1),3,0)</f>
        <v/>
      </c>
      <c r="AK445" s="54">
        <f>IF(AND(T445="Won",Y445&lt;-1),1,0)</f>
        <v/>
      </c>
      <c r="AL445" s="54">
        <f>SUM(AF445:AK445)</f>
        <v/>
      </c>
      <c r="AM445" s="9">
        <f>IF(AL445&gt;=set_ScoreHigh,"High",IF(AL445&gt;=set_ScoreMed,"Medium",IF(AL445&gt;0,"Low","OK")))</f>
        <v/>
      </c>
      <c r="AN445" s="54">
        <f>IF(OR(T445="Open",AND(T445="Won",ABS(Y445)&gt;0.5)),1,0)</f>
        <v/>
      </c>
      <c r="AO445" s="52">
        <f>IF(T445="Open",IF(V445=0,0,X445),IF(T445="Won",MAX(0,Y445),0))</f>
        <v/>
      </c>
      <c r="AP445" s="54">
        <f>IF(AN445=1,AL445*1E+9+U445+ROW()/1E+6,"")</f>
        <v/>
      </c>
      <c r="AQ445" s="9">
        <f>MID(IF(AF445&gt;0,"; Expected month passed - update Zoho","")&amp;IF(AG445&gt;0,"; "&amp;TEXT(U445/MAX(1,SUMIFS($U$2:$U$601,$T$2:$T$601,"Open")),"0%")&amp;" of open pipeline in one deal","")&amp;IF(AH445&gt;0,"; Large deal at an early stage","")&amp;IF(AI445&gt;0,"; No amount in Zoho","")&amp;IF(AJ445&gt;0,"; Won, invoice month passed, not fully invoiced","")&amp;IF(AK445&gt;0,"; Xero invoiced more than the deal value",""),3,300)</f>
        <v/>
      </c>
    </row>
    <row r="446">
      <c r="T446" s="9">
        <f>IFERROR(INDEX($A446:$R446,MATCH("Status",$A$1:$R$1,0)),"")&amp;""</f>
        <v/>
      </c>
      <c r="U446" s="52">
        <f>IFERROR(N(IFERROR(INDEX($A446:$R446,MATCH("Value Ex GST",$A$1:$R$1,0)),"")),0)</f>
        <v/>
      </c>
      <c r="V446" s="54">
        <f>IF(AND(T446&lt;&gt;"",IFERROR(INDEX($A446:$R446,MATCH("Value Ex GST",$A$1:$R$1,0)),"")&amp;""&lt;&gt;""),1,0)</f>
        <v/>
      </c>
      <c r="W446" s="56">
        <f>IFERROR(N(IFERROR(INDEX($A446:$R446,MATCH("Probability",$A$1:$R$1,0)),"")),0)</f>
        <v/>
      </c>
      <c r="X446" s="52">
        <f>IF(T446="Open",U446*W446,0)</f>
        <v/>
      </c>
      <c r="Y446" s="52">
        <f>IF(T446="Won",IFERROR(N(IFERROR(INDEX($A446:$R446,MATCH("Still to Invoice",$A$1:$R$1,0)),"")),0),0)</f>
        <v/>
      </c>
      <c r="Z446" s="55">
        <f>IFERROR(EOMONTH(IFERROR(INDEX($A446:$R446,MATCH("Expected Invoice Month",$A$1:$R$1,0)),""),0),"")</f>
        <v/>
      </c>
      <c r="AA446" s="9">
        <f>IFERROR(INDEX($A446:$R446,MATCH("Cost Centre",$A$1:$R$1,0)),"")&amp;""</f>
        <v/>
      </c>
      <c r="AB446" s="9">
        <f>IFERROR(INDEX($A446:$R446,MATCH("Pipeline Stage",$A$1:$R$1,0)),"")&amp;""</f>
        <v/>
      </c>
      <c r="AC446" s="9">
        <f>IFERROR(INDEX($A446:$R446,MATCH("Client",$A$1:$R$1,0)),"")&amp;""</f>
        <v/>
      </c>
      <c r="AD446" s="9">
        <f>IFERROR(INDEX($A446:$R446,MATCH("Description",$A$1:$R$1,0)),"")&amp;""</f>
        <v/>
      </c>
      <c r="AE446" s="9">
        <f>IFERROR(INDEX($A446:$R446,MATCH("Job Number",$A$1:$R$1,0)),"")&amp;""</f>
        <v/>
      </c>
      <c r="AF446" s="54">
        <f>IF(AND(T446="Open",ISNUMBER(Z446),Z446&lt;EOMONTH(set_AsAt,-1)+1),3,0)</f>
        <v/>
      </c>
      <c r="AG446" s="54">
        <f>IF(AND(T446="Open",U446&gt;0,U446&gt;=set_DealShare*SUMIFS($U$2:$U$601,$T$2:$T$601,"Open")),3,0)</f>
        <v/>
      </c>
      <c r="AH446" s="54">
        <f>IF(AND(T446="Open",U446&gt;=set_BigValue,W446&lt;=set_EarlyProb),2,0)</f>
        <v/>
      </c>
      <c r="AI446" s="54">
        <f>IF(AND(OR(T446="Open",T446="Won"),V446=0),2,0)</f>
        <v/>
      </c>
      <c r="AJ446" s="54">
        <f>IF(AND(T446="Won",Y446&gt;0.5,ISNUMBER(Z446),Z446&lt;EOMONTH(set_AsAt,-1)+1),3,0)</f>
        <v/>
      </c>
      <c r="AK446" s="54">
        <f>IF(AND(T446="Won",Y446&lt;-1),1,0)</f>
        <v/>
      </c>
      <c r="AL446" s="54">
        <f>SUM(AF446:AK446)</f>
        <v/>
      </c>
      <c r="AM446" s="9">
        <f>IF(AL446&gt;=set_ScoreHigh,"High",IF(AL446&gt;=set_ScoreMed,"Medium",IF(AL446&gt;0,"Low","OK")))</f>
        <v/>
      </c>
      <c r="AN446" s="54">
        <f>IF(OR(T446="Open",AND(T446="Won",ABS(Y446)&gt;0.5)),1,0)</f>
        <v/>
      </c>
      <c r="AO446" s="52">
        <f>IF(T446="Open",IF(V446=0,0,X446),IF(T446="Won",MAX(0,Y446),0))</f>
        <v/>
      </c>
      <c r="AP446" s="54">
        <f>IF(AN446=1,AL446*1E+9+U446+ROW()/1E+6,"")</f>
        <v/>
      </c>
      <c r="AQ446" s="9">
        <f>MID(IF(AF446&gt;0,"; Expected month passed - update Zoho","")&amp;IF(AG446&gt;0,"; "&amp;TEXT(U446/MAX(1,SUMIFS($U$2:$U$601,$T$2:$T$601,"Open")),"0%")&amp;" of open pipeline in one deal","")&amp;IF(AH446&gt;0,"; Large deal at an early stage","")&amp;IF(AI446&gt;0,"; No amount in Zoho","")&amp;IF(AJ446&gt;0,"; Won, invoice month passed, not fully invoiced","")&amp;IF(AK446&gt;0,"; Xero invoiced more than the deal value",""),3,300)</f>
        <v/>
      </c>
    </row>
    <row r="447">
      <c r="T447" s="9">
        <f>IFERROR(INDEX($A447:$R447,MATCH("Status",$A$1:$R$1,0)),"")&amp;""</f>
        <v/>
      </c>
      <c r="U447" s="52">
        <f>IFERROR(N(IFERROR(INDEX($A447:$R447,MATCH("Value Ex GST",$A$1:$R$1,0)),"")),0)</f>
        <v/>
      </c>
      <c r="V447" s="54">
        <f>IF(AND(T447&lt;&gt;"",IFERROR(INDEX($A447:$R447,MATCH("Value Ex GST",$A$1:$R$1,0)),"")&amp;""&lt;&gt;""),1,0)</f>
        <v/>
      </c>
      <c r="W447" s="56">
        <f>IFERROR(N(IFERROR(INDEX($A447:$R447,MATCH("Probability",$A$1:$R$1,0)),"")),0)</f>
        <v/>
      </c>
      <c r="X447" s="52">
        <f>IF(T447="Open",U447*W447,0)</f>
        <v/>
      </c>
      <c r="Y447" s="52">
        <f>IF(T447="Won",IFERROR(N(IFERROR(INDEX($A447:$R447,MATCH("Still to Invoice",$A$1:$R$1,0)),"")),0),0)</f>
        <v/>
      </c>
      <c r="Z447" s="55">
        <f>IFERROR(EOMONTH(IFERROR(INDEX($A447:$R447,MATCH("Expected Invoice Month",$A$1:$R$1,0)),""),0),"")</f>
        <v/>
      </c>
      <c r="AA447" s="9">
        <f>IFERROR(INDEX($A447:$R447,MATCH("Cost Centre",$A$1:$R$1,0)),"")&amp;""</f>
        <v/>
      </c>
      <c r="AB447" s="9">
        <f>IFERROR(INDEX($A447:$R447,MATCH("Pipeline Stage",$A$1:$R$1,0)),"")&amp;""</f>
        <v/>
      </c>
      <c r="AC447" s="9">
        <f>IFERROR(INDEX($A447:$R447,MATCH("Client",$A$1:$R$1,0)),"")&amp;""</f>
        <v/>
      </c>
      <c r="AD447" s="9">
        <f>IFERROR(INDEX($A447:$R447,MATCH("Description",$A$1:$R$1,0)),"")&amp;""</f>
        <v/>
      </c>
      <c r="AE447" s="9">
        <f>IFERROR(INDEX($A447:$R447,MATCH("Job Number",$A$1:$R$1,0)),"")&amp;""</f>
        <v/>
      </c>
      <c r="AF447" s="54">
        <f>IF(AND(T447="Open",ISNUMBER(Z447),Z447&lt;EOMONTH(set_AsAt,-1)+1),3,0)</f>
        <v/>
      </c>
      <c r="AG447" s="54">
        <f>IF(AND(T447="Open",U447&gt;0,U447&gt;=set_DealShare*SUMIFS($U$2:$U$601,$T$2:$T$601,"Open")),3,0)</f>
        <v/>
      </c>
      <c r="AH447" s="54">
        <f>IF(AND(T447="Open",U447&gt;=set_BigValue,W447&lt;=set_EarlyProb),2,0)</f>
        <v/>
      </c>
      <c r="AI447" s="54">
        <f>IF(AND(OR(T447="Open",T447="Won"),V447=0),2,0)</f>
        <v/>
      </c>
      <c r="AJ447" s="54">
        <f>IF(AND(T447="Won",Y447&gt;0.5,ISNUMBER(Z447),Z447&lt;EOMONTH(set_AsAt,-1)+1),3,0)</f>
        <v/>
      </c>
      <c r="AK447" s="54">
        <f>IF(AND(T447="Won",Y447&lt;-1),1,0)</f>
        <v/>
      </c>
      <c r="AL447" s="54">
        <f>SUM(AF447:AK447)</f>
        <v/>
      </c>
      <c r="AM447" s="9">
        <f>IF(AL447&gt;=set_ScoreHigh,"High",IF(AL447&gt;=set_ScoreMed,"Medium",IF(AL447&gt;0,"Low","OK")))</f>
        <v/>
      </c>
      <c r="AN447" s="54">
        <f>IF(OR(T447="Open",AND(T447="Won",ABS(Y447)&gt;0.5)),1,0)</f>
        <v/>
      </c>
      <c r="AO447" s="52">
        <f>IF(T447="Open",IF(V447=0,0,X447),IF(T447="Won",MAX(0,Y447),0))</f>
        <v/>
      </c>
      <c r="AP447" s="54">
        <f>IF(AN447=1,AL447*1E+9+U447+ROW()/1E+6,"")</f>
        <v/>
      </c>
      <c r="AQ447" s="9">
        <f>MID(IF(AF447&gt;0,"; Expected month passed - update Zoho","")&amp;IF(AG447&gt;0,"; "&amp;TEXT(U447/MAX(1,SUMIFS($U$2:$U$601,$T$2:$T$601,"Open")),"0%")&amp;" of open pipeline in one deal","")&amp;IF(AH447&gt;0,"; Large deal at an early stage","")&amp;IF(AI447&gt;0,"; No amount in Zoho","")&amp;IF(AJ447&gt;0,"; Won, invoice month passed, not fully invoiced","")&amp;IF(AK447&gt;0,"; Xero invoiced more than the deal value",""),3,300)</f>
        <v/>
      </c>
    </row>
    <row r="448">
      <c r="T448" s="9">
        <f>IFERROR(INDEX($A448:$R448,MATCH("Status",$A$1:$R$1,0)),"")&amp;""</f>
        <v/>
      </c>
      <c r="U448" s="52">
        <f>IFERROR(N(IFERROR(INDEX($A448:$R448,MATCH("Value Ex GST",$A$1:$R$1,0)),"")),0)</f>
        <v/>
      </c>
      <c r="V448" s="54">
        <f>IF(AND(T448&lt;&gt;"",IFERROR(INDEX($A448:$R448,MATCH("Value Ex GST",$A$1:$R$1,0)),"")&amp;""&lt;&gt;""),1,0)</f>
        <v/>
      </c>
      <c r="W448" s="56">
        <f>IFERROR(N(IFERROR(INDEX($A448:$R448,MATCH("Probability",$A$1:$R$1,0)),"")),0)</f>
        <v/>
      </c>
      <c r="X448" s="52">
        <f>IF(T448="Open",U448*W448,0)</f>
        <v/>
      </c>
      <c r="Y448" s="52">
        <f>IF(T448="Won",IFERROR(N(IFERROR(INDEX($A448:$R448,MATCH("Still to Invoice",$A$1:$R$1,0)),"")),0),0)</f>
        <v/>
      </c>
      <c r="Z448" s="55">
        <f>IFERROR(EOMONTH(IFERROR(INDEX($A448:$R448,MATCH("Expected Invoice Month",$A$1:$R$1,0)),""),0),"")</f>
        <v/>
      </c>
      <c r="AA448" s="9">
        <f>IFERROR(INDEX($A448:$R448,MATCH("Cost Centre",$A$1:$R$1,0)),"")&amp;""</f>
        <v/>
      </c>
      <c r="AB448" s="9">
        <f>IFERROR(INDEX($A448:$R448,MATCH("Pipeline Stage",$A$1:$R$1,0)),"")&amp;""</f>
        <v/>
      </c>
      <c r="AC448" s="9">
        <f>IFERROR(INDEX($A448:$R448,MATCH("Client",$A$1:$R$1,0)),"")&amp;""</f>
        <v/>
      </c>
      <c r="AD448" s="9">
        <f>IFERROR(INDEX($A448:$R448,MATCH("Description",$A$1:$R$1,0)),"")&amp;""</f>
        <v/>
      </c>
      <c r="AE448" s="9">
        <f>IFERROR(INDEX($A448:$R448,MATCH("Job Number",$A$1:$R$1,0)),"")&amp;""</f>
        <v/>
      </c>
      <c r="AF448" s="54">
        <f>IF(AND(T448="Open",ISNUMBER(Z448),Z448&lt;EOMONTH(set_AsAt,-1)+1),3,0)</f>
        <v/>
      </c>
      <c r="AG448" s="54">
        <f>IF(AND(T448="Open",U448&gt;0,U448&gt;=set_DealShare*SUMIFS($U$2:$U$601,$T$2:$T$601,"Open")),3,0)</f>
        <v/>
      </c>
      <c r="AH448" s="54">
        <f>IF(AND(T448="Open",U448&gt;=set_BigValue,W448&lt;=set_EarlyProb),2,0)</f>
        <v/>
      </c>
      <c r="AI448" s="54">
        <f>IF(AND(OR(T448="Open",T448="Won"),V448=0),2,0)</f>
        <v/>
      </c>
      <c r="AJ448" s="54">
        <f>IF(AND(T448="Won",Y448&gt;0.5,ISNUMBER(Z448),Z448&lt;EOMONTH(set_AsAt,-1)+1),3,0)</f>
        <v/>
      </c>
      <c r="AK448" s="54">
        <f>IF(AND(T448="Won",Y448&lt;-1),1,0)</f>
        <v/>
      </c>
      <c r="AL448" s="54">
        <f>SUM(AF448:AK448)</f>
        <v/>
      </c>
      <c r="AM448" s="9">
        <f>IF(AL448&gt;=set_ScoreHigh,"High",IF(AL448&gt;=set_ScoreMed,"Medium",IF(AL448&gt;0,"Low","OK")))</f>
        <v/>
      </c>
      <c r="AN448" s="54">
        <f>IF(OR(T448="Open",AND(T448="Won",ABS(Y448)&gt;0.5)),1,0)</f>
        <v/>
      </c>
      <c r="AO448" s="52">
        <f>IF(T448="Open",IF(V448=0,0,X448),IF(T448="Won",MAX(0,Y448),0))</f>
        <v/>
      </c>
      <c r="AP448" s="54">
        <f>IF(AN448=1,AL448*1E+9+U448+ROW()/1E+6,"")</f>
        <v/>
      </c>
      <c r="AQ448" s="9">
        <f>MID(IF(AF448&gt;0,"; Expected month passed - update Zoho","")&amp;IF(AG448&gt;0,"; "&amp;TEXT(U448/MAX(1,SUMIFS($U$2:$U$601,$T$2:$T$601,"Open")),"0%")&amp;" of open pipeline in one deal","")&amp;IF(AH448&gt;0,"; Large deal at an early stage","")&amp;IF(AI448&gt;0,"; No amount in Zoho","")&amp;IF(AJ448&gt;0,"; Won, invoice month passed, not fully invoiced","")&amp;IF(AK448&gt;0,"; Xero invoiced more than the deal value",""),3,300)</f>
        <v/>
      </c>
    </row>
    <row r="449">
      <c r="T449" s="9">
        <f>IFERROR(INDEX($A449:$R449,MATCH("Status",$A$1:$R$1,0)),"")&amp;""</f>
        <v/>
      </c>
      <c r="U449" s="52">
        <f>IFERROR(N(IFERROR(INDEX($A449:$R449,MATCH("Value Ex GST",$A$1:$R$1,0)),"")),0)</f>
        <v/>
      </c>
      <c r="V449" s="54">
        <f>IF(AND(T449&lt;&gt;"",IFERROR(INDEX($A449:$R449,MATCH("Value Ex GST",$A$1:$R$1,0)),"")&amp;""&lt;&gt;""),1,0)</f>
        <v/>
      </c>
      <c r="W449" s="56">
        <f>IFERROR(N(IFERROR(INDEX($A449:$R449,MATCH("Probability",$A$1:$R$1,0)),"")),0)</f>
        <v/>
      </c>
      <c r="X449" s="52">
        <f>IF(T449="Open",U449*W449,0)</f>
        <v/>
      </c>
      <c r="Y449" s="52">
        <f>IF(T449="Won",IFERROR(N(IFERROR(INDEX($A449:$R449,MATCH("Still to Invoice",$A$1:$R$1,0)),"")),0),0)</f>
        <v/>
      </c>
      <c r="Z449" s="55">
        <f>IFERROR(EOMONTH(IFERROR(INDEX($A449:$R449,MATCH("Expected Invoice Month",$A$1:$R$1,0)),""),0),"")</f>
        <v/>
      </c>
      <c r="AA449" s="9">
        <f>IFERROR(INDEX($A449:$R449,MATCH("Cost Centre",$A$1:$R$1,0)),"")&amp;""</f>
        <v/>
      </c>
      <c r="AB449" s="9">
        <f>IFERROR(INDEX($A449:$R449,MATCH("Pipeline Stage",$A$1:$R$1,0)),"")&amp;""</f>
        <v/>
      </c>
      <c r="AC449" s="9">
        <f>IFERROR(INDEX($A449:$R449,MATCH("Client",$A$1:$R$1,0)),"")&amp;""</f>
        <v/>
      </c>
      <c r="AD449" s="9">
        <f>IFERROR(INDEX($A449:$R449,MATCH("Description",$A$1:$R$1,0)),"")&amp;""</f>
        <v/>
      </c>
      <c r="AE449" s="9">
        <f>IFERROR(INDEX($A449:$R449,MATCH("Job Number",$A$1:$R$1,0)),"")&amp;""</f>
        <v/>
      </c>
      <c r="AF449" s="54">
        <f>IF(AND(T449="Open",ISNUMBER(Z449),Z449&lt;EOMONTH(set_AsAt,-1)+1),3,0)</f>
        <v/>
      </c>
      <c r="AG449" s="54">
        <f>IF(AND(T449="Open",U449&gt;0,U449&gt;=set_DealShare*SUMIFS($U$2:$U$601,$T$2:$T$601,"Open")),3,0)</f>
        <v/>
      </c>
      <c r="AH449" s="54">
        <f>IF(AND(T449="Open",U449&gt;=set_BigValue,W449&lt;=set_EarlyProb),2,0)</f>
        <v/>
      </c>
      <c r="AI449" s="54">
        <f>IF(AND(OR(T449="Open",T449="Won"),V449=0),2,0)</f>
        <v/>
      </c>
      <c r="AJ449" s="54">
        <f>IF(AND(T449="Won",Y449&gt;0.5,ISNUMBER(Z449),Z449&lt;EOMONTH(set_AsAt,-1)+1),3,0)</f>
        <v/>
      </c>
      <c r="AK449" s="54">
        <f>IF(AND(T449="Won",Y449&lt;-1),1,0)</f>
        <v/>
      </c>
      <c r="AL449" s="54">
        <f>SUM(AF449:AK449)</f>
        <v/>
      </c>
      <c r="AM449" s="9">
        <f>IF(AL449&gt;=set_ScoreHigh,"High",IF(AL449&gt;=set_ScoreMed,"Medium",IF(AL449&gt;0,"Low","OK")))</f>
        <v/>
      </c>
      <c r="AN449" s="54">
        <f>IF(OR(T449="Open",AND(T449="Won",ABS(Y449)&gt;0.5)),1,0)</f>
        <v/>
      </c>
      <c r="AO449" s="52">
        <f>IF(T449="Open",IF(V449=0,0,X449),IF(T449="Won",MAX(0,Y449),0))</f>
        <v/>
      </c>
      <c r="AP449" s="54">
        <f>IF(AN449=1,AL449*1E+9+U449+ROW()/1E+6,"")</f>
        <v/>
      </c>
      <c r="AQ449" s="9">
        <f>MID(IF(AF449&gt;0,"; Expected month passed - update Zoho","")&amp;IF(AG449&gt;0,"; "&amp;TEXT(U449/MAX(1,SUMIFS($U$2:$U$601,$T$2:$T$601,"Open")),"0%")&amp;" of open pipeline in one deal","")&amp;IF(AH449&gt;0,"; Large deal at an early stage","")&amp;IF(AI449&gt;0,"; No amount in Zoho","")&amp;IF(AJ449&gt;0,"; Won, invoice month passed, not fully invoiced","")&amp;IF(AK449&gt;0,"; Xero invoiced more than the deal value",""),3,300)</f>
        <v/>
      </c>
    </row>
    <row r="450">
      <c r="T450" s="9">
        <f>IFERROR(INDEX($A450:$R450,MATCH("Status",$A$1:$R$1,0)),"")&amp;""</f>
        <v/>
      </c>
      <c r="U450" s="52">
        <f>IFERROR(N(IFERROR(INDEX($A450:$R450,MATCH("Value Ex GST",$A$1:$R$1,0)),"")),0)</f>
        <v/>
      </c>
      <c r="V450" s="54">
        <f>IF(AND(T450&lt;&gt;"",IFERROR(INDEX($A450:$R450,MATCH("Value Ex GST",$A$1:$R$1,0)),"")&amp;""&lt;&gt;""),1,0)</f>
        <v/>
      </c>
      <c r="W450" s="56">
        <f>IFERROR(N(IFERROR(INDEX($A450:$R450,MATCH("Probability",$A$1:$R$1,0)),"")),0)</f>
        <v/>
      </c>
      <c r="X450" s="52">
        <f>IF(T450="Open",U450*W450,0)</f>
        <v/>
      </c>
      <c r="Y450" s="52">
        <f>IF(T450="Won",IFERROR(N(IFERROR(INDEX($A450:$R450,MATCH("Still to Invoice",$A$1:$R$1,0)),"")),0),0)</f>
        <v/>
      </c>
      <c r="Z450" s="55">
        <f>IFERROR(EOMONTH(IFERROR(INDEX($A450:$R450,MATCH("Expected Invoice Month",$A$1:$R$1,0)),""),0),"")</f>
        <v/>
      </c>
      <c r="AA450" s="9">
        <f>IFERROR(INDEX($A450:$R450,MATCH("Cost Centre",$A$1:$R$1,0)),"")&amp;""</f>
        <v/>
      </c>
      <c r="AB450" s="9">
        <f>IFERROR(INDEX($A450:$R450,MATCH("Pipeline Stage",$A$1:$R$1,0)),"")&amp;""</f>
        <v/>
      </c>
      <c r="AC450" s="9">
        <f>IFERROR(INDEX($A450:$R450,MATCH("Client",$A$1:$R$1,0)),"")&amp;""</f>
        <v/>
      </c>
      <c r="AD450" s="9">
        <f>IFERROR(INDEX($A450:$R450,MATCH("Description",$A$1:$R$1,0)),"")&amp;""</f>
        <v/>
      </c>
      <c r="AE450" s="9">
        <f>IFERROR(INDEX($A450:$R450,MATCH("Job Number",$A$1:$R$1,0)),"")&amp;""</f>
        <v/>
      </c>
      <c r="AF450" s="54">
        <f>IF(AND(T450="Open",ISNUMBER(Z450),Z450&lt;EOMONTH(set_AsAt,-1)+1),3,0)</f>
        <v/>
      </c>
      <c r="AG450" s="54">
        <f>IF(AND(T450="Open",U450&gt;0,U450&gt;=set_DealShare*SUMIFS($U$2:$U$601,$T$2:$T$601,"Open")),3,0)</f>
        <v/>
      </c>
      <c r="AH450" s="54">
        <f>IF(AND(T450="Open",U450&gt;=set_BigValue,W450&lt;=set_EarlyProb),2,0)</f>
        <v/>
      </c>
      <c r="AI450" s="54">
        <f>IF(AND(OR(T450="Open",T450="Won"),V450=0),2,0)</f>
        <v/>
      </c>
      <c r="AJ450" s="54">
        <f>IF(AND(T450="Won",Y450&gt;0.5,ISNUMBER(Z450),Z450&lt;EOMONTH(set_AsAt,-1)+1),3,0)</f>
        <v/>
      </c>
      <c r="AK450" s="54">
        <f>IF(AND(T450="Won",Y450&lt;-1),1,0)</f>
        <v/>
      </c>
      <c r="AL450" s="54">
        <f>SUM(AF450:AK450)</f>
        <v/>
      </c>
      <c r="AM450" s="9">
        <f>IF(AL450&gt;=set_ScoreHigh,"High",IF(AL450&gt;=set_ScoreMed,"Medium",IF(AL450&gt;0,"Low","OK")))</f>
        <v/>
      </c>
      <c r="AN450" s="54">
        <f>IF(OR(T450="Open",AND(T450="Won",ABS(Y450)&gt;0.5)),1,0)</f>
        <v/>
      </c>
      <c r="AO450" s="52">
        <f>IF(T450="Open",IF(V450=0,0,X450),IF(T450="Won",MAX(0,Y450),0))</f>
        <v/>
      </c>
      <c r="AP450" s="54">
        <f>IF(AN450=1,AL450*1E+9+U450+ROW()/1E+6,"")</f>
        <v/>
      </c>
      <c r="AQ450" s="9">
        <f>MID(IF(AF450&gt;0,"; Expected month passed - update Zoho","")&amp;IF(AG450&gt;0,"; "&amp;TEXT(U450/MAX(1,SUMIFS($U$2:$U$601,$T$2:$T$601,"Open")),"0%")&amp;" of open pipeline in one deal","")&amp;IF(AH450&gt;0,"; Large deal at an early stage","")&amp;IF(AI450&gt;0,"; No amount in Zoho","")&amp;IF(AJ450&gt;0,"; Won, invoice month passed, not fully invoiced","")&amp;IF(AK450&gt;0,"; Xero invoiced more than the deal value",""),3,300)</f>
        <v/>
      </c>
    </row>
    <row r="451">
      <c r="T451" s="9">
        <f>IFERROR(INDEX($A451:$R451,MATCH("Status",$A$1:$R$1,0)),"")&amp;""</f>
        <v/>
      </c>
      <c r="U451" s="52">
        <f>IFERROR(N(IFERROR(INDEX($A451:$R451,MATCH("Value Ex GST",$A$1:$R$1,0)),"")),0)</f>
        <v/>
      </c>
      <c r="V451" s="54">
        <f>IF(AND(T451&lt;&gt;"",IFERROR(INDEX($A451:$R451,MATCH("Value Ex GST",$A$1:$R$1,0)),"")&amp;""&lt;&gt;""),1,0)</f>
        <v/>
      </c>
      <c r="W451" s="56">
        <f>IFERROR(N(IFERROR(INDEX($A451:$R451,MATCH("Probability",$A$1:$R$1,0)),"")),0)</f>
        <v/>
      </c>
      <c r="X451" s="52">
        <f>IF(T451="Open",U451*W451,0)</f>
        <v/>
      </c>
      <c r="Y451" s="52">
        <f>IF(T451="Won",IFERROR(N(IFERROR(INDEX($A451:$R451,MATCH("Still to Invoice",$A$1:$R$1,0)),"")),0),0)</f>
        <v/>
      </c>
      <c r="Z451" s="55">
        <f>IFERROR(EOMONTH(IFERROR(INDEX($A451:$R451,MATCH("Expected Invoice Month",$A$1:$R$1,0)),""),0),"")</f>
        <v/>
      </c>
      <c r="AA451" s="9">
        <f>IFERROR(INDEX($A451:$R451,MATCH("Cost Centre",$A$1:$R$1,0)),"")&amp;""</f>
        <v/>
      </c>
      <c r="AB451" s="9">
        <f>IFERROR(INDEX($A451:$R451,MATCH("Pipeline Stage",$A$1:$R$1,0)),"")&amp;""</f>
        <v/>
      </c>
      <c r="AC451" s="9">
        <f>IFERROR(INDEX($A451:$R451,MATCH("Client",$A$1:$R$1,0)),"")&amp;""</f>
        <v/>
      </c>
      <c r="AD451" s="9">
        <f>IFERROR(INDEX($A451:$R451,MATCH("Description",$A$1:$R$1,0)),"")&amp;""</f>
        <v/>
      </c>
      <c r="AE451" s="9">
        <f>IFERROR(INDEX($A451:$R451,MATCH("Job Number",$A$1:$R$1,0)),"")&amp;""</f>
        <v/>
      </c>
      <c r="AF451" s="54">
        <f>IF(AND(T451="Open",ISNUMBER(Z451),Z451&lt;EOMONTH(set_AsAt,-1)+1),3,0)</f>
        <v/>
      </c>
      <c r="AG451" s="54">
        <f>IF(AND(T451="Open",U451&gt;0,U451&gt;=set_DealShare*SUMIFS($U$2:$U$601,$T$2:$T$601,"Open")),3,0)</f>
        <v/>
      </c>
      <c r="AH451" s="54">
        <f>IF(AND(T451="Open",U451&gt;=set_BigValue,W451&lt;=set_EarlyProb),2,0)</f>
        <v/>
      </c>
      <c r="AI451" s="54">
        <f>IF(AND(OR(T451="Open",T451="Won"),V451=0),2,0)</f>
        <v/>
      </c>
      <c r="AJ451" s="54">
        <f>IF(AND(T451="Won",Y451&gt;0.5,ISNUMBER(Z451),Z451&lt;EOMONTH(set_AsAt,-1)+1),3,0)</f>
        <v/>
      </c>
      <c r="AK451" s="54">
        <f>IF(AND(T451="Won",Y451&lt;-1),1,0)</f>
        <v/>
      </c>
      <c r="AL451" s="54">
        <f>SUM(AF451:AK451)</f>
        <v/>
      </c>
      <c r="AM451" s="9">
        <f>IF(AL451&gt;=set_ScoreHigh,"High",IF(AL451&gt;=set_ScoreMed,"Medium",IF(AL451&gt;0,"Low","OK")))</f>
        <v/>
      </c>
      <c r="AN451" s="54">
        <f>IF(OR(T451="Open",AND(T451="Won",ABS(Y451)&gt;0.5)),1,0)</f>
        <v/>
      </c>
      <c r="AO451" s="52">
        <f>IF(T451="Open",IF(V451=0,0,X451),IF(T451="Won",MAX(0,Y451),0))</f>
        <v/>
      </c>
      <c r="AP451" s="54">
        <f>IF(AN451=1,AL451*1E+9+U451+ROW()/1E+6,"")</f>
        <v/>
      </c>
      <c r="AQ451" s="9">
        <f>MID(IF(AF451&gt;0,"; Expected month passed - update Zoho","")&amp;IF(AG451&gt;0,"; "&amp;TEXT(U451/MAX(1,SUMIFS($U$2:$U$601,$T$2:$T$601,"Open")),"0%")&amp;" of open pipeline in one deal","")&amp;IF(AH451&gt;0,"; Large deal at an early stage","")&amp;IF(AI451&gt;0,"; No amount in Zoho","")&amp;IF(AJ451&gt;0,"; Won, invoice month passed, not fully invoiced","")&amp;IF(AK451&gt;0,"; Xero invoiced more than the deal value",""),3,300)</f>
        <v/>
      </c>
    </row>
    <row r="452">
      <c r="T452" s="9">
        <f>IFERROR(INDEX($A452:$R452,MATCH("Status",$A$1:$R$1,0)),"")&amp;""</f>
        <v/>
      </c>
      <c r="U452" s="52">
        <f>IFERROR(N(IFERROR(INDEX($A452:$R452,MATCH("Value Ex GST",$A$1:$R$1,0)),"")),0)</f>
        <v/>
      </c>
      <c r="V452" s="54">
        <f>IF(AND(T452&lt;&gt;"",IFERROR(INDEX($A452:$R452,MATCH("Value Ex GST",$A$1:$R$1,0)),"")&amp;""&lt;&gt;""),1,0)</f>
        <v/>
      </c>
      <c r="W452" s="56">
        <f>IFERROR(N(IFERROR(INDEX($A452:$R452,MATCH("Probability",$A$1:$R$1,0)),"")),0)</f>
        <v/>
      </c>
      <c r="X452" s="52">
        <f>IF(T452="Open",U452*W452,0)</f>
        <v/>
      </c>
      <c r="Y452" s="52">
        <f>IF(T452="Won",IFERROR(N(IFERROR(INDEX($A452:$R452,MATCH("Still to Invoice",$A$1:$R$1,0)),"")),0),0)</f>
        <v/>
      </c>
      <c r="Z452" s="55">
        <f>IFERROR(EOMONTH(IFERROR(INDEX($A452:$R452,MATCH("Expected Invoice Month",$A$1:$R$1,0)),""),0),"")</f>
        <v/>
      </c>
      <c r="AA452" s="9">
        <f>IFERROR(INDEX($A452:$R452,MATCH("Cost Centre",$A$1:$R$1,0)),"")&amp;""</f>
        <v/>
      </c>
      <c r="AB452" s="9">
        <f>IFERROR(INDEX($A452:$R452,MATCH("Pipeline Stage",$A$1:$R$1,0)),"")&amp;""</f>
        <v/>
      </c>
      <c r="AC452" s="9">
        <f>IFERROR(INDEX($A452:$R452,MATCH("Client",$A$1:$R$1,0)),"")&amp;""</f>
        <v/>
      </c>
      <c r="AD452" s="9">
        <f>IFERROR(INDEX($A452:$R452,MATCH("Description",$A$1:$R$1,0)),"")&amp;""</f>
        <v/>
      </c>
      <c r="AE452" s="9">
        <f>IFERROR(INDEX($A452:$R452,MATCH("Job Number",$A$1:$R$1,0)),"")&amp;""</f>
        <v/>
      </c>
      <c r="AF452" s="54">
        <f>IF(AND(T452="Open",ISNUMBER(Z452),Z452&lt;EOMONTH(set_AsAt,-1)+1),3,0)</f>
        <v/>
      </c>
      <c r="AG452" s="54">
        <f>IF(AND(T452="Open",U452&gt;0,U452&gt;=set_DealShare*SUMIFS($U$2:$U$601,$T$2:$T$601,"Open")),3,0)</f>
        <v/>
      </c>
      <c r="AH452" s="54">
        <f>IF(AND(T452="Open",U452&gt;=set_BigValue,W452&lt;=set_EarlyProb),2,0)</f>
        <v/>
      </c>
      <c r="AI452" s="54">
        <f>IF(AND(OR(T452="Open",T452="Won"),V452=0),2,0)</f>
        <v/>
      </c>
      <c r="AJ452" s="54">
        <f>IF(AND(T452="Won",Y452&gt;0.5,ISNUMBER(Z452),Z452&lt;EOMONTH(set_AsAt,-1)+1),3,0)</f>
        <v/>
      </c>
      <c r="AK452" s="54">
        <f>IF(AND(T452="Won",Y452&lt;-1),1,0)</f>
        <v/>
      </c>
      <c r="AL452" s="54">
        <f>SUM(AF452:AK452)</f>
        <v/>
      </c>
      <c r="AM452" s="9">
        <f>IF(AL452&gt;=set_ScoreHigh,"High",IF(AL452&gt;=set_ScoreMed,"Medium",IF(AL452&gt;0,"Low","OK")))</f>
        <v/>
      </c>
      <c r="AN452" s="54">
        <f>IF(OR(T452="Open",AND(T452="Won",ABS(Y452)&gt;0.5)),1,0)</f>
        <v/>
      </c>
      <c r="AO452" s="52">
        <f>IF(T452="Open",IF(V452=0,0,X452),IF(T452="Won",MAX(0,Y452),0))</f>
        <v/>
      </c>
      <c r="AP452" s="54">
        <f>IF(AN452=1,AL452*1E+9+U452+ROW()/1E+6,"")</f>
        <v/>
      </c>
      <c r="AQ452" s="9">
        <f>MID(IF(AF452&gt;0,"; Expected month passed - update Zoho","")&amp;IF(AG452&gt;0,"; "&amp;TEXT(U452/MAX(1,SUMIFS($U$2:$U$601,$T$2:$T$601,"Open")),"0%")&amp;" of open pipeline in one deal","")&amp;IF(AH452&gt;0,"; Large deal at an early stage","")&amp;IF(AI452&gt;0,"; No amount in Zoho","")&amp;IF(AJ452&gt;0,"; Won, invoice month passed, not fully invoiced","")&amp;IF(AK452&gt;0,"; Xero invoiced more than the deal value",""),3,300)</f>
        <v/>
      </c>
    </row>
    <row r="453">
      <c r="T453" s="9">
        <f>IFERROR(INDEX($A453:$R453,MATCH("Status",$A$1:$R$1,0)),"")&amp;""</f>
        <v/>
      </c>
      <c r="U453" s="52">
        <f>IFERROR(N(IFERROR(INDEX($A453:$R453,MATCH("Value Ex GST",$A$1:$R$1,0)),"")),0)</f>
        <v/>
      </c>
      <c r="V453" s="54">
        <f>IF(AND(T453&lt;&gt;"",IFERROR(INDEX($A453:$R453,MATCH("Value Ex GST",$A$1:$R$1,0)),"")&amp;""&lt;&gt;""),1,0)</f>
        <v/>
      </c>
      <c r="W453" s="56">
        <f>IFERROR(N(IFERROR(INDEX($A453:$R453,MATCH("Probability",$A$1:$R$1,0)),"")),0)</f>
        <v/>
      </c>
      <c r="X453" s="52">
        <f>IF(T453="Open",U453*W453,0)</f>
        <v/>
      </c>
      <c r="Y453" s="52">
        <f>IF(T453="Won",IFERROR(N(IFERROR(INDEX($A453:$R453,MATCH("Still to Invoice",$A$1:$R$1,0)),"")),0),0)</f>
        <v/>
      </c>
      <c r="Z453" s="55">
        <f>IFERROR(EOMONTH(IFERROR(INDEX($A453:$R453,MATCH("Expected Invoice Month",$A$1:$R$1,0)),""),0),"")</f>
        <v/>
      </c>
      <c r="AA453" s="9">
        <f>IFERROR(INDEX($A453:$R453,MATCH("Cost Centre",$A$1:$R$1,0)),"")&amp;""</f>
        <v/>
      </c>
      <c r="AB453" s="9">
        <f>IFERROR(INDEX($A453:$R453,MATCH("Pipeline Stage",$A$1:$R$1,0)),"")&amp;""</f>
        <v/>
      </c>
      <c r="AC453" s="9">
        <f>IFERROR(INDEX($A453:$R453,MATCH("Client",$A$1:$R$1,0)),"")&amp;""</f>
        <v/>
      </c>
      <c r="AD453" s="9">
        <f>IFERROR(INDEX($A453:$R453,MATCH("Description",$A$1:$R$1,0)),"")&amp;""</f>
        <v/>
      </c>
      <c r="AE453" s="9">
        <f>IFERROR(INDEX($A453:$R453,MATCH("Job Number",$A$1:$R$1,0)),"")&amp;""</f>
        <v/>
      </c>
      <c r="AF453" s="54">
        <f>IF(AND(T453="Open",ISNUMBER(Z453),Z453&lt;EOMONTH(set_AsAt,-1)+1),3,0)</f>
        <v/>
      </c>
      <c r="AG453" s="54">
        <f>IF(AND(T453="Open",U453&gt;0,U453&gt;=set_DealShare*SUMIFS($U$2:$U$601,$T$2:$T$601,"Open")),3,0)</f>
        <v/>
      </c>
      <c r="AH453" s="54">
        <f>IF(AND(T453="Open",U453&gt;=set_BigValue,W453&lt;=set_EarlyProb),2,0)</f>
        <v/>
      </c>
      <c r="AI453" s="54">
        <f>IF(AND(OR(T453="Open",T453="Won"),V453=0),2,0)</f>
        <v/>
      </c>
      <c r="AJ453" s="54">
        <f>IF(AND(T453="Won",Y453&gt;0.5,ISNUMBER(Z453),Z453&lt;EOMONTH(set_AsAt,-1)+1),3,0)</f>
        <v/>
      </c>
      <c r="AK453" s="54">
        <f>IF(AND(T453="Won",Y453&lt;-1),1,0)</f>
        <v/>
      </c>
      <c r="AL453" s="54">
        <f>SUM(AF453:AK453)</f>
        <v/>
      </c>
      <c r="AM453" s="9">
        <f>IF(AL453&gt;=set_ScoreHigh,"High",IF(AL453&gt;=set_ScoreMed,"Medium",IF(AL453&gt;0,"Low","OK")))</f>
        <v/>
      </c>
      <c r="AN453" s="54">
        <f>IF(OR(T453="Open",AND(T453="Won",ABS(Y453)&gt;0.5)),1,0)</f>
        <v/>
      </c>
      <c r="AO453" s="52">
        <f>IF(T453="Open",IF(V453=0,0,X453),IF(T453="Won",MAX(0,Y453),0))</f>
        <v/>
      </c>
      <c r="AP453" s="54">
        <f>IF(AN453=1,AL453*1E+9+U453+ROW()/1E+6,"")</f>
        <v/>
      </c>
      <c r="AQ453" s="9">
        <f>MID(IF(AF453&gt;0,"; Expected month passed - update Zoho","")&amp;IF(AG453&gt;0,"; "&amp;TEXT(U453/MAX(1,SUMIFS($U$2:$U$601,$T$2:$T$601,"Open")),"0%")&amp;" of open pipeline in one deal","")&amp;IF(AH453&gt;0,"; Large deal at an early stage","")&amp;IF(AI453&gt;0,"; No amount in Zoho","")&amp;IF(AJ453&gt;0,"; Won, invoice month passed, not fully invoiced","")&amp;IF(AK453&gt;0,"; Xero invoiced more than the deal value",""),3,300)</f>
        <v/>
      </c>
    </row>
    <row r="454">
      <c r="T454" s="9">
        <f>IFERROR(INDEX($A454:$R454,MATCH("Status",$A$1:$R$1,0)),"")&amp;""</f>
        <v/>
      </c>
      <c r="U454" s="52">
        <f>IFERROR(N(IFERROR(INDEX($A454:$R454,MATCH("Value Ex GST",$A$1:$R$1,0)),"")),0)</f>
        <v/>
      </c>
      <c r="V454" s="54">
        <f>IF(AND(T454&lt;&gt;"",IFERROR(INDEX($A454:$R454,MATCH("Value Ex GST",$A$1:$R$1,0)),"")&amp;""&lt;&gt;""),1,0)</f>
        <v/>
      </c>
      <c r="W454" s="56">
        <f>IFERROR(N(IFERROR(INDEX($A454:$R454,MATCH("Probability",$A$1:$R$1,0)),"")),0)</f>
        <v/>
      </c>
      <c r="X454" s="52">
        <f>IF(T454="Open",U454*W454,0)</f>
        <v/>
      </c>
      <c r="Y454" s="52">
        <f>IF(T454="Won",IFERROR(N(IFERROR(INDEX($A454:$R454,MATCH("Still to Invoice",$A$1:$R$1,0)),"")),0),0)</f>
        <v/>
      </c>
      <c r="Z454" s="55">
        <f>IFERROR(EOMONTH(IFERROR(INDEX($A454:$R454,MATCH("Expected Invoice Month",$A$1:$R$1,0)),""),0),"")</f>
        <v/>
      </c>
      <c r="AA454" s="9">
        <f>IFERROR(INDEX($A454:$R454,MATCH("Cost Centre",$A$1:$R$1,0)),"")&amp;""</f>
        <v/>
      </c>
      <c r="AB454" s="9">
        <f>IFERROR(INDEX($A454:$R454,MATCH("Pipeline Stage",$A$1:$R$1,0)),"")&amp;""</f>
        <v/>
      </c>
      <c r="AC454" s="9">
        <f>IFERROR(INDEX($A454:$R454,MATCH("Client",$A$1:$R$1,0)),"")&amp;""</f>
        <v/>
      </c>
      <c r="AD454" s="9">
        <f>IFERROR(INDEX($A454:$R454,MATCH("Description",$A$1:$R$1,0)),"")&amp;""</f>
        <v/>
      </c>
      <c r="AE454" s="9">
        <f>IFERROR(INDEX($A454:$R454,MATCH("Job Number",$A$1:$R$1,0)),"")&amp;""</f>
        <v/>
      </c>
      <c r="AF454" s="54">
        <f>IF(AND(T454="Open",ISNUMBER(Z454),Z454&lt;EOMONTH(set_AsAt,-1)+1),3,0)</f>
        <v/>
      </c>
      <c r="AG454" s="54">
        <f>IF(AND(T454="Open",U454&gt;0,U454&gt;=set_DealShare*SUMIFS($U$2:$U$601,$T$2:$T$601,"Open")),3,0)</f>
        <v/>
      </c>
      <c r="AH454" s="54">
        <f>IF(AND(T454="Open",U454&gt;=set_BigValue,W454&lt;=set_EarlyProb),2,0)</f>
        <v/>
      </c>
      <c r="AI454" s="54">
        <f>IF(AND(OR(T454="Open",T454="Won"),V454=0),2,0)</f>
        <v/>
      </c>
      <c r="AJ454" s="54">
        <f>IF(AND(T454="Won",Y454&gt;0.5,ISNUMBER(Z454),Z454&lt;EOMONTH(set_AsAt,-1)+1),3,0)</f>
        <v/>
      </c>
      <c r="AK454" s="54">
        <f>IF(AND(T454="Won",Y454&lt;-1),1,0)</f>
        <v/>
      </c>
      <c r="AL454" s="54">
        <f>SUM(AF454:AK454)</f>
        <v/>
      </c>
      <c r="AM454" s="9">
        <f>IF(AL454&gt;=set_ScoreHigh,"High",IF(AL454&gt;=set_ScoreMed,"Medium",IF(AL454&gt;0,"Low","OK")))</f>
        <v/>
      </c>
      <c r="AN454" s="54">
        <f>IF(OR(T454="Open",AND(T454="Won",ABS(Y454)&gt;0.5)),1,0)</f>
        <v/>
      </c>
      <c r="AO454" s="52">
        <f>IF(T454="Open",IF(V454=0,0,X454),IF(T454="Won",MAX(0,Y454),0))</f>
        <v/>
      </c>
      <c r="AP454" s="54">
        <f>IF(AN454=1,AL454*1E+9+U454+ROW()/1E+6,"")</f>
        <v/>
      </c>
      <c r="AQ454" s="9">
        <f>MID(IF(AF454&gt;0,"; Expected month passed - update Zoho","")&amp;IF(AG454&gt;0,"; "&amp;TEXT(U454/MAX(1,SUMIFS($U$2:$U$601,$T$2:$T$601,"Open")),"0%")&amp;" of open pipeline in one deal","")&amp;IF(AH454&gt;0,"; Large deal at an early stage","")&amp;IF(AI454&gt;0,"; No amount in Zoho","")&amp;IF(AJ454&gt;0,"; Won, invoice month passed, not fully invoiced","")&amp;IF(AK454&gt;0,"; Xero invoiced more than the deal value",""),3,300)</f>
        <v/>
      </c>
    </row>
    <row r="455">
      <c r="T455" s="9">
        <f>IFERROR(INDEX($A455:$R455,MATCH("Status",$A$1:$R$1,0)),"")&amp;""</f>
        <v/>
      </c>
      <c r="U455" s="52">
        <f>IFERROR(N(IFERROR(INDEX($A455:$R455,MATCH("Value Ex GST",$A$1:$R$1,0)),"")),0)</f>
        <v/>
      </c>
      <c r="V455" s="54">
        <f>IF(AND(T455&lt;&gt;"",IFERROR(INDEX($A455:$R455,MATCH("Value Ex GST",$A$1:$R$1,0)),"")&amp;""&lt;&gt;""),1,0)</f>
        <v/>
      </c>
      <c r="W455" s="56">
        <f>IFERROR(N(IFERROR(INDEX($A455:$R455,MATCH("Probability",$A$1:$R$1,0)),"")),0)</f>
        <v/>
      </c>
      <c r="X455" s="52">
        <f>IF(T455="Open",U455*W455,0)</f>
        <v/>
      </c>
      <c r="Y455" s="52">
        <f>IF(T455="Won",IFERROR(N(IFERROR(INDEX($A455:$R455,MATCH("Still to Invoice",$A$1:$R$1,0)),"")),0),0)</f>
        <v/>
      </c>
      <c r="Z455" s="55">
        <f>IFERROR(EOMONTH(IFERROR(INDEX($A455:$R455,MATCH("Expected Invoice Month",$A$1:$R$1,0)),""),0),"")</f>
        <v/>
      </c>
      <c r="AA455" s="9">
        <f>IFERROR(INDEX($A455:$R455,MATCH("Cost Centre",$A$1:$R$1,0)),"")&amp;""</f>
        <v/>
      </c>
      <c r="AB455" s="9">
        <f>IFERROR(INDEX($A455:$R455,MATCH("Pipeline Stage",$A$1:$R$1,0)),"")&amp;""</f>
        <v/>
      </c>
      <c r="AC455" s="9">
        <f>IFERROR(INDEX($A455:$R455,MATCH("Client",$A$1:$R$1,0)),"")&amp;""</f>
        <v/>
      </c>
      <c r="AD455" s="9">
        <f>IFERROR(INDEX($A455:$R455,MATCH("Description",$A$1:$R$1,0)),"")&amp;""</f>
        <v/>
      </c>
      <c r="AE455" s="9">
        <f>IFERROR(INDEX($A455:$R455,MATCH("Job Number",$A$1:$R$1,0)),"")&amp;""</f>
        <v/>
      </c>
      <c r="AF455" s="54">
        <f>IF(AND(T455="Open",ISNUMBER(Z455),Z455&lt;EOMONTH(set_AsAt,-1)+1),3,0)</f>
        <v/>
      </c>
      <c r="AG455" s="54">
        <f>IF(AND(T455="Open",U455&gt;0,U455&gt;=set_DealShare*SUMIFS($U$2:$U$601,$T$2:$T$601,"Open")),3,0)</f>
        <v/>
      </c>
      <c r="AH455" s="54">
        <f>IF(AND(T455="Open",U455&gt;=set_BigValue,W455&lt;=set_EarlyProb),2,0)</f>
        <v/>
      </c>
      <c r="AI455" s="54">
        <f>IF(AND(OR(T455="Open",T455="Won"),V455=0),2,0)</f>
        <v/>
      </c>
      <c r="AJ455" s="54">
        <f>IF(AND(T455="Won",Y455&gt;0.5,ISNUMBER(Z455),Z455&lt;EOMONTH(set_AsAt,-1)+1),3,0)</f>
        <v/>
      </c>
      <c r="AK455" s="54">
        <f>IF(AND(T455="Won",Y455&lt;-1),1,0)</f>
        <v/>
      </c>
      <c r="AL455" s="54">
        <f>SUM(AF455:AK455)</f>
        <v/>
      </c>
      <c r="AM455" s="9">
        <f>IF(AL455&gt;=set_ScoreHigh,"High",IF(AL455&gt;=set_ScoreMed,"Medium",IF(AL455&gt;0,"Low","OK")))</f>
        <v/>
      </c>
      <c r="AN455" s="54">
        <f>IF(OR(T455="Open",AND(T455="Won",ABS(Y455)&gt;0.5)),1,0)</f>
        <v/>
      </c>
      <c r="AO455" s="52">
        <f>IF(T455="Open",IF(V455=0,0,X455),IF(T455="Won",MAX(0,Y455),0))</f>
        <v/>
      </c>
      <c r="AP455" s="54">
        <f>IF(AN455=1,AL455*1E+9+U455+ROW()/1E+6,"")</f>
        <v/>
      </c>
      <c r="AQ455" s="9">
        <f>MID(IF(AF455&gt;0,"; Expected month passed - update Zoho","")&amp;IF(AG455&gt;0,"; "&amp;TEXT(U455/MAX(1,SUMIFS($U$2:$U$601,$T$2:$T$601,"Open")),"0%")&amp;" of open pipeline in one deal","")&amp;IF(AH455&gt;0,"; Large deal at an early stage","")&amp;IF(AI455&gt;0,"; No amount in Zoho","")&amp;IF(AJ455&gt;0,"; Won, invoice month passed, not fully invoiced","")&amp;IF(AK455&gt;0,"; Xero invoiced more than the deal value",""),3,300)</f>
        <v/>
      </c>
    </row>
    <row r="456">
      <c r="T456" s="9">
        <f>IFERROR(INDEX($A456:$R456,MATCH("Status",$A$1:$R$1,0)),"")&amp;""</f>
        <v/>
      </c>
      <c r="U456" s="52">
        <f>IFERROR(N(IFERROR(INDEX($A456:$R456,MATCH("Value Ex GST",$A$1:$R$1,0)),"")),0)</f>
        <v/>
      </c>
      <c r="V456" s="54">
        <f>IF(AND(T456&lt;&gt;"",IFERROR(INDEX($A456:$R456,MATCH("Value Ex GST",$A$1:$R$1,0)),"")&amp;""&lt;&gt;""),1,0)</f>
        <v/>
      </c>
      <c r="W456" s="56">
        <f>IFERROR(N(IFERROR(INDEX($A456:$R456,MATCH("Probability",$A$1:$R$1,0)),"")),0)</f>
        <v/>
      </c>
      <c r="X456" s="52">
        <f>IF(T456="Open",U456*W456,0)</f>
        <v/>
      </c>
      <c r="Y456" s="52">
        <f>IF(T456="Won",IFERROR(N(IFERROR(INDEX($A456:$R456,MATCH("Still to Invoice",$A$1:$R$1,0)),"")),0),0)</f>
        <v/>
      </c>
      <c r="Z456" s="55">
        <f>IFERROR(EOMONTH(IFERROR(INDEX($A456:$R456,MATCH("Expected Invoice Month",$A$1:$R$1,0)),""),0),"")</f>
        <v/>
      </c>
      <c r="AA456" s="9">
        <f>IFERROR(INDEX($A456:$R456,MATCH("Cost Centre",$A$1:$R$1,0)),"")&amp;""</f>
        <v/>
      </c>
      <c r="AB456" s="9">
        <f>IFERROR(INDEX($A456:$R456,MATCH("Pipeline Stage",$A$1:$R$1,0)),"")&amp;""</f>
        <v/>
      </c>
      <c r="AC456" s="9">
        <f>IFERROR(INDEX($A456:$R456,MATCH("Client",$A$1:$R$1,0)),"")&amp;""</f>
        <v/>
      </c>
      <c r="AD456" s="9">
        <f>IFERROR(INDEX($A456:$R456,MATCH("Description",$A$1:$R$1,0)),"")&amp;""</f>
        <v/>
      </c>
      <c r="AE456" s="9">
        <f>IFERROR(INDEX($A456:$R456,MATCH("Job Number",$A$1:$R$1,0)),"")&amp;""</f>
        <v/>
      </c>
      <c r="AF456" s="54">
        <f>IF(AND(T456="Open",ISNUMBER(Z456),Z456&lt;EOMONTH(set_AsAt,-1)+1),3,0)</f>
        <v/>
      </c>
      <c r="AG456" s="54">
        <f>IF(AND(T456="Open",U456&gt;0,U456&gt;=set_DealShare*SUMIFS($U$2:$U$601,$T$2:$T$601,"Open")),3,0)</f>
        <v/>
      </c>
      <c r="AH456" s="54">
        <f>IF(AND(T456="Open",U456&gt;=set_BigValue,W456&lt;=set_EarlyProb),2,0)</f>
        <v/>
      </c>
      <c r="AI456" s="54">
        <f>IF(AND(OR(T456="Open",T456="Won"),V456=0),2,0)</f>
        <v/>
      </c>
      <c r="AJ456" s="54">
        <f>IF(AND(T456="Won",Y456&gt;0.5,ISNUMBER(Z456),Z456&lt;EOMONTH(set_AsAt,-1)+1),3,0)</f>
        <v/>
      </c>
      <c r="AK456" s="54">
        <f>IF(AND(T456="Won",Y456&lt;-1),1,0)</f>
        <v/>
      </c>
      <c r="AL456" s="54">
        <f>SUM(AF456:AK456)</f>
        <v/>
      </c>
      <c r="AM456" s="9">
        <f>IF(AL456&gt;=set_ScoreHigh,"High",IF(AL456&gt;=set_ScoreMed,"Medium",IF(AL456&gt;0,"Low","OK")))</f>
        <v/>
      </c>
      <c r="AN456" s="54">
        <f>IF(OR(T456="Open",AND(T456="Won",ABS(Y456)&gt;0.5)),1,0)</f>
        <v/>
      </c>
      <c r="AO456" s="52">
        <f>IF(T456="Open",IF(V456=0,0,X456),IF(T456="Won",MAX(0,Y456),0))</f>
        <v/>
      </c>
      <c r="AP456" s="54">
        <f>IF(AN456=1,AL456*1E+9+U456+ROW()/1E+6,"")</f>
        <v/>
      </c>
      <c r="AQ456" s="9">
        <f>MID(IF(AF456&gt;0,"; Expected month passed - update Zoho","")&amp;IF(AG456&gt;0,"; "&amp;TEXT(U456/MAX(1,SUMIFS($U$2:$U$601,$T$2:$T$601,"Open")),"0%")&amp;" of open pipeline in one deal","")&amp;IF(AH456&gt;0,"; Large deal at an early stage","")&amp;IF(AI456&gt;0,"; No amount in Zoho","")&amp;IF(AJ456&gt;0,"; Won, invoice month passed, not fully invoiced","")&amp;IF(AK456&gt;0,"; Xero invoiced more than the deal value",""),3,300)</f>
        <v/>
      </c>
    </row>
    <row r="457">
      <c r="T457" s="9">
        <f>IFERROR(INDEX($A457:$R457,MATCH("Status",$A$1:$R$1,0)),"")&amp;""</f>
        <v/>
      </c>
      <c r="U457" s="52">
        <f>IFERROR(N(IFERROR(INDEX($A457:$R457,MATCH("Value Ex GST",$A$1:$R$1,0)),"")),0)</f>
        <v/>
      </c>
      <c r="V457" s="54">
        <f>IF(AND(T457&lt;&gt;"",IFERROR(INDEX($A457:$R457,MATCH("Value Ex GST",$A$1:$R$1,0)),"")&amp;""&lt;&gt;""),1,0)</f>
        <v/>
      </c>
      <c r="W457" s="56">
        <f>IFERROR(N(IFERROR(INDEX($A457:$R457,MATCH("Probability",$A$1:$R$1,0)),"")),0)</f>
        <v/>
      </c>
      <c r="X457" s="52">
        <f>IF(T457="Open",U457*W457,0)</f>
        <v/>
      </c>
      <c r="Y457" s="52">
        <f>IF(T457="Won",IFERROR(N(IFERROR(INDEX($A457:$R457,MATCH("Still to Invoice",$A$1:$R$1,0)),"")),0),0)</f>
        <v/>
      </c>
      <c r="Z457" s="55">
        <f>IFERROR(EOMONTH(IFERROR(INDEX($A457:$R457,MATCH("Expected Invoice Month",$A$1:$R$1,0)),""),0),"")</f>
        <v/>
      </c>
      <c r="AA457" s="9">
        <f>IFERROR(INDEX($A457:$R457,MATCH("Cost Centre",$A$1:$R$1,0)),"")&amp;""</f>
        <v/>
      </c>
      <c r="AB457" s="9">
        <f>IFERROR(INDEX($A457:$R457,MATCH("Pipeline Stage",$A$1:$R$1,0)),"")&amp;""</f>
        <v/>
      </c>
      <c r="AC457" s="9">
        <f>IFERROR(INDEX($A457:$R457,MATCH("Client",$A$1:$R$1,0)),"")&amp;""</f>
        <v/>
      </c>
      <c r="AD457" s="9">
        <f>IFERROR(INDEX($A457:$R457,MATCH("Description",$A$1:$R$1,0)),"")&amp;""</f>
        <v/>
      </c>
      <c r="AE457" s="9">
        <f>IFERROR(INDEX($A457:$R457,MATCH("Job Number",$A$1:$R$1,0)),"")&amp;""</f>
        <v/>
      </c>
      <c r="AF457" s="54">
        <f>IF(AND(T457="Open",ISNUMBER(Z457),Z457&lt;EOMONTH(set_AsAt,-1)+1),3,0)</f>
        <v/>
      </c>
      <c r="AG457" s="54">
        <f>IF(AND(T457="Open",U457&gt;0,U457&gt;=set_DealShare*SUMIFS($U$2:$U$601,$T$2:$T$601,"Open")),3,0)</f>
        <v/>
      </c>
      <c r="AH457" s="54">
        <f>IF(AND(T457="Open",U457&gt;=set_BigValue,W457&lt;=set_EarlyProb),2,0)</f>
        <v/>
      </c>
      <c r="AI457" s="54">
        <f>IF(AND(OR(T457="Open",T457="Won"),V457=0),2,0)</f>
        <v/>
      </c>
      <c r="AJ457" s="54">
        <f>IF(AND(T457="Won",Y457&gt;0.5,ISNUMBER(Z457),Z457&lt;EOMONTH(set_AsAt,-1)+1),3,0)</f>
        <v/>
      </c>
      <c r="AK457" s="54">
        <f>IF(AND(T457="Won",Y457&lt;-1),1,0)</f>
        <v/>
      </c>
      <c r="AL457" s="54">
        <f>SUM(AF457:AK457)</f>
        <v/>
      </c>
      <c r="AM457" s="9">
        <f>IF(AL457&gt;=set_ScoreHigh,"High",IF(AL457&gt;=set_ScoreMed,"Medium",IF(AL457&gt;0,"Low","OK")))</f>
        <v/>
      </c>
      <c r="AN457" s="54">
        <f>IF(OR(T457="Open",AND(T457="Won",ABS(Y457)&gt;0.5)),1,0)</f>
        <v/>
      </c>
      <c r="AO457" s="52">
        <f>IF(T457="Open",IF(V457=0,0,X457),IF(T457="Won",MAX(0,Y457),0))</f>
        <v/>
      </c>
      <c r="AP457" s="54">
        <f>IF(AN457=1,AL457*1E+9+U457+ROW()/1E+6,"")</f>
        <v/>
      </c>
      <c r="AQ457" s="9">
        <f>MID(IF(AF457&gt;0,"; Expected month passed - update Zoho","")&amp;IF(AG457&gt;0,"; "&amp;TEXT(U457/MAX(1,SUMIFS($U$2:$U$601,$T$2:$T$601,"Open")),"0%")&amp;" of open pipeline in one deal","")&amp;IF(AH457&gt;0,"; Large deal at an early stage","")&amp;IF(AI457&gt;0,"; No amount in Zoho","")&amp;IF(AJ457&gt;0,"; Won, invoice month passed, not fully invoiced","")&amp;IF(AK457&gt;0,"; Xero invoiced more than the deal value",""),3,300)</f>
        <v/>
      </c>
    </row>
    <row r="458">
      <c r="T458" s="9">
        <f>IFERROR(INDEX($A458:$R458,MATCH("Status",$A$1:$R$1,0)),"")&amp;""</f>
        <v/>
      </c>
      <c r="U458" s="52">
        <f>IFERROR(N(IFERROR(INDEX($A458:$R458,MATCH("Value Ex GST",$A$1:$R$1,0)),"")),0)</f>
        <v/>
      </c>
      <c r="V458" s="54">
        <f>IF(AND(T458&lt;&gt;"",IFERROR(INDEX($A458:$R458,MATCH("Value Ex GST",$A$1:$R$1,0)),"")&amp;""&lt;&gt;""),1,0)</f>
        <v/>
      </c>
      <c r="W458" s="56">
        <f>IFERROR(N(IFERROR(INDEX($A458:$R458,MATCH("Probability",$A$1:$R$1,0)),"")),0)</f>
        <v/>
      </c>
      <c r="X458" s="52">
        <f>IF(T458="Open",U458*W458,0)</f>
        <v/>
      </c>
      <c r="Y458" s="52">
        <f>IF(T458="Won",IFERROR(N(IFERROR(INDEX($A458:$R458,MATCH("Still to Invoice",$A$1:$R$1,0)),"")),0),0)</f>
        <v/>
      </c>
      <c r="Z458" s="55">
        <f>IFERROR(EOMONTH(IFERROR(INDEX($A458:$R458,MATCH("Expected Invoice Month",$A$1:$R$1,0)),""),0),"")</f>
        <v/>
      </c>
      <c r="AA458" s="9">
        <f>IFERROR(INDEX($A458:$R458,MATCH("Cost Centre",$A$1:$R$1,0)),"")&amp;""</f>
        <v/>
      </c>
      <c r="AB458" s="9">
        <f>IFERROR(INDEX($A458:$R458,MATCH("Pipeline Stage",$A$1:$R$1,0)),"")&amp;""</f>
        <v/>
      </c>
      <c r="AC458" s="9">
        <f>IFERROR(INDEX($A458:$R458,MATCH("Client",$A$1:$R$1,0)),"")&amp;""</f>
        <v/>
      </c>
      <c r="AD458" s="9">
        <f>IFERROR(INDEX($A458:$R458,MATCH("Description",$A$1:$R$1,0)),"")&amp;""</f>
        <v/>
      </c>
      <c r="AE458" s="9">
        <f>IFERROR(INDEX($A458:$R458,MATCH("Job Number",$A$1:$R$1,0)),"")&amp;""</f>
        <v/>
      </c>
      <c r="AF458" s="54">
        <f>IF(AND(T458="Open",ISNUMBER(Z458),Z458&lt;EOMONTH(set_AsAt,-1)+1),3,0)</f>
        <v/>
      </c>
      <c r="AG458" s="54">
        <f>IF(AND(T458="Open",U458&gt;0,U458&gt;=set_DealShare*SUMIFS($U$2:$U$601,$T$2:$T$601,"Open")),3,0)</f>
        <v/>
      </c>
      <c r="AH458" s="54">
        <f>IF(AND(T458="Open",U458&gt;=set_BigValue,W458&lt;=set_EarlyProb),2,0)</f>
        <v/>
      </c>
      <c r="AI458" s="54">
        <f>IF(AND(OR(T458="Open",T458="Won"),V458=0),2,0)</f>
        <v/>
      </c>
      <c r="AJ458" s="54">
        <f>IF(AND(T458="Won",Y458&gt;0.5,ISNUMBER(Z458),Z458&lt;EOMONTH(set_AsAt,-1)+1),3,0)</f>
        <v/>
      </c>
      <c r="AK458" s="54">
        <f>IF(AND(T458="Won",Y458&lt;-1),1,0)</f>
        <v/>
      </c>
      <c r="AL458" s="54">
        <f>SUM(AF458:AK458)</f>
        <v/>
      </c>
      <c r="AM458" s="9">
        <f>IF(AL458&gt;=set_ScoreHigh,"High",IF(AL458&gt;=set_ScoreMed,"Medium",IF(AL458&gt;0,"Low","OK")))</f>
        <v/>
      </c>
      <c r="AN458" s="54">
        <f>IF(OR(T458="Open",AND(T458="Won",ABS(Y458)&gt;0.5)),1,0)</f>
        <v/>
      </c>
      <c r="AO458" s="52">
        <f>IF(T458="Open",IF(V458=0,0,X458),IF(T458="Won",MAX(0,Y458),0))</f>
        <v/>
      </c>
      <c r="AP458" s="54">
        <f>IF(AN458=1,AL458*1E+9+U458+ROW()/1E+6,"")</f>
        <v/>
      </c>
      <c r="AQ458" s="9">
        <f>MID(IF(AF458&gt;0,"; Expected month passed - update Zoho","")&amp;IF(AG458&gt;0,"; "&amp;TEXT(U458/MAX(1,SUMIFS($U$2:$U$601,$T$2:$T$601,"Open")),"0%")&amp;" of open pipeline in one deal","")&amp;IF(AH458&gt;0,"; Large deal at an early stage","")&amp;IF(AI458&gt;0,"; No amount in Zoho","")&amp;IF(AJ458&gt;0,"; Won, invoice month passed, not fully invoiced","")&amp;IF(AK458&gt;0,"; Xero invoiced more than the deal value",""),3,300)</f>
        <v/>
      </c>
    </row>
    <row r="459">
      <c r="T459" s="9">
        <f>IFERROR(INDEX($A459:$R459,MATCH("Status",$A$1:$R$1,0)),"")&amp;""</f>
        <v/>
      </c>
      <c r="U459" s="52">
        <f>IFERROR(N(IFERROR(INDEX($A459:$R459,MATCH("Value Ex GST",$A$1:$R$1,0)),"")),0)</f>
        <v/>
      </c>
      <c r="V459" s="54">
        <f>IF(AND(T459&lt;&gt;"",IFERROR(INDEX($A459:$R459,MATCH("Value Ex GST",$A$1:$R$1,0)),"")&amp;""&lt;&gt;""),1,0)</f>
        <v/>
      </c>
      <c r="W459" s="56">
        <f>IFERROR(N(IFERROR(INDEX($A459:$R459,MATCH("Probability",$A$1:$R$1,0)),"")),0)</f>
        <v/>
      </c>
      <c r="X459" s="52">
        <f>IF(T459="Open",U459*W459,0)</f>
        <v/>
      </c>
      <c r="Y459" s="52">
        <f>IF(T459="Won",IFERROR(N(IFERROR(INDEX($A459:$R459,MATCH("Still to Invoice",$A$1:$R$1,0)),"")),0),0)</f>
        <v/>
      </c>
      <c r="Z459" s="55">
        <f>IFERROR(EOMONTH(IFERROR(INDEX($A459:$R459,MATCH("Expected Invoice Month",$A$1:$R$1,0)),""),0),"")</f>
        <v/>
      </c>
      <c r="AA459" s="9">
        <f>IFERROR(INDEX($A459:$R459,MATCH("Cost Centre",$A$1:$R$1,0)),"")&amp;""</f>
        <v/>
      </c>
      <c r="AB459" s="9">
        <f>IFERROR(INDEX($A459:$R459,MATCH("Pipeline Stage",$A$1:$R$1,0)),"")&amp;""</f>
        <v/>
      </c>
      <c r="AC459" s="9">
        <f>IFERROR(INDEX($A459:$R459,MATCH("Client",$A$1:$R$1,0)),"")&amp;""</f>
        <v/>
      </c>
      <c r="AD459" s="9">
        <f>IFERROR(INDEX($A459:$R459,MATCH("Description",$A$1:$R$1,0)),"")&amp;""</f>
        <v/>
      </c>
      <c r="AE459" s="9">
        <f>IFERROR(INDEX($A459:$R459,MATCH("Job Number",$A$1:$R$1,0)),"")&amp;""</f>
        <v/>
      </c>
      <c r="AF459" s="54">
        <f>IF(AND(T459="Open",ISNUMBER(Z459),Z459&lt;EOMONTH(set_AsAt,-1)+1),3,0)</f>
        <v/>
      </c>
      <c r="AG459" s="54">
        <f>IF(AND(T459="Open",U459&gt;0,U459&gt;=set_DealShare*SUMIFS($U$2:$U$601,$T$2:$T$601,"Open")),3,0)</f>
        <v/>
      </c>
      <c r="AH459" s="54">
        <f>IF(AND(T459="Open",U459&gt;=set_BigValue,W459&lt;=set_EarlyProb),2,0)</f>
        <v/>
      </c>
      <c r="AI459" s="54">
        <f>IF(AND(OR(T459="Open",T459="Won"),V459=0),2,0)</f>
        <v/>
      </c>
      <c r="AJ459" s="54">
        <f>IF(AND(T459="Won",Y459&gt;0.5,ISNUMBER(Z459),Z459&lt;EOMONTH(set_AsAt,-1)+1),3,0)</f>
        <v/>
      </c>
      <c r="AK459" s="54">
        <f>IF(AND(T459="Won",Y459&lt;-1),1,0)</f>
        <v/>
      </c>
      <c r="AL459" s="54">
        <f>SUM(AF459:AK459)</f>
        <v/>
      </c>
      <c r="AM459" s="9">
        <f>IF(AL459&gt;=set_ScoreHigh,"High",IF(AL459&gt;=set_ScoreMed,"Medium",IF(AL459&gt;0,"Low","OK")))</f>
        <v/>
      </c>
      <c r="AN459" s="54">
        <f>IF(OR(T459="Open",AND(T459="Won",ABS(Y459)&gt;0.5)),1,0)</f>
        <v/>
      </c>
      <c r="AO459" s="52">
        <f>IF(T459="Open",IF(V459=0,0,X459),IF(T459="Won",MAX(0,Y459),0))</f>
        <v/>
      </c>
      <c r="AP459" s="54">
        <f>IF(AN459=1,AL459*1E+9+U459+ROW()/1E+6,"")</f>
        <v/>
      </c>
      <c r="AQ459" s="9">
        <f>MID(IF(AF459&gt;0,"; Expected month passed - update Zoho","")&amp;IF(AG459&gt;0,"; "&amp;TEXT(U459/MAX(1,SUMIFS($U$2:$U$601,$T$2:$T$601,"Open")),"0%")&amp;" of open pipeline in one deal","")&amp;IF(AH459&gt;0,"; Large deal at an early stage","")&amp;IF(AI459&gt;0,"; No amount in Zoho","")&amp;IF(AJ459&gt;0,"; Won, invoice month passed, not fully invoiced","")&amp;IF(AK459&gt;0,"; Xero invoiced more than the deal value",""),3,300)</f>
        <v/>
      </c>
    </row>
    <row r="460">
      <c r="T460" s="9">
        <f>IFERROR(INDEX($A460:$R460,MATCH("Status",$A$1:$R$1,0)),"")&amp;""</f>
        <v/>
      </c>
      <c r="U460" s="52">
        <f>IFERROR(N(IFERROR(INDEX($A460:$R460,MATCH("Value Ex GST",$A$1:$R$1,0)),"")),0)</f>
        <v/>
      </c>
      <c r="V460" s="54">
        <f>IF(AND(T460&lt;&gt;"",IFERROR(INDEX($A460:$R460,MATCH("Value Ex GST",$A$1:$R$1,0)),"")&amp;""&lt;&gt;""),1,0)</f>
        <v/>
      </c>
      <c r="W460" s="56">
        <f>IFERROR(N(IFERROR(INDEX($A460:$R460,MATCH("Probability",$A$1:$R$1,0)),"")),0)</f>
        <v/>
      </c>
      <c r="X460" s="52">
        <f>IF(T460="Open",U460*W460,0)</f>
        <v/>
      </c>
      <c r="Y460" s="52">
        <f>IF(T460="Won",IFERROR(N(IFERROR(INDEX($A460:$R460,MATCH("Still to Invoice",$A$1:$R$1,0)),"")),0),0)</f>
        <v/>
      </c>
      <c r="Z460" s="55">
        <f>IFERROR(EOMONTH(IFERROR(INDEX($A460:$R460,MATCH("Expected Invoice Month",$A$1:$R$1,0)),""),0),"")</f>
        <v/>
      </c>
      <c r="AA460" s="9">
        <f>IFERROR(INDEX($A460:$R460,MATCH("Cost Centre",$A$1:$R$1,0)),"")&amp;""</f>
        <v/>
      </c>
      <c r="AB460" s="9">
        <f>IFERROR(INDEX($A460:$R460,MATCH("Pipeline Stage",$A$1:$R$1,0)),"")&amp;""</f>
        <v/>
      </c>
      <c r="AC460" s="9">
        <f>IFERROR(INDEX($A460:$R460,MATCH("Client",$A$1:$R$1,0)),"")&amp;""</f>
        <v/>
      </c>
      <c r="AD460" s="9">
        <f>IFERROR(INDEX($A460:$R460,MATCH("Description",$A$1:$R$1,0)),"")&amp;""</f>
        <v/>
      </c>
      <c r="AE460" s="9">
        <f>IFERROR(INDEX($A460:$R460,MATCH("Job Number",$A$1:$R$1,0)),"")&amp;""</f>
        <v/>
      </c>
      <c r="AF460" s="54">
        <f>IF(AND(T460="Open",ISNUMBER(Z460),Z460&lt;EOMONTH(set_AsAt,-1)+1),3,0)</f>
        <v/>
      </c>
      <c r="AG460" s="54">
        <f>IF(AND(T460="Open",U460&gt;0,U460&gt;=set_DealShare*SUMIFS($U$2:$U$601,$T$2:$T$601,"Open")),3,0)</f>
        <v/>
      </c>
      <c r="AH460" s="54">
        <f>IF(AND(T460="Open",U460&gt;=set_BigValue,W460&lt;=set_EarlyProb),2,0)</f>
        <v/>
      </c>
      <c r="AI460" s="54">
        <f>IF(AND(OR(T460="Open",T460="Won"),V460=0),2,0)</f>
        <v/>
      </c>
      <c r="AJ460" s="54">
        <f>IF(AND(T460="Won",Y460&gt;0.5,ISNUMBER(Z460),Z460&lt;EOMONTH(set_AsAt,-1)+1),3,0)</f>
        <v/>
      </c>
      <c r="AK460" s="54">
        <f>IF(AND(T460="Won",Y460&lt;-1),1,0)</f>
        <v/>
      </c>
      <c r="AL460" s="54">
        <f>SUM(AF460:AK460)</f>
        <v/>
      </c>
      <c r="AM460" s="9">
        <f>IF(AL460&gt;=set_ScoreHigh,"High",IF(AL460&gt;=set_ScoreMed,"Medium",IF(AL460&gt;0,"Low","OK")))</f>
        <v/>
      </c>
      <c r="AN460" s="54">
        <f>IF(OR(T460="Open",AND(T460="Won",ABS(Y460)&gt;0.5)),1,0)</f>
        <v/>
      </c>
      <c r="AO460" s="52">
        <f>IF(T460="Open",IF(V460=0,0,X460),IF(T460="Won",MAX(0,Y460),0))</f>
        <v/>
      </c>
      <c r="AP460" s="54">
        <f>IF(AN460=1,AL460*1E+9+U460+ROW()/1E+6,"")</f>
        <v/>
      </c>
      <c r="AQ460" s="9">
        <f>MID(IF(AF460&gt;0,"; Expected month passed - update Zoho","")&amp;IF(AG460&gt;0,"; "&amp;TEXT(U460/MAX(1,SUMIFS($U$2:$U$601,$T$2:$T$601,"Open")),"0%")&amp;" of open pipeline in one deal","")&amp;IF(AH460&gt;0,"; Large deal at an early stage","")&amp;IF(AI460&gt;0,"; No amount in Zoho","")&amp;IF(AJ460&gt;0,"; Won, invoice month passed, not fully invoiced","")&amp;IF(AK460&gt;0,"; Xero invoiced more than the deal value",""),3,300)</f>
        <v/>
      </c>
    </row>
    <row r="461">
      <c r="T461" s="9">
        <f>IFERROR(INDEX($A461:$R461,MATCH("Status",$A$1:$R$1,0)),"")&amp;""</f>
        <v/>
      </c>
      <c r="U461" s="52">
        <f>IFERROR(N(IFERROR(INDEX($A461:$R461,MATCH("Value Ex GST",$A$1:$R$1,0)),"")),0)</f>
        <v/>
      </c>
      <c r="V461" s="54">
        <f>IF(AND(T461&lt;&gt;"",IFERROR(INDEX($A461:$R461,MATCH("Value Ex GST",$A$1:$R$1,0)),"")&amp;""&lt;&gt;""),1,0)</f>
        <v/>
      </c>
      <c r="W461" s="56">
        <f>IFERROR(N(IFERROR(INDEX($A461:$R461,MATCH("Probability",$A$1:$R$1,0)),"")),0)</f>
        <v/>
      </c>
      <c r="X461" s="52">
        <f>IF(T461="Open",U461*W461,0)</f>
        <v/>
      </c>
      <c r="Y461" s="52">
        <f>IF(T461="Won",IFERROR(N(IFERROR(INDEX($A461:$R461,MATCH("Still to Invoice",$A$1:$R$1,0)),"")),0),0)</f>
        <v/>
      </c>
      <c r="Z461" s="55">
        <f>IFERROR(EOMONTH(IFERROR(INDEX($A461:$R461,MATCH("Expected Invoice Month",$A$1:$R$1,0)),""),0),"")</f>
        <v/>
      </c>
      <c r="AA461" s="9">
        <f>IFERROR(INDEX($A461:$R461,MATCH("Cost Centre",$A$1:$R$1,0)),"")&amp;""</f>
        <v/>
      </c>
      <c r="AB461" s="9">
        <f>IFERROR(INDEX($A461:$R461,MATCH("Pipeline Stage",$A$1:$R$1,0)),"")&amp;""</f>
        <v/>
      </c>
      <c r="AC461" s="9">
        <f>IFERROR(INDEX($A461:$R461,MATCH("Client",$A$1:$R$1,0)),"")&amp;""</f>
        <v/>
      </c>
      <c r="AD461" s="9">
        <f>IFERROR(INDEX($A461:$R461,MATCH("Description",$A$1:$R$1,0)),"")&amp;""</f>
        <v/>
      </c>
      <c r="AE461" s="9">
        <f>IFERROR(INDEX($A461:$R461,MATCH("Job Number",$A$1:$R$1,0)),"")&amp;""</f>
        <v/>
      </c>
      <c r="AF461" s="54">
        <f>IF(AND(T461="Open",ISNUMBER(Z461),Z461&lt;EOMONTH(set_AsAt,-1)+1),3,0)</f>
        <v/>
      </c>
      <c r="AG461" s="54">
        <f>IF(AND(T461="Open",U461&gt;0,U461&gt;=set_DealShare*SUMIFS($U$2:$U$601,$T$2:$T$601,"Open")),3,0)</f>
        <v/>
      </c>
      <c r="AH461" s="54">
        <f>IF(AND(T461="Open",U461&gt;=set_BigValue,W461&lt;=set_EarlyProb),2,0)</f>
        <v/>
      </c>
      <c r="AI461" s="54">
        <f>IF(AND(OR(T461="Open",T461="Won"),V461=0),2,0)</f>
        <v/>
      </c>
      <c r="AJ461" s="54">
        <f>IF(AND(T461="Won",Y461&gt;0.5,ISNUMBER(Z461),Z461&lt;EOMONTH(set_AsAt,-1)+1),3,0)</f>
        <v/>
      </c>
      <c r="AK461" s="54">
        <f>IF(AND(T461="Won",Y461&lt;-1),1,0)</f>
        <v/>
      </c>
      <c r="AL461" s="54">
        <f>SUM(AF461:AK461)</f>
        <v/>
      </c>
      <c r="AM461" s="9">
        <f>IF(AL461&gt;=set_ScoreHigh,"High",IF(AL461&gt;=set_ScoreMed,"Medium",IF(AL461&gt;0,"Low","OK")))</f>
        <v/>
      </c>
      <c r="AN461" s="54">
        <f>IF(OR(T461="Open",AND(T461="Won",ABS(Y461)&gt;0.5)),1,0)</f>
        <v/>
      </c>
      <c r="AO461" s="52">
        <f>IF(T461="Open",IF(V461=0,0,X461),IF(T461="Won",MAX(0,Y461),0))</f>
        <v/>
      </c>
      <c r="AP461" s="54">
        <f>IF(AN461=1,AL461*1E+9+U461+ROW()/1E+6,"")</f>
        <v/>
      </c>
      <c r="AQ461" s="9">
        <f>MID(IF(AF461&gt;0,"; Expected month passed - update Zoho","")&amp;IF(AG461&gt;0,"; "&amp;TEXT(U461/MAX(1,SUMIFS($U$2:$U$601,$T$2:$T$601,"Open")),"0%")&amp;" of open pipeline in one deal","")&amp;IF(AH461&gt;0,"; Large deal at an early stage","")&amp;IF(AI461&gt;0,"; No amount in Zoho","")&amp;IF(AJ461&gt;0,"; Won, invoice month passed, not fully invoiced","")&amp;IF(AK461&gt;0,"; Xero invoiced more than the deal value",""),3,300)</f>
        <v/>
      </c>
    </row>
    <row r="462">
      <c r="T462" s="9">
        <f>IFERROR(INDEX($A462:$R462,MATCH("Status",$A$1:$R$1,0)),"")&amp;""</f>
        <v/>
      </c>
      <c r="U462" s="52">
        <f>IFERROR(N(IFERROR(INDEX($A462:$R462,MATCH("Value Ex GST",$A$1:$R$1,0)),"")),0)</f>
        <v/>
      </c>
      <c r="V462" s="54">
        <f>IF(AND(T462&lt;&gt;"",IFERROR(INDEX($A462:$R462,MATCH("Value Ex GST",$A$1:$R$1,0)),"")&amp;""&lt;&gt;""),1,0)</f>
        <v/>
      </c>
      <c r="W462" s="56">
        <f>IFERROR(N(IFERROR(INDEX($A462:$R462,MATCH("Probability",$A$1:$R$1,0)),"")),0)</f>
        <v/>
      </c>
      <c r="X462" s="52">
        <f>IF(T462="Open",U462*W462,0)</f>
        <v/>
      </c>
      <c r="Y462" s="52">
        <f>IF(T462="Won",IFERROR(N(IFERROR(INDEX($A462:$R462,MATCH("Still to Invoice",$A$1:$R$1,0)),"")),0),0)</f>
        <v/>
      </c>
      <c r="Z462" s="55">
        <f>IFERROR(EOMONTH(IFERROR(INDEX($A462:$R462,MATCH("Expected Invoice Month",$A$1:$R$1,0)),""),0),"")</f>
        <v/>
      </c>
      <c r="AA462" s="9">
        <f>IFERROR(INDEX($A462:$R462,MATCH("Cost Centre",$A$1:$R$1,0)),"")&amp;""</f>
        <v/>
      </c>
      <c r="AB462" s="9">
        <f>IFERROR(INDEX($A462:$R462,MATCH("Pipeline Stage",$A$1:$R$1,0)),"")&amp;""</f>
        <v/>
      </c>
      <c r="AC462" s="9">
        <f>IFERROR(INDEX($A462:$R462,MATCH("Client",$A$1:$R$1,0)),"")&amp;""</f>
        <v/>
      </c>
      <c r="AD462" s="9">
        <f>IFERROR(INDEX($A462:$R462,MATCH("Description",$A$1:$R$1,0)),"")&amp;""</f>
        <v/>
      </c>
      <c r="AE462" s="9">
        <f>IFERROR(INDEX($A462:$R462,MATCH("Job Number",$A$1:$R$1,0)),"")&amp;""</f>
        <v/>
      </c>
      <c r="AF462" s="54">
        <f>IF(AND(T462="Open",ISNUMBER(Z462),Z462&lt;EOMONTH(set_AsAt,-1)+1),3,0)</f>
        <v/>
      </c>
      <c r="AG462" s="54">
        <f>IF(AND(T462="Open",U462&gt;0,U462&gt;=set_DealShare*SUMIFS($U$2:$U$601,$T$2:$T$601,"Open")),3,0)</f>
        <v/>
      </c>
      <c r="AH462" s="54">
        <f>IF(AND(T462="Open",U462&gt;=set_BigValue,W462&lt;=set_EarlyProb),2,0)</f>
        <v/>
      </c>
      <c r="AI462" s="54">
        <f>IF(AND(OR(T462="Open",T462="Won"),V462=0),2,0)</f>
        <v/>
      </c>
      <c r="AJ462" s="54">
        <f>IF(AND(T462="Won",Y462&gt;0.5,ISNUMBER(Z462),Z462&lt;EOMONTH(set_AsAt,-1)+1),3,0)</f>
        <v/>
      </c>
      <c r="AK462" s="54">
        <f>IF(AND(T462="Won",Y462&lt;-1),1,0)</f>
        <v/>
      </c>
      <c r="AL462" s="54">
        <f>SUM(AF462:AK462)</f>
        <v/>
      </c>
      <c r="AM462" s="9">
        <f>IF(AL462&gt;=set_ScoreHigh,"High",IF(AL462&gt;=set_ScoreMed,"Medium",IF(AL462&gt;0,"Low","OK")))</f>
        <v/>
      </c>
      <c r="AN462" s="54">
        <f>IF(OR(T462="Open",AND(T462="Won",ABS(Y462)&gt;0.5)),1,0)</f>
        <v/>
      </c>
      <c r="AO462" s="52">
        <f>IF(T462="Open",IF(V462=0,0,X462),IF(T462="Won",MAX(0,Y462),0))</f>
        <v/>
      </c>
      <c r="AP462" s="54">
        <f>IF(AN462=1,AL462*1E+9+U462+ROW()/1E+6,"")</f>
        <v/>
      </c>
      <c r="AQ462" s="9">
        <f>MID(IF(AF462&gt;0,"; Expected month passed - update Zoho","")&amp;IF(AG462&gt;0,"; "&amp;TEXT(U462/MAX(1,SUMIFS($U$2:$U$601,$T$2:$T$601,"Open")),"0%")&amp;" of open pipeline in one deal","")&amp;IF(AH462&gt;0,"; Large deal at an early stage","")&amp;IF(AI462&gt;0,"; No amount in Zoho","")&amp;IF(AJ462&gt;0,"; Won, invoice month passed, not fully invoiced","")&amp;IF(AK462&gt;0,"; Xero invoiced more than the deal value",""),3,300)</f>
        <v/>
      </c>
    </row>
    <row r="463">
      <c r="T463" s="9">
        <f>IFERROR(INDEX($A463:$R463,MATCH("Status",$A$1:$R$1,0)),"")&amp;""</f>
        <v/>
      </c>
      <c r="U463" s="52">
        <f>IFERROR(N(IFERROR(INDEX($A463:$R463,MATCH("Value Ex GST",$A$1:$R$1,0)),"")),0)</f>
        <v/>
      </c>
      <c r="V463" s="54">
        <f>IF(AND(T463&lt;&gt;"",IFERROR(INDEX($A463:$R463,MATCH("Value Ex GST",$A$1:$R$1,0)),"")&amp;""&lt;&gt;""),1,0)</f>
        <v/>
      </c>
      <c r="W463" s="56">
        <f>IFERROR(N(IFERROR(INDEX($A463:$R463,MATCH("Probability",$A$1:$R$1,0)),"")),0)</f>
        <v/>
      </c>
      <c r="X463" s="52">
        <f>IF(T463="Open",U463*W463,0)</f>
        <v/>
      </c>
      <c r="Y463" s="52">
        <f>IF(T463="Won",IFERROR(N(IFERROR(INDEX($A463:$R463,MATCH("Still to Invoice",$A$1:$R$1,0)),"")),0),0)</f>
        <v/>
      </c>
      <c r="Z463" s="55">
        <f>IFERROR(EOMONTH(IFERROR(INDEX($A463:$R463,MATCH("Expected Invoice Month",$A$1:$R$1,0)),""),0),"")</f>
        <v/>
      </c>
      <c r="AA463" s="9">
        <f>IFERROR(INDEX($A463:$R463,MATCH("Cost Centre",$A$1:$R$1,0)),"")&amp;""</f>
        <v/>
      </c>
      <c r="AB463" s="9">
        <f>IFERROR(INDEX($A463:$R463,MATCH("Pipeline Stage",$A$1:$R$1,0)),"")&amp;""</f>
        <v/>
      </c>
      <c r="AC463" s="9">
        <f>IFERROR(INDEX($A463:$R463,MATCH("Client",$A$1:$R$1,0)),"")&amp;""</f>
        <v/>
      </c>
      <c r="AD463" s="9">
        <f>IFERROR(INDEX($A463:$R463,MATCH("Description",$A$1:$R$1,0)),"")&amp;""</f>
        <v/>
      </c>
      <c r="AE463" s="9">
        <f>IFERROR(INDEX($A463:$R463,MATCH("Job Number",$A$1:$R$1,0)),"")&amp;""</f>
        <v/>
      </c>
      <c r="AF463" s="54">
        <f>IF(AND(T463="Open",ISNUMBER(Z463),Z463&lt;EOMONTH(set_AsAt,-1)+1),3,0)</f>
        <v/>
      </c>
      <c r="AG463" s="54">
        <f>IF(AND(T463="Open",U463&gt;0,U463&gt;=set_DealShare*SUMIFS($U$2:$U$601,$T$2:$T$601,"Open")),3,0)</f>
        <v/>
      </c>
      <c r="AH463" s="54">
        <f>IF(AND(T463="Open",U463&gt;=set_BigValue,W463&lt;=set_EarlyProb),2,0)</f>
        <v/>
      </c>
      <c r="AI463" s="54">
        <f>IF(AND(OR(T463="Open",T463="Won"),V463=0),2,0)</f>
        <v/>
      </c>
      <c r="AJ463" s="54">
        <f>IF(AND(T463="Won",Y463&gt;0.5,ISNUMBER(Z463),Z463&lt;EOMONTH(set_AsAt,-1)+1),3,0)</f>
        <v/>
      </c>
      <c r="AK463" s="54">
        <f>IF(AND(T463="Won",Y463&lt;-1),1,0)</f>
        <v/>
      </c>
      <c r="AL463" s="54">
        <f>SUM(AF463:AK463)</f>
        <v/>
      </c>
      <c r="AM463" s="9">
        <f>IF(AL463&gt;=set_ScoreHigh,"High",IF(AL463&gt;=set_ScoreMed,"Medium",IF(AL463&gt;0,"Low","OK")))</f>
        <v/>
      </c>
      <c r="AN463" s="54">
        <f>IF(OR(T463="Open",AND(T463="Won",ABS(Y463)&gt;0.5)),1,0)</f>
        <v/>
      </c>
      <c r="AO463" s="52">
        <f>IF(T463="Open",IF(V463=0,0,X463),IF(T463="Won",MAX(0,Y463),0))</f>
        <v/>
      </c>
      <c r="AP463" s="54">
        <f>IF(AN463=1,AL463*1E+9+U463+ROW()/1E+6,"")</f>
        <v/>
      </c>
      <c r="AQ463" s="9">
        <f>MID(IF(AF463&gt;0,"; Expected month passed - update Zoho","")&amp;IF(AG463&gt;0,"; "&amp;TEXT(U463/MAX(1,SUMIFS($U$2:$U$601,$T$2:$T$601,"Open")),"0%")&amp;" of open pipeline in one deal","")&amp;IF(AH463&gt;0,"; Large deal at an early stage","")&amp;IF(AI463&gt;0,"; No amount in Zoho","")&amp;IF(AJ463&gt;0,"; Won, invoice month passed, not fully invoiced","")&amp;IF(AK463&gt;0,"; Xero invoiced more than the deal value",""),3,300)</f>
        <v/>
      </c>
    </row>
    <row r="464">
      <c r="T464" s="9">
        <f>IFERROR(INDEX($A464:$R464,MATCH("Status",$A$1:$R$1,0)),"")&amp;""</f>
        <v/>
      </c>
      <c r="U464" s="52">
        <f>IFERROR(N(IFERROR(INDEX($A464:$R464,MATCH("Value Ex GST",$A$1:$R$1,0)),"")),0)</f>
        <v/>
      </c>
      <c r="V464" s="54">
        <f>IF(AND(T464&lt;&gt;"",IFERROR(INDEX($A464:$R464,MATCH("Value Ex GST",$A$1:$R$1,0)),"")&amp;""&lt;&gt;""),1,0)</f>
        <v/>
      </c>
      <c r="W464" s="56">
        <f>IFERROR(N(IFERROR(INDEX($A464:$R464,MATCH("Probability",$A$1:$R$1,0)),"")),0)</f>
        <v/>
      </c>
      <c r="X464" s="52">
        <f>IF(T464="Open",U464*W464,0)</f>
        <v/>
      </c>
      <c r="Y464" s="52">
        <f>IF(T464="Won",IFERROR(N(IFERROR(INDEX($A464:$R464,MATCH("Still to Invoice",$A$1:$R$1,0)),"")),0),0)</f>
        <v/>
      </c>
      <c r="Z464" s="55">
        <f>IFERROR(EOMONTH(IFERROR(INDEX($A464:$R464,MATCH("Expected Invoice Month",$A$1:$R$1,0)),""),0),"")</f>
        <v/>
      </c>
      <c r="AA464" s="9">
        <f>IFERROR(INDEX($A464:$R464,MATCH("Cost Centre",$A$1:$R$1,0)),"")&amp;""</f>
        <v/>
      </c>
      <c r="AB464" s="9">
        <f>IFERROR(INDEX($A464:$R464,MATCH("Pipeline Stage",$A$1:$R$1,0)),"")&amp;""</f>
        <v/>
      </c>
      <c r="AC464" s="9">
        <f>IFERROR(INDEX($A464:$R464,MATCH("Client",$A$1:$R$1,0)),"")&amp;""</f>
        <v/>
      </c>
      <c r="AD464" s="9">
        <f>IFERROR(INDEX($A464:$R464,MATCH("Description",$A$1:$R$1,0)),"")&amp;""</f>
        <v/>
      </c>
      <c r="AE464" s="9">
        <f>IFERROR(INDEX($A464:$R464,MATCH("Job Number",$A$1:$R$1,0)),"")&amp;""</f>
        <v/>
      </c>
      <c r="AF464" s="54">
        <f>IF(AND(T464="Open",ISNUMBER(Z464),Z464&lt;EOMONTH(set_AsAt,-1)+1),3,0)</f>
        <v/>
      </c>
      <c r="AG464" s="54">
        <f>IF(AND(T464="Open",U464&gt;0,U464&gt;=set_DealShare*SUMIFS($U$2:$U$601,$T$2:$T$601,"Open")),3,0)</f>
        <v/>
      </c>
      <c r="AH464" s="54">
        <f>IF(AND(T464="Open",U464&gt;=set_BigValue,W464&lt;=set_EarlyProb),2,0)</f>
        <v/>
      </c>
      <c r="AI464" s="54">
        <f>IF(AND(OR(T464="Open",T464="Won"),V464=0),2,0)</f>
        <v/>
      </c>
      <c r="AJ464" s="54">
        <f>IF(AND(T464="Won",Y464&gt;0.5,ISNUMBER(Z464),Z464&lt;EOMONTH(set_AsAt,-1)+1),3,0)</f>
        <v/>
      </c>
      <c r="AK464" s="54">
        <f>IF(AND(T464="Won",Y464&lt;-1),1,0)</f>
        <v/>
      </c>
      <c r="AL464" s="54">
        <f>SUM(AF464:AK464)</f>
        <v/>
      </c>
      <c r="AM464" s="9">
        <f>IF(AL464&gt;=set_ScoreHigh,"High",IF(AL464&gt;=set_ScoreMed,"Medium",IF(AL464&gt;0,"Low","OK")))</f>
        <v/>
      </c>
      <c r="AN464" s="54">
        <f>IF(OR(T464="Open",AND(T464="Won",ABS(Y464)&gt;0.5)),1,0)</f>
        <v/>
      </c>
      <c r="AO464" s="52">
        <f>IF(T464="Open",IF(V464=0,0,X464),IF(T464="Won",MAX(0,Y464),0))</f>
        <v/>
      </c>
      <c r="AP464" s="54">
        <f>IF(AN464=1,AL464*1E+9+U464+ROW()/1E+6,"")</f>
        <v/>
      </c>
      <c r="AQ464" s="9">
        <f>MID(IF(AF464&gt;0,"; Expected month passed - update Zoho","")&amp;IF(AG464&gt;0,"; "&amp;TEXT(U464/MAX(1,SUMIFS($U$2:$U$601,$T$2:$T$601,"Open")),"0%")&amp;" of open pipeline in one deal","")&amp;IF(AH464&gt;0,"; Large deal at an early stage","")&amp;IF(AI464&gt;0,"; No amount in Zoho","")&amp;IF(AJ464&gt;0,"; Won, invoice month passed, not fully invoiced","")&amp;IF(AK464&gt;0,"; Xero invoiced more than the deal value",""),3,300)</f>
        <v/>
      </c>
    </row>
    <row r="465">
      <c r="T465" s="9">
        <f>IFERROR(INDEX($A465:$R465,MATCH("Status",$A$1:$R$1,0)),"")&amp;""</f>
        <v/>
      </c>
      <c r="U465" s="52">
        <f>IFERROR(N(IFERROR(INDEX($A465:$R465,MATCH("Value Ex GST",$A$1:$R$1,0)),"")),0)</f>
        <v/>
      </c>
      <c r="V465" s="54">
        <f>IF(AND(T465&lt;&gt;"",IFERROR(INDEX($A465:$R465,MATCH("Value Ex GST",$A$1:$R$1,0)),"")&amp;""&lt;&gt;""),1,0)</f>
        <v/>
      </c>
      <c r="W465" s="56">
        <f>IFERROR(N(IFERROR(INDEX($A465:$R465,MATCH("Probability",$A$1:$R$1,0)),"")),0)</f>
        <v/>
      </c>
      <c r="X465" s="52">
        <f>IF(T465="Open",U465*W465,0)</f>
        <v/>
      </c>
      <c r="Y465" s="52">
        <f>IF(T465="Won",IFERROR(N(IFERROR(INDEX($A465:$R465,MATCH("Still to Invoice",$A$1:$R$1,0)),"")),0),0)</f>
        <v/>
      </c>
      <c r="Z465" s="55">
        <f>IFERROR(EOMONTH(IFERROR(INDEX($A465:$R465,MATCH("Expected Invoice Month",$A$1:$R$1,0)),""),0),"")</f>
        <v/>
      </c>
      <c r="AA465" s="9">
        <f>IFERROR(INDEX($A465:$R465,MATCH("Cost Centre",$A$1:$R$1,0)),"")&amp;""</f>
        <v/>
      </c>
      <c r="AB465" s="9">
        <f>IFERROR(INDEX($A465:$R465,MATCH("Pipeline Stage",$A$1:$R$1,0)),"")&amp;""</f>
        <v/>
      </c>
      <c r="AC465" s="9">
        <f>IFERROR(INDEX($A465:$R465,MATCH("Client",$A$1:$R$1,0)),"")&amp;""</f>
        <v/>
      </c>
      <c r="AD465" s="9">
        <f>IFERROR(INDEX($A465:$R465,MATCH("Description",$A$1:$R$1,0)),"")&amp;""</f>
        <v/>
      </c>
      <c r="AE465" s="9">
        <f>IFERROR(INDEX($A465:$R465,MATCH("Job Number",$A$1:$R$1,0)),"")&amp;""</f>
        <v/>
      </c>
      <c r="AF465" s="54">
        <f>IF(AND(T465="Open",ISNUMBER(Z465),Z465&lt;EOMONTH(set_AsAt,-1)+1),3,0)</f>
        <v/>
      </c>
      <c r="AG465" s="54">
        <f>IF(AND(T465="Open",U465&gt;0,U465&gt;=set_DealShare*SUMIFS($U$2:$U$601,$T$2:$T$601,"Open")),3,0)</f>
        <v/>
      </c>
      <c r="AH465" s="54">
        <f>IF(AND(T465="Open",U465&gt;=set_BigValue,W465&lt;=set_EarlyProb),2,0)</f>
        <v/>
      </c>
      <c r="AI465" s="54">
        <f>IF(AND(OR(T465="Open",T465="Won"),V465=0),2,0)</f>
        <v/>
      </c>
      <c r="AJ465" s="54">
        <f>IF(AND(T465="Won",Y465&gt;0.5,ISNUMBER(Z465),Z465&lt;EOMONTH(set_AsAt,-1)+1),3,0)</f>
        <v/>
      </c>
      <c r="AK465" s="54">
        <f>IF(AND(T465="Won",Y465&lt;-1),1,0)</f>
        <v/>
      </c>
      <c r="AL465" s="54">
        <f>SUM(AF465:AK465)</f>
        <v/>
      </c>
      <c r="AM465" s="9">
        <f>IF(AL465&gt;=set_ScoreHigh,"High",IF(AL465&gt;=set_ScoreMed,"Medium",IF(AL465&gt;0,"Low","OK")))</f>
        <v/>
      </c>
      <c r="AN465" s="54">
        <f>IF(OR(T465="Open",AND(T465="Won",ABS(Y465)&gt;0.5)),1,0)</f>
        <v/>
      </c>
      <c r="AO465" s="52">
        <f>IF(T465="Open",IF(V465=0,0,X465),IF(T465="Won",MAX(0,Y465),0))</f>
        <v/>
      </c>
      <c r="AP465" s="54">
        <f>IF(AN465=1,AL465*1E+9+U465+ROW()/1E+6,"")</f>
        <v/>
      </c>
      <c r="AQ465" s="9">
        <f>MID(IF(AF465&gt;0,"; Expected month passed - update Zoho","")&amp;IF(AG465&gt;0,"; "&amp;TEXT(U465/MAX(1,SUMIFS($U$2:$U$601,$T$2:$T$601,"Open")),"0%")&amp;" of open pipeline in one deal","")&amp;IF(AH465&gt;0,"; Large deal at an early stage","")&amp;IF(AI465&gt;0,"; No amount in Zoho","")&amp;IF(AJ465&gt;0,"; Won, invoice month passed, not fully invoiced","")&amp;IF(AK465&gt;0,"; Xero invoiced more than the deal value",""),3,300)</f>
        <v/>
      </c>
    </row>
    <row r="466">
      <c r="T466" s="9">
        <f>IFERROR(INDEX($A466:$R466,MATCH("Status",$A$1:$R$1,0)),"")&amp;""</f>
        <v/>
      </c>
      <c r="U466" s="52">
        <f>IFERROR(N(IFERROR(INDEX($A466:$R466,MATCH("Value Ex GST",$A$1:$R$1,0)),"")),0)</f>
        <v/>
      </c>
      <c r="V466" s="54">
        <f>IF(AND(T466&lt;&gt;"",IFERROR(INDEX($A466:$R466,MATCH("Value Ex GST",$A$1:$R$1,0)),"")&amp;""&lt;&gt;""),1,0)</f>
        <v/>
      </c>
      <c r="W466" s="56">
        <f>IFERROR(N(IFERROR(INDEX($A466:$R466,MATCH("Probability",$A$1:$R$1,0)),"")),0)</f>
        <v/>
      </c>
      <c r="X466" s="52">
        <f>IF(T466="Open",U466*W466,0)</f>
        <v/>
      </c>
      <c r="Y466" s="52">
        <f>IF(T466="Won",IFERROR(N(IFERROR(INDEX($A466:$R466,MATCH("Still to Invoice",$A$1:$R$1,0)),"")),0),0)</f>
        <v/>
      </c>
      <c r="Z466" s="55">
        <f>IFERROR(EOMONTH(IFERROR(INDEX($A466:$R466,MATCH("Expected Invoice Month",$A$1:$R$1,0)),""),0),"")</f>
        <v/>
      </c>
      <c r="AA466" s="9">
        <f>IFERROR(INDEX($A466:$R466,MATCH("Cost Centre",$A$1:$R$1,0)),"")&amp;""</f>
        <v/>
      </c>
      <c r="AB466" s="9">
        <f>IFERROR(INDEX($A466:$R466,MATCH("Pipeline Stage",$A$1:$R$1,0)),"")&amp;""</f>
        <v/>
      </c>
      <c r="AC466" s="9">
        <f>IFERROR(INDEX($A466:$R466,MATCH("Client",$A$1:$R$1,0)),"")&amp;""</f>
        <v/>
      </c>
      <c r="AD466" s="9">
        <f>IFERROR(INDEX($A466:$R466,MATCH("Description",$A$1:$R$1,0)),"")&amp;""</f>
        <v/>
      </c>
      <c r="AE466" s="9">
        <f>IFERROR(INDEX($A466:$R466,MATCH("Job Number",$A$1:$R$1,0)),"")&amp;""</f>
        <v/>
      </c>
      <c r="AF466" s="54">
        <f>IF(AND(T466="Open",ISNUMBER(Z466),Z466&lt;EOMONTH(set_AsAt,-1)+1),3,0)</f>
        <v/>
      </c>
      <c r="AG466" s="54">
        <f>IF(AND(T466="Open",U466&gt;0,U466&gt;=set_DealShare*SUMIFS($U$2:$U$601,$T$2:$T$601,"Open")),3,0)</f>
        <v/>
      </c>
      <c r="AH466" s="54">
        <f>IF(AND(T466="Open",U466&gt;=set_BigValue,W466&lt;=set_EarlyProb),2,0)</f>
        <v/>
      </c>
      <c r="AI466" s="54">
        <f>IF(AND(OR(T466="Open",T466="Won"),V466=0),2,0)</f>
        <v/>
      </c>
      <c r="AJ466" s="54">
        <f>IF(AND(T466="Won",Y466&gt;0.5,ISNUMBER(Z466),Z466&lt;EOMONTH(set_AsAt,-1)+1),3,0)</f>
        <v/>
      </c>
      <c r="AK466" s="54">
        <f>IF(AND(T466="Won",Y466&lt;-1),1,0)</f>
        <v/>
      </c>
      <c r="AL466" s="54">
        <f>SUM(AF466:AK466)</f>
        <v/>
      </c>
      <c r="AM466" s="9">
        <f>IF(AL466&gt;=set_ScoreHigh,"High",IF(AL466&gt;=set_ScoreMed,"Medium",IF(AL466&gt;0,"Low","OK")))</f>
        <v/>
      </c>
      <c r="AN466" s="54">
        <f>IF(OR(T466="Open",AND(T466="Won",ABS(Y466)&gt;0.5)),1,0)</f>
        <v/>
      </c>
      <c r="AO466" s="52">
        <f>IF(T466="Open",IF(V466=0,0,X466),IF(T466="Won",MAX(0,Y466),0))</f>
        <v/>
      </c>
      <c r="AP466" s="54">
        <f>IF(AN466=1,AL466*1E+9+U466+ROW()/1E+6,"")</f>
        <v/>
      </c>
      <c r="AQ466" s="9">
        <f>MID(IF(AF466&gt;0,"; Expected month passed - update Zoho","")&amp;IF(AG466&gt;0,"; "&amp;TEXT(U466/MAX(1,SUMIFS($U$2:$U$601,$T$2:$T$601,"Open")),"0%")&amp;" of open pipeline in one deal","")&amp;IF(AH466&gt;0,"; Large deal at an early stage","")&amp;IF(AI466&gt;0,"; No amount in Zoho","")&amp;IF(AJ466&gt;0,"; Won, invoice month passed, not fully invoiced","")&amp;IF(AK466&gt;0,"; Xero invoiced more than the deal value",""),3,300)</f>
        <v/>
      </c>
    </row>
    <row r="467">
      <c r="T467" s="9">
        <f>IFERROR(INDEX($A467:$R467,MATCH("Status",$A$1:$R$1,0)),"")&amp;""</f>
        <v/>
      </c>
      <c r="U467" s="52">
        <f>IFERROR(N(IFERROR(INDEX($A467:$R467,MATCH("Value Ex GST",$A$1:$R$1,0)),"")),0)</f>
        <v/>
      </c>
      <c r="V467" s="54">
        <f>IF(AND(T467&lt;&gt;"",IFERROR(INDEX($A467:$R467,MATCH("Value Ex GST",$A$1:$R$1,0)),"")&amp;""&lt;&gt;""),1,0)</f>
        <v/>
      </c>
      <c r="W467" s="56">
        <f>IFERROR(N(IFERROR(INDEX($A467:$R467,MATCH("Probability",$A$1:$R$1,0)),"")),0)</f>
        <v/>
      </c>
      <c r="X467" s="52">
        <f>IF(T467="Open",U467*W467,0)</f>
        <v/>
      </c>
      <c r="Y467" s="52">
        <f>IF(T467="Won",IFERROR(N(IFERROR(INDEX($A467:$R467,MATCH("Still to Invoice",$A$1:$R$1,0)),"")),0),0)</f>
        <v/>
      </c>
      <c r="Z467" s="55">
        <f>IFERROR(EOMONTH(IFERROR(INDEX($A467:$R467,MATCH("Expected Invoice Month",$A$1:$R$1,0)),""),0),"")</f>
        <v/>
      </c>
      <c r="AA467" s="9">
        <f>IFERROR(INDEX($A467:$R467,MATCH("Cost Centre",$A$1:$R$1,0)),"")&amp;""</f>
        <v/>
      </c>
      <c r="AB467" s="9">
        <f>IFERROR(INDEX($A467:$R467,MATCH("Pipeline Stage",$A$1:$R$1,0)),"")&amp;""</f>
        <v/>
      </c>
      <c r="AC467" s="9">
        <f>IFERROR(INDEX($A467:$R467,MATCH("Client",$A$1:$R$1,0)),"")&amp;""</f>
        <v/>
      </c>
      <c r="AD467" s="9">
        <f>IFERROR(INDEX($A467:$R467,MATCH("Description",$A$1:$R$1,0)),"")&amp;""</f>
        <v/>
      </c>
      <c r="AE467" s="9">
        <f>IFERROR(INDEX($A467:$R467,MATCH("Job Number",$A$1:$R$1,0)),"")&amp;""</f>
        <v/>
      </c>
      <c r="AF467" s="54">
        <f>IF(AND(T467="Open",ISNUMBER(Z467),Z467&lt;EOMONTH(set_AsAt,-1)+1),3,0)</f>
        <v/>
      </c>
      <c r="AG467" s="54">
        <f>IF(AND(T467="Open",U467&gt;0,U467&gt;=set_DealShare*SUMIFS($U$2:$U$601,$T$2:$T$601,"Open")),3,0)</f>
        <v/>
      </c>
      <c r="AH467" s="54">
        <f>IF(AND(T467="Open",U467&gt;=set_BigValue,W467&lt;=set_EarlyProb),2,0)</f>
        <v/>
      </c>
      <c r="AI467" s="54">
        <f>IF(AND(OR(T467="Open",T467="Won"),V467=0),2,0)</f>
        <v/>
      </c>
      <c r="AJ467" s="54">
        <f>IF(AND(T467="Won",Y467&gt;0.5,ISNUMBER(Z467),Z467&lt;EOMONTH(set_AsAt,-1)+1),3,0)</f>
        <v/>
      </c>
      <c r="AK467" s="54">
        <f>IF(AND(T467="Won",Y467&lt;-1),1,0)</f>
        <v/>
      </c>
      <c r="AL467" s="54">
        <f>SUM(AF467:AK467)</f>
        <v/>
      </c>
      <c r="AM467" s="9">
        <f>IF(AL467&gt;=set_ScoreHigh,"High",IF(AL467&gt;=set_ScoreMed,"Medium",IF(AL467&gt;0,"Low","OK")))</f>
        <v/>
      </c>
      <c r="AN467" s="54">
        <f>IF(OR(T467="Open",AND(T467="Won",ABS(Y467)&gt;0.5)),1,0)</f>
        <v/>
      </c>
      <c r="AO467" s="52">
        <f>IF(T467="Open",IF(V467=0,0,X467),IF(T467="Won",MAX(0,Y467),0))</f>
        <v/>
      </c>
      <c r="AP467" s="54">
        <f>IF(AN467=1,AL467*1E+9+U467+ROW()/1E+6,"")</f>
        <v/>
      </c>
      <c r="AQ467" s="9">
        <f>MID(IF(AF467&gt;0,"; Expected month passed - update Zoho","")&amp;IF(AG467&gt;0,"; "&amp;TEXT(U467/MAX(1,SUMIFS($U$2:$U$601,$T$2:$T$601,"Open")),"0%")&amp;" of open pipeline in one deal","")&amp;IF(AH467&gt;0,"; Large deal at an early stage","")&amp;IF(AI467&gt;0,"; No amount in Zoho","")&amp;IF(AJ467&gt;0,"; Won, invoice month passed, not fully invoiced","")&amp;IF(AK467&gt;0,"; Xero invoiced more than the deal value",""),3,300)</f>
        <v/>
      </c>
    </row>
    <row r="468">
      <c r="T468" s="9">
        <f>IFERROR(INDEX($A468:$R468,MATCH("Status",$A$1:$R$1,0)),"")&amp;""</f>
        <v/>
      </c>
      <c r="U468" s="52">
        <f>IFERROR(N(IFERROR(INDEX($A468:$R468,MATCH("Value Ex GST",$A$1:$R$1,0)),"")),0)</f>
        <v/>
      </c>
      <c r="V468" s="54">
        <f>IF(AND(T468&lt;&gt;"",IFERROR(INDEX($A468:$R468,MATCH("Value Ex GST",$A$1:$R$1,0)),"")&amp;""&lt;&gt;""),1,0)</f>
        <v/>
      </c>
      <c r="W468" s="56">
        <f>IFERROR(N(IFERROR(INDEX($A468:$R468,MATCH("Probability",$A$1:$R$1,0)),"")),0)</f>
        <v/>
      </c>
      <c r="X468" s="52">
        <f>IF(T468="Open",U468*W468,0)</f>
        <v/>
      </c>
      <c r="Y468" s="52">
        <f>IF(T468="Won",IFERROR(N(IFERROR(INDEX($A468:$R468,MATCH("Still to Invoice",$A$1:$R$1,0)),"")),0),0)</f>
        <v/>
      </c>
      <c r="Z468" s="55">
        <f>IFERROR(EOMONTH(IFERROR(INDEX($A468:$R468,MATCH("Expected Invoice Month",$A$1:$R$1,0)),""),0),"")</f>
        <v/>
      </c>
      <c r="AA468" s="9">
        <f>IFERROR(INDEX($A468:$R468,MATCH("Cost Centre",$A$1:$R$1,0)),"")&amp;""</f>
        <v/>
      </c>
      <c r="AB468" s="9">
        <f>IFERROR(INDEX($A468:$R468,MATCH("Pipeline Stage",$A$1:$R$1,0)),"")&amp;""</f>
        <v/>
      </c>
      <c r="AC468" s="9">
        <f>IFERROR(INDEX($A468:$R468,MATCH("Client",$A$1:$R$1,0)),"")&amp;""</f>
        <v/>
      </c>
      <c r="AD468" s="9">
        <f>IFERROR(INDEX($A468:$R468,MATCH("Description",$A$1:$R$1,0)),"")&amp;""</f>
        <v/>
      </c>
      <c r="AE468" s="9">
        <f>IFERROR(INDEX($A468:$R468,MATCH("Job Number",$A$1:$R$1,0)),"")&amp;""</f>
        <v/>
      </c>
      <c r="AF468" s="54">
        <f>IF(AND(T468="Open",ISNUMBER(Z468),Z468&lt;EOMONTH(set_AsAt,-1)+1),3,0)</f>
        <v/>
      </c>
      <c r="AG468" s="54">
        <f>IF(AND(T468="Open",U468&gt;0,U468&gt;=set_DealShare*SUMIFS($U$2:$U$601,$T$2:$T$601,"Open")),3,0)</f>
        <v/>
      </c>
      <c r="AH468" s="54">
        <f>IF(AND(T468="Open",U468&gt;=set_BigValue,W468&lt;=set_EarlyProb),2,0)</f>
        <v/>
      </c>
      <c r="AI468" s="54">
        <f>IF(AND(OR(T468="Open",T468="Won"),V468=0),2,0)</f>
        <v/>
      </c>
      <c r="AJ468" s="54">
        <f>IF(AND(T468="Won",Y468&gt;0.5,ISNUMBER(Z468),Z468&lt;EOMONTH(set_AsAt,-1)+1),3,0)</f>
        <v/>
      </c>
      <c r="AK468" s="54">
        <f>IF(AND(T468="Won",Y468&lt;-1),1,0)</f>
        <v/>
      </c>
      <c r="AL468" s="54">
        <f>SUM(AF468:AK468)</f>
        <v/>
      </c>
      <c r="AM468" s="9">
        <f>IF(AL468&gt;=set_ScoreHigh,"High",IF(AL468&gt;=set_ScoreMed,"Medium",IF(AL468&gt;0,"Low","OK")))</f>
        <v/>
      </c>
      <c r="AN468" s="54">
        <f>IF(OR(T468="Open",AND(T468="Won",ABS(Y468)&gt;0.5)),1,0)</f>
        <v/>
      </c>
      <c r="AO468" s="52">
        <f>IF(T468="Open",IF(V468=0,0,X468),IF(T468="Won",MAX(0,Y468),0))</f>
        <v/>
      </c>
      <c r="AP468" s="54">
        <f>IF(AN468=1,AL468*1E+9+U468+ROW()/1E+6,"")</f>
        <v/>
      </c>
      <c r="AQ468" s="9">
        <f>MID(IF(AF468&gt;0,"; Expected month passed - update Zoho","")&amp;IF(AG468&gt;0,"; "&amp;TEXT(U468/MAX(1,SUMIFS($U$2:$U$601,$T$2:$T$601,"Open")),"0%")&amp;" of open pipeline in one deal","")&amp;IF(AH468&gt;0,"; Large deal at an early stage","")&amp;IF(AI468&gt;0,"; No amount in Zoho","")&amp;IF(AJ468&gt;0,"; Won, invoice month passed, not fully invoiced","")&amp;IF(AK468&gt;0,"; Xero invoiced more than the deal value",""),3,300)</f>
        <v/>
      </c>
    </row>
    <row r="469">
      <c r="T469" s="9">
        <f>IFERROR(INDEX($A469:$R469,MATCH("Status",$A$1:$R$1,0)),"")&amp;""</f>
        <v/>
      </c>
      <c r="U469" s="52">
        <f>IFERROR(N(IFERROR(INDEX($A469:$R469,MATCH("Value Ex GST",$A$1:$R$1,0)),"")),0)</f>
        <v/>
      </c>
      <c r="V469" s="54">
        <f>IF(AND(T469&lt;&gt;"",IFERROR(INDEX($A469:$R469,MATCH("Value Ex GST",$A$1:$R$1,0)),"")&amp;""&lt;&gt;""),1,0)</f>
        <v/>
      </c>
      <c r="W469" s="56">
        <f>IFERROR(N(IFERROR(INDEX($A469:$R469,MATCH("Probability",$A$1:$R$1,0)),"")),0)</f>
        <v/>
      </c>
      <c r="X469" s="52">
        <f>IF(T469="Open",U469*W469,0)</f>
        <v/>
      </c>
      <c r="Y469" s="52">
        <f>IF(T469="Won",IFERROR(N(IFERROR(INDEX($A469:$R469,MATCH("Still to Invoice",$A$1:$R$1,0)),"")),0),0)</f>
        <v/>
      </c>
      <c r="Z469" s="55">
        <f>IFERROR(EOMONTH(IFERROR(INDEX($A469:$R469,MATCH("Expected Invoice Month",$A$1:$R$1,0)),""),0),"")</f>
        <v/>
      </c>
      <c r="AA469" s="9">
        <f>IFERROR(INDEX($A469:$R469,MATCH("Cost Centre",$A$1:$R$1,0)),"")&amp;""</f>
        <v/>
      </c>
      <c r="AB469" s="9">
        <f>IFERROR(INDEX($A469:$R469,MATCH("Pipeline Stage",$A$1:$R$1,0)),"")&amp;""</f>
        <v/>
      </c>
      <c r="AC469" s="9">
        <f>IFERROR(INDEX($A469:$R469,MATCH("Client",$A$1:$R$1,0)),"")&amp;""</f>
        <v/>
      </c>
      <c r="AD469" s="9">
        <f>IFERROR(INDEX($A469:$R469,MATCH("Description",$A$1:$R$1,0)),"")&amp;""</f>
        <v/>
      </c>
      <c r="AE469" s="9">
        <f>IFERROR(INDEX($A469:$R469,MATCH("Job Number",$A$1:$R$1,0)),"")&amp;""</f>
        <v/>
      </c>
      <c r="AF469" s="54">
        <f>IF(AND(T469="Open",ISNUMBER(Z469),Z469&lt;EOMONTH(set_AsAt,-1)+1),3,0)</f>
        <v/>
      </c>
      <c r="AG469" s="54">
        <f>IF(AND(T469="Open",U469&gt;0,U469&gt;=set_DealShare*SUMIFS($U$2:$U$601,$T$2:$T$601,"Open")),3,0)</f>
        <v/>
      </c>
      <c r="AH469" s="54">
        <f>IF(AND(T469="Open",U469&gt;=set_BigValue,W469&lt;=set_EarlyProb),2,0)</f>
        <v/>
      </c>
      <c r="AI469" s="54">
        <f>IF(AND(OR(T469="Open",T469="Won"),V469=0),2,0)</f>
        <v/>
      </c>
      <c r="AJ469" s="54">
        <f>IF(AND(T469="Won",Y469&gt;0.5,ISNUMBER(Z469),Z469&lt;EOMONTH(set_AsAt,-1)+1),3,0)</f>
        <v/>
      </c>
      <c r="AK469" s="54">
        <f>IF(AND(T469="Won",Y469&lt;-1),1,0)</f>
        <v/>
      </c>
      <c r="AL469" s="54">
        <f>SUM(AF469:AK469)</f>
        <v/>
      </c>
      <c r="AM469" s="9">
        <f>IF(AL469&gt;=set_ScoreHigh,"High",IF(AL469&gt;=set_ScoreMed,"Medium",IF(AL469&gt;0,"Low","OK")))</f>
        <v/>
      </c>
      <c r="AN469" s="54">
        <f>IF(OR(T469="Open",AND(T469="Won",ABS(Y469)&gt;0.5)),1,0)</f>
        <v/>
      </c>
      <c r="AO469" s="52">
        <f>IF(T469="Open",IF(V469=0,0,X469),IF(T469="Won",MAX(0,Y469),0))</f>
        <v/>
      </c>
      <c r="AP469" s="54">
        <f>IF(AN469=1,AL469*1E+9+U469+ROW()/1E+6,"")</f>
        <v/>
      </c>
      <c r="AQ469" s="9">
        <f>MID(IF(AF469&gt;0,"; Expected month passed - update Zoho","")&amp;IF(AG469&gt;0,"; "&amp;TEXT(U469/MAX(1,SUMIFS($U$2:$U$601,$T$2:$T$601,"Open")),"0%")&amp;" of open pipeline in one deal","")&amp;IF(AH469&gt;0,"; Large deal at an early stage","")&amp;IF(AI469&gt;0,"; No amount in Zoho","")&amp;IF(AJ469&gt;0,"; Won, invoice month passed, not fully invoiced","")&amp;IF(AK469&gt;0,"; Xero invoiced more than the deal value",""),3,300)</f>
        <v/>
      </c>
    </row>
    <row r="470">
      <c r="T470" s="9">
        <f>IFERROR(INDEX($A470:$R470,MATCH("Status",$A$1:$R$1,0)),"")&amp;""</f>
        <v/>
      </c>
      <c r="U470" s="52">
        <f>IFERROR(N(IFERROR(INDEX($A470:$R470,MATCH("Value Ex GST",$A$1:$R$1,0)),"")),0)</f>
        <v/>
      </c>
      <c r="V470" s="54">
        <f>IF(AND(T470&lt;&gt;"",IFERROR(INDEX($A470:$R470,MATCH("Value Ex GST",$A$1:$R$1,0)),"")&amp;""&lt;&gt;""),1,0)</f>
        <v/>
      </c>
      <c r="W470" s="56">
        <f>IFERROR(N(IFERROR(INDEX($A470:$R470,MATCH("Probability",$A$1:$R$1,0)),"")),0)</f>
        <v/>
      </c>
      <c r="X470" s="52">
        <f>IF(T470="Open",U470*W470,0)</f>
        <v/>
      </c>
      <c r="Y470" s="52">
        <f>IF(T470="Won",IFERROR(N(IFERROR(INDEX($A470:$R470,MATCH("Still to Invoice",$A$1:$R$1,0)),"")),0),0)</f>
        <v/>
      </c>
      <c r="Z470" s="55">
        <f>IFERROR(EOMONTH(IFERROR(INDEX($A470:$R470,MATCH("Expected Invoice Month",$A$1:$R$1,0)),""),0),"")</f>
        <v/>
      </c>
      <c r="AA470" s="9">
        <f>IFERROR(INDEX($A470:$R470,MATCH("Cost Centre",$A$1:$R$1,0)),"")&amp;""</f>
        <v/>
      </c>
      <c r="AB470" s="9">
        <f>IFERROR(INDEX($A470:$R470,MATCH("Pipeline Stage",$A$1:$R$1,0)),"")&amp;""</f>
        <v/>
      </c>
      <c r="AC470" s="9">
        <f>IFERROR(INDEX($A470:$R470,MATCH("Client",$A$1:$R$1,0)),"")&amp;""</f>
        <v/>
      </c>
      <c r="AD470" s="9">
        <f>IFERROR(INDEX($A470:$R470,MATCH("Description",$A$1:$R$1,0)),"")&amp;""</f>
        <v/>
      </c>
      <c r="AE470" s="9">
        <f>IFERROR(INDEX($A470:$R470,MATCH("Job Number",$A$1:$R$1,0)),"")&amp;""</f>
        <v/>
      </c>
      <c r="AF470" s="54">
        <f>IF(AND(T470="Open",ISNUMBER(Z470),Z470&lt;EOMONTH(set_AsAt,-1)+1),3,0)</f>
        <v/>
      </c>
      <c r="AG470" s="54">
        <f>IF(AND(T470="Open",U470&gt;0,U470&gt;=set_DealShare*SUMIFS($U$2:$U$601,$T$2:$T$601,"Open")),3,0)</f>
        <v/>
      </c>
      <c r="AH470" s="54">
        <f>IF(AND(T470="Open",U470&gt;=set_BigValue,W470&lt;=set_EarlyProb),2,0)</f>
        <v/>
      </c>
      <c r="AI470" s="54">
        <f>IF(AND(OR(T470="Open",T470="Won"),V470=0),2,0)</f>
        <v/>
      </c>
      <c r="AJ470" s="54">
        <f>IF(AND(T470="Won",Y470&gt;0.5,ISNUMBER(Z470),Z470&lt;EOMONTH(set_AsAt,-1)+1),3,0)</f>
        <v/>
      </c>
      <c r="AK470" s="54">
        <f>IF(AND(T470="Won",Y470&lt;-1),1,0)</f>
        <v/>
      </c>
      <c r="AL470" s="54">
        <f>SUM(AF470:AK470)</f>
        <v/>
      </c>
      <c r="AM470" s="9">
        <f>IF(AL470&gt;=set_ScoreHigh,"High",IF(AL470&gt;=set_ScoreMed,"Medium",IF(AL470&gt;0,"Low","OK")))</f>
        <v/>
      </c>
      <c r="AN470" s="54">
        <f>IF(OR(T470="Open",AND(T470="Won",ABS(Y470)&gt;0.5)),1,0)</f>
        <v/>
      </c>
      <c r="AO470" s="52">
        <f>IF(T470="Open",IF(V470=0,0,X470),IF(T470="Won",MAX(0,Y470),0))</f>
        <v/>
      </c>
      <c r="AP470" s="54">
        <f>IF(AN470=1,AL470*1E+9+U470+ROW()/1E+6,"")</f>
        <v/>
      </c>
      <c r="AQ470" s="9">
        <f>MID(IF(AF470&gt;0,"; Expected month passed - update Zoho","")&amp;IF(AG470&gt;0,"; "&amp;TEXT(U470/MAX(1,SUMIFS($U$2:$U$601,$T$2:$T$601,"Open")),"0%")&amp;" of open pipeline in one deal","")&amp;IF(AH470&gt;0,"; Large deal at an early stage","")&amp;IF(AI470&gt;0,"; No amount in Zoho","")&amp;IF(AJ470&gt;0,"; Won, invoice month passed, not fully invoiced","")&amp;IF(AK470&gt;0,"; Xero invoiced more than the deal value",""),3,300)</f>
        <v/>
      </c>
    </row>
    <row r="471">
      <c r="T471" s="9">
        <f>IFERROR(INDEX($A471:$R471,MATCH("Status",$A$1:$R$1,0)),"")&amp;""</f>
        <v/>
      </c>
      <c r="U471" s="52">
        <f>IFERROR(N(IFERROR(INDEX($A471:$R471,MATCH("Value Ex GST",$A$1:$R$1,0)),"")),0)</f>
        <v/>
      </c>
      <c r="V471" s="54">
        <f>IF(AND(T471&lt;&gt;"",IFERROR(INDEX($A471:$R471,MATCH("Value Ex GST",$A$1:$R$1,0)),"")&amp;""&lt;&gt;""),1,0)</f>
        <v/>
      </c>
      <c r="W471" s="56">
        <f>IFERROR(N(IFERROR(INDEX($A471:$R471,MATCH("Probability",$A$1:$R$1,0)),"")),0)</f>
        <v/>
      </c>
      <c r="X471" s="52">
        <f>IF(T471="Open",U471*W471,0)</f>
        <v/>
      </c>
      <c r="Y471" s="52">
        <f>IF(T471="Won",IFERROR(N(IFERROR(INDEX($A471:$R471,MATCH("Still to Invoice",$A$1:$R$1,0)),"")),0),0)</f>
        <v/>
      </c>
      <c r="Z471" s="55">
        <f>IFERROR(EOMONTH(IFERROR(INDEX($A471:$R471,MATCH("Expected Invoice Month",$A$1:$R$1,0)),""),0),"")</f>
        <v/>
      </c>
      <c r="AA471" s="9">
        <f>IFERROR(INDEX($A471:$R471,MATCH("Cost Centre",$A$1:$R$1,0)),"")&amp;""</f>
        <v/>
      </c>
      <c r="AB471" s="9">
        <f>IFERROR(INDEX($A471:$R471,MATCH("Pipeline Stage",$A$1:$R$1,0)),"")&amp;""</f>
        <v/>
      </c>
      <c r="AC471" s="9">
        <f>IFERROR(INDEX($A471:$R471,MATCH("Client",$A$1:$R$1,0)),"")&amp;""</f>
        <v/>
      </c>
      <c r="AD471" s="9">
        <f>IFERROR(INDEX($A471:$R471,MATCH("Description",$A$1:$R$1,0)),"")&amp;""</f>
        <v/>
      </c>
      <c r="AE471" s="9">
        <f>IFERROR(INDEX($A471:$R471,MATCH("Job Number",$A$1:$R$1,0)),"")&amp;""</f>
        <v/>
      </c>
      <c r="AF471" s="54">
        <f>IF(AND(T471="Open",ISNUMBER(Z471),Z471&lt;EOMONTH(set_AsAt,-1)+1),3,0)</f>
        <v/>
      </c>
      <c r="AG471" s="54">
        <f>IF(AND(T471="Open",U471&gt;0,U471&gt;=set_DealShare*SUMIFS($U$2:$U$601,$T$2:$T$601,"Open")),3,0)</f>
        <v/>
      </c>
      <c r="AH471" s="54">
        <f>IF(AND(T471="Open",U471&gt;=set_BigValue,W471&lt;=set_EarlyProb),2,0)</f>
        <v/>
      </c>
      <c r="AI471" s="54">
        <f>IF(AND(OR(T471="Open",T471="Won"),V471=0),2,0)</f>
        <v/>
      </c>
      <c r="AJ471" s="54">
        <f>IF(AND(T471="Won",Y471&gt;0.5,ISNUMBER(Z471),Z471&lt;EOMONTH(set_AsAt,-1)+1),3,0)</f>
        <v/>
      </c>
      <c r="AK471" s="54">
        <f>IF(AND(T471="Won",Y471&lt;-1),1,0)</f>
        <v/>
      </c>
      <c r="AL471" s="54">
        <f>SUM(AF471:AK471)</f>
        <v/>
      </c>
      <c r="AM471" s="9">
        <f>IF(AL471&gt;=set_ScoreHigh,"High",IF(AL471&gt;=set_ScoreMed,"Medium",IF(AL471&gt;0,"Low","OK")))</f>
        <v/>
      </c>
      <c r="AN471" s="54">
        <f>IF(OR(T471="Open",AND(T471="Won",ABS(Y471)&gt;0.5)),1,0)</f>
        <v/>
      </c>
      <c r="AO471" s="52">
        <f>IF(T471="Open",IF(V471=0,0,X471),IF(T471="Won",MAX(0,Y471),0))</f>
        <v/>
      </c>
      <c r="AP471" s="54">
        <f>IF(AN471=1,AL471*1E+9+U471+ROW()/1E+6,"")</f>
        <v/>
      </c>
      <c r="AQ471" s="9">
        <f>MID(IF(AF471&gt;0,"; Expected month passed - update Zoho","")&amp;IF(AG471&gt;0,"; "&amp;TEXT(U471/MAX(1,SUMIFS($U$2:$U$601,$T$2:$T$601,"Open")),"0%")&amp;" of open pipeline in one deal","")&amp;IF(AH471&gt;0,"; Large deal at an early stage","")&amp;IF(AI471&gt;0,"; No amount in Zoho","")&amp;IF(AJ471&gt;0,"; Won, invoice month passed, not fully invoiced","")&amp;IF(AK471&gt;0,"; Xero invoiced more than the deal value",""),3,300)</f>
        <v/>
      </c>
    </row>
    <row r="472">
      <c r="T472" s="9">
        <f>IFERROR(INDEX($A472:$R472,MATCH("Status",$A$1:$R$1,0)),"")&amp;""</f>
        <v/>
      </c>
      <c r="U472" s="52">
        <f>IFERROR(N(IFERROR(INDEX($A472:$R472,MATCH("Value Ex GST",$A$1:$R$1,0)),"")),0)</f>
        <v/>
      </c>
      <c r="V472" s="54">
        <f>IF(AND(T472&lt;&gt;"",IFERROR(INDEX($A472:$R472,MATCH("Value Ex GST",$A$1:$R$1,0)),"")&amp;""&lt;&gt;""),1,0)</f>
        <v/>
      </c>
      <c r="W472" s="56">
        <f>IFERROR(N(IFERROR(INDEX($A472:$R472,MATCH("Probability",$A$1:$R$1,0)),"")),0)</f>
        <v/>
      </c>
      <c r="X472" s="52">
        <f>IF(T472="Open",U472*W472,0)</f>
        <v/>
      </c>
      <c r="Y472" s="52">
        <f>IF(T472="Won",IFERROR(N(IFERROR(INDEX($A472:$R472,MATCH("Still to Invoice",$A$1:$R$1,0)),"")),0),0)</f>
        <v/>
      </c>
      <c r="Z472" s="55">
        <f>IFERROR(EOMONTH(IFERROR(INDEX($A472:$R472,MATCH("Expected Invoice Month",$A$1:$R$1,0)),""),0),"")</f>
        <v/>
      </c>
      <c r="AA472" s="9">
        <f>IFERROR(INDEX($A472:$R472,MATCH("Cost Centre",$A$1:$R$1,0)),"")&amp;""</f>
        <v/>
      </c>
      <c r="AB472" s="9">
        <f>IFERROR(INDEX($A472:$R472,MATCH("Pipeline Stage",$A$1:$R$1,0)),"")&amp;""</f>
        <v/>
      </c>
      <c r="AC472" s="9">
        <f>IFERROR(INDEX($A472:$R472,MATCH("Client",$A$1:$R$1,0)),"")&amp;""</f>
        <v/>
      </c>
      <c r="AD472" s="9">
        <f>IFERROR(INDEX($A472:$R472,MATCH("Description",$A$1:$R$1,0)),"")&amp;""</f>
        <v/>
      </c>
      <c r="AE472" s="9">
        <f>IFERROR(INDEX($A472:$R472,MATCH("Job Number",$A$1:$R$1,0)),"")&amp;""</f>
        <v/>
      </c>
      <c r="AF472" s="54">
        <f>IF(AND(T472="Open",ISNUMBER(Z472),Z472&lt;EOMONTH(set_AsAt,-1)+1),3,0)</f>
        <v/>
      </c>
      <c r="AG472" s="54">
        <f>IF(AND(T472="Open",U472&gt;0,U472&gt;=set_DealShare*SUMIFS($U$2:$U$601,$T$2:$T$601,"Open")),3,0)</f>
        <v/>
      </c>
      <c r="AH472" s="54">
        <f>IF(AND(T472="Open",U472&gt;=set_BigValue,W472&lt;=set_EarlyProb),2,0)</f>
        <v/>
      </c>
      <c r="AI472" s="54">
        <f>IF(AND(OR(T472="Open",T472="Won"),V472=0),2,0)</f>
        <v/>
      </c>
      <c r="AJ472" s="54">
        <f>IF(AND(T472="Won",Y472&gt;0.5,ISNUMBER(Z472),Z472&lt;EOMONTH(set_AsAt,-1)+1),3,0)</f>
        <v/>
      </c>
      <c r="AK472" s="54">
        <f>IF(AND(T472="Won",Y472&lt;-1),1,0)</f>
        <v/>
      </c>
      <c r="AL472" s="54">
        <f>SUM(AF472:AK472)</f>
        <v/>
      </c>
      <c r="AM472" s="9">
        <f>IF(AL472&gt;=set_ScoreHigh,"High",IF(AL472&gt;=set_ScoreMed,"Medium",IF(AL472&gt;0,"Low","OK")))</f>
        <v/>
      </c>
      <c r="AN472" s="54">
        <f>IF(OR(T472="Open",AND(T472="Won",ABS(Y472)&gt;0.5)),1,0)</f>
        <v/>
      </c>
      <c r="AO472" s="52">
        <f>IF(T472="Open",IF(V472=0,0,X472),IF(T472="Won",MAX(0,Y472),0))</f>
        <v/>
      </c>
      <c r="AP472" s="54">
        <f>IF(AN472=1,AL472*1E+9+U472+ROW()/1E+6,"")</f>
        <v/>
      </c>
      <c r="AQ472" s="9">
        <f>MID(IF(AF472&gt;0,"; Expected month passed - update Zoho","")&amp;IF(AG472&gt;0,"; "&amp;TEXT(U472/MAX(1,SUMIFS($U$2:$U$601,$T$2:$T$601,"Open")),"0%")&amp;" of open pipeline in one deal","")&amp;IF(AH472&gt;0,"; Large deal at an early stage","")&amp;IF(AI472&gt;0,"; No amount in Zoho","")&amp;IF(AJ472&gt;0,"; Won, invoice month passed, not fully invoiced","")&amp;IF(AK472&gt;0,"; Xero invoiced more than the deal value",""),3,300)</f>
        <v/>
      </c>
    </row>
    <row r="473">
      <c r="T473" s="9">
        <f>IFERROR(INDEX($A473:$R473,MATCH("Status",$A$1:$R$1,0)),"")&amp;""</f>
        <v/>
      </c>
      <c r="U473" s="52">
        <f>IFERROR(N(IFERROR(INDEX($A473:$R473,MATCH("Value Ex GST",$A$1:$R$1,0)),"")),0)</f>
        <v/>
      </c>
      <c r="V473" s="54">
        <f>IF(AND(T473&lt;&gt;"",IFERROR(INDEX($A473:$R473,MATCH("Value Ex GST",$A$1:$R$1,0)),"")&amp;""&lt;&gt;""),1,0)</f>
        <v/>
      </c>
      <c r="W473" s="56">
        <f>IFERROR(N(IFERROR(INDEX($A473:$R473,MATCH("Probability",$A$1:$R$1,0)),"")),0)</f>
        <v/>
      </c>
      <c r="X473" s="52">
        <f>IF(T473="Open",U473*W473,0)</f>
        <v/>
      </c>
      <c r="Y473" s="52">
        <f>IF(T473="Won",IFERROR(N(IFERROR(INDEX($A473:$R473,MATCH("Still to Invoice",$A$1:$R$1,0)),"")),0),0)</f>
        <v/>
      </c>
      <c r="Z473" s="55">
        <f>IFERROR(EOMONTH(IFERROR(INDEX($A473:$R473,MATCH("Expected Invoice Month",$A$1:$R$1,0)),""),0),"")</f>
        <v/>
      </c>
      <c r="AA473" s="9">
        <f>IFERROR(INDEX($A473:$R473,MATCH("Cost Centre",$A$1:$R$1,0)),"")&amp;""</f>
        <v/>
      </c>
      <c r="AB473" s="9">
        <f>IFERROR(INDEX($A473:$R473,MATCH("Pipeline Stage",$A$1:$R$1,0)),"")&amp;""</f>
        <v/>
      </c>
      <c r="AC473" s="9">
        <f>IFERROR(INDEX($A473:$R473,MATCH("Client",$A$1:$R$1,0)),"")&amp;""</f>
        <v/>
      </c>
      <c r="AD473" s="9">
        <f>IFERROR(INDEX($A473:$R473,MATCH("Description",$A$1:$R$1,0)),"")&amp;""</f>
        <v/>
      </c>
      <c r="AE473" s="9">
        <f>IFERROR(INDEX($A473:$R473,MATCH("Job Number",$A$1:$R$1,0)),"")&amp;""</f>
        <v/>
      </c>
      <c r="AF473" s="54">
        <f>IF(AND(T473="Open",ISNUMBER(Z473),Z473&lt;EOMONTH(set_AsAt,-1)+1),3,0)</f>
        <v/>
      </c>
      <c r="AG473" s="54">
        <f>IF(AND(T473="Open",U473&gt;0,U473&gt;=set_DealShare*SUMIFS($U$2:$U$601,$T$2:$T$601,"Open")),3,0)</f>
        <v/>
      </c>
      <c r="AH473" s="54">
        <f>IF(AND(T473="Open",U473&gt;=set_BigValue,W473&lt;=set_EarlyProb),2,0)</f>
        <v/>
      </c>
      <c r="AI473" s="54">
        <f>IF(AND(OR(T473="Open",T473="Won"),V473=0),2,0)</f>
        <v/>
      </c>
      <c r="AJ473" s="54">
        <f>IF(AND(T473="Won",Y473&gt;0.5,ISNUMBER(Z473),Z473&lt;EOMONTH(set_AsAt,-1)+1),3,0)</f>
        <v/>
      </c>
      <c r="AK473" s="54">
        <f>IF(AND(T473="Won",Y473&lt;-1),1,0)</f>
        <v/>
      </c>
      <c r="AL473" s="54">
        <f>SUM(AF473:AK473)</f>
        <v/>
      </c>
      <c r="AM473" s="9">
        <f>IF(AL473&gt;=set_ScoreHigh,"High",IF(AL473&gt;=set_ScoreMed,"Medium",IF(AL473&gt;0,"Low","OK")))</f>
        <v/>
      </c>
      <c r="AN473" s="54">
        <f>IF(OR(T473="Open",AND(T473="Won",ABS(Y473)&gt;0.5)),1,0)</f>
        <v/>
      </c>
      <c r="AO473" s="52">
        <f>IF(T473="Open",IF(V473=0,0,X473),IF(T473="Won",MAX(0,Y473),0))</f>
        <v/>
      </c>
      <c r="AP473" s="54">
        <f>IF(AN473=1,AL473*1E+9+U473+ROW()/1E+6,"")</f>
        <v/>
      </c>
      <c r="AQ473" s="9">
        <f>MID(IF(AF473&gt;0,"; Expected month passed - update Zoho","")&amp;IF(AG473&gt;0,"; "&amp;TEXT(U473/MAX(1,SUMIFS($U$2:$U$601,$T$2:$T$601,"Open")),"0%")&amp;" of open pipeline in one deal","")&amp;IF(AH473&gt;0,"; Large deal at an early stage","")&amp;IF(AI473&gt;0,"; No amount in Zoho","")&amp;IF(AJ473&gt;0,"; Won, invoice month passed, not fully invoiced","")&amp;IF(AK473&gt;0,"; Xero invoiced more than the deal value",""),3,300)</f>
        <v/>
      </c>
    </row>
    <row r="474">
      <c r="T474" s="9">
        <f>IFERROR(INDEX($A474:$R474,MATCH("Status",$A$1:$R$1,0)),"")&amp;""</f>
        <v/>
      </c>
      <c r="U474" s="52">
        <f>IFERROR(N(IFERROR(INDEX($A474:$R474,MATCH("Value Ex GST",$A$1:$R$1,0)),"")),0)</f>
        <v/>
      </c>
      <c r="V474" s="54">
        <f>IF(AND(T474&lt;&gt;"",IFERROR(INDEX($A474:$R474,MATCH("Value Ex GST",$A$1:$R$1,0)),"")&amp;""&lt;&gt;""),1,0)</f>
        <v/>
      </c>
      <c r="W474" s="56">
        <f>IFERROR(N(IFERROR(INDEX($A474:$R474,MATCH("Probability",$A$1:$R$1,0)),"")),0)</f>
        <v/>
      </c>
      <c r="X474" s="52">
        <f>IF(T474="Open",U474*W474,0)</f>
        <v/>
      </c>
      <c r="Y474" s="52">
        <f>IF(T474="Won",IFERROR(N(IFERROR(INDEX($A474:$R474,MATCH("Still to Invoice",$A$1:$R$1,0)),"")),0),0)</f>
        <v/>
      </c>
      <c r="Z474" s="55">
        <f>IFERROR(EOMONTH(IFERROR(INDEX($A474:$R474,MATCH("Expected Invoice Month",$A$1:$R$1,0)),""),0),"")</f>
        <v/>
      </c>
      <c r="AA474" s="9">
        <f>IFERROR(INDEX($A474:$R474,MATCH("Cost Centre",$A$1:$R$1,0)),"")&amp;""</f>
        <v/>
      </c>
      <c r="AB474" s="9">
        <f>IFERROR(INDEX($A474:$R474,MATCH("Pipeline Stage",$A$1:$R$1,0)),"")&amp;""</f>
        <v/>
      </c>
      <c r="AC474" s="9">
        <f>IFERROR(INDEX($A474:$R474,MATCH("Client",$A$1:$R$1,0)),"")&amp;""</f>
        <v/>
      </c>
      <c r="AD474" s="9">
        <f>IFERROR(INDEX($A474:$R474,MATCH("Description",$A$1:$R$1,0)),"")&amp;""</f>
        <v/>
      </c>
      <c r="AE474" s="9">
        <f>IFERROR(INDEX($A474:$R474,MATCH("Job Number",$A$1:$R$1,0)),"")&amp;""</f>
        <v/>
      </c>
      <c r="AF474" s="54">
        <f>IF(AND(T474="Open",ISNUMBER(Z474),Z474&lt;EOMONTH(set_AsAt,-1)+1),3,0)</f>
        <v/>
      </c>
      <c r="AG474" s="54">
        <f>IF(AND(T474="Open",U474&gt;0,U474&gt;=set_DealShare*SUMIFS($U$2:$U$601,$T$2:$T$601,"Open")),3,0)</f>
        <v/>
      </c>
      <c r="AH474" s="54">
        <f>IF(AND(T474="Open",U474&gt;=set_BigValue,W474&lt;=set_EarlyProb),2,0)</f>
        <v/>
      </c>
      <c r="AI474" s="54">
        <f>IF(AND(OR(T474="Open",T474="Won"),V474=0),2,0)</f>
        <v/>
      </c>
      <c r="AJ474" s="54">
        <f>IF(AND(T474="Won",Y474&gt;0.5,ISNUMBER(Z474),Z474&lt;EOMONTH(set_AsAt,-1)+1),3,0)</f>
        <v/>
      </c>
      <c r="AK474" s="54">
        <f>IF(AND(T474="Won",Y474&lt;-1),1,0)</f>
        <v/>
      </c>
      <c r="AL474" s="54">
        <f>SUM(AF474:AK474)</f>
        <v/>
      </c>
      <c r="AM474" s="9">
        <f>IF(AL474&gt;=set_ScoreHigh,"High",IF(AL474&gt;=set_ScoreMed,"Medium",IF(AL474&gt;0,"Low","OK")))</f>
        <v/>
      </c>
      <c r="AN474" s="54">
        <f>IF(OR(T474="Open",AND(T474="Won",ABS(Y474)&gt;0.5)),1,0)</f>
        <v/>
      </c>
      <c r="AO474" s="52">
        <f>IF(T474="Open",IF(V474=0,0,X474),IF(T474="Won",MAX(0,Y474),0))</f>
        <v/>
      </c>
      <c r="AP474" s="54">
        <f>IF(AN474=1,AL474*1E+9+U474+ROW()/1E+6,"")</f>
        <v/>
      </c>
      <c r="AQ474" s="9">
        <f>MID(IF(AF474&gt;0,"; Expected month passed - update Zoho","")&amp;IF(AG474&gt;0,"; "&amp;TEXT(U474/MAX(1,SUMIFS($U$2:$U$601,$T$2:$T$601,"Open")),"0%")&amp;" of open pipeline in one deal","")&amp;IF(AH474&gt;0,"; Large deal at an early stage","")&amp;IF(AI474&gt;0,"; No amount in Zoho","")&amp;IF(AJ474&gt;0,"; Won, invoice month passed, not fully invoiced","")&amp;IF(AK474&gt;0,"; Xero invoiced more than the deal value",""),3,300)</f>
        <v/>
      </c>
    </row>
    <row r="475">
      <c r="T475" s="9">
        <f>IFERROR(INDEX($A475:$R475,MATCH("Status",$A$1:$R$1,0)),"")&amp;""</f>
        <v/>
      </c>
      <c r="U475" s="52">
        <f>IFERROR(N(IFERROR(INDEX($A475:$R475,MATCH("Value Ex GST",$A$1:$R$1,0)),"")),0)</f>
        <v/>
      </c>
      <c r="V475" s="54">
        <f>IF(AND(T475&lt;&gt;"",IFERROR(INDEX($A475:$R475,MATCH("Value Ex GST",$A$1:$R$1,0)),"")&amp;""&lt;&gt;""),1,0)</f>
        <v/>
      </c>
      <c r="W475" s="56">
        <f>IFERROR(N(IFERROR(INDEX($A475:$R475,MATCH("Probability",$A$1:$R$1,0)),"")),0)</f>
        <v/>
      </c>
      <c r="X475" s="52">
        <f>IF(T475="Open",U475*W475,0)</f>
        <v/>
      </c>
      <c r="Y475" s="52">
        <f>IF(T475="Won",IFERROR(N(IFERROR(INDEX($A475:$R475,MATCH("Still to Invoice",$A$1:$R$1,0)),"")),0),0)</f>
        <v/>
      </c>
      <c r="Z475" s="55">
        <f>IFERROR(EOMONTH(IFERROR(INDEX($A475:$R475,MATCH("Expected Invoice Month",$A$1:$R$1,0)),""),0),"")</f>
        <v/>
      </c>
      <c r="AA475" s="9">
        <f>IFERROR(INDEX($A475:$R475,MATCH("Cost Centre",$A$1:$R$1,0)),"")&amp;""</f>
        <v/>
      </c>
      <c r="AB475" s="9">
        <f>IFERROR(INDEX($A475:$R475,MATCH("Pipeline Stage",$A$1:$R$1,0)),"")&amp;""</f>
        <v/>
      </c>
      <c r="AC475" s="9">
        <f>IFERROR(INDEX($A475:$R475,MATCH("Client",$A$1:$R$1,0)),"")&amp;""</f>
        <v/>
      </c>
      <c r="AD475" s="9">
        <f>IFERROR(INDEX($A475:$R475,MATCH("Description",$A$1:$R$1,0)),"")&amp;""</f>
        <v/>
      </c>
      <c r="AE475" s="9">
        <f>IFERROR(INDEX($A475:$R475,MATCH("Job Number",$A$1:$R$1,0)),"")&amp;""</f>
        <v/>
      </c>
      <c r="AF475" s="54">
        <f>IF(AND(T475="Open",ISNUMBER(Z475),Z475&lt;EOMONTH(set_AsAt,-1)+1),3,0)</f>
        <v/>
      </c>
      <c r="AG475" s="54">
        <f>IF(AND(T475="Open",U475&gt;0,U475&gt;=set_DealShare*SUMIFS($U$2:$U$601,$T$2:$T$601,"Open")),3,0)</f>
        <v/>
      </c>
      <c r="AH475" s="54">
        <f>IF(AND(T475="Open",U475&gt;=set_BigValue,W475&lt;=set_EarlyProb),2,0)</f>
        <v/>
      </c>
      <c r="AI475" s="54">
        <f>IF(AND(OR(T475="Open",T475="Won"),V475=0),2,0)</f>
        <v/>
      </c>
      <c r="AJ475" s="54">
        <f>IF(AND(T475="Won",Y475&gt;0.5,ISNUMBER(Z475),Z475&lt;EOMONTH(set_AsAt,-1)+1),3,0)</f>
        <v/>
      </c>
      <c r="AK475" s="54">
        <f>IF(AND(T475="Won",Y475&lt;-1),1,0)</f>
        <v/>
      </c>
      <c r="AL475" s="54">
        <f>SUM(AF475:AK475)</f>
        <v/>
      </c>
      <c r="AM475" s="9">
        <f>IF(AL475&gt;=set_ScoreHigh,"High",IF(AL475&gt;=set_ScoreMed,"Medium",IF(AL475&gt;0,"Low","OK")))</f>
        <v/>
      </c>
      <c r="AN475" s="54">
        <f>IF(OR(T475="Open",AND(T475="Won",ABS(Y475)&gt;0.5)),1,0)</f>
        <v/>
      </c>
      <c r="AO475" s="52">
        <f>IF(T475="Open",IF(V475=0,0,X475),IF(T475="Won",MAX(0,Y475),0))</f>
        <v/>
      </c>
      <c r="AP475" s="54">
        <f>IF(AN475=1,AL475*1E+9+U475+ROW()/1E+6,"")</f>
        <v/>
      </c>
      <c r="AQ475" s="9">
        <f>MID(IF(AF475&gt;0,"; Expected month passed - update Zoho","")&amp;IF(AG475&gt;0,"; "&amp;TEXT(U475/MAX(1,SUMIFS($U$2:$U$601,$T$2:$T$601,"Open")),"0%")&amp;" of open pipeline in one deal","")&amp;IF(AH475&gt;0,"; Large deal at an early stage","")&amp;IF(AI475&gt;0,"; No amount in Zoho","")&amp;IF(AJ475&gt;0,"; Won, invoice month passed, not fully invoiced","")&amp;IF(AK475&gt;0,"; Xero invoiced more than the deal value",""),3,300)</f>
        <v/>
      </c>
    </row>
    <row r="476">
      <c r="T476" s="9">
        <f>IFERROR(INDEX($A476:$R476,MATCH("Status",$A$1:$R$1,0)),"")&amp;""</f>
        <v/>
      </c>
      <c r="U476" s="52">
        <f>IFERROR(N(IFERROR(INDEX($A476:$R476,MATCH("Value Ex GST",$A$1:$R$1,0)),"")),0)</f>
        <v/>
      </c>
      <c r="V476" s="54">
        <f>IF(AND(T476&lt;&gt;"",IFERROR(INDEX($A476:$R476,MATCH("Value Ex GST",$A$1:$R$1,0)),"")&amp;""&lt;&gt;""),1,0)</f>
        <v/>
      </c>
      <c r="W476" s="56">
        <f>IFERROR(N(IFERROR(INDEX($A476:$R476,MATCH("Probability",$A$1:$R$1,0)),"")),0)</f>
        <v/>
      </c>
      <c r="X476" s="52">
        <f>IF(T476="Open",U476*W476,0)</f>
        <v/>
      </c>
      <c r="Y476" s="52">
        <f>IF(T476="Won",IFERROR(N(IFERROR(INDEX($A476:$R476,MATCH("Still to Invoice",$A$1:$R$1,0)),"")),0),0)</f>
        <v/>
      </c>
      <c r="Z476" s="55">
        <f>IFERROR(EOMONTH(IFERROR(INDEX($A476:$R476,MATCH("Expected Invoice Month",$A$1:$R$1,0)),""),0),"")</f>
        <v/>
      </c>
      <c r="AA476" s="9">
        <f>IFERROR(INDEX($A476:$R476,MATCH("Cost Centre",$A$1:$R$1,0)),"")&amp;""</f>
        <v/>
      </c>
      <c r="AB476" s="9">
        <f>IFERROR(INDEX($A476:$R476,MATCH("Pipeline Stage",$A$1:$R$1,0)),"")&amp;""</f>
        <v/>
      </c>
      <c r="AC476" s="9">
        <f>IFERROR(INDEX($A476:$R476,MATCH("Client",$A$1:$R$1,0)),"")&amp;""</f>
        <v/>
      </c>
      <c r="AD476" s="9">
        <f>IFERROR(INDEX($A476:$R476,MATCH("Description",$A$1:$R$1,0)),"")&amp;""</f>
        <v/>
      </c>
      <c r="AE476" s="9">
        <f>IFERROR(INDEX($A476:$R476,MATCH("Job Number",$A$1:$R$1,0)),"")&amp;""</f>
        <v/>
      </c>
      <c r="AF476" s="54">
        <f>IF(AND(T476="Open",ISNUMBER(Z476),Z476&lt;EOMONTH(set_AsAt,-1)+1),3,0)</f>
        <v/>
      </c>
      <c r="AG476" s="54">
        <f>IF(AND(T476="Open",U476&gt;0,U476&gt;=set_DealShare*SUMIFS($U$2:$U$601,$T$2:$T$601,"Open")),3,0)</f>
        <v/>
      </c>
      <c r="AH476" s="54">
        <f>IF(AND(T476="Open",U476&gt;=set_BigValue,W476&lt;=set_EarlyProb),2,0)</f>
        <v/>
      </c>
      <c r="AI476" s="54">
        <f>IF(AND(OR(T476="Open",T476="Won"),V476=0),2,0)</f>
        <v/>
      </c>
      <c r="AJ476" s="54">
        <f>IF(AND(T476="Won",Y476&gt;0.5,ISNUMBER(Z476),Z476&lt;EOMONTH(set_AsAt,-1)+1),3,0)</f>
        <v/>
      </c>
      <c r="AK476" s="54">
        <f>IF(AND(T476="Won",Y476&lt;-1),1,0)</f>
        <v/>
      </c>
      <c r="AL476" s="54">
        <f>SUM(AF476:AK476)</f>
        <v/>
      </c>
      <c r="AM476" s="9">
        <f>IF(AL476&gt;=set_ScoreHigh,"High",IF(AL476&gt;=set_ScoreMed,"Medium",IF(AL476&gt;0,"Low","OK")))</f>
        <v/>
      </c>
      <c r="AN476" s="54">
        <f>IF(OR(T476="Open",AND(T476="Won",ABS(Y476)&gt;0.5)),1,0)</f>
        <v/>
      </c>
      <c r="AO476" s="52">
        <f>IF(T476="Open",IF(V476=0,0,X476),IF(T476="Won",MAX(0,Y476),0))</f>
        <v/>
      </c>
      <c r="AP476" s="54">
        <f>IF(AN476=1,AL476*1E+9+U476+ROW()/1E+6,"")</f>
        <v/>
      </c>
      <c r="AQ476" s="9">
        <f>MID(IF(AF476&gt;0,"; Expected month passed - update Zoho","")&amp;IF(AG476&gt;0,"; "&amp;TEXT(U476/MAX(1,SUMIFS($U$2:$U$601,$T$2:$T$601,"Open")),"0%")&amp;" of open pipeline in one deal","")&amp;IF(AH476&gt;0,"; Large deal at an early stage","")&amp;IF(AI476&gt;0,"; No amount in Zoho","")&amp;IF(AJ476&gt;0,"; Won, invoice month passed, not fully invoiced","")&amp;IF(AK476&gt;0,"; Xero invoiced more than the deal value",""),3,300)</f>
        <v/>
      </c>
    </row>
    <row r="477">
      <c r="T477" s="9">
        <f>IFERROR(INDEX($A477:$R477,MATCH("Status",$A$1:$R$1,0)),"")&amp;""</f>
        <v/>
      </c>
      <c r="U477" s="52">
        <f>IFERROR(N(IFERROR(INDEX($A477:$R477,MATCH("Value Ex GST",$A$1:$R$1,0)),"")),0)</f>
        <v/>
      </c>
      <c r="V477" s="54">
        <f>IF(AND(T477&lt;&gt;"",IFERROR(INDEX($A477:$R477,MATCH("Value Ex GST",$A$1:$R$1,0)),"")&amp;""&lt;&gt;""),1,0)</f>
        <v/>
      </c>
      <c r="W477" s="56">
        <f>IFERROR(N(IFERROR(INDEX($A477:$R477,MATCH("Probability",$A$1:$R$1,0)),"")),0)</f>
        <v/>
      </c>
      <c r="X477" s="52">
        <f>IF(T477="Open",U477*W477,0)</f>
        <v/>
      </c>
      <c r="Y477" s="52">
        <f>IF(T477="Won",IFERROR(N(IFERROR(INDEX($A477:$R477,MATCH("Still to Invoice",$A$1:$R$1,0)),"")),0),0)</f>
        <v/>
      </c>
      <c r="Z477" s="55">
        <f>IFERROR(EOMONTH(IFERROR(INDEX($A477:$R477,MATCH("Expected Invoice Month",$A$1:$R$1,0)),""),0),"")</f>
        <v/>
      </c>
      <c r="AA477" s="9">
        <f>IFERROR(INDEX($A477:$R477,MATCH("Cost Centre",$A$1:$R$1,0)),"")&amp;""</f>
        <v/>
      </c>
      <c r="AB477" s="9">
        <f>IFERROR(INDEX($A477:$R477,MATCH("Pipeline Stage",$A$1:$R$1,0)),"")&amp;""</f>
        <v/>
      </c>
      <c r="AC477" s="9">
        <f>IFERROR(INDEX($A477:$R477,MATCH("Client",$A$1:$R$1,0)),"")&amp;""</f>
        <v/>
      </c>
      <c r="AD477" s="9">
        <f>IFERROR(INDEX($A477:$R477,MATCH("Description",$A$1:$R$1,0)),"")&amp;""</f>
        <v/>
      </c>
      <c r="AE477" s="9">
        <f>IFERROR(INDEX($A477:$R477,MATCH("Job Number",$A$1:$R$1,0)),"")&amp;""</f>
        <v/>
      </c>
      <c r="AF477" s="54">
        <f>IF(AND(T477="Open",ISNUMBER(Z477),Z477&lt;EOMONTH(set_AsAt,-1)+1),3,0)</f>
        <v/>
      </c>
      <c r="AG477" s="54">
        <f>IF(AND(T477="Open",U477&gt;0,U477&gt;=set_DealShare*SUMIFS($U$2:$U$601,$T$2:$T$601,"Open")),3,0)</f>
        <v/>
      </c>
      <c r="AH477" s="54">
        <f>IF(AND(T477="Open",U477&gt;=set_BigValue,W477&lt;=set_EarlyProb),2,0)</f>
        <v/>
      </c>
      <c r="AI477" s="54">
        <f>IF(AND(OR(T477="Open",T477="Won"),V477=0),2,0)</f>
        <v/>
      </c>
      <c r="AJ477" s="54">
        <f>IF(AND(T477="Won",Y477&gt;0.5,ISNUMBER(Z477),Z477&lt;EOMONTH(set_AsAt,-1)+1),3,0)</f>
        <v/>
      </c>
      <c r="AK477" s="54">
        <f>IF(AND(T477="Won",Y477&lt;-1),1,0)</f>
        <v/>
      </c>
      <c r="AL477" s="54">
        <f>SUM(AF477:AK477)</f>
        <v/>
      </c>
      <c r="AM477" s="9">
        <f>IF(AL477&gt;=set_ScoreHigh,"High",IF(AL477&gt;=set_ScoreMed,"Medium",IF(AL477&gt;0,"Low","OK")))</f>
        <v/>
      </c>
      <c r="AN477" s="54">
        <f>IF(OR(T477="Open",AND(T477="Won",ABS(Y477)&gt;0.5)),1,0)</f>
        <v/>
      </c>
      <c r="AO477" s="52">
        <f>IF(T477="Open",IF(V477=0,0,X477),IF(T477="Won",MAX(0,Y477),0))</f>
        <v/>
      </c>
      <c r="AP477" s="54">
        <f>IF(AN477=1,AL477*1E+9+U477+ROW()/1E+6,"")</f>
        <v/>
      </c>
      <c r="AQ477" s="9">
        <f>MID(IF(AF477&gt;0,"; Expected month passed - update Zoho","")&amp;IF(AG477&gt;0,"; "&amp;TEXT(U477/MAX(1,SUMIFS($U$2:$U$601,$T$2:$T$601,"Open")),"0%")&amp;" of open pipeline in one deal","")&amp;IF(AH477&gt;0,"; Large deal at an early stage","")&amp;IF(AI477&gt;0,"; No amount in Zoho","")&amp;IF(AJ477&gt;0,"; Won, invoice month passed, not fully invoiced","")&amp;IF(AK477&gt;0,"; Xero invoiced more than the deal value",""),3,300)</f>
        <v/>
      </c>
    </row>
    <row r="478">
      <c r="T478" s="9">
        <f>IFERROR(INDEX($A478:$R478,MATCH("Status",$A$1:$R$1,0)),"")&amp;""</f>
        <v/>
      </c>
      <c r="U478" s="52">
        <f>IFERROR(N(IFERROR(INDEX($A478:$R478,MATCH("Value Ex GST",$A$1:$R$1,0)),"")),0)</f>
        <v/>
      </c>
      <c r="V478" s="54">
        <f>IF(AND(T478&lt;&gt;"",IFERROR(INDEX($A478:$R478,MATCH("Value Ex GST",$A$1:$R$1,0)),"")&amp;""&lt;&gt;""),1,0)</f>
        <v/>
      </c>
      <c r="W478" s="56">
        <f>IFERROR(N(IFERROR(INDEX($A478:$R478,MATCH("Probability",$A$1:$R$1,0)),"")),0)</f>
        <v/>
      </c>
      <c r="X478" s="52">
        <f>IF(T478="Open",U478*W478,0)</f>
        <v/>
      </c>
      <c r="Y478" s="52">
        <f>IF(T478="Won",IFERROR(N(IFERROR(INDEX($A478:$R478,MATCH("Still to Invoice",$A$1:$R$1,0)),"")),0),0)</f>
        <v/>
      </c>
      <c r="Z478" s="55">
        <f>IFERROR(EOMONTH(IFERROR(INDEX($A478:$R478,MATCH("Expected Invoice Month",$A$1:$R$1,0)),""),0),"")</f>
        <v/>
      </c>
      <c r="AA478" s="9">
        <f>IFERROR(INDEX($A478:$R478,MATCH("Cost Centre",$A$1:$R$1,0)),"")&amp;""</f>
        <v/>
      </c>
      <c r="AB478" s="9">
        <f>IFERROR(INDEX($A478:$R478,MATCH("Pipeline Stage",$A$1:$R$1,0)),"")&amp;""</f>
        <v/>
      </c>
      <c r="AC478" s="9">
        <f>IFERROR(INDEX($A478:$R478,MATCH("Client",$A$1:$R$1,0)),"")&amp;""</f>
        <v/>
      </c>
      <c r="AD478" s="9">
        <f>IFERROR(INDEX($A478:$R478,MATCH("Description",$A$1:$R$1,0)),"")&amp;""</f>
        <v/>
      </c>
      <c r="AE478" s="9">
        <f>IFERROR(INDEX($A478:$R478,MATCH("Job Number",$A$1:$R$1,0)),"")&amp;""</f>
        <v/>
      </c>
      <c r="AF478" s="54">
        <f>IF(AND(T478="Open",ISNUMBER(Z478),Z478&lt;EOMONTH(set_AsAt,-1)+1),3,0)</f>
        <v/>
      </c>
      <c r="AG478" s="54">
        <f>IF(AND(T478="Open",U478&gt;0,U478&gt;=set_DealShare*SUMIFS($U$2:$U$601,$T$2:$T$601,"Open")),3,0)</f>
        <v/>
      </c>
      <c r="AH478" s="54">
        <f>IF(AND(T478="Open",U478&gt;=set_BigValue,W478&lt;=set_EarlyProb),2,0)</f>
        <v/>
      </c>
      <c r="AI478" s="54">
        <f>IF(AND(OR(T478="Open",T478="Won"),V478=0),2,0)</f>
        <v/>
      </c>
      <c r="AJ478" s="54">
        <f>IF(AND(T478="Won",Y478&gt;0.5,ISNUMBER(Z478),Z478&lt;EOMONTH(set_AsAt,-1)+1),3,0)</f>
        <v/>
      </c>
      <c r="AK478" s="54">
        <f>IF(AND(T478="Won",Y478&lt;-1),1,0)</f>
        <v/>
      </c>
      <c r="AL478" s="54">
        <f>SUM(AF478:AK478)</f>
        <v/>
      </c>
      <c r="AM478" s="9">
        <f>IF(AL478&gt;=set_ScoreHigh,"High",IF(AL478&gt;=set_ScoreMed,"Medium",IF(AL478&gt;0,"Low","OK")))</f>
        <v/>
      </c>
      <c r="AN478" s="54">
        <f>IF(OR(T478="Open",AND(T478="Won",ABS(Y478)&gt;0.5)),1,0)</f>
        <v/>
      </c>
      <c r="AO478" s="52">
        <f>IF(T478="Open",IF(V478=0,0,X478),IF(T478="Won",MAX(0,Y478),0))</f>
        <v/>
      </c>
      <c r="AP478" s="54">
        <f>IF(AN478=1,AL478*1E+9+U478+ROW()/1E+6,"")</f>
        <v/>
      </c>
      <c r="AQ478" s="9">
        <f>MID(IF(AF478&gt;0,"; Expected month passed - update Zoho","")&amp;IF(AG478&gt;0,"; "&amp;TEXT(U478/MAX(1,SUMIFS($U$2:$U$601,$T$2:$T$601,"Open")),"0%")&amp;" of open pipeline in one deal","")&amp;IF(AH478&gt;0,"; Large deal at an early stage","")&amp;IF(AI478&gt;0,"; No amount in Zoho","")&amp;IF(AJ478&gt;0,"; Won, invoice month passed, not fully invoiced","")&amp;IF(AK478&gt;0,"; Xero invoiced more than the deal value",""),3,300)</f>
        <v/>
      </c>
    </row>
    <row r="479">
      <c r="T479" s="9">
        <f>IFERROR(INDEX($A479:$R479,MATCH("Status",$A$1:$R$1,0)),"")&amp;""</f>
        <v/>
      </c>
      <c r="U479" s="52">
        <f>IFERROR(N(IFERROR(INDEX($A479:$R479,MATCH("Value Ex GST",$A$1:$R$1,0)),"")),0)</f>
        <v/>
      </c>
      <c r="V479" s="54">
        <f>IF(AND(T479&lt;&gt;"",IFERROR(INDEX($A479:$R479,MATCH("Value Ex GST",$A$1:$R$1,0)),"")&amp;""&lt;&gt;""),1,0)</f>
        <v/>
      </c>
      <c r="W479" s="56">
        <f>IFERROR(N(IFERROR(INDEX($A479:$R479,MATCH("Probability",$A$1:$R$1,0)),"")),0)</f>
        <v/>
      </c>
      <c r="X479" s="52">
        <f>IF(T479="Open",U479*W479,0)</f>
        <v/>
      </c>
      <c r="Y479" s="52">
        <f>IF(T479="Won",IFERROR(N(IFERROR(INDEX($A479:$R479,MATCH("Still to Invoice",$A$1:$R$1,0)),"")),0),0)</f>
        <v/>
      </c>
      <c r="Z479" s="55">
        <f>IFERROR(EOMONTH(IFERROR(INDEX($A479:$R479,MATCH("Expected Invoice Month",$A$1:$R$1,0)),""),0),"")</f>
        <v/>
      </c>
      <c r="AA479" s="9">
        <f>IFERROR(INDEX($A479:$R479,MATCH("Cost Centre",$A$1:$R$1,0)),"")&amp;""</f>
        <v/>
      </c>
      <c r="AB479" s="9">
        <f>IFERROR(INDEX($A479:$R479,MATCH("Pipeline Stage",$A$1:$R$1,0)),"")&amp;""</f>
        <v/>
      </c>
      <c r="AC479" s="9">
        <f>IFERROR(INDEX($A479:$R479,MATCH("Client",$A$1:$R$1,0)),"")&amp;""</f>
        <v/>
      </c>
      <c r="AD479" s="9">
        <f>IFERROR(INDEX($A479:$R479,MATCH("Description",$A$1:$R$1,0)),"")&amp;""</f>
        <v/>
      </c>
      <c r="AE479" s="9">
        <f>IFERROR(INDEX($A479:$R479,MATCH("Job Number",$A$1:$R$1,0)),"")&amp;""</f>
        <v/>
      </c>
      <c r="AF479" s="54">
        <f>IF(AND(T479="Open",ISNUMBER(Z479),Z479&lt;EOMONTH(set_AsAt,-1)+1),3,0)</f>
        <v/>
      </c>
      <c r="AG479" s="54">
        <f>IF(AND(T479="Open",U479&gt;0,U479&gt;=set_DealShare*SUMIFS($U$2:$U$601,$T$2:$T$601,"Open")),3,0)</f>
        <v/>
      </c>
      <c r="AH479" s="54">
        <f>IF(AND(T479="Open",U479&gt;=set_BigValue,W479&lt;=set_EarlyProb),2,0)</f>
        <v/>
      </c>
      <c r="AI479" s="54">
        <f>IF(AND(OR(T479="Open",T479="Won"),V479=0),2,0)</f>
        <v/>
      </c>
      <c r="AJ479" s="54">
        <f>IF(AND(T479="Won",Y479&gt;0.5,ISNUMBER(Z479),Z479&lt;EOMONTH(set_AsAt,-1)+1),3,0)</f>
        <v/>
      </c>
      <c r="AK479" s="54">
        <f>IF(AND(T479="Won",Y479&lt;-1),1,0)</f>
        <v/>
      </c>
      <c r="AL479" s="54">
        <f>SUM(AF479:AK479)</f>
        <v/>
      </c>
      <c r="AM479" s="9">
        <f>IF(AL479&gt;=set_ScoreHigh,"High",IF(AL479&gt;=set_ScoreMed,"Medium",IF(AL479&gt;0,"Low","OK")))</f>
        <v/>
      </c>
      <c r="AN479" s="54">
        <f>IF(OR(T479="Open",AND(T479="Won",ABS(Y479)&gt;0.5)),1,0)</f>
        <v/>
      </c>
      <c r="AO479" s="52">
        <f>IF(T479="Open",IF(V479=0,0,X479),IF(T479="Won",MAX(0,Y479),0))</f>
        <v/>
      </c>
      <c r="AP479" s="54">
        <f>IF(AN479=1,AL479*1E+9+U479+ROW()/1E+6,"")</f>
        <v/>
      </c>
      <c r="AQ479" s="9">
        <f>MID(IF(AF479&gt;0,"; Expected month passed - update Zoho","")&amp;IF(AG479&gt;0,"; "&amp;TEXT(U479/MAX(1,SUMIFS($U$2:$U$601,$T$2:$T$601,"Open")),"0%")&amp;" of open pipeline in one deal","")&amp;IF(AH479&gt;0,"; Large deal at an early stage","")&amp;IF(AI479&gt;0,"; No amount in Zoho","")&amp;IF(AJ479&gt;0,"; Won, invoice month passed, not fully invoiced","")&amp;IF(AK479&gt;0,"; Xero invoiced more than the deal value",""),3,300)</f>
        <v/>
      </c>
    </row>
    <row r="480">
      <c r="T480" s="9">
        <f>IFERROR(INDEX($A480:$R480,MATCH("Status",$A$1:$R$1,0)),"")&amp;""</f>
        <v/>
      </c>
      <c r="U480" s="52">
        <f>IFERROR(N(IFERROR(INDEX($A480:$R480,MATCH("Value Ex GST",$A$1:$R$1,0)),"")),0)</f>
        <v/>
      </c>
      <c r="V480" s="54">
        <f>IF(AND(T480&lt;&gt;"",IFERROR(INDEX($A480:$R480,MATCH("Value Ex GST",$A$1:$R$1,0)),"")&amp;""&lt;&gt;""),1,0)</f>
        <v/>
      </c>
      <c r="W480" s="56">
        <f>IFERROR(N(IFERROR(INDEX($A480:$R480,MATCH("Probability",$A$1:$R$1,0)),"")),0)</f>
        <v/>
      </c>
      <c r="X480" s="52">
        <f>IF(T480="Open",U480*W480,0)</f>
        <v/>
      </c>
      <c r="Y480" s="52">
        <f>IF(T480="Won",IFERROR(N(IFERROR(INDEX($A480:$R480,MATCH("Still to Invoice",$A$1:$R$1,0)),"")),0),0)</f>
        <v/>
      </c>
      <c r="Z480" s="55">
        <f>IFERROR(EOMONTH(IFERROR(INDEX($A480:$R480,MATCH("Expected Invoice Month",$A$1:$R$1,0)),""),0),"")</f>
        <v/>
      </c>
      <c r="AA480" s="9">
        <f>IFERROR(INDEX($A480:$R480,MATCH("Cost Centre",$A$1:$R$1,0)),"")&amp;""</f>
        <v/>
      </c>
      <c r="AB480" s="9">
        <f>IFERROR(INDEX($A480:$R480,MATCH("Pipeline Stage",$A$1:$R$1,0)),"")&amp;""</f>
        <v/>
      </c>
      <c r="AC480" s="9">
        <f>IFERROR(INDEX($A480:$R480,MATCH("Client",$A$1:$R$1,0)),"")&amp;""</f>
        <v/>
      </c>
      <c r="AD480" s="9">
        <f>IFERROR(INDEX($A480:$R480,MATCH("Description",$A$1:$R$1,0)),"")&amp;""</f>
        <v/>
      </c>
      <c r="AE480" s="9">
        <f>IFERROR(INDEX($A480:$R480,MATCH("Job Number",$A$1:$R$1,0)),"")&amp;""</f>
        <v/>
      </c>
      <c r="AF480" s="54">
        <f>IF(AND(T480="Open",ISNUMBER(Z480),Z480&lt;EOMONTH(set_AsAt,-1)+1),3,0)</f>
        <v/>
      </c>
      <c r="AG480" s="54">
        <f>IF(AND(T480="Open",U480&gt;0,U480&gt;=set_DealShare*SUMIFS($U$2:$U$601,$T$2:$T$601,"Open")),3,0)</f>
        <v/>
      </c>
      <c r="AH480" s="54">
        <f>IF(AND(T480="Open",U480&gt;=set_BigValue,W480&lt;=set_EarlyProb),2,0)</f>
        <v/>
      </c>
      <c r="AI480" s="54">
        <f>IF(AND(OR(T480="Open",T480="Won"),V480=0),2,0)</f>
        <v/>
      </c>
      <c r="AJ480" s="54">
        <f>IF(AND(T480="Won",Y480&gt;0.5,ISNUMBER(Z480),Z480&lt;EOMONTH(set_AsAt,-1)+1),3,0)</f>
        <v/>
      </c>
      <c r="AK480" s="54">
        <f>IF(AND(T480="Won",Y480&lt;-1),1,0)</f>
        <v/>
      </c>
      <c r="AL480" s="54">
        <f>SUM(AF480:AK480)</f>
        <v/>
      </c>
      <c r="AM480" s="9">
        <f>IF(AL480&gt;=set_ScoreHigh,"High",IF(AL480&gt;=set_ScoreMed,"Medium",IF(AL480&gt;0,"Low","OK")))</f>
        <v/>
      </c>
      <c r="AN480" s="54">
        <f>IF(OR(T480="Open",AND(T480="Won",ABS(Y480)&gt;0.5)),1,0)</f>
        <v/>
      </c>
      <c r="AO480" s="52">
        <f>IF(T480="Open",IF(V480=0,0,X480),IF(T480="Won",MAX(0,Y480),0))</f>
        <v/>
      </c>
      <c r="AP480" s="54">
        <f>IF(AN480=1,AL480*1E+9+U480+ROW()/1E+6,"")</f>
        <v/>
      </c>
      <c r="AQ480" s="9">
        <f>MID(IF(AF480&gt;0,"; Expected month passed - update Zoho","")&amp;IF(AG480&gt;0,"; "&amp;TEXT(U480/MAX(1,SUMIFS($U$2:$U$601,$T$2:$T$601,"Open")),"0%")&amp;" of open pipeline in one deal","")&amp;IF(AH480&gt;0,"; Large deal at an early stage","")&amp;IF(AI480&gt;0,"; No amount in Zoho","")&amp;IF(AJ480&gt;0,"; Won, invoice month passed, not fully invoiced","")&amp;IF(AK480&gt;0,"; Xero invoiced more than the deal value",""),3,300)</f>
        <v/>
      </c>
    </row>
    <row r="481">
      <c r="T481" s="9">
        <f>IFERROR(INDEX($A481:$R481,MATCH("Status",$A$1:$R$1,0)),"")&amp;""</f>
        <v/>
      </c>
      <c r="U481" s="52">
        <f>IFERROR(N(IFERROR(INDEX($A481:$R481,MATCH("Value Ex GST",$A$1:$R$1,0)),"")),0)</f>
        <v/>
      </c>
      <c r="V481" s="54">
        <f>IF(AND(T481&lt;&gt;"",IFERROR(INDEX($A481:$R481,MATCH("Value Ex GST",$A$1:$R$1,0)),"")&amp;""&lt;&gt;""),1,0)</f>
        <v/>
      </c>
      <c r="W481" s="56">
        <f>IFERROR(N(IFERROR(INDEX($A481:$R481,MATCH("Probability",$A$1:$R$1,0)),"")),0)</f>
        <v/>
      </c>
      <c r="X481" s="52">
        <f>IF(T481="Open",U481*W481,0)</f>
        <v/>
      </c>
      <c r="Y481" s="52">
        <f>IF(T481="Won",IFERROR(N(IFERROR(INDEX($A481:$R481,MATCH("Still to Invoice",$A$1:$R$1,0)),"")),0),0)</f>
        <v/>
      </c>
      <c r="Z481" s="55">
        <f>IFERROR(EOMONTH(IFERROR(INDEX($A481:$R481,MATCH("Expected Invoice Month",$A$1:$R$1,0)),""),0),"")</f>
        <v/>
      </c>
      <c r="AA481" s="9">
        <f>IFERROR(INDEX($A481:$R481,MATCH("Cost Centre",$A$1:$R$1,0)),"")&amp;""</f>
        <v/>
      </c>
      <c r="AB481" s="9">
        <f>IFERROR(INDEX($A481:$R481,MATCH("Pipeline Stage",$A$1:$R$1,0)),"")&amp;""</f>
        <v/>
      </c>
      <c r="AC481" s="9">
        <f>IFERROR(INDEX($A481:$R481,MATCH("Client",$A$1:$R$1,0)),"")&amp;""</f>
        <v/>
      </c>
      <c r="AD481" s="9">
        <f>IFERROR(INDEX($A481:$R481,MATCH("Description",$A$1:$R$1,0)),"")&amp;""</f>
        <v/>
      </c>
      <c r="AE481" s="9">
        <f>IFERROR(INDEX($A481:$R481,MATCH("Job Number",$A$1:$R$1,0)),"")&amp;""</f>
        <v/>
      </c>
      <c r="AF481" s="54">
        <f>IF(AND(T481="Open",ISNUMBER(Z481),Z481&lt;EOMONTH(set_AsAt,-1)+1),3,0)</f>
        <v/>
      </c>
      <c r="AG481" s="54">
        <f>IF(AND(T481="Open",U481&gt;0,U481&gt;=set_DealShare*SUMIFS($U$2:$U$601,$T$2:$T$601,"Open")),3,0)</f>
        <v/>
      </c>
      <c r="AH481" s="54">
        <f>IF(AND(T481="Open",U481&gt;=set_BigValue,W481&lt;=set_EarlyProb),2,0)</f>
        <v/>
      </c>
      <c r="AI481" s="54">
        <f>IF(AND(OR(T481="Open",T481="Won"),V481=0),2,0)</f>
        <v/>
      </c>
      <c r="AJ481" s="54">
        <f>IF(AND(T481="Won",Y481&gt;0.5,ISNUMBER(Z481),Z481&lt;EOMONTH(set_AsAt,-1)+1),3,0)</f>
        <v/>
      </c>
      <c r="AK481" s="54">
        <f>IF(AND(T481="Won",Y481&lt;-1),1,0)</f>
        <v/>
      </c>
      <c r="AL481" s="54">
        <f>SUM(AF481:AK481)</f>
        <v/>
      </c>
      <c r="AM481" s="9">
        <f>IF(AL481&gt;=set_ScoreHigh,"High",IF(AL481&gt;=set_ScoreMed,"Medium",IF(AL481&gt;0,"Low","OK")))</f>
        <v/>
      </c>
      <c r="AN481" s="54">
        <f>IF(OR(T481="Open",AND(T481="Won",ABS(Y481)&gt;0.5)),1,0)</f>
        <v/>
      </c>
      <c r="AO481" s="52">
        <f>IF(T481="Open",IF(V481=0,0,X481),IF(T481="Won",MAX(0,Y481),0))</f>
        <v/>
      </c>
      <c r="AP481" s="54">
        <f>IF(AN481=1,AL481*1E+9+U481+ROW()/1E+6,"")</f>
        <v/>
      </c>
      <c r="AQ481" s="9">
        <f>MID(IF(AF481&gt;0,"; Expected month passed - update Zoho","")&amp;IF(AG481&gt;0,"; "&amp;TEXT(U481/MAX(1,SUMIFS($U$2:$U$601,$T$2:$T$601,"Open")),"0%")&amp;" of open pipeline in one deal","")&amp;IF(AH481&gt;0,"; Large deal at an early stage","")&amp;IF(AI481&gt;0,"; No amount in Zoho","")&amp;IF(AJ481&gt;0,"; Won, invoice month passed, not fully invoiced","")&amp;IF(AK481&gt;0,"; Xero invoiced more than the deal value",""),3,300)</f>
        <v/>
      </c>
    </row>
    <row r="482">
      <c r="T482" s="9">
        <f>IFERROR(INDEX($A482:$R482,MATCH("Status",$A$1:$R$1,0)),"")&amp;""</f>
        <v/>
      </c>
      <c r="U482" s="52">
        <f>IFERROR(N(IFERROR(INDEX($A482:$R482,MATCH("Value Ex GST",$A$1:$R$1,0)),"")),0)</f>
        <v/>
      </c>
      <c r="V482" s="54">
        <f>IF(AND(T482&lt;&gt;"",IFERROR(INDEX($A482:$R482,MATCH("Value Ex GST",$A$1:$R$1,0)),"")&amp;""&lt;&gt;""),1,0)</f>
        <v/>
      </c>
      <c r="W482" s="56">
        <f>IFERROR(N(IFERROR(INDEX($A482:$R482,MATCH("Probability",$A$1:$R$1,0)),"")),0)</f>
        <v/>
      </c>
      <c r="X482" s="52">
        <f>IF(T482="Open",U482*W482,0)</f>
        <v/>
      </c>
      <c r="Y482" s="52">
        <f>IF(T482="Won",IFERROR(N(IFERROR(INDEX($A482:$R482,MATCH("Still to Invoice",$A$1:$R$1,0)),"")),0),0)</f>
        <v/>
      </c>
      <c r="Z482" s="55">
        <f>IFERROR(EOMONTH(IFERROR(INDEX($A482:$R482,MATCH("Expected Invoice Month",$A$1:$R$1,0)),""),0),"")</f>
        <v/>
      </c>
      <c r="AA482" s="9">
        <f>IFERROR(INDEX($A482:$R482,MATCH("Cost Centre",$A$1:$R$1,0)),"")&amp;""</f>
        <v/>
      </c>
      <c r="AB482" s="9">
        <f>IFERROR(INDEX($A482:$R482,MATCH("Pipeline Stage",$A$1:$R$1,0)),"")&amp;""</f>
        <v/>
      </c>
      <c r="AC482" s="9">
        <f>IFERROR(INDEX($A482:$R482,MATCH("Client",$A$1:$R$1,0)),"")&amp;""</f>
        <v/>
      </c>
      <c r="AD482" s="9">
        <f>IFERROR(INDEX($A482:$R482,MATCH("Description",$A$1:$R$1,0)),"")&amp;""</f>
        <v/>
      </c>
      <c r="AE482" s="9">
        <f>IFERROR(INDEX($A482:$R482,MATCH("Job Number",$A$1:$R$1,0)),"")&amp;""</f>
        <v/>
      </c>
      <c r="AF482" s="54">
        <f>IF(AND(T482="Open",ISNUMBER(Z482),Z482&lt;EOMONTH(set_AsAt,-1)+1),3,0)</f>
        <v/>
      </c>
      <c r="AG482" s="54">
        <f>IF(AND(T482="Open",U482&gt;0,U482&gt;=set_DealShare*SUMIFS($U$2:$U$601,$T$2:$T$601,"Open")),3,0)</f>
        <v/>
      </c>
      <c r="AH482" s="54">
        <f>IF(AND(T482="Open",U482&gt;=set_BigValue,W482&lt;=set_EarlyProb),2,0)</f>
        <v/>
      </c>
      <c r="AI482" s="54">
        <f>IF(AND(OR(T482="Open",T482="Won"),V482=0),2,0)</f>
        <v/>
      </c>
      <c r="AJ482" s="54">
        <f>IF(AND(T482="Won",Y482&gt;0.5,ISNUMBER(Z482),Z482&lt;EOMONTH(set_AsAt,-1)+1),3,0)</f>
        <v/>
      </c>
      <c r="AK482" s="54">
        <f>IF(AND(T482="Won",Y482&lt;-1),1,0)</f>
        <v/>
      </c>
      <c r="AL482" s="54">
        <f>SUM(AF482:AK482)</f>
        <v/>
      </c>
      <c r="AM482" s="9">
        <f>IF(AL482&gt;=set_ScoreHigh,"High",IF(AL482&gt;=set_ScoreMed,"Medium",IF(AL482&gt;0,"Low","OK")))</f>
        <v/>
      </c>
      <c r="AN482" s="54">
        <f>IF(OR(T482="Open",AND(T482="Won",ABS(Y482)&gt;0.5)),1,0)</f>
        <v/>
      </c>
      <c r="AO482" s="52">
        <f>IF(T482="Open",IF(V482=0,0,X482),IF(T482="Won",MAX(0,Y482),0))</f>
        <v/>
      </c>
      <c r="AP482" s="54">
        <f>IF(AN482=1,AL482*1E+9+U482+ROW()/1E+6,"")</f>
        <v/>
      </c>
      <c r="AQ482" s="9">
        <f>MID(IF(AF482&gt;0,"; Expected month passed - update Zoho","")&amp;IF(AG482&gt;0,"; "&amp;TEXT(U482/MAX(1,SUMIFS($U$2:$U$601,$T$2:$T$601,"Open")),"0%")&amp;" of open pipeline in one deal","")&amp;IF(AH482&gt;0,"; Large deal at an early stage","")&amp;IF(AI482&gt;0,"; No amount in Zoho","")&amp;IF(AJ482&gt;0,"; Won, invoice month passed, not fully invoiced","")&amp;IF(AK482&gt;0,"; Xero invoiced more than the deal value",""),3,300)</f>
        <v/>
      </c>
    </row>
    <row r="483">
      <c r="T483" s="9">
        <f>IFERROR(INDEX($A483:$R483,MATCH("Status",$A$1:$R$1,0)),"")&amp;""</f>
        <v/>
      </c>
      <c r="U483" s="52">
        <f>IFERROR(N(IFERROR(INDEX($A483:$R483,MATCH("Value Ex GST",$A$1:$R$1,0)),"")),0)</f>
        <v/>
      </c>
      <c r="V483" s="54">
        <f>IF(AND(T483&lt;&gt;"",IFERROR(INDEX($A483:$R483,MATCH("Value Ex GST",$A$1:$R$1,0)),"")&amp;""&lt;&gt;""),1,0)</f>
        <v/>
      </c>
      <c r="W483" s="56">
        <f>IFERROR(N(IFERROR(INDEX($A483:$R483,MATCH("Probability",$A$1:$R$1,0)),"")),0)</f>
        <v/>
      </c>
      <c r="X483" s="52">
        <f>IF(T483="Open",U483*W483,0)</f>
        <v/>
      </c>
      <c r="Y483" s="52">
        <f>IF(T483="Won",IFERROR(N(IFERROR(INDEX($A483:$R483,MATCH("Still to Invoice",$A$1:$R$1,0)),"")),0),0)</f>
        <v/>
      </c>
      <c r="Z483" s="55">
        <f>IFERROR(EOMONTH(IFERROR(INDEX($A483:$R483,MATCH("Expected Invoice Month",$A$1:$R$1,0)),""),0),"")</f>
        <v/>
      </c>
      <c r="AA483" s="9">
        <f>IFERROR(INDEX($A483:$R483,MATCH("Cost Centre",$A$1:$R$1,0)),"")&amp;""</f>
        <v/>
      </c>
      <c r="AB483" s="9">
        <f>IFERROR(INDEX($A483:$R483,MATCH("Pipeline Stage",$A$1:$R$1,0)),"")&amp;""</f>
        <v/>
      </c>
      <c r="AC483" s="9">
        <f>IFERROR(INDEX($A483:$R483,MATCH("Client",$A$1:$R$1,0)),"")&amp;""</f>
        <v/>
      </c>
      <c r="AD483" s="9">
        <f>IFERROR(INDEX($A483:$R483,MATCH("Description",$A$1:$R$1,0)),"")&amp;""</f>
        <v/>
      </c>
      <c r="AE483" s="9">
        <f>IFERROR(INDEX($A483:$R483,MATCH("Job Number",$A$1:$R$1,0)),"")&amp;""</f>
        <v/>
      </c>
      <c r="AF483" s="54">
        <f>IF(AND(T483="Open",ISNUMBER(Z483),Z483&lt;EOMONTH(set_AsAt,-1)+1),3,0)</f>
        <v/>
      </c>
      <c r="AG483" s="54">
        <f>IF(AND(T483="Open",U483&gt;0,U483&gt;=set_DealShare*SUMIFS($U$2:$U$601,$T$2:$T$601,"Open")),3,0)</f>
        <v/>
      </c>
      <c r="AH483" s="54">
        <f>IF(AND(T483="Open",U483&gt;=set_BigValue,W483&lt;=set_EarlyProb),2,0)</f>
        <v/>
      </c>
      <c r="AI483" s="54">
        <f>IF(AND(OR(T483="Open",T483="Won"),V483=0),2,0)</f>
        <v/>
      </c>
      <c r="AJ483" s="54">
        <f>IF(AND(T483="Won",Y483&gt;0.5,ISNUMBER(Z483),Z483&lt;EOMONTH(set_AsAt,-1)+1),3,0)</f>
        <v/>
      </c>
      <c r="AK483" s="54">
        <f>IF(AND(T483="Won",Y483&lt;-1),1,0)</f>
        <v/>
      </c>
      <c r="AL483" s="54">
        <f>SUM(AF483:AK483)</f>
        <v/>
      </c>
      <c r="AM483" s="9">
        <f>IF(AL483&gt;=set_ScoreHigh,"High",IF(AL483&gt;=set_ScoreMed,"Medium",IF(AL483&gt;0,"Low","OK")))</f>
        <v/>
      </c>
      <c r="AN483" s="54">
        <f>IF(OR(T483="Open",AND(T483="Won",ABS(Y483)&gt;0.5)),1,0)</f>
        <v/>
      </c>
      <c r="AO483" s="52">
        <f>IF(T483="Open",IF(V483=0,0,X483),IF(T483="Won",MAX(0,Y483),0))</f>
        <v/>
      </c>
      <c r="AP483" s="54">
        <f>IF(AN483=1,AL483*1E+9+U483+ROW()/1E+6,"")</f>
        <v/>
      </c>
      <c r="AQ483" s="9">
        <f>MID(IF(AF483&gt;0,"; Expected month passed - update Zoho","")&amp;IF(AG483&gt;0,"; "&amp;TEXT(U483/MAX(1,SUMIFS($U$2:$U$601,$T$2:$T$601,"Open")),"0%")&amp;" of open pipeline in one deal","")&amp;IF(AH483&gt;0,"; Large deal at an early stage","")&amp;IF(AI483&gt;0,"; No amount in Zoho","")&amp;IF(AJ483&gt;0,"; Won, invoice month passed, not fully invoiced","")&amp;IF(AK483&gt;0,"; Xero invoiced more than the deal value",""),3,300)</f>
        <v/>
      </c>
    </row>
    <row r="484">
      <c r="T484" s="9">
        <f>IFERROR(INDEX($A484:$R484,MATCH("Status",$A$1:$R$1,0)),"")&amp;""</f>
        <v/>
      </c>
      <c r="U484" s="52">
        <f>IFERROR(N(IFERROR(INDEX($A484:$R484,MATCH("Value Ex GST",$A$1:$R$1,0)),"")),0)</f>
        <v/>
      </c>
      <c r="V484" s="54">
        <f>IF(AND(T484&lt;&gt;"",IFERROR(INDEX($A484:$R484,MATCH("Value Ex GST",$A$1:$R$1,0)),"")&amp;""&lt;&gt;""),1,0)</f>
        <v/>
      </c>
      <c r="W484" s="56">
        <f>IFERROR(N(IFERROR(INDEX($A484:$R484,MATCH("Probability",$A$1:$R$1,0)),"")),0)</f>
        <v/>
      </c>
      <c r="X484" s="52">
        <f>IF(T484="Open",U484*W484,0)</f>
        <v/>
      </c>
      <c r="Y484" s="52">
        <f>IF(T484="Won",IFERROR(N(IFERROR(INDEX($A484:$R484,MATCH("Still to Invoice",$A$1:$R$1,0)),"")),0),0)</f>
        <v/>
      </c>
      <c r="Z484" s="55">
        <f>IFERROR(EOMONTH(IFERROR(INDEX($A484:$R484,MATCH("Expected Invoice Month",$A$1:$R$1,0)),""),0),"")</f>
        <v/>
      </c>
      <c r="AA484" s="9">
        <f>IFERROR(INDEX($A484:$R484,MATCH("Cost Centre",$A$1:$R$1,0)),"")&amp;""</f>
        <v/>
      </c>
      <c r="AB484" s="9">
        <f>IFERROR(INDEX($A484:$R484,MATCH("Pipeline Stage",$A$1:$R$1,0)),"")&amp;""</f>
        <v/>
      </c>
      <c r="AC484" s="9">
        <f>IFERROR(INDEX($A484:$R484,MATCH("Client",$A$1:$R$1,0)),"")&amp;""</f>
        <v/>
      </c>
      <c r="AD484" s="9">
        <f>IFERROR(INDEX($A484:$R484,MATCH("Description",$A$1:$R$1,0)),"")&amp;""</f>
        <v/>
      </c>
      <c r="AE484" s="9">
        <f>IFERROR(INDEX($A484:$R484,MATCH("Job Number",$A$1:$R$1,0)),"")&amp;""</f>
        <v/>
      </c>
      <c r="AF484" s="54">
        <f>IF(AND(T484="Open",ISNUMBER(Z484),Z484&lt;EOMONTH(set_AsAt,-1)+1),3,0)</f>
        <v/>
      </c>
      <c r="AG484" s="54">
        <f>IF(AND(T484="Open",U484&gt;0,U484&gt;=set_DealShare*SUMIFS($U$2:$U$601,$T$2:$T$601,"Open")),3,0)</f>
        <v/>
      </c>
      <c r="AH484" s="54">
        <f>IF(AND(T484="Open",U484&gt;=set_BigValue,W484&lt;=set_EarlyProb),2,0)</f>
        <v/>
      </c>
      <c r="AI484" s="54">
        <f>IF(AND(OR(T484="Open",T484="Won"),V484=0),2,0)</f>
        <v/>
      </c>
      <c r="AJ484" s="54">
        <f>IF(AND(T484="Won",Y484&gt;0.5,ISNUMBER(Z484),Z484&lt;EOMONTH(set_AsAt,-1)+1),3,0)</f>
        <v/>
      </c>
      <c r="AK484" s="54">
        <f>IF(AND(T484="Won",Y484&lt;-1),1,0)</f>
        <v/>
      </c>
      <c r="AL484" s="54">
        <f>SUM(AF484:AK484)</f>
        <v/>
      </c>
      <c r="AM484" s="9">
        <f>IF(AL484&gt;=set_ScoreHigh,"High",IF(AL484&gt;=set_ScoreMed,"Medium",IF(AL484&gt;0,"Low","OK")))</f>
        <v/>
      </c>
      <c r="AN484" s="54">
        <f>IF(OR(T484="Open",AND(T484="Won",ABS(Y484)&gt;0.5)),1,0)</f>
        <v/>
      </c>
      <c r="AO484" s="52">
        <f>IF(T484="Open",IF(V484=0,0,X484),IF(T484="Won",MAX(0,Y484),0))</f>
        <v/>
      </c>
      <c r="AP484" s="54">
        <f>IF(AN484=1,AL484*1E+9+U484+ROW()/1E+6,"")</f>
        <v/>
      </c>
      <c r="AQ484" s="9">
        <f>MID(IF(AF484&gt;0,"; Expected month passed - update Zoho","")&amp;IF(AG484&gt;0,"; "&amp;TEXT(U484/MAX(1,SUMIFS($U$2:$U$601,$T$2:$T$601,"Open")),"0%")&amp;" of open pipeline in one deal","")&amp;IF(AH484&gt;0,"; Large deal at an early stage","")&amp;IF(AI484&gt;0,"; No amount in Zoho","")&amp;IF(AJ484&gt;0,"; Won, invoice month passed, not fully invoiced","")&amp;IF(AK484&gt;0,"; Xero invoiced more than the deal value",""),3,300)</f>
        <v/>
      </c>
    </row>
    <row r="485">
      <c r="T485" s="9">
        <f>IFERROR(INDEX($A485:$R485,MATCH("Status",$A$1:$R$1,0)),"")&amp;""</f>
        <v/>
      </c>
      <c r="U485" s="52">
        <f>IFERROR(N(IFERROR(INDEX($A485:$R485,MATCH("Value Ex GST",$A$1:$R$1,0)),"")),0)</f>
        <v/>
      </c>
      <c r="V485" s="54">
        <f>IF(AND(T485&lt;&gt;"",IFERROR(INDEX($A485:$R485,MATCH("Value Ex GST",$A$1:$R$1,0)),"")&amp;""&lt;&gt;""),1,0)</f>
        <v/>
      </c>
      <c r="W485" s="56">
        <f>IFERROR(N(IFERROR(INDEX($A485:$R485,MATCH("Probability",$A$1:$R$1,0)),"")),0)</f>
        <v/>
      </c>
      <c r="X485" s="52">
        <f>IF(T485="Open",U485*W485,0)</f>
        <v/>
      </c>
      <c r="Y485" s="52">
        <f>IF(T485="Won",IFERROR(N(IFERROR(INDEX($A485:$R485,MATCH("Still to Invoice",$A$1:$R$1,0)),"")),0),0)</f>
        <v/>
      </c>
      <c r="Z485" s="55">
        <f>IFERROR(EOMONTH(IFERROR(INDEX($A485:$R485,MATCH("Expected Invoice Month",$A$1:$R$1,0)),""),0),"")</f>
        <v/>
      </c>
      <c r="AA485" s="9">
        <f>IFERROR(INDEX($A485:$R485,MATCH("Cost Centre",$A$1:$R$1,0)),"")&amp;""</f>
        <v/>
      </c>
      <c r="AB485" s="9">
        <f>IFERROR(INDEX($A485:$R485,MATCH("Pipeline Stage",$A$1:$R$1,0)),"")&amp;""</f>
        <v/>
      </c>
      <c r="AC485" s="9">
        <f>IFERROR(INDEX($A485:$R485,MATCH("Client",$A$1:$R$1,0)),"")&amp;""</f>
        <v/>
      </c>
      <c r="AD485" s="9">
        <f>IFERROR(INDEX($A485:$R485,MATCH("Description",$A$1:$R$1,0)),"")&amp;""</f>
        <v/>
      </c>
      <c r="AE485" s="9">
        <f>IFERROR(INDEX($A485:$R485,MATCH("Job Number",$A$1:$R$1,0)),"")&amp;""</f>
        <v/>
      </c>
      <c r="AF485" s="54">
        <f>IF(AND(T485="Open",ISNUMBER(Z485),Z485&lt;EOMONTH(set_AsAt,-1)+1),3,0)</f>
        <v/>
      </c>
      <c r="AG485" s="54">
        <f>IF(AND(T485="Open",U485&gt;0,U485&gt;=set_DealShare*SUMIFS($U$2:$U$601,$T$2:$T$601,"Open")),3,0)</f>
        <v/>
      </c>
      <c r="AH485" s="54">
        <f>IF(AND(T485="Open",U485&gt;=set_BigValue,W485&lt;=set_EarlyProb),2,0)</f>
        <v/>
      </c>
      <c r="AI485" s="54">
        <f>IF(AND(OR(T485="Open",T485="Won"),V485=0),2,0)</f>
        <v/>
      </c>
      <c r="AJ485" s="54">
        <f>IF(AND(T485="Won",Y485&gt;0.5,ISNUMBER(Z485),Z485&lt;EOMONTH(set_AsAt,-1)+1),3,0)</f>
        <v/>
      </c>
      <c r="AK485" s="54">
        <f>IF(AND(T485="Won",Y485&lt;-1),1,0)</f>
        <v/>
      </c>
      <c r="AL485" s="54">
        <f>SUM(AF485:AK485)</f>
        <v/>
      </c>
      <c r="AM485" s="9">
        <f>IF(AL485&gt;=set_ScoreHigh,"High",IF(AL485&gt;=set_ScoreMed,"Medium",IF(AL485&gt;0,"Low","OK")))</f>
        <v/>
      </c>
      <c r="AN485" s="54">
        <f>IF(OR(T485="Open",AND(T485="Won",ABS(Y485)&gt;0.5)),1,0)</f>
        <v/>
      </c>
      <c r="AO485" s="52">
        <f>IF(T485="Open",IF(V485=0,0,X485),IF(T485="Won",MAX(0,Y485),0))</f>
        <v/>
      </c>
      <c r="AP485" s="54">
        <f>IF(AN485=1,AL485*1E+9+U485+ROW()/1E+6,"")</f>
        <v/>
      </c>
      <c r="AQ485" s="9">
        <f>MID(IF(AF485&gt;0,"; Expected month passed - update Zoho","")&amp;IF(AG485&gt;0,"; "&amp;TEXT(U485/MAX(1,SUMIFS($U$2:$U$601,$T$2:$T$601,"Open")),"0%")&amp;" of open pipeline in one deal","")&amp;IF(AH485&gt;0,"; Large deal at an early stage","")&amp;IF(AI485&gt;0,"; No amount in Zoho","")&amp;IF(AJ485&gt;0,"; Won, invoice month passed, not fully invoiced","")&amp;IF(AK485&gt;0,"; Xero invoiced more than the deal value",""),3,300)</f>
        <v/>
      </c>
    </row>
    <row r="486">
      <c r="T486" s="9">
        <f>IFERROR(INDEX($A486:$R486,MATCH("Status",$A$1:$R$1,0)),"")&amp;""</f>
        <v/>
      </c>
      <c r="U486" s="52">
        <f>IFERROR(N(IFERROR(INDEX($A486:$R486,MATCH("Value Ex GST",$A$1:$R$1,0)),"")),0)</f>
        <v/>
      </c>
      <c r="V486" s="54">
        <f>IF(AND(T486&lt;&gt;"",IFERROR(INDEX($A486:$R486,MATCH("Value Ex GST",$A$1:$R$1,0)),"")&amp;""&lt;&gt;""),1,0)</f>
        <v/>
      </c>
      <c r="W486" s="56">
        <f>IFERROR(N(IFERROR(INDEX($A486:$R486,MATCH("Probability",$A$1:$R$1,0)),"")),0)</f>
        <v/>
      </c>
      <c r="X486" s="52">
        <f>IF(T486="Open",U486*W486,0)</f>
        <v/>
      </c>
      <c r="Y486" s="52">
        <f>IF(T486="Won",IFERROR(N(IFERROR(INDEX($A486:$R486,MATCH("Still to Invoice",$A$1:$R$1,0)),"")),0),0)</f>
        <v/>
      </c>
      <c r="Z486" s="55">
        <f>IFERROR(EOMONTH(IFERROR(INDEX($A486:$R486,MATCH("Expected Invoice Month",$A$1:$R$1,0)),""),0),"")</f>
        <v/>
      </c>
      <c r="AA486" s="9">
        <f>IFERROR(INDEX($A486:$R486,MATCH("Cost Centre",$A$1:$R$1,0)),"")&amp;""</f>
        <v/>
      </c>
      <c r="AB486" s="9">
        <f>IFERROR(INDEX($A486:$R486,MATCH("Pipeline Stage",$A$1:$R$1,0)),"")&amp;""</f>
        <v/>
      </c>
      <c r="AC486" s="9">
        <f>IFERROR(INDEX($A486:$R486,MATCH("Client",$A$1:$R$1,0)),"")&amp;""</f>
        <v/>
      </c>
      <c r="AD486" s="9">
        <f>IFERROR(INDEX($A486:$R486,MATCH("Description",$A$1:$R$1,0)),"")&amp;""</f>
        <v/>
      </c>
      <c r="AE486" s="9">
        <f>IFERROR(INDEX($A486:$R486,MATCH("Job Number",$A$1:$R$1,0)),"")&amp;""</f>
        <v/>
      </c>
      <c r="AF486" s="54">
        <f>IF(AND(T486="Open",ISNUMBER(Z486),Z486&lt;EOMONTH(set_AsAt,-1)+1),3,0)</f>
        <v/>
      </c>
      <c r="AG486" s="54">
        <f>IF(AND(T486="Open",U486&gt;0,U486&gt;=set_DealShare*SUMIFS($U$2:$U$601,$T$2:$T$601,"Open")),3,0)</f>
        <v/>
      </c>
      <c r="AH486" s="54">
        <f>IF(AND(T486="Open",U486&gt;=set_BigValue,W486&lt;=set_EarlyProb),2,0)</f>
        <v/>
      </c>
      <c r="AI486" s="54">
        <f>IF(AND(OR(T486="Open",T486="Won"),V486=0),2,0)</f>
        <v/>
      </c>
      <c r="AJ486" s="54">
        <f>IF(AND(T486="Won",Y486&gt;0.5,ISNUMBER(Z486),Z486&lt;EOMONTH(set_AsAt,-1)+1),3,0)</f>
        <v/>
      </c>
      <c r="AK486" s="54">
        <f>IF(AND(T486="Won",Y486&lt;-1),1,0)</f>
        <v/>
      </c>
      <c r="AL486" s="54">
        <f>SUM(AF486:AK486)</f>
        <v/>
      </c>
      <c r="AM486" s="9">
        <f>IF(AL486&gt;=set_ScoreHigh,"High",IF(AL486&gt;=set_ScoreMed,"Medium",IF(AL486&gt;0,"Low","OK")))</f>
        <v/>
      </c>
      <c r="AN486" s="54">
        <f>IF(OR(T486="Open",AND(T486="Won",ABS(Y486)&gt;0.5)),1,0)</f>
        <v/>
      </c>
      <c r="AO486" s="52">
        <f>IF(T486="Open",IF(V486=0,0,X486),IF(T486="Won",MAX(0,Y486),0))</f>
        <v/>
      </c>
      <c r="AP486" s="54">
        <f>IF(AN486=1,AL486*1E+9+U486+ROW()/1E+6,"")</f>
        <v/>
      </c>
      <c r="AQ486" s="9">
        <f>MID(IF(AF486&gt;0,"; Expected month passed - update Zoho","")&amp;IF(AG486&gt;0,"; "&amp;TEXT(U486/MAX(1,SUMIFS($U$2:$U$601,$T$2:$T$601,"Open")),"0%")&amp;" of open pipeline in one deal","")&amp;IF(AH486&gt;0,"; Large deal at an early stage","")&amp;IF(AI486&gt;0,"; No amount in Zoho","")&amp;IF(AJ486&gt;0,"; Won, invoice month passed, not fully invoiced","")&amp;IF(AK486&gt;0,"; Xero invoiced more than the deal value",""),3,300)</f>
        <v/>
      </c>
    </row>
    <row r="487">
      <c r="T487" s="9">
        <f>IFERROR(INDEX($A487:$R487,MATCH("Status",$A$1:$R$1,0)),"")&amp;""</f>
        <v/>
      </c>
      <c r="U487" s="52">
        <f>IFERROR(N(IFERROR(INDEX($A487:$R487,MATCH("Value Ex GST",$A$1:$R$1,0)),"")),0)</f>
        <v/>
      </c>
      <c r="V487" s="54">
        <f>IF(AND(T487&lt;&gt;"",IFERROR(INDEX($A487:$R487,MATCH("Value Ex GST",$A$1:$R$1,0)),"")&amp;""&lt;&gt;""),1,0)</f>
        <v/>
      </c>
      <c r="W487" s="56">
        <f>IFERROR(N(IFERROR(INDEX($A487:$R487,MATCH("Probability",$A$1:$R$1,0)),"")),0)</f>
        <v/>
      </c>
      <c r="X487" s="52">
        <f>IF(T487="Open",U487*W487,0)</f>
        <v/>
      </c>
      <c r="Y487" s="52">
        <f>IF(T487="Won",IFERROR(N(IFERROR(INDEX($A487:$R487,MATCH("Still to Invoice",$A$1:$R$1,0)),"")),0),0)</f>
        <v/>
      </c>
      <c r="Z487" s="55">
        <f>IFERROR(EOMONTH(IFERROR(INDEX($A487:$R487,MATCH("Expected Invoice Month",$A$1:$R$1,0)),""),0),"")</f>
        <v/>
      </c>
      <c r="AA487" s="9">
        <f>IFERROR(INDEX($A487:$R487,MATCH("Cost Centre",$A$1:$R$1,0)),"")&amp;""</f>
        <v/>
      </c>
      <c r="AB487" s="9">
        <f>IFERROR(INDEX($A487:$R487,MATCH("Pipeline Stage",$A$1:$R$1,0)),"")&amp;""</f>
        <v/>
      </c>
      <c r="AC487" s="9">
        <f>IFERROR(INDEX($A487:$R487,MATCH("Client",$A$1:$R$1,0)),"")&amp;""</f>
        <v/>
      </c>
      <c r="AD487" s="9">
        <f>IFERROR(INDEX($A487:$R487,MATCH("Description",$A$1:$R$1,0)),"")&amp;""</f>
        <v/>
      </c>
      <c r="AE487" s="9">
        <f>IFERROR(INDEX($A487:$R487,MATCH("Job Number",$A$1:$R$1,0)),"")&amp;""</f>
        <v/>
      </c>
      <c r="AF487" s="54">
        <f>IF(AND(T487="Open",ISNUMBER(Z487),Z487&lt;EOMONTH(set_AsAt,-1)+1),3,0)</f>
        <v/>
      </c>
      <c r="AG487" s="54">
        <f>IF(AND(T487="Open",U487&gt;0,U487&gt;=set_DealShare*SUMIFS($U$2:$U$601,$T$2:$T$601,"Open")),3,0)</f>
        <v/>
      </c>
      <c r="AH487" s="54">
        <f>IF(AND(T487="Open",U487&gt;=set_BigValue,W487&lt;=set_EarlyProb),2,0)</f>
        <v/>
      </c>
      <c r="AI487" s="54">
        <f>IF(AND(OR(T487="Open",T487="Won"),V487=0),2,0)</f>
        <v/>
      </c>
      <c r="AJ487" s="54">
        <f>IF(AND(T487="Won",Y487&gt;0.5,ISNUMBER(Z487),Z487&lt;EOMONTH(set_AsAt,-1)+1),3,0)</f>
        <v/>
      </c>
      <c r="AK487" s="54">
        <f>IF(AND(T487="Won",Y487&lt;-1),1,0)</f>
        <v/>
      </c>
      <c r="AL487" s="54">
        <f>SUM(AF487:AK487)</f>
        <v/>
      </c>
      <c r="AM487" s="9">
        <f>IF(AL487&gt;=set_ScoreHigh,"High",IF(AL487&gt;=set_ScoreMed,"Medium",IF(AL487&gt;0,"Low","OK")))</f>
        <v/>
      </c>
      <c r="AN487" s="54">
        <f>IF(OR(T487="Open",AND(T487="Won",ABS(Y487)&gt;0.5)),1,0)</f>
        <v/>
      </c>
      <c r="AO487" s="52">
        <f>IF(T487="Open",IF(V487=0,0,X487),IF(T487="Won",MAX(0,Y487),0))</f>
        <v/>
      </c>
      <c r="AP487" s="54">
        <f>IF(AN487=1,AL487*1E+9+U487+ROW()/1E+6,"")</f>
        <v/>
      </c>
      <c r="AQ487" s="9">
        <f>MID(IF(AF487&gt;0,"; Expected month passed - update Zoho","")&amp;IF(AG487&gt;0,"; "&amp;TEXT(U487/MAX(1,SUMIFS($U$2:$U$601,$T$2:$T$601,"Open")),"0%")&amp;" of open pipeline in one deal","")&amp;IF(AH487&gt;0,"; Large deal at an early stage","")&amp;IF(AI487&gt;0,"; No amount in Zoho","")&amp;IF(AJ487&gt;0,"; Won, invoice month passed, not fully invoiced","")&amp;IF(AK487&gt;0,"; Xero invoiced more than the deal value",""),3,300)</f>
        <v/>
      </c>
    </row>
    <row r="488">
      <c r="T488" s="9">
        <f>IFERROR(INDEX($A488:$R488,MATCH("Status",$A$1:$R$1,0)),"")&amp;""</f>
        <v/>
      </c>
      <c r="U488" s="52">
        <f>IFERROR(N(IFERROR(INDEX($A488:$R488,MATCH("Value Ex GST",$A$1:$R$1,0)),"")),0)</f>
        <v/>
      </c>
      <c r="V488" s="54">
        <f>IF(AND(T488&lt;&gt;"",IFERROR(INDEX($A488:$R488,MATCH("Value Ex GST",$A$1:$R$1,0)),"")&amp;""&lt;&gt;""),1,0)</f>
        <v/>
      </c>
      <c r="W488" s="56">
        <f>IFERROR(N(IFERROR(INDEX($A488:$R488,MATCH("Probability",$A$1:$R$1,0)),"")),0)</f>
        <v/>
      </c>
      <c r="X488" s="52">
        <f>IF(T488="Open",U488*W488,0)</f>
        <v/>
      </c>
      <c r="Y488" s="52">
        <f>IF(T488="Won",IFERROR(N(IFERROR(INDEX($A488:$R488,MATCH("Still to Invoice",$A$1:$R$1,0)),"")),0),0)</f>
        <v/>
      </c>
      <c r="Z488" s="55">
        <f>IFERROR(EOMONTH(IFERROR(INDEX($A488:$R488,MATCH("Expected Invoice Month",$A$1:$R$1,0)),""),0),"")</f>
        <v/>
      </c>
      <c r="AA488" s="9">
        <f>IFERROR(INDEX($A488:$R488,MATCH("Cost Centre",$A$1:$R$1,0)),"")&amp;""</f>
        <v/>
      </c>
      <c r="AB488" s="9">
        <f>IFERROR(INDEX($A488:$R488,MATCH("Pipeline Stage",$A$1:$R$1,0)),"")&amp;""</f>
        <v/>
      </c>
      <c r="AC488" s="9">
        <f>IFERROR(INDEX($A488:$R488,MATCH("Client",$A$1:$R$1,0)),"")&amp;""</f>
        <v/>
      </c>
      <c r="AD488" s="9">
        <f>IFERROR(INDEX($A488:$R488,MATCH("Description",$A$1:$R$1,0)),"")&amp;""</f>
        <v/>
      </c>
      <c r="AE488" s="9">
        <f>IFERROR(INDEX($A488:$R488,MATCH("Job Number",$A$1:$R$1,0)),"")&amp;""</f>
        <v/>
      </c>
      <c r="AF488" s="54">
        <f>IF(AND(T488="Open",ISNUMBER(Z488),Z488&lt;EOMONTH(set_AsAt,-1)+1),3,0)</f>
        <v/>
      </c>
      <c r="AG488" s="54">
        <f>IF(AND(T488="Open",U488&gt;0,U488&gt;=set_DealShare*SUMIFS($U$2:$U$601,$T$2:$T$601,"Open")),3,0)</f>
        <v/>
      </c>
      <c r="AH488" s="54">
        <f>IF(AND(T488="Open",U488&gt;=set_BigValue,W488&lt;=set_EarlyProb),2,0)</f>
        <v/>
      </c>
      <c r="AI488" s="54">
        <f>IF(AND(OR(T488="Open",T488="Won"),V488=0),2,0)</f>
        <v/>
      </c>
      <c r="AJ488" s="54">
        <f>IF(AND(T488="Won",Y488&gt;0.5,ISNUMBER(Z488),Z488&lt;EOMONTH(set_AsAt,-1)+1),3,0)</f>
        <v/>
      </c>
      <c r="AK488" s="54">
        <f>IF(AND(T488="Won",Y488&lt;-1),1,0)</f>
        <v/>
      </c>
      <c r="AL488" s="54">
        <f>SUM(AF488:AK488)</f>
        <v/>
      </c>
      <c r="AM488" s="9">
        <f>IF(AL488&gt;=set_ScoreHigh,"High",IF(AL488&gt;=set_ScoreMed,"Medium",IF(AL488&gt;0,"Low","OK")))</f>
        <v/>
      </c>
      <c r="AN488" s="54">
        <f>IF(OR(T488="Open",AND(T488="Won",ABS(Y488)&gt;0.5)),1,0)</f>
        <v/>
      </c>
      <c r="AO488" s="52">
        <f>IF(T488="Open",IF(V488=0,0,X488),IF(T488="Won",MAX(0,Y488),0))</f>
        <v/>
      </c>
      <c r="AP488" s="54">
        <f>IF(AN488=1,AL488*1E+9+U488+ROW()/1E+6,"")</f>
        <v/>
      </c>
      <c r="AQ488" s="9">
        <f>MID(IF(AF488&gt;0,"; Expected month passed - update Zoho","")&amp;IF(AG488&gt;0,"; "&amp;TEXT(U488/MAX(1,SUMIFS($U$2:$U$601,$T$2:$T$601,"Open")),"0%")&amp;" of open pipeline in one deal","")&amp;IF(AH488&gt;0,"; Large deal at an early stage","")&amp;IF(AI488&gt;0,"; No amount in Zoho","")&amp;IF(AJ488&gt;0,"; Won, invoice month passed, not fully invoiced","")&amp;IF(AK488&gt;0,"; Xero invoiced more than the deal value",""),3,300)</f>
        <v/>
      </c>
    </row>
    <row r="489">
      <c r="T489" s="9">
        <f>IFERROR(INDEX($A489:$R489,MATCH("Status",$A$1:$R$1,0)),"")&amp;""</f>
        <v/>
      </c>
      <c r="U489" s="52">
        <f>IFERROR(N(IFERROR(INDEX($A489:$R489,MATCH("Value Ex GST",$A$1:$R$1,0)),"")),0)</f>
        <v/>
      </c>
      <c r="V489" s="54">
        <f>IF(AND(T489&lt;&gt;"",IFERROR(INDEX($A489:$R489,MATCH("Value Ex GST",$A$1:$R$1,0)),"")&amp;""&lt;&gt;""),1,0)</f>
        <v/>
      </c>
      <c r="W489" s="56">
        <f>IFERROR(N(IFERROR(INDEX($A489:$R489,MATCH("Probability",$A$1:$R$1,0)),"")),0)</f>
        <v/>
      </c>
      <c r="X489" s="52">
        <f>IF(T489="Open",U489*W489,0)</f>
        <v/>
      </c>
      <c r="Y489" s="52">
        <f>IF(T489="Won",IFERROR(N(IFERROR(INDEX($A489:$R489,MATCH("Still to Invoice",$A$1:$R$1,0)),"")),0),0)</f>
        <v/>
      </c>
      <c r="Z489" s="55">
        <f>IFERROR(EOMONTH(IFERROR(INDEX($A489:$R489,MATCH("Expected Invoice Month",$A$1:$R$1,0)),""),0),"")</f>
        <v/>
      </c>
      <c r="AA489" s="9">
        <f>IFERROR(INDEX($A489:$R489,MATCH("Cost Centre",$A$1:$R$1,0)),"")&amp;""</f>
        <v/>
      </c>
      <c r="AB489" s="9">
        <f>IFERROR(INDEX($A489:$R489,MATCH("Pipeline Stage",$A$1:$R$1,0)),"")&amp;""</f>
        <v/>
      </c>
      <c r="AC489" s="9">
        <f>IFERROR(INDEX($A489:$R489,MATCH("Client",$A$1:$R$1,0)),"")&amp;""</f>
        <v/>
      </c>
      <c r="AD489" s="9">
        <f>IFERROR(INDEX($A489:$R489,MATCH("Description",$A$1:$R$1,0)),"")&amp;""</f>
        <v/>
      </c>
      <c r="AE489" s="9">
        <f>IFERROR(INDEX($A489:$R489,MATCH("Job Number",$A$1:$R$1,0)),"")&amp;""</f>
        <v/>
      </c>
      <c r="AF489" s="54">
        <f>IF(AND(T489="Open",ISNUMBER(Z489),Z489&lt;EOMONTH(set_AsAt,-1)+1),3,0)</f>
        <v/>
      </c>
      <c r="AG489" s="54">
        <f>IF(AND(T489="Open",U489&gt;0,U489&gt;=set_DealShare*SUMIFS($U$2:$U$601,$T$2:$T$601,"Open")),3,0)</f>
        <v/>
      </c>
      <c r="AH489" s="54">
        <f>IF(AND(T489="Open",U489&gt;=set_BigValue,W489&lt;=set_EarlyProb),2,0)</f>
        <v/>
      </c>
      <c r="AI489" s="54">
        <f>IF(AND(OR(T489="Open",T489="Won"),V489=0),2,0)</f>
        <v/>
      </c>
      <c r="AJ489" s="54">
        <f>IF(AND(T489="Won",Y489&gt;0.5,ISNUMBER(Z489),Z489&lt;EOMONTH(set_AsAt,-1)+1),3,0)</f>
        <v/>
      </c>
      <c r="AK489" s="54">
        <f>IF(AND(T489="Won",Y489&lt;-1),1,0)</f>
        <v/>
      </c>
      <c r="AL489" s="54">
        <f>SUM(AF489:AK489)</f>
        <v/>
      </c>
      <c r="AM489" s="9">
        <f>IF(AL489&gt;=set_ScoreHigh,"High",IF(AL489&gt;=set_ScoreMed,"Medium",IF(AL489&gt;0,"Low","OK")))</f>
        <v/>
      </c>
      <c r="AN489" s="54">
        <f>IF(OR(T489="Open",AND(T489="Won",ABS(Y489)&gt;0.5)),1,0)</f>
        <v/>
      </c>
      <c r="AO489" s="52">
        <f>IF(T489="Open",IF(V489=0,0,X489),IF(T489="Won",MAX(0,Y489),0))</f>
        <v/>
      </c>
      <c r="AP489" s="54">
        <f>IF(AN489=1,AL489*1E+9+U489+ROW()/1E+6,"")</f>
        <v/>
      </c>
      <c r="AQ489" s="9">
        <f>MID(IF(AF489&gt;0,"; Expected month passed - update Zoho","")&amp;IF(AG489&gt;0,"; "&amp;TEXT(U489/MAX(1,SUMIFS($U$2:$U$601,$T$2:$T$601,"Open")),"0%")&amp;" of open pipeline in one deal","")&amp;IF(AH489&gt;0,"; Large deal at an early stage","")&amp;IF(AI489&gt;0,"; No amount in Zoho","")&amp;IF(AJ489&gt;0,"; Won, invoice month passed, not fully invoiced","")&amp;IF(AK489&gt;0,"; Xero invoiced more than the deal value",""),3,300)</f>
        <v/>
      </c>
    </row>
    <row r="490">
      <c r="T490" s="9">
        <f>IFERROR(INDEX($A490:$R490,MATCH("Status",$A$1:$R$1,0)),"")&amp;""</f>
        <v/>
      </c>
      <c r="U490" s="52">
        <f>IFERROR(N(IFERROR(INDEX($A490:$R490,MATCH("Value Ex GST",$A$1:$R$1,0)),"")),0)</f>
        <v/>
      </c>
      <c r="V490" s="54">
        <f>IF(AND(T490&lt;&gt;"",IFERROR(INDEX($A490:$R490,MATCH("Value Ex GST",$A$1:$R$1,0)),"")&amp;""&lt;&gt;""),1,0)</f>
        <v/>
      </c>
      <c r="W490" s="56">
        <f>IFERROR(N(IFERROR(INDEX($A490:$R490,MATCH("Probability",$A$1:$R$1,0)),"")),0)</f>
        <v/>
      </c>
      <c r="X490" s="52">
        <f>IF(T490="Open",U490*W490,0)</f>
        <v/>
      </c>
      <c r="Y490" s="52">
        <f>IF(T490="Won",IFERROR(N(IFERROR(INDEX($A490:$R490,MATCH("Still to Invoice",$A$1:$R$1,0)),"")),0),0)</f>
        <v/>
      </c>
      <c r="Z490" s="55">
        <f>IFERROR(EOMONTH(IFERROR(INDEX($A490:$R490,MATCH("Expected Invoice Month",$A$1:$R$1,0)),""),0),"")</f>
        <v/>
      </c>
      <c r="AA490" s="9">
        <f>IFERROR(INDEX($A490:$R490,MATCH("Cost Centre",$A$1:$R$1,0)),"")&amp;""</f>
        <v/>
      </c>
      <c r="AB490" s="9">
        <f>IFERROR(INDEX($A490:$R490,MATCH("Pipeline Stage",$A$1:$R$1,0)),"")&amp;""</f>
        <v/>
      </c>
      <c r="AC490" s="9">
        <f>IFERROR(INDEX($A490:$R490,MATCH("Client",$A$1:$R$1,0)),"")&amp;""</f>
        <v/>
      </c>
      <c r="AD490" s="9">
        <f>IFERROR(INDEX($A490:$R490,MATCH("Description",$A$1:$R$1,0)),"")&amp;""</f>
        <v/>
      </c>
      <c r="AE490" s="9">
        <f>IFERROR(INDEX($A490:$R490,MATCH("Job Number",$A$1:$R$1,0)),"")&amp;""</f>
        <v/>
      </c>
      <c r="AF490" s="54">
        <f>IF(AND(T490="Open",ISNUMBER(Z490),Z490&lt;EOMONTH(set_AsAt,-1)+1),3,0)</f>
        <v/>
      </c>
      <c r="AG490" s="54">
        <f>IF(AND(T490="Open",U490&gt;0,U490&gt;=set_DealShare*SUMIFS($U$2:$U$601,$T$2:$T$601,"Open")),3,0)</f>
        <v/>
      </c>
      <c r="AH490" s="54">
        <f>IF(AND(T490="Open",U490&gt;=set_BigValue,W490&lt;=set_EarlyProb),2,0)</f>
        <v/>
      </c>
      <c r="AI490" s="54">
        <f>IF(AND(OR(T490="Open",T490="Won"),V490=0),2,0)</f>
        <v/>
      </c>
      <c r="AJ490" s="54">
        <f>IF(AND(T490="Won",Y490&gt;0.5,ISNUMBER(Z490),Z490&lt;EOMONTH(set_AsAt,-1)+1),3,0)</f>
        <v/>
      </c>
      <c r="AK490" s="54">
        <f>IF(AND(T490="Won",Y490&lt;-1),1,0)</f>
        <v/>
      </c>
      <c r="AL490" s="54">
        <f>SUM(AF490:AK490)</f>
        <v/>
      </c>
      <c r="AM490" s="9">
        <f>IF(AL490&gt;=set_ScoreHigh,"High",IF(AL490&gt;=set_ScoreMed,"Medium",IF(AL490&gt;0,"Low","OK")))</f>
        <v/>
      </c>
      <c r="AN490" s="54">
        <f>IF(OR(T490="Open",AND(T490="Won",ABS(Y490)&gt;0.5)),1,0)</f>
        <v/>
      </c>
      <c r="AO490" s="52">
        <f>IF(T490="Open",IF(V490=0,0,X490),IF(T490="Won",MAX(0,Y490),0))</f>
        <v/>
      </c>
      <c r="AP490" s="54">
        <f>IF(AN490=1,AL490*1E+9+U490+ROW()/1E+6,"")</f>
        <v/>
      </c>
      <c r="AQ490" s="9">
        <f>MID(IF(AF490&gt;0,"; Expected month passed - update Zoho","")&amp;IF(AG490&gt;0,"; "&amp;TEXT(U490/MAX(1,SUMIFS($U$2:$U$601,$T$2:$T$601,"Open")),"0%")&amp;" of open pipeline in one deal","")&amp;IF(AH490&gt;0,"; Large deal at an early stage","")&amp;IF(AI490&gt;0,"; No amount in Zoho","")&amp;IF(AJ490&gt;0,"; Won, invoice month passed, not fully invoiced","")&amp;IF(AK490&gt;0,"; Xero invoiced more than the deal value",""),3,300)</f>
        <v/>
      </c>
    </row>
    <row r="491">
      <c r="T491" s="9">
        <f>IFERROR(INDEX($A491:$R491,MATCH("Status",$A$1:$R$1,0)),"")&amp;""</f>
        <v/>
      </c>
      <c r="U491" s="52">
        <f>IFERROR(N(IFERROR(INDEX($A491:$R491,MATCH("Value Ex GST",$A$1:$R$1,0)),"")),0)</f>
        <v/>
      </c>
      <c r="V491" s="54">
        <f>IF(AND(T491&lt;&gt;"",IFERROR(INDEX($A491:$R491,MATCH("Value Ex GST",$A$1:$R$1,0)),"")&amp;""&lt;&gt;""),1,0)</f>
        <v/>
      </c>
      <c r="W491" s="56">
        <f>IFERROR(N(IFERROR(INDEX($A491:$R491,MATCH("Probability",$A$1:$R$1,0)),"")),0)</f>
        <v/>
      </c>
      <c r="X491" s="52">
        <f>IF(T491="Open",U491*W491,0)</f>
        <v/>
      </c>
      <c r="Y491" s="52">
        <f>IF(T491="Won",IFERROR(N(IFERROR(INDEX($A491:$R491,MATCH("Still to Invoice",$A$1:$R$1,0)),"")),0),0)</f>
        <v/>
      </c>
      <c r="Z491" s="55">
        <f>IFERROR(EOMONTH(IFERROR(INDEX($A491:$R491,MATCH("Expected Invoice Month",$A$1:$R$1,0)),""),0),"")</f>
        <v/>
      </c>
      <c r="AA491" s="9">
        <f>IFERROR(INDEX($A491:$R491,MATCH("Cost Centre",$A$1:$R$1,0)),"")&amp;""</f>
        <v/>
      </c>
      <c r="AB491" s="9">
        <f>IFERROR(INDEX($A491:$R491,MATCH("Pipeline Stage",$A$1:$R$1,0)),"")&amp;""</f>
        <v/>
      </c>
      <c r="AC491" s="9">
        <f>IFERROR(INDEX($A491:$R491,MATCH("Client",$A$1:$R$1,0)),"")&amp;""</f>
        <v/>
      </c>
      <c r="AD491" s="9">
        <f>IFERROR(INDEX($A491:$R491,MATCH("Description",$A$1:$R$1,0)),"")&amp;""</f>
        <v/>
      </c>
      <c r="AE491" s="9">
        <f>IFERROR(INDEX($A491:$R491,MATCH("Job Number",$A$1:$R$1,0)),"")&amp;""</f>
        <v/>
      </c>
      <c r="AF491" s="54">
        <f>IF(AND(T491="Open",ISNUMBER(Z491),Z491&lt;EOMONTH(set_AsAt,-1)+1),3,0)</f>
        <v/>
      </c>
      <c r="AG491" s="54">
        <f>IF(AND(T491="Open",U491&gt;0,U491&gt;=set_DealShare*SUMIFS($U$2:$U$601,$T$2:$T$601,"Open")),3,0)</f>
        <v/>
      </c>
      <c r="AH491" s="54">
        <f>IF(AND(T491="Open",U491&gt;=set_BigValue,W491&lt;=set_EarlyProb),2,0)</f>
        <v/>
      </c>
      <c r="AI491" s="54">
        <f>IF(AND(OR(T491="Open",T491="Won"),V491=0),2,0)</f>
        <v/>
      </c>
      <c r="AJ491" s="54">
        <f>IF(AND(T491="Won",Y491&gt;0.5,ISNUMBER(Z491),Z491&lt;EOMONTH(set_AsAt,-1)+1),3,0)</f>
        <v/>
      </c>
      <c r="AK491" s="54">
        <f>IF(AND(T491="Won",Y491&lt;-1),1,0)</f>
        <v/>
      </c>
      <c r="AL491" s="54">
        <f>SUM(AF491:AK491)</f>
        <v/>
      </c>
      <c r="AM491" s="9">
        <f>IF(AL491&gt;=set_ScoreHigh,"High",IF(AL491&gt;=set_ScoreMed,"Medium",IF(AL491&gt;0,"Low","OK")))</f>
        <v/>
      </c>
      <c r="AN491" s="54">
        <f>IF(OR(T491="Open",AND(T491="Won",ABS(Y491)&gt;0.5)),1,0)</f>
        <v/>
      </c>
      <c r="AO491" s="52">
        <f>IF(T491="Open",IF(V491=0,0,X491),IF(T491="Won",MAX(0,Y491),0))</f>
        <v/>
      </c>
      <c r="AP491" s="54">
        <f>IF(AN491=1,AL491*1E+9+U491+ROW()/1E+6,"")</f>
        <v/>
      </c>
      <c r="AQ491" s="9">
        <f>MID(IF(AF491&gt;0,"; Expected month passed - update Zoho","")&amp;IF(AG491&gt;0,"; "&amp;TEXT(U491/MAX(1,SUMIFS($U$2:$U$601,$T$2:$T$601,"Open")),"0%")&amp;" of open pipeline in one deal","")&amp;IF(AH491&gt;0,"; Large deal at an early stage","")&amp;IF(AI491&gt;0,"; No amount in Zoho","")&amp;IF(AJ491&gt;0,"; Won, invoice month passed, not fully invoiced","")&amp;IF(AK491&gt;0,"; Xero invoiced more than the deal value",""),3,300)</f>
        <v/>
      </c>
    </row>
    <row r="492">
      <c r="T492" s="9">
        <f>IFERROR(INDEX($A492:$R492,MATCH("Status",$A$1:$R$1,0)),"")&amp;""</f>
        <v/>
      </c>
      <c r="U492" s="52">
        <f>IFERROR(N(IFERROR(INDEX($A492:$R492,MATCH("Value Ex GST",$A$1:$R$1,0)),"")),0)</f>
        <v/>
      </c>
      <c r="V492" s="54">
        <f>IF(AND(T492&lt;&gt;"",IFERROR(INDEX($A492:$R492,MATCH("Value Ex GST",$A$1:$R$1,0)),"")&amp;""&lt;&gt;""),1,0)</f>
        <v/>
      </c>
      <c r="W492" s="56">
        <f>IFERROR(N(IFERROR(INDEX($A492:$R492,MATCH("Probability",$A$1:$R$1,0)),"")),0)</f>
        <v/>
      </c>
      <c r="X492" s="52">
        <f>IF(T492="Open",U492*W492,0)</f>
        <v/>
      </c>
      <c r="Y492" s="52">
        <f>IF(T492="Won",IFERROR(N(IFERROR(INDEX($A492:$R492,MATCH("Still to Invoice",$A$1:$R$1,0)),"")),0),0)</f>
        <v/>
      </c>
      <c r="Z492" s="55">
        <f>IFERROR(EOMONTH(IFERROR(INDEX($A492:$R492,MATCH("Expected Invoice Month",$A$1:$R$1,0)),""),0),"")</f>
        <v/>
      </c>
      <c r="AA492" s="9">
        <f>IFERROR(INDEX($A492:$R492,MATCH("Cost Centre",$A$1:$R$1,0)),"")&amp;""</f>
        <v/>
      </c>
      <c r="AB492" s="9">
        <f>IFERROR(INDEX($A492:$R492,MATCH("Pipeline Stage",$A$1:$R$1,0)),"")&amp;""</f>
        <v/>
      </c>
      <c r="AC492" s="9">
        <f>IFERROR(INDEX($A492:$R492,MATCH("Client",$A$1:$R$1,0)),"")&amp;""</f>
        <v/>
      </c>
      <c r="AD492" s="9">
        <f>IFERROR(INDEX($A492:$R492,MATCH("Description",$A$1:$R$1,0)),"")&amp;""</f>
        <v/>
      </c>
      <c r="AE492" s="9">
        <f>IFERROR(INDEX($A492:$R492,MATCH("Job Number",$A$1:$R$1,0)),"")&amp;""</f>
        <v/>
      </c>
      <c r="AF492" s="54">
        <f>IF(AND(T492="Open",ISNUMBER(Z492),Z492&lt;EOMONTH(set_AsAt,-1)+1),3,0)</f>
        <v/>
      </c>
      <c r="AG492" s="54">
        <f>IF(AND(T492="Open",U492&gt;0,U492&gt;=set_DealShare*SUMIFS($U$2:$U$601,$T$2:$T$601,"Open")),3,0)</f>
        <v/>
      </c>
      <c r="AH492" s="54">
        <f>IF(AND(T492="Open",U492&gt;=set_BigValue,W492&lt;=set_EarlyProb),2,0)</f>
        <v/>
      </c>
      <c r="AI492" s="54">
        <f>IF(AND(OR(T492="Open",T492="Won"),V492=0),2,0)</f>
        <v/>
      </c>
      <c r="AJ492" s="54">
        <f>IF(AND(T492="Won",Y492&gt;0.5,ISNUMBER(Z492),Z492&lt;EOMONTH(set_AsAt,-1)+1),3,0)</f>
        <v/>
      </c>
      <c r="AK492" s="54">
        <f>IF(AND(T492="Won",Y492&lt;-1),1,0)</f>
        <v/>
      </c>
      <c r="AL492" s="54">
        <f>SUM(AF492:AK492)</f>
        <v/>
      </c>
      <c r="AM492" s="9">
        <f>IF(AL492&gt;=set_ScoreHigh,"High",IF(AL492&gt;=set_ScoreMed,"Medium",IF(AL492&gt;0,"Low","OK")))</f>
        <v/>
      </c>
      <c r="AN492" s="54">
        <f>IF(OR(T492="Open",AND(T492="Won",ABS(Y492)&gt;0.5)),1,0)</f>
        <v/>
      </c>
      <c r="AO492" s="52">
        <f>IF(T492="Open",IF(V492=0,0,X492),IF(T492="Won",MAX(0,Y492),0))</f>
        <v/>
      </c>
      <c r="AP492" s="54">
        <f>IF(AN492=1,AL492*1E+9+U492+ROW()/1E+6,"")</f>
        <v/>
      </c>
      <c r="AQ492" s="9">
        <f>MID(IF(AF492&gt;0,"; Expected month passed - update Zoho","")&amp;IF(AG492&gt;0,"; "&amp;TEXT(U492/MAX(1,SUMIFS($U$2:$U$601,$T$2:$T$601,"Open")),"0%")&amp;" of open pipeline in one deal","")&amp;IF(AH492&gt;0,"; Large deal at an early stage","")&amp;IF(AI492&gt;0,"; No amount in Zoho","")&amp;IF(AJ492&gt;0,"; Won, invoice month passed, not fully invoiced","")&amp;IF(AK492&gt;0,"; Xero invoiced more than the deal value",""),3,300)</f>
        <v/>
      </c>
    </row>
    <row r="493">
      <c r="T493" s="9">
        <f>IFERROR(INDEX($A493:$R493,MATCH("Status",$A$1:$R$1,0)),"")&amp;""</f>
        <v/>
      </c>
      <c r="U493" s="52">
        <f>IFERROR(N(IFERROR(INDEX($A493:$R493,MATCH("Value Ex GST",$A$1:$R$1,0)),"")),0)</f>
        <v/>
      </c>
      <c r="V493" s="54">
        <f>IF(AND(T493&lt;&gt;"",IFERROR(INDEX($A493:$R493,MATCH("Value Ex GST",$A$1:$R$1,0)),"")&amp;""&lt;&gt;""),1,0)</f>
        <v/>
      </c>
      <c r="W493" s="56">
        <f>IFERROR(N(IFERROR(INDEX($A493:$R493,MATCH("Probability",$A$1:$R$1,0)),"")),0)</f>
        <v/>
      </c>
      <c r="X493" s="52">
        <f>IF(T493="Open",U493*W493,0)</f>
        <v/>
      </c>
      <c r="Y493" s="52">
        <f>IF(T493="Won",IFERROR(N(IFERROR(INDEX($A493:$R493,MATCH("Still to Invoice",$A$1:$R$1,0)),"")),0),0)</f>
        <v/>
      </c>
      <c r="Z493" s="55">
        <f>IFERROR(EOMONTH(IFERROR(INDEX($A493:$R493,MATCH("Expected Invoice Month",$A$1:$R$1,0)),""),0),"")</f>
        <v/>
      </c>
      <c r="AA493" s="9">
        <f>IFERROR(INDEX($A493:$R493,MATCH("Cost Centre",$A$1:$R$1,0)),"")&amp;""</f>
        <v/>
      </c>
      <c r="AB493" s="9">
        <f>IFERROR(INDEX($A493:$R493,MATCH("Pipeline Stage",$A$1:$R$1,0)),"")&amp;""</f>
        <v/>
      </c>
      <c r="AC493" s="9">
        <f>IFERROR(INDEX($A493:$R493,MATCH("Client",$A$1:$R$1,0)),"")&amp;""</f>
        <v/>
      </c>
      <c r="AD493" s="9">
        <f>IFERROR(INDEX($A493:$R493,MATCH("Description",$A$1:$R$1,0)),"")&amp;""</f>
        <v/>
      </c>
      <c r="AE493" s="9">
        <f>IFERROR(INDEX($A493:$R493,MATCH("Job Number",$A$1:$R$1,0)),"")&amp;""</f>
        <v/>
      </c>
      <c r="AF493" s="54">
        <f>IF(AND(T493="Open",ISNUMBER(Z493),Z493&lt;EOMONTH(set_AsAt,-1)+1),3,0)</f>
        <v/>
      </c>
      <c r="AG493" s="54">
        <f>IF(AND(T493="Open",U493&gt;0,U493&gt;=set_DealShare*SUMIFS($U$2:$U$601,$T$2:$T$601,"Open")),3,0)</f>
        <v/>
      </c>
      <c r="AH493" s="54">
        <f>IF(AND(T493="Open",U493&gt;=set_BigValue,W493&lt;=set_EarlyProb),2,0)</f>
        <v/>
      </c>
      <c r="AI493" s="54">
        <f>IF(AND(OR(T493="Open",T493="Won"),V493=0),2,0)</f>
        <v/>
      </c>
      <c r="AJ493" s="54">
        <f>IF(AND(T493="Won",Y493&gt;0.5,ISNUMBER(Z493),Z493&lt;EOMONTH(set_AsAt,-1)+1),3,0)</f>
        <v/>
      </c>
      <c r="AK493" s="54">
        <f>IF(AND(T493="Won",Y493&lt;-1),1,0)</f>
        <v/>
      </c>
      <c r="AL493" s="54">
        <f>SUM(AF493:AK493)</f>
        <v/>
      </c>
      <c r="AM493" s="9">
        <f>IF(AL493&gt;=set_ScoreHigh,"High",IF(AL493&gt;=set_ScoreMed,"Medium",IF(AL493&gt;0,"Low","OK")))</f>
        <v/>
      </c>
      <c r="AN493" s="54">
        <f>IF(OR(T493="Open",AND(T493="Won",ABS(Y493)&gt;0.5)),1,0)</f>
        <v/>
      </c>
      <c r="AO493" s="52">
        <f>IF(T493="Open",IF(V493=0,0,X493),IF(T493="Won",MAX(0,Y493),0))</f>
        <v/>
      </c>
      <c r="AP493" s="54">
        <f>IF(AN493=1,AL493*1E+9+U493+ROW()/1E+6,"")</f>
        <v/>
      </c>
      <c r="AQ493" s="9">
        <f>MID(IF(AF493&gt;0,"; Expected month passed - update Zoho","")&amp;IF(AG493&gt;0,"; "&amp;TEXT(U493/MAX(1,SUMIFS($U$2:$U$601,$T$2:$T$601,"Open")),"0%")&amp;" of open pipeline in one deal","")&amp;IF(AH493&gt;0,"; Large deal at an early stage","")&amp;IF(AI493&gt;0,"; No amount in Zoho","")&amp;IF(AJ493&gt;0,"; Won, invoice month passed, not fully invoiced","")&amp;IF(AK493&gt;0,"; Xero invoiced more than the deal value",""),3,300)</f>
        <v/>
      </c>
    </row>
    <row r="494">
      <c r="T494" s="9">
        <f>IFERROR(INDEX($A494:$R494,MATCH("Status",$A$1:$R$1,0)),"")&amp;""</f>
        <v/>
      </c>
      <c r="U494" s="52">
        <f>IFERROR(N(IFERROR(INDEX($A494:$R494,MATCH("Value Ex GST",$A$1:$R$1,0)),"")),0)</f>
        <v/>
      </c>
      <c r="V494" s="54">
        <f>IF(AND(T494&lt;&gt;"",IFERROR(INDEX($A494:$R494,MATCH("Value Ex GST",$A$1:$R$1,0)),"")&amp;""&lt;&gt;""),1,0)</f>
        <v/>
      </c>
      <c r="W494" s="56">
        <f>IFERROR(N(IFERROR(INDEX($A494:$R494,MATCH("Probability",$A$1:$R$1,0)),"")),0)</f>
        <v/>
      </c>
      <c r="X494" s="52">
        <f>IF(T494="Open",U494*W494,0)</f>
        <v/>
      </c>
      <c r="Y494" s="52">
        <f>IF(T494="Won",IFERROR(N(IFERROR(INDEX($A494:$R494,MATCH("Still to Invoice",$A$1:$R$1,0)),"")),0),0)</f>
        <v/>
      </c>
      <c r="Z494" s="55">
        <f>IFERROR(EOMONTH(IFERROR(INDEX($A494:$R494,MATCH("Expected Invoice Month",$A$1:$R$1,0)),""),0),"")</f>
        <v/>
      </c>
      <c r="AA494" s="9">
        <f>IFERROR(INDEX($A494:$R494,MATCH("Cost Centre",$A$1:$R$1,0)),"")&amp;""</f>
        <v/>
      </c>
      <c r="AB494" s="9">
        <f>IFERROR(INDEX($A494:$R494,MATCH("Pipeline Stage",$A$1:$R$1,0)),"")&amp;""</f>
        <v/>
      </c>
      <c r="AC494" s="9">
        <f>IFERROR(INDEX($A494:$R494,MATCH("Client",$A$1:$R$1,0)),"")&amp;""</f>
        <v/>
      </c>
      <c r="AD494" s="9">
        <f>IFERROR(INDEX($A494:$R494,MATCH("Description",$A$1:$R$1,0)),"")&amp;""</f>
        <v/>
      </c>
      <c r="AE494" s="9">
        <f>IFERROR(INDEX($A494:$R494,MATCH("Job Number",$A$1:$R$1,0)),"")&amp;""</f>
        <v/>
      </c>
      <c r="AF494" s="54">
        <f>IF(AND(T494="Open",ISNUMBER(Z494),Z494&lt;EOMONTH(set_AsAt,-1)+1),3,0)</f>
        <v/>
      </c>
      <c r="AG494" s="54">
        <f>IF(AND(T494="Open",U494&gt;0,U494&gt;=set_DealShare*SUMIFS($U$2:$U$601,$T$2:$T$601,"Open")),3,0)</f>
        <v/>
      </c>
      <c r="AH494" s="54">
        <f>IF(AND(T494="Open",U494&gt;=set_BigValue,W494&lt;=set_EarlyProb),2,0)</f>
        <v/>
      </c>
      <c r="AI494" s="54">
        <f>IF(AND(OR(T494="Open",T494="Won"),V494=0),2,0)</f>
        <v/>
      </c>
      <c r="AJ494" s="54">
        <f>IF(AND(T494="Won",Y494&gt;0.5,ISNUMBER(Z494),Z494&lt;EOMONTH(set_AsAt,-1)+1),3,0)</f>
        <v/>
      </c>
      <c r="AK494" s="54">
        <f>IF(AND(T494="Won",Y494&lt;-1),1,0)</f>
        <v/>
      </c>
      <c r="AL494" s="54">
        <f>SUM(AF494:AK494)</f>
        <v/>
      </c>
      <c r="AM494" s="9">
        <f>IF(AL494&gt;=set_ScoreHigh,"High",IF(AL494&gt;=set_ScoreMed,"Medium",IF(AL494&gt;0,"Low","OK")))</f>
        <v/>
      </c>
      <c r="AN494" s="54">
        <f>IF(OR(T494="Open",AND(T494="Won",ABS(Y494)&gt;0.5)),1,0)</f>
        <v/>
      </c>
      <c r="AO494" s="52">
        <f>IF(T494="Open",IF(V494=0,0,X494),IF(T494="Won",MAX(0,Y494),0))</f>
        <v/>
      </c>
      <c r="AP494" s="54">
        <f>IF(AN494=1,AL494*1E+9+U494+ROW()/1E+6,"")</f>
        <v/>
      </c>
      <c r="AQ494" s="9">
        <f>MID(IF(AF494&gt;0,"; Expected month passed - update Zoho","")&amp;IF(AG494&gt;0,"; "&amp;TEXT(U494/MAX(1,SUMIFS($U$2:$U$601,$T$2:$T$601,"Open")),"0%")&amp;" of open pipeline in one deal","")&amp;IF(AH494&gt;0,"; Large deal at an early stage","")&amp;IF(AI494&gt;0,"; No amount in Zoho","")&amp;IF(AJ494&gt;0,"; Won, invoice month passed, not fully invoiced","")&amp;IF(AK494&gt;0,"; Xero invoiced more than the deal value",""),3,300)</f>
        <v/>
      </c>
    </row>
    <row r="495">
      <c r="T495" s="9">
        <f>IFERROR(INDEX($A495:$R495,MATCH("Status",$A$1:$R$1,0)),"")&amp;""</f>
        <v/>
      </c>
      <c r="U495" s="52">
        <f>IFERROR(N(IFERROR(INDEX($A495:$R495,MATCH("Value Ex GST",$A$1:$R$1,0)),"")),0)</f>
        <v/>
      </c>
      <c r="V495" s="54">
        <f>IF(AND(T495&lt;&gt;"",IFERROR(INDEX($A495:$R495,MATCH("Value Ex GST",$A$1:$R$1,0)),"")&amp;""&lt;&gt;""),1,0)</f>
        <v/>
      </c>
      <c r="W495" s="56">
        <f>IFERROR(N(IFERROR(INDEX($A495:$R495,MATCH("Probability",$A$1:$R$1,0)),"")),0)</f>
        <v/>
      </c>
      <c r="X495" s="52">
        <f>IF(T495="Open",U495*W495,0)</f>
        <v/>
      </c>
      <c r="Y495" s="52">
        <f>IF(T495="Won",IFERROR(N(IFERROR(INDEX($A495:$R495,MATCH("Still to Invoice",$A$1:$R$1,0)),"")),0),0)</f>
        <v/>
      </c>
      <c r="Z495" s="55">
        <f>IFERROR(EOMONTH(IFERROR(INDEX($A495:$R495,MATCH("Expected Invoice Month",$A$1:$R$1,0)),""),0),"")</f>
        <v/>
      </c>
      <c r="AA495" s="9">
        <f>IFERROR(INDEX($A495:$R495,MATCH("Cost Centre",$A$1:$R$1,0)),"")&amp;""</f>
        <v/>
      </c>
      <c r="AB495" s="9">
        <f>IFERROR(INDEX($A495:$R495,MATCH("Pipeline Stage",$A$1:$R$1,0)),"")&amp;""</f>
        <v/>
      </c>
      <c r="AC495" s="9">
        <f>IFERROR(INDEX($A495:$R495,MATCH("Client",$A$1:$R$1,0)),"")&amp;""</f>
        <v/>
      </c>
      <c r="AD495" s="9">
        <f>IFERROR(INDEX($A495:$R495,MATCH("Description",$A$1:$R$1,0)),"")&amp;""</f>
        <v/>
      </c>
      <c r="AE495" s="9">
        <f>IFERROR(INDEX($A495:$R495,MATCH("Job Number",$A$1:$R$1,0)),"")&amp;""</f>
        <v/>
      </c>
      <c r="AF495" s="54">
        <f>IF(AND(T495="Open",ISNUMBER(Z495),Z495&lt;EOMONTH(set_AsAt,-1)+1),3,0)</f>
        <v/>
      </c>
      <c r="AG495" s="54">
        <f>IF(AND(T495="Open",U495&gt;0,U495&gt;=set_DealShare*SUMIFS($U$2:$U$601,$T$2:$T$601,"Open")),3,0)</f>
        <v/>
      </c>
      <c r="AH495" s="54">
        <f>IF(AND(T495="Open",U495&gt;=set_BigValue,W495&lt;=set_EarlyProb),2,0)</f>
        <v/>
      </c>
      <c r="AI495" s="54">
        <f>IF(AND(OR(T495="Open",T495="Won"),V495=0),2,0)</f>
        <v/>
      </c>
      <c r="AJ495" s="54">
        <f>IF(AND(T495="Won",Y495&gt;0.5,ISNUMBER(Z495),Z495&lt;EOMONTH(set_AsAt,-1)+1),3,0)</f>
        <v/>
      </c>
      <c r="AK495" s="54">
        <f>IF(AND(T495="Won",Y495&lt;-1),1,0)</f>
        <v/>
      </c>
      <c r="AL495" s="54">
        <f>SUM(AF495:AK495)</f>
        <v/>
      </c>
      <c r="AM495" s="9">
        <f>IF(AL495&gt;=set_ScoreHigh,"High",IF(AL495&gt;=set_ScoreMed,"Medium",IF(AL495&gt;0,"Low","OK")))</f>
        <v/>
      </c>
      <c r="AN495" s="54">
        <f>IF(OR(T495="Open",AND(T495="Won",ABS(Y495)&gt;0.5)),1,0)</f>
        <v/>
      </c>
      <c r="AO495" s="52">
        <f>IF(T495="Open",IF(V495=0,0,X495),IF(T495="Won",MAX(0,Y495),0))</f>
        <v/>
      </c>
      <c r="AP495" s="54">
        <f>IF(AN495=1,AL495*1E+9+U495+ROW()/1E+6,"")</f>
        <v/>
      </c>
      <c r="AQ495" s="9">
        <f>MID(IF(AF495&gt;0,"; Expected month passed - update Zoho","")&amp;IF(AG495&gt;0,"; "&amp;TEXT(U495/MAX(1,SUMIFS($U$2:$U$601,$T$2:$T$601,"Open")),"0%")&amp;" of open pipeline in one deal","")&amp;IF(AH495&gt;0,"; Large deal at an early stage","")&amp;IF(AI495&gt;0,"; No amount in Zoho","")&amp;IF(AJ495&gt;0,"; Won, invoice month passed, not fully invoiced","")&amp;IF(AK495&gt;0,"; Xero invoiced more than the deal value",""),3,300)</f>
        <v/>
      </c>
    </row>
    <row r="496">
      <c r="T496" s="9">
        <f>IFERROR(INDEX($A496:$R496,MATCH("Status",$A$1:$R$1,0)),"")&amp;""</f>
        <v/>
      </c>
      <c r="U496" s="52">
        <f>IFERROR(N(IFERROR(INDEX($A496:$R496,MATCH("Value Ex GST",$A$1:$R$1,0)),"")),0)</f>
        <v/>
      </c>
      <c r="V496" s="54">
        <f>IF(AND(T496&lt;&gt;"",IFERROR(INDEX($A496:$R496,MATCH("Value Ex GST",$A$1:$R$1,0)),"")&amp;""&lt;&gt;""),1,0)</f>
        <v/>
      </c>
      <c r="W496" s="56">
        <f>IFERROR(N(IFERROR(INDEX($A496:$R496,MATCH("Probability",$A$1:$R$1,0)),"")),0)</f>
        <v/>
      </c>
      <c r="X496" s="52">
        <f>IF(T496="Open",U496*W496,0)</f>
        <v/>
      </c>
      <c r="Y496" s="52">
        <f>IF(T496="Won",IFERROR(N(IFERROR(INDEX($A496:$R496,MATCH("Still to Invoice",$A$1:$R$1,0)),"")),0),0)</f>
        <v/>
      </c>
      <c r="Z496" s="55">
        <f>IFERROR(EOMONTH(IFERROR(INDEX($A496:$R496,MATCH("Expected Invoice Month",$A$1:$R$1,0)),""),0),"")</f>
        <v/>
      </c>
      <c r="AA496" s="9">
        <f>IFERROR(INDEX($A496:$R496,MATCH("Cost Centre",$A$1:$R$1,0)),"")&amp;""</f>
        <v/>
      </c>
      <c r="AB496" s="9">
        <f>IFERROR(INDEX($A496:$R496,MATCH("Pipeline Stage",$A$1:$R$1,0)),"")&amp;""</f>
        <v/>
      </c>
      <c r="AC496" s="9">
        <f>IFERROR(INDEX($A496:$R496,MATCH("Client",$A$1:$R$1,0)),"")&amp;""</f>
        <v/>
      </c>
      <c r="AD496" s="9">
        <f>IFERROR(INDEX($A496:$R496,MATCH("Description",$A$1:$R$1,0)),"")&amp;""</f>
        <v/>
      </c>
      <c r="AE496" s="9">
        <f>IFERROR(INDEX($A496:$R496,MATCH("Job Number",$A$1:$R$1,0)),"")&amp;""</f>
        <v/>
      </c>
      <c r="AF496" s="54">
        <f>IF(AND(T496="Open",ISNUMBER(Z496),Z496&lt;EOMONTH(set_AsAt,-1)+1),3,0)</f>
        <v/>
      </c>
      <c r="AG496" s="54">
        <f>IF(AND(T496="Open",U496&gt;0,U496&gt;=set_DealShare*SUMIFS($U$2:$U$601,$T$2:$T$601,"Open")),3,0)</f>
        <v/>
      </c>
      <c r="AH496" s="54">
        <f>IF(AND(T496="Open",U496&gt;=set_BigValue,W496&lt;=set_EarlyProb),2,0)</f>
        <v/>
      </c>
      <c r="AI496" s="54">
        <f>IF(AND(OR(T496="Open",T496="Won"),V496=0),2,0)</f>
        <v/>
      </c>
      <c r="AJ496" s="54">
        <f>IF(AND(T496="Won",Y496&gt;0.5,ISNUMBER(Z496),Z496&lt;EOMONTH(set_AsAt,-1)+1),3,0)</f>
        <v/>
      </c>
      <c r="AK496" s="54">
        <f>IF(AND(T496="Won",Y496&lt;-1),1,0)</f>
        <v/>
      </c>
      <c r="AL496" s="54">
        <f>SUM(AF496:AK496)</f>
        <v/>
      </c>
      <c r="AM496" s="9">
        <f>IF(AL496&gt;=set_ScoreHigh,"High",IF(AL496&gt;=set_ScoreMed,"Medium",IF(AL496&gt;0,"Low","OK")))</f>
        <v/>
      </c>
      <c r="AN496" s="54">
        <f>IF(OR(T496="Open",AND(T496="Won",ABS(Y496)&gt;0.5)),1,0)</f>
        <v/>
      </c>
      <c r="AO496" s="52">
        <f>IF(T496="Open",IF(V496=0,0,X496),IF(T496="Won",MAX(0,Y496),0))</f>
        <v/>
      </c>
      <c r="AP496" s="54">
        <f>IF(AN496=1,AL496*1E+9+U496+ROW()/1E+6,"")</f>
        <v/>
      </c>
      <c r="AQ496" s="9">
        <f>MID(IF(AF496&gt;0,"; Expected month passed - update Zoho","")&amp;IF(AG496&gt;0,"; "&amp;TEXT(U496/MAX(1,SUMIFS($U$2:$U$601,$T$2:$T$601,"Open")),"0%")&amp;" of open pipeline in one deal","")&amp;IF(AH496&gt;0,"; Large deal at an early stage","")&amp;IF(AI496&gt;0,"; No amount in Zoho","")&amp;IF(AJ496&gt;0,"; Won, invoice month passed, not fully invoiced","")&amp;IF(AK496&gt;0,"; Xero invoiced more than the deal value",""),3,300)</f>
        <v/>
      </c>
    </row>
    <row r="497">
      <c r="T497" s="9">
        <f>IFERROR(INDEX($A497:$R497,MATCH("Status",$A$1:$R$1,0)),"")&amp;""</f>
        <v/>
      </c>
      <c r="U497" s="52">
        <f>IFERROR(N(IFERROR(INDEX($A497:$R497,MATCH("Value Ex GST",$A$1:$R$1,0)),"")),0)</f>
        <v/>
      </c>
      <c r="V497" s="54">
        <f>IF(AND(T497&lt;&gt;"",IFERROR(INDEX($A497:$R497,MATCH("Value Ex GST",$A$1:$R$1,0)),"")&amp;""&lt;&gt;""),1,0)</f>
        <v/>
      </c>
      <c r="W497" s="56">
        <f>IFERROR(N(IFERROR(INDEX($A497:$R497,MATCH("Probability",$A$1:$R$1,0)),"")),0)</f>
        <v/>
      </c>
      <c r="X497" s="52">
        <f>IF(T497="Open",U497*W497,0)</f>
        <v/>
      </c>
      <c r="Y497" s="52">
        <f>IF(T497="Won",IFERROR(N(IFERROR(INDEX($A497:$R497,MATCH("Still to Invoice",$A$1:$R$1,0)),"")),0),0)</f>
        <v/>
      </c>
      <c r="Z497" s="55">
        <f>IFERROR(EOMONTH(IFERROR(INDEX($A497:$R497,MATCH("Expected Invoice Month",$A$1:$R$1,0)),""),0),"")</f>
        <v/>
      </c>
      <c r="AA497" s="9">
        <f>IFERROR(INDEX($A497:$R497,MATCH("Cost Centre",$A$1:$R$1,0)),"")&amp;""</f>
        <v/>
      </c>
      <c r="AB497" s="9">
        <f>IFERROR(INDEX($A497:$R497,MATCH("Pipeline Stage",$A$1:$R$1,0)),"")&amp;""</f>
        <v/>
      </c>
      <c r="AC497" s="9">
        <f>IFERROR(INDEX($A497:$R497,MATCH("Client",$A$1:$R$1,0)),"")&amp;""</f>
        <v/>
      </c>
      <c r="AD497" s="9">
        <f>IFERROR(INDEX($A497:$R497,MATCH("Description",$A$1:$R$1,0)),"")&amp;""</f>
        <v/>
      </c>
      <c r="AE497" s="9">
        <f>IFERROR(INDEX($A497:$R497,MATCH("Job Number",$A$1:$R$1,0)),"")&amp;""</f>
        <v/>
      </c>
      <c r="AF497" s="54">
        <f>IF(AND(T497="Open",ISNUMBER(Z497),Z497&lt;EOMONTH(set_AsAt,-1)+1),3,0)</f>
        <v/>
      </c>
      <c r="AG497" s="54">
        <f>IF(AND(T497="Open",U497&gt;0,U497&gt;=set_DealShare*SUMIFS($U$2:$U$601,$T$2:$T$601,"Open")),3,0)</f>
        <v/>
      </c>
      <c r="AH497" s="54">
        <f>IF(AND(T497="Open",U497&gt;=set_BigValue,W497&lt;=set_EarlyProb),2,0)</f>
        <v/>
      </c>
      <c r="AI497" s="54">
        <f>IF(AND(OR(T497="Open",T497="Won"),V497=0),2,0)</f>
        <v/>
      </c>
      <c r="AJ497" s="54">
        <f>IF(AND(T497="Won",Y497&gt;0.5,ISNUMBER(Z497),Z497&lt;EOMONTH(set_AsAt,-1)+1),3,0)</f>
        <v/>
      </c>
      <c r="AK497" s="54">
        <f>IF(AND(T497="Won",Y497&lt;-1),1,0)</f>
        <v/>
      </c>
      <c r="AL497" s="54">
        <f>SUM(AF497:AK497)</f>
        <v/>
      </c>
      <c r="AM497" s="9">
        <f>IF(AL497&gt;=set_ScoreHigh,"High",IF(AL497&gt;=set_ScoreMed,"Medium",IF(AL497&gt;0,"Low","OK")))</f>
        <v/>
      </c>
      <c r="AN497" s="54">
        <f>IF(OR(T497="Open",AND(T497="Won",ABS(Y497)&gt;0.5)),1,0)</f>
        <v/>
      </c>
      <c r="AO497" s="52">
        <f>IF(T497="Open",IF(V497=0,0,X497),IF(T497="Won",MAX(0,Y497),0))</f>
        <v/>
      </c>
      <c r="AP497" s="54">
        <f>IF(AN497=1,AL497*1E+9+U497+ROW()/1E+6,"")</f>
        <v/>
      </c>
      <c r="AQ497" s="9">
        <f>MID(IF(AF497&gt;0,"; Expected month passed - update Zoho","")&amp;IF(AG497&gt;0,"; "&amp;TEXT(U497/MAX(1,SUMIFS($U$2:$U$601,$T$2:$T$601,"Open")),"0%")&amp;" of open pipeline in one deal","")&amp;IF(AH497&gt;0,"; Large deal at an early stage","")&amp;IF(AI497&gt;0,"; No amount in Zoho","")&amp;IF(AJ497&gt;0,"; Won, invoice month passed, not fully invoiced","")&amp;IF(AK497&gt;0,"; Xero invoiced more than the deal value",""),3,300)</f>
        <v/>
      </c>
    </row>
    <row r="498">
      <c r="T498" s="9">
        <f>IFERROR(INDEX($A498:$R498,MATCH("Status",$A$1:$R$1,0)),"")&amp;""</f>
        <v/>
      </c>
      <c r="U498" s="52">
        <f>IFERROR(N(IFERROR(INDEX($A498:$R498,MATCH("Value Ex GST",$A$1:$R$1,0)),"")),0)</f>
        <v/>
      </c>
      <c r="V498" s="54">
        <f>IF(AND(T498&lt;&gt;"",IFERROR(INDEX($A498:$R498,MATCH("Value Ex GST",$A$1:$R$1,0)),"")&amp;""&lt;&gt;""),1,0)</f>
        <v/>
      </c>
      <c r="W498" s="56">
        <f>IFERROR(N(IFERROR(INDEX($A498:$R498,MATCH("Probability",$A$1:$R$1,0)),"")),0)</f>
        <v/>
      </c>
      <c r="X498" s="52">
        <f>IF(T498="Open",U498*W498,0)</f>
        <v/>
      </c>
      <c r="Y498" s="52">
        <f>IF(T498="Won",IFERROR(N(IFERROR(INDEX($A498:$R498,MATCH("Still to Invoice",$A$1:$R$1,0)),"")),0),0)</f>
        <v/>
      </c>
      <c r="Z498" s="55">
        <f>IFERROR(EOMONTH(IFERROR(INDEX($A498:$R498,MATCH("Expected Invoice Month",$A$1:$R$1,0)),""),0),"")</f>
        <v/>
      </c>
      <c r="AA498" s="9">
        <f>IFERROR(INDEX($A498:$R498,MATCH("Cost Centre",$A$1:$R$1,0)),"")&amp;""</f>
        <v/>
      </c>
      <c r="AB498" s="9">
        <f>IFERROR(INDEX($A498:$R498,MATCH("Pipeline Stage",$A$1:$R$1,0)),"")&amp;""</f>
        <v/>
      </c>
      <c r="AC498" s="9">
        <f>IFERROR(INDEX($A498:$R498,MATCH("Client",$A$1:$R$1,0)),"")&amp;""</f>
        <v/>
      </c>
      <c r="AD498" s="9">
        <f>IFERROR(INDEX($A498:$R498,MATCH("Description",$A$1:$R$1,0)),"")&amp;""</f>
        <v/>
      </c>
      <c r="AE498" s="9">
        <f>IFERROR(INDEX($A498:$R498,MATCH("Job Number",$A$1:$R$1,0)),"")&amp;""</f>
        <v/>
      </c>
      <c r="AF498" s="54">
        <f>IF(AND(T498="Open",ISNUMBER(Z498),Z498&lt;EOMONTH(set_AsAt,-1)+1),3,0)</f>
        <v/>
      </c>
      <c r="AG498" s="54">
        <f>IF(AND(T498="Open",U498&gt;0,U498&gt;=set_DealShare*SUMIFS($U$2:$U$601,$T$2:$T$601,"Open")),3,0)</f>
        <v/>
      </c>
      <c r="AH498" s="54">
        <f>IF(AND(T498="Open",U498&gt;=set_BigValue,W498&lt;=set_EarlyProb),2,0)</f>
        <v/>
      </c>
      <c r="AI498" s="54">
        <f>IF(AND(OR(T498="Open",T498="Won"),V498=0),2,0)</f>
        <v/>
      </c>
      <c r="AJ498" s="54">
        <f>IF(AND(T498="Won",Y498&gt;0.5,ISNUMBER(Z498),Z498&lt;EOMONTH(set_AsAt,-1)+1),3,0)</f>
        <v/>
      </c>
      <c r="AK498" s="54">
        <f>IF(AND(T498="Won",Y498&lt;-1),1,0)</f>
        <v/>
      </c>
      <c r="AL498" s="54">
        <f>SUM(AF498:AK498)</f>
        <v/>
      </c>
      <c r="AM498" s="9">
        <f>IF(AL498&gt;=set_ScoreHigh,"High",IF(AL498&gt;=set_ScoreMed,"Medium",IF(AL498&gt;0,"Low","OK")))</f>
        <v/>
      </c>
      <c r="AN498" s="54">
        <f>IF(OR(T498="Open",AND(T498="Won",ABS(Y498)&gt;0.5)),1,0)</f>
        <v/>
      </c>
      <c r="AO498" s="52">
        <f>IF(T498="Open",IF(V498=0,0,X498),IF(T498="Won",MAX(0,Y498),0))</f>
        <v/>
      </c>
      <c r="AP498" s="54">
        <f>IF(AN498=1,AL498*1E+9+U498+ROW()/1E+6,"")</f>
        <v/>
      </c>
      <c r="AQ498" s="9">
        <f>MID(IF(AF498&gt;0,"; Expected month passed - update Zoho","")&amp;IF(AG498&gt;0,"; "&amp;TEXT(U498/MAX(1,SUMIFS($U$2:$U$601,$T$2:$T$601,"Open")),"0%")&amp;" of open pipeline in one deal","")&amp;IF(AH498&gt;0,"; Large deal at an early stage","")&amp;IF(AI498&gt;0,"; No amount in Zoho","")&amp;IF(AJ498&gt;0,"; Won, invoice month passed, not fully invoiced","")&amp;IF(AK498&gt;0,"; Xero invoiced more than the deal value",""),3,300)</f>
        <v/>
      </c>
    </row>
    <row r="499">
      <c r="T499" s="9">
        <f>IFERROR(INDEX($A499:$R499,MATCH("Status",$A$1:$R$1,0)),"")&amp;""</f>
        <v/>
      </c>
      <c r="U499" s="52">
        <f>IFERROR(N(IFERROR(INDEX($A499:$R499,MATCH("Value Ex GST",$A$1:$R$1,0)),"")),0)</f>
        <v/>
      </c>
      <c r="V499" s="54">
        <f>IF(AND(T499&lt;&gt;"",IFERROR(INDEX($A499:$R499,MATCH("Value Ex GST",$A$1:$R$1,0)),"")&amp;""&lt;&gt;""),1,0)</f>
        <v/>
      </c>
      <c r="W499" s="56">
        <f>IFERROR(N(IFERROR(INDEX($A499:$R499,MATCH("Probability",$A$1:$R$1,0)),"")),0)</f>
        <v/>
      </c>
      <c r="X499" s="52">
        <f>IF(T499="Open",U499*W499,0)</f>
        <v/>
      </c>
      <c r="Y499" s="52">
        <f>IF(T499="Won",IFERROR(N(IFERROR(INDEX($A499:$R499,MATCH("Still to Invoice",$A$1:$R$1,0)),"")),0),0)</f>
        <v/>
      </c>
      <c r="Z499" s="55">
        <f>IFERROR(EOMONTH(IFERROR(INDEX($A499:$R499,MATCH("Expected Invoice Month",$A$1:$R$1,0)),""),0),"")</f>
        <v/>
      </c>
      <c r="AA499" s="9">
        <f>IFERROR(INDEX($A499:$R499,MATCH("Cost Centre",$A$1:$R$1,0)),"")&amp;""</f>
        <v/>
      </c>
      <c r="AB499" s="9">
        <f>IFERROR(INDEX($A499:$R499,MATCH("Pipeline Stage",$A$1:$R$1,0)),"")&amp;""</f>
        <v/>
      </c>
      <c r="AC499" s="9">
        <f>IFERROR(INDEX($A499:$R499,MATCH("Client",$A$1:$R$1,0)),"")&amp;""</f>
        <v/>
      </c>
      <c r="AD499" s="9">
        <f>IFERROR(INDEX($A499:$R499,MATCH("Description",$A$1:$R$1,0)),"")&amp;""</f>
        <v/>
      </c>
      <c r="AE499" s="9">
        <f>IFERROR(INDEX($A499:$R499,MATCH("Job Number",$A$1:$R$1,0)),"")&amp;""</f>
        <v/>
      </c>
      <c r="AF499" s="54">
        <f>IF(AND(T499="Open",ISNUMBER(Z499),Z499&lt;EOMONTH(set_AsAt,-1)+1),3,0)</f>
        <v/>
      </c>
      <c r="AG499" s="54">
        <f>IF(AND(T499="Open",U499&gt;0,U499&gt;=set_DealShare*SUMIFS($U$2:$U$601,$T$2:$T$601,"Open")),3,0)</f>
        <v/>
      </c>
      <c r="AH499" s="54">
        <f>IF(AND(T499="Open",U499&gt;=set_BigValue,W499&lt;=set_EarlyProb),2,0)</f>
        <v/>
      </c>
      <c r="AI499" s="54">
        <f>IF(AND(OR(T499="Open",T499="Won"),V499=0),2,0)</f>
        <v/>
      </c>
      <c r="AJ499" s="54">
        <f>IF(AND(T499="Won",Y499&gt;0.5,ISNUMBER(Z499),Z499&lt;EOMONTH(set_AsAt,-1)+1),3,0)</f>
        <v/>
      </c>
      <c r="AK499" s="54">
        <f>IF(AND(T499="Won",Y499&lt;-1),1,0)</f>
        <v/>
      </c>
      <c r="AL499" s="54">
        <f>SUM(AF499:AK499)</f>
        <v/>
      </c>
      <c r="AM499" s="9">
        <f>IF(AL499&gt;=set_ScoreHigh,"High",IF(AL499&gt;=set_ScoreMed,"Medium",IF(AL499&gt;0,"Low","OK")))</f>
        <v/>
      </c>
      <c r="AN499" s="54">
        <f>IF(OR(T499="Open",AND(T499="Won",ABS(Y499)&gt;0.5)),1,0)</f>
        <v/>
      </c>
      <c r="AO499" s="52">
        <f>IF(T499="Open",IF(V499=0,0,X499),IF(T499="Won",MAX(0,Y499),0))</f>
        <v/>
      </c>
      <c r="AP499" s="54">
        <f>IF(AN499=1,AL499*1E+9+U499+ROW()/1E+6,"")</f>
        <v/>
      </c>
      <c r="AQ499" s="9">
        <f>MID(IF(AF499&gt;0,"; Expected month passed - update Zoho","")&amp;IF(AG499&gt;0,"; "&amp;TEXT(U499/MAX(1,SUMIFS($U$2:$U$601,$T$2:$T$601,"Open")),"0%")&amp;" of open pipeline in one deal","")&amp;IF(AH499&gt;0,"; Large deal at an early stage","")&amp;IF(AI499&gt;0,"; No amount in Zoho","")&amp;IF(AJ499&gt;0,"; Won, invoice month passed, not fully invoiced","")&amp;IF(AK499&gt;0,"; Xero invoiced more than the deal value",""),3,300)</f>
        <v/>
      </c>
    </row>
    <row r="500">
      <c r="T500" s="9">
        <f>IFERROR(INDEX($A500:$R500,MATCH("Status",$A$1:$R$1,0)),"")&amp;""</f>
        <v/>
      </c>
      <c r="U500" s="52">
        <f>IFERROR(N(IFERROR(INDEX($A500:$R500,MATCH("Value Ex GST",$A$1:$R$1,0)),"")),0)</f>
        <v/>
      </c>
      <c r="V500" s="54">
        <f>IF(AND(T500&lt;&gt;"",IFERROR(INDEX($A500:$R500,MATCH("Value Ex GST",$A$1:$R$1,0)),"")&amp;""&lt;&gt;""),1,0)</f>
        <v/>
      </c>
      <c r="W500" s="56">
        <f>IFERROR(N(IFERROR(INDEX($A500:$R500,MATCH("Probability",$A$1:$R$1,0)),"")),0)</f>
        <v/>
      </c>
      <c r="X500" s="52">
        <f>IF(T500="Open",U500*W500,0)</f>
        <v/>
      </c>
      <c r="Y500" s="52">
        <f>IF(T500="Won",IFERROR(N(IFERROR(INDEX($A500:$R500,MATCH("Still to Invoice",$A$1:$R$1,0)),"")),0),0)</f>
        <v/>
      </c>
      <c r="Z500" s="55">
        <f>IFERROR(EOMONTH(IFERROR(INDEX($A500:$R500,MATCH("Expected Invoice Month",$A$1:$R$1,0)),""),0),"")</f>
        <v/>
      </c>
      <c r="AA500" s="9">
        <f>IFERROR(INDEX($A500:$R500,MATCH("Cost Centre",$A$1:$R$1,0)),"")&amp;""</f>
        <v/>
      </c>
      <c r="AB500" s="9">
        <f>IFERROR(INDEX($A500:$R500,MATCH("Pipeline Stage",$A$1:$R$1,0)),"")&amp;""</f>
        <v/>
      </c>
      <c r="AC500" s="9">
        <f>IFERROR(INDEX($A500:$R500,MATCH("Client",$A$1:$R$1,0)),"")&amp;""</f>
        <v/>
      </c>
      <c r="AD500" s="9">
        <f>IFERROR(INDEX($A500:$R500,MATCH("Description",$A$1:$R$1,0)),"")&amp;""</f>
        <v/>
      </c>
      <c r="AE500" s="9">
        <f>IFERROR(INDEX($A500:$R500,MATCH("Job Number",$A$1:$R$1,0)),"")&amp;""</f>
        <v/>
      </c>
      <c r="AF500" s="54">
        <f>IF(AND(T500="Open",ISNUMBER(Z500),Z500&lt;EOMONTH(set_AsAt,-1)+1),3,0)</f>
        <v/>
      </c>
      <c r="AG500" s="54">
        <f>IF(AND(T500="Open",U500&gt;0,U500&gt;=set_DealShare*SUMIFS($U$2:$U$601,$T$2:$T$601,"Open")),3,0)</f>
        <v/>
      </c>
      <c r="AH500" s="54">
        <f>IF(AND(T500="Open",U500&gt;=set_BigValue,W500&lt;=set_EarlyProb),2,0)</f>
        <v/>
      </c>
      <c r="AI500" s="54">
        <f>IF(AND(OR(T500="Open",T500="Won"),V500=0),2,0)</f>
        <v/>
      </c>
      <c r="AJ500" s="54">
        <f>IF(AND(T500="Won",Y500&gt;0.5,ISNUMBER(Z500),Z500&lt;EOMONTH(set_AsAt,-1)+1),3,0)</f>
        <v/>
      </c>
      <c r="AK500" s="54">
        <f>IF(AND(T500="Won",Y500&lt;-1),1,0)</f>
        <v/>
      </c>
      <c r="AL500" s="54">
        <f>SUM(AF500:AK500)</f>
        <v/>
      </c>
      <c r="AM500" s="9">
        <f>IF(AL500&gt;=set_ScoreHigh,"High",IF(AL500&gt;=set_ScoreMed,"Medium",IF(AL500&gt;0,"Low","OK")))</f>
        <v/>
      </c>
      <c r="AN500" s="54">
        <f>IF(OR(T500="Open",AND(T500="Won",ABS(Y500)&gt;0.5)),1,0)</f>
        <v/>
      </c>
      <c r="AO500" s="52">
        <f>IF(T500="Open",IF(V500=0,0,X500),IF(T500="Won",MAX(0,Y500),0))</f>
        <v/>
      </c>
      <c r="AP500" s="54">
        <f>IF(AN500=1,AL500*1E+9+U500+ROW()/1E+6,"")</f>
        <v/>
      </c>
      <c r="AQ500" s="9">
        <f>MID(IF(AF500&gt;0,"; Expected month passed - update Zoho","")&amp;IF(AG500&gt;0,"; "&amp;TEXT(U500/MAX(1,SUMIFS($U$2:$U$601,$T$2:$T$601,"Open")),"0%")&amp;" of open pipeline in one deal","")&amp;IF(AH500&gt;0,"; Large deal at an early stage","")&amp;IF(AI500&gt;0,"; No amount in Zoho","")&amp;IF(AJ500&gt;0,"; Won, invoice month passed, not fully invoiced","")&amp;IF(AK500&gt;0,"; Xero invoiced more than the deal value",""),3,300)</f>
        <v/>
      </c>
    </row>
    <row r="501">
      <c r="T501" s="9">
        <f>IFERROR(INDEX($A501:$R501,MATCH("Status",$A$1:$R$1,0)),"")&amp;""</f>
        <v/>
      </c>
      <c r="U501" s="52">
        <f>IFERROR(N(IFERROR(INDEX($A501:$R501,MATCH("Value Ex GST",$A$1:$R$1,0)),"")),0)</f>
        <v/>
      </c>
      <c r="V501" s="54">
        <f>IF(AND(T501&lt;&gt;"",IFERROR(INDEX($A501:$R501,MATCH("Value Ex GST",$A$1:$R$1,0)),"")&amp;""&lt;&gt;""),1,0)</f>
        <v/>
      </c>
      <c r="W501" s="56">
        <f>IFERROR(N(IFERROR(INDEX($A501:$R501,MATCH("Probability",$A$1:$R$1,0)),"")),0)</f>
        <v/>
      </c>
      <c r="X501" s="52">
        <f>IF(T501="Open",U501*W501,0)</f>
        <v/>
      </c>
      <c r="Y501" s="52">
        <f>IF(T501="Won",IFERROR(N(IFERROR(INDEX($A501:$R501,MATCH("Still to Invoice",$A$1:$R$1,0)),"")),0),0)</f>
        <v/>
      </c>
      <c r="Z501" s="55">
        <f>IFERROR(EOMONTH(IFERROR(INDEX($A501:$R501,MATCH("Expected Invoice Month",$A$1:$R$1,0)),""),0),"")</f>
        <v/>
      </c>
      <c r="AA501" s="9">
        <f>IFERROR(INDEX($A501:$R501,MATCH("Cost Centre",$A$1:$R$1,0)),"")&amp;""</f>
        <v/>
      </c>
      <c r="AB501" s="9">
        <f>IFERROR(INDEX($A501:$R501,MATCH("Pipeline Stage",$A$1:$R$1,0)),"")&amp;""</f>
        <v/>
      </c>
      <c r="AC501" s="9">
        <f>IFERROR(INDEX($A501:$R501,MATCH("Client",$A$1:$R$1,0)),"")&amp;""</f>
        <v/>
      </c>
      <c r="AD501" s="9">
        <f>IFERROR(INDEX($A501:$R501,MATCH("Description",$A$1:$R$1,0)),"")&amp;""</f>
        <v/>
      </c>
      <c r="AE501" s="9">
        <f>IFERROR(INDEX($A501:$R501,MATCH("Job Number",$A$1:$R$1,0)),"")&amp;""</f>
        <v/>
      </c>
      <c r="AF501" s="54">
        <f>IF(AND(T501="Open",ISNUMBER(Z501),Z501&lt;EOMONTH(set_AsAt,-1)+1),3,0)</f>
        <v/>
      </c>
      <c r="AG501" s="54">
        <f>IF(AND(T501="Open",U501&gt;0,U501&gt;=set_DealShare*SUMIFS($U$2:$U$601,$T$2:$T$601,"Open")),3,0)</f>
        <v/>
      </c>
      <c r="AH501" s="54">
        <f>IF(AND(T501="Open",U501&gt;=set_BigValue,W501&lt;=set_EarlyProb),2,0)</f>
        <v/>
      </c>
      <c r="AI501" s="54">
        <f>IF(AND(OR(T501="Open",T501="Won"),V501=0),2,0)</f>
        <v/>
      </c>
      <c r="AJ501" s="54">
        <f>IF(AND(T501="Won",Y501&gt;0.5,ISNUMBER(Z501),Z501&lt;EOMONTH(set_AsAt,-1)+1),3,0)</f>
        <v/>
      </c>
      <c r="AK501" s="54">
        <f>IF(AND(T501="Won",Y501&lt;-1),1,0)</f>
        <v/>
      </c>
      <c r="AL501" s="54">
        <f>SUM(AF501:AK501)</f>
        <v/>
      </c>
      <c r="AM501" s="9">
        <f>IF(AL501&gt;=set_ScoreHigh,"High",IF(AL501&gt;=set_ScoreMed,"Medium",IF(AL501&gt;0,"Low","OK")))</f>
        <v/>
      </c>
      <c r="AN501" s="54">
        <f>IF(OR(T501="Open",AND(T501="Won",ABS(Y501)&gt;0.5)),1,0)</f>
        <v/>
      </c>
      <c r="AO501" s="52">
        <f>IF(T501="Open",IF(V501=0,0,X501),IF(T501="Won",MAX(0,Y501),0))</f>
        <v/>
      </c>
      <c r="AP501" s="54">
        <f>IF(AN501=1,AL501*1E+9+U501+ROW()/1E+6,"")</f>
        <v/>
      </c>
      <c r="AQ501" s="9">
        <f>MID(IF(AF501&gt;0,"; Expected month passed - update Zoho","")&amp;IF(AG501&gt;0,"; "&amp;TEXT(U501/MAX(1,SUMIFS($U$2:$U$601,$T$2:$T$601,"Open")),"0%")&amp;" of open pipeline in one deal","")&amp;IF(AH501&gt;0,"; Large deal at an early stage","")&amp;IF(AI501&gt;0,"; No amount in Zoho","")&amp;IF(AJ501&gt;0,"; Won, invoice month passed, not fully invoiced","")&amp;IF(AK501&gt;0,"; Xero invoiced more than the deal value",""),3,300)</f>
        <v/>
      </c>
    </row>
    <row r="502">
      <c r="T502" s="9">
        <f>IFERROR(INDEX($A502:$R502,MATCH("Status",$A$1:$R$1,0)),"")&amp;""</f>
        <v/>
      </c>
      <c r="U502" s="52">
        <f>IFERROR(N(IFERROR(INDEX($A502:$R502,MATCH("Value Ex GST",$A$1:$R$1,0)),"")),0)</f>
        <v/>
      </c>
      <c r="V502" s="54">
        <f>IF(AND(T502&lt;&gt;"",IFERROR(INDEX($A502:$R502,MATCH("Value Ex GST",$A$1:$R$1,0)),"")&amp;""&lt;&gt;""),1,0)</f>
        <v/>
      </c>
      <c r="W502" s="56">
        <f>IFERROR(N(IFERROR(INDEX($A502:$R502,MATCH("Probability",$A$1:$R$1,0)),"")),0)</f>
        <v/>
      </c>
      <c r="X502" s="52">
        <f>IF(T502="Open",U502*W502,0)</f>
        <v/>
      </c>
      <c r="Y502" s="52">
        <f>IF(T502="Won",IFERROR(N(IFERROR(INDEX($A502:$R502,MATCH("Still to Invoice",$A$1:$R$1,0)),"")),0),0)</f>
        <v/>
      </c>
      <c r="Z502" s="55">
        <f>IFERROR(EOMONTH(IFERROR(INDEX($A502:$R502,MATCH("Expected Invoice Month",$A$1:$R$1,0)),""),0),"")</f>
        <v/>
      </c>
      <c r="AA502" s="9">
        <f>IFERROR(INDEX($A502:$R502,MATCH("Cost Centre",$A$1:$R$1,0)),"")&amp;""</f>
        <v/>
      </c>
      <c r="AB502" s="9">
        <f>IFERROR(INDEX($A502:$R502,MATCH("Pipeline Stage",$A$1:$R$1,0)),"")&amp;""</f>
        <v/>
      </c>
      <c r="AC502" s="9">
        <f>IFERROR(INDEX($A502:$R502,MATCH("Client",$A$1:$R$1,0)),"")&amp;""</f>
        <v/>
      </c>
      <c r="AD502" s="9">
        <f>IFERROR(INDEX($A502:$R502,MATCH("Description",$A$1:$R$1,0)),"")&amp;""</f>
        <v/>
      </c>
      <c r="AE502" s="9">
        <f>IFERROR(INDEX($A502:$R502,MATCH("Job Number",$A$1:$R$1,0)),"")&amp;""</f>
        <v/>
      </c>
      <c r="AF502" s="54">
        <f>IF(AND(T502="Open",ISNUMBER(Z502),Z502&lt;EOMONTH(set_AsAt,-1)+1),3,0)</f>
        <v/>
      </c>
      <c r="AG502" s="54">
        <f>IF(AND(T502="Open",U502&gt;0,U502&gt;=set_DealShare*SUMIFS($U$2:$U$601,$T$2:$T$601,"Open")),3,0)</f>
        <v/>
      </c>
      <c r="AH502" s="54">
        <f>IF(AND(T502="Open",U502&gt;=set_BigValue,W502&lt;=set_EarlyProb),2,0)</f>
        <v/>
      </c>
      <c r="AI502" s="54">
        <f>IF(AND(OR(T502="Open",T502="Won"),V502=0),2,0)</f>
        <v/>
      </c>
      <c r="AJ502" s="54">
        <f>IF(AND(T502="Won",Y502&gt;0.5,ISNUMBER(Z502),Z502&lt;EOMONTH(set_AsAt,-1)+1),3,0)</f>
        <v/>
      </c>
      <c r="AK502" s="54">
        <f>IF(AND(T502="Won",Y502&lt;-1),1,0)</f>
        <v/>
      </c>
      <c r="AL502" s="54">
        <f>SUM(AF502:AK502)</f>
        <v/>
      </c>
      <c r="AM502" s="9">
        <f>IF(AL502&gt;=set_ScoreHigh,"High",IF(AL502&gt;=set_ScoreMed,"Medium",IF(AL502&gt;0,"Low","OK")))</f>
        <v/>
      </c>
      <c r="AN502" s="54">
        <f>IF(OR(T502="Open",AND(T502="Won",ABS(Y502)&gt;0.5)),1,0)</f>
        <v/>
      </c>
      <c r="AO502" s="52">
        <f>IF(T502="Open",IF(V502=0,0,X502),IF(T502="Won",MAX(0,Y502),0))</f>
        <v/>
      </c>
      <c r="AP502" s="54">
        <f>IF(AN502=1,AL502*1E+9+U502+ROW()/1E+6,"")</f>
        <v/>
      </c>
      <c r="AQ502" s="9">
        <f>MID(IF(AF502&gt;0,"; Expected month passed - update Zoho","")&amp;IF(AG502&gt;0,"; "&amp;TEXT(U502/MAX(1,SUMIFS($U$2:$U$601,$T$2:$T$601,"Open")),"0%")&amp;" of open pipeline in one deal","")&amp;IF(AH502&gt;0,"; Large deal at an early stage","")&amp;IF(AI502&gt;0,"; No amount in Zoho","")&amp;IF(AJ502&gt;0,"; Won, invoice month passed, not fully invoiced","")&amp;IF(AK502&gt;0,"; Xero invoiced more than the deal value",""),3,300)</f>
        <v/>
      </c>
    </row>
    <row r="503">
      <c r="T503" s="9">
        <f>IFERROR(INDEX($A503:$R503,MATCH("Status",$A$1:$R$1,0)),"")&amp;""</f>
        <v/>
      </c>
      <c r="U503" s="52">
        <f>IFERROR(N(IFERROR(INDEX($A503:$R503,MATCH("Value Ex GST",$A$1:$R$1,0)),"")),0)</f>
        <v/>
      </c>
      <c r="V503" s="54">
        <f>IF(AND(T503&lt;&gt;"",IFERROR(INDEX($A503:$R503,MATCH("Value Ex GST",$A$1:$R$1,0)),"")&amp;""&lt;&gt;""),1,0)</f>
        <v/>
      </c>
      <c r="W503" s="56">
        <f>IFERROR(N(IFERROR(INDEX($A503:$R503,MATCH("Probability",$A$1:$R$1,0)),"")),0)</f>
        <v/>
      </c>
      <c r="X503" s="52">
        <f>IF(T503="Open",U503*W503,0)</f>
        <v/>
      </c>
      <c r="Y503" s="52">
        <f>IF(T503="Won",IFERROR(N(IFERROR(INDEX($A503:$R503,MATCH("Still to Invoice",$A$1:$R$1,0)),"")),0),0)</f>
        <v/>
      </c>
      <c r="Z503" s="55">
        <f>IFERROR(EOMONTH(IFERROR(INDEX($A503:$R503,MATCH("Expected Invoice Month",$A$1:$R$1,0)),""),0),"")</f>
        <v/>
      </c>
      <c r="AA503" s="9">
        <f>IFERROR(INDEX($A503:$R503,MATCH("Cost Centre",$A$1:$R$1,0)),"")&amp;""</f>
        <v/>
      </c>
      <c r="AB503" s="9">
        <f>IFERROR(INDEX($A503:$R503,MATCH("Pipeline Stage",$A$1:$R$1,0)),"")&amp;""</f>
        <v/>
      </c>
      <c r="AC503" s="9">
        <f>IFERROR(INDEX($A503:$R503,MATCH("Client",$A$1:$R$1,0)),"")&amp;""</f>
        <v/>
      </c>
      <c r="AD503" s="9">
        <f>IFERROR(INDEX($A503:$R503,MATCH("Description",$A$1:$R$1,0)),"")&amp;""</f>
        <v/>
      </c>
      <c r="AE503" s="9">
        <f>IFERROR(INDEX($A503:$R503,MATCH("Job Number",$A$1:$R$1,0)),"")&amp;""</f>
        <v/>
      </c>
      <c r="AF503" s="54">
        <f>IF(AND(T503="Open",ISNUMBER(Z503),Z503&lt;EOMONTH(set_AsAt,-1)+1),3,0)</f>
        <v/>
      </c>
      <c r="AG503" s="54">
        <f>IF(AND(T503="Open",U503&gt;0,U503&gt;=set_DealShare*SUMIFS($U$2:$U$601,$T$2:$T$601,"Open")),3,0)</f>
        <v/>
      </c>
      <c r="AH503" s="54">
        <f>IF(AND(T503="Open",U503&gt;=set_BigValue,W503&lt;=set_EarlyProb),2,0)</f>
        <v/>
      </c>
      <c r="AI503" s="54">
        <f>IF(AND(OR(T503="Open",T503="Won"),V503=0),2,0)</f>
        <v/>
      </c>
      <c r="AJ503" s="54">
        <f>IF(AND(T503="Won",Y503&gt;0.5,ISNUMBER(Z503),Z503&lt;EOMONTH(set_AsAt,-1)+1),3,0)</f>
        <v/>
      </c>
      <c r="AK503" s="54">
        <f>IF(AND(T503="Won",Y503&lt;-1),1,0)</f>
        <v/>
      </c>
      <c r="AL503" s="54">
        <f>SUM(AF503:AK503)</f>
        <v/>
      </c>
      <c r="AM503" s="9">
        <f>IF(AL503&gt;=set_ScoreHigh,"High",IF(AL503&gt;=set_ScoreMed,"Medium",IF(AL503&gt;0,"Low","OK")))</f>
        <v/>
      </c>
      <c r="AN503" s="54">
        <f>IF(OR(T503="Open",AND(T503="Won",ABS(Y503)&gt;0.5)),1,0)</f>
        <v/>
      </c>
      <c r="AO503" s="52">
        <f>IF(T503="Open",IF(V503=0,0,X503),IF(T503="Won",MAX(0,Y503),0))</f>
        <v/>
      </c>
      <c r="AP503" s="54">
        <f>IF(AN503=1,AL503*1E+9+U503+ROW()/1E+6,"")</f>
        <v/>
      </c>
      <c r="AQ503" s="9">
        <f>MID(IF(AF503&gt;0,"; Expected month passed - update Zoho","")&amp;IF(AG503&gt;0,"; "&amp;TEXT(U503/MAX(1,SUMIFS($U$2:$U$601,$T$2:$T$601,"Open")),"0%")&amp;" of open pipeline in one deal","")&amp;IF(AH503&gt;0,"; Large deal at an early stage","")&amp;IF(AI503&gt;0,"; No amount in Zoho","")&amp;IF(AJ503&gt;0,"; Won, invoice month passed, not fully invoiced","")&amp;IF(AK503&gt;0,"; Xero invoiced more than the deal value",""),3,300)</f>
        <v/>
      </c>
    </row>
    <row r="504">
      <c r="T504" s="9">
        <f>IFERROR(INDEX($A504:$R504,MATCH("Status",$A$1:$R$1,0)),"")&amp;""</f>
        <v/>
      </c>
      <c r="U504" s="52">
        <f>IFERROR(N(IFERROR(INDEX($A504:$R504,MATCH("Value Ex GST",$A$1:$R$1,0)),"")),0)</f>
        <v/>
      </c>
      <c r="V504" s="54">
        <f>IF(AND(T504&lt;&gt;"",IFERROR(INDEX($A504:$R504,MATCH("Value Ex GST",$A$1:$R$1,0)),"")&amp;""&lt;&gt;""),1,0)</f>
        <v/>
      </c>
      <c r="W504" s="56">
        <f>IFERROR(N(IFERROR(INDEX($A504:$R504,MATCH("Probability",$A$1:$R$1,0)),"")),0)</f>
        <v/>
      </c>
      <c r="X504" s="52">
        <f>IF(T504="Open",U504*W504,0)</f>
        <v/>
      </c>
      <c r="Y504" s="52">
        <f>IF(T504="Won",IFERROR(N(IFERROR(INDEX($A504:$R504,MATCH("Still to Invoice",$A$1:$R$1,0)),"")),0),0)</f>
        <v/>
      </c>
      <c r="Z504" s="55">
        <f>IFERROR(EOMONTH(IFERROR(INDEX($A504:$R504,MATCH("Expected Invoice Month",$A$1:$R$1,0)),""),0),"")</f>
        <v/>
      </c>
      <c r="AA504" s="9">
        <f>IFERROR(INDEX($A504:$R504,MATCH("Cost Centre",$A$1:$R$1,0)),"")&amp;""</f>
        <v/>
      </c>
      <c r="AB504" s="9">
        <f>IFERROR(INDEX($A504:$R504,MATCH("Pipeline Stage",$A$1:$R$1,0)),"")&amp;""</f>
        <v/>
      </c>
      <c r="AC504" s="9">
        <f>IFERROR(INDEX($A504:$R504,MATCH("Client",$A$1:$R$1,0)),"")&amp;""</f>
        <v/>
      </c>
      <c r="AD504" s="9">
        <f>IFERROR(INDEX($A504:$R504,MATCH("Description",$A$1:$R$1,0)),"")&amp;""</f>
        <v/>
      </c>
      <c r="AE504" s="9">
        <f>IFERROR(INDEX($A504:$R504,MATCH("Job Number",$A$1:$R$1,0)),"")&amp;""</f>
        <v/>
      </c>
      <c r="AF504" s="54">
        <f>IF(AND(T504="Open",ISNUMBER(Z504),Z504&lt;EOMONTH(set_AsAt,-1)+1),3,0)</f>
        <v/>
      </c>
      <c r="AG504" s="54">
        <f>IF(AND(T504="Open",U504&gt;0,U504&gt;=set_DealShare*SUMIFS($U$2:$U$601,$T$2:$T$601,"Open")),3,0)</f>
        <v/>
      </c>
      <c r="AH504" s="54">
        <f>IF(AND(T504="Open",U504&gt;=set_BigValue,W504&lt;=set_EarlyProb),2,0)</f>
        <v/>
      </c>
      <c r="AI504" s="54">
        <f>IF(AND(OR(T504="Open",T504="Won"),V504=0),2,0)</f>
        <v/>
      </c>
      <c r="AJ504" s="54">
        <f>IF(AND(T504="Won",Y504&gt;0.5,ISNUMBER(Z504),Z504&lt;EOMONTH(set_AsAt,-1)+1),3,0)</f>
        <v/>
      </c>
      <c r="AK504" s="54">
        <f>IF(AND(T504="Won",Y504&lt;-1),1,0)</f>
        <v/>
      </c>
      <c r="AL504" s="54">
        <f>SUM(AF504:AK504)</f>
        <v/>
      </c>
      <c r="AM504" s="9">
        <f>IF(AL504&gt;=set_ScoreHigh,"High",IF(AL504&gt;=set_ScoreMed,"Medium",IF(AL504&gt;0,"Low","OK")))</f>
        <v/>
      </c>
      <c r="AN504" s="54">
        <f>IF(OR(T504="Open",AND(T504="Won",ABS(Y504)&gt;0.5)),1,0)</f>
        <v/>
      </c>
      <c r="AO504" s="52">
        <f>IF(T504="Open",IF(V504=0,0,X504),IF(T504="Won",MAX(0,Y504),0))</f>
        <v/>
      </c>
      <c r="AP504" s="54">
        <f>IF(AN504=1,AL504*1E+9+U504+ROW()/1E+6,"")</f>
        <v/>
      </c>
      <c r="AQ504" s="9">
        <f>MID(IF(AF504&gt;0,"; Expected month passed - update Zoho","")&amp;IF(AG504&gt;0,"; "&amp;TEXT(U504/MAX(1,SUMIFS($U$2:$U$601,$T$2:$T$601,"Open")),"0%")&amp;" of open pipeline in one deal","")&amp;IF(AH504&gt;0,"; Large deal at an early stage","")&amp;IF(AI504&gt;0,"; No amount in Zoho","")&amp;IF(AJ504&gt;0,"; Won, invoice month passed, not fully invoiced","")&amp;IF(AK504&gt;0,"; Xero invoiced more than the deal value",""),3,300)</f>
        <v/>
      </c>
    </row>
    <row r="505">
      <c r="T505" s="9">
        <f>IFERROR(INDEX($A505:$R505,MATCH("Status",$A$1:$R$1,0)),"")&amp;""</f>
        <v/>
      </c>
      <c r="U505" s="52">
        <f>IFERROR(N(IFERROR(INDEX($A505:$R505,MATCH("Value Ex GST",$A$1:$R$1,0)),"")),0)</f>
        <v/>
      </c>
      <c r="V505" s="54">
        <f>IF(AND(T505&lt;&gt;"",IFERROR(INDEX($A505:$R505,MATCH("Value Ex GST",$A$1:$R$1,0)),"")&amp;""&lt;&gt;""),1,0)</f>
        <v/>
      </c>
      <c r="W505" s="56">
        <f>IFERROR(N(IFERROR(INDEX($A505:$R505,MATCH("Probability",$A$1:$R$1,0)),"")),0)</f>
        <v/>
      </c>
      <c r="X505" s="52">
        <f>IF(T505="Open",U505*W505,0)</f>
        <v/>
      </c>
      <c r="Y505" s="52">
        <f>IF(T505="Won",IFERROR(N(IFERROR(INDEX($A505:$R505,MATCH("Still to Invoice",$A$1:$R$1,0)),"")),0),0)</f>
        <v/>
      </c>
      <c r="Z505" s="55">
        <f>IFERROR(EOMONTH(IFERROR(INDEX($A505:$R505,MATCH("Expected Invoice Month",$A$1:$R$1,0)),""),0),"")</f>
        <v/>
      </c>
      <c r="AA505" s="9">
        <f>IFERROR(INDEX($A505:$R505,MATCH("Cost Centre",$A$1:$R$1,0)),"")&amp;""</f>
        <v/>
      </c>
      <c r="AB505" s="9">
        <f>IFERROR(INDEX($A505:$R505,MATCH("Pipeline Stage",$A$1:$R$1,0)),"")&amp;""</f>
        <v/>
      </c>
      <c r="AC505" s="9">
        <f>IFERROR(INDEX($A505:$R505,MATCH("Client",$A$1:$R$1,0)),"")&amp;""</f>
        <v/>
      </c>
      <c r="AD505" s="9">
        <f>IFERROR(INDEX($A505:$R505,MATCH("Description",$A$1:$R$1,0)),"")&amp;""</f>
        <v/>
      </c>
      <c r="AE505" s="9">
        <f>IFERROR(INDEX($A505:$R505,MATCH("Job Number",$A$1:$R$1,0)),"")&amp;""</f>
        <v/>
      </c>
      <c r="AF505" s="54">
        <f>IF(AND(T505="Open",ISNUMBER(Z505),Z505&lt;EOMONTH(set_AsAt,-1)+1),3,0)</f>
        <v/>
      </c>
      <c r="AG505" s="54">
        <f>IF(AND(T505="Open",U505&gt;0,U505&gt;=set_DealShare*SUMIFS($U$2:$U$601,$T$2:$T$601,"Open")),3,0)</f>
        <v/>
      </c>
      <c r="AH505" s="54">
        <f>IF(AND(T505="Open",U505&gt;=set_BigValue,W505&lt;=set_EarlyProb),2,0)</f>
        <v/>
      </c>
      <c r="AI505" s="54">
        <f>IF(AND(OR(T505="Open",T505="Won"),V505=0),2,0)</f>
        <v/>
      </c>
      <c r="AJ505" s="54">
        <f>IF(AND(T505="Won",Y505&gt;0.5,ISNUMBER(Z505),Z505&lt;EOMONTH(set_AsAt,-1)+1),3,0)</f>
        <v/>
      </c>
      <c r="AK505" s="54">
        <f>IF(AND(T505="Won",Y505&lt;-1),1,0)</f>
        <v/>
      </c>
      <c r="AL505" s="54">
        <f>SUM(AF505:AK505)</f>
        <v/>
      </c>
      <c r="AM505" s="9">
        <f>IF(AL505&gt;=set_ScoreHigh,"High",IF(AL505&gt;=set_ScoreMed,"Medium",IF(AL505&gt;0,"Low","OK")))</f>
        <v/>
      </c>
      <c r="AN505" s="54">
        <f>IF(OR(T505="Open",AND(T505="Won",ABS(Y505)&gt;0.5)),1,0)</f>
        <v/>
      </c>
      <c r="AO505" s="52">
        <f>IF(T505="Open",IF(V505=0,0,X505),IF(T505="Won",MAX(0,Y505),0))</f>
        <v/>
      </c>
      <c r="AP505" s="54">
        <f>IF(AN505=1,AL505*1E+9+U505+ROW()/1E+6,"")</f>
        <v/>
      </c>
      <c r="AQ505" s="9">
        <f>MID(IF(AF505&gt;0,"; Expected month passed - update Zoho","")&amp;IF(AG505&gt;0,"; "&amp;TEXT(U505/MAX(1,SUMIFS($U$2:$U$601,$T$2:$T$601,"Open")),"0%")&amp;" of open pipeline in one deal","")&amp;IF(AH505&gt;0,"; Large deal at an early stage","")&amp;IF(AI505&gt;0,"; No amount in Zoho","")&amp;IF(AJ505&gt;0,"; Won, invoice month passed, not fully invoiced","")&amp;IF(AK505&gt;0,"; Xero invoiced more than the deal value",""),3,300)</f>
        <v/>
      </c>
    </row>
    <row r="506">
      <c r="T506" s="9">
        <f>IFERROR(INDEX($A506:$R506,MATCH("Status",$A$1:$R$1,0)),"")&amp;""</f>
        <v/>
      </c>
      <c r="U506" s="52">
        <f>IFERROR(N(IFERROR(INDEX($A506:$R506,MATCH("Value Ex GST",$A$1:$R$1,0)),"")),0)</f>
        <v/>
      </c>
      <c r="V506" s="54">
        <f>IF(AND(T506&lt;&gt;"",IFERROR(INDEX($A506:$R506,MATCH("Value Ex GST",$A$1:$R$1,0)),"")&amp;""&lt;&gt;""),1,0)</f>
        <v/>
      </c>
      <c r="W506" s="56">
        <f>IFERROR(N(IFERROR(INDEX($A506:$R506,MATCH("Probability",$A$1:$R$1,0)),"")),0)</f>
        <v/>
      </c>
      <c r="X506" s="52">
        <f>IF(T506="Open",U506*W506,0)</f>
        <v/>
      </c>
      <c r="Y506" s="52">
        <f>IF(T506="Won",IFERROR(N(IFERROR(INDEX($A506:$R506,MATCH("Still to Invoice",$A$1:$R$1,0)),"")),0),0)</f>
        <v/>
      </c>
      <c r="Z506" s="55">
        <f>IFERROR(EOMONTH(IFERROR(INDEX($A506:$R506,MATCH("Expected Invoice Month",$A$1:$R$1,0)),""),0),"")</f>
        <v/>
      </c>
      <c r="AA506" s="9">
        <f>IFERROR(INDEX($A506:$R506,MATCH("Cost Centre",$A$1:$R$1,0)),"")&amp;""</f>
        <v/>
      </c>
      <c r="AB506" s="9">
        <f>IFERROR(INDEX($A506:$R506,MATCH("Pipeline Stage",$A$1:$R$1,0)),"")&amp;""</f>
        <v/>
      </c>
      <c r="AC506" s="9">
        <f>IFERROR(INDEX($A506:$R506,MATCH("Client",$A$1:$R$1,0)),"")&amp;""</f>
        <v/>
      </c>
      <c r="AD506" s="9">
        <f>IFERROR(INDEX($A506:$R506,MATCH("Description",$A$1:$R$1,0)),"")&amp;""</f>
        <v/>
      </c>
      <c r="AE506" s="9">
        <f>IFERROR(INDEX($A506:$R506,MATCH("Job Number",$A$1:$R$1,0)),"")&amp;""</f>
        <v/>
      </c>
      <c r="AF506" s="54">
        <f>IF(AND(T506="Open",ISNUMBER(Z506),Z506&lt;EOMONTH(set_AsAt,-1)+1),3,0)</f>
        <v/>
      </c>
      <c r="AG506" s="54">
        <f>IF(AND(T506="Open",U506&gt;0,U506&gt;=set_DealShare*SUMIFS($U$2:$U$601,$T$2:$T$601,"Open")),3,0)</f>
        <v/>
      </c>
      <c r="AH506" s="54">
        <f>IF(AND(T506="Open",U506&gt;=set_BigValue,W506&lt;=set_EarlyProb),2,0)</f>
        <v/>
      </c>
      <c r="AI506" s="54">
        <f>IF(AND(OR(T506="Open",T506="Won"),V506=0),2,0)</f>
        <v/>
      </c>
      <c r="AJ506" s="54">
        <f>IF(AND(T506="Won",Y506&gt;0.5,ISNUMBER(Z506),Z506&lt;EOMONTH(set_AsAt,-1)+1),3,0)</f>
        <v/>
      </c>
      <c r="AK506" s="54">
        <f>IF(AND(T506="Won",Y506&lt;-1),1,0)</f>
        <v/>
      </c>
      <c r="AL506" s="54">
        <f>SUM(AF506:AK506)</f>
        <v/>
      </c>
      <c r="AM506" s="9">
        <f>IF(AL506&gt;=set_ScoreHigh,"High",IF(AL506&gt;=set_ScoreMed,"Medium",IF(AL506&gt;0,"Low","OK")))</f>
        <v/>
      </c>
      <c r="AN506" s="54">
        <f>IF(OR(T506="Open",AND(T506="Won",ABS(Y506)&gt;0.5)),1,0)</f>
        <v/>
      </c>
      <c r="AO506" s="52">
        <f>IF(T506="Open",IF(V506=0,0,X506),IF(T506="Won",MAX(0,Y506),0))</f>
        <v/>
      </c>
      <c r="AP506" s="54">
        <f>IF(AN506=1,AL506*1E+9+U506+ROW()/1E+6,"")</f>
        <v/>
      </c>
      <c r="AQ506" s="9">
        <f>MID(IF(AF506&gt;0,"; Expected month passed - update Zoho","")&amp;IF(AG506&gt;0,"; "&amp;TEXT(U506/MAX(1,SUMIFS($U$2:$U$601,$T$2:$T$601,"Open")),"0%")&amp;" of open pipeline in one deal","")&amp;IF(AH506&gt;0,"; Large deal at an early stage","")&amp;IF(AI506&gt;0,"; No amount in Zoho","")&amp;IF(AJ506&gt;0,"; Won, invoice month passed, not fully invoiced","")&amp;IF(AK506&gt;0,"; Xero invoiced more than the deal value",""),3,300)</f>
        <v/>
      </c>
    </row>
    <row r="507">
      <c r="T507" s="9">
        <f>IFERROR(INDEX($A507:$R507,MATCH("Status",$A$1:$R$1,0)),"")&amp;""</f>
        <v/>
      </c>
      <c r="U507" s="52">
        <f>IFERROR(N(IFERROR(INDEX($A507:$R507,MATCH("Value Ex GST",$A$1:$R$1,0)),"")),0)</f>
        <v/>
      </c>
      <c r="V507" s="54">
        <f>IF(AND(T507&lt;&gt;"",IFERROR(INDEX($A507:$R507,MATCH("Value Ex GST",$A$1:$R$1,0)),"")&amp;""&lt;&gt;""),1,0)</f>
        <v/>
      </c>
      <c r="W507" s="56">
        <f>IFERROR(N(IFERROR(INDEX($A507:$R507,MATCH("Probability",$A$1:$R$1,0)),"")),0)</f>
        <v/>
      </c>
      <c r="X507" s="52">
        <f>IF(T507="Open",U507*W507,0)</f>
        <v/>
      </c>
      <c r="Y507" s="52">
        <f>IF(T507="Won",IFERROR(N(IFERROR(INDEX($A507:$R507,MATCH("Still to Invoice",$A$1:$R$1,0)),"")),0),0)</f>
        <v/>
      </c>
      <c r="Z507" s="55">
        <f>IFERROR(EOMONTH(IFERROR(INDEX($A507:$R507,MATCH("Expected Invoice Month",$A$1:$R$1,0)),""),0),"")</f>
        <v/>
      </c>
      <c r="AA507" s="9">
        <f>IFERROR(INDEX($A507:$R507,MATCH("Cost Centre",$A$1:$R$1,0)),"")&amp;""</f>
        <v/>
      </c>
      <c r="AB507" s="9">
        <f>IFERROR(INDEX($A507:$R507,MATCH("Pipeline Stage",$A$1:$R$1,0)),"")&amp;""</f>
        <v/>
      </c>
      <c r="AC507" s="9">
        <f>IFERROR(INDEX($A507:$R507,MATCH("Client",$A$1:$R$1,0)),"")&amp;""</f>
        <v/>
      </c>
      <c r="AD507" s="9">
        <f>IFERROR(INDEX($A507:$R507,MATCH("Description",$A$1:$R$1,0)),"")&amp;""</f>
        <v/>
      </c>
      <c r="AE507" s="9">
        <f>IFERROR(INDEX($A507:$R507,MATCH("Job Number",$A$1:$R$1,0)),"")&amp;""</f>
        <v/>
      </c>
      <c r="AF507" s="54">
        <f>IF(AND(T507="Open",ISNUMBER(Z507),Z507&lt;EOMONTH(set_AsAt,-1)+1),3,0)</f>
        <v/>
      </c>
      <c r="AG507" s="54">
        <f>IF(AND(T507="Open",U507&gt;0,U507&gt;=set_DealShare*SUMIFS($U$2:$U$601,$T$2:$T$601,"Open")),3,0)</f>
        <v/>
      </c>
      <c r="AH507" s="54">
        <f>IF(AND(T507="Open",U507&gt;=set_BigValue,W507&lt;=set_EarlyProb),2,0)</f>
        <v/>
      </c>
      <c r="AI507" s="54">
        <f>IF(AND(OR(T507="Open",T507="Won"),V507=0),2,0)</f>
        <v/>
      </c>
      <c r="AJ507" s="54">
        <f>IF(AND(T507="Won",Y507&gt;0.5,ISNUMBER(Z507),Z507&lt;EOMONTH(set_AsAt,-1)+1),3,0)</f>
        <v/>
      </c>
      <c r="AK507" s="54">
        <f>IF(AND(T507="Won",Y507&lt;-1),1,0)</f>
        <v/>
      </c>
      <c r="AL507" s="54">
        <f>SUM(AF507:AK507)</f>
        <v/>
      </c>
      <c r="AM507" s="9">
        <f>IF(AL507&gt;=set_ScoreHigh,"High",IF(AL507&gt;=set_ScoreMed,"Medium",IF(AL507&gt;0,"Low","OK")))</f>
        <v/>
      </c>
      <c r="AN507" s="54">
        <f>IF(OR(T507="Open",AND(T507="Won",ABS(Y507)&gt;0.5)),1,0)</f>
        <v/>
      </c>
      <c r="AO507" s="52">
        <f>IF(T507="Open",IF(V507=0,0,X507),IF(T507="Won",MAX(0,Y507),0))</f>
        <v/>
      </c>
      <c r="AP507" s="54">
        <f>IF(AN507=1,AL507*1E+9+U507+ROW()/1E+6,"")</f>
        <v/>
      </c>
      <c r="AQ507" s="9">
        <f>MID(IF(AF507&gt;0,"; Expected month passed - update Zoho","")&amp;IF(AG507&gt;0,"; "&amp;TEXT(U507/MAX(1,SUMIFS($U$2:$U$601,$T$2:$T$601,"Open")),"0%")&amp;" of open pipeline in one deal","")&amp;IF(AH507&gt;0,"; Large deal at an early stage","")&amp;IF(AI507&gt;0,"; No amount in Zoho","")&amp;IF(AJ507&gt;0,"; Won, invoice month passed, not fully invoiced","")&amp;IF(AK507&gt;0,"; Xero invoiced more than the deal value",""),3,300)</f>
        <v/>
      </c>
    </row>
    <row r="508">
      <c r="T508" s="9">
        <f>IFERROR(INDEX($A508:$R508,MATCH("Status",$A$1:$R$1,0)),"")&amp;""</f>
        <v/>
      </c>
      <c r="U508" s="52">
        <f>IFERROR(N(IFERROR(INDEX($A508:$R508,MATCH("Value Ex GST",$A$1:$R$1,0)),"")),0)</f>
        <v/>
      </c>
      <c r="V508" s="54">
        <f>IF(AND(T508&lt;&gt;"",IFERROR(INDEX($A508:$R508,MATCH("Value Ex GST",$A$1:$R$1,0)),"")&amp;""&lt;&gt;""),1,0)</f>
        <v/>
      </c>
      <c r="W508" s="56">
        <f>IFERROR(N(IFERROR(INDEX($A508:$R508,MATCH("Probability",$A$1:$R$1,0)),"")),0)</f>
        <v/>
      </c>
      <c r="X508" s="52">
        <f>IF(T508="Open",U508*W508,0)</f>
        <v/>
      </c>
      <c r="Y508" s="52">
        <f>IF(T508="Won",IFERROR(N(IFERROR(INDEX($A508:$R508,MATCH("Still to Invoice",$A$1:$R$1,0)),"")),0),0)</f>
        <v/>
      </c>
      <c r="Z508" s="55">
        <f>IFERROR(EOMONTH(IFERROR(INDEX($A508:$R508,MATCH("Expected Invoice Month",$A$1:$R$1,0)),""),0),"")</f>
        <v/>
      </c>
      <c r="AA508" s="9">
        <f>IFERROR(INDEX($A508:$R508,MATCH("Cost Centre",$A$1:$R$1,0)),"")&amp;""</f>
        <v/>
      </c>
      <c r="AB508" s="9">
        <f>IFERROR(INDEX($A508:$R508,MATCH("Pipeline Stage",$A$1:$R$1,0)),"")&amp;""</f>
        <v/>
      </c>
      <c r="AC508" s="9">
        <f>IFERROR(INDEX($A508:$R508,MATCH("Client",$A$1:$R$1,0)),"")&amp;""</f>
        <v/>
      </c>
      <c r="AD508" s="9">
        <f>IFERROR(INDEX($A508:$R508,MATCH("Description",$A$1:$R$1,0)),"")&amp;""</f>
        <v/>
      </c>
      <c r="AE508" s="9">
        <f>IFERROR(INDEX($A508:$R508,MATCH("Job Number",$A$1:$R$1,0)),"")&amp;""</f>
        <v/>
      </c>
      <c r="AF508" s="54">
        <f>IF(AND(T508="Open",ISNUMBER(Z508),Z508&lt;EOMONTH(set_AsAt,-1)+1),3,0)</f>
        <v/>
      </c>
      <c r="AG508" s="54">
        <f>IF(AND(T508="Open",U508&gt;0,U508&gt;=set_DealShare*SUMIFS($U$2:$U$601,$T$2:$T$601,"Open")),3,0)</f>
        <v/>
      </c>
      <c r="AH508" s="54">
        <f>IF(AND(T508="Open",U508&gt;=set_BigValue,W508&lt;=set_EarlyProb),2,0)</f>
        <v/>
      </c>
      <c r="AI508" s="54">
        <f>IF(AND(OR(T508="Open",T508="Won"),V508=0),2,0)</f>
        <v/>
      </c>
      <c r="AJ508" s="54">
        <f>IF(AND(T508="Won",Y508&gt;0.5,ISNUMBER(Z508),Z508&lt;EOMONTH(set_AsAt,-1)+1),3,0)</f>
        <v/>
      </c>
      <c r="AK508" s="54">
        <f>IF(AND(T508="Won",Y508&lt;-1),1,0)</f>
        <v/>
      </c>
      <c r="AL508" s="54">
        <f>SUM(AF508:AK508)</f>
        <v/>
      </c>
      <c r="AM508" s="9">
        <f>IF(AL508&gt;=set_ScoreHigh,"High",IF(AL508&gt;=set_ScoreMed,"Medium",IF(AL508&gt;0,"Low","OK")))</f>
        <v/>
      </c>
      <c r="AN508" s="54">
        <f>IF(OR(T508="Open",AND(T508="Won",ABS(Y508)&gt;0.5)),1,0)</f>
        <v/>
      </c>
      <c r="AO508" s="52">
        <f>IF(T508="Open",IF(V508=0,0,X508),IF(T508="Won",MAX(0,Y508),0))</f>
        <v/>
      </c>
      <c r="AP508" s="54">
        <f>IF(AN508=1,AL508*1E+9+U508+ROW()/1E+6,"")</f>
        <v/>
      </c>
      <c r="AQ508" s="9">
        <f>MID(IF(AF508&gt;0,"; Expected month passed - update Zoho","")&amp;IF(AG508&gt;0,"; "&amp;TEXT(U508/MAX(1,SUMIFS($U$2:$U$601,$T$2:$T$601,"Open")),"0%")&amp;" of open pipeline in one deal","")&amp;IF(AH508&gt;0,"; Large deal at an early stage","")&amp;IF(AI508&gt;0,"; No amount in Zoho","")&amp;IF(AJ508&gt;0,"; Won, invoice month passed, not fully invoiced","")&amp;IF(AK508&gt;0,"; Xero invoiced more than the deal value",""),3,300)</f>
        <v/>
      </c>
    </row>
    <row r="509">
      <c r="T509" s="9">
        <f>IFERROR(INDEX($A509:$R509,MATCH("Status",$A$1:$R$1,0)),"")&amp;""</f>
        <v/>
      </c>
      <c r="U509" s="52">
        <f>IFERROR(N(IFERROR(INDEX($A509:$R509,MATCH("Value Ex GST",$A$1:$R$1,0)),"")),0)</f>
        <v/>
      </c>
      <c r="V509" s="54">
        <f>IF(AND(T509&lt;&gt;"",IFERROR(INDEX($A509:$R509,MATCH("Value Ex GST",$A$1:$R$1,0)),"")&amp;""&lt;&gt;""),1,0)</f>
        <v/>
      </c>
      <c r="W509" s="56">
        <f>IFERROR(N(IFERROR(INDEX($A509:$R509,MATCH("Probability",$A$1:$R$1,0)),"")),0)</f>
        <v/>
      </c>
      <c r="X509" s="52">
        <f>IF(T509="Open",U509*W509,0)</f>
        <v/>
      </c>
      <c r="Y509" s="52">
        <f>IF(T509="Won",IFERROR(N(IFERROR(INDEX($A509:$R509,MATCH("Still to Invoice",$A$1:$R$1,0)),"")),0),0)</f>
        <v/>
      </c>
      <c r="Z509" s="55">
        <f>IFERROR(EOMONTH(IFERROR(INDEX($A509:$R509,MATCH("Expected Invoice Month",$A$1:$R$1,0)),""),0),"")</f>
        <v/>
      </c>
      <c r="AA509" s="9">
        <f>IFERROR(INDEX($A509:$R509,MATCH("Cost Centre",$A$1:$R$1,0)),"")&amp;""</f>
        <v/>
      </c>
      <c r="AB509" s="9">
        <f>IFERROR(INDEX($A509:$R509,MATCH("Pipeline Stage",$A$1:$R$1,0)),"")&amp;""</f>
        <v/>
      </c>
      <c r="AC509" s="9">
        <f>IFERROR(INDEX($A509:$R509,MATCH("Client",$A$1:$R$1,0)),"")&amp;""</f>
        <v/>
      </c>
      <c r="AD509" s="9">
        <f>IFERROR(INDEX($A509:$R509,MATCH("Description",$A$1:$R$1,0)),"")&amp;""</f>
        <v/>
      </c>
      <c r="AE509" s="9">
        <f>IFERROR(INDEX($A509:$R509,MATCH("Job Number",$A$1:$R$1,0)),"")&amp;""</f>
        <v/>
      </c>
      <c r="AF509" s="54">
        <f>IF(AND(T509="Open",ISNUMBER(Z509),Z509&lt;EOMONTH(set_AsAt,-1)+1),3,0)</f>
        <v/>
      </c>
      <c r="AG509" s="54">
        <f>IF(AND(T509="Open",U509&gt;0,U509&gt;=set_DealShare*SUMIFS($U$2:$U$601,$T$2:$T$601,"Open")),3,0)</f>
        <v/>
      </c>
      <c r="AH509" s="54">
        <f>IF(AND(T509="Open",U509&gt;=set_BigValue,W509&lt;=set_EarlyProb),2,0)</f>
        <v/>
      </c>
      <c r="AI509" s="54">
        <f>IF(AND(OR(T509="Open",T509="Won"),V509=0),2,0)</f>
        <v/>
      </c>
      <c r="AJ509" s="54">
        <f>IF(AND(T509="Won",Y509&gt;0.5,ISNUMBER(Z509),Z509&lt;EOMONTH(set_AsAt,-1)+1),3,0)</f>
        <v/>
      </c>
      <c r="AK509" s="54">
        <f>IF(AND(T509="Won",Y509&lt;-1),1,0)</f>
        <v/>
      </c>
      <c r="AL509" s="54">
        <f>SUM(AF509:AK509)</f>
        <v/>
      </c>
      <c r="AM509" s="9">
        <f>IF(AL509&gt;=set_ScoreHigh,"High",IF(AL509&gt;=set_ScoreMed,"Medium",IF(AL509&gt;0,"Low","OK")))</f>
        <v/>
      </c>
      <c r="AN509" s="54">
        <f>IF(OR(T509="Open",AND(T509="Won",ABS(Y509)&gt;0.5)),1,0)</f>
        <v/>
      </c>
      <c r="AO509" s="52">
        <f>IF(T509="Open",IF(V509=0,0,X509),IF(T509="Won",MAX(0,Y509),0))</f>
        <v/>
      </c>
      <c r="AP509" s="54">
        <f>IF(AN509=1,AL509*1E+9+U509+ROW()/1E+6,"")</f>
        <v/>
      </c>
      <c r="AQ509" s="9">
        <f>MID(IF(AF509&gt;0,"; Expected month passed - update Zoho","")&amp;IF(AG509&gt;0,"; "&amp;TEXT(U509/MAX(1,SUMIFS($U$2:$U$601,$T$2:$T$601,"Open")),"0%")&amp;" of open pipeline in one deal","")&amp;IF(AH509&gt;0,"; Large deal at an early stage","")&amp;IF(AI509&gt;0,"; No amount in Zoho","")&amp;IF(AJ509&gt;0,"; Won, invoice month passed, not fully invoiced","")&amp;IF(AK509&gt;0,"; Xero invoiced more than the deal value",""),3,300)</f>
        <v/>
      </c>
    </row>
    <row r="510">
      <c r="T510" s="9">
        <f>IFERROR(INDEX($A510:$R510,MATCH("Status",$A$1:$R$1,0)),"")&amp;""</f>
        <v/>
      </c>
      <c r="U510" s="52">
        <f>IFERROR(N(IFERROR(INDEX($A510:$R510,MATCH("Value Ex GST",$A$1:$R$1,0)),"")),0)</f>
        <v/>
      </c>
      <c r="V510" s="54">
        <f>IF(AND(T510&lt;&gt;"",IFERROR(INDEX($A510:$R510,MATCH("Value Ex GST",$A$1:$R$1,0)),"")&amp;""&lt;&gt;""),1,0)</f>
        <v/>
      </c>
      <c r="W510" s="56">
        <f>IFERROR(N(IFERROR(INDEX($A510:$R510,MATCH("Probability",$A$1:$R$1,0)),"")),0)</f>
        <v/>
      </c>
      <c r="X510" s="52">
        <f>IF(T510="Open",U510*W510,0)</f>
        <v/>
      </c>
      <c r="Y510" s="52">
        <f>IF(T510="Won",IFERROR(N(IFERROR(INDEX($A510:$R510,MATCH("Still to Invoice",$A$1:$R$1,0)),"")),0),0)</f>
        <v/>
      </c>
      <c r="Z510" s="55">
        <f>IFERROR(EOMONTH(IFERROR(INDEX($A510:$R510,MATCH("Expected Invoice Month",$A$1:$R$1,0)),""),0),"")</f>
        <v/>
      </c>
      <c r="AA510" s="9">
        <f>IFERROR(INDEX($A510:$R510,MATCH("Cost Centre",$A$1:$R$1,0)),"")&amp;""</f>
        <v/>
      </c>
      <c r="AB510" s="9">
        <f>IFERROR(INDEX($A510:$R510,MATCH("Pipeline Stage",$A$1:$R$1,0)),"")&amp;""</f>
        <v/>
      </c>
      <c r="AC510" s="9">
        <f>IFERROR(INDEX($A510:$R510,MATCH("Client",$A$1:$R$1,0)),"")&amp;""</f>
        <v/>
      </c>
      <c r="AD510" s="9">
        <f>IFERROR(INDEX($A510:$R510,MATCH("Description",$A$1:$R$1,0)),"")&amp;""</f>
        <v/>
      </c>
      <c r="AE510" s="9">
        <f>IFERROR(INDEX($A510:$R510,MATCH("Job Number",$A$1:$R$1,0)),"")&amp;""</f>
        <v/>
      </c>
      <c r="AF510" s="54">
        <f>IF(AND(T510="Open",ISNUMBER(Z510),Z510&lt;EOMONTH(set_AsAt,-1)+1),3,0)</f>
        <v/>
      </c>
      <c r="AG510" s="54">
        <f>IF(AND(T510="Open",U510&gt;0,U510&gt;=set_DealShare*SUMIFS($U$2:$U$601,$T$2:$T$601,"Open")),3,0)</f>
        <v/>
      </c>
      <c r="AH510" s="54">
        <f>IF(AND(T510="Open",U510&gt;=set_BigValue,W510&lt;=set_EarlyProb),2,0)</f>
        <v/>
      </c>
      <c r="AI510" s="54">
        <f>IF(AND(OR(T510="Open",T510="Won"),V510=0),2,0)</f>
        <v/>
      </c>
      <c r="AJ510" s="54">
        <f>IF(AND(T510="Won",Y510&gt;0.5,ISNUMBER(Z510),Z510&lt;EOMONTH(set_AsAt,-1)+1),3,0)</f>
        <v/>
      </c>
      <c r="AK510" s="54">
        <f>IF(AND(T510="Won",Y510&lt;-1),1,0)</f>
        <v/>
      </c>
      <c r="AL510" s="54">
        <f>SUM(AF510:AK510)</f>
        <v/>
      </c>
      <c r="AM510" s="9">
        <f>IF(AL510&gt;=set_ScoreHigh,"High",IF(AL510&gt;=set_ScoreMed,"Medium",IF(AL510&gt;0,"Low","OK")))</f>
        <v/>
      </c>
      <c r="AN510" s="54">
        <f>IF(OR(T510="Open",AND(T510="Won",ABS(Y510)&gt;0.5)),1,0)</f>
        <v/>
      </c>
      <c r="AO510" s="52">
        <f>IF(T510="Open",IF(V510=0,0,X510),IF(T510="Won",MAX(0,Y510),0))</f>
        <v/>
      </c>
      <c r="AP510" s="54">
        <f>IF(AN510=1,AL510*1E+9+U510+ROW()/1E+6,"")</f>
        <v/>
      </c>
      <c r="AQ510" s="9">
        <f>MID(IF(AF510&gt;0,"; Expected month passed - update Zoho","")&amp;IF(AG510&gt;0,"; "&amp;TEXT(U510/MAX(1,SUMIFS($U$2:$U$601,$T$2:$T$601,"Open")),"0%")&amp;" of open pipeline in one deal","")&amp;IF(AH510&gt;0,"; Large deal at an early stage","")&amp;IF(AI510&gt;0,"; No amount in Zoho","")&amp;IF(AJ510&gt;0,"; Won, invoice month passed, not fully invoiced","")&amp;IF(AK510&gt;0,"; Xero invoiced more than the deal value",""),3,300)</f>
        <v/>
      </c>
    </row>
    <row r="511">
      <c r="T511" s="9">
        <f>IFERROR(INDEX($A511:$R511,MATCH("Status",$A$1:$R$1,0)),"")&amp;""</f>
        <v/>
      </c>
      <c r="U511" s="52">
        <f>IFERROR(N(IFERROR(INDEX($A511:$R511,MATCH("Value Ex GST",$A$1:$R$1,0)),"")),0)</f>
        <v/>
      </c>
      <c r="V511" s="54">
        <f>IF(AND(T511&lt;&gt;"",IFERROR(INDEX($A511:$R511,MATCH("Value Ex GST",$A$1:$R$1,0)),"")&amp;""&lt;&gt;""),1,0)</f>
        <v/>
      </c>
      <c r="W511" s="56">
        <f>IFERROR(N(IFERROR(INDEX($A511:$R511,MATCH("Probability",$A$1:$R$1,0)),"")),0)</f>
        <v/>
      </c>
      <c r="X511" s="52">
        <f>IF(T511="Open",U511*W511,0)</f>
        <v/>
      </c>
      <c r="Y511" s="52">
        <f>IF(T511="Won",IFERROR(N(IFERROR(INDEX($A511:$R511,MATCH("Still to Invoice",$A$1:$R$1,0)),"")),0),0)</f>
        <v/>
      </c>
      <c r="Z511" s="55">
        <f>IFERROR(EOMONTH(IFERROR(INDEX($A511:$R511,MATCH("Expected Invoice Month",$A$1:$R$1,0)),""),0),"")</f>
        <v/>
      </c>
      <c r="AA511" s="9">
        <f>IFERROR(INDEX($A511:$R511,MATCH("Cost Centre",$A$1:$R$1,0)),"")&amp;""</f>
        <v/>
      </c>
      <c r="AB511" s="9">
        <f>IFERROR(INDEX($A511:$R511,MATCH("Pipeline Stage",$A$1:$R$1,0)),"")&amp;""</f>
        <v/>
      </c>
      <c r="AC511" s="9">
        <f>IFERROR(INDEX($A511:$R511,MATCH("Client",$A$1:$R$1,0)),"")&amp;""</f>
        <v/>
      </c>
      <c r="AD511" s="9">
        <f>IFERROR(INDEX($A511:$R511,MATCH("Description",$A$1:$R$1,0)),"")&amp;""</f>
        <v/>
      </c>
      <c r="AE511" s="9">
        <f>IFERROR(INDEX($A511:$R511,MATCH("Job Number",$A$1:$R$1,0)),"")&amp;""</f>
        <v/>
      </c>
      <c r="AF511" s="54">
        <f>IF(AND(T511="Open",ISNUMBER(Z511),Z511&lt;EOMONTH(set_AsAt,-1)+1),3,0)</f>
        <v/>
      </c>
      <c r="AG511" s="54">
        <f>IF(AND(T511="Open",U511&gt;0,U511&gt;=set_DealShare*SUMIFS($U$2:$U$601,$T$2:$T$601,"Open")),3,0)</f>
        <v/>
      </c>
      <c r="AH511" s="54">
        <f>IF(AND(T511="Open",U511&gt;=set_BigValue,W511&lt;=set_EarlyProb),2,0)</f>
        <v/>
      </c>
      <c r="AI511" s="54">
        <f>IF(AND(OR(T511="Open",T511="Won"),V511=0),2,0)</f>
        <v/>
      </c>
      <c r="AJ511" s="54">
        <f>IF(AND(T511="Won",Y511&gt;0.5,ISNUMBER(Z511),Z511&lt;EOMONTH(set_AsAt,-1)+1),3,0)</f>
        <v/>
      </c>
      <c r="AK511" s="54">
        <f>IF(AND(T511="Won",Y511&lt;-1),1,0)</f>
        <v/>
      </c>
      <c r="AL511" s="54">
        <f>SUM(AF511:AK511)</f>
        <v/>
      </c>
      <c r="AM511" s="9">
        <f>IF(AL511&gt;=set_ScoreHigh,"High",IF(AL511&gt;=set_ScoreMed,"Medium",IF(AL511&gt;0,"Low","OK")))</f>
        <v/>
      </c>
      <c r="AN511" s="54">
        <f>IF(OR(T511="Open",AND(T511="Won",ABS(Y511)&gt;0.5)),1,0)</f>
        <v/>
      </c>
      <c r="AO511" s="52">
        <f>IF(T511="Open",IF(V511=0,0,X511),IF(T511="Won",MAX(0,Y511),0))</f>
        <v/>
      </c>
      <c r="AP511" s="54">
        <f>IF(AN511=1,AL511*1E+9+U511+ROW()/1E+6,"")</f>
        <v/>
      </c>
      <c r="AQ511" s="9">
        <f>MID(IF(AF511&gt;0,"; Expected month passed - update Zoho","")&amp;IF(AG511&gt;0,"; "&amp;TEXT(U511/MAX(1,SUMIFS($U$2:$U$601,$T$2:$T$601,"Open")),"0%")&amp;" of open pipeline in one deal","")&amp;IF(AH511&gt;0,"; Large deal at an early stage","")&amp;IF(AI511&gt;0,"; No amount in Zoho","")&amp;IF(AJ511&gt;0,"; Won, invoice month passed, not fully invoiced","")&amp;IF(AK511&gt;0,"; Xero invoiced more than the deal value",""),3,300)</f>
        <v/>
      </c>
    </row>
    <row r="512">
      <c r="T512" s="9">
        <f>IFERROR(INDEX($A512:$R512,MATCH("Status",$A$1:$R$1,0)),"")&amp;""</f>
        <v/>
      </c>
      <c r="U512" s="52">
        <f>IFERROR(N(IFERROR(INDEX($A512:$R512,MATCH("Value Ex GST",$A$1:$R$1,0)),"")),0)</f>
        <v/>
      </c>
      <c r="V512" s="54">
        <f>IF(AND(T512&lt;&gt;"",IFERROR(INDEX($A512:$R512,MATCH("Value Ex GST",$A$1:$R$1,0)),"")&amp;""&lt;&gt;""),1,0)</f>
        <v/>
      </c>
      <c r="W512" s="56">
        <f>IFERROR(N(IFERROR(INDEX($A512:$R512,MATCH("Probability",$A$1:$R$1,0)),"")),0)</f>
        <v/>
      </c>
      <c r="X512" s="52">
        <f>IF(T512="Open",U512*W512,0)</f>
        <v/>
      </c>
      <c r="Y512" s="52">
        <f>IF(T512="Won",IFERROR(N(IFERROR(INDEX($A512:$R512,MATCH("Still to Invoice",$A$1:$R$1,0)),"")),0),0)</f>
        <v/>
      </c>
      <c r="Z512" s="55">
        <f>IFERROR(EOMONTH(IFERROR(INDEX($A512:$R512,MATCH("Expected Invoice Month",$A$1:$R$1,0)),""),0),"")</f>
        <v/>
      </c>
      <c r="AA512" s="9">
        <f>IFERROR(INDEX($A512:$R512,MATCH("Cost Centre",$A$1:$R$1,0)),"")&amp;""</f>
        <v/>
      </c>
      <c r="AB512" s="9">
        <f>IFERROR(INDEX($A512:$R512,MATCH("Pipeline Stage",$A$1:$R$1,0)),"")&amp;""</f>
        <v/>
      </c>
      <c r="AC512" s="9">
        <f>IFERROR(INDEX($A512:$R512,MATCH("Client",$A$1:$R$1,0)),"")&amp;""</f>
        <v/>
      </c>
      <c r="AD512" s="9">
        <f>IFERROR(INDEX($A512:$R512,MATCH("Description",$A$1:$R$1,0)),"")&amp;""</f>
        <v/>
      </c>
      <c r="AE512" s="9">
        <f>IFERROR(INDEX($A512:$R512,MATCH("Job Number",$A$1:$R$1,0)),"")&amp;""</f>
        <v/>
      </c>
      <c r="AF512" s="54">
        <f>IF(AND(T512="Open",ISNUMBER(Z512),Z512&lt;EOMONTH(set_AsAt,-1)+1),3,0)</f>
        <v/>
      </c>
      <c r="AG512" s="54">
        <f>IF(AND(T512="Open",U512&gt;0,U512&gt;=set_DealShare*SUMIFS($U$2:$U$601,$T$2:$T$601,"Open")),3,0)</f>
        <v/>
      </c>
      <c r="AH512" s="54">
        <f>IF(AND(T512="Open",U512&gt;=set_BigValue,W512&lt;=set_EarlyProb),2,0)</f>
        <v/>
      </c>
      <c r="AI512" s="54">
        <f>IF(AND(OR(T512="Open",T512="Won"),V512=0),2,0)</f>
        <v/>
      </c>
      <c r="AJ512" s="54">
        <f>IF(AND(T512="Won",Y512&gt;0.5,ISNUMBER(Z512),Z512&lt;EOMONTH(set_AsAt,-1)+1),3,0)</f>
        <v/>
      </c>
      <c r="AK512" s="54">
        <f>IF(AND(T512="Won",Y512&lt;-1),1,0)</f>
        <v/>
      </c>
      <c r="AL512" s="54">
        <f>SUM(AF512:AK512)</f>
        <v/>
      </c>
      <c r="AM512" s="9">
        <f>IF(AL512&gt;=set_ScoreHigh,"High",IF(AL512&gt;=set_ScoreMed,"Medium",IF(AL512&gt;0,"Low","OK")))</f>
        <v/>
      </c>
      <c r="AN512" s="54">
        <f>IF(OR(T512="Open",AND(T512="Won",ABS(Y512)&gt;0.5)),1,0)</f>
        <v/>
      </c>
      <c r="AO512" s="52">
        <f>IF(T512="Open",IF(V512=0,0,X512),IF(T512="Won",MAX(0,Y512),0))</f>
        <v/>
      </c>
      <c r="AP512" s="54">
        <f>IF(AN512=1,AL512*1E+9+U512+ROW()/1E+6,"")</f>
        <v/>
      </c>
      <c r="AQ512" s="9">
        <f>MID(IF(AF512&gt;0,"; Expected month passed - update Zoho","")&amp;IF(AG512&gt;0,"; "&amp;TEXT(U512/MAX(1,SUMIFS($U$2:$U$601,$T$2:$T$601,"Open")),"0%")&amp;" of open pipeline in one deal","")&amp;IF(AH512&gt;0,"; Large deal at an early stage","")&amp;IF(AI512&gt;0,"; No amount in Zoho","")&amp;IF(AJ512&gt;0,"; Won, invoice month passed, not fully invoiced","")&amp;IF(AK512&gt;0,"; Xero invoiced more than the deal value",""),3,300)</f>
        <v/>
      </c>
    </row>
    <row r="513">
      <c r="T513" s="9">
        <f>IFERROR(INDEX($A513:$R513,MATCH("Status",$A$1:$R$1,0)),"")&amp;""</f>
        <v/>
      </c>
      <c r="U513" s="52">
        <f>IFERROR(N(IFERROR(INDEX($A513:$R513,MATCH("Value Ex GST",$A$1:$R$1,0)),"")),0)</f>
        <v/>
      </c>
      <c r="V513" s="54">
        <f>IF(AND(T513&lt;&gt;"",IFERROR(INDEX($A513:$R513,MATCH("Value Ex GST",$A$1:$R$1,0)),"")&amp;""&lt;&gt;""),1,0)</f>
        <v/>
      </c>
      <c r="W513" s="56">
        <f>IFERROR(N(IFERROR(INDEX($A513:$R513,MATCH("Probability",$A$1:$R$1,0)),"")),0)</f>
        <v/>
      </c>
      <c r="X513" s="52">
        <f>IF(T513="Open",U513*W513,0)</f>
        <v/>
      </c>
      <c r="Y513" s="52">
        <f>IF(T513="Won",IFERROR(N(IFERROR(INDEX($A513:$R513,MATCH("Still to Invoice",$A$1:$R$1,0)),"")),0),0)</f>
        <v/>
      </c>
      <c r="Z513" s="55">
        <f>IFERROR(EOMONTH(IFERROR(INDEX($A513:$R513,MATCH("Expected Invoice Month",$A$1:$R$1,0)),""),0),"")</f>
        <v/>
      </c>
      <c r="AA513" s="9">
        <f>IFERROR(INDEX($A513:$R513,MATCH("Cost Centre",$A$1:$R$1,0)),"")&amp;""</f>
        <v/>
      </c>
      <c r="AB513" s="9">
        <f>IFERROR(INDEX($A513:$R513,MATCH("Pipeline Stage",$A$1:$R$1,0)),"")&amp;""</f>
        <v/>
      </c>
      <c r="AC513" s="9">
        <f>IFERROR(INDEX($A513:$R513,MATCH("Client",$A$1:$R$1,0)),"")&amp;""</f>
        <v/>
      </c>
      <c r="AD513" s="9">
        <f>IFERROR(INDEX($A513:$R513,MATCH("Description",$A$1:$R$1,0)),"")&amp;""</f>
        <v/>
      </c>
      <c r="AE513" s="9">
        <f>IFERROR(INDEX($A513:$R513,MATCH("Job Number",$A$1:$R$1,0)),"")&amp;""</f>
        <v/>
      </c>
      <c r="AF513" s="54">
        <f>IF(AND(T513="Open",ISNUMBER(Z513),Z513&lt;EOMONTH(set_AsAt,-1)+1),3,0)</f>
        <v/>
      </c>
      <c r="AG513" s="54">
        <f>IF(AND(T513="Open",U513&gt;0,U513&gt;=set_DealShare*SUMIFS($U$2:$U$601,$T$2:$T$601,"Open")),3,0)</f>
        <v/>
      </c>
      <c r="AH513" s="54">
        <f>IF(AND(T513="Open",U513&gt;=set_BigValue,W513&lt;=set_EarlyProb),2,0)</f>
        <v/>
      </c>
      <c r="AI513" s="54">
        <f>IF(AND(OR(T513="Open",T513="Won"),V513=0),2,0)</f>
        <v/>
      </c>
      <c r="AJ513" s="54">
        <f>IF(AND(T513="Won",Y513&gt;0.5,ISNUMBER(Z513),Z513&lt;EOMONTH(set_AsAt,-1)+1),3,0)</f>
        <v/>
      </c>
      <c r="AK513" s="54">
        <f>IF(AND(T513="Won",Y513&lt;-1),1,0)</f>
        <v/>
      </c>
      <c r="AL513" s="54">
        <f>SUM(AF513:AK513)</f>
        <v/>
      </c>
      <c r="AM513" s="9">
        <f>IF(AL513&gt;=set_ScoreHigh,"High",IF(AL513&gt;=set_ScoreMed,"Medium",IF(AL513&gt;0,"Low","OK")))</f>
        <v/>
      </c>
      <c r="AN513" s="54">
        <f>IF(OR(T513="Open",AND(T513="Won",ABS(Y513)&gt;0.5)),1,0)</f>
        <v/>
      </c>
      <c r="AO513" s="52">
        <f>IF(T513="Open",IF(V513=0,0,X513),IF(T513="Won",MAX(0,Y513),0))</f>
        <v/>
      </c>
      <c r="AP513" s="54">
        <f>IF(AN513=1,AL513*1E+9+U513+ROW()/1E+6,"")</f>
        <v/>
      </c>
      <c r="AQ513" s="9">
        <f>MID(IF(AF513&gt;0,"; Expected month passed - update Zoho","")&amp;IF(AG513&gt;0,"; "&amp;TEXT(U513/MAX(1,SUMIFS($U$2:$U$601,$T$2:$T$601,"Open")),"0%")&amp;" of open pipeline in one deal","")&amp;IF(AH513&gt;0,"; Large deal at an early stage","")&amp;IF(AI513&gt;0,"; No amount in Zoho","")&amp;IF(AJ513&gt;0,"; Won, invoice month passed, not fully invoiced","")&amp;IF(AK513&gt;0,"; Xero invoiced more than the deal value",""),3,300)</f>
        <v/>
      </c>
    </row>
    <row r="514">
      <c r="T514" s="9">
        <f>IFERROR(INDEX($A514:$R514,MATCH("Status",$A$1:$R$1,0)),"")&amp;""</f>
        <v/>
      </c>
      <c r="U514" s="52">
        <f>IFERROR(N(IFERROR(INDEX($A514:$R514,MATCH("Value Ex GST",$A$1:$R$1,0)),"")),0)</f>
        <v/>
      </c>
      <c r="V514" s="54">
        <f>IF(AND(T514&lt;&gt;"",IFERROR(INDEX($A514:$R514,MATCH("Value Ex GST",$A$1:$R$1,0)),"")&amp;""&lt;&gt;""),1,0)</f>
        <v/>
      </c>
      <c r="W514" s="56">
        <f>IFERROR(N(IFERROR(INDEX($A514:$R514,MATCH("Probability",$A$1:$R$1,0)),"")),0)</f>
        <v/>
      </c>
      <c r="X514" s="52">
        <f>IF(T514="Open",U514*W514,0)</f>
        <v/>
      </c>
      <c r="Y514" s="52">
        <f>IF(T514="Won",IFERROR(N(IFERROR(INDEX($A514:$R514,MATCH("Still to Invoice",$A$1:$R$1,0)),"")),0),0)</f>
        <v/>
      </c>
      <c r="Z514" s="55">
        <f>IFERROR(EOMONTH(IFERROR(INDEX($A514:$R514,MATCH("Expected Invoice Month",$A$1:$R$1,0)),""),0),"")</f>
        <v/>
      </c>
      <c r="AA514" s="9">
        <f>IFERROR(INDEX($A514:$R514,MATCH("Cost Centre",$A$1:$R$1,0)),"")&amp;""</f>
        <v/>
      </c>
      <c r="AB514" s="9">
        <f>IFERROR(INDEX($A514:$R514,MATCH("Pipeline Stage",$A$1:$R$1,0)),"")&amp;""</f>
        <v/>
      </c>
      <c r="AC514" s="9">
        <f>IFERROR(INDEX($A514:$R514,MATCH("Client",$A$1:$R$1,0)),"")&amp;""</f>
        <v/>
      </c>
      <c r="AD514" s="9">
        <f>IFERROR(INDEX($A514:$R514,MATCH("Description",$A$1:$R$1,0)),"")&amp;""</f>
        <v/>
      </c>
      <c r="AE514" s="9">
        <f>IFERROR(INDEX($A514:$R514,MATCH("Job Number",$A$1:$R$1,0)),"")&amp;""</f>
        <v/>
      </c>
      <c r="AF514" s="54">
        <f>IF(AND(T514="Open",ISNUMBER(Z514),Z514&lt;EOMONTH(set_AsAt,-1)+1),3,0)</f>
        <v/>
      </c>
      <c r="AG514" s="54">
        <f>IF(AND(T514="Open",U514&gt;0,U514&gt;=set_DealShare*SUMIFS($U$2:$U$601,$T$2:$T$601,"Open")),3,0)</f>
        <v/>
      </c>
      <c r="AH514" s="54">
        <f>IF(AND(T514="Open",U514&gt;=set_BigValue,W514&lt;=set_EarlyProb),2,0)</f>
        <v/>
      </c>
      <c r="AI514" s="54">
        <f>IF(AND(OR(T514="Open",T514="Won"),V514=0),2,0)</f>
        <v/>
      </c>
      <c r="AJ514" s="54">
        <f>IF(AND(T514="Won",Y514&gt;0.5,ISNUMBER(Z514),Z514&lt;EOMONTH(set_AsAt,-1)+1),3,0)</f>
        <v/>
      </c>
      <c r="AK514" s="54">
        <f>IF(AND(T514="Won",Y514&lt;-1),1,0)</f>
        <v/>
      </c>
      <c r="AL514" s="54">
        <f>SUM(AF514:AK514)</f>
        <v/>
      </c>
      <c r="AM514" s="9">
        <f>IF(AL514&gt;=set_ScoreHigh,"High",IF(AL514&gt;=set_ScoreMed,"Medium",IF(AL514&gt;0,"Low","OK")))</f>
        <v/>
      </c>
      <c r="AN514" s="54">
        <f>IF(OR(T514="Open",AND(T514="Won",ABS(Y514)&gt;0.5)),1,0)</f>
        <v/>
      </c>
      <c r="AO514" s="52">
        <f>IF(T514="Open",IF(V514=0,0,X514),IF(T514="Won",MAX(0,Y514),0))</f>
        <v/>
      </c>
      <c r="AP514" s="54">
        <f>IF(AN514=1,AL514*1E+9+U514+ROW()/1E+6,"")</f>
        <v/>
      </c>
      <c r="AQ514" s="9">
        <f>MID(IF(AF514&gt;0,"; Expected month passed - update Zoho","")&amp;IF(AG514&gt;0,"; "&amp;TEXT(U514/MAX(1,SUMIFS($U$2:$U$601,$T$2:$T$601,"Open")),"0%")&amp;" of open pipeline in one deal","")&amp;IF(AH514&gt;0,"; Large deal at an early stage","")&amp;IF(AI514&gt;0,"; No amount in Zoho","")&amp;IF(AJ514&gt;0,"; Won, invoice month passed, not fully invoiced","")&amp;IF(AK514&gt;0,"; Xero invoiced more than the deal value",""),3,300)</f>
        <v/>
      </c>
    </row>
    <row r="515">
      <c r="T515" s="9">
        <f>IFERROR(INDEX($A515:$R515,MATCH("Status",$A$1:$R$1,0)),"")&amp;""</f>
        <v/>
      </c>
      <c r="U515" s="52">
        <f>IFERROR(N(IFERROR(INDEX($A515:$R515,MATCH("Value Ex GST",$A$1:$R$1,0)),"")),0)</f>
        <v/>
      </c>
      <c r="V515" s="54">
        <f>IF(AND(T515&lt;&gt;"",IFERROR(INDEX($A515:$R515,MATCH("Value Ex GST",$A$1:$R$1,0)),"")&amp;""&lt;&gt;""),1,0)</f>
        <v/>
      </c>
      <c r="W515" s="56">
        <f>IFERROR(N(IFERROR(INDEX($A515:$R515,MATCH("Probability",$A$1:$R$1,0)),"")),0)</f>
        <v/>
      </c>
      <c r="X515" s="52">
        <f>IF(T515="Open",U515*W515,0)</f>
        <v/>
      </c>
      <c r="Y515" s="52">
        <f>IF(T515="Won",IFERROR(N(IFERROR(INDEX($A515:$R515,MATCH("Still to Invoice",$A$1:$R$1,0)),"")),0),0)</f>
        <v/>
      </c>
      <c r="Z515" s="55">
        <f>IFERROR(EOMONTH(IFERROR(INDEX($A515:$R515,MATCH("Expected Invoice Month",$A$1:$R$1,0)),""),0),"")</f>
        <v/>
      </c>
      <c r="AA515" s="9">
        <f>IFERROR(INDEX($A515:$R515,MATCH("Cost Centre",$A$1:$R$1,0)),"")&amp;""</f>
        <v/>
      </c>
      <c r="AB515" s="9">
        <f>IFERROR(INDEX($A515:$R515,MATCH("Pipeline Stage",$A$1:$R$1,0)),"")&amp;""</f>
        <v/>
      </c>
      <c r="AC515" s="9">
        <f>IFERROR(INDEX($A515:$R515,MATCH("Client",$A$1:$R$1,0)),"")&amp;""</f>
        <v/>
      </c>
      <c r="AD515" s="9">
        <f>IFERROR(INDEX($A515:$R515,MATCH("Description",$A$1:$R$1,0)),"")&amp;""</f>
        <v/>
      </c>
      <c r="AE515" s="9">
        <f>IFERROR(INDEX($A515:$R515,MATCH("Job Number",$A$1:$R$1,0)),"")&amp;""</f>
        <v/>
      </c>
      <c r="AF515" s="54">
        <f>IF(AND(T515="Open",ISNUMBER(Z515),Z515&lt;EOMONTH(set_AsAt,-1)+1),3,0)</f>
        <v/>
      </c>
      <c r="AG515" s="54">
        <f>IF(AND(T515="Open",U515&gt;0,U515&gt;=set_DealShare*SUMIFS($U$2:$U$601,$T$2:$T$601,"Open")),3,0)</f>
        <v/>
      </c>
      <c r="AH515" s="54">
        <f>IF(AND(T515="Open",U515&gt;=set_BigValue,W515&lt;=set_EarlyProb),2,0)</f>
        <v/>
      </c>
      <c r="AI515" s="54">
        <f>IF(AND(OR(T515="Open",T515="Won"),V515=0),2,0)</f>
        <v/>
      </c>
      <c r="AJ515" s="54">
        <f>IF(AND(T515="Won",Y515&gt;0.5,ISNUMBER(Z515),Z515&lt;EOMONTH(set_AsAt,-1)+1),3,0)</f>
        <v/>
      </c>
      <c r="AK515" s="54">
        <f>IF(AND(T515="Won",Y515&lt;-1),1,0)</f>
        <v/>
      </c>
      <c r="AL515" s="54">
        <f>SUM(AF515:AK515)</f>
        <v/>
      </c>
      <c r="AM515" s="9">
        <f>IF(AL515&gt;=set_ScoreHigh,"High",IF(AL515&gt;=set_ScoreMed,"Medium",IF(AL515&gt;0,"Low","OK")))</f>
        <v/>
      </c>
      <c r="AN515" s="54">
        <f>IF(OR(T515="Open",AND(T515="Won",ABS(Y515)&gt;0.5)),1,0)</f>
        <v/>
      </c>
      <c r="AO515" s="52">
        <f>IF(T515="Open",IF(V515=0,0,X515),IF(T515="Won",MAX(0,Y515),0))</f>
        <v/>
      </c>
      <c r="AP515" s="54">
        <f>IF(AN515=1,AL515*1E+9+U515+ROW()/1E+6,"")</f>
        <v/>
      </c>
      <c r="AQ515" s="9">
        <f>MID(IF(AF515&gt;0,"; Expected month passed - update Zoho","")&amp;IF(AG515&gt;0,"; "&amp;TEXT(U515/MAX(1,SUMIFS($U$2:$U$601,$T$2:$T$601,"Open")),"0%")&amp;" of open pipeline in one deal","")&amp;IF(AH515&gt;0,"; Large deal at an early stage","")&amp;IF(AI515&gt;0,"; No amount in Zoho","")&amp;IF(AJ515&gt;0,"; Won, invoice month passed, not fully invoiced","")&amp;IF(AK515&gt;0,"; Xero invoiced more than the deal value",""),3,300)</f>
        <v/>
      </c>
    </row>
    <row r="516">
      <c r="T516" s="9">
        <f>IFERROR(INDEX($A516:$R516,MATCH("Status",$A$1:$R$1,0)),"")&amp;""</f>
        <v/>
      </c>
      <c r="U516" s="52">
        <f>IFERROR(N(IFERROR(INDEX($A516:$R516,MATCH("Value Ex GST",$A$1:$R$1,0)),"")),0)</f>
        <v/>
      </c>
      <c r="V516" s="54">
        <f>IF(AND(T516&lt;&gt;"",IFERROR(INDEX($A516:$R516,MATCH("Value Ex GST",$A$1:$R$1,0)),"")&amp;""&lt;&gt;""),1,0)</f>
        <v/>
      </c>
      <c r="W516" s="56">
        <f>IFERROR(N(IFERROR(INDEX($A516:$R516,MATCH("Probability",$A$1:$R$1,0)),"")),0)</f>
        <v/>
      </c>
      <c r="X516" s="52">
        <f>IF(T516="Open",U516*W516,0)</f>
        <v/>
      </c>
      <c r="Y516" s="52">
        <f>IF(T516="Won",IFERROR(N(IFERROR(INDEX($A516:$R516,MATCH("Still to Invoice",$A$1:$R$1,0)),"")),0),0)</f>
        <v/>
      </c>
      <c r="Z516" s="55">
        <f>IFERROR(EOMONTH(IFERROR(INDEX($A516:$R516,MATCH("Expected Invoice Month",$A$1:$R$1,0)),""),0),"")</f>
        <v/>
      </c>
      <c r="AA516" s="9">
        <f>IFERROR(INDEX($A516:$R516,MATCH("Cost Centre",$A$1:$R$1,0)),"")&amp;""</f>
        <v/>
      </c>
      <c r="AB516" s="9">
        <f>IFERROR(INDEX($A516:$R516,MATCH("Pipeline Stage",$A$1:$R$1,0)),"")&amp;""</f>
        <v/>
      </c>
      <c r="AC516" s="9">
        <f>IFERROR(INDEX($A516:$R516,MATCH("Client",$A$1:$R$1,0)),"")&amp;""</f>
        <v/>
      </c>
      <c r="AD516" s="9">
        <f>IFERROR(INDEX($A516:$R516,MATCH("Description",$A$1:$R$1,0)),"")&amp;""</f>
        <v/>
      </c>
      <c r="AE516" s="9">
        <f>IFERROR(INDEX($A516:$R516,MATCH("Job Number",$A$1:$R$1,0)),"")&amp;""</f>
        <v/>
      </c>
      <c r="AF516" s="54">
        <f>IF(AND(T516="Open",ISNUMBER(Z516),Z516&lt;EOMONTH(set_AsAt,-1)+1),3,0)</f>
        <v/>
      </c>
      <c r="AG516" s="54">
        <f>IF(AND(T516="Open",U516&gt;0,U516&gt;=set_DealShare*SUMIFS($U$2:$U$601,$T$2:$T$601,"Open")),3,0)</f>
        <v/>
      </c>
      <c r="AH516" s="54">
        <f>IF(AND(T516="Open",U516&gt;=set_BigValue,W516&lt;=set_EarlyProb),2,0)</f>
        <v/>
      </c>
      <c r="AI516" s="54">
        <f>IF(AND(OR(T516="Open",T516="Won"),V516=0),2,0)</f>
        <v/>
      </c>
      <c r="AJ516" s="54">
        <f>IF(AND(T516="Won",Y516&gt;0.5,ISNUMBER(Z516),Z516&lt;EOMONTH(set_AsAt,-1)+1),3,0)</f>
        <v/>
      </c>
      <c r="AK516" s="54">
        <f>IF(AND(T516="Won",Y516&lt;-1),1,0)</f>
        <v/>
      </c>
      <c r="AL516" s="54">
        <f>SUM(AF516:AK516)</f>
        <v/>
      </c>
      <c r="AM516" s="9">
        <f>IF(AL516&gt;=set_ScoreHigh,"High",IF(AL516&gt;=set_ScoreMed,"Medium",IF(AL516&gt;0,"Low","OK")))</f>
        <v/>
      </c>
      <c r="AN516" s="54">
        <f>IF(OR(T516="Open",AND(T516="Won",ABS(Y516)&gt;0.5)),1,0)</f>
        <v/>
      </c>
      <c r="AO516" s="52">
        <f>IF(T516="Open",IF(V516=0,0,X516),IF(T516="Won",MAX(0,Y516),0))</f>
        <v/>
      </c>
      <c r="AP516" s="54">
        <f>IF(AN516=1,AL516*1E+9+U516+ROW()/1E+6,"")</f>
        <v/>
      </c>
      <c r="AQ516" s="9">
        <f>MID(IF(AF516&gt;0,"; Expected month passed - update Zoho","")&amp;IF(AG516&gt;0,"; "&amp;TEXT(U516/MAX(1,SUMIFS($U$2:$U$601,$T$2:$T$601,"Open")),"0%")&amp;" of open pipeline in one deal","")&amp;IF(AH516&gt;0,"; Large deal at an early stage","")&amp;IF(AI516&gt;0,"; No amount in Zoho","")&amp;IF(AJ516&gt;0,"; Won, invoice month passed, not fully invoiced","")&amp;IF(AK516&gt;0,"; Xero invoiced more than the deal value",""),3,300)</f>
        <v/>
      </c>
    </row>
    <row r="517">
      <c r="T517" s="9">
        <f>IFERROR(INDEX($A517:$R517,MATCH("Status",$A$1:$R$1,0)),"")&amp;""</f>
        <v/>
      </c>
      <c r="U517" s="52">
        <f>IFERROR(N(IFERROR(INDEX($A517:$R517,MATCH("Value Ex GST",$A$1:$R$1,0)),"")),0)</f>
        <v/>
      </c>
      <c r="V517" s="54">
        <f>IF(AND(T517&lt;&gt;"",IFERROR(INDEX($A517:$R517,MATCH("Value Ex GST",$A$1:$R$1,0)),"")&amp;""&lt;&gt;""),1,0)</f>
        <v/>
      </c>
      <c r="W517" s="56">
        <f>IFERROR(N(IFERROR(INDEX($A517:$R517,MATCH("Probability",$A$1:$R$1,0)),"")),0)</f>
        <v/>
      </c>
      <c r="X517" s="52">
        <f>IF(T517="Open",U517*W517,0)</f>
        <v/>
      </c>
      <c r="Y517" s="52">
        <f>IF(T517="Won",IFERROR(N(IFERROR(INDEX($A517:$R517,MATCH("Still to Invoice",$A$1:$R$1,0)),"")),0),0)</f>
        <v/>
      </c>
      <c r="Z517" s="55">
        <f>IFERROR(EOMONTH(IFERROR(INDEX($A517:$R517,MATCH("Expected Invoice Month",$A$1:$R$1,0)),""),0),"")</f>
        <v/>
      </c>
      <c r="AA517" s="9">
        <f>IFERROR(INDEX($A517:$R517,MATCH("Cost Centre",$A$1:$R$1,0)),"")&amp;""</f>
        <v/>
      </c>
      <c r="AB517" s="9">
        <f>IFERROR(INDEX($A517:$R517,MATCH("Pipeline Stage",$A$1:$R$1,0)),"")&amp;""</f>
        <v/>
      </c>
      <c r="AC517" s="9">
        <f>IFERROR(INDEX($A517:$R517,MATCH("Client",$A$1:$R$1,0)),"")&amp;""</f>
        <v/>
      </c>
      <c r="AD517" s="9">
        <f>IFERROR(INDEX($A517:$R517,MATCH("Description",$A$1:$R$1,0)),"")&amp;""</f>
        <v/>
      </c>
      <c r="AE517" s="9">
        <f>IFERROR(INDEX($A517:$R517,MATCH("Job Number",$A$1:$R$1,0)),"")&amp;""</f>
        <v/>
      </c>
      <c r="AF517" s="54">
        <f>IF(AND(T517="Open",ISNUMBER(Z517),Z517&lt;EOMONTH(set_AsAt,-1)+1),3,0)</f>
        <v/>
      </c>
      <c r="AG517" s="54">
        <f>IF(AND(T517="Open",U517&gt;0,U517&gt;=set_DealShare*SUMIFS($U$2:$U$601,$T$2:$T$601,"Open")),3,0)</f>
        <v/>
      </c>
      <c r="AH517" s="54">
        <f>IF(AND(T517="Open",U517&gt;=set_BigValue,W517&lt;=set_EarlyProb),2,0)</f>
        <v/>
      </c>
      <c r="AI517" s="54">
        <f>IF(AND(OR(T517="Open",T517="Won"),V517=0),2,0)</f>
        <v/>
      </c>
      <c r="AJ517" s="54">
        <f>IF(AND(T517="Won",Y517&gt;0.5,ISNUMBER(Z517),Z517&lt;EOMONTH(set_AsAt,-1)+1),3,0)</f>
        <v/>
      </c>
      <c r="AK517" s="54">
        <f>IF(AND(T517="Won",Y517&lt;-1),1,0)</f>
        <v/>
      </c>
      <c r="AL517" s="54">
        <f>SUM(AF517:AK517)</f>
        <v/>
      </c>
      <c r="AM517" s="9">
        <f>IF(AL517&gt;=set_ScoreHigh,"High",IF(AL517&gt;=set_ScoreMed,"Medium",IF(AL517&gt;0,"Low","OK")))</f>
        <v/>
      </c>
      <c r="AN517" s="54">
        <f>IF(OR(T517="Open",AND(T517="Won",ABS(Y517)&gt;0.5)),1,0)</f>
        <v/>
      </c>
      <c r="AO517" s="52">
        <f>IF(T517="Open",IF(V517=0,0,X517),IF(T517="Won",MAX(0,Y517),0))</f>
        <v/>
      </c>
      <c r="AP517" s="54">
        <f>IF(AN517=1,AL517*1E+9+U517+ROW()/1E+6,"")</f>
        <v/>
      </c>
      <c r="AQ517" s="9">
        <f>MID(IF(AF517&gt;0,"; Expected month passed - update Zoho","")&amp;IF(AG517&gt;0,"; "&amp;TEXT(U517/MAX(1,SUMIFS($U$2:$U$601,$T$2:$T$601,"Open")),"0%")&amp;" of open pipeline in one deal","")&amp;IF(AH517&gt;0,"; Large deal at an early stage","")&amp;IF(AI517&gt;0,"; No amount in Zoho","")&amp;IF(AJ517&gt;0,"; Won, invoice month passed, not fully invoiced","")&amp;IF(AK517&gt;0,"; Xero invoiced more than the deal value",""),3,300)</f>
        <v/>
      </c>
    </row>
    <row r="518">
      <c r="T518" s="9">
        <f>IFERROR(INDEX($A518:$R518,MATCH("Status",$A$1:$R$1,0)),"")&amp;""</f>
        <v/>
      </c>
      <c r="U518" s="52">
        <f>IFERROR(N(IFERROR(INDEX($A518:$R518,MATCH("Value Ex GST",$A$1:$R$1,0)),"")),0)</f>
        <v/>
      </c>
      <c r="V518" s="54">
        <f>IF(AND(T518&lt;&gt;"",IFERROR(INDEX($A518:$R518,MATCH("Value Ex GST",$A$1:$R$1,0)),"")&amp;""&lt;&gt;""),1,0)</f>
        <v/>
      </c>
      <c r="W518" s="56">
        <f>IFERROR(N(IFERROR(INDEX($A518:$R518,MATCH("Probability",$A$1:$R$1,0)),"")),0)</f>
        <v/>
      </c>
      <c r="X518" s="52">
        <f>IF(T518="Open",U518*W518,0)</f>
        <v/>
      </c>
      <c r="Y518" s="52">
        <f>IF(T518="Won",IFERROR(N(IFERROR(INDEX($A518:$R518,MATCH("Still to Invoice",$A$1:$R$1,0)),"")),0),0)</f>
        <v/>
      </c>
      <c r="Z518" s="55">
        <f>IFERROR(EOMONTH(IFERROR(INDEX($A518:$R518,MATCH("Expected Invoice Month",$A$1:$R$1,0)),""),0),"")</f>
        <v/>
      </c>
      <c r="AA518" s="9">
        <f>IFERROR(INDEX($A518:$R518,MATCH("Cost Centre",$A$1:$R$1,0)),"")&amp;""</f>
        <v/>
      </c>
      <c r="AB518" s="9">
        <f>IFERROR(INDEX($A518:$R518,MATCH("Pipeline Stage",$A$1:$R$1,0)),"")&amp;""</f>
        <v/>
      </c>
      <c r="AC518" s="9">
        <f>IFERROR(INDEX($A518:$R518,MATCH("Client",$A$1:$R$1,0)),"")&amp;""</f>
        <v/>
      </c>
      <c r="AD518" s="9">
        <f>IFERROR(INDEX($A518:$R518,MATCH("Description",$A$1:$R$1,0)),"")&amp;""</f>
        <v/>
      </c>
      <c r="AE518" s="9">
        <f>IFERROR(INDEX($A518:$R518,MATCH("Job Number",$A$1:$R$1,0)),"")&amp;""</f>
        <v/>
      </c>
      <c r="AF518" s="54">
        <f>IF(AND(T518="Open",ISNUMBER(Z518),Z518&lt;EOMONTH(set_AsAt,-1)+1),3,0)</f>
        <v/>
      </c>
      <c r="AG518" s="54">
        <f>IF(AND(T518="Open",U518&gt;0,U518&gt;=set_DealShare*SUMIFS($U$2:$U$601,$T$2:$T$601,"Open")),3,0)</f>
        <v/>
      </c>
      <c r="AH518" s="54">
        <f>IF(AND(T518="Open",U518&gt;=set_BigValue,W518&lt;=set_EarlyProb),2,0)</f>
        <v/>
      </c>
      <c r="AI518" s="54">
        <f>IF(AND(OR(T518="Open",T518="Won"),V518=0),2,0)</f>
        <v/>
      </c>
      <c r="AJ518" s="54">
        <f>IF(AND(T518="Won",Y518&gt;0.5,ISNUMBER(Z518),Z518&lt;EOMONTH(set_AsAt,-1)+1),3,0)</f>
        <v/>
      </c>
      <c r="AK518" s="54">
        <f>IF(AND(T518="Won",Y518&lt;-1),1,0)</f>
        <v/>
      </c>
      <c r="AL518" s="54">
        <f>SUM(AF518:AK518)</f>
        <v/>
      </c>
      <c r="AM518" s="9">
        <f>IF(AL518&gt;=set_ScoreHigh,"High",IF(AL518&gt;=set_ScoreMed,"Medium",IF(AL518&gt;0,"Low","OK")))</f>
        <v/>
      </c>
      <c r="AN518" s="54">
        <f>IF(OR(T518="Open",AND(T518="Won",ABS(Y518)&gt;0.5)),1,0)</f>
        <v/>
      </c>
      <c r="AO518" s="52">
        <f>IF(T518="Open",IF(V518=0,0,X518),IF(T518="Won",MAX(0,Y518),0))</f>
        <v/>
      </c>
      <c r="AP518" s="54">
        <f>IF(AN518=1,AL518*1E+9+U518+ROW()/1E+6,"")</f>
        <v/>
      </c>
      <c r="AQ518" s="9">
        <f>MID(IF(AF518&gt;0,"; Expected month passed - update Zoho","")&amp;IF(AG518&gt;0,"; "&amp;TEXT(U518/MAX(1,SUMIFS($U$2:$U$601,$T$2:$T$601,"Open")),"0%")&amp;" of open pipeline in one deal","")&amp;IF(AH518&gt;0,"; Large deal at an early stage","")&amp;IF(AI518&gt;0,"; No amount in Zoho","")&amp;IF(AJ518&gt;0,"; Won, invoice month passed, not fully invoiced","")&amp;IF(AK518&gt;0,"; Xero invoiced more than the deal value",""),3,300)</f>
        <v/>
      </c>
    </row>
    <row r="519">
      <c r="T519" s="9">
        <f>IFERROR(INDEX($A519:$R519,MATCH("Status",$A$1:$R$1,0)),"")&amp;""</f>
        <v/>
      </c>
      <c r="U519" s="52">
        <f>IFERROR(N(IFERROR(INDEX($A519:$R519,MATCH("Value Ex GST",$A$1:$R$1,0)),"")),0)</f>
        <v/>
      </c>
      <c r="V519" s="54">
        <f>IF(AND(T519&lt;&gt;"",IFERROR(INDEX($A519:$R519,MATCH("Value Ex GST",$A$1:$R$1,0)),"")&amp;""&lt;&gt;""),1,0)</f>
        <v/>
      </c>
      <c r="W519" s="56">
        <f>IFERROR(N(IFERROR(INDEX($A519:$R519,MATCH("Probability",$A$1:$R$1,0)),"")),0)</f>
        <v/>
      </c>
      <c r="X519" s="52">
        <f>IF(T519="Open",U519*W519,0)</f>
        <v/>
      </c>
      <c r="Y519" s="52">
        <f>IF(T519="Won",IFERROR(N(IFERROR(INDEX($A519:$R519,MATCH("Still to Invoice",$A$1:$R$1,0)),"")),0),0)</f>
        <v/>
      </c>
      <c r="Z519" s="55">
        <f>IFERROR(EOMONTH(IFERROR(INDEX($A519:$R519,MATCH("Expected Invoice Month",$A$1:$R$1,0)),""),0),"")</f>
        <v/>
      </c>
      <c r="AA519" s="9">
        <f>IFERROR(INDEX($A519:$R519,MATCH("Cost Centre",$A$1:$R$1,0)),"")&amp;""</f>
        <v/>
      </c>
      <c r="AB519" s="9">
        <f>IFERROR(INDEX($A519:$R519,MATCH("Pipeline Stage",$A$1:$R$1,0)),"")&amp;""</f>
        <v/>
      </c>
      <c r="AC519" s="9">
        <f>IFERROR(INDEX($A519:$R519,MATCH("Client",$A$1:$R$1,0)),"")&amp;""</f>
        <v/>
      </c>
      <c r="AD519" s="9">
        <f>IFERROR(INDEX($A519:$R519,MATCH("Description",$A$1:$R$1,0)),"")&amp;""</f>
        <v/>
      </c>
      <c r="AE519" s="9">
        <f>IFERROR(INDEX($A519:$R519,MATCH("Job Number",$A$1:$R$1,0)),"")&amp;""</f>
        <v/>
      </c>
      <c r="AF519" s="54">
        <f>IF(AND(T519="Open",ISNUMBER(Z519),Z519&lt;EOMONTH(set_AsAt,-1)+1),3,0)</f>
        <v/>
      </c>
      <c r="AG519" s="54">
        <f>IF(AND(T519="Open",U519&gt;0,U519&gt;=set_DealShare*SUMIFS($U$2:$U$601,$T$2:$T$601,"Open")),3,0)</f>
        <v/>
      </c>
      <c r="AH519" s="54">
        <f>IF(AND(T519="Open",U519&gt;=set_BigValue,W519&lt;=set_EarlyProb),2,0)</f>
        <v/>
      </c>
      <c r="AI519" s="54">
        <f>IF(AND(OR(T519="Open",T519="Won"),V519=0),2,0)</f>
        <v/>
      </c>
      <c r="AJ519" s="54">
        <f>IF(AND(T519="Won",Y519&gt;0.5,ISNUMBER(Z519),Z519&lt;EOMONTH(set_AsAt,-1)+1),3,0)</f>
        <v/>
      </c>
      <c r="AK519" s="54">
        <f>IF(AND(T519="Won",Y519&lt;-1),1,0)</f>
        <v/>
      </c>
      <c r="AL519" s="54">
        <f>SUM(AF519:AK519)</f>
        <v/>
      </c>
      <c r="AM519" s="9">
        <f>IF(AL519&gt;=set_ScoreHigh,"High",IF(AL519&gt;=set_ScoreMed,"Medium",IF(AL519&gt;0,"Low","OK")))</f>
        <v/>
      </c>
      <c r="AN519" s="54">
        <f>IF(OR(T519="Open",AND(T519="Won",ABS(Y519)&gt;0.5)),1,0)</f>
        <v/>
      </c>
      <c r="AO519" s="52">
        <f>IF(T519="Open",IF(V519=0,0,X519),IF(T519="Won",MAX(0,Y519),0))</f>
        <v/>
      </c>
      <c r="AP519" s="54">
        <f>IF(AN519=1,AL519*1E+9+U519+ROW()/1E+6,"")</f>
        <v/>
      </c>
      <c r="AQ519" s="9">
        <f>MID(IF(AF519&gt;0,"; Expected month passed - update Zoho","")&amp;IF(AG519&gt;0,"; "&amp;TEXT(U519/MAX(1,SUMIFS($U$2:$U$601,$T$2:$T$601,"Open")),"0%")&amp;" of open pipeline in one deal","")&amp;IF(AH519&gt;0,"; Large deal at an early stage","")&amp;IF(AI519&gt;0,"; No amount in Zoho","")&amp;IF(AJ519&gt;0,"; Won, invoice month passed, not fully invoiced","")&amp;IF(AK519&gt;0,"; Xero invoiced more than the deal value",""),3,300)</f>
        <v/>
      </c>
    </row>
    <row r="520">
      <c r="T520" s="9">
        <f>IFERROR(INDEX($A520:$R520,MATCH("Status",$A$1:$R$1,0)),"")&amp;""</f>
        <v/>
      </c>
      <c r="U520" s="52">
        <f>IFERROR(N(IFERROR(INDEX($A520:$R520,MATCH("Value Ex GST",$A$1:$R$1,0)),"")),0)</f>
        <v/>
      </c>
      <c r="V520" s="54">
        <f>IF(AND(T520&lt;&gt;"",IFERROR(INDEX($A520:$R520,MATCH("Value Ex GST",$A$1:$R$1,0)),"")&amp;""&lt;&gt;""),1,0)</f>
        <v/>
      </c>
      <c r="W520" s="56">
        <f>IFERROR(N(IFERROR(INDEX($A520:$R520,MATCH("Probability",$A$1:$R$1,0)),"")),0)</f>
        <v/>
      </c>
      <c r="X520" s="52">
        <f>IF(T520="Open",U520*W520,0)</f>
        <v/>
      </c>
      <c r="Y520" s="52">
        <f>IF(T520="Won",IFERROR(N(IFERROR(INDEX($A520:$R520,MATCH("Still to Invoice",$A$1:$R$1,0)),"")),0),0)</f>
        <v/>
      </c>
      <c r="Z520" s="55">
        <f>IFERROR(EOMONTH(IFERROR(INDEX($A520:$R520,MATCH("Expected Invoice Month",$A$1:$R$1,0)),""),0),"")</f>
        <v/>
      </c>
      <c r="AA520" s="9">
        <f>IFERROR(INDEX($A520:$R520,MATCH("Cost Centre",$A$1:$R$1,0)),"")&amp;""</f>
        <v/>
      </c>
      <c r="AB520" s="9">
        <f>IFERROR(INDEX($A520:$R520,MATCH("Pipeline Stage",$A$1:$R$1,0)),"")&amp;""</f>
        <v/>
      </c>
      <c r="AC520" s="9">
        <f>IFERROR(INDEX($A520:$R520,MATCH("Client",$A$1:$R$1,0)),"")&amp;""</f>
        <v/>
      </c>
      <c r="AD520" s="9">
        <f>IFERROR(INDEX($A520:$R520,MATCH("Description",$A$1:$R$1,0)),"")&amp;""</f>
        <v/>
      </c>
      <c r="AE520" s="9">
        <f>IFERROR(INDEX($A520:$R520,MATCH("Job Number",$A$1:$R$1,0)),"")&amp;""</f>
        <v/>
      </c>
      <c r="AF520" s="54">
        <f>IF(AND(T520="Open",ISNUMBER(Z520),Z520&lt;EOMONTH(set_AsAt,-1)+1),3,0)</f>
        <v/>
      </c>
      <c r="AG520" s="54">
        <f>IF(AND(T520="Open",U520&gt;0,U520&gt;=set_DealShare*SUMIFS($U$2:$U$601,$T$2:$T$601,"Open")),3,0)</f>
        <v/>
      </c>
      <c r="AH520" s="54">
        <f>IF(AND(T520="Open",U520&gt;=set_BigValue,W520&lt;=set_EarlyProb),2,0)</f>
        <v/>
      </c>
      <c r="AI520" s="54">
        <f>IF(AND(OR(T520="Open",T520="Won"),V520=0),2,0)</f>
        <v/>
      </c>
      <c r="AJ520" s="54">
        <f>IF(AND(T520="Won",Y520&gt;0.5,ISNUMBER(Z520),Z520&lt;EOMONTH(set_AsAt,-1)+1),3,0)</f>
        <v/>
      </c>
      <c r="AK520" s="54">
        <f>IF(AND(T520="Won",Y520&lt;-1),1,0)</f>
        <v/>
      </c>
      <c r="AL520" s="54">
        <f>SUM(AF520:AK520)</f>
        <v/>
      </c>
      <c r="AM520" s="9">
        <f>IF(AL520&gt;=set_ScoreHigh,"High",IF(AL520&gt;=set_ScoreMed,"Medium",IF(AL520&gt;0,"Low","OK")))</f>
        <v/>
      </c>
      <c r="AN520" s="54">
        <f>IF(OR(T520="Open",AND(T520="Won",ABS(Y520)&gt;0.5)),1,0)</f>
        <v/>
      </c>
      <c r="AO520" s="52">
        <f>IF(T520="Open",IF(V520=0,0,X520),IF(T520="Won",MAX(0,Y520),0))</f>
        <v/>
      </c>
      <c r="AP520" s="54">
        <f>IF(AN520=1,AL520*1E+9+U520+ROW()/1E+6,"")</f>
        <v/>
      </c>
      <c r="AQ520" s="9">
        <f>MID(IF(AF520&gt;0,"; Expected month passed - update Zoho","")&amp;IF(AG520&gt;0,"; "&amp;TEXT(U520/MAX(1,SUMIFS($U$2:$U$601,$T$2:$T$601,"Open")),"0%")&amp;" of open pipeline in one deal","")&amp;IF(AH520&gt;0,"; Large deal at an early stage","")&amp;IF(AI520&gt;0,"; No amount in Zoho","")&amp;IF(AJ520&gt;0,"; Won, invoice month passed, not fully invoiced","")&amp;IF(AK520&gt;0,"; Xero invoiced more than the deal value",""),3,300)</f>
        <v/>
      </c>
    </row>
    <row r="521">
      <c r="T521" s="9">
        <f>IFERROR(INDEX($A521:$R521,MATCH("Status",$A$1:$R$1,0)),"")&amp;""</f>
        <v/>
      </c>
      <c r="U521" s="52">
        <f>IFERROR(N(IFERROR(INDEX($A521:$R521,MATCH("Value Ex GST",$A$1:$R$1,0)),"")),0)</f>
        <v/>
      </c>
      <c r="V521" s="54">
        <f>IF(AND(T521&lt;&gt;"",IFERROR(INDEX($A521:$R521,MATCH("Value Ex GST",$A$1:$R$1,0)),"")&amp;""&lt;&gt;""),1,0)</f>
        <v/>
      </c>
      <c r="W521" s="56">
        <f>IFERROR(N(IFERROR(INDEX($A521:$R521,MATCH("Probability",$A$1:$R$1,0)),"")),0)</f>
        <v/>
      </c>
      <c r="X521" s="52">
        <f>IF(T521="Open",U521*W521,0)</f>
        <v/>
      </c>
      <c r="Y521" s="52">
        <f>IF(T521="Won",IFERROR(N(IFERROR(INDEX($A521:$R521,MATCH("Still to Invoice",$A$1:$R$1,0)),"")),0),0)</f>
        <v/>
      </c>
      <c r="Z521" s="55">
        <f>IFERROR(EOMONTH(IFERROR(INDEX($A521:$R521,MATCH("Expected Invoice Month",$A$1:$R$1,0)),""),0),"")</f>
        <v/>
      </c>
      <c r="AA521" s="9">
        <f>IFERROR(INDEX($A521:$R521,MATCH("Cost Centre",$A$1:$R$1,0)),"")&amp;""</f>
        <v/>
      </c>
      <c r="AB521" s="9">
        <f>IFERROR(INDEX($A521:$R521,MATCH("Pipeline Stage",$A$1:$R$1,0)),"")&amp;""</f>
        <v/>
      </c>
      <c r="AC521" s="9">
        <f>IFERROR(INDEX($A521:$R521,MATCH("Client",$A$1:$R$1,0)),"")&amp;""</f>
        <v/>
      </c>
      <c r="AD521" s="9">
        <f>IFERROR(INDEX($A521:$R521,MATCH("Description",$A$1:$R$1,0)),"")&amp;""</f>
        <v/>
      </c>
      <c r="AE521" s="9">
        <f>IFERROR(INDEX($A521:$R521,MATCH("Job Number",$A$1:$R$1,0)),"")&amp;""</f>
        <v/>
      </c>
      <c r="AF521" s="54">
        <f>IF(AND(T521="Open",ISNUMBER(Z521),Z521&lt;EOMONTH(set_AsAt,-1)+1),3,0)</f>
        <v/>
      </c>
      <c r="AG521" s="54">
        <f>IF(AND(T521="Open",U521&gt;0,U521&gt;=set_DealShare*SUMIFS($U$2:$U$601,$T$2:$T$601,"Open")),3,0)</f>
        <v/>
      </c>
      <c r="AH521" s="54">
        <f>IF(AND(T521="Open",U521&gt;=set_BigValue,W521&lt;=set_EarlyProb),2,0)</f>
        <v/>
      </c>
      <c r="AI521" s="54">
        <f>IF(AND(OR(T521="Open",T521="Won"),V521=0),2,0)</f>
        <v/>
      </c>
      <c r="AJ521" s="54">
        <f>IF(AND(T521="Won",Y521&gt;0.5,ISNUMBER(Z521),Z521&lt;EOMONTH(set_AsAt,-1)+1),3,0)</f>
        <v/>
      </c>
      <c r="AK521" s="54">
        <f>IF(AND(T521="Won",Y521&lt;-1),1,0)</f>
        <v/>
      </c>
      <c r="AL521" s="54">
        <f>SUM(AF521:AK521)</f>
        <v/>
      </c>
      <c r="AM521" s="9">
        <f>IF(AL521&gt;=set_ScoreHigh,"High",IF(AL521&gt;=set_ScoreMed,"Medium",IF(AL521&gt;0,"Low","OK")))</f>
        <v/>
      </c>
      <c r="AN521" s="54">
        <f>IF(OR(T521="Open",AND(T521="Won",ABS(Y521)&gt;0.5)),1,0)</f>
        <v/>
      </c>
      <c r="AO521" s="52">
        <f>IF(T521="Open",IF(V521=0,0,X521),IF(T521="Won",MAX(0,Y521),0))</f>
        <v/>
      </c>
      <c r="AP521" s="54">
        <f>IF(AN521=1,AL521*1E+9+U521+ROW()/1E+6,"")</f>
        <v/>
      </c>
      <c r="AQ521" s="9">
        <f>MID(IF(AF521&gt;0,"; Expected month passed - update Zoho","")&amp;IF(AG521&gt;0,"; "&amp;TEXT(U521/MAX(1,SUMIFS($U$2:$U$601,$T$2:$T$601,"Open")),"0%")&amp;" of open pipeline in one deal","")&amp;IF(AH521&gt;0,"; Large deal at an early stage","")&amp;IF(AI521&gt;0,"; No amount in Zoho","")&amp;IF(AJ521&gt;0,"; Won, invoice month passed, not fully invoiced","")&amp;IF(AK521&gt;0,"; Xero invoiced more than the deal value",""),3,300)</f>
        <v/>
      </c>
    </row>
    <row r="522">
      <c r="T522" s="9">
        <f>IFERROR(INDEX($A522:$R522,MATCH("Status",$A$1:$R$1,0)),"")&amp;""</f>
        <v/>
      </c>
      <c r="U522" s="52">
        <f>IFERROR(N(IFERROR(INDEX($A522:$R522,MATCH("Value Ex GST",$A$1:$R$1,0)),"")),0)</f>
        <v/>
      </c>
      <c r="V522" s="54">
        <f>IF(AND(T522&lt;&gt;"",IFERROR(INDEX($A522:$R522,MATCH("Value Ex GST",$A$1:$R$1,0)),"")&amp;""&lt;&gt;""),1,0)</f>
        <v/>
      </c>
      <c r="W522" s="56">
        <f>IFERROR(N(IFERROR(INDEX($A522:$R522,MATCH("Probability",$A$1:$R$1,0)),"")),0)</f>
        <v/>
      </c>
      <c r="X522" s="52">
        <f>IF(T522="Open",U522*W522,0)</f>
        <v/>
      </c>
      <c r="Y522" s="52">
        <f>IF(T522="Won",IFERROR(N(IFERROR(INDEX($A522:$R522,MATCH("Still to Invoice",$A$1:$R$1,0)),"")),0),0)</f>
        <v/>
      </c>
      <c r="Z522" s="55">
        <f>IFERROR(EOMONTH(IFERROR(INDEX($A522:$R522,MATCH("Expected Invoice Month",$A$1:$R$1,0)),""),0),"")</f>
        <v/>
      </c>
      <c r="AA522" s="9">
        <f>IFERROR(INDEX($A522:$R522,MATCH("Cost Centre",$A$1:$R$1,0)),"")&amp;""</f>
        <v/>
      </c>
      <c r="AB522" s="9">
        <f>IFERROR(INDEX($A522:$R522,MATCH("Pipeline Stage",$A$1:$R$1,0)),"")&amp;""</f>
        <v/>
      </c>
      <c r="AC522" s="9">
        <f>IFERROR(INDEX($A522:$R522,MATCH("Client",$A$1:$R$1,0)),"")&amp;""</f>
        <v/>
      </c>
      <c r="AD522" s="9">
        <f>IFERROR(INDEX($A522:$R522,MATCH("Description",$A$1:$R$1,0)),"")&amp;""</f>
        <v/>
      </c>
      <c r="AE522" s="9">
        <f>IFERROR(INDEX($A522:$R522,MATCH("Job Number",$A$1:$R$1,0)),"")&amp;""</f>
        <v/>
      </c>
      <c r="AF522" s="54">
        <f>IF(AND(T522="Open",ISNUMBER(Z522),Z522&lt;EOMONTH(set_AsAt,-1)+1),3,0)</f>
        <v/>
      </c>
      <c r="AG522" s="54">
        <f>IF(AND(T522="Open",U522&gt;0,U522&gt;=set_DealShare*SUMIFS($U$2:$U$601,$T$2:$T$601,"Open")),3,0)</f>
        <v/>
      </c>
      <c r="AH522" s="54">
        <f>IF(AND(T522="Open",U522&gt;=set_BigValue,W522&lt;=set_EarlyProb),2,0)</f>
        <v/>
      </c>
      <c r="AI522" s="54">
        <f>IF(AND(OR(T522="Open",T522="Won"),V522=0),2,0)</f>
        <v/>
      </c>
      <c r="AJ522" s="54">
        <f>IF(AND(T522="Won",Y522&gt;0.5,ISNUMBER(Z522),Z522&lt;EOMONTH(set_AsAt,-1)+1),3,0)</f>
        <v/>
      </c>
      <c r="AK522" s="54">
        <f>IF(AND(T522="Won",Y522&lt;-1),1,0)</f>
        <v/>
      </c>
      <c r="AL522" s="54">
        <f>SUM(AF522:AK522)</f>
        <v/>
      </c>
      <c r="AM522" s="9">
        <f>IF(AL522&gt;=set_ScoreHigh,"High",IF(AL522&gt;=set_ScoreMed,"Medium",IF(AL522&gt;0,"Low","OK")))</f>
        <v/>
      </c>
      <c r="AN522" s="54">
        <f>IF(OR(T522="Open",AND(T522="Won",ABS(Y522)&gt;0.5)),1,0)</f>
        <v/>
      </c>
      <c r="AO522" s="52">
        <f>IF(T522="Open",IF(V522=0,0,X522),IF(T522="Won",MAX(0,Y522),0))</f>
        <v/>
      </c>
      <c r="AP522" s="54">
        <f>IF(AN522=1,AL522*1E+9+U522+ROW()/1E+6,"")</f>
        <v/>
      </c>
      <c r="AQ522" s="9">
        <f>MID(IF(AF522&gt;0,"; Expected month passed - update Zoho","")&amp;IF(AG522&gt;0,"; "&amp;TEXT(U522/MAX(1,SUMIFS($U$2:$U$601,$T$2:$T$601,"Open")),"0%")&amp;" of open pipeline in one deal","")&amp;IF(AH522&gt;0,"; Large deal at an early stage","")&amp;IF(AI522&gt;0,"; No amount in Zoho","")&amp;IF(AJ522&gt;0,"; Won, invoice month passed, not fully invoiced","")&amp;IF(AK522&gt;0,"; Xero invoiced more than the deal value",""),3,300)</f>
        <v/>
      </c>
    </row>
    <row r="523">
      <c r="T523" s="9">
        <f>IFERROR(INDEX($A523:$R523,MATCH("Status",$A$1:$R$1,0)),"")&amp;""</f>
        <v/>
      </c>
      <c r="U523" s="52">
        <f>IFERROR(N(IFERROR(INDEX($A523:$R523,MATCH("Value Ex GST",$A$1:$R$1,0)),"")),0)</f>
        <v/>
      </c>
      <c r="V523" s="54">
        <f>IF(AND(T523&lt;&gt;"",IFERROR(INDEX($A523:$R523,MATCH("Value Ex GST",$A$1:$R$1,0)),"")&amp;""&lt;&gt;""),1,0)</f>
        <v/>
      </c>
      <c r="W523" s="56">
        <f>IFERROR(N(IFERROR(INDEX($A523:$R523,MATCH("Probability",$A$1:$R$1,0)),"")),0)</f>
        <v/>
      </c>
      <c r="X523" s="52">
        <f>IF(T523="Open",U523*W523,0)</f>
        <v/>
      </c>
      <c r="Y523" s="52">
        <f>IF(T523="Won",IFERROR(N(IFERROR(INDEX($A523:$R523,MATCH("Still to Invoice",$A$1:$R$1,0)),"")),0),0)</f>
        <v/>
      </c>
      <c r="Z523" s="55">
        <f>IFERROR(EOMONTH(IFERROR(INDEX($A523:$R523,MATCH("Expected Invoice Month",$A$1:$R$1,0)),""),0),"")</f>
        <v/>
      </c>
      <c r="AA523" s="9">
        <f>IFERROR(INDEX($A523:$R523,MATCH("Cost Centre",$A$1:$R$1,0)),"")&amp;""</f>
        <v/>
      </c>
      <c r="AB523" s="9">
        <f>IFERROR(INDEX($A523:$R523,MATCH("Pipeline Stage",$A$1:$R$1,0)),"")&amp;""</f>
        <v/>
      </c>
      <c r="AC523" s="9">
        <f>IFERROR(INDEX($A523:$R523,MATCH("Client",$A$1:$R$1,0)),"")&amp;""</f>
        <v/>
      </c>
      <c r="AD523" s="9">
        <f>IFERROR(INDEX($A523:$R523,MATCH("Description",$A$1:$R$1,0)),"")&amp;""</f>
        <v/>
      </c>
      <c r="AE523" s="9">
        <f>IFERROR(INDEX($A523:$R523,MATCH("Job Number",$A$1:$R$1,0)),"")&amp;""</f>
        <v/>
      </c>
      <c r="AF523" s="54">
        <f>IF(AND(T523="Open",ISNUMBER(Z523),Z523&lt;EOMONTH(set_AsAt,-1)+1),3,0)</f>
        <v/>
      </c>
      <c r="AG523" s="54">
        <f>IF(AND(T523="Open",U523&gt;0,U523&gt;=set_DealShare*SUMIFS($U$2:$U$601,$T$2:$T$601,"Open")),3,0)</f>
        <v/>
      </c>
      <c r="AH523" s="54">
        <f>IF(AND(T523="Open",U523&gt;=set_BigValue,W523&lt;=set_EarlyProb),2,0)</f>
        <v/>
      </c>
      <c r="AI523" s="54">
        <f>IF(AND(OR(T523="Open",T523="Won"),V523=0),2,0)</f>
        <v/>
      </c>
      <c r="AJ523" s="54">
        <f>IF(AND(T523="Won",Y523&gt;0.5,ISNUMBER(Z523),Z523&lt;EOMONTH(set_AsAt,-1)+1),3,0)</f>
        <v/>
      </c>
      <c r="AK523" s="54">
        <f>IF(AND(T523="Won",Y523&lt;-1),1,0)</f>
        <v/>
      </c>
      <c r="AL523" s="54">
        <f>SUM(AF523:AK523)</f>
        <v/>
      </c>
      <c r="AM523" s="9">
        <f>IF(AL523&gt;=set_ScoreHigh,"High",IF(AL523&gt;=set_ScoreMed,"Medium",IF(AL523&gt;0,"Low","OK")))</f>
        <v/>
      </c>
      <c r="AN523" s="54">
        <f>IF(OR(T523="Open",AND(T523="Won",ABS(Y523)&gt;0.5)),1,0)</f>
        <v/>
      </c>
      <c r="AO523" s="52">
        <f>IF(T523="Open",IF(V523=0,0,X523),IF(T523="Won",MAX(0,Y523),0))</f>
        <v/>
      </c>
      <c r="AP523" s="54">
        <f>IF(AN523=1,AL523*1E+9+U523+ROW()/1E+6,"")</f>
        <v/>
      </c>
      <c r="AQ523" s="9">
        <f>MID(IF(AF523&gt;0,"; Expected month passed - update Zoho","")&amp;IF(AG523&gt;0,"; "&amp;TEXT(U523/MAX(1,SUMIFS($U$2:$U$601,$T$2:$T$601,"Open")),"0%")&amp;" of open pipeline in one deal","")&amp;IF(AH523&gt;0,"; Large deal at an early stage","")&amp;IF(AI523&gt;0,"; No amount in Zoho","")&amp;IF(AJ523&gt;0,"; Won, invoice month passed, not fully invoiced","")&amp;IF(AK523&gt;0,"; Xero invoiced more than the deal value",""),3,300)</f>
        <v/>
      </c>
    </row>
    <row r="524">
      <c r="T524" s="9">
        <f>IFERROR(INDEX($A524:$R524,MATCH("Status",$A$1:$R$1,0)),"")&amp;""</f>
        <v/>
      </c>
      <c r="U524" s="52">
        <f>IFERROR(N(IFERROR(INDEX($A524:$R524,MATCH("Value Ex GST",$A$1:$R$1,0)),"")),0)</f>
        <v/>
      </c>
      <c r="V524" s="54">
        <f>IF(AND(T524&lt;&gt;"",IFERROR(INDEX($A524:$R524,MATCH("Value Ex GST",$A$1:$R$1,0)),"")&amp;""&lt;&gt;""),1,0)</f>
        <v/>
      </c>
      <c r="W524" s="56">
        <f>IFERROR(N(IFERROR(INDEX($A524:$R524,MATCH("Probability",$A$1:$R$1,0)),"")),0)</f>
        <v/>
      </c>
      <c r="X524" s="52">
        <f>IF(T524="Open",U524*W524,0)</f>
        <v/>
      </c>
      <c r="Y524" s="52">
        <f>IF(T524="Won",IFERROR(N(IFERROR(INDEX($A524:$R524,MATCH("Still to Invoice",$A$1:$R$1,0)),"")),0),0)</f>
        <v/>
      </c>
      <c r="Z524" s="55">
        <f>IFERROR(EOMONTH(IFERROR(INDEX($A524:$R524,MATCH("Expected Invoice Month",$A$1:$R$1,0)),""),0),"")</f>
        <v/>
      </c>
      <c r="AA524" s="9">
        <f>IFERROR(INDEX($A524:$R524,MATCH("Cost Centre",$A$1:$R$1,0)),"")&amp;""</f>
        <v/>
      </c>
      <c r="AB524" s="9">
        <f>IFERROR(INDEX($A524:$R524,MATCH("Pipeline Stage",$A$1:$R$1,0)),"")&amp;""</f>
        <v/>
      </c>
      <c r="AC524" s="9">
        <f>IFERROR(INDEX($A524:$R524,MATCH("Client",$A$1:$R$1,0)),"")&amp;""</f>
        <v/>
      </c>
      <c r="AD524" s="9">
        <f>IFERROR(INDEX($A524:$R524,MATCH("Description",$A$1:$R$1,0)),"")&amp;""</f>
        <v/>
      </c>
      <c r="AE524" s="9">
        <f>IFERROR(INDEX($A524:$R524,MATCH("Job Number",$A$1:$R$1,0)),"")&amp;""</f>
        <v/>
      </c>
      <c r="AF524" s="54">
        <f>IF(AND(T524="Open",ISNUMBER(Z524),Z524&lt;EOMONTH(set_AsAt,-1)+1),3,0)</f>
        <v/>
      </c>
      <c r="AG524" s="54">
        <f>IF(AND(T524="Open",U524&gt;0,U524&gt;=set_DealShare*SUMIFS($U$2:$U$601,$T$2:$T$601,"Open")),3,0)</f>
        <v/>
      </c>
      <c r="AH524" s="54">
        <f>IF(AND(T524="Open",U524&gt;=set_BigValue,W524&lt;=set_EarlyProb),2,0)</f>
        <v/>
      </c>
      <c r="AI524" s="54">
        <f>IF(AND(OR(T524="Open",T524="Won"),V524=0),2,0)</f>
        <v/>
      </c>
      <c r="AJ524" s="54">
        <f>IF(AND(T524="Won",Y524&gt;0.5,ISNUMBER(Z524),Z524&lt;EOMONTH(set_AsAt,-1)+1),3,0)</f>
        <v/>
      </c>
      <c r="AK524" s="54">
        <f>IF(AND(T524="Won",Y524&lt;-1),1,0)</f>
        <v/>
      </c>
      <c r="AL524" s="54">
        <f>SUM(AF524:AK524)</f>
        <v/>
      </c>
      <c r="AM524" s="9">
        <f>IF(AL524&gt;=set_ScoreHigh,"High",IF(AL524&gt;=set_ScoreMed,"Medium",IF(AL524&gt;0,"Low","OK")))</f>
        <v/>
      </c>
      <c r="AN524" s="54">
        <f>IF(OR(T524="Open",AND(T524="Won",ABS(Y524)&gt;0.5)),1,0)</f>
        <v/>
      </c>
      <c r="AO524" s="52">
        <f>IF(T524="Open",IF(V524=0,0,X524),IF(T524="Won",MAX(0,Y524),0))</f>
        <v/>
      </c>
      <c r="AP524" s="54">
        <f>IF(AN524=1,AL524*1E+9+U524+ROW()/1E+6,"")</f>
        <v/>
      </c>
      <c r="AQ524" s="9">
        <f>MID(IF(AF524&gt;0,"; Expected month passed - update Zoho","")&amp;IF(AG524&gt;0,"; "&amp;TEXT(U524/MAX(1,SUMIFS($U$2:$U$601,$T$2:$T$601,"Open")),"0%")&amp;" of open pipeline in one deal","")&amp;IF(AH524&gt;0,"; Large deal at an early stage","")&amp;IF(AI524&gt;0,"; No amount in Zoho","")&amp;IF(AJ524&gt;0,"; Won, invoice month passed, not fully invoiced","")&amp;IF(AK524&gt;0,"; Xero invoiced more than the deal value",""),3,300)</f>
        <v/>
      </c>
    </row>
    <row r="525">
      <c r="T525" s="9">
        <f>IFERROR(INDEX($A525:$R525,MATCH("Status",$A$1:$R$1,0)),"")&amp;""</f>
        <v/>
      </c>
      <c r="U525" s="52">
        <f>IFERROR(N(IFERROR(INDEX($A525:$R525,MATCH("Value Ex GST",$A$1:$R$1,0)),"")),0)</f>
        <v/>
      </c>
      <c r="V525" s="54">
        <f>IF(AND(T525&lt;&gt;"",IFERROR(INDEX($A525:$R525,MATCH("Value Ex GST",$A$1:$R$1,0)),"")&amp;""&lt;&gt;""),1,0)</f>
        <v/>
      </c>
      <c r="W525" s="56">
        <f>IFERROR(N(IFERROR(INDEX($A525:$R525,MATCH("Probability",$A$1:$R$1,0)),"")),0)</f>
        <v/>
      </c>
      <c r="X525" s="52">
        <f>IF(T525="Open",U525*W525,0)</f>
        <v/>
      </c>
      <c r="Y525" s="52">
        <f>IF(T525="Won",IFERROR(N(IFERROR(INDEX($A525:$R525,MATCH("Still to Invoice",$A$1:$R$1,0)),"")),0),0)</f>
        <v/>
      </c>
      <c r="Z525" s="55">
        <f>IFERROR(EOMONTH(IFERROR(INDEX($A525:$R525,MATCH("Expected Invoice Month",$A$1:$R$1,0)),""),0),"")</f>
        <v/>
      </c>
      <c r="AA525" s="9">
        <f>IFERROR(INDEX($A525:$R525,MATCH("Cost Centre",$A$1:$R$1,0)),"")&amp;""</f>
        <v/>
      </c>
      <c r="AB525" s="9">
        <f>IFERROR(INDEX($A525:$R525,MATCH("Pipeline Stage",$A$1:$R$1,0)),"")&amp;""</f>
        <v/>
      </c>
      <c r="AC525" s="9">
        <f>IFERROR(INDEX($A525:$R525,MATCH("Client",$A$1:$R$1,0)),"")&amp;""</f>
        <v/>
      </c>
      <c r="AD525" s="9">
        <f>IFERROR(INDEX($A525:$R525,MATCH("Description",$A$1:$R$1,0)),"")&amp;""</f>
        <v/>
      </c>
      <c r="AE525" s="9">
        <f>IFERROR(INDEX($A525:$R525,MATCH("Job Number",$A$1:$R$1,0)),"")&amp;""</f>
        <v/>
      </c>
      <c r="AF525" s="54">
        <f>IF(AND(T525="Open",ISNUMBER(Z525),Z525&lt;EOMONTH(set_AsAt,-1)+1),3,0)</f>
        <v/>
      </c>
      <c r="AG525" s="54">
        <f>IF(AND(T525="Open",U525&gt;0,U525&gt;=set_DealShare*SUMIFS($U$2:$U$601,$T$2:$T$601,"Open")),3,0)</f>
        <v/>
      </c>
      <c r="AH525" s="54">
        <f>IF(AND(T525="Open",U525&gt;=set_BigValue,W525&lt;=set_EarlyProb),2,0)</f>
        <v/>
      </c>
      <c r="AI525" s="54">
        <f>IF(AND(OR(T525="Open",T525="Won"),V525=0),2,0)</f>
        <v/>
      </c>
      <c r="AJ525" s="54">
        <f>IF(AND(T525="Won",Y525&gt;0.5,ISNUMBER(Z525),Z525&lt;EOMONTH(set_AsAt,-1)+1),3,0)</f>
        <v/>
      </c>
      <c r="AK525" s="54">
        <f>IF(AND(T525="Won",Y525&lt;-1),1,0)</f>
        <v/>
      </c>
      <c r="AL525" s="54">
        <f>SUM(AF525:AK525)</f>
        <v/>
      </c>
      <c r="AM525" s="9">
        <f>IF(AL525&gt;=set_ScoreHigh,"High",IF(AL525&gt;=set_ScoreMed,"Medium",IF(AL525&gt;0,"Low","OK")))</f>
        <v/>
      </c>
      <c r="AN525" s="54">
        <f>IF(OR(T525="Open",AND(T525="Won",ABS(Y525)&gt;0.5)),1,0)</f>
        <v/>
      </c>
      <c r="AO525" s="52">
        <f>IF(T525="Open",IF(V525=0,0,X525),IF(T525="Won",MAX(0,Y525),0))</f>
        <v/>
      </c>
      <c r="AP525" s="54">
        <f>IF(AN525=1,AL525*1E+9+U525+ROW()/1E+6,"")</f>
        <v/>
      </c>
      <c r="AQ525" s="9">
        <f>MID(IF(AF525&gt;0,"; Expected month passed - update Zoho","")&amp;IF(AG525&gt;0,"; "&amp;TEXT(U525/MAX(1,SUMIFS($U$2:$U$601,$T$2:$T$601,"Open")),"0%")&amp;" of open pipeline in one deal","")&amp;IF(AH525&gt;0,"; Large deal at an early stage","")&amp;IF(AI525&gt;0,"; No amount in Zoho","")&amp;IF(AJ525&gt;0,"; Won, invoice month passed, not fully invoiced","")&amp;IF(AK525&gt;0,"; Xero invoiced more than the deal value",""),3,300)</f>
        <v/>
      </c>
    </row>
    <row r="526">
      <c r="T526" s="9">
        <f>IFERROR(INDEX($A526:$R526,MATCH("Status",$A$1:$R$1,0)),"")&amp;""</f>
        <v/>
      </c>
      <c r="U526" s="52">
        <f>IFERROR(N(IFERROR(INDEX($A526:$R526,MATCH("Value Ex GST",$A$1:$R$1,0)),"")),0)</f>
        <v/>
      </c>
      <c r="V526" s="54">
        <f>IF(AND(T526&lt;&gt;"",IFERROR(INDEX($A526:$R526,MATCH("Value Ex GST",$A$1:$R$1,0)),"")&amp;""&lt;&gt;""),1,0)</f>
        <v/>
      </c>
      <c r="W526" s="56">
        <f>IFERROR(N(IFERROR(INDEX($A526:$R526,MATCH("Probability",$A$1:$R$1,0)),"")),0)</f>
        <v/>
      </c>
      <c r="X526" s="52">
        <f>IF(T526="Open",U526*W526,0)</f>
        <v/>
      </c>
      <c r="Y526" s="52">
        <f>IF(T526="Won",IFERROR(N(IFERROR(INDEX($A526:$R526,MATCH("Still to Invoice",$A$1:$R$1,0)),"")),0),0)</f>
        <v/>
      </c>
      <c r="Z526" s="55">
        <f>IFERROR(EOMONTH(IFERROR(INDEX($A526:$R526,MATCH("Expected Invoice Month",$A$1:$R$1,0)),""),0),"")</f>
        <v/>
      </c>
      <c r="AA526" s="9">
        <f>IFERROR(INDEX($A526:$R526,MATCH("Cost Centre",$A$1:$R$1,0)),"")&amp;""</f>
        <v/>
      </c>
      <c r="AB526" s="9">
        <f>IFERROR(INDEX($A526:$R526,MATCH("Pipeline Stage",$A$1:$R$1,0)),"")&amp;""</f>
        <v/>
      </c>
      <c r="AC526" s="9">
        <f>IFERROR(INDEX($A526:$R526,MATCH("Client",$A$1:$R$1,0)),"")&amp;""</f>
        <v/>
      </c>
      <c r="AD526" s="9">
        <f>IFERROR(INDEX($A526:$R526,MATCH("Description",$A$1:$R$1,0)),"")&amp;""</f>
        <v/>
      </c>
      <c r="AE526" s="9">
        <f>IFERROR(INDEX($A526:$R526,MATCH("Job Number",$A$1:$R$1,0)),"")&amp;""</f>
        <v/>
      </c>
      <c r="AF526" s="54">
        <f>IF(AND(T526="Open",ISNUMBER(Z526),Z526&lt;EOMONTH(set_AsAt,-1)+1),3,0)</f>
        <v/>
      </c>
      <c r="AG526" s="54">
        <f>IF(AND(T526="Open",U526&gt;0,U526&gt;=set_DealShare*SUMIFS($U$2:$U$601,$T$2:$T$601,"Open")),3,0)</f>
        <v/>
      </c>
      <c r="AH526" s="54">
        <f>IF(AND(T526="Open",U526&gt;=set_BigValue,W526&lt;=set_EarlyProb),2,0)</f>
        <v/>
      </c>
      <c r="AI526" s="54">
        <f>IF(AND(OR(T526="Open",T526="Won"),V526=0),2,0)</f>
        <v/>
      </c>
      <c r="AJ526" s="54">
        <f>IF(AND(T526="Won",Y526&gt;0.5,ISNUMBER(Z526),Z526&lt;EOMONTH(set_AsAt,-1)+1),3,0)</f>
        <v/>
      </c>
      <c r="AK526" s="54">
        <f>IF(AND(T526="Won",Y526&lt;-1),1,0)</f>
        <v/>
      </c>
      <c r="AL526" s="54">
        <f>SUM(AF526:AK526)</f>
        <v/>
      </c>
      <c r="AM526" s="9">
        <f>IF(AL526&gt;=set_ScoreHigh,"High",IF(AL526&gt;=set_ScoreMed,"Medium",IF(AL526&gt;0,"Low","OK")))</f>
        <v/>
      </c>
      <c r="AN526" s="54">
        <f>IF(OR(T526="Open",AND(T526="Won",ABS(Y526)&gt;0.5)),1,0)</f>
        <v/>
      </c>
      <c r="AO526" s="52">
        <f>IF(T526="Open",IF(V526=0,0,X526),IF(T526="Won",MAX(0,Y526),0))</f>
        <v/>
      </c>
      <c r="AP526" s="54">
        <f>IF(AN526=1,AL526*1E+9+U526+ROW()/1E+6,"")</f>
        <v/>
      </c>
      <c r="AQ526" s="9">
        <f>MID(IF(AF526&gt;0,"; Expected month passed - update Zoho","")&amp;IF(AG526&gt;0,"; "&amp;TEXT(U526/MAX(1,SUMIFS($U$2:$U$601,$T$2:$T$601,"Open")),"0%")&amp;" of open pipeline in one deal","")&amp;IF(AH526&gt;0,"; Large deal at an early stage","")&amp;IF(AI526&gt;0,"; No amount in Zoho","")&amp;IF(AJ526&gt;0,"; Won, invoice month passed, not fully invoiced","")&amp;IF(AK526&gt;0,"; Xero invoiced more than the deal value",""),3,300)</f>
        <v/>
      </c>
    </row>
    <row r="527">
      <c r="T527" s="9">
        <f>IFERROR(INDEX($A527:$R527,MATCH("Status",$A$1:$R$1,0)),"")&amp;""</f>
        <v/>
      </c>
      <c r="U527" s="52">
        <f>IFERROR(N(IFERROR(INDEX($A527:$R527,MATCH("Value Ex GST",$A$1:$R$1,0)),"")),0)</f>
        <v/>
      </c>
      <c r="V527" s="54">
        <f>IF(AND(T527&lt;&gt;"",IFERROR(INDEX($A527:$R527,MATCH("Value Ex GST",$A$1:$R$1,0)),"")&amp;""&lt;&gt;""),1,0)</f>
        <v/>
      </c>
      <c r="W527" s="56">
        <f>IFERROR(N(IFERROR(INDEX($A527:$R527,MATCH("Probability",$A$1:$R$1,0)),"")),0)</f>
        <v/>
      </c>
      <c r="X527" s="52">
        <f>IF(T527="Open",U527*W527,0)</f>
        <v/>
      </c>
      <c r="Y527" s="52">
        <f>IF(T527="Won",IFERROR(N(IFERROR(INDEX($A527:$R527,MATCH("Still to Invoice",$A$1:$R$1,0)),"")),0),0)</f>
        <v/>
      </c>
      <c r="Z527" s="55">
        <f>IFERROR(EOMONTH(IFERROR(INDEX($A527:$R527,MATCH("Expected Invoice Month",$A$1:$R$1,0)),""),0),"")</f>
        <v/>
      </c>
      <c r="AA527" s="9">
        <f>IFERROR(INDEX($A527:$R527,MATCH("Cost Centre",$A$1:$R$1,0)),"")&amp;""</f>
        <v/>
      </c>
      <c r="AB527" s="9">
        <f>IFERROR(INDEX($A527:$R527,MATCH("Pipeline Stage",$A$1:$R$1,0)),"")&amp;""</f>
        <v/>
      </c>
      <c r="AC527" s="9">
        <f>IFERROR(INDEX($A527:$R527,MATCH("Client",$A$1:$R$1,0)),"")&amp;""</f>
        <v/>
      </c>
      <c r="AD527" s="9">
        <f>IFERROR(INDEX($A527:$R527,MATCH("Description",$A$1:$R$1,0)),"")&amp;""</f>
        <v/>
      </c>
      <c r="AE527" s="9">
        <f>IFERROR(INDEX($A527:$R527,MATCH("Job Number",$A$1:$R$1,0)),"")&amp;""</f>
        <v/>
      </c>
      <c r="AF527" s="54">
        <f>IF(AND(T527="Open",ISNUMBER(Z527),Z527&lt;EOMONTH(set_AsAt,-1)+1),3,0)</f>
        <v/>
      </c>
      <c r="AG527" s="54">
        <f>IF(AND(T527="Open",U527&gt;0,U527&gt;=set_DealShare*SUMIFS($U$2:$U$601,$T$2:$T$601,"Open")),3,0)</f>
        <v/>
      </c>
      <c r="AH527" s="54">
        <f>IF(AND(T527="Open",U527&gt;=set_BigValue,W527&lt;=set_EarlyProb),2,0)</f>
        <v/>
      </c>
      <c r="AI527" s="54">
        <f>IF(AND(OR(T527="Open",T527="Won"),V527=0),2,0)</f>
        <v/>
      </c>
      <c r="AJ527" s="54">
        <f>IF(AND(T527="Won",Y527&gt;0.5,ISNUMBER(Z527),Z527&lt;EOMONTH(set_AsAt,-1)+1),3,0)</f>
        <v/>
      </c>
      <c r="AK527" s="54">
        <f>IF(AND(T527="Won",Y527&lt;-1),1,0)</f>
        <v/>
      </c>
      <c r="AL527" s="54">
        <f>SUM(AF527:AK527)</f>
        <v/>
      </c>
      <c r="AM527" s="9">
        <f>IF(AL527&gt;=set_ScoreHigh,"High",IF(AL527&gt;=set_ScoreMed,"Medium",IF(AL527&gt;0,"Low","OK")))</f>
        <v/>
      </c>
      <c r="AN527" s="54">
        <f>IF(OR(T527="Open",AND(T527="Won",ABS(Y527)&gt;0.5)),1,0)</f>
        <v/>
      </c>
      <c r="AO527" s="52">
        <f>IF(T527="Open",IF(V527=0,0,X527),IF(T527="Won",MAX(0,Y527),0))</f>
        <v/>
      </c>
      <c r="AP527" s="54">
        <f>IF(AN527=1,AL527*1E+9+U527+ROW()/1E+6,"")</f>
        <v/>
      </c>
      <c r="AQ527" s="9">
        <f>MID(IF(AF527&gt;0,"; Expected month passed - update Zoho","")&amp;IF(AG527&gt;0,"; "&amp;TEXT(U527/MAX(1,SUMIFS($U$2:$U$601,$T$2:$T$601,"Open")),"0%")&amp;" of open pipeline in one deal","")&amp;IF(AH527&gt;0,"; Large deal at an early stage","")&amp;IF(AI527&gt;0,"; No amount in Zoho","")&amp;IF(AJ527&gt;0,"; Won, invoice month passed, not fully invoiced","")&amp;IF(AK527&gt;0,"; Xero invoiced more than the deal value",""),3,300)</f>
        <v/>
      </c>
    </row>
    <row r="528">
      <c r="T528" s="9">
        <f>IFERROR(INDEX($A528:$R528,MATCH("Status",$A$1:$R$1,0)),"")&amp;""</f>
        <v/>
      </c>
      <c r="U528" s="52">
        <f>IFERROR(N(IFERROR(INDEX($A528:$R528,MATCH("Value Ex GST",$A$1:$R$1,0)),"")),0)</f>
        <v/>
      </c>
      <c r="V528" s="54">
        <f>IF(AND(T528&lt;&gt;"",IFERROR(INDEX($A528:$R528,MATCH("Value Ex GST",$A$1:$R$1,0)),"")&amp;""&lt;&gt;""),1,0)</f>
        <v/>
      </c>
      <c r="W528" s="56">
        <f>IFERROR(N(IFERROR(INDEX($A528:$R528,MATCH("Probability",$A$1:$R$1,0)),"")),0)</f>
        <v/>
      </c>
      <c r="X528" s="52">
        <f>IF(T528="Open",U528*W528,0)</f>
        <v/>
      </c>
      <c r="Y528" s="52">
        <f>IF(T528="Won",IFERROR(N(IFERROR(INDEX($A528:$R528,MATCH("Still to Invoice",$A$1:$R$1,0)),"")),0),0)</f>
        <v/>
      </c>
      <c r="Z528" s="55">
        <f>IFERROR(EOMONTH(IFERROR(INDEX($A528:$R528,MATCH("Expected Invoice Month",$A$1:$R$1,0)),""),0),"")</f>
        <v/>
      </c>
      <c r="AA528" s="9">
        <f>IFERROR(INDEX($A528:$R528,MATCH("Cost Centre",$A$1:$R$1,0)),"")&amp;""</f>
        <v/>
      </c>
      <c r="AB528" s="9">
        <f>IFERROR(INDEX($A528:$R528,MATCH("Pipeline Stage",$A$1:$R$1,0)),"")&amp;""</f>
        <v/>
      </c>
      <c r="AC528" s="9">
        <f>IFERROR(INDEX($A528:$R528,MATCH("Client",$A$1:$R$1,0)),"")&amp;""</f>
        <v/>
      </c>
      <c r="AD528" s="9">
        <f>IFERROR(INDEX($A528:$R528,MATCH("Description",$A$1:$R$1,0)),"")&amp;""</f>
        <v/>
      </c>
      <c r="AE528" s="9">
        <f>IFERROR(INDEX($A528:$R528,MATCH("Job Number",$A$1:$R$1,0)),"")&amp;""</f>
        <v/>
      </c>
      <c r="AF528" s="54">
        <f>IF(AND(T528="Open",ISNUMBER(Z528),Z528&lt;EOMONTH(set_AsAt,-1)+1),3,0)</f>
        <v/>
      </c>
      <c r="AG528" s="54">
        <f>IF(AND(T528="Open",U528&gt;0,U528&gt;=set_DealShare*SUMIFS($U$2:$U$601,$T$2:$T$601,"Open")),3,0)</f>
        <v/>
      </c>
      <c r="AH528" s="54">
        <f>IF(AND(T528="Open",U528&gt;=set_BigValue,W528&lt;=set_EarlyProb),2,0)</f>
        <v/>
      </c>
      <c r="AI528" s="54">
        <f>IF(AND(OR(T528="Open",T528="Won"),V528=0),2,0)</f>
        <v/>
      </c>
      <c r="AJ528" s="54">
        <f>IF(AND(T528="Won",Y528&gt;0.5,ISNUMBER(Z528),Z528&lt;EOMONTH(set_AsAt,-1)+1),3,0)</f>
        <v/>
      </c>
      <c r="AK528" s="54">
        <f>IF(AND(T528="Won",Y528&lt;-1),1,0)</f>
        <v/>
      </c>
      <c r="AL528" s="54">
        <f>SUM(AF528:AK528)</f>
        <v/>
      </c>
      <c r="AM528" s="9">
        <f>IF(AL528&gt;=set_ScoreHigh,"High",IF(AL528&gt;=set_ScoreMed,"Medium",IF(AL528&gt;0,"Low","OK")))</f>
        <v/>
      </c>
      <c r="AN528" s="54">
        <f>IF(OR(T528="Open",AND(T528="Won",ABS(Y528)&gt;0.5)),1,0)</f>
        <v/>
      </c>
      <c r="AO528" s="52">
        <f>IF(T528="Open",IF(V528=0,0,X528),IF(T528="Won",MAX(0,Y528),0))</f>
        <v/>
      </c>
      <c r="AP528" s="54">
        <f>IF(AN528=1,AL528*1E+9+U528+ROW()/1E+6,"")</f>
        <v/>
      </c>
      <c r="AQ528" s="9">
        <f>MID(IF(AF528&gt;0,"; Expected month passed - update Zoho","")&amp;IF(AG528&gt;0,"; "&amp;TEXT(U528/MAX(1,SUMIFS($U$2:$U$601,$T$2:$T$601,"Open")),"0%")&amp;" of open pipeline in one deal","")&amp;IF(AH528&gt;0,"; Large deal at an early stage","")&amp;IF(AI528&gt;0,"; No amount in Zoho","")&amp;IF(AJ528&gt;0,"; Won, invoice month passed, not fully invoiced","")&amp;IF(AK528&gt;0,"; Xero invoiced more than the deal value",""),3,300)</f>
        <v/>
      </c>
    </row>
    <row r="529">
      <c r="T529" s="9">
        <f>IFERROR(INDEX($A529:$R529,MATCH("Status",$A$1:$R$1,0)),"")&amp;""</f>
        <v/>
      </c>
      <c r="U529" s="52">
        <f>IFERROR(N(IFERROR(INDEX($A529:$R529,MATCH("Value Ex GST",$A$1:$R$1,0)),"")),0)</f>
        <v/>
      </c>
      <c r="V529" s="54">
        <f>IF(AND(T529&lt;&gt;"",IFERROR(INDEX($A529:$R529,MATCH("Value Ex GST",$A$1:$R$1,0)),"")&amp;""&lt;&gt;""),1,0)</f>
        <v/>
      </c>
      <c r="W529" s="56">
        <f>IFERROR(N(IFERROR(INDEX($A529:$R529,MATCH("Probability",$A$1:$R$1,0)),"")),0)</f>
        <v/>
      </c>
      <c r="X529" s="52">
        <f>IF(T529="Open",U529*W529,0)</f>
        <v/>
      </c>
      <c r="Y529" s="52">
        <f>IF(T529="Won",IFERROR(N(IFERROR(INDEX($A529:$R529,MATCH("Still to Invoice",$A$1:$R$1,0)),"")),0),0)</f>
        <v/>
      </c>
      <c r="Z529" s="55">
        <f>IFERROR(EOMONTH(IFERROR(INDEX($A529:$R529,MATCH("Expected Invoice Month",$A$1:$R$1,0)),""),0),"")</f>
        <v/>
      </c>
      <c r="AA529" s="9">
        <f>IFERROR(INDEX($A529:$R529,MATCH("Cost Centre",$A$1:$R$1,0)),"")&amp;""</f>
        <v/>
      </c>
      <c r="AB529" s="9">
        <f>IFERROR(INDEX($A529:$R529,MATCH("Pipeline Stage",$A$1:$R$1,0)),"")&amp;""</f>
        <v/>
      </c>
      <c r="AC529" s="9">
        <f>IFERROR(INDEX($A529:$R529,MATCH("Client",$A$1:$R$1,0)),"")&amp;""</f>
        <v/>
      </c>
      <c r="AD529" s="9">
        <f>IFERROR(INDEX($A529:$R529,MATCH("Description",$A$1:$R$1,0)),"")&amp;""</f>
        <v/>
      </c>
      <c r="AE529" s="9">
        <f>IFERROR(INDEX($A529:$R529,MATCH("Job Number",$A$1:$R$1,0)),"")&amp;""</f>
        <v/>
      </c>
      <c r="AF529" s="54">
        <f>IF(AND(T529="Open",ISNUMBER(Z529),Z529&lt;EOMONTH(set_AsAt,-1)+1),3,0)</f>
        <v/>
      </c>
      <c r="AG529" s="54">
        <f>IF(AND(T529="Open",U529&gt;0,U529&gt;=set_DealShare*SUMIFS($U$2:$U$601,$T$2:$T$601,"Open")),3,0)</f>
        <v/>
      </c>
      <c r="AH529" s="54">
        <f>IF(AND(T529="Open",U529&gt;=set_BigValue,W529&lt;=set_EarlyProb),2,0)</f>
        <v/>
      </c>
      <c r="AI529" s="54">
        <f>IF(AND(OR(T529="Open",T529="Won"),V529=0),2,0)</f>
        <v/>
      </c>
      <c r="AJ529" s="54">
        <f>IF(AND(T529="Won",Y529&gt;0.5,ISNUMBER(Z529),Z529&lt;EOMONTH(set_AsAt,-1)+1),3,0)</f>
        <v/>
      </c>
      <c r="AK529" s="54">
        <f>IF(AND(T529="Won",Y529&lt;-1),1,0)</f>
        <v/>
      </c>
      <c r="AL529" s="54">
        <f>SUM(AF529:AK529)</f>
        <v/>
      </c>
      <c r="AM529" s="9">
        <f>IF(AL529&gt;=set_ScoreHigh,"High",IF(AL529&gt;=set_ScoreMed,"Medium",IF(AL529&gt;0,"Low","OK")))</f>
        <v/>
      </c>
      <c r="AN529" s="54">
        <f>IF(OR(T529="Open",AND(T529="Won",ABS(Y529)&gt;0.5)),1,0)</f>
        <v/>
      </c>
      <c r="AO529" s="52">
        <f>IF(T529="Open",IF(V529=0,0,X529),IF(T529="Won",MAX(0,Y529),0))</f>
        <v/>
      </c>
      <c r="AP529" s="54">
        <f>IF(AN529=1,AL529*1E+9+U529+ROW()/1E+6,"")</f>
        <v/>
      </c>
      <c r="AQ529" s="9">
        <f>MID(IF(AF529&gt;0,"; Expected month passed - update Zoho","")&amp;IF(AG529&gt;0,"; "&amp;TEXT(U529/MAX(1,SUMIFS($U$2:$U$601,$T$2:$T$601,"Open")),"0%")&amp;" of open pipeline in one deal","")&amp;IF(AH529&gt;0,"; Large deal at an early stage","")&amp;IF(AI529&gt;0,"; No amount in Zoho","")&amp;IF(AJ529&gt;0,"; Won, invoice month passed, not fully invoiced","")&amp;IF(AK529&gt;0,"; Xero invoiced more than the deal value",""),3,300)</f>
        <v/>
      </c>
    </row>
    <row r="530">
      <c r="T530" s="9">
        <f>IFERROR(INDEX($A530:$R530,MATCH("Status",$A$1:$R$1,0)),"")&amp;""</f>
        <v/>
      </c>
      <c r="U530" s="52">
        <f>IFERROR(N(IFERROR(INDEX($A530:$R530,MATCH("Value Ex GST",$A$1:$R$1,0)),"")),0)</f>
        <v/>
      </c>
      <c r="V530" s="54">
        <f>IF(AND(T530&lt;&gt;"",IFERROR(INDEX($A530:$R530,MATCH("Value Ex GST",$A$1:$R$1,0)),"")&amp;""&lt;&gt;""),1,0)</f>
        <v/>
      </c>
      <c r="W530" s="56">
        <f>IFERROR(N(IFERROR(INDEX($A530:$R530,MATCH("Probability",$A$1:$R$1,0)),"")),0)</f>
        <v/>
      </c>
      <c r="X530" s="52">
        <f>IF(T530="Open",U530*W530,0)</f>
        <v/>
      </c>
      <c r="Y530" s="52">
        <f>IF(T530="Won",IFERROR(N(IFERROR(INDEX($A530:$R530,MATCH("Still to Invoice",$A$1:$R$1,0)),"")),0),0)</f>
        <v/>
      </c>
      <c r="Z530" s="55">
        <f>IFERROR(EOMONTH(IFERROR(INDEX($A530:$R530,MATCH("Expected Invoice Month",$A$1:$R$1,0)),""),0),"")</f>
        <v/>
      </c>
      <c r="AA530" s="9">
        <f>IFERROR(INDEX($A530:$R530,MATCH("Cost Centre",$A$1:$R$1,0)),"")&amp;""</f>
        <v/>
      </c>
      <c r="AB530" s="9">
        <f>IFERROR(INDEX($A530:$R530,MATCH("Pipeline Stage",$A$1:$R$1,0)),"")&amp;""</f>
        <v/>
      </c>
      <c r="AC530" s="9">
        <f>IFERROR(INDEX($A530:$R530,MATCH("Client",$A$1:$R$1,0)),"")&amp;""</f>
        <v/>
      </c>
      <c r="AD530" s="9">
        <f>IFERROR(INDEX($A530:$R530,MATCH("Description",$A$1:$R$1,0)),"")&amp;""</f>
        <v/>
      </c>
      <c r="AE530" s="9">
        <f>IFERROR(INDEX($A530:$R530,MATCH("Job Number",$A$1:$R$1,0)),"")&amp;""</f>
        <v/>
      </c>
      <c r="AF530" s="54">
        <f>IF(AND(T530="Open",ISNUMBER(Z530),Z530&lt;EOMONTH(set_AsAt,-1)+1),3,0)</f>
        <v/>
      </c>
      <c r="AG530" s="54">
        <f>IF(AND(T530="Open",U530&gt;0,U530&gt;=set_DealShare*SUMIFS($U$2:$U$601,$T$2:$T$601,"Open")),3,0)</f>
        <v/>
      </c>
      <c r="AH530" s="54">
        <f>IF(AND(T530="Open",U530&gt;=set_BigValue,W530&lt;=set_EarlyProb),2,0)</f>
        <v/>
      </c>
      <c r="AI530" s="54">
        <f>IF(AND(OR(T530="Open",T530="Won"),V530=0),2,0)</f>
        <v/>
      </c>
      <c r="AJ530" s="54">
        <f>IF(AND(T530="Won",Y530&gt;0.5,ISNUMBER(Z530),Z530&lt;EOMONTH(set_AsAt,-1)+1),3,0)</f>
        <v/>
      </c>
      <c r="AK530" s="54">
        <f>IF(AND(T530="Won",Y530&lt;-1),1,0)</f>
        <v/>
      </c>
      <c r="AL530" s="54">
        <f>SUM(AF530:AK530)</f>
        <v/>
      </c>
      <c r="AM530" s="9">
        <f>IF(AL530&gt;=set_ScoreHigh,"High",IF(AL530&gt;=set_ScoreMed,"Medium",IF(AL530&gt;0,"Low","OK")))</f>
        <v/>
      </c>
      <c r="AN530" s="54">
        <f>IF(OR(T530="Open",AND(T530="Won",ABS(Y530)&gt;0.5)),1,0)</f>
        <v/>
      </c>
      <c r="AO530" s="52">
        <f>IF(T530="Open",IF(V530=0,0,X530),IF(T530="Won",MAX(0,Y530),0))</f>
        <v/>
      </c>
      <c r="AP530" s="54">
        <f>IF(AN530=1,AL530*1E+9+U530+ROW()/1E+6,"")</f>
        <v/>
      </c>
      <c r="AQ530" s="9">
        <f>MID(IF(AF530&gt;0,"; Expected month passed - update Zoho","")&amp;IF(AG530&gt;0,"; "&amp;TEXT(U530/MAX(1,SUMIFS($U$2:$U$601,$T$2:$T$601,"Open")),"0%")&amp;" of open pipeline in one deal","")&amp;IF(AH530&gt;0,"; Large deal at an early stage","")&amp;IF(AI530&gt;0,"; No amount in Zoho","")&amp;IF(AJ530&gt;0,"; Won, invoice month passed, not fully invoiced","")&amp;IF(AK530&gt;0,"; Xero invoiced more than the deal value",""),3,300)</f>
        <v/>
      </c>
    </row>
    <row r="531">
      <c r="T531" s="9">
        <f>IFERROR(INDEX($A531:$R531,MATCH("Status",$A$1:$R$1,0)),"")&amp;""</f>
        <v/>
      </c>
      <c r="U531" s="52">
        <f>IFERROR(N(IFERROR(INDEX($A531:$R531,MATCH("Value Ex GST",$A$1:$R$1,0)),"")),0)</f>
        <v/>
      </c>
      <c r="V531" s="54">
        <f>IF(AND(T531&lt;&gt;"",IFERROR(INDEX($A531:$R531,MATCH("Value Ex GST",$A$1:$R$1,0)),"")&amp;""&lt;&gt;""),1,0)</f>
        <v/>
      </c>
      <c r="W531" s="56">
        <f>IFERROR(N(IFERROR(INDEX($A531:$R531,MATCH("Probability",$A$1:$R$1,0)),"")),0)</f>
        <v/>
      </c>
      <c r="X531" s="52">
        <f>IF(T531="Open",U531*W531,0)</f>
        <v/>
      </c>
      <c r="Y531" s="52">
        <f>IF(T531="Won",IFERROR(N(IFERROR(INDEX($A531:$R531,MATCH("Still to Invoice",$A$1:$R$1,0)),"")),0),0)</f>
        <v/>
      </c>
      <c r="Z531" s="55">
        <f>IFERROR(EOMONTH(IFERROR(INDEX($A531:$R531,MATCH("Expected Invoice Month",$A$1:$R$1,0)),""),0),"")</f>
        <v/>
      </c>
      <c r="AA531" s="9">
        <f>IFERROR(INDEX($A531:$R531,MATCH("Cost Centre",$A$1:$R$1,0)),"")&amp;""</f>
        <v/>
      </c>
      <c r="AB531" s="9">
        <f>IFERROR(INDEX($A531:$R531,MATCH("Pipeline Stage",$A$1:$R$1,0)),"")&amp;""</f>
        <v/>
      </c>
      <c r="AC531" s="9">
        <f>IFERROR(INDEX($A531:$R531,MATCH("Client",$A$1:$R$1,0)),"")&amp;""</f>
        <v/>
      </c>
      <c r="AD531" s="9">
        <f>IFERROR(INDEX($A531:$R531,MATCH("Description",$A$1:$R$1,0)),"")&amp;""</f>
        <v/>
      </c>
      <c r="AE531" s="9">
        <f>IFERROR(INDEX($A531:$R531,MATCH("Job Number",$A$1:$R$1,0)),"")&amp;""</f>
        <v/>
      </c>
      <c r="AF531" s="54">
        <f>IF(AND(T531="Open",ISNUMBER(Z531),Z531&lt;EOMONTH(set_AsAt,-1)+1),3,0)</f>
        <v/>
      </c>
      <c r="AG531" s="54">
        <f>IF(AND(T531="Open",U531&gt;0,U531&gt;=set_DealShare*SUMIFS($U$2:$U$601,$T$2:$T$601,"Open")),3,0)</f>
        <v/>
      </c>
      <c r="AH531" s="54">
        <f>IF(AND(T531="Open",U531&gt;=set_BigValue,W531&lt;=set_EarlyProb),2,0)</f>
        <v/>
      </c>
      <c r="AI531" s="54">
        <f>IF(AND(OR(T531="Open",T531="Won"),V531=0),2,0)</f>
        <v/>
      </c>
      <c r="AJ531" s="54">
        <f>IF(AND(T531="Won",Y531&gt;0.5,ISNUMBER(Z531),Z531&lt;EOMONTH(set_AsAt,-1)+1),3,0)</f>
        <v/>
      </c>
      <c r="AK531" s="54">
        <f>IF(AND(T531="Won",Y531&lt;-1),1,0)</f>
        <v/>
      </c>
      <c r="AL531" s="54">
        <f>SUM(AF531:AK531)</f>
        <v/>
      </c>
      <c r="AM531" s="9">
        <f>IF(AL531&gt;=set_ScoreHigh,"High",IF(AL531&gt;=set_ScoreMed,"Medium",IF(AL531&gt;0,"Low","OK")))</f>
        <v/>
      </c>
      <c r="AN531" s="54">
        <f>IF(OR(T531="Open",AND(T531="Won",ABS(Y531)&gt;0.5)),1,0)</f>
        <v/>
      </c>
      <c r="AO531" s="52">
        <f>IF(T531="Open",IF(V531=0,0,X531),IF(T531="Won",MAX(0,Y531),0))</f>
        <v/>
      </c>
      <c r="AP531" s="54">
        <f>IF(AN531=1,AL531*1E+9+U531+ROW()/1E+6,"")</f>
        <v/>
      </c>
      <c r="AQ531" s="9">
        <f>MID(IF(AF531&gt;0,"; Expected month passed - update Zoho","")&amp;IF(AG531&gt;0,"; "&amp;TEXT(U531/MAX(1,SUMIFS($U$2:$U$601,$T$2:$T$601,"Open")),"0%")&amp;" of open pipeline in one deal","")&amp;IF(AH531&gt;0,"; Large deal at an early stage","")&amp;IF(AI531&gt;0,"; No amount in Zoho","")&amp;IF(AJ531&gt;0,"; Won, invoice month passed, not fully invoiced","")&amp;IF(AK531&gt;0,"; Xero invoiced more than the deal value",""),3,300)</f>
        <v/>
      </c>
    </row>
    <row r="532">
      <c r="T532" s="9">
        <f>IFERROR(INDEX($A532:$R532,MATCH("Status",$A$1:$R$1,0)),"")&amp;""</f>
        <v/>
      </c>
      <c r="U532" s="52">
        <f>IFERROR(N(IFERROR(INDEX($A532:$R532,MATCH("Value Ex GST",$A$1:$R$1,0)),"")),0)</f>
        <v/>
      </c>
      <c r="V532" s="54">
        <f>IF(AND(T532&lt;&gt;"",IFERROR(INDEX($A532:$R532,MATCH("Value Ex GST",$A$1:$R$1,0)),"")&amp;""&lt;&gt;""),1,0)</f>
        <v/>
      </c>
      <c r="W532" s="56">
        <f>IFERROR(N(IFERROR(INDEX($A532:$R532,MATCH("Probability",$A$1:$R$1,0)),"")),0)</f>
        <v/>
      </c>
      <c r="X532" s="52">
        <f>IF(T532="Open",U532*W532,0)</f>
        <v/>
      </c>
      <c r="Y532" s="52">
        <f>IF(T532="Won",IFERROR(N(IFERROR(INDEX($A532:$R532,MATCH("Still to Invoice",$A$1:$R$1,0)),"")),0),0)</f>
        <v/>
      </c>
      <c r="Z532" s="55">
        <f>IFERROR(EOMONTH(IFERROR(INDEX($A532:$R532,MATCH("Expected Invoice Month",$A$1:$R$1,0)),""),0),"")</f>
        <v/>
      </c>
      <c r="AA532" s="9">
        <f>IFERROR(INDEX($A532:$R532,MATCH("Cost Centre",$A$1:$R$1,0)),"")&amp;""</f>
        <v/>
      </c>
      <c r="AB532" s="9">
        <f>IFERROR(INDEX($A532:$R532,MATCH("Pipeline Stage",$A$1:$R$1,0)),"")&amp;""</f>
        <v/>
      </c>
      <c r="AC532" s="9">
        <f>IFERROR(INDEX($A532:$R532,MATCH("Client",$A$1:$R$1,0)),"")&amp;""</f>
        <v/>
      </c>
      <c r="AD532" s="9">
        <f>IFERROR(INDEX($A532:$R532,MATCH("Description",$A$1:$R$1,0)),"")&amp;""</f>
        <v/>
      </c>
      <c r="AE532" s="9">
        <f>IFERROR(INDEX($A532:$R532,MATCH("Job Number",$A$1:$R$1,0)),"")&amp;""</f>
        <v/>
      </c>
      <c r="AF532" s="54">
        <f>IF(AND(T532="Open",ISNUMBER(Z532),Z532&lt;EOMONTH(set_AsAt,-1)+1),3,0)</f>
        <v/>
      </c>
      <c r="AG532" s="54">
        <f>IF(AND(T532="Open",U532&gt;0,U532&gt;=set_DealShare*SUMIFS($U$2:$U$601,$T$2:$T$601,"Open")),3,0)</f>
        <v/>
      </c>
      <c r="AH532" s="54">
        <f>IF(AND(T532="Open",U532&gt;=set_BigValue,W532&lt;=set_EarlyProb),2,0)</f>
        <v/>
      </c>
      <c r="AI532" s="54">
        <f>IF(AND(OR(T532="Open",T532="Won"),V532=0),2,0)</f>
        <v/>
      </c>
      <c r="AJ532" s="54">
        <f>IF(AND(T532="Won",Y532&gt;0.5,ISNUMBER(Z532),Z532&lt;EOMONTH(set_AsAt,-1)+1),3,0)</f>
        <v/>
      </c>
      <c r="AK532" s="54">
        <f>IF(AND(T532="Won",Y532&lt;-1),1,0)</f>
        <v/>
      </c>
      <c r="AL532" s="54">
        <f>SUM(AF532:AK532)</f>
        <v/>
      </c>
      <c r="AM532" s="9">
        <f>IF(AL532&gt;=set_ScoreHigh,"High",IF(AL532&gt;=set_ScoreMed,"Medium",IF(AL532&gt;0,"Low","OK")))</f>
        <v/>
      </c>
      <c r="AN532" s="54">
        <f>IF(OR(T532="Open",AND(T532="Won",ABS(Y532)&gt;0.5)),1,0)</f>
        <v/>
      </c>
      <c r="AO532" s="52">
        <f>IF(T532="Open",IF(V532=0,0,X532),IF(T532="Won",MAX(0,Y532),0))</f>
        <v/>
      </c>
      <c r="AP532" s="54">
        <f>IF(AN532=1,AL532*1E+9+U532+ROW()/1E+6,"")</f>
        <v/>
      </c>
      <c r="AQ532" s="9">
        <f>MID(IF(AF532&gt;0,"; Expected month passed - update Zoho","")&amp;IF(AG532&gt;0,"; "&amp;TEXT(U532/MAX(1,SUMIFS($U$2:$U$601,$T$2:$T$601,"Open")),"0%")&amp;" of open pipeline in one deal","")&amp;IF(AH532&gt;0,"; Large deal at an early stage","")&amp;IF(AI532&gt;0,"; No amount in Zoho","")&amp;IF(AJ532&gt;0,"; Won, invoice month passed, not fully invoiced","")&amp;IF(AK532&gt;0,"; Xero invoiced more than the deal value",""),3,300)</f>
        <v/>
      </c>
    </row>
    <row r="533">
      <c r="T533" s="9">
        <f>IFERROR(INDEX($A533:$R533,MATCH("Status",$A$1:$R$1,0)),"")&amp;""</f>
        <v/>
      </c>
      <c r="U533" s="52">
        <f>IFERROR(N(IFERROR(INDEX($A533:$R533,MATCH("Value Ex GST",$A$1:$R$1,0)),"")),0)</f>
        <v/>
      </c>
      <c r="V533" s="54">
        <f>IF(AND(T533&lt;&gt;"",IFERROR(INDEX($A533:$R533,MATCH("Value Ex GST",$A$1:$R$1,0)),"")&amp;""&lt;&gt;""),1,0)</f>
        <v/>
      </c>
      <c r="W533" s="56">
        <f>IFERROR(N(IFERROR(INDEX($A533:$R533,MATCH("Probability",$A$1:$R$1,0)),"")),0)</f>
        <v/>
      </c>
      <c r="X533" s="52">
        <f>IF(T533="Open",U533*W533,0)</f>
        <v/>
      </c>
      <c r="Y533" s="52">
        <f>IF(T533="Won",IFERROR(N(IFERROR(INDEX($A533:$R533,MATCH("Still to Invoice",$A$1:$R$1,0)),"")),0),0)</f>
        <v/>
      </c>
      <c r="Z533" s="55">
        <f>IFERROR(EOMONTH(IFERROR(INDEX($A533:$R533,MATCH("Expected Invoice Month",$A$1:$R$1,0)),""),0),"")</f>
        <v/>
      </c>
      <c r="AA533" s="9">
        <f>IFERROR(INDEX($A533:$R533,MATCH("Cost Centre",$A$1:$R$1,0)),"")&amp;""</f>
        <v/>
      </c>
      <c r="AB533" s="9">
        <f>IFERROR(INDEX($A533:$R533,MATCH("Pipeline Stage",$A$1:$R$1,0)),"")&amp;""</f>
        <v/>
      </c>
      <c r="AC533" s="9">
        <f>IFERROR(INDEX($A533:$R533,MATCH("Client",$A$1:$R$1,0)),"")&amp;""</f>
        <v/>
      </c>
      <c r="AD533" s="9">
        <f>IFERROR(INDEX($A533:$R533,MATCH("Description",$A$1:$R$1,0)),"")&amp;""</f>
        <v/>
      </c>
      <c r="AE533" s="9">
        <f>IFERROR(INDEX($A533:$R533,MATCH("Job Number",$A$1:$R$1,0)),"")&amp;""</f>
        <v/>
      </c>
      <c r="AF533" s="54">
        <f>IF(AND(T533="Open",ISNUMBER(Z533),Z533&lt;EOMONTH(set_AsAt,-1)+1),3,0)</f>
        <v/>
      </c>
      <c r="AG533" s="54">
        <f>IF(AND(T533="Open",U533&gt;0,U533&gt;=set_DealShare*SUMIFS($U$2:$U$601,$T$2:$T$601,"Open")),3,0)</f>
        <v/>
      </c>
      <c r="AH533" s="54">
        <f>IF(AND(T533="Open",U533&gt;=set_BigValue,W533&lt;=set_EarlyProb),2,0)</f>
        <v/>
      </c>
      <c r="AI533" s="54">
        <f>IF(AND(OR(T533="Open",T533="Won"),V533=0),2,0)</f>
        <v/>
      </c>
      <c r="AJ533" s="54">
        <f>IF(AND(T533="Won",Y533&gt;0.5,ISNUMBER(Z533),Z533&lt;EOMONTH(set_AsAt,-1)+1),3,0)</f>
        <v/>
      </c>
      <c r="AK533" s="54">
        <f>IF(AND(T533="Won",Y533&lt;-1),1,0)</f>
        <v/>
      </c>
      <c r="AL533" s="54">
        <f>SUM(AF533:AK533)</f>
        <v/>
      </c>
      <c r="AM533" s="9">
        <f>IF(AL533&gt;=set_ScoreHigh,"High",IF(AL533&gt;=set_ScoreMed,"Medium",IF(AL533&gt;0,"Low","OK")))</f>
        <v/>
      </c>
      <c r="AN533" s="54">
        <f>IF(OR(T533="Open",AND(T533="Won",ABS(Y533)&gt;0.5)),1,0)</f>
        <v/>
      </c>
      <c r="AO533" s="52">
        <f>IF(T533="Open",IF(V533=0,0,X533),IF(T533="Won",MAX(0,Y533),0))</f>
        <v/>
      </c>
      <c r="AP533" s="54">
        <f>IF(AN533=1,AL533*1E+9+U533+ROW()/1E+6,"")</f>
        <v/>
      </c>
      <c r="AQ533" s="9">
        <f>MID(IF(AF533&gt;0,"; Expected month passed - update Zoho","")&amp;IF(AG533&gt;0,"; "&amp;TEXT(U533/MAX(1,SUMIFS($U$2:$U$601,$T$2:$T$601,"Open")),"0%")&amp;" of open pipeline in one deal","")&amp;IF(AH533&gt;0,"; Large deal at an early stage","")&amp;IF(AI533&gt;0,"; No amount in Zoho","")&amp;IF(AJ533&gt;0,"; Won, invoice month passed, not fully invoiced","")&amp;IF(AK533&gt;0,"; Xero invoiced more than the deal value",""),3,300)</f>
        <v/>
      </c>
    </row>
    <row r="534">
      <c r="T534" s="9">
        <f>IFERROR(INDEX($A534:$R534,MATCH("Status",$A$1:$R$1,0)),"")&amp;""</f>
        <v/>
      </c>
      <c r="U534" s="52">
        <f>IFERROR(N(IFERROR(INDEX($A534:$R534,MATCH("Value Ex GST",$A$1:$R$1,0)),"")),0)</f>
        <v/>
      </c>
      <c r="V534" s="54">
        <f>IF(AND(T534&lt;&gt;"",IFERROR(INDEX($A534:$R534,MATCH("Value Ex GST",$A$1:$R$1,0)),"")&amp;""&lt;&gt;""),1,0)</f>
        <v/>
      </c>
      <c r="W534" s="56">
        <f>IFERROR(N(IFERROR(INDEX($A534:$R534,MATCH("Probability",$A$1:$R$1,0)),"")),0)</f>
        <v/>
      </c>
      <c r="X534" s="52">
        <f>IF(T534="Open",U534*W534,0)</f>
        <v/>
      </c>
      <c r="Y534" s="52">
        <f>IF(T534="Won",IFERROR(N(IFERROR(INDEX($A534:$R534,MATCH("Still to Invoice",$A$1:$R$1,0)),"")),0),0)</f>
        <v/>
      </c>
      <c r="Z534" s="55">
        <f>IFERROR(EOMONTH(IFERROR(INDEX($A534:$R534,MATCH("Expected Invoice Month",$A$1:$R$1,0)),""),0),"")</f>
        <v/>
      </c>
      <c r="AA534" s="9">
        <f>IFERROR(INDEX($A534:$R534,MATCH("Cost Centre",$A$1:$R$1,0)),"")&amp;""</f>
        <v/>
      </c>
      <c r="AB534" s="9">
        <f>IFERROR(INDEX($A534:$R534,MATCH("Pipeline Stage",$A$1:$R$1,0)),"")&amp;""</f>
        <v/>
      </c>
      <c r="AC534" s="9">
        <f>IFERROR(INDEX($A534:$R534,MATCH("Client",$A$1:$R$1,0)),"")&amp;""</f>
        <v/>
      </c>
      <c r="AD534" s="9">
        <f>IFERROR(INDEX($A534:$R534,MATCH("Description",$A$1:$R$1,0)),"")&amp;""</f>
        <v/>
      </c>
      <c r="AE534" s="9">
        <f>IFERROR(INDEX($A534:$R534,MATCH("Job Number",$A$1:$R$1,0)),"")&amp;""</f>
        <v/>
      </c>
      <c r="AF534" s="54">
        <f>IF(AND(T534="Open",ISNUMBER(Z534),Z534&lt;EOMONTH(set_AsAt,-1)+1),3,0)</f>
        <v/>
      </c>
      <c r="AG534" s="54">
        <f>IF(AND(T534="Open",U534&gt;0,U534&gt;=set_DealShare*SUMIFS($U$2:$U$601,$T$2:$T$601,"Open")),3,0)</f>
        <v/>
      </c>
      <c r="AH534" s="54">
        <f>IF(AND(T534="Open",U534&gt;=set_BigValue,W534&lt;=set_EarlyProb),2,0)</f>
        <v/>
      </c>
      <c r="AI534" s="54">
        <f>IF(AND(OR(T534="Open",T534="Won"),V534=0),2,0)</f>
        <v/>
      </c>
      <c r="AJ534" s="54">
        <f>IF(AND(T534="Won",Y534&gt;0.5,ISNUMBER(Z534),Z534&lt;EOMONTH(set_AsAt,-1)+1),3,0)</f>
        <v/>
      </c>
      <c r="AK534" s="54">
        <f>IF(AND(T534="Won",Y534&lt;-1),1,0)</f>
        <v/>
      </c>
      <c r="AL534" s="54">
        <f>SUM(AF534:AK534)</f>
        <v/>
      </c>
      <c r="AM534" s="9">
        <f>IF(AL534&gt;=set_ScoreHigh,"High",IF(AL534&gt;=set_ScoreMed,"Medium",IF(AL534&gt;0,"Low","OK")))</f>
        <v/>
      </c>
      <c r="AN534" s="54">
        <f>IF(OR(T534="Open",AND(T534="Won",ABS(Y534)&gt;0.5)),1,0)</f>
        <v/>
      </c>
      <c r="AO534" s="52">
        <f>IF(T534="Open",IF(V534=0,0,X534),IF(T534="Won",MAX(0,Y534),0))</f>
        <v/>
      </c>
      <c r="AP534" s="54">
        <f>IF(AN534=1,AL534*1E+9+U534+ROW()/1E+6,"")</f>
        <v/>
      </c>
      <c r="AQ534" s="9">
        <f>MID(IF(AF534&gt;0,"; Expected month passed - update Zoho","")&amp;IF(AG534&gt;0,"; "&amp;TEXT(U534/MAX(1,SUMIFS($U$2:$U$601,$T$2:$T$601,"Open")),"0%")&amp;" of open pipeline in one deal","")&amp;IF(AH534&gt;0,"; Large deal at an early stage","")&amp;IF(AI534&gt;0,"; No amount in Zoho","")&amp;IF(AJ534&gt;0,"; Won, invoice month passed, not fully invoiced","")&amp;IF(AK534&gt;0,"; Xero invoiced more than the deal value",""),3,300)</f>
        <v/>
      </c>
    </row>
    <row r="535">
      <c r="T535" s="9">
        <f>IFERROR(INDEX($A535:$R535,MATCH("Status",$A$1:$R$1,0)),"")&amp;""</f>
        <v/>
      </c>
      <c r="U535" s="52">
        <f>IFERROR(N(IFERROR(INDEX($A535:$R535,MATCH("Value Ex GST",$A$1:$R$1,0)),"")),0)</f>
        <v/>
      </c>
      <c r="V535" s="54">
        <f>IF(AND(T535&lt;&gt;"",IFERROR(INDEX($A535:$R535,MATCH("Value Ex GST",$A$1:$R$1,0)),"")&amp;""&lt;&gt;""),1,0)</f>
        <v/>
      </c>
      <c r="W535" s="56">
        <f>IFERROR(N(IFERROR(INDEX($A535:$R535,MATCH("Probability",$A$1:$R$1,0)),"")),0)</f>
        <v/>
      </c>
      <c r="X535" s="52">
        <f>IF(T535="Open",U535*W535,0)</f>
        <v/>
      </c>
      <c r="Y535" s="52">
        <f>IF(T535="Won",IFERROR(N(IFERROR(INDEX($A535:$R535,MATCH("Still to Invoice",$A$1:$R$1,0)),"")),0),0)</f>
        <v/>
      </c>
      <c r="Z535" s="55">
        <f>IFERROR(EOMONTH(IFERROR(INDEX($A535:$R535,MATCH("Expected Invoice Month",$A$1:$R$1,0)),""),0),"")</f>
        <v/>
      </c>
      <c r="AA535" s="9">
        <f>IFERROR(INDEX($A535:$R535,MATCH("Cost Centre",$A$1:$R$1,0)),"")&amp;""</f>
        <v/>
      </c>
      <c r="AB535" s="9">
        <f>IFERROR(INDEX($A535:$R535,MATCH("Pipeline Stage",$A$1:$R$1,0)),"")&amp;""</f>
        <v/>
      </c>
      <c r="AC535" s="9">
        <f>IFERROR(INDEX($A535:$R535,MATCH("Client",$A$1:$R$1,0)),"")&amp;""</f>
        <v/>
      </c>
      <c r="AD535" s="9">
        <f>IFERROR(INDEX($A535:$R535,MATCH("Description",$A$1:$R$1,0)),"")&amp;""</f>
        <v/>
      </c>
      <c r="AE535" s="9">
        <f>IFERROR(INDEX($A535:$R535,MATCH("Job Number",$A$1:$R$1,0)),"")&amp;""</f>
        <v/>
      </c>
      <c r="AF535" s="54">
        <f>IF(AND(T535="Open",ISNUMBER(Z535),Z535&lt;EOMONTH(set_AsAt,-1)+1),3,0)</f>
        <v/>
      </c>
      <c r="AG535" s="54">
        <f>IF(AND(T535="Open",U535&gt;0,U535&gt;=set_DealShare*SUMIFS($U$2:$U$601,$T$2:$T$601,"Open")),3,0)</f>
        <v/>
      </c>
      <c r="AH535" s="54">
        <f>IF(AND(T535="Open",U535&gt;=set_BigValue,W535&lt;=set_EarlyProb),2,0)</f>
        <v/>
      </c>
      <c r="AI535" s="54">
        <f>IF(AND(OR(T535="Open",T535="Won"),V535=0),2,0)</f>
        <v/>
      </c>
      <c r="AJ535" s="54">
        <f>IF(AND(T535="Won",Y535&gt;0.5,ISNUMBER(Z535),Z535&lt;EOMONTH(set_AsAt,-1)+1),3,0)</f>
        <v/>
      </c>
      <c r="AK535" s="54">
        <f>IF(AND(T535="Won",Y535&lt;-1),1,0)</f>
        <v/>
      </c>
      <c r="AL535" s="54">
        <f>SUM(AF535:AK535)</f>
        <v/>
      </c>
      <c r="AM535" s="9">
        <f>IF(AL535&gt;=set_ScoreHigh,"High",IF(AL535&gt;=set_ScoreMed,"Medium",IF(AL535&gt;0,"Low","OK")))</f>
        <v/>
      </c>
      <c r="AN535" s="54">
        <f>IF(OR(T535="Open",AND(T535="Won",ABS(Y535)&gt;0.5)),1,0)</f>
        <v/>
      </c>
      <c r="AO535" s="52">
        <f>IF(T535="Open",IF(V535=0,0,X535),IF(T535="Won",MAX(0,Y535),0))</f>
        <v/>
      </c>
      <c r="AP535" s="54">
        <f>IF(AN535=1,AL535*1E+9+U535+ROW()/1E+6,"")</f>
        <v/>
      </c>
      <c r="AQ535" s="9">
        <f>MID(IF(AF535&gt;0,"; Expected month passed - update Zoho","")&amp;IF(AG535&gt;0,"; "&amp;TEXT(U535/MAX(1,SUMIFS($U$2:$U$601,$T$2:$T$601,"Open")),"0%")&amp;" of open pipeline in one deal","")&amp;IF(AH535&gt;0,"; Large deal at an early stage","")&amp;IF(AI535&gt;0,"; No amount in Zoho","")&amp;IF(AJ535&gt;0,"; Won, invoice month passed, not fully invoiced","")&amp;IF(AK535&gt;0,"; Xero invoiced more than the deal value",""),3,300)</f>
        <v/>
      </c>
    </row>
    <row r="536">
      <c r="T536" s="9">
        <f>IFERROR(INDEX($A536:$R536,MATCH("Status",$A$1:$R$1,0)),"")&amp;""</f>
        <v/>
      </c>
      <c r="U536" s="52">
        <f>IFERROR(N(IFERROR(INDEX($A536:$R536,MATCH("Value Ex GST",$A$1:$R$1,0)),"")),0)</f>
        <v/>
      </c>
      <c r="V536" s="54">
        <f>IF(AND(T536&lt;&gt;"",IFERROR(INDEX($A536:$R536,MATCH("Value Ex GST",$A$1:$R$1,0)),"")&amp;""&lt;&gt;""),1,0)</f>
        <v/>
      </c>
      <c r="W536" s="56">
        <f>IFERROR(N(IFERROR(INDEX($A536:$R536,MATCH("Probability",$A$1:$R$1,0)),"")),0)</f>
        <v/>
      </c>
      <c r="X536" s="52">
        <f>IF(T536="Open",U536*W536,0)</f>
        <v/>
      </c>
      <c r="Y536" s="52">
        <f>IF(T536="Won",IFERROR(N(IFERROR(INDEX($A536:$R536,MATCH("Still to Invoice",$A$1:$R$1,0)),"")),0),0)</f>
        <v/>
      </c>
      <c r="Z536" s="55">
        <f>IFERROR(EOMONTH(IFERROR(INDEX($A536:$R536,MATCH("Expected Invoice Month",$A$1:$R$1,0)),""),0),"")</f>
        <v/>
      </c>
      <c r="AA536" s="9">
        <f>IFERROR(INDEX($A536:$R536,MATCH("Cost Centre",$A$1:$R$1,0)),"")&amp;""</f>
        <v/>
      </c>
      <c r="AB536" s="9">
        <f>IFERROR(INDEX($A536:$R536,MATCH("Pipeline Stage",$A$1:$R$1,0)),"")&amp;""</f>
        <v/>
      </c>
      <c r="AC536" s="9">
        <f>IFERROR(INDEX($A536:$R536,MATCH("Client",$A$1:$R$1,0)),"")&amp;""</f>
        <v/>
      </c>
      <c r="AD536" s="9">
        <f>IFERROR(INDEX($A536:$R536,MATCH("Description",$A$1:$R$1,0)),"")&amp;""</f>
        <v/>
      </c>
      <c r="AE536" s="9">
        <f>IFERROR(INDEX($A536:$R536,MATCH("Job Number",$A$1:$R$1,0)),"")&amp;""</f>
        <v/>
      </c>
      <c r="AF536" s="54">
        <f>IF(AND(T536="Open",ISNUMBER(Z536),Z536&lt;EOMONTH(set_AsAt,-1)+1),3,0)</f>
        <v/>
      </c>
      <c r="AG536" s="54">
        <f>IF(AND(T536="Open",U536&gt;0,U536&gt;=set_DealShare*SUMIFS($U$2:$U$601,$T$2:$T$601,"Open")),3,0)</f>
        <v/>
      </c>
      <c r="AH536" s="54">
        <f>IF(AND(T536="Open",U536&gt;=set_BigValue,W536&lt;=set_EarlyProb),2,0)</f>
        <v/>
      </c>
      <c r="AI536" s="54">
        <f>IF(AND(OR(T536="Open",T536="Won"),V536=0),2,0)</f>
        <v/>
      </c>
      <c r="AJ536" s="54">
        <f>IF(AND(T536="Won",Y536&gt;0.5,ISNUMBER(Z536),Z536&lt;EOMONTH(set_AsAt,-1)+1),3,0)</f>
        <v/>
      </c>
      <c r="AK536" s="54">
        <f>IF(AND(T536="Won",Y536&lt;-1),1,0)</f>
        <v/>
      </c>
      <c r="AL536" s="54">
        <f>SUM(AF536:AK536)</f>
        <v/>
      </c>
      <c r="AM536" s="9">
        <f>IF(AL536&gt;=set_ScoreHigh,"High",IF(AL536&gt;=set_ScoreMed,"Medium",IF(AL536&gt;0,"Low","OK")))</f>
        <v/>
      </c>
      <c r="AN536" s="54">
        <f>IF(OR(T536="Open",AND(T536="Won",ABS(Y536)&gt;0.5)),1,0)</f>
        <v/>
      </c>
      <c r="AO536" s="52">
        <f>IF(T536="Open",IF(V536=0,0,X536),IF(T536="Won",MAX(0,Y536),0))</f>
        <v/>
      </c>
      <c r="AP536" s="54">
        <f>IF(AN536=1,AL536*1E+9+U536+ROW()/1E+6,"")</f>
        <v/>
      </c>
      <c r="AQ536" s="9">
        <f>MID(IF(AF536&gt;0,"; Expected month passed - update Zoho","")&amp;IF(AG536&gt;0,"; "&amp;TEXT(U536/MAX(1,SUMIFS($U$2:$U$601,$T$2:$T$601,"Open")),"0%")&amp;" of open pipeline in one deal","")&amp;IF(AH536&gt;0,"; Large deal at an early stage","")&amp;IF(AI536&gt;0,"; No amount in Zoho","")&amp;IF(AJ536&gt;0,"; Won, invoice month passed, not fully invoiced","")&amp;IF(AK536&gt;0,"; Xero invoiced more than the deal value",""),3,300)</f>
        <v/>
      </c>
    </row>
    <row r="537">
      <c r="T537" s="9">
        <f>IFERROR(INDEX($A537:$R537,MATCH("Status",$A$1:$R$1,0)),"")&amp;""</f>
        <v/>
      </c>
      <c r="U537" s="52">
        <f>IFERROR(N(IFERROR(INDEX($A537:$R537,MATCH("Value Ex GST",$A$1:$R$1,0)),"")),0)</f>
        <v/>
      </c>
      <c r="V537" s="54">
        <f>IF(AND(T537&lt;&gt;"",IFERROR(INDEX($A537:$R537,MATCH("Value Ex GST",$A$1:$R$1,0)),"")&amp;""&lt;&gt;""),1,0)</f>
        <v/>
      </c>
      <c r="W537" s="56">
        <f>IFERROR(N(IFERROR(INDEX($A537:$R537,MATCH("Probability",$A$1:$R$1,0)),"")),0)</f>
        <v/>
      </c>
      <c r="X537" s="52">
        <f>IF(T537="Open",U537*W537,0)</f>
        <v/>
      </c>
      <c r="Y537" s="52">
        <f>IF(T537="Won",IFERROR(N(IFERROR(INDEX($A537:$R537,MATCH("Still to Invoice",$A$1:$R$1,0)),"")),0),0)</f>
        <v/>
      </c>
      <c r="Z537" s="55">
        <f>IFERROR(EOMONTH(IFERROR(INDEX($A537:$R537,MATCH("Expected Invoice Month",$A$1:$R$1,0)),""),0),"")</f>
        <v/>
      </c>
      <c r="AA537" s="9">
        <f>IFERROR(INDEX($A537:$R537,MATCH("Cost Centre",$A$1:$R$1,0)),"")&amp;""</f>
        <v/>
      </c>
      <c r="AB537" s="9">
        <f>IFERROR(INDEX($A537:$R537,MATCH("Pipeline Stage",$A$1:$R$1,0)),"")&amp;""</f>
        <v/>
      </c>
      <c r="AC537" s="9">
        <f>IFERROR(INDEX($A537:$R537,MATCH("Client",$A$1:$R$1,0)),"")&amp;""</f>
        <v/>
      </c>
      <c r="AD537" s="9">
        <f>IFERROR(INDEX($A537:$R537,MATCH("Description",$A$1:$R$1,0)),"")&amp;""</f>
        <v/>
      </c>
      <c r="AE537" s="9">
        <f>IFERROR(INDEX($A537:$R537,MATCH("Job Number",$A$1:$R$1,0)),"")&amp;""</f>
        <v/>
      </c>
      <c r="AF537" s="54">
        <f>IF(AND(T537="Open",ISNUMBER(Z537),Z537&lt;EOMONTH(set_AsAt,-1)+1),3,0)</f>
        <v/>
      </c>
      <c r="AG537" s="54">
        <f>IF(AND(T537="Open",U537&gt;0,U537&gt;=set_DealShare*SUMIFS($U$2:$U$601,$T$2:$T$601,"Open")),3,0)</f>
        <v/>
      </c>
      <c r="AH537" s="54">
        <f>IF(AND(T537="Open",U537&gt;=set_BigValue,W537&lt;=set_EarlyProb),2,0)</f>
        <v/>
      </c>
      <c r="AI537" s="54">
        <f>IF(AND(OR(T537="Open",T537="Won"),V537=0),2,0)</f>
        <v/>
      </c>
      <c r="AJ537" s="54">
        <f>IF(AND(T537="Won",Y537&gt;0.5,ISNUMBER(Z537),Z537&lt;EOMONTH(set_AsAt,-1)+1),3,0)</f>
        <v/>
      </c>
      <c r="AK537" s="54">
        <f>IF(AND(T537="Won",Y537&lt;-1),1,0)</f>
        <v/>
      </c>
      <c r="AL537" s="54">
        <f>SUM(AF537:AK537)</f>
        <v/>
      </c>
      <c r="AM537" s="9">
        <f>IF(AL537&gt;=set_ScoreHigh,"High",IF(AL537&gt;=set_ScoreMed,"Medium",IF(AL537&gt;0,"Low","OK")))</f>
        <v/>
      </c>
      <c r="AN537" s="54">
        <f>IF(OR(T537="Open",AND(T537="Won",ABS(Y537)&gt;0.5)),1,0)</f>
        <v/>
      </c>
      <c r="AO537" s="52">
        <f>IF(T537="Open",IF(V537=0,0,X537),IF(T537="Won",MAX(0,Y537),0))</f>
        <v/>
      </c>
      <c r="AP537" s="54">
        <f>IF(AN537=1,AL537*1E+9+U537+ROW()/1E+6,"")</f>
        <v/>
      </c>
      <c r="AQ537" s="9">
        <f>MID(IF(AF537&gt;0,"; Expected month passed - update Zoho","")&amp;IF(AG537&gt;0,"; "&amp;TEXT(U537/MAX(1,SUMIFS($U$2:$U$601,$T$2:$T$601,"Open")),"0%")&amp;" of open pipeline in one deal","")&amp;IF(AH537&gt;0,"; Large deal at an early stage","")&amp;IF(AI537&gt;0,"; No amount in Zoho","")&amp;IF(AJ537&gt;0,"; Won, invoice month passed, not fully invoiced","")&amp;IF(AK537&gt;0,"; Xero invoiced more than the deal value",""),3,300)</f>
        <v/>
      </c>
    </row>
    <row r="538">
      <c r="T538" s="9">
        <f>IFERROR(INDEX($A538:$R538,MATCH("Status",$A$1:$R$1,0)),"")&amp;""</f>
        <v/>
      </c>
      <c r="U538" s="52">
        <f>IFERROR(N(IFERROR(INDEX($A538:$R538,MATCH("Value Ex GST",$A$1:$R$1,0)),"")),0)</f>
        <v/>
      </c>
      <c r="V538" s="54">
        <f>IF(AND(T538&lt;&gt;"",IFERROR(INDEX($A538:$R538,MATCH("Value Ex GST",$A$1:$R$1,0)),"")&amp;""&lt;&gt;""),1,0)</f>
        <v/>
      </c>
      <c r="W538" s="56">
        <f>IFERROR(N(IFERROR(INDEX($A538:$R538,MATCH("Probability",$A$1:$R$1,0)),"")),0)</f>
        <v/>
      </c>
      <c r="X538" s="52">
        <f>IF(T538="Open",U538*W538,0)</f>
        <v/>
      </c>
      <c r="Y538" s="52">
        <f>IF(T538="Won",IFERROR(N(IFERROR(INDEX($A538:$R538,MATCH("Still to Invoice",$A$1:$R$1,0)),"")),0),0)</f>
        <v/>
      </c>
      <c r="Z538" s="55">
        <f>IFERROR(EOMONTH(IFERROR(INDEX($A538:$R538,MATCH("Expected Invoice Month",$A$1:$R$1,0)),""),0),"")</f>
        <v/>
      </c>
      <c r="AA538" s="9">
        <f>IFERROR(INDEX($A538:$R538,MATCH("Cost Centre",$A$1:$R$1,0)),"")&amp;""</f>
        <v/>
      </c>
      <c r="AB538" s="9">
        <f>IFERROR(INDEX($A538:$R538,MATCH("Pipeline Stage",$A$1:$R$1,0)),"")&amp;""</f>
        <v/>
      </c>
      <c r="AC538" s="9">
        <f>IFERROR(INDEX($A538:$R538,MATCH("Client",$A$1:$R$1,0)),"")&amp;""</f>
        <v/>
      </c>
      <c r="AD538" s="9">
        <f>IFERROR(INDEX($A538:$R538,MATCH("Description",$A$1:$R$1,0)),"")&amp;""</f>
        <v/>
      </c>
      <c r="AE538" s="9">
        <f>IFERROR(INDEX($A538:$R538,MATCH("Job Number",$A$1:$R$1,0)),"")&amp;""</f>
        <v/>
      </c>
      <c r="AF538" s="54">
        <f>IF(AND(T538="Open",ISNUMBER(Z538),Z538&lt;EOMONTH(set_AsAt,-1)+1),3,0)</f>
        <v/>
      </c>
      <c r="AG538" s="54">
        <f>IF(AND(T538="Open",U538&gt;0,U538&gt;=set_DealShare*SUMIFS($U$2:$U$601,$T$2:$T$601,"Open")),3,0)</f>
        <v/>
      </c>
      <c r="AH538" s="54">
        <f>IF(AND(T538="Open",U538&gt;=set_BigValue,W538&lt;=set_EarlyProb),2,0)</f>
        <v/>
      </c>
      <c r="AI538" s="54">
        <f>IF(AND(OR(T538="Open",T538="Won"),V538=0),2,0)</f>
        <v/>
      </c>
      <c r="AJ538" s="54">
        <f>IF(AND(T538="Won",Y538&gt;0.5,ISNUMBER(Z538),Z538&lt;EOMONTH(set_AsAt,-1)+1),3,0)</f>
        <v/>
      </c>
      <c r="AK538" s="54">
        <f>IF(AND(T538="Won",Y538&lt;-1),1,0)</f>
        <v/>
      </c>
      <c r="AL538" s="54">
        <f>SUM(AF538:AK538)</f>
        <v/>
      </c>
      <c r="AM538" s="9">
        <f>IF(AL538&gt;=set_ScoreHigh,"High",IF(AL538&gt;=set_ScoreMed,"Medium",IF(AL538&gt;0,"Low","OK")))</f>
        <v/>
      </c>
      <c r="AN538" s="54">
        <f>IF(OR(T538="Open",AND(T538="Won",ABS(Y538)&gt;0.5)),1,0)</f>
        <v/>
      </c>
      <c r="AO538" s="52">
        <f>IF(T538="Open",IF(V538=0,0,X538),IF(T538="Won",MAX(0,Y538),0))</f>
        <v/>
      </c>
      <c r="AP538" s="54">
        <f>IF(AN538=1,AL538*1E+9+U538+ROW()/1E+6,"")</f>
        <v/>
      </c>
      <c r="AQ538" s="9">
        <f>MID(IF(AF538&gt;0,"; Expected month passed - update Zoho","")&amp;IF(AG538&gt;0,"; "&amp;TEXT(U538/MAX(1,SUMIFS($U$2:$U$601,$T$2:$T$601,"Open")),"0%")&amp;" of open pipeline in one deal","")&amp;IF(AH538&gt;0,"; Large deal at an early stage","")&amp;IF(AI538&gt;0,"; No amount in Zoho","")&amp;IF(AJ538&gt;0,"; Won, invoice month passed, not fully invoiced","")&amp;IF(AK538&gt;0,"; Xero invoiced more than the deal value",""),3,300)</f>
        <v/>
      </c>
    </row>
    <row r="539">
      <c r="T539" s="9">
        <f>IFERROR(INDEX($A539:$R539,MATCH("Status",$A$1:$R$1,0)),"")&amp;""</f>
        <v/>
      </c>
      <c r="U539" s="52">
        <f>IFERROR(N(IFERROR(INDEX($A539:$R539,MATCH("Value Ex GST",$A$1:$R$1,0)),"")),0)</f>
        <v/>
      </c>
      <c r="V539" s="54">
        <f>IF(AND(T539&lt;&gt;"",IFERROR(INDEX($A539:$R539,MATCH("Value Ex GST",$A$1:$R$1,0)),"")&amp;""&lt;&gt;""),1,0)</f>
        <v/>
      </c>
      <c r="W539" s="56">
        <f>IFERROR(N(IFERROR(INDEX($A539:$R539,MATCH("Probability",$A$1:$R$1,0)),"")),0)</f>
        <v/>
      </c>
      <c r="X539" s="52">
        <f>IF(T539="Open",U539*W539,0)</f>
        <v/>
      </c>
      <c r="Y539" s="52">
        <f>IF(T539="Won",IFERROR(N(IFERROR(INDEX($A539:$R539,MATCH("Still to Invoice",$A$1:$R$1,0)),"")),0),0)</f>
        <v/>
      </c>
      <c r="Z539" s="55">
        <f>IFERROR(EOMONTH(IFERROR(INDEX($A539:$R539,MATCH("Expected Invoice Month",$A$1:$R$1,0)),""),0),"")</f>
        <v/>
      </c>
      <c r="AA539" s="9">
        <f>IFERROR(INDEX($A539:$R539,MATCH("Cost Centre",$A$1:$R$1,0)),"")&amp;""</f>
        <v/>
      </c>
      <c r="AB539" s="9">
        <f>IFERROR(INDEX($A539:$R539,MATCH("Pipeline Stage",$A$1:$R$1,0)),"")&amp;""</f>
        <v/>
      </c>
      <c r="AC539" s="9">
        <f>IFERROR(INDEX($A539:$R539,MATCH("Client",$A$1:$R$1,0)),"")&amp;""</f>
        <v/>
      </c>
      <c r="AD539" s="9">
        <f>IFERROR(INDEX($A539:$R539,MATCH("Description",$A$1:$R$1,0)),"")&amp;""</f>
        <v/>
      </c>
      <c r="AE539" s="9">
        <f>IFERROR(INDEX($A539:$R539,MATCH("Job Number",$A$1:$R$1,0)),"")&amp;""</f>
        <v/>
      </c>
      <c r="AF539" s="54">
        <f>IF(AND(T539="Open",ISNUMBER(Z539),Z539&lt;EOMONTH(set_AsAt,-1)+1),3,0)</f>
        <v/>
      </c>
      <c r="AG539" s="54">
        <f>IF(AND(T539="Open",U539&gt;0,U539&gt;=set_DealShare*SUMIFS($U$2:$U$601,$T$2:$T$601,"Open")),3,0)</f>
        <v/>
      </c>
      <c r="AH539" s="54">
        <f>IF(AND(T539="Open",U539&gt;=set_BigValue,W539&lt;=set_EarlyProb),2,0)</f>
        <v/>
      </c>
      <c r="AI539" s="54">
        <f>IF(AND(OR(T539="Open",T539="Won"),V539=0),2,0)</f>
        <v/>
      </c>
      <c r="AJ539" s="54">
        <f>IF(AND(T539="Won",Y539&gt;0.5,ISNUMBER(Z539),Z539&lt;EOMONTH(set_AsAt,-1)+1),3,0)</f>
        <v/>
      </c>
      <c r="AK539" s="54">
        <f>IF(AND(T539="Won",Y539&lt;-1),1,0)</f>
        <v/>
      </c>
      <c r="AL539" s="54">
        <f>SUM(AF539:AK539)</f>
        <v/>
      </c>
      <c r="AM539" s="9">
        <f>IF(AL539&gt;=set_ScoreHigh,"High",IF(AL539&gt;=set_ScoreMed,"Medium",IF(AL539&gt;0,"Low","OK")))</f>
        <v/>
      </c>
      <c r="AN539" s="54">
        <f>IF(OR(T539="Open",AND(T539="Won",ABS(Y539)&gt;0.5)),1,0)</f>
        <v/>
      </c>
      <c r="AO539" s="52">
        <f>IF(T539="Open",IF(V539=0,0,X539),IF(T539="Won",MAX(0,Y539),0))</f>
        <v/>
      </c>
      <c r="AP539" s="54">
        <f>IF(AN539=1,AL539*1E+9+U539+ROW()/1E+6,"")</f>
        <v/>
      </c>
      <c r="AQ539" s="9">
        <f>MID(IF(AF539&gt;0,"; Expected month passed - update Zoho","")&amp;IF(AG539&gt;0,"; "&amp;TEXT(U539/MAX(1,SUMIFS($U$2:$U$601,$T$2:$T$601,"Open")),"0%")&amp;" of open pipeline in one deal","")&amp;IF(AH539&gt;0,"; Large deal at an early stage","")&amp;IF(AI539&gt;0,"; No amount in Zoho","")&amp;IF(AJ539&gt;0,"; Won, invoice month passed, not fully invoiced","")&amp;IF(AK539&gt;0,"; Xero invoiced more than the deal value",""),3,300)</f>
        <v/>
      </c>
    </row>
    <row r="540">
      <c r="T540" s="9">
        <f>IFERROR(INDEX($A540:$R540,MATCH("Status",$A$1:$R$1,0)),"")&amp;""</f>
        <v/>
      </c>
      <c r="U540" s="52">
        <f>IFERROR(N(IFERROR(INDEX($A540:$R540,MATCH("Value Ex GST",$A$1:$R$1,0)),"")),0)</f>
        <v/>
      </c>
      <c r="V540" s="54">
        <f>IF(AND(T540&lt;&gt;"",IFERROR(INDEX($A540:$R540,MATCH("Value Ex GST",$A$1:$R$1,0)),"")&amp;""&lt;&gt;""),1,0)</f>
        <v/>
      </c>
      <c r="W540" s="56">
        <f>IFERROR(N(IFERROR(INDEX($A540:$R540,MATCH("Probability",$A$1:$R$1,0)),"")),0)</f>
        <v/>
      </c>
      <c r="X540" s="52">
        <f>IF(T540="Open",U540*W540,0)</f>
        <v/>
      </c>
      <c r="Y540" s="52">
        <f>IF(T540="Won",IFERROR(N(IFERROR(INDEX($A540:$R540,MATCH("Still to Invoice",$A$1:$R$1,0)),"")),0),0)</f>
        <v/>
      </c>
      <c r="Z540" s="55">
        <f>IFERROR(EOMONTH(IFERROR(INDEX($A540:$R540,MATCH("Expected Invoice Month",$A$1:$R$1,0)),""),0),"")</f>
        <v/>
      </c>
      <c r="AA540" s="9">
        <f>IFERROR(INDEX($A540:$R540,MATCH("Cost Centre",$A$1:$R$1,0)),"")&amp;""</f>
        <v/>
      </c>
      <c r="AB540" s="9">
        <f>IFERROR(INDEX($A540:$R540,MATCH("Pipeline Stage",$A$1:$R$1,0)),"")&amp;""</f>
        <v/>
      </c>
      <c r="AC540" s="9">
        <f>IFERROR(INDEX($A540:$R540,MATCH("Client",$A$1:$R$1,0)),"")&amp;""</f>
        <v/>
      </c>
      <c r="AD540" s="9">
        <f>IFERROR(INDEX($A540:$R540,MATCH("Description",$A$1:$R$1,0)),"")&amp;""</f>
        <v/>
      </c>
      <c r="AE540" s="9">
        <f>IFERROR(INDEX($A540:$R540,MATCH("Job Number",$A$1:$R$1,0)),"")&amp;""</f>
        <v/>
      </c>
      <c r="AF540" s="54">
        <f>IF(AND(T540="Open",ISNUMBER(Z540),Z540&lt;EOMONTH(set_AsAt,-1)+1),3,0)</f>
        <v/>
      </c>
      <c r="AG540" s="54">
        <f>IF(AND(T540="Open",U540&gt;0,U540&gt;=set_DealShare*SUMIFS($U$2:$U$601,$T$2:$T$601,"Open")),3,0)</f>
        <v/>
      </c>
      <c r="AH540" s="54">
        <f>IF(AND(T540="Open",U540&gt;=set_BigValue,W540&lt;=set_EarlyProb),2,0)</f>
        <v/>
      </c>
      <c r="AI540" s="54">
        <f>IF(AND(OR(T540="Open",T540="Won"),V540=0),2,0)</f>
        <v/>
      </c>
      <c r="AJ540" s="54">
        <f>IF(AND(T540="Won",Y540&gt;0.5,ISNUMBER(Z540),Z540&lt;EOMONTH(set_AsAt,-1)+1),3,0)</f>
        <v/>
      </c>
      <c r="AK540" s="54">
        <f>IF(AND(T540="Won",Y540&lt;-1),1,0)</f>
        <v/>
      </c>
      <c r="AL540" s="54">
        <f>SUM(AF540:AK540)</f>
        <v/>
      </c>
      <c r="AM540" s="9">
        <f>IF(AL540&gt;=set_ScoreHigh,"High",IF(AL540&gt;=set_ScoreMed,"Medium",IF(AL540&gt;0,"Low","OK")))</f>
        <v/>
      </c>
      <c r="AN540" s="54">
        <f>IF(OR(T540="Open",AND(T540="Won",ABS(Y540)&gt;0.5)),1,0)</f>
        <v/>
      </c>
      <c r="AO540" s="52">
        <f>IF(T540="Open",IF(V540=0,0,X540),IF(T540="Won",MAX(0,Y540),0))</f>
        <v/>
      </c>
      <c r="AP540" s="54">
        <f>IF(AN540=1,AL540*1E+9+U540+ROW()/1E+6,"")</f>
        <v/>
      </c>
      <c r="AQ540" s="9">
        <f>MID(IF(AF540&gt;0,"; Expected month passed - update Zoho","")&amp;IF(AG540&gt;0,"; "&amp;TEXT(U540/MAX(1,SUMIFS($U$2:$U$601,$T$2:$T$601,"Open")),"0%")&amp;" of open pipeline in one deal","")&amp;IF(AH540&gt;0,"; Large deal at an early stage","")&amp;IF(AI540&gt;0,"; No amount in Zoho","")&amp;IF(AJ540&gt;0,"; Won, invoice month passed, not fully invoiced","")&amp;IF(AK540&gt;0,"; Xero invoiced more than the deal value",""),3,300)</f>
        <v/>
      </c>
    </row>
    <row r="541">
      <c r="T541" s="9">
        <f>IFERROR(INDEX($A541:$R541,MATCH("Status",$A$1:$R$1,0)),"")&amp;""</f>
        <v/>
      </c>
      <c r="U541" s="52">
        <f>IFERROR(N(IFERROR(INDEX($A541:$R541,MATCH("Value Ex GST",$A$1:$R$1,0)),"")),0)</f>
        <v/>
      </c>
      <c r="V541" s="54">
        <f>IF(AND(T541&lt;&gt;"",IFERROR(INDEX($A541:$R541,MATCH("Value Ex GST",$A$1:$R$1,0)),"")&amp;""&lt;&gt;""),1,0)</f>
        <v/>
      </c>
      <c r="W541" s="56">
        <f>IFERROR(N(IFERROR(INDEX($A541:$R541,MATCH("Probability",$A$1:$R$1,0)),"")),0)</f>
        <v/>
      </c>
      <c r="X541" s="52">
        <f>IF(T541="Open",U541*W541,0)</f>
        <v/>
      </c>
      <c r="Y541" s="52">
        <f>IF(T541="Won",IFERROR(N(IFERROR(INDEX($A541:$R541,MATCH("Still to Invoice",$A$1:$R$1,0)),"")),0),0)</f>
        <v/>
      </c>
      <c r="Z541" s="55">
        <f>IFERROR(EOMONTH(IFERROR(INDEX($A541:$R541,MATCH("Expected Invoice Month",$A$1:$R$1,0)),""),0),"")</f>
        <v/>
      </c>
      <c r="AA541" s="9">
        <f>IFERROR(INDEX($A541:$R541,MATCH("Cost Centre",$A$1:$R$1,0)),"")&amp;""</f>
        <v/>
      </c>
      <c r="AB541" s="9">
        <f>IFERROR(INDEX($A541:$R541,MATCH("Pipeline Stage",$A$1:$R$1,0)),"")&amp;""</f>
        <v/>
      </c>
      <c r="AC541" s="9">
        <f>IFERROR(INDEX($A541:$R541,MATCH("Client",$A$1:$R$1,0)),"")&amp;""</f>
        <v/>
      </c>
      <c r="AD541" s="9">
        <f>IFERROR(INDEX($A541:$R541,MATCH("Description",$A$1:$R$1,0)),"")&amp;""</f>
        <v/>
      </c>
      <c r="AE541" s="9">
        <f>IFERROR(INDEX($A541:$R541,MATCH("Job Number",$A$1:$R$1,0)),"")&amp;""</f>
        <v/>
      </c>
      <c r="AF541" s="54">
        <f>IF(AND(T541="Open",ISNUMBER(Z541),Z541&lt;EOMONTH(set_AsAt,-1)+1),3,0)</f>
        <v/>
      </c>
      <c r="AG541" s="54">
        <f>IF(AND(T541="Open",U541&gt;0,U541&gt;=set_DealShare*SUMIFS($U$2:$U$601,$T$2:$T$601,"Open")),3,0)</f>
        <v/>
      </c>
      <c r="AH541" s="54">
        <f>IF(AND(T541="Open",U541&gt;=set_BigValue,W541&lt;=set_EarlyProb),2,0)</f>
        <v/>
      </c>
      <c r="AI541" s="54">
        <f>IF(AND(OR(T541="Open",T541="Won"),V541=0),2,0)</f>
        <v/>
      </c>
      <c r="AJ541" s="54">
        <f>IF(AND(T541="Won",Y541&gt;0.5,ISNUMBER(Z541),Z541&lt;EOMONTH(set_AsAt,-1)+1),3,0)</f>
        <v/>
      </c>
      <c r="AK541" s="54">
        <f>IF(AND(T541="Won",Y541&lt;-1),1,0)</f>
        <v/>
      </c>
      <c r="AL541" s="54">
        <f>SUM(AF541:AK541)</f>
        <v/>
      </c>
      <c r="AM541" s="9">
        <f>IF(AL541&gt;=set_ScoreHigh,"High",IF(AL541&gt;=set_ScoreMed,"Medium",IF(AL541&gt;0,"Low","OK")))</f>
        <v/>
      </c>
      <c r="AN541" s="54">
        <f>IF(OR(T541="Open",AND(T541="Won",ABS(Y541)&gt;0.5)),1,0)</f>
        <v/>
      </c>
      <c r="AO541" s="52">
        <f>IF(T541="Open",IF(V541=0,0,X541),IF(T541="Won",MAX(0,Y541),0))</f>
        <v/>
      </c>
      <c r="AP541" s="54">
        <f>IF(AN541=1,AL541*1E+9+U541+ROW()/1E+6,"")</f>
        <v/>
      </c>
      <c r="AQ541" s="9">
        <f>MID(IF(AF541&gt;0,"; Expected month passed - update Zoho","")&amp;IF(AG541&gt;0,"; "&amp;TEXT(U541/MAX(1,SUMIFS($U$2:$U$601,$T$2:$T$601,"Open")),"0%")&amp;" of open pipeline in one deal","")&amp;IF(AH541&gt;0,"; Large deal at an early stage","")&amp;IF(AI541&gt;0,"; No amount in Zoho","")&amp;IF(AJ541&gt;0,"; Won, invoice month passed, not fully invoiced","")&amp;IF(AK541&gt;0,"; Xero invoiced more than the deal value",""),3,300)</f>
        <v/>
      </c>
    </row>
    <row r="542">
      <c r="T542" s="9">
        <f>IFERROR(INDEX($A542:$R542,MATCH("Status",$A$1:$R$1,0)),"")&amp;""</f>
        <v/>
      </c>
      <c r="U542" s="52">
        <f>IFERROR(N(IFERROR(INDEX($A542:$R542,MATCH("Value Ex GST",$A$1:$R$1,0)),"")),0)</f>
        <v/>
      </c>
      <c r="V542" s="54">
        <f>IF(AND(T542&lt;&gt;"",IFERROR(INDEX($A542:$R542,MATCH("Value Ex GST",$A$1:$R$1,0)),"")&amp;""&lt;&gt;""),1,0)</f>
        <v/>
      </c>
      <c r="W542" s="56">
        <f>IFERROR(N(IFERROR(INDEX($A542:$R542,MATCH("Probability",$A$1:$R$1,0)),"")),0)</f>
        <v/>
      </c>
      <c r="X542" s="52">
        <f>IF(T542="Open",U542*W542,0)</f>
        <v/>
      </c>
      <c r="Y542" s="52">
        <f>IF(T542="Won",IFERROR(N(IFERROR(INDEX($A542:$R542,MATCH("Still to Invoice",$A$1:$R$1,0)),"")),0),0)</f>
        <v/>
      </c>
      <c r="Z542" s="55">
        <f>IFERROR(EOMONTH(IFERROR(INDEX($A542:$R542,MATCH("Expected Invoice Month",$A$1:$R$1,0)),""),0),"")</f>
        <v/>
      </c>
      <c r="AA542" s="9">
        <f>IFERROR(INDEX($A542:$R542,MATCH("Cost Centre",$A$1:$R$1,0)),"")&amp;""</f>
        <v/>
      </c>
      <c r="AB542" s="9">
        <f>IFERROR(INDEX($A542:$R542,MATCH("Pipeline Stage",$A$1:$R$1,0)),"")&amp;""</f>
        <v/>
      </c>
      <c r="AC542" s="9">
        <f>IFERROR(INDEX($A542:$R542,MATCH("Client",$A$1:$R$1,0)),"")&amp;""</f>
        <v/>
      </c>
      <c r="AD542" s="9">
        <f>IFERROR(INDEX($A542:$R542,MATCH("Description",$A$1:$R$1,0)),"")&amp;""</f>
        <v/>
      </c>
      <c r="AE542" s="9">
        <f>IFERROR(INDEX($A542:$R542,MATCH("Job Number",$A$1:$R$1,0)),"")&amp;""</f>
        <v/>
      </c>
      <c r="AF542" s="54">
        <f>IF(AND(T542="Open",ISNUMBER(Z542),Z542&lt;EOMONTH(set_AsAt,-1)+1),3,0)</f>
        <v/>
      </c>
      <c r="AG542" s="54">
        <f>IF(AND(T542="Open",U542&gt;0,U542&gt;=set_DealShare*SUMIFS($U$2:$U$601,$T$2:$T$601,"Open")),3,0)</f>
        <v/>
      </c>
      <c r="AH542" s="54">
        <f>IF(AND(T542="Open",U542&gt;=set_BigValue,W542&lt;=set_EarlyProb),2,0)</f>
        <v/>
      </c>
      <c r="AI542" s="54">
        <f>IF(AND(OR(T542="Open",T542="Won"),V542=0),2,0)</f>
        <v/>
      </c>
      <c r="AJ542" s="54">
        <f>IF(AND(T542="Won",Y542&gt;0.5,ISNUMBER(Z542),Z542&lt;EOMONTH(set_AsAt,-1)+1),3,0)</f>
        <v/>
      </c>
      <c r="AK542" s="54">
        <f>IF(AND(T542="Won",Y542&lt;-1),1,0)</f>
        <v/>
      </c>
      <c r="AL542" s="54">
        <f>SUM(AF542:AK542)</f>
        <v/>
      </c>
      <c r="AM542" s="9">
        <f>IF(AL542&gt;=set_ScoreHigh,"High",IF(AL542&gt;=set_ScoreMed,"Medium",IF(AL542&gt;0,"Low","OK")))</f>
        <v/>
      </c>
      <c r="AN542" s="54">
        <f>IF(OR(T542="Open",AND(T542="Won",ABS(Y542)&gt;0.5)),1,0)</f>
        <v/>
      </c>
      <c r="AO542" s="52">
        <f>IF(T542="Open",IF(V542=0,0,X542),IF(T542="Won",MAX(0,Y542),0))</f>
        <v/>
      </c>
      <c r="AP542" s="54">
        <f>IF(AN542=1,AL542*1E+9+U542+ROW()/1E+6,"")</f>
        <v/>
      </c>
      <c r="AQ542" s="9">
        <f>MID(IF(AF542&gt;0,"; Expected month passed - update Zoho","")&amp;IF(AG542&gt;0,"; "&amp;TEXT(U542/MAX(1,SUMIFS($U$2:$U$601,$T$2:$T$601,"Open")),"0%")&amp;" of open pipeline in one deal","")&amp;IF(AH542&gt;0,"; Large deal at an early stage","")&amp;IF(AI542&gt;0,"; No amount in Zoho","")&amp;IF(AJ542&gt;0,"; Won, invoice month passed, not fully invoiced","")&amp;IF(AK542&gt;0,"; Xero invoiced more than the deal value",""),3,300)</f>
        <v/>
      </c>
    </row>
    <row r="543">
      <c r="T543" s="9">
        <f>IFERROR(INDEX($A543:$R543,MATCH("Status",$A$1:$R$1,0)),"")&amp;""</f>
        <v/>
      </c>
      <c r="U543" s="52">
        <f>IFERROR(N(IFERROR(INDEX($A543:$R543,MATCH("Value Ex GST",$A$1:$R$1,0)),"")),0)</f>
        <v/>
      </c>
      <c r="V543" s="54">
        <f>IF(AND(T543&lt;&gt;"",IFERROR(INDEX($A543:$R543,MATCH("Value Ex GST",$A$1:$R$1,0)),"")&amp;""&lt;&gt;""),1,0)</f>
        <v/>
      </c>
      <c r="W543" s="56">
        <f>IFERROR(N(IFERROR(INDEX($A543:$R543,MATCH("Probability",$A$1:$R$1,0)),"")),0)</f>
        <v/>
      </c>
      <c r="X543" s="52">
        <f>IF(T543="Open",U543*W543,0)</f>
        <v/>
      </c>
      <c r="Y543" s="52">
        <f>IF(T543="Won",IFERROR(N(IFERROR(INDEX($A543:$R543,MATCH("Still to Invoice",$A$1:$R$1,0)),"")),0),0)</f>
        <v/>
      </c>
      <c r="Z543" s="55">
        <f>IFERROR(EOMONTH(IFERROR(INDEX($A543:$R543,MATCH("Expected Invoice Month",$A$1:$R$1,0)),""),0),"")</f>
        <v/>
      </c>
      <c r="AA543" s="9">
        <f>IFERROR(INDEX($A543:$R543,MATCH("Cost Centre",$A$1:$R$1,0)),"")&amp;""</f>
        <v/>
      </c>
      <c r="AB543" s="9">
        <f>IFERROR(INDEX($A543:$R543,MATCH("Pipeline Stage",$A$1:$R$1,0)),"")&amp;""</f>
        <v/>
      </c>
      <c r="AC543" s="9">
        <f>IFERROR(INDEX($A543:$R543,MATCH("Client",$A$1:$R$1,0)),"")&amp;""</f>
        <v/>
      </c>
      <c r="AD543" s="9">
        <f>IFERROR(INDEX($A543:$R543,MATCH("Description",$A$1:$R$1,0)),"")&amp;""</f>
        <v/>
      </c>
      <c r="AE543" s="9">
        <f>IFERROR(INDEX($A543:$R543,MATCH("Job Number",$A$1:$R$1,0)),"")&amp;""</f>
        <v/>
      </c>
      <c r="AF543" s="54">
        <f>IF(AND(T543="Open",ISNUMBER(Z543),Z543&lt;EOMONTH(set_AsAt,-1)+1),3,0)</f>
        <v/>
      </c>
      <c r="AG543" s="54">
        <f>IF(AND(T543="Open",U543&gt;0,U543&gt;=set_DealShare*SUMIFS($U$2:$U$601,$T$2:$T$601,"Open")),3,0)</f>
        <v/>
      </c>
      <c r="AH543" s="54">
        <f>IF(AND(T543="Open",U543&gt;=set_BigValue,W543&lt;=set_EarlyProb),2,0)</f>
        <v/>
      </c>
      <c r="AI543" s="54">
        <f>IF(AND(OR(T543="Open",T543="Won"),V543=0),2,0)</f>
        <v/>
      </c>
      <c r="AJ543" s="54">
        <f>IF(AND(T543="Won",Y543&gt;0.5,ISNUMBER(Z543),Z543&lt;EOMONTH(set_AsAt,-1)+1),3,0)</f>
        <v/>
      </c>
      <c r="AK543" s="54">
        <f>IF(AND(T543="Won",Y543&lt;-1),1,0)</f>
        <v/>
      </c>
      <c r="AL543" s="54">
        <f>SUM(AF543:AK543)</f>
        <v/>
      </c>
      <c r="AM543" s="9">
        <f>IF(AL543&gt;=set_ScoreHigh,"High",IF(AL543&gt;=set_ScoreMed,"Medium",IF(AL543&gt;0,"Low","OK")))</f>
        <v/>
      </c>
      <c r="AN543" s="54">
        <f>IF(OR(T543="Open",AND(T543="Won",ABS(Y543)&gt;0.5)),1,0)</f>
        <v/>
      </c>
      <c r="AO543" s="52">
        <f>IF(T543="Open",IF(V543=0,0,X543),IF(T543="Won",MAX(0,Y543),0))</f>
        <v/>
      </c>
      <c r="AP543" s="54">
        <f>IF(AN543=1,AL543*1E+9+U543+ROW()/1E+6,"")</f>
        <v/>
      </c>
      <c r="AQ543" s="9">
        <f>MID(IF(AF543&gt;0,"; Expected month passed - update Zoho","")&amp;IF(AG543&gt;0,"; "&amp;TEXT(U543/MAX(1,SUMIFS($U$2:$U$601,$T$2:$T$601,"Open")),"0%")&amp;" of open pipeline in one deal","")&amp;IF(AH543&gt;0,"; Large deal at an early stage","")&amp;IF(AI543&gt;0,"; No amount in Zoho","")&amp;IF(AJ543&gt;0,"; Won, invoice month passed, not fully invoiced","")&amp;IF(AK543&gt;0,"; Xero invoiced more than the deal value",""),3,300)</f>
        <v/>
      </c>
    </row>
    <row r="544">
      <c r="T544" s="9">
        <f>IFERROR(INDEX($A544:$R544,MATCH("Status",$A$1:$R$1,0)),"")&amp;""</f>
        <v/>
      </c>
      <c r="U544" s="52">
        <f>IFERROR(N(IFERROR(INDEX($A544:$R544,MATCH("Value Ex GST",$A$1:$R$1,0)),"")),0)</f>
        <v/>
      </c>
      <c r="V544" s="54">
        <f>IF(AND(T544&lt;&gt;"",IFERROR(INDEX($A544:$R544,MATCH("Value Ex GST",$A$1:$R$1,0)),"")&amp;""&lt;&gt;""),1,0)</f>
        <v/>
      </c>
      <c r="W544" s="56">
        <f>IFERROR(N(IFERROR(INDEX($A544:$R544,MATCH("Probability",$A$1:$R$1,0)),"")),0)</f>
        <v/>
      </c>
      <c r="X544" s="52">
        <f>IF(T544="Open",U544*W544,0)</f>
        <v/>
      </c>
      <c r="Y544" s="52">
        <f>IF(T544="Won",IFERROR(N(IFERROR(INDEX($A544:$R544,MATCH("Still to Invoice",$A$1:$R$1,0)),"")),0),0)</f>
        <v/>
      </c>
      <c r="Z544" s="55">
        <f>IFERROR(EOMONTH(IFERROR(INDEX($A544:$R544,MATCH("Expected Invoice Month",$A$1:$R$1,0)),""),0),"")</f>
        <v/>
      </c>
      <c r="AA544" s="9">
        <f>IFERROR(INDEX($A544:$R544,MATCH("Cost Centre",$A$1:$R$1,0)),"")&amp;""</f>
        <v/>
      </c>
      <c r="AB544" s="9">
        <f>IFERROR(INDEX($A544:$R544,MATCH("Pipeline Stage",$A$1:$R$1,0)),"")&amp;""</f>
        <v/>
      </c>
      <c r="AC544" s="9">
        <f>IFERROR(INDEX($A544:$R544,MATCH("Client",$A$1:$R$1,0)),"")&amp;""</f>
        <v/>
      </c>
      <c r="AD544" s="9">
        <f>IFERROR(INDEX($A544:$R544,MATCH("Description",$A$1:$R$1,0)),"")&amp;""</f>
        <v/>
      </c>
      <c r="AE544" s="9">
        <f>IFERROR(INDEX($A544:$R544,MATCH("Job Number",$A$1:$R$1,0)),"")&amp;""</f>
        <v/>
      </c>
      <c r="AF544" s="54">
        <f>IF(AND(T544="Open",ISNUMBER(Z544),Z544&lt;EOMONTH(set_AsAt,-1)+1),3,0)</f>
        <v/>
      </c>
      <c r="AG544" s="54">
        <f>IF(AND(T544="Open",U544&gt;0,U544&gt;=set_DealShare*SUMIFS($U$2:$U$601,$T$2:$T$601,"Open")),3,0)</f>
        <v/>
      </c>
      <c r="AH544" s="54">
        <f>IF(AND(T544="Open",U544&gt;=set_BigValue,W544&lt;=set_EarlyProb),2,0)</f>
        <v/>
      </c>
      <c r="AI544" s="54">
        <f>IF(AND(OR(T544="Open",T544="Won"),V544=0),2,0)</f>
        <v/>
      </c>
      <c r="AJ544" s="54">
        <f>IF(AND(T544="Won",Y544&gt;0.5,ISNUMBER(Z544),Z544&lt;EOMONTH(set_AsAt,-1)+1),3,0)</f>
        <v/>
      </c>
      <c r="AK544" s="54">
        <f>IF(AND(T544="Won",Y544&lt;-1),1,0)</f>
        <v/>
      </c>
      <c r="AL544" s="54">
        <f>SUM(AF544:AK544)</f>
        <v/>
      </c>
      <c r="AM544" s="9">
        <f>IF(AL544&gt;=set_ScoreHigh,"High",IF(AL544&gt;=set_ScoreMed,"Medium",IF(AL544&gt;0,"Low","OK")))</f>
        <v/>
      </c>
      <c r="AN544" s="54">
        <f>IF(OR(T544="Open",AND(T544="Won",ABS(Y544)&gt;0.5)),1,0)</f>
        <v/>
      </c>
      <c r="AO544" s="52">
        <f>IF(T544="Open",IF(V544=0,0,X544),IF(T544="Won",MAX(0,Y544),0))</f>
        <v/>
      </c>
      <c r="AP544" s="54">
        <f>IF(AN544=1,AL544*1E+9+U544+ROW()/1E+6,"")</f>
        <v/>
      </c>
      <c r="AQ544" s="9">
        <f>MID(IF(AF544&gt;0,"; Expected month passed - update Zoho","")&amp;IF(AG544&gt;0,"; "&amp;TEXT(U544/MAX(1,SUMIFS($U$2:$U$601,$T$2:$T$601,"Open")),"0%")&amp;" of open pipeline in one deal","")&amp;IF(AH544&gt;0,"; Large deal at an early stage","")&amp;IF(AI544&gt;0,"; No amount in Zoho","")&amp;IF(AJ544&gt;0,"; Won, invoice month passed, not fully invoiced","")&amp;IF(AK544&gt;0,"; Xero invoiced more than the deal value",""),3,300)</f>
        <v/>
      </c>
    </row>
    <row r="545">
      <c r="T545" s="9">
        <f>IFERROR(INDEX($A545:$R545,MATCH("Status",$A$1:$R$1,0)),"")&amp;""</f>
        <v/>
      </c>
      <c r="U545" s="52">
        <f>IFERROR(N(IFERROR(INDEX($A545:$R545,MATCH("Value Ex GST",$A$1:$R$1,0)),"")),0)</f>
        <v/>
      </c>
      <c r="V545" s="54">
        <f>IF(AND(T545&lt;&gt;"",IFERROR(INDEX($A545:$R545,MATCH("Value Ex GST",$A$1:$R$1,0)),"")&amp;""&lt;&gt;""),1,0)</f>
        <v/>
      </c>
      <c r="W545" s="56">
        <f>IFERROR(N(IFERROR(INDEX($A545:$R545,MATCH("Probability",$A$1:$R$1,0)),"")),0)</f>
        <v/>
      </c>
      <c r="X545" s="52">
        <f>IF(T545="Open",U545*W545,0)</f>
        <v/>
      </c>
      <c r="Y545" s="52">
        <f>IF(T545="Won",IFERROR(N(IFERROR(INDEX($A545:$R545,MATCH("Still to Invoice",$A$1:$R$1,0)),"")),0),0)</f>
        <v/>
      </c>
      <c r="Z545" s="55">
        <f>IFERROR(EOMONTH(IFERROR(INDEX($A545:$R545,MATCH("Expected Invoice Month",$A$1:$R$1,0)),""),0),"")</f>
        <v/>
      </c>
      <c r="AA545" s="9">
        <f>IFERROR(INDEX($A545:$R545,MATCH("Cost Centre",$A$1:$R$1,0)),"")&amp;""</f>
        <v/>
      </c>
      <c r="AB545" s="9">
        <f>IFERROR(INDEX($A545:$R545,MATCH("Pipeline Stage",$A$1:$R$1,0)),"")&amp;""</f>
        <v/>
      </c>
      <c r="AC545" s="9">
        <f>IFERROR(INDEX($A545:$R545,MATCH("Client",$A$1:$R$1,0)),"")&amp;""</f>
        <v/>
      </c>
      <c r="AD545" s="9">
        <f>IFERROR(INDEX($A545:$R545,MATCH("Description",$A$1:$R$1,0)),"")&amp;""</f>
        <v/>
      </c>
      <c r="AE545" s="9">
        <f>IFERROR(INDEX($A545:$R545,MATCH("Job Number",$A$1:$R$1,0)),"")&amp;""</f>
        <v/>
      </c>
      <c r="AF545" s="54">
        <f>IF(AND(T545="Open",ISNUMBER(Z545),Z545&lt;EOMONTH(set_AsAt,-1)+1),3,0)</f>
        <v/>
      </c>
      <c r="AG545" s="54">
        <f>IF(AND(T545="Open",U545&gt;0,U545&gt;=set_DealShare*SUMIFS($U$2:$U$601,$T$2:$T$601,"Open")),3,0)</f>
        <v/>
      </c>
      <c r="AH545" s="54">
        <f>IF(AND(T545="Open",U545&gt;=set_BigValue,W545&lt;=set_EarlyProb),2,0)</f>
        <v/>
      </c>
      <c r="AI545" s="54">
        <f>IF(AND(OR(T545="Open",T545="Won"),V545=0),2,0)</f>
        <v/>
      </c>
      <c r="AJ545" s="54">
        <f>IF(AND(T545="Won",Y545&gt;0.5,ISNUMBER(Z545),Z545&lt;EOMONTH(set_AsAt,-1)+1),3,0)</f>
        <v/>
      </c>
      <c r="AK545" s="54">
        <f>IF(AND(T545="Won",Y545&lt;-1),1,0)</f>
        <v/>
      </c>
      <c r="AL545" s="54">
        <f>SUM(AF545:AK545)</f>
        <v/>
      </c>
      <c r="AM545" s="9">
        <f>IF(AL545&gt;=set_ScoreHigh,"High",IF(AL545&gt;=set_ScoreMed,"Medium",IF(AL545&gt;0,"Low","OK")))</f>
        <v/>
      </c>
      <c r="AN545" s="54">
        <f>IF(OR(T545="Open",AND(T545="Won",ABS(Y545)&gt;0.5)),1,0)</f>
        <v/>
      </c>
      <c r="AO545" s="52">
        <f>IF(T545="Open",IF(V545=0,0,X545),IF(T545="Won",MAX(0,Y545),0))</f>
        <v/>
      </c>
      <c r="AP545" s="54">
        <f>IF(AN545=1,AL545*1E+9+U545+ROW()/1E+6,"")</f>
        <v/>
      </c>
      <c r="AQ545" s="9">
        <f>MID(IF(AF545&gt;0,"; Expected month passed - update Zoho","")&amp;IF(AG545&gt;0,"; "&amp;TEXT(U545/MAX(1,SUMIFS($U$2:$U$601,$T$2:$T$601,"Open")),"0%")&amp;" of open pipeline in one deal","")&amp;IF(AH545&gt;0,"; Large deal at an early stage","")&amp;IF(AI545&gt;0,"; No amount in Zoho","")&amp;IF(AJ545&gt;0,"; Won, invoice month passed, not fully invoiced","")&amp;IF(AK545&gt;0,"; Xero invoiced more than the deal value",""),3,300)</f>
        <v/>
      </c>
    </row>
    <row r="546">
      <c r="T546" s="9">
        <f>IFERROR(INDEX($A546:$R546,MATCH("Status",$A$1:$R$1,0)),"")&amp;""</f>
        <v/>
      </c>
      <c r="U546" s="52">
        <f>IFERROR(N(IFERROR(INDEX($A546:$R546,MATCH("Value Ex GST",$A$1:$R$1,0)),"")),0)</f>
        <v/>
      </c>
      <c r="V546" s="54">
        <f>IF(AND(T546&lt;&gt;"",IFERROR(INDEX($A546:$R546,MATCH("Value Ex GST",$A$1:$R$1,0)),"")&amp;""&lt;&gt;""),1,0)</f>
        <v/>
      </c>
      <c r="W546" s="56">
        <f>IFERROR(N(IFERROR(INDEX($A546:$R546,MATCH("Probability",$A$1:$R$1,0)),"")),0)</f>
        <v/>
      </c>
      <c r="X546" s="52">
        <f>IF(T546="Open",U546*W546,0)</f>
        <v/>
      </c>
      <c r="Y546" s="52">
        <f>IF(T546="Won",IFERROR(N(IFERROR(INDEX($A546:$R546,MATCH("Still to Invoice",$A$1:$R$1,0)),"")),0),0)</f>
        <v/>
      </c>
      <c r="Z546" s="55">
        <f>IFERROR(EOMONTH(IFERROR(INDEX($A546:$R546,MATCH("Expected Invoice Month",$A$1:$R$1,0)),""),0),"")</f>
        <v/>
      </c>
      <c r="AA546" s="9">
        <f>IFERROR(INDEX($A546:$R546,MATCH("Cost Centre",$A$1:$R$1,0)),"")&amp;""</f>
        <v/>
      </c>
      <c r="AB546" s="9">
        <f>IFERROR(INDEX($A546:$R546,MATCH("Pipeline Stage",$A$1:$R$1,0)),"")&amp;""</f>
        <v/>
      </c>
      <c r="AC546" s="9">
        <f>IFERROR(INDEX($A546:$R546,MATCH("Client",$A$1:$R$1,0)),"")&amp;""</f>
        <v/>
      </c>
      <c r="AD546" s="9">
        <f>IFERROR(INDEX($A546:$R546,MATCH("Description",$A$1:$R$1,0)),"")&amp;""</f>
        <v/>
      </c>
      <c r="AE546" s="9">
        <f>IFERROR(INDEX($A546:$R546,MATCH("Job Number",$A$1:$R$1,0)),"")&amp;""</f>
        <v/>
      </c>
      <c r="AF546" s="54">
        <f>IF(AND(T546="Open",ISNUMBER(Z546),Z546&lt;EOMONTH(set_AsAt,-1)+1),3,0)</f>
        <v/>
      </c>
      <c r="AG546" s="54">
        <f>IF(AND(T546="Open",U546&gt;0,U546&gt;=set_DealShare*SUMIFS($U$2:$U$601,$T$2:$T$601,"Open")),3,0)</f>
        <v/>
      </c>
      <c r="AH546" s="54">
        <f>IF(AND(T546="Open",U546&gt;=set_BigValue,W546&lt;=set_EarlyProb),2,0)</f>
        <v/>
      </c>
      <c r="AI546" s="54">
        <f>IF(AND(OR(T546="Open",T546="Won"),V546=0),2,0)</f>
        <v/>
      </c>
      <c r="AJ546" s="54">
        <f>IF(AND(T546="Won",Y546&gt;0.5,ISNUMBER(Z546),Z546&lt;EOMONTH(set_AsAt,-1)+1),3,0)</f>
        <v/>
      </c>
      <c r="AK546" s="54">
        <f>IF(AND(T546="Won",Y546&lt;-1),1,0)</f>
        <v/>
      </c>
      <c r="AL546" s="54">
        <f>SUM(AF546:AK546)</f>
        <v/>
      </c>
      <c r="AM546" s="9">
        <f>IF(AL546&gt;=set_ScoreHigh,"High",IF(AL546&gt;=set_ScoreMed,"Medium",IF(AL546&gt;0,"Low","OK")))</f>
        <v/>
      </c>
      <c r="AN546" s="54">
        <f>IF(OR(T546="Open",AND(T546="Won",ABS(Y546)&gt;0.5)),1,0)</f>
        <v/>
      </c>
      <c r="AO546" s="52">
        <f>IF(T546="Open",IF(V546=0,0,X546),IF(T546="Won",MAX(0,Y546),0))</f>
        <v/>
      </c>
      <c r="AP546" s="54">
        <f>IF(AN546=1,AL546*1E+9+U546+ROW()/1E+6,"")</f>
        <v/>
      </c>
      <c r="AQ546" s="9">
        <f>MID(IF(AF546&gt;0,"; Expected month passed - update Zoho","")&amp;IF(AG546&gt;0,"; "&amp;TEXT(U546/MAX(1,SUMIFS($U$2:$U$601,$T$2:$T$601,"Open")),"0%")&amp;" of open pipeline in one deal","")&amp;IF(AH546&gt;0,"; Large deal at an early stage","")&amp;IF(AI546&gt;0,"; No amount in Zoho","")&amp;IF(AJ546&gt;0,"; Won, invoice month passed, not fully invoiced","")&amp;IF(AK546&gt;0,"; Xero invoiced more than the deal value",""),3,300)</f>
        <v/>
      </c>
    </row>
    <row r="547">
      <c r="T547" s="9">
        <f>IFERROR(INDEX($A547:$R547,MATCH("Status",$A$1:$R$1,0)),"")&amp;""</f>
        <v/>
      </c>
      <c r="U547" s="52">
        <f>IFERROR(N(IFERROR(INDEX($A547:$R547,MATCH("Value Ex GST",$A$1:$R$1,0)),"")),0)</f>
        <v/>
      </c>
      <c r="V547" s="54">
        <f>IF(AND(T547&lt;&gt;"",IFERROR(INDEX($A547:$R547,MATCH("Value Ex GST",$A$1:$R$1,0)),"")&amp;""&lt;&gt;""),1,0)</f>
        <v/>
      </c>
      <c r="W547" s="56">
        <f>IFERROR(N(IFERROR(INDEX($A547:$R547,MATCH("Probability",$A$1:$R$1,0)),"")),0)</f>
        <v/>
      </c>
      <c r="X547" s="52">
        <f>IF(T547="Open",U547*W547,0)</f>
        <v/>
      </c>
      <c r="Y547" s="52">
        <f>IF(T547="Won",IFERROR(N(IFERROR(INDEX($A547:$R547,MATCH("Still to Invoice",$A$1:$R$1,0)),"")),0),0)</f>
        <v/>
      </c>
      <c r="Z547" s="55">
        <f>IFERROR(EOMONTH(IFERROR(INDEX($A547:$R547,MATCH("Expected Invoice Month",$A$1:$R$1,0)),""),0),"")</f>
        <v/>
      </c>
      <c r="AA547" s="9">
        <f>IFERROR(INDEX($A547:$R547,MATCH("Cost Centre",$A$1:$R$1,0)),"")&amp;""</f>
        <v/>
      </c>
      <c r="AB547" s="9">
        <f>IFERROR(INDEX($A547:$R547,MATCH("Pipeline Stage",$A$1:$R$1,0)),"")&amp;""</f>
        <v/>
      </c>
      <c r="AC547" s="9">
        <f>IFERROR(INDEX($A547:$R547,MATCH("Client",$A$1:$R$1,0)),"")&amp;""</f>
        <v/>
      </c>
      <c r="AD547" s="9">
        <f>IFERROR(INDEX($A547:$R547,MATCH("Description",$A$1:$R$1,0)),"")&amp;""</f>
        <v/>
      </c>
      <c r="AE547" s="9">
        <f>IFERROR(INDEX($A547:$R547,MATCH("Job Number",$A$1:$R$1,0)),"")&amp;""</f>
        <v/>
      </c>
      <c r="AF547" s="54">
        <f>IF(AND(T547="Open",ISNUMBER(Z547),Z547&lt;EOMONTH(set_AsAt,-1)+1),3,0)</f>
        <v/>
      </c>
      <c r="AG547" s="54">
        <f>IF(AND(T547="Open",U547&gt;0,U547&gt;=set_DealShare*SUMIFS($U$2:$U$601,$T$2:$T$601,"Open")),3,0)</f>
        <v/>
      </c>
      <c r="AH547" s="54">
        <f>IF(AND(T547="Open",U547&gt;=set_BigValue,W547&lt;=set_EarlyProb),2,0)</f>
        <v/>
      </c>
      <c r="AI547" s="54">
        <f>IF(AND(OR(T547="Open",T547="Won"),V547=0),2,0)</f>
        <v/>
      </c>
      <c r="AJ547" s="54">
        <f>IF(AND(T547="Won",Y547&gt;0.5,ISNUMBER(Z547),Z547&lt;EOMONTH(set_AsAt,-1)+1),3,0)</f>
        <v/>
      </c>
      <c r="AK547" s="54">
        <f>IF(AND(T547="Won",Y547&lt;-1),1,0)</f>
        <v/>
      </c>
      <c r="AL547" s="54">
        <f>SUM(AF547:AK547)</f>
        <v/>
      </c>
      <c r="AM547" s="9">
        <f>IF(AL547&gt;=set_ScoreHigh,"High",IF(AL547&gt;=set_ScoreMed,"Medium",IF(AL547&gt;0,"Low","OK")))</f>
        <v/>
      </c>
      <c r="AN547" s="54">
        <f>IF(OR(T547="Open",AND(T547="Won",ABS(Y547)&gt;0.5)),1,0)</f>
        <v/>
      </c>
      <c r="AO547" s="52">
        <f>IF(T547="Open",IF(V547=0,0,X547),IF(T547="Won",MAX(0,Y547),0))</f>
        <v/>
      </c>
      <c r="AP547" s="54">
        <f>IF(AN547=1,AL547*1E+9+U547+ROW()/1E+6,"")</f>
        <v/>
      </c>
      <c r="AQ547" s="9">
        <f>MID(IF(AF547&gt;0,"; Expected month passed - update Zoho","")&amp;IF(AG547&gt;0,"; "&amp;TEXT(U547/MAX(1,SUMIFS($U$2:$U$601,$T$2:$T$601,"Open")),"0%")&amp;" of open pipeline in one deal","")&amp;IF(AH547&gt;0,"; Large deal at an early stage","")&amp;IF(AI547&gt;0,"; No amount in Zoho","")&amp;IF(AJ547&gt;0,"; Won, invoice month passed, not fully invoiced","")&amp;IF(AK547&gt;0,"; Xero invoiced more than the deal value",""),3,300)</f>
        <v/>
      </c>
    </row>
    <row r="548">
      <c r="T548" s="9">
        <f>IFERROR(INDEX($A548:$R548,MATCH("Status",$A$1:$R$1,0)),"")&amp;""</f>
        <v/>
      </c>
      <c r="U548" s="52">
        <f>IFERROR(N(IFERROR(INDEX($A548:$R548,MATCH("Value Ex GST",$A$1:$R$1,0)),"")),0)</f>
        <v/>
      </c>
      <c r="V548" s="54">
        <f>IF(AND(T548&lt;&gt;"",IFERROR(INDEX($A548:$R548,MATCH("Value Ex GST",$A$1:$R$1,0)),"")&amp;""&lt;&gt;""),1,0)</f>
        <v/>
      </c>
      <c r="W548" s="56">
        <f>IFERROR(N(IFERROR(INDEX($A548:$R548,MATCH("Probability",$A$1:$R$1,0)),"")),0)</f>
        <v/>
      </c>
      <c r="X548" s="52">
        <f>IF(T548="Open",U548*W548,0)</f>
        <v/>
      </c>
      <c r="Y548" s="52">
        <f>IF(T548="Won",IFERROR(N(IFERROR(INDEX($A548:$R548,MATCH("Still to Invoice",$A$1:$R$1,0)),"")),0),0)</f>
        <v/>
      </c>
      <c r="Z548" s="55">
        <f>IFERROR(EOMONTH(IFERROR(INDEX($A548:$R548,MATCH("Expected Invoice Month",$A$1:$R$1,0)),""),0),"")</f>
        <v/>
      </c>
      <c r="AA548" s="9">
        <f>IFERROR(INDEX($A548:$R548,MATCH("Cost Centre",$A$1:$R$1,0)),"")&amp;""</f>
        <v/>
      </c>
      <c r="AB548" s="9">
        <f>IFERROR(INDEX($A548:$R548,MATCH("Pipeline Stage",$A$1:$R$1,0)),"")&amp;""</f>
        <v/>
      </c>
      <c r="AC548" s="9">
        <f>IFERROR(INDEX($A548:$R548,MATCH("Client",$A$1:$R$1,0)),"")&amp;""</f>
        <v/>
      </c>
      <c r="AD548" s="9">
        <f>IFERROR(INDEX($A548:$R548,MATCH("Description",$A$1:$R$1,0)),"")&amp;""</f>
        <v/>
      </c>
      <c r="AE548" s="9">
        <f>IFERROR(INDEX($A548:$R548,MATCH("Job Number",$A$1:$R$1,0)),"")&amp;""</f>
        <v/>
      </c>
      <c r="AF548" s="54">
        <f>IF(AND(T548="Open",ISNUMBER(Z548),Z548&lt;EOMONTH(set_AsAt,-1)+1),3,0)</f>
        <v/>
      </c>
      <c r="AG548" s="54">
        <f>IF(AND(T548="Open",U548&gt;0,U548&gt;=set_DealShare*SUMIFS($U$2:$U$601,$T$2:$T$601,"Open")),3,0)</f>
        <v/>
      </c>
      <c r="AH548" s="54">
        <f>IF(AND(T548="Open",U548&gt;=set_BigValue,W548&lt;=set_EarlyProb),2,0)</f>
        <v/>
      </c>
      <c r="AI548" s="54">
        <f>IF(AND(OR(T548="Open",T548="Won"),V548=0),2,0)</f>
        <v/>
      </c>
      <c r="AJ548" s="54">
        <f>IF(AND(T548="Won",Y548&gt;0.5,ISNUMBER(Z548),Z548&lt;EOMONTH(set_AsAt,-1)+1),3,0)</f>
        <v/>
      </c>
      <c r="AK548" s="54">
        <f>IF(AND(T548="Won",Y548&lt;-1),1,0)</f>
        <v/>
      </c>
      <c r="AL548" s="54">
        <f>SUM(AF548:AK548)</f>
        <v/>
      </c>
      <c r="AM548" s="9">
        <f>IF(AL548&gt;=set_ScoreHigh,"High",IF(AL548&gt;=set_ScoreMed,"Medium",IF(AL548&gt;0,"Low","OK")))</f>
        <v/>
      </c>
      <c r="AN548" s="54">
        <f>IF(OR(T548="Open",AND(T548="Won",ABS(Y548)&gt;0.5)),1,0)</f>
        <v/>
      </c>
      <c r="AO548" s="52">
        <f>IF(T548="Open",IF(V548=0,0,X548),IF(T548="Won",MAX(0,Y548),0))</f>
        <v/>
      </c>
      <c r="AP548" s="54">
        <f>IF(AN548=1,AL548*1E+9+U548+ROW()/1E+6,"")</f>
        <v/>
      </c>
      <c r="AQ548" s="9">
        <f>MID(IF(AF548&gt;0,"; Expected month passed - update Zoho","")&amp;IF(AG548&gt;0,"; "&amp;TEXT(U548/MAX(1,SUMIFS($U$2:$U$601,$T$2:$T$601,"Open")),"0%")&amp;" of open pipeline in one deal","")&amp;IF(AH548&gt;0,"; Large deal at an early stage","")&amp;IF(AI548&gt;0,"; No amount in Zoho","")&amp;IF(AJ548&gt;0,"; Won, invoice month passed, not fully invoiced","")&amp;IF(AK548&gt;0,"; Xero invoiced more than the deal value",""),3,300)</f>
        <v/>
      </c>
    </row>
    <row r="549">
      <c r="T549" s="9">
        <f>IFERROR(INDEX($A549:$R549,MATCH("Status",$A$1:$R$1,0)),"")&amp;""</f>
        <v/>
      </c>
      <c r="U549" s="52">
        <f>IFERROR(N(IFERROR(INDEX($A549:$R549,MATCH("Value Ex GST",$A$1:$R$1,0)),"")),0)</f>
        <v/>
      </c>
      <c r="V549" s="54">
        <f>IF(AND(T549&lt;&gt;"",IFERROR(INDEX($A549:$R549,MATCH("Value Ex GST",$A$1:$R$1,0)),"")&amp;""&lt;&gt;""),1,0)</f>
        <v/>
      </c>
      <c r="W549" s="56">
        <f>IFERROR(N(IFERROR(INDEX($A549:$R549,MATCH("Probability",$A$1:$R$1,0)),"")),0)</f>
        <v/>
      </c>
      <c r="X549" s="52">
        <f>IF(T549="Open",U549*W549,0)</f>
        <v/>
      </c>
      <c r="Y549" s="52">
        <f>IF(T549="Won",IFERROR(N(IFERROR(INDEX($A549:$R549,MATCH("Still to Invoice",$A$1:$R$1,0)),"")),0),0)</f>
        <v/>
      </c>
      <c r="Z549" s="55">
        <f>IFERROR(EOMONTH(IFERROR(INDEX($A549:$R549,MATCH("Expected Invoice Month",$A$1:$R$1,0)),""),0),"")</f>
        <v/>
      </c>
      <c r="AA549" s="9">
        <f>IFERROR(INDEX($A549:$R549,MATCH("Cost Centre",$A$1:$R$1,0)),"")&amp;""</f>
        <v/>
      </c>
      <c r="AB549" s="9">
        <f>IFERROR(INDEX($A549:$R549,MATCH("Pipeline Stage",$A$1:$R$1,0)),"")&amp;""</f>
        <v/>
      </c>
      <c r="AC549" s="9">
        <f>IFERROR(INDEX($A549:$R549,MATCH("Client",$A$1:$R$1,0)),"")&amp;""</f>
        <v/>
      </c>
      <c r="AD549" s="9">
        <f>IFERROR(INDEX($A549:$R549,MATCH("Description",$A$1:$R$1,0)),"")&amp;""</f>
        <v/>
      </c>
      <c r="AE549" s="9">
        <f>IFERROR(INDEX($A549:$R549,MATCH("Job Number",$A$1:$R$1,0)),"")&amp;""</f>
        <v/>
      </c>
      <c r="AF549" s="54">
        <f>IF(AND(T549="Open",ISNUMBER(Z549),Z549&lt;EOMONTH(set_AsAt,-1)+1),3,0)</f>
        <v/>
      </c>
      <c r="AG549" s="54">
        <f>IF(AND(T549="Open",U549&gt;0,U549&gt;=set_DealShare*SUMIFS($U$2:$U$601,$T$2:$T$601,"Open")),3,0)</f>
        <v/>
      </c>
      <c r="AH549" s="54">
        <f>IF(AND(T549="Open",U549&gt;=set_BigValue,W549&lt;=set_EarlyProb),2,0)</f>
        <v/>
      </c>
      <c r="AI549" s="54">
        <f>IF(AND(OR(T549="Open",T549="Won"),V549=0),2,0)</f>
        <v/>
      </c>
      <c r="AJ549" s="54">
        <f>IF(AND(T549="Won",Y549&gt;0.5,ISNUMBER(Z549),Z549&lt;EOMONTH(set_AsAt,-1)+1),3,0)</f>
        <v/>
      </c>
      <c r="AK549" s="54">
        <f>IF(AND(T549="Won",Y549&lt;-1),1,0)</f>
        <v/>
      </c>
      <c r="AL549" s="54">
        <f>SUM(AF549:AK549)</f>
        <v/>
      </c>
      <c r="AM549" s="9">
        <f>IF(AL549&gt;=set_ScoreHigh,"High",IF(AL549&gt;=set_ScoreMed,"Medium",IF(AL549&gt;0,"Low","OK")))</f>
        <v/>
      </c>
      <c r="AN549" s="54">
        <f>IF(OR(T549="Open",AND(T549="Won",ABS(Y549)&gt;0.5)),1,0)</f>
        <v/>
      </c>
      <c r="AO549" s="52">
        <f>IF(T549="Open",IF(V549=0,0,X549),IF(T549="Won",MAX(0,Y549),0))</f>
        <v/>
      </c>
      <c r="AP549" s="54">
        <f>IF(AN549=1,AL549*1E+9+U549+ROW()/1E+6,"")</f>
        <v/>
      </c>
      <c r="AQ549" s="9">
        <f>MID(IF(AF549&gt;0,"; Expected month passed - update Zoho","")&amp;IF(AG549&gt;0,"; "&amp;TEXT(U549/MAX(1,SUMIFS($U$2:$U$601,$T$2:$T$601,"Open")),"0%")&amp;" of open pipeline in one deal","")&amp;IF(AH549&gt;0,"; Large deal at an early stage","")&amp;IF(AI549&gt;0,"; No amount in Zoho","")&amp;IF(AJ549&gt;0,"; Won, invoice month passed, not fully invoiced","")&amp;IF(AK549&gt;0,"; Xero invoiced more than the deal value",""),3,300)</f>
        <v/>
      </c>
    </row>
    <row r="550">
      <c r="T550" s="9">
        <f>IFERROR(INDEX($A550:$R550,MATCH("Status",$A$1:$R$1,0)),"")&amp;""</f>
        <v/>
      </c>
      <c r="U550" s="52">
        <f>IFERROR(N(IFERROR(INDEX($A550:$R550,MATCH("Value Ex GST",$A$1:$R$1,0)),"")),0)</f>
        <v/>
      </c>
      <c r="V550" s="54">
        <f>IF(AND(T550&lt;&gt;"",IFERROR(INDEX($A550:$R550,MATCH("Value Ex GST",$A$1:$R$1,0)),"")&amp;""&lt;&gt;""),1,0)</f>
        <v/>
      </c>
      <c r="W550" s="56">
        <f>IFERROR(N(IFERROR(INDEX($A550:$R550,MATCH("Probability",$A$1:$R$1,0)),"")),0)</f>
        <v/>
      </c>
      <c r="X550" s="52">
        <f>IF(T550="Open",U550*W550,0)</f>
        <v/>
      </c>
      <c r="Y550" s="52">
        <f>IF(T550="Won",IFERROR(N(IFERROR(INDEX($A550:$R550,MATCH("Still to Invoice",$A$1:$R$1,0)),"")),0),0)</f>
        <v/>
      </c>
      <c r="Z550" s="55">
        <f>IFERROR(EOMONTH(IFERROR(INDEX($A550:$R550,MATCH("Expected Invoice Month",$A$1:$R$1,0)),""),0),"")</f>
        <v/>
      </c>
      <c r="AA550" s="9">
        <f>IFERROR(INDEX($A550:$R550,MATCH("Cost Centre",$A$1:$R$1,0)),"")&amp;""</f>
        <v/>
      </c>
      <c r="AB550" s="9">
        <f>IFERROR(INDEX($A550:$R550,MATCH("Pipeline Stage",$A$1:$R$1,0)),"")&amp;""</f>
        <v/>
      </c>
      <c r="AC550" s="9">
        <f>IFERROR(INDEX($A550:$R550,MATCH("Client",$A$1:$R$1,0)),"")&amp;""</f>
        <v/>
      </c>
      <c r="AD550" s="9">
        <f>IFERROR(INDEX($A550:$R550,MATCH("Description",$A$1:$R$1,0)),"")&amp;""</f>
        <v/>
      </c>
      <c r="AE550" s="9">
        <f>IFERROR(INDEX($A550:$R550,MATCH("Job Number",$A$1:$R$1,0)),"")&amp;""</f>
        <v/>
      </c>
      <c r="AF550" s="54">
        <f>IF(AND(T550="Open",ISNUMBER(Z550),Z550&lt;EOMONTH(set_AsAt,-1)+1),3,0)</f>
        <v/>
      </c>
      <c r="AG550" s="54">
        <f>IF(AND(T550="Open",U550&gt;0,U550&gt;=set_DealShare*SUMIFS($U$2:$U$601,$T$2:$T$601,"Open")),3,0)</f>
        <v/>
      </c>
      <c r="AH550" s="54">
        <f>IF(AND(T550="Open",U550&gt;=set_BigValue,W550&lt;=set_EarlyProb),2,0)</f>
        <v/>
      </c>
      <c r="AI550" s="54">
        <f>IF(AND(OR(T550="Open",T550="Won"),V550=0),2,0)</f>
        <v/>
      </c>
      <c r="AJ550" s="54">
        <f>IF(AND(T550="Won",Y550&gt;0.5,ISNUMBER(Z550),Z550&lt;EOMONTH(set_AsAt,-1)+1),3,0)</f>
        <v/>
      </c>
      <c r="AK550" s="54">
        <f>IF(AND(T550="Won",Y550&lt;-1),1,0)</f>
        <v/>
      </c>
      <c r="AL550" s="54">
        <f>SUM(AF550:AK550)</f>
        <v/>
      </c>
      <c r="AM550" s="9">
        <f>IF(AL550&gt;=set_ScoreHigh,"High",IF(AL550&gt;=set_ScoreMed,"Medium",IF(AL550&gt;0,"Low","OK")))</f>
        <v/>
      </c>
      <c r="AN550" s="54">
        <f>IF(OR(T550="Open",AND(T550="Won",ABS(Y550)&gt;0.5)),1,0)</f>
        <v/>
      </c>
      <c r="AO550" s="52">
        <f>IF(T550="Open",IF(V550=0,0,X550),IF(T550="Won",MAX(0,Y550),0))</f>
        <v/>
      </c>
      <c r="AP550" s="54">
        <f>IF(AN550=1,AL550*1E+9+U550+ROW()/1E+6,"")</f>
        <v/>
      </c>
      <c r="AQ550" s="9">
        <f>MID(IF(AF550&gt;0,"; Expected month passed - update Zoho","")&amp;IF(AG550&gt;0,"; "&amp;TEXT(U550/MAX(1,SUMIFS($U$2:$U$601,$T$2:$T$601,"Open")),"0%")&amp;" of open pipeline in one deal","")&amp;IF(AH550&gt;0,"; Large deal at an early stage","")&amp;IF(AI550&gt;0,"; No amount in Zoho","")&amp;IF(AJ550&gt;0,"; Won, invoice month passed, not fully invoiced","")&amp;IF(AK550&gt;0,"; Xero invoiced more than the deal value",""),3,300)</f>
        <v/>
      </c>
    </row>
    <row r="551">
      <c r="T551" s="9">
        <f>IFERROR(INDEX($A551:$R551,MATCH("Status",$A$1:$R$1,0)),"")&amp;""</f>
        <v/>
      </c>
      <c r="U551" s="52">
        <f>IFERROR(N(IFERROR(INDEX($A551:$R551,MATCH("Value Ex GST",$A$1:$R$1,0)),"")),0)</f>
        <v/>
      </c>
      <c r="V551" s="54">
        <f>IF(AND(T551&lt;&gt;"",IFERROR(INDEX($A551:$R551,MATCH("Value Ex GST",$A$1:$R$1,0)),"")&amp;""&lt;&gt;""),1,0)</f>
        <v/>
      </c>
      <c r="W551" s="56">
        <f>IFERROR(N(IFERROR(INDEX($A551:$R551,MATCH("Probability",$A$1:$R$1,0)),"")),0)</f>
        <v/>
      </c>
      <c r="X551" s="52">
        <f>IF(T551="Open",U551*W551,0)</f>
        <v/>
      </c>
      <c r="Y551" s="52">
        <f>IF(T551="Won",IFERROR(N(IFERROR(INDEX($A551:$R551,MATCH("Still to Invoice",$A$1:$R$1,0)),"")),0),0)</f>
        <v/>
      </c>
      <c r="Z551" s="55">
        <f>IFERROR(EOMONTH(IFERROR(INDEX($A551:$R551,MATCH("Expected Invoice Month",$A$1:$R$1,0)),""),0),"")</f>
        <v/>
      </c>
      <c r="AA551" s="9">
        <f>IFERROR(INDEX($A551:$R551,MATCH("Cost Centre",$A$1:$R$1,0)),"")&amp;""</f>
        <v/>
      </c>
      <c r="AB551" s="9">
        <f>IFERROR(INDEX($A551:$R551,MATCH("Pipeline Stage",$A$1:$R$1,0)),"")&amp;""</f>
        <v/>
      </c>
      <c r="AC551" s="9">
        <f>IFERROR(INDEX($A551:$R551,MATCH("Client",$A$1:$R$1,0)),"")&amp;""</f>
        <v/>
      </c>
      <c r="AD551" s="9">
        <f>IFERROR(INDEX($A551:$R551,MATCH("Description",$A$1:$R$1,0)),"")&amp;""</f>
        <v/>
      </c>
      <c r="AE551" s="9">
        <f>IFERROR(INDEX($A551:$R551,MATCH("Job Number",$A$1:$R$1,0)),"")&amp;""</f>
        <v/>
      </c>
      <c r="AF551" s="54">
        <f>IF(AND(T551="Open",ISNUMBER(Z551),Z551&lt;EOMONTH(set_AsAt,-1)+1),3,0)</f>
        <v/>
      </c>
      <c r="AG551" s="54">
        <f>IF(AND(T551="Open",U551&gt;0,U551&gt;=set_DealShare*SUMIFS($U$2:$U$601,$T$2:$T$601,"Open")),3,0)</f>
        <v/>
      </c>
      <c r="AH551" s="54">
        <f>IF(AND(T551="Open",U551&gt;=set_BigValue,W551&lt;=set_EarlyProb),2,0)</f>
        <v/>
      </c>
      <c r="AI551" s="54">
        <f>IF(AND(OR(T551="Open",T551="Won"),V551=0),2,0)</f>
        <v/>
      </c>
      <c r="AJ551" s="54">
        <f>IF(AND(T551="Won",Y551&gt;0.5,ISNUMBER(Z551),Z551&lt;EOMONTH(set_AsAt,-1)+1),3,0)</f>
        <v/>
      </c>
      <c r="AK551" s="54">
        <f>IF(AND(T551="Won",Y551&lt;-1),1,0)</f>
        <v/>
      </c>
      <c r="AL551" s="54">
        <f>SUM(AF551:AK551)</f>
        <v/>
      </c>
      <c r="AM551" s="9">
        <f>IF(AL551&gt;=set_ScoreHigh,"High",IF(AL551&gt;=set_ScoreMed,"Medium",IF(AL551&gt;0,"Low","OK")))</f>
        <v/>
      </c>
      <c r="AN551" s="54">
        <f>IF(OR(T551="Open",AND(T551="Won",ABS(Y551)&gt;0.5)),1,0)</f>
        <v/>
      </c>
      <c r="AO551" s="52">
        <f>IF(T551="Open",IF(V551=0,0,X551),IF(T551="Won",MAX(0,Y551),0))</f>
        <v/>
      </c>
      <c r="AP551" s="54">
        <f>IF(AN551=1,AL551*1E+9+U551+ROW()/1E+6,"")</f>
        <v/>
      </c>
      <c r="AQ551" s="9">
        <f>MID(IF(AF551&gt;0,"; Expected month passed - update Zoho","")&amp;IF(AG551&gt;0,"; "&amp;TEXT(U551/MAX(1,SUMIFS($U$2:$U$601,$T$2:$T$601,"Open")),"0%")&amp;" of open pipeline in one deal","")&amp;IF(AH551&gt;0,"; Large deal at an early stage","")&amp;IF(AI551&gt;0,"; No amount in Zoho","")&amp;IF(AJ551&gt;0,"; Won, invoice month passed, not fully invoiced","")&amp;IF(AK551&gt;0,"; Xero invoiced more than the deal value",""),3,300)</f>
        <v/>
      </c>
    </row>
    <row r="552">
      <c r="T552" s="9">
        <f>IFERROR(INDEX($A552:$R552,MATCH("Status",$A$1:$R$1,0)),"")&amp;""</f>
        <v/>
      </c>
      <c r="U552" s="52">
        <f>IFERROR(N(IFERROR(INDEX($A552:$R552,MATCH("Value Ex GST",$A$1:$R$1,0)),"")),0)</f>
        <v/>
      </c>
      <c r="V552" s="54">
        <f>IF(AND(T552&lt;&gt;"",IFERROR(INDEX($A552:$R552,MATCH("Value Ex GST",$A$1:$R$1,0)),"")&amp;""&lt;&gt;""),1,0)</f>
        <v/>
      </c>
      <c r="W552" s="56">
        <f>IFERROR(N(IFERROR(INDEX($A552:$R552,MATCH("Probability",$A$1:$R$1,0)),"")),0)</f>
        <v/>
      </c>
      <c r="X552" s="52">
        <f>IF(T552="Open",U552*W552,0)</f>
        <v/>
      </c>
      <c r="Y552" s="52">
        <f>IF(T552="Won",IFERROR(N(IFERROR(INDEX($A552:$R552,MATCH("Still to Invoice",$A$1:$R$1,0)),"")),0),0)</f>
        <v/>
      </c>
      <c r="Z552" s="55">
        <f>IFERROR(EOMONTH(IFERROR(INDEX($A552:$R552,MATCH("Expected Invoice Month",$A$1:$R$1,0)),""),0),"")</f>
        <v/>
      </c>
      <c r="AA552" s="9">
        <f>IFERROR(INDEX($A552:$R552,MATCH("Cost Centre",$A$1:$R$1,0)),"")&amp;""</f>
        <v/>
      </c>
      <c r="AB552" s="9">
        <f>IFERROR(INDEX($A552:$R552,MATCH("Pipeline Stage",$A$1:$R$1,0)),"")&amp;""</f>
        <v/>
      </c>
      <c r="AC552" s="9">
        <f>IFERROR(INDEX($A552:$R552,MATCH("Client",$A$1:$R$1,0)),"")&amp;""</f>
        <v/>
      </c>
      <c r="AD552" s="9">
        <f>IFERROR(INDEX($A552:$R552,MATCH("Description",$A$1:$R$1,0)),"")&amp;""</f>
        <v/>
      </c>
      <c r="AE552" s="9">
        <f>IFERROR(INDEX($A552:$R552,MATCH("Job Number",$A$1:$R$1,0)),"")&amp;""</f>
        <v/>
      </c>
      <c r="AF552" s="54">
        <f>IF(AND(T552="Open",ISNUMBER(Z552),Z552&lt;EOMONTH(set_AsAt,-1)+1),3,0)</f>
        <v/>
      </c>
      <c r="AG552" s="54">
        <f>IF(AND(T552="Open",U552&gt;0,U552&gt;=set_DealShare*SUMIFS($U$2:$U$601,$T$2:$T$601,"Open")),3,0)</f>
        <v/>
      </c>
      <c r="AH552" s="54">
        <f>IF(AND(T552="Open",U552&gt;=set_BigValue,W552&lt;=set_EarlyProb),2,0)</f>
        <v/>
      </c>
      <c r="AI552" s="54">
        <f>IF(AND(OR(T552="Open",T552="Won"),V552=0),2,0)</f>
        <v/>
      </c>
      <c r="AJ552" s="54">
        <f>IF(AND(T552="Won",Y552&gt;0.5,ISNUMBER(Z552),Z552&lt;EOMONTH(set_AsAt,-1)+1),3,0)</f>
        <v/>
      </c>
      <c r="AK552" s="54">
        <f>IF(AND(T552="Won",Y552&lt;-1),1,0)</f>
        <v/>
      </c>
      <c r="AL552" s="54">
        <f>SUM(AF552:AK552)</f>
        <v/>
      </c>
      <c r="AM552" s="9">
        <f>IF(AL552&gt;=set_ScoreHigh,"High",IF(AL552&gt;=set_ScoreMed,"Medium",IF(AL552&gt;0,"Low","OK")))</f>
        <v/>
      </c>
      <c r="AN552" s="54">
        <f>IF(OR(T552="Open",AND(T552="Won",ABS(Y552)&gt;0.5)),1,0)</f>
        <v/>
      </c>
      <c r="AO552" s="52">
        <f>IF(T552="Open",IF(V552=0,0,X552),IF(T552="Won",MAX(0,Y552),0))</f>
        <v/>
      </c>
      <c r="AP552" s="54">
        <f>IF(AN552=1,AL552*1E+9+U552+ROW()/1E+6,"")</f>
        <v/>
      </c>
      <c r="AQ552" s="9">
        <f>MID(IF(AF552&gt;0,"; Expected month passed - update Zoho","")&amp;IF(AG552&gt;0,"; "&amp;TEXT(U552/MAX(1,SUMIFS($U$2:$U$601,$T$2:$T$601,"Open")),"0%")&amp;" of open pipeline in one deal","")&amp;IF(AH552&gt;0,"; Large deal at an early stage","")&amp;IF(AI552&gt;0,"; No amount in Zoho","")&amp;IF(AJ552&gt;0,"; Won, invoice month passed, not fully invoiced","")&amp;IF(AK552&gt;0,"; Xero invoiced more than the deal value",""),3,300)</f>
        <v/>
      </c>
    </row>
    <row r="553">
      <c r="T553" s="9">
        <f>IFERROR(INDEX($A553:$R553,MATCH("Status",$A$1:$R$1,0)),"")&amp;""</f>
        <v/>
      </c>
      <c r="U553" s="52">
        <f>IFERROR(N(IFERROR(INDEX($A553:$R553,MATCH("Value Ex GST",$A$1:$R$1,0)),"")),0)</f>
        <v/>
      </c>
      <c r="V553" s="54">
        <f>IF(AND(T553&lt;&gt;"",IFERROR(INDEX($A553:$R553,MATCH("Value Ex GST",$A$1:$R$1,0)),"")&amp;""&lt;&gt;""),1,0)</f>
        <v/>
      </c>
      <c r="W553" s="56">
        <f>IFERROR(N(IFERROR(INDEX($A553:$R553,MATCH("Probability",$A$1:$R$1,0)),"")),0)</f>
        <v/>
      </c>
      <c r="X553" s="52">
        <f>IF(T553="Open",U553*W553,0)</f>
        <v/>
      </c>
      <c r="Y553" s="52">
        <f>IF(T553="Won",IFERROR(N(IFERROR(INDEX($A553:$R553,MATCH("Still to Invoice",$A$1:$R$1,0)),"")),0),0)</f>
        <v/>
      </c>
      <c r="Z553" s="55">
        <f>IFERROR(EOMONTH(IFERROR(INDEX($A553:$R553,MATCH("Expected Invoice Month",$A$1:$R$1,0)),""),0),"")</f>
        <v/>
      </c>
      <c r="AA553" s="9">
        <f>IFERROR(INDEX($A553:$R553,MATCH("Cost Centre",$A$1:$R$1,0)),"")&amp;""</f>
        <v/>
      </c>
      <c r="AB553" s="9">
        <f>IFERROR(INDEX($A553:$R553,MATCH("Pipeline Stage",$A$1:$R$1,0)),"")&amp;""</f>
        <v/>
      </c>
      <c r="AC553" s="9">
        <f>IFERROR(INDEX($A553:$R553,MATCH("Client",$A$1:$R$1,0)),"")&amp;""</f>
        <v/>
      </c>
      <c r="AD553" s="9">
        <f>IFERROR(INDEX($A553:$R553,MATCH("Description",$A$1:$R$1,0)),"")&amp;""</f>
        <v/>
      </c>
      <c r="AE553" s="9">
        <f>IFERROR(INDEX($A553:$R553,MATCH("Job Number",$A$1:$R$1,0)),"")&amp;""</f>
        <v/>
      </c>
      <c r="AF553" s="54">
        <f>IF(AND(T553="Open",ISNUMBER(Z553),Z553&lt;EOMONTH(set_AsAt,-1)+1),3,0)</f>
        <v/>
      </c>
      <c r="AG553" s="54">
        <f>IF(AND(T553="Open",U553&gt;0,U553&gt;=set_DealShare*SUMIFS($U$2:$U$601,$T$2:$T$601,"Open")),3,0)</f>
        <v/>
      </c>
      <c r="AH553" s="54">
        <f>IF(AND(T553="Open",U553&gt;=set_BigValue,W553&lt;=set_EarlyProb),2,0)</f>
        <v/>
      </c>
      <c r="AI553" s="54">
        <f>IF(AND(OR(T553="Open",T553="Won"),V553=0),2,0)</f>
        <v/>
      </c>
      <c r="AJ553" s="54">
        <f>IF(AND(T553="Won",Y553&gt;0.5,ISNUMBER(Z553),Z553&lt;EOMONTH(set_AsAt,-1)+1),3,0)</f>
        <v/>
      </c>
      <c r="AK553" s="54">
        <f>IF(AND(T553="Won",Y553&lt;-1),1,0)</f>
        <v/>
      </c>
      <c r="AL553" s="54">
        <f>SUM(AF553:AK553)</f>
        <v/>
      </c>
      <c r="AM553" s="9">
        <f>IF(AL553&gt;=set_ScoreHigh,"High",IF(AL553&gt;=set_ScoreMed,"Medium",IF(AL553&gt;0,"Low","OK")))</f>
        <v/>
      </c>
      <c r="AN553" s="54">
        <f>IF(OR(T553="Open",AND(T553="Won",ABS(Y553)&gt;0.5)),1,0)</f>
        <v/>
      </c>
      <c r="AO553" s="52">
        <f>IF(T553="Open",IF(V553=0,0,X553),IF(T553="Won",MAX(0,Y553),0))</f>
        <v/>
      </c>
      <c r="AP553" s="54">
        <f>IF(AN553=1,AL553*1E+9+U553+ROW()/1E+6,"")</f>
        <v/>
      </c>
      <c r="AQ553" s="9">
        <f>MID(IF(AF553&gt;0,"; Expected month passed - update Zoho","")&amp;IF(AG553&gt;0,"; "&amp;TEXT(U553/MAX(1,SUMIFS($U$2:$U$601,$T$2:$T$601,"Open")),"0%")&amp;" of open pipeline in one deal","")&amp;IF(AH553&gt;0,"; Large deal at an early stage","")&amp;IF(AI553&gt;0,"; No amount in Zoho","")&amp;IF(AJ553&gt;0,"; Won, invoice month passed, not fully invoiced","")&amp;IF(AK553&gt;0,"; Xero invoiced more than the deal value",""),3,300)</f>
        <v/>
      </c>
    </row>
    <row r="554">
      <c r="T554" s="9">
        <f>IFERROR(INDEX($A554:$R554,MATCH("Status",$A$1:$R$1,0)),"")&amp;""</f>
        <v/>
      </c>
      <c r="U554" s="52">
        <f>IFERROR(N(IFERROR(INDEX($A554:$R554,MATCH("Value Ex GST",$A$1:$R$1,0)),"")),0)</f>
        <v/>
      </c>
      <c r="V554" s="54">
        <f>IF(AND(T554&lt;&gt;"",IFERROR(INDEX($A554:$R554,MATCH("Value Ex GST",$A$1:$R$1,0)),"")&amp;""&lt;&gt;""),1,0)</f>
        <v/>
      </c>
      <c r="W554" s="56">
        <f>IFERROR(N(IFERROR(INDEX($A554:$R554,MATCH("Probability",$A$1:$R$1,0)),"")),0)</f>
        <v/>
      </c>
      <c r="X554" s="52">
        <f>IF(T554="Open",U554*W554,0)</f>
        <v/>
      </c>
      <c r="Y554" s="52">
        <f>IF(T554="Won",IFERROR(N(IFERROR(INDEX($A554:$R554,MATCH("Still to Invoice",$A$1:$R$1,0)),"")),0),0)</f>
        <v/>
      </c>
      <c r="Z554" s="55">
        <f>IFERROR(EOMONTH(IFERROR(INDEX($A554:$R554,MATCH("Expected Invoice Month",$A$1:$R$1,0)),""),0),"")</f>
        <v/>
      </c>
      <c r="AA554" s="9">
        <f>IFERROR(INDEX($A554:$R554,MATCH("Cost Centre",$A$1:$R$1,0)),"")&amp;""</f>
        <v/>
      </c>
      <c r="AB554" s="9">
        <f>IFERROR(INDEX($A554:$R554,MATCH("Pipeline Stage",$A$1:$R$1,0)),"")&amp;""</f>
        <v/>
      </c>
      <c r="AC554" s="9">
        <f>IFERROR(INDEX($A554:$R554,MATCH("Client",$A$1:$R$1,0)),"")&amp;""</f>
        <v/>
      </c>
      <c r="AD554" s="9">
        <f>IFERROR(INDEX($A554:$R554,MATCH("Description",$A$1:$R$1,0)),"")&amp;""</f>
        <v/>
      </c>
      <c r="AE554" s="9">
        <f>IFERROR(INDEX($A554:$R554,MATCH("Job Number",$A$1:$R$1,0)),"")&amp;""</f>
        <v/>
      </c>
      <c r="AF554" s="54">
        <f>IF(AND(T554="Open",ISNUMBER(Z554),Z554&lt;EOMONTH(set_AsAt,-1)+1),3,0)</f>
        <v/>
      </c>
      <c r="AG554" s="54">
        <f>IF(AND(T554="Open",U554&gt;0,U554&gt;=set_DealShare*SUMIFS($U$2:$U$601,$T$2:$T$601,"Open")),3,0)</f>
        <v/>
      </c>
      <c r="AH554" s="54">
        <f>IF(AND(T554="Open",U554&gt;=set_BigValue,W554&lt;=set_EarlyProb),2,0)</f>
        <v/>
      </c>
      <c r="AI554" s="54">
        <f>IF(AND(OR(T554="Open",T554="Won"),V554=0),2,0)</f>
        <v/>
      </c>
      <c r="AJ554" s="54">
        <f>IF(AND(T554="Won",Y554&gt;0.5,ISNUMBER(Z554),Z554&lt;EOMONTH(set_AsAt,-1)+1),3,0)</f>
        <v/>
      </c>
      <c r="AK554" s="54">
        <f>IF(AND(T554="Won",Y554&lt;-1),1,0)</f>
        <v/>
      </c>
      <c r="AL554" s="54">
        <f>SUM(AF554:AK554)</f>
        <v/>
      </c>
      <c r="AM554" s="9">
        <f>IF(AL554&gt;=set_ScoreHigh,"High",IF(AL554&gt;=set_ScoreMed,"Medium",IF(AL554&gt;0,"Low","OK")))</f>
        <v/>
      </c>
      <c r="AN554" s="54">
        <f>IF(OR(T554="Open",AND(T554="Won",ABS(Y554)&gt;0.5)),1,0)</f>
        <v/>
      </c>
      <c r="AO554" s="52">
        <f>IF(T554="Open",IF(V554=0,0,X554),IF(T554="Won",MAX(0,Y554),0))</f>
        <v/>
      </c>
      <c r="AP554" s="54">
        <f>IF(AN554=1,AL554*1E+9+U554+ROW()/1E+6,"")</f>
        <v/>
      </c>
      <c r="AQ554" s="9">
        <f>MID(IF(AF554&gt;0,"; Expected month passed - update Zoho","")&amp;IF(AG554&gt;0,"; "&amp;TEXT(U554/MAX(1,SUMIFS($U$2:$U$601,$T$2:$T$601,"Open")),"0%")&amp;" of open pipeline in one deal","")&amp;IF(AH554&gt;0,"; Large deal at an early stage","")&amp;IF(AI554&gt;0,"; No amount in Zoho","")&amp;IF(AJ554&gt;0,"; Won, invoice month passed, not fully invoiced","")&amp;IF(AK554&gt;0,"; Xero invoiced more than the deal value",""),3,300)</f>
        <v/>
      </c>
    </row>
    <row r="555">
      <c r="T555" s="9">
        <f>IFERROR(INDEX($A555:$R555,MATCH("Status",$A$1:$R$1,0)),"")&amp;""</f>
        <v/>
      </c>
      <c r="U555" s="52">
        <f>IFERROR(N(IFERROR(INDEX($A555:$R555,MATCH("Value Ex GST",$A$1:$R$1,0)),"")),0)</f>
        <v/>
      </c>
      <c r="V555" s="54">
        <f>IF(AND(T555&lt;&gt;"",IFERROR(INDEX($A555:$R555,MATCH("Value Ex GST",$A$1:$R$1,0)),"")&amp;""&lt;&gt;""),1,0)</f>
        <v/>
      </c>
      <c r="W555" s="56">
        <f>IFERROR(N(IFERROR(INDEX($A555:$R555,MATCH("Probability",$A$1:$R$1,0)),"")),0)</f>
        <v/>
      </c>
      <c r="X555" s="52">
        <f>IF(T555="Open",U555*W555,0)</f>
        <v/>
      </c>
      <c r="Y555" s="52">
        <f>IF(T555="Won",IFERROR(N(IFERROR(INDEX($A555:$R555,MATCH("Still to Invoice",$A$1:$R$1,0)),"")),0),0)</f>
        <v/>
      </c>
      <c r="Z555" s="55">
        <f>IFERROR(EOMONTH(IFERROR(INDEX($A555:$R555,MATCH("Expected Invoice Month",$A$1:$R$1,0)),""),0),"")</f>
        <v/>
      </c>
      <c r="AA555" s="9">
        <f>IFERROR(INDEX($A555:$R555,MATCH("Cost Centre",$A$1:$R$1,0)),"")&amp;""</f>
        <v/>
      </c>
      <c r="AB555" s="9">
        <f>IFERROR(INDEX($A555:$R555,MATCH("Pipeline Stage",$A$1:$R$1,0)),"")&amp;""</f>
        <v/>
      </c>
      <c r="AC555" s="9">
        <f>IFERROR(INDEX($A555:$R555,MATCH("Client",$A$1:$R$1,0)),"")&amp;""</f>
        <v/>
      </c>
      <c r="AD555" s="9">
        <f>IFERROR(INDEX($A555:$R555,MATCH("Description",$A$1:$R$1,0)),"")&amp;""</f>
        <v/>
      </c>
      <c r="AE555" s="9">
        <f>IFERROR(INDEX($A555:$R555,MATCH("Job Number",$A$1:$R$1,0)),"")&amp;""</f>
        <v/>
      </c>
      <c r="AF555" s="54">
        <f>IF(AND(T555="Open",ISNUMBER(Z555),Z555&lt;EOMONTH(set_AsAt,-1)+1),3,0)</f>
        <v/>
      </c>
      <c r="AG555" s="54">
        <f>IF(AND(T555="Open",U555&gt;0,U555&gt;=set_DealShare*SUMIFS($U$2:$U$601,$T$2:$T$601,"Open")),3,0)</f>
        <v/>
      </c>
      <c r="AH555" s="54">
        <f>IF(AND(T555="Open",U555&gt;=set_BigValue,W555&lt;=set_EarlyProb),2,0)</f>
        <v/>
      </c>
      <c r="AI555" s="54">
        <f>IF(AND(OR(T555="Open",T555="Won"),V555=0),2,0)</f>
        <v/>
      </c>
      <c r="AJ555" s="54">
        <f>IF(AND(T555="Won",Y555&gt;0.5,ISNUMBER(Z555),Z555&lt;EOMONTH(set_AsAt,-1)+1),3,0)</f>
        <v/>
      </c>
      <c r="AK555" s="54">
        <f>IF(AND(T555="Won",Y555&lt;-1),1,0)</f>
        <v/>
      </c>
      <c r="AL555" s="54">
        <f>SUM(AF555:AK555)</f>
        <v/>
      </c>
      <c r="AM555" s="9">
        <f>IF(AL555&gt;=set_ScoreHigh,"High",IF(AL555&gt;=set_ScoreMed,"Medium",IF(AL555&gt;0,"Low","OK")))</f>
        <v/>
      </c>
      <c r="AN555" s="54">
        <f>IF(OR(T555="Open",AND(T555="Won",ABS(Y555)&gt;0.5)),1,0)</f>
        <v/>
      </c>
      <c r="AO555" s="52">
        <f>IF(T555="Open",IF(V555=0,0,X555),IF(T555="Won",MAX(0,Y555),0))</f>
        <v/>
      </c>
      <c r="AP555" s="54">
        <f>IF(AN555=1,AL555*1E+9+U555+ROW()/1E+6,"")</f>
        <v/>
      </c>
      <c r="AQ555" s="9">
        <f>MID(IF(AF555&gt;0,"; Expected month passed - update Zoho","")&amp;IF(AG555&gt;0,"; "&amp;TEXT(U555/MAX(1,SUMIFS($U$2:$U$601,$T$2:$T$601,"Open")),"0%")&amp;" of open pipeline in one deal","")&amp;IF(AH555&gt;0,"; Large deal at an early stage","")&amp;IF(AI555&gt;0,"; No amount in Zoho","")&amp;IF(AJ555&gt;0,"; Won, invoice month passed, not fully invoiced","")&amp;IF(AK555&gt;0,"; Xero invoiced more than the deal value",""),3,300)</f>
        <v/>
      </c>
    </row>
    <row r="556">
      <c r="T556" s="9">
        <f>IFERROR(INDEX($A556:$R556,MATCH("Status",$A$1:$R$1,0)),"")&amp;""</f>
        <v/>
      </c>
      <c r="U556" s="52">
        <f>IFERROR(N(IFERROR(INDEX($A556:$R556,MATCH("Value Ex GST",$A$1:$R$1,0)),"")),0)</f>
        <v/>
      </c>
      <c r="V556" s="54">
        <f>IF(AND(T556&lt;&gt;"",IFERROR(INDEX($A556:$R556,MATCH("Value Ex GST",$A$1:$R$1,0)),"")&amp;""&lt;&gt;""),1,0)</f>
        <v/>
      </c>
      <c r="W556" s="56">
        <f>IFERROR(N(IFERROR(INDEX($A556:$R556,MATCH("Probability",$A$1:$R$1,0)),"")),0)</f>
        <v/>
      </c>
      <c r="X556" s="52">
        <f>IF(T556="Open",U556*W556,0)</f>
        <v/>
      </c>
      <c r="Y556" s="52">
        <f>IF(T556="Won",IFERROR(N(IFERROR(INDEX($A556:$R556,MATCH("Still to Invoice",$A$1:$R$1,0)),"")),0),0)</f>
        <v/>
      </c>
      <c r="Z556" s="55">
        <f>IFERROR(EOMONTH(IFERROR(INDEX($A556:$R556,MATCH("Expected Invoice Month",$A$1:$R$1,0)),""),0),"")</f>
        <v/>
      </c>
      <c r="AA556" s="9">
        <f>IFERROR(INDEX($A556:$R556,MATCH("Cost Centre",$A$1:$R$1,0)),"")&amp;""</f>
        <v/>
      </c>
      <c r="AB556" s="9">
        <f>IFERROR(INDEX($A556:$R556,MATCH("Pipeline Stage",$A$1:$R$1,0)),"")&amp;""</f>
        <v/>
      </c>
      <c r="AC556" s="9">
        <f>IFERROR(INDEX($A556:$R556,MATCH("Client",$A$1:$R$1,0)),"")&amp;""</f>
        <v/>
      </c>
      <c r="AD556" s="9">
        <f>IFERROR(INDEX($A556:$R556,MATCH("Description",$A$1:$R$1,0)),"")&amp;""</f>
        <v/>
      </c>
      <c r="AE556" s="9">
        <f>IFERROR(INDEX($A556:$R556,MATCH("Job Number",$A$1:$R$1,0)),"")&amp;""</f>
        <v/>
      </c>
      <c r="AF556" s="54">
        <f>IF(AND(T556="Open",ISNUMBER(Z556),Z556&lt;EOMONTH(set_AsAt,-1)+1),3,0)</f>
        <v/>
      </c>
      <c r="AG556" s="54">
        <f>IF(AND(T556="Open",U556&gt;0,U556&gt;=set_DealShare*SUMIFS($U$2:$U$601,$T$2:$T$601,"Open")),3,0)</f>
        <v/>
      </c>
      <c r="AH556" s="54">
        <f>IF(AND(T556="Open",U556&gt;=set_BigValue,W556&lt;=set_EarlyProb),2,0)</f>
        <v/>
      </c>
      <c r="AI556" s="54">
        <f>IF(AND(OR(T556="Open",T556="Won"),V556=0),2,0)</f>
        <v/>
      </c>
      <c r="AJ556" s="54">
        <f>IF(AND(T556="Won",Y556&gt;0.5,ISNUMBER(Z556),Z556&lt;EOMONTH(set_AsAt,-1)+1),3,0)</f>
        <v/>
      </c>
      <c r="AK556" s="54">
        <f>IF(AND(T556="Won",Y556&lt;-1),1,0)</f>
        <v/>
      </c>
      <c r="AL556" s="54">
        <f>SUM(AF556:AK556)</f>
        <v/>
      </c>
      <c r="AM556" s="9">
        <f>IF(AL556&gt;=set_ScoreHigh,"High",IF(AL556&gt;=set_ScoreMed,"Medium",IF(AL556&gt;0,"Low","OK")))</f>
        <v/>
      </c>
      <c r="AN556" s="54">
        <f>IF(OR(T556="Open",AND(T556="Won",ABS(Y556)&gt;0.5)),1,0)</f>
        <v/>
      </c>
      <c r="AO556" s="52">
        <f>IF(T556="Open",IF(V556=0,0,X556),IF(T556="Won",MAX(0,Y556),0))</f>
        <v/>
      </c>
      <c r="AP556" s="54">
        <f>IF(AN556=1,AL556*1E+9+U556+ROW()/1E+6,"")</f>
        <v/>
      </c>
      <c r="AQ556" s="9">
        <f>MID(IF(AF556&gt;0,"; Expected month passed - update Zoho","")&amp;IF(AG556&gt;0,"; "&amp;TEXT(U556/MAX(1,SUMIFS($U$2:$U$601,$T$2:$T$601,"Open")),"0%")&amp;" of open pipeline in one deal","")&amp;IF(AH556&gt;0,"; Large deal at an early stage","")&amp;IF(AI556&gt;0,"; No amount in Zoho","")&amp;IF(AJ556&gt;0,"; Won, invoice month passed, not fully invoiced","")&amp;IF(AK556&gt;0,"; Xero invoiced more than the deal value",""),3,300)</f>
        <v/>
      </c>
    </row>
    <row r="557">
      <c r="T557" s="9">
        <f>IFERROR(INDEX($A557:$R557,MATCH("Status",$A$1:$R$1,0)),"")&amp;""</f>
        <v/>
      </c>
      <c r="U557" s="52">
        <f>IFERROR(N(IFERROR(INDEX($A557:$R557,MATCH("Value Ex GST",$A$1:$R$1,0)),"")),0)</f>
        <v/>
      </c>
      <c r="V557" s="54">
        <f>IF(AND(T557&lt;&gt;"",IFERROR(INDEX($A557:$R557,MATCH("Value Ex GST",$A$1:$R$1,0)),"")&amp;""&lt;&gt;""),1,0)</f>
        <v/>
      </c>
      <c r="W557" s="56">
        <f>IFERROR(N(IFERROR(INDEX($A557:$R557,MATCH("Probability",$A$1:$R$1,0)),"")),0)</f>
        <v/>
      </c>
      <c r="X557" s="52">
        <f>IF(T557="Open",U557*W557,0)</f>
        <v/>
      </c>
      <c r="Y557" s="52">
        <f>IF(T557="Won",IFERROR(N(IFERROR(INDEX($A557:$R557,MATCH("Still to Invoice",$A$1:$R$1,0)),"")),0),0)</f>
        <v/>
      </c>
      <c r="Z557" s="55">
        <f>IFERROR(EOMONTH(IFERROR(INDEX($A557:$R557,MATCH("Expected Invoice Month",$A$1:$R$1,0)),""),0),"")</f>
        <v/>
      </c>
      <c r="AA557" s="9">
        <f>IFERROR(INDEX($A557:$R557,MATCH("Cost Centre",$A$1:$R$1,0)),"")&amp;""</f>
        <v/>
      </c>
      <c r="AB557" s="9">
        <f>IFERROR(INDEX($A557:$R557,MATCH("Pipeline Stage",$A$1:$R$1,0)),"")&amp;""</f>
        <v/>
      </c>
      <c r="AC557" s="9">
        <f>IFERROR(INDEX($A557:$R557,MATCH("Client",$A$1:$R$1,0)),"")&amp;""</f>
        <v/>
      </c>
      <c r="AD557" s="9">
        <f>IFERROR(INDEX($A557:$R557,MATCH("Description",$A$1:$R$1,0)),"")&amp;""</f>
        <v/>
      </c>
      <c r="AE557" s="9">
        <f>IFERROR(INDEX($A557:$R557,MATCH("Job Number",$A$1:$R$1,0)),"")&amp;""</f>
        <v/>
      </c>
      <c r="AF557" s="54">
        <f>IF(AND(T557="Open",ISNUMBER(Z557),Z557&lt;EOMONTH(set_AsAt,-1)+1),3,0)</f>
        <v/>
      </c>
      <c r="AG557" s="54">
        <f>IF(AND(T557="Open",U557&gt;0,U557&gt;=set_DealShare*SUMIFS($U$2:$U$601,$T$2:$T$601,"Open")),3,0)</f>
        <v/>
      </c>
      <c r="AH557" s="54">
        <f>IF(AND(T557="Open",U557&gt;=set_BigValue,W557&lt;=set_EarlyProb),2,0)</f>
        <v/>
      </c>
      <c r="AI557" s="54">
        <f>IF(AND(OR(T557="Open",T557="Won"),V557=0),2,0)</f>
        <v/>
      </c>
      <c r="AJ557" s="54">
        <f>IF(AND(T557="Won",Y557&gt;0.5,ISNUMBER(Z557),Z557&lt;EOMONTH(set_AsAt,-1)+1),3,0)</f>
        <v/>
      </c>
      <c r="AK557" s="54">
        <f>IF(AND(T557="Won",Y557&lt;-1),1,0)</f>
        <v/>
      </c>
      <c r="AL557" s="54">
        <f>SUM(AF557:AK557)</f>
        <v/>
      </c>
      <c r="AM557" s="9">
        <f>IF(AL557&gt;=set_ScoreHigh,"High",IF(AL557&gt;=set_ScoreMed,"Medium",IF(AL557&gt;0,"Low","OK")))</f>
        <v/>
      </c>
      <c r="AN557" s="54">
        <f>IF(OR(T557="Open",AND(T557="Won",ABS(Y557)&gt;0.5)),1,0)</f>
        <v/>
      </c>
      <c r="AO557" s="52">
        <f>IF(T557="Open",IF(V557=0,0,X557),IF(T557="Won",MAX(0,Y557),0))</f>
        <v/>
      </c>
      <c r="AP557" s="54">
        <f>IF(AN557=1,AL557*1E+9+U557+ROW()/1E+6,"")</f>
        <v/>
      </c>
      <c r="AQ557" s="9">
        <f>MID(IF(AF557&gt;0,"; Expected month passed - update Zoho","")&amp;IF(AG557&gt;0,"; "&amp;TEXT(U557/MAX(1,SUMIFS($U$2:$U$601,$T$2:$T$601,"Open")),"0%")&amp;" of open pipeline in one deal","")&amp;IF(AH557&gt;0,"; Large deal at an early stage","")&amp;IF(AI557&gt;0,"; No amount in Zoho","")&amp;IF(AJ557&gt;0,"; Won, invoice month passed, not fully invoiced","")&amp;IF(AK557&gt;0,"; Xero invoiced more than the deal value",""),3,300)</f>
        <v/>
      </c>
    </row>
    <row r="558">
      <c r="T558" s="9">
        <f>IFERROR(INDEX($A558:$R558,MATCH("Status",$A$1:$R$1,0)),"")&amp;""</f>
        <v/>
      </c>
      <c r="U558" s="52">
        <f>IFERROR(N(IFERROR(INDEX($A558:$R558,MATCH("Value Ex GST",$A$1:$R$1,0)),"")),0)</f>
        <v/>
      </c>
      <c r="V558" s="54">
        <f>IF(AND(T558&lt;&gt;"",IFERROR(INDEX($A558:$R558,MATCH("Value Ex GST",$A$1:$R$1,0)),"")&amp;""&lt;&gt;""),1,0)</f>
        <v/>
      </c>
      <c r="W558" s="56">
        <f>IFERROR(N(IFERROR(INDEX($A558:$R558,MATCH("Probability",$A$1:$R$1,0)),"")),0)</f>
        <v/>
      </c>
      <c r="X558" s="52">
        <f>IF(T558="Open",U558*W558,0)</f>
        <v/>
      </c>
      <c r="Y558" s="52">
        <f>IF(T558="Won",IFERROR(N(IFERROR(INDEX($A558:$R558,MATCH("Still to Invoice",$A$1:$R$1,0)),"")),0),0)</f>
        <v/>
      </c>
      <c r="Z558" s="55">
        <f>IFERROR(EOMONTH(IFERROR(INDEX($A558:$R558,MATCH("Expected Invoice Month",$A$1:$R$1,0)),""),0),"")</f>
        <v/>
      </c>
      <c r="AA558" s="9">
        <f>IFERROR(INDEX($A558:$R558,MATCH("Cost Centre",$A$1:$R$1,0)),"")&amp;""</f>
        <v/>
      </c>
      <c r="AB558" s="9">
        <f>IFERROR(INDEX($A558:$R558,MATCH("Pipeline Stage",$A$1:$R$1,0)),"")&amp;""</f>
        <v/>
      </c>
      <c r="AC558" s="9">
        <f>IFERROR(INDEX($A558:$R558,MATCH("Client",$A$1:$R$1,0)),"")&amp;""</f>
        <v/>
      </c>
      <c r="AD558" s="9">
        <f>IFERROR(INDEX($A558:$R558,MATCH("Description",$A$1:$R$1,0)),"")&amp;""</f>
        <v/>
      </c>
      <c r="AE558" s="9">
        <f>IFERROR(INDEX($A558:$R558,MATCH("Job Number",$A$1:$R$1,0)),"")&amp;""</f>
        <v/>
      </c>
      <c r="AF558" s="54">
        <f>IF(AND(T558="Open",ISNUMBER(Z558),Z558&lt;EOMONTH(set_AsAt,-1)+1),3,0)</f>
        <v/>
      </c>
      <c r="AG558" s="54">
        <f>IF(AND(T558="Open",U558&gt;0,U558&gt;=set_DealShare*SUMIFS($U$2:$U$601,$T$2:$T$601,"Open")),3,0)</f>
        <v/>
      </c>
      <c r="AH558" s="54">
        <f>IF(AND(T558="Open",U558&gt;=set_BigValue,W558&lt;=set_EarlyProb),2,0)</f>
        <v/>
      </c>
      <c r="AI558" s="54">
        <f>IF(AND(OR(T558="Open",T558="Won"),V558=0),2,0)</f>
        <v/>
      </c>
      <c r="AJ558" s="54">
        <f>IF(AND(T558="Won",Y558&gt;0.5,ISNUMBER(Z558),Z558&lt;EOMONTH(set_AsAt,-1)+1),3,0)</f>
        <v/>
      </c>
      <c r="AK558" s="54">
        <f>IF(AND(T558="Won",Y558&lt;-1),1,0)</f>
        <v/>
      </c>
      <c r="AL558" s="54">
        <f>SUM(AF558:AK558)</f>
        <v/>
      </c>
      <c r="AM558" s="9">
        <f>IF(AL558&gt;=set_ScoreHigh,"High",IF(AL558&gt;=set_ScoreMed,"Medium",IF(AL558&gt;0,"Low","OK")))</f>
        <v/>
      </c>
      <c r="AN558" s="54">
        <f>IF(OR(T558="Open",AND(T558="Won",ABS(Y558)&gt;0.5)),1,0)</f>
        <v/>
      </c>
      <c r="AO558" s="52">
        <f>IF(T558="Open",IF(V558=0,0,X558),IF(T558="Won",MAX(0,Y558),0))</f>
        <v/>
      </c>
      <c r="AP558" s="54">
        <f>IF(AN558=1,AL558*1E+9+U558+ROW()/1E+6,"")</f>
        <v/>
      </c>
      <c r="AQ558" s="9">
        <f>MID(IF(AF558&gt;0,"; Expected month passed - update Zoho","")&amp;IF(AG558&gt;0,"; "&amp;TEXT(U558/MAX(1,SUMIFS($U$2:$U$601,$T$2:$T$601,"Open")),"0%")&amp;" of open pipeline in one deal","")&amp;IF(AH558&gt;0,"; Large deal at an early stage","")&amp;IF(AI558&gt;0,"; No amount in Zoho","")&amp;IF(AJ558&gt;0,"; Won, invoice month passed, not fully invoiced","")&amp;IF(AK558&gt;0,"; Xero invoiced more than the deal value",""),3,300)</f>
        <v/>
      </c>
    </row>
    <row r="559">
      <c r="T559" s="9">
        <f>IFERROR(INDEX($A559:$R559,MATCH("Status",$A$1:$R$1,0)),"")&amp;""</f>
        <v/>
      </c>
      <c r="U559" s="52">
        <f>IFERROR(N(IFERROR(INDEX($A559:$R559,MATCH("Value Ex GST",$A$1:$R$1,0)),"")),0)</f>
        <v/>
      </c>
      <c r="V559" s="54">
        <f>IF(AND(T559&lt;&gt;"",IFERROR(INDEX($A559:$R559,MATCH("Value Ex GST",$A$1:$R$1,0)),"")&amp;""&lt;&gt;""),1,0)</f>
        <v/>
      </c>
      <c r="W559" s="56">
        <f>IFERROR(N(IFERROR(INDEX($A559:$R559,MATCH("Probability",$A$1:$R$1,0)),"")),0)</f>
        <v/>
      </c>
      <c r="X559" s="52">
        <f>IF(T559="Open",U559*W559,0)</f>
        <v/>
      </c>
      <c r="Y559" s="52">
        <f>IF(T559="Won",IFERROR(N(IFERROR(INDEX($A559:$R559,MATCH("Still to Invoice",$A$1:$R$1,0)),"")),0),0)</f>
        <v/>
      </c>
      <c r="Z559" s="55">
        <f>IFERROR(EOMONTH(IFERROR(INDEX($A559:$R559,MATCH("Expected Invoice Month",$A$1:$R$1,0)),""),0),"")</f>
        <v/>
      </c>
      <c r="AA559" s="9">
        <f>IFERROR(INDEX($A559:$R559,MATCH("Cost Centre",$A$1:$R$1,0)),"")&amp;""</f>
        <v/>
      </c>
      <c r="AB559" s="9">
        <f>IFERROR(INDEX($A559:$R559,MATCH("Pipeline Stage",$A$1:$R$1,0)),"")&amp;""</f>
        <v/>
      </c>
      <c r="AC559" s="9">
        <f>IFERROR(INDEX($A559:$R559,MATCH("Client",$A$1:$R$1,0)),"")&amp;""</f>
        <v/>
      </c>
      <c r="AD559" s="9">
        <f>IFERROR(INDEX($A559:$R559,MATCH("Description",$A$1:$R$1,0)),"")&amp;""</f>
        <v/>
      </c>
      <c r="AE559" s="9">
        <f>IFERROR(INDEX($A559:$R559,MATCH("Job Number",$A$1:$R$1,0)),"")&amp;""</f>
        <v/>
      </c>
      <c r="AF559" s="54">
        <f>IF(AND(T559="Open",ISNUMBER(Z559),Z559&lt;EOMONTH(set_AsAt,-1)+1),3,0)</f>
        <v/>
      </c>
      <c r="AG559" s="54">
        <f>IF(AND(T559="Open",U559&gt;0,U559&gt;=set_DealShare*SUMIFS($U$2:$U$601,$T$2:$T$601,"Open")),3,0)</f>
        <v/>
      </c>
      <c r="AH559" s="54">
        <f>IF(AND(T559="Open",U559&gt;=set_BigValue,W559&lt;=set_EarlyProb),2,0)</f>
        <v/>
      </c>
      <c r="AI559" s="54">
        <f>IF(AND(OR(T559="Open",T559="Won"),V559=0),2,0)</f>
        <v/>
      </c>
      <c r="AJ559" s="54">
        <f>IF(AND(T559="Won",Y559&gt;0.5,ISNUMBER(Z559),Z559&lt;EOMONTH(set_AsAt,-1)+1),3,0)</f>
        <v/>
      </c>
      <c r="AK559" s="54">
        <f>IF(AND(T559="Won",Y559&lt;-1),1,0)</f>
        <v/>
      </c>
      <c r="AL559" s="54">
        <f>SUM(AF559:AK559)</f>
        <v/>
      </c>
      <c r="AM559" s="9">
        <f>IF(AL559&gt;=set_ScoreHigh,"High",IF(AL559&gt;=set_ScoreMed,"Medium",IF(AL559&gt;0,"Low","OK")))</f>
        <v/>
      </c>
      <c r="AN559" s="54">
        <f>IF(OR(T559="Open",AND(T559="Won",ABS(Y559)&gt;0.5)),1,0)</f>
        <v/>
      </c>
      <c r="AO559" s="52">
        <f>IF(T559="Open",IF(V559=0,0,X559),IF(T559="Won",MAX(0,Y559),0))</f>
        <v/>
      </c>
      <c r="AP559" s="54">
        <f>IF(AN559=1,AL559*1E+9+U559+ROW()/1E+6,"")</f>
        <v/>
      </c>
      <c r="AQ559" s="9">
        <f>MID(IF(AF559&gt;0,"; Expected month passed - update Zoho","")&amp;IF(AG559&gt;0,"; "&amp;TEXT(U559/MAX(1,SUMIFS($U$2:$U$601,$T$2:$T$601,"Open")),"0%")&amp;" of open pipeline in one deal","")&amp;IF(AH559&gt;0,"; Large deal at an early stage","")&amp;IF(AI559&gt;0,"; No amount in Zoho","")&amp;IF(AJ559&gt;0,"; Won, invoice month passed, not fully invoiced","")&amp;IF(AK559&gt;0,"; Xero invoiced more than the deal value",""),3,300)</f>
        <v/>
      </c>
    </row>
    <row r="560">
      <c r="T560" s="9">
        <f>IFERROR(INDEX($A560:$R560,MATCH("Status",$A$1:$R$1,0)),"")&amp;""</f>
        <v/>
      </c>
      <c r="U560" s="52">
        <f>IFERROR(N(IFERROR(INDEX($A560:$R560,MATCH("Value Ex GST",$A$1:$R$1,0)),"")),0)</f>
        <v/>
      </c>
      <c r="V560" s="54">
        <f>IF(AND(T560&lt;&gt;"",IFERROR(INDEX($A560:$R560,MATCH("Value Ex GST",$A$1:$R$1,0)),"")&amp;""&lt;&gt;""),1,0)</f>
        <v/>
      </c>
      <c r="W560" s="56">
        <f>IFERROR(N(IFERROR(INDEX($A560:$R560,MATCH("Probability",$A$1:$R$1,0)),"")),0)</f>
        <v/>
      </c>
      <c r="X560" s="52">
        <f>IF(T560="Open",U560*W560,0)</f>
        <v/>
      </c>
      <c r="Y560" s="52">
        <f>IF(T560="Won",IFERROR(N(IFERROR(INDEX($A560:$R560,MATCH("Still to Invoice",$A$1:$R$1,0)),"")),0),0)</f>
        <v/>
      </c>
      <c r="Z560" s="55">
        <f>IFERROR(EOMONTH(IFERROR(INDEX($A560:$R560,MATCH("Expected Invoice Month",$A$1:$R$1,0)),""),0),"")</f>
        <v/>
      </c>
      <c r="AA560" s="9">
        <f>IFERROR(INDEX($A560:$R560,MATCH("Cost Centre",$A$1:$R$1,0)),"")&amp;""</f>
        <v/>
      </c>
      <c r="AB560" s="9">
        <f>IFERROR(INDEX($A560:$R560,MATCH("Pipeline Stage",$A$1:$R$1,0)),"")&amp;""</f>
        <v/>
      </c>
      <c r="AC560" s="9">
        <f>IFERROR(INDEX($A560:$R560,MATCH("Client",$A$1:$R$1,0)),"")&amp;""</f>
        <v/>
      </c>
      <c r="AD560" s="9">
        <f>IFERROR(INDEX($A560:$R560,MATCH("Description",$A$1:$R$1,0)),"")&amp;""</f>
        <v/>
      </c>
      <c r="AE560" s="9">
        <f>IFERROR(INDEX($A560:$R560,MATCH("Job Number",$A$1:$R$1,0)),"")&amp;""</f>
        <v/>
      </c>
      <c r="AF560" s="54">
        <f>IF(AND(T560="Open",ISNUMBER(Z560),Z560&lt;EOMONTH(set_AsAt,-1)+1),3,0)</f>
        <v/>
      </c>
      <c r="AG560" s="54">
        <f>IF(AND(T560="Open",U560&gt;0,U560&gt;=set_DealShare*SUMIFS($U$2:$U$601,$T$2:$T$601,"Open")),3,0)</f>
        <v/>
      </c>
      <c r="AH560" s="54">
        <f>IF(AND(T560="Open",U560&gt;=set_BigValue,W560&lt;=set_EarlyProb),2,0)</f>
        <v/>
      </c>
      <c r="AI560" s="54">
        <f>IF(AND(OR(T560="Open",T560="Won"),V560=0),2,0)</f>
        <v/>
      </c>
      <c r="AJ560" s="54">
        <f>IF(AND(T560="Won",Y560&gt;0.5,ISNUMBER(Z560),Z560&lt;EOMONTH(set_AsAt,-1)+1),3,0)</f>
        <v/>
      </c>
      <c r="AK560" s="54">
        <f>IF(AND(T560="Won",Y560&lt;-1),1,0)</f>
        <v/>
      </c>
      <c r="AL560" s="54">
        <f>SUM(AF560:AK560)</f>
        <v/>
      </c>
      <c r="AM560" s="9">
        <f>IF(AL560&gt;=set_ScoreHigh,"High",IF(AL560&gt;=set_ScoreMed,"Medium",IF(AL560&gt;0,"Low","OK")))</f>
        <v/>
      </c>
      <c r="AN560" s="54">
        <f>IF(OR(T560="Open",AND(T560="Won",ABS(Y560)&gt;0.5)),1,0)</f>
        <v/>
      </c>
      <c r="AO560" s="52">
        <f>IF(T560="Open",IF(V560=0,0,X560),IF(T560="Won",MAX(0,Y560),0))</f>
        <v/>
      </c>
      <c r="AP560" s="54">
        <f>IF(AN560=1,AL560*1E+9+U560+ROW()/1E+6,"")</f>
        <v/>
      </c>
      <c r="AQ560" s="9">
        <f>MID(IF(AF560&gt;0,"; Expected month passed - update Zoho","")&amp;IF(AG560&gt;0,"; "&amp;TEXT(U560/MAX(1,SUMIFS($U$2:$U$601,$T$2:$T$601,"Open")),"0%")&amp;" of open pipeline in one deal","")&amp;IF(AH560&gt;0,"; Large deal at an early stage","")&amp;IF(AI560&gt;0,"; No amount in Zoho","")&amp;IF(AJ560&gt;0,"; Won, invoice month passed, not fully invoiced","")&amp;IF(AK560&gt;0,"; Xero invoiced more than the deal value",""),3,300)</f>
        <v/>
      </c>
    </row>
    <row r="561">
      <c r="T561" s="9">
        <f>IFERROR(INDEX($A561:$R561,MATCH("Status",$A$1:$R$1,0)),"")&amp;""</f>
        <v/>
      </c>
      <c r="U561" s="52">
        <f>IFERROR(N(IFERROR(INDEX($A561:$R561,MATCH("Value Ex GST",$A$1:$R$1,0)),"")),0)</f>
        <v/>
      </c>
      <c r="V561" s="54">
        <f>IF(AND(T561&lt;&gt;"",IFERROR(INDEX($A561:$R561,MATCH("Value Ex GST",$A$1:$R$1,0)),"")&amp;""&lt;&gt;""),1,0)</f>
        <v/>
      </c>
      <c r="W561" s="56">
        <f>IFERROR(N(IFERROR(INDEX($A561:$R561,MATCH("Probability",$A$1:$R$1,0)),"")),0)</f>
        <v/>
      </c>
      <c r="X561" s="52">
        <f>IF(T561="Open",U561*W561,0)</f>
        <v/>
      </c>
      <c r="Y561" s="52">
        <f>IF(T561="Won",IFERROR(N(IFERROR(INDEX($A561:$R561,MATCH("Still to Invoice",$A$1:$R$1,0)),"")),0),0)</f>
        <v/>
      </c>
      <c r="Z561" s="55">
        <f>IFERROR(EOMONTH(IFERROR(INDEX($A561:$R561,MATCH("Expected Invoice Month",$A$1:$R$1,0)),""),0),"")</f>
        <v/>
      </c>
      <c r="AA561" s="9">
        <f>IFERROR(INDEX($A561:$R561,MATCH("Cost Centre",$A$1:$R$1,0)),"")&amp;""</f>
        <v/>
      </c>
      <c r="AB561" s="9">
        <f>IFERROR(INDEX($A561:$R561,MATCH("Pipeline Stage",$A$1:$R$1,0)),"")&amp;""</f>
        <v/>
      </c>
      <c r="AC561" s="9">
        <f>IFERROR(INDEX($A561:$R561,MATCH("Client",$A$1:$R$1,0)),"")&amp;""</f>
        <v/>
      </c>
      <c r="AD561" s="9">
        <f>IFERROR(INDEX($A561:$R561,MATCH("Description",$A$1:$R$1,0)),"")&amp;""</f>
        <v/>
      </c>
      <c r="AE561" s="9">
        <f>IFERROR(INDEX($A561:$R561,MATCH("Job Number",$A$1:$R$1,0)),"")&amp;""</f>
        <v/>
      </c>
      <c r="AF561" s="54">
        <f>IF(AND(T561="Open",ISNUMBER(Z561),Z561&lt;EOMONTH(set_AsAt,-1)+1),3,0)</f>
        <v/>
      </c>
      <c r="AG561" s="54">
        <f>IF(AND(T561="Open",U561&gt;0,U561&gt;=set_DealShare*SUMIFS($U$2:$U$601,$T$2:$T$601,"Open")),3,0)</f>
        <v/>
      </c>
      <c r="AH561" s="54">
        <f>IF(AND(T561="Open",U561&gt;=set_BigValue,W561&lt;=set_EarlyProb),2,0)</f>
        <v/>
      </c>
      <c r="AI561" s="54">
        <f>IF(AND(OR(T561="Open",T561="Won"),V561=0),2,0)</f>
        <v/>
      </c>
      <c r="AJ561" s="54">
        <f>IF(AND(T561="Won",Y561&gt;0.5,ISNUMBER(Z561),Z561&lt;EOMONTH(set_AsAt,-1)+1),3,0)</f>
        <v/>
      </c>
      <c r="AK561" s="54">
        <f>IF(AND(T561="Won",Y561&lt;-1),1,0)</f>
        <v/>
      </c>
      <c r="AL561" s="54">
        <f>SUM(AF561:AK561)</f>
        <v/>
      </c>
      <c r="AM561" s="9">
        <f>IF(AL561&gt;=set_ScoreHigh,"High",IF(AL561&gt;=set_ScoreMed,"Medium",IF(AL561&gt;0,"Low","OK")))</f>
        <v/>
      </c>
      <c r="AN561" s="54">
        <f>IF(OR(T561="Open",AND(T561="Won",ABS(Y561)&gt;0.5)),1,0)</f>
        <v/>
      </c>
      <c r="AO561" s="52">
        <f>IF(T561="Open",IF(V561=0,0,X561),IF(T561="Won",MAX(0,Y561),0))</f>
        <v/>
      </c>
      <c r="AP561" s="54">
        <f>IF(AN561=1,AL561*1E+9+U561+ROW()/1E+6,"")</f>
        <v/>
      </c>
      <c r="AQ561" s="9">
        <f>MID(IF(AF561&gt;0,"; Expected month passed - update Zoho","")&amp;IF(AG561&gt;0,"; "&amp;TEXT(U561/MAX(1,SUMIFS($U$2:$U$601,$T$2:$T$601,"Open")),"0%")&amp;" of open pipeline in one deal","")&amp;IF(AH561&gt;0,"; Large deal at an early stage","")&amp;IF(AI561&gt;0,"; No amount in Zoho","")&amp;IF(AJ561&gt;0,"; Won, invoice month passed, not fully invoiced","")&amp;IF(AK561&gt;0,"; Xero invoiced more than the deal value",""),3,300)</f>
        <v/>
      </c>
    </row>
    <row r="562">
      <c r="T562" s="9">
        <f>IFERROR(INDEX($A562:$R562,MATCH("Status",$A$1:$R$1,0)),"")&amp;""</f>
        <v/>
      </c>
      <c r="U562" s="52">
        <f>IFERROR(N(IFERROR(INDEX($A562:$R562,MATCH("Value Ex GST",$A$1:$R$1,0)),"")),0)</f>
        <v/>
      </c>
      <c r="V562" s="54">
        <f>IF(AND(T562&lt;&gt;"",IFERROR(INDEX($A562:$R562,MATCH("Value Ex GST",$A$1:$R$1,0)),"")&amp;""&lt;&gt;""),1,0)</f>
        <v/>
      </c>
      <c r="W562" s="56">
        <f>IFERROR(N(IFERROR(INDEX($A562:$R562,MATCH("Probability",$A$1:$R$1,0)),"")),0)</f>
        <v/>
      </c>
      <c r="X562" s="52">
        <f>IF(T562="Open",U562*W562,0)</f>
        <v/>
      </c>
      <c r="Y562" s="52">
        <f>IF(T562="Won",IFERROR(N(IFERROR(INDEX($A562:$R562,MATCH("Still to Invoice",$A$1:$R$1,0)),"")),0),0)</f>
        <v/>
      </c>
      <c r="Z562" s="55">
        <f>IFERROR(EOMONTH(IFERROR(INDEX($A562:$R562,MATCH("Expected Invoice Month",$A$1:$R$1,0)),""),0),"")</f>
        <v/>
      </c>
      <c r="AA562" s="9">
        <f>IFERROR(INDEX($A562:$R562,MATCH("Cost Centre",$A$1:$R$1,0)),"")&amp;""</f>
        <v/>
      </c>
      <c r="AB562" s="9">
        <f>IFERROR(INDEX($A562:$R562,MATCH("Pipeline Stage",$A$1:$R$1,0)),"")&amp;""</f>
        <v/>
      </c>
      <c r="AC562" s="9">
        <f>IFERROR(INDEX($A562:$R562,MATCH("Client",$A$1:$R$1,0)),"")&amp;""</f>
        <v/>
      </c>
      <c r="AD562" s="9">
        <f>IFERROR(INDEX($A562:$R562,MATCH("Description",$A$1:$R$1,0)),"")&amp;""</f>
        <v/>
      </c>
      <c r="AE562" s="9">
        <f>IFERROR(INDEX($A562:$R562,MATCH("Job Number",$A$1:$R$1,0)),"")&amp;""</f>
        <v/>
      </c>
      <c r="AF562" s="54">
        <f>IF(AND(T562="Open",ISNUMBER(Z562),Z562&lt;EOMONTH(set_AsAt,-1)+1),3,0)</f>
        <v/>
      </c>
      <c r="AG562" s="54">
        <f>IF(AND(T562="Open",U562&gt;0,U562&gt;=set_DealShare*SUMIFS($U$2:$U$601,$T$2:$T$601,"Open")),3,0)</f>
        <v/>
      </c>
      <c r="AH562" s="54">
        <f>IF(AND(T562="Open",U562&gt;=set_BigValue,W562&lt;=set_EarlyProb),2,0)</f>
        <v/>
      </c>
      <c r="AI562" s="54">
        <f>IF(AND(OR(T562="Open",T562="Won"),V562=0),2,0)</f>
        <v/>
      </c>
      <c r="AJ562" s="54">
        <f>IF(AND(T562="Won",Y562&gt;0.5,ISNUMBER(Z562),Z562&lt;EOMONTH(set_AsAt,-1)+1),3,0)</f>
        <v/>
      </c>
      <c r="AK562" s="54">
        <f>IF(AND(T562="Won",Y562&lt;-1),1,0)</f>
        <v/>
      </c>
      <c r="AL562" s="54">
        <f>SUM(AF562:AK562)</f>
        <v/>
      </c>
      <c r="AM562" s="9">
        <f>IF(AL562&gt;=set_ScoreHigh,"High",IF(AL562&gt;=set_ScoreMed,"Medium",IF(AL562&gt;0,"Low","OK")))</f>
        <v/>
      </c>
      <c r="AN562" s="54">
        <f>IF(OR(T562="Open",AND(T562="Won",ABS(Y562)&gt;0.5)),1,0)</f>
        <v/>
      </c>
      <c r="AO562" s="52">
        <f>IF(T562="Open",IF(V562=0,0,X562),IF(T562="Won",MAX(0,Y562),0))</f>
        <v/>
      </c>
      <c r="AP562" s="54">
        <f>IF(AN562=1,AL562*1E+9+U562+ROW()/1E+6,"")</f>
        <v/>
      </c>
      <c r="AQ562" s="9">
        <f>MID(IF(AF562&gt;0,"; Expected month passed - update Zoho","")&amp;IF(AG562&gt;0,"; "&amp;TEXT(U562/MAX(1,SUMIFS($U$2:$U$601,$T$2:$T$601,"Open")),"0%")&amp;" of open pipeline in one deal","")&amp;IF(AH562&gt;0,"; Large deal at an early stage","")&amp;IF(AI562&gt;0,"; No amount in Zoho","")&amp;IF(AJ562&gt;0,"; Won, invoice month passed, not fully invoiced","")&amp;IF(AK562&gt;0,"; Xero invoiced more than the deal value",""),3,300)</f>
        <v/>
      </c>
    </row>
    <row r="563">
      <c r="T563" s="9">
        <f>IFERROR(INDEX($A563:$R563,MATCH("Status",$A$1:$R$1,0)),"")&amp;""</f>
        <v/>
      </c>
      <c r="U563" s="52">
        <f>IFERROR(N(IFERROR(INDEX($A563:$R563,MATCH("Value Ex GST",$A$1:$R$1,0)),"")),0)</f>
        <v/>
      </c>
      <c r="V563" s="54">
        <f>IF(AND(T563&lt;&gt;"",IFERROR(INDEX($A563:$R563,MATCH("Value Ex GST",$A$1:$R$1,0)),"")&amp;""&lt;&gt;""),1,0)</f>
        <v/>
      </c>
      <c r="W563" s="56">
        <f>IFERROR(N(IFERROR(INDEX($A563:$R563,MATCH("Probability",$A$1:$R$1,0)),"")),0)</f>
        <v/>
      </c>
      <c r="X563" s="52">
        <f>IF(T563="Open",U563*W563,0)</f>
        <v/>
      </c>
      <c r="Y563" s="52">
        <f>IF(T563="Won",IFERROR(N(IFERROR(INDEX($A563:$R563,MATCH("Still to Invoice",$A$1:$R$1,0)),"")),0),0)</f>
        <v/>
      </c>
      <c r="Z563" s="55">
        <f>IFERROR(EOMONTH(IFERROR(INDEX($A563:$R563,MATCH("Expected Invoice Month",$A$1:$R$1,0)),""),0),"")</f>
        <v/>
      </c>
      <c r="AA563" s="9">
        <f>IFERROR(INDEX($A563:$R563,MATCH("Cost Centre",$A$1:$R$1,0)),"")&amp;""</f>
        <v/>
      </c>
      <c r="AB563" s="9">
        <f>IFERROR(INDEX($A563:$R563,MATCH("Pipeline Stage",$A$1:$R$1,0)),"")&amp;""</f>
        <v/>
      </c>
      <c r="AC563" s="9">
        <f>IFERROR(INDEX($A563:$R563,MATCH("Client",$A$1:$R$1,0)),"")&amp;""</f>
        <v/>
      </c>
      <c r="AD563" s="9">
        <f>IFERROR(INDEX($A563:$R563,MATCH("Description",$A$1:$R$1,0)),"")&amp;""</f>
        <v/>
      </c>
      <c r="AE563" s="9">
        <f>IFERROR(INDEX($A563:$R563,MATCH("Job Number",$A$1:$R$1,0)),"")&amp;""</f>
        <v/>
      </c>
      <c r="AF563" s="54">
        <f>IF(AND(T563="Open",ISNUMBER(Z563),Z563&lt;EOMONTH(set_AsAt,-1)+1),3,0)</f>
        <v/>
      </c>
      <c r="AG563" s="54">
        <f>IF(AND(T563="Open",U563&gt;0,U563&gt;=set_DealShare*SUMIFS($U$2:$U$601,$T$2:$T$601,"Open")),3,0)</f>
        <v/>
      </c>
      <c r="AH563" s="54">
        <f>IF(AND(T563="Open",U563&gt;=set_BigValue,W563&lt;=set_EarlyProb),2,0)</f>
        <v/>
      </c>
      <c r="AI563" s="54">
        <f>IF(AND(OR(T563="Open",T563="Won"),V563=0),2,0)</f>
        <v/>
      </c>
      <c r="AJ563" s="54">
        <f>IF(AND(T563="Won",Y563&gt;0.5,ISNUMBER(Z563),Z563&lt;EOMONTH(set_AsAt,-1)+1),3,0)</f>
        <v/>
      </c>
      <c r="AK563" s="54">
        <f>IF(AND(T563="Won",Y563&lt;-1),1,0)</f>
        <v/>
      </c>
      <c r="AL563" s="54">
        <f>SUM(AF563:AK563)</f>
        <v/>
      </c>
      <c r="AM563" s="9">
        <f>IF(AL563&gt;=set_ScoreHigh,"High",IF(AL563&gt;=set_ScoreMed,"Medium",IF(AL563&gt;0,"Low","OK")))</f>
        <v/>
      </c>
      <c r="AN563" s="54">
        <f>IF(OR(T563="Open",AND(T563="Won",ABS(Y563)&gt;0.5)),1,0)</f>
        <v/>
      </c>
      <c r="AO563" s="52">
        <f>IF(T563="Open",IF(V563=0,0,X563),IF(T563="Won",MAX(0,Y563),0))</f>
        <v/>
      </c>
      <c r="AP563" s="54">
        <f>IF(AN563=1,AL563*1E+9+U563+ROW()/1E+6,"")</f>
        <v/>
      </c>
      <c r="AQ563" s="9">
        <f>MID(IF(AF563&gt;0,"; Expected month passed - update Zoho","")&amp;IF(AG563&gt;0,"; "&amp;TEXT(U563/MAX(1,SUMIFS($U$2:$U$601,$T$2:$T$601,"Open")),"0%")&amp;" of open pipeline in one deal","")&amp;IF(AH563&gt;0,"; Large deal at an early stage","")&amp;IF(AI563&gt;0,"; No amount in Zoho","")&amp;IF(AJ563&gt;0,"; Won, invoice month passed, not fully invoiced","")&amp;IF(AK563&gt;0,"; Xero invoiced more than the deal value",""),3,300)</f>
        <v/>
      </c>
    </row>
    <row r="564">
      <c r="T564" s="9">
        <f>IFERROR(INDEX($A564:$R564,MATCH("Status",$A$1:$R$1,0)),"")&amp;""</f>
        <v/>
      </c>
      <c r="U564" s="52">
        <f>IFERROR(N(IFERROR(INDEX($A564:$R564,MATCH("Value Ex GST",$A$1:$R$1,0)),"")),0)</f>
        <v/>
      </c>
      <c r="V564" s="54">
        <f>IF(AND(T564&lt;&gt;"",IFERROR(INDEX($A564:$R564,MATCH("Value Ex GST",$A$1:$R$1,0)),"")&amp;""&lt;&gt;""),1,0)</f>
        <v/>
      </c>
      <c r="W564" s="56">
        <f>IFERROR(N(IFERROR(INDEX($A564:$R564,MATCH("Probability",$A$1:$R$1,0)),"")),0)</f>
        <v/>
      </c>
      <c r="X564" s="52">
        <f>IF(T564="Open",U564*W564,0)</f>
        <v/>
      </c>
      <c r="Y564" s="52">
        <f>IF(T564="Won",IFERROR(N(IFERROR(INDEX($A564:$R564,MATCH("Still to Invoice",$A$1:$R$1,0)),"")),0),0)</f>
        <v/>
      </c>
      <c r="Z564" s="55">
        <f>IFERROR(EOMONTH(IFERROR(INDEX($A564:$R564,MATCH("Expected Invoice Month",$A$1:$R$1,0)),""),0),"")</f>
        <v/>
      </c>
      <c r="AA564" s="9">
        <f>IFERROR(INDEX($A564:$R564,MATCH("Cost Centre",$A$1:$R$1,0)),"")&amp;""</f>
        <v/>
      </c>
      <c r="AB564" s="9">
        <f>IFERROR(INDEX($A564:$R564,MATCH("Pipeline Stage",$A$1:$R$1,0)),"")&amp;""</f>
        <v/>
      </c>
      <c r="AC564" s="9">
        <f>IFERROR(INDEX($A564:$R564,MATCH("Client",$A$1:$R$1,0)),"")&amp;""</f>
        <v/>
      </c>
      <c r="AD564" s="9">
        <f>IFERROR(INDEX($A564:$R564,MATCH("Description",$A$1:$R$1,0)),"")&amp;""</f>
        <v/>
      </c>
      <c r="AE564" s="9">
        <f>IFERROR(INDEX($A564:$R564,MATCH("Job Number",$A$1:$R$1,0)),"")&amp;""</f>
        <v/>
      </c>
      <c r="AF564" s="54">
        <f>IF(AND(T564="Open",ISNUMBER(Z564),Z564&lt;EOMONTH(set_AsAt,-1)+1),3,0)</f>
        <v/>
      </c>
      <c r="AG564" s="54">
        <f>IF(AND(T564="Open",U564&gt;0,U564&gt;=set_DealShare*SUMIFS($U$2:$U$601,$T$2:$T$601,"Open")),3,0)</f>
        <v/>
      </c>
      <c r="AH564" s="54">
        <f>IF(AND(T564="Open",U564&gt;=set_BigValue,W564&lt;=set_EarlyProb),2,0)</f>
        <v/>
      </c>
      <c r="AI564" s="54">
        <f>IF(AND(OR(T564="Open",T564="Won"),V564=0),2,0)</f>
        <v/>
      </c>
      <c r="AJ564" s="54">
        <f>IF(AND(T564="Won",Y564&gt;0.5,ISNUMBER(Z564),Z564&lt;EOMONTH(set_AsAt,-1)+1),3,0)</f>
        <v/>
      </c>
      <c r="AK564" s="54">
        <f>IF(AND(T564="Won",Y564&lt;-1),1,0)</f>
        <v/>
      </c>
      <c r="AL564" s="54">
        <f>SUM(AF564:AK564)</f>
        <v/>
      </c>
      <c r="AM564" s="9">
        <f>IF(AL564&gt;=set_ScoreHigh,"High",IF(AL564&gt;=set_ScoreMed,"Medium",IF(AL564&gt;0,"Low","OK")))</f>
        <v/>
      </c>
      <c r="AN564" s="54">
        <f>IF(OR(T564="Open",AND(T564="Won",ABS(Y564)&gt;0.5)),1,0)</f>
        <v/>
      </c>
      <c r="AO564" s="52">
        <f>IF(T564="Open",IF(V564=0,0,X564),IF(T564="Won",MAX(0,Y564),0))</f>
        <v/>
      </c>
      <c r="AP564" s="54">
        <f>IF(AN564=1,AL564*1E+9+U564+ROW()/1E+6,"")</f>
        <v/>
      </c>
      <c r="AQ564" s="9">
        <f>MID(IF(AF564&gt;0,"; Expected month passed - update Zoho","")&amp;IF(AG564&gt;0,"; "&amp;TEXT(U564/MAX(1,SUMIFS($U$2:$U$601,$T$2:$T$601,"Open")),"0%")&amp;" of open pipeline in one deal","")&amp;IF(AH564&gt;0,"; Large deal at an early stage","")&amp;IF(AI564&gt;0,"; No amount in Zoho","")&amp;IF(AJ564&gt;0,"; Won, invoice month passed, not fully invoiced","")&amp;IF(AK564&gt;0,"; Xero invoiced more than the deal value",""),3,300)</f>
        <v/>
      </c>
    </row>
    <row r="565">
      <c r="T565" s="9">
        <f>IFERROR(INDEX($A565:$R565,MATCH("Status",$A$1:$R$1,0)),"")&amp;""</f>
        <v/>
      </c>
      <c r="U565" s="52">
        <f>IFERROR(N(IFERROR(INDEX($A565:$R565,MATCH("Value Ex GST",$A$1:$R$1,0)),"")),0)</f>
        <v/>
      </c>
      <c r="V565" s="54">
        <f>IF(AND(T565&lt;&gt;"",IFERROR(INDEX($A565:$R565,MATCH("Value Ex GST",$A$1:$R$1,0)),"")&amp;""&lt;&gt;""),1,0)</f>
        <v/>
      </c>
      <c r="W565" s="56">
        <f>IFERROR(N(IFERROR(INDEX($A565:$R565,MATCH("Probability",$A$1:$R$1,0)),"")),0)</f>
        <v/>
      </c>
      <c r="X565" s="52">
        <f>IF(T565="Open",U565*W565,0)</f>
        <v/>
      </c>
      <c r="Y565" s="52">
        <f>IF(T565="Won",IFERROR(N(IFERROR(INDEX($A565:$R565,MATCH("Still to Invoice",$A$1:$R$1,0)),"")),0),0)</f>
        <v/>
      </c>
      <c r="Z565" s="55">
        <f>IFERROR(EOMONTH(IFERROR(INDEX($A565:$R565,MATCH("Expected Invoice Month",$A$1:$R$1,0)),""),0),"")</f>
        <v/>
      </c>
      <c r="AA565" s="9">
        <f>IFERROR(INDEX($A565:$R565,MATCH("Cost Centre",$A$1:$R$1,0)),"")&amp;""</f>
        <v/>
      </c>
      <c r="AB565" s="9">
        <f>IFERROR(INDEX($A565:$R565,MATCH("Pipeline Stage",$A$1:$R$1,0)),"")&amp;""</f>
        <v/>
      </c>
      <c r="AC565" s="9">
        <f>IFERROR(INDEX($A565:$R565,MATCH("Client",$A$1:$R$1,0)),"")&amp;""</f>
        <v/>
      </c>
      <c r="AD565" s="9">
        <f>IFERROR(INDEX($A565:$R565,MATCH("Description",$A$1:$R$1,0)),"")&amp;""</f>
        <v/>
      </c>
      <c r="AE565" s="9">
        <f>IFERROR(INDEX($A565:$R565,MATCH("Job Number",$A$1:$R$1,0)),"")&amp;""</f>
        <v/>
      </c>
      <c r="AF565" s="54">
        <f>IF(AND(T565="Open",ISNUMBER(Z565),Z565&lt;EOMONTH(set_AsAt,-1)+1),3,0)</f>
        <v/>
      </c>
      <c r="AG565" s="54">
        <f>IF(AND(T565="Open",U565&gt;0,U565&gt;=set_DealShare*SUMIFS($U$2:$U$601,$T$2:$T$601,"Open")),3,0)</f>
        <v/>
      </c>
      <c r="AH565" s="54">
        <f>IF(AND(T565="Open",U565&gt;=set_BigValue,W565&lt;=set_EarlyProb),2,0)</f>
        <v/>
      </c>
      <c r="AI565" s="54">
        <f>IF(AND(OR(T565="Open",T565="Won"),V565=0),2,0)</f>
        <v/>
      </c>
      <c r="AJ565" s="54">
        <f>IF(AND(T565="Won",Y565&gt;0.5,ISNUMBER(Z565),Z565&lt;EOMONTH(set_AsAt,-1)+1),3,0)</f>
        <v/>
      </c>
      <c r="AK565" s="54">
        <f>IF(AND(T565="Won",Y565&lt;-1),1,0)</f>
        <v/>
      </c>
      <c r="AL565" s="54">
        <f>SUM(AF565:AK565)</f>
        <v/>
      </c>
      <c r="AM565" s="9">
        <f>IF(AL565&gt;=set_ScoreHigh,"High",IF(AL565&gt;=set_ScoreMed,"Medium",IF(AL565&gt;0,"Low","OK")))</f>
        <v/>
      </c>
      <c r="AN565" s="54">
        <f>IF(OR(T565="Open",AND(T565="Won",ABS(Y565)&gt;0.5)),1,0)</f>
        <v/>
      </c>
      <c r="AO565" s="52">
        <f>IF(T565="Open",IF(V565=0,0,X565),IF(T565="Won",MAX(0,Y565),0))</f>
        <v/>
      </c>
      <c r="AP565" s="54">
        <f>IF(AN565=1,AL565*1E+9+U565+ROW()/1E+6,"")</f>
        <v/>
      </c>
      <c r="AQ565" s="9">
        <f>MID(IF(AF565&gt;0,"; Expected month passed - update Zoho","")&amp;IF(AG565&gt;0,"; "&amp;TEXT(U565/MAX(1,SUMIFS($U$2:$U$601,$T$2:$T$601,"Open")),"0%")&amp;" of open pipeline in one deal","")&amp;IF(AH565&gt;0,"; Large deal at an early stage","")&amp;IF(AI565&gt;0,"; No amount in Zoho","")&amp;IF(AJ565&gt;0,"; Won, invoice month passed, not fully invoiced","")&amp;IF(AK565&gt;0,"; Xero invoiced more than the deal value",""),3,300)</f>
        <v/>
      </c>
    </row>
    <row r="566">
      <c r="T566" s="9">
        <f>IFERROR(INDEX($A566:$R566,MATCH("Status",$A$1:$R$1,0)),"")&amp;""</f>
        <v/>
      </c>
      <c r="U566" s="52">
        <f>IFERROR(N(IFERROR(INDEX($A566:$R566,MATCH("Value Ex GST",$A$1:$R$1,0)),"")),0)</f>
        <v/>
      </c>
      <c r="V566" s="54">
        <f>IF(AND(T566&lt;&gt;"",IFERROR(INDEX($A566:$R566,MATCH("Value Ex GST",$A$1:$R$1,0)),"")&amp;""&lt;&gt;""),1,0)</f>
        <v/>
      </c>
      <c r="W566" s="56">
        <f>IFERROR(N(IFERROR(INDEX($A566:$R566,MATCH("Probability",$A$1:$R$1,0)),"")),0)</f>
        <v/>
      </c>
      <c r="X566" s="52">
        <f>IF(T566="Open",U566*W566,0)</f>
        <v/>
      </c>
      <c r="Y566" s="52">
        <f>IF(T566="Won",IFERROR(N(IFERROR(INDEX($A566:$R566,MATCH("Still to Invoice",$A$1:$R$1,0)),"")),0),0)</f>
        <v/>
      </c>
      <c r="Z566" s="55">
        <f>IFERROR(EOMONTH(IFERROR(INDEX($A566:$R566,MATCH("Expected Invoice Month",$A$1:$R$1,0)),""),0),"")</f>
        <v/>
      </c>
      <c r="AA566" s="9">
        <f>IFERROR(INDEX($A566:$R566,MATCH("Cost Centre",$A$1:$R$1,0)),"")&amp;""</f>
        <v/>
      </c>
      <c r="AB566" s="9">
        <f>IFERROR(INDEX($A566:$R566,MATCH("Pipeline Stage",$A$1:$R$1,0)),"")&amp;""</f>
        <v/>
      </c>
      <c r="AC566" s="9">
        <f>IFERROR(INDEX($A566:$R566,MATCH("Client",$A$1:$R$1,0)),"")&amp;""</f>
        <v/>
      </c>
      <c r="AD566" s="9">
        <f>IFERROR(INDEX($A566:$R566,MATCH("Description",$A$1:$R$1,0)),"")&amp;""</f>
        <v/>
      </c>
      <c r="AE566" s="9">
        <f>IFERROR(INDEX($A566:$R566,MATCH("Job Number",$A$1:$R$1,0)),"")&amp;""</f>
        <v/>
      </c>
      <c r="AF566" s="54">
        <f>IF(AND(T566="Open",ISNUMBER(Z566),Z566&lt;EOMONTH(set_AsAt,-1)+1),3,0)</f>
        <v/>
      </c>
      <c r="AG566" s="54">
        <f>IF(AND(T566="Open",U566&gt;0,U566&gt;=set_DealShare*SUMIFS($U$2:$U$601,$T$2:$T$601,"Open")),3,0)</f>
        <v/>
      </c>
      <c r="AH566" s="54">
        <f>IF(AND(T566="Open",U566&gt;=set_BigValue,W566&lt;=set_EarlyProb),2,0)</f>
        <v/>
      </c>
      <c r="AI566" s="54">
        <f>IF(AND(OR(T566="Open",T566="Won"),V566=0),2,0)</f>
        <v/>
      </c>
      <c r="AJ566" s="54">
        <f>IF(AND(T566="Won",Y566&gt;0.5,ISNUMBER(Z566),Z566&lt;EOMONTH(set_AsAt,-1)+1),3,0)</f>
        <v/>
      </c>
      <c r="AK566" s="54">
        <f>IF(AND(T566="Won",Y566&lt;-1),1,0)</f>
        <v/>
      </c>
      <c r="AL566" s="54">
        <f>SUM(AF566:AK566)</f>
        <v/>
      </c>
      <c r="AM566" s="9">
        <f>IF(AL566&gt;=set_ScoreHigh,"High",IF(AL566&gt;=set_ScoreMed,"Medium",IF(AL566&gt;0,"Low","OK")))</f>
        <v/>
      </c>
      <c r="AN566" s="54">
        <f>IF(OR(T566="Open",AND(T566="Won",ABS(Y566)&gt;0.5)),1,0)</f>
        <v/>
      </c>
      <c r="AO566" s="52">
        <f>IF(T566="Open",IF(V566=0,0,X566),IF(T566="Won",MAX(0,Y566),0))</f>
        <v/>
      </c>
      <c r="AP566" s="54">
        <f>IF(AN566=1,AL566*1E+9+U566+ROW()/1E+6,"")</f>
        <v/>
      </c>
      <c r="AQ566" s="9">
        <f>MID(IF(AF566&gt;0,"; Expected month passed - update Zoho","")&amp;IF(AG566&gt;0,"; "&amp;TEXT(U566/MAX(1,SUMIFS($U$2:$U$601,$T$2:$T$601,"Open")),"0%")&amp;" of open pipeline in one deal","")&amp;IF(AH566&gt;0,"; Large deal at an early stage","")&amp;IF(AI566&gt;0,"; No amount in Zoho","")&amp;IF(AJ566&gt;0,"; Won, invoice month passed, not fully invoiced","")&amp;IF(AK566&gt;0,"; Xero invoiced more than the deal value",""),3,300)</f>
        <v/>
      </c>
    </row>
    <row r="567">
      <c r="T567" s="9">
        <f>IFERROR(INDEX($A567:$R567,MATCH("Status",$A$1:$R$1,0)),"")&amp;""</f>
        <v/>
      </c>
      <c r="U567" s="52">
        <f>IFERROR(N(IFERROR(INDEX($A567:$R567,MATCH("Value Ex GST",$A$1:$R$1,0)),"")),0)</f>
        <v/>
      </c>
      <c r="V567" s="54">
        <f>IF(AND(T567&lt;&gt;"",IFERROR(INDEX($A567:$R567,MATCH("Value Ex GST",$A$1:$R$1,0)),"")&amp;""&lt;&gt;""),1,0)</f>
        <v/>
      </c>
      <c r="W567" s="56">
        <f>IFERROR(N(IFERROR(INDEX($A567:$R567,MATCH("Probability",$A$1:$R$1,0)),"")),0)</f>
        <v/>
      </c>
      <c r="X567" s="52">
        <f>IF(T567="Open",U567*W567,0)</f>
        <v/>
      </c>
      <c r="Y567" s="52">
        <f>IF(T567="Won",IFERROR(N(IFERROR(INDEX($A567:$R567,MATCH("Still to Invoice",$A$1:$R$1,0)),"")),0),0)</f>
        <v/>
      </c>
      <c r="Z567" s="55">
        <f>IFERROR(EOMONTH(IFERROR(INDEX($A567:$R567,MATCH("Expected Invoice Month",$A$1:$R$1,0)),""),0),"")</f>
        <v/>
      </c>
      <c r="AA567" s="9">
        <f>IFERROR(INDEX($A567:$R567,MATCH("Cost Centre",$A$1:$R$1,0)),"")&amp;""</f>
        <v/>
      </c>
      <c r="AB567" s="9">
        <f>IFERROR(INDEX($A567:$R567,MATCH("Pipeline Stage",$A$1:$R$1,0)),"")&amp;""</f>
        <v/>
      </c>
      <c r="AC567" s="9">
        <f>IFERROR(INDEX($A567:$R567,MATCH("Client",$A$1:$R$1,0)),"")&amp;""</f>
        <v/>
      </c>
      <c r="AD567" s="9">
        <f>IFERROR(INDEX($A567:$R567,MATCH("Description",$A$1:$R$1,0)),"")&amp;""</f>
        <v/>
      </c>
      <c r="AE567" s="9">
        <f>IFERROR(INDEX($A567:$R567,MATCH("Job Number",$A$1:$R$1,0)),"")&amp;""</f>
        <v/>
      </c>
      <c r="AF567" s="54">
        <f>IF(AND(T567="Open",ISNUMBER(Z567),Z567&lt;EOMONTH(set_AsAt,-1)+1),3,0)</f>
        <v/>
      </c>
      <c r="AG567" s="54">
        <f>IF(AND(T567="Open",U567&gt;0,U567&gt;=set_DealShare*SUMIFS($U$2:$U$601,$T$2:$T$601,"Open")),3,0)</f>
        <v/>
      </c>
      <c r="AH567" s="54">
        <f>IF(AND(T567="Open",U567&gt;=set_BigValue,W567&lt;=set_EarlyProb),2,0)</f>
        <v/>
      </c>
      <c r="AI567" s="54">
        <f>IF(AND(OR(T567="Open",T567="Won"),V567=0),2,0)</f>
        <v/>
      </c>
      <c r="AJ567" s="54">
        <f>IF(AND(T567="Won",Y567&gt;0.5,ISNUMBER(Z567),Z567&lt;EOMONTH(set_AsAt,-1)+1),3,0)</f>
        <v/>
      </c>
      <c r="AK567" s="54">
        <f>IF(AND(T567="Won",Y567&lt;-1),1,0)</f>
        <v/>
      </c>
      <c r="AL567" s="54">
        <f>SUM(AF567:AK567)</f>
        <v/>
      </c>
      <c r="AM567" s="9">
        <f>IF(AL567&gt;=set_ScoreHigh,"High",IF(AL567&gt;=set_ScoreMed,"Medium",IF(AL567&gt;0,"Low","OK")))</f>
        <v/>
      </c>
      <c r="AN567" s="54">
        <f>IF(OR(T567="Open",AND(T567="Won",ABS(Y567)&gt;0.5)),1,0)</f>
        <v/>
      </c>
      <c r="AO567" s="52">
        <f>IF(T567="Open",IF(V567=0,0,X567),IF(T567="Won",MAX(0,Y567),0))</f>
        <v/>
      </c>
      <c r="AP567" s="54">
        <f>IF(AN567=1,AL567*1E+9+U567+ROW()/1E+6,"")</f>
        <v/>
      </c>
      <c r="AQ567" s="9">
        <f>MID(IF(AF567&gt;0,"; Expected month passed - update Zoho","")&amp;IF(AG567&gt;0,"; "&amp;TEXT(U567/MAX(1,SUMIFS($U$2:$U$601,$T$2:$T$601,"Open")),"0%")&amp;" of open pipeline in one deal","")&amp;IF(AH567&gt;0,"; Large deal at an early stage","")&amp;IF(AI567&gt;0,"; No amount in Zoho","")&amp;IF(AJ567&gt;0,"; Won, invoice month passed, not fully invoiced","")&amp;IF(AK567&gt;0,"; Xero invoiced more than the deal value",""),3,300)</f>
        <v/>
      </c>
    </row>
    <row r="568">
      <c r="T568" s="9">
        <f>IFERROR(INDEX($A568:$R568,MATCH("Status",$A$1:$R$1,0)),"")&amp;""</f>
        <v/>
      </c>
      <c r="U568" s="52">
        <f>IFERROR(N(IFERROR(INDEX($A568:$R568,MATCH("Value Ex GST",$A$1:$R$1,0)),"")),0)</f>
        <v/>
      </c>
      <c r="V568" s="54">
        <f>IF(AND(T568&lt;&gt;"",IFERROR(INDEX($A568:$R568,MATCH("Value Ex GST",$A$1:$R$1,0)),"")&amp;""&lt;&gt;""),1,0)</f>
        <v/>
      </c>
      <c r="W568" s="56">
        <f>IFERROR(N(IFERROR(INDEX($A568:$R568,MATCH("Probability",$A$1:$R$1,0)),"")),0)</f>
        <v/>
      </c>
      <c r="X568" s="52">
        <f>IF(T568="Open",U568*W568,0)</f>
        <v/>
      </c>
      <c r="Y568" s="52">
        <f>IF(T568="Won",IFERROR(N(IFERROR(INDEX($A568:$R568,MATCH("Still to Invoice",$A$1:$R$1,0)),"")),0),0)</f>
        <v/>
      </c>
      <c r="Z568" s="55">
        <f>IFERROR(EOMONTH(IFERROR(INDEX($A568:$R568,MATCH("Expected Invoice Month",$A$1:$R$1,0)),""),0),"")</f>
        <v/>
      </c>
      <c r="AA568" s="9">
        <f>IFERROR(INDEX($A568:$R568,MATCH("Cost Centre",$A$1:$R$1,0)),"")&amp;""</f>
        <v/>
      </c>
      <c r="AB568" s="9">
        <f>IFERROR(INDEX($A568:$R568,MATCH("Pipeline Stage",$A$1:$R$1,0)),"")&amp;""</f>
        <v/>
      </c>
      <c r="AC568" s="9">
        <f>IFERROR(INDEX($A568:$R568,MATCH("Client",$A$1:$R$1,0)),"")&amp;""</f>
        <v/>
      </c>
      <c r="AD568" s="9">
        <f>IFERROR(INDEX($A568:$R568,MATCH("Description",$A$1:$R$1,0)),"")&amp;""</f>
        <v/>
      </c>
      <c r="AE568" s="9">
        <f>IFERROR(INDEX($A568:$R568,MATCH("Job Number",$A$1:$R$1,0)),"")&amp;""</f>
        <v/>
      </c>
      <c r="AF568" s="54">
        <f>IF(AND(T568="Open",ISNUMBER(Z568),Z568&lt;EOMONTH(set_AsAt,-1)+1),3,0)</f>
        <v/>
      </c>
      <c r="AG568" s="54">
        <f>IF(AND(T568="Open",U568&gt;0,U568&gt;=set_DealShare*SUMIFS($U$2:$U$601,$T$2:$T$601,"Open")),3,0)</f>
        <v/>
      </c>
      <c r="AH568" s="54">
        <f>IF(AND(T568="Open",U568&gt;=set_BigValue,W568&lt;=set_EarlyProb),2,0)</f>
        <v/>
      </c>
      <c r="AI568" s="54">
        <f>IF(AND(OR(T568="Open",T568="Won"),V568=0),2,0)</f>
        <v/>
      </c>
      <c r="AJ568" s="54">
        <f>IF(AND(T568="Won",Y568&gt;0.5,ISNUMBER(Z568),Z568&lt;EOMONTH(set_AsAt,-1)+1),3,0)</f>
        <v/>
      </c>
      <c r="AK568" s="54">
        <f>IF(AND(T568="Won",Y568&lt;-1),1,0)</f>
        <v/>
      </c>
      <c r="AL568" s="54">
        <f>SUM(AF568:AK568)</f>
        <v/>
      </c>
      <c r="AM568" s="9">
        <f>IF(AL568&gt;=set_ScoreHigh,"High",IF(AL568&gt;=set_ScoreMed,"Medium",IF(AL568&gt;0,"Low","OK")))</f>
        <v/>
      </c>
      <c r="AN568" s="54">
        <f>IF(OR(T568="Open",AND(T568="Won",ABS(Y568)&gt;0.5)),1,0)</f>
        <v/>
      </c>
      <c r="AO568" s="52">
        <f>IF(T568="Open",IF(V568=0,0,X568),IF(T568="Won",MAX(0,Y568),0))</f>
        <v/>
      </c>
      <c r="AP568" s="54">
        <f>IF(AN568=1,AL568*1E+9+U568+ROW()/1E+6,"")</f>
        <v/>
      </c>
      <c r="AQ568" s="9">
        <f>MID(IF(AF568&gt;0,"; Expected month passed - update Zoho","")&amp;IF(AG568&gt;0,"; "&amp;TEXT(U568/MAX(1,SUMIFS($U$2:$U$601,$T$2:$T$601,"Open")),"0%")&amp;" of open pipeline in one deal","")&amp;IF(AH568&gt;0,"; Large deal at an early stage","")&amp;IF(AI568&gt;0,"; No amount in Zoho","")&amp;IF(AJ568&gt;0,"; Won, invoice month passed, not fully invoiced","")&amp;IF(AK568&gt;0,"; Xero invoiced more than the deal value",""),3,300)</f>
        <v/>
      </c>
    </row>
    <row r="569">
      <c r="T569" s="9">
        <f>IFERROR(INDEX($A569:$R569,MATCH("Status",$A$1:$R$1,0)),"")&amp;""</f>
        <v/>
      </c>
      <c r="U569" s="52">
        <f>IFERROR(N(IFERROR(INDEX($A569:$R569,MATCH("Value Ex GST",$A$1:$R$1,0)),"")),0)</f>
        <v/>
      </c>
      <c r="V569" s="54">
        <f>IF(AND(T569&lt;&gt;"",IFERROR(INDEX($A569:$R569,MATCH("Value Ex GST",$A$1:$R$1,0)),"")&amp;""&lt;&gt;""),1,0)</f>
        <v/>
      </c>
      <c r="W569" s="56">
        <f>IFERROR(N(IFERROR(INDEX($A569:$R569,MATCH("Probability",$A$1:$R$1,0)),"")),0)</f>
        <v/>
      </c>
      <c r="X569" s="52">
        <f>IF(T569="Open",U569*W569,0)</f>
        <v/>
      </c>
      <c r="Y569" s="52">
        <f>IF(T569="Won",IFERROR(N(IFERROR(INDEX($A569:$R569,MATCH("Still to Invoice",$A$1:$R$1,0)),"")),0),0)</f>
        <v/>
      </c>
      <c r="Z569" s="55">
        <f>IFERROR(EOMONTH(IFERROR(INDEX($A569:$R569,MATCH("Expected Invoice Month",$A$1:$R$1,0)),""),0),"")</f>
        <v/>
      </c>
      <c r="AA569" s="9">
        <f>IFERROR(INDEX($A569:$R569,MATCH("Cost Centre",$A$1:$R$1,0)),"")&amp;""</f>
        <v/>
      </c>
      <c r="AB569" s="9">
        <f>IFERROR(INDEX($A569:$R569,MATCH("Pipeline Stage",$A$1:$R$1,0)),"")&amp;""</f>
        <v/>
      </c>
      <c r="AC569" s="9">
        <f>IFERROR(INDEX($A569:$R569,MATCH("Client",$A$1:$R$1,0)),"")&amp;""</f>
        <v/>
      </c>
      <c r="AD569" s="9">
        <f>IFERROR(INDEX($A569:$R569,MATCH("Description",$A$1:$R$1,0)),"")&amp;""</f>
        <v/>
      </c>
      <c r="AE569" s="9">
        <f>IFERROR(INDEX($A569:$R569,MATCH("Job Number",$A$1:$R$1,0)),"")&amp;""</f>
        <v/>
      </c>
      <c r="AF569" s="54">
        <f>IF(AND(T569="Open",ISNUMBER(Z569),Z569&lt;EOMONTH(set_AsAt,-1)+1),3,0)</f>
        <v/>
      </c>
      <c r="AG569" s="54">
        <f>IF(AND(T569="Open",U569&gt;0,U569&gt;=set_DealShare*SUMIFS($U$2:$U$601,$T$2:$T$601,"Open")),3,0)</f>
        <v/>
      </c>
      <c r="AH569" s="54">
        <f>IF(AND(T569="Open",U569&gt;=set_BigValue,W569&lt;=set_EarlyProb),2,0)</f>
        <v/>
      </c>
      <c r="AI569" s="54">
        <f>IF(AND(OR(T569="Open",T569="Won"),V569=0),2,0)</f>
        <v/>
      </c>
      <c r="AJ569" s="54">
        <f>IF(AND(T569="Won",Y569&gt;0.5,ISNUMBER(Z569),Z569&lt;EOMONTH(set_AsAt,-1)+1),3,0)</f>
        <v/>
      </c>
      <c r="AK569" s="54">
        <f>IF(AND(T569="Won",Y569&lt;-1),1,0)</f>
        <v/>
      </c>
      <c r="AL569" s="54">
        <f>SUM(AF569:AK569)</f>
        <v/>
      </c>
      <c r="AM569" s="9">
        <f>IF(AL569&gt;=set_ScoreHigh,"High",IF(AL569&gt;=set_ScoreMed,"Medium",IF(AL569&gt;0,"Low","OK")))</f>
        <v/>
      </c>
      <c r="AN569" s="54">
        <f>IF(OR(T569="Open",AND(T569="Won",ABS(Y569)&gt;0.5)),1,0)</f>
        <v/>
      </c>
      <c r="AO569" s="52">
        <f>IF(T569="Open",IF(V569=0,0,X569),IF(T569="Won",MAX(0,Y569),0))</f>
        <v/>
      </c>
      <c r="AP569" s="54">
        <f>IF(AN569=1,AL569*1E+9+U569+ROW()/1E+6,"")</f>
        <v/>
      </c>
      <c r="AQ569" s="9">
        <f>MID(IF(AF569&gt;0,"; Expected month passed - update Zoho","")&amp;IF(AG569&gt;0,"; "&amp;TEXT(U569/MAX(1,SUMIFS($U$2:$U$601,$T$2:$T$601,"Open")),"0%")&amp;" of open pipeline in one deal","")&amp;IF(AH569&gt;0,"; Large deal at an early stage","")&amp;IF(AI569&gt;0,"; No amount in Zoho","")&amp;IF(AJ569&gt;0,"; Won, invoice month passed, not fully invoiced","")&amp;IF(AK569&gt;0,"; Xero invoiced more than the deal value",""),3,300)</f>
        <v/>
      </c>
    </row>
    <row r="570">
      <c r="T570" s="9">
        <f>IFERROR(INDEX($A570:$R570,MATCH("Status",$A$1:$R$1,0)),"")&amp;""</f>
        <v/>
      </c>
      <c r="U570" s="52">
        <f>IFERROR(N(IFERROR(INDEX($A570:$R570,MATCH("Value Ex GST",$A$1:$R$1,0)),"")),0)</f>
        <v/>
      </c>
      <c r="V570" s="54">
        <f>IF(AND(T570&lt;&gt;"",IFERROR(INDEX($A570:$R570,MATCH("Value Ex GST",$A$1:$R$1,0)),"")&amp;""&lt;&gt;""),1,0)</f>
        <v/>
      </c>
      <c r="W570" s="56">
        <f>IFERROR(N(IFERROR(INDEX($A570:$R570,MATCH("Probability",$A$1:$R$1,0)),"")),0)</f>
        <v/>
      </c>
      <c r="X570" s="52">
        <f>IF(T570="Open",U570*W570,0)</f>
        <v/>
      </c>
      <c r="Y570" s="52">
        <f>IF(T570="Won",IFERROR(N(IFERROR(INDEX($A570:$R570,MATCH("Still to Invoice",$A$1:$R$1,0)),"")),0),0)</f>
        <v/>
      </c>
      <c r="Z570" s="55">
        <f>IFERROR(EOMONTH(IFERROR(INDEX($A570:$R570,MATCH("Expected Invoice Month",$A$1:$R$1,0)),""),0),"")</f>
        <v/>
      </c>
      <c r="AA570" s="9">
        <f>IFERROR(INDEX($A570:$R570,MATCH("Cost Centre",$A$1:$R$1,0)),"")&amp;""</f>
        <v/>
      </c>
      <c r="AB570" s="9">
        <f>IFERROR(INDEX($A570:$R570,MATCH("Pipeline Stage",$A$1:$R$1,0)),"")&amp;""</f>
        <v/>
      </c>
      <c r="AC570" s="9">
        <f>IFERROR(INDEX($A570:$R570,MATCH("Client",$A$1:$R$1,0)),"")&amp;""</f>
        <v/>
      </c>
      <c r="AD570" s="9">
        <f>IFERROR(INDEX($A570:$R570,MATCH("Description",$A$1:$R$1,0)),"")&amp;""</f>
        <v/>
      </c>
      <c r="AE570" s="9">
        <f>IFERROR(INDEX($A570:$R570,MATCH("Job Number",$A$1:$R$1,0)),"")&amp;""</f>
        <v/>
      </c>
      <c r="AF570" s="54">
        <f>IF(AND(T570="Open",ISNUMBER(Z570),Z570&lt;EOMONTH(set_AsAt,-1)+1),3,0)</f>
        <v/>
      </c>
      <c r="AG570" s="54">
        <f>IF(AND(T570="Open",U570&gt;0,U570&gt;=set_DealShare*SUMIFS($U$2:$U$601,$T$2:$T$601,"Open")),3,0)</f>
        <v/>
      </c>
      <c r="AH570" s="54">
        <f>IF(AND(T570="Open",U570&gt;=set_BigValue,W570&lt;=set_EarlyProb),2,0)</f>
        <v/>
      </c>
      <c r="AI570" s="54">
        <f>IF(AND(OR(T570="Open",T570="Won"),V570=0),2,0)</f>
        <v/>
      </c>
      <c r="AJ570" s="54">
        <f>IF(AND(T570="Won",Y570&gt;0.5,ISNUMBER(Z570),Z570&lt;EOMONTH(set_AsAt,-1)+1),3,0)</f>
        <v/>
      </c>
      <c r="AK570" s="54">
        <f>IF(AND(T570="Won",Y570&lt;-1),1,0)</f>
        <v/>
      </c>
      <c r="AL570" s="54">
        <f>SUM(AF570:AK570)</f>
        <v/>
      </c>
      <c r="AM570" s="9">
        <f>IF(AL570&gt;=set_ScoreHigh,"High",IF(AL570&gt;=set_ScoreMed,"Medium",IF(AL570&gt;0,"Low","OK")))</f>
        <v/>
      </c>
      <c r="AN570" s="54">
        <f>IF(OR(T570="Open",AND(T570="Won",ABS(Y570)&gt;0.5)),1,0)</f>
        <v/>
      </c>
      <c r="AO570" s="52">
        <f>IF(T570="Open",IF(V570=0,0,X570),IF(T570="Won",MAX(0,Y570),0))</f>
        <v/>
      </c>
      <c r="AP570" s="54">
        <f>IF(AN570=1,AL570*1E+9+U570+ROW()/1E+6,"")</f>
        <v/>
      </c>
      <c r="AQ570" s="9">
        <f>MID(IF(AF570&gt;0,"; Expected month passed - update Zoho","")&amp;IF(AG570&gt;0,"; "&amp;TEXT(U570/MAX(1,SUMIFS($U$2:$U$601,$T$2:$T$601,"Open")),"0%")&amp;" of open pipeline in one deal","")&amp;IF(AH570&gt;0,"; Large deal at an early stage","")&amp;IF(AI570&gt;0,"; No amount in Zoho","")&amp;IF(AJ570&gt;0,"; Won, invoice month passed, not fully invoiced","")&amp;IF(AK570&gt;0,"; Xero invoiced more than the deal value",""),3,300)</f>
        <v/>
      </c>
    </row>
    <row r="571">
      <c r="T571" s="9">
        <f>IFERROR(INDEX($A571:$R571,MATCH("Status",$A$1:$R$1,0)),"")&amp;""</f>
        <v/>
      </c>
      <c r="U571" s="52">
        <f>IFERROR(N(IFERROR(INDEX($A571:$R571,MATCH("Value Ex GST",$A$1:$R$1,0)),"")),0)</f>
        <v/>
      </c>
      <c r="V571" s="54">
        <f>IF(AND(T571&lt;&gt;"",IFERROR(INDEX($A571:$R571,MATCH("Value Ex GST",$A$1:$R$1,0)),"")&amp;""&lt;&gt;""),1,0)</f>
        <v/>
      </c>
      <c r="W571" s="56">
        <f>IFERROR(N(IFERROR(INDEX($A571:$R571,MATCH("Probability",$A$1:$R$1,0)),"")),0)</f>
        <v/>
      </c>
      <c r="X571" s="52">
        <f>IF(T571="Open",U571*W571,0)</f>
        <v/>
      </c>
      <c r="Y571" s="52">
        <f>IF(T571="Won",IFERROR(N(IFERROR(INDEX($A571:$R571,MATCH("Still to Invoice",$A$1:$R$1,0)),"")),0),0)</f>
        <v/>
      </c>
      <c r="Z571" s="55">
        <f>IFERROR(EOMONTH(IFERROR(INDEX($A571:$R571,MATCH("Expected Invoice Month",$A$1:$R$1,0)),""),0),"")</f>
        <v/>
      </c>
      <c r="AA571" s="9">
        <f>IFERROR(INDEX($A571:$R571,MATCH("Cost Centre",$A$1:$R$1,0)),"")&amp;""</f>
        <v/>
      </c>
      <c r="AB571" s="9">
        <f>IFERROR(INDEX($A571:$R571,MATCH("Pipeline Stage",$A$1:$R$1,0)),"")&amp;""</f>
        <v/>
      </c>
      <c r="AC571" s="9">
        <f>IFERROR(INDEX($A571:$R571,MATCH("Client",$A$1:$R$1,0)),"")&amp;""</f>
        <v/>
      </c>
      <c r="AD571" s="9">
        <f>IFERROR(INDEX($A571:$R571,MATCH("Description",$A$1:$R$1,0)),"")&amp;""</f>
        <v/>
      </c>
      <c r="AE571" s="9">
        <f>IFERROR(INDEX($A571:$R571,MATCH("Job Number",$A$1:$R$1,0)),"")&amp;""</f>
        <v/>
      </c>
      <c r="AF571" s="54">
        <f>IF(AND(T571="Open",ISNUMBER(Z571),Z571&lt;EOMONTH(set_AsAt,-1)+1),3,0)</f>
        <v/>
      </c>
      <c r="AG571" s="54">
        <f>IF(AND(T571="Open",U571&gt;0,U571&gt;=set_DealShare*SUMIFS($U$2:$U$601,$T$2:$T$601,"Open")),3,0)</f>
        <v/>
      </c>
      <c r="AH571" s="54">
        <f>IF(AND(T571="Open",U571&gt;=set_BigValue,W571&lt;=set_EarlyProb),2,0)</f>
        <v/>
      </c>
      <c r="AI571" s="54">
        <f>IF(AND(OR(T571="Open",T571="Won"),V571=0),2,0)</f>
        <v/>
      </c>
      <c r="AJ571" s="54">
        <f>IF(AND(T571="Won",Y571&gt;0.5,ISNUMBER(Z571),Z571&lt;EOMONTH(set_AsAt,-1)+1),3,0)</f>
        <v/>
      </c>
      <c r="AK571" s="54">
        <f>IF(AND(T571="Won",Y571&lt;-1),1,0)</f>
        <v/>
      </c>
      <c r="AL571" s="54">
        <f>SUM(AF571:AK571)</f>
        <v/>
      </c>
      <c r="AM571" s="9">
        <f>IF(AL571&gt;=set_ScoreHigh,"High",IF(AL571&gt;=set_ScoreMed,"Medium",IF(AL571&gt;0,"Low","OK")))</f>
        <v/>
      </c>
      <c r="AN571" s="54">
        <f>IF(OR(T571="Open",AND(T571="Won",ABS(Y571)&gt;0.5)),1,0)</f>
        <v/>
      </c>
      <c r="AO571" s="52">
        <f>IF(T571="Open",IF(V571=0,0,X571),IF(T571="Won",MAX(0,Y571),0))</f>
        <v/>
      </c>
      <c r="AP571" s="54">
        <f>IF(AN571=1,AL571*1E+9+U571+ROW()/1E+6,"")</f>
        <v/>
      </c>
      <c r="AQ571" s="9">
        <f>MID(IF(AF571&gt;0,"; Expected month passed - update Zoho","")&amp;IF(AG571&gt;0,"; "&amp;TEXT(U571/MAX(1,SUMIFS($U$2:$U$601,$T$2:$T$601,"Open")),"0%")&amp;" of open pipeline in one deal","")&amp;IF(AH571&gt;0,"; Large deal at an early stage","")&amp;IF(AI571&gt;0,"; No amount in Zoho","")&amp;IF(AJ571&gt;0,"; Won, invoice month passed, not fully invoiced","")&amp;IF(AK571&gt;0,"; Xero invoiced more than the deal value",""),3,300)</f>
        <v/>
      </c>
    </row>
    <row r="572">
      <c r="T572" s="9">
        <f>IFERROR(INDEX($A572:$R572,MATCH("Status",$A$1:$R$1,0)),"")&amp;""</f>
        <v/>
      </c>
      <c r="U572" s="52">
        <f>IFERROR(N(IFERROR(INDEX($A572:$R572,MATCH("Value Ex GST",$A$1:$R$1,0)),"")),0)</f>
        <v/>
      </c>
      <c r="V572" s="54">
        <f>IF(AND(T572&lt;&gt;"",IFERROR(INDEX($A572:$R572,MATCH("Value Ex GST",$A$1:$R$1,0)),"")&amp;""&lt;&gt;""),1,0)</f>
        <v/>
      </c>
      <c r="W572" s="56">
        <f>IFERROR(N(IFERROR(INDEX($A572:$R572,MATCH("Probability",$A$1:$R$1,0)),"")),0)</f>
        <v/>
      </c>
      <c r="X572" s="52">
        <f>IF(T572="Open",U572*W572,0)</f>
        <v/>
      </c>
      <c r="Y572" s="52">
        <f>IF(T572="Won",IFERROR(N(IFERROR(INDEX($A572:$R572,MATCH("Still to Invoice",$A$1:$R$1,0)),"")),0),0)</f>
        <v/>
      </c>
      <c r="Z572" s="55">
        <f>IFERROR(EOMONTH(IFERROR(INDEX($A572:$R572,MATCH("Expected Invoice Month",$A$1:$R$1,0)),""),0),"")</f>
        <v/>
      </c>
      <c r="AA572" s="9">
        <f>IFERROR(INDEX($A572:$R572,MATCH("Cost Centre",$A$1:$R$1,0)),"")&amp;""</f>
        <v/>
      </c>
      <c r="AB572" s="9">
        <f>IFERROR(INDEX($A572:$R572,MATCH("Pipeline Stage",$A$1:$R$1,0)),"")&amp;""</f>
        <v/>
      </c>
      <c r="AC572" s="9">
        <f>IFERROR(INDEX($A572:$R572,MATCH("Client",$A$1:$R$1,0)),"")&amp;""</f>
        <v/>
      </c>
      <c r="AD572" s="9">
        <f>IFERROR(INDEX($A572:$R572,MATCH("Description",$A$1:$R$1,0)),"")&amp;""</f>
        <v/>
      </c>
      <c r="AE572" s="9">
        <f>IFERROR(INDEX($A572:$R572,MATCH("Job Number",$A$1:$R$1,0)),"")&amp;""</f>
        <v/>
      </c>
      <c r="AF572" s="54">
        <f>IF(AND(T572="Open",ISNUMBER(Z572),Z572&lt;EOMONTH(set_AsAt,-1)+1),3,0)</f>
        <v/>
      </c>
      <c r="AG572" s="54">
        <f>IF(AND(T572="Open",U572&gt;0,U572&gt;=set_DealShare*SUMIFS($U$2:$U$601,$T$2:$T$601,"Open")),3,0)</f>
        <v/>
      </c>
      <c r="AH572" s="54">
        <f>IF(AND(T572="Open",U572&gt;=set_BigValue,W572&lt;=set_EarlyProb),2,0)</f>
        <v/>
      </c>
      <c r="AI572" s="54">
        <f>IF(AND(OR(T572="Open",T572="Won"),V572=0),2,0)</f>
        <v/>
      </c>
      <c r="AJ572" s="54">
        <f>IF(AND(T572="Won",Y572&gt;0.5,ISNUMBER(Z572),Z572&lt;EOMONTH(set_AsAt,-1)+1),3,0)</f>
        <v/>
      </c>
      <c r="AK572" s="54">
        <f>IF(AND(T572="Won",Y572&lt;-1),1,0)</f>
        <v/>
      </c>
      <c r="AL572" s="54">
        <f>SUM(AF572:AK572)</f>
        <v/>
      </c>
      <c r="AM572" s="9">
        <f>IF(AL572&gt;=set_ScoreHigh,"High",IF(AL572&gt;=set_ScoreMed,"Medium",IF(AL572&gt;0,"Low","OK")))</f>
        <v/>
      </c>
      <c r="AN572" s="54">
        <f>IF(OR(T572="Open",AND(T572="Won",ABS(Y572)&gt;0.5)),1,0)</f>
        <v/>
      </c>
      <c r="AO572" s="52">
        <f>IF(T572="Open",IF(V572=0,0,X572),IF(T572="Won",MAX(0,Y572),0))</f>
        <v/>
      </c>
      <c r="AP572" s="54">
        <f>IF(AN572=1,AL572*1E+9+U572+ROW()/1E+6,"")</f>
        <v/>
      </c>
      <c r="AQ572" s="9">
        <f>MID(IF(AF572&gt;0,"; Expected month passed - update Zoho","")&amp;IF(AG572&gt;0,"; "&amp;TEXT(U572/MAX(1,SUMIFS($U$2:$U$601,$T$2:$T$601,"Open")),"0%")&amp;" of open pipeline in one deal","")&amp;IF(AH572&gt;0,"; Large deal at an early stage","")&amp;IF(AI572&gt;0,"; No amount in Zoho","")&amp;IF(AJ572&gt;0,"; Won, invoice month passed, not fully invoiced","")&amp;IF(AK572&gt;0,"; Xero invoiced more than the deal value",""),3,300)</f>
        <v/>
      </c>
    </row>
    <row r="573">
      <c r="T573" s="9">
        <f>IFERROR(INDEX($A573:$R573,MATCH("Status",$A$1:$R$1,0)),"")&amp;""</f>
        <v/>
      </c>
      <c r="U573" s="52">
        <f>IFERROR(N(IFERROR(INDEX($A573:$R573,MATCH("Value Ex GST",$A$1:$R$1,0)),"")),0)</f>
        <v/>
      </c>
      <c r="V573" s="54">
        <f>IF(AND(T573&lt;&gt;"",IFERROR(INDEX($A573:$R573,MATCH("Value Ex GST",$A$1:$R$1,0)),"")&amp;""&lt;&gt;""),1,0)</f>
        <v/>
      </c>
      <c r="W573" s="56">
        <f>IFERROR(N(IFERROR(INDEX($A573:$R573,MATCH("Probability",$A$1:$R$1,0)),"")),0)</f>
        <v/>
      </c>
      <c r="X573" s="52">
        <f>IF(T573="Open",U573*W573,0)</f>
        <v/>
      </c>
      <c r="Y573" s="52">
        <f>IF(T573="Won",IFERROR(N(IFERROR(INDEX($A573:$R573,MATCH("Still to Invoice",$A$1:$R$1,0)),"")),0),0)</f>
        <v/>
      </c>
      <c r="Z573" s="55">
        <f>IFERROR(EOMONTH(IFERROR(INDEX($A573:$R573,MATCH("Expected Invoice Month",$A$1:$R$1,0)),""),0),"")</f>
        <v/>
      </c>
      <c r="AA573" s="9">
        <f>IFERROR(INDEX($A573:$R573,MATCH("Cost Centre",$A$1:$R$1,0)),"")&amp;""</f>
        <v/>
      </c>
      <c r="AB573" s="9">
        <f>IFERROR(INDEX($A573:$R573,MATCH("Pipeline Stage",$A$1:$R$1,0)),"")&amp;""</f>
        <v/>
      </c>
      <c r="AC573" s="9">
        <f>IFERROR(INDEX($A573:$R573,MATCH("Client",$A$1:$R$1,0)),"")&amp;""</f>
        <v/>
      </c>
      <c r="AD573" s="9">
        <f>IFERROR(INDEX($A573:$R573,MATCH("Description",$A$1:$R$1,0)),"")&amp;""</f>
        <v/>
      </c>
      <c r="AE573" s="9">
        <f>IFERROR(INDEX($A573:$R573,MATCH("Job Number",$A$1:$R$1,0)),"")&amp;""</f>
        <v/>
      </c>
      <c r="AF573" s="54">
        <f>IF(AND(T573="Open",ISNUMBER(Z573),Z573&lt;EOMONTH(set_AsAt,-1)+1),3,0)</f>
        <v/>
      </c>
      <c r="AG573" s="54">
        <f>IF(AND(T573="Open",U573&gt;0,U573&gt;=set_DealShare*SUMIFS($U$2:$U$601,$T$2:$T$601,"Open")),3,0)</f>
        <v/>
      </c>
      <c r="AH573" s="54">
        <f>IF(AND(T573="Open",U573&gt;=set_BigValue,W573&lt;=set_EarlyProb),2,0)</f>
        <v/>
      </c>
      <c r="AI573" s="54">
        <f>IF(AND(OR(T573="Open",T573="Won"),V573=0),2,0)</f>
        <v/>
      </c>
      <c r="AJ573" s="54">
        <f>IF(AND(T573="Won",Y573&gt;0.5,ISNUMBER(Z573),Z573&lt;EOMONTH(set_AsAt,-1)+1),3,0)</f>
        <v/>
      </c>
      <c r="AK573" s="54">
        <f>IF(AND(T573="Won",Y573&lt;-1),1,0)</f>
        <v/>
      </c>
      <c r="AL573" s="54">
        <f>SUM(AF573:AK573)</f>
        <v/>
      </c>
      <c r="AM573" s="9">
        <f>IF(AL573&gt;=set_ScoreHigh,"High",IF(AL573&gt;=set_ScoreMed,"Medium",IF(AL573&gt;0,"Low","OK")))</f>
        <v/>
      </c>
      <c r="AN573" s="54">
        <f>IF(OR(T573="Open",AND(T573="Won",ABS(Y573)&gt;0.5)),1,0)</f>
        <v/>
      </c>
      <c r="AO573" s="52">
        <f>IF(T573="Open",IF(V573=0,0,X573),IF(T573="Won",MAX(0,Y573),0))</f>
        <v/>
      </c>
      <c r="AP573" s="54">
        <f>IF(AN573=1,AL573*1E+9+U573+ROW()/1E+6,"")</f>
        <v/>
      </c>
      <c r="AQ573" s="9">
        <f>MID(IF(AF573&gt;0,"; Expected month passed - update Zoho","")&amp;IF(AG573&gt;0,"; "&amp;TEXT(U573/MAX(1,SUMIFS($U$2:$U$601,$T$2:$T$601,"Open")),"0%")&amp;" of open pipeline in one deal","")&amp;IF(AH573&gt;0,"; Large deal at an early stage","")&amp;IF(AI573&gt;0,"; No amount in Zoho","")&amp;IF(AJ573&gt;0,"; Won, invoice month passed, not fully invoiced","")&amp;IF(AK573&gt;0,"; Xero invoiced more than the deal value",""),3,300)</f>
        <v/>
      </c>
    </row>
    <row r="574">
      <c r="T574" s="9">
        <f>IFERROR(INDEX($A574:$R574,MATCH("Status",$A$1:$R$1,0)),"")&amp;""</f>
        <v/>
      </c>
      <c r="U574" s="52">
        <f>IFERROR(N(IFERROR(INDEX($A574:$R574,MATCH("Value Ex GST",$A$1:$R$1,0)),"")),0)</f>
        <v/>
      </c>
      <c r="V574" s="54">
        <f>IF(AND(T574&lt;&gt;"",IFERROR(INDEX($A574:$R574,MATCH("Value Ex GST",$A$1:$R$1,0)),"")&amp;""&lt;&gt;""),1,0)</f>
        <v/>
      </c>
      <c r="W574" s="56">
        <f>IFERROR(N(IFERROR(INDEX($A574:$R574,MATCH("Probability",$A$1:$R$1,0)),"")),0)</f>
        <v/>
      </c>
      <c r="X574" s="52">
        <f>IF(T574="Open",U574*W574,0)</f>
        <v/>
      </c>
      <c r="Y574" s="52">
        <f>IF(T574="Won",IFERROR(N(IFERROR(INDEX($A574:$R574,MATCH("Still to Invoice",$A$1:$R$1,0)),"")),0),0)</f>
        <v/>
      </c>
      <c r="Z574" s="55">
        <f>IFERROR(EOMONTH(IFERROR(INDEX($A574:$R574,MATCH("Expected Invoice Month",$A$1:$R$1,0)),""),0),"")</f>
        <v/>
      </c>
      <c r="AA574" s="9">
        <f>IFERROR(INDEX($A574:$R574,MATCH("Cost Centre",$A$1:$R$1,0)),"")&amp;""</f>
        <v/>
      </c>
      <c r="AB574" s="9">
        <f>IFERROR(INDEX($A574:$R574,MATCH("Pipeline Stage",$A$1:$R$1,0)),"")&amp;""</f>
        <v/>
      </c>
      <c r="AC574" s="9">
        <f>IFERROR(INDEX($A574:$R574,MATCH("Client",$A$1:$R$1,0)),"")&amp;""</f>
        <v/>
      </c>
      <c r="AD574" s="9">
        <f>IFERROR(INDEX($A574:$R574,MATCH("Description",$A$1:$R$1,0)),"")&amp;""</f>
        <v/>
      </c>
      <c r="AE574" s="9">
        <f>IFERROR(INDEX($A574:$R574,MATCH("Job Number",$A$1:$R$1,0)),"")&amp;""</f>
        <v/>
      </c>
      <c r="AF574" s="54">
        <f>IF(AND(T574="Open",ISNUMBER(Z574),Z574&lt;EOMONTH(set_AsAt,-1)+1),3,0)</f>
        <v/>
      </c>
      <c r="AG574" s="54">
        <f>IF(AND(T574="Open",U574&gt;0,U574&gt;=set_DealShare*SUMIFS($U$2:$U$601,$T$2:$T$601,"Open")),3,0)</f>
        <v/>
      </c>
      <c r="AH574" s="54">
        <f>IF(AND(T574="Open",U574&gt;=set_BigValue,W574&lt;=set_EarlyProb),2,0)</f>
        <v/>
      </c>
      <c r="AI574" s="54">
        <f>IF(AND(OR(T574="Open",T574="Won"),V574=0),2,0)</f>
        <v/>
      </c>
      <c r="AJ574" s="54">
        <f>IF(AND(T574="Won",Y574&gt;0.5,ISNUMBER(Z574),Z574&lt;EOMONTH(set_AsAt,-1)+1),3,0)</f>
        <v/>
      </c>
      <c r="AK574" s="54">
        <f>IF(AND(T574="Won",Y574&lt;-1),1,0)</f>
        <v/>
      </c>
      <c r="AL574" s="54">
        <f>SUM(AF574:AK574)</f>
        <v/>
      </c>
      <c r="AM574" s="9">
        <f>IF(AL574&gt;=set_ScoreHigh,"High",IF(AL574&gt;=set_ScoreMed,"Medium",IF(AL574&gt;0,"Low","OK")))</f>
        <v/>
      </c>
      <c r="AN574" s="54">
        <f>IF(OR(T574="Open",AND(T574="Won",ABS(Y574)&gt;0.5)),1,0)</f>
        <v/>
      </c>
      <c r="AO574" s="52">
        <f>IF(T574="Open",IF(V574=0,0,X574),IF(T574="Won",MAX(0,Y574),0))</f>
        <v/>
      </c>
      <c r="AP574" s="54">
        <f>IF(AN574=1,AL574*1E+9+U574+ROW()/1E+6,"")</f>
        <v/>
      </c>
      <c r="AQ574" s="9">
        <f>MID(IF(AF574&gt;0,"; Expected month passed - update Zoho","")&amp;IF(AG574&gt;0,"; "&amp;TEXT(U574/MAX(1,SUMIFS($U$2:$U$601,$T$2:$T$601,"Open")),"0%")&amp;" of open pipeline in one deal","")&amp;IF(AH574&gt;0,"; Large deal at an early stage","")&amp;IF(AI574&gt;0,"; No amount in Zoho","")&amp;IF(AJ574&gt;0,"; Won, invoice month passed, not fully invoiced","")&amp;IF(AK574&gt;0,"; Xero invoiced more than the deal value",""),3,300)</f>
        <v/>
      </c>
    </row>
    <row r="575">
      <c r="T575" s="9">
        <f>IFERROR(INDEX($A575:$R575,MATCH("Status",$A$1:$R$1,0)),"")&amp;""</f>
        <v/>
      </c>
      <c r="U575" s="52">
        <f>IFERROR(N(IFERROR(INDEX($A575:$R575,MATCH("Value Ex GST",$A$1:$R$1,0)),"")),0)</f>
        <v/>
      </c>
      <c r="V575" s="54">
        <f>IF(AND(T575&lt;&gt;"",IFERROR(INDEX($A575:$R575,MATCH("Value Ex GST",$A$1:$R$1,0)),"")&amp;""&lt;&gt;""),1,0)</f>
        <v/>
      </c>
      <c r="W575" s="56">
        <f>IFERROR(N(IFERROR(INDEX($A575:$R575,MATCH("Probability",$A$1:$R$1,0)),"")),0)</f>
        <v/>
      </c>
      <c r="X575" s="52">
        <f>IF(T575="Open",U575*W575,0)</f>
        <v/>
      </c>
      <c r="Y575" s="52">
        <f>IF(T575="Won",IFERROR(N(IFERROR(INDEX($A575:$R575,MATCH("Still to Invoice",$A$1:$R$1,0)),"")),0),0)</f>
        <v/>
      </c>
      <c r="Z575" s="55">
        <f>IFERROR(EOMONTH(IFERROR(INDEX($A575:$R575,MATCH("Expected Invoice Month",$A$1:$R$1,0)),""),0),"")</f>
        <v/>
      </c>
      <c r="AA575" s="9">
        <f>IFERROR(INDEX($A575:$R575,MATCH("Cost Centre",$A$1:$R$1,0)),"")&amp;""</f>
        <v/>
      </c>
      <c r="AB575" s="9">
        <f>IFERROR(INDEX($A575:$R575,MATCH("Pipeline Stage",$A$1:$R$1,0)),"")&amp;""</f>
        <v/>
      </c>
      <c r="AC575" s="9">
        <f>IFERROR(INDEX($A575:$R575,MATCH("Client",$A$1:$R$1,0)),"")&amp;""</f>
        <v/>
      </c>
      <c r="AD575" s="9">
        <f>IFERROR(INDEX($A575:$R575,MATCH("Description",$A$1:$R$1,0)),"")&amp;""</f>
        <v/>
      </c>
      <c r="AE575" s="9">
        <f>IFERROR(INDEX($A575:$R575,MATCH("Job Number",$A$1:$R$1,0)),"")&amp;""</f>
        <v/>
      </c>
      <c r="AF575" s="54">
        <f>IF(AND(T575="Open",ISNUMBER(Z575),Z575&lt;EOMONTH(set_AsAt,-1)+1),3,0)</f>
        <v/>
      </c>
      <c r="AG575" s="54">
        <f>IF(AND(T575="Open",U575&gt;0,U575&gt;=set_DealShare*SUMIFS($U$2:$U$601,$T$2:$T$601,"Open")),3,0)</f>
        <v/>
      </c>
      <c r="AH575" s="54">
        <f>IF(AND(T575="Open",U575&gt;=set_BigValue,W575&lt;=set_EarlyProb),2,0)</f>
        <v/>
      </c>
      <c r="AI575" s="54">
        <f>IF(AND(OR(T575="Open",T575="Won"),V575=0),2,0)</f>
        <v/>
      </c>
      <c r="AJ575" s="54">
        <f>IF(AND(T575="Won",Y575&gt;0.5,ISNUMBER(Z575),Z575&lt;EOMONTH(set_AsAt,-1)+1),3,0)</f>
        <v/>
      </c>
      <c r="AK575" s="54">
        <f>IF(AND(T575="Won",Y575&lt;-1),1,0)</f>
        <v/>
      </c>
      <c r="AL575" s="54">
        <f>SUM(AF575:AK575)</f>
        <v/>
      </c>
      <c r="AM575" s="9">
        <f>IF(AL575&gt;=set_ScoreHigh,"High",IF(AL575&gt;=set_ScoreMed,"Medium",IF(AL575&gt;0,"Low","OK")))</f>
        <v/>
      </c>
      <c r="AN575" s="54">
        <f>IF(OR(T575="Open",AND(T575="Won",ABS(Y575)&gt;0.5)),1,0)</f>
        <v/>
      </c>
      <c r="AO575" s="52">
        <f>IF(T575="Open",IF(V575=0,0,X575),IF(T575="Won",MAX(0,Y575),0))</f>
        <v/>
      </c>
      <c r="AP575" s="54">
        <f>IF(AN575=1,AL575*1E+9+U575+ROW()/1E+6,"")</f>
        <v/>
      </c>
      <c r="AQ575" s="9">
        <f>MID(IF(AF575&gt;0,"; Expected month passed - update Zoho","")&amp;IF(AG575&gt;0,"; "&amp;TEXT(U575/MAX(1,SUMIFS($U$2:$U$601,$T$2:$T$601,"Open")),"0%")&amp;" of open pipeline in one deal","")&amp;IF(AH575&gt;0,"; Large deal at an early stage","")&amp;IF(AI575&gt;0,"; No amount in Zoho","")&amp;IF(AJ575&gt;0,"; Won, invoice month passed, not fully invoiced","")&amp;IF(AK575&gt;0,"; Xero invoiced more than the deal value",""),3,300)</f>
        <v/>
      </c>
    </row>
    <row r="576">
      <c r="T576" s="9">
        <f>IFERROR(INDEX($A576:$R576,MATCH("Status",$A$1:$R$1,0)),"")&amp;""</f>
        <v/>
      </c>
      <c r="U576" s="52">
        <f>IFERROR(N(IFERROR(INDEX($A576:$R576,MATCH("Value Ex GST",$A$1:$R$1,0)),"")),0)</f>
        <v/>
      </c>
      <c r="V576" s="54">
        <f>IF(AND(T576&lt;&gt;"",IFERROR(INDEX($A576:$R576,MATCH("Value Ex GST",$A$1:$R$1,0)),"")&amp;""&lt;&gt;""),1,0)</f>
        <v/>
      </c>
      <c r="W576" s="56">
        <f>IFERROR(N(IFERROR(INDEX($A576:$R576,MATCH("Probability",$A$1:$R$1,0)),"")),0)</f>
        <v/>
      </c>
      <c r="X576" s="52">
        <f>IF(T576="Open",U576*W576,0)</f>
        <v/>
      </c>
      <c r="Y576" s="52">
        <f>IF(T576="Won",IFERROR(N(IFERROR(INDEX($A576:$R576,MATCH("Still to Invoice",$A$1:$R$1,0)),"")),0),0)</f>
        <v/>
      </c>
      <c r="Z576" s="55">
        <f>IFERROR(EOMONTH(IFERROR(INDEX($A576:$R576,MATCH("Expected Invoice Month",$A$1:$R$1,0)),""),0),"")</f>
        <v/>
      </c>
      <c r="AA576" s="9">
        <f>IFERROR(INDEX($A576:$R576,MATCH("Cost Centre",$A$1:$R$1,0)),"")&amp;""</f>
        <v/>
      </c>
      <c r="AB576" s="9">
        <f>IFERROR(INDEX($A576:$R576,MATCH("Pipeline Stage",$A$1:$R$1,0)),"")&amp;""</f>
        <v/>
      </c>
      <c r="AC576" s="9">
        <f>IFERROR(INDEX($A576:$R576,MATCH("Client",$A$1:$R$1,0)),"")&amp;""</f>
        <v/>
      </c>
      <c r="AD576" s="9">
        <f>IFERROR(INDEX($A576:$R576,MATCH("Description",$A$1:$R$1,0)),"")&amp;""</f>
        <v/>
      </c>
      <c r="AE576" s="9">
        <f>IFERROR(INDEX($A576:$R576,MATCH("Job Number",$A$1:$R$1,0)),"")&amp;""</f>
        <v/>
      </c>
      <c r="AF576" s="54">
        <f>IF(AND(T576="Open",ISNUMBER(Z576),Z576&lt;EOMONTH(set_AsAt,-1)+1),3,0)</f>
        <v/>
      </c>
      <c r="AG576" s="54">
        <f>IF(AND(T576="Open",U576&gt;0,U576&gt;=set_DealShare*SUMIFS($U$2:$U$601,$T$2:$T$601,"Open")),3,0)</f>
        <v/>
      </c>
      <c r="AH576" s="54">
        <f>IF(AND(T576="Open",U576&gt;=set_BigValue,W576&lt;=set_EarlyProb),2,0)</f>
        <v/>
      </c>
      <c r="AI576" s="54">
        <f>IF(AND(OR(T576="Open",T576="Won"),V576=0),2,0)</f>
        <v/>
      </c>
      <c r="AJ576" s="54">
        <f>IF(AND(T576="Won",Y576&gt;0.5,ISNUMBER(Z576),Z576&lt;EOMONTH(set_AsAt,-1)+1),3,0)</f>
        <v/>
      </c>
      <c r="AK576" s="54">
        <f>IF(AND(T576="Won",Y576&lt;-1),1,0)</f>
        <v/>
      </c>
      <c r="AL576" s="54">
        <f>SUM(AF576:AK576)</f>
        <v/>
      </c>
      <c r="AM576" s="9">
        <f>IF(AL576&gt;=set_ScoreHigh,"High",IF(AL576&gt;=set_ScoreMed,"Medium",IF(AL576&gt;0,"Low","OK")))</f>
        <v/>
      </c>
      <c r="AN576" s="54">
        <f>IF(OR(T576="Open",AND(T576="Won",ABS(Y576)&gt;0.5)),1,0)</f>
        <v/>
      </c>
      <c r="AO576" s="52">
        <f>IF(T576="Open",IF(V576=0,0,X576),IF(T576="Won",MAX(0,Y576),0))</f>
        <v/>
      </c>
      <c r="AP576" s="54">
        <f>IF(AN576=1,AL576*1E+9+U576+ROW()/1E+6,"")</f>
        <v/>
      </c>
      <c r="AQ576" s="9">
        <f>MID(IF(AF576&gt;0,"; Expected month passed - update Zoho","")&amp;IF(AG576&gt;0,"; "&amp;TEXT(U576/MAX(1,SUMIFS($U$2:$U$601,$T$2:$T$601,"Open")),"0%")&amp;" of open pipeline in one deal","")&amp;IF(AH576&gt;0,"; Large deal at an early stage","")&amp;IF(AI576&gt;0,"; No amount in Zoho","")&amp;IF(AJ576&gt;0,"; Won, invoice month passed, not fully invoiced","")&amp;IF(AK576&gt;0,"; Xero invoiced more than the deal value",""),3,300)</f>
        <v/>
      </c>
    </row>
    <row r="577">
      <c r="T577" s="9">
        <f>IFERROR(INDEX($A577:$R577,MATCH("Status",$A$1:$R$1,0)),"")&amp;""</f>
        <v/>
      </c>
      <c r="U577" s="52">
        <f>IFERROR(N(IFERROR(INDEX($A577:$R577,MATCH("Value Ex GST",$A$1:$R$1,0)),"")),0)</f>
        <v/>
      </c>
      <c r="V577" s="54">
        <f>IF(AND(T577&lt;&gt;"",IFERROR(INDEX($A577:$R577,MATCH("Value Ex GST",$A$1:$R$1,0)),"")&amp;""&lt;&gt;""),1,0)</f>
        <v/>
      </c>
      <c r="W577" s="56">
        <f>IFERROR(N(IFERROR(INDEX($A577:$R577,MATCH("Probability",$A$1:$R$1,0)),"")),0)</f>
        <v/>
      </c>
      <c r="X577" s="52">
        <f>IF(T577="Open",U577*W577,0)</f>
        <v/>
      </c>
      <c r="Y577" s="52">
        <f>IF(T577="Won",IFERROR(N(IFERROR(INDEX($A577:$R577,MATCH("Still to Invoice",$A$1:$R$1,0)),"")),0),0)</f>
        <v/>
      </c>
      <c r="Z577" s="55">
        <f>IFERROR(EOMONTH(IFERROR(INDEX($A577:$R577,MATCH("Expected Invoice Month",$A$1:$R$1,0)),""),0),"")</f>
        <v/>
      </c>
      <c r="AA577" s="9">
        <f>IFERROR(INDEX($A577:$R577,MATCH("Cost Centre",$A$1:$R$1,0)),"")&amp;""</f>
        <v/>
      </c>
      <c r="AB577" s="9">
        <f>IFERROR(INDEX($A577:$R577,MATCH("Pipeline Stage",$A$1:$R$1,0)),"")&amp;""</f>
        <v/>
      </c>
      <c r="AC577" s="9">
        <f>IFERROR(INDEX($A577:$R577,MATCH("Client",$A$1:$R$1,0)),"")&amp;""</f>
        <v/>
      </c>
      <c r="AD577" s="9">
        <f>IFERROR(INDEX($A577:$R577,MATCH("Description",$A$1:$R$1,0)),"")&amp;""</f>
        <v/>
      </c>
      <c r="AE577" s="9">
        <f>IFERROR(INDEX($A577:$R577,MATCH("Job Number",$A$1:$R$1,0)),"")&amp;""</f>
        <v/>
      </c>
      <c r="AF577" s="54">
        <f>IF(AND(T577="Open",ISNUMBER(Z577),Z577&lt;EOMONTH(set_AsAt,-1)+1),3,0)</f>
        <v/>
      </c>
      <c r="AG577" s="54">
        <f>IF(AND(T577="Open",U577&gt;0,U577&gt;=set_DealShare*SUMIFS($U$2:$U$601,$T$2:$T$601,"Open")),3,0)</f>
        <v/>
      </c>
      <c r="AH577" s="54">
        <f>IF(AND(T577="Open",U577&gt;=set_BigValue,W577&lt;=set_EarlyProb),2,0)</f>
        <v/>
      </c>
      <c r="AI577" s="54">
        <f>IF(AND(OR(T577="Open",T577="Won"),V577=0),2,0)</f>
        <v/>
      </c>
      <c r="AJ577" s="54">
        <f>IF(AND(T577="Won",Y577&gt;0.5,ISNUMBER(Z577),Z577&lt;EOMONTH(set_AsAt,-1)+1),3,0)</f>
        <v/>
      </c>
      <c r="AK577" s="54">
        <f>IF(AND(T577="Won",Y577&lt;-1),1,0)</f>
        <v/>
      </c>
      <c r="AL577" s="54">
        <f>SUM(AF577:AK577)</f>
        <v/>
      </c>
      <c r="AM577" s="9">
        <f>IF(AL577&gt;=set_ScoreHigh,"High",IF(AL577&gt;=set_ScoreMed,"Medium",IF(AL577&gt;0,"Low","OK")))</f>
        <v/>
      </c>
      <c r="AN577" s="54">
        <f>IF(OR(T577="Open",AND(T577="Won",ABS(Y577)&gt;0.5)),1,0)</f>
        <v/>
      </c>
      <c r="AO577" s="52">
        <f>IF(T577="Open",IF(V577=0,0,X577),IF(T577="Won",MAX(0,Y577),0))</f>
        <v/>
      </c>
      <c r="AP577" s="54">
        <f>IF(AN577=1,AL577*1E+9+U577+ROW()/1E+6,"")</f>
        <v/>
      </c>
      <c r="AQ577" s="9">
        <f>MID(IF(AF577&gt;0,"; Expected month passed - update Zoho","")&amp;IF(AG577&gt;0,"; "&amp;TEXT(U577/MAX(1,SUMIFS($U$2:$U$601,$T$2:$T$601,"Open")),"0%")&amp;" of open pipeline in one deal","")&amp;IF(AH577&gt;0,"; Large deal at an early stage","")&amp;IF(AI577&gt;0,"; No amount in Zoho","")&amp;IF(AJ577&gt;0,"; Won, invoice month passed, not fully invoiced","")&amp;IF(AK577&gt;0,"; Xero invoiced more than the deal value",""),3,300)</f>
        <v/>
      </c>
    </row>
    <row r="578">
      <c r="T578" s="9">
        <f>IFERROR(INDEX($A578:$R578,MATCH("Status",$A$1:$R$1,0)),"")&amp;""</f>
        <v/>
      </c>
      <c r="U578" s="52">
        <f>IFERROR(N(IFERROR(INDEX($A578:$R578,MATCH("Value Ex GST",$A$1:$R$1,0)),"")),0)</f>
        <v/>
      </c>
      <c r="V578" s="54">
        <f>IF(AND(T578&lt;&gt;"",IFERROR(INDEX($A578:$R578,MATCH("Value Ex GST",$A$1:$R$1,0)),"")&amp;""&lt;&gt;""),1,0)</f>
        <v/>
      </c>
      <c r="W578" s="56">
        <f>IFERROR(N(IFERROR(INDEX($A578:$R578,MATCH("Probability",$A$1:$R$1,0)),"")),0)</f>
        <v/>
      </c>
      <c r="X578" s="52">
        <f>IF(T578="Open",U578*W578,0)</f>
        <v/>
      </c>
      <c r="Y578" s="52">
        <f>IF(T578="Won",IFERROR(N(IFERROR(INDEX($A578:$R578,MATCH("Still to Invoice",$A$1:$R$1,0)),"")),0),0)</f>
        <v/>
      </c>
      <c r="Z578" s="55">
        <f>IFERROR(EOMONTH(IFERROR(INDEX($A578:$R578,MATCH("Expected Invoice Month",$A$1:$R$1,0)),""),0),"")</f>
        <v/>
      </c>
      <c r="AA578" s="9">
        <f>IFERROR(INDEX($A578:$R578,MATCH("Cost Centre",$A$1:$R$1,0)),"")&amp;""</f>
        <v/>
      </c>
      <c r="AB578" s="9">
        <f>IFERROR(INDEX($A578:$R578,MATCH("Pipeline Stage",$A$1:$R$1,0)),"")&amp;""</f>
        <v/>
      </c>
      <c r="AC578" s="9">
        <f>IFERROR(INDEX($A578:$R578,MATCH("Client",$A$1:$R$1,0)),"")&amp;""</f>
        <v/>
      </c>
      <c r="AD578" s="9">
        <f>IFERROR(INDEX($A578:$R578,MATCH("Description",$A$1:$R$1,0)),"")&amp;""</f>
        <v/>
      </c>
      <c r="AE578" s="9">
        <f>IFERROR(INDEX($A578:$R578,MATCH("Job Number",$A$1:$R$1,0)),"")&amp;""</f>
        <v/>
      </c>
      <c r="AF578" s="54">
        <f>IF(AND(T578="Open",ISNUMBER(Z578),Z578&lt;EOMONTH(set_AsAt,-1)+1),3,0)</f>
        <v/>
      </c>
      <c r="AG578" s="54">
        <f>IF(AND(T578="Open",U578&gt;0,U578&gt;=set_DealShare*SUMIFS($U$2:$U$601,$T$2:$T$601,"Open")),3,0)</f>
        <v/>
      </c>
      <c r="AH578" s="54">
        <f>IF(AND(T578="Open",U578&gt;=set_BigValue,W578&lt;=set_EarlyProb),2,0)</f>
        <v/>
      </c>
      <c r="AI578" s="54">
        <f>IF(AND(OR(T578="Open",T578="Won"),V578=0),2,0)</f>
        <v/>
      </c>
      <c r="AJ578" s="54">
        <f>IF(AND(T578="Won",Y578&gt;0.5,ISNUMBER(Z578),Z578&lt;EOMONTH(set_AsAt,-1)+1),3,0)</f>
        <v/>
      </c>
      <c r="AK578" s="54">
        <f>IF(AND(T578="Won",Y578&lt;-1),1,0)</f>
        <v/>
      </c>
      <c r="AL578" s="54">
        <f>SUM(AF578:AK578)</f>
        <v/>
      </c>
      <c r="AM578" s="9">
        <f>IF(AL578&gt;=set_ScoreHigh,"High",IF(AL578&gt;=set_ScoreMed,"Medium",IF(AL578&gt;0,"Low","OK")))</f>
        <v/>
      </c>
      <c r="AN578" s="54">
        <f>IF(OR(T578="Open",AND(T578="Won",ABS(Y578)&gt;0.5)),1,0)</f>
        <v/>
      </c>
      <c r="AO578" s="52">
        <f>IF(T578="Open",IF(V578=0,0,X578),IF(T578="Won",MAX(0,Y578),0))</f>
        <v/>
      </c>
      <c r="AP578" s="54">
        <f>IF(AN578=1,AL578*1E+9+U578+ROW()/1E+6,"")</f>
        <v/>
      </c>
      <c r="AQ578" s="9">
        <f>MID(IF(AF578&gt;0,"; Expected month passed - update Zoho","")&amp;IF(AG578&gt;0,"; "&amp;TEXT(U578/MAX(1,SUMIFS($U$2:$U$601,$T$2:$T$601,"Open")),"0%")&amp;" of open pipeline in one deal","")&amp;IF(AH578&gt;0,"; Large deal at an early stage","")&amp;IF(AI578&gt;0,"; No amount in Zoho","")&amp;IF(AJ578&gt;0,"; Won, invoice month passed, not fully invoiced","")&amp;IF(AK578&gt;0,"; Xero invoiced more than the deal value",""),3,300)</f>
        <v/>
      </c>
    </row>
    <row r="579">
      <c r="T579" s="9">
        <f>IFERROR(INDEX($A579:$R579,MATCH("Status",$A$1:$R$1,0)),"")&amp;""</f>
        <v/>
      </c>
      <c r="U579" s="52">
        <f>IFERROR(N(IFERROR(INDEX($A579:$R579,MATCH("Value Ex GST",$A$1:$R$1,0)),"")),0)</f>
        <v/>
      </c>
      <c r="V579" s="54">
        <f>IF(AND(T579&lt;&gt;"",IFERROR(INDEX($A579:$R579,MATCH("Value Ex GST",$A$1:$R$1,0)),"")&amp;""&lt;&gt;""),1,0)</f>
        <v/>
      </c>
      <c r="W579" s="56">
        <f>IFERROR(N(IFERROR(INDEX($A579:$R579,MATCH("Probability",$A$1:$R$1,0)),"")),0)</f>
        <v/>
      </c>
      <c r="X579" s="52">
        <f>IF(T579="Open",U579*W579,0)</f>
        <v/>
      </c>
      <c r="Y579" s="52">
        <f>IF(T579="Won",IFERROR(N(IFERROR(INDEX($A579:$R579,MATCH("Still to Invoice",$A$1:$R$1,0)),"")),0),0)</f>
        <v/>
      </c>
      <c r="Z579" s="55">
        <f>IFERROR(EOMONTH(IFERROR(INDEX($A579:$R579,MATCH("Expected Invoice Month",$A$1:$R$1,0)),""),0),"")</f>
        <v/>
      </c>
      <c r="AA579" s="9">
        <f>IFERROR(INDEX($A579:$R579,MATCH("Cost Centre",$A$1:$R$1,0)),"")&amp;""</f>
        <v/>
      </c>
      <c r="AB579" s="9">
        <f>IFERROR(INDEX($A579:$R579,MATCH("Pipeline Stage",$A$1:$R$1,0)),"")&amp;""</f>
        <v/>
      </c>
      <c r="AC579" s="9">
        <f>IFERROR(INDEX($A579:$R579,MATCH("Client",$A$1:$R$1,0)),"")&amp;""</f>
        <v/>
      </c>
      <c r="AD579" s="9">
        <f>IFERROR(INDEX($A579:$R579,MATCH("Description",$A$1:$R$1,0)),"")&amp;""</f>
        <v/>
      </c>
      <c r="AE579" s="9">
        <f>IFERROR(INDEX($A579:$R579,MATCH("Job Number",$A$1:$R$1,0)),"")&amp;""</f>
        <v/>
      </c>
      <c r="AF579" s="54">
        <f>IF(AND(T579="Open",ISNUMBER(Z579),Z579&lt;EOMONTH(set_AsAt,-1)+1),3,0)</f>
        <v/>
      </c>
      <c r="AG579" s="54">
        <f>IF(AND(T579="Open",U579&gt;0,U579&gt;=set_DealShare*SUMIFS($U$2:$U$601,$T$2:$T$601,"Open")),3,0)</f>
        <v/>
      </c>
      <c r="AH579" s="54">
        <f>IF(AND(T579="Open",U579&gt;=set_BigValue,W579&lt;=set_EarlyProb),2,0)</f>
        <v/>
      </c>
      <c r="AI579" s="54">
        <f>IF(AND(OR(T579="Open",T579="Won"),V579=0),2,0)</f>
        <v/>
      </c>
      <c r="AJ579" s="54">
        <f>IF(AND(T579="Won",Y579&gt;0.5,ISNUMBER(Z579),Z579&lt;EOMONTH(set_AsAt,-1)+1),3,0)</f>
        <v/>
      </c>
      <c r="AK579" s="54">
        <f>IF(AND(T579="Won",Y579&lt;-1),1,0)</f>
        <v/>
      </c>
      <c r="AL579" s="54">
        <f>SUM(AF579:AK579)</f>
        <v/>
      </c>
      <c r="AM579" s="9">
        <f>IF(AL579&gt;=set_ScoreHigh,"High",IF(AL579&gt;=set_ScoreMed,"Medium",IF(AL579&gt;0,"Low","OK")))</f>
        <v/>
      </c>
      <c r="AN579" s="54">
        <f>IF(OR(T579="Open",AND(T579="Won",ABS(Y579)&gt;0.5)),1,0)</f>
        <v/>
      </c>
      <c r="AO579" s="52">
        <f>IF(T579="Open",IF(V579=0,0,X579),IF(T579="Won",MAX(0,Y579),0))</f>
        <v/>
      </c>
      <c r="AP579" s="54">
        <f>IF(AN579=1,AL579*1E+9+U579+ROW()/1E+6,"")</f>
        <v/>
      </c>
      <c r="AQ579" s="9">
        <f>MID(IF(AF579&gt;0,"; Expected month passed - update Zoho","")&amp;IF(AG579&gt;0,"; "&amp;TEXT(U579/MAX(1,SUMIFS($U$2:$U$601,$T$2:$T$601,"Open")),"0%")&amp;" of open pipeline in one deal","")&amp;IF(AH579&gt;0,"; Large deal at an early stage","")&amp;IF(AI579&gt;0,"; No amount in Zoho","")&amp;IF(AJ579&gt;0,"; Won, invoice month passed, not fully invoiced","")&amp;IF(AK579&gt;0,"; Xero invoiced more than the deal value",""),3,300)</f>
        <v/>
      </c>
    </row>
    <row r="580">
      <c r="T580" s="9">
        <f>IFERROR(INDEX($A580:$R580,MATCH("Status",$A$1:$R$1,0)),"")&amp;""</f>
        <v/>
      </c>
      <c r="U580" s="52">
        <f>IFERROR(N(IFERROR(INDEX($A580:$R580,MATCH("Value Ex GST",$A$1:$R$1,0)),"")),0)</f>
        <v/>
      </c>
      <c r="V580" s="54">
        <f>IF(AND(T580&lt;&gt;"",IFERROR(INDEX($A580:$R580,MATCH("Value Ex GST",$A$1:$R$1,0)),"")&amp;""&lt;&gt;""),1,0)</f>
        <v/>
      </c>
      <c r="W580" s="56">
        <f>IFERROR(N(IFERROR(INDEX($A580:$R580,MATCH("Probability",$A$1:$R$1,0)),"")),0)</f>
        <v/>
      </c>
      <c r="X580" s="52">
        <f>IF(T580="Open",U580*W580,0)</f>
        <v/>
      </c>
      <c r="Y580" s="52">
        <f>IF(T580="Won",IFERROR(N(IFERROR(INDEX($A580:$R580,MATCH("Still to Invoice",$A$1:$R$1,0)),"")),0),0)</f>
        <v/>
      </c>
      <c r="Z580" s="55">
        <f>IFERROR(EOMONTH(IFERROR(INDEX($A580:$R580,MATCH("Expected Invoice Month",$A$1:$R$1,0)),""),0),"")</f>
        <v/>
      </c>
      <c r="AA580" s="9">
        <f>IFERROR(INDEX($A580:$R580,MATCH("Cost Centre",$A$1:$R$1,0)),"")&amp;""</f>
        <v/>
      </c>
      <c r="AB580" s="9">
        <f>IFERROR(INDEX($A580:$R580,MATCH("Pipeline Stage",$A$1:$R$1,0)),"")&amp;""</f>
        <v/>
      </c>
      <c r="AC580" s="9">
        <f>IFERROR(INDEX($A580:$R580,MATCH("Client",$A$1:$R$1,0)),"")&amp;""</f>
        <v/>
      </c>
      <c r="AD580" s="9">
        <f>IFERROR(INDEX($A580:$R580,MATCH("Description",$A$1:$R$1,0)),"")&amp;""</f>
        <v/>
      </c>
      <c r="AE580" s="9">
        <f>IFERROR(INDEX($A580:$R580,MATCH("Job Number",$A$1:$R$1,0)),"")&amp;""</f>
        <v/>
      </c>
      <c r="AF580" s="54">
        <f>IF(AND(T580="Open",ISNUMBER(Z580),Z580&lt;EOMONTH(set_AsAt,-1)+1),3,0)</f>
        <v/>
      </c>
      <c r="AG580" s="54">
        <f>IF(AND(T580="Open",U580&gt;0,U580&gt;=set_DealShare*SUMIFS($U$2:$U$601,$T$2:$T$601,"Open")),3,0)</f>
        <v/>
      </c>
      <c r="AH580" s="54">
        <f>IF(AND(T580="Open",U580&gt;=set_BigValue,W580&lt;=set_EarlyProb),2,0)</f>
        <v/>
      </c>
      <c r="AI580" s="54">
        <f>IF(AND(OR(T580="Open",T580="Won"),V580=0),2,0)</f>
        <v/>
      </c>
      <c r="AJ580" s="54">
        <f>IF(AND(T580="Won",Y580&gt;0.5,ISNUMBER(Z580),Z580&lt;EOMONTH(set_AsAt,-1)+1),3,0)</f>
        <v/>
      </c>
      <c r="AK580" s="54">
        <f>IF(AND(T580="Won",Y580&lt;-1),1,0)</f>
        <v/>
      </c>
      <c r="AL580" s="54">
        <f>SUM(AF580:AK580)</f>
        <v/>
      </c>
      <c r="AM580" s="9">
        <f>IF(AL580&gt;=set_ScoreHigh,"High",IF(AL580&gt;=set_ScoreMed,"Medium",IF(AL580&gt;0,"Low","OK")))</f>
        <v/>
      </c>
      <c r="AN580" s="54">
        <f>IF(OR(T580="Open",AND(T580="Won",ABS(Y580)&gt;0.5)),1,0)</f>
        <v/>
      </c>
      <c r="AO580" s="52">
        <f>IF(T580="Open",IF(V580=0,0,X580),IF(T580="Won",MAX(0,Y580),0))</f>
        <v/>
      </c>
      <c r="AP580" s="54">
        <f>IF(AN580=1,AL580*1E+9+U580+ROW()/1E+6,"")</f>
        <v/>
      </c>
      <c r="AQ580" s="9">
        <f>MID(IF(AF580&gt;0,"; Expected month passed - update Zoho","")&amp;IF(AG580&gt;0,"; "&amp;TEXT(U580/MAX(1,SUMIFS($U$2:$U$601,$T$2:$T$601,"Open")),"0%")&amp;" of open pipeline in one deal","")&amp;IF(AH580&gt;0,"; Large deal at an early stage","")&amp;IF(AI580&gt;0,"; No amount in Zoho","")&amp;IF(AJ580&gt;0,"; Won, invoice month passed, not fully invoiced","")&amp;IF(AK580&gt;0,"; Xero invoiced more than the deal value",""),3,300)</f>
        <v/>
      </c>
    </row>
    <row r="581">
      <c r="T581" s="9">
        <f>IFERROR(INDEX($A581:$R581,MATCH("Status",$A$1:$R$1,0)),"")&amp;""</f>
        <v/>
      </c>
      <c r="U581" s="52">
        <f>IFERROR(N(IFERROR(INDEX($A581:$R581,MATCH("Value Ex GST",$A$1:$R$1,0)),"")),0)</f>
        <v/>
      </c>
      <c r="V581" s="54">
        <f>IF(AND(T581&lt;&gt;"",IFERROR(INDEX($A581:$R581,MATCH("Value Ex GST",$A$1:$R$1,0)),"")&amp;""&lt;&gt;""),1,0)</f>
        <v/>
      </c>
      <c r="W581" s="56">
        <f>IFERROR(N(IFERROR(INDEX($A581:$R581,MATCH("Probability",$A$1:$R$1,0)),"")),0)</f>
        <v/>
      </c>
      <c r="X581" s="52">
        <f>IF(T581="Open",U581*W581,0)</f>
        <v/>
      </c>
      <c r="Y581" s="52">
        <f>IF(T581="Won",IFERROR(N(IFERROR(INDEX($A581:$R581,MATCH("Still to Invoice",$A$1:$R$1,0)),"")),0),0)</f>
        <v/>
      </c>
      <c r="Z581" s="55">
        <f>IFERROR(EOMONTH(IFERROR(INDEX($A581:$R581,MATCH("Expected Invoice Month",$A$1:$R$1,0)),""),0),"")</f>
        <v/>
      </c>
      <c r="AA581" s="9">
        <f>IFERROR(INDEX($A581:$R581,MATCH("Cost Centre",$A$1:$R$1,0)),"")&amp;""</f>
        <v/>
      </c>
      <c r="AB581" s="9">
        <f>IFERROR(INDEX($A581:$R581,MATCH("Pipeline Stage",$A$1:$R$1,0)),"")&amp;""</f>
        <v/>
      </c>
      <c r="AC581" s="9">
        <f>IFERROR(INDEX($A581:$R581,MATCH("Client",$A$1:$R$1,0)),"")&amp;""</f>
        <v/>
      </c>
      <c r="AD581" s="9">
        <f>IFERROR(INDEX($A581:$R581,MATCH("Description",$A$1:$R$1,0)),"")&amp;""</f>
        <v/>
      </c>
      <c r="AE581" s="9">
        <f>IFERROR(INDEX($A581:$R581,MATCH("Job Number",$A$1:$R$1,0)),"")&amp;""</f>
        <v/>
      </c>
      <c r="AF581" s="54">
        <f>IF(AND(T581="Open",ISNUMBER(Z581),Z581&lt;EOMONTH(set_AsAt,-1)+1),3,0)</f>
        <v/>
      </c>
      <c r="AG581" s="54">
        <f>IF(AND(T581="Open",U581&gt;0,U581&gt;=set_DealShare*SUMIFS($U$2:$U$601,$T$2:$T$601,"Open")),3,0)</f>
        <v/>
      </c>
      <c r="AH581" s="54">
        <f>IF(AND(T581="Open",U581&gt;=set_BigValue,W581&lt;=set_EarlyProb),2,0)</f>
        <v/>
      </c>
      <c r="AI581" s="54">
        <f>IF(AND(OR(T581="Open",T581="Won"),V581=0),2,0)</f>
        <v/>
      </c>
      <c r="AJ581" s="54">
        <f>IF(AND(T581="Won",Y581&gt;0.5,ISNUMBER(Z581),Z581&lt;EOMONTH(set_AsAt,-1)+1),3,0)</f>
        <v/>
      </c>
      <c r="AK581" s="54">
        <f>IF(AND(T581="Won",Y581&lt;-1),1,0)</f>
        <v/>
      </c>
      <c r="AL581" s="54">
        <f>SUM(AF581:AK581)</f>
        <v/>
      </c>
      <c r="AM581" s="9">
        <f>IF(AL581&gt;=set_ScoreHigh,"High",IF(AL581&gt;=set_ScoreMed,"Medium",IF(AL581&gt;0,"Low","OK")))</f>
        <v/>
      </c>
      <c r="AN581" s="54">
        <f>IF(OR(T581="Open",AND(T581="Won",ABS(Y581)&gt;0.5)),1,0)</f>
        <v/>
      </c>
      <c r="AO581" s="52">
        <f>IF(T581="Open",IF(V581=0,0,X581),IF(T581="Won",MAX(0,Y581),0))</f>
        <v/>
      </c>
      <c r="AP581" s="54">
        <f>IF(AN581=1,AL581*1E+9+U581+ROW()/1E+6,"")</f>
        <v/>
      </c>
      <c r="AQ581" s="9">
        <f>MID(IF(AF581&gt;0,"; Expected month passed - update Zoho","")&amp;IF(AG581&gt;0,"; "&amp;TEXT(U581/MAX(1,SUMIFS($U$2:$U$601,$T$2:$T$601,"Open")),"0%")&amp;" of open pipeline in one deal","")&amp;IF(AH581&gt;0,"; Large deal at an early stage","")&amp;IF(AI581&gt;0,"; No amount in Zoho","")&amp;IF(AJ581&gt;0,"; Won, invoice month passed, not fully invoiced","")&amp;IF(AK581&gt;0,"; Xero invoiced more than the deal value",""),3,300)</f>
        <v/>
      </c>
    </row>
    <row r="582">
      <c r="T582" s="9">
        <f>IFERROR(INDEX($A582:$R582,MATCH("Status",$A$1:$R$1,0)),"")&amp;""</f>
        <v/>
      </c>
      <c r="U582" s="52">
        <f>IFERROR(N(IFERROR(INDEX($A582:$R582,MATCH("Value Ex GST",$A$1:$R$1,0)),"")),0)</f>
        <v/>
      </c>
      <c r="V582" s="54">
        <f>IF(AND(T582&lt;&gt;"",IFERROR(INDEX($A582:$R582,MATCH("Value Ex GST",$A$1:$R$1,0)),"")&amp;""&lt;&gt;""),1,0)</f>
        <v/>
      </c>
      <c r="W582" s="56">
        <f>IFERROR(N(IFERROR(INDEX($A582:$R582,MATCH("Probability",$A$1:$R$1,0)),"")),0)</f>
        <v/>
      </c>
      <c r="X582" s="52">
        <f>IF(T582="Open",U582*W582,0)</f>
        <v/>
      </c>
      <c r="Y582" s="52">
        <f>IF(T582="Won",IFERROR(N(IFERROR(INDEX($A582:$R582,MATCH("Still to Invoice",$A$1:$R$1,0)),"")),0),0)</f>
        <v/>
      </c>
      <c r="Z582" s="55">
        <f>IFERROR(EOMONTH(IFERROR(INDEX($A582:$R582,MATCH("Expected Invoice Month",$A$1:$R$1,0)),""),0),"")</f>
        <v/>
      </c>
      <c r="AA582" s="9">
        <f>IFERROR(INDEX($A582:$R582,MATCH("Cost Centre",$A$1:$R$1,0)),"")&amp;""</f>
        <v/>
      </c>
      <c r="AB582" s="9">
        <f>IFERROR(INDEX($A582:$R582,MATCH("Pipeline Stage",$A$1:$R$1,0)),"")&amp;""</f>
        <v/>
      </c>
      <c r="AC582" s="9">
        <f>IFERROR(INDEX($A582:$R582,MATCH("Client",$A$1:$R$1,0)),"")&amp;""</f>
        <v/>
      </c>
      <c r="AD582" s="9">
        <f>IFERROR(INDEX($A582:$R582,MATCH("Description",$A$1:$R$1,0)),"")&amp;""</f>
        <v/>
      </c>
      <c r="AE582" s="9">
        <f>IFERROR(INDEX($A582:$R582,MATCH("Job Number",$A$1:$R$1,0)),"")&amp;""</f>
        <v/>
      </c>
      <c r="AF582" s="54">
        <f>IF(AND(T582="Open",ISNUMBER(Z582),Z582&lt;EOMONTH(set_AsAt,-1)+1),3,0)</f>
        <v/>
      </c>
      <c r="AG582" s="54">
        <f>IF(AND(T582="Open",U582&gt;0,U582&gt;=set_DealShare*SUMIFS($U$2:$U$601,$T$2:$T$601,"Open")),3,0)</f>
        <v/>
      </c>
      <c r="AH582" s="54">
        <f>IF(AND(T582="Open",U582&gt;=set_BigValue,W582&lt;=set_EarlyProb),2,0)</f>
        <v/>
      </c>
      <c r="AI582" s="54">
        <f>IF(AND(OR(T582="Open",T582="Won"),V582=0),2,0)</f>
        <v/>
      </c>
      <c r="AJ582" s="54">
        <f>IF(AND(T582="Won",Y582&gt;0.5,ISNUMBER(Z582),Z582&lt;EOMONTH(set_AsAt,-1)+1),3,0)</f>
        <v/>
      </c>
      <c r="AK582" s="54">
        <f>IF(AND(T582="Won",Y582&lt;-1),1,0)</f>
        <v/>
      </c>
      <c r="AL582" s="54">
        <f>SUM(AF582:AK582)</f>
        <v/>
      </c>
      <c r="AM582" s="9">
        <f>IF(AL582&gt;=set_ScoreHigh,"High",IF(AL582&gt;=set_ScoreMed,"Medium",IF(AL582&gt;0,"Low","OK")))</f>
        <v/>
      </c>
      <c r="AN582" s="54">
        <f>IF(OR(T582="Open",AND(T582="Won",ABS(Y582)&gt;0.5)),1,0)</f>
        <v/>
      </c>
      <c r="AO582" s="52">
        <f>IF(T582="Open",IF(V582=0,0,X582),IF(T582="Won",MAX(0,Y582),0))</f>
        <v/>
      </c>
      <c r="AP582" s="54">
        <f>IF(AN582=1,AL582*1E+9+U582+ROW()/1E+6,"")</f>
        <v/>
      </c>
      <c r="AQ582" s="9">
        <f>MID(IF(AF582&gt;0,"; Expected month passed - update Zoho","")&amp;IF(AG582&gt;0,"; "&amp;TEXT(U582/MAX(1,SUMIFS($U$2:$U$601,$T$2:$T$601,"Open")),"0%")&amp;" of open pipeline in one deal","")&amp;IF(AH582&gt;0,"; Large deal at an early stage","")&amp;IF(AI582&gt;0,"; No amount in Zoho","")&amp;IF(AJ582&gt;0,"; Won, invoice month passed, not fully invoiced","")&amp;IF(AK582&gt;0,"; Xero invoiced more than the deal value",""),3,300)</f>
        <v/>
      </c>
    </row>
    <row r="583">
      <c r="T583" s="9">
        <f>IFERROR(INDEX($A583:$R583,MATCH("Status",$A$1:$R$1,0)),"")&amp;""</f>
        <v/>
      </c>
      <c r="U583" s="52">
        <f>IFERROR(N(IFERROR(INDEX($A583:$R583,MATCH("Value Ex GST",$A$1:$R$1,0)),"")),0)</f>
        <v/>
      </c>
      <c r="V583" s="54">
        <f>IF(AND(T583&lt;&gt;"",IFERROR(INDEX($A583:$R583,MATCH("Value Ex GST",$A$1:$R$1,0)),"")&amp;""&lt;&gt;""),1,0)</f>
        <v/>
      </c>
      <c r="W583" s="56">
        <f>IFERROR(N(IFERROR(INDEX($A583:$R583,MATCH("Probability",$A$1:$R$1,0)),"")),0)</f>
        <v/>
      </c>
      <c r="X583" s="52">
        <f>IF(T583="Open",U583*W583,0)</f>
        <v/>
      </c>
      <c r="Y583" s="52">
        <f>IF(T583="Won",IFERROR(N(IFERROR(INDEX($A583:$R583,MATCH("Still to Invoice",$A$1:$R$1,0)),"")),0),0)</f>
        <v/>
      </c>
      <c r="Z583" s="55">
        <f>IFERROR(EOMONTH(IFERROR(INDEX($A583:$R583,MATCH("Expected Invoice Month",$A$1:$R$1,0)),""),0),"")</f>
        <v/>
      </c>
      <c r="AA583" s="9">
        <f>IFERROR(INDEX($A583:$R583,MATCH("Cost Centre",$A$1:$R$1,0)),"")&amp;""</f>
        <v/>
      </c>
      <c r="AB583" s="9">
        <f>IFERROR(INDEX($A583:$R583,MATCH("Pipeline Stage",$A$1:$R$1,0)),"")&amp;""</f>
        <v/>
      </c>
      <c r="AC583" s="9">
        <f>IFERROR(INDEX($A583:$R583,MATCH("Client",$A$1:$R$1,0)),"")&amp;""</f>
        <v/>
      </c>
      <c r="AD583" s="9">
        <f>IFERROR(INDEX($A583:$R583,MATCH("Description",$A$1:$R$1,0)),"")&amp;""</f>
        <v/>
      </c>
      <c r="AE583" s="9">
        <f>IFERROR(INDEX($A583:$R583,MATCH("Job Number",$A$1:$R$1,0)),"")&amp;""</f>
        <v/>
      </c>
      <c r="AF583" s="54">
        <f>IF(AND(T583="Open",ISNUMBER(Z583),Z583&lt;EOMONTH(set_AsAt,-1)+1),3,0)</f>
        <v/>
      </c>
      <c r="AG583" s="54">
        <f>IF(AND(T583="Open",U583&gt;0,U583&gt;=set_DealShare*SUMIFS($U$2:$U$601,$T$2:$T$601,"Open")),3,0)</f>
        <v/>
      </c>
      <c r="AH583" s="54">
        <f>IF(AND(T583="Open",U583&gt;=set_BigValue,W583&lt;=set_EarlyProb),2,0)</f>
        <v/>
      </c>
      <c r="AI583" s="54">
        <f>IF(AND(OR(T583="Open",T583="Won"),V583=0),2,0)</f>
        <v/>
      </c>
      <c r="AJ583" s="54">
        <f>IF(AND(T583="Won",Y583&gt;0.5,ISNUMBER(Z583),Z583&lt;EOMONTH(set_AsAt,-1)+1),3,0)</f>
        <v/>
      </c>
      <c r="AK583" s="54">
        <f>IF(AND(T583="Won",Y583&lt;-1),1,0)</f>
        <v/>
      </c>
      <c r="AL583" s="54">
        <f>SUM(AF583:AK583)</f>
        <v/>
      </c>
      <c r="AM583" s="9">
        <f>IF(AL583&gt;=set_ScoreHigh,"High",IF(AL583&gt;=set_ScoreMed,"Medium",IF(AL583&gt;0,"Low","OK")))</f>
        <v/>
      </c>
      <c r="AN583" s="54">
        <f>IF(OR(T583="Open",AND(T583="Won",ABS(Y583)&gt;0.5)),1,0)</f>
        <v/>
      </c>
      <c r="AO583" s="52">
        <f>IF(T583="Open",IF(V583=0,0,X583),IF(T583="Won",MAX(0,Y583),0))</f>
        <v/>
      </c>
      <c r="AP583" s="54">
        <f>IF(AN583=1,AL583*1E+9+U583+ROW()/1E+6,"")</f>
        <v/>
      </c>
      <c r="AQ583" s="9">
        <f>MID(IF(AF583&gt;0,"; Expected month passed - update Zoho","")&amp;IF(AG583&gt;0,"; "&amp;TEXT(U583/MAX(1,SUMIFS($U$2:$U$601,$T$2:$T$601,"Open")),"0%")&amp;" of open pipeline in one deal","")&amp;IF(AH583&gt;0,"; Large deal at an early stage","")&amp;IF(AI583&gt;0,"; No amount in Zoho","")&amp;IF(AJ583&gt;0,"; Won, invoice month passed, not fully invoiced","")&amp;IF(AK583&gt;0,"; Xero invoiced more than the deal value",""),3,300)</f>
        <v/>
      </c>
    </row>
    <row r="584">
      <c r="T584" s="9">
        <f>IFERROR(INDEX($A584:$R584,MATCH("Status",$A$1:$R$1,0)),"")&amp;""</f>
        <v/>
      </c>
      <c r="U584" s="52">
        <f>IFERROR(N(IFERROR(INDEX($A584:$R584,MATCH("Value Ex GST",$A$1:$R$1,0)),"")),0)</f>
        <v/>
      </c>
      <c r="V584" s="54">
        <f>IF(AND(T584&lt;&gt;"",IFERROR(INDEX($A584:$R584,MATCH("Value Ex GST",$A$1:$R$1,0)),"")&amp;""&lt;&gt;""),1,0)</f>
        <v/>
      </c>
      <c r="W584" s="56">
        <f>IFERROR(N(IFERROR(INDEX($A584:$R584,MATCH("Probability",$A$1:$R$1,0)),"")),0)</f>
        <v/>
      </c>
      <c r="X584" s="52">
        <f>IF(T584="Open",U584*W584,0)</f>
        <v/>
      </c>
      <c r="Y584" s="52">
        <f>IF(T584="Won",IFERROR(N(IFERROR(INDEX($A584:$R584,MATCH("Still to Invoice",$A$1:$R$1,0)),"")),0),0)</f>
        <v/>
      </c>
      <c r="Z584" s="55">
        <f>IFERROR(EOMONTH(IFERROR(INDEX($A584:$R584,MATCH("Expected Invoice Month",$A$1:$R$1,0)),""),0),"")</f>
        <v/>
      </c>
      <c r="AA584" s="9">
        <f>IFERROR(INDEX($A584:$R584,MATCH("Cost Centre",$A$1:$R$1,0)),"")&amp;""</f>
        <v/>
      </c>
      <c r="AB584" s="9">
        <f>IFERROR(INDEX($A584:$R584,MATCH("Pipeline Stage",$A$1:$R$1,0)),"")&amp;""</f>
        <v/>
      </c>
      <c r="AC584" s="9">
        <f>IFERROR(INDEX($A584:$R584,MATCH("Client",$A$1:$R$1,0)),"")&amp;""</f>
        <v/>
      </c>
      <c r="AD584" s="9">
        <f>IFERROR(INDEX($A584:$R584,MATCH("Description",$A$1:$R$1,0)),"")&amp;""</f>
        <v/>
      </c>
      <c r="AE584" s="9">
        <f>IFERROR(INDEX($A584:$R584,MATCH("Job Number",$A$1:$R$1,0)),"")&amp;""</f>
        <v/>
      </c>
      <c r="AF584" s="54">
        <f>IF(AND(T584="Open",ISNUMBER(Z584),Z584&lt;EOMONTH(set_AsAt,-1)+1),3,0)</f>
        <v/>
      </c>
      <c r="AG584" s="54">
        <f>IF(AND(T584="Open",U584&gt;0,U584&gt;=set_DealShare*SUMIFS($U$2:$U$601,$T$2:$T$601,"Open")),3,0)</f>
        <v/>
      </c>
      <c r="AH584" s="54">
        <f>IF(AND(T584="Open",U584&gt;=set_BigValue,W584&lt;=set_EarlyProb),2,0)</f>
        <v/>
      </c>
      <c r="AI584" s="54">
        <f>IF(AND(OR(T584="Open",T584="Won"),V584=0),2,0)</f>
        <v/>
      </c>
      <c r="AJ584" s="54">
        <f>IF(AND(T584="Won",Y584&gt;0.5,ISNUMBER(Z584),Z584&lt;EOMONTH(set_AsAt,-1)+1),3,0)</f>
        <v/>
      </c>
      <c r="AK584" s="54">
        <f>IF(AND(T584="Won",Y584&lt;-1),1,0)</f>
        <v/>
      </c>
      <c r="AL584" s="54">
        <f>SUM(AF584:AK584)</f>
        <v/>
      </c>
      <c r="AM584" s="9">
        <f>IF(AL584&gt;=set_ScoreHigh,"High",IF(AL584&gt;=set_ScoreMed,"Medium",IF(AL584&gt;0,"Low","OK")))</f>
        <v/>
      </c>
      <c r="AN584" s="54">
        <f>IF(OR(T584="Open",AND(T584="Won",ABS(Y584)&gt;0.5)),1,0)</f>
        <v/>
      </c>
      <c r="AO584" s="52">
        <f>IF(T584="Open",IF(V584=0,0,X584),IF(T584="Won",MAX(0,Y584),0))</f>
        <v/>
      </c>
      <c r="AP584" s="54">
        <f>IF(AN584=1,AL584*1E+9+U584+ROW()/1E+6,"")</f>
        <v/>
      </c>
      <c r="AQ584" s="9">
        <f>MID(IF(AF584&gt;0,"; Expected month passed - update Zoho","")&amp;IF(AG584&gt;0,"; "&amp;TEXT(U584/MAX(1,SUMIFS($U$2:$U$601,$T$2:$T$601,"Open")),"0%")&amp;" of open pipeline in one deal","")&amp;IF(AH584&gt;0,"; Large deal at an early stage","")&amp;IF(AI584&gt;0,"; No amount in Zoho","")&amp;IF(AJ584&gt;0,"; Won, invoice month passed, not fully invoiced","")&amp;IF(AK584&gt;0,"; Xero invoiced more than the deal value",""),3,300)</f>
        <v/>
      </c>
    </row>
    <row r="585">
      <c r="T585" s="9">
        <f>IFERROR(INDEX($A585:$R585,MATCH("Status",$A$1:$R$1,0)),"")&amp;""</f>
        <v/>
      </c>
      <c r="U585" s="52">
        <f>IFERROR(N(IFERROR(INDEX($A585:$R585,MATCH("Value Ex GST",$A$1:$R$1,0)),"")),0)</f>
        <v/>
      </c>
      <c r="V585" s="54">
        <f>IF(AND(T585&lt;&gt;"",IFERROR(INDEX($A585:$R585,MATCH("Value Ex GST",$A$1:$R$1,0)),"")&amp;""&lt;&gt;""),1,0)</f>
        <v/>
      </c>
      <c r="W585" s="56">
        <f>IFERROR(N(IFERROR(INDEX($A585:$R585,MATCH("Probability",$A$1:$R$1,0)),"")),0)</f>
        <v/>
      </c>
      <c r="X585" s="52">
        <f>IF(T585="Open",U585*W585,0)</f>
        <v/>
      </c>
      <c r="Y585" s="52">
        <f>IF(T585="Won",IFERROR(N(IFERROR(INDEX($A585:$R585,MATCH("Still to Invoice",$A$1:$R$1,0)),"")),0),0)</f>
        <v/>
      </c>
      <c r="Z585" s="55">
        <f>IFERROR(EOMONTH(IFERROR(INDEX($A585:$R585,MATCH("Expected Invoice Month",$A$1:$R$1,0)),""),0),"")</f>
        <v/>
      </c>
      <c r="AA585" s="9">
        <f>IFERROR(INDEX($A585:$R585,MATCH("Cost Centre",$A$1:$R$1,0)),"")&amp;""</f>
        <v/>
      </c>
      <c r="AB585" s="9">
        <f>IFERROR(INDEX($A585:$R585,MATCH("Pipeline Stage",$A$1:$R$1,0)),"")&amp;""</f>
        <v/>
      </c>
      <c r="AC585" s="9">
        <f>IFERROR(INDEX($A585:$R585,MATCH("Client",$A$1:$R$1,0)),"")&amp;""</f>
        <v/>
      </c>
      <c r="AD585" s="9">
        <f>IFERROR(INDEX($A585:$R585,MATCH("Description",$A$1:$R$1,0)),"")&amp;""</f>
        <v/>
      </c>
      <c r="AE585" s="9">
        <f>IFERROR(INDEX($A585:$R585,MATCH("Job Number",$A$1:$R$1,0)),"")&amp;""</f>
        <v/>
      </c>
      <c r="AF585" s="54">
        <f>IF(AND(T585="Open",ISNUMBER(Z585),Z585&lt;EOMONTH(set_AsAt,-1)+1),3,0)</f>
        <v/>
      </c>
      <c r="AG585" s="54">
        <f>IF(AND(T585="Open",U585&gt;0,U585&gt;=set_DealShare*SUMIFS($U$2:$U$601,$T$2:$T$601,"Open")),3,0)</f>
        <v/>
      </c>
      <c r="AH585" s="54">
        <f>IF(AND(T585="Open",U585&gt;=set_BigValue,W585&lt;=set_EarlyProb),2,0)</f>
        <v/>
      </c>
      <c r="AI585" s="54">
        <f>IF(AND(OR(T585="Open",T585="Won"),V585=0),2,0)</f>
        <v/>
      </c>
      <c r="AJ585" s="54">
        <f>IF(AND(T585="Won",Y585&gt;0.5,ISNUMBER(Z585),Z585&lt;EOMONTH(set_AsAt,-1)+1),3,0)</f>
        <v/>
      </c>
      <c r="AK585" s="54">
        <f>IF(AND(T585="Won",Y585&lt;-1),1,0)</f>
        <v/>
      </c>
      <c r="AL585" s="54">
        <f>SUM(AF585:AK585)</f>
        <v/>
      </c>
      <c r="AM585" s="9">
        <f>IF(AL585&gt;=set_ScoreHigh,"High",IF(AL585&gt;=set_ScoreMed,"Medium",IF(AL585&gt;0,"Low","OK")))</f>
        <v/>
      </c>
      <c r="AN585" s="54">
        <f>IF(OR(T585="Open",AND(T585="Won",ABS(Y585)&gt;0.5)),1,0)</f>
        <v/>
      </c>
      <c r="AO585" s="52">
        <f>IF(T585="Open",IF(V585=0,0,X585),IF(T585="Won",MAX(0,Y585),0))</f>
        <v/>
      </c>
      <c r="AP585" s="54">
        <f>IF(AN585=1,AL585*1E+9+U585+ROW()/1E+6,"")</f>
        <v/>
      </c>
      <c r="AQ585" s="9">
        <f>MID(IF(AF585&gt;0,"; Expected month passed - update Zoho","")&amp;IF(AG585&gt;0,"; "&amp;TEXT(U585/MAX(1,SUMIFS($U$2:$U$601,$T$2:$T$601,"Open")),"0%")&amp;" of open pipeline in one deal","")&amp;IF(AH585&gt;0,"; Large deal at an early stage","")&amp;IF(AI585&gt;0,"; No amount in Zoho","")&amp;IF(AJ585&gt;0,"; Won, invoice month passed, not fully invoiced","")&amp;IF(AK585&gt;0,"; Xero invoiced more than the deal value",""),3,300)</f>
        <v/>
      </c>
    </row>
    <row r="586">
      <c r="T586" s="9">
        <f>IFERROR(INDEX($A586:$R586,MATCH("Status",$A$1:$R$1,0)),"")&amp;""</f>
        <v/>
      </c>
      <c r="U586" s="52">
        <f>IFERROR(N(IFERROR(INDEX($A586:$R586,MATCH("Value Ex GST",$A$1:$R$1,0)),"")),0)</f>
        <v/>
      </c>
      <c r="V586" s="54">
        <f>IF(AND(T586&lt;&gt;"",IFERROR(INDEX($A586:$R586,MATCH("Value Ex GST",$A$1:$R$1,0)),"")&amp;""&lt;&gt;""),1,0)</f>
        <v/>
      </c>
      <c r="W586" s="56">
        <f>IFERROR(N(IFERROR(INDEX($A586:$R586,MATCH("Probability",$A$1:$R$1,0)),"")),0)</f>
        <v/>
      </c>
      <c r="X586" s="52">
        <f>IF(T586="Open",U586*W586,0)</f>
        <v/>
      </c>
      <c r="Y586" s="52">
        <f>IF(T586="Won",IFERROR(N(IFERROR(INDEX($A586:$R586,MATCH("Still to Invoice",$A$1:$R$1,0)),"")),0),0)</f>
        <v/>
      </c>
      <c r="Z586" s="55">
        <f>IFERROR(EOMONTH(IFERROR(INDEX($A586:$R586,MATCH("Expected Invoice Month",$A$1:$R$1,0)),""),0),"")</f>
        <v/>
      </c>
      <c r="AA586" s="9">
        <f>IFERROR(INDEX($A586:$R586,MATCH("Cost Centre",$A$1:$R$1,0)),"")&amp;""</f>
        <v/>
      </c>
      <c r="AB586" s="9">
        <f>IFERROR(INDEX($A586:$R586,MATCH("Pipeline Stage",$A$1:$R$1,0)),"")&amp;""</f>
        <v/>
      </c>
      <c r="AC586" s="9">
        <f>IFERROR(INDEX($A586:$R586,MATCH("Client",$A$1:$R$1,0)),"")&amp;""</f>
        <v/>
      </c>
      <c r="AD586" s="9">
        <f>IFERROR(INDEX($A586:$R586,MATCH("Description",$A$1:$R$1,0)),"")&amp;""</f>
        <v/>
      </c>
      <c r="AE586" s="9">
        <f>IFERROR(INDEX($A586:$R586,MATCH("Job Number",$A$1:$R$1,0)),"")&amp;""</f>
        <v/>
      </c>
      <c r="AF586" s="54">
        <f>IF(AND(T586="Open",ISNUMBER(Z586),Z586&lt;EOMONTH(set_AsAt,-1)+1),3,0)</f>
        <v/>
      </c>
      <c r="AG586" s="54">
        <f>IF(AND(T586="Open",U586&gt;0,U586&gt;=set_DealShare*SUMIFS($U$2:$U$601,$T$2:$T$601,"Open")),3,0)</f>
        <v/>
      </c>
      <c r="AH586" s="54">
        <f>IF(AND(T586="Open",U586&gt;=set_BigValue,W586&lt;=set_EarlyProb),2,0)</f>
        <v/>
      </c>
      <c r="AI586" s="54">
        <f>IF(AND(OR(T586="Open",T586="Won"),V586=0),2,0)</f>
        <v/>
      </c>
      <c r="AJ586" s="54">
        <f>IF(AND(T586="Won",Y586&gt;0.5,ISNUMBER(Z586),Z586&lt;EOMONTH(set_AsAt,-1)+1),3,0)</f>
        <v/>
      </c>
      <c r="AK586" s="54">
        <f>IF(AND(T586="Won",Y586&lt;-1),1,0)</f>
        <v/>
      </c>
      <c r="AL586" s="54">
        <f>SUM(AF586:AK586)</f>
        <v/>
      </c>
      <c r="AM586" s="9">
        <f>IF(AL586&gt;=set_ScoreHigh,"High",IF(AL586&gt;=set_ScoreMed,"Medium",IF(AL586&gt;0,"Low","OK")))</f>
        <v/>
      </c>
      <c r="AN586" s="54">
        <f>IF(OR(T586="Open",AND(T586="Won",ABS(Y586)&gt;0.5)),1,0)</f>
        <v/>
      </c>
      <c r="AO586" s="52">
        <f>IF(T586="Open",IF(V586=0,0,X586),IF(T586="Won",MAX(0,Y586),0))</f>
        <v/>
      </c>
      <c r="AP586" s="54">
        <f>IF(AN586=1,AL586*1E+9+U586+ROW()/1E+6,"")</f>
        <v/>
      </c>
      <c r="AQ586" s="9">
        <f>MID(IF(AF586&gt;0,"; Expected month passed - update Zoho","")&amp;IF(AG586&gt;0,"; "&amp;TEXT(U586/MAX(1,SUMIFS($U$2:$U$601,$T$2:$T$601,"Open")),"0%")&amp;" of open pipeline in one deal","")&amp;IF(AH586&gt;0,"; Large deal at an early stage","")&amp;IF(AI586&gt;0,"; No amount in Zoho","")&amp;IF(AJ586&gt;0,"; Won, invoice month passed, not fully invoiced","")&amp;IF(AK586&gt;0,"; Xero invoiced more than the deal value",""),3,300)</f>
        <v/>
      </c>
    </row>
    <row r="587">
      <c r="T587" s="9">
        <f>IFERROR(INDEX($A587:$R587,MATCH("Status",$A$1:$R$1,0)),"")&amp;""</f>
        <v/>
      </c>
      <c r="U587" s="52">
        <f>IFERROR(N(IFERROR(INDEX($A587:$R587,MATCH("Value Ex GST",$A$1:$R$1,0)),"")),0)</f>
        <v/>
      </c>
      <c r="V587" s="54">
        <f>IF(AND(T587&lt;&gt;"",IFERROR(INDEX($A587:$R587,MATCH("Value Ex GST",$A$1:$R$1,0)),"")&amp;""&lt;&gt;""),1,0)</f>
        <v/>
      </c>
      <c r="W587" s="56">
        <f>IFERROR(N(IFERROR(INDEX($A587:$R587,MATCH("Probability",$A$1:$R$1,0)),"")),0)</f>
        <v/>
      </c>
      <c r="X587" s="52">
        <f>IF(T587="Open",U587*W587,0)</f>
        <v/>
      </c>
      <c r="Y587" s="52">
        <f>IF(T587="Won",IFERROR(N(IFERROR(INDEX($A587:$R587,MATCH("Still to Invoice",$A$1:$R$1,0)),"")),0),0)</f>
        <v/>
      </c>
      <c r="Z587" s="55">
        <f>IFERROR(EOMONTH(IFERROR(INDEX($A587:$R587,MATCH("Expected Invoice Month",$A$1:$R$1,0)),""),0),"")</f>
        <v/>
      </c>
      <c r="AA587" s="9">
        <f>IFERROR(INDEX($A587:$R587,MATCH("Cost Centre",$A$1:$R$1,0)),"")&amp;""</f>
        <v/>
      </c>
      <c r="AB587" s="9">
        <f>IFERROR(INDEX($A587:$R587,MATCH("Pipeline Stage",$A$1:$R$1,0)),"")&amp;""</f>
        <v/>
      </c>
      <c r="AC587" s="9">
        <f>IFERROR(INDEX($A587:$R587,MATCH("Client",$A$1:$R$1,0)),"")&amp;""</f>
        <v/>
      </c>
      <c r="AD587" s="9">
        <f>IFERROR(INDEX($A587:$R587,MATCH("Description",$A$1:$R$1,0)),"")&amp;""</f>
        <v/>
      </c>
      <c r="AE587" s="9">
        <f>IFERROR(INDEX($A587:$R587,MATCH("Job Number",$A$1:$R$1,0)),"")&amp;""</f>
        <v/>
      </c>
      <c r="AF587" s="54">
        <f>IF(AND(T587="Open",ISNUMBER(Z587),Z587&lt;EOMONTH(set_AsAt,-1)+1),3,0)</f>
        <v/>
      </c>
      <c r="AG587" s="54">
        <f>IF(AND(T587="Open",U587&gt;0,U587&gt;=set_DealShare*SUMIFS($U$2:$U$601,$T$2:$T$601,"Open")),3,0)</f>
        <v/>
      </c>
      <c r="AH587" s="54">
        <f>IF(AND(T587="Open",U587&gt;=set_BigValue,W587&lt;=set_EarlyProb),2,0)</f>
        <v/>
      </c>
      <c r="AI587" s="54">
        <f>IF(AND(OR(T587="Open",T587="Won"),V587=0),2,0)</f>
        <v/>
      </c>
      <c r="AJ587" s="54">
        <f>IF(AND(T587="Won",Y587&gt;0.5,ISNUMBER(Z587),Z587&lt;EOMONTH(set_AsAt,-1)+1),3,0)</f>
        <v/>
      </c>
      <c r="AK587" s="54">
        <f>IF(AND(T587="Won",Y587&lt;-1),1,0)</f>
        <v/>
      </c>
      <c r="AL587" s="54">
        <f>SUM(AF587:AK587)</f>
        <v/>
      </c>
      <c r="AM587" s="9">
        <f>IF(AL587&gt;=set_ScoreHigh,"High",IF(AL587&gt;=set_ScoreMed,"Medium",IF(AL587&gt;0,"Low","OK")))</f>
        <v/>
      </c>
      <c r="AN587" s="54">
        <f>IF(OR(T587="Open",AND(T587="Won",ABS(Y587)&gt;0.5)),1,0)</f>
        <v/>
      </c>
      <c r="AO587" s="52">
        <f>IF(T587="Open",IF(V587=0,0,X587),IF(T587="Won",MAX(0,Y587),0))</f>
        <v/>
      </c>
      <c r="AP587" s="54">
        <f>IF(AN587=1,AL587*1E+9+U587+ROW()/1E+6,"")</f>
        <v/>
      </c>
      <c r="AQ587" s="9">
        <f>MID(IF(AF587&gt;0,"; Expected month passed - update Zoho","")&amp;IF(AG587&gt;0,"; "&amp;TEXT(U587/MAX(1,SUMIFS($U$2:$U$601,$T$2:$T$601,"Open")),"0%")&amp;" of open pipeline in one deal","")&amp;IF(AH587&gt;0,"; Large deal at an early stage","")&amp;IF(AI587&gt;0,"; No amount in Zoho","")&amp;IF(AJ587&gt;0,"; Won, invoice month passed, not fully invoiced","")&amp;IF(AK587&gt;0,"; Xero invoiced more than the deal value",""),3,300)</f>
        <v/>
      </c>
    </row>
    <row r="588">
      <c r="T588" s="9">
        <f>IFERROR(INDEX($A588:$R588,MATCH("Status",$A$1:$R$1,0)),"")&amp;""</f>
        <v/>
      </c>
      <c r="U588" s="52">
        <f>IFERROR(N(IFERROR(INDEX($A588:$R588,MATCH("Value Ex GST",$A$1:$R$1,0)),"")),0)</f>
        <v/>
      </c>
      <c r="V588" s="54">
        <f>IF(AND(T588&lt;&gt;"",IFERROR(INDEX($A588:$R588,MATCH("Value Ex GST",$A$1:$R$1,0)),"")&amp;""&lt;&gt;""),1,0)</f>
        <v/>
      </c>
      <c r="W588" s="56">
        <f>IFERROR(N(IFERROR(INDEX($A588:$R588,MATCH("Probability",$A$1:$R$1,0)),"")),0)</f>
        <v/>
      </c>
      <c r="X588" s="52">
        <f>IF(T588="Open",U588*W588,0)</f>
        <v/>
      </c>
      <c r="Y588" s="52">
        <f>IF(T588="Won",IFERROR(N(IFERROR(INDEX($A588:$R588,MATCH("Still to Invoice",$A$1:$R$1,0)),"")),0),0)</f>
        <v/>
      </c>
      <c r="Z588" s="55">
        <f>IFERROR(EOMONTH(IFERROR(INDEX($A588:$R588,MATCH("Expected Invoice Month",$A$1:$R$1,0)),""),0),"")</f>
        <v/>
      </c>
      <c r="AA588" s="9">
        <f>IFERROR(INDEX($A588:$R588,MATCH("Cost Centre",$A$1:$R$1,0)),"")&amp;""</f>
        <v/>
      </c>
      <c r="AB588" s="9">
        <f>IFERROR(INDEX($A588:$R588,MATCH("Pipeline Stage",$A$1:$R$1,0)),"")&amp;""</f>
        <v/>
      </c>
      <c r="AC588" s="9">
        <f>IFERROR(INDEX($A588:$R588,MATCH("Client",$A$1:$R$1,0)),"")&amp;""</f>
        <v/>
      </c>
      <c r="AD588" s="9">
        <f>IFERROR(INDEX($A588:$R588,MATCH("Description",$A$1:$R$1,0)),"")&amp;""</f>
        <v/>
      </c>
      <c r="AE588" s="9">
        <f>IFERROR(INDEX($A588:$R588,MATCH("Job Number",$A$1:$R$1,0)),"")&amp;""</f>
        <v/>
      </c>
      <c r="AF588" s="54">
        <f>IF(AND(T588="Open",ISNUMBER(Z588),Z588&lt;EOMONTH(set_AsAt,-1)+1),3,0)</f>
        <v/>
      </c>
      <c r="AG588" s="54">
        <f>IF(AND(T588="Open",U588&gt;0,U588&gt;=set_DealShare*SUMIFS($U$2:$U$601,$T$2:$T$601,"Open")),3,0)</f>
        <v/>
      </c>
      <c r="AH588" s="54">
        <f>IF(AND(T588="Open",U588&gt;=set_BigValue,W588&lt;=set_EarlyProb),2,0)</f>
        <v/>
      </c>
      <c r="AI588" s="54">
        <f>IF(AND(OR(T588="Open",T588="Won"),V588=0),2,0)</f>
        <v/>
      </c>
      <c r="AJ588" s="54">
        <f>IF(AND(T588="Won",Y588&gt;0.5,ISNUMBER(Z588),Z588&lt;EOMONTH(set_AsAt,-1)+1),3,0)</f>
        <v/>
      </c>
      <c r="AK588" s="54">
        <f>IF(AND(T588="Won",Y588&lt;-1),1,0)</f>
        <v/>
      </c>
      <c r="AL588" s="54">
        <f>SUM(AF588:AK588)</f>
        <v/>
      </c>
      <c r="AM588" s="9">
        <f>IF(AL588&gt;=set_ScoreHigh,"High",IF(AL588&gt;=set_ScoreMed,"Medium",IF(AL588&gt;0,"Low","OK")))</f>
        <v/>
      </c>
      <c r="AN588" s="54">
        <f>IF(OR(T588="Open",AND(T588="Won",ABS(Y588)&gt;0.5)),1,0)</f>
        <v/>
      </c>
      <c r="AO588" s="52">
        <f>IF(T588="Open",IF(V588=0,0,X588),IF(T588="Won",MAX(0,Y588),0))</f>
        <v/>
      </c>
      <c r="AP588" s="54">
        <f>IF(AN588=1,AL588*1E+9+U588+ROW()/1E+6,"")</f>
        <v/>
      </c>
      <c r="AQ588" s="9">
        <f>MID(IF(AF588&gt;0,"; Expected month passed - update Zoho","")&amp;IF(AG588&gt;0,"; "&amp;TEXT(U588/MAX(1,SUMIFS($U$2:$U$601,$T$2:$T$601,"Open")),"0%")&amp;" of open pipeline in one deal","")&amp;IF(AH588&gt;0,"; Large deal at an early stage","")&amp;IF(AI588&gt;0,"; No amount in Zoho","")&amp;IF(AJ588&gt;0,"; Won, invoice month passed, not fully invoiced","")&amp;IF(AK588&gt;0,"; Xero invoiced more than the deal value",""),3,300)</f>
        <v/>
      </c>
    </row>
    <row r="589">
      <c r="T589" s="9">
        <f>IFERROR(INDEX($A589:$R589,MATCH("Status",$A$1:$R$1,0)),"")&amp;""</f>
        <v/>
      </c>
      <c r="U589" s="52">
        <f>IFERROR(N(IFERROR(INDEX($A589:$R589,MATCH("Value Ex GST",$A$1:$R$1,0)),"")),0)</f>
        <v/>
      </c>
      <c r="V589" s="54">
        <f>IF(AND(T589&lt;&gt;"",IFERROR(INDEX($A589:$R589,MATCH("Value Ex GST",$A$1:$R$1,0)),"")&amp;""&lt;&gt;""),1,0)</f>
        <v/>
      </c>
      <c r="W589" s="56">
        <f>IFERROR(N(IFERROR(INDEX($A589:$R589,MATCH("Probability",$A$1:$R$1,0)),"")),0)</f>
        <v/>
      </c>
      <c r="X589" s="52">
        <f>IF(T589="Open",U589*W589,0)</f>
        <v/>
      </c>
      <c r="Y589" s="52">
        <f>IF(T589="Won",IFERROR(N(IFERROR(INDEX($A589:$R589,MATCH("Still to Invoice",$A$1:$R$1,0)),"")),0),0)</f>
        <v/>
      </c>
      <c r="Z589" s="55">
        <f>IFERROR(EOMONTH(IFERROR(INDEX($A589:$R589,MATCH("Expected Invoice Month",$A$1:$R$1,0)),""),0),"")</f>
        <v/>
      </c>
      <c r="AA589" s="9">
        <f>IFERROR(INDEX($A589:$R589,MATCH("Cost Centre",$A$1:$R$1,0)),"")&amp;""</f>
        <v/>
      </c>
      <c r="AB589" s="9">
        <f>IFERROR(INDEX($A589:$R589,MATCH("Pipeline Stage",$A$1:$R$1,0)),"")&amp;""</f>
        <v/>
      </c>
      <c r="AC589" s="9">
        <f>IFERROR(INDEX($A589:$R589,MATCH("Client",$A$1:$R$1,0)),"")&amp;""</f>
        <v/>
      </c>
      <c r="AD589" s="9">
        <f>IFERROR(INDEX($A589:$R589,MATCH("Description",$A$1:$R$1,0)),"")&amp;""</f>
        <v/>
      </c>
      <c r="AE589" s="9">
        <f>IFERROR(INDEX($A589:$R589,MATCH("Job Number",$A$1:$R$1,0)),"")&amp;""</f>
        <v/>
      </c>
      <c r="AF589" s="54">
        <f>IF(AND(T589="Open",ISNUMBER(Z589),Z589&lt;EOMONTH(set_AsAt,-1)+1),3,0)</f>
        <v/>
      </c>
      <c r="AG589" s="54">
        <f>IF(AND(T589="Open",U589&gt;0,U589&gt;=set_DealShare*SUMIFS($U$2:$U$601,$T$2:$T$601,"Open")),3,0)</f>
        <v/>
      </c>
      <c r="AH589" s="54">
        <f>IF(AND(T589="Open",U589&gt;=set_BigValue,W589&lt;=set_EarlyProb),2,0)</f>
        <v/>
      </c>
      <c r="AI589" s="54">
        <f>IF(AND(OR(T589="Open",T589="Won"),V589=0),2,0)</f>
        <v/>
      </c>
      <c r="AJ589" s="54">
        <f>IF(AND(T589="Won",Y589&gt;0.5,ISNUMBER(Z589),Z589&lt;EOMONTH(set_AsAt,-1)+1),3,0)</f>
        <v/>
      </c>
      <c r="AK589" s="54">
        <f>IF(AND(T589="Won",Y589&lt;-1),1,0)</f>
        <v/>
      </c>
      <c r="AL589" s="54">
        <f>SUM(AF589:AK589)</f>
        <v/>
      </c>
      <c r="AM589" s="9">
        <f>IF(AL589&gt;=set_ScoreHigh,"High",IF(AL589&gt;=set_ScoreMed,"Medium",IF(AL589&gt;0,"Low","OK")))</f>
        <v/>
      </c>
      <c r="AN589" s="54">
        <f>IF(OR(T589="Open",AND(T589="Won",ABS(Y589)&gt;0.5)),1,0)</f>
        <v/>
      </c>
      <c r="AO589" s="52">
        <f>IF(T589="Open",IF(V589=0,0,X589),IF(T589="Won",MAX(0,Y589),0))</f>
        <v/>
      </c>
      <c r="AP589" s="54">
        <f>IF(AN589=1,AL589*1E+9+U589+ROW()/1E+6,"")</f>
        <v/>
      </c>
      <c r="AQ589" s="9">
        <f>MID(IF(AF589&gt;0,"; Expected month passed - update Zoho","")&amp;IF(AG589&gt;0,"; "&amp;TEXT(U589/MAX(1,SUMIFS($U$2:$U$601,$T$2:$T$601,"Open")),"0%")&amp;" of open pipeline in one deal","")&amp;IF(AH589&gt;0,"; Large deal at an early stage","")&amp;IF(AI589&gt;0,"; No amount in Zoho","")&amp;IF(AJ589&gt;0,"; Won, invoice month passed, not fully invoiced","")&amp;IF(AK589&gt;0,"; Xero invoiced more than the deal value",""),3,300)</f>
        <v/>
      </c>
    </row>
    <row r="590">
      <c r="T590" s="9">
        <f>IFERROR(INDEX($A590:$R590,MATCH("Status",$A$1:$R$1,0)),"")&amp;""</f>
        <v/>
      </c>
      <c r="U590" s="52">
        <f>IFERROR(N(IFERROR(INDEX($A590:$R590,MATCH("Value Ex GST",$A$1:$R$1,0)),"")),0)</f>
        <v/>
      </c>
      <c r="V590" s="54">
        <f>IF(AND(T590&lt;&gt;"",IFERROR(INDEX($A590:$R590,MATCH("Value Ex GST",$A$1:$R$1,0)),"")&amp;""&lt;&gt;""),1,0)</f>
        <v/>
      </c>
      <c r="W590" s="56">
        <f>IFERROR(N(IFERROR(INDEX($A590:$R590,MATCH("Probability",$A$1:$R$1,0)),"")),0)</f>
        <v/>
      </c>
      <c r="X590" s="52">
        <f>IF(T590="Open",U590*W590,0)</f>
        <v/>
      </c>
      <c r="Y590" s="52">
        <f>IF(T590="Won",IFERROR(N(IFERROR(INDEX($A590:$R590,MATCH("Still to Invoice",$A$1:$R$1,0)),"")),0),0)</f>
        <v/>
      </c>
      <c r="Z590" s="55">
        <f>IFERROR(EOMONTH(IFERROR(INDEX($A590:$R590,MATCH("Expected Invoice Month",$A$1:$R$1,0)),""),0),"")</f>
        <v/>
      </c>
      <c r="AA590" s="9">
        <f>IFERROR(INDEX($A590:$R590,MATCH("Cost Centre",$A$1:$R$1,0)),"")&amp;""</f>
        <v/>
      </c>
      <c r="AB590" s="9">
        <f>IFERROR(INDEX($A590:$R590,MATCH("Pipeline Stage",$A$1:$R$1,0)),"")&amp;""</f>
        <v/>
      </c>
      <c r="AC590" s="9">
        <f>IFERROR(INDEX($A590:$R590,MATCH("Client",$A$1:$R$1,0)),"")&amp;""</f>
        <v/>
      </c>
      <c r="AD590" s="9">
        <f>IFERROR(INDEX($A590:$R590,MATCH("Description",$A$1:$R$1,0)),"")&amp;""</f>
        <v/>
      </c>
      <c r="AE590" s="9">
        <f>IFERROR(INDEX($A590:$R590,MATCH("Job Number",$A$1:$R$1,0)),"")&amp;""</f>
        <v/>
      </c>
      <c r="AF590" s="54">
        <f>IF(AND(T590="Open",ISNUMBER(Z590),Z590&lt;EOMONTH(set_AsAt,-1)+1),3,0)</f>
        <v/>
      </c>
      <c r="AG590" s="54">
        <f>IF(AND(T590="Open",U590&gt;0,U590&gt;=set_DealShare*SUMIFS($U$2:$U$601,$T$2:$T$601,"Open")),3,0)</f>
        <v/>
      </c>
      <c r="AH590" s="54">
        <f>IF(AND(T590="Open",U590&gt;=set_BigValue,W590&lt;=set_EarlyProb),2,0)</f>
        <v/>
      </c>
      <c r="AI590" s="54">
        <f>IF(AND(OR(T590="Open",T590="Won"),V590=0),2,0)</f>
        <v/>
      </c>
      <c r="AJ590" s="54">
        <f>IF(AND(T590="Won",Y590&gt;0.5,ISNUMBER(Z590),Z590&lt;EOMONTH(set_AsAt,-1)+1),3,0)</f>
        <v/>
      </c>
      <c r="AK590" s="54">
        <f>IF(AND(T590="Won",Y590&lt;-1),1,0)</f>
        <v/>
      </c>
      <c r="AL590" s="54">
        <f>SUM(AF590:AK590)</f>
        <v/>
      </c>
      <c r="AM590" s="9">
        <f>IF(AL590&gt;=set_ScoreHigh,"High",IF(AL590&gt;=set_ScoreMed,"Medium",IF(AL590&gt;0,"Low","OK")))</f>
        <v/>
      </c>
      <c r="AN590" s="54">
        <f>IF(OR(T590="Open",AND(T590="Won",ABS(Y590)&gt;0.5)),1,0)</f>
        <v/>
      </c>
      <c r="AO590" s="52">
        <f>IF(T590="Open",IF(V590=0,0,X590),IF(T590="Won",MAX(0,Y590),0))</f>
        <v/>
      </c>
      <c r="AP590" s="54">
        <f>IF(AN590=1,AL590*1E+9+U590+ROW()/1E+6,"")</f>
        <v/>
      </c>
      <c r="AQ590" s="9">
        <f>MID(IF(AF590&gt;0,"; Expected month passed - update Zoho","")&amp;IF(AG590&gt;0,"; "&amp;TEXT(U590/MAX(1,SUMIFS($U$2:$U$601,$T$2:$T$601,"Open")),"0%")&amp;" of open pipeline in one deal","")&amp;IF(AH590&gt;0,"; Large deal at an early stage","")&amp;IF(AI590&gt;0,"; No amount in Zoho","")&amp;IF(AJ590&gt;0,"; Won, invoice month passed, not fully invoiced","")&amp;IF(AK590&gt;0,"; Xero invoiced more than the deal value",""),3,300)</f>
        <v/>
      </c>
    </row>
    <row r="591">
      <c r="T591" s="9">
        <f>IFERROR(INDEX($A591:$R591,MATCH("Status",$A$1:$R$1,0)),"")&amp;""</f>
        <v/>
      </c>
      <c r="U591" s="52">
        <f>IFERROR(N(IFERROR(INDEX($A591:$R591,MATCH("Value Ex GST",$A$1:$R$1,0)),"")),0)</f>
        <v/>
      </c>
      <c r="V591" s="54">
        <f>IF(AND(T591&lt;&gt;"",IFERROR(INDEX($A591:$R591,MATCH("Value Ex GST",$A$1:$R$1,0)),"")&amp;""&lt;&gt;""),1,0)</f>
        <v/>
      </c>
      <c r="W591" s="56">
        <f>IFERROR(N(IFERROR(INDEX($A591:$R591,MATCH("Probability",$A$1:$R$1,0)),"")),0)</f>
        <v/>
      </c>
      <c r="X591" s="52">
        <f>IF(T591="Open",U591*W591,0)</f>
        <v/>
      </c>
      <c r="Y591" s="52">
        <f>IF(T591="Won",IFERROR(N(IFERROR(INDEX($A591:$R591,MATCH("Still to Invoice",$A$1:$R$1,0)),"")),0),0)</f>
        <v/>
      </c>
      <c r="Z591" s="55">
        <f>IFERROR(EOMONTH(IFERROR(INDEX($A591:$R591,MATCH("Expected Invoice Month",$A$1:$R$1,0)),""),0),"")</f>
        <v/>
      </c>
      <c r="AA591" s="9">
        <f>IFERROR(INDEX($A591:$R591,MATCH("Cost Centre",$A$1:$R$1,0)),"")&amp;""</f>
        <v/>
      </c>
      <c r="AB591" s="9">
        <f>IFERROR(INDEX($A591:$R591,MATCH("Pipeline Stage",$A$1:$R$1,0)),"")&amp;""</f>
        <v/>
      </c>
      <c r="AC591" s="9">
        <f>IFERROR(INDEX($A591:$R591,MATCH("Client",$A$1:$R$1,0)),"")&amp;""</f>
        <v/>
      </c>
      <c r="AD591" s="9">
        <f>IFERROR(INDEX($A591:$R591,MATCH("Description",$A$1:$R$1,0)),"")&amp;""</f>
        <v/>
      </c>
      <c r="AE591" s="9">
        <f>IFERROR(INDEX($A591:$R591,MATCH("Job Number",$A$1:$R$1,0)),"")&amp;""</f>
        <v/>
      </c>
      <c r="AF591" s="54">
        <f>IF(AND(T591="Open",ISNUMBER(Z591),Z591&lt;EOMONTH(set_AsAt,-1)+1),3,0)</f>
        <v/>
      </c>
      <c r="AG591" s="54">
        <f>IF(AND(T591="Open",U591&gt;0,U591&gt;=set_DealShare*SUMIFS($U$2:$U$601,$T$2:$T$601,"Open")),3,0)</f>
        <v/>
      </c>
      <c r="AH591" s="54">
        <f>IF(AND(T591="Open",U591&gt;=set_BigValue,W591&lt;=set_EarlyProb),2,0)</f>
        <v/>
      </c>
      <c r="AI591" s="54">
        <f>IF(AND(OR(T591="Open",T591="Won"),V591=0),2,0)</f>
        <v/>
      </c>
      <c r="AJ591" s="54">
        <f>IF(AND(T591="Won",Y591&gt;0.5,ISNUMBER(Z591),Z591&lt;EOMONTH(set_AsAt,-1)+1),3,0)</f>
        <v/>
      </c>
      <c r="AK591" s="54">
        <f>IF(AND(T591="Won",Y591&lt;-1),1,0)</f>
        <v/>
      </c>
      <c r="AL591" s="54">
        <f>SUM(AF591:AK591)</f>
        <v/>
      </c>
      <c r="AM591" s="9">
        <f>IF(AL591&gt;=set_ScoreHigh,"High",IF(AL591&gt;=set_ScoreMed,"Medium",IF(AL591&gt;0,"Low","OK")))</f>
        <v/>
      </c>
      <c r="AN591" s="54">
        <f>IF(OR(T591="Open",AND(T591="Won",ABS(Y591)&gt;0.5)),1,0)</f>
        <v/>
      </c>
      <c r="AO591" s="52">
        <f>IF(T591="Open",IF(V591=0,0,X591),IF(T591="Won",MAX(0,Y591),0))</f>
        <v/>
      </c>
      <c r="AP591" s="54">
        <f>IF(AN591=1,AL591*1E+9+U591+ROW()/1E+6,"")</f>
        <v/>
      </c>
      <c r="AQ591" s="9">
        <f>MID(IF(AF591&gt;0,"; Expected month passed - update Zoho","")&amp;IF(AG591&gt;0,"; "&amp;TEXT(U591/MAX(1,SUMIFS($U$2:$U$601,$T$2:$T$601,"Open")),"0%")&amp;" of open pipeline in one deal","")&amp;IF(AH591&gt;0,"; Large deal at an early stage","")&amp;IF(AI591&gt;0,"; No amount in Zoho","")&amp;IF(AJ591&gt;0,"; Won, invoice month passed, not fully invoiced","")&amp;IF(AK591&gt;0,"; Xero invoiced more than the deal value",""),3,300)</f>
        <v/>
      </c>
    </row>
    <row r="592">
      <c r="T592" s="9">
        <f>IFERROR(INDEX($A592:$R592,MATCH("Status",$A$1:$R$1,0)),"")&amp;""</f>
        <v/>
      </c>
      <c r="U592" s="52">
        <f>IFERROR(N(IFERROR(INDEX($A592:$R592,MATCH("Value Ex GST",$A$1:$R$1,0)),"")),0)</f>
        <v/>
      </c>
      <c r="V592" s="54">
        <f>IF(AND(T592&lt;&gt;"",IFERROR(INDEX($A592:$R592,MATCH("Value Ex GST",$A$1:$R$1,0)),"")&amp;""&lt;&gt;""),1,0)</f>
        <v/>
      </c>
      <c r="W592" s="56">
        <f>IFERROR(N(IFERROR(INDEX($A592:$R592,MATCH("Probability",$A$1:$R$1,0)),"")),0)</f>
        <v/>
      </c>
      <c r="X592" s="52">
        <f>IF(T592="Open",U592*W592,0)</f>
        <v/>
      </c>
      <c r="Y592" s="52">
        <f>IF(T592="Won",IFERROR(N(IFERROR(INDEX($A592:$R592,MATCH("Still to Invoice",$A$1:$R$1,0)),"")),0),0)</f>
        <v/>
      </c>
      <c r="Z592" s="55">
        <f>IFERROR(EOMONTH(IFERROR(INDEX($A592:$R592,MATCH("Expected Invoice Month",$A$1:$R$1,0)),""),0),"")</f>
        <v/>
      </c>
      <c r="AA592" s="9">
        <f>IFERROR(INDEX($A592:$R592,MATCH("Cost Centre",$A$1:$R$1,0)),"")&amp;""</f>
        <v/>
      </c>
      <c r="AB592" s="9">
        <f>IFERROR(INDEX($A592:$R592,MATCH("Pipeline Stage",$A$1:$R$1,0)),"")&amp;""</f>
        <v/>
      </c>
      <c r="AC592" s="9">
        <f>IFERROR(INDEX($A592:$R592,MATCH("Client",$A$1:$R$1,0)),"")&amp;""</f>
        <v/>
      </c>
      <c r="AD592" s="9">
        <f>IFERROR(INDEX($A592:$R592,MATCH("Description",$A$1:$R$1,0)),"")&amp;""</f>
        <v/>
      </c>
      <c r="AE592" s="9">
        <f>IFERROR(INDEX($A592:$R592,MATCH("Job Number",$A$1:$R$1,0)),"")&amp;""</f>
        <v/>
      </c>
      <c r="AF592" s="54">
        <f>IF(AND(T592="Open",ISNUMBER(Z592),Z592&lt;EOMONTH(set_AsAt,-1)+1),3,0)</f>
        <v/>
      </c>
      <c r="AG592" s="54">
        <f>IF(AND(T592="Open",U592&gt;0,U592&gt;=set_DealShare*SUMIFS($U$2:$U$601,$T$2:$T$601,"Open")),3,0)</f>
        <v/>
      </c>
      <c r="AH592" s="54">
        <f>IF(AND(T592="Open",U592&gt;=set_BigValue,W592&lt;=set_EarlyProb),2,0)</f>
        <v/>
      </c>
      <c r="AI592" s="54">
        <f>IF(AND(OR(T592="Open",T592="Won"),V592=0),2,0)</f>
        <v/>
      </c>
      <c r="AJ592" s="54">
        <f>IF(AND(T592="Won",Y592&gt;0.5,ISNUMBER(Z592),Z592&lt;EOMONTH(set_AsAt,-1)+1),3,0)</f>
        <v/>
      </c>
      <c r="AK592" s="54">
        <f>IF(AND(T592="Won",Y592&lt;-1),1,0)</f>
        <v/>
      </c>
      <c r="AL592" s="54">
        <f>SUM(AF592:AK592)</f>
        <v/>
      </c>
      <c r="AM592" s="9">
        <f>IF(AL592&gt;=set_ScoreHigh,"High",IF(AL592&gt;=set_ScoreMed,"Medium",IF(AL592&gt;0,"Low","OK")))</f>
        <v/>
      </c>
      <c r="AN592" s="54">
        <f>IF(OR(T592="Open",AND(T592="Won",ABS(Y592)&gt;0.5)),1,0)</f>
        <v/>
      </c>
      <c r="AO592" s="52">
        <f>IF(T592="Open",IF(V592=0,0,X592),IF(T592="Won",MAX(0,Y592),0))</f>
        <v/>
      </c>
      <c r="AP592" s="54">
        <f>IF(AN592=1,AL592*1E+9+U592+ROW()/1E+6,"")</f>
        <v/>
      </c>
      <c r="AQ592" s="9">
        <f>MID(IF(AF592&gt;0,"; Expected month passed - update Zoho","")&amp;IF(AG592&gt;0,"; "&amp;TEXT(U592/MAX(1,SUMIFS($U$2:$U$601,$T$2:$T$601,"Open")),"0%")&amp;" of open pipeline in one deal","")&amp;IF(AH592&gt;0,"; Large deal at an early stage","")&amp;IF(AI592&gt;0,"; No amount in Zoho","")&amp;IF(AJ592&gt;0,"; Won, invoice month passed, not fully invoiced","")&amp;IF(AK592&gt;0,"; Xero invoiced more than the deal value",""),3,300)</f>
        <v/>
      </c>
    </row>
    <row r="593">
      <c r="T593" s="9">
        <f>IFERROR(INDEX($A593:$R593,MATCH("Status",$A$1:$R$1,0)),"")&amp;""</f>
        <v/>
      </c>
      <c r="U593" s="52">
        <f>IFERROR(N(IFERROR(INDEX($A593:$R593,MATCH("Value Ex GST",$A$1:$R$1,0)),"")),0)</f>
        <v/>
      </c>
      <c r="V593" s="54">
        <f>IF(AND(T593&lt;&gt;"",IFERROR(INDEX($A593:$R593,MATCH("Value Ex GST",$A$1:$R$1,0)),"")&amp;""&lt;&gt;""),1,0)</f>
        <v/>
      </c>
      <c r="W593" s="56">
        <f>IFERROR(N(IFERROR(INDEX($A593:$R593,MATCH("Probability",$A$1:$R$1,0)),"")),0)</f>
        <v/>
      </c>
      <c r="X593" s="52">
        <f>IF(T593="Open",U593*W593,0)</f>
        <v/>
      </c>
      <c r="Y593" s="52">
        <f>IF(T593="Won",IFERROR(N(IFERROR(INDEX($A593:$R593,MATCH("Still to Invoice",$A$1:$R$1,0)),"")),0),0)</f>
        <v/>
      </c>
      <c r="Z593" s="55">
        <f>IFERROR(EOMONTH(IFERROR(INDEX($A593:$R593,MATCH("Expected Invoice Month",$A$1:$R$1,0)),""),0),"")</f>
        <v/>
      </c>
      <c r="AA593" s="9">
        <f>IFERROR(INDEX($A593:$R593,MATCH("Cost Centre",$A$1:$R$1,0)),"")&amp;""</f>
        <v/>
      </c>
      <c r="AB593" s="9">
        <f>IFERROR(INDEX($A593:$R593,MATCH("Pipeline Stage",$A$1:$R$1,0)),"")&amp;""</f>
        <v/>
      </c>
      <c r="AC593" s="9">
        <f>IFERROR(INDEX($A593:$R593,MATCH("Client",$A$1:$R$1,0)),"")&amp;""</f>
        <v/>
      </c>
      <c r="AD593" s="9">
        <f>IFERROR(INDEX($A593:$R593,MATCH("Description",$A$1:$R$1,0)),"")&amp;""</f>
        <v/>
      </c>
      <c r="AE593" s="9">
        <f>IFERROR(INDEX($A593:$R593,MATCH("Job Number",$A$1:$R$1,0)),"")&amp;""</f>
        <v/>
      </c>
      <c r="AF593" s="54">
        <f>IF(AND(T593="Open",ISNUMBER(Z593),Z593&lt;EOMONTH(set_AsAt,-1)+1),3,0)</f>
        <v/>
      </c>
      <c r="AG593" s="54">
        <f>IF(AND(T593="Open",U593&gt;0,U593&gt;=set_DealShare*SUMIFS($U$2:$U$601,$T$2:$T$601,"Open")),3,0)</f>
        <v/>
      </c>
      <c r="AH593" s="54">
        <f>IF(AND(T593="Open",U593&gt;=set_BigValue,W593&lt;=set_EarlyProb),2,0)</f>
        <v/>
      </c>
      <c r="AI593" s="54">
        <f>IF(AND(OR(T593="Open",T593="Won"),V593=0),2,0)</f>
        <v/>
      </c>
      <c r="AJ593" s="54">
        <f>IF(AND(T593="Won",Y593&gt;0.5,ISNUMBER(Z593),Z593&lt;EOMONTH(set_AsAt,-1)+1),3,0)</f>
        <v/>
      </c>
      <c r="AK593" s="54">
        <f>IF(AND(T593="Won",Y593&lt;-1),1,0)</f>
        <v/>
      </c>
      <c r="AL593" s="54">
        <f>SUM(AF593:AK593)</f>
        <v/>
      </c>
      <c r="AM593" s="9">
        <f>IF(AL593&gt;=set_ScoreHigh,"High",IF(AL593&gt;=set_ScoreMed,"Medium",IF(AL593&gt;0,"Low","OK")))</f>
        <v/>
      </c>
      <c r="AN593" s="54">
        <f>IF(OR(T593="Open",AND(T593="Won",ABS(Y593)&gt;0.5)),1,0)</f>
        <v/>
      </c>
      <c r="AO593" s="52">
        <f>IF(T593="Open",IF(V593=0,0,X593),IF(T593="Won",MAX(0,Y593),0))</f>
        <v/>
      </c>
      <c r="AP593" s="54">
        <f>IF(AN593=1,AL593*1E+9+U593+ROW()/1E+6,"")</f>
        <v/>
      </c>
      <c r="AQ593" s="9">
        <f>MID(IF(AF593&gt;0,"; Expected month passed - update Zoho","")&amp;IF(AG593&gt;0,"; "&amp;TEXT(U593/MAX(1,SUMIFS($U$2:$U$601,$T$2:$T$601,"Open")),"0%")&amp;" of open pipeline in one deal","")&amp;IF(AH593&gt;0,"; Large deal at an early stage","")&amp;IF(AI593&gt;0,"; No amount in Zoho","")&amp;IF(AJ593&gt;0,"; Won, invoice month passed, not fully invoiced","")&amp;IF(AK593&gt;0,"; Xero invoiced more than the deal value",""),3,300)</f>
        <v/>
      </c>
    </row>
    <row r="594">
      <c r="T594" s="9">
        <f>IFERROR(INDEX($A594:$R594,MATCH("Status",$A$1:$R$1,0)),"")&amp;""</f>
        <v/>
      </c>
      <c r="U594" s="52">
        <f>IFERROR(N(IFERROR(INDEX($A594:$R594,MATCH("Value Ex GST",$A$1:$R$1,0)),"")),0)</f>
        <v/>
      </c>
      <c r="V594" s="54">
        <f>IF(AND(T594&lt;&gt;"",IFERROR(INDEX($A594:$R594,MATCH("Value Ex GST",$A$1:$R$1,0)),"")&amp;""&lt;&gt;""),1,0)</f>
        <v/>
      </c>
      <c r="W594" s="56">
        <f>IFERROR(N(IFERROR(INDEX($A594:$R594,MATCH("Probability",$A$1:$R$1,0)),"")),0)</f>
        <v/>
      </c>
      <c r="X594" s="52">
        <f>IF(T594="Open",U594*W594,0)</f>
        <v/>
      </c>
      <c r="Y594" s="52">
        <f>IF(T594="Won",IFERROR(N(IFERROR(INDEX($A594:$R594,MATCH("Still to Invoice",$A$1:$R$1,0)),"")),0),0)</f>
        <v/>
      </c>
      <c r="Z594" s="55">
        <f>IFERROR(EOMONTH(IFERROR(INDEX($A594:$R594,MATCH("Expected Invoice Month",$A$1:$R$1,0)),""),0),"")</f>
        <v/>
      </c>
      <c r="AA594" s="9">
        <f>IFERROR(INDEX($A594:$R594,MATCH("Cost Centre",$A$1:$R$1,0)),"")&amp;""</f>
        <v/>
      </c>
      <c r="AB594" s="9">
        <f>IFERROR(INDEX($A594:$R594,MATCH("Pipeline Stage",$A$1:$R$1,0)),"")&amp;""</f>
        <v/>
      </c>
      <c r="AC594" s="9">
        <f>IFERROR(INDEX($A594:$R594,MATCH("Client",$A$1:$R$1,0)),"")&amp;""</f>
        <v/>
      </c>
      <c r="AD594" s="9">
        <f>IFERROR(INDEX($A594:$R594,MATCH("Description",$A$1:$R$1,0)),"")&amp;""</f>
        <v/>
      </c>
      <c r="AE594" s="9">
        <f>IFERROR(INDEX($A594:$R594,MATCH("Job Number",$A$1:$R$1,0)),"")&amp;""</f>
        <v/>
      </c>
      <c r="AF594" s="54">
        <f>IF(AND(T594="Open",ISNUMBER(Z594),Z594&lt;EOMONTH(set_AsAt,-1)+1),3,0)</f>
        <v/>
      </c>
      <c r="AG594" s="54">
        <f>IF(AND(T594="Open",U594&gt;0,U594&gt;=set_DealShare*SUMIFS($U$2:$U$601,$T$2:$T$601,"Open")),3,0)</f>
        <v/>
      </c>
      <c r="AH594" s="54">
        <f>IF(AND(T594="Open",U594&gt;=set_BigValue,W594&lt;=set_EarlyProb),2,0)</f>
        <v/>
      </c>
      <c r="AI594" s="54">
        <f>IF(AND(OR(T594="Open",T594="Won"),V594=0),2,0)</f>
        <v/>
      </c>
      <c r="AJ594" s="54">
        <f>IF(AND(T594="Won",Y594&gt;0.5,ISNUMBER(Z594),Z594&lt;EOMONTH(set_AsAt,-1)+1),3,0)</f>
        <v/>
      </c>
      <c r="AK594" s="54">
        <f>IF(AND(T594="Won",Y594&lt;-1),1,0)</f>
        <v/>
      </c>
      <c r="AL594" s="54">
        <f>SUM(AF594:AK594)</f>
        <v/>
      </c>
      <c r="AM594" s="9">
        <f>IF(AL594&gt;=set_ScoreHigh,"High",IF(AL594&gt;=set_ScoreMed,"Medium",IF(AL594&gt;0,"Low","OK")))</f>
        <v/>
      </c>
      <c r="AN594" s="54">
        <f>IF(OR(T594="Open",AND(T594="Won",ABS(Y594)&gt;0.5)),1,0)</f>
        <v/>
      </c>
      <c r="AO594" s="52">
        <f>IF(T594="Open",IF(V594=0,0,X594),IF(T594="Won",MAX(0,Y594),0))</f>
        <v/>
      </c>
      <c r="AP594" s="54">
        <f>IF(AN594=1,AL594*1E+9+U594+ROW()/1E+6,"")</f>
        <v/>
      </c>
      <c r="AQ594" s="9">
        <f>MID(IF(AF594&gt;0,"; Expected month passed - update Zoho","")&amp;IF(AG594&gt;0,"; "&amp;TEXT(U594/MAX(1,SUMIFS($U$2:$U$601,$T$2:$T$601,"Open")),"0%")&amp;" of open pipeline in one deal","")&amp;IF(AH594&gt;0,"; Large deal at an early stage","")&amp;IF(AI594&gt;0,"; No amount in Zoho","")&amp;IF(AJ594&gt;0,"; Won, invoice month passed, not fully invoiced","")&amp;IF(AK594&gt;0,"; Xero invoiced more than the deal value",""),3,300)</f>
        <v/>
      </c>
    </row>
    <row r="595">
      <c r="T595" s="9">
        <f>IFERROR(INDEX($A595:$R595,MATCH("Status",$A$1:$R$1,0)),"")&amp;""</f>
        <v/>
      </c>
      <c r="U595" s="52">
        <f>IFERROR(N(IFERROR(INDEX($A595:$R595,MATCH("Value Ex GST",$A$1:$R$1,0)),"")),0)</f>
        <v/>
      </c>
      <c r="V595" s="54">
        <f>IF(AND(T595&lt;&gt;"",IFERROR(INDEX($A595:$R595,MATCH("Value Ex GST",$A$1:$R$1,0)),"")&amp;""&lt;&gt;""),1,0)</f>
        <v/>
      </c>
      <c r="W595" s="56">
        <f>IFERROR(N(IFERROR(INDEX($A595:$R595,MATCH("Probability",$A$1:$R$1,0)),"")),0)</f>
        <v/>
      </c>
      <c r="X595" s="52">
        <f>IF(T595="Open",U595*W595,0)</f>
        <v/>
      </c>
      <c r="Y595" s="52">
        <f>IF(T595="Won",IFERROR(N(IFERROR(INDEX($A595:$R595,MATCH("Still to Invoice",$A$1:$R$1,0)),"")),0),0)</f>
        <v/>
      </c>
      <c r="Z595" s="55">
        <f>IFERROR(EOMONTH(IFERROR(INDEX($A595:$R595,MATCH("Expected Invoice Month",$A$1:$R$1,0)),""),0),"")</f>
        <v/>
      </c>
      <c r="AA595" s="9">
        <f>IFERROR(INDEX($A595:$R595,MATCH("Cost Centre",$A$1:$R$1,0)),"")&amp;""</f>
        <v/>
      </c>
      <c r="AB595" s="9">
        <f>IFERROR(INDEX($A595:$R595,MATCH("Pipeline Stage",$A$1:$R$1,0)),"")&amp;""</f>
        <v/>
      </c>
      <c r="AC595" s="9">
        <f>IFERROR(INDEX($A595:$R595,MATCH("Client",$A$1:$R$1,0)),"")&amp;""</f>
        <v/>
      </c>
      <c r="AD595" s="9">
        <f>IFERROR(INDEX($A595:$R595,MATCH("Description",$A$1:$R$1,0)),"")&amp;""</f>
        <v/>
      </c>
      <c r="AE595" s="9">
        <f>IFERROR(INDEX($A595:$R595,MATCH("Job Number",$A$1:$R$1,0)),"")&amp;""</f>
        <v/>
      </c>
      <c r="AF595" s="54">
        <f>IF(AND(T595="Open",ISNUMBER(Z595),Z595&lt;EOMONTH(set_AsAt,-1)+1),3,0)</f>
        <v/>
      </c>
      <c r="AG595" s="54">
        <f>IF(AND(T595="Open",U595&gt;0,U595&gt;=set_DealShare*SUMIFS($U$2:$U$601,$T$2:$T$601,"Open")),3,0)</f>
        <v/>
      </c>
      <c r="AH595" s="54">
        <f>IF(AND(T595="Open",U595&gt;=set_BigValue,W595&lt;=set_EarlyProb),2,0)</f>
        <v/>
      </c>
      <c r="AI595" s="54">
        <f>IF(AND(OR(T595="Open",T595="Won"),V595=0),2,0)</f>
        <v/>
      </c>
      <c r="AJ595" s="54">
        <f>IF(AND(T595="Won",Y595&gt;0.5,ISNUMBER(Z595),Z595&lt;EOMONTH(set_AsAt,-1)+1),3,0)</f>
        <v/>
      </c>
      <c r="AK595" s="54">
        <f>IF(AND(T595="Won",Y595&lt;-1),1,0)</f>
        <v/>
      </c>
      <c r="AL595" s="54">
        <f>SUM(AF595:AK595)</f>
        <v/>
      </c>
      <c r="AM595" s="9">
        <f>IF(AL595&gt;=set_ScoreHigh,"High",IF(AL595&gt;=set_ScoreMed,"Medium",IF(AL595&gt;0,"Low","OK")))</f>
        <v/>
      </c>
      <c r="AN595" s="54">
        <f>IF(OR(T595="Open",AND(T595="Won",ABS(Y595)&gt;0.5)),1,0)</f>
        <v/>
      </c>
      <c r="AO595" s="52">
        <f>IF(T595="Open",IF(V595=0,0,X595),IF(T595="Won",MAX(0,Y595),0))</f>
        <v/>
      </c>
      <c r="AP595" s="54">
        <f>IF(AN595=1,AL595*1E+9+U595+ROW()/1E+6,"")</f>
        <v/>
      </c>
      <c r="AQ595" s="9">
        <f>MID(IF(AF595&gt;0,"; Expected month passed - update Zoho","")&amp;IF(AG595&gt;0,"; "&amp;TEXT(U595/MAX(1,SUMIFS($U$2:$U$601,$T$2:$T$601,"Open")),"0%")&amp;" of open pipeline in one deal","")&amp;IF(AH595&gt;0,"; Large deal at an early stage","")&amp;IF(AI595&gt;0,"; No amount in Zoho","")&amp;IF(AJ595&gt;0,"; Won, invoice month passed, not fully invoiced","")&amp;IF(AK595&gt;0,"; Xero invoiced more than the deal value",""),3,300)</f>
        <v/>
      </c>
    </row>
    <row r="596">
      <c r="T596" s="9">
        <f>IFERROR(INDEX($A596:$R596,MATCH("Status",$A$1:$R$1,0)),"")&amp;""</f>
        <v/>
      </c>
      <c r="U596" s="52">
        <f>IFERROR(N(IFERROR(INDEX($A596:$R596,MATCH("Value Ex GST",$A$1:$R$1,0)),"")),0)</f>
        <v/>
      </c>
      <c r="V596" s="54">
        <f>IF(AND(T596&lt;&gt;"",IFERROR(INDEX($A596:$R596,MATCH("Value Ex GST",$A$1:$R$1,0)),"")&amp;""&lt;&gt;""),1,0)</f>
        <v/>
      </c>
      <c r="W596" s="56">
        <f>IFERROR(N(IFERROR(INDEX($A596:$R596,MATCH("Probability",$A$1:$R$1,0)),"")),0)</f>
        <v/>
      </c>
      <c r="X596" s="52">
        <f>IF(T596="Open",U596*W596,0)</f>
        <v/>
      </c>
      <c r="Y596" s="52">
        <f>IF(T596="Won",IFERROR(N(IFERROR(INDEX($A596:$R596,MATCH("Still to Invoice",$A$1:$R$1,0)),"")),0),0)</f>
        <v/>
      </c>
      <c r="Z596" s="55">
        <f>IFERROR(EOMONTH(IFERROR(INDEX($A596:$R596,MATCH("Expected Invoice Month",$A$1:$R$1,0)),""),0),"")</f>
        <v/>
      </c>
      <c r="AA596" s="9">
        <f>IFERROR(INDEX($A596:$R596,MATCH("Cost Centre",$A$1:$R$1,0)),"")&amp;""</f>
        <v/>
      </c>
      <c r="AB596" s="9">
        <f>IFERROR(INDEX($A596:$R596,MATCH("Pipeline Stage",$A$1:$R$1,0)),"")&amp;""</f>
        <v/>
      </c>
      <c r="AC596" s="9">
        <f>IFERROR(INDEX($A596:$R596,MATCH("Client",$A$1:$R$1,0)),"")&amp;""</f>
        <v/>
      </c>
      <c r="AD596" s="9">
        <f>IFERROR(INDEX($A596:$R596,MATCH("Description",$A$1:$R$1,0)),"")&amp;""</f>
        <v/>
      </c>
      <c r="AE596" s="9">
        <f>IFERROR(INDEX($A596:$R596,MATCH("Job Number",$A$1:$R$1,0)),"")&amp;""</f>
        <v/>
      </c>
      <c r="AF596" s="54">
        <f>IF(AND(T596="Open",ISNUMBER(Z596),Z596&lt;EOMONTH(set_AsAt,-1)+1),3,0)</f>
        <v/>
      </c>
      <c r="AG596" s="54">
        <f>IF(AND(T596="Open",U596&gt;0,U596&gt;=set_DealShare*SUMIFS($U$2:$U$601,$T$2:$T$601,"Open")),3,0)</f>
        <v/>
      </c>
      <c r="AH596" s="54">
        <f>IF(AND(T596="Open",U596&gt;=set_BigValue,W596&lt;=set_EarlyProb),2,0)</f>
        <v/>
      </c>
      <c r="AI596" s="54">
        <f>IF(AND(OR(T596="Open",T596="Won"),V596=0),2,0)</f>
        <v/>
      </c>
      <c r="AJ596" s="54">
        <f>IF(AND(T596="Won",Y596&gt;0.5,ISNUMBER(Z596),Z596&lt;EOMONTH(set_AsAt,-1)+1),3,0)</f>
        <v/>
      </c>
      <c r="AK596" s="54">
        <f>IF(AND(T596="Won",Y596&lt;-1),1,0)</f>
        <v/>
      </c>
      <c r="AL596" s="54">
        <f>SUM(AF596:AK596)</f>
        <v/>
      </c>
      <c r="AM596" s="9">
        <f>IF(AL596&gt;=set_ScoreHigh,"High",IF(AL596&gt;=set_ScoreMed,"Medium",IF(AL596&gt;0,"Low","OK")))</f>
        <v/>
      </c>
      <c r="AN596" s="54">
        <f>IF(OR(T596="Open",AND(T596="Won",ABS(Y596)&gt;0.5)),1,0)</f>
        <v/>
      </c>
      <c r="AO596" s="52">
        <f>IF(T596="Open",IF(V596=0,0,X596),IF(T596="Won",MAX(0,Y596),0))</f>
        <v/>
      </c>
      <c r="AP596" s="54">
        <f>IF(AN596=1,AL596*1E+9+U596+ROW()/1E+6,"")</f>
        <v/>
      </c>
      <c r="AQ596" s="9">
        <f>MID(IF(AF596&gt;0,"; Expected month passed - update Zoho","")&amp;IF(AG596&gt;0,"; "&amp;TEXT(U596/MAX(1,SUMIFS($U$2:$U$601,$T$2:$T$601,"Open")),"0%")&amp;" of open pipeline in one deal","")&amp;IF(AH596&gt;0,"; Large deal at an early stage","")&amp;IF(AI596&gt;0,"; No amount in Zoho","")&amp;IF(AJ596&gt;0,"; Won, invoice month passed, not fully invoiced","")&amp;IF(AK596&gt;0,"; Xero invoiced more than the deal value",""),3,300)</f>
        <v/>
      </c>
    </row>
    <row r="597">
      <c r="T597" s="9">
        <f>IFERROR(INDEX($A597:$R597,MATCH("Status",$A$1:$R$1,0)),"")&amp;""</f>
        <v/>
      </c>
      <c r="U597" s="52">
        <f>IFERROR(N(IFERROR(INDEX($A597:$R597,MATCH("Value Ex GST",$A$1:$R$1,0)),"")),0)</f>
        <v/>
      </c>
      <c r="V597" s="54">
        <f>IF(AND(T597&lt;&gt;"",IFERROR(INDEX($A597:$R597,MATCH("Value Ex GST",$A$1:$R$1,0)),"")&amp;""&lt;&gt;""),1,0)</f>
        <v/>
      </c>
      <c r="W597" s="56">
        <f>IFERROR(N(IFERROR(INDEX($A597:$R597,MATCH("Probability",$A$1:$R$1,0)),"")),0)</f>
        <v/>
      </c>
      <c r="X597" s="52">
        <f>IF(T597="Open",U597*W597,0)</f>
        <v/>
      </c>
      <c r="Y597" s="52">
        <f>IF(T597="Won",IFERROR(N(IFERROR(INDEX($A597:$R597,MATCH("Still to Invoice",$A$1:$R$1,0)),"")),0),0)</f>
        <v/>
      </c>
      <c r="Z597" s="55">
        <f>IFERROR(EOMONTH(IFERROR(INDEX($A597:$R597,MATCH("Expected Invoice Month",$A$1:$R$1,0)),""),0),"")</f>
        <v/>
      </c>
      <c r="AA597" s="9">
        <f>IFERROR(INDEX($A597:$R597,MATCH("Cost Centre",$A$1:$R$1,0)),"")&amp;""</f>
        <v/>
      </c>
      <c r="AB597" s="9">
        <f>IFERROR(INDEX($A597:$R597,MATCH("Pipeline Stage",$A$1:$R$1,0)),"")&amp;""</f>
        <v/>
      </c>
      <c r="AC597" s="9">
        <f>IFERROR(INDEX($A597:$R597,MATCH("Client",$A$1:$R$1,0)),"")&amp;""</f>
        <v/>
      </c>
      <c r="AD597" s="9">
        <f>IFERROR(INDEX($A597:$R597,MATCH("Description",$A$1:$R$1,0)),"")&amp;""</f>
        <v/>
      </c>
      <c r="AE597" s="9">
        <f>IFERROR(INDEX($A597:$R597,MATCH("Job Number",$A$1:$R$1,0)),"")&amp;""</f>
        <v/>
      </c>
      <c r="AF597" s="54">
        <f>IF(AND(T597="Open",ISNUMBER(Z597),Z597&lt;EOMONTH(set_AsAt,-1)+1),3,0)</f>
        <v/>
      </c>
      <c r="AG597" s="54">
        <f>IF(AND(T597="Open",U597&gt;0,U597&gt;=set_DealShare*SUMIFS($U$2:$U$601,$T$2:$T$601,"Open")),3,0)</f>
        <v/>
      </c>
      <c r="AH597" s="54">
        <f>IF(AND(T597="Open",U597&gt;=set_BigValue,W597&lt;=set_EarlyProb),2,0)</f>
        <v/>
      </c>
      <c r="AI597" s="54">
        <f>IF(AND(OR(T597="Open",T597="Won"),V597=0),2,0)</f>
        <v/>
      </c>
      <c r="AJ597" s="54">
        <f>IF(AND(T597="Won",Y597&gt;0.5,ISNUMBER(Z597),Z597&lt;EOMONTH(set_AsAt,-1)+1),3,0)</f>
        <v/>
      </c>
      <c r="AK597" s="54">
        <f>IF(AND(T597="Won",Y597&lt;-1),1,0)</f>
        <v/>
      </c>
      <c r="AL597" s="54">
        <f>SUM(AF597:AK597)</f>
        <v/>
      </c>
      <c r="AM597" s="9">
        <f>IF(AL597&gt;=set_ScoreHigh,"High",IF(AL597&gt;=set_ScoreMed,"Medium",IF(AL597&gt;0,"Low","OK")))</f>
        <v/>
      </c>
      <c r="AN597" s="54">
        <f>IF(OR(T597="Open",AND(T597="Won",ABS(Y597)&gt;0.5)),1,0)</f>
        <v/>
      </c>
      <c r="AO597" s="52">
        <f>IF(T597="Open",IF(V597=0,0,X597),IF(T597="Won",MAX(0,Y597),0))</f>
        <v/>
      </c>
      <c r="AP597" s="54">
        <f>IF(AN597=1,AL597*1E+9+U597+ROW()/1E+6,"")</f>
        <v/>
      </c>
      <c r="AQ597" s="9">
        <f>MID(IF(AF597&gt;0,"; Expected month passed - update Zoho","")&amp;IF(AG597&gt;0,"; "&amp;TEXT(U597/MAX(1,SUMIFS($U$2:$U$601,$T$2:$T$601,"Open")),"0%")&amp;" of open pipeline in one deal","")&amp;IF(AH597&gt;0,"; Large deal at an early stage","")&amp;IF(AI597&gt;0,"; No amount in Zoho","")&amp;IF(AJ597&gt;0,"; Won, invoice month passed, not fully invoiced","")&amp;IF(AK597&gt;0,"; Xero invoiced more than the deal value",""),3,300)</f>
        <v/>
      </c>
    </row>
    <row r="598">
      <c r="T598" s="9">
        <f>IFERROR(INDEX($A598:$R598,MATCH("Status",$A$1:$R$1,0)),"")&amp;""</f>
        <v/>
      </c>
      <c r="U598" s="52">
        <f>IFERROR(N(IFERROR(INDEX($A598:$R598,MATCH("Value Ex GST",$A$1:$R$1,0)),"")),0)</f>
        <v/>
      </c>
      <c r="V598" s="54">
        <f>IF(AND(T598&lt;&gt;"",IFERROR(INDEX($A598:$R598,MATCH("Value Ex GST",$A$1:$R$1,0)),"")&amp;""&lt;&gt;""),1,0)</f>
        <v/>
      </c>
      <c r="W598" s="56">
        <f>IFERROR(N(IFERROR(INDEX($A598:$R598,MATCH("Probability",$A$1:$R$1,0)),"")),0)</f>
        <v/>
      </c>
      <c r="X598" s="52">
        <f>IF(T598="Open",U598*W598,0)</f>
        <v/>
      </c>
      <c r="Y598" s="52">
        <f>IF(T598="Won",IFERROR(N(IFERROR(INDEX($A598:$R598,MATCH("Still to Invoice",$A$1:$R$1,0)),"")),0),0)</f>
        <v/>
      </c>
      <c r="Z598" s="55">
        <f>IFERROR(EOMONTH(IFERROR(INDEX($A598:$R598,MATCH("Expected Invoice Month",$A$1:$R$1,0)),""),0),"")</f>
        <v/>
      </c>
      <c r="AA598" s="9">
        <f>IFERROR(INDEX($A598:$R598,MATCH("Cost Centre",$A$1:$R$1,0)),"")&amp;""</f>
        <v/>
      </c>
      <c r="AB598" s="9">
        <f>IFERROR(INDEX($A598:$R598,MATCH("Pipeline Stage",$A$1:$R$1,0)),"")&amp;""</f>
        <v/>
      </c>
      <c r="AC598" s="9">
        <f>IFERROR(INDEX($A598:$R598,MATCH("Client",$A$1:$R$1,0)),"")&amp;""</f>
        <v/>
      </c>
      <c r="AD598" s="9">
        <f>IFERROR(INDEX($A598:$R598,MATCH("Description",$A$1:$R$1,0)),"")&amp;""</f>
        <v/>
      </c>
      <c r="AE598" s="9">
        <f>IFERROR(INDEX($A598:$R598,MATCH("Job Number",$A$1:$R$1,0)),"")&amp;""</f>
        <v/>
      </c>
      <c r="AF598" s="54">
        <f>IF(AND(T598="Open",ISNUMBER(Z598),Z598&lt;EOMONTH(set_AsAt,-1)+1),3,0)</f>
        <v/>
      </c>
      <c r="AG598" s="54">
        <f>IF(AND(T598="Open",U598&gt;0,U598&gt;=set_DealShare*SUMIFS($U$2:$U$601,$T$2:$T$601,"Open")),3,0)</f>
        <v/>
      </c>
      <c r="AH598" s="54">
        <f>IF(AND(T598="Open",U598&gt;=set_BigValue,W598&lt;=set_EarlyProb),2,0)</f>
        <v/>
      </c>
      <c r="AI598" s="54">
        <f>IF(AND(OR(T598="Open",T598="Won"),V598=0),2,0)</f>
        <v/>
      </c>
      <c r="AJ598" s="54">
        <f>IF(AND(T598="Won",Y598&gt;0.5,ISNUMBER(Z598),Z598&lt;EOMONTH(set_AsAt,-1)+1),3,0)</f>
        <v/>
      </c>
      <c r="AK598" s="54">
        <f>IF(AND(T598="Won",Y598&lt;-1),1,0)</f>
        <v/>
      </c>
      <c r="AL598" s="54">
        <f>SUM(AF598:AK598)</f>
        <v/>
      </c>
      <c r="AM598" s="9">
        <f>IF(AL598&gt;=set_ScoreHigh,"High",IF(AL598&gt;=set_ScoreMed,"Medium",IF(AL598&gt;0,"Low","OK")))</f>
        <v/>
      </c>
      <c r="AN598" s="54">
        <f>IF(OR(T598="Open",AND(T598="Won",ABS(Y598)&gt;0.5)),1,0)</f>
        <v/>
      </c>
      <c r="AO598" s="52">
        <f>IF(T598="Open",IF(V598=0,0,X598),IF(T598="Won",MAX(0,Y598),0))</f>
        <v/>
      </c>
      <c r="AP598" s="54">
        <f>IF(AN598=1,AL598*1E+9+U598+ROW()/1E+6,"")</f>
        <v/>
      </c>
      <c r="AQ598" s="9">
        <f>MID(IF(AF598&gt;0,"; Expected month passed - update Zoho","")&amp;IF(AG598&gt;0,"; "&amp;TEXT(U598/MAX(1,SUMIFS($U$2:$U$601,$T$2:$T$601,"Open")),"0%")&amp;" of open pipeline in one deal","")&amp;IF(AH598&gt;0,"; Large deal at an early stage","")&amp;IF(AI598&gt;0,"; No amount in Zoho","")&amp;IF(AJ598&gt;0,"; Won, invoice month passed, not fully invoiced","")&amp;IF(AK598&gt;0,"; Xero invoiced more than the deal value",""),3,300)</f>
        <v/>
      </c>
    </row>
    <row r="599">
      <c r="T599" s="9">
        <f>IFERROR(INDEX($A599:$R599,MATCH("Status",$A$1:$R$1,0)),"")&amp;""</f>
        <v/>
      </c>
      <c r="U599" s="52">
        <f>IFERROR(N(IFERROR(INDEX($A599:$R599,MATCH("Value Ex GST",$A$1:$R$1,0)),"")),0)</f>
        <v/>
      </c>
      <c r="V599" s="54">
        <f>IF(AND(T599&lt;&gt;"",IFERROR(INDEX($A599:$R599,MATCH("Value Ex GST",$A$1:$R$1,0)),"")&amp;""&lt;&gt;""),1,0)</f>
        <v/>
      </c>
      <c r="W599" s="56">
        <f>IFERROR(N(IFERROR(INDEX($A599:$R599,MATCH("Probability",$A$1:$R$1,0)),"")),0)</f>
        <v/>
      </c>
      <c r="X599" s="52">
        <f>IF(T599="Open",U599*W599,0)</f>
        <v/>
      </c>
      <c r="Y599" s="52">
        <f>IF(T599="Won",IFERROR(N(IFERROR(INDEX($A599:$R599,MATCH("Still to Invoice",$A$1:$R$1,0)),"")),0),0)</f>
        <v/>
      </c>
      <c r="Z599" s="55">
        <f>IFERROR(EOMONTH(IFERROR(INDEX($A599:$R599,MATCH("Expected Invoice Month",$A$1:$R$1,0)),""),0),"")</f>
        <v/>
      </c>
      <c r="AA599" s="9">
        <f>IFERROR(INDEX($A599:$R599,MATCH("Cost Centre",$A$1:$R$1,0)),"")&amp;""</f>
        <v/>
      </c>
      <c r="AB599" s="9">
        <f>IFERROR(INDEX($A599:$R599,MATCH("Pipeline Stage",$A$1:$R$1,0)),"")&amp;""</f>
        <v/>
      </c>
      <c r="AC599" s="9">
        <f>IFERROR(INDEX($A599:$R599,MATCH("Client",$A$1:$R$1,0)),"")&amp;""</f>
        <v/>
      </c>
      <c r="AD599" s="9">
        <f>IFERROR(INDEX($A599:$R599,MATCH("Description",$A$1:$R$1,0)),"")&amp;""</f>
        <v/>
      </c>
      <c r="AE599" s="9">
        <f>IFERROR(INDEX($A599:$R599,MATCH("Job Number",$A$1:$R$1,0)),"")&amp;""</f>
        <v/>
      </c>
      <c r="AF599" s="54">
        <f>IF(AND(T599="Open",ISNUMBER(Z599),Z599&lt;EOMONTH(set_AsAt,-1)+1),3,0)</f>
        <v/>
      </c>
      <c r="AG599" s="54">
        <f>IF(AND(T599="Open",U599&gt;0,U599&gt;=set_DealShare*SUMIFS($U$2:$U$601,$T$2:$T$601,"Open")),3,0)</f>
        <v/>
      </c>
      <c r="AH599" s="54">
        <f>IF(AND(T599="Open",U599&gt;=set_BigValue,W599&lt;=set_EarlyProb),2,0)</f>
        <v/>
      </c>
      <c r="AI599" s="54">
        <f>IF(AND(OR(T599="Open",T599="Won"),V599=0),2,0)</f>
        <v/>
      </c>
      <c r="AJ599" s="54">
        <f>IF(AND(T599="Won",Y599&gt;0.5,ISNUMBER(Z599),Z599&lt;EOMONTH(set_AsAt,-1)+1),3,0)</f>
        <v/>
      </c>
      <c r="AK599" s="54">
        <f>IF(AND(T599="Won",Y599&lt;-1),1,0)</f>
        <v/>
      </c>
      <c r="AL599" s="54">
        <f>SUM(AF599:AK599)</f>
        <v/>
      </c>
      <c r="AM599" s="9">
        <f>IF(AL599&gt;=set_ScoreHigh,"High",IF(AL599&gt;=set_ScoreMed,"Medium",IF(AL599&gt;0,"Low","OK")))</f>
        <v/>
      </c>
      <c r="AN599" s="54">
        <f>IF(OR(T599="Open",AND(T599="Won",ABS(Y599)&gt;0.5)),1,0)</f>
        <v/>
      </c>
      <c r="AO599" s="52">
        <f>IF(T599="Open",IF(V599=0,0,X599),IF(T599="Won",MAX(0,Y599),0))</f>
        <v/>
      </c>
      <c r="AP599" s="54">
        <f>IF(AN599=1,AL599*1E+9+U599+ROW()/1E+6,"")</f>
        <v/>
      </c>
      <c r="AQ599" s="9">
        <f>MID(IF(AF599&gt;0,"; Expected month passed - update Zoho","")&amp;IF(AG599&gt;0,"; "&amp;TEXT(U599/MAX(1,SUMIFS($U$2:$U$601,$T$2:$T$601,"Open")),"0%")&amp;" of open pipeline in one deal","")&amp;IF(AH599&gt;0,"; Large deal at an early stage","")&amp;IF(AI599&gt;0,"; No amount in Zoho","")&amp;IF(AJ599&gt;0,"; Won, invoice month passed, not fully invoiced","")&amp;IF(AK599&gt;0,"; Xero invoiced more than the deal value",""),3,300)</f>
        <v/>
      </c>
    </row>
    <row r="600">
      <c r="T600" s="9">
        <f>IFERROR(INDEX($A600:$R600,MATCH("Status",$A$1:$R$1,0)),"")&amp;""</f>
        <v/>
      </c>
      <c r="U600" s="52">
        <f>IFERROR(N(IFERROR(INDEX($A600:$R600,MATCH("Value Ex GST",$A$1:$R$1,0)),"")),0)</f>
        <v/>
      </c>
      <c r="V600" s="54">
        <f>IF(AND(T600&lt;&gt;"",IFERROR(INDEX($A600:$R600,MATCH("Value Ex GST",$A$1:$R$1,0)),"")&amp;""&lt;&gt;""),1,0)</f>
        <v/>
      </c>
      <c r="W600" s="56">
        <f>IFERROR(N(IFERROR(INDEX($A600:$R600,MATCH("Probability",$A$1:$R$1,0)),"")),0)</f>
        <v/>
      </c>
      <c r="X600" s="52">
        <f>IF(T600="Open",U600*W600,0)</f>
        <v/>
      </c>
      <c r="Y600" s="52">
        <f>IF(T600="Won",IFERROR(N(IFERROR(INDEX($A600:$R600,MATCH("Still to Invoice",$A$1:$R$1,0)),"")),0),0)</f>
        <v/>
      </c>
      <c r="Z600" s="55">
        <f>IFERROR(EOMONTH(IFERROR(INDEX($A600:$R600,MATCH("Expected Invoice Month",$A$1:$R$1,0)),""),0),"")</f>
        <v/>
      </c>
      <c r="AA600" s="9">
        <f>IFERROR(INDEX($A600:$R600,MATCH("Cost Centre",$A$1:$R$1,0)),"")&amp;""</f>
        <v/>
      </c>
      <c r="AB600" s="9">
        <f>IFERROR(INDEX($A600:$R600,MATCH("Pipeline Stage",$A$1:$R$1,0)),"")&amp;""</f>
        <v/>
      </c>
      <c r="AC600" s="9">
        <f>IFERROR(INDEX($A600:$R600,MATCH("Client",$A$1:$R$1,0)),"")&amp;""</f>
        <v/>
      </c>
      <c r="AD600" s="9">
        <f>IFERROR(INDEX($A600:$R600,MATCH("Description",$A$1:$R$1,0)),"")&amp;""</f>
        <v/>
      </c>
      <c r="AE600" s="9">
        <f>IFERROR(INDEX($A600:$R600,MATCH("Job Number",$A$1:$R$1,0)),"")&amp;""</f>
        <v/>
      </c>
      <c r="AF600" s="54">
        <f>IF(AND(T600="Open",ISNUMBER(Z600),Z600&lt;EOMONTH(set_AsAt,-1)+1),3,0)</f>
        <v/>
      </c>
      <c r="AG600" s="54">
        <f>IF(AND(T600="Open",U600&gt;0,U600&gt;=set_DealShare*SUMIFS($U$2:$U$601,$T$2:$T$601,"Open")),3,0)</f>
        <v/>
      </c>
      <c r="AH600" s="54">
        <f>IF(AND(T600="Open",U600&gt;=set_BigValue,W600&lt;=set_EarlyProb),2,0)</f>
        <v/>
      </c>
      <c r="AI600" s="54">
        <f>IF(AND(OR(T600="Open",T600="Won"),V600=0),2,0)</f>
        <v/>
      </c>
      <c r="AJ600" s="54">
        <f>IF(AND(T600="Won",Y600&gt;0.5,ISNUMBER(Z600),Z600&lt;EOMONTH(set_AsAt,-1)+1),3,0)</f>
        <v/>
      </c>
      <c r="AK600" s="54">
        <f>IF(AND(T600="Won",Y600&lt;-1),1,0)</f>
        <v/>
      </c>
      <c r="AL600" s="54">
        <f>SUM(AF600:AK600)</f>
        <v/>
      </c>
      <c r="AM600" s="9">
        <f>IF(AL600&gt;=set_ScoreHigh,"High",IF(AL600&gt;=set_ScoreMed,"Medium",IF(AL600&gt;0,"Low","OK")))</f>
        <v/>
      </c>
      <c r="AN600" s="54">
        <f>IF(OR(T600="Open",AND(T600="Won",ABS(Y600)&gt;0.5)),1,0)</f>
        <v/>
      </c>
      <c r="AO600" s="52">
        <f>IF(T600="Open",IF(V600=0,0,X600),IF(T600="Won",MAX(0,Y600),0))</f>
        <v/>
      </c>
      <c r="AP600" s="54">
        <f>IF(AN600=1,AL600*1E+9+U600+ROW()/1E+6,"")</f>
        <v/>
      </c>
      <c r="AQ600" s="9">
        <f>MID(IF(AF600&gt;0,"; Expected month passed - update Zoho","")&amp;IF(AG600&gt;0,"; "&amp;TEXT(U600/MAX(1,SUMIFS($U$2:$U$601,$T$2:$T$601,"Open")),"0%")&amp;" of open pipeline in one deal","")&amp;IF(AH600&gt;0,"; Large deal at an early stage","")&amp;IF(AI600&gt;0,"; No amount in Zoho","")&amp;IF(AJ600&gt;0,"; Won, invoice month passed, not fully invoiced","")&amp;IF(AK600&gt;0,"; Xero invoiced more than the deal value",""),3,300)</f>
        <v/>
      </c>
    </row>
    <row r="601">
      <c r="T601" s="9">
        <f>IFERROR(INDEX($A601:$R601,MATCH("Status",$A$1:$R$1,0)),"")&amp;""</f>
        <v/>
      </c>
      <c r="U601" s="52">
        <f>IFERROR(N(IFERROR(INDEX($A601:$R601,MATCH("Value Ex GST",$A$1:$R$1,0)),"")),0)</f>
        <v/>
      </c>
      <c r="V601" s="54">
        <f>IF(AND(T601&lt;&gt;"",IFERROR(INDEX($A601:$R601,MATCH("Value Ex GST",$A$1:$R$1,0)),"")&amp;""&lt;&gt;""),1,0)</f>
        <v/>
      </c>
      <c r="W601" s="56">
        <f>IFERROR(N(IFERROR(INDEX($A601:$R601,MATCH("Probability",$A$1:$R$1,0)),"")),0)</f>
        <v/>
      </c>
      <c r="X601" s="52">
        <f>IF(T601="Open",U601*W601,0)</f>
        <v/>
      </c>
      <c r="Y601" s="52">
        <f>IF(T601="Won",IFERROR(N(IFERROR(INDEX($A601:$R601,MATCH("Still to Invoice",$A$1:$R$1,0)),"")),0),0)</f>
        <v/>
      </c>
      <c r="Z601" s="55">
        <f>IFERROR(EOMONTH(IFERROR(INDEX($A601:$R601,MATCH("Expected Invoice Month",$A$1:$R$1,0)),""),0),"")</f>
        <v/>
      </c>
      <c r="AA601" s="9">
        <f>IFERROR(INDEX($A601:$R601,MATCH("Cost Centre",$A$1:$R$1,0)),"")&amp;""</f>
        <v/>
      </c>
      <c r="AB601" s="9">
        <f>IFERROR(INDEX($A601:$R601,MATCH("Pipeline Stage",$A$1:$R$1,0)),"")&amp;""</f>
        <v/>
      </c>
      <c r="AC601" s="9">
        <f>IFERROR(INDEX($A601:$R601,MATCH("Client",$A$1:$R$1,0)),"")&amp;""</f>
        <v/>
      </c>
      <c r="AD601" s="9">
        <f>IFERROR(INDEX($A601:$R601,MATCH("Description",$A$1:$R$1,0)),"")&amp;""</f>
        <v/>
      </c>
      <c r="AE601" s="9">
        <f>IFERROR(INDEX($A601:$R601,MATCH("Job Number",$A$1:$R$1,0)),"")&amp;""</f>
        <v/>
      </c>
      <c r="AF601" s="54">
        <f>IF(AND(T601="Open",ISNUMBER(Z601),Z601&lt;EOMONTH(set_AsAt,-1)+1),3,0)</f>
        <v/>
      </c>
      <c r="AG601" s="54">
        <f>IF(AND(T601="Open",U601&gt;0,U601&gt;=set_DealShare*SUMIFS($U$2:$U$601,$T$2:$T$601,"Open")),3,0)</f>
        <v/>
      </c>
      <c r="AH601" s="54">
        <f>IF(AND(T601="Open",U601&gt;=set_BigValue,W601&lt;=set_EarlyProb),2,0)</f>
        <v/>
      </c>
      <c r="AI601" s="54">
        <f>IF(AND(OR(T601="Open",T601="Won"),V601=0),2,0)</f>
        <v/>
      </c>
      <c r="AJ601" s="54">
        <f>IF(AND(T601="Won",Y601&gt;0.5,ISNUMBER(Z601),Z601&lt;EOMONTH(set_AsAt,-1)+1),3,0)</f>
        <v/>
      </c>
      <c r="AK601" s="54">
        <f>IF(AND(T601="Won",Y601&lt;-1),1,0)</f>
        <v/>
      </c>
      <c r="AL601" s="54">
        <f>SUM(AF601:AK601)</f>
        <v/>
      </c>
      <c r="AM601" s="9">
        <f>IF(AL601&gt;=set_ScoreHigh,"High",IF(AL601&gt;=set_ScoreMed,"Medium",IF(AL601&gt;0,"Low","OK")))</f>
        <v/>
      </c>
      <c r="AN601" s="54">
        <f>IF(OR(T601="Open",AND(T601="Won",ABS(Y601)&gt;0.5)),1,0)</f>
        <v/>
      </c>
      <c r="AO601" s="52">
        <f>IF(T601="Open",IF(V601=0,0,X601),IF(T601="Won",MAX(0,Y601),0))</f>
        <v/>
      </c>
      <c r="AP601" s="54">
        <f>IF(AN601=1,AL601*1E+9+U601+ROW()/1E+6,"")</f>
        <v/>
      </c>
      <c r="AQ601" s="9">
        <f>MID(IF(AF601&gt;0,"; Expected month passed - update Zoho","")&amp;IF(AG601&gt;0,"; "&amp;TEXT(U601/MAX(1,SUMIFS($U$2:$U$601,$T$2:$T$601,"Open")),"0%")&amp;" of open pipeline in one deal","")&amp;IF(AH601&gt;0,"; Large deal at an early stage","")&amp;IF(AI601&gt;0,"; No amount in Zoho","")&amp;IF(AJ601&gt;0,"; Won, invoice month passed, not fully invoiced","")&amp;IF(AK601&gt;0,"; Xero invoiced more than the deal value",""),3,300)</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2026-09-28T10:35:10Z</dcterms:created>
  <dcterms:modified xsi:type="dcterms:W3CDTF">2026-09-28T10:35:20Z</dcterms:modified>
</cp:coreProperties>
</file>